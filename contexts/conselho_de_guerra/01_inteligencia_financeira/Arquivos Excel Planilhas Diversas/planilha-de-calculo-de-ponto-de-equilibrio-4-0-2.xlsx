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0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updateLinks="always" codeName="EstaPastaDeTrabalho"/>
  <mc:AlternateContent xmlns:mc="http://schemas.openxmlformats.org/markup-compatibility/2006">
    <mc:Choice Requires="x15">
      <x15ac:absPath xmlns:x15ac="http://schemas.microsoft.com/office/spreadsheetml/2010/11/ac" url="D:\Desktop\LUZ Planilhas\Cálculo de Ponto de Equilíbrio\"/>
    </mc:Choice>
  </mc:AlternateContent>
  <xr:revisionPtr revIDLastSave="0" documentId="13_ncr:1_{12324ABD-FF42-4486-B944-FE255AAB824C}" xr6:coauthVersionLast="45" xr6:coauthVersionMax="45" xr10:uidLastSave="{00000000-0000-0000-0000-000000000000}"/>
  <bookViews>
    <workbookView xWindow="-120" yWindow="-120" windowWidth="20730" windowHeight="11160" tabRatio="896" activeTab="10" xr2:uid="{00000000-000D-0000-FFFF-FFFF00000000}"/>
  </bookViews>
  <sheets>
    <sheet name="CAD_PROD" sheetId="55" r:id="rId1"/>
    <sheet name="CAD_CUST" sheetId="64" r:id="rId2"/>
    <sheet name="PE_GERAL" sheetId="58" r:id="rId3"/>
    <sheet name="PE_PROD" sheetId="59" r:id="rId4"/>
    <sheet name="ANA_CONC" sheetId="60" r:id="rId5"/>
    <sheet name="TOP_PROD" sheetId="61" r:id="rId6"/>
    <sheet name="TOP_CUST" sheetId="62" r:id="rId7"/>
    <sheet name="TOP_CONC" sheetId="63" r:id="rId8"/>
    <sheet name="DASHBOARD_GERAL" sheetId="65" r:id="rId9"/>
    <sheet name="DASHBOARD_PROD" sheetId="66" r:id="rId10"/>
    <sheet name="INI" sheetId="11" r:id="rId11"/>
    <sheet name="DUV" sheetId="52" r:id="rId12"/>
    <sheet name="SUG" sheetId="53" r:id="rId13"/>
    <sheet name="LUZ" sheetId="54" r:id="rId14"/>
  </sheets>
  <definedNames>
    <definedName name="_xlnm._FilterDatabase" localSheetId="1" hidden="1">CAD_CUST!$C$5:$H$5</definedName>
  </definedNames>
  <calcPr calcId="191029" concurrentCalc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8" i="66" l="1"/>
  <c r="C6" i="64"/>
  <c r="O6" i="64"/>
  <c r="H6" i="64"/>
  <c r="L6" i="64"/>
  <c r="P6" i="64"/>
  <c r="C8" i="66"/>
  <c r="I8" i="66"/>
  <c r="O8" i="66"/>
  <c r="R8" i="66"/>
  <c r="B7" i="61"/>
  <c r="C7" i="61"/>
  <c r="C7" i="64"/>
  <c r="O7" i="64"/>
  <c r="H7" i="64"/>
  <c r="L7" i="64"/>
  <c r="P7" i="64"/>
  <c r="D7" i="61"/>
  <c r="B8" i="61"/>
  <c r="C8" i="61"/>
  <c r="C8" i="64"/>
  <c r="C9" i="64"/>
  <c r="O9" i="64"/>
  <c r="H9" i="64"/>
  <c r="L9" i="64"/>
  <c r="P9" i="64"/>
  <c r="D8" i="61"/>
  <c r="B9" i="61"/>
  <c r="C9" i="61"/>
  <c r="O8" i="64"/>
  <c r="H8" i="64"/>
  <c r="L8" i="64"/>
  <c r="P8" i="64"/>
  <c r="D9" i="61"/>
  <c r="B10" i="61"/>
  <c r="C10" i="61"/>
  <c r="D10" i="61"/>
  <c r="B11" i="61"/>
  <c r="C11" i="61"/>
  <c r="D11" i="61"/>
  <c r="B12" i="61"/>
  <c r="C12" i="61"/>
  <c r="D12" i="61"/>
  <c r="B13" i="61"/>
  <c r="C13" i="61"/>
  <c r="D13" i="61"/>
  <c r="B14" i="61"/>
  <c r="C14" i="61"/>
  <c r="D14" i="61"/>
  <c r="B15" i="61"/>
  <c r="C15" i="61"/>
  <c r="D15" i="61"/>
  <c r="B6" i="61"/>
  <c r="C6" i="61"/>
  <c r="C10" i="64"/>
  <c r="O10" i="64"/>
  <c r="H10" i="64"/>
  <c r="L10" i="64"/>
  <c r="P10" i="64"/>
  <c r="D6" i="61"/>
  <c r="G7" i="60"/>
  <c r="H7" i="60"/>
  <c r="G8" i="60"/>
  <c r="H8" i="60"/>
  <c r="G9" i="60"/>
  <c r="H9" i="60"/>
  <c r="G10" i="60"/>
  <c r="H10" i="60"/>
  <c r="G11" i="60"/>
  <c r="H11" i="60"/>
  <c r="H12" i="60"/>
  <c r="H13" i="60"/>
  <c r="H14" i="60"/>
  <c r="H15" i="60"/>
  <c r="H16" i="60"/>
  <c r="H17" i="60"/>
  <c r="H18" i="60"/>
  <c r="H19" i="60"/>
  <c r="H20" i="60"/>
  <c r="H21" i="60"/>
  <c r="H22" i="60"/>
  <c r="H23" i="60"/>
  <c r="H24" i="60"/>
  <c r="H25" i="60"/>
  <c r="H26" i="60"/>
  <c r="H27" i="60"/>
  <c r="H28" i="60"/>
  <c r="H29" i="60"/>
  <c r="H30" i="60"/>
  <c r="H31" i="60"/>
  <c r="H32" i="60"/>
  <c r="H33" i="60"/>
  <c r="H34" i="60"/>
  <c r="H35" i="60"/>
  <c r="H36" i="60"/>
  <c r="H37" i="60"/>
  <c r="H38" i="60"/>
  <c r="H39" i="60"/>
  <c r="H40" i="60"/>
  <c r="H41" i="60"/>
  <c r="H42" i="60"/>
  <c r="H43" i="60"/>
  <c r="H44" i="60"/>
  <c r="H45" i="60"/>
  <c r="H46" i="60"/>
  <c r="H47" i="60"/>
  <c r="H48" i="60"/>
  <c r="H49" i="60"/>
  <c r="H50" i="60"/>
  <c r="H51" i="60"/>
  <c r="H52" i="60"/>
  <c r="H53" i="60"/>
  <c r="H54" i="60"/>
  <c r="H55" i="60"/>
  <c r="H56" i="60"/>
  <c r="H57" i="60"/>
  <c r="H58" i="60"/>
  <c r="H59" i="60"/>
  <c r="H60" i="60"/>
  <c r="H61" i="60"/>
  <c r="H62" i="60"/>
  <c r="H63" i="60"/>
  <c r="H64" i="60"/>
  <c r="H65" i="60"/>
  <c r="H66" i="60"/>
  <c r="H67" i="60"/>
  <c r="H68" i="60"/>
  <c r="H69" i="60"/>
  <c r="H70" i="60"/>
  <c r="H71" i="60"/>
  <c r="H72" i="60"/>
  <c r="H73" i="60"/>
  <c r="H74" i="60"/>
  <c r="H75" i="60"/>
  <c r="H76" i="60"/>
  <c r="H77" i="60"/>
  <c r="H78" i="60"/>
  <c r="H79" i="60"/>
  <c r="H80" i="60"/>
  <c r="H81" i="60"/>
  <c r="H82" i="60"/>
  <c r="H83" i="60"/>
  <c r="H84" i="60"/>
  <c r="H85" i="60"/>
  <c r="H86" i="60"/>
  <c r="H87" i="60"/>
  <c r="H88" i="60"/>
  <c r="H89" i="60"/>
  <c r="H90" i="60"/>
  <c r="H91" i="60"/>
  <c r="H92" i="60"/>
  <c r="H93" i="60"/>
  <c r="H94" i="60"/>
  <c r="H95" i="60"/>
  <c r="H96" i="60"/>
  <c r="H97" i="60"/>
  <c r="H98" i="60"/>
  <c r="H99" i="60"/>
  <c r="H100" i="60"/>
  <c r="H101" i="60"/>
  <c r="H102" i="60"/>
  <c r="H103" i="60"/>
  <c r="H104" i="60"/>
  <c r="H105" i="60"/>
  <c r="H106" i="60"/>
  <c r="H107" i="60"/>
  <c r="H108" i="60"/>
  <c r="H109" i="60"/>
  <c r="H110" i="60"/>
  <c r="H111" i="60"/>
  <c r="H112" i="60"/>
  <c r="H113" i="60"/>
  <c r="H114" i="60"/>
  <c r="H115" i="60"/>
  <c r="H116" i="60"/>
  <c r="H117" i="60"/>
  <c r="H118" i="60"/>
  <c r="H119" i="60"/>
  <c r="H120" i="60"/>
  <c r="H121" i="60"/>
  <c r="H122" i="60"/>
  <c r="H123" i="60"/>
  <c r="H124" i="60"/>
  <c r="H125" i="60"/>
  <c r="H126" i="60"/>
  <c r="H127" i="60"/>
  <c r="H128" i="60"/>
  <c r="H129" i="60"/>
  <c r="H130" i="60"/>
  <c r="H131" i="60"/>
  <c r="H132" i="60"/>
  <c r="H133" i="60"/>
  <c r="H134" i="60"/>
  <c r="H135" i="60"/>
  <c r="H136" i="60"/>
  <c r="H137" i="60"/>
  <c r="H138" i="60"/>
  <c r="H139" i="60"/>
  <c r="H140" i="60"/>
  <c r="H141" i="60"/>
  <c r="H142" i="60"/>
  <c r="H143" i="60"/>
  <c r="H144" i="60"/>
  <c r="H145" i="60"/>
  <c r="H146" i="60"/>
  <c r="H147" i="60"/>
  <c r="H148" i="60"/>
  <c r="H149" i="60"/>
  <c r="H150" i="60"/>
  <c r="H151" i="60"/>
  <c r="H152" i="60"/>
  <c r="H153" i="60"/>
  <c r="H154" i="60"/>
  <c r="H155" i="60"/>
  <c r="H156" i="60"/>
  <c r="H157" i="60"/>
  <c r="H158" i="60"/>
  <c r="H159" i="60"/>
  <c r="H160" i="60"/>
  <c r="H161" i="60"/>
  <c r="H162" i="60"/>
  <c r="H163" i="60"/>
  <c r="H164" i="60"/>
  <c r="H165" i="60"/>
  <c r="H166" i="60"/>
  <c r="H167" i="60"/>
  <c r="H168" i="60"/>
  <c r="H169" i="60"/>
  <c r="H170" i="60"/>
  <c r="H171" i="60"/>
  <c r="H172" i="60"/>
  <c r="H173" i="60"/>
  <c r="H174" i="60"/>
  <c r="H175" i="60"/>
  <c r="H176" i="60"/>
  <c r="H177" i="60"/>
  <c r="H178" i="60"/>
  <c r="H179" i="60"/>
  <c r="H180" i="60"/>
  <c r="H181" i="60"/>
  <c r="H182" i="60"/>
  <c r="H183" i="60"/>
  <c r="H184" i="60"/>
  <c r="H185" i="60"/>
  <c r="H186" i="60"/>
  <c r="H187" i="60"/>
  <c r="H188" i="60"/>
  <c r="H189" i="60"/>
  <c r="H190" i="60"/>
  <c r="H191" i="60"/>
  <c r="H192" i="60"/>
  <c r="H193" i="60"/>
  <c r="H194" i="60"/>
  <c r="H195" i="60"/>
  <c r="H196" i="60"/>
  <c r="H197" i="60"/>
  <c r="H198" i="60"/>
  <c r="H199" i="60"/>
  <c r="H200" i="60"/>
  <c r="H201" i="60"/>
  <c r="H202" i="60"/>
  <c r="H203" i="60"/>
  <c r="H204" i="60"/>
  <c r="H205" i="60"/>
  <c r="H206" i="60"/>
  <c r="H207" i="60"/>
  <c r="H208" i="60"/>
  <c r="H209" i="60"/>
  <c r="H210" i="60"/>
  <c r="H211" i="60"/>
  <c r="H212" i="60"/>
  <c r="H213" i="60"/>
  <c r="H214" i="60"/>
  <c r="H215" i="60"/>
  <c r="H216" i="60"/>
  <c r="H217" i="60"/>
  <c r="H218" i="60"/>
  <c r="H219" i="60"/>
  <c r="H220" i="60"/>
  <c r="H221" i="60"/>
  <c r="H222" i="60"/>
  <c r="H223" i="60"/>
  <c r="H224" i="60"/>
  <c r="H225" i="60"/>
  <c r="H226" i="60"/>
  <c r="H227" i="60"/>
  <c r="H228" i="60"/>
  <c r="H229" i="60"/>
  <c r="H230" i="60"/>
  <c r="H231" i="60"/>
  <c r="H232" i="60"/>
  <c r="H233" i="60"/>
  <c r="H234" i="60"/>
  <c r="H235" i="60"/>
  <c r="H236" i="60"/>
  <c r="H237" i="60"/>
  <c r="H238" i="60"/>
  <c r="H239" i="60"/>
  <c r="H240" i="60"/>
  <c r="H241" i="60"/>
  <c r="H242" i="60"/>
  <c r="H243" i="60"/>
  <c r="H244" i="60"/>
  <c r="H245" i="60"/>
  <c r="H246" i="60"/>
  <c r="H247" i="60"/>
  <c r="H248" i="60"/>
  <c r="H249" i="60"/>
  <c r="H250" i="60"/>
  <c r="H251" i="60"/>
  <c r="H252" i="60"/>
  <c r="H253" i="60"/>
  <c r="H254" i="60"/>
  <c r="H255" i="60"/>
  <c r="H256" i="60"/>
  <c r="H257" i="60"/>
  <c r="H258" i="60"/>
  <c r="H259" i="60"/>
  <c r="H260" i="60"/>
  <c r="H261" i="60"/>
  <c r="H262" i="60"/>
  <c r="H263" i="60"/>
  <c r="H264" i="60"/>
  <c r="H265" i="60"/>
  <c r="H266" i="60"/>
  <c r="H267" i="60"/>
  <c r="H268" i="60"/>
  <c r="H269" i="60"/>
  <c r="H270" i="60"/>
  <c r="H271" i="60"/>
  <c r="H272" i="60"/>
  <c r="H273" i="60"/>
  <c r="H274" i="60"/>
  <c r="H275" i="60"/>
  <c r="H276" i="60"/>
  <c r="H277" i="60"/>
  <c r="H278" i="60"/>
  <c r="H279" i="60"/>
  <c r="H280" i="60"/>
  <c r="H281" i="60"/>
  <c r="H282" i="60"/>
  <c r="H283" i="60"/>
  <c r="H284" i="60"/>
  <c r="H285" i="60"/>
  <c r="H286" i="60"/>
  <c r="H287" i="60"/>
  <c r="H288" i="60"/>
  <c r="H289" i="60"/>
  <c r="H290" i="60"/>
  <c r="H291" i="60"/>
  <c r="H292" i="60"/>
  <c r="H293" i="60"/>
  <c r="H294" i="60"/>
  <c r="H295" i="60"/>
  <c r="H296" i="60"/>
  <c r="H297" i="60"/>
  <c r="H298" i="60"/>
  <c r="H299" i="60"/>
  <c r="H300" i="60"/>
  <c r="H301" i="60"/>
  <c r="H302" i="60"/>
  <c r="H303" i="60"/>
  <c r="H304" i="60"/>
  <c r="H305" i="60"/>
  <c r="H306" i="60"/>
  <c r="H307" i="60"/>
  <c r="H308" i="60"/>
  <c r="H309" i="60"/>
  <c r="H310" i="60"/>
  <c r="H311" i="60"/>
  <c r="H312" i="60"/>
  <c r="H313" i="60"/>
  <c r="H314" i="60"/>
  <c r="H315" i="60"/>
  <c r="H316" i="60"/>
  <c r="H317" i="60"/>
  <c r="H318" i="60"/>
  <c r="H319" i="60"/>
  <c r="H320" i="60"/>
  <c r="H321" i="60"/>
  <c r="H322" i="60"/>
  <c r="H323" i="60"/>
  <c r="H324" i="60"/>
  <c r="H325" i="60"/>
  <c r="H326" i="60"/>
  <c r="H327" i="60"/>
  <c r="H328" i="60"/>
  <c r="H329" i="60"/>
  <c r="H330" i="60"/>
  <c r="H331" i="60"/>
  <c r="H332" i="60"/>
  <c r="H333" i="60"/>
  <c r="H334" i="60"/>
  <c r="H335" i="60"/>
  <c r="H336" i="60"/>
  <c r="H337" i="60"/>
  <c r="H338" i="60"/>
  <c r="H339" i="60"/>
  <c r="H340" i="60"/>
  <c r="H341" i="60"/>
  <c r="H342" i="60"/>
  <c r="H343" i="60"/>
  <c r="H344" i="60"/>
  <c r="H345" i="60"/>
  <c r="H346" i="60"/>
  <c r="H347" i="60"/>
  <c r="H348" i="60"/>
  <c r="H349" i="60"/>
  <c r="H350" i="60"/>
  <c r="H351" i="60"/>
  <c r="H352" i="60"/>
  <c r="H353" i="60"/>
  <c r="H354" i="60"/>
  <c r="H355" i="60"/>
  <c r="H356" i="60"/>
  <c r="H357" i="60"/>
  <c r="H358" i="60"/>
  <c r="H359" i="60"/>
  <c r="H360" i="60"/>
  <c r="H361" i="60"/>
  <c r="H362" i="60"/>
  <c r="H363" i="60"/>
  <c r="H364" i="60"/>
  <c r="H365" i="60"/>
  <c r="H366" i="60"/>
  <c r="H367" i="60"/>
  <c r="H368" i="60"/>
  <c r="H369" i="60"/>
  <c r="H370" i="60"/>
  <c r="H371" i="60"/>
  <c r="H372" i="60"/>
  <c r="H373" i="60"/>
  <c r="H374" i="60"/>
  <c r="H375" i="60"/>
  <c r="H376" i="60"/>
  <c r="H377" i="60"/>
  <c r="H378" i="60"/>
  <c r="H379" i="60"/>
  <c r="H380" i="60"/>
  <c r="H381" i="60"/>
  <c r="H382" i="60"/>
  <c r="H383" i="60"/>
  <c r="H384" i="60"/>
  <c r="H385" i="60"/>
  <c r="H386" i="60"/>
  <c r="H387" i="60"/>
  <c r="H388" i="60"/>
  <c r="H389" i="60"/>
  <c r="H390" i="60"/>
  <c r="H391" i="60"/>
  <c r="H392" i="60"/>
  <c r="H393" i="60"/>
  <c r="H394" i="60"/>
  <c r="H395" i="60"/>
  <c r="H396" i="60"/>
  <c r="H397" i="60"/>
  <c r="H398" i="60"/>
  <c r="H399" i="60"/>
  <c r="H400" i="60"/>
  <c r="H401" i="60"/>
  <c r="H402" i="60"/>
  <c r="H403" i="60"/>
  <c r="H404" i="60"/>
  <c r="H405" i="60"/>
  <c r="H406" i="60"/>
  <c r="H407" i="60"/>
  <c r="H408" i="60"/>
  <c r="H409" i="60"/>
  <c r="H410" i="60"/>
  <c r="H411" i="60"/>
  <c r="H412" i="60"/>
  <c r="H413" i="60"/>
  <c r="H414" i="60"/>
  <c r="H415" i="60"/>
  <c r="H416" i="60"/>
  <c r="H417" i="60"/>
  <c r="H418" i="60"/>
  <c r="H419" i="60"/>
  <c r="H420" i="60"/>
  <c r="H421" i="60"/>
  <c r="H422" i="60"/>
  <c r="H423" i="60"/>
  <c r="H424" i="60"/>
  <c r="H425" i="60"/>
  <c r="H426" i="60"/>
  <c r="H427" i="60"/>
  <c r="H428" i="60"/>
  <c r="H429" i="60"/>
  <c r="H430" i="60"/>
  <c r="H431" i="60"/>
  <c r="H432" i="60"/>
  <c r="H433" i="60"/>
  <c r="H434" i="60"/>
  <c r="H435" i="60"/>
  <c r="H436" i="60"/>
  <c r="H437" i="60"/>
  <c r="H438" i="60"/>
  <c r="H439" i="60"/>
  <c r="H440" i="60"/>
  <c r="H441" i="60"/>
  <c r="H442" i="60"/>
  <c r="H443" i="60"/>
  <c r="H444" i="60"/>
  <c r="H445" i="60"/>
  <c r="H446" i="60"/>
  <c r="H447" i="60"/>
  <c r="H448" i="60"/>
  <c r="H449" i="60"/>
  <c r="H450" i="60"/>
  <c r="H451" i="60"/>
  <c r="H452" i="60"/>
  <c r="H453" i="60"/>
  <c r="H454" i="60"/>
  <c r="H455" i="60"/>
  <c r="H456" i="60"/>
  <c r="H457" i="60"/>
  <c r="H458" i="60"/>
  <c r="H459" i="60"/>
  <c r="H460" i="60"/>
  <c r="H461" i="60"/>
  <c r="H462" i="60"/>
  <c r="H463" i="60"/>
  <c r="H464" i="60"/>
  <c r="H465" i="60"/>
  <c r="H466" i="60"/>
  <c r="H467" i="60"/>
  <c r="H468" i="60"/>
  <c r="H469" i="60"/>
  <c r="H470" i="60"/>
  <c r="H471" i="60"/>
  <c r="H472" i="60"/>
  <c r="H473" i="60"/>
  <c r="H474" i="60"/>
  <c r="H475" i="60"/>
  <c r="H476" i="60"/>
  <c r="H477" i="60"/>
  <c r="H478" i="60"/>
  <c r="H479" i="60"/>
  <c r="H480" i="60"/>
  <c r="H481" i="60"/>
  <c r="H482" i="60"/>
  <c r="H483" i="60"/>
  <c r="H484" i="60"/>
  <c r="H485" i="60"/>
  <c r="H486" i="60"/>
  <c r="H487" i="60"/>
  <c r="H488" i="60"/>
  <c r="H489" i="60"/>
  <c r="H490" i="60"/>
  <c r="H491" i="60"/>
  <c r="H492" i="60"/>
  <c r="H493" i="60"/>
  <c r="H494" i="60"/>
  <c r="H495" i="60"/>
  <c r="H496" i="60"/>
  <c r="H497" i="60"/>
  <c r="H498" i="60"/>
  <c r="H499" i="60"/>
  <c r="H500" i="60"/>
  <c r="H501" i="60"/>
  <c r="H502" i="60"/>
  <c r="H503" i="60"/>
  <c r="H504" i="60"/>
  <c r="H505" i="60"/>
  <c r="G6" i="60"/>
  <c r="H6" i="60"/>
  <c r="S7" i="64"/>
  <c r="S8" i="64"/>
  <c r="S9" i="64"/>
  <c r="S10" i="64"/>
  <c r="C11" i="64"/>
  <c r="S11" i="64"/>
  <c r="C12" i="64"/>
  <c r="S12" i="64"/>
  <c r="C13" i="64"/>
  <c r="S13" i="64"/>
  <c r="C14" i="64"/>
  <c r="S14" i="64"/>
  <c r="C15" i="64"/>
  <c r="S15" i="64"/>
  <c r="C16" i="64"/>
  <c r="S16" i="64"/>
  <c r="C17" i="64"/>
  <c r="S17" i="64"/>
  <c r="C18" i="64"/>
  <c r="S18" i="64"/>
  <c r="C19" i="64"/>
  <c r="S19" i="64"/>
  <c r="C20" i="64"/>
  <c r="S20" i="64"/>
  <c r="C21" i="64"/>
  <c r="S21" i="64"/>
  <c r="C22" i="64"/>
  <c r="S22" i="64"/>
  <c r="C23" i="64"/>
  <c r="S23" i="64"/>
  <c r="C24" i="64"/>
  <c r="S24" i="64"/>
  <c r="C25" i="64"/>
  <c r="S25" i="64"/>
  <c r="C26" i="64"/>
  <c r="S26" i="64"/>
  <c r="C27" i="64"/>
  <c r="S27" i="64"/>
  <c r="C28" i="64"/>
  <c r="S28" i="64"/>
  <c r="C29" i="64"/>
  <c r="S29" i="64"/>
  <c r="C30" i="64"/>
  <c r="S30" i="64"/>
  <c r="C31" i="64"/>
  <c r="S31" i="64"/>
  <c r="C32" i="64"/>
  <c r="S32" i="64"/>
  <c r="C33" i="64"/>
  <c r="S33" i="64"/>
  <c r="C34" i="64"/>
  <c r="S34" i="64"/>
  <c r="C35" i="64"/>
  <c r="S35" i="64"/>
  <c r="C36" i="64"/>
  <c r="S36" i="64"/>
  <c r="C37" i="64"/>
  <c r="S37" i="64"/>
  <c r="C38" i="64"/>
  <c r="S38" i="64"/>
  <c r="C39" i="64"/>
  <c r="S39" i="64"/>
  <c r="C40" i="64"/>
  <c r="S40" i="64"/>
  <c r="C41" i="64"/>
  <c r="S41" i="64"/>
  <c r="C42" i="64"/>
  <c r="S42" i="64"/>
  <c r="C43" i="64"/>
  <c r="S43" i="64"/>
  <c r="C44" i="64"/>
  <c r="S44" i="64"/>
  <c r="C45" i="64"/>
  <c r="S45" i="64"/>
  <c r="C46" i="64"/>
  <c r="S46" i="64"/>
  <c r="C47" i="64"/>
  <c r="S47" i="64"/>
  <c r="C48" i="64"/>
  <c r="S48" i="64"/>
  <c r="C49" i="64"/>
  <c r="S49" i="64"/>
  <c r="C50" i="64"/>
  <c r="S50" i="64"/>
  <c r="C51" i="64"/>
  <c r="S51" i="64"/>
  <c r="C52" i="64"/>
  <c r="S52" i="64"/>
  <c r="C53" i="64"/>
  <c r="S53" i="64"/>
  <c r="C54" i="64"/>
  <c r="S54" i="64"/>
  <c r="C55" i="64"/>
  <c r="S55" i="64"/>
  <c r="C56" i="64"/>
  <c r="S56" i="64"/>
  <c r="C57" i="64"/>
  <c r="S57" i="64"/>
  <c r="C58" i="64"/>
  <c r="S58" i="64"/>
  <c r="C59" i="64"/>
  <c r="S59" i="64"/>
  <c r="C60" i="64"/>
  <c r="S60" i="64"/>
  <c r="C61" i="64"/>
  <c r="S61" i="64"/>
  <c r="C62" i="64"/>
  <c r="S62" i="64"/>
  <c r="C63" i="64"/>
  <c r="S63" i="64"/>
  <c r="C64" i="64"/>
  <c r="S64" i="64"/>
  <c r="C65" i="64"/>
  <c r="S65" i="64"/>
  <c r="C66" i="64"/>
  <c r="S66" i="64"/>
  <c r="C67" i="64"/>
  <c r="S67" i="64"/>
  <c r="C68" i="64"/>
  <c r="S68" i="64"/>
  <c r="C69" i="64"/>
  <c r="S69" i="64"/>
  <c r="C70" i="64"/>
  <c r="S70" i="64"/>
  <c r="C71" i="64"/>
  <c r="S71" i="64"/>
  <c r="C72" i="64"/>
  <c r="S72" i="64"/>
  <c r="C73" i="64"/>
  <c r="S73" i="64"/>
  <c r="C74" i="64"/>
  <c r="S74" i="64"/>
  <c r="C75" i="64"/>
  <c r="S75" i="64"/>
  <c r="C76" i="64"/>
  <c r="S76" i="64"/>
  <c r="C77" i="64"/>
  <c r="S77" i="64"/>
  <c r="C78" i="64"/>
  <c r="S78" i="64"/>
  <c r="C79" i="64"/>
  <c r="S79" i="64"/>
  <c r="C80" i="64"/>
  <c r="S80" i="64"/>
  <c r="C81" i="64"/>
  <c r="S81" i="64"/>
  <c r="C82" i="64"/>
  <c r="S82" i="64"/>
  <c r="C83" i="64"/>
  <c r="S83" i="64"/>
  <c r="C84" i="64"/>
  <c r="S84" i="64"/>
  <c r="C85" i="64"/>
  <c r="S85" i="64"/>
  <c r="C86" i="64"/>
  <c r="S86" i="64"/>
  <c r="C87" i="64"/>
  <c r="S87" i="64"/>
  <c r="C88" i="64"/>
  <c r="S88" i="64"/>
  <c r="C89" i="64"/>
  <c r="S89" i="64"/>
  <c r="C90" i="64"/>
  <c r="S90" i="64"/>
  <c r="C91" i="64"/>
  <c r="S91" i="64"/>
  <c r="C92" i="64"/>
  <c r="S92" i="64"/>
  <c r="C93" i="64"/>
  <c r="S93" i="64"/>
  <c r="C94" i="64"/>
  <c r="S94" i="64"/>
  <c r="C95" i="64"/>
  <c r="S95" i="64"/>
  <c r="C96" i="64"/>
  <c r="S96" i="64"/>
  <c r="C97" i="64"/>
  <c r="S97" i="64"/>
  <c r="C98" i="64"/>
  <c r="S98" i="64"/>
  <c r="C99" i="64"/>
  <c r="S99" i="64"/>
  <c r="C100" i="64"/>
  <c r="S100" i="64"/>
  <c r="C101" i="64"/>
  <c r="S101" i="64"/>
  <c r="C102" i="64"/>
  <c r="S102" i="64"/>
  <c r="C103" i="64"/>
  <c r="S103" i="64"/>
  <c r="C104" i="64"/>
  <c r="S104" i="64"/>
  <c r="C105" i="64"/>
  <c r="S105" i="64"/>
  <c r="C106" i="64"/>
  <c r="S106" i="64"/>
  <c r="C107" i="64"/>
  <c r="S107" i="64"/>
  <c r="C108" i="64"/>
  <c r="S108" i="64"/>
  <c r="C109" i="64"/>
  <c r="S109" i="64"/>
  <c r="C110" i="64"/>
  <c r="S110" i="64"/>
  <c r="C111" i="64"/>
  <c r="S111" i="64"/>
  <c r="C112" i="64"/>
  <c r="S112" i="64"/>
  <c r="C113" i="64"/>
  <c r="S113" i="64"/>
  <c r="C114" i="64"/>
  <c r="S114" i="64"/>
  <c r="C115" i="64"/>
  <c r="S115" i="64"/>
  <c r="C116" i="64"/>
  <c r="S116" i="64"/>
  <c r="C117" i="64"/>
  <c r="S117" i="64"/>
  <c r="C118" i="64"/>
  <c r="S118" i="64"/>
  <c r="C119" i="64"/>
  <c r="S119" i="64"/>
  <c r="C120" i="64"/>
  <c r="S120" i="64"/>
  <c r="C121" i="64"/>
  <c r="S121" i="64"/>
  <c r="C122" i="64"/>
  <c r="S122" i="64"/>
  <c r="C123" i="64"/>
  <c r="S123" i="64"/>
  <c r="C124" i="64"/>
  <c r="S124" i="64"/>
  <c r="C125" i="64"/>
  <c r="S125" i="64"/>
  <c r="C126" i="64"/>
  <c r="S126" i="64"/>
  <c r="C127" i="64"/>
  <c r="S127" i="64"/>
  <c r="C128" i="64"/>
  <c r="S128" i="64"/>
  <c r="C129" i="64"/>
  <c r="S129" i="64"/>
  <c r="C130" i="64"/>
  <c r="S130" i="64"/>
  <c r="C131" i="64"/>
  <c r="S131" i="64"/>
  <c r="C132" i="64"/>
  <c r="S132" i="64"/>
  <c r="C133" i="64"/>
  <c r="S133" i="64"/>
  <c r="C134" i="64"/>
  <c r="S134" i="64"/>
  <c r="C135" i="64"/>
  <c r="S135" i="64"/>
  <c r="C136" i="64"/>
  <c r="S136" i="64"/>
  <c r="C137" i="64"/>
  <c r="S137" i="64"/>
  <c r="C138" i="64"/>
  <c r="S138" i="64"/>
  <c r="C139" i="64"/>
  <c r="S139" i="64"/>
  <c r="C140" i="64"/>
  <c r="S140" i="64"/>
  <c r="C141" i="64"/>
  <c r="S141" i="64"/>
  <c r="C142" i="64"/>
  <c r="S142" i="64"/>
  <c r="C143" i="64"/>
  <c r="S143" i="64"/>
  <c r="C144" i="64"/>
  <c r="S144" i="64"/>
  <c r="C145" i="64"/>
  <c r="S145" i="64"/>
  <c r="C146" i="64"/>
  <c r="S146" i="64"/>
  <c r="C147" i="64"/>
  <c r="S147" i="64"/>
  <c r="C148" i="64"/>
  <c r="S148" i="64"/>
  <c r="C149" i="64"/>
  <c r="S149" i="64"/>
  <c r="C150" i="64"/>
  <c r="S150" i="64"/>
  <c r="C151" i="64"/>
  <c r="S151" i="64"/>
  <c r="C152" i="64"/>
  <c r="S152" i="64"/>
  <c r="C153" i="64"/>
  <c r="S153" i="64"/>
  <c r="C154" i="64"/>
  <c r="S154" i="64"/>
  <c r="C155" i="64"/>
  <c r="S155" i="64"/>
  <c r="C156" i="64"/>
  <c r="S156" i="64"/>
  <c r="C157" i="64"/>
  <c r="S157" i="64"/>
  <c r="C158" i="64"/>
  <c r="S158" i="64"/>
  <c r="C159" i="64"/>
  <c r="S159" i="64"/>
  <c r="C160" i="64"/>
  <c r="S160" i="64"/>
  <c r="C161" i="64"/>
  <c r="S161" i="64"/>
  <c r="C162" i="64"/>
  <c r="S162" i="64"/>
  <c r="C163" i="64"/>
  <c r="S163" i="64"/>
  <c r="C164" i="64"/>
  <c r="S164" i="64"/>
  <c r="C165" i="64"/>
  <c r="S165" i="64"/>
  <c r="C166" i="64"/>
  <c r="S166" i="64"/>
  <c r="C167" i="64"/>
  <c r="S167" i="64"/>
  <c r="C168" i="64"/>
  <c r="S168" i="64"/>
  <c r="C169" i="64"/>
  <c r="S169" i="64"/>
  <c r="C170" i="64"/>
  <c r="S170" i="64"/>
  <c r="C171" i="64"/>
  <c r="S171" i="64"/>
  <c r="C172" i="64"/>
  <c r="S172" i="64"/>
  <c r="C173" i="64"/>
  <c r="S173" i="64"/>
  <c r="C174" i="64"/>
  <c r="S174" i="64"/>
  <c r="C175" i="64"/>
  <c r="S175" i="64"/>
  <c r="C176" i="64"/>
  <c r="S176" i="64"/>
  <c r="C177" i="64"/>
  <c r="S177" i="64"/>
  <c r="C178" i="64"/>
  <c r="S178" i="64"/>
  <c r="C179" i="64"/>
  <c r="S179" i="64"/>
  <c r="C180" i="64"/>
  <c r="S180" i="64"/>
  <c r="C181" i="64"/>
  <c r="S181" i="64"/>
  <c r="C182" i="64"/>
  <c r="S182" i="64"/>
  <c r="C183" i="64"/>
  <c r="S183" i="64"/>
  <c r="C184" i="64"/>
  <c r="S184" i="64"/>
  <c r="C185" i="64"/>
  <c r="S185" i="64"/>
  <c r="C186" i="64"/>
  <c r="S186" i="64"/>
  <c r="C187" i="64"/>
  <c r="S187" i="64"/>
  <c r="C188" i="64"/>
  <c r="S188" i="64"/>
  <c r="C189" i="64"/>
  <c r="S189" i="64"/>
  <c r="C190" i="64"/>
  <c r="S190" i="64"/>
  <c r="C191" i="64"/>
  <c r="S191" i="64"/>
  <c r="C192" i="64"/>
  <c r="S192" i="64"/>
  <c r="C193" i="64"/>
  <c r="S193" i="64"/>
  <c r="C194" i="64"/>
  <c r="S194" i="64"/>
  <c r="C195" i="64"/>
  <c r="S195" i="64"/>
  <c r="C196" i="64"/>
  <c r="S196" i="64"/>
  <c r="C197" i="64"/>
  <c r="S197" i="64"/>
  <c r="C198" i="64"/>
  <c r="S198" i="64"/>
  <c r="C199" i="64"/>
  <c r="S199" i="64"/>
  <c r="C200" i="64"/>
  <c r="S200" i="64"/>
  <c r="C201" i="64"/>
  <c r="S201" i="64"/>
  <c r="C202" i="64"/>
  <c r="S202" i="64"/>
  <c r="C203" i="64"/>
  <c r="S203" i="64"/>
  <c r="C204" i="64"/>
  <c r="S204" i="64"/>
  <c r="C205" i="64"/>
  <c r="S205" i="64"/>
  <c r="C206" i="64"/>
  <c r="S206" i="64"/>
  <c r="C207" i="64"/>
  <c r="S207" i="64"/>
  <c r="C208" i="64"/>
  <c r="S208" i="64"/>
  <c r="C209" i="64"/>
  <c r="S209" i="64"/>
  <c r="C210" i="64"/>
  <c r="S210" i="64"/>
  <c r="C211" i="64"/>
  <c r="S211" i="64"/>
  <c r="C212" i="64"/>
  <c r="S212" i="64"/>
  <c r="C213" i="64"/>
  <c r="S213" i="64"/>
  <c r="C214" i="64"/>
  <c r="S214" i="64"/>
  <c r="C215" i="64"/>
  <c r="S215" i="64"/>
  <c r="C216" i="64"/>
  <c r="S216" i="64"/>
  <c r="C217" i="64"/>
  <c r="S217" i="64"/>
  <c r="C218" i="64"/>
  <c r="S218" i="64"/>
  <c r="C219" i="64"/>
  <c r="S219" i="64"/>
  <c r="C220" i="64"/>
  <c r="S220" i="64"/>
  <c r="C221" i="64"/>
  <c r="S221" i="64"/>
  <c r="C222" i="64"/>
  <c r="S222" i="64"/>
  <c r="C223" i="64"/>
  <c r="S223" i="64"/>
  <c r="C224" i="64"/>
  <c r="S224" i="64"/>
  <c r="C225" i="64"/>
  <c r="S225" i="64"/>
  <c r="C226" i="64"/>
  <c r="S226" i="64"/>
  <c r="C227" i="64"/>
  <c r="S227" i="64"/>
  <c r="C228" i="64"/>
  <c r="S228" i="64"/>
  <c r="C229" i="64"/>
  <c r="S229" i="64"/>
  <c r="C230" i="64"/>
  <c r="S230" i="64"/>
  <c r="C231" i="64"/>
  <c r="S231" i="64"/>
  <c r="C232" i="64"/>
  <c r="S232" i="64"/>
  <c r="C233" i="64"/>
  <c r="S233" i="64"/>
  <c r="C234" i="64"/>
  <c r="S234" i="64"/>
  <c r="C235" i="64"/>
  <c r="S235" i="64"/>
  <c r="C236" i="64"/>
  <c r="S236" i="64"/>
  <c r="C237" i="64"/>
  <c r="S237" i="64"/>
  <c r="C238" i="64"/>
  <c r="S238" i="64"/>
  <c r="C239" i="64"/>
  <c r="S239" i="64"/>
  <c r="C240" i="64"/>
  <c r="S240" i="64"/>
  <c r="C241" i="64"/>
  <c r="S241" i="64"/>
  <c r="C242" i="64"/>
  <c r="S242" i="64"/>
  <c r="C243" i="64"/>
  <c r="S243" i="64"/>
  <c r="C244" i="64"/>
  <c r="S244" i="64"/>
  <c r="C245" i="64"/>
  <c r="S245" i="64"/>
  <c r="C246" i="64"/>
  <c r="S246" i="64"/>
  <c r="C247" i="64"/>
  <c r="S247" i="64"/>
  <c r="C248" i="64"/>
  <c r="S248" i="64"/>
  <c r="C249" i="64"/>
  <c r="S249" i="64"/>
  <c r="C250" i="64"/>
  <c r="S250" i="64"/>
  <c r="C251" i="64"/>
  <c r="S251" i="64"/>
  <c r="C252" i="64"/>
  <c r="S252" i="64"/>
  <c r="C253" i="64"/>
  <c r="S253" i="64"/>
  <c r="C254" i="64"/>
  <c r="S254" i="64"/>
  <c r="C255" i="64"/>
  <c r="S255" i="64"/>
  <c r="C256" i="64"/>
  <c r="S256" i="64"/>
  <c r="C257" i="64"/>
  <c r="S257" i="64"/>
  <c r="C258" i="64"/>
  <c r="S258" i="64"/>
  <c r="C259" i="64"/>
  <c r="S259" i="64"/>
  <c r="C260" i="64"/>
  <c r="S260" i="64"/>
  <c r="C261" i="64"/>
  <c r="S261" i="64"/>
  <c r="C262" i="64"/>
  <c r="S262" i="64"/>
  <c r="C263" i="64"/>
  <c r="S263" i="64"/>
  <c r="C264" i="64"/>
  <c r="S264" i="64"/>
  <c r="C265" i="64"/>
  <c r="S265" i="64"/>
  <c r="C266" i="64"/>
  <c r="S266" i="64"/>
  <c r="C267" i="64"/>
  <c r="S267" i="64"/>
  <c r="C268" i="64"/>
  <c r="S268" i="64"/>
  <c r="C269" i="64"/>
  <c r="S269" i="64"/>
  <c r="C270" i="64"/>
  <c r="S270" i="64"/>
  <c r="C271" i="64"/>
  <c r="S271" i="64"/>
  <c r="C272" i="64"/>
  <c r="S272" i="64"/>
  <c r="C273" i="64"/>
  <c r="S273" i="64"/>
  <c r="C274" i="64"/>
  <c r="S274" i="64"/>
  <c r="C275" i="64"/>
  <c r="S275" i="64"/>
  <c r="C276" i="64"/>
  <c r="S276" i="64"/>
  <c r="C277" i="64"/>
  <c r="S277" i="64"/>
  <c r="C278" i="64"/>
  <c r="S278" i="64"/>
  <c r="C279" i="64"/>
  <c r="S279" i="64"/>
  <c r="C280" i="64"/>
  <c r="S280" i="64"/>
  <c r="C281" i="64"/>
  <c r="S281" i="64"/>
  <c r="C282" i="64"/>
  <c r="S282" i="64"/>
  <c r="C283" i="64"/>
  <c r="S283" i="64"/>
  <c r="C284" i="64"/>
  <c r="S284" i="64"/>
  <c r="C285" i="64"/>
  <c r="S285" i="64"/>
  <c r="C286" i="64"/>
  <c r="S286" i="64"/>
  <c r="C287" i="64"/>
  <c r="S287" i="64"/>
  <c r="C288" i="64"/>
  <c r="S288" i="64"/>
  <c r="C289" i="64"/>
  <c r="S289" i="64"/>
  <c r="C290" i="64"/>
  <c r="S290" i="64"/>
  <c r="C291" i="64"/>
  <c r="S291" i="64"/>
  <c r="C292" i="64"/>
  <c r="S292" i="64"/>
  <c r="C293" i="64"/>
  <c r="S293" i="64"/>
  <c r="C294" i="64"/>
  <c r="S294" i="64"/>
  <c r="C295" i="64"/>
  <c r="S295" i="64"/>
  <c r="C296" i="64"/>
  <c r="S296" i="64"/>
  <c r="C297" i="64"/>
  <c r="S297" i="64"/>
  <c r="C298" i="64"/>
  <c r="S298" i="64"/>
  <c r="C299" i="64"/>
  <c r="S299" i="64"/>
  <c r="C300" i="64"/>
  <c r="S300" i="64"/>
  <c r="C301" i="64"/>
  <c r="S301" i="64"/>
  <c r="C302" i="64"/>
  <c r="S302" i="64"/>
  <c r="C303" i="64"/>
  <c r="S303" i="64"/>
  <c r="C304" i="64"/>
  <c r="S304" i="64"/>
  <c r="C305" i="64"/>
  <c r="S305" i="64"/>
  <c r="C306" i="64"/>
  <c r="S306" i="64"/>
  <c r="C307" i="64"/>
  <c r="S307" i="64"/>
  <c r="C308" i="64"/>
  <c r="S308" i="64"/>
  <c r="C309" i="64"/>
  <c r="S309" i="64"/>
  <c r="C310" i="64"/>
  <c r="S310" i="64"/>
  <c r="C311" i="64"/>
  <c r="S311" i="64"/>
  <c r="C312" i="64"/>
  <c r="S312" i="64"/>
  <c r="C313" i="64"/>
  <c r="S313" i="64"/>
  <c r="C314" i="64"/>
  <c r="S314" i="64"/>
  <c r="C315" i="64"/>
  <c r="S315" i="64"/>
  <c r="C316" i="64"/>
  <c r="S316" i="64"/>
  <c r="C317" i="64"/>
  <c r="S317" i="64"/>
  <c r="C318" i="64"/>
  <c r="S318" i="64"/>
  <c r="C319" i="64"/>
  <c r="S319" i="64"/>
  <c r="C320" i="64"/>
  <c r="S320" i="64"/>
  <c r="C321" i="64"/>
  <c r="S321" i="64"/>
  <c r="C322" i="64"/>
  <c r="S322" i="64"/>
  <c r="C323" i="64"/>
  <c r="S323" i="64"/>
  <c r="C324" i="64"/>
  <c r="S324" i="64"/>
  <c r="C325" i="64"/>
  <c r="S325" i="64"/>
  <c r="C326" i="64"/>
  <c r="S326" i="64"/>
  <c r="C327" i="64"/>
  <c r="S327" i="64"/>
  <c r="C328" i="64"/>
  <c r="S328" i="64"/>
  <c r="C329" i="64"/>
  <c r="S329" i="64"/>
  <c r="C330" i="64"/>
  <c r="S330" i="64"/>
  <c r="C331" i="64"/>
  <c r="S331" i="64"/>
  <c r="C332" i="64"/>
  <c r="S332" i="64"/>
  <c r="C333" i="64"/>
  <c r="S333" i="64"/>
  <c r="C334" i="64"/>
  <c r="S334" i="64"/>
  <c r="C335" i="64"/>
  <c r="S335" i="64"/>
  <c r="C336" i="64"/>
  <c r="S336" i="64"/>
  <c r="C337" i="64"/>
  <c r="S337" i="64"/>
  <c r="C338" i="64"/>
  <c r="S338" i="64"/>
  <c r="C339" i="64"/>
  <c r="S339" i="64"/>
  <c r="C340" i="64"/>
  <c r="S340" i="64"/>
  <c r="C341" i="64"/>
  <c r="S341" i="64"/>
  <c r="C342" i="64"/>
  <c r="S342" i="64"/>
  <c r="C343" i="64"/>
  <c r="S343" i="64"/>
  <c r="C344" i="64"/>
  <c r="S344" i="64"/>
  <c r="C345" i="64"/>
  <c r="S345" i="64"/>
  <c r="C346" i="64"/>
  <c r="S346" i="64"/>
  <c r="C347" i="64"/>
  <c r="S347" i="64"/>
  <c r="C348" i="64"/>
  <c r="S348" i="64"/>
  <c r="C349" i="64"/>
  <c r="S349" i="64"/>
  <c r="C350" i="64"/>
  <c r="S350" i="64"/>
  <c r="C351" i="64"/>
  <c r="S351" i="64"/>
  <c r="C352" i="64"/>
  <c r="S352" i="64"/>
  <c r="C353" i="64"/>
  <c r="S353" i="64"/>
  <c r="C354" i="64"/>
  <c r="S354" i="64"/>
  <c r="C355" i="64"/>
  <c r="S355" i="64"/>
  <c r="C356" i="64"/>
  <c r="S356" i="64"/>
  <c r="C357" i="64"/>
  <c r="S357" i="64"/>
  <c r="C358" i="64"/>
  <c r="S358" i="64"/>
  <c r="C359" i="64"/>
  <c r="S359" i="64"/>
  <c r="C360" i="64"/>
  <c r="S360" i="64"/>
  <c r="C361" i="64"/>
  <c r="S361" i="64"/>
  <c r="C362" i="64"/>
  <c r="S362" i="64"/>
  <c r="C363" i="64"/>
  <c r="S363" i="64"/>
  <c r="C364" i="64"/>
  <c r="S364" i="64"/>
  <c r="C365" i="64"/>
  <c r="S365" i="64"/>
  <c r="C366" i="64"/>
  <c r="S366" i="64"/>
  <c r="C367" i="64"/>
  <c r="S367" i="64"/>
  <c r="C368" i="64"/>
  <c r="S368" i="64"/>
  <c r="C369" i="64"/>
  <c r="S369" i="64"/>
  <c r="C370" i="64"/>
  <c r="S370" i="64"/>
  <c r="C371" i="64"/>
  <c r="S371" i="64"/>
  <c r="C372" i="64"/>
  <c r="S372" i="64"/>
  <c r="C373" i="64"/>
  <c r="S373" i="64"/>
  <c r="C374" i="64"/>
  <c r="S374" i="64"/>
  <c r="C375" i="64"/>
  <c r="S375" i="64"/>
  <c r="C376" i="64"/>
  <c r="S376" i="64"/>
  <c r="C377" i="64"/>
  <c r="S377" i="64"/>
  <c r="C378" i="64"/>
  <c r="S378" i="64"/>
  <c r="C379" i="64"/>
  <c r="S379" i="64"/>
  <c r="C380" i="64"/>
  <c r="S380" i="64"/>
  <c r="C381" i="64"/>
  <c r="S381" i="64"/>
  <c r="C382" i="64"/>
  <c r="S382" i="64"/>
  <c r="C383" i="64"/>
  <c r="S383" i="64"/>
  <c r="C384" i="64"/>
  <c r="S384" i="64"/>
  <c r="C385" i="64"/>
  <c r="S385" i="64"/>
  <c r="C386" i="64"/>
  <c r="S386" i="64"/>
  <c r="C387" i="64"/>
  <c r="S387" i="64"/>
  <c r="C388" i="64"/>
  <c r="S388" i="64"/>
  <c r="C389" i="64"/>
  <c r="S389" i="64"/>
  <c r="C390" i="64"/>
  <c r="S390" i="64"/>
  <c r="C391" i="64"/>
  <c r="S391" i="64"/>
  <c r="C392" i="64"/>
  <c r="S392" i="64"/>
  <c r="C393" i="64"/>
  <c r="S393" i="64"/>
  <c r="C394" i="64"/>
  <c r="S394" i="64"/>
  <c r="C395" i="64"/>
  <c r="S395" i="64"/>
  <c r="C396" i="64"/>
  <c r="S396" i="64"/>
  <c r="C397" i="64"/>
  <c r="S397" i="64"/>
  <c r="C398" i="64"/>
  <c r="S398" i="64"/>
  <c r="C399" i="64"/>
  <c r="S399" i="64"/>
  <c r="C400" i="64"/>
  <c r="S400" i="64"/>
  <c r="C401" i="64"/>
  <c r="S401" i="64"/>
  <c r="C402" i="64"/>
  <c r="S402" i="64"/>
  <c r="C403" i="64"/>
  <c r="S403" i="64"/>
  <c r="C404" i="64"/>
  <c r="S404" i="64"/>
  <c r="C405" i="64"/>
  <c r="S405" i="64"/>
  <c r="C406" i="64"/>
  <c r="S406" i="64"/>
  <c r="C407" i="64"/>
  <c r="S407" i="64"/>
  <c r="C408" i="64"/>
  <c r="S408" i="64"/>
  <c r="C409" i="64"/>
  <c r="S409" i="64"/>
  <c r="C410" i="64"/>
  <c r="S410" i="64"/>
  <c r="C411" i="64"/>
  <c r="S411" i="64"/>
  <c r="C412" i="64"/>
  <c r="S412" i="64"/>
  <c r="C413" i="64"/>
  <c r="S413" i="64"/>
  <c r="C414" i="64"/>
  <c r="S414" i="64"/>
  <c r="C415" i="64"/>
  <c r="S415" i="64"/>
  <c r="C416" i="64"/>
  <c r="S416" i="64"/>
  <c r="C417" i="64"/>
  <c r="S417" i="64"/>
  <c r="C418" i="64"/>
  <c r="S418" i="64"/>
  <c r="C419" i="64"/>
  <c r="S419" i="64"/>
  <c r="C420" i="64"/>
  <c r="S420" i="64"/>
  <c r="C421" i="64"/>
  <c r="S421" i="64"/>
  <c r="C422" i="64"/>
  <c r="S422" i="64"/>
  <c r="C423" i="64"/>
  <c r="S423" i="64"/>
  <c r="C424" i="64"/>
  <c r="S424" i="64"/>
  <c r="C425" i="64"/>
  <c r="S425" i="64"/>
  <c r="C426" i="64"/>
  <c r="S426" i="64"/>
  <c r="C427" i="64"/>
  <c r="S427" i="64"/>
  <c r="C428" i="64"/>
  <c r="S428" i="64"/>
  <c r="C429" i="64"/>
  <c r="S429" i="64"/>
  <c r="C430" i="64"/>
  <c r="S430" i="64"/>
  <c r="C431" i="64"/>
  <c r="S431" i="64"/>
  <c r="C432" i="64"/>
  <c r="S432" i="64"/>
  <c r="C433" i="64"/>
  <c r="S433" i="64"/>
  <c r="C434" i="64"/>
  <c r="S434" i="64"/>
  <c r="C435" i="64"/>
  <c r="S435" i="64"/>
  <c r="C436" i="64"/>
  <c r="S436" i="64"/>
  <c r="C437" i="64"/>
  <c r="S437" i="64"/>
  <c r="C438" i="64"/>
  <c r="S438" i="64"/>
  <c r="C439" i="64"/>
  <c r="S439" i="64"/>
  <c r="C440" i="64"/>
  <c r="S440" i="64"/>
  <c r="C441" i="64"/>
  <c r="S441" i="64"/>
  <c r="C442" i="64"/>
  <c r="S442" i="64"/>
  <c r="C443" i="64"/>
  <c r="S443" i="64"/>
  <c r="C444" i="64"/>
  <c r="S444" i="64"/>
  <c r="C445" i="64"/>
  <c r="S445" i="64"/>
  <c r="C446" i="64"/>
  <c r="S446" i="64"/>
  <c r="C447" i="64"/>
  <c r="S447" i="64"/>
  <c r="C448" i="64"/>
  <c r="S448" i="64"/>
  <c r="C449" i="64"/>
  <c r="S449" i="64"/>
  <c r="C450" i="64"/>
  <c r="S450" i="64"/>
  <c r="C451" i="64"/>
  <c r="S451" i="64"/>
  <c r="C452" i="64"/>
  <c r="S452" i="64"/>
  <c r="C453" i="64"/>
  <c r="S453" i="64"/>
  <c r="C454" i="64"/>
  <c r="S454" i="64"/>
  <c r="C455" i="64"/>
  <c r="S455" i="64"/>
  <c r="C456" i="64"/>
  <c r="S456" i="64"/>
  <c r="C457" i="64"/>
  <c r="S457" i="64"/>
  <c r="C458" i="64"/>
  <c r="S458" i="64"/>
  <c r="C459" i="64"/>
  <c r="S459" i="64"/>
  <c r="C460" i="64"/>
  <c r="S460" i="64"/>
  <c r="C461" i="64"/>
  <c r="S461" i="64"/>
  <c r="C462" i="64"/>
  <c r="S462" i="64"/>
  <c r="C463" i="64"/>
  <c r="S463" i="64"/>
  <c r="C464" i="64"/>
  <c r="S464" i="64"/>
  <c r="C465" i="64"/>
  <c r="S465" i="64"/>
  <c r="C466" i="64"/>
  <c r="S466" i="64"/>
  <c r="C467" i="64"/>
  <c r="S467" i="64"/>
  <c r="C468" i="64"/>
  <c r="S468" i="64"/>
  <c r="C469" i="64"/>
  <c r="S469" i="64"/>
  <c r="C470" i="64"/>
  <c r="S470" i="64"/>
  <c r="C471" i="64"/>
  <c r="S471" i="64"/>
  <c r="C472" i="64"/>
  <c r="S472" i="64"/>
  <c r="C473" i="64"/>
  <c r="S473" i="64"/>
  <c r="C474" i="64"/>
  <c r="S474" i="64"/>
  <c r="C475" i="64"/>
  <c r="S475" i="64"/>
  <c r="C476" i="64"/>
  <c r="S476" i="64"/>
  <c r="C477" i="64"/>
  <c r="S477" i="64"/>
  <c r="C478" i="64"/>
  <c r="S478" i="64"/>
  <c r="C479" i="64"/>
  <c r="S479" i="64"/>
  <c r="C480" i="64"/>
  <c r="S480" i="64"/>
  <c r="C481" i="64"/>
  <c r="S481" i="64"/>
  <c r="C482" i="64"/>
  <c r="S482" i="64"/>
  <c r="C483" i="64"/>
  <c r="S483" i="64"/>
  <c r="C484" i="64"/>
  <c r="S484" i="64"/>
  <c r="C485" i="64"/>
  <c r="S485" i="64"/>
  <c r="C486" i="64"/>
  <c r="S486" i="64"/>
  <c r="C487" i="64"/>
  <c r="S487" i="64"/>
  <c r="C488" i="64"/>
  <c r="S488" i="64"/>
  <c r="C489" i="64"/>
  <c r="S489" i="64"/>
  <c r="C490" i="64"/>
  <c r="S490" i="64"/>
  <c r="C491" i="64"/>
  <c r="S491" i="64"/>
  <c r="C492" i="64"/>
  <c r="S492" i="64"/>
  <c r="C493" i="64"/>
  <c r="S493" i="64"/>
  <c r="C494" i="64"/>
  <c r="S494" i="64"/>
  <c r="C495" i="64"/>
  <c r="S495" i="64"/>
  <c r="C496" i="64"/>
  <c r="S496" i="64"/>
  <c r="C497" i="64"/>
  <c r="S497" i="64"/>
  <c r="C498" i="64"/>
  <c r="S498" i="64"/>
  <c r="C499" i="64"/>
  <c r="S499" i="64"/>
  <c r="C500" i="64"/>
  <c r="S500" i="64"/>
  <c r="C501" i="64"/>
  <c r="S501" i="64"/>
  <c r="C502" i="64"/>
  <c r="S502" i="64"/>
  <c r="C503" i="64"/>
  <c r="S503" i="64"/>
  <c r="C504" i="64"/>
  <c r="S504" i="64"/>
  <c r="C505" i="64"/>
  <c r="S505" i="64"/>
  <c r="S6" i="64"/>
  <c r="G10" i="59"/>
  <c r="G9" i="59"/>
  <c r="D10" i="59"/>
  <c r="D9" i="59"/>
  <c r="G7" i="59"/>
  <c r="D7" i="59"/>
  <c r="G8" i="59"/>
  <c r="F6" i="55"/>
  <c r="F10" i="55"/>
  <c r="F7" i="55"/>
  <c r="G7" i="55"/>
  <c r="J7" i="58"/>
  <c r="G8" i="55"/>
  <c r="G9" i="55"/>
  <c r="G10" i="55"/>
  <c r="G11" i="55"/>
  <c r="O11" i="64"/>
  <c r="H11" i="64"/>
  <c r="L11" i="64"/>
  <c r="P11" i="64"/>
  <c r="G12" i="55"/>
  <c r="O12" i="64"/>
  <c r="H12" i="64"/>
  <c r="L12" i="64"/>
  <c r="P12" i="64"/>
  <c r="G13" i="55"/>
  <c r="O13" i="64"/>
  <c r="H13" i="64"/>
  <c r="L13" i="64"/>
  <c r="P13" i="64"/>
  <c r="G14" i="55"/>
  <c r="O14" i="64"/>
  <c r="H14" i="64"/>
  <c r="L14" i="64"/>
  <c r="P14" i="64"/>
  <c r="G15" i="55"/>
  <c r="O15" i="64"/>
  <c r="H15" i="64"/>
  <c r="L15" i="64"/>
  <c r="P15" i="64"/>
  <c r="G16" i="55"/>
  <c r="O16" i="64"/>
  <c r="H16" i="64"/>
  <c r="L16" i="64"/>
  <c r="P16" i="64"/>
  <c r="G17" i="55"/>
  <c r="O17" i="64"/>
  <c r="H17" i="64"/>
  <c r="L17" i="64"/>
  <c r="P17" i="64"/>
  <c r="G18" i="55"/>
  <c r="O18" i="64"/>
  <c r="H18" i="64"/>
  <c r="L18" i="64"/>
  <c r="P18" i="64"/>
  <c r="G19" i="55"/>
  <c r="O19" i="64"/>
  <c r="H19" i="64"/>
  <c r="L19" i="64"/>
  <c r="P19" i="64"/>
  <c r="G20" i="55"/>
  <c r="O20" i="64"/>
  <c r="H20" i="64"/>
  <c r="L20" i="64"/>
  <c r="P20" i="64"/>
  <c r="G21" i="55"/>
  <c r="O21" i="64"/>
  <c r="H21" i="64"/>
  <c r="L21" i="64"/>
  <c r="P21" i="64"/>
  <c r="G22" i="55"/>
  <c r="O22" i="64"/>
  <c r="H22" i="64"/>
  <c r="L22" i="64"/>
  <c r="P22" i="64"/>
  <c r="G23" i="55"/>
  <c r="O23" i="64"/>
  <c r="H23" i="64"/>
  <c r="L23" i="64"/>
  <c r="P23" i="64"/>
  <c r="G24" i="55"/>
  <c r="O24" i="64"/>
  <c r="H24" i="64"/>
  <c r="L24" i="64"/>
  <c r="P24" i="64"/>
  <c r="G25" i="55"/>
  <c r="O25" i="64"/>
  <c r="H25" i="64"/>
  <c r="L25" i="64"/>
  <c r="P25" i="64"/>
  <c r="G26" i="55"/>
  <c r="O26" i="64"/>
  <c r="H26" i="64"/>
  <c r="L26" i="64"/>
  <c r="P26" i="64"/>
  <c r="G27" i="55"/>
  <c r="O27" i="64"/>
  <c r="H27" i="64"/>
  <c r="L27" i="64"/>
  <c r="P27" i="64"/>
  <c r="G28" i="55"/>
  <c r="O28" i="64"/>
  <c r="H28" i="64"/>
  <c r="L28" i="64"/>
  <c r="P28" i="64"/>
  <c r="G29" i="55"/>
  <c r="O29" i="64"/>
  <c r="H29" i="64"/>
  <c r="L29" i="64"/>
  <c r="P29" i="64"/>
  <c r="G30" i="55"/>
  <c r="O30" i="64"/>
  <c r="H30" i="64"/>
  <c r="L30" i="64"/>
  <c r="P30" i="64"/>
  <c r="G31" i="55"/>
  <c r="O31" i="64"/>
  <c r="H31" i="64"/>
  <c r="L31" i="64"/>
  <c r="P31" i="64"/>
  <c r="G32" i="55"/>
  <c r="O32" i="64"/>
  <c r="H32" i="64"/>
  <c r="L32" i="64"/>
  <c r="P32" i="64"/>
  <c r="G33" i="55"/>
  <c r="O33" i="64"/>
  <c r="H33" i="64"/>
  <c r="L33" i="64"/>
  <c r="P33" i="64"/>
  <c r="G34" i="55"/>
  <c r="O34" i="64"/>
  <c r="H34" i="64"/>
  <c r="L34" i="64"/>
  <c r="P34" i="64"/>
  <c r="G35" i="55"/>
  <c r="O35" i="64"/>
  <c r="H35" i="64"/>
  <c r="L35" i="64"/>
  <c r="P35" i="64"/>
  <c r="G36" i="55"/>
  <c r="O36" i="64"/>
  <c r="H36" i="64"/>
  <c r="L36" i="64"/>
  <c r="P36" i="64"/>
  <c r="G37" i="55"/>
  <c r="O37" i="64"/>
  <c r="H37" i="64"/>
  <c r="L37" i="64"/>
  <c r="P37" i="64"/>
  <c r="G38" i="55"/>
  <c r="O38" i="64"/>
  <c r="H38" i="64"/>
  <c r="L38" i="64"/>
  <c r="P38" i="64"/>
  <c r="G39" i="55"/>
  <c r="O39" i="64"/>
  <c r="H39" i="64"/>
  <c r="L39" i="64"/>
  <c r="P39" i="64"/>
  <c r="G40" i="55"/>
  <c r="O40" i="64"/>
  <c r="H40" i="64"/>
  <c r="L40" i="64"/>
  <c r="P40" i="64"/>
  <c r="G41" i="55"/>
  <c r="O41" i="64"/>
  <c r="H41" i="64"/>
  <c r="L41" i="64"/>
  <c r="P41" i="64"/>
  <c r="G42" i="55"/>
  <c r="O42" i="64"/>
  <c r="H42" i="64"/>
  <c r="L42" i="64"/>
  <c r="P42" i="64"/>
  <c r="G43" i="55"/>
  <c r="O43" i="64"/>
  <c r="H43" i="64"/>
  <c r="L43" i="64"/>
  <c r="P43" i="64"/>
  <c r="G44" i="55"/>
  <c r="O44" i="64"/>
  <c r="H44" i="64"/>
  <c r="L44" i="64"/>
  <c r="P44" i="64"/>
  <c r="G45" i="55"/>
  <c r="O45" i="64"/>
  <c r="H45" i="64"/>
  <c r="L45" i="64"/>
  <c r="P45" i="64"/>
  <c r="G46" i="55"/>
  <c r="O46" i="64"/>
  <c r="H46" i="64"/>
  <c r="L46" i="64"/>
  <c r="P46" i="64"/>
  <c r="G47" i="55"/>
  <c r="O47" i="64"/>
  <c r="H47" i="64"/>
  <c r="L47" i="64"/>
  <c r="P47" i="64"/>
  <c r="G48" i="55"/>
  <c r="O48" i="64"/>
  <c r="H48" i="64"/>
  <c r="L48" i="64"/>
  <c r="P48" i="64"/>
  <c r="G49" i="55"/>
  <c r="O49" i="64"/>
  <c r="H49" i="64"/>
  <c r="L49" i="64"/>
  <c r="P49" i="64"/>
  <c r="G50" i="55"/>
  <c r="O50" i="64"/>
  <c r="H50" i="64"/>
  <c r="L50" i="64"/>
  <c r="P50" i="64"/>
  <c r="G51" i="55"/>
  <c r="O51" i="64"/>
  <c r="H51" i="64"/>
  <c r="L51" i="64"/>
  <c r="P51" i="64"/>
  <c r="G52" i="55"/>
  <c r="O52" i="64"/>
  <c r="H52" i="64"/>
  <c r="L52" i="64"/>
  <c r="P52" i="64"/>
  <c r="G53" i="55"/>
  <c r="O53" i="64"/>
  <c r="H53" i="64"/>
  <c r="L53" i="64"/>
  <c r="P53" i="64"/>
  <c r="G54" i="55"/>
  <c r="O54" i="64"/>
  <c r="H54" i="64"/>
  <c r="L54" i="64"/>
  <c r="P54" i="64"/>
  <c r="G55" i="55"/>
  <c r="O55" i="64"/>
  <c r="H55" i="64"/>
  <c r="L55" i="64"/>
  <c r="P55" i="64"/>
  <c r="G56" i="55"/>
  <c r="O56" i="64"/>
  <c r="H56" i="64"/>
  <c r="L56" i="64"/>
  <c r="P56" i="64"/>
  <c r="G57" i="55"/>
  <c r="O57" i="64"/>
  <c r="H57" i="64"/>
  <c r="L57" i="64"/>
  <c r="P57" i="64"/>
  <c r="G58" i="55"/>
  <c r="O58" i="64"/>
  <c r="H58" i="64"/>
  <c r="L58" i="64"/>
  <c r="P58" i="64"/>
  <c r="G59" i="55"/>
  <c r="O59" i="64"/>
  <c r="H59" i="64"/>
  <c r="L59" i="64"/>
  <c r="P59" i="64"/>
  <c r="G60" i="55"/>
  <c r="O60" i="64"/>
  <c r="H60" i="64"/>
  <c r="L60" i="64"/>
  <c r="P60" i="64"/>
  <c r="G61" i="55"/>
  <c r="O61" i="64"/>
  <c r="H61" i="64"/>
  <c r="L61" i="64"/>
  <c r="P61" i="64"/>
  <c r="G62" i="55"/>
  <c r="O62" i="64"/>
  <c r="H62" i="64"/>
  <c r="L62" i="64"/>
  <c r="P62" i="64"/>
  <c r="G63" i="55"/>
  <c r="O63" i="64"/>
  <c r="H63" i="64"/>
  <c r="L63" i="64"/>
  <c r="P63" i="64"/>
  <c r="G64" i="55"/>
  <c r="O64" i="64"/>
  <c r="H64" i="64"/>
  <c r="L64" i="64"/>
  <c r="P64" i="64"/>
  <c r="G65" i="55"/>
  <c r="O65" i="64"/>
  <c r="H65" i="64"/>
  <c r="L65" i="64"/>
  <c r="P65" i="64"/>
  <c r="G66" i="55"/>
  <c r="O66" i="64"/>
  <c r="H66" i="64"/>
  <c r="L66" i="64"/>
  <c r="P66" i="64"/>
  <c r="G67" i="55"/>
  <c r="O67" i="64"/>
  <c r="H67" i="64"/>
  <c r="L67" i="64"/>
  <c r="P67" i="64"/>
  <c r="G68" i="55"/>
  <c r="O68" i="64"/>
  <c r="H68" i="64"/>
  <c r="L68" i="64"/>
  <c r="P68" i="64"/>
  <c r="G69" i="55"/>
  <c r="O69" i="64"/>
  <c r="H69" i="64"/>
  <c r="L69" i="64"/>
  <c r="P69" i="64"/>
  <c r="G70" i="55"/>
  <c r="O70" i="64"/>
  <c r="H70" i="64"/>
  <c r="L70" i="64"/>
  <c r="P70" i="64"/>
  <c r="G71" i="55"/>
  <c r="O71" i="64"/>
  <c r="H71" i="64"/>
  <c r="L71" i="64"/>
  <c r="P71" i="64"/>
  <c r="G72" i="55"/>
  <c r="O72" i="64"/>
  <c r="H72" i="64"/>
  <c r="L72" i="64"/>
  <c r="P72" i="64"/>
  <c r="G73" i="55"/>
  <c r="O73" i="64"/>
  <c r="H73" i="64"/>
  <c r="L73" i="64"/>
  <c r="P73" i="64"/>
  <c r="G74" i="55"/>
  <c r="O74" i="64"/>
  <c r="H74" i="64"/>
  <c r="L74" i="64"/>
  <c r="P74" i="64"/>
  <c r="G75" i="55"/>
  <c r="O75" i="64"/>
  <c r="H75" i="64"/>
  <c r="L75" i="64"/>
  <c r="P75" i="64"/>
  <c r="G76" i="55"/>
  <c r="O76" i="64"/>
  <c r="H76" i="64"/>
  <c r="L76" i="64"/>
  <c r="P76" i="64"/>
  <c r="G77" i="55"/>
  <c r="O77" i="64"/>
  <c r="H77" i="64"/>
  <c r="L77" i="64"/>
  <c r="P77" i="64"/>
  <c r="G78" i="55"/>
  <c r="O78" i="64"/>
  <c r="H78" i="64"/>
  <c r="L78" i="64"/>
  <c r="P78" i="64"/>
  <c r="G79" i="55"/>
  <c r="O79" i="64"/>
  <c r="H79" i="64"/>
  <c r="L79" i="64"/>
  <c r="P79" i="64"/>
  <c r="G80" i="55"/>
  <c r="O80" i="64"/>
  <c r="H80" i="64"/>
  <c r="L80" i="64"/>
  <c r="P80" i="64"/>
  <c r="G81" i="55"/>
  <c r="O81" i="64"/>
  <c r="H81" i="64"/>
  <c r="L81" i="64"/>
  <c r="P81" i="64"/>
  <c r="G82" i="55"/>
  <c r="O82" i="64"/>
  <c r="H82" i="64"/>
  <c r="L82" i="64"/>
  <c r="P82" i="64"/>
  <c r="G83" i="55"/>
  <c r="O83" i="64"/>
  <c r="H83" i="64"/>
  <c r="L83" i="64"/>
  <c r="P83" i="64"/>
  <c r="G84" i="55"/>
  <c r="O84" i="64"/>
  <c r="H84" i="64"/>
  <c r="L84" i="64"/>
  <c r="P84" i="64"/>
  <c r="G85" i="55"/>
  <c r="O85" i="64"/>
  <c r="H85" i="64"/>
  <c r="L85" i="64"/>
  <c r="P85" i="64"/>
  <c r="G86" i="55"/>
  <c r="O86" i="64"/>
  <c r="H86" i="64"/>
  <c r="L86" i="64"/>
  <c r="P86" i="64"/>
  <c r="G87" i="55"/>
  <c r="O87" i="64"/>
  <c r="H87" i="64"/>
  <c r="L87" i="64"/>
  <c r="P87" i="64"/>
  <c r="G88" i="55"/>
  <c r="O88" i="64"/>
  <c r="H88" i="64"/>
  <c r="L88" i="64"/>
  <c r="P88" i="64"/>
  <c r="G89" i="55"/>
  <c r="O89" i="64"/>
  <c r="H89" i="64"/>
  <c r="L89" i="64"/>
  <c r="P89" i="64"/>
  <c r="G90" i="55"/>
  <c r="O90" i="64"/>
  <c r="H90" i="64"/>
  <c r="L90" i="64"/>
  <c r="P90" i="64"/>
  <c r="G91" i="55"/>
  <c r="O91" i="64"/>
  <c r="H91" i="64"/>
  <c r="L91" i="64"/>
  <c r="P91" i="64"/>
  <c r="G92" i="55"/>
  <c r="O92" i="64"/>
  <c r="H92" i="64"/>
  <c r="L92" i="64"/>
  <c r="P92" i="64"/>
  <c r="G93" i="55"/>
  <c r="O93" i="64"/>
  <c r="H93" i="64"/>
  <c r="L93" i="64"/>
  <c r="P93" i="64"/>
  <c r="G94" i="55"/>
  <c r="O94" i="64"/>
  <c r="H94" i="64"/>
  <c r="L94" i="64"/>
  <c r="P94" i="64"/>
  <c r="G95" i="55"/>
  <c r="O95" i="64"/>
  <c r="H95" i="64"/>
  <c r="L95" i="64"/>
  <c r="P95" i="64"/>
  <c r="G96" i="55"/>
  <c r="O96" i="64"/>
  <c r="H96" i="64"/>
  <c r="L96" i="64"/>
  <c r="P96" i="64"/>
  <c r="G97" i="55"/>
  <c r="O97" i="64"/>
  <c r="H97" i="64"/>
  <c r="L97" i="64"/>
  <c r="P97" i="64"/>
  <c r="G98" i="55"/>
  <c r="O98" i="64"/>
  <c r="H98" i="64"/>
  <c r="L98" i="64"/>
  <c r="P98" i="64"/>
  <c r="G99" i="55"/>
  <c r="O99" i="64"/>
  <c r="H99" i="64"/>
  <c r="L99" i="64"/>
  <c r="P99" i="64"/>
  <c r="G100" i="55"/>
  <c r="O100" i="64"/>
  <c r="H100" i="64"/>
  <c r="L100" i="64"/>
  <c r="P100" i="64"/>
  <c r="G101" i="55"/>
  <c r="O101" i="64"/>
  <c r="H101" i="64"/>
  <c r="L101" i="64"/>
  <c r="P101" i="64"/>
  <c r="G102" i="55"/>
  <c r="O102" i="64"/>
  <c r="H102" i="64"/>
  <c r="L102" i="64"/>
  <c r="P102" i="64"/>
  <c r="G103" i="55"/>
  <c r="O103" i="64"/>
  <c r="H103" i="64"/>
  <c r="L103" i="64"/>
  <c r="P103" i="64"/>
  <c r="G104" i="55"/>
  <c r="O104" i="64"/>
  <c r="H104" i="64"/>
  <c r="L104" i="64"/>
  <c r="P104" i="64"/>
  <c r="G105" i="55"/>
  <c r="O105" i="64"/>
  <c r="H105" i="64"/>
  <c r="L105" i="64"/>
  <c r="P105" i="64"/>
  <c r="G106" i="55"/>
  <c r="O106" i="64"/>
  <c r="H106" i="64"/>
  <c r="L106" i="64"/>
  <c r="P106" i="64"/>
  <c r="G107" i="55"/>
  <c r="O107" i="64"/>
  <c r="H107" i="64"/>
  <c r="L107" i="64"/>
  <c r="P107" i="64"/>
  <c r="G108" i="55"/>
  <c r="O108" i="64"/>
  <c r="H108" i="64"/>
  <c r="L108" i="64"/>
  <c r="P108" i="64"/>
  <c r="G109" i="55"/>
  <c r="O109" i="64"/>
  <c r="H109" i="64"/>
  <c r="L109" i="64"/>
  <c r="P109" i="64"/>
  <c r="G110" i="55"/>
  <c r="O110" i="64"/>
  <c r="H110" i="64"/>
  <c r="L110" i="64"/>
  <c r="P110" i="64"/>
  <c r="G111" i="55"/>
  <c r="O111" i="64"/>
  <c r="H111" i="64"/>
  <c r="L111" i="64"/>
  <c r="P111" i="64"/>
  <c r="G112" i="55"/>
  <c r="O112" i="64"/>
  <c r="H112" i="64"/>
  <c r="L112" i="64"/>
  <c r="P112" i="64"/>
  <c r="G113" i="55"/>
  <c r="O113" i="64"/>
  <c r="H113" i="64"/>
  <c r="L113" i="64"/>
  <c r="P113" i="64"/>
  <c r="G114" i="55"/>
  <c r="O114" i="64"/>
  <c r="H114" i="64"/>
  <c r="L114" i="64"/>
  <c r="P114" i="64"/>
  <c r="G115" i="55"/>
  <c r="O115" i="64"/>
  <c r="H115" i="64"/>
  <c r="L115" i="64"/>
  <c r="P115" i="64"/>
  <c r="G116" i="55"/>
  <c r="O116" i="64"/>
  <c r="H116" i="64"/>
  <c r="L116" i="64"/>
  <c r="P116" i="64"/>
  <c r="G117" i="55"/>
  <c r="O117" i="64"/>
  <c r="H117" i="64"/>
  <c r="L117" i="64"/>
  <c r="P117" i="64"/>
  <c r="G118" i="55"/>
  <c r="O118" i="64"/>
  <c r="H118" i="64"/>
  <c r="L118" i="64"/>
  <c r="P118" i="64"/>
  <c r="G119" i="55"/>
  <c r="O119" i="64"/>
  <c r="H119" i="64"/>
  <c r="L119" i="64"/>
  <c r="P119" i="64"/>
  <c r="G120" i="55"/>
  <c r="O120" i="64"/>
  <c r="H120" i="64"/>
  <c r="L120" i="64"/>
  <c r="P120" i="64"/>
  <c r="G121" i="55"/>
  <c r="O121" i="64"/>
  <c r="H121" i="64"/>
  <c r="L121" i="64"/>
  <c r="P121" i="64"/>
  <c r="G122" i="55"/>
  <c r="O122" i="64"/>
  <c r="H122" i="64"/>
  <c r="L122" i="64"/>
  <c r="P122" i="64"/>
  <c r="G123" i="55"/>
  <c r="O123" i="64"/>
  <c r="H123" i="64"/>
  <c r="L123" i="64"/>
  <c r="P123" i="64"/>
  <c r="G124" i="55"/>
  <c r="O124" i="64"/>
  <c r="H124" i="64"/>
  <c r="L124" i="64"/>
  <c r="P124" i="64"/>
  <c r="G125" i="55"/>
  <c r="O125" i="64"/>
  <c r="H125" i="64"/>
  <c r="L125" i="64"/>
  <c r="P125" i="64"/>
  <c r="G126" i="55"/>
  <c r="O126" i="64"/>
  <c r="H126" i="64"/>
  <c r="L126" i="64"/>
  <c r="P126" i="64"/>
  <c r="G127" i="55"/>
  <c r="O127" i="64"/>
  <c r="H127" i="64"/>
  <c r="L127" i="64"/>
  <c r="P127" i="64"/>
  <c r="G128" i="55"/>
  <c r="O128" i="64"/>
  <c r="H128" i="64"/>
  <c r="L128" i="64"/>
  <c r="P128" i="64"/>
  <c r="G129" i="55"/>
  <c r="O129" i="64"/>
  <c r="H129" i="64"/>
  <c r="L129" i="64"/>
  <c r="P129" i="64"/>
  <c r="G130" i="55"/>
  <c r="O130" i="64"/>
  <c r="H130" i="64"/>
  <c r="L130" i="64"/>
  <c r="P130" i="64"/>
  <c r="G131" i="55"/>
  <c r="O131" i="64"/>
  <c r="H131" i="64"/>
  <c r="L131" i="64"/>
  <c r="P131" i="64"/>
  <c r="G132" i="55"/>
  <c r="O132" i="64"/>
  <c r="H132" i="64"/>
  <c r="L132" i="64"/>
  <c r="P132" i="64"/>
  <c r="G133" i="55"/>
  <c r="O133" i="64"/>
  <c r="H133" i="64"/>
  <c r="L133" i="64"/>
  <c r="P133" i="64"/>
  <c r="G134" i="55"/>
  <c r="O134" i="64"/>
  <c r="H134" i="64"/>
  <c r="L134" i="64"/>
  <c r="P134" i="64"/>
  <c r="G135" i="55"/>
  <c r="O135" i="64"/>
  <c r="H135" i="64"/>
  <c r="L135" i="64"/>
  <c r="P135" i="64"/>
  <c r="G136" i="55"/>
  <c r="O136" i="64"/>
  <c r="H136" i="64"/>
  <c r="L136" i="64"/>
  <c r="P136" i="64"/>
  <c r="G137" i="55"/>
  <c r="O137" i="64"/>
  <c r="H137" i="64"/>
  <c r="L137" i="64"/>
  <c r="P137" i="64"/>
  <c r="G138" i="55"/>
  <c r="O138" i="64"/>
  <c r="H138" i="64"/>
  <c r="L138" i="64"/>
  <c r="P138" i="64"/>
  <c r="G139" i="55"/>
  <c r="O139" i="64"/>
  <c r="H139" i="64"/>
  <c r="L139" i="64"/>
  <c r="P139" i="64"/>
  <c r="G140" i="55"/>
  <c r="O140" i="64"/>
  <c r="H140" i="64"/>
  <c r="L140" i="64"/>
  <c r="P140" i="64"/>
  <c r="G141" i="55"/>
  <c r="O141" i="64"/>
  <c r="H141" i="64"/>
  <c r="L141" i="64"/>
  <c r="P141" i="64"/>
  <c r="G142" i="55"/>
  <c r="O142" i="64"/>
  <c r="H142" i="64"/>
  <c r="L142" i="64"/>
  <c r="P142" i="64"/>
  <c r="G143" i="55"/>
  <c r="O143" i="64"/>
  <c r="H143" i="64"/>
  <c r="L143" i="64"/>
  <c r="P143" i="64"/>
  <c r="G144" i="55"/>
  <c r="O144" i="64"/>
  <c r="H144" i="64"/>
  <c r="L144" i="64"/>
  <c r="P144" i="64"/>
  <c r="G145" i="55"/>
  <c r="O145" i="64"/>
  <c r="H145" i="64"/>
  <c r="L145" i="64"/>
  <c r="P145" i="64"/>
  <c r="G146" i="55"/>
  <c r="O146" i="64"/>
  <c r="H146" i="64"/>
  <c r="L146" i="64"/>
  <c r="P146" i="64"/>
  <c r="G147" i="55"/>
  <c r="O147" i="64"/>
  <c r="H147" i="64"/>
  <c r="L147" i="64"/>
  <c r="P147" i="64"/>
  <c r="G148" i="55"/>
  <c r="O148" i="64"/>
  <c r="H148" i="64"/>
  <c r="L148" i="64"/>
  <c r="P148" i="64"/>
  <c r="G149" i="55"/>
  <c r="O149" i="64"/>
  <c r="H149" i="64"/>
  <c r="L149" i="64"/>
  <c r="P149" i="64"/>
  <c r="G150" i="55"/>
  <c r="O150" i="64"/>
  <c r="H150" i="64"/>
  <c r="L150" i="64"/>
  <c r="P150" i="64"/>
  <c r="G151" i="55"/>
  <c r="O151" i="64"/>
  <c r="H151" i="64"/>
  <c r="L151" i="64"/>
  <c r="P151" i="64"/>
  <c r="G152" i="55"/>
  <c r="O152" i="64"/>
  <c r="H152" i="64"/>
  <c r="L152" i="64"/>
  <c r="P152" i="64"/>
  <c r="G153" i="55"/>
  <c r="O153" i="64"/>
  <c r="H153" i="64"/>
  <c r="L153" i="64"/>
  <c r="P153" i="64"/>
  <c r="G154" i="55"/>
  <c r="O154" i="64"/>
  <c r="H154" i="64"/>
  <c r="L154" i="64"/>
  <c r="P154" i="64"/>
  <c r="G155" i="55"/>
  <c r="O155" i="64"/>
  <c r="H155" i="64"/>
  <c r="L155" i="64"/>
  <c r="P155" i="64"/>
  <c r="G156" i="55"/>
  <c r="O156" i="64"/>
  <c r="H156" i="64"/>
  <c r="L156" i="64"/>
  <c r="P156" i="64"/>
  <c r="G157" i="55"/>
  <c r="O157" i="64"/>
  <c r="H157" i="64"/>
  <c r="L157" i="64"/>
  <c r="P157" i="64"/>
  <c r="G158" i="55"/>
  <c r="O158" i="64"/>
  <c r="H158" i="64"/>
  <c r="L158" i="64"/>
  <c r="P158" i="64"/>
  <c r="G159" i="55"/>
  <c r="O159" i="64"/>
  <c r="H159" i="64"/>
  <c r="L159" i="64"/>
  <c r="P159" i="64"/>
  <c r="G160" i="55"/>
  <c r="O160" i="64"/>
  <c r="H160" i="64"/>
  <c r="L160" i="64"/>
  <c r="P160" i="64"/>
  <c r="G161" i="55"/>
  <c r="O161" i="64"/>
  <c r="H161" i="64"/>
  <c r="L161" i="64"/>
  <c r="P161" i="64"/>
  <c r="G162" i="55"/>
  <c r="O162" i="64"/>
  <c r="H162" i="64"/>
  <c r="L162" i="64"/>
  <c r="P162" i="64"/>
  <c r="G163" i="55"/>
  <c r="O163" i="64"/>
  <c r="H163" i="64"/>
  <c r="L163" i="64"/>
  <c r="P163" i="64"/>
  <c r="G164" i="55"/>
  <c r="O164" i="64"/>
  <c r="H164" i="64"/>
  <c r="L164" i="64"/>
  <c r="P164" i="64"/>
  <c r="G165" i="55"/>
  <c r="O165" i="64"/>
  <c r="H165" i="64"/>
  <c r="L165" i="64"/>
  <c r="P165" i="64"/>
  <c r="G166" i="55"/>
  <c r="O166" i="64"/>
  <c r="H166" i="64"/>
  <c r="L166" i="64"/>
  <c r="P166" i="64"/>
  <c r="G167" i="55"/>
  <c r="O167" i="64"/>
  <c r="H167" i="64"/>
  <c r="L167" i="64"/>
  <c r="P167" i="64"/>
  <c r="G168" i="55"/>
  <c r="O168" i="64"/>
  <c r="H168" i="64"/>
  <c r="L168" i="64"/>
  <c r="P168" i="64"/>
  <c r="G169" i="55"/>
  <c r="O169" i="64"/>
  <c r="H169" i="64"/>
  <c r="L169" i="64"/>
  <c r="P169" i="64"/>
  <c r="G170" i="55"/>
  <c r="O170" i="64"/>
  <c r="H170" i="64"/>
  <c r="L170" i="64"/>
  <c r="P170" i="64"/>
  <c r="G171" i="55"/>
  <c r="O171" i="64"/>
  <c r="H171" i="64"/>
  <c r="L171" i="64"/>
  <c r="P171" i="64"/>
  <c r="G172" i="55"/>
  <c r="O172" i="64"/>
  <c r="H172" i="64"/>
  <c r="L172" i="64"/>
  <c r="P172" i="64"/>
  <c r="G173" i="55"/>
  <c r="O173" i="64"/>
  <c r="H173" i="64"/>
  <c r="L173" i="64"/>
  <c r="P173" i="64"/>
  <c r="G174" i="55"/>
  <c r="O174" i="64"/>
  <c r="H174" i="64"/>
  <c r="L174" i="64"/>
  <c r="P174" i="64"/>
  <c r="G175" i="55"/>
  <c r="O175" i="64"/>
  <c r="H175" i="64"/>
  <c r="L175" i="64"/>
  <c r="P175" i="64"/>
  <c r="G176" i="55"/>
  <c r="O176" i="64"/>
  <c r="H176" i="64"/>
  <c r="L176" i="64"/>
  <c r="P176" i="64"/>
  <c r="G177" i="55"/>
  <c r="O177" i="64"/>
  <c r="H177" i="64"/>
  <c r="L177" i="64"/>
  <c r="P177" i="64"/>
  <c r="G178" i="55"/>
  <c r="O178" i="64"/>
  <c r="H178" i="64"/>
  <c r="L178" i="64"/>
  <c r="P178" i="64"/>
  <c r="G179" i="55"/>
  <c r="O179" i="64"/>
  <c r="H179" i="64"/>
  <c r="L179" i="64"/>
  <c r="P179" i="64"/>
  <c r="G180" i="55"/>
  <c r="O180" i="64"/>
  <c r="H180" i="64"/>
  <c r="L180" i="64"/>
  <c r="P180" i="64"/>
  <c r="G181" i="55"/>
  <c r="O181" i="64"/>
  <c r="H181" i="64"/>
  <c r="L181" i="64"/>
  <c r="P181" i="64"/>
  <c r="G182" i="55"/>
  <c r="O182" i="64"/>
  <c r="H182" i="64"/>
  <c r="L182" i="64"/>
  <c r="P182" i="64"/>
  <c r="G183" i="55"/>
  <c r="O183" i="64"/>
  <c r="H183" i="64"/>
  <c r="L183" i="64"/>
  <c r="P183" i="64"/>
  <c r="G184" i="55"/>
  <c r="O184" i="64"/>
  <c r="H184" i="64"/>
  <c r="L184" i="64"/>
  <c r="P184" i="64"/>
  <c r="G185" i="55"/>
  <c r="O185" i="64"/>
  <c r="H185" i="64"/>
  <c r="L185" i="64"/>
  <c r="P185" i="64"/>
  <c r="G186" i="55"/>
  <c r="O186" i="64"/>
  <c r="H186" i="64"/>
  <c r="L186" i="64"/>
  <c r="P186" i="64"/>
  <c r="G187" i="55"/>
  <c r="O187" i="64"/>
  <c r="H187" i="64"/>
  <c r="L187" i="64"/>
  <c r="P187" i="64"/>
  <c r="G188" i="55"/>
  <c r="O188" i="64"/>
  <c r="H188" i="64"/>
  <c r="L188" i="64"/>
  <c r="P188" i="64"/>
  <c r="G189" i="55"/>
  <c r="O189" i="64"/>
  <c r="H189" i="64"/>
  <c r="L189" i="64"/>
  <c r="P189" i="64"/>
  <c r="G190" i="55"/>
  <c r="O190" i="64"/>
  <c r="H190" i="64"/>
  <c r="L190" i="64"/>
  <c r="P190" i="64"/>
  <c r="G191" i="55"/>
  <c r="O191" i="64"/>
  <c r="H191" i="64"/>
  <c r="L191" i="64"/>
  <c r="P191" i="64"/>
  <c r="G192" i="55"/>
  <c r="O192" i="64"/>
  <c r="H192" i="64"/>
  <c r="L192" i="64"/>
  <c r="P192" i="64"/>
  <c r="G193" i="55"/>
  <c r="O193" i="64"/>
  <c r="H193" i="64"/>
  <c r="L193" i="64"/>
  <c r="P193" i="64"/>
  <c r="G194" i="55"/>
  <c r="O194" i="64"/>
  <c r="H194" i="64"/>
  <c r="L194" i="64"/>
  <c r="P194" i="64"/>
  <c r="G195" i="55"/>
  <c r="O195" i="64"/>
  <c r="H195" i="64"/>
  <c r="L195" i="64"/>
  <c r="P195" i="64"/>
  <c r="G196" i="55"/>
  <c r="O196" i="64"/>
  <c r="H196" i="64"/>
  <c r="L196" i="64"/>
  <c r="P196" i="64"/>
  <c r="G197" i="55"/>
  <c r="O197" i="64"/>
  <c r="H197" i="64"/>
  <c r="L197" i="64"/>
  <c r="P197" i="64"/>
  <c r="G198" i="55"/>
  <c r="O198" i="64"/>
  <c r="H198" i="64"/>
  <c r="L198" i="64"/>
  <c r="P198" i="64"/>
  <c r="G199" i="55"/>
  <c r="O199" i="64"/>
  <c r="H199" i="64"/>
  <c r="L199" i="64"/>
  <c r="P199" i="64"/>
  <c r="G200" i="55"/>
  <c r="O200" i="64"/>
  <c r="H200" i="64"/>
  <c r="L200" i="64"/>
  <c r="P200" i="64"/>
  <c r="G201" i="55"/>
  <c r="O201" i="64"/>
  <c r="H201" i="64"/>
  <c r="L201" i="64"/>
  <c r="P201" i="64"/>
  <c r="G202" i="55"/>
  <c r="O202" i="64"/>
  <c r="H202" i="64"/>
  <c r="L202" i="64"/>
  <c r="P202" i="64"/>
  <c r="G203" i="55"/>
  <c r="O203" i="64"/>
  <c r="H203" i="64"/>
  <c r="L203" i="64"/>
  <c r="P203" i="64"/>
  <c r="G204" i="55"/>
  <c r="O204" i="64"/>
  <c r="H204" i="64"/>
  <c r="L204" i="64"/>
  <c r="P204" i="64"/>
  <c r="G205" i="55"/>
  <c r="O205" i="64"/>
  <c r="H205" i="64"/>
  <c r="L205" i="64"/>
  <c r="P205" i="64"/>
  <c r="G206" i="55"/>
  <c r="O206" i="64"/>
  <c r="H206" i="64"/>
  <c r="L206" i="64"/>
  <c r="P206" i="64"/>
  <c r="G207" i="55"/>
  <c r="O207" i="64"/>
  <c r="H207" i="64"/>
  <c r="L207" i="64"/>
  <c r="P207" i="64"/>
  <c r="G208" i="55"/>
  <c r="O208" i="64"/>
  <c r="H208" i="64"/>
  <c r="L208" i="64"/>
  <c r="P208" i="64"/>
  <c r="G209" i="55"/>
  <c r="O209" i="64"/>
  <c r="H209" i="64"/>
  <c r="L209" i="64"/>
  <c r="P209" i="64"/>
  <c r="G210" i="55"/>
  <c r="O210" i="64"/>
  <c r="H210" i="64"/>
  <c r="L210" i="64"/>
  <c r="P210" i="64"/>
  <c r="G211" i="55"/>
  <c r="O211" i="64"/>
  <c r="H211" i="64"/>
  <c r="L211" i="64"/>
  <c r="P211" i="64"/>
  <c r="G212" i="55"/>
  <c r="O212" i="64"/>
  <c r="H212" i="64"/>
  <c r="L212" i="64"/>
  <c r="P212" i="64"/>
  <c r="G213" i="55"/>
  <c r="O213" i="64"/>
  <c r="H213" i="64"/>
  <c r="L213" i="64"/>
  <c r="P213" i="64"/>
  <c r="G214" i="55"/>
  <c r="O214" i="64"/>
  <c r="H214" i="64"/>
  <c r="L214" i="64"/>
  <c r="P214" i="64"/>
  <c r="G215" i="55"/>
  <c r="O215" i="64"/>
  <c r="H215" i="64"/>
  <c r="L215" i="64"/>
  <c r="P215" i="64"/>
  <c r="G216" i="55"/>
  <c r="O216" i="64"/>
  <c r="H216" i="64"/>
  <c r="L216" i="64"/>
  <c r="P216" i="64"/>
  <c r="G217" i="55"/>
  <c r="O217" i="64"/>
  <c r="H217" i="64"/>
  <c r="L217" i="64"/>
  <c r="P217" i="64"/>
  <c r="G218" i="55"/>
  <c r="O218" i="64"/>
  <c r="H218" i="64"/>
  <c r="L218" i="64"/>
  <c r="P218" i="64"/>
  <c r="G219" i="55"/>
  <c r="O219" i="64"/>
  <c r="H219" i="64"/>
  <c r="L219" i="64"/>
  <c r="P219" i="64"/>
  <c r="G220" i="55"/>
  <c r="O220" i="64"/>
  <c r="H220" i="64"/>
  <c r="L220" i="64"/>
  <c r="P220" i="64"/>
  <c r="G221" i="55"/>
  <c r="O221" i="64"/>
  <c r="H221" i="64"/>
  <c r="L221" i="64"/>
  <c r="P221" i="64"/>
  <c r="G222" i="55"/>
  <c r="O222" i="64"/>
  <c r="H222" i="64"/>
  <c r="L222" i="64"/>
  <c r="P222" i="64"/>
  <c r="G223" i="55"/>
  <c r="O223" i="64"/>
  <c r="H223" i="64"/>
  <c r="L223" i="64"/>
  <c r="P223" i="64"/>
  <c r="G224" i="55"/>
  <c r="O224" i="64"/>
  <c r="H224" i="64"/>
  <c r="L224" i="64"/>
  <c r="P224" i="64"/>
  <c r="G225" i="55"/>
  <c r="O225" i="64"/>
  <c r="H225" i="64"/>
  <c r="L225" i="64"/>
  <c r="P225" i="64"/>
  <c r="G226" i="55"/>
  <c r="O226" i="64"/>
  <c r="H226" i="64"/>
  <c r="L226" i="64"/>
  <c r="P226" i="64"/>
  <c r="G227" i="55"/>
  <c r="O227" i="64"/>
  <c r="H227" i="64"/>
  <c r="L227" i="64"/>
  <c r="P227" i="64"/>
  <c r="G228" i="55"/>
  <c r="O228" i="64"/>
  <c r="H228" i="64"/>
  <c r="L228" i="64"/>
  <c r="P228" i="64"/>
  <c r="G229" i="55"/>
  <c r="O229" i="64"/>
  <c r="H229" i="64"/>
  <c r="L229" i="64"/>
  <c r="P229" i="64"/>
  <c r="G230" i="55"/>
  <c r="O230" i="64"/>
  <c r="H230" i="64"/>
  <c r="L230" i="64"/>
  <c r="P230" i="64"/>
  <c r="G231" i="55"/>
  <c r="O231" i="64"/>
  <c r="H231" i="64"/>
  <c r="L231" i="64"/>
  <c r="P231" i="64"/>
  <c r="G232" i="55"/>
  <c r="O232" i="64"/>
  <c r="H232" i="64"/>
  <c r="L232" i="64"/>
  <c r="P232" i="64"/>
  <c r="G233" i="55"/>
  <c r="O233" i="64"/>
  <c r="H233" i="64"/>
  <c r="L233" i="64"/>
  <c r="P233" i="64"/>
  <c r="G234" i="55"/>
  <c r="O234" i="64"/>
  <c r="H234" i="64"/>
  <c r="L234" i="64"/>
  <c r="P234" i="64"/>
  <c r="G235" i="55"/>
  <c r="O235" i="64"/>
  <c r="H235" i="64"/>
  <c r="L235" i="64"/>
  <c r="P235" i="64"/>
  <c r="G236" i="55"/>
  <c r="O236" i="64"/>
  <c r="H236" i="64"/>
  <c r="L236" i="64"/>
  <c r="P236" i="64"/>
  <c r="G237" i="55"/>
  <c r="O237" i="64"/>
  <c r="H237" i="64"/>
  <c r="L237" i="64"/>
  <c r="P237" i="64"/>
  <c r="G238" i="55"/>
  <c r="O238" i="64"/>
  <c r="H238" i="64"/>
  <c r="L238" i="64"/>
  <c r="P238" i="64"/>
  <c r="G239" i="55"/>
  <c r="O239" i="64"/>
  <c r="H239" i="64"/>
  <c r="L239" i="64"/>
  <c r="P239" i="64"/>
  <c r="G240" i="55"/>
  <c r="O240" i="64"/>
  <c r="H240" i="64"/>
  <c r="L240" i="64"/>
  <c r="P240" i="64"/>
  <c r="G241" i="55"/>
  <c r="O241" i="64"/>
  <c r="H241" i="64"/>
  <c r="L241" i="64"/>
  <c r="P241" i="64"/>
  <c r="G242" i="55"/>
  <c r="O242" i="64"/>
  <c r="H242" i="64"/>
  <c r="L242" i="64"/>
  <c r="P242" i="64"/>
  <c r="G243" i="55"/>
  <c r="O243" i="64"/>
  <c r="H243" i="64"/>
  <c r="L243" i="64"/>
  <c r="P243" i="64"/>
  <c r="G244" i="55"/>
  <c r="O244" i="64"/>
  <c r="H244" i="64"/>
  <c r="L244" i="64"/>
  <c r="P244" i="64"/>
  <c r="G245" i="55"/>
  <c r="O245" i="64"/>
  <c r="H245" i="64"/>
  <c r="L245" i="64"/>
  <c r="P245" i="64"/>
  <c r="G246" i="55"/>
  <c r="O246" i="64"/>
  <c r="H246" i="64"/>
  <c r="L246" i="64"/>
  <c r="P246" i="64"/>
  <c r="G247" i="55"/>
  <c r="O247" i="64"/>
  <c r="H247" i="64"/>
  <c r="L247" i="64"/>
  <c r="P247" i="64"/>
  <c r="G248" i="55"/>
  <c r="O248" i="64"/>
  <c r="H248" i="64"/>
  <c r="L248" i="64"/>
  <c r="P248" i="64"/>
  <c r="G249" i="55"/>
  <c r="O249" i="64"/>
  <c r="H249" i="64"/>
  <c r="L249" i="64"/>
  <c r="P249" i="64"/>
  <c r="G250" i="55"/>
  <c r="O250" i="64"/>
  <c r="H250" i="64"/>
  <c r="L250" i="64"/>
  <c r="P250" i="64"/>
  <c r="G251" i="55"/>
  <c r="O251" i="64"/>
  <c r="H251" i="64"/>
  <c r="L251" i="64"/>
  <c r="P251" i="64"/>
  <c r="G252" i="55"/>
  <c r="O252" i="64"/>
  <c r="H252" i="64"/>
  <c r="L252" i="64"/>
  <c r="P252" i="64"/>
  <c r="G253" i="55"/>
  <c r="O253" i="64"/>
  <c r="H253" i="64"/>
  <c r="L253" i="64"/>
  <c r="P253" i="64"/>
  <c r="G254" i="55"/>
  <c r="O254" i="64"/>
  <c r="H254" i="64"/>
  <c r="L254" i="64"/>
  <c r="P254" i="64"/>
  <c r="G255" i="55"/>
  <c r="O255" i="64"/>
  <c r="H255" i="64"/>
  <c r="L255" i="64"/>
  <c r="P255" i="64"/>
  <c r="G256" i="55"/>
  <c r="O256" i="64"/>
  <c r="H256" i="64"/>
  <c r="L256" i="64"/>
  <c r="P256" i="64"/>
  <c r="G257" i="55"/>
  <c r="O257" i="64"/>
  <c r="H257" i="64"/>
  <c r="L257" i="64"/>
  <c r="P257" i="64"/>
  <c r="G258" i="55"/>
  <c r="O258" i="64"/>
  <c r="H258" i="64"/>
  <c r="L258" i="64"/>
  <c r="P258" i="64"/>
  <c r="G259" i="55"/>
  <c r="O259" i="64"/>
  <c r="H259" i="64"/>
  <c r="L259" i="64"/>
  <c r="P259" i="64"/>
  <c r="G260" i="55"/>
  <c r="O260" i="64"/>
  <c r="H260" i="64"/>
  <c r="L260" i="64"/>
  <c r="P260" i="64"/>
  <c r="G261" i="55"/>
  <c r="O261" i="64"/>
  <c r="H261" i="64"/>
  <c r="L261" i="64"/>
  <c r="P261" i="64"/>
  <c r="G262" i="55"/>
  <c r="O262" i="64"/>
  <c r="H262" i="64"/>
  <c r="L262" i="64"/>
  <c r="P262" i="64"/>
  <c r="G263" i="55"/>
  <c r="O263" i="64"/>
  <c r="H263" i="64"/>
  <c r="L263" i="64"/>
  <c r="P263" i="64"/>
  <c r="G264" i="55"/>
  <c r="O264" i="64"/>
  <c r="H264" i="64"/>
  <c r="L264" i="64"/>
  <c r="P264" i="64"/>
  <c r="G265" i="55"/>
  <c r="O265" i="64"/>
  <c r="H265" i="64"/>
  <c r="L265" i="64"/>
  <c r="P265" i="64"/>
  <c r="G266" i="55"/>
  <c r="O266" i="64"/>
  <c r="H266" i="64"/>
  <c r="L266" i="64"/>
  <c r="P266" i="64"/>
  <c r="G267" i="55"/>
  <c r="O267" i="64"/>
  <c r="H267" i="64"/>
  <c r="L267" i="64"/>
  <c r="P267" i="64"/>
  <c r="G268" i="55"/>
  <c r="O268" i="64"/>
  <c r="H268" i="64"/>
  <c r="L268" i="64"/>
  <c r="P268" i="64"/>
  <c r="G269" i="55"/>
  <c r="O269" i="64"/>
  <c r="H269" i="64"/>
  <c r="L269" i="64"/>
  <c r="P269" i="64"/>
  <c r="G270" i="55"/>
  <c r="O270" i="64"/>
  <c r="H270" i="64"/>
  <c r="L270" i="64"/>
  <c r="P270" i="64"/>
  <c r="G271" i="55"/>
  <c r="O271" i="64"/>
  <c r="H271" i="64"/>
  <c r="L271" i="64"/>
  <c r="P271" i="64"/>
  <c r="G272" i="55"/>
  <c r="O272" i="64"/>
  <c r="H272" i="64"/>
  <c r="L272" i="64"/>
  <c r="P272" i="64"/>
  <c r="G273" i="55"/>
  <c r="O273" i="64"/>
  <c r="H273" i="64"/>
  <c r="L273" i="64"/>
  <c r="P273" i="64"/>
  <c r="G274" i="55"/>
  <c r="O274" i="64"/>
  <c r="H274" i="64"/>
  <c r="L274" i="64"/>
  <c r="P274" i="64"/>
  <c r="G275" i="55"/>
  <c r="O275" i="64"/>
  <c r="H275" i="64"/>
  <c r="L275" i="64"/>
  <c r="P275" i="64"/>
  <c r="G276" i="55"/>
  <c r="O276" i="64"/>
  <c r="H276" i="64"/>
  <c r="L276" i="64"/>
  <c r="P276" i="64"/>
  <c r="G277" i="55"/>
  <c r="O277" i="64"/>
  <c r="H277" i="64"/>
  <c r="L277" i="64"/>
  <c r="P277" i="64"/>
  <c r="G278" i="55"/>
  <c r="O278" i="64"/>
  <c r="H278" i="64"/>
  <c r="L278" i="64"/>
  <c r="P278" i="64"/>
  <c r="G279" i="55"/>
  <c r="O279" i="64"/>
  <c r="H279" i="64"/>
  <c r="L279" i="64"/>
  <c r="P279" i="64"/>
  <c r="G280" i="55"/>
  <c r="O280" i="64"/>
  <c r="H280" i="64"/>
  <c r="L280" i="64"/>
  <c r="P280" i="64"/>
  <c r="G281" i="55"/>
  <c r="O281" i="64"/>
  <c r="H281" i="64"/>
  <c r="L281" i="64"/>
  <c r="P281" i="64"/>
  <c r="G282" i="55"/>
  <c r="O282" i="64"/>
  <c r="H282" i="64"/>
  <c r="L282" i="64"/>
  <c r="P282" i="64"/>
  <c r="G283" i="55"/>
  <c r="O283" i="64"/>
  <c r="H283" i="64"/>
  <c r="L283" i="64"/>
  <c r="P283" i="64"/>
  <c r="G284" i="55"/>
  <c r="O284" i="64"/>
  <c r="H284" i="64"/>
  <c r="L284" i="64"/>
  <c r="P284" i="64"/>
  <c r="G285" i="55"/>
  <c r="O285" i="64"/>
  <c r="H285" i="64"/>
  <c r="L285" i="64"/>
  <c r="P285" i="64"/>
  <c r="G286" i="55"/>
  <c r="O286" i="64"/>
  <c r="H286" i="64"/>
  <c r="L286" i="64"/>
  <c r="P286" i="64"/>
  <c r="G287" i="55"/>
  <c r="O287" i="64"/>
  <c r="H287" i="64"/>
  <c r="L287" i="64"/>
  <c r="P287" i="64"/>
  <c r="G288" i="55"/>
  <c r="O288" i="64"/>
  <c r="H288" i="64"/>
  <c r="L288" i="64"/>
  <c r="P288" i="64"/>
  <c r="G289" i="55"/>
  <c r="O289" i="64"/>
  <c r="H289" i="64"/>
  <c r="L289" i="64"/>
  <c r="P289" i="64"/>
  <c r="G290" i="55"/>
  <c r="O290" i="64"/>
  <c r="H290" i="64"/>
  <c r="L290" i="64"/>
  <c r="P290" i="64"/>
  <c r="G291" i="55"/>
  <c r="O291" i="64"/>
  <c r="H291" i="64"/>
  <c r="L291" i="64"/>
  <c r="P291" i="64"/>
  <c r="G292" i="55"/>
  <c r="O292" i="64"/>
  <c r="H292" i="64"/>
  <c r="L292" i="64"/>
  <c r="P292" i="64"/>
  <c r="G293" i="55"/>
  <c r="O293" i="64"/>
  <c r="H293" i="64"/>
  <c r="L293" i="64"/>
  <c r="P293" i="64"/>
  <c r="G294" i="55"/>
  <c r="O294" i="64"/>
  <c r="H294" i="64"/>
  <c r="L294" i="64"/>
  <c r="P294" i="64"/>
  <c r="G295" i="55"/>
  <c r="O295" i="64"/>
  <c r="H295" i="64"/>
  <c r="L295" i="64"/>
  <c r="P295" i="64"/>
  <c r="G296" i="55"/>
  <c r="O296" i="64"/>
  <c r="H296" i="64"/>
  <c r="L296" i="64"/>
  <c r="P296" i="64"/>
  <c r="G297" i="55"/>
  <c r="O297" i="64"/>
  <c r="H297" i="64"/>
  <c r="L297" i="64"/>
  <c r="P297" i="64"/>
  <c r="G298" i="55"/>
  <c r="O298" i="64"/>
  <c r="H298" i="64"/>
  <c r="L298" i="64"/>
  <c r="P298" i="64"/>
  <c r="G299" i="55"/>
  <c r="O299" i="64"/>
  <c r="H299" i="64"/>
  <c r="L299" i="64"/>
  <c r="P299" i="64"/>
  <c r="G300" i="55"/>
  <c r="O300" i="64"/>
  <c r="H300" i="64"/>
  <c r="L300" i="64"/>
  <c r="P300" i="64"/>
  <c r="G301" i="55"/>
  <c r="O301" i="64"/>
  <c r="H301" i="64"/>
  <c r="L301" i="64"/>
  <c r="P301" i="64"/>
  <c r="G302" i="55"/>
  <c r="O302" i="64"/>
  <c r="H302" i="64"/>
  <c r="L302" i="64"/>
  <c r="P302" i="64"/>
  <c r="G303" i="55"/>
  <c r="O303" i="64"/>
  <c r="H303" i="64"/>
  <c r="L303" i="64"/>
  <c r="P303" i="64"/>
  <c r="G304" i="55"/>
  <c r="O304" i="64"/>
  <c r="H304" i="64"/>
  <c r="L304" i="64"/>
  <c r="P304" i="64"/>
  <c r="G305" i="55"/>
  <c r="O305" i="64"/>
  <c r="H305" i="64"/>
  <c r="L305" i="64"/>
  <c r="P305" i="64"/>
  <c r="G306" i="55"/>
  <c r="O306" i="64"/>
  <c r="H306" i="64"/>
  <c r="L306" i="64"/>
  <c r="P306" i="64"/>
  <c r="G307" i="55"/>
  <c r="O307" i="64"/>
  <c r="H307" i="64"/>
  <c r="L307" i="64"/>
  <c r="P307" i="64"/>
  <c r="G308" i="55"/>
  <c r="O308" i="64"/>
  <c r="H308" i="64"/>
  <c r="L308" i="64"/>
  <c r="P308" i="64"/>
  <c r="G309" i="55"/>
  <c r="O309" i="64"/>
  <c r="H309" i="64"/>
  <c r="L309" i="64"/>
  <c r="P309" i="64"/>
  <c r="G310" i="55"/>
  <c r="O310" i="64"/>
  <c r="H310" i="64"/>
  <c r="L310" i="64"/>
  <c r="P310" i="64"/>
  <c r="G311" i="55"/>
  <c r="O311" i="64"/>
  <c r="H311" i="64"/>
  <c r="L311" i="64"/>
  <c r="P311" i="64"/>
  <c r="G312" i="55"/>
  <c r="O312" i="64"/>
  <c r="H312" i="64"/>
  <c r="L312" i="64"/>
  <c r="P312" i="64"/>
  <c r="G313" i="55"/>
  <c r="O313" i="64"/>
  <c r="H313" i="64"/>
  <c r="L313" i="64"/>
  <c r="P313" i="64"/>
  <c r="G314" i="55"/>
  <c r="O314" i="64"/>
  <c r="H314" i="64"/>
  <c r="L314" i="64"/>
  <c r="P314" i="64"/>
  <c r="G315" i="55"/>
  <c r="O315" i="64"/>
  <c r="H315" i="64"/>
  <c r="L315" i="64"/>
  <c r="P315" i="64"/>
  <c r="G316" i="55"/>
  <c r="O316" i="64"/>
  <c r="H316" i="64"/>
  <c r="L316" i="64"/>
  <c r="P316" i="64"/>
  <c r="G317" i="55"/>
  <c r="O317" i="64"/>
  <c r="H317" i="64"/>
  <c r="L317" i="64"/>
  <c r="P317" i="64"/>
  <c r="G318" i="55"/>
  <c r="O318" i="64"/>
  <c r="H318" i="64"/>
  <c r="L318" i="64"/>
  <c r="P318" i="64"/>
  <c r="G319" i="55"/>
  <c r="O319" i="64"/>
  <c r="H319" i="64"/>
  <c r="L319" i="64"/>
  <c r="P319" i="64"/>
  <c r="G320" i="55"/>
  <c r="O320" i="64"/>
  <c r="H320" i="64"/>
  <c r="L320" i="64"/>
  <c r="P320" i="64"/>
  <c r="G321" i="55"/>
  <c r="O321" i="64"/>
  <c r="H321" i="64"/>
  <c r="L321" i="64"/>
  <c r="P321" i="64"/>
  <c r="G322" i="55"/>
  <c r="O322" i="64"/>
  <c r="H322" i="64"/>
  <c r="L322" i="64"/>
  <c r="P322" i="64"/>
  <c r="G323" i="55"/>
  <c r="O323" i="64"/>
  <c r="H323" i="64"/>
  <c r="L323" i="64"/>
  <c r="P323" i="64"/>
  <c r="G324" i="55"/>
  <c r="O324" i="64"/>
  <c r="H324" i="64"/>
  <c r="L324" i="64"/>
  <c r="P324" i="64"/>
  <c r="G325" i="55"/>
  <c r="O325" i="64"/>
  <c r="H325" i="64"/>
  <c r="L325" i="64"/>
  <c r="P325" i="64"/>
  <c r="G326" i="55"/>
  <c r="O326" i="64"/>
  <c r="H326" i="64"/>
  <c r="L326" i="64"/>
  <c r="P326" i="64"/>
  <c r="G327" i="55"/>
  <c r="O327" i="64"/>
  <c r="H327" i="64"/>
  <c r="L327" i="64"/>
  <c r="P327" i="64"/>
  <c r="G328" i="55"/>
  <c r="O328" i="64"/>
  <c r="H328" i="64"/>
  <c r="L328" i="64"/>
  <c r="P328" i="64"/>
  <c r="G329" i="55"/>
  <c r="O329" i="64"/>
  <c r="H329" i="64"/>
  <c r="L329" i="64"/>
  <c r="P329" i="64"/>
  <c r="G330" i="55"/>
  <c r="O330" i="64"/>
  <c r="H330" i="64"/>
  <c r="L330" i="64"/>
  <c r="P330" i="64"/>
  <c r="G331" i="55"/>
  <c r="O331" i="64"/>
  <c r="H331" i="64"/>
  <c r="L331" i="64"/>
  <c r="P331" i="64"/>
  <c r="G332" i="55"/>
  <c r="O332" i="64"/>
  <c r="H332" i="64"/>
  <c r="L332" i="64"/>
  <c r="P332" i="64"/>
  <c r="G333" i="55"/>
  <c r="O333" i="64"/>
  <c r="H333" i="64"/>
  <c r="L333" i="64"/>
  <c r="P333" i="64"/>
  <c r="G334" i="55"/>
  <c r="O334" i="64"/>
  <c r="H334" i="64"/>
  <c r="L334" i="64"/>
  <c r="P334" i="64"/>
  <c r="G335" i="55"/>
  <c r="O335" i="64"/>
  <c r="H335" i="64"/>
  <c r="L335" i="64"/>
  <c r="P335" i="64"/>
  <c r="G336" i="55"/>
  <c r="O336" i="64"/>
  <c r="H336" i="64"/>
  <c r="L336" i="64"/>
  <c r="P336" i="64"/>
  <c r="G337" i="55"/>
  <c r="O337" i="64"/>
  <c r="H337" i="64"/>
  <c r="L337" i="64"/>
  <c r="P337" i="64"/>
  <c r="G338" i="55"/>
  <c r="O338" i="64"/>
  <c r="H338" i="64"/>
  <c r="L338" i="64"/>
  <c r="P338" i="64"/>
  <c r="G339" i="55"/>
  <c r="O339" i="64"/>
  <c r="H339" i="64"/>
  <c r="L339" i="64"/>
  <c r="P339" i="64"/>
  <c r="G340" i="55"/>
  <c r="O340" i="64"/>
  <c r="H340" i="64"/>
  <c r="L340" i="64"/>
  <c r="P340" i="64"/>
  <c r="G341" i="55"/>
  <c r="O341" i="64"/>
  <c r="H341" i="64"/>
  <c r="L341" i="64"/>
  <c r="P341" i="64"/>
  <c r="G342" i="55"/>
  <c r="O342" i="64"/>
  <c r="H342" i="64"/>
  <c r="L342" i="64"/>
  <c r="P342" i="64"/>
  <c r="G343" i="55"/>
  <c r="O343" i="64"/>
  <c r="H343" i="64"/>
  <c r="L343" i="64"/>
  <c r="P343" i="64"/>
  <c r="G344" i="55"/>
  <c r="O344" i="64"/>
  <c r="H344" i="64"/>
  <c r="L344" i="64"/>
  <c r="P344" i="64"/>
  <c r="G345" i="55"/>
  <c r="O345" i="64"/>
  <c r="H345" i="64"/>
  <c r="L345" i="64"/>
  <c r="P345" i="64"/>
  <c r="G346" i="55"/>
  <c r="O346" i="64"/>
  <c r="H346" i="64"/>
  <c r="L346" i="64"/>
  <c r="P346" i="64"/>
  <c r="G347" i="55"/>
  <c r="O347" i="64"/>
  <c r="H347" i="64"/>
  <c r="L347" i="64"/>
  <c r="P347" i="64"/>
  <c r="G348" i="55"/>
  <c r="O348" i="64"/>
  <c r="H348" i="64"/>
  <c r="L348" i="64"/>
  <c r="P348" i="64"/>
  <c r="G349" i="55"/>
  <c r="O349" i="64"/>
  <c r="H349" i="64"/>
  <c r="L349" i="64"/>
  <c r="P349" i="64"/>
  <c r="G350" i="55"/>
  <c r="O350" i="64"/>
  <c r="H350" i="64"/>
  <c r="L350" i="64"/>
  <c r="P350" i="64"/>
  <c r="G351" i="55"/>
  <c r="O351" i="64"/>
  <c r="H351" i="64"/>
  <c r="L351" i="64"/>
  <c r="P351" i="64"/>
  <c r="G352" i="55"/>
  <c r="O352" i="64"/>
  <c r="H352" i="64"/>
  <c r="L352" i="64"/>
  <c r="P352" i="64"/>
  <c r="G353" i="55"/>
  <c r="O353" i="64"/>
  <c r="H353" i="64"/>
  <c r="L353" i="64"/>
  <c r="P353" i="64"/>
  <c r="G354" i="55"/>
  <c r="O354" i="64"/>
  <c r="H354" i="64"/>
  <c r="L354" i="64"/>
  <c r="P354" i="64"/>
  <c r="G355" i="55"/>
  <c r="O355" i="64"/>
  <c r="H355" i="64"/>
  <c r="L355" i="64"/>
  <c r="P355" i="64"/>
  <c r="G356" i="55"/>
  <c r="O356" i="64"/>
  <c r="H356" i="64"/>
  <c r="L356" i="64"/>
  <c r="P356" i="64"/>
  <c r="G357" i="55"/>
  <c r="O357" i="64"/>
  <c r="H357" i="64"/>
  <c r="L357" i="64"/>
  <c r="P357" i="64"/>
  <c r="G358" i="55"/>
  <c r="O358" i="64"/>
  <c r="H358" i="64"/>
  <c r="L358" i="64"/>
  <c r="P358" i="64"/>
  <c r="G359" i="55"/>
  <c r="O359" i="64"/>
  <c r="H359" i="64"/>
  <c r="L359" i="64"/>
  <c r="P359" i="64"/>
  <c r="G360" i="55"/>
  <c r="O360" i="64"/>
  <c r="H360" i="64"/>
  <c r="L360" i="64"/>
  <c r="P360" i="64"/>
  <c r="G361" i="55"/>
  <c r="O361" i="64"/>
  <c r="H361" i="64"/>
  <c r="L361" i="64"/>
  <c r="P361" i="64"/>
  <c r="G362" i="55"/>
  <c r="O362" i="64"/>
  <c r="H362" i="64"/>
  <c r="L362" i="64"/>
  <c r="P362" i="64"/>
  <c r="G363" i="55"/>
  <c r="O363" i="64"/>
  <c r="H363" i="64"/>
  <c r="L363" i="64"/>
  <c r="P363" i="64"/>
  <c r="G364" i="55"/>
  <c r="O364" i="64"/>
  <c r="H364" i="64"/>
  <c r="L364" i="64"/>
  <c r="P364" i="64"/>
  <c r="G365" i="55"/>
  <c r="O365" i="64"/>
  <c r="H365" i="64"/>
  <c r="L365" i="64"/>
  <c r="P365" i="64"/>
  <c r="G366" i="55"/>
  <c r="O366" i="64"/>
  <c r="H366" i="64"/>
  <c r="L366" i="64"/>
  <c r="P366" i="64"/>
  <c r="G367" i="55"/>
  <c r="O367" i="64"/>
  <c r="H367" i="64"/>
  <c r="L367" i="64"/>
  <c r="P367" i="64"/>
  <c r="G368" i="55"/>
  <c r="O368" i="64"/>
  <c r="H368" i="64"/>
  <c r="L368" i="64"/>
  <c r="P368" i="64"/>
  <c r="G369" i="55"/>
  <c r="O369" i="64"/>
  <c r="H369" i="64"/>
  <c r="L369" i="64"/>
  <c r="P369" i="64"/>
  <c r="G370" i="55"/>
  <c r="O370" i="64"/>
  <c r="H370" i="64"/>
  <c r="L370" i="64"/>
  <c r="P370" i="64"/>
  <c r="G371" i="55"/>
  <c r="O371" i="64"/>
  <c r="H371" i="64"/>
  <c r="L371" i="64"/>
  <c r="P371" i="64"/>
  <c r="G372" i="55"/>
  <c r="O372" i="64"/>
  <c r="H372" i="64"/>
  <c r="L372" i="64"/>
  <c r="P372" i="64"/>
  <c r="G373" i="55"/>
  <c r="O373" i="64"/>
  <c r="H373" i="64"/>
  <c r="L373" i="64"/>
  <c r="P373" i="64"/>
  <c r="G374" i="55"/>
  <c r="O374" i="64"/>
  <c r="H374" i="64"/>
  <c r="L374" i="64"/>
  <c r="P374" i="64"/>
  <c r="G375" i="55"/>
  <c r="O375" i="64"/>
  <c r="H375" i="64"/>
  <c r="L375" i="64"/>
  <c r="P375" i="64"/>
  <c r="G376" i="55"/>
  <c r="O376" i="64"/>
  <c r="H376" i="64"/>
  <c r="L376" i="64"/>
  <c r="P376" i="64"/>
  <c r="G377" i="55"/>
  <c r="O377" i="64"/>
  <c r="H377" i="64"/>
  <c r="L377" i="64"/>
  <c r="P377" i="64"/>
  <c r="G378" i="55"/>
  <c r="O378" i="64"/>
  <c r="H378" i="64"/>
  <c r="L378" i="64"/>
  <c r="P378" i="64"/>
  <c r="G379" i="55"/>
  <c r="O379" i="64"/>
  <c r="H379" i="64"/>
  <c r="L379" i="64"/>
  <c r="P379" i="64"/>
  <c r="G380" i="55"/>
  <c r="O380" i="64"/>
  <c r="H380" i="64"/>
  <c r="L380" i="64"/>
  <c r="P380" i="64"/>
  <c r="G381" i="55"/>
  <c r="O381" i="64"/>
  <c r="H381" i="64"/>
  <c r="L381" i="64"/>
  <c r="P381" i="64"/>
  <c r="G382" i="55"/>
  <c r="O382" i="64"/>
  <c r="H382" i="64"/>
  <c r="L382" i="64"/>
  <c r="P382" i="64"/>
  <c r="G383" i="55"/>
  <c r="O383" i="64"/>
  <c r="H383" i="64"/>
  <c r="L383" i="64"/>
  <c r="P383" i="64"/>
  <c r="G384" i="55"/>
  <c r="O384" i="64"/>
  <c r="H384" i="64"/>
  <c r="L384" i="64"/>
  <c r="P384" i="64"/>
  <c r="G385" i="55"/>
  <c r="O385" i="64"/>
  <c r="H385" i="64"/>
  <c r="L385" i="64"/>
  <c r="P385" i="64"/>
  <c r="G386" i="55"/>
  <c r="O386" i="64"/>
  <c r="H386" i="64"/>
  <c r="L386" i="64"/>
  <c r="P386" i="64"/>
  <c r="G387" i="55"/>
  <c r="O387" i="64"/>
  <c r="H387" i="64"/>
  <c r="L387" i="64"/>
  <c r="P387" i="64"/>
  <c r="G388" i="55"/>
  <c r="O388" i="64"/>
  <c r="H388" i="64"/>
  <c r="L388" i="64"/>
  <c r="P388" i="64"/>
  <c r="G389" i="55"/>
  <c r="O389" i="64"/>
  <c r="H389" i="64"/>
  <c r="L389" i="64"/>
  <c r="P389" i="64"/>
  <c r="G390" i="55"/>
  <c r="O390" i="64"/>
  <c r="H390" i="64"/>
  <c r="L390" i="64"/>
  <c r="P390" i="64"/>
  <c r="G391" i="55"/>
  <c r="O391" i="64"/>
  <c r="H391" i="64"/>
  <c r="L391" i="64"/>
  <c r="P391" i="64"/>
  <c r="G392" i="55"/>
  <c r="O392" i="64"/>
  <c r="H392" i="64"/>
  <c r="L392" i="64"/>
  <c r="P392" i="64"/>
  <c r="G393" i="55"/>
  <c r="O393" i="64"/>
  <c r="H393" i="64"/>
  <c r="L393" i="64"/>
  <c r="P393" i="64"/>
  <c r="G394" i="55"/>
  <c r="O394" i="64"/>
  <c r="H394" i="64"/>
  <c r="L394" i="64"/>
  <c r="P394" i="64"/>
  <c r="G395" i="55"/>
  <c r="O395" i="64"/>
  <c r="H395" i="64"/>
  <c r="L395" i="64"/>
  <c r="P395" i="64"/>
  <c r="G396" i="55"/>
  <c r="O396" i="64"/>
  <c r="H396" i="64"/>
  <c r="L396" i="64"/>
  <c r="P396" i="64"/>
  <c r="G397" i="55"/>
  <c r="O397" i="64"/>
  <c r="H397" i="64"/>
  <c r="L397" i="64"/>
  <c r="P397" i="64"/>
  <c r="G398" i="55"/>
  <c r="O398" i="64"/>
  <c r="H398" i="64"/>
  <c r="L398" i="64"/>
  <c r="P398" i="64"/>
  <c r="G399" i="55"/>
  <c r="O399" i="64"/>
  <c r="H399" i="64"/>
  <c r="L399" i="64"/>
  <c r="P399" i="64"/>
  <c r="G400" i="55"/>
  <c r="O400" i="64"/>
  <c r="H400" i="64"/>
  <c r="L400" i="64"/>
  <c r="P400" i="64"/>
  <c r="G401" i="55"/>
  <c r="O401" i="64"/>
  <c r="H401" i="64"/>
  <c r="L401" i="64"/>
  <c r="P401" i="64"/>
  <c r="G402" i="55"/>
  <c r="O402" i="64"/>
  <c r="H402" i="64"/>
  <c r="L402" i="64"/>
  <c r="P402" i="64"/>
  <c r="G403" i="55"/>
  <c r="O403" i="64"/>
  <c r="H403" i="64"/>
  <c r="L403" i="64"/>
  <c r="P403" i="64"/>
  <c r="G404" i="55"/>
  <c r="O404" i="64"/>
  <c r="H404" i="64"/>
  <c r="L404" i="64"/>
  <c r="P404" i="64"/>
  <c r="G405" i="55"/>
  <c r="O405" i="64"/>
  <c r="H405" i="64"/>
  <c r="L405" i="64"/>
  <c r="P405" i="64"/>
  <c r="G406" i="55"/>
  <c r="O406" i="64"/>
  <c r="H406" i="64"/>
  <c r="L406" i="64"/>
  <c r="P406" i="64"/>
  <c r="G407" i="55"/>
  <c r="O407" i="64"/>
  <c r="H407" i="64"/>
  <c r="L407" i="64"/>
  <c r="P407" i="64"/>
  <c r="G408" i="55"/>
  <c r="O408" i="64"/>
  <c r="H408" i="64"/>
  <c r="L408" i="64"/>
  <c r="P408" i="64"/>
  <c r="G409" i="55"/>
  <c r="O409" i="64"/>
  <c r="H409" i="64"/>
  <c r="L409" i="64"/>
  <c r="P409" i="64"/>
  <c r="G410" i="55"/>
  <c r="O410" i="64"/>
  <c r="H410" i="64"/>
  <c r="L410" i="64"/>
  <c r="P410" i="64"/>
  <c r="G411" i="55"/>
  <c r="O411" i="64"/>
  <c r="H411" i="64"/>
  <c r="L411" i="64"/>
  <c r="P411" i="64"/>
  <c r="G412" i="55"/>
  <c r="O412" i="64"/>
  <c r="H412" i="64"/>
  <c r="L412" i="64"/>
  <c r="P412" i="64"/>
  <c r="G413" i="55"/>
  <c r="O413" i="64"/>
  <c r="H413" i="64"/>
  <c r="L413" i="64"/>
  <c r="P413" i="64"/>
  <c r="G414" i="55"/>
  <c r="O414" i="64"/>
  <c r="H414" i="64"/>
  <c r="L414" i="64"/>
  <c r="P414" i="64"/>
  <c r="G415" i="55"/>
  <c r="O415" i="64"/>
  <c r="H415" i="64"/>
  <c r="L415" i="64"/>
  <c r="P415" i="64"/>
  <c r="G416" i="55"/>
  <c r="O416" i="64"/>
  <c r="H416" i="64"/>
  <c r="L416" i="64"/>
  <c r="P416" i="64"/>
  <c r="G417" i="55"/>
  <c r="O417" i="64"/>
  <c r="H417" i="64"/>
  <c r="L417" i="64"/>
  <c r="P417" i="64"/>
  <c r="G418" i="55"/>
  <c r="O418" i="64"/>
  <c r="H418" i="64"/>
  <c r="L418" i="64"/>
  <c r="P418" i="64"/>
  <c r="G419" i="55"/>
  <c r="O419" i="64"/>
  <c r="H419" i="64"/>
  <c r="L419" i="64"/>
  <c r="P419" i="64"/>
  <c r="G420" i="55"/>
  <c r="O420" i="64"/>
  <c r="H420" i="64"/>
  <c r="L420" i="64"/>
  <c r="P420" i="64"/>
  <c r="G421" i="55"/>
  <c r="O421" i="64"/>
  <c r="H421" i="64"/>
  <c r="L421" i="64"/>
  <c r="P421" i="64"/>
  <c r="G422" i="55"/>
  <c r="O422" i="64"/>
  <c r="H422" i="64"/>
  <c r="L422" i="64"/>
  <c r="P422" i="64"/>
  <c r="G423" i="55"/>
  <c r="O423" i="64"/>
  <c r="H423" i="64"/>
  <c r="L423" i="64"/>
  <c r="P423" i="64"/>
  <c r="G424" i="55"/>
  <c r="O424" i="64"/>
  <c r="H424" i="64"/>
  <c r="L424" i="64"/>
  <c r="P424" i="64"/>
  <c r="G425" i="55"/>
  <c r="O425" i="64"/>
  <c r="H425" i="64"/>
  <c r="L425" i="64"/>
  <c r="P425" i="64"/>
  <c r="G426" i="55"/>
  <c r="O426" i="64"/>
  <c r="H426" i="64"/>
  <c r="L426" i="64"/>
  <c r="P426" i="64"/>
  <c r="G427" i="55"/>
  <c r="O427" i="64"/>
  <c r="H427" i="64"/>
  <c r="L427" i="64"/>
  <c r="P427" i="64"/>
  <c r="G428" i="55"/>
  <c r="O428" i="64"/>
  <c r="H428" i="64"/>
  <c r="L428" i="64"/>
  <c r="P428" i="64"/>
  <c r="G429" i="55"/>
  <c r="O429" i="64"/>
  <c r="H429" i="64"/>
  <c r="L429" i="64"/>
  <c r="P429" i="64"/>
  <c r="G430" i="55"/>
  <c r="O430" i="64"/>
  <c r="H430" i="64"/>
  <c r="L430" i="64"/>
  <c r="P430" i="64"/>
  <c r="G431" i="55"/>
  <c r="O431" i="64"/>
  <c r="H431" i="64"/>
  <c r="L431" i="64"/>
  <c r="P431" i="64"/>
  <c r="G432" i="55"/>
  <c r="O432" i="64"/>
  <c r="H432" i="64"/>
  <c r="L432" i="64"/>
  <c r="P432" i="64"/>
  <c r="G433" i="55"/>
  <c r="O433" i="64"/>
  <c r="H433" i="64"/>
  <c r="L433" i="64"/>
  <c r="P433" i="64"/>
  <c r="G434" i="55"/>
  <c r="O434" i="64"/>
  <c r="H434" i="64"/>
  <c r="L434" i="64"/>
  <c r="P434" i="64"/>
  <c r="G435" i="55"/>
  <c r="O435" i="64"/>
  <c r="H435" i="64"/>
  <c r="L435" i="64"/>
  <c r="P435" i="64"/>
  <c r="G436" i="55"/>
  <c r="O436" i="64"/>
  <c r="H436" i="64"/>
  <c r="L436" i="64"/>
  <c r="P436" i="64"/>
  <c r="G437" i="55"/>
  <c r="O437" i="64"/>
  <c r="H437" i="64"/>
  <c r="L437" i="64"/>
  <c r="P437" i="64"/>
  <c r="G438" i="55"/>
  <c r="O438" i="64"/>
  <c r="H438" i="64"/>
  <c r="L438" i="64"/>
  <c r="P438" i="64"/>
  <c r="G439" i="55"/>
  <c r="O439" i="64"/>
  <c r="H439" i="64"/>
  <c r="L439" i="64"/>
  <c r="P439" i="64"/>
  <c r="G440" i="55"/>
  <c r="O440" i="64"/>
  <c r="H440" i="64"/>
  <c r="L440" i="64"/>
  <c r="P440" i="64"/>
  <c r="G441" i="55"/>
  <c r="O441" i="64"/>
  <c r="H441" i="64"/>
  <c r="L441" i="64"/>
  <c r="P441" i="64"/>
  <c r="G442" i="55"/>
  <c r="O442" i="64"/>
  <c r="H442" i="64"/>
  <c r="L442" i="64"/>
  <c r="P442" i="64"/>
  <c r="G443" i="55"/>
  <c r="O443" i="64"/>
  <c r="H443" i="64"/>
  <c r="L443" i="64"/>
  <c r="P443" i="64"/>
  <c r="G444" i="55"/>
  <c r="O444" i="64"/>
  <c r="H444" i="64"/>
  <c r="L444" i="64"/>
  <c r="P444" i="64"/>
  <c r="G445" i="55"/>
  <c r="O445" i="64"/>
  <c r="H445" i="64"/>
  <c r="L445" i="64"/>
  <c r="P445" i="64"/>
  <c r="G446" i="55"/>
  <c r="O446" i="64"/>
  <c r="H446" i="64"/>
  <c r="L446" i="64"/>
  <c r="P446" i="64"/>
  <c r="G447" i="55"/>
  <c r="O447" i="64"/>
  <c r="H447" i="64"/>
  <c r="L447" i="64"/>
  <c r="P447" i="64"/>
  <c r="G448" i="55"/>
  <c r="O448" i="64"/>
  <c r="H448" i="64"/>
  <c r="L448" i="64"/>
  <c r="P448" i="64"/>
  <c r="G449" i="55"/>
  <c r="O449" i="64"/>
  <c r="H449" i="64"/>
  <c r="L449" i="64"/>
  <c r="P449" i="64"/>
  <c r="G450" i="55"/>
  <c r="O450" i="64"/>
  <c r="H450" i="64"/>
  <c r="L450" i="64"/>
  <c r="P450" i="64"/>
  <c r="G451" i="55"/>
  <c r="O451" i="64"/>
  <c r="H451" i="64"/>
  <c r="L451" i="64"/>
  <c r="P451" i="64"/>
  <c r="G452" i="55"/>
  <c r="O452" i="64"/>
  <c r="H452" i="64"/>
  <c r="L452" i="64"/>
  <c r="P452" i="64"/>
  <c r="G453" i="55"/>
  <c r="O453" i="64"/>
  <c r="H453" i="64"/>
  <c r="L453" i="64"/>
  <c r="P453" i="64"/>
  <c r="G454" i="55"/>
  <c r="O454" i="64"/>
  <c r="H454" i="64"/>
  <c r="L454" i="64"/>
  <c r="P454" i="64"/>
  <c r="G455" i="55"/>
  <c r="O455" i="64"/>
  <c r="H455" i="64"/>
  <c r="L455" i="64"/>
  <c r="P455" i="64"/>
  <c r="G456" i="55"/>
  <c r="O456" i="64"/>
  <c r="H456" i="64"/>
  <c r="L456" i="64"/>
  <c r="P456" i="64"/>
  <c r="G457" i="55"/>
  <c r="O457" i="64"/>
  <c r="H457" i="64"/>
  <c r="L457" i="64"/>
  <c r="P457" i="64"/>
  <c r="G458" i="55"/>
  <c r="O458" i="64"/>
  <c r="H458" i="64"/>
  <c r="L458" i="64"/>
  <c r="P458" i="64"/>
  <c r="G459" i="55"/>
  <c r="O459" i="64"/>
  <c r="H459" i="64"/>
  <c r="L459" i="64"/>
  <c r="P459" i="64"/>
  <c r="G460" i="55"/>
  <c r="O460" i="64"/>
  <c r="H460" i="64"/>
  <c r="L460" i="64"/>
  <c r="P460" i="64"/>
  <c r="G461" i="55"/>
  <c r="O461" i="64"/>
  <c r="H461" i="64"/>
  <c r="L461" i="64"/>
  <c r="P461" i="64"/>
  <c r="G462" i="55"/>
  <c r="O462" i="64"/>
  <c r="H462" i="64"/>
  <c r="L462" i="64"/>
  <c r="P462" i="64"/>
  <c r="G463" i="55"/>
  <c r="O463" i="64"/>
  <c r="H463" i="64"/>
  <c r="L463" i="64"/>
  <c r="P463" i="64"/>
  <c r="G464" i="55"/>
  <c r="O464" i="64"/>
  <c r="H464" i="64"/>
  <c r="L464" i="64"/>
  <c r="P464" i="64"/>
  <c r="G465" i="55"/>
  <c r="O465" i="64"/>
  <c r="H465" i="64"/>
  <c r="L465" i="64"/>
  <c r="P465" i="64"/>
  <c r="G466" i="55"/>
  <c r="O466" i="64"/>
  <c r="H466" i="64"/>
  <c r="L466" i="64"/>
  <c r="P466" i="64"/>
  <c r="G467" i="55"/>
  <c r="O467" i="64"/>
  <c r="H467" i="64"/>
  <c r="L467" i="64"/>
  <c r="P467" i="64"/>
  <c r="G468" i="55"/>
  <c r="O468" i="64"/>
  <c r="H468" i="64"/>
  <c r="L468" i="64"/>
  <c r="P468" i="64"/>
  <c r="G469" i="55"/>
  <c r="O469" i="64"/>
  <c r="H469" i="64"/>
  <c r="L469" i="64"/>
  <c r="P469" i="64"/>
  <c r="G470" i="55"/>
  <c r="O470" i="64"/>
  <c r="H470" i="64"/>
  <c r="L470" i="64"/>
  <c r="P470" i="64"/>
  <c r="G471" i="55"/>
  <c r="O471" i="64"/>
  <c r="H471" i="64"/>
  <c r="L471" i="64"/>
  <c r="P471" i="64"/>
  <c r="G472" i="55"/>
  <c r="O472" i="64"/>
  <c r="H472" i="64"/>
  <c r="L472" i="64"/>
  <c r="P472" i="64"/>
  <c r="G473" i="55"/>
  <c r="O473" i="64"/>
  <c r="H473" i="64"/>
  <c r="L473" i="64"/>
  <c r="P473" i="64"/>
  <c r="G474" i="55"/>
  <c r="O474" i="64"/>
  <c r="H474" i="64"/>
  <c r="L474" i="64"/>
  <c r="P474" i="64"/>
  <c r="G475" i="55"/>
  <c r="O475" i="64"/>
  <c r="H475" i="64"/>
  <c r="L475" i="64"/>
  <c r="P475" i="64"/>
  <c r="G476" i="55"/>
  <c r="O476" i="64"/>
  <c r="H476" i="64"/>
  <c r="L476" i="64"/>
  <c r="P476" i="64"/>
  <c r="G477" i="55"/>
  <c r="O477" i="64"/>
  <c r="H477" i="64"/>
  <c r="L477" i="64"/>
  <c r="P477" i="64"/>
  <c r="G478" i="55"/>
  <c r="O478" i="64"/>
  <c r="H478" i="64"/>
  <c r="L478" i="64"/>
  <c r="P478" i="64"/>
  <c r="G479" i="55"/>
  <c r="O479" i="64"/>
  <c r="H479" i="64"/>
  <c r="L479" i="64"/>
  <c r="P479" i="64"/>
  <c r="G480" i="55"/>
  <c r="O480" i="64"/>
  <c r="H480" i="64"/>
  <c r="L480" i="64"/>
  <c r="P480" i="64"/>
  <c r="G481" i="55"/>
  <c r="O481" i="64"/>
  <c r="H481" i="64"/>
  <c r="L481" i="64"/>
  <c r="P481" i="64"/>
  <c r="G482" i="55"/>
  <c r="O482" i="64"/>
  <c r="H482" i="64"/>
  <c r="L482" i="64"/>
  <c r="P482" i="64"/>
  <c r="G483" i="55"/>
  <c r="O483" i="64"/>
  <c r="H483" i="64"/>
  <c r="L483" i="64"/>
  <c r="P483" i="64"/>
  <c r="G484" i="55"/>
  <c r="O484" i="64"/>
  <c r="H484" i="64"/>
  <c r="L484" i="64"/>
  <c r="P484" i="64"/>
  <c r="G485" i="55"/>
  <c r="O485" i="64"/>
  <c r="H485" i="64"/>
  <c r="L485" i="64"/>
  <c r="P485" i="64"/>
  <c r="G486" i="55"/>
  <c r="O486" i="64"/>
  <c r="H486" i="64"/>
  <c r="L486" i="64"/>
  <c r="P486" i="64"/>
  <c r="G487" i="55"/>
  <c r="O487" i="64"/>
  <c r="H487" i="64"/>
  <c r="L487" i="64"/>
  <c r="P487" i="64"/>
  <c r="G488" i="55"/>
  <c r="O488" i="64"/>
  <c r="H488" i="64"/>
  <c r="L488" i="64"/>
  <c r="P488" i="64"/>
  <c r="G489" i="55"/>
  <c r="O489" i="64"/>
  <c r="H489" i="64"/>
  <c r="L489" i="64"/>
  <c r="P489" i="64"/>
  <c r="G490" i="55"/>
  <c r="O490" i="64"/>
  <c r="H490" i="64"/>
  <c r="L490" i="64"/>
  <c r="P490" i="64"/>
  <c r="G491" i="55"/>
  <c r="O491" i="64"/>
  <c r="H491" i="64"/>
  <c r="L491" i="64"/>
  <c r="P491" i="64"/>
  <c r="G492" i="55"/>
  <c r="O492" i="64"/>
  <c r="H492" i="64"/>
  <c r="L492" i="64"/>
  <c r="P492" i="64"/>
  <c r="G493" i="55"/>
  <c r="O493" i="64"/>
  <c r="H493" i="64"/>
  <c r="L493" i="64"/>
  <c r="P493" i="64"/>
  <c r="G494" i="55"/>
  <c r="O494" i="64"/>
  <c r="H494" i="64"/>
  <c r="L494" i="64"/>
  <c r="P494" i="64"/>
  <c r="G495" i="55"/>
  <c r="O495" i="64"/>
  <c r="H495" i="64"/>
  <c r="L495" i="64"/>
  <c r="P495" i="64"/>
  <c r="G496" i="55"/>
  <c r="O496" i="64"/>
  <c r="H496" i="64"/>
  <c r="L496" i="64"/>
  <c r="P496" i="64"/>
  <c r="G497" i="55"/>
  <c r="O497" i="64"/>
  <c r="H497" i="64"/>
  <c r="L497" i="64"/>
  <c r="P497" i="64"/>
  <c r="G498" i="55"/>
  <c r="O498" i="64"/>
  <c r="H498" i="64"/>
  <c r="L498" i="64"/>
  <c r="P498" i="64"/>
  <c r="G499" i="55"/>
  <c r="O499" i="64"/>
  <c r="H499" i="64"/>
  <c r="L499" i="64"/>
  <c r="P499" i="64"/>
  <c r="G500" i="55"/>
  <c r="O500" i="64"/>
  <c r="H500" i="64"/>
  <c r="L500" i="64"/>
  <c r="P500" i="64"/>
  <c r="G501" i="55"/>
  <c r="O501" i="64"/>
  <c r="H501" i="64"/>
  <c r="L501" i="64"/>
  <c r="P501" i="64"/>
  <c r="G502" i="55"/>
  <c r="O502" i="64"/>
  <c r="H502" i="64"/>
  <c r="L502" i="64"/>
  <c r="P502" i="64"/>
  <c r="G503" i="55"/>
  <c r="O503" i="64"/>
  <c r="H503" i="64"/>
  <c r="L503" i="64"/>
  <c r="P503" i="64"/>
  <c r="G504" i="55"/>
  <c r="O504" i="64"/>
  <c r="H504" i="64"/>
  <c r="L504" i="64"/>
  <c r="P504" i="64"/>
  <c r="G505" i="55"/>
  <c r="O505" i="64"/>
  <c r="H505" i="64"/>
  <c r="L505" i="64"/>
  <c r="P505" i="64"/>
  <c r="G6" i="55"/>
  <c r="J6" i="64"/>
  <c r="K6" i="64"/>
  <c r="M6" i="64"/>
  <c r="J7" i="64"/>
  <c r="K7" i="64"/>
  <c r="M7" i="64"/>
  <c r="J8" i="64"/>
  <c r="K8" i="64"/>
  <c r="M8" i="64"/>
  <c r="J9" i="64"/>
  <c r="K9" i="64"/>
  <c r="M9" i="64"/>
  <c r="J10" i="64"/>
  <c r="K10" i="64"/>
  <c r="M10" i="64"/>
  <c r="J11" i="64"/>
  <c r="K11" i="64"/>
  <c r="M11" i="64"/>
  <c r="J12" i="64"/>
  <c r="K12" i="64"/>
  <c r="M12" i="64"/>
  <c r="J13" i="64"/>
  <c r="K13" i="64"/>
  <c r="M13" i="64"/>
  <c r="J14" i="64"/>
  <c r="K14" i="64"/>
  <c r="M14" i="64"/>
  <c r="J15" i="64"/>
  <c r="K15" i="64"/>
  <c r="M15" i="64"/>
  <c r="J16" i="64"/>
  <c r="K16" i="64"/>
  <c r="M16" i="64"/>
  <c r="J17" i="64"/>
  <c r="K17" i="64"/>
  <c r="M17" i="64"/>
  <c r="J18" i="64"/>
  <c r="K18" i="64"/>
  <c r="M18" i="64"/>
  <c r="J19" i="64"/>
  <c r="K19" i="64"/>
  <c r="M19" i="64"/>
  <c r="J20" i="64"/>
  <c r="K20" i="64"/>
  <c r="M20" i="64"/>
  <c r="J21" i="64"/>
  <c r="K21" i="64"/>
  <c r="M21" i="64"/>
  <c r="J22" i="64"/>
  <c r="K22" i="64"/>
  <c r="M22" i="64"/>
  <c r="J23" i="64"/>
  <c r="K23" i="64"/>
  <c r="M23" i="64"/>
  <c r="J24" i="64"/>
  <c r="K24" i="64"/>
  <c r="M24" i="64"/>
  <c r="J25" i="64"/>
  <c r="K25" i="64"/>
  <c r="M25" i="64"/>
  <c r="J26" i="64"/>
  <c r="K26" i="64"/>
  <c r="M26" i="64"/>
  <c r="J27" i="64"/>
  <c r="K27" i="64"/>
  <c r="M27" i="64"/>
  <c r="J28" i="64"/>
  <c r="K28" i="64"/>
  <c r="M28" i="64"/>
  <c r="J29" i="64"/>
  <c r="K29" i="64"/>
  <c r="M29" i="64"/>
  <c r="J30" i="64"/>
  <c r="K30" i="64"/>
  <c r="M30" i="64"/>
  <c r="J31" i="64"/>
  <c r="K31" i="64"/>
  <c r="M31" i="64"/>
  <c r="J32" i="64"/>
  <c r="K32" i="64"/>
  <c r="M32" i="64"/>
  <c r="J33" i="64"/>
  <c r="K33" i="64"/>
  <c r="M33" i="64"/>
  <c r="J34" i="64"/>
  <c r="K34" i="64"/>
  <c r="M34" i="64"/>
  <c r="J35" i="64"/>
  <c r="K35" i="64"/>
  <c r="M35" i="64"/>
  <c r="J36" i="64"/>
  <c r="K36" i="64"/>
  <c r="M36" i="64"/>
  <c r="J37" i="64"/>
  <c r="K37" i="64"/>
  <c r="M37" i="64"/>
  <c r="J38" i="64"/>
  <c r="K38" i="64"/>
  <c r="M38" i="64"/>
  <c r="J39" i="64"/>
  <c r="K39" i="64"/>
  <c r="M39" i="64"/>
  <c r="J40" i="64"/>
  <c r="K40" i="64"/>
  <c r="M40" i="64"/>
  <c r="J41" i="64"/>
  <c r="K41" i="64"/>
  <c r="M41" i="64"/>
  <c r="J42" i="64"/>
  <c r="K42" i="64"/>
  <c r="M42" i="64"/>
  <c r="J43" i="64"/>
  <c r="K43" i="64"/>
  <c r="M43" i="64"/>
  <c r="J44" i="64"/>
  <c r="K44" i="64"/>
  <c r="M44" i="64"/>
  <c r="J45" i="64"/>
  <c r="K45" i="64"/>
  <c r="M45" i="64"/>
  <c r="J46" i="64"/>
  <c r="K46" i="64"/>
  <c r="M46" i="64"/>
  <c r="J47" i="64"/>
  <c r="K47" i="64"/>
  <c r="M47" i="64"/>
  <c r="J48" i="64"/>
  <c r="K48" i="64"/>
  <c r="M48" i="64"/>
  <c r="J49" i="64"/>
  <c r="K49" i="64"/>
  <c r="M49" i="64"/>
  <c r="J50" i="64"/>
  <c r="K50" i="64"/>
  <c r="M50" i="64"/>
  <c r="J51" i="64"/>
  <c r="K51" i="64"/>
  <c r="M51" i="64"/>
  <c r="J52" i="64"/>
  <c r="K52" i="64"/>
  <c r="M52" i="64"/>
  <c r="J53" i="64"/>
  <c r="K53" i="64"/>
  <c r="M53" i="64"/>
  <c r="J54" i="64"/>
  <c r="K54" i="64"/>
  <c r="M54" i="64"/>
  <c r="J55" i="64"/>
  <c r="K55" i="64"/>
  <c r="M55" i="64"/>
  <c r="J56" i="64"/>
  <c r="K56" i="64"/>
  <c r="M56" i="64"/>
  <c r="J57" i="64"/>
  <c r="K57" i="64"/>
  <c r="M57" i="64"/>
  <c r="J58" i="64"/>
  <c r="K58" i="64"/>
  <c r="M58" i="64"/>
  <c r="J59" i="64"/>
  <c r="K59" i="64"/>
  <c r="M59" i="64"/>
  <c r="J60" i="64"/>
  <c r="K60" i="64"/>
  <c r="M60" i="64"/>
  <c r="J61" i="64"/>
  <c r="K61" i="64"/>
  <c r="M61" i="64"/>
  <c r="J62" i="64"/>
  <c r="K62" i="64"/>
  <c r="M62" i="64"/>
  <c r="J63" i="64"/>
  <c r="K63" i="64"/>
  <c r="M63" i="64"/>
  <c r="J64" i="64"/>
  <c r="K64" i="64"/>
  <c r="M64" i="64"/>
  <c r="J65" i="64"/>
  <c r="K65" i="64"/>
  <c r="M65" i="64"/>
  <c r="J66" i="64"/>
  <c r="K66" i="64"/>
  <c r="M66" i="64"/>
  <c r="J67" i="64"/>
  <c r="K67" i="64"/>
  <c r="M67" i="64"/>
  <c r="J68" i="64"/>
  <c r="K68" i="64"/>
  <c r="M68" i="64"/>
  <c r="J69" i="64"/>
  <c r="K69" i="64"/>
  <c r="M69" i="64"/>
  <c r="J70" i="64"/>
  <c r="K70" i="64"/>
  <c r="M70" i="64"/>
  <c r="J71" i="64"/>
  <c r="K71" i="64"/>
  <c r="M71" i="64"/>
  <c r="J72" i="64"/>
  <c r="K72" i="64"/>
  <c r="M72" i="64"/>
  <c r="J73" i="64"/>
  <c r="K73" i="64"/>
  <c r="M73" i="64"/>
  <c r="J74" i="64"/>
  <c r="K74" i="64"/>
  <c r="M74" i="64"/>
  <c r="J75" i="64"/>
  <c r="K75" i="64"/>
  <c r="M75" i="64"/>
  <c r="J76" i="64"/>
  <c r="K76" i="64"/>
  <c r="M76" i="64"/>
  <c r="J77" i="64"/>
  <c r="K77" i="64"/>
  <c r="M77" i="64"/>
  <c r="J78" i="64"/>
  <c r="K78" i="64"/>
  <c r="M78" i="64"/>
  <c r="J79" i="64"/>
  <c r="K79" i="64"/>
  <c r="M79" i="64"/>
  <c r="J80" i="64"/>
  <c r="K80" i="64"/>
  <c r="M80" i="64"/>
  <c r="J81" i="64"/>
  <c r="K81" i="64"/>
  <c r="M81" i="64"/>
  <c r="J82" i="64"/>
  <c r="K82" i="64"/>
  <c r="M82" i="64"/>
  <c r="J83" i="64"/>
  <c r="K83" i="64"/>
  <c r="M83" i="64"/>
  <c r="J84" i="64"/>
  <c r="K84" i="64"/>
  <c r="M84" i="64"/>
  <c r="J85" i="64"/>
  <c r="K85" i="64"/>
  <c r="M85" i="64"/>
  <c r="J86" i="64"/>
  <c r="K86" i="64"/>
  <c r="M86" i="64"/>
  <c r="J87" i="64"/>
  <c r="K87" i="64"/>
  <c r="M87" i="64"/>
  <c r="J88" i="64"/>
  <c r="K88" i="64"/>
  <c r="M88" i="64"/>
  <c r="J89" i="64"/>
  <c r="K89" i="64"/>
  <c r="M89" i="64"/>
  <c r="J90" i="64"/>
  <c r="K90" i="64"/>
  <c r="M90" i="64"/>
  <c r="J91" i="64"/>
  <c r="K91" i="64"/>
  <c r="M91" i="64"/>
  <c r="J92" i="64"/>
  <c r="K92" i="64"/>
  <c r="M92" i="64"/>
  <c r="J93" i="64"/>
  <c r="K93" i="64"/>
  <c r="M93" i="64"/>
  <c r="J94" i="64"/>
  <c r="K94" i="64"/>
  <c r="M94" i="64"/>
  <c r="J95" i="64"/>
  <c r="K95" i="64"/>
  <c r="M95" i="64"/>
  <c r="J96" i="64"/>
  <c r="K96" i="64"/>
  <c r="M96" i="64"/>
  <c r="J97" i="64"/>
  <c r="K97" i="64"/>
  <c r="M97" i="64"/>
  <c r="J98" i="64"/>
  <c r="K98" i="64"/>
  <c r="M98" i="64"/>
  <c r="J99" i="64"/>
  <c r="K99" i="64"/>
  <c r="M99" i="64"/>
  <c r="J100" i="64"/>
  <c r="K100" i="64"/>
  <c r="M100" i="64"/>
  <c r="J101" i="64"/>
  <c r="K101" i="64"/>
  <c r="M101" i="64"/>
  <c r="J102" i="64"/>
  <c r="K102" i="64"/>
  <c r="M102" i="64"/>
  <c r="J103" i="64"/>
  <c r="K103" i="64"/>
  <c r="M103" i="64"/>
  <c r="J104" i="64"/>
  <c r="K104" i="64"/>
  <c r="M104" i="64"/>
  <c r="J105" i="64"/>
  <c r="K105" i="64"/>
  <c r="M105" i="64"/>
  <c r="J106" i="64"/>
  <c r="K106" i="64"/>
  <c r="M106" i="64"/>
  <c r="J107" i="64"/>
  <c r="K107" i="64"/>
  <c r="M107" i="64"/>
  <c r="J108" i="64"/>
  <c r="K108" i="64"/>
  <c r="M108" i="64"/>
  <c r="J109" i="64"/>
  <c r="K109" i="64"/>
  <c r="M109" i="64"/>
  <c r="J110" i="64"/>
  <c r="K110" i="64"/>
  <c r="M110" i="64"/>
  <c r="J111" i="64"/>
  <c r="K111" i="64"/>
  <c r="M111" i="64"/>
  <c r="J112" i="64"/>
  <c r="K112" i="64"/>
  <c r="M112" i="64"/>
  <c r="J113" i="64"/>
  <c r="K113" i="64"/>
  <c r="M113" i="64"/>
  <c r="J114" i="64"/>
  <c r="K114" i="64"/>
  <c r="M114" i="64"/>
  <c r="J115" i="64"/>
  <c r="K115" i="64"/>
  <c r="M115" i="64"/>
  <c r="J116" i="64"/>
  <c r="K116" i="64"/>
  <c r="M116" i="64"/>
  <c r="J117" i="64"/>
  <c r="K117" i="64"/>
  <c r="M117" i="64"/>
  <c r="J118" i="64"/>
  <c r="K118" i="64"/>
  <c r="M118" i="64"/>
  <c r="J119" i="64"/>
  <c r="K119" i="64"/>
  <c r="M119" i="64"/>
  <c r="J120" i="64"/>
  <c r="K120" i="64"/>
  <c r="M120" i="64"/>
  <c r="J121" i="64"/>
  <c r="K121" i="64"/>
  <c r="M121" i="64"/>
  <c r="J122" i="64"/>
  <c r="K122" i="64"/>
  <c r="M122" i="64"/>
  <c r="J123" i="64"/>
  <c r="K123" i="64"/>
  <c r="M123" i="64"/>
  <c r="J124" i="64"/>
  <c r="K124" i="64"/>
  <c r="M124" i="64"/>
  <c r="J125" i="64"/>
  <c r="K125" i="64"/>
  <c r="M125" i="64"/>
  <c r="J126" i="64"/>
  <c r="K126" i="64"/>
  <c r="M126" i="64"/>
  <c r="J127" i="64"/>
  <c r="K127" i="64"/>
  <c r="M127" i="64"/>
  <c r="J128" i="64"/>
  <c r="K128" i="64"/>
  <c r="M128" i="64"/>
  <c r="J129" i="64"/>
  <c r="K129" i="64"/>
  <c r="M129" i="64"/>
  <c r="J130" i="64"/>
  <c r="K130" i="64"/>
  <c r="M130" i="64"/>
  <c r="J131" i="64"/>
  <c r="K131" i="64"/>
  <c r="M131" i="64"/>
  <c r="J132" i="64"/>
  <c r="K132" i="64"/>
  <c r="M132" i="64"/>
  <c r="J133" i="64"/>
  <c r="K133" i="64"/>
  <c r="M133" i="64"/>
  <c r="J134" i="64"/>
  <c r="K134" i="64"/>
  <c r="M134" i="64"/>
  <c r="J135" i="64"/>
  <c r="K135" i="64"/>
  <c r="M135" i="64"/>
  <c r="J136" i="64"/>
  <c r="K136" i="64"/>
  <c r="M136" i="64"/>
  <c r="J137" i="64"/>
  <c r="K137" i="64"/>
  <c r="M137" i="64"/>
  <c r="J138" i="64"/>
  <c r="K138" i="64"/>
  <c r="M138" i="64"/>
  <c r="J139" i="64"/>
  <c r="K139" i="64"/>
  <c r="M139" i="64"/>
  <c r="J140" i="64"/>
  <c r="K140" i="64"/>
  <c r="M140" i="64"/>
  <c r="J141" i="64"/>
  <c r="K141" i="64"/>
  <c r="M141" i="64"/>
  <c r="J142" i="64"/>
  <c r="K142" i="64"/>
  <c r="M142" i="64"/>
  <c r="J143" i="64"/>
  <c r="K143" i="64"/>
  <c r="M143" i="64"/>
  <c r="J144" i="64"/>
  <c r="K144" i="64"/>
  <c r="M144" i="64"/>
  <c r="J145" i="64"/>
  <c r="K145" i="64"/>
  <c r="M145" i="64"/>
  <c r="J146" i="64"/>
  <c r="K146" i="64"/>
  <c r="M146" i="64"/>
  <c r="J147" i="64"/>
  <c r="K147" i="64"/>
  <c r="M147" i="64"/>
  <c r="J148" i="64"/>
  <c r="K148" i="64"/>
  <c r="M148" i="64"/>
  <c r="J149" i="64"/>
  <c r="K149" i="64"/>
  <c r="M149" i="64"/>
  <c r="J150" i="64"/>
  <c r="K150" i="64"/>
  <c r="M150" i="64"/>
  <c r="J151" i="64"/>
  <c r="K151" i="64"/>
  <c r="M151" i="64"/>
  <c r="J152" i="64"/>
  <c r="K152" i="64"/>
  <c r="M152" i="64"/>
  <c r="J153" i="64"/>
  <c r="K153" i="64"/>
  <c r="M153" i="64"/>
  <c r="J154" i="64"/>
  <c r="K154" i="64"/>
  <c r="M154" i="64"/>
  <c r="J155" i="64"/>
  <c r="K155" i="64"/>
  <c r="M155" i="64"/>
  <c r="J156" i="64"/>
  <c r="K156" i="64"/>
  <c r="M156" i="64"/>
  <c r="J157" i="64"/>
  <c r="K157" i="64"/>
  <c r="M157" i="64"/>
  <c r="J158" i="64"/>
  <c r="K158" i="64"/>
  <c r="M158" i="64"/>
  <c r="J159" i="64"/>
  <c r="K159" i="64"/>
  <c r="M159" i="64"/>
  <c r="J160" i="64"/>
  <c r="K160" i="64"/>
  <c r="M160" i="64"/>
  <c r="J161" i="64"/>
  <c r="K161" i="64"/>
  <c r="M161" i="64"/>
  <c r="J162" i="64"/>
  <c r="K162" i="64"/>
  <c r="M162" i="64"/>
  <c r="J163" i="64"/>
  <c r="K163" i="64"/>
  <c r="M163" i="64"/>
  <c r="J164" i="64"/>
  <c r="K164" i="64"/>
  <c r="M164" i="64"/>
  <c r="J165" i="64"/>
  <c r="K165" i="64"/>
  <c r="M165" i="64"/>
  <c r="J166" i="64"/>
  <c r="K166" i="64"/>
  <c r="M166" i="64"/>
  <c r="J167" i="64"/>
  <c r="K167" i="64"/>
  <c r="M167" i="64"/>
  <c r="J168" i="64"/>
  <c r="K168" i="64"/>
  <c r="M168" i="64"/>
  <c r="J169" i="64"/>
  <c r="K169" i="64"/>
  <c r="M169" i="64"/>
  <c r="J170" i="64"/>
  <c r="K170" i="64"/>
  <c r="M170" i="64"/>
  <c r="J171" i="64"/>
  <c r="K171" i="64"/>
  <c r="M171" i="64"/>
  <c r="J172" i="64"/>
  <c r="K172" i="64"/>
  <c r="M172" i="64"/>
  <c r="J173" i="64"/>
  <c r="K173" i="64"/>
  <c r="M173" i="64"/>
  <c r="J174" i="64"/>
  <c r="K174" i="64"/>
  <c r="M174" i="64"/>
  <c r="J175" i="64"/>
  <c r="K175" i="64"/>
  <c r="M175" i="64"/>
  <c r="J176" i="64"/>
  <c r="K176" i="64"/>
  <c r="M176" i="64"/>
  <c r="J177" i="64"/>
  <c r="K177" i="64"/>
  <c r="M177" i="64"/>
  <c r="J178" i="64"/>
  <c r="K178" i="64"/>
  <c r="M178" i="64"/>
  <c r="J179" i="64"/>
  <c r="K179" i="64"/>
  <c r="M179" i="64"/>
  <c r="J180" i="64"/>
  <c r="K180" i="64"/>
  <c r="M180" i="64"/>
  <c r="J181" i="64"/>
  <c r="K181" i="64"/>
  <c r="M181" i="64"/>
  <c r="J182" i="64"/>
  <c r="K182" i="64"/>
  <c r="M182" i="64"/>
  <c r="J183" i="64"/>
  <c r="K183" i="64"/>
  <c r="M183" i="64"/>
  <c r="J184" i="64"/>
  <c r="K184" i="64"/>
  <c r="M184" i="64"/>
  <c r="J185" i="64"/>
  <c r="K185" i="64"/>
  <c r="M185" i="64"/>
  <c r="J186" i="64"/>
  <c r="K186" i="64"/>
  <c r="M186" i="64"/>
  <c r="J187" i="64"/>
  <c r="K187" i="64"/>
  <c r="M187" i="64"/>
  <c r="J188" i="64"/>
  <c r="K188" i="64"/>
  <c r="M188" i="64"/>
  <c r="J189" i="64"/>
  <c r="K189" i="64"/>
  <c r="M189" i="64"/>
  <c r="J190" i="64"/>
  <c r="K190" i="64"/>
  <c r="M190" i="64"/>
  <c r="J191" i="64"/>
  <c r="K191" i="64"/>
  <c r="M191" i="64"/>
  <c r="J192" i="64"/>
  <c r="K192" i="64"/>
  <c r="M192" i="64"/>
  <c r="J193" i="64"/>
  <c r="K193" i="64"/>
  <c r="M193" i="64"/>
  <c r="J194" i="64"/>
  <c r="K194" i="64"/>
  <c r="M194" i="64"/>
  <c r="J195" i="64"/>
  <c r="K195" i="64"/>
  <c r="M195" i="64"/>
  <c r="J196" i="64"/>
  <c r="K196" i="64"/>
  <c r="M196" i="64"/>
  <c r="J197" i="64"/>
  <c r="K197" i="64"/>
  <c r="M197" i="64"/>
  <c r="J198" i="64"/>
  <c r="K198" i="64"/>
  <c r="M198" i="64"/>
  <c r="J199" i="64"/>
  <c r="K199" i="64"/>
  <c r="M199" i="64"/>
  <c r="J200" i="64"/>
  <c r="K200" i="64"/>
  <c r="M200" i="64"/>
  <c r="J201" i="64"/>
  <c r="K201" i="64"/>
  <c r="M201" i="64"/>
  <c r="J202" i="64"/>
  <c r="K202" i="64"/>
  <c r="M202" i="64"/>
  <c r="J203" i="64"/>
  <c r="K203" i="64"/>
  <c r="M203" i="64"/>
  <c r="J204" i="64"/>
  <c r="K204" i="64"/>
  <c r="M204" i="64"/>
  <c r="J205" i="64"/>
  <c r="K205" i="64"/>
  <c r="M205" i="64"/>
  <c r="J206" i="64"/>
  <c r="K206" i="64"/>
  <c r="M206" i="64"/>
  <c r="J207" i="64"/>
  <c r="K207" i="64"/>
  <c r="M207" i="64"/>
  <c r="J208" i="64"/>
  <c r="K208" i="64"/>
  <c r="M208" i="64"/>
  <c r="J209" i="64"/>
  <c r="K209" i="64"/>
  <c r="M209" i="64"/>
  <c r="J210" i="64"/>
  <c r="K210" i="64"/>
  <c r="M210" i="64"/>
  <c r="J211" i="64"/>
  <c r="K211" i="64"/>
  <c r="M211" i="64"/>
  <c r="J212" i="64"/>
  <c r="K212" i="64"/>
  <c r="M212" i="64"/>
  <c r="J213" i="64"/>
  <c r="K213" i="64"/>
  <c r="M213" i="64"/>
  <c r="J214" i="64"/>
  <c r="K214" i="64"/>
  <c r="M214" i="64"/>
  <c r="J215" i="64"/>
  <c r="K215" i="64"/>
  <c r="M215" i="64"/>
  <c r="J216" i="64"/>
  <c r="K216" i="64"/>
  <c r="M216" i="64"/>
  <c r="J217" i="64"/>
  <c r="K217" i="64"/>
  <c r="M217" i="64"/>
  <c r="J218" i="64"/>
  <c r="K218" i="64"/>
  <c r="M218" i="64"/>
  <c r="J219" i="64"/>
  <c r="K219" i="64"/>
  <c r="M219" i="64"/>
  <c r="J220" i="64"/>
  <c r="K220" i="64"/>
  <c r="M220" i="64"/>
  <c r="J221" i="64"/>
  <c r="K221" i="64"/>
  <c r="M221" i="64"/>
  <c r="J222" i="64"/>
  <c r="K222" i="64"/>
  <c r="M222" i="64"/>
  <c r="J223" i="64"/>
  <c r="K223" i="64"/>
  <c r="M223" i="64"/>
  <c r="J224" i="64"/>
  <c r="K224" i="64"/>
  <c r="M224" i="64"/>
  <c r="J225" i="64"/>
  <c r="K225" i="64"/>
  <c r="M225" i="64"/>
  <c r="J226" i="64"/>
  <c r="K226" i="64"/>
  <c r="M226" i="64"/>
  <c r="J227" i="64"/>
  <c r="K227" i="64"/>
  <c r="M227" i="64"/>
  <c r="J228" i="64"/>
  <c r="K228" i="64"/>
  <c r="M228" i="64"/>
  <c r="J229" i="64"/>
  <c r="K229" i="64"/>
  <c r="M229" i="64"/>
  <c r="J230" i="64"/>
  <c r="K230" i="64"/>
  <c r="M230" i="64"/>
  <c r="J231" i="64"/>
  <c r="K231" i="64"/>
  <c r="M231" i="64"/>
  <c r="J232" i="64"/>
  <c r="K232" i="64"/>
  <c r="M232" i="64"/>
  <c r="J233" i="64"/>
  <c r="K233" i="64"/>
  <c r="M233" i="64"/>
  <c r="J234" i="64"/>
  <c r="K234" i="64"/>
  <c r="M234" i="64"/>
  <c r="J235" i="64"/>
  <c r="K235" i="64"/>
  <c r="M235" i="64"/>
  <c r="J236" i="64"/>
  <c r="K236" i="64"/>
  <c r="M236" i="64"/>
  <c r="J237" i="64"/>
  <c r="K237" i="64"/>
  <c r="M237" i="64"/>
  <c r="J238" i="64"/>
  <c r="K238" i="64"/>
  <c r="M238" i="64"/>
  <c r="J239" i="64"/>
  <c r="K239" i="64"/>
  <c r="M239" i="64"/>
  <c r="J240" i="64"/>
  <c r="K240" i="64"/>
  <c r="M240" i="64"/>
  <c r="J241" i="64"/>
  <c r="K241" i="64"/>
  <c r="M241" i="64"/>
  <c r="J242" i="64"/>
  <c r="K242" i="64"/>
  <c r="M242" i="64"/>
  <c r="J243" i="64"/>
  <c r="K243" i="64"/>
  <c r="M243" i="64"/>
  <c r="J244" i="64"/>
  <c r="K244" i="64"/>
  <c r="M244" i="64"/>
  <c r="J245" i="64"/>
  <c r="K245" i="64"/>
  <c r="M245" i="64"/>
  <c r="J246" i="64"/>
  <c r="K246" i="64"/>
  <c r="M246" i="64"/>
  <c r="J247" i="64"/>
  <c r="K247" i="64"/>
  <c r="M247" i="64"/>
  <c r="J248" i="64"/>
  <c r="K248" i="64"/>
  <c r="M248" i="64"/>
  <c r="J249" i="64"/>
  <c r="K249" i="64"/>
  <c r="M249" i="64"/>
  <c r="J250" i="64"/>
  <c r="K250" i="64"/>
  <c r="M250" i="64"/>
  <c r="J251" i="64"/>
  <c r="K251" i="64"/>
  <c r="M251" i="64"/>
  <c r="J252" i="64"/>
  <c r="K252" i="64"/>
  <c r="M252" i="64"/>
  <c r="J253" i="64"/>
  <c r="K253" i="64"/>
  <c r="M253" i="64"/>
  <c r="J254" i="64"/>
  <c r="K254" i="64"/>
  <c r="M254" i="64"/>
  <c r="J255" i="64"/>
  <c r="K255" i="64"/>
  <c r="M255" i="64"/>
  <c r="J256" i="64"/>
  <c r="K256" i="64"/>
  <c r="M256" i="64"/>
  <c r="J257" i="64"/>
  <c r="K257" i="64"/>
  <c r="M257" i="64"/>
  <c r="J258" i="64"/>
  <c r="K258" i="64"/>
  <c r="M258" i="64"/>
  <c r="J259" i="64"/>
  <c r="K259" i="64"/>
  <c r="M259" i="64"/>
  <c r="J260" i="64"/>
  <c r="K260" i="64"/>
  <c r="M260" i="64"/>
  <c r="J261" i="64"/>
  <c r="K261" i="64"/>
  <c r="M261" i="64"/>
  <c r="J262" i="64"/>
  <c r="K262" i="64"/>
  <c r="M262" i="64"/>
  <c r="J263" i="64"/>
  <c r="K263" i="64"/>
  <c r="M263" i="64"/>
  <c r="J264" i="64"/>
  <c r="K264" i="64"/>
  <c r="M264" i="64"/>
  <c r="J265" i="64"/>
  <c r="K265" i="64"/>
  <c r="M265" i="64"/>
  <c r="J266" i="64"/>
  <c r="K266" i="64"/>
  <c r="M266" i="64"/>
  <c r="J267" i="64"/>
  <c r="K267" i="64"/>
  <c r="M267" i="64"/>
  <c r="J268" i="64"/>
  <c r="K268" i="64"/>
  <c r="M268" i="64"/>
  <c r="J269" i="64"/>
  <c r="K269" i="64"/>
  <c r="M269" i="64"/>
  <c r="J270" i="64"/>
  <c r="K270" i="64"/>
  <c r="M270" i="64"/>
  <c r="J271" i="64"/>
  <c r="K271" i="64"/>
  <c r="M271" i="64"/>
  <c r="J272" i="64"/>
  <c r="K272" i="64"/>
  <c r="M272" i="64"/>
  <c r="J273" i="64"/>
  <c r="K273" i="64"/>
  <c r="M273" i="64"/>
  <c r="J274" i="64"/>
  <c r="K274" i="64"/>
  <c r="M274" i="64"/>
  <c r="J275" i="64"/>
  <c r="K275" i="64"/>
  <c r="M275" i="64"/>
  <c r="J276" i="64"/>
  <c r="K276" i="64"/>
  <c r="M276" i="64"/>
  <c r="J277" i="64"/>
  <c r="K277" i="64"/>
  <c r="M277" i="64"/>
  <c r="J278" i="64"/>
  <c r="K278" i="64"/>
  <c r="M278" i="64"/>
  <c r="J279" i="64"/>
  <c r="K279" i="64"/>
  <c r="M279" i="64"/>
  <c r="J280" i="64"/>
  <c r="K280" i="64"/>
  <c r="M280" i="64"/>
  <c r="J281" i="64"/>
  <c r="K281" i="64"/>
  <c r="M281" i="64"/>
  <c r="J282" i="64"/>
  <c r="K282" i="64"/>
  <c r="M282" i="64"/>
  <c r="J283" i="64"/>
  <c r="K283" i="64"/>
  <c r="M283" i="64"/>
  <c r="J284" i="64"/>
  <c r="K284" i="64"/>
  <c r="M284" i="64"/>
  <c r="J285" i="64"/>
  <c r="K285" i="64"/>
  <c r="M285" i="64"/>
  <c r="J286" i="64"/>
  <c r="K286" i="64"/>
  <c r="M286" i="64"/>
  <c r="J287" i="64"/>
  <c r="K287" i="64"/>
  <c r="M287" i="64"/>
  <c r="J288" i="64"/>
  <c r="K288" i="64"/>
  <c r="M288" i="64"/>
  <c r="J289" i="64"/>
  <c r="K289" i="64"/>
  <c r="M289" i="64"/>
  <c r="J290" i="64"/>
  <c r="K290" i="64"/>
  <c r="M290" i="64"/>
  <c r="J291" i="64"/>
  <c r="K291" i="64"/>
  <c r="M291" i="64"/>
  <c r="J292" i="64"/>
  <c r="K292" i="64"/>
  <c r="M292" i="64"/>
  <c r="J293" i="64"/>
  <c r="K293" i="64"/>
  <c r="M293" i="64"/>
  <c r="J294" i="64"/>
  <c r="K294" i="64"/>
  <c r="M294" i="64"/>
  <c r="J295" i="64"/>
  <c r="K295" i="64"/>
  <c r="M295" i="64"/>
  <c r="J296" i="64"/>
  <c r="K296" i="64"/>
  <c r="M296" i="64"/>
  <c r="J297" i="64"/>
  <c r="K297" i="64"/>
  <c r="M297" i="64"/>
  <c r="J298" i="64"/>
  <c r="K298" i="64"/>
  <c r="M298" i="64"/>
  <c r="J299" i="64"/>
  <c r="K299" i="64"/>
  <c r="M299" i="64"/>
  <c r="J300" i="64"/>
  <c r="K300" i="64"/>
  <c r="M300" i="64"/>
  <c r="J301" i="64"/>
  <c r="K301" i="64"/>
  <c r="M301" i="64"/>
  <c r="J302" i="64"/>
  <c r="K302" i="64"/>
  <c r="M302" i="64"/>
  <c r="J303" i="64"/>
  <c r="K303" i="64"/>
  <c r="M303" i="64"/>
  <c r="J304" i="64"/>
  <c r="K304" i="64"/>
  <c r="M304" i="64"/>
  <c r="J305" i="64"/>
  <c r="K305" i="64"/>
  <c r="M305" i="64"/>
  <c r="J306" i="64"/>
  <c r="K306" i="64"/>
  <c r="M306" i="64"/>
  <c r="J307" i="64"/>
  <c r="K307" i="64"/>
  <c r="M307" i="64"/>
  <c r="J308" i="64"/>
  <c r="K308" i="64"/>
  <c r="M308" i="64"/>
  <c r="J309" i="64"/>
  <c r="K309" i="64"/>
  <c r="M309" i="64"/>
  <c r="J310" i="64"/>
  <c r="K310" i="64"/>
  <c r="M310" i="64"/>
  <c r="J311" i="64"/>
  <c r="K311" i="64"/>
  <c r="M311" i="64"/>
  <c r="J312" i="64"/>
  <c r="K312" i="64"/>
  <c r="M312" i="64"/>
  <c r="J313" i="64"/>
  <c r="K313" i="64"/>
  <c r="M313" i="64"/>
  <c r="J314" i="64"/>
  <c r="K314" i="64"/>
  <c r="M314" i="64"/>
  <c r="J315" i="64"/>
  <c r="K315" i="64"/>
  <c r="M315" i="64"/>
  <c r="J316" i="64"/>
  <c r="K316" i="64"/>
  <c r="M316" i="64"/>
  <c r="J317" i="64"/>
  <c r="K317" i="64"/>
  <c r="M317" i="64"/>
  <c r="J318" i="64"/>
  <c r="K318" i="64"/>
  <c r="M318" i="64"/>
  <c r="J319" i="64"/>
  <c r="K319" i="64"/>
  <c r="M319" i="64"/>
  <c r="J320" i="64"/>
  <c r="K320" i="64"/>
  <c r="M320" i="64"/>
  <c r="J321" i="64"/>
  <c r="K321" i="64"/>
  <c r="M321" i="64"/>
  <c r="J322" i="64"/>
  <c r="K322" i="64"/>
  <c r="M322" i="64"/>
  <c r="J323" i="64"/>
  <c r="K323" i="64"/>
  <c r="M323" i="64"/>
  <c r="J324" i="64"/>
  <c r="K324" i="64"/>
  <c r="M324" i="64"/>
  <c r="J325" i="64"/>
  <c r="K325" i="64"/>
  <c r="M325" i="64"/>
  <c r="J326" i="64"/>
  <c r="K326" i="64"/>
  <c r="M326" i="64"/>
  <c r="J327" i="64"/>
  <c r="K327" i="64"/>
  <c r="M327" i="64"/>
  <c r="J328" i="64"/>
  <c r="K328" i="64"/>
  <c r="M328" i="64"/>
  <c r="J329" i="64"/>
  <c r="K329" i="64"/>
  <c r="M329" i="64"/>
  <c r="J330" i="64"/>
  <c r="K330" i="64"/>
  <c r="M330" i="64"/>
  <c r="J331" i="64"/>
  <c r="K331" i="64"/>
  <c r="M331" i="64"/>
  <c r="J332" i="64"/>
  <c r="K332" i="64"/>
  <c r="M332" i="64"/>
  <c r="J333" i="64"/>
  <c r="K333" i="64"/>
  <c r="M333" i="64"/>
  <c r="J334" i="64"/>
  <c r="K334" i="64"/>
  <c r="M334" i="64"/>
  <c r="J335" i="64"/>
  <c r="K335" i="64"/>
  <c r="M335" i="64"/>
  <c r="J336" i="64"/>
  <c r="K336" i="64"/>
  <c r="M336" i="64"/>
  <c r="J337" i="64"/>
  <c r="K337" i="64"/>
  <c r="M337" i="64"/>
  <c r="J338" i="64"/>
  <c r="K338" i="64"/>
  <c r="M338" i="64"/>
  <c r="J339" i="64"/>
  <c r="K339" i="64"/>
  <c r="M339" i="64"/>
  <c r="J340" i="64"/>
  <c r="K340" i="64"/>
  <c r="M340" i="64"/>
  <c r="J341" i="64"/>
  <c r="K341" i="64"/>
  <c r="M341" i="64"/>
  <c r="J342" i="64"/>
  <c r="K342" i="64"/>
  <c r="M342" i="64"/>
  <c r="J343" i="64"/>
  <c r="K343" i="64"/>
  <c r="M343" i="64"/>
  <c r="J344" i="64"/>
  <c r="K344" i="64"/>
  <c r="M344" i="64"/>
  <c r="J345" i="64"/>
  <c r="K345" i="64"/>
  <c r="M345" i="64"/>
  <c r="J346" i="64"/>
  <c r="K346" i="64"/>
  <c r="M346" i="64"/>
  <c r="J347" i="64"/>
  <c r="K347" i="64"/>
  <c r="M347" i="64"/>
  <c r="J348" i="64"/>
  <c r="K348" i="64"/>
  <c r="M348" i="64"/>
  <c r="J349" i="64"/>
  <c r="K349" i="64"/>
  <c r="M349" i="64"/>
  <c r="J350" i="64"/>
  <c r="K350" i="64"/>
  <c r="M350" i="64"/>
  <c r="J351" i="64"/>
  <c r="K351" i="64"/>
  <c r="M351" i="64"/>
  <c r="J352" i="64"/>
  <c r="K352" i="64"/>
  <c r="M352" i="64"/>
  <c r="J353" i="64"/>
  <c r="K353" i="64"/>
  <c r="M353" i="64"/>
  <c r="J354" i="64"/>
  <c r="K354" i="64"/>
  <c r="M354" i="64"/>
  <c r="J355" i="64"/>
  <c r="K355" i="64"/>
  <c r="M355" i="64"/>
  <c r="J356" i="64"/>
  <c r="K356" i="64"/>
  <c r="M356" i="64"/>
  <c r="J357" i="64"/>
  <c r="K357" i="64"/>
  <c r="M357" i="64"/>
  <c r="J358" i="64"/>
  <c r="K358" i="64"/>
  <c r="M358" i="64"/>
  <c r="J359" i="64"/>
  <c r="K359" i="64"/>
  <c r="M359" i="64"/>
  <c r="J360" i="64"/>
  <c r="K360" i="64"/>
  <c r="M360" i="64"/>
  <c r="J361" i="64"/>
  <c r="K361" i="64"/>
  <c r="M361" i="64"/>
  <c r="J362" i="64"/>
  <c r="K362" i="64"/>
  <c r="M362" i="64"/>
  <c r="J363" i="64"/>
  <c r="K363" i="64"/>
  <c r="M363" i="64"/>
  <c r="J364" i="64"/>
  <c r="K364" i="64"/>
  <c r="M364" i="64"/>
  <c r="J365" i="64"/>
  <c r="K365" i="64"/>
  <c r="M365" i="64"/>
  <c r="J366" i="64"/>
  <c r="K366" i="64"/>
  <c r="M366" i="64"/>
  <c r="J367" i="64"/>
  <c r="K367" i="64"/>
  <c r="M367" i="64"/>
  <c r="J368" i="64"/>
  <c r="K368" i="64"/>
  <c r="M368" i="64"/>
  <c r="J369" i="64"/>
  <c r="K369" i="64"/>
  <c r="M369" i="64"/>
  <c r="J370" i="64"/>
  <c r="K370" i="64"/>
  <c r="M370" i="64"/>
  <c r="J371" i="64"/>
  <c r="K371" i="64"/>
  <c r="M371" i="64"/>
  <c r="J372" i="64"/>
  <c r="K372" i="64"/>
  <c r="M372" i="64"/>
  <c r="J373" i="64"/>
  <c r="K373" i="64"/>
  <c r="M373" i="64"/>
  <c r="J374" i="64"/>
  <c r="K374" i="64"/>
  <c r="M374" i="64"/>
  <c r="J375" i="64"/>
  <c r="K375" i="64"/>
  <c r="M375" i="64"/>
  <c r="J376" i="64"/>
  <c r="K376" i="64"/>
  <c r="M376" i="64"/>
  <c r="J377" i="64"/>
  <c r="K377" i="64"/>
  <c r="M377" i="64"/>
  <c r="J378" i="64"/>
  <c r="K378" i="64"/>
  <c r="M378" i="64"/>
  <c r="J379" i="64"/>
  <c r="K379" i="64"/>
  <c r="M379" i="64"/>
  <c r="J380" i="64"/>
  <c r="K380" i="64"/>
  <c r="M380" i="64"/>
  <c r="J381" i="64"/>
  <c r="K381" i="64"/>
  <c r="M381" i="64"/>
  <c r="J382" i="64"/>
  <c r="K382" i="64"/>
  <c r="M382" i="64"/>
  <c r="J383" i="64"/>
  <c r="K383" i="64"/>
  <c r="M383" i="64"/>
  <c r="J384" i="64"/>
  <c r="K384" i="64"/>
  <c r="M384" i="64"/>
  <c r="J385" i="64"/>
  <c r="K385" i="64"/>
  <c r="M385" i="64"/>
  <c r="J386" i="64"/>
  <c r="K386" i="64"/>
  <c r="M386" i="64"/>
  <c r="J387" i="64"/>
  <c r="K387" i="64"/>
  <c r="M387" i="64"/>
  <c r="J388" i="64"/>
  <c r="K388" i="64"/>
  <c r="M388" i="64"/>
  <c r="J389" i="64"/>
  <c r="K389" i="64"/>
  <c r="M389" i="64"/>
  <c r="J390" i="64"/>
  <c r="K390" i="64"/>
  <c r="M390" i="64"/>
  <c r="J391" i="64"/>
  <c r="K391" i="64"/>
  <c r="M391" i="64"/>
  <c r="J392" i="64"/>
  <c r="K392" i="64"/>
  <c r="M392" i="64"/>
  <c r="J393" i="64"/>
  <c r="K393" i="64"/>
  <c r="M393" i="64"/>
  <c r="J394" i="64"/>
  <c r="K394" i="64"/>
  <c r="M394" i="64"/>
  <c r="J395" i="64"/>
  <c r="K395" i="64"/>
  <c r="M395" i="64"/>
  <c r="J396" i="64"/>
  <c r="K396" i="64"/>
  <c r="M396" i="64"/>
  <c r="J397" i="64"/>
  <c r="K397" i="64"/>
  <c r="M397" i="64"/>
  <c r="J398" i="64"/>
  <c r="K398" i="64"/>
  <c r="M398" i="64"/>
  <c r="J399" i="64"/>
  <c r="K399" i="64"/>
  <c r="M399" i="64"/>
  <c r="J400" i="64"/>
  <c r="K400" i="64"/>
  <c r="M400" i="64"/>
  <c r="J401" i="64"/>
  <c r="K401" i="64"/>
  <c r="M401" i="64"/>
  <c r="J402" i="64"/>
  <c r="K402" i="64"/>
  <c r="M402" i="64"/>
  <c r="J403" i="64"/>
  <c r="K403" i="64"/>
  <c r="M403" i="64"/>
  <c r="J404" i="64"/>
  <c r="K404" i="64"/>
  <c r="M404" i="64"/>
  <c r="J405" i="64"/>
  <c r="K405" i="64"/>
  <c r="M405" i="64"/>
  <c r="J406" i="64"/>
  <c r="K406" i="64"/>
  <c r="M406" i="64"/>
  <c r="J407" i="64"/>
  <c r="K407" i="64"/>
  <c r="M407" i="64"/>
  <c r="J408" i="64"/>
  <c r="K408" i="64"/>
  <c r="M408" i="64"/>
  <c r="J409" i="64"/>
  <c r="K409" i="64"/>
  <c r="M409" i="64"/>
  <c r="J410" i="64"/>
  <c r="K410" i="64"/>
  <c r="M410" i="64"/>
  <c r="J411" i="64"/>
  <c r="K411" i="64"/>
  <c r="M411" i="64"/>
  <c r="J412" i="64"/>
  <c r="K412" i="64"/>
  <c r="M412" i="64"/>
  <c r="J413" i="64"/>
  <c r="K413" i="64"/>
  <c r="M413" i="64"/>
  <c r="J414" i="64"/>
  <c r="K414" i="64"/>
  <c r="M414" i="64"/>
  <c r="J415" i="64"/>
  <c r="K415" i="64"/>
  <c r="M415" i="64"/>
  <c r="J416" i="64"/>
  <c r="K416" i="64"/>
  <c r="M416" i="64"/>
  <c r="J417" i="64"/>
  <c r="K417" i="64"/>
  <c r="M417" i="64"/>
  <c r="J418" i="64"/>
  <c r="K418" i="64"/>
  <c r="M418" i="64"/>
  <c r="J419" i="64"/>
  <c r="K419" i="64"/>
  <c r="M419" i="64"/>
  <c r="J420" i="64"/>
  <c r="K420" i="64"/>
  <c r="M420" i="64"/>
  <c r="J421" i="64"/>
  <c r="K421" i="64"/>
  <c r="M421" i="64"/>
  <c r="J422" i="64"/>
  <c r="K422" i="64"/>
  <c r="M422" i="64"/>
  <c r="J423" i="64"/>
  <c r="K423" i="64"/>
  <c r="M423" i="64"/>
  <c r="J424" i="64"/>
  <c r="K424" i="64"/>
  <c r="M424" i="64"/>
  <c r="J425" i="64"/>
  <c r="K425" i="64"/>
  <c r="M425" i="64"/>
  <c r="J426" i="64"/>
  <c r="K426" i="64"/>
  <c r="M426" i="64"/>
  <c r="J427" i="64"/>
  <c r="K427" i="64"/>
  <c r="M427" i="64"/>
  <c r="J428" i="64"/>
  <c r="K428" i="64"/>
  <c r="M428" i="64"/>
  <c r="J429" i="64"/>
  <c r="K429" i="64"/>
  <c r="M429" i="64"/>
  <c r="J430" i="64"/>
  <c r="K430" i="64"/>
  <c r="M430" i="64"/>
  <c r="J431" i="64"/>
  <c r="K431" i="64"/>
  <c r="M431" i="64"/>
  <c r="J432" i="64"/>
  <c r="K432" i="64"/>
  <c r="M432" i="64"/>
  <c r="J433" i="64"/>
  <c r="K433" i="64"/>
  <c r="M433" i="64"/>
  <c r="J434" i="64"/>
  <c r="K434" i="64"/>
  <c r="M434" i="64"/>
  <c r="J435" i="64"/>
  <c r="K435" i="64"/>
  <c r="M435" i="64"/>
  <c r="J436" i="64"/>
  <c r="K436" i="64"/>
  <c r="M436" i="64"/>
  <c r="J437" i="64"/>
  <c r="K437" i="64"/>
  <c r="M437" i="64"/>
  <c r="J438" i="64"/>
  <c r="K438" i="64"/>
  <c r="M438" i="64"/>
  <c r="J439" i="64"/>
  <c r="K439" i="64"/>
  <c r="M439" i="64"/>
  <c r="J440" i="64"/>
  <c r="K440" i="64"/>
  <c r="M440" i="64"/>
  <c r="J441" i="64"/>
  <c r="K441" i="64"/>
  <c r="M441" i="64"/>
  <c r="J442" i="64"/>
  <c r="K442" i="64"/>
  <c r="M442" i="64"/>
  <c r="J443" i="64"/>
  <c r="K443" i="64"/>
  <c r="M443" i="64"/>
  <c r="J444" i="64"/>
  <c r="K444" i="64"/>
  <c r="M444" i="64"/>
  <c r="J445" i="64"/>
  <c r="K445" i="64"/>
  <c r="M445" i="64"/>
  <c r="J446" i="64"/>
  <c r="K446" i="64"/>
  <c r="M446" i="64"/>
  <c r="J447" i="64"/>
  <c r="K447" i="64"/>
  <c r="M447" i="64"/>
  <c r="J448" i="64"/>
  <c r="K448" i="64"/>
  <c r="M448" i="64"/>
  <c r="J449" i="64"/>
  <c r="K449" i="64"/>
  <c r="M449" i="64"/>
  <c r="J450" i="64"/>
  <c r="K450" i="64"/>
  <c r="M450" i="64"/>
  <c r="J451" i="64"/>
  <c r="K451" i="64"/>
  <c r="M451" i="64"/>
  <c r="J452" i="64"/>
  <c r="K452" i="64"/>
  <c r="M452" i="64"/>
  <c r="J453" i="64"/>
  <c r="K453" i="64"/>
  <c r="M453" i="64"/>
  <c r="J454" i="64"/>
  <c r="K454" i="64"/>
  <c r="M454" i="64"/>
  <c r="J455" i="64"/>
  <c r="K455" i="64"/>
  <c r="M455" i="64"/>
  <c r="J456" i="64"/>
  <c r="K456" i="64"/>
  <c r="M456" i="64"/>
  <c r="J457" i="64"/>
  <c r="K457" i="64"/>
  <c r="M457" i="64"/>
  <c r="J458" i="64"/>
  <c r="K458" i="64"/>
  <c r="M458" i="64"/>
  <c r="J459" i="64"/>
  <c r="K459" i="64"/>
  <c r="M459" i="64"/>
  <c r="J460" i="64"/>
  <c r="K460" i="64"/>
  <c r="M460" i="64"/>
  <c r="J461" i="64"/>
  <c r="K461" i="64"/>
  <c r="M461" i="64"/>
  <c r="J462" i="64"/>
  <c r="K462" i="64"/>
  <c r="M462" i="64"/>
  <c r="J463" i="64"/>
  <c r="K463" i="64"/>
  <c r="M463" i="64"/>
  <c r="J464" i="64"/>
  <c r="K464" i="64"/>
  <c r="M464" i="64"/>
  <c r="J465" i="64"/>
  <c r="K465" i="64"/>
  <c r="M465" i="64"/>
  <c r="J466" i="64"/>
  <c r="K466" i="64"/>
  <c r="M466" i="64"/>
  <c r="J467" i="64"/>
  <c r="K467" i="64"/>
  <c r="M467" i="64"/>
  <c r="J468" i="64"/>
  <c r="K468" i="64"/>
  <c r="M468" i="64"/>
  <c r="J469" i="64"/>
  <c r="K469" i="64"/>
  <c r="M469" i="64"/>
  <c r="J470" i="64"/>
  <c r="K470" i="64"/>
  <c r="M470" i="64"/>
  <c r="J471" i="64"/>
  <c r="K471" i="64"/>
  <c r="M471" i="64"/>
  <c r="J472" i="64"/>
  <c r="K472" i="64"/>
  <c r="M472" i="64"/>
  <c r="J473" i="64"/>
  <c r="K473" i="64"/>
  <c r="M473" i="64"/>
  <c r="J474" i="64"/>
  <c r="K474" i="64"/>
  <c r="M474" i="64"/>
  <c r="J475" i="64"/>
  <c r="K475" i="64"/>
  <c r="M475" i="64"/>
  <c r="J476" i="64"/>
  <c r="K476" i="64"/>
  <c r="M476" i="64"/>
  <c r="J477" i="64"/>
  <c r="K477" i="64"/>
  <c r="M477" i="64"/>
  <c r="J478" i="64"/>
  <c r="K478" i="64"/>
  <c r="M478" i="64"/>
  <c r="J479" i="64"/>
  <c r="K479" i="64"/>
  <c r="M479" i="64"/>
  <c r="J480" i="64"/>
  <c r="K480" i="64"/>
  <c r="M480" i="64"/>
  <c r="J481" i="64"/>
  <c r="K481" i="64"/>
  <c r="M481" i="64"/>
  <c r="J482" i="64"/>
  <c r="K482" i="64"/>
  <c r="M482" i="64"/>
  <c r="J483" i="64"/>
  <c r="K483" i="64"/>
  <c r="M483" i="64"/>
  <c r="J484" i="64"/>
  <c r="K484" i="64"/>
  <c r="M484" i="64"/>
  <c r="J485" i="64"/>
  <c r="K485" i="64"/>
  <c r="M485" i="64"/>
  <c r="J486" i="64"/>
  <c r="K486" i="64"/>
  <c r="M486" i="64"/>
  <c r="J487" i="64"/>
  <c r="K487" i="64"/>
  <c r="M487" i="64"/>
  <c r="J488" i="64"/>
  <c r="K488" i="64"/>
  <c r="M488" i="64"/>
  <c r="J489" i="64"/>
  <c r="K489" i="64"/>
  <c r="M489" i="64"/>
  <c r="J490" i="64"/>
  <c r="K490" i="64"/>
  <c r="M490" i="64"/>
  <c r="J491" i="64"/>
  <c r="K491" i="64"/>
  <c r="M491" i="64"/>
  <c r="J492" i="64"/>
  <c r="K492" i="64"/>
  <c r="M492" i="64"/>
  <c r="J493" i="64"/>
  <c r="K493" i="64"/>
  <c r="M493" i="64"/>
  <c r="J494" i="64"/>
  <c r="K494" i="64"/>
  <c r="M494" i="64"/>
  <c r="J495" i="64"/>
  <c r="K495" i="64"/>
  <c r="M495" i="64"/>
  <c r="J496" i="64"/>
  <c r="K496" i="64"/>
  <c r="M496" i="64"/>
  <c r="J497" i="64"/>
  <c r="K497" i="64"/>
  <c r="M497" i="64"/>
  <c r="J498" i="64"/>
  <c r="K498" i="64"/>
  <c r="M498" i="64"/>
  <c r="J499" i="64"/>
  <c r="K499" i="64"/>
  <c r="M499" i="64"/>
  <c r="J500" i="64"/>
  <c r="K500" i="64"/>
  <c r="M500" i="64"/>
  <c r="J501" i="64"/>
  <c r="K501" i="64"/>
  <c r="M501" i="64"/>
  <c r="J502" i="64"/>
  <c r="K502" i="64"/>
  <c r="M502" i="64"/>
  <c r="J503" i="64"/>
  <c r="K503" i="64"/>
  <c r="M503" i="64"/>
  <c r="J504" i="64"/>
  <c r="K504" i="64"/>
  <c r="M504" i="64"/>
  <c r="J505" i="64"/>
  <c r="K505" i="64"/>
  <c r="M505" i="64"/>
  <c r="D8" i="59"/>
  <c r="G13" i="58"/>
  <c r="B6" i="60"/>
  <c r="B7" i="60"/>
  <c r="B8" i="60"/>
  <c r="B9" i="60"/>
  <c r="B10" i="60"/>
  <c r="B11" i="60"/>
  <c r="B12" i="60"/>
  <c r="B13" i="60"/>
  <c r="B14" i="60"/>
  <c r="B15" i="60"/>
  <c r="B16" i="60"/>
  <c r="B17" i="60"/>
  <c r="B18" i="60"/>
  <c r="B19" i="60"/>
  <c r="B20" i="60"/>
  <c r="B21" i="60"/>
  <c r="B22" i="60"/>
  <c r="B23" i="60"/>
  <c r="B24" i="60"/>
  <c r="B25" i="60"/>
  <c r="B26" i="60"/>
  <c r="B27" i="60"/>
  <c r="B28" i="60"/>
  <c r="B29" i="60"/>
  <c r="B30" i="60"/>
  <c r="B31" i="60"/>
  <c r="B32" i="60"/>
  <c r="B33" i="60"/>
  <c r="B34" i="60"/>
  <c r="B35" i="60"/>
  <c r="B36" i="60"/>
  <c r="B37" i="60"/>
  <c r="B38" i="60"/>
  <c r="B39" i="60"/>
  <c r="B40" i="60"/>
  <c r="B41" i="60"/>
  <c r="B42" i="60"/>
  <c r="B43" i="60"/>
  <c r="B44" i="60"/>
  <c r="B45" i="60"/>
  <c r="B46" i="60"/>
  <c r="B47" i="60"/>
  <c r="B48" i="60"/>
  <c r="B49" i="60"/>
  <c r="B50" i="60"/>
  <c r="B51" i="60"/>
  <c r="B52" i="60"/>
  <c r="B53" i="60"/>
  <c r="B54" i="60"/>
  <c r="B55" i="60"/>
  <c r="B56" i="60"/>
  <c r="B57" i="60"/>
  <c r="B58" i="60"/>
  <c r="B59" i="60"/>
  <c r="B60" i="60"/>
  <c r="B61" i="60"/>
  <c r="B62" i="60"/>
  <c r="B63" i="60"/>
  <c r="B64" i="60"/>
  <c r="B65" i="60"/>
  <c r="B66" i="60"/>
  <c r="B67" i="60"/>
  <c r="B68" i="60"/>
  <c r="B69" i="60"/>
  <c r="B70" i="60"/>
  <c r="B71" i="60"/>
  <c r="B72" i="60"/>
  <c r="B73" i="60"/>
  <c r="B74" i="60"/>
  <c r="B75" i="60"/>
  <c r="B76" i="60"/>
  <c r="B77" i="60"/>
  <c r="B78" i="60"/>
  <c r="B79" i="60"/>
  <c r="B80" i="60"/>
  <c r="B81" i="60"/>
  <c r="B82" i="60"/>
  <c r="B83" i="60"/>
  <c r="B84" i="60"/>
  <c r="B85" i="60"/>
  <c r="B86" i="60"/>
  <c r="B87" i="60"/>
  <c r="B88" i="60"/>
  <c r="B89" i="60"/>
  <c r="B90" i="60"/>
  <c r="B91" i="60"/>
  <c r="B92" i="60"/>
  <c r="B93" i="60"/>
  <c r="B94" i="60"/>
  <c r="B95" i="60"/>
  <c r="B96" i="60"/>
  <c r="B97" i="60"/>
  <c r="B98" i="60"/>
  <c r="B99" i="60"/>
  <c r="B100" i="60"/>
  <c r="B101" i="60"/>
  <c r="B102" i="60"/>
  <c r="B103" i="60"/>
  <c r="B104" i="60"/>
  <c r="B105" i="60"/>
  <c r="B106" i="60"/>
  <c r="B107" i="60"/>
  <c r="B108" i="60"/>
  <c r="B109" i="60"/>
  <c r="B110" i="60"/>
  <c r="B111" i="60"/>
  <c r="B112" i="60"/>
  <c r="B113" i="60"/>
  <c r="B114" i="60"/>
  <c r="B115" i="60"/>
  <c r="B116" i="60"/>
  <c r="B117" i="60"/>
  <c r="B118" i="60"/>
  <c r="B119" i="60"/>
  <c r="B120" i="60"/>
  <c r="B121" i="60"/>
  <c r="B122" i="60"/>
  <c r="B123" i="60"/>
  <c r="B124" i="60"/>
  <c r="B125" i="60"/>
  <c r="B126" i="60"/>
  <c r="B127" i="60"/>
  <c r="B128" i="60"/>
  <c r="B129" i="60"/>
  <c r="B130" i="60"/>
  <c r="B131" i="60"/>
  <c r="B132" i="60"/>
  <c r="B133" i="60"/>
  <c r="B134" i="60"/>
  <c r="B135" i="60"/>
  <c r="B136" i="60"/>
  <c r="B137" i="60"/>
  <c r="B138" i="60"/>
  <c r="B139" i="60"/>
  <c r="B140" i="60"/>
  <c r="B141" i="60"/>
  <c r="B142" i="60"/>
  <c r="B143" i="60"/>
  <c r="B144" i="60"/>
  <c r="B145" i="60"/>
  <c r="B146" i="60"/>
  <c r="B147" i="60"/>
  <c r="B148" i="60"/>
  <c r="B149" i="60"/>
  <c r="B150" i="60"/>
  <c r="B151" i="60"/>
  <c r="B152" i="60"/>
  <c r="B153" i="60"/>
  <c r="B154" i="60"/>
  <c r="B155" i="60"/>
  <c r="B156" i="60"/>
  <c r="B157" i="60"/>
  <c r="B158" i="60"/>
  <c r="B159" i="60"/>
  <c r="B160" i="60"/>
  <c r="B161" i="60"/>
  <c r="B162" i="60"/>
  <c r="B163" i="60"/>
  <c r="B164" i="60"/>
  <c r="B165" i="60"/>
  <c r="B166" i="60"/>
  <c r="B167" i="60"/>
  <c r="B168" i="60"/>
  <c r="B169" i="60"/>
  <c r="B170" i="60"/>
  <c r="B171" i="60"/>
  <c r="B172" i="60"/>
  <c r="B173" i="60"/>
  <c r="B174" i="60"/>
  <c r="B175" i="60"/>
  <c r="B176" i="60"/>
  <c r="B177" i="60"/>
  <c r="B178" i="60"/>
  <c r="B179" i="60"/>
  <c r="B180" i="60"/>
  <c r="B181" i="60"/>
  <c r="B182" i="60"/>
  <c r="B183" i="60"/>
  <c r="B184" i="60"/>
  <c r="B185" i="60"/>
  <c r="B186" i="60"/>
  <c r="B187" i="60"/>
  <c r="B188" i="60"/>
  <c r="B189" i="60"/>
  <c r="B190" i="60"/>
  <c r="B191" i="60"/>
  <c r="B192" i="60"/>
  <c r="B193" i="60"/>
  <c r="B194" i="60"/>
  <c r="B195" i="60"/>
  <c r="B196" i="60"/>
  <c r="B197" i="60"/>
  <c r="B198" i="60"/>
  <c r="B199" i="60"/>
  <c r="B200" i="60"/>
  <c r="B201" i="60"/>
  <c r="B202" i="60"/>
  <c r="B203" i="60"/>
  <c r="B204" i="60"/>
  <c r="B205" i="60"/>
  <c r="B206" i="60"/>
  <c r="B207" i="60"/>
  <c r="B208" i="60"/>
  <c r="B209" i="60"/>
  <c r="B210" i="60"/>
  <c r="B211" i="60"/>
  <c r="B212" i="60"/>
  <c r="B213" i="60"/>
  <c r="B214" i="60"/>
  <c r="B215" i="60"/>
  <c r="B216" i="60"/>
  <c r="B217" i="60"/>
  <c r="B218" i="60"/>
  <c r="B219" i="60"/>
  <c r="B220" i="60"/>
  <c r="B221" i="60"/>
  <c r="B222" i="60"/>
  <c r="B223" i="60"/>
  <c r="B224" i="60"/>
  <c r="B225" i="60"/>
  <c r="B226" i="60"/>
  <c r="B227" i="60"/>
  <c r="B228" i="60"/>
  <c r="B229" i="60"/>
  <c r="B230" i="60"/>
  <c r="B231" i="60"/>
  <c r="B232" i="60"/>
  <c r="B233" i="60"/>
  <c r="B234" i="60"/>
  <c r="B235" i="60"/>
  <c r="B236" i="60"/>
  <c r="B237" i="60"/>
  <c r="B238" i="60"/>
  <c r="B239" i="60"/>
  <c r="B240" i="60"/>
  <c r="B241" i="60"/>
  <c r="B242" i="60"/>
  <c r="B243" i="60"/>
  <c r="B244" i="60"/>
  <c r="B245" i="60"/>
  <c r="B246" i="60"/>
  <c r="B247" i="60"/>
  <c r="B248" i="60"/>
  <c r="B249" i="60"/>
  <c r="B250" i="60"/>
  <c r="B251" i="60"/>
  <c r="B252" i="60"/>
  <c r="B253" i="60"/>
  <c r="B254" i="60"/>
  <c r="B255" i="60"/>
  <c r="B256" i="60"/>
  <c r="B257" i="60"/>
  <c r="B258" i="60"/>
  <c r="B259" i="60"/>
  <c r="B260" i="60"/>
  <c r="B261" i="60"/>
  <c r="B262" i="60"/>
  <c r="B263" i="60"/>
  <c r="B264" i="60"/>
  <c r="B265" i="60"/>
  <c r="B266" i="60"/>
  <c r="B267" i="60"/>
  <c r="B268" i="60"/>
  <c r="B269" i="60"/>
  <c r="B270" i="60"/>
  <c r="B271" i="60"/>
  <c r="B272" i="60"/>
  <c r="B273" i="60"/>
  <c r="B274" i="60"/>
  <c r="B275" i="60"/>
  <c r="B276" i="60"/>
  <c r="B277" i="60"/>
  <c r="B278" i="60"/>
  <c r="B279" i="60"/>
  <c r="B280" i="60"/>
  <c r="B281" i="60"/>
  <c r="B282" i="60"/>
  <c r="B283" i="60"/>
  <c r="B284" i="60"/>
  <c r="B285" i="60"/>
  <c r="B286" i="60"/>
  <c r="B287" i="60"/>
  <c r="B288" i="60"/>
  <c r="B289" i="60"/>
  <c r="B290" i="60"/>
  <c r="B291" i="60"/>
  <c r="B292" i="60"/>
  <c r="B293" i="60"/>
  <c r="B294" i="60"/>
  <c r="B295" i="60"/>
  <c r="B296" i="60"/>
  <c r="B297" i="60"/>
  <c r="B298" i="60"/>
  <c r="B299" i="60"/>
  <c r="B300" i="60"/>
  <c r="B301" i="60"/>
  <c r="B302" i="60"/>
  <c r="B303" i="60"/>
  <c r="B304" i="60"/>
  <c r="B305" i="60"/>
  <c r="B306" i="60"/>
  <c r="B307" i="60"/>
  <c r="B308" i="60"/>
  <c r="B309" i="60"/>
  <c r="B310" i="60"/>
  <c r="B311" i="60"/>
  <c r="B312" i="60"/>
  <c r="B313" i="60"/>
  <c r="B314" i="60"/>
  <c r="B315" i="60"/>
  <c r="B316" i="60"/>
  <c r="B317" i="60"/>
  <c r="B318" i="60"/>
  <c r="B319" i="60"/>
  <c r="B320" i="60"/>
  <c r="B321" i="60"/>
  <c r="B322" i="60"/>
  <c r="B323" i="60"/>
  <c r="B324" i="60"/>
  <c r="B325" i="60"/>
  <c r="B326" i="60"/>
  <c r="B327" i="60"/>
  <c r="B328" i="60"/>
  <c r="B329" i="60"/>
  <c r="B330" i="60"/>
  <c r="B331" i="60"/>
  <c r="B332" i="60"/>
  <c r="B333" i="60"/>
  <c r="B334" i="60"/>
  <c r="B335" i="60"/>
  <c r="B336" i="60"/>
  <c r="B337" i="60"/>
  <c r="B338" i="60"/>
  <c r="B339" i="60"/>
  <c r="B340" i="60"/>
  <c r="B341" i="60"/>
  <c r="B342" i="60"/>
  <c r="B343" i="60"/>
  <c r="B344" i="60"/>
  <c r="B345" i="60"/>
  <c r="B346" i="60"/>
  <c r="B347" i="60"/>
  <c r="B348" i="60"/>
  <c r="B349" i="60"/>
  <c r="B350" i="60"/>
  <c r="B351" i="60"/>
  <c r="B352" i="60"/>
  <c r="B353" i="60"/>
  <c r="B354" i="60"/>
  <c r="B355" i="60"/>
  <c r="B356" i="60"/>
  <c r="B357" i="60"/>
  <c r="B358" i="60"/>
  <c r="B359" i="60"/>
  <c r="B360" i="60"/>
  <c r="B361" i="60"/>
  <c r="B362" i="60"/>
  <c r="B363" i="60"/>
  <c r="B364" i="60"/>
  <c r="B365" i="60"/>
  <c r="B366" i="60"/>
  <c r="B367" i="60"/>
  <c r="B368" i="60"/>
  <c r="B369" i="60"/>
  <c r="B370" i="60"/>
  <c r="B371" i="60"/>
  <c r="B372" i="60"/>
  <c r="B373" i="60"/>
  <c r="B374" i="60"/>
  <c r="B375" i="60"/>
  <c r="B376" i="60"/>
  <c r="B377" i="60"/>
  <c r="B378" i="60"/>
  <c r="B379" i="60"/>
  <c r="B380" i="60"/>
  <c r="B381" i="60"/>
  <c r="B382" i="60"/>
  <c r="B383" i="60"/>
  <c r="B384" i="60"/>
  <c r="B385" i="60"/>
  <c r="B386" i="60"/>
  <c r="B387" i="60"/>
  <c r="B388" i="60"/>
  <c r="B389" i="60"/>
  <c r="B390" i="60"/>
  <c r="B391" i="60"/>
  <c r="B392" i="60"/>
  <c r="B393" i="60"/>
  <c r="B394" i="60"/>
  <c r="B395" i="60"/>
  <c r="B396" i="60"/>
  <c r="B397" i="60"/>
  <c r="B398" i="60"/>
  <c r="B399" i="60"/>
  <c r="B400" i="60"/>
  <c r="B401" i="60"/>
  <c r="B402" i="60"/>
  <c r="B403" i="60"/>
  <c r="B404" i="60"/>
  <c r="B405" i="60"/>
  <c r="B406" i="60"/>
  <c r="B407" i="60"/>
  <c r="B408" i="60"/>
  <c r="B409" i="60"/>
  <c r="B410" i="60"/>
  <c r="B411" i="60"/>
  <c r="B412" i="60"/>
  <c r="B413" i="60"/>
  <c r="B414" i="60"/>
  <c r="B415" i="60"/>
  <c r="B416" i="60"/>
  <c r="B417" i="60"/>
  <c r="B418" i="60"/>
  <c r="B419" i="60"/>
  <c r="B420" i="60"/>
  <c r="B421" i="60"/>
  <c r="B422" i="60"/>
  <c r="B423" i="60"/>
  <c r="B424" i="60"/>
  <c r="B425" i="60"/>
  <c r="B426" i="60"/>
  <c r="B427" i="60"/>
  <c r="B428" i="60"/>
  <c r="B429" i="60"/>
  <c r="B430" i="60"/>
  <c r="B431" i="60"/>
  <c r="B432" i="60"/>
  <c r="B433" i="60"/>
  <c r="B434" i="60"/>
  <c r="B435" i="60"/>
  <c r="B436" i="60"/>
  <c r="B437" i="60"/>
  <c r="B438" i="60"/>
  <c r="B439" i="60"/>
  <c r="B440" i="60"/>
  <c r="B441" i="60"/>
  <c r="B442" i="60"/>
  <c r="B443" i="60"/>
  <c r="B444" i="60"/>
  <c r="B445" i="60"/>
  <c r="B446" i="60"/>
  <c r="B447" i="60"/>
  <c r="B448" i="60"/>
  <c r="B449" i="60"/>
  <c r="B450" i="60"/>
  <c r="B451" i="60"/>
  <c r="B452" i="60"/>
  <c r="B453" i="60"/>
  <c r="B454" i="60"/>
  <c r="B455" i="60"/>
  <c r="B456" i="60"/>
  <c r="B457" i="60"/>
  <c r="B458" i="60"/>
  <c r="B459" i="60"/>
  <c r="B460" i="60"/>
  <c r="B461" i="60"/>
  <c r="B462" i="60"/>
  <c r="B463" i="60"/>
  <c r="B464" i="60"/>
  <c r="B465" i="60"/>
  <c r="B466" i="60"/>
  <c r="B467" i="60"/>
  <c r="B468" i="60"/>
  <c r="B469" i="60"/>
  <c r="B470" i="60"/>
  <c r="B471" i="60"/>
  <c r="B472" i="60"/>
  <c r="B473" i="60"/>
  <c r="B474" i="60"/>
  <c r="B475" i="60"/>
  <c r="B476" i="60"/>
  <c r="B477" i="60"/>
  <c r="B478" i="60"/>
  <c r="B479" i="60"/>
  <c r="B480" i="60"/>
  <c r="B481" i="60"/>
  <c r="B482" i="60"/>
  <c r="B483" i="60"/>
  <c r="B484" i="60"/>
  <c r="B485" i="60"/>
  <c r="B486" i="60"/>
  <c r="B487" i="60"/>
  <c r="B488" i="60"/>
  <c r="B489" i="60"/>
  <c r="B490" i="60"/>
  <c r="B491" i="60"/>
  <c r="B492" i="60"/>
  <c r="B493" i="60"/>
  <c r="B494" i="60"/>
  <c r="B495" i="60"/>
  <c r="B496" i="60"/>
  <c r="B497" i="60"/>
  <c r="B498" i="60"/>
  <c r="B499" i="60"/>
  <c r="B500" i="60"/>
  <c r="B501" i="60"/>
  <c r="B502" i="60"/>
  <c r="B503" i="60"/>
  <c r="B504" i="60"/>
  <c r="B505" i="60"/>
  <c r="G26" i="60"/>
  <c r="G27" i="60"/>
  <c r="G28" i="60"/>
  <c r="G29" i="60"/>
  <c r="G30" i="60"/>
  <c r="G31" i="60"/>
  <c r="G32" i="60"/>
  <c r="G33" i="60"/>
  <c r="G34" i="60"/>
  <c r="G35" i="60"/>
  <c r="G36" i="60"/>
  <c r="G37" i="60"/>
  <c r="G38" i="60"/>
  <c r="G39" i="60"/>
  <c r="G40" i="60"/>
  <c r="G41" i="60"/>
  <c r="G42" i="60"/>
  <c r="G43" i="60"/>
  <c r="G44" i="60"/>
  <c r="G45" i="60"/>
  <c r="G46" i="60"/>
  <c r="G47" i="60"/>
  <c r="G48" i="60"/>
  <c r="G49" i="60"/>
  <c r="G50" i="60"/>
  <c r="G51" i="60"/>
  <c r="G52" i="60"/>
  <c r="G53" i="60"/>
  <c r="G54" i="60"/>
  <c r="G55" i="60"/>
  <c r="G56" i="60"/>
  <c r="G57" i="60"/>
  <c r="G58" i="60"/>
  <c r="G59" i="60"/>
  <c r="G60" i="60"/>
  <c r="G61" i="60"/>
  <c r="G62" i="60"/>
  <c r="G63" i="60"/>
  <c r="G64" i="60"/>
  <c r="G65" i="60"/>
  <c r="G66" i="60"/>
  <c r="G67" i="60"/>
  <c r="G68" i="60"/>
  <c r="G69" i="60"/>
  <c r="G70" i="60"/>
  <c r="G71" i="60"/>
  <c r="G72" i="60"/>
  <c r="G73" i="60"/>
  <c r="G74" i="60"/>
  <c r="G75" i="60"/>
  <c r="G76" i="60"/>
  <c r="G77" i="60"/>
  <c r="G78" i="60"/>
  <c r="G79" i="60"/>
  <c r="G80" i="60"/>
  <c r="G81" i="60"/>
  <c r="G82" i="60"/>
  <c r="G83" i="60"/>
  <c r="G84" i="60"/>
  <c r="G85" i="60"/>
  <c r="G86" i="60"/>
  <c r="G87" i="60"/>
  <c r="G88" i="60"/>
  <c r="G89" i="60"/>
  <c r="G90" i="60"/>
  <c r="G91" i="60"/>
  <c r="G92" i="60"/>
  <c r="G93" i="60"/>
  <c r="G94" i="60"/>
  <c r="G95" i="60"/>
  <c r="G96" i="60"/>
  <c r="G97" i="60"/>
  <c r="G98" i="60"/>
  <c r="G99" i="60"/>
  <c r="G100" i="60"/>
  <c r="G101" i="60"/>
  <c r="G102" i="60"/>
  <c r="G103" i="60"/>
  <c r="G104" i="60"/>
  <c r="G105" i="60"/>
  <c r="G106" i="60"/>
  <c r="G107" i="60"/>
  <c r="G108" i="60"/>
  <c r="G109" i="60"/>
  <c r="G110" i="60"/>
  <c r="G111" i="60"/>
  <c r="G112" i="60"/>
  <c r="G113" i="60"/>
  <c r="G114" i="60"/>
  <c r="G115" i="60"/>
  <c r="G116" i="60"/>
  <c r="G117" i="60"/>
  <c r="G118" i="60"/>
  <c r="G119" i="60"/>
  <c r="G120" i="60"/>
  <c r="G121" i="60"/>
  <c r="G122" i="60"/>
  <c r="G123" i="60"/>
  <c r="G124" i="60"/>
  <c r="G125" i="60"/>
  <c r="G126" i="60"/>
  <c r="G127" i="60"/>
  <c r="G128" i="60"/>
  <c r="G129" i="60"/>
  <c r="G130" i="60"/>
  <c r="G131" i="60"/>
  <c r="G132" i="60"/>
  <c r="G133" i="60"/>
  <c r="G134" i="60"/>
  <c r="G135" i="60"/>
  <c r="G136" i="60"/>
  <c r="G137" i="60"/>
  <c r="G138" i="60"/>
  <c r="G139" i="60"/>
  <c r="G140" i="60"/>
  <c r="G141" i="60"/>
  <c r="G142" i="60"/>
  <c r="G143" i="60"/>
  <c r="G144" i="60"/>
  <c r="G145" i="60"/>
  <c r="G146" i="60"/>
  <c r="G147" i="60"/>
  <c r="G148" i="60"/>
  <c r="G149" i="60"/>
  <c r="G150" i="60"/>
  <c r="G151" i="60"/>
  <c r="G152" i="60"/>
  <c r="G153" i="60"/>
  <c r="G154" i="60"/>
  <c r="G155" i="60"/>
  <c r="G156" i="60"/>
  <c r="G157" i="60"/>
  <c r="G158" i="60"/>
  <c r="G159" i="60"/>
  <c r="G160" i="60"/>
  <c r="G161" i="60"/>
  <c r="G162" i="60"/>
  <c r="G163" i="60"/>
  <c r="G164" i="60"/>
  <c r="G165" i="60"/>
  <c r="G166" i="60"/>
  <c r="G167" i="60"/>
  <c r="G168" i="60"/>
  <c r="G169" i="60"/>
  <c r="G170" i="60"/>
  <c r="G171" i="60"/>
  <c r="G172" i="60"/>
  <c r="G173" i="60"/>
  <c r="G174" i="60"/>
  <c r="G175" i="60"/>
  <c r="G176" i="60"/>
  <c r="G177" i="60"/>
  <c r="G178" i="60"/>
  <c r="G179" i="60"/>
  <c r="G180" i="60"/>
  <c r="G181" i="60"/>
  <c r="G182" i="60"/>
  <c r="G183" i="60"/>
  <c r="G184" i="60"/>
  <c r="G185" i="60"/>
  <c r="G186" i="60"/>
  <c r="G187" i="60"/>
  <c r="G188" i="60"/>
  <c r="G189" i="60"/>
  <c r="G190" i="60"/>
  <c r="G191" i="60"/>
  <c r="G192" i="60"/>
  <c r="G193" i="60"/>
  <c r="G194" i="60"/>
  <c r="G195" i="60"/>
  <c r="G196" i="60"/>
  <c r="G197" i="60"/>
  <c r="G198" i="60"/>
  <c r="G199" i="60"/>
  <c r="G200" i="60"/>
  <c r="G201" i="60"/>
  <c r="G202" i="60"/>
  <c r="G203" i="60"/>
  <c r="G204" i="60"/>
  <c r="G205" i="60"/>
  <c r="G206" i="60"/>
  <c r="G207" i="60"/>
  <c r="G208" i="60"/>
  <c r="G209" i="60"/>
  <c r="G210" i="60"/>
  <c r="G211" i="60"/>
  <c r="G212" i="60"/>
  <c r="G213" i="60"/>
  <c r="G214" i="60"/>
  <c r="G215" i="60"/>
  <c r="G216" i="60"/>
  <c r="G217" i="60"/>
  <c r="G218" i="60"/>
  <c r="G219" i="60"/>
  <c r="G220" i="60"/>
  <c r="G221" i="60"/>
  <c r="G222" i="60"/>
  <c r="G223" i="60"/>
  <c r="G224" i="60"/>
  <c r="G225" i="60"/>
  <c r="G226" i="60"/>
  <c r="G227" i="60"/>
  <c r="G228" i="60"/>
  <c r="G229" i="60"/>
  <c r="G230" i="60"/>
  <c r="G231" i="60"/>
  <c r="G232" i="60"/>
  <c r="G233" i="60"/>
  <c r="G234" i="60"/>
  <c r="G235" i="60"/>
  <c r="G236" i="60"/>
  <c r="G237" i="60"/>
  <c r="G238" i="60"/>
  <c r="G239" i="60"/>
  <c r="G240" i="60"/>
  <c r="G241" i="60"/>
  <c r="G242" i="60"/>
  <c r="G243" i="60"/>
  <c r="G244" i="60"/>
  <c r="G245" i="60"/>
  <c r="G246" i="60"/>
  <c r="G247" i="60"/>
  <c r="G248" i="60"/>
  <c r="G249" i="60"/>
  <c r="G250" i="60"/>
  <c r="G251" i="60"/>
  <c r="G252" i="60"/>
  <c r="G253" i="60"/>
  <c r="G254" i="60"/>
  <c r="G255" i="60"/>
  <c r="G256" i="60"/>
  <c r="G257" i="60"/>
  <c r="G258" i="60"/>
  <c r="G259" i="60"/>
  <c r="G260" i="60"/>
  <c r="G261" i="60"/>
  <c r="G262" i="60"/>
  <c r="G263" i="60"/>
  <c r="G264" i="60"/>
  <c r="G265" i="60"/>
  <c r="G266" i="60"/>
  <c r="G267" i="60"/>
  <c r="G268" i="60"/>
  <c r="G269" i="60"/>
  <c r="G270" i="60"/>
  <c r="G271" i="60"/>
  <c r="G272" i="60"/>
  <c r="G273" i="60"/>
  <c r="G274" i="60"/>
  <c r="G275" i="60"/>
  <c r="G276" i="60"/>
  <c r="G277" i="60"/>
  <c r="G278" i="60"/>
  <c r="G279" i="60"/>
  <c r="G280" i="60"/>
  <c r="G281" i="60"/>
  <c r="G282" i="60"/>
  <c r="G283" i="60"/>
  <c r="G284" i="60"/>
  <c r="G285" i="60"/>
  <c r="G286" i="60"/>
  <c r="G287" i="60"/>
  <c r="G288" i="60"/>
  <c r="G289" i="60"/>
  <c r="G290" i="60"/>
  <c r="G291" i="60"/>
  <c r="G292" i="60"/>
  <c r="G293" i="60"/>
  <c r="G294" i="60"/>
  <c r="G295" i="60"/>
  <c r="G296" i="60"/>
  <c r="G297" i="60"/>
  <c r="G298" i="60"/>
  <c r="G299" i="60"/>
  <c r="G300" i="60"/>
  <c r="G301" i="60"/>
  <c r="G302" i="60"/>
  <c r="G303" i="60"/>
  <c r="G304" i="60"/>
  <c r="G305" i="60"/>
  <c r="G306" i="60"/>
  <c r="G307" i="60"/>
  <c r="G308" i="60"/>
  <c r="G309" i="60"/>
  <c r="G310" i="60"/>
  <c r="G311" i="60"/>
  <c r="G312" i="60"/>
  <c r="G313" i="60"/>
  <c r="G314" i="60"/>
  <c r="G315" i="60"/>
  <c r="G316" i="60"/>
  <c r="G317" i="60"/>
  <c r="G318" i="60"/>
  <c r="G319" i="60"/>
  <c r="G320" i="60"/>
  <c r="G321" i="60"/>
  <c r="G322" i="60"/>
  <c r="G323" i="60"/>
  <c r="G324" i="60"/>
  <c r="G325" i="60"/>
  <c r="G326" i="60"/>
  <c r="G327" i="60"/>
  <c r="G328" i="60"/>
  <c r="G329" i="60"/>
  <c r="G330" i="60"/>
  <c r="G331" i="60"/>
  <c r="G332" i="60"/>
  <c r="G333" i="60"/>
  <c r="G334" i="60"/>
  <c r="G335" i="60"/>
  <c r="G336" i="60"/>
  <c r="G337" i="60"/>
  <c r="G338" i="60"/>
  <c r="G339" i="60"/>
  <c r="G340" i="60"/>
  <c r="G341" i="60"/>
  <c r="G342" i="60"/>
  <c r="G343" i="60"/>
  <c r="G344" i="60"/>
  <c r="G345" i="60"/>
  <c r="G346" i="60"/>
  <c r="G347" i="60"/>
  <c r="G348" i="60"/>
  <c r="G349" i="60"/>
  <c r="G350" i="60"/>
  <c r="G351" i="60"/>
  <c r="G352" i="60"/>
  <c r="G353" i="60"/>
  <c r="G354" i="60"/>
  <c r="G355" i="60"/>
  <c r="G356" i="60"/>
  <c r="G357" i="60"/>
  <c r="G358" i="60"/>
  <c r="G359" i="60"/>
  <c r="G360" i="60"/>
  <c r="G361" i="60"/>
  <c r="G362" i="60"/>
  <c r="G363" i="60"/>
  <c r="G364" i="60"/>
  <c r="G365" i="60"/>
  <c r="G366" i="60"/>
  <c r="G367" i="60"/>
  <c r="G368" i="60"/>
  <c r="G369" i="60"/>
  <c r="G370" i="60"/>
  <c r="G371" i="60"/>
  <c r="G372" i="60"/>
  <c r="G373" i="60"/>
  <c r="G374" i="60"/>
  <c r="G375" i="60"/>
  <c r="G376" i="60"/>
  <c r="G377" i="60"/>
  <c r="G378" i="60"/>
  <c r="G379" i="60"/>
  <c r="G380" i="60"/>
  <c r="G381" i="60"/>
  <c r="G382" i="60"/>
  <c r="G383" i="60"/>
  <c r="G384" i="60"/>
  <c r="G385" i="60"/>
  <c r="G386" i="60"/>
  <c r="G387" i="60"/>
  <c r="G388" i="60"/>
  <c r="G389" i="60"/>
  <c r="G390" i="60"/>
  <c r="G391" i="60"/>
  <c r="G392" i="60"/>
  <c r="G393" i="60"/>
  <c r="G394" i="60"/>
  <c r="G395" i="60"/>
  <c r="G396" i="60"/>
  <c r="G397" i="60"/>
  <c r="G398" i="60"/>
  <c r="G399" i="60"/>
  <c r="G400" i="60"/>
  <c r="G401" i="60"/>
  <c r="G402" i="60"/>
  <c r="G403" i="60"/>
  <c r="G404" i="60"/>
  <c r="G405" i="60"/>
  <c r="G406" i="60"/>
  <c r="G407" i="60"/>
  <c r="G408" i="60"/>
  <c r="G409" i="60"/>
  <c r="G410" i="60"/>
  <c r="G411" i="60"/>
  <c r="G412" i="60"/>
  <c r="G413" i="60"/>
  <c r="G414" i="60"/>
  <c r="G415" i="60"/>
  <c r="G416" i="60"/>
  <c r="G417" i="60"/>
  <c r="G418" i="60"/>
  <c r="G419" i="60"/>
  <c r="G420" i="60"/>
  <c r="G421" i="60"/>
  <c r="G422" i="60"/>
  <c r="G423" i="60"/>
  <c r="G424" i="60"/>
  <c r="G425" i="60"/>
  <c r="G426" i="60"/>
  <c r="G427" i="60"/>
  <c r="G428" i="60"/>
  <c r="G429" i="60"/>
  <c r="G430" i="60"/>
  <c r="G431" i="60"/>
  <c r="G432" i="60"/>
  <c r="G433" i="60"/>
  <c r="G434" i="60"/>
  <c r="G435" i="60"/>
  <c r="G436" i="60"/>
  <c r="G437" i="60"/>
  <c r="G438" i="60"/>
  <c r="G439" i="60"/>
  <c r="G440" i="60"/>
  <c r="G441" i="60"/>
  <c r="G442" i="60"/>
  <c r="G443" i="60"/>
  <c r="G444" i="60"/>
  <c r="G445" i="60"/>
  <c r="G446" i="60"/>
  <c r="G447" i="60"/>
  <c r="G448" i="60"/>
  <c r="G449" i="60"/>
  <c r="G450" i="60"/>
  <c r="G451" i="60"/>
  <c r="G452" i="60"/>
  <c r="G453" i="60"/>
  <c r="G454" i="60"/>
  <c r="G455" i="60"/>
  <c r="G456" i="60"/>
  <c r="G457" i="60"/>
  <c r="G458" i="60"/>
  <c r="G459" i="60"/>
  <c r="G460" i="60"/>
  <c r="G461" i="60"/>
  <c r="G462" i="60"/>
  <c r="G463" i="60"/>
  <c r="G464" i="60"/>
  <c r="G465" i="60"/>
  <c r="G466" i="60"/>
  <c r="G467" i="60"/>
  <c r="G468" i="60"/>
  <c r="G469" i="60"/>
  <c r="G470" i="60"/>
  <c r="G471" i="60"/>
  <c r="G472" i="60"/>
  <c r="G473" i="60"/>
  <c r="G474" i="60"/>
  <c r="G475" i="60"/>
  <c r="G476" i="60"/>
  <c r="G477" i="60"/>
  <c r="G478" i="60"/>
  <c r="G479" i="60"/>
  <c r="G480" i="60"/>
  <c r="G481" i="60"/>
  <c r="G482" i="60"/>
  <c r="G483" i="60"/>
  <c r="G484" i="60"/>
  <c r="G485" i="60"/>
  <c r="G486" i="60"/>
  <c r="G487" i="60"/>
  <c r="G488" i="60"/>
  <c r="G489" i="60"/>
  <c r="G490" i="60"/>
  <c r="G491" i="60"/>
  <c r="G492" i="60"/>
  <c r="G493" i="60"/>
  <c r="G494" i="60"/>
  <c r="G495" i="60"/>
  <c r="G496" i="60"/>
  <c r="G497" i="60"/>
  <c r="G498" i="60"/>
  <c r="G499" i="60"/>
  <c r="G500" i="60"/>
  <c r="G501" i="60"/>
  <c r="G502" i="60"/>
  <c r="G503" i="60"/>
  <c r="G504" i="60"/>
  <c r="G505" i="60"/>
  <c r="P27" i="66"/>
  <c r="P26" i="66"/>
  <c r="O26" i="66"/>
  <c r="J27" i="66"/>
  <c r="C26" i="66"/>
  <c r="J26" i="66"/>
  <c r="I26" i="66"/>
  <c r="D28" i="66"/>
  <c r="D27" i="66"/>
  <c r="D26" i="66"/>
  <c r="F8" i="55"/>
  <c r="F9" i="55"/>
  <c r="F11" i="55"/>
  <c r="F12" i="55"/>
  <c r="F13" i="55"/>
  <c r="F14" i="55"/>
  <c r="F15" i="55"/>
  <c r="F16" i="55"/>
  <c r="F17" i="55"/>
  <c r="F18" i="55"/>
  <c r="F19" i="55"/>
  <c r="F20" i="55"/>
  <c r="F21" i="55"/>
  <c r="F22" i="55"/>
  <c r="F23" i="55"/>
  <c r="F24" i="55"/>
  <c r="F25" i="55"/>
  <c r="F26" i="55"/>
  <c r="F27" i="55"/>
  <c r="F28" i="55"/>
  <c r="F29" i="55"/>
  <c r="F30" i="55"/>
  <c r="F31" i="55"/>
  <c r="F32" i="55"/>
  <c r="F33" i="55"/>
  <c r="F34" i="55"/>
  <c r="F35" i="55"/>
  <c r="F36" i="55"/>
  <c r="F37" i="55"/>
  <c r="F38" i="55"/>
  <c r="F39" i="55"/>
  <c r="F40" i="55"/>
  <c r="F41" i="55"/>
  <c r="F42" i="55"/>
  <c r="F43" i="55"/>
  <c r="F44" i="55"/>
  <c r="F45" i="55"/>
  <c r="F46" i="55"/>
  <c r="F47" i="55"/>
  <c r="F48" i="55"/>
  <c r="F49" i="55"/>
  <c r="F50" i="55"/>
  <c r="F51" i="55"/>
  <c r="F52" i="55"/>
  <c r="F53" i="55"/>
  <c r="F54" i="55"/>
  <c r="F55" i="55"/>
  <c r="F56" i="55"/>
  <c r="F57" i="55"/>
  <c r="F58" i="55"/>
  <c r="F59" i="55"/>
  <c r="F60" i="55"/>
  <c r="F61" i="55"/>
  <c r="F62" i="55"/>
  <c r="F63" i="55"/>
  <c r="F64" i="55"/>
  <c r="F65" i="55"/>
  <c r="F66" i="55"/>
  <c r="F67" i="55"/>
  <c r="F68" i="55"/>
  <c r="F69" i="55"/>
  <c r="F70" i="55"/>
  <c r="F71" i="55"/>
  <c r="F72" i="55"/>
  <c r="F73" i="55"/>
  <c r="F74" i="55"/>
  <c r="F75" i="55"/>
  <c r="F76" i="55"/>
  <c r="F77" i="55"/>
  <c r="F78" i="55"/>
  <c r="F79" i="55"/>
  <c r="F80" i="55"/>
  <c r="F81" i="55"/>
  <c r="F82" i="55"/>
  <c r="F83" i="55"/>
  <c r="F84" i="55"/>
  <c r="F85" i="55"/>
  <c r="F86" i="55"/>
  <c r="F87" i="55"/>
  <c r="F88" i="55"/>
  <c r="F89" i="55"/>
  <c r="F90" i="55"/>
  <c r="F91" i="55"/>
  <c r="F92" i="55"/>
  <c r="F93" i="55"/>
  <c r="F94" i="55"/>
  <c r="F95" i="55"/>
  <c r="F96" i="55"/>
  <c r="F97" i="55"/>
  <c r="F98" i="55"/>
  <c r="F99" i="55"/>
  <c r="F100" i="55"/>
  <c r="F101" i="55"/>
  <c r="F102" i="55"/>
  <c r="F103" i="55"/>
  <c r="F104" i="55"/>
  <c r="F105" i="55"/>
  <c r="F106" i="55"/>
  <c r="F107" i="55"/>
  <c r="F108" i="55"/>
  <c r="F109" i="55"/>
  <c r="F110" i="55"/>
  <c r="F111" i="55"/>
  <c r="F112" i="55"/>
  <c r="F113" i="55"/>
  <c r="F114" i="55"/>
  <c r="F115" i="55"/>
  <c r="F116" i="55"/>
  <c r="F117" i="55"/>
  <c r="F118" i="55"/>
  <c r="F119" i="55"/>
  <c r="F120" i="55"/>
  <c r="F121" i="55"/>
  <c r="F122" i="55"/>
  <c r="F123" i="55"/>
  <c r="F124" i="55"/>
  <c r="F125" i="55"/>
  <c r="F126" i="55"/>
  <c r="F127" i="55"/>
  <c r="F128" i="55"/>
  <c r="F129" i="55"/>
  <c r="F130" i="55"/>
  <c r="F131" i="55"/>
  <c r="F132" i="55"/>
  <c r="F133" i="55"/>
  <c r="F134" i="55"/>
  <c r="F135" i="55"/>
  <c r="F136" i="55"/>
  <c r="F137" i="55"/>
  <c r="F138" i="55"/>
  <c r="F139" i="55"/>
  <c r="F140" i="55"/>
  <c r="F141" i="55"/>
  <c r="F142" i="55"/>
  <c r="F143" i="55"/>
  <c r="F144" i="55"/>
  <c r="F145" i="55"/>
  <c r="F146" i="55"/>
  <c r="F147" i="55"/>
  <c r="F148" i="55"/>
  <c r="F149" i="55"/>
  <c r="F150" i="55"/>
  <c r="F151" i="55"/>
  <c r="F152" i="55"/>
  <c r="F153" i="55"/>
  <c r="F154" i="55"/>
  <c r="F155" i="55"/>
  <c r="F156" i="55"/>
  <c r="F157" i="55"/>
  <c r="F158" i="55"/>
  <c r="F159" i="55"/>
  <c r="F160" i="55"/>
  <c r="F161" i="55"/>
  <c r="F162" i="55"/>
  <c r="F163" i="55"/>
  <c r="F164" i="55"/>
  <c r="F165" i="55"/>
  <c r="F166" i="55"/>
  <c r="F167" i="55"/>
  <c r="F168" i="55"/>
  <c r="F169" i="55"/>
  <c r="F170" i="55"/>
  <c r="F171" i="55"/>
  <c r="F172" i="55"/>
  <c r="F173" i="55"/>
  <c r="F174" i="55"/>
  <c r="F175" i="55"/>
  <c r="F176" i="55"/>
  <c r="F177" i="55"/>
  <c r="F178" i="55"/>
  <c r="F179" i="55"/>
  <c r="F180" i="55"/>
  <c r="F181" i="55"/>
  <c r="F182" i="55"/>
  <c r="F183" i="55"/>
  <c r="F184" i="55"/>
  <c r="F185" i="55"/>
  <c r="F186" i="55"/>
  <c r="F187" i="55"/>
  <c r="F188" i="55"/>
  <c r="F189" i="55"/>
  <c r="F190" i="55"/>
  <c r="F191" i="55"/>
  <c r="F192" i="55"/>
  <c r="F193" i="55"/>
  <c r="F194" i="55"/>
  <c r="F195" i="55"/>
  <c r="F196" i="55"/>
  <c r="F197" i="55"/>
  <c r="F198" i="55"/>
  <c r="F199" i="55"/>
  <c r="F200" i="55"/>
  <c r="F201" i="55"/>
  <c r="F202" i="55"/>
  <c r="F203" i="55"/>
  <c r="F204" i="55"/>
  <c r="F205" i="55"/>
  <c r="F206" i="55"/>
  <c r="F207" i="55"/>
  <c r="F208" i="55"/>
  <c r="F209" i="55"/>
  <c r="F210" i="55"/>
  <c r="F211" i="55"/>
  <c r="F212" i="55"/>
  <c r="F213" i="55"/>
  <c r="F214" i="55"/>
  <c r="F215" i="55"/>
  <c r="F216" i="55"/>
  <c r="F217" i="55"/>
  <c r="F218" i="55"/>
  <c r="F219" i="55"/>
  <c r="F220" i="55"/>
  <c r="F221" i="55"/>
  <c r="F222" i="55"/>
  <c r="F223" i="55"/>
  <c r="F224" i="55"/>
  <c r="F225" i="55"/>
  <c r="F226" i="55"/>
  <c r="F227" i="55"/>
  <c r="F228" i="55"/>
  <c r="F229" i="55"/>
  <c r="F230" i="55"/>
  <c r="F231" i="55"/>
  <c r="F232" i="55"/>
  <c r="F233" i="55"/>
  <c r="F234" i="55"/>
  <c r="F235" i="55"/>
  <c r="F236" i="55"/>
  <c r="F237" i="55"/>
  <c r="F238" i="55"/>
  <c r="F239" i="55"/>
  <c r="F240" i="55"/>
  <c r="F241" i="55"/>
  <c r="F242" i="55"/>
  <c r="F243" i="55"/>
  <c r="F244" i="55"/>
  <c r="F245" i="55"/>
  <c r="F246" i="55"/>
  <c r="F247" i="55"/>
  <c r="F248" i="55"/>
  <c r="F249" i="55"/>
  <c r="F250" i="55"/>
  <c r="F251" i="55"/>
  <c r="F252" i="55"/>
  <c r="F253" i="55"/>
  <c r="F254" i="55"/>
  <c r="F255" i="55"/>
  <c r="F256" i="55"/>
  <c r="F257" i="55"/>
  <c r="F258" i="55"/>
  <c r="F259" i="55"/>
  <c r="F260" i="55"/>
  <c r="F261" i="55"/>
  <c r="F262" i="55"/>
  <c r="F263" i="55"/>
  <c r="F264" i="55"/>
  <c r="F265" i="55"/>
  <c r="F266" i="55"/>
  <c r="F267" i="55"/>
  <c r="F268" i="55"/>
  <c r="F269" i="55"/>
  <c r="F270" i="55"/>
  <c r="F271" i="55"/>
  <c r="F272" i="55"/>
  <c r="F273" i="55"/>
  <c r="F274" i="55"/>
  <c r="F275" i="55"/>
  <c r="F276" i="55"/>
  <c r="F277" i="55"/>
  <c r="F278" i="55"/>
  <c r="F279" i="55"/>
  <c r="F280" i="55"/>
  <c r="F281" i="55"/>
  <c r="F282" i="55"/>
  <c r="F283" i="55"/>
  <c r="F284" i="55"/>
  <c r="F285" i="55"/>
  <c r="F286" i="55"/>
  <c r="F287" i="55"/>
  <c r="F288" i="55"/>
  <c r="F289" i="55"/>
  <c r="F290" i="55"/>
  <c r="F291" i="55"/>
  <c r="F292" i="55"/>
  <c r="F293" i="55"/>
  <c r="F294" i="55"/>
  <c r="F295" i="55"/>
  <c r="F296" i="55"/>
  <c r="F297" i="55"/>
  <c r="F298" i="55"/>
  <c r="F299" i="55"/>
  <c r="F300" i="55"/>
  <c r="F301" i="55"/>
  <c r="F302" i="55"/>
  <c r="F303" i="55"/>
  <c r="F304" i="55"/>
  <c r="F305" i="55"/>
  <c r="F306" i="55"/>
  <c r="F307" i="55"/>
  <c r="F308" i="55"/>
  <c r="F309" i="55"/>
  <c r="F310" i="55"/>
  <c r="F311" i="55"/>
  <c r="F312" i="55"/>
  <c r="F313" i="55"/>
  <c r="F314" i="55"/>
  <c r="F315" i="55"/>
  <c r="F316" i="55"/>
  <c r="F317" i="55"/>
  <c r="F318" i="55"/>
  <c r="F319" i="55"/>
  <c r="F320" i="55"/>
  <c r="F321" i="55"/>
  <c r="F322" i="55"/>
  <c r="F323" i="55"/>
  <c r="F324" i="55"/>
  <c r="F325" i="55"/>
  <c r="F326" i="55"/>
  <c r="F327" i="55"/>
  <c r="F328" i="55"/>
  <c r="F329" i="55"/>
  <c r="F330" i="55"/>
  <c r="F331" i="55"/>
  <c r="F332" i="55"/>
  <c r="F333" i="55"/>
  <c r="F334" i="55"/>
  <c r="F335" i="55"/>
  <c r="F336" i="55"/>
  <c r="F337" i="55"/>
  <c r="F338" i="55"/>
  <c r="F339" i="55"/>
  <c r="F340" i="55"/>
  <c r="F341" i="55"/>
  <c r="F342" i="55"/>
  <c r="F343" i="55"/>
  <c r="F344" i="55"/>
  <c r="F345" i="55"/>
  <c r="F346" i="55"/>
  <c r="F347" i="55"/>
  <c r="F348" i="55"/>
  <c r="F349" i="55"/>
  <c r="F350" i="55"/>
  <c r="F351" i="55"/>
  <c r="F352" i="55"/>
  <c r="F353" i="55"/>
  <c r="F354" i="55"/>
  <c r="F355" i="55"/>
  <c r="F356" i="55"/>
  <c r="F357" i="55"/>
  <c r="F358" i="55"/>
  <c r="F359" i="55"/>
  <c r="F360" i="55"/>
  <c r="F361" i="55"/>
  <c r="F362" i="55"/>
  <c r="F363" i="55"/>
  <c r="F364" i="55"/>
  <c r="F365" i="55"/>
  <c r="F366" i="55"/>
  <c r="F367" i="55"/>
  <c r="F368" i="55"/>
  <c r="F369" i="55"/>
  <c r="F370" i="55"/>
  <c r="F371" i="55"/>
  <c r="F372" i="55"/>
  <c r="F373" i="55"/>
  <c r="F374" i="55"/>
  <c r="F375" i="55"/>
  <c r="F376" i="55"/>
  <c r="F377" i="55"/>
  <c r="F378" i="55"/>
  <c r="F379" i="55"/>
  <c r="F380" i="55"/>
  <c r="F381" i="55"/>
  <c r="F382" i="55"/>
  <c r="F383" i="55"/>
  <c r="F384" i="55"/>
  <c r="F385" i="55"/>
  <c r="F386" i="55"/>
  <c r="F387" i="55"/>
  <c r="F388" i="55"/>
  <c r="F389" i="55"/>
  <c r="F390" i="55"/>
  <c r="F391" i="55"/>
  <c r="F392" i="55"/>
  <c r="F393" i="55"/>
  <c r="F394" i="55"/>
  <c r="F395" i="55"/>
  <c r="F396" i="55"/>
  <c r="F397" i="55"/>
  <c r="F398" i="55"/>
  <c r="F399" i="55"/>
  <c r="F400" i="55"/>
  <c r="F401" i="55"/>
  <c r="F402" i="55"/>
  <c r="F403" i="55"/>
  <c r="F404" i="55"/>
  <c r="F405" i="55"/>
  <c r="F406" i="55"/>
  <c r="F407" i="55"/>
  <c r="F408" i="55"/>
  <c r="F409" i="55"/>
  <c r="F410" i="55"/>
  <c r="F411" i="55"/>
  <c r="F412" i="55"/>
  <c r="F413" i="55"/>
  <c r="F414" i="55"/>
  <c r="F415" i="55"/>
  <c r="F416" i="55"/>
  <c r="F417" i="55"/>
  <c r="F418" i="55"/>
  <c r="F419" i="55"/>
  <c r="F420" i="55"/>
  <c r="F421" i="55"/>
  <c r="F422" i="55"/>
  <c r="F423" i="55"/>
  <c r="F424" i="55"/>
  <c r="F425" i="55"/>
  <c r="F426" i="55"/>
  <c r="F427" i="55"/>
  <c r="F428" i="55"/>
  <c r="F429" i="55"/>
  <c r="F430" i="55"/>
  <c r="F431" i="55"/>
  <c r="F432" i="55"/>
  <c r="F433" i="55"/>
  <c r="F434" i="55"/>
  <c r="F435" i="55"/>
  <c r="F436" i="55"/>
  <c r="F437" i="55"/>
  <c r="F438" i="55"/>
  <c r="F439" i="55"/>
  <c r="F440" i="55"/>
  <c r="F441" i="55"/>
  <c r="F442" i="55"/>
  <c r="F443" i="55"/>
  <c r="F444" i="55"/>
  <c r="F445" i="55"/>
  <c r="F446" i="55"/>
  <c r="F447" i="55"/>
  <c r="F448" i="55"/>
  <c r="F449" i="55"/>
  <c r="F450" i="55"/>
  <c r="F451" i="55"/>
  <c r="F452" i="55"/>
  <c r="F453" i="55"/>
  <c r="F454" i="55"/>
  <c r="F455" i="55"/>
  <c r="F456" i="55"/>
  <c r="F457" i="55"/>
  <c r="F458" i="55"/>
  <c r="F459" i="55"/>
  <c r="F460" i="55"/>
  <c r="F461" i="55"/>
  <c r="F462" i="55"/>
  <c r="F463" i="55"/>
  <c r="F464" i="55"/>
  <c r="F465" i="55"/>
  <c r="F466" i="55"/>
  <c r="F467" i="55"/>
  <c r="F468" i="55"/>
  <c r="F469" i="55"/>
  <c r="F470" i="55"/>
  <c r="F471" i="55"/>
  <c r="F472" i="55"/>
  <c r="F473" i="55"/>
  <c r="F474" i="55"/>
  <c r="F475" i="55"/>
  <c r="F476" i="55"/>
  <c r="F477" i="55"/>
  <c r="F478" i="55"/>
  <c r="F479" i="55"/>
  <c r="F480" i="55"/>
  <c r="F481" i="55"/>
  <c r="F482" i="55"/>
  <c r="F483" i="55"/>
  <c r="F484" i="55"/>
  <c r="F485" i="55"/>
  <c r="F486" i="55"/>
  <c r="F487" i="55"/>
  <c r="F488" i="55"/>
  <c r="F489" i="55"/>
  <c r="F490" i="55"/>
  <c r="F491" i="55"/>
  <c r="F492" i="55"/>
  <c r="F493" i="55"/>
  <c r="F494" i="55"/>
  <c r="F495" i="55"/>
  <c r="F496" i="55"/>
  <c r="F497" i="55"/>
  <c r="F498" i="55"/>
  <c r="F499" i="55"/>
  <c r="F500" i="55"/>
  <c r="F501" i="55"/>
  <c r="F502" i="55"/>
  <c r="F503" i="55"/>
  <c r="F504" i="55"/>
  <c r="F505" i="55"/>
  <c r="G7" i="58"/>
  <c r="L8" i="66"/>
  <c r="B6" i="55"/>
  <c r="B7" i="55"/>
  <c r="B8" i="55"/>
  <c r="B9" i="55"/>
  <c r="B10" i="55"/>
  <c r="B11" i="55"/>
  <c r="B12" i="55"/>
  <c r="B13" i="55"/>
  <c r="B14" i="55"/>
  <c r="B15" i="55"/>
  <c r="B16" i="55"/>
  <c r="B17" i="55"/>
  <c r="B18" i="55"/>
  <c r="B19" i="55"/>
  <c r="B20" i="55"/>
  <c r="B21" i="55"/>
  <c r="B22" i="55"/>
  <c r="B23" i="55"/>
  <c r="B24" i="55"/>
  <c r="B25" i="55"/>
  <c r="B26" i="55"/>
  <c r="B27" i="55"/>
  <c r="B28" i="55"/>
  <c r="B29" i="55"/>
  <c r="B30" i="55"/>
  <c r="B31" i="55"/>
  <c r="B32" i="55"/>
  <c r="B33" i="55"/>
  <c r="B34" i="55"/>
  <c r="B35" i="55"/>
  <c r="B36" i="55"/>
  <c r="B37" i="55"/>
  <c r="B38" i="55"/>
  <c r="B39" i="55"/>
  <c r="B40" i="55"/>
  <c r="B41" i="55"/>
  <c r="B42" i="55"/>
  <c r="B43" i="55"/>
  <c r="B44" i="55"/>
  <c r="B45" i="55"/>
  <c r="B46" i="55"/>
  <c r="B47" i="55"/>
  <c r="B48" i="55"/>
  <c r="B49" i="55"/>
  <c r="B50" i="55"/>
  <c r="B51" i="55"/>
  <c r="B52" i="55"/>
  <c r="B53" i="55"/>
  <c r="B54" i="55"/>
  <c r="B55" i="55"/>
  <c r="B56" i="55"/>
  <c r="B57" i="55"/>
  <c r="B58" i="55"/>
  <c r="B59" i="55"/>
  <c r="B60" i="55"/>
  <c r="B61" i="55"/>
  <c r="B62" i="55"/>
  <c r="B63" i="55"/>
  <c r="B64" i="55"/>
  <c r="B65" i="55"/>
  <c r="B66" i="55"/>
  <c r="B67" i="55"/>
  <c r="B68" i="55"/>
  <c r="B69" i="55"/>
  <c r="B70" i="55"/>
  <c r="B71" i="55"/>
  <c r="B72" i="55"/>
  <c r="B73" i="55"/>
  <c r="B74" i="55"/>
  <c r="B75" i="55"/>
  <c r="B76" i="55"/>
  <c r="B77" i="55"/>
  <c r="B78" i="55"/>
  <c r="B79" i="55"/>
  <c r="B80" i="55"/>
  <c r="B81" i="55"/>
  <c r="B82" i="55"/>
  <c r="B83" i="55"/>
  <c r="B84" i="55"/>
  <c r="B85" i="55"/>
  <c r="B86" i="55"/>
  <c r="B87" i="55"/>
  <c r="B88" i="55"/>
  <c r="B89" i="55"/>
  <c r="B90" i="55"/>
  <c r="B91" i="55"/>
  <c r="B92" i="55"/>
  <c r="B93" i="55"/>
  <c r="B94" i="55"/>
  <c r="B95" i="55"/>
  <c r="B96" i="55"/>
  <c r="B97" i="55"/>
  <c r="B98" i="55"/>
  <c r="B99" i="55"/>
  <c r="B100" i="55"/>
  <c r="B101" i="55"/>
  <c r="B102" i="55"/>
  <c r="B103" i="55"/>
  <c r="B104" i="55"/>
  <c r="B105" i="55"/>
  <c r="B106" i="55"/>
  <c r="B107" i="55"/>
  <c r="B108" i="55"/>
  <c r="B109" i="55"/>
  <c r="B110" i="55"/>
  <c r="B111" i="55"/>
  <c r="B112" i="55"/>
  <c r="B113" i="55"/>
  <c r="B114" i="55"/>
  <c r="B115" i="55"/>
  <c r="B116" i="55"/>
  <c r="B117" i="55"/>
  <c r="B118" i="55"/>
  <c r="B119" i="55"/>
  <c r="B120" i="55"/>
  <c r="B121" i="55"/>
  <c r="B122" i="55"/>
  <c r="B123" i="55"/>
  <c r="B124" i="55"/>
  <c r="B125" i="55"/>
  <c r="B126" i="55"/>
  <c r="B127" i="55"/>
  <c r="B128" i="55"/>
  <c r="B129" i="55"/>
  <c r="B130" i="55"/>
  <c r="B131" i="55"/>
  <c r="B132" i="55"/>
  <c r="B133" i="55"/>
  <c r="B134" i="55"/>
  <c r="B135" i="55"/>
  <c r="B136" i="55"/>
  <c r="B137" i="55"/>
  <c r="B138" i="55"/>
  <c r="B139" i="55"/>
  <c r="B140" i="55"/>
  <c r="B141" i="55"/>
  <c r="B142" i="55"/>
  <c r="B143" i="55"/>
  <c r="B144" i="55"/>
  <c r="B145" i="55"/>
  <c r="B146" i="55"/>
  <c r="B147" i="55"/>
  <c r="B148" i="55"/>
  <c r="B149" i="55"/>
  <c r="B150" i="55"/>
  <c r="B151" i="55"/>
  <c r="B152" i="55"/>
  <c r="B153" i="55"/>
  <c r="B154" i="55"/>
  <c r="B155" i="55"/>
  <c r="B156" i="55"/>
  <c r="B157" i="55"/>
  <c r="B158" i="55"/>
  <c r="B159" i="55"/>
  <c r="B160" i="55"/>
  <c r="B161" i="55"/>
  <c r="B162" i="55"/>
  <c r="B163" i="55"/>
  <c r="B164" i="55"/>
  <c r="B165" i="55"/>
  <c r="B166" i="55"/>
  <c r="B167" i="55"/>
  <c r="B168" i="55"/>
  <c r="B169" i="55"/>
  <c r="B170" i="55"/>
  <c r="B171" i="55"/>
  <c r="B172" i="55"/>
  <c r="B173" i="55"/>
  <c r="B174" i="55"/>
  <c r="B175" i="55"/>
  <c r="B176" i="55"/>
  <c r="B177" i="55"/>
  <c r="B178" i="55"/>
  <c r="B179" i="55"/>
  <c r="B180" i="55"/>
  <c r="B181" i="55"/>
  <c r="B182" i="55"/>
  <c r="B183" i="55"/>
  <c r="B184" i="55"/>
  <c r="B185" i="55"/>
  <c r="B186" i="55"/>
  <c r="B187" i="55"/>
  <c r="B188" i="55"/>
  <c r="B189" i="55"/>
  <c r="B190" i="55"/>
  <c r="B191" i="55"/>
  <c r="B192" i="55"/>
  <c r="B193" i="55"/>
  <c r="B194" i="55"/>
  <c r="B195" i="55"/>
  <c r="B196" i="55"/>
  <c r="B197" i="55"/>
  <c r="B198" i="55"/>
  <c r="B199" i="55"/>
  <c r="B200" i="55"/>
  <c r="B201" i="55"/>
  <c r="B202" i="55"/>
  <c r="B203" i="55"/>
  <c r="B204" i="55"/>
  <c r="B205" i="55"/>
  <c r="B206" i="55"/>
  <c r="B207" i="55"/>
  <c r="B208" i="55"/>
  <c r="B209" i="55"/>
  <c r="B210" i="55"/>
  <c r="B211" i="55"/>
  <c r="B212" i="55"/>
  <c r="B213" i="55"/>
  <c r="B214" i="55"/>
  <c r="B215" i="55"/>
  <c r="B216" i="55"/>
  <c r="B217" i="55"/>
  <c r="B218" i="55"/>
  <c r="B219" i="55"/>
  <c r="B220" i="55"/>
  <c r="B221" i="55"/>
  <c r="B222" i="55"/>
  <c r="B223" i="55"/>
  <c r="B224" i="55"/>
  <c r="B225" i="55"/>
  <c r="B226" i="55"/>
  <c r="B227" i="55"/>
  <c r="B228" i="55"/>
  <c r="B229" i="55"/>
  <c r="B230" i="55"/>
  <c r="B231" i="55"/>
  <c r="B232" i="55"/>
  <c r="B233" i="55"/>
  <c r="B234" i="55"/>
  <c r="B235" i="55"/>
  <c r="B236" i="55"/>
  <c r="B237" i="55"/>
  <c r="B238" i="55"/>
  <c r="B239" i="55"/>
  <c r="B240" i="55"/>
  <c r="B241" i="55"/>
  <c r="B242" i="55"/>
  <c r="B243" i="55"/>
  <c r="B244" i="55"/>
  <c r="B245" i="55"/>
  <c r="B246" i="55"/>
  <c r="B247" i="55"/>
  <c r="B248" i="55"/>
  <c r="B249" i="55"/>
  <c r="B250" i="55"/>
  <c r="B251" i="55"/>
  <c r="B252" i="55"/>
  <c r="B253" i="55"/>
  <c r="B254" i="55"/>
  <c r="B255" i="55"/>
  <c r="B256" i="55"/>
  <c r="B257" i="55"/>
  <c r="B258" i="55"/>
  <c r="B259" i="55"/>
  <c r="B260" i="55"/>
  <c r="B261" i="55"/>
  <c r="B262" i="55"/>
  <c r="B263" i="55"/>
  <c r="B264" i="55"/>
  <c r="B265" i="55"/>
  <c r="B266" i="55"/>
  <c r="B267" i="55"/>
  <c r="B268" i="55"/>
  <c r="B269" i="55"/>
  <c r="B270" i="55"/>
  <c r="B271" i="55"/>
  <c r="B272" i="55"/>
  <c r="B273" i="55"/>
  <c r="B274" i="55"/>
  <c r="B275" i="55"/>
  <c r="B276" i="55"/>
  <c r="B277" i="55"/>
  <c r="B278" i="55"/>
  <c r="B279" i="55"/>
  <c r="B280" i="55"/>
  <c r="B281" i="55"/>
  <c r="B282" i="55"/>
  <c r="B283" i="55"/>
  <c r="B284" i="55"/>
  <c r="B285" i="55"/>
  <c r="B286" i="55"/>
  <c r="B287" i="55"/>
  <c r="B288" i="55"/>
  <c r="B289" i="55"/>
  <c r="B290" i="55"/>
  <c r="B291" i="55"/>
  <c r="B292" i="55"/>
  <c r="B293" i="55"/>
  <c r="B294" i="55"/>
  <c r="B295" i="55"/>
  <c r="B296" i="55"/>
  <c r="B297" i="55"/>
  <c r="B298" i="55"/>
  <c r="B299" i="55"/>
  <c r="B300" i="55"/>
  <c r="B301" i="55"/>
  <c r="B302" i="55"/>
  <c r="B303" i="55"/>
  <c r="B304" i="55"/>
  <c r="B305" i="55"/>
  <c r="B306" i="55"/>
  <c r="B307" i="55"/>
  <c r="B308" i="55"/>
  <c r="B309" i="55"/>
  <c r="B310" i="55"/>
  <c r="B311" i="55"/>
  <c r="B312" i="55"/>
  <c r="B313" i="55"/>
  <c r="B314" i="55"/>
  <c r="B315" i="55"/>
  <c r="B316" i="55"/>
  <c r="B317" i="55"/>
  <c r="B318" i="55"/>
  <c r="B319" i="55"/>
  <c r="B320" i="55"/>
  <c r="B321" i="55"/>
  <c r="B322" i="55"/>
  <c r="B323" i="55"/>
  <c r="B324" i="55"/>
  <c r="B325" i="55"/>
  <c r="B326" i="55"/>
  <c r="B327" i="55"/>
  <c r="B328" i="55"/>
  <c r="B329" i="55"/>
  <c r="B330" i="55"/>
  <c r="B331" i="55"/>
  <c r="B332" i="55"/>
  <c r="B333" i="55"/>
  <c r="B334" i="55"/>
  <c r="B335" i="55"/>
  <c r="B336" i="55"/>
  <c r="B337" i="55"/>
  <c r="B338" i="55"/>
  <c r="B339" i="55"/>
  <c r="B340" i="55"/>
  <c r="B341" i="55"/>
  <c r="B342" i="55"/>
  <c r="B343" i="55"/>
  <c r="B344" i="55"/>
  <c r="B345" i="55"/>
  <c r="B346" i="55"/>
  <c r="B347" i="55"/>
  <c r="B348" i="55"/>
  <c r="B349" i="55"/>
  <c r="B350" i="55"/>
  <c r="B351" i="55"/>
  <c r="B352" i="55"/>
  <c r="B353" i="55"/>
  <c r="B354" i="55"/>
  <c r="B355" i="55"/>
  <c r="B356" i="55"/>
  <c r="B357" i="55"/>
  <c r="B358" i="55"/>
  <c r="B359" i="55"/>
  <c r="B360" i="55"/>
  <c r="B361" i="55"/>
  <c r="B362" i="55"/>
  <c r="B363" i="55"/>
  <c r="B364" i="55"/>
  <c r="B365" i="55"/>
  <c r="B366" i="55"/>
  <c r="B367" i="55"/>
  <c r="B368" i="55"/>
  <c r="B369" i="55"/>
  <c r="B370" i="55"/>
  <c r="B371" i="55"/>
  <c r="B372" i="55"/>
  <c r="B373" i="55"/>
  <c r="B374" i="55"/>
  <c r="B375" i="55"/>
  <c r="B376" i="55"/>
  <c r="B377" i="55"/>
  <c r="B378" i="55"/>
  <c r="B379" i="55"/>
  <c r="B380" i="55"/>
  <c r="B381" i="55"/>
  <c r="B382" i="55"/>
  <c r="B383" i="55"/>
  <c r="B384" i="55"/>
  <c r="B385" i="55"/>
  <c r="B386" i="55"/>
  <c r="B387" i="55"/>
  <c r="B388" i="55"/>
  <c r="B389" i="55"/>
  <c r="B390" i="55"/>
  <c r="B391" i="55"/>
  <c r="B392" i="55"/>
  <c r="B393" i="55"/>
  <c r="B394" i="55"/>
  <c r="B395" i="55"/>
  <c r="B396" i="55"/>
  <c r="B397" i="55"/>
  <c r="B398" i="55"/>
  <c r="B399" i="55"/>
  <c r="B400" i="55"/>
  <c r="B401" i="55"/>
  <c r="B402" i="55"/>
  <c r="B403" i="55"/>
  <c r="B404" i="55"/>
  <c r="B405" i="55"/>
  <c r="B406" i="55"/>
  <c r="B407" i="55"/>
  <c r="B408" i="55"/>
  <c r="B409" i="55"/>
  <c r="B410" i="55"/>
  <c r="B411" i="55"/>
  <c r="B412" i="55"/>
  <c r="B413" i="55"/>
  <c r="B414" i="55"/>
  <c r="B415" i="55"/>
  <c r="B416" i="55"/>
  <c r="B417" i="55"/>
  <c r="B418" i="55"/>
  <c r="B419" i="55"/>
  <c r="B420" i="55"/>
  <c r="B421" i="55"/>
  <c r="B422" i="55"/>
  <c r="B423" i="55"/>
  <c r="B424" i="55"/>
  <c r="B425" i="55"/>
  <c r="B426" i="55"/>
  <c r="B427" i="55"/>
  <c r="B428" i="55"/>
  <c r="B429" i="55"/>
  <c r="B430" i="55"/>
  <c r="B431" i="55"/>
  <c r="B432" i="55"/>
  <c r="B433" i="55"/>
  <c r="B434" i="55"/>
  <c r="B435" i="55"/>
  <c r="B436" i="55"/>
  <c r="B437" i="55"/>
  <c r="B438" i="55"/>
  <c r="B439" i="55"/>
  <c r="B440" i="55"/>
  <c r="B441" i="55"/>
  <c r="B442" i="55"/>
  <c r="B443" i="55"/>
  <c r="B444" i="55"/>
  <c r="B445" i="55"/>
  <c r="B446" i="55"/>
  <c r="B447" i="55"/>
  <c r="B448" i="55"/>
  <c r="B449" i="55"/>
  <c r="B450" i="55"/>
  <c r="B451" i="55"/>
  <c r="B452" i="55"/>
  <c r="B453" i="55"/>
  <c r="B454" i="55"/>
  <c r="B455" i="55"/>
  <c r="B456" i="55"/>
  <c r="B457" i="55"/>
  <c r="B458" i="55"/>
  <c r="B459" i="55"/>
  <c r="B460" i="55"/>
  <c r="B461" i="55"/>
  <c r="B462" i="55"/>
  <c r="B463" i="55"/>
  <c r="B464" i="55"/>
  <c r="B465" i="55"/>
  <c r="B466" i="55"/>
  <c r="B467" i="55"/>
  <c r="B468" i="55"/>
  <c r="B469" i="55"/>
  <c r="B470" i="55"/>
  <c r="B471" i="55"/>
  <c r="B472" i="55"/>
  <c r="B473" i="55"/>
  <c r="B474" i="55"/>
  <c r="B475" i="55"/>
  <c r="B476" i="55"/>
  <c r="B477" i="55"/>
  <c r="B478" i="55"/>
  <c r="B479" i="55"/>
  <c r="B480" i="55"/>
  <c r="B481" i="55"/>
  <c r="B482" i="55"/>
  <c r="B483" i="55"/>
  <c r="B484" i="55"/>
  <c r="B485" i="55"/>
  <c r="B486" i="55"/>
  <c r="B487" i="55"/>
  <c r="B488" i="55"/>
  <c r="B489" i="55"/>
  <c r="B490" i="55"/>
  <c r="B491" i="55"/>
  <c r="B492" i="55"/>
  <c r="B493" i="55"/>
  <c r="B494" i="55"/>
  <c r="B495" i="55"/>
  <c r="B496" i="55"/>
  <c r="B497" i="55"/>
  <c r="B498" i="55"/>
  <c r="B499" i="55"/>
  <c r="B500" i="55"/>
  <c r="B501" i="55"/>
  <c r="B502" i="55"/>
  <c r="B503" i="55"/>
  <c r="B504" i="55"/>
  <c r="B505" i="55"/>
  <c r="H10" i="61"/>
  <c r="H9" i="61"/>
  <c r="H8" i="61"/>
  <c r="H7" i="61"/>
  <c r="H6" i="61"/>
  <c r="B8" i="58"/>
  <c r="B9" i="58"/>
  <c r="B10" i="58"/>
  <c r="B6" i="58"/>
  <c r="B7" i="58"/>
  <c r="B11" i="58"/>
  <c r="B12" i="58"/>
  <c r="B13" i="58"/>
  <c r="B14" i="58"/>
  <c r="B15" i="58"/>
  <c r="B16" i="58"/>
  <c r="B17" i="58"/>
  <c r="B18" i="58"/>
  <c r="B19" i="58"/>
  <c r="B20" i="58"/>
  <c r="B21" i="58"/>
  <c r="B22" i="58"/>
  <c r="B23" i="58"/>
  <c r="B24" i="58"/>
  <c r="B25" i="58"/>
  <c r="B26" i="58"/>
  <c r="B27" i="58"/>
  <c r="B28" i="58"/>
  <c r="B29" i="58"/>
  <c r="B30" i="58"/>
  <c r="B31" i="58"/>
  <c r="B32" i="58"/>
  <c r="B33" i="58"/>
  <c r="B34" i="58"/>
  <c r="B35" i="58"/>
  <c r="B36" i="58"/>
  <c r="B37" i="58"/>
  <c r="B38" i="58"/>
  <c r="B39" i="58"/>
  <c r="B40" i="58"/>
  <c r="B41" i="58"/>
  <c r="B42" i="58"/>
  <c r="B43" i="58"/>
  <c r="B44" i="58"/>
  <c r="B45" i="58"/>
  <c r="B46" i="58"/>
  <c r="B47" i="58"/>
  <c r="B48" i="58"/>
  <c r="B49" i="58"/>
  <c r="B50" i="58"/>
  <c r="B51" i="58"/>
  <c r="B52" i="58"/>
  <c r="B53" i="58"/>
  <c r="B54" i="58"/>
  <c r="B55" i="58"/>
  <c r="B56" i="58"/>
  <c r="B57" i="58"/>
  <c r="B58" i="58"/>
  <c r="B59" i="58"/>
  <c r="B60" i="58"/>
  <c r="B61" i="58"/>
  <c r="B62" i="58"/>
  <c r="B63" i="58"/>
  <c r="B64" i="58"/>
  <c r="B65" i="58"/>
  <c r="B66" i="58"/>
  <c r="B67" i="58"/>
  <c r="B68" i="58"/>
  <c r="B69" i="58"/>
  <c r="B70" i="58"/>
  <c r="B71" i="58"/>
  <c r="B72" i="58"/>
  <c r="B73" i="58"/>
  <c r="B74" i="58"/>
  <c r="B75" i="58"/>
  <c r="B76" i="58"/>
  <c r="B77" i="58"/>
  <c r="B78" i="58"/>
  <c r="B79" i="58"/>
  <c r="B80" i="58"/>
  <c r="B81" i="58"/>
  <c r="B82" i="58"/>
  <c r="B83" i="58"/>
  <c r="B84" i="58"/>
  <c r="B85" i="58"/>
  <c r="B86" i="58"/>
  <c r="B87" i="58"/>
  <c r="B88" i="58"/>
  <c r="B89" i="58"/>
  <c r="B90" i="58"/>
  <c r="B91" i="58"/>
  <c r="B92" i="58"/>
  <c r="B93" i="58"/>
  <c r="B94" i="58"/>
  <c r="B95" i="58"/>
  <c r="B96" i="58"/>
  <c r="B97" i="58"/>
  <c r="B98" i="58"/>
  <c r="B99" i="58"/>
  <c r="B100" i="58"/>
  <c r="B101" i="58"/>
  <c r="B102" i="58"/>
  <c r="B103" i="58"/>
  <c r="B104" i="58"/>
  <c r="B105" i="58"/>
  <c r="B106" i="58"/>
  <c r="B107" i="58"/>
  <c r="B108" i="58"/>
  <c r="B109" i="58"/>
  <c r="B110" i="58"/>
  <c r="B111" i="58"/>
  <c r="B112" i="58"/>
  <c r="B113" i="58"/>
  <c r="B114" i="58"/>
  <c r="B115" i="58"/>
  <c r="B116" i="58"/>
  <c r="B117" i="58"/>
  <c r="B118" i="58"/>
  <c r="B119" i="58"/>
  <c r="B120" i="58"/>
  <c r="B121" i="58"/>
  <c r="B122" i="58"/>
  <c r="B123" i="58"/>
  <c r="B124" i="58"/>
  <c r="B125" i="58"/>
  <c r="B126" i="58"/>
  <c r="B127" i="58"/>
  <c r="B128" i="58"/>
  <c r="B129" i="58"/>
  <c r="B130" i="58"/>
  <c r="B131" i="58"/>
  <c r="B132" i="58"/>
  <c r="B133" i="58"/>
  <c r="B134" i="58"/>
  <c r="B135" i="58"/>
  <c r="B136" i="58"/>
  <c r="B137" i="58"/>
  <c r="B138" i="58"/>
  <c r="B139" i="58"/>
  <c r="B140" i="58"/>
  <c r="B141" i="58"/>
  <c r="B142" i="58"/>
  <c r="B143" i="58"/>
  <c r="B144" i="58"/>
  <c r="B145" i="58"/>
  <c r="B146" i="58"/>
  <c r="B147" i="58"/>
  <c r="B148" i="58"/>
  <c r="B149" i="58"/>
  <c r="B150" i="58"/>
  <c r="B151" i="58"/>
  <c r="B152" i="58"/>
  <c r="B153" i="58"/>
  <c r="B154" i="58"/>
  <c r="B155" i="58"/>
  <c r="B156" i="58"/>
  <c r="B157" i="58"/>
  <c r="B158" i="58"/>
  <c r="B159" i="58"/>
  <c r="B160" i="58"/>
  <c r="B161" i="58"/>
  <c r="B162" i="58"/>
  <c r="B163" i="58"/>
  <c r="B164" i="58"/>
  <c r="B165" i="58"/>
  <c r="B166" i="58"/>
  <c r="B167" i="58"/>
  <c r="B168" i="58"/>
  <c r="B169" i="58"/>
  <c r="B170" i="58"/>
  <c r="B171" i="58"/>
  <c r="B172" i="58"/>
  <c r="B173" i="58"/>
  <c r="B174" i="58"/>
  <c r="B175" i="58"/>
  <c r="B176" i="58"/>
  <c r="B177" i="58"/>
  <c r="B178" i="58"/>
  <c r="B179" i="58"/>
  <c r="B180" i="58"/>
  <c r="B181" i="58"/>
  <c r="B182" i="58"/>
  <c r="B183" i="58"/>
  <c r="B184" i="58"/>
  <c r="B185" i="58"/>
  <c r="B186" i="58"/>
  <c r="B187" i="58"/>
  <c r="B188" i="58"/>
  <c r="B189" i="58"/>
  <c r="B190" i="58"/>
  <c r="B191" i="58"/>
  <c r="B192" i="58"/>
  <c r="B193" i="58"/>
  <c r="B194" i="58"/>
  <c r="B195" i="58"/>
  <c r="B196" i="58"/>
  <c r="B197" i="58"/>
  <c r="B198" i="58"/>
  <c r="B199" i="58"/>
  <c r="B200" i="58"/>
  <c r="B201" i="58"/>
  <c r="B202" i="58"/>
  <c r="B203" i="58"/>
  <c r="B204" i="58"/>
  <c r="B205" i="58"/>
  <c r="B206" i="58"/>
  <c r="B207" i="58"/>
  <c r="B208" i="58"/>
  <c r="B209" i="58"/>
  <c r="B210" i="58"/>
  <c r="B211" i="58"/>
  <c r="B212" i="58"/>
  <c r="B213" i="58"/>
  <c r="B214" i="58"/>
  <c r="B215" i="58"/>
  <c r="B216" i="58"/>
  <c r="B217" i="58"/>
  <c r="B218" i="58"/>
  <c r="B219" i="58"/>
  <c r="B220" i="58"/>
  <c r="B221" i="58"/>
  <c r="B222" i="58"/>
  <c r="B223" i="58"/>
  <c r="B224" i="58"/>
  <c r="B225" i="58"/>
  <c r="B226" i="58"/>
  <c r="B227" i="58"/>
  <c r="B228" i="58"/>
  <c r="B229" i="58"/>
  <c r="B230" i="58"/>
  <c r="B231" i="58"/>
  <c r="B232" i="58"/>
  <c r="B233" i="58"/>
  <c r="B234" i="58"/>
  <c r="B235" i="58"/>
  <c r="B236" i="58"/>
  <c r="B237" i="58"/>
  <c r="B238" i="58"/>
  <c r="B239" i="58"/>
  <c r="B240" i="58"/>
  <c r="B241" i="58"/>
  <c r="B242" i="58"/>
  <c r="B243" i="58"/>
  <c r="B244" i="58"/>
  <c r="B245" i="58"/>
  <c r="B246" i="58"/>
  <c r="B247" i="58"/>
  <c r="B248" i="58"/>
  <c r="B249" i="58"/>
  <c r="B250" i="58"/>
  <c r="B251" i="58"/>
  <c r="B252" i="58"/>
  <c r="B253" i="58"/>
  <c r="B254" i="58"/>
  <c r="B255" i="58"/>
  <c r="B256" i="58"/>
  <c r="B257" i="58"/>
  <c r="B258" i="58"/>
  <c r="B259" i="58"/>
  <c r="B260" i="58"/>
  <c r="B261" i="58"/>
  <c r="B262" i="58"/>
  <c r="B263" i="58"/>
  <c r="B264" i="58"/>
  <c r="B265" i="58"/>
  <c r="B266" i="58"/>
  <c r="B267" i="58"/>
  <c r="B268" i="58"/>
  <c r="B269" i="58"/>
  <c r="B270" i="58"/>
  <c r="B271" i="58"/>
  <c r="B272" i="58"/>
  <c r="B273" i="58"/>
  <c r="B274" i="58"/>
  <c r="B275" i="58"/>
  <c r="B276" i="58"/>
  <c r="B277" i="58"/>
  <c r="B278" i="58"/>
  <c r="B279" i="58"/>
  <c r="B280" i="58"/>
  <c r="B281" i="58"/>
  <c r="B282" i="58"/>
  <c r="B283" i="58"/>
  <c r="B284" i="58"/>
  <c r="B285" i="58"/>
  <c r="B286" i="58"/>
  <c r="B287" i="58"/>
  <c r="B288" i="58"/>
  <c r="B289" i="58"/>
  <c r="B290" i="58"/>
  <c r="B291" i="58"/>
  <c r="B292" i="58"/>
  <c r="B293" i="58"/>
  <c r="B294" i="58"/>
  <c r="B295" i="58"/>
  <c r="B296" i="58"/>
  <c r="B297" i="58"/>
  <c r="B298" i="58"/>
  <c r="B299" i="58"/>
  <c r="B300" i="58"/>
  <c r="B301" i="58"/>
  <c r="B302" i="58"/>
  <c r="B303" i="58"/>
  <c r="B304" i="58"/>
  <c r="B305" i="58"/>
  <c r="B306" i="58"/>
  <c r="B307" i="58"/>
  <c r="B308" i="58"/>
  <c r="B309" i="58"/>
  <c r="B310" i="58"/>
  <c r="B311" i="58"/>
  <c r="B312" i="58"/>
  <c r="B313" i="58"/>
  <c r="B314" i="58"/>
  <c r="B315" i="58"/>
  <c r="B316" i="58"/>
  <c r="B317" i="58"/>
  <c r="B318" i="58"/>
  <c r="B319" i="58"/>
  <c r="B320" i="58"/>
  <c r="B321" i="58"/>
  <c r="B322" i="58"/>
  <c r="B323" i="58"/>
  <c r="B324" i="58"/>
  <c r="B325" i="58"/>
  <c r="B326" i="58"/>
  <c r="B327" i="58"/>
  <c r="B328" i="58"/>
  <c r="B329" i="58"/>
  <c r="B330" i="58"/>
  <c r="B331" i="58"/>
  <c r="B332" i="58"/>
  <c r="B333" i="58"/>
  <c r="B334" i="58"/>
  <c r="B335" i="58"/>
  <c r="B336" i="58"/>
  <c r="B337" i="58"/>
  <c r="B338" i="58"/>
  <c r="B339" i="58"/>
  <c r="B340" i="58"/>
  <c r="B341" i="58"/>
  <c r="B342" i="58"/>
  <c r="B343" i="58"/>
  <c r="B344" i="58"/>
  <c r="B345" i="58"/>
  <c r="B346" i="58"/>
  <c r="B347" i="58"/>
  <c r="B348" i="58"/>
  <c r="B349" i="58"/>
  <c r="B350" i="58"/>
  <c r="B351" i="58"/>
  <c r="B352" i="58"/>
  <c r="B353" i="58"/>
  <c r="B354" i="58"/>
  <c r="B355" i="58"/>
  <c r="B356" i="58"/>
  <c r="B357" i="58"/>
  <c r="B358" i="58"/>
  <c r="B359" i="58"/>
  <c r="B360" i="58"/>
  <c r="B361" i="58"/>
  <c r="B362" i="58"/>
  <c r="B363" i="58"/>
  <c r="B364" i="58"/>
  <c r="B365" i="58"/>
  <c r="B366" i="58"/>
  <c r="B367" i="58"/>
  <c r="B368" i="58"/>
  <c r="B369" i="58"/>
  <c r="B370" i="58"/>
  <c r="B371" i="58"/>
  <c r="B372" i="58"/>
  <c r="B373" i="58"/>
  <c r="B374" i="58"/>
  <c r="B375" i="58"/>
  <c r="B376" i="58"/>
  <c r="B377" i="58"/>
  <c r="B378" i="58"/>
  <c r="B379" i="58"/>
  <c r="B380" i="58"/>
  <c r="B381" i="58"/>
  <c r="B382" i="58"/>
  <c r="B383" i="58"/>
  <c r="B384" i="58"/>
  <c r="B385" i="58"/>
  <c r="B386" i="58"/>
  <c r="B387" i="58"/>
  <c r="B388" i="58"/>
  <c r="B389" i="58"/>
  <c r="B390" i="58"/>
  <c r="B391" i="58"/>
  <c r="B392" i="58"/>
  <c r="B393" i="58"/>
  <c r="B394" i="58"/>
  <c r="B395" i="58"/>
  <c r="B396" i="58"/>
  <c r="B397" i="58"/>
  <c r="B398" i="58"/>
  <c r="B399" i="58"/>
  <c r="B400" i="58"/>
  <c r="B401" i="58"/>
  <c r="B402" i="58"/>
  <c r="B403" i="58"/>
  <c r="B404" i="58"/>
  <c r="B405" i="58"/>
  <c r="B406" i="58"/>
  <c r="B407" i="58"/>
  <c r="B408" i="58"/>
  <c r="B409" i="58"/>
  <c r="B410" i="58"/>
  <c r="B411" i="58"/>
  <c r="B412" i="58"/>
  <c r="B413" i="58"/>
  <c r="B414" i="58"/>
  <c r="B415" i="58"/>
  <c r="B416" i="58"/>
  <c r="B417" i="58"/>
  <c r="B418" i="58"/>
  <c r="B419" i="58"/>
  <c r="B420" i="58"/>
  <c r="B421" i="58"/>
  <c r="B422" i="58"/>
  <c r="B423" i="58"/>
  <c r="B424" i="58"/>
  <c r="B425" i="58"/>
  <c r="B426" i="58"/>
  <c r="B427" i="58"/>
  <c r="B428" i="58"/>
  <c r="B429" i="58"/>
  <c r="B430" i="58"/>
  <c r="B431" i="58"/>
  <c r="B432" i="58"/>
  <c r="B433" i="58"/>
  <c r="B434" i="58"/>
  <c r="B435" i="58"/>
  <c r="B436" i="58"/>
  <c r="B437" i="58"/>
  <c r="B438" i="58"/>
  <c r="B439" i="58"/>
  <c r="B440" i="58"/>
  <c r="B441" i="58"/>
  <c r="B442" i="58"/>
  <c r="B443" i="58"/>
  <c r="B444" i="58"/>
  <c r="B445" i="58"/>
  <c r="B446" i="58"/>
  <c r="B447" i="58"/>
  <c r="B448" i="58"/>
  <c r="B449" i="58"/>
  <c r="B450" i="58"/>
  <c r="B451" i="58"/>
  <c r="B452" i="58"/>
  <c r="B453" i="58"/>
  <c r="B454" i="58"/>
  <c r="B455" i="58"/>
  <c r="B456" i="58"/>
  <c r="B457" i="58"/>
  <c r="B458" i="58"/>
  <c r="B459" i="58"/>
  <c r="B460" i="58"/>
  <c r="B461" i="58"/>
  <c r="B462" i="58"/>
  <c r="B463" i="58"/>
  <c r="B464" i="58"/>
  <c r="B465" i="58"/>
  <c r="B466" i="58"/>
  <c r="B467" i="58"/>
  <c r="B468" i="58"/>
  <c r="B469" i="58"/>
  <c r="B470" i="58"/>
  <c r="B471" i="58"/>
  <c r="B472" i="58"/>
  <c r="B473" i="58"/>
  <c r="B474" i="58"/>
  <c r="B475" i="58"/>
  <c r="B476" i="58"/>
  <c r="B477" i="58"/>
  <c r="B478" i="58"/>
  <c r="B479" i="58"/>
  <c r="B480" i="58"/>
  <c r="B481" i="58"/>
  <c r="B482" i="58"/>
  <c r="B483" i="58"/>
  <c r="B484" i="58"/>
  <c r="B485" i="58"/>
  <c r="B486" i="58"/>
  <c r="B487" i="58"/>
  <c r="B488" i="58"/>
  <c r="B489" i="58"/>
  <c r="B490" i="58"/>
  <c r="B491" i="58"/>
  <c r="B492" i="58"/>
  <c r="B493" i="58"/>
  <c r="B494" i="58"/>
  <c r="B495" i="58"/>
  <c r="B496" i="58"/>
  <c r="B497" i="58"/>
  <c r="B498" i="58"/>
  <c r="B499" i="58"/>
  <c r="B500" i="58"/>
  <c r="B501" i="58"/>
  <c r="B502" i="58"/>
  <c r="B503" i="58"/>
  <c r="B504" i="58"/>
  <c r="B505" i="58"/>
  <c r="E7" i="62"/>
  <c r="G7" i="62"/>
  <c r="Q20" i="65"/>
  <c r="E8" i="62"/>
  <c r="G8" i="62"/>
  <c r="Q21" i="65"/>
  <c r="E9" i="62"/>
  <c r="G9" i="62"/>
  <c r="Q22" i="65"/>
  <c r="E10" i="62"/>
  <c r="G10" i="62"/>
  <c r="Q23" i="65"/>
  <c r="E6" i="62"/>
  <c r="G6" i="62"/>
  <c r="Q19" i="65"/>
  <c r="F7" i="62"/>
  <c r="P20" i="65"/>
  <c r="F8" i="62"/>
  <c r="P21" i="65"/>
  <c r="F9" i="62"/>
  <c r="P22" i="65"/>
  <c r="F10" i="62"/>
  <c r="P23" i="65"/>
  <c r="F6" i="62"/>
  <c r="P19" i="65"/>
  <c r="A6" i="64"/>
  <c r="A7" i="64"/>
  <c r="A8" i="64"/>
  <c r="A9" i="64"/>
  <c r="A10" i="64"/>
  <c r="A11" i="64"/>
  <c r="A12" i="64"/>
  <c r="A13" i="64"/>
  <c r="A14" i="64"/>
  <c r="A15" i="64"/>
  <c r="A16" i="64"/>
  <c r="A17" i="64"/>
  <c r="A18" i="64"/>
  <c r="A19" i="64"/>
  <c r="A20" i="64"/>
  <c r="A21" i="64"/>
  <c r="A22" i="64"/>
  <c r="A23" i="64"/>
  <c r="A24" i="64"/>
  <c r="A25" i="64"/>
  <c r="A26" i="64"/>
  <c r="A27" i="64"/>
  <c r="A28" i="64"/>
  <c r="A29" i="64"/>
  <c r="A30" i="64"/>
  <c r="A31" i="64"/>
  <c r="A32" i="64"/>
  <c r="A33" i="64"/>
  <c r="A34" i="64"/>
  <c r="A35" i="64"/>
  <c r="A36" i="64"/>
  <c r="A37" i="64"/>
  <c r="A38" i="64"/>
  <c r="A39" i="64"/>
  <c r="A40" i="64"/>
  <c r="A41" i="64"/>
  <c r="A42" i="64"/>
  <c r="A43" i="64"/>
  <c r="A44" i="64"/>
  <c r="A45" i="64"/>
  <c r="A46" i="64"/>
  <c r="A47" i="64"/>
  <c r="A48" i="64"/>
  <c r="A49" i="64"/>
  <c r="A50" i="64"/>
  <c r="A51" i="64"/>
  <c r="A52" i="64"/>
  <c r="A53" i="64"/>
  <c r="A54" i="64"/>
  <c r="A55" i="64"/>
  <c r="A56" i="64"/>
  <c r="A57" i="64"/>
  <c r="A58" i="64"/>
  <c r="A59" i="64"/>
  <c r="A60" i="64"/>
  <c r="A61" i="64"/>
  <c r="A62" i="64"/>
  <c r="A63" i="64"/>
  <c r="A64" i="64"/>
  <c r="A65" i="64"/>
  <c r="A66" i="64"/>
  <c r="A67" i="64"/>
  <c r="A68" i="64"/>
  <c r="A69" i="64"/>
  <c r="A70" i="64"/>
  <c r="A71" i="64"/>
  <c r="A72" i="64"/>
  <c r="A73" i="64"/>
  <c r="A74" i="64"/>
  <c r="A75" i="64"/>
  <c r="A76" i="64"/>
  <c r="A77" i="64"/>
  <c r="A78" i="64"/>
  <c r="A79" i="64"/>
  <c r="A80" i="64"/>
  <c r="A81" i="64"/>
  <c r="A82" i="64"/>
  <c r="A83" i="64"/>
  <c r="A84" i="64"/>
  <c r="A85" i="64"/>
  <c r="A86" i="64"/>
  <c r="A87" i="64"/>
  <c r="A88" i="64"/>
  <c r="A89" i="64"/>
  <c r="A90" i="64"/>
  <c r="A91" i="64"/>
  <c r="A92" i="64"/>
  <c r="A93" i="64"/>
  <c r="A94" i="64"/>
  <c r="A95" i="64"/>
  <c r="A96" i="64"/>
  <c r="A97" i="64"/>
  <c r="A98" i="64"/>
  <c r="A99" i="64"/>
  <c r="A100" i="64"/>
  <c r="A101" i="64"/>
  <c r="A102" i="64"/>
  <c r="A103" i="64"/>
  <c r="A104" i="64"/>
  <c r="A105" i="64"/>
  <c r="A106" i="64"/>
  <c r="A107" i="64"/>
  <c r="A108" i="64"/>
  <c r="A109" i="64"/>
  <c r="A110" i="64"/>
  <c r="A111" i="64"/>
  <c r="A112" i="64"/>
  <c r="A113" i="64"/>
  <c r="A114" i="64"/>
  <c r="A115" i="64"/>
  <c r="A116" i="64"/>
  <c r="A117" i="64"/>
  <c r="A118" i="64"/>
  <c r="A119" i="64"/>
  <c r="A120" i="64"/>
  <c r="A121" i="64"/>
  <c r="A122" i="64"/>
  <c r="A123" i="64"/>
  <c r="A124" i="64"/>
  <c r="A125" i="64"/>
  <c r="A126" i="64"/>
  <c r="A127" i="64"/>
  <c r="A128" i="64"/>
  <c r="A129" i="64"/>
  <c r="A130" i="64"/>
  <c r="A131" i="64"/>
  <c r="A132" i="64"/>
  <c r="A133" i="64"/>
  <c r="A134" i="64"/>
  <c r="A135" i="64"/>
  <c r="A136" i="64"/>
  <c r="A137" i="64"/>
  <c r="A138" i="64"/>
  <c r="A139" i="64"/>
  <c r="A140" i="64"/>
  <c r="A141" i="64"/>
  <c r="A142" i="64"/>
  <c r="A143" i="64"/>
  <c r="A144" i="64"/>
  <c r="A145" i="64"/>
  <c r="A146" i="64"/>
  <c r="A147" i="64"/>
  <c r="A148" i="64"/>
  <c r="A149" i="64"/>
  <c r="A150" i="64"/>
  <c r="A151" i="64"/>
  <c r="A152" i="64"/>
  <c r="A153" i="64"/>
  <c r="A154" i="64"/>
  <c r="A155" i="64"/>
  <c r="A156" i="64"/>
  <c r="A157" i="64"/>
  <c r="A158" i="64"/>
  <c r="A159" i="64"/>
  <c r="A160" i="64"/>
  <c r="A161" i="64"/>
  <c r="A162" i="64"/>
  <c r="A163" i="64"/>
  <c r="A164" i="64"/>
  <c r="A165" i="64"/>
  <c r="A166" i="64"/>
  <c r="A167" i="64"/>
  <c r="A168" i="64"/>
  <c r="A169" i="64"/>
  <c r="A170" i="64"/>
  <c r="A171" i="64"/>
  <c r="A172" i="64"/>
  <c r="A173" i="64"/>
  <c r="A174" i="64"/>
  <c r="A175" i="64"/>
  <c r="A176" i="64"/>
  <c r="A177" i="64"/>
  <c r="A178" i="64"/>
  <c r="A179" i="64"/>
  <c r="A180" i="64"/>
  <c r="A181" i="64"/>
  <c r="A182" i="64"/>
  <c r="A183" i="64"/>
  <c r="A184" i="64"/>
  <c r="A185" i="64"/>
  <c r="A186" i="64"/>
  <c r="A187" i="64"/>
  <c r="A188" i="64"/>
  <c r="A189" i="64"/>
  <c r="A190" i="64"/>
  <c r="A191" i="64"/>
  <c r="A192" i="64"/>
  <c r="A193" i="64"/>
  <c r="A194" i="64"/>
  <c r="A195" i="64"/>
  <c r="A196" i="64"/>
  <c r="A197" i="64"/>
  <c r="A198" i="64"/>
  <c r="A199" i="64"/>
  <c r="A200" i="64"/>
  <c r="A201" i="64"/>
  <c r="A202" i="64"/>
  <c r="A203" i="64"/>
  <c r="A204" i="64"/>
  <c r="A205" i="64"/>
  <c r="A206" i="64"/>
  <c r="A207" i="64"/>
  <c r="A208" i="64"/>
  <c r="A209" i="64"/>
  <c r="A210" i="64"/>
  <c r="A211" i="64"/>
  <c r="A212" i="64"/>
  <c r="A213" i="64"/>
  <c r="A214" i="64"/>
  <c r="A215" i="64"/>
  <c r="A216" i="64"/>
  <c r="A217" i="64"/>
  <c r="A218" i="64"/>
  <c r="A219" i="64"/>
  <c r="A220" i="64"/>
  <c r="A221" i="64"/>
  <c r="A222" i="64"/>
  <c r="A223" i="64"/>
  <c r="A224" i="64"/>
  <c r="A225" i="64"/>
  <c r="A226" i="64"/>
  <c r="A227" i="64"/>
  <c r="A228" i="64"/>
  <c r="A229" i="64"/>
  <c r="A230" i="64"/>
  <c r="A231" i="64"/>
  <c r="A232" i="64"/>
  <c r="A233" i="64"/>
  <c r="A234" i="64"/>
  <c r="A235" i="64"/>
  <c r="A236" i="64"/>
  <c r="A237" i="64"/>
  <c r="A238" i="64"/>
  <c r="A239" i="64"/>
  <c r="A240" i="64"/>
  <c r="A241" i="64"/>
  <c r="A242" i="64"/>
  <c r="A243" i="64"/>
  <c r="A244" i="64"/>
  <c r="A245" i="64"/>
  <c r="A246" i="64"/>
  <c r="A247" i="64"/>
  <c r="A248" i="64"/>
  <c r="A249" i="64"/>
  <c r="A250" i="64"/>
  <c r="A251" i="64"/>
  <c r="A252" i="64"/>
  <c r="A253" i="64"/>
  <c r="A254" i="64"/>
  <c r="A255" i="64"/>
  <c r="A256" i="64"/>
  <c r="A257" i="64"/>
  <c r="A258" i="64"/>
  <c r="A259" i="64"/>
  <c r="A260" i="64"/>
  <c r="A261" i="64"/>
  <c r="A262" i="64"/>
  <c r="A263" i="64"/>
  <c r="A264" i="64"/>
  <c r="A265" i="64"/>
  <c r="A266" i="64"/>
  <c r="A267" i="64"/>
  <c r="A268" i="64"/>
  <c r="A269" i="64"/>
  <c r="A270" i="64"/>
  <c r="A271" i="64"/>
  <c r="A272" i="64"/>
  <c r="A273" i="64"/>
  <c r="A274" i="64"/>
  <c r="A275" i="64"/>
  <c r="A276" i="64"/>
  <c r="A277" i="64"/>
  <c r="A278" i="64"/>
  <c r="A279" i="64"/>
  <c r="A280" i="64"/>
  <c r="A281" i="64"/>
  <c r="A282" i="64"/>
  <c r="A283" i="64"/>
  <c r="A284" i="64"/>
  <c r="A285" i="64"/>
  <c r="A286" i="64"/>
  <c r="A287" i="64"/>
  <c r="A288" i="64"/>
  <c r="A289" i="64"/>
  <c r="A290" i="64"/>
  <c r="A291" i="64"/>
  <c r="A292" i="64"/>
  <c r="A293" i="64"/>
  <c r="A294" i="64"/>
  <c r="A295" i="64"/>
  <c r="A296" i="64"/>
  <c r="A297" i="64"/>
  <c r="A298" i="64"/>
  <c r="A299" i="64"/>
  <c r="A300" i="64"/>
  <c r="A301" i="64"/>
  <c r="A302" i="64"/>
  <c r="A303" i="64"/>
  <c r="A304" i="64"/>
  <c r="A305" i="64"/>
  <c r="A306" i="64"/>
  <c r="A307" i="64"/>
  <c r="A308" i="64"/>
  <c r="A309" i="64"/>
  <c r="A310" i="64"/>
  <c r="A311" i="64"/>
  <c r="A312" i="64"/>
  <c r="A313" i="64"/>
  <c r="A314" i="64"/>
  <c r="A315" i="64"/>
  <c r="A316" i="64"/>
  <c r="A317" i="64"/>
  <c r="A318" i="64"/>
  <c r="A319" i="64"/>
  <c r="A320" i="64"/>
  <c r="A321" i="64"/>
  <c r="A322" i="64"/>
  <c r="A323" i="64"/>
  <c r="A324" i="64"/>
  <c r="A325" i="64"/>
  <c r="A326" i="64"/>
  <c r="A327" i="64"/>
  <c r="A328" i="64"/>
  <c r="A329" i="64"/>
  <c r="A330" i="64"/>
  <c r="A331" i="64"/>
  <c r="A332" i="64"/>
  <c r="A333" i="64"/>
  <c r="A334" i="64"/>
  <c r="A335" i="64"/>
  <c r="A336" i="64"/>
  <c r="A337" i="64"/>
  <c r="A338" i="64"/>
  <c r="A339" i="64"/>
  <c r="A340" i="64"/>
  <c r="A341" i="64"/>
  <c r="A342" i="64"/>
  <c r="A343" i="64"/>
  <c r="A344" i="64"/>
  <c r="A345" i="64"/>
  <c r="A346" i="64"/>
  <c r="A347" i="64"/>
  <c r="A348" i="64"/>
  <c r="A349" i="64"/>
  <c r="A350" i="64"/>
  <c r="A351" i="64"/>
  <c r="A352" i="64"/>
  <c r="A353" i="64"/>
  <c r="A354" i="64"/>
  <c r="A355" i="64"/>
  <c r="A356" i="64"/>
  <c r="A357" i="64"/>
  <c r="A358" i="64"/>
  <c r="A359" i="64"/>
  <c r="A360" i="64"/>
  <c r="A361" i="64"/>
  <c r="A362" i="64"/>
  <c r="A363" i="64"/>
  <c r="A364" i="64"/>
  <c r="A365" i="64"/>
  <c r="A366" i="64"/>
  <c r="A367" i="64"/>
  <c r="A368" i="64"/>
  <c r="A369" i="64"/>
  <c r="A370" i="64"/>
  <c r="A371" i="64"/>
  <c r="A372" i="64"/>
  <c r="A373" i="64"/>
  <c r="A374" i="64"/>
  <c r="A375" i="64"/>
  <c r="A376" i="64"/>
  <c r="A377" i="64"/>
  <c r="A378" i="64"/>
  <c r="A379" i="64"/>
  <c r="A380" i="64"/>
  <c r="A381" i="64"/>
  <c r="A382" i="64"/>
  <c r="A383" i="64"/>
  <c r="A384" i="64"/>
  <c r="A385" i="64"/>
  <c r="A386" i="64"/>
  <c r="A387" i="64"/>
  <c r="A388" i="64"/>
  <c r="A389" i="64"/>
  <c r="A390" i="64"/>
  <c r="A391" i="64"/>
  <c r="A392" i="64"/>
  <c r="A393" i="64"/>
  <c r="A394" i="64"/>
  <c r="A395" i="64"/>
  <c r="A396" i="64"/>
  <c r="A397" i="64"/>
  <c r="A398" i="64"/>
  <c r="A399" i="64"/>
  <c r="A400" i="64"/>
  <c r="A401" i="64"/>
  <c r="A402" i="64"/>
  <c r="A403" i="64"/>
  <c r="A404" i="64"/>
  <c r="A405" i="64"/>
  <c r="A406" i="64"/>
  <c r="A407" i="64"/>
  <c r="A408" i="64"/>
  <c r="A409" i="64"/>
  <c r="A410" i="64"/>
  <c r="A411" i="64"/>
  <c r="A412" i="64"/>
  <c r="A413" i="64"/>
  <c r="A414" i="64"/>
  <c r="A415" i="64"/>
  <c r="A416" i="64"/>
  <c r="A417" i="64"/>
  <c r="A418" i="64"/>
  <c r="A419" i="64"/>
  <c r="A420" i="64"/>
  <c r="A421" i="64"/>
  <c r="A422" i="64"/>
  <c r="A423" i="64"/>
  <c r="A424" i="64"/>
  <c r="A425" i="64"/>
  <c r="A426" i="64"/>
  <c r="A427" i="64"/>
  <c r="A428" i="64"/>
  <c r="A429" i="64"/>
  <c r="A430" i="64"/>
  <c r="A431" i="64"/>
  <c r="A432" i="64"/>
  <c r="A433" i="64"/>
  <c r="A434" i="64"/>
  <c r="A435" i="64"/>
  <c r="A436" i="64"/>
  <c r="A437" i="64"/>
  <c r="A438" i="64"/>
  <c r="A439" i="64"/>
  <c r="A440" i="64"/>
  <c r="A441" i="64"/>
  <c r="A442" i="64"/>
  <c r="A443" i="64"/>
  <c r="A444" i="64"/>
  <c r="A445" i="64"/>
  <c r="A446" i="64"/>
  <c r="A447" i="64"/>
  <c r="A448" i="64"/>
  <c r="A449" i="64"/>
  <c r="A450" i="64"/>
  <c r="A451" i="64"/>
  <c r="A452" i="64"/>
  <c r="A453" i="64"/>
  <c r="A454" i="64"/>
  <c r="A455" i="64"/>
  <c r="A456" i="64"/>
  <c r="A457" i="64"/>
  <c r="A458" i="64"/>
  <c r="A459" i="64"/>
  <c r="A460" i="64"/>
  <c r="A461" i="64"/>
  <c r="A462" i="64"/>
  <c r="A463" i="64"/>
  <c r="A464" i="64"/>
  <c r="A465" i="64"/>
  <c r="A466" i="64"/>
  <c r="A467" i="64"/>
  <c r="A468" i="64"/>
  <c r="A469" i="64"/>
  <c r="A470" i="64"/>
  <c r="A471" i="64"/>
  <c r="A472" i="64"/>
  <c r="A473" i="64"/>
  <c r="A474" i="64"/>
  <c r="A475" i="64"/>
  <c r="A476" i="64"/>
  <c r="A477" i="64"/>
  <c r="A478" i="64"/>
  <c r="A479" i="64"/>
  <c r="A480" i="64"/>
  <c r="A481" i="64"/>
  <c r="A482" i="64"/>
  <c r="A483" i="64"/>
  <c r="A484" i="64"/>
  <c r="A485" i="64"/>
  <c r="A486" i="64"/>
  <c r="A487" i="64"/>
  <c r="A488" i="64"/>
  <c r="A489" i="64"/>
  <c r="A490" i="64"/>
  <c r="A491" i="64"/>
  <c r="A492" i="64"/>
  <c r="A493" i="64"/>
  <c r="A494" i="64"/>
  <c r="A495" i="64"/>
  <c r="A496" i="64"/>
  <c r="A497" i="64"/>
  <c r="A498" i="64"/>
  <c r="A499" i="64"/>
  <c r="A500" i="64"/>
  <c r="A501" i="64"/>
  <c r="A502" i="64"/>
  <c r="A503" i="64"/>
  <c r="A504" i="64"/>
  <c r="A505" i="64"/>
  <c r="J23" i="65"/>
  <c r="J22" i="65"/>
  <c r="J21" i="65"/>
  <c r="J20" i="65"/>
  <c r="K20" i="65"/>
  <c r="L20" i="65"/>
  <c r="K21" i="65"/>
  <c r="L21" i="65"/>
  <c r="K22" i="65"/>
  <c r="L22" i="65"/>
  <c r="K23" i="65"/>
  <c r="L23" i="65"/>
  <c r="J19" i="65"/>
  <c r="L19" i="65"/>
  <c r="K19" i="65"/>
  <c r="F20" i="65"/>
  <c r="G20" i="65"/>
  <c r="F21" i="65"/>
  <c r="G21" i="65"/>
  <c r="F22" i="65"/>
  <c r="G22" i="65"/>
  <c r="F23" i="65"/>
  <c r="G23" i="65"/>
  <c r="F19" i="65"/>
  <c r="G19" i="65"/>
  <c r="C9" i="63"/>
  <c r="D9" i="63"/>
  <c r="E9" i="63"/>
  <c r="F9" i="63"/>
  <c r="G9" i="63"/>
  <c r="C10" i="63"/>
  <c r="D10" i="63"/>
  <c r="E10" i="63"/>
  <c r="F10" i="63"/>
  <c r="G10" i="63"/>
  <c r="C11" i="63"/>
  <c r="D11" i="63"/>
  <c r="E11" i="63"/>
  <c r="F11" i="63"/>
  <c r="G11" i="63"/>
  <c r="C12" i="63"/>
  <c r="D12" i="63"/>
  <c r="E12" i="63"/>
  <c r="F12" i="63"/>
  <c r="G12" i="63"/>
  <c r="C13" i="63"/>
  <c r="D13" i="63"/>
  <c r="E13" i="63"/>
  <c r="F13" i="63"/>
  <c r="G13" i="63"/>
  <c r="C14" i="63"/>
  <c r="D14" i="63"/>
  <c r="E14" i="63"/>
  <c r="F14" i="63"/>
  <c r="G14" i="63"/>
  <c r="C15" i="63"/>
  <c r="D15" i="63"/>
  <c r="E15" i="63"/>
  <c r="F15" i="63"/>
  <c r="G15" i="63"/>
  <c r="C16" i="63"/>
  <c r="D16" i="63"/>
  <c r="E16" i="63"/>
  <c r="F16" i="63"/>
  <c r="G16" i="63"/>
  <c r="C17" i="63"/>
  <c r="D17" i="63"/>
  <c r="E17" i="63"/>
  <c r="F17" i="63"/>
  <c r="G17" i="63"/>
  <c r="F8" i="63"/>
  <c r="E8" i="63"/>
  <c r="D8" i="63"/>
  <c r="C8" i="63"/>
  <c r="C6" i="65"/>
  <c r="B6" i="64"/>
  <c r="B7" i="64"/>
  <c r="B8" i="64"/>
  <c r="B9" i="64"/>
  <c r="B10" i="64"/>
  <c r="B11" i="64"/>
  <c r="B12" i="64"/>
  <c r="B13" i="64"/>
  <c r="B14" i="64"/>
  <c r="B15" i="64"/>
  <c r="B16" i="64"/>
  <c r="B17" i="64"/>
  <c r="B18" i="64"/>
  <c r="B19" i="64"/>
  <c r="B20" i="64"/>
  <c r="B21" i="64"/>
  <c r="B22" i="64"/>
  <c r="B23" i="64"/>
  <c r="B24" i="64"/>
  <c r="B25" i="64"/>
  <c r="B26" i="64"/>
  <c r="B27" i="64"/>
  <c r="B28" i="64"/>
  <c r="B29" i="64"/>
  <c r="B30" i="64"/>
  <c r="B31" i="64"/>
  <c r="B32" i="64"/>
  <c r="B33" i="64"/>
  <c r="B34" i="64"/>
  <c r="B35" i="64"/>
  <c r="B36" i="64"/>
  <c r="B37" i="64"/>
  <c r="B38" i="64"/>
  <c r="B39" i="64"/>
  <c r="B40" i="64"/>
  <c r="B41" i="64"/>
  <c r="B42" i="64"/>
  <c r="B43" i="64"/>
  <c r="B44" i="64"/>
  <c r="B45" i="64"/>
  <c r="B46" i="64"/>
  <c r="B47" i="64"/>
  <c r="B48" i="64"/>
  <c r="B49" i="64"/>
  <c r="B50" i="64"/>
  <c r="B51" i="64"/>
  <c r="B52" i="64"/>
  <c r="B53" i="64"/>
  <c r="B54" i="64"/>
  <c r="B55" i="64"/>
  <c r="B56" i="64"/>
  <c r="B57" i="64"/>
  <c r="B58" i="64"/>
  <c r="B59" i="64"/>
  <c r="B60" i="64"/>
  <c r="B61" i="64"/>
  <c r="B62" i="64"/>
  <c r="B63" i="64"/>
  <c r="B64" i="64"/>
  <c r="B65" i="64"/>
  <c r="B66" i="64"/>
  <c r="B67" i="64"/>
  <c r="B68" i="64"/>
  <c r="B69" i="64"/>
  <c r="B70" i="64"/>
  <c r="B71" i="64"/>
  <c r="B72" i="64"/>
  <c r="B73" i="64"/>
  <c r="B74" i="64"/>
  <c r="B75" i="64"/>
  <c r="B76" i="64"/>
  <c r="B77" i="64"/>
  <c r="B78" i="64"/>
  <c r="B79" i="64"/>
  <c r="B80" i="64"/>
  <c r="B81" i="64"/>
  <c r="B82" i="64"/>
  <c r="B83" i="64"/>
  <c r="B84" i="64"/>
  <c r="B85" i="64"/>
  <c r="B86" i="64"/>
  <c r="B87" i="64"/>
  <c r="B88" i="64"/>
  <c r="B89" i="64"/>
  <c r="B90" i="64"/>
  <c r="B91" i="64"/>
  <c r="B92" i="64"/>
  <c r="B93" i="64"/>
  <c r="B94" i="64"/>
  <c r="B95" i="64"/>
  <c r="B96" i="64"/>
  <c r="B97" i="64"/>
  <c r="B98" i="64"/>
  <c r="B99" i="64"/>
  <c r="B100" i="64"/>
  <c r="B101" i="64"/>
  <c r="B102" i="64"/>
  <c r="B103" i="64"/>
  <c r="B104" i="64"/>
  <c r="B105" i="64"/>
  <c r="B106" i="64"/>
  <c r="B107" i="64"/>
  <c r="B108" i="64"/>
  <c r="B109" i="64"/>
  <c r="B110" i="64"/>
  <c r="B111" i="64"/>
  <c r="B112" i="64"/>
  <c r="B113" i="64"/>
  <c r="B114" i="64"/>
  <c r="B115" i="64"/>
  <c r="B116" i="64"/>
  <c r="B117" i="64"/>
  <c r="B118" i="64"/>
  <c r="B119" i="64"/>
  <c r="B120" i="64"/>
  <c r="B121" i="64"/>
  <c r="B122" i="64"/>
  <c r="B123" i="64"/>
  <c r="B124" i="64"/>
  <c r="B125" i="64"/>
  <c r="B126" i="64"/>
  <c r="B127" i="64"/>
  <c r="B128" i="64"/>
  <c r="B129" i="64"/>
  <c r="B130" i="64"/>
  <c r="B131" i="64"/>
  <c r="B132" i="64"/>
  <c r="B133" i="64"/>
  <c r="B134" i="64"/>
  <c r="B135" i="64"/>
  <c r="B136" i="64"/>
  <c r="B137" i="64"/>
  <c r="B138" i="64"/>
  <c r="B139" i="64"/>
  <c r="B140" i="64"/>
  <c r="B141" i="64"/>
  <c r="B142" i="64"/>
  <c r="B143" i="64"/>
  <c r="B144" i="64"/>
  <c r="B145" i="64"/>
  <c r="B146" i="64"/>
  <c r="B147" i="64"/>
  <c r="B148" i="64"/>
  <c r="B149" i="64"/>
  <c r="B150" i="64"/>
  <c r="B151" i="64"/>
  <c r="B152" i="64"/>
  <c r="B153" i="64"/>
  <c r="B154" i="64"/>
  <c r="B155" i="64"/>
  <c r="B156" i="64"/>
  <c r="B157" i="64"/>
  <c r="B158" i="64"/>
  <c r="B159" i="64"/>
  <c r="B160" i="64"/>
  <c r="B161" i="64"/>
  <c r="B162" i="64"/>
  <c r="B163" i="64"/>
  <c r="B164" i="64"/>
  <c r="B165" i="64"/>
  <c r="B166" i="64"/>
  <c r="B167" i="64"/>
  <c r="B168" i="64"/>
  <c r="B169" i="64"/>
  <c r="B170" i="64"/>
  <c r="B171" i="64"/>
  <c r="B172" i="64"/>
  <c r="B173" i="64"/>
  <c r="B174" i="64"/>
  <c r="B175" i="64"/>
  <c r="B176" i="64"/>
  <c r="B177" i="64"/>
  <c r="B178" i="64"/>
  <c r="B179" i="64"/>
  <c r="B180" i="64"/>
  <c r="B181" i="64"/>
  <c r="B182" i="64"/>
  <c r="B183" i="64"/>
  <c r="B184" i="64"/>
  <c r="B185" i="64"/>
  <c r="B186" i="64"/>
  <c r="B187" i="64"/>
  <c r="B188" i="64"/>
  <c r="B189" i="64"/>
  <c r="B190" i="64"/>
  <c r="B191" i="64"/>
  <c r="B192" i="64"/>
  <c r="B193" i="64"/>
  <c r="B194" i="64"/>
  <c r="B195" i="64"/>
  <c r="B196" i="64"/>
  <c r="B197" i="64"/>
  <c r="B198" i="64"/>
  <c r="B199" i="64"/>
  <c r="B200" i="64"/>
  <c r="B201" i="64"/>
  <c r="B202" i="64"/>
  <c r="B203" i="64"/>
  <c r="B204" i="64"/>
  <c r="B205" i="64"/>
  <c r="B206" i="64"/>
  <c r="B207" i="64"/>
  <c r="B208" i="64"/>
  <c r="B209" i="64"/>
  <c r="B210" i="64"/>
  <c r="B211" i="64"/>
  <c r="B212" i="64"/>
  <c r="B213" i="64"/>
  <c r="B214" i="64"/>
  <c r="B215" i="64"/>
  <c r="B216" i="64"/>
  <c r="B217" i="64"/>
  <c r="B218" i="64"/>
  <c r="B219" i="64"/>
  <c r="B220" i="64"/>
  <c r="B221" i="64"/>
  <c r="B222" i="64"/>
  <c r="B223" i="64"/>
  <c r="B224" i="64"/>
  <c r="B225" i="64"/>
  <c r="B226" i="64"/>
  <c r="B227" i="64"/>
  <c r="B228" i="64"/>
  <c r="B229" i="64"/>
  <c r="B230" i="64"/>
  <c r="B231" i="64"/>
  <c r="B232" i="64"/>
  <c r="B233" i="64"/>
  <c r="B234" i="64"/>
  <c r="B235" i="64"/>
  <c r="B236" i="64"/>
  <c r="B237" i="64"/>
  <c r="B238" i="64"/>
  <c r="B239" i="64"/>
  <c r="B240" i="64"/>
  <c r="B241" i="64"/>
  <c r="B242" i="64"/>
  <c r="B243" i="64"/>
  <c r="B244" i="64"/>
  <c r="B245" i="64"/>
  <c r="B246" i="64"/>
  <c r="B247" i="64"/>
  <c r="B248" i="64"/>
  <c r="B249" i="64"/>
  <c r="B250" i="64"/>
  <c r="B251" i="64"/>
  <c r="B252" i="64"/>
  <c r="B253" i="64"/>
  <c r="B254" i="64"/>
  <c r="B255" i="64"/>
  <c r="B256" i="64"/>
  <c r="B257" i="64"/>
  <c r="B258" i="64"/>
  <c r="B259" i="64"/>
  <c r="B260" i="64"/>
  <c r="B261" i="64"/>
  <c r="B262" i="64"/>
  <c r="B263" i="64"/>
  <c r="B264" i="64"/>
  <c r="B265" i="64"/>
  <c r="B266" i="64"/>
  <c r="B267" i="64"/>
  <c r="B268" i="64"/>
  <c r="B269" i="64"/>
  <c r="B270" i="64"/>
  <c r="B271" i="64"/>
  <c r="B272" i="64"/>
  <c r="B273" i="64"/>
  <c r="B274" i="64"/>
  <c r="B275" i="64"/>
  <c r="B276" i="64"/>
  <c r="B277" i="64"/>
  <c r="B278" i="64"/>
  <c r="B279" i="64"/>
  <c r="B280" i="64"/>
  <c r="B281" i="64"/>
  <c r="B282" i="64"/>
  <c r="B283" i="64"/>
  <c r="B284" i="64"/>
  <c r="B285" i="64"/>
  <c r="B286" i="64"/>
  <c r="B287" i="64"/>
  <c r="B288" i="64"/>
  <c r="B289" i="64"/>
  <c r="B290" i="64"/>
  <c r="B291" i="64"/>
  <c r="B292" i="64"/>
  <c r="B293" i="64"/>
  <c r="B294" i="64"/>
  <c r="B295" i="64"/>
  <c r="B296" i="64"/>
  <c r="B297" i="64"/>
  <c r="B298" i="64"/>
  <c r="B299" i="64"/>
  <c r="B300" i="64"/>
  <c r="B301" i="64"/>
  <c r="B302" i="64"/>
  <c r="B303" i="64"/>
  <c r="B304" i="64"/>
  <c r="B305" i="64"/>
  <c r="B306" i="64"/>
  <c r="B307" i="64"/>
  <c r="B308" i="64"/>
  <c r="B309" i="64"/>
  <c r="B310" i="64"/>
  <c r="B311" i="64"/>
  <c r="B312" i="64"/>
  <c r="B313" i="64"/>
  <c r="B314" i="64"/>
  <c r="B315" i="64"/>
  <c r="B316" i="64"/>
  <c r="B317" i="64"/>
  <c r="B318" i="64"/>
  <c r="B319" i="64"/>
  <c r="B320" i="64"/>
  <c r="B321" i="64"/>
  <c r="B322" i="64"/>
  <c r="B323" i="64"/>
  <c r="B324" i="64"/>
  <c r="B325" i="64"/>
  <c r="B326" i="64"/>
  <c r="B327" i="64"/>
  <c r="B328" i="64"/>
  <c r="B329" i="64"/>
  <c r="B330" i="64"/>
  <c r="B331" i="64"/>
  <c r="B332" i="64"/>
  <c r="B333" i="64"/>
  <c r="B334" i="64"/>
  <c r="B335" i="64"/>
  <c r="B336" i="64"/>
  <c r="B337" i="64"/>
  <c r="B338" i="64"/>
  <c r="B339" i="64"/>
  <c r="B340" i="64"/>
  <c r="B341" i="64"/>
  <c r="B342" i="64"/>
  <c r="B343" i="64"/>
  <c r="B344" i="64"/>
  <c r="B345" i="64"/>
  <c r="B346" i="64"/>
  <c r="B347" i="64"/>
  <c r="B348" i="64"/>
  <c r="B349" i="64"/>
  <c r="B350" i="64"/>
  <c r="B351" i="64"/>
  <c r="B352" i="64"/>
  <c r="B353" i="64"/>
  <c r="B354" i="64"/>
  <c r="B355" i="64"/>
  <c r="B356" i="64"/>
  <c r="B357" i="64"/>
  <c r="B358" i="64"/>
  <c r="B359" i="64"/>
  <c r="B360" i="64"/>
  <c r="B361" i="64"/>
  <c r="B362" i="64"/>
  <c r="B363" i="64"/>
  <c r="B364" i="64"/>
  <c r="B365" i="64"/>
  <c r="B366" i="64"/>
  <c r="B367" i="64"/>
  <c r="B368" i="64"/>
  <c r="B369" i="64"/>
  <c r="B370" i="64"/>
  <c r="B371" i="64"/>
  <c r="B372" i="64"/>
  <c r="B373" i="64"/>
  <c r="B374" i="64"/>
  <c r="B375" i="64"/>
  <c r="B376" i="64"/>
  <c r="B377" i="64"/>
  <c r="B378" i="64"/>
  <c r="B379" i="64"/>
  <c r="B380" i="64"/>
  <c r="B381" i="64"/>
  <c r="B382" i="64"/>
  <c r="B383" i="64"/>
  <c r="B384" i="64"/>
  <c r="B385" i="64"/>
  <c r="B386" i="64"/>
  <c r="B387" i="64"/>
  <c r="B388" i="64"/>
  <c r="B389" i="64"/>
  <c r="B390" i="64"/>
  <c r="B391" i="64"/>
  <c r="B392" i="64"/>
  <c r="B393" i="64"/>
  <c r="B394" i="64"/>
  <c r="B395" i="64"/>
  <c r="B396" i="64"/>
  <c r="B397" i="64"/>
  <c r="B398" i="64"/>
  <c r="B399" i="64"/>
  <c r="B400" i="64"/>
  <c r="B401" i="64"/>
  <c r="B402" i="64"/>
  <c r="B403" i="64"/>
  <c r="B404" i="64"/>
  <c r="B405" i="64"/>
  <c r="B406" i="64"/>
  <c r="B407" i="64"/>
  <c r="B408" i="64"/>
  <c r="B409" i="64"/>
  <c r="B410" i="64"/>
  <c r="B411" i="64"/>
  <c r="B412" i="64"/>
  <c r="B413" i="64"/>
  <c r="B414" i="64"/>
  <c r="B415" i="64"/>
  <c r="B416" i="64"/>
  <c r="B417" i="64"/>
  <c r="B418" i="64"/>
  <c r="B419" i="64"/>
  <c r="B420" i="64"/>
  <c r="B421" i="64"/>
  <c r="B422" i="64"/>
  <c r="B423" i="64"/>
  <c r="B424" i="64"/>
  <c r="B425" i="64"/>
  <c r="B426" i="64"/>
  <c r="B427" i="64"/>
  <c r="B428" i="64"/>
  <c r="B429" i="64"/>
  <c r="B430" i="64"/>
  <c r="B431" i="64"/>
  <c r="B432" i="64"/>
  <c r="B433" i="64"/>
  <c r="B434" i="64"/>
  <c r="B435" i="64"/>
  <c r="B436" i="64"/>
  <c r="B437" i="64"/>
  <c r="B438" i="64"/>
  <c r="B439" i="64"/>
  <c r="B440" i="64"/>
  <c r="B441" i="64"/>
  <c r="B442" i="64"/>
  <c r="B443" i="64"/>
  <c r="B444" i="64"/>
  <c r="B445" i="64"/>
  <c r="B446" i="64"/>
  <c r="B447" i="64"/>
  <c r="B448" i="64"/>
  <c r="B449" i="64"/>
  <c r="B450" i="64"/>
  <c r="B451" i="64"/>
  <c r="B452" i="64"/>
  <c r="B453" i="64"/>
  <c r="B454" i="64"/>
  <c r="B455" i="64"/>
  <c r="B456" i="64"/>
  <c r="B457" i="64"/>
  <c r="B458" i="64"/>
  <c r="B459" i="64"/>
  <c r="B460" i="64"/>
  <c r="B461" i="64"/>
  <c r="B462" i="64"/>
  <c r="B463" i="64"/>
  <c r="B464" i="64"/>
  <c r="B465" i="64"/>
  <c r="B466" i="64"/>
  <c r="B467" i="64"/>
  <c r="B468" i="64"/>
  <c r="B469" i="64"/>
  <c r="B470" i="64"/>
  <c r="B471" i="64"/>
  <c r="B472" i="64"/>
  <c r="B473" i="64"/>
  <c r="B474" i="64"/>
  <c r="B475" i="64"/>
  <c r="B476" i="64"/>
  <c r="B477" i="64"/>
  <c r="B478" i="64"/>
  <c r="B479" i="64"/>
  <c r="B480" i="64"/>
  <c r="B481" i="64"/>
  <c r="B482" i="64"/>
  <c r="B483" i="64"/>
  <c r="B484" i="64"/>
  <c r="B485" i="64"/>
  <c r="B486" i="64"/>
  <c r="B487" i="64"/>
  <c r="B488" i="64"/>
  <c r="B489" i="64"/>
  <c r="B490" i="64"/>
  <c r="B491" i="64"/>
  <c r="B492" i="64"/>
  <c r="B493" i="64"/>
  <c r="B494" i="64"/>
  <c r="B495" i="64"/>
  <c r="B496" i="64"/>
  <c r="B497" i="64"/>
  <c r="B498" i="64"/>
  <c r="B499" i="64"/>
  <c r="B500" i="64"/>
  <c r="B501" i="64"/>
  <c r="B502" i="64"/>
  <c r="B503" i="64"/>
  <c r="B504" i="64"/>
  <c r="B505" i="64"/>
  <c r="B15" i="62"/>
  <c r="B14" i="62"/>
  <c r="B13" i="62"/>
  <c r="B12" i="62"/>
  <c r="B11" i="62"/>
  <c r="B10" i="62"/>
  <c r="B9" i="62"/>
  <c r="B8" i="62"/>
  <c r="B7" i="62"/>
  <c r="C7" i="62"/>
  <c r="D7" i="62"/>
  <c r="C8" i="62"/>
  <c r="D8" i="62"/>
  <c r="C9" i="62"/>
  <c r="D9" i="62"/>
  <c r="C10" i="62"/>
  <c r="D10" i="62"/>
  <c r="C11" i="62"/>
  <c r="D11" i="62"/>
  <c r="C12" i="62"/>
  <c r="D12" i="62"/>
  <c r="C13" i="62"/>
  <c r="D13" i="62"/>
  <c r="C14" i="62"/>
  <c r="D14" i="62"/>
  <c r="C15" i="62"/>
  <c r="D15" i="62"/>
  <c r="B6" i="62"/>
  <c r="D6" i="62"/>
  <c r="C6" i="62"/>
  <c r="E7" i="61"/>
  <c r="E8" i="61"/>
  <c r="F8" i="61"/>
  <c r="E9" i="61"/>
  <c r="F9" i="61"/>
  <c r="E10" i="61"/>
  <c r="F10" i="61"/>
  <c r="E11" i="61"/>
  <c r="F11" i="61"/>
  <c r="G11" i="61"/>
  <c r="H11" i="61"/>
  <c r="I11" i="61"/>
  <c r="E12" i="61"/>
  <c r="F12" i="61"/>
  <c r="G12" i="61"/>
  <c r="H12" i="61"/>
  <c r="I12" i="61"/>
  <c r="E13" i="61"/>
  <c r="F13" i="61"/>
  <c r="G13" i="61"/>
  <c r="H13" i="61"/>
  <c r="I13" i="61"/>
  <c r="E14" i="61"/>
  <c r="F14" i="61"/>
  <c r="G14" i="61"/>
  <c r="H14" i="61"/>
  <c r="I14" i="61"/>
  <c r="E15" i="61"/>
  <c r="F15" i="61"/>
  <c r="G15" i="61"/>
  <c r="H15" i="61"/>
  <c r="I15" i="61"/>
  <c r="G14" i="58"/>
  <c r="R7" i="64"/>
  <c r="R8" i="64"/>
  <c r="R9" i="64"/>
  <c r="R10" i="64"/>
  <c r="R11" i="64"/>
  <c r="R12" i="64"/>
  <c r="R13" i="64"/>
  <c r="R14" i="64"/>
  <c r="R15" i="64"/>
  <c r="R16" i="64"/>
  <c r="R17" i="64"/>
  <c r="R18" i="64"/>
  <c r="R19" i="64"/>
  <c r="R20" i="64"/>
  <c r="R21" i="64"/>
  <c r="R22" i="64"/>
  <c r="R23" i="64"/>
  <c r="R24" i="64"/>
  <c r="R25" i="64"/>
  <c r="R26" i="64"/>
  <c r="R27" i="64"/>
  <c r="R28" i="64"/>
  <c r="R29" i="64"/>
  <c r="R30" i="64"/>
  <c r="R31" i="64"/>
  <c r="R32" i="64"/>
  <c r="R33" i="64"/>
  <c r="R34" i="64"/>
  <c r="R35" i="64"/>
  <c r="R36" i="64"/>
  <c r="R37" i="64"/>
  <c r="R38" i="64"/>
  <c r="R39" i="64"/>
  <c r="R40" i="64"/>
  <c r="R41" i="64"/>
  <c r="R42" i="64"/>
  <c r="R43" i="64"/>
  <c r="R44" i="64"/>
  <c r="R45" i="64"/>
  <c r="R46" i="64"/>
  <c r="R47" i="64"/>
  <c r="R48" i="64"/>
  <c r="R49" i="64"/>
  <c r="R50" i="64"/>
  <c r="R51" i="64"/>
  <c r="R52" i="64"/>
  <c r="R53" i="64"/>
  <c r="R54" i="64"/>
  <c r="R55" i="64"/>
  <c r="R56" i="64"/>
  <c r="R57" i="64"/>
  <c r="R58" i="64"/>
  <c r="R59" i="64"/>
  <c r="R60" i="64"/>
  <c r="R61" i="64"/>
  <c r="R62" i="64"/>
  <c r="R63" i="64"/>
  <c r="R64" i="64"/>
  <c r="R65" i="64"/>
  <c r="R66" i="64"/>
  <c r="R67" i="64"/>
  <c r="R68" i="64"/>
  <c r="R69" i="64"/>
  <c r="R70" i="64"/>
  <c r="R71" i="64"/>
  <c r="R72" i="64"/>
  <c r="R73" i="64"/>
  <c r="R74" i="64"/>
  <c r="R75" i="64"/>
  <c r="R76" i="64"/>
  <c r="R77" i="64"/>
  <c r="R78" i="64"/>
  <c r="R79" i="64"/>
  <c r="R80" i="64"/>
  <c r="R81" i="64"/>
  <c r="R82" i="64"/>
  <c r="R83" i="64"/>
  <c r="R84" i="64"/>
  <c r="R85" i="64"/>
  <c r="R86" i="64"/>
  <c r="R87" i="64"/>
  <c r="R88" i="64"/>
  <c r="R89" i="64"/>
  <c r="R90" i="64"/>
  <c r="R91" i="64"/>
  <c r="R92" i="64"/>
  <c r="R93" i="64"/>
  <c r="R94" i="64"/>
  <c r="R95" i="64"/>
  <c r="R96" i="64"/>
  <c r="R97" i="64"/>
  <c r="R98" i="64"/>
  <c r="R99" i="64"/>
  <c r="R100" i="64"/>
  <c r="R101" i="64"/>
  <c r="R102" i="64"/>
  <c r="R103" i="64"/>
  <c r="R104" i="64"/>
  <c r="R105" i="64"/>
  <c r="R106" i="64"/>
  <c r="R107" i="64"/>
  <c r="R108" i="64"/>
  <c r="R109" i="64"/>
  <c r="R110" i="64"/>
  <c r="R111" i="64"/>
  <c r="R112" i="64"/>
  <c r="R113" i="64"/>
  <c r="R114" i="64"/>
  <c r="R115" i="64"/>
  <c r="R116" i="64"/>
  <c r="R117" i="64"/>
  <c r="R118" i="64"/>
  <c r="R119" i="64"/>
  <c r="R120" i="64"/>
  <c r="R121" i="64"/>
  <c r="R122" i="64"/>
  <c r="R123" i="64"/>
  <c r="R124" i="64"/>
  <c r="R125" i="64"/>
  <c r="R126" i="64"/>
  <c r="R127" i="64"/>
  <c r="R128" i="64"/>
  <c r="R129" i="64"/>
  <c r="R130" i="64"/>
  <c r="R131" i="64"/>
  <c r="R132" i="64"/>
  <c r="R133" i="64"/>
  <c r="R134" i="64"/>
  <c r="R135" i="64"/>
  <c r="R136" i="64"/>
  <c r="R137" i="64"/>
  <c r="R138" i="64"/>
  <c r="R139" i="64"/>
  <c r="R140" i="64"/>
  <c r="R141" i="64"/>
  <c r="R142" i="64"/>
  <c r="R143" i="64"/>
  <c r="R144" i="64"/>
  <c r="R145" i="64"/>
  <c r="R146" i="64"/>
  <c r="R147" i="64"/>
  <c r="R148" i="64"/>
  <c r="R149" i="64"/>
  <c r="R150" i="64"/>
  <c r="R151" i="64"/>
  <c r="R152" i="64"/>
  <c r="R153" i="64"/>
  <c r="R154" i="64"/>
  <c r="R155" i="64"/>
  <c r="R156" i="64"/>
  <c r="R157" i="64"/>
  <c r="R158" i="64"/>
  <c r="R159" i="64"/>
  <c r="R160" i="64"/>
  <c r="R161" i="64"/>
  <c r="R162" i="64"/>
  <c r="R163" i="64"/>
  <c r="R164" i="64"/>
  <c r="R165" i="64"/>
  <c r="R166" i="64"/>
  <c r="R167" i="64"/>
  <c r="R168" i="64"/>
  <c r="R169" i="64"/>
  <c r="R170" i="64"/>
  <c r="R171" i="64"/>
  <c r="R172" i="64"/>
  <c r="R173" i="64"/>
  <c r="R174" i="64"/>
  <c r="R175" i="64"/>
  <c r="R176" i="64"/>
  <c r="R177" i="64"/>
  <c r="R178" i="64"/>
  <c r="R179" i="64"/>
  <c r="R180" i="64"/>
  <c r="R181" i="64"/>
  <c r="R182" i="64"/>
  <c r="R183" i="64"/>
  <c r="R184" i="64"/>
  <c r="R185" i="64"/>
  <c r="R186" i="64"/>
  <c r="R187" i="64"/>
  <c r="R188" i="64"/>
  <c r="R189" i="64"/>
  <c r="R190" i="64"/>
  <c r="R191" i="64"/>
  <c r="R192" i="64"/>
  <c r="R193" i="64"/>
  <c r="R194" i="64"/>
  <c r="R195" i="64"/>
  <c r="R196" i="64"/>
  <c r="R197" i="64"/>
  <c r="R198" i="64"/>
  <c r="R199" i="64"/>
  <c r="R200" i="64"/>
  <c r="R201" i="64"/>
  <c r="R202" i="64"/>
  <c r="R203" i="64"/>
  <c r="R204" i="64"/>
  <c r="R205" i="64"/>
  <c r="R206" i="64"/>
  <c r="R207" i="64"/>
  <c r="R208" i="64"/>
  <c r="R209" i="64"/>
  <c r="R210" i="64"/>
  <c r="R211" i="64"/>
  <c r="R212" i="64"/>
  <c r="R213" i="64"/>
  <c r="R214" i="64"/>
  <c r="R215" i="64"/>
  <c r="R216" i="64"/>
  <c r="R217" i="64"/>
  <c r="R218" i="64"/>
  <c r="R219" i="64"/>
  <c r="R220" i="64"/>
  <c r="R221" i="64"/>
  <c r="R222" i="64"/>
  <c r="R223" i="64"/>
  <c r="R224" i="64"/>
  <c r="R225" i="64"/>
  <c r="R226" i="64"/>
  <c r="R227" i="64"/>
  <c r="R228" i="64"/>
  <c r="R229" i="64"/>
  <c r="R230" i="64"/>
  <c r="R231" i="64"/>
  <c r="R232" i="64"/>
  <c r="R233" i="64"/>
  <c r="R234" i="64"/>
  <c r="R235" i="64"/>
  <c r="R236" i="64"/>
  <c r="R237" i="64"/>
  <c r="R238" i="64"/>
  <c r="R239" i="64"/>
  <c r="R240" i="64"/>
  <c r="R241" i="64"/>
  <c r="R242" i="64"/>
  <c r="R243" i="64"/>
  <c r="R244" i="64"/>
  <c r="R245" i="64"/>
  <c r="R246" i="64"/>
  <c r="R247" i="64"/>
  <c r="R248" i="64"/>
  <c r="R249" i="64"/>
  <c r="R250" i="64"/>
  <c r="R251" i="64"/>
  <c r="R252" i="64"/>
  <c r="R253" i="64"/>
  <c r="R254" i="64"/>
  <c r="R255" i="64"/>
  <c r="R256" i="64"/>
  <c r="R257" i="64"/>
  <c r="R258" i="64"/>
  <c r="R259" i="64"/>
  <c r="R260" i="64"/>
  <c r="R261" i="64"/>
  <c r="R262" i="64"/>
  <c r="R263" i="64"/>
  <c r="R264" i="64"/>
  <c r="R265" i="64"/>
  <c r="R266" i="64"/>
  <c r="R267" i="64"/>
  <c r="R268" i="64"/>
  <c r="R269" i="64"/>
  <c r="R270" i="64"/>
  <c r="R271" i="64"/>
  <c r="R272" i="64"/>
  <c r="R273" i="64"/>
  <c r="R274" i="64"/>
  <c r="R275" i="64"/>
  <c r="R276" i="64"/>
  <c r="R277" i="64"/>
  <c r="R278" i="64"/>
  <c r="R279" i="64"/>
  <c r="R280" i="64"/>
  <c r="R281" i="64"/>
  <c r="R282" i="64"/>
  <c r="R283" i="64"/>
  <c r="R284" i="64"/>
  <c r="R285" i="64"/>
  <c r="R286" i="64"/>
  <c r="R287" i="64"/>
  <c r="R288" i="64"/>
  <c r="R289" i="64"/>
  <c r="R290" i="64"/>
  <c r="R291" i="64"/>
  <c r="R292" i="64"/>
  <c r="R293" i="64"/>
  <c r="R294" i="64"/>
  <c r="R295" i="64"/>
  <c r="R296" i="64"/>
  <c r="R297" i="64"/>
  <c r="R298" i="64"/>
  <c r="R299" i="64"/>
  <c r="R300" i="64"/>
  <c r="R301" i="64"/>
  <c r="R302" i="64"/>
  <c r="R303" i="64"/>
  <c r="R304" i="64"/>
  <c r="R305" i="64"/>
  <c r="R306" i="64"/>
  <c r="R307" i="64"/>
  <c r="R308" i="64"/>
  <c r="R309" i="64"/>
  <c r="R310" i="64"/>
  <c r="R311" i="64"/>
  <c r="R312" i="64"/>
  <c r="R313" i="64"/>
  <c r="R314" i="64"/>
  <c r="R315" i="64"/>
  <c r="R316" i="64"/>
  <c r="R317" i="64"/>
  <c r="R318" i="64"/>
  <c r="R319" i="64"/>
  <c r="R320" i="64"/>
  <c r="R321" i="64"/>
  <c r="R322" i="64"/>
  <c r="R323" i="64"/>
  <c r="R324" i="64"/>
  <c r="R325" i="64"/>
  <c r="R326" i="64"/>
  <c r="R327" i="64"/>
  <c r="R328" i="64"/>
  <c r="R329" i="64"/>
  <c r="R330" i="64"/>
  <c r="R331" i="64"/>
  <c r="R332" i="64"/>
  <c r="R333" i="64"/>
  <c r="R334" i="64"/>
  <c r="R335" i="64"/>
  <c r="R336" i="64"/>
  <c r="R337" i="64"/>
  <c r="R338" i="64"/>
  <c r="R339" i="64"/>
  <c r="R340" i="64"/>
  <c r="R341" i="64"/>
  <c r="R342" i="64"/>
  <c r="R343" i="64"/>
  <c r="R344" i="64"/>
  <c r="R345" i="64"/>
  <c r="R346" i="64"/>
  <c r="R347" i="64"/>
  <c r="R348" i="64"/>
  <c r="R349" i="64"/>
  <c r="R350" i="64"/>
  <c r="R351" i="64"/>
  <c r="R352" i="64"/>
  <c r="R353" i="64"/>
  <c r="R354" i="64"/>
  <c r="R355" i="64"/>
  <c r="R356" i="64"/>
  <c r="R357" i="64"/>
  <c r="R358" i="64"/>
  <c r="R359" i="64"/>
  <c r="R360" i="64"/>
  <c r="R361" i="64"/>
  <c r="R362" i="64"/>
  <c r="R363" i="64"/>
  <c r="R364" i="64"/>
  <c r="R365" i="64"/>
  <c r="R366" i="64"/>
  <c r="R367" i="64"/>
  <c r="R368" i="64"/>
  <c r="R369" i="64"/>
  <c r="R370" i="64"/>
  <c r="R371" i="64"/>
  <c r="R372" i="64"/>
  <c r="R373" i="64"/>
  <c r="R374" i="64"/>
  <c r="R375" i="64"/>
  <c r="R376" i="64"/>
  <c r="R377" i="64"/>
  <c r="R378" i="64"/>
  <c r="R379" i="64"/>
  <c r="R380" i="64"/>
  <c r="R381" i="64"/>
  <c r="R382" i="64"/>
  <c r="R383" i="64"/>
  <c r="R384" i="64"/>
  <c r="R385" i="64"/>
  <c r="R386" i="64"/>
  <c r="R387" i="64"/>
  <c r="R388" i="64"/>
  <c r="R389" i="64"/>
  <c r="R390" i="64"/>
  <c r="R391" i="64"/>
  <c r="R392" i="64"/>
  <c r="R393" i="64"/>
  <c r="R394" i="64"/>
  <c r="R395" i="64"/>
  <c r="R396" i="64"/>
  <c r="R397" i="64"/>
  <c r="R398" i="64"/>
  <c r="R399" i="64"/>
  <c r="R400" i="64"/>
  <c r="R401" i="64"/>
  <c r="R402" i="64"/>
  <c r="R403" i="64"/>
  <c r="R404" i="64"/>
  <c r="R405" i="64"/>
  <c r="R406" i="64"/>
  <c r="R407" i="64"/>
  <c r="R408" i="64"/>
  <c r="R409" i="64"/>
  <c r="R410" i="64"/>
  <c r="R411" i="64"/>
  <c r="R412" i="64"/>
  <c r="R413" i="64"/>
  <c r="R414" i="64"/>
  <c r="R415" i="64"/>
  <c r="R416" i="64"/>
  <c r="R417" i="64"/>
  <c r="R418" i="64"/>
  <c r="R419" i="64"/>
  <c r="R420" i="64"/>
  <c r="R421" i="64"/>
  <c r="R422" i="64"/>
  <c r="R423" i="64"/>
  <c r="R424" i="64"/>
  <c r="R425" i="64"/>
  <c r="R426" i="64"/>
  <c r="R427" i="64"/>
  <c r="R428" i="64"/>
  <c r="R429" i="64"/>
  <c r="R430" i="64"/>
  <c r="R431" i="64"/>
  <c r="R432" i="64"/>
  <c r="R433" i="64"/>
  <c r="R434" i="64"/>
  <c r="R435" i="64"/>
  <c r="R436" i="64"/>
  <c r="R437" i="64"/>
  <c r="R438" i="64"/>
  <c r="R439" i="64"/>
  <c r="R440" i="64"/>
  <c r="R441" i="64"/>
  <c r="R442" i="64"/>
  <c r="R443" i="64"/>
  <c r="R444" i="64"/>
  <c r="R445" i="64"/>
  <c r="R446" i="64"/>
  <c r="R447" i="64"/>
  <c r="R448" i="64"/>
  <c r="R449" i="64"/>
  <c r="R450" i="64"/>
  <c r="R451" i="64"/>
  <c r="R452" i="64"/>
  <c r="R453" i="64"/>
  <c r="R454" i="64"/>
  <c r="R455" i="64"/>
  <c r="R456" i="64"/>
  <c r="R457" i="64"/>
  <c r="R458" i="64"/>
  <c r="R459" i="64"/>
  <c r="R460" i="64"/>
  <c r="R461" i="64"/>
  <c r="R462" i="64"/>
  <c r="R463" i="64"/>
  <c r="R464" i="64"/>
  <c r="R465" i="64"/>
  <c r="R466" i="64"/>
  <c r="R467" i="64"/>
  <c r="R468" i="64"/>
  <c r="R469" i="64"/>
  <c r="R470" i="64"/>
  <c r="R471" i="64"/>
  <c r="R472" i="64"/>
  <c r="R473" i="64"/>
  <c r="R474" i="64"/>
  <c r="R475" i="64"/>
  <c r="R476" i="64"/>
  <c r="R477" i="64"/>
  <c r="R478" i="64"/>
  <c r="R479" i="64"/>
  <c r="R480" i="64"/>
  <c r="R481" i="64"/>
  <c r="R482" i="64"/>
  <c r="R483" i="64"/>
  <c r="R484" i="64"/>
  <c r="R485" i="64"/>
  <c r="R486" i="64"/>
  <c r="R487" i="64"/>
  <c r="R488" i="64"/>
  <c r="R489" i="64"/>
  <c r="R490" i="64"/>
  <c r="R491" i="64"/>
  <c r="R492" i="64"/>
  <c r="R493" i="64"/>
  <c r="R494" i="64"/>
  <c r="R495" i="64"/>
  <c r="R496" i="64"/>
  <c r="R497" i="64"/>
  <c r="R498" i="64"/>
  <c r="R499" i="64"/>
  <c r="R500" i="64"/>
  <c r="R501" i="64"/>
  <c r="R502" i="64"/>
  <c r="R503" i="64"/>
  <c r="R504" i="64"/>
  <c r="R505" i="64"/>
  <c r="R6" i="64"/>
  <c r="Q7" i="64"/>
  <c r="Q8" i="64"/>
  <c r="Q9" i="64"/>
  <c r="Q10" i="64"/>
  <c r="Q11" i="64"/>
  <c r="Q12" i="64"/>
  <c r="Q13" i="64"/>
  <c r="Q14" i="64"/>
  <c r="Q15" i="64"/>
  <c r="Q16" i="64"/>
  <c r="Q17" i="64"/>
  <c r="Q18" i="64"/>
  <c r="Q19" i="64"/>
  <c r="Q20" i="64"/>
  <c r="Q21" i="64"/>
  <c r="Q22" i="64"/>
  <c r="Q23" i="64"/>
  <c r="Q24" i="64"/>
  <c r="Q25" i="64"/>
  <c r="Q26" i="64"/>
  <c r="Q27" i="64"/>
  <c r="Q28" i="64"/>
  <c r="Q29" i="64"/>
  <c r="Q30" i="64"/>
  <c r="Q31" i="64"/>
  <c r="Q32" i="64"/>
  <c r="Q33" i="64"/>
  <c r="Q34" i="64"/>
  <c r="Q35" i="64"/>
  <c r="Q36" i="64"/>
  <c r="Q37" i="64"/>
  <c r="Q38" i="64"/>
  <c r="Q39" i="64"/>
  <c r="Q40" i="64"/>
  <c r="Q41" i="64"/>
  <c r="Q42" i="64"/>
  <c r="Q43" i="64"/>
  <c r="Q44" i="64"/>
  <c r="Q45" i="64"/>
  <c r="Q46" i="64"/>
  <c r="Q47" i="64"/>
  <c r="Q48" i="64"/>
  <c r="Q49" i="64"/>
  <c r="Q50" i="64"/>
  <c r="Q51" i="64"/>
  <c r="Q52" i="64"/>
  <c r="Q53" i="64"/>
  <c r="Q54" i="64"/>
  <c r="Q55" i="64"/>
  <c r="Q56" i="64"/>
  <c r="Q57" i="64"/>
  <c r="Q58" i="64"/>
  <c r="Q59" i="64"/>
  <c r="Q60" i="64"/>
  <c r="Q61" i="64"/>
  <c r="Q62" i="64"/>
  <c r="Q63" i="64"/>
  <c r="Q64" i="64"/>
  <c r="Q65" i="64"/>
  <c r="Q66" i="64"/>
  <c r="Q67" i="64"/>
  <c r="Q68" i="64"/>
  <c r="Q69" i="64"/>
  <c r="Q70" i="64"/>
  <c r="Q71" i="64"/>
  <c r="Q72" i="64"/>
  <c r="Q73" i="64"/>
  <c r="Q74" i="64"/>
  <c r="Q75" i="64"/>
  <c r="Q76" i="64"/>
  <c r="Q77" i="64"/>
  <c r="Q78" i="64"/>
  <c r="Q79" i="64"/>
  <c r="Q80" i="64"/>
  <c r="Q81" i="64"/>
  <c r="Q82" i="64"/>
  <c r="Q83" i="64"/>
  <c r="Q84" i="64"/>
  <c r="Q85" i="64"/>
  <c r="Q86" i="64"/>
  <c r="Q87" i="64"/>
  <c r="Q88" i="64"/>
  <c r="Q89" i="64"/>
  <c r="Q90" i="64"/>
  <c r="Q91" i="64"/>
  <c r="Q92" i="64"/>
  <c r="Q93" i="64"/>
  <c r="Q94" i="64"/>
  <c r="Q95" i="64"/>
  <c r="Q96" i="64"/>
  <c r="Q97" i="64"/>
  <c r="Q98" i="64"/>
  <c r="Q99" i="64"/>
  <c r="Q100" i="64"/>
  <c r="Q101" i="64"/>
  <c r="Q102" i="64"/>
  <c r="Q103" i="64"/>
  <c r="Q104" i="64"/>
  <c r="Q105" i="64"/>
  <c r="Q106" i="64"/>
  <c r="Q107" i="64"/>
  <c r="Q108" i="64"/>
  <c r="Q109" i="64"/>
  <c r="Q110" i="64"/>
  <c r="Q111" i="64"/>
  <c r="Q112" i="64"/>
  <c r="Q113" i="64"/>
  <c r="Q114" i="64"/>
  <c r="Q115" i="64"/>
  <c r="Q116" i="64"/>
  <c r="Q117" i="64"/>
  <c r="Q118" i="64"/>
  <c r="Q119" i="64"/>
  <c r="Q120" i="64"/>
  <c r="Q121" i="64"/>
  <c r="Q122" i="64"/>
  <c r="Q123" i="64"/>
  <c r="Q124" i="64"/>
  <c r="Q125" i="64"/>
  <c r="Q126" i="64"/>
  <c r="Q127" i="64"/>
  <c r="Q128" i="64"/>
  <c r="Q129" i="64"/>
  <c r="Q130" i="64"/>
  <c r="Q131" i="64"/>
  <c r="Q132" i="64"/>
  <c r="Q133" i="64"/>
  <c r="Q134" i="64"/>
  <c r="Q135" i="64"/>
  <c r="Q136" i="64"/>
  <c r="Q137" i="64"/>
  <c r="Q138" i="64"/>
  <c r="Q139" i="64"/>
  <c r="Q140" i="64"/>
  <c r="Q141" i="64"/>
  <c r="Q142" i="64"/>
  <c r="Q143" i="64"/>
  <c r="Q144" i="64"/>
  <c r="Q145" i="64"/>
  <c r="Q146" i="64"/>
  <c r="Q147" i="64"/>
  <c r="Q148" i="64"/>
  <c r="Q149" i="64"/>
  <c r="Q150" i="64"/>
  <c r="Q151" i="64"/>
  <c r="Q152" i="64"/>
  <c r="Q153" i="64"/>
  <c r="Q154" i="64"/>
  <c r="Q155" i="64"/>
  <c r="Q156" i="64"/>
  <c r="Q157" i="64"/>
  <c r="Q158" i="64"/>
  <c r="Q159" i="64"/>
  <c r="Q160" i="64"/>
  <c r="Q161" i="64"/>
  <c r="Q162" i="64"/>
  <c r="Q163" i="64"/>
  <c r="Q164" i="64"/>
  <c r="Q165" i="64"/>
  <c r="Q166" i="64"/>
  <c r="Q167" i="64"/>
  <c r="Q168" i="64"/>
  <c r="Q169" i="64"/>
  <c r="Q170" i="64"/>
  <c r="Q171" i="64"/>
  <c r="Q172" i="64"/>
  <c r="Q173" i="64"/>
  <c r="Q174" i="64"/>
  <c r="Q175" i="64"/>
  <c r="Q176" i="64"/>
  <c r="Q177" i="64"/>
  <c r="Q178" i="64"/>
  <c r="Q179" i="64"/>
  <c r="Q180" i="64"/>
  <c r="Q181" i="64"/>
  <c r="Q182" i="64"/>
  <c r="Q183" i="64"/>
  <c r="Q184" i="64"/>
  <c r="Q185" i="64"/>
  <c r="Q186" i="64"/>
  <c r="Q187" i="64"/>
  <c r="Q188" i="64"/>
  <c r="Q189" i="64"/>
  <c r="Q190" i="64"/>
  <c r="Q191" i="64"/>
  <c r="Q192" i="64"/>
  <c r="Q193" i="64"/>
  <c r="Q194" i="64"/>
  <c r="Q195" i="64"/>
  <c r="Q196" i="64"/>
  <c r="Q197" i="64"/>
  <c r="Q198" i="64"/>
  <c r="Q199" i="64"/>
  <c r="Q200" i="64"/>
  <c r="Q201" i="64"/>
  <c r="Q202" i="64"/>
  <c r="Q203" i="64"/>
  <c r="Q204" i="64"/>
  <c r="Q205" i="64"/>
  <c r="Q206" i="64"/>
  <c r="Q207" i="64"/>
  <c r="Q208" i="64"/>
  <c r="Q209" i="64"/>
  <c r="Q210" i="64"/>
  <c r="Q211" i="64"/>
  <c r="Q212" i="64"/>
  <c r="Q213" i="64"/>
  <c r="Q214" i="64"/>
  <c r="Q215" i="64"/>
  <c r="Q216" i="64"/>
  <c r="Q217" i="64"/>
  <c r="Q218" i="64"/>
  <c r="Q219" i="64"/>
  <c r="Q220" i="64"/>
  <c r="Q221" i="64"/>
  <c r="Q222" i="64"/>
  <c r="Q223" i="64"/>
  <c r="Q224" i="64"/>
  <c r="Q225" i="64"/>
  <c r="Q226" i="64"/>
  <c r="Q227" i="64"/>
  <c r="Q228" i="64"/>
  <c r="Q229" i="64"/>
  <c r="Q230" i="64"/>
  <c r="Q231" i="64"/>
  <c r="Q232" i="64"/>
  <c r="Q233" i="64"/>
  <c r="Q234" i="64"/>
  <c r="Q235" i="64"/>
  <c r="Q236" i="64"/>
  <c r="Q237" i="64"/>
  <c r="Q238" i="64"/>
  <c r="Q239" i="64"/>
  <c r="Q240" i="64"/>
  <c r="Q241" i="64"/>
  <c r="Q242" i="64"/>
  <c r="Q243" i="64"/>
  <c r="Q244" i="64"/>
  <c r="Q245" i="64"/>
  <c r="Q246" i="64"/>
  <c r="Q247" i="64"/>
  <c r="Q248" i="64"/>
  <c r="Q249" i="64"/>
  <c r="Q250" i="64"/>
  <c r="Q251" i="64"/>
  <c r="Q252" i="64"/>
  <c r="Q253" i="64"/>
  <c r="Q254" i="64"/>
  <c r="Q255" i="64"/>
  <c r="Q256" i="64"/>
  <c r="Q257" i="64"/>
  <c r="Q258" i="64"/>
  <c r="Q259" i="64"/>
  <c r="Q260" i="64"/>
  <c r="Q261" i="64"/>
  <c r="Q262" i="64"/>
  <c r="Q263" i="64"/>
  <c r="Q264" i="64"/>
  <c r="Q265" i="64"/>
  <c r="Q266" i="64"/>
  <c r="Q267" i="64"/>
  <c r="Q268" i="64"/>
  <c r="Q269" i="64"/>
  <c r="Q270" i="64"/>
  <c r="Q271" i="64"/>
  <c r="Q272" i="64"/>
  <c r="Q273" i="64"/>
  <c r="Q274" i="64"/>
  <c r="Q275" i="64"/>
  <c r="Q276" i="64"/>
  <c r="Q277" i="64"/>
  <c r="Q278" i="64"/>
  <c r="Q279" i="64"/>
  <c r="Q280" i="64"/>
  <c r="Q281" i="64"/>
  <c r="Q282" i="64"/>
  <c r="Q283" i="64"/>
  <c r="Q284" i="64"/>
  <c r="Q285" i="64"/>
  <c r="Q286" i="64"/>
  <c r="Q287" i="64"/>
  <c r="Q288" i="64"/>
  <c r="Q289" i="64"/>
  <c r="Q290" i="64"/>
  <c r="Q291" i="64"/>
  <c r="Q292" i="64"/>
  <c r="Q293" i="64"/>
  <c r="Q294" i="64"/>
  <c r="Q295" i="64"/>
  <c r="Q296" i="64"/>
  <c r="Q297" i="64"/>
  <c r="Q298" i="64"/>
  <c r="Q299" i="64"/>
  <c r="Q300" i="64"/>
  <c r="Q301" i="64"/>
  <c r="Q302" i="64"/>
  <c r="Q303" i="64"/>
  <c r="Q304" i="64"/>
  <c r="Q305" i="64"/>
  <c r="Q306" i="64"/>
  <c r="Q307" i="64"/>
  <c r="Q308" i="64"/>
  <c r="Q309" i="64"/>
  <c r="Q310" i="64"/>
  <c r="Q311" i="64"/>
  <c r="Q312" i="64"/>
  <c r="Q313" i="64"/>
  <c r="Q314" i="64"/>
  <c r="Q315" i="64"/>
  <c r="Q316" i="64"/>
  <c r="Q317" i="64"/>
  <c r="Q318" i="64"/>
  <c r="Q319" i="64"/>
  <c r="Q320" i="64"/>
  <c r="Q321" i="64"/>
  <c r="Q322" i="64"/>
  <c r="Q323" i="64"/>
  <c r="Q324" i="64"/>
  <c r="Q325" i="64"/>
  <c r="Q326" i="64"/>
  <c r="Q327" i="64"/>
  <c r="Q328" i="64"/>
  <c r="Q329" i="64"/>
  <c r="Q330" i="64"/>
  <c r="Q331" i="64"/>
  <c r="Q332" i="64"/>
  <c r="Q333" i="64"/>
  <c r="Q334" i="64"/>
  <c r="Q335" i="64"/>
  <c r="Q336" i="64"/>
  <c r="Q337" i="64"/>
  <c r="Q338" i="64"/>
  <c r="Q339" i="64"/>
  <c r="Q340" i="64"/>
  <c r="Q341" i="64"/>
  <c r="Q342" i="64"/>
  <c r="Q343" i="64"/>
  <c r="Q344" i="64"/>
  <c r="Q345" i="64"/>
  <c r="Q346" i="64"/>
  <c r="Q347" i="64"/>
  <c r="Q348" i="64"/>
  <c r="Q349" i="64"/>
  <c r="Q350" i="64"/>
  <c r="Q351" i="64"/>
  <c r="Q352" i="64"/>
  <c r="Q353" i="64"/>
  <c r="Q354" i="64"/>
  <c r="Q355" i="64"/>
  <c r="Q356" i="64"/>
  <c r="Q357" i="64"/>
  <c r="Q358" i="64"/>
  <c r="Q359" i="64"/>
  <c r="Q360" i="64"/>
  <c r="Q361" i="64"/>
  <c r="Q362" i="64"/>
  <c r="Q363" i="64"/>
  <c r="Q364" i="64"/>
  <c r="Q365" i="64"/>
  <c r="Q366" i="64"/>
  <c r="Q367" i="64"/>
  <c r="Q368" i="64"/>
  <c r="Q369" i="64"/>
  <c r="Q370" i="64"/>
  <c r="Q371" i="64"/>
  <c r="Q372" i="64"/>
  <c r="Q373" i="64"/>
  <c r="Q374" i="64"/>
  <c r="Q375" i="64"/>
  <c r="Q376" i="64"/>
  <c r="Q377" i="64"/>
  <c r="Q378" i="64"/>
  <c r="Q379" i="64"/>
  <c r="Q380" i="64"/>
  <c r="Q381" i="64"/>
  <c r="Q382" i="64"/>
  <c r="Q383" i="64"/>
  <c r="Q384" i="64"/>
  <c r="Q385" i="64"/>
  <c r="Q386" i="64"/>
  <c r="Q387" i="64"/>
  <c r="Q388" i="64"/>
  <c r="Q389" i="64"/>
  <c r="Q390" i="64"/>
  <c r="Q391" i="64"/>
  <c r="Q392" i="64"/>
  <c r="Q393" i="64"/>
  <c r="Q394" i="64"/>
  <c r="Q395" i="64"/>
  <c r="Q396" i="64"/>
  <c r="Q397" i="64"/>
  <c r="Q398" i="64"/>
  <c r="Q399" i="64"/>
  <c r="Q400" i="64"/>
  <c r="Q401" i="64"/>
  <c r="Q402" i="64"/>
  <c r="Q403" i="64"/>
  <c r="Q404" i="64"/>
  <c r="Q405" i="64"/>
  <c r="Q406" i="64"/>
  <c r="Q407" i="64"/>
  <c r="Q408" i="64"/>
  <c r="Q409" i="64"/>
  <c r="Q410" i="64"/>
  <c r="Q411" i="64"/>
  <c r="Q412" i="64"/>
  <c r="Q413" i="64"/>
  <c r="Q414" i="64"/>
  <c r="Q415" i="64"/>
  <c r="Q416" i="64"/>
  <c r="Q417" i="64"/>
  <c r="Q418" i="64"/>
  <c r="Q419" i="64"/>
  <c r="Q420" i="64"/>
  <c r="Q421" i="64"/>
  <c r="Q422" i="64"/>
  <c r="Q423" i="64"/>
  <c r="Q424" i="64"/>
  <c r="Q425" i="64"/>
  <c r="Q426" i="64"/>
  <c r="Q427" i="64"/>
  <c r="Q428" i="64"/>
  <c r="Q429" i="64"/>
  <c r="Q430" i="64"/>
  <c r="Q431" i="64"/>
  <c r="Q432" i="64"/>
  <c r="Q433" i="64"/>
  <c r="Q434" i="64"/>
  <c r="Q435" i="64"/>
  <c r="Q436" i="64"/>
  <c r="Q437" i="64"/>
  <c r="Q438" i="64"/>
  <c r="Q439" i="64"/>
  <c r="Q440" i="64"/>
  <c r="Q441" i="64"/>
  <c r="Q442" i="64"/>
  <c r="Q443" i="64"/>
  <c r="Q444" i="64"/>
  <c r="Q445" i="64"/>
  <c r="Q446" i="64"/>
  <c r="Q447" i="64"/>
  <c r="Q448" i="64"/>
  <c r="Q449" i="64"/>
  <c r="Q450" i="64"/>
  <c r="Q451" i="64"/>
  <c r="Q452" i="64"/>
  <c r="Q453" i="64"/>
  <c r="Q454" i="64"/>
  <c r="Q455" i="64"/>
  <c r="Q456" i="64"/>
  <c r="Q457" i="64"/>
  <c r="Q458" i="64"/>
  <c r="Q459" i="64"/>
  <c r="Q460" i="64"/>
  <c r="Q461" i="64"/>
  <c r="Q462" i="64"/>
  <c r="Q463" i="64"/>
  <c r="Q464" i="64"/>
  <c r="Q465" i="64"/>
  <c r="Q466" i="64"/>
  <c r="Q467" i="64"/>
  <c r="Q468" i="64"/>
  <c r="Q469" i="64"/>
  <c r="Q470" i="64"/>
  <c r="Q471" i="64"/>
  <c r="Q472" i="64"/>
  <c r="Q473" i="64"/>
  <c r="Q474" i="64"/>
  <c r="Q475" i="64"/>
  <c r="Q476" i="64"/>
  <c r="Q477" i="64"/>
  <c r="Q478" i="64"/>
  <c r="Q479" i="64"/>
  <c r="Q480" i="64"/>
  <c r="Q481" i="64"/>
  <c r="Q482" i="64"/>
  <c r="Q483" i="64"/>
  <c r="Q484" i="64"/>
  <c r="Q485" i="64"/>
  <c r="Q486" i="64"/>
  <c r="Q487" i="64"/>
  <c r="Q488" i="64"/>
  <c r="Q489" i="64"/>
  <c r="Q490" i="64"/>
  <c r="Q491" i="64"/>
  <c r="Q492" i="64"/>
  <c r="Q493" i="64"/>
  <c r="Q494" i="64"/>
  <c r="Q495" i="64"/>
  <c r="Q496" i="64"/>
  <c r="Q497" i="64"/>
  <c r="Q498" i="64"/>
  <c r="Q499" i="64"/>
  <c r="Q500" i="64"/>
  <c r="Q501" i="64"/>
  <c r="Q502" i="64"/>
  <c r="Q503" i="64"/>
  <c r="Q504" i="64"/>
  <c r="Q505" i="64"/>
  <c r="Q6" i="64"/>
  <c r="G12" i="60"/>
  <c r="G13" i="60"/>
  <c r="G14" i="60"/>
  <c r="G15" i="60"/>
  <c r="G16" i="60"/>
  <c r="G17" i="60"/>
  <c r="G18" i="60"/>
  <c r="G19" i="60"/>
  <c r="G20" i="60"/>
  <c r="G21" i="60"/>
  <c r="G22" i="60"/>
  <c r="G23" i="60"/>
  <c r="G24" i="60"/>
  <c r="G25" i="60"/>
  <c r="G8" i="63"/>
  <c r="E11" i="62"/>
  <c r="G11" i="62"/>
  <c r="E12" i="62"/>
  <c r="G12" i="62"/>
  <c r="E13" i="62"/>
  <c r="G13" i="62"/>
  <c r="E14" i="62"/>
  <c r="G14" i="62"/>
  <c r="E15" i="62"/>
  <c r="G15" i="62"/>
  <c r="F11" i="62"/>
  <c r="F12" i="62"/>
  <c r="F13" i="62"/>
  <c r="F14" i="62"/>
  <c r="F15" i="62"/>
  <c r="E6" i="61"/>
  <c r="F6" i="61"/>
  <c r="F7" i="61"/>
  <c r="G10" i="58"/>
  <c r="J10" i="58"/>
  <c r="J13" i="58"/>
  <c r="N10" i="64"/>
  <c r="N6" i="64"/>
  <c r="G10" i="61"/>
  <c r="I10" i="61"/>
  <c r="N7" i="64"/>
  <c r="N8" i="64"/>
  <c r="G9" i="61"/>
  <c r="I9" i="61"/>
  <c r="N9" i="64"/>
  <c r="G8" i="61"/>
  <c r="I8" i="61"/>
  <c r="C9" i="65"/>
  <c r="C12" i="65"/>
  <c r="C15" i="65"/>
  <c r="G6" i="61"/>
  <c r="I6" i="61"/>
  <c r="G7" i="61"/>
  <c r="I7" i="61"/>
  <c r="N505" i="64"/>
  <c r="N504" i="64"/>
  <c r="N503" i="64"/>
  <c r="N502" i="64"/>
  <c r="N501" i="64"/>
  <c r="N500" i="64"/>
  <c r="N499" i="64"/>
  <c r="N498" i="64"/>
  <c r="N497" i="64"/>
  <c r="N496" i="64"/>
  <c r="N495" i="64"/>
  <c r="N494" i="64"/>
  <c r="N493" i="64"/>
  <c r="N492" i="64"/>
  <c r="N491" i="64"/>
  <c r="N490" i="64"/>
  <c r="N489" i="64"/>
  <c r="N488" i="64"/>
  <c r="N487" i="64"/>
  <c r="N486" i="64"/>
  <c r="N485" i="64"/>
  <c r="N484" i="64"/>
  <c r="N483" i="64"/>
  <c r="N482" i="64"/>
  <c r="N481" i="64"/>
  <c r="N480" i="64"/>
  <c r="N479" i="64"/>
  <c r="N478" i="64"/>
  <c r="N477" i="64"/>
  <c r="N476" i="64"/>
  <c r="N475" i="64"/>
  <c r="N474" i="64"/>
  <c r="N473" i="64"/>
  <c r="N472" i="64"/>
  <c r="N471" i="64"/>
  <c r="N470" i="64"/>
  <c r="N469" i="64"/>
  <c r="N468" i="64"/>
  <c r="N467" i="64"/>
  <c r="N466" i="64"/>
  <c r="N465" i="64"/>
  <c r="N464" i="64"/>
  <c r="N463" i="64"/>
  <c r="N462" i="64"/>
  <c r="N461" i="64"/>
  <c r="N460" i="64"/>
  <c r="N459" i="64"/>
  <c r="N458" i="64"/>
  <c r="N457" i="64"/>
  <c r="N456" i="64"/>
  <c r="N455" i="64"/>
  <c r="N454" i="64"/>
  <c r="N453" i="64"/>
  <c r="N452" i="64"/>
  <c r="N451" i="64"/>
  <c r="N450" i="64"/>
  <c r="N449" i="64"/>
  <c r="N448" i="64"/>
  <c r="N447" i="64"/>
  <c r="N446" i="64"/>
  <c r="N445" i="64"/>
  <c r="N444" i="64"/>
  <c r="N443" i="64"/>
  <c r="N442" i="64"/>
  <c r="N441" i="64"/>
  <c r="N440" i="64"/>
  <c r="N439" i="64"/>
  <c r="N438" i="64"/>
  <c r="N437" i="64"/>
  <c r="N436" i="64"/>
  <c r="N435" i="64"/>
  <c r="N434" i="64"/>
  <c r="N433" i="64"/>
  <c r="N432" i="64"/>
  <c r="N431" i="64"/>
  <c r="N430" i="64"/>
  <c r="N429" i="64"/>
  <c r="N428" i="64"/>
  <c r="N427" i="64"/>
  <c r="N426" i="64"/>
  <c r="N425" i="64"/>
  <c r="N424" i="64"/>
  <c r="N423" i="64"/>
  <c r="N422" i="64"/>
  <c r="N421" i="64"/>
  <c r="N420" i="64"/>
  <c r="N419" i="64"/>
  <c r="N418" i="64"/>
  <c r="N417" i="64"/>
  <c r="N416" i="64"/>
  <c r="N415" i="64"/>
  <c r="N414" i="64"/>
  <c r="N413" i="64"/>
  <c r="N412" i="64"/>
  <c r="N411" i="64"/>
  <c r="N410" i="64"/>
  <c r="N409" i="64"/>
  <c r="N408" i="64"/>
  <c r="N407" i="64"/>
  <c r="N406" i="64"/>
  <c r="N405" i="64"/>
  <c r="N404" i="64"/>
  <c r="N403" i="64"/>
  <c r="N402" i="64"/>
  <c r="N401" i="64"/>
  <c r="N400" i="64"/>
  <c r="N399" i="64"/>
  <c r="N398" i="64"/>
  <c r="N397" i="64"/>
  <c r="N396" i="64"/>
  <c r="N395" i="64"/>
  <c r="N394" i="64"/>
  <c r="N393" i="64"/>
  <c r="N392" i="64"/>
  <c r="N391" i="64"/>
  <c r="N390" i="64"/>
  <c r="N389" i="64"/>
  <c r="N388" i="64"/>
  <c r="N387" i="64"/>
  <c r="N386" i="64"/>
  <c r="N385" i="64"/>
  <c r="N384" i="64"/>
  <c r="N383" i="64"/>
  <c r="N382" i="64"/>
  <c r="N381" i="64"/>
  <c r="N380" i="64"/>
  <c r="N379" i="64"/>
  <c r="N378" i="64"/>
  <c r="N377" i="64"/>
  <c r="N376" i="64"/>
  <c r="N375" i="64"/>
  <c r="N374" i="64"/>
  <c r="N373" i="64"/>
  <c r="N372" i="64"/>
  <c r="N371" i="64"/>
  <c r="N370" i="64"/>
  <c r="N369" i="64"/>
  <c r="N368" i="64"/>
  <c r="N367" i="64"/>
  <c r="N366" i="64"/>
  <c r="N365" i="64"/>
  <c r="N364" i="64"/>
  <c r="N363" i="64"/>
  <c r="N362" i="64"/>
  <c r="N361" i="64"/>
  <c r="N360" i="64"/>
  <c r="N359" i="64"/>
  <c r="N358" i="64"/>
  <c r="N357" i="64"/>
  <c r="N356" i="64"/>
  <c r="N355" i="64"/>
  <c r="N354" i="64"/>
  <c r="N353" i="64"/>
  <c r="N352" i="64"/>
  <c r="N351" i="64"/>
  <c r="N350" i="64"/>
  <c r="N349" i="64"/>
  <c r="N348" i="64"/>
  <c r="N347" i="64"/>
  <c r="N346" i="64"/>
  <c r="N345" i="64"/>
  <c r="N344" i="64"/>
  <c r="N343" i="64"/>
  <c r="N342" i="64"/>
  <c r="N341" i="64"/>
  <c r="N340" i="64"/>
  <c r="N339" i="64"/>
  <c r="N338" i="64"/>
  <c r="N337" i="64"/>
  <c r="N336" i="64"/>
  <c r="N335" i="64"/>
  <c r="N334" i="64"/>
  <c r="N333" i="64"/>
  <c r="N332" i="64"/>
  <c r="N331" i="64"/>
  <c r="N330" i="64"/>
  <c r="N329" i="64"/>
  <c r="N328" i="64"/>
  <c r="N327" i="64"/>
  <c r="N326" i="64"/>
  <c r="N325" i="64"/>
  <c r="N324" i="64"/>
  <c r="N323" i="64"/>
  <c r="N322" i="64"/>
  <c r="N321" i="64"/>
  <c r="N320" i="64"/>
  <c r="N319" i="64"/>
  <c r="N318" i="64"/>
  <c r="N317" i="64"/>
  <c r="N316" i="64"/>
  <c r="N315" i="64"/>
  <c r="N314" i="64"/>
  <c r="N313" i="64"/>
  <c r="N312" i="64"/>
  <c r="N311" i="64"/>
  <c r="N310" i="64"/>
  <c r="N309" i="64"/>
  <c r="N308" i="64"/>
  <c r="N307" i="64"/>
  <c r="N306" i="64"/>
  <c r="N305" i="64"/>
  <c r="N304" i="64"/>
  <c r="N303" i="64"/>
  <c r="N302" i="64"/>
  <c r="N301" i="64"/>
  <c r="N300" i="64"/>
  <c r="N299" i="64"/>
  <c r="N298" i="64"/>
  <c r="N297" i="64"/>
  <c r="N296" i="64"/>
  <c r="N295" i="64"/>
  <c r="N294" i="64"/>
  <c r="N293" i="64"/>
  <c r="N292" i="64"/>
  <c r="N291" i="64"/>
  <c r="N290" i="64"/>
  <c r="N289" i="64"/>
  <c r="N288" i="64"/>
  <c r="N287" i="64"/>
  <c r="N286" i="64"/>
  <c r="N285" i="64"/>
  <c r="N284" i="64"/>
  <c r="N283" i="64"/>
  <c r="N282" i="64"/>
  <c r="N281" i="64"/>
  <c r="N280" i="64"/>
  <c r="N279" i="64"/>
  <c r="N278" i="64"/>
  <c r="N277" i="64"/>
  <c r="N276" i="64"/>
  <c r="N275" i="64"/>
  <c r="N274" i="64"/>
  <c r="N273" i="64"/>
  <c r="N272" i="64"/>
  <c r="N271" i="64"/>
  <c r="N270" i="64"/>
  <c r="N269" i="64"/>
  <c r="N268" i="64"/>
  <c r="N267" i="64"/>
  <c r="N266" i="64"/>
  <c r="N265" i="64"/>
  <c r="N264" i="64"/>
  <c r="N263" i="64"/>
  <c r="N262" i="64"/>
  <c r="N261" i="64"/>
  <c r="N260" i="64"/>
  <c r="N259" i="64"/>
  <c r="N258" i="64"/>
  <c r="N257" i="64"/>
  <c r="N256" i="64"/>
  <c r="N255" i="64"/>
  <c r="N254" i="64"/>
  <c r="N253" i="64"/>
  <c r="N252" i="64"/>
  <c r="N251" i="64"/>
  <c r="N250" i="64"/>
  <c r="N249" i="64"/>
  <c r="N248" i="64"/>
  <c r="N247" i="64"/>
  <c r="N246" i="64"/>
  <c r="N245" i="64"/>
  <c r="N244" i="64"/>
  <c r="N243" i="64"/>
  <c r="N242" i="64"/>
  <c r="N241" i="64"/>
  <c r="N240" i="64"/>
  <c r="N239" i="64"/>
  <c r="N238" i="64"/>
  <c r="N237" i="64"/>
  <c r="N236" i="64"/>
  <c r="N235" i="64"/>
  <c r="N234" i="64"/>
  <c r="N233" i="64"/>
  <c r="N232" i="64"/>
  <c r="N231" i="64"/>
  <c r="N230" i="64"/>
  <c r="N229" i="64"/>
  <c r="N228" i="64"/>
  <c r="N227" i="64"/>
  <c r="N226" i="64"/>
  <c r="N225" i="64"/>
  <c r="N224" i="64"/>
  <c r="N223" i="64"/>
  <c r="N222" i="64"/>
  <c r="N221" i="64"/>
  <c r="N220" i="64"/>
  <c r="N219" i="64"/>
  <c r="N218" i="64"/>
  <c r="N217" i="64"/>
  <c r="N216" i="64"/>
  <c r="N215" i="64"/>
  <c r="N214" i="64"/>
  <c r="N213" i="64"/>
  <c r="N212" i="64"/>
  <c r="N211" i="64"/>
  <c r="N210" i="64"/>
  <c r="N209" i="64"/>
  <c r="N208" i="64"/>
  <c r="N207" i="64"/>
  <c r="N206" i="64"/>
  <c r="N205" i="64"/>
  <c r="N204" i="64"/>
  <c r="N203" i="64"/>
  <c r="N202" i="64"/>
  <c r="N201" i="64"/>
  <c r="N200" i="64"/>
  <c r="N199" i="64"/>
  <c r="N198" i="64"/>
  <c r="N197" i="64"/>
  <c r="N196" i="64"/>
  <c r="N195" i="64"/>
  <c r="N194" i="64"/>
  <c r="N193" i="64"/>
  <c r="N192" i="64"/>
  <c r="N191" i="64"/>
  <c r="N190" i="64"/>
  <c r="N189" i="64"/>
  <c r="N188" i="64"/>
  <c r="N187" i="64"/>
  <c r="N186" i="64"/>
  <c r="N185" i="64"/>
  <c r="N184" i="64"/>
  <c r="N183" i="64"/>
  <c r="N182" i="64"/>
  <c r="N181" i="64"/>
  <c r="N180" i="64"/>
  <c r="N179" i="64"/>
  <c r="N178" i="64"/>
  <c r="N177" i="64"/>
  <c r="N176" i="64"/>
  <c r="N175" i="64"/>
  <c r="N174" i="64"/>
  <c r="N173" i="64"/>
  <c r="N172" i="64"/>
  <c r="N171" i="64"/>
  <c r="N170" i="64"/>
  <c r="N169" i="64"/>
  <c r="N168" i="64"/>
  <c r="N167" i="64"/>
  <c r="N166" i="64"/>
  <c r="N165" i="64"/>
  <c r="N164" i="64"/>
  <c r="N163" i="64"/>
  <c r="N162" i="64"/>
  <c r="N161" i="64"/>
  <c r="N160" i="64"/>
  <c r="N159" i="64"/>
  <c r="N158" i="64"/>
  <c r="N157" i="64"/>
  <c r="N156" i="64"/>
  <c r="N155" i="64"/>
  <c r="N154" i="64"/>
  <c r="N153" i="64"/>
  <c r="N152" i="64"/>
  <c r="N151" i="64"/>
  <c r="N150" i="64"/>
  <c r="N149" i="64"/>
  <c r="N148" i="64"/>
  <c r="N147" i="64"/>
  <c r="N146" i="64"/>
  <c r="N145" i="64"/>
  <c r="N144" i="64"/>
  <c r="N143" i="64"/>
  <c r="N142" i="64"/>
  <c r="N141" i="64"/>
  <c r="N140" i="64"/>
  <c r="N139" i="64"/>
  <c r="N138" i="64"/>
  <c r="N137" i="64"/>
  <c r="N136" i="64"/>
  <c r="N135" i="64"/>
  <c r="N134" i="64"/>
  <c r="N133" i="64"/>
  <c r="N132" i="64"/>
  <c r="N131" i="64"/>
  <c r="N130" i="64"/>
  <c r="N129" i="64"/>
  <c r="N128" i="64"/>
  <c r="N127" i="64"/>
  <c r="N126" i="64"/>
  <c r="N125" i="64"/>
  <c r="N124" i="64"/>
  <c r="N123" i="64"/>
  <c r="N122" i="64"/>
  <c r="N121" i="64"/>
  <c r="N120" i="64"/>
  <c r="N119" i="64"/>
  <c r="N118" i="64"/>
  <c r="N117" i="64"/>
  <c r="N116" i="64"/>
  <c r="N115" i="64"/>
  <c r="N114" i="64"/>
  <c r="N113" i="64"/>
  <c r="N112" i="64"/>
  <c r="N111" i="64"/>
  <c r="N110" i="64"/>
  <c r="N109" i="64"/>
  <c r="N108" i="64"/>
  <c r="N107" i="64"/>
  <c r="N106" i="64"/>
  <c r="N105" i="64"/>
  <c r="N104" i="64"/>
  <c r="N103" i="64"/>
  <c r="N102" i="64"/>
  <c r="N101" i="64"/>
  <c r="N100" i="64"/>
  <c r="N99" i="64"/>
  <c r="N98" i="64"/>
  <c r="N97" i="64"/>
  <c r="N96" i="64"/>
  <c r="N95" i="64"/>
  <c r="N94" i="64"/>
  <c r="N93" i="64"/>
  <c r="N92" i="64"/>
  <c r="N91" i="64"/>
  <c r="N90" i="64"/>
  <c r="N89" i="64"/>
  <c r="N88" i="64"/>
  <c r="N87" i="64"/>
  <c r="N86" i="64"/>
  <c r="N85" i="64"/>
  <c r="N84" i="64"/>
  <c r="N83" i="64"/>
  <c r="N82" i="64"/>
  <c r="N81" i="64"/>
  <c r="N80" i="64"/>
  <c r="N79" i="64"/>
  <c r="N78" i="64"/>
  <c r="N77" i="64"/>
  <c r="N76" i="64"/>
  <c r="N75" i="64"/>
  <c r="N74" i="64"/>
  <c r="N73" i="64"/>
  <c r="N72" i="64"/>
  <c r="N71" i="64"/>
  <c r="N70" i="64"/>
  <c r="N69" i="64"/>
  <c r="N68" i="64"/>
  <c r="N67" i="64"/>
  <c r="N66" i="64"/>
  <c r="N65" i="64"/>
  <c r="N64" i="64"/>
  <c r="N63" i="64"/>
  <c r="N62" i="64"/>
  <c r="N61" i="64"/>
  <c r="N60" i="64"/>
  <c r="N59" i="64"/>
  <c r="N58" i="64"/>
  <c r="N57" i="64"/>
  <c r="N56" i="64"/>
  <c r="N55" i="64"/>
  <c r="N54" i="64"/>
  <c r="N53" i="64"/>
  <c r="N52" i="64"/>
  <c r="N51" i="64"/>
  <c r="N50" i="64"/>
  <c r="N49" i="64"/>
  <c r="N48" i="64"/>
  <c r="N47" i="64"/>
  <c r="N46" i="64"/>
  <c r="N45" i="64"/>
  <c r="N44" i="64"/>
  <c r="N43" i="64"/>
  <c r="N42" i="64"/>
  <c r="N41" i="64"/>
  <c r="N40" i="64"/>
  <c r="N39" i="64"/>
  <c r="N38" i="64"/>
  <c r="N37" i="64"/>
  <c r="N36" i="64"/>
  <c r="N35" i="64"/>
  <c r="N34" i="64"/>
  <c r="N33" i="64"/>
  <c r="N32" i="64"/>
  <c r="N31" i="64"/>
  <c r="N30" i="64"/>
  <c r="N29" i="64"/>
  <c r="N28" i="64"/>
  <c r="N27" i="64"/>
  <c r="N26" i="64"/>
  <c r="N25" i="64"/>
  <c r="N24" i="64"/>
  <c r="N23" i="64"/>
  <c r="N22" i="64"/>
  <c r="N21" i="64"/>
  <c r="N20" i="64"/>
  <c r="N19" i="64"/>
  <c r="N18" i="64"/>
  <c r="N17" i="64"/>
  <c r="N16" i="64"/>
  <c r="N15" i="64"/>
  <c r="N14" i="64"/>
  <c r="N13" i="64"/>
  <c r="N12" i="64"/>
  <c r="N11" i="64"/>
</calcChain>
</file>

<file path=xl/sharedStrings.xml><?xml version="1.0" encoding="utf-8"?>
<sst xmlns="http://schemas.openxmlformats.org/spreadsheetml/2006/main" count="169" uniqueCount="130">
  <si>
    <t>Passo 1</t>
  </si>
  <si>
    <t>Passo 2</t>
  </si>
  <si>
    <t>Passo 3</t>
  </si>
  <si>
    <t>Passo 4</t>
  </si>
  <si>
    <t>Passo 5</t>
  </si>
  <si>
    <t>Planilha de Plano de Negócios</t>
  </si>
  <si>
    <t>Planilha de Estudo de Viabilidade Econômica</t>
  </si>
  <si>
    <t>Planilha de Análise SWOT</t>
  </si>
  <si>
    <t>Planilha de Planejamento Estratégico</t>
  </si>
  <si>
    <t>IMPORTANTE: SIGA O PASSO A PASSO DE PREENCHIMENTO</t>
  </si>
  <si>
    <t>1. Como desbloquear as abas da planilha?</t>
  </si>
  <si>
    <t>2. Como inserir a logo da minha empresa?</t>
  </si>
  <si>
    <r>
      <t xml:space="preserve">Vá na guia superior </t>
    </r>
    <r>
      <rPr>
        <b/>
        <sz val="12"/>
        <rFont val="Calibri"/>
        <family val="2"/>
        <scheme val="minor"/>
      </rPr>
      <t>REVISÃO</t>
    </r>
    <r>
      <rPr>
        <sz val="12"/>
        <color theme="1" tint="0.249977111117893"/>
        <rFont val="Calibri"/>
        <family val="2"/>
        <scheme val="minor"/>
      </rPr>
      <t xml:space="preserve"> e, dentro do grupo de alterações escolha a opção </t>
    </r>
    <r>
      <rPr>
        <b/>
        <sz val="12"/>
        <rFont val="Calibri"/>
        <family val="2"/>
        <scheme val="minor"/>
      </rPr>
      <t>DESPROTEGER</t>
    </r>
    <r>
      <rPr>
        <sz val="12"/>
        <color theme="1" tint="0.249977111117893"/>
        <rFont val="Calibri"/>
        <family val="2"/>
        <scheme val="minor"/>
      </rPr>
      <t xml:space="preserve"> </t>
    </r>
    <r>
      <rPr>
        <b/>
        <sz val="12"/>
        <rFont val="Calibri"/>
        <family val="2"/>
        <scheme val="minor"/>
      </rPr>
      <t>PLANILHA.</t>
    </r>
    <r>
      <rPr>
        <sz val="12"/>
        <color theme="1" tint="0.249977111117893"/>
        <rFont val="Calibri"/>
        <family val="2"/>
        <scheme val="minor"/>
      </rPr>
      <t xml:space="preserve"> As planilhas não possuem senhas, o bloqueio erve apenas para melhorar seu uso. Veja mais aqui - ajuda.luz.vc/article/100-como-desproteger-uma-planilha-da-luz</t>
    </r>
  </si>
  <si>
    <r>
      <t xml:space="preserve">Com a aba desbloqueada, vá na guia </t>
    </r>
    <r>
      <rPr>
        <b/>
        <sz val="12"/>
        <rFont val="Calibri"/>
        <family val="2"/>
        <scheme val="minor"/>
      </rPr>
      <t>INSERIR</t>
    </r>
    <r>
      <rPr>
        <sz val="12"/>
        <color theme="1" tint="0.249977111117893"/>
        <rFont val="Calibri"/>
        <family val="2"/>
        <scheme val="minor"/>
      </rPr>
      <t xml:space="preserve"> e, dentro do grupo </t>
    </r>
    <r>
      <rPr>
        <b/>
        <sz val="12"/>
        <rFont val="Calibri"/>
        <family val="2"/>
        <scheme val="minor"/>
      </rPr>
      <t>ILUSTRAÇÕES</t>
    </r>
    <r>
      <rPr>
        <sz val="12"/>
        <color theme="1" tint="0.249977111117893"/>
        <rFont val="Calibri"/>
        <family val="2"/>
        <scheme val="minor"/>
      </rPr>
      <t xml:space="preserve"> escolha a opção </t>
    </r>
    <r>
      <rPr>
        <b/>
        <sz val="12"/>
        <rFont val="Calibri"/>
        <family val="2"/>
        <scheme val="minor"/>
      </rPr>
      <t>IMAGENS.</t>
    </r>
    <r>
      <rPr>
        <sz val="12"/>
        <color theme="1" tint="0.249977111117893"/>
        <rFont val="Calibri"/>
        <family val="2"/>
        <scheme val="minor"/>
      </rPr>
      <t xml:space="preserve"> Basta selecionar o arquivo com a sua logo, posicionar e redimensionar como quiser. Veja mais nesse link - ajuda.luz.vc/article/91-como-retirar-ou-mudar-a-logo-de-sua-planilha</t>
    </r>
  </si>
  <si>
    <t>3. Como adicionar mais linhas nos lançamentos?</t>
  </si>
  <si>
    <r>
      <t xml:space="preserve">Recomendamos que você </t>
    </r>
    <r>
      <rPr>
        <b/>
        <sz val="12"/>
        <rFont val="Calibri"/>
        <family val="2"/>
        <scheme val="minor"/>
      </rPr>
      <t>utilize apenas a ESTRUTURA ATUAL</t>
    </r>
    <r>
      <rPr>
        <sz val="12"/>
        <color theme="1" tint="0.249977111117893"/>
        <rFont val="Calibri"/>
        <family val="2"/>
        <scheme val="minor"/>
      </rPr>
      <t>, já que diversas fórmulas estão vinculadas aos intervalos já criadosmos. Se precisar fazer alterações, recomendo que veja detalhes nesse link - http://ajuda.luz.vc/article/101-como-adicionar-mais-linhas-nos-lancamentos-da-planilha-de-fluxo-de-caixa</t>
    </r>
  </si>
  <si>
    <t>4. Como redimensiono uma coluna ou linha da planilha?</t>
  </si>
  <si>
    <t>Com a planilha desbloqueada(ver pergunta 1), clique sobre o número da linha com o botão diretiro e escolha a opção altura da linha no caso das linhas ou na letra da coluna com o botão direito e escolha a opção largura da coluna no caso de colunas.</t>
  </si>
  <si>
    <t>6. Como mudo a moeda da planilha?</t>
  </si>
  <si>
    <r>
      <t xml:space="preserve">Selecione os campos que deseja mudar a moeda. Clique com o botão direito escolha a opção </t>
    </r>
    <r>
      <rPr>
        <b/>
        <sz val="12"/>
        <rFont val="Calibri"/>
        <family val="2"/>
        <scheme val="minor"/>
      </rPr>
      <t>FORMATAR CÉLULAS</t>
    </r>
    <r>
      <rPr>
        <sz val="12"/>
        <color theme="1" tint="0.249977111117893"/>
        <rFont val="Calibri"/>
        <family val="2"/>
        <scheme val="minor"/>
      </rPr>
      <t xml:space="preserve">. Altere o símbolo para o formato que desejar na guia </t>
    </r>
    <r>
      <rPr>
        <b/>
        <sz val="12"/>
        <rFont val="Calibri"/>
        <family val="2"/>
        <scheme val="minor"/>
      </rPr>
      <t>NÚMERO.</t>
    </r>
    <r>
      <rPr>
        <sz val="12"/>
        <rFont val="Calibri"/>
        <family val="2"/>
        <scheme val="minor"/>
      </rPr>
      <t xml:space="preserve"> </t>
    </r>
    <r>
      <rPr>
        <sz val="12"/>
        <color theme="1" tint="0.34998626667073579"/>
        <rFont val="Calibri"/>
        <family val="2"/>
        <scheme val="minor"/>
      </rPr>
      <t>Veja mais nesse link - http://blog.luz.vc/excel/como-transformar-valores-excel-de-real-para-dolar-euro-ou-kwanza/</t>
    </r>
  </si>
  <si>
    <t>PLANILHAS LUZ</t>
  </si>
  <si>
    <t>Pacote com 9 Planilhas Financeiras</t>
  </si>
  <si>
    <t>A LUZ é uma empresa especializada no desenvolvimento de produtos digitais para empresas. Desde 2005 ajudamos empresários e gestores a vencer seus desafios em suas respectivas áreas de trabalho. Conheça um pouco mais da LUZ e descubra como podemos ajudar!</t>
  </si>
  <si>
    <t>5. Como faço para usar as listas de seleção dos dashboards no Mac?</t>
  </si>
  <si>
    <t xml:space="preserve">Para usar a qualquer lista em uma caixa de combinação (caixa para seleção dos meses ou do plano de contas) no Excel para Mac, basta clicar e pressionar na caixa, escolher o item desejado e soltar o botão. Se você tentar dar apenas um clique, a lista não funcionará. </t>
  </si>
  <si>
    <t>Produto</t>
  </si>
  <si>
    <t>Preço de Venda</t>
  </si>
  <si>
    <t>Projeções de vendas mensais</t>
  </si>
  <si>
    <t>Receita bruta mensal</t>
  </si>
  <si>
    <t>% de Participação</t>
  </si>
  <si>
    <t>Matéria - Prima</t>
  </si>
  <si>
    <t>Comissões (%)</t>
  </si>
  <si>
    <t>Impostos (%)</t>
  </si>
  <si>
    <t>Outros gastos</t>
  </si>
  <si>
    <t>Total custo por produto</t>
  </si>
  <si>
    <t>Custo Fixo</t>
  </si>
  <si>
    <t>Valor Mensal</t>
  </si>
  <si>
    <t>Margem de contribuição
unitária</t>
  </si>
  <si>
    <t>IMC (%)</t>
  </si>
  <si>
    <t>Receita no ponto de equilíbrio</t>
  </si>
  <si>
    <t>Quantidade a ser vendida</t>
  </si>
  <si>
    <t>Outros Gastos</t>
  </si>
  <si>
    <t>Matéria Prima</t>
  </si>
  <si>
    <t>Margem de contribuição</t>
  </si>
  <si>
    <t>Descrição</t>
  </si>
  <si>
    <t>Valor (R$)</t>
  </si>
  <si>
    <t>Preço de venda médio dos seus produtos</t>
  </si>
  <si>
    <t>Margem de contribuição média dos seus produtos</t>
  </si>
  <si>
    <t>Custos diretos médio por produto</t>
  </si>
  <si>
    <t>Ponto de Equilíbrio (Break Even Point)</t>
  </si>
  <si>
    <t>Selecione o seu produto</t>
  </si>
  <si>
    <t>Empresa</t>
  </si>
  <si>
    <t>Diferencial</t>
  </si>
  <si>
    <t>Preço Concorrente</t>
  </si>
  <si>
    <t>Seu Preço</t>
  </si>
  <si>
    <t>Orientação</t>
  </si>
  <si>
    <t>Qualidade</t>
  </si>
  <si>
    <t>Quantidade vendida para o ponto de equilíbrio</t>
  </si>
  <si>
    <t>Vendas projetadas</t>
  </si>
  <si>
    <t>Diferença</t>
  </si>
  <si>
    <t>Receita gerada no ponto de equilíbrio</t>
  </si>
  <si>
    <t>Receita projetada</t>
  </si>
  <si>
    <t>Custos Fixos</t>
  </si>
  <si>
    <t>Produtos Analisados</t>
  </si>
  <si>
    <t>Atingiu?</t>
  </si>
  <si>
    <t>Receita Projetada</t>
  </si>
  <si>
    <t>Preço</t>
  </si>
  <si>
    <t>Valor</t>
  </si>
  <si>
    <t>Margem de Contribuição</t>
  </si>
  <si>
    <t>Margem de lucro</t>
  </si>
  <si>
    <t>Comissões</t>
  </si>
  <si>
    <t>Impostos</t>
  </si>
  <si>
    <t>Preço x custos diretos</t>
  </si>
  <si>
    <t>Média dos Produtos</t>
  </si>
  <si>
    <t>Media dos Concorrentes</t>
  </si>
  <si>
    <t>Produtos</t>
  </si>
  <si>
    <t>Preços</t>
  </si>
  <si>
    <t>Custo Direto</t>
  </si>
  <si>
    <t>Outros Produtos</t>
  </si>
  <si>
    <t>Parte do controle onde são cadastrados os produtos e as variáveis a serem consideradas no controle.</t>
  </si>
  <si>
    <t>Com o ponto de equilíbrio é possível apurar a quantidade mínima de produtos a serem vendidos para não ter prejuíço.</t>
  </si>
  <si>
    <t>No relatório verifica-se os principais produtos, custos e produtos da concorrência.</t>
  </si>
  <si>
    <t>O Dashboard apresenta uma visão unificada dos principais indicadores para tomadas rápidas de decisões.</t>
  </si>
  <si>
    <t>Com a análise da concorrência cadastra-se informações dos produtos da concorrência para seu produto manter alinhado com o mercado.</t>
  </si>
  <si>
    <t>Produto 1</t>
  </si>
  <si>
    <t>Produto 2</t>
  </si>
  <si>
    <t>Produto 3</t>
  </si>
  <si>
    <t>Produto 4</t>
  </si>
  <si>
    <t>Produto 5</t>
  </si>
  <si>
    <t>Custo 1</t>
  </si>
  <si>
    <t>Custo 2</t>
  </si>
  <si>
    <t>Custo 3</t>
  </si>
  <si>
    <t>Custo 4</t>
  </si>
  <si>
    <t>Custo 5</t>
  </si>
  <si>
    <t>Custos diretos totais na projeção de vendas</t>
  </si>
  <si>
    <t>Qual o valor total dos seus custos fixos mensal?</t>
  </si>
  <si>
    <t>Qual deve ser o faturamento mensal para não ter prejuízo?</t>
  </si>
  <si>
    <t>Quantos produtos em média você precisa vender para não ter prejuízo?</t>
  </si>
  <si>
    <t>Total de custos fixos proporcionais à projeção de vendas</t>
  </si>
  <si>
    <t>Margem de Contribuição Unitária</t>
  </si>
  <si>
    <t>Despesas Diretas</t>
  </si>
  <si>
    <t>Unidades vendidas no Ponto de Equilíbrio</t>
  </si>
  <si>
    <t>Cutos Fixos Proporcionais</t>
  </si>
  <si>
    <t>Receita no Ponto de Equilíbrio</t>
  </si>
  <si>
    <t>Atingirá o Ponto de Equilíbrio se alcançar as vendas projetadas?</t>
  </si>
  <si>
    <t>Vendas Projetadas</t>
  </si>
  <si>
    <t>Concorrente 1</t>
  </si>
  <si>
    <t>Concorrente 2</t>
  </si>
  <si>
    <t>Concorrente 3</t>
  </si>
  <si>
    <t>Concorrente 4</t>
  </si>
  <si>
    <t>Concorrente 5</t>
  </si>
  <si>
    <t>Concorrente 6</t>
  </si>
  <si>
    <t>Não Atinge o Ponto de Equilíbrio</t>
  </si>
  <si>
    <t>Atinge o Ponto de Equilíbrio</t>
  </si>
  <si>
    <t>Empresa atinge o Ponto de Equilíbrio?</t>
  </si>
  <si>
    <t>Vendas Necessárias</t>
  </si>
  <si>
    <t>indicadores para atingir o ponto de equilíbrio...</t>
  </si>
  <si>
    <t>Parte dos Custos Fixos</t>
  </si>
  <si>
    <t>Custo Direto Unitário</t>
  </si>
  <si>
    <t>Selecione um Produto</t>
  </si>
  <si>
    <t>Preço x Média dos Produtos x Média dos Concorrentes</t>
  </si>
  <si>
    <t>Margem de Contribuição x Média</t>
  </si>
  <si>
    <r>
      <t>PLANILHA DE</t>
    </r>
    <r>
      <rPr>
        <b/>
        <sz val="40"/>
        <color rgb="FF333333"/>
        <rFont val="Calibri (Corpo)"/>
      </rPr>
      <t xml:space="preserve"> CÁLCULO DE PONTO DE EQUILÍBRIO 4.0</t>
    </r>
  </si>
  <si>
    <t>CADASTRO</t>
  </si>
  <si>
    <t>PONTO DE EQUILIBRIO</t>
  </si>
  <si>
    <t>CONCORRENTES</t>
  </si>
  <si>
    <t>RELATÓRIOS</t>
  </si>
  <si>
    <t>DASHBOARD</t>
  </si>
  <si>
    <t>Custos Diretos</t>
  </si>
  <si>
    <t>Valores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</si>
</sst>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&quot;R$&quot;\ #,##0.00"/>
    <numFmt numFmtId="165" formatCode="0.000000"/>
    <numFmt numFmtId="166" formatCode="0.0"/>
  </numFmts>
  <fonts count="39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theme="1" tint="0.249977111117893"/>
      <name val="Calibri"/>
      <family val="2"/>
      <scheme val="minor"/>
    </font>
    <font>
      <sz val="11"/>
      <color theme="1"/>
      <name val="Arial"/>
      <family val="2"/>
    </font>
    <font>
      <b/>
      <sz val="14"/>
      <color theme="0"/>
      <name val="Calibri"/>
      <family val="2"/>
      <scheme val="minor"/>
    </font>
    <font>
      <b/>
      <sz val="18"/>
      <color rgb="FF333333"/>
      <name val="Calibri"/>
      <family val="2"/>
      <scheme val="minor"/>
    </font>
    <font>
      <sz val="26"/>
      <color rgb="FF33333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 tint="0.249977111117893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b/>
      <sz val="24"/>
      <color rgb="FFFFFFFF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40"/>
      <color rgb="FF333333"/>
      <name val="Calibri (Corpo)"/>
    </font>
    <font>
      <b/>
      <sz val="12"/>
      <color theme="1"/>
      <name val="Calibri (Corpo)"/>
    </font>
    <font>
      <u/>
      <sz val="12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 tint="0.249977111117893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99999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8"/>
      <color theme="1" tint="0.249977111117893"/>
      <name val="Calibri"/>
      <family val="2"/>
      <scheme val="minor"/>
    </font>
    <font>
      <b/>
      <sz val="28"/>
      <color theme="0"/>
      <name val="Calibri"/>
      <family val="2"/>
      <scheme val="minor"/>
    </font>
    <font>
      <b/>
      <sz val="22"/>
      <color theme="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6699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0462E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55B03E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CC00"/>
        <bgColor indexed="64"/>
      </patternFill>
    </fill>
  </fills>
  <borders count="25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ck">
        <color theme="0"/>
      </left>
      <right style="thick">
        <color theme="0"/>
      </right>
      <top style="thick">
        <color theme="0"/>
      </top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n">
        <color theme="0" tint="-0.14996795556505021"/>
      </bottom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6795556505021"/>
      </left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medium">
        <color theme="0"/>
      </left>
      <right/>
      <top/>
      <bottom/>
      <diagonal/>
    </border>
    <border>
      <left/>
      <right style="thin">
        <color theme="0" tint="-0.14996795556505021"/>
      </right>
      <top/>
      <bottom/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6795556505021"/>
      </left>
      <right/>
      <top/>
      <bottom style="thin">
        <color theme="0" tint="-0.14996795556505021"/>
      </bottom>
      <diagonal/>
    </border>
  </borders>
  <cellStyleXfs count="5">
    <xf numFmtId="0" fontId="0" fillId="0" borderId="0"/>
    <xf numFmtId="0" fontId="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9" fontId="25" fillId="0" borderId="0" applyFont="0" applyFill="0" applyBorder="0" applyAlignment="0" applyProtection="0"/>
    <xf numFmtId="43" fontId="25" fillId="0" borderId="0" applyFont="0" applyFill="0" applyBorder="0" applyAlignment="0" applyProtection="0"/>
  </cellStyleXfs>
  <cellXfs count="182">
    <xf numFmtId="0" fontId="0" fillId="0" borderId="0" xfId="0"/>
    <xf numFmtId="0" fontId="0" fillId="2" borderId="0" xfId="0" applyFill="1" applyProtection="1"/>
    <xf numFmtId="0" fontId="0" fillId="4" borderId="0" xfId="0" applyFill="1" applyBorder="1" applyProtection="1"/>
    <xf numFmtId="0" fontId="9" fillId="4" borderId="0" xfId="1" applyFont="1" applyFill="1" applyBorder="1" applyAlignment="1" applyProtection="1">
      <alignment horizontal="center" vertical="center" wrapText="1"/>
    </xf>
    <xf numFmtId="0" fontId="7" fillId="4" borderId="0" xfId="1" applyFont="1" applyFill="1" applyBorder="1" applyAlignment="1" applyProtection="1">
      <alignment horizontal="center" vertical="center"/>
    </xf>
    <xf numFmtId="0" fontId="7" fillId="4" borderId="0" xfId="0" applyFont="1" applyFill="1" applyBorder="1" applyAlignment="1" applyProtection="1">
      <alignment horizontal="center" vertical="center"/>
    </xf>
    <xf numFmtId="0" fontId="0" fillId="0" borderId="0" xfId="0" applyFill="1" applyBorder="1" applyProtection="1"/>
    <xf numFmtId="0" fontId="0" fillId="2" borderId="0" xfId="0" applyFill="1" applyAlignment="1" applyProtection="1">
      <alignment horizontal="right" indent="1"/>
    </xf>
    <xf numFmtId="0" fontId="9" fillId="0" borderId="0" xfId="1" applyFont="1" applyFill="1" applyBorder="1" applyAlignment="1" applyProtection="1">
      <alignment horizontal="center" vertical="center" wrapText="1"/>
    </xf>
    <xf numFmtId="0" fontId="7" fillId="0" borderId="0" xfId="1" applyFont="1" applyFill="1" applyBorder="1" applyAlignment="1" applyProtection="1">
      <alignment horizontal="center" vertical="center"/>
    </xf>
    <xf numFmtId="0" fontId="7" fillId="0" borderId="0" xfId="0" applyFont="1" applyFill="1" applyBorder="1" applyAlignment="1" applyProtection="1">
      <alignment horizontal="center" vertical="center"/>
    </xf>
    <xf numFmtId="0" fontId="0" fillId="0" borderId="0" xfId="0" applyFill="1" applyProtection="1"/>
    <xf numFmtId="0" fontId="0" fillId="0" borderId="0" xfId="0" applyProtection="1"/>
    <xf numFmtId="0" fontId="11" fillId="4" borderId="0" xfId="1" applyFont="1" applyFill="1" applyAlignment="1" applyProtection="1">
      <alignment horizontal="center" vertical="center"/>
    </xf>
    <xf numFmtId="0" fontId="10" fillId="0" borderId="0" xfId="0" applyFont="1" applyAlignment="1" applyProtection="1">
      <alignment vertical="center" wrapText="1"/>
    </xf>
    <xf numFmtId="0" fontId="20" fillId="0" borderId="0" xfId="0" applyFont="1" applyAlignment="1" applyProtection="1">
      <alignment wrapText="1"/>
    </xf>
    <xf numFmtId="0" fontId="16" fillId="0" borderId="0" xfId="0" applyFont="1" applyBorder="1" applyAlignment="1" applyProtection="1">
      <alignment horizontal="left" vertical="center" indent="1"/>
    </xf>
    <xf numFmtId="0" fontId="15" fillId="0" borderId="0" xfId="0" applyFont="1" applyFill="1" applyBorder="1" applyAlignment="1" applyProtection="1">
      <alignment horizontal="left" vertical="center" wrapText="1" indent="1"/>
    </xf>
    <xf numFmtId="0" fontId="0" fillId="0" borderId="0" xfId="0" applyFill="1" applyBorder="1" applyAlignment="1" applyProtection="1">
      <alignment horizontal="left" indent="1"/>
    </xf>
    <xf numFmtId="0" fontId="13" fillId="0" borderId="0" xfId="0" applyFont="1" applyFill="1" applyAlignment="1" applyProtection="1">
      <alignment vertical="center"/>
    </xf>
    <xf numFmtId="0" fontId="13" fillId="0" borderId="0" xfId="0" applyFont="1" applyFill="1" applyAlignment="1" applyProtection="1">
      <alignment vertical="center" wrapText="1"/>
    </xf>
    <xf numFmtId="0" fontId="0" fillId="0" borderId="0" xfId="0" applyFill="1" applyAlignment="1" applyProtection="1"/>
    <xf numFmtId="0" fontId="0" fillId="0" borderId="0" xfId="0" applyAlignment="1" applyProtection="1"/>
    <xf numFmtId="0" fontId="21" fillId="0" borderId="0" xfId="0" applyFont="1" applyAlignment="1" applyProtection="1">
      <alignment horizontal="left"/>
    </xf>
    <xf numFmtId="0" fontId="0" fillId="0" borderId="0" xfId="0" applyAlignment="1" applyProtection="1">
      <alignment horizontal="left"/>
    </xf>
    <xf numFmtId="0" fontId="0" fillId="0" borderId="0" xfId="0" applyAlignment="1" applyProtection="1">
      <alignment horizontal="left" vertical="center"/>
    </xf>
    <xf numFmtId="0" fontId="0" fillId="3" borderId="1" xfId="0" applyFill="1" applyBorder="1" applyProtection="1"/>
    <xf numFmtId="0" fontId="0" fillId="2" borderId="0" xfId="0" applyFill="1" applyProtection="1">
      <protection locked="0"/>
    </xf>
    <xf numFmtId="0" fontId="12" fillId="3" borderId="1" xfId="0" applyFont="1" applyFill="1" applyBorder="1" applyAlignment="1" applyProtection="1">
      <alignment horizontal="left" vertical="center" indent="1"/>
    </xf>
    <xf numFmtId="0" fontId="11" fillId="4" borderId="0" xfId="1" applyFont="1" applyFill="1" applyAlignment="1" applyProtection="1">
      <alignment horizontal="left" vertical="center" indent="1"/>
      <protection locked="0"/>
    </xf>
    <xf numFmtId="0" fontId="12" fillId="0" borderId="0" xfId="0" applyFont="1" applyAlignment="1" applyProtection="1">
      <alignment horizontal="left" vertical="center" indent="1"/>
      <protection locked="0"/>
    </xf>
    <xf numFmtId="0" fontId="0" fillId="2" borderId="0" xfId="0" applyFill="1" applyProtection="1"/>
    <xf numFmtId="0" fontId="8" fillId="0" borderId="0" xfId="1" applyAlignment="1" applyProtection="1">
      <alignment horizontal="left" vertical="center"/>
    </xf>
    <xf numFmtId="0" fontId="9" fillId="0" borderId="1" xfId="0" applyFont="1" applyFill="1" applyBorder="1" applyAlignment="1" applyProtection="1">
      <alignment horizontal="left" vertical="center" wrapText="1" indent="1"/>
      <protection locked="0"/>
    </xf>
    <xf numFmtId="0" fontId="27" fillId="5" borderId="5" xfId="0" applyFont="1" applyFill="1" applyBorder="1" applyAlignment="1" applyProtection="1">
      <alignment horizontal="left" vertical="center" wrapText="1" indent="1"/>
    </xf>
    <xf numFmtId="0" fontId="28" fillId="0" borderId="1" xfId="0" applyFont="1" applyFill="1" applyBorder="1" applyAlignment="1" applyProtection="1">
      <alignment horizontal="left" vertical="center" indent="1"/>
      <protection locked="0"/>
    </xf>
    <xf numFmtId="0" fontId="4" fillId="2" borderId="0" xfId="0" applyFont="1" applyFill="1" applyProtection="1"/>
    <xf numFmtId="0" fontId="4" fillId="2" borderId="0" xfId="0" applyFont="1" applyFill="1" applyAlignment="1" applyProtection="1">
      <alignment horizontal="right" indent="1"/>
    </xf>
    <xf numFmtId="0" fontId="26" fillId="4" borderId="0" xfId="1" applyFont="1" applyFill="1" applyBorder="1" applyAlignment="1" applyProtection="1">
      <alignment horizontal="center" vertical="center"/>
    </xf>
    <xf numFmtId="0" fontId="26" fillId="4" borderId="0" xfId="0" applyFont="1" applyFill="1" applyBorder="1" applyAlignment="1" applyProtection="1">
      <alignment horizontal="center" vertical="center"/>
    </xf>
    <xf numFmtId="0" fontId="4" fillId="4" borderId="0" xfId="0" applyFont="1" applyFill="1" applyBorder="1" applyProtection="1"/>
    <xf numFmtId="0" fontId="26" fillId="0" borderId="0" xfId="1" applyFont="1" applyFill="1" applyBorder="1" applyAlignment="1" applyProtection="1">
      <alignment horizontal="center" vertical="center"/>
    </xf>
    <xf numFmtId="0" fontId="26" fillId="0" borderId="0" xfId="0" applyFont="1" applyFill="1" applyBorder="1" applyAlignment="1" applyProtection="1">
      <alignment horizontal="center" vertical="center"/>
    </xf>
    <xf numFmtId="0" fontId="4" fillId="0" borderId="0" xfId="0" applyFont="1" applyFill="1" applyBorder="1" applyProtection="1"/>
    <xf numFmtId="0" fontId="28" fillId="3" borderId="1" xfId="0" applyFont="1" applyFill="1" applyBorder="1" applyAlignment="1" applyProtection="1">
      <alignment horizontal="left" vertical="center" indent="1"/>
      <protection locked="0"/>
    </xf>
    <xf numFmtId="0" fontId="3" fillId="2" borderId="0" xfId="0" applyFont="1" applyFill="1" applyProtection="1"/>
    <xf numFmtId="0" fontId="3" fillId="4" borderId="0" xfId="0" applyFont="1" applyFill="1" applyBorder="1" applyProtection="1"/>
    <xf numFmtId="0" fontId="3" fillId="0" borderId="0" xfId="0" applyFont="1" applyFill="1" applyBorder="1" applyProtection="1"/>
    <xf numFmtId="164" fontId="28" fillId="6" borderId="11" xfId="0" applyNumberFormat="1" applyFont="1" applyFill="1" applyBorder="1" applyAlignment="1" applyProtection="1">
      <alignment horizontal="left" vertical="center" indent="1"/>
    </xf>
    <xf numFmtId="0" fontId="29" fillId="0" borderId="0" xfId="1" applyFont="1" applyFill="1" applyBorder="1" applyAlignment="1" applyProtection="1">
      <alignment horizontal="center" vertical="center"/>
    </xf>
    <xf numFmtId="0" fontId="26" fillId="2" borderId="0" xfId="0" applyFont="1" applyFill="1" applyProtection="1"/>
    <xf numFmtId="0" fontId="26" fillId="4" borderId="0" xfId="0" applyFont="1" applyFill="1" applyBorder="1" applyProtection="1"/>
    <xf numFmtId="0" fontId="26" fillId="0" borderId="0" xfId="0" applyFont="1" applyFill="1" applyBorder="1" applyProtection="1"/>
    <xf numFmtId="165" fontId="26" fillId="0" borderId="0" xfId="0" applyNumberFormat="1" applyFont="1" applyFill="1" applyBorder="1" applyProtection="1"/>
    <xf numFmtId="0" fontId="3" fillId="0" borderId="6" xfId="0" applyFont="1" applyBorder="1" applyAlignment="1" applyProtection="1">
      <alignment horizontal="left" vertical="center" wrapText="1" indent="1"/>
      <protection locked="0"/>
    </xf>
    <xf numFmtId="0" fontId="3" fillId="2" borderId="0" xfId="0" applyFont="1" applyFill="1" applyAlignment="1" applyProtection="1">
      <alignment horizontal="right" indent="1"/>
    </xf>
    <xf numFmtId="9" fontId="28" fillId="0" borderId="1" xfId="0" applyNumberFormat="1" applyFont="1" applyFill="1" applyBorder="1" applyAlignment="1" applyProtection="1">
      <alignment horizontal="left" vertical="center" indent="1"/>
      <protection locked="0"/>
    </xf>
    <xf numFmtId="9" fontId="28" fillId="3" borderId="1" xfId="3" applyFont="1" applyFill="1" applyBorder="1" applyAlignment="1" applyProtection="1">
      <alignment horizontal="left" vertical="center" indent="1"/>
      <protection locked="0"/>
    </xf>
    <xf numFmtId="0" fontId="28" fillId="2" borderId="0" xfId="0" applyFont="1" applyFill="1" applyProtection="1"/>
    <xf numFmtId="0" fontId="28" fillId="4" borderId="0" xfId="0" applyFont="1" applyFill="1" applyBorder="1" applyProtection="1"/>
    <xf numFmtId="0" fontId="28" fillId="0" borderId="0" xfId="0" applyFont="1" applyFill="1" applyBorder="1" applyProtection="1"/>
    <xf numFmtId="4" fontId="3" fillId="0" borderId="0" xfId="0" applyNumberFormat="1" applyFont="1" applyFill="1" applyBorder="1" applyProtection="1"/>
    <xf numFmtId="0" fontId="2" fillId="0" borderId="0" xfId="0" applyFont="1" applyFill="1" applyBorder="1" applyProtection="1"/>
    <xf numFmtId="3" fontId="26" fillId="0" borderId="0" xfId="0" applyNumberFormat="1" applyFont="1" applyFill="1" applyBorder="1" applyProtection="1"/>
    <xf numFmtId="4" fontId="26" fillId="0" borderId="0" xfId="0" applyNumberFormat="1" applyFont="1" applyFill="1" applyBorder="1" applyProtection="1"/>
    <xf numFmtId="1" fontId="26" fillId="0" borderId="0" xfId="0" applyNumberFormat="1" applyFont="1" applyFill="1" applyBorder="1" applyProtection="1"/>
    <xf numFmtId="1" fontId="28" fillId="0" borderId="17" xfId="0" applyNumberFormat="1" applyFont="1" applyFill="1" applyBorder="1" applyAlignment="1" applyProtection="1">
      <alignment horizontal="left" vertical="center" indent="1"/>
      <protection locked="0"/>
    </xf>
    <xf numFmtId="1" fontId="28" fillId="0" borderId="0" xfId="0" applyNumberFormat="1" applyFont="1" applyFill="1" applyBorder="1" applyAlignment="1" applyProtection="1">
      <alignment horizontal="left" vertical="center" indent="1"/>
      <protection locked="0"/>
    </xf>
    <xf numFmtId="164" fontId="28" fillId="3" borderId="1" xfId="0" applyNumberFormat="1" applyFont="1" applyFill="1" applyBorder="1" applyAlignment="1" applyProtection="1">
      <alignment horizontal="left" vertical="center" indent="1"/>
      <protection locked="0"/>
    </xf>
    <xf numFmtId="164" fontId="28" fillId="0" borderId="1" xfId="0" applyNumberFormat="1" applyFont="1" applyFill="1" applyBorder="1" applyAlignment="1" applyProtection="1">
      <alignment horizontal="left" vertical="center" indent="1"/>
      <protection locked="0"/>
    </xf>
    <xf numFmtId="164" fontId="3" fillId="2" borderId="0" xfId="0" applyNumberFormat="1" applyFont="1" applyFill="1" applyProtection="1"/>
    <xf numFmtId="164" fontId="26" fillId="4" borderId="0" xfId="0" applyNumberFormat="1" applyFont="1" applyFill="1" applyBorder="1" applyAlignment="1" applyProtection="1">
      <alignment horizontal="center" vertical="center"/>
    </xf>
    <xf numFmtId="164" fontId="26" fillId="0" borderId="0" xfId="0" applyNumberFormat="1" applyFont="1" applyFill="1" applyBorder="1" applyAlignment="1" applyProtection="1">
      <alignment horizontal="center" vertical="center"/>
    </xf>
    <xf numFmtId="164" fontId="27" fillId="5" borderId="5" xfId="0" applyNumberFormat="1" applyFont="1" applyFill="1" applyBorder="1" applyAlignment="1" applyProtection="1">
      <alignment horizontal="left" vertical="center" wrapText="1" indent="1"/>
    </xf>
    <xf numFmtId="164" fontId="26" fillId="0" borderId="0" xfId="0" applyNumberFormat="1" applyFont="1" applyFill="1" applyBorder="1" applyProtection="1"/>
    <xf numFmtId="164" fontId="28" fillId="3" borderId="1" xfId="0" applyNumberFormat="1" applyFont="1" applyFill="1" applyBorder="1" applyAlignment="1" applyProtection="1">
      <alignment horizontal="left" vertical="center" indent="1"/>
    </xf>
    <xf numFmtId="10" fontId="28" fillId="3" borderId="1" xfId="3" applyNumberFormat="1" applyFont="1" applyFill="1" applyBorder="1" applyAlignment="1" applyProtection="1">
      <alignment horizontal="left" vertical="center" indent="1"/>
    </xf>
    <xf numFmtId="0" fontId="28" fillId="3" borderId="1" xfId="0" applyFont="1" applyFill="1" applyBorder="1" applyAlignment="1" applyProtection="1">
      <alignment horizontal="left" vertical="center" indent="1"/>
    </xf>
    <xf numFmtId="164" fontId="28" fillId="0" borderId="1" xfId="0" applyNumberFormat="1" applyFont="1" applyFill="1" applyBorder="1" applyAlignment="1" applyProtection="1">
      <alignment horizontal="left" vertical="center" indent="1"/>
    </xf>
    <xf numFmtId="0" fontId="28" fillId="0" borderId="1" xfId="0" applyFont="1" applyFill="1" applyBorder="1" applyAlignment="1" applyProtection="1">
      <alignment horizontal="left" vertical="center" indent="1"/>
    </xf>
    <xf numFmtId="0" fontId="28" fillId="5" borderId="9" xfId="0" applyFont="1" applyFill="1" applyBorder="1" applyAlignment="1" applyProtection="1">
      <alignment horizontal="left" vertical="center" indent="1"/>
    </xf>
    <xf numFmtId="0" fontId="28" fillId="5" borderId="10" xfId="0" applyFont="1" applyFill="1" applyBorder="1" applyAlignment="1" applyProtection="1">
      <alignment horizontal="left" vertical="center" indent="1"/>
    </xf>
    <xf numFmtId="0" fontId="28" fillId="7" borderId="9" xfId="0" applyFont="1" applyFill="1" applyBorder="1" applyAlignment="1" applyProtection="1">
      <alignment horizontal="left" vertical="center" indent="1"/>
    </xf>
    <xf numFmtId="0" fontId="3" fillId="0" borderId="0" xfId="0" applyFont="1" applyProtection="1"/>
    <xf numFmtId="0" fontId="30" fillId="5" borderId="9" xfId="0" applyFont="1" applyFill="1" applyBorder="1" applyAlignment="1" applyProtection="1">
      <alignment horizontal="left" vertical="center" indent="1"/>
    </xf>
    <xf numFmtId="0" fontId="28" fillId="5" borderId="12" xfId="0" applyFont="1" applyFill="1" applyBorder="1" applyAlignment="1" applyProtection="1">
      <alignment horizontal="left" vertical="center" wrapText="1" indent="1"/>
    </xf>
    <xf numFmtId="1" fontId="28" fillId="6" borderId="11" xfId="0" applyNumberFormat="1" applyFont="1" applyFill="1" applyBorder="1" applyAlignment="1" applyProtection="1">
      <alignment horizontal="left" vertical="center" indent="1"/>
    </xf>
    <xf numFmtId="1" fontId="28" fillId="3" borderId="1" xfId="0" applyNumberFormat="1" applyFont="1" applyFill="1" applyBorder="1" applyAlignment="1" applyProtection="1">
      <alignment horizontal="left" vertical="center" indent="1"/>
    </xf>
    <xf numFmtId="1" fontId="28" fillId="0" borderId="1" xfId="0" applyNumberFormat="1" applyFont="1" applyFill="1" applyBorder="1" applyAlignment="1" applyProtection="1">
      <alignment horizontal="left" vertical="center" indent="1"/>
    </xf>
    <xf numFmtId="4" fontId="28" fillId="0" borderId="1" xfId="0" applyNumberFormat="1" applyFont="1" applyFill="1" applyBorder="1" applyAlignment="1" applyProtection="1">
      <alignment horizontal="left" vertical="center" indent="1"/>
    </xf>
    <xf numFmtId="2" fontId="28" fillId="0" borderId="1" xfId="0" applyNumberFormat="1" applyFont="1" applyFill="1" applyBorder="1" applyAlignment="1" applyProtection="1">
      <alignment horizontal="left" vertical="center" indent="1"/>
    </xf>
    <xf numFmtId="4" fontId="28" fillId="3" borderId="1" xfId="0" applyNumberFormat="1" applyFont="1" applyFill="1" applyBorder="1" applyAlignment="1" applyProtection="1">
      <alignment horizontal="left" vertical="center" indent="1"/>
    </xf>
    <xf numFmtId="0" fontId="3" fillId="3" borderId="6" xfId="0" applyFont="1" applyFill="1" applyBorder="1" applyAlignment="1" applyProtection="1">
      <alignment horizontal="left" vertical="center" wrapText="1" indent="1"/>
    </xf>
    <xf numFmtId="0" fontId="30" fillId="5" borderId="10" xfId="0" applyFont="1" applyFill="1" applyBorder="1" applyAlignment="1" applyProtection="1">
      <alignment horizontal="left" vertical="center" indent="1"/>
    </xf>
    <xf numFmtId="0" fontId="31" fillId="3" borderId="6" xfId="0" applyFont="1" applyFill="1" applyBorder="1" applyAlignment="1" applyProtection="1">
      <alignment horizontal="left" vertical="center" wrapText="1" indent="1"/>
    </xf>
    <xf numFmtId="0" fontId="28" fillId="0" borderId="1" xfId="0" applyFont="1" applyFill="1" applyBorder="1" applyAlignment="1" applyProtection="1">
      <alignment horizontal="left" vertical="center" wrapText="1" indent="1"/>
      <protection locked="0"/>
    </xf>
    <xf numFmtId="0" fontId="28" fillId="3" borderId="1" xfId="0" applyFont="1" applyFill="1" applyBorder="1" applyAlignment="1" applyProtection="1">
      <alignment horizontal="left" vertical="center" wrapText="1" indent="1"/>
    </xf>
    <xf numFmtId="0" fontId="26" fillId="8" borderId="12" xfId="0" applyFont="1" applyFill="1" applyBorder="1" applyAlignment="1" applyProtection="1">
      <alignment horizontal="left" vertical="center" wrapText="1" indent="1"/>
    </xf>
    <xf numFmtId="164" fontId="26" fillId="8" borderId="11" xfId="0" applyNumberFormat="1" applyFont="1" applyFill="1" applyBorder="1" applyAlignment="1" applyProtection="1">
      <alignment horizontal="left" vertical="center" indent="1"/>
    </xf>
    <xf numFmtId="0" fontId="26" fillId="10" borderId="12" xfId="0" applyFont="1" applyFill="1" applyBorder="1" applyAlignment="1" applyProtection="1">
      <alignment horizontal="left" vertical="center" wrapText="1" indent="1"/>
    </xf>
    <xf numFmtId="164" fontId="26" fillId="10" borderId="11" xfId="0" applyNumberFormat="1" applyFont="1" applyFill="1" applyBorder="1" applyAlignment="1" applyProtection="1">
      <alignment horizontal="left" vertical="center" indent="1"/>
    </xf>
    <xf numFmtId="166" fontId="28" fillId="3" borderId="1" xfId="0" applyNumberFormat="1" applyFont="1" applyFill="1" applyBorder="1" applyAlignment="1" applyProtection="1">
      <alignment horizontal="left" vertical="center" indent="1"/>
      <protection locked="0"/>
    </xf>
    <xf numFmtId="0" fontId="26" fillId="9" borderId="12" xfId="0" applyFont="1" applyFill="1" applyBorder="1" applyAlignment="1" applyProtection="1">
      <alignment horizontal="left" vertical="center" wrapText="1" indent="1"/>
    </xf>
    <xf numFmtId="164" fontId="26" fillId="9" borderId="12" xfId="0" applyNumberFormat="1" applyFont="1" applyFill="1" applyBorder="1" applyAlignment="1" applyProtection="1">
      <alignment horizontal="left" vertical="center" indent="1"/>
    </xf>
    <xf numFmtId="164" fontId="26" fillId="8" borderId="12" xfId="0" applyNumberFormat="1" applyFont="1" applyFill="1" applyBorder="1" applyAlignment="1" applyProtection="1">
      <alignment horizontal="left" vertical="center" indent="1"/>
    </xf>
    <xf numFmtId="0" fontId="1" fillId="0" borderId="6" xfId="0" applyFont="1" applyBorder="1" applyAlignment="1" applyProtection="1">
      <alignment horizontal="left" vertical="center" wrapText="1" indent="1"/>
      <protection locked="0"/>
    </xf>
    <xf numFmtId="0" fontId="3" fillId="2" borderId="0" xfId="0" applyFont="1" applyFill="1" applyAlignment="1" applyProtection="1">
      <alignment horizontal="left" indent="1"/>
    </xf>
    <xf numFmtId="0" fontId="3" fillId="4" borderId="0" xfId="0" applyFont="1" applyFill="1" applyBorder="1" applyAlignment="1" applyProtection="1">
      <alignment horizontal="left" indent="1"/>
    </xf>
    <xf numFmtId="0" fontId="3" fillId="0" borderId="0" xfId="0" applyFont="1" applyFill="1" applyBorder="1" applyAlignment="1" applyProtection="1">
      <alignment horizontal="left" indent="1"/>
    </xf>
    <xf numFmtId="164" fontId="3" fillId="0" borderId="16" xfId="0" applyNumberFormat="1" applyFont="1" applyBorder="1" applyAlignment="1" applyProtection="1">
      <alignment horizontal="left" vertical="center" indent="1"/>
      <protection locked="0"/>
    </xf>
    <xf numFmtId="164" fontId="3" fillId="3" borderId="24" xfId="0" applyNumberFormat="1" applyFont="1" applyFill="1" applyBorder="1" applyAlignment="1" applyProtection="1">
      <alignment horizontal="left" vertical="center" indent="1"/>
    </xf>
    <xf numFmtId="164" fontId="3" fillId="3" borderId="16" xfId="0" applyNumberFormat="1" applyFont="1" applyFill="1" applyBorder="1" applyAlignment="1" applyProtection="1">
      <alignment horizontal="left" vertical="center" indent="1"/>
    </xf>
    <xf numFmtId="0" fontId="33" fillId="0" borderId="0" xfId="0" applyFont="1" applyFill="1" applyBorder="1" applyAlignment="1" applyProtection="1">
      <alignment horizontal="left" vertical="center" indent="1"/>
    </xf>
    <xf numFmtId="0" fontId="34" fillId="0" borderId="0" xfId="0" applyFont="1" applyFill="1" applyBorder="1" applyAlignment="1" applyProtection="1">
      <alignment horizontal="left" vertical="center" indent="1"/>
    </xf>
    <xf numFmtId="0" fontId="34" fillId="0" borderId="0" xfId="0" applyFont="1" applyFill="1" applyBorder="1" applyAlignment="1" applyProtection="1">
      <alignment vertical="center" wrapText="1"/>
    </xf>
    <xf numFmtId="0" fontId="34" fillId="0" borderId="0" xfId="0" applyFont="1" applyFill="1" applyBorder="1" applyAlignment="1" applyProtection="1">
      <alignment horizontal="left" vertical="center" wrapText="1"/>
    </xf>
    <xf numFmtId="164" fontId="26" fillId="3" borderId="1" xfId="0" applyNumberFormat="1" applyFont="1" applyFill="1" applyBorder="1" applyAlignment="1" applyProtection="1">
      <alignment horizontal="left" vertical="center" indent="1"/>
    </xf>
    <xf numFmtId="1" fontId="26" fillId="3" borderId="1" xfId="0" applyNumberFormat="1" applyFont="1" applyFill="1" applyBorder="1" applyAlignment="1" applyProtection="1">
      <alignment horizontal="left" vertical="center" indent="1"/>
    </xf>
    <xf numFmtId="0" fontId="33" fillId="0" borderId="0" xfId="0" applyFont="1" applyFill="1" applyBorder="1" applyAlignment="1" applyProtection="1">
      <alignment horizontal="left" vertical="center" indent="2"/>
    </xf>
    <xf numFmtId="0" fontId="0" fillId="12" borderId="0" xfId="0" applyFill="1"/>
    <xf numFmtId="0" fontId="0" fillId="12" borderId="0" xfId="0" applyFill="1" applyProtection="1"/>
    <xf numFmtId="0" fontId="15" fillId="12" borderId="0" xfId="0" applyFont="1" applyFill="1" applyAlignment="1" applyProtection="1">
      <alignment vertical="center"/>
    </xf>
    <xf numFmtId="0" fontId="34" fillId="12" borderId="0" xfId="0" applyFont="1" applyFill="1" applyAlignment="1" applyProtection="1">
      <alignment horizontal="left" vertical="center" wrapText="1"/>
    </xf>
    <xf numFmtId="0" fontId="3" fillId="3" borderId="0" xfId="0" applyFont="1" applyFill="1" applyBorder="1" applyProtection="1"/>
    <xf numFmtId="164" fontId="3" fillId="3" borderId="0" xfId="0" applyNumberFormat="1" applyFont="1" applyFill="1" applyBorder="1" applyProtection="1"/>
    <xf numFmtId="9" fontId="28" fillId="3" borderId="1" xfId="0" applyNumberFormat="1" applyFont="1" applyFill="1" applyBorder="1" applyAlignment="1" applyProtection="1">
      <alignment horizontal="left" vertical="center" indent="1"/>
    </xf>
    <xf numFmtId="0" fontId="3" fillId="3" borderId="0" xfId="0" applyFont="1" applyFill="1" applyBorder="1" applyAlignment="1" applyProtection="1">
      <alignment horizontal="left" indent="1"/>
    </xf>
    <xf numFmtId="0" fontId="1" fillId="3" borderId="6" xfId="0" applyFont="1" applyFill="1" applyBorder="1" applyAlignment="1" applyProtection="1">
      <alignment horizontal="left" vertical="center" wrapText="1" indent="1"/>
    </xf>
    <xf numFmtId="0" fontId="3" fillId="3" borderId="15" xfId="0" applyFont="1" applyFill="1" applyBorder="1" applyAlignment="1" applyProtection="1">
      <alignment horizontal="left" vertical="center" indent="1"/>
    </xf>
    <xf numFmtId="1" fontId="26" fillId="4" borderId="12" xfId="4" applyNumberFormat="1" applyFont="1" applyFill="1" applyBorder="1" applyAlignment="1" applyProtection="1">
      <alignment horizontal="left" vertical="center" wrapText="1" indent="1"/>
    </xf>
    <xf numFmtId="1" fontId="26" fillId="4" borderId="14" xfId="4" applyNumberFormat="1" applyFont="1" applyFill="1" applyBorder="1" applyAlignment="1" applyProtection="1">
      <alignment horizontal="left" vertical="center" wrapText="1" indent="1"/>
    </xf>
    <xf numFmtId="0" fontId="26" fillId="4" borderId="12" xfId="0" applyFont="1" applyFill="1" applyBorder="1" applyAlignment="1" applyProtection="1">
      <alignment horizontal="left" vertical="center" wrapText="1" indent="1"/>
    </xf>
    <xf numFmtId="0" fontId="26" fillId="4" borderId="14" xfId="0" applyFont="1" applyFill="1" applyBorder="1" applyAlignment="1" applyProtection="1">
      <alignment horizontal="left" vertical="center" wrapText="1" indent="1"/>
    </xf>
    <xf numFmtId="0" fontId="30" fillId="7" borderId="7" xfId="0" applyFont="1" applyFill="1" applyBorder="1" applyAlignment="1" applyProtection="1">
      <alignment horizontal="left" vertical="center" indent="1"/>
    </xf>
    <xf numFmtId="0" fontId="30" fillId="7" borderId="8" xfId="0" applyFont="1" applyFill="1" applyBorder="1" applyAlignment="1" applyProtection="1">
      <alignment horizontal="left" vertical="center" indent="1"/>
    </xf>
    <xf numFmtId="0" fontId="3" fillId="5" borderId="12" xfId="0" applyFont="1" applyFill="1" applyBorder="1" applyAlignment="1" applyProtection="1">
      <alignment horizontal="left" vertical="center" wrapText="1" indent="1"/>
    </xf>
    <xf numFmtId="0" fontId="3" fillId="5" borderId="13" xfId="0" applyFont="1" applyFill="1" applyBorder="1" applyAlignment="1" applyProtection="1">
      <alignment horizontal="left" vertical="center" wrapText="1" indent="1"/>
    </xf>
    <xf numFmtId="0" fontId="3" fillId="5" borderId="14" xfId="0" applyFont="1" applyFill="1" applyBorder="1" applyAlignment="1" applyProtection="1">
      <alignment horizontal="left" vertical="center" wrapText="1" indent="1"/>
    </xf>
    <xf numFmtId="164" fontId="28" fillId="6" borderId="12" xfId="0" applyNumberFormat="1" applyFont="1" applyFill="1" applyBorder="1" applyAlignment="1" applyProtection="1">
      <alignment horizontal="left" vertical="center" indent="1"/>
    </xf>
    <xf numFmtId="164" fontId="28" fillId="6" borderId="13" xfId="0" applyNumberFormat="1" applyFont="1" applyFill="1" applyBorder="1" applyAlignment="1" applyProtection="1">
      <alignment horizontal="left" vertical="center" indent="1"/>
    </xf>
    <xf numFmtId="164" fontId="28" fillId="6" borderId="14" xfId="0" applyNumberFormat="1" applyFont="1" applyFill="1" applyBorder="1" applyAlignment="1" applyProtection="1">
      <alignment horizontal="left" vertical="center" indent="1"/>
    </xf>
    <xf numFmtId="0" fontId="26" fillId="9" borderId="12" xfId="0" applyFont="1" applyFill="1" applyBorder="1" applyAlignment="1" applyProtection="1">
      <alignment horizontal="left" vertical="center" wrapText="1" indent="1"/>
    </xf>
    <xf numFmtId="0" fontId="26" fillId="9" borderId="13" xfId="0" applyFont="1" applyFill="1" applyBorder="1" applyAlignment="1" applyProtection="1">
      <alignment horizontal="left" vertical="center" wrapText="1" indent="1"/>
    </xf>
    <xf numFmtId="0" fontId="26" fillId="9" borderId="14" xfId="0" applyFont="1" applyFill="1" applyBorder="1" applyAlignment="1" applyProtection="1">
      <alignment horizontal="left" vertical="center" wrapText="1" indent="1"/>
    </xf>
    <xf numFmtId="164" fontId="26" fillId="9" borderId="12" xfId="0" applyNumberFormat="1" applyFont="1" applyFill="1" applyBorder="1" applyAlignment="1" applyProtection="1">
      <alignment horizontal="left" vertical="center" indent="1"/>
    </xf>
    <xf numFmtId="164" fontId="26" fillId="9" borderId="13" xfId="0" applyNumberFormat="1" applyFont="1" applyFill="1" applyBorder="1" applyAlignment="1" applyProtection="1">
      <alignment horizontal="left" vertical="center" indent="1"/>
    </xf>
    <xf numFmtId="164" fontId="26" fillId="9" borderId="14" xfId="0" applyNumberFormat="1" applyFont="1" applyFill="1" applyBorder="1" applyAlignment="1" applyProtection="1">
      <alignment horizontal="left" vertical="center" indent="1"/>
    </xf>
    <xf numFmtId="164" fontId="26" fillId="8" borderId="12" xfId="0" applyNumberFormat="1" applyFont="1" applyFill="1" applyBorder="1" applyAlignment="1" applyProtection="1">
      <alignment horizontal="left" vertical="center" wrapText="1" indent="1"/>
    </xf>
    <xf numFmtId="164" fontId="26" fillId="8" borderId="13" xfId="0" applyNumberFormat="1" applyFont="1" applyFill="1" applyBorder="1" applyAlignment="1" applyProtection="1">
      <alignment horizontal="left" vertical="center" wrapText="1" indent="1"/>
    </xf>
    <xf numFmtId="164" fontId="26" fillId="8" borderId="14" xfId="0" applyNumberFormat="1" applyFont="1" applyFill="1" applyBorder="1" applyAlignment="1" applyProtection="1">
      <alignment horizontal="left" vertical="center" wrapText="1" indent="1"/>
    </xf>
    <xf numFmtId="0" fontId="26" fillId="8" borderId="12" xfId="0" applyFont="1" applyFill="1" applyBorder="1" applyAlignment="1" applyProtection="1">
      <alignment horizontal="left" vertical="center" wrapText="1" indent="1"/>
    </xf>
    <xf numFmtId="0" fontId="26" fillId="8" borderId="13" xfId="0" applyFont="1" applyFill="1" applyBorder="1" applyAlignment="1" applyProtection="1">
      <alignment horizontal="left" vertical="center" wrapText="1" indent="1"/>
    </xf>
    <xf numFmtId="0" fontId="26" fillId="8" borderId="14" xfId="0" applyFont="1" applyFill="1" applyBorder="1" applyAlignment="1" applyProtection="1">
      <alignment horizontal="left" vertical="center" wrapText="1" indent="1"/>
    </xf>
    <xf numFmtId="0" fontId="26" fillId="4" borderId="13" xfId="0" applyFont="1" applyFill="1" applyBorder="1" applyAlignment="1" applyProtection="1">
      <alignment horizontal="left" vertical="center" wrapText="1" indent="1"/>
    </xf>
    <xf numFmtId="164" fontId="26" fillId="4" borderId="12" xfId="0" applyNumberFormat="1" applyFont="1" applyFill="1" applyBorder="1" applyAlignment="1" applyProtection="1">
      <alignment horizontal="left" vertical="center" wrapText="1" indent="1"/>
    </xf>
    <xf numFmtId="164" fontId="26" fillId="4" borderId="13" xfId="0" applyNumberFormat="1" applyFont="1" applyFill="1" applyBorder="1" applyAlignment="1" applyProtection="1">
      <alignment horizontal="left" vertical="center" wrapText="1" indent="1"/>
    </xf>
    <xf numFmtId="164" fontId="26" fillId="4" borderId="14" xfId="0" applyNumberFormat="1" applyFont="1" applyFill="1" applyBorder="1" applyAlignment="1" applyProtection="1">
      <alignment horizontal="left" vertical="center" wrapText="1" indent="1"/>
    </xf>
    <xf numFmtId="1" fontId="36" fillId="3" borderId="1" xfId="0" applyNumberFormat="1" applyFont="1" applyFill="1" applyBorder="1" applyAlignment="1" applyProtection="1">
      <alignment horizontal="center" vertical="center" wrapText="1"/>
    </xf>
    <xf numFmtId="1" fontId="37" fillId="10" borderId="1" xfId="0" applyNumberFormat="1" applyFont="1" applyFill="1" applyBorder="1" applyAlignment="1" applyProtection="1">
      <alignment horizontal="center" vertical="center" wrapText="1"/>
    </xf>
    <xf numFmtId="1" fontId="37" fillId="8" borderId="1" xfId="0" applyNumberFormat="1" applyFont="1" applyFill="1" applyBorder="1" applyAlignment="1" applyProtection="1">
      <alignment horizontal="center" vertical="center" wrapText="1"/>
    </xf>
    <xf numFmtId="0" fontId="3" fillId="0" borderId="18" xfId="0" applyFont="1" applyBorder="1" applyAlignment="1" applyProtection="1">
      <alignment horizontal="left" vertical="center" wrapText="1" indent="1"/>
      <protection locked="0"/>
    </xf>
    <xf numFmtId="0" fontId="3" fillId="0" borderId="19" xfId="0" applyFont="1" applyBorder="1" applyAlignment="1" applyProtection="1">
      <alignment horizontal="left" vertical="center" wrapText="1" indent="1"/>
      <protection locked="0"/>
    </xf>
    <xf numFmtId="0" fontId="3" fillId="0" borderId="20" xfId="0" applyFont="1" applyBorder="1" applyAlignment="1" applyProtection="1">
      <alignment horizontal="left" vertical="center" wrapText="1" indent="1"/>
      <protection locked="0"/>
    </xf>
    <xf numFmtId="0" fontId="30" fillId="0" borderId="21" xfId="0" applyFont="1" applyFill="1" applyBorder="1" applyAlignment="1" applyProtection="1">
      <alignment horizontal="right" vertical="center" indent="1"/>
    </xf>
    <xf numFmtId="0" fontId="30" fillId="0" borderId="22" xfId="0" applyFont="1" applyFill="1" applyBorder="1" applyAlignment="1" applyProtection="1">
      <alignment horizontal="right" vertical="center" indent="1"/>
    </xf>
    <xf numFmtId="0" fontId="33" fillId="0" borderId="23" xfId="0" applyFont="1" applyFill="1" applyBorder="1" applyAlignment="1" applyProtection="1">
      <alignment horizontal="left" vertical="center" wrapText="1"/>
    </xf>
    <xf numFmtId="164" fontId="35" fillId="0" borderId="1" xfId="0" applyNumberFormat="1" applyFont="1" applyFill="1" applyBorder="1" applyAlignment="1" applyProtection="1">
      <alignment horizontal="center" vertical="center" wrapText="1"/>
    </xf>
    <xf numFmtId="0" fontId="33" fillId="0" borderId="0" xfId="0" applyFont="1" applyFill="1" applyBorder="1" applyAlignment="1" applyProtection="1">
      <alignment horizontal="left" vertical="center" wrapText="1" indent="1"/>
    </xf>
    <xf numFmtId="0" fontId="32" fillId="0" borderId="0" xfId="0" applyFont="1" applyFill="1" applyBorder="1" applyAlignment="1" applyProtection="1">
      <alignment horizontal="left" vertical="center" wrapText="1" indent="1"/>
    </xf>
    <xf numFmtId="164" fontId="38" fillId="9" borderId="1" xfId="3" applyNumberFormat="1" applyFont="1" applyFill="1" applyBorder="1" applyAlignment="1" applyProtection="1">
      <alignment horizontal="center" vertical="center" wrapText="1"/>
    </xf>
    <xf numFmtId="164" fontId="38" fillId="8" borderId="1" xfId="0" applyNumberFormat="1" applyFont="1" applyFill="1" applyBorder="1" applyAlignment="1" applyProtection="1">
      <alignment horizontal="center" vertical="center" wrapText="1"/>
    </xf>
    <xf numFmtId="1" fontId="38" fillId="11" borderId="1" xfId="0" applyNumberFormat="1" applyFont="1" applyFill="1" applyBorder="1" applyAlignment="1" applyProtection="1">
      <alignment horizontal="center" vertical="center" wrapText="1"/>
    </xf>
    <xf numFmtId="164" fontId="38" fillId="10" borderId="1" xfId="0" applyNumberFormat="1" applyFont="1" applyFill="1" applyBorder="1" applyAlignment="1" applyProtection="1">
      <alignment horizontal="center" vertical="center" wrapText="1"/>
    </xf>
    <xf numFmtId="0" fontId="0" fillId="2" borderId="0" xfId="0" applyFill="1" applyProtection="1"/>
    <xf numFmtId="0" fontId="10" fillId="0" borderId="0" xfId="0" applyFont="1" applyAlignment="1" applyProtection="1">
      <alignment horizontal="left" vertical="center" wrapText="1"/>
    </xf>
    <xf numFmtId="0" fontId="5" fillId="0" borderId="0" xfId="0" applyFont="1" applyAlignment="1" applyProtection="1">
      <alignment horizontal="left" vertical="center" wrapText="1"/>
    </xf>
    <xf numFmtId="0" fontId="23" fillId="0" borderId="0" xfId="0" applyFont="1" applyAlignment="1" applyProtection="1">
      <alignment horizontal="left" vertical="center" wrapText="1"/>
    </xf>
    <xf numFmtId="0" fontId="2" fillId="0" borderId="2" xfId="0" applyFont="1" applyBorder="1" applyAlignment="1" applyProtection="1">
      <alignment horizontal="left" vertical="center" wrapText="1" indent="1"/>
    </xf>
    <xf numFmtId="0" fontId="5" fillId="0" borderId="3" xfId="0" applyFont="1" applyBorder="1" applyAlignment="1" applyProtection="1">
      <alignment horizontal="left" vertical="center" wrapText="1" indent="1"/>
    </xf>
    <xf numFmtId="0" fontId="5" fillId="0" borderId="4" xfId="0" applyFont="1" applyBorder="1" applyAlignment="1" applyProtection="1">
      <alignment horizontal="left" vertical="center" wrapText="1" indent="1"/>
    </xf>
    <xf numFmtId="0" fontId="6" fillId="0" borderId="0" xfId="0" applyFont="1" applyAlignment="1" applyProtection="1">
      <alignment horizontal="left" vertical="center" wrapText="1" indent="1"/>
    </xf>
    <xf numFmtId="0" fontId="14" fillId="0" borderId="0" xfId="0" applyFont="1" applyAlignment="1" applyProtection="1">
      <alignment horizontal="left" vertical="center" wrapText="1" indent="1"/>
    </xf>
  </cellXfs>
  <cellStyles count="5">
    <cellStyle name="Hiperlink" xfId="1" builtinId="8"/>
    <cellStyle name="Hiperlink Visitado" xfId="2" builtinId="9" hidden="1"/>
    <cellStyle name="Normal" xfId="0" builtinId="0"/>
    <cellStyle name="Porcentagem" xfId="3" builtinId="5"/>
    <cellStyle name="Vírgula" xfId="4" builtinId="3"/>
  </cellStyles>
  <dxfs count="21"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462E"/>
        </patternFill>
      </fill>
    </dxf>
    <dxf>
      <fill>
        <patternFill patternType="none">
          <bgColor auto="1"/>
        </patternFill>
      </fill>
      <border>
        <left/>
        <right/>
        <bottom/>
        <vertical/>
        <horizontal/>
      </border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559300"/>
        </patternFill>
      </fill>
    </dxf>
    <dxf>
      <fill>
        <patternFill patternType="none">
          <bgColor auto="1"/>
        </patternFill>
      </fill>
      <border>
        <left/>
        <right/>
        <bottom/>
        <vertical/>
        <horizontal/>
      </border>
    </dxf>
    <dxf>
      <fill>
        <patternFill patternType="none">
          <bgColor auto="1"/>
        </patternFill>
      </fill>
      <border>
        <left/>
        <right/>
        <bottom/>
        <vertical/>
        <horizontal/>
      </border>
    </dxf>
    <dxf>
      <fill>
        <patternFill patternType="none">
          <bgColor auto="1"/>
        </patternFill>
      </fill>
      <border>
        <left/>
        <right/>
        <bottom/>
        <vertical/>
        <horizontal/>
      </border>
    </dxf>
    <dxf>
      <fill>
        <patternFill patternType="none">
          <bgColor auto="1"/>
        </patternFill>
      </fill>
      <border>
        <left/>
        <right/>
        <bottom/>
        <vertical/>
        <horizontal/>
      </border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FFC000"/>
        </patternFill>
      </fill>
    </dxf>
    <dxf>
      <font>
        <color rgb="FF999999"/>
      </font>
      <fill>
        <patternFill>
          <bgColor theme="0" tint="-4.9989318521683403E-2"/>
        </patternFill>
      </fill>
    </dxf>
    <dxf>
      <font>
        <color theme="0"/>
      </font>
      <fill>
        <patternFill>
          <bgColor rgb="FFF0462E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55B03E"/>
        </patternFill>
      </fill>
    </dxf>
    <dxf>
      <font>
        <color theme="0"/>
      </font>
      <fill>
        <patternFill>
          <bgColor rgb="FFF0462E"/>
        </patternFill>
      </fill>
    </dxf>
  </dxfs>
  <tableStyles count="0" defaultTableStyle="TableStyleMedium9" defaultPivotStyle="PivotStyleMedium7"/>
  <colors>
    <mruColors>
      <color rgb="FFF0462E"/>
      <color rgb="FF55B03E"/>
      <color rgb="FFFF9300"/>
      <color rgb="FF6699CC"/>
      <color rgb="FF559300"/>
      <color rgb="FF0562C1"/>
      <color rgb="FFE71919"/>
      <color rgb="FF566DCE"/>
      <color rgb="FF9ED890"/>
      <color rgb="FFF582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DASHBOARD_GERAL!$F$19</c:f>
              <c:strCache>
                <c:ptCount val="1"/>
                <c:pt idx="0">
                  <c:v>Produto 5</c:v>
                </c:pt>
              </c:strCache>
            </c:strRef>
          </c:tx>
          <c:spPr>
            <a:solidFill>
              <a:srgbClr val="55B03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DASHBOARD_GERAL!$G$18</c:f>
              <c:strCache>
                <c:ptCount val="1"/>
                <c:pt idx="0">
                  <c:v>Valor</c:v>
                </c:pt>
              </c:strCache>
            </c:strRef>
          </c:cat>
          <c:val>
            <c:numRef>
              <c:f>DASHBOARD_GERAL!$G$19</c:f>
              <c:numCache>
                <c:formatCode>#,##0</c:formatCode>
                <c:ptCount val="1"/>
                <c:pt idx="0">
                  <c:v>13500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A-4F5E-99ED-8FF7F1336A05}"/>
            </c:ext>
          </c:extLst>
        </c:ser>
        <c:ser>
          <c:idx val="1"/>
          <c:order val="1"/>
          <c:tx>
            <c:strRef>
              <c:f>DASHBOARD_GERAL!$F$20</c:f>
              <c:strCache>
                <c:ptCount val="1"/>
                <c:pt idx="0">
                  <c:v>Produto 2</c:v>
                </c:pt>
              </c:strCache>
            </c:strRef>
          </c:tx>
          <c:spPr>
            <a:solidFill>
              <a:srgbClr val="6699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DASHBOARD_GERAL!$G$18</c:f>
              <c:strCache>
                <c:ptCount val="1"/>
                <c:pt idx="0">
                  <c:v>Valor</c:v>
                </c:pt>
              </c:strCache>
            </c:strRef>
          </c:cat>
          <c:val>
            <c:numRef>
              <c:f>DASHBOARD_GERAL!$G$20</c:f>
              <c:numCache>
                <c:formatCode>#,##0</c:formatCode>
                <c:ptCount val="1"/>
                <c:pt idx="0">
                  <c:v>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1A-4F5E-99ED-8FF7F1336A05}"/>
            </c:ext>
          </c:extLst>
        </c:ser>
        <c:ser>
          <c:idx val="6"/>
          <c:order val="2"/>
          <c:tx>
            <c:strRef>
              <c:f>DASHBOARD_GERAL!$F$21</c:f>
              <c:strCache>
                <c:ptCount val="1"/>
                <c:pt idx="0">
                  <c:v>Produto 4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DASHBOARD_GERAL!$G$18</c:f>
              <c:strCache>
                <c:ptCount val="1"/>
                <c:pt idx="0">
                  <c:v>Valor</c:v>
                </c:pt>
              </c:strCache>
            </c:strRef>
          </c:cat>
          <c:val>
            <c:numRef>
              <c:f>DASHBOARD_GERAL!$G$21</c:f>
              <c:numCache>
                <c:formatCode>#,##0</c:formatCode>
                <c:ptCount val="1"/>
                <c:pt idx="0">
                  <c:v>3200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1A-4F5E-99ED-8FF7F1336A05}"/>
            </c:ext>
          </c:extLst>
        </c:ser>
        <c:ser>
          <c:idx val="8"/>
          <c:order val="3"/>
          <c:tx>
            <c:strRef>
              <c:f>DASHBOARD_GERAL!$F$22</c:f>
              <c:strCache>
                <c:ptCount val="1"/>
                <c:pt idx="0">
                  <c:v>Produto 3</c:v>
                </c:pt>
              </c:strCache>
            </c:strRef>
          </c:tx>
          <c:spPr>
            <a:solidFill>
              <a:srgbClr val="FF93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DASHBOARD_GERAL!$G$18</c:f>
              <c:strCache>
                <c:ptCount val="1"/>
                <c:pt idx="0">
                  <c:v>Valor</c:v>
                </c:pt>
              </c:strCache>
            </c:strRef>
          </c:cat>
          <c:val>
            <c:numRef>
              <c:f>DASHBOARD_GERAL!$G$22</c:f>
              <c:numCache>
                <c:formatCode>#,##0</c:formatCode>
                <c:ptCount val="1"/>
                <c:pt idx="0">
                  <c:v>2100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1A-4F5E-99ED-8FF7F1336A05}"/>
            </c:ext>
          </c:extLst>
        </c:ser>
        <c:ser>
          <c:idx val="9"/>
          <c:order val="4"/>
          <c:tx>
            <c:strRef>
              <c:f>DASHBOARD_GERAL!$F$23</c:f>
              <c:strCache>
                <c:ptCount val="1"/>
                <c:pt idx="0">
                  <c:v>Produto 1</c:v>
                </c:pt>
              </c:strCache>
            </c:strRef>
          </c:tx>
          <c:spPr>
            <a:solidFill>
              <a:srgbClr val="F0462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DASHBOARD_GERAL!$G$18</c:f>
              <c:strCache>
                <c:ptCount val="1"/>
                <c:pt idx="0">
                  <c:v>Valor</c:v>
                </c:pt>
              </c:strCache>
            </c:strRef>
          </c:cat>
          <c:val>
            <c:numRef>
              <c:f>DASHBOARD_GERAL!$G$23</c:f>
              <c:numCache>
                <c:formatCode>#,##0</c:formatCode>
                <c:ptCount val="1"/>
                <c:pt idx="0">
                  <c:v>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1A-4F5E-99ED-8FF7F1336A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10"/>
        <c:axId val="88359296"/>
        <c:axId val="88360832"/>
      </c:barChart>
      <c:catAx>
        <c:axId val="88359296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88360832"/>
        <c:crosses val="autoZero"/>
        <c:auto val="1"/>
        <c:lblAlgn val="ctr"/>
        <c:lblOffset val="100"/>
        <c:noMultiLvlLbl val="0"/>
      </c:catAx>
      <c:valAx>
        <c:axId val="88360832"/>
        <c:scaling>
          <c:orientation val="minMax"/>
        </c:scaling>
        <c:delete val="1"/>
        <c:axPos val="l"/>
        <c:numFmt formatCode="#,##0" sourceLinked="1"/>
        <c:majorTickMark val="out"/>
        <c:minorTickMark val="none"/>
        <c:tickLblPos val="nextTo"/>
        <c:crossAx val="88359296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legend>
      <c:legendPos val="b"/>
      <c:overlay val="0"/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DASHBOARD_GERAL!$K$19</c:f>
              <c:strCache>
                <c:ptCount val="1"/>
                <c:pt idx="0">
                  <c:v>Produto 5</c:v>
                </c:pt>
              </c:strCache>
            </c:strRef>
          </c:tx>
          <c:spPr>
            <a:solidFill>
              <a:srgbClr val="55B03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DASHBOARD_GERAL!$L$19</c:f>
              <c:numCache>
                <c:formatCode>General</c:formatCode>
                <c:ptCount val="1"/>
                <c:pt idx="0">
                  <c:v>34.9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8B-42F7-9790-8AD6B7C83578}"/>
            </c:ext>
          </c:extLst>
        </c:ser>
        <c:ser>
          <c:idx val="1"/>
          <c:order val="1"/>
          <c:tx>
            <c:strRef>
              <c:f>DASHBOARD_GERAL!$K$20</c:f>
              <c:strCache>
                <c:ptCount val="1"/>
                <c:pt idx="0">
                  <c:v>Produto 4</c:v>
                </c:pt>
              </c:strCache>
            </c:strRef>
          </c:tx>
          <c:spPr>
            <a:solidFill>
              <a:srgbClr val="6699CC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DASHBOARD_GERAL!$L$20</c:f>
              <c:numCache>
                <c:formatCode>General</c:formatCode>
                <c:ptCount val="1"/>
                <c:pt idx="0">
                  <c:v>34.4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E8B-42F7-9790-8AD6B7C83578}"/>
            </c:ext>
          </c:extLst>
        </c:ser>
        <c:ser>
          <c:idx val="6"/>
          <c:order val="2"/>
          <c:tx>
            <c:strRef>
              <c:f>DASHBOARD_GERAL!$K$21</c:f>
              <c:strCache>
                <c:ptCount val="1"/>
                <c:pt idx="0">
                  <c:v>Produto 3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DASHBOARD_GERAL!$L$21</c:f>
              <c:numCache>
                <c:formatCode>General</c:formatCode>
                <c:ptCount val="1"/>
                <c:pt idx="0">
                  <c:v>33.5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E8B-42F7-9790-8AD6B7C83578}"/>
            </c:ext>
          </c:extLst>
        </c:ser>
        <c:ser>
          <c:idx val="8"/>
          <c:order val="3"/>
          <c:tx>
            <c:strRef>
              <c:f>DASHBOARD_GERAL!$K$22</c:f>
              <c:strCache>
                <c:ptCount val="1"/>
                <c:pt idx="0">
                  <c:v>Produto 2</c:v>
                </c:pt>
              </c:strCache>
            </c:strRef>
          </c:tx>
          <c:spPr>
            <a:solidFill>
              <a:srgbClr val="FF93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DASHBOARD_GERAL!$L$22</c:f>
              <c:numCache>
                <c:formatCode>General</c:formatCode>
                <c:ptCount val="1"/>
                <c:pt idx="0">
                  <c:v>32.200000000000003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8B-42F7-9790-8AD6B7C83578}"/>
            </c:ext>
          </c:extLst>
        </c:ser>
        <c:ser>
          <c:idx val="9"/>
          <c:order val="4"/>
          <c:tx>
            <c:strRef>
              <c:f>DASHBOARD_GERAL!$K$23</c:f>
              <c:strCache>
                <c:ptCount val="1"/>
                <c:pt idx="0">
                  <c:v>Produto 1</c:v>
                </c:pt>
              </c:strCache>
            </c:strRef>
          </c:tx>
          <c:spPr>
            <a:solidFill>
              <a:srgbClr val="F0462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DASHBOARD_GERAL!$L$23</c:f>
              <c:numCache>
                <c:formatCode>General</c:formatCode>
                <c:ptCount val="1"/>
                <c:pt idx="0">
                  <c:v>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E8B-42F7-9790-8AD6B7C835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10"/>
        <c:axId val="88871680"/>
        <c:axId val="88873216"/>
      </c:barChart>
      <c:catAx>
        <c:axId val="88871680"/>
        <c:scaling>
          <c:orientation val="minMax"/>
        </c:scaling>
        <c:delete val="1"/>
        <c:axPos val="b"/>
        <c:majorTickMark val="out"/>
        <c:minorTickMark val="none"/>
        <c:tickLblPos val="nextTo"/>
        <c:crossAx val="88873216"/>
        <c:crosses val="autoZero"/>
        <c:auto val="1"/>
        <c:lblAlgn val="ctr"/>
        <c:lblOffset val="100"/>
        <c:noMultiLvlLbl val="0"/>
      </c:catAx>
      <c:valAx>
        <c:axId val="8887321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88871680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legend>
      <c:legendPos val="b"/>
      <c:overlay val="0"/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DASHBOARD_GERAL!$P$19</c:f>
              <c:strCache>
                <c:ptCount val="1"/>
                <c:pt idx="0">
                  <c:v>Custo 1</c:v>
                </c:pt>
              </c:strCache>
            </c:strRef>
          </c:tx>
          <c:spPr>
            <a:solidFill>
              <a:srgbClr val="F0462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DASHBOARD_GERAL!$Q$18</c:f>
              <c:strCache>
                <c:ptCount val="1"/>
                <c:pt idx="0">
                  <c:v>Valor</c:v>
                </c:pt>
              </c:strCache>
            </c:strRef>
          </c:cat>
          <c:val>
            <c:numRef>
              <c:f>DASHBOARD_GERAL!$Q$19</c:f>
              <c:numCache>
                <c:formatCode>0</c:formatCode>
                <c:ptCount val="1"/>
                <c:pt idx="0">
                  <c:v>10000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03-46AB-817C-22931078FB05}"/>
            </c:ext>
          </c:extLst>
        </c:ser>
        <c:ser>
          <c:idx val="1"/>
          <c:order val="1"/>
          <c:tx>
            <c:strRef>
              <c:f>DASHBOARD_GERAL!$P$20</c:f>
              <c:strCache>
                <c:ptCount val="1"/>
                <c:pt idx="0">
                  <c:v>Custo 5</c:v>
                </c:pt>
              </c:strCache>
            </c:strRef>
          </c:tx>
          <c:spPr>
            <a:solidFill>
              <a:srgbClr val="FF93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DASHBOARD_GERAL!$Q$18</c:f>
              <c:strCache>
                <c:ptCount val="1"/>
                <c:pt idx="0">
                  <c:v>Valor</c:v>
                </c:pt>
              </c:strCache>
            </c:strRef>
          </c:cat>
          <c:val>
            <c:numRef>
              <c:f>DASHBOARD_GERAL!$Q$20</c:f>
              <c:numCache>
                <c:formatCode>0</c:formatCode>
                <c:ptCount val="1"/>
                <c:pt idx="0">
                  <c:v>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03-46AB-817C-22931078FB05}"/>
            </c:ext>
          </c:extLst>
        </c:ser>
        <c:ser>
          <c:idx val="6"/>
          <c:order val="2"/>
          <c:tx>
            <c:strRef>
              <c:f>DASHBOARD_GERAL!$P$21</c:f>
              <c:strCache>
                <c:ptCount val="1"/>
                <c:pt idx="0">
                  <c:v>Custo 4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DASHBOARD_GERAL!$Q$18</c:f>
              <c:strCache>
                <c:ptCount val="1"/>
                <c:pt idx="0">
                  <c:v>Valor</c:v>
                </c:pt>
              </c:strCache>
            </c:strRef>
          </c:cat>
          <c:val>
            <c:numRef>
              <c:f>DASHBOARD_GERAL!$Q$21</c:f>
              <c:numCache>
                <c:formatCode>0</c:formatCode>
                <c:ptCount val="1"/>
                <c:pt idx="0">
                  <c:v>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03-46AB-817C-22931078FB05}"/>
            </c:ext>
          </c:extLst>
        </c:ser>
        <c:ser>
          <c:idx val="8"/>
          <c:order val="3"/>
          <c:tx>
            <c:strRef>
              <c:f>DASHBOARD_GERAL!$P$22</c:f>
              <c:strCache>
                <c:ptCount val="1"/>
                <c:pt idx="0">
                  <c:v>Custo 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DASHBOARD_GERAL!$Q$18</c:f>
              <c:strCache>
                <c:ptCount val="1"/>
                <c:pt idx="0">
                  <c:v>Valor</c:v>
                </c:pt>
              </c:strCache>
            </c:strRef>
          </c:cat>
          <c:val>
            <c:numRef>
              <c:f>DASHBOARD_GERAL!$Q$22</c:f>
              <c:numCache>
                <c:formatCode>0</c:formatCode>
                <c:ptCount val="1"/>
                <c:pt idx="0">
                  <c:v>700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03-46AB-817C-22931078FB05}"/>
            </c:ext>
          </c:extLst>
        </c:ser>
        <c:ser>
          <c:idx val="9"/>
          <c:order val="4"/>
          <c:tx>
            <c:strRef>
              <c:f>DASHBOARD_GERAL!$P$23</c:f>
              <c:strCache>
                <c:ptCount val="1"/>
                <c:pt idx="0">
                  <c:v>Custo 2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DASHBOARD_GERAL!$Q$18</c:f>
              <c:strCache>
                <c:ptCount val="1"/>
                <c:pt idx="0">
                  <c:v>Valor</c:v>
                </c:pt>
              </c:strCache>
            </c:strRef>
          </c:cat>
          <c:val>
            <c:numRef>
              <c:f>DASHBOARD_GERAL!$Q$23</c:f>
              <c:numCache>
                <c:formatCode>0</c:formatCode>
                <c:ptCount val="1"/>
                <c:pt idx="0">
                  <c:v>600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03-46AB-817C-22931078FB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10"/>
        <c:axId val="88913024"/>
        <c:axId val="88914560"/>
      </c:barChart>
      <c:catAx>
        <c:axId val="88913024"/>
        <c:scaling>
          <c:orientation val="minMax"/>
        </c:scaling>
        <c:delete val="1"/>
        <c:axPos val="b"/>
        <c:numFmt formatCode="General" sourceLinked="0"/>
        <c:majorTickMark val="out"/>
        <c:minorTickMark val="none"/>
        <c:tickLblPos val="nextTo"/>
        <c:crossAx val="88914560"/>
        <c:crosses val="autoZero"/>
        <c:auto val="1"/>
        <c:lblAlgn val="ctr"/>
        <c:lblOffset val="100"/>
        <c:noMultiLvlLbl val="0"/>
      </c:catAx>
      <c:valAx>
        <c:axId val="88914560"/>
        <c:scaling>
          <c:orientation val="minMax"/>
        </c:scaling>
        <c:delete val="1"/>
        <c:axPos val="l"/>
        <c:numFmt formatCode="0" sourceLinked="1"/>
        <c:majorTickMark val="out"/>
        <c:minorTickMark val="none"/>
        <c:tickLblPos val="nextTo"/>
        <c:crossAx val="88913024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legend>
      <c:legendPos val="b"/>
      <c:overlay val="0"/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DASHBOARD_PROD!$C$26</c:f>
              <c:strCache>
                <c:ptCount val="1"/>
                <c:pt idx="0">
                  <c:v>Produto 1</c:v>
                </c:pt>
              </c:strCache>
            </c:strRef>
          </c:tx>
          <c:spPr>
            <a:solidFill>
              <a:schemeClr val="tx1">
                <a:lumMod val="50000"/>
                <a:lumOff val="50000"/>
              </a:schemeClr>
            </a:solidFill>
          </c:spPr>
          <c:invertIfNegative val="0"/>
          <c:dPt>
            <c:idx val="0"/>
            <c:invertIfNegative val="0"/>
            <c:bubble3D val="0"/>
            <c:spPr>
              <a:solidFill>
                <a:srgbClr val="55B03E"/>
              </a:solidFill>
            </c:spPr>
            <c:extLst>
              <c:ext xmlns:c16="http://schemas.microsoft.com/office/drawing/2014/chart" uri="{C3380CC4-5D6E-409C-BE32-E72D297353CC}">
                <c16:uniqueId val="{00000003-76E2-4933-AF61-F7110E849A5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DASHBOARD_PROD!$D$25</c:f>
              <c:strCache>
                <c:ptCount val="1"/>
                <c:pt idx="0">
                  <c:v>Preços</c:v>
                </c:pt>
              </c:strCache>
            </c:strRef>
          </c:cat>
          <c:val>
            <c:numRef>
              <c:f>DASHBOARD_PROD!$D$26</c:f>
              <c:numCache>
                <c:formatCode>"R$"\ #,##0.00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E2-4933-AF61-F7110E849A51}"/>
            </c:ext>
          </c:extLst>
        </c:ser>
        <c:ser>
          <c:idx val="1"/>
          <c:order val="1"/>
          <c:tx>
            <c:strRef>
              <c:f>DASHBOARD_PROD!$C$27</c:f>
              <c:strCache>
                <c:ptCount val="1"/>
                <c:pt idx="0">
                  <c:v>Média dos Produtos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DASHBOARD_PROD!$D$25</c:f>
              <c:strCache>
                <c:ptCount val="1"/>
                <c:pt idx="0">
                  <c:v>Preços</c:v>
                </c:pt>
              </c:strCache>
            </c:strRef>
          </c:cat>
          <c:val>
            <c:numRef>
              <c:f>DASHBOARD_PROD!$D$27</c:f>
              <c:numCache>
                <c:formatCode>"R$"\ #,##0.00</c:formatCode>
                <c:ptCount val="1"/>
                <c:pt idx="0">
                  <c:v>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6E2-4933-AF61-F7110E849A51}"/>
            </c:ext>
          </c:extLst>
        </c:ser>
        <c:ser>
          <c:idx val="2"/>
          <c:order val="2"/>
          <c:tx>
            <c:strRef>
              <c:f>DASHBOARD_PROD!$C$28</c:f>
              <c:strCache>
                <c:ptCount val="1"/>
                <c:pt idx="0">
                  <c:v>Media dos Concorrentes</c:v>
                </c:pt>
              </c:strCache>
            </c:strRef>
          </c:tx>
          <c:spPr>
            <a:solidFill>
              <a:srgbClr val="F0462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/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DASHBOARD_PROD!$D$25</c:f>
              <c:strCache>
                <c:ptCount val="1"/>
                <c:pt idx="0">
                  <c:v>Preços</c:v>
                </c:pt>
              </c:strCache>
            </c:strRef>
          </c:cat>
          <c:val>
            <c:numRef>
              <c:f>DASHBOARD_PROD!$D$28</c:f>
              <c:numCache>
                <c:formatCode>"R$"\ #,##0.00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6E2-4933-AF61-F7110E849A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10"/>
        <c:axId val="138957952"/>
        <c:axId val="138959488"/>
      </c:barChart>
      <c:catAx>
        <c:axId val="13895795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8959488"/>
        <c:crosses val="autoZero"/>
        <c:auto val="1"/>
        <c:lblAlgn val="ctr"/>
        <c:lblOffset val="100"/>
        <c:noMultiLvlLbl val="0"/>
      </c:catAx>
      <c:valAx>
        <c:axId val="138959488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38957952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legend>
      <c:legendPos val="b"/>
      <c:overlay val="0"/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DASHBOARD_PROD!$I$26</c:f>
              <c:strCache>
                <c:ptCount val="1"/>
                <c:pt idx="0">
                  <c:v>Produto 1</c:v>
                </c:pt>
              </c:strCache>
            </c:strRef>
          </c:tx>
          <c:spPr>
            <a:solidFill>
              <a:srgbClr val="55B03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DASHBOARD_PROD!$J$25</c:f>
              <c:strCache>
                <c:ptCount val="1"/>
                <c:pt idx="0">
                  <c:v>Preços</c:v>
                </c:pt>
              </c:strCache>
            </c:strRef>
          </c:cat>
          <c:val>
            <c:numRef>
              <c:f>DASHBOARD_PROD!$J$26</c:f>
              <c:numCache>
                <c:formatCode>"R$"\ #,##0.00</c:formatCode>
                <c:ptCount val="1"/>
                <c:pt idx="0">
                  <c:v>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1A-450D-946C-6C98A8B4B28A}"/>
            </c:ext>
          </c:extLst>
        </c:ser>
        <c:ser>
          <c:idx val="1"/>
          <c:order val="1"/>
          <c:tx>
            <c:strRef>
              <c:f>DASHBOARD_PROD!$I$27</c:f>
              <c:strCache>
                <c:ptCount val="1"/>
                <c:pt idx="0">
                  <c:v>Custo Direto</c:v>
                </c:pt>
              </c:strCache>
            </c:strRef>
          </c:tx>
          <c:spPr>
            <a:solidFill>
              <a:srgbClr val="F0462E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DASHBOARD_PROD!$J$25</c:f>
              <c:strCache>
                <c:ptCount val="1"/>
                <c:pt idx="0">
                  <c:v>Preços</c:v>
                </c:pt>
              </c:strCache>
            </c:strRef>
          </c:cat>
          <c:val>
            <c:numRef>
              <c:f>DASHBOARD_PROD!$J$27</c:f>
              <c:numCache>
                <c:formatCode>"R$"\ #,##0.00</c:formatCode>
                <c:ptCount val="1"/>
                <c:pt idx="0">
                  <c:v>19.5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1A-450D-946C-6C98A8B4B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10"/>
        <c:axId val="174327680"/>
        <c:axId val="174329216"/>
      </c:barChart>
      <c:catAx>
        <c:axId val="17432768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4329216"/>
        <c:crosses val="autoZero"/>
        <c:auto val="1"/>
        <c:lblAlgn val="ctr"/>
        <c:lblOffset val="100"/>
        <c:noMultiLvlLbl val="0"/>
      </c:catAx>
      <c:valAx>
        <c:axId val="174329216"/>
        <c:scaling>
          <c:orientation val="minMax"/>
        </c:scaling>
        <c:delete val="1"/>
        <c:axPos val="l"/>
        <c:numFmt formatCode="&quot;R$&quot;\ #,##0.00" sourceLinked="1"/>
        <c:majorTickMark val="out"/>
        <c:minorTickMark val="none"/>
        <c:tickLblPos val="nextTo"/>
        <c:crossAx val="174327680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legend>
      <c:legendPos val="b"/>
      <c:overlay val="0"/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DASHBOARD_PROD!$O$26</c:f>
              <c:strCache>
                <c:ptCount val="1"/>
                <c:pt idx="0">
                  <c:v>Produto 1</c:v>
                </c:pt>
              </c:strCache>
            </c:strRef>
          </c:tx>
          <c:spPr>
            <a:solidFill>
              <a:srgbClr val="FFC000"/>
            </a:solidFill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DASHBOARD_PROD!$P$25</c:f>
              <c:strCache>
                <c:ptCount val="1"/>
                <c:pt idx="0">
                  <c:v>Valor</c:v>
                </c:pt>
              </c:strCache>
            </c:strRef>
          </c:cat>
          <c:val>
            <c:numRef>
              <c:f>DASHBOARD_PROD!$P$26</c:f>
              <c:numCache>
                <c:formatCode>General</c:formatCode>
                <c:ptCount val="1"/>
                <c:pt idx="0">
                  <c:v>30.5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A3-4F77-81F5-62CB7FD86131}"/>
            </c:ext>
          </c:extLst>
        </c:ser>
        <c:ser>
          <c:idx val="1"/>
          <c:order val="1"/>
          <c:tx>
            <c:strRef>
              <c:f>DASHBOARD_PROD!$O$27</c:f>
              <c:strCache>
                <c:ptCount val="1"/>
                <c:pt idx="0">
                  <c:v>Outros Produtos</c:v>
                </c:pt>
              </c:strCache>
            </c:strRef>
          </c:tx>
          <c:spPr>
            <a:solidFill>
              <a:srgbClr val="FF9300"/>
            </a:solidFill>
          </c:spPr>
          <c:invertIfNegative val="0"/>
          <c:dLbls>
            <c:numFmt formatCode="&quot;R$&quot;\ #,##0.00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DASHBOARD_PROD!$P$25</c:f>
              <c:strCache>
                <c:ptCount val="1"/>
                <c:pt idx="0">
                  <c:v>Valor</c:v>
                </c:pt>
              </c:strCache>
            </c:strRef>
          </c:cat>
          <c:val>
            <c:numRef>
              <c:f>DASHBOARD_PROD!$P$27</c:f>
              <c:numCache>
                <c:formatCode>General</c:formatCode>
                <c:ptCount val="1"/>
                <c:pt idx="0">
                  <c:v>33.1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BA3-4F77-81F5-62CB7FD861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10"/>
        <c:axId val="176953984"/>
        <c:axId val="176968064"/>
      </c:barChart>
      <c:catAx>
        <c:axId val="17695398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76968064"/>
        <c:crosses val="autoZero"/>
        <c:auto val="1"/>
        <c:lblAlgn val="ctr"/>
        <c:lblOffset val="100"/>
        <c:noMultiLvlLbl val="0"/>
      </c:catAx>
      <c:valAx>
        <c:axId val="176968064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76953984"/>
        <c:crosses val="autoZero"/>
        <c:crossBetween val="between"/>
      </c:valAx>
      <c:spPr>
        <a:solidFill>
          <a:schemeClr val="bg1">
            <a:lumMod val="95000"/>
          </a:schemeClr>
        </a:solidFill>
      </c:spPr>
    </c:plotArea>
    <c:legend>
      <c:legendPos val="b"/>
      <c:overlay val="0"/>
    </c:legend>
    <c:plotVisOnly val="1"/>
    <c:dispBlanksAs val="gap"/>
    <c:showDLblsOverMax val="0"/>
  </c:chart>
  <c:spPr>
    <a:ln>
      <a:solidFill>
        <a:schemeClr val="bg1">
          <a:lumMod val="85000"/>
        </a:schemeClr>
      </a:solidFill>
    </a:ln>
  </c:sp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CAD_CUST!A1"/><Relationship Id="rId3" Type="http://schemas.openxmlformats.org/officeDocument/2006/relationships/hyperlink" Target="#CAD_PROD!A1"/><Relationship Id="rId7" Type="http://schemas.openxmlformats.org/officeDocument/2006/relationships/hyperlink" Target="#DASHBOARD_GERAL!A1"/><Relationship Id="rId2" Type="http://schemas.openxmlformats.org/officeDocument/2006/relationships/image" Target="../media/image1.png"/><Relationship Id="rId1" Type="http://schemas.openxmlformats.org/officeDocument/2006/relationships/hyperlink" Target="#INI!A1"/><Relationship Id="rId6" Type="http://schemas.openxmlformats.org/officeDocument/2006/relationships/hyperlink" Target="#TOP_PROD!A1"/><Relationship Id="rId5" Type="http://schemas.openxmlformats.org/officeDocument/2006/relationships/hyperlink" Target="#ANA_CONC!A1"/><Relationship Id="rId4" Type="http://schemas.openxmlformats.org/officeDocument/2006/relationships/hyperlink" Target="#PE_GERAL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CAD_CUST!A1"/><Relationship Id="rId3" Type="http://schemas.openxmlformats.org/officeDocument/2006/relationships/hyperlink" Target="#CAD_PROD!A1"/><Relationship Id="rId7" Type="http://schemas.openxmlformats.org/officeDocument/2006/relationships/hyperlink" Target="#DASHBOARD_GERAL!A1"/><Relationship Id="rId2" Type="http://schemas.openxmlformats.org/officeDocument/2006/relationships/image" Target="../media/image1.png"/><Relationship Id="rId1" Type="http://schemas.openxmlformats.org/officeDocument/2006/relationships/hyperlink" Target="#INI!A1"/><Relationship Id="rId6" Type="http://schemas.openxmlformats.org/officeDocument/2006/relationships/hyperlink" Target="#TOP_PROD!A1"/><Relationship Id="rId5" Type="http://schemas.openxmlformats.org/officeDocument/2006/relationships/hyperlink" Target="#ANA_CONC!A1"/><Relationship Id="rId4" Type="http://schemas.openxmlformats.org/officeDocument/2006/relationships/hyperlink" Target="#PE_GERAL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PE_PROD!A1"/><Relationship Id="rId3" Type="http://schemas.openxmlformats.org/officeDocument/2006/relationships/hyperlink" Target="#CAD_PROD!A1"/><Relationship Id="rId7" Type="http://schemas.openxmlformats.org/officeDocument/2006/relationships/hyperlink" Target="#DASHBOARD_GERAL!A1"/><Relationship Id="rId2" Type="http://schemas.openxmlformats.org/officeDocument/2006/relationships/image" Target="../media/image1.png"/><Relationship Id="rId1" Type="http://schemas.openxmlformats.org/officeDocument/2006/relationships/hyperlink" Target="#INI!A1"/><Relationship Id="rId6" Type="http://schemas.openxmlformats.org/officeDocument/2006/relationships/hyperlink" Target="#TOP_PROD!A1"/><Relationship Id="rId5" Type="http://schemas.openxmlformats.org/officeDocument/2006/relationships/hyperlink" Target="#ANA_CONC!A1"/><Relationship Id="rId4" Type="http://schemas.openxmlformats.org/officeDocument/2006/relationships/hyperlink" Target="#PE_GERAL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PE_PROD!A1"/><Relationship Id="rId3" Type="http://schemas.openxmlformats.org/officeDocument/2006/relationships/hyperlink" Target="#CAD_PROD!A1"/><Relationship Id="rId7" Type="http://schemas.openxmlformats.org/officeDocument/2006/relationships/hyperlink" Target="#DASHBOARD_GERAL!A1"/><Relationship Id="rId2" Type="http://schemas.openxmlformats.org/officeDocument/2006/relationships/image" Target="../media/image1.png"/><Relationship Id="rId1" Type="http://schemas.openxmlformats.org/officeDocument/2006/relationships/hyperlink" Target="#INI!A1"/><Relationship Id="rId6" Type="http://schemas.openxmlformats.org/officeDocument/2006/relationships/hyperlink" Target="#TOP_PROD!A1"/><Relationship Id="rId5" Type="http://schemas.openxmlformats.org/officeDocument/2006/relationships/hyperlink" Target="#ANA_CONC!A1"/><Relationship Id="rId4" Type="http://schemas.openxmlformats.org/officeDocument/2006/relationships/hyperlink" Target="#PE_GERAL!A1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CAD_PROD!A1"/><Relationship Id="rId7" Type="http://schemas.openxmlformats.org/officeDocument/2006/relationships/hyperlink" Target="#DASHBOARD_GERAL!A1"/><Relationship Id="rId2" Type="http://schemas.openxmlformats.org/officeDocument/2006/relationships/image" Target="../media/image1.png"/><Relationship Id="rId1" Type="http://schemas.openxmlformats.org/officeDocument/2006/relationships/hyperlink" Target="#INI!A1"/><Relationship Id="rId6" Type="http://schemas.openxmlformats.org/officeDocument/2006/relationships/hyperlink" Target="#TOP_PROD!A1"/><Relationship Id="rId5" Type="http://schemas.openxmlformats.org/officeDocument/2006/relationships/hyperlink" Target="#ANA_CONC!A1"/><Relationship Id="rId4" Type="http://schemas.openxmlformats.org/officeDocument/2006/relationships/hyperlink" Target="#PE_GERAL!A1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#TOP_CUST!A1"/><Relationship Id="rId3" Type="http://schemas.openxmlformats.org/officeDocument/2006/relationships/hyperlink" Target="#CAD_PROD!A1"/><Relationship Id="rId7" Type="http://schemas.openxmlformats.org/officeDocument/2006/relationships/hyperlink" Target="#DASHBOARD_GERAL!A1"/><Relationship Id="rId2" Type="http://schemas.openxmlformats.org/officeDocument/2006/relationships/image" Target="../media/image1.png"/><Relationship Id="rId1" Type="http://schemas.openxmlformats.org/officeDocument/2006/relationships/hyperlink" Target="#INI!A1"/><Relationship Id="rId6" Type="http://schemas.openxmlformats.org/officeDocument/2006/relationships/hyperlink" Target="#TOP_PROD!A1"/><Relationship Id="rId5" Type="http://schemas.openxmlformats.org/officeDocument/2006/relationships/hyperlink" Target="#ANA_CONC!A1"/><Relationship Id="rId4" Type="http://schemas.openxmlformats.org/officeDocument/2006/relationships/hyperlink" Target="#PE_GERAL!A1"/><Relationship Id="rId9" Type="http://schemas.openxmlformats.org/officeDocument/2006/relationships/hyperlink" Target="#TOP_CONC!A1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hyperlink" Target="#TOP_CUST!A1"/><Relationship Id="rId3" Type="http://schemas.openxmlformats.org/officeDocument/2006/relationships/hyperlink" Target="#CAD_PROD!A1"/><Relationship Id="rId7" Type="http://schemas.openxmlformats.org/officeDocument/2006/relationships/hyperlink" Target="#DASHBOARD_GERAL!A1"/><Relationship Id="rId2" Type="http://schemas.openxmlformats.org/officeDocument/2006/relationships/image" Target="../media/image1.png"/><Relationship Id="rId1" Type="http://schemas.openxmlformats.org/officeDocument/2006/relationships/hyperlink" Target="#INI!A1"/><Relationship Id="rId6" Type="http://schemas.openxmlformats.org/officeDocument/2006/relationships/hyperlink" Target="#TOP_PROD!A1"/><Relationship Id="rId5" Type="http://schemas.openxmlformats.org/officeDocument/2006/relationships/hyperlink" Target="#ANA_CONC!A1"/><Relationship Id="rId4" Type="http://schemas.openxmlformats.org/officeDocument/2006/relationships/hyperlink" Target="#PE_GERAL!A1"/><Relationship Id="rId9" Type="http://schemas.openxmlformats.org/officeDocument/2006/relationships/hyperlink" Target="#TOP_CONC!A1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hyperlink" Target="#TOP_CUST!A1"/><Relationship Id="rId3" Type="http://schemas.openxmlformats.org/officeDocument/2006/relationships/hyperlink" Target="#CAD_PROD!A1"/><Relationship Id="rId7" Type="http://schemas.openxmlformats.org/officeDocument/2006/relationships/hyperlink" Target="#DASHBOARD_GERAL!A1"/><Relationship Id="rId2" Type="http://schemas.openxmlformats.org/officeDocument/2006/relationships/image" Target="../media/image1.png"/><Relationship Id="rId1" Type="http://schemas.openxmlformats.org/officeDocument/2006/relationships/hyperlink" Target="#INI!A1"/><Relationship Id="rId6" Type="http://schemas.openxmlformats.org/officeDocument/2006/relationships/hyperlink" Target="#TOP_PROD!A1"/><Relationship Id="rId5" Type="http://schemas.openxmlformats.org/officeDocument/2006/relationships/hyperlink" Target="#ANA_CONC!A1"/><Relationship Id="rId4" Type="http://schemas.openxmlformats.org/officeDocument/2006/relationships/hyperlink" Target="#PE_GERAL!A1"/><Relationship Id="rId9" Type="http://schemas.openxmlformats.org/officeDocument/2006/relationships/hyperlink" Target="#TOP_CONC!A1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hyperlink" Target="#ANA_CONC!A1"/><Relationship Id="rId3" Type="http://schemas.openxmlformats.org/officeDocument/2006/relationships/chart" Target="../charts/chart3.xml"/><Relationship Id="rId7" Type="http://schemas.openxmlformats.org/officeDocument/2006/relationships/hyperlink" Target="#PE_GERAL!A1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hyperlink" Target="#CAD_PROD!A1"/><Relationship Id="rId11" Type="http://schemas.openxmlformats.org/officeDocument/2006/relationships/hyperlink" Target="#DASHBOARD_PROD!A1"/><Relationship Id="rId5" Type="http://schemas.openxmlformats.org/officeDocument/2006/relationships/image" Target="../media/image1.png"/><Relationship Id="rId10" Type="http://schemas.openxmlformats.org/officeDocument/2006/relationships/hyperlink" Target="#DASHBOARD_GERAL!A1"/><Relationship Id="rId4" Type="http://schemas.openxmlformats.org/officeDocument/2006/relationships/hyperlink" Target="#INI!A1"/><Relationship Id="rId9" Type="http://schemas.openxmlformats.org/officeDocument/2006/relationships/hyperlink" Target="#TOP_PROD!A1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hyperlink" Target="#ANA_CONC!A1"/><Relationship Id="rId3" Type="http://schemas.openxmlformats.org/officeDocument/2006/relationships/chart" Target="../charts/chart6.xml"/><Relationship Id="rId7" Type="http://schemas.openxmlformats.org/officeDocument/2006/relationships/hyperlink" Target="#PE_GERAL!A1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hyperlink" Target="#CAD_PROD!A1"/><Relationship Id="rId11" Type="http://schemas.openxmlformats.org/officeDocument/2006/relationships/hyperlink" Target="#DASHBOARD_PROD!A1"/><Relationship Id="rId5" Type="http://schemas.openxmlformats.org/officeDocument/2006/relationships/image" Target="../media/image1.png"/><Relationship Id="rId10" Type="http://schemas.openxmlformats.org/officeDocument/2006/relationships/hyperlink" Target="#DASHBOARD_GERAL!A1"/><Relationship Id="rId4" Type="http://schemas.openxmlformats.org/officeDocument/2006/relationships/hyperlink" Target="#INI!A1"/><Relationship Id="rId9" Type="http://schemas.openxmlformats.org/officeDocument/2006/relationships/hyperlink" Target="#TOP_PROD!A1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hyperlink" Target="#ANA_CONC!A1"/><Relationship Id="rId3" Type="http://schemas.openxmlformats.org/officeDocument/2006/relationships/hyperlink" Target="#SUG!A1"/><Relationship Id="rId7" Type="http://schemas.openxmlformats.org/officeDocument/2006/relationships/hyperlink" Target="#PE_GERAL!A1"/><Relationship Id="rId2" Type="http://schemas.openxmlformats.org/officeDocument/2006/relationships/hyperlink" Target="#DUV!A1"/><Relationship Id="rId1" Type="http://schemas.openxmlformats.org/officeDocument/2006/relationships/hyperlink" Target="#INI!A1"/><Relationship Id="rId6" Type="http://schemas.openxmlformats.org/officeDocument/2006/relationships/hyperlink" Target="#CAD_PROD!A1"/><Relationship Id="rId5" Type="http://schemas.openxmlformats.org/officeDocument/2006/relationships/image" Target="../media/image1.png"/><Relationship Id="rId10" Type="http://schemas.openxmlformats.org/officeDocument/2006/relationships/hyperlink" Target="#DASHBOARD_GERAL!A1"/><Relationship Id="rId4" Type="http://schemas.openxmlformats.org/officeDocument/2006/relationships/hyperlink" Target="#LUZ!A1"/><Relationship Id="rId9" Type="http://schemas.openxmlformats.org/officeDocument/2006/relationships/hyperlink" Target="#TOP_PROD!A1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hyperlink" Target="#ANA_CONC!A1"/><Relationship Id="rId3" Type="http://schemas.openxmlformats.org/officeDocument/2006/relationships/hyperlink" Target="#SUG!A1"/><Relationship Id="rId7" Type="http://schemas.openxmlformats.org/officeDocument/2006/relationships/hyperlink" Target="#PE_GERAL!A1"/><Relationship Id="rId2" Type="http://schemas.openxmlformats.org/officeDocument/2006/relationships/hyperlink" Target="#DUV!A1"/><Relationship Id="rId1" Type="http://schemas.openxmlformats.org/officeDocument/2006/relationships/hyperlink" Target="#INI!A1"/><Relationship Id="rId6" Type="http://schemas.openxmlformats.org/officeDocument/2006/relationships/hyperlink" Target="#CAD_PROD!A1"/><Relationship Id="rId5" Type="http://schemas.openxmlformats.org/officeDocument/2006/relationships/image" Target="../media/image1.png"/><Relationship Id="rId10" Type="http://schemas.openxmlformats.org/officeDocument/2006/relationships/hyperlink" Target="#DASHBOARD_GERAL!A1"/><Relationship Id="rId4" Type="http://schemas.openxmlformats.org/officeDocument/2006/relationships/hyperlink" Target="#LUZ!A1"/><Relationship Id="rId9" Type="http://schemas.openxmlformats.org/officeDocument/2006/relationships/hyperlink" Target="#TOP_PROD!A1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hyperlink" Target="https://luz.vc/planilhas-empresariais/planilha-de-estudo-de-viabilidade-economica?utm_source=produtos&amp;utm_medium=referral&amp;utm_campaign=PEQUI4" TargetMode="External"/><Relationship Id="rId13" Type="http://schemas.openxmlformats.org/officeDocument/2006/relationships/hyperlink" Target="#CAD_PROD!A1"/><Relationship Id="rId3" Type="http://schemas.openxmlformats.org/officeDocument/2006/relationships/hyperlink" Target="#SUG!A1"/><Relationship Id="rId7" Type="http://schemas.openxmlformats.org/officeDocument/2006/relationships/hyperlink" Target="https://luz.vc/planilhas-avancadas/planilha-de-plano-de-negocios-excel?utm_source=produtos&amp;utm_medium=referral&amp;utm_campaign=PEQUI4" TargetMode="External"/><Relationship Id="rId12" Type="http://schemas.openxmlformats.org/officeDocument/2006/relationships/image" Target="../media/image1.png"/><Relationship Id="rId17" Type="http://schemas.openxmlformats.org/officeDocument/2006/relationships/hyperlink" Target="#DASHBOARD_GERAL!A1"/><Relationship Id="rId2" Type="http://schemas.openxmlformats.org/officeDocument/2006/relationships/hyperlink" Target="#DUV!A1"/><Relationship Id="rId16" Type="http://schemas.openxmlformats.org/officeDocument/2006/relationships/hyperlink" Target="#TOP_PROD!A1"/><Relationship Id="rId1" Type="http://schemas.openxmlformats.org/officeDocument/2006/relationships/hyperlink" Target="#INI!A1"/><Relationship Id="rId6" Type="http://schemas.openxmlformats.org/officeDocument/2006/relationships/hyperlink" Target="https://cursos.luz.vc/?utm_source=referral&amp;utm_medium=produtos&amp;utm_campaign=PEQUI4" TargetMode="External"/><Relationship Id="rId11" Type="http://schemas.openxmlformats.org/officeDocument/2006/relationships/hyperlink" Target="https://luz.vc/planilhas-empresariais/planilha-de-planejamento-estrategico-excel?utm_source=produtos&amp;utm_medium=referral&amp;utm_campaign=PEQUI4" TargetMode="External"/><Relationship Id="rId5" Type="http://schemas.openxmlformats.org/officeDocument/2006/relationships/hyperlink" Target="https://luz.vc/pacotes-de-planilhas/pacote-com-todas-as-planilhas-da-luz/?utm_source=referral&amp;utm_medium=produtos&amp;utm_campaign=PEQUI4" TargetMode="External"/><Relationship Id="rId15" Type="http://schemas.openxmlformats.org/officeDocument/2006/relationships/hyperlink" Target="#ANA_CONC!A1"/><Relationship Id="rId10" Type="http://schemas.openxmlformats.org/officeDocument/2006/relationships/hyperlink" Target="https://luz.vc/pacotes-de-planilhas/pacote-com-9-planilhas-de-financas-empresariais?utm_source=produtos&amp;utm_medium=referral&amp;utm_campaign=PEQUI4" TargetMode="External"/><Relationship Id="rId4" Type="http://schemas.openxmlformats.org/officeDocument/2006/relationships/hyperlink" Target="#LUZ!A1"/><Relationship Id="rId9" Type="http://schemas.openxmlformats.org/officeDocument/2006/relationships/hyperlink" Target="https://luz.vc/planilhas-empresariais/planilha-de-analise-swot?utm_source=produtos&amp;utm_medium=referral&amp;utm_campaign=PEQUI4" TargetMode="External"/><Relationship Id="rId14" Type="http://schemas.openxmlformats.org/officeDocument/2006/relationships/hyperlink" Target="#PE_GERAL!A1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png"/><Relationship Id="rId13" Type="http://schemas.openxmlformats.org/officeDocument/2006/relationships/hyperlink" Target="https://documentos.luz.vc/?utm_source=referral&amp;utm_medium=produtos&amp;utm_campaign=PEQUI4" TargetMode="External"/><Relationship Id="rId18" Type="http://schemas.openxmlformats.org/officeDocument/2006/relationships/hyperlink" Target="#ANA_CONC!A1"/><Relationship Id="rId3" Type="http://schemas.openxmlformats.org/officeDocument/2006/relationships/hyperlink" Target="#SUG!A1"/><Relationship Id="rId7" Type="http://schemas.openxmlformats.org/officeDocument/2006/relationships/hyperlink" Target="https://luz.vc/?utm_source=referral&amp;utm_medium=produtos&amp;utm_campaign=PEQUI4" TargetMode="External"/><Relationship Id="rId12" Type="http://schemas.openxmlformats.org/officeDocument/2006/relationships/image" Target="../media/image5.png"/><Relationship Id="rId17" Type="http://schemas.openxmlformats.org/officeDocument/2006/relationships/hyperlink" Target="#PE_GERAL!A1"/><Relationship Id="rId2" Type="http://schemas.openxmlformats.org/officeDocument/2006/relationships/hyperlink" Target="#DUV!A1"/><Relationship Id="rId16" Type="http://schemas.openxmlformats.org/officeDocument/2006/relationships/hyperlink" Target="#CAD_PROD!A1"/><Relationship Id="rId20" Type="http://schemas.openxmlformats.org/officeDocument/2006/relationships/hyperlink" Target="#DASHBOARD_GERAL!A1"/><Relationship Id="rId1" Type="http://schemas.openxmlformats.org/officeDocument/2006/relationships/hyperlink" Target="#INI!A1"/><Relationship Id="rId6" Type="http://schemas.openxmlformats.org/officeDocument/2006/relationships/image" Target="../media/image2.png"/><Relationship Id="rId11" Type="http://schemas.openxmlformats.org/officeDocument/2006/relationships/hyperlink" Target="https://blog.luz.vc/?utm_source=referral&amp;utm_medium=produtos&amp;utm_campaign=PEQUI4" TargetMode="External"/><Relationship Id="rId5" Type="http://schemas.openxmlformats.org/officeDocument/2006/relationships/hyperlink" Target="https://cursos.luz.vc/?utm_source=referral&amp;utm_medium=produtos&amp;utm_campaign=PEQUI4" TargetMode="External"/><Relationship Id="rId15" Type="http://schemas.openxmlformats.org/officeDocument/2006/relationships/image" Target="../media/image1.png"/><Relationship Id="rId10" Type="http://schemas.openxmlformats.org/officeDocument/2006/relationships/image" Target="../media/image4.png"/><Relationship Id="rId19" Type="http://schemas.openxmlformats.org/officeDocument/2006/relationships/hyperlink" Target="#TOP_PROD!A1"/><Relationship Id="rId4" Type="http://schemas.openxmlformats.org/officeDocument/2006/relationships/hyperlink" Target="#LUZ!A1"/><Relationship Id="rId9" Type="http://schemas.openxmlformats.org/officeDocument/2006/relationships/hyperlink" Target="https://slides.luz.vc/?utm_source=referral&amp;utm_medium=produtos&amp;utm_campaign=PEQUI4" TargetMode="External"/><Relationship Id="rId14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486825</xdr:colOff>
      <xdr:row>0</xdr:row>
      <xdr:rowOff>0</xdr:rowOff>
    </xdr:from>
    <xdr:to>
      <xdr:col>5</xdr:col>
      <xdr:colOff>1528224</xdr:colOff>
      <xdr:row>1</xdr:row>
      <xdr:rowOff>2910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/>
        </xdr:cNvSpPr>
      </xdr:nvSpPr>
      <xdr:spPr>
        <a:xfrm>
          <a:off x="676274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1</xdr:col>
      <xdr:colOff>0</xdr:colOff>
      <xdr:row>0</xdr:row>
      <xdr:rowOff>95250</xdr:rowOff>
    </xdr:from>
    <xdr:to>
      <xdr:col>2</xdr:col>
      <xdr:colOff>867833</xdr:colOff>
      <xdr:row>0</xdr:row>
      <xdr:rowOff>423306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131231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131232</xdr:colOff>
      <xdr:row>0</xdr:row>
      <xdr:rowOff>0</xdr:rowOff>
    </xdr:from>
    <xdr:to>
      <xdr:col>3</xdr:col>
      <xdr:colOff>1163806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/>
        </xdr:cNvSpPr>
      </xdr:nvSpPr>
      <xdr:spPr>
        <a:xfrm>
          <a:off x="2448982" y="0"/>
          <a:ext cx="1032574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PONTO</a:t>
          </a:r>
          <a:r>
            <a:rPr lang="pt-BR" sz="1100" b="1" baseline="0">
              <a:solidFill>
                <a:schemeClr val="bg1"/>
              </a:solidFill>
            </a:rPr>
            <a:t> DE EQUILÍBRIO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1162048</xdr:colOff>
      <xdr:row>0</xdr:row>
      <xdr:rowOff>0</xdr:rowOff>
    </xdr:from>
    <xdr:to>
      <xdr:col>4</xdr:col>
      <xdr:colOff>359834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/>
        </xdr:cNvSpPr>
      </xdr:nvSpPr>
      <xdr:spPr>
        <a:xfrm>
          <a:off x="3479798" y="0"/>
          <a:ext cx="117686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ANÁLISE</a:t>
          </a:r>
          <a:r>
            <a:rPr lang="pt-BR" sz="1100" b="1" baseline="0"/>
            <a:t> DE CONCORRÊNCIA</a:t>
          </a:r>
          <a:endParaRPr lang="pt-BR" sz="1100" b="1"/>
        </a:p>
      </xdr:txBody>
    </xdr:sp>
    <xdr:clientData/>
  </xdr:twoCellAnchor>
  <xdr:twoCellAnchor editAs="absolute">
    <xdr:from>
      <xdr:col>4</xdr:col>
      <xdr:colOff>383111</xdr:colOff>
      <xdr:row>0</xdr:row>
      <xdr:rowOff>0</xdr:rowOff>
    </xdr:from>
    <xdr:to>
      <xdr:col>4</xdr:col>
      <xdr:colOff>1424510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/>
        </xdr:cNvSpPr>
      </xdr:nvSpPr>
      <xdr:spPr>
        <a:xfrm>
          <a:off x="46799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</a:t>
          </a:r>
        </a:p>
      </xdr:txBody>
    </xdr:sp>
    <xdr:clientData/>
  </xdr:twoCellAnchor>
  <xdr:twoCellAnchor editAs="absolute">
    <xdr:from>
      <xdr:col>4</xdr:col>
      <xdr:colOff>1424511</xdr:colOff>
      <xdr:row>0</xdr:row>
      <xdr:rowOff>0</xdr:rowOff>
    </xdr:from>
    <xdr:to>
      <xdr:col>5</xdr:col>
      <xdr:colOff>486826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/>
        </xdr:cNvSpPr>
      </xdr:nvSpPr>
      <xdr:spPr>
        <a:xfrm>
          <a:off x="57213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2</xdr:col>
      <xdr:colOff>836088</xdr:colOff>
      <xdr:row>1</xdr:row>
      <xdr:rowOff>95250</xdr:rowOff>
    </xdr:from>
    <xdr:to>
      <xdr:col>3</xdr:col>
      <xdr:colOff>31754</xdr:colOff>
      <xdr:row>2</xdr:row>
      <xdr:rowOff>13567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100671" y="592667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PRODUTOS</a:t>
          </a:r>
        </a:p>
      </xdr:txBody>
    </xdr:sp>
    <xdr:clientData/>
  </xdr:twoCellAnchor>
  <xdr:twoCellAnchor editAs="absolute">
    <xdr:from>
      <xdr:col>3</xdr:col>
      <xdr:colOff>35953</xdr:colOff>
      <xdr:row>1</xdr:row>
      <xdr:rowOff>99488</xdr:rowOff>
    </xdr:from>
    <xdr:to>
      <xdr:col>3</xdr:col>
      <xdr:colOff>1284786</xdr:colOff>
      <xdr:row>2</xdr:row>
      <xdr:rowOff>17805</xdr:rowOff>
    </xdr:to>
    <xdr:sp macro="" textlink="">
      <xdr:nvSpPr>
        <xdr:cNvPr id="13" name="Retângulo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353703" y="596905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CUSTOS DIRETOS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349242</xdr:colOff>
      <xdr:row>0</xdr:row>
      <xdr:rowOff>0</xdr:rowOff>
    </xdr:from>
    <xdr:to>
      <xdr:col>7</xdr:col>
      <xdr:colOff>25391</xdr:colOff>
      <xdr:row>1</xdr:row>
      <xdr:rowOff>2910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/>
        </xdr:cNvSpPr>
      </xdr:nvSpPr>
      <xdr:spPr>
        <a:xfrm>
          <a:off x="676274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1</xdr:col>
      <xdr:colOff>0</xdr:colOff>
      <xdr:row>0</xdr:row>
      <xdr:rowOff>95250</xdr:rowOff>
    </xdr:from>
    <xdr:to>
      <xdr:col>2</xdr:col>
      <xdr:colOff>867833</xdr:colOff>
      <xdr:row>0</xdr:row>
      <xdr:rowOff>423306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131231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131232</xdr:colOff>
      <xdr:row>0</xdr:row>
      <xdr:rowOff>0</xdr:rowOff>
    </xdr:from>
    <xdr:to>
      <xdr:col>3</xdr:col>
      <xdr:colOff>1163806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/>
        </xdr:cNvSpPr>
      </xdr:nvSpPr>
      <xdr:spPr>
        <a:xfrm>
          <a:off x="2448982" y="0"/>
          <a:ext cx="1032574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PONTO</a:t>
          </a:r>
          <a:r>
            <a:rPr lang="pt-BR" sz="1100" b="1" baseline="0">
              <a:solidFill>
                <a:schemeClr val="bg1"/>
              </a:solidFill>
            </a:rPr>
            <a:t> DE EQUILÍBRIO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1162048</xdr:colOff>
      <xdr:row>0</xdr:row>
      <xdr:rowOff>0</xdr:rowOff>
    </xdr:from>
    <xdr:to>
      <xdr:col>4</xdr:col>
      <xdr:colOff>973667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/>
        </xdr:cNvSpPr>
      </xdr:nvSpPr>
      <xdr:spPr>
        <a:xfrm>
          <a:off x="3479798" y="0"/>
          <a:ext cx="117686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ANÁLISE</a:t>
          </a:r>
          <a:r>
            <a:rPr lang="pt-BR" sz="1100" b="1" baseline="0"/>
            <a:t> DE CONCORRÊNCIA</a:t>
          </a:r>
          <a:endParaRPr lang="pt-BR" sz="1100" b="1"/>
        </a:p>
      </xdr:txBody>
    </xdr:sp>
    <xdr:clientData/>
  </xdr:twoCellAnchor>
  <xdr:twoCellAnchor editAs="absolute">
    <xdr:from>
      <xdr:col>4</xdr:col>
      <xdr:colOff>996944</xdr:colOff>
      <xdr:row>0</xdr:row>
      <xdr:rowOff>0</xdr:rowOff>
    </xdr:from>
    <xdr:to>
      <xdr:col>5</xdr:col>
      <xdr:colOff>673093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/>
        </xdr:cNvSpPr>
      </xdr:nvSpPr>
      <xdr:spPr>
        <a:xfrm>
          <a:off x="46799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</a:t>
          </a:r>
        </a:p>
      </xdr:txBody>
    </xdr:sp>
    <xdr:clientData/>
  </xdr:twoCellAnchor>
  <xdr:twoCellAnchor editAs="absolute">
    <xdr:from>
      <xdr:col>5</xdr:col>
      <xdr:colOff>673094</xdr:colOff>
      <xdr:row>0</xdr:row>
      <xdr:rowOff>0</xdr:rowOff>
    </xdr:from>
    <xdr:to>
      <xdr:col>6</xdr:col>
      <xdr:colOff>349243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/>
        </xdr:cNvSpPr>
      </xdr:nvSpPr>
      <xdr:spPr>
        <a:xfrm>
          <a:off x="57213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2</xdr:col>
      <xdr:colOff>836088</xdr:colOff>
      <xdr:row>1</xdr:row>
      <xdr:rowOff>95250</xdr:rowOff>
    </xdr:from>
    <xdr:to>
      <xdr:col>3</xdr:col>
      <xdr:colOff>31754</xdr:colOff>
      <xdr:row>2</xdr:row>
      <xdr:rowOff>13567</xdr:rowOff>
    </xdr:to>
    <xdr:sp macro="" textlink="">
      <xdr:nvSpPr>
        <xdr:cNvPr id="9" name="Retângulo 8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100671" y="592667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PRODUTOS</a:t>
          </a:r>
        </a:p>
      </xdr:txBody>
    </xdr:sp>
    <xdr:clientData/>
  </xdr:twoCellAnchor>
  <xdr:twoCellAnchor editAs="absolute">
    <xdr:from>
      <xdr:col>3</xdr:col>
      <xdr:colOff>35953</xdr:colOff>
      <xdr:row>1</xdr:row>
      <xdr:rowOff>99488</xdr:rowOff>
    </xdr:from>
    <xdr:to>
      <xdr:col>3</xdr:col>
      <xdr:colOff>1284786</xdr:colOff>
      <xdr:row>2</xdr:row>
      <xdr:rowOff>17805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2353703" y="596905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CUSTOS DIRETOS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2582325</xdr:colOff>
      <xdr:row>0</xdr:row>
      <xdr:rowOff>0</xdr:rowOff>
    </xdr:from>
    <xdr:to>
      <xdr:col>6</xdr:col>
      <xdr:colOff>808558</xdr:colOff>
      <xdr:row>1</xdr:row>
      <xdr:rowOff>2910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/>
        </xdr:cNvSpPr>
      </xdr:nvSpPr>
      <xdr:spPr>
        <a:xfrm>
          <a:off x="676274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1</xdr:col>
      <xdr:colOff>0</xdr:colOff>
      <xdr:row>0</xdr:row>
      <xdr:rowOff>95250</xdr:rowOff>
    </xdr:from>
    <xdr:to>
      <xdr:col>2</xdr:col>
      <xdr:colOff>867833</xdr:colOff>
      <xdr:row>0</xdr:row>
      <xdr:rowOff>423306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131231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131232</xdr:colOff>
      <xdr:row>0</xdr:row>
      <xdr:rowOff>0</xdr:rowOff>
    </xdr:from>
    <xdr:to>
      <xdr:col>3</xdr:col>
      <xdr:colOff>1163806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/>
        </xdr:cNvSpPr>
      </xdr:nvSpPr>
      <xdr:spPr>
        <a:xfrm>
          <a:off x="2448982" y="0"/>
          <a:ext cx="1032574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PONTO</a:t>
          </a:r>
          <a:r>
            <a:rPr lang="pt-BR" sz="1100" b="1" baseline="0">
              <a:solidFill>
                <a:schemeClr val="bg1"/>
              </a:solidFill>
            </a:rPr>
            <a:t> DE EQUILÍBRIO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1162048</xdr:colOff>
      <xdr:row>0</xdr:row>
      <xdr:rowOff>0</xdr:rowOff>
    </xdr:from>
    <xdr:to>
      <xdr:col>5</xdr:col>
      <xdr:colOff>476250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/>
        </xdr:cNvSpPr>
      </xdr:nvSpPr>
      <xdr:spPr>
        <a:xfrm>
          <a:off x="3479798" y="0"/>
          <a:ext cx="117686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ANÁLISE</a:t>
          </a:r>
          <a:r>
            <a:rPr lang="pt-BR" sz="1100" b="1" baseline="0"/>
            <a:t> DE CONCORRÊNCIA</a:t>
          </a:r>
          <a:endParaRPr lang="pt-BR" sz="1100" b="1"/>
        </a:p>
      </xdr:txBody>
    </xdr:sp>
    <xdr:clientData/>
  </xdr:twoCellAnchor>
  <xdr:twoCellAnchor editAs="absolute">
    <xdr:from>
      <xdr:col>5</xdr:col>
      <xdr:colOff>499527</xdr:colOff>
      <xdr:row>0</xdr:row>
      <xdr:rowOff>0</xdr:rowOff>
    </xdr:from>
    <xdr:to>
      <xdr:col>5</xdr:col>
      <xdr:colOff>1540926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/>
        </xdr:cNvSpPr>
      </xdr:nvSpPr>
      <xdr:spPr>
        <a:xfrm>
          <a:off x="46799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</a:t>
          </a:r>
        </a:p>
      </xdr:txBody>
    </xdr:sp>
    <xdr:clientData/>
  </xdr:twoCellAnchor>
  <xdr:twoCellAnchor editAs="absolute">
    <xdr:from>
      <xdr:col>5</xdr:col>
      <xdr:colOff>1540927</xdr:colOff>
      <xdr:row>0</xdr:row>
      <xdr:rowOff>0</xdr:rowOff>
    </xdr:from>
    <xdr:to>
      <xdr:col>5</xdr:col>
      <xdr:colOff>2582326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/>
        </xdr:cNvSpPr>
      </xdr:nvSpPr>
      <xdr:spPr>
        <a:xfrm>
          <a:off x="57213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2</xdr:col>
      <xdr:colOff>836088</xdr:colOff>
      <xdr:row>1</xdr:row>
      <xdr:rowOff>95250</xdr:rowOff>
    </xdr:from>
    <xdr:to>
      <xdr:col>3</xdr:col>
      <xdr:colOff>31754</xdr:colOff>
      <xdr:row>2</xdr:row>
      <xdr:rowOff>13567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100671" y="592667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GERAL</a:t>
          </a:r>
        </a:p>
      </xdr:txBody>
    </xdr:sp>
    <xdr:clientData/>
  </xdr:twoCellAnchor>
  <xdr:twoCellAnchor editAs="absolute">
    <xdr:from>
      <xdr:col>3</xdr:col>
      <xdr:colOff>35953</xdr:colOff>
      <xdr:row>1</xdr:row>
      <xdr:rowOff>99488</xdr:rowOff>
    </xdr:from>
    <xdr:to>
      <xdr:col>3</xdr:col>
      <xdr:colOff>1284786</xdr:colOff>
      <xdr:row>2</xdr:row>
      <xdr:rowOff>17805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/>
      </xdr:nvSpPr>
      <xdr:spPr>
        <a:xfrm>
          <a:off x="2353703" y="596905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POR PRODUTO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1830909</xdr:colOff>
      <xdr:row>0</xdr:row>
      <xdr:rowOff>0</xdr:rowOff>
    </xdr:from>
    <xdr:to>
      <xdr:col>6</xdr:col>
      <xdr:colOff>596891</xdr:colOff>
      <xdr:row>1</xdr:row>
      <xdr:rowOff>2910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>
          <a:spLocks/>
        </xdr:cNvSpPr>
      </xdr:nvSpPr>
      <xdr:spPr>
        <a:xfrm>
          <a:off x="676274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1</xdr:col>
      <xdr:colOff>0</xdr:colOff>
      <xdr:row>0</xdr:row>
      <xdr:rowOff>95250</xdr:rowOff>
    </xdr:from>
    <xdr:to>
      <xdr:col>2</xdr:col>
      <xdr:colOff>867833</xdr:colOff>
      <xdr:row>0</xdr:row>
      <xdr:rowOff>423306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1142999</xdr:colOff>
      <xdr:row>0</xdr:row>
      <xdr:rowOff>0</xdr:rowOff>
    </xdr:from>
    <xdr:to>
      <xdr:col>2</xdr:col>
      <xdr:colOff>2184398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2</xdr:col>
      <xdr:colOff>2184399</xdr:colOff>
      <xdr:row>0</xdr:row>
      <xdr:rowOff>0</xdr:rowOff>
    </xdr:from>
    <xdr:to>
      <xdr:col>3</xdr:col>
      <xdr:colOff>952139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>
          <a:spLocks/>
        </xdr:cNvSpPr>
      </xdr:nvSpPr>
      <xdr:spPr>
        <a:xfrm>
          <a:off x="2448982" y="0"/>
          <a:ext cx="1032574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PONTO</a:t>
          </a:r>
          <a:r>
            <a:rPr lang="pt-BR" sz="1100" b="1" baseline="0">
              <a:solidFill>
                <a:schemeClr val="bg1"/>
              </a:solidFill>
            </a:rPr>
            <a:t> DE EQUILÍBRIO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950381</xdr:colOff>
      <xdr:row>0</xdr:row>
      <xdr:rowOff>0</xdr:rowOff>
    </xdr:from>
    <xdr:to>
      <xdr:col>3</xdr:col>
      <xdr:colOff>2127250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>
          <a:spLocks/>
        </xdr:cNvSpPr>
      </xdr:nvSpPr>
      <xdr:spPr>
        <a:xfrm>
          <a:off x="3479798" y="0"/>
          <a:ext cx="117686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ANÁLISE</a:t>
          </a:r>
          <a:r>
            <a:rPr lang="pt-BR" sz="1100" b="1" baseline="0"/>
            <a:t> DE CONCORRÊNCIA</a:t>
          </a:r>
          <a:endParaRPr lang="pt-BR" sz="1100" b="1"/>
        </a:p>
      </xdr:txBody>
    </xdr:sp>
    <xdr:clientData/>
  </xdr:twoCellAnchor>
  <xdr:twoCellAnchor editAs="absolute">
    <xdr:from>
      <xdr:col>4</xdr:col>
      <xdr:colOff>12694</xdr:colOff>
      <xdr:row>0</xdr:row>
      <xdr:rowOff>0</xdr:rowOff>
    </xdr:from>
    <xdr:to>
      <xdr:col>5</xdr:col>
      <xdr:colOff>789510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>
          <a:spLocks/>
        </xdr:cNvSpPr>
      </xdr:nvSpPr>
      <xdr:spPr>
        <a:xfrm>
          <a:off x="46799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</a:t>
          </a:r>
        </a:p>
      </xdr:txBody>
    </xdr:sp>
    <xdr:clientData/>
  </xdr:twoCellAnchor>
  <xdr:twoCellAnchor editAs="absolute">
    <xdr:from>
      <xdr:col>5</xdr:col>
      <xdr:colOff>789511</xdr:colOff>
      <xdr:row>0</xdr:row>
      <xdr:rowOff>0</xdr:rowOff>
    </xdr:from>
    <xdr:to>
      <xdr:col>5</xdr:col>
      <xdr:colOff>1830910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SpPr>
          <a:spLocks/>
        </xdr:cNvSpPr>
      </xdr:nvSpPr>
      <xdr:spPr>
        <a:xfrm>
          <a:off x="57213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2</xdr:col>
      <xdr:colOff>836088</xdr:colOff>
      <xdr:row>1</xdr:row>
      <xdr:rowOff>95250</xdr:rowOff>
    </xdr:from>
    <xdr:to>
      <xdr:col>2</xdr:col>
      <xdr:colOff>2084921</xdr:colOff>
      <xdr:row>2</xdr:row>
      <xdr:rowOff>13567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SpPr/>
      </xdr:nvSpPr>
      <xdr:spPr>
        <a:xfrm>
          <a:off x="1100671" y="592667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GERAL</a:t>
          </a:r>
        </a:p>
      </xdr:txBody>
    </xdr:sp>
    <xdr:clientData/>
  </xdr:twoCellAnchor>
  <xdr:twoCellAnchor editAs="absolute">
    <xdr:from>
      <xdr:col>2</xdr:col>
      <xdr:colOff>2089120</xdr:colOff>
      <xdr:row>1</xdr:row>
      <xdr:rowOff>99488</xdr:rowOff>
    </xdr:from>
    <xdr:to>
      <xdr:col>3</xdr:col>
      <xdr:colOff>1073119</xdr:colOff>
      <xdr:row>2</xdr:row>
      <xdr:rowOff>17805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SpPr/>
      </xdr:nvSpPr>
      <xdr:spPr>
        <a:xfrm>
          <a:off x="2353703" y="596905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POR PRODUTO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338659</xdr:colOff>
      <xdr:row>0</xdr:row>
      <xdr:rowOff>0</xdr:rowOff>
    </xdr:from>
    <xdr:to>
      <xdr:col>7</xdr:col>
      <xdr:colOff>99474</xdr:colOff>
      <xdr:row>1</xdr:row>
      <xdr:rowOff>2910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>
          <a:spLocks/>
        </xdr:cNvSpPr>
      </xdr:nvSpPr>
      <xdr:spPr>
        <a:xfrm>
          <a:off x="676274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1</xdr:col>
      <xdr:colOff>0</xdr:colOff>
      <xdr:row>0</xdr:row>
      <xdr:rowOff>95250</xdr:rowOff>
    </xdr:from>
    <xdr:to>
      <xdr:col>2</xdr:col>
      <xdr:colOff>867833</xdr:colOff>
      <xdr:row>0</xdr:row>
      <xdr:rowOff>423306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491064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491065</xdr:colOff>
      <xdr:row>0</xdr:row>
      <xdr:rowOff>0</xdr:rowOff>
    </xdr:from>
    <xdr:to>
      <xdr:col>4</xdr:col>
      <xdr:colOff>41973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>
          <a:spLocks/>
        </xdr:cNvSpPr>
      </xdr:nvSpPr>
      <xdr:spPr>
        <a:xfrm>
          <a:off x="2448982" y="0"/>
          <a:ext cx="1032574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PONTO</a:t>
          </a:r>
          <a:r>
            <a:rPr lang="pt-BR" sz="1100" b="1" baseline="0">
              <a:solidFill>
                <a:schemeClr val="bg1"/>
              </a:solidFill>
            </a:rPr>
            <a:t> DE EQUILÍBRIO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4</xdr:col>
      <xdr:colOff>40215</xdr:colOff>
      <xdr:row>0</xdr:row>
      <xdr:rowOff>0</xdr:rowOff>
    </xdr:from>
    <xdr:to>
      <xdr:col>4</xdr:col>
      <xdr:colOff>1217084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>
          <a:spLocks/>
        </xdr:cNvSpPr>
      </xdr:nvSpPr>
      <xdr:spPr>
        <a:xfrm>
          <a:off x="3479798" y="0"/>
          <a:ext cx="1176869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ANÁLISE</a:t>
          </a:r>
          <a:r>
            <a:rPr lang="pt-BR" sz="1100" b="1" baseline="0"/>
            <a:t> DE CONCORRÊNCIA</a:t>
          </a:r>
          <a:endParaRPr lang="pt-BR" sz="1100" b="1"/>
        </a:p>
      </xdr:txBody>
    </xdr:sp>
    <xdr:clientData/>
  </xdr:twoCellAnchor>
  <xdr:twoCellAnchor editAs="absolute">
    <xdr:from>
      <xdr:col>4</xdr:col>
      <xdr:colOff>1240361</xdr:colOff>
      <xdr:row>0</xdr:row>
      <xdr:rowOff>0</xdr:rowOff>
    </xdr:from>
    <xdr:to>
      <xdr:col>5</xdr:col>
      <xdr:colOff>577843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>
          <a:spLocks/>
        </xdr:cNvSpPr>
      </xdr:nvSpPr>
      <xdr:spPr>
        <a:xfrm>
          <a:off x="46799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</a:t>
          </a:r>
        </a:p>
      </xdr:txBody>
    </xdr:sp>
    <xdr:clientData/>
  </xdr:twoCellAnchor>
  <xdr:twoCellAnchor editAs="absolute">
    <xdr:from>
      <xdr:col>5</xdr:col>
      <xdr:colOff>577844</xdr:colOff>
      <xdr:row>0</xdr:row>
      <xdr:rowOff>0</xdr:rowOff>
    </xdr:from>
    <xdr:to>
      <xdr:col>6</xdr:col>
      <xdr:colOff>338660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>
          <a:spLocks/>
        </xdr:cNvSpPr>
      </xdr:nvSpPr>
      <xdr:spPr>
        <a:xfrm>
          <a:off x="57213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2</xdr:col>
      <xdr:colOff>836088</xdr:colOff>
      <xdr:row>1</xdr:row>
      <xdr:rowOff>95250</xdr:rowOff>
    </xdr:from>
    <xdr:to>
      <xdr:col>3</xdr:col>
      <xdr:colOff>391587</xdr:colOff>
      <xdr:row>2</xdr:row>
      <xdr:rowOff>13567</xdr:rowOff>
    </xdr:to>
    <xdr:sp macro="" textlink="">
      <xdr:nvSpPr>
        <xdr:cNvPr id="9" name="Retângulo 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SpPr/>
      </xdr:nvSpPr>
      <xdr:spPr>
        <a:xfrm>
          <a:off x="1100671" y="592667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CONCORRÊNCIA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1386409</xdr:colOff>
      <xdr:row>0</xdr:row>
      <xdr:rowOff>0</xdr:rowOff>
    </xdr:from>
    <xdr:to>
      <xdr:col>6</xdr:col>
      <xdr:colOff>723891</xdr:colOff>
      <xdr:row>1</xdr:row>
      <xdr:rowOff>2910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>
          <a:spLocks/>
        </xdr:cNvSpPr>
      </xdr:nvSpPr>
      <xdr:spPr>
        <a:xfrm>
          <a:off x="676274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1</xdr:col>
      <xdr:colOff>0</xdr:colOff>
      <xdr:row>0</xdr:row>
      <xdr:rowOff>95250</xdr:rowOff>
    </xdr:from>
    <xdr:to>
      <xdr:col>2</xdr:col>
      <xdr:colOff>867833</xdr:colOff>
      <xdr:row>0</xdr:row>
      <xdr:rowOff>423306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480481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480482</xdr:colOff>
      <xdr:row>0</xdr:row>
      <xdr:rowOff>0</xdr:rowOff>
    </xdr:from>
    <xdr:to>
      <xdr:col>3</xdr:col>
      <xdr:colOff>1513056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>
          <a:spLocks/>
        </xdr:cNvSpPr>
      </xdr:nvSpPr>
      <xdr:spPr>
        <a:xfrm>
          <a:off x="2448982" y="0"/>
          <a:ext cx="1032574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PONTO</a:t>
          </a:r>
          <a:r>
            <a:rPr lang="pt-BR" sz="1100" b="1" baseline="0">
              <a:solidFill>
                <a:schemeClr val="bg1"/>
              </a:solidFill>
            </a:rPr>
            <a:t> DE EQUILÍBRIO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1511298</xdr:colOff>
      <xdr:row>0</xdr:row>
      <xdr:rowOff>0</xdr:rowOff>
    </xdr:from>
    <xdr:to>
      <xdr:col>4</xdr:col>
      <xdr:colOff>984250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>
          <a:spLocks/>
        </xdr:cNvSpPr>
      </xdr:nvSpPr>
      <xdr:spPr>
        <a:xfrm>
          <a:off x="3479798" y="0"/>
          <a:ext cx="117686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ANÁLISE</a:t>
          </a:r>
          <a:r>
            <a:rPr lang="pt-BR" sz="1100" b="1" baseline="0"/>
            <a:t> DE CONCORRÊNCIA</a:t>
          </a:r>
          <a:endParaRPr lang="pt-BR" sz="1100" b="1"/>
        </a:p>
      </xdr:txBody>
    </xdr:sp>
    <xdr:clientData/>
  </xdr:twoCellAnchor>
  <xdr:twoCellAnchor editAs="absolute">
    <xdr:from>
      <xdr:col>4</xdr:col>
      <xdr:colOff>1007527</xdr:colOff>
      <xdr:row>0</xdr:row>
      <xdr:rowOff>0</xdr:rowOff>
    </xdr:from>
    <xdr:to>
      <xdr:col>5</xdr:col>
      <xdr:colOff>345010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>
          <a:spLocks/>
        </xdr:cNvSpPr>
      </xdr:nvSpPr>
      <xdr:spPr>
        <a:xfrm>
          <a:off x="4679944" y="0"/>
          <a:ext cx="1041399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</a:t>
          </a:r>
        </a:p>
      </xdr:txBody>
    </xdr:sp>
    <xdr:clientData/>
  </xdr:twoCellAnchor>
  <xdr:twoCellAnchor editAs="absolute">
    <xdr:from>
      <xdr:col>5</xdr:col>
      <xdr:colOff>345011</xdr:colOff>
      <xdr:row>0</xdr:row>
      <xdr:rowOff>0</xdr:rowOff>
    </xdr:from>
    <xdr:to>
      <xdr:col>5</xdr:col>
      <xdr:colOff>1386410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SpPr>
          <a:spLocks/>
        </xdr:cNvSpPr>
      </xdr:nvSpPr>
      <xdr:spPr>
        <a:xfrm>
          <a:off x="57213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2</xdr:col>
      <xdr:colOff>836088</xdr:colOff>
      <xdr:row>1</xdr:row>
      <xdr:rowOff>95250</xdr:rowOff>
    </xdr:from>
    <xdr:to>
      <xdr:col>3</xdr:col>
      <xdr:colOff>381004</xdr:colOff>
      <xdr:row>2</xdr:row>
      <xdr:rowOff>13567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SpPr/>
      </xdr:nvSpPr>
      <xdr:spPr>
        <a:xfrm>
          <a:off x="1100671" y="592667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TOP</a:t>
          </a:r>
          <a:r>
            <a:rPr lang="pt-BR" sz="1100" b="1" baseline="0">
              <a:solidFill>
                <a:schemeClr val="tx1">
                  <a:lumMod val="75000"/>
                  <a:lumOff val="25000"/>
                </a:schemeClr>
              </a:solidFill>
            </a:rPr>
            <a:t> PRODUTOS</a:t>
          </a:r>
          <a:endParaRPr lang="pt-BR" sz="1100" b="1">
            <a:solidFill>
              <a:schemeClr val="tx1">
                <a:lumMod val="75000"/>
                <a:lumOff val="25000"/>
              </a:schemeClr>
            </a:solidFill>
          </a:endParaRPr>
        </a:p>
      </xdr:txBody>
    </xdr:sp>
    <xdr:clientData/>
  </xdr:twoCellAnchor>
  <xdr:twoCellAnchor editAs="absolute">
    <xdr:from>
      <xdr:col>3</xdr:col>
      <xdr:colOff>385203</xdr:colOff>
      <xdr:row>1</xdr:row>
      <xdr:rowOff>99488</xdr:rowOff>
    </xdr:from>
    <xdr:to>
      <xdr:col>3</xdr:col>
      <xdr:colOff>1634036</xdr:colOff>
      <xdr:row>2</xdr:row>
      <xdr:rowOff>17805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500-00000B000000}"/>
            </a:ext>
          </a:extLst>
        </xdr:cNvPr>
        <xdr:cNvSpPr/>
      </xdr:nvSpPr>
      <xdr:spPr>
        <a:xfrm>
          <a:off x="2353703" y="596905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TOP GASTOS</a:t>
          </a:r>
        </a:p>
      </xdr:txBody>
    </xdr:sp>
    <xdr:clientData/>
  </xdr:twoCellAnchor>
  <xdr:twoCellAnchor editAs="absolute">
    <xdr:from>
      <xdr:col>3</xdr:col>
      <xdr:colOff>1638235</xdr:colOff>
      <xdr:row>1</xdr:row>
      <xdr:rowOff>103726</xdr:rowOff>
    </xdr:from>
    <xdr:to>
      <xdr:col>4</xdr:col>
      <xdr:colOff>1183151</xdr:colOff>
      <xdr:row>2</xdr:row>
      <xdr:rowOff>22043</xdr:rowOff>
    </xdr:to>
    <xdr:sp macro="" textlink="">
      <xdr:nvSpPr>
        <xdr:cNvPr id="12" name="Retâ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SpPr/>
      </xdr:nvSpPr>
      <xdr:spPr>
        <a:xfrm>
          <a:off x="3606735" y="601143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CONCORRÊNCIA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1809742</xdr:colOff>
      <xdr:row>0</xdr:row>
      <xdr:rowOff>0</xdr:rowOff>
    </xdr:from>
    <xdr:to>
      <xdr:col>6</xdr:col>
      <xdr:colOff>639224</xdr:colOff>
      <xdr:row>1</xdr:row>
      <xdr:rowOff>2910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/>
        </xdr:cNvSpPr>
      </xdr:nvSpPr>
      <xdr:spPr>
        <a:xfrm>
          <a:off x="676274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1</xdr:col>
      <xdr:colOff>0</xdr:colOff>
      <xdr:row>0</xdr:row>
      <xdr:rowOff>95250</xdr:rowOff>
    </xdr:from>
    <xdr:to>
      <xdr:col>2</xdr:col>
      <xdr:colOff>867833</xdr:colOff>
      <xdr:row>0</xdr:row>
      <xdr:rowOff>423306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1142999</xdr:colOff>
      <xdr:row>0</xdr:row>
      <xdr:rowOff>0</xdr:rowOff>
    </xdr:from>
    <xdr:to>
      <xdr:col>2</xdr:col>
      <xdr:colOff>2184398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2</xdr:col>
      <xdr:colOff>2184399</xdr:colOff>
      <xdr:row>0</xdr:row>
      <xdr:rowOff>0</xdr:rowOff>
    </xdr:from>
    <xdr:to>
      <xdr:col>3</xdr:col>
      <xdr:colOff>1005056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/>
        </xdr:cNvSpPr>
      </xdr:nvSpPr>
      <xdr:spPr>
        <a:xfrm>
          <a:off x="2448982" y="0"/>
          <a:ext cx="1032574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PONTO</a:t>
          </a:r>
          <a:r>
            <a:rPr lang="pt-BR" sz="1100" b="1" baseline="0">
              <a:solidFill>
                <a:schemeClr val="bg1"/>
              </a:solidFill>
            </a:rPr>
            <a:t> DE EQUILÍBRIO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1003298</xdr:colOff>
      <xdr:row>0</xdr:row>
      <xdr:rowOff>0</xdr:rowOff>
    </xdr:from>
    <xdr:to>
      <xdr:col>4</xdr:col>
      <xdr:colOff>52917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/>
        </xdr:cNvSpPr>
      </xdr:nvSpPr>
      <xdr:spPr>
        <a:xfrm>
          <a:off x="3479798" y="0"/>
          <a:ext cx="117686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ANÁLISE</a:t>
          </a:r>
          <a:r>
            <a:rPr lang="pt-BR" sz="1100" b="1" baseline="0"/>
            <a:t> DE CONCORRÊNCIA</a:t>
          </a:r>
          <a:endParaRPr lang="pt-BR" sz="1100" b="1"/>
        </a:p>
      </xdr:txBody>
    </xdr:sp>
    <xdr:clientData/>
  </xdr:twoCellAnchor>
  <xdr:twoCellAnchor editAs="absolute">
    <xdr:from>
      <xdr:col>4</xdr:col>
      <xdr:colOff>76194</xdr:colOff>
      <xdr:row>0</xdr:row>
      <xdr:rowOff>0</xdr:rowOff>
    </xdr:from>
    <xdr:to>
      <xdr:col>5</xdr:col>
      <xdr:colOff>768343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/>
        </xdr:cNvSpPr>
      </xdr:nvSpPr>
      <xdr:spPr>
        <a:xfrm>
          <a:off x="4679944" y="0"/>
          <a:ext cx="1041399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</a:t>
          </a:r>
        </a:p>
      </xdr:txBody>
    </xdr:sp>
    <xdr:clientData/>
  </xdr:twoCellAnchor>
  <xdr:twoCellAnchor editAs="absolute">
    <xdr:from>
      <xdr:col>5</xdr:col>
      <xdr:colOff>768344</xdr:colOff>
      <xdr:row>0</xdr:row>
      <xdr:rowOff>0</xdr:rowOff>
    </xdr:from>
    <xdr:to>
      <xdr:col>5</xdr:col>
      <xdr:colOff>1809743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/>
        </xdr:cNvSpPr>
      </xdr:nvSpPr>
      <xdr:spPr>
        <a:xfrm>
          <a:off x="57213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2</xdr:col>
      <xdr:colOff>836088</xdr:colOff>
      <xdr:row>1</xdr:row>
      <xdr:rowOff>95250</xdr:rowOff>
    </xdr:from>
    <xdr:to>
      <xdr:col>2</xdr:col>
      <xdr:colOff>2084921</xdr:colOff>
      <xdr:row>2</xdr:row>
      <xdr:rowOff>13567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1100671" y="592667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TOP</a:t>
          </a:r>
          <a:r>
            <a:rPr lang="pt-BR" sz="1100" b="1" baseline="0">
              <a:solidFill>
                <a:schemeClr val="bg1"/>
              </a:solidFill>
            </a:rPr>
            <a:t> PRODUTOS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2089120</xdr:colOff>
      <xdr:row>1</xdr:row>
      <xdr:rowOff>99488</xdr:rowOff>
    </xdr:from>
    <xdr:to>
      <xdr:col>3</xdr:col>
      <xdr:colOff>1126036</xdr:colOff>
      <xdr:row>2</xdr:row>
      <xdr:rowOff>17805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/>
      </xdr:nvSpPr>
      <xdr:spPr>
        <a:xfrm>
          <a:off x="2353703" y="596905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/>
              </a:solidFill>
            </a:rPr>
            <a:t>TOP GASTOS</a:t>
          </a:r>
        </a:p>
      </xdr:txBody>
    </xdr:sp>
    <xdr:clientData/>
  </xdr:twoCellAnchor>
  <xdr:twoCellAnchor editAs="absolute">
    <xdr:from>
      <xdr:col>3</xdr:col>
      <xdr:colOff>1130235</xdr:colOff>
      <xdr:row>1</xdr:row>
      <xdr:rowOff>103726</xdr:rowOff>
    </xdr:from>
    <xdr:to>
      <xdr:col>4</xdr:col>
      <xdr:colOff>251818</xdr:colOff>
      <xdr:row>2</xdr:row>
      <xdr:rowOff>22043</xdr:rowOff>
    </xdr:to>
    <xdr:sp macro="" textlink="">
      <xdr:nvSpPr>
        <xdr:cNvPr id="12" name="Retâ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/>
      </xdr:nvSpPr>
      <xdr:spPr>
        <a:xfrm>
          <a:off x="3606735" y="601143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CONCORRÊNCIA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1100659</xdr:colOff>
      <xdr:row>0</xdr:row>
      <xdr:rowOff>0</xdr:rowOff>
    </xdr:from>
    <xdr:to>
      <xdr:col>6</xdr:col>
      <xdr:colOff>342891</xdr:colOff>
      <xdr:row>1</xdr:row>
      <xdr:rowOff>2910</xdr:rowOff>
    </xdr:to>
    <xdr:sp macro="" textlink="">
      <xdr:nvSpPr>
        <xdr:cNvPr id="2" name="Retângulo 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>
          <a:spLocks/>
        </xdr:cNvSpPr>
      </xdr:nvSpPr>
      <xdr:spPr>
        <a:xfrm>
          <a:off x="676274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1</xdr:col>
      <xdr:colOff>0</xdr:colOff>
      <xdr:row>0</xdr:row>
      <xdr:rowOff>95250</xdr:rowOff>
    </xdr:from>
    <xdr:to>
      <xdr:col>2</xdr:col>
      <xdr:colOff>867833</xdr:colOff>
      <xdr:row>0</xdr:row>
      <xdr:rowOff>423306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385231</xdr:colOff>
      <xdr:row>1</xdr:row>
      <xdr:rowOff>2910</xdr:rowOff>
    </xdr:to>
    <xdr:sp macro="" textlink="">
      <xdr:nvSpPr>
        <xdr:cNvPr id="4" name="Retângulo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385232</xdr:colOff>
      <xdr:row>0</xdr:row>
      <xdr:rowOff>0</xdr:rowOff>
    </xdr:from>
    <xdr:to>
      <xdr:col>3</xdr:col>
      <xdr:colOff>1417806</xdr:colOff>
      <xdr:row>1</xdr:row>
      <xdr:rowOff>2910</xdr:rowOff>
    </xdr:to>
    <xdr:sp macro="" textlink="">
      <xdr:nvSpPr>
        <xdr:cNvPr id="5" name="Retângulo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>
          <a:spLocks/>
        </xdr:cNvSpPr>
      </xdr:nvSpPr>
      <xdr:spPr>
        <a:xfrm>
          <a:off x="2448982" y="0"/>
          <a:ext cx="1032574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PONTO</a:t>
          </a:r>
          <a:r>
            <a:rPr lang="pt-BR" sz="1100" b="1" baseline="0">
              <a:solidFill>
                <a:schemeClr val="bg1"/>
              </a:solidFill>
            </a:rPr>
            <a:t> DE EQUILÍBRIO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1416048</xdr:colOff>
      <xdr:row>0</xdr:row>
      <xdr:rowOff>0</xdr:rowOff>
    </xdr:from>
    <xdr:to>
      <xdr:col>4</xdr:col>
      <xdr:colOff>793750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>
          <a:spLocks/>
        </xdr:cNvSpPr>
      </xdr:nvSpPr>
      <xdr:spPr>
        <a:xfrm>
          <a:off x="3479798" y="0"/>
          <a:ext cx="117686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ANÁLISE</a:t>
          </a:r>
          <a:r>
            <a:rPr lang="pt-BR" sz="1100" b="1" baseline="0"/>
            <a:t> DE CONCORRÊNCIA</a:t>
          </a:r>
          <a:endParaRPr lang="pt-BR" sz="1100" b="1"/>
        </a:p>
      </xdr:txBody>
    </xdr:sp>
    <xdr:clientData/>
  </xdr:twoCellAnchor>
  <xdr:twoCellAnchor editAs="absolute">
    <xdr:from>
      <xdr:col>4</xdr:col>
      <xdr:colOff>817027</xdr:colOff>
      <xdr:row>0</xdr:row>
      <xdr:rowOff>0</xdr:rowOff>
    </xdr:from>
    <xdr:to>
      <xdr:col>5</xdr:col>
      <xdr:colOff>59260</xdr:colOff>
      <xdr:row>1</xdr:row>
      <xdr:rowOff>2910</xdr:rowOff>
    </xdr:to>
    <xdr:sp macro="" textlink="">
      <xdr:nvSpPr>
        <xdr:cNvPr id="7" name="Retângulo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>
          <a:spLocks/>
        </xdr:cNvSpPr>
      </xdr:nvSpPr>
      <xdr:spPr>
        <a:xfrm>
          <a:off x="4679944" y="0"/>
          <a:ext cx="1041399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</a:t>
          </a:r>
        </a:p>
      </xdr:txBody>
    </xdr:sp>
    <xdr:clientData/>
  </xdr:twoCellAnchor>
  <xdr:twoCellAnchor editAs="absolute">
    <xdr:from>
      <xdr:col>5</xdr:col>
      <xdr:colOff>59261</xdr:colOff>
      <xdr:row>0</xdr:row>
      <xdr:rowOff>0</xdr:rowOff>
    </xdr:from>
    <xdr:to>
      <xdr:col>5</xdr:col>
      <xdr:colOff>1100660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SpPr>
          <a:spLocks/>
        </xdr:cNvSpPr>
      </xdr:nvSpPr>
      <xdr:spPr>
        <a:xfrm>
          <a:off x="57213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2</xdr:col>
      <xdr:colOff>836088</xdr:colOff>
      <xdr:row>1</xdr:row>
      <xdr:rowOff>95250</xdr:rowOff>
    </xdr:from>
    <xdr:to>
      <xdr:col>3</xdr:col>
      <xdr:colOff>285754</xdr:colOff>
      <xdr:row>2</xdr:row>
      <xdr:rowOff>13567</xdr:rowOff>
    </xdr:to>
    <xdr:sp macro="" textlink="">
      <xdr:nvSpPr>
        <xdr:cNvPr id="9" name="Retângulo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1100671" y="592667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TOP</a:t>
          </a:r>
          <a:r>
            <a:rPr lang="pt-BR" sz="1100" b="1" baseline="0">
              <a:solidFill>
                <a:schemeClr val="bg1"/>
              </a:solidFill>
            </a:rPr>
            <a:t> PRODUTOS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289953</xdr:colOff>
      <xdr:row>1</xdr:row>
      <xdr:rowOff>99488</xdr:rowOff>
    </xdr:from>
    <xdr:to>
      <xdr:col>3</xdr:col>
      <xdr:colOff>1538786</xdr:colOff>
      <xdr:row>2</xdr:row>
      <xdr:rowOff>17805</xdr:rowOff>
    </xdr:to>
    <xdr:sp macro="" textlink="">
      <xdr:nvSpPr>
        <xdr:cNvPr id="11" name="Retângulo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SpPr/>
      </xdr:nvSpPr>
      <xdr:spPr>
        <a:xfrm>
          <a:off x="2353703" y="596905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TOP GASTOS</a:t>
          </a:r>
        </a:p>
      </xdr:txBody>
    </xdr:sp>
    <xdr:clientData/>
  </xdr:twoCellAnchor>
  <xdr:twoCellAnchor editAs="absolute">
    <xdr:from>
      <xdr:col>3</xdr:col>
      <xdr:colOff>1542985</xdr:colOff>
      <xdr:row>1</xdr:row>
      <xdr:rowOff>103726</xdr:rowOff>
    </xdr:from>
    <xdr:to>
      <xdr:col>4</xdr:col>
      <xdr:colOff>992651</xdr:colOff>
      <xdr:row>2</xdr:row>
      <xdr:rowOff>22043</xdr:rowOff>
    </xdr:to>
    <xdr:sp macro="" textlink="">
      <xdr:nvSpPr>
        <xdr:cNvPr id="12" name="Retângulo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SpPr/>
      </xdr:nvSpPr>
      <xdr:spPr>
        <a:xfrm>
          <a:off x="3606735" y="601143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CONCORRÊNCIA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5</xdr:row>
      <xdr:rowOff>1</xdr:rowOff>
    </xdr:from>
    <xdr:to>
      <xdr:col>9</xdr:col>
      <xdr:colOff>0</xdr:colOff>
      <xdr:row>14</xdr:row>
      <xdr:rowOff>412750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4</xdr:row>
      <xdr:rowOff>391584</xdr:rowOff>
    </xdr:from>
    <xdr:to>
      <xdr:col>14</xdr:col>
      <xdr:colOff>0</xdr:colOff>
      <xdr:row>14</xdr:row>
      <xdr:rowOff>412751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0</xdr:colOff>
      <xdr:row>4</xdr:row>
      <xdr:rowOff>391584</xdr:rowOff>
    </xdr:from>
    <xdr:to>
      <xdr:col>18</xdr:col>
      <xdr:colOff>826558</xdr:colOff>
      <xdr:row>14</xdr:row>
      <xdr:rowOff>412751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9</xdr:col>
      <xdr:colOff>10575</xdr:colOff>
      <xdr:row>0</xdr:row>
      <xdr:rowOff>0</xdr:rowOff>
    </xdr:from>
    <xdr:to>
      <xdr:col>11</xdr:col>
      <xdr:colOff>131224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>
          <a:spLocks/>
        </xdr:cNvSpPr>
      </xdr:nvSpPr>
      <xdr:spPr>
        <a:xfrm>
          <a:off x="676274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1</xdr:col>
      <xdr:colOff>0</xdr:colOff>
      <xdr:row>0</xdr:row>
      <xdr:rowOff>95250</xdr:rowOff>
    </xdr:from>
    <xdr:to>
      <xdr:col>2</xdr:col>
      <xdr:colOff>867833</xdr:colOff>
      <xdr:row>0</xdr:row>
      <xdr:rowOff>423306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1142999</xdr:colOff>
      <xdr:row>0</xdr:row>
      <xdr:rowOff>0</xdr:rowOff>
    </xdr:from>
    <xdr:to>
      <xdr:col>3</xdr:col>
      <xdr:colOff>575731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575732</xdr:colOff>
      <xdr:row>0</xdr:row>
      <xdr:rowOff>0</xdr:rowOff>
    </xdr:from>
    <xdr:to>
      <xdr:col>5</xdr:col>
      <xdr:colOff>31389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>
          <a:spLocks/>
        </xdr:cNvSpPr>
      </xdr:nvSpPr>
      <xdr:spPr>
        <a:xfrm>
          <a:off x="2448982" y="0"/>
          <a:ext cx="1032574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PONTO</a:t>
          </a:r>
          <a:r>
            <a:rPr lang="pt-BR" sz="1100" b="1" baseline="0">
              <a:solidFill>
                <a:schemeClr val="bg1"/>
              </a:solidFill>
            </a:rPr>
            <a:t> DE EQUILÍBRIO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5</xdr:col>
      <xdr:colOff>29631</xdr:colOff>
      <xdr:row>0</xdr:row>
      <xdr:rowOff>0</xdr:rowOff>
    </xdr:from>
    <xdr:to>
      <xdr:col>6</xdr:col>
      <xdr:colOff>381000</xdr:colOff>
      <xdr:row>1</xdr:row>
      <xdr:rowOff>2910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>
          <a:spLocks/>
        </xdr:cNvSpPr>
      </xdr:nvSpPr>
      <xdr:spPr>
        <a:xfrm>
          <a:off x="3479798" y="0"/>
          <a:ext cx="117686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ANÁLISE</a:t>
          </a:r>
          <a:r>
            <a:rPr lang="pt-BR" sz="1100" b="1" baseline="0"/>
            <a:t> DE CONCORRÊNCIA</a:t>
          </a:r>
          <a:endParaRPr lang="pt-BR" sz="1100" b="1"/>
        </a:p>
      </xdr:txBody>
    </xdr:sp>
    <xdr:clientData/>
  </xdr:twoCellAnchor>
  <xdr:twoCellAnchor editAs="absolute">
    <xdr:from>
      <xdr:col>6</xdr:col>
      <xdr:colOff>404277</xdr:colOff>
      <xdr:row>0</xdr:row>
      <xdr:rowOff>0</xdr:rowOff>
    </xdr:from>
    <xdr:to>
      <xdr:col>7</xdr:col>
      <xdr:colOff>620176</xdr:colOff>
      <xdr:row>1</xdr:row>
      <xdr:rowOff>2910</xdr:rowOff>
    </xdr:to>
    <xdr:sp macro="" textlink="">
      <xdr:nvSpPr>
        <xdr:cNvPr id="11" name="Retângulo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>
          <a:spLocks/>
        </xdr:cNvSpPr>
      </xdr:nvSpPr>
      <xdr:spPr>
        <a:xfrm>
          <a:off x="46799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</a:t>
          </a:r>
        </a:p>
      </xdr:txBody>
    </xdr:sp>
    <xdr:clientData/>
  </xdr:twoCellAnchor>
  <xdr:twoCellAnchor editAs="absolute">
    <xdr:from>
      <xdr:col>7</xdr:col>
      <xdr:colOff>620177</xdr:colOff>
      <xdr:row>0</xdr:row>
      <xdr:rowOff>0</xdr:rowOff>
    </xdr:from>
    <xdr:to>
      <xdr:col>9</xdr:col>
      <xdr:colOff>10576</xdr:colOff>
      <xdr:row>1</xdr:row>
      <xdr:rowOff>2910</xdr:rowOff>
    </xdr:to>
    <xdr:sp macro="" textlink="">
      <xdr:nvSpPr>
        <xdr:cNvPr id="12" name="Retângul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>
          <a:spLocks/>
        </xdr:cNvSpPr>
      </xdr:nvSpPr>
      <xdr:spPr>
        <a:xfrm>
          <a:off x="5721344" y="0"/>
          <a:ext cx="1041399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2</xdr:col>
      <xdr:colOff>836088</xdr:colOff>
      <xdr:row>1</xdr:row>
      <xdr:rowOff>95250</xdr:rowOff>
    </xdr:from>
    <xdr:to>
      <xdr:col>3</xdr:col>
      <xdr:colOff>476254</xdr:colOff>
      <xdr:row>2</xdr:row>
      <xdr:rowOff>13567</xdr:rowOff>
    </xdr:to>
    <xdr:sp macro="" textlink="">
      <xdr:nvSpPr>
        <xdr:cNvPr id="13" name="Retângulo 1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SpPr/>
      </xdr:nvSpPr>
      <xdr:spPr>
        <a:xfrm>
          <a:off x="1100671" y="592667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GERAL</a:t>
          </a:r>
        </a:p>
      </xdr:txBody>
    </xdr:sp>
    <xdr:clientData/>
  </xdr:twoCellAnchor>
  <xdr:twoCellAnchor editAs="absolute">
    <xdr:from>
      <xdr:col>3</xdr:col>
      <xdr:colOff>480453</xdr:colOff>
      <xdr:row>1</xdr:row>
      <xdr:rowOff>99488</xdr:rowOff>
    </xdr:from>
    <xdr:to>
      <xdr:col>5</xdr:col>
      <xdr:colOff>152369</xdr:colOff>
      <xdr:row>2</xdr:row>
      <xdr:rowOff>17805</xdr:rowOff>
    </xdr:to>
    <xdr:sp macro="" textlink="">
      <xdr:nvSpPr>
        <xdr:cNvPr id="15" name="Retângulo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SpPr/>
      </xdr:nvSpPr>
      <xdr:spPr>
        <a:xfrm>
          <a:off x="2353703" y="596905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POR</a:t>
          </a:r>
          <a:r>
            <a:rPr lang="pt-BR" sz="1100" b="1" baseline="0">
              <a:solidFill>
                <a:schemeClr val="bg1"/>
              </a:solidFill>
            </a:rPr>
            <a:t> PRODUTO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9</xdr:row>
      <xdr:rowOff>0</xdr:rowOff>
    </xdr:from>
    <xdr:to>
      <xdr:col>7</xdr:col>
      <xdr:colOff>0</xdr:colOff>
      <xdr:row>20</xdr:row>
      <xdr:rowOff>105833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9</xdr:row>
      <xdr:rowOff>0</xdr:rowOff>
    </xdr:from>
    <xdr:to>
      <xdr:col>13</xdr:col>
      <xdr:colOff>0</xdr:colOff>
      <xdr:row>20</xdr:row>
      <xdr:rowOff>105833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31750</xdr:colOff>
      <xdr:row>9</xdr:row>
      <xdr:rowOff>0</xdr:rowOff>
    </xdr:from>
    <xdr:to>
      <xdr:col>19</xdr:col>
      <xdr:colOff>31751</xdr:colOff>
      <xdr:row>20</xdr:row>
      <xdr:rowOff>105833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absolute">
    <xdr:from>
      <xdr:col>9</xdr:col>
      <xdr:colOff>952492</xdr:colOff>
      <xdr:row>0</xdr:row>
      <xdr:rowOff>0</xdr:rowOff>
    </xdr:from>
    <xdr:to>
      <xdr:col>11</xdr:col>
      <xdr:colOff>776808</xdr:colOff>
      <xdr:row>1</xdr:row>
      <xdr:rowOff>2910</xdr:rowOff>
    </xdr:to>
    <xdr:sp macro="" textlink="">
      <xdr:nvSpPr>
        <xdr:cNvPr id="9" name="Retângulo 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>
          <a:spLocks/>
        </xdr:cNvSpPr>
      </xdr:nvSpPr>
      <xdr:spPr>
        <a:xfrm>
          <a:off x="676274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1</xdr:col>
      <xdr:colOff>0</xdr:colOff>
      <xdr:row>0</xdr:row>
      <xdr:rowOff>95250</xdr:rowOff>
    </xdr:from>
    <xdr:to>
      <xdr:col>2</xdr:col>
      <xdr:colOff>867833</xdr:colOff>
      <xdr:row>0</xdr:row>
      <xdr:rowOff>423306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3</xdr:col>
      <xdr:colOff>105832</xdr:colOff>
      <xdr:row>0</xdr:row>
      <xdr:rowOff>0</xdr:rowOff>
    </xdr:from>
    <xdr:to>
      <xdr:col>3</xdr:col>
      <xdr:colOff>1147231</xdr:colOff>
      <xdr:row>1</xdr:row>
      <xdr:rowOff>2910</xdr:rowOff>
    </xdr:to>
    <xdr:sp macro="" textlink="">
      <xdr:nvSpPr>
        <xdr:cNvPr id="11" name="Retângulo 10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1147232</xdr:colOff>
      <xdr:row>0</xdr:row>
      <xdr:rowOff>0</xdr:rowOff>
    </xdr:from>
    <xdr:to>
      <xdr:col>5</xdr:col>
      <xdr:colOff>962723</xdr:colOff>
      <xdr:row>1</xdr:row>
      <xdr:rowOff>2910</xdr:rowOff>
    </xdr:to>
    <xdr:sp macro="" textlink="">
      <xdr:nvSpPr>
        <xdr:cNvPr id="12" name="Retângulo 1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900-00000C000000}"/>
            </a:ext>
          </a:extLst>
        </xdr:cNvPr>
        <xdr:cNvSpPr>
          <a:spLocks/>
        </xdr:cNvSpPr>
      </xdr:nvSpPr>
      <xdr:spPr>
        <a:xfrm>
          <a:off x="2448982" y="0"/>
          <a:ext cx="1032574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PONTO</a:t>
          </a:r>
          <a:r>
            <a:rPr lang="pt-BR" sz="1100" b="1" baseline="0">
              <a:solidFill>
                <a:schemeClr val="bg1"/>
              </a:solidFill>
            </a:rPr>
            <a:t> DE EQUILÍBRIO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5</xdr:col>
      <xdr:colOff>960965</xdr:colOff>
      <xdr:row>0</xdr:row>
      <xdr:rowOff>0</xdr:rowOff>
    </xdr:from>
    <xdr:to>
      <xdr:col>6</xdr:col>
      <xdr:colOff>1100667</xdr:colOff>
      <xdr:row>1</xdr:row>
      <xdr:rowOff>2910</xdr:rowOff>
    </xdr:to>
    <xdr:sp macro="" textlink="">
      <xdr:nvSpPr>
        <xdr:cNvPr id="13" name="Retângulo 12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900-00000D000000}"/>
            </a:ext>
          </a:extLst>
        </xdr:cNvPr>
        <xdr:cNvSpPr>
          <a:spLocks/>
        </xdr:cNvSpPr>
      </xdr:nvSpPr>
      <xdr:spPr>
        <a:xfrm>
          <a:off x="3479798" y="0"/>
          <a:ext cx="117686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ANÁLISE</a:t>
          </a:r>
          <a:r>
            <a:rPr lang="pt-BR" sz="1100" b="1" baseline="0"/>
            <a:t> DE CONCORRÊNCIA</a:t>
          </a:r>
          <a:endParaRPr lang="pt-BR" sz="1100" b="1"/>
        </a:p>
      </xdr:txBody>
    </xdr:sp>
    <xdr:clientData/>
  </xdr:twoCellAnchor>
  <xdr:twoCellAnchor editAs="absolute">
    <xdr:from>
      <xdr:col>6</xdr:col>
      <xdr:colOff>1123944</xdr:colOff>
      <xdr:row>0</xdr:row>
      <xdr:rowOff>0</xdr:rowOff>
    </xdr:from>
    <xdr:to>
      <xdr:col>8</xdr:col>
      <xdr:colOff>948260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>
          <a:spLocks/>
        </xdr:cNvSpPr>
      </xdr:nvSpPr>
      <xdr:spPr>
        <a:xfrm>
          <a:off x="46799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</a:t>
          </a:r>
        </a:p>
      </xdr:txBody>
    </xdr:sp>
    <xdr:clientData/>
  </xdr:twoCellAnchor>
  <xdr:twoCellAnchor editAs="absolute">
    <xdr:from>
      <xdr:col>8</xdr:col>
      <xdr:colOff>948261</xdr:colOff>
      <xdr:row>0</xdr:row>
      <xdr:rowOff>0</xdr:rowOff>
    </xdr:from>
    <xdr:to>
      <xdr:col>9</xdr:col>
      <xdr:colOff>952493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>
          <a:spLocks/>
        </xdr:cNvSpPr>
      </xdr:nvSpPr>
      <xdr:spPr>
        <a:xfrm>
          <a:off x="5721344" y="0"/>
          <a:ext cx="1041399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  <xdr:twoCellAnchor editAs="absolute">
    <xdr:from>
      <xdr:col>2</xdr:col>
      <xdr:colOff>836088</xdr:colOff>
      <xdr:row>1</xdr:row>
      <xdr:rowOff>95250</xdr:rowOff>
    </xdr:from>
    <xdr:to>
      <xdr:col>3</xdr:col>
      <xdr:colOff>1047754</xdr:colOff>
      <xdr:row>2</xdr:row>
      <xdr:rowOff>13567</xdr:rowOff>
    </xdr:to>
    <xdr:sp macro="" textlink="">
      <xdr:nvSpPr>
        <xdr:cNvPr id="16" name="Retângulo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/>
      </xdr:nvSpPr>
      <xdr:spPr>
        <a:xfrm>
          <a:off x="1100671" y="592667"/>
          <a:ext cx="1248833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GERAL</a:t>
          </a:r>
        </a:p>
      </xdr:txBody>
    </xdr:sp>
    <xdr:clientData/>
  </xdr:twoCellAnchor>
  <xdr:twoCellAnchor editAs="absolute">
    <xdr:from>
      <xdr:col>3</xdr:col>
      <xdr:colOff>1051953</xdr:colOff>
      <xdr:row>1</xdr:row>
      <xdr:rowOff>99488</xdr:rowOff>
    </xdr:from>
    <xdr:to>
      <xdr:col>6</xdr:col>
      <xdr:colOff>46536</xdr:colOff>
      <xdr:row>2</xdr:row>
      <xdr:rowOff>17805</xdr:rowOff>
    </xdr:to>
    <xdr:sp macro="" textlink="">
      <xdr:nvSpPr>
        <xdr:cNvPr id="18" name="Retângulo 1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/>
      </xdr:nvSpPr>
      <xdr:spPr>
        <a:xfrm>
          <a:off x="2353703" y="596905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ysClr val="windowText" lastClr="000000"/>
              </a:solidFill>
            </a:rPr>
            <a:t>POR</a:t>
          </a:r>
          <a:r>
            <a:rPr lang="pt-BR" sz="1100" b="1" baseline="0">
              <a:solidFill>
                <a:sysClr val="windowText" lastClr="000000"/>
              </a:solidFill>
            </a:rPr>
            <a:t> PRODUTO</a:t>
          </a:r>
          <a:endParaRPr lang="pt-BR" sz="11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3</xdr:col>
      <xdr:colOff>1174754</xdr:colOff>
      <xdr:row>2</xdr:row>
      <xdr:rowOff>13567</xdr:rowOff>
    </xdr:to>
    <xdr:sp macro="" textlink="">
      <xdr:nvSpPr>
        <xdr:cNvPr id="16" name="Retângulo 1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SpPr/>
      </xdr:nvSpPr>
      <xdr:spPr>
        <a:xfrm>
          <a:off x="1100671" y="592667"/>
          <a:ext cx="1248833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PASSO A PASSO</a:t>
          </a:r>
        </a:p>
      </xdr:txBody>
    </xdr:sp>
    <xdr:clientData/>
  </xdr:twoCellAnchor>
  <xdr:twoCellAnchor editAs="absolute">
    <xdr:from>
      <xdr:col>3</xdr:col>
      <xdr:colOff>1189571</xdr:colOff>
      <xdr:row>1</xdr:row>
      <xdr:rowOff>88901</xdr:rowOff>
    </xdr:from>
    <xdr:to>
      <xdr:col>4</xdr:col>
      <xdr:colOff>201083</xdr:colOff>
      <xdr:row>2</xdr:row>
      <xdr:rowOff>7218</xdr:rowOff>
    </xdr:to>
    <xdr:sp macro="" textlink="">
      <xdr:nvSpPr>
        <xdr:cNvPr id="17" name="Retângulo 16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SpPr/>
      </xdr:nvSpPr>
      <xdr:spPr>
        <a:xfrm>
          <a:off x="2364321" y="586318"/>
          <a:ext cx="1636179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DÚVIDAS FREQUENTES</a:t>
          </a:r>
        </a:p>
      </xdr:txBody>
    </xdr:sp>
    <xdr:clientData/>
  </xdr:twoCellAnchor>
  <xdr:twoCellAnchor editAs="absolute">
    <xdr:from>
      <xdr:col>4</xdr:col>
      <xdr:colOff>209554</xdr:colOff>
      <xdr:row>1</xdr:row>
      <xdr:rowOff>84666</xdr:rowOff>
    </xdr:from>
    <xdr:to>
      <xdr:col>4</xdr:col>
      <xdr:colOff>1845733</xdr:colOff>
      <xdr:row>2</xdr:row>
      <xdr:rowOff>11451</xdr:rowOff>
    </xdr:to>
    <xdr:sp macro="" textlink="">
      <xdr:nvSpPr>
        <xdr:cNvPr id="18" name="Retângulo 17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SpPr/>
      </xdr:nvSpPr>
      <xdr:spPr>
        <a:xfrm>
          <a:off x="4008971" y="582083"/>
          <a:ext cx="1636179" cy="307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SUGESTÕES</a:t>
          </a:r>
        </a:p>
      </xdr:txBody>
    </xdr:sp>
    <xdr:clientData/>
  </xdr:twoCellAnchor>
  <xdr:twoCellAnchor editAs="absolute">
    <xdr:from>
      <xdr:col>4</xdr:col>
      <xdr:colOff>1852083</xdr:colOff>
      <xdr:row>1</xdr:row>
      <xdr:rowOff>84666</xdr:rowOff>
    </xdr:from>
    <xdr:to>
      <xdr:col>5</xdr:col>
      <xdr:colOff>1403346</xdr:colOff>
      <xdr:row>2</xdr:row>
      <xdr:rowOff>11451</xdr:rowOff>
    </xdr:to>
    <xdr:sp macro="" textlink="">
      <xdr:nvSpPr>
        <xdr:cNvPr id="19" name="Retângulo 18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A00-000013000000}"/>
            </a:ext>
          </a:extLst>
        </xdr:cNvPr>
        <xdr:cNvSpPr/>
      </xdr:nvSpPr>
      <xdr:spPr>
        <a:xfrm>
          <a:off x="5651500" y="582083"/>
          <a:ext cx="1636179" cy="307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SOBRE A LUZ</a:t>
          </a:r>
        </a:p>
      </xdr:txBody>
    </xdr:sp>
    <xdr:clientData/>
  </xdr:twoCellAnchor>
  <xdr:twoCellAnchor editAs="absolute">
    <xdr:from>
      <xdr:col>5</xdr:col>
      <xdr:colOff>878409</xdr:colOff>
      <xdr:row>0</xdr:row>
      <xdr:rowOff>0</xdr:rowOff>
    </xdr:from>
    <xdr:to>
      <xdr:col>5</xdr:col>
      <xdr:colOff>1919808</xdr:colOff>
      <xdr:row>1</xdr:row>
      <xdr:rowOff>2910</xdr:rowOff>
    </xdr:to>
    <xdr:sp macro="" textlink="">
      <xdr:nvSpPr>
        <xdr:cNvPr id="20" name="Retângulo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A00-000014000000}"/>
            </a:ext>
          </a:extLst>
        </xdr:cNvPr>
        <xdr:cNvSpPr>
          <a:spLocks/>
        </xdr:cNvSpPr>
      </xdr:nvSpPr>
      <xdr:spPr>
        <a:xfrm>
          <a:off x="6762742" y="0"/>
          <a:ext cx="1041399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1</xdr:col>
      <xdr:colOff>0</xdr:colOff>
      <xdr:row>0</xdr:row>
      <xdr:rowOff>95250</xdr:rowOff>
    </xdr:from>
    <xdr:to>
      <xdr:col>2</xdr:col>
      <xdr:colOff>867833</xdr:colOff>
      <xdr:row>0</xdr:row>
      <xdr:rowOff>423306</xdr:rowOff>
    </xdr:to>
    <xdr:pic>
      <xdr:nvPicPr>
        <xdr:cNvPr id="21" name="Imagem 20">
          <a:extLst>
            <a:ext uri="{FF2B5EF4-FFF2-40B4-BE49-F238E27FC236}">
              <a16:creationId xmlns:a16="http://schemas.microsoft.com/office/drawing/2014/main" id="{00000000-0008-0000-0A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3</xdr:col>
      <xdr:colOff>232832</xdr:colOff>
      <xdr:row>0</xdr:row>
      <xdr:rowOff>0</xdr:rowOff>
    </xdr:from>
    <xdr:to>
      <xdr:col>3</xdr:col>
      <xdr:colOff>1274231</xdr:colOff>
      <xdr:row>1</xdr:row>
      <xdr:rowOff>2910</xdr:rowOff>
    </xdr:to>
    <xdr:sp macro="" textlink="">
      <xdr:nvSpPr>
        <xdr:cNvPr id="22" name="Retângulo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A00-000016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1274232</xdr:colOff>
      <xdr:row>0</xdr:row>
      <xdr:rowOff>0</xdr:rowOff>
    </xdr:from>
    <xdr:to>
      <xdr:col>3</xdr:col>
      <xdr:colOff>2306806</xdr:colOff>
      <xdr:row>1</xdr:row>
      <xdr:rowOff>2910</xdr:rowOff>
    </xdr:to>
    <xdr:sp macro="" textlink="">
      <xdr:nvSpPr>
        <xdr:cNvPr id="23" name="Retângulo 2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A00-000017000000}"/>
            </a:ext>
          </a:extLst>
        </xdr:cNvPr>
        <xdr:cNvSpPr>
          <a:spLocks/>
        </xdr:cNvSpPr>
      </xdr:nvSpPr>
      <xdr:spPr>
        <a:xfrm>
          <a:off x="2448982" y="0"/>
          <a:ext cx="1032574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PONTO</a:t>
          </a:r>
          <a:r>
            <a:rPr lang="pt-BR" sz="1100" b="1" baseline="0">
              <a:solidFill>
                <a:schemeClr val="bg1"/>
              </a:solidFill>
            </a:rPr>
            <a:t> DE EQUILÍBRIO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2305048</xdr:colOff>
      <xdr:row>0</xdr:row>
      <xdr:rowOff>0</xdr:rowOff>
    </xdr:from>
    <xdr:to>
      <xdr:col>4</xdr:col>
      <xdr:colOff>857250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A00-000018000000}"/>
            </a:ext>
          </a:extLst>
        </xdr:cNvPr>
        <xdr:cNvSpPr>
          <a:spLocks/>
        </xdr:cNvSpPr>
      </xdr:nvSpPr>
      <xdr:spPr>
        <a:xfrm>
          <a:off x="3479798" y="0"/>
          <a:ext cx="117686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ANÁLISE</a:t>
          </a:r>
          <a:r>
            <a:rPr lang="pt-BR" sz="1100" b="1" baseline="0"/>
            <a:t> DE CONCORRÊNCIA</a:t>
          </a:r>
          <a:endParaRPr lang="pt-BR" sz="1100" b="1"/>
        </a:p>
      </xdr:txBody>
    </xdr:sp>
    <xdr:clientData/>
  </xdr:twoCellAnchor>
  <xdr:twoCellAnchor editAs="absolute">
    <xdr:from>
      <xdr:col>4</xdr:col>
      <xdr:colOff>880527</xdr:colOff>
      <xdr:row>0</xdr:row>
      <xdr:rowOff>0</xdr:rowOff>
    </xdr:from>
    <xdr:to>
      <xdr:col>4</xdr:col>
      <xdr:colOff>1921926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A00-000019000000}"/>
            </a:ext>
          </a:extLst>
        </xdr:cNvPr>
        <xdr:cNvSpPr>
          <a:spLocks/>
        </xdr:cNvSpPr>
      </xdr:nvSpPr>
      <xdr:spPr>
        <a:xfrm>
          <a:off x="46799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</a:t>
          </a:r>
        </a:p>
      </xdr:txBody>
    </xdr:sp>
    <xdr:clientData/>
  </xdr:twoCellAnchor>
  <xdr:twoCellAnchor editAs="absolute">
    <xdr:from>
      <xdr:col>4</xdr:col>
      <xdr:colOff>1921927</xdr:colOff>
      <xdr:row>0</xdr:row>
      <xdr:rowOff>0</xdr:rowOff>
    </xdr:from>
    <xdr:to>
      <xdr:col>5</xdr:col>
      <xdr:colOff>878410</xdr:colOff>
      <xdr:row>1</xdr:row>
      <xdr:rowOff>2910</xdr:rowOff>
    </xdr:to>
    <xdr:sp macro="" textlink="">
      <xdr:nvSpPr>
        <xdr:cNvPr id="26" name="Retângulo 2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A00-00001A000000}"/>
            </a:ext>
          </a:extLst>
        </xdr:cNvPr>
        <xdr:cNvSpPr>
          <a:spLocks/>
        </xdr:cNvSpPr>
      </xdr:nvSpPr>
      <xdr:spPr>
        <a:xfrm>
          <a:off x="57213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2</xdr:col>
      <xdr:colOff>2084921</xdr:colOff>
      <xdr:row>2</xdr:row>
      <xdr:rowOff>13567</xdr:rowOff>
    </xdr:to>
    <xdr:sp macro="" textlink="">
      <xdr:nvSpPr>
        <xdr:cNvPr id="9" name="Retângulo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/>
      </xdr:nvSpPr>
      <xdr:spPr>
        <a:xfrm>
          <a:off x="1102788" y="590550"/>
          <a:ext cx="1244599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PASSO A PASSO</a:t>
          </a:r>
        </a:p>
      </xdr:txBody>
    </xdr:sp>
    <xdr:clientData/>
  </xdr:twoCellAnchor>
  <xdr:twoCellAnchor editAs="absolute">
    <xdr:from>
      <xdr:col>2</xdr:col>
      <xdr:colOff>2099738</xdr:colOff>
      <xdr:row>1</xdr:row>
      <xdr:rowOff>88901</xdr:rowOff>
    </xdr:from>
    <xdr:to>
      <xdr:col>2</xdr:col>
      <xdr:colOff>3735917</xdr:colOff>
      <xdr:row>2</xdr:row>
      <xdr:rowOff>7218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2362204" y="584201"/>
          <a:ext cx="1637238" cy="299317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DÚVIDAS FREQUENTES</a:t>
          </a:r>
        </a:p>
      </xdr:txBody>
    </xdr:sp>
    <xdr:clientData/>
  </xdr:twoCellAnchor>
  <xdr:twoCellAnchor editAs="absolute">
    <xdr:from>
      <xdr:col>2</xdr:col>
      <xdr:colOff>3744388</xdr:colOff>
      <xdr:row>1</xdr:row>
      <xdr:rowOff>84666</xdr:rowOff>
    </xdr:from>
    <xdr:to>
      <xdr:col>2</xdr:col>
      <xdr:colOff>5380567</xdr:colOff>
      <xdr:row>2</xdr:row>
      <xdr:rowOff>11451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/>
      </xdr:nvSpPr>
      <xdr:spPr>
        <a:xfrm>
          <a:off x="4007913" y="579966"/>
          <a:ext cx="1636179" cy="307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SUGESTÕES</a:t>
          </a:r>
        </a:p>
      </xdr:txBody>
    </xdr:sp>
    <xdr:clientData/>
  </xdr:twoCellAnchor>
  <xdr:twoCellAnchor editAs="absolute">
    <xdr:from>
      <xdr:col>2</xdr:col>
      <xdr:colOff>5386917</xdr:colOff>
      <xdr:row>1</xdr:row>
      <xdr:rowOff>84666</xdr:rowOff>
    </xdr:from>
    <xdr:to>
      <xdr:col>4</xdr:col>
      <xdr:colOff>313262</xdr:colOff>
      <xdr:row>2</xdr:row>
      <xdr:rowOff>11451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/>
      </xdr:nvSpPr>
      <xdr:spPr>
        <a:xfrm>
          <a:off x="5650442" y="579966"/>
          <a:ext cx="1637237" cy="307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SOBRE A LUZ</a:t>
          </a:r>
        </a:p>
      </xdr:txBody>
    </xdr:sp>
    <xdr:clientData/>
  </xdr:twoCellAnchor>
  <xdr:twoCellAnchor editAs="absolute">
    <xdr:from>
      <xdr:col>3</xdr:col>
      <xdr:colOff>10575</xdr:colOff>
      <xdr:row>0</xdr:row>
      <xdr:rowOff>0</xdr:rowOff>
    </xdr:from>
    <xdr:to>
      <xdr:col>4</xdr:col>
      <xdr:colOff>829724</xdr:colOff>
      <xdr:row>1</xdr:row>
      <xdr:rowOff>2910</xdr:rowOff>
    </xdr:to>
    <xdr:sp macro="" textlink="">
      <xdr:nvSpPr>
        <xdr:cNvPr id="6" name="Retângulo 5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B00-000006000000}"/>
            </a:ext>
          </a:extLst>
        </xdr:cNvPr>
        <xdr:cNvSpPr>
          <a:spLocks/>
        </xdr:cNvSpPr>
      </xdr:nvSpPr>
      <xdr:spPr>
        <a:xfrm>
          <a:off x="6762742" y="0"/>
          <a:ext cx="1041399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1</xdr:col>
      <xdr:colOff>0</xdr:colOff>
      <xdr:row>0</xdr:row>
      <xdr:rowOff>95250</xdr:rowOff>
    </xdr:from>
    <xdr:to>
      <xdr:col>2</xdr:col>
      <xdr:colOff>867833</xdr:colOff>
      <xdr:row>0</xdr:row>
      <xdr:rowOff>423306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1142999</xdr:colOff>
      <xdr:row>0</xdr:row>
      <xdr:rowOff>0</xdr:rowOff>
    </xdr:from>
    <xdr:to>
      <xdr:col>2</xdr:col>
      <xdr:colOff>2184398</xdr:colOff>
      <xdr:row>1</xdr:row>
      <xdr:rowOff>2910</xdr:rowOff>
    </xdr:to>
    <xdr:sp macro="" textlink="">
      <xdr:nvSpPr>
        <xdr:cNvPr id="8" name="Retângulo 7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B00-000008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2</xdr:col>
      <xdr:colOff>2184399</xdr:colOff>
      <xdr:row>0</xdr:row>
      <xdr:rowOff>0</xdr:rowOff>
    </xdr:from>
    <xdr:to>
      <xdr:col>2</xdr:col>
      <xdr:colOff>3216973</xdr:colOff>
      <xdr:row>1</xdr:row>
      <xdr:rowOff>2910</xdr:rowOff>
    </xdr:to>
    <xdr:sp macro="" textlink="">
      <xdr:nvSpPr>
        <xdr:cNvPr id="13" name="Retângulo 12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>
          <a:spLocks/>
        </xdr:cNvSpPr>
      </xdr:nvSpPr>
      <xdr:spPr>
        <a:xfrm>
          <a:off x="2448982" y="0"/>
          <a:ext cx="1032574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PONTO</a:t>
          </a:r>
          <a:r>
            <a:rPr lang="pt-BR" sz="1100" b="1" baseline="0">
              <a:solidFill>
                <a:schemeClr val="bg1"/>
              </a:solidFill>
            </a:rPr>
            <a:t> DE EQUILÍBRIO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3215215</xdr:colOff>
      <xdr:row>0</xdr:row>
      <xdr:rowOff>0</xdr:rowOff>
    </xdr:from>
    <xdr:to>
      <xdr:col>2</xdr:col>
      <xdr:colOff>4392084</xdr:colOff>
      <xdr:row>1</xdr:row>
      <xdr:rowOff>2910</xdr:rowOff>
    </xdr:to>
    <xdr:sp macro="" textlink="">
      <xdr:nvSpPr>
        <xdr:cNvPr id="14" name="Retângulo 13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>
          <a:spLocks/>
        </xdr:cNvSpPr>
      </xdr:nvSpPr>
      <xdr:spPr>
        <a:xfrm>
          <a:off x="3479798" y="0"/>
          <a:ext cx="117686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ANÁLISE</a:t>
          </a:r>
          <a:r>
            <a:rPr lang="pt-BR" sz="1100" b="1" baseline="0"/>
            <a:t> DE CONCORRÊNCIA</a:t>
          </a:r>
          <a:endParaRPr lang="pt-BR" sz="1100" b="1"/>
        </a:p>
      </xdr:txBody>
    </xdr:sp>
    <xdr:clientData/>
  </xdr:twoCellAnchor>
  <xdr:twoCellAnchor editAs="absolute">
    <xdr:from>
      <xdr:col>2</xdr:col>
      <xdr:colOff>4415361</xdr:colOff>
      <xdr:row>0</xdr:row>
      <xdr:rowOff>0</xdr:rowOff>
    </xdr:from>
    <xdr:to>
      <xdr:col>2</xdr:col>
      <xdr:colOff>5456760</xdr:colOff>
      <xdr:row>1</xdr:row>
      <xdr:rowOff>2910</xdr:rowOff>
    </xdr:to>
    <xdr:sp macro="" textlink="">
      <xdr:nvSpPr>
        <xdr:cNvPr id="15" name="Retângulo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B00-00000F000000}"/>
            </a:ext>
          </a:extLst>
        </xdr:cNvPr>
        <xdr:cNvSpPr>
          <a:spLocks/>
        </xdr:cNvSpPr>
      </xdr:nvSpPr>
      <xdr:spPr>
        <a:xfrm>
          <a:off x="46799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</a:t>
          </a:r>
        </a:p>
      </xdr:txBody>
    </xdr:sp>
    <xdr:clientData/>
  </xdr:twoCellAnchor>
  <xdr:twoCellAnchor editAs="absolute">
    <xdr:from>
      <xdr:col>2</xdr:col>
      <xdr:colOff>5456761</xdr:colOff>
      <xdr:row>0</xdr:row>
      <xdr:rowOff>0</xdr:rowOff>
    </xdr:from>
    <xdr:to>
      <xdr:col>3</xdr:col>
      <xdr:colOff>10576</xdr:colOff>
      <xdr:row>1</xdr:row>
      <xdr:rowOff>2910</xdr:rowOff>
    </xdr:to>
    <xdr:sp macro="" textlink="">
      <xdr:nvSpPr>
        <xdr:cNvPr id="16" name="Retângulo 15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SpPr>
          <a:spLocks/>
        </xdr:cNvSpPr>
      </xdr:nvSpPr>
      <xdr:spPr>
        <a:xfrm>
          <a:off x="57213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306921</xdr:colOff>
      <xdr:row>1</xdr:row>
      <xdr:rowOff>95250</xdr:rowOff>
    </xdr:from>
    <xdr:to>
      <xdr:col>3</xdr:col>
      <xdr:colOff>1555754</xdr:colOff>
      <xdr:row>2</xdr:row>
      <xdr:rowOff>13567</xdr:rowOff>
    </xdr:to>
    <xdr:sp macro="" textlink="">
      <xdr:nvSpPr>
        <xdr:cNvPr id="9" name="Retângulo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/>
      </xdr:nvSpPr>
      <xdr:spPr>
        <a:xfrm>
          <a:off x="1102788" y="590550"/>
          <a:ext cx="1244599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PASSO A PASSO</a:t>
          </a:r>
        </a:p>
      </xdr:txBody>
    </xdr:sp>
    <xdr:clientData/>
  </xdr:twoCellAnchor>
  <xdr:twoCellAnchor editAs="absolute">
    <xdr:from>
      <xdr:col>3</xdr:col>
      <xdr:colOff>1570571</xdr:colOff>
      <xdr:row>1</xdr:row>
      <xdr:rowOff>88901</xdr:rowOff>
    </xdr:from>
    <xdr:to>
      <xdr:col>3</xdr:col>
      <xdr:colOff>3206750</xdr:colOff>
      <xdr:row>2</xdr:row>
      <xdr:rowOff>7218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/>
      </xdr:nvSpPr>
      <xdr:spPr>
        <a:xfrm>
          <a:off x="2362204" y="584201"/>
          <a:ext cx="1637238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DÚVIDAS FREQUENTES</a:t>
          </a:r>
        </a:p>
      </xdr:txBody>
    </xdr:sp>
    <xdr:clientData/>
  </xdr:twoCellAnchor>
  <xdr:twoCellAnchor editAs="absolute">
    <xdr:from>
      <xdr:col>3</xdr:col>
      <xdr:colOff>3215221</xdr:colOff>
      <xdr:row>1</xdr:row>
      <xdr:rowOff>84666</xdr:rowOff>
    </xdr:from>
    <xdr:to>
      <xdr:col>4</xdr:col>
      <xdr:colOff>35983</xdr:colOff>
      <xdr:row>2</xdr:row>
      <xdr:rowOff>11451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/>
      </xdr:nvSpPr>
      <xdr:spPr>
        <a:xfrm>
          <a:off x="4007913" y="579966"/>
          <a:ext cx="1636179" cy="3077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SUGESTÕES</a:t>
          </a:r>
        </a:p>
      </xdr:txBody>
    </xdr:sp>
    <xdr:clientData/>
  </xdr:twoCellAnchor>
  <xdr:twoCellAnchor editAs="absolute">
    <xdr:from>
      <xdr:col>4</xdr:col>
      <xdr:colOff>42333</xdr:colOff>
      <xdr:row>1</xdr:row>
      <xdr:rowOff>84666</xdr:rowOff>
    </xdr:from>
    <xdr:to>
      <xdr:col>5</xdr:col>
      <xdr:colOff>503762</xdr:colOff>
      <xdr:row>2</xdr:row>
      <xdr:rowOff>11451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/>
      </xdr:nvSpPr>
      <xdr:spPr>
        <a:xfrm>
          <a:off x="5650442" y="579966"/>
          <a:ext cx="1637237" cy="307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SOBRE A LUZ</a:t>
          </a:r>
        </a:p>
      </xdr:txBody>
    </xdr:sp>
    <xdr:clientData/>
  </xdr:twoCellAnchor>
  <xdr:twoCellAnchor>
    <xdr:from>
      <xdr:col>5</xdr:col>
      <xdr:colOff>289982</xdr:colOff>
      <xdr:row>3</xdr:row>
      <xdr:rowOff>279398</xdr:rowOff>
    </xdr:from>
    <xdr:to>
      <xdr:col>7</xdr:col>
      <xdr:colOff>660400</xdr:colOff>
      <xdr:row>8</xdr:row>
      <xdr:rowOff>141815</xdr:rowOff>
    </xdr:to>
    <xdr:grpSp>
      <xdr:nvGrpSpPr>
        <xdr:cNvPr id="2" name="Agrupar 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pSpPr/>
      </xdr:nvGrpSpPr>
      <xdr:grpSpPr>
        <a:xfrm>
          <a:off x="7073899" y="1718731"/>
          <a:ext cx="4540251" cy="1661584"/>
          <a:chOff x="7073899" y="1157815"/>
          <a:chExt cx="4540251" cy="1661583"/>
        </a:xfrm>
      </xdr:grpSpPr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00000000-0008-0000-0C00-000017000000}"/>
              </a:ext>
            </a:extLst>
          </xdr:cNvPr>
          <xdr:cNvSpPr/>
        </xdr:nvSpPr>
        <xdr:spPr>
          <a:xfrm>
            <a:off x="7073899" y="1157815"/>
            <a:ext cx="4540251" cy="1661583"/>
          </a:xfrm>
          <a:prstGeom prst="rect">
            <a:avLst/>
          </a:prstGeom>
          <a:solidFill>
            <a:srgbClr val="6699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/>
          </a:p>
        </xdr:txBody>
      </xdr:sp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00000000-0008-0000-0C00-000018000000}"/>
              </a:ext>
            </a:extLst>
          </xdr:cNvPr>
          <xdr:cNvSpPr/>
        </xdr:nvSpPr>
        <xdr:spPr>
          <a:xfrm>
            <a:off x="8936565" y="1380067"/>
            <a:ext cx="2286001" cy="33866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800" b="0"/>
              <a:t>PACOTE DE</a:t>
            </a:r>
            <a:endParaRPr lang="pt-BR" sz="1600" b="1"/>
          </a:p>
        </xdr:txBody>
      </xdr:sp>
      <xdr:sp macro="" textlink="">
        <xdr:nvSpPr>
          <xdr:cNvPr id="25" name="Retângulo: Cantos Arredondados 24">
            <a:extLst>
              <a:ext uri="{FF2B5EF4-FFF2-40B4-BE49-F238E27FC236}">
                <a16:creationId xmlns:a16="http://schemas.microsoft.com/office/drawing/2014/main" id="{00000000-0008-0000-0C00-000019000000}"/>
              </a:ext>
            </a:extLst>
          </xdr:cNvPr>
          <xdr:cNvSpPr/>
        </xdr:nvSpPr>
        <xdr:spPr>
          <a:xfrm>
            <a:off x="9063566" y="2036231"/>
            <a:ext cx="1873250" cy="381000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Veja mais detalhes</a:t>
            </a:r>
          </a:p>
        </xdr:txBody>
      </xdr:sp>
      <xdr:sp macro="" textlink="">
        <xdr:nvSpPr>
          <xdr:cNvPr id="26" name="Shape 2570">
            <a:extLst>
              <a:ext uri="{FF2B5EF4-FFF2-40B4-BE49-F238E27FC236}">
                <a16:creationId xmlns:a16="http://schemas.microsoft.com/office/drawing/2014/main" id="{00000000-0008-0000-0C00-00001A000000}"/>
              </a:ext>
            </a:extLst>
          </xdr:cNvPr>
          <xdr:cNvSpPr/>
        </xdr:nvSpPr>
        <xdr:spPr>
          <a:xfrm>
            <a:off x="7471835" y="1432981"/>
            <a:ext cx="1136648" cy="102235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319" extrusionOk="0">
                <a:moveTo>
                  <a:pt x="7530" y="4197"/>
                </a:moveTo>
                <a:lnTo>
                  <a:pt x="6680" y="3701"/>
                </a:lnTo>
                <a:lnTo>
                  <a:pt x="6189" y="4560"/>
                </a:lnTo>
                <a:lnTo>
                  <a:pt x="7040" y="5056"/>
                </a:lnTo>
                <a:cubicBezTo>
                  <a:pt x="7040" y="5056"/>
                  <a:pt x="7530" y="4197"/>
                  <a:pt x="7530" y="4197"/>
                </a:cubicBezTo>
                <a:close/>
                <a:moveTo>
                  <a:pt x="8512" y="2479"/>
                </a:moveTo>
                <a:lnTo>
                  <a:pt x="7662" y="1984"/>
                </a:lnTo>
                <a:lnTo>
                  <a:pt x="7171" y="2843"/>
                </a:lnTo>
                <a:lnTo>
                  <a:pt x="8021" y="3339"/>
                </a:lnTo>
                <a:cubicBezTo>
                  <a:pt x="8021" y="3339"/>
                  <a:pt x="8512" y="2479"/>
                  <a:pt x="8512" y="2479"/>
                </a:cubicBezTo>
                <a:close/>
                <a:moveTo>
                  <a:pt x="20618" y="8428"/>
                </a:moveTo>
                <a:lnTo>
                  <a:pt x="982" y="8428"/>
                </a:lnTo>
                <a:lnTo>
                  <a:pt x="982" y="6445"/>
                </a:lnTo>
                <a:lnTo>
                  <a:pt x="20618" y="6445"/>
                </a:lnTo>
                <a:cubicBezTo>
                  <a:pt x="20618" y="6445"/>
                  <a:pt x="20618" y="8428"/>
                  <a:pt x="20618" y="8428"/>
                </a:cubicBezTo>
                <a:close/>
                <a:moveTo>
                  <a:pt x="18655" y="20327"/>
                </a:moveTo>
                <a:lnTo>
                  <a:pt x="2945" y="20327"/>
                </a:lnTo>
                <a:lnTo>
                  <a:pt x="2945" y="9420"/>
                </a:lnTo>
                <a:lnTo>
                  <a:pt x="18655" y="9420"/>
                </a:lnTo>
                <a:cubicBezTo>
                  <a:pt x="18655" y="9420"/>
                  <a:pt x="18655" y="20327"/>
                  <a:pt x="18655" y="20327"/>
                </a:cubicBezTo>
                <a:close/>
                <a:moveTo>
                  <a:pt x="6811" y="1488"/>
                </a:moveTo>
                <a:cubicBezTo>
                  <a:pt x="7083" y="1014"/>
                  <a:pt x="7683" y="851"/>
                  <a:pt x="8153" y="1125"/>
                </a:cubicBezTo>
                <a:lnTo>
                  <a:pt x="9854" y="2117"/>
                </a:lnTo>
                <a:lnTo>
                  <a:pt x="7946" y="5454"/>
                </a:lnTo>
                <a:lnTo>
                  <a:pt x="5759" y="5454"/>
                </a:lnTo>
                <a:lnTo>
                  <a:pt x="5698" y="5419"/>
                </a:lnTo>
                <a:lnTo>
                  <a:pt x="5678" y="5454"/>
                </a:lnTo>
                <a:lnTo>
                  <a:pt x="4545" y="5454"/>
                </a:lnTo>
                <a:cubicBezTo>
                  <a:pt x="4545" y="5454"/>
                  <a:pt x="6811" y="1488"/>
                  <a:pt x="6811" y="1488"/>
                </a:cubicBezTo>
                <a:close/>
                <a:moveTo>
                  <a:pt x="15577" y="5454"/>
                </a:moveTo>
                <a:lnTo>
                  <a:pt x="9079" y="5454"/>
                </a:lnTo>
                <a:lnTo>
                  <a:pt x="10704" y="2612"/>
                </a:lnTo>
                <a:cubicBezTo>
                  <a:pt x="10704" y="2612"/>
                  <a:pt x="15577" y="5454"/>
                  <a:pt x="15577" y="5454"/>
                </a:cubicBezTo>
                <a:close/>
                <a:moveTo>
                  <a:pt x="15930" y="2759"/>
                </a:moveTo>
                <a:cubicBezTo>
                  <a:pt x="16454" y="2617"/>
                  <a:pt x="16991" y="2931"/>
                  <a:pt x="17132" y="3460"/>
                </a:cubicBezTo>
                <a:lnTo>
                  <a:pt x="17661" y="5454"/>
                </a:lnTo>
                <a:lnTo>
                  <a:pt x="17540" y="5454"/>
                </a:lnTo>
                <a:lnTo>
                  <a:pt x="16279" y="4718"/>
                </a:lnTo>
                <a:lnTo>
                  <a:pt x="16438" y="4674"/>
                </a:lnTo>
                <a:lnTo>
                  <a:pt x="16184" y="3716"/>
                </a:lnTo>
                <a:lnTo>
                  <a:pt x="15236" y="3973"/>
                </a:lnTo>
                <a:lnTo>
                  <a:pt x="15279" y="4135"/>
                </a:lnTo>
                <a:lnTo>
                  <a:pt x="14076" y="3434"/>
                </a:lnTo>
                <a:lnTo>
                  <a:pt x="14033" y="3272"/>
                </a:lnTo>
                <a:cubicBezTo>
                  <a:pt x="14033" y="3272"/>
                  <a:pt x="15930" y="2759"/>
                  <a:pt x="15930" y="2759"/>
                </a:cubicBezTo>
                <a:close/>
                <a:moveTo>
                  <a:pt x="20618" y="5454"/>
                </a:moveTo>
                <a:lnTo>
                  <a:pt x="18678" y="5454"/>
                </a:lnTo>
                <a:lnTo>
                  <a:pt x="18081" y="3203"/>
                </a:lnTo>
                <a:cubicBezTo>
                  <a:pt x="17800" y="2145"/>
                  <a:pt x="16724" y="1518"/>
                  <a:pt x="15676" y="1801"/>
                </a:cubicBezTo>
                <a:lnTo>
                  <a:pt x="12671" y="2615"/>
                </a:lnTo>
                <a:lnTo>
                  <a:pt x="8644" y="266"/>
                </a:lnTo>
                <a:cubicBezTo>
                  <a:pt x="7704" y="-281"/>
                  <a:pt x="6504" y="44"/>
                  <a:pt x="5961" y="992"/>
                </a:cubicBezTo>
                <a:lnTo>
                  <a:pt x="3410" y="5454"/>
                </a:lnTo>
                <a:lnTo>
                  <a:pt x="982" y="5454"/>
                </a:lnTo>
                <a:cubicBezTo>
                  <a:pt x="440" y="5454"/>
                  <a:pt x="0" y="5898"/>
                  <a:pt x="0" y="6445"/>
                </a:cubicBezTo>
                <a:lnTo>
                  <a:pt x="0" y="8428"/>
                </a:lnTo>
                <a:cubicBezTo>
                  <a:pt x="0" y="8977"/>
                  <a:pt x="440" y="9420"/>
                  <a:pt x="982" y="9420"/>
                </a:cubicBezTo>
                <a:lnTo>
                  <a:pt x="1964" y="9420"/>
                </a:lnTo>
                <a:lnTo>
                  <a:pt x="1964" y="20327"/>
                </a:lnTo>
                <a:cubicBezTo>
                  <a:pt x="1964" y="20875"/>
                  <a:pt x="2403" y="21319"/>
                  <a:pt x="2945" y="21319"/>
                </a:cubicBezTo>
                <a:lnTo>
                  <a:pt x="18655" y="21319"/>
                </a:lnTo>
                <a:cubicBezTo>
                  <a:pt x="19197" y="21319"/>
                  <a:pt x="19636" y="20875"/>
                  <a:pt x="19636" y="20327"/>
                </a:cubicBezTo>
                <a:lnTo>
                  <a:pt x="19636" y="9420"/>
                </a:lnTo>
                <a:lnTo>
                  <a:pt x="20618" y="9420"/>
                </a:lnTo>
                <a:cubicBezTo>
                  <a:pt x="21160" y="9420"/>
                  <a:pt x="21600" y="8977"/>
                  <a:pt x="21600" y="8428"/>
                </a:cubicBezTo>
                <a:lnTo>
                  <a:pt x="21600" y="6445"/>
                </a:lnTo>
                <a:cubicBezTo>
                  <a:pt x="21600" y="5898"/>
                  <a:pt x="21160" y="5454"/>
                  <a:pt x="20618" y="5454"/>
                </a:cubicBezTo>
                <a:moveTo>
                  <a:pt x="7855" y="12395"/>
                </a:moveTo>
                <a:lnTo>
                  <a:pt x="13745" y="12395"/>
                </a:lnTo>
                <a:lnTo>
                  <a:pt x="13745" y="13386"/>
                </a:lnTo>
                <a:lnTo>
                  <a:pt x="7855" y="13386"/>
                </a:lnTo>
                <a:cubicBezTo>
                  <a:pt x="7855" y="13386"/>
                  <a:pt x="7855" y="12395"/>
                  <a:pt x="7855" y="12395"/>
                </a:cubicBezTo>
                <a:close/>
                <a:moveTo>
                  <a:pt x="7855" y="14378"/>
                </a:moveTo>
                <a:lnTo>
                  <a:pt x="13745" y="14378"/>
                </a:lnTo>
                <a:cubicBezTo>
                  <a:pt x="14288" y="14378"/>
                  <a:pt x="14727" y="13934"/>
                  <a:pt x="14727" y="13386"/>
                </a:cubicBezTo>
                <a:lnTo>
                  <a:pt x="14727" y="12395"/>
                </a:lnTo>
                <a:cubicBezTo>
                  <a:pt x="14727" y="11847"/>
                  <a:pt x="14288" y="11403"/>
                  <a:pt x="13745" y="11403"/>
                </a:cubicBezTo>
                <a:lnTo>
                  <a:pt x="7855" y="11403"/>
                </a:lnTo>
                <a:cubicBezTo>
                  <a:pt x="7312" y="11403"/>
                  <a:pt x="6873" y="11847"/>
                  <a:pt x="6873" y="12395"/>
                </a:cubicBezTo>
                <a:lnTo>
                  <a:pt x="6873" y="13386"/>
                </a:lnTo>
                <a:cubicBezTo>
                  <a:pt x="6873" y="13934"/>
                  <a:pt x="7312" y="14378"/>
                  <a:pt x="7855" y="14378"/>
                </a:cubicBezTo>
              </a:path>
            </a:pathLst>
          </a:custGeom>
          <a:solidFill>
            <a:schemeClr val="bg1"/>
          </a:solidFill>
          <a:ln w="12700">
            <a:miter lim="400000"/>
          </a:ln>
        </xdr:spPr>
        <xdr:txBody>
          <a:bodyPr wrap="square" lIns="14284" tIns="14284" rIns="14284" bIns="14284" anchor="ctr"/>
          <a:lstStyle>
            <a:defPPr>
              <a:defRPr lang="en-US"/>
            </a:defPPr>
            <a:lvl1pPr marL="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16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33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49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66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582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299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15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32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171399" eaLnBrk="1" hangingPunct="1">
              <a:defRPr sz="3000" cap="none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  <a:latin typeface="Gill Sans"/>
                <a:ea typeface="Gill Sans"/>
                <a:cs typeface="Gill Sans"/>
                <a:sym typeface="Gill Sans"/>
              </a:defRPr>
            </a:pPr>
            <a:endParaRPr sz="1125">
              <a:solidFill>
                <a:srgbClr val="FFFFFF"/>
              </a:solidFill>
              <a:effectLst>
                <a:outerShdw blurRad="38100" dist="12700" dir="5400000" rotWithShape="0">
                  <a:srgbClr val="000000">
                    <a:alpha val="50000"/>
                  </a:srgbClr>
                </a:outerShdw>
              </a:effectLst>
              <a:latin typeface="Gill Sans"/>
              <a:ea typeface="Calibri" charset="0"/>
              <a:cs typeface="Calibri" charset="0"/>
              <a:sym typeface="Gill Sans"/>
            </a:endParaRPr>
          </a:p>
        </xdr:txBody>
      </xdr:sp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00000000-0008-0000-0C00-00001B000000}"/>
              </a:ext>
            </a:extLst>
          </xdr:cNvPr>
          <xdr:cNvSpPr/>
        </xdr:nvSpPr>
        <xdr:spPr>
          <a:xfrm>
            <a:off x="8930215" y="1574799"/>
            <a:ext cx="2286001" cy="450851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2400" b="1"/>
              <a:t>PLANILHAS LUZ</a:t>
            </a:r>
            <a:endParaRPr lang="pt-BR" sz="1600" b="1"/>
          </a:p>
        </xdr:txBody>
      </xdr:sp>
    </xdr:grpSp>
    <xdr:clientData/>
  </xdr:twoCellAnchor>
  <xdr:twoCellAnchor>
    <xdr:from>
      <xdr:col>5</xdr:col>
      <xdr:colOff>285749</xdr:colOff>
      <xdr:row>8</xdr:row>
      <xdr:rowOff>253999</xdr:rowOff>
    </xdr:from>
    <xdr:to>
      <xdr:col>7</xdr:col>
      <xdr:colOff>656167</xdr:colOff>
      <xdr:row>13</xdr:row>
      <xdr:rowOff>31748</xdr:rowOff>
    </xdr:to>
    <xdr:grpSp>
      <xdr:nvGrpSpPr>
        <xdr:cNvPr id="4" name="Agrupar 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GrpSpPr/>
      </xdr:nvGrpSpPr>
      <xdr:grpSpPr>
        <a:xfrm>
          <a:off x="7069666" y="3492499"/>
          <a:ext cx="4540251" cy="1661582"/>
          <a:chOff x="7069666" y="2931582"/>
          <a:chExt cx="4540251" cy="1661583"/>
        </a:xfrm>
      </xdr:grpSpPr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00000000-0008-0000-0C00-00000F000000}"/>
              </a:ext>
            </a:extLst>
          </xdr:cNvPr>
          <xdr:cNvSpPr/>
        </xdr:nvSpPr>
        <xdr:spPr>
          <a:xfrm>
            <a:off x="7069666" y="2931582"/>
            <a:ext cx="4540251" cy="1661583"/>
          </a:xfrm>
          <a:prstGeom prst="rect">
            <a:avLst/>
          </a:prstGeom>
          <a:solidFill>
            <a:srgbClr val="55B03E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/>
          </a:p>
        </xdr:txBody>
      </xdr:sp>
      <xdr:sp macro="" textlink="">
        <xdr:nvSpPr>
          <xdr:cNvPr id="16" name="Retângulo 15">
            <a:extLst>
              <a:ext uri="{FF2B5EF4-FFF2-40B4-BE49-F238E27FC236}">
                <a16:creationId xmlns:a16="http://schemas.microsoft.com/office/drawing/2014/main" id="{00000000-0008-0000-0C00-000010000000}"/>
              </a:ext>
            </a:extLst>
          </xdr:cNvPr>
          <xdr:cNvSpPr/>
        </xdr:nvSpPr>
        <xdr:spPr>
          <a:xfrm>
            <a:off x="8932332" y="3174999"/>
            <a:ext cx="2286001" cy="338666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1800" b="0"/>
              <a:t>CURSOS ONLINE DE</a:t>
            </a:r>
            <a:endParaRPr lang="pt-BR" sz="1600" b="1"/>
          </a:p>
        </xdr:txBody>
      </xdr:sp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00000000-0008-0000-0C00-000011000000}"/>
              </a:ext>
            </a:extLst>
          </xdr:cNvPr>
          <xdr:cNvSpPr/>
        </xdr:nvSpPr>
        <xdr:spPr>
          <a:xfrm>
            <a:off x="9059333" y="3958167"/>
            <a:ext cx="1873250" cy="381000"/>
          </a:xfrm>
          <a:prstGeom prst="roundRect">
            <a:avLst/>
          </a:prstGeom>
          <a:noFill/>
          <a:ln>
            <a:solidFill>
              <a:schemeClr val="bg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200" b="1"/>
              <a:t>Veja mais detalhes</a:t>
            </a:r>
          </a:p>
        </xdr:txBody>
      </xdr:sp>
      <xdr:sp macro="" textlink="">
        <xdr:nvSpPr>
          <xdr:cNvPr id="28" name="Shape 2546">
            <a:extLst>
              <a:ext uri="{FF2B5EF4-FFF2-40B4-BE49-F238E27FC236}">
                <a16:creationId xmlns:a16="http://schemas.microsoft.com/office/drawing/2014/main" id="{00000000-0008-0000-0C00-00001C000000}"/>
              </a:ext>
            </a:extLst>
          </xdr:cNvPr>
          <xdr:cNvSpPr/>
        </xdr:nvSpPr>
        <xdr:spPr>
          <a:xfrm>
            <a:off x="7524751" y="3344332"/>
            <a:ext cx="1016000" cy="825501"/>
          </a:xfrm>
          <a:custGeom>
            <a:avLst/>
            <a:gdLst/>
            <a:ahLst/>
            <a:cxnLst>
              <a:cxn ang="0">
                <a:pos x="wd2" y="hd2"/>
              </a:cxn>
              <a:cxn ang="5400000">
                <a:pos x="wd2" y="hd2"/>
              </a:cxn>
              <a:cxn ang="10800000">
                <a:pos x="wd2" y="hd2"/>
              </a:cxn>
              <a:cxn ang="16200000">
                <a:pos x="wd2" y="hd2"/>
              </a:cxn>
            </a:cxnLst>
            <a:rect l="0" t="0" r="r" b="b"/>
            <a:pathLst>
              <a:path w="21600" h="21600" extrusionOk="0">
                <a:moveTo>
                  <a:pt x="20618" y="20400"/>
                </a:moveTo>
                <a:lnTo>
                  <a:pt x="18655" y="20400"/>
                </a:lnTo>
                <a:lnTo>
                  <a:pt x="18655" y="1200"/>
                </a:lnTo>
                <a:lnTo>
                  <a:pt x="20618" y="1200"/>
                </a:lnTo>
                <a:cubicBezTo>
                  <a:pt x="20618" y="1200"/>
                  <a:pt x="20618" y="20400"/>
                  <a:pt x="20618" y="20400"/>
                </a:cubicBezTo>
                <a:close/>
                <a:moveTo>
                  <a:pt x="21109" y="0"/>
                </a:moveTo>
                <a:lnTo>
                  <a:pt x="18164" y="0"/>
                </a:lnTo>
                <a:cubicBezTo>
                  <a:pt x="17893" y="0"/>
                  <a:pt x="17673" y="269"/>
                  <a:pt x="17673" y="600"/>
                </a:cubicBezTo>
                <a:lnTo>
                  <a:pt x="17673" y="21000"/>
                </a:lnTo>
                <a:cubicBezTo>
                  <a:pt x="17673" y="21332"/>
                  <a:pt x="17893" y="21600"/>
                  <a:pt x="18164" y="21600"/>
                </a:cubicBezTo>
                <a:lnTo>
                  <a:pt x="21109" y="21600"/>
                </a:lnTo>
                <a:cubicBezTo>
                  <a:pt x="21380" y="21600"/>
                  <a:pt x="21600" y="21332"/>
                  <a:pt x="21600" y="21000"/>
                </a:cubicBezTo>
                <a:lnTo>
                  <a:pt x="21600" y="600"/>
                </a:lnTo>
                <a:cubicBezTo>
                  <a:pt x="21600" y="269"/>
                  <a:pt x="21380" y="0"/>
                  <a:pt x="21109" y="0"/>
                </a:cubicBezTo>
                <a:moveTo>
                  <a:pt x="8836" y="20400"/>
                </a:moveTo>
                <a:lnTo>
                  <a:pt x="6873" y="20400"/>
                </a:lnTo>
                <a:lnTo>
                  <a:pt x="6873" y="3600"/>
                </a:lnTo>
                <a:lnTo>
                  <a:pt x="8836" y="3600"/>
                </a:lnTo>
                <a:cubicBezTo>
                  <a:pt x="8836" y="3600"/>
                  <a:pt x="8836" y="20400"/>
                  <a:pt x="8836" y="20400"/>
                </a:cubicBezTo>
                <a:close/>
                <a:moveTo>
                  <a:pt x="9327" y="2400"/>
                </a:moveTo>
                <a:lnTo>
                  <a:pt x="6382" y="2400"/>
                </a:lnTo>
                <a:cubicBezTo>
                  <a:pt x="6111" y="2400"/>
                  <a:pt x="5891" y="2669"/>
                  <a:pt x="5891" y="3000"/>
                </a:cubicBezTo>
                <a:lnTo>
                  <a:pt x="5891" y="21000"/>
                </a:lnTo>
                <a:cubicBezTo>
                  <a:pt x="5891" y="21332"/>
                  <a:pt x="6111" y="21600"/>
                  <a:pt x="6382" y="21600"/>
                </a:cubicBezTo>
                <a:lnTo>
                  <a:pt x="9327" y="21600"/>
                </a:lnTo>
                <a:cubicBezTo>
                  <a:pt x="9598" y="21600"/>
                  <a:pt x="9818" y="21332"/>
                  <a:pt x="9818" y="21000"/>
                </a:cubicBezTo>
                <a:lnTo>
                  <a:pt x="9818" y="3000"/>
                </a:lnTo>
                <a:cubicBezTo>
                  <a:pt x="9818" y="2669"/>
                  <a:pt x="9598" y="2400"/>
                  <a:pt x="9327" y="2400"/>
                </a:cubicBezTo>
                <a:moveTo>
                  <a:pt x="14727" y="20400"/>
                </a:moveTo>
                <a:lnTo>
                  <a:pt x="12764" y="20400"/>
                </a:lnTo>
                <a:lnTo>
                  <a:pt x="12764" y="10800"/>
                </a:lnTo>
                <a:lnTo>
                  <a:pt x="14727" y="10800"/>
                </a:lnTo>
                <a:cubicBezTo>
                  <a:pt x="14727" y="10800"/>
                  <a:pt x="14727" y="20400"/>
                  <a:pt x="14727" y="20400"/>
                </a:cubicBezTo>
                <a:close/>
                <a:moveTo>
                  <a:pt x="15218" y="9600"/>
                </a:moveTo>
                <a:lnTo>
                  <a:pt x="12273" y="9600"/>
                </a:lnTo>
                <a:cubicBezTo>
                  <a:pt x="12002" y="9600"/>
                  <a:pt x="11782" y="9869"/>
                  <a:pt x="11782" y="10200"/>
                </a:cubicBezTo>
                <a:lnTo>
                  <a:pt x="11782" y="21000"/>
                </a:lnTo>
                <a:cubicBezTo>
                  <a:pt x="11782" y="21332"/>
                  <a:pt x="12002" y="21600"/>
                  <a:pt x="12273" y="21600"/>
                </a:cubicBezTo>
                <a:lnTo>
                  <a:pt x="15218" y="21600"/>
                </a:lnTo>
                <a:cubicBezTo>
                  <a:pt x="15489" y="21600"/>
                  <a:pt x="15709" y="21332"/>
                  <a:pt x="15709" y="21000"/>
                </a:cubicBezTo>
                <a:lnTo>
                  <a:pt x="15709" y="10200"/>
                </a:lnTo>
                <a:cubicBezTo>
                  <a:pt x="15709" y="9869"/>
                  <a:pt x="15489" y="9600"/>
                  <a:pt x="15218" y="9600"/>
                </a:cubicBezTo>
                <a:moveTo>
                  <a:pt x="2945" y="20400"/>
                </a:moveTo>
                <a:lnTo>
                  <a:pt x="982" y="20400"/>
                </a:lnTo>
                <a:lnTo>
                  <a:pt x="982" y="14400"/>
                </a:lnTo>
                <a:lnTo>
                  <a:pt x="2945" y="14400"/>
                </a:lnTo>
                <a:cubicBezTo>
                  <a:pt x="2945" y="14400"/>
                  <a:pt x="2945" y="20400"/>
                  <a:pt x="2945" y="20400"/>
                </a:cubicBezTo>
                <a:close/>
                <a:moveTo>
                  <a:pt x="3436" y="13200"/>
                </a:moveTo>
                <a:lnTo>
                  <a:pt x="491" y="13200"/>
                </a:lnTo>
                <a:cubicBezTo>
                  <a:pt x="220" y="13200"/>
                  <a:pt x="0" y="13469"/>
                  <a:pt x="0" y="13800"/>
                </a:cubicBezTo>
                <a:lnTo>
                  <a:pt x="0" y="21000"/>
                </a:lnTo>
                <a:cubicBezTo>
                  <a:pt x="0" y="21332"/>
                  <a:pt x="220" y="21600"/>
                  <a:pt x="491" y="21600"/>
                </a:cubicBezTo>
                <a:lnTo>
                  <a:pt x="3436" y="21600"/>
                </a:lnTo>
                <a:cubicBezTo>
                  <a:pt x="3707" y="21600"/>
                  <a:pt x="3927" y="21332"/>
                  <a:pt x="3927" y="21000"/>
                </a:cubicBezTo>
                <a:lnTo>
                  <a:pt x="3927" y="13800"/>
                </a:lnTo>
                <a:cubicBezTo>
                  <a:pt x="3927" y="13469"/>
                  <a:pt x="3707" y="13200"/>
                  <a:pt x="3436" y="13200"/>
                </a:cubicBezTo>
              </a:path>
            </a:pathLst>
          </a:custGeom>
          <a:solidFill>
            <a:schemeClr val="bg1"/>
          </a:solidFill>
          <a:ln w="12700">
            <a:miter lim="400000"/>
          </a:ln>
        </xdr:spPr>
        <xdr:txBody>
          <a:bodyPr wrap="square" lIns="14284" tIns="14284" rIns="14284" bIns="14284" anchor="ctr"/>
          <a:lstStyle>
            <a:defPPr>
              <a:defRPr lang="en-US"/>
            </a:defPPr>
            <a:lvl1pPr marL="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1pPr>
            <a:lvl2pPr marL="45716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2pPr>
            <a:lvl3pPr marL="91433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3pPr>
            <a:lvl4pPr marL="137149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4pPr>
            <a:lvl5pPr marL="182866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5pPr>
            <a:lvl6pPr marL="228582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6pPr>
            <a:lvl7pPr marL="274299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7pPr>
            <a:lvl8pPr marL="3200155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8pPr>
            <a:lvl9pPr marL="3657320" algn="l" defTabSz="914330" rtl="0" eaLnBrk="1" latinLnBrk="0" hangingPunct="1">
              <a:defRPr sz="1800" kern="1200">
                <a:solidFill>
                  <a:schemeClr val="tx1"/>
                </a:solidFill>
                <a:latin typeface="+mn-lt"/>
                <a:ea typeface="+mn-ea"/>
                <a:cs typeface="+mn-cs"/>
              </a:defRPr>
            </a:lvl9pPr>
          </a:lstStyle>
          <a:p>
            <a:pPr defTabSz="171399" eaLnBrk="1" hangingPunct="1">
              <a:defRPr sz="3000" cap="none">
                <a:solidFill>
                  <a:srgbClr val="FFFFFF"/>
                </a:solidFill>
                <a:effectLst>
                  <a:outerShdw blurRad="38100" dist="12700" dir="5400000" rotWithShape="0">
                    <a:srgbClr val="000000">
                      <a:alpha val="50000"/>
                    </a:srgbClr>
                  </a:outerShdw>
                </a:effectLst>
                <a:latin typeface="Gill Sans"/>
                <a:ea typeface="Gill Sans"/>
                <a:cs typeface="Gill Sans"/>
                <a:sym typeface="Gill Sans"/>
              </a:defRPr>
            </a:pPr>
            <a:endParaRPr sz="1125">
              <a:solidFill>
                <a:srgbClr val="FFFFFF"/>
              </a:solidFill>
              <a:effectLst>
                <a:outerShdw blurRad="38100" dist="12700" dir="5400000" rotWithShape="0">
                  <a:srgbClr val="000000">
                    <a:alpha val="50000"/>
                  </a:srgbClr>
                </a:outerShdw>
              </a:effectLst>
              <a:latin typeface="Gill Sans"/>
              <a:ea typeface="Calibri" charset="0"/>
              <a:cs typeface="Calibri" charset="0"/>
              <a:sym typeface="Gill Sans"/>
            </a:endParaRPr>
          </a:p>
        </xdr:txBody>
      </xdr:sp>
      <xdr:sp macro="" textlink="">
        <xdr:nvSpPr>
          <xdr:cNvPr id="29" name="Retângulo 28">
            <a:extLst>
              <a:ext uri="{FF2B5EF4-FFF2-40B4-BE49-F238E27FC236}">
                <a16:creationId xmlns:a16="http://schemas.microsoft.com/office/drawing/2014/main" id="{00000000-0008-0000-0C00-00001D000000}"/>
              </a:ext>
            </a:extLst>
          </xdr:cNvPr>
          <xdr:cNvSpPr/>
        </xdr:nvSpPr>
        <xdr:spPr>
          <a:xfrm>
            <a:off x="8919632" y="3373974"/>
            <a:ext cx="2457451" cy="499532"/>
          </a:xfrm>
          <a:prstGeom prst="rect">
            <a:avLst/>
          </a:prstGeom>
          <a:noFill/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pt-BR" sz="2400" b="1" baseline="0"/>
              <a:t>DE EXCEL DA LUZ</a:t>
            </a:r>
            <a:endParaRPr lang="pt-BR" sz="1600" b="1"/>
          </a:p>
        </xdr:txBody>
      </xdr:sp>
    </xdr:grpSp>
    <xdr:clientData/>
  </xdr:twoCellAnchor>
  <xdr:twoCellAnchor>
    <xdr:from>
      <xdr:col>4</xdr:col>
      <xdr:colOff>0</xdr:colOff>
      <xdr:row>4</xdr:row>
      <xdr:rowOff>0</xdr:rowOff>
    </xdr:from>
    <xdr:to>
      <xdr:col>4</xdr:col>
      <xdr:colOff>1164167</xdr:colOff>
      <xdr:row>4</xdr:row>
      <xdr:rowOff>370416</xdr:rowOff>
    </xdr:to>
    <xdr:sp macro="" textlink="">
      <xdr:nvSpPr>
        <xdr:cNvPr id="30" name="Retângulo 29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C00-00001E000000}"/>
            </a:ext>
          </a:extLst>
        </xdr:cNvPr>
        <xdr:cNvSpPr/>
      </xdr:nvSpPr>
      <xdr:spPr>
        <a:xfrm>
          <a:off x="5609167" y="1174750"/>
          <a:ext cx="1164167" cy="370416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VEJA MAIS</a:t>
          </a:r>
        </a:p>
      </xdr:txBody>
    </xdr:sp>
    <xdr:clientData/>
  </xdr:twoCellAnchor>
  <xdr:twoCellAnchor>
    <xdr:from>
      <xdr:col>4</xdr:col>
      <xdr:colOff>0</xdr:colOff>
      <xdr:row>6</xdr:row>
      <xdr:rowOff>0</xdr:rowOff>
    </xdr:from>
    <xdr:to>
      <xdr:col>4</xdr:col>
      <xdr:colOff>1164167</xdr:colOff>
      <xdr:row>6</xdr:row>
      <xdr:rowOff>370416</xdr:rowOff>
    </xdr:to>
    <xdr:sp macro="" textlink="">
      <xdr:nvSpPr>
        <xdr:cNvPr id="31" name="Retângulo 3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00000000-0008-0000-0C00-00001F000000}"/>
            </a:ext>
          </a:extLst>
        </xdr:cNvPr>
        <xdr:cNvSpPr/>
      </xdr:nvSpPr>
      <xdr:spPr>
        <a:xfrm>
          <a:off x="5609167" y="1926167"/>
          <a:ext cx="1164167" cy="370416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VEJA MAIS</a:t>
          </a:r>
        </a:p>
      </xdr:txBody>
    </xdr:sp>
    <xdr:clientData/>
  </xdr:twoCellAnchor>
  <xdr:twoCellAnchor>
    <xdr:from>
      <xdr:col>4</xdr:col>
      <xdr:colOff>0</xdr:colOff>
      <xdr:row>8</xdr:row>
      <xdr:rowOff>0</xdr:rowOff>
    </xdr:from>
    <xdr:to>
      <xdr:col>4</xdr:col>
      <xdr:colOff>1164167</xdr:colOff>
      <xdr:row>8</xdr:row>
      <xdr:rowOff>370416</xdr:rowOff>
    </xdr:to>
    <xdr:sp macro="" textlink="">
      <xdr:nvSpPr>
        <xdr:cNvPr id="32" name="Retângulo 3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C00-000020000000}"/>
            </a:ext>
          </a:extLst>
        </xdr:cNvPr>
        <xdr:cNvSpPr/>
      </xdr:nvSpPr>
      <xdr:spPr>
        <a:xfrm>
          <a:off x="5609167" y="2677583"/>
          <a:ext cx="1164167" cy="370416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VEJA MAIS</a:t>
          </a:r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1164167</xdr:colOff>
      <xdr:row>10</xdr:row>
      <xdr:rowOff>370416</xdr:rowOff>
    </xdr:to>
    <xdr:sp macro="" textlink="">
      <xdr:nvSpPr>
        <xdr:cNvPr id="33" name="Retângulo 32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00000000-0008-0000-0C00-000021000000}"/>
            </a:ext>
          </a:extLst>
        </xdr:cNvPr>
        <xdr:cNvSpPr/>
      </xdr:nvSpPr>
      <xdr:spPr>
        <a:xfrm>
          <a:off x="5609167" y="3429000"/>
          <a:ext cx="1164167" cy="370416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VEJA MAIS</a:t>
          </a:r>
        </a:p>
      </xdr:txBody>
    </xdr:sp>
    <xdr:clientData/>
  </xdr:twoCellAnchor>
  <xdr:twoCellAnchor>
    <xdr:from>
      <xdr:col>4</xdr:col>
      <xdr:colOff>0</xdr:colOff>
      <xdr:row>12</xdr:row>
      <xdr:rowOff>0</xdr:rowOff>
    </xdr:from>
    <xdr:to>
      <xdr:col>4</xdr:col>
      <xdr:colOff>1164167</xdr:colOff>
      <xdr:row>12</xdr:row>
      <xdr:rowOff>370416</xdr:rowOff>
    </xdr:to>
    <xdr:sp macro="" textlink="">
      <xdr:nvSpPr>
        <xdr:cNvPr id="34" name="Retângulo 33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C00-000022000000}"/>
            </a:ext>
          </a:extLst>
        </xdr:cNvPr>
        <xdr:cNvSpPr/>
      </xdr:nvSpPr>
      <xdr:spPr>
        <a:xfrm>
          <a:off x="5609167" y="4180417"/>
          <a:ext cx="1164167" cy="370416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VEJA MAIS</a:t>
          </a:r>
        </a:p>
      </xdr:txBody>
    </xdr:sp>
    <xdr:clientData/>
  </xdr:twoCellAnchor>
  <xdr:twoCellAnchor editAs="absolute">
    <xdr:from>
      <xdr:col>4</xdr:col>
      <xdr:colOff>1153575</xdr:colOff>
      <xdr:row>0</xdr:row>
      <xdr:rowOff>0</xdr:rowOff>
    </xdr:from>
    <xdr:to>
      <xdr:col>5</xdr:col>
      <xdr:colOff>1020224</xdr:colOff>
      <xdr:row>1</xdr:row>
      <xdr:rowOff>2910</xdr:rowOff>
    </xdr:to>
    <xdr:sp macro="" textlink="">
      <xdr:nvSpPr>
        <xdr:cNvPr id="35" name="Retângulo 3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C00-000023000000}"/>
            </a:ext>
          </a:extLst>
        </xdr:cNvPr>
        <xdr:cNvSpPr>
          <a:spLocks/>
        </xdr:cNvSpPr>
      </xdr:nvSpPr>
      <xdr:spPr>
        <a:xfrm>
          <a:off x="6762742" y="0"/>
          <a:ext cx="1041399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1</xdr:col>
      <xdr:colOff>0</xdr:colOff>
      <xdr:row>0</xdr:row>
      <xdr:rowOff>95250</xdr:rowOff>
    </xdr:from>
    <xdr:to>
      <xdr:col>3</xdr:col>
      <xdr:colOff>338666</xdr:colOff>
      <xdr:row>0</xdr:row>
      <xdr:rowOff>423306</xdr:rowOff>
    </xdr:to>
    <xdr:pic>
      <xdr:nvPicPr>
        <xdr:cNvPr id="36" name="Imagem 35">
          <a:extLst>
            <a:ext uri="{FF2B5EF4-FFF2-40B4-BE49-F238E27FC236}">
              <a16:creationId xmlns:a16="http://schemas.microsoft.com/office/drawing/2014/main" id="{00000000-0008-0000-0C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3</xdr:col>
      <xdr:colOff>613832</xdr:colOff>
      <xdr:row>0</xdr:row>
      <xdr:rowOff>0</xdr:rowOff>
    </xdr:from>
    <xdr:to>
      <xdr:col>3</xdr:col>
      <xdr:colOff>1655231</xdr:colOff>
      <xdr:row>1</xdr:row>
      <xdr:rowOff>2910</xdr:rowOff>
    </xdr:to>
    <xdr:sp macro="" textlink="">
      <xdr:nvSpPr>
        <xdr:cNvPr id="37" name="Retângulo 36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C00-000025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3</xdr:col>
      <xdr:colOff>1655232</xdr:colOff>
      <xdr:row>0</xdr:row>
      <xdr:rowOff>0</xdr:rowOff>
    </xdr:from>
    <xdr:to>
      <xdr:col>3</xdr:col>
      <xdr:colOff>2687806</xdr:colOff>
      <xdr:row>1</xdr:row>
      <xdr:rowOff>2910</xdr:rowOff>
    </xdr:to>
    <xdr:sp macro="" textlink="">
      <xdr:nvSpPr>
        <xdr:cNvPr id="38" name="Retângulo 37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00000000-0008-0000-0C00-000026000000}"/>
            </a:ext>
          </a:extLst>
        </xdr:cNvPr>
        <xdr:cNvSpPr>
          <a:spLocks/>
        </xdr:cNvSpPr>
      </xdr:nvSpPr>
      <xdr:spPr>
        <a:xfrm>
          <a:off x="2448982" y="0"/>
          <a:ext cx="1032574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PONTO</a:t>
          </a:r>
          <a:r>
            <a:rPr lang="pt-BR" sz="1100" b="1" baseline="0">
              <a:solidFill>
                <a:schemeClr val="bg1"/>
              </a:solidFill>
            </a:rPr>
            <a:t> DE EQUILÍBRIO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3</xdr:col>
      <xdr:colOff>2686048</xdr:colOff>
      <xdr:row>0</xdr:row>
      <xdr:rowOff>0</xdr:rowOff>
    </xdr:from>
    <xdr:to>
      <xdr:col>3</xdr:col>
      <xdr:colOff>3862917</xdr:colOff>
      <xdr:row>1</xdr:row>
      <xdr:rowOff>2910</xdr:rowOff>
    </xdr:to>
    <xdr:sp macro="" textlink="">
      <xdr:nvSpPr>
        <xdr:cNvPr id="39" name="Retângulo 38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00000000-0008-0000-0C00-000027000000}"/>
            </a:ext>
          </a:extLst>
        </xdr:cNvPr>
        <xdr:cNvSpPr>
          <a:spLocks/>
        </xdr:cNvSpPr>
      </xdr:nvSpPr>
      <xdr:spPr>
        <a:xfrm>
          <a:off x="3479798" y="0"/>
          <a:ext cx="117686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ANÁLISE</a:t>
          </a:r>
          <a:r>
            <a:rPr lang="pt-BR" sz="1100" b="1" baseline="0"/>
            <a:t> DE CONCORRÊNCIA</a:t>
          </a:r>
          <a:endParaRPr lang="pt-BR" sz="1100" b="1"/>
        </a:p>
      </xdr:txBody>
    </xdr:sp>
    <xdr:clientData/>
  </xdr:twoCellAnchor>
  <xdr:twoCellAnchor editAs="absolute">
    <xdr:from>
      <xdr:col>3</xdr:col>
      <xdr:colOff>3886194</xdr:colOff>
      <xdr:row>0</xdr:row>
      <xdr:rowOff>0</xdr:rowOff>
    </xdr:from>
    <xdr:to>
      <xdr:col>4</xdr:col>
      <xdr:colOff>112176</xdr:colOff>
      <xdr:row>1</xdr:row>
      <xdr:rowOff>2910</xdr:rowOff>
    </xdr:to>
    <xdr:sp macro="" textlink="">
      <xdr:nvSpPr>
        <xdr:cNvPr id="40" name="Retângulo 39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C00-000028000000}"/>
            </a:ext>
          </a:extLst>
        </xdr:cNvPr>
        <xdr:cNvSpPr>
          <a:spLocks/>
        </xdr:cNvSpPr>
      </xdr:nvSpPr>
      <xdr:spPr>
        <a:xfrm>
          <a:off x="46799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</a:t>
          </a:r>
        </a:p>
      </xdr:txBody>
    </xdr:sp>
    <xdr:clientData/>
  </xdr:twoCellAnchor>
  <xdr:twoCellAnchor editAs="absolute">
    <xdr:from>
      <xdr:col>4</xdr:col>
      <xdr:colOff>112177</xdr:colOff>
      <xdr:row>0</xdr:row>
      <xdr:rowOff>0</xdr:rowOff>
    </xdr:from>
    <xdr:to>
      <xdr:col>4</xdr:col>
      <xdr:colOff>1153576</xdr:colOff>
      <xdr:row>1</xdr:row>
      <xdr:rowOff>2910</xdr:rowOff>
    </xdr:to>
    <xdr:sp macro="" textlink="">
      <xdr:nvSpPr>
        <xdr:cNvPr id="41" name="Retângulo 40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C00-000029000000}"/>
            </a:ext>
          </a:extLst>
        </xdr:cNvPr>
        <xdr:cNvSpPr>
          <a:spLocks/>
        </xdr:cNvSpPr>
      </xdr:nvSpPr>
      <xdr:spPr>
        <a:xfrm>
          <a:off x="57213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2</xdr:col>
      <xdr:colOff>836088</xdr:colOff>
      <xdr:row>1</xdr:row>
      <xdr:rowOff>95250</xdr:rowOff>
    </xdr:from>
    <xdr:to>
      <xdr:col>2</xdr:col>
      <xdr:colOff>2084921</xdr:colOff>
      <xdr:row>2</xdr:row>
      <xdr:rowOff>13567</xdr:rowOff>
    </xdr:to>
    <xdr:sp macro="" textlink="">
      <xdr:nvSpPr>
        <xdr:cNvPr id="9" name="Retângulo 8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09000000}"/>
            </a:ext>
          </a:extLst>
        </xdr:cNvPr>
        <xdr:cNvSpPr/>
      </xdr:nvSpPr>
      <xdr:spPr>
        <a:xfrm>
          <a:off x="1102788" y="590550"/>
          <a:ext cx="1244599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PASSO A PASSO</a:t>
          </a:r>
        </a:p>
      </xdr:txBody>
    </xdr:sp>
    <xdr:clientData/>
  </xdr:twoCellAnchor>
  <xdr:twoCellAnchor editAs="absolute">
    <xdr:from>
      <xdr:col>2</xdr:col>
      <xdr:colOff>2099738</xdr:colOff>
      <xdr:row>1</xdr:row>
      <xdr:rowOff>88901</xdr:rowOff>
    </xdr:from>
    <xdr:to>
      <xdr:col>3</xdr:col>
      <xdr:colOff>381000</xdr:colOff>
      <xdr:row>2</xdr:row>
      <xdr:rowOff>7218</xdr:rowOff>
    </xdr:to>
    <xdr:sp macro="" textlink="">
      <xdr:nvSpPr>
        <xdr:cNvPr id="10" name="Retângulo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0000000-0008-0000-0D00-00000A000000}"/>
            </a:ext>
          </a:extLst>
        </xdr:cNvPr>
        <xdr:cNvSpPr/>
      </xdr:nvSpPr>
      <xdr:spPr>
        <a:xfrm>
          <a:off x="2362204" y="584201"/>
          <a:ext cx="1637238" cy="29931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DÚVIDAS FREQUENTES</a:t>
          </a:r>
        </a:p>
      </xdr:txBody>
    </xdr:sp>
    <xdr:clientData/>
  </xdr:twoCellAnchor>
  <xdr:twoCellAnchor editAs="absolute">
    <xdr:from>
      <xdr:col>3</xdr:col>
      <xdr:colOff>389471</xdr:colOff>
      <xdr:row>1</xdr:row>
      <xdr:rowOff>84666</xdr:rowOff>
    </xdr:from>
    <xdr:to>
      <xdr:col>3</xdr:col>
      <xdr:colOff>2025650</xdr:colOff>
      <xdr:row>2</xdr:row>
      <xdr:rowOff>11451</xdr:rowOff>
    </xdr:to>
    <xdr:sp macro="" textlink="">
      <xdr:nvSpPr>
        <xdr:cNvPr id="11" name="Retângulo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0000000-0008-0000-0D00-00000B000000}"/>
            </a:ext>
          </a:extLst>
        </xdr:cNvPr>
        <xdr:cNvSpPr/>
      </xdr:nvSpPr>
      <xdr:spPr>
        <a:xfrm>
          <a:off x="4007913" y="579966"/>
          <a:ext cx="1636179" cy="30778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SUGESTÕES</a:t>
          </a:r>
        </a:p>
      </xdr:txBody>
    </xdr:sp>
    <xdr:clientData/>
  </xdr:twoCellAnchor>
  <xdr:twoCellAnchor editAs="absolute">
    <xdr:from>
      <xdr:col>3</xdr:col>
      <xdr:colOff>2032000</xdr:colOff>
      <xdr:row>1</xdr:row>
      <xdr:rowOff>84666</xdr:rowOff>
    </xdr:from>
    <xdr:to>
      <xdr:col>4</xdr:col>
      <xdr:colOff>1583262</xdr:colOff>
      <xdr:row>2</xdr:row>
      <xdr:rowOff>11451</xdr:rowOff>
    </xdr:to>
    <xdr:sp macro="" textlink="">
      <xdr:nvSpPr>
        <xdr:cNvPr id="12" name="Retângulo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00000000-0008-0000-0D00-00000C000000}"/>
            </a:ext>
          </a:extLst>
        </xdr:cNvPr>
        <xdr:cNvSpPr/>
      </xdr:nvSpPr>
      <xdr:spPr>
        <a:xfrm>
          <a:off x="5650442" y="579966"/>
          <a:ext cx="1637237" cy="30778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tx1">
                  <a:lumMod val="75000"/>
                  <a:lumOff val="25000"/>
                </a:schemeClr>
              </a:solidFill>
            </a:rPr>
            <a:t>SOBRE A LUZ</a:t>
          </a:r>
        </a:p>
      </xdr:txBody>
    </xdr:sp>
    <xdr:clientData/>
  </xdr:twoCellAnchor>
  <xdr:twoCellAnchor>
    <xdr:from>
      <xdr:col>2</xdr:col>
      <xdr:colOff>2544239</xdr:colOff>
      <xdr:row>5</xdr:row>
      <xdr:rowOff>184151</xdr:rowOff>
    </xdr:from>
    <xdr:to>
      <xdr:col>3</xdr:col>
      <xdr:colOff>1697571</xdr:colOff>
      <xdr:row>19</xdr:row>
      <xdr:rowOff>67732</xdr:rowOff>
    </xdr:to>
    <xdr:grpSp>
      <xdr:nvGrpSpPr>
        <xdr:cNvPr id="43" name="Agrupar 4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0000000-0008-0000-0D00-00002B000000}"/>
            </a:ext>
          </a:extLst>
        </xdr:cNvPr>
        <xdr:cNvGrpSpPr/>
      </xdr:nvGrpSpPr>
      <xdr:grpSpPr>
        <a:xfrm>
          <a:off x="2808822" y="2279651"/>
          <a:ext cx="2508249" cy="2698748"/>
          <a:chOff x="2808822" y="1708151"/>
          <a:chExt cx="2508249" cy="2698748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00000000-0008-0000-0D00-00000E000000}"/>
              </a:ext>
            </a:extLst>
          </xdr:cNvPr>
          <xdr:cNvSpPr/>
        </xdr:nvSpPr>
        <xdr:spPr>
          <a:xfrm>
            <a:off x="2808822" y="1708151"/>
            <a:ext cx="2508249" cy="2698748"/>
          </a:xfrm>
          <a:prstGeom prst="rect">
            <a:avLst/>
          </a:prstGeom>
          <a:solidFill>
            <a:srgbClr val="6699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pt-BR" sz="16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cursos.luz.vc</a:t>
            </a:r>
            <a:endParaRPr lang="pt-BR" sz="1600">
              <a:effectLst/>
            </a:endParaRPr>
          </a:p>
          <a:p>
            <a:pPr algn="ctr"/>
            <a:r>
              <a:rPr lang="pt-BR" sz="1600" b="1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n-lt"/>
                <a:ea typeface="+mn-ea"/>
                <a:cs typeface="+mn-cs"/>
              </a:rPr>
              <a:t>Cursos de Excel Online</a:t>
            </a:r>
            <a:endParaRPr lang="pt-BR" sz="1600">
              <a:solidFill>
                <a:schemeClr val="tx1">
                  <a:lumMod val="75000"/>
                  <a:lumOff val="25000"/>
                </a:schemeClr>
              </a:solidFill>
              <a:effectLst/>
            </a:endParaRPr>
          </a:p>
          <a:p>
            <a:pPr algn="l"/>
            <a:endParaRPr lang="pt-BR" sz="1100"/>
          </a:p>
        </xdr:txBody>
      </xdr:sp>
      <xdr:pic>
        <xdr:nvPicPr>
          <xdr:cNvPr id="37" name="Imagem 36" descr="start icon">
            <a:extLst>
              <a:ext uri="{FF2B5EF4-FFF2-40B4-BE49-F238E27FC236}">
                <a16:creationId xmlns:a16="http://schemas.microsoft.com/office/drawing/2014/main" id="{00000000-0008-0000-0D00-00002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6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3534834" y="2875550"/>
            <a:ext cx="1114424" cy="112071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</xdr:col>
      <xdr:colOff>95251</xdr:colOff>
      <xdr:row>5</xdr:row>
      <xdr:rowOff>179918</xdr:rowOff>
    </xdr:from>
    <xdr:to>
      <xdr:col>2</xdr:col>
      <xdr:colOff>2497667</xdr:colOff>
      <xdr:row>19</xdr:row>
      <xdr:rowOff>63499</xdr:rowOff>
    </xdr:to>
    <xdr:grpSp>
      <xdr:nvGrpSpPr>
        <xdr:cNvPr id="42" name="Agrupar 41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00000000-0008-0000-0D00-00002A000000}"/>
            </a:ext>
          </a:extLst>
        </xdr:cNvPr>
        <xdr:cNvGrpSpPr/>
      </xdr:nvGrpSpPr>
      <xdr:grpSpPr>
        <a:xfrm>
          <a:off x="254001" y="2275418"/>
          <a:ext cx="2508249" cy="2698748"/>
          <a:chOff x="254001" y="1714501"/>
          <a:chExt cx="2508249" cy="2698748"/>
        </a:xfrm>
      </xdr:grpSpPr>
      <xdr:sp macro="" textlink="">
        <xdr:nvSpPr>
          <xdr:cNvPr id="13" name="Retângulo 12">
            <a:extLst>
              <a:ext uri="{FF2B5EF4-FFF2-40B4-BE49-F238E27FC236}">
                <a16:creationId xmlns:a16="http://schemas.microsoft.com/office/drawing/2014/main" id="{00000000-0008-0000-0D00-00000D000000}"/>
              </a:ext>
            </a:extLst>
          </xdr:cNvPr>
          <xdr:cNvSpPr/>
        </xdr:nvSpPr>
        <xdr:spPr>
          <a:xfrm>
            <a:off x="254001" y="1714501"/>
            <a:ext cx="2508249" cy="2698748"/>
          </a:xfrm>
          <a:prstGeom prst="rect">
            <a:avLst/>
          </a:prstGeom>
          <a:solidFill>
            <a:srgbClr val="6699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/>
          </a:p>
          <a:p>
            <a:pPr algn="ctr"/>
            <a:r>
              <a:rPr lang="pt-BR" sz="1600" b="1"/>
              <a:t>luz.vc</a:t>
            </a:r>
          </a:p>
          <a:p>
            <a:pPr algn="ctr"/>
            <a:r>
              <a:rPr lang="pt-BR" sz="1600" b="1">
                <a:solidFill>
                  <a:schemeClr val="tx1">
                    <a:lumMod val="75000"/>
                    <a:lumOff val="25000"/>
                  </a:schemeClr>
                </a:solidFill>
              </a:rPr>
              <a:t>Planilhas Empresariais</a:t>
            </a:r>
          </a:p>
        </xdr:txBody>
      </xdr:sp>
      <xdr:pic>
        <xdr:nvPicPr>
          <xdr:cNvPr id="38" name="Imagem 37" descr="excel 3 icon">
            <a:extLst>
              <a:ext uri="{FF2B5EF4-FFF2-40B4-BE49-F238E27FC236}">
                <a16:creationId xmlns:a16="http://schemas.microsoft.com/office/drawing/2014/main" id="{00000000-0008-0000-0D00-00002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931332" y="2921505"/>
            <a:ext cx="1121834" cy="1127677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3</xdr:col>
      <xdr:colOff>1733561</xdr:colOff>
      <xdr:row>5</xdr:row>
      <xdr:rowOff>177800</xdr:rowOff>
    </xdr:from>
    <xdr:to>
      <xdr:col>5</xdr:col>
      <xdr:colOff>71977</xdr:colOff>
      <xdr:row>19</xdr:row>
      <xdr:rowOff>61381</xdr:rowOff>
    </xdr:to>
    <xdr:grpSp>
      <xdr:nvGrpSpPr>
        <xdr:cNvPr id="44" name="Agrupar 4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0000000-0008-0000-0D00-00002C000000}"/>
            </a:ext>
          </a:extLst>
        </xdr:cNvPr>
        <xdr:cNvGrpSpPr/>
      </xdr:nvGrpSpPr>
      <xdr:grpSpPr>
        <a:xfrm>
          <a:off x="5353061" y="2273300"/>
          <a:ext cx="2508249" cy="2698748"/>
          <a:chOff x="5353061" y="1691217"/>
          <a:chExt cx="2508249" cy="2698748"/>
        </a:xfrm>
      </xdr:grpSpPr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00000000-0008-0000-0D00-00000F000000}"/>
              </a:ext>
            </a:extLst>
          </xdr:cNvPr>
          <xdr:cNvSpPr/>
        </xdr:nvSpPr>
        <xdr:spPr>
          <a:xfrm>
            <a:off x="5353061" y="1691217"/>
            <a:ext cx="2508249" cy="2698748"/>
          </a:xfrm>
          <a:prstGeom prst="rect">
            <a:avLst/>
          </a:prstGeom>
          <a:solidFill>
            <a:srgbClr val="6699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pt-BR" sz="16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slidesprontos.com.br</a:t>
            </a:r>
            <a:endParaRPr lang="pt-BR" sz="1600">
              <a:effectLst/>
            </a:endParaRPr>
          </a:p>
          <a:p>
            <a:pPr algn="ctr"/>
            <a:r>
              <a:rPr lang="pt-BR" sz="1600" b="1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n-lt"/>
                <a:ea typeface="+mn-ea"/>
                <a:cs typeface="+mn-cs"/>
              </a:rPr>
              <a:t>Apresentações em PPT</a:t>
            </a:r>
            <a:endParaRPr lang="pt-BR" sz="1600">
              <a:solidFill>
                <a:schemeClr val="tx1">
                  <a:lumMod val="75000"/>
                  <a:lumOff val="25000"/>
                </a:schemeClr>
              </a:solidFill>
              <a:effectLst/>
            </a:endParaRPr>
          </a:p>
          <a:p>
            <a:pPr algn="l"/>
            <a:endParaRPr lang="pt-BR" sz="1100"/>
          </a:p>
        </xdr:txBody>
      </xdr:sp>
      <xdr:pic>
        <xdr:nvPicPr>
          <xdr:cNvPr id="39" name="Imagem 38" descr="microsoft powerpoint icon">
            <a:extLst>
              <a:ext uri="{FF2B5EF4-FFF2-40B4-BE49-F238E27FC236}">
                <a16:creationId xmlns:a16="http://schemas.microsoft.com/office/drawing/2014/main" id="{00000000-0008-0000-0D00-00002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5979585" y="2857277"/>
            <a:ext cx="1164166" cy="1170738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5</xdr:col>
      <xdr:colOff>116428</xdr:colOff>
      <xdr:row>5</xdr:row>
      <xdr:rowOff>179916</xdr:rowOff>
    </xdr:from>
    <xdr:to>
      <xdr:col>6</xdr:col>
      <xdr:colOff>539760</xdr:colOff>
      <xdr:row>19</xdr:row>
      <xdr:rowOff>63497</xdr:rowOff>
    </xdr:to>
    <xdr:grpSp>
      <xdr:nvGrpSpPr>
        <xdr:cNvPr id="45" name="Agrupar 4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0000000-0008-0000-0D00-00002D000000}"/>
            </a:ext>
          </a:extLst>
        </xdr:cNvPr>
        <xdr:cNvGrpSpPr/>
      </xdr:nvGrpSpPr>
      <xdr:grpSpPr>
        <a:xfrm>
          <a:off x="7905761" y="2275416"/>
          <a:ext cx="2508249" cy="2698748"/>
          <a:chOff x="7905761" y="1693333"/>
          <a:chExt cx="2508249" cy="2698748"/>
        </a:xfrm>
      </xdr:grpSpPr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00000000-0008-0000-0D00-000017000000}"/>
              </a:ext>
            </a:extLst>
          </xdr:cNvPr>
          <xdr:cNvSpPr/>
        </xdr:nvSpPr>
        <xdr:spPr>
          <a:xfrm>
            <a:off x="7905761" y="1693333"/>
            <a:ext cx="2508249" cy="2698748"/>
          </a:xfrm>
          <a:prstGeom prst="rect">
            <a:avLst/>
          </a:prstGeom>
          <a:solidFill>
            <a:srgbClr val="6699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pt-BR" sz="16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blog.luz.vc</a:t>
            </a:r>
            <a:endParaRPr lang="pt-BR" sz="1600">
              <a:effectLst/>
            </a:endParaRPr>
          </a:p>
          <a:p>
            <a:pPr algn="ctr"/>
            <a:r>
              <a:rPr lang="pt-BR" sz="1600" b="1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n-lt"/>
                <a:ea typeface="+mn-ea"/>
                <a:cs typeface="+mn-cs"/>
              </a:rPr>
              <a:t>Conteúdo de Excel e Gestão</a:t>
            </a:r>
            <a:endParaRPr lang="pt-BR" sz="1600">
              <a:solidFill>
                <a:schemeClr val="tx1">
                  <a:lumMod val="75000"/>
                  <a:lumOff val="25000"/>
                </a:schemeClr>
              </a:solidFill>
              <a:effectLst/>
            </a:endParaRPr>
          </a:p>
          <a:p>
            <a:pPr algn="l"/>
            <a:endParaRPr lang="pt-BR" sz="1100"/>
          </a:p>
        </xdr:txBody>
      </xdr:sp>
      <xdr:pic>
        <xdr:nvPicPr>
          <xdr:cNvPr id="40" name="Imagem 39" descr="book 16 icon">
            <a:extLst>
              <a:ext uri="{FF2B5EF4-FFF2-40B4-BE49-F238E27FC236}">
                <a16:creationId xmlns:a16="http://schemas.microsoft.com/office/drawing/2014/main" id="{00000000-0008-0000-0D00-00002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540749" y="2814705"/>
            <a:ext cx="1206501" cy="1213311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6</xdr:col>
      <xdr:colOff>575744</xdr:colOff>
      <xdr:row>5</xdr:row>
      <xdr:rowOff>184150</xdr:rowOff>
    </xdr:from>
    <xdr:to>
      <xdr:col>7</xdr:col>
      <xdr:colOff>1136660</xdr:colOff>
      <xdr:row>19</xdr:row>
      <xdr:rowOff>67731</xdr:rowOff>
    </xdr:to>
    <xdr:grpSp>
      <xdr:nvGrpSpPr>
        <xdr:cNvPr id="46" name="Agrupar 45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00000000-0008-0000-0D00-00002E000000}"/>
            </a:ext>
          </a:extLst>
        </xdr:cNvPr>
        <xdr:cNvGrpSpPr/>
      </xdr:nvGrpSpPr>
      <xdr:grpSpPr>
        <a:xfrm>
          <a:off x="10449994" y="2279650"/>
          <a:ext cx="2508249" cy="2698748"/>
          <a:chOff x="10449994" y="1697567"/>
          <a:chExt cx="2508249" cy="2698748"/>
        </a:xfrm>
      </xdr:grpSpPr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00000000-0008-0000-0D00-00001A000000}"/>
              </a:ext>
            </a:extLst>
          </xdr:cNvPr>
          <xdr:cNvSpPr/>
        </xdr:nvSpPr>
        <xdr:spPr>
          <a:xfrm>
            <a:off x="10449994" y="1697567"/>
            <a:ext cx="2508249" cy="2698748"/>
          </a:xfrm>
          <a:prstGeom prst="rect">
            <a:avLst/>
          </a:prstGeom>
          <a:solidFill>
            <a:srgbClr val="6699CC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endParaRPr lang="pt-BR" sz="1600" b="1">
              <a:solidFill>
                <a:schemeClr val="lt1"/>
              </a:solidFill>
              <a:effectLst/>
              <a:latin typeface="+mn-lt"/>
              <a:ea typeface="+mn-ea"/>
              <a:cs typeface="+mn-cs"/>
            </a:endParaRPr>
          </a:p>
          <a:p>
            <a:pPr algn="ctr"/>
            <a:r>
              <a:rPr lang="pt-BR" sz="1600" b="1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documentos.luz.vc</a:t>
            </a:r>
            <a:endParaRPr lang="pt-BR" sz="1600">
              <a:effectLst/>
            </a:endParaRPr>
          </a:p>
          <a:p>
            <a:pPr algn="ctr"/>
            <a:r>
              <a:rPr lang="pt-BR" sz="1600" b="1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n-lt"/>
                <a:ea typeface="+mn-ea"/>
                <a:cs typeface="+mn-cs"/>
              </a:rPr>
              <a:t>Apostilas, checklists, relatórios</a:t>
            </a:r>
            <a:r>
              <a:rPr lang="pt-BR" sz="1600" b="1" baseline="0">
                <a:solidFill>
                  <a:schemeClr val="tx1">
                    <a:lumMod val="75000"/>
                    <a:lumOff val="25000"/>
                  </a:schemeClr>
                </a:solidFill>
                <a:effectLst/>
                <a:latin typeface="+mn-lt"/>
                <a:ea typeface="+mn-ea"/>
                <a:cs typeface="+mn-cs"/>
              </a:rPr>
              <a:t> e propostas</a:t>
            </a:r>
            <a:endParaRPr lang="pt-BR" sz="1600">
              <a:solidFill>
                <a:schemeClr val="tx1">
                  <a:lumMod val="75000"/>
                  <a:lumOff val="25000"/>
                </a:schemeClr>
              </a:solidFill>
              <a:effectLst/>
            </a:endParaRPr>
          </a:p>
          <a:p>
            <a:pPr algn="l"/>
            <a:endParaRPr lang="pt-BR" sz="1100"/>
          </a:p>
        </xdr:txBody>
      </xdr:sp>
      <xdr:pic>
        <xdr:nvPicPr>
          <xdr:cNvPr id="41" name="Imagem 40" descr="document icon">
            <a:extLst>
              <a:ext uri="{FF2B5EF4-FFF2-40B4-BE49-F238E27FC236}">
                <a16:creationId xmlns:a16="http://schemas.microsoft.com/office/drawing/2014/main" id="{00000000-0008-0000-0D00-00002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11231778" y="2931583"/>
            <a:ext cx="1069229" cy="1075265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absolute">
    <xdr:from>
      <xdr:col>4</xdr:col>
      <xdr:colOff>1058325</xdr:colOff>
      <xdr:row>0</xdr:row>
      <xdr:rowOff>0</xdr:rowOff>
    </xdr:from>
    <xdr:to>
      <xdr:col>5</xdr:col>
      <xdr:colOff>14808</xdr:colOff>
      <xdr:row>1</xdr:row>
      <xdr:rowOff>2910</xdr:rowOff>
    </xdr:to>
    <xdr:sp macro="" textlink="">
      <xdr:nvSpPr>
        <xdr:cNvPr id="21" name="Retângulo 20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0000000-0008-0000-0D00-000015000000}"/>
            </a:ext>
          </a:extLst>
        </xdr:cNvPr>
        <xdr:cNvSpPr>
          <a:spLocks/>
        </xdr:cNvSpPr>
      </xdr:nvSpPr>
      <xdr:spPr>
        <a:xfrm>
          <a:off x="6762742" y="0"/>
          <a:ext cx="1041399" cy="500327"/>
        </a:xfrm>
        <a:prstGeom prst="rect">
          <a:avLst/>
        </a:prstGeom>
        <a:solidFill>
          <a:srgbClr val="6699CC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pt-BR" sz="1100" b="1">
              <a:solidFill>
                <a:schemeClr val="lt1"/>
              </a:solidFill>
              <a:latin typeface="+mn-lt"/>
              <a:ea typeface="+mn-ea"/>
              <a:cs typeface="+mn-cs"/>
            </a:rPr>
            <a:t>INSTRUÇÕES</a:t>
          </a:r>
        </a:p>
      </xdr:txBody>
    </xdr:sp>
    <xdr:clientData/>
  </xdr:twoCellAnchor>
  <xdr:twoCellAnchor editAs="absolute">
    <xdr:from>
      <xdr:col>1</xdr:col>
      <xdr:colOff>0</xdr:colOff>
      <xdr:row>0</xdr:row>
      <xdr:rowOff>95250</xdr:rowOff>
    </xdr:from>
    <xdr:to>
      <xdr:col>2</xdr:col>
      <xdr:colOff>867833</xdr:colOff>
      <xdr:row>0</xdr:row>
      <xdr:rowOff>423306</xdr:rowOff>
    </xdr:to>
    <xdr:pic>
      <xdr:nvPicPr>
        <xdr:cNvPr id="22" name="Imagem 21">
          <a:extLst>
            <a:ext uri="{FF2B5EF4-FFF2-40B4-BE49-F238E27FC236}">
              <a16:creationId xmlns:a16="http://schemas.microsoft.com/office/drawing/2014/main" id="{00000000-0008-0000-0D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750" y="95250"/>
          <a:ext cx="973666" cy="328056"/>
        </a:xfrm>
        <a:prstGeom prst="rect">
          <a:avLst/>
        </a:prstGeom>
      </xdr:spPr>
    </xdr:pic>
    <xdr:clientData fLocksWithSheet="0"/>
  </xdr:twoCellAnchor>
  <xdr:twoCellAnchor editAs="absolute">
    <xdr:from>
      <xdr:col>2</xdr:col>
      <xdr:colOff>1142999</xdr:colOff>
      <xdr:row>0</xdr:row>
      <xdr:rowOff>0</xdr:rowOff>
    </xdr:from>
    <xdr:to>
      <xdr:col>2</xdr:col>
      <xdr:colOff>2184398</xdr:colOff>
      <xdr:row>1</xdr:row>
      <xdr:rowOff>2910</xdr:rowOff>
    </xdr:to>
    <xdr:sp macro="" textlink="">
      <xdr:nvSpPr>
        <xdr:cNvPr id="24" name="Retângulo 2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00000000-0008-0000-0D00-000018000000}"/>
            </a:ext>
          </a:extLst>
        </xdr:cNvPr>
        <xdr:cNvSpPr>
          <a:spLocks/>
        </xdr:cNvSpPr>
      </xdr:nvSpPr>
      <xdr:spPr>
        <a:xfrm>
          <a:off x="1407582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CADASTRO</a:t>
          </a:r>
        </a:p>
      </xdr:txBody>
    </xdr:sp>
    <xdr:clientData/>
  </xdr:twoCellAnchor>
  <xdr:twoCellAnchor editAs="absolute">
    <xdr:from>
      <xdr:col>2</xdr:col>
      <xdr:colOff>2184399</xdr:colOff>
      <xdr:row>0</xdr:row>
      <xdr:rowOff>0</xdr:rowOff>
    </xdr:from>
    <xdr:to>
      <xdr:col>2</xdr:col>
      <xdr:colOff>3216973</xdr:colOff>
      <xdr:row>1</xdr:row>
      <xdr:rowOff>2910</xdr:rowOff>
    </xdr:to>
    <xdr:sp macro="" textlink="">
      <xdr:nvSpPr>
        <xdr:cNvPr id="25" name="Retângulo 2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00000000-0008-0000-0D00-000019000000}"/>
            </a:ext>
          </a:extLst>
        </xdr:cNvPr>
        <xdr:cNvSpPr>
          <a:spLocks/>
        </xdr:cNvSpPr>
      </xdr:nvSpPr>
      <xdr:spPr>
        <a:xfrm>
          <a:off x="2448982" y="0"/>
          <a:ext cx="1032574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</a:rPr>
            <a:t>PONTO</a:t>
          </a:r>
          <a:r>
            <a:rPr lang="pt-BR" sz="1100" b="1" baseline="0">
              <a:solidFill>
                <a:schemeClr val="bg1"/>
              </a:solidFill>
            </a:rPr>
            <a:t> DE EQUILÍBRIO</a:t>
          </a:r>
          <a:endParaRPr lang="pt-BR" sz="1100" b="1">
            <a:solidFill>
              <a:schemeClr val="bg1"/>
            </a:solidFill>
          </a:endParaRPr>
        </a:p>
      </xdr:txBody>
    </xdr:sp>
    <xdr:clientData/>
  </xdr:twoCellAnchor>
  <xdr:twoCellAnchor editAs="absolute">
    <xdr:from>
      <xdr:col>2</xdr:col>
      <xdr:colOff>3215215</xdr:colOff>
      <xdr:row>0</xdr:row>
      <xdr:rowOff>0</xdr:rowOff>
    </xdr:from>
    <xdr:to>
      <xdr:col>3</xdr:col>
      <xdr:colOff>1037167</xdr:colOff>
      <xdr:row>1</xdr:row>
      <xdr:rowOff>2910</xdr:rowOff>
    </xdr:to>
    <xdr:sp macro="" textlink="">
      <xdr:nvSpPr>
        <xdr:cNvPr id="27" name="Retângulo 26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00000000-0008-0000-0D00-00001B000000}"/>
            </a:ext>
          </a:extLst>
        </xdr:cNvPr>
        <xdr:cNvSpPr>
          <a:spLocks/>
        </xdr:cNvSpPr>
      </xdr:nvSpPr>
      <xdr:spPr>
        <a:xfrm>
          <a:off x="3479798" y="0"/>
          <a:ext cx="117686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ANÁLISE</a:t>
          </a:r>
          <a:r>
            <a:rPr lang="pt-BR" sz="1100" b="1" baseline="0"/>
            <a:t> DE CONCORRÊNCIA</a:t>
          </a:r>
          <a:endParaRPr lang="pt-BR" sz="1100" b="1"/>
        </a:p>
      </xdr:txBody>
    </xdr:sp>
    <xdr:clientData/>
  </xdr:twoCellAnchor>
  <xdr:twoCellAnchor editAs="absolute">
    <xdr:from>
      <xdr:col>3</xdr:col>
      <xdr:colOff>1060444</xdr:colOff>
      <xdr:row>0</xdr:row>
      <xdr:rowOff>0</xdr:rowOff>
    </xdr:from>
    <xdr:to>
      <xdr:col>4</xdr:col>
      <xdr:colOff>16926</xdr:colOff>
      <xdr:row>1</xdr:row>
      <xdr:rowOff>2910</xdr:rowOff>
    </xdr:to>
    <xdr:sp macro="" textlink="">
      <xdr:nvSpPr>
        <xdr:cNvPr id="28" name="Retângulo 27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0000000-0008-0000-0D00-00001C000000}"/>
            </a:ext>
          </a:extLst>
        </xdr:cNvPr>
        <xdr:cNvSpPr>
          <a:spLocks/>
        </xdr:cNvSpPr>
      </xdr:nvSpPr>
      <xdr:spPr>
        <a:xfrm>
          <a:off x="46799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RELATÓRIO</a:t>
          </a:r>
        </a:p>
      </xdr:txBody>
    </xdr:sp>
    <xdr:clientData/>
  </xdr:twoCellAnchor>
  <xdr:twoCellAnchor editAs="absolute">
    <xdr:from>
      <xdr:col>4</xdr:col>
      <xdr:colOff>16927</xdr:colOff>
      <xdr:row>0</xdr:row>
      <xdr:rowOff>0</xdr:rowOff>
    </xdr:from>
    <xdr:to>
      <xdr:col>4</xdr:col>
      <xdr:colOff>1058326</xdr:colOff>
      <xdr:row>1</xdr:row>
      <xdr:rowOff>2910</xdr:rowOff>
    </xdr:to>
    <xdr:sp macro="" textlink="">
      <xdr:nvSpPr>
        <xdr:cNvPr id="29" name="Retângulo 28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00000000-0008-0000-0D00-00001D000000}"/>
            </a:ext>
          </a:extLst>
        </xdr:cNvPr>
        <xdr:cNvSpPr>
          <a:spLocks/>
        </xdr:cNvSpPr>
      </xdr:nvSpPr>
      <xdr:spPr>
        <a:xfrm>
          <a:off x="5721344" y="0"/>
          <a:ext cx="1041399" cy="50032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/>
            <a:t>DASHBOARD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FD506"/>
  <sheetViews>
    <sheetView showGridLines="0" zoomScale="90" zoomScaleNormal="90" zoomScalePageLayoutView="80" workbookViewId="0">
      <pane ySplit="5" topLeftCell="A6" activePane="bottomLeft" state="frozen"/>
      <selection activeCell="A3" sqref="A3:XFD3"/>
      <selection pane="bottomLeft"/>
    </sheetView>
  </sheetViews>
  <sheetFormatPr defaultColWidth="11" defaultRowHeight="15"/>
  <cols>
    <col min="1" max="1" width="2.125" style="47" customWidth="1"/>
    <col min="2" max="2" width="1.375" style="52" customWidth="1"/>
    <col min="3" max="3" width="26.875" style="123" customWidth="1"/>
    <col min="4" max="4" width="26" style="124" customWidth="1"/>
    <col min="5" max="5" width="26" style="123" customWidth="1"/>
    <col min="6" max="6" width="26" style="124" customWidth="1"/>
    <col min="7" max="7" width="26" style="47" customWidth="1"/>
    <col min="8" max="8" width="10.75" style="52" customWidth="1"/>
    <col min="9" max="16384" width="11" style="47"/>
  </cols>
  <sheetData>
    <row r="1" spans="1:16384" s="45" customFormat="1" ht="39" customHeight="1">
      <c r="B1" s="50"/>
      <c r="D1" s="70"/>
      <c r="E1" s="55"/>
      <c r="F1" s="70"/>
      <c r="H1" s="50"/>
    </row>
    <row r="2" spans="1:16384" s="46" customFormat="1" ht="30" customHeight="1">
      <c r="B2" s="51"/>
      <c r="C2" s="38"/>
      <c r="D2" s="71"/>
      <c r="E2" s="39"/>
      <c r="F2" s="71"/>
      <c r="G2" s="39"/>
      <c r="H2" s="39"/>
    </row>
    <row r="3" spans="1:16384" customFormat="1" ht="44.25" customHeight="1">
      <c r="A3" s="119"/>
      <c r="B3" s="120"/>
      <c r="C3" s="121"/>
      <c r="D3" s="120"/>
      <c r="E3" s="122"/>
      <c r="F3" s="122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0"/>
      <c r="CO3" s="120"/>
      <c r="CP3" s="120"/>
      <c r="CQ3" s="120"/>
      <c r="CR3" s="120"/>
      <c r="CS3" s="120"/>
      <c r="CT3" s="120"/>
      <c r="CU3" s="120"/>
      <c r="CV3" s="120"/>
      <c r="CW3" s="120"/>
      <c r="CX3" s="120"/>
      <c r="CY3" s="120"/>
      <c r="CZ3" s="120"/>
      <c r="DA3" s="120"/>
      <c r="DB3" s="120"/>
      <c r="DC3" s="120"/>
      <c r="DD3" s="120"/>
      <c r="DE3" s="120"/>
      <c r="DF3" s="120"/>
      <c r="DG3" s="120"/>
      <c r="DH3" s="120"/>
      <c r="DI3" s="120"/>
      <c r="DJ3" s="120"/>
      <c r="DK3" s="120"/>
      <c r="DL3" s="120"/>
      <c r="DM3" s="120"/>
      <c r="DN3" s="120"/>
      <c r="DO3" s="120"/>
      <c r="DP3" s="120"/>
      <c r="DQ3" s="120"/>
      <c r="DR3" s="120"/>
      <c r="DS3" s="120"/>
      <c r="DT3" s="120"/>
      <c r="DU3" s="120"/>
      <c r="DV3" s="120"/>
      <c r="DW3" s="120"/>
      <c r="DX3" s="120"/>
      <c r="DY3" s="120"/>
      <c r="DZ3" s="120"/>
      <c r="EA3" s="120"/>
      <c r="EB3" s="120"/>
      <c r="EC3" s="120"/>
      <c r="ED3" s="120"/>
      <c r="EE3" s="120"/>
      <c r="EF3" s="120"/>
      <c r="EG3" s="120"/>
      <c r="EH3" s="120"/>
      <c r="EI3" s="120"/>
      <c r="EJ3" s="120"/>
      <c r="EK3" s="120"/>
      <c r="EL3" s="120"/>
      <c r="EM3" s="120"/>
      <c r="EN3" s="120"/>
      <c r="EO3" s="120"/>
      <c r="EP3" s="120"/>
      <c r="EQ3" s="120"/>
      <c r="ER3" s="120"/>
      <c r="ES3" s="120"/>
      <c r="ET3" s="120"/>
      <c r="EU3" s="120"/>
      <c r="EV3" s="120"/>
      <c r="EW3" s="120"/>
      <c r="EX3" s="120"/>
      <c r="EY3" s="120"/>
      <c r="EZ3" s="120"/>
      <c r="FA3" s="120"/>
      <c r="FB3" s="120"/>
      <c r="FC3" s="120"/>
      <c r="FD3" s="120"/>
      <c r="FE3" s="120"/>
      <c r="FF3" s="120"/>
      <c r="FG3" s="120"/>
      <c r="FH3" s="120"/>
      <c r="FI3" s="120"/>
      <c r="FJ3" s="120"/>
      <c r="FK3" s="120"/>
      <c r="FL3" s="120"/>
      <c r="FM3" s="120"/>
      <c r="FN3" s="120"/>
      <c r="FO3" s="120"/>
      <c r="FP3" s="120"/>
      <c r="FQ3" s="120"/>
      <c r="FR3" s="120"/>
      <c r="FS3" s="120"/>
      <c r="FT3" s="120"/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0"/>
      <c r="GJ3" s="120"/>
      <c r="GK3" s="120"/>
      <c r="GL3" s="120"/>
      <c r="GM3" s="120"/>
      <c r="GN3" s="120"/>
      <c r="GO3" s="120"/>
      <c r="GP3" s="120"/>
      <c r="GQ3" s="120"/>
      <c r="GR3" s="120"/>
      <c r="GS3" s="120"/>
      <c r="GT3" s="120"/>
      <c r="GU3" s="120"/>
      <c r="GV3" s="120"/>
      <c r="GW3" s="120"/>
      <c r="GX3" s="120"/>
      <c r="GY3" s="120"/>
      <c r="GZ3" s="120"/>
      <c r="HA3" s="120"/>
      <c r="HB3" s="120"/>
      <c r="HC3" s="120"/>
      <c r="HD3" s="120"/>
      <c r="HE3" s="120"/>
      <c r="HF3" s="120"/>
      <c r="HG3" s="120"/>
      <c r="HH3" s="120"/>
      <c r="HI3" s="120"/>
      <c r="HJ3" s="120"/>
      <c r="HK3" s="120"/>
      <c r="HL3" s="120"/>
      <c r="HM3" s="120"/>
      <c r="HN3" s="120"/>
      <c r="HO3" s="120"/>
      <c r="HP3" s="120"/>
      <c r="HQ3" s="120"/>
      <c r="HR3" s="120"/>
      <c r="HS3" s="120"/>
      <c r="HT3" s="120"/>
      <c r="HU3" s="120"/>
      <c r="HV3" s="120"/>
      <c r="HW3" s="120"/>
      <c r="HX3" s="120"/>
      <c r="HY3" s="120"/>
      <c r="HZ3" s="120"/>
      <c r="IA3" s="120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P3" s="120"/>
      <c r="IQ3" s="120"/>
      <c r="IR3" s="120"/>
      <c r="IS3" s="120"/>
      <c r="IT3" s="120"/>
      <c r="IU3" s="120"/>
      <c r="IV3" s="120"/>
      <c r="IW3" s="120"/>
      <c r="IX3" s="120"/>
      <c r="IY3" s="120"/>
      <c r="IZ3" s="120"/>
      <c r="JA3" s="120"/>
      <c r="JB3" s="120"/>
      <c r="JC3" s="120"/>
      <c r="JD3" s="120"/>
      <c r="JE3" s="120"/>
      <c r="JF3" s="120"/>
      <c r="JG3" s="120"/>
      <c r="JH3" s="120"/>
      <c r="JI3" s="120"/>
      <c r="JJ3" s="120"/>
      <c r="JK3" s="120"/>
      <c r="JL3" s="120"/>
      <c r="JM3" s="120"/>
      <c r="JN3" s="120"/>
      <c r="JO3" s="120"/>
      <c r="JP3" s="120"/>
      <c r="JQ3" s="120"/>
      <c r="JR3" s="120"/>
      <c r="JS3" s="120"/>
      <c r="JT3" s="120"/>
      <c r="JU3" s="120"/>
      <c r="JV3" s="120"/>
      <c r="JW3" s="120"/>
      <c r="JX3" s="120"/>
      <c r="JY3" s="120"/>
      <c r="JZ3" s="120"/>
      <c r="KA3" s="120"/>
      <c r="KB3" s="120"/>
      <c r="KC3" s="120"/>
      <c r="KD3" s="120"/>
      <c r="KE3" s="120"/>
      <c r="KF3" s="120"/>
      <c r="KG3" s="120"/>
      <c r="KH3" s="120"/>
      <c r="KI3" s="120"/>
      <c r="KJ3" s="120"/>
      <c r="KK3" s="120"/>
      <c r="KL3" s="120"/>
      <c r="KM3" s="120"/>
      <c r="KN3" s="120"/>
      <c r="KO3" s="120"/>
      <c r="KP3" s="120"/>
      <c r="KQ3" s="120"/>
      <c r="KR3" s="120"/>
      <c r="KS3" s="120"/>
      <c r="KT3" s="120"/>
      <c r="KU3" s="120"/>
      <c r="KV3" s="120"/>
      <c r="KW3" s="120"/>
      <c r="KX3" s="120"/>
      <c r="KY3" s="120"/>
      <c r="KZ3" s="120"/>
      <c r="LA3" s="120"/>
      <c r="LB3" s="120"/>
      <c r="LC3" s="120"/>
      <c r="LD3" s="120"/>
      <c r="LE3" s="120"/>
      <c r="LF3" s="120"/>
      <c r="LG3" s="120"/>
      <c r="LH3" s="120"/>
      <c r="LI3" s="120"/>
      <c r="LJ3" s="120"/>
      <c r="LK3" s="120"/>
      <c r="LL3" s="120"/>
      <c r="LM3" s="120"/>
      <c r="LN3" s="120"/>
      <c r="LO3" s="120"/>
      <c r="LP3" s="120"/>
      <c r="LQ3" s="120"/>
      <c r="LR3" s="120"/>
      <c r="LS3" s="120"/>
      <c r="LT3" s="120"/>
      <c r="LU3" s="120"/>
      <c r="LV3" s="120"/>
      <c r="LW3" s="120"/>
      <c r="LX3" s="120"/>
      <c r="LY3" s="120"/>
      <c r="LZ3" s="120"/>
      <c r="MA3" s="120"/>
      <c r="MB3" s="120"/>
      <c r="MC3" s="120"/>
      <c r="MD3" s="120"/>
      <c r="ME3" s="120"/>
      <c r="MF3" s="120"/>
      <c r="MG3" s="120"/>
      <c r="MH3" s="120"/>
      <c r="MI3" s="120"/>
      <c r="MJ3" s="120"/>
      <c r="MK3" s="120"/>
      <c r="ML3" s="120"/>
      <c r="MM3" s="120"/>
      <c r="MN3" s="120"/>
      <c r="MO3" s="120"/>
      <c r="MP3" s="120"/>
      <c r="MQ3" s="120"/>
      <c r="MR3" s="120"/>
      <c r="MS3" s="120"/>
      <c r="MT3" s="120"/>
      <c r="MU3" s="120"/>
      <c r="MV3" s="120"/>
      <c r="MW3" s="120"/>
      <c r="MX3" s="120"/>
      <c r="MY3" s="120"/>
      <c r="MZ3" s="120"/>
      <c r="NA3" s="120"/>
      <c r="NB3" s="120"/>
      <c r="NC3" s="120"/>
      <c r="ND3" s="120"/>
      <c r="NE3" s="120"/>
      <c r="NF3" s="120"/>
      <c r="NG3" s="120"/>
      <c r="NH3" s="120"/>
      <c r="NI3" s="120"/>
      <c r="NJ3" s="120"/>
      <c r="NK3" s="120"/>
      <c r="NL3" s="120"/>
      <c r="NM3" s="120"/>
      <c r="NN3" s="120"/>
      <c r="NO3" s="120"/>
      <c r="NP3" s="120"/>
      <c r="NQ3" s="120"/>
      <c r="NR3" s="120"/>
      <c r="NS3" s="120"/>
      <c r="NT3" s="120"/>
      <c r="NU3" s="120"/>
      <c r="NV3" s="120"/>
      <c r="NW3" s="120"/>
      <c r="NX3" s="120"/>
      <c r="NY3" s="120"/>
      <c r="NZ3" s="120"/>
      <c r="OA3" s="120"/>
      <c r="OB3" s="120"/>
      <c r="OC3" s="120"/>
      <c r="OD3" s="120"/>
      <c r="OE3" s="120"/>
      <c r="OF3" s="120"/>
      <c r="OG3" s="120"/>
      <c r="OH3" s="120"/>
      <c r="OI3" s="120"/>
      <c r="OJ3" s="120"/>
      <c r="OK3" s="120"/>
      <c r="OL3" s="120"/>
      <c r="OM3" s="120"/>
      <c r="ON3" s="120"/>
      <c r="OO3" s="120"/>
      <c r="OP3" s="120"/>
      <c r="OQ3" s="120"/>
      <c r="OR3" s="120"/>
      <c r="OS3" s="120"/>
      <c r="OT3" s="120"/>
      <c r="OU3" s="120"/>
      <c r="OV3" s="120"/>
      <c r="OW3" s="120"/>
      <c r="OX3" s="120"/>
      <c r="OY3" s="120"/>
      <c r="OZ3" s="120"/>
      <c r="PA3" s="120"/>
      <c r="PB3" s="120"/>
      <c r="PC3" s="120"/>
      <c r="PD3" s="120"/>
      <c r="PE3" s="120"/>
      <c r="PF3" s="120"/>
      <c r="PG3" s="120"/>
      <c r="PH3" s="120"/>
      <c r="PI3" s="120"/>
      <c r="PJ3" s="120"/>
      <c r="PK3" s="120"/>
      <c r="PL3" s="120"/>
      <c r="PM3" s="120"/>
      <c r="PN3" s="120"/>
      <c r="PO3" s="120"/>
      <c r="PP3" s="120"/>
      <c r="PQ3" s="120"/>
      <c r="PR3" s="120"/>
      <c r="PS3" s="120"/>
      <c r="PT3" s="120"/>
      <c r="PU3" s="120"/>
      <c r="PV3" s="120"/>
      <c r="PW3" s="120"/>
      <c r="PX3" s="120"/>
      <c r="PY3" s="120"/>
      <c r="PZ3" s="120"/>
      <c r="QA3" s="120"/>
      <c r="QB3" s="120"/>
      <c r="QC3" s="120"/>
      <c r="QD3" s="120"/>
      <c r="QE3" s="120"/>
      <c r="QF3" s="120"/>
      <c r="QG3" s="120"/>
      <c r="QH3" s="120"/>
      <c r="QI3" s="120"/>
      <c r="QJ3" s="120"/>
      <c r="QK3" s="120"/>
      <c r="QL3" s="120"/>
      <c r="QM3" s="120"/>
      <c r="QN3" s="120"/>
      <c r="QO3" s="120"/>
      <c r="QP3" s="120"/>
      <c r="QQ3" s="120"/>
      <c r="QR3" s="120"/>
      <c r="QS3" s="120"/>
      <c r="QT3" s="120"/>
      <c r="QU3" s="120"/>
      <c r="QV3" s="120"/>
      <c r="QW3" s="120"/>
      <c r="QX3" s="120"/>
      <c r="QY3" s="120"/>
      <c r="QZ3" s="120"/>
      <c r="RA3" s="120"/>
      <c r="RB3" s="120"/>
      <c r="RC3" s="120"/>
      <c r="RD3" s="120"/>
      <c r="RE3" s="120"/>
      <c r="RF3" s="120"/>
      <c r="RG3" s="120"/>
      <c r="RH3" s="120"/>
      <c r="RI3" s="120"/>
      <c r="RJ3" s="120"/>
      <c r="RK3" s="120"/>
      <c r="RL3" s="120"/>
      <c r="RM3" s="120"/>
      <c r="RN3" s="120"/>
      <c r="RO3" s="120"/>
      <c r="RP3" s="120"/>
      <c r="RQ3" s="120"/>
      <c r="RR3" s="120"/>
      <c r="RS3" s="120"/>
      <c r="RT3" s="120"/>
      <c r="RU3" s="120"/>
      <c r="RV3" s="120"/>
      <c r="RW3" s="120"/>
      <c r="RX3" s="120"/>
      <c r="RY3" s="120"/>
      <c r="RZ3" s="120"/>
      <c r="SA3" s="120"/>
      <c r="SB3" s="120"/>
      <c r="SC3" s="120"/>
      <c r="SD3" s="120"/>
      <c r="SE3" s="120"/>
      <c r="SF3" s="120"/>
      <c r="SG3" s="120"/>
      <c r="SH3" s="120"/>
      <c r="SI3" s="120"/>
      <c r="SJ3" s="120"/>
      <c r="SK3" s="120"/>
      <c r="SL3" s="120"/>
      <c r="SM3" s="120"/>
      <c r="SN3" s="120"/>
      <c r="SO3" s="120"/>
      <c r="SP3" s="120"/>
      <c r="SQ3" s="120"/>
      <c r="SR3" s="120"/>
      <c r="SS3" s="120"/>
      <c r="ST3" s="120"/>
      <c r="SU3" s="120"/>
      <c r="SV3" s="120"/>
      <c r="SW3" s="120"/>
      <c r="SX3" s="120"/>
      <c r="SY3" s="120"/>
      <c r="SZ3" s="120"/>
      <c r="TA3" s="120"/>
      <c r="TB3" s="120"/>
      <c r="TC3" s="120"/>
      <c r="TD3" s="120"/>
      <c r="TE3" s="120"/>
      <c r="TF3" s="120"/>
      <c r="TG3" s="120"/>
      <c r="TH3" s="120"/>
      <c r="TI3" s="120"/>
      <c r="TJ3" s="120"/>
      <c r="TK3" s="120"/>
      <c r="TL3" s="120"/>
      <c r="TM3" s="120"/>
      <c r="TN3" s="120"/>
      <c r="TO3" s="120"/>
      <c r="TP3" s="120"/>
      <c r="TQ3" s="120"/>
      <c r="TR3" s="120"/>
      <c r="TS3" s="120"/>
      <c r="TT3" s="120"/>
      <c r="TU3" s="120"/>
      <c r="TV3" s="120"/>
      <c r="TW3" s="120"/>
      <c r="TX3" s="120"/>
      <c r="TY3" s="120"/>
      <c r="TZ3" s="120"/>
      <c r="UA3" s="120"/>
      <c r="UB3" s="120"/>
      <c r="UC3" s="120"/>
      <c r="UD3" s="120"/>
      <c r="UE3" s="120"/>
      <c r="UF3" s="120"/>
      <c r="UG3" s="120"/>
      <c r="UH3" s="120"/>
      <c r="UI3" s="120"/>
      <c r="UJ3" s="120"/>
      <c r="UK3" s="120"/>
      <c r="UL3" s="120"/>
      <c r="UM3" s="120"/>
      <c r="UN3" s="120"/>
      <c r="UO3" s="120"/>
      <c r="UP3" s="120"/>
      <c r="UQ3" s="120"/>
      <c r="UR3" s="120"/>
      <c r="US3" s="120"/>
      <c r="UT3" s="120"/>
      <c r="UU3" s="120"/>
      <c r="UV3" s="120"/>
      <c r="UW3" s="120"/>
      <c r="UX3" s="120"/>
      <c r="UY3" s="120"/>
      <c r="UZ3" s="120"/>
      <c r="VA3" s="120"/>
      <c r="VB3" s="120"/>
      <c r="VC3" s="120"/>
      <c r="VD3" s="120"/>
      <c r="VE3" s="120"/>
      <c r="VF3" s="120"/>
      <c r="VG3" s="120"/>
      <c r="VH3" s="120"/>
      <c r="VI3" s="120"/>
      <c r="VJ3" s="120"/>
      <c r="VK3" s="120"/>
      <c r="VL3" s="120"/>
      <c r="VM3" s="120"/>
      <c r="VN3" s="120"/>
      <c r="VO3" s="120"/>
      <c r="VP3" s="120"/>
      <c r="VQ3" s="120"/>
      <c r="VR3" s="120"/>
      <c r="VS3" s="120"/>
      <c r="VT3" s="120"/>
      <c r="VU3" s="120"/>
      <c r="VV3" s="120"/>
      <c r="VW3" s="120"/>
      <c r="VX3" s="120"/>
      <c r="VY3" s="120"/>
      <c r="VZ3" s="120"/>
      <c r="WA3" s="120"/>
      <c r="WB3" s="120"/>
      <c r="WC3" s="120"/>
      <c r="WD3" s="120"/>
      <c r="WE3" s="120"/>
      <c r="WF3" s="120"/>
      <c r="WG3" s="120"/>
      <c r="WH3" s="120"/>
      <c r="WI3" s="120"/>
      <c r="WJ3" s="120"/>
      <c r="WK3" s="120"/>
      <c r="WL3" s="120"/>
      <c r="WM3" s="120"/>
      <c r="WN3" s="120"/>
      <c r="WO3" s="120"/>
      <c r="WP3" s="120"/>
      <c r="WQ3" s="120"/>
      <c r="WR3" s="120"/>
      <c r="WS3" s="120"/>
      <c r="WT3" s="120"/>
      <c r="WU3" s="120"/>
      <c r="WV3" s="120"/>
      <c r="WW3" s="120"/>
      <c r="WX3" s="120"/>
      <c r="WY3" s="120"/>
      <c r="WZ3" s="120"/>
      <c r="XA3" s="120"/>
      <c r="XB3" s="120"/>
      <c r="XC3" s="120"/>
      <c r="XD3" s="120"/>
      <c r="XE3" s="120"/>
      <c r="XF3" s="120"/>
      <c r="XG3" s="120"/>
      <c r="XH3" s="120"/>
      <c r="XI3" s="120"/>
      <c r="XJ3" s="120"/>
      <c r="XK3" s="120"/>
      <c r="XL3" s="120"/>
      <c r="XM3" s="120"/>
      <c r="XN3" s="120"/>
      <c r="XO3" s="120"/>
      <c r="XP3" s="120"/>
      <c r="XQ3" s="120"/>
      <c r="XR3" s="120"/>
      <c r="XS3" s="120"/>
      <c r="XT3" s="120"/>
      <c r="XU3" s="120"/>
      <c r="XV3" s="120"/>
      <c r="XW3" s="120"/>
      <c r="XX3" s="120"/>
      <c r="XY3" s="120"/>
      <c r="XZ3" s="120"/>
      <c r="YA3" s="120"/>
      <c r="YB3" s="120"/>
      <c r="YC3" s="120"/>
      <c r="YD3" s="120"/>
      <c r="YE3" s="120"/>
      <c r="YF3" s="120"/>
      <c r="YG3" s="120"/>
      <c r="YH3" s="120"/>
      <c r="YI3" s="120"/>
      <c r="YJ3" s="120"/>
      <c r="YK3" s="120"/>
      <c r="YL3" s="120"/>
      <c r="YM3" s="120"/>
      <c r="YN3" s="120"/>
      <c r="YO3" s="120"/>
      <c r="YP3" s="120"/>
      <c r="YQ3" s="120"/>
      <c r="YR3" s="120"/>
      <c r="YS3" s="120"/>
      <c r="YT3" s="120"/>
      <c r="YU3" s="120"/>
      <c r="YV3" s="120"/>
      <c r="YW3" s="120"/>
      <c r="YX3" s="120"/>
      <c r="YY3" s="120"/>
      <c r="YZ3" s="120"/>
      <c r="ZA3" s="120"/>
      <c r="ZB3" s="120"/>
      <c r="ZC3" s="120"/>
      <c r="ZD3" s="120"/>
      <c r="ZE3" s="120"/>
      <c r="ZF3" s="120"/>
      <c r="ZG3" s="120"/>
      <c r="ZH3" s="120"/>
      <c r="ZI3" s="120"/>
      <c r="ZJ3" s="120"/>
      <c r="ZK3" s="120"/>
      <c r="ZL3" s="120"/>
      <c r="ZM3" s="120"/>
      <c r="ZN3" s="120"/>
      <c r="ZO3" s="120"/>
      <c r="ZP3" s="120"/>
      <c r="ZQ3" s="120"/>
      <c r="ZR3" s="120"/>
      <c r="ZS3" s="120"/>
      <c r="ZT3" s="120"/>
      <c r="ZU3" s="120"/>
      <c r="ZV3" s="120"/>
      <c r="ZW3" s="120"/>
      <c r="ZX3" s="120"/>
      <c r="ZY3" s="120"/>
      <c r="ZZ3" s="120"/>
      <c r="AAA3" s="120"/>
      <c r="AAB3" s="120"/>
      <c r="AAC3" s="120"/>
      <c r="AAD3" s="120"/>
      <c r="AAE3" s="120"/>
      <c r="AAF3" s="120"/>
      <c r="AAG3" s="120"/>
      <c r="AAH3" s="120"/>
      <c r="AAI3" s="120"/>
      <c r="AAJ3" s="120"/>
      <c r="AAK3" s="120"/>
      <c r="AAL3" s="120"/>
      <c r="AAM3" s="120"/>
      <c r="AAN3" s="120"/>
      <c r="AAO3" s="120"/>
      <c r="AAP3" s="120"/>
      <c r="AAQ3" s="120"/>
      <c r="AAR3" s="120"/>
      <c r="AAS3" s="120"/>
      <c r="AAT3" s="120"/>
      <c r="AAU3" s="120"/>
      <c r="AAV3" s="120"/>
      <c r="AAW3" s="120"/>
      <c r="AAX3" s="120"/>
      <c r="AAY3" s="120"/>
      <c r="AAZ3" s="120"/>
      <c r="ABA3" s="120"/>
      <c r="ABB3" s="120"/>
      <c r="ABC3" s="120"/>
      <c r="ABD3" s="120"/>
      <c r="ABE3" s="120"/>
      <c r="ABF3" s="120"/>
      <c r="ABG3" s="120"/>
      <c r="ABH3" s="120"/>
      <c r="ABI3" s="120"/>
      <c r="ABJ3" s="120"/>
      <c r="ABK3" s="120"/>
      <c r="ABL3" s="120"/>
      <c r="ABM3" s="120"/>
      <c r="ABN3" s="120"/>
      <c r="ABO3" s="120"/>
      <c r="ABP3" s="120"/>
      <c r="ABQ3" s="120"/>
      <c r="ABR3" s="120"/>
      <c r="ABS3" s="120"/>
      <c r="ABT3" s="120"/>
      <c r="ABU3" s="120"/>
      <c r="ABV3" s="120"/>
      <c r="ABW3" s="120"/>
      <c r="ABX3" s="120"/>
      <c r="ABY3" s="120"/>
      <c r="ABZ3" s="120"/>
      <c r="ACA3" s="120"/>
      <c r="ACB3" s="120"/>
      <c r="ACC3" s="120"/>
      <c r="ACD3" s="120"/>
      <c r="ACE3" s="120"/>
      <c r="ACF3" s="120"/>
      <c r="ACG3" s="120"/>
      <c r="ACH3" s="120"/>
      <c r="ACI3" s="120"/>
      <c r="ACJ3" s="120"/>
      <c r="ACK3" s="120"/>
      <c r="ACL3" s="120"/>
      <c r="ACM3" s="120"/>
      <c r="ACN3" s="120"/>
      <c r="ACO3" s="120"/>
      <c r="ACP3" s="120"/>
      <c r="ACQ3" s="120"/>
      <c r="ACR3" s="120"/>
      <c r="ACS3" s="120"/>
      <c r="ACT3" s="120"/>
      <c r="ACU3" s="120"/>
      <c r="ACV3" s="120"/>
      <c r="ACW3" s="120"/>
      <c r="ACX3" s="120"/>
      <c r="ACY3" s="120"/>
      <c r="ACZ3" s="120"/>
      <c r="ADA3" s="120"/>
      <c r="ADB3" s="120"/>
      <c r="ADC3" s="120"/>
      <c r="ADD3" s="120"/>
      <c r="ADE3" s="120"/>
      <c r="ADF3" s="120"/>
      <c r="ADG3" s="120"/>
      <c r="ADH3" s="120"/>
      <c r="ADI3" s="120"/>
      <c r="ADJ3" s="120"/>
      <c r="ADK3" s="120"/>
      <c r="ADL3" s="120"/>
      <c r="ADM3" s="120"/>
      <c r="ADN3" s="120"/>
      <c r="ADO3" s="120"/>
      <c r="ADP3" s="120"/>
      <c r="ADQ3" s="120"/>
      <c r="ADR3" s="120"/>
      <c r="ADS3" s="120"/>
      <c r="ADT3" s="120"/>
      <c r="ADU3" s="120"/>
      <c r="ADV3" s="120"/>
      <c r="ADW3" s="120"/>
      <c r="ADX3" s="120"/>
      <c r="ADY3" s="120"/>
      <c r="ADZ3" s="120"/>
      <c r="AEA3" s="120"/>
      <c r="AEB3" s="120"/>
      <c r="AEC3" s="120"/>
      <c r="AED3" s="120"/>
      <c r="AEE3" s="120"/>
      <c r="AEF3" s="120"/>
      <c r="AEG3" s="120"/>
      <c r="AEH3" s="120"/>
      <c r="AEI3" s="120"/>
      <c r="AEJ3" s="120"/>
      <c r="AEK3" s="120"/>
      <c r="AEL3" s="120"/>
      <c r="AEM3" s="120"/>
      <c r="AEN3" s="120"/>
      <c r="AEO3" s="120"/>
      <c r="AEP3" s="120"/>
      <c r="AEQ3" s="120"/>
      <c r="AER3" s="120"/>
      <c r="AES3" s="120"/>
      <c r="AET3" s="120"/>
      <c r="AEU3" s="120"/>
      <c r="AEV3" s="120"/>
      <c r="AEW3" s="120"/>
      <c r="AEX3" s="120"/>
      <c r="AEY3" s="120"/>
      <c r="AEZ3" s="120"/>
      <c r="AFA3" s="120"/>
      <c r="AFB3" s="120"/>
      <c r="AFC3" s="120"/>
      <c r="AFD3" s="120"/>
      <c r="AFE3" s="120"/>
      <c r="AFF3" s="120"/>
      <c r="AFG3" s="120"/>
      <c r="AFH3" s="120"/>
      <c r="AFI3" s="120"/>
      <c r="AFJ3" s="120"/>
      <c r="AFK3" s="120"/>
      <c r="AFL3" s="120"/>
      <c r="AFM3" s="120"/>
      <c r="AFN3" s="120"/>
      <c r="AFO3" s="120"/>
      <c r="AFP3" s="120"/>
      <c r="AFQ3" s="120"/>
      <c r="AFR3" s="120"/>
      <c r="AFS3" s="120"/>
      <c r="AFT3" s="120"/>
      <c r="AFU3" s="120"/>
      <c r="AFV3" s="120"/>
      <c r="AFW3" s="120"/>
      <c r="AFX3" s="120"/>
      <c r="AFY3" s="120"/>
      <c r="AFZ3" s="120"/>
      <c r="AGA3" s="120"/>
      <c r="AGB3" s="120"/>
      <c r="AGC3" s="120"/>
      <c r="AGD3" s="120"/>
      <c r="AGE3" s="120"/>
      <c r="AGF3" s="120"/>
      <c r="AGG3" s="120"/>
      <c r="AGH3" s="120"/>
      <c r="AGI3" s="120"/>
      <c r="AGJ3" s="120"/>
      <c r="AGK3" s="120"/>
      <c r="AGL3" s="120"/>
      <c r="AGM3" s="120"/>
      <c r="AGN3" s="120"/>
      <c r="AGO3" s="120"/>
      <c r="AGP3" s="120"/>
      <c r="AGQ3" s="120"/>
      <c r="AGR3" s="120"/>
      <c r="AGS3" s="120"/>
      <c r="AGT3" s="120"/>
      <c r="AGU3" s="120"/>
      <c r="AGV3" s="120"/>
      <c r="AGW3" s="120"/>
      <c r="AGX3" s="120"/>
      <c r="AGY3" s="120"/>
      <c r="AGZ3" s="120"/>
      <c r="AHA3" s="120"/>
      <c r="AHB3" s="120"/>
      <c r="AHC3" s="120"/>
      <c r="AHD3" s="120"/>
      <c r="AHE3" s="120"/>
      <c r="AHF3" s="120"/>
      <c r="AHG3" s="120"/>
      <c r="AHH3" s="120"/>
      <c r="AHI3" s="120"/>
      <c r="AHJ3" s="120"/>
      <c r="AHK3" s="120"/>
      <c r="AHL3" s="120"/>
      <c r="AHM3" s="120"/>
      <c r="AHN3" s="120"/>
      <c r="AHO3" s="120"/>
      <c r="AHP3" s="120"/>
      <c r="AHQ3" s="120"/>
      <c r="AHR3" s="120"/>
      <c r="AHS3" s="120"/>
      <c r="AHT3" s="120"/>
      <c r="AHU3" s="120"/>
      <c r="AHV3" s="120"/>
      <c r="AHW3" s="120"/>
      <c r="AHX3" s="120"/>
      <c r="AHY3" s="120"/>
      <c r="AHZ3" s="120"/>
      <c r="AIA3" s="120"/>
      <c r="AIB3" s="120"/>
      <c r="AIC3" s="120"/>
      <c r="AID3" s="120"/>
      <c r="AIE3" s="120"/>
      <c r="AIF3" s="120"/>
      <c r="AIG3" s="120"/>
      <c r="AIH3" s="120"/>
      <c r="AII3" s="120"/>
      <c r="AIJ3" s="120"/>
      <c r="AIK3" s="120"/>
      <c r="AIL3" s="120"/>
      <c r="AIM3" s="120"/>
      <c r="AIN3" s="120"/>
      <c r="AIO3" s="120"/>
      <c r="AIP3" s="120"/>
      <c r="AIQ3" s="120"/>
      <c r="AIR3" s="120"/>
      <c r="AIS3" s="120"/>
      <c r="AIT3" s="120"/>
      <c r="AIU3" s="120"/>
      <c r="AIV3" s="120"/>
      <c r="AIW3" s="120"/>
      <c r="AIX3" s="120"/>
      <c r="AIY3" s="120"/>
      <c r="AIZ3" s="120"/>
      <c r="AJA3" s="120"/>
      <c r="AJB3" s="120"/>
      <c r="AJC3" s="120"/>
      <c r="AJD3" s="120"/>
      <c r="AJE3" s="120"/>
      <c r="AJF3" s="120"/>
      <c r="AJG3" s="120"/>
      <c r="AJH3" s="120"/>
      <c r="AJI3" s="120"/>
      <c r="AJJ3" s="120"/>
      <c r="AJK3" s="120"/>
      <c r="AJL3" s="120"/>
      <c r="AJM3" s="120"/>
      <c r="AJN3" s="120"/>
      <c r="AJO3" s="120"/>
      <c r="AJP3" s="120"/>
      <c r="AJQ3" s="120"/>
      <c r="AJR3" s="120"/>
      <c r="AJS3" s="120"/>
      <c r="AJT3" s="120"/>
      <c r="AJU3" s="120"/>
      <c r="AJV3" s="120"/>
      <c r="AJW3" s="120"/>
      <c r="AJX3" s="120"/>
      <c r="AJY3" s="120"/>
      <c r="AJZ3" s="120"/>
      <c r="AKA3" s="120"/>
      <c r="AKB3" s="120"/>
      <c r="AKC3" s="120"/>
      <c r="AKD3" s="120"/>
      <c r="AKE3" s="120"/>
      <c r="AKF3" s="120"/>
      <c r="AKG3" s="120"/>
      <c r="AKH3" s="120"/>
      <c r="AKI3" s="120"/>
      <c r="AKJ3" s="120"/>
      <c r="AKK3" s="120"/>
      <c r="AKL3" s="120"/>
      <c r="AKM3" s="120"/>
      <c r="AKN3" s="120"/>
      <c r="AKO3" s="120"/>
      <c r="AKP3" s="120"/>
      <c r="AKQ3" s="120"/>
      <c r="AKR3" s="120"/>
      <c r="AKS3" s="120"/>
      <c r="AKT3" s="120"/>
      <c r="AKU3" s="120"/>
      <c r="AKV3" s="120"/>
      <c r="AKW3" s="120"/>
      <c r="AKX3" s="120"/>
      <c r="AKY3" s="120"/>
      <c r="AKZ3" s="120"/>
      <c r="ALA3" s="120"/>
      <c r="ALB3" s="120"/>
      <c r="ALC3" s="120"/>
      <c r="ALD3" s="120"/>
      <c r="ALE3" s="120"/>
      <c r="ALF3" s="120"/>
      <c r="ALG3" s="120"/>
      <c r="ALH3" s="120"/>
      <c r="ALI3" s="120"/>
      <c r="ALJ3" s="120"/>
      <c r="ALK3" s="120"/>
      <c r="ALL3" s="120"/>
      <c r="ALM3" s="120"/>
      <c r="ALN3" s="120"/>
      <c r="ALO3" s="120"/>
      <c r="ALP3" s="120"/>
      <c r="ALQ3" s="120"/>
      <c r="ALR3" s="120"/>
      <c r="ALS3" s="120"/>
      <c r="ALT3" s="120"/>
      <c r="ALU3" s="120"/>
      <c r="ALV3" s="120"/>
      <c r="ALW3" s="120"/>
      <c r="ALX3" s="120"/>
      <c r="ALY3" s="120"/>
      <c r="ALZ3" s="120"/>
      <c r="AMA3" s="120"/>
      <c r="AMB3" s="120"/>
      <c r="AMC3" s="120"/>
      <c r="AMD3" s="120"/>
      <c r="AME3" s="120"/>
      <c r="AMF3" s="120"/>
      <c r="AMG3" s="120"/>
      <c r="AMH3" s="120"/>
      <c r="AMI3" s="120"/>
      <c r="AMJ3" s="120"/>
      <c r="AMK3" s="120"/>
      <c r="AML3" s="120"/>
      <c r="AMM3" s="120"/>
      <c r="AMN3" s="120"/>
      <c r="AMO3" s="120"/>
      <c r="AMP3" s="120"/>
      <c r="AMQ3" s="120"/>
      <c r="AMR3" s="120"/>
      <c r="AMS3" s="120"/>
      <c r="AMT3" s="120"/>
      <c r="AMU3" s="120"/>
      <c r="AMV3" s="120"/>
      <c r="AMW3" s="120"/>
      <c r="AMX3" s="120"/>
      <c r="AMY3" s="120"/>
      <c r="AMZ3" s="120"/>
      <c r="ANA3" s="120"/>
      <c r="ANB3" s="120"/>
      <c r="ANC3" s="120"/>
      <c r="AND3" s="120"/>
      <c r="ANE3" s="120"/>
      <c r="ANF3" s="120"/>
      <c r="ANG3" s="120"/>
      <c r="ANH3" s="120"/>
      <c r="ANI3" s="120"/>
      <c r="ANJ3" s="120"/>
      <c r="ANK3" s="120"/>
      <c r="ANL3" s="120"/>
      <c r="ANM3" s="120"/>
      <c r="ANN3" s="120"/>
      <c r="ANO3" s="120"/>
      <c r="ANP3" s="120"/>
      <c r="ANQ3" s="120"/>
      <c r="ANR3" s="120"/>
      <c r="ANS3" s="120"/>
      <c r="ANT3" s="120"/>
      <c r="ANU3" s="120"/>
      <c r="ANV3" s="120"/>
      <c r="ANW3" s="120"/>
      <c r="ANX3" s="120"/>
      <c r="ANY3" s="120"/>
      <c r="ANZ3" s="120"/>
      <c r="AOA3" s="120"/>
      <c r="AOB3" s="120"/>
      <c r="AOC3" s="120"/>
      <c r="AOD3" s="120"/>
      <c r="AOE3" s="120"/>
      <c r="AOF3" s="120"/>
      <c r="AOG3" s="120"/>
      <c r="AOH3" s="120"/>
      <c r="AOI3" s="120"/>
      <c r="AOJ3" s="120"/>
      <c r="AOK3" s="120"/>
      <c r="AOL3" s="120"/>
      <c r="AOM3" s="120"/>
      <c r="AON3" s="120"/>
      <c r="AOO3" s="120"/>
      <c r="AOP3" s="120"/>
      <c r="AOQ3" s="120"/>
      <c r="AOR3" s="120"/>
      <c r="AOS3" s="120"/>
      <c r="AOT3" s="120"/>
      <c r="AOU3" s="120"/>
      <c r="AOV3" s="120"/>
      <c r="AOW3" s="120"/>
      <c r="AOX3" s="120"/>
      <c r="AOY3" s="120"/>
      <c r="AOZ3" s="120"/>
      <c r="APA3" s="120"/>
      <c r="APB3" s="120"/>
      <c r="APC3" s="120"/>
      <c r="APD3" s="120"/>
      <c r="APE3" s="120"/>
      <c r="APF3" s="120"/>
      <c r="APG3" s="120"/>
      <c r="APH3" s="120"/>
      <c r="API3" s="120"/>
      <c r="APJ3" s="120"/>
      <c r="APK3" s="120"/>
      <c r="APL3" s="120"/>
      <c r="APM3" s="120"/>
      <c r="APN3" s="120"/>
      <c r="APO3" s="120"/>
      <c r="APP3" s="120"/>
      <c r="APQ3" s="120"/>
      <c r="APR3" s="120"/>
      <c r="APS3" s="120"/>
      <c r="APT3" s="120"/>
      <c r="APU3" s="120"/>
      <c r="APV3" s="120"/>
      <c r="APW3" s="120"/>
      <c r="APX3" s="120"/>
      <c r="APY3" s="120"/>
      <c r="APZ3" s="120"/>
      <c r="AQA3" s="120"/>
      <c r="AQB3" s="120"/>
      <c r="AQC3" s="120"/>
      <c r="AQD3" s="120"/>
      <c r="AQE3" s="120"/>
      <c r="AQF3" s="120"/>
      <c r="AQG3" s="120"/>
      <c r="AQH3" s="120"/>
      <c r="AQI3" s="120"/>
      <c r="AQJ3" s="120"/>
      <c r="AQK3" s="120"/>
      <c r="AQL3" s="120"/>
      <c r="AQM3" s="120"/>
      <c r="AQN3" s="120"/>
      <c r="AQO3" s="120"/>
      <c r="AQP3" s="120"/>
      <c r="AQQ3" s="120"/>
      <c r="AQR3" s="120"/>
      <c r="AQS3" s="120"/>
      <c r="AQT3" s="120"/>
      <c r="AQU3" s="120"/>
      <c r="AQV3" s="120"/>
      <c r="AQW3" s="120"/>
      <c r="AQX3" s="120"/>
      <c r="AQY3" s="120"/>
      <c r="AQZ3" s="120"/>
      <c r="ARA3" s="120"/>
      <c r="ARB3" s="120"/>
      <c r="ARC3" s="120"/>
      <c r="ARD3" s="120"/>
      <c r="ARE3" s="120"/>
      <c r="ARF3" s="120"/>
      <c r="ARG3" s="120"/>
      <c r="ARH3" s="120"/>
      <c r="ARI3" s="120"/>
      <c r="ARJ3" s="120"/>
      <c r="ARK3" s="120"/>
      <c r="ARL3" s="120"/>
      <c r="ARM3" s="120"/>
      <c r="ARN3" s="120"/>
      <c r="ARO3" s="120"/>
      <c r="ARP3" s="120"/>
      <c r="ARQ3" s="120"/>
      <c r="ARR3" s="120"/>
      <c r="ARS3" s="120"/>
      <c r="ART3" s="120"/>
      <c r="ARU3" s="120"/>
      <c r="ARV3" s="120"/>
      <c r="ARW3" s="120"/>
      <c r="ARX3" s="120"/>
      <c r="ARY3" s="120"/>
      <c r="ARZ3" s="120"/>
      <c r="ASA3" s="120"/>
      <c r="ASB3" s="120"/>
      <c r="ASC3" s="120"/>
      <c r="ASD3" s="120"/>
      <c r="ASE3" s="120"/>
      <c r="ASF3" s="120"/>
      <c r="ASG3" s="120"/>
      <c r="ASH3" s="120"/>
      <c r="ASI3" s="120"/>
      <c r="ASJ3" s="120"/>
      <c r="ASK3" s="120"/>
      <c r="ASL3" s="120"/>
      <c r="ASM3" s="120"/>
      <c r="ASN3" s="120"/>
      <c r="ASO3" s="120"/>
      <c r="ASP3" s="120"/>
      <c r="ASQ3" s="120"/>
      <c r="ASR3" s="120"/>
      <c r="ASS3" s="120"/>
      <c r="AST3" s="120"/>
      <c r="ASU3" s="120"/>
      <c r="ASV3" s="120"/>
      <c r="ASW3" s="120"/>
      <c r="ASX3" s="120"/>
      <c r="ASY3" s="120"/>
      <c r="ASZ3" s="120"/>
      <c r="ATA3" s="120"/>
      <c r="ATB3" s="120"/>
      <c r="ATC3" s="120"/>
      <c r="ATD3" s="120"/>
      <c r="ATE3" s="120"/>
      <c r="ATF3" s="120"/>
      <c r="ATG3" s="120"/>
      <c r="ATH3" s="120"/>
      <c r="ATI3" s="120"/>
      <c r="ATJ3" s="120"/>
      <c r="ATK3" s="120"/>
      <c r="ATL3" s="120"/>
      <c r="ATM3" s="120"/>
      <c r="ATN3" s="120"/>
      <c r="ATO3" s="120"/>
      <c r="ATP3" s="120"/>
      <c r="ATQ3" s="120"/>
      <c r="ATR3" s="120"/>
      <c r="ATS3" s="120"/>
      <c r="ATT3" s="120"/>
      <c r="ATU3" s="120"/>
      <c r="ATV3" s="120"/>
      <c r="ATW3" s="120"/>
      <c r="ATX3" s="120"/>
      <c r="ATY3" s="120"/>
      <c r="ATZ3" s="120"/>
      <c r="AUA3" s="120"/>
      <c r="AUB3" s="120"/>
      <c r="AUC3" s="120"/>
      <c r="AUD3" s="120"/>
      <c r="AUE3" s="120"/>
      <c r="AUF3" s="120"/>
      <c r="AUG3" s="120"/>
      <c r="AUH3" s="120"/>
      <c r="AUI3" s="120"/>
      <c r="AUJ3" s="120"/>
      <c r="AUK3" s="120"/>
      <c r="AUL3" s="120"/>
      <c r="AUM3" s="120"/>
      <c r="AUN3" s="120"/>
      <c r="AUO3" s="120"/>
      <c r="AUP3" s="120"/>
      <c r="AUQ3" s="120"/>
      <c r="AUR3" s="120"/>
      <c r="AUS3" s="120"/>
      <c r="AUT3" s="120"/>
      <c r="AUU3" s="120"/>
      <c r="AUV3" s="120"/>
      <c r="AUW3" s="120"/>
      <c r="AUX3" s="120"/>
      <c r="AUY3" s="120"/>
      <c r="AUZ3" s="120"/>
      <c r="AVA3" s="120"/>
      <c r="AVB3" s="120"/>
      <c r="AVC3" s="120"/>
      <c r="AVD3" s="120"/>
      <c r="AVE3" s="120"/>
      <c r="AVF3" s="120"/>
      <c r="AVG3" s="120"/>
      <c r="AVH3" s="120"/>
      <c r="AVI3" s="120"/>
      <c r="AVJ3" s="120"/>
      <c r="AVK3" s="120"/>
      <c r="AVL3" s="120"/>
      <c r="AVM3" s="120"/>
      <c r="AVN3" s="120"/>
      <c r="AVO3" s="120"/>
      <c r="AVP3" s="120"/>
      <c r="AVQ3" s="120"/>
      <c r="AVR3" s="120"/>
      <c r="AVS3" s="120"/>
      <c r="AVT3" s="120"/>
      <c r="AVU3" s="120"/>
      <c r="AVV3" s="120"/>
      <c r="AVW3" s="120"/>
      <c r="AVX3" s="120"/>
      <c r="AVY3" s="120"/>
      <c r="AVZ3" s="120"/>
      <c r="AWA3" s="120"/>
      <c r="AWB3" s="120"/>
      <c r="AWC3" s="120"/>
      <c r="AWD3" s="120"/>
      <c r="AWE3" s="120"/>
      <c r="AWF3" s="120"/>
      <c r="AWG3" s="120"/>
      <c r="AWH3" s="120"/>
      <c r="AWI3" s="120"/>
      <c r="AWJ3" s="120"/>
      <c r="AWK3" s="120"/>
      <c r="AWL3" s="120"/>
      <c r="AWM3" s="120"/>
      <c r="AWN3" s="120"/>
      <c r="AWO3" s="120"/>
      <c r="AWP3" s="120"/>
      <c r="AWQ3" s="120"/>
      <c r="AWR3" s="120"/>
      <c r="AWS3" s="120"/>
      <c r="AWT3" s="120"/>
      <c r="AWU3" s="120"/>
      <c r="AWV3" s="120"/>
      <c r="AWW3" s="120"/>
      <c r="AWX3" s="120"/>
      <c r="AWY3" s="120"/>
      <c r="AWZ3" s="120"/>
      <c r="AXA3" s="120"/>
      <c r="AXB3" s="120"/>
      <c r="AXC3" s="120"/>
      <c r="AXD3" s="120"/>
      <c r="AXE3" s="120"/>
      <c r="AXF3" s="120"/>
      <c r="AXG3" s="120"/>
      <c r="AXH3" s="120"/>
      <c r="AXI3" s="120"/>
      <c r="AXJ3" s="120"/>
      <c r="AXK3" s="120"/>
      <c r="AXL3" s="120"/>
      <c r="AXM3" s="120"/>
      <c r="AXN3" s="120"/>
      <c r="AXO3" s="120"/>
      <c r="AXP3" s="120"/>
      <c r="AXQ3" s="120"/>
      <c r="AXR3" s="120"/>
      <c r="AXS3" s="120"/>
      <c r="AXT3" s="120"/>
      <c r="AXU3" s="120"/>
      <c r="AXV3" s="120"/>
      <c r="AXW3" s="120"/>
      <c r="AXX3" s="120"/>
      <c r="AXY3" s="120"/>
      <c r="AXZ3" s="120"/>
      <c r="AYA3" s="120"/>
      <c r="AYB3" s="120"/>
      <c r="AYC3" s="120"/>
      <c r="AYD3" s="120"/>
      <c r="AYE3" s="120"/>
      <c r="AYF3" s="120"/>
      <c r="AYG3" s="120"/>
      <c r="AYH3" s="120"/>
      <c r="AYI3" s="120"/>
      <c r="AYJ3" s="120"/>
      <c r="AYK3" s="120"/>
      <c r="AYL3" s="120"/>
      <c r="AYM3" s="120"/>
      <c r="AYN3" s="120"/>
      <c r="AYO3" s="120"/>
      <c r="AYP3" s="120"/>
      <c r="AYQ3" s="120"/>
      <c r="AYR3" s="120"/>
      <c r="AYS3" s="120"/>
      <c r="AYT3" s="120"/>
      <c r="AYU3" s="120"/>
      <c r="AYV3" s="120"/>
      <c r="AYW3" s="120"/>
      <c r="AYX3" s="120"/>
      <c r="AYY3" s="120"/>
      <c r="AYZ3" s="120"/>
      <c r="AZA3" s="120"/>
      <c r="AZB3" s="120"/>
      <c r="AZC3" s="120"/>
      <c r="AZD3" s="120"/>
      <c r="AZE3" s="120"/>
      <c r="AZF3" s="120"/>
      <c r="AZG3" s="120"/>
      <c r="AZH3" s="120"/>
      <c r="AZI3" s="120"/>
      <c r="AZJ3" s="120"/>
      <c r="AZK3" s="120"/>
      <c r="AZL3" s="120"/>
      <c r="AZM3" s="120"/>
      <c r="AZN3" s="120"/>
      <c r="AZO3" s="120"/>
      <c r="AZP3" s="120"/>
      <c r="AZQ3" s="120"/>
      <c r="AZR3" s="120"/>
      <c r="AZS3" s="120"/>
      <c r="AZT3" s="120"/>
      <c r="AZU3" s="120"/>
      <c r="AZV3" s="120"/>
      <c r="AZW3" s="120"/>
      <c r="AZX3" s="120"/>
      <c r="AZY3" s="120"/>
      <c r="AZZ3" s="120"/>
      <c r="BAA3" s="120"/>
      <c r="BAB3" s="120"/>
      <c r="BAC3" s="120"/>
      <c r="BAD3" s="120"/>
      <c r="BAE3" s="120"/>
      <c r="BAF3" s="120"/>
      <c r="BAG3" s="120"/>
      <c r="BAH3" s="120"/>
      <c r="BAI3" s="120"/>
      <c r="BAJ3" s="120"/>
      <c r="BAK3" s="120"/>
      <c r="BAL3" s="120"/>
      <c r="BAM3" s="120"/>
      <c r="BAN3" s="120"/>
      <c r="BAO3" s="120"/>
      <c r="BAP3" s="120"/>
      <c r="BAQ3" s="120"/>
      <c r="BAR3" s="120"/>
      <c r="BAS3" s="120"/>
      <c r="BAT3" s="120"/>
      <c r="BAU3" s="120"/>
      <c r="BAV3" s="120"/>
      <c r="BAW3" s="120"/>
      <c r="BAX3" s="120"/>
      <c r="BAY3" s="120"/>
      <c r="BAZ3" s="120"/>
      <c r="BBA3" s="120"/>
      <c r="BBB3" s="120"/>
      <c r="BBC3" s="120"/>
      <c r="BBD3" s="120"/>
      <c r="BBE3" s="120"/>
      <c r="BBF3" s="120"/>
      <c r="BBG3" s="120"/>
      <c r="BBH3" s="120"/>
      <c r="BBI3" s="120"/>
      <c r="BBJ3" s="120"/>
      <c r="BBK3" s="120"/>
      <c r="BBL3" s="120"/>
      <c r="BBM3" s="120"/>
      <c r="BBN3" s="120"/>
      <c r="BBO3" s="120"/>
      <c r="BBP3" s="120"/>
      <c r="BBQ3" s="120"/>
      <c r="BBR3" s="120"/>
      <c r="BBS3" s="120"/>
      <c r="BBT3" s="120"/>
      <c r="BBU3" s="120"/>
      <c r="BBV3" s="120"/>
      <c r="BBW3" s="120"/>
      <c r="BBX3" s="120"/>
      <c r="BBY3" s="120"/>
      <c r="BBZ3" s="120"/>
      <c r="BCA3" s="120"/>
      <c r="BCB3" s="120"/>
      <c r="BCC3" s="120"/>
      <c r="BCD3" s="120"/>
      <c r="BCE3" s="120"/>
      <c r="BCF3" s="120"/>
      <c r="BCG3" s="120"/>
      <c r="BCH3" s="120"/>
      <c r="BCI3" s="120"/>
      <c r="BCJ3" s="120"/>
      <c r="BCK3" s="120"/>
      <c r="BCL3" s="120"/>
      <c r="BCM3" s="120"/>
      <c r="BCN3" s="120"/>
      <c r="BCO3" s="120"/>
      <c r="BCP3" s="120"/>
      <c r="BCQ3" s="120"/>
      <c r="BCR3" s="120"/>
      <c r="BCS3" s="120"/>
      <c r="BCT3" s="120"/>
      <c r="BCU3" s="120"/>
      <c r="BCV3" s="120"/>
      <c r="BCW3" s="120"/>
      <c r="BCX3" s="120"/>
      <c r="BCY3" s="120"/>
      <c r="BCZ3" s="120"/>
      <c r="BDA3" s="120"/>
      <c r="BDB3" s="120"/>
      <c r="BDC3" s="120"/>
      <c r="BDD3" s="120"/>
      <c r="BDE3" s="120"/>
      <c r="BDF3" s="120"/>
      <c r="BDG3" s="120"/>
      <c r="BDH3" s="120"/>
      <c r="BDI3" s="120"/>
      <c r="BDJ3" s="120"/>
      <c r="BDK3" s="120"/>
      <c r="BDL3" s="120"/>
      <c r="BDM3" s="120"/>
      <c r="BDN3" s="120"/>
      <c r="BDO3" s="120"/>
      <c r="BDP3" s="120"/>
      <c r="BDQ3" s="120"/>
      <c r="BDR3" s="120"/>
      <c r="BDS3" s="120"/>
      <c r="BDT3" s="120"/>
      <c r="BDU3" s="120"/>
      <c r="BDV3" s="120"/>
      <c r="BDW3" s="120"/>
      <c r="BDX3" s="120"/>
      <c r="BDY3" s="120"/>
      <c r="BDZ3" s="120"/>
      <c r="BEA3" s="120"/>
      <c r="BEB3" s="120"/>
      <c r="BEC3" s="120"/>
      <c r="BED3" s="120"/>
      <c r="BEE3" s="120"/>
      <c r="BEF3" s="120"/>
      <c r="BEG3" s="120"/>
      <c r="BEH3" s="120"/>
      <c r="BEI3" s="120"/>
      <c r="BEJ3" s="120"/>
      <c r="BEK3" s="120"/>
      <c r="BEL3" s="120"/>
      <c r="BEM3" s="120"/>
      <c r="BEN3" s="120"/>
      <c r="BEO3" s="120"/>
      <c r="BEP3" s="120"/>
      <c r="BEQ3" s="120"/>
      <c r="BER3" s="120"/>
      <c r="BES3" s="120"/>
      <c r="BET3" s="120"/>
      <c r="BEU3" s="120"/>
      <c r="BEV3" s="120"/>
      <c r="BEW3" s="120"/>
      <c r="BEX3" s="120"/>
      <c r="BEY3" s="120"/>
      <c r="BEZ3" s="120"/>
      <c r="BFA3" s="120"/>
      <c r="BFB3" s="120"/>
      <c r="BFC3" s="120"/>
      <c r="BFD3" s="120"/>
      <c r="BFE3" s="120"/>
      <c r="BFF3" s="120"/>
      <c r="BFG3" s="120"/>
      <c r="BFH3" s="120"/>
      <c r="BFI3" s="120"/>
      <c r="BFJ3" s="120"/>
      <c r="BFK3" s="120"/>
      <c r="BFL3" s="120"/>
      <c r="BFM3" s="120"/>
      <c r="BFN3" s="120"/>
      <c r="BFO3" s="120"/>
      <c r="BFP3" s="120"/>
      <c r="BFQ3" s="120"/>
      <c r="BFR3" s="120"/>
      <c r="BFS3" s="120"/>
      <c r="BFT3" s="120"/>
      <c r="BFU3" s="120"/>
      <c r="BFV3" s="120"/>
      <c r="BFW3" s="120"/>
      <c r="BFX3" s="120"/>
      <c r="BFY3" s="120"/>
      <c r="BFZ3" s="120"/>
      <c r="BGA3" s="120"/>
      <c r="BGB3" s="120"/>
      <c r="BGC3" s="120"/>
      <c r="BGD3" s="120"/>
      <c r="BGE3" s="120"/>
      <c r="BGF3" s="120"/>
      <c r="BGG3" s="120"/>
      <c r="BGH3" s="120"/>
      <c r="BGI3" s="120"/>
      <c r="BGJ3" s="120"/>
      <c r="BGK3" s="120"/>
      <c r="BGL3" s="120"/>
      <c r="BGM3" s="120"/>
      <c r="BGN3" s="120"/>
      <c r="BGO3" s="120"/>
      <c r="BGP3" s="120"/>
      <c r="BGQ3" s="120"/>
      <c r="BGR3" s="120"/>
      <c r="BGS3" s="120"/>
      <c r="BGT3" s="120"/>
      <c r="BGU3" s="120"/>
      <c r="BGV3" s="120"/>
      <c r="BGW3" s="120"/>
      <c r="BGX3" s="120"/>
      <c r="BGY3" s="120"/>
      <c r="BGZ3" s="120"/>
      <c r="BHA3" s="120"/>
      <c r="BHB3" s="120"/>
      <c r="BHC3" s="120"/>
      <c r="BHD3" s="120"/>
      <c r="BHE3" s="120"/>
      <c r="BHF3" s="120"/>
      <c r="BHG3" s="120"/>
      <c r="BHH3" s="120"/>
      <c r="BHI3" s="120"/>
      <c r="BHJ3" s="120"/>
      <c r="BHK3" s="120"/>
      <c r="BHL3" s="120"/>
      <c r="BHM3" s="120"/>
      <c r="BHN3" s="120"/>
      <c r="BHO3" s="120"/>
      <c r="BHP3" s="120"/>
      <c r="BHQ3" s="120"/>
      <c r="BHR3" s="120"/>
      <c r="BHS3" s="120"/>
      <c r="BHT3" s="120"/>
      <c r="BHU3" s="120"/>
      <c r="BHV3" s="120"/>
      <c r="BHW3" s="120"/>
      <c r="BHX3" s="120"/>
      <c r="BHY3" s="120"/>
      <c r="BHZ3" s="120"/>
      <c r="BIA3" s="120"/>
      <c r="BIB3" s="120"/>
      <c r="BIC3" s="120"/>
      <c r="BID3" s="120"/>
      <c r="BIE3" s="120"/>
      <c r="BIF3" s="120"/>
      <c r="BIG3" s="120"/>
      <c r="BIH3" s="120"/>
      <c r="BII3" s="120"/>
      <c r="BIJ3" s="120"/>
      <c r="BIK3" s="120"/>
      <c r="BIL3" s="120"/>
      <c r="BIM3" s="120"/>
      <c r="BIN3" s="120"/>
      <c r="BIO3" s="120"/>
      <c r="BIP3" s="120"/>
      <c r="BIQ3" s="120"/>
      <c r="BIR3" s="120"/>
      <c r="BIS3" s="120"/>
      <c r="BIT3" s="120"/>
      <c r="BIU3" s="120"/>
      <c r="BIV3" s="120"/>
      <c r="BIW3" s="120"/>
      <c r="BIX3" s="120"/>
      <c r="BIY3" s="120"/>
      <c r="BIZ3" s="120"/>
      <c r="BJA3" s="120"/>
      <c r="BJB3" s="120"/>
      <c r="BJC3" s="120"/>
      <c r="BJD3" s="120"/>
      <c r="BJE3" s="120"/>
      <c r="BJF3" s="120"/>
      <c r="BJG3" s="120"/>
      <c r="BJH3" s="120"/>
      <c r="BJI3" s="120"/>
      <c r="BJJ3" s="120"/>
      <c r="BJK3" s="120"/>
      <c r="BJL3" s="120"/>
      <c r="BJM3" s="120"/>
      <c r="BJN3" s="120"/>
      <c r="BJO3" s="120"/>
      <c r="BJP3" s="120"/>
      <c r="BJQ3" s="120"/>
      <c r="BJR3" s="120"/>
      <c r="BJS3" s="120"/>
      <c r="BJT3" s="120"/>
      <c r="BJU3" s="120"/>
      <c r="BJV3" s="120"/>
      <c r="BJW3" s="120"/>
      <c r="BJX3" s="120"/>
      <c r="BJY3" s="120"/>
      <c r="BJZ3" s="120"/>
      <c r="BKA3" s="120"/>
      <c r="BKB3" s="120"/>
      <c r="BKC3" s="120"/>
      <c r="BKD3" s="120"/>
      <c r="BKE3" s="120"/>
      <c r="BKF3" s="120"/>
      <c r="BKG3" s="120"/>
      <c r="BKH3" s="120"/>
      <c r="BKI3" s="120"/>
      <c r="BKJ3" s="120"/>
      <c r="BKK3" s="120"/>
      <c r="BKL3" s="120"/>
      <c r="BKM3" s="120"/>
      <c r="BKN3" s="120"/>
      <c r="BKO3" s="120"/>
      <c r="BKP3" s="120"/>
      <c r="BKQ3" s="120"/>
      <c r="BKR3" s="120"/>
      <c r="BKS3" s="120"/>
      <c r="BKT3" s="120"/>
      <c r="BKU3" s="120"/>
      <c r="BKV3" s="120"/>
      <c r="BKW3" s="120"/>
      <c r="BKX3" s="120"/>
      <c r="BKY3" s="120"/>
      <c r="BKZ3" s="120"/>
      <c r="BLA3" s="120"/>
      <c r="BLB3" s="120"/>
      <c r="BLC3" s="120"/>
      <c r="BLD3" s="120"/>
      <c r="BLE3" s="120"/>
      <c r="BLF3" s="120"/>
      <c r="BLG3" s="120"/>
      <c r="BLH3" s="120"/>
      <c r="BLI3" s="120"/>
      <c r="BLJ3" s="120"/>
      <c r="BLK3" s="120"/>
      <c r="BLL3" s="120"/>
      <c r="BLM3" s="120"/>
      <c r="BLN3" s="120"/>
      <c r="BLO3" s="120"/>
      <c r="BLP3" s="120"/>
      <c r="BLQ3" s="120"/>
      <c r="BLR3" s="120"/>
      <c r="BLS3" s="120"/>
      <c r="BLT3" s="120"/>
      <c r="BLU3" s="120"/>
      <c r="BLV3" s="120"/>
      <c r="BLW3" s="120"/>
      <c r="BLX3" s="120"/>
      <c r="BLY3" s="120"/>
      <c r="BLZ3" s="120"/>
      <c r="BMA3" s="120"/>
      <c r="BMB3" s="120"/>
      <c r="BMC3" s="120"/>
      <c r="BMD3" s="120"/>
      <c r="BME3" s="120"/>
      <c r="BMF3" s="120"/>
      <c r="BMG3" s="120"/>
      <c r="BMH3" s="120"/>
      <c r="BMI3" s="120"/>
      <c r="BMJ3" s="120"/>
      <c r="BMK3" s="120"/>
      <c r="BML3" s="120"/>
      <c r="BMM3" s="120"/>
      <c r="BMN3" s="120"/>
      <c r="BMO3" s="120"/>
      <c r="BMP3" s="120"/>
      <c r="BMQ3" s="120"/>
      <c r="BMR3" s="120"/>
      <c r="BMS3" s="120"/>
      <c r="BMT3" s="120"/>
      <c r="BMU3" s="120"/>
      <c r="BMV3" s="120"/>
      <c r="BMW3" s="120"/>
      <c r="BMX3" s="120"/>
      <c r="BMY3" s="120"/>
      <c r="BMZ3" s="120"/>
      <c r="BNA3" s="120"/>
      <c r="BNB3" s="120"/>
      <c r="BNC3" s="120"/>
      <c r="BND3" s="120"/>
      <c r="BNE3" s="120"/>
      <c r="BNF3" s="120"/>
      <c r="BNG3" s="120"/>
      <c r="BNH3" s="120"/>
      <c r="BNI3" s="120"/>
      <c r="BNJ3" s="120"/>
      <c r="BNK3" s="120"/>
      <c r="BNL3" s="120"/>
      <c r="BNM3" s="120"/>
      <c r="BNN3" s="120"/>
      <c r="BNO3" s="120"/>
      <c r="BNP3" s="120"/>
      <c r="BNQ3" s="120"/>
      <c r="BNR3" s="120"/>
      <c r="BNS3" s="120"/>
      <c r="BNT3" s="120"/>
      <c r="BNU3" s="120"/>
      <c r="BNV3" s="120"/>
      <c r="BNW3" s="120"/>
      <c r="BNX3" s="120"/>
      <c r="BNY3" s="120"/>
      <c r="BNZ3" s="120"/>
      <c r="BOA3" s="120"/>
      <c r="BOB3" s="120"/>
      <c r="BOC3" s="120"/>
      <c r="BOD3" s="120"/>
      <c r="BOE3" s="120"/>
      <c r="BOF3" s="120"/>
      <c r="BOG3" s="120"/>
      <c r="BOH3" s="120"/>
      <c r="BOI3" s="120"/>
      <c r="BOJ3" s="120"/>
      <c r="BOK3" s="120"/>
      <c r="BOL3" s="120"/>
      <c r="BOM3" s="120"/>
      <c r="BON3" s="120"/>
      <c r="BOO3" s="120"/>
      <c r="BOP3" s="120"/>
      <c r="BOQ3" s="120"/>
      <c r="BOR3" s="120"/>
      <c r="BOS3" s="120"/>
      <c r="BOT3" s="120"/>
      <c r="BOU3" s="120"/>
      <c r="BOV3" s="120"/>
      <c r="BOW3" s="120"/>
      <c r="BOX3" s="120"/>
      <c r="BOY3" s="120"/>
      <c r="BOZ3" s="120"/>
      <c r="BPA3" s="120"/>
      <c r="BPB3" s="120"/>
      <c r="BPC3" s="120"/>
      <c r="BPD3" s="120"/>
      <c r="BPE3" s="120"/>
      <c r="BPF3" s="120"/>
      <c r="BPG3" s="120"/>
      <c r="BPH3" s="120"/>
      <c r="BPI3" s="120"/>
      <c r="BPJ3" s="120"/>
      <c r="BPK3" s="120"/>
      <c r="BPL3" s="120"/>
      <c r="BPM3" s="120"/>
      <c r="BPN3" s="120"/>
      <c r="BPO3" s="120"/>
      <c r="BPP3" s="120"/>
      <c r="BPQ3" s="120"/>
      <c r="BPR3" s="120"/>
      <c r="BPS3" s="120"/>
      <c r="BPT3" s="120"/>
      <c r="BPU3" s="120"/>
      <c r="BPV3" s="120"/>
      <c r="BPW3" s="120"/>
      <c r="BPX3" s="120"/>
      <c r="BPY3" s="120"/>
      <c r="BPZ3" s="120"/>
      <c r="BQA3" s="120"/>
      <c r="BQB3" s="120"/>
      <c r="BQC3" s="120"/>
      <c r="BQD3" s="120"/>
      <c r="BQE3" s="120"/>
      <c r="BQF3" s="120"/>
      <c r="BQG3" s="120"/>
      <c r="BQH3" s="120"/>
      <c r="BQI3" s="120"/>
      <c r="BQJ3" s="120"/>
      <c r="BQK3" s="120"/>
      <c r="BQL3" s="120"/>
      <c r="BQM3" s="120"/>
      <c r="BQN3" s="120"/>
      <c r="BQO3" s="120"/>
      <c r="BQP3" s="120"/>
      <c r="BQQ3" s="120"/>
      <c r="BQR3" s="120"/>
      <c r="BQS3" s="120"/>
      <c r="BQT3" s="120"/>
      <c r="BQU3" s="120"/>
      <c r="BQV3" s="120"/>
      <c r="BQW3" s="120"/>
      <c r="BQX3" s="120"/>
      <c r="BQY3" s="120"/>
      <c r="BQZ3" s="120"/>
      <c r="BRA3" s="120"/>
      <c r="BRB3" s="120"/>
      <c r="BRC3" s="120"/>
      <c r="BRD3" s="120"/>
      <c r="BRE3" s="120"/>
      <c r="BRF3" s="120"/>
      <c r="BRG3" s="120"/>
      <c r="BRH3" s="120"/>
      <c r="BRI3" s="120"/>
      <c r="BRJ3" s="120"/>
      <c r="BRK3" s="120"/>
      <c r="BRL3" s="120"/>
      <c r="BRM3" s="120"/>
      <c r="BRN3" s="120"/>
      <c r="BRO3" s="120"/>
      <c r="BRP3" s="120"/>
      <c r="BRQ3" s="120"/>
      <c r="BRR3" s="120"/>
      <c r="BRS3" s="120"/>
      <c r="BRT3" s="120"/>
      <c r="BRU3" s="120"/>
      <c r="BRV3" s="120"/>
      <c r="BRW3" s="120"/>
      <c r="BRX3" s="120"/>
      <c r="BRY3" s="120"/>
      <c r="BRZ3" s="120"/>
      <c r="BSA3" s="120"/>
      <c r="BSB3" s="120"/>
      <c r="BSC3" s="120"/>
      <c r="BSD3" s="120"/>
      <c r="BSE3" s="120"/>
      <c r="BSF3" s="120"/>
      <c r="BSG3" s="120"/>
      <c r="BSH3" s="120"/>
      <c r="BSI3" s="120"/>
      <c r="BSJ3" s="120"/>
      <c r="BSK3" s="120"/>
      <c r="BSL3" s="120"/>
      <c r="BSM3" s="120"/>
      <c r="BSN3" s="120"/>
      <c r="BSO3" s="120"/>
      <c r="BSP3" s="120"/>
      <c r="BSQ3" s="120"/>
      <c r="BSR3" s="120"/>
      <c r="BSS3" s="120"/>
      <c r="BST3" s="120"/>
      <c r="BSU3" s="120"/>
      <c r="BSV3" s="120"/>
      <c r="BSW3" s="120"/>
      <c r="BSX3" s="120"/>
      <c r="BSY3" s="120"/>
      <c r="BSZ3" s="120"/>
      <c r="BTA3" s="120"/>
      <c r="BTB3" s="120"/>
      <c r="BTC3" s="120"/>
      <c r="BTD3" s="120"/>
      <c r="BTE3" s="120"/>
      <c r="BTF3" s="120"/>
      <c r="BTG3" s="120"/>
      <c r="BTH3" s="120"/>
      <c r="BTI3" s="120"/>
      <c r="BTJ3" s="120"/>
      <c r="BTK3" s="120"/>
      <c r="BTL3" s="120"/>
      <c r="BTM3" s="120"/>
      <c r="BTN3" s="120"/>
      <c r="BTO3" s="120"/>
      <c r="BTP3" s="120"/>
      <c r="BTQ3" s="120"/>
      <c r="BTR3" s="120"/>
      <c r="BTS3" s="120"/>
      <c r="BTT3" s="120"/>
      <c r="BTU3" s="120"/>
      <c r="BTV3" s="120"/>
      <c r="BTW3" s="120"/>
      <c r="BTX3" s="120"/>
      <c r="BTY3" s="120"/>
      <c r="BTZ3" s="120"/>
      <c r="BUA3" s="120"/>
      <c r="BUB3" s="120"/>
      <c r="BUC3" s="120"/>
      <c r="BUD3" s="120"/>
      <c r="BUE3" s="120"/>
      <c r="BUF3" s="120"/>
      <c r="BUG3" s="120"/>
      <c r="BUH3" s="120"/>
      <c r="BUI3" s="120"/>
      <c r="BUJ3" s="120"/>
      <c r="BUK3" s="120"/>
      <c r="BUL3" s="120"/>
      <c r="BUM3" s="120"/>
      <c r="BUN3" s="120"/>
      <c r="BUO3" s="120"/>
      <c r="BUP3" s="120"/>
      <c r="BUQ3" s="120"/>
      <c r="BUR3" s="120"/>
      <c r="BUS3" s="120"/>
      <c r="BUT3" s="120"/>
      <c r="BUU3" s="120"/>
      <c r="BUV3" s="120"/>
      <c r="BUW3" s="120"/>
      <c r="BUX3" s="120"/>
      <c r="BUY3" s="120"/>
      <c r="BUZ3" s="120"/>
      <c r="BVA3" s="120"/>
      <c r="BVB3" s="120"/>
      <c r="BVC3" s="120"/>
      <c r="BVD3" s="120"/>
      <c r="BVE3" s="120"/>
      <c r="BVF3" s="120"/>
      <c r="BVG3" s="120"/>
      <c r="BVH3" s="120"/>
      <c r="BVI3" s="120"/>
      <c r="BVJ3" s="120"/>
      <c r="BVK3" s="120"/>
      <c r="BVL3" s="120"/>
      <c r="BVM3" s="120"/>
      <c r="BVN3" s="120"/>
      <c r="BVO3" s="120"/>
      <c r="BVP3" s="120"/>
      <c r="BVQ3" s="120"/>
      <c r="BVR3" s="120"/>
      <c r="BVS3" s="120"/>
      <c r="BVT3" s="120"/>
      <c r="BVU3" s="120"/>
      <c r="BVV3" s="120"/>
      <c r="BVW3" s="120"/>
      <c r="BVX3" s="120"/>
      <c r="BVY3" s="120"/>
      <c r="BVZ3" s="120"/>
      <c r="BWA3" s="120"/>
      <c r="BWB3" s="120"/>
      <c r="BWC3" s="120"/>
      <c r="BWD3" s="120"/>
      <c r="BWE3" s="120"/>
      <c r="BWF3" s="120"/>
      <c r="BWG3" s="120"/>
      <c r="BWH3" s="120"/>
      <c r="BWI3" s="120"/>
      <c r="BWJ3" s="120"/>
      <c r="BWK3" s="120"/>
      <c r="BWL3" s="120"/>
      <c r="BWM3" s="120"/>
      <c r="BWN3" s="120"/>
      <c r="BWO3" s="120"/>
      <c r="BWP3" s="120"/>
      <c r="BWQ3" s="120"/>
      <c r="BWR3" s="120"/>
      <c r="BWS3" s="120"/>
      <c r="BWT3" s="120"/>
      <c r="BWU3" s="120"/>
      <c r="BWV3" s="120"/>
      <c r="BWW3" s="120"/>
      <c r="BWX3" s="120"/>
      <c r="BWY3" s="120"/>
      <c r="BWZ3" s="120"/>
      <c r="BXA3" s="120"/>
      <c r="BXB3" s="120"/>
      <c r="BXC3" s="120"/>
      <c r="BXD3" s="120"/>
      <c r="BXE3" s="120"/>
      <c r="BXF3" s="120"/>
      <c r="BXG3" s="120"/>
      <c r="BXH3" s="120"/>
      <c r="BXI3" s="120"/>
      <c r="BXJ3" s="120"/>
      <c r="BXK3" s="120"/>
      <c r="BXL3" s="120"/>
      <c r="BXM3" s="120"/>
      <c r="BXN3" s="120"/>
      <c r="BXO3" s="120"/>
      <c r="BXP3" s="120"/>
      <c r="BXQ3" s="120"/>
      <c r="BXR3" s="120"/>
      <c r="BXS3" s="120"/>
      <c r="BXT3" s="120"/>
      <c r="BXU3" s="120"/>
      <c r="BXV3" s="120"/>
      <c r="BXW3" s="120"/>
      <c r="BXX3" s="120"/>
      <c r="BXY3" s="120"/>
      <c r="BXZ3" s="120"/>
      <c r="BYA3" s="120"/>
      <c r="BYB3" s="120"/>
      <c r="BYC3" s="120"/>
      <c r="BYD3" s="120"/>
      <c r="BYE3" s="120"/>
      <c r="BYF3" s="120"/>
      <c r="BYG3" s="120"/>
      <c r="BYH3" s="120"/>
      <c r="BYI3" s="120"/>
      <c r="BYJ3" s="120"/>
      <c r="BYK3" s="120"/>
      <c r="BYL3" s="120"/>
      <c r="BYM3" s="120"/>
      <c r="BYN3" s="120"/>
      <c r="BYO3" s="120"/>
      <c r="BYP3" s="120"/>
      <c r="BYQ3" s="120"/>
      <c r="BYR3" s="120"/>
      <c r="BYS3" s="120"/>
      <c r="BYT3" s="120"/>
      <c r="BYU3" s="120"/>
      <c r="BYV3" s="120"/>
      <c r="BYW3" s="120"/>
      <c r="BYX3" s="120"/>
      <c r="BYY3" s="120"/>
      <c r="BYZ3" s="120"/>
      <c r="BZA3" s="120"/>
      <c r="BZB3" s="120"/>
      <c r="BZC3" s="120"/>
      <c r="BZD3" s="120"/>
      <c r="BZE3" s="120"/>
      <c r="BZF3" s="120"/>
      <c r="BZG3" s="120"/>
      <c r="BZH3" s="120"/>
      <c r="BZI3" s="120"/>
      <c r="BZJ3" s="120"/>
      <c r="BZK3" s="120"/>
      <c r="BZL3" s="120"/>
      <c r="BZM3" s="120"/>
      <c r="BZN3" s="120"/>
      <c r="BZO3" s="120"/>
      <c r="BZP3" s="120"/>
      <c r="BZQ3" s="120"/>
      <c r="BZR3" s="120"/>
      <c r="BZS3" s="120"/>
      <c r="BZT3" s="120"/>
      <c r="BZU3" s="120"/>
      <c r="BZV3" s="120"/>
      <c r="BZW3" s="120"/>
      <c r="BZX3" s="120"/>
      <c r="BZY3" s="120"/>
      <c r="BZZ3" s="120"/>
      <c r="CAA3" s="120"/>
      <c r="CAB3" s="120"/>
      <c r="CAC3" s="120"/>
      <c r="CAD3" s="120"/>
      <c r="CAE3" s="120"/>
      <c r="CAF3" s="120"/>
      <c r="CAG3" s="120"/>
      <c r="CAH3" s="120"/>
      <c r="CAI3" s="120"/>
      <c r="CAJ3" s="120"/>
      <c r="CAK3" s="120"/>
      <c r="CAL3" s="120"/>
      <c r="CAM3" s="120"/>
      <c r="CAN3" s="120"/>
      <c r="CAO3" s="120"/>
      <c r="CAP3" s="120"/>
      <c r="CAQ3" s="120"/>
      <c r="CAR3" s="120"/>
      <c r="CAS3" s="120"/>
      <c r="CAT3" s="120"/>
      <c r="CAU3" s="120"/>
      <c r="CAV3" s="120"/>
      <c r="CAW3" s="120"/>
      <c r="CAX3" s="120"/>
      <c r="CAY3" s="120"/>
      <c r="CAZ3" s="120"/>
      <c r="CBA3" s="120"/>
      <c r="CBB3" s="120"/>
      <c r="CBC3" s="120"/>
      <c r="CBD3" s="120"/>
      <c r="CBE3" s="120"/>
      <c r="CBF3" s="120"/>
      <c r="CBG3" s="120"/>
      <c r="CBH3" s="120"/>
      <c r="CBI3" s="120"/>
      <c r="CBJ3" s="120"/>
      <c r="CBK3" s="120"/>
      <c r="CBL3" s="120"/>
      <c r="CBM3" s="120"/>
      <c r="CBN3" s="120"/>
      <c r="CBO3" s="120"/>
      <c r="CBP3" s="120"/>
      <c r="CBQ3" s="120"/>
      <c r="CBR3" s="120"/>
      <c r="CBS3" s="120"/>
      <c r="CBT3" s="120"/>
      <c r="CBU3" s="120"/>
      <c r="CBV3" s="120"/>
      <c r="CBW3" s="120"/>
      <c r="CBX3" s="120"/>
      <c r="CBY3" s="120"/>
      <c r="CBZ3" s="120"/>
      <c r="CCA3" s="120"/>
      <c r="CCB3" s="120"/>
      <c r="CCC3" s="120"/>
      <c r="CCD3" s="120"/>
      <c r="CCE3" s="120"/>
      <c r="CCF3" s="120"/>
      <c r="CCG3" s="120"/>
      <c r="CCH3" s="120"/>
      <c r="CCI3" s="120"/>
      <c r="CCJ3" s="120"/>
      <c r="CCK3" s="120"/>
      <c r="CCL3" s="120"/>
      <c r="CCM3" s="120"/>
      <c r="CCN3" s="120"/>
      <c r="CCO3" s="120"/>
      <c r="CCP3" s="120"/>
      <c r="CCQ3" s="120"/>
      <c r="CCR3" s="120"/>
      <c r="CCS3" s="120"/>
      <c r="CCT3" s="120"/>
      <c r="CCU3" s="120"/>
      <c r="CCV3" s="120"/>
      <c r="CCW3" s="120"/>
      <c r="CCX3" s="120"/>
      <c r="CCY3" s="120"/>
      <c r="CCZ3" s="120"/>
      <c r="CDA3" s="120"/>
      <c r="CDB3" s="120"/>
      <c r="CDC3" s="120"/>
      <c r="CDD3" s="120"/>
      <c r="CDE3" s="120"/>
      <c r="CDF3" s="120"/>
      <c r="CDG3" s="120"/>
      <c r="CDH3" s="120"/>
      <c r="CDI3" s="120"/>
      <c r="CDJ3" s="120"/>
      <c r="CDK3" s="120"/>
      <c r="CDL3" s="120"/>
      <c r="CDM3" s="120"/>
      <c r="CDN3" s="120"/>
      <c r="CDO3" s="120"/>
      <c r="CDP3" s="120"/>
      <c r="CDQ3" s="120"/>
      <c r="CDR3" s="120"/>
      <c r="CDS3" s="120"/>
      <c r="CDT3" s="120"/>
      <c r="CDU3" s="120"/>
      <c r="CDV3" s="120"/>
      <c r="CDW3" s="120"/>
      <c r="CDX3" s="120"/>
      <c r="CDY3" s="120"/>
      <c r="CDZ3" s="120"/>
      <c r="CEA3" s="120"/>
      <c r="CEB3" s="120"/>
      <c r="CEC3" s="120"/>
      <c r="CED3" s="120"/>
      <c r="CEE3" s="120"/>
      <c r="CEF3" s="120"/>
      <c r="CEG3" s="120"/>
      <c r="CEH3" s="120"/>
      <c r="CEI3" s="120"/>
      <c r="CEJ3" s="120"/>
      <c r="CEK3" s="120"/>
      <c r="CEL3" s="120"/>
      <c r="CEM3" s="120"/>
      <c r="CEN3" s="120"/>
      <c r="CEO3" s="120"/>
      <c r="CEP3" s="120"/>
      <c r="CEQ3" s="120"/>
      <c r="CER3" s="120"/>
      <c r="CES3" s="120"/>
      <c r="CET3" s="120"/>
      <c r="CEU3" s="120"/>
      <c r="CEV3" s="120"/>
      <c r="CEW3" s="120"/>
      <c r="CEX3" s="120"/>
      <c r="CEY3" s="120"/>
      <c r="CEZ3" s="120"/>
      <c r="CFA3" s="120"/>
      <c r="CFB3" s="120"/>
      <c r="CFC3" s="120"/>
      <c r="CFD3" s="120"/>
      <c r="CFE3" s="120"/>
      <c r="CFF3" s="120"/>
      <c r="CFG3" s="120"/>
      <c r="CFH3" s="120"/>
      <c r="CFI3" s="120"/>
      <c r="CFJ3" s="120"/>
      <c r="CFK3" s="120"/>
      <c r="CFL3" s="120"/>
      <c r="CFM3" s="120"/>
      <c r="CFN3" s="120"/>
      <c r="CFO3" s="120"/>
      <c r="CFP3" s="120"/>
      <c r="CFQ3" s="120"/>
      <c r="CFR3" s="120"/>
      <c r="CFS3" s="120"/>
      <c r="CFT3" s="120"/>
      <c r="CFU3" s="120"/>
      <c r="CFV3" s="120"/>
      <c r="CFW3" s="120"/>
      <c r="CFX3" s="120"/>
      <c r="CFY3" s="120"/>
      <c r="CFZ3" s="120"/>
      <c r="CGA3" s="120"/>
      <c r="CGB3" s="120"/>
      <c r="CGC3" s="120"/>
      <c r="CGD3" s="120"/>
      <c r="CGE3" s="120"/>
      <c r="CGF3" s="120"/>
      <c r="CGG3" s="120"/>
      <c r="CGH3" s="120"/>
      <c r="CGI3" s="120"/>
      <c r="CGJ3" s="120"/>
      <c r="CGK3" s="120"/>
      <c r="CGL3" s="120"/>
      <c r="CGM3" s="120"/>
      <c r="CGN3" s="120"/>
      <c r="CGO3" s="120"/>
      <c r="CGP3" s="120"/>
      <c r="CGQ3" s="120"/>
      <c r="CGR3" s="120"/>
      <c r="CGS3" s="120"/>
      <c r="CGT3" s="120"/>
      <c r="CGU3" s="120"/>
      <c r="CGV3" s="120"/>
      <c r="CGW3" s="120"/>
      <c r="CGX3" s="120"/>
      <c r="CGY3" s="120"/>
      <c r="CGZ3" s="120"/>
      <c r="CHA3" s="120"/>
      <c r="CHB3" s="120"/>
      <c r="CHC3" s="120"/>
      <c r="CHD3" s="120"/>
      <c r="CHE3" s="120"/>
      <c r="CHF3" s="120"/>
      <c r="CHG3" s="120"/>
      <c r="CHH3" s="120"/>
      <c r="CHI3" s="120"/>
      <c r="CHJ3" s="120"/>
      <c r="CHK3" s="120"/>
      <c r="CHL3" s="120"/>
      <c r="CHM3" s="120"/>
      <c r="CHN3" s="120"/>
      <c r="CHO3" s="120"/>
      <c r="CHP3" s="120"/>
      <c r="CHQ3" s="120"/>
      <c r="CHR3" s="120"/>
      <c r="CHS3" s="120"/>
      <c r="CHT3" s="120"/>
      <c r="CHU3" s="120"/>
      <c r="CHV3" s="120"/>
      <c r="CHW3" s="120"/>
      <c r="CHX3" s="120"/>
      <c r="CHY3" s="120"/>
      <c r="CHZ3" s="120"/>
      <c r="CIA3" s="120"/>
      <c r="CIB3" s="120"/>
      <c r="CIC3" s="120"/>
      <c r="CID3" s="120"/>
      <c r="CIE3" s="120"/>
      <c r="CIF3" s="120"/>
      <c r="CIG3" s="120"/>
      <c r="CIH3" s="120"/>
      <c r="CII3" s="120"/>
      <c r="CIJ3" s="120"/>
      <c r="CIK3" s="120"/>
      <c r="CIL3" s="120"/>
      <c r="CIM3" s="120"/>
      <c r="CIN3" s="120"/>
      <c r="CIO3" s="120"/>
      <c r="CIP3" s="120"/>
      <c r="CIQ3" s="120"/>
      <c r="CIR3" s="120"/>
      <c r="CIS3" s="120"/>
      <c r="CIT3" s="120"/>
      <c r="CIU3" s="120"/>
      <c r="CIV3" s="120"/>
      <c r="CIW3" s="120"/>
      <c r="CIX3" s="120"/>
      <c r="CIY3" s="120"/>
      <c r="CIZ3" s="120"/>
      <c r="CJA3" s="120"/>
      <c r="CJB3" s="120"/>
      <c r="CJC3" s="120"/>
      <c r="CJD3" s="120"/>
      <c r="CJE3" s="120"/>
      <c r="CJF3" s="120"/>
      <c r="CJG3" s="120"/>
      <c r="CJH3" s="120"/>
      <c r="CJI3" s="120"/>
      <c r="CJJ3" s="120"/>
      <c r="CJK3" s="120"/>
      <c r="CJL3" s="120"/>
      <c r="CJM3" s="120"/>
      <c r="CJN3" s="120"/>
      <c r="CJO3" s="120"/>
      <c r="CJP3" s="120"/>
      <c r="CJQ3" s="120"/>
      <c r="CJR3" s="120"/>
      <c r="CJS3" s="120"/>
      <c r="CJT3" s="120"/>
      <c r="CJU3" s="120"/>
      <c r="CJV3" s="120"/>
      <c r="CJW3" s="120"/>
      <c r="CJX3" s="120"/>
      <c r="CJY3" s="120"/>
      <c r="CJZ3" s="120"/>
      <c r="CKA3" s="120"/>
      <c r="CKB3" s="120"/>
      <c r="CKC3" s="120"/>
      <c r="CKD3" s="120"/>
      <c r="CKE3" s="120"/>
      <c r="CKF3" s="120"/>
      <c r="CKG3" s="120"/>
      <c r="CKH3" s="120"/>
      <c r="CKI3" s="120"/>
      <c r="CKJ3" s="120"/>
      <c r="CKK3" s="120"/>
      <c r="CKL3" s="120"/>
      <c r="CKM3" s="120"/>
      <c r="CKN3" s="120"/>
      <c r="CKO3" s="120"/>
      <c r="CKP3" s="120"/>
      <c r="CKQ3" s="120"/>
      <c r="CKR3" s="120"/>
      <c r="CKS3" s="120"/>
      <c r="CKT3" s="120"/>
      <c r="CKU3" s="120"/>
      <c r="CKV3" s="120"/>
      <c r="CKW3" s="120"/>
      <c r="CKX3" s="120"/>
      <c r="CKY3" s="120"/>
      <c r="CKZ3" s="120"/>
      <c r="CLA3" s="120"/>
      <c r="CLB3" s="120"/>
      <c r="CLC3" s="120"/>
      <c r="CLD3" s="120"/>
      <c r="CLE3" s="120"/>
      <c r="CLF3" s="120"/>
      <c r="CLG3" s="120"/>
      <c r="CLH3" s="120"/>
      <c r="CLI3" s="120"/>
      <c r="CLJ3" s="120"/>
      <c r="CLK3" s="120"/>
      <c r="CLL3" s="120"/>
      <c r="CLM3" s="120"/>
      <c r="CLN3" s="120"/>
      <c r="CLO3" s="120"/>
      <c r="CLP3" s="120"/>
      <c r="CLQ3" s="120"/>
      <c r="CLR3" s="120"/>
      <c r="CLS3" s="120"/>
      <c r="CLT3" s="120"/>
      <c r="CLU3" s="120"/>
      <c r="CLV3" s="120"/>
      <c r="CLW3" s="120"/>
      <c r="CLX3" s="120"/>
      <c r="CLY3" s="120"/>
      <c r="CLZ3" s="120"/>
      <c r="CMA3" s="120"/>
      <c r="CMB3" s="120"/>
      <c r="CMC3" s="120"/>
      <c r="CMD3" s="120"/>
      <c r="CME3" s="120"/>
      <c r="CMF3" s="120"/>
      <c r="CMG3" s="120"/>
      <c r="CMH3" s="120"/>
      <c r="CMI3" s="120"/>
      <c r="CMJ3" s="120"/>
      <c r="CMK3" s="120"/>
      <c r="CML3" s="120"/>
      <c r="CMM3" s="120"/>
      <c r="CMN3" s="120"/>
      <c r="CMO3" s="120"/>
      <c r="CMP3" s="120"/>
      <c r="CMQ3" s="120"/>
      <c r="CMR3" s="120"/>
      <c r="CMS3" s="120"/>
      <c r="CMT3" s="120"/>
      <c r="CMU3" s="120"/>
      <c r="CMV3" s="120"/>
      <c r="CMW3" s="120"/>
      <c r="CMX3" s="120"/>
      <c r="CMY3" s="120"/>
      <c r="CMZ3" s="120"/>
      <c r="CNA3" s="120"/>
      <c r="CNB3" s="120"/>
      <c r="CNC3" s="120"/>
      <c r="CND3" s="120"/>
      <c r="CNE3" s="120"/>
      <c r="CNF3" s="120"/>
      <c r="CNG3" s="120"/>
      <c r="CNH3" s="120"/>
      <c r="CNI3" s="120"/>
      <c r="CNJ3" s="120"/>
      <c r="CNK3" s="120"/>
      <c r="CNL3" s="120"/>
      <c r="CNM3" s="120"/>
      <c r="CNN3" s="120"/>
      <c r="CNO3" s="120"/>
      <c r="CNP3" s="120"/>
      <c r="CNQ3" s="120"/>
      <c r="CNR3" s="120"/>
      <c r="CNS3" s="120"/>
      <c r="CNT3" s="120"/>
      <c r="CNU3" s="120"/>
      <c r="CNV3" s="120"/>
      <c r="CNW3" s="120"/>
      <c r="CNX3" s="120"/>
      <c r="CNY3" s="120"/>
      <c r="CNZ3" s="120"/>
      <c r="COA3" s="120"/>
      <c r="COB3" s="120"/>
      <c r="COC3" s="120"/>
      <c r="COD3" s="120"/>
      <c r="COE3" s="120"/>
      <c r="COF3" s="120"/>
      <c r="COG3" s="120"/>
      <c r="COH3" s="120"/>
      <c r="COI3" s="120"/>
      <c r="COJ3" s="120"/>
      <c r="COK3" s="120"/>
      <c r="COL3" s="120"/>
      <c r="COM3" s="120"/>
      <c r="CON3" s="120"/>
      <c r="COO3" s="120"/>
      <c r="COP3" s="120"/>
      <c r="COQ3" s="120"/>
      <c r="COR3" s="120"/>
      <c r="COS3" s="120"/>
      <c r="COT3" s="120"/>
      <c r="COU3" s="120"/>
      <c r="COV3" s="120"/>
      <c r="COW3" s="120"/>
      <c r="COX3" s="120"/>
      <c r="COY3" s="120"/>
      <c r="COZ3" s="120"/>
      <c r="CPA3" s="120"/>
      <c r="CPB3" s="120"/>
      <c r="CPC3" s="120"/>
      <c r="CPD3" s="120"/>
      <c r="CPE3" s="120"/>
      <c r="CPF3" s="120"/>
      <c r="CPG3" s="120"/>
      <c r="CPH3" s="120"/>
      <c r="CPI3" s="120"/>
      <c r="CPJ3" s="120"/>
      <c r="CPK3" s="120"/>
      <c r="CPL3" s="120"/>
      <c r="CPM3" s="120"/>
      <c r="CPN3" s="120"/>
      <c r="CPO3" s="120"/>
      <c r="CPP3" s="120"/>
      <c r="CPQ3" s="120"/>
      <c r="CPR3" s="120"/>
      <c r="CPS3" s="120"/>
      <c r="CPT3" s="120"/>
      <c r="CPU3" s="120"/>
      <c r="CPV3" s="120"/>
      <c r="CPW3" s="120"/>
      <c r="CPX3" s="120"/>
      <c r="CPY3" s="120"/>
      <c r="CPZ3" s="120"/>
      <c r="CQA3" s="120"/>
      <c r="CQB3" s="120"/>
      <c r="CQC3" s="120"/>
      <c r="CQD3" s="120"/>
      <c r="CQE3" s="120"/>
      <c r="CQF3" s="120"/>
      <c r="CQG3" s="120"/>
      <c r="CQH3" s="120"/>
      <c r="CQI3" s="120"/>
      <c r="CQJ3" s="120"/>
      <c r="CQK3" s="120"/>
      <c r="CQL3" s="120"/>
      <c r="CQM3" s="120"/>
      <c r="CQN3" s="120"/>
      <c r="CQO3" s="120"/>
      <c r="CQP3" s="120"/>
      <c r="CQQ3" s="120"/>
      <c r="CQR3" s="120"/>
      <c r="CQS3" s="120"/>
      <c r="CQT3" s="120"/>
      <c r="CQU3" s="120"/>
      <c r="CQV3" s="120"/>
      <c r="CQW3" s="120"/>
      <c r="CQX3" s="120"/>
      <c r="CQY3" s="120"/>
      <c r="CQZ3" s="120"/>
      <c r="CRA3" s="120"/>
      <c r="CRB3" s="120"/>
      <c r="CRC3" s="120"/>
      <c r="CRD3" s="120"/>
      <c r="CRE3" s="120"/>
      <c r="CRF3" s="120"/>
      <c r="CRG3" s="120"/>
      <c r="CRH3" s="120"/>
      <c r="CRI3" s="120"/>
      <c r="CRJ3" s="120"/>
      <c r="CRK3" s="120"/>
      <c r="CRL3" s="120"/>
      <c r="CRM3" s="120"/>
      <c r="CRN3" s="120"/>
      <c r="CRO3" s="120"/>
      <c r="CRP3" s="120"/>
      <c r="CRQ3" s="120"/>
      <c r="CRR3" s="120"/>
      <c r="CRS3" s="120"/>
      <c r="CRT3" s="120"/>
      <c r="CRU3" s="120"/>
      <c r="CRV3" s="120"/>
      <c r="CRW3" s="120"/>
      <c r="CRX3" s="120"/>
      <c r="CRY3" s="120"/>
      <c r="CRZ3" s="120"/>
      <c r="CSA3" s="120"/>
      <c r="CSB3" s="120"/>
      <c r="CSC3" s="120"/>
      <c r="CSD3" s="120"/>
      <c r="CSE3" s="120"/>
      <c r="CSF3" s="120"/>
      <c r="CSG3" s="120"/>
      <c r="CSH3" s="120"/>
      <c r="CSI3" s="120"/>
      <c r="CSJ3" s="120"/>
      <c r="CSK3" s="120"/>
      <c r="CSL3" s="120"/>
      <c r="CSM3" s="120"/>
      <c r="CSN3" s="120"/>
      <c r="CSO3" s="120"/>
      <c r="CSP3" s="120"/>
      <c r="CSQ3" s="120"/>
      <c r="CSR3" s="120"/>
      <c r="CSS3" s="120"/>
      <c r="CST3" s="120"/>
      <c r="CSU3" s="120"/>
      <c r="CSV3" s="120"/>
      <c r="CSW3" s="120"/>
      <c r="CSX3" s="120"/>
      <c r="CSY3" s="120"/>
      <c r="CSZ3" s="120"/>
      <c r="CTA3" s="120"/>
      <c r="CTB3" s="120"/>
      <c r="CTC3" s="120"/>
      <c r="CTD3" s="120"/>
      <c r="CTE3" s="120"/>
      <c r="CTF3" s="120"/>
      <c r="CTG3" s="120"/>
      <c r="CTH3" s="120"/>
      <c r="CTI3" s="120"/>
      <c r="CTJ3" s="120"/>
      <c r="CTK3" s="120"/>
      <c r="CTL3" s="120"/>
      <c r="CTM3" s="120"/>
      <c r="CTN3" s="120"/>
      <c r="CTO3" s="120"/>
      <c r="CTP3" s="120"/>
      <c r="CTQ3" s="120"/>
      <c r="CTR3" s="120"/>
      <c r="CTS3" s="120"/>
      <c r="CTT3" s="120"/>
      <c r="CTU3" s="120"/>
      <c r="CTV3" s="120"/>
      <c r="CTW3" s="120"/>
      <c r="CTX3" s="120"/>
      <c r="CTY3" s="120"/>
      <c r="CTZ3" s="120"/>
      <c r="CUA3" s="120"/>
      <c r="CUB3" s="120"/>
      <c r="CUC3" s="120"/>
      <c r="CUD3" s="120"/>
      <c r="CUE3" s="120"/>
      <c r="CUF3" s="120"/>
      <c r="CUG3" s="120"/>
      <c r="CUH3" s="120"/>
      <c r="CUI3" s="120"/>
      <c r="CUJ3" s="120"/>
      <c r="CUK3" s="120"/>
      <c r="CUL3" s="120"/>
      <c r="CUM3" s="120"/>
      <c r="CUN3" s="120"/>
      <c r="CUO3" s="120"/>
      <c r="CUP3" s="120"/>
      <c r="CUQ3" s="120"/>
      <c r="CUR3" s="120"/>
      <c r="CUS3" s="120"/>
      <c r="CUT3" s="120"/>
      <c r="CUU3" s="120"/>
      <c r="CUV3" s="120"/>
      <c r="CUW3" s="120"/>
      <c r="CUX3" s="120"/>
      <c r="CUY3" s="120"/>
      <c r="CUZ3" s="120"/>
      <c r="CVA3" s="120"/>
      <c r="CVB3" s="120"/>
      <c r="CVC3" s="120"/>
      <c r="CVD3" s="120"/>
      <c r="CVE3" s="120"/>
      <c r="CVF3" s="120"/>
      <c r="CVG3" s="120"/>
      <c r="CVH3" s="120"/>
      <c r="CVI3" s="120"/>
      <c r="CVJ3" s="120"/>
      <c r="CVK3" s="120"/>
      <c r="CVL3" s="120"/>
      <c r="CVM3" s="120"/>
      <c r="CVN3" s="120"/>
      <c r="CVO3" s="120"/>
      <c r="CVP3" s="120"/>
      <c r="CVQ3" s="120"/>
      <c r="CVR3" s="120"/>
      <c r="CVS3" s="120"/>
      <c r="CVT3" s="120"/>
      <c r="CVU3" s="120"/>
      <c r="CVV3" s="120"/>
      <c r="CVW3" s="120"/>
      <c r="CVX3" s="120"/>
      <c r="CVY3" s="120"/>
      <c r="CVZ3" s="120"/>
      <c r="CWA3" s="120"/>
      <c r="CWB3" s="120"/>
      <c r="CWC3" s="120"/>
      <c r="CWD3" s="120"/>
      <c r="CWE3" s="120"/>
      <c r="CWF3" s="120"/>
      <c r="CWG3" s="120"/>
      <c r="CWH3" s="120"/>
      <c r="CWI3" s="120"/>
      <c r="CWJ3" s="120"/>
      <c r="CWK3" s="120"/>
      <c r="CWL3" s="120"/>
      <c r="CWM3" s="120"/>
      <c r="CWN3" s="120"/>
      <c r="CWO3" s="120"/>
      <c r="CWP3" s="120"/>
      <c r="CWQ3" s="120"/>
      <c r="CWR3" s="120"/>
      <c r="CWS3" s="120"/>
      <c r="CWT3" s="120"/>
      <c r="CWU3" s="120"/>
      <c r="CWV3" s="120"/>
      <c r="CWW3" s="120"/>
      <c r="CWX3" s="120"/>
      <c r="CWY3" s="120"/>
      <c r="CWZ3" s="120"/>
      <c r="CXA3" s="120"/>
      <c r="CXB3" s="120"/>
      <c r="CXC3" s="120"/>
      <c r="CXD3" s="120"/>
      <c r="CXE3" s="120"/>
      <c r="CXF3" s="120"/>
      <c r="CXG3" s="120"/>
      <c r="CXH3" s="120"/>
      <c r="CXI3" s="120"/>
      <c r="CXJ3" s="120"/>
      <c r="CXK3" s="120"/>
      <c r="CXL3" s="120"/>
      <c r="CXM3" s="120"/>
      <c r="CXN3" s="120"/>
      <c r="CXO3" s="120"/>
      <c r="CXP3" s="120"/>
      <c r="CXQ3" s="120"/>
      <c r="CXR3" s="120"/>
      <c r="CXS3" s="120"/>
      <c r="CXT3" s="120"/>
      <c r="CXU3" s="120"/>
      <c r="CXV3" s="120"/>
      <c r="CXW3" s="120"/>
      <c r="CXX3" s="120"/>
      <c r="CXY3" s="120"/>
      <c r="CXZ3" s="120"/>
      <c r="CYA3" s="120"/>
      <c r="CYB3" s="120"/>
      <c r="CYC3" s="120"/>
      <c r="CYD3" s="120"/>
      <c r="CYE3" s="120"/>
      <c r="CYF3" s="120"/>
      <c r="CYG3" s="120"/>
      <c r="CYH3" s="120"/>
      <c r="CYI3" s="120"/>
      <c r="CYJ3" s="120"/>
      <c r="CYK3" s="120"/>
      <c r="CYL3" s="120"/>
      <c r="CYM3" s="120"/>
      <c r="CYN3" s="120"/>
      <c r="CYO3" s="120"/>
      <c r="CYP3" s="120"/>
      <c r="CYQ3" s="120"/>
      <c r="CYR3" s="120"/>
      <c r="CYS3" s="120"/>
      <c r="CYT3" s="120"/>
      <c r="CYU3" s="120"/>
      <c r="CYV3" s="120"/>
      <c r="CYW3" s="120"/>
      <c r="CYX3" s="120"/>
      <c r="CYY3" s="120"/>
      <c r="CYZ3" s="120"/>
      <c r="CZA3" s="120"/>
      <c r="CZB3" s="120"/>
      <c r="CZC3" s="120"/>
      <c r="CZD3" s="120"/>
      <c r="CZE3" s="120"/>
      <c r="CZF3" s="120"/>
      <c r="CZG3" s="120"/>
      <c r="CZH3" s="120"/>
      <c r="CZI3" s="120"/>
      <c r="CZJ3" s="120"/>
      <c r="CZK3" s="120"/>
      <c r="CZL3" s="120"/>
      <c r="CZM3" s="120"/>
      <c r="CZN3" s="120"/>
      <c r="CZO3" s="120"/>
      <c r="CZP3" s="120"/>
      <c r="CZQ3" s="120"/>
      <c r="CZR3" s="120"/>
      <c r="CZS3" s="120"/>
      <c r="CZT3" s="120"/>
      <c r="CZU3" s="120"/>
      <c r="CZV3" s="120"/>
      <c r="CZW3" s="120"/>
      <c r="CZX3" s="120"/>
      <c r="CZY3" s="120"/>
      <c r="CZZ3" s="120"/>
      <c r="DAA3" s="120"/>
      <c r="DAB3" s="120"/>
      <c r="DAC3" s="120"/>
      <c r="DAD3" s="120"/>
      <c r="DAE3" s="120"/>
      <c r="DAF3" s="120"/>
      <c r="DAG3" s="120"/>
      <c r="DAH3" s="120"/>
      <c r="DAI3" s="120"/>
      <c r="DAJ3" s="120"/>
      <c r="DAK3" s="120"/>
      <c r="DAL3" s="120"/>
      <c r="DAM3" s="120"/>
      <c r="DAN3" s="120"/>
      <c r="DAO3" s="120"/>
      <c r="DAP3" s="120"/>
      <c r="DAQ3" s="120"/>
      <c r="DAR3" s="120"/>
      <c r="DAS3" s="120"/>
      <c r="DAT3" s="120"/>
      <c r="DAU3" s="120"/>
      <c r="DAV3" s="120"/>
      <c r="DAW3" s="120"/>
      <c r="DAX3" s="120"/>
      <c r="DAY3" s="120"/>
      <c r="DAZ3" s="120"/>
      <c r="DBA3" s="120"/>
      <c r="DBB3" s="120"/>
      <c r="DBC3" s="120"/>
      <c r="DBD3" s="120"/>
      <c r="DBE3" s="120"/>
      <c r="DBF3" s="120"/>
      <c r="DBG3" s="120"/>
      <c r="DBH3" s="120"/>
      <c r="DBI3" s="120"/>
      <c r="DBJ3" s="120"/>
      <c r="DBK3" s="120"/>
      <c r="DBL3" s="120"/>
      <c r="DBM3" s="120"/>
      <c r="DBN3" s="120"/>
      <c r="DBO3" s="120"/>
      <c r="DBP3" s="120"/>
      <c r="DBQ3" s="120"/>
      <c r="DBR3" s="120"/>
      <c r="DBS3" s="120"/>
      <c r="DBT3" s="120"/>
      <c r="DBU3" s="120"/>
      <c r="DBV3" s="120"/>
      <c r="DBW3" s="120"/>
      <c r="DBX3" s="120"/>
      <c r="DBY3" s="120"/>
      <c r="DBZ3" s="120"/>
      <c r="DCA3" s="120"/>
      <c r="DCB3" s="120"/>
      <c r="DCC3" s="120"/>
      <c r="DCD3" s="120"/>
      <c r="DCE3" s="120"/>
      <c r="DCF3" s="120"/>
      <c r="DCG3" s="120"/>
      <c r="DCH3" s="120"/>
      <c r="DCI3" s="120"/>
      <c r="DCJ3" s="120"/>
      <c r="DCK3" s="120"/>
      <c r="DCL3" s="120"/>
      <c r="DCM3" s="120"/>
      <c r="DCN3" s="120"/>
      <c r="DCO3" s="120"/>
      <c r="DCP3" s="120"/>
      <c r="DCQ3" s="120"/>
      <c r="DCR3" s="120"/>
      <c r="DCS3" s="120"/>
      <c r="DCT3" s="120"/>
      <c r="DCU3" s="120"/>
      <c r="DCV3" s="120"/>
      <c r="DCW3" s="120"/>
      <c r="DCX3" s="120"/>
      <c r="DCY3" s="120"/>
      <c r="DCZ3" s="120"/>
      <c r="DDA3" s="120"/>
      <c r="DDB3" s="120"/>
      <c r="DDC3" s="120"/>
      <c r="DDD3" s="120"/>
      <c r="DDE3" s="120"/>
      <c r="DDF3" s="120"/>
      <c r="DDG3" s="120"/>
      <c r="DDH3" s="120"/>
      <c r="DDI3" s="120"/>
      <c r="DDJ3" s="120"/>
      <c r="DDK3" s="120"/>
      <c r="DDL3" s="120"/>
      <c r="DDM3" s="120"/>
      <c r="DDN3" s="120"/>
      <c r="DDO3" s="120"/>
      <c r="DDP3" s="120"/>
      <c r="DDQ3" s="120"/>
      <c r="DDR3" s="120"/>
      <c r="DDS3" s="120"/>
      <c r="DDT3" s="120"/>
      <c r="DDU3" s="120"/>
      <c r="DDV3" s="120"/>
      <c r="DDW3" s="120"/>
      <c r="DDX3" s="120"/>
      <c r="DDY3" s="120"/>
      <c r="DDZ3" s="120"/>
      <c r="DEA3" s="120"/>
      <c r="DEB3" s="120"/>
      <c r="DEC3" s="120"/>
      <c r="DED3" s="120"/>
      <c r="DEE3" s="120"/>
      <c r="DEF3" s="120"/>
      <c r="DEG3" s="120"/>
      <c r="DEH3" s="120"/>
      <c r="DEI3" s="120"/>
      <c r="DEJ3" s="120"/>
      <c r="DEK3" s="120"/>
      <c r="DEL3" s="120"/>
      <c r="DEM3" s="120"/>
      <c r="DEN3" s="120"/>
      <c r="DEO3" s="120"/>
      <c r="DEP3" s="120"/>
      <c r="DEQ3" s="120"/>
      <c r="DER3" s="120"/>
      <c r="DES3" s="120"/>
      <c r="DET3" s="120"/>
      <c r="DEU3" s="120"/>
      <c r="DEV3" s="120"/>
      <c r="DEW3" s="120"/>
      <c r="DEX3" s="120"/>
      <c r="DEY3" s="120"/>
      <c r="DEZ3" s="120"/>
      <c r="DFA3" s="120"/>
      <c r="DFB3" s="120"/>
      <c r="DFC3" s="120"/>
      <c r="DFD3" s="120"/>
      <c r="DFE3" s="120"/>
      <c r="DFF3" s="120"/>
      <c r="DFG3" s="120"/>
      <c r="DFH3" s="120"/>
      <c r="DFI3" s="120"/>
      <c r="DFJ3" s="120"/>
      <c r="DFK3" s="120"/>
      <c r="DFL3" s="120"/>
      <c r="DFM3" s="120"/>
      <c r="DFN3" s="120"/>
      <c r="DFO3" s="120"/>
      <c r="DFP3" s="120"/>
      <c r="DFQ3" s="120"/>
      <c r="DFR3" s="120"/>
      <c r="DFS3" s="120"/>
      <c r="DFT3" s="120"/>
      <c r="DFU3" s="120"/>
      <c r="DFV3" s="120"/>
      <c r="DFW3" s="120"/>
      <c r="DFX3" s="120"/>
      <c r="DFY3" s="120"/>
      <c r="DFZ3" s="120"/>
      <c r="DGA3" s="120"/>
      <c r="DGB3" s="120"/>
      <c r="DGC3" s="120"/>
      <c r="DGD3" s="120"/>
      <c r="DGE3" s="120"/>
      <c r="DGF3" s="120"/>
      <c r="DGG3" s="120"/>
      <c r="DGH3" s="120"/>
      <c r="DGI3" s="120"/>
      <c r="DGJ3" s="120"/>
      <c r="DGK3" s="120"/>
      <c r="DGL3" s="120"/>
      <c r="DGM3" s="120"/>
      <c r="DGN3" s="120"/>
      <c r="DGO3" s="120"/>
      <c r="DGP3" s="120"/>
      <c r="DGQ3" s="120"/>
      <c r="DGR3" s="120"/>
      <c r="DGS3" s="120"/>
      <c r="DGT3" s="120"/>
      <c r="DGU3" s="120"/>
      <c r="DGV3" s="120"/>
      <c r="DGW3" s="120"/>
      <c r="DGX3" s="120"/>
      <c r="DGY3" s="120"/>
      <c r="DGZ3" s="120"/>
      <c r="DHA3" s="120"/>
      <c r="DHB3" s="120"/>
      <c r="DHC3" s="120"/>
      <c r="DHD3" s="120"/>
      <c r="DHE3" s="120"/>
      <c r="DHF3" s="120"/>
      <c r="DHG3" s="120"/>
      <c r="DHH3" s="120"/>
      <c r="DHI3" s="120"/>
      <c r="DHJ3" s="120"/>
      <c r="DHK3" s="120"/>
      <c r="DHL3" s="120"/>
      <c r="DHM3" s="120"/>
      <c r="DHN3" s="120"/>
      <c r="DHO3" s="120"/>
      <c r="DHP3" s="120"/>
      <c r="DHQ3" s="120"/>
      <c r="DHR3" s="120"/>
      <c r="DHS3" s="120"/>
      <c r="DHT3" s="120"/>
      <c r="DHU3" s="120"/>
      <c r="DHV3" s="120"/>
      <c r="DHW3" s="120"/>
      <c r="DHX3" s="120"/>
      <c r="DHY3" s="120"/>
      <c r="DHZ3" s="120"/>
      <c r="DIA3" s="120"/>
      <c r="DIB3" s="120"/>
      <c r="DIC3" s="120"/>
      <c r="DID3" s="120"/>
      <c r="DIE3" s="120"/>
      <c r="DIF3" s="120"/>
      <c r="DIG3" s="120"/>
      <c r="DIH3" s="120"/>
      <c r="DII3" s="120"/>
      <c r="DIJ3" s="120"/>
      <c r="DIK3" s="120"/>
      <c r="DIL3" s="120"/>
      <c r="DIM3" s="120"/>
      <c r="DIN3" s="120"/>
      <c r="DIO3" s="120"/>
      <c r="DIP3" s="120"/>
      <c r="DIQ3" s="120"/>
      <c r="DIR3" s="120"/>
      <c r="DIS3" s="120"/>
      <c r="DIT3" s="120"/>
      <c r="DIU3" s="120"/>
      <c r="DIV3" s="120"/>
      <c r="DIW3" s="120"/>
      <c r="DIX3" s="120"/>
      <c r="DIY3" s="120"/>
      <c r="DIZ3" s="120"/>
      <c r="DJA3" s="120"/>
      <c r="DJB3" s="120"/>
      <c r="DJC3" s="120"/>
      <c r="DJD3" s="120"/>
      <c r="DJE3" s="120"/>
      <c r="DJF3" s="120"/>
      <c r="DJG3" s="120"/>
      <c r="DJH3" s="120"/>
      <c r="DJI3" s="120"/>
      <c r="DJJ3" s="120"/>
      <c r="DJK3" s="120"/>
      <c r="DJL3" s="120"/>
      <c r="DJM3" s="120"/>
      <c r="DJN3" s="120"/>
      <c r="DJO3" s="120"/>
      <c r="DJP3" s="120"/>
      <c r="DJQ3" s="120"/>
      <c r="DJR3" s="120"/>
      <c r="DJS3" s="120"/>
      <c r="DJT3" s="120"/>
      <c r="DJU3" s="120"/>
      <c r="DJV3" s="120"/>
      <c r="DJW3" s="120"/>
      <c r="DJX3" s="120"/>
      <c r="DJY3" s="120"/>
      <c r="DJZ3" s="120"/>
      <c r="DKA3" s="120"/>
      <c r="DKB3" s="120"/>
      <c r="DKC3" s="120"/>
      <c r="DKD3" s="120"/>
      <c r="DKE3" s="120"/>
      <c r="DKF3" s="120"/>
      <c r="DKG3" s="120"/>
      <c r="DKH3" s="120"/>
      <c r="DKI3" s="120"/>
      <c r="DKJ3" s="120"/>
      <c r="DKK3" s="120"/>
      <c r="DKL3" s="120"/>
      <c r="DKM3" s="120"/>
      <c r="DKN3" s="120"/>
      <c r="DKO3" s="120"/>
      <c r="DKP3" s="120"/>
      <c r="DKQ3" s="120"/>
      <c r="DKR3" s="120"/>
      <c r="DKS3" s="120"/>
      <c r="DKT3" s="120"/>
      <c r="DKU3" s="120"/>
      <c r="DKV3" s="120"/>
      <c r="DKW3" s="120"/>
      <c r="DKX3" s="120"/>
      <c r="DKY3" s="120"/>
      <c r="DKZ3" s="120"/>
      <c r="DLA3" s="120"/>
      <c r="DLB3" s="120"/>
      <c r="DLC3" s="120"/>
      <c r="DLD3" s="120"/>
      <c r="DLE3" s="120"/>
      <c r="DLF3" s="120"/>
      <c r="DLG3" s="120"/>
      <c r="DLH3" s="120"/>
      <c r="DLI3" s="120"/>
      <c r="DLJ3" s="120"/>
      <c r="DLK3" s="120"/>
      <c r="DLL3" s="120"/>
      <c r="DLM3" s="120"/>
      <c r="DLN3" s="120"/>
      <c r="DLO3" s="120"/>
      <c r="DLP3" s="120"/>
      <c r="DLQ3" s="120"/>
      <c r="DLR3" s="120"/>
      <c r="DLS3" s="120"/>
      <c r="DLT3" s="120"/>
      <c r="DLU3" s="120"/>
      <c r="DLV3" s="120"/>
      <c r="DLW3" s="120"/>
      <c r="DLX3" s="120"/>
      <c r="DLY3" s="120"/>
      <c r="DLZ3" s="120"/>
      <c r="DMA3" s="120"/>
      <c r="DMB3" s="120"/>
      <c r="DMC3" s="120"/>
      <c r="DMD3" s="120"/>
      <c r="DME3" s="120"/>
      <c r="DMF3" s="120"/>
      <c r="DMG3" s="120"/>
      <c r="DMH3" s="120"/>
      <c r="DMI3" s="120"/>
      <c r="DMJ3" s="120"/>
      <c r="DMK3" s="120"/>
      <c r="DML3" s="120"/>
      <c r="DMM3" s="120"/>
      <c r="DMN3" s="120"/>
      <c r="DMO3" s="120"/>
      <c r="DMP3" s="120"/>
      <c r="DMQ3" s="120"/>
      <c r="DMR3" s="120"/>
      <c r="DMS3" s="120"/>
      <c r="DMT3" s="120"/>
      <c r="DMU3" s="120"/>
      <c r="DMV3" s="120"/>
      <c r="DMW3" s="120"/>
      <c r="DMX3" s="120"/>
      <c r="DMY3" s="120"/>
      <c r="DMZ3" s="120"/>
      <c r="DNA3" s="120"/>
      <c r="DNB3" s="120"/>
      <c r="DNC3" s="120"/>
      <c r="DND3" s="120"/>
      <c r="DNE3" s="120"/>
      <c r="DNF3" s="120"/>
      <c r="DNG3" s="120"/>
      <c r="DNH3" s="120"/>
      <c r="DNI3" s="120"/>
      <c r="DNJ3" s="120"/>
      <c r="DNK3" s="120"/>
      <c r="DNL3" s="120"/>
      <c r="DNM3" s="120"/>
      <c r="DNN3" s="120"/>
      <c r="DNO3" s="120"/>
      <c r="DNP3" s="120"/>
      <c r="DNQ3" s="120"/>
      <c r="DNR3" s="120"/>
      <c r="DNS3" s="120"/>
      <c r="DNT3" s="120"/>
      <c r="DNU3" s="120"/>
      <c r="DNV3" s="120"/>
      <c r="DNW3" s="120"/>
      <c r="DNX3" s="120"/>
      <c r="DNY3" s="120"/>
      <c r="DNZ3" s="120"/>
      <c r="DOA3" s="120"/>
      <c r="DOB3" s="120"/>
      <c r="DOC3" s="120"/>
      <c r="DOD3" s="120"/>
      <c r="DOE3" s="120"/>
      <c r="DOF3" s="120"/>
      <c r="DOG3" s="120"/>
      <c r="DOH3" s="120"/>
      <c r="DOI3" s="120"/>
      <c r="DOJ3" s="120"/>
      <c r="DOK3" s="120"/>
      <c r="DOL3" s="120"/>
      <c r="DOM3" s="120"/>
      <c r="DON3" s="120"/>
      <c r="DOO3" s="120"/>
      <c r="DOP3" s="120"/>
      <c r="DOQ3" s="120"/>
      <c r="DOR3" s="120"/>
      <c r="DOS3" s="120"/>
      <c r="DOT3" s="120"/>
      <c r="DOU3" s="120"/>
      <c r="DOV3" s="120"/>
      <c r="DOW3" s="120"/>
      <c r="DOX3" s="120"/>
      <c r="DOY3" s="120"/>
      <c r="DOZ3" s="120"/>
      <c r="DPA3" s="120"/>
      <c r="DPB3" s="120"/>
      <c r="DPC3" s="120"/>
      <c r="DPD3" s="120"/>
      <c r="DPE3" s="120"/>
      <c r="DPF3" s="120"/>
      <c r="DPG3" s="120"/>
      <c r="DPH3" s="120"/>
      <c r="DPI3" s="120"/>
      <c r="DPJ3" s="120"/>
      <c r="DPK3" s="120"/>
      <c r="DPL3" s="120"/>
      <c r="DPM3" s="120"/>
      <c r="DPN3" s="120"/>
      <c r="DPO3" s="120"/>
      <c r="DPP3" s="120"/>
      <c r="DPQ3" s="120"/>
      <c r="DPR3" s="120"/>
      <c r="DPS3" s="120"/>
      <c r="DPT3" s="120"/>
      <c r="DPU3" s="120"/>
      <c r="DPV3" s="120"/>
      <c r="DPW3" s="120"/>
      <c r="DPX3" s="120"/>
      <c r="DPY3" s="120"/>
      <c r="DPZ3" s="120"/>
      <c r="DQA3" s="120"/>
      <c r="DQB3" s="120"/>
      <c r="DQC3" s="120"/>
      <c r="DQD3" s="120"/>
      <c r="DQE3" s="120"/>
      <c r="DQF3" s="120"/>
      <c r="DQG3" s="120"/>
      <c r="DQH3" s="120"/>
      <c r="DQI3" s="120"/>
      <c r="DQJ3" s="120"/>
      <c r="DQK3" s="120"/>
      <c r="DQL3" s="120"/>
      <c r="DQM3" s="120"/>
      <c r="DQN3" s="120"/>
      <c r="DQO3" s="120"/>
      <c r="DQP3" s="120"/>
      <c r="DQQ3" s="120"/>
      <c r="DQR3" s="120"/>
      <c r="DQS3" s="120"/>
      <c r="DQT3" s="120"/>
      <c r="DQU3" s="120"/>
      <c r="DQV3" s="120"/>
      <c r="DQW3" s="120"/>
      <c r="DQX3" s="120"/>
      <c r="DQY3" s="120"/>
      <c r="DQZ3" s="120"/>
      <c r="DRA3" s="120"/>
      <c r="DRB3" s="120"/>
      <c r="DRC3" s="120"/>
      <c r="DRD3" s="120"/>
      <c r="DRE3" s="120"/>
      <c r="DRF3" s="120"/>
      <c r="DRG3" s="120"/>
      <c r="DRH3" s="120"/>
      <c r="DRI3" s="120"/>
      <c r="DRJ3" s="120"/>
      <c r="DRK3" s="120"/>
      <c r="DRL3" s="120"/>
      <c r="DRM3" s="120"/>
      <c r="DRN3" s="120"/>
      <c r="DRO3" s="120"/>
      <c r="DRP3" s="120"/>
      <c r="DRQ3" s="120"/>
      <c r="DRR3" s="120"/>
      <c r="DRS3" s="120"/>
      <c r="DRT3" s="120"/>
      <c r="DRU3" s="120"/>
      <c r="DRV3" s="120"/>
      <c r="DRW3" s="120"/>
      <c r="DRX3" s="120"/>
      <c r="DRY3" s="120"/>
      <c r="DRZ3" s="120"/>
      <c r="DSA3" s="120"/>
      <c r="DSB3" s="120"/>
      <c r="DSC3" s="120"/>
      <c r="DSD3" s="120"/>
      <c r="DSE3" s="120"/>
      <c r="DSF3" s="120"/>
      <c r="DSG3" s="120"/>
      <c r="DSH3" s="120"/>
      <c r="DSI3" s="120"/>
      <c r="DSJ3" s="120"/>
      <c r="DSK3" s="120"/>
      <c r="DSL3" s="120"/>
      <c r="DSM3" s="120"/>
      <c r="DSN3" s="120"/>
      <c r="DSO3" s="120"/>
      <c r="DSP3" s="120"/>
      <c r="DSQ3" s="120"/>
      <c r="DSR3" s="120"/>
      <c r="DSS3" s="120"/>
      <c r="DST3" s="120"/>
      <c r="DSU3" s="120"/>
      <c r="DSV3" s="120"/>
      <c r="DSW3" s="120"/>
      <c r="DSX3" s="120"/>
      <c r="DSY3" s="120"/>
      <c r="DSZ3" s="120"/>
      <c r="DTA3" s="120"/>
      <c r="DTB3" s="120"/>
      <c r="DTC3" s="120"/>
      <c r="DTD3" s="120"/>
      <c r="DTE3" s="120"/>
      <c r="DTF3" s="120"/>
      <c r="DTG3" s="120"/>
      <c r="DTH3" s="120"/>
      <c r="DTI3" s="120"/>
      <c r="DTJ3" s="120"/>
      <c r="DTK3" s="120"/>
      <c r="DTL3" s="120"/>
      <c r="DTM3" s="120"/>
      <c r="DTN3" s="120"/>
      <c r="DTO3" s="120"/>
      <c r="DTP3" s="120"/>
      <c r="DTQ3" s="120"/>
      <c r="DTR3" s="120"/>
      <c r="DTS3" s="120"/>
      <c r="DTT3" s="120"/>
      <c r="DTU3" s="120"/>
      <c r="DTV3" s="120"/>
      <c r="DTW3" s="120"/>
      <c r="DTX3" s="120"/>
      <c r="DTY3" s="120"/>
      <c r="DTZ3" s="120"/>
      <c r="DUA3" s="120"/>
      <c r="DUB3" s="120"/>
      <c r="DUC3" s="120"/>
      <c r="DUD3" s="120"/>
      <c r="DUE3" s="120"/>
      <c r="DUF3" s="120"/>
      <c r="DUG3" s="120"/>
      <c r="DUH3" s="120"/>
      <c r="DUI3" s="120"/>
      <c r="DUJ3" s="120"/>
      <c r="DUK3" s="120"/>
      <c r="DUL3" s="120"/>
      <c r="DUM3" s="120"/>
      <c r="DUN3" s="120"/>
      <c r="DUO3" s="120"/>
      <c r="DUP3" s="120"/>
      <c r="DUQ3" s="120"/>
      <c r="DUR3" s="120"/>
      <c r="DUS3" s="120"/>
      <c r="DUT3" s="120"/>
      <c r="DUU3" s="120"/>
      <c r="DUV3" s="120"/>
      <c r="DUW3" s="120"/>
      <c r="DUX3" s="120"/>
      <c r="DUY3" s="120"/>
      <c r="DUZ3" s="120"/>
      <c r="DVA3" s="120"/>
      <c r="DVB3" s="120"/>
      <c r="DVC3" s="120"/>
      <c r="DVD3" s="120"/>
      <c r="DVE3" s="120"/>
      <c r="DVF3" s="120"/>
      <c r="DVG3" s="120"/>
      <c r="DVH3" s="120"/>
      <c r="DVI3" s="120"/>
      <c r="DVJ3" s="120"/>
      <c r="DVK3" s="120"/>
      <c r="DVL3" s="120"/>
      <c r="DVM3" s="120"/>
      <c r="DVN3" s="120"/>
      <c r="DVO3" s="120"/>
      <c r="DVP3" s="120"/>
      <c r="DVQ3" s="120"/>
      <c r="DVR3" s="120"/>
      <c r="DVS3" s="120"/>
      <c r="DVT3" s="120"/>
      <c r="DVU3" s="120"/>
      <c r="DVV3" s="120"/>
      <c r="DVW3" s="120"/>
      <c r="DVX3" s="120"/>
      <c r="DVY3" s="120"/>
      <c r="DVZ3" s="120"/>
      <c r="DWA3" s="120"/>
      <c r="DWB3" s="120"/>
      <c r="DWC3" s="120"/>
      <c r="DWD3" s="120"/>
      <c r="DWE3" s="120"/>
      <c r="DWF3" s="120"/>
      <c r="DWG3" s="120"/>
      <c r="DWH3" s="120"/>
      <c r="DWI3" s="120"/>
      <c r="DWJ3" s="120"/>
      <c r="DWK3" s="120"/>
      <c r="DWL3" s="120"/>
      <c r="DWM3" s="120"/>
      <c r="DWN3" s="120"/>
      <c r="DWO3" s="120"/>
      <c r="DWP3" s="120"/>
      <c r="DWQ3" s="120"/>
      <c r="DWR3" s="120"/>
      <c r="DWS3" s="120"/>
      <c r="DWT3" s="120"/>
      <c r="DWU3" s="120"/>
      <c r="DWV3" s="120"/>
      <c r="DWW3" s="120"/>
      <c r="DWX3" s="120"/>
      <c r="DWY3" s="120"/>
      <c r="DWZ3" s="120"/>
      <c r="DXA3" s="120"/>
      <c r="DXB3" s="120"/>
      <c r="DXC3" s="120"/>
      <c r="DXD3" s="120"/>
      <c r="DXE3" s="120"/>
      <c r="DXF3" s="120"/>
      <c r="DXG3" s="120"/>
      <c r="DXH3" s="120"/>
      <c r="DXI3" s="120"/>
      <c r="DXJ3" s="120"/>
      <c r="DXK3" s="120"/>
      <c r="DXL3" s="120"/>
      <c r="DXM3" s="120"/>
      <c r="DXN3" s="120"/>
      <c r="DXO3" s="120"/>
      <c r="DXP3" s="120"/>
      <c r="DXQ3" s="120"/>
      <c r="DXR3" s="120"/>
      <c r="DXS3" s="120"/>
      <c r="DXT3" s="120"/>
      <c r="DXU3" s="120"/>
      <c r="DXV3" s="120"/>
      <c r="DXW3" s="120"/>
      <c r="DXX3" s="120"/>
      <c r="DXY3" s="120"/>
      <c r="DXZ3" s="120"/>
      <c r="DYA3" s="120"/>
      <c r="DYB3" s="120"/>
      <c r="DYC3" s="120"/>
      <c r="DYD3" s="120"/>
      <c r="DYE3" s="120"/>
      <c r="DYF3" s="120"/>
      <c r="DYG3" s="120"/>
      <c r="DYH3" s="120"/>
      <c r="DYI3" s="120"/>
      <c r="DYJ3" s="120"/>
      <c r="DYK3" s="120"/>
      <c r="DYL3" s="120"/>
      <c r="DYM3" s="120"/>
      <c r="DYN3" s="120"/>
      <c r="DYO3" s="120"/>
      <c r="DYP3" s="120"/>
      <c r="DYQ3" s="120"/>
      <c r="DYR3" s="120"/>
      <c r="DYS3" s="120"/>
      <c r="DYT3" s="120"/>
      <c r="DYU3" s="120"/>
      <c r="DYV3" s="120"/>
      <c r="DYW3" s="120"/>
      <c r="DYX3" s="120"/>
      <c r="DYY3" s="120"/>
      <c r="DYZ3" s="120"/>
      <c r="DZA3" s="120"/>
      <c r="DZB3" s="120"/>
      <c r="DZC3" s="120"/>
      <c r="DZD3" s="120"/>
      <c r="DZE3" s="120"/>
      <c r="DZF3" s="120"/>
      <c r="DZG3" s="120"/>
      <c r="DZH3" s="120"/>
      <c r="DZI3" s="120"/>
      <c r="DZJ3" s="120"/>
      <c r="DZK3" s="120"/>
      <c r="DZL3" s="120"/>
      <c r="DZM3" s="120"/>
      <c r="DZN3" s="120"/>
      <c r="DZO3" s="120"/>
      <c r="DZP3" s="120"/>
      <c r="DZQ3" s="120"/>
      <c r="DZR3" s="120"/>
      <c r="DZS3" s="120"/>
      <c r="DZT3" s="120"/>
      <c r="DZU3" s="120"/>
      <c r="DZV3" s="120"/>
      <c r="DZW3" s="120"/>
      <c r="DZX3" s="120"/>
      <c r="DZY3" s="120"/>
      <c r="DZZ3" s="120"/>
      <c r="EAA3" s="120"/>
      <c r="EAB3" s="120"/>
      <c r="EAC3" s="120"/>
      <c r="EAD3" s="120"/>
      <c r="EAE3" s="120"/>
      <c r="EAF3" s="120"/>
      <c r="EAG3" s="120"/>
      <c r="EAH3" s="120"/>
      <c r="EAI3" s="120"/>
      <c r="EAJ3" s="120"/>
      <c r="EAK3" s="120"/>
      <c r="EAL3" s="120"/>
      <c r="EAM3" s="120"/>
      <c r="EAN3" s="120"/>
      <c r="EAO3" s="120"/>
      <c r="EAP3" s="120"/>
      <c r="EAQ3" s="120"/>
      <c r="EAR3" s="120"/>
      <c r="EAS3" s="120"/>
      <c r="EAT3" s="120"/>
      <c r="EAU3" s="120"/>
      <c r="EAV3" s="120"/>
      <c r="EAW3" s="120"/>
      <c r="EAX3" s="120"/>
      <c r="EAY3" s="120"/>
      <c r="EAZ3" s="120"/>
      <c r="EBA3" s="120"/>
      <c r="EBB3" s="120"/>
      <c r="EBC3" s="120"/>
      <c r="EBD3" s="120"/>
      <c r="EBE3" s="120"/>
      <c r="EBF3" s="120"/>
      <c r="EBG3" s="120"/>
      <c r="EBH3" s="120"/>
      <c r="EBI3" s="120"/>
      <c r="EBJ3" s="120"/>
      <c r="EBK3" s="120"/>
      <c r="EBL3" s="120"/>
      <c r="EBM3" s="120"/>
      <c r="EBN3" s="120"/>
      <c r="EBO3" s="120"/>
      <c r="EBP3" s="120"/>
      <c r="EBQ3" s="120"/>
      <c r="EBR3" s="120"/>
      <c r="EBS3" s="120"/>
      <c r="EBT3" s="120"/>
      <c r="EBU3" s="120"/>
      <c r="EBV3" s="120"/>
      <c r="EBW3" s="120"/>
      <c r="EBX3" s="120"/>
      <c r="EBY3" s="120"/>
      <c r="EBZ3" s="120"/>
      <c r="ECA3" s="120"/>
      <c r="ECB3" s="120"/>
      <c r="ECC3" s="120"/>
      <c r="ECD3" s="120"/>
      <c r="ECE3" s="120"/>
      <c r="ECF3" s="120"/>
      <c r="ECG3" s="120"/>
      <c r="ECH3" s="120"/>
      <c r="ECI3" s="120"/>
      <c r="ECJ3" s="120"/>
      <c r="ECK3" s="120"/>
      <c r="ECL3" s="120"/>
      <c r="ECM3" s="120"/>
      <c r="ECN3" s="120"/>
      <c r="ECO3" s="120"/>
      <c r="ECP3" s="120"/>
      <c r="ECQ3" s="120"/>
      <c r="ECR3" s="120"/>
      <c r="ECS3" s="120"/>
      <c r="ECT3" s="120"/>
      <c r="ECU3" s="120"/>
      <c r="ECV3" s="120"/>
      <c r="ECW3" s="120"/>
      <c r="ECX3" s="120"/>
      <c r="ECY3" s="120"/>
      <c r="ECZ3" s="120"/>
      <c r="EDA3" s="120"/>
      <c r="EDB3" s="120"/>
      <c r="EDC3" s="120"/>
      <c r="EDD3" s="120"/>
      <c r="EDE3" s="120"/>
      <c r="EDF3" s="120"/>
      <c r="EDG3" s="120"/>
      <c r="EDH3" s="120"/>
      <c r="EDI3" s="120"/>
      <c r="EDJ3" s="120"/>
      <c r="EDK3" s="120"/>
      <c r="EDL3" s="120"/>
      <c r="EDM3" s="120"/>
      <c r="EDN3" s="120"/>
      <c r="EDO3" s="120"/>
      <c r="EDP3" s="120"/>
      <c r="EDQ3" s="120"/>
      <c r="EDR3" s="120"/>
      <c r="EDS3" s="120"/>
      <c r="EDT3" s="120"/>
      <c r="EDU3" s="120"/>
      <c r="EDV3" s="120"/>
      <c r="EDW3" s="120"/>
      <c r="EDX3" s="120"/>
      <c r="EDY3" s="120"/>
      <c r="EDZ3" s="120"/>
      <c r="EEA3" s="120"/>
      <c r="EEB3" s="120"/>
      <c r="EEC3" s="120"/>
      <c r="EED3" s="120"/>
      <c r="EEE3" s="120"/>
      <c r="EEF3" s="120"/>
      <c r="EEG3" s="120"/>
      <c r="EEH3" s="120"/>
      <c r="EEI3" s="120"/>
      <c r="EEJ3" s="120"/>
      <c r="EEK3" s="120"/>
      <c r="EEL3" s="120"/>
      <c r="EEM3" s="120"/>
      <c r="EEN3" s="120"/>
      <c r="EEO3" s="120"/>
      <c r="EEP3" s="120"/>
      <c r="EEQ3" s="120"/>
      <c r="EER3" s="120"/>
      <c r="EES3" s="120"/>
      <c r="EET3" s="120"/>
      <c r="EEU3" s="120"/>
      <c r="EEV3" s="120"/>
      <c r="EEW3" s="120"/>
      <c r="EEX3" s="120"/>
      <c r="EEY3" s="120"/>
      <c r="EEZ3" s="120"/>
      <c r="EFA3" s="120"/>
      <c r="EFB3" s="120"/>
      <c r="EFC3" s="120"/>
      <c r="EFD3" s="120"/>
      <c r="EFE3" s="120"/>
      <c r="EFF3" s="120"/>
      <c r="EFG3" s="120"/>
      <c r="EFH3" s="120"/>
      <c r="EFI3" s="120"/>
      <c r="EFJ3" s="120"/>
      <c r="EFK3" s="120"/>
      <c r="EFL3" s="120"/>
      <c r="EFM3" s="120"/>
      <c r="EFN3" s="120"/>
      <c r="EFO3" s="120"/>
      <c r="EFP3" s="120"/>
      <c r="EFQ3" s="120"/>
      <c r="EFR3" s="120"/>
      <c r="EFS3" s="120"/>
      <c r="EFT3" s="120"/>
      <c r="EFU3" s="120"/>
      <c r="EFV3" s="120"/>
      <c r="EFW3" s="120"/>
      <c r="EFX3" s="120"/>
      <c r="EFY3" s="120"/>
      <c r="EFZ3" s="120"/>
      <c r="EGA3" s="120"/>
      <c r="EGB3" s="120"/>
      <c r="EGC3" s="120"/>
      <c r="EGD3" s="120"/>
      <c r="EGE3" s="120"/>
      <c r="EGF3" s="120"/>
      <c r="EGG3" s="120"/>
      <c r="EGH3" s="120"/>
      <c r="EGI3" s="120"/>
      <c r="EGJ3" s="120"/>
      <c r="EGK3" s="120"/>
      <c r="EGL3" s="120"/>
      <c r="EGM3" s="120"/>
      <c r="EGN3" s="120"/>
      <c r="EGO3" s="120"/>
      <c r="EGP3" s="120"/>
      <c r="EGQ3" s="120"/>
      <c r="EGR3" s="120"/>
      <c r="EGS3" s="120"/>
      <c r="EGT3" s="120"/>
      <c r="EGU3" s="120"/>
      <c r="EGV3" s="120"/>
      <c r="EGW3" s="120"/>
      <c r="EGX3" s="120"/>
      <c r="EGY3" s="120"/>
      <c r="EGZ3" s="120"/>
      <c r="EHA3" s="120"/>
      <c r="EHB3" s="120"/>
      <c r="EHC3" s="120"/>
      <c r="EHD3" s="120"/>
      <c r="EHE3" s="120"/>
      <c r="EHF3" s="120"/>
      <c r="EHG3" s="120"/>
      <c r="EHH3" s="120"/>
      <c r="EHI3" s="120"/>
      <c r="EHJ3" s="120"/>
      <c r="EHK3" s="120"/>
      <c r="EHL3" s="120"/>
      <c r="EHM3" s="120"/>
      <c r="EHN3" s="120"/>
      <c r="EHO3" s="120"/>
      <c r="EHP3" s="120"/>
      <c r="EHQ3" s="120"/>
      <c r="EHR3" s="120"/>
      <c r="EHS3" s="120"/>
      <c r="EHT3" s="120"/>
      <c r="EHU3" s="120"/>
      <c r="EHV3" s="120"/>
      <c r="EHW3" s="120"/>
      <c r="EHX3" s="120"/>
      <c r="EHY3" s="120"/>
      <c r="EHZ3" s="120"/>
      <c r="EIA3" s="120"/>
      <c r="EIB3" s="120"/>
      <c r="EIC3" s="120"/>
      <c r="EID3" s="120"/>
      <c r="EIE3" s="120"/>
      <c r="EIF3" s="120"/>
      <c r="EIG3" s="120"/>
      <c r="EIH3" s="120"/>
      <c r="EII3" s="120"/>
      <c r="EIJ3" s="120"/>
      <c r="EIK3" s="120"/>
      <c r="EIL3" s="120"/>
      <c r="EIM3" s="120"/>
      <c r="EIN3" s="120"/>
      <c r="EIO3" s="120"/>
      <c r="EIP3" s="120"/>
      <c r="EIQ3" s="120"/>
      <c r="EIR3" s="120"/>
      <c r="EIS3" s="120"/>
      <c r="EIT3" s="120"/>
      <c r="EIU3" s="120"/>
      <c r="EIV3" s="120"/>
      <c r="EIW3" s="120"/>
      <c r="EIX3" s="120"/>
      <c r="EIY3" s="120"/>
      <c r="EIZ3" s="120"/>
      <c r="EJA3" s="120"/>
      <c r="EJB3" s="120"/>
      <c r="EJC3" s="120"/>
      <c r="EJD3" s="120"/>
      <c r="EJE3" s="120"/>
      <c r="EJF3" s="120"/>
      <c r="EJG3" s="120"/>
      <c r="EJH3" s="120"/>
      <c r="EJI3" s="120"/>
      <c r="EJJ3" s="120"/>
      <c r="EJK3" s="120"/>
      <c r="EJL3" s="120"/>
      <c r="EJM3" s="120"/>
      <c r="EJN3" s="120"/>
      <c r="EJO3" s="120"/>
      <c r="EJP3" s="120"/>
      <c r="EJQ3" s="120"/>
      <c r="EJR3" s="120"/>
      <c r="EJS3" s="120"/>
      <c r="EJT3" s="120"/>
      <c r="EJU3" s="120"/>
      <c r="EJV3" s="120"/>
      <c r="EJW3" s="120"/>
      <c r="EJX3" s="120"/>
      <c r="EJY3" s="120"/>
      <c r="EJZ3" s="120"/>
      <c r="EKA3" s="120"/>
      <c r="EKB3" s="120"/>
      <c r="EKC3" s="120"/>
      <c r="EKD3" s="120"/>
      <c r="EKE3" s="120"/>
      <c r="EKF3" s="120"/>
      <c r="EKG3" s="120"/>
      <c r="EKH3" s="120"/>
      <c r="EKI3" s="120"/>
      <c r="EKJ3" s="120"/>
      <c r="EKK3" s="120"/>
      <c r="EKL3" s="120"/>
      <c r="EKM3" s="120"/>
      <c r="EKN3" s="120"/>
      <c r="EKO3" s="120"/>
      <c r="EKP3" s="120"/>
      <c r="EKQ3" s="120"/>
      <c r="EKR3" s="120"/>
      <c r="EKS3" s="120"/>
      <c r="EKT3" s="120"/>
      <c r="EKU3" s="120"/>
      <c r="EKV3" s="120"/>
      <c r="EKW3" s="120"/>
      <c r="EKX3" s="120"/>
      <c r="EKY3" s="120"/>
      <c r="EKZ3" s="120"/>
      <c r="ELA3" s="120"/>
      <c r="ELB3" s="120"/>
      <c r="ELC3" s="120"/>
      <c r="ELD3" s="120"/>
      <c r="ELE3" s="120"/>
      <c r="ELF3" s="120"/>
      <c r="ELG3" s="120"/>
      <c r="ELH3" s="120"/>
      <c r="ELI3" s="120"/>
      <c r="ELJ3" s="120"/>
      <c r="ELK3" s="120"/>
      <c r="ELL3" s="120"/>
      <c r="ELM3" s="120"/>
      <c r="ELN3" s="120"/>
      <c r="ELO3" s="120"/>
      <c r="ELP3" s="120"/>
      <c r="ELQ3" s="120"/>
      <c r="ELR3" s="120"/>
      <c r="ELS3" s="120"/>
      <c r="ELT3" s="120"/>
      <c r="ELU3" s="120"/>
      <c r="ELV3" s="120"/>
      <c r="ELW3" s="120"/>
      <c r="ELX3" s="120"/>
      <c r="ELY3" s="120"/>
      <c r="ELZ3" s="120"/>
      <c r="EMA3" s="120"/>
      <c r="EMB3" s="120"/>
      <c r="EMC3" s="120"/>
      <c r="EMD3" s="120"/>
      <c r="EME3" s="120"/>
      <c r="EMF3" s="120"/>
      <c r="EMG3" s="120"/>
      <c r="EMH3" s="120"/>
      <c r="EMI3" s="120"/>
      <c r="EMJ3" s="120"/>
      <c r="EMK3" s="120"/>
      <c r="EML3" s="120"/>
      <c r="EMM3" s="120"/>
      <c r="EMN3" s="120"/>
      <c r="EMO3" s="120"/>
      <c r="EMP3" s="120"/>
      <c r="EMQ3" s="120"/>
      <c r="EMR3" s="120"/>
      <c r="EMS3" s="120"/>
      <c r="EMT3" s="120"/>
      <c r="EMU3" s="120"/>
      <c r="EMV3" s="120"/>
      <c r="EMW3" s="120"/>
      <c r="EMX3" s="120"/>
      <c r="EMY3" s="120"/>
      <c r="EMZ3" s="120"/>
      <c r="ENA3" s="120"/>
      <c r="ENB3" s="120"/>
      <c r="ENC3" s="120"/>
      <c r="END3" s="120"/>
      <c r="ENE3" s="120"/>
      <c r="ENF3" s="120"/>
      <c r="ENG3" s="120"/>
      <c r="ENH3" s="120"/>
      <c r="ENI3" s="120"/>
      <c r="ENJ3" s="120"/>
      <c r="ENK3" s="120"/>
      <c r="ENL3" s="120"/>
      <c r="ENM3" s="120"/>
      <c r="ENN3" s="120"/>
      <c r="ENO3" s="120"/>
      <c r="ENP3" s="120"/>
      <c r="ENQ3" s="120"/>
      <c r="ENR3" s="120"/>
      <c r="ENS3" s="120"/>
      <c r="ENT3" s="120"/>
      <c r="ENU3" s="120"/>
      <c r="ENV3" s="120"/>
      <c r="ENW3" s="120"/>
      <c r="ENX3" s="120"/>
      <c r="ENY3" s="120"/>
      <c r="ENZ3" s="120"/>
      <c r="EOA3" s="120"/>
      <c r="EOB3" s="120"/>
      <c r="EOC3" s="120"/>
      <c r="EOD3" s="120"/>
      <c r="EOE3" s="120"/>
      <c r="EOF3" s="120"/>
      <c r="EOG3" s="120"/>
      <c r="EOH3" s="120"/>
      <c r="EOI3" s="120"/>
      <c r="EOJ3" s="120"/>
      <c r="EOK3" s="120"/>
      <c r="EOL3" s="120"/>
      <c r="EOM3" s="120"/>
      <c r="EON3" s="120"/>
      <c r="EOO3" s="120"/>
      <c r="EOP3" s="120"/>
      <c r="EOQ3" s="120"/>
      <c r="EOR3" s="120"/>
      <c r="EOS3" s="120"/>
      <c r="EOT3" s="120"/>
      <c r="EOU3" s="120"/>
      <c r="EOV3" s="120"/>
      <c r="EOW3" s="120"/>
      <c r="EOX3" s="120"/>
      <c r="EOY3" s="120"/>
      <c r="EOZ3" s="120"/>
      <c r="EPA3" s="120"/>
      <c r="EPB3" s="120"/>
      <c r="EPC3" s="120"/>
      <c r="EPD3" s="120"/>
      <c r="EPE3" s="120"/>
      <c r="EPF3" s="120"/>
      <c r="EPG3" s="120"/>
      <c r="EPH3" s="120"/>
      <c r="EPI3" s="120"/>
      <c r="EPJ3" s="120"/>
      <c r="EPK3" s="120"/>
      <c r="EPL3" s="120"/>
      <c r="EPM3" s="120"/>
      <c r="EPN3" s="120"/>
      <c r="EPO3" s="120"/>
      <c r="EPP3" s="120"/>
      <c r="EPQ3" s="120"/>
      <c r="EPR3" s="120"/>
      <c r="EPS3" s="120"/>
      <c r="EPT3" s="120"/>
      <c r="EPU3" s="120"/>
      <c r="EPV3" s="120"/>
      <c r="EPW3" s="120"/>
      <c r="EPX3" s="120"/>
      <c r="EPY3" s="120"/>
      <c r="EPZ3" s="120"/>
      <c r="EQA3" s="120"/>
      <c r="EQB3" s="120"/>
      <c r="EQC3" s="120"/>
      <c r="EQD3" s="120"/>
      <c r="EQE3" s="120"/>
      <c r="EQF3" s="120"/>
      <c r="EQG3" s="120"/>
      <c r="EQH3" s="120"/>
      <c r="EQI3" s="120"/>
      <c r="EQJ3" s="120"/>
      <c r="EQK3" s="120"/>
      <c r="EQL3" s="120"/>
      <c r="EQM3" s="120"/>
      <c r="EQN3" s="120"/>
      <c r="EQO3" s="120"/>
      <c r="EQP3" s="120"/>
      <c r="EQQ3" s="120"/>
      <c r="EQR3" s="120"/>
      <c r="EQS3" s="120"/>
      <c r="EQT3" s="120"/>
      <c r="EQU3" s="120"/>
      <c r="EQV3" s="120"/>
      <c r="EQW3" s="120"/>
      <c r="EQX3" s="120"/>
      <c r="EQY3" s="120"/>
      <c r="EQZ3" s="120"/>
      <c r="ERA3" s="120"/>
      <c r="ERB3" s="120"/>
      <c r="ERC3" s="120"/>
      <c r="ERD3" s="120"/>
      <c r="ERE3" s="120"/>
      <c r="ERF3" s="120"/>
      <c r="ERG3" s="120"/>
      <c r="ERH3" s="120"/>
      <c r="ERI3" s="120"/>
      <c r="ERJ3" s="120"/>
      <c r="ERK3" s="120"/>
      <c r="ERL3" s="120"/>
      <c r="ERM3" s="120"/>
      <c r="ERN3" s="120"/>
      <c r="ERO3" s="120"/>
      <c r="ERP3" s="120"/>
      <c r="ERQ3" s="120"/>
      <c r="ERR3" s="120"/>
      <c r="ERS3" s="120"/>
      <c r="ERT3" s="120"/>
      <c r="ERU3" s="120"/>
      <c r="ERV3" s="120"/>
      <c r="ERW3" s="120"/>
      <c r="ERX3" s="120"/>
      <c r="ERY3" s="120"/>
      <c r="ERZ3" s="120"/>
      <c r="ESA3" s="120"/>
      <c r="ESB3" s="120"/>
      <c r="ESC3" s="120"/>
      <c r="ESD3" s="120"/>
      <c r="ESE3" s="120"/>
      <c r="ESF3" s="120"/>
      <c r="ESG3" s="120"/>
      <c r="ESH3" s="120"/>
      <c r="ESI3" s="120"/>
      <c r="ESJ3" s="120"/>
      <c r="ESK3" s="120"/>
      <c r="ESL3" s="120"/>
      <c r="ESM3" s="120"/>
      <c r="ESN3" s="120"/>
      <c r="ESO3" s="120"/>
      <c r="ESP3" s="120"/>
      <c r="ESQ3" s="120"/>
      <c r="ESR3" s="120"/>
      <c r="ESS3" s="120"/>
      <c r="EST3" s="120"/>
      <c r="ESU3" s="120"/>
      <c r="ESV3" s="120"/>
      <c r="ESW3" s="120"/>
      <c r="ESX3" s="120"/>
      <c r="ESY3" s="120"/>
      <c r="ESZ3" s="120"/>
      <c r="ETA3" s="120"/>
      <c r="ETB3" s="120"/>
      <c r="ETC3" s="120"/>
      <c r="ETD3" s="120"/>
      <c r="ETE3" s="120"/>
      <c r="ETF3" s="120"/>
      <c r="ETG3" s="120"/>
      <c r="ETH3" s="120"/>
      <c r="ETI3" s="120"/>
      <c r="ETJ3" s="120"/>
      <c r="ETK3" s="120"/>
      <c r="ETL3" s="120"/>
      <c r="ETM3" s="120"/>
      <c r="ETN3" s="120"/>
      <c r="ETO3" s="120"/>
      <c r="ETP3" s="120"/>
      <c r="ETQ3" s="120"/>
      <c r="ETR3" s="120"/>
      <c r="ETS3" s="120"/>
      <c r="ETT3" s="120"/>
      <c r="ETU3" s="120"/>
      <c r="ETV3" s="120"/>
      <c r="ETW3" s="120"/>
      <c r="ETX3" s="120"/>
      <c r="ETY3" s="120"/>
      <c r="ETZ3" s="120"/>
      <c r="EUA3" s="120"/>
      <c r="EUB3" s="120"/>
      <c r="EUC3" s="120"/>
      <c r="EUD3" s="120"/>
      <c r="EUE3" s="120"/>
      <c r="EUF3" s="120"/>
      <c r="EUG3" s="120"/>
      <c r="EUH3" s="120"/>
      <c r="EUI3" s="120"/>
      <c r="EUJ3" s="120"/>
      <c r="EUK3" s="120"/>
      <c r="EUL3" s="120"/>
      <c r="EUM3" s="120"/>
      <c r="EUN3" s="120"/>
      <c r="EUO3" s="120"/>
      <c r="EUP3" s="120"/>
      <c r="EUQ3" s="120"/>
      <c r="EUR3" s="120"/>
      <c r="EUS3" s="120"/>
      <c r="EUT3" s="120"/>
      <c r="EUU3" s="120"/>
      <c r="EUV3" s="120"/>
      <c r="EUW3" s="120"/>
      <c r="EUX3" s="120"/>
      <c r="EUY3" s="120"/>
      <c r="EUZ3" s="120"/>
      <c r="EVA3" s="120"/>
      <c r="EVB3" s="120"/>
      <c r="EVC3" s="120"/>
      <c r="EVD3" s="120"/>
      <c r="EVE3" s="120"/>
      <c r="EVF3" s="120"/>
      <c r="EVG3" s="120"/>
      <c r="EVH3" s="120"/>
      <c r="EVI3" s="120"/>
      <c r="EVJ3" s="120"/>
      <c r="EVK3" s="120"/>
      <c r="EVL3" s="120"/>
      <c r="EVM3" s="120"/>
      <c r="EVN3" s="120"/>
      <c r="EVO3" s="120"/>
      <c r="EVP3" s="120"/>
      <c r="EVQ3" s="120"/>
      <c r="EVR3" s="120"/>
      <c r="EVS3" s="120"/>
      <c r="EVT3" s="120"/>
      <c r="EVU3" s="120"/>
      <c r="EVV3" s="120"/>
      <c r="EVW3" s="120"/>
      <c r="EVX3" s="120"/>
      <c r="EVY3" s="120"/>
      <c r="EVZ3" s="120"/>
      <c r="EWA3" s="120"/>
      <c r="EWB3" s="120"/>
      <c r="EWC3" s="120"/>
      <c r="EWD3" s="120"/>
      <c r="EWE3" s="120"/>
      <c r="EWF3" s="120"/>
      <c r="EWG3" s="120"/>
      <c r="EWH3" s="120"/>
      <c r="EWI3" s="120"/>
      <c r="EWJ3" s="120"/>
      <c r="EWK3" s="120"/>
      <c r="EWL3" s="120"/>
      <c r="EWM3" s="120"/>
      <c r="EWN3" s="120"/>
      <c r="EWO3" s="120"/>
      <c r="EWP3" s="120"/>
      <c r="EWQ3" s="120"/>
      <c r="EWR3" s="120"/>
      <c r="EWS3" s="120"/>
      <c r="EWT3" s="120"/>
      <c r="EWU3" s="120"/>
      <c r="EWV3" s="120"/>
      <c r="EWW3" s="120"/>
      <c r="EWX3" s="120"/>
      <c r="EWY3" s="120"/>
      <c r="EWZ3" s="120"/>
      <c r="EXA3" s="120"/>
      <c r="EXB3" s="120"/>
      <c r="EXC3" s="120"/>
      <c r="EXD3" s="120"/>
      <c r="EXE3" s="120"/>
      <c r="EXF3" s="120"/>
      <c r="EXG3" s="120"/>
      <c r="EXH3" s="120"/>
      <c r="EXI3" s="120"/>
      <c r="EXJ3" s="120"/>
      <c r="EXK3" s="120"/>
      <c r="EXL3" s="120"/>
      <c r="EXM3" s="120"/>
      <c r="EXN3" s="120"/>
      <c r="EXO3" s="120"/>
      <c r="EXP3" s="120"/>
      <c r="EXQ3" s="120"/>
      <c r="EXR3" s="120"/>
      <c r="EXS3" s="120"/>
      <c r="EXT3" s="120"/>
      <c r="EXU3" s="120"/>
      <c r="EXV3" s="120"/>
      <c r="EXW3" s="120"/>
      <c r="EXX3" s="120"/>
      <c r="EXY3" s="120"/>
      <c r="EXZ3" s="120"/>
      <c r="EYA3" s="120"/>
      <c r="EYB3" s="120"/>
      <c r="EYC3" s="120"/>
      <c r="EYD3" s="120"/>
      <c r="EYE3" s="120"/>
      <c r="EYF3" s="120"/>
      <c r="EYG3" s="120"/>
      <c r="EYH3" s="120"/>
      <c r="EYI3" s="120"/>
      <c r="EYJ3" s="120"/>
      <c r="EYK3" s="120"/>
      <c r="EYL3" s="120"/>
      <c r="EYM3" s="120"/>
      <c r="EYN3" s="120"/>
      <c r="EYO3" s="120"/>
      <c r="EYP3" s="120"/>
      <c r="EYQ3" s="120"/>
      <c r="EYR3" s="120"/>
      <c r="EYS3" s="120"/>
      <c r="EYT3" s="120"/>
      <c r="EYU3" s="120"/>
      <c r="EYV3" s="120"/>
      <c r="EYW3" s="120"/>
      <c r="EYX3" s="120"/>
      <c r="EYY3" s="120"/>
      <c r="EYZ3" s="120"/>
      <c r="EZA3" s="120"/>
      <c r="EZB3" s="120"/>
      <c r="EZC3" s="120"/>
      <c r="EZD3" s="120"/>
      <c r="EZE3" s="120"/>
      <c r="EZF3" s="120"/>
      <c r="EZG3" s="120"/>
      <c r="EZH3" s="120"/>
      <c r="EZI3" s="120"/>
      <c r="EZJ3" s="120"/>
      <c r="EZK3" s="120"/>
      <c r="EZL3" s="120"/>
      <c r="EZM3" s="120"/>
      <c r="EZN3" s="120"/>
      <c r="EZO3" s="120"/>
      <c r="EZP3" s="120"/>
      <c r="EZQ3" s="120"/>
      <c r="EZR3" s="120"/>
      <c r="EZS3" s="120"/>
      <c r="EZT3" s="120"/>
      <c r="EZU3" s="120"/>
      <c r="EZV3" s="120"/>
      <c r="EZW3" s="120"/>
      <c r="EZX3" s="120"/>
      <c r="EZY3" s="120"/>
      <c r="EZZ3" s="120"/>
      <c r="FAA3" s="120"/>
      <c r="FAB3" s="120"/>
      <c r="FAC3" s="120"/>
      <c r="FAD3" s="120"/>
      <c r="FAE3" s="120"/>
      <c r="FAF3" s="120"/>
      <c r="FAG3" s="120"/>
      <c r="FAH3" s="120"/>
      <c r="FAI3" s="120"/>
      <c r="FAJ3" s="120"/>
      <c r="FAK3" s="120"/>
      <c r="FAL3" s="120"/>
      <c r="FAM3" s="120"/>
      <c r="FAN3" s="120"/>
      <c r="FAO3" s="120"/>
      <c r="FAP3" s="120"/>
      <c r="FAQ3" s="120"/>
      <c r="FAR3" s="120"/>
      <c r="FAS3" s="120"/>
      <c r="FAT3" s="120"/>
      <c r="FAU3" s="120"/>
      <c r="FAV3" s="120"/>
      <c r="FAW3" s="120"/>
      <c r="FAX3" s="120"/>
      <c r="FAY3" s="120"/>
      <c r="FAZ3" s="120"/>
      <c r="FBA3" s="120"/>
      <c r="FBB3" s="120"/>
      <c r="FBC3" s="120"/>
      <c r="FBD3" s="120"/>
      <c r="FBE3" s="120"/>
      <c r="FBF3" s="120"/>
      <c r="FBG3" s="120"/>
      <c r="FBH3" s="120"/>
      <c r="FBI3" s="120"/>
      <c r="FBJ3" s="120"/>
      <c r="FBK3" s="120"/>
      <c r="FBL3" s="120"/>
      <c r="FBM3" s="120"/>
      <c r="FBN3" s="120"/>
      <c r="FBO3" s="120"/>
      <c r="FBP3" s="120"/>
      <c r="FBQ3" s="120"/>
      <c r="FBR3" s="120"/>
      <c r="FBS3" s="120"/>
      <c r="FBT3" s="120"/>
      <c r="FBU3" s="120"/>
      <c r="FBV3" s="120"/>
      <c r="FBW3" s="120"/>
      <c r="FBX3" s="120"/>
      <c r="FBY3" s="120"/>
      <c r="FBZ3" s="120"/>
      <c r="FCA3" s="120"/>
      <c r="FCB3" s="120"/>
      <c r="FCC3" s="120"/>
      <c r="FCD3" s="120"/>
      <c r="FCE3" s="120"/>
      <c r="FCF3" s="120"/>
      <c r="FCG3" s="120"/>
      <c r="FCH3" s="120"/>
      <c r="FCI3" s="120"/>
      <c r="FCJ3" s="120"/>
      <c r="FCK3" s="120"/>
      <c r="FCL3" s="120"/>
      <c r="FCM3" s="120"/>
      <c r="FCN3" s="120"/>
      <c r="FCO3" s="120"/>
      <c r="FCP3" s="120"/>
      <c r="FCQ3" s="120"/>
      <c r="FCR3" s="120"/>
      <c r="FCS3" s="120"/>
      <c r="FCT3" s="120"/>
      <c r="FCU3" s="120"/>
      <c r="FCV3" s="120"/>
      <c r="FCW3" s="120"/>
      <c r="FCX3" s="120"/>
      <c r="FCY3" s="120"/>
      <c r="FCZ3" s="120"/>
      <c r="FDA3" s="120"/>
      <c r="FDB3" s="120"/>
      <c r="FDC3" s="120"/>
      <c r="FDD3" s="120"/>
      <c r="FDE3" s="120"/>
      <c r="FDF3" s="120"/>
      <c r="FDG3" s="120"/>
      <c r="FDH3" s="120"/>
      <c r="FDI3" s="120"/>
      <c r="FDJ3" s="120"/>
      <c r="FDK3" s="120"/>
      <c r="FDL3" s="120"/>
      <c r="FDM3" s="120"/>
      <c r="FDN3" s="120"/>
      <c r="FDO3" s="120"/>
      <c r="FDP3" s="120"/>
      <c r="FDQ3" s="120"/>
      <c r="FDR3" s="120"/>
      <c r="FDS3" s="120"/>
      <c r="FDT3" s="120"/>
      <c r="FDU3" s="120"/>
      <c r="FDV3" s="120"/>
      <c r="FDW3" s="120"/>
      <c r="FDX3" s="120"/>
      <c r="FDY3" s="120"/>
      <c r="FDZ3" s="120"/>
      <c r="FEA3" s="120"/>
      <c r="FEB3" s="120"/>
      <c r="FEC3" s="120"/>
      <c r="FED3" s="120"/>
      <c r="FEE3" s="120"/>
      <c r="FEF3" s="120"/>
      <c r="FEG3" s="120"/>
      <c r="FEH3" s="120"/>
      <c r="FEI3" s="120"/>
      <c r="FEJ3" s="120"/>
      <c r="FEK3" s="120"/>
      <c r="FEL3" s="120"/>
      <c r="FEM3" s="120"/>
      <c r="FEN3" s="120"/>
      <c r="FEO3" s="120"/>
      <c r="FEP3" s="120"/>
      <c r="FEQ3" s="120"/>
      <c r="FER3" s="120"/>
      <c r="FES3" s="120"/>
      <c r="FET3" s="120"/>
      <c r="FEU3" s="120"/>
      <c r="FEV3" s="120"/>
      <c r="FEW3" s="120"/>
      <c r="FEX3" s="120"/>
      <c r="FEY3" s="120"/>
      <c r="FEZ3" s="120"/>
      <c r="FFA3" s="120"/>
      <c r="FFB3" s="120"/>
      <c r="FFC3" s="120"/>
      <c r="FFD3" s="120"/>
      <c r="FFE3" s="120"/>
      <c r="FFF3" s="120"/>
      <c r="FFG3" s="120"/>
      <c r="FFH3" s="120"/>
      <c r="FFI3" s="120"/>
      <c r="FFJ3" s="120"/>
      <c r="FFK3" s="120"/>
      <c r="FFL3" s="120"/>
      <c r="FFM3" s="120"/>
      <c r="FFN3" s="120"/>
      <c r="FFO3" s="120"/>
      <c r="FFP3" s="120"/>
      <c r="FFQ3" s="120"/>
      <c r="FFR3" s="120"/>
      <c r="FFS3" s="120"/>
      <c r="FFT3" s="120"/>
      <c r="FFU3" s="120"/>
      <c r="FFV3" s="120"/>
      <c r="FFW3" s="120"/>
      <c r="FFX3" s="120"/>
      <c r="FFY3" s="120"/>
      <c r="FFZ3" s="120"/>
      <c r="FGA3" s="120"/>
      <c r="FGB3" s="120"/>
      <c r="FGC3" s="120"/>
      <c r="FGD3" s="120"/>
      <c r="FGE3" s="120"/>
      <c r="FGF3" s="120"/>
      <c r="FGG3" s="120"/>
      <c r="FGH3" s="120"/>
      <c r="FGI3" s="120"/>
      <c r="FGJ3" s="120"/>
      <c r="FGK3" s="120"/>
      <c r="FGL3" s="120"/>
      <c r="FGM3" s="120"/>
      <c r="FGN3" s="120"/>
      <c r="FGO3" s="120"/>
      <c r="FGP3" s="120"/>
      <c r="FGQ3" s="120"/>
      <c r="FGR3" s="120"/>
      <c r="FGS3" s="120"/>
      <c r="FGT3" s="120"/>
      <c r="FGU3" s="120"/>
      <c r="FGV3" s="120"/>
      <c r="FGW3" s="120"/>
      <c r="FGX3" s="120"/>
      <c r="FGY3" s="120"/>
      <c r="FGZ3" s="120"/>
      <c r="FHA3" s="120"/>
      <c r="FHB3" s="120"/>
      <c r="FHC3" s="120"/>
      <c r="FHD3" s="120"/>
      <c r="FHE3" s="120"/>
      <c r="FHF3" s="120"/>
      <c r="FHG3" s="120"/>
      <c r="FHH3" s="120"/>
      <c r="FHI3" s="120"/>
      <c r="FHJ3" s="120"/>
      <c r="FHK3" s="120"/>
      <c r="FHL3" s="120"/>
      <c r="FHM3" s="120"/>
      <c r="FHN3" s="120"/>
      <c r="FHO3" s="120"/>
      <c r="FHP3" s="120"/>
      <c r="FHQ3" s="120"/>
      <c r="FHR3" s="120"/>
      <c r="FHS3" s="120"/>
      <c r="FHT3" s="120"/>
      <c r="FHU3" s="120"/>
      <c r="FHV3" s="120"/>
      <c r="FHW3" s="120"/>
      <c r="FHX3" s="120"/>
      <c r="FHY3" s="120"/>
      <c r="FHZ3" s="120"/>
      <c r="FIA3" s="120"/>
      <c r="FIB3" s="120"/>
      <c r="FIC3" s="120"/>
      <c r="FID3" s="120"/>
      <c r="FIE3" s="120"/>
      <c r="FIF3" s="120"/>
      <c r="FIG3" s="120"/>
      <c r="FIH3" s="120"/>
      <c r="FII3" s="120"/>
      <c r="FIJ3" s="120"/>
      <c r="FIK3" s="120"/>
      <c r="FIL3" s="120"/>
      <c r="FIM3" s="120"/>
      <c r="FIN3" s="120"/>
      <c r="FIO3" s="120"/>
      <c r="FIP3" s="120"/>
      <c r="FIQ3" s="120"/>
      <c r="FIR3" s="120"/>
      <c r="FIS3" s="120"/>
      <c r="FIT3" s="120"/>
      <c r="FIU3" s="120"/>
      <c r="FIV3" s="120"/>
      <c r="FIW3" s="120"/>
      <c r="FIX3" s="120"/>
      <c r="FIY3" s="120"/>
      <c r="FIZ3" s="120"/>
      <c r="FJA3" s="120"/>
      <c r="FJB3" s="120"/>
      <c r="FJC3" s="120"/>
      <c r="FJD3" s="120"/>
      <c r="FJE3" s="120"/>
      <c r="FJF3" s="120"/>
      <c r="FJG3" s="120"/>
      <c r="FJH3" s="120"/>
      <c r="FJI3" s="120"/>
      <c r="FJJ3" s="120"/>
      <c r="FJK3" s="120"/>
      <c r="FJL3" s="120"/>
      <c r="FJM3" s="120"/>
      <c r="FJN3" s="120"/>
      <c r="FJO3" s="120"/>
      <c r="FJP3" s="120"/>
      <c r="FJQ3" s="120"/>
      <c r="FJR3" s="120"/>
      <c r="FJS3" s="120"/>
      <c r="FJT3" s="120"/>
      <c r="FJU3" s="120"/>
      <c r="FJV3" s="120"/>
      <c r="FJW3" s="120"/>
      <c r="FJX3" s="120"/>
      <c r="FJY3" s="120"/>
      <c r="FJZ3" s="120"/>
      <c r="FKA3" s="120"/>
      <c r="FKB3" s="120"/>
      <c r="FKC3" s="120"/>
      <c r="FKD3" s="120"/>
      <c r="FKE3" s="120"/>
      <c r="FKF3" s="120"/>
      <c r="FKG3" s="120"/>
      <c r="FKH3" s="120"/>
      <c r="FKI3" s="120"/>
      <c r="FKJ3" s="120"/>
      <c r="FKK3" s="120"/>
      <c r="FKL3" s="120"/>
      <c r="FKM3" s="120"/>
      <c r="FKN3" s="120"/>
      <c r="FKO3" s="120"/>
      <c r="FKP3" s="120"/>
      <c r="FKQ3" s="120"/>
      <c r="FKR3" s="120"/>
      <c r="FKS3" s="120"/>
      <c r="FKT3" s="120"/>
      <c r="FKU3" s="120"/>
      <c r="FKV3" s="120"/>
      <c r="FKW3" s="120"/>
      <c r="FKX3" s="120"/>
      <c r="FKY3" s="120"/>
      <c r="FKZ3" s="120"/>
      <c r="FLA3" s="120"/>
      <c r="FLB3" s="120"/>
      <c r="FLC3" s="120"/>
      <c r="FLD3" s="120"/>
      <c r="FLE3" s="120"/>
      <c r="FLF3" s="120"/>
      <c r="FLG3" s="120"/>
      <c r="FLH3" s="120"/>
      <c r="FLI3" s="120"/>
      <c r="FLJ3" s="120"/>
      <c r="FLK3" s="120"/>
      <c r="FLL3" s="120"/>
      <c r="FLM3" s="120"/>
      <c r="FLN3" s="120"/>
      <c r="FLO3" s="120"/>
      <c r="FLP3" s="120"/>
      <c r="FLQ3" s="120"/>
      <c r="FLR3" s="120"/>
      <c r="FLS3" s="120"/>
      <c r="FLT3" s="120"/>
      <c r="FLU3" s="120"/>
      <c r="FLV3" s="120"/>
      <c r="FLW3" s="120"/>
      <c r="FLX3" s="120"/>
      <c r="FLY3" s="120"/>
      <c r="FLZ3" s="120"/>
      <c r="FMA3" s="120"/>
      <c r="FMB3" s="120"/>
      <c r="FMC3" s="120"/>
      <c r="FMD3" s="120"/>
      <c r="FME3" s="120"/>
      <c r="FMF3" s="120"/>
      <c r="FMG3" s="120"/>
      <c r="FMH3" s="120"/>
      <c r="FMI3" s="120"/>
      <c r="FMJ3" s="120"/>
      <c r="FMK3" s="120"/>
      <c r="FML3" s="120"/>
      <c r="FMM3" s="120"/>
      <c r="FMN3" s="120"/>
      <c r="FMO3" s="120"/>
      <c r="FMP3" s="120"/>
      <c r="FMQ3" s="120"/>
      <c r="FMR3" s="120"/>
      <c r="FMS3" s="120"/>
      <c r="FMT3" s="120"/>
      <c r="FMU3" s="120"/>
      <c r="FMV3" s="120"/>
      <c r="FMW3" s="120"/>
      <c r="FMX3" s="120"/>
      <c r="FMY3" s="120"/>
      <c r="FMZ3" s="120"/>
      <c r="FNA3" s="120"/>
      <c r="FNB3" s="120"/>
      <c r="FNC3" s="120"/>
      <c r="FND3" s="120"/>
      <c r="FNE3" s="120"/>
      <c r="FNF3" s="120"/>
      <c r="FNG3" s="120"/>
      <c r="FNH3" s="120"/>
      <c r="FNI3" s="120"/>
      <c r="FNJ3" s="120"/>
      <c r="FNK3" s="120"/>
      <c r="FNL3" s="120"/>
      <c r="FNM3" s="120"/>
      <c r="FNN3" s="120"/>
      <c r="FNO3" s="120"/>
      <c r="FNP3" s="120"/>
      <c r="FNQ3" s="120"/>
      <c r="FNR3" s="120"/>
      <c r="FNS3" s="120"/>
      <c r="FNT3" s="120"/>
      <c r="FNU3" s="120"/>
      <c r="FNV3" s="120"/>
      <c r="FNW3" s="120"/>
      <c r="FNX3" s="120"/>
      <c r="FNY3" s="120"/>
      <c r="FNZ3" s="120"/>
      <c r="FOA3" s="120"/>
      <c r="FOB3" s="120"/>
      <c r="FOC3" s="120"/>
      <c r="FOD3" s="120"/>
      <c r="FOE3" s="120"/>
      <c r="FOF3" s="120"/>
      <c r="FOG3" s="120"/>
      <c r="FOH3" s="120"/>
      <c r="FOI3" s="120"/>
      <c r="FOJ3" s="120"/>
      <c r="FOK3" s="120"/>
      <c r="FOL3" s="120"/>
      <c r="FOM3" s="120"/>
      <c r="FON3" s="120"/>
      <c r="FOO3" s="120"/>
      <c r="FOP3" s="120"/>
      <c r="FOQ3" s="120"/>
      <c r="FOR3" s="120"/>
      <c r="FOS3" s="120"/>
      <c r="FOT3" s="120"/>
      <c r="FOU3" s="120"/>
      <c r="FOV3" s="120"/>
      <c r="FOW3" s="120"/>
      <c r="FOX3" s="120"/>
      <c r="FOY3" s="120"/>
      <c r="FOZ3" s="120"/>
      <c r="FPA3" s="120"/>
      <c r="FPB3" s="120"/>
      <c r="FPC3" s="120"/>
      <c r="FPD3" s="120"/>
      <c r="FPE3" s="120"/>
      <c r="FPF3" s="120"/>
      <c r="FPG3" s="120"/>
      <c r="FPH3" s="120"/>
      <c r="FPI3" s="120"/>
      <c r="FPJ3" s="120"/>
      <c r="FPK3" s="120"/>
      <c r="FPL3" s="120"/>
      <c r="FPM3" s="120"/>
      <c r="FPN3" s="120"/>
      <c r="FPO3" s="120"/>
      <c r="FPP3" s="120"/>
      <c r="FPQ3" s="120"/>
      <c r="FPR3" s="120"/>
      <c r="FPS3" s="120"/>
      <c r="FPT3" s="120"/>
      <c r="FPU3" s="120"/>
      <c r="FPV3" s="120"/>
      <c r="FPW3" s="120"/>
      <c r="FPX3" s="120"/>
      <c r="FPY3" s="120"/>
      <c r="FPZ3" s="120"/>
      <c r="FQA3" s="120"/>
      <c r="FQB3" s="120"/>
      <c r="FQC3" s="120"/>
      <c r="FQD3" s="120"/>
      <c r="FQE3" s="120"/>
      <c r="FQF3" s="120"/>
      <c r="FQG3" s="120"/>
      <c r="FQH3" s="120"/>
      <c r="FQI3" s="120"/>
      <c r="FQJ3" s="120"/>
      <c r="FQK3" s="120"/>
      <c r="FQL3" s="120"/>
      <c r="FQM3" s="120"/>
      <c r="FQN3" s="120"/>
      <c r="FQO3" s="120"/>
      <c r="FQP3" s="120"/>
      <c r="FQQ3" s="120"/>
      <c r="FQR3" s="120"/>
      <c r="FQS3" s="120"/>
      <c r="FQT3" s="120"/>
      <c r="FQU3" s="120"/>
      <c r="FQV3" s="120"/>
      <c r="FQW3" s="120"/>
      <c r="FQX3" s="120"/>
      <c r="FQY3" s="120"/>
      <c r="FQZ3" s="120"/>
      <c r="FRA3" s="120"/>
      <c r="FRB3" s="120"/>
      <c r="FRC3" s="120"/>
      <c r="FRD3" s="120"/>
      <c r="FRE3" s="120"/>
      <c r="FRF3" s="120"/>
      <c r="FRG3" s="120"/>
      <c r="FRH3" s="120"/>
      <c r="FRI3" s="120"/>
      <c r="FRJ3" s="120"/>
      <c r="FRK3" s="120"/>
      <c r="FRL3" s="120"/>
      <c r="FRM3" s="120"/>
      <c r="FRN3" s="120"/>
      <c r="FRO3" s="120"/>
      <c r="FRP3" s="120"/>
      <c r="FRQ3" s="120"/>
      <c r="FRR3" s="120"/>
      <c r="FRS3" s="120"/>
      <c r="FRT3" s="120"/>
      <c r="FRU3" s="120"/>
      <c r="FRV3" s="120"/>
      <c r="FRW3" s="120"/>
      <c r="FRX3" s="120"/>
      <c r="FRY3" s="120"/>
      <c r="FRZ3" s="120"/>
      <c r="FSA3" s="120"/>
      <c r="FSB3" s="120"/>
      <c r="FSC3" s="120"/>
      <c r="FSD3" s="120"/>
      <c r="FSE3" s="120"/>
      <c r="FSF3" s="120"/>
      <c r="FSG3" s="120"/>
      <c r="FSH3" s="120"/>
      <c r="FSI3" s="120"/>
      <c r="FSJ3" s="120"/>
      <c r="FSK3" s="120"/>
      <c r="FSL3" s="120"/>
      <c r="FSM3" s="120"/>
      <c r="FSN3" s="120"/>
      <c r="FSO3" s="120"/>
      <c r="FSP3" s="120"/>
      <c r="FSQ3" s="120"/>
      <c r="FSR3" s="120"/>
      <c r="FSS3" s="120"/>
      <c r="FST3" s="120"/>
      <c r="FSU3" s="120"/>
      <c r="FSV3" s="120"/>
      <c r="FSW3" s="120"/>
      <c r="FSX3" s="120"/>
      <c r="FSY3" s="120"/>
      <c r="FSZ3" s="120"/>
      <c r="FTA3" s="120"/>
      <c r="FTB3" s="120"/>
      <c r="FTC3" s="120"/>
      <c r="FTD3" s="120"/>
      <c r="FTE3" s="120"/>
      <c r="FTF3" s="120"/>
      <c r="FTG3" s="120"/>
      <c r="FTH3" s="120"/>
      <c r="FTI3" s="120"/>
      <c r="FTJ3" s="120"/>
      <c r="FTK3" s="120"/>
      <c r="FTL3" s="120"/>
      <c r="FTM3" s="120"/>
      <c r="FTN3" s="120"/>
      <c r="FTO3" s="120"/>
      <c r="FTP3" s="120"/>
      <c r="FTQ3" s="120"/>
      <c r="FTR3" s="120"/>
      <c r="FTS3" s="120"/>
      <c r="FTT3" s="120"/>
      <c r="FTU3" s="120"/>
      <c r="FTV3" s="120"/>
      <c r="FTW3" s="120"/>
      <c r="FTX3" s="120"/>
      <c r="FTY3" s="120"/>
      <c r="FTZ3" s="120"/>
      <c r="FUA3" s="120"/>
      <c r="FUB3" s="120"/>
      <c r="FUC3" s="120"/>
      <c r="FUD3" s="120"/>
      <c r="FUE3" s="120"/>
      <c r="FUF3" s="120"/>
      <c r="FUG3" s="120"/>
      <c r="FUH3" s="120"/>
      <c r="FUI3" s="120"/>
      <c r="FUJ3" s="120"/>
      <c r="FUK3" s="120"/>
      <c r="FUL3" s="120"/>
      <c r="FUM3" s="120"/>
      <c r="FUN3" s="120"/>
      <c r="FUO3" s="120"/>
      <c r="FUP3" s="120"/>
      <c r="FUQ3" s="120"/>
      <c r="FUR3" s="120"/>
      <c r="FUS3" s="120"/>
      <c r="FUT3" s="120"/>
      <c r="FUU3" s="120"/>
      <c r="FUV3" s="120"/>
      <c r="FUW3" s="120"/>
      <c r="FUX3" s="120"/>
      <c r="FUY3" s="120"/>
      <c r="FUZ3" s="120"/>
      <c r="FVA3" s="120"/>
      <c r="FVB3" s="120"/>
      <c r="FVC3" s="120"/>
      <c r="FVD3" s="120"/>
      <c r="FVE3" s="120"/>
      <c r="FVF3" s="120"/>
      <c r="FVG3" s="120"/>
      <c r="FVH3" s="120"/>
      <c r="FVI3" s="120"/>
      <c r="FVJ3" s="120"/>
      <c r="FVK3" s="120"/>
      <c r="FVL3" s="120"/>
      <c r="FVM3" s="120"/>
      <c r="FVN3" s="120"/>
      <c r="FVO3" s="120"/>
      <c r="FVP3" s="120"/>
      <c r="FVQ3" s="120"/>
      <c r="FVR3" s="120"/>
      <c r="FVS3" s="120"/>
      <c r="FVT3" s="120"/>
      <c r="FVU3" s="120"/>
      <c r="FVV3" s="120"/>
      <c r="FVW3" s="120"/>
      <c r="FVX3" s="120"/>
      <c r="FVY3" s="120"/>
      <c r="FVZ3" s="120"/>
      <c r="FWA3" s="120"/>
      <c r="FWB3" s="120"/>
      <c r="FWC3" s="120"/>
      <c r="FWD3" s="120"/>
      <c r="FWE3" s="120"/>
      <c r="FWF3" s="120"/>
      <c r="FWG3" s="120"/>
      <c r="FWH3" s="120"/>
      <c r="FWI3" s="120"/>
      <c r="FWJ3" s="120"/>
      <c r="FWK3" s="120"/>
      <c r="FWL3" s="120"/>
      <c r="FWM3" s="120"/>
      <c r="FWN3" s="120"/>
      <c r="FWO3" s="120"/>
      <c r="FWP3" s="120"/>
      <c r="FWQ3" s="120"/>
      <c r="FWR3" s="120"/>
      <c r="FWS3" s="120"/>
      <c r="FWT3" s="120"/>
      <c r="FWU3" s="120"/>
      <c r="FWV3" s="120"/>
      <c r="FWW3" s="120"/>
      <c r="FWX3" s="120"/>
      <c r="FWY3" s="120"/>
      <c r="FWZ3" s="120"/>
      <c r="FXA3" s="120"/>
      <c r="FXB3" s="120"/>
      <c r="FXC3" s="120"/>
      <c r="FXD3" s="120"/>
      <c r="FXE3" s="120"/>
      <c r="FXF3" s="120"/>
      <c r="FXG3" s="120"/>
      <c r="FXH3" s="120"/>
      <c r="FXI3" s="120"/>
      <c r="FXJ3" s="120"/>
      <c r="FXK3" s="120"/>
      <c r="FXL3" s="120"/>
      <c r="FXM3" s="120"/>
      <c r="FXN3" s="120"/>
      <c r="FXO3" s="120"/>
      <c r="FXP3" s="120"/>
      <c r="FXQ3" s="120"/>
      <c r="FXR3" s="120"/>
      <c r="FXS3" s="120"/>
      <c r="FXT3" s="120"/>
      <c r="FXU3" s="120"/>
      <c r="FXV3" s="120"/>
      <c r="FXW3" s="120"/>
      <c r="FXX3" s="120"/>
      <c r="FXY3" s="120"/>
      <c r="FXZ3" s="120"/>
      <c r="FYA3" s="120"/>
      <c r="FYB3" s="120"/>
      <c r="FYC3" s="120"/>
      <c r="FYD3" s="120"/>
      <c r="FYE3" s="120"/>
      <c r="FYF3" s="120"/>
      <c r="FYG3" s="120"/>
      <c r="FYH3" s="120"/>
      <c r="FYI3" s="120"/>
      <c r="FYJ3" s="120"/>
      <c r="FYK3" s="120"/>
      <c r="FYL3" s="120"/>
      <c r="FYM3" s="120"/>
      <c r="FYN3" s="120"/>
      <c r="FYO3" s="120"/>
      <c r="FYP3" s="120"/>
      <c r="FYQ3" s="120"/>
      <c r="FYR3" s="120"/>
      <c r="FYS3" s="120"/>
      <c r="FYT3" s="120"/>
      <c r="FYU3" s="120"/>
      <c r="FYV3" s="120"/>
      <c r="FYW3" s="120"/>
      <c r="FYX3" s="120"/>
      <c r="FYY3" s="120"/>
      <c r="FYZ3" s="120"/>
      <c r="FZA3" s="120"/>
      <c r="FZB3" s="120"/>
      <c r="FZC3" s="120"/>
      <c r="FZD3" s="120"/>
      <c r="FZE3" s="120"/>
      <c r="FZF3" s="120"/>
      <c r="FZG3" s="120"/>
      <c r="FZH3" s="120"/>
      <c r="FZI3" s="120"/>
      <c r="FZJ3" s="120"/>
      <c r="FZK3" s="120"/>
      <c r="FZL3" s="120"/>
      <c r="FZM3" s="120"/>
      <c r="FZN3" s="120"/>
      <c r="FZO3" s="120"/>
      <c r="FZP3" s="120"/>
      <c r="FZQ3" s="120"/>
      <c r="FZR3" s="120"/>
      <c r="FZS3" s="120"/>
      <c r="FZT3" s="120"/>
      <c r="FZU3" s="120"/>
      <c r="FZV3" s="120"/>
      <c r="FZW3" s="120"/>
      <c r="FZX3" s="120"/>
      <c r="FZY3" s="120"/>
      <c r="FZZ3" s="120"/>
      <c r="GAA3" s="120"/>
      <c r="GAB3" s="120"/>
      <c r="GAC3" s="120"/>
      <c r="GAD3" s="120"/>
      <c r="GAE3" s="120"/>
      <c r="GAF3" s="120"/>
      <c r="GAG3" s="120"/>
      <c r="GAH3" s="120"/>
      <c r="GAI3" s="120"/>
      <c r="GAJ3" s="120"/>
      <c r="GAK3" s="120"/>
      <c r="GAL3" s="120"/>
      <c r="GAM3" s="120"/>
      <c r="GAN3" s="120"/>
      <c r="GAO3" s="120"/>
      <c r="GAP3" s="120"/>
      <c r="GAQ3" s="120"/>
      <c r="GAR3" s="120"/>
      <c r="GAS3" s="120"/>
      <c r="GAT3" s="120"/>
      <c r="GAU3" s="120"/>
      <c r="GAV3" s="120"/>
      <c r="GAW3" s="120"/>
      <c r="GAX3" s="120"/>
      <c r="GAY3" s="120"/>
      <c r="GAZ3" s="120"/>
      <c r="GBA3" s="120"/>
      <c r="GBB3" s="120"/>
      <c r="GBC3" s="120"/>
      <c r="GBD3" s="120"/>
      <c r="GBE3" s="120"/>
      <c r="GBF3" s="120"/>
      <c r="GBG3" s="120"/>
      <c r="GBH3" s="120"/>
      <c r="GBI3" s="120"/>
      <c r="GBJ3" s="120"/>
      <c r="GBK3" s="120"/>
      <c r="GBL3" s="120"/>
      <c r="GBM3" s="120"/>
      <c r="GBN3" s="120"/>
      <c r="GBO3" s="120"/>
      <c r="GBP3" s="120"/>
      <c r="GBQ3" s="120"/>
      <c r="GBR3" s="120"/>
      <c r="GBS3" s="120"/>
      <c r="GBT3" s="120"/>
      <c r="GBU3" s="120"/>
      <c r="GBV3" s="120"/>
      <c r="GBW3" s="120"/>
      <c r="GBX3" s="120"/>
      <c r="GBY3" s="120"/>
      <c r="GBZ3" s="120"/>
      <c r="GCA3" s="120"/>
      <c r="GCB3" s="120"/>
      <c r="GCC3" s="120"/>
      <c r="GCD3" s="120"/>
      <c r="GCE3" s="120"/>
      <c r="GCF3" s="120"/>
      <c r="GCG3" s="120"/>
      <c r="GCH3" s="120"/>
      <c r="GCI3" s="120"/>
      <c r="GCJ3" s="120"/>
      <c r="GCK3" s="120"/>
      <c r="GCL3" s="120"/>
      <c r="GCM3" s="120"/>
      <c r="GCN3" s="120"/>
      <c r="GCO3" s="120"/>
      <c r="GCP3" s="120"/>
      <c r="GCQ3" s="120"/>
      <c r="GCR3" s="120"/>
      <c r="GCS3" s="120"/>
      <c r="GCT3" s="120"/>
      <c r="GCU3" s="120"/>
      <c r="GCV3" s="120"/>
      <c r="GCW3" s="120"/>
      <c r="GCX3" s="120"/>
      <c r="GCY3" s="120"/>
      <c r="GCZ3" s="120"/>
      <c r="GDA3" s="120"/>
      <c r="GDB3" s="120"/>
      <c r="GDC3" s="120"/>
      <c r="GDD3" s="120"/>
      <c r="GDE3" s="120"/>
      <c r="GDF3" s="120"/>
      <c r="GDG3" s="120"/>
      <c r="GDH3" s="120"/>
      <c r="GDI3" s="120"/>
      <c r="GDJ3" s="120"/>
      <c r="GDK3" s="120"/>
      <c r="GDL3" s="120"/>
      <c r="GDM3" s="120"/>
      <c r="GDN3" s="120"/>
      <c r="GDO3" s="120"/>
      <c r="GDP3" s="120"/>
      <c r="GDQ3" s="120"/>
      <c r="GDR3" s="120"/>
      <c r="GDS3" s="120"/>
      <c r="GDT3" s="120"/>
      <c r="GDU3" s="120"/>
      <c r="GDV3" s="120"/>
      <c r="GDW3" s="120"/>
      <c r="GDX3" s="120"/>
      <c r="GDY3" s="120"/>
      <c r="GDZ3" s="120"/>
      <c r="GEA3" s="120"/>
      <c r="GEB3" s="120"/>
      <c r="GEC3" s="120"/>
      <c r="GED3" s="120"/>
      <c r="GEE3" s="120"/>
      <c r="GEF3" s="120"/>
      <c r="GEG3" s="120"/>
      <c r="GEH3" s="120"/>
      <c r="GEI3" s="120"/>
      <c r="GEJ3" s="120"/>
      <c r="GEK3" s="120"/>
      <c r="GEL3" s="120"/>
      <c r="GEM3" s="120"/>
      <c r="GEN3" s="120"/>
      <c r="GEO3" s="120"/>
      <c r="GEP3" s="120"/>
      <c r="GEQ3" s="120"/>
      <c r="GER3" s="120"/>
      <c r="GES3" s="120"/>
      <c r="GET3" s="120"/>
      <c r="GEU3" s="120"/>
      <c r="GEV3" s="120"/>
      <c r="GEW3" s="120"/>
      <c r="GEX3" s="120"/>
      <c r="GEY3" s="120"/>
      <c r="GEZ3" s="120"/>
      <c r="GFA3" s="120"/>
      <c r="GFB3" s="120"/>
      <c r="GFC3" s="120"/>
      <c r="GFD3" s="120"/>
      <c r="GFE3" s="120"/>
      <c r="GFF3" s="120"/>
      <c r="GFG3" s="120"/>
      <c r="GFH3" s="120"/>
      <c r="GFI3" s="120"/>
      <c r="GFJ3" s="120"/>
      <c r="GFK3" s="120"/>
      <c r="GFL3" s="120"/>
      <c r="GFM3" s="120"/>
      <c r="GFN3" s="120"/>
      <c r="GFO3" s="120"/>
      <c r="GFP3" s="120"/>
      <c r="GFQ3" s="120"/>
      <c r="GFR3" s="120"/>
      <c r="GFS3" s="120"/>
      <c r="GFT3" s="120"/>
      <c r="GFU3" s="120"/>
      <c r="GFV3" s="120"/>
      <c r="GFW3" s="120"/>
      <c r="GFX3" s="120"/>
      <c r="GFY3" s="120"/>
      <c r="GFZ3" s="120"/>
      <c r="GGA3" s="120"/>
      <c r="GGB3" s="120"/>
      <c r="GGC3" s="120"/>
      <c r="GGD3" s="120"/>
      <c r="GGE3" s="120"/>
      <c r="GGF3" s="120"/>
      <c r="GGG3" s="120"/>
      <c r="GGH3" s="120"/>
      <c r="GGI3" s="120"/>
      <c r="GGJ3" s="120"/>
      <c r="GGK3" s="120"/>
      <c r="GGL3" s="120"/>
      <c r="GGM3" s="120"/>
      <c r="GGN3" s="120"/>
      <c r="GGO3" s="120"/>
      <c r="GGP3" s="120"/>
      <c r="GGQ3" s="120"/>
      <c r="GGR3" s="120"/>
      <c r="GGS3" s="120"/>
      <c r="GGT3" s="120"/>
      <c r="GGU3" s="120"/>
      <c r="GGV3" s="120"/>
      <c r="GGW3" s="120"/>
      <c r="GGX3" s="120"/>
      <c r="GGY3" s="120"/>
      <c r="GGZ3" s="120"/>
      <c r="GHA3" s="120"/>
      <c r="GHB3" s="120"/>
      <c r="GHC3" s="120"/>
      <c r="GHD3" s="120"/>
      <c r="GHE3" s="120"/>
      <c r="GHF3" s="120"/>
      <c r="GHG3" s="120"/>
      <c r="GHH3" s="120"/>
      <c r="GHI3" s="120"/>
      <c r="GHJ3" s="120"/>
      <c r="GHK3" s="120"/>
      <c r="GHL3" s="120"/>
      <c r="GHM3" s="120"/>
      <c r="GHN3" s="120"/>
      <c r="GHO3" s="120"/>
      <c r="GHP3" s="120"/>
      <c r="GHQ3" s="120"/>
      <c r="GHR3" s="120"/>
      <c r="GHS3" s="120"/>
      <c r="GHT3" s="120"/>
      <c r="GHU3" s="120"/>
      <c r="GHV3" s="120"/>
      <c r="GHW3" s="120"/>
      <c r="GHX3" s="120"/>
      <c r="GHY3" s="120"/>
      <c r="GHZ3" s="120"/>
      <c r="GIA3" s="120"/>
      <c r="GIB3" s="120"/>
      <c r="GIC3" s="120"/>
      <c r="GID3" s="120"/>
      <c r="GIE3" s="120"/>
      <c r="GIF3" s="120"/>
      <c r="GIG3" s="120"/>
      <c r="GIH3" s="120"/>
      <c r="GII3" s="120"/>
      <c r="GIJ3" s="120"/>
      <c r="GIK3" s="120"/>
      <c r="GIL3" s="120"/>
      <c r="GIM3" s="120"/>
      <c r="GIN3" s="120"/>
      <c r="GIO3" s="120"/>
      <c r="GIP3" s="120"/>
      <c r="GIQ3" s="120"/>
      <c r="GIR3" s="120"/>
      <c r="GIS3" s="120"/>
      <c r="GIT3" s="120"/>
      <c r="GIU3" s="120"/>
      <c r="GIV3" s="120"/>
      <c r="GIW3" s="120"/>
      <c r="GIX3" s="120"/>
      <c r="GIY3" s="120"/>
      <c r="GIZ3" s="120"/>
      <c r="GJA3" s="120"/>
      <c r="GJB3" s="120"/>
      <c r="GJC3" s="120"/>
      <c r="GJD3" s="120"/>
      <c r="GJE3" s="120"/>
      <c r="GJF3" s="120"/>
      <c r="GJG3" s="120"/>
      <c r="GJH3" s="120"/>
      <c r="GJI3" s="120"/>
      <c r="GJJ3" s="120"/>
      <c r="GJK3" s="120"/>
      <c r="GJL3" s="120"/>
      <c r="GJM3" s="120"/>
      <c r="GJN3" s="120"/>
      <c r="GJO3" s="120"/>
      <c r="GJP3" s="120"/>
      <c r="GJQ3" s="120"/>
      <c r="GJR3" s="120"/>
      <c r="GJS3" s="120"/>
      <c r="GJT3" s="120"/>
      <c r="GJU3" s="120"/>
      <c r="GJV3" s="120"/>
      <c r="GJW3" s="120"/>
      <c r="GJX3" s="120"/>
      <c r="GJY3" s="120"/>
      <c r="GJZ3" s="120"/>
      <c r="GKA3" s="120"/>
      <c r="GKB3" s="120"/>
      <c r="GKC3" s="120"/>
      <c r="GKD3" s="120"/>
      <c r="GKE3" s="120"/>
      <c r="GKF3" s="120"/>
      <c r="GKG3" s="120"/>
      <c r="GKH3" s="120"/>
      <c r="GKI3" s="120"/>
      <c r="GKJ3" s="120"/>
      <c r="GKK3" s="120"/>
      <c r="GKL3" s="120"/>
      <c r="GKM3" s="120"/>
      <c r="GKN3" s="120"/>
      <c r="GKO3" s="120"/>
      <c r="GKP3" s="120"/>
      <c r="GKQ3" s="120"/>
      <c r="GKR3" s="120"/>
      <c r="GKS3" s="120"/>
      <c r="GKT3" s="120"/>
      <c r="GKU3" s="120"/>
      <c r="GKV3" s="120"/>
      <c r="GKW3" s="120"/>
      <c r="GKX3" s="120"/>
      <c r="GKY3" s="120"/>
      <c r="GKZ3" s="120"/>
      <c r="GLA3" s="120"/>
      <c r="GLB3" s="120"/>
      <c r="GLC3" s="120"/>
      <c r="GLD3" s="120"/>
      <c r="GLE3" s="120"/>
      <c r="GLF3" s="120"/>
      <c r="GLG3" s="120"/>
      <c r="GLH3" s="120"/>
      <c r="GLI3" s="120"/>
      <c r="GLJ3" s="120"/>
      <c r="GLK3" s="120"/>
      <c r="GLL3" s="120"/>
      <c r="GLM3" s="120"/>
      <c r="GLN3" s="120"/>
      <c r="GLO3" s="120"/>
      <c r="GLP3" s="120"/>
      <c r="GLQ3" s="120"/>
      <c r="GLR3" s="120"/>
      <c r="GLS3" s="120"/>
      <c r="GLT3" s="120"/>
      <c r="GLU3" s="120"/>
      <c r="GLV3" s="120"/>
      <c r="GLW3" s="120"/>
      <c r="GLX3" s="120"/>
      <c r="GLY3" s="120"/>
      <c r="GLZ3" s="120"/>
      <c r="GMA3" s="120"/>
      <c r="GMB3" s="120"/>
      <c r="GMC3" s="120"/>
      <c r="GMD3" s="120"/>
      <c r="GME3" s="120"/>
      <c r="GMF3" s="120"/>
      <c r="GMG3" s="120"/>
      <c r="GMH3" s="120"/>
      <c r="GMI3" s="120"/>
      <c r="GMJ3" s="120"/>
      <c r="GMK3" s="120"/>
      <c r="GML3" s="120"/>
      <c r="GMM3" s="120"/>
      <c r="GMN3" s="120"/>
      <c r="GMO3" s="120"/>
      <c r="GMP3" s="120"/>
      <c r="GMQ3" s="120"/>
      <c r="GMR3" s="120"/>
      <c r="GMS3" s="120"/>
      <c r="GMT3" s="120"/>
      <c r="GMU3" s="120"/>
      <c r="GMV3" s="120"/>
      <c r="GMW3" s="120"/>
      <c r="GMX3" s="120"/>
      <c r="GMY3" s="120"/>
      <c r="GMZ3" s="120"/>
      <c r="GNA3" s="120"/>
      <c r="GNB3" s="120"/>
      <c r="GNC3" s="120"/>
      <c r="GND3" s="120"/>
      <c r="GNE3" s="120"/>
      <c r="GNF3" s="120"/>
      <c r="GNG3" s="120"/>
      <c r="GNH3" s="120"/>
      <c r="GNI3" s="120"/>
      <c r="GNJ3" s="120"/>
      <c r="GNK3" s="120"/>
      <c r="GNL3" s="120"/>
      <c r="GNM3" s="120"/>
      <c r="GNN3" s="120"/>
      <c r="GNO3" s="120"/>
      <c r="GNP3" s="120"/>
      <c r="GNQ3" s="120"/>
      <c r="GNR3" s="120"/>
      <c r="GNS3" s="120"/>
      <c r="GNT3" s="120"/>
      <c r="GNU3" s="120"/>
      <c r="GNV3" s="120"/>
      <c r="GNW3" s="120"/>
      <c r="GNX3" s="120"/>
      <c r="GNY3" s="120"/>
      <c r="GNZ3" s="120"/>
      <c r="GOA3" s="120"/>
      <c r="GOB3" s="120"/>
      <c r="GOC3" s="120"/>
      <c r="GOD3" s="120"/>
      <c r="GOE3" s="120"/>
      <c r="GOF3" s="120"/>
      <c r="GOG3" s="120"/>
      <c r="GOH3" s="120"/>
      <c r="GOI3" s="120"/>
      <c r="GOJ3" s="120"/>
      <c r="GOK3" s="120"/>
      <c r="GOL3" s="120"/>
      <c r="GOM3" s="120"/>
      <c r="GON3" s="120"/>
      <c r="GOO3" s="120"/>
      <c r="GOP3" s="120"/>
      <c r="GOQ3" s="120"/>
      <c r="GOR3" s="120"/>
      <c r="GOS3" s="120"/>
      <c r="GOT3" s="120"/>
      <c r="GOU3" s="120"/>
      <c r="GOV3" s="120"/>
      <c r="GOW3" s="120"/>
      <c r="GOX3" s="120"/>
      <c r="GOY3" s="120"/>
      <c r="GOZ3" s="120"/>
      <c r="GPA3" s="120"/>
      <c r="GPB3" s="120"/>
      <c r="GPC3" s="120"/>
      <c r="GPD3" s="120"/>
      <c r="GPE3" s="120"/>
      <c r="GPF3" s="120"/>
      <c r="GPG3" s="120"/>
      <c r="GPH3" s="120"/>
      <c r="GPI3" s="120"/>
      <c r="GPJ3" s="120"/>
      <c r="GPK3" s="120"/>
      <c r="GPL3" s="120"/>
      <c r="GPM3" s="120"/>
      <c r="GPN3" s="120"/>
      <c r="GPO3" s="120"/>
      <c r="GPP3" s="120"/>
      <c r="GPQ3" s="120"/>
      <c r="GPR3" s="120"/>
      <c r="GPS3" s="120"/>
      <c r="GPT3" s="120"/>
      <c r="GPU3" s="120"/>
      <c r="GPV3" s="120"/>
      <c r="GPW3" s="120"/>
      <c r="GPX3" s="120"/>
      <c r="GPY3" s="120"/>
      <c r="GPZ3" s="120"/>
      <c r="GQA3" s="120"/>
      <c r="GQB3" s="120"/>
      <c r="GQC3" s="120"/>
      <c r="GQD3" s="120"/>
      <c r="GQE3" s="120"/>
      <c r="GQF3" s="120"/>
      <c r="GQG3" s="120"/>
      <c r="GQH3" s="120"/>
      <c r="GQI3" s="120"/>
      <c r="GQJ3" s="120"/>
      <c r="GQK3" s="120"/>
      <c r="GQL3" s="120"/>
      <c r="GQM3" s="120"/>
      <c r="GQN3" s="120"/>
      <c r="GQO3" s="120"/>
      <c r="GQP3" s="120"/>
      <c r="GQQ3" s="120"/>
      <c r="GQR3" s="120"/>
      <c r="GQS3" s="120"/>
      <c r="GQT3" s="120"/>
      <c r="GQU3" s="120"/>
      <c r="GQV3" s="120"/>
      <c r="GQW3" s="120"/>
      <c r="GQX3" s="120"/>
      <c r="GQY3" s="120"/>
      <c r="GQZ3" s="120"/>
      <c r="GRA3" s="120"/>
      <c r="GRB3" s="120"/>
      <c r="GRC3" s="120"/>
      <c r="GRD3" s="120"/>
      <c r="GRE3" s="120"/>
      <c r="GRF3" s="120"/>
      <c r="GRG3" s="120"/>
      <c r="GRH3" s="120"/>
      <c r="GRI3" s="120"/>
      <c r="GRJ3" s="120"/>
      <c r="GRK3" s="120"/>
      <c r="GRL3" s="120"/>
      <c r="GRM3" s="120"/>
      <c r="GRN3" s="120"/>
      <c r="GRO3" s="120"/>
      <c r="GRP3" s="120"/>
      <c r="GRQ3" s="120"/>
      <c r="GRR3" s="120"/>
      <c r="GRS3" s="120"/>
      <c r="GRT3" s="120"/>
      <c r="GRU3" s="120"/>
      <c r="GRV3" s="120"/>
      <c r="GRW3" s="120"/>
      <c r="GRX3" s="120"/>
      <c r="GRY3" s="120"/>
      <c r="GRZ3" s="120"/>
      <c r="GSA3" s="120"/>
      <c r="GSB3" s="120"/>
      <c r="GSC3" s="120"/>
      <c r="GSD3" s="120"/>
      <c r="GSE3" s="120"/>
      <c r="GSF3" s="120"/>
      <c r="GSG3" s="120"/>
      <c r="GSH3" s="120"/>
      <c r="GSI3" s="120"/>
      <c r="GSJ3" s="120"/>
      <c r="GSK3" s="120"/>
      <c r="GSL3" s="120"/>
      <c r="GSM3" s="120"/>
      <c r="GSN3" s="120"/>
      <c r="GSO3" s="120"/>
      <c r="GSP3" s="120"/>
      <c r="GSQ3" s="120"/>
      <c r="GSR3" s="120"/>
      <c r="GSS3" s="120"/>
      <c r="GST3" s="120"/>
      <c r="GSU3" s="120"/>
      <c r="GSV3" s="120"/>
      <c r="GSW3" s="120"/>
      <c r="GSX3" s="120"/>
      <c r="GSY3" s="120"/>
      <c r="GSZ3" s="120"/>
      <c r="GTA3" s="120"/>
      <c r="GTB3" s="120"/>
      <c r="GTC3" s="120"/>
      <c r="GTD3" s="120"/>
      <c r="GTE3" s="120"/>
      <c r="GTF3" s="120"/>
      <c r="GTG3" s="120"/>
      <c r="GTH3" s="120"/>
      <c r="GTI3" s="120"/>
      <c r="GTJ3" s="120"/>
      <c r="GTK3" s="120"/>
      <c r="GTL3" s="120"/>
      <c r="GTM3" s="120"/>
      <c r="GTN3" s="120"/>
      <c r="GTO3" s="120"/>
      <c r="GTP3" s="120"/>
      <c r="GTQ3" s="120"/>
      <c r="GTR3" s="120"/>
      <c r="GTS3" s="120"/>
      <c r="GTT3" s="120"/>
      <c r="GTU3" s="120"/>
      <c r="GTV3" s="120"/>
      <c r="GTW3" s="120"/>
      <c r="GTX3" s="120"/>
      <c r="GTY3" s="120"/>
      <c r="GTZ3" s="120"/>
      <c r="GUA3" s="120"/>
      <c r="GUB3" s="120"/>
      <c r="GUC3" s="120"/>
      <c r="GUD3" s="120"/>
      <c r="GUE3" s="120"/>
      <c r="GUF3" s="120"/>
      <c r="GUG3" s="120"/>
      <c r="GUH3" s="120"/>
      <c r="GUI3" s="120"/>
      <c r="GUJ3" s="120"/>
      <c r="GUK3" s="120"/>
      <c r="GUL3" s="120"/>
      <c r="GUM3" s="120"/>
      <c r="GUN3" s="120"/>
      <c r="GUO3" s="120"/>
      <c r="GUP3" s="120"/>
      <c r="GUQ3" s="120"/>
      <c r="GUR3" s="120"/>
      <c r="GUS3" s="120"/>
      <c r="GUT3" s="120"/>
      <c r="GUU3" s="120"/>
      <c r="GUV3" s="120"/>
      <c r="GUW3" s="120"/>
      <c r="GUX3" s="120"/>
      <c r="GUY3" s="120"/>
      <c r="GUZ3" s="120"/>
      <c r="GVA3" s="120"/>
      <c r="GVB3" s="120"/>
      <c r="GVC3" s="120"/>
      <c r="GVD3" s="120"/>
      <c r="GVE3" s="120"/>
      <c r="GVF3" s="120"/>
      <c r="GVG3" s="120"/>
      <c r="GVH3" s="120"/>
      <c r="GVI3" s="120"/>
      <c r="GVJ3" s="120"/>
      <c r="GVK3" s="120"/>
      <c r="GVL3" s="120"/>
      <c r="GVM3" s="120"/>
      <c r="GVN3" s="120"/>
      <c r="GVO3" s="120"/>
      <c r="GVP3" s="120"/>
      <c r="GVQ3" s="120"/>
      <c r="GVR3" s="120"/>
      <c r="GVS3" s="120"/>
      <c r="GVT3" s="120"/>
      <c r="GVU3" s="120"/>
      <c r="GVV3" s="120"/>
      <c r="GVW3" s="120"/>
      <c r="GVX3" s="120"/>
      <c r="GVY3" s="120"/>
      <c r="GVZ3" s="120"/>
      <c r="GWA3" s="120"/>
      <c r="GWB3" s="120"/>
      <c r="GWC3" s="120"/>
      <c r="GWD3" s="120"/>
      <c r="GWE3" s="120"/>
      <c r="GWF3" s="120"/>
      <c r="GWG3" s="120"/>
      <c r="GWH3" s="120"/>
      <c r="GWI3" s="120"/>
      <c r="GWJ3" s="120"/>
      <c r="GWK3" s="120"/>
      <c r="GWL3" s="120"/>
      <c r="GWM3" s="120"/>
      <c r="GWN3" s="120"/>
      <c r="GWO3" s="120"/>
      <c r="GWP3" s="120"/>
      <c r="GWQ3" s="120"/>
      <c r="GWR3" s="120"/>
      <c r="GWS3" s="120"/>
      <c r="GWT3" s="120"/>
      <c r="GWU3" s="120"/>
      <c r="GWV3" s="120"/>
      <c r="GWW3" s="120"/>
      <c r="GWX3" s="120"/>
      <c r="GWY3" s="120"/>
      <c r="GWZ3" s="120"/>
      <c r="GXA3" s="120"/>
      <c r="GXB3" s="120"/>
      <c r="GXC3" s="120"/>
      <c r="GXD3" s="120"/>
      <c r="GXE3" s="120"/>
      <c r="GXF3" s="120"/>
      <c r="GXG3" s="120"/>
      <c r="GXH3" s="120"/>
      <c r="GXI3" s="120"/>
      <c r="GXJ3" s="120"/>
      <c r="GXK3" s="120"/>
      <c r="GXL3" s="120"/>
      <c r="GXM3" s="120"/>
      <c r="GXN3" s="120"/>
      <c r="GXO3" s="120"/>
      <c r="GXP3" s="120"/>
      <c r="GXQ3" s="120"/>
      <c r="GXR3" s="120"/>
      <c r="GXS3" s="120"/>
      <c r="GXT3" s="120"/>
      <c r="GXU3" s="120"/>
      <c r="GXV3" s="120"/>
      <c r="GXW3" s="120"/>
      <c r="GXX3" s="120"/>
      <c r="GXY3" s="120"/>
      <c r="GXZ3" s="120"/>
      <c r="GYA3" s="120"/>
      <c r="GYB3" s="120"/>
      <c r="GYC3" s="120"/>
      <c r="GYD3" s="120"/>
      <c r="GYE3" s="120"/>
      <c r="GYF3" s="120"/>
      <c r="GYG3" s="120"/>
      <c r="GYH3" s="120"/>
      <c r="GYI3" s="120"/>
      <c r="GYJ3" s="120"/>
      <c r="GYK3" s="120"/>
      <c r="GYL3" s="120"/>
      <c r="GYM3" s="120"/>
      <c r="GYN3" s="120"/>
      <c r="GYO3" s="120"/>
      <c r="GYP3" s="120"/>
      <c r="GYQ3" s="120"/>
      <c r="GYR3" s="120"/>
      <c r="GYS3" s="120"/>
      <c r="GYT3" s="120"/>
      <c r="GYU3" s="120"/>
      <c r="GYV3" s="120"/>
      <c r="GYW3" s="120"/>
      <c r="GYX3" s="120"/>
      <c r="GYY3" s="120"/>
      <c r="GYZ3" s="120"/>
      <c r="GZA3" s="120"/>
      <c r="GZB3" s="120"/>
      <c r="GZC3" s="120"/>
      <c r="GZD3" s="120"/>
      <c r="GZE3" s="120"/>
      <c r="GZF3" s="120"/>
      <c r="GZG3" s="120"/>
      <c r="GZH3" s="120"/>
      <c r="GZI3" s="120"/>
      <c r="GZJ3" s="120"/>
      <c r="GZK3" s="120"/>
      <c r="GZL3" s="120"/>
      <c r="GZM3" s="120"/>
      <c r="GZN3" s="120"/>
      <c r="GZO3" s="120"/>
      <c r="GZP3" s="120"/>
      <c r="GZQ3" s="120"/>
      <c r="GZR3" s="120"/>
      <c r="GZS3" s="120"/>
      <c r="GZT3" s="120"/>
      <c r="GZU3" s="120"/>
      <c r="GZV3" s="120"/>
      <c r="GZW3" s="120"/>
      <c r="GZX3" s="120"/>
      <c r="GZY3" s="120"/>
      <c r="GZZ3" s="120"/>
      <c r="HAA3" s="120"/>
      <c r="HAB3" s="120"/>
      <c r="HAC3" s="120"/>
      <c r="HAD3" s="120"/>
      <c r="HAE3" s="120"/>
      <c r="HAF3" s="120"/>
      <c r="HAG3" s="120"/>
      <c r="HAH3" s="120"/>
      <c r="HAI3" s="120"/>
      <c r="HAJ3" s="120"/>
      <c r="HAK3" s="120"/>
      <c r="HAL3" s="120"/>
      <c r="HAM3" s="120"/>
      <c r="HAN3" s="120"/>
      <c r="HAO3" s="120"/>
      <c r="HAP3" s="120"/>
      <c r="HAQ3" s="120"/>
      <c r="HAR3" s="120"/>
      <c r="HAS3" s="120"/>
      <c r="HAT3" s="120"/>
      <c r="HAU3" s="120"/>
      <c r="HAV3" s="120"/>
      <c r="HAW3" s="120"/>
      <c r="HAX3" s="120"/>
      <c r="HAY3" s="120"/>
      <c r="HAZ3" s="120"/>
      <c r="HBA3" s="120"/>
      <c r="HBB3" s="120"/>
      <c r="HBC3" s="120"/>
      <c r="HBD3" s="120"/>
      <c r="HBE3" s="120"/>
      <c r="HBF3" s="120"/>
      <c r="HBG3" s="120"/>
      <c r="HBH3" s="120"/>
      <c r="HBI3" s="120"/>
      <c r="HBJ3" s="120"/>
      <c r="HBK3" s="120"/>
      <c r="HBL3" s="120"/>
      <c r="HBM3" s="120"/>
      <c r="HBN3" s="120"/>
      <c r="HBO3" s="120"/>
      <c r="HBP3" s="120"/>
      <c r="HBQ3" s="120"/>
      <c r="HBR3" s="120"/>
      <c r="HBS3" s="120"/>
      <c r="HBT3" s="120"/>
      <c r="HBU3" s="120"/>
      <c r="HBV3" s="120"/>
      <c r="HBW3" s="120"/>
      <c r="HBX3" s="120"/>
      <c r="HBY3" s="120"/>
      <c r="HBZ3" s="120"/>
      <c r="HCA3" s="120"/>
      <c r="HCB3" s="120"/>
      <c r="HCC3" s="120"/>
      <c r="HCD3" s="120"/>
      <c r="HCE3" s="120"/>
      <c r="HCF3" s="120"/>
      <c r="HCG3" s="120"/>
      <c r="HCH3" s="120"/>
      <c r="HCI3" s="120"/>
      <c r="HCJ3" s="120"/>
      <c r="HCK3" s="120"/>
      <c r="HCL3" s="120"/>
      <c r="HCM3" s="120"/>
      <c r="HCN3" s="120"/>
      <c r="HCO3" s="120"/>
      <c r="HCP3" s="120"/>
      <c r="HCQ3" s="120"/>
      <c r="HCR3" s="120"/>
      <c r="HCS3" s="120"/>
      <c r="HCT3" s="120"/>
      <c r="HCU3" s="120"/>
      <c r="HCV3" s="120"/>
      <c r="HCW3" s="120"/>
      <c r="HCX3" s="120"/>
      <c r="HCY3" s="120"/>
      <c r="HCZ3" s="120"/>
      <c r="HDA3" s="120"/>
      <c r="HDB3" s="120"/>
      <c r="HDC3" s="120"/>
      <c r="HDD3" s="120"/>
      <c r="HDE3" s="120"/>
      <c r="HDF3" s="120"/>
      <c r="HDG3" s="120"/>
      <c r="HDH3" s="120"/>
      <c r="HDI3" s="120"/>
      <c r="HDJ3" s="120"/>
      <c r="HDK3" s="120"/>
      <c r="HDL3" s="120"/>
      <c r="HDM3" s="120"/>
      <c r="HDN3" s="120"/>
      <c r="HDO3" s="120"/>
      <c r="HDP3" s="120"/>
      <c r="HDQ3" s="120"/>
      <c r="HDR3" s="120"/>
      <c r="HDS3" s="120"/>
      <c r="HDT3" s="120"/>
      <c r="HDU3" s="120"/>
      <c r="HDV3" s="120"/>
      <c r="HDW3" s="120"/>
      <c r="HDX3" s="120"/>
      <c r="HDY3" s="120"/>
      <c r="HDZ3" s="120"/>
      <c r="HEA3" s="120"/>
      <c r="HEB3" s="120"/>
      <c r="HEC3" s="120"/>
      <c r="HED3" s="120"/>
      <c r="HEE3" s="120"/>
      <c r="HEF3" s="120"/>
      <c r="HEG3" s="120"/>
      <c r="HEH3" s="120"/>
      <c r="HEI3" s="120"/>
      <c r="HEJ3" s="120"/>
      <c r="HEK3" s="120"/>
      <c r="HEL3" s="120"/>
      <c r="HEM3" s="120"/>
      <c r="HEN3" s="120"/>
      <c r="HEO3" s="120"/>
      <c r="HEP3" s="120"/>
      <c r="HEQ3" s="120"/>
      <c r="HER3" s="120"/>
      <c r="HES3" s="120"/>
      <c r="HET3" s="120"/>
      <c r="HEU3" s="120"/>
      <c r="HEV3" s="120"/>
      <c r="HEW3" s="120"/>
      <c r="HEX3" s="120"/>
      <c r="HEY3" s="120"/>
      <c r="HEZ3" s="120"/>
      <c r="HFA3" s="120"/>
      <c r="HFB3" s="120"/>
      <c r="HFC3" s="120"/>
      <c r="HFD3" s="120"/>
      <c r="HFE3" s="120"/>
      <c r="HFF3" s="120"/>
      <c r="HFG3" s="120"/>
      <c r="HFH3" s="120"/>
      <c r="HFI3" s="120"/>
      <c r="HFJ3" s="120"/>
      <c r="HFK3" s="120"/>
      <c r="HFL3" s="120"/>
      <c r="HFM3" s="120"/>
      <c r="HFN3" s="120"/>
      <c r="HFO3" s="120"/>
      <c r="HFP3" s="120"/>
      <c r="HFQ3" s="120"/>
      <c r="HFR3" s="120"/>
      <c r="HFS3" s="120"/>
      <c r="HFT3" s="120"/>
      <c r="HFU3" s="120"/>
      <c r="HFV3" s="120"/>
      <c r="HFW3" s="120"/>
      <c r="HFX3" s="120"/>
      <c r="HFY3" s="120"/>
      <c r="HFZ3" s="120"/>
      <c r="HGA3" s="120"/>
      <c r="HGB3" s="120"/>
      <c r="HGC3" s="120"/>
      <c r="HGD3" s="120"/>
      <c r="HGE3" s="120"/>
      <c r="HGF3" s="120"/>
      <c r="HGG3" s="120"/>
      <c r="HGH3" s="120"/>
      <c r="HGI3" s="120"/>
      <c r="HGJ3" s="120"/>
      <c r="HGK3" s="120"/>
      <c r="HGL3" s="120"/>
      <c r="HGM3" s="120"/>
      <c r="HGN3" s="120"/>
      <c r="HGO3" s="120"/>
      <c r="HGP3" s="120"/>
      <c r="HGQ3" s="120"/>
      <c r="HGR3" s="120"/>
      <c r="HGS3" s="120"/>
      <c r="HGT3" s="120"/>
      <c r="HGU3" s="120"/>
      <c r="HGV3" s="120"/>
      <c r="HGW3" s="120"/>
      <c r="HGX3" s="120"/>
      <c r="HGY3" s="120"/>
      <c r="HGZ3" s="120"/>
      <c r="HHA3" s="120"/>
      <c r="HHB3" s="120"/>
      <c r="HHC3" s="120"/>
      <c r="HHD3" s="120"/>
      <c r="HHE3" s="120"/>
      <c r="HHF3" s="120"/>
      <c r="HHG3" s="120"/>
      <c r="HHH3" s="120"/>
      <c r="HHI3" s="120"/>
      <c r="HHJ3" s="120"/>
      <c r="HHK3" s="120"/>
      <c r="HHL3" s="120"/>
      <c r="HHM3" s="120"/>
      <c r="HHN3" s="120"/>
      <c r="HHO3" s="120"/>
      <c r="HHP3" s="120"/>
      <c r="HHQ3" s="120"/>
      <c r="HHR3" s="120"/>
      <c r="HHS3" s="120"/>
      <c r="HHT3" s="120"/>
      <c r="HHU3" s="120"/>
      <c r="HHV3" s="120"/>
      <c r="HHW3" s="120"/>
      <c r="HHX3" s="120"/>
      <c r="HHY3" s="120"/>
      <c r="HHZ3" s="120"/>
      <c r="HIA3" s="120"/>
      <c r="HIB3" s="120"/>
      <c r="HIC3" s="120"/>
      <c r="HID3" s="120"/>
      <c r="HIE3" s="120"/>
      <c r="HIF3" s="120"/>
      <c r="HIG3" s="120"/>
      <c r="HIH3" s="120"/>
      <c r="HII3" s="120"/>
      <c r="HIJ3" s="120"/>
      <c r="HIK3" s="120"/>
      <c r="HIL3" s="120"/>
      <c r="HIM3" s="120"/>
      <c r="HIN3" s="120"/>
      <c r="HIO3" s="120"/>
      <c r="HIP3" s="120"/>
      <c r="HIQ3" s="120"/>
      <c r="HIR3" s="120"/>
      <c r="HIS3" s="120"/>
      <c r="HIT3" s="120"/>
      <c r="HIU3" s="120"/>
      <c r="HIV3" s="120"/>
      <c r="HIW3" s="120"/>
      <c r="HIX3" s="120"/>
      <c r="HIY3" s="120"/>
      <c r="HIZ3" s="120"/>
      <c r="HJA3" s="120"/>
      <c r="HJB3" s="120"/>
      <c r="HJC3" s="120"/>
      <c r="HJD3" s="120"/>
      <c r="HJE3" s="120"/>
      <c r="HJF3" s="120"/>
      <c r="HJG3" s="120"/>
      <c r="HJH3" s="120"/>
      <c r="HJI3" s="120"/>
      <c r="HJJ3" s="120"/>
      <c r="HJK3" s="120"/>
      <c r="HJL3" s="120"/>
      <c r="HJM3" s="120"/>
      <c r="HJN3" s="120"/>
      <c r="HJO3" s="120"/>
      <c r="HJP3" s="120"/>
      <c r="HJQ3" s="120"/>
      <c r="HJR3" s="120"/>
      <c r="HJS3" s="120"/>
      <c r="HJT3" s="120"/>
      <c r="HJU3" s="120"/>
      <c r="HJV3" s="120"/>
      <c r="HJW3" s="120"/>
      <c r="HJX3" s="120"/>
      <c r="HJY3" s="120"/>
      <c r="HJZ3" s="120"/>
      <c r="HKA3" s="120"/>
      <c r="HKB3" s="120"/>
      <c r="HKC3" s="120"/>
      <c r="HKD3" s="120"/>
      <c r="HKE3" s="120"/>
      <c r="HKF3" s="120"/>
      <c r="HKG3" s="120"/>
      <c r="HKH3" s="120"/>
      <c r="HKI3" s="120"/>
      <c r="HKJ3" s="120"/>
      <c r="HKK3" s="120"/>
      <c r="HKL3" s="120"/>
      <c r="HKM3" s="120"/>
      <c r="HKN3" s="120"/>
      <c r="HKO3" s="120"/>
      <c r="HKP3" s="120"/>
      <c r="HKQ3" s="120"/>
      <c r="HKR3" s="120"/>
      <c r="HKS3" s="120"/>
      <c r="HKT3" s="120"/>
      <c r="HKU3" s="120"/>
      <c r="HKV3" s="120"/>
      <c r="HKW3" s="120"/>
      <c r="HKX3" s="120"/>
      <c r="HKY3" s="120"/>
      <c r="HKZ3" s="120"/>
      <c r="HLA3" s="120"/>
      <c r="HLB3" s="120"/>
      <c r="HLC3" s="120"/>
      <c r="HLD3" s="120"/>
      <c r="HLE3" s="120"/>
      <c r="HLF3" s="120"/>
      <c r="HLG3" s="120"/>
      <c r="HLH3" s="120"/>
      <c r="HLI3" s="120"/>
      <c r="HLJ3" s="120"/>
      <c r="HLK3" s="120"/>
      <c r="HLL3" s="120"/>
      <c r="HLM3" s="120"/>
      <c r="HLN3" s="120"/>
      <c r="HLO3" s="120"/>
      <c r="HLP3" s="120"/>
      <c r="HLQ3" s="120"/>
      <c r="HLR3" s="120"/>
      <c r="HLS3" s="120"/>
      <c r="HLT3" s="120"/>
      <c r="HLU3" s="120"/>
      <c r="HLV3" s="120"/>
      <c r="HLW3" s="120"/>
      <c r="HLX3" s="120"/>
      <c r="HLY3" s="120"/>
      <c r="HLZ3" s="120"/>
      <c r="HMA3" s="120"/>
      <c r="HMB3" s="120"/>
      <c r="HMC3" s="120"/>
      <c r="HMD3" s="120"/>
      <c r="HME3" s="120"/>
      <c r="HMF3" s="120"/>
      <c r="HMG3" s="120"/>
      <c r="HMH3" s="120"/>
      <c r="HMI3" s="120"/>
      <c r="HMJ3" s="120"/>
      <c r="HMK3" s="120"/>
      <c r="HML3" s="120"/>
      <c r="HMM3" s="120"/>
      <c r="HMN3" s="120"/>
      <c r="HMO3" s="120"/>
      <c r="HMP3" s="120"/>
      <c r="HMQ3" s="120"/>
      <c r="HMR3" s="120"/>
      <c r="HMS3" s="120"/>
      <c r="HMT3" s="120"/>
      <c r="HMU3" s="120"/>
      <c r="HMV3" s="120"/>
      <c r="HMW3" s="120"/>
      <c r="HMX3" s="120"/>
      <c r="HMY3" s="120"/>
      <c r="HMZ3" s="120"/>
      <c r="HNA3" s="120"/>
      <c r="HNB3" s="120"/>
      <c r="HNC3" s="120"/>
      <c r="HND3" s="120"/>
      <c r="HNE3" s="120"/>
      <c r="HNF3" s="120"/>
      <c r="HNG3" s="120"/>
      <c r="HNH3" s="120"/>
      <c r="HNI3" s="120"/>
      <c r="HNJ3" s="120"/>
      <c r="HNK3" s="120"/>
      <c r="HNL3" s="120"/>
      <c r="HNM3" s="120"/>
      <c r="HNN3" s="120"/>
      <c r="HNO3" s="120"/>
      <c r="HNP3" s="120"/>
      <c r="HNQ3" s="120"/>
      <c r="HNR3" s="120"/>
      <c r="HNS3" s="120"/>
      <c r="HNT3" s="120"/>
      <c r="HNU3" s="120"/>
      <c r="HNV3" s="120"/>
      <c r="HNW3" s="120"/>
      <c r="HNX3" s="120"/>
      <c r="HNY3" s="120"/>
      <c r="HNZ3" s="120"/>
      <c r="HOA3" s="120"/>
      <c r="HOB3" s="120"/>
      <c r="HOC3" s="120"/>
      <c r="HOD3" s="120"/>
      <c r="HOE3" s="120"/>
      <c r="HOF3" s="120"/>
      <c r="HOG3" s="120"/>
      <c r="HOH3" s="120"/>
      <c r="HOI3" s="120"/>
      <c r="HOJ3" s="120"/>
      <c r="HOK3" s="120"/>
      <c r="HOL3" s="120"/>
      <c r="HOM3" s="120"/>
      <c r="HON3" s="120"/>
      <c r="HOO3" s="120"/>
      <c r="HOP3" s="120"/>
      <c r="HOQ3" s="120"/>
      <c r="HOR3" s="120"/>
      <c r="HOS3" s="120"/>
      <c r="HOT3" s="120"/>
      <c r="HOU3" s="120"/>
      <c r="HOV3" s="120"/>
      <c r="HOW3" s="120"/>
      <c r="HOX3" s="120"/>
      <c r="HOY3" s="120"/>
      <c r="HOZ3" s="120"/>
      <c r="HPA3" s="120"/>
      <c r="HPB3" s="120"/>
      <c r="HPC3" s="120"/>
      <c r="HPD3" s="120"/>
      <c r="HPE3" s="120"/>
      <c r="HPF3" s="120"/>
      <c r="HPG3" s="120"/>
      <c r="HPH3" s="120"/>
      <c r="HPI3" s="120"/>
      <c r="HPJ3" s="120"/>
      <c r="HPK3" s="120"/>
      <c r="HPL3" s="120"/>
      <c r="HPM3" s="120"/>
      <c r="HPN3" s="120"/>
      <c r="HPO3" s="120"/>
      <c r="HPP3" s="120"/>
      <c r="HPQ3" s="120"/>
      <c r="HPR3" s="120"/>
      <c r="HPS3" s="120"/>
      <c r="HPT3" s="120"/>
      <c r="HPU3" s="120"/>
      <c r="HPV3" s="120"/>
      <c r="HPW3" s="120"/>
      <c r="HPX3" s="120"/>
      <c r="HPY3" s="120"/>
      <c r="HPZ3" s="120"/>
      <c r="HQA3" s="120"/>
      <c r="HQB3" s="120"/>
      <c r="HQC3" s="120"/>
      <c r="HQD3" s="120"/>
      <c r="HQE3" s="120"/>
      <c r="HQF3" s="120"/>
      <c r="HQG3" s="120"/>
      <c r="HQH3" s="120"/>
      <c r="HQI3" s="120"/>
      <c r="HQJ3" s="120"/>
      <c r="HQK3" s="120"/>
      <c r="HQL3" s="120"/>
      <c r="HQM3" s="120"/>
      <c r="HQN3" s="120"/>
      <c r="HQO3" s="120"/>
      <c r="HQP3" s="120"/>
      <c r="HQQ3" s="120"/>
      <c r="HQR3" s="120"/>
      <c r="HQS3" s="120"/>
      <c r="HQT3" s="120"/>
      <c r="HQU3" s="120"/>
      <c r="HQV3" s="120"/>
      <c r="HQW3" s="120"/>
      <c r="HQX3" s="120"/>
      <c r="HQY3" s="120"/>
      <c r="HQZ3" s="120"/>
      <c r="HRA3" s="120"/>
      <c r="HRB3" s="120"/>
      <c r="HRC3" s="120"/>
      <c r="HRD3" s="120"/>
      <c r="HRE3" s="120"/>
      <c r="HRF3" s="120"/>
      <c r="HRG3" s="120"/>
      <c r="HRH3" s="120"/>
      <c r="HRI3" s="120"/>
      <c r="HRJ3" s="120"/>
      <c r="HRK3" s="120"/>
      <c r="HRL3" s="120"/>
      <c r="HRM3" s="120"/>
      <c r="HRN3" s="120"/>
      <c r="HRO3" s="120"/>
      <c r="HRP3" s="120"/>
      <c r="HRQ3" s="120"/>
      <c r="HRR3" s="120"/>
      <c r="HRS3" s="120"/>
      <c r="HRT3" s="120"/>
      <c r="HRU3" s="120"/>
      <c r="HRV3" s="120"/>
      <c r="HRW3" s="120"/>
      <c r="HRX3" s="120"/>
      <c r="HRY3" s="120"/>
      <c r="HRZ3" s="120"/>
      <c r="HSA3" s="120"/>
      <c r="HSB3" s="120"/>
      <c r="HSC3" s="120"/>
      <c r="HSD3" s="120"/>
      <c r="HSE3" s="120"/>
      <c r="HSF3" s="120"/>
      <c r="HSG3" s="120"/>
      <c r="HSH3" s="120"/>
      <c r="HSI3" s="120"/>
      <c r="HSJ3" s="120"/>
      <c r="HSK3" s="120"/>
      <c r="HSL3" s="120"/>
      <c r="HSM3" s="120"/>
      <c r="HSN3" s="120"/>
      <c r="HSO3" s="120"/>
      <c r="HSP3" s="120"/>
      <c r="HSQ3" s="120"/>
      <c r="HSR3" s="120"/>
      <c r="HSS3" s="120"/>
      <c r="HST3" s="120"/>
      <c r="HSU3" s="120"/>
      <c r="HSV3" s="120"/>
      <c r="HSW3" s="120"/>
      <c r="HSX3" s="120"/>
      <c r="HSY3" s="120"/>
      <c r="HSZ3" s="120"/>
      <c r="HTA3" s="120"/>
      <c r="HTB3" s="120"/>
      <c r="HTC3" s="120"/>
      <c r="HTD3" s="120"/>
      <c r="HTE3" s="120"/>
      <c r="HTF3" s="120"/>
      <c r="HTG3" s="120"/>
      <c r="HTH3" s="120"/>
      <c r="HTI3" s="120"/>
      <c r="HTJ3" s="120"/>
      <c r="HTK3" s="120"/>
      <c r="HTL3" s="120"/>
      <c r="HTM3" s="120"/>
      <c r="HTN3" s="120"/>
      <c r="HTO3" s="120"/>
      <c r="HTP3" s="120"/>
      <c r="HTQ3" s="120"/>
      <c r="HTR3" s="120"/>
      <c r="HTS3" s="120"/>
      <c r="HTT3" s="120"/>
      <c r="HTU3" s="120"/>
      <c r="HTV3" s="120"/>
      <c r="HTW3" s="120"/>
      <c r="HTX3" s="120"/>
      <c r="HTY3" s="120"/>
      <c r="HTZ3" s="120"/>
      <c r="HUA3" s="120"/>
      <c r="HUB3" s="120"/>
      <c r="HUC3" s="120"/>
      <c r="HUD3" s="120"/>
      <c r="HUE3" s="120"/>
      <c r="HUF3" s="120"/>
      <c r="HUG3" s="120"/>
      <c r="HUH3" s="120"/>
      <c r="HUI3" s="120"/>
      <c r="HUJ3" s="120"/>
      <c r="HUK3" s="120"/>
      <c r="HUL3" s="120"/>
      <c r="HUM3" s="120"/>
      <c r="HUN3" s="120"/>
      <c r="HUO3" s="120"/>
      <c r="HUP3" s="120"/>
      <c r="HUQ3" s="120"/>
      <c r="HUR3" s="120"/>
      <c r="HUS3" s="120"/>
      <c r="HUT3" s="120"/>
      <c r="HUU3" s="120"/>
      <c r="HUV3" s="120"/>
      <c r="HUW3" s="120"/>
      <c r="HUX3" s="120"/>
      <c r="HUY3" s="120"/>
      <c r="HUZ3" s="120"/>
      <c r="HVA3" s="120"/>
      <c r="HVB3" s="120"/>
      <c r="HVC3" s="120"/>
      <c r="HVD3" s="120"/>
      <c r="HVE3" s="120"/>
      <c r="HVF3" s="120"/>
      <c r="HVG3" s="120"/>
      <c r="HVH3" s="120"/>
      <c r="HVI3" s="120"/>
      <c r="HVJ3" s="120"/>
      <c r="HVK3" s="120"/>
      <c r="HVL3" s="120"/>
      <c r="HVM3" s="120"/>
      <c r="HVN3" s="120"/>
      <c r="HVO3" s="120"/>
      <c r="HVP3" s="120"/>
      <c r="HVQ3" s="120"/>
      <c r="HVR3" s="120"/>
      <c r="HVS3" s="120"/>
      <c r="HVT3" s="120"/>
      <c r="HVU3" s="120"/>
      <c r="HVV3" s="120"/>
      <c r="HVW3" s="120"/>
      <c r="HVX3" s="120"/>
      <c r="HVY3" s="120"/>
      <c r="HVZ3" s="120"/>
      <c r="HWA3" s="120"/>
      <c r="HWB3" s="120"/>
      <c r="HWC3" s="120"/>
      <c r="HWD3" s="120"/>
      <c r="HWE3" s="120"/>
      <c r="HWF3" s="120"/>
      <c r="HWG3" s="120"/>
      <c r="HWH3" s="120"/>
      <c r="HWI3" s="120"/>
      <c r="HWJ3" s="120"/>
      <c r="HWK3" s="120"/>
      <c r="HWL3" s="120"/>
      <c r="HWM3" s="120"/>
      <c r="HWN3" s="120"/>
      <c r="HWO3" s="120"/>
      <c r="HWP3" s="120"/>
      <c r="HWQ3" s="120"/>
      <c r="HWR3" s="120"/>
      <c r="HWS3" s="120"/>
      <c r="HWT3" s="120"/>
      <c r="HWU3" s="120"/>
      <c r="HWV3" s="120"/>
      <c r="HWW3" s="120"/>
      <c r="HWX3" s="120"/>
      <c r="HWY3" s="120"/>
      <c r="HWZ3" s="120"/>
      <c r="HXA3" s="120"/>
      <c r="HXB3" s="120"/>
      <c r="HXC3" s="120"/>
      <c r="HXD3" s="120"/>
      <c r="HXE3" s="120"/>
      <c r="HXF3" s="120"/>
      <c r="HXG3" s="120"/>
      <c r="HXH3" s="120"/>
      <c r="HXI3" s="120"/>
      <c r="HXJ3" s="120"/>
      <c r="HXK3" s="120"/>
      <c r="HXL3" s="120"/>
      <c r="HXM3" s="120"/>
      <c r="HXN3" s="120"/>
      <c r="HXO3" s="120"/>
      <c r="HXP3" s="120"/>
      <c r="HXQ3" s="120"/>
      <c r="HXR3" s="120"/>
      <c r="HXS3" s="120"/>
      <c r="HXT3" s="120"/>
      <c r="HXU3" s="120"/>
      <c r="HXV3" s="120"/>
      <c r="HXW3" s="120"/>
      <c r="HXX3" s="120"/>
      <c r="HXY3" s="120"/>
      <c r="HXZ3" s="120"/>
      <c r="HYA3" s="120"/>
      <c r="HYB3" s="120"/>
      <c r="HYC3" s="120"/>
      <c r="HYD3" s="120"/>
      <c r="HYE3" s="120"/>
      <c r="HYF3" s="120"/>
      <c r="HYG3" s="120"/>
      <c r="HYH3" s="120"/>
      <c r="HYI3" s="120"/>
      <c r="HYJ3" s="120"/>
      <c r="HYK3" s="120"/>
      <c r="HYL3" s="120"/>
      <c r="HYM3" s="120"/>
      <c r="HYN3" s="120"/>
      <c r="HYO3" s="120"/>
      <c r="HYP3" s="120"/>
      <c r="HYQ3" s="120"/>
      <c r="HYR3" s="120"/>
      <c r="HYS3" s="120"/>
      <c r="HYT3" s="120"/>
      <c r="HYU3" s="120"/>
      <c r="HYV3" s="120"/>
      <c r="HYW3" s="120"/>
      <c r="HYX3" s="120"/>
      <c r="HYY3" s="120"/>
      <c r="HYZ3" s="120"/>
      <c r="HZA3" s="120"/>
      <c r="HZB3" s="120"/>
      <c r="HZC3" s="120"/>
      <c r="HZD3" s="120"/>
      <c r="HZE3" s="120"/>
      <c r="HZF3" s="120"/>
      <c r="HZG3" s="120"/>
      <c r="HZH3" s="120"/>
      <c r="HZI3" s="120"/>
      <c r="HZJ3" s="120"/>
      <c r="HZK3" s="120"/>
      <c r="HZL3" s="120"/>
      <c r="HZM3" s="120"/>
      <c r="HZN3" s="120"/>
      <c r="HZO3" s="120"/>
      <c r="HZP3" s="120"/>
      <c r="HZQ3" s="120"/>
      <c r="HZR3" s="120"/>
      <c r="HZS3" s="120"/>
      <c r="HZT3" s="120"/>
      <c r="HZU3" s="120"/>
      <c r="HZV3" s="120"/>
      <c r="HZW3" s="120"/>
      <c r="HZX3" s="120"/>
      <c r="HZY3" s="120"/>
      <c r="HZZ3" s="120"/>
      <c r="IAA3" s="120"/>
      <c r="IAB3" s="120"/>
      <c r="IAC3" s="120"/>
      <c r="IAD3" s="120"/>
      <c r="IAE3" s="120"/>
      <c r="IAF3" s="120"/>
      <c r="IAG3" s="120"/>
      <c r="IAH3" s="120"/>
      <c r="IAI3" s="120"/>
      <c r="IAJ3" s="120"/>
      <c r="IAK3" s="120"/>
      <c r="IAL3" s="120"/>
      <c r="IAM3" s="120"/>
      <c r="IAN3" s="120"/>
      <c r="IAO3" s="120"/>
      <c r="IAP3" s="120"/>
      <c r="IAQ3" s="120"/>
      <c r="IAR3" s="120"/>
      <c r="IAS3" s="120"/>
      <c r="IAT3" s="120"/>
      <c r="IAU3" s="120"/>
      <c r="IAV3" s="120"/>
      <c r="IAW3" s="120"/>
      <c r="IAX3" s="120"/>
      <c r="IAY3" s="120"/>
      <c r="IAZ3" s="120"/>
      <c r="IBA3" s="120"/>
      <c r="IBB3" s="120"/>
      <c r="IBC3" s="120"/>
      <c r="IBD3" s="120"/>
      <c r="IBE3" s="120"/>
      <c r="IBF3" s="120"/>
      <c r="IBG3" s="120"/>
      <c r="IBH3" s="120"/>
      <c r="IBI3" s="120"/>
      <c r="IBJ3" s="120"/>
      <c r="IBK3" s="120"/>
      <c r="IBL3" s="120"/>
      <c r="IBM3" s="120"/>
      <c r="IBN3" s="120"/>
      <c r="IBO3" s="120"/>
      <c r="IBP3" s="120"/>
      <c r="IBQ3" s="120"/>
      <c r="IBR3" s="120"/>
      <c r="IBS3" s="120"/>
      <c r="IBT3" s="120"/>
      <c r="IBU3" s="120"/>
      <c r="IBV3" s="120"/>
      <c r="IBW3" s="120"/>
      <c r="IBX3" s="120"/>
      <c r="IBY3" s="120"/>
      <c r="IBZ3" s="120"/>
      <c r="ICA3" s="120"/>
      <c r="ICB3" s="120"/>
      <c r="ICC3" s="120"/>
      <c r="ICD3" s="120"/>
      <c r="ICE3" s="120"/>
      <c r="ICF3" s="120"/>
      <c r="ICG3" s="120"/>
      <c r="ICH3" s="120"/>
      <c r="ICI3" s="120"/>
      <c r="ICJ3" s="120"/>
      <c r="ICK3" s="120"/>
      <c r="ICL3" s="120"/>
      <c r="ICM3" s="120"/>
      <c r="ICN3" s="120"/>
      <c r="ICO3" s="120"/>
      <c r="ICP3" s="120"/>
      <c r="ICQ3" s="120"/>
      <c r="ICR3" s="120"/>
      <c r="ICS3" s="120"/>
      <c r="ICT3" s="120"/>
      <c r="ICU3" s="120"/>
      <c r="ICV3" s="120"/>
      <c r="ICW3" s="120"/>
      <c r="ICX3" s="120"/>
      <c r="ICY3" s="120"/>
      <c r="ICZ3" s="120"/>
      <c r="IDA3" s="120"/>
      <c r="IDB3" s="120"/>
      <c r="IDC3" s="120"/>
      <c r="IDD3" s="120"/>
      <c r="IDE3" s="120"/>
      <c r="IDF3" s="120"/>
      <c r="IDG3" s="120"/>
      <c r="IDH3" s="120"/>
      <c r="IDI3" s="120"/>
      <c r="IDJ3" s="120"/>
      <c r="IDK3" s="120"/>
      <c r="IDL3" s="120"/>
      <c r="IDM3" s="120"/>
      <c r="IDN3" s="120"/>
      <c r="IDO3" s="120"/>
      <c r="IDP3" s="120"/>
      <c r="IDQ3" s="120"/>
      <c r="IDR3" s="120"/>
      <c r="IDS3" s="120"/>
      <c r="IDT3" s="120"/>
      <c r="IDU3" s="120"/>
      <c r="IDV3" s="120"/>
      <c r="IDW3" s="120"/>
      <c r="IDX3" s="120"/>
      <c r="IDY3" s="120"/>
      <c r="IDZ3" s="120"/>
      <c r="IEA3" s="120"/>
      <c r="IEB3" s="120"/>
      <c r="IEC3" s="120"/>
      <c r="IED3" s="120"/>
      <c r="IEE3" s="120"/>
      <c r="IEF3" s="120"/>
      <c r="IEG3" s="120"/>
      <c r="IEH3" s="120"/>
      <c r="IEI3" s="120"/>
      <c r="IEJ3" s="120"/>
      <c r="IEK3" s="120"/>
      <c r="IEL3" s="120"/>
      <c r="IEM3" s="120"/>
      <c r="IEN3" s="120"/>
      <c r="IEO3" s="120"/>
      <c r="IEP3" s="120"/>
      <c r="IEQ3" s="120"/>
      <c r="IER3" s="120"/>
      <c r="IES3" s="120"/>
      <c r="IET3" s="120"/>
      <c r="IEU3" s="120"/>
      <c r="IEV3" s="120"/>
      <c r="IEW3" s="120"/>
      <c r="IEX3" s="120"/>
      <c r="IEY3" s="120"/>
      <c r="IEZ3" s="120"/>
      <c r="IFA3" s="120"/>
      <c r="IFB3" s="120"/>
      <c r="IFC3" s="120"/>
      <c r="IFD3" s="120"/>
      <c r="IFE3" s="120"/>
      <c r="IFF3" s="120"/>
      <c r="IFG3" s="120"/>
      <c r="IFH3" s="120"/>
      <c r="IFI3" s="120"/>
      <c r="IFJ3" s="120"/>
      <c r="IFK3" s="120"/>
      <c r="IFL3" s="120"/>
      <c r="IFM3" s="120"/>
      <c r="IFN3" s="120"/>
      <c r="IFO3" s="120"/>
      <c r="IFP3" s="120"/>
      <c r="IFQ3" s="120"/>
      <c r="IFR3" s="120"/>
      <c r="IFS3" s="120"/>
      <c r="IFT3" s="120"/>
      <c r="IFU3" s="120"/>
      <c r="IFV3" s="120"/>
      <c r="IFW3" s="120"/>
      <c r="IFX3" s="120"/>
      <c r="IFY3" s="120"/>
      <c r="IFZ3" s="120"/>
      <c r="IGA3" s="120"/>
      <c r="IGB3" s="120"/>
      <c r="IGC3" s="120"/>
      <c r="IGD3" s="120"/>
      <c r="IGE3" s="120"/>
      <c r="IGF3" s="120"/>
      <c r="IGG3" s="120"/>
      <c r="IGH3" s="120"/>
      <c r="IGI3" s="120"/>
      <c r="IGJ3" s="120"/>
      <c r="IGK3" s="120"/>
      <c r="IGL3" s="120"/>
      <c r="IGM3" s="120"/>
      <c r="IGN3" s="120"/>
      <c r="IGO3" s="120"/>
      <c r="IGP3" s="120"/>
      <c r="IGQ3" s="120"/>
      <c r="IGR3" s="120"/>
      <c r="IGS3" s="120"/>
      <c r="IGT3" s="120"/>
      <c r="IGU3" s="120"/>
      <c r="IGV3" s="120"/>
      <c r="IGW3" s="120"/>
      <c r="IGX3" s="120"/>
      <c r="IGY3" s="120"/>
      <c r="IGZ3" s="120"/>
      <c r="IHA3" s="120"/>
      <c r="IHB3" s="120"/>
      <c r="IHC3" s="120"/>
      <c r="IHD3" s="120"/>
      <c r="IHE3" s="120"/>
      <c r="IHF3" s="120"/>
      <c r="IHG3" s="120"/>
      <c r="IHH3" s="120"/>
      <c r="IHI3" s="120"/>
      <c r="IHJ3" s="120"/>
      <c r="IHK3" s="120"/>
      <c r="IHL3" s="120"/>
      <c r="IHM3" s="120"/>
      <c r="IHN3" s="120"/>
      <c r="IHO3" s="120"/>
      <c r="IHP3" s="120"/>
      <c r="IHQ3" s="120"/>
      <c r="IHR3" s="120"/>
      <c r="IHS3" s="120"/>
      <c r="IHT3" s="120"/>
      <c r="IHU3" s="120"/>
      <c r="IHV3" s="120"/>
      <c r="IHW3" s="120"/>
      <c r="IHX3" s="120"/>
      <c r="IHY3" s="120"/>
      <c r="IHZ3" s="120"/>
      <c r="IIA3" s="120"/>
      <c r="IIB3" s="120"/>
      <c r="IIC3" s="120"/>
      <c r="IID3" s="120"/>
      <c r="IIE3" s="120"/>
      <c r="IIF3" s="120"/>
      <c r="IIG3" s="120"/>
      <c r="IIH3" s="120"/>
      <c r="III3" s="120"/>
      <c r="IIJ3" s="120"/>
      <c r="IIK3" s="120"/>
      <c r="IIL3" s="120"/>
      <c r="IIM3" s="120"/>
      <c r="IIN3" s="120"/>
      <c r="IIO3" s="120"/>
      <c r="IIP3" s="120"/>
      <c r="IIQ3" s="120"/>
      <c r="IIR3" s="120"/>
      <c r="IIS3" s="120"/>
      <c r="IIT3" s="120"/>
      <c r="IIU3" s="120"/>
      <c r="IIV3" s="120"/>
      <c r="IIW3" s="120"/>
      <c r="IIX3" s="120"/>
      <c r="IIY3" s="120"/>
      <c r="IIZ3" s="120"/>
      <c r="IJA3" s="120"/>
      <c r="IJB3" s="120"/>
      <c r="IJC3" s="120"/>
      <c r="IJD3" s="120"/>
      <c r="IJE3" s="120"/>
      <c r="IJF3" s="120"/>
      <c r="IJG3" s="120"/>
      <c r="IJH3" s="120"/>
      <c r="IJI3" s="120"/>
      <c r="IJJ3" s="120"/>
      <c r="IJK3" s="120"/>
      <c r="IJL3" s="120"/>
      <c r="IJM3" s="120"/>
      <c r="IJN3" s="120"/>
      <c r="IJO3" s="120"/>
      <c r="IJP3" s="120"/>
      <c r="IJQ3" s="120"/>
      <c r="IJR3" s="120"/>
      <c r="IJS3" s="120"/>
      <c r="IJT3" s="120"/>
      <c r="IJU3" s="120"/>
      <c r="IJV3" s="120"/>
      <c r="IJW3" s="120"/>
      <c r="IJX3" s="120"/>
      <c r="IJY3" s="120"/>
      <c r="IJZ3" s="120"/>
      <c r="IKA3" s="120"/>
      <c r="IKB3" s="120"/>
      <c r="IKC3" s="120"/>
      <c r="IKD3" s="120"/>
      <c r="IKE3" s="120"/>
      <c r="IKF3" s="120"/>
      <c r="IKG3" s="120"/>
      <c r="IKH3" s="120"/>
      <c r="IKI3" s="120"/>
      <c r="IKJ3" s="120"/>
      <c r="IKK3" s="120"/>
      <c r="IKL3" s="120"/>
      <c r="IKM3" s="120"/>
      <c r="IKN3" s="120"/>
      <c r="IKO3" s="120"/>
      <c r="IKP3" s="120"/>
      <c r="IKQ3" s="120"/>
      <c r="IKR3" s="120"/>
      <c r="IKS3" s="120"/>
      <c r="IKT3" s="120"/>
      <c r="IKU3" s="120"/>
      <c r="IKV3" s="120"/>
      <c r="IKW3" s="120"/>
      <c r="IKX3" s="120"/>
      <c r="IKY3" s="120"/>
      <c r="IKZ3" s="120"/>
      <c r="ILA3" s="120"/>
      <c r="ILB3" s="120"/>
      <c r="ILC3" s="120"/>
      <c r="ILD3" s="120"/>
      <c r="ILE3" s="120"/>
      <c r="ILF3" s="120"/>
      <c r="ILG3" s="120"/>
      <c r="ILH3" s="120"/>
      <c r="ILI3" s="120"/>
      <c r="ILJ3" s="120"/>
      <c r="ILK3" s="120"/>
      <c r="ILL3" s="120"/>
      <c r="ILM3" s="120"/>
      <c r="ILN3" s="120"/>
      <c r="ILO3" s="120"/>
      <c r="ILP3" s="120"/>
      <c r="ILQ3" s="120"/>
      <c r="ILR3" s="120"/>
      <c r="ILS3" s="120"/>
      <c r="ILT3" s="120"/>
      <c r="ILU3" s="120"/>
      <c r="ILV3" s="120"/>
      <c r="ILW3" s="120"/>
      <c r="ILX3" s="120"/>
      <c r="ILY3" s="120"/>
      <c r="ILZ3" s="120"/>
      <c r="IMA3" s="120"/>
      <c r="IMB3" s="120"/>
      <c r="IMC3" s="120"/>
      <c r="IMD3" s="120"/>
      <c r="IME3" s="120"/>
      <c r="IMF3" s="120"/>
      <c r="IMG3" s="120"/>
      <c r="IMH3" s="120"/>
      <c r="IMI3" s="120"/>
      <c r="IMJ3" s="120"/>
      <c r="IMK3" s="120"/>
      <c r="IML3" s="120"/>
      <c r="IMM3" s="120"/>
      <c r="IMN3" s="120"/>
      <c r="IMO3" s="120"/>
      <c r="IMP3" s="120"/>
      <c r="IMQ3" s="120"/>
      <c r="IMR3" s="120"/>
      <c r="IMS3" s="120"/>
      <c r="IMT3" s="120"/>
      <c r="IMU3" s="120"/>
      <c r="IMV3" s="120"/>
      <c r="IMW3" s="120"/>
      <c r="IMX3" s="120"/>
      <c r="IMY3" s="120"/>
      <c r="IMZ3" s="120"/>
      <c r="INA3" s="120"/>
      <c r="INB3" s="120"/>
      <c r="INC3" s="120"/>
      <c r="IND3" s="120"/>
      <c r="INE3" s="120"/>
      <c r="INF3" s="120"/>
      <c r="ING3" s="120"/>
      <c r="INH3" s="120"/>
      <c r="INI3" s="120"/>
      <c r="INJ3" s="120"/>
      <c r="INK3" s="120"/>
      <c r="INL3" s="120"/>
      <c r="INM3" s="120"/>
      <c r="INN3" s="120"/>
      <c r="INO3" s="120"/>
      <c r="INP3" s="120"/>
      <c r="INQ3" s="120"/>
      <c r="INR3" s="120"/>
      <c r="INS3" s="120"/>
      <c r="INT3" s="120"/>
      <c r="INU3" s="120"/>
      <c r="INV3" s="120"/>
      <c r="INW3" s="120"/>
      <c r="INX3" s="120"/>
      <c r="INY3" s="120"/>
      <c r="INZ3" s="120"/>
      <c r="IOA3" s="120"/>
      <c r="IOB3" s="120"/>
      <c r="IOC3" s="120"/>
      <c r="IOD3" s="120"/>
      <c r="IOE3" s="120"/>
      <c r="IOF3" s="120"/>
      <c r="IOG3" s="120"/>
      <c r="IOH3" s="120"/>
      <c r="IOI3" s="120"/>
      <c r="IOJ3" s="120"/>
      <c r="IOK3" s="120"/>
      <c r="IOL3" s="120"/>
      <c r="IOM3" s="120"/>
      <c r="ION3" s="120"/>
      <c r="IOO3" s="120"/>
      <c r="IOP3" s="120"/>
      <c r="IOQ3" s="120"/>
      <c r="IOR3" s="120"/>
      <c r="IOS3" s="120"/>
      <c r="IOT3" s="120"/>
      <c r="IOU3" s="120"/>
      <c r="IOV3" s="120"/>
      <c r="IOW3" s="120"/>
      <c r="IOX3" s="120"/>
      <c r="IOY3" s="120"/>
      <c r="IOZ3" s="120"/>
      <c r="IPA3" s="120"/>
      <c r="IPB3" s="120"/>
      <c r="IPC3" s="120"/>
      <c r="IPD3" s="120"/>
      <c r="IPE3" s="120"/>
      <c r="IPF3" s="120"/>
      <c r="IPG3" s="120"/>
      <c r="IPH3" s="120"/>
      <c r="IPI3" s="120"/>
      <c r="IPJ3" s="120"/>
      <c r="IPK3" s="120"/>
      <c r="IPL3" s="120"/>
      <c r="IPM3" s="120"/>
      <c r="IPN3" s="120"/>
      <c r="IPO3" s="120"/>
      <c r="IPP3" s="120"/>
      <c r="IPQ3" s="120"/>
      <c r="IPR3" s="120"/>
      <c r="IPS3" s="120"/>
      <c r="IPT3" s="120"/>
      <c r="IPU3" s="120"/>
      <c r="IPV3" s="120"/>
      <c r="IPW3" s="120"/>
      <c r="IPX3" s="120"/>
      <c r="IPY3" s="120"/>
      <c r="IPZ3" s="120"/>
      <c r="IQA3" s="120"/>
      <c r="IQB3" s="120"/>
      <c r="IQC3" s="120"/>
      <c r="IQD3" s="120"/>
      <c r="IQE3" s="120"/>
      <c r="IQF3" s="120"/>
      <c r="IQG3" s="120"/>
      <c r="IQH3" s="120"/>
      <c r="IQI3" s="120"/>
      <c r="IQJ3" s="120"/>
      <c r="IQK3" s="120"/>
      <c r="IQL3" s="120"/>
      <c r="IQM3" s="120"/>
      <c r="IQN3" s="120"/>
      <c r="IQO3" s="120"/>
      <c r="IQP3" s="120"/>
      <c r="IQQ3" s="120"/>
      <c r="IQR3" s="120"/>
      <c r="IQS3" s="120"/>
      <c r="IQT3" s="120"/>
      <c r="IQU3" s="120"/>
      <c r="IQV3" s="120"/>
      <c r="IQW3" s="120"/>
      <c r="IQX3" s="120"/>
      <c r="IQY3" s="120"/>
      <c r="IQZ3" s="120"/>
      <c r="IRA3" s="120"/>
      <c r="IRB3" s="120"/>
      <c r="IRC3" s="120"/>
      <c r="IRD3" s="120"/>
      <c r="IRE3" s="120"/>
      <c r="IRF3" s="120"/>
      <c r="IRG3" s="120"/>
      <c r="IRH3" s="120"/>
      <c r="IRI3" s="120"/>
      <c r="IRJ3" s="120"/>
      <c r="IRK3" s="120"/>
      <c r="IRL3" s="120"/>
      <c r="IRM3" s="120"/>
      <c r="IRN3" s="120"/>
      <c r="IRO3" s="120"/>
      <c r="IRP3" s="120"/>
      <c r="IRQ3" s="120"/>
      <c r="IRR3" s="120"/>
      <c r="IRS3" s="120"/>
      <c r="IRT3" s="120"/>
      <c r="IRU3" s="120"/>
      <c r="IRV3" s="120"/>
      <c r="IRW3" s="120"/>
      <c r="IRX3" s="120"/>
      <c r="IRY3" s="120"/>
      <c r="IRZ3" s="120"/>
      <c r="ISA3" s="120"/>
      <c r="ISB3" s="120"/>
      <c r="ISC3" s="120"/>
      <c r="ISD3" s="120"/>
      <c r="ISE3" s="120"/>
      <c r="ISF3" s="120"/>
      <c r="ISG3" s="120"/>
      <c r="ISH3" s="120"/>
      <c r="ISI3" s="120"/>
      <c r="ISJ3" s="120"/>
      <c r="ISK3" s="120"/>
      <c r="ISL3" s="120"/>
      <c r="ISM3" s="120"/>
      <c r="ISN3" s="120"/>
      <c r="ISO3" s="120"/>
      <c r="ISP3" s="120"/>
      <c r="ISQ3" s="120"/>
      <c r="ISR3" s="120"/>
      <c r="ISS3" s="120"/>
      <c r="IST3" s="120"/>
      <c r="ISU3" s="120"/>
      <c r="ISV3" s="120"/>
      <c r="ISW3" s="120"/>
      <c r="ISX3" s="120"/>
      <c r="ISY3" s="120"/>
      <c r="ISZ3" s="120"/>
      <c r="ITA3" s="120"/>
      <c r="ITB3" s="120"/>
      <c r="ITC3" s="120"/>
      <c r="ITD3" s="120"/>
      <c r="ITE3" s="120"/>
      <c r="ITF3" s="120"/>
      <c r="ITG3" s="120"/>
      <c r="ITH3" s="120"/>
      <c r="ITI3" s="120"/>
      <c r="ITJ3" s="120"/>
      <c r="ITK3" s="120"/>
      <c r="ITL3" s="120"/>
      <c r="ITM3" s="120"/>
      <c r="ITN3" s="120"/>
      <c r="ITO3" s="120"/>
      <c r="ITP3" s="120"/>
      <c r="ITQ3" s="120"/>
      <c r="ITR3" s="120"/>
      <c r="ITS3" s="120"/>
      <c r="ITT3" s="120"/>
      <c r="ITU3" s="120"/>
      <c r="ITV3" s="120"/>
      <c r="ITW3" s="120"/>
      <c r="ITX3" s="120"/>
      <c r="ITY3" s="120"/>
      <c r="ITZ3" s="120"/>
      <c r="IUA3" s="120"/>
      <c r="IUB3" s="120"/>
      <c r="IUC3" s="120"/>
      <c r="IUD3" s="120"/>
      <c r="IUE3" s="120"/>
      <c r="IUF3" s="120"/>
      <c r="IUG3" s="120"/>
      <c r="IUH3" s="120"/>
      <c r="IUI3" s="120"/>
      <c r="IUJ3" s="120"/>
      <c r="IUK3" s="120"/>
      <c r="IUL3" s="120"/>
      <c r="IUM3" s="120"/>
      <c r="IUN3" s="120"/>
      <c r="IUO3" s="120"/>
      <c r="IUP3" s="120"/>
      <c r="IUQ3" s="120"/>
      <c r="IUR3" s="120"/>
      <c r="IUS3" s="120"/>
      <c r="IUT3" s="120"/>
      <c r="IUU3" s="120"/>
      <c r="IUV3" s="120"/>
      <c r="IUW3" s="120"/>
      <c r="IUX3" s="120"/>
      <c r="IUY3" s="120"/>
      <c r="IUZ3" s="120"/>
      <c r="IVA3" s="120"/>
      <c r="IVB3" s="120"/>
      <c r="IVC3" s="120"/>
      <c r="IVD3" s="120"/>
      <c r="IVE3" s="120"/>
      <c r="IVF3" s="120"/>
      <c r="IVG3" s="120"/>
      <c r="IVH3" s="120"/>
      <c r="IVI3" s="120"/>
      <c r="IVJ3" s="120"/>
      <c r="IVK3" s="120"/>
      <c r="IVL3" s="120"/>
      <c r="IVM3" s="120"/>
      <c r="IVN3" s="120"/>
      <c r="IVO3" s="120"/>
      <c r="IVP3" s="120"/>
      <c r="IVQ3" s="120"/>
      <c r="IVR3" s="120"/>
      <c r="IVS3" s="120"/>
      <c r="IVT3" s="120"/>
      <c r="IVU3" s="120"/>
      <c r="IVV3" s="120"/>
      <c r="IVW3" s="120"/>
      <c r="IVX3" s="120"/>
      <c r="IVY3" s="120"/>
      <c r="IVZ3" s="120"/>
      <c r="IWA3" s="120"/>
      <c r="IWB3" s="120"/>
      <c r="IWC3" s="120"/>
      <c r="IWD3" s="120"/>
      <c r="IWE3" s="120"/>
      <c r="IWF3" s="120"/>
      <c r="IWG3" s="120"/>
      <c r="IWH3" s="120"/>
      <c r="IWI3" s="120"/>
      <c r="IWJ3" s="120"/>
      <c r="IWK3" s="120"/>
      <c r="IWL3" s="120"/>
      <c r="IWM3" s="120"/>
      <c r="IWN3" s="120"/>
      <c r="IWO3" s="120"/>
      <c r="IWP3" s="120"/>
      <c r="IWQ3" s="120"/>
      <c r="IWR3" s="120"/>
      <c r="IWS3" s="120"/>
      <c r="IWT3" s="120"/>
      <c r="IWU3" s="120"/>
      <c r="IWV3" s="120"/>
      <c r="IWW3" s="120"/>
      <c r="IWX3" s="120"/>
      <c r="IWY3" s="120"/>
      <c r="IWZ3" s="120"/>
      <c r="IXA3" s="120"/>
      <c r="IXB3" s="120"/>
      <c r="IXC3" s="120"/>
      <c r="IXD3" s="120"/>
      <c r="IXE3" s="120"/>
      <c r="IXF3" s="120"/>
      <c r="IXG3" s="120"/>
      <c r="IXH3" s="120"/>
      <c r="IXI3" s="120"/>
      <c r="IXJ3" s="120"/>
      <c r="IXK3" s="120"/>
      <c r="IXL3" s="120"/>
      <c r="IXM3" s="120"/>
      <c r="IXN3" s="120"/>
      <c r="IXO3" s="120"/>
      <c r="IXP3" s="120"/>
      <c r="IXQ3" s="120"/>
      <c r="IXR3" s="120"/>
      <c r="IXS3" s="120"/>
      <c r="IXT3" s="120"/>
      <c r="IXU3" s="120"/>
      <c r="IXV3" s="120"/>
      <c r="IXW3" s="120"/>
      <c r="IXX3" s="120"/>
      <c r="IXY3" s="120"/>
      <c r="IXZ3" s="120"/>
      <c r="IYA3" s="120"/>
      <c r="IYB3" s="120"/>
      <c r="IYC3" s="120"/>
      <c r="IYD3" s="120"/>
      <c r="IYE3" s="120"/>
      <c r="IYF3" s="120"/>
      <c r="IYG3" s="120"/>
      <c r="IYH3" s="120"/>
      <c r="IYI3" s="120"/>
      <c r="IYJ3" s="120"/>
      <c r="IYK3" s="120"/>
      <c r="IYL3" s="120"/>
      <c r="IYM3" s="120"/>
      <c r="IYN3" s="120"/>
      <c r="IYO3" s="120"/>
      <c r="IYP3" s="120"/>
      <c r="IYQ3" s="120"/>
      <c r="IYR3" s="120"/>
      <c r="IYS3" s="120"/>
      <c r="IYT3" s="120"/>
      <c r="IYU3" s="120"/>
      <c r="IYV3" s="120"/>
      <c r="IYW3" s="120"/>
      <c r="IYX3" s="120"/>
      <c r="IYY3" s="120"/>
      <c r="IYZ3" s="120"/>
      <c r="IZA3" s="120"/>
      <c r="IZB3" s="120"/>
      <c r="IZC3" s="120"/>
      <c r="IZD3" s="120"/>
      <c r="IZE3" s="120"/>
      <c r="IZF3" s="120"/>
      <c r="IZG3" s="120"/>
      <c r="IZH3" s="120"/>
      <c r="IZI3" s="120"/>
      <c r="IZJ3" s="120"/>
      <c r="IZK3" s="120"/>
      <c r="IZL3" s="120"/>
      <c r="IZM3" s="120"/>
      <c r="IZN3" s="120"/>
      <c r="IZO3" s="120"/>
      <c r="IZP3" s="120"/>
      <c r="IZQ3" s="120"/>
      <c r="IZR3" s="120"/>
      <c r="IZS3" s="120"/>
      <c r="IZT3" s="120"/>
      <c r="IZU3" s="120"/>
      <c r="IZV3" s="120"/>
      <c r="IZW3" s="120"/>
      <c r="IZX3" s="120"/>
      <c r="IZY3" s="120"/>
      <c r="IZZ3" s="120"/>
      <c r="JAA3" s="120"/>
      <c r="JAB3" s="120"/>
      <c r="JAC3" s="120"/>
      <c r="JAD3" s="120"/>
      <c r="JAE3" s="120"/>
      <c r="JAF3" s="120"/>
      <c r="JAG3" s="120"/>
      <c r="JAH3" s="120"/>
      <c r="JAI3" s="120"/>
      <c r="JAJ3" s="120"/>
      <c r="JAK3" s="120"/>
      <c r="JAL3" s="120"/>
      <c r="JAM3" s="120"/>
      <c r="JAN3" s="120"/>
      <c r="JAO3" s="120"/>
      <c r="JAP3" s="120"/>
      <c r="JAQ3" s="120"/>
      <c r="JAR3" s="120"/>
      <c r="JAS3" s="120"/>
      <c r="JAT3" s="120"/>
      <c r="JAU3" s="120"/>
      <c r="JAV3" s="120"/>
      <c r="JAW3" s="120"/>
      <c r="JAX3" s="120"/>
      <c r="JAY3" s="120"/>
      <c r="JAZ3" s="120"/>
      <c r="JBA3" s="120"/>
      <c r="JBB3" s="120"/>
      <c r="JBC3" s="120"/>
      <c r="JBD3" s="120"/>
      <c r="JBE3" s="120"/>
      <c r="JBF3" s="120"/>
      <c r="JBG3" s="120"/>
      <c r="JBH3" s="120"/>
      <c r="JBI3" s="120"/>
      <c r="JBJ3" s="120"/>
      <c r="JBK3" s="120"/>
      <c r="JBL3" s="120"/>
      <c r="JBM3" s="120"/>
      <c r="JBN3" s="120"/>
      <c r="JBO3" s="120"/>
      <c r="JBP3" s="120"/>
      <c r="JBQ3" s="120"/>
      <c r="JBR3" s="120"/>
      <c r="JBS3" s="120"/>
      <c r="JBT3" s="120"/>
      <c r="JBU3" s="120"/>
      <c r="JBV3" s="120"/>
      <c r="JBW3" s="120"/>
      <c r="JBX3" s="120"/>
      <c r="JBY3" s="120"/>
      <c r="JBZ3" s="120"/>
      <c r="JCA3" s="120"/>
      <c r="JCB3" s="120"/>
      <c r="JCC3" s="120"/>
      <c r="JCD3" s="120"/>
      <c r="JCE3" s="120"/>
      <c r="JCF3" s="120"/>
      <c r="JCG3" s="120"/>
      <c r="JCH3" s="120"/>
      <c r="JCI3" s="120"/>
      <c r="JCJ3" s="120"/>
      <c r="JCK3" s="120"/>
      <c r="JCL3" s="120"/>
      <c r="JCM3" s="120"/>
      <c r="JCN3" s="120"/>
      <c r="JCO3" s="120"/>
      <c r="JCP3" s="120"/>
      <c r="JCQ3" s="120"/>
      <c r="JCR3" s="120"/>
      <c r="JCS3" s="120"/>
      <c r="JCT3" s="120"/>
      <c r="JCU3" s="120"/>
      <c r="JCV3" s="120"/>
      <c r="JCW3" s="120"/>
      <c r="JCX3" s="120"/>
      <c r="JCY3" s="120"/>
      <c r="JCZ3" s="120"/>
      <c r="JDA3" s="120"/>
      <c r="JDB3" s="120"/>
      <c r="JDC3" s="120"/>
      <c r="JDD3" s="120"/>
      <c r="JDE3" s="120"/>
      <c r="JDF3" s="120"/>
      <c r="JDG3" s="120"/>
      <c r="JDH3" s="120"/>
      <c r="JDI3" s="120"/>
      <c r="JDJ3" s="120"/>
      <c r="JDK3" s="120"/>
      <c r="JDL3" s="120"/>
      <c r="JDM3" s="120"/>
      <c r="JDN3" s="120"/>
      <c r="JDO3" s="120"/>
      <c r="JDP3" s="120"/>
      <c r="JDQ3" s="120"/>
      <c r="JDR3" s="120"/>
      <c r="JDS3" s="120"/>
      <c r="JDT3" s="120"/>
      <c r="JDU3" s="120"/>
      <c r="JDV3" s="120"/>
      <c r="JDW3" s="120"/>
      <c r="JDX3" s="120"/>
      <c r="JDY3" s="120"/>
      <c r="JDZ3" s="120"/>
      <c r="JEA3" s="120"/>
      <c r="JEB3" s="120"/>
      <c r="JEC3" s="120"/>
      <c r="JED3" s="120"/>
      <c r="JEE3" s="120"/>
      <c r="JEF3" s="120"/>
      <c r="JEG3" s="120"/>
      <c r="JEH3" s="120"/>
      <c r="JEI3" s="120"/>
      <c r="JEJ3" s="120"/>
      <c r="JEK3" s="120"/>
      <c r="JEL3" s="120"/>
      <c r="JEM3" s="120"/>
      <c r="JEN3" s="120"/>
      <c r="JEO3" s="120"/>
      <c r="JEP3" s="120"/>
      <c r="JEQ3" s="120"/>
      <c r="JER3" s="120"/>
      <c r="JES3" s="120"/>
      <c r="JET3" s="120"/>
      <c r="JEU3" s="120"/>
      <c r="JEV3" s="120"/>
      <c r="JEW3" s="120"/>
      <c r="JEX3" s="120"/>
      <c r="JEY3" s="120"/>
      <c r="JEZ3" s="120"/>
      <c r="JFA3" s="120"/>
      <c r="JFB3" s="120"/>
      <c r="JFC3" s="120"/>
      <c r="JFD3" s="120"/>
      <c r="JFE3" s="120"/>
      <c r="JFF3" s="120"/>
      <c r="JFG3" s="120"/>
      <c r="JFH3" s="120"/>
      <c r="JFI3" s="120"/>
      <c r="JFJ3" s="120"/>
      <c r="JFK3" s="120"/>
      <c r="JFL3" s="120"/>
      <c r="JFM3" s="120"/>
      <c r="JFN3" s="120"/>
      <c r="JFO3" s="120"/>
      <c r="JFP3" s="120"/>
      <c r="JFQ3" s="120"/>
      <c r="JFR3" s="120"/>
      <c r="JFS3" s="120"/>
      <c r="JFT3" s="120"/>
      <c r="JFU3" s="120"/>
      <c r="JFV3" s="120"/>
      <c r="JFW3" s="120"/>
      <c r="JFX3" s="120"/>
      <c r="JFY3" s="120"/>
      <c r="JFZ3" s="120"/>
      <c r="JGA3" s="120"/>
      <c r="JGB3" s="120"/>
      <c r="JGC3" s="120"/>
      <c r="JGD3" s="120"/>
      <c r="JGE3" s="120"/>
      <c r="JGF3" s="120"/>
      <c r="JGG3" s="120"/>
      <c r="JGH3" s="120"/>
      <c r="JGI3" s="120"/>
      <c r="JGJ3" s="120"/>
      <c r="JGK3" s="120"/>
      <c r="JGL3" s="120"/>
      <c r="JGM3" s="120"/>
      <c r="JGN3" s="120"/>
      <c r="JGO3" s="120"/>
      <c r="JGP3" s="120"/>
      <c r="JGQ3" s="120"/>
      <c r="JGR3" s="120"/>
      <c r="JGS3" s="120"/>
      <c r="JGT3" s="120"/>
      <c r="JGU3" s="120"/>
      <c r="JGV3" s="120"/>
      <c r="JGW3" s="120"/>
      <c r="JGX3" s="120"/>
      <c r="JGY3" s="120"/>
      <c r="JGZ3" s="120"/>
      <c r="JHA3" s="120"/>
      <c r="JHB3" s="120"/>
      <c r="JHC3" s="120"/>
      <c r="JHD3" s="120"/>
      <c r="JHE3" s="120"/>
      <c r="JHF3" s="120"/>
      <c r="JHG3" s="120"/>
      <c r="JHH3" s="120"/>
      <c r="JHI3" s="120"/>
      <c r="JHJ3" s="120"/>
      <c r="JHK3" s="120"/>
      <c r="JHL3" s="120"/>
      <c r="JHM3" s="120"/>
      <c r="JHN3" s="120"/>
      <c r="JHO3" s="120"/>
      <c r="JHP3" s="120"/>
      <c r="JHQ3" s="120"/>
      <c r="JHR3" s="120"/>
      <c r="JHS3" s="120"/>
      <c r="JHT3" s="120"/>
      <c r="JHU3" s="120"/>
      <c r="JHV3" s="120"/>
      <c r="JHW3" s="120"/>
      <c r="JHX3" s="120"/>
      <c r="JHY3" s="120"/>
      <c r="JHZ3" s="120"/>
      <c r="JIA3" s="120"/>
      <c r="JIB3" s="120"/>
      <c r="JIC3" s="120"/>
      <c r="JID3" s="120"/>
      <c r="JIE3" s="120"/>
      <c r="JIF3" s="120"/>
      <c r="JIG3" s="120"/>
      <c r="JIH3" s="120"/>
      <c r="JII3" s="120"/>
      <c r="JIJ3" s="120"/>
      <c r="JIK3" s="120"/>
      <c r="JIL3" s="120"/>
      <c r="JIM3" s="120"/>
      <c r="JIN3" s="120"/>
      <c r="JIO3" s="120"/>
      <c r="JIP3" s="120"/>
      <c r="JIQ3" s="120"/>
      <c r="JIR3" s="120"/>
      <c r="JIS3" s="120"/>
      <c r="JIT3" s="120"/>
      <c r="JIU3" s="120"/>
      <c r="JIV3" s="120"/>
      <c r="JIW3" s="120"/>
      <c r="JIX3" s="120"/>
      <c r="JIY3" s="120"/>
      <c r="JIZ3" s="120"/>
      <c r="JJA3" s="120"/>
      <c r="JJB3" s="120"/>
      <c r="JJC3" s="120"/>
      <c r="JJD3" s="120"/>
      <c r="JJE3" s="120"/>
      <c r="JJF3" s="120"/>
      <c r="JJG3" s="120"/>
      <c r="JJH3" s="120"/>
      <c r="JJI3" s="120"/>
      <c r="JJJ3" s="120"/>
      <c r="JJK3" s="120"/>
      <c r="JJL3" s="120"/>
      <c r="JJM3" s="120"/>
      <c r="JJN3" s="120"/>
      <c r="JJO3" s="120"/>
      <c r="JJP3" s="120"/>
      <c r="JJQ3" s="120"/>
      <c r="JJR3" s="120"/>
      <c r="JJS3" s="120"/>
      <c r="JJT3" s="120"/>
      <c r="JJU3" s="120"/>
      <c r="JJV3" s="120"/>
      <c r="JJW3" s="120"/>
      <c r="JJX3" s="120"/>
      <c r="JJY3" s="120"/>
      <c r="JJZ3" s="120"/>
      <c r="JKA3" s="120"/>
      <c r="JKB3" s="120"/>
      <c r="JKC3" s="120"/>
      <c r="JKD3" s="120"/>
      <c r="JKE3" s="120"/>
      <c r="JKF3" s="120"/>
      <c r="JKG3" s="120"/>
      <c r="JKH3" s="120"/>
      <c r="JKI3" s="120"/>
      <c r="JKJ3" s="120"/>
      <c r="JKK3" s="120"/>
      <c r="JKL3" s="120"/>
      <c r="JKM3" s="120"/>
      <c r="JKN3" s="120"/>
      <c r="JKO3" s="120"/>
      <c r="JKP3" s="120"/>
      <c r="JKQ3" s="120"/>
      <c r="JKR3" s="120"/>
      <c r="JKS3" s="120"/>
      <c r="JKT3" s="120"/>
      <c r="JKU3" s="120"/>
      <c r="JKV3" s="120"/>
      <c r="JKW3" s="120"/>
      <c r="JKX3" s="120"/>
      <c r="JKY3" s="120"/>
      <c r="JKZ3" s="120"/>
      <c r="JLA3" s="120"/>
      <c r="JLB3" s="120"/>
      <c r="JLC3" s="120"/>
      <c r="JLD3" s="120"/>
      <c r="JLE3" s="120"/>
      <c r="JLF3" s="120"/>
      <c r="JLG3" s="120"/>
      <c r="JLH3" s="120"/>
      <c r="JLI3" s="120"/>
      <c r="JLJ3" s="120"/>
      <c r="JLK3" s="120"/>
      <c r="JLL3" s="120"/>
      <c r="JLM3" s="120"/>
      <c r="JLN3" s="120"/>
      <c r="JLO3" s="120"/>
      <c r="JLP3" s="120"/>
      <c r="JLQ3" s="120"/>
      <c r="JLR3" s="120"/>
      <c r="JLS3" s="120"/>
      <c r="JLT3" s="120"/>
      <c r="JLU3" s="120"/>
      <c r="JLV3" s="120"/>
      <c r="JLW3" s="120"/>
      <c r="JLX3" s="120"/>
      <c r="JLY3" s="120"/>
      <c r="JLZ3" s="120"/>
      <c r="JMA3" s="120"/>
      <c r="JMB3" s="120"/>
      <c r="JMC3" s="120"/>
      <c r="JMD3" s="120"/>
      <c r="JME3" s="120"/>
      <c r="JMF3" s="120"/>
      <c r="JMG3" s="120"/>
      <c r="JMH3" s="120"/>
      <c r="JMI3" s="120"/>
      <c r="JMJ3" s="120"/>
      <c r="JMK3" s="120"/>
      <c r="JML3" s="120"/>
      <c r="JMM3" s="120"/>
      <c r="JMN3" s="120"/>
      <c r="JMO3" s="120"/>
      <c r="JMP3" s="120"/>
      <c r="JMQ3" s="120"/>
      <c r="JMR3" s="120"/>
      <c r="JMS3" s="120"/>
      <c r="JMT3" s="120"/>
      <c r="JMU3" s="120"/>
      <c r="JMV3" s="120"/>
      <c r="JMW3" s="120"/>
      <c r="JMX3" s="120"/>
      <c r="JMY3" s="120"/>
      <c r="JMZ3" s="120"/>
      <c r="JNA3" s="120"/>
      <c r="JNB3" s="120"/>
      <c r="JNC3" s="120"/>
      <c r="JND3" s="120"/>
      <c r="JNE3" s="120"/>
      <c r="JNF3" s="120"/>
      <c r="JNG3" s="120"/>
      <c r="JNH3" s="120"/>
      <c r="JNI3" s="120"/>
      <c r="JNJ3" s="120"/>
      <c r="JNK3" s="120"/>
      <c r="JNL3" s="120"/>
      <c r="JNM3" s="120"/>
      <c r="JNN3" s="120"/>
      <c r="JNO3" s="120"/>
      <c r="JNP3" s="120"/>
      <c r="JNQ3" s="120"/>
      <c r="JNR3" s="120"/>
      <c r="JNS3" s="120"/>
      <c r="JNT3" s="120"/>
      <c r="JNU3" s="120"/>
      <c r="JNV3" s="120"/>
      <c r="JNW3" s="120"/>
      <c r="JNX3" s="120"/>
      <c r="JNY3" s="120"/>
      <c r="JNZ3" s="120"/>
      <c r="JOA3" s="120"/>
      <c r="JOB3" s="120"/>
      <c r="JOC3" s="120"/>
      <c r="JOD3" s="120"/>
      <c r="JOE3" s="120"/>
      <c r="JOF3" s="120"/>
      <c r="JOG3" s="120"/>
      <c r="JOH3" s="120"/>
      <c r="JOI3" s="120"/>
      <c r="JOJ3" s="120"/>
      <c r="JOK3" s="120"/>
      <c r="JOL3" s="120"/>
      <c r="JOM3" s="120"/>
      <c r="JON3" s="120"/>
      <c r="JOO3" s="120"/>
      <c r="JOP3" s="120"/>
      <c r="JOQ3" s="120"/>
      <c r="JOR3" s="120"/>
      <c r="JOS3" s="120"/>
      <c r="JOT3" s="120"/>
      <c r="JOU3" s="120"/>
      <c r="JOV3" s="120"/>
      <c r="JOW3" s="120"/>
      <c r="JOX3" s="120"/>
      <c r="JOY3" s="120"/>
      <c r="JOZ3" s="120"/>
      <c r="JPA3" s="120"/>
      <c r="JPB3" s="120"/>
      <c r="JPC3" s="120"/>
      <c r="JPD3" s="120"/>
      <c r="JPE3" s="120"/>
      <c r="JPF3" s="120"/>
      <c r="JPG3" s="120"/>
      <c r="JPH3" s="120"/>
      <c r="JPI3" s="120"/>
      <c r="JPJ3" s="120"/>
      <c r="JPK3" s="120"/>
      <c r="JPL3" s="120"/>
      <c r="JPM3" s="120"/>
      <c r="JPN3" s="120"/>
      <c r="JPO3" s="120"/>
      <c r="JPP3" s="120"/>
      <c r="JPQ3" s="120"/>
      <c r="JPR3" s="120"/>
      <c r="JPS3" s="120"/>
      <c r="JPT3" s="120"/>
      <c r="JPU3" s="120"/>
      <c r="JPV3" s="120"/>
      <c r="JPW3" s="120"/>
      <c r="JPX3" s="120"/>
      <c r="JPY3" s="120"/>
      <c r="JPZ3" s="120"/>
      <c r="JQA3" s="120"/>
      <c r="JQB3" s="120"/>
      <c r="JQC3" s="120"/>
      <c r="JQD3" s="120"/>
      <c r="JQE3" s="120"/>
      <c r="JQF3" s="120"/>
      <c r="JQG3" s="120"/>
      <c r="JQH3" s="120"/>
      <c r="JQI3" s="120"/>
      <c r="JQJ3" s="120"/>
      <c r="JQK3" s="120"/>
      <c r="JQL3" s="120"/>
      <c r="JQM3" s="120"/>
      <c r="JQN3" s="120"/>
      <c r="JQO3" s="120"/>
      <c r="JQP3" s="120"/>
      <c r="JQQ3" s="120"/>
      <c r="JQR3" s="120"/>
      <c r="JQS3" s="120"/>
      <c r="JQT3" s="120"/>
      <c r="JQU3" s="120"/>
      <c r="JQV3" s="120"/>
      <c r="JQW3" s="120"/>
      <c r="JQX3" s="120"/>
      <c r="JQY3" s="120"/>
      <c r="JQZ3" s="120"/>
      <c r="JRA3" s="120"/>
      <c r="JRB3" s="120"/>
      <c r="JRC3" s="120"/>
      <c r="JRD3" s="120"/>
      <c r="JRE3" s="120"/>
      <c r="JRF3" s="120"/>
      <c r="JRG3" s="120"/>
      <c r="JRH3" s="120"/>
      <c r="JRI3" s="120"/>
      <c r="JRJ3" s="120"/>
      <c r="JRK3" s="120"/>
      <c r="JRL3" s="120"/>
      <c r="JRM3" s="120"/>
      <c r="JRN3" s="120"/>
      <c r="JRO3" s="120"/>
      <c r="JRP3" s="120"/>
      <c r="JRQ3" s="120"/>
      <c r="JRR3" s="120"/>
      <c r="JRS3" s="120"/>
      <c r="JRT3" s="120"/>
      <c r="JRU3" s="120"/>
      <c r="JRV3" s="120"/>
      <c r="JRW3" s="120"/>
      <c r="JRX3" s="120"/>
      <c r="JRY3" s="120"/>
      <c r="JRZ3" s="120"/>
      <c r="JSA3" s="120"/>
      <c r="JSB3" s="120"/>
      <c r="JSC3" s="120"/>
      <c r="JSD3" s="120"/>
      <c r="JSE3" s="120"/>
      <c r="JSF3" s="120"/>
      <c r="JSG3" s="120"/>
      <c r="JSH3" s="120"/>
      <c r="JSI3" s="120"/>
      <c r="JSJ3" s="120"/>
      <c r="JSK3" s="120"/>
      <c r="JSL3" s="120"/>
      <c r="JSM3" s="120"/>
      <c r="JSN3" s="120"/>
      <c r="JSO3" s="120"/>
      <c r="JSP3" s="120"/>
      <c r="JSQ3" s="120"/>
      <c r="JSR3" s="120"/>
      <c r="JSS3" s="120"/>
      <c r="JST3" s="120"/>
      <c r="JSU3" s="120"/>
      <c r="JSV3" s="120"/>
      <c r="JSW3" s="120"/>
      <c r="JSX3" s="120"/>
      <c r="JSY3" s="120"/>
      <c r="JSZ3" s="120"/>
      <c r="JTA3" s="120"/>
      <c r="JTB3" s="120"/>
      <c r="JTC3" s="120"/>
      <c r="JTD3" s="120"/>
      <c r="JTE3" s="120"/>
      <c r="JTF3" s="120"/>
      <c r="JTG3" s="120"/>
      <c r="JTH3" s="120"/>
      <c r="JTI3" s="120"/>
      <c r="JTJ3" s="120"/>
      <c r="JTK3" s="120"/>
      <c r="JTL3" s="120"/>
      <c r="JTM3" s="120"/>
      <c r="JTN3" s="120"/>
      <c r="JTO3" s="120"/>
      <c r="JTP3" s="120"/>
      <c r="JTQ3" s="120"/>
      <c r="JTR3" s="120"/>
      <c r="JTS3" s="120"/>
      <c r="JTT3" s="120"/>
      <c r="JTU3" s="120"/>
      <c r="JTV3" s="120"/>
      <c r="JTW3" s="120"/>
      <c r="JTX3" s="120"/>
      <c r="JTY3" s="120"/>
      <c r="JTZ3" s="120"/>
      <c r="JUA3" s="120"/>
      <c r="JUB3" s="120"/>
      <c r="JUC3" s="120"/>
      <c r="JUD3" s="120"/>
      <c r="JUE3" s="120"/>
      <c r="JUF3" s="120"/>
      <c r="JUG3" s="120"/>
      <c r="JUH3" s="120"/>
      <c r="JUI3" s="120"/>
      <c r="JUJ3" s="120"/>
      <c r="JUK3" s="120"/>
      <c r="JUL3" s="120"/>
      <c r="JUM3" s="120"/>
      <c r="JUN3" s="120"/>
      <c r="JUO3" s="120"/>
      <c r="JUP3" s="120"/>
      <c r="JUQ3" s="120"/>
      <c r="JUR3" s="120"/>
      <c r="JUS3" s="120"/>
      <c r="JUT3" s="120"/>
      <c r="JUU3" s="120"/>
      <c r="JUV3" s="120"/>
      <c r="JUW3" s="120"/>
      <c r="JUX3" s="120"/>
      <c r="JUY3" s="120"/>
      <c r="JUZ3" s="120"/>
      <c r="JVA3" s="120"/>
      <c r="JVB3" s="120"/>
      <c r="JVC3" s="120"/>
      <c r="JVD3" s="120"/>
      <c r="JVE3" s="120"/>
      <c r="JVF3" s="120"/>
      <c r="JVG3" s="120"/>
      <c r="JVH3" s="120"/>
      <c r="JVI3" s="120"/>
      <c r="JVJ3" s="120"/>
      <c r="JVK3" s="120"/>
      <c r="JVL3" s="120"/>
      <c r="JVM3" s="120"/>
      <c r="JVN3" s="120"/>
      <c r="JVO3" s="120"/>
      <c r="JVP3" s="120"/>
      <c r="JVQ3" s="120"/>
      <c r="JVR3" s="120"/>
      <c r="JVS3" s="120"/>
      <c r="JVT3" s="120"/>
      <c r="JVU3" s="120"/>
      <c r="JVV3" s="120"/>
      <c r="JVW3" s="120"/>
      <c r="JVX3" s="120"/>
      <c r="JVY3" s="120"/>
      <c r="JVZ3" s="120"/>
      <c r="JWA3" s="120"/>
      <c r="JWB3" s="120"/>
      <c r="JWC3" s="120"/>
      <c r="JWD3" s="120"/>
      <c r="JWE3" s="120"/>
      <c r="JWF3" s="120"/>
      <c r="JWG3" s="120"/>
      <c r="JWH3" s="120"/>
      <c r="JWI3" s="120"/>
      <c r="JWJ3" s="120"/>
      <c r="JWK3" s="120"/>
      <c r="JWL3" s="120"/>
      <c r="JWM3" s="120"/>
      <c r="JWN3" s="120"/>
      <c r="JWO3" s="120"/>
      <c r="JWP3" s="120"/>
      <c r="JWQ3" s="120"/>
      <c r="JWR3" s="120"/>
      <c r="JWS3" s="120"/>
      <c r="JWT3" s="120"/>
      <c r="JWU3" s="120"/>
      <c r="JWV3" s="120"/>
      <c r="JWW3" s="120"/>
      <c r="JWX3" s="120"/>
      <c r="JWY3" s="120"/>
      <c r="JWZ3" s="120"/>
      <c r="JXA3" s="120"/>
      <c r="JXB3" s="120"/>
      <c r="JXC3" s="120"/>
      <c r="JXD3" s="120"/>
      <c r="JXE3" s="120"/>
      <c r="JXF3" s="120"/>
      <c r="JXG3" s="120"/>
      <c r="JXH3" s="120"/>
      <c r="JXI3" s="120"/>
      <c r="JXJ3" s="120"/>
      <c r="JXK3" s="120"/>
      <c r="JXL3" s="120"/>
      <c r="JXM3" s="120"/>
      <c r="JXN3" s="120"/>
      <c r="JXO3" s="120"/>
      <c r="JXP3" s="120"/>
      <c r="JXQ3" s="120"/>
      <c r="JXR3" s="120"/>
      <c r="JXS3" s="120"/>
      <c r="JXT3" s="120"/>
      <c r="JXU3" s="120"/>
      <c r="JXV3" s="120"/>
      <c r="JXW3" s="120"/>
      <c r="JXX3" s="120"/>
      <c r="JXY3" s="120"/>
      <c r="JXZ3" s="120"/>
      <c r="JYA3" s="120"/>
      <c r="JYB3" s="120"/>
      <c r="JYC3" s="120"/>
      <c r="JYD3" s="120"/>
      <c r="JYE3" s="120"/>
      <c r="JYF3" s="120"/>
      <c r="JYG3" s="120"/>
      <c r="JYH3" s="120"/>
      <c r="JYI3" s="120"/>
      <c r="JYJ3" s="120"/>
      <c r="JYK3" s="120"/>
      <c r="JYL3" s="120"/>
      <c r="JYM3" s="120"/>
      <c r="JYN3" s="120"/>
      <c r="JYO3" s="120"/>
      <c r="JYP3" s="120"/>
      <c r="JYQ3" s="120"/>
      <c r="JYR3" s="120"/>
      <c r="JYS3" s="120"/>
      <c r="JYT3" s="120"/>
      <c r="JYU3" s="120"/>
      <c r="JYV3" s="120"/>
      <c r="JYW3" s="120"/>
      <c r="JYX3" s="120"/>
      <c r="JYY3" s="120"/>
      <c r="JYZ3" s="120"/>
      <c r="JZA3" s="120"/>
      <c r="JZB3" s="120"/>
      <c r="JZC3" s="120"/>
      <c r="JZD3" s="120"/>
      <c r="JZE3" s="120"/>
      <c r="JZF3" s="120"/>
      <c r="JZG3" s="120"/>
      <c r="JZH3" s="120"/>
      <c r="JZI3" s="120"/>
      <c r="JZJ3" s="120"/>
      <c r="JZK3" s="120"/>
      <c r="JZL3" s="120"/>
      <c r="JZM3" s="120"/>
      <c r="JZN3" s="120"/>
      <c r="JZO3" s="120"/>
      <c r="JZP3" s="120"/>
      <c r="JZQ3" s="120"/>
      <c r="JZR3" s="120"/>
      <c r="JZS3" s="120"/>
      <c r="JZT3" s="120"/>
      <c r="JZU3" s="120"/>
      <c r="JZV3" s="120"/>
      <c r="JZW3" s="120"/>
      <c r="JZX3" s="120"/>
      <c r="JZY3" s="120"/>
      <c r="JZZ3" s="120"/>
      <c r="KAA3" s="120"/>
      <c r="KAB3" s="120"/>
      <c r="KAC3" s="120"/>
      <c r="KAD3" s="120"/>
      <c r="KAE3" s="120"/>
      <c r="KAF3" s="120"/>
      <c r="KAG3" s="120"/>
      <c r="KAH3" s="120"/>
      <c r="KAI3" s="120"/>
      <c r="KAJ3" s="120"/>
      <c r="KAK3" s="120"/>
      <c r="KAL3" s="120"/>
      <c r="KAM3" s="120"/>
      <c r="KAN3" s="120"/>
      <c r="KAO3" s="120"/>
      <c r="KAP3" s="120"/>
      <c r="KAQ3" s="120"/>
      <c r="KAR3" s="120"/>
      <c r="KAS3" s="120"/>
      <c r="KAT3" s="120"/>
      <c r="KAU3" s="120"/>
      <c r="KAV3" s="120"/>
      <c r="KAW3" s="120"/>
      <c r="KAX3" s="120"/>
      <c r="KAY3" s="120"/>
      <c r="KAZ3" s="120"/>
      <c r="KBA3" s="120"/>
      <c r="KBB3" s="120"/>
      <c r="KBC3" s="120"/>
      <c r="KBD3" s="120"/>
      <c r="KBE3" s="120"/>
      <c r="KBF3" s="120"/>
      <c r="KBG3" s="120"/>
      <c r="KBH3" s="120"/>
      <c r="KBI3" s="120"/>
      <c r="KBJ3" s="120"/>
      <c r="KBK3" s="120"/>
      <c r="KBL3" s="120"/>
      <c r="KBM3" s="120"/>
      <c r="KBN3" s="120"/>
      <c r="KBO3" s="120"/>
      <c r="KBP3" s="120"/>
      <c r="KBQ3" s="120"/>
      <c r="KBR3" s="120"/>
      <c r="KBS3" s="120"/>
      <c r="KBT3" s="120"/>
      <c r="KBU3" s="120"/>
      <c r="KBV3" s="120"/>
      <c r="KBW3" s="120"/>
      <c r="KBX3" s="120"/>
      <c r="KBY3" s="120"/>
      <c r="KBZ3" s="120"/>
      <c r="KCA3" s="120"/>
      <c r="KCB3" s="120"/>
      <c r="KCC3" s="120"/>
      <c r="KCD3" s="120"/>
      <c r="KCE3" s="120"/>
      <c r="KCF3" s="120"/>
      <c r="KCG3" s="120"/>
      <c r="KCH3" s="120"/>
      <c r="KCI3" s="120"/>
      <c r="KCJ3" s="120"/>
      <c r="KCK3" s="120"/>
      <c r="KCL3" s="120"/>
      <c r="KCM3" s="120"/>
      <c r="KCN3" s="120"/>
      <c r="KCO3" s="120"/>
      <c r="KCP3" s="120"/>
      <c r="KCQ3" s="120"/>
      <c r="KCR3" s="120"/>
      <c r="KCS3" s="120"/>
      <c r="KCT3" s="120"/>
      <c r="KCU3" s="120"/>
      <c r="KCV3" s="120"/>
      <c r="KCW3" s="120"/>
      <c r="KCX3" s="120"/>
      <c r="KCY3" s="120"/>
      <c r="KCZ3" s="120"/>
      <c r="KDA3" s="120"/>
      <c r="KDB3" s="120"/>
      <c r="KDC3" s="120"/>
      <c r="KDD3" s="120"/>
      <c r="KDE3" s="120"/>
      <c r="KDF3" s="120"/>
      <c r="KDG3" s="120"/>
      <c r="KDH3" s="120"/>
      <c r="KDI3" s="120"/>
      <c r="KDJ3" s="120"/>
      <c r="KDK3" s="120"/>
      <c r="KDL3" s="120"/>
      <c r="KDM3" s="120"/>
      <c r="KDN3" s="120"/>
      <c r="KDO3" s="120"/>
      <c r="KDP3" s="120"/>
      <c r="KDQ3" s="120"/>
      <c r="KDR3" s="120"/>
      <c r="KDS3" s="120"/>
      <c r="KDT3" s="120"/>
      <c r="KDU3" s="120"/>
      <c r="KDV3" s="120"/>
      <c r="KDW3" s="120"/>
      <c r="KDX3" s="120"/>
      <c r="KDY3" s="120"/>
      <c r="KDZ3" s="120"/>
      <c r="KEA3" s="120"/>
      <c r="KEB3" s="120"/>
      <c r="KEC3" s="120"/>
      <c r="KED3" s="120"/>
      <c r="KEE3" s="120"/>
      <c r="KEF3" s="120"/>
      <c r="KEG3" s="120"/>
      <c r="KEH3" s="120"/>
      <c r="KEI3" s="120"/>
      <c r="KEJ3" s="120"/>
      <c r="KEK3" s="120"/>
      <c r="KEL3" s="120"/>
      <c r="KEM3" s="120"/>
      <c r="KEN3" s="120"/>
      <c r="KEO3" s="120"/>
      <c r="KEP3" s="120"/>
      <c r="KEQ3" s="120"/>
      <c r="KER3" s="120"/>
      <c r="KES3" s="120"/>
      <c r="KET3" s="120"/>
      <c r="KEU3" s="120"/>
      <c r="KEV3" s="120"/>
      <c r="KEW3" s="120"/>
      <c r="KEX3" s="120"/>
      <c r="KEY3" s="120"/>
      <c r="KEZ3" s="120"/>
      <c r="KFA3" s="120"/>
      <c r="KFB3" s="120"/>
      <c r="KFC3" s="120"/>
      <c r="KFD3" s="120"/>
      <c r="KFE3" s="120"/>
      <c r="KFF3" s="120"/>
      <c r="KFG3" s="120"/>
      <c r="KFH3" s="120"/>
      <c r="KFI3" s="120"/>
      <c r="KFJ3" s="120"/>
      <c r="KFK3" s="120"/>
      <c r="KFL3" s="120"/>
      <c r="KFM3" s="120"/>
      <c r="KFN3" s="120"/>
      <c r="KFO3" s="120"/>
      <c r="KFP3" s="120"/>
      <c r="KFQ3" s="120"/>
      <c r="KFR3" s="120"/>
      <c r="KFS3" s="120"/>
      <c r="KFT3" s="120"/>
      <c r="KFU3" s="120"/>
      <c r="KFV3" s="120"/>
      <c r="KFW3" s="120"/>
      <c r="KFX3" s="120"/>
      <c r="KFY3" s="120"/>
      <c r="KFZ3" s="120"/>
      <c r="KGA3" s="120"/>
      <c r="KGB3" s="120"/>
      <c r="KGC3" s="120"/>
      <c r="KGD3" s="120"/>
      <c r="KGE3" s="120"/>
      <c r="KGF3" s="120"/>
      <c r="KGG3" s="120"/>
      <c r="KGH3" s="120"/>
      <c r="KGI3" s="120"/>
      <c r="KGJ3" s="120"/>
      <c r="KGK3" s="120"/>
      <c r="KGL3" s="120"/>
      <c r="KGM3" s="120"/>
      <c r="KGN3" s="120"/>
      <c r="KGO3" s="120"/>
      <c r="KGP3" s="120"/>
      <c r="KGQ3" s="120"/>
      <c r="KGR3" s="120"/>
      <c r="KGS3" s="120"/>
      <c r="KGT3" s="120"/>
      <c r="KGU3" s="120"/>
      <c r="KGV3" s="120"/>
      <c r="KGW3" s="120"/>
      <c r="KGX3" s="120"/>
      <c r="KGY3" s="120"/>
      <c r="KGZ3" s="120"/>
      <c r="KHA3" s="120"/>
      <c r="KHB3" s="120"/>
      <c r="KHC3" s="120"/>
      <c r="KHD3" s="120"/>
      <c r="KHE3" s="120"/>
      <c r="KHF3" s="120"/>
      <c r="KHG3" s="120"/>
      <c r="KHH3" s="120"/>
      <c r="KHI3" s="120"/>
      <c r="KHJ3" s="120"/>
      <c r="KHK3" s="120"/>
      <c r="KHL3" s="120"/>
      <c r="KHM3" s="120"/>
      <c r="KHN3" s="120"/>
      <c r="KHO3" s="120"/>
      <c r="KHP3" s="120"/>
      <c r="KHQ3" s="120"/>
      <c r="KHR3" s="120"/>
      <c r="KHS3" s="120"/>
      <c r="KHT3" s="120"/>
      <c r="KHU3" s="120"/>
      <c r="KHV3" s="120"/>
      <c r="KHW3" s="120"/>
      <c r="KHX3" s="120"/>
      <c r="KHY3" s="120"/>
      <c r="KHZ3" s="120"/>
      <c r="KIA3" s="120"/>
      <c r="KIB3" s="120"/>
      <c r="KIC3" s="120"/>
      <c r="KID3" s="120"/>
      <c r="KIE3" s="120"/>
      <c r="KIF3" s="120"/>
      <c r="KIG3" s="120"/>
      <c r="KIH3" s="120"/>
      <c r="KII3" s="120"/>
      <c r="KIJ3" s="120"/>
      <c r="KIK3" s="120"/>
      <c r="KIL3" s="120"/>
      <c r="KIM3" s="120"/>
      <c r="KIN3" s="120"/>
      <c r="KIO3" s="120"/>
      <c r="KIP3" s="120"/>
      <c r="KIQ3" s="120"/>
      <c r="KIR3" s="120"/>
      <c r="KIS3" s="120"/>
      <c r="KIT3" s="120"/>
      <c r="KIU3" s="120"/>
      <c r="KIV3" s="120"/>
      <c r="KIW3" s="120"/>
      <c r="KIX3" s="120"/>
      <c r="KIY3" s="120"/>
      <c r="KIZ3" s="120"/>
      <c r="KJA3" s="120"/>
      <c r="KJB3" s="120"/>
      <c r="KJC3" s="120"/>
      <c r="KJD3" s="120"/>
      <c r="KJE3" s="120"/>
      <c r="KJF3" s="120"/>
      <c r="KJG3" s="120"/>
      <c r="KJH3" s="120"/>
      <c r="KJI3" s="120"/>
      <c r="KJJ3" s="120"/>
      <c r="KJK3" s="120"/>
      <c r="KJL3" s="120"/>
      <c r="KJM3" s="120"/>
      <c r="KJN3" s="120"/>
      <c r="KJO3" s="120"/>
      <c r="KJP3" s="120"/>
      <c r="KJQ3" s="120"/>
      <c r="KJR3" s="120"/>
      <c r="KJS3" s="120"/>
      <c r="KJT3" s="120"/>
      <c r="KJU3" s="120"/>
      <c r="KJV3" s="120"/>
      <c r="KJW3" s="120"/>
      <c r="KJX3" s="120"/>
      <c r="KJY3" s="120"/>
      <c r="KJZ3" s="120"/>
      <c r="KKA3" s="120"/>
      <c r="KKB3" s="120"/>
      <c r="KKC3" s="120"/>
      <c r="KKD3" s="120"/>
      <c r="KKE3" s="120"/>
      <c r="KKF3" s="120"/>
      <c r="KKG3" s="120"/>
      <c r="KKH3" s="120"/>
      <c r="KKI3" s="120"/>
      <c r="KKJ3" s="120"/>
      <c r="KKK3" s="120"/>
      <c r="KKL3" s="120"/>
      <c r="KKM3" s="120"/>
      <c r="KKN3" s="120"/>
      <c r="KKO3" s="120"/>
      <c r="KKP3" s="120"/>
      <c r="KKQ3" s="120"/>
      <c r="KKR3" s="120"/>
      <c r="KKS3" s="120"/>
      <c r="KKT3" s="120"/>
      <c r="KKU3" s="120"/>
      <c r="KKV3" s="120"/>
      <c r="KKW3" s="120"/>
      <c r="KKX3" s="120"/>
      <c r="KKY3" s="120"/>
      <c r="KKZ3" s="120"/>
      <c r="KLA3" s="120"/>
      <c r="KLB3" s="120"/>
      <c r="KLC3" s="120"/>
      <c r="KLD3" s="120"/>
      <c r="KLE3" s="120"/>
      <c r="KLF3" s="120"/>
      <c r="KLG3" s="120"/>
      <c r="KLH3" s="120"/>
      <c r="KLI3" s="120"/>
      <c r="KLJ3" s="120"/>
      <c r="KLK3" s="120"/>
      <c r="KLL3" s="120"/>
      <c r="KLM3" s="120"/>
      <c r="KLN3" s="120"/>
      <c r="KLO3" s="120"/>
      <c r="KLP3" s="120"/>
      <c r="KLQ3" s="120"/>
      <c r="KLR3" s="120"/>
      <c r="KLS3" s="120"/>
      <c r="KLT3" s="120"/>
      <c r="KLU3" s="120"/>
      <c r="KLV3" s="120"/>
      <c r="KLW3" s="120"/>
      <c r="KLX3" s="120"/>
      <c r="KLY3" s="120"/>
      <c r="KLZ3" s="120"/>
      <c r="KMA3" s="120"/>
      <c r="KMB3" s="120"/>
      <c r="KMC3" s="120"/>
      <c r="KMD3" s="120"/>
      <c r="KME3" s="120"/>
      <c r="KMF3" s="120"/>
      <c r="KMG3" s="120"/>
      <c r="KMH3" s="120"/>
      <c r="KMI3" s="120"/>
      <c r="KMJ3" s="120"/>
      <c r="KMK3" s="120"/>
      <c r="KML3" s="120"/>
      <c r="KMM3" s="120"/>
      <c r="KMN3" s="120"/>
      <c r="KMO3" s="120"/>
      <c r="KMP3" s="120"/>
      <c r="KMQ3" s="120"/>
      <c r="KMR3" s="120"/>
      <c r="KMS3" s="120"/>
      <c r="KMT3" s="120"/>
      <c r="KMU3" s="120"/>
      <c r="KMV3" s="120"/>
      <c r="KMW3" s="120"/>
      <c r="KMX3" s="120"/>
      <c r="KMY3" s="120"/>
      <c r="KMZ3" s="120"/>
      <c r="KNA3" s="120"/>
      <c r="KNB3" s="120"/>
      <c r="KNC3" s="120"/>
      <c r="KND3" s="120"/>
      <c r="KNE3" s="120"/>
      <c r="KNF3" s="120"/>
      <c r="KNG3" s="120"/>
      <c r="KNH3" s="120"/>
      <c r="KNI3" s="120"/>
      <c r="KNJ3" s="120"/>
      <c r="KNK3" s="120"/>
      <c r="KNL3" s="120"/>
      <c r="KNM3" s="120"/>
      <c r="KNN3" s="120"/>
      <c r="KNO3" s="120"/>
      <c r="KNP3" s="120"/>
      <c r="KNQ3" s="120"/>
      <c r="KNR3" s="120"/>
      <c r="KNS3" s="120"/>
      <c r="KNT3" s="120"/>
      <c r="KNU3" s="120"/>
      <c r="KNV3" s="120"/>
      <c r="KNW3" s="120"/>
      <c r="KNX3" s="120"/>
      <c r="KNY3" s="120"/>
      <c r="KNZ3" s="120"/>
      <c r="KOA3" s="120"/>
      <c r="KOB3" s="120"/>
      <c r="KOC3" s="120"/>
      <c r="KOD3" s="120"/>
      <c r="KOE3" s="120"/>
      <c r="KOF3" s="120"/>
      <c r="KOG3" s="120"/>
      <c r="KOH3" s="120"/>
      <c r="KOI3" s="120"/>
      <c r="KOJ3" s="120"/>
      <c r="KOK3" s="120"/>
      <c r="KOL3" s="120"/>
      <c r="KOM3" s="120"/>
      <c r="KON3" s="120"/>
      <c r="KOO3" s="120"/>
      <c r="KOP3" s="120"/>
      <c r="KOQ3" s="120"/>
      <c r="KOR3" s="120"/>
      <c r="KOS3" s="120"/>
      <c r="KOT3" s="120"/>
      <c r="KOU3" s="120"/>
      <c r="KOV3" s="120"/>
      <c r="KOW3" s="120"/>
      <c r="KOX3" s="120"/>
      <c r="KOY3" s="120"/>
      <c r="KOZ3" s="120"/>
      <c r="KPA3" s="120"/>
      <c r="KPB3" s="120"/>
      <c r="KPC3" s="120"/>
      <c r="KPD3" s="120"/>
      <c r="KPE3" s="120"/>
      <c r="KPF3" s="120"/>
      <c r="KPG3" s="120"/>
      <c r="KPH3" s="120"/>
      <c r="KPI3" s="120"/>
      <c r="KPJ3" s="120"/>
      <c r="KPK3" s="120"/>
      <c r="KPL3" s="120"/>
      <c r="KPM3" s="120"/>
      <c r="KPN3" s="120"/>
      <c r="KPO3" s="120"/>
      <c r="KPP3" s="120"/>
      <c r="KPQ3" s="120"/>
      <c r="KPR3" s="120"/>
      <c r="KPS3" s="120"/>
      <c r="KPT3" s="120"/>
      <c r="KPU3" s="120"/>
      <c r="KPV3" s="120"/>
      <c r="KPW3" s="120"/>
      <c r="KPX3" s="120"/>
      <c r="KPY3" s="120"/>
      <c r="KPZ3" s="120"/>
      <c r="KQA3" s="120"/>
      <c r="KQB3" s="120"/>
      <c r="KQC3" s="120"/>
      <c r="KQD3" s="120"/>
      <c r="KQE3" s="120"/>
      <c r="KQF3" s="120"/>
      <c r="KQG3" s="120"/>
      <c r="KQH3" s="120"/>
      <c r="KQI3" s="120"/>
      <c r="KQJ3" s="120"/>
      <c r="KQK3" s="120"/>
      <c r="KQL3" s="120"/>
      <c r="KQM3" s="120"/>
      <c r="KQN3" s="120"/>
      <c r="KQO3" s="120"/>
      <c r="KQP3" s="120"/>
      <c r="KQQ3" s="120"/>
      <c r="KQR3" s="120"/>
      <c r="KQS3" s="120"/>
      <c r="KQT3" s="120"/>
      <c r="KQU3" s="120"/>
      <c r="KQV3" s="120"/>
      <c r="KQW3" s="120"/>
      <c r="KQX3" s="120"/>
      <c r="KQY3" s="120"/>
      <c r="KQZ3" s="120"/>
      <c r="KRA3" s="120"/>
      <c r="KRB3" s="120"/>
      <c r="KRC3" s="120"/>
      <c r="KRD3" s="120"/>
      <c r="KRE3" s="120"/>
      <c r="KRF3" s="120"/>
      <c r="KRG3" s="120"/>
      <c r="KRH3" s="120"/>
      <c r="KRI3" s="120"/>
      <c r="KRJ3" s="120"/>
      <c r="KRK3" s="120"/>
      <c r="KRL3" s="120"/>
      <c r="KRM3" s="120"/>
      <c r="KRN3" s="120"/>
      <c r="KRO3" s="120"/>
      <c r="KRP3" s="120"/>
      <c r="KRQ3" s="120"/>
      <c r="KRR3" s="120"/>
      <c r="KRS3" s="120"/>
      <c r="KRT3" s="120"/>
      <c r="KRU3" s="120"/>
      <c r="KRV3" s="120"/>
      <c r="KRW3" s="120"/>
      <c r="KRX3" s="120"/>
      <c r="KRY3" s="120"/>
      <c r="KRZ3" s="120"/>
      <c r="KSA3" s="120"/>
      <c r="KSB3" s="120"/>
      <c r="KSC3" s="120"/>
      <c r="KSD3" s="120"/>
      <c r="KSE3" s="120"/>
      <c r="KSF3" s="120"/>
      <c r="KSG3" s="120"/>
      <c r="KSH3" s="120"/>
      <c r="KSI3" s="120"/>
      <c r="KSJ3" s="120"/>
      <c r="KSK3" s="120"/>
      <c r="KSL3" s="120"/>
      <c r="KSM3" s="120"/>
      <c r="KSN3" s="120"/>
      <c r="KSO3" s="120"/>
      <c r="KSP3" s="120"/>
      <c r="KSQ3" s="120"/>
      <c r="KSR3" s="120"/>
      <c r="KSS3" s="120"/>
      <c r="KST3" s="120"/>
      <c r="KSU3" s="120"/>
      <c r="KSV3" s="120"/>
      <c r="KSW3" s="120"/>
      <c r="KSX3" s="120"/>
      <c r="KSY3" s="120"/>
      <c r="KSZ3" s="120"/>
      <c r="KTA3" s="120"/>
      <c r="KTB3" s="120"/>
      <c r="KTC3" s="120"/>
      <c r="KTD3" s="120"/>
      <c r="KTE3" s="120"/>
      <c r="KTF3" s="120"/>
      <c r="KTG3" s="120"/>
      <c r="KTH3" s="120"/>
      <c r="KTI3" s="120"/>
      <c r="KTJ3" s="120"/>
      <c r="KTK3" s="120"/>
      <c r="KTL3" s="120"/>
      <c r="KTM3" s="120"/>
      <c r="KTN3" s="120"/>
      <c r="KTO3" s="120"/>
      <c r="KTP3" s="120"/>
      <c r="KTQ3" s="120"/>
      <c r="KTR3" s="120"/>
      <c r="KTS3" s="120"/>
      <c r="KTT3" s="120"/>
      <c r="KTU3" s="120"/>
      <c r="KTV3" s="120"/>
      <c r="KTW3" s="120"/>
      <c r="KTX3" s="120"/>
      <c r="KTY3" s="120"/>
      <c r="KTZ3" s="120"/>
      <c r="KUA3" s="120"/>
      <c r="KUB3" s="120"/>
      <c r="KUC3" s="120"/>
      <c r="KUD3" s="120"/>
      <c r="KUE3" s="120"/>
      <c r="KUF3" s="120"/>
      <c r="KUG3" s="120"/>
      <c r="KUH3" s="120"/>
      <c r="KUI3" s="120"/>
      <c r="KUJ3" s="120"/>
      <c r="KUK3" s="120"/>
      <c r="KUL3" s="120"/>
      <c r="KUM3" s="120"/>
      <c r="KUN3" s="120"/>
      <c r="KUO3" s="120"/>
      <c r="KUP3" s="120"/>
      <c r="KUQ3" s="120"/>
      <c r="KUR3" s="120"/>
      <c r="KUS3" s="120"/>
      <c r="KUT3" s="120"/>
      <c r="KUU3" s="120"/>
      <c r="KUV3" s="120"/>
      <c r="KUW3" s="120"/>
      <c r="KUX3" s="120"/>
      <c r="KUY3" s="120"/>
      <c r="KUZ3" s="120"/>
      <c r="KVA3" s="120"/>
      <c r="KVB3" s="120"/>
      <c r="KVC3" s="120"/>
      <c r="KVD3" s="120"/>
      <c r="KVE3" s="120"/>
      <c r="KVF3" s="120"/>
      <c r="KVG3" s="120"/>
      <c r="KVH3" s="120"/>
      <c r="KVI3" s="120"/>
      <c r="KVJ3" s="120"/>
      <c r="KVK3" s="120"/>
      <c r="KVL3" s="120"/>
      <c r="KVM3" s="120"/>
      <c r="KVN3" s="120"/>
      <c r="KVO3" s="120"/>
      <c r="KVP3" s="120"/>
      <c r="KVQ3" s="120"/>
      <c r="KVR3" s="120"/>
      <c r="KVS3" s="120"/>
      <c r="KVT3" s="120"/>
      <c r="KVU3" s="120"/>
      <c r="KVV3" s="120"/>
      <c r="KVW3" s="120"/>
      <c r="KVX3" s="120"/>
      <c r="KVY3" s="120"/>
      <c r="KVZ3" s="120"/>
      <c r="KWA3" s="120"/>
      <c r="KWB3" s="120"/>
      <c r="KWC3" s="120"/>
      <c r="KWD3" s="120"/>
      <c r="KWE3" s="120"/>
      <c r="KWF3" s="120"/>
      <c r="KWG3" s="120"/>
      <c r="KWH3" s="120"/>
      <c r="KWI3" s="120"/>
      <c r="KWJ3" s="120"/>
      <c r="KWK3" s="120"/>
      <c r="KWL3" s="120"/>
      <c r="KWM3" s="120"/>
      <c r="KWN3" s="120"/>
      <c r="KWO3" s="120"/>
      <c r="KWP3" s="120"/>
      <c r="KWQ3" s="120"/>
      <c r="KWR3" s="120"/>
      <c r="KWS3" s="120"/>
      <c r="KWT3" s="120"/>
      <c r="KWU3" s="120"/>
      <c r="KWV3" s="120"/>
      <c r="KWW3" s="120"/>
      <c r="KWX3" s="120"/>
      <c r="KWY3" s="120"/>
      <c r="KWZ3" s="120"/>
      <c r="KXA3" s="120"/>
      <c r="KXB3" s="120"/>
      <c r="KXC3" s="120"/>
      <c r="KXD3" s="120"/>
      <c r="KXE3" s="120"/>
      <c r="KXF3" s="120"/>
      <c r="KXG3" s="120"/>
      <c r="KXH3" s="120"/>
      <c r="KXI3" s="120"/>
      <c r="KXJ3" s="120"/>
      <c r="KXK3" s="120"/>
      <c r="KXL3" s="120"/>
      <c r="KXM3" s="120"/>
      <c r="KXN3" s="120"/>
      <c r="KXO3" s="120"/>
      <c r="KXP3" s="120"/>
      <c r="KXQ3" s="120"/>
      <c r="KXR3" s="120"/>
      <c r="KXS3" s="120"/>
      <c r="KXT3" s="120"/>
      <c r="KXU3" s="120"/>
      <c r="KXV3" s="120"/>
      <c r="KXW3" s="120"/>
      <c r="KXX3" s="120"/>
      <c r="KXY3" s="120"/>
      <c r="KXZ3" s="120"/>
      <c r="KYA3" s="120"/>
      <c r="KYB3" s="120"/>
      <c r="KYC3" s="120"/>
      <c r="KYD3" s="120"/>
      <c r="KYE3" s="120"/>
      <c r="KYF3" s="120"/>
      <c r="KYG3" s="120"/>
      <c r="KYH3" s="120"/>
      <c r="KYI3" s="120"/>
      <c r="KYJ3" s="120"/>
      <c r="KYK3" s="120"/>
      <c r="KYL3" s="120"/>
      <c r="KYM3" s="120"/>
      <c r="KYN3" s="120"/>
      <c r="KYO3" s="120"/>
      <c r="KYP3" s="120"/>
      <c r="KYQ3" s="120"/>
      <c r="KYR3" s="120"/>
      <c r="KYS3" s="120"/>
      <c r="KYT3" s="120"/>
      <c r="KYU3" s="120"/>
      <c r="KYV3" s="120"/>
      <c r="KYW3" s="120"/>
      <c r="KYX3" s="120"/>
      <c r="KYY3" s="120"/>
      <c r="KYZ3" s="120"/>
      <c r="KZA3" s="120"/>
      <c r="KZB3" s="120"/>
      <c r="KZC3" s="120"/>
      <c r="KZD3" s="120"/>
      <c r="KZE3" s="120"/>
      <c r="KZF3" s="120"/>
      <c r="KZG3" s="120"/>
      <c r="KZH3" s="120"/>
      <c r="KZI3" s="120"/>
      <c r="KZJ3" s="120"/>
      <c r="KZK3" s="120"/>
      <c r="KZL3" s="120"/>
      <c r="KZM3" s="120"/>
      <c r="KZN3" s="120"/>
      <c r="KZO3" s="120"/>
      <c r="KZP3" s="120"/>
      <c r="KZQ3" s="120"/>
      <c r="KZR3" s="120"/>
      <c r="KZS3" s="120"/>
      <c r="KZT3" s="120"/>
      <c r="KZU3" s="120"/>
      <c r="KZV3" s="120"/>
      <c r="KZW3" s="120"/>
      <c r="KZX3" s="120"/>
      <c r="KZY3" s="120"/>
      <c r="KZZ3" s="120"/>
      <c r="LAA3" s="120"/>
      <c r="LAB3" s="120"/>
      <c r="LAC3" s="120"/>
      <c r="LAD3" s="120"/>
      <c r="LAE3" s="120"/>
      <c r="LAF3" s="120"/>
      <c r="LAG3" s="120"/>
      <c r="LAH3" s="120"/>
      <c r="LAI3" s="120"/>
      <c r="LAJ3" s="120"/>
      <c r="LAK3" s="120"/>
      <c r="LAL3" s="120"/>
      <c r="LAM3" s="120"/>
      <c r="LAN3" s="120"/>
      <c r="LAO3" s="120"/>
      <c r="LAP3" s="120"/>
      <c r="LAQ3" s="120"/>
      <c r="LAR3" s="120"/>
      <c r="LAS3" s="120"/>
      <c r="LAT3" s="120"/>
      <c r="LAU3" s="120"/>
      <c r="LAV3" s="120"/>
      <c r="LAW3" s="120"/>
      <c r="LAX3" s="120"/>
      <c r="LAY3" s="120"/>
      <c r="LAZ3" s="120"/>
      <c r="LBA3" s="120"/>
      <c r="LBB3" s="120"/>
      <c r="LBC3" s="120"/>
      <c r="LBD3" s="120"/>
      <c r="LBE3" s="120"/>
      <c r="LBF3" s="120"/>
      <c r="LBG3" s="120"/>
      <c r="LBH3" s="120"/>
      <c r="LBI3" s="120"/>
      <c r="LBJ3" s="120"/>
      <c r="LBK3" s="120"/>
      <c r="LBL3" s="120"/>
      <c r="LBM3" s="120"/>
      <c r="LBN3" s="120"/>
      <c r="LBO3" s="120"/>
      <c r="LBP3" s="120"/>
      <c r="LBQ3" s="120"/>
      <c r="LBR3" s="120"/>
      <c r="LBS3" s="120"/>
      <c r="LBT3" s="120"/>
      <c r="LBU3" s="120"/>
      <c r="LBV3" s="120"/>
      <c r="LBW3" s="120"/>
      <c r="LBX3" s="120"/>
      <c r="LBY3" s="120"/>
      <c r="LBZ3" s="120"/>
      <c r="LCA3" s="120"/>
      <c r="LCB3" s="120"/>
      <c r="LCC3" s="120"/>
      <c r="LCD3" s="120"/>
      <c r="LCE3" s="120"/>
      <c r="LCF3" s="120"/>
      <c r="LCG3" s="120"/>
      <c r="LCH3" s="120"/>
      <c r="LCI3" s="120"/>
      <c r="LCJ3" s="120"/>
      <c r="LCK3" s="120"/>
      <c r="LCL3" s="120"/>
      <c r="LCM3" s="120"/>
      <c r="LCN3" s="120"/>
      <c r="LCO3" s="120"/>
      <c r="LCP3" s="120"/>
      <c r="LCQ3" s="120"/>
      <c r="LCR3" s="120"/>
      <c r="LCS3" s="120"/>
      <c r="LCT3" s="120"/>
      <c r="LCU3" s="120"/>
      <c r="LCV3" s="120"/>
      <c r="LCW3" s="120"/>
      <c r="LCX3" s="120"/>
      <c r="LCY3" s="120"/>
      <c r="LCZ3" s="120"/>
      <c r="LDA3" s="120"/>
      <c r="LDB3" s="120"/>
      <c r="LDC3" s="120"/>
      <c r="LDD3" s="120"/>
      <c r="LDE3" s="120"/>
      <c r="LDF3" s="120"/>
      <c r="LDG3" s="120"/>
      <c r="LDH3" s="120"/>
      <c r="LDI3" s="120"/>
      <c r="LDJ3" s="120"/>
      <c r="LDK3" s="120"/>
      <c r="LDL3" s="120"/>
      <c r="LDM3" s="120"/>
      <c r="LDN3" s="120"/>
      <c r="LDO3" s="120"/>
      <c r="LDP3" s="120"/>
      <c r="LDQ3" s="120"/>
      <c r="LDR3" s="120"/>
      <c r="LDS3" s="120"/>
      <c r="LDT3" s="120"/>
      <c r="LDU3" s="120"/>
      <c r="LDV3" s="120"/>
      <c r="LDW3" s="120"/>
      <c r="LDX3" s="120"/>
      <c r="LDY3" s="120"/>
      <c r="LDZ3" s="120"/>
      <c r="LEA3" s="120"/>
      <c r="LEB3" s="120"/>
      <c r="LEC3" s="120"/>
      <c r="LED3" s="120"/>
      <c r="LEE3" s="120"/>
      <c r="LEF3" s="120"/>
      <c r="LEG3" s="120"/>
      <c r="LEH3" s="120"/>
      <c r="LEI3" s="120"/>
      <c r="LEJ3" s="120"/>
      <c r="LEK3" s="120"/>
      <c r="LEL3" s="120"/>
      <c r="LEM3" s="120"/>
      <c r="LEN3" s="120"/>
      <c r="LEO3" s="120"/>
      <c r="LEP3" s="120"/>
      <c r="LEQ3" s="120"/>
      <c r="LER3" s="120"/>
      <c r="LES3" s="120"/>
      <c r="LET3" s="120"/>
      <c r="LEU3" s="120"/>
      <c r="LEV3" s="120"/>
      <c r="LEW3" s="120"/>
      <c r="LEX3" s="120"/>
      <c r="LEY3" s="120"/>
      <c r="LEZ3" s="120"/>
      <c r="LFA3" s="120"/>
      <c r="LFB3" s="120"/>
      <c r="LFC3" s="120"/>
      <c r="LFD3" s="120"/>
      <c r="LFE3" s="120"/>
      <c r="LFF3" s="120"/>
      <c r="LFG3" s="120"/>
      <c r="LFH3" s="120"/>
      <c r="LFI3" s="120"/>
      <c r="LFJ3" s="120"/>
      <c r="LFK3" s="120"/>
      <c r="LFL3" s="120"/>
      <c r="LFM3" s="120"/>
      <c r="LFN3" s="120"/>
      <c r="LFO3" s="120"/>
      <c r="LFP3" s="120"/>
      <c r="LFQ3" s="120"/>
      <c r="LFR3" s="120"/>
      <c r="LFS3" s="120"/>
      <c r="LFT3" s="120"/>
      <c r="LFU3" s="120"/>
      <c r="LFV3" s="120"/>
      <c r="LFW3" s="120"/>
      <c r="LFX3" s="120"/>
      <c r="LFY3" s="120"/>
      <c r="LFZ3" s="120"/>
      <c r="LGA3" s="120"/>
      <c r="LGB3" s="120"/>
      <c r="LGC3" s="120"/>
      <c r="LGD3" s="120"/>
      <c r="LGE3" s="120"/>
      <c r="LGF3" s="120"/>
      <c r="LGG3" s="120"/>
      <c r="LGH3" s="120"/>
      <c r="LGI3" s="120"/>
      <c r="LGJ3" s="120"/>
      <c r="LGK3" s="120"/>
      <c r="LGL3" s="120"/>
      <c r="LGM3" s="120"/>
      <c r="LGN3" s="120"/>
      <c r="LGO3" s="120"/>
      <c r="LGP3" s="120"/>
      <c r="LGQ3" s="120"/>
      <c r="LGR3" s="120"/>
      <c r="LGS3" s="120"/>
      <c r="LGT3" s="120"/>
      <c r="LGU3" s="120"/>
      <c r="LGV3" s="120"/>
      <c r="LGW3" s="120"/>
      <c r="LGX3" s="120"/>
      <c r="LGY3" s="120"/>
      <c r="LGZ3" s="120"/>
      <c r="LHA3" s="120"/>
      <c r="LHB3" s="120"/>
      <c r="LHC3" s="120"/>
      <c r="LHD3" s="120"/>
      <c r="LHE3" s="120"/>
      <c r="LHF3" s="120"/>
      <c r="LHG3" s="120"/>
      <c r="LHH3" s="120"/>
      <c r="LHI3" s="120"/>
      <c r="LHJ3" s="120"/>
      <c r="LHK3" s="120"/>
      <c r="LHL3" s="120"/>
      <c r="LHM3" s="120"/>
      <c r="LHN3" s="120"/>
      <c r="LHO3" s="120"/>
      <c r="LHP3" s="120"/>
      <c r="LHQ3" s="120"/>
      <c r="LHR3" s="120"/>
      <c r="LHS3" s="120"/>
      <c r="LHT3" s="120"/>
      <c r="LHU3" s="120"/>
      <c r="LHV3" s="120"/>
      <c r="LHW3" s="120"/>
      <c r="LHX3" s="120"/>
      <c r="LHY3" s="120"/>
      <c r="LHZ3" s="120"/>
      <c r="LIA3" s="120"/>
      <c r="LIB3" s="120"/>
      <c r="LIC3" s="120"/>
      <c r="LID3" s="120"/>
      <c r="LIE3" s="120"/>
      <c r="LIF3" s="120"/>
      <c r="LIG3" s="120"/>
      <c r="LIH3" s="120"/>
      <c r="LII3" s="120"/>
      <c r="LIJ3" s="120"/>
      <c r="LIK3" s="120"/>
      <c r="LIL3" s="120"/>
      <c r="LIM3" s="120"/>
      <c r="LIN3" s="120"/>
      <c r="LIO3" s="120"/>
      <c r="LIP3" s="120"/>
      <c r="LIQ3" s="120"/>
      <c r="LIR3" s="120"/>
      <c r="LIS3" s="120"/>
      <c r="LIT3" s="120"/>
      <c r="LIU3" s="120"/>
      <c r="LIV3" s="120"/>
      <c r="LIW3" s="120"/>
      <c r="LIX3" s="120"/>
      <c r="LIY3" s="120"/>
      <c r="LIZ3" s="120"/>
      <c r="LJA3" s="120"/>
      <c r="LJB3" s="120"/>
      <c r="LJC3" s="120"/>
      <c r="LJD3" s="120"/>
      <c r="LJE3" s="120"/>
      <c r="LJF3" s="120"/>
      <c r="LJG3" s="120"/>
      <c r="LJH3" s="120"/>
      <c r="LJI3" s="120"/>
      <c r="LJJ3" s="120"/>
      <c r="LJK3" s="120"/>
      <c r="LJL3" s="120"/>
      <c r="LJM3" s="120"/>
      <c r="LJN3" s="120"/>
      <c r="LJO3" s="120"/>
      <c r="LJP3" s="120"/>
      <c r="LJQ3" s="120"/>
      <c r="LJR3" s="120"/>
      <c r="LJS3" s="120"/>
      <c r="LJT3" s="120"/>
      <c r="LJU3" s="120"/>
      <c r="LJV3" s="120"/>
      <c r="LJW3" s="120"/>
      <c r="LJX3" s="120"/>
      <c r="LJY3" s="120"/>
      <c r="LJZ3" s="120"/>
      <c r="LKA3" s="120"/>
      <c r="LKB3" s="120"/>
      <c r="LKC3" s="120"/>
      <c r="LKD3" s="120"/>
      <c r="LKE3" s="120"/>
      <c r="LKF3" s="120"/>
      <c r="LKG3" s="120"/>
      <c r="LKH3" s="120"/>
      <c r="LKI3" s="120"/>
      <c r="LKJ3" s="120"/>
      <c r="LKK3" s="120"/>
      <c r="LKL3" s="120"/>
      <c r="LKM3" s="120"/>
      <c r="LKN3" s="120"/>
      <c r="LKO3" s="120"/>
      <c r="LKP3" s="120"/>
      <c r="LKQ3" s="120"/>
      <c r="LKR3" s="120"/>
      <c r="LKS3" s="120"/>
      <c r="LKT3" s="120"/>
      <c r="LKU3" s="120"/>
      <c r="LKV3" s="120"/>
      <c r="LKW3" s="120"/>
      <c r="LKX3" s="120"/>
      <c r="LKY3" s="120"/>
      <c r="LKZ3" s="120"/>
      <c r="LLA3" s="120"/>
      <c r="LLB3" s="120"/>
      <c r="LLC3" s="120"/>
      <c r="LLD3" s="120"/>
      <c r="LLE3" s="120"/>
      <c r="LLF3" s="120"/>
      <c r="LLG3" s="120"/>
      <c r="LLH3" s="120"/>
      <c r="LLI3" s="120"/>
      <c r="LLJ3" s="120"/>
      <c r="LLK3" s="120"/>
      <c r="LLL3" s="120"/>
      <c r="LLM3" s="120"/>
      <c r="LLN3" s="120"/>
      <c r="LLO3" s="120"/>
      <c r="LLP3" s="120"/>
      <c r="LLQ3" s="120"/>
      <c r="LLR3" s="120"/>
      <c r="LLS3" s="120"/>
      <c r="LLT3" s="120"/>
      <c r="LLU3" s="120"/>
      <c r="LLV3" s="120"/>
      <c r="LLW3" s="120"/>
      <c r="LLX3" s="120"/>
      <c r="LLY3" s="120"/>
      <c r="LLZ3" s="120"/>
      <c r="LMA3" s="120"/>
      <c r="LMB3" s="120"/>
      <c r="LMC3" s="120"/>
      <c r="LMD3" s="120"/>
      <c r="LME3" s="120"/>
      <c r="LMF3" s="120"/>
      <c r="LMG3" s="120"/>
      <c r="LMH3" s="120"/>
      <c r="LMI3" s="120"/>
      <c r="LMJ3" s="120"/>
      <c r="LMK3" s="120"/>
      <c r="LML3" s="120"/>
      <c r="LMM3" s="120"/>
      <c r="LMN3" s="120"/>
      <c r="LMO3" s="120"/>
      <c r="LMP3" s="120"/>
      <c r="LMQ3" s="120"/>
      <c r="LMR3" s="120"/>
      <c r="LMS3" s="120"/>
      <c r="LMT3" s="120"/>
      <c r="LMU3" s="120"/>
      <c r="LMV3" s="120"/>
      <c r="LMW3" s="120"/>
      <c r="LMX3" s="120"/>
      <c r="LMY3" s="120"/>
      <c r="LMZ3" s="120"/>
      <c r="LNA3" s="120"/>
      <c r="LNB3" s="120"/>
      <c r="LNC3" s="120"/>
      <c r="LND3" s="120"/>
      <c r="LNE3" s="120"/>
      <c r="LNF3" s="120"/>
      <c r="LNG3" s="120"/>
      <c r="LNH3" s="120"/>
      <c r="LNI3" s="120"/>
      <c r="LNJ3" s="120"/>
      <c r="LNK3" s="120"/>
      <c r="LNL3" s="120"/>
      <c r="LNM3" s="120"/>
      <c r="LNN3" s="120"/>
      <c r="LNO3" s="120"/>
      <c r="LNP3" s="120"/>
      <c r="LNQ3" s="120"/>
      <c r="LNR3" s="120"/>
      <c r="LNS3" s="120"/>
      <c r="LNT3" s="120"/>
      <c r="LNU3" s="120"/>
      <c r="LNV3" s="120"/>
      <c r="LNW3" s="120"/>
      <c r="LNX3" s="120"/>
      <c r="LNY3" s="120"/>
      <c r="LNZ3" s="120"/>
      <c r="LOA3" s="120"/>
      <c r="LOB3" s="120"/>
      <c r="LOC3" s="120"/>
      <c r="LOD3" s="120"/>
      <c r="LOE3" s="120"/>
      <c r="LOF3" s="120"/>
      <c r="LOG3" s="120"/>
      <c r="LOH3" s="120"/>
      <c r="LOI3" s="120"/>
      <c r="LOJ3" s="120"/>
      <c r="LOK3" s="120"/>
      <c r="LOL3" s="120"/>
      <c r="LOM3" s="120"/>
      <c r="LON3" s="120"/>
      <c r="LOO3" s="120"/>
      <c r="LOP3" s="120"/>
      <c r="LOQ3" s="120"/>
      <c r="LOR3" s="120"/>
      <c r="LOS3" s="120"/>
      <c r="LOT3" s="120"/>
      <c r="LOU3" s="120"/>
      <c r="LOV3" s="120"/>
      <c r="LOW3" s="120"/>
      <c r="LOX3" s="120"/>
      <c r="LOY3" s="120"/>
      <c r="LOZ3" s="120"/>
      <c r="LPA3" s="120"/>
      <c r="LPB3" s="120"/>
      <c r="LPC3" s="120"/>
      <c r="LPD3" s="120"/>
      <c r="LPE3" s="120"/>
      <c r="LPF3" s="120"/>
      <c r="LPG3" s="120"/>
      <c r="LPH3" s="120"/>
      <c r="LPI3" s="120"/>
      <c r="LPJ3" s="120"/>
      <c r="LPK3" s="120"/>
      <c r="LPL3" s="120"/>
      <c r="LPM3" s="120"/>
      <c r="LPN3" s="120"/>
      <c r="LPO3" s="120"/>
      <c r="LPP3" s="120"/>
      <c r="LPQ3" s="120"/>
      <c r="LPR3" s="120"/>
      <c r="LPS3" s="120"/>
      <c r="LPT3" s="120"/>
      <c r="LPU3" s="120"/>
      <c r="LPV3" s="120"/>
      <c r="LPW3" s="120"/>
      <c r="LPX3" s="120"/>
      <c r="LPY3" s="120"/>
      <c r="LPZ3" s="120"/>
      <c r="LQA3" s="120"/>
      <c r="LQB3" s="120"/>
      <c r="LQC3" s="120"/>
      <c r="LQD3" s="120"/>
      <c r="LQE3" s="120"/>
      <c r="LQF3" s="120"/>
      <c r="LQG3" s="120"/>
      <c r="LQH3" s="120"/>
      <c r="LQI3" s="120"/>
      <c r="LQJ3" s="120"/>
      <c r="LQK3" s="120"/>
      <c r="LQL3" s="120"/>
      <c r="LQM3" s="120"/>
      <c r="LQN3" s="120"/>
      <c r="LQO3" s="120"/>
      <c r="LQP3" s="120"/>
      <c r="LQQ3" s="120"/>
      <c r="LQR3" s="120"/>
      <c r="LQS3" s="120"/>
      <c r="LQT3" s="120"/>
      <c r="LQU3" s="120"/>
      <c r="LQV3" s="120"/>
      <c r="LQW3" s="120"/>
      <c r="LQX3" s="120"/>
      <c r="LQY3" s="120"/>
      <c r="LQZ3" s="120"/>
      <c r="LRA3" s="120"/>
      <c r="LRB3" s="120"/>
      <c r="LRC3" s="120"/>
      <c r="LRD3" s="120"/>
      <c r="LRE3" s="120"/>
      <c r="LRF3" s="120"/>
      <c r="LRG3" s="120"/>
      <c r="LRH3" s="120"/>
      <c r="LRI3" s="120"/>
      <c r="LRJ3" s="120"/>
      <c r="LRK3" s="120"/>
      <c r="LRL3" s="120"/>
      <c r="LRM3" s="120"/>
      <c r="LRN3" s="120"/>
      <c r="LRO3" s="120"/>
      <c r="LRP3" s="120"/>
      <c r="LRQ3" s="120"/>
      <c r="LRR3" s="120"/>
      <c r="LRS3" s="120"/>
      <c r="LRT3" s="120"/>
      <c r="LRU3" s="120"/>
      <c r="LRV3" s="120"/>
      <c r="LRW3" s="120"/>
      <c r="LRX3" s="120"/>
      <c r="LRY3" s="120"/>
      <c r="LRZ3" s="120"/>
      <c r="LSA3" s="120"/>
      <c r="LSB3" s="120"/>
      <c r="LSC3" s="120"/>
      <c r="LSD3" s="120"/>
      <c r="LSE3" s="120"/>
      <c r="LSF3" s="120"/>
      <c r="LSG3" s="120"/>
      <c r="LSH3" s="120"/>
      <c r="LSI3" s="120"/>
      <c r="LSJ3" s="120"/>
      <c r="LSK3" s="120"/>
      <c r="LSL3" s="120"/>
      <c r="LSM3" s="120"/>
      <c r="LSN3" s="120"/>
      <c r="LSO3" s="120"/>
      <c r="LSP3" s="120"/>
      <c r="LSQ3" s="120"/>
      <c r="LSR3" s="120"/>
      <c r="LSS3" s="120"/>
      <c r="LST3" s="120"/>
      <c r="LSU3" s="120"/>
      <c r="LSV3" s="120"/>
      <c r="LSW3" s="120"/>
      <c r="LSX3" s="120"/>
      <c r="LSY3" s="120"/>
      <c r="LSZ3" s="120"/>
      <c r="LTA3" s="120"/>
      <c r="LTB3" s="120"/>
      <c r="LTC3" s="120"/>
      <c r="LTD3" s="120"/>
      <c r="LTE3" s="120"/>
      <c r="LTF3" s="120"/>
      <c r="LTG3" s="120"/>
      <c r="LTH3" s="120"/>
      <c r="LTI3" s="120"/>
      <c r="LTJ3" s="120"/>
      <c r="LTK3" s="120"/>
      <c r="LTL3" s="120"/>
      <c r="LTM3" s="120"/>
      <c r="LTN3" s="120"/>
      <c r="LTO3" s="120"/>
      <c r="LTP3" s="120"/>
      <c r="LTQ3" s="120"/>
      <c r="LTR3" s="120"/>
      <c r="LTS3" s="120"/>
      <c r="LTT3" s="120"/>
      <c r="LTU3" s="120"/>
      <c r="LTV3" s="120"/>
      <c r="LTW3" s="120"/>
      <c r="LTX3" s="120"/>
      <c r="LTY3" s="120"/>
      <c r="LTZ3" s="120"/>
      <c r="LUA3" s="120"/>
      <c r="LUB3" s="120"/>
      <c r="LUC3" s="120"/>
      <c r="LUD3" s="120"/>
      <c r="LUE3" s="120"/>
      <c r="LUF3" s="120"/>
      <c r="LUG3" s="120"/>
      <c r="LUH3" s="120"/>
      <c r="LUI3" s="120"/>
      <c r="LUJ3" s="120"/>
      <c r="LUK3" s="120"/>
      <c r="LUL3" s="120"/>
      <c r="LUM3" s="120"/>
      <c r="LUN3" s="120"/>
      <c r="LUO3" s="120"/>
      <c r="LUP3" s="120"/>
      <c r="LUQ3" s="120"/>
      <c r="LUR3" s="120"/>
      <c r="LUS3" s="120"/>
      <c r="LUT3" s="120"/>
      <c r="LUU3" s="120"/>
      <c r="LUV3" s="120"/>
      <c r="LUW3" s="120"/>
      <c r="LUX3" s="120"/>
      <c r="LUY3" s="120"/>
      <c r="LUZ3" s="120"/>
      <c r="LVA3" s="120"/>
      <c r="LVB3" s="120"/>
      <c r="LVC3" s="120"/>
      <c r="LVD3" s="120"/>
      <c r="LVE3" s="120"/>
      <c r="LVF3" s="120"/>
      <c r="LVG3" s="120"/>
      <c r="LVH3" s="120"/>
      <c r="LVI3" s="120"/>
      <c r="LVJ3" s="120"/>
      <c r="LVK3" s="120"/>
      <c r="LVL3" s="120"/>
      <c r="LVM3" s="120"/>
      <c r="LVN3" s="120"/>
      <c r="LVO3" s="120"/>
      <c r="LVP3" s="120"/>
      <c r="LVQ3" s="120"/>
      <c r="LVR3" s="120"/>
      <c r="LVS3" s="120"/>
      <c r="LVT3" s="120"/>
      <c r="LVU3" s="120"/>
      <c r="LVV3" s="120"/>
      <c r="LVW3" s="120"/>
      <c r="LVX3" s="120"/>
      <c r="LVY3" s="120"/>
      <c r="LVZ3" s="120"/>
      <c r="LWA3" s="120"/>
      <c r="LWB3" s="120"/>
      <c r="LWC3" s="120"/>
      <c r="LWD3" s="120"/>
      <c r="LWE3" s="120"/>
      <c r="LWF3" s="120"/>
      <c r="LWG3" s="120"/>
      <c r="LWH3" s="120"/>
      <c r="LWI3" s="120"/>
      <c r="LWJ3" s="120"/>
      <c r="LWK3" s="120"/>
      <c r="LWL3" s="120"/>
      <c r="LWM3" s="120"/>
      <c r="LWN3" s="120"/>
      <c r="LWO3" s="120"/>
      <c r="LWP3" s="120"/>
      <c r="LWQ3" s="120"/>
      <c r="LWR3" s="120"/>
      <c r="LWS3" s="120"/>
      <c r="LWT3" s="120"/>
      <c r="LWU3" s="120"/>
      <c r="LWV3" s="120"/>
      <c r="LWW3" s="120"/>
      <c r="LWX3" s="120"/>
      <c r="LWY3" s="120"/>
      <c r="LWZ3" s="120"/>
      <c r="LXA3" s="120"/>
      <c r="LXB3" s="120"/>
      <c r="LXC3" s="120"/>
      <c r="LXD3" s="120"/>
      <c r="LXE3" s="120"/>
      <c r="LXF3" s="120"/>
      <c r="LXG3" s="120"/>
      <c r="LXH3" s="120"/>
      <c r="LXI3" s="120"/>
      <c r="LXJ3" s="120"/>
      <c r="LXK3" s="120"/>
      <c r="LXL3" s="120"/>
      <c r="LXM3" s="120"/>
      <c r="LXN3" s="120"/>
      <c r="LXO3" s="120"/>
      <c r="LXP3" s="120"/>
      <c r="LXQ3" s="120"/>
      <c r="LXR3" s="120"/>
      <c r="LXS3" s="120"/>
      <c r="LXT3" s="120"/>
      <c r="LXU3" s="120"/>
      <c r="LXV3" s="120"/>
      <c r="LXW3" s="120"/>
      <c r="LXX3" s="120"/>
      <c r="LXY3" s="120"/>
      <c r="LXZ3" s="120"/>
      <c r="LYA3" s="120"/>
      <c r="LYB3" s="120"/>
      <c r="LYC3" s="120"/>
      <c r="LYD3" s="120"/>
      <c r="LYE3" s="120"/>
      <c r="LYF3" s="120"/>
      <c r="LYG3" s="120"/>
      <c r="LYH3" s="120"/>
      <c r="LYI3" s="120"/>
      <c r="LYJ3" s="120"/>
      <c r="LYK3" s="120"/>
      <c r="LYL3" s="120"/>
      <c r="LYM3" s="120"/>
      <c r="LYN3" s="120"/>
      <c r="LYO3" s="120"/>
      <c r="LYP3" s="120"/>
      <c r="LYQ3" s="120"/>
      <c r="LYR3" s="120"/>
      <c r="LYS3" s="120"/>
      <c r="LYT3" s="120"/>
      <c r="LYU3" s="120"/>
      <c r="LYV3" s="120"/>
      <c r="LYW3" s="120"/>
      <c r="LYX3" s="120"/>
      <c r="LYY3" s="120"/>
      <c r="LYZ3" s="120"/>
      <c r="LZA3" s="120"/>
      <c r="LZB3" s="120"/>
      <c r="LZC3" s="120"/>
      <c r="LZD3" s="120"/>
      <c r="LZE3" s="120"/>
      <c r="LZF3" s="120"/>
      <c r="LZG3" s="120"/>
      <c r="LZH3" s="120"/>
      <c r="LZI3" s="120"/>
      <c r="LZJ3" s="120"/>
      <c r="LZK3" s="120"/>
      <c r="LZL3" s="120"/>
      <c r="LZM3" s="120"/>
      <c r="LZN3" s="120"/>
      <c r="LZO3" s="120"/>
      <c r="LZP3" s="120"/>
      <c r="LZQ3" s="120"/>
      <c r="LZR3" s="120"/>
      <c r="LZS3" s="120"/>
      <c r="LZT3" s="120"/>
      <c r="LZU3" s="120"/>
      <c r="LZV3" s="120"/>
      <c r="LZW3" s="120"/>
      <c r="LZX3" s="120"/>
      <c r="LZY3" s="120"/>
      <c r="LZZ3" s="120"/>
      <c r="MAA3" s="120"/>
      <c r="MAB3" s="120"/>
      <c r="MAC3" s="120"/>
      <c r="MAD3" s="120"/>
      <c r="MAE3" s="120"/>
      <c r="MAF3" s="120"/>
      <c r="MAG3" s="120"/>
      <c r="MAH3" s="120"/>
      <c r="MAI3" s="120"/>
      <c r="MAJ3" s="120"/>
      <c r="MAK3" s="120"/>
      <c r="MAL3" s="120"/>
      <c r="MAM3" s="120"/>
      <c r="MAN3" s="120"/>
      <c r="MAO3" s="120"/>
      <c r="MAP3" s="120"/>
      <c r="MAQ3" s="120"/>
      <c r="MAR3" s="120"/>
      <c r="MAS3" s="120"/>
      <c r="MAT3" s="120"/>
      <c r="MAU3" s="120"/>
      <c r="MAV3" s="120"/>
      <c r="MAW3" s="120"/>
      <c r="MAX3" s="120"/>
      <c r="MAY3" s="120"/>
      <c r="MAZ3" s="120"/>
      <c r="MBA3" s="120"/>
      <c r="MBB3" s="120"/>
      <c r="MBC3" s="120"/>
      <c r="MBD3" s="120"/>
      <c r="MBE3" s="120"/>
      <c r="MBF3" s="120"/>
      <c r="MBG3" s="120"/>
      <c r="MBH3" s="120"/>
      <c r="MBI3" s="120"/>
      <c r="MBJ3" s="120"/>
      <c r="MBK3" s="120"/>
      <c r="MBL3" s="120"/>
      <c r="MBM3" s="120"/>
      <c r="MBN3" s="120"/>
      <c r="MBO3" s="120"/>
      <c r="MBP3" s="120"/>
      <c r="MBQ3" s="120"/>
      <c r="MBR3" s="120"/>
      <c r="MBS3" s="120"/>
      <c r="MBT3" s="120"/>
      <c r="MBU3" s="120"/>
      <c r="MBV3" s="120"/>
      <c r="MBW3" s="120"/>
      <c r="MBX3" s="120"/>
      <c r="MBY3" s="120"/>
      <c r="MBZ3" s="120"/>
      <c r="MCA3" s="120"/>
      <c r="MCB3" s="120"/>
      <c r="MCC3" s="120"/>
      <c r="MCD3" s="120"/>
      <c r="MCE3" s="120"/>
      <c r="MCF3" s="120"/>
      <c r="MCG3" s="120"/>
      <c r="MCH3" s="120"/>
      <c r="MCI3" s="120"/>
      <c r="MCJ3" s="120"/>
      <c r="MCK3" s="120"/>
      <c r="MCL3" s="120"/>
      <c r="MCM3" s="120"/>
      <c r="MCN3" s="120"/>
      <c r="MCO3" s="120"/>
      <c r="MCP3" s="120"/>
      <c r="MCQ3" s="120"/>
      <c r="MCR3" s="120"/>
      <c r="MCS3" s="120"/>
      <c r="MCT3" s="120"/>
      <c r="MCU3" s="120"/>
      <c r="MCV3" s="120"/>
      <c r="MCW3" s="120"/>
      <c r="MCX3" s="120"/>
      <c r="MCY3" s="120"/>
      <c r="MCZ3" s="120"/>
      <c r="MDA3" s="120"/>
      <c r="MDB3" s="120"/>
      <c r="MDC3" s="120"/>
      <c r="MDD3" s="120"/>
      <c r="MDE3" s="120"/>
      <c r="MDF3" s="120"/>
      <c r="MDG3" s="120"/>
      <c r="MDH3" s="120"/>
      <c r="MDI3" s="120"/>
      <c r="MDJ3" s="120"/>
      <c r="MDK3" s="120"/>
      <c r="MDL3" s="120"/>
      <c r="MDM3" s="120"/>
      <c r="MDN3" s="120"/>
      <c r="MDO3" s="120"/>
      <c r="MDP3" s="120"/>
      <c r="MDQ3" s="120"/>
      <c r="MDR3" s="120"/>
      <c r="MDS3" s="120"/>
      <c r="MDT3" s="120"/>
      <c r="MDU3" s="120"/>
      <c r="MDV3" s="120"/>
      <c r="MDW3" s="120"/>
      <c r="MDX3" s="120"/>
      <c r="MDY3" s="120"/>
      <c r="MDZ3" s="120"/>
      <c r="MEA3" s="120"/>
      <c r="MEB3" s="120"/>
      <c r="MEC3" s="120"/>
      <c r="MED3" s="120"/>
      <c r="MEE3" s="120"/>
      <c r="MEF3" s="120"/>
      <c r="MEG3" s="120"/>
      <c r="MEH3" s="120"/>
      <c r="MEI3" s="120"/>
      <c r="MEJ3" s="120"/>
      <c r="MEK3" s="120"/>
      <c r="MEL3" s="120"/>
      <c r="MEM3" s="120"/>
      <c r="MEN3" s="120"/>
      <c r="MEO3" s="120"/>
      <c r="MEP3" s="120"/>
      <c r="MEQ3" s="120"/>
      <c r="MER3" s="120"/>
      <c r="MES3" s="120"/>
      <c r="MET3" s="120"/>
      <c r="MEU3" s="120"/>
      <c r="MEV3" s="120"/>
      <c r="MEW3" s="120"/>
      <c r="MEX3" s="120"/>
      <c r="MEY3" s="120"/>
      <c r="MEZ3" s="120"/>
      <c r="MFA3" s="120"/>
      <c r="MFB3" s="120"/>
      <c r="MFC3" s="120"/>
      <c r="MFD3" s="120"/>
      <c r="MFE3" s="120"/>
      <c r="MFF3" s="120"/>
      <c r="MFG3" s="120"/>
      <c r="MFH3" s="120"/>
      <c r="MFI3" s="120"/>
      <c r="MFJ3" s="120"/>
      <c r="MFK3" s="120"/>
      <c r="MFL3" s="120"/>
      <c r="MFM3" s="120"/>
      <c r="MFN3" s="120"/>
      <c r="MFO3" s="120"/>
      <c r="MFP3" s="120"/>
      <c r="MFQ3" s="120"/>
      <c r="MFR3" s="120"/>
      <c r="MFS3" s="120"/>
      <c r="MFT3" s="120"/>
      <c r="MFU3" s="120"/>
      <c r="MFV3" s="120"/>
      <c r="MFW3" s="120"/>
      <c r="MFX3" s="120"/>
      <c r="MFY3" s="120"/>
      <c r="MFZ3" s="120"/>
      <c r="MGA3" s="120"/>
      <c r="MGB3" s="120"/>
      <c r="MGC3" s="120"/>
      <c r="MGD3" s="120"/>
      <c r="MGE3" s="120"/>
      <c r="MGF3" s="120"/>
      <c r="MGG3" s="120"/>
      <c r="MGH3" s="120"/>
      <c r="MGI3" s="120"/>
      <c r="MGJ3" s="120"/>
      <c r="MGK3" s="120"/>
      <c r="MGL3" s="120"/>
      <c r="MGM3" s="120"/>
      <c r="MGN3" s="120"/>
      <c r="MGO3" s="120"/>
      <c r="MGP3" s="120"/>
      <c r="MGQ3" s="120"/>
      <c r="MGR3" s="120"/>
      <c r="MGS3" s="120"/>
      <c r="MGT3" s="120"/>
      <c r="MGU3" s="120"/>
      <c r="MGV3" s="120"/>
      <c r="MGW3" s="120"/>
      <c r="MGX3" s="120"/>
      <c r="MGY3" s="120"/>
      <c r="MGZ3" s="120"/>
      <c r="MHA3" s="120"/>
      <c r="MHB3" s="120"/>
      <c r="MHC3" s="120"/>
      <c r="MHD3" s="120"/>
      <c r="MHE3" s="120"/>
      <c r="MHF3" s="120"/>
      <c r="MHG3" s="120"/>
      <c r="MHH3" s="120"/>
      <c r="MHI3" s="120"/>
      <c r="MHJ3" s="120"/>
      <c r="MHK3" s="120"/>
      <c r="MHL3" s="120"/>
      <c r="MHM3" s="120"/>
      <c r="MHN3" s="120"/>
      <c r="MHO3" s="120"/>
      <c r="MHP3" s="120"/>
      <c r="MHQ3" s="120"/>
      <c r="MHR3" s="120"/>
      <c r="MHS3" s="120"/>
      <c r="MHT3" s="120"/>
      <c r="MHU3" s="120"/>
      <c r="MHV3" s="120"/>
      <c r="MHW3" s="120"/>
      <c r="MHX3" s="120"/>
      <c r="MHY3" s="120"/>
      <c r="MHZ3" s="120"/>
      <c r="MIA3" s="120"/>
      <c r="MIB3" s="120"/>
      <c r="MIC3" s="120"/>
      <c r="MID3" s="120"/>
      <c r="MIE3" s="120"/>
      <c r="MIF3" s="120"/>
      <c r="MIG3" s="120"/>
      <c r="MIH3" s="120"/>
      <c r="MII3" s="120"/>
      <c r="MIJ3" s="120"/>
      <c r="MIK3" s="120"/>
      <c r="MIL3" s="120"/>
      <c r="MIM3" s="120"/>
      <c r="MIN3" s="120"/>
      <c r="MIO3" s="120"/>
      <c r="MIP3" s="120"/>
      <c r="MIQ3" s="120"/>
      <c r="MIR3" s="120"/>
      <c r="MIS3" s="120"/>
      <c r="MIT3" s="120"/>
      <c r="MIU3" s="120"/>
      <c r="MIV3" s="120"/>
      <c r="MIW3" s="120"/>
      <c r="MIX3" s="120"/>
      <c r="MIY3" s="120"/>
      <c r="MIZ3" s="120"/>
      <c r="MJA3" s="120"/>
      <c r="MJB3" s="120"/>
      <c r="MJC3" s="120"/>
      <c r="MJD3" s="120"/>
      <c r="MJE3" s="120"/>
      <c r="MJF3" s="120"/>
      <c r="MJG3" s="120"/>
      <c r="MJH3" s="120"/>
      <c r="MJI3" s="120"/>
      <c r="MJJ3" s="120"/>
      <c r="MJK3" s="120"/>
      <c r="MJL3" s="120"/>
      <c r="MJM3" s="120"/>
      <c r="MJN3" s="120"/>
      <c r="MJO3" s="120"/>
      <c r="MJP3" s="120"/>
      <c r="MJQ3" s="120"/>
      <c r="MJR3" s="120"/>
      <c r="MJS3" s="120"/>
      <c r="MJT3" s="120"/>
      <c r="MJU3" s="120"/>
      <c r="MJV3" s="120"/>
      <c r="MJW3" s="120"/>
      <c r="MJX3" s="120"/>
      <c r="MJY3" s="120"/>
      <c r="MJZ3" s="120"/>
      <c r="MKA3" s="120"/>
      <c r="MKB3" s="120"/>
      <c r="MKC3" s="120"/>
      <c r="MKD3" s="120"/>
      <c r="MKE3" s="120"/>
      <c r="MKF3" s="120"/>
      <c r="MKG3" s="120"/>
      <c r="MKH3" s="120"/>
      <c r="MKI3" s="120"/>
      <c r="MKJ3" s="120"/>
      <c r="MKK3" s="120"/>
      <c r="MKL3" s="120"/>
      <c r="MKM3" s="120"/>
      <c r="MKN3" s="120"/>
      <c r="MKO3" s="120"/>
      <c r="MKP3" s="120"/>
      <c r="MKQ3" s="120"/>
      <c r="MKR3" s="120"/>
      <c r="MKS3" s="120"/>
      <c r="MKT3" s="120"/>
      <c r="MKU3" s="120"/>
      <c r="MKV3" s="120"/>
      <c r="MKW3" s="120"/>
      <c r="MKX3" s="120"/>
      <c r="MKY3" s="120"/>
      <c r="MKZ3" s="120"/>
      <c r="MLA3" s="120"/>
      <c r="MLB3" s="120"/>
      <c r="MLC3" s="120"/>
      <c r="MLD3" s="120"/>
      <c r="MLE3" s="120"/>
      <c r="MLF3" s="120"/>
      <c r="MLG3" s="120"/>
      <c r="MLH3" s="120"/>
      <c r="MLI3" s="120"/>
      <c r="MLJ3" s="120"/>
      <c r="MLK3" s="120"/>
      <c r="MLL3" s="120"/>
      <c r="MLM3" s="120"/>
      <c r="MLN3" s="120"/>
      <c r="MLO3" s="120"/>
      <c r="MLP3" s="120"/>
      <c r="MLQ3" s="120"/>
      <c r="MLR3" s="120"/>
      <c r="MLS3" s="120"/>
      <c r="MLT3" s="120"/>
      <c r="MLU3" s="120"/>
      <c r="MLV3" s="120"/>
      <c r="MLW3" s="120"/>
      <c r="MLX3" s="120"/>
      <c r="MLY3" s="120"/>
      <c r="MLZ3" s="120"/>
      <c r="MMA3" s="120"/>
      <c r="MMB3" s="120"/>
      <c r="MMC3" s="120"/>
      <c r="MMD3" s="120"/>
      <c r="MME3" s="120"/>
      <c r="MMF3" s="120"/>
      <c r="MMG3" s="120"/>
      <c r="MMH3" s="120"/>
      <c r="MMI3" s="120"/>
      <c r="MMJ3" s="120"/>
      <c r="MMK3" s="120"/>
      <c r="MML3" s="120"/>
      <c r="MMM3" s="120"/>
      <c r="MMN3" s="120"/>
      <c r="MMO3" s="120"/>
      <c r="MMP3" s="120"/>
      <c r="MMQ3" s="120"/>
      <c r="MMR3" s="120"/>
      <c r="MMS3" s="120"/>
      <c r="MMT3" s="120"/>
      <c r="MMU3" s="120"/>
      <c r="MMV3" s="120"/>
      <c r="MMW3" s="120"/>
      <c r="MMX3" s="120"/>
      <c r="MMY3" s="120"/>
      <c r="MMZ3" s="120"/>
      <c r="MNA3" s="120"/>
      <c r="MNB3" s="120"/>
      <c r="MNC3" s="120"/>
      <c r="MND3" s="120"/>
      <c r="MNE3" s="120"/>
      <c r="MNF3" s="120"/>
      <c r="MNG3" s="120"/>
      <c r="MNH3" s="120"/>
      <c r="MNI3" s="120"/>
      <c r="MNJ3" s="120"/>
      <c r="MNK3" s="120"/>
      <c r="MNL3" s="120"/>
      <c r="MNM3" s="120"/>
      <c r="MNN3" s="120"/>
      <c r="MNO3" s="120"/>
      <c r="MNP3" s="120"/>
      <c r="MNQ3" s="120"/>
      <c r="MNR3" s="120"/>
      <c r="MNS3" s="120"/>
      <c r="MNT3" s="120"/>
      <c r="MNU3" s="120"/>
      <c r="MNV3" s="120"/>
      <c r="MNW3" s="120"/>
      <c r="MNX3" s="120"/>
      <c r="MNY3" s="120"/>
      <c r="MNZ3" s="120"/>
      <c r="MOA3" s="120"/>
      <c r="MOB3" s="120"/>
      <c r="MOC3" s="120"/>
      <c r="MOD3" s="120"/>
      <c r="MOE3" s="120"/>
      <c r="MOF3" s="120"/>
      <c r="MOG3" s="120"/>
      <c r="MOH3" s="120"/>
      <c r="MOI3" s="120"/>
      <c r="MOJ3" s="120"/>
      <c r="MOK3" s="120"/>
      <c r="MOL3" s="120"/>
      <c r="MOM3" s="120"/>
      <c r="MON3" s="120"/>
      <c r="MOO3" s="120"/>
      <c r="MOP3" s="120"/>
      <c r="MOQ3" s="120"/>
      <c r="MOR3" s="120"/>
      <c r="MOS3" s="120"/>
      <c r="MOT3" s="120"/>
      <c r="MOU3" s="120"/>
      <c r="MOV3" s="120"/>
      <c r="MOW3" s="120"/>
      <c r="MOX3" s="120"/>
      <c r="MOY3" s="120"/>
      <c r="MOZ3" s="120"/>
      <c r="MPA3" s="120"/>
      <c r="MPB3" s="120"/>
      <c r="MPC3" s="120"/>
      <c r="MPD3" s="120"/>
      <c r="MPE3" s="120"/>
      <c r="MPF3" s="120"/>
      <c r="MPG3" s="120"/>
      <c r="MPH3" s="120"/>
      <c r="MPI3" s="120"/>
      <c r="MPJ3" s="120"/>
      <c r="MPK3" s="120"/>
      <c r="MPL3" s="120"/>
      <c r="MPM3" s="120"/>
      <c r="MPN3" s="120"/>
      <c r="MPO3" s="120"/>
      <c r="MPP3" s="120"/>
      <c r="MPQ3" s="120"/>
      <c r="MPR3" s="120"/>
      <c r="MPS3" s="120"/>
      <c r="MPT3" s="120"/>
      <c r="MPU3" s="120"/>
      <c r="MPV3" s="120"/>
      <c r="MPW3" s="120"/>
      <c r="MPX3" s="120"/>
      <c r="MPY3" s="120"/>
      <c r="MPZ3" s="120"/>
      <c r="MQA3" s="120"/>
      <c r="MQB3" s="120"/>
      <c r="MQC3" s="120"/>
      <c r="MQD3" s="120"/>
      <c r="MQE3" s="120"/>
      <c r="MQF3" s="120"/>
      <c r="MQG3" s="120"/>
      <c r="MQH3" s="120"/>
      <c r="MQI3" s="120"/>
      <c r="MQJ3" s="120"/>
      <c r="MQK3" s="120"/>
      <c r="MQL3" s="120"/>
      <c r="MQM3" s="120"/>
      <c r="MQN3" s="120"/>
      <c r="MQO3" s="120"/>
      <c r="MQP3" s="120"/>
      <c r="MQQ3" s="120"/>
      <c r="MQR3" s="120"/>
      <c r="MQS3" s="120"/>
      <c r="MQT3" s="120"/>
      <c r="MQU3" s="120"/>
      <c r="MQV3" s="120"/>
      <c r="MQW3" s="120"/>
      <c r="MQX3" s="120"/>
      <c r="MQY3" s="120"/>
      <c r="MQZ3" s="120"/>
      <c r="MRA3" s="120"/>
      <c r="MRB3" s="120"/>
      <c r="MRC3" s="120"/>
      <c r="MRD3" s="120"/>
      <c r="MRE3" s="120"/>
      <c r="MRF3" s="120"/>
      <c r="MRG3" s="120"/>
      <c r="MRH3" s="120"/>
      <c r="MRI3" s="120"/>
      <c r="MRJ3" s="120"/>
      <c r="MRK3" s="120"/>
      <c r="MRL3" s="120"/>
      <c r="MRM3" s="120"/>
      <c r="MRN3" s="120"/>
      <c r="MRO3" s="120"/>
      <c r="MRP3" s="120"/>
      <c r="MRQ3" s="120"/>
      <c r="MRR3" s="120"/>
      <c r="MRS3" s="120"/>
      <c r="MRT3" s="120"/>
      <c r="MRU3" s="120"/>
      <c r="MRV3" s="120"/>
      <c r="MRW3" s="120"/>
      <c r="MRX3" s="120"/>
      <c r="MRY3" s="120"/>
      <c r="MRZ3" s="120"/>
      <c r="MSA3" s="120"/>
      <c r="MSB3" s="120"/>
      <c r="MSC3" s="120"/>
      <c r="MSD3" s="120"/>
      <c r="MSE3" s="120"/>
      <c r="MSF3" s="120"/>
      <c r="MSG3" s="120"/>
      <c r="MSH3" s="120"/>
      <c r="MSI3" s="120"/>
      <c r="MSJ3" s="120"/>
      <c r="MSK3" s="120"/>
      <c r="MSL3" s="120"/>
      <c r="MSM3" s="120"/>
      <c r="MSN3" s="120"/>
      <c r="MSO3" s="120"/>
      <c r="MSP3" s="120"/>
      <c r="MSQ3" s="120"/>
      <c r="MSR3" s="120"/>
      <c r="MSS3" s="120"/>
      <c r="MST3" s="120"/>
      <c r="MSU3" s="120"/>
      <c r="MSV3" s="120"/>
      <c r="MSW3" s="120"/>
      <c r="MSX3" s="120"/>
      <c r="MSY3" s="120"/>
      <c r="MSZ3" s="120"/>
      <c r="MTA3" s="120"/>
      <c r="MTB3" s="120"/>
      <c r="MTC3" s="120"/>
      <c r="MTD3" s="120"/>
      <c r="MTE3" s="120"/>
      <c r="MTF3" s="120"/>
      <c r="MTG3" s="120"/>
      <c r="MTH3" s="120"/>
      <c r="MTI3" s="120"/>
      <c r="MTJ3" s="120"/>
      <c r="MTK3" s="120"/>
      <c r="MTL3" s="120"/>
      <c r="MTM3" s="120"/>
      <c r="MTN3" s="120"/>
      <c r="MTO3" s="120"/>
      <c r="MTP3" s="120"/>
      <c r="MTQ3" s="120"/>
      <c r="MTR3" s="120"/>
      <c r="MTS3" s="120"/>
      <c r="MTT3" s="120"/>
      <c r="MTU3" s="120"/>
      <c r="MTV3" s="120"/>
      <c r="MTW3" s="120"/>
      <c r="MTX3" s="120"/>
      <c r="MTY3" s="120"/>
      <c r="MTZ3" s="120"/>
      <c r="MUA3" s="120"/>
      <c r="MUB3" s="120"/>
      <c r="MUC3" s="120"/>
      <c r="MUD3" s="120"/>
      <c r="MUE3" s="120"/>
      <c r="MUF3" s="120"/>
      <c r="MUG3" s="120"/>
      <c r="MUH3" s="120"/>
      <c r="MUI3" s="120"/>
      <c r="MUJ3" s="120"/>
      <c r="MUK3" s="120"/>
      <c r="MUL3" s="120"/>
      <c r="MUM3" s="120"/>
      <c r="MUN3" s="120"/>
      <c r="MUO3" s="120"/>
      <c r="MUP3" s="120"/>
      <c r="MUQ3" s="120"/>
      <c r="MUR3" s="120"/>
      <c r="MUS3" s="120"/>
      <c r="MUT3" s="120"/>
      <c r="MUU3" s="120"/>
      <c r="MUV3" s="120"/>
      <c r="MUW3" s="120"/>
      <c r="MUX3" s="120"/>
      <c r="MUY3" s="120"/>
      <c r="MUZ3" s="120"/>
      <c r="MVA3" s="120"/>
      <c r="MVB3" s="120"/>
      <c r="MVC3" s="120"/>
      <c r="MVD3" s="120"/>
      <c r="MVE3" s="120"/>
      <c r="MVF3" s="120"/>
      <c r="MVG3" s="120"/>
      <c r="MVH3" s="120"/>
      <c r="MVI3" s="120"/>
      <c r="MVJ3" s="120"/>
      <c r="MVK3" s="120"/>
      <c r="MVL3" s="120"/>
      <c r="MVM3" s="120"/>
      <c r="MVN3" s="120"/>
      <c r="MVO3" s="120"/>
      <c r="MVP3" s="120"/>
      <c r="MVQ3" s="120"/>
      <c r="MVR3" s="120"/>
      <c r="MVS3" s="120"/>
      <c r="MVT3" s="120"/>
      <c r="MVU3" s="120"/>
      <c r="MVV3" s="120"/>
      <c r="MVW3" s="120"/>
      <c r="MVX3" s="120"/>
      <c r="MVY3" s="120"/>
      <c r="MVZ3" s="120"/>
      <c r="MWA3" s="120"/>
      <c r="MWB3" s="120"/>
      <c r="MWC3" s="120"/>
      <c r="MWD3" s="120"/>
      <c r="MWE3" s="120"/>
      <c r="MWF3" s="120"/>
      <c r="MWG3" s="120"/>
      <c r="MWH3" s="120"/>
      <c r="MWI3" s="120"/>
      <c r="MWJ3" s="120"/>
      <c r="MWK3" s="120"/>
      <c r="MWL3" s="120"/>
      <c r="MWM3" s="120"/>
      <c r="MWN3" s="120"/>
      <c r="MWO3" s="120"/>
      <c r="MWP3" s="120"/>
      <c r="MWQ3" s="120"/>
      <c r="MWR3" s="120"/>
      <c r="MWS3" s="120"/>
      <c r="MWT3" s="120"/>
      <c r="MWU3" s="120"/>
      <c r="MWV3" s="120"/>
      <c r="MWW3" s="120"/>
      <c r="MWX3" s="120"/>
      <c r="MWY3" s="120"/>
      <c r="MWZ3" s="120"/>
      <c r="MXA3" s="120"/>
      <c r="MXB3" s="120"/>
      <c r="MXC3" s="120"/>
      <c r="MXD3" s="120"/>
      <c r="MXE3" s="120"/>
      <c r="MXF3" s="120"/>
      <c r="MXG3" s="120"/>
      <c r="MXH3" s="120"/>
      <c r="MXI3" s="120"/>
      <c r="MXJ3" s="120"/>
      <c r="MXK3" s="120"/>
      <c r="MXL3" s="120"/>
      <c r="MXM3" s="120"/>
      <c r="MXN3" s="120"/>
      <c r="MXO3" s="120"/>
      <c r="MXP3" s="120"/>
      <c r="MXQ3" s="120"/>
      <c r="MXR3" s="120"/>
      <c r="MXS3" s="120"/>
      <c r="MXT3" s="120"/>
      <c r="MXU3" s="120"/>
      <c r="MXV3" s="120"/>
      <c r="MXW3" s="120"/>
      <c r="MXX3" s="120"/>
      <c r="MXY3" s="120"/>
      <c r="MXZ3" s="120"/>
      <c r="MYA3" s="120"/>
      <c r="MYB3" s="120"/>
      <c r="MYC3" s="120"/>
      <c r="MYD3" s="120"/>
      <c r="MYE3" s="120"/>
      <c r="MYF3" s="120"/>
      <c r="MYG3" s="120"/>
      <c r="MYH3" s="120"/>
      <c r="MYI3" s="120"/>
      <c r="MYJ3" s="120"/>
      <c r="MYK3" s="120"/>
      <c r="MYL3" s="120"/>
      <c r="MYM3" s="120"/>
      <c r="MYN3" s="120"/>
      <c r="MYO3" s="120"/>
      <c r="MYP3" s="120"/>
      <c r="MYQ3" s="120"/>
      <c r="MYR3" s="120"/>
      <c r="MYS3" s="120"/>
      <c r="MYT3" s="120"/>
      <c r="MYU3" s="120"/>
      <c r="MYV3" s="120"/>
      <c r="MYW3" s="120"/>
      <c r="MYX3" s="120"/>
      <c r="MYY3" s="120"/>
      <c r="MYZ3" s="120"/>
      <c r="MZA3" s="120"/>
      <c r="MZB3" s="120"/>
      <c r="MZC3" s="120"/>
      <c r="MZD3" s="120"/>
      <c r="MZE3" s="120"/>
      <c r="MZF3" s="120"/>
      <c r="MZG3" s="120"/>
      <c r="MZH3" s="120"/>
      <c r="MZI3" s="120"/>
      <c r="MZJ3" s="120"/>
      <c r="MZK3" s="120"/>
      <c r="MZL3" s="120"/>
      <c r="MZM3" s="120"/>
      <c r="MZN3" s="120"/>
      <c r="MZO3" s="120"/>
      <c r="MZP3" s="120"/>
      <c r="MZQ3" s="120"/>
      <c r="MZR3" s="120"/>
      <c r="MZS3" s="120"/>
      <c r="MZT3" s="120"/>
      <c r="MZU3" s="120"/>
      <c r="MZV3" s="120"/>
      <c r="MZW3" s="120"/>
      <c r="MZX3" s="120"/>
      <c r="MZY3" s="120"/>
      <c r="MZZ3" s="120"/>
      <c r="NAA3" s="120"/>
      <c r="NAB3" s="120"/>
      <c r="NAC3" s="120"/>
      <c r="NAD3" s="120"/>
      <c r="NAE3" s="120"/>
      <c r="NAF3" s="120"/>
      <c r="NAG3" s="120"/>
      <c r="NAH3" s="120"/>
      <c r="NAI3" s="120"/>
      <c r="NAJ3" s="120"/>
      <c r="NAK3" s="120"/>
      <c r="NAL3" s="120"/>
      <c r="NAM3" s="120"/>
      <c r="NAN3" s="120"/>
      <c r="NAO3" s="120"/>
      <c r="NAP3" s="120"/>
      <c r="NAQ3" s="120"/>
      <c r="NAR3" s="120"/>
      <c r="NAS3" s="120"/>
      <c r="NAT3" s="120"/>
      <c r="NAU3" s="120"/>
      <c r="NAV3" s="120"/>
      <c r="NAW3" s="120"/>
      <c r="NAX3" s="120"/>
      <c r="NAY3" s="120"/>
      <c r="NAZ3" s="120"/>
      <c r="NBA3" s="120"/>
      <c r="NBB3" s="120"/>
      <c r="NBC3" s="120"/>
      <c r="NBD3" s="120"/>
      <c r="NBE3" s="120"/>
      <c r="NBF3" s="120"/>
      <c r="NBG3" s="120"/>
      <c r="NBH3" s="120"/>
      <c r="NBI3" s="120"/>
      <c r="NBJ3" s="120"/>
      <c r="NBK3" s="120"/>
      <c r="NBL3" s="120"/>
      <c r="NBM3" s="120"/>
      <c r="NBN3" s="120"/>
      <c r="NBO3" s="120"/>
      <c r="NBP3" s="120"/>
      <c r="NBQ3" s="120"/>
      <c r="NBR3" s="120"/>
      <c r="NBS3" s="120"/>
      <c r="NBT3" s="120"/>
      <c r="NBU3" s="120"/>
      <c r="NBV3" s="120"/>
      <c r="NBW3" s="120"/>
      <c r="NBX3" s="120"/>
      <c r="NBY3" s="120"/>
      <c r="NBZ3" s="120"/>
      <c r="NCA3" s="120"/>
      <c r="NCB3" s="120"/>
      <c r="NCC3" s="120"/>
      <c r="NCD3" s="120"/>
      <c r="NCE3" s="120"/>
      <c r="NCF3" s="120"/>
      <c r="NCG3" s="120"/>
      <c r="NCH3" s="120"/>
      <c r="NCI3" s="120"/>
      <c r="NCJ3" s="120"/>
      <c r="NCK3" s="120"/>
      <c r="NCL3" s="120"/>
      <c r="NCM3" s="120"/>
      <c r="NCN3" s="120"/>
      <c r="NCO3" s="120"/>
      <c r="NCP3" s="120"/>
      <c r="NCQ3" s="120"/>
      <c r="NCR3" s="120"/>
      <c r="NCS3" s="120"/>
      <c r="NCT3" s="120"/>
      <c r="NCU3" s="120"/>
      <c r="NCV3" s="120"/>
      <c r="NCW3" s="120"/>
      <c r="NCX3" s="120"/>
      <c r="NCY3" s="120"/>
      <c r="NCZ3" s="120"/>
      <c r="NDA3" s="120"/>
      <c r="NDB3" s="120"/>
      <c r="NDC3" s="120"/>
      <c r="NDD3" s="120"/>
      <c r="NDE3" s="120"/>
      <c r="NDF3" s="120"/>
      <c r="NDG3" s="120"/>
      <c r="NDH3" s="120"/>
      <c r="NDI3" s="120"/>
      <c r="NDJ3" s="120"/>
      <c r="NDK3" s="120"/>
      <c r="NDL3" s="120"/>
      <c r="NDM3" s="120"/>
      <c r="NDN3" s="120"/>
      <c r="NDO3" s="120"/>
      <c r="NDP3" s="120"/>
      <c r="NDQ3" s="120"/>
      <c r="NDR3" s="120"/>
      <c r="NDS3" s="120"/>
      <c r="NDT3" s="120"/>
      <c r="NDU3" s="120"/>
      <c r="NDV3" s="120"/>
      <c r="NDW3" s="120"/>
      <c r="NDX3" s="120"/>
      <c r="NDY3" s="120"/>
      <c r="NDZ3" s="120"/>
      <c r="NEA3" s="120"/>
      <c r="NEB3" s="120"/>
      <c r="NEC3" s="120"/>
      <c r="NED3" s="120"/>
      <c r="NEE3" s="120"/>
      <c r="NEF3" s="120"/>
      <c r="NEG3" s="120"/>
      <c r="NEH3" s="120"/>
      <c r="NEI3" s="120"/>
      <c r="NEJ3" s="120"/>
      <c r="NEK3" s="120"/>
      <c r="NEL3" s="120"/>
      <c r="NEM3" s="120"/>
      <c r="NEN3" s="120"/>
      <c r="NEO3" s="120"/>
      <c r="NEP3" s="120"/>
      <c r="NEQ3" s="120"/>
      <c r="NER3" s="120"/>
      <c r="NES3" s="120"/>
      <c r="NET3" s="120"/>
      <c r="NEU3" s="120"/>
      <c r="NEV3" s="120"/>
      <c r="NEW3" s="120"/>
      <c r="NEX3" s="120"/>
      <c r="NEY3" s="120"/>
      <c r="NEZ3" s="120"/>
      <c r="NFA3" s="120"/>
      <c r="NFB3" s="120"/>
      <c r="NFC3" s="120"/>
      <c r="NFD3" s="120"/>
      <c r="NFE3" s="120"/>
      <c r="NFF3" s="120"/>
      <c r="NFG3" s="120"/>
      <c r="NFH3" s="120"/>
      <c r="NFI3" s="120"/>
      <c r="NFJ3" s="120"/>
      <c r="NFK3" s="120"/>
      <c r="NFL3" s="120"/>
      <c r="NFM3" s="120"/>
      <c r="NFN3" s="120"/>
      <c r="NFO3" s="120"/>
      <c r="NFP3" s="120"/>
      <c r="NFQ3" s="120"/>
      <c r="NFR3" s="120"/>
      <c r="NFS3" s="120"/>
      <c r="NFT3" s="120"/>
      <c r="NFU3" s="120"/>
      <c r="NFV3" s="120"/>
      <c r="NFW3" s="120"/>
      <c r="NFX3" s="120"/>
      <c r="NFY3" s="120"/>
      <c r="NFZ3" s="120"/>
      <c r="NGA3" s="120"/>
      <c r="NGB3" s="120"/>
      <c r="NGC3" s="120"/>
      <c r="NGD3" s="120"/>
      <c r="NGE3" s="120"/>
      <c r="NGF3" s="120"/>
      <c r="NGG3" s="120"/>
      <c r="NGH3" s="120"/>
      <c r="NGI3" s="120"/>
      <c r="NGJ3" s="120"/>
      <c r="NGK3" s="120"/>
      <c r="NGL3" s="120"/>
      <c r="NGM3" s="120"/>
      <c r="NGN3" s="120"/>
      <c r="NGO3" s="120"/>
      <c r="NGP3" s="120"/>
      <c r="NGQ3" s="120"/>
      <c r="NGR3" s="120"/>
      <c r="NGS3" s="120"/>
      <c r="NGT3" s="120"/>
      <c r="NGU3" s="120"/>
      <c r="NGV3" s="120"/>
      <c r="NGW3" s="120"/>
      <c r="NGX3" s="120"/>
      <c r="NGY3" s="120"/>
      <c r="NGZ3" s="120"/>
      <c r="NHA3" s="120"/>
      <c r="NHB3" s="120"/>
      <c r="NHC3" s="120"/>
      <c r="NHD3" s="120"/>
      <c r="NHE3" s="120"/>
      <c r="NHF3" s="120"/>
      <c r="NHG3" s="120"/>
      <c r="NHH3" s="120"/>
      <c r="NHI3" s="120"/>
      <c r="NHJ3" s="120"/>
      <c r="NHK3" s="120"/>
      <c r="NHL3" s="120"/>
      <c r="NHM3" s="120"/>
      <c r="NHN3" s="120"/>
      <c r="NHO3" s="120"/>
      <c r="NHP3" s="120"/>
      <c r="NHQ3" s="120"/>
      <c r="NHR3" s="120"/>
      <c r="NHS3" s="120"/>
      <c r="NHT3" s="120"/>
      <c r="NHU3" s="120"/>
      <c r="NHV3" s="120"/>
      <c r="NHW3" s="120"/>
      <c r="NHX3" s="120"/>
      <c r="NHY3" s="120"/>
      <c r="NHZ3" s="120"/>
      <c r="NIA3" s="120"/>
      <c r="NIB3" s="120"/>
      <c r="NIC3" s="120"/>
      <c r="NID3" s="120"/>
      <c r="NIE3" s="120"/>
      <c r="NIF3" s="120"/>
      <c r="NIG3" s="120"/>
      <c r="NIH3" s="120"/>
      <c r="NII3" s="120"/>
      <c r="NIJ3" s="120"/>
      <c r="NIK3" s="120"/>
      <c r="NIL3" s="120"/>
      <c r="NIM3" s="120"/>
      <c r="NIN3" s="120"/>
      <c r="NIO3" s="120"/>
      <c r="NIP3" s="120"/>
      <c r="NIQ3" s="120"/>
      <c r="NIR3" s="120"/>
      <c r="NIS3" s="120"/>
      <c r="NIT3" s="120"/>
      <c r="NIU3" s="120"/>
      <c r="NIV3" s="120"/>
      <c r="NIW3" s="120"/>
      <c r="NIX3" s="120"/>
      <c r="NIY3" s="120"/>
      <c r="NIZ3" s="120"/>
      <c r="NJA3" s="120"/>
      <c r="NJB3" s="120"/>
      <c r="NJC3" s="120"/>
      <c r="NJD3" s="120"/>
      <c r="NJE3" s="120"/>
      <c r="NJF3" s="120"/>
      <c r="NJG3" s="120"/>
      <c r="NJH3" s="120"/>
      <c r="NJI3" s="120"/>
      <c r="NJJ3" s="120"/>
      <c r="NJK3" s="120"/>
      <c r="NJL3" s="120"/>
      <c r="NJM3" s="120"/>
      <c r="NJN3" s="120"/>
      <c r="NJO3" s="120"/>
      <c r="NJP3" s="120"/>
      <c r="NJQ3" s="120"/>
      <c r="NJR3" s="120"/>
      <c r="NJS3" s="120"/>
      <c r="NJT3" s="120"/>
      <c r="NJU3" s="120"/>
      <c r="NJV3" s="120"/>
      <c r="NJW3" s="120"/>
      <c r="NJX3" s="120"/>
      <c r="NJY3" s="120"/>
      <c r="NJZ3" s="120"/>
      <c r="NKA3" s="120"/>
      <c r="NKB3" s="120"/>
      <c r="NKC3" s="120"/>
      <c r="NKD3" s="120"/>
      <c r="NKE3" s="120"/>
      <c r="NKF3" s="120"/>
      <c r="NKG3" s="120"/>
      <c r="NKH3" s="120"/>
      <c r="NKI3" s="120"/>
      <c r="NKJ3" s="120"/>
      <c r="NKK3" s="120"/>
      <c r="NKL3" s="120"/>
      <c r="NKM3" s="120"/>
      <c r="NKN3" s="120"/>
      <c r="NKO3" s="120"/>
      <c r="NKP3" s="120"/>
      <c r="NKQ3" s="120"/>
      <c r="NKR3" s="120"/>
      <c r="NKS3" s="120"/>
      <c r="NKT3" s="120"/>
      <c r="NKU3" s="120"/>
      <c r="NKV3" s="120"/>
      <c r="NKW3" s="120"/>
      <c r="NKX3" s="120"/>
      <c r="NKY3" s="120"/>
      <c r="NKZ3" s="120"/>
      <c r="NLA3" s="120"/>
      <c r="NLB3" s="120"/>
      <c r="NLC3" s="120"/>
      <c r="NLD3" s="120"/>
      <c r="NLE3" s="120"/>
      <c r="NLF3" s="120"/>
      <c r="NLG3" s="120"/>
      <c r="NLH3" s="120"/>
      <c r="NLI3" s="120"/>
      <c r="NLJ3" s="120"/>
      <c r="NLK3" s="120"/>
      <c r="NLL3" s="120"/>
      <c r="NLM3" s="120"/>
      <c r="NLN3" s="120"/>
      <c r="NLO3" s="120"/>
      <c r="NLP3" s="120"/>
      <c r="NLQ3" s="120"/>
      <c r="NLR3" s="120"/>
      <c r="NLS3" s="120"/>
      <c r="NLT3" s="120"/>
      <c r="NLU3" s="120"/>
      <c r="NLV3" s="120"/>
      <c r="NLW3" s="120"/>
      <c r="NLX3" s="120"/>
      <c r="NLY3" s="120"/>
      <c r="NLZ3" s="120"/>
      <c r="NMA3" s="120"/>
      <c r="NMB3" s="120"/>
      <c r="NMC3" s="120"/>
      <c r="NMD3" s="120"/>
      <c r="NME3" s="120"/>
      <c r="NMF3" s="120"/>
      <c r="NMG3" s="120"/>
      <c r="NMH3" s="120"/>
      <c r="NMI3" s="120"/>
      <c r="NMJ3" s="120"/>
      <c r="NMK3" s="120"/>
      <c r="NML3" s="120"/>
      <c r="NMM3" s="120"/>
      <c r="NMN3" s="120"/>
      <c r="NMO3" s="120"/>
      <c r="NMP3" s="120"/>
      <c r="NMQ3" s="120"/>
      <c r="NMR3" s="120"/>
      <c r="NMS3" s="120"/>
      <c r="NMT3" s="120"/>
      <c r="NMU3" s="120"/>
      <c r="NMV3" s="120"/>
      <c r="NMW3" s="120"/>
      <c r="NMX3" s="120"/>
      <c r="NMY3" s="120"/>
      <c r="NMZ3" s="120"/>
      <c r="NNA3" s="120"/>
      <c r="NNB3" s="120"/>
      <c r="NNC3" s="120"/>
      <c r="NND3" s="120"/>
      <c r="NNE3" s="120"/>
      <c r="NNF3" s="120"/>
      <c r="NNG3" s="120"/>
      <c r="NNH3" s="120"/>
      <c r="NNI3" s="120"/>
      <c r="NNJ3" s="120"/>
      <c r="NNK3" s="120"/>
      <c r="NNL3" s="120"/>
      <c r="NNM3" s="120"/>
      <c r="NNN3" s="120"/>
      <c r="NNO3" s="120"/>
      <c r="NNP3" s="120"/>
      <c r="NNQ3" s="120"/>
      <c r="NNR3" s="120"/>
      <c r="NNS3" s="120"/>
      <c r="NNT3" s="120"/>
      <c r="NNU3" s="120"/>
      <c r="NNV3" s="120"/>
      <c r="NNW3" s="120"/>
      <c r="NNX3" s="120"/>
      <c r="NNY3" s="120"/>
      <c r="NNZ3" s="120"/>
      <c r="NOA3" s="120"/>
      <c r="NOB3" s="120"/>
      <c r="NOC3" s="120"/>
      <c r="NOD3" s="120"/>
      <c r="NOE3" s="120"/>
      <c r="NOF3" s="120"/>
      <c r="NOG3" s="120"/>
      <c r="NOH3" s="120"/>
      <c r="NOI3" s="120"/>
      <c r="NOJ3" s="120"/>
      <c r="NOK3" s="120"/>
      <c r="NOL3" s="120"/>
      <c r="NOM3" s="120"/>
      <c r="NON3" s="120"/>
      <c r="NOO3" s="120"/>
      <c r="NOP3" s="120"/>
      <c r="NOQ3" s="120"/>
      <c r="NOR3" s="120"/>
      <c r="NOS3" s="120"/>
      <c r="NOT3" s="120"/>
      <c r="NOU3" s="120"/>
      <c r="NOV3" s="120"/>
      <c r="NOW3" s="120"/>
      <c r="NOX3" s="120"/>
      <c r="NOY3" s="120"/>
      <c r="NOZ3" s="120"/>
      <c r="NPA3" s="120"/>
      <c r="NPB3" s="120"/>
      <c r="NPC3" s="120"/>
      <c r="NPD3" s="120"/>
      <c r="NPE3" s="120"/>
      <c r="NPF3" s="120"/>
      <c r="NPG3" s="120"/>
      <c r="NPH3" s="120"/>
      <c r="NPI3" s="120"/>
      <c r="NPJ3" s="120"/>
      <c r="NPK3" s="120"/>
      <c r="NPL3" s="120"/>
      <c r="NPM3" s="120"/>
      <c r="NPN3" s="120"/>
      <c r="NPO3" s="120"/>
      <c r="NPP3" s="120"/>
      <c r="NPQ3" s="120"/>
      <c r="NPR3" s="120"/>
      <c r="NPS3" s="120"/>
      <c r="NPT3" s="120"/>
      <c r="NPU3" s="120"/>
      <c r="NPV3" s="120"/>
      <c r="NPW3" s="120"/>
      <c r="NPX3" s="120"/>
      <c r="NPY3" s="120"/>
      <c r="NPZ3" s="120"/>
      <c r="NQA3" s="120"/>
      <c r="NQB3" s="120"/>
      <c r="NQC3" s="120"/>
      <c r="NQD3" s="120"/>
      <c r="NQE3" s="120"/>
      <c r="NQF3" s="120"/>
      <c r="NQG3" s="120"/>
      <c r="NQH3" s="120"/>
      <c r="NQI3" s="120"/>
      <c r="NQJ3" s="120"/>
      <c r="NQK3" s="120"/>
      <c r="NQL3" s="120"/>
      <c r="NQM3" s="120"/>
      <c r="NQN3" s="120"/>
      <c r="NQO3" s="120"/>
      <c r="NQP3" s="120"/>
      <c r="NQQ3" s="120"/>
      <c r="NQR3" s="120"/>
      <c r="NQS3" s="120"/>
      <c r="NQT3" s="120"/>
      <c r="NQU3" s="120"/>
      <c r="NQV3" s="120"/>
      <c r="NQW3" s="120"/>
      <c r="NQX3" s="120"/>
      <c r="NQY3" s="120"/>
      <c r="NQZ3" s="120"/>
      <c r="NRA3" s="120"/>
      <c r="NRB3" s="120"/>
      <c r="NRC3" s="120"/>
      <c r="NRD3" s="120"/>
      <c r="NRE3" s="120"/>
      <c r="NRF3" s="120"/>
      <c r="NRG3" s="120"/>
      <c r="NRH3" s="120"/>
      <c r="NRI3" s="120"/>
      <c r="NRJ3" s="120"/>
      <c r="NRK3" s="120"/>
      <c r="NRL3" s="120"/>
      <c r="NRM3" s="120"/>
      <c r="NRN3" s="120"/>
      <c r="NRO3" s="120"/>
      <c r="NRP3" s="120"/>
      <c r="NRQ3" s="120"/>
      <c r="NRR3" s="120"/>
      <c r="NRS3" s="120"/>
      <c r="NRT3" s="120"/>
      <c r="NRU3" s="120"/>
      <c r="NRV3" s="120"/>
      <c r="NRW3" s="120"/>
      <c r="NRX3" s="120"/>
      <c r="NRY3" s="120"/>
      <c r="NRZ3" s="120"/>
      <c r="NSA3" s="120"/>
      <c r="NSB3" s="120"/>
      <c r="NSC3" s="120"/>
      <c r="NSD3" s="120"/>
      <c r="NSE3" s="120"/>
      <c r="NSF3" s="120"/>
      <c r="NSG3" s="120"/>
      <c r="NSH3" s="120"/>
      <c r="NSI3" s="120"/>
      <c r="NSJ3" s="120"/>
      <c r="NSK3" s="120"/>
      <c r="NSL3" s="120"/>
      <c r="NSM3" s="120"/>
      <c r="NSN3" s="120"/>
      <c r="NSO3" s="120"/>
      <c r="NSP3" s="120"/>
      <c r="NSQ3" s="120"/>
      <c r="NSR3" s="120"/>
      <c r="NSS3" s="120"/>
      <c r="NST3" s="120"/>
      <c r="NSU3" s="120"/>
      <c r="NSV3" s="120"/>
      <c r="NSW3" s="120"/>
      <c r="NSX3" s="120"/>
      <c r="NSY3" s="120"/>
      <c r="NSZ3" s="120"/>
      <c r="NTA3" s="120"/>
      <c r="NTB3" s="120"/>
      <c r="NTC3" s="120"/>
      <c r="NTD3" s="120"/>
      <c r="NTE3" s="120"/>
      <c r="NTF3" s="120"/>
      <c r="NTG3" s="120"/>
      <c r="NTH3" s="120"/>
      <c r="NTI3" s="120"/>
      <c r="NTJ3" s="120"/>
      <c r="NTK3" s="120"/>
      <c r="NTL3" s="120"/>
      <c r="NTM3" s="120"/>
      <c r="NTN3" s="120"/>
      <c r="NTO3" s="120"/>
      <c r="NTP3" s="120"/>
      <c r="NTQ3" s="120"/>
      <c r="NTR3" s="120"/>
      <c r="NTS3" s="120"/>
      <c r="NTT3" s="120"/>
      <c r="NTU3" s="120"/>
      <c r="NTV3" s="120"/>
      <c r="NTW3" s="120"/>
      <c r="NTX3" s="120"/>
      <c r="NTY3" s="120"/>
      <c r="NTZ3" s="120"/>
      <c r="NUA3" s="120"/>
      <c r="NUB3" s="120"/>
      <c r="NUC3" s="120"/>
      <c r="NUD3" s="120"/>
      <c r="NUE3" s="120"/>
      <c r="NUF3" s="120"/>
      <c r="NUG3" s="120"/>
      <c r="NUH3" s="120"/>
      <c r="NUI3" s="120"/>
      <c r="NUJ3" s="120"/>
      <c r="NUK3" s="120"/>
      <c r="NUL3" s="120"/>
      <c r="NUM3" s="120"/>
      <c r="NUN3" s="120"/>
      <c r="NUO3" s="120"/>
      <c r="NUP3" s="120"/>
      <c r="NUQ3" s="120"/>
      <c r="NUR3" s="120"/>
      <c r="NUS3" s="120"/>
      <c r="NUT3" s="120"/>
      <c r="NUU3" s="120"/>
      <c r="NUV3" s="120"/>
      <c r="NUW3" s="120"/>
      <c r="NUX3" s="120"/>
      <c r="NUY3" s="120"/>
      <c r="NUZ3" s="120"/>
      <c r="NVA3" s="120"/>
      <c r="NVB3" s="120"/>
      <c r="NVC3" s="120"/>
      <c r="NVD3" s="120"/>
      <c r="NVE3" s="120"/>
      <c r="NVF3" s="120"/>
      <c r="NVG3" s="120"/>
      <c r="NVH3" s="120"/>
      <c r="NVI3" s="120"/>
      <c r="NVJ3" s="120"/>
      <c r="NVK3" s="120"/>
      <c r="NVL3" s="120"/>
      <c r="NVM3" s="120"/>
      <c r="NVN3" s="120"/>
      <c r="NVO3" s="120"/>
      <c r="NVP3" s="120"/>
      <c r="NVQ3" s="120"/>
      <c r="NVR3" s="120"/>
      <c r="NVS3" s="120"/>
      <c r="NVT3" s="120"/>
      <c r="NVU3" s="120"/>
      <c r="NVV3" s="120"/>
      <c r="NVW3" s="120"/>
      <c r="NVX3" s="120"/>
      <c r="NVY3" s="120"/>
      <c r="NVZ3" s="120"/>
      <c r="NWA3" s="120"/>
      <c r="NWB3" s="120"/>
      <c r="NWC3" s="120"/>
      <c r="NWD3" s="120"/>
      <c r="NWE3" s="120"/>
      <c r="NWF3" s="120"/>
      <c r="NWG3" s="120"/>
      <c r="NWH3" s="120"/>
      <c r="NWI3" s="120"/>
      <c r="NWJ3" s="120"/>
      <c r="NWK3" s="120"/>
      <c r="NWL3" s="120"/>
      <c r="NWM3" s="120"/>
      <c r="NWN3" s="120"/>
      <c r="NWO3" s="120"/>
      <c r="NWP3" s="120"/>
      <c r="NWQ3" s="120"/>
      <c r="NWR3" s="120"/>
      <c r="NWS3" s="120"/>
      <c r="NWT3" s="120"/>
      <c r="NWU3" s="120"/>
      <c r="NWV3" s="120"/>
      <c r="NWW3" s="120"/>
      <c r="NWX3" s="120"/>
      <c r="NWY3" s="120"/>
      <c r="NWZ3" s="120"/>
      <c r="NXA3" s="120"/>
      <c r="NXB3" s="120"/>
      <c r="NXC3" s="120"/>
      <c r="NXD3" s="120"/>
      <c r="NXE3" s="120"/>
      <c r="NXF3" s="120"/>
      <c r="NXG3" s="120"/>
      <c r="NXH3" s="120"/>
      <c r="NXI3" s="120"/>
      <c r="NXJ3" s="120"/>
      <c r="NXK3" s="120"/>
      <c r="NXL3" s="120"/>
      <c r="NXM3" s="120"/>
      <c r="NXN3" s="120"/>
      <c r="NXO3" s="120"/>
      <c r="NXP3" s="120"/>
      <c r="NXQ3" s="120"/>
      <c r="NXR3" s="120"/>
      <c r="NXS3" s="120"/>
      <c r="NXT3" s="120"/>
      <c r="NXU3" s="120"/>
      <c r="NXV3" s="120"/>
      <c r="NXW3" s="120"/>
      <c r="NXX3" s="120"/>
      <c r="NXY3" s="120"/>
      <c r="NXZ3" s="120"/>
      <c r="NYA3" s="120"/>
      <c r="NYB3" s="120"/>
      <c r="NYC3" s="120"/>
      <c r="NYD3" s="120"/>
      <c r="NYE3" s="120"/>
      <c r="NYF3" s="120"/>
      <c r="NYG3" s="120"/>
      <c r="NYH3" s="120"/>
      <c r="NYI3" s="120"/>
      <c r="NYJ3" s="120"/>
      <c r="NYK3" s="120"/>
      <c r="NYL3" s="120"/>
      <c r="NYM3" s="120"/>
      <c r="NYN3" s="120"/>
      <c r="NYO3" s="120"/>
      <c r="NYP3" s="120"/>
      <c r="NYQ3" s="120"/>
      <c r="NYR3" s="120"/>
      <c r="NYS3" s="120"/>
      <c r="NYT3" s="120"/>
      <c r="NYU3" s="120"/>
      <c r="NYV3" s="120"/>
      <c r="NYW3" s="120"/>
      <c r="NYX3" s="120"/>
      <c r="NYY3" s="120"/>
      <c r="NYZ3" s="120"/>
      <c r="NZA3" s="120"/>
      <c r="NZB3" s="120"/>
      <c r="NZC3" s="120"/>
      <c r="NZD3" s="120"/>
      <c r="NZE3" s="120"/>
      <c r="NZF3" s="120"/>
      <c r="NZG3" s="120"/>
      <c r="NZH3" s="120"/>
      <c r="NZI3" s="120"/>
      <c r="NZJ3" s="120"/>
      <c r="NZK3" s="120"/>
      <c r="NZL3" s="120"/>
      <c r="NZM3" s="120"/>
      <c r="NZN3" s="120"/>
      <c r="NZO3" s="120"/>
      <c r="NZP3" s="120"/>
      <c r="NZQ3" s="120"/>
      <c r="NZR3" s="120"/>
      <c r="NZS3" s="120"/>
      <c r="NZT3" s="120"/>
      <c r="NZU3" s="120"/>
      <c r="NZV3" s="120"/>
      <c r="NZW3" s="120"/>
      <c r="NZX3" s="120"/>
      <c r="NZY3" s="120"/>
      <c r="NZZ3" s="120"/>
      <c r="OAA3" s="120"/>
      <c r="OAB3" s="120"/>
      <c r="OAC3" s="120"/>
      <c r="OAD3" s="120"/>
      <c r="OAE3" s="120"/>
      <c r="OAF3" s="120"/>
      <c r="OAG3" s="120"/>
      <c r="OAH3" s="120"/>
      <c r="OAI3" s="120"/>
      <c r="OAJ3" s="120"/>
      <c r="OAK3" s="120"/>
      <c r="OAL3" s="120"/>
      <c r="OAM3" s="120"/>
      <c r="OAN3" s="120"/>
      <c r="OAO3" s="120"/>
      <c r="OAP3" s="120"/>
      <c r="OAQ3" s="120"/>
      <c r="OAR3" s="120"/>
      <c r="OAS3" s="120"/>
      <c r="OAT3" s="120"/>
      <c r="OAU3" s="120"/>
      <c r="OAV3" s="120"/>
      <c r="OAW3" s="120"/>
      <c r="OAX3" s="120"/>
      <c r="OAY3" s="120"/>
      <c r="OAZ3" s="120"/>
      <c r="OBA3" s="120"/>
      <c r="OBB3" s="120"/>
      <c r="OBC3" s="120"/>
      <c r="OBD3" s="120"/>
      <c r="OBE3" s="120"/>
      <c r="OBF3" s="120"/>
      <c r="OBG3" s="120"/>
      <c r="OBH3" s="120"/>
      <c r="OBI3" s="120"/>
      <c r="OBJ3" s="120"/>
      <c r="OBK3" s="120"/>
      <c r="OBL3" s="120"/>
      <c r="OBM3" s="120"/>
      <c r="OBN3" s="120"/>
      <c r="OBO3" s="120"/>
      <c r="OBP3" s="120"/>
      <c r="OBQ3" s="120"/>
      <c r="OBR3" s="120"/>
      <c r="OBS3" s="120"/>
      <c r="OBT3" s="120"/>
      <c r="OBU3" s="120"/>
      <c r="OBV3" s="120"/>
      <c r="OBW3" s="120"/>
      <c r="OBX3" s="120"/>
      <c r="OBY3" s="120"/>
      <c r="OBZ3" s="120"/>
      <c r="OCA3" s="120"/>
      <c r="OCB3" s="120"/>
      <c r="OCC3" s="120"/>
      <c r="OCD3" s="120"/>
      <c r="OCE3" s="120"/>
      <c r="OCF3" s="120"/>
      <c r="OCG3" s="120"/>
      <c r="OCH3" s="120"/>
      <c r="OCI3" s="120"/>
      <c r="OCJ3" s="120"/>
      <c r="OCK3" s="120"/>
      <c r="OCL3" s="120"/>
      <c r="OCM3" s="120"/>
      <c r="OCN3" s="120"/>
      <c r="OCO3" s="120"/>
      <c r="OCP3" s="120"/>
      <c r="OCQ3" s="120"/>
      <c r="OCR3" s="120"/>
      <c r="OCS3" s="120"/>
      <c r="OCT3" s="120"/>
      <c r="OCU3" s="120"/>
      <c r="OCV3" s="120"/>
      <c r="OCW3" s="120"/>
      <c r="OCX3" s="120"/>
      <c r="OCY3" s="120"/>
      <c r="OCZ3" s="120"/>
      <c r="ODA3" s="120"/>
      <c r="ODB3" s="120"/>
      <c r="ODC3" s="120"/>
      <c r="ODD3" s="120"/>
      <c r="ODE3" s="120"/>
      <c r="ODF3" s="120"/>
      <c r="ODG3" s="120"/>
      <c r="ODH3" s="120"/>
      <c r="ODI3" s="120"/>
      <c r="ODJ3" s="120"/>
      <c r="ODK3" s="120"/>
      <c r="ODL3" s="120"/>
      <c r="ODM3" s="120"/>
      <c r="ODN3" s="120"/>
      <c r="ODO3" s="120"/>
      <c r="ODP3" s="120"/>
      <c r="ODQ3" s="120"/>
      <c r="ODR3" s="120"/>
      <c r="ODS3" s="120"/>
      <c r="ODT3" s="120"/>
      <c r="ODU3" s="120"/>
      <c r="ODV3" s="120"/>
      <c r="ODW3" s="120"/>
      <c r="ODX3" s="120"/>
      <c r="ODY3" s="120"/>
      <c r="ODZ3" s="120"/>
      <c r="OEA3" s="120"/>
      <c r="OEB3" s="120"/>
      <c r="OEC3" s="120"/>
      <c r="OED3" s="120"/>
      <c r="OEE3" s="120"/>
      <c r="OEF3" s="120"/>
      <c r="OEG3" s="120"/>
      <c r="OEH3" s="120"/>
      <c r="OEI3" s="120"/>
      <c r="OEJ3" s="120"/>
      <c r="OEK3" s="120"/>
      <c r="OEL3" s="120"/>
      <c r="OEM3" s="120"/>
      <c r="OEN3" s="120"/>
      <c r="OEO3" s="120"/>
      <c r="OEP3" s="120"/>
      <c r="OEQ3" s="120"/>
      <c r="OER3" s="120"/>
      <c r="OES3" s="120"/>
      <c r="OET3" s="120"/>
      <c r="OEU3" s="120"/>
      <c r="OEV3" s="120"/>
      <c r="OEW3" s="120"/>
      <c r="OEX3" s="120"/>
      <c r="OEY3" s="120"/>
      <c r="OEZ3" s="120"/>
      <c r="OFA3" s="120"/>
      <c r="OFB3" s="120"/>
      <c r="OFC3" s="120"/>
      <c r="OFD3" s="120"/>
      <c r="OFE3" s="120"/>
      <c r="OFF3" s="120"/>
      <c r="OFG3" s="120"/>
      <c r="OFH3" s="120"/>
      <c r="OFI3" s="120"/>
      <c r="OFJ3" s="120"/>
      <c r="OFK3" s="120"/>
      <c r="OFL3" s="120"/>
      <c r="OFM3" s="120"/>
      <c r="OFN3" s="120"/>
      <c r="OFO3" s="120"/>
      <c r="OFP3" s="120"/>
      <c r="OFQ3" s="120"/>
      <c r="OFR3" s="120"/>
      <c r="OFS3" s="120"/>
      <c r="OFT3" s="120"/>
      <c r="OFU3" s="120"/>
      <c r="OFV3" s="120"/>
      <c r="OFW3" s="120"/>
      <c r="OFX3" s="120"/>
      <c r="OFY3" s="120"/>
      <c r="OFZ3" s="120"/>
      <c r="OGA3" s="120"/>
      <c r="OGB3" s="120"/>
      <c r="OGC3" s="120"/>
      <c r="OGD3" s="120"/>
      <c r="OGE3" s="120"/>
      <c r="OGF3" s="120"/>
      <c r="OGG3" s="120"/>
      <c r="OGH3" s="120"/>
      <c r="OGI3" s="120"/>
      <c r="OGJ3" s="120"/>
      <c r="OGK3" s="120"/>
      <c r="OGL3" s="120"/>
      <c r="OGM3" s="120"/>
      <c r="OGN3" s="120"/>
      <c r="OGO3" s="120"/>
      <c r="OGP3" s="120"/>
      <c r="OGQ3" s="120"/>
      <c r="OGR3" s="120"/>
      <c r="OGS3" s="120"/>
      <c r="OGT3" s="120"/>
      <c r="OGU3" s="120"/>
      <c r="OGV3" s="120"/>
      <c r="OGW3" s="120"/>
      <c r="OGX3" s="120"/>
      <c r="OGY3" s="120"/>
      <c r="OGZ3" s="120"/>
      <c r="OHA3" s="120"/>
      <c r="OHB3" s="120"/>
      <c r="OHC3" s="120"/>
      <c r="OHD3" s="120"/>
      <c r="OHE3" s="120"/>
      <c r="OHF3" s="120"/>
      <c r="OHG3" s="120"/>
      <c r="OHH3" s="120"/>
      <c r="OHI3" s="120"/>
      <c r="OHJ3" s="120"/>
      <c r="OHK3" s="120"/>
      <c r="OHL3" s="120"/>
      <c r="OHM3" s="120"/>
      <c r="OHN3" s="120"/>
      <c r="OHO3" s="120"/>
      <c r="OHP3" s="120"/>
      <c r="OHQ3" s="120"/>
      <c r="OHR3" s="120"/>
      <c r="OHS3" s="120"/>
      <c r="OHT3" s="120"/>
      <c r="OHU3" s="120"/>
      <c r="OHV3" s="120"/>
      <c r="OHW3" s="120"/>
      <c r="OHX3" s="120"/>
      <c r="OHY3" s="120"/>
      <c r="OHZ3" s="120"/>
      <c r="OIA3" s="120"/>
      <c r="OIB3" s="120"/>
      <c r="OIC3" s="120"/>
      <c r="OID3" s="120"/>
      <c r="OIE3" s="120"/>
      <c r="OIF3" s="120"/>
      <c r="OIG3" s="120"/>
      <c r="OIH3" s="120"/>
      <c r="OII3" s="120"/>
      <c r="OIJ3" s="120"/>
      <c r="OIK3" s="120"/>
      <c r="OIL3" s="120"/>
      <c r="OIM3" s="120"/>
      <c r="OIN3" s="120"/>
      <c r="OIO3" s="120"/>
      <c r="OIP3" s="120"/>
      <c r="OIQ3" s="120"/>
      <c r="OIR3" s="120"/>
      <c r="OIS3" s="120"/>
      <c r="OIT3" s="120"/>
      <c r="OIU3" s="120"/>
      <c r="OIV3" s="120"/>
      <c r="OIW3" s="120"/>
      <c r="OIX3" s="120"/>
      <c r="OIY3" s="120"/>
      <c r="OIZ3" s="120"/>
      <c r="OJA3" s="120"/>
      <c r="OJB3" s="120"/>
      <c r="OJC3" s="120"/>
      <c r="OJD3" s="120"/>
      <c r="OJE3" s="120"/>
      <c r="OJF3" s="120"/>
      <c r="OJG3" s="120"/>
      <c r="OJH3" s="120"/>
      <c r="OJI3" s="120"/>
      <c r="OJJ3" s="120"/>
      <c r="OJK3" s="120"/>
      <c r="OJL3" s="120"/>
      <c r="OJM3" s="120"/>
      <c r="OJN3" s="120"/>
      <c r="OJO3" s="120"/>
      <c r="OJP3" s="120"/>
      <c r="OJQ3" s="120"/>
      <c r="OJR3" s="120"/>
      <c r="OJS3" s="120"/>
      <c r="OJT3" s="120"/>
      <c r="OJU3" s="120"/>
      <c r="OJV3" s="120"/>
      <c r="OJW3" s="120"/>
      <c r="OJX3" s="120"/>
      <c r="OJY3" s="120"/>
      <c r="OJZ3" s="120"/>
      <c r="OKA3" s="120"/>
      <c r="OKB3" s="120"/>
      <c r="OKC3" s="120"/>
      <c r="OKD3" s="120"/>
      <c r="OKE3" s="120"/>
      <c r="OKF3" s="120"/>
      <c r="OKG3" s="120"/>
      <c r="OKH3" s="120"/>
      <c r="OKI3" s="120"/>
      <c r="OKJ3" s="120"/>
      <c r="OKK3" s="120"/>
      <c r="OKL3" s="120"/>
      <c r="OKM3" s="120"/>
      <c r="OKN3" s="120"/>
      <c r="OKO3" s="120"/>
      <c r="OKP3" s="120"/>
      <c r="OKQ3" s="120"/>
      <c r="OKR3" s="120"/>
      <c r="OKS3" s="120"/>
      <c r="OKT3" s="120"/>
      <c r="OKU3" s="120"/>
      <c r="OKV3" s="120"/>
      <c r="OKW3" s="120"/>
      <c r="OKX3" s="120"/>
      <c r="OKY3" s="120"/>
      <c r="OKZ3" s="120"/>
      <c r="OLA3" s="120"/>
      <c r="OLB3" s="120"/>
      <c r="OLC3" s="120"/>
      <c r="OLD3" s="120"/>
      <c r="OLE3" s="120"/>
      <c r="OLF3" s="120"/>
      <c r="OLG3" s="120"/>
      <c r="OLH3" s="120"/>
      <c r="OLI3" s="120"/>
      <c r="OLJ3" s="120"/>
      <c r="OLK3" s="120"/>
      <c r="OLL3" s="120"/>
      <c r="OLM3" s="120"/>
      <c r="OLN3" s="120"/>
      <c r="OLO3" s="120"/>
      <c r="OLP3" s="120"/>
      <c r="OLQ3" s="120"/>
      <c r="OLR3" s="120"/>
      <c r="OLS3" s="120"/>
      <c r="OLT3" s="120"/>
      <c r="OLU3" s="120"/>
      <c r="OLV3" s="120"/>
      <c r="OLW3" s="120"/>
      <c r="OLX3" s="120"/>
      <c r="OLY3" s="120"/>
      <c r="OLZ3" s="120"/>
      <c r="OMA3" s="120"/>
      <c r="OMB3" s="120"/>
      <c r="OMC3" s="120"/>
      <c r="OMD3" s="120"/>
      <c r="OME3" s="120"/>
      <c r="OMF3" s="120"/>
      <c r="OMG3" s="120"/>
      <c r="OMH3" s="120"/>
      <c r="OMI3" s="120"/>
      <c r="OMJ3" s="120"/>
      <c r="OMK3" s="120"/>
      <c r="OML3" s="120"/>
      <c r="OMM3" s="120"/>
      <c r="OMN3" s="120"/>
      <c r="OMO3" s="120"/>
      <c r="OMP3" s="120"/>
      <c r="OMQ3" s="120"/>
      <c r="OMR3" s="120"/>
      <c r="OMS3" s="120"/>
      <c r="OMT3" s="120"/>
      <c r="OMU3" s="120"/>
      <c r="OMV3" s="120"/>
      <c r="OMW3" s="120"/>
      <c r="OMX3" s="120"/>
      <c r="OMY3" s="120"/>
      <c r="OMZ3" s="120"/>
      <c r="ONA3" s="120"/>
      <c r="ONB3" s="120"/>
      <c r="ONC3" s="120"/>
      <c r="OND3" s="120"/>
      <c r="ONE3" s="120"/>
      <c r="ONF3" s="120"/>
      <c r="ONG3" s="120"/>
      <c r="ONH3" s="120"/>
      <c r="ONI3" s="120"/>
      <c r="ONJ3" s="120"/>
      <c r="ONK3" s="120"/>
      <c r="ONL3" s="120"/>
      <c r="ONM3" s="120"/>
      <c r="ONN3" s="120"/>
      <c r="ONO3" s="120"/>
      <c r="ONP3" s="120"/>
      <c r="ONQ3" s="120"/>
      <c r="ONR3" s="120"/>
      <c r="ONS3" s="120"/>
      <c r="ONT3" s="120"/>
      <c r="ONU3" s="120"/>
      <c r="ONV3" s="120"/>
      <c r="ONW3" s="120"/>
      <c r="ONX3" s="120"/>
      <c r="ONY3" s="120"/>
      <c r="ONZ3" s="120"/>
      <c r="OOA3" s="120"/>
      <c r="OOB3" s="120"/>
      <c r="OOC3" s="120"/>
      <c r="OOD3" s="120"/>
      <c r="OOE3" s="120"/>
      <c r="OOF3" s="120"/>
      <c r="OOG3" s="120"/>
      <c r="OOH3" s="120"/>
      <c r="OOI3" s="120"/>
      <c r="OOJ3" s="120"/>
      <c r="OOK3" s="120"/>
      <c r="OOL3" s="120"/>
      <c r="OOM3" s="120"/>
      <c r="OON3" s="120"/>
      <c r="OOO3" s="120"/>
      <c r="OOP3" s="120"/>
      <c r="OOQ3" s="120"/>
      <c r="OOR3" s="120"/>
      <c r="OOS3" s="120"/>
      <c r="OOT3" s="120"/>
      <c r="OOU3" s="120"/>
      <c r="OOV3" s="120"/>
      <c r="OOW3" s="120"/>
      <c r="OOX3" s="120"/>
      <c r="OOY3" s="120"/>
      <c r="OOZ3" s="120"/>
      <c r="OPA3" s="120"/>
      <c r="OPB3" s="120"/>
      <c r="OPC3" s="120"/>
      <c r="OPD3" s="120"/>
      <c r="OPE3" s="120"/>
      <c r="OPF3" s="120"/>
      <c r="OPG3" s="120"/>
      <c r="OPH3" s="120"/>
      <c r="OPI3" s="120"/>
      <c r="OPJ3" s="120"/>
      <c r="OPK3" s="120"/>
      <c r="OPL3" s="120"/>
      <c r="OPM3" s="120"/>
      <c r="OPN3" s="120"/>
      <c r="OPO3" s="120"/>
      <c r="OPP3" s="120"/>
      <c r="OPQ3" s="120"/>
      <c r="OPR3" s="120"/>
      <c r="OPS3" s="120"/>
      <c r="OPT3" s="120"/>
      <c r="OPU3" s="120"/>
      <c r="OPV3" s="120"/>
      <c r="OPW3" s="120"/>
      <c r="OPX3" s="120"/>
      <c r="OPY3" s="120"/>
      <c r="OPZ3" s="120"/>
      <c r="OQA3" s="120"/>
      <c r="OQB3" s="120"/>
      <c r="OQC3" s="120"/>
      <c r="OQD3" s="120"/>
      <c r="OQE3" s="120"/>
      <c r="OQF3" s="120"/>
      <c r="OQG3" s="120"/>
      <c r="OQH3" s="120"/>
      <c r="OQI3" s="120"/>
      <c r="OQJ3" s="120"/>
      <c r="OQK3" s="120"/>
      <c r="OQL3" s="120"/>
      <c r="OQM3" s="120"/>
      <c r="OQN3" s="120"/>
      <c r="OQO3" s="120"/>
      <c r="OQP3" s="120"/>
      <c r="OQQ3" s="120"/>
      <c r="OQR3" s="120"/>
      <c r="OQS3" s="120"/>
      <c r="OQT3" s="120"/>
      <c r="OQU3" s="120"/>
      <c r="OQV3" s="120"/>
      <c r="OQW3" s="120"/>
      <c r="OQX3" s="120"/>
      <c r="OQY3" s="120"/>
      <c r="OQZ3" s="120"/>
      <c r="ORA3" s="120"/>
      <c r="ORB3" s="120"/>
      <c r="ORC3" s="120"/>
      <c r="ORD3" s="120"/>
      <c r="ORE3" s="120"/>
      <c r="ORF3" s="120"/>
      <c r="ORG3" s="120"/>
      <c r="ORH3" s="120"/>
      <c r="ORI3" s="120"/>
      <c r="ORJ3" s="120"/>
      <c r="ORK3" s="120"/>
      <c r="ORL3" s="120"/>
      <c r="ORM3" s="120"/>
      <c r="ORN3" s="120"/>
      <c r="ORO3" s="120"/>
      <c r="ORP3" s="120"/>
      <c r="ORQ3" s="120"/>
      <c r="ORR3" s="120"/>
      <c r="ORS3" s="120"/>
      <c r="ORT3" s="120"/>
      <c r="ORU3" s="120"/>
      <c r="ORV3" s="120"/>
      <c r="ORW3" s="120"/>
      <c r="ORX3" s="120"/>
      <c r="ORY3" s="120"/>
      <c r="ORZ3" s="120"/>
      <c r="OSA3" s="120"/>
      <c r="OSB3" s="120"/>
      <c r="OSC3" s="120"/>
      <c r="OSD3" s="120"/>
      <c r="OSE3" s="120"/>
      <c r="OSF3" s="120"/>
      <c r="OSG3" s="120"/>
      <c r="OSH3" s="120"/>
      <c r="OSI3" s="120"/>
      <c r="OSJ3" s="120"/>
      <c r="OSK3" s="120"/>
      <c r="OSL3" s="120"/>
      <c r="OSM3" s="120"/>
      <c r="OSN3" s="120"/>
      <c r="OSO3" s="120"/>
      <c r="OSP3" s="120"/>
      <c r="OSQ3" s="120"/>
      <c r="OSR3" s="120"/>
      <c r="OSS3" s="120"/>
      <c r="OST3" s="120"/>
      <c r="OSU3" s="120"/>
      <c r="OSV3" s="120"/>
      <c r="OSW3" s="120"/>
      <c r="OSX3" s="120"/>
      <c r="OSY3" s="120"/>
      <c r="OSZ3" s="120"/>
      <c r="OTA3" s="120"/>
      <c r="OTB3" s="120"/>
      <c r="OTC3" s="120"/>
      <c r="OTD3" s="120"/>
      <c r="OTE3" s="120"/>
      <c r="OTF3" s="120"/>
      <c r="OTG3" s="120"/>
      <c r="OTH3" s="120"/>
      <c r="OTI3" s="120"/>
      <c r="OTJ3" s="120"/>
      <c r="OTK3" s="120"/>
      <c r="OTL3" s="120"/>
      <c r="OTM3" s="120"/>
      <c r="OTN3" s="120"/>
      <c r="OTO3" s="120"/>
      <c r="OTP3" s="120"/>
      <c r="OTQ3" s="120"/>
      <c r="OTR3" s="120"/>
      <c r="OTS3" s="120"/>
      <c r="OTT3" s="120"/>
      <c r="OTU3" s="120"/>
      <c r="OTV3" s="120"/>
      <c r="OTW3" s="120"/>
      <c r="OTX3" s="120"/>
      <c r="OTY3" s="120"/>
      <c r="OTZ3" s="120"/>
      <c r="OUA3" s="120"/>
      <c r="OUB3" s="120"/>
      <c r="OUC3" s="120"/>
      <c r="OUD3" s="120"/>
      <c r="OUE3" s="120"/>
      <c r="OUF3" s="120"/>
      <c r="OUG3" s="120"/>
      <c r="OUH3" s="120"/>
      <c r="OUI3" s="120"/>
      <c r="OUJ3" s="120"/>
      <c r="OUK3" s="120"/>
      <c r="OUL3" s="120"/>
      <c r="OUM3" s="120"/>
      <c r="OUN3" s="120"/>
      <c r="OUO3" s="120"/>
      <c r="OUP3" s="120"/>
      <c r="OUQ3" s="120"/>
      <c r="OUR3" s="120"/>
      <c r="OUS3" s="120"/>
      <c r="OUT3" s="120"/>
      <c r="OUU3" s="120"/>
      <c r="OUV3" s="120"/>
      <c r="OUW3" s="120"/>
      <c r="OUX3" s="120"/>
      <c r="OUY3" s="120"/>
      <c r="OUZ3" s="120"/>
      <c r="OVA3" s="120"/>
      <c r="OVB3" s="120"/>
      <c r="OVC3" s="120"/>
      <c r="OVD3" s="120"/>
      <c r="OVE3" s="120"/>
      <c r="OVF3" s="120"/>
      <c r="OVG3" s="120"/>
      <c r="OVH3" s="120"/>
      <c r="OVI3" s="120"/>
      <c r="OVJ3" s="120"/>
      <c r="OVK3" s="120"/>
      <c r="OVL3" s="120"/>
      <c r="OVM3" s="120"/>
      <c r="OVN3" s="120"/>
      <c r="OVO3" s="120"/>
      <c r="OVP3" s="120"/>
      <c r="OVQ3" s="120"/>
      <c r="OVR3" s="120"/>
      <c r="OVS3" s="120"/>
      <c r="OVT3" s="120"/>
      <c r="OVU3" s="120"/>
      <c r="OVV3" s="120"/>
      <c r="OVW3" s="120"/>
      <c r="OVX3" s="120"/>
      <c r="OVY3" s="120"/>
      <c r="OVZ3" s="120"/>
      <c r="OWA3" s="120"/>
      <c r="OWB3" s="120"/>
      <c r="OWC3" s="120"/>
      <c r="OWD3" s="120"/>
      <c r="OWE3" s="120"/>
      <c r="OWF3" s="120"/>
      <c r="OWG3" s="120"/>
      <c r="OWH3" s="120"/>
      <c r="OWI3" s="120"/>
      <c r="OWJ3" s="120"/>
      <c r="OWK3" s="120"/>
      <c r="OWL3" s="120"/>
      <c r="OWM3" s="120"/>
      <c r="OWN3" s="120"/>
      <c r="OWO3" s="120"/>
      <c r="OWP3" s="120"/>
      <c r="OWQ3" s="120"/>
      <c r="OWR3" s="120"/>
      <c r="OWS3" s="120"/>
      <c r="OWT3" s="120"/>
      <c r="OWU3" s="120"/>
      <c r="OWV3" s="120"/>
      <c r="OWW3" s="120"/>
      <c r="OWX3" s="120"/>
      <c r="OWY3" s="120"/>
      <c r="OWZ3" s="120"/>
      <c r="OXA3" s="120"/>
      <c r="OXB3" s="120"/>
      <c r="OXC3" s="120"/>
      <c r="OXD3" s="120"/>
      <c r="OXE3" s="120"/>
      <c r="OXF3" s="120"/>
      <c r="OXG3" s="120"/>
      <c r="OXH3" s="120"/>
      <c r="OXI3" s="120"/>
      <c r="OXJ3" s="120"/>
      <c r="OXK3" s="120"/>
      <c r="OXL3" s="120"/>
      <c r="OXM3" s="120"/>
      <c r="OXN3" s="120"/>
      <c r="OXO3" s="120"/>
      <c r="OXP3" s="120"/>
      <c r="OXQ3" s="120"/>
      <c r="OXR3" s="120"/>
      <c r="OXS3" s="120"/>
      <c r="OXT3" s="120"/>
      <c r="OXU3" s="120"/>
      <c r="OXV3" s="120"/>
      <c r="OXW3" s="120"/>
      <c r="OXX3" s="120"/>
      <c r="OXY3" s="120"/>
      <c r="OXZ3" s="120"/>
      <c r="OYA3" s="120"/>
      <c r="OYB3" s="120"/>
      <c r="OYC3" s="120"/>
      <c r="OYD3" s="120"/>
      <c r="OYE3" s="120"/>
      <c r="OYF3" s="120"/>
      <c r="OYG3" s="120"/>
      <c r="OYH3" s="120"/>
      <c r="OYI3" s="120"/>
      <c r="OYJ3" s="120"/>
      <c r="OYK3" s="120"/>
      <c r="OYL3" s="120"/>
      <c r="OYM3" s="120"/>
      <c r="OYN3" s="120"/>
      <c r="OYO3" s="120"/>
      <c r="OYP3" s="120"/>
      <c r="OYQ3" s="120"/>
      <c r="OYR3" s="120"/>
      <c r="OYS3" s="120"/>
      <c r="OYT3" s="120"/>
      <c r="OYU3" s="120"/>
      <c r="OYV3" s="120"/>
      <c r="OYW3" s="120"/>
      <c r="OYX3" s="120"/>
      <c r="OYY3" s="120"/>
      <c r="OYZ3" s="120"/>
      <c r="OZA3" s="120"/>
      <c r="OZB3" s="120"/>
      <c r="OZC3" s="120"/>
      <c r="OZD3" s="120"/>
      <c r="OZE3" s="120"/>
      <c r="OZF3" s="120"/>
      <c r="OZG3" s="120"/>
      <c r="OZH3" s="120"/>
      <c r="OZI3" s="120"/>
      <c r="OZJ3" s="120"/>
      <c r="OZK3" s="120"/>
      <c r="OZL3" s="120"/>
      <c r="OZM3" s="120"/>
      <c r="OZN3" s="120"/>
      <c r="OZO3" s="120"/>
      <c r="OZP3" s="120"/>
      <c r="OZQ3" s="120"/>
      <c r="OZR3" s="120"/>
      <c r="OZS3" s="120"/>
      <c r="OZT3" s="120"/>
      <c r="OZU3" s="120"/>
      <c r="OZV3" s="120"/>
      <c r="OZW3" s="120"/>
      <c r="OZX3" s="120"/>
      <c r="OZY3" s="120"/>
      <c r="OZZ3" s="120"/>
      <c r="PAA3" s="120"/>
      <c r="PAB3" s="120"/>
      <c r="PAC3" s="120"/>
      <c r="PAD3" s="120"/>
      <c r="PAE3" s="120"/>
      <c r="PAF3" s="120"/>
      <c r="PAG3" s="120"/>
      <c r="PAH3" s="120"/>
      <c r="PAI3" s="120"/>
      <c r="PAJ3" s="120"/>
      <c r="PAK3" s="120"/>
      <c r="PAL3" s="120"/>
      <c r="PAM3" s="120"/>
      <c r="PAN3" s="120"/>
      <c r="PAO3" s="120"/>
      <c r="PAP3" s="120"/>
      <c r="PAQ3" s="120"/>
      <c r="PAR3" s="120"/>
      <c r="PAS3" s="120"/>
      <c r="PAT3" s="120"/>
      <c r="PAU3" s="120"/>
      <c r="PAV3" s="120"/>
      <c r="PAW3" s="120"/>
      <c r="PAX3" s="120"/>
      <c r="PAY3" s="120"/>
      <c r="PAZ3" s="120"/>
      <c r="PBA3" s="120"/>
      <c r="PBB3" s="120"/>
      <c r="PBC3" s="120"/>
      <c r="PBD3" s="120"/>
      <c r="PBE3" s="120"/>
      <c r="PBF3" s="120"/>
      <c r="PBG3" s="120"/>
      <c r="PBH3" s="120"/>
      <c r="PBI3" s="120"/>
      <c r="PBJ3" s="120"/>
      <c r="PBK3" s="120"/>
      <c r="PBL3" s="120"/>
      <c r="PBM3" s="120"/>
      <c r="PBN3" s="120"/>
      <c r="PBO3" s="120"/>
      <c r="PBP3" s="120"/>
      <c r="PBQ3" s="120"/>
      <c r="PBR3" s="120"/>
      <c r="PBS3" s="120"/>
      <c r="PBT3" s="120"/>
      <c r="PBU3" s="120"/>
      <c r="PBV3" s="120"/>
      <c r="PBW3" s="120"/>
      <c r="PBX3" s="120"/>
      <c r="PBY3" s="120"/>
      <c r="PBZ3" s="120"/>
      <c r="PCA3" s="120"/>
      <c r="PCB3" s="120"/>
      <c r="PCC3" s="120"/>
      <c r="PCD3" s="120"/>
      <c r="PCE3" s="120"/>
      <c r="PCF3" s="120"/>
      <c r="PCG3" s="120"/>
      <c r="PCH3" s="120"/>
      <c r="PCI3" s="120"/>
      <c r="PCJ3" s="120"/>
      <c r="PCK3" s="120"/>
      <c r="PCL3" s="120"/>
      <c r="PCM3" s="120"/>
      <c r="PCN3" s="120"/>
      <c r="PCO3" s="120"/>
      <c r="PCP3" s="120"/>
      <c r="PCQ3" s="120"/>
      <c r="PCR3" s="120"/>
      <c r="PCS3" s="120"/>
      <c r="PCT3" s="120"/>
      <c r="PCU3" s="120"/>
      <c r="PCV3" s="120"/>
      <c r="PCW3" s="120"/>
      <c r="PCX3" s="120"/>
      <c r="PCY3" s="120"/>
      <c r="PCZ3" s="120"/>
      <c r="PDA3" s="120"/>
      <c r="PDB3" s="120"/>
      <c r="PDC3" s="120"/>
      <c r="PDD3" s="120"/>
      <c r="PDE3" s="120"/>
      <c r="PDF3" s="120"/>
      <c r="PDG3" s="120"/>
      <c r="PDH3" s="120"/>
      <c r="PDI3" s="120"/>
      <c r="PDJ3" s="120"/>
      <c r="PDK3" s="120"/>
      <c r="PDL3" s="120"/>
      <c r="PDM3" s="120"/>
      <c r="PDN3" s="120"/>
      <c r="PDO3" s="120"/>
      <c r="PDP3" s="120"/>
      <c r="PDQ3" s="120"/>
      <c r="PDR3" s="120"/>
      <c r="PDS3" s="120"/>
      <c r="PDT3" s="120"/>
      <c r="PDU3" s="120"/>
      <c r="PDV3" s="120"/>
      <c r="PDW3" s="120"/>
      <c r="PDX3" s="120"/>
      <c r="PDY3" s="120"/>
      <c r="PDZ3" s="120"/>
      <c r="PEA3" s="120"/>
      <c r="PEB3" s="120"/>
      <c r="PEC3" s="120"/>
      <c r="PED3" s="120"/>
      <c r="PEE3" s="120"/>
      <c r="PEF3" s="120"/>
      <c r="PEG3" s="120"/>
      <c r="PEH3" s="120"/>
      <c r="PEI3" s="120"/>
      <c r="PEJ3" s="120"/>
      <c r="PEK3" s="120"/>
      <c r="PEL3" s="120"/>
      <c r="PEM3" s="120"/>
      <c r="PEN3" s="120"/>
      <c r="PEO3" s="120"/>
      <c r="PEP3" s="120"/>
      <c r="PEQ3" s="120"/>
      <c r="PER3" s="120"/>
      <c r="PES3" s="120"/>
      <c r="PET3" s="120"/>
      <c r="PEU3" s="120"/>
      <c r="PEV3" s="120"/>
      <c r="PEW3" s="120"/>
      <c r="PEX3" s="120"/>
      <c r="PEY3" s="120"/>
      <c r="PEZ3" s="120"/>
      <c r="PFA3" s="120"/>
      <c r="PFB3" s="120"/>
      <c r="PFC3" s="120"/>
      <c r="PFD3" s="120"/>
      <c r="PFE3" s="120"/>
      <c r="PFF3" s="120"/>
      <c r="PFG3" s="120"/>
      <c r="PFH3" s="120"/>
      <c r="PFI3" s="120"/>
      <c r="PFJ3" s="120"/>
      <c r="PFK3" s="120"/>
      <c r="PFL3" s="120"/>
      <c r="PFM3" s="120"/>
      <c r="PFN3" s="120"/>
      <c r="PFO3" s="120"/>
      <c r="PFP3" s="120"/>
      <c r="PFQ3" s="120"/>
      <c r="PFR3" s="120"/>
      <c r="PFS3" s="120"/>
      <c r="PFT3" s="120"/>
      <c r="PFU3" s="120"/>
      <c r="PFV3" s="120"/>
      <c r="PFW3" s="120"/>
      <c r="PFX3" s="120"/>
      <c r="PFY3" s="120"/>
      <c r="PFZ3" s="120"/>
      <c r="PGA3" s="120"/>
      <c r="PGB3" s="120"/>
      <c r="PGC3" s="120"/>
      <c r="PGD3" s="120"/>
      <c r="PGE3" s="120"/>
      <c r="PGF3" s="120"/>
      <c r="PGG3" s="120"/>
      <c r="PGH3" s="120"/>
      <c r="PGI3" s="120"/>
      <c r="PGJ3" s="120"/>
      <c r="PGK3" s="120"/>
      <c r="PGL3" s="120"/>
      <c r="PGM3" s="120"/>
      <c r="PGN3" s="120"/>
      <c r="PGO3" s="120"/>
      <c r="PGP3" s="120"/>
      <c r="PGQ3" s="120"/>
      <c r="PGR3" s="120"/>
      <c r="PGS3" s="120"/>
      <c r="PGT3" s="120"/>
      <c r="PGU3" s="120"/>
      <c r="PGV3" s="120"/>
      <c r="PGW3" s="120"/>
      <c r="PGX3" s="120"/>
      <c r="PGY3" s="120"/>
      <c r="PGZ3" s="120"/>
      <c r="PHA3" s="120"/>
      <c r="PHB3" s="120"/>
      <c r="PHC3" s="120"/>
      <c r="PHD3" s="120"/>
      <c r="PHE3" s="120"/>
      <c r="PHF3" s="120"/>
      <c r="PHG3" s="120"/>
      <c r="PHH3" s="120"/>
      <c r="PHI3" s="120"/>
      <c r="PHJ3" s="120"/>
      <c r="PHK3" s="120"/>
      <c r="PHL3" s="120"/>
      <c r="PHM3" s="120"/>
      <c r="PHN3" s="120"/>
      <c r="PHO3" s="120"/>
      <c r="PHP3" s="120"/>
      <c r="PHQ3" s="120"/>
      <c r="PHR3" s="120"/>
      <c r="PHS3" s="120"/>
      <c r="PHT3" s="120"/>
      <c r="PHU3" s="120"/>
      <c r="PHV3" s="120"/>
      <c r="PHW3" s="120"/>
      <c r="PHX3" s="120"/>
      <c r="PHY3" s="120"/>
      <c r="PHZ3" s="120"/>
      <c r="PIA3" s="120"/>
      <c r="PIB3" s="120"/>
      <c r="PIC3" s="120"/>
      <c r="PID3" s="120"/>
      <c r="PIE3" s="120"/>
      <c r="PIF3" s="120"/>
      <c r="PIG3" s="120"/>
      <c r="PIH3" s="120"/>
      <c r="PII3" s="120"/>
      <c r="PIJ3" s="120"/>
      <c r="PIK3" s="120"/>
      <c r="PIL3" s="120"/>
      <c r="PIM3" s="120"/>
      <c r="PIN3" s="120"/>
      <c r="PIO3" s="120"/>
      <c r="PIP3" s="120"/>
      <c r="PIQ3" s="120"/>
      <c r="PIR3" s="120"/>
      <c r="PIS3" s="120"/>
      <c r="PIT3" s="120"/>
      <c r="PIU3" s="120"/>
      <c r="PIV3" s="120"/>
      <c r="PIW3" s="120"/>
      <c r="PIX3" s="120"/>
      <c r="PIY3" s="120"/>
      <c r="PIZ3" s="120"/>
      <c r="PJA3" s="120"/>
      <c r="PJB3" s="120"/>
      <c r="PJC3" s="120"/>
      <c r="PJD3" s="120"/>
      <c r="PJE3" s="120"/>
      <c r="PJF3" s="120"/>
      <c r="PJG3" s="120"/>
      <c r="PJH3" s="120"/>
      <c r="PJI3" s="120"/>
      <c r="PJJ3" s="120"/>
      <c r="PJK3" s="120"/>
      <c r="PJL3" s="120"/>
      <c r="PJM3" s="120"/>
      <c r="PJN3" s="120"/>
      <c r="PJO3" s="120"/>
      <c r="PJP3" s="120"/>
      <c r="PJQ3" s="120"/>
      <c r="PJR3" s="120"/>
      <c r="PJS3" s="120"/>
      <c r="PJT3" s="120"/>
      <c r="PJU3" s="120"/>
      <c r="PJV3" s="120"/>
      <c r="PJW3" s="120"/>
      <c r="PJX3" s="120"/>
      <c r="PJY3" s="120"/>
      <c r="PJZ3" s="120"/>
      <c r="PKA3" s="120"/>
      <c r="PKB3" s="120"/>
      <c r="PKC3" s="120"/>
      <c r="PKD3" s="120"/>
      <c r="PKE3" s="120"/>
      <c r="PKF3" s="120"/>
      <c r="PKG3" s="120"/>
      <c r="PKH3" s="120"/>
      <c r="PKI3" s="120"/>
      <c r="PKJ3" s="120"/>
      <c r="PKK3" s="120"/>
      <c r="PKL3" s="120"/>
      <c r="PKM3" s="120"/>
      <c r="PKN3" s="120"/>
      <c r="PKO3" s="120"/>
      <c r="PKP3" s="120"/>
      <c r="PKQ3" s="120"/>
      <c r="PKR3" s="120"/>
      <c r="PKS3" s="120"/>
      <c r="PKT3" s="120"/>
      <c r="PKU3" s="120"/>
      <c r="PKV3" s="120"/>
      <c r="PKW3" s="120"/>
      <c r="PKX3" s="120"/>
      <c r="PKY3" s="120"/>
      <c r="PKZ3" s="120"/>
      <c r="PLA3" s="120"/>
      <c r="PLB3" s="120"/>
      <c r="PLC3" s="120"/>
      <c r="PLD3" s="120"/>
      <c r="PLE3" s="120"/>
      <c r="PLF3" s="120"/>
      <c r="PLG3" s="120"/>
      <c r="PLH3" s="120"/>
      <c r="PLI3" s="120"/>
      <c r="PLJ3" s="120"/>
      <c r="PLK3" s="120"/>
      <c r="PLL3" s="120"/>
      <c r="PLM3" s="120"/>
      <c r="PLN3" s="120"/>
      <c r="PLO3" s="120"/>
      <c r="PLP3" s="120"/>
      <c r="PLQ3" s="120"/>
      <c r="PLR3" s="120"/>
      <c r="PLS3" s="120"/>
      <c r="PLT3" s="120"/>
      <c r="PLU3" s="120"/>
      <c r="PLV3" s="120"/>
      <c r="PLW3" s="120"/>
      <c r="PLX3" s="120"/>
      <c r="PLY3" s="120"/>
      <c r="PLZ3" s="120"/>
      <c r="PMA3" s="120"/>
      <c r="PMB3" s="120"/>
      <c r="PMC3" s="120"/>
      <c r="PMD3" s="120"/>
      <c r="PME3" s="120"/>
      <c r="PMF3" s="120"/>
      <c r="PMG3" s="120"/>
      <c r="PMH3" s="120"/>
      <c r="PMI3" s="120"/>
      <c r="PMJ3" s="120"/>
      <c r="PMK3" s="120"/>
      <c r="PML3" s="120"/>
      <c r="PMM3" s="120"/>
      <c r="PMN3" s="120"/>
      <c r="PMO3" s="120"/>
      <c r="PMP3" s="120"/>
      <c r="PMQ3" s="120"/>
      <c r="PMR3" s="120"/>
      <c r="PMS3" s="120"/>
      <c r="PMT3" s="120"/>
      <c r="PMU3" s="120"/>
      <c r="PMV3" s="120"/>
      <c r="PMW3" s="120"/>
      <c r="PMX3" s="120"/>
      <c r="PMY3" s="120"/>
      <c r="PMZ3" s="120"/>
      <c r="PNA3" s="120"/>
      <c r="PNB3" s="120"/>
      <c r="PNC3" s="120"/>
      <c r="PND3" s="120"/>
      <c r="PNE3" s="120"/>
      <c r="PNF3" s="120"/>
      <c r="PNG3" s="120"/>
      <c r="PNH3" s="120"/>
      <c r="PNI3" s="120"/>
      <c r="PNJ3" s="120"/>
      <c r="PNK3" s="120"/>
      <c r="PNL3" s="120"/>
      <c r="PNM3" s="120"/>
      <c r="PNN3" s="120"/>
      <c r="PNO3" s="120"/>
      <c r="PNP3" s="120"/>
      <c r="PNQ3" s="120"/>
      <c r="PNR3" s="120"/>
      <c r="PNS3" s="120"/>
      <c r="PNT3" s="120"/>
      <c r="PNU3" s="120"/>
      <c r="PNV3" s="120"/>
      <c r="PNW3" s="120"/>
      <c r="PNX3" s="120"/>
      <c r="PNY3" s="120"/>
      <c r="PNZ3" s="120"/>
      <c r="POA3" s="120"/>
      <c r="POB3" s="120"/>
      <c r="POC3" s="120"/>
      <c r="POD3" s="120"/>
      <c r="POE3" s="120"/>
      <c r="POF3" s="120"/>
      <c r="POG3" s="120"/>
      <c r="POH3" s="120"/>
      <c r="POI3" s="120"/>
      <c r="POJ3" s="120"/>
      <c r="POK3" s="120"/>
      <c r="POL3" s="120"/>
      <c r="POM3" s="120"/>
      <c r="PON3" s="120"/>
      <c r="POO3" s="120"/>
      <c r="POP3" s="120"/>
      <c r="POQ3" s="120"/>
      <c r="POR3" s="120"/>
      <c r="POS3" s="120"/>
      <c r="POT3" s="120"/>
      <c r="POU3" s="120"/>
      <c r="POV3" s="120"/>
      <c r="POW3" s="120"/>
      <c r="POX3" s="120"/>
      <c r="POY3" s="120"/>
      <c r="POZ3" s="120"/>
      <c r="PPA3" s="120"/>
      <c r="PPB3" s="120"/>
      <c r="PPC3" s="120"/>
      <c r="PPD3" s="120"/>
      <c r="PPE3" s="120"/>
      <c r="PPF3" s="120"/>
      <c r="PPG3" s="120"/>
      <c r="PPH3" s="120"/>
      <c r="PPI3" s="120"/>
      <c r="PPJ3" s="120"/>
      <c r="PPK3" s="120"/>
      <c r="PPL3" s="120"/>
      <c r="PPM3" s="120"/>
      <c r="PPN3" s="120"/>
      <c r="PPO3" s="120"/>
      <c r="PPP3" s="120"/>
      <c r="PPQ3" s="120"/>
      <c r="PPR3" s="120"/>
      <c r="PPS3" s="120"/>
      <c r="PPT3" s="120"/>
      <c r="PPU3" s="120"/>
      <c r="PPV3" s="120"/>
      <c r="PPW3" s="120"/>
      <c r="PPX3" s="120"/>
      <c r="PPY3" s="120"/>
      <c r="PPZ3" s="120"/>
      <c r="PQA3" s="120"/>
      <c r="PQB3" s="120"/>
      <c r="PQC3" s="120"/>
      <c r="PQD3" s="120"/>
      <c r="PQE3" s="120"/>
      <c r="PQF3" s="120"/>
      <c r="PQG3" s="120"/>
      <c r="PQH3" s="120"/>
      <c r="PQI3" s="120"/>
      <c r="PQJ3" s="120"/>
      <c r="PQK3" s="120"/>
      <c r="PQL3" s="120"/>
      <c r="PQM3" s="120"/>
      <c r="PQN3" s="120"/>
      <c r="PQO3" s="120"/>
      <c r="PQP3" s="120"/>
      <c r="PQQ3" s="120"/>
      <c r="PQR3" s="120"/>
      <c r="PQS3" s="120"/>
      <c r="PQT3" s="120"/>
      <c r="PQU3" s="120"/>
      <c r="PQV3" s="120"/>
      <c r="PQW3" s="120"/>
      <c r="PQX3" s="120"/>
      <c r="PQY3" s="120"/>
      <c r="PQZ3" s="120"/>
      <c r="PRA3" s="120"/>
      <c r="PRB3" s="120"/>
      <c r="PRC3" s="120"/>
      <c r="PRD3" s="120"/>
      <c r="PRE3" s="120"/>
      <c r="PRF3" s="120"/>
      <c r="PRG3" s="120"/>
      <c r="PRH3" s="120"/>
      <c r="PRI3" s="120"/>
      <c r="PRJ3" s="120"/>
      <c r="PRK3" s="120"/>
      <c r="PRL3" s="120"/>
      <c r="PRM3" s="120"/>
      <c r="PRN3" s="120"/>
      <c r="PRO3" s="120"/>
      <c r="PRP3" s="120"/>
      <c r="PRQ3" s="120"/>
      <c r="PRR3" s="120"/>
      <c r="PRS3" s="120"/>
      <c r="PRT3" s="120"/>
      <c r="PRU3" s="120"/>
      <c r="PRV3" s="120"/>
      <c r="PRW3" s="120"/>
      <c r="PRX3" s="120"/>
      <c r="PRY3" s="120"/>
      <c r="PRZ3" s="120"/>
      <c r="PSA3" s="120"/>
      <c r="PSB3" s="120"/>
      <c r="PSC3" s="120"/>
      <c r="PSD3" s="120"/>
      <c r="PSE3" s="120"/>
      <c r="PSF3" s="120"/>
      <c r="PSG3" s="120"/>
      <c r="PSH3" s="120"/>
      <c r="PSI3" s="120"/>
      <c r="PSJ3" s="120"/>
      <c r="PSK3" s="120"/>
      <c r="PSL3" s="120"/>
      <c r="PSM3" s="120"/>
      <c r="PSN3" s="120"/>
      <c r="PSO3" s="120"/>
      <c r="PSP3" s="120"/>
      <c r="PSQ3" s="120"/>
      <c r="PSR3" s="120"/>
      <c r="PSS3" s="120"/>
      <c r="PST3" s="120"/>
      <c r="PSU3" s="120"/>
      <c r="PSV3" s="120"/>
      <c r="PSW3" s="120"/>
      <c r="PSX3" s="120"/>
      <c r="PSY3" s="120"/>
      <c r="PSZ3" s="120"/>
      <c r="PTA3" s="120"/>
      <c r="PTB3" s="120"/>
      <c r="PTC3" s="120"/>
      <c r="PTD3" s="120"/>
      <c r="PTE3" s="120"/>
      <c r="PTF3" s="120"/>
      <c r="PTG3" s="120"/>
      <c r="PTH3" s="120"/>
      <c r="PTI3" s="120"/>
      <c r="PTJ3" s="120"/>
      <c r="PTK3" s="120"/>
      <c r="PTL3" s="120"/>
      <c r="PTM3" s="120"/>
      <c r="PTN3" s="120"/>
      <c r="PTO3" s="120"/>
      <c r="PTP3" s="120"/>
      <c r="PTQ3" s="120"/>
      <c r="PTR3" s="120"/>
      <c r="PTS3" s="120"/>
      <c r="PTT3" s="120"/>
      <c r="PTU3" s="120"/>
      <c r="PTV3" s="120"/>
      <c r="PTW3" s="120"/>
      <c r="PTX3" s="120"/>
      <c r="PTY3" s="120"/>
      <c r="PTZ3" s="120"/>
      <c r="PUA3" s="120"/>
      <c r="PUB3" s="120"/>
      <c r="PUC3" s="120"/>
      <c r="PUD3" s="120"/>
      <c r="PUE3" s="120"/>
      <c r="PUF3" s="120"/>
      <c r="PUG3" s="120"/>
      <c r="PUH3" s="120"/>
      <c r="PUI3" s="120"/>
      <c r="PUJ3" s="120"/>
      <c r="PUK3" s="120"/>
      <c r="PUL3" s="120"/>
      <c r="PUM3" s="120"/>
      <c r="PUN3" s="120"/>
      <c r="PUO3" s="120"/>
      <c r="PUP3" s="120"/>
      <c r="PUQ3" s="120"/>
      <c r="PUR3" s="120"/>
      <c r="PUS3" s="120"/>
      <c r="PUT3" s="120"/>
      <c r="PUU3" s="120"/>
      <c r="PUV3" s="120"/>
      <c r="PUW3" s="120"/>
      <c r="PUX3" s="120"/>
      <c r="PUY3" s="120"/>
      <c r="PUZ3" s="120"/>
      <c r="PVA3" s="120"/>
      <c r="PVB3" s="120"/>
      <c r="PVC3" s="120"/>
      <c r="PVD3" s="120"/>
      <c r="PVE3" s="120"/>
      <c r="PVF3" s="120"/>
      <c r="PVG3" s="120"/>
      <c r="PVH3" s="120"/>
      <c r="PVI3" s="120"/>
      <c r="PVJ3" s="120"/>
      <c r="PVK3" s="120"/>
      <c r="PVL3" s="120"/>
      <c r="PVM3" s="120"/>
      <c r="PVN3" s="120"/>
      <c r="PVO3" s="120"/>
      <c r="PVP3" s="120"/>
      <c r="PVQ3" s="120"/>
      <c r="PVR3" s="120"/>
      <c r="PVS3" s="120"/>
      <c r="PVT3" s="120"/>
      <c r="PVU3" s="120"/>
      <c r="PVV3" s="120"/>
      <c r="PVW3" s="120"/>
      <c r="PVX3" s="120"/>
      <c r="PVY3" s="120"/>
      <c r="PVZ3" s="120"/>
      <c r="PWA3" s="120"/>
      <c r="PWB3" s="120"/>
      <c r="PWC3" s="120"/>
      <c r="PWD3" s="120"/>
      <c r="PWE3" s="120"/>
      <c r="PWF3" s="120"/>
      <c r="PWG3" s="120"/>
      <c r="PWH3" s="120"/>
      <c r="PWI3" s="120"/>
      <c r="PWJ3" s="120"/>
      <c r="PWK3" s="120"/>
      <c r="PWL3" s="120"/>
      <c r="PWM3" s="120"/>
      <c r="PWN3" s="120"/>
      <c r="PWO3" s="120"/>
      <c r="PWP3" s="120"/>
      <c r="PWQ3" s="120"/>
      <c r="PWR3" s="120"/>
      <c r="PWS3" s="120"/>
      <c r="PWT3" s="120"/>
      <c r="PWU3" s="120"/>
      <c r="PWV3" s="120"/>
      <c r="PWW3" s="120"/>
      <c r="PWX3" s="120"/>
      <c r="PWY3" s="120"/>
      <c r="PWZ3" s="120"/>
      <c r="PXA3" s="120"/>
      <c r="PXB3" s="120"/>
      <c r="PXC3" s="120"/>
      <c r="PXD3" s="120"/>
      <c r="PXE3" s="120"/>
      <c r="PXF3" s="120"/>
      <c r="PXG3" s="120"/>
      <c r="PXH3" s="120"/>
      <c r="PXI3" s="120"/>
      <c r="PXJ3" s="120"/>
      <c r="PXK3" s="120"/>
      <c r="PXL3" s="120"/>
      <c r="PXM3" s="120"/>
      <c r="PXN3" s="120"/>
      <c r="PXO3" s="120"/>
      <c r="PXP3" s="120"/>
      <c r="PXQ3" s="120"/>
      <c r="PXR3" s="120"/>
      <c r="PXS3" s="120"/>
      <c r="PXT3" s="120"/>
      <c r="PXU3" s="120"/>
      <c r="PXV3" s="120"/>
      <c r="PXW3" s="120"/>
      <c r="PXX3" s="120"/>
      <c r="PXY3" s="120"/>
      <c r="PXZ3" s="120"/>
      <c r="PYA3" s="120"/>
      <c r="PYB3" s="120"/>
      <c r="PYC3" s="120"/>
      <c r="PYD3" s="120"/>
      <c r="PYE3" s="120"/>
      <c r="PYF3" s="120"/>
      <c r="PYG3" s="120"/>
      <c r="PYH3" s="120"/>
      <c r="PYI3" s="120"/>
      <c r="PYJ3" s="120"/>
      <c r="PYK3" s="120"/>
      <c r="PYL3" s="120"/>
      <c r="PYM3" s="120"/>
      <c r="PYN3" s="120"/>
      <c r="PYO3" s="120"/>
      <c r="PYP3" s="120"/>
      <c r="PYQ3" s="120"/>
      <c r="PYR3" s="120"/>
      <c r="PYS3" s="120"/>
      <c r="PYT3" s="120"/>
      <c r="PYU3" s="120"/>
      <c r="PYV3" s="120"/>
      <c r="PYW3" s="120"/>
      <c r="PYX3" s="120"/>
      <c r="PYY3" s="120"/>
      <c r="PYZ3" s="120"/>
      <c r="PZA3" s="120"/>
      <c r="PZB3" s="120"/>
      <c r="PZC3" s="120"/>
      <c r="PZD3" s="120"/>
      <c r="PZE3" s="120"/>
      <c r="PZF3" s="120"/>
      <c r="PZG3" s="120"/>
      <c r="PZH3" s="120"/>
      <c r="PZI3" s="120"/>
      <c r="PZJ3" s="120"/>
      <c r="PZK3" s="120"/>
      <c r="PZL3" s="120"/>
      <c r="PZM3" s="120"/>
      <c r="PZN3" s="120"/>
      <c r="PZO3" s="120"/>
      <c r="PZP3" s="120"/>
      <c r="PZQ3" s="120"/>
      <c r="PZR3" s="120"/>
      <c r="PZS3" s="120"/>
      <c r="PZT3" s="120"/>
      <c r="PZU3" s="120"/>
      <c r="PZV3" s="120"/>
      <c r="PZW3" s="120"/>
      <c r="PZX3" s="120"/>
      <c r="PZY3" s="120"/>
      <c r="PZZ3" s="120"/>
      <c r="QAA3" s="120"/>
      <c r="QAB3" s="120"/>
      <c r="QAC3" s="120"/>
      <c r="QAD3" s="120"/>
      <c r="QAE3" s="120"/>
      <c r="QAF3" s="120"/>
      <c r="QAG3" s="120"/>
      <c r="QAH3" s="120"/>
      <c r="QAI3" s="120"/>
      <c r="QAJ3" s="120"/>
      <c r="QAK3" s="120"/>
      <c r="QAL3" s="120"/>
      <c r="QAM3" s="120"/>
      <c r="QAN3" s="120"/>
      <c r="QAO3" s="120"/>
      <c r="QAP3" s="120"/>
      <c r="QAQ3" s="120"/>
      <c r="QAR3" s="120"/>
      <c r="QAS3" s="120"/>
      <c r="QAT3" s="120"/>
      <c r="QAU3" s="120"/>
      <c r="QAV3" s="120"/>
      <c r="QAW3" s="120"/>
      <c r="QAX3" s="120"/>
      <c r="QAY3" s="120"/>
      <c r="QAZ3" s="120"/>
      <c r="QBA3" s="120"/>
      <c r="QBB3" s="120"/>
      <c r="QBC3" s="120"/>
      <c r="QBD3" s="120"/>
      <c r="QBE3" s="120"/>
      <c r="QBF3" s="120"/>
      <c r="QBG3" s="120"/>
      <c r="QBH3" s="120"/>
      <c r="QBI3" s="120"/>
      <c r="QBJ3" s="120"/>
      <c r="QBK3" s="120"/>
      <c r="QBL3" s="120"/>
      <c r="QBM3" s="120"/>
      <c r="QBN3" s="120"/>
      <c r="QBO3" s="120"/>
      <c r="QBP3" s="120"/>
      <c r="QBQ3" s="120"/>
      <c r="QBR3" s="120"/>
      <c r="QBS3" s="120"/>
      <c r="QBT3" s="120"/>
      <c r="QBU3" s="120"/>
      <c r="QBV3" s="120"/>
      <c r="QBW3" s="120"/>
      <c r="QBX3" s="120"/>
      <c r="QBY3" s="120"/>
      <c r="QBZ3" s="120"/>
      <c r="QCA3" s="120"/>
      <c r="QCB3" s="120"/>
      <c r="QCC3" s="120"/>
      <c r="QCD3" s="120"/>
      <c r="QCE3" s="120"/>
      <c r="QCF3" s="120"/>
      <c r="QCG3" s="120"/>
      <c r="QCH3" s="120"/>
      <c r="QCI3" s="120"/>
      <c r="QCJ3" s="120"/>
      <c r="QCK3" s="120"/>
      <c r="QCL3" s="120"/>
      <c r="QCM3" s="120"/>
      <c r="QCN3" s="120"/>
      <c r="QCO3" s="120"/>
      <c r="QCP3" s="120"/>
      <c r="QCQ3" s="120"/>
      <c r="QCR3" s="120"/>
      <c r="QCS3" s="120"/>
      <c r="QCT3" s="120"/>
      <c r="QCU3" s="120"/>
      <c r="QCV3" s="120"/>
      <c r="QCW3" s="120"/>
      <c r="QCX3" s="120"/>
      <c r="QCY3" s="120"/>
      <c r="QCZ3" s="120"/>
      <c r="QDA3" s="120"/>
      <c r="QDB3" s="120"/>
      <c r="QDC3" s="120"/>
      <c r="QDD3" s="120"/>
      <c r="QDE3" s="120"/>
      <c r="QDF3" s="120"/>
      <c r="QDG3" s="120"/>
      <c r="QDH3" s="120"/>
      <c r="QDI3" s="120"/>
      <c r="QDJ3" s="120"/>
      <c r="QDK3" s="120"/>
      <c r="QDL3" s="120"/>
      <c r="QDM3" s="120"/>
      <c r="QDN3" s="120"/>
      <c r="QDO3" s="120"/>
      <c r="QDP3" s="120"/>
      <c r="QDQ3" s="120"/>
      <c r="QDR3" s="120"/>
      <c r="QDS3" s="120"/>
      <c r="QDT3" s="120"/>
      <c r="QDU3" s="120"/>
      <c r="QDV3" s="120"/>
      <c r="QDW3" s="120"/>
      <c r="QDX3" s="120"/>
      <c r="QDY3" s="120"/>
      <c r="QDZ3" s="120"/>
      <c r="QEA3" s="120"/>
      <c r="QEB3" s="120"/>
      <c r="QEC3" s="120"/>
      <c r="QED3" s="120"/>
      <c r="QEE3" s="120"/>
      <c r="QEF3" s="120"/>
      <c r="QEG3" s="120"/>
      <c r="QEH3" s="120"/>
      <c r="QEI3" s="120"/>
      <c r="QEJ3" s="120"/>
      <c r="QEK3" s="120"/>
      <c r="QEL3" s="120"/>
      <c r="QEM3" s="120"/>
      <c r="QEN3" s="120"/>
      <c r="QEO3" s="120"/>
      <c r="QEP3" s="120"/>
      <c r="QEQ3" s="120"/>
      <c r="QER3" s="120"/>
      <c r="QES3" s="120"/>
      <c r="QET3" s="120"/>
      <c r="QEU3" s="120"/>
      <c r="QEV3" s="120"/>
      <c r="QEW3" s="120"/>
      <c r="QEX3" s="120"/>
      <c r="QEY3" s="120"/>
      <c r="QEZ3" s="120"/>
      <c r="QFA3" s="120"/>
      <c r="QFB3" s="120"/>
      <c r="QFC3" s="120"/>
      <c r="QFD3" s="120"/>
      <c r="QFE3" s="120"/>
      <c r="QFF3" s="120"/>
      <c r="QFG3" s="120"/>
      <c r="QFH3" s="120"/>
      <c r="QFI3" s="120"/>
      <c r="QFJ3" s="120"/>
      <c r="QFK3" s="120"/>
      <c r="QFL3" s="120"/>
      <c r="QFM3" s="120"/>
      <c r="QFN3" s="120"/>
      <c r="QFO3" s="120"/>
      <c r="QFP3" s="120"/>
      <c r="QFQ3" s="120"/>
      <c r="QFR3" s="120"/>
      <c r="QFS3" s="120"/>
      <c r="QFT3" s="120"/>
      <c r="QFU3" s="120"/>
      <c r="QFV3" s="120"/>
      <c r="QFW3" s="120"/>
      <c r="QFX3" s="120"/>
      <c r="QFY3" s="120"/>
      <c r="QFZ3" s="120"/>
      <c r="QGA3" s="120"/>
      <c r="QGB3" s="120"/>
      <c r="QGC3" s="120"/>
      <c r="QGD3" s="120"/>
      <c r="QGE3" s="120"/>
      <c r="QGF3" s="120"/>
      <c r="QGG3" s="120"/>
      <c r="QGH3" s="120"/>
      <c r="QGI3" s="120"/>
      <c r="QGJ3" s="120"/>
      <c r="QGK3" s="120"/>
      <c r="QGL3" s="120"/>
      <c r="QGM3" s="120"/>
      <c r="QGN3" s="120"/>
      <c r="QGO3" s="120"/>
      <c r="QGP3" s="120"/>
      <c r="QGQ3" s="120"/>
      <c r="QGR3" s="120"/>
      <c r="QGS3" s="120"/>
      <c r="QGT3" s="120"/>
      <c r="QGU3" s="120"/>
      <c r="QGV3" s="120"/>
      <c r="QGW3" s="120"/>
      <c r="QGX3" s="120"/>
      <c r="QGY3" s="120"/>
      <c r="QGZ3" s="120"/>
      <c r="QHA3" s="120"/>
      <c r="QHB3" s="120"/>
      <c r="QHC3" s="120"/>
      <c r="QHD3" s="120"/>
      <c r="QHE3" s="120"/>
      <c r="QHF3" s="120"/>
      <c r="QHG3" s="120"/>
      <c r="QHH3" s="120"/>
      <c r="QHI3" s="120"/>
      <c r="QHJ3" s="120"/>
      <c r="QHK3" s="120"/>
      <c r="QHL3" s="120"/>
      <c r="QHM3" s="120"/>
      <c r="QHN3" s="120"/>
      <c r="QHO3" s="120"/>
      <c r="QHP3" s="120"/>
      <c r="QHQ3" s="120"/>
      <c r="QHR3" s="120"/>
      <c r="QHS3" s="120"/>
      <c r="QHT3" s="120"/>
      <c r="QHU3" s="120"/>
      <c r="QHV3" s="120"/>
      <c r="QHW3" s="120"/>
      <c r="QHX3" s="120"/>
      <c r="QHY3" s="120"/>
      <c r="QHZ3" s="120"/>
      <c r="QIA3" s="120"/>
      <c r="QIB3" s="120"/>
      <c r="QIC3" s="120"/>
      <c r="QID3" s="120"/>
      <c r="QIE3" s="120"/>
      <c r="QIF3" s="120"/>
      <c r="QIG3" s="120"/>
      <c r="QIH3" s="120"/>
      <c r="QII3" s="120"/>
      <c r="QIJ3" s="120"/>
      <c r="QIK3" s="120"/>
      <c r="QIL3" s="120"/>
      <c r="QIM3" s="120"/>
      <c r="QIN3" s="120"/>
      <c r="QIO3" s="120"/>
      <c r="QIP3" s="120"/>
      <c r="QIQ3" s="120"/>
      <c r="QIR3" s="120"/>
      <c r="QIS3" s="120"/>
      <c r="QIT3" s="120"/>
      <c r="QIU3" s="120"/>
      <c r="QIV3" s="120"/>
      <c r="QIW3" s="120"/>
      <c r="QIX3" s="120"/>
      <c r="QIY3" s="120"/>
      <c r="QIZ3" s="120"/>
      <c r="QJA3" s="120"/>
      <c r="QJB3" s="120"/>
      <c r="QJC3" s="120"/>
      <c r="QJD3" s="120"/>
      <c r="QJE3" s="120"/>
      <c r="QJF3" s="120"/>
      <c r="QJG3" s="120"/>
      <c r="QJH3" s="120"/>
      <c r="QJI3" s="120"/>
      <c r="QJJ3" s="120"/>
      <c r="QJK3" s="120"/>
      <c r="QJL3" s="120"/>
      <c r="QJM3" s="120"/>
      <c r="QJN3" s="120"/>
      <c r="QJO3" s="120"/>
      <c r="QJP3" s="120"/>
      <c r="QJQ3" s="120"/>
      <c r="QJR3" s="120"/>
      <c r="QJS3" s="120"/>
      <c r="QJT3" s="120"/>
      <c r="QJU3" s="120"/>
      <c r="QJV3" s="120"/>
      <c r="QJW3" s="120"/>
      <c r="QJX3" s="120"/>
      <c r="QJY3" s="120"/>
      <c r="QJZ3" s="120"/>
      <c r="QKA3" s="120"/>
      <c r="QKB3" s="120"/>
      <c r="QKC3" s="120"/>
      <c r="QKD3" s="120"/>
      <c r="QKE3" s="120"/>
      <c r="QKF3" s="120"/>
      <c r="QKG3" s="120"/>
      <c r="QKH3" s="120"/>
      <c r="QKI3" s="120"/>
      <c r="QKJ3" s="120"/>
      <c r="QKK3" s="120"/>
      <c r="QKL3" s="120"/>
      <c r="QKM3" s="120"/>
      <c r="QKN3" s="120"/>
      <c r="QKO3" s="120"/>
      <c r="QKP3" s="120"/>
      <c r="QKQ3" s="120"/>
      <c r="QKR3" s="120"/>
      <c r="QKS3" s="120"/>
      <c r="QKT3" s="120"/>
      <c r="QKU3" s="120"/>
      <c r="QKV3" s="120"/>
      <c r="QKW3" s="120"/>
      <c r="QKX3" s="120"/>
      <c r="QKY3" s="120"/>
      <c r="QKZ3" s="120"/>
      <c r="QLA3" s="120"/>
      <c r="QLB3" s="120"/>
      <c r="QLC3" s="120"/>
      <c r="QLD3" s="120"/>
      <c r="QLE3" s="120"/>
      <c r="QLF3" s="120"/>
      <c r="QLG3" s="120"/>
      <c r="QLH3" s="120"/>
      <c r="QLI3" s="120"/>
      <c r="QLJ3" s="120"/>
      <c r="QLK3" s="120"/>
      <c r="QLL3" s="120"/>
      <c r="QLM3" s="120"/>
      <c r="QLN3" s="120"/>
      <c r="QLO3" s="120"/>
      <c r="QLP3" s="120"/>
      <c r="QLQ3" s="120"/>
      <c r="QLR3" s="120"/>
      <c r="QLS3" s="120"/>
      <c r="QLT3" s="120"/>
      <c r="QLU3" s="120"/>
      <c r="QLV3" s="120"/>
      <c r="QLW3" s="120"/>
      <c r="QLX3" s="120"/>
      <c r="QLY3" s="120"/>
      <c r="QLZ3" s="120"/>
      <c r="QMA3" s="120"/>
      <c r="QMB3" s="120"/>
      <c r="QMC3" s="120"/>
      <c r="QMD3" s="120"/>
      <c r="QME3" s="120"/>
      <c r="QMF3" s="120"/>
      <c r="QMG3" s="120"/>
      <c r="QMH3" s="120"/>
      <c r="QMI3" s="120"/>
      <c r="QMJ3" s="120"/>
      <c r="QMK3" s="120"/>
      <c r="QML3" s="120"/>
      <c r="QMM3" s="120"/>
      <c r="QMN3" s="120"/>
      <c r="QMO3" s="120"/>
      <c r="QMP3" s="120"/>
      <c r="QMQ3" s="120"/>
      <c r="QMR3" s="120"/>
      <c r="QMS3" s="120"/>
      <c r="QMT3" s="120"/>
      <c r="QMU3" s="120"/>
      <c r="QMV3" s="120"/>
      <c r="QMW3" s="120"/>
      <c r="QMX3" s="120"/>
      <c r="QMY3" s="120"/>
      <c r="QMZ3" s="120"/>
      <c r="QNA3" s="120"/>
      <c r="QNB3" s="120"/>
      <c r="QNC3" s="120"/>
      <c r="QND3" s="120"/>
      <c r="QNE3" s="120"/>
      <c r="QNF3" s="120"/>
      <c r="QNG3" s="120"/>
      <c r="QNH3" s="120"/>
      <c r="QNI3" s="120"/>
      <c r="QNJ3" s="120"/>
      <c r="QNK3" s="120"/>
      <c r="QNL3" s="120"/>
      <c r="QNM3" s="120"/>
      <c r="QNN3" s="120"/>
      <c r="QNO3" s="120"/>
      <c r="QNP3" s="120"/>
      <c r="QNQ3" s="120"/>
      <c r="QNR3" s="120"/>
      <c r="QNS3" s="120"/>
      <c r="QNT3" s="120"/>
      <c r="QNU3" s="120"/>
      <c r="QNV3" s="120"/>
      <c r="QNW3" s="120"/>
      <c r="QNX3" s="120"/>
      <c r="QNY3" s="120"/>
      <c r="QNZ3" s="120"/>
      <c r="QOA3" s="120"/>
      <c r="QOB3" s="120"/>
      <c r="QOC3" s="120"/>
      <c r="QOD3" s="120"/>
      <c r="QOE3" s="120"/>
      <c r="QOF3" s="120"/>
      <c r="QOG3" s="120"/>
      <c r="QOH3" s="120"/>
      <c r="QOI3" s="120"/>
      <c r="QOJ3" s="120"/>
      <c r="QOK3" s="120"/>
      <c r="QOL3" s="120"/>
      <c r="QOM3" s="120"/>
      <c r="QON3" s="120"/>
      <c r="QOO3" s="120"/>
      <c r="QOP3" s="120"/>
      <c r="QOQ3" s="120"/>
      <c r="QOR3" s="120"/>
      <c r="QOS3" s="120"/>
      <c r="QOT3" s="120"/>
      <c r="QOU3" s="120"/>
      <c r="QOV3" s="120"/>
      <c r="QOW3" s="120"/>
      <c r="QOX3" s="120"/>
      <c r="QOY3" s="120"/>
      <c r="QOZ3" s="120"/>
      <c r="QPA3" s="120"/>
      <c r="QPB3" s="120"/>
      <c r="QPC3" s="120"/>
      <c r="QPD3" s="120"/>
      <c r="QPE3" s="120"/>
      <c r="QPF3" s="120"/>
      <c r="QPG3" s="120"/>
      <c r="QPH3" s="120"/>
      <c r="QPI3" s="120"/>
      <c r="QPJ3" s="120"/>
      <c r="QPK3" s="120"/>
      <c r="QPL3" s="120"/>
      <c r="QPM3" s="120"/>
      <c r="QPN3" s="120"/>
      <c r="QPO3" s="120"/>
      <c r="QPP3" s="120"/>
      <c r="QPQ3" s="120"/>
      <c r="QPR3" s="120"/>
      <c r="QPS3" s="120"/>
      <c r="QPT3" s="120"/>
      <c r="QPU3" s="120"/>
      <c r="QPV3" s="120"/>
      <c r="QPW3" s="120"/>
      <c r="QPX3" s="120"/>
      <c r="QPY3" s="120"/>
      <c r="QPZ3" s="120"/>
      <c r="QQA3" s="120"/>
      <c r="QQB3" s="120"/>
      <c r="QQC3" s="120"/>
      <c r="QQD3" s="120"/>
      <c r="QQE3" s="120"/>
      <c r="QQF3" s="120"/>
      <c r="QQG3" s="120"/>
      <c r="QQH3" s="120"/>
      <c r="QQI3" s="120"/>
      <c r="QQJ3" s="120"/>
      <c r="QQK3" s="120"/>
      <c r="QQL3" s="120"/>
      <c r="QQM3" s="120"/>
      <c r="QQN3" s="120"/>
      <c r="QQO3" s="120"/>
      <c r="QQP3" s="120"/>
      <c r="QQQ3" s="120"/>
      <c r="QQR3" s="120"/>
      <c r="QQS3" s="120"/>
      <c r="QQT3" s="120"/>
      <c r="QQU3" s="120"/>
      <c r="QQV3" s="120"/>
      <c r="QQW3" s="120"/>
      <c r="QQX3" s="120"/>
      <c r="QQY3" s="120"/>
      <c r="QQZ3" s="120"/>
      <c r="QRA3" s="120"/>
      <c r="QRB3" s="120"/>
      <c r="QRC3" s="120"/>
      <c r="QRD3" s="120"/>
      <c r="QRE3" s="120"/>
      <c r="QRF3" s="120"/>
      <c r="QRG3" s="120"/>
      <c r="QRH3" s="120"/>
      <c r="QRI3" s="120"/>
      <c r="QRJ3" s="120"/>
      <c r="QRK3" s="120"/>
      <c r="QRL3" s="120"/>
      <c r="QRM3" s="120"/>
      <c r="QRN3" s="120"/>
      <c r="QRO3" s="120"/>
      <c r="QRP3" s="120"/>
      <c r="QRQ3" s="120"/>
      <c r="QRR3" s="120"/>
      <c r="QRS3" s="120"/>
      <c r="QRT3" s="120"/>
      <c r="QRU3" s="120"/>
      <c r="QRV3" s="120"/>
      <c r="QRW3" s="120"/>
      <c r="QRX3" s="120"/>
      <c r="QRY3" s="120"/>
      <c r="QRZ3" s="120"/>
      <c r="QSA3" s="120"/>
      <c r="QSB3" s="120"/>
      <c r="QSC3" s="120"/>
      <c r="QSD3" s="120"/>
      <c r="QSE3" s="120"/>
      <c r="QSF3" s="120"/>
      <c r="QSG3" s="120"/>
      <c r="QSH3" s="120"/>
      <c r="QSI3" s="120"/>
      <c r="QSJ3" s="120"/>
      <c r="QSK3" s="120"/>
      <c r="QSL3" s="120"/>
      <c r="QSM3" s="120"/>
      <c r="QSN3" s="120"/>
      <c r="QSO3" s="120"/>
      <c r="QSP3" s="120"/>
      <c r="QSQ3" s="120"/>
      <c r="QSR3" s="120"/>
      <c r="QSS3" s="120"/>
      <c r="QST3" s="120"/>
      <c r="QSU3" s="120"/>
      <c r="QSV3" s="120"/>
      <c r="QSW3" s="120"/>
      <c r="QSX3" s="120"/>
      <c r="QSY3" s="120"/>
      <c r="QSZ3" s="120"/>
      <c r="QTA3" s="120"/>
      <c r="QTB3" s="120"/>
      <c r="QTC3" s="120"/>
      <c r="QTD3" s="120"/>
      <c r="QTE3" s="120"/>
      <c r="QTF3" s="120"/>
      <c r="QTG3" s="120"/>
      <c r="QTH3" s="120"/>
      <c r="QTI3" s="120"/>
      <c r="QTJ3" s="120"/>
      <c r="QTK3" s="120"/>
      <c r="QTL3" s="120"/>
      <c r="QTM3" s="120"/>
      <c r="QTN3" s="120"/>
      <c r="QTO3" s="120"/>
      <c r="QTP3" s="120"/>
      <c r="QTQ3" s="120"/>
      <c r="QTR3" s="120"/>
      <c r="QTS3" s="120"/>
      <c r="QTT3" s="120"/>
      <c r="QTU3" s="120"/>
      <c r="QTV3" s="120"/>
      <c r="QTW3" s="120"/>
      <c r="QTX3" s="120"/>
      <c r="QTY3" s="120"/>
      <c r="QTZ3" s="120"/>
      <c r="QUA3" s="120"/>
      <c r="QUB3" s="120"/>
      <c r="QUC3" s="120"/>
      <c r="QUD3" s="120"/>
      <c r="QUE3" s="120"/>
      <c r="QUF3" s="120"/>
      <c r="QUG3" s="120"/>
      <c r="QUH3" s="120"/>
      <c r="QUI3" s="120"/>
      <c r="QUJ3" s="120"/>
      <c r="QUK3" s="120"/>
      <c r="QUL3" s="120"/>
      <c r="QUM3" s="120"/>
      <c r="QUN3" s="120"/>
      <c r="QUO3" s="120"/>
      <c r="QUP3" s="120"/>
      <c r="QUQ3" s="120"/>
      <c r="QUR3" s="120"/>
      <c r="QUS3" s="120"/>
      <c r="QUT3" s="120"/>
      <c r="QUU3" s="120"/>
      <c r="QUV3" s="120"/>
      <c r="QUW3" s="120"/>
      <c r="QUX3" s="120"/>
      <c r="QUY3" s="120"/>
      <c r="QUZ3" s="120"/>
      <c r="QVA3" s="120"/>
      <c r="QVB3" s="120"/>
      <c r="QVC3" s="120"/>
      <c r="QVD3" s="120"/>
      <c r="QVE3" s="120"/>
      <c r="QVF3" s="120"/>
      <c r="QVG3" s="120"/>
      <c r="QVH3" s="120"/>
      <c r="QVI3" s="120"/>
      <c r="QVJ3" s="120"/>
      <c r="QVK3" s="120"/>
      <c r="QVL3" s="120"/>
      <c r="QVM3" s="120"/>
      <c r="QVN3" s="120"/>
      <c r="QVO3" s="120"/>
      <c r="QVP3" s="120"/>
      <c r="QVQ3" s="120"/>
      <c r="QVR3" s="120"/>
      <c r="QVS3" s="120"/>
      <c r="QVT3" s="120"/>
      <c r="QVU3" s="120"/>
      <c r="QVV3" s="120"/>
      <c r="QVW3" s="120"/>
      <c r="QVX3" s="120"/>
      <c r="QVY3" s="120"/>
      <c r="QVZ3" s="120"/>
      <c r="QWA3" s="120"/>
      <c r="QWB3" s="120"/>
      <c r="QWC3" s="120"/>
      <c r="QWD3" s="120"/>
      <c r="QWE3" s="120"/>
      <c r="QWF3" s="120"/>
      <c r="QWG3" s="120"/>
      <c r="QWH3" s="120"/>
      <c r="QWI3" s="120"/>
      <c r="QWJ3" s="120"/>
      <c r="QWK3" s="120"/>
      <c r="QWL3" s="120"/>
      <c r="QWM3" s="120"/>
      <c r="QWN3" s="120"/>
      <c r="QWO3" s="120"/>
      <c r="QWP3" s="120"/>
      <c r="QWQ3" s="120"/>
      <c r="QWR3" s="120"/>
      <c r="QWS3" s="120"/>
      <c r="QWT3" s="120"/>
      <c r="QWU3" s="120"/>
      <c r="QWV3" s="120"/>
      <c r="QWW3" s="120"/>
      <c r="QWX3" s="120"/>
      <c r="QWY3" s="120"/>
      <c r="QWZ3" s="120"/>
      <c r="QXA3" s="120"/>
      <c r="QXB3" s="120"/>
      <c r="QXC3" s="120"/>
      <c r="QXD3" s="120"/>
      <c r="QXE3" s="120"/>
      <c r="QXF3" s="120"/>
      <c r="QXG3" s="120"/>
      <c r="QXH3" s="120"/>
      <c r="QXI3" s="120"/>
      <c r="QXJ3" s="120"/>
      <c r="QXK3" s="120"/>
      <c r="QXL3" s="120"/>
      <c r="QXM3" s="120"/>
      <c r="QXN3" s="120"/>
      <c r="QXO3" s="120"/>
      <c r="QXP3" s="120"/>
      <c r="QXQ3" s="120"/>
      <c r="QXR3" s="120"/>
      <c r="QXS3" s="120"/>
      <c r="QXT3" s="120"/>
      <c r="QXU3" s="120"/>
      <c r="QXV3" s="120"/>
      <c r="QXW3" s="120"/>
      <c r="QXX3" s="120"/>
      <c r="QXY3" s="120"/>
      <c r="QXZ3" s="120"/>
      <c r="QYA3" s="120"/>
      <c r="QYB3" s="120"/>
      <c r="QYC3" s="120"/>
      <c r="QYD3" s="120"/>
      <c r="QYE3" s="120"/>
      <c r="QYF3" s="120"/>
      <c r="QYG3" s="120"/>
      <c r="QYH3" s="120"/>
      <c r="QYI3" s="120"/>
      <c r="QYJ3" s="120"/>
      <c r="QYK3" s="120"/>
      <c r="QYL3" s="120"/>
      <c r="QYM3" s="120"/>
      <c r="QYN3" s="120"/>
      <c r="QYO3" s="120"/>
      <c r="QYP3" s="120"/>
      <c r="QYQ3" s="120"/>
      <c r="QYR3" s="120"/>
      <c r="QYS3" s="120"/>
      <c r="QYT3" s="120"/>
      <c r="QYU3" s="120"/>
      <c r="QYV3" s="120"/>
      <c r="QYW3" s="120"/>
      <c r="QYX3" s="120"/>
      <c r="QYY3" s="120"/>
      <c r="QYZ3" s="120"/>
      <c r="QZA3" s="120"/>
      <c r="QZB3" s="120"/>
      <c r="QZC3" s="120"/>
      <c r="QZD3" s="120"/>
      <c r="QZE3" s="120"/>
      <c r="QZF3" s="120"/>
      <c r="QZG3" s="120"/>
      <c r="QZH3" s="120"/>
      <c r="QZI3" s="120"/>
      <c r="QZJ3" s="120"/>
      <c r="QZK3" s="120"/>
      <c r="QZL3" s="120"/>
      <c r="QZM3" s="120"/>
      <c r="QZN3" s="120"/>
      <c r="QZO3" s="120"/>
      <c r="QZP3" s="120"/>
      <c r="QZQ3" s="120"/>
      <c r="QZR3" s="120"/>
      <c r="QZS3" s="120"/>
      <c r="QZT3" s="120"/>
      <c r="QZU3" s="120"/>
      <c r="QZV3" s="120"/>
      <c r="QZW3" s="120"/>
      <c r="QZX3" s="120"/>
      <c r="QZY3" s="120"/>
      <c r="QZZ3" s="120"/>
      <c r="RAA3" s="120"/>
      <c r="RAB3" s="120"/>
      <c r="RAC3" s="120"/>
      <c r="RAD3" s="120"/>
      <c r="RAE3" s="120"/>
      <c r="RAF3" s="120"/>
      <c r="RAG3" s="120"/>
      <c r="RAH3" s="120"/>
      <c r="RAI3" s="120"/>
      <c r="RAJ3" s="120"/>
      <c r="RAK3" s="120"/>
      <c r="RAL3" s="120"/>
      <c r="RAM3" s="120"/>
      <c r="RAN3" s="120"/>
      <c r="RAO3" s="120"/>
      <c r="RAP3" s="120"/>
      <c r="RAQ3" s="120"/>
      <c r="RAR3" s="120"/>
      <c r="RAS3" s="120"/>
      <c r="RAT3" s="120"/>
      <c r="RAU3" s="120"/>
      <c r="RAV3" s="120"/>
      <c r="RAW3" s="120"/>
      <c r="RAX3" s="120"/>
      <c r="RAY3" s="120"/>
      <c r="RAZ3" s="120"/>
      <c r="RBA3" s="120"/>
      <c r="RBB3" s="120"/>
      <c r="RBC3" s="120"/>
      <c r="RBD3" s="120"/>
      <c r="RBE3" s="120"/>
      <c r="RBF3" s="120"/>
      <c r="RBG3" s="120"/>
      <c r="RBH3" s="120"/>
      <c r="RBI3" s="120"/>
      <c r="RBJ3" s="120"/>
      <c r="RBK3" s="120"/>
      <c r="RBL3" s="120"/>
      <c r="RBM3" s="120"/>
      <c r="RBN3" s="120"/>
      <c r="RBO3" s="120"/>
      <c r="RBP3" s="120"/>
      <c r="RBQ3" s="120"/>
      <c r="RBR3" s="120"/>
      <c r="RBS3" s="120"/>
      <c r="RBT3" s="120"/>
      <c r="RBU3" s="120"/>
      <c r="RBV3" s="120"/>
      <c r="RBW3" s="120"/>
      <c r="RBX3" s="120"/>
      <c r="RBY3" s="120"/>
      <c r="RBZ3" s="120"/>
      <c r="RCA3" s="120"/>
      <c r="RCB3" s="120"/>
      <c r="RCC3" s="120"/>
      <c r="RCD3" s="120"/>
      <c r="RCE3" s="120"/>
      <c r="RCF3" s="120"/>
      <c r="RCG3" s="120"/>
      <c r="RCH3" s="120"/>
      <c r="RCI3" s="120"/>
      <c r="RCJ3" s="120"/>
      <c r="RCK3" s="120"/>
      <c r="RCL3" s="120"/>
      <c r="RCM3" s="120"/>
      <c r="RCN3" s="120"/>
      <c r="RCO3" s="120"/>
      <c r="RCP3" s="120"/>
      <c r="RCQ3" s="120"/>
      <c r="RCR3" s="120"/>
      <c r="RCS3" s="120"/>
      <c r="RCT3" s="120"/>
      <c r="RCU3" s="120"/>
      <c r="RCV3" s="120"/>
      <c r="RCW3" s="120"/>
      <c r="RCX3" s="120"/>
      <c r="RCY3" s="120"/>
      <c r="RCZ3" s="120"/>
      <c r="RDA3" s="120"/>
      <c r="RDB3" s="120"/>
      <c r="RDC3" s="120"/>
      <c r="RDD3" s="120"/>
      <c r="RDE3" s="120"/>
      <c r="RDF3" s="120"/>
      <c r="RDG3" s="120"/>
      <c r="RDH3" s="120"/>
      <c r="RDI3" s="120"/>
      <c r="RDJ3" s="120"/>
      <c r="RDK3" s="120"/>
      <c r="RDL3" s="120"/>
      <c r="RDM3" s="120"/>
      <c r="RDN3" s="120"/>
      <c r="RDO3" s="120"/>
      <c r="RDP3" s="120"/>
      <c r="RDQ3" s="120"/>
      <c r="RDR3" s="120"/>
      <c r="RDS3" s="120"/>
      <c r="RDT3" s="120"/>
      <c r="RDU3" s="120"/>
      <c r="RDV3" s="120"/>
      <c r="RDW3" s="120"/>
      <c r="RDX3" s="120"/>
      <c r="RDY3" s="120"/>
      <c r="RDZ3" s="120"/>
      <c r="REA3" s="120"/>
      <c r="REB3" s="120"/>
      <c r="REC3" s="120"/>
      <c r="RED3" s="120"/>
      <c r="REE3" s="120"/>
      <c r="REF3" s="120"/>
      <c r="REG3" s="120"/>
      <c r="REH3" s="120"/>
      <c r="REI3" s="120"/>
      <c r="REJ3" s="120"/>
      <c r="REK3" s="120"/>
      <c r="REL3" s="120"/>
      <c r="REM3" s="120"/>
      <c r="REN3" s="120"/>
      <c r="REO3" s="120"/>
      <c r="REP3" s="120"/>
      <c r="REQ3" s="120"/>
      <c r="RER3" s="120"/>
      <c r="RES3" s="120"/>
      <c r="RET3" s="120"/>
      <c r="REU3" s="120"/>
      <c r="REV3" s="120"/>
      <c r="REW3" s="120"/>
      <c r="REX3" s="120"/>
      <c r="REY3" s="120"/>
      <c r="REZ3" s="120"/>
      <c r="RFA3" s="120"/>
      <c r="RFB3" s="120"/>
      <c r="RFC3" s="120"/>
      <c r="RFD3" s="120"/>
      <c r="RFE3" s="120"/>
      <c r="RFF3" s="120"/>
      <c r="RFG3" s="120"/>
      <c r="RFH3" s="120"/>
      <c r="RFI3" s="120"/>
      <c r="RFJ3" s="120"/>
      <c r="RFK3" s="120"/>
      <c r="RFL3" s="120"/>
      <c r="RFM3" s="120"/>
      <c r="RFN3" s="120"/>
      <c r="RFO3" s="120"/>
      <c r="RFP3" s="120"/>
      <c r="RFQ3" s="120"/>
      <c r="RFR3" s="120"/>
      <c r="RFS3" s="120"/>
      <c r="RFT3" s="120"/>
      <c r="RFU3" s="120"/>
      <c r="RFV3" s="120"/>
      <c r="RFW3" s="120"/>
      <c r="RFX3" s="120"/>
      <c r="RFY3" s="120"/>
      <c r="RFZ3" s="120"/>
      <c r="RGA3" s="120"/>
      <c r="RGB3" s="120"/>
      <c r="RGC3" s="120"/>
      <c r="RGD3" s="120"/>
      <c r="RGE3" s="120"/>
      <c r="RGF3" s="120"/>
      <c r="RGG3" s="120"/>
      <c r="RGH3" s="120"/>
      <c r="RGI3" s="120"/>
      <c r="RGJ3" s="120"/>
      <c r="RGK3" s="120"/>
      <c r="RGL3" s="120"/>
      <c r="RGM3" s="120"/>
      <c r="RGN3" s="120"/>
      <c r="RGO3" s="120"/>
      <c r="RGP3" s="120"/>
      <c r="RGQ3" s="120"/>
      <c r="RGR3" s="120"/>
      <c r="RGS3" s="120"/>
      <c r="RGT3" s="120"/>
      <c r="RGU3" s="120"/>
      <c r="RGV3" s="120"/>
      <c r="RGW3" s="120"/>
      <c r="RGX3" s="120"/>
      <c r="RGY3" s="120"/>
      <c r="RGZ3" s="120"/>
      <c r="RHA3" s="120"/>
      <c r="RHB3" s="120"/>
      <c r="RHC3" s="120"/>
      <c r="RHD3" s="120"/>
      <c r="RHE3" s="120"/>
      <c r="RHF3" s="120"/>
      <c r="RHG3" s="120"/>
      <c r="RHH3" s="120"/>
      <c r="RHI3" s="120"/>
      <c r="RHJ3" s="120"/>
      <c r="RHK3" s="120"/>
      <c r="RHL3" s="120"/>
      <c r="RHM3" s="120"/>
      <c r="RHN3" s="120"/>
      <c r="RHO3" s="120"/>
      <c r="RHP3" s="120"/>
      <c r="RHQ3" s="120"/>
      <c r="RHR3" s="120"/>
      <c r="RHS3" s="120"/>
      <c r="RHT3" s="120"/>
      <c r="RHU3" s="120"/>
      <c r="RHV3" s="120"/>
      <c r="RHW3" s="120"/>
      <c r="RHX3" s="120"/>
      <c r="RHY3" s="120"/>
      <c r="RHZ3" s="120"/>
      <c r="RIA3" s="120"/>
      <c r="RIB3" s="120"/>
      <c r="RIC3" s="120"/>
      <c r="RID3" s="120"/>
      <c r="RIE3" s="120"/>
      <c r="RIF3" s="120"/>
      <c r="RIG3" s="120"/>
      <c r="RIH3" s="120"/>
      <c r="RII3" s="120"/>
      <c r="RIJ3" s="120"/>
      <c r="RIK3" s="120"/>
      <c r="RIL3" s="120"/>
      <c r="RIM3" s="120"/>
      <c r="RIN3" s="120"/>
      <c r="RIO3" s="120"/>
      <c r="RIP3" s="120"/>
      <c r="RIQ3" s="120"/>
      <c r="RIR3" s="120"/>
      <c r="RIS3" s="120"/>
      <c r="RIT3" s="120"/>
      <c r="RIU3" s="120"/>
      <c r="RIV3" s="120"/>
      <c r="RIW3" s="120"/>
      <c r="RIX3" s="120"/>
      <c r="RIY3" s="120"/>
      <c r="RIZ3" s="120"/>
      <c r="RJA3" s="120"/>
      <c r="RJB3" s="120"/>
      <c r="RJC3" s="120"/>
      <c r="RJD3" s="120"/>
      <c r="RJE3" s="120"/>
      <c r="RJF3" s="120"/>
      <c r="RJG3" s="120"/>
      <c r="RJH3" s="120"/>
      <c r="RJI3" s="120"/>
      <c r="RJJ3" s="120"/>
      <c r="RJK3" s="120"/>
      <c r="RJL3" s="120"/>
      <c r="RJM3" s="120"/>
      <c r="RJN3" s="120"/>
      <c r="RJO3" s="120"/>
      <c r="RJP3" s="120"/>
      <c r="RJQ3" s="120"/>
      <c r="RJR3" s="120"/>
      <c r="RJS3" s="120"/>
      <c r="RJT3" s="120"/>
      <c r="RJU3" s="120"/>
      <c r="RJV3" s="120"/>
      <c r="RJW3" s="120"/>
      <c r="RJX3" s="120"/>
      <c r="RJY3" s="120"/>
      <c r="RJZ3" s="120"/>
      <c r="RKA3" s="120"/>
      <c r="RKB3" s="120"/>
      <c r="RKC3" s="120"/>
      <c r="RKD3" s="120"/>
      <c r="RKE3" s="120"/>
      <c r="RKF3" s="120"/>
      <c r="RKG3" s="120"/>
      <c r="RKH3" s="120"/>
      <c r="RKI3" s="120"/>
      <c r="RKJ3" s="120"/>
      <c r="RKK3" s="120"/>
      <c r="RKL3" s="120"/>
      <c r="RKM3" s="120"/>
      <c r="RKN3" s="120"/>
      <c r="RKO3" s="120"/>
      <c r="RKP3" s="120"/>
      <c r="RKQ3" s="120"/>
      <c r="RKR3" s="120"/>
      <c r="RKS3" s="120"/>
      <c r="RKT3" s="120"/>
      <c r="RKU3" s="120"/>
      <c r="RKV3" s="120"/>
      <c r="RKW3" s="120"/>
      <c r="RKX3" s="120"/>
      <c r="RKY3" s="120"/>
      <c r="RKZ3" s="120"/>
      <c r="RLA3" s="120"/>
      <c r="RLB3" s="120"/>
      <c r="RLC3" s="120"/>
      <c r="RLD3" s="120"/>
      <c r="RLE3" s="120"/>
      <c r="RLF3" s="120"/>
      <c r="RLG3" s="120"/>
      <c r="RLH3" s="120"/>
      <c r="RLI3" s="120"/>
      <c r="RLJ3" s="120"/>
      <c r="RLK3" s="120"/>
      <c r="RLL3" s="120"/>
      <c r="RLM3" s="120"/>
      <c r="RLN3" s="120"/>
      <c r="RLO3" s="120"/>
      <c r="RLP3" s="120"/>
      <c r="RLQ3" s="120"/>
      <c r="RLR3" s="120"/>
      <c r="RLS3" s="120"/>
      <c r="RLT3" s="120"/>
      <c r="RLU3" s="120"/>
      <c r="RLV3" s="120"/>
      <c r="RLW3" s="120"/>
      <c r="RLX3" s="120"/>
      <c r="RLY3" s="120"/>
      <c r="RLZ3" s="120"/>
      <c r="RMA3" s="120"/>
      <c r="RMB3" s="120"/>
      <c r="RMC3" s="120"/>
      <c r="RMD3" s="120"/>
      <c r="RME3" s="120"/>
      <c r="RMF3" s="120"/>
      <c r="RMG3" s="120"/>
      <c r="RMH3" s="120"/>
      <c r="RMI3" s="120"/>
      <c r="RMJ3" s="120"/>
      <c r="RMK3" s="120"/>
      <c r="RML3" s="120"/>
      <c r="RMM3" s="120"/>
      <c r="RMN3" s="120"/>
      <c r="RMO3" s="120"/>
      <c r="RMP3" s="120"/>
      <c r="RMQ3" s="120"/>
      <c r="RMR3" s="120"/>
      <c r="RMS3" s="120"/>
      <c r="RMT3" s="120"/>
      <c r="RMU3" s="120"/>
      <c r="RMV3" s="120"/>
      <c r="RMW3" s="120"/>
      <c r="RMX3" s="120"/>
      <c r="RMY3" s="120"/>
      <c r="RMZ3" s="120"/>
      <c r="RNA3" s="120"/>
      <c r="RNB3" s="120"/>
      <c r="RNC3" s="120"/>
      <c r="RND3" s="120"/>
      <c r="RNE3" s="120"/>
      <c r="RNF3" s="120"/>
      <c r="RNG3" s="120"/>
      <c r="RNH3" s="120"/>
      <c r="RNI3" s="120"/>
      <c r="RNJ3" s="120"/>
      <c r="RNK3" s="120"/>
      <c r="RNL3" s="120"/>
      <c r="RNM3" s="120"/>
      <c r="RNN3" s="120"/>
      <c r="RNO3" s="120"/>
      <c r="RNP3" s="120"/>
      <c r="RNQ3" s="120"/>
      <c r="RNR3" s="120"/>
      <c r="RNS3" s="120"/>
      <c r="RNT3" s="120"/>
      <c r="RNU3" s="120"/>
      <c r="RNV3" s="120"/>
      <c r="RNW3" s="120"/>
      <c r="RNX3" s="120"/>
      <c r="RNY3" s="120"/>
      <c r="RNZ3" s="120"/>
      <c r="ROA3" s="120"/>
      <c r="ROB3" s="120"/>
      <c r="ROC3" s="120"/>
      <c r="ROD3" s="120"/>
      <c r="ROE3" s="120"/>
      <c r="ROF3" s="120"/>
      <c r="ROG3" s="120"/>
      <c r="ROH3" s="120"/>
      <c r="ROI3" s="120"/>
      <c r="ROJ3" s="120"/>
      <c r="ROK3" s="120"/>
      <c r="ROL3" s="120"/>
      <c r="ROM3" s="120"/>
      <c r="RON3" s="120"/>
      <c r="ROO3" s="120"/>
      <c r="ROP3" s="120"/>
      <c r="ROQ3" s="120"/>
      <c r="ROR3" s="120"/>
      <c r="ROS3" s="120"/>
      <c r="ROT3" s="120"/>
      <c r="ROU3" s="120"/>
      <c r="ROV3" s="120"/>
      <c r="ROW3" s="120"/>
      <c r="ROX3" s="120"/>
      <c r="ROY3" s="120"/>
      <c r="ROZ3" s="120"/>
      <c r="RPA3" s="120"/>
      <c r="RPB3" s="120"/>
      <c r="RPC3" s="120"/>
      <c r="RPD3" s="120"/>
      <c r="RPE3" s="120"/>
      <c r="RPF3" s="120"/>
      <c r="RPG3" s="120"/>
      <c r="RPH3" s="120"/>
      <c r="RPI3" s="120"/>
      <c r="RPJ3" s="120"/>
      <c r="RPK3" s="120"/>
      <c r="RPL3" s="120"/>
      <c r="RPM3" s="120"/>
      <c r="RPN3" s="120"/>
      <c r="RPO3" s="120"/>
      <c r="RPP3" s="120"/>
      <c r="RPQ3" s="120"/>
      <c r="RPR3" s="120"/>
      <c r="RPS3" s="120"/>
      <c r="RPT3" s="120"/>
      <c r="RPU3" s="120"/>
      <c r="RPV3" s="120"/>
      <c r="RPW3" s="120"/>
      <c r="RPX3" s="120"/>
      <c r="RPY3" s="120"/>
      <c r="RPZ3" s="120"/>
      <c r="RQA3" s="120"/>
      <c r="RQB3" s="120"/>
      <c r="RQC3" s="120"/>
      <c r="RQD3" s="120"/>
      <c r="RQE3" s="120"/>
      <c r="RQF3" s="120"/>
      <c r="RQG3" s="120"/>
      <c r="RQH3" s="120"/>
      <c r="RQI3" s="120"/>
      <c r="RQJ3" s="120"/>
      <c r="RQK3" s="120"/>
      <c r="RQL3" s="120"/>
      <c r="RQM3" s="120"/>
      <c r="RQN3" s="120"/>
      <c r="RQO3" s="120"/>
      <c r="RQP3" s="120"/>
      <c r="RQQ3" s="120"/>
      <c r="RQR3" s="120"/>
      <c r="RQS3" s="120"/>
      <c r="RQT3" s="120"/>
      <c r="RQU3" s="120"/>
      <c r="RQV3" s="120"/>
      <c r="RQW3" s="120"/>
      <c r="RQX3" s="120"/>
      <c r="RQY3" s="120"/>
      <c r="RQZ3" s="120"/>
      <c r="RRA3" s="120"/>
      <c r="RRB3" s="120"/>
      <c r="RRC3" s="120"/>
      <c r="RRD3" s="120"/>
      <c r="RRE3" s="120"/>
      <c r="RRF3" s="120"/>
      <c r="RRG3" s="120"/>
      <c r="RRH3" s="120"/>
      <c r="RRI3" s="120"/>
      <c r="RRJ3" s="120"/>
      <c r="RRK3" s="120"/>
      <c r="RRL3" s="120"/>
      <c r="RRM3" s="120"/>
      <c r="RRN3" s="120"/>
      <c r="RRO3" s="120"/>
      <c r="RRP3" s="120"/>
      <c r="RRQ3" s="120"/>
      <c r="RRR3" s="120"/>
      <c r="RRS3" s="120"/>
      <c r="RRT3" s="120"/>
      <c r="RRU3" s="120"/>
      <c r="RRV3" s="120"/>
      <c r="RRW3" s="120"/>
      <c r="RRX3" s="120"/>
      <c r="RRY3" s="120"/>
      <c r="RRZ3" s="120"/>
      <c r="RSA3" s="120"/>
      <c r="RSB3" s="120"/>
      <c r="RSC3" s="120"/>
      <c r="RSD3" s="120"/>
      <c r="RSE3" s="120"/>
      <c r="RSF3" s="120"/>
      <c r="RSG3" s="120"/>
      <c r="RSH3" s="120"/>
      <c r="RSI3" s="120"/>
      <c r="RSJ3" s="120"/>
      <c r="RSK3" s="120"/>
      <c r="RSL3" s="120"/>
      <c r="RSM3" s="120"/>
      <c r="RSN3" s="120"/>
      <c r="RSO3" s="120"/>
      <c r="RSP3" s="120"/>
      <c r="RSQ3" s="120"/>
      <c r="RSR3" s="120"/>
      <c r="RSS3" s="120"/>
      <c r="RST3" s="120"/>
      <c r="RSU3" s="120"/>
      <c r="RSV3" s="120"/>
      <c r="RSW3" s="120"/>
      <c r="RSX3" s="120"/>
      <c r="RSY3" s="120"/>
      <c r="RSZ3" s="120"/>
      <c r="RTA3" s="120"/>
      <c r="RTB3" s="120"/>
      <c r="RTC3" s="120"/>
      <c r="RTD3" s="120"/>
      <c r="RTE3" s="120"/>
      <c r="RTF3" s="120"/>
      <c r="RTG3" s="120"/>
      <c r="RTH3" s="120"/>
      <c r="RTI3" s="120"/>
      <c r="RTJ3" s="120"/>
      <c r="RTK3" s="120"/>
      <c r="RTL3" s="120"/>
      <c r="RTM3" s="120"/>
      <c r="RTN3" s="120"/>
      <c r="RTO3" s="120"/>
      <c r="RTP3" s="120"/>
      <c r="RTQ3" s="120"/>
      <c r="RTR3" s="120"/>
      <c r="RTS3" s="120"/>
      <c r="RTT3" s="120"/>
      <c r="RTU3" s="120"/>
      <c r="RTV3" s="120"/>
      <c r="RTW3" s="120"/>
      <c r="RTX3" s="120"/>
      <c r="RTY3" s="120"/>
      <c r="RTZ3" s="120"/>
      <c r="RUA3" s="120"/>
      <c r="RUB3" s="120"/>
      <c r="RUC3" s="120"/>
      <c r="RUD3" s="120"/>
      <c r="RUE3" s="120"/>
      <c r="RUF3" s="120"/>
      <c r="RUG3" s="120"/>
      <c r="RUH3" s="120"/>
      <c r="RUI3" s="120"/>
      <c r="RUJ3" s="120"/>
      <c r="RUK3" s="120"/>
      <c r="RUL3" s="120"/>
      <c r="RUM3" s="120"/>
      <c r="RUN3" s="120"/>
      <c r="RUO3" s="120"/>
      <c r="RUP3" s="120"/>
      <c r="RUQ3" s="120"/>
      <c r="RUR3" s="120"/>
      <c r="RUS3" s="120"/>
      <c r="RUT3" s="120"/>
      <c r="RUU3" s="120"/>
      <c r="RUV3" s="120"/>
      <c r="RUW3" s="120"/>
      <c r="RUX3" s="120"/>
      <c r="RUY3" s="120"/>
      <c r="RUZ3" s="120"/>
      <c r="RVA3" s="120"/>
      <c r="RVB3" s="120"/>
      <c r="RVC3" s="120"/>
      <c r="RVD3" s="120"/>
      <c r="RVE3" s="120"/>
      <c r="RVF3" s="120"/>
      <c r="RVG3" s="120"/>
      <c r="RVH3" s="120"/>
      <c r="RVI3" s="120"/>
      <c r="RVJ3" s="120"/>
      <c r="RVK3" s="120"/>
      <c r="RVL3" s="120"/>
      <c r="RVM3" s="120"/>
      <c r="RVN3" s="120"/>
      <c r="RVO3" s="120"/>
      <c r="RVP3" s="120"/>
      <c r="RVQ3" s="120"/>
      <c r="RVR3" s="120"/>
      <c r="RVS3" s="120"/>
      <c r="RVT3" s="120"/>
      <c r="RVU3" s="120"/>
      <c r="RVV3" s="120"/>
      <c r="RVW3" s="120"/>
      <c r="RVX3" s="120"/>
      <c r="RVY3" s="120"/>
      <c r="RVZ3" s="120"/>
      <c r="RWA3" s="120"/>
      <c r="RWB3" s="120"/>
      <c r="RWC3" s="120"/>
      <c r="RWD3" s="120"/>
      <c r="RWE3" s="120"/>
      <c r="RWF3" s="120"/>
      <c r="RWG3" s="120"/>
      <c r="RWH3" s="120"/>
      <c r="RWI3" s="120"/>
      <c r="RWJ3" s="120"/>
      <c r="RWK3" s="120"/>
      <c r="RWL3" s="120"/>
      <c r="RWM3" s="120"/>
      <c r="RWN3" s="120"/>
      <c r="RWO3" s="120"/>
      <c r="RWP3" s="120"/>
      <c r="RWQ3" s="120"/>
      <c r="RWR3" s="120"/>
      <c r="RWS3" s="120"/>
      <c r="RWT3" s="120"/>
      <c r="RWU3" s="120"/>
      <c r="RWV3" s="120"/>
      <c r="RWW3" s="120"/>
      <c r="RWX3" s="120"/>
      <c r="RWY3" s="120"/>
      <c r="RWZ3" s="120"/>
      <c r="RXA3" s="120"/>
      <c r="RXB3" s="120"/>
      <c r="RXC3" s="120"/>
      <c r="RXD3" s="120"/>
      <c r="RXE3" s="120"/>
      <c r="RXF3" s="120"/>
      <c r="RXG3" s="120"/>
      <c r="RXH3" s="120"/>
      <c r="RXI3" s="120"/>
      <c r="RXJ3" s="120"/>
      <c r="RXK3" s="120"/>
      <c r="RXL3" s="120"/>
      <c r="RXM3" s="120"/>
      <c r="RXN3" s="120"/>
      <c r="RXO3" s="120"/>
      <c r="RXP3" s="120"/>
      <c r="RXQ3" s="120"/>
      <c r="RXR3" s="120"/>
      <c r="RXS3" s="120"/>
      <c r="RXT3" s="120"/>
      <c r="RXU3" s="120"/>
      <c r="RXV3" s="120"/>
      <c r="RXW3" s="120"/>
      <c r="RXX3" s="120"/>
      <c r="RXY3" s="120"/>
      <c r="RXZ3" s="120"/>
      <c r="RYA3" s="120"/>
      <c r="RYB3" s="120"/>
      <c r="RYC3" s="120"/>
      <c r="RYD3" s="120"/>
      <c r="RYE3" s="120"/>
      <c r="RYF3" s="120"/>
      <c r="RYG3" s="120"/>
      <c r="RYH3" s="120"/>
      <c r="RYI3" s="120"/>
      <c r="RYJ3" s="120"/>
      <c r="RYK3" s="120"/>
      <c r="RYL3" s="120"/>
      <c r="RYM3" s="120"/>
      <c r="RYN3" s="120"/>
      <c r="RYO3" s="120"/>
      <c r="RYP3" s="120"/>
      <c r="RYQ3" s="120"/>
      <c r="RYR3" s="120"/>
      <c r="RYS3" s="120"/>
      <c r="RYT3" s="120"/>
      <c r="RYU3" s="120"/>
      <c r="RYV3" s="120"/>
      <c r="RYW3" s="120"/>
      <c r="RYX3" s="120"/>
      <c r="RYY3" s="120"/>
      <c r="RYZ3" s="120"/>
      <c r="RZA3" s="120"/>
      <c r="RZB3" s="120"/>
      <c r="RZC3" s="120"/>
      <c r="RZD3" s="120"/>
      <c r="RZE3" s="120"/>
      <c r="RZF3" s="120"/>
      <c r="RZG3" s="120"/>
      <c r="RZH3" s="120"/>
      <c r="RZI3" s="120"/>
      <c r="RZJ3" s="120"/>
      <c r="RZK3" s="120"/>
      <c r="RZL3" s="120"/>
      <c r="RZM3" s="120"/>
      <c r="RZN3" s="120"/>
      <c r="RZO3" s="120"/>
      <c r="RZP3" s="120"/>
      <c r="RZQ3" s="120"/>
      <c r="RZR3" s="120"/>
      <c r="RZS3" s="120"/>
      <c r="RZT3" s="120"/>
      <c r="RZU3" s="120"/>
      <c r="RZV3" s="120"/>
      <c r="RZW3" s="120"/>
      <c r="RZX3" s="120"/>
      <c r="RZY3" s="120"/>
      <c r="RZZ3" s="120"/>
      <c r="SAA3" s="120"/>
      <c r="SAB3" s="120"/>
      <c r="SAC3" s="120"/>
      <c r="SAD3" s="120"/>
      <c r="SAE3" s="120"/>
      <c r="SAF3" s="120"/>
      <c r="SAG3" s="120"/>
      <c r="SAH3" s="120"/>
      <c r="SAI3" s="120"/>
      <c r="SAJ3" s="120"/>
      <c r="SAK3" s="120"/>
      <c r="SAL3" s="120"/>
      <c r="SAM3" s="120"/>
      <c r="SAN3" s="120"/>
      <c r="SAO3" s="120"/>
      <c r="SAP3" s="120"/>
      <c r="SAQ3" s="120"/>
      <c r="SAR3" s="120"/>
      <c r="SAS3" s="120"/>
      <c r="SAT3" s="120"/>
      <c r="SAU3" s="120"/>
      <c r="SAV3" s="120"/>
      <c r="SAW3" s="120"/>
      <c r="SAX3" s="120"/>
      <c r="SAY3" s="120"/>
      <c r="SAZ3" s="120"/>
      <c r="SBA3" s="120"/>
      <c r="SBB3" s="120"/>
      <c r="SBC3" s="120"/>
      <c r="SBD3" s="120"/>
      <c r="SBE3" s="120"/>
      <c r="SBF3" s="120"/>
      <c r="SBG3" s="120"/>
      <c r="SBH3" s="120"/>
      <c r="SBI3" s="120"/>
      <c r="SBJ3" s="120"/>
      <c r="SBK3" s="120"/>
      <c r="SBL3" s="120"/>
      <c r="SBM3" s="120"/>
      <c r="SBN3" s="120"/>
      <c r="SBO3" s="120"/>
      <c r="SBP3" s="120"/>
      <c r="SBQ3" s="120"/>
      <c r="SBR3" s="120"/>
      <c r="SBS3" s="120"/>
      <c r="SBT3" s="120"/>
      <c r="SBU3" s="120"/>
      <c r="SBV3" s="120"/>
      <c r="SBW3" s="120"/>
      <c r="SBX3" s="120"/>
      <c r="SBY3" s="120"/>
      <c r="SBZ3" s="120"/>
      <c r="SCA3" s="120"/>
      <c r="SCB3" s="120"/>
      <c r="SCC3" s="120"/>
      <c r="SCD3" s="120"/>
      <c r="SCE3" s="120"/>
      <c r="SCF3" s="120"/>
      <c r="SCG3" s="120"/>
      <c r="SCH3" s="120"/>
      <c r="SCI3" s="120"/>
      <c r="SCJ3" s="120"/>
      <c r="SCK3" s="120"/>
      <c r="SCL3" s="120"/>
      <c r="SCM3" s="120"/>
      <c r="SCN3" s="120"/>
      <c r="SCO3" s="120"/>
      <c r="SCP3" s="120"/>
      <c r="SCQ3" s="120"/>
      <c r="SCR3" s="120"/>
      <c r="SCS3" s="120"/>
      <c r="SCT3" s="120"/>
      <c r="SCU3" s="120"/>
      <c r="SCV3" s="120"/>
      <c r="SCW3" s="120"/>
      <c r="SCX3" s="120"/>
      <c r="SCY3" s="120"/>
      <c r="SCZ3" s="120"/>
      <c r="SDA3" s="120"/>
      <c r="SDB3" s="120"/>
      <c r="SDC3" s="120"/>
      <c r="SDD3" s="120"/>
      <c r="SDE3" s="120"/>
      <c r="SDF3" s="120"/>
      <c r="SDG3" s="120"/>
      <c r="SDH3" s="120"/>
      <c r="SDI3" s="120"/>
      <c r="SDJ3" s="120"/>
      <c r="SDK3" s="120"/>
      <c r="SDL3" s="120"/>
      <c r="SDM3" s="120"/>
      <c r="SDN3" s="120"/>
      <c r="SDO3" s="120"/>
      <c r="SDP3" s="120"/>
      <c r="SDQ3" s="120"/>
      <c r="SDR3" s="120"/>
      <c r="SDS3" s="120"/>
      <c r="SDT3" s="120"/>
      <c r="SDU3" s="120"/>
      <c r="SDV3" s="120"/>
      <c r="SDW3" s="120"/>
      <c r="SDX3" s="120"/>
      <c r="SDY3" s="120"/>
      <c r="SDZ3" s="120"/>
      <c r="SEA3" s="120"/>
      <c r="SEB3" s="120"/>
      <c r="SEC3" s="120"/>
      <c r="SED3" s="120"/>
      <c r="SEE3" s="120"/>
      <c r="SEF3" s="120"/>
      <c r="SEG3" s="120"/>
      <c r="SEH3" s="120"/>
      <c r="SEI3" s="120"/>
      <c r="SEJ3" s="120"/>
      <c r="SEK3" s="120"/>
      <c r="SEL3" s="120"/>
      <c r="SEM3" s="120"/>
      <c r="SEN3" s="120"/>
      <c r="SEO3" s="120"/>
      <c r="SEP3" s="120"/>
      <c r="SEQ3" s="120"/>
      <c r="SER3" s="120"/>
      <c r="SES3" s="120"/>
      <c r="SET3" s="120"/>
      <c r="SEU3" s="120"/>
      <c r="SEV3" s="120"/>
      <c r="SEW3" s="120"/>
      <c r="SEX3" s="120"/>
      <c r="SEY3" s="120"/>
      <c r="SEZ3" s="120"/>
      <c r="SFA3" s="120"/>
      <c r="SFB3" s="120"/>
      <c r="SFC3" s="120"/>
      <c r="SFD3" s="120"/>
      <c r="SFE3" s="120"/>
      <c r="SFF3" s="120"/>
      <c r="SFG3" s="120"/>
      <c r="SFH3" s="120"/>
      <c r="SFI3" s="120"/>
      <c r="SFJ3" s="120"/>
      <c r="SFK3" s="120"/>
      <c r="SFL3" s="120"/>
      <c r="SFM3" s="120"/>
      <c r="SFN3" s="120"/>
      <c r="SFO3" s="120"/>
      <c r="SFP3" s="120"/>
      <c r="SFQ3" s="120"/>
      <c r="SFR3" s="120"/>
      <c r="SFS3" s="120"/>
      <c r="SFT3" s="120"/>
      <c r="SFU3" s="120"/>
      <c r="SFV3" s="120"/>
      <c r="SFW3" s="120"/>
      <c r="SFX3" s="120"/>
      <c r="SFY3" s="120"/>
      <c r="SFZ3" s="120"/>
      <c r="SGA3" s="120"/>
      <c r="SGB3" s="120"/>
      <c r="SGC3" s="120"/>
      <c r="SGD3" s="120"/>
      <c r="SGE3" s="120"/>
      <c r="SGF3" s="120"/>
      <c r="SGG3" s="120"/>
      <c r="SGH3" s="120"/>
      <c r="SGI3" s="120"/>
      <c r="SGJ3" s="120"/>
      <c r="SGK3" s="120"/>
      <c r="SGL3" s="120"/>
      <c r="SGM3" s="120"/>
      <c r="SGN3" s="120"/>
      <c r="SGO3" s="120"/>
      <c r="SGP3" s="120"/>
      <c r="SGQ3" s="120"/>
      <c r="SGR3" s="120"/>
      <c r="SGS3" s="120"/>
      <c r="SGT3" s="120"/>
      <c r="SGU3" s="120"/>
      <c r="SGV3" s="120"/>
      <c r="SGW3" s="120"/>
      <c r="SGX3" s="120"/>
      <c r="SGY3" s="120"/>
      <c r="SGZ3" s="120"/>
      <c r="SHA3" s="120"/>
      <c r="SHB3" s="120"/>
      <c r="SHC3" s="120"/>
      <c r="SHD3" s="120"/>
      <c r="SHE3" s="120"/>
      <c r="SHF3" s="120"/>
      <c r="SHG3" s="120"/>
      <c r="SHH3" s="120"/>
      <c r="SHI3" s="120"/>
      <c r="SHJ3" s="120"/>
      <c r="SHK3" s="120"/>
      <c r="SHL3" s="120"/>
      <c r="SHM3" s="120"/>
      <c r="SHN3" s="120"/>
      <c r="SHO3" s="120"/>
      <c r="SHP3" s="120"/>
      <c r="SHQ3" s="120"/>
      <c r="SHR3" s="120"/>
      <c r="SHS3" s="120"/>
      <c r="SHT3" s="120"/>
      <c r="SHU3" s="120"/>
      <c r="SHV3" s="120"/>
      <c r="SHW3" s="120"/>
      <c r="SHX3" s="120"/>
      <c r="SHY3" s="120"/>
      <c r="SHZ3" s="120"/>
      <c r="SIA3" s="120"/>
      <c r="SIB3" s="120"/>
      <c r="SIC3" s="120"/>
      <c r="SID3" s="120"/>
      <c r="SIE3" s="120"/>
      <c r="SIF3" s="120"/>
      <c r="SIG3" s="120"/>
      <c r="SIH3" s="120"/>
      <c r="SII3" s="120"/>
      <c r="SIJ3" s="120"/>
      <c r="SIK3" s="120"/>
      <c r="SIL3" s="120"/>
      <c r="SIM3" s="120"/>
      <c r="SIN3" s="120"/>
      <c r="SIO3" s="120"/>
      <c r="SIP3" s="120"/>
      <c r="SIQ3" s="120"/>
      <c r="SIR3" s="120"/>
      <c r="SIS3" s="120"/>
      <c r="SIT3" s="120"/>
      <c r="SIU3" s="120"/>
      <c r="SIV3" s="120"/>
      <c r="SIW3" s="120"/>
      <c r="SIX3" s="120"/>
      <c r="SIY3" s="120"/>
      <c r="SIZ3" s="120"/>
      <c r="SJA3" s="120"/>
      <c r="SJB3" s="120"/>
      <c r="SJC3" s="120"/>
      <c r="SJD3" s="120"/>
      <c r="SJE3" s="120"/>
      <c r="SJF3" s="120"/>
      <c r="SJG3" s="120"/>
      <c r="SJH3" s="120"/>
      <c r="SJI3" s="120"/>
      <c r="SJJ3" s="120"/>
      <c r="SJK3" s="120"/>
      <c r="SJL3" s="120"/>
      <c r="SJM3" s="120"/>
      <c r="SJN3" s="120"/>
      <c r="SJO3" s="120"/>
      <c r="SJP3" s="120"/>
      <c r="SJQ3" s="120"/>
      <c r="SJR3" s="120"/>
      <c r="SJS3" s="120"/>
      <c r="SJT3" s="120"/>
      <c r="SJU3" s="120"/>
      <c r="SJV3" s="120"/>
      <c r="SJW3" s="120"/>
      <c r="SJX3" s="120"/>
      <c r="SJY3" s="120"/>
      <c r="SJZ3" s="120"/>
      <c r="SKA3" s="120"/>
      <c r="SKB3" s="120"/>
      <c r="SKC3" s="120"/>
      <c r="SKD3" s="120"/>
      <c r="SKE3" s="120"/>
      <c r="SKF3" s="120"/>
      <c r="SKG3" s="120"/>
      <c r="SKH3" s="120"/>
      <c r="SKI3" s="120"/>
      <c r="SKJ3" s="120"/>
      <c r="SKK3" s="120"/>
      <c r="SKL3" s="120"/>
      <c r="SKM3" s="120"/>
      <c r="SKN3" s="120"/>
      <c r="SKO3" s="120"/>
      <c r="SKP3" s="120"/>
      <c r="SKQ3" s="120"/>
      <c r="SKR3" s="120"/>
      <c r="SKS3" s="120"/>
      <c r="SKT3" s="120"/>
      <c r="SKU3" s="120"/>
      <c r="SKV3" s="120"/>
      <c r="SKW3" s="120"/>
      <c r="SKX3" s="120"/>
      <c r="SKY3" s="120"/>
      <c r="SKZ3" s="120"/>
      <c r="SLA3" s="120"/>
      <c r="SLB3" s="120"/>
      <c r="SLC3" s="120"/>
      <c r="SLD3" s="120"/>
      <c r="SLE3" s="120"/>
      <c r="SLF3" s="120"/>
      <c r="SLG3" s="120"/>
      <c r="SLH3" s="120"/>
      <c r="SLI3" s="120"/>
      <c r="SLJ3" s="120"/>
      <c r="SLK3" s="120"/>
      <c r="SLL3" s="120"/>
      <c r="SLM3" s="120"/>
      <c r="SLN3" s="120"/>
      <c r="SLO3" s="120"/>
      <c r="SLP3" s="120"/>
      <c r="SLQ3" s="120"/>
      <c r="SLR3" s="120"/>
      <c r="SLS3" s="120"/>
      <c r="SLT3" s="120"/>
      <c r="SLU3" s="120"/>
      <c r="SLV3" s="120"/>
      <c r="SLW3" s="120"/>
      <c r="SLX3" s="120"/>
      <c r="SLY3" s="120"/>
      <c r="SLZ3" s="120"/>
      <c r="SMA3" s="120"/>
      <c r="SMB3" s="120"/>
      <c r="SMC3" s="120"/>
      <c r="SMD3" s="120"/>
      <c r="SME3" s="120"/>
      <c r="SMF3" s="120"/>
      <c r="SMG3" s="120"/>
      <c r="SMH3" s="120"/>
      <c r="SMI3" s="120"/>
      <c r="SMJ3" s="120"/>
      <c r="SMK3" s="120"/>
      <c r="SML3" s="120"/>
      <c r="SMM3" s="120"/>
      <c r="SMN3" s="120"/>
      <c r="SMO3" s="120"/>
      <c r="SMP3" s="120"/>
      <c r="SMQ3" s="120"/>
      <c r="SMR3" s="120"/>
      <c r="SMS3" s="120"/>
      <c r="SMT3" s="120"/>
      <c r="SMU3" s="120"/>
      <c r="SMV3" s="120"/>
      <c r="SMW3" s="120"/>
      <c r="SMX3" s="120"/>
      <c r="SMY3" s="120"/>
      <c r="SMZ3" s="120"/>
      <c r="SNA3" s="120"/>
      <c r="SNB3" s="120"/>
      <c r="SNC3" s="120"/>
      <c r="SND3" s="120"/>
      <c r="SNE3" s="120"/>
      <c r="SNF3" s="120"/>
      <c r="SNG3" s="120"/>
      <c r="SNH3" s="120"/>
      <c r="SNI3" s="120"/>
      <c r="SNJ3" s="120"/>
      <c r="SNK3" s="120"/>
      <c r="SNL3" s="120"/>
      <c r="SNM3" s="120"/>
      <c r="SNN3" s="120"/>
      <c r="SNO3" s="120"/>
      <c r="SNP3" s="120"/>
      <c r="SNQ3" s="120"/>
      <c r="SNR3" s="120"/>
      <c r="SNS3" s="120"/>
      <c r="SNT3" s="120"/>
      <c r="SNU3" s="120"/>
      <c r="SNV3" s="120"/>
      <c r="SNW3" s="120"/>
      <c r="SNX3" s="120"/>
      <c r="SNY3" s="120"/>
      <c r="SNZ3" s="120"/>
      <c r="SOA3" s="120"/>
      <c r="SOB3" s="120"/>
      <c r="SOC3" s="120"/>
      <c r="SOD3" s="120"/>
      <c r="SOE3" s="120"/>
      <c r="SOF3" s="120"/>
      <c r="SOG3" s="120"/>
      <c r="SOH3" s="120"/>
      <c r="SOI3" s="120"/>
      <c r="SOJ3" s="120"/>
      <c r="SOK3" s="120"/>
      <c r="SOL3" s="120"/>
      <c r="SOM3" s="120"/>
      <c r="SON3" s="120"/>
      <c r="SOO3" s="120"/>
      <c r="SOP3" s="120"/>
      <c r="SOQ3" s="120"/>
      <c r="SOR3" s="120"/>
      <c r="SOS3" s="120"/>
      <c r="SOT3" s="120"/>
      <c r="SOU3" s="120"/>
      <c r="SOV3" s="120"/>
      <c r="SOW3" s="120"/>
      <c r="SOX3" s="120"/>
      <c r="SOY3" s="120"/>
      <c r="SOZ3" s="120"/>
      <c r="SPA3" s="120"/>
      <c r="SPB3" s="120"/>
      <c r="SPC3" s="120"/>
      <c r="SPD3" s="120"/>
      <c r="SPE3" s="120"/>
      <c r="SPF3" s="120"/>
      <c r="SPG3" s="120"/>
      <c r="SPH3" s="120"/>
      <c r="SPI3" s="120"/>
      <c r="SPJ3" s="120"/>
      <c r="SPK3" s="120"/>
      <c r="SPL3" s="120"/>
      <c r="SPM3" s="120"/>
      <c r="SPN3" s="120"/>
      <c r="SPO3" s="120"/>
      <c r="SPP3" s="120"/>
      <c r="SPQ3" s="120"/>
      <c r="SPR3" s="120"/>
      <c r="SPS3" s="120"/>
      <c r="SPT3" s="120"/>
      <c r="SPU3" s="120"/>
      <c r="SPV3" s="120"/>
      <c r="SPW3" s="120"/>
      <c r="SPX3" s="120"/>
      <c r="SPY3" s="120"/>
      <c r="SPZ3" s="120"/>
      <c r="SQA3" s="120"/>
      <c r="SQB3" s="120"/>
      <c r="SQC3" s="120"/>
      <c r="SQD3" s="120"/>
      <c r="SQE3" s="120"/>
      <c r="SQF3" s="120"/>
      <c r="SQG3" s="120"/>
      <c r="SQH3" s="120"/>
      <c r="SQI3" s="120"/>
      <c r="SQJ3" s="120"/>
      <c r="SQK3" s="120"/>
      <c r="SQL3" s="120"/>
      <c r="SQM3" s="120"/>
      <c r="SQN3" s="120"/>
      <c r="SQO3" s="120"/>
      <c r="SQP3" s="120"/>
      <c r="SQQ3" s="120"/>
      <c r="SQR3" s="120"/>
      <c r="SQS3" s="120"/>
      <c r="SQT3" s="120"/>
      <c r="SQU3" s="120"/>
      <c r="SQV3" s="120"/>
      <c r="SQW3" s="120"/>
      <c r="SQX3" s="120"/>
      <c r="SQY3" s="120"/>
      <c r="SQZ3" s="120"/>
      <c r="SRA3" s="120"/>
      <c r="SRB3" s="120"/>
      <c r="SRC3" s="120"/>
      <c r="SRD3" s="120"/>
      <c r="SRE3" s="120"/>
      <c r="SRF3" s="120"/>
      <c r="SRG3" s="120"/>
      <c r="SRH3" s="120"/>
      <c r="SRI3" s="120"/>
      <c r="SRJ3" s="120"/>
      <c r="SRK3" s="120"/>
      <c r="SRL3" s="120"/>
      <c r="SRM3" s="120"/>
      <c r="SRN3" s="120"/>
      <c r="SRO3" s="120"/>
      <c r="SRP3" s="120"/>
      <c r="SRQ3" s="120"/>
      <c r="SRR3" s="120"/>
      <c r="SRS3" s="120"/>
      <c r="SRT3" s="120"/>
      <c r="SRU3" s="120"/>
      <c r="SRV3" s="120"/>
      <c r="SRW3" s="120"/>
      <c r="SRX3" s="120"/>
      <c r="SRY3" s="120"/>
      <c r="SRZ3" s="120"/>
      <c r="SSA3" s="120"/>
      <c r="SSB3" s="120"/>
      <c r="SSC3" s="120"/>
      <c r="SSD3" s="120"/>
      <c r="SSE3" s="120"/>
      <c r="SSF3" s="120"/>
      <c r="SSG3" s="120"/>
      <c r="SSH3" s="120"/>
      <c r="SSI3" s="120"/>
      <c r="SSJ3" s="120"/>
      <c r="SSK3" s="120"/>
      <c r="SSL3" s="120"/>
      <c r="SSM3" s="120"/>
      <c r="SSN3" s="120"/>
      <c r="SSO3" s="120"/>
      <c r="SSP3" s="120"/>
      <c r="SSQ3" s="120"/>
      <c r="SSR3" s="120"/>
      <c r="SSS3" s="120"/>
      <c r="SST3" s="120"/>
      <c r="SSU3" s="120"/>
      <c r="SSV3" s="120"/>
      <c r="SSW3" s="120"/>
      <c r="SSX3" s="120"/>
      <c r="SSY3" s="120"/>
      <c r="SSZ3" s="120"/>
      <c r="STA3" s="120"/>
      <c r="STB3" s="120"/>
      <c r="STC3" s="120"/>
      <c r="STD3" s="120"/>
      <c r="STE3" s="120"/>
      <c r="STF3" s="120"/>
      <c r="STG3" s="120"/>
      <c r="STH3" s="120"/>
      <c r="STI3" s="120"/>
      <c r="STJ3" s="120"/>
      <c r="STK3" s="120"/>
      <c r="STL3" s="120"/>
      <c r="STM3" s="120"/>
      <c r="STN3" s="120"/>
      <c r="STO3" s="120"/>
      <c r="STP3" s="120"/>
      <c r="STQ3" s="120"/>
      <c r="STR3" s="120"/>
      <c r="STS3" s="120"/>
      <c r="STT3" s="120"/>
      <c r="STU3" s="120"/>
      <c r="STV3" s="120"/>
      <c r="STW3" s="120"/>
      <c r="STX3" s="120"/>
      <c r="STY3" s="120"/>
      <c r="STZ3" s="120"/>
      <c r="SUA3" s="120"/>
      <c r="SUB3" s="120"/>
      <c r="SUC3" s="120"/>
      <c r="SUD3" s="120"/>
      <c r="SUE3" s="120"/>
      <c r="SUF3" s="120"/>
      <c r="SUG3" s="120"/>
      <c r="SUH3" s="120"/>
      <c r="SUI3" s="120"/>
      <c r="SUJ3" s="120"/>
      <c r="SUK3" s="120"/>
      <c r="SUL3" s="120"/>
      <c r="SUM3" s="120"/>
      <c r="SUN3" s="120"/>
      <c r="SUO3" s="120"/>
      <c r="SUP3" s="120"/>
      <c r="SUQ3" s="120"/>
      <c r="SUR3" s="120"/>
      <c r="SUS3" s="120"/>
      <c r="SUT3" s="120"/>
      <c r="SUU3" s="120"/>
      <c r="SUV3" s="120"/>
      <c r="SUW3" s="120"/>
      <c r="SUX3" s="120"/>
      <c r="SUY3" s="120"/>
      <c r="SUZ3" s="120"/>
      <c r="SVA3" s="120"/>
      <c r="SVB3" s="120"/>
      <c r="SVC3" s="120"/>
      <c r="SVD3" s="120"/>
      <c r="SVE3" s="120"/>
      <c r="SVF3" s="120"/>
      <c r="SVG3" s="120"/>
      <c r="SVH3" s="120"/>
      <c r="SVI3" s="120"/>
      <c r="SVJ3" s="120"/>
      <c r="SVK3" s="120"/>
      <c r="SVL3" s="120"/>
      <c r="SVM3" s="120"/>
      <c r="SVN3" s="120"/>
      <c r="SVO3" s="120"/>
      <c r="SVP3" s="120"/>
      <c r="SVQ3" s="120"/>
      <c r="SVR3" s="120"/>
      <c r="SVS3" s="120"/>
      <c r="SVT3" s="120"/>
      <c r="SVU3" s="120"/>
      <c r="SVV3" s="120"/>
      <c r="SVW3" s="120"/>
      <c r="SVX3" s="120"/>
      <c r="SVY3" s="120"/>
      <c r="SVZ3" s="120"/>
      <c r="SWA3" s="120"/>
      <c r="SWB3" s="120"/>
      <c r="SWC3" s="120"/>
      <c r="SWD3" s="120"/>
      <c r="SWE3" s="120"/>
      <c r="SWF3" s="120"/>
      <c r="SWG3" s="120"/>
      <c r="SWH3" s="120"/>
      <c r="SWI3" s="120"/>
      <c r="SWJ3" s="120"/>
      <c r="SWK3" s="120"/>
      <c r="SWL3" s="120"/>
      <c r="SWM3" s="120"/>
      <c r="SWN3" s="120"/>
      <c r="SWO3" s="120"/>
      <c r="SWP3" s="120"/>
      <c r="SWQ3" s="120"/>
      <c r="SWR3" s="120"/>
      <c r="SWS3" s="120"/>
      <c r="SWT3" s="120"/>
      <c r="SWU3" s="120"/>
      <c r="SWV3" s="120"/>
      <c r="SWW3" s="120"/>
      <c r="SWX3" s="120"/>
      <c r="SWY3" s="120"/>
      <c r="SWZ3" s="120"/>
      <c r="SXA3" s="120"/>
      <c r="SXB3" s="120"/>
      <c r="SXC3" s="120"/>
      <c r="SXD3" s="120"/>
      <c r="SXE3" s="120"/>
      <c r="SXF3" s="120"/>
      <c r="SXG3" s="120"/>
      <c r="SXH3" s="120"/>
      <c r="SXI3" s="120"/>
      <c r="SXJ3" s="120"/>
      <c r="SXK3" s="120"/>
      <c r="SXL3" s="120"/>
      <c r="SXM3" s="120"/>
      <c r="SXN3" s="120"/>
      <c r="SXO3" s="120"/>
      <c r="SXP3" s="120"/>
      <c r="SXQ3" s="120"/>
      <c r="SXR3" s="120"/>
      <c r="SXS3" s="120"/>
      <c r="SXT3" s="120"/>
      <c r="SXU3" s="120"/>
      <c r="SXV3" s="120"/>
      <c r="SXW3" s="120"/>
      <c r="SXX3" s="120"/>
      <c r="SXY3" s="120"/>
      <c r="SXZ3" s="120"/>
      <c r="SYA3" s="120"/>
      <c r="SYB3" s="120"/>
      <c r="SYC3" s="120"/>
      <c r="SYD3" s="120"/>
      <c r="SYE3" s="120"/>
      <c r="SYF3" s="120"/>
      <c r="SYG3" s="120"/>
      <c r="SYH3" s="120"/>
      <c r="SYI3" s="120"/>
      <c r="SYJ3" s="120"/>
      <c r="SYK3" s="120"/>
      <c r="SYL3" s="120"/>
      <c r="SYM3" s="120"/>
      <c r="SYN3" s="120"/>
      <c r="SYO3" s="120"/>
      <c r="SYP3" s="120"/>
      <c r="SYQ3" s="120"/>
      <c r="SYR3" s="120"/>
      <c r="SYS3" s="120"/>
      <c r="SYT3" s="120"/>
      <c r="SYU3" s="120"/>
      <c r="SYV3" s="120"/>
      <c r="SYW3" s="120"/>
      <c r="SYX3" s="120"/>
      <c r="SYY3" s="120"/>
      <c r="SYZ3" s="120"/>
      <c r="SZA3" s="120"/>
      <c r="SZB3" s="120"/>
      <c r="SZC3" s="120"/>
      <c r="SZD3" s="120"/>
      <c r="SZE3" s="120"/>
      <c r="SZF3" s="120"/>
      <c r="SZG3" s="120"/>
      <c r="SZH3" s="120"/>
      <c r="SZI3" s="120"/>
      <c r="SZJ3" s="120"/>
      <c r="SZK3" s="120"/>
      <c r="SZL3" s="120"/>
      <c r="SZM3" s="120"/>
      <c r="SZN3" s="120"/>
      <c r="SZO3" s="120"/>
      <c r="SZP3" s="120"/>
      <c r="SZQ3" s="120"/>
      <c r="SZR3" s="120"/>
      <c r="SZS3" s="120"/>
      <c r="SZT3" s="120"/>
      <c r="SZU3" s="120"/>
      <c r="SZV3" s="120"/>
      <c r="SZW3" s="120"/>
      <c r="SZX3" s="120"/>
      <c r="SZY3" s="120"/>
      <c r="SZZ3" s="120"/>
      <c r="TAA3" s="120"/>
      <c r="TAB3" s="120"/>
      <c r="TAC3" s="120"/>
      <c r="TAD3" s="120"/>
      <c r="TAE3" s="120"/>
      <c r="TAF3" s="120"/>
      <c r="TAG3" s="120"/>
      <c r="TAH3" s="120"/>
      <c r="TAI3" s="120"/>
      <c r="TAJ3" s="120"/>
      <c r="TAK3" s="120"/>
      <c r="TAL3" s="120"/>
      <c r="TAM3" s="120"/>
      <c r="TAN3" s="120"/>
      <c r="TAO3" s="120"/>
      <c r="TAP3" s="120"/>
      <c r="TAQ3" s="120"/>
      <c r="TAR3" s="120"/>
      <c r="TAS3" s="120"/>
      <c r="TAT3" s="120"/>
      <c r="TAU3" s="120"/>
      <c r="TAV3" s="120"/>
      <c r="TAW3" s="120"/>
      <c r="TAX3" s="120"/>
      <c r="TAY3" s="120"/>
      <c r="TAZ3" s="120"/>
      <c r="TBA3" s="120"/>
      <c r="TBB3" s="120"/>
      <c r="TBC3" s="120"/>
      <c r="TBD3" s="120"/>
      <c r="TBE3" s="120"/>
      <c r="TBF3" s="120"/>
      <c r="TBG3" s="120"/>
      <c r="TBH3" s="120"/>
      <c r="TBI3" s="120"/>
      <c r="TBJ3" s="120"/>
      <c r="TBK3" s="120"/>
      <c r="TBL3" s="120"/>
      <c r="TBM3" s="120"/>
      <c r="TBN3" s="120"/>
      <c r="TBO3" s="120"/>
      <c r="TBP3" s="120"/>
      <c r="TBQ3" s="120"/>
      <c r="TBR3" s="120"/>
      <c r="TBS3" s="120"/>
      <c r="TBT3" s="120"/>
      <c r="TBU3" s="120"/>
      <c r="TBV3" s="120"/>
      <c r="TBW3" s="120"/>
      <c r="TBX3" s="120"/>
      <c r="TBY3" s="120"/>
      <c r="TBZ3" s="120"/>
      <c r="TCA3" s="120"/>
      <c r="TCB3" s="120"/>
      <c r="TCC3" s="120"/>
      <c r="TCD3" s="120"/>
      <c r="TCE3" s="120"/>
      <c r="TCF3" s="120"/>
      <c r="TCG3" s="120"/>
      <c r="TCH3" s="120"/>
      <c r="TCI3" s="120"/>
      <c r="TCJ3" s="120"/>
      <c r="TCK3" s="120"/>
      <c r="TCL3" s="120"/>
      <c r="TCM3" s="120"/>
      <c r="TCN3" s="120"/>
      <c r="TCO3" s="120"/>
      <c r="TCP3" s="120"/>
      <c r="TCQ3" s="120"/>
      <c r="TCR3" s="120"/>
      <c r="TCS3" s="120"/>
      <c r="TCT3" s="120"/>
      <c r="TCU3" s="120"/>
      <c r="TCV3" s="120"/>
      <c r="TCW3" s="120"/>
      <c r="TCX3" s="120"/>
      <c r="TCY3" s="120"/>
      <c r="TCZ3" s="120"/>
      <c r="TDA3" s="120"/>
      <c r="TDB3" s="120"/>
      <c r="TDC3" s="120"/>
      <c r="TDD3" s="120"/>
      <c r="TDE3" s="120"/>
      <c r="TDF3" s="120"/>
      <c r="TDG3" s="120"/>
      <c r="TDH3" s="120"/>
      <c r="TDI3" s="120"/>
      <c r="TDJ3" s="120"/>
      <c r="TDK3" s="120"/>
      <c r="TDL3" s="120"/>
      <c r="TDM3" s="120"/>
      <c r="TDN3" s="120"/>
      <c r="TDO3" s="120"/>
      <c r="TDP3" s="120"/>
      <c r="TDQ3" s="120"/>
      <c r="TDR3" s="120"/>
      <c r="TDS3" s="120"/>
      <c r="TDT3" s="120"/>
      <c r="TDU3" s="120"/>
      <c r="TDV3" s="120"/>
      <c r="TDW3" s="120"/>
      <c r="TDX3" s="120"/>
      <c r="TDY3" s="120"/>
      <c r="TDZ3" s="120"/>
      <c r="TEA3" s="120"/>
      <c r="TEB3" s="120"/>
      <c r="TEC3" s="120"/>
      <c r="TED3" s="120"/>
      <c r="TEE3" s="120"/>
      <c r="TEF3" s="120"/>
      <c r="TEG3" s="120"/>
      <c r="TEH3" s="120"/>
      <c r="TEI3" s="120"/>
      <c r="TEJ3" s="120"/>
      <c r="TEK3" s="120"/>
      <c r="TEL3" s="120"/>
      <c r="TEM3" s="120"/>
      <c r="TEN3" s="120"/>
      <c r="TEO3" s="120"/>
      <c r="TEP3" s="120"/>
      <c r="TEQ3" s="120"/>
      <c r="TER3" s="120"/>
      <c r="TES3" s="120"/>
      <c r="TET3" s="120"/>
      <c r="TEU3" s="120"/>
      <c r="TEV3" s="120"/>
      <c r="TEW3" s="120"/>
      <c r="TEX3" s="120"/>
      <c r="TEY3" s="120"/>
      <c r="TEZ3" s="120"/>
      <c r="TFA3" s="120"/>
      <c r="TFB3" s="120"/>
      <c r="TFC3" s="120"/>
      <c r="TFD3" s="120"/>
      <c r="TFE3" s="120"/>
      <c r="TFF3" s="120"/>
      <c r="TFG3" s="120"/>
      <c r="TFH3" s="120"/>
      <c r="TFI3" s="120"/>
      <c r="TFJ3" s="120"/>
      <c r="TFK3" s="120"/>
      <c r="TFL3" s="120"/>
      <c r="TFM3" s="120"/>
      <c r="TFN3" s="120"/>
      <c r="TFO3" s="120"/>
      <c r="TFP3" s="120"/>
      <c r="TFQ3" s="120"/>
      <c r="TFR3" s="120"/>
      <c r="TFS3" s="120"/>
      <c r="TFT3" s="120"/>
      <c r="TFU3" s="120"/>
      <c r="TFV3" s="120"/>
      <c r="TFW3" s="120"/>
      <c r="TFX3" s="120"/>
      <c r="TFY3" s="120"/>
      <c r="TFZ3" s="120"/>
      <c r="TGA3" s="120"/>
      <c r="TGB3" s="120"/>
      <c r="TGC3" s="120"/>
      <c r="TGD3" s="120"/>
      <c r="TGE3" s="120"/>
      <c r="TGF3" s="120"/>
      <c r="TGG3" s="120"/>
      <c r="TGH3" s="120"/>
      <c r="TGI3" s="120"/>
      <c r="TGJ3" s="120"/>
      <c r="TGK3" s="120"/>
      <c r="TGL3" s="120"/>
      <c r="TGM3" s="120"/>
      <c r="TGN3" s="120"/>
      <c r="TGO3" s="120"/>
      <c r="TGP3" s="120"/>
      <c r="TGQ3" s="120"/>
      <c r="TGR3" s="120"/>
      <c r="TGS3" s="120"/>
      <c r="TGT3" s="120"/>
      <c r="TGU3" s="120"/>
      <c r="TGV3" s="120"/>
      <c r="TGW3" s="120"/>
      <c r="TGX3" s="120"/>
      <c r="TGY3" s="120"/>
      <c r="TGZ3" s="120"/>
      <c r="THA3" s="120"/>
      <c r="THB3" s="120"/>
      <c r="THC3" s="120"/>
      <c r="THD3" s="120"/>
      <c r="THE3" s="120"/>
      <c r="THF3" s="120"/>
      <c r="THG3" s="120"/>
      <c r="THH3" s="120"/>
      <c r="THI3" s="120"/>
      <c r="THJ3" s="120"/>
      <c r="THK3" s="120"/>
      <c r="THL3" s="120"/>
      <c r="THM3" s="120"/>
      <c r="THN3" s="120"/>
      <c r="THO3" s="120"/>
      <c r="THP3" s="120"/>
      <c r="THQ3" s="120"/>
      <c r="THR3" s="120"/>
      <c r="THS3" s="120"/>
      <c r="THT3" s="120"/>
      <c r="THU3" s="120"/>
      <c r="THV3" s="120"/>
      <c r="THW3" s="120"/>
      <c r="THX3" s="120"/>
      <c r="THY3" s="120"/>
      <c r="THZ3" s="120"/>
      <c r="TIA3" s="120"/>
      <c r="TIB3" s="120"/>
      <c r="TIC3" s="120"/>
      <c r="TID3" s="120"/>
      <c r="TIE3" s="120"/>
      <c r="TIF3" s="120"/>
      <c r="TIG3" s="120"/>
      <c r="TIH3" s="120"/>
      <c r="TII3" s="120"/>
      <c r="TIJ3" s="120"/>
      <c r="TIK3" s="120"/>
      <c r="TIL3" s="120"/>
      <c r="TIM3" s="120"/>
      <c r="TIN3" s="120"/>
      <c r="TIO3" s="120"/>
      <c r="TIP3" s="120"/>
      <c r="TIQ3" s="120"/>
      <c r="TIR3" s="120"/>
      <c r="TIS3" s="120"/>
      <c r="TIT3" s="120"/>
      <c r="TIU3" s="120"/>
      <c r="TIV3" s="120"/>
      <c r="TIW3" s="120"/>
      <c r="TIX3" s="120"/>
      <c r="TIY3" s="120"/>
      <c r="TIZ3" s="120"/>
      <c r="TJA3" s="120"/>
      <c r="TJB3" s="120"/>
      <c r="TJC3" s="120"/>
      <c r="TJD3" s="120"/>
      <c r="TJE3" s="120"/>
      <c r="TJF3" s="120"/>
      <c r="TJG3" s="120"/>
      <c r="TJH3" s="120"/>
      <c r="TJI3" s="120"/>
      <c r="TJJ3" s="120"/>
      <c r="TJK3" s="120"/>
      <c r="TJL3" s="120"/>
      <c r="TJM3" s="120"/>
      <c r="TJN3" s="120"/>
      <c r="TJO3" s="120"/>
      <c r="TJP3" s="120"/>
      <c r="TJQ3" s="120"/>
      <c r="TJR3" s="120"/>
      <c r="TJS3" s="120"/>
      <c r="TJT3" s="120"/>
      <c r="TJU3" s="120"/>
      <c r="TJV3" s="120"/>
      <c r="TJW3" s="120"/>
      <c r="TJX3" s="120"/>
      <c r="TJY3" s="120"/>
      <c r="TJZ3" s="120"/>
      <c r="TKA3" s="120"/>
      <c r="TKB3" s="120"/>
      <c r="TKC3" s="120"/>
      <c r="TKD3" s="120"/>
      <c r="TKE3" s="120"/>
      <c r="TKF3" s="120"/>
      <c r="TKG3" s="120"/>
      <c r="TKH3" s="120"/>
      <c r="TKI3" s="120"/>
      <c r="TKJ3" s="120"/>
      <c r="TKK3" s="120"/>
      <c r="TKL3" s="120"/>
      <c r="TKM3" s="120"/>
      <c r="TKN3" s="120"/>
      <c r="TKO3" s="120"/>
      <c r="TKP3" s="120"/>
      <c r="TKQ3" s="120"/>
      <c r="TKR3" s="120"/>
      <c r="TKS3" s="120"/>
      <c r="TKT3" s="120"/>
      <c r="TKU3" s="120"/>
      <c r="TKV3" s="120"/>
      <c r="TKW3" s="120"/>
      <c r="TKX3" s="120"/>
      <c r="TKY3" s="120"/>
      <c r="TKZ3" s="120"/>
      <c r="TLA3" s="120"/>
      <c r="TLB3" s="120"/>
      <c r="TLC3" s="120"/>
      <c r="TLD3" s="120"/>
      <c r="TLE3" s="120"/>
      <c r="TLF3" s="120"/>
      <c r="TLG3" s="120"/>
      <c r="TLH3" s="120"/>
      <c r="TLI3" s="120"/>
      <c r="TLJ3" s="120"/>
      <c r="TLK3" s="120"/>
      <c r="TLL3" s="120"/>
      <c r="TLM3" s="120"/>
      <c r="TLN3" s="120"/>
      <c r="TLO3" s="120"/>
      <c r="TLP3" s="120"/>
      <c r="TLQ3" s="120"/>
      <c r="TLR3" s="120"/>
      <c r="TLS3" s="120"/>
      <c r="TLT3" s="120"/>
      <c r="TLU3" s="120"/>
      <c r="TLV3" s="120"/>
      <c r="TLW3" s="120"/>
      <c r="TLX3" s="120"/>
      <c r="TLY3" s="120"/>
      <c r="TLZ3" s="120"/>
      <c r="TMA3" s="120"/>
      <c r="TMB3" s="120"/>
      <c r="TMC3" s="120"/>
      <c r="TMD3" s="120"/>
      <c r="TME3" s="120"/>
      <c r="TMF3" s="120"/>
      <c r="TMG3" s="120"/>
      <c r="TMH3" s="120"/>
      <c r="TMI3" s="120"/>
      <c r="TMJ3" s="120"/>
      <c r="TMK3" s="120"/>
      <c r="TML3" s="120"/>
      <c r="TMM3" s="120"/>
      <c r="TMN3" s="120"/>
      <c r="TMO3" s="120"/>
      <c r="TMP3" s="120"/>
      <c r="TMQ3" s="120"/>
      <c r="TMR3" s="120"/>
      <c r="TMS3" s="120"/>
      <c r="TMT3" s="120"/>
      <c r="TMU3" s="120"/>
      <c r="TMV3" s="120"/>
      <c r="TMW3" s="120"/>
      <c r="TMX3" s="120"/>
      <c r="TMY3" s="120"/>
      <c r="TMZ3" s="120"/>
      <c r="TNA3" s="120"/>
      <c r="TNB3" s="120"/>
      <c r="TNC3" s="120"/>
      <c r="TND3" s="120"/>
      <c r="TNE3" s="120"/>
      <c r="TNF3" s="120"/>
      <c r="TNG3" s="120"/>
      <c r="TNH3" s="120"/>
      <c r="TNI3" s="120"/>
      <c r="TNJ3" s="120"/>
      <c r="TNK3" s="120"/>
      <c r="TNL3" s="120"/>
      <c r="TNM3" s="120"/>
      <c r="TNN3" s="120"/>
      <c r="TNO3" s="120"/>
      <c r="TNP3" s="120"/>
      <c r="TNQ3" s="120"/>
      <c r="TNR3" s="120"/>
      <c r="TNS3" s="120"/>
      <c r="TNT3" s="120"/>
      <c r="TNU3" s="120"/>
      <c r="TNV3" s="120"/>
      <c r="TNW3" s="120"/>
      <c r="TNX3" s="120"/>
      <c r="TNY3" s="120"/>
      <c r="TNZ3" s="120"/>
      <c r="TOA3" s="120"/>
      <c r="TOB3" s="120"/>
      <c r="TOC3" s="120"/>
      <c r="TOD3" s="120"/>
      <c r="TOE3" s="120"/>
      <c r="TOF3" s="120"/>
      <c r="TOG3" s="120"/>
      <c r="TOH3" s="120"/>
      <c r="TOI3" s="120"/>
      <c r="TOJ3" s="120"/>
      <c r="TOK3" s="120"/>
      <c r="TOL3" s="120"/>
      <c r="TOM3" s="120"/>
      <c r="TON3" s="120"/>
      <c r="TOO3" s="120"/>
      <c r="TOP3" s="120"/>
      <c r="TOQ3" s="120"/>
      <c r="TOR3" s="120"/>
      <c r="TOS3" s="120"/>
      <c r="TOT3" s="120"/>
      <c r="TOU3" s="120"/>
      <c r="TOV3" s="120"/>
      <c r="TOW3" s="120"/>
      <c r="TOX3" s="120"/>
      <c r="TOY3" s="120"/>
      <c r="TOZ3" s="120"/>
      <c r="TPA3" s="120"/>
      <c r="TPB3" s="120"/>
      <c r="TPC3" s="120"/>
      <c r="TPD3" s="120"/>
      <c r="TPE3" s="120"/>
      <c r="TPF3" s="120"/>
      <c r="TPG3" s="120"/>
      <c r="TPH3" s="120"/>
      <c r="TPI3" s="120"/>
      <c r="TPJ3" s="120"/>
      <c r="TPK3" s="120"/>
      <c r="TPL3" s="120"/>
      <c r="TPM3" s="120"/>
      <c r="TPN3" s="120"/>
      <c r="TPO3" s="120"/>
      <c r="TPP3" s="120"/>
      <c r="TPQ3" s="120"/>
      <c r="TPR3" s="120"/>
      <c r="TPS3" s="120"/>
      <c r="TPT3" s="120"/>
      <c r="TPU3" s="120"/>
      <c r="TPV3" s="120"/>
      <c r="TPW3" s="120"/>
      <c r="TPX3" s="120"/>
      <c r="TPY3" s="120"/>
      <c r="TPZ3" s="120"/>
      <c r="TQA3" s="120"/>
      <c r="TQB3" s="120"/>
      <c r="TQC3" s="120"/>
      <c r="TQD3" s="120"/>
      <c r="TQE3" s="120"/>
      <c r="TQF3" s="120"/>
      <c r="TQG3" s="120"/>
      <c r="TQH3" s="120"/>
      <c r="TQI3" s="120"/>
      <c r="TQJ3" s="120"/>
      <c r="TQK3" s="120"/>
      <c r="TQL3" s="120"/>
      <c r="TQM3" s="120"/>
      <c r="TQN3" s="120"/>
      <c r="TQO3" s="120"/>
      <c r="TQP3" s="120"/>
      <c r="TQQ3" s="120"/>
      <c r="TQR3" s="120"/>
      <c r="TQS3" s="120"/>
      <c r="TQT3" s="120"/>
      <c r="TQU3" s="120"/>
      <c r="TQV3" s="120"/>
      <c r="TQW3" s="120"/>
      <c r="TQX3" s="120"/>
      <c r="TQY3" s="120"/>
      <c r="TQZ3" s="120"/>
      <c r="TRA3" s="120"/>
      <c r="TRB3" s="120"/>
      <c r="TRC3" s="120"/>
      <c r="TRD3" s="120"/>
      <c r="TRE3" s="120"/>
      <c r="TRF3" s="120"/>
      <c r="TRG3" s="120"/>
      <c r="TRH3" s="120"/>
      <c r="TRI3" s="120"/>
      <c r="TRJ3" s="120"/>
      <c r="TRK3" s="120"/>
      <c r="TRL3" s="120"/>
      <c r="TRM3" s="120"/>
      <c r="TRN3" s="120"/>
      <c r="TRO3" s="120"/>
      <c r="TRP3" s="120"/>
      <c r="TRQ3" s="120"/>
      <c r="TRR3" s="120"/>
      <c r="TRS3" s="120"/>
      <c r="TRT3" s="120"/>
      <c r="TRU3" s="120"/>
      <c r="TRV3" s="120"/>
      <c r="TRW3" s="120"/>
      <c r="TRX3" s="120"/>
      <c r="TRY3" s="120"/>
      <c r="TRZ3" s="120"/>
      <c r="TSA3" s="120"/>
      <c r="TSB3" s="120"/>
      <c r="TSC3" s="120"/>
      <c r="TSD3" s="120"/>
      <c r="TSE3" s="120"/>
      <c r="TSF3" s="120"/>
      <c r="TSG3" s="120"/>
      <c r="TSH3" s="120"/>
      <c r="TSI3" s="120"/>
      <c r="TSJ3" s="120"/>
      <c r="TSK3" s="120"/>
      <c r="TSL3" s="120"/>
      <c r="TSM3" s="120"/>
      <c r="TSN3" s="120"/>
      <c r="TSO3" s="120"/>
      <c r="TSP3" s="120"/>
      <c r="TSQ3" s="120"/>
      <c r="TSR3" s="120"/>
      <c r="TSS3" s="120"/>
      <c r="TST3" s="120"/>
      <c r="TSU3" s="120"/>
      <c r="TSV3" s="120"/>
      <c r="TSW3" s="120"/>
      <c r="TSX3" s="120"/>
      <c r="TSY3" s="120"/>
      <c r="TSZ3" s="120"/>
      <c r="TTA3" s="120"/>
      <c r="TTB3" s="120"/>
      <c r="TTC3" s="120"/>
      <c r="TTD3" s="120"/>
      <c r="TTE3" s="120"/>
      <c r="TTF3" s="120"/>
      <c r="TTG3" s="120"/>
      <c r="TTH3" s="120"/>
      <c r="TTI3" s="120"/>
      <c r="TTJ3" s="120"/>
      <c r="TTK3" s="120"/>
      <c r="TTL3" s="120"/>
      <c r="TTM3" s="120"/>
      <c r="TTN3" s="120"/>
      <c r="TTO3" s="120"/>
      <c r="TTP3" s="120"/>
      <c r="TTQ3" s="120"/>
      <c r="TTR3" s="120"/>
      <c r="TTS3" s="120"/>
      <c r="TTT3" s="120"/>
      <c r="TTU3" s="120"/>
      <c r="TTV3" s="120"/>
      <c r="TTW3" s="120"/>
      <c r="TTX3" s="120"/>
      <c r="TTY3" s="120"/>
      <c r="TTZ3" s="120"/>
      <c r="TUA3" s="120"/>
      <c r="TUB3" s="120"/>
      <c r="TUC3" s="120"/>
      <c r="TUD3" s="120"/>
      <c r="TUE3" s="120"/>
      <c r="TUF3" s="120"/>
      <c r="TUG3" s="120"/>
      <c r="TUH3" s="120"/>
      <c r="TUI3" s="120"/>
      <c r="TUJ3" s="120"/>
      <c r="TUK3" s="120"/>
      <c r="TUL3" s="120"/>
      <c r="TUM3" s="120"/>
      <c r="TUN3" s="120"/>
      <c r="TUO3" s="120"/>
      <c r="TUP3" s="120"/>
      <c r="TUQ3" s="120"/>
      <c r="TUR3" s="120"/>
      <c r="TUS3" s="120"/>
      <c r="TUT3" s="120"/>
      <c r="TUU3" s="120"/>
      <c r="TUV3" s="120"/>
      <c r="TUW3" s="120"/>
      <c r="TUX3" s="120"/>
      <c r="TUY3" s="120"/>
      <c r="TUZ3" s="120"/>
      <c r="TVA3" s="120"/>
      <c r="TVB3" s="120"/>
      <c r="TVC3" s="120"/>
      <c r="TVD3" s="120"/>
      <c r="TVE3" s="120"/>
      <c r="TVF3" s="120"/>
      <c r="TVG3" s="120"/>
      <c r="TVH3" s="120"/>
      <c r="TVI3" s="120"/>
      <c r="TVJ3" s="120"/>
      <c r="TVK3" s="120"/>
      <c r="TVL3" s="120"/>
      <c r="TVM3" s="120"/>
      <c r="TVN3" s="120"/>
      <c r="TVO3" s="120"/>
      <c r="TVP3" s="120"/>
      <c r="TVQ3" s="120"/>
      <c r="TVR3" s="120"/>
      <c r="TVS3" s="120"/>
      <c r="TVT3" s="120"/>
      <c r="TVU3" s="120"/>
      <c r="TVV3" s="120"/>
      <c r="TVW3" s="120"/>
      <c r="TVX3" s="120"/>
      <c r="TVY3" s="120"/>
      <c r="TVZ3" s="120"/>
      <c r="TWA3" s="120"/>
      <c r="TWB3" s="120"/>
      <c r="TWC3" s="120"/>
      <c r="TWD3" s="120"/>
      <c r="TWE3" s="120"/>
      <c r="TWF3" s="120"/>
      <c r="TWG3" s="120"/>
      <c r="TWH3" s="120"/>
      <c r="TWI3" s="120"/>
      <c r="TWJ3" s="120"/>
      <c r="TWK3" s="120"/>
      <c r="TWL3" s="120"/>
      <c r="TWM3" s="120"/>
      <c r="TWN3" s="120"/>
      <c r="TWO3" s="120"/>
      <c r="TWP3" s="120"/>
      <c r="TWQ3" s="120"/>
      <c r="TWR3" s="120"/>
      <c r="TWS3" s="120"/>
      <c r="TWT3" s="120"/>
      <c r="TWU3" s="120"/>
      <c r="TWV3" s="120"/>
      <c r="TWW3" s="120"/>
      <c r="TWX3" s="120"/>
      <c r="TWY3" s="120"/>
      <c r="TWZ3" s="120"/>
      <c r="TXA3" s="120"/>
      <c r="TXB3" s="120"/>
      <c r="TXC3" s="120"/>
      <c r="TXD3" s="120"/>
      <c r="TXE3" s="120"/>
      <c r="TXF3" s="120"/>
      <c r="TXG3" s="120"/>
      <c r="TXH3" s="120"/>
      <c r="TXI3" s="120"/>
      <c r="TXJ3" s="120"/>
      <c r="TXK3" s="120"/>
      <c r="TXL3" s="120"/>
      <c r="TXM3" s="120"/>
      <c r="TXN3" s="120"/>
      <c r="TXO3" s="120"/>
      <c r="TXP3" s="120"/>
      <c r="TXQ3" s="120"/>
      <c r="TXR3" s="120"/>
      <c r="TXS3" s="120"/>
      <c r="TXT3" s="120"/>
      <c r="TXU3" s="120"/>
      <c r="TXV3" s="120"/>
      <c r="TXW3" s="120"/>
      <c r="TXX3" s="120"/>
      <c r="TXY3" s="120"/>
      <c r="TXZ3" s="120"/>
      <c r="TYA3" s="120"/>
      <c r="TYB3" s="120"/>
      <c r="TYC3" s="120"/>
      <c r="TYD3" s="120"/>
      <c r="TYE3" s="120"/>
      <c r="TYF3" s="120"/>
      <c r="TYG3" s="120"/>
      <c r="TYH3" s="120"/>
      <c r="TYI3" s="120"/>
      <c r="TYJ3" s="120"/>
      <c r="TYK3" s="120"/>
      <c r="TYL3" s="120"/>
      <c r="TYM3" s="120"/>
      <c r="TYN3" s="120"/>
      <c r="TYO3" s="120"/>
      <c r="TYP3" s="120"/>
      <c r="TYQ3" s="120"/>
      <c r="TYR3" s="120"/>
      <c r="TYS3" s="120"/>
      <c r="TYT3" s="120"/>
      <c r="TYU3" s="120"/>
      <c r="TYV3" s="120"/>
      <c r="TYW3" s="120"/>
      <c r="TYX3" s="120"/>
      <c r="TYY3" s="120"/>
      <c r="TYZ3" s="120"/>
      <c r="TZA3" s="120"/>
      <c r="TZB3" s="120"/>
      <c r="TZC3" s="120"/>
      <c r="TZD3" s="120"/>
      <c r="TZE3" s="120"/>
      <c r="TZF3" s="120"/>
      <c r="TZG3" s="120"/>
      <c r="TZH3" s="120"/>
      <c r="TZI3" s="120"/>
      <c r="TZJ3" s="120"/>
      <c r="TZK3" s="120"/>
      <c r="TZL3" s="120"/>
      <c r="TZM3" s="120"/>
      <c r="TZN3" s="120"/>
      <c r="TZO3" s="120"/>
      <c r="TZP3" s="120"/>
      <c r="TZQ3" s="120"/>
      <c r="TZR3" s="120"/>
      <c r="TZS3" s="120"/>
      <c r="TZT3" s="120"/>
      <c r="TZU3" s="120"/>
      <c r="TZV3" s="120"/>
      <c r="TZW3" s="120"/>
      <c r="TZX3" s="120"/>
      <c r="TZY3" s="120"/>
      <c r="TZZ3" s="120"/>
      <c r="UAA3" s="120"/>
      <c r="UAB3" s="120"/>
      <c r="UAC3" s="120"/>
      <c r="UAD3" s="120"/>
      <c r="UAE3" s="120"/>
      <c r="UAF3" s="120"/>
      <c r="UAG3" s="120"/>
      <c r="UAH3" s="120"/>
      <c r="UAI3" s="120"/>
      <c r="UAJ3" s="120"/>
      <c r="UAK3" s="120"/>
      <c r="UAL3" s="120"/>
      <c r="UAM3" s="120"/>
      <c r="UAN3" s="120"/>
      <c r="UAO3" s="120"/>
      <c r="UAP3" s="120"/>
      <c r="UAQ3" s="120"/>
      <c r="UAR3" s="120"/>
      <c r="UAS3" s="120"/>
      <c r="UAT3" s="120"/>
      <c r="UAU3" s="120"/>
      <c r="UAV3" s="120"/>
      <c r="UAW3" s="120"/>
      <c r="UAX3" s="120"/>
      <c r="UAY3" s="120"/>
      <c r="UAZ3" s="120"/>
      <c r="UBA3" s="120"/>
      <c r="UBB3" s="120"/>
      <c r="UBC3" s="120"/>
      <c r="UBD3" s="120"/>
      <c r="UBE3" s="120"/>
      <c r="UBF3" s="120"/>
      <c r="UBG3" s="120"/>
      <c r="UBH3" s="120"/>
      <c r="UBI3" s="120"/>
      <c r="UBJ3" s="120"/>
      <c r="UBK3" s="120"/>
      <c r="UBL3" s="120"/>
      <c r="UBM3" s="120"/>
      <c r="UBN3" s="120"/>
      <c r="UBO3" s="120"/>
      <c r="UBP3" s="120"/>
      <c r="UBQ3" s="120"/>
      <c r="UBR3" s="120"/>
      <c r="UBS3" s="120"/>
      <c r="UBT3" s="120"/>
      <c r="UBU3" s="120"/>
      <c r="UBV3" s="120"/>
      <c r="UBW3" s="120"/>
      <c r="UBX3" s="120"/>
      <c r="UBY3" s="120"/>
      <c r="UBZ3" s="120"/>
      <c r="UCA3" s="120"/>
      <c r="UCB3" s="120"/>
      <c r="UCC3" s="120"/>
      <c r="UCD3" s="120"/>
      <c r="UCE3" s="120"/>
      <c r="UCF3" s="120"/>
      <c r="UCG3" s="120"/>
      <c r="UCH3" s="120"/>
      <c r="UCI3" s="120"/>
      <c r="UCJ3" s="120"/>
      <c r="UCK3" s="120"/>
      <c r="UCL3" s="120"/>
      <c r="UCM3" s="120"/>
      <c r="UCN3" s="120"/>
      <c r="UCO3" s="120"/>
      <c r="UCP3" s="120"/>
      <c r="UCQ3" s="120"/>
      <c r="UCR3" s="120"/>
      <c r="UCS3" s="120"/>
      <c r="UCT3" s="120"/>
      <c r="UCU3" s="120"/>
      <c r="UCV3" s="120"/>
      <c r="UCW3" s="120"/>
      <c r="UCX3" s="120"/>
      <c r="UCY3" s="120"/>
      <c r="UCZ3" s="120"/>
      <c r="UDA3" s="120"/>
      <c r="UDB3" s="120"/>
      <c r="UDC3" s="120"/>
      <c r="UDD3" s="120"/>
      <c r="UDE3" s="120"/>
      <c r="UDF3" s="120"/>
      <c r="UDG3" s="120"/>
      <c r="UDH3" s="120"/>
      <c r="UDI3" s="120"/>
      <c r="UDJ3" s="120"/>
      <c r="UDK3" s="120"/>
      <c r="UDL3" s="120"/>
      <c r="UDM3" s="120"/>
      <c r="UDN3" s="120"/>
      <c r="UDO3" s="120"/>
      <c r="UDP3" s="120"/>
      <c r="UDQ3" s="120"/>
      <c r="UDR3" s="120"/>
      <c r="UDS3" s="120"/>
      <c r="UDT3" s="120"/>
      <c r="UDU3" s="120"/>
      <c r="UDV3" s="120"/>
      <c r="UDW3" s="120"/>
      <c r="UDX3" s="120"/>
      <c r="UDY3" s="120"/>
      <c r="UDZ3" s="120"/>
      <c r="UEA3" s="120"/>
      <c r="UEB3" s="120"/>
      <c r="UEC3" s="120"/>
      <c r="UED3" s="120"/>
      <c r="UEE3" s="120"/>
      <c r="UEF3" s="120"/>
      <c r="UEG3" s="120"/>
      <c r="UEH3" s="120"/>
      <c r="UEI3" s="120"/>
      <c r="UEJ3" s="120"/>
      <c r="UEK3" s="120"/>
      <c r="UEL3" s="120"/>
      <c r="UEM3" s="120"/>
      <c r="UEN3" s="120"/>
      <c r="UEO3" s="120"/>
      <c r="UEP3" s="120"/>
      <c r="UEQ3" s="120"/>
      <c r="UER3" s="120"/>
      <c r="UES3" s="120"/>
      <c r="UET3" s="120"/>
      <c r="UEU3" s="120"/>
      <c r="UEV3" s="120"/>
      <c r="UEW3" s="120"/>
      <c r="UEX3" s="120"/>
      <c r="UEY3" s="120"/>
      <c r="UEZ3" s="120"/>
      <c r="UFA3" s="120"/>
      <c r="UFB3" s="120"/>
      <c r="UFC3" s="120"/>
      <c r="UFD3" s="120"/>
      <c r="UFE3" s="120"/>
      <c r="UFF3" s="120"/>
      <c r="UFG3" s="120"/>
      <c r="UFH3" s="120"/>
      <c r="UFI3" s="120"/>
      <c r="UFJ3" s="120"/>
      <c r="UFK3" s="120"/>
      <c r="UFL3" s="120"/>
      <c r="UFM3" s="120"/>
      <c r="UFN3" s="120"/>
      <c r="UFO3" s="120"/>
      <c r="UFP3" s="120"/>
      <c r="UFQ3" s="120"/>
      <c r="UFR3" s="120"/>
      <c r="UFS3" s="120"/>
      <c r="UFT3" s="120"/>
      <c r="UFU3" s="120"/>
      <c r="UFV3" s="120"/>
      <c r="UFW3" s="120"/>
      <c r="UFX3" s="120"/>
      <c r="UFY3" s="120"/>
      <c r="UFZ3" s="120"/>
      <c r="UGA3" s="120"/>
      <c r="UGB3" s="120"/>
      <c r="UGC3" s="120"/>
      <c r="UGD3" s="120"/>
      <c r="UGE3" s="120"/>
      <c r="UGF3" s="120"/>
      <c r="UGG3" s="120"/>
      <c r="UGH3" s="120"/>
      <c r="UGI3" s="120"/>
      <c r="UGJ3" s="120"/>
      <c r="UGK3" s="120"/>
      <c r="UGL3" s="120"/>
      <c r="UGM3" s="120"/>
      <c r="UGN3" s="120"/>
      <c r="UGO3" s="120"/>
      <c r="UGP3" s="120"/>
      <c r="UGQ3" s="120"/>
      <c r="UGR3" s="120"/>
      <c r="UGS3" s="120"/>
      <c r="UGT3" s="120"/>
      <c r="UGU3" s="120"/>
      <c r="UGV3" s="120"/>
      <c r="UGW3" s="120"/>
      <c r="UGX3" s="120"/>
      <c r="UGY3" s="120"/>
      <c r="UGZ3" s="120"/>
      <c r="UHA3" s="120"/>
      <c r="UHB3" s="120"/>
      <c r="UHC3" s="120"/>
      <c r="UHD3" s="120"/>
      <c r="UHE3" s="120"/>
      <c r="UHF3" s="120"/>
      <c r="UHG3" s="120"/>
      <c r="UHH3" s="120"/>
      <c r="UHI3" s="120"/>
      <c r="UHJ3" s="120"/>
      <c r="UHK3" s="120"/>
      <c r="UHL3" s="120"/>
      <c r="UHM3" s="120"/>
      <c r="UHN3" s="120"/>
      <c r="UHO3" s="120"/>
      <c r="UHP3" s="120"/>
      <c r="UHQ3" s="120"/>
      <c r="UHR3" s="120"/>
      <c r="UHS3" s="120"/>
      <c r="UHT3" s="120"/>
      <c r="UHU3" s="120"/>
      <c r="UHV3" s="120"/>
      <c r="UHW3" s="120"/>
      <c r="UHX3" s="120"/>
      <c r="UHY3" s="120"/>
      <c r="UHZ3" s="120"/>
      <c r="UIA3" s="120"/>
      <c r="UIB3" s="120"/>
      <c r="UIC3" s="120"/>
      <c r="UID3" s="120"/>
      <c r="UIE3" s="120"/>
      <c r="UIF3" s="120"/>
      <c r="UIG3" s="120"/>
      <c r="UIH3" s="120"/>
      <c r="UII3" s="120"/>
      <c r="UIJ3" s="120"/>
      <c r="UIK3" s="120"/>
      <c r="UIL3" s="120"/>
      <c r="UIM3" s="120"/>
      <c r="UIN3" s="120"/>
      <c r="UIO3" s="120"/>
      <c r="UIP3" s="120"/>
      <c r="UIQ3" s="120"/>
      <c r="UIR3" s="120"/>
      <c r="UIS3" s="120"/>
      <c r="UIT3" s="120"/>
      <c r="UIU3" s="120"/>
      <c r="UIV3" s="120"/>
      <c r="UIW3" s="120"/>
      <c r="UIX3" s="120"/>
      <c r="UIY3" s="120"/>
      <c r="UIZ3" s="120"/>
      <c r="UJA3" s="120"/>
      <c r="UJB3" s="120"/>
      <c r="UJC3" s="120"/>
      <c r="UJD3" s="120"/>
      <c r="UJE3" s="120"/>
      <c r="UJF3" s="120"/>
      <c r="UJG3" s="120"/>
      <c r="UJH3" s="120"/>
      <c r="UJI3" s="120"/>
      <c r="UJJ3" s="120"/>
      <c r="UJK3" s="120"/>
      <c r="UJL3" s="120"/>
      <c r="UJM3" s="120"/>
      <c r="UJN3" s="120"/>
      <c r="UJO3" s="120"/>
      <c r="UJP3" s="120"/>
      <c r="UJQ3" s="120"/>
      <c r="UJR3" s="120"/>
      <c r="UJS3" s="120"/>
      <c r="UJT3" s="120"/>
      <c r="UJU3" s="120"/>
      <c r="UJV3" s="120"/>
      <c r="UJW3" s="120"/>
      <c r="UJX3" s="120"/>
      <c r="UJY3" s="120"/>
      <c r="UJZ3" s="120"/>
      <c r="UKA3" s="120"/>
      <c r="UKB3" s="120"/>
      <c r="UKC3" s="120"/>
      <c r="UKD3" s="120"/>
      <c r="UKE3" s="120"/>
      <c r="UKF3" s="120"/>
      <c r="UKG3" s="120"/>
      <c r="UKH3" s="120"/>
      <c r="UKI3" s="120"/>
      <c r="UKJ3" s="120"/>
      <c r="UKK3" s="120"/>
      <c r="UKL3" s="120"/>
      <c r="UKM3" s="120"/>
      <c r="UKN3" s="120"/>
      <c r="UKO3" s="120"/>
      <c r="UKP3" s="120"/>
      <c r="UKQ3" s="120"/>
      <c r="UKR3" s="120"/>
      <c r="UKS3" s="120"/>
      <c r="UKT3" s="120"/>
      <c r="UKU3" s="120"/>
      <c r="UKV3" s="120"/>
      <c r="UKW3" s="120"/>
      <c r="UKX3" s="120"/>
      <c r="UKY3" s="120"/>
      <c r="UKZ3" s="120"/>
      <c r="ULA3" s="120"/>
      <c r="ULB3" s="120"/>
      <c r="ULC3" s="120"/>
      <c r="ULD3" s="120"/>
      <c r="ULE3" s="120"/>
      <c r="ULF3" s="120"/>
      <c r="ULG3" s="120"/>
      <c r="ULH3" s="120"/>
      <c r="ULI3" s="120"/>
      <c r="ULJ3" s="120"/>
      <c r="ULK3" s="120"/>
      <c r="ULL3" s="120"/>
      <c r="ULM3" s="120"/>
      <c r="ULN3" s="120"/>
      <c r="ULO3" s="120"/>
      <c r="ULP3" s="120"/>
      <c r="ULQ3" s="120"/>
      <c r="ULR3" s="120"/>
      <c r="ULS3" s="120"/>
      <c r="ULT3" s="120"/>
      <c r="ULU3" s="120"/>
      <c r="ULV3" s="120"/>
      <c r="ULW3" s="120"/>
      <c r="ULX3" s="120"/>
      <c r="ULY3" s="120"/>
      <c r="ULZ3" s="120"/>
      <c r="UMA3" s="120"/>
      <c r="UMB3" s="120"/>
      <c r="UMC3" s="120"/>
      <c r="UMD3" s="120"/>
      <c r="UME3" s="120"/>
      <c r="UMF3" s="120"/>
      <c r="UMG3" s="120"/>
      <c r="UMH3" s="120"/>
      <c r="UMI3" s="120"/>
      <c r="UMJ3" s="120"/>
      <c r="UMK3" s="120"/>
      <c r="UML3" s="120"/>
      <c r="UMM3" s="120"/>
      <c r="UMN3" s="120"/>
      <c r="UMO3" s="120"/>
      <c r="UMP3" s="120"/>
      <c r="UMQ3" s="120"/>
      <c r="UMR3" s="120"/>
      <c r="UMS3" s="120"/>
      <c r="UMT3" s="120"/>
      <c r="UMU3" s="120"/>
      <c r="UMV3" s="120"/>
      <c r="UMW3" s="120"/>
      <c r="UMX3" s="120"/>
      <c r="UMY3" s="120"/>
      <c r="UMZ3" s="120"/>
      <c r="UNA3" s="120"/>
      <c r="UNB3" s="120"/>
      <c r="UNC3" s="120"/>
      <c r="UND3" s="120"/>
      <c r="UNE3" s="120"/>
      <c r="UNF3" s="120"/>
      <c r="UNG3" s="120"/>
      <c r="UNH3" s="120"/>
      <c r="UNI3" s="120"/>
      <c r="UNJ3" s="120"/>
      <c r="UNK3" s="120"/>
      <c r="UNL3" s="120"/>
      <c r="UNM3" s="120"/>
      <c r="UNN3" s="120"/>
      <c r="UNO3" s="120"/>
      <c r="UNP3" s="120"/>
      <c r="UNQ3" s="120"/>
      <c r="UNR3" s="120"/>
      <c r="UNS3" s="120"/>
      <c r="UNT3" s="120"/>
      <c r="UNU3" s="120"/>
      <c r="UNV3" s="120"/>
      <c r="UNW3" s="120"/>
      <c r="UNX3" s="120"/>
      <c r="UNY3" s="120"/>
      <c r="UNZ3" s="120"/>
      <c r="UOA3" s="120"/>
      <c r="UOB3" s="120"/>
      <c r="UOC3" s="120"/>
      <c r="UOD3" s="120"/>
      <c r="UOE3" s="120"/>
      <c r="UOF3" s="120"/>
      <c r="UOG3" s="120"/>
      <c r="UOH3" s="120"/>
      <c r="UOI3" s="120"/>
      <c r="UOJ3" s="120"/>
      <c r="UOK3" s="120"/>
      <c r="UOL3" s="120"/>
      <c r="UOM3" s="120"/>
      <c r="UON3" s="120"/>
      <c r="UOO3" s="120"/>
      <c r="UOP3" s="120"/>
      <c r="UOQ3" s="120"/>
      <c r="UOR3" s="120"/>
      <c r="UOS3" s="120"/>
      <c r="UOT3" s="120"/>
      <c r="UOU3" s="120"/>
      <c r="UOV3" s="120"/>
      <c r="UOW3" s="120"/>
      <c r="UOX3" s="120"/>
      <c r="UOY3" s="120"/>
      <c r="UOZ3" s="120"/>
      <c r="UPA3" s="120"/>
      <c r="UPB3" s="120"/>
      <c r="UPC3" s="120"/>
      <c r="UPD3" s="120"/>
      <c r="UPE3" s="120"/>
      <c r="UPF3" s="120"/>
      <c r="UPG3" s="120"/>
      <c r="UPH3" s="120"/>
      <c r="UPI3" s="120"/>
      <c r="UPJ3" s="120"/>
      <c r="UPK3" s="120"/>
      <c r="UPL3" s="120"/>
      <c r="UPM3" s="120"/>
      <c r="UPN3" s="120"/>
      <c r="UPO3" s="120"/>
      <c r="UPP3" s="120"/>
      <c r="UPQ3" s="120"/>
      <c r="UPR3" s="120"/>
      <c r="UPS3" s="120"/>
      <c r="UPT3" s="120"/>
      <c r="UPU3" s="120"/>
      <c r="UPV3" s="120"/>
      <c r="UPW3" s="120"/>
      <c r="UPX3" s="120"/>
      <c r="UPY3" s="120"/>
      <c r="UPZ3" s="120"/>
      <c r="UQA3" s="120"/>
      <c r="UQB3" s="120"/>
      <c r="UQC3" s="120"/>
      <c r="UQD3" s="120"/>
      <c r="UQE3" s="120"/>
      <c r="UQF3" s="120"/>
      <c r="UQG3" s="120"/>
      <c r="UQH3" s="120"/>
      <c r="UQI3" s="120"/>
      <c r="UQJ3" s="120"/>
      <c r="UQK3" s="120"/>
      <c r="UQL3" s="120"/>
      <c r="UQM3" s="120"/>
      <c r="UQN3" s="120"/>
      <c r="UQO3" s="120"/>
      <c r="UQP3" s="120"/>
      <c r="UQQ3" s="120"/>
      <c r="UQR3" s="120"/>
      <c r="UQS3" s="120"/>
      <c r="UQT3" s="120"/>
      <c r="UQU3" s="120"/>
      <c r="UQV3" s="120"/>
      <c r="UQW3" s="120"/>
      <c r="UQX3" s="120"/>
      <c r="UQY3" s="120"/>
      <c r="UQZ3" s="120"/>
      <c r="URA3" s="120"/>
      <c r="URB3" s="120"/>
      <c r="URC3" s="120"/>
      <c r="URD3" s="120"/>
      <c r="URE3" s="120"/>
      <c r="URF3" s="120"/>
      <c r="URG3" s="120"/>
      <c r="URH3" s="120"/>
      <c r="URI3" s="120"/>
      <c r="URJ3" s="120"/>
      <c r="URK3" s="120"/>
      <c r="URL3" s="120"/>
      <c r="URM3" s="120"/>
      <c r="URN3" s="120"/>
      <c r="URO3" s="120"/>
      <c r="URP3" s="120"/>
      <c r="URQ3" s="120"/>
      <c r="URR3" s="120"/>
      <c r="URS3" s="120"/>
      <c r="URT3" s="120"/>
      <c r="URU3" s="120"/>
      <c r="URV3" s="120"/>
      <c r="URW3" s="120"/>
      <c r="URX3" s="120"/>
      <c r="URY3" s="120"/>
      <c r="URZ3" s="120"/>
      <c r="USA3" s="120"/>
      <c r="USB3" s="120"/>
      <c r="USC3" s="120"/>
      <c r="USD3" s="120"/>
      <c r="USE3" s="120"/>
      <c r="USF3" s="120"/>
      <c r="USG3" s="120"/>
      <c r="USH3" s="120"/>
      <c r="USI3" s="120"/>
      <c r="USJ3" s="120"/>
      <c r="USK3" s="120"/>
      <c r="USL3" s="120"/>
      <c r="USM3" s="120"/>
      <c r="USN3" s="120"/>
      <c r="USO3" s="120"/>
      <c r="USP3" s="120"/>
      <c r="USQ3" s="120"/>
      <c r="USR3" s="120"/>
      <c r="USS3" s="120"/>
      <c r="UST3" s="120"/>
      <c r="USU3" s="120"/>
      <c r="USV3" s="120"/>
      <c r="USW3" s="120"/>
      <c r="USX3" s="120"/>
      <c r="USY3" s="120"/>
      <c r="USZ3" s="120"/>
      <c r="UTA3" s="120"/>
      <c r="UTB3" s="120"/>
      <c r="UTC3" s="120"/>
      <c r="UTD3" s="120"/>
      <c r="UTE3" s="120"/>
      <c r="UTF3" s="120"/>
      <c r="UTG3" s="120"/>
      <c r="UTH3" s="120"/>
      <c r="UTI3" s="120"/>
      <c r="UTJ3" s="120"/>
      <c r="UTK3" s="120"/>
      <c r="UTL3" s="120"/>
      <c r="UTM3" s="120"/>
      <c r="UTN3" s="120"/>
      <c r="UTO3" s="120"/>
      <c r="UTP3" s="120"/>
      <c r="UTQ3" s="120"/>
      <c r="UTR3" s="120"/>
      <c r="UTS3" s="120"/>
      <c r="UTT3" s="120"/>
      <c r="UTU3" s="120"/>
      <c r="UTV3" s="120"/>
      <c r="UTW3" s="120"/>
      <c r="UTX3" s="120"/>
      <c r="UTY3" s="120"/>
      <c r="UTZ3" s="120"/>
      <c r="UUA3" s="120"/>
      <c r="UUB3" s="120"/>
      <c r="UUC3" s="120"/>
      <c r="UUD3" s="120"/>
      <c r="UUE3" s="120"/>
      <c r="UUF3" s="120"/>
      <c r="UUG3" s="120"/>
      <c r="UUH3" s="120"/>
      <c r="UUI3" s="120"/>
      <c r="UUJ3" s="120"/>
      <c r="UUK3" s="120"/>
      <c r="UUL3" s="120"/>
      <c r="UUM3" s="120"/>
      <c r="UUN3" s="120"/>
      <c r="UUO3" s="120"/>
      <c r="UUP3" s="120"/>
      <c r="UUQ3" s="120"/>
      <c r="UUR3" s="120"/>
      <c r="UUS3" s="120"/>
      <c r="UUT3" s="120"/>
      <c r="UUU3" s="120"/>
      <c r="UUV3" s="120"/>
      <c r="UUW3" s="120"/>
      <c r="UUX3" s="120"/>
      <c r="UUY3" s="120"/>
      <c r="UUZ3" s="120"/>
      <c r="UVA3" s="120"/>
      <c r="UVB3" s="120"/>
      <c r="UVC3" s="120"/>
      <c r="UVD3" s="120"/>
      <c r="UVE3" s="120"/>
      <c r="UVF3" s="120"/>
      <c r="UVG3" s="120"/>
      <c r="UVH3" s="120"/>
      <c r="UVI3" s="120"/>
      <c r="UVJ3" s="120"/>
      <c r="UVK3" s="120"/>
      <c r="UVL3" s="120"/>
      <c r="UVM3" s="120"/>
      <c r="UVN3" s="120"/>
      <c r="UVO3" s="120"/>
      <c r="UVP3" s="120"/>
      <c r="UVQ3" s="120"/>
      <c r="UVR3" s="120"/>
      <c r="UVS3" s="120"/>
      <c r="UVT3" s="120"/>
      <c r="UVU3" s="120"/>
      <c r="UVV3" s="120"/>
      <c r="UVW3" s="120"/>
      <c r="UVX3" s="120"/>
      <c r="UVY3" s="120"/>
      <c r="UVZ3" s="120"/>
      <c r="UWA3" s="120"/>
      <c r="UWB3" s="120"/>
      <c r="UWC3" s="120"/>
      <c r="UWD3" s="120"/>
      <c r="UWE3" s="120"/>
      <c r="UWF3" s="120"/>
      <c r="UWG3" s="120"/>
      <c r="UWH3" s="120"/>
      <c r="UWI3" s="120"/>
      <c r="UWJ3" s="120"/>
      <c r="UWK3" s="120"/>
      <c r="UWL3" s="120"/>
      <c r="UWM3" s="120"/>
      <c r="UWN3" s="120"/>
      <c r="UWO3" s="120"/>
      <c r="UWP3" s="120"/>
      <c r="UWQ3" s="120"/>
      <c r="UWR3" s="120"/>
      <c r="UWS3" s="120"/>
      <c r="UWT3" s="120"/>
      <c r="UWU3" s="120"/>
      <c r="UWV3" s="120"/>
      <c r="UWW3" s="120"/>
      <c r="UWX3" s="120"/>
      <c r="UWY3" s="120"/>
      <c r="UWZ3" s="120"/>
      <c r="UXA3" s="120"/>
      <c r="UXB3" s="120"/>
      <c r="UXC3" s="120"/>
      <c r="UXD3" s="120"/>
      <c r="UXE3" s="120"/>
      <c r="UXF3" s="120"/>
      <c r="UXG3" s="120"/>
      <c r="UXH3" s="120"/>
      <c r="UXI3" s="120"/>
      <c r="UXJ3" s="120"/>
      <c r="UXK3" s="120"/>
      <c r="UXL3" s="120"/>
      <c r="UXM3" s="120"/>
      <c r="UXN3" s="120"/>
      <c r="UXO3" s="120"/>
      <c r="UXP3" s="120"/>
      <c r="UXQ3" s="120"/>
      <c r="UXR3" s="120"/>
      <c r="UXS3" s="120"/>
      <c r="UXT3" s="120"/>
      <c r="UXU3" s="120"/>
      <c r="UXV3" s="120"/>
      <c r="UXW3" s="120"/>
      <c r="UXX3" s="120"/>
      <c r="UXY3" s="120"/>
      <c r="UXZ3" s="120"/>
      <c r="UYA3" s="120"/>
      <c r="UYB3" s="120"/>
      <c r="UYC3" s="120"/>
      <c r="UYD3" s="120"/>
      <c r="UYE3" s="120"/>
      <c r="UYF3" s="120"/>
      <c r="UYG3" s="120"/>
      <c r="UYH3" s="120"/>
      <c r="UYI3" s="120"/>
      <c r="UYJ3" s="120"/>
      <c r="UYK3" s="120"/>
      <c r="UYL3" s="120"/>
      <c r="UYM3" s="120"/>
      <c r="UYN3" s="120"/>
      <c r="UYO3" s="120"/>
      <c r="UYP3" s="120"/>
      <c r="UYQ3" s="120"/>
      <c r="UYR3" s="120"/>
      <c r="UYS3" s="120"/>
      <c r="UYT3" s="120"/>
      <c r="UYU3" s="120"/>
      <c r="UYV3" s="120"/>
      <c r="UYW3" s="120"/>
      <c r="UYX3" s="120"/>
      <c r="UYY3" s="120"/>
      <c r="UYZ3" s="120"/>
      <c r="UZA3" s="120"/>
      <c r="UZB3" s="120"/>
      <c r="UZC3" s="120"/>
      <c r="UZD3" s="120"/>
      <c r="UZE3" s="120"/>
      <c r="UZF3" s="120"/>
      <c r="UZG3" s="120"/>
      <c r="UZH3" s="120"/>
      <c r="UZI3" s="120"/>
      <c r="UZJ3" s="120"/>
      <c r="UZK3" s="120"/>
      <c r="UZL3" s="120"/>
      <c r="UZM3" s="120"/>
      <c r="UZN3" s="120"/>
      <c r="UZO3" s="120"/>
      <c r="UZP3" s="120"/>
      <c r="UZQ3" s="120"/>
      <c r="UZR3" s="120"/>
      <c r="UZS3" s="120"/>
      <c r="UZT3" s="120"/>
      <c r="UZU3" s="120"/>
      <c r="UZV3" s="120"/>
      <c r="UZW3" s="120"/>
      <c r="UZX3" s="120"/>
      <c r="UZY3" s="120"/>
      <c r="UZZ3" s="120"/>
      <c r="VAA3" s="120"/>
      <c r="VAB3" s="120"/>
      <c r="VAC3" s="120"/>
      <c r="VAD3" s="120"/>
      <c r="VAE3" s="120"/>
      <c r="VAF3" s="120"/>
      <c r="VAG3" s="120"/>
      <c r="VAH3" s="120"/>
      <c r="VAI3" s="120"/>
      <c r="VAJ3" s="120"/>
      <c r="VAK3" s="120"/>
      <c r="VAL3" s="120"/>
      <c r="VAM3" s="120"/>
      <c r="VAN3" s="120"/>
      <c r="VAO3" s="120"/>
      <c r="VAP3" s="120"/>
      <c r="VAQ3" s="120"/>
      <c r="VAR3" s="120"/>
      <c r="VAS3" s="120"/>
      <c r="VAT3" s="120"/>
      <c r="VAU3" s="120"/>
      <c r="VAV3" s="120"/>
      <c r="VAW3" s="120"/>
      <c r="VAX3" s="120"/>
      <c r="VAY3" s="120"/>
      <c r="VAZ3" s="120"/>
      <c r="VBA3" s="120"/>
      <c r="VBB3" s="120"/>
      <c r="VBC3" s="120"/>
      <c r="VBD3" s="120"/>
      <c r="VBE3" s="120"/>
      <c r="VBF3" s="120"/>
      <c r="VBG3" s="120"/>
      <c r="VBH3" s="120"/>
      <c r="VBI3" s="120"/>
      <c r="VBJ3" s="120"/>
      <c r="VBK3" s="120"/>
      <c r="VBL3" s="120"/>
      <c r="VBM3" s="120"/>
      <c r="VBN3" s="120"/>
      <c r="VBO3" s="120"/>
      <c r="VBP3" s="120"/>
      <c r="VBQ3" s="120"/>
      <c r="VBR3" s="120"/>
      <c r="VBS3" s="120"/>
      <c r="VBT3" s="120"/>
      <c r="VBU3" s="120"/>
      <c r="VBV3" s="120"/>
      <c r="VBW3" s="120"/>
      <c r="VBX3" s="120"/>
      <c r="VBY3" s="120"/>
      <c r="VBZ3" s="120"/>
      <c r="VCA3" s="120"/>
      <c r="VCB3" s="120"/>
      <c r="VCC3" s="120"/>
      <c r="VCD3" s="120"/>
      <c r="VCE3" s="120"/>
      <c r="VCF3" s="120"/>
      <c r="VCG3" s="120"/>
      <c r="VCH3" s="120"/>
      <c r="VCI3" s="120"/>
      <c r="VCJ3" s="120"/>
      <c r="VCK3" s="120"/>
      <c r="VCL3" s="120"/>
      <c r="VCM3" s="120"/>
      <c r="VCN3" s="120"/>
      <c r="VCO3" s="120"/>
      <c r="VCP3" s="120"/>
      <c r="VCQ3" s="120"/>
      <c r="VCR3" s="120"/>
      <c r="VCS3" s="120"/>
      <c r="VCT3" s="120"/>
      <c r="VCU3" s="120"/>
      <c r="VCV3" s="120"/>
      <c r="VCW3" s="120"/>
      <c r="VCX3" s="120"/>
      <c r="VCY3" s="120"/>
      <c r="VCZ3" s="120"/>
      <c r="VDA3" s="120"/>
      <c r="VDB3" s="120"/>
      <c r="VDC3" s="120"/>
      <c r="VDD3" s="120"/>
      <c r="VDE3" s="120"/>
      <c r="VDF3" s="120"/>
      <c r="VDG3" s="120"/>
      <c r="VDH3" s="120"/>
      <c r="VDI3" s="120"/>
      <c r="VDJ3" s="120"/>
      <c r="VDK3" s="120"/>
      <c r="VDL3" s="120"/>
      <c r="VDM3" s="120"/>
      <c r="VDN3" s="120"/>
      <c r="VDO3" s="120"/>
      <c r="VDP3" s="120"/>
      <c r="VDQ3" s="120"/>
      <c r="VDR3" s="120"/>
      <c r="VDS3" s="120"/>
      <c r="VDT3" s="120"/>
      <c r="VDU3" s="120"/>
      <c r="VDV3" s="120"/>
      <c r="VDW3" s="120"/>
      <c r="VDX3" s="120"/>
      <c r="VDY3" s="120"/>
      <c r="VDZ3" s="120"/>
      <c r="VEA3" s="120"/>
      <c r="VEB3" s="120"/>
      <c r="VEC3" s="120"/>
      <c r="VED3" s="120"/>
      <c r="VEE3" s="120"/>
      <c r="VEF3" s="120"/>
      <c r="VEG3" s="120"/>
      <c r="VEH3" s="120"/>
      <c r="VEI3" s="120"/>
      <c r="VEJ3" s="120"/>
      <c r="VEK3" s="120"/>
      <c r="VEL3" s="120"/>
      <c r="VEM3" s="120"/>
      <c r="VEN3" s="120"/>
      <c r="VEO3" s="120"/>
      <c r="VEP3" s="120"/>
      <c r="VEQ3" s="120"/>
      <c r="VER3" s="120"/>
      <c r="VES3" s="120"/>
      <c r="VET3" s="120"/>
      <c r="VEU3" s="120"/>
      <c r="VEV3" s="120"/>
      <c r="VEW3" s="120"/>
      <c r="VEX3" s="120"/>
      <c r="VEY3" s="120"/>
      <c r="VEZ3" s="120"/>
      <c r="VFA3" s="120"/>
      <c r="VFB3" s="120"/>
      <c r="VFC3" s="120"/>
      <c r="VFD3" s="120"/>
      <c r="VFE3" s="120"/>
      <c r="VFF3" s="120"/>
      <c r="VFG3" s="120"/>
      <c r="VFH3" s="120"/>
      <c r="VFI3" s="120"/>
      <c r="VFJ3" s="120"/>
      <c r="VFK3" s="120"/>
      <c r="VFL3" s="120"/>
      <c r="VFM3" s="120"/>
      <c r="VFN3" s="120"/>
      <c r="VFO3" s="120"/>
      <c r="VFP3" s="120"/>
      <c r="VFQ3" s="120"/>
      <c r="VFR3" s="120"/>
      <c r="VFS3" s="120"/>
      <c r="VFT3" s="120"/>
      <c r="VFU3" s="120"/>
      <c r="VFV3" s="120"/>
      <c r="VFW3" s="120"/>
      <c r="VFX3" s="120"/>
      <c r="VFY3" s="120"/>
      <c r="VFZ3" s="120"/>
      <c r="VGA3" s="120"/>
      <c r="VGB3" s="120"/>
      <c r="VGC3" s="120"/>
      <c r="VGD3" s="120"/>
      <c r="VGE3" s="120"/>
      <c r="VGF3" s="120"/>
      <c r="VGG3" s="120"/>
      <c r="VGH3" s="120"/>
      <c r="VGI3" s="120"/>
      <c r="VGJ3" s="120"/>
      <c r="VGK3" s="120"/>
      <c r="VGL3" s="120"/>
      <c r="VGM3" s="120"/>
      <c r="VGN3" s="120"/>
      <c r="VGO3" s="120"/>
      <c r="VGP3" s="120"/>
      <c r="VGQ3" s="120"/>
      <c r="VGR3" s="120"/>
      <c r="VGS3" s="120"/>
      <c r="VGT3" s="120"/>
      <c r="VGU3" s="120"/>
      <c r="VGV3" s="120"/>
      <c r="VGW3" s="120"/>
      <c r="VGX3" s="120"/>
      <c r="VGY3" s="120"/>
      <c r="VGZ3" s="120"/>
      <c r="VHA3" s="120"/>
      <c r="VHB3" s="120"/>
      <c r="VHC3" s="120"/>
      <c r="VHD3" s="120"/>
      <c r="VHE3" s="120"/>
      <c r="VHF3" s="120"/>
      <c r="VHG3" s="120"/>
      <c r="VHH3" s="120"/>
      <c r="VHI3" s="120"/>
      <c r="VHJ3" s="120"/>
      <c r="VHK3" s="120"/>
      <c r="VHL3" s="120"/>
      <c r="VHM3" s="120"/>
      <c r="VHN3" s="120"/>
      <c r="VHO3" s="120"/>
      <c r="VHP3" s="120"/>
      <c r="VHQ3" s="120"/>
      <c r="VHR3" s="120"/>
      <c r="VHS3" s="120"/>
      <c r="VHT3" s="120"/>
      <c r="VHU3" s="120"/>
      <c r="VHV3" s="120"/>
      <c r="VHW3" s="120"/>
      <c r="VHX3" s="120"/>
      <c r="VHY3" s="120"/>
      <c r="VHZ3" s="120"/>
      <c r="VIA3" s="120"/>
      <c r="VIB3" s="120"/>
      <c r="VIC3" s="120"/>
      <c r="VID3" s="120"/>
      <c r="VIE3" s="120"/>
      <c r="VIF3" s="120"/>
      <c r="VIG3" s="120"/>
      <c r="VIH3" s="120"/>
      <c r="VII3" s="120"/>
      <c r="VIJ3" s="120"/>
      <c r="VIK3" s="120"/>
      <c r="VIL3" s="120"/>
      <c r="VIM3" s="120"/>
      <c r="VIN3" s="120"/>
      <c r="VIO3" s="120"/>
      <c r="VIP3" s="120"/>
      <c r="VIQ3" s="120"/>
      <c r="VIR3" s="120"/>
      <c r="VIS3" s="120"/>
      <c r="VIT3" s="120"/>
      <c r="VIU3" s="120"/>
      <c r="VIV3" s="120"/>
      <c r="VIW3" s="120"/>
      <c r="VIX3" s="120"/>
      <c r="VIY3" s="120"/>
      <c r="VIZ3" s="120"/>
      <c r="VJA3" s="120"/>
      <c r="VJB3" s="120"/>
      <c r="VJC3" s="120"/>
      <c r="VJD3" s="120"/>
      <c r="VJE3" s="120"/>
      <c r="VJF3" s="120"/>
      <c r="VJG3" s="120"/>
      <c r="VJH3" s="120"/>
      <c r="VJI3" s="120"/>
      <c r="VJJ3" s="120"/>
      <c r="VJK3" s="120"/>
      <c r="VJL3" s="120"/>
      <c r="VJM3" s="120"/>
      <c r="VJN3" s="120"/>
      <c r="VJO3" s="120"/>
      <c r="VJP3" s="120"/>
      <c r="VJQ3" s="120"/>
      <c r="VJR3" s="120"/>
      <c r="VJS3" s="120"/>
      <c r="VJT3" s="120"/>
      <c r="VJU3" s="120"/>
      <c r="VJV3" s="120"/>
      <c r="VJW3" s="120"/>
      <c r="VJX3" s="120"/>
      <c r="VJY3" s="120"/>
      <c r="VJZ3" s="120"/>
      <c r="VKA3" s="120"/>
      <c r="VKB3" s="120"/>
      <c r="VKC3" s="120"/>
      <c r="VKD3" s="120"/>
      <c r="VKE3" s="120"/>
      <c r="VKF3" s="120"/>
      <c r="VKG3" s="120"/>
      <c r="VKH3" s="120"/>
      <c r="VKI3" s="120"/>
      <c r="VKJ3" s="120"/>
      <c r="VKK3" s="120"/>
      <c r="VKL3" s="120"/>
      <c r="VKM3" s="120"/>
      <c r="VKN3" s="120"/>
      <c r="VKO3" s="120"/>
      <c r="VKP3" s="120"/>
      <c r="VKQ3" s="120"/>
      <c r="VKR3" s="120"/>
      <c r="VKS3" s="120"/>
      <c r="VKT3" s="120"/>
      <c r="VKU3" s="120"/>
      <c r="VKV3" s="120"/>
      <c r="VKW3" s="120"/>
      <c r="VKX3" s="120"/>
      <c r="VKY3" s="120"/>
      <c r="VKZ3" s="120"/>
      <c r="VLA3" s="120"/>
      <c r="VLB3" s="120"/>
      <c r="VLC3" s="120"/>
      <c r="VLD3" s="120"/>
      <c r="VLE3" s="120"/>
      <c r="VLF3" s="120"/>
      <c r="VLG3" s="120"/>
      <c r="VLH3" s="120"/>
      <c r="VLI3" s="120"/>
      <c r="VLJ3" s="120"/>
      <c r="VLK3" s="120"/>
      <c r="VLL3" s="120"/>
      <c r="VLM3" s="120"/>
      <c r="VLN3" s="120"/>
      <c r="VLO3" s="120"/>
      <c r="VLP3" s="120"/>
      <c r="VLQ3" s="120"/>
      <c r="VLR3" s="120"/>
      <c r="VLS3" s="120"/>
      <c r="VLT3" s="120"/>
      <c r="VLU3" s="120"/>
      <c r="VLV3" s="120"/>
      <c r="VLW3" s="120"/>
      <c r="VLX3" s="120"/>
      <c r="VLY3" s="120"/>
      <c r="VLZ3" s="120"/>
      <c r="VMA3" s="120"/>
      <c r="VMB3" s="120"/>
      <c r="VMC3" s="120"/>
      <c r="VMD3" s="120"/>
      <c r="VME3" s="120"/>
      <c r="VMF3" s="120"/>
      <c r="VMG3" s="120"/>
      <c r="VMH3" s="120"/>
      <c r="VMI3" s="120"/>
      <c r="VMJ3" s="120"/>
      <c r="VMK3" s="120"/>
      <c r="VML3" s="120"/>
      <c r="VMM3" s="120"/>
      <c r="VMN3" s="120"/>
      <c r="VMO3" s="120"/>
      <c r="VMP3" s="120"/>
      <c r="VMQ3" s="120"/>
      <c r="VMR3" s="120"/>
      <c r="VMS3" s="120"/>
      <c r="VMT3" s="120"/>
      <c r="VMU3" s="120"/>
      <c r="VMV3" s="120"/>
      <c r="VMW3" s="120"/>
      <c r="VMX3" s="120"/>
      <c r="VMY3" s="120"/>
      <c r="VMZ3" s="120"/>
      <c r="VNA3" s="120"/>
      <c r="VNB3" s="120"/>
      <c r="VNC3" s="120"/>
      <c r="VND3" s="120"/>
      <c r="VNE3" s="120"/>
      <c r="VNF3" s="120"/>
      <c r="VNG3" s="120"/>
      <c r="VNH3" s="120"/>
      <c r="VNI3" s="120"/>
      <c r="VNJ3" s="120"/>
      <c r="VNK3" s="120"/>
      <c r="VNL3" s="120"/>
      <c r="VNM3" s="120"/>
      <c r="VNN3" s="120"/>
      <c r="VNO3" s="120"/>
      <c r="VNP3" s="120"/>
      <c r="VNQ3" s="120"/>
      <c r="VNR3" s="120"/>
      <c r="VNS3" s="120"/>
      <c r="VNT3" s="120"/>
      <c r="VNU3" s="120"/>
      <c r="VNV3" s="120"/>
      <c r="VNW3" s="120"/>
      <c r="VNX3" s="120"/>
      <c r="VNY3" s="120"/>
      <c r="VNZ3" s="120"/>
      <c r="VOA3" s="120"/>
      <c r="VOB3" s="120"/>
      <c r="VOC3" s="120"/>
      <c r="VOD3" s="120"/>
      <c r="VOE3" s="120"/>
      <c r="VOF3" s="120"/>
      <c r="VOG3" s="120"/>
      <c r="VOH3" s="120"/>
      <c r="VOI3" s="120"/>
      <c r="VOJ3" s="120"/>
      <c r="VOK3" s="120"/>
      <c r="VOL3" s="120"/>
      <c r="VOM3" s="120"/>
      <c r="VON3" s="120"/>
      <c r="VOO3" s="120"/>
      <c r="VOP3" s="120"/>
      <c r="VOQ3" s="120"/>
      <c r="VOR3" s="120"/>
      <c r="VOS3" s="120"/>
      <c r="VOT3" s="120"/>
      <c r="VOU3" s="120"/>
      <c r="VOV3" s="120"/>
      <c r="VOW3" s="120"/>
      <c r="VOX3" s="120"/>
      <c r="VOY3" s="120"/>
      <c r="VOZ3" s="120"/>
      <c r="VPA3" s="120"/>
      <c r="VPB3" s="120"/>
      <c r="VPC3" s="120"/>
      <c r="VPD3" s="120"/>
      <c r="VPE3" s="120"/>
      <c r="VPF3" s="120"/>
      <c r="VPG3" s="120"/>
      <c r="VPH3" s="120"/>
      <c r="VPI3" s="120"/>
      <c r="VPJ3" s="120"/>
      <c r="VPK3" s="120"/>
      <c r="VPL3" s="120"/>
      <c r="VPM3" s="120"/>
      <c r="VPN3" s="120"/>
      <c r="VPO3" s="120"/>
      <c r="VPP3" s="120"/>
      <c r="VPQ3" s="120"/>
      <c r="VPR3" s="120"/>
      <c r="VPS3" s="120"/>
      <c r="VPT3" s="120"/>
      <c r="VPU3" s="120"/>
      <c r="VPV3" s="120"/>
      <c r="VPW3" s="120"/>
      <c r="VPX3" s="120"/>
      <c r="VPY3" s="120"/>
      <c r="VPZ3" s="120"/>
      <c r="VQA3" s="120"/>
      <c r="VQB3" s="120"/>
      <c r="VQC3" s="120"/>
      <c r="VQD3" s="120"/>
      <c r="VQE3" s="120"/>
      <c r="VQF3" s="120"/>
      <c r="VQG3" s="120"/>
      <c r="VQH3" s="120"/>
      <c r="VQI3" s="120"/>
      <c r="VQJ3" s="120"/>
      <c r="VQK3" s="120"/>
      <c r="VQL3" s="120"/>
      <c r="VQM3" s="120"/>
      <c r="VQN3" s="120"/>
      <c r="VQO3" s="120"/>
      <c r="VQP3" s="120"/>
      <c r="VQQ3" s="120"/>
      <c r="VQR3" s="120"/>
      <c r="VQS3" s="120"/>
      <c r="VQT3" s="120"/>
      <c r="VQU3" s="120"/>
      <c r="VQV3" s="120"/>
      <c r="VQW3" s="120"/>
      <c r="VQX3" s="120"/>
      <c r="VQY3" s="120"/>
      <c r="VQZ3" s="120"/>
      <c r="VRA3" s="120"/>
      <c r="VRB3" s="120"/>
      <c r="VRC3" s="120"/>
      <c r="VRD3" s="120"/>
      <c r="VRE3" s="120"/>
      <c r="VRF3" s="120"/>
      <c r="VRG3" s="120"/>
      <c r="VRH3" s="120"/>
      <c r="VRI3" s="120"/>
      <c r="VRJ3" s="120"/>
      <c r="VRK3" s="120"/>
      <c r="VRL3" s="120"/>
      <c r="VRM3" s="120"/>
      <c r="VRN3" s="120"/>
      <c r="VRO3" s="120"/>
      <c r="VRP3" s="120"/>
      <c r="VRQ3" s="120"/>
      <c r="VRR3" s="120"/>
      <c r="VRS3" s="120"/>
      <c r="VRT3" s="120"/>
      <c r="VRU3" s="120"/>
      <c r="VRV3" s="120"/>
      <c r="VRW3" s="120"/>
      <c r="VRX3" s="120"/>
      <c r="VRY3" s="120"/>
      <c r="VRZ3" s="120"/>
      <c r="VSA3" s="120"/>
      <c r="VSB3" s="120"/>
      <c r="VSC3" s="120"/>
      <c r="VSD3" s="120"/>
      <c r="VSE3" s="120"/>
      <c r="VSF3" s="120"/>
      <c r="VSG3" s="120"/>
      <c r="VSH3" s="120"/>
      <c r="VSI3" s="120"/>
      <c r="VSJ3" s="120"/>
      <c r="VSK3" s="120"/>
      <c r="VSL3" s="120"/>
      <c r="VSM3" s="120"/>
      <c r="VSN3" s="120"/>
      <c r="VSO3" s="120"/>
      <c r="VSP3" s="120"/>
      <c r="VSQ3" s="120"/>
      <c r="VSR3" s="120"/>
      <c r="VSS3" s="120"/>
      <c r="VST3" s="120"/>
      <c r="VSU3" s="120"/>
      <c r="VSV3" s="120"/>
      <c r="VSW3" s="120"/>
      <c r="VSX3" s="120"/>
      <c r="VSY3" s="120"/>
      <c r="VSZ3" s="120"/>
      <c r="VTA3" s="120"/>
      <c r="VTB3" s="120"/>
      <c r="VTC3" s="120"/>
      <c r="VTD3" s="120"/>
      <c r="VTE3" s="120"/>
      <c r="VTF3" s="120"/>
      <c r="VTG3" s="120"/>
      <c r="VTH3" s="120"/>
      <c r="VTI3" s="120"/>
      <c r="VTJ3" s="120"/>
      <c r="VTK3" s="120"/>
      <c r="VTL3" s="120"/>
      <c r="VTM3" s="120"/>
      <c r="VTN3" s="120"/>
      <c r="VTO3" s="120"/>
      <c r="VTP3" s="120"/>
      <c r="VTQ3" s="120"/>
      <c r="VTR3" s="120"/>
      <c r="VTS3" s="120"/>
      <c r="VTT3" s="120"/>
      <c r="VTU3" s="120"/>
      <c r="VTV3" s="120"/>
      <c r="VTW3" s="120"/>
      <c r="VTX3" s="120"/>
      <c r="VTY3" s="120"/>
      <c r="VTZ3" s="120"/>
      <c r="VUA3" s="120"/>
      <c r="VUB3" s="120"/>
      <c r="VUC3" s="120"/>
      <c r="VUD3" s="120"/>
      <c r="VUE3" s="120"/>
      <c r="VUF3" s="120"/>
      <c r="VUG3" s="120"/>
      <c r="VUH3" s="120"/>
      <c r="VUI3" s="120"/>
      <c r="VUJ3" s="120"/>
      <c r="VUK3" s="120"/>
      <c r="VUL3" s="120"/>
      <c r="VUM3" s="120"/>
      <c r="VUN3" s="120"/>
      <c r="VUO3" s="120"/>
      <c r="VUP3" s="120"/>
      <c r="VUQ3" s="120"/>
      <c r="VUR3" s="120"/>
      <c r="VUS3" s="120"/>
      <c r="VUT3" s="120"/>
      <c r="VUU3" s="120"/>
      <c r="VUV3" s="120"/>
      <c r="VUW3" s="120"/>
      <c r="VUX3" s="120"/>
      <c r="VUY3" s="120"/>
      <c r="VUZ3" s="120"/>
      <c r="VVA3" s="120"/>
      <c r="VVB3" s="120"/>
      <c r="VVC3" s="120"/>
      <c r="VVD3" s="120"/>
      <c r="VVE3" s="120"/>
      <c r="VVF3" s="120"/>
      <c r="VVG3" s="120"/>
      <c r="VVH3" s="120"/>
      <c r="VVI3" s="120"/>
      <c r="VVJ3" s="120"/>
      <c r="VVK3" s="120"/>
      <c r="VVL3" s="120"/>
      <c r="VVM3" s="120"/>
      <c r="VVN3" s="120"/>
      <c r="VVO3" s="120"/>
      <c r="VVP3" s="120"/>
      <c r="VVQ3" s="120"/>
      <c r="VVR3" s="120"/>
      <c r="VVS3" s="120"/>
      <c r="VVT3" s="120"/>
      <c r="VVU3" s="120"/>
      <c r="VVV3" s="120"/>
      <c r="VVW3" s="120"/>
      <c r="VVX3" s="120"/>
      <c r="VVY3" s="120"/>
      <c r="VVZ3" s="120"/>
      <c r="VWA3" s="120"/>
      <c r="VWB3" s="120"/>
      <c r="VWC3" s="120"/>
      <c r="VWD3" s="120"/>
      <c r="VWE3" s="120"/>
      <c r="VWF3" s="120"/>
      <c r="VWG3" s="120"/>
      <c r="VWH3" s="120"/>
      <c r="VWI3" s="120"/>
      <c r="VWJ3" s="120"/>
      <c r="VWK3" s="120"/>
      <c r="VWL3" s="120"/>
      <c r="VWM3" s="120"/>
      <c r="VWN3" s="120"/>
      <c r="VWO3" s="120"/>
      <c r="VWP3" s="120"/>
      <c r="VWQ3" s="120"/>
      <c r="VWR3" s="120"/>
      <c r="VWS3" s="120"/>
      <c r="VWT3" s="120"/>
      <c r="VWU3" s="120"/>
      <c r="VWV3" s="120"/>
      <c r="VWW3" s="120"/>
      <c r="VWX3" s="120"/>
      <c r="VWY3" s="120"/>
      <c r="VWZ3" s="120"/>
      <c r="VXA3" s="120"/>
      <c r="VXB3" s="120"/>
      <c r="VXC3" s="120"/>
      <c r="VXD3" s="120"/>
      <c r="VXE3" s="120"/>
      <c r="VXF3" s="120"/>
      <c r="VXG3" s="120"/>
      <c r="VXH3" s="120"/>
      <c r="VXI3" s="120"/>
      <c r="VXJ3" s="120"/>
      <c r="VXK3" s="120"/>
      <c r="VXL3" s="120"/>
      <c r="VXM3" s="120"/>
      <c r="VXN3" s="120"/>
      <c r="VXO3" s="120"/>
      <c r="VXP3" s="120"/>
      <c r="VXQ3" s="120"/>
      <c r="VXR3" s="120"/>
      <c r="VXS3" s="120"/>
      <c r="VXT3" s="120"/>
      <c r="VXU3" s="120"/>
      <c r="VXV3" s="120"/>
      <c r="VXW3" s="120"/>
      <c r="VXX3" s="120"/>
      <c r="VXY3" s="120"/>
      <c r="VXZ3" s="120"/>
      <c r="VYA3" s="120"/>
      <c r="VYB3" s="120"/>
      <c r="VYC3" s="120"/>
      <c r="VYD3" s="120"/>
      <c r="VYE3" s="120"/>
      <c r="VYF3" s="120"/>
      <c r="VYG3" s="120"/>
      <c r="VYH3" s="120"/>
      <c r="VYI3" s="120"/>
      <c r="VYJ3" s="120"/>
      <c r="VYK3" s="120"/>
      <c r="VYL3" s="120"/>
      <c r="VYM3" s="120"/>
      <c r="VYN3" s="120"/>
      <c r="VYO3" s="120"/>
      <c r="VYP3" s="120"/>
      <c r="VYQ3" s="120"/>
      <c r="VYR3" s="120"/>
      <c r="VYS3" s="120"/>
      <c r="VYT3" s="120"/>
      <c r="VYU3" s="120"/>
      <c r="VYV3" s="120"/>
      <c r="VYW3" s="120"/>
      <c r="VYX3" s="120"/>
      <c r="VYY3" s="120"/>
      <c r="VYZ3" s="120"/>
      <c r="VZA3" s="120"/>
      <c r="VZB3" s="120"/>
      <c r="VZC3" s="120"/>
      <c r="VZD3" s="120"/>
      <c r="VZE3" s="120"/>
      <c r="VZF3" s="120"/>
      <c r="VZG3" s="120"/>
      <c r="VZH3" s="120"/>
      <c r="VZI3" s="120"/>
      <c r="VZJ3" s="120"/>
      <c r="VZK3" s="120"/>
      <c r="VZL3" s="120"/>
      <c r="VZM3" s="120"/>
      <c r="VZN3" s="120"/>
      <c r="VZO3" s="120"/>
      <c r="VZP3" s="120"/>
      <c r="VZQ3" s="120"/>
      <c r="VZR3" s="120"/>
      <c r="VZS3" s="120"/>
      <c r="VZT3" s="120"/>
      <c r="VZU3" s="120"/>
      <c r="VZV3" s="120"/>
      <c r="VZW3" s="120"/>
      <c r="VZX3" s="120"/>
      <c r="VZY3" s="120"/>
      <c r="VZZ3" s="120"/>
      <c r="WAA3" s="120"/>
      <c r="WAB3" s="120"/>
      <c r="WAC3" s="120"/>
      <c r="WAD3" s="120"/>
      <c r="WAE3" s="120"/>
      <c r="WAF3" s="120"/>
      <c r="WAG3" s="120"/>
      <c r="WAH3" s="120"/>
      <c r="WAI3" s="120"/>
      <c r="WAJ3" s="120"/>
      <c r="WAK3" s="120"/>
      <c r="WAL3" s="120"/>
      <c r="WAM3" s="120"/>
      <c r="WAN3" s="120"/>
      <c r="WAO3" s="120"/>
      <c r="WAP3" s="120"/>
      <c r="WAQ3" s="120"/>
      <c r="WAR3" s="120"/>
      <c r="WAS3" s="120"/>
      <c r="WAT3" s="120"/>
      <c r="WAU3" s="120"/>
      <c r="WAV3" s="120"/>
      <c r="WAW3" s="120"/>
      <c r="WAX3" s="120"/>
      <c r="WAY3" s="120"/>
      <c r="WAZ3" s="120"/>
      <c r="WBA3" s="120"/>
      <c r="WBB3" s="120"/>
      <c r="WBC3" s="120"/>
      <c r="WBD3" s="120"/>
      <c r="WBE3" s="120"/>
      <c r="WBF3" s="120"/>
      <c r="WBG3" s="120"/>
      <c r="WBH3" s="120"/>
      <c r="WBI3" s="120"/>
      <c r="WBJ3" s="120"/>
      <c r="WBK3" s="120"/>
      <c r="WBL3" s="120"/>
      <c r="WBM3" s="120"/>
      <c r="WBN3" s="120"/>
      <c r="WBO3" s="120"/>
      <c r="WBP3" s="120"/>
      <c r="WBQ3" s="120"/>
      <c r="WBR3" s="120"/>
      <c r="WBS3" s="120"/>
      <c r="WBT3" s="120"/>
      <c r="WBU3" s="120"/>
      <c r="WBV3" s="120"/>
      <c r="WBW3" s="120"/>
      <c r="WBX3" s="120"/>
      <c r="WBY3" s="120"/>
      <c r="WBZ3" s="120"/>
      <c r="WCA3" s="120"/>
      <c r="WCB3" s="120"/>
      <c r="WCC3" s="120"/>
      <c r="WCD3" s="120"/>
      <c r="WCE3" s="120"/>
      <c r="WCF3" s="120"/>
      <c r="WCG3" s="120"/>
      <c r="WCH3" s="120"/>
      <c r="WCI3" s="120"/>
      <c r="WCJ3" s="120"/>
      <c r="WCK3" s="120"/>
      <c r="WCL3" s="120"/>
      <c r="WCM3" s="120"/>
      <c r="WCN3" s="120"/>
      <c r="WCO3" s="120"/>
      <c r="WCP3" s="120"/>
      <c r="WCQ3" s="120"/>
      <c r="WCR3" s="120"/>
      <c r="WCS3" s="120"/>
      <c r="WCT3" s="120"/>
      <c r="WCU3" s="120"/>
      <c r="WCV3" s="120"/>
      <c r="WCW3" s="120"/>
      <c r="WCX3" s="120"/>
      <c r="WCY3" s="120"/>
      <c r="WCZ3" s="120"/>
      <c r="WDA3" s="120"/>
      <c r="WDB3" s="120"/>
      <c r="WDC3" s="120"/>
      <c r="WDD3" s="120"/>
      <c r="WDE3" s="120"/>
      <c r="WDF3" s="120"/>
      <c r="WDG3" s="120"/>
      <c r="WDH3" s="120"/>
      <c r="WDI3" s="120"/>
      <c r="WDJ3" s="120"/>
      <c r="WDK3" s="120"/>
      <c r="WDL3" s="120"/>
      <c r="WDM3" s="120"/>
      <c r="WDN3" s="120"/>
      <c r="WDO3" s="120"/>
      <c r="WDP3" s="120"/>
      <c r="WDQ3" s="120"/>
      <c r="WDR3" s="120"/>
      <c r="WDS3" s="120"/>
      <c r="WDT3" s="120"/>
      <c r="WDU3" s="120"/>
      <c r="WDV3" s="120"/>
      <c r="WDW3" s="120"/>
      <c r="WDX3" s="120"/>
      <c r="WDY3" s="120"/>
      <c r="WDZ3" s="120"/>
      <c r="WEA3" s="120"/>
      <c r="WEB3" s="120"/>
      <c r="WEC3" s="120"/>
      <c r="WED3" s="120"/>
      <c r="WEE3" s="120"/>
      <c r="WEF3" s="120"/>
      <c r="WEG3" s="120"/>
      <c r="WEH3" s="120"/>
      <c r="WEI3" s="120"/>
      <c r="WEJ3" s="120"/>
      <c r="WEK3" s="120"/>
      <c r="WEL3" s="120"/>
      <c r="WEM3" s="120"/>
      <c r="WEN3" s="120"/>
      <c r="WEO3" s="120"/>
      <c r="WEP3" s="120"/>
      <c r="WEQ3" s="120"/>
      <c r="WER3" s="120"/>
      <c r="WES3" s="120"/>
      <c r="WET3" s="120"/>
      <c r="WEU3" s="120"/>
      <c r="WEV3" s="120"/>
      <c r="WEW3" s="120"/>
      <c r="WEX3" s="120"/>
      <c r="WEY3" s="120"/>
      <c r="WEZ3" s="120"/>
      <c r="WFA3" s="120"/>
      <c r="WFB3" s="120"/>
      <c r="WFC3" s="120"/>
      <c r="WFD3" s="120"/>
      <c r="WFE3" s="120"/>
      <c r="WFF3" s="120"/>
      <c r="WFG3" s="120"/>
      <c r="WFH3" s="120"/>
      <c r="WFI3" s="120"/>
      <c r="WFJ3" s="120"/>
      <c r="WFK3" s="120"/>
      <c r="WFL3" s="120"/>
      <c r="WFM3" s="120"/>
      <c r="WFN3" s="120"/>
      <c r="WFO3" s="120"/>
      <c r="WFP3" s="120"/>
      <c r="WFQ3" s="120"/>
      <c r="WFR3" s="120"/>
      <c r="WFS3" s="120"/>
      <c r="WFT3" s="120"/>
      <c r="WFU3" s="120"/>
      <c r="WFV3" s="120"/>
      <c r="WFW3" s="120"/>
      <c r="WFX3" s="120"/>
      <c r="WFY3" s="120"/>
      <c r="WFZ3" s="120"/>
      <c r="WGA3" s="120"/>
      <c r="WGB3" s="120"/>
      <c r="WGC3" s="120"/>
      <c r="WGD3" s="120"/>
      <c r="WGE3" s="120"/>
      <c r="WGF3" s="120"/>
      <c r="WGG3" s="120"/>
      <c r="WGH3" s="120"/>
      <c r="WGI3" s="120"/>
      <c r="WGJ3" s="120"/>
      <c r="WGK3" s="120"/>
      <c r="WGL3" s="120"/>
      <c r="WGM3" s="120"/>
      <c r="WGN3" s="120"/>
      <c r="WGO3" s="120"/>
      <c r="WGP3" s="120"/>
      <c r="WGQ3" s="120"/>
      <c r="WGR3" s="120"/>
      <c r="WGS3" s="120"/>
      <c r="WGT3" s="120"/>
      <c r="WGU3" s="120"/>
      <c r="WGV3" s="120"/>
      <c r="WGW3" s="120"/>
      <c r="WGX3" s="120"/>
      <c r="WGY3" s="120"/>
      <c r="WGZ3" s="120"/>
      <c r="WHA3" s="120"/>
      <c r="WHB3" s="120"/>
      <c r="WHC3" s="120"/>
      <c r="WHD3" s="120"/>
      <c r="WHE3" s="120"/>
      <c r="WHF3" s="120"/>
      <c r="WHG3" s="120"/>
      <c r="WHH3" s="120"/>
      <c r="WHI3" s="120"/>
      <c r="WHJ3" s="120"/>
      <c r="WHK3" s="120"/>
      <c r="WHL3" s="120"/>
      <c r="WHM3" s="120"/>
      <c r="WHN3" s="120"/>
      <c r="WHO3" s="120"/>
      <c r="WHP3" s="120"/>
      <c r="WHQ3" s="120"/>
      <c r="WHR3" s="120"/>
      <c r="WHS3" s="120"/>
      <c r="WHT3" s="120"/>
      <c r="WHU3" s="120"/>
      <c r="WHV3" s="120"/>
      <c r="WHW3" s="120"/>
      <c r="WHX3" s="120"/>
      <c r="WHY3" s="120"/>
      <c r="WHZ3" s="120"/>
      <c r="WIA3" s="120"/>
      <c r="WIB3" s="120"/>
      <c r="WIC3" s="120"/>
      <c r="WID3" s="120"/>
      <c r="WIE3" s="120"/>
      <c r="WIF3" s="120"/>
      <c r="WIG3" s="120"/>
      <c r="WIH3" s="120"/>
      <c r="WII3" s="120"/>
      <c r="WIJ3" s="120"/>
      <c r="WIK3" s="120"/>
      <c r="WIL3" s="120"/>
      <c r="WIM3" s="120"/>
      <c r="WIN3" s="120"/>
      <c r="WIO3" s="120"/>
      <c r="WIP3" s="120"/>
      <c r="WIQ3" s="120"/>
      <c r="WIR3" s="120"/>
      <c r="WIS3" s="120"/>
      <c r="WIT3" s="120"/>
      <c r="WIU3" s="120"/>
      <c r="WIV3" s="120"/>
      <c r="WIW3" s="120"/>
      <c r="WIX3" s="120"/>
      <c r="WIY3" s="120"/>
      <c r="WIZ3" s="120"/>
      <c r="WJA3" s="120"/>
      <c r="WJB3" s="120"/>
      <c r="WJC3" s="120"/>
      <c r="WJD3" s="120"/>
      <c r="WJE3" s="120"/>
      <c r="WJF3" s="120"/>
      <c r="WJG3" s="120"/>
      <c r="WJH3" s="120"/>
      <c r="WJI3" s="120"/>
      <c r="WJJ3" s="120"/>
      <c r="WJK3" s="120"/>
      <c r="WJL3" s="120"/>
      <c r="WJM3" s="120"/>
      <c r="WJN3" s="120"/>
      <c r="WJO3" s="120"/>
      <c r="WJP3" s="120"/>
      <c r="WJQ3" s="120"/>
      <c r="WJR3" s="120"/>
      <c r="WJS3" s="120"/>
      <c r="WJT3" s="120"/>
      <c r="WJU3" s="120"/>
      <c r="WJV3" s="120"/>
      <c r="WJW3" s="120"/>
      <c r="WJX3" s="120"/>
      <c r="WJY3" s="120"/>
      <c r="WJZ3" s="120"/>
      <c r="WKA3" s="120"/>
      <c r="WKB3" s="120"/>
      <c r="WKC3" s="120"/>
      <c r="WKD3" s="120"/>
      <c r="WKE3" s="120"/>
      <c r="WKF3" s="120"/>
      <c r="WKG3" s="120"/>
      <c r="WKH3" s="120"/>
      <c r="WKI3" s="120"/>
      <c r="WKJ3" s="120"/>
      <c r="WKK3" s="120"/>
      <c r="WKL3" s="120"/>
      <c r="WKM3" s="120"/>
      <c r="WKN3" s="120"/>
      <c r="WKO3" s="120"/>
      <c r="WKP3" s="120"/>
      <c r="WKQ3" s="120"/>
      <c r="WKR3" s="120"/>
      <c r="WKS3" s="120"/>
      <c r="WKT3" s="120"/>
      <c r="WKU3" s="120"/>
      <c r="WKV3" s="120"/>
      <c r="WKW3" s="120"/>
      <c r="WKX3" s="120"/>
      <c r="WKY3" s="120"/>
      <c r="WKZ3" s="120"/>
      <c r="WLA3" s="120"/>
      <c r="WLB3" s="120"/>
      <c r="WLC3" s="120"/>
      <c r="WLD3" s="120"/>
      <c r="WLE3" s="120"/>
      <c r="WLF3" s="120"/>
      <c r="WLG3" s="120"/>
      <c r="WLH3" s="120"/>
      <c r="WLI3" s="120"/>
      <c r="WLJ3" s="120"/>
      <c r="WLK3" s="120"/>
      <c r="WLL3" s="120"/>
      <c r="WLM3" s="120"/>
      <c r="WLN3" s="120"/>
      <c r="WLO3" s="120"/>
      <c r="WLP3" s="120"/>
      <c r="WLQ3" s="120"/>
      <c r="WLR3" s="120"/>
      <c r="WLS3" s="120"/>
      <c r="WLT3" s="120"/>
      <c r="WLU3" s="120"/>
      <c r="WLV3" s="120"/>
      <c r="WLW3" s="120"/>
      <c r="WLX3" s="120"/>
      <c r="WLY3" s="120"/>
      <c r="WLZ3" s="120"/>
      <c r="WMA3" s="120"/>
      <c r="WMB3" s="120"/>
      <c r="WMC3" s="120"/>
      <c r="WMD3" s="120"/>
      <c r="WME3" s="120"/>
      <c r="WMF3" s="120"/>
      <c r="WMG3" s="120"/>
      <c r="WMH3" s="120"/>
      <c r="WMI3" s="120"/>
      <c r="WMJ3" s="120"/>
      <c r="WMK3" s="120"/>
      <c r="WML3" s="120"/>
      <c r="WMM3" s="120"/>
      <c r="WMN3" s="120"/>
      <c r="WMO3" s="120"/>
      <c r="WMP3" s="120"/>
      <c r="WMQ3" s="120"/>
      <c r="WMR3" s="120"/>
      <c r="WMS3" s="120"/>
      <c r="WMT3" s="120"/>
      <c r="WMU3" s="120"/>
      <c r="WMV3" s="120"/>
      <c r="WMW3" s="120"/>
      <c r="WMX3" s="120"/>
      <c r="WMY3" s="120"/>
      <c r="WMZ3" s="120"/>
      <c r="WNA3" s="120"/>
      <c r="WNB3" s="120"/>
      <c r="WNC3" s="120"/>
      <c r="WND3" s="120"/>
      <c r="WNE3" s="120"/>
      <c r="WNF3" s="120"/>
      <c r="WNG3" s="120"/>
      <c r="WNH3" s="120"/>
      <c r="WNI3" s="120"/>
      <c r="WNJ3" s="120"/>
      <c r="WNK3" s="120"/>
      <c r="WNL3" s="120"/>
      <c r="WNM3" s="120"/>
      <c r="WNN3" s="120"/>
      <c r="WNO3" s="120"/>
      <c r="WNP3" s="120"/>
      <c r="WNQ3" s="120"/>
      <c r="WNR3" s="120"/>
      <c r="WNS3" s="120"/>
      <c r="WNT3" s="120"/>
      <c r="WNU3" s="120"/>
      <c r="WNV3" s="120"/>
      <c r="WNW3" s="120"/>
      <c r="WNX3" s="120"/>
      <c r="WNY3" s="120"/>
      <c r="WNZ3" s="120"/>
      <c r="WOA3" s="120"/>
      <c r="WOB3" s="120"/>
      <c r="WOC3" s="120"/>
      <c r="WOD3" s="120"/>
      <c r="WOE3" s="120"/>
      <c r="WOF3" s="120"/>
      <c r="WOG3" s="120"/>
      <c r="WOH3" s="120"/>
      <c r="WOI3" s="120"/>
      <c r="WOJ3" s="120"/>
      <c r="WOK3" s="120"/>
      <c r="WOL3" s="120"/>
      <c r="WOM3" s="120"/>
      <c r="WON3" s="120"/>
      <c r="WOO3" s="120"/>
      <c r="WOP3" s="120"/>
      <c r="WOQ3" s="120"/>
      <c r="WOR3" s="120"/>
      <c r="WOS3" s="120"/>
      <c r="WOT3" s="120"/>
      <c r="WOU3" s="120"/>
      <c r="WOV3" s="120"/>
      <c r="WOW3" s="120"/>
      <c r="WOX3" s="120"/>
      <c r="WOY3" s="120"/>
      <c r="WOZ3" s="120"/>
      <c r="WPA3" s="120"/>
      <c r="WPB3" s="120"/>
      <c r="WPC3" s="120"/>
      <c r="WPD3" s="120"/>
      <c r="WPE3" s="120"/>
      <c r="WPF3" s="120"/>
      <c r="WPG3" s="120"/>
      <c r="WPH3" s="120"/>
      <c r="WPI3" s="120"/>
      <c r="WPJ3" s="120"/>
      <c r="WPK3" s="120"/>
      <c r="WPL3" s="120"/>
      <c r="WPM3" s="120"/>
      <c r="WPN3" s="120"/>
      <c r="WPO3" s="120"/>
      <c r="WPP3" s="120"/>
      <c r="WPQ3" s="120"/>
      <c r="WPR3" s="120"/>
      <c r="WPS3" s="120"/>
      <c r="WPT3" s="120"/>
      <c r="WPU3" s="120"/>
      <c r="WPV3" s="120"/>
      <c r="WPW3" s="120"/>
      <c r="WPX3" s="120"/>
      <c r="WPY3" s="120"/>
      <c r="WPZ3" s="120"/>
      <c r="WQA3" s="120"/>
      <c r="WQB3" s="120"/>
      <c r="WQC3" s="120"/>
      <c r="WQD3" s="120"/>
      <c r="WQE3" s="120"/>
      <c r="WQF3" s="120"/>
      <c r="WQG3" s="120"/>
      <c r="WQH3" s="120"/>
      <c r="WQI3" s="120"/>
      <c r="WQJ3" s="120"/>
      <c r="WQK3" s="120"/>
      <c r="WQL3" s="120"/>
      <c r="WQM3" s="120"/>
      <c r="WQN3" s="120"/>
      <c r="WQO3" s="120"/>
      <c r="WQP3" s="120"/>
      <c r="WQQ3" s="120"/>
      <c r="WQR3" s="120"/>
      <c r="WQS3" s="120"/>
      <c r="WQT3" s="120"/>
      <c r="WQU3" s="120"/>
      <c r="WQV3" s="120"/>
      <c r="WQW3" s="120"/>
      <c r="WQX3" s="120"/>
      <c r="WQY3" s="120"/>
      <c r="WQZ3" s="120"/>
      <c r="WRA3" s="120"/>
      <c r="WRB3" s="120"/>
      <c r="WRC3" s="120"/>
      <c r="WRD3" s="120"/>
      <c r="WRE3" s="120"/>
      <c r="WRF3" s="120"/>
      <c r="WRG3" s="120"/>
      <c r="WRH3" s="120"/>
      <c r="WRI3" s="120"/>
      <c r="WRJ3" s="120"/>
      <c r="WRK3" s="120"/>
      <c r="WRL3" s="120"/>
      <c r="WRM3" s="120"/>
      <c r="WRN3" s="120"/>
      <c r="WRO3" s="120"/>
      <c r="WRP3" s="120"/>
      <c r="WRQ3" s="120"/>
      <c r="WRR3" s="120"/>
      <c r="WRS3" s="120"/>
      <c r="WRT3" s="120"/>
      <c r="WRU3" s="120"/>
      <c r="WRV3" s="120"/>
      <c r="WRW3" s="120"/>
      <c r="WRX3" s="120"/>
      <c r="WRY3" s="120"/>
      <c r="WRZ3" s="120"/>
      <c r="WSA3" s="120"/>
      <c r="WSB3" s="120"/>
      <c r="WSC3" s="120"/>
      <c r="WSD3" s="120"/>
      <c r="WSE3" s="120"/>
      <c r="WSF3" s="120"/>
      <c r="WSG3" s="120"/>
      <c r="WSH3" s="120"/>
      <c r="WSI3" s="120"/>
      <c r="WSJ3" s="120"/>
      <c r="WSK3" s="120"/>
      <c r="WSL3" s="120"/>
      <c r="WSM3" s="120"/>
      <c r="WSN3" s="120"/>
      <c r="WSO3" s="120"/>
      <c r="WSP3" s="120"/>
      <c r="WSQ3" s="120"/>
      <c r="WSR3" s="120"/>
      <c r="WSS3" s="120"/>
      <c r="WST3" s="120"/>
      <c r="WSU3" s="120"/>
      <c r="WSV3" s="120"/>
      <c r="WSW3" s="120"/>
      <c r="WSX3" s="120"/>
      <c r="WSY3" s="120"/>
      <c r="WSZ3" s="120"/>
      <c r="WTA3" s="120"/>
      <c r="WTB3" s="120"/>
      <c r="WTC3" s="120"/>
      <c r="WTD3" s="120"/>
      <c r="WTE3" s="120"/>
      <c r="WTF3" s="120"/>
      <c r="WTG3" s="120"/>
      <c r="WTH3" s="120"/>
      <c r="WTI3" s="120"/>
      <c r="WTJ3" s="120"/>
      <c r="WTK3" s="120"/>
      <c r="WTL3" s="120"/>
      <c r="WTM3" s="120"/>
      <c r="WTN3" s="120"/>
      <c r="WTO3" s="120"/>
      <c r="WTP3" s="120"/>
      <c r="WTQ3" s="120"/>
      <c r="WTR3" s="120"/>
      <c r="WTS3" s="120"/>
      <c r="WTT3" s="120"/>
      <c r="WTU3" s="120"/>
      <c r="WTV3" s="120"/>
      <c r="WTW3" s="120"/>
      <c r="WTX3" s="120"/>
      <c r="WTY3" s="120"/>
      <c r="WTZ3" s="120"/>
      <c r="WUA3" s="120"/>
      <c r="WUB3" s="120"/>
      <c r="WUC3" s="120"/>
      <c r="WUD3" s="120"/>
      <c r="WUE3" s="120"/>
      <c r="WUF3" s="120"/>
      <c r="WUG3" s="120"/>
      <c r="WUH3" s="120"/>
      <c r="WUI3" s="120"/>
      <c r="WUJ3" s="120"/>
      <c r="WUK3" s="120"/>
      <c r="WUL3" s="120"/>
      <c r="WUM3" s="120"/>
      <c r="WUN3" s="120"/>
      <c r="WUO3" s="120"/>
      <c r="WUP3" s="120"/>
      <c r="WUQ3" s="120"/>
      <c r="WUR3" s="120"/>
      <c r="WUS3" s="120"/>
      <c r="WUT3" s="120"/>
      <c r="WUU3" s="120"/>
      <c r="WUV3" s="120"/>
      <c r="WUW3" s="120"/>
      <c r="WUX3" s="120"/>
      <c r="WUY3" s="120"/>
      <c r="WUZ3" s="120"/>
      <c r="WVA3" s="120"/>
      <c r="WVB3" s="120"/>
      <c r="WVC3" s="120"/>
      <c r="WVD3" s="120"/>
      <c r="WVE3" s="120"/>
      <c r="WVF3" s="120"/>
      <c r="WVG3" s="120"/>
      <c r="WVH3" s="120"/>
      <c r="WVI3" s="120"/>
      <c r="WVJ3" s="120"/>
      <c r="WVK3" s="120"/>
      <c r="WVL3" s="120"/>
      <c r="WVM3" s="120"/>
      <c r="WVN3" s="120"/>
      <c r="WVO3" s="120"/>
      <c r="WVP3" s="120"/>
      <c r="WVQ3" s="120"/>
      <c r="WVR3" s="120"/>
      <c r="WVS3" s="120"/>
      <c r="WVT3" s="120"/>
      <c r="WVU3" s="120"/>
      <c r="WVV3" s="120"/>
      <c r="WVW3" s="120"/>
      <c r="WVX3" s="120"/>
      <c r="WVY3" s="120"/>
      <c r="WVZ3" s="120"/>
      <c r="WWA3" s="120"/>
      <c r="WWB3" s="120"/>
      <c r="WWC3" s="120"/>
      <c r="WWD3" s="120"/>
      <c r="WWE3" s="120"/>
      <c r="WWF3" s="120"/>
      <c r="WWG3" s="120"/>
      <c r="WWH3" s="120"/>
      <c r="WWI3" s="120"/>
      <c r="WWJ3" s="120"/>
      <c r="WWK3" s="120"/>
      <c r="WWL3" s="120"/>
      <c r="WWM3" s="120"/>
      <c r="WWN3" s="120"/>
      <c r="WWO3" s="120"/>
      <c r="WWP3" s="120"/>
      <c r="WWQ3" s="120"/>
      <c r="WWR3" s="120"/>
      <c r="WWS3" s="120"/>
      <c r="WWT3" s="120"/>
      <c r="WWU3" s="120"/>
      <c r="WWV3" s="120"/>
      <c r="WWW3" s="120"/>
      <c r="WWX3" s="120"/>
      <c r="WWY3" s="120"/>
      <c r="WWZ3" s="120"/>
      <c r="WXA3" s="120"/>
      <c r="WXB3" s="120"/>
      <c r="WXC3" s="120"/>
      <c r="WXD3" s="120"/>
      <c r="WXE3" s="120"/>
      <c r="WXF3" s="120"/>
      <c r="WXG3" s="120"/>
      <c r="WXH3" s="120"/>
      <c r="WXI3" s="120"/>
      <c r="WXJ3" s="120"/>
      <c r="WXK3" s="120"/>
      <c r="WXL3" s="120"/>
      <c r="WXM3" s="120"/>
      <c r="WXN3" s="120"/>
      <c r="WXO3" s="120"/>
      <c r="WXP3" s="120"/>
      <c r="WXQ3" s="120"/>
      <c r="WXR3" s="120"/>
      <c r="WXS3" s="120"/>
      <c r="WXT3" s="120"/>
      <c r="WXU3" s="120"/>
      <c r="WXV3" s="120"/>
      <c r="WXW3" s="120"/>
      <c r="WXX3" s="120"/>
      <c r="WXY3" s="120"/>
      <c r="WXZ3" s="120"/>
      <c r="WYA3" s="120"/>
      <c r="WYB3" s="120"/>
      <c r="WYC3" s="120"/>
      <c r="WYD3" s="120"/>
      <c r="WYE3" s="120"/>
      <c r="WYF3" s="120"/>
      <c r="WYG3" s="120"/>
      <c r="WYH3" s="120"/>
      <c r="WYI3" s="120"/>
      <c r="WYJ3" s="120"/>
      <c r="WYK3" s="120"/>
      <c r="WYL3" s="120"/>
      <c r="WYM3" s="120"/>
      <c r="WYN3" s="120"/>
      <c r="WYO3" s="120"/>
      <c r="WYP3" s="120"/>
      <c r="WYQ3" s="120"/>
      <c r="WYR3" s="120"/>
      <c r="WYS3" s="120"/>
      <c r="WYT3" s="120"/>
      <c r="WYU3" s="120"/>
      <c r="WYV3" s="120"/>
      <c r="WYW3" s="120"/>
      <c r="WYX3" s="120"/>
      <c r="WYY3" s="120"/>
      <c r="WYZ3" s="120"/>
      <c r="WZA3" s="120"/>
      <c r="WZB3" s="120"/>
      <c r="WZC3" s="120"/>
      <c r="WZD3" s="120"/>
      <c r="WZE3" s="120"/>
      <c r="WZF3" s="120"/>
      <c r="WZG3" s="120"/>
      <c r="WZH3" s="120"/>
      <c r="WZI3" s="120"/>
      <c r="WZJ3" s="120"/>
      <c r="WZK3" s="120"/>
      <c r="WZL3" s="120"/>
      <c r="WZM3" s="120"/>
      <c r="WZN3" s="120"/>
      <c r="WZO3" s="120"/>
      <c r="WZP3" s="120"/>
      <c r="WZQ3" s="120"/>
      <c r="WZR3" s="120"/>
      <c r="WZS3" s="120"/>
      <c r="WZT3" s="120"/>
      <c r="WZU3" s="120"/>
      <c r="WZV3" s="120"/>
      <c r="WZW3" s="120"/>
      <c r="WZX3" s="120"/>
      <c r="WZY3" s="120"/>
      <c r="WZZ3" s="120"/>
      <c r="XAA3" s="120"/>
      <c r="XAB3" s="120"/>
      <c r="XAC3" s="120"/>
      <c r="XAD3" s="120"/>
      <c r="XAE3" s="120"/>
      <c r="XAF3" s="120"/>
      <c r="XAG3" s="120"/>
      <c r="XAH3" s="120"/>
      <c r="XAI3" s="120"/>
      <c r="XAJ3" s="120"/>
      <c r="XAK3" s="120"/>
      <c r="XAL3" s="120"/>
      <c r="XAM3" s="120"/>
      <c r="XAN3" s="120"/>
      <c r="XAO3" s="120"/>
      <c r="XAP3" s="120"/>
      <c r="XAQ3" s="120"/>
      <c r="XAR3" s="120"/>
      <c r="XAS3" s="120"/>
      <c r="XAT3" s="120"/>
      <c r="XAU3" s="120"/>
      <c r="XAV3" s="120"/>
      <c r="XAW3" s="120"/>
      <c r="XAX3" s="120"/>
      <c r="XAY3" s="120"/>
      <c r="XAZ3" s="120"/>
      <c r="XBA3" s="120"/>
      <c r="XBB3" s="120"/>
      <c r="XBC3" s="120"/>
      <c r="XBD3" s="120"/>
      <c r="XBE3" s="120"/>
      <c r="XBF3" s="120"/>
      <c r="XBG3" s="120"/>
      <c r="XBH3" s="120"/>
      <c r="XBI3" s="120"/>
      <c r="XBJ3" s="120"/>
      <c r="XBK3" s="120"/>
      <c r="XBL3" s="120"/>
      <c r="XBM3" s="120"/>
      <c r="XBN3" s="120"/>
      <c r="XBO3" s="120"/>
      <c r="XBP3" s="120"/>
      <c r="XBQ3" s="120"/>
      <c r="XBR3" s="120"/>
      <c r="XBS3" s="120"/>
      <c r="XBT3" s="120"/>
      <c r="XBU3" s="120"/>
      <c r="XBV3" s="120"/>
      <c r="XBW3" s="120"/>
      <c r="XBX3" s="120"/>
      <c r="XBY3" s="120"/>
      <c r="XBZ3" s="120"/>
      <c r="XCA3" s="120"/>
      <c r="XCB3" s="120"/>
      <c r="XCC3" s="120"/>
      <c r="XCD3" s="120"/>
      <c r="XCE3" s="120"/>
      <c r="XCF3" s="120"/>
      <c r="XCG3" s="120"/>
      <c r="XCH3" s="120"/>
      <c r="XCI3" s="120"/>
      <c r="XCJ3" s="120"/>
      <c r="XCK3" s="120"/>
      <c r="XCL3" s="120"/>
      <c r="XCM3" s="120"/>
      <c r="XCN3" s="120"/>
      <c r="XCO3" s="120"/>
      <c r="XCP3" s="120"/>
      <c r="XCQ3" s="120"/>
      <c r="XCR3" s="120"/>
      <c r="XCS3" s="120"/>
      <c r="XCT3" s="120"/>
      <c r="XCU3" s="120"/>
      <c r="XCV3" s="120"/>
      <c r="XCW3" s="120"/>
      <c r="XCX3" s="120"/>
      <c r="XCY3" s="120"/>
      <c r="XCZ3" s="120"/>
      <c r="XDA3" s="120"/>
      <c r="XDB3" s="120"/>
      <c r="XDC3" s="120"/>
      <c r="XDD3" s="120"/>
      <c r="XDE3" s="120"/>
      <c r="XDF3" s="120"/>
      <c r="XDG3" s="120"/>
      <c r="XDH3" s="120"/>
      <c r="XDI3" s="120"/>
      <c r="XDJ3" s="120"/>
      <c r="XDK3" s="120"/>
      <c r="XDL3" s="120"/>
      <c r="XDM3" s="120"/>
      <c r="XDN3" s="120"/>
      <c r="XDO3" s="120"/>
      <c r="XDP3" s="120"/>
      <c r="XDQ3" s="120"/>
      <c r="XDR3" s="120"/>
      <c r="XDS3" s="120"/>
      <c r="XDT3" s="120"/>
      <c r="XDU3" s="120"/>
      <c r="XDV3" s="120"/>
      <c r="XDW3" s="120"/>
      <c r="XDX3" s="120"/>
      <c r="XDY3" s="120"/>
      <c r="XDZ3" s="120"/>
      <c r="XEA3" s="120"/>
      <c r="XEB3" s="120"/>
      <c r="XEC3" s="120"/>
      <c r="XED3" s="120"/>
      <c r="XEE3" s="120"/>
      <c r="XEF3" s="120"/>
      <c r="XEG3" s="120"/>
      <c r="XEH3" s="120"/>
      <c r="XEI3" s="120"/>
      <c r="XEJ3" s="120"/>
      <c r="XEK3" s="120"/>
      <c r="XEL3" s="120"/>
      <c r="XEM3" s="120"/>
      <c r="XEN3" s="120"/>
      <c r="XEO3" s="120"/>
      <c r="XEP3" s="120"/>
      <c r="XEQ3" s="120"/>
      <c r="XER3" s="120"/>
      <c r="XES3" s="120"/>
      <c r="XET3" s="120"/>
      <c r="XEU3" s="120"/>
      <c r="XEV3" s="120"/>
      <c r="XEW3" s="120"/>
      <c r="XEX3" s="120"/>
      <c r="XEY3" s="120"/>
      <c r="XEZ3" s="120"/>
      <c r="XFA3" s="120"/>
      <c r="XFB3" s="120"/>
      <c r="XFC3" s="120"/>
      <c r="XFD3" s="120"/>
    </row>
    <row r="4" spans="1:16384" ht="15" customHeight="1" thickBot="1">
      <c r="C4" s="49"/>
      <c r="D4" s="72"/>
      <c r="E4" s="42"/>
      <c r="F4" s="72"/>
      <c r="G4" s="42"/>
      <c r="H4" s="42"/>
    </row>
    <row r="5" spans="1:16384" ht="30" customHeight="1" thickTop="1">
      <c r="C5" s="34" t="s">
        <v>25</v>
      </c>
      <c r="D5" s="73" t="s">
        <v>26</v>
      </c>
      <c r="E5" s="34" t="s">
        <v>27</v>
      </c>
      <c r="F5" s="73" t="s">
        <v>28</v>
      </c>
      <c r="G5" s="34" t="s">
        <v>29</v>
      </c>
    </row>
    <row r="6" spans="1:16384" ht="30" customHeight="1">
      <c r="B6" s="52">
        <f>IFERROR(F6+H6,0)</f>
        <v>500.000001</v>
      </c>
      <c r="C6" s="95" t="s">
        <v>84</v>
      </c>
      <c r="D6" s="69">
        <v>50</v>
      </c>
      <c r="E6" s="35">
        <v>10</v>
      </c>
      <c r="F6" s="75">
        <f>IF(C6="","",D6*E6)</f>
        <v>500</v>
      </c>
      <c r="G6" s="76">
        <f>IF(C6="","",F6/SUM($F$6:$F$505))</f>
        <v>2.0242914979757085E-2</v>
      </c>
      <c r="H6" s="52">
        <v>9.9999999999999995E-7</v>
      </c>
    </row>
    <row r="7" spans="1:16384" ht="30" customHeight="1">
      <c r="B7" s="52">
        <f t="shared" ref="B7:B70" si="0">IFERROR(F7+H7,0)</f>
        <v>5400.0000019999998</v>
      </c>
      <c r="C7" s="95" t="s">
        <v>85</v>
      </c>
      <c r="D7" s="69">
        <v>60</v>
      </c>
      <c r="E7" s="35">
        <v>90</v>
      </c>
      <c r="F7" s="75">
        <f t="shared" ref="F7:F70" si="1">IF(C7="","",D7*E7)</f>
        <v>5400</v>
      </c>
      <c r="G7" s="76">
        <f t="shared" ref="G7:G70" si="2">IF(C7="","",F7/SUM($F$6:$F$505))</f>
        <v>0.21862348178137653</v>
      </c>
      <c r="H7" s="52">
        <v>1.9999999999999999E-6</v>
      </c>
    </row>
    <row r="8" spans="1:16384" ht="30" customHeight="1">
      <c r="B8" s="52">
        <f t="shared" si="0"/>
        <v>2100.0000030000001</v>
      </c>
      <c r="C8" s="96" t="s">
        <v>86</v>
      </c>
      <c r="D8" s="75">
        <v>70</v>
      </c>
      <c r="E8" s="77">
        <v>30</v>
      </c>
      <c r="F8" s="75">
        <f t="shared" si="1"/>
        <v>2100</v>
      </c>
      <c r="G8" s="76">
        <f t="shared" si="2"/>
        <v>8.5020242914979755E-2</v>
      </c>
      <c r="H8" s="52">
        <v>3.0000000000000001E-6</v>
      </c>
    </row>
    <row r="9" spans="1:16384" ht="30" customHeight="1">
      <c r="B9" s="52">
        <f t="shared" si="0"/>
        <v>3200.000004</v>
      </c>
      <c r="C9" s="96" t="s">
        <v>87</v>
      </c>
      <c r="D9" s="75">
        <v>80</v>
      </c>
      <c r="E9" s="77">
        <v>40</v>
      </c>
      <c r="F9" s="75">
        <f t="shared" si="1"/>
        <v>3200</v>
      </c>
      <c r="G9" s="76">
        <f t="shared" si="2"/>
        <v>0.12955465587044535</v>
      </c>
      <c r="H9" s="52">
        <v>3.9999999999999998E-6</v>
      </c>
    </row>
    <row r="10" spans="1:16384" ht="30" customHeight="1">
      <c r="B10" s="52">
        <f t="shared" si="0"/>
        <v>13500.000005</v>
      </c>
      <c r="C10" s="96" t="s">
        <v>88</v>
      </c>
      <c r="D10" s="75">
        <v>90</v>
      </c>
      <c r="E10" s="77">
        <v>150</v>
      </c>
      <c r="F10" s="75">
        <f t="shared" si="1"/>
        <v>13500</v>
      </c>
      <c r="G10" s="76">
        <f t="shared" si="2"/>
        <v>0.54655870445344135</v>
      </c>
      <c r="H10" s="52">
        <v>5.0000000000000004E-6</v>
      </c>
    </row>
    <row r="11" spans="1:16384" ht="30" customHeight="1">
      <c r="B11" s="52">
        <f t="shared" si="0"/>
        <v>0</v>
      </c>
      <c r="C11" s="96"/>
      <c r="D11" s="75"/>
      <c r="E11" s="77"/>
      <c r="F11" s="75" t="str">
        <f t="shared" si="1"/>
        <v/>
      </c>
      <c r="G11" s="76" t="str">
        <f t="shared" si="2"/>
        <v/>
      </c>
      <c r="H11" s="52">
        <v>6.0000000000000002E-6</v>
      </c>
    </row>
    <row r="12" spans="1:16384" ht="30" customHeight="1">
      <c r="B12" s="52">
        <f t="shared" si="0"/>
        <v>0</v>
      </c>
      <c r="C12" s="96"/>
      <c r="D12" s="75"/>
      <c r="E12" s="77"/>
      <c r="F12" s="75" t="str">
        <f t="shared" si="1"/>
        <v/>
      </c>
      <c r="G12" s="76" t="str">
        <f t="shared" si="2"/>
        <v/>
      </c>
      <c r="H12" s="52">
        <v>6.9999999999999999E-6</v>
      </c>
    </row>
    <row r="13" spans="1:16384" ht="30" customHeight="1">
      <c r="B13" s="52">
        <f t="shared" si="0"/>
        <v>0</v>
      </c>
      <c r="C13" s="96"/>
      <c r="D13" s="75"/>
      <c r="E13" s="77"/>
      <c r="F13" s="75" t="str">
        <f t="shared" si="1"/>
        <v/>
      </c>
      <c r="G13" s="76" t="str">
        <f t="shared" si="2"/>
        <v/>
      </c>
      <c r="H13" s="52">
        <v>7.9999999999999996E-6</v>
      </c>
    </row>
    <row r="14" spans="1:16384" ht="30" customHeight="1">
      <c r="B14" s="52">
        <f t="shared" si="0"/>
        <v>0</v>
      </c>
      <c r="C14" s="96"/>
      <c r="D14" s="75"/>
      <c r="E14" s="77"/>
      <c r="F14" s="75" t="str">
        <f t="shared" si="1"/>
        <v/>
      </c>
      <c r="G14" s="76" t="str">
        <f t="shared" si="2"/>
        <v/>
      </c>
      <c r="H14" s="52">
        <v>9.0000000000000002E-6</v>
      </c>
    </row>
    <row r="15" spans="1:16384" ht="30" customHeight="1">
      <c r="B15" s="52">
        <f t="shared" si="0"/>
        <v>0</v>
      </c>
      <c r="C15" s="96"/>
      <c r="D15" s="75"/>
      <c r="E15" s="77"/>
      <c r="F15" s="75" t="str">
        <f t="shared" si="1"/>
        <v/>
      </c>
      <c r="G15" s="76" t="str">
        <f t="shared" si="2"/>
        <v/>
      </c>
      <c r="H15" s="52">
        <v>1.0000000000000001E-5</v>
      </c>
    </row>
    <row r="16" spans="1:16384" ht="30" customHeight="1">
      <c r="B16" s="52">
        <f t="shared" si="0"/>
        <v>0</v>
      </c>
      <c r="C16" s="96"/>
      <c r="D16" s="75"/>
      <c r="E16" s="77"/>
      <c r="F16" s="75" t="str">
        <f t="shared" si="1"/>
        <v/>
      </c>
      <c r="G16" s="76" t="str">
        <f t="shared" si="2"/>
        <v/>
      </c>
      <c r="H16" s="52">
        <v>1.1E-5</v>
      </c>
    </row>
    <row r="17" spans="2:8" ht="30" customHeight="1">
      <c r="B17" s="52">
        <f t="shared" si="0"/>
        <v>0</v>
      </c>
      <c r="C17" s="96"/>
      <c r="D17" s="75"/>
      <c r="E17" s="77"/>
      <c r="F17" s="75" t="str">
        <f t="shared" si="1"/>
        <v/>
      </c>
      <c r="G17" s="76" t="str">
        <f t="shared" si="2"/>
        <v/>
      </c>
      <c r="H17" s="52">
        <v>1.2E-5</v>
      </c>
    </row>
    <row r="18" spans="2:8" ht="30" customHeight="1">
      <c r="B18" s="52">
        <f t="shared" si="0"/>
        <v>0</v>
      </c>
      <c r="C18" s="96"/>
      <c r="D18" s="75"/>
      <c r="E18" s="77"/>
      <c r="F18" s="75" t="str">
        <f t="shared" si="1"/>
        <v/>
      </c>
      <c r="G18" s="76" t="str">
        <f t="shared" si="2"/>
        <v/>
      </c>
      <c r="H18" s="52">
        <v>1.2999999999999999E-5</v>
      </c>
    </row>
    <row r="19" spans="2:8" ht="30" customHeight="1">
      <c r="B19" s="52">
        <f t="shared" si="0"/>
        <v>0</v>
      </c>
      <c r="C19" s="96"/>
      <c r="D19" s="75"/>
      <c r="E19" s="77"/>
      <c r="F19" s="75" t="str">
        <f t="shared" si="1"/>
        <v/>
      </c>
      <c r="G19" s="76" t="str">
        <f t="shared" si="2"/>
        <v/>
      </c>
      <c r="H19" s="52">
        <v>1.4E-5</v>
      </c>
    </row>
    <row r="20" spans="2:8" ht="30" customHeight="1">
      <c r="B20" s="52">
        <f t="shared" si="0"/>
        <v>0</v>
      </c>
      <c r="C20" s="96"/>
      <c r="D20" s="75"/>
      <c r="E20" s="77"/>
      <c r="F20" s="75" t="str">
        <f t="shared" si="1"/>
        <v/>
      </c>
      <c r="G20" s="76" t="str">
        <f t="shared" si="2"/>
        <v/>
      </c>
      <c r="H20" s="52">
        <v>1.5E-5</v>
      </c>
    </row>
    <row r="21" spans="2:8" ht="30" customHeight="1">
      <c r="B21" s="52">
        <f t="shared" si="0"/>
        <v>0</v>
      </c>
      <c r="C21" s="96"/>
      <c r="D21" s="75"/>
      <c r="E21" s="77"/>
      <c r="F21" s="75" t="str">
        <f t="shared" si="1"/>
        <v/>
      </c>
      <c r="G21" s="76" t="str">
        <f t="shared" si="2"/>
        <v/>
      </c>
      <c r="H21" s="52">
        <v>1.5999999999999999E-5</v>
      </c>
    </row>
    <row r="22" spans="2:8" ht="30" customHeight="1">
      <c r="B22" s="52">
        <f t="shared" si="0"/>
        <v>0</v>
      </c>
      <c r="C22" s="96"/>
      <c r="D22" s="75"/>
      <c r="E22" s="77"/>
      <c r="F22" s="75" t="str">
        <f t="shared" si="1"/>
        <v/>
      </c>
      <c r="G22" s="76" t="str">
        <f t="shared" si="2"/>
        <v/>
      </c>
      <c r="H22" s="52">
        <v>1.7E-5</v>
      </c>
    </row>
    <row r="23" spans="2:8" ht="30" customHeight="1">
      <c r="B23" s="52">
        <f t="shared" si="0"/>
        <v>0</v>
      </c>
      <c r="C23" s="96"/>
      <c r="D23" s="75"/>
      <c r="E23" s="77"/>
      <c r="F23" s="75" t="str">
        <f t="shared" si="1"/>
        <v/>
      </c>
      <c r="G23" s="76" t="str">
        <f t="shared" si="2"/>
        <v/>
      </c>
      <c r="H23" s="52">
        <v>1.8E-5</v>
      </c>
    </row>
    <row r="24" spans="2:8" ht="30" customHeight="1">
      <c r="B24" s="52">
        <f t="shared" si="0"/>
        <v>0</v>
      </c>
      <c r="C24" s="96"/>
      <c r="D24" s="75"/>
      <c r="E24" s="77"/>
      <c r="F24" s="75" t="str">
        <f t="shared" si="1"/>
        <v/>
      </c>
      <c r="G24" s="76" t="str">
        <f t="shared" si="2"/>
        <v/>
      </c>
      <c r="H24" s="52">
        <v>1.9000000000000001E-5</v>
      </c>
    </row>
    <row r="25" spans="2:8" ht="30" customHeight="1">
      <c r="B25" s="52">
        <f t="shared" si="0"/>
        <v>0</v>
      </c>
      <c r="C25" s="96"/>
      <c r="D25" s="75"/>
      <c r="E25" s="77"/>
      <c r="F25" s="75" t="str">
        <f t="shared" si="1"/>
        <v/>
      </c>
      <c r="G25" s="76" t="str">
        <f t="shared" si="2"/>
        <v/>
      </c>
      <c r="H25" s="52">
        <v>2.0000000000000002E-5</v>
      </c>
    </row>
    <row r="26" spans="2:8" ht="30" customHeight="1">
      <c r="B26" s="52">
        <f t="shared" si="0"/>
        <v>0</v>
      </c>
      <c r="C26" s="96"/>
      <c r="D26" s="75"/>
      <c r="E26" s="77"/>
      <c r="F26" s="75" t="str">
        <f t="shared" si="1"/>
        <v/>
      </c>
      <c r="G26" s="76" t="str">
        <f t="shared" si="2"/>
        <v/>
      </c>
      <c r="H26" s="52">
        <v>2.0999999999999999E-5</v>
      </c>
    </row>
    <row r="27" spans="2:8" ht="30" customHeight="1">
      <c r="B27" s="52">
        <f t="shared" si="0"/>
        <v>0</v>
      </c>
      <c r="C27" s="96"/>
      <c r="D27" s="75"/>
      <c r="E27" s="77"/>
      <c r="F27" s="75" t="str">
        <f t="shared" si="1"/>
        <v/>
      </c>
      <c r="G27" s="76" t="str">
        <f t="shared" si="2"/>
        <v/>
      </c>
      <c r="H27" s="52">
        <v>2.1999999999999999E-5</v>
      </c>
    </row>
    <row r="28" spans="2:8" ht="30" customHeight="1">
      <c r="B28" s="52">
        <f t="shared" si="0"/>
        <v>0</v>
      </c>
      <c r="C28" s="96"/>
      <c r="D28" s="75"/>
      <c r="E28" s="77"/>
      <c r="F28" s="75" t="str">
        <f t="shared" si="1"/>
        <v/>
      </c>
      <c r="G28" s="76" t="str">
        <f t="shared" si="2"/>
        <v/>
      </c>
      <c r="H28" s="52">
        <v>2.3E-5</v>
      </c>
    </row>
    <row r="29" spans="2:8" ht="30" customHeight="1">
      <c r="B29" s="52">
        <f t="shared" si="0"/>
        <v>0</v>
      </c>
      <c r="C29" s="96"/>
      <c r="D29" s="75"/>
      <c r="E29" s="77"/>
      <c r="F29" s="75" t="str">
        <f t="shared" si="1"/>
        <v/>
      </c>
      <c r="G29" s="76" t="str">
        <f t="shared" si="2"/>
        <v/>
      </c>
      <c r="H29" s="52">
        <v>2.4000000000000001E-5</v>
      </c>
    </row>
    <row r="30" spans="2:8" ht="30" customHeight="1">
      <c r="B30" s="52">
        <f t="shared" si="0"/>
        <v>0</v>
      </c>
      <c r="C30" s="96"/>
      <c r="D30" s="75"/>
      <c r="E30" s="77"/>
      <c r="F30" s="75" t="str">
        <f t="shared" si="1"/>
        <v/>
      </c>
      <c r="G30" s="76" t="str">
        <f t="shared" si="2"/>
        <v/>
      </c>
      <c r="H30" s="52">
        <v>2.5000000000000001E-5</v>
      </c>
    </row>
    <row r="31" spans="2:8" ht="30" customHeight="1">
      <c r="B31" s="52">
        <f t="shared" si="0"/>
        <v>0</v>
      </c>
      <c r="C31" s="96"/>
      <c r="D31" s="75"/>
      <c r="E31" s="77"/>
      <c r="F31" s="75" t="str">
        <f t="shared" si="1"/>
        <v/>
      </c>
      <c r="G31" s="76" t="str">
        <f t="shared" si="2"/>
        <v/>
      </c>
      <c r="H31" s="52">
        <v>2.5999999999999998E-5</v>
      </c>
    </row>
    <row r="32" spans="2:8" ht="30" customHeight="1">
      <c r="B32" s="52">
        <f t="shared" si="0"/>
        <v>0</v>
      </c>
      <c r="C32" s="96"/>
      <c r="D32" s="75"/>
      <c r="E32" s="77"/>
      <c r="F32" s="75" t="str">
        <f t="shared" si="1"/>
        <v/>
      </c>
      <c r="G32" s="76" t="str">
        <f t="shared" si="2"/>
        <v/>
      </c>
      <c r="H32" s="52">
        <v>2.6999999999999999E-5</v>
      </c>
    </row>
    <row r="33" spans="2:8" ht="30" customHeight="1">
      <c r="B33" s="52">
        <f t="shared" si="0"/>
        <v>0</v>
      </c>
      <c r="C33" s="96"/>
      <c r="D33" s="75"/>
      <c r="E33" s="77"/>
      <c r="F33" s="75" t="str">
        <f t="shared" si="1"/>
        <v/>
      </c>
      <c r="G33" s="76" t="str">
        <f t="shared" si="2"/>
        <v/>
      </c>
      <c r="H33" s="52">
        <v>2.8E-5</v>
      </c>
    </row>
    <row r="34" spans="2:8" ht="30" customHeight="1">
      <c r="B34" s="52">
        <f t="shared" si="0"/>
        <v>0</v>
      </c>
      <c r="C34" s="96"/>
      <c r="D34" s="75"/>
      <c r="E34" s="77"/>
      <c r="F34" s="75" t="str">
        <f t="shared" si="1"/>
        <v/>
      </c>
      <c r="G34" s="76" t="str">
        <f t="shared" si="2"/>
        <v/>
      </c>
      <c r="H34" s="52">
        <v>2.9E-5</v>
      </c>
    </row>
    <row r="35" spans="2:8" ht="30" customHeight="1">
      <c r="B35" s="52">
        <f t="shared" si="0"/>
        <v>0</v>
      </c>
      <c r="C35" s="96"/>
      <c r="D35" s="75"/>
      <c r="E35" s="77"/>
      <c r="F35" s="75" t="str">
        <f t="shared" si="1"/>
        <v/>
      </c>
      <c r="G35" s="76" t="str">
        <f t="shared" si="2"/>
        <v/>
      </c>
      <c r="H35" s="52">
        <v>3.0000000000000001E-5</v>
      </c>
    </row>
    <row r="36" spans="2:8" ht="30" customHeight="1">
      <c r="B36" s="52">
        <f t="shared" si="0"/>
        <v>0</v>
      </c>
      <c r="C36" s="96"/>
      <c r="D36" s="75"/>
      <c r="E36" s="77"/>
      <c r="F36" s="75" t="str">
        <f t="shared" si="1"/>
        <v/>
      </c>
      <c r="G36" s="76" t="str">
        <f t="shared" si="2"/>
        <v/>
      </c>
      <c r="H36" s="52">
        <v>3.1000000000000001E-5</v>
      </c>
    </row>
    <row r="37" spans="2:8" ht="30" customHeight="1">
      <c r="B37" s="52">
        <f t="shared" si="0"/>
        <v>0</v>
      </c>
      <c r="C37" s="96"/>
      <c r="D37" s="75"/>
      <c r="E37" s="77"/>
      <c r="F37" s="75" t="str">
        <f t="shared" si="1"/>
        <v/>
      </c>
      <c r="G37" s="76" t="str">
        <f t="shared" si="2"/>
        <v/>
      </c>
      <c r="H37" s="52">
        <v>3.1999999999999999E-5</v>
      </c>
    </row>
    <row r="38" spans="2:8" ht="30" customHeight="1">
      <c r="B38" s="52">
        <f t="shared" si="0"/>
        <v>0</v>
      </c>
      <c r="C38" s="96"/>
      <c r="D38" s="75"/>
      <c r="E38" s="77"/>
      <c r="F38" s="75" t="str">
        <f t="shared" si="1"/>
        <v/>
      </c>
      <c r="G38" s="76" t="str">
        <f t="shared" si="2"/>
        <v/>
      </c>
      <c r="H38" s="52">
        <v>3.3000000000000003E-5</v>
      </c>
    </row>
    <row r="39" spans="2:8" ht="30" customHeight="1">
      <c r="B39" s="52">
        <f t="shared" si="0"/>
        <v>0</v>
      </c>
      <c r="C39" s="96"/>
      <c r="D39" s="75"/>
      <c r="E39" s="77"/>
      <c r="F39" s="75" t="str">
        <f t="shared" si="1"/>
        <v/>
      </c>
      <c r="G39" s="76" t="str">
        <f t="shared" si="2"/>
        <v/>
      </c>
      <c r="H39" s="52">
        <v>3.4E-5</v>
      </c>
    </row>
    <row r="40" spans="2:8" ht="30" customHeight="1">
      <c r="B40" s="52">
        <f t="shared" si="0"/>
        <v>0</v>
      </c>
      <c r="C40" s="96"/>
      <c r="D40" s="75"/>
      <c r="E40" s="77"/>
      <c r="F40" s="75" t="str">
        <f t="shared" si="1"/>
        <v/>
      </c>
      <c r="G40" s="76" t="str">
        <f t="shared" si="2"/>
        <v/>
      </c>
      <c r="H40" s="52">
        <v>3.4999999999999997E-5</v>
      </c>
    </row>
    <row r="41" spans="2:8" ht="30" customHeight="1">
      <c r="B41" s="52">
        <f t="shared" si="0"/>
        <v>0</v>
      </c>
      <c r="C41" s="96"/>
      <c r="D41" s="75"/>
      <c r="E41" s="77"/>
      <c r="F41" s="75" t="str">
        <f t="shared" si="1"/>
        <v/>
      </c>
      <c r="G41" s="76" t="str">
        <f t="shared" si="2"/>
        <v/>
      </c>
      <c r="H41" s="52">
        <v>3.6000000000000001E-5</v>
      </c>
    </row>
    <row r="42" spans="2:8" ht="30" customHeight="1">
      <c r="B42" s="52">
        <f t="shared" si="0"/>
        <v>0</v>
      </c>
      <c r="C42" s="96"/>
      <c r="D42" s="75"/>
      <c r="E42" s="77"/>
      <c r="F42" s="75" t="str">
        <f t="shared" si="1"/>
        <v/>
      </c>
      <c r="G42" s="76" t="str">
        <f t="shared" si="2"/>
        <v/>
      </c>
      <c r="H42" s="52">
        <v>3.6999999999999998E-5</v>
      </c>
    </row>
    <row r="43" spans="2:8" ht="30" customHeight="1">
      <c r="B43" s="52">
        <f t="shared" si="0"/>
        <v>0</v>
      </c>
      <c r="C43" s="96"/>
      <c r="D43" s="75"/>
      <c r="E43" s="77"/>
      <c r="F43" s="75" t="str">
        <f t="shared" si="1"/>
        <v/>
      </c>
      <c r="G43" s="76" t="str">
        <f t="shared" si="2"/>
        <v/>
      </c>
      <c r="H43" s="52">
        <v>3.8000000000000002E-5</v>
      </c>
    </row>
    <row r="44" spans="2:8" ht="30" customHeight="1">
      <c r="B44" s="52">
        <f t="shared" si="0"/>
        <v>0</v>
      </c>
      <c r="C44" s="96"/>
      <c r="D44" s="75"/>
      <c r="E44" s="77"/>
      <c r="F44" s="75" t="str">
        <f t="shared" si="1"/>
        <v/>
      </c>
      <c r="G44" s="76" t="str">
        <f t="shared" si="2"/>
        <v/>
      </c>
      <c r="H44" s="52">
        <v>3.8999999999999999E-5</v>
      </c>
    </row>
    <row r="45" spans="2:8" ht="30" customHeight="1">
      <c r="B45" s="52">
        <f t="shared" si="0"/>
        <v>0</v>
      </c>
      <c r="C45" s="96"/>
      <c r="D45" s="75"/>
      <c r="E45" s="77"/>
      <c r="F45" s="75" t="str">
        <f t="shared" si="1"/>
        <v/>
      </c>
      <c r="G45" s="76" t="str">
        <f t="shared" si="2"/>
        <v/>
      </c>
      <c r="H45" s="52">
        <v>4.0000000000000003E-5</v>
      </c>
    </row>
    <row r="46" spans="2:8" ht="30" customHeight="1">
      <c r="B46" s="52">
        <f t="shared" si="0"/>
        <v>0</v>
      </c>
      <c r="C46" s="96"/>
      <c r="D46" s="75"/>
      <c r="E46" s="77"/>
      <c r="F46" s="75" t="str">
        <f t="shared" si="1"/>
        <v/>
      </c>
      <c r="G46" s="76" t="str">
        <f t="shared" si="2"/>
        <v/>
      </c>
      <c r="H46" s="52">
        <v>4.1E-5</v>
      </c>
    </row>
    <row r="47" spans="2:8" ht="30" customHeight="1">
      <c r="B47" s="52">
        <f t="shared" si="0"/>
        <v>0</v>
      </c>
      <c r="C47" s="96"/>
      <c r="D47" s="75"/>
      <c r="E47" s="77"/>
      <c r="F47" s="75" t="str">
        <f t="shared" si="1"/>
        <v/>
      </c>
      <c r="G47" s="76" t="str">
        <f t="shared" si="2"/>
        <v/>
      </c>
      <c r="H47" s="52">
        <v>4.1999999999999998E-5</v>
      </c>
    </row>
    <row r="48" spans="2:8" ht="30" customHeight="1">
      <c r="B48" s="52">
        <f t="shared" si="0"/>
        <v>0</v>
      </c>
      <c r="C48" s="96"/>
      <c r="D48" s="75"/>
      <c r="E48" s="77"/>
      <c r="F48" s="75" t="str">
        <f t="shared" si="1"/>
        <v/>
      </c>
      <c r="G48" s="76" t="str">
        <f t="shared" si="2"/>
        <v/>
      </c>
      <c r="H48" s="52">
        <v>4.3000000000000002E-5</v>
      </c>
    </row>
    <row r="49" spans="2:8" ht="30" customHeight="1">
      <c r="B49" s="52">
        <f t="shared" si="0"/>
        <v>0</v>
      </c>
      <c r="C49" s="96"/>
      <c r="D49" s="75"/>
      <c r="E49" s="77"/>
      <c r="F49" s="75" t="str">
        <f t="shared" si="1"/>
        <v/>
      </c>
      <c r="G49" s="76" t="str">
        <f t="shared" si="2"/>
        <v/>
      </c>
      <c r="H49" s="52">
        <v>4.3999999999999999E-5</v>
      </c>
    </row>
    <row r="50" spans="2:8" ht="30" customHeight="1">
      <c r="B50" s="52">
        <f t="shared" si="0"/>
        <v>0</v>
      </c>
      <c r="C50" s="96"/>
      <c r="D50" s="75"/>
      <c r="E50" s="77"/>
      <c r="F50" s="75" t="str">
        <f t="shared" si="1"/>
        <v/>
      </c>
      <c r="G50" s="76" t="str">
        <f t="shared" si="2"/>
        <v/>
      </c>
      <c r="H50" s="52">
        <v>4.5000000000000003E-5</v>
      </c>
    </row>
    <row r="51" spans="2:8" ht="30" customHeight="1">
      <c r="B51" s="52">
        <f t="shared" si="0"/>
        <v>0</v>
      </c>
      <c r="C51" s="96"/>
      <c r="D51" s="75"/>
      <c r="E51" s="77"/>
      <c r="F51" s="75" t="str">
        <f t="shared" si="1"/>
        <v/>
      </c>
      <c r="G51" s="76" t="str">
        <f t="shared" si="2"/>
        <v/>
      </c>
      <c r="H51" s="52">
        <v>4.6E-5</v>
      </c>
    </row>
    <row r="52" spans="2:8" ht="30" customHeight="1">
      <c r="B52" s="52">
        <f t="shared" si="0"/>
        <v>0</v>
      </c>
      <c r="C52" s="96"/>
      <c r="D52" s="75"/>
      <c r="E52" s="77"/>
      <c r="F52" s="75" t="str">
        <f t="shared" si="1"/>
        <v/>
      </c>
      <c r="G52" s="76" t="str">
        <f t="shared" si="2"/>
        <v/>
      </c>
      <c r="H52" s="52">
        <v>4.6999999999999997E-5</v>
      </c>
    </row>
    <row r="53" spans="2:8" ht="30" customHeight="1">
      <c r="B53" s="52">
        <f t="shared" si="0"/>
        <v>0</v>
      </c>
      <c r="C53" s="96"/>
      <c r="D53" s="75"/>
      <c r="E53" s="77"/>
      <c r="F53" s="75" t="str">
        <f t="shared" si="1"/>
        <v/>
      </c>
      <c r="G53" s="76" t="str">
        <f t="shared" si="2"/>
        <v/>
      </c>
      <c r="H53" s="52">
        <v>4.8000000000000001E-5</v>
      </c>
    </row>
    <row r="54" spans="2:8" ht="30" customHeight="1">
      <c r="B54" s="52">
        <f t="shared" si="0"/>
        <v>0</v>
      </c>
      <c r="C54" s="96"/>
      <c r="D54" s="75"/>
      <c r="E54" s="77"/>
      <c r="F54" s="75" t="str">
        <f t="shared" si="1"/>
        <v/>
      </c>
      <c r="G54" s="76" t="str">
        <f t="shared" si="2"/>
        <v/>
      </c>
      <c r="H54" s="52">
        <v>4.8999999999999998E-5</v>
      </c>
    </row>
    <row r="55" spans="2:8" ht="30" customHeight="1">
      <c r="B55" s="52">
        <f t="shared" si="0"/>
        <v>0</v>
      </c>
      <c r="C55" s="96"/>
      <c r="D55" s="75"/>
      <c r="E55" s="77"/>
      <c r="F55" s="75" t="str">
        <f t="shared" si="1"/>
        <v/>
      </c>
      <c r="G55" s="76" t="str">
        <f t="shared" si="2"/>
        <v/>
      </c>
      <c r="H55" s="52">
        <v>5.0000000000000002E-5</v>
      </c>
    </row>
    <row r="56" spans="2:8" ht="30" customHeight="1">
      <c r="B56" s="52">
        <f t="shared" si="0"/>
        <v>0</v>
      </c>
      <c r="C56" s="96"/>
      <c r="D56" s="75"/>
      <c r="E56" s="77"/>
      <c r="F56" s="75" t="str">
        <f t="shared" si="1"/>
        <v/>
      </c>
      <c r="G56" s="76" t="str">
        <f t="shared" si="2"/>
        <v/>
      </c>
      <c r="H56" s="52">
        <v>5.1E-5</v>
      </c>
    </row>
    <row r="57" spans="2:8" ht="30" customHeight="1">
      <c r="B57" s="52">
        <f t="shared" si="0"/>
        <v>0</v>
      </c>
      <c r="C57" s="96"/>
      <c r="D57" s="75"/>
      <c r="E57" s="77"/>
      <c r="F57" s="75" t="str">
        <f t="shared" si="1"/>
        <v/>
      </c>
      <c r="G57" s="76" t="str">
        <f t="shared" si="2"/>
        <v/>
      </c>
      <c r="H57" s="52">
        <v>5.1999999999999997E-5</v>
      </c>
    </row>
    <row r="58" spans="2:8" ht="30" customHeight="1">
      <c r="B58" s="52">
        <f t="shared" si="0"/>
        <v>0</v>
      </c>
      <c r="C58" s="96"/>
      <c r="D58" s="75"/>
      <c r="E58" s="77"/>
      <c r="F58" s="75" t="str">
        <f t="shared" si="1"/>
        <v/>
      </c>
      <c r="G58" s="76" t="str">
        <f t="shared" si="2"/>
        <v/>
      </c>
      <c r="H58" s="52">
        <v>5.3000000000000001E-5</v>
      </c>
    </row>
    <row r="59" spans="2:8" ht="30" customHeight="1">
      <c r="B59" s="52">
        <f t="shared" si="0"/>
        <v>0</v>
      </c>
      <c r="C59" s="96"/>
      <c r="D59" s="75"/>
      <c r="E59" s="77"/>
      <c r="F59" s="75" t="str">
        <f t="shared" si="1"/>
        <v/>
      </c>
      <c r="G59" s="76" t="str">
        <f t="shared" si="2"/>
        <v/>
      </c>
      <c r="H59" s="52">
        <v>5.3999999999999998E-5</v>
      </c>
    </row>
    <row r="60" spans="2:8" ht="30" customHeight="1">
      <c r="B60" s="52">
        <f t="shared" si="0"/>
        <v>0</v>
      </c>
      <c r="C60" s="96"/>
      <c r="D60" s="75"/>
      <c r="E60" s="77"/>
      <c r="F60" s="75" t="str">
        <f t="shared" si="1"/>
        <v/>
      </c>
      <c r="G60" s="76" t="str">
        <f t="shared" si="2"/>
        <v/>
      </c>
      <c r="H60" s="52">
        <v>5.5000000000000002E-5</v>
      </c>
    </row>
    <row r="61" spans="2:8" ht="30" customHeight="1">
      <c r="B61" s="52">
        <f t="shared" si="0"/>
        <v>0</v>
      </c>
      <c r="C61" s="96"/>
      <c r="D61" s="75"/>
      <c r="E61" s="77"/>
      <c r="F61" s="75" t="str">
        <f t="shared" si="1"/>
        <v/>
      </c>
      <c r="G61" s="76" t="str">
        <f t="shared" si="2"/>
        <v/>
      </c>
      <c r="H61" s="52">
        <v>5.5999999999999999E-5</v>
      </c>
    </row>
    <row r="62" spans="2:8" ht="30" customHeight="1">
      <c r="B62" s="52">
        <f t="shared" si="0"/>
        <v>0</v>
      </c>
      <c r="C62" s="96"/>
      <c r="D62" s="75"/>
      <c r="E62" s="77"/>
      <c r="F62" s="75" t="str">
        <f t="shared" si="1"/>
        <v/>
      </c>
      <c r="G62" s="76" t="str">
        <f t="shared" si="2"/>
        <v/>
      </c>
      <c r="H62" s="52">
        <v>5.7000000000000003E-5</v>
      </c>
    </row>
    <row r="63" spans="2:8" ht="30" customHeight="1">
      <c r="B63" s="52">
        <f t="shared" si="0"/>
        <v>0</v>
      </c>
      <c r="C63" s="96"/>
      <c r="D63" s="75"/>
      <c r="E63" s="77"/>
      <c r="F63" s="75" t="str">
        <f t="shared" si="1"/>
        <v/>
      </c>
      <c r="G63" s="76" t="str">
        <f t="shared" si="2"/>
        <v/>
      </c>
      <c r="H63" s="52">
        <v>5.8E-5</v>
      </c>
    </row>
    <row r="64" spans="2:8" ht="30" customHeight="1">
      <c r="B64" s="52">
        <f t="shared" si="0"/>
        <v>0</v>
      </c>
      <c r="C64" s="96"/>
      <c r="D64" s="75"/>
      <c r="E64" s="77"/>
      <c r="F64" s="75" t="str">
        <f t="shared" si="1"/>
        <v/>
      </c>
      <c r="G64" s="76" t="str">
        <f t="shared" si="2"/>
        <v/>
      </c>
      <c r="H64" s="52">
        <v>5.8999999999999998E-5</v>
      </c>
    </row>
    <row r="65" spans="2:8" ht="30" customHeight="1">
      <c r="B65" s="52">
        <f t="shared" si="0"/>
        <v>0</v>
      </c>
      <c r="C65" s="96"/>
      <c r="D65" s="75"/>
      <c r="E65" s="77"/>
      <c r="F65" s="75" t="str">
        <f t="shared" si="1"/>
        <v/>
      </c>
      <c r="G65" s="76" t="str">
        <f t="shared" si="2"/>
        <v/>
      </c>
      <c r="H65" s="52">
        <v>6.0000000000000002E-5</v>
      </c>
    </row>
    <row r="66" spans="2:8" ht="30" customHeight="1">
      <c r="B66" s="52">
        <f t="shared" si="0"/>
        <v>0</v>
      </c>
      <c r="C66" s="96"/>
      <c r="D66" s="75"/>
      <c r="E66" s="77"/>
      <c r="F66" s="75" t="str">
        <f t="shared" si="1"/>
        <v/>
      </c>
      <c r="G66" s="76" t="str">
        <f t="shared" si="2"/>
        <v/>
      </c>
      <c r="H66" s="52">
        <v>6.0999999999999999E-5</v>
      </c>
    </row>
    <row r="67" spans="2:8" ht="30" customHeight="1">
      <c r="B67" s="52">
        <f t="shared" si="0"/>
        <v>0</v>
      </c>
      <c r="C67" s="96"/>
      <c r="D67" s="75"/>
      <c r="E67" s="77"/>
      <c r="F67" s="75" t="str">
        <f t="shared" si="1"/>
        <v/>
      </c>
      <c r="G67" s="76" t="str">
        <f t="shared" si="2"/>
        <v/>
      </c>
      <c r="H67" s="52">
        <v>6.2000000000000003E-5</v>
      </c>
    </row>
    <row r="68" spans="2:8" ht="30" customHeight="1">
      <c r="B68" s="52">
        <f t="shared" si="0"/>
        <v>0</v>
      </c>
      <c r="C68" s="96"/>
      <c r="D68" s="75"/>
      <c r="E68" s="77"/>
      <c r="F68" s="75" t="str">
        <f t="shared" si="1"/>
        <v/>
      </c>
      <c r="G68" s="76" t="str">
        <f t="shared" si="2"/>
        <v/>
      </c>
      <c r="H68" s="52">
        <v>6.3E-5</v>
      </c>
    </row>
    <row r="69" spans="2:8" ht="30" customHeight="1">
      <c r="B69" s="52">
        <f t="shared" si="0"/>
        <v>0</v>
      </c>
      <c r="C69" s="96"/>
      <c r="D69" s="75"/>
      <c r="E69" s="77"/>
      <c r="F69" s="75" t="str">
        <f t="shared" si="1"/>
        <v/>
      </c>
      <c r="G69" s="76" t="str">
        <f t="shared" si="2"/>
        <v/>
      </c>
      <c r="H69" s="52">
        <v>6.3999999999999997E-5</v>
      </c>
    </row>
    <row r="70" spans="2:8" ht="30" customHeight="1">
      <c r="B70" s="52">
        <f t="shared" si="0"/>
        <v>0</v>
      </c>
      <c r="C70" s="96"/>
      <c r="D70" s="75"/>
      <c r="E70" s="77"/>
      <c r="F70" s="75" t="str">
        <f t="shared" si="1"/>
        <v/>
      </c>
      <c r="G70" s="76" t="str">
        <f t="shared" si="2"/>
        <v/>
      </c>
      <c r="H70" s="52">
        <v>6.4999999999999994E-5</v>
      </c>
    </row>
    <row r="71" spans="2:8" ht="30" customHeight="1">
      <c r="B71" s="52">
        <f t="shared" ref="B71:B134" si="3">IFERROR(F71+H71,0)</f>
        <v>0</v>
      </c>
      <c r="C71" s="96"/>
      <c r="D71" s="75"/>
      <c r="E71" s="77"/>
      <c r="F71" s="75" t="str">
        <f t="shared" ref="F71:F134" si="4">IF(C71="","",D71*E71)</f>
        <v/>
      </c>
      <c r="G71" s="76" t="str">
        <f t="shared" ref="G71:G134" si="5">IF(C71="","",F71/SUM($F$6:$F$505))</f>
        <v/>
      </c>
      <c r="H71" s="52">
        <v>6.6000000000000005E-5</v>
      </c>
    </row>
    <row r="72" spans="2:8" ht="30" customHeight="1">
      <c r="B72" s="52">
        <f t="shared" si="3"/>
        <v>0</v>
      </c>
      <c r="C72" s="96"/>
      <c r="D72" s="75"/>
      <c r="E72" s="77"/>
      <c r="F72" s="75" t="str">
        <f t="shared" si="4"/>
        <v/>
      </c>
      <c r="G72" s="76" t="str">
        <f t="shared" si="5"/>
        <v/>
      </c>
      <c r="H72" s="52">
        <v>6.7000000000000002E-5</v>
      </c>
    </row>
    <row r="73" spans="2:8" ht="30" customHeight="1">
      <c r="B73" s="52">
        <f t="shared" si="3"/>
        <v>0</v>
      </c>
      <c r="C73" s="96"/>
      <c r="D73" s="75"/>
      <c r="E73" s="77"/>
      <c r="F73" s="75" t="str">
        <f t="shared" si="4"/>
        <v/>
      </c>
      <c r="G73" s="76" t="str">
        <f t="shared" si="5"/>
        <v/>
      </c>
      <c r="H73" s="52">
        <v>6.7999999999999999E-5</v>
      </c>
    </row>
    <row r="74" spans="2:8" ht="30" customHeight="1">
      <c r="B74" s="52">
        <f t="shared" si="3"/>
        <v>0</v>
      </c>
      <c r="C74" s="96"/>
      <c r="D74" s="75"/>
      <c r="E74" s="77"/>
      <c r="F74" s="75" t="str">
        <f t="shared" si="4"/>
        <v/>
      </c>
      <c r="G74" s="76" t="str">
        <f t="shared" si="5"/>
        <v/>
      </c>
      <c r="H74" s="52">
        <v>6.8999999999999997E-5</v>
      </c>
    </row>
    <row r="75" spans="2:8" ht="30" customHeight="1">
      <c r="B75" s="52">
        <f t="shared" si="3"/>
        <v>0</v>
      </c>
      <c r="C75" s="96"/>
      <c r="D75" s="75"/>
      <c r="E75" s="77"/>
      <c r="F75" s="75" t="str">
        <f t="shared" si="4"/>
        <v/>
      </c>
      <c r="G75" s="76" t="str">
        <f t="shared" si="5"/>
        <v/>
      </c>
      <c r="H75" s="52">
        <v>6.9999999999999994E-5</v>
      </c>
    </row>
    <row r="76" spans="2:8" ht="30" customHeight="1">
      <c r="B76" s="52">
        <f t="shared" si="3"/>
        <v>0</v>
      </c>
      <c r="C76" s="96"/>
      <c r="D76" s="75"/>
      <c r="E76" s="77"/>
      <c r="F76" s="75" t="str">
        <f t="shared" si="4"/>
        <v/>
      </c>
      <c r="G76" s="76" t="str">
        <f t="shared" si="5"/>
        <v/>
      </c>
      <c r="H76" s="52">
        <v>7.1000000000000005E-5</v>
      </c>
    </row>
    <row r="77" spans="2:8" ht="30" customHeight="1">
      <c r="B77" s="52">
        <f t="shared" si="3"/>
        <v>0</v>
      </c>
      <c r="C77" s="96"/>
      <c r="D77" s="75"/>
      <c r="E77" s="77"/>
      <c r="F77" s="75" t="str">
        <f t="shared" si="4"/>
        <v/>
      </c>
      <c r="G77" s="76" t="str">
        <f t="shared" si="5"/>
        <v/>
      </c>
      <c r="H77" s="52">
        <v>7.2000000000000002E-5</v>
      </c>
    </row>
    <row r="78" spans="2:8" ht="30" customHeight="1">
      <c r="B78" s="52">
        <f t="shared" si="3"/>
        <v>0</v>
      </c>
      <c r="C78" s="96"/>
      <c r="D78" s="75"/>
      <c r="E78" s="77"/>
      <c r="F78" s="75" t="str">
        <f t="shared" si="4"/>
        <v/>
      </c>
      <c r="G78" s="76" t="str">
        <f t="shared" si="5"/>
        <v/>
      </c>
      <c r="H78" s="52">
        <v>7.2999999999999999E-5</v>
      </c>
    </row>
    <row r="79" spans="2:8" ht="30" customHeight="1">
      <c r="B79" s="52">
        <f t="shared" si="3"/>
        <v>0</v>
      </c>
      <c r="C79" s="96"/>
      <c r="D79" s="75"/>
      <c r="E79" s="77"/>
      <c r="F79" s="75" t="str">
        <f t="shared" si="4"/>
        <v/>
      </c>
      <c r="G79" s="76" t="str">
        <f t="shared" si="5"/>
        <v/>
      </c>
      <c r="H79" s="52">
        <v>7.3999999999999996E-5</v>
      </c>
    </row>
    <row r="80" spans="2:8" ht="30" customHeight="1">
      <c r="B80" s="52">
        <f t="shared" si="3"/>
        <v>0</v>
      </c>
      <c r="C80" s="96"/>
      <c r="D80" s="75"/>
      <c r="E80" s="77"/>
      <c r="F80" s="75" t="str">
        <f t="shared" si="4"/>
        <v/>
      </c>
      <c r="G80" s="76" t="str">
        <f t="shared" si="5"/>
        <v/>
      </c>
      <c r="H80" s="52">
        <v>7.4999999999999993E-5</v>
      </c>
    </row>
    <row r="81" spans="2:8" ht="30" customHeight="1">
      <c r="B81" s="52">
        <f t="shared" si="3"/>
        <v>0</v>
      </c>
      <c r="C81" s="96"/>
      <c r="D81" s="75"/>
      <c r="E81" s="77"/>
      <c r="F81" s="75" t="str">
        <f t="shared" si="4"/>
        <v/>
      </c>
      <c r="G81" s="76" t="str">
        <f t="shared" si="5"/>
        <v/>
      </c>
      <c r="H81" s="52">
        <v>7.6000000000000004E-5</v>
      </c>
    </row>
    <row r="82" spans="2:8" ht="30" customHeight="1">
      <c r="B82" s="52">
        <f t="shared" si="3"/>
        <v>0</v>
      </c>
      <c r="C82" s="96"/>
      <c r="D82" s="75"/>
      <c r="E82" s="77"/>
      <c r="F82" s="75" t="str">
        <f t="shared" si="4"/>
        <v/>
      </c>
      <c r="G82" s="76" t="str">
        <f t="shared" si="5"/>
        <v/>
      </c>
      <c r="H82" s="52">
        <v>7.7000000000000001E-5</v>
      </c>
    </row>
    <row r="83" spans="2:8" ht="30" customHeight="1">
      <c r="B83" s="52">
        <f t="shared" si="3"/>
        <v>0</v>
      </c>
      <c r="C83" s="96"/>
      <c r="D83" s="75"/>
      <c r="E83" s="77"/>
      <c r="F83" s="75" t="str">
        <f t="shared" si="4"/>
        <v/>
      </c>
      <c r="G83" s="76" t="str">
        <f t="shared" si="5"/>
        <v/>
      </c>
      <c r="H83" s="52">
        <v>7.7999999999999999E-5</v>
      </c>
    </row>
    <row r="84" spans="2:8" ht="30" customHeight="1">
      <c r="B84" s="52">
        <f t="shared" si="3"/>
        <v>0</v>
      </c>
      <c r="C84" s="96"/>
      <c r="D84" s="75"/>
      <c r="E84" s="77"/>
      <c r="F84" s="75" t="str">
        <f t="shared" si="4"/>
        <v/>
      </c>
      <c r="G84" s="76" t="str">
        <f t="shared" si="5"/>
        <v/>
      </c>
      <c r="H84" s="52">
        <v>7.8999999999999996E-5</v>
      </c>
    </row>
    <row r="85" spans="2:8" ht="30" customHeight="1">
      <c r="B85" s="52">
        <f t="shared" si="3"/>
        <v>0</v>
      </c>
      <c r="C85" s="96"/>
      <c r="D85" s="75"/>
      <c r="E85" s="77"/>
      <c r="F85" s="75" t="str">
        <f t="shared" si="4"/>
        <v/>
      </c>
      <c r="G85" s="76" t="str">
        <f t="shared" si="5"/>
        <v/>
      </c>
      <c r="H85" s="52">
        <v>8.0000000000000007E-5</v>
      </c>
    </row>
    <row r="86" spans="2:8" ht="30" customHeight="1">
      <c r="B86" s="52">
        <f t="shared" si="3"/>
        <v>0</v>
      </c>
      <c r="C86" s="96"/>
      <c r="D86" s="75"/>
      <c r="E86" s="77"/>
      <c r="F86" s="75" t="str">
        <f t="shared" si="4"/>
        <v/>
      </c>
      <c r="G86" s="76" t="str">
        <f t="shared" si="5"/>
        <v/>
      </c>
      <c r="H86" s="52">
        <v>8.1000000000000004E-5</v>
      </c>
    </row>
    <row r="87" spans="2:8" ht="30" customHeight="1">
      <c r="B87" s="52">
        <f t="shared" si="3"/>
        <v>0</v>
      </c>
      <c r="C87" s="96"/>
      <c r="D87" s="75"/>
      <c r="E87" s="77"/>
      <c r="F87" s="75" t="str">
        <f t="shared" si="4"/>
        <v/>
      </c>
      <c r="G87" s="76" t="str">
        <f t="shared" si="5"/>
        <v/>
      </c>
      <c r="H87" s="52">
        <v>8.2000000000000001E-5</v>
      </c>
    </row>
    <row r="88" spans="2:8" ht="30" customHeight="1">
      <c r="B88" s="52">
        <f t="shared" si="3"/>
        <v>0</v>
      </c>
      <c r="C88" s="96"/>
      <c r="D88" s="75"/>
      <c r="E88" s="77"/>
      <c r="F88" s="75" t="str">
        <f t="shared" si="4"/>
        <v/>
      </c>
      <c r="G88" s="76" t="str">
        <f t="shared" si="5"/>
        <v/>
      </c>
      <c r="H88" s="52">
        <v>8.2999999999999998E-5</v>
      </c>
    </row>
    <row r="89" spans="2:8" ht="30" customHeight="1">
      <c r="B89" s="52">
        <f t="shared" si="3"/>
        <v>0</v>
      </c>
      <c r="C89" s="96"/>
      <c r="D89" s="75"/>
      <c r="E89" s="77"/>
      <c r="F89" s="75" t="str">
        <f t="shared" si="4"/>
        <v/>
      </c>
      <c r="G89" s="76" t="str">
        <f t="shared" si="5"/>
        <v/>
      </c>
      <c r="H89" s="52">
        <v>8.3999999999999995E-5</v>
      </c>
    </row>
    <row r="90" spans="2:8" ht="30" customHeight="1">
      <c r="B90" s="52">
        <f t="shared" si="3"/>
        <v>0</v>
      </c>
      <c r="C90" s="96"/>
      <c r="D90" s="75"/>
      <c r="E90" s="77"/>
      <c r="F90" s="75" t="str">
        <f t="shared" si="4"/>
        <v/>
      </c>
      <c r="G90" s="76" t="str">
        <f t="shared" si="5"/>
        <v/>
      </c>
      <c r="H90" s="52">
        <v>8.5000000000000006E-5</v>
      </c>
    </row>
    <row r="91" spans="2:8" ht="30" customHeight="1">
      <c r="B91" s="52">
        <f t="shared" si="3"/>
        <v>0</v>
      </c>
      <c r="C91" s="96"/>
      <c r="D91" s="75"/>
      <c r="E91" s="77"/>
      <c r="F91" s="75" t="str">
        <f t="shared" si="4"/>
        <v/>
      </c>
      <c r="G91" s="76" t="str">
        <f t="shared" si="5"/>
        <v/>
      </c>
      <c r="H91" s="52">
        <v>8.6000000000000003E-5</v>
      </c>
    </row>
    <row r="92" spans="2:8" ht="30" customHeight="1">
      <c r="B92" s="52">
        <f t="shared" si="3"/>
        <v>0</v>
      </c>
      <c r="C92" s="96"/>
      <c r="D92" s="75"/>
      <c r="E92" s="77"/>
      <c r="F92" s="75" t="str">
        <f t="shared" si="4"/>
        <v/>
      </c>
      <c r="G92" s="76" t="str">
        <f t="shared" si="5"/>
        <v/>
      </c>
      <c r="H92" s="52">
        <v>8.7000000000000001E-5</v>
      </c>
    </row>
    <row r="93" spans="2:8" ht="30" customHeight="1">
      <c r="B93" s="52">
        <f t="shared" si="3"/>
        <v>0</v>
      </c>
      <c r="C93" s="96"/>
      <c r="D93" s="75"/>
      <c r="E93" s="77"/>
      <c r="F93" s="75" t="str">
        <f t="shared" si="4"/>
        <v/>
      </c>
      <c r="G93" s="76" t="str">
        <f t="shared" si="5"/>
        <v/>
      </c>
      <c r="H93" s="52">
        <v>8.7999999999999998E-5</v>
      </c>
    </row>
    <row r="94" spans="2:8" ht="30" customHeight="1">
      <c r="B94" s="52">
        <f t="shared" si="3"/>
        <v>0</v>
      </c>
      <c r="C94" s="96"/>
      <c r="D94" s="75"/>
      <c r="E94" s="77"/>
      <c r="F94" s="75" t="str">
        <f t="shared" si="4"/>
        <v/>
      </c>
      <c r="G94" s="76" t="str">
        <f t="shared" si="5"/>
        <v/>
      </c>
      <c r="H94" s="52">
        <v>8.8999999999999995E-5</v>
      </c>
    </row>
    <row r="95" spans="2:8" ht="30" customHeight="1">
      <c r="B95" s="52">
        <f t="shared" si="3"/>
        <v>0</v>
      </c>
      <c r="C95" s="96"/>
      <c r="D95" s="75"/>
      <c r="E95" s="77"/>
      <c r="F95" s="75" t="str">
        <f t="shared" si="4"/>
        <v/>
      </c>
      <c r="G95" s="76" t="str">
        <f t="shared" si="5"/>
        <v/>
      </c>
      <c r="H95" s="52">
        <v>9.0000000000000006E-5</v>
      </c>
    </row>
    <row r="96" spans="2:8" ht="30" customHeight="1">
      <c r="B96" s="52">
        <f t="shared" si="3"/>
        <v>0</v>
      </c>
      <c r="C96" s="96"/>
      <c r="D96" s="75"/>
      <c r="E96" s="77"/>
      <c r="F96" s="75" t="str">
        <f t="shared" si="4"/>
        <v/>
      </c>
      <c r="G96" s="76" t="str">
        <f t="shared" si="5"/>
        <v/>
      </c>
      <c r="H96" s="52">
        <v>9.1000000000000003E-5</v>
      </c>
    </row>
    <row r="97" spans="2:8" ht="30" customHeight="1">
      <c r="B97" s="52">
        <f t="shared" si="3"/>
        <v>0</v>
      </c>
      <c r="C97" s="96"/>
      <c r="D97" s="75"/>
      <c r="E97" s="77"/>
      <c r="F97" s="75" t="str">
        <f t="shared" si="4"/>
        <v/>
      </c>
      <c r="G97" s="76" t="str">
        <f t="shared" si="5"/>
        <v/>
      </c>
      <c r="H97" s="52">
        <v>9.2E-5</v>
      </c>
    </row>
    <row r="98" spans="2:8" ht="30" customHeight="1">
      <c r="B98" s="52">
        <f t="shared" si="3"/>
        <v>0</v>
      </c>
      <c r="C98" s="96"/>
      <c r="D98" s="75"/>
      <c r="E98" s="77"/>
      <c r="F98" s="75" t="str">
        <f t="shared" si="4"/>
        <v/>
      </c>
      <c r="G98" s="76" t="str">
        <f t="shared" si="5"/>
        <v/>
      </c>
      <c r="H98" s="52">
        <v>9.2999999999999997E-5</v>
      </c>
    </row>
    <row r="99" spans="2:8" ht="30" customHeight="1">
      <c r="B99" s="52">
        <f t="shared" si="3"/>
        <v>0</v>
      </c>
      <c r="C99" s="96"/>
      <c r="D99" s="75"/>
      <c r="E99" s="77"/>
      <c r="F99" s="75" t="str">
        <f t="shared" si="4"/>
        <v/>
      </c>
      <c r="G99" s="76" t="str">
        <f t="shared" si="5"/>
        <v/>
      </c>
      <c r="H99" s="52">
        <v>9.3999999999999994E-5</v>
      </c>
    </row>
    <row r="100" spans="2:8" ht="30" customHeight="1">
      <c r="B100" s="52">
        <f t="shared" si="3"/>
        <v>0</v>
      </c>
      <c r="C100" s="96"/>
      <c r="D100" s="75"/>
      <c r="E100" s="77"/>
      <c r="F100" s="75" t="str">
        <f t="shared" si="4"/>
        <v/>
      </c>
      <c r="G100" s="76" t="str">
        <f t="shared" si="5"/>
        <v/>
      </c>
      <c r="H100" s="52">
        <v>9.5000000000000005E-5</v>
      </c>
    </row>
    <row r="101" spans="2:8" ht="30" customHeight="1">
      <c r="B101" s="52">
        <f t="shared" si="3"/>
        <v>0</v>
      </c>
      <c r="C101" s="96"/>
      <c r="D101" s="75"/>
      <c r="E101" s="77"/>
      <c r="F101" s="75" t="str">
        <f t="shared" si="4"/>
        <v/>
      </c>
      <c r="G101" s="76" t="str">
        <f t="shared" si="5"/>
        <v/>
      </c>
      <c r="H101" s="52">
        <v>9.6000000000000002E-5</v>
      </c>
    </row>
    <row r="102" spans="2:8" ht="30" customHeight="1">
      <c r="B102" s="52">
        <f t="shared" si="3"/>
        <v>0</v>
      </c>
      <c r="C102" s="96"/>
      <c r="D102" s="75"/>
      <c r="E102" s="77"/>
      <c r="F102" s="75" t="str">
        <f t="shared" si="4"/>
        <v/>
      </c>
      <c r="G102" s="76" t="str">
        <f t="shared" si="5"/>
        <v/>
      </c>
      <c r="H102" s="52">
        <v>9.7E-5</v>
      </c>
    </row>
    <row r="103" spans="2:8" ht="30" customHeight="1">
      <c r="B103" s="52">
        <f t="shared" si="3"/>
        <v>0</v>
      </c>
      <c r="C103" s="96"/>
      <c r="D103" s="75"/>
      <c r="E103" s="77"/>
      <c r="F103" s="75" t="str">
        <f t="shared" si="4"/>
        <v/>
      </c>
      <c r="G103" s="76" t="str">
        <f t="shared" si="5"/>
        <v/>
      </c>
      <c r="H103" s="52">
        <v>9.7999999999999997E-5</v>
      </c>
    </row>
    <row r="104" spans="2:8" ht="30" customHeight="1">
      <c r="B104" s="52">
        <f t="shared" si="3"/>
        <v>0</v>
      </c>
      <c r="C104" s="96"/>
      <c r="D104" s="75"/>
      <c r="E104" s="77"/>
      <c r="F104" s="75" t="str">
        <f t="shared" si="4"/>
        <v/>
      </c>
      <c r="G104" s="76" t="str">
        <f t="shared" si="5"/>
        <v/>
      </c>
      <c r="H104" s="52">
        <v>9.8999999999999994E-5</v>
      </c>
    </row>
    <row r="105" spans="2:8" ht="30" customHeight="1">
      <c r="B105" s="52">
        <f t="shared" si="3"/>
        <v>0</v>
      </c>
      <c r="C105" s="96"/>
      <c r="D105" s="75"/>
      <c r="E105" s="77"/>
      <c r="F105" s="75" t="str">
        <f t="shared" si="4"/>
        <v/>
      </c>
      <c r="G105" s="76" t="str">
        <f t="shared" si="5"/>
        <v/>
      </c>
      <c r="H105" s="52">
        <v>1E-4</v>
      </c>
    </row>
    <row r="106" spans="2:8" ht="30" customHeight="1">
      <c r="B106" s="52">
        <f t="shared" si="3"/>
        <v>0</v>
      </c>
      <c r="C106" s="96"/>
      <c r="D106" s="75"/>
      <c r="E106" s="77"/>
      <c r="F106" s="75" t="str">
        <f t="shared" si="4"/>
        <v/>
      </c>
      <c r="G106" s="76" t="str">
        <f t="shared" si="5"/>
        <v/>
      </c>
      <c r="H106" s="52">
        <v>1.01E-4</v>
      </c>
    </row>
    <row r="107" spans="2:8" ht="30" customHeight="1">
      <c r="B107" s="52">
        <f t="shared" si="3"/>
        <v>0</v>
      </c>
      <c r="C107" s="96"/>
      <c r="D107" s="75"/>
      <c r="E107" s="77"/>
      <c r="F107" s="75" t="str">
        <f t="shared" si="4"/>
        <v/>
      </c>
      <c r="G107" s="76" t="str">
        <f t="shared" si="5"/>
        <v/>
      </c>
      <c r="H107" s="52">
        <v>1.02E-4</v>
      </c>
    </row>
    <row r="108" spans="2:8" ht="30" customHeight="1">
      <c r="B108" s="52">
        <f t="shared" si="3"/>
        <v>0</v>
      </c>
      <c r="C108" s="96"/>
      <c r="D108" s="75"/>
      <c r="E108" s="77"/>
      <c r="F108" s="75" t="str">
        <f t="shared" si="4"/>
        <v/>
      </c>
      <c r="G108" s="76" t="str">
        <f t="shared" si="5"/>
        <v/>
      </c>
      <c r="H108" s="52">
        <v>1.03E-4</v>
      </c>
    </row>
    <row r="109" spans="2:8" ht="30" customHeight="1">
      <c r="B109" s="52">
        <f t="shared" si="3"/>
        <v>0</v>
      </c>
      <c r="C109" s="96"/>
      <c r="D109" s="75"/>
      <c r="E109" s="77"/>
      <c r="F109" s="75" t="str">
        <f t="shared" si="4"/>
        <v/>
      </c>
      <c r="G109" s="76" t="str">
        <f t="shared" si="5"/>
        <v/>
      </c>
      <c r="H109" s="52">
        <v>1.0399999999999999E-4</v>
      </c>
    </row>
    <row r="110" spans="2:8" ht="30" customHeight="1">
      <c r="B110" s="52">
        <f t="shared" si="3"/>
        <v>0</v>
      </c>
      <c r="C110" s="96"/>
      <c r="D110" s="75"/>
      <c r="E110" s="77"/>
      <c r="F110" s="75" t="str">
        <f t="shared" si="4"/>
        <v/>
      </c>
      <c r="G110" s="76" t="str">
        <f t="shared" si="5"/>
        <v/>
      </c>
      <c r="H110" s="52">
        <v>1.05E-4</v>
      </c>
    </row>
    <row r="111" spans="2:8" ht="30" customHeight="1">
      <c r="B111" s="52">
        <f t="shared" si="3"/>
        <v>0</v>
      </c>
      <c r="C111" s="96"/>
      <c r="D111" s="75"/>
      <c r="E111" s="77"/>
      <c r="F111" s="75" t="str">
        <f t="shared" si="4"/>
        <v/>
      </c>
      <c r="G111" s="76" t="str">
        <f t="shared" si="5"/>
        <v/>
      </c>
      <c r="H111" s="52">
        <v>1.06E-4</v>
      </c>
    </row>
    <row r="112" spans="2:8" ht="30" customHeight="1">
      <c r="B112" s="52">
        <f t="shared" si="3"/>
        <v>0</v>
      </c>
      <c r="C112" s="96"/>
      <c r="D112" s="75"/>
      <c r="E112" s="77"/>
      <c r="F112" s="75" t="str">
        <f t="shared" si="4"/>
        <v/>
      </c>
      <c r="G112" s="76" t="str">
        <f t="shared" si="5"/>
        <v/>
      </c>
      <c r="H112" s="52">
        <v>1.07E-4</v>
      </c>
    </row>
    <row r="113" spans="2:8" ht="30" customHeight="1">
      <c r="B113" s="52">
        <f t="shared" si="3"/>
        <v>0</v>
      </c>
      <c r="C113" s="96"/>
      <c r="D113" s="75"/>
      <c r="E113" s="77"/>
      <c r="F113" s="75" t="str">
        <f t="shared" si="4"/>
        <v/>
      </c>
      <c r="G113" s="76" t="str">
        <f t="shared" si="5"/>
        <v/>
      </c>
      <c r="H113" s="52">
        <v>1.08E-4</v>
      </c>
    </row>
    <row r="114" spans="2:8" ht="30" customHeight="1">
      <c r="B114" s="52">
        <f t="shared" si="3"/>
        <v>0</v>
      </c>
      <c r="C114" s="96"/>
      <c r="D114" s="75"/>
      <c r="E114" s="77"/>
      <c r="F114" s="75" t="str">
        <f t="shared" si="4"/>
        <v/>
      </c>
      <c r="G114" s="76" t="str">
        <f t="shared" si="5"/>
        <v/>
      </c>
      <c r="H114" s="52">
        <v>1.0900000000000001E-4</v>
      </c>
    </row>
    <row r="115" spans="2:8" ht="30" customHeight="1">
      <c r="B115" s="52">
        <f t="shared" si="3"/>
        <v>0</v>
      </c>
      <c r="C115" s="96"/>
      <c r="D115" s="75"/>
      <c r="E115" s="77"/>
      <c r="F115" s="75" t="str">
        <f t="shared" si="4"/>
        <v/>
      </c>
      <c r="G115" s="76" t="str">
        <f t="shared" si="5"/>
        <v/>
      </c>
      <c r="H115" s="52">
        <v>1.1E-4</v>
      </c>
    </row>
    <row r="116" spans="2:8" ht="30" customHeight="1">
      <c r="B116" s="52">
        <f t="shared" si="3"/>
        <v>0</v>
      </c>
      <c r="C116" s="96"/>
      <c r="D116" s="75"/>
      <c r="E116" s="77"/>
      <c r="F116" s="75" t="str">
        <f t="shared" si="4"/>
        <v/>
      </c>
      <c r="G116" s="76" t="str">
        <f t="shared" si="5"/>
        <v/>
      </c>
      <c r="H116" s="52">
        <v>1.11E-4</v>
      </c>
    </row>
    <row r="117" spans="2:8" ht="30" customHeight="1">
      <c r="B117" s="52">
        <f t="shared" si="3"/>
        <v>0</v>
      </c>
      <c r="C117" s="96"/>
      <c r="D117" s="75"/>
      <c r="E117" s="77"/>
      <c r="F117" s="75" t="str">
        <f t="shared" si="4"/>
        <v/>
      </c>
      <c r="G117" s="76" t="str">
        <f t="shared" si="5"/>
        <v/>
      </c>
      <c r="H117" s="52">
        <v>1.12E-4</v>
      </c>
    </row>
    <row r="118" spans="2:8" ht="30" customHeight="1">
      <c r="B118" s="52">
        <f t="shared" si="3"/>
        <v>0</v>
      </c>
      <c r="C118" s="96"/>
      <c r="D118" s="75"/>
      <c r="E118" s="77"/>
      <c r="F118" s="75" t="str">
        <f t="shared" si="4"/>
        <v/>
      </c>
      <c r="G118" s="76" t="str">
        <f t="shared" si="5"/>
        <v/>
      </c>
      <c r="H118" s="52">
        <v>1.13E-4</v>
      </c>
    </row>
    <row r="119" spans="2:8" ht="30" customHeight="1">
      <c r="B119" s="52">
        <f t="shared" si="3"/>
        <v>0</v>
      </c>
      <c r="C119" s="96"/>
      <c r="D119" s="75"/>
      <c r="E119" s="77"/>
      <c r="F119" s="75" t="str">
        <f t="shared" si="4"/>
        <v/>
      </c>
      <c r="G119" s="76" t="str">
        <f t="shared" si="5"/>
        <v/>
      </c>
      <c r="H119" s="52">
        <v>1.1400000000000001E-4</v>
      </c>
    </row>
    <row r="120" spans="2:8" ht="30" customHeight="1">
      <c r="B120" s="52">
        <f t="shared" si="3"/>
        <v>0</v>
      </c>
      <c r="C120" s="96"/>
      <c r="D120" s="75"/>
      <c r="E120" s="77"/>
      <c r="F120" s="75" t="str">
        <f t="shared" si="4"/>
        <v/>
      </c>
      <c r="G120" s="76" t="str">
        <f t="shared" si="5"/>
        <v/>
      </c>
      <c r="H120" s="52">
        <v>1.15E-4</v>
      </c>
    </row>
    <row r="121" spans="2:8" ht="30" customHeight="1">
      <c r="B121" s="52">
        <f t="shared" si="3"/>
        <v>0</v>
      </c>
      <c r="C121" s="96"/>
      <c r="D121" s="75"/>
      <c r="E121" s="77"/>
      <c r="F121" s="75" t="str">
        <f t="shared" si="4"/>
        <v/>
      </c>
      <c r="G121" s="76" t="str">
        <f t="shared" si="5"/>
        <v/>
      </c>
      <c r="H121" s="52">
        <v>1.16E-4</v>
      </c>
    </row>
    <row r="122" spans="2:8" ht="30" customHeight="1">
      <c r="B122" s="52">
        <f t="shared" si="3"/>
        <v>0</v>
      </c>
      <c r="C122" s="96"/>
      <c r="D122" s="75"/>
      <c r="E122" s="77"/>
      <c r="F122" s="75" t="str">
        <f t="shared" si="4"/>
        <v/>
      </c>
      <c r="G122" s="76" t="str">
        <f t="shared" si="5"/>
        <v/>
      </c>
      <c r="H122" s="52">
        <v>1.17E-4</v>
      </c>
    </row>
    <row r="123" spans="2:8" ht="30" customHeight="1">
      <c r="B123" s="52">
        <f t="shared" si="3"/>
        <v>0</v>
      </c>
      <c r="C123" s="96"/>
      <c r="D123" s="75"/>
      <c r="E123" s="77"/>
      <c r="F123" s="75" t="str">
        <f t="shared" si="4"/>
        <v/>
      </c>
      <c r="G123" s="76" t="str">
        <f t="shared" si="5"/>
        <v/>
      </c>
      <c r="H123" s="52">
        <v>1.18E-4</v>
      </c>
    </row>
    <row r="124" spans="2:8" ht="30" customHeight="1">
      <c r="B124" s="52">
        <f t="shared" si="3"/>
        <v>0</v>
      </c>
      <c r="C124" s="96"/>
      <c r="D124" s="75"/>
      <c r="E124" s="77"/>
      <c r="F124" s="75" t="str">
        <f t="shared" si="4"/>
        <v/>
      </c>
      <c r="G124" s="76" t="str">
        <f t="shared" si="5"/>
        <v/>
      </c>
      <c r="H124" s="52">
        <v>1.1900000000000001E-4</v>
      </c>
    </row>
    <row r="125" spans="2:8" ht="30" customHeight="1">
      <c r="B125" s="52">
        <f t="shared" si="3"/>
        <v>0</v>
      </c>
      <c r="C125" s="96"/>
      <c r="D125" s="75"/>
      <c r="E125" s="77"/>
      <c r="F125" s="75" t="str">
        <f t="shared" si="4"/>
        <v/>
      </c>
      <c r="G125" s="76" t="str">
        <f t="shared" si="5"/>
        <v/>
      </c>
      <c r="H125" s="52">
        <v>1.2E-4</v>
      </c>
    </row>
    <row r="126" spans="2:8" ht="30" customHeight="1">
      <c r="B126" s="52">
        <f t="shared" si="3"/>
        <v>0</v>
      </c>
      <c r="C126" s="96"/>
      <c r="D126" s="75"/>
      <c r="E126" s="77"/>
      <c r="F126" s="75" t="str">
        <f t="shared" si="4"/>
        <v/>
      </c>
      <c r="G126" s="76" t="str">
        <f t="shared" si="5"/>
        <v/>
      </c>
      <c r="H126" s="52">
        <v>1.21E-4</v>
      </c>
    </row>
    <row r="127" spans="2:8" ht="30" customHeight="1">
      <c r="B127" s="52">
        <f t="shared" si="3"/>
        <v>0</v>
      </c>
      <c r="C127" s="96"/>
      <c r="D127" s="75"/>
      <c r="E127" s="77"/>
      <c r="F127" s="75" t="str">
        <f t="shared" si="4"/>
        <v/>
      </c>
      <c r="G127" s="76" t="str">
        <f t="shared" si="5"/>
        <v/>
      </c>
      <c r="H127" s="52">
        <v>1.22E-4</v>
      </c>
    </row>
    <row r="128" spans="2:8" ht="30" customHeight="1">
      <c r="B128" s="52">
        <f t="shared" si="3"/>
        <v>0</v>
      </c>
      <c r="C128" s="96"/>
      <c r="D128" s="75"/>
      <c r="E128" s="77"/>
      <c r="F128" s="75" t="str">
        <f t="shared" si="4"/>
        <v/>
      </c>
      <c r="G128" s="76" t="str">
        <f t="shared" si="5"/>
        <v/>
      </c>
      <c r="H128" s="52">
        <v>1.2300000000000001E-4</v>
      </c>
    </row>
    <row r="129" spans="2:8" ht="30" customHeight="1">
      <c r="B129" s="52">
        <f t="shared" si="3"/>
        <v>0</v>
      </c>
      <c r="C129" s="96"/>
      <c r="D129" s="75"/>
      <c r="E129" s="77"/>
      <c r="F129" s="75" t="str">
        <f t="shared" si="4"/>
        <v/>
      </c>
      <c r="G129" s="76" t="str">
        <f t="shared" si="5"/>
        <v/>
      </c>
      <c r="H129" s="52">
        <v>1.2400000000000001E-4</v>
      </c>
    </row>
    <row r="130" spans="2:8" ht="30" customHeight="1">
      <c r="B130" s="52">
        <f t="shared" si="3"/>
        <v>0</v>
      </c>
      <c r="C130" s="96"/>
      <c r="D130" s="75"/>
      <c r="E130" s="77"/>
      <c r="F130" s="75" t="str">
        <f t="shared" si="4"/>
        <v/>
      </c>
      <c r="G130" s="76" t="str">
        <f t="shared" si="5"/>
        <v/>
      </c>
      <c r="H130" s="52">
        <v>1.25E-4</v>
      </c>
    </row>
    <row r="131" spans="2:8" ht="30" customHeight="1">
      <c r="B131" s="52">
        <f t="shared" si="3"/>
        <v>0</v>
      </c>
      <c r="C131" s="96"/>
      <c r="D131" s="75"/>
      <c r="E131" s="77"/>
      <c r="F131" s="75" t="str">
        <f t="shared" si="4"/>
        <v/>
      </c>
      <c r="G131" s="76" t="str">
        <f t="shared" si="5"/>
        <v/>
      </c>
      <c r="H131" s="52">
        <v>1.26E-4</v>
      </c>
    </row>
    <row r="132" spans="2:8" ht="30" customHeight="1">
      <c r="B132" s="52">
        <f t="shared" si="3"/>
        <v>0</v>
      </c>
      <c r="C132" s="96"/>
      <c r="D132" s="75"/>
      <c r="E132" s="77"/>
      <c r="F132" s="75" t="str">
        <f t="shared" si="4"/>
        <v/>
      </c>
      <c r="G132" s="76" t="str">
        <f t="shared" si="5"/>
        <v/>
      </c>
      <c r="H132" s="52">
        <v>1.27E-4</v>
      </c>
    </row>
    <row r="133" spans="2:8" ht="30" customHeight="1">
      <c r="B133" s="52">
        <f t="shared" si="3"/>
        <v>0</v>
      </c>
      <c r="C133" s="96"/>
      <c r="D133" s="75"/>
      <c r="E133" s="77"/>
      <c r="F133" s="75" t="str">
        <f t="shared" si="4"/>
        <v/>
      </c>
      <c r="G133" s="76" t="str">
        <f t="shared" si="5"/>
        <v/>
      </c>
      <c r="H133" s="52">
        <v>1.2799999999999999E-4</v>
      </c>
    </row>
    <row r="134" spans="2:8" ht="30" customHeight="1">
      <c r="B134" s="52">
        <f t="shared" si="3"/>
        <v>0</v>
      </c>
      <c r="C134" s="96"/>
      <c r="D134" s="75"/>
      <c r="E134" s="77"/>
      <c r="F134" s="75" t="str">
        <f t="shared" si="4"/>
        <v/>
      </c>
      <c r="G134" s="76" t="str">
        <f t="shared" si="5"/>
        <v/>
      </c>
      <c r="H134" s="52">
        <v>1.2899999999999999E-4</v>
      </c>
    </row>
    <row r="135" spans="2:8" ht="30" customHeight="1">
      <c r="B135" s="52">
        <f t="shared" ref="B135:B198" si="6">IFERROR(F135+H135,0)</f>
        <v>0</v>
      </c>
      <c r="C135" s="96"/>
      <c r="D135" s="75"/>
      <c r="E135" s="77"/>
      <c r="F135" s="75" t="str">
        <f t="shared" ref="F135:F198" si="7">IF(C135="","",D135*E135)</f>
        <v/>
      </c>
      <c r="G135" s="76" t="str">
        <f t="shared" ref="G135:G198" si="8">IF(C135="","",F135/SUM($F$6:$F$505))</f>
        <v/>
      </c>
      <c r="H135" s="52">
        <v>1.2999999999999999E-4</v>
      </c>
    </row>
    <row r="136" spans="2:8" ht="30" customHeight="1">
      <c r="B136" s="52">
        <f t="shared" si="6"/>
        <v>0</v>
      </c>
      <c r="C136" s="96"/>
      <c r="D136" s="75"/>
      <c r="E136" s="77"/>
      <c r="F136" s="75" t="str">
        <f t="shared" si="7"/>
        <v/>
      </c>
      <c r="G136" s="76" t="str">
        <f t="shared" si="8"/>
        <v/>
      </c>
      <c r="H136" s="52">
        <v>1.3100000000000001E-4</v>
      </c>
    </row>
    <row r="137" spans="2:8" ht="30" customHeight="1">
      <c r="B137" s="52">
        <f t="shared" si="6"/>
        <v>0</v>
      </c>
      <c r="C137" s="96"/>
      <c r="D137" s="75"/>
      <c r="E137" s="77"/>
      <c r="F137" s="75" t="str">
        <f t="shared" si="7"/>
        <v/>
      </c>
      <c r="G137" s="76" t="str">
        <f t="shared" si="8"/>
        <v/>
      </c>
      <c r="H137" s="52">
        <v>1.3200000000000001E-4</v>
      </c>
    </row>
    <row r="138" spans="2:8" ht="30" customHeight="1">
      <c r="B138" s="52">
        <f t="shared" si="6"/>
        <v>0</v>
      </c>
      <c r="C138" s="96"/>
      <c r="D138" s="75"/>
      <c r="E138" s="77"/>
      <c r="F138" s="75" t="str">
        <f t="shared" si="7"/>
        <v/>
      </c>
      <c r="G138" s="76" t="str">
        <f t="shared" si="8"/>
        <v/>
      </c>
      <c r="H138" s="52">
        <v>1.3300000000000001E-4</v>
      </c>
    </row>
    <row r="139" spans="2:8" ht="30" customHeight="1">
      <c r="B139" s="52">
        <f t="shared" si="6"/>
        <v>0</v>
      </c>
      <c r="C139" s="96"/>
      <c r="D139" s="75"/>
      <c r="E139" s="77"/>
      <c r="F139" s="75" t="str">
        <f t="shared" si="7"/>
        <v/>
      </c>
      <c r="G139" s="76" t="str">
        <f t="shared" si="8"/>
        <v/>
      </c>
      <c r="H139" s="52">
        <v>1.34E-4</v>
      </c>
    </row>
    <row r="140" spans="2:8" ht="30" customHeight="1">
      <c r="B140" s="52">
        <f t="shared" si="6"/>
        <v>0</v>
      </c>
      <c r="C140" s="96"/>
      <c r="D140" s="75"/>
      <c r="E140" s="77"/>
      <c r="F140" s="75" t="str">
        <f t="shared" si="7"/>
        <v/>
      </c>
      <c r="G140" s="76" t="str">
        <f t="shared" si="8"/>
        <v/>
      </c>
      <c r="H140" s="52">
        <v>1.35E-4</v>
      </c>
    </row>
    <row r="141" spans="2:8" ht="30" customHeight="1">
      <c r="B141" s="52">
        <f t="shared" si="6"/>
        <v>0</v>
      </c>
      <c r="C141" s="96"/>
      <c r="D141" s="75"/>
      <c r="E141" s="77"/>
      <c r="F141" s="75" t="str">
        <f t="shared" si="7"/>
        <v/>
      </c>
      <c r="G141" s="76" t="str">
        <f t="shared" si="8"/>
        <v/>
      </c>
      <c r="H141" s="52">
        <v>1.36E-4</v>
      </c>
    </row>
    <row r="142" spans="2:8" ht="30" customHeight="1">
      <c r="B142" s="52">
        <f t="shared" si="6"/>
        <v>0</v>
      </c>
      <c r="C142" s="96"/>
      <c r="D142" s="75"/>
      <c r="E142" s="77"/>
      <c r="F142" s="75" t="str">
        <f t="shared" si="7"/>
        <v/>
      </c>
      <c r="G142" s="76" t="str">
        <f t="shared" si="8"/>
        <v/>
      </c>
      <c r="H142" s="52">
        <v>1.37E-4</v>
      </c>
    </row>
    <row r="143" spans="2:8" ht="30" customHeight="1">
      <c r="B143" s="52">
        <f t="shared" si="6"/>
        <v>0</v>
      </c>
      <c r="C143" s="96"/>
      <c r="D143" s="75"/>
      <c r="E143" s="77"/>
      <c r="F143" s="75" t="str">
        <f t="shared" si="7"/>
        <v/>
      </c>
      <c r="G143" s="76" t="str">
        <f t="shared" si="8"/>
        <v/>
      </c>
      <c r="H143" s="52">
        <v>1.3799999999999999E-4</v>
      </c>
    </row>
    <row r="144" spans="2:8" ht="30" customHeight="1">
      <c r="B144" s="52">
        <f t="shared" si="6"/>
        <v>0</v>
      </c>
      <c r="C144" s="96"/>
      <c r="D144" s="75"/>
      <c r="E144" s="77"/>
      <c r="F144" s="75" t="str">
        <f t="shared" si="7"/>
        <v/>
      </c>
      <c r="G144" s="76" t="str">
        <f t="shared" si="8"/>
        <v/>
      </c>
      <c r="H144" s="52">
        <v>1.3899999999999999E-4</v>
      </c>
    </row>
    <row r="145" spans="2:8" ht="30" customHeight="1">
      <c r="B145" s="52">
        <f t="shared" si="6"/>
        <v>0</v>
      </c>
      <c r="C145" s="96"/>
      <c r="D145" s="75"/>
      <c r="E145" s="77"/>
      <c r="F145" s="75" t="str">
        <f t="shared" si="7"/>
        <v/>
      </c>
      <c r="G145" s="76" t="str">
        <f t="shared" si="8"/>
        <v/>
      </c>
      <c r="H145" s="52">
        <v>1.3999999999999999E-4</v>
      </c>
    </row>
    <row r="146" spans="2:8" ht="30" customHeight="1">
      <c r="B146" s="52">
        <f t="shared" si="6"/>
        <v>0</v>
      </c>
      <c r="C146" s="96"/>
      <c r="D146" s="75"/>
      <c r="E146" s="77"/>
      <c r="F146" s="75" t="str">
        <f t="shared" si="7"/>
        <v/>
      </c>
      <c r="G146" s="76" t="str">
        <f t="shared" si="8"/>
        <v/>
      </c>
      <c r="H146" s="52">
        <v>1.4100000000000001E-4</v>
      </c>
    </row>
    <row r="147" spans="2:8" ht="30" customHeight="1">
      <c r="B147" s="52">
        <f t="shared" si="6"/>
        <v>0</v>
      </c>
      <c r="C147" s="96"/>
      <c r="D147" s="75"/>
      <c r="E147" s="77"/>
      <c r="F147" s="75" t="str">
        <f t="shared" si="7"/>
        <v/>
      </c>
      <c r="G147" s="76" t="str">
        <f t="shared" si="8"/>
        <v/>
      </c>
      <c r="H147" s="52">
        <v>1.4200000000000001E-4</v>
      </c>
    </row>
    <row r="148" spans="2:8" ht="30" customHeight="1">
      <c r="B148" s="52">
        <f t="shared" si="6"/>
        <v>0</v>
      </c>
      <c r="C148" s="96"/>
      <c r="D148" s="75"/>
      <c r="E148" s="77"/>
      <c r="F148" s="75" t="str">
        <f t="shared" si="7"/>
        <v/>
      </c>
      <c r="G148" s="76" t="str">
        <f t="shared" si="8"/>
        <v/>
      </c>
      <c r="H148" s="52">
        <v>1.4300000000000001E-4</v>
      </c>
    </row>
    <row r="149" spans="2:8" ht="30" customHeight="1">
      <c r="B149" s="52">
        <f t="shared" si="6"/>
        <v>0</v>
      </c>
      <c r="C149" s="96"/>
      <c r="D149" s="75"/>
      <c r="E149" s="77"/>
      <c r="F149" s="75" t="str">
        <f t="shared" si="7"/>
        <v/>
      </c>
      <c r="G149" s="76" t="str">
        <f t="shared" si="8"/>
        <v/>
      </c>
      <c r="H149" s="52">
        <v>1.44E-4</v>
      </c>
    </row>
    <row r="150" spans="2:8" ht="30" customHeight="1">
      <c r="B150" s="52">
        <f t="shared" si="6"/>
        <v>0</v>
      </c>
      <c r="C150" s="96"/>
      <c r="D150" s="75"/>
      <c r="E150" s="77"/>
      <c r="F150" s="75" t="str">
        <f t="shared" si="7"/>
        <v/>
      </c>
      <c r="G150" s="76" t="str">
        <f t="shared" si="8"/>
        <v/>
      </c>
      <c r="H150" s="52">
        <v>1.45E-4</v>
      </c>
    </row>
    <row r="151" spans="2:8" ht="30" customHeight="1">
      <c r="B151" s="52">
        <f t="shared" si="6"/>
        <v>0</v>
      </c>
      <c r="C151" s="96"/>
      <c r="D151" s="75"/>
      <c r="E151" s="77"/>
      <c r="F151" s="75" t="str">
        <f t="shared" si="7"/>
        <v/>
      </c>
      <c r="G151" s="76" t="str">
        <f t="shared" si="8"/>
        <v/>
      </c>
      <c r="H151" s="52">
        <v>1.46E-4</v>
      </c>
    </row>
    <row r="152" spans="2:8" ht="30" customHeight="1">
      <c r="B152" s="52">
        <f t="shared" si="6"/>
        <v>0</v>
      </c>
      <c r="C152" s="96"/>
      <c r="D152" s="75"/>
      <c r="E152" s="77"/>
      <c r="F152" s="75" t="str">
        <f t="shared" si="7"/>
        <v/>
      </c>
      <c r="G152" s="76" t="str">
        <f t="shared" si="8"/>
        <v/>
      </c>
      <c r="H152" s="52">
        <v>1.47E-4</v>
      </c>
    </row>
    <row r="153" spans="2:8" ht="30" customHeight="1">
      <c r="B153" s="52">
        <f t="shared" si="6"/>
        <v>0</v>
      </c>
      <c r="C153" s="96"/>
      <c r="D153" s="75"/>
      <c r="E153" s="77"/>
      <c r="F153" s="75" t="str">
        <f t="shared" si="7"/>
        <v/>
      </c>
      <c r="G153" s="76" t="str">
        <f t="shared" si="8"/>
        <v/>
      </c>
      <c r="H153" s="52">
        <v>1.4799999999999999E-4</v>
      </c>
    </row>
    <row r="154" spans="2:8" ht="30" customHeight="1">
      <c r="B154" s="52">
        <f t="shared" si="6"/>
        <v>0</v>
      </c>
      <c r="C154" s="96"/>
      <c r="D154" s="75"/>
      <c r="E154" s="77"/>
      <c r="F154" s="75" t="str">
        <f t="shared" si="7"/>
        <v/>
      </c>
      <c r="G154" s="76" t="str">
        <f t="shared" si="8"/>
        <v/>
      </c>
      <c r="H154" s="52">
        <v>1.4899999999999999E-4</v>
      </c>
    </row>
    <row r="155" spans="2:8" ht="30" customHeight="1">
      <c r="B155" s="52">
        <f t="shared" si="6"/>
        <v>0</v>
      </c>
      <c r="C155" s="96"/>
      <c r="D155" s="75"/>
      <c r="E155" s="77"/>
      <c r="F155" s="75" t="str">
        <f t="shared" si="7"/>
        <v/>
      </c>
      <c r="G155" s="76" t="str">
        <f t="shared" si="8"/>
        <v/>
      </c>
      <c r="H155" s="52">
        <v>1.4999999999999999E-4</v>
      </c>
    </row>
    <row r="156" spans="2:8" ht="30" customHeight="1">
      <c r="B156" s="52">
        <f t="shared" si="6"/>
        <v>0</v>
      </c>
      <c r="C156" s="96"/>
      <c r="D156" s="75"/>
      <c r="E156" s="77"/>
      <c r="F156" s="75" t="str">
        <f t="shared" si="7"/>
        <v/>
      </c>
      <c r="G156" s="76" t="str">
        <f t="shared" si="8"/>
        <v/>
      </c>
      <c r="H156" s="52">
        <v>1.5100000000000001E-4</v>
      </c>
    </row>
    <row r="157" spans="2:8" ht="30" customHeight="1">
      <c r="B157" s="52">
        <f t="shared" si="6"/>
        <v>0</v>
      </c>
      <c r="C157" s="96"/>
      <c r="D157" s="75"/>
      <c r="E157" s="77"/>
      <c r="F157" s="75" t="str">
        <f t="shared" si="7"/>
        <v/>
      </c>
      <c r="G157" s="76" t="str">
        <f t="shared" si="8"/>
        <v/>
      </c>
      <c r="H157" s="52">
        <v>1.5200000000000001E-4</v>
      </c>
    </row>
    <row r="158" spans="2:8" ht="30" customHeight="1">
      <c r="B158" s="52">
        <f t="shared" si="6"/>
        <v>0</v>
      </c>
      <c r="C158" s="96"/>
      <c r="D158" s="75"/>
      <c r="E158" s="77"/>
      <c r="F158" s="75" t="str">
        <f t="shared" si="7"/>
        <v/>
      </c>
      <c r="G158" s="76" t="str">
        <f t="shared" si="8"/>
        <v/>
      </c>
      <c r="H158" s="52">
        <v>1.5300000000000001E-4</v>
      </c>
    </row>
    <row r="159" spans="2:8" ht="30" customHeight="1">
      <c r="B159" s="52">
        <f t="shared" si="6"/>
        <v>0</v>
      </c>
      <c r="C159" s="96"/>
      <c r="D159" s="75"/>
      <c r="E159" s="77"/>
      <c r="F159" s="75" t="str">
        <f t="shared" si="7"/>
        <v/>
      </c>
      <c r="G159" s="76" t="str">
        <f t="shared" si="8"/>
        <v/>
      </c>
      <c r="H159" s="52">
        <v>1.54E-4</v>
      </c>
    </row>
    <row r="160" spans="2:8" ht="30" customHeight="1">
      <c r="B160" s="52">
        <f t="shared" si="6"/>
        <v>0</v>
      </c>
      <c r="C160" s="96"/>
      <c r="D160" s="75"/>
      <c r="E160" s="77"/>
      <c r="F160" s="75" t="str">
        <f t="shared" si="7"/>
        <v/>
      </c>
      <c r="G160" s="76" t="str">
        <f t="shared" si="8"/>
        <v/>
      </c>
      <c r="H160" s="52">
        <v>1.55E-4</v>
      </c>
    </row>
    <row r="161" spans="2:8" ht="30" customHeight="1">
      <c r="B161" s="52">
        <f t="shared" si="6"/>
        <v>0</v>
      </c>
      <c r="C161" s="96"/>
      <c r="D161" s="75"/>
      <c r="E161" s="77"/>
      <c r="F161" s="75" t="str">
        <f t="shared" si="7"/>
        <v/>
      </c>
      <c r="G161" s="76" t="str">
        <f t="shared" si="8"/>
        <v/>
      </c>
      <c r="H161" s="52">
        <v>1.56E-4</v>
      </c>
    </row>
    <row r="162" spans="2:8" ht="30" customHeight="1">
      <c r="B162" s="52">
        <f t="shared" si="6"/>
        <v>0</v>
      </c>
      <c r="C162" s="96"/>
      <c r="D162" s="75"/>
      <c r="E162" s="77"/>
      <c r="F162" s="75" t="str">
        <f t="shared" si="7"/>
        <v/>
      </c>
      <c r="G162" s="76" t="str">
        <f t="shared" si="8"/>
        <v/>
      </c>
      <c r="H162" s="52">
        <v>1.5699999999999999E-4</v>
      </c>
    </row>
    <row r="163" spans="2:8" ht="30" customHeight="1">
      <c r="B163" s="52">
        <f t="shared" si="6"/>
        <v>0</v>
      </c>
      <c r="C163" s="96"/>
      <c r="D163" s="75"/>
      <c r="E163" s="77"/>
      <c r="F163" s="75" t="str">
        <f t="shared" si="7"/>
        <v/>
      </c>
      <c r="G163" s="76" t="str">
        <f t="shared" si="8"/>
        <v/>
      </c>
      <c r="H163" s="52">
        <v>1.5799999999999999E-4</v>
      </c>
    </row>
    <row r="164" spans="2:8" ht="30" customHeight="1">
      <c r="B164" s="52">
        <f t="shared" si="6"/>
        <v>0</v>
      </c>
      <c r="C164" s="96"/>
      <c r="D164" s="75"/>
      <c r="E164" s="77"/>
      <c r="F164" s="75" t="str">
        <f t="shared" si="7"/>
        <v/>
      </c>
      <c r="G164" s="76" t="str">
        <f t="shared" si="8"/>
        <v/>
      </c>
      <c r="H164" s="52">
        <v>1.5899999999999999E-4</v>
      </c>
    </row>
    <row r="165" spans="2:8" ht="30" customHeight="1">
      <c r="B165" s="52">
        <f t="shared" si="6"/>
        <v>0</v>
      </c>
      <c r="C165" s="96"/>
      <c r="D165" s="75"/>
      <c r="E165" s="77"/>
      <c r="F165" s="75" t="str">
        <f t="shared" si="7"/>
        <v/>
      </c>
      <c r="G165" s="76" t="str">
        <f t="shared" si="8"/>
        <v/>
      </c>
      <c r="H165" s="52">
        <v>1.6000000000000001E-4</v>
      </c>
    </row>
    <row r="166" spans="2:8" ht="30" customHeight="1">
      <c r="B166" s="52">
        <f t="shared" si="6"/>
        <v>0</v>
      </c>
      <c r="C166" s="96"/>
      <c r="D166" s="75"/>
      <c r="E166" s="77"/>
      <c r="F166" s="75" t="str">
        <f t="shared" si="7"/>
        <v/>
      </c>
      <c r="G166" s="76" t="str">
        <f t="shared" si="8"/>
        <v/>
      </c>
      <c r="H166" s="52">
        <v>1.6100000000000001E-4</v>
      </c>
    </row>
    <row r="167" spans="2:8" ht="30" customHeight="1">
      <c r="B167" s="52">
        <f t="shared" si="6"/>
        <v>0</v>
      </c>
      <c r="C167" s="96"/>
      <c r="D167" s="75"/>
      <c r="E167" s="77"/>
      <c r="F167" s="75" t="str">
        <f t="shared" si="7"/>
        <v/>
      </c>
      <c r="G167" s="76" t="str">
        <f t="shared" si="8"/>
        <v/>
      </c>
      <c r="H167" s="52">
        <v>1.6200000000000001E-4</v>
      </c>
    </row>
    <row r="168" spans="2:8" ht="30" customHeight="1">
      <c r="B168" s="52">
        <f t="shared" si="6"/>
        <v>0</v>
      </c>
      <c r="C168" s="96"/>
      <c r="D168" s="75"/>
      <c r="E168" s="77"/>
      <c r="F168" s="75" t="str">
        <f t="shared" si="7"/>
        <v/>
      </c>
      <c r="G168" s="76" t="str">
        <f t="shared" si="8"/>
        <v/>
      </c>
      <c r="H168" s="52">
        <v>1.63E-4</v>
      </c>
    </row>
    <row r="169" spans="2:8" ht="30" customHeight="1">
      <c r="B169" s="52">
        <f t="shared" si="6"/>
        <v>0</v>
      </c>
      <c r="C169" s="96"/>
      <c r="D169" s="75"/>
      <c r="E169" s="77"/>
      <c r="F169" s="75" t="str">
        <f t="shared" si="7"/>
        <v/>
      </c>
      <c r="G169" s="76" t="str">
        <f t="shared" si="8"/>
        <v/>
      </c>
      <c r="H169" s="52">
        <v>1.64E-4</v>
      </c>
    </row>
    <row r="170" spans="2:8" ht="30" customHeight="1">
      <c r="B170" s="52">
        <f t="shared" si="6"/>
        <v>0</v>
      </c>
      <c r="C170" s="96"/>
      <c r="D170" s="75"/>
      <c r="E170" s="77"/>
      <c r="F170" s="75" t="str">
        <f t="shared" si="7"/>
        <v/>
      </c>
      <c r="G170" s="76" t="str">
        <f t="shared" si="8"/>
        <v/>
      </c>
      <c r="H170" s="52">
        <v>1.65E-4</v>
      </c>
    </row>
    <row r="171" spans="2:8" ht="30" customHeight="1">
      <c r="B171" s="52">
        <f t="shared" si="6"/>
        <v>0</v>
      </c>
      <c r="C171" s="96"/>
      <c r="D171" s="75"/>
      <c r="E171" s="77"/>
      <c r="F171" s="75" t="str">
        <f t="shared" si="7"/>
        <v/>
      </c>
      <c r="G171" s="76" t="str">
        <f t="shared" si="8"/>
        <v/>
      </c>
      <c r="H171" s="52">
        <v>1.66E-4</v>
      </c>
    </row>
    <row r="172" spans="2:8" ht="30" customHeight="1">
      <c r="B172" s="52">
        <f t="shared" si="6"/>
        <v>0</v>
      </c>
      <c r="C172" s="96"/>
      <c r="D172" s="75"/>
      <c r="E172" s="77"/>
      <c r="F172" s="75" t="str">
        <f t="shared" si="7"/>
        <v/>
      </c>
      <c r="G172" s="76" t="str">
        <f t="shared" si="8"/>
        <v/>
      </c>
      <c r="H172" s="52">
        <v>1.6699999999999999E-4</v>
      </c>
    </row>
    <row r="173" spans="2:8" ht="30" customHeight="1">
      <c r="B173" s="52">
        <f t="shared" si="6"/>
        <v>0</v>
      </c>
      <c r="C173" s="96"/>
      <c r="D173" s="75"/>
      <c r="E173" s="77"/>
      <c r="F173" s="75" t="str">
        <f t="shared" si="7"/>
        <v/>
      </c>
      <c r="G173" s="76" t="str">
        <f t="shared" si="8"/>
        <v/>
      </c>
      <c r="H173" s="52">
        <v>1.6799999999999999E-4</v>
      </c>
    </row>
    <row r="174" spans="2:8" ht="30" customHeight="1">
      <c r="B174" s="52">
        <f t="shared" si="6"/>
        <v>0</v>
      </c>
      <c r="C174" s="96"/>
      <c r="D174" s="75"/>
      <c r="E174" s="77"/>
      <c r="F174" s="75" t="str">
        <f t="shared" si="7"/>
        <v/>
      </c>
      <c r="G174" s="76" t="str">
        <f t="shared" si="8"/>
        <v/>
      </c>
      <c r="H174" s="52">
        <v>1.6899999999999999E-4</v>
      </c>
    </row>
    <row r="175" spans="2:8" ht="30" customHeight="1">
      <c r="B175" s="52">
        <f t="shared" si="6"/>
        <v>0</v>
      </c>
      <c r="C175" s="96"/>
      <c r="D175" s="75"/>
      <c r="E175" s="77"/>
      <c r="F175" s="75" t="str">
        <f t="shared" si="7"/>
        <v/>
      </c>
      <c r="G175" s="76" t="str">
        <f t="shared" si="8"/>
        <v/>
      </c>
      <c r="H175" s="52">
        <v>1.7000000000000001E-4</v>
      </c>
    </row>
    <row r="176" spans="2:8" ht="30" customHeight="1">
      <c r="B176" s="52">
        <f t="shared" si="6"/>
        <v>0</v>
      </c>
      <c r="C176" s="96"/>
      <c r="D176" s="75"/>
      <c r="E176" s="77"/>
      <c r="F176" s="75" t="str">
        <f t="shared" si="7"/>
        <v/>
      </c>
      <c r="G176" s="76" t="str">
        <f t="shared" si="8"/>
        <v/>
      </c>
      <c r="H176" s="52">
        <v>1.7100000000000001E-4</v>
      </c>
    </row>
    <row r="177" spans="2:8" ht="30" customHeight="1">
      <c r="B177" s="52">
        <f t="shared" si="6"/>
        <v>0</v>
      </c>
      <c r="C177" s="96"/>
      <c r="D177" s="75"/>
      <c r="E177" s="77"/>
      <c r="F177" s="75" t="str">
        <f t="shared" si="7"/>
        <v/>
      </c>
      <c r="G177" s="76" t="str">
        <f t="shared" si="8"/>
        <v/>
      </c>
      <c r="H177" s="52">
        <v>1.7200000000000001E-4</v>
      </c>
    </row>
    <row r="178" spans="2:8" ht="30" customHeight="1">
      <c r="B178" s="52">
        <f t="shared" si="6"/>
        <v>0</v>
      </c>
      <c r="C178" s="96"/>
      <c r="D178" s="75"/>
      <c r="E178" s="77"/>
      <c r="F178" s="75" t="str">
        <f t="shared" si="7"/>
        <v/>
      </c>
      <c r="G178" s="76" t="str">
        <f t="shared" si="8"/>
        <v/>
      </c>
      <c r="H178" s="52">
        <v>1.73E-4</v>
      </c>
    </row>
    <row r="179" spans="2:8" ht="30" customHeight="1">
      <c r="B179" s="52">
        <f t="shared" si="6"/>
        <v>0</v>
      </c>
      <c r="C179" s="96"/>
      <c r="D179" s="75"/>
      <c r="E179" s="77"/>
      <c r="F179" s="75" t="str">
        <f t="shared" si="7"/>
        <v/>
      </c>
      <c r="G179" s="76" t="str">
        <f t="shared" si="8"/>
        <v/>
      </c>
      <c r="H179" s="52">
        <v>1.74E-4</v>
      </c>
    </row>
    <row r="180" spans="2:8" ht="30" customHeight="1">
      <c r="B180" s="52">
        <f t="shared" si="6"/>
        <v>0</v>
      </c>
      <c r="C180" s="96"/>
      <c r="D180" s="75"/>
      <c r="E180" s="77"/>
      <c r="F180" s="75" t="str">
        <f t="shared" si="7"/>
        <v/>
      </c>
      <c r="G180" s="76" t="str">
        <f t="shared" si="8"/>
        <v/>
      </c>
      <c r="H180" s="52">
        <v>1.75E-4</v>
      </c>
    </row>
    <row r="181" spans="2:8" ht="30" customHeight="1">
      <c r="B181" s="52">
        <f t="shared" si="6"/>
        <v>0</v>
      </c>
      <c r="C181" s="96"/>
      <c r="D181" s="75"/>
      <c r="E181" s="77"/>
      <c r="F181" s="75" t="str">
        <f t="shared" si="7"/>
        <v/>
      </c>
      <c r="G181" s="76" t="str">
        <f t="shared" si="8"/>
        <v/>
      </c>
      <c r="H181" s="52">
        <v>1.76E-4</v>
      </c>
    </row>
    <row r="182" spans="2:8" ht="30" customHeight="1">
      <c r="B182" s="52">
        <f t="shared" si="6"/>
        <v>0</v>
      </c>
      <c r="C182" s="96"/>
      <c r="D182" s="75"/>
      <c r="E182" s="77"/>
      <c r="F182" s="75" t="str">
        <f t="shared" si="7"/>
        <v/>
      </c>
      <c r="G182" s="76" t="str">
        <f t="shared" si="8"/>
        <v/>
      </c>
      <c r="H182" s="52">
        <v>1.7699999999999999E-4</v>
      </c>
    </row>
    <row r="183" spans="2:8" ht="30" customHeight="1">
      <c r="B183" s="52">
        <f t="shared" si="6"/>
        <v>0</v>
      </c>
      <c r="C183" s="96"/>
      <c r="D183" s="75"/>
      <c r="E183" s="77"/>
      <c r="F183" s="75" t="str">
        <f t="shared" si="7"/>
        <v/>
      </c>
      <c r="G183" s="76" t="str">
        <f t="shared" si="8"/>
        <v/>
      </c>
      <c r="H183" s="52">
        <v>1.7799999999999999E-4</v>
      </c>
    </row>
    <row r="184" spans="2:8" ht="30" customHeight="1">
      <c r="B184" s="52">
        <f t="shared" si="6"/>
        <v>0</v>
      </c>
      <c r="C184" s="96"/>
      <c r="D184" s="75"/>
      <c r="E184" s="77"/>
      <c r="F184" s="75" t="str">
        <f t="shared" si="7"/>
        <v/>
      </c>
      <c r="G184" s="76" t="str">
        <f t="shared" si="8"/>
        <v/>
      </c>
      <c r="H184" s="52">
        <v>1.7899999999999999E-4</v>
      </c>
    </row>
    <row r="185" spans="2:8" ht="30" customHeight="1">
      <c r="B185" s="52">
        <f t="shared" si="6"/>
        <v>0</v>
      </c>
      <c r="C185" s="96"/>
      <c r="D185" s="75"/>
      <c r="E185" s="77"/>
      <c r="F185" s="75" t="str">
        <f t="shared" si="7"/>
        <v/>
      </c>
      <c r="G185" s="76" t="str">
        <f t="shared" si="8"/>
        <v/>
      </c>
      <c r="H185" s="52">
        <v>1.8000000000000001E-4</v>
      </c>
    </row>
    <row r="186" spans="2:8" ht="30" customHeight="1">
      <c r="B186" s="52">
        <f t="shared" si="6"/>
        <v>0</v>
      </c>
      <c r="C186" s="96"/>
      <c r="D186" s="75"/>
      <c r="E186" s="77"/>
      <c r="F186" s="75" t="str">
        <f t="shared" si="7"/>
        <v/>
      </c>
      <c r="G186" s="76" t="str">
        <f t="shared" si="8"/>
        <v/>
      </c>
      <c r="H186" s="52">
        <v>1.8100000000000001E-4</v>
      </c>
    </row>
    <row r="187" spans="2:8" ht="30" customHeight="1">
      <c r="B187" s="52">
        <f t="shared" si="6"/>
        <v>0</v>
      </c>
      <c r="C187" s="96"/>
      <c r="D187" s="75"/>
      <c r="E187" s="77"/>
      <c r="F187" s="75" t="str">
        <f t="shared" si="7"/>
        <v/>
      </c>
      <c r="G187" s="76" t="str">
        <f t="shared" si="8"/>
        <v/>
      </c>
      <c r="H187" s="52">
        <v>1.8200000000000001E-4</v>
      </c>
    </row>
    <row r="188" spans="2:8" ht="30" customHeight="1">
      <c r="B188" s="52">
        <f t="shared" si="6"/>
        <v>0</v>
      </c>
      <c r="C188" s="96"/>
      <c r="D188" s="75"/>
      <c r="E188" s="77"/>
      <c r="F188" s="75" t="str">
        <f t="shared" si="7"/>
        <v/>
      </c>
      <c r="G188" s="76" t="str">
        <f t="shared" si="8"/>
        <v/>
      </c>
      <c r="H188" s="52">
        <v>1.83E-4</v>
      </c>
    </row>
    <row r="189" spans="2:8" ht="30" customHeight="1">
      <c r="B189" s="52">
        <f t="shared" si="6"/>
        <v>0</v>
      </c>
      <c r="C189" s="96"/>
      <c r="D189" s="75"/>
      <c r="E189" s="77"/>
      <c r="F189" s="75" t="str">
        <f t="shared" si="7"/>
        <v/>
      </c>
      <c r="G189" s="76" t="str">
        <f t="shared" si="8"/>
        <v/>
      </c>
      <c r="H189" s="52">
        <v>1.84E-4</v>
      </c>
    </row>
    <row r="190" spans="2:8" ht="30" customHeight="1">
      <c r="B190" s="52">
        <f t="shared" si="6"/>
        <v>0</v>
      </c>
      <c r="C190" s="96"/>
      <c r="D190" s="75"/>
      <c r="E190" s="77"/>
      <c r="F190" s="75" t="str">
        <f t="shared" si="7"/>
        <v/>
      </c>
      <c r="G190" s="76" t="str">
        <f t="shared" si="8"/>
        <v/>
      </c>
      <c r="H190" s="52">
        <v>1.85E-4</v>
      </c>
    </row>
    <row r="191" spans="2:8" ht="30" customHeight="1">
      <c r="B191" s="52">
        <f t="shared" si="6"/>
        <v>0</v>
      </c>
      <c r="C191" s="96"/>
      <c r="D191" s="75"/>
      <c r="E191" s="77"/>
      <c r="F191" s="75" t="str">
        <f t="shared" si="7"/>
        <v/>
      </c>
      <c r="G191" s="76" t="str">
        <f t="shared" si="8"/>
        <v/>
      </c>
      <c r="H191" s="52">
        <v>1.8599999999999999E-4</v>
      </c>
    </row>
    <row r="192" spans="2:8" ht="30" customHeight="1">
      <c r="B192" s="52">
        <f t="shared" si="6"/>
        <v>0</v>
      </c>
      <c r="C192" s="96"/>
      <c r="D192" s="75"/>
      <c r="E192" s="77"/>
      <c r="F192" s="75" t="str">
        <f t="shared" si="7"/>
        <v/>
      </c>
      <c r="G192" s="76" t="str">
        <f t="shared" si="8"/>
        <v/>
      </c>
      <c r="H192" s="52">
        <v>1.8699999999999999E-4</v>
      </c>
    </row>
    <row r="193" spans="2:8" ht="30" customHeight="1">
      <c r="B193" s="52">
        <f t="shared" si="6"/>
        <v>0</v>
      </c>
      <c r="C193" s="96"/>
      <c r="D193" s="75"/>
      <c r="E193" s="77"/>
      <c r="F193" s="75" t="str">
        <f t="shared" si="7"/>
        <v/>
      </c>
      <c r="G193" s="76" t="str">
        <f t="shared" si="8"/>
        <v/>
      </c>
      <c r="H193" s="52">
        <v>1.8799999999999999E-4</v>
      </c>
    </row>
    <row r="194" spans="2:8" ht="30" customHeight="1">
      <c r="B194" s="52">
        <f t="shared" si="6"/>
        <v>0</v>
      </c>
      <c r="C194" s="96"/>
      <c r="D194" s="75"/>
      <c r="E194" s="77"/>
      <c r="F194" s="75" t="str">
        <f t="shared" si="7"/>
        <v/>
      </c>
      <c r="G194" s="76" t="str">
        <f t="shared" si="8"/>
        <v/>
      </c>
      <c r="H194" s="52">
        <v>1.8900000000000001E-4</v>
      </c>
    </row>
    <row r="195" spans="2:8" ht="30" customHeight="1">
      <c r="B195" s="52">
        <f t="shared" si="6"/>
        <v>0</v>
      </c>
      <c r="C195" s="96"/>
      <c r="D195" s="75"/>
      <c r="E195" s="77"/>
      <c r="F195" s="75" t="str">
        <f t="shared" si="7"/>
        <v/>
      </c>
      <c r="G195" s="76" t="str">
        <f t="shared" si="8"/>
        <v/>
      </c>
      <c r="H195" s="52">
        <v>1.9000000000000001E-4</v>
      </c>
    </row>
    <row r="196" spans="2:8" ht="30" customHeight="1">
      <c r="B196" s="52">
        <f t="shared" si="6"/>
        <v>0</v>
      </c>
      <c r="C196" s="96"/>
      <c r="D196" s="75"/>
      <c r="E196" s="77"/>
      <c r="F196" s="75" t="str">
        <f t="shared" si="7"/>
        <v/>
      </c>
      <c r="G196" s="76" t="str">
        <f t="shared" si="8"/>
        <v/>
      </c>
      <c r="H196" s="52">
        <v>1.9100000000000001E-4</v>
      </c>
    </row>
    <row r="197" spans="2:8" ht="30" customHeight="1">
      <c r="B197" s="52">
        <f t="shared" si="6"/>
        <v>0</v>
      </c>
      <c r="C197" s="96"/>
      <c r="D197" s="75"/>
      <c r="E197" s="77"/>
      <c r="F197" s="75" t="str">
        <f t="shared" si="7"/>
        <v/>
      </c>
      <c r="G197" s="76" t="str">
        <f t="shared" si="8"/>
        <v/>
      </c>
      <c r="H197" s="52">
        <v>1.92E-4</v>
      </c>
    </row>
    <row r="198" spans="2:8" ht="30" customHeight="1">
      <c r="B198" s="52">
        <f t="shared" si="6"/>
        <v>0</v>
      </c>
      <c r="C198" s="96"/>
      <c r="D198" s="75"/>
      <c r="E198" s="77"/>
      <c r="F198" s="75" t="str">
        <f t="shared" si="7"/>
        <v/>
      </c>
      <c r="G198" s="76" t="str">
        <f t="shared" si="8"/>
        <v/>
      </c>
      <c r="H198" s="52">
        <v>1.93E-4</v>
      </c>
    </row>
    <row r="199" spans="2:8" ht="30" customHeight="1">
      <c r="B199" s="52">
        <f t="shared" ref="B199:B262" si="9">IFERROR(F199+H199,0)</f>
        <v>0</v>
      </c>
      <c r="C199" s="96"/>
      <c r="D199" s="75"/>
      <c r="E199" s="77"/>
      <c r="F199" s="75" t="str">
        <f t="shared" ref="F199:F262" si="10">IF(C199="","",D199*E199)</f>
        <v/>
      </c>
      <c r="G199" s="76" t="str">
        <f t="shared" ref="G199:G262" si="11">IF(C199="","",F199/SUM($F$6:$F$505))</f>
        <v/>
      </c>
      <c r="H199" s="52">
        <v>1.94E-4</v>
      </c>
    </row>
    <row r="200" spans="2:8" ht="30" customHeight="1">
      <c r="B200" s="52">
        <f t="shared" si="9"/>
        <v>0</v>
      </c>
      <c r="C200" s="96"/>
      <c r="D200" s="75"/>
      <c r="E200" s="77"/>
      <c r="F200" s="75" t="str">
        <f t="shared" si="10"/>
        <v/>
      </c>
      <c r="G200" s="76" t="str">
        <f t="shared" si="11"/>
        <v/>
      </c>
      <c r="H200" s="52">
        <v>1.95E-4</v>
      </c>
    </row>
    <row r="201" spans="2:8" ht="30" customHeight="1">
      <c r="B201" s="52">
        <f t="shared" si="9"/>
        <v>0</v>
      </c>
      <c r="C201" s="96"/>
      <c r="D201" s="75"/>
      <c r="E201" s="77"/>
      <c r="F201" s="75" t="str">
        <f t="shared" si="10"/>
        <v/>
      </c>
      <c r="G201" s="76" t="str">
        <f t="shared" si="11"/>
        <v/>
      </c>
      <c r="H201" s="52">
        <v>1.9599999999999999E-4</v>
      </c>
    </row>
    <row r="202" spans="2:8" ht="30" customHeight="1">
      <c r="B202" s="52">
        <f t="shared" si="9"/>
        <v>0</v>
      </c>
      <c r="C202" s="96"/>
      <c r="D202" s="75"/>
      <c r="E202" s="77"/>
      <c r="F202" s="75" t="str">
        <f t="shared" si="10"/>
        <v/>
      </c>
      <c r="G202" s="76" t="str">
        <f t="shared" si="11"/>
        <v/>
      </c>
      <c r="H202" s="52">
        <v>1.9699999999999999E-4</v>
      </c>
    </row>
    <row r="203" spans="2:8" ht="30" customHeight="1">
      <c r="B203" s="52">
        <f t="shared" si="9"/>
        <v>0</v>
      </c>
      <c r="C203" s="96"/>
      <c r="D203" s="75"/>
      <c r="E203" s="77"/>
      <c r="F203" s="75" t="str">
        <f t="shared" si="10"/>
        <v/>
      </c>
      <c r="G203" s="76" t="str">
        <f t="shared" si="11"/>
        <v/>
      </c>
      <c r="H203" s="52">
        <v>1.9799999999999999E-4</v>
      </c>
    </row>
    <row r="204" spans="2:8" ht="30" customHeight="1">
      <c r="B204" s="52">
        <f t="shared" si="9"/>
        <v>0</v>
      </c>
      <c r="C204" s="96"/>
      <c r="D204" s="75"/>
      <c r="E204" s="77"/>
      <c r="F204" s="75" t="str">
        <f t="shared" si="10"/>
        <v/>
      </c>
      <c r="G204" s="76" t="str">
        <f t="shared" si="11"/>
        <v/>
      </c>
      <c r="H204" s="52">
        <v>1.9900000000000001E-4</v>
      </c>
    </row>
    <row r="205" spans="2:8" ht="30" customHeight="1">
      <c r="B205" s="52">
        <f t="shared" si="9"/>
        <v>0</v>
      </c>
      <c r="C205" s="96"/>
      <c r="D205" s="75"/>
      <c r="E205" s="77"/>
      <c r="F205" s="75" t="str">
        <f t="shared" si="10"/>
        <v/>
      </c>
      <c r="G205" s="76" t="str">
        <f t="shared" si="11"/>
        <v/>
      </c>
      <c r="H205" s="52">
        <v>2.0000000000000001E-4</v>
      </c>
    </row>
    <row r="206" spans="2:8" ht="30" customHeight="1">
      <c r="B206" s="52">
        <f t="shared" si="9"/>
        <v>0</v>
      </c>
      <c r="C206" s="96"/>
      <c r="D206" s="75"/>
      <c r="E206" s="77"/>
      <c r="F206" s="75" t="str">
        <f t="shared" si="10"/>
        <v/>
      </c>
      <c r="G206" s="76" t="str">
        <f t="shared" si="11"/>
        <v/>
      </c>
      <c r="H206" s="52">
        <v>2.0100000000000001E-4</v>
      </c>
    </row>
    <row r="207" spans="2:8" ht="30" customHeight="1">
      <c r="B207" s="52">
        <f t="shared" si="9"/>
        <v>0</v>
      </c>
      <c r="C207" s="96"/>
      <c r="D207" s="75"/>
      <c r="E207" s="77"/>
      <c r="F207" s="75" t="str">
        <f t="shared" si="10"/>
        <v/>
      </c>
      <c r="G207" s="76" t="str">
        <f t="shared" si="11"/>
        <v/>
      </c>
      <c r="H207" s="52">
        <v>2.02E-4</v>
      </c>
    </row>
    <row r="208" spans="2:8" ht="30" customHeight="1">
      <c r="B208" s="52">
        <f t="shared" si="9"/>
        <v>0</v>
      </c>
      <c r="C208" s="96"/>
      <c r="D208" s="75"/>
      <c r="E208" s="77"/>
      <c r="F208" s="75" t="str">
        <f t="shared" si="10"/>
        <v/>
      </c>
      <c r="G208" s="76" t="str">
        <f t="shared" si="11"/>
        <v/>
      </c>
      <c r="H208" s="52">
        <v>2.03E-4</v>
      </c>
    </row>
    <row r="209" spans="2:8" ht="30" customHeight="1">
      <c r="B209" s="52">
        <f t="shared" si="9"/>
        <v>0</v>
      </c>
      <c r="C209" s="96"/>
      <c r="D209" s="75"/>
      <c r="E209" s="77"/>
      <c r="F209" s="75" t="str">
        <f t="shared" si="10"/>
        <v/>
      </c>
      <c r="G209" s="76" t="str">
        <f t="shared" si="11"/>
        <v/>
      </c>
      <c r="H209" s="52">
        <v>2.04E-4</v>
      </c>
    </row>
    <row r="210" spans="2:8" ht="30" customHeight="1">
      <c r="B210" s="52">
        <f t="shared" si="9"/>
        <v>0</v>
      </c>
      <c r="C210" s="96"/>
      <c r="D210" s="75"/>
      <c r="E210" s="77"/>
      <c r="F210" s="75" t="str">
        <f t="shared" si="10"/>
        <v/>
      </c>
      <c r="G210" s="76" t="str">
        <f t="shared" si="11"/>
        <v/>
      </c>
      <c r="H210" s="52">
        <v>2.05E-4</v>
      </c>
    </row>
    <row r="211" spans="2:8" ht="30" customHeight="1">
      <c r="B211" s="52">
        <f t="shared" si="9"/>
        <v>0</v>
      </c>
      <c r="C211" s="96"/>
      <c r="D211" s="75"/>
      <c r="E211" s="77"/>
      <c r="F211" s="75" t="str">
        <f t="shared" si="10"/>
        <v/>
      </c>
      <c r="G211" s="76" t="str">
        <f t="shared" si="11"/>
        <v/>
      </c>
      <c r="H211" s="52">
        <v>2.0599999999999999E-4</v>
      </c>
    </row>
    <row r="212" spans="2:8" ht="30" customHeight="1">
      <c r="B212" s="52">
        <f t="shared" si="9"/>
        <v>0</v>
      </c>
      <c r="C212" s="96"/>
      <c r="D212" s="75"/>
      <c r="E212" s="77"/>
      <c r="F212" s="75" t="str">
        <f t="shared" si="10"/>
        <v/>
      </c>
      <c r="G212" s="76" t="str">
        <f t="shared" si="11"/>
        <v/>
      </c>
      <c r="H212" s="52">
        <v>2.0699999999999999E-4</v>
      </c>
    </row>
    <row r="213" spans="2:8" ht="30" customHeight="1">
      <c r="B213" s="52">
        <f t="shared" si="9"/>
        <v>0</v>
      </c>
      <c r="C213" s="96"/>
      <c r="D213" s="75"/>
      <c r="E213" s="77"/>
      <c r="F213" s="75" t="str">
        <f t="shared" si="10"/>
        <v/>
      </c>
      <c r="G213" s="76" t="str">
        <f t="shared" si="11"/>
        <v/>
      </c>
      <c r="H213" s="52">
        <v>2.0799999999999999E-4</v>
      </c>
    </row>
    <row r="214" spans="2:8" ht="30" customHeight="1">
      <c r="B214" s="52">
        <f t="shared" si="9"/>
        <v>0</v>
      </c>
      <c r="C214" s="96"/>
      <c r="D214" s="75"/>
      <c r="E214" s="77"/>
      <c r="F214" s="75" t="str">
        <f t="shared" si="10"/>
        <v/>
      </c>
      <c r="G214" s="76" t="str">
        <f t="shared" si="11"/>
        <v/>
      </c>
      <c r="H214" s="52">
        <v>2.0900000000000001E-4</v>
      </c>
    </row>
    <row r="215" spans="2:8" ht="30" customHeight="1">
      <c r="B215" s="52">
        <f t="shared" si="9"/>
        <v>0</v>
      </c>
      <c r="C215" s="96"/>
      <c r="D215" s="75"/>
      <c r="E215" s="77"/>
      <c r="F215" s="75" t="str">
        <f t="shared" si="10"/>
        <v/>
      </c>
      <c r="G215" s="76" t="str">
        <f t="shared" si="11"/>
        <v/>
      </c>
      <c r="H215" s="52">
        <v>2.1000000000000001E-4</v>
      </c>
    </row>
    <row r="216" spans="2:8" ht="30" customHeight="1">
      <c r="B216" s="52">
        <f t="shared" si="9"/>
        <v>0</v>
      </c>
      <c r="C216" s="96"/>
      <c r="D216" s="75"/>
      <c r="E216" s="77"/>
      <c r="F216" s="75" t="str">
        <f t="shared" si="10"/>
        <v/>
      </c>
      <c r="G216" s="76" t="str">
        <f t="shared" si="11"/>
        <v/>
      </c>
      <c r="H216" s="52">
        <v>2.1100000000000001E-4</v>
      </c>
    </row>
    <row r="217" spans="2:8" ht="30" customHeight="1">
      <c r="B217" s="52">
        <f t="shared" si="9"/>
        <v>0</v>
      </c>
      <c r="C217" s="96"/>
      <c r="D217" s="75"/>
      <c r="E217" s="77"/>
      <c r="F217" s="75" t="str">
        <f t="shared" si="10"/>
        <v/>
      </c>
      <c r="G217" s="76" t="str">
        <f t="shared" si="11"/>
        <v/>
      </c>
      <c r="H217" s="52">
        <v>2.12E-4</v>
      </c>
    </row>
    <row r="218" spans="2:8" ht="30" customHeight="1">
      <c r="B218" s="52">
        <f t="shared" si="9"/>
        <v>0</v>
      </c>
      <c r="C218" s="96"/>
      <c r="D218" s="75"/>
      <c r="E218" s="77"/>
      <c r="F218" s="75" t="str">
        <f t="shared" si="10"/>
        <v/>
      </c>
      <c r="G218" s="76" t="str">
        <f t="shared" si="11"/>
        <v/>
      </c>
      <c r="H218" s="52">
        <v>2.13E-4</v>
      </c>
    </row>
    <row r="219" spans="2:8" ht="30" customHeight="1">
      <c r="B219" s="52">
        <f t="shared" si="9"/>
        <v>0</v>
      </c>
      <c r="C219" s="96"/>
      <c r="D219" s="75"/>
      <c r="E219" s="77"/>
      <c r="F219" s="75" t="str">
        <f t="shared" si="10"/>
        <v/>
      </c>
      <c r="G219" s="76" t="str">
        <f t="shared" si="11"/>
        <v/>
      </c>
      <c r="H219" s="52">
        <v>2.14E-4</v>
      </c>
    </row>
    <row r="220" spans="2:8" ht="30" customHeight="1">
      <c r="B220" s="52">
        <f t="shared" si="9"/>
        <v>0</v>
      </c>
      <c r="C220" s="96"/>
      <c r="D220" s="75"/>
      <c r="E220" s="77"/>
      <c r="F220" s="75" t="str">
        <f t="shared" si="10"/>
        <v/>
      </c>
      <c r="G220" s="76" t="str">
        <f t="shared" si="11"/>
        <v/>
      </c>
      <c r="H220" s="52">
        <v>2.1499999999999999E-4</v>
      </c>
    </row>
    <row r="221" spans="2:8" ht="30" customHeight="1">
      <c r="B221" s="52">
        <f t="shared" si="9"/>
        <v>0</v>
      </c>
      <c r="C221" s="96"/>
      <c r="D221" s="75"/>
      <c r="E221" s="77"/>
      <c r="F221" s="75" t="str">
        <f t="shared" si="10"/>
        <v/>
      </c>
      <c r="G221" s="76" t="str">
        <f t="shared" si="11"/>
        <v/>
      </c>
      <c r="H221" s="52">
        <v>2.1599999999999999E-4</v>
      </c>
    </row>
    <row r="222" spans="2:8" ht="30" customHeight="1">
      <c r="B222" s="52">
        <f t="shared" si="9"/>
        <v>0</v>
      </c>
      <c r="C222" s="96"/>
      <c r="D222" s="75"/>
      <c r="E222" s="77"/>
      <c r="F222" s="75" t="str">
        <f t="shared" si="10"/>
        <v/>
      </c>
      <c r="G222" s="76" t="str">
        <f t="shared" si="11"/>
        <v/>
      </c>
      <c r="H222" s="52">
        <v>2.1699999999999999E-4</v>
      </c>
    </row>
    <row r="223" spans="2:8" ht="30" customHeight="1">
      <c r="B223" s="52">
        <f t="shared" si="9"/>
        <v>0</v>
      </c>
      <c r="C223" s="96"/>
      <c r="D223" s="75"/>
      <c r="E223" s="77"/>
      <c r="F223" s="75" t="str">
        <f t="shared" si="10"/>
        <v/>
      </c>
      <c r="G223" s="76" t="str">
        <f t="shared" si="11"/>
        <v/>
      </c>
      <c r="H223" s="52">
        <v>2.1800000000000001E-4</v>
      </c>
    </row>
    <row r="224" spans="2:8" ht="30" customHeight="1">
      <c r="B224" s="52">
        <f t="shared" si="9"/>
        <v>0</v>
      </c>
      <c r="C224" s="96"/>
      <c r="D224" s="75"/>
      <c r="E224" s="77"/>
      <c r="F224" s="75" t="str">
        <f t="shared" si="10"/>
        <v/>
      </c>
      <c r="G224" s="76" t="str">
        <f t="shared" si="11"/>
        <v/>
      </c>
      <c r="H224" s="52">
        <v>2.1900000000000001E-4</v>
      </c>
    </row>
    <row r="225" spans="2:8" ht="30" customHeight="1">
      <c r="B225" s="52">
        <f t="shared" si="9"/>
        <v>0</v>
      </c>
      <c r="C225" s="96"/>
      <c r="D225" s="75"/>
      <c r="E225" s="77"/>
      <c r="F225" s="75" t="str">
        <f t="shared" si="10"/>
        <v/>
      </c>
      <c r="G225" s="76" t="str">
        <f t="shared" si="11"/>
        <v/>
      </c>
      <c r="H225" s="52">
        <v>2.2000000000000001E-4</v>
      </c>
    </row>
    <row r="226" spans="2:8" ht="30" customHeight="1">
      <c r="B226" s="52">
        <f t="shared" si="9"/>
        <v>0</v>
      </c>
      <c r="C226" s="96"/>
      <c r="D226" s="75"/>
      <c r="E226" s="77"/>
      <c r="F226" s="75" t="str">
        <f t="shared" si="10"/>
        <v/>
      </c>
      <c r="G226" s="76" t="str">
        <f t="shared" si="11"/>
        <v/>
      </c>
      <c r="H226" s="52">
        <v>2.2100000000000001E-4</v>
      </c>
    </row>
    <row r="227" spans="2:8" ht="30" customHeight="1">
      <c r="B227" s="52">
        <f t="shared" si="9"/>
        <v>0</v>
      </c>
      <c r="C227" s="96"/>
      <c r="D227" s="75"/>
      <c r="E227" s="77"/>
      <c r="F227" s="75" t="str">
        <f t="shared" si="10"/>
        <v/>
      </c>
      <c r="G227" s="76" t="str">
        <f t="shared" si="11"/>
        <v/>
      </c>
      <c r="H227" s="52">
        <v>2.22E-4</v>
      </c>
    </row>
    <row r="228" spans="2:8" ht="30" customHeight="1">
      <c r="B228" s="52">
        <f t="shared" si="9"/>
        <v>0</v>
      </c>
      <c r="C228" s="96"/>
      <c r="D228" s="75"/>
      <c r="E228" s="77"/>
      <c r="F228" s="75" t="str">
        <f t="shared" si="10"/>
        <v/>
      </c>
      <c r="G228" s="76" t="str">
        <f t="shared" si="11"/>
        <v/>
      </c>
      <c r="H228" s="52">
        <v>2.23E-4</v>
      </c>
    </row>
    <row r="229" spans="2:8" ht="30" customHeight="1">
      <c r="B229" s="52">
        <f t="shared" si="9"/>
        <v>0</v>
      </c>
      <c r="C229" s="96"/>
      <c r="D229" s="75"/>
      <c r="E229" s="77"/>
      <c r="F229" s="75" t="str">
        <f t="shared" si="10"/>
        <v/>
      </c>
      <c r="G229" s="76" t="str">
        <f t="shared" si="11"/>
        <v/>
      </c>
      <c r="H229" s="52">
        <v>2.24E-4</v>
      </c>
    </row>
    <row r="230" spans="2:8" ht="30" customHeight="1">
      <c r="B230" s="52">
        <f t="shared" si="9"/>
        <v>0</v>
      </c>
      <c r="C230" s="96"/>
      <c r="D230" s="75"/>
      <c r="E230" s="77"/>
      <c r="F230" s="75" t="str">
        <f t="shared" si="10"/>
        <v/>
      </c>
      <c r="G230" s="76" t="str">
        <f t="shared" si="11"/>
        <v/>
      </c>
      <c r="H230" s="52">
        <v>2.2499999999999999E-4</v>
      </c>
    </row>
    <row r="231" spans="2:8" ht="30" customHeight="1">
      <c r="B231" s="52">
        <f t="shared" si="9"/>
        <v>0</v>
      </c>
      <c r="C231" s="96"/>
      <c r="D231" s="75"/>
      <c r="E231" s="77"/>
      <c r="F231" s="75" t="str">
        <f t="shared" si="10"/>
        <v/>
      </c>
      <c r="G231" s="76" t="str">
        <f t="shared" si="11"/>
        <v/>
      </c>
      <c r="H231" s="52">
        <v>2.2599999999999999E-4</v>
      </c>
    </row>
    <row r="232" spans="2:8" ht="30" customHeight="1">
      <c r="B232" s="52">
        <f t="shared" si="9"/>
        <v>0</v>
      </c>
      <c r="C232" s="96"/>
      <c r="D232" s="75"/>
      <c r="E232" s="77"/>
      <c r="F232" s="75" t="str">
        <f t="shared" si="10"/>
        <v/>
      </c>
      <c r="G232" s="76" t="str">
        <f t="shared" si="11"/>
        <v/>
      </c>
      <c r="H232" s="52">
        <v>2.2699999999999999E-4</v>
      </c>
    </row>
    <row r="233" spans="2:8" ht="30" customHeight="1">
      <c r="B233" s="52">
        <f t="shared" si="9"/>
        <v>0</v>
      </c>
      <c r="C233" s="96"/>
      <c r="D233" s="75"/>
      <c r="E233" s="77"/>
      <c r="F233" s="75" t="str">
        <f t="shared" si="10"/>
        <v/>
      </c>
      <c r="G233" s="76" t="str">
        <f t="shared" si="11"/>
        <v/>
      </c>
      <c r="H233" s="52">
        <v>2.2800000000000001E-4</v>
      </c>
    </row>
    <row r="234" spans="2:8" ht="30" customHeight="1">
      <c r="B234" s="52">
        <f t="shared" si="9"/>
        <v>0</v>
      </c>
      <c r="C234" s="96"/>
      <c r="D234" s="75"/>
      <c r="E234" s="77"/>
      <c r="F234" s="75" t="str">
        <f t="shared" si="10"/>
        <v/>
      </c>
      <c r="G234" s="76" t="str">
        <f t="shared" si="11"/>
        <v/>
      </c>
      <c r="H234" s="52">
        <v>2.2900000000000001E-4</v>
      </c>
    </row>
    <row r="235" spans="2:8" ht="30" customHeight="1">
      <c r="B235" s="52">
        <f t="shared" si="9"/>
        <v>0</v>
      </c>
      <c r="C235" s="96"/>
      <c r="D235" s="75"/>
      <c r="E235" s="77"/>
      <c r="F235" s="75" t="str">
        <f t="shared" si="10"/>
        <v/>
      </c>
      <c r="G235" s="76" t="str">
        <f t="shared" si="11"/>
        <v/>
      </c>
      <c r="H235" s="52">
        <v>2.3000000000000001E-4</v>
      </c>
    </row>
    <row r="236" spans="2:8" ht="30" customHeight="1">
      <c r="B236" s="52">
        <f t="shared" si="9"/>
        <v>0</v>
      </c>
      <c r="C236" s="96"/>
      <c r="D236" s="75"/>
      <c r="E236" s="77"/>
      <c r="F236" s="75" t="str">
        <f t="shared" si="10"/>
        <v/>
      </c>
      <c r="G236" s="76" t="str">
        <f t="shared" si="11"/>
        <v/>
      </c>
      <c r="H236" s="52">
        <v>2.31E-4</v>
      </c>
    </row>
    <row r="237" spans="2:8" ht="30" customHeight="1">
      <c r="B237" s="52">
        <f t="shared" si="9"/>
        <v>0</v>
      </c>
      <c r="C237" s="96"/>
      <c r="D237" s="75"/>
      <c r="E237" s="77"/>
      <c r="F237" s="75" t="str">
        <f t="shared" si="10"/>
        <v/>
      </c>
      <c r="G237" s="76" t="str">
        <f t="shared" si="11"/>
        <v/>
      </c>
      <c r="H237" s="52">
        <v>2.32E-4</v>
      </c>
    </row>
    <row r="238" spans="2:8" ht="30" customHeight="1">
      <c r="B238" s="52">
        <f t="shared" si="9"/>
        <v>0</v>
      </c>
      <c r="C238" s="96"/>
      <c r="D238" s="75"/>
      <c r="E238" s="77"/>
      <c r="F238" s="75" t="str">
        <f t="shared" si="10"/>
        <v/>
      </c>
      <c r="G238" s="76" t="str">
        <f t="shared" si="11"/>
        <v/>
      </c>
      <c r="H238" s="52">
        <v>2.33E-4</v>
      </c>
    </row>
    <row r="239" spans="2:8" ht="30" customHeight="1">
      <c r="B239" s="52">
        <f t="shared" si="9"/>
        <v>0</v>
      </c>
      <c r="C239" s="96"/>
      <c r="D239" s="75"/>
      <c r="E239" s="77"/>
      <c r="F239" s="75" t="str">
        <f t="shared" si="10"/>
        <v/>
      </c>
      <c r="G239" s="76" t="str">
        <f t="shared" si="11"/>
        <v/>
      </c>
      <c r="H239" s="52">
        <v>2.34E-4</v>
      </c>
    </row>
    <row r="240" spans="2:8" ht="30" customHeight="1">
      <c r="B240" s="52">
        <f t="shared" si="9"/>
        <v>0</v>
      </c>
      <c r="C240" s="96"/>
      <c r="D240" s="75"/>
      <c r="E240" s="77"/>
      <c r="F240" s="75" t="str">
        <f t="shared" si="10"/>
        <v/>
      </c>
      <c r="G240" s="76" t="str">
        <f t="shared" si="11"/>
        <v/>
      </c>
      <c r="H240" s="52">
        <v>2.3499999999999999E-4</v>
      </c>
    </row>
    <row r="241" spans="2:8" ht="30" customHeight="1">
      <c r="B241" s="52">
        <f t="shared" si="9"/>
        <v>0</v>
      </c>
      <c r="C241" s="96"/>
      <c r="D241" s="75"/>
      <c r="E241" s="77"/>
      <c r="F241" s="75" t="str">
        <f t="shared" si="10"/>
        <v/>
      </c>
      <c r="G241" s="76" t="str">
        <f t="shared" si="11"/>
        <v/>
      </c>
      <c r="H241" s="52">
        <v>2.3599999999999999E-4</v>
      </c>
    </row>
    <row r="242" spans="2:8" ht="30" customHeight="1">
      <c r="B242" s="52">
        <f t="shared" si="9"/>
        <v>0</v>
      </c>
      <c r="C242" s="96"/>
      <c r="D242" s="75"/>
      <c r="E242" s="77"/>
      <c r="F242" s="75" t="str">
        <f t="shared" si="10"/>
        <v/>
      </c>
      <c r="G242" s="76" t="str">
        <f t="shared" si="11"/>
        <v/>
      </c>
      <c r="H242" s="52">
        <v>2.3699999999999999E-4</v>
      </c>
    </row>
    <row r="243" spans="2:8" ht="30" customHeight="1">
      <c r="B243" s="52">
        <f t="shared" si="9"/>
        <v>0</v>
      </c>
      <c r="C243" s="96"/>
      <c r="D243" s="75"/>
      <c r="E243" s="77"/>
      <c r="F243" s="75" t="str">
        <f t="shared" si="10"/>
        <v/>
      </c>
      <c r="G243" s="76" t="str">
        <f t="shared" si="11"/>
        <v/>
      </c>
      <c r="H243" s="52">
        <v>2.3800000000000001E-4</v>
      </c>
    </row>
    <row r="244" spans="2:8" ht="30" customHeight="1">
      <c r="B244" s="52">
        <f t="shared" si="9"/>
        <v>0</v>
      </c>
      <c r="C244" s="96"/>
      <c r="D244" s="75"/>
      <c r="E244" s="77"/>
      <c r="F244" s="75" t="str">
        <f t="shared" si="10"/>
        <v/>
      </c>
      <c r="G244" s="76" t="str">
        <f t="shared" si="11"/>
        <v/>
      </c>
      <c r="H244" s="52">
        <v>2.3900000000000001E-4</v>
      </c>
    </row>
    <row r="245" spans="2:8" ht="30" customHeight="1">
      <c r="B245" s="52">
        <f t="shared" si="9"/>
        <v>0</v>
      </c>
      <c r="C245" s="96"/>
      <c r="D245" s="75"/>
      <c r="E245" s="77"/>
      <c r="F245" s="75" t="str">
        <f t="shared" si="10"/>
        <v/>
      </c>
      <c r="G245" s="76" t="str">
        <f t="shared" si="11"/>
        <v/>
      </c>
      <c r="H245" s="52">
        <v>2.4000000000000001E-4</v>
      </c>
    </row>
    <row r="246" spans="2:8" ht="30" customHeight="1">
      <c r="B246" s="52">
        <f t="shared" si="9"/>
        <v>0</v>
      </c>
      <c r="C246" s="96"/>
      <c r="D246" s="75"/>
      <c r="E246" s="77"/>
      <c r="F246" s="75" t="str">
        <f t="shared" si="10"/>
        <v/>
      </c>
      <c r="G246" s="76" t="str">
        <f t="shared" si="11"/>
        <v/>
      </c>
      <c r="H246" s="52">
        <v>2.41E-4</v>
      </c>
    </row>
    <row r="247" spans="2:8" ht="30" customHeight="1">
      <c r="B247" s="52">
        <f t="shared" si="9"/>
        <v>0</v>
      </c>
      <c r="C247" s="96"/>
      <c r="D247" s="75"/>
      <c r="E247" s="77"/>
      <c r="F247" s="75" t="str">
        <f t="shared" si="10"/>
        <v/>
      </c>
      <c r="G247" s="76" t="str">
        <f t="shared" si="11"/>
        <v/>
      </c>
      <c r="H247" s="52">
        <v>2.42E-4</v>
      </c>
    </row>
    <row r="248" spans="2:8" ht="30" customHeight="1">
      <c r="B248" s="52">
        <f t="shared" si="9"/>
        <v>0</v>
      </c>
      <c r="C248" s="96"/>
      <c r="D248" s="75"/>
      <c r="E248" s="77"/>
      <c r="F248" s="75" t="str">
        <f t="shared" si="10"/>
        <v/>
      </c>
      <c r="G248" s="76" t="str">
        <f t="shared" si="11"/>
        <v/>
      </c>
      <c r="H248" s="52">
        <v>2.43E-4</v>
      </c>
    </row>
    <row r="249" spans="2:8" ht="30" customHeight="1">
      <c r="B249" s="52">
        <f t="shared" si="9"/>
        <v>0</v>
      </c>
      <c r="C249" s="96"/>
      <c r="D249" s="75"/>
      <c r="E249" s="77"/>
      <c r="F249" s="75" t="str">
        <f t="shared" si="10"/>
        <v/>
      </c>
      <c r="G249" s="76" t="str">
        <f t="shared" si="11"/>
        <v/>
      </c>
      <c r="H249" s="52">
        <v>2.4399999999999999E-4</v>
      </c>
    </row>
    <row r="250" spans="2:8" ht="30" customHeight="1">
      <c r="B250" s="52">
        <f t="shared" si="9"/>
        <v>0</v>
      </c>
      <c r="C250" s="96"/>
      <c r="D250" s="75"/>
      <c r="E250" s="77"/>
      <c r="F250" s="75" t="str">
        <f t="shared" si="10"/>
        <v/>
      </c>
      <c r="G250" s="76" t="str">
        <f t="shared" si="11"/>
        <v/>
      </c>
      <c r="H250" s="52">
        <v>2.4499999999999999E-4</v>
      </c>
    </row>
    <row r="251" spans="2:8" ht="30" customHeight="1">
      <c r="B251" s="52">
        <f t="shared" si="9"/>
        <v>0</v>
      </c>
      <c r="C251" s="96"/>
      <c r="D251" s="75"/>
      <c r="E251" s="77"/>
      <c r="F251" s="75" t="str">
        <f t="shared" si="10"/>
        <v/>
      </c>
      <c r="G251" s="76" t="str">
        <f t="shared" si="11"/>
        <v/>
      </c>
      <c r="H251" s="52">
        <v>2.4600000000000002E-4</v>
      </c>
    </row>
    <row r="252" spans="2:8" ht="30" customHeight="1">
      <c r="B252" s="52">
        <f t="shared" si="9"/>
        <v>0</v>
      </c>
      <c r="C252" s="96"/>
      <c r="D252" s="75"/>
      <c r="E252" s="77"/>
      <c r="F252" s="75" t="str">
        <f t="shared" si="10"/>
        <v/>
      </c>
      <c r="G252" s="76" t="str">
        <f t="shared" si="11"/>
        <v/>
      </c>
      <c r="H252" s="52">
        <v>2.4699999999999999E-4</v>
      </c>
    </row>
    <row r="253" spans="2:8" ht="30" customHeight="1">
      <c r="B253" s="52">
        <f t="shared" si="9"/>
        <v>0</v>
      </c>
      <c r="C253" s="96"/>
      <c r="D253" s="75"/>
      <c r="E253" s="77"/>
      <c r="F253" s="75" t="str">
        <f t="shared" si="10"/>
        <v/>
      </c>
      <c r="G253" s="76" t="str">
        <f t="shared" si="11"/>
        <v/>
      </c>
      <c r="H253" s="52">
        <v>2.4800000000000001E-4</v>
      </c>
    </row>
    <row r="254" spans="2:8" ht="30" customHeight="1">
      <c r="B254" s="52">
        <f t="shared" si="9"/>
        <v>0</v>
      </c>
      <c r="C254" s="96"/>
      <c r="D254" s="75"/>
      <c r="E254" s="77"/>
      <c r="F254" s="75" t="str">
        <f t="shared" si="10"/>
        <v/>
      </c>
      <c r="G254" s="76" t="str">
        <f t="shared" si="11"/>
        <v/>
      </c>
      <c r="H254" s="52">
        <v>2.4899999999999998E-4</v>
      </c>
    </row>
    <row r="255" spans="2:8" ht="30" customHeight="1">
      <c r="B255" s="52">
        <f t="shared" si="9"/>
        <v>0</v>
      </c>
      <c r="C255" s="96"/>
      <c r="D255" s="75"/>
      <c r="E255" s="77"/>
      <c r="F255" s="75" t="str">
        <f t="shared" si="10"/>
        <v/>
      </c>
      <c r="G255" s="76" t="str">
        <f t="shared" si="11"/>
        <v/>
      </c>
      <c r="H255" s="52">
        <v>2.5000000000000001E-4</v>
      </c>
    </row>
    <row r="256" spans="2:8" ht="30" customHeight="1">
      <c r="B256" s="52">
        <f t="shared" si="9"/>
        <v>0</v>
      </c>
      <c r="C256" s="96"/>
      <c r="D256" s="75"/>
      <c r="E256" s="77"/>
      <c r="F256" s="75" t="str">
        <f t="shared" si="10"/>
        <v/>
      </c>
      <c r="G256" s="76" t="str">
        <f t="shared" si="11"/>
        <v/>
      </c>
      <c r="H256" s="52">
        <v>2.5099999999999998E-4</v>
      </c>
    </row>
    <row r="257" spans="2:8" ht="30" customHeight="1">
      <c r="B257" s="52">
        <f t="shared" si="9"/>
        <v>0</v>
      </c>
      <c r="C257" s="96"/>
      <c r="D257" s="75"/>
      <c r="E257" s="77"/>
      <c r="F257" s="75" t="str">
        <f t="shared" si="10"/>
        <v/>
      </c>
      <c r="G257" s="76" t="str">
        <f t="shared" si="11"/>
        <v/>
      </c>
      <c r="H257" s="52">
        <v>2.52E-4</v>
      </c>
    </row>
    <row r="258" spans="2:8" ht="30" customHeight="1">
      <c r="B258" s="52">
        <f t="shared" si="9"/>
        <v>0</v>
      </c>
      <c r="C258" s="96"/>
      <c r="D258" s="75"/>
      <c r="E258" s="77"/>
      <c r="F258" s="75" t="str">
        <f t="shared" si="10"/>
        <v/>
      </c>
      <c r="G258" s="76" t="str">
        <f t="shared" si="11"/>
        <v/>
      </c>
      <c r="H258" s="52">
        <v>2.5300000000000002E-4</v>
      </c>
    </row>
    <row r="259" spans="2:8" ht="30" customHeight="1">
      <c r="B259" s="52">
        <f t="shared" si="9"/>
        <v>0</v>
      </c>
      <c r="C259" s="96"/>
      <c r="D259" s="75"/>
      <c r="E259" s="77"/>
      <c r="F259" s="75" t="str">
        <f t="shared" si="10"/>
        <v/>
      </c>
      <c r="G259" s="76" t="str">
        <f t="shared" si="11"/>
        <v/>
      </c>
      <c r="H259" s="52">
        <v>2.5399999999999999E-4</v>
      </c>
    </row>
    <row r="260" spans="2:8" ht="30" customHeight="1">
      <c r="B260" s="52">
        <f t="shared" si="9"/>
        <v>0</v>
      </c>
      <c r="C260" s="96"/>
      <c r="D260" s="75"/>
      <c r="E260" s="77"/>
      <c r="F260" s="75" t="str">
        <f t="shared" si="10"/>
        <v/>
      </c>
      <c r="G260" s="76" t="str">
        <f t="shared" si="11"/>
        <v/>
      </c>
      <c r="H260" s="52">
        <v>2.5500000000000002E-4</v>
      </c>
    </row>
    <row r="261" spans="2:8" ht="30" customHeight="1">
      <c r="B261" s="52">
        <f t="shared" si="9"/>
        <v>0</v>
      </c>
      <c r="C261" s="96"/>
      <c r="D261" s="75"/>
      <c r="E261" s="77"/>
      <c r="F261" s="75" t="str">
        <f t="shared" si="10"/>
        <v/>
      </c>
      <c r="G261" s="76" t="str">
        <f t="shared" si="11"/>
        <v/>
      </c>
      <c r="H261" s="52">
        <v>2.5599999999999999E-4</v>
      </c>
    </row>
    <row r="262" spans="2:8" ht="30" customHeight="1">
      <c r="B262" s="52">
        <f t="shared" si="9"/>
        <v>0</v>
      </c>
      <c r="C262" s="96"/>
      <c r="D262" s="75"/>
      <c r="E262" s="77"/>
      <c r="F262" s="75" t="str">
        <f t="shared" si="10"/>
        <v/>
      </c>
      <c r="G262" s="76" t="str">
        <f t="shared" si="11"/>
        <v/>
      </c>
      <c r="H262" s="52">
        <v>2.5700000000000001E-4</v>
      </c>
    </row>
    <row r="263" spans="2:8" ht="30" customHeight="1">
      <c r="B263" s="52">
        <f t="shared" ref="B263:B326" si="12">IFERROR(F263+H263,0)</f>
        <v>0</v>
      </c>
      <c r="C263" s="96"/>
      <c r="D263" s="75"/>
      <c r="E263" s="77"/>
      <c r="F263" s="75" t="str">
        <f t="shared" ref="F263:F326" si="13">IF(C263="","",D263*E263)</f>
        <v/>
      </c>
      <c r="G263" s="76" t="str">
        <f t="shared" ref="G263:G326" si="14">IF(C263="","",F263/SUM($F$6:$F$505))</f>
        <v/>
      </c>
      <c r="H263" s="52">
        <v>2.5799999999999998E-4</v>
      </c>
    </row>
    <row r="264" spans="2:8" ht="30" customHeight="1">
      <c r="B264" s="52">
        <f t="shared" si="12"/>
        <v>0</v>
      </c>
      <c r="C264" s="96"/>
      <c r="D264" s="75"/>
      <c r="E264" s="77"/>
      <c r="F264" s="75" t="str">
        <f t="shared" si="13"/>
        <v/>
      </c>
      <c r="G264" s="76" t="str">
        <f t="shared" si="14"/>
        <v/>
      </c>
      <c r="H264" s="52">
        <v>2.5900000000000001E-4</v>
      </c>
    </row>
    <row r="265" spans="2:8" ht="30" customHeight="1">
      <c r="B265" s="52">
        <f t="shared" si="12"/>
        <v>0</v>
      </c>
      <c r="C265" s="96"/>
      <c r="D265" s="75"/>
      <c r="E265" s="77"/>
      <c r="F265" s="75" t="str">
        <f t="shared" si="13"/>
        <v/>
      </c>
      <c r="G265" s="76" t="str">
        <f t="shared" si="14"/>
        <v/>
      </c>
      <c r="H265" s="52">
        <v>2.5999999999999998E-4</v>
      </c>
    </row>
    <row r="266" spans="2:8" ht="30" customHeight="1">
      <c r="B266" s="52">
        <f t="shared" si="12"/>
        <v>0</v>
      </c>
      <c r="C266" s="96"/>
      <c r="D266" s="75"/>
      <c r="E266" s="77"/>
      <c r="F266" s="75" t="str">
        <f t="shared" si="13"/>
        <v/>
      </c>
      <c r="G266" s="76" t="str">
        <f t="shared" si="14"/>
        <v/>
      </c>
      <c r="H266" s="52">
        <v>2.61E-4</v>
      </c>
    </row>
    <row r="267" spans="2:8" ht="30" customHeight="1">
      <c r="B267" s="52">
        <f t="shared" si="12"/>
        <v>0</v>
      </c>
      <c r="C267" s="96"/>
      <c r="D267" s="75"/>
      <c r="E267" s="77"/>
      <c r="F267" s="75" t="str">
        <f t="shared" si="13"/>
        <v/>
      </c>
      <c r="G267" s="76" t="str">
        <f t="shared" si="14"/>
        <v/>
      </c>
      <c r="H267" s="52">
        <v>2.6200000000000003E-4</v>
      </c>
    </row>
    <row r="268" spans="2:8" ht="30" customHeight="1">
      <c r="B268" s="52">
        <f t="shared" si="12"/>
        <v>0</v>
      </c>
      <c r="C268" s="96"/>
      <c r="D268" s="75"/>
      <c r="E268" s="77"/>
      <c r="F268" s="75" t="str">
        <f t="shared" si="13"/>
        <v/>
      </c>
      <c r="G268" s="76" t="str">
        <f t="shared" si="14"/>
        <v/>
      </c>
      <c r="H268" s="52">
        <v>2.63E-4</v>
      </c>
    </row>
    <row r="269" spans="2:8" ht="30" customHeight="1">
      <c r="B269" s="52">
        <f t="shared" si="12"/>
        <v>0</v>
      </c>
      <c r="C269" s="96"/>
      <c r="D269" s="75"/>
      <c r="E269" s="77"/>
      <c r="F269" s="75" t="str">
        <f t="shared" si="13"/>
        <v/>
      </c>
      <c r="G269" s="76" t="str">
        <f t="shared" si="14"/>
        <v/>
      </c>
      <c r="H269" s="52">
        <v>2.6400000000000002E-4</v>
      </c>
    </row>
    <row r="270" spans="2:8" ht="30" customHeight="1">
      <c r="B270" s="52">
        <f t="shared" si="12"/>
        <v>0</v>
      </c>
      <c r="C270" s="96"/>
      <c r="D270" s="75"/>
      <c r="E270" s="77"/>
      <c r="F270" s="75" t="str">
        <f t="shared" si="13"/>
        <v/>
      </c>
      <c r="G270" s="76" t="str">
        <f t="shared" si="14"/>
        <v/>
      </c>
      <c r="H270" s="52">
        <v>2.6499999999999999E-4</v>
      </c>
    </row>
    <row r="271" spans="2:8" ht="30" customHeight="1">
      <c r="B271" s="52">
        <f t="shared" si="12"/>
        <v>0</v>
      </c>
      <c r="C271" s="96"/>
      <c r="D271" s="75"/>
      <c r="E271" s="77"/>
      <c r="F271" s="75" t="str">
        <f t="shared" si="13"/>
        <v/>
      </c>
      <c r="G271" s="76" t="str">
        <f t="shared" si="14"/>
        <v/>
      </c>
      <c r="H271" s="52">
        <v>2.6600000000000001E-4</v>
      </c>
    </row>
    <row r="272" spans="2:8" ht="30" customHeight="1">
      <c r="B272" s="52">
        <f t="shared" si="12"/>
        <v>0</v>
      </c>
      <c r="C272" s="96"/>
      <c r="D272" s="75"/>
      <c r="E272" s="77"/>
      <c r="F272" s="75" t="str">
        <f t="shared" si="13"/>
        <v/>
      </c>
      <c r="G272" s="76" t="str">
        <f t="shared" si="14"/>
        <v/>
      </c>
      <c r="H272" s="52">
        <v>2.6699999999999998E-4</v>
      </c>
    </row>
    <row r="273" spans="2:8" ht="30" customHeight="1">
      <c r="B273" s="52">
        <f t="shared" si="12"/>
        <v>0</v>
      </c>
      <c r="C273" s="96"/>
      <c r="D273" s="75"/>
      <c r="E273" s="77"/>
      <c r="F273" s="75" t="str">
        <f t="shared" si="13"/>
        <v/>
      </c>
      <c r="G273" s="76" t="str">
        <f t="shared" si="14"/>
        <v/>
      </c>
      <c r="H273" s="52">
        <v>2.6800000000000001E-4</v>
      </c>
    </row>
    <row r="274" spans="2:8" ht="30" customHeight="1">
      <c r="B274" s="52">
        <f t="shared" si="12"/>
        <v>0</v>
      </c>
      <c r="C274" s="96"/>
      <c r="D274" s="75"/>
      <c r="E274" s="77"/>
      <c r="F274" s="75" t="str">
        <f t="shared" si="13"/>
        <v/>
      </c>
      <c r="G274" s="76" t="str">
        <f t="shared" si="14"/>
        <v/>
      </c>
      <c r="H274" s="52">
        <v>2.6899999999999998E-4</v>
      </c>
    </row>
    <row r="275" spans="2:8" ht="30" customHeight="1">
      <c r="B275" s="52">
        <f t="shared" si="12"/>
        <v>0</v>
      </c>
      <c r="C275" s="96"/>
      <c r="D275" s="75"/>
      <c r="E275" s="77"/>
      <c r="F275" s="75" t="str">
        <f t="shared" si="13"/>
        <v/>
      </c>
      <c r="G275" s="76" t="str">
        <f t="shared" si="14"/>
        <v/>
      </c>
      <c r="H275" s="52">
        <v>2.7E-4</v>
      </c>
    </row>
    <row r="276" spans="2:8" ht="30" customHeight="1">
      <c r="B276" s="52">
        <f t="shared" si="12"/>
        <v>0</v>
      </c>
      <c r="C276" s="96"/>
      <c r="D276" s="75"/>
      <c r="E276" s="77"/>
      <c r="F276" s="75" t="str">
        <f t="shared" si="13"/>
        <v/>
      </c>
      <c r="G276" s="76" t="str">
        <f t="shared" si="14"/>
        <v/>
      </c>
      <c r="H276" s="52">
        <v>2.7099999999999997E-4</v>
      </c>
    </row>
    <row r="277" spans="2:8" ht="30" customHeight="1">
      <c r="B277" s="52">
        <f t="shared" si="12"/>
        <v>0</v>
      </c>
      <c r="C277" s="96"/>
      <c r="D277" s="75"/>
      <c r="E277" s="77"/>
      <c r="F277" s="75" t="str">
        <f t="shared" si="13"/>
        <v/>
      </c>
      <c r="G277" s="76" t="str">
        <f t="shared" si="14"/>
        <v/>
      </c>
      <c r="H277" s="52">
        <v>2.72E-4</v>
      </c>
    </row>
    <row r="278" spans="2:8" ht="30" customHeight="1">
      <c r="B278" s="52">
        <f t="shared" si="12"/>
        <v>0</v>
      </c>
      <c r="C278" s="96"/>
      <c r="D278" s="75"/>
      <c r="E278" s="77"/>
      <c r="F278" s="75" t="str">
        <f t="shared" si="13"/>
        <v/>
      </c>
      <c r="G278" s="76" t="str">
        <f t="shared" si="14"/>
        <v/>
      </c>
      <c r="H278" s="52">
        <v>2.7300000000000002E-4</v>
      </c>
    </row>
    <row r="279" spans="2:8" ht="30" customHeight="1">
      <c r="B279" s="52">
        <f t="shared" si="12"/>
        <v>0</v>
      </c>
      <c r="C279" s="96"/>
      <c r="D279" s="75"/>
      <c r="E279" s="77"/>
      <c r="F279" s="75" t="str">
        <f t="shared" si="13"/>
        <v/>
      </c>
      <c r="G279" s="76" t="str">
        <f t="shared" si="14"/>
        <v/>
      </c>
      <c r="H279" s="52">
        <v>2.7399999999999999E-4</v>
      </c>
    </row>
    <row r="280" spans="2:8" ht="30" customHeight="1">
      <c r="B280" s="52">
        <f t="shared" si="12"/>
        <v>0</v>
      </c>
      <c r="C280" s="96"/>
      <c r="D280" s="75"/>
      <c r="E280" s="77"/>
      <c r="F280" s="75" t="str">
        <f t="shared" si="13"/>
        <v/>
      </c>
      <c r="G280" s="76" t="str">
        <f t="shared" si="14"/>
        <v/>
      </c>
      <c r="H280" s="52">
        <v>2.7500000000000002E-4</v>
      </c>
    </row>
    <row r="281" spans="2:8" ht="30" customHeight="1">
      <c r="B281" s="52">
        <f t="shared" si="12"/>
        <v>0</v>
      </c>
      <c r="C281" s="96"/>
      <c r="D281" s="75"/>
      <c r="E281" s="77"/>
      <c r="F281" s="75" t="str">
        <f t="shared" si="13"/>
        <v/>
      </c>
      <c r="G281" s="76" t="str">
        <f t="shared" si="14"/>
        <v/>
      </c>
      <c r="H281" s="52">
        <v>2.7599999999999999E-4</v>
      </c>
    </row>
    <row r="282" spans="2:8" ht="30" customHeight="1">
      <c r="B282" s="52">
        <f t="shared" si="12"/>
        <v>0</v>
      </c>
      <c r="C282" s="96"/>
      <c r="D282" s="75"/>
      <c r="E282" s="77"/>
      <c r="F282" s="75" t="str">
        <f t="shared" si="13"/>
        <v/>
      </c>
      <c r="G282" s="76" t="str">
        <f t="shared" si="14"/>
        <v/>
      </c>
      <c r="H282" s="52">
        <v>2.7700000000000001E-4</v>
      </c>
    </row>
    <row r="283" spans="2:8" ht="30" customHeight="1">
      <c r="B283" s="52">
        <f t="shared" si="12"/>
        <v>0</v>
      </c>
      <c r="C283" s="96"/>
      <c r="D283" s="75"/>
      <c r="E283" s="77"/>
      <c r="F283" s="75" t="str">
        <f t="shared" si="13"/>
        <v/>
      </c>
      <c r="G283" s="76" t="str">
        <f t="shared" si="14"/>
        <v/>
      </c>
      <c r="H283" s="52">
        <v>2.7799999999999998E-4</v>
      </c>
    </row>
    <row r="284" spans="2:8" ht="30" customHeight="1">
      <c r="B284" s="52">
        <f t="shared" si="12"/>
        <v>0</v>
      </c>
      <c r="C284" s="96"/>
      <c r="D284" s="75"/>
      <c r="E284" s="77"/>
      <c r="F284" s="75" t="str">
        <f t="shared" si="13"/>
        <v/>
      </c>
      <c r="G284" s="76" t="str">
        <f t="shared" si="14"/>
        <v/>
      </c>
      <c r="H284" s="52">
        <v>2.7900000000000001E-4</v>
      </c>
    </row>
    <row r="285" spans="2:8" ht="30" customHeight="1">
      <c r="B285" s="52">
        <f t="shared" si="12"/>
        <v>0</v>
      </c>
      <c r="C285" s="96"/>
      <c r="D285" s="75"/>
      <c r="E285" s="77"/>
      <c r="F285" s="75" t="str">
        <f t="shared" si="13"/>
        <v/>
      </c>
      <c r="G285" s="76" t="str">
        <f t="shared" si="14"/>
        <v/>
      </c>
      <c r="H285" s="52">
        <v>2.7999999999999998E-4</v>
      </c>
    </row>
    <row r="286" spans="2:8" ht="30" customHeight="1">
      <c r="B286" s="52">
        <f t="shared" si="12"/>
        <v>0</v>
      </c>
      <c r="C286" s="96"/>
      <c r="D286" s="75"/>
      <c r="E286" s="77"/>
      <c r="F286" s="75" t="str">
        <f t="shared" si="13"/>
        <v/>
      </c>
      <c r="G286" s="76" t="str">
        <f t="shared" si="14"/>
        <v/>
      </c>
      <c r="H286" s="52">
        <v>2.81E-4</v>
      </c>
    </row>
    <row r="287" spans="2:8" ht="30" customHeight="1">
      <c r="B287" s="52">
        <f t="shared" si="12"/>
        <v>0</v>
      </c>
      <c r="C287" s="96"/>
      <c r="D287" s="75"/>
      <c r="E287" s="77"/>
      <c r="F287" s="75" t="str">
        <f t="shared" si="13"/>
        <v/>
      </c>
      <c r="G287" s="76" t="str">
        <f t="shared" si="14"/>
        <v/>
      </c>
      <c r="H287" s="52">
        <v>2.8200000000000002E-4</v>
      </c>
    </row>
    <row r="288" spans="2:8" ht="30" customHeight="1">
      <c r="B288" s="52">
        <f t="shared" si="12"/>
        <v>0</v>
      </c>
      <c r="C288" s="96"/>
      <c r="D288" s="75"/>
      <c r="E288" s="77"/>
      <c r="F288" s="75" t="str">
        <f t="shared" si="13"/>
        <v/>
      </c>
      <c r="G288" s="76" t="str">
        <f t="shared" si="14"/>
        <v/>
      </c>
      <c r="H288" s="52">
        <v>2.8299999999999999E-4</v>
      </c>
    </row>
    <row r="289" spans="2:8" ht="30" customHeight="1">
      <c r="B289" s="52">
        <f t="shared" si="12"/>
        <v>0</v>
      </c>
      <c r="C289" s="96"/>
      <c r="D289" s="75"/>
      <c r="E289" s="77"/>
      <c r="F289" s="75" t="str">
        <f t="shared" si="13"/>
        <v/>
      </c>
      <c r="G289" s="76" t="str">
        <f t="shared" si="14"/>
        <v/>
      </c>
      <c r="H289" s="52">
        <v>2.8400000000000002E-4</v>
      </c>
    </row>
    <row r="290" spans="2:8" ht="30" customHeight="1">
      <c r="B290" s="52">
        <f t="shared" si="12"/>
        <v>0</v>
      </c>
      <c r="C290" s="96"/>
      <c r="D290" s="75"/>
      <c r="E290" s="77"/>
      <c r="F290" s="75" t="str">
        <f t="shared" si="13"/>
        <v/>
      </c>
      <c r="G290" s="76" t="str">
        <f t="shared" si="14"/>
        <v/>
      </c>
      <c r="H290" s="52">
        <v>2.8499999999999999E-4</v>
      </c>
    </row>
    <row r="291" spans="2:8" ht="30" customHeight="1">
      <c r="B291" s="52">
        <f t="shared" si="12"/>
        <v>0</v>
      </c>
      <c r="C291" s="96"/>
      <c r="D291" s="75"/>
      <c r="E291" s="77"/>
      <c r="F291" s="75" t="str">
        <f t="shared" si="13"/>
        <v/>
      </c>
      <c r="G291" s="76" t="str">
        <f t="shared" si="14"/>
        <v/>
      </c>
      <c r="H291" s="52">
        <v>2.8600000000000001E-4</v>
      </c>
    </row>
    <row r="292" spans="2:8" ht="30" customHeight="1">
      <c r="B292" s="52">
        <f t="shared" si="12"/>
        <v>0</v>
      </c>
      <c r="C292" s="96"/>
      <c r="D292" s="75"/>
      <c r="E292" s="77"/>
      <c r="F292" s="75" t="str">
        <f t="shared" si="13"/>
        <v/>
      </c>
      <c r="G292" s="76" t="str">
        <f t="shared" si="14"/>
        <v/>
      </c>
      <c r="H292" s="52">
        <v>2.8699999999999998E-4</v>
      </c>
    </row>
    <row r="293" spans="2:8" ht="30" customHeight="1">
      <c r="B293" s="52">
        <f t="shared" si="12"/>
        <v>0</v>
      </c>
      <c r="C293" s="96"/>
      <c r="D293" s="75"/>
      <c r="E293" s="77"/>
      <c r="F293" s="75" t="str">
        <f t="shared" si="13"/>
        <v/>
      </c>
      <c r="G293" s="76" t="str">
        <f t="shared" si="14"/>
        <v/>
      </c>
      <c r="H293" s="52">
        <v>2.8800000000000001E-4</v>
      </c>
    </row>
    <row r="294" spans="2:8" ht="30" customHeight="1">
      <c r="B294" s="52">
        <f t="shared" si="12"/>
        <v>0</v>
      </c>
      <c r="C294" s="96"/>
      <c r="D294" s="75"/>
      <c r="E294" s="77"/>
      <c r="F294" s="75" t="str">
        <f t="shared" si="13"/>
        <v/>
      </c>
      <c r="G294" s="76" t="str">
        <f t="shared" si="14"/>
        <v/>
      </c>
      <c r="H294" s="52">
        <v>2.8899999999999998E-4</v>
      </c>
    </row>
    <row r="295" spans="2:8" ht="30" customHeight="1">
      <c r="B295" s="52">
        <f t="shared" si="12"/>
        <v>0</v>
      </c>
      <c r="C295" s="96"/>
      <c r="D295" s="75"/>
      <c r="E295" s="77"/>
      <c r="F295" s="75" t="str">
        <f t="shared" si="13"/>
        <v/>
      </c>
      <c r="G295" s="76" t="str">
        <f t="shared" si="14"/>
        <v/>
      </c>
      <c r="H295" s="52">
        <v>2.9E-4</v>
      </c>
    </row>
    <row r="296" spans="2:8" ht="30" customHeight="1">
      <c r="B296" s="52">
        <f t="shared" si="12"/>
        <v>0</v>
      </c>
      <c r="C296" s="96"/>
      <c r="D296" s="75"/>
      <c r="E296" s="77"/>
      <c r="F296" s="75" t="str">
        <f t="shared" si="13"/>
        <v/>
      </c>
      <c r="G296" s="76" t="str">
        <f t="shared" si="14"/>
        <v/>
      </c>
      <c r="H296" s="52">
        <v>2.9100000000000003E-4</v>
      </c>
    </row>
    <row r="297" spans="2:8" ht="30" customHeight="1">
      <c r="B297" s="52">
        <f t="shared" si="12"/>
        <v>0</v>
      </c>
      <c r="C297" s="96"/>
      <c r="D297" s="75"/>
      <c r="E297" s="77"/>
      <c r="F297" s="75" t="str">
        <f t="shared" si="13"/>
        <v/>
      </c>
      <c r="G297" s="76" t="str">
        <f t="shared" si="14"/>
        <v/>
      </c>
      <c r="H297" s="52">
        <v>2.92E-4</v>
      </c>
    </row>
    <row r="298" spans="2:8" ht="30" customHeight="1">
      <c r="B298" s="52">
        <f t="shared" si="12"/>
        <v>0</v>
      </c>
      <c r="C298" s="96"/>
      <c r="D298" s="75"/>
      <c r="E298" s="77"/>
      <c r="F298" s="75" t="str">
        <f t="shared" si="13"/>
        <v/>
      </c>
      <c r="G298" s="76" t="str">
        <f t="shared" si="14"/>
        <v/>
      </c>
      <c r="H298" s="52">
        <v>2.9300000000000002E-4</v>
      </c>
    </row>
    <row r="299" spans="2:8" ht="30" customHeight="1">
      <c r="B299" s="52">
        <f t="shared" si="12"/>
        <v>0</v>
      </c>
      <c r="C299" s="96"/>
      <c r="D299" s="75"/>
      <c r="E299" s="77"/>
      <c r="F299" s="75" t="str">
        <f t="shared" si="13"/>
        <v/>
      </c>
      <c r="G299" s="76" t="str">
        <f t="shared" si="14"/>
        <v/>
      </c>
      <c r="H299" s="52">
        <v>2.9399999999999999E-4</v>
      </c>
    </row>
    <row r="300" spans="2:8" ht="30" customHeight="1">
      <c r="B300" s="52">
        <f t="shared" si="12"/>
        <v>0</v>
      </c>
      <c r="C300" s="96"/>
      <c r="D300" s="75"/>
      <c r="E300" s="77"/>
      <c r="F300" s="75" t="str">
        <f t="shared" si="13"/>
        <v/>
      </c>
      <c r="G300" s="76" t="str">
        <f t="shared" si="14"/>
        <v/>
      </c>
      <c r="H300" s="52">
        <v>2.9500000000000001E-4</v>
      </c>
    </row>
    <row r="301" spans="2:8" ht="30" customHeight="1">
      <c r="B301" s="52">
        <f t="shared" si="12"/>
        <v>0</v>
      </c>
      <c r="C301" s="96"/>
      <c r="D301" s="75"/>
      <c r="E301" s="77"/>
      <c r="F301" s="75" t="str">
        <f t="shared" si="13"/>
        <v/>
      </c>
      <c r="G301" s="76" t="str">
        <f t="shared" si="14"/>
        <v/>
      </c>
      <c r="H301" s="52">
        <v>2.9599999999999998E-4</v>
      </c>
    </row>
    <row r="302" spans="2:8" ht="30" customHeight="1">
      <c r="B302" s="52">
        <f t="shared" si="12"/>
        <v>0</v>
      </c>
      <c r="C302" s="96"/>
      <c r="D302" s="75"/>
      <c r="E302" s="77"/>
      <c r="F302" s="75" t="str">
        <f t="shared" si="13"/>
        <v/>
      </c>
      <c r="G302" s="76" t="str">
        <f t="shared" si="14"/>
        <v/>
      </c>
      <c r="H302" s="52">
        <v>2.9700000000000001E-4</v>
      </c>
    </row>
    <row r="303" spans="2:8" ht="30" customHeight="1">
      <c r="B303" s="52">
        <f t="shared" si="12"/>
        <v>0</v>
      </c>
      <c r="C303" s="96"/>
      <c r="D303" s="75"/>
      <c r="E303" s="77"/>
      <c r="F303" s="75" t="str">
        <f t="shared" si="13"/>
        <v/>
      </c>
      <c r="G303" s="76" t="str">
        <f t="shared" si="14"/>
        <v/>
      </c>
      <c r="H303" s="52">
        <v>2.9799999999999998E-4</v>
      </c>
    </row>
    <row r="304" spans="2:8" ht="30" customHeight="1">
      <c r="B304" s="52">
        <f t="shared" si="12"/>
        <v>0</v>
      </c>
      <c r="C304" s="96"/>
      <c r="D304" s="75"/>
      <c r="E304" s="77"/>
      <c r="F304" s="75" t="str">
        <f t="shared" si="13"/>
        <v/>
      </c>
      <c r="G304" s="76" t="str">
        <f t="shared" si="14"/>
        <v/>
      </c>
      <c r="H304" s="52">
        <v>2.99E-4</v>
      </c>
    </row>
    <row r="305" spans="2:8" ht="30" customHeight="1">
      <c r="B305" s="52">
        <f t="shared" si="12"/>
        <v>0</v>
      </c>
      <c r="C305" s="96"/>
      <c r="D305" s="75"/>
      <c r="E305" s="77"/>
      <c r="F305" s="75" t="str">
        <f t="shared" si="13"/>
        <v/>
      </c>
      <c r="G305" s="76" t="str">
        <f t="shared" si="14"/>
        <v/>
      </c>
      <c r="H305" s="52">
        <v>2.9999999999999997E-4</v>
      </c>
    </row>
    <row r="306" spans="2:8" ht="30" customHeight="1">
      <c r="B306" s="52">
        <f t="shared" si="12"/>
        <v>0</v>
      </c>
      <c r="C306" s="96"/>
      <c r="D306" s="75"/>
      <c r="E306" s="77"/>
      <c r="F306" s="75" t="str">
        <f t="shared" si="13"/>
        <v/>
      </c>
      <c r="G306" s="76" t="str">
        <f t="shared" si="14"/>
        <v/>
      </c>
      <c r="H306" s="52">
        <v>3.01E-4</v>
      </c>
    </row>
    <row r="307" spans="2:8" ht="30" customHeight="1">
      <c r="B307" s="52">
        <f t="shared" si="12"/>
        <v>0</v>
      </c>
      <c r="C307" s="96"/>
      <c r="D307" s="75"/>
      <c r="E307" s="77"/>
      <c r="F307" s="75" t="str">
        <f t="shared" si="13"/>
        <v/>
      </c>
      <c r="G307" s="76" t="str">
        <f t="shared" si="14"/>
        <v/>
      </c>
      <c r="H307" s="52">
        <v>3.0200000000000002E-4</v>
      </c>
    </row>
    <row r="308" spans="2:8" ht="30" customHeight="1">
      <c r="B308" s="52">
        <f t="shared" si="12"/>
        <v>0</v>
      </c>
      <c r="C308" s="96"/>
      <c r="D308" s="75"/>
      <c r="E308" s="77"/>
      <c r="F308" s="75" t="str">
        <f t="shared" si="13"/>
        <v/>
      </c>
      <c r="G308" s="76" t="str">
        <f t="shared" si="14"/>
        <v/>
      </c>
      <c r="H308" s="52">
        <v>3.0299999999999999E-4</v>
      </c>
    </row>
    <row r="309" spans="2:8" ht="30" customHeight="1">
      <c r="B309" s="52">
        <f t="shared" si="12"/>
        <v>0</v>
      </c>
      <c r="C309" s="96"/>
      <c r="D309" s="75"/>
      <c r="E309" s="77"/>
      <c r="F309" s="75" t="str">
        <f t="shared" si="13"/>
        <v/>
      </c>
      <c r="G309" s="76" t="str">
        <f t="shared" si="14"/>
        <v/>
      </c>
      <c r="H309" s="52">
        <v>3.0400000000000002E-4</v>
      </c>
    </row>
    <row r="310" spans="2:8" ht="30" customHeight="1">
      <c r="B310" s="52">
        <f t="shared" si="12"/>
        <v>0</v>
      </c>
      <c r="C310" s="96"/>
      <c r="D310" s="75"/>
      <c r="E310" s="77"/>
      <c r="F310" s="75" t="str">
        <f t="shared" si="13"/>
        <v/>
      </c>
      <c r="G310" s="76" t="str">
        <f t="shared" si="14"/>
        <v/>
      </c>
      <c r="H310" s="52">
        <v>3.0499999999999999E-4</v>
      </c>
    </row>
    <row r="311" spans="2:8" ht="30" customHeight="1">
      <c r="B311" s="52">
        <f t="shared" si="12"/>
        <v>0</v>
      </c>
      <c r="C311" s="96"/>
      <c r="D311" s="75"/>
      <c r="E311" s="77"/>
      <c r="F311" s="75" t="str">
        <f t="shared" si="13"/>
        <v/>
      </c>
      <c r="G311" s="76" t="str">
        <f t="shared" si="14"/>
        <v/>
      </c>
      <c r="H311" s="52">
        <v>3.0600000000000001E-4</v>
      </c>
    </row>
    <row r="312" spans="2:8" ht="30" customHeight="1">
      <c r="B312" s="52">
        <f t="shared" si="12"/>
        <v>0</v>
      </c>
      <c r="C312" s="96"/>
      <c r="D312" s="75"/>
      <c r="E312" s="77"/>
      <c r="F312" s="75" t="str">
        <f t="shared" si="13"/>
        <v/>
      </c>
      <c r="G312" s="76" t="str">
        <f t="shared" si="14"/>
        <v/>
      </c>
      <c r="H312" s="52">
        <v>3.0699999999999998E-4</v>
      </c>
    </row>
    <row r="313" spans="2:8" ht="30" customHeight="1">
      <c r="B313" s="52">
        <f t="shared" si="12"/>
        <v>0</v>
      </c>
      <c r="C313" s="96"/>
      <c r="D313" s="75"/>
      <c r="E313" s="77"/>
      <c r="F313" s="75" t="str">
        <f t="shared" si="13"/>
        <v/>
      </c>
      <c r="G313" s="76" t="str">
        <f t="shared" si="14"/>
        <v/>
      </c>
      <c r="H313" s="52">
        <v>3.0800000000000001E-4</v>
      </c>
    </row>
    <row r="314" spans="2:8" ht="30" customHeight="1">
      <c r="B314" s="52">
        <f t="shared" si="12"/>
        <v>0</v>
      </c>
      <c r="C314" s="96"/>
      <c r="D314" s="75"/>
      <c r="E314" s="77"/>
      <c r="F314" s="75" t="str">
        <f t="shared" si="13"/>
        <v/>
      </c>
      <c r="G314" s="76" t="str">
        <f t="shared" si="14"/>
        <v/>
      </c>
      <c r="H314" s="52">
        <v>3.0899999999999998E-4</v>
      </c>
    </row>
    <row r="315" spans="2:8" ht="30" customHeight="1">
      <c r="B315" s="52">
        <f t="shared" si="12"/>
        <v>0</v>
      </c>
      <c r="C315" s="96"/>
      <c r="D315" s="75"/>
      <c r="E315" s="77"/>
      <c r="F315" s="75" t="str">
        <f t="shared" si="13"/>
        <v/>
      </c>
      <c r="G315" s="76" t="str">
        <f t="shared" si="14"/>
        <v/>
      </c>
      <c r="H315" s="52">
        <v>3.1E-4</v>
      </c>
    </row>
    <row r="316" spans="2:8" ht="30" customHeight="1">
      <c r="B316" s="52">
        <f t="shared" si="12"/>
        <v>0</v>
      </c>
      <c r="C316" s="96"/>
      <c r="D316" s="75"/>
      <c r="E316" s="77"/>
      <c r="F316" s="75" t="str">
        <f t="shared" si="13"/>
        <v/>
      </c>
      <c r="G316" s="76" t="str">
        <f t="shared" si="14"/>
        <v/>
      </c>
      <c r="H316" s="52">
        <v>3.1100000000000002E-4</v>
      </c>
    </row>
    <row r="317" spans="2:8" ht="30" customHeight="1">
      <c r="B317" s="52">
        <f t="shared" si="12"/>
        <v>0</v>
      </c>
      <c r="C317" s="96"/>
      <c r="D317" s="75"/>
      <c r="E317" s="77"/>
      <c r="F317" s="75" t="str">
        <f t="shared" si="13"/>
        <v/>
      </c>
      <c r="G317" s="76" t="str">
        <f t="shared" si="14"/>
        <v/>
      </c>
      <c r="H317" s="52">
        <v>3.1199999999999999E-4</v>
      </c>
    </row>
    <row r="318" spans="2:8" ht="30" customHeight="1">
      <c r="B318" s="52">
        <f t="shared" si="12"/>
        <v>0</v>
      </c>
      <c r="C318" s="96"/>
      <c r="D318" s="75"/>
      <c r="E318" s="77"/>
      <c r="F318" s="75" t="str">
        <f t="shared" si="13"/>
        <v/>
      </c>
      <c r="G318" s="76" t="str">
        <f t="shared" si="14"/>
        <v/>
      </c>
      <c r="H318" s="52">
        <v>3.1300000000000002E-4</v>
      </c>
    </row>
    <row r="319" spans="2:8" ht="30" customHeight="1">
      <c r="B319" s="52">
        <f t="shared" si="12"/>
        <v>0</v>
      </c>
      <c r="C319" s="96"/>
      <c r="D319" s="75"/>
      <c r="E319" s="77"/>
      <c r="F319" s="75" t="str">
        <f t="shared" si="13"/>
        <v/>
      </c>
      <c r="G319" s="76" t="str">
        <f t="shared" si="14"/>
        <v/>
      </c>
      <c r="H319" s="52">
        <v>3.1399999999999999E-4</v>
      </c>
    </row>
    <row r="320" spans="2:8" ht="30" customHeight="1">
      <c r="B320" s="52">
        <f t="shared" si="12"/>
        <v>0</v>
      </c>
      <c r="C320" s="96"/>
      <c r="D320" s="75"/>
      <c r="E320" s="77"/>
      <c r="F320" s="75" t="str">
        <f t="shared" si="13"/>
        <v/>
      </c>
      <c r="G320" s="76" t="str">
        <f t="shared" si="14"/>
        <v/>
      </c>
      <c r="H320" s="52">
        <v>3.1500000000000001E-4</v>
      </c>
    </row>
    <row r="321" spans="2:8" ht="30" customHeight="1">
      <c r="B321" s="52">
        <f t="shared" si="12"/>
        <v>0</v>
      </c>
      <c r="C321" s="96"/>
      <c r="D321" s="75"/>
      <c r="E321" s="77"/>
      <c r="F321" s="75" t="str">
        <f t="shared" si="13"/>
        <v/>
      </c>
      <c r="G321" s="76" t="str">
        <f t="shared" si="14"/>
        <v/>
      </c>
      <c r="H321" s="52">
        <v>3.1599999999999998E-4</v>
      </c>
    </row>
    <row r="322" spans="2:8" ht="30" customHeight="1">
      <c r="B322" s="52">
        <f t="shared" si="12"/>
        <v>0</v>
      </c>
      <c r="C322" s="96"/>
      <c r="D322" s="75"/>
      <c r="E322" s="77"/>
      <c r="F322" s="75" t="str">
        <f t="shared" si="13"/>
        <v/>
      </c>
      <c r="G322" s="76" t="str">
        <f t="shared" si="14"/>
        <v/>
      </c>
      <c r="H322" s="52">
        <v>3.1700000000000001E-4</v>
      </c>
    </row>
    <row r="323" spans="2:8" ht="30" customHeight="1">
      <c r="B323" s="52">
        <f t="shared" si="12"/>
        <v>0</v>
      </c>
      <c r="C323" s="96"/>
      <c r="D323" s="75"/>
      <c r="E323" s="77"/>
      <c r="F323" s="75" t="str">
        <f t="shared" si="13"/>
        <v/>
      </c>
      <c r="G323" s="76" t="str">
        <f t="shared" si="14"/>
        <v/>
      </c>
      <c r="H323" s="52">
        <v>3.1799999999999998E-4</v>
      </c>
    </row>
    <row r="324" spans="2:8" ht="30" customHeight="1">
      <c r="B324" s="52">
        <f t="shared" si="12"/>
        <v>0</v>
      </c>
      <c r="C324" s="96"/>
      <c r="D324" s="75"/>
      <c r="E324" s="77"/>
      <c r="F324" s="75" t="str">
        <f t="shared" si="13"/>
        <v/>
      </c>
      <c r="G324" s="76" t="str">
        <f t="shared" si="14"/>
        <v/>
      </c>
      <c r="H324" s="52">
        <v>3.19E-4</v>
      </c>
    </row>
    <row r="325" spans="2:8" ht="30" customHeight="1">
      <c r="B325" s="52">
        <f t="shared" si="12"/>
        <v>0</v>
      </c>
      <c r="C325" s="96"/>
      <c r="D325" s="75"/>
      <c r="E325" s="77"/>
      <c r="F325" s="75" t="str">
        <f t="shared" si="13"/>
        <v/>
      </c>
      <c r="G325" s="76" t="str">
        <f t="shared" si="14"/>
        <v/>
      </c>
      <c r="H325" s="52">
        <v>3.2000000000000003E-4</v>
      </c>
    </row>
    <row r="326" spans="2:8" ht="30" customHeight="1">
      <c r="B326" s="52">
        <f t="shared" si="12"/>
        <v>0</v>
      </c>
      <c r="C326" s="96"/>
      <c r="D326" s="75"/>
      <c r="E326" s="77"/>
      <c r="F326" s="75" t="str">
        <f t="shared" si="13"/>
        <v/>
      </c>
      <c r="G326" s="76" t="str">
        <f t="shared" si="14"/>
        <v/>
      </c>
      <c r="H326" s="52">
        <v>3.21E-4</v>
      </c>
    </row>
    <row r="327" spans="2:8" ht="30" customHeight="1">
      <c r="B327" s="52">
        <f t="shared" ref="B327:B390" si="15">IFERROR(F327+H327,0)</f>
        <v>0</v>
      </c>
      <c r="C327" s="96"/>
      <c r="D327" s="75"/>
      <c r="E327" s="77"/>
      <c r="F327" s="75" t="str">
        <f t="shared" ref="F327:F390" si="16">IF(C327="","",D327*E327)</f>
        <v/>
      </c>
      <c r="G327" s="76" t="str">
        <f t="shared" ref="G327:G390" si="17">IF(C327="","",F327/SUM($F$6:$F$505))</f>
        <v/>
      </c>
      <c r="H327" s="52">
        <v>3.2200000000000002E-4</v>
      </c>
    </row>
    <row r="328" spans="2:8" ht="30" customHeight="1">
      <c r="B328" s="52">
        <f t="shared" si="15"/>
        <v>0</v>
      </c>
      <c r="C328" s="96"/>
      <c r="D328" s="75"/>
      <c r="E328" s="77"/>
      <c r="F328" s="75" t="str">
        <f t="shared" si="16"/>
        <v/>
      </c>
      <c r="G328" s="76" t="str">
        <f t="shared" si="17"/>
        <v/>
      </c>
      <c r="H328" s="52">
        <v>3.2299999999999999E-4</v>
      </c>
    </row>
    <row r="329" spans="2:8" ht="30" customHeight="1">
      <c r="B329" s="52">
        <f t="shared" si="15"/>
        <v>0</v>
      </c>
      <c r="C329" s="96"/>
      <c r="D329" s="75"/>
      <c r="E329" s="77"/>
      <c r="F329" s="75" t="str">
        <f t="shared" si="16"/>
        <v/>
      </c>
      <c r="G329" s="76" t="str">
        <f t="shared" si="17"/>
        <v/>
      </c>
      <c r="H329" s="52">
        <v>3.2400000000000001E-4</v>
      </c>
    </row>
    <row r="330" spans="2:8" ht="30" customHeight="1">
      <c r="B330" s="52">
        <f t="shared" si="15"/>
        <v>0</v>
      </c>
      <c r="C330" s="96"/>
      <c r="D330" s="75"/>
      <c r="E330" s="77"/>
      <c r="F330" s="75" t="str">
        <f t="shared" si="16"/>
        <v/>
      </c>
      <c r="G330" s="76" t="str">
        <f t="shared" si="17"/>
        <v/>
      </c>
      <c r="H330" s="52">
        <v>3.2499999999999999E-4</v>
      </c>
    </row>
    <row r="331" spans="2:8" ht="30" customHeight="1">
      <c r="B331" s="52">
        <f t="shared" si="15"/>
        <v>0</v>
      </c>
      <c r="C331" s="96"/>
      <c r="D331" s="75"/>
      <c r="E331" s="77"/>
      <c r="F331" s="75" t="str">
        <f t="shared" si="16"/>
        <v/>
      </c>
      <c r="G331" s="76" t="str">
        <f t="shared" si="17"/>
        <v/>
      </c>
      <c r="H331" s="52">
        <v>3.2600000000000001E-4</v>
      </c>
    </row>
    <row r="332" spans="2:8" ht="30" customHeight="1">
      <c r="B332" s="52">
        <f t="shared" si="15"/>
        <v>0</v>
      </c>
      <c r="C332" s="96"/>
      <c r="D332" s="75"/>
      <c r="E332" s="77"/>
      <c r="F332" s="75" t="str">
        <f t="shared" si="16"/>
        <v/>
      </c>
      <c r="G332" s="76" t="str">
        <f t="shared" si="17"/>
        <v/>
      </c>
      <c r="H332" s="52">
        <v>3.2699999999999998E-4</v>
      </c>
    </row>
    <row r="333" spans="2:8" ht="30" customHeight="1">
      <c r="B333" s="52">
        <f t="shared" si="15"/>
        <v>0</v>
      </c>
      <c r="C333" s="96"/>
      <c r="D333" s="75"/>
      <c r="E333" s="77"/>
      <c r="F333" s="75" t="str">
        <f t="shared" si="16"/>
        <v/>
      </c>
      <c r="G333" s="76" t="str">
        <f t="shared" si="17"/>
        <v/>
      </c>
      <c r="H333" s="52">
        <v>3.28E-4</v>
      </c>
    </row>
    <row r="334" spans="2:8" ht="30" customHeight="1">
      <c r="B334" s="52">
        <f t="shared" si="15"/>
        <v>0</v>
      </c>
      <c r="C334" s="96"/>
      <c r="D334" s="75"/>
      <c r="E334" s="77"/>
      <c r="F334" s="75" t="str">
        <f t="shared" si="16"/>
        <v/>
      </c>
      <c r="G334" s="76" t="str">
        <f t="shared" si="17"/>
        <v/>
      </c>
      <c r="H334" s="52">
        <v>3.2899999999999997E-4</v>
      </c>
    </row>
    <row r="335" spans="2:8" ht="30" customHeight="1">
      <c r="B335" s="52">
        <f t="shared" si="15"/>
        <v>0</v>
      </c>
      <c r="C335" s="96"/>
      <c r="D335" s="75"/>
      <c r="E335" s="77"/>
      <c r="F335" s="75" t="str">
        <f t="shared" si="16"/>
        <v/>
      </c>
      <c r="G335" s="76" t="str">
        <f t="shared" si="17"/>
        <v/>
      </c>
      <c r="H335" s="52">
        <v>3.3E-4</v>
      </c>
    </row>
    <row r="336" spans="2:8" ht="30" customHeight="1">
      <c r="B336" s="52">
        <f t="shared" si="15"/>
        <v>0</v>
      </c>
      <c r="C336" s="96"/>
      <c r="D336" s="75"/>
      <c r="E336" s="77"/>
      <c r="F336" s="75" t="str">
        <f t="shared" si="16"/>
        <v/>
      </c>
      <c r="G336" s="76" t="str">
        <f t="shared" si="17"/>
        <v/>
      </c>
      <c r="H336" s="52">
        <v>3.3100000000000002E-4</v>
      </c>
    </row>
    <row r="337" spans="2:8" ht="30" customHeight="1">
      <c r="B337" s="52">
        <f t="shared" si="15"/>
        <v>0</v>
      </c>
      <c r="C337" s="96"/>
      <c r="D337" s="75"/>
      <c r="E337" s="77"/>
      <c r="F337" s="75" t="str">
        <f t="shared" si="16"/>
        <v/>
      </c>
      <c r="G337" s="76" t="str">
        <f t="shared" si="17"/>
        <v/>
      </c>
      <c r="H337" s="52">
        <v>3.3199999999999999E-4</v>
      </c>
    </row>
    <row r="338" spans="2:8" ht="30" customHeight="1">
      <c r="B338" s="52">
        <f t="shared" si="15"/>
        <v>0</v>
      </c>
      <c r="C338" s="96"/>
      <c r="D338" s="75"/>
      <c r="E338" s="77"/>
      <c r="F338" s="75" t="str">
        <f t="shared" si="16"/>
        <v/>
      </c>
      <c r="G338" s="76" t="str">
        <f t="shared" si="17"/>
        <v/>
      </c>
      <c r="H338" s="52">
        <v>3.3300000000000002E-4</v>
      </c>
    </row>
    <row r="339" spans="2:8" ht="30" customHeight="1">
      <c r="B339" s="52">
        <f t="shared" si="15"/>
        <v>0</v>
      </c>
      <c r="C339" s="96"/>
      <c r="D339" s="75"/>
      <c r="E339" s="77"/>
      <c r="F339" s="75" t="str">
        <f t="shared" si="16"/>
        <v/>
      </c>
      <c r="G339" s="76" t="str">
        <f t="shared" si="17"/>
        <v/>
      </c>
      <c r="H339" s="52">
        <v>3.3399999999999999E-4</v>
      </c>
    </row>
    <row r="340" spans="2:8" ht="30" customHeight="1">
      <c r="B340" s="52">
        <f t="shared" si="15"/>
        <v>0</v>
      </c>
      <c r="C340" s="96"/>
      <c r="D340" s="75"/>
      <c r="E340" s="77"/>
      <c r="F340" s="75" t="str">
        <f t="shared" si="16"/>
        <v/>
      </c>
      <c r="G340" s="76" t="str">
        <f t="shared" si="17"/>
        <v/>
      </c>
      <c r="H340" s="52">
        <v>3.3500000000000001E-4</v>
      </c>
    </row>
    <row r="341" spans="2:8" ht="30" customHeight="1">
      <c r="B341" s="52">
        <f t="shared" si="15"/>
        <v>0</v>
      </c>
      <c r="C341" s="96"/>
      <c r="D341" s="75"/>
      <c r="E341" s="77"/>
      <c r="F341" s="75" t="str">
        <f t="shared" si="16"/>
        <v/>
      </c>
      <c r="G341" s="76" t="str">
        <f t="shared" si="17"/>
        <v/>
      </c>
      <c r="H341" s="52">
        <v>3.3599999999999998E-4</v>
      </c>
    </row>
    <row r="342" spans="2:8" ht="30" customHeight="1">
      <c r="B342" s="52">
        <f t="shared" si="15"/>
        <v>0</v>
      </c>
      <c r="C342" s="96"/>
      <c r="D342" s="75"/>
      <c r="E342" s="77"/>
      <c r="F342" s="75" t="str">
        <f t="shared" si="16"/>
        <v/>
      </c>
      <c r="G342" s="76" t="str">
        <f t="shared" si="17"/>
        <v/>
      </c>
      <c r="H342" s="52">
        <v>3.3700000000000001E-4</v>
      </c>
    </row>
    <row r="343" spans="2:8" ht="30" customHeight="1">
      <c r="B343" s="52">
        <f t="shared" si="15"/>
        <v>0</v>
      </c>
      <c r="C343" s="96"/>
      <c r="D343" s="75"/>
      <c r="E343" s="77"/>
      <c r="F343" s="75" t="str">
        <f t="shared" si="16"/>
        <v/>
      </c>
      <c r="G343" s="76" t="str">
        <f t="shared" si="17"/>
        <v/>
      </c>
      <c r="H343" s="52">
        <v>3.3799999999999998E-4</v>
      </c>
    </row>
    <row r="344" spans="2:8" ht="30" customHeight="1">
      <c r="B344" s="52">
        <f t="shared" si="15"/>
        <v>0</v>
      </c>
      <c r="C344" s="96"/>
      <c r="D344" s="75"/>
      <c r="E344" s="77"/>
      <c r="F344" s="75" t="str">
        <f t="shared" si="16"/>
        <v/>
      </c>
      <c r="G344" s="76" t="str">
        <f t="shared" si="17"/>
        <v/>
      </c>
      <c r="H344" s="52">
        <v>3.39E-4</v>
      </c>
    </row>
    <row r="345" spans="2:8" ht="30" customHeight="1">
      <c r="B345" s="52">
        <f t="shared" si="15"/>
        <v>0</v>
      </c>
      <c r="C345" s="96"/>
      <c r="D345" s="75"/>
      <c r="E345" s="77"/>
      <c r="F345" s="75" t="str">
        <f t="shared" si="16"/>
        <v/>
      </c>
      <c r="G345" s="76" t="str">
        <f t="shared" si="17"/>
        <v/>
      </c>
      <c r="H345" s="52">
        <v>3.4000000000000002E-4</v>
      </c>
    </row>
    <row r="346" spans="2:8" ht="30" customHeight="1">
      <c r="B346" s="52">
        <f t="shared" si="15"/>
        <v>0</v>
      </c>
      <c r="C346" s="96"/>
      <c r="D346" s="75"/>
      <c r="E346" s="77"/>
      <c r="F346" s="75" t="str">
        <f t="shared" si="16"/>
        <v/>
      </c>
      <c r="G346" s="76" t="str">
        <f t="shared" si="17"/>
        <v/>
      </c>
      <c r="H346" s="52">
        <v>3.4099999999999999E-4</v>
      </c>
    </row>
    <row r="347" spans="2:8" ht="30" customHeight="1">
      <c r="B347" s="52">
        <f t="shared" si="15"/>
        <v>0</v>
      </c>
      <c r="C347" s="96"/>
      <c r="D347" s="75"/>
      <c r="E347" s="77"/>
      <c r="F347" s="75" t="str">
        <f t="shared" si="16"/>
        <v/>
      </c>
      <c r="G347" s="76" t="str">
        <f t="shared" si="17"/>
        <v/>
      </c>
      <c r="H347" s="52">
        <v>3.4200000000000002E-4</v>
      </c>
    </row>
    <row r="348" spans="2:8" ht="30" customHeight="1">
      <c r="B348" s="52">
        <f t="shared" si="15"/>
        <v>0</v>
      </c>
      <c r="C348" s="96"/>
      <c r="D348" s="75"/>
      <c r="E348" s="77"/>
      <c r="F348" s="75" t="str">
        <f t="shared" si="16"/>
        <v/>
      </c>
      <c r="G348" s="76" t="str">
        <f t="shared" si="17"/>
        <v/>
      </c>
      <c r="H348" s="52">
        <v>3.4299999999999999E-4</v>
      </c>
    </row>
    <row r="349" spans="2:8" ht="30" customHeight="1">
      <c r="B349" s="52">
        <f t="shared" si="15"/>
        <v>0</v>
      </c>
      <c r="C349" s="96"/>
      <c r="D349" s="75"/>
      <c r="E349" s="77"/>
      <c r="F349" s="75" t="str">
        <f t="shared" si="16"/>
        <v/>
      </c>
      <c r="G349" s="76" t="str">
        <f t="shared" si="17"/>
        <v/>
      </c>
      <c r="H349" s="52">
        <v>3.4400000000000001E-4</v>
      </c>
    </row>
    <row r="350" spans="2:8" ht="30" customHeight="1">
      <c r="B350" s="52">
        <f t="shared" si="15"/>
        <v>0</v>
      </c>
      <c r="C350" s="96"/>
      <c r="D350" s="75"/>
      <c r="E350" s="77"/>
      <c r="F350" s="75" t="str">
        <f t="shared" si="16"/>
        <v/>
      </c>
      <c r="G350" s="76" t="str">
        <f t="shared" si="17"/>
        <v/>
      </c>
      <c r="H350" s="52">
        <v>3.4499999999999998E-4</v>
      </c>
    </row>
    <row r="351" spans="2:8" ht="30" customHeight="1">
      <c r="B351" s="52">
        <f t="shared" si="15"/>
        <v>0</v>
      </c>
      <c r="C351" s="96"/>
      <c r="D351" s="75"/>
      <c r="E351" s="77"/>
      <c r="F351" s="75" t="str">
        <f t="shared" si="16"/>
        <v/>
      </c>
      <c r="G351" s="76" t="str">
        <f t="shared" si="17"/>
        <v/>
      </c>
      <c r="H351" s="52">
        <v>3.4600000000000001E-4</v>
      </c>
    </row>
    <row r="352" spans="2:8" ht="30" customHeight="1">
      <c r="B352" s="52">
        <f t="shared" si="15"/>
        <v>0</v>
      </c>
      <c r="C352" s="96"/>
      <c r="D352" s="75"/>
      <c r="E352" s="77"/>
      <c r="F352" s="75" t="str">
        <f t="shared" si="16"/>
        <v/>
      </c>
      <c r="G352" s="76" t="str">
        <f t="shared" si="17"/>
        <v/>
      </c>
      <c r="H352" s="52">
        <v>3.4699999999999998E-4</v>
      </c>
    </row>
    <row r="353" spans="2:8" ht="30" customHeight="1">
      <c r="B353" s="52">
        <f t="shared" si="15"/>
        <v>0</v>
      </c>
      <c r="C353" s="96"/>
      <c r="D353" s="75"/>
      <c r="E353" s="77"/>
      <c r="F353" s="75" t="str">
        <f t="shared" si="16"/>
        <v/>
      </c>
      <c r="G353" s="76" t="str">
        <f t="shared" si="17"/>
        <v/>
      </c>
      <c r="H353" s="52">
        <v>3.48E-4</v>
      </c>
    </row>
    <row r="354" spans="2:8" ht="30" customHeight="1">
      <c r="B354" s="52">
        <f t="shared" si="15"/>
        <v>0</v>
      </c>
      <c r="C354" s="96"/>
      <c r="D354" s="75"/>
      <c r="E354" s="77"/>
      <c r="F354" s="75" t="str">
        <f t="shared" si="16"/>
        <v/>
      </c>
      <c r="G354" s="76" t="str">
        <f t="shared" si="17"/>
        <v/>
      </c>
      <c r="H354" s="52">
        <v>3.4900000000000003E-4</v>
      </c>
    </row>
    <row r="355" spans="2:8" ht="30" customHeight="1">
      <c r="B355" s="52">
        <f t="shared" si="15"/>
        <v>0</v>
      </c>
      <c r="C355" s="96"/>
      <c r="D355" s="75"/>
      <c r="E355" s="77"/>
      <c r="F355" s="75" t="str">
        <f t="shared" si="16"/>
        <v/>
      </c>
      <c r="G355" s="76" t="str">
        <f t="shared" si="17"/>
        <v/>
      </c>
      <c r="H355" s="52">
        <v>3.5E-4</v>
      </c>
    </row>
    <row r="356" spans="2:8" ht="30" customHeight="1">
      <c r="B356" s="52">
        <f t="shared" si="15"/>
        <v>0</v>
      </c>
      <c r="C356" s="96"/>
      <c r="D356" s="75"/>
      <c r="E356" s="77"/>
      <c r="F356" s="75" t="str">
        <f t="shared" si="16"/>
        <v/>
      </c>
      <c r="G356" s="76" t="str">
        <f t="shared" si="17"/>
        <v/>
      </c>
      <c r="H356" s="52">
        <v>3.5100000000000002E-4</v>
      </c>
    </row>
    <row r="357" spans="2:8" ht="30" customHeight="1">
      <c r="B357" s="52">
        <f t="shared" si="15"/>
        <v>0</v>
      </c>
      <c r="C357" s="96"/>
      <c r="D357" s="75"/>
      <c r="E357" s="77"/>
      <c r="F357" s="75" t="str">
        <f t="shared" si="16"/>
        <v/>
      </c>
      <c r="G357" s="76" t="str">
        <f t="shared" si="17"/>
        <v/>
      </c>
      <c r="H357" s="52">
        <v>3.5199999999999999E-4</v>
      </c>
    </row>
    <row r="358" spans="2:8" ht="30" customHeight="1">
      <c r="B358" s="52">
        <f t="shared" si="15"/>
        <v>0</v>
      </c>
      <c r="C358" s="96"/>
      <c r="D358" s="75"/>
      <c r="E358" s="77"/>
      <c r="F358" s="75" t="str">
        <f t="shared" si="16"/>
        <v/>
      </c>
      <c r="G358" s="76" t="str">
        <f t="shared" si="17"/>
        <v/>
      </c>
      <c r="H358" s="52">
        <v>3.5300000000000002E-4</v>
      </c>
    </row>
    <row r="359" spans="2:8" ht="30" customHeight="1">
      <c r="B359" s="52">
        <f t="shared" si="15"/>
        <v>0</v>
      </c>
      <c r="C359" s="96"/>
      <c r="D359" s="75"/>
      <c r="E359" s="77"/>
      <c r="F359" s="75" t="str">
        <f t="shared" si="16"/>
        <v/>
      </c>
      <c r="G359" s="76" t="str">
        <f t="shared" si="17"/>
        <v/>
      </c>
      <c r="H359" s="52">
        <v>3.5399999999999999E-4</v>
      </c>
    </row>
    <row r="360" spans="2:8" ht="30" customHeight="1">
      <c r="B360" s="52">
        <f t="shared" si="15"/>
        <v>0</v>
      </c>
      <c r="C360" s="96"/>
      <c r="D360" s="75"/>
      <c r="E360" s="77"/>
      <c r="F360" s="75" t="str">
        <f t="shared" si="16"/>
        <v/>
      </c>
      <c r="G360" s="76" t="str">
        <f t="shared" si="17"/>
        <v/>
      </c>
      <c r="H360" s="52">
        <v>3.5500000000000001E-4</v>
      </c>
    </row>
    <row r="361" spans="2:8" ht="30" customHeight="1">
      <c r="B361" s="52">
        <f t="shared" si="15"/>
        <v>0</v>
      </c>
      <c r="C361" s="96"/>
      <c r="D361" s="75"/>
      <c r="E361" s="77"/>
      <c r="F361" s="75" t="str">
        <f t="shared" si="16"/>
        <v/>
      </c>
      <c r="G361" s="76" t="str">
        <f t="shared" si="17"/>
        <v/>
      </c>
      <c r="H361" s="52">
        <v>3.5599999999999998E-4</v>
      </c>
    </row>
    <row r="362" spans="2:8" ht="30" customHeight="1">
      <c r="B362" s="52">
        <f t="shared" si="15"/>
        <v>0</v>
      </c>
      <c r="C362" s="96"/>
      <c r="D362" s="75"/>
      <c r="E362" s="77"/>
      <c r="F362" s="75" t="str">
        <f t="shared" si="16"/>
        <v/>
      </c>
      <c r="G362" s="76" t="str">
        <f t="shared" si="17"/>
        <v/>
      </c>
      <c r="H362" s="52">
        <v>3.57E-4</v>
      </c>
    </row>
    <row r="363" spans="2:8" ht="30" customHeight="1">
      <c r="B363" s="52">
        <f t="shared" si="15"/>
        <v>0</v>
      </c>
      <c r="C363" s="96"/>
      <c r="D363" s="75"/>
      <c r="E363" s="77"/>
      <c r="F363" s="75" t="str">
        <f t="shared" si="16"/>
        <v/>
      </c>
      <c r="G363" s="76" t="str">
        <f t="shared" si="17"/>
        <v/>
      </c>
      <c r="H363" s="52">
        <v>3.5799999999999997E-4</v>
      </c>
    </row>
    <row r="364" spans="2:8" ht="30" customHeight="1">
      <c r="B364" s="52">
        <f t="shared" si="15"/>
        <v>0</v>
      </c>
      <c r="C364" s="96"/>
      <c r="D364" s="75"/>
      <c r="E364" s="77"/>
      <c r="F364" s="75" t="str">
        <f t="shared" si="16"/>
        <v/>
      </c>
      <c r="G364" s="76" t="str">
        <f t="shared" si="17"/>
        <v/>
      </c>
      <c r="H364" s="52">
        <v>3.59E-4</v>
      </c>
    </row>
    <row r="365" spans="2:8" ht="30" customHeight="1">
      <c r="B365" s="52">
        <f t="shared" si="15"/>
        <v>0</v>
      </c>
      <c r="C365" s="96"/>
      <c r="D365" s="75"/>
      <c r="E365" s="77"/>
      <c r="F365" s="75" t="str">
        <f t="shared" si="16"/>
        <v/>
      </c>
      <c r="G365" s="76" t="str">
        <f t="shared" si="17"/>
        <v/>
      </c>
      <c r="H365" s="52">
        <v>3.6000000000000002E-4</v>
      </c>
    </row>
    <row r="366" spans="2:8" ht="30" customHeight="1">
      <c r="B366" s="52">
        <f t="shared" si="15"/>
        <v>0</v>
      </c>
      <c r="C366" s="96"/>
      <c r="D366" s="75"/>
      <c r="E366" s="77"/>
      <c r="F366" s="75" t="str">
        <f t="shared" si="16"/>
        <v/>
      </c>
      <c r="G366" s="76" t="str">
        <f t="shared" si="17"/>
        <v/>
      </c>
      <c r="H366" s="52">
        <v>3.6099999999999999E-4</v>
      </c>
    </row>
    <row r="367" spans="2:8" ht="30" customHeight="1">
      <c r="B367" s="52">
        <f t="shared" si="15"/>
        <v>0</v>
      </c>
      <c r="C367" s="96"/>
      <c r="D367" s="75"/>
      <c r="E367" s="77"/>
      <c r="F367" s="75" t="str">
        <f t="shared" si="16"/>
        <v/>
      </c>
      <c r="G367" s="76" t="str">
        <f t="shared" si="17"/>
        <v/>
      </c>
      <c r="H367" s="52">
        <v>3.6200000000000002E-4</v>
      </c>
    </row>
    <row r="368" spans="2:8" ht="30" customHeight="1">
      <c r="B368" s="52">
        <f t="shared" si="15"/>
        <v>0</v>
      </c>
      <c r="C368" s="96"/>
      <c r="D368" s="75"/>
      <c r="E368" s="77"/>
      <c r="F368" s="75" t="str">
        <f t="shared" si="16"/>
        <v/>
      </c>
      <c r="G368" s="76" t="str">
        <f t="shared" si="17"/>
        <v/>
      </c>
      <c r="H368" s="52">
        <v>3.6299999999999999E-4</v>
      </c>
    </row>
    <row r="369" spans="2:8" ht="30" customHeight="1">
      <c r="B369" s="52">
        <f t="shared" si="15"/>
        <v>0</v>
      </c>
      <c r="C369" s="96"/>
      <c r="D369" s="75"/>
      <c r="E369" s="77"/>
      <c r="F369" s="75" t="str">
        <f t="shared" si="16"/>
        <v/>
      </c>
      <c r="G369" s="76" t="str">
        <f t="shared" si="17"/>
        <v/>
      </c>
      <c r="H369" s="52">
        <v>3.6400000000000001E-4</v>
      </c>
    </row>
    <row r="370" spans="2:8" ht="30" customHeight="1">
      <c r="B370" s="52">
        <f t="shared" si="15"/>
        <v>0</v>
      </c>
      <c r="C370" s="96"/>
      <c r="D370" s="75"/>
      <c r="E370" s="77"/>
      <c r="F370" s="75" t="str">
        <f t="shared" si="16"/>
        <v/>
      </c>
      <c r="G370" s="76" t="str">
        <f t="shared" si="17"/>
        <v/>
      </c>
      <c r="H370" s="52">
        <v>3.6499999999999998E-4</v>
      </c>
    </row>
    <row r="371" spans="2:8" ht="30" customHeight="1">
      <c r="B371" s="52">
        <f t="shared" si="15"/>
        <v>0</v>
      </c>
      <c r="C371" s="96"/>
      <c r="D371" s="75"/>
      <c r="E371" s="77"/>
      <c r="F371" s="75" t="str">
        <f t="shared" si="16"/>
        <v/>
      </c>
      <c r="G371" s="76" t="str">
        <f t="shared" si="17"/>
        <v/>
      </c>
      <c r="H371" s="52">
        <v>3.6600000000000001E-4</v>
      </c>
    </row>
    <row r="372" spans="2:8" ht="30" customHeight="1">
      <c r="B372" s="52">
        <f t="shared" si="15"/>
        <v>0</v>
      </c>
      <c r="C372" s="96"/>
      <c r="D372" s="75"/>
      <c r="E372" s="77"/>
      <c r="F372" s="75" t="str">
        <f t="shared" si="16"/>
        <v/>
      </c>
      <c r="G372" s="76" t="str">
        <f t="shared" si="17"/>
        <v/>
      </c>
      <c r="H372" s="52">
        <v>3.6699999999999998E-4</v>
      </c>
    </row>
    <row r="373" spans="2:8" ht="30" customHeight="1">
      <c r="B373" s="52">
        <f t="shared" si="15"/>
        <v>0</v>
      </c>
      <c r="C373" s="96"/>
      <c r="D373" s="75"/>
      <c r="E373" s="77"/>
      <c r="F373" s="75" t="str">
        <f t="shared" si="16"/>
        <v/>
      </c>
      <c r="G373" s="76" t="str">
        <f t="shared" si="17"/>
        <v/>
      </c>
      <c r="H373" s="52">
        <v>3.68E-4</v>
      </c>
    </row>
    <row r="374" spans="2:8" ht="30" customHeight="1">
      <c r="B374" s="52">
        <f t="shared" si="15"/>
        <v>0</v>
      </c>
      <c r="C374" s="96"/>
      <c r="D374" s="75"/>
      <c r="E374" s="77"/>
      <c r="F374" s="75" t="str">
        <f t="shared" si="16"/>
        <v/>
      </c>
      <c r="G374" s="76" t="str">
        <f t="shared" si="17"/>
        <v/>
      </c>
      <c r="H374" s="52">
        <v>3.6900000000000002E-4</v>
      </c>
    </row>
    <row r="375" spans="2:8" ht="30" customHeight="1">
      <c r="B375" s="52">
        <f t="shared" si="15"/>
        <v>0</v>
      </c>
      <c r="C375" s="96"/>
      <c r="D375" s="75"/>
      <c r="E375" s="77"/>
      <c r="F375" s="75" t="str">
        <f t="shared" si="16"/>
        <v/>
      </c>
      <c r="G375" s="76" t="str">
        <f t="shared" si="17"/>
        <v/>
      </c>
      <c r="H375" s="52">
        <v>3.6999999999999999E-4</v>
      </c>
    </row>
    <row r="376" spans="2:8" ht="30" customHeight="1">
      <c r="B376" s="52">
        <f t="shared" si="15"/>
        <v>0</v>
      </c>
      <c r="C376" s="96"/>
      <c r="D376" s="75"/>
      <c r="E376" s="77"/>
      <c r="F376" s="75" t="str">
        <f t="shared" si="16"/>
        <v/>
      </c>
      <c r="G376" s="76" t="str">
        <f t="shared" si="17"/>
        <v/>
      </c>
      <c r="H376" s="52">
        <v>3.7100000000000002E-4</v>
      </c>
    </row>
    <row r="377" spans="2:8" ht="30" customHeight="1">
      <c r="B377" s="52">
        <f t="shared" si="15"/>
        <v>0</v>
      </c>
      <c r="C377" s="96"/>
      <c r="D377" s="75"/>
      <c r="E377" s="77"/>
      <c r="F377" s="75" t="str">
        <f t="shared" si="16"/>
        <v/>
      </c>
      <c r="G377" s="76" t="str">
        <f t="shared" si="17"/>
        <v/>
      </c>
      <c r="H377" s="52">
        <v>3.7199999999999999E-4</v>
      </c>
    </row>
    <row r="378" spans="2:8" ht="30" customHeight="1">
      <c r="B378" s="52">
        <f t="shared" si="15"/>
        <v>0</v>
      </c>
      <c r="C378" s="96"/>
      <c r="D378" s="75"/>
      <c r="E378" s="77"/>
      <c r="F378" s="75" t="str">
        <f t="shared" si="16"/>
        <v/>
      </c>
      <c r="G378" s="76" t="str">
        <f t="shared" si="17"/>
        <v/>
      </c>
      <c r="H378" s="52">
        <v>3.7300000000000001E-4</v>
      </c>
    </row>
    <row r="379" spans="2:8" ht="30" customHeight="1">
      <c r="B379" s="52">
        <f t="shared" si="15"/>
        <v>0</v>
      </c>
      <c r="C379" s="96"/>
      <c r="D379" s="75"/>
      <c r="E379" s="77"/>
      <c r="F379" s="75" t="str">
        <f t="shared" si="16"/>
        <v/>
      </c>
      <c r="G379" s="76" t="str">
        <f t="shared" si="17"/>
        <v/>
      </c>
      <c r="H379" s="52">
        <v>3.7399999999999998E-4</v>
      </c>
    </row>
    <row r="380" spans="2:8" ht="30" customHeight="1">
      <c r="B380" s="52">
        <f t="shared" si="15"/>
        <v>0</v>
      </c>
      <c r="C380" s="96"/>
      <c r="D380" s="75"/>
      <c r="E380" s="77"/>
      <c r="F380" s="75" t="str">
        <f t="shared" si="16"/>
        <v/>
      </c>
      <c r="G380" s="76" t="str">
        <f t="shared" si="17"/>
        <v/>
      </c>
      <c r="H380" s="52">
        <v>3.7500000000000001E-4</v>
      </c>
    </row>
    <row r="381" spans="2:8" ht="30" customHeight="1">
      <c r="B381" s="52">
        <f t="shared" si="15"/>
        <v>0</v>
      </c>
      <c r="C381" s="96"/>
      <c r="D381" s="75"/>
      <c r="E381" s="77"/>
      <c r="F381" s="75" t="str">
        <f t="shared" si="16"/>
        <v/>
      </c>
      <c r="G381" s="76" t="str">
        <f t="shared" si="17"/>
        <v/>
      </c>
      <c r="H381" s="52">
        <v>3.7599999999999998E-4</v>
      </c>
    </row>
    <row r="382" spans="2:8" ht="30" customHeight="1">
      <c r="B382" s="52">
        <f t="shared" si="15"/>
        <v>0</v>
      </c>
      <c r="C382" s="96"/>
      <c r="D382" s="75"/>
      <c r="E382" s="77"/>
      <c r="F382" s="75" t="str">
        <f t="shared" si="16"/>
        <v/>
      </c>
      <c r="G382" s="76" t="str">
        <f t="shared" si="17"/>
        <v/>
      </c>
      <c r="H382" s="52">
        <v>3.77E-4</v>
      </c>
    </row>
    <row r="383" spans="2:8" ht="30" customHeight="1">
      <c r="B383" s="52">
        <f t="shared" si="15"/>
        <v>0</v>
      </c>
      <c r="C383" s="96"/>
      <c r="D383" s="75"/>
      <c r="E383" s="77"/>
      <c r="F383" s="75" t="str">
        <f t="shared" si="16"/>
        <v/>
      </c>
      <c r="G383" s="76" t="str">
        <f t="shared" si="17"/>
        <v/>
      </c>
      <c r="H383" s="52">
        <v>3.7800000000000003E-4</v>
      </c>
    </row>
    <row r="384" spans="2:8" ht="30" customHeight="1">
      <c r="B384" s="52">
        <f t="shared" si="15"/>
        <v>0</v>
      </c>
      <c r="C384" s="96"/>
      <c r="D384" s="75"/>
      <c r="E384" s="77"/>
      <c r="F384" s="75" t="str">
        <f t="shared" si="16"/>
        <v/>
      </c>
      <c r="G384" s="76" t="str">
        <f t="shared" si="17"/>
        <v/>
      </c>
      <c r="H384" s="52">
        <v>3.79E-4</v>
      </c>
    </row>
    <row r="385" spans="2:8" ht="30" customHeight="1">
      <c r="B385" s="52">
        <f t="shared" si="15"/>
        <v>0</v>
      </c>
      <c r="C385" s="96"/>
      <c r="D385" s="75"/>
      <c r="E385" s="77"/>
      <c r="F385" s="75" t="str">
        <f t="shared" si="16"/>
        <v/>
      </c>
      <c r="G385" s="76" t="str">
        <f t="shared" si="17"/>
        <v/>
      </c>
      <c r="H385" s="52">
        <v>3.8000000000000002E-4</v>
      </c>
    </row>
    <row r="386" spans="2:8" ht="30" customHeight="1">
      <c r="B386" s="52">
        <f t="shared" si="15"/>
        <v>0</v>
      </c>
      <c r="C386" s="96"/>
      <c r="D386" s="75"/>
      <c r="E386" s="77"/>
      <c r="F386" s="75" t="str">
        <f t="shared" si="16"/>
        <v/>
      </c>
      <c r="G386" s="76" t="str">
        <f t="shared" si="17"/>
        <v/>
      </c>
      <c r="H386" s="52">
        <v>3.8099999999999999E-4</v>
      </c>
    </row>
    <row r="387" spans="2:8" ht="30" customHeight="1">
      <c r="B387" s="52">
        <f t="shared" si="15"/>
        <v>0</v>
      </c>
      <c r="C387" s="96"/>
      <c r="D387" s="75"/>
      <c r="E387" s="77"/>
      <c r="F387" s="75" t="str">
        <f t="shared" si="16"/>
        <v/>
      </c>
      <c r="G387" s="76" t="str">
        <f t="shared" si="17"/>
        <v/>
      </c>
      <c r="H387" s="52">
        <v>3.8200000000000002E-4</v>
      </c>
    </row>
    <row r="388" spans="2:8" ht="30" customHeight="1">
      <c r="B388" s="52">
        <f t="shared" si="15"/>
        <v>0</v>
      </c>
      <c r="C388" s="96"/>
      <c r="D388" s="75"/>
      <c r="E388" s="77"/>
      <c r="F388" s="75" t="str">
        <f t="shared" si="16"/>
        <v/>
      </c>
      <c r="G388" s="76" t="str">
        <f t="shared" si="17"/>
        <v/>
      </c>
      <c r="H388" s="52">
        <v>3.8299999999999999E-4</v>
      </c>
    </row>
    <row r="389" spans="2:8" ht="30" customHeight="1">
      <c r="B389" s="52">
        <f t="shared" si="15"/>
        <v>0</v>
      </c>
      <c r="C389" s="96"/>
      <c r="D389" s="75"/>
      <c r="E389" s="77"/>
      <c r="F389" s="75" t="str">
        <f t="shared" si="16"/>
        <v/>
      </c>
      <c r="G389" s="76" t="str">
        <f t="shared" si="17"/>
        <v/>
      </c>
      <c r="H389" s="52">
        <v>3.8400000000000001E-4</v>
      </c>
    </row>
    <row r="390" spans="2:8" ht="30" customHeight="1">
      <c r="B390" s="52">
        <f t="shared" si="15"/>
        <v>0</v>
      </c>
      <c r="C390" s="96"/>
      <c r="D390" s="75"/>
      <c r="E390" s="77"/>
      <c r="F390" s="75" t="str">
        <f t="shared" si="16"/>
        <v/>
      </c>
      <c r="G390" s="76" t="str">
        <f t="shared" si="17"/>
        <v/>
      </c>
      <c r="H390" s="52">
        <v>3.8499999999999998E-4</v>
      </c>
    </row>
    <row r="391" spans="2:8" ht="30" customHeight="1">
      <c r="B391" s="52">
        <f t="shared" ref="B391:B454" si="18">IFERROR(F391+H391,0)</f>
        <v>0</v>
      </c>
      <c r="C391" s="96"/>
      <c r="D391" s="75"/>
      <c r="E391" s="77"/>
      <c r="F391" s="75" t="str">
        <f t="shared" ref="F391:F454" si="19">IF(C391="","",D391*E391)</f>
        <v/>
      </c>
      <c r="G391" s="76" t="str">
        <f t="shared" ref="G391:G454" si="20">IF(C391="","",F391/SUM($F$6:$F$505))</f>
        <v/>
      </c>
      <c r="H391" s="52">
        <v>3.86E-4</v>
      </c>
    </row>
    <row r="392" spans="2:8" ht="30" customHeight="1">
      <c r="B392" s="52">
        <f t="shared" si="18"/>
        <v>0</v>
      </c>
      <c r="C392" s="96"/>
      <c r="D392" s="75"/>
      <c r="E392" s="77"/>
      <c r="F392" s="75" t="str">
        <f t="shared" si="19"/>
        <v/>
      </c>
      <c r="G392" s="76" t="str">
        <f t="shared" si="20"/>
        <v/>
      </c>
      <c r="H392" s="52">
        <v>3.8699999999999997E-4</v>
      </c>
    </row>
    <row r="393" spans="2:8" ht="30" customHeight="1">
      <c r="B393" s="52">
        <f t="shared" si="18"/>
        <v>0</v>
      </c>
      <c r="C393" s="96"/>
      <c r="D393" s="75"/>
      <c r="E393" s="77"/>
      <c r="F393" s="75" t="str">
        <f t="shared" si="19"/>
        <v/>
      </c>
      <c r="G393" s="76" t="str">
        <f t="shared" si="20"/>
        <v/>
      </c>
      <c r="H393" s="52">
        <v>3.88E-4</v>
      </c>
    </row>
    <row r="394" spans="2:8" ht="30" customHeight="1">
      <c r="B394" s="52">
        <f t="shared" si="18"/>
        <v>0</v>
      </c>
      <c r="C394" s="96"/>
      <c r="D394" s="75"/>
      <c r="E394" s="77"/>
      <c r="F394" s="75" t="str">
        <f t="shared" si="19"/>
        <v/>
      </c>
      <c r="G394" s="76" t="str">
        <f t="shared" si="20"/>
        <v/>
      </c>
      <c r="H394" s="52">
        <v>3.8900000000000002E-4</v>
      </c>
    </row>
    <row r="395" spans="2:8" ht="30" customHeight="1">
      <c r="B395" s="52">
        <f t="shared" si="18"/>
        <v>0</v>
      </c>
      <c r="C395" s="96"/>
      <c r="D395" s="75"/>
      <c r="E395" s="77"/>
      <c r="F395" s="75" t="str">
        <f t="shared" si="19"/>
        <v/>
      </c>
      <c r="G395" s="76" t="str">
        <f t="shared" si="20"/>
        <v/>
      </c>
      <c r="H395" s="52">
        <v>3.8999999999999999E-4</v>
      </c>
    </row>
    <row r="396" spans="2:8" ht="30" customHeight="1">
      <c r="B396" s="52">
        <f t="shared" si="18"/>
        <v>0</v>
      </c>
      <c r="C396" s="96"/>
      <c r="D396" s="75"/>
      <c r="E396" s="77"/>
      <c r="F396" s="75" t="str">
        <f t="shared" si="19"/>
        <v/>
      </c>
      <c r="G396" s="76" t="str">
        <f t="shared" si="20"/>
        <v/>
      </c>
      <c r="H396" s="52">
        <v>3.9100000000000002E-4</v>
      </c>
    </row>
    <row r="397" spans="2:8" ht="30" customHeight="1">
      <c r="B397" s="52">
        <f t="shared" si="18"/>
        <v>0</v>
      </c>
      <c r="C397" s="96"/>
      <c r="D397" s="75"/>
      <c r="E397" s="77"/>
      <c r="F397" s="75" t="str">
        <f t="shared" si="19"/>
        <v/>
      </c>
      <c r="G397" s="76" t="str">
        <f t="shared" si="20"/>
        <v/>
      </c>
      <c r="H397" s="52">
        <v>3.9199999999999999E-4</v>
      </c>
    </row>
    <row r="398" spans="2:8" ht="30" customHeight="1">
      <c r="B398" s="52">
        <f t="shared" si="18"/>
        <v>0</v>
      </c>
      <c r="C398" s="96"/>
      <c r="D398" s="75"/>
      <c r="E398" s="77"/>
      <c r="F398" s="75" t="str">
        <f t="shared" si="19"/>
        <v/>
      </c>
      <c r="G398" s="76" t="str">
        <f t="shared" si="20"/>
        <v/>
      </c>
      <c r="H398" s="52">
        <v>3.9300000000000001E-4</v>
      </c>
    </row>
    <row r="399" spans="2:8" ht="30" customHeight="1">
      <c r="B399" s="52">
        <f t="shared" si="18"/>
        <v>0</v>
      </c>
      <c r="C399" s="96"/>
      <c r="D399" s="75"/>
      <c r="E399" s="77"/>
      <c r="F399" s="75" t="str">
        <f t="shared" si="19"/>
        <v/>
      </c>
      <c r="G399" s="76" t="str">
        <f t="shared" si="20"/>
        <v/>
      </c>
      <c r="H399" s="52">
        <v>3.9399999999999998E-4</v>
      </c>
    </row>
    <row r="400" spans="2:8" ht="30" customHeight="1">
      <c r="B400" s="52">
        <f t="shared" si="18"/>
        <v>0</v>
      </c>
      <c r="C400" s="96"/>
      <c r="D400" s="75"/>
      <c r="E400" s="77"/>
      <c r="F400" s="75" t="str">
        <f t="shared" si="19"/>
        <v/>
      </c>
      <c r="G400" s="76" t="str">
        <f t="shared" si="20"/>
        <v/>
      </c>
      <c r="H400" s="52">
        <v>3.9500000000000001E-4</v>
      </c>
    </row>
    <row r="401" spans="2:8" ht="30" customHeight="1">
      <c r="B401" s="52">
        <f t="shared" si="18"/>
        <v>0</v>
      </c>
      <c r="C401" s="96"/>
      <c r="D401" s="75"/>
      <c r="E401" s="77"/>
      <c r="F401" s="75" t="str">
        <f t="shared" si="19"/>
        <v/>
      </c>
      <c r="G401" s="76" t="str">
        <f t="shared" si="20"/>
        <v/>
      </c>
      <c r="H401" s="52">
        <v>3.9599999999999998E-4</v>
      </c>
    </row>
    <row r="402" spans="2:8" ht="30" customHeight="1">
      <c r="B402" s="52">
        <f t="shared" si="18"/>
        <v>0</v>
      </c>
      <c r="C402" s="96"/>
      <c r="D402" s="75"/>
      <c r="E402" s="77"/>
      <c r="F402" s="75" t="str">
        <f t="shared" si="19"/>
        <v/>
      </c>
      <c r="G402" s="76" t="str">
        <f t="shared" si="20"/>
        <v/>
      </c>
      <c r="H402" s="52">
        <v>3.97E-4</v>
      </c>
    </row>
    <row r="403" spans="2:8" ht="30" customHeight="1">
      <c r="B403" s="52">
        <f t="shared" si="18"/>
        <v>0</v>
      </c>
      <c r="C403" s="96"/>
      <c r="D403" s="75"/>
      <c r="E403" s="77"/>
      <c r="F403" s="75" t="str">
        <f t="shared" si="19"/>
        <v/>
      </c>
      <c r="G403" s="76" t="str">
        <f t="shared" si="20"/>
        <v/>
      </c>
      <c r="H403" s="52">
        <v>3.9800000000000002E-4</v>
      </c>
    </row>
    <row r="404" spans="2:8" ht="30" customHeight="1">
      <c r="B404" s="52">
        <f t="shared" si="18"/>
        <v>0</v>
      </c>
      <c r="C404" s="96"/>
      <c r="D404" s="75"/>
      <c r="E404" s="77"/>
      <c r="F404" s="75" t="str">
        <f t="shared" si="19"/>
        <v/>
      </c>
      <c r="G404" s="76" t="str">
        <f t="shared" si="20"/>
        <v/>
      </c>
      <c r="H404" s="52">
        <v>3.9899999999999999E-4</v>
      </c>
    </row>
    <row r="405" spans="2:8" ht="30" customHeight="1">
      <c r="B405" s="52">
        <f t="shared" si="18"/>
        <v>0</v>
      </c>
      <c r="C405" s="96"/>
      <c r="D405" s="75"/>
      <c r="E405" s="77"/>
      <c r="F405" s="75" t="str">
        <f t="shared" si="19"/>
        <v/>
      </c>
      <c r="G405" s="76" t="str">
        <f t="shared" si="20"/>
        <v/>
      </c>
      <c r="H405" s="52">
        <v>4.0000000000000002E-4</v>
      </c>
    </row>
    <row r="406" spans="2:8" ht="30" customHeight="1">
      <c r="B406" s="52">
        <f t="shared" si="18"/>
        <v>0</v>
      </c>
      <c r="C406" s="96"/>
      <c r="D406" s="75"/>
      <c r="E406" s="77"/>
      <c r="F406" s="75" t="str">
        <f t="shared" si="19"/>
        <v/>
      </c>
      <c r="G406" s="76" t="str">
        <f t="shared" si="20"/>
        <v/>
      </c>
      <c r="H406" s="52">
        <v>4.0099999999999999E-4</v>
      </c>
    </row>
    <row r="407" spans="2:8" ht="30" customHeight="1">
      <c r="B407" s="52">
        <f t="shared" si="18"/>
        <v>0</v>
      </c>
      <c r="C407" s="96"/>
      <c r="D407" s="75"/>
      <c r="E407" s="77"/>
      <c r="F407" s="75" t="str">
        <f t="shared" si="19"/>
        <v/>
      </c>
      <c r="G407" s="76" t="str">
        <f t="shared" si="20"/>
        <v/>
      </c>
      <c r="H407" s="52">
        <v>4.0200000000000001E-4</v>
      </c>
    </row>
    <row r="408" spans="2:8" ht="30" customHeight="1">
      <c r="B408" s="52">
        <f t="shared" si="18"/>
        <v>0</v>
      </c>
      <c r="C408" s="96"/>
      <c r="D408" s="75"/>
      <c r="E408" s="77"/>
      <c r="F408" s="75" t="str">
        <f t="shared" si="19"/>
        <v/>
      </c>
      <c r="G408" s="76" t="str">
        <f t="shared" si="20"/>
        <v/>
      </c>
      <c r="H408" s="52">
        <v>4.0299999999999998E-4</v>
      </c>
    </row>
    <row r="409" spans="2:8" ht="30" customHeight="1">
      <c r="B409" s="52">
        <f t="shared" si="18"/>
        <v>0</v>
      </c>
      <c r="C409" s="96"/>
      <c r="D409" s="75"/>
      <c r="E409" s="77"/>
      <c r="F409" s="75" t="str">
        <f t="shared" si="19"/>
        <v/>
      </c>
      <c r="G409" s="76" t="str">
        <f t="shared" si="20"/>
        <v/>
      </c>
      <c r="H409" s="52">
        <v>4.0400000000000001E-4</v>
      </c>
    </row>
    <row r="410" spans="2:8" ht="30" customHeight="1">
      <c r="B410" s="52">
        <f t="shared" si="18"/>
        <v>0</v>
      </c>
      <c r="C410" s="96"/>
      <c r="D410" s="75"/>
      <c r="E410" s="77"/>
      <c r="F410" s="75" t="str">
        <f t="shared" si="19"/>
        <v/>
      </c>
      <c r="G410" s="76" t="str">
        <f t="shared" si="20"/>
        <v/>
      </c>
      <c r="H410" s="52">
        <v>4.0499999999999998E-4</v>
      </c>
    </row>
    <row r="411" spans="2:8" ht="30" customHeight="1">
      <c r="B411" s="52">
        <f t="shared" si="18"/>
        <v>0</v>
      </c>
      <c r="C411" s="96"/>
      <c r="D411" s="75"/>
      <c r="E411" s="77"/>
      <c r="F411" s="75" t="str">
        <f t="shared" si="19"/>
        <v/>
      </c>
      <c r="G411" s="76" t="str">
        <f t="shared" si="20"/>
        <v/>
      </c>
      <c r="H411" s="52">
        <v>4.06E-4</v>
      </c>
    </row>
    <row r="412" spans="2:8" ht="30" customHeight="1">
      <c r="B412" s="52">
        <f t="shared" si="18"/>
        <v>0</v>
      </c>
      <c r="C412" s="96"/>
      <c r="D412" s="75"/>
      <c r="E412" s="77"/>
      <c r="F412" s="75" t="str">
        <f t="shared" si="19"/>
        <v/>
      </c>
      <c r="G412" s="76" t="str">
        <f t="shared" si="20"/>
        <v/>
      </c>
      <c r="H412" s="52">
        <v>4.0700000000000003E-4</v>
      </c>
    </row>
    <row r="413" spans="2:8" ht="30" customHeight="1">
      <c r="B413" s="52">
        <f t="shared" si="18"/>
        <v>0</v>
      </c>
      <c r="C413" s="96"/>
      <c r="D413" s="75"/>
      <c r="E413" s="77"/>
      <c r="F413" s="75" t="str">
        <f t="shared" si="19"/>
        <v/>
      </c>
      <c r="G413" s="76" t="str">
        <f t="shared" si="20"/>
        <v/>
      </c>
      <c r="H413" s="52">
        <v>4.08E-4</v>
      </c>
    </row>
    <row r="414" spans="2:8" ht="30" customHeight="1">
      <c r="B414" s="52">
        <f t="shared" si="18"/>
        <v>0</v>
      </c>
      <c r="C414" s="96"/>
      <c r="D414" s="75"/>
      <c r="E414" s="77"/>
      <c r="F414" s="75" t="str">
        <f t="shared" si="19"/>
        <v/>
      </c>
      <c r="G414" s="76" t="str">
        <f t="shared" si="20"/>
        <v/>
      </c>
      <c r="H414" s="52">
        <v>4.0900000000000002E-4</v>
      </c>
    </row>
    <row r="415" spans="2:8" ht="30" customHeight="1">
      <c r="B415" s="52">
        <f t="shared" si="18"/>
        <v>0</v>
      </c>
      <c r="C415" s="96"/>
      <c r="D415" s="75"/>
      <c r="E415" s="77"/>
      <c r="F415" s="75" t="str">
        <f t="shared" si="19"/>
        <v/>
      </c>
      <c r="G415" s="76" t="str">
        <f t="shared" si="20"/>
        <v/>
      </c>
      <c r="H415" s="52">
        <v>4.0999999999999999E-4</v>
      </c>
    </row>
    <row r="416" spans="2:8" ht="30" customHeight="1">
      <c r="B416" s="52">
        <f t="shared" si="18"/>
        <v>0</v>
      </c>
      <c r="C416" s="96"/>
      <c r="D416" s="75"/>
      <c r="E416" s="77"/>
      <c r="F416" s="75" t="str">
        <f t="shared" si="19"/>
        <v/>
      </c>
      <c r="G416" s="76" t="str">
        <f t="shared" si="20"/>
        <v/>
      </c>
      <c r="H416" s="52">
        <v>4.1100000000000002E-4</v>
      </c>
    </row>
    <row r="417" spans="2:8" ht="30" customHeight="1">
      <c r="B417" s="52">
        <f t="shared" si="18"/>
        <v>0</v>
      </c>
      <c r="C417" s="96"/>
      <c r="D417" s="75"/>
      <c r="E417" s="77"/>
      <c r="F417" s="75" t="str">
        <f t="shared" si="19"/>
        <v/>
      </c>
      <c r="G417" s="76" t="str">
        <f t="shared" si="20"/>
        <v/>
      </c>
      <c r="H417" s="52">
        <v>4.1199999999999999E-4</v>
      </c>
    </row>
    <row r="418" spans="2:8" ht="30" customHeight="1">
      <c r="B418" s="52">
        <f t="shared" si="18"/>
        <v>0</v>
      </c>
      <c r="C418" s="96"/>
      <c r="D418" s="75"/>
      <c r="E418" s="77"/>
      <c r="F418" s="75" t="str">
        <f t="shared" si="19"/>
        <v/>
      </c>
      <c r="G418" s="76" t="str">
        <f t="shared" si="20"/>
        <v/>
      </c>
      <c r="H418" s="52">
        <v>4.1300000000000001E-4</v>
      </c>
    </row>
    <row r="419" spans="2:8" ht="30" customHeight="1">
      <c r="B419" s="52">
        <f t="shared" si="18"/>
        <v>0</v>
      </c>
      <c r="C419" s="96"/>
      <c r="D419" s="75"/>
      <c r="E419" s="77"/>
      <c r="F419" s="75" t="str">
        <f t="shared" si="19"/>
        <v/>
      </c>
      <c r="G419" s="76" t="str">
        <f t="shared" si="20"/>
        <v/>
      </c>
      <c r="H419" s="52">
        <v>4.1399999999999998E-4</v>
      </c>
    </row>
    <row r="420" spans="2:8" ht="30" customHeight="1">
      <c r="B420" s="52">
        <f t="shared" si="18"/>
        <v>0</v>
      </c>
      <c r="C420" s="96"/>
      <c r="D420" s="75"/>
      <c r="E420" s="77"/>
      <c r="F420" s="75" t="str">
        <f t="shared" si="19"/>
        <v/>
      </c>
      <c r="G420" s="76" t="str">
        <f t="shared" si="20"/>
        <v/>
      </c>
      <c r="H420" s="52">
        <v>4.15E-4</v>
      </c>
    </row>
    <row r="421" spans="2:8" ht="30" customHeight="1">
      <c r="B421" s="52">
        <f t="shared" si="18"/>
        <v>0</v>
      </c>
      <c r="C421" s="96"/>
      <c r="D421" s="75"/>
      <c r="E421" s="77"/>
      <c r="F421" s="75" t="str">
        <f t="shared" si="19"/>
        <v/>
      </c>
      <c r="G421" s="76" t="str">
        <f t="shared" si="20"/>
        <v/>
      </c>
      <c r="H421" s="52">
        <v>4.1599999999999997E-4</v>
      </c>
    </row>
    <row r="422" spans="2:8" ht="30" customHeight="1">
      <c r="B422" s="52">
        <f t="shared" si="18"/>
        <v>0</v>
      </c>
      <c r="C422" s="96"/>
      <c r="D422" s="75"/>
      <c r="E422" s="77"/>
      <c r="F422" s="75" t="str">
        <f t="shared" si="19"/>
        <v/>
      </c>
      <c r="G422" s="76" t="str">
        <f t="shared" si="20"/>
        <v/>
      </c>
      <c r="H422" s="52">
        <v>4.17E-4</v>
      </c>
    </row>
    <row r="423" spans="2:8" ht="30" customHeight="1">
      <c r="B423" s="52">
        <f t="shared" si="18"/>
        <v>0</v>
      </c>
      <c r="C423" s="96"/>
      <c r="D423" s="75"/>
      <c r="E423" s="77"/>
      <c r="F423" s="75" t="str">
        <f t="shared" si="19"/>
        <v/>
      </c>
      <c r="G423" s="76" t="str">
        <f t="shared" si="20"/>
        <v/>
      </c>
      <c r="H423" s="52">
        <v>4.1800000000000002E-4</v>
      </c>
    </row>
    <row r="424" spans="2:8" ht="30" customHeight="1">
      <c r="B424" s="52">
        <f t="shared" si="18"/>
        <v>0</v>
      </c>
      <c r="C424" s="96"/>
      <c r="D424" s="75"/>
      <c r="E424" s="77"/>
      <c r="F424" s="75" t="str">
        <f t="shared" si="19"/>
        <v/>
      </c>
      <c r="G424" s="76" t="str">
        <f t="shared" si="20"/>
        <v/>
      </c>
      <c r="H424" s="52">
        <v>4.1899999999999999E-4</v>
      </c>
    </row>
    <row r="425" spans="2:8" ht="30" customHeight="1">
      <c r="B425" s="52">
        <f t="shared" si="18"/>
        <v>0</v>
      </c>
      <c r="C425" s="96"/>
      <c r="D425" s="75"/>
      <c r="E425" s="77"/>
      <c r="F425" s="75" t="str">
        <f t="shared" si="19"/>
        <v/>
      </c>
      <c r="G425" s="76" t="str">
        <f t="shared" si="20"/>
        <v/>
      </c>
      <c r="H425" s="52">
        <v>4.2000000000000002E-4</v>
      </c>
    </row>
    <row r="426" spans="2:8" ht="30" customHeight="1">
      <c r="B426" s="52">
        <f t="shared" si="18"/>
        <v>0</v>
      </c>
      <c r="C426" s="96"/>
      <c r="D426" s="75"/>
      <c r="E426" s="77"/>
      <c r="F426" s="75" t="str">
        <f t="shared" si="19"/>
        <v/>
      </c>
      <c r="G426" s="76" t="str">
        <f t="shared" si="20"/>
        <v/>
      </c>
      <c r="H426" s="52">
        <v>4.2099999999999999E-4</v>
      </c>
    </row>
    <row r="427" spans="2:8" ht="30" customHeight="1">
      <c r="B427" s="52">
        <f t="shared" si="18"/>
        <v>0</v>
      </c>
      <c r="C427" s="96"/>
      <c r="D427" s="75"/>
      <c r="E427" s="77"/>
      <c r="F427" s="75" t="str">
        <f t="shared" si="19"/>
        <v/>
      </c>
      <c r="G427" s="76" t="str">
        <f t="shared" si="20"/>
        <v/>
      </c>
      <c r="H427" s="52">
        <v>4.2200000000000001E-4</v>
      </c>
    </row>
    <row r="428" spans="2:8" ht="30" customHeight="1">
      <c r="B428" s="52">
        <f t="shared" si="18"/>
        <v>0</v>
      </c>
      <c r="C428" s="96"/>
      <c r="D428" s="75"/>
      <c r="E428" s="77"/>
      <c r="F428" s="75" t="str">
        <f t="shared" si="19"/>
        <v/>
      </c>
      <c r="G428" s="76" t="str">
        <f t="shared" si="20"/>
        <v/>
      </c>
      <c r="H428" s="52">
        <v>4.2299999999999998E-4</v>
      </c>
    </row>
    <row r="429" spans="2:8" ht="30" customHeight="1">
      <c r="B429" s="52">
        <f t="shared" si="18"/>
        <v>0</v>
      </c>
      <c r="C429" s="96"/>
      <c r="D429" s="75"/>
      <c r="E429" s="77"/>
      <c r="F429" s="75" t="str">
        <f t="shared" si="19"/>
        <v/>
      </c>
      <c r="G429" s="76" t="str">
        <f t="shared" si="20"/>
        <v/>
      </c>
      <c r="H429" s="52">
        <v>4.2400000000000001E-4</v>
      </c>
    </row>
    <row r="430" spans="2:8" ht="30" customHeight="1">
      <c r="B430" s="52">
        <f t="shared" si="18"/>
        <v>0</v>
      </c>
      <c r="C430" s="96"/>
      <c r="D430" s="75"/>
      <c r="E430" s="77"/>
      <c r="F430" s="75" t="str">
        <f t="shared" si="19"/>
        <v/>
      </c>
      <c r="G430" s="76" t="str">
        <f t="shared" si="20"/>
        <v/>
      </c>
      <c r="H430" s="52">
        <v>4.2499999999999998E-4</v>
      </c>
    </row>
    <row r="431" spans="2:8" ht="30" customHeight="1">
      <c r="B431" s="52">
        <f t="shared" si="18"/>
        <v>0</v>
      </c>
      <c r="C431" s="96"/>
      <c r="D431" s="75"/>
      <c r="E431" s="77"/>
      <c r="F431" s="75" t="str">
        <f t="shared" si="19"/>
        <v/>
      </c>
      <c r="G431" s="76" t="str">
        <f t="shared" si="20"/>
        <v/>
      </c>
      <c r="H431" s="52">
        <v>4.26E-4</v>
      </c>
    </row>
    <row r="432" spans="2:8" ht="30" customHeight="1">
      <c r="B432" s="52">
        <f t="shared" si="18"/>
        <v>0</v>
      </c>
      <c r="C432" s="96"/>
      <c r="D432" s="75"/>
      <c r="E432" s="77"/>
      <c r="F432" s="75" t="str">
        <f t="shared" si="19"/>
        <v/>
      </c>
      <c r="G432" s="76" t="str">
        <f t="shared" si="20"/>
        <v/>
      </c>
      <c r="H432" s="52">
        <v>4.2700000000000002E-4</v>
      </c>
    </row>
    <row r="433" spans="2:8" ht="30" customHeight="1">
      <c r="B433" s="52">
        <f t="shared" si="18"/>
        <v>0</v>
      </c>
      <c r="C433" s="96"/>
      <c r="D433" s="75"/>
      <c r="E433" s="77"/>
      <c r="F433" s="75" t="str">
        <f t="shared" si="19"/>
        <v/>
      </c>
      <c r="G433" s="76" t="str">
        <f t="shared" si="20"/>
        <v/>
      </c>
      <c r="H433" s="52">
        <v>4.28E-4</v>
      </c>
    </row>
    <row r="434" spans="2:8" ht="30" customHeight="1">
      <c r="B434" s="52">
        <f t="shared" si="18"/>
        <v>0</v>
      </c>
      <c r="C434" s="96"/>
      <c r="D434" s="75"/>
      <c r="E434" s="77"/>
      <c r="F434" s="75" t="str">
        <f t="shared" si="19"/>
        <v/>
      </c>
      <c r="G434" s="76" t="str">
        <f t="shared" si="20"/>
        <v/>
      </c>
      <c r="H434" s="52">
        <v>4.2900000000000002E-4</v>
      </c>
    </row>
    <row r="435" spans="2:8" ht="30" customHeight="1">
      <c r="B435" s="52">
        <f t="shared" si="18"/>
        <v>0</v>
      </c>
      <c r="C435" s="96"/>
      <c r="D435" s="75"/>
      <c r="E435" s="77"/>
      <c r="F435" s="75" t="str">
        <f t="shared" si="19"/>
        <v/>
      </c>
      <c r="G435" s="76" t="str">
        <f t="shared" si="20"/>
        <v/>
      </c>
      <c r="H435" s="52">
        <v>4.2999999999999999E-4</v>
      </c>
    </row>
    <row r="436" spans="2:8" ht="30" customHeight="1">
      <c r="B436" s="52">
        <f t="shared" si="18"/>
        <v>0</v>
      </c>
      <c r="C436" s="96"/>
      <c r="D436" s="75"/>
      <c r="E436" s="77"/>
      <c r="F436" s="75" t="str">
        <f t="shared" si="19"/>
        <v/>
      </c>
      <c r="G436" s="76" t="str">
        <f t="shared" si="20"/>
        <v/>
      </c>
      <c r="H436" s="52">
        <v>4.3100000000000001E-4</v>
      </c>
    </row>
    <row r="437" spans="2:8" ht="30" customHeight="1">
      <c r="B437" s="52">
        <f t="shared" si="18"/>
        <v>0</v>
      </c>
      <c r="C437" s="96"/>
      <c r="D437" s="75"/>
      <c r="E437" s="77"/>
      <c r="F437" s="75" t="str">
        <f t="shared" si="19"/>
        <v/>
      </c>
      <c r="G437" s="76" t="str">
        <f t="shared" si="20"/>
        <v/>
      </c>
      <c r="H437" s="52">
        <v>4.3199999999999998E-4</v>
      </c>
    </row>
    <row r="438" spans="2:8" ht="30" customHeight="1">
      <c r="B438" s="52">
        <f t="shared" si="18"/>
        <v>0</v>
      </c>
      <c r="C438" s="96"/>
      <c r="D438" s="75"/>
      <c r="E438" s="77"/>
      <c r="F438" s="75" t="str">
        <f t="shared" si="19"/>
        <v/>
      </c>
      <c r="G438" s="76" t="str">
        <f t="shared" si="20"/>
        <v/>
      </c>
      <c r="H438" s="52">
        <v>4.3300000000000001E-4</v>
      </c>
    </row>
    <row r="439" spans="2:8" ht="30" customHeight="1">
      <c r="B439" s="52">
        <f t="shared" si="18"/>
        <v>0</v>
      </c>
      <c r="C439" s="96"/>
      <c r="D439" s="75"/>
      <c r="E439" s="77"/>
      <c r="F439" s="75" t="str">
        <f t="shared" si="19"/>
        <v/>
      </c>
      <c r="G439" s="76" t="str">
        <f t="shared" si="20"/>
        <v/>
      </c>
      <c r="H439" s="52">
        <v>4.3399999999999998E-4</v>
      </c>
    </row>
    <row r="440" spans="2:8" ht="30" customHeight="1">
      <c r="B440" s="52">
        <f t="shared" si="18"/>
        <v>0</v>
      </c>
      <c r="C440" s="96"/>
      <c r="D440" s="75"/>
      <c r="E440" s="77"/>
      <c r="F440" s="75" t="str">
        <f t="shared" si="19"/>
        <v/>
      </c>
      <c r="G440" s="76" t="str">
        <f t="shared" si="20"/>
        <v/>
      </c>
      <c r="H440" s="52">
        <v>4.35E-4</v>
      </c>
    </row>
    <row r="441" spans="2:8" ht="30" customHeight="1">
      <c r="B441" s="52">
        <f t="shared" si="18"/>
        <v>0</v>
      </c>
      <c r="C441" s="96"/>
      <c r="D441" s="75"/>
      <c r="E441" s="77"/>
      <c r="F441" s="75" t="str">
        <f t="shared" si="19"/>
        <v/>
      </c>
      <c r="G441" s="76" t="str">
        <f t="shared" si="20"/>
        <v/>
      </c>
      <c r="H441" s="52">
        <v>4.3600000000000003E-4</v>
      </c>
    </row>
    <row r="442" spans="2:8" ht="30" customHeight="1">
      <c r="B442" s="52">
        <f t="shared" si="18"/>
        <v>0</v>
      </c>
      <c r="C442" s="96"/>
      <c r="D442" s="75"/>
      <c r="E442" s="77"/>
      <c r="F442" s="75" t="str">
        <f t="shared" si="19"/>
        <v/>
      </c>
      <c r="G442" s="76" t="str">
        <f t="shared" si="20"/>
        <v/>
      </c>
      <c r="H442" s="52">
        <v>4.37E-4</v>
      </c>
    </row>
    <row r="443" spans="2:8" ht="30" customHeight="1">
      <c r="B443" s="52">
        <f t="shared" si="18"/>
        <v>0</v>
      </c>
      <c r="C443" s="96"/>
      <c r="D443" s="75"/>
      <c r="E443" s="77"/>
      <c r="F443" s="75" t="str">
        <f t="shared" si="19"/>
        <v/>
      </c>
      <c r="G443" s="76" t="str">
        <f t="shared" si="20"/>
        <v/>
      </c>
      <c r="H443" s="52">
        <v>4.3800000000000002E-4</v>
      </c>
    </row>
    <row r="444" spans="2:8" ht="30" customHeight="1">
      <c r="B444" s="52">
        <f t="shared" si="18"/>
        <v>0</v>
      </c>
      <c r="C444" s="96"/>
      <c r="D444" s="75"/>
      <c r="E444" s="77"/>
      <c r="F444" s="75" t="str">
        <f t="shared" si="19"/>
        <v/>
      </c>
      <c r="G444" s="76" t="str">
        <f t="shared" si="20"/>
        <v/>
      </c>
      <c r="H444" s="52">
        <v>4.3899999999999999E-4</v>
      </c>
    </row>
    <row r="445" spans="2:8" ht="30" customHeight="1">
      <c r="B445" s="52">
        <f t="shared" si="18"/>
        <v>0</v>
      </c>
      <c r="C445" s="96"/>
      <c r="D445" s="75"/>
      <c r="E445" s="77"/>
      <c r="F445" s="75" t="str">
        <f t="shared" si="19"/>
        <v/>
      </c>
      <c r="G445" s="76" t="str">
        <f t="shared" si="20"/>
        <v/>
      </c>
      <c r="H445" s="52">
        <v>4.4000000000000002E-4</v>
      </c>
    </row>
    <row r="446" spans="2:8" ht="30" customHeight="1">
      <c r="B446" s="52">
        <f t="shared" si="18"/>
        <v>0</v>
      </c>
      <c r="C446" s="96"/>
      <c r="D446" s="75"/>
      <c r="E446" s="77"/>
      <c r="F446" s="75" t="str">
        <f t="shared" si="19"/>
        <v/>
      </c>
      <c r="G446" s="76" t="str">
        <f t="shared" si="20"/>
        <v/>
      </c>
      <c r="H446" s="52">
        <v>4.4099999999999999E-4</v>
      </c>
    </row>
    <row r="447" spans="2:8" ht="30" customHeight="1">
      <c r="B447" s="52">
        <f t="shared" si="18"/>
        <v>0</v>
      </c>
      <c r="C447" s="96"/>
      <c r="D447" s="75"/>
      <c r="E447" s="77"/>
      <c r="F447" s="75" t="str">
        <f t="shared" si="19"/>
        <v/>
      </c>
      <c r="G447" s="76" t="str">
        <f t="shared" si="20"/>
        <v/>
      </c>
      <c r="H447" s="52">
        <v>4.4200000000000001E-4</v>
      </c>
    </row>
    <row r="448" spans="2:8" ht="30" customHeight="1">
      <c r="B448" s="52">
        <f t="shared" si="18"/>
        <v>0</v>
      </c>
      <c r="C448" s="96"/>
      <c r="D448" s="75"/>
      <c r="E448" s="77"/>
      <c r="F448" s="75" t="str">
        <f t="shared" si="19"/>
        <v/>
      </c>
      <c r="G448" s="76" t="str">
        <f t="shared" si="20"/>
        <v/>
      </c>
      <c r="H448" s="52">
        <v>4.4299999999999998E-4</v>
      </c>
    </row>
    <row r="449" spans="2:8" ht="30" customHeight="1">
      <c r="B449" s="52">
        <f t="shared" si="18"/>
        <v>0</v>
      </c>
      <c r="C449" s="96"/>
      <c r="D449" s="75"/>
      <c r="E449" s="77"/>
      <c r="F449" s="75" t="str">
        <f t="shared" si="19"/>
        <v/>
      </c>
      <c r="G449" s="76" t="str">
        <f t="shared" si="20"/>
        <v/>
      </c>
      <c r="H449" s="52">
        <v>4.44E-4</v>
      </c>
    </row>
    <row r="450" spans="2:8" ht="30" customHeight="1">
      <c r="B450" s="52">
        <f t="shared" si="18"/>
        <v>0</v>
      </c>
      <c r="C450" s="96"/>
      <c r="D450" s="75"/>
      <c r="E450" s="77"/>
      <c r="F450" s="75" t="str">
        <f t="shared" si="19"/>
        <v/>
      </c>
      <c r="G450" s="76" t="str">
        <f t="shared" si="20"/>
        <v/>
      </c>
      <c r="H450" s="52">
        <v>4.4499999999999997E-4</v>
      </c>
    </row>
    <row r="451" spans="2:8" ht="30" customHeight="1">
      <c r="B451" s="52">
        <f t="shared" si="18"/>
        <v>0</v>
      </c>
      <c r="C451" s="96"/>
      <c r="D451" s="75"/>
      <c r="E451" s="77"/>
      <c r="F451" s="75" t="str">
        <f t="shared" si="19"/>
        <v/>
      </c>
      <c r="G451" s="76" t="str">
        <f t="shared" si="20"/>
        <v/>
      </c>
      <c r="H451" s="52">
        <v>4.46E-4</v>
      </c>
    </row>
    <row r="452" spans="2:8" ht="30" customHeight="1">
      <c r="B452" s="52">
        <f t="shared" si="18"/>
        <v>0</v>
      </c>
      <c r="C452" s="96"/>
      <c r="D452" s="75"/>
      <c r="E452" s="77"/>
      <c r="F452" s="75" t="str">
        <f t="shared" si="19"/>
        <v/>
      </c>
      <c r="G452" s="76" t="str">
        <f t="shared" si="20"/>
        <v/>
      </c>
      <c r="H452" s="52">
        <v>4.4700000000000002E-4</v>
      </c>
    </row>
    <row r="453" spans="2:8" ht="30" customHeight="1">
      <c r="B453" s="52">
        <f t="shared" si="18"/>
        <v>0</v>
      </c>
      <c r="C453" s="96"/>
      <c r="D453" s="75"/>
      <c r="E453" s="77"/>
      <c r="F453" s="75" t="str">
        <f t="shared" si="19"/>
        <v/>
      </c>
      <c r="G453" s="76" t="str">
        <f t="shared" si="20"/>
        <v/>
      </c>
      <c r="H453" s="52">
        <v>4.4799999999999999E-4</v>
      </c>
    </row>
    <row r="454" spans="2:8" ht="30" customHeight="1">
      <c r="B454" s="52">
        <f t="shared" si="18"/>
        <v>0</v>
      </c>
      <c r="C454" s="96"/>
      <c r="D454" s="75"/>
      <c r="E454" s="77"/>
      <c r="F454" s="75" t="str">
        <f t="shared" si="19"/>
        <v/>
      </c>
      <c r="G454" s="76" t="str">
        <f t="shared" si="20"/>
        <v/>
      </c>
      <c r="H454" s="52">
        <v>4.4900000000000002E-4</v>
      </c>
    </row>
    <row r="455" spans="2:8" ht="30" customHeight="1">
      <c r="B455" s="52">
        <f t="shared" ref="B455:B505" si="21">IFERROR(F455+H455,0)</f>
        <v>0</v>
      </c>
      <c r="C455" s="96"/>
      <c r="D455" s="75"/>
      <c r="E455" s="77"/>
      <c r="F455" s="75" t="str">
        <f t="shared" ref="F455:F505" si="22">IF(C455="","",D455*E455)</f>
        <v/>
      </c>
      <c r="G455" s="76" t="str">
        <f t="shared" ref="G455:G505" si="23">IF(C455="","",F455/SUM($F$6:$F$505))</f>
        <v/>
      </c>
      <c r="H455" s="52">
        <v>4.4999999999999999E-4</v>
      </c>
    </row>
    <row r="456" spans="2:8" ht="30" customHeight="1">
      <c r="B456" s="52">
        <f t="shared" si="21"/>
        <v>0</v>
      </c>
      <c r="C456" s="96"/>
      <c r="D456" s="75"/>
      <c r="E456" s="77"/>
      <c r="F456" s="75" t="str">
        <f t="shared" si="22"/>
        <v/>
      </c>
      <c r="G456" s="76" t="str">
        <f t="shared" si="23"/>
        <v/>
      </c>
      <c r="H456" s="52">
        <v>4.5100000000000001E-4</v>
      </c>
    </row>
    <row r="457" spans="2:8" ht="30" customHeight="1">
      <c r="B457" s="52">
        <f t="shared" si="21"/>
        <v>0</v>
      </c>
      <c r="C457" s="96"/>
      <c r="D457" s="75"/>
      <c r="E457" s="77"/>
      <c r="F457" s="75" t="str">
        <f t="shared" si="22"/>
        <v/>
      </c>
      <c r="G457" s="76" t="str">
        <f t="shared" si="23"/>
        <v/>
      </c>
      <c r="H457" s="52">
        <v>4.5199999999999998E-4</v>
      </c>
    </row>
    <row r="458" spans="2:8" ht="30" customHeight="1">
      <c r="B458" s="52">
        <f t="shared" si="21"/>
        <v>0</v>
      </c>
      <c r="C458" s="96"/>
      <c r="D458" s="75"/>
      <c r="E458" s="77"/>
      <c r="F458" s="75" t="str">
        <f t="shared" si="22"/>
        <v/>
      </c>
      <c r="G458" s="76" t="str">
        <f t="shared" si="23"/>
        <v/>
      </c>
      <c r="H458" s="52">
        <v>4.5300000000000001E-4</v>
      </c>
    </row>
    <row r="459" spans="2:8" ht="30" customHeight="1">
      <c r="B459" s="52">
        <f t="shared" si="21"/>
        <v>0</v>
      </c>
      <c r="C459" s="96"/>
      <c r="D459" s="75"/>
      <c r="E459" s="77"/>
      <c r="F459" s="75" t="str">
        <f t="shared" si="22"/>
        <v/>
      </c>
      <c r="G459" s="76" t="str">
        <f t="shared" si="23"/>
        <v/>
      </c>
      <c r="H459" s="52">
        <v>4.5399999999999998E-4</v>
      </c>
    </row>
    <row r="460" spans="2:8" ht="30" customHeight="1">
      <c r="B460" s="52">
        <f t="shared" si="21"/>
        <v>0</v>
      </c>
      <c r="C460" s="96"/>
      <c r="D460" s="75"/>
      <c r="E460" s="77"/>
      <c r="F460" s="75" t="str">
        <f t="shared" si="22"/>
        <v/>
      </c>
      <c r="G460" s="76" t="str">
        <f t="shared" si="23"/>
        <v/>
      </c>
      <c r="H460" s="52">
        <v>4.55E-4</v>
      </c>
    </row>
    <row r="461" spans="2:8" ht="30" customHeight="1">
      <c r="B461" s="52">
        <f t="shared" si="21"/>
        <v>0</v>
      </c>
      <c r="C461" s="96"/>
      <c r="D461" s="75"/>
      <c r="E461" s="77"/>
      <c r="F461" s="75" t="str">
        <f t="shared" si="22"/>
        <v/>
      </c>
      <c r="G461" s="76" t="str">
        <f t="shared" si="23"/>
        <v/>
      </c>
      <c r="H461" s="52">
        <v>4.5600000000000003E-4</v>
      </c>
    </row>
    <row r="462" spans="2:8" ht="30" customHeight="1">
      <c r="B462" s="52">
        <f t="shared" si="21"/>
        <v>0</v>
      </c>
      <c r="C462" s="96"/>
      <c r="D462" s="75"/>
      <c r="E462" s="77"/>
      <c r="F462" s="75" t="str">
        <f t="shared" si="22"/>
        <v/>
      </c>
      <c r="G462" s="76" t="str">
        <f t="shared" si="23"/>
        <v/>
      </c>
      <c r="H462" s="52">
        <v>4.57E-4</v>
      </c>
    </row>
    <row r="463" spans="2:8" ht="30" customHeight="1">
      <c r="B463" s="52">
        <f t="shared" si="21"/>
        <v>0</v>
      </c>
      <c r="C463" s="96"/>
      <c r="D463" s="75"/>
      <c r="E463" s="77"/>
      <c r="F463" s="75" t="str">
        <f t="shared" si="22"/>
        <v/>
      </c>
      <c r="G463" s="76" t="str">
        <f t="shared" si="23"/>
        <v/>
      </c>
      <c r="H463" s="52">
        <v>4.5800000000000002E-4</v>
      </c>
    </row>
    <row r="464" spans="2:8" ht="30" customHeight="1">
      <c r="B464" s="52">
        <f t="shared" si="21"/>
        <v>0</v>
      </c>
      <c r="C464" s="96"/>
      <c r="D464" s="75"/>
      <c r="E464" s="77"/>
      <c r="F464" s="75" t="str">
        <f t="shared" si="22"/>
        <v/>
      </c>
      <c r="G464" s="76" t="str">
        <f t="shared" si="23"/>
        <v/>
      </c>
      <c r="H464" s="52">
        <v>4.5899999999999999E-4</v>
      </c>
    </row>
    <row r="465" spans="2:8" ht="30" customHeight="1">
      <c r="B465" s="52">
        <f t="shared" si="21"/>
        <v>0</v>
      </c>
      <c r="C465" s="96"/>
      <c r="D465" s="75"/>
      <c r="E465" s="77"/>
      <c r="F465" s="75" t="str">
        <f t="shared" si="22"/>
        <v/>
      </c>
      <c r="G465" s="76" t="str">
        <f t="shared" si="23"/>
        <v/>
      </c>
      <c r="H465" s="52">
        <v>4.6000000000000001E-4</v>
      </c>
    </row>
    <row r="466" spans="2:8" ht="30" customHeight="1">
      <c r="B466" s="52">
        <f t="shared" si="21"/>
        <v>0</v>
      </c>
      <c r="C466" s="96"/>
      <c r="D466" s="75"/>
      <c r="E466" s="77"/>
      <c r="F466" s="75" t="str">
        <f t="shared" si="22"/>
        <v/>
      </c>
      <c r="G466" s="76" t="str">
        <f t="shared" si="23"/>
        <v/>
      </c>
      <c r="H466" s="52">
        <v>4.6099999999999998E-4</v>
      </c>
    </row>
    <row r="467" spans="2:8" ht="30" customHeight="1">
      <c r="B467" s="52">
        <f t="shared" si="21"/>
        <v>0</v>
      </c>
      <c r="C467" s="96"/>
      <c r="D467" s="75"/>
      <c r="E467" s="77"/>
      <c r="F467" s="75" t="str">
        <f t="shared" si="22"/>
        <v/>
      </c>
      <c r="G467" s="76" t="str">
        <f t="shared" si="23"/>
        <v/>
      </c>
      <c r="H467" s="52">
        <v>4.6200000000000001E-4</v>
      </c>
    </row>
    <row r="468" spans="2:8" ht="30" customHeight="1">
      <c r="B468" s="52">
        <f t="shared" si="21"/>
        <v>0</v>
      </c>
      <c r="C468" s="96"/>
      <c r="D468" s="75"/>
      <c r="E468" s="77"/>
      <c r="F468" s="75" t="str">
        <f t="shared" si="22"/>
        <v/>
      </c>
      <c r="G468" s="76" t="str">
        <f t="shared" si="23"/>
        <v/>
      </c>
      <c r="H468" s="52">
        <v>4.6299999999999998E-4</v>
      </c>
    </row>
    <row r="469" spans="2:8" ht="30" customHeight="1">
      <c r="B469" s="52">
        <f t="shared" si="21"/>
        <v>0</v>
      </c>
      <c r="C469" s="96"/>
      <c r="D469" s="75"/>
      <c r="E469" s="77"/>
      <c r="F469" s="75" t="str">
        <f t="shared" si="22"/>
        <v/>
      </c>
      <c r="G469" s="76" t="str">
        <f t="shared" si="23"/>
        <v/>
      </c>
      <c r="H469" s="52">
        <v>4.64E-4</v>
      </c>
    </row>
    <row r="470" spans="2:8" ht="30" customHeight="1">
      <c r="B470" s="52">
        <f t="shared" si="21"/>
        <v>0</v>
      </c>
      <c r="C470" s="96"/>
      <c r="D470" s="75"/>
      <c r="E470" s="77"/>
      <c r="F470" s="75" t="str">
        <f t="shared" si="22"/>
        <v/>
      </c>
      <c r="G470" s="76" t="str">
        <f t="shared" si="23"/>
        <v/>
      </c>
      <c r="H470" s="52">
        <v>4.6500000000000003E-4</v>
      </c>
    </row>
    <row r="471" spans="2:8" ht="30" customHeight="1">
      <c r="B471" s="52">
        <f t="shared" si="21"/>
        <v>0</v>
      </c>
      <c r="C471" s="96"/>
      <c r="D471" s="75"/>
      <c r="E471" s="77"/>
      <c r="F471" s="75" t="str">
        <f t="shared" si="22"/>
        <v/>
      </c>
      <c r="G471" s="76" t="str">
        <f t="shared" si="23"/>
        <v/>
      </c>
      <c r="H471" s="52">
        <v>4.66E-4</v>
      </c>
    </row>
    <row r="472" spans="2:8" ht="30" customHeight="1">
      <c r="B472" s="52">
        <f t="shared" si="21"/>
        <v>0</v>
      </c>
      <c r="C472" s="96"/>
      <c r="D472" s="75"/>
      <c r="E472" s="77"/>
      <c r="F472" s="75" t="str">
        <f t="shared" si="22"/>
        <v/>
      </c>
      <c r="G472" s="76" t="str">
        <f t="shared" si="23"/>
        <v/>
      </c>
      <c r="H472" s="52">
        <v>4.6700000000000002E-4</v>
      </c>
    </row>
    <row r="473" spans="2:8" ht="30" customHeight="1">
      <c r="B473" s="52">
        <f t="shared" si="21"/>
        <v>0</v>
      </c>
      <c r="C473" s="96"/>
      <c r="D473" s="75"/>
      <c r="E473" s="77"/>
      <c r="F473" s="75" t="str">
        <f t="shared" si="22"/>
        <v/>
      </c>
      <c r="G473" s="76" t="str">
        <f t="shared" si="23"/>
        <v/>
      </c>
      <c r="H473" s="52">
        <v>4.6799999999999999E-4</v>
      </c>
    </row>
    <row r="474" spans="2:8" ht="30" customHeight="1">
      <c r="B474" s="52">
        <f t="shared" si="21"/>
        <v>0</v>
      </c>
      <c r="C474" s="96"/>
      <c r="D474" s="75"/>
      <c r="E474" s="77"/>
      <c r="F474" s="75" t="str">
        <f t="shared" si="22"/>
        <v/>
      </c>
      <c r="G474" s="76" t="str">
        <f t="shared" si="23"/>
        <v/>
      </c>
      <c r="H474" s="52">
        <v>4.6900000000000002E-4</v>
      </c>
    </row>
    <row r="475" spans="2:8" ht="30" customHeight="1">
      <c r="B475" s="52">
        <f t="shared" si="21"/>
        <v>0</v>
      </c>
      <c r="C475" s="96"/>
      <c r="D475" s="75"/>
      <c r="E475" s="77"/>
      <c r="F475" s="75" t="str">
        <f t="shared" si="22"/>
        <v/>
      </c>
      <c r="G475" s="76" t="str">
        <f t="shared" si="23"/>
        <v/>
      </c>
      <c r="H475" s="52">
        <v>4.6999999999999999E-4</v>
      </c>
    </row>
    <row r="476" spans="2:8" ht="30" customHeight="1">
      <c r="B476" s="52">
        <f t="shared" si="21"/>
        <v>0</v>
      </c>
      <c r="C476" s="96"/>
      <c r="D476" s="75"/>
      <c r="E476" s="77"/>
      <c r="F476" s="75" t="str">
        <f t="shared" si="22"/>
        <v/>
      </c>
      <c r="G476" s="76" t="str">
        <f t="shared" si="23"/>
        <v/>
      </c>
      <c r="H476" s="52">
        <v>4.7100000000000001E-4</v>
      </c>
    </row>
    <row r="477" spans="2:8" ht="30" customHeight="1">
      <c r="B477" s="52">
        <f t="shared" si="21"/>
        <v>0</v>
      </c>
      <c r="C477" s="96"/>
      <c r="D477" s="75"/>
      <c r="E477" s="77"/>
      <c r="F477" s="75" t="str">
        <f t="shared" si="22"/>
        <v/>
      </c>
      <c r="G477" s="76" t="str">
        <f t="shared" si="23"/>
        <v/>
      </c>
      <c r="H477" s="52">
        <v>4.7199999999999998E-4</v>
      </c>
    </row>
    <row r="478" spans="2:8" ht="30" customHeight="1">
      <c r="B478" s="52">
        <f t="shared" si="21"/>
        <v>0</v>
      </c>
      <c r="C478" s="96"/>
      <c r="D478" s="75"/>
      <c r="E478" s="77"/>
      <c r="F478" s="75" t="str">
        <f t="shared" si="22"/>
        <v/>
      </c>
      <c r="G478" s="76" t="str">
        <f t="shared" si="23"/>
        <v/>
      </c>
      <c r="H478" s="52">
        <v>4.73E-4</v>
      </c>
    </row>
    <row r="479" spans="2:8" ht="30" customHeight="1">
      <c r="B479" s="52">
        <f t="shared" si="21"/>
        <v>0</v>
      </c>
      <c r="C479" s="96"/>
      <c r="D479" s="75"/>
      <c r="E479" s="77"/>
      <c r="F479" s="75" t="str">
        <f t="shared" si="22"/>
        <v/>
      </c>
      <c r="G479" s="76" t="str">
        <f t="shared" si="23"/>
        <v/>
      </c>
      <c r="H479" s="52">
        <v>4.7399999999999997E-4</v>
      </c>
    </row>
    <row r="480" spans="2:8" ht="30" customHeight="1">
      <c r="B480" s="52">
        <f t="shared" si="21"/>
        <v>0</v>
      </c>
      <c r="C480" s="96"/>
      <c r="D480" s="75"/>
      <c r="E480" s="77"/>
      <c r="F480" s="75" t="str">
        <f t="shared" si="22"/>
        <v/>
      </c>
      <c r="G480" s="76" t="str">
        <f t="shared" si="23"/>
        <v/>
      </c>
      <c r="H480" s="52">
        <v>4.75E-4</v>
      </c>
    </row>
    <row r="481" spans="2:8" ht="30" customHeight="1">
      <c r="B481" s="52">
        <f t="shared" si="21"/>
        <v>0</v>
      </c>
      <c r="C481" s="96"/>
      <c r="D481" s="75"/>
      <c r="E481" s="77"/>
      <c r="F481" s="75" t="str">
        <f t="shared" si="22"/>
        <v/>
      </c>
      <c r="G481" s="76" t="str">
        <f t="shared" si="23"/>
        <v/>
      </c>
      <c r="H481" s="52">
        <v>4.7600000000000002E-4</v>
      </c>
    </row>
    <row r="482" spans="2:8" ht="30" customHeight="1">
      <c r="B482" s="52">
        <f t="shared" si="21"/>
        <v>0</v>
      </c>
      <c r="C482" s="96"/>
      <c r="D482" s="75"/>
      <c r="E482" s="77"/>
      <c r="F482" s="75" t="str">
        <f t="shared" si="22"/>
        <v/>
      </c>
      <c r="G482" s="76" t="str">
        <f t="shared" si="23"/>
        <v/>
      </c>
      <c r="H482" s="52">
        <v>4.7699999999999999E-4</v>
      </c>
    </row>
    <row r="483" spans="2:8" ht="30" customHeight="1">
      <c r="B483" s="52">
        <f t="shared" si="21"/>
        <v>0</v>
      </c>
      <c r="C483" s="96"/>
      <c r="D483" s="75"/>
      <c r="E483" s="77"/>
      <c r="F483" s="75" t="str">
        <f t="shared" si="22"/>
        <v/>
      </c>
      <c r="G483" s="76" t="str">
        <f t="shared" si="23"/>
        <v/>
      </c>
      <c r="H483" s="52">
        <v>4.7800000000000002E-4</v>
      </c>
    </row>
    <row r="484" spans="2:8" ht="30" customHeight="1">
      <c r="B484" s="52">
        <f t="shared" si="21"/>
        <v>0</v>
      </c>
      <c r="C484" s="96"/>
      <c r="D484" s="75"/>
      <c r="E484" s="77"/>
      <c r="F484" s="75" t="str">
        <f t="shared" si="22"/>
        <v/>
      </c>
      <c r="G484" s="76" t="str">
        <f t="shared" si="23"/>
        <v/>
      </c>
      <c r="H484" s="52">
        <v>4.7899999999999999E-4</v>
      </c>
    </row>
    <row r="485" spans="2:8" ht="30" customHeight="1">
      <c r="B485" s="52">
        <f t="shared" si="21"/>
        <v>0</v>
      </c>
      <c r="C485" s="96"/>
      <c r="D485" s="75"/>
      <c r="E485" s="77"/>
      <c r="F485" s="75" t="str">
        <f t="shared" si="22"/>
        <v/>
      </c>
      <c r="G485" s="76" t="str">
        <f t="shared" si="23"/>
        <v/>
      </c>
      <c r="H485" s="52">
        <v>4.8000000000000001E-4</v>
      </c>
    </row>
    <row r="486" spans="2:8" ht="30" customHeight="1">
      <c r="B486" s="52">
        <f t="shared" si="21"/>
        <v>0</v>
      </c>
      <c r="C486" s="96"/>
      <c r="D486" s="75"/>
      <c r="E486" s="77"/>
      <c r="F486" s="75" t="str">
        <f t="shared" si="22"/>
        <v/>
      </c>
      <c r="G486" s="76" t="str">
        <f t="shared" si="23"/>
        <v/>
      </c>
      <c r="H486" s="52">
        <v>4.8099999999999998E-4</v>
      </c>
    </row>
    <row r="487" spans="2:8" ht="30" customHeight="1">
      <c r="B487" s="52">
        <f t="shared" si="21"/>
        <v>0</v>
      </c>
      <c r="C487" s="96"/>
      <c r="D487" s="75"/>
      <c r="E487" s="77"/>
      <c r="F487" s="75" t="str">
        <f t="shared" si="22"/>
        <v/>
      </c>
      <c r="G487" s="76" t="str">
        <f t="shared" si="23"/>
        <v/>
      </c>
      <c r="H487" s="52">
        <v>4.8200000000000001E-4</v>
      </c>
    </row>
    <row r="488" spans="2:8" ht="30" customHeight="1">
      <c r="B488" s="52">
        <f t="shared" si="21"/>
        <v>0</v>
      </c>
      <c r="C488" s="96"/>
      <c r="D488" s="75"/>
      <c r="E488" s="77"/>
      <c r="F488" s="75" t="str">
        <f t="shared" si="22"/>
        <v/>
      </c>
      <c r="G488" s="76" t="str">
        <f t="shared" si="23"/>
        <v/>
      </c>
      <c r="H488" s="52">
        <v>4.8299999999999998E-4</v>
      </c>
    </row>
    <row r="489" spans="2:8" ht="30" customHeight="1">
      <c r="B489" s="52">
        <f t="shared" si="21"/>
        <v>0</v>
      </c>
      <c r="C489" s="96"/>
      <c r="D489" s="75"/>
      <c r="E489" s="77"/>
      <c r="F489" s="75" t="str">
        <f t="shared" si="22"/>
        <v/>
      </c>
      <c r="G489" s="76" t="str">
        <f t="shared" si="23"/>
        <v/>
      </c>
      <c r="H489" s="52">
        <v>4.84E-4</v>
      </c>
    </row>
    <row r="490" spans="2:8" ht="30" customHeight="1">
      <c r="B490" s="52">
        <f t="shared" si="21"/>
        <v>0</v>
      </c>
      <c r="C490" s="96"/>
      <c r="D490" s="75"/>
      <c r="E490" s="77"/>
      <c r="F490" s="75" t="str">
        <f t="shared" si="22"/>
        <v/>
      </c>
      <c r="G490" s="76" t="str">
        <f t="shared" si="23"/>
        <v/>
      </c>
      <c r="H490" s="52">
        <v>4.8500000000000003E-4</v>
      </c>
    </row>
    <row r="491" spans="2:8" ht="30" customHeight="1">
      <c r="B491" s="52">
        <f t="shared" si="21"/>
        <v>0</v>
      </c>
      <c r="C491" s="96"/>
      <c r="D491" s="75"/>
      <c r="E491" s="77"/>
      <c r="F491" s="75" t="str">
        <f t="shared" si="22"/>
        <v/>
      </c>
      <c r="G491" s="76" t="str">
        <f t="shared" si="23"/>
        <v/>
      </c>
      <c r="H491" s="52">
        <v>4.86E-4</v>
      </c>
    </row>
    <row r="492" spans="2:8" ht="30" customHeight="1">
      <c r="B492" s="52">
        <f t="shared" si="21"/>
        <v>0</v>
      </c>
      <c r="C492" s="96"/>
      <c r="D492" s="75"/>
      <c r="E492" s="77"/>
      <c r="F492" s="75" t="str">
        <f t="shared" si="22"/>
        <v/>
      </c>
      <c r="G492" s="76" t="str">
        <f t="shared" si="23"/>
        <v/>
      </c>
      <c r="H492" s="52">
        <v>4.8700000000000002E-4</v>
      </c>
    </row>
    <row r="493" spans="2:8" ht="30" customHeight="1">
      <c r="B493" s="52">
        <f t="shared" si="21"/>
        <v>0</v>
      </c>
      <c r="C493" s="96"/>
      <c r="D493" s="75"/>
      <c r="E493" s="77"/>
      <c r="F493" s="75" t="str">
        <f t="shared" si="22"/>
        <v/>
      </c>
      <c r="G493" s="76" t="str">
        <f t="shared" si="23"/>
        <v/>
      </c>
      <c r="H493" s="52">
        <v>4.8799999999999999E-4</v>
      </c>
    </row>
    <row r="494" spans="2:8" ht="30" customHeight="1">
      <c r="B494" s="52">
        <f t="shared" si="21"/>
        <v>0</v>
      </c>
      <c r="C494" s="96"/>
      <c r="D494" s="75"/>
      <c r="E494" s="77"/>
      <c r="F494" s="75" t="str">
        <f t="shared" si="22"/>
        <v/>
      </c>
      <c r="G494" s="76" t="str">
        <f t="shared" si="23"/>
        <v/>
      </c>
      <c r="H494" s="52">
        <v>4.8899999999999996E-4</v>
      </c>
    </row>
    <row r="495" spans="2:8" ht="30" customHeight="1">
      <c r="B495" s="52">
        <f t="shared" si="21"/>
        <v>0</v>
      </c>
      <c r="C495" s="96"/>
      <c r="D495" s="75"/>
      <c r="E495" s="77"/>
      <c r="F495" s="75" t="str">
        <f t="shared" si="22"/>
        <v/>
      </c>
      <c r="G495" s="76" t="str">
        <f t="shared" si="23"/>
        <v/>
      </c>
      <c r="H495" s="52">
        <v>4.8999999999999998E-4</v>
      </c>
    </row>
    <row r="496" spans="2:8" ht="30" customHeight="1">
      <c r="B496" s="52">
        <f t="shared" si="21"/>
        <v>0</v>
      </c>
      <c r="C496" s="96"/>
      <c r="D496" s="75"/>
      <c r="E496" s="77"/>
      <c r="F496" s="75" t="str">
        <f t="shared" si="22"/>
        <v/>
      </c>
      <c r="G496" s="76" t="str">
        <f t="shared" si="23"/>
        <v/>
      </c>
      <c r="H496" s="52">
        <v>4.9100000000000001E-4</v>
      </c>
    </row>
    <row r="497" spans="2:8" ht="30" customHeight="1">
      <c r="B497" s="52">
        <f t="shared" si="21"/>
        <v>0</v>
      </c>
      <c r="C497" s="96"/>
      <c r="D497" s="75"/>
      <c r="E497" s="77"/>
      <c r="F497" s="75" t="str">
        <f t="shared" si="22"/>
        <v/>
      </c>
      <c r="G497" s="76" t="str">
        <f t="shared" si="23"/>
        <v/>
      </c>
      <c r="H497" s="52">
        <v>4.9200000000000003E-4</v>
      </c>
    </row>
    <row r="498" spans="2:8" ht="30" customHeight="1">
      <c r="B498" s="52">
        <f t="shared" si="21"/>
        <v>0</v>
      </c>
      <c r="C498" s="96"/>
      <c r="D498" s="75"/>
      <c r="E498" s="77"/>
      <c r="F498" s="75" t="str">
        <f t="shared" si="22"/>
        <v/>
      </c>
      <c r="G498" s="76" t="str">
        <f t="shared" si="23"/>
        <v/>
      </c>
      <c r="H498" s="52">
        <v>4.9299999999999995E-4</v>
      </c>
    </row>
    <row r="499" spans="2:8" ht="30" customHeight="1">
      <c r="B499" s="52">
        <f t="shared" si="21"/>
        <v>0</v>
      </c>
      <c r="C499" s="96"/>
      <c r="D499" s="75"/>
      <c r="E499" s="77"/>
      <c r="F499" s="75" t="str">
        <f t="shared" si="22"/>
        <v/>
      </c>
      <c r="G499" s="76" t="str">
        <f t="shared" si="23"/>
        <v/>
      </c>
      <c r="H499" s="52">
        <v>4.9399999999999997E-4</v>
      </c>
    </row>
    <row r="500" spans="2:8" ht="30" customHeight="1">
      <c r="B500" s="52">
        <f t="shared" si="21"/>
        <v>0</v>
      </c>
      <c r="C500" s="96"/>
      <c r="D500" s="75"/>
      <c r="E500" s="77"/>
      <c r="F500" s="75" t="str">
        <f t="shared" si="22"/>
        <v/>
      </c>
      <c r="G500" s="76" t="str">
        <f t="shared" si="23"/>
        <v/>
      </c>
      <c r="H500" s="52">
        <v>4.95E-4</v>
      </c>
    </row>
    <row r="501" spans="2:8" ht="30" customHeight="1">
      <c r="B501" s="52">
        <f t="shared" si="21"/>
        <v>0</v>
      </c>
      <c r="C501" s="96"/>
      <c r="D501" s="75"/>
      <c r="E501" s="77"/>
      <c r="F501" s="75" t="str">
        <f t="shared" si="22"/>
        <v/>
      </c>
      <c r="G501" s="76" t="str">
        <f t="shared" si="23"/>
        <v/>
      </c>
      <c r="H501" s="52">
        <v>4.9600000000000002E-4</v>
      </c>
    </row>
    <row r="502" spans="2:8" ht="30" customHeight="1">
      <c r="B502" s="52">
        <f t="shared" si="21"/>
        <v>0</v>
      </c>
      <c r="C502" s="96"/>
      <c r="D502" s="75"/>
      <c r="E502" s="77"/>
      <c r="F502" s="75" t="str">
        <f t="shared" si="22"/>
        <v/>
      </c>
      <c r="G502" s="76" t="str">
        <f t="shared" si="23"/>
        <v/>
      </c>
      <c r="H502" s="52">
        <v>4.9700000000000005E-4</v>
      </c>
    </row>
    <row r="503" spans="2:8" ht="30" customHeight="1">
      <c r="B503" s="52">
        <f t="shared" si="21"/>
        <v>0</v>
      </c>
      <c r="C503" s="96"/>
      <c r="D503" s="75"/>
      <c r="E503" s="77"/>
      <c r="F503" s="75" t="str">
        <f t="shared" si="22"/>
        <v/>
      </c>
      <c r="G503" s="76" t="str">
        <f t="shared" si="23"/>
        <v/>
      </c>
      <c r="H503" s="52">
        <v>4.9799999999999996E-4</v>
      </c>
    </row>
    <row r="504" spans="2:8" ht="30" customHeight="1">
      <c r="B504" s="52">
        <f t="shared" si="21"/>
        <v>0</v>
      </c>
      <c r="C504" s="96"/>
      <c r="D504" s="75"/>
      <c r="E504" s="77"/>
      <c r="F504" s="75" t="str">
        <f t="shared" si="22"/>
        <v/>
      </c>
      <c r="G504" s="76" t="str">
        <f t="shared" si="23"/>
        <v/>
      </c>
      <c r="H504" s="52">
        <v>4.9899999999999999E-4</v>
      </c>
    </row>
    <row r="505" spans="2:8" ht="30" customHeight="1">
      <c r="B505" s="52">
        <f t="shared" si="21"/>
        <v>0</v>
      </c>
      <c r="C505" s="96"/>
      <c r="D505" s="75"/>
      <c r="E505" s="77"/>
      <c r="F505" s="75" t="str">
        <f t="shared" si="22"/>
        <v/>
      </c>
      <c r="G505" s="76" t="str">
        <f t="shared" si="23"/>
        <v/>
      </c>
      <c r="H505" s="52">
        <v>5.0000000000000001E-4</v>
      </c>
    </row>
    <row r="506" spans="2:8" ht="30" customHeight="1"/>
  </sheetData>
  <pageMargins left="0.7" right="0.7" top="0.75" bottom="0.75" header="0.3" footer="0.3"/>
  <pageSetup paperSize="9" orientation="portrait" r:id="rId1"/>
  <ignoredErrors>
    <ignoredError sqref="F6 G6:G505 F7:F505" unlockedFormula="1"/>
  </ignoredError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FD506"/>
  <sheetViews>
    <sheetView showGridLines="0" zoomScale="90" zoomScaleNormal="90" zoomScalePageLayoutView="80" workbookViewId="0">
      <pane ySplit="5" topLeftCell="A6" activePane="bottomLeft" state="frozen"/>
      <selection activeCell="A3" sqref="A3:XFD3"/>
      <selection pane="bottomLeft" activeCell="C3" sqref="C3"/>
    </sheetView>
  </sheetViews>
  <sheetFormatPr defaultColWidth="11" defaultRowHeight="15"/>
  <cols>
    <col min="1" max="1" width="2.125" style="47" customWidth="1"/>
    <col min="2" max="2" width="1.375" style="60" customWidth="1"/>
    <col min="3" max="3" width="26.875" style="47" customWidth="1"/>
    <col min="4" max="7" width="17.875" style="123" customWidth="1"/>
    <col min="8" max="8" width="23" style="123" customWidth="1"/>
    <col min="9" max="9" width="6.25" style="47" hidden="1" customWidth="1"/>
    <col min="10" max="13" width="15.125" style="47" hidden="1" customWidth="1"/>
    <col min="14" max="16" width="15.125" style="67" hidden="1" customWidth="1"/>
    <col min="17" max="18" width="15.125" style="47" hidden="1" customWidth="1"/>
    <col min="19" max="19" width="14.375" style="47" hidden="1" customWidth="1"/>
    <col min="20" max="20" width="4.375" style="47" hidden="1" customWidth="1"/>
    <col min="21" max="16384" width="11" style="47"/>
  </cols>
  <sheetData>
    <row r="1" spans="1:16384" s="45" customFormat="1" ht="39" customHeight="1">
      <c r="B1" s="58"/>
    </row>
    <row r="2" spans="1:16384" s="46" customFormat="1" ht="30" customHeight="1">
      <c r="B2" s="59"/>
    </row>
    <row r="3" spans="1:16384" customFormat="1" ht="44.25" customHeight="1">
      <c r="A3" s="119"/>
      <c r="B3" s="120"/>
      <c r="C3" s="121"/>
      <c r="D3" s="120"/>
      <c r="E3" s="122"/>
      <c r="F3" s="122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0"/>
      <c r="CO3" s="120"/>
      <c r="CP3" s="120"/>
      <c r="CQ3" s="120"/>
      <c r="CR3" s="120"/>
      <c r="CS3" s="120"/>
      <c r="CT3" s="120"/>
      <c r="CU3" s="120"/>
      <c r="CV3" s="120"/>
      <c r="CW3" s="120"/>
      <c r="CX3" s="120"/>
      <c r="CY3" s="120"/>
      <c r="CZ3" s="120"/>
      <c r="DA3" s="120"/>
      <c r="DB3" s="120"/>
      <c r="DC3" s="120"/>
      <c r="DD3" s="120"/>
      <c r="DE3" s="120"/>
      <c r="DF3" s="120"/>
      <c r="DG3" s="120"/>
      <c r="DH3" s="120"/>
      <c r="DI3" s="120"/>
      <c r="DJ3" s="120"/>
      <c r="DK3" s="120"/>
      <c r="DL3" s="120"/>
      <c r="DM3" s="120"/>
      <c r="DN3" s="120"/>
      <c r="DO3" s="120"/>
      <c r="DP3" s="120"/>
      <c r="DQ3" s="120"/>
      <c r="DR3" s="120"/>
      <c r="DS3" s="120"/>
      <c r="DT3" s="120"/>
      <c r="DU3" s="120"/>
      <c r="DV3" s="120"/>
      <c r="DW3" s="120"/>
      <c r="DX3" s="120"/>
      <c r="DY3" s="120"/>
      <c r="DZ3" s="120"/>
      <c r="EA3" s="120"/>
      <c r="EB3" s="120"/>
      <c r="EC3" s="120"/>
      <c r="ED3" s="120"/>
      <c r="EE3" s="120"/>
      <c r="EF3" s="120"/>
      <c r="EG3" s="120"/>
      <c r="EH3" s="120"/>
      <c r="EI3" s="120"/>
      <c r="EJ3" s="120"/>
      <c r="EK3" s="120"/>
      <c r="EL3" s="120"/>
      <c r="EM3" s="120"/>
      <c r="EN3" s="120"/>
      <c r="EO3" s="120"/>
      <c r="EP3" s="120"/>
      <c r="EQ3" s="120"/>
      <c r="ER3" s="120"/>
      <c r="ES3" s="120"/>
      <c r="ET3" s="120"/>
      <c r="EU3" s="120"/>
      <c r="EV3" s="120"/>
      <c r="EW3" s="120"/>
      <c r="EX3" s="120"/>
      <c r="EY3" s="120"/>
      <c r="EZ3" s="120"/>
      <c r="FA3" s="120"/>
      <c r="FB3" s="120"/>
      <c r="FC3" s="120"/>
      <c r="FD3" s="120"/>
      <c r="FE3" s="120"/>
      <c r="FF3" s="120"/>
      <c r="FG3" s="120"/>
      <c r="FH3" s="120"/>
      <c r="FI3" s="120"/>
      <c r="FJ3" s="120"/>
      <c r="FK3" s="120"/>
      <c r="FL3" s="120"/>
      <c r="FM3" s="120"/>
      <c r="FN3" s="120"/>
      <c r="FO3" s="120"/>
      <c r="FP3" s="120"/>
      <c r="FQ3" s="120"/>
      <c r="FR3" s="120"/>
      <c r="FS3" s="120"/>
      <c r="FT3" s="120"/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0"/>
      <c r="GJ3" s="120"/>
      <c r="GK3" s="120"/>
      <c r="GL3" s="120"/>
      <c r="GM3" s="120"/>
      <c r="GN3" s="120"/>
      <c r="GO3" s="120"/>
      <c r="GP3" s="120"/>
      <c r="GQ3" s="120"/>
      <c r="GR3" s="120"/>
      <c r="GS3" s="120"/>
      <c r="GT3" s="120"/>
      <c r="GU3" s="120"/>
      <c r="GV3" s="120"/>
      <c r="GW3" s="120"/>
      <c r="GX3" s="120"/>
      <c r="GY3" s="120"/>
      <c r="GZ3" s="120"/>
      <c r="HA3" s="120"/>
      <c r="HB3" s="120"/>
      <c r="HC3" s="120"/>
      <c r="HD3" s="120"/>
      <c r="HE3" s="120"/>
      <c r="HF3" s="120"/>
      <c r="HG3" s="120"/>
      <c r="HH3" s="120"/>
      <c r="HI3" s="120"/>
      <c r="HJ3" s="120"/>
      <c r="HK3" s="120"/>
      <c r="HL3" s="120"/>
      <c r="HM3" s="120"/>
      <c r="HN3" s="120"/>
      <c r="HO3" s="120"/>
      <c r="HP3" s="120"/>
      <c r="HQ3" s="120"/>
      <c r="HR3" s="120"/>
      <c r="HS3" s="120"/>
      <c r="HT3" s="120"/>
      <c r="HU3" s="120"/>
      <c r="HV3" s="120"/>
      <c r="HW3" s="120"/>
      <c r="HX3" s="120"/>
      <c r="HY3" s="120"/>
      <c r="HZ3" s="120"/>
      <c r="IA3" s="120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P3" s="120"/>
      <c r="IQ3" s="120"/>
      <c r="IR3" s="120"/>
      <c r="IS3" s="120"/>
      <c r="IT3" s="120"/>
      <c r="IU3" s="120"/>
      <c r="IV3" s="120"/>
      <c r="IW3" s="120"/>
      <c r="IX3" s="120"/>
      <c r="IY3" s="120"/>
      <c r="IZ3" s="120"/>
      <c r="JA3" s="120"/>
      <c r="JB3" s="120"/>
      <c r="JC3" s="120"/>
      <c r="JD3" s="120"/>
      <c r="JE3" s="120"/>
      <c r="JF3" s="120"/>
      <c r="JG3" s="120"/>
      <c r="JH3" s="120"/>
      <c r="JI3" s="120"/>
      <c r="JJ3" s="120"/>
      <c r="JK3" s="120"/>
      <c r="JL3" s="120"/>
      <c r="JM3" s="120"/>
      <c r="JN3" s="120"/>
      <c r="JO3" s="120"/>
      <c r="JP3" s="120"/>
      <c r="JQ3" s="120"/>
      <c r="JR3" s="120"/>
      <c r="JS3" s="120"/>
      <c r="JT3" s="120"/>
      <c r="JU3" s="120"/>
      <c r="JV3" s="120"/>
      <c r="JW3" s="120"/>
      <c r="JX3" s="120"/>
      <c r="JY3" s="120"/>
      <c r="JZ3" s="120"/>
      <c r="KA3" s="120"/>
      <c r="KB3" s="120"/>
      <c r="KC3" s="120"/>
      <c r="KD3" s="120"/>
      <c r="KE3" s="120"/>
      <c r="KF3" s="120"/>
      <c r="KG3" s="120"/>
      <c r="KH3" s="120"/>
      <c r="KI3" s="120"/>
      <c r="KJ3" s="120"/>
      <c r="KK3" s="120"/>
      <c r="KL3" s="120"/>
      <c r="KM3" s="120"/>
      <c r="KN3" s="120"/>
      <c r="KO3" s="120"/>
      <c r="KP3" s="120"/>
      <c r="KQ3" s="120"/>
      <c r="KR3" s="120"/>
      <c r="KS3" s="120"/>
      <c r="KT3" s="120"/>
      <c r="KU3" s="120"/>
      <c r="KV3" s="120"/>
      <c r="KW3" s="120"/>
      <c r="KX3" s="120"/>
      <c r="KY3" s="120"/>
      <c r="KZ3" s="120"/>
      <c r="LA3" s="120"/>
      <c r="LB3" s="120"/>
      <c r="LC3" s="120"/>
      <c r="LD3" s="120"/>
      <c r="LE3" s="120"/>
      <c r="LF3" s="120"/>
      <c r="LG3" s="120"/>
      <c r="LH3" s="120"/>
      <c r="LI3" s="120"/>
      <c r="LJ3" s="120"/>
      <c r="LK3" s="120"/>
      <c r="LL3" s="120"/>
      <c r="LM3" s="120"/>
      <c r="LN3" s="120"/>
      <c r="LO3" s="120"/>
      <c r="LP3" s="120"/>
      <c r="LQ3" s="120"/>
      <c r="LR3" s="120"/>
      <c r="LS3" s="120"/>
      <c r="LT3" s="120"/>
      <c r="LU3" s="120"/>
      <c r="LV3" s="120"/>
      <c r="LW3" s="120"/>
      <c r="LX3" s="120"/>
      <c r="LY3" s="120"/>
      <c r="LZ3" s="120"/>
      <c r="MA3" s="120"/>
      <c r="MB3" s="120"/>
      <c r="MC3" s="120"/>
      <c r="MD3" s="120"/>
      <c r="ME3" s="120"/>
      <c r="MF3" s="120"/>
      <c r="MG3" s="120"/>
      <c r="MH3" s="120"/>
      <c r="MI3" s="120"/>
      <c r="MJ3" s="120"/>
      <c r="MK3" s="120"/>
      <c r="ML3" s="120"/>
      <c r="MM3" s="120"/>
      <c r="MN3" s="120"/>
      <c r="MO3" s="120"/>
      <c r="MP3" s="120"/>
      <c r="MQ3" s="120"/>
      <c r="MR3" s="120"/>
      <c r="MS3" s="120"/>
      <c r="MT3" s="120"/>
      <c r="MU3" s="120"/>
      <c r="MV3" s="120"/>
      <c r="MW3" s="120"/>
      <c r="MX3" s="120"/>
      <c r="MY3" s="120"/>
      <c r="MZ3" s="120"/>
      <c r="NA3" s="120"/>
      <c r="NB3" s="120"/>
      <c r="NC3" s="120"/>
      <c r="ND3" s="120"/>
      <c r="NE3" s="120"/>
      <c r="NF3" s="120"/>
      <c r="NG3" s="120"/>
      <c r="NH3" s="120"/>
      <c r="NI3" s="120"/>
      <c r="NJ3" s="120"/>
      <c r="NK3" s="120"/>
      <c r="NL3" s="120"/>
      <c r="NM3" s="120"/>
      <c r="NN3" s="120"/>
      <c r="NO3" s="120"/>
      <c r="NP3" s="120"/>
      <c r="NQ3" s="120"/>
      <c r="NR3" s="120"/>
      <c r="NS3" s="120"/>
      <c r="NT3" s="120"/>
      <c r="NU3" s="120"/>
      <c r="NV3" s="120"/>
      <c r="NW3" s="120"/>
      <c r="NX3" s="120"/>
      <c r="NY3" s="120"/>
      <c r="NZ3" s="120"/>
      <c r="OA3" s="120"/>
      <c r="OB3" s="120"/>
      <c r="OC3" s="120"/>
      <c r="OD3" s="120"/>
      <c r="OE3" s="120"/>
      <c r="OF3" s="120"/>
      <c r="OG3" s="120"/>
      <c r="OH3" s="120"/>
      <c r="OI3" s="120"/>
      <c r="OJ3" s="120"/>
      <c r="OK3" s="120"/>
      <c r="OL3" s="120"/>
      <c r="OM3" s="120"/>
      <c r="ON3" s="120"/>
      <c r="OO3" s="120"/>
      <c r="OP3" s="120"/>
      <c r="OQ3" s="120"/>
      <c r="OR3" s="120"/>
      <c r="OS3" s="120"/>
      <c r="OT3" s="120"/>
      <c r="OU3" s="120"/>
      <c r="OV3" s="120"/>
      <c r="OW3" s="120"/>
      <c r="OX3" s="120"/>
      <c r="OY3" s="120"/>
      <c r="OZ3" s="120"/>
      <c r="PA3" s="120"/>
      <c r="PB3" s="120"/>
      <c r="PC3" s="120"/>
      <c r="PD3" s="120"/>
      <c r="PE3" s="120"/>
      <c r="PF3" s="120"/>
      <c r="PG3" s="120"/>
      <c r="PH3" s="120"/>
      <c r="PI3" s="120"/>
      <c r="PJ3" s="120"/>
      <c r="PK3" s="120"/>
      <c r="PL3" s="120"/>
      <c r="PM3" s="120"/>
      <c r="PN3" s="120"/>
      <c r="PO3" s="120"/>
      <c r="PP3" s="120"/>
      <c r="PQ3" s="120"/>
      <c r="PR3" s="120"/>
      <c r="PS3" s="120"/>
      <c r="PT3" s="120"/>
      <c r="PU3" s="120"/>
      <c r="PV3" s="120"/>
      <c r="PW3" s="120"/>
      <c r="PX3" s="120"/>
      <c r="PY3" s="120"/>
      <c r="PZ3" s="120"/>
      <c r="QA3" s="120"/>
      <c r="QB3" s="120"/>
      <c r="QC3" s="120"/>
      <c r="QD3" s="120"/>
      <c r="QE3" s="120"/>
      <c r="QF3" s="120"/>
      <c r="QG3" s="120"/>
      <c r="QH3" s="120"/>
      <c r="QI3" s="120"/>
      <c r="QJ3" s="120"/>
      <c r="QK3" s="120"/>
      <c r="QL3" s="120"/>
      <c r="QM3" s="120"/>
      <c r="QN3" s="120"/>
      <c r="QO3" s="120"/>
      <c r="QP3" s="120"/>
      <c r="QQ3" s="120"/>
      <c r="QR3" s="120"/>
      <c r="QS3" s="120"/>
      <c r="QT3" s="120"/>
      <c r="QU3" s="120"/>
      <c r="QV3" s="120"/>
      <c r="QW3" s="120"/>
      <c r="QX3" s="120"/>
      <c r="QY3" s="120"/>
      <c r="QZ3" s="120"/>
      <c r="RA3" s="120"/>
      <c r="RB3" s="120"/>
      <c r="RC3" s="120"/>
      <c r="RD3" s="120"/>
      <c r="RE3" s="120"/>
      <c r="RF3" s="120"/>
      <c r="RG3" s="120"/>
      <c r="RH3" s="120"/>
      <c r="RI3" s="120"/>
      <c r="RJ3" s="120"/>
      <c r="RK3" s="120"/>
      <c r="RL3" s="120"/>
      <c r="RM3" s="120"/>
      <c r="RN3" s="120"/>
      <c r="RO3" s="120"/>
      <c r="RP3" s="120"/>
      <c r="RQ3" s="120"/>
      <c r="RR3" s="120"/>
      <c r="RS3" s="120"/>
      <c r="RT3" s="120"/>
      <c r="RU3" s="120"/>
      <c r="RV3" s="120"/>
      <c r="RW3" s="120"/>
      <c r="RX3" s="120"/>
      <c r="RY3" s="120"/>
      <c r="RZ3" s="120"/>
      <c r="SA3" s="120"/>
      <c r="SB3" s="120"/>
      <c r="SC3" s="120"/>
      <c r="SD3" s="120"/>
      <c r="SE3" s="120"/>
      <c r="SF3" s="120"/>
      <c r="SG3" s="120"/>
      <c r="SH3" s="120"/>
      <c r="SI3" s="120"/>
      <c r="SJ3" s="120"/>
      <c r="SK3" s="120"/>
      <c r="SL3" s="120"/>
      <c r="SM3" s="120"/>
      <c r="SN3" s="120"/>
      <c r="SO3" s="120"/>
      <c r="SP3" s="120"/>
      <c r="SQ3" s="120"/>
      <c r="SR3" s="120"/>
      <c r="SS3" s="120"/>
      <c r="ST3" s="120"/>
      <c r="SU3" s="120"/>
      <c r="SV3" s="120"/>
      <c r="SW3" s="120"/>
      <c r="SX3" s="120"/>
      <c r="SY3" s="120"/>
      <c r="SZ3" s="120"/>
      <c r="TA3" s="120"/>
      <c r="TB3" s="120"/>
      <c r="TC3" s="120"/>
      <c r="TD3" s="120"/>
      <c r="TE3" s="120"/>
      <c r="TF3" s="120"/>
      <c r="TG3" s="120"/>
      <c r="TH3" s="120"/>
      <c r="TI3" s="120"/>
      <c r="TJ3" s="120"/>
      <c r="TK3" s="120"/>
      <c r="TL3" s="120"/>
      <c r="TM3" s="120"/>
      <c r="TN3" s="120"/>
      <c r="TO3" s="120"/>
      <c r="TP3" s="120"/>
      <c r="TQ3" s="120"/>
      <c r="TR3" s="120"/>
      <c r="TS3" s="120"/>
      <c r="TT3" s="120"/>
      <c r="TU3" s="120"/>
      <c r="TV3" s="120"/>
      <c r="TW3" s="120"/>
      <c r="TX3" s="120"/>
      <c r="TY3" s="120"/>
      <c r="TZ3" s="120"/>
      <c r="UA3" s="120"/>
      <c r="UB3" s="120"/>
      <c r="UC3" s="120"/>
      <c r="UD3" s="120"/>
      <c r="UE3" s="120"/>
      <c r="UF3" s="120"/>
      <c r="UG3" s="120"/>
      <c r="UH3" s="120"/>
      <c r="UI3" s="120"/>
      <c r="UJ3" s="120"/>
      <c r="UK3" s="120"/>
      <c r="UL3" s="120"/>
      <c r="UM3" s="120"/>
      <c r="UN3" s="120"/>
      <c r="UO3" s="120"/>
      <c r="UP3" s="120"/>
      <c r="UQ3" s="120"/>
      <c r="UR3" s="120"/>
      <c r="US3" s="120"/>
      <c r="UT3" s="120"/>
      <c r="UU3" s="120"/>
      <c r="UV3" s="120"/>
      <c r="UW3" s="120"/>
      <c r="UX3" s="120"/>
      <c r="UY3" s="120"/>
      <c r="UZ3" s="120"/>
      <c r="VA3" s="120"/>
      <c r="VB3" s="120"/>
      <c r="VC3" s="120"/>
      <c r="VD3" s="120"/>
      <c r="VE3" s="120"/>
      <c r="VF3" s="120"/>
      <c r="VG3" s="120"/>
      <c r="VH3" s="120"/>
      <c r="VI3" s="120"/>
      <c r="VJ3" s="120"/>
      <c r="VK3" s="120"/>
      <c r="VL3" s="120"/>
      <c r="VM3" s="120"/>
      <c r="VN3" s="120"/>
      <c r="VO3" s="120"/>
      <c r="VP3" s="120"/>
      <c r="VQ3" s="120"/>
      <c r="VR3" s="120"/>
      <c r="VS3" s="120"/>
      <c r="VT3" s="120"/>
      <c r="VU3" s="120"/>
      <c r="VV3" s="120"/>
      <c r="VW3" s="120"/>
      <c r="VX3" s="120"/>
      <c r="VY3" s="120"/>
      <c r="VZ3" s="120"/>
      <c r="WA3" s="120"/>
      <c r="WB3" s="120"/>
      <c r="WC3" s="120"/>
      <c r="WD3" s="120"/>
      <c r="WE3" s="120"/>
      <c r="WF3" s="120"/>
      <c r="WG3" s="120"/>
      <c r="WH3" s="120"/>
      <c r="WI3" s="120"/>
      <c r="WJ3" s="120"/>
      <c r="WK3" s="120"/>
      <c r="WL3" s="120"/>
      <c r="WM3" s="120"/>
      <c r="WN3" s="120"/>
      <c r="WO3" s="120"/>
      <c r="WP3" s="120"/>
      <c r="WQ3" s="120"/>
      <c r="WR3" s="120"/>
      <c r="WS3" s="120"/>
      <c r="WT3" s="120"/>
      <c r="WU3" s="120"/>
      <c r="WV3" s="120"/>
      <c r="WW3" s="120"/>
      <c r="WX3" s="120"/>
      <c r="WY3" s="120"/>
      <c r="WZ3" s="120"/>
      <c r="XA3" s="120"/>
      <c r="XB3" s="120"/>
      <c r="XC3" s="120"/>
      <c r="XD3" s="120"/>
      <c r="XE3" s="120"/>
      <c r="XF3" s="120"/>
      <c r="XG3" s="120"/>
      <c r="XH3" s="120"/>
      <c r="XI3" s="120"/>
      <c r="XJ3" s="120"/>
      <c r="XK3" s="120"/>
      <c r="XL3" s="120"/>
      <c r="XM3" s="120"/>
      <c r="XN3" s="120"/>
      <c r="XO3" s="120"/>
      <c r="XP3" s="120"/>
      <c r="XQ3" s="120"/>
      <c r="XR3" s="120"/>
      <c r="XS3" s="120"/>
      <c r="XT3" s="120"/>
      <c r="XU3" s="120"/>
      <c r="XV3" s="120"/>
      <c r="XW3" s="120"/>
      <c r="XX3" s="120"/>
      <c r="XY3" s="120"/>
      <c r="XZ3" s="120"/>
      <c r="YA3" s="120"/>
      <c r="YB3" s="120"/>
      <c r="YC3" s="120"/>
      <c r="YD3" s="120"/>
      <c r="YE3" s="120"/>
      <c r="YF3" s="120"/>
      <c r="YG3" s="120"/>
      <c r="YH3" s="120"/>
      <c r="YI3" s="120"/>
      <c r="YJ3" s="120"/>
      <c r="YK3" s="120"/>
      <c r="YL3" s="120"/>
      <c r="YM3" s="120"/>
      <c r="YN3" s="120"/>
      <c r="YO3" s="120"/>
      <c r="YP3" s="120"/>
      <c r="YQ3" s="120"/>
      <c r="YR3" s="120"/>
      <c r="YS3" s="120"/>
      <c r="YT3" s="120"/>
      <c r="YU3" s="120"/>
      <c r="YV3" s="120"/>
      <c r="YW3" s="120"/>
      <c r="YX3" s="120"/>
      <c r="YY3" s="120"/>
      <c r="YZ3" s="120"/>
      <c r="ZA3" s="120"/>
      <c r="ZB3" s="120"/>
      <c r="ZC3" s="120"/>
      <c r="ZD3" s="120"/>
      <c r="ZE3" s="120"/>
      <c r="ZF3" s="120"/>
      <c r="ZG3" s="120"/>
      <c r="ZH3" s="120"/>
      <c r="ZI3" s="120"/>
      <c r="ZJ3" s="120"/>
      <c r="ZK3" s="120"/>
      <c r="ZL3" s="120"/>
      <c r="ZM3" s="120"/>
      <c r="ZN3" s="120"/>
      <c r="ZO3" s="120"/>
      <c r="ZP3" s="120"/>
      <c r="ZQ3" s="120"/>
      <c r="ZR3" s="120"/>
      <c r="ZS3" s="120"/>
      <c r="ZT3" s="120"/>
      <c r="ZU3" s="120"/>
      <c r="ZV3" s="120"/>
      <c r="ZW3" s="120"/>
      <c r="ZX3" s="120"/>
      <c r="ZY3" s="120"/>
      <c r="ZZ3" s="120"/>
      <c r="AAA3" s="120"/>
      <c r="AAB3" s="120"/>
      <c r="AAC3" s="120"/>
      <c r="AAD3" s="120"/>
      <c r="AAE3" s="120"/>
      <c r="AAF3" s="120"/>
      <c r="AAG3" s="120"/>
      <c r="AAH3" s="120"/>
      <c r="AAI3" s="120"/>
      <c r="AAJ3" s="120"/>
      <c r="AAK3" s="120"/>
      <c r="AAL3" s="120"/>
      <c r="AAM3" s="120"/>
      <c r="AAN3" s="120"/>
      <c r="AAO3" s="120"/>
      <c r="AAP3" s="120"/>
      <c r="AAQ3" s="120"/>
      <c r="AAR3" s="120"/>
      <c r="AAS3" s="120"/>
      <c r="AAT3" s="120"/>
      <c r="AAU3" s="120"/>
      <c r="AAV3" s="120"/>
      <c r="AAW3" s="120"/>
      <c r="AAX3" s="120"/>
      <c r="AAY3" s="120"/>
      <c r="AAZ3" s="120"/>
      <c r="ABA3" s="120"/>
      <c r="ABB3" s="120"/>
      <c r="ABC3" s="120"/>
      <c r="ABD3" s="120"/>
      <c r="ABE3" s="120"/>
      <c r="ABF3" s="120"/>
      <c r="ABG3" s="120"/>
      <c r="ABH3" s="120"/>
      <c r="ABI3" s="120"/>
      <c r="ABJ3" s="120"/>
      <c r="ABK3" s="120"/>
      <c r="ABL3" s="120"/>
      <c r="ABM3" s="120"/>
      <c r="ABN3" s="120"/>
      <c r="ABO3" s="120"/>
      <c r="ABP3" s="120"/>
      <c r="ABQ3" s="120"/>
      <c r="ABR3" s="120"/>
      <c r="ABS3" s="120"/>
      <c r="ABT3" s="120"/>
      <c r="ABU3" s="120"/>
      <c r="ABV3" s="120"/>
      <c r="ABW3" s="120"/>
      <c r="ABX3" s="120"/>
      <c r="ABY3" s="120"/>
      <c r="ABZ3" s="120"/>
      <c r="ACA3" s="120"/>
      <c r="ACB3" s="120"/>
      <c r="ACC3" s="120"/>
      <c r="ACD3" s="120"/>
      <c r="ACE3" s="120"/>
      <c r="ACF3" s="120"/>
      <c r="ACG3" s="120"/>
      <c r="ACH3" s="120"/>
      <c r="ACI3" s="120"/>
      <c r="ACJ3" s="120"/>
      <c r="ACK3" s="120"/>
      <c r="ACL3" s="120"/>
      <c r="ACM3" s="120"/>
      <c r="ACN3" s="120"/>
      <c r="ACO3" s="120"/>
      <c r="ACP3" s="120"/>
      <c r="ACQ3" s="120"/>
      <c r="ACR3" s="120"/>
      <c r="ACS3" s="120"/>
      <c r="ACT3" s="120"/>
      <c r="ACU3" s="120"/>
      <c r="ACV3" s="120"/>
      <c r="ACW3" s="120"/>
      <c r="ACX3" s="120"/>
      <c r="ACY3" s="120"/>
      <c r="ACZ3" s="120"/>
      <c r="ADA3" s="120"/>
      <c r="ADB3" s="120"/>
      <c r="ADC3" s="120"/>
      <c r="ADD3" s="120"/>
      <c r="ADE3" s="120"/>
      <c r="ADF3" s="120"/>
      <c r="ADG3" s="120"/>
      <c r="ADH3" s="120"/>
      <c r="ADI3" s="120"/>
      <c r="ADJ3" s="120"/>
      <c r="ADK3" s="120"/>
      <c r="ADL3" s="120"/>
      <c r="ADM3" s="120"/>
      <c r="ADN3" s="120"/>
      <c r="ADO3" s="120"/>
      <c r="ADP3" s="120"/>
      <c r="ADQ3" s="120"/>
      <c r="ADR3" s="120"/>
      <c r="ADS3" s="120"/>
      <c r="ADT3" s="120"/>
      <c r="ADU3" s="120"/>
      <c r="ADV3" s="120"/>
      <c r="ADW3" s="120"/>
      <c r="ADX3" s="120"/>
      <c r="ADY3" s="120"/>
      <c r="ADZ3" s="120"/>
      <c r="AEA3" s="120"/>
      <c r="AEB3" s="120"/>
      <c r="AEC3" s="120"/>
      <c r="AED3" s="120"/>
      <c r="AEE3" s="120"/>
      <c r="AEF3" s="120"/>
      <c r="AEG3" s="120"/>
      <c r="AEH3" s="120"/>
      <c r="AEI3" s="120"/>
      <c r="AEJ3" s="120"/>
      <c r="AEK3" s="120"/>
      <c r="AEL3" s="120"/>
      <c r="AEM3" s="120"/>
      <c r="AEN3" s="120"/>
      <c r="AEO3" s="120"/>
      <c r="AEP3" s="120"/>
      <c r="AEQ3" s="120"/>
      <c r="AER3" s="120"/>
      <c r="AES3" s="120"/>
      <c r="AET3" s="120"/>
      <c r="AEU3" s="120"/>
      <c r="AEV3" s="120"/>
      <c r="AEW3" s="120"/>
      <c r="AEX3" s="120"/>
      <c r="AEY3" s="120"/>
      <c r="AEZ3" s="120"/>
      <c r="AFA3" s="120"/>
      <c r="AFB3" s="120"/>
      <c r="AFC3" s="120"/>
      <c r="AFD3" s="120"/>
      <c r="AFE3" s="120"/>
      <c r="AFF3" s="120"/>
      <c r="AFG3" s="120"/>
      <c r="AFH3" s="120"/>
      <c r="AFI3" s="120"/>
      <c r="AFJ3" s="120"/>
      <c r="AFK3" s="120"/>
      <c r="AFL3" s="120"/>
      <c r="AFM3" s="120"/>
      <c r="AFN3" s="120"/>
      <c r="AFO3" s="120"/>
      <c r="AFP3" s="120"/>
      <c r="AFQ3" s="120"/>
      <c r="AFR3" s="120"/>
      <c r="AFS3" s="120"/>
      <c r="AFT3" s="120"/>
      <c r="AFU3" s="120"/>
      <c r="AFV3" s="120"/>
      <c r="AFW3" s="120"/>
      <c r="AFX3" s="120"/>
      <c r="AFY3" s="120"/>
      <c r="AFZ3" s="120"/>
      <c r="AGA3" s="120"/>
      <c r="AGB3" s="120"/>
      <c r="AGC3" s="120"/>
      <c r="AGD3" s="120"/>
      <c r="AGE3" s="120"/>
      <c r="AGF3" s="120"/>
      <c r="AGG3" s="120"/>
      <c r="AGH3" s="120"/>
      <c r="AGI3" s="120"/>
      <c r="AGJ3" s="120"/>
      <c r="AGK3" s="120"/>
      <c r="AGL3" s="120"/>
      <c r="AGM3" s="120"/>
      <c r="AGN3" s="120"/>
      <c r="AGO3" s="120"/>
      <c r="AGP3" s="120"/>
      <c r="AGQ3" s="120"/>
      <c r="AGR3" s="120"/>
      <c r="AGS3" s="120"/>
      <c r="AGT3" s="120"/>
      <c r="AGU3" s="120"/>
      <c r="AGV3" s="120"/>
      <c r="AGW3" s="120"/>
      <c r="AGX3" s="120"/>
      <c r="AGY3" s="120"/>
      <c r="AGZ3" s="120"/>
      <c r="AHA3" s="120"/>
      <c r="AHB3" s="120"/>
      <c r="AHC3" s="120"/>
      <c r="AHD3" s="120"/>
      <c r="AHE3" s="120"/>
      <c r="AHF3" s="120"/>
      <c r="AHG3" s="120"/>
      <c r="AHH3" s="120"/>
      <c r="AHI3" s="120"/>
      <c r="AHJ3" s="120"/>
      <c r="AHK3" s="120"/>
      <c r="AHL3" s="120"/>
      <c r="AHM3" s="120"/>
      <c r="AHN3" s="120"/>
      <c r="AHO3" s="120"/>
      <c r="AHP3" s="120"/>
      <c r="AHQ3" s="120"/>
      <c r="AHR3" s="120"/>
      <c r="AHS3" s="120"/>
      <c r="AHT3" s="120"/>
      <c r="AHU3" s="120"/>
      <c r="AHV3" s="120"/>
      <c r="AHW3" s="120"/>
      <c r="AHX3" s="120"/>
      <c r="AHY3" s="120"/>
      <c r="AHZ3" s="120"/>
      <c r="AIA3" s="120"/>
      <c r="AIB3" s="120"/>
      <c r="AIC3" s="120"/>
      <c r="AID3" s="120"/>
      <c r="AIE3" s="120"/>
      <c r="AIF3" s="120"/>
      <c r="AIG3" s="120"/>
      <c r="AIH3" s="120"/>
      <c r="AII3" s="120"/>
      <c r="AIJ3" s="120"/>
      <c r="AIK3" s="120"/>
      <c r="AIL3" s="120"/>
      <c r="AIM3" s="120"/>
      <c r="AIN3" s="120"/>
      <c r="AIO3" s="120"/>
      <c r="AIP3" s="120"/>
      <c r="AIQ3" s="120"/>
      <c r="AIR3" s="120"/>
      <c r="AIS3" s="120"/>
      <c r="AIT3" s="120"/>
      <c r="AIU3" s="120"/>
      <c r="AIV3" s="120"/>
      <c r="AIW3" s="120"/>
      <c r="AIX3" s="120"/>
      <c r="AIY3" s="120"/>
      <c r="AIZ3" s="120"/>
      <c r="AJA3" s="120"/>
      <c r="AJB3" s="120"/>
      <c r="AJC3" s="120"/>
      <c r="AJD3" s="120"/>
      <c r="AJE3" s="120"/>
      <c r="AJF3" s="120"/>
      <c r="AJG3" s="120"/>
      <c r="AJH3" s="120"/>
      <c r="AJI3" s="120"/>
      <c r="AJJ3" s="120"/>
      <c r="AJK3" s="120"/>
      <c r="AJL3" s="120"/>
      <c r="AJM3" s="120"/>
      <c r="AJN3" s="120"/>
      <c r="AJO3" s="120"/>
      <c r="AJP3" s="120"/>
      <c r="AJQ3" s="120"/>
      <c r="AJR3" s="120"/>
      <c r="AJS3" s="120"/>
      <c r="AJT3" s="120"/>
      <c r="AJU3" s="120"/>
      <c r="AJV3" s="120"/>
      <c r="AJW3" s="120"/>
      <c r="AJX3" s="120"/>
      <c r="AJY3" s="120"/>
      <c r="AJZ3" s="120"/>
      <c r="AKA3" s="120"/>
      <c r="AKB3" s="120"/>
      <c r="AKC3" s="120"/>
      <c r="AKD3" s="120"/>
      <c r="AKE3" s="120"/>
      <c r="AKF3" s="120"/>
      <c r="AKG3" s="120"/>
      <c r="AKH3" s="120"/>
      <c r="AKI3" s="120"/>
      <c r="AKJ3" s="120"/>
      <c r="AKK3" s="120"/>
      <c r="AKL3" s="120"/>
      <c r="AKM3" s="120"/>
      <c r="AKN3" s="120"/>
      <c r="AKO3" s="120"/>
      <c r="AKP3" s="120"/>
      <c r="AKQ3" s="120"/>
      <c r="AKR3" s="120"/>
      <c r="AKS3" s="120"/>
      <c r="AKT3" s="120"/>
      <c r="AKU3" s="120"/>
      <c r="AKV3" s="120"/>
      <c r="AKW3" s="120"/>
      <c r="AKX3" s="120"/>
      <c r="AKY3" s="120"/>
      <c r="AKZ3" s="120"/>
      <c r="ALA3" s="120"/>
      <c r="ALB3" s="120"/>
      <c r="ALC3" s="120"/>
      <c r="ALD3" s="120"/>
      <c r="ALE3" s="120"/>
      <c r="ALF3" s="120"/>
      <c r="ALG3" s="120"/>
      <c r="ALH3" s="120"/>
      <c r="ALI3" s="120"/>
      <c r="ALJ3" s="120"/>
      <c r="ALK3" s="120"/>
      <c r="ALL3" s="120"/>
      <c r="ALM3" s="120"/>
      <c r="ALN3" s="120"/>
      <c r="ALO3" s="120"/>
      <c r="ALP3" s="120"/>
      <c r="ALQ3" s="120"/>
      <c r="ALR3" s="120"/>
      <c r="ALS3" s="120"/>
      <c r="ALT3" s="120"/>
      <c r="ALU3" s="120"/>
      <c r="ALV3" s="120"/>
      <c r="ALW3" s="120"/>
      <c r="ALX3" s="120"/>
      <c r="ALY3" s="120"/>
      <c r="ALZ3" s="120"/>
      <c r="AMA3" s="120"/>
      <c r="AMB3" s="120"/>
      <c r="AMC3" s="120"/>
      <c r="AMD3" s="120"/>
      <c r="AME3" s="120"/>
      <c r="AMF3" s="120"/>
      <c r="AMG3" s="120"/>
      <c r="AMH3" s="120"/>
      <c r="AMI3" s="120"/>
      <c r="AMJ3" s="120"/>
      <c r="AMK3" s="120"/>
      <c r="AML3" s="120"/>
      <c r="AMM3" s="120"/>
      <c r="AMN3" s="120"/>
      <c r="AMO3" s="120"/>
      <c r="AMP3" s="120"/>
      <c r="AMQ3" s="120"/>
      <c r="AMR3" s="120"/>
      <c r="AMS3" s="120"/>
      <c r="AMT3" s="120"/>
      <c r="AMU3" s="120"/>
      <c r="AMV3" s="120"/>
      <c r="AMW3" s="120"/>
      <c r="AMX3" s="120"/>
      <c r="AMY3" s="120"/>
      <c r="AMZ3" s="120"/>
      <c r="ANA3" s="120"/>
      <c r="ANB3" s="120"/>
      <c r="ANC3" s="120"/>
      <c r="AND3" s="120"/>
      <c r="ANE3" s="120"/>
      <c r="ANF3" s="120"/>
      <c r="ANG3" s="120"/>
      <c r="ANH3" s="120"/>
      <c r="ANI3" s="120"/>
      <c r="ANJ3" s="120"/>
      <c r="ANK3" s="120"/>
      <c r="ANL3" s="120"/>
      <c r="ANM3" s="120"/>
      <c r="ANN3" s="120"/>
      <c r="ANO3" s="120"/>
      <c r="ANP3" s="120"/>
      <c r="ANQ3" s="120"/>
      <c r="ANR3" s="120"/>
      <c r="ANS3" s="120"/>
      <c r="ANT3" s="120"/>
      <c r="ANU3" s="120"/>
      <c r="ANV3" s="120"/>
      <c r="ANW3" s="120"/>
      <c r="ANX3" s="120"/>
      <c r="ANY3" s="120"/>
      <c r="ANZ3" s="120"/>
      <c r="AOA3" s="120"/>
      <c r="AOB3" s="120"/>
      <c r="AOC3" s="120"/>
      <c r="AOD3" s="120"/>
      <c r="AOE3" s="120"/>
      <c r="AOF3" s="120"/>
      <c r="AOG3" s="120"/>
      <c r="AOH3" s="120"/>
      <c r="AOI3" s="120"/>
      <c r="AOJ3" s="120"/>
      <c r="AOK3" s="120"/>
      <c r="AOL3" s="120"/>
      <c r="AOM3" s="120"/>
      <c r="AON3" s="120"/>
      <c r="AOO3" s="120"/>
      <c r="AOP3" s="120"/>
      <c r="AOQ3" s="120"/>
      <c r="AOR3" s="120"/>
      <c r="AOS3" s="120"/>
      <c r="AOT3" s="120"/>
      <c r="AOU3" s="120"/>
      <c r="AOV3" s="120"/>
      <c r="AOW3" s="120"/>
      <c r="AOX3" s="120"/>
      <c r="AOY3" s="120"/>
      <c r="AOZ3" s="120"/>
      <c r="APA3" s="120"/>
      <c r="APB3" s="120"/>
      <c r="APC3" s="120"/>
      <c r="APD3" s="120"/>
      <c r="APE3" s="120"/>
      <c r="APF3" s="120"/>
      <c r="APG3" s="120"/>
      <c r="APH3" s="120"/>
      <c r="API3" s="120"/>
      <c r="APJ3" s="120"/>
      <c r="APK3" s="120"/>
      <c r="APL3" s="120"/>
      <c r="APM3" s="120"/>
      <c r="APN3" s="120"/>
      <c r="APO3" s="120"/>
      <c r="APP3" s="120"/>
      <c r="APQ3" s="120"/>
      <c r="APR3" s="120"/>
      <c r="APS3" s="120"/>
      <c r="APT3" s="120"/>
      <c r="APU3" s="120"/>
      <c r="APV3" s="120"/>
      <c r="APW3" s="120"/>
      <c r="APX3" s="120"/>
      <c r="APY3" s="120"/>
      <c r="APZ3" s="120"/>
      <c r="AQA3" s="120"/>
      <c r="AQB3" s="120"/>
      <c r="AQC3" s="120"/>
      <c r="AQD3" s="120"/>
      <c r="AQE3" s="120"/>
      <c r="AQF3" s="120"/>
      <c r="AQG3" s="120"/>
      <c r="AQH3" s="120"/>
      <c r="AQI3" s="120"/>
      <c r="AQJ3" s="120"/>
      <c r="AQK3" s="120"/>
      <c r="AQL3" s="120"/>
      <c r="AQM3" s="120"/>
      <c r="AQN3" s="120"/>
      <c r="AQO3" s="120"/>
      <c r="AQP3" s="120"/>
      <c r="AQQ3" s="120"/>
      <c r="AQR3" s="120"/>
      <c r="AQS3" s="120"/>
      <c r="AQT3" s="120"/>
      <c r="AQU3" s="120"/>
      <c r="AQV3" s="120"/>
      <c r="AQW3" s="120"/>
      <c r="AQX3" s="120"/>
      <c r="AQY3" s="120"/>
      <c r="AQZ3" s="120"/>
      <c r="ARA3" s="120"/>
      <c r="ARB3" s="120"/>
      <c r="ARC3" s="120"/>
      <c r="ARD3" s="120"/>
      <c r="ARE3" s="120"/>
      <c r="ARF3" s="120"/>
      <c r="ARG3" s="120"/>
      <c r="ARH3" s="120"/>
      <c r="ARI3" s="120"/>
      <c r="ARJ3" s="120"/>
      <c r="ARK3" s="120"/>
      <c r="ARL3" s="120"/>
      <c r="ARM3" s="120"/>
      <c r="ARN3" s="120"/>
      <c r="ARO3" s="120"/>
      <c r="ARP3" s="120"/>
      <c r="ARQ3" s="120"/>
      <c r="ARR3" s="120"/>
      <c r="ARS3" s="120"/>
      <c r="ART3" s="120"/>
      <c r="ARU3" s="120"/>
      <c r="ARV3" s="120"/>
      <c r="ARW3" s="120"/>
      <c r="ARX3" s="120"/>
      <c r="ARY3" s="120"/>
      <c r="ARZ3" s="120"/>
      <c r="ASA3" s="120"/>
      <c r="ASB3" s="120"/>
      <c r="ASC3" s="120"/>
      <c r="ASD3" s="120"/>
      <c r="ASE3" s="120"/>
      <c r="ASF3" s="120"/>
      <c r="ASG3" s="120"/>
      <c r="ASH3" s="120"/>
      <c r="ASI3" s="120"/>
      <c r="ASJ3" s="120"/>
      <c r="ASK3" s="120"/>
      <c r="ASL3" s="120"/>
      <c r="ASM3" s="120"/>
      <c r="ASN3" s="120"/>
      <c r="ASO3" s="120"/>
      <c r="ASP3" s="120"/>
      <c r="ASQ3" s="120"/>
      <c r="ASR3" s="120"/>
      <c r="ASS3" s="120"/>
      <c r="AST3" s="120"/>
      <c r="ASU3" s="120"/>
      <c r="ASV3" s="120"/>
      <c r="ASW3" s="120"/>
      <c r="ASX3" s="120"/>
      <c r="ASY3" s="120"/>
      <c r="ASZ3" s="120"/>
      <c r="ATA3" s="120"/>
      <c r="ATB3" s="120"/>
      <c r="ATC3" s="120"/>
      <c r="ATD3" s="120"/>
      <c r="ATE3" s="120"/>
      <c r="ATF3" s="120"/>
      <c r="ATG3" s="120"/>
      <c r="ATH3" s="120"/>
      <c r="ATI3" s="120"/>
      <c r="ATJ3" s="120"/>
      <c r="ATK3" s="120"/>
      <c r="ATL3" s="120"/>
      <c r="ATM3" s="120"/>
      <c r="ATN3" s="120"/>
      <c r="ATO3" s="120"/>
      <c r="ATP3" s="120"/>
      <c r="ATQ3" s="120"/>
      <c r="ATR3" s="120"/>
      <c r="ATS3" s="120"/>
      <c r="ATT3" s="120"/>
      <c r="ATU3" s="120"/>
      <c r="ATV3" s="120"/>
      <c r="ATW3" s="120"/>
      <c r="ATX3" s="120"/>
      <c r="ATY3" s="120"/>
      <c r="ATZ3" s="120"/>
      <c r="AUA3" s="120"/>
      <c r="AUB3" s="120"/>
      <c r="AUC3" s="120"/>
      <c r="AUD3" s="120"/>
      <c r="AUE3" s="120"/>
      <c r="AUF3" s="120"/>
      <c r="AUG3" s="120"/>
      <c r="AUH3" s="120"/>
      <c r="AUI3" s="120"/>
      <c r="AUJ3" s="120"/>
      <c r="AUK3" s="120"/>
      <c r="AUL3" s="120"/>
      <c r="AUM3" s="120"/>
      <c r="AUN3" s="120"/>
      <c r="AUO3" s="120"/>
      <c r="AUP3" s="120"/>
      <c r="AUQ3" s="120"/>
      <c r="AUR3" s="120"/>
      <c r="AUS3" s="120"/>
      <c r="AUT3" s="120"/>
      <c r="AUU3" s="120"/>
      <c r="AUV3" s="120"/>
      <c r="AUW3" s="120"/>
      <c r="AUX3" s="120"/>
      <c r="AUY3" s="120"/>
      <c r="AUZ3" s="120"/>
      <c r="AVA3" s="120"/>
      <c r="AVB3" s="120"/>
      <c r="AVC3" s="120"/>
      <c r="AVD3" s="120"/>
      <c r="AVE3" s="120"/>
      <c r="AVF3" s="120"/>
      <c r="AVG3" s="120"/>
      <c r="AVH3" s="120"/>
      <c r="AVI3" s="120"/>
      <c r="AVJ3" s="120"/>
      <c r="AVK3" s="120"/>
      <c r="AVL3" s="120"/>
      <c r="AVM3" s="120"/>
      <c r="AVN3" s="120"/>
      <c r="AVO3" s="120"/>
      <c r="AVP3" s="120"/>
      <c r="AVQ3" s="120"/>
      <c r="AVR3" s="120"/>
      <c r="AVS3" s="120"/>
      <c r="AVT3" s="120"/>
      <c r="AVU3" s="120"/>
      <c r="AVV3" s="120"/>
      <c r="AVW3" s="120"/>
      <c r="AVX3" s="120"/>
      <c r="AVY3" s="120"/>
      <c r="AVZ3" s="120"/>
      <c r="AWA3" s="120"/>
      <c r="AWB3" s="120"/>
      <c r="AWC3" s="120"/>
      <c r="AWD3" s="120"/>
      <c r="AWE3" s="120"/>
      <c r="AWF3" s="120"/>
      <c r="AWG3" s="120"/>
      <c r="AWH3" s="120"/>
      <c r="AWI3" s="120"/>
      <c r="AWJ3" s="120"/>
      <c r="AWK3" s="120"/>
      <c r="AWL3" s="120"/>
      <c r="AWM3" s="120"/>
      <c r="AWN3" s="120"/>
      <c r="AWO3" s="120"/>
      <c r="AWP3" s="120"/>
      <c r="AWQ3" s="120"/>
      <c r="AWR3" s="120"/>
      <c r="AWS3" s="120"/>
      <c r="AWT3" s="120"/>
      <c r="AWU3" s="120"/>
      <c r="AWV3" s="120"/>
      <c r="AWW3" s="120"/>
      <c r="AWX3" s="120"/>
      <c r="AWY3" s="120"/>
      <c r="AWZ3" s="120"/>
      <c r="AXA3" s="120"/>
      <c r="AXB3" s="120"/>
      <c r="AXC3" s="120"/>
      <c r="AXD3" s="120"/>
      <c r="AXE3" s="120"/>
      <c r="AXF3" s="120"/>
      <c r="AXG3" s="120"/>
      <c r="AXH3" s="120"/>
      <c r="AXI3" s="120"/>
      <c r="AXJ3" s="120"/>
      <c r="AXK3" s="120"/>
      <c r="AXL3" s="120"/>
      <c r="AXM3" s="120"/>
      <c r="AXN3" s="120"/>
      <c r="AXO3" s="120"/>
      <c r="AXP3" s="120"/>
      <c r="AXQ3" s="120"/>
      <c r="AXR3" s="120"/>
      <c r="AXS3" s="120"/>
      <c r="AXT3" s="120"/>
      <c r="AXU3" s="120"/>
      <c r="AXV3" s="120"/>
      <c r="AXW3" s="120"/>
      <c r="AXX3" s="120"/>
      <c r="AXY3" s="120"/>
      <c r="AXZ3" s="120"/>
      <c r="AYA3" s="120"/>
      <c r="AYB3" s="120"/>
      <c r="AYC3" s="120"/>
      <c r="AYD3" s="120"/>
      <c r="AYE3" s="120"/>
      <c r="AYF3" s="120"/>
      <c r="AYG3" s="120"/>
      <c r="AYH3" s="120"/>
      <c r="AYI3" s="120"/>
      <c r="AYJ3" s="120"/>
      <c r="AYK3" s="120"/>
      <c r="AYL3" s="120"/>
      <c r="AYM3" s="120"/>
      <c r="AYN3" s="120"/>
      <c r="AYO3" s="120"/>
      <c r="AYP3" s="120"/>
      <c r="AYQ3" s="120"/>
      <c r="AYR3" s="120"/>
      <c r="AYS3" s="120"/>
      <c r="AYT3" s="120"/>
      <c r="AYU3" s="120"/>
      <c r="AYV3" s="120"/>
      <c r="AYW3" s="120"/>
      <c r="AYX3" s="120"/>
      <c r="AYY3" s="120"/>
      <c r="AYZ3" s="120"/>
      <c r="AZA3" s="120"/>
      <c r="AZB3" s="120"/>
      <c r="AZC3" s="120"/>
      <c r="AZD3" s="120"/>
      <c r="AZE3" s="120"/>
      <c r="AZF3" s="120"/>
      <c r="AZG3" s="120"/>
      <c r="AZH3" s="120"/>
      <c r="AZI3" s="120"/>
      <c r="AZJ3" s="120"/>
      <c r="AZK3" s="120"/>
      <c r="AZL3" s="120"/>
      <c r="AZM3" s="120"/>
      <c r="AZN3" s="120"/>
      <c r="AZO3" s="120"/>
      <c r="AZP3" s="120"/>
      <c r="AZQ3" s="120"/>
      <c r="AZR3" s="120"/>
      <c r="AZS3" s="120"/>
      <c r="AZT3" s="120"/>
      <c r="AZU3" s="120"/>
      <c r="AZV3" s="120"/>
      <c r="AZW3" s="120"/>
      <c r="AZX3" s="120"/>
      <c r="AZY3" s="120"/>
      <c r="AZZ3" s="120"/>
      <c r="BAA3" s="120"/>
      <c r="BAB3" s="120"/>
      <c r="BAC3" s="120"/>
      <c r="BAD3" s="120"/>
      <c r="BAE3" s="120"/>
      <c r="BAF3" s="120"/>
      <c r="BAG3" s="120"/>
      <c r="BAH3" s="120"/>
      <c r="BAI3" s="120"/>
      <c r="BAJ3" s="120"/>
      <c r="BAK3" s="120"/>
      <c r="BAL3" s="120"/>
      <c r="BAM3" s="120"/>
      <c r="BAN3" s="120"/>
      <c r="BAO3" s="120"/>
      <c r="BAP3" s="120"/>
      <c r="BAQ3" s="120"/>
      <c r="BAR3" s="120"/>
      <c r="BAS3" s="120"/>
      <c r="BAT3" s="120"/>
      <c r="BAU3" s="120"/>
      <c r="BAV3" s="120"/>
      <c r="BAW3" s="120"/>
      <c r="BAX3" s="120"/>
      <c r="BAY3" s="120"/>
      <c r="BAZ3" s="120"/>
      <c r="BBA3" s="120"/>
      <c r="BBB3" s="120"/>
      <c r="BBC3" s="120"/>
      <c r="BBD3" s="120"/>
      <c r="BBE3" s="120"/>
      <c r="BBF3" s="120"/>
      <c r="BBG3" s="120"/>
      <c r="BBH3" s="120"/>
      <c r="BBI3" s="120"/>
      <c r="BBJ3" s="120"/>
      <c r="BBK3" s="120"/>
      <c r="BBL3" s="120"/>
      <c r="BBM3" s="120"/>
      <c r="BBN3" s="120"/>
      <c r="BBO3" s="120"/>
      <c r="BBP3" s="120"/>
      <c r="BBQ3" s="120"/>
      <c r="BBR3" s="120"/>
      <c r="BBS3" s="120"/>
      <c r="BBT3" s="120"/>
      <c r="BBU3" s="120"/>
      <c r="BBV3" s="120"/>
      <c r="BBW3" s="120"/>
      <c r="BBX3" s="120"/>
      <c r="BBY3" s="120"/>
      <c r="BBZ3" s="120"/>
      <c r="BCA3" s="120"/>
      <c r="BCB3" s="120"/>
      <c r="BCC3" s="120"/>
      <c r="BCD3" s="120"/>
      <c r="BCE3" s="120"/>
      <c r="BCF3" s="120"/>
      <c r="BCG3" s="120"/>
      <c r="BCH3" s="120"/>
      <c r="BCI3" s="120"/>
      <c r="BCJ3" s="120"/>
      <c r="BCK3" s="120"/>
      <c r="BCL3" s="120"/>
      <c r="BCM3" s="120"/>
      <c r="BCN3" s="120"/>
      <c r="BCO3" s="120"/>
      <c r="BCP3" s="120"/>
      <c r="BCQ3" s="120"/>
      <c r="BCR3" s="120"/>
      <c r="BCS3" s="120"/>
      <c r="BCT3" s="120"/>
      <c r="BCU3" s="120"/>
      <c r="BCV3" s="120"/>
      <c r="BCW3" s="120"/>
      <c r="BCX3" s="120"/>
      <c r="BCY3" s="120"/>
      <c r="BCZ3" s="120"/>
      <c r="BDA3" s="120"/>
      <c r="BDB3" s="120"/>
      <c r="BDC3" s="120"/>
      <c r="BDD3" s="120"/>
      <c r="BDE3" s="120"/>
      <c r="BDF3" s="120"/>
      <c r="BDG3" s="120"/>
      <c r="BDH3" s="120"/>
      <c r="BDI3" s="120"/>
      <c r="BDJ3" s="120"/>
      <c r="BDK3" s="120"/>
      <c r="BDL3" s="120"/>
      <c r="BDM3" s="120"/>
      <c r="BDN3" s="120"/>
      <c r="BDO3" s="120"/>
      <c r="BDP3" s="120"/>
      <c r="BDQ3" s="120"/>
      <c r="BDR3" s="120"/>
      <c r="BDS3" s="120"/>
      <c r="BDT3" s="120"/>
      <c r="BDU3" s="120"/>
      <c r="BDV3" s="120"/>
      <c r="BDW3" s="120"/>
      <c r="BDX3" s="120"/>
      <c r="BDY3" s="120"/>
      <c r="BDZ3" s="120"/>
      <c r="BEA3" s="120"/>
      <c r="BEB3" s="120"/>
      <c r="BEC3" s="120"/>
      <c r="BED3" s="120"/>
      <c r="BEE3" s="120"/>
      <c r="BEF3" s="120"/>
      <c r="BEG3" s="120"/>
      <c r="BEH3" s="120"/>
      <c r="BEI3" s="120"/>
      <c r="BEJ3" s="120"/>
      <c r="BEK3" s="120"/>
      <c r="BEL3" s="120"/>
      <c r="BEM3" s="120"/>
      <c r="BEN3" s="120"/>
      <c r="BEO3" s="120"/>
      <c r="BEP3" s="120"/>
      <c r="BEQ3" s="120"/>
      <c r="BER3" s="120"/>
      <c r="BES3" s="120"/>
      <c r="BET3" s="120"/>
      <c r="BEU3" s="120"/>
      <c r="BEV3" s="120"/>
      <c r="BEW3" s="120"/>
      <c r="BEX3" s="120"/>
      <c r="BEY3" s="120"/>
      <c r="BEZ3" s="120"/>
      <c r="BFA3" s="120"/>
      <c r="BFB3" s="120"/>
      <c r="BFC3" s="120"/>
      <c r="BFD3" s="120"/>
      <c r="BFE3" s="120"/>
      <c r="BFF3" s="120"/>
      <c r="BFG3" s="120"/>
      <c r="BFH3" s="120"/>
      <c r="BFI3" s="120"/>
      <c r="BFJ3" s="120"/>
      <c r="BFK3" s="120"/>
      <c r="BFL3" s="120"/>
      <c r="BFM3" s="120"/>
      <c r="BFN3" s="120"/>
      <c r="BFO3" s="120"/>
      <c r="BFP3" s="120"/>
      <c r="BFQ3" s="120"/>
      <c r="BFR3" s="120"/>
      <c r="BFS3" s="120"/>
      <c r="BFT3" s="120"/>
      <c r="BFU3" s="120"/>
      <c r="BFV3" s="120"/>
      <c r="BFW3" s="120"/>
      <c r="BFX3" s="120"/>
      <c r="BFY3" s="120"/>
      <c r="BFZ3" s="120"/>
      <c r="BGA3" s="120"/>
      <c r="BGB3" s="120"/>
      <c r="BGC3" s="120"/>
      <c r="BGD3" s="120"/>
      <c r="BGE3" s="120"/>
      <c r="BGF3" s="120"/>
      <c r="BGG3" s="120"/>
      <c r="BGH3" s="120"/>
      <c r="BGI3" s="120"/>
      <c r="BGJ3" s="120"/>
      <c r="BGK3" s="120"/>
      <c r="BGL3" s="120"/>
      <c r="BGM3" s="120"/>
      <c r="BGN3" s="120"/>
      <c r="BGO3" s="120"/>
      <c r="BGP3" s="120"/>
      <c r="BGQ3" s="120"/>
      <c r="BGR3" s="120"/>
      <c r="BGS3" s="120"/>
      <c r="BGT3" s="120"/>
      <c r="BGU3" s="120"/>
      <c r="BGV3" s="120"/>
      <c r="BGW3" s="120"/>
      <c r="BGX3" s="120"/>
      <c r="BGY3" s="120"/>
      <c r="BGZ3" s="120"/>
      <c r="BHA3" s="120"/>
      <c r="BHB3" s="120"/>
      <c r="BHC3" s="120"/>
      <c r="BHD3" s="120"/>
      <c r="BHE3" s="120"/>
      <c r="BHF3" s="120"/>
      <c r="BHG3" s="120"/>
      <c r="BHH3" s="120"/>
      <c r="BHI3" s="120"/>
      <c r="BHJ3" s="120"/>
      <c r="BHK3" s="120"/>
      <c r="BHL3" s="120"/>
      <c r="BHM3" s="120"/>
      <c r="BHN3" s="120"/>
      <c r="BHO3" s="120"/>
      <c r="BHP3" s="120"/>
      <c r="BHQ3" s="120"/>
      <c r="BHR3" s="120"/>
      <c r="BHS3" s="120"/>
      <c r="BHT3" s="120"/>
      <c r="BHU3" s="120"/>
      <c r="BHV3" s="120"/>
      <c r="BHW3" s="120"/>
      <c r="BHX3" s="120"/>
      <c r="BHY3" s="120"/>
      <c r="BHZ3" s="120"/>
      <c r="BIA3" s="120"/>
      <c r="BIB3" s="120"/>
      <c r="BIC3" s="120"/>
      <c r="BID3" s="120"/>
      <c r="BIE3" s="120"/>
      <c r="BIF3" s="120"/>
      <c r="BIG3" s="120"/>
      <c r="BIH3" s="120"/>
      <c r="BII3" s="120"/>
      <c r="BIJ3" s="120"/>
      <c r="BIK3" s="120"/>
      <c r="BIL3" s="120"/>
      <c r="BIM3" s="120"/>
      <c r="BIN3" s="120"/>
      <c r="BIO3" s="120"/>
      <c r="BIP3" s="120"/>
      <c r="BIQ3" s="120"/>
      <c r="BIR3" s="120"/>
      <c r="BIS3" s="120"/>
      <c r="BIT3" s="120"/>
      <c r="BIU3" s="120"/>
      <c r="BIV3" s="120"/>
      <c r="BIW3" s="120"/>
      <c r="BIX3" s="120"/>
      <c r="BIY3" s="120"/>
      <c r="BIZ3" s="120"/>
      <c r="BJA3" s="120"/>
      <c r="BJB3" s="120"/>
      <c r="BJC3" s="120"/>
      <c r="BJD3" s="120"/>
      <c r="BJE3" s="120"/>
      <c r="BJF3" s="120"/>
      <c r="BJG3" s="120"/>
      <c r="BJH3" s="120"/>
      <c r="BJI3" s="120"/>
      <c r="BJJ3" s="120"/>
      <c r="BJK3" s="120"/>
      <c r="BJL3" s="120"/>
      <c r="BJM3" s="120"/>
      <c r="BJN3" s="120"/>
      <c r="BJO3" s="120"/>
      <c r="BJP3" s="120"/>
      <c r="BJQ3" s="120"/>
      <c r="BJR3" s="120"/>
      <c r="BJS3" s="120"/>
      <c r="BJT3" s="120"/>
      <c r="BJU3" s="120"/>
      <c r="BJV3" s="120"/>
      <c r="BJW3" s="120"/>
      <c r="BJX3" s="120"/>
      <c r="BJY3" s="120"/>
      <c r="BJZ3" s="120"/>
      <c r="BKA3" s="120"/>
      <c r="BKB3" s="120"/>
      <c r="BKC3" s="120"/>
      <c r="BKD3" s="120"/>
      <c r="BKE3" s="120"/>
      <c r="BKF3" s="120"/>
      <c r="BKG3" s="120"/>
      <c r="BKH3" s="120"/>
      <c r="BKI3" s="120"/>
      <c r="BKJ3" s="120"/>
      <c r="BKK3" s="120"/>
      <c r="BKL3" s="120"/>
      <c r="BKM3" s="120"/>
      <c r="BKN3" s="120"/>
      <c r="BKO3" s="120"/>
      <c r="BKP3" s="120"/>
      <c r="BKQ3" s="120"/>
      <c r="BKR3" s="120"/>
      <c r="BKS3" s="120"/>
      <c r="BKT3" s="120"/>
      <c r="BKU3" s="120"/>
      <c r="BKV3" s="120"/>
      <c r="BKW3" s="120"/>
      <c r="BKX3" s="120"/>
      <c r="BKY3" s="120"/>
      <c r="BKZ3" s="120"/>
      <c r="BLA3" s="120"/>
      <c r="BLB3" s="120"/>
      <c r="BLC3" s="120"/>
      <c r="BLD3" s="120"/>
      <c r="BLE3" s="120"/>
      <c r="BLF3" s="120"/>
      <c r="BLG3" s="120"/>
      <c r="BLH3" s="120"/>
      <c r="BLI3" s="120"/>
      <c r="BLJ3" s="120"/>
      <c r="BLK3" s="120"/>
      <c r="BLL3" s="120"/>
      <c r="BLM3" s="120"/>
      <c r="BLN3" s="120"/>
      <c r="BLO3" s="120"/>
      <c r="BLP3" s="120"/>
      <c r="BLQ3" s="120"/>
      <c r="BLR3" s="120"/>
      <c r="BLS3" s="120"/>
      <c r="BLT3" s="120"/>
      <c r="BLU3" s="120"/>
      <c r="BLV3" s="120"/>
      <c r="BLW3" s="120"/>
      <c r="BLX3" s="120"/>
      <c r="BLY3" s="120"/>
      <c r="BLZ3" s="120"/>
      <c r="BMA3" s="120"/>
      <c r="BMB3" s="120"/>
      <c r="BMC3" s="120"/>
      <c r="BMD3" s="120"/>
      <c r="BME3" s="120"/>
      <c r="BMF3" s="120"/>
      <c r="BMG3" s="120"/>
      <c r="BMH3" s="120"/>
      <c r="BMI3" s="120"/>
      <c r="BMJ3" s="120"/>
      <c r="BMK3" s="120"/>
      <c r="BML3" s="120"/>
      <c r="BMM3" s="120"/>
      <c r="BMN3" s="120"/>
      <c r="BMO3" s="120"/>
      <c r="BMP3" s="120"/>
      <c r="BMQ3" s="120"/>
      <c r="BMR3" s="120"/>
      <c r="BMS3" s="120"/>
      <c r="BMT3" s="120"/>
      <c r="BMU3" s="120"/>
      <c r="BMV3" s="120"/>
      <c r="BMW3" s="120"/>
      <c r="BMX3" s="120"/>
      <c r="BMY3" s="120"/>
      <c r="BMZ3" s="120"/>
      <c r="BNA3" s="120"/>
      <c r="BNB3" s="120"/>
      <c r="BNC3" s="120"/>
      <c r="BND3" s="120"/>
      <c r="BNE3" s="120"/>
      <c r="BNF3" s="120"/>
      <c r="BNG3" s="120"/>
      <c r="BNH3" s="120"/>
      <c r="BNI3" s="120"/>
      <c r="BNJ3" s="120"/>
      <c r="BNK3" s="120"/>
      <c r="BNL3" s="120"/>
      <c r="BNM3" s="120"/>
      <c r="BNN3" s="120"/>
      <c r="BNO3" s="120"/>
      <c r="BNP3" s="120"/>
      <c r="BNQ3" s="120"/>
      <c r="BNR3" s="120"/>
      <c r="BNS3" s="120"/>
      <c r="BNT3" s="120"/>
      <c r="BNU3" s="120"/>
      <c r="BNV3" s="120"/>
      <c r="BNW3" s="120"/>
      <c r="BNX3" s="120"/>
      <c r="BNY3" s="120"/>
      <c r="BNZ3" s="120"/>
      <c r="BOA3" s="120"/>
      <c r="BOB3" s="120"/>
      <c r="BOC3" s="120"/>
      <c r="BOD3" s="120"/>
      <c r="BOE3" s="120"/>
      <c r="BOF3" s="120"/>
      <c r="BOG3" s="120"/>
      <c r="BOH3" s="120"/>
      <c r="BOI3" s="120"/>
      <c r="BOJ3" s="120"/>
      <c r="BOK3" s="120"/>
      <c r="BOL3" s="120"/>
      <c r="BOM3" s="120"/>
      <c r="BON3" s="120"/>
      <c r="BOO3" s="120"/>
      <c r="BOP3" s="120"/>
      <c r="BOQ3" s="120"/>
      <c r="BOR3" s="120"/>
      <c r="BOS3" s="120"/>
      <c r="BOT3" s="120"/>
      <c r="BOU3" s="120"/>
      <c r="BOV3" s="120"/>
      <c r="BOW3" s="120"/>
      <c r="BOX3" s="120"/>
      <c r="BOY3" s="120"/>
      <c r="BOZ3" s="120"/>
      <c r="BPA3" s="120"/>
      <c r="BPB3" s="120"/>
      <c r="BPC3" s="120"/>
      <c r="BPD3" s="120"/>
      <c r="BPE3" s="120"/>
      <c r="BPF3" s="120"/>
      <c r="BPG3" s="120"/>
      <c r="BPH3" s="120"/>
      <c r="BPI3" s="120"/>
      <c r="BPJ3" s="120"/>
      <c r="BPK3" s="120"/>
      <c r="BPL3" s="120"/>
      <c r="BPM3" s="120"/>
      <c r="BPN3" s="120"/>
      <c r="BPO3" s="120"/>
      <c r="BPP3" s="120"/>
      <c r="BPQ3" s="120"/>
      <c r="BPR3" s="120"/>
      <c r="BPS3" s="120"/>
      <c r="BPT3" s="120"/>
      <c r="BPU3" s="120"/>
      <c r="BPV3" s="120"/>
      <c r="BPW3" s="120"/>
      <c r="BPX3" s="120"/>
      <c r="BPY3" s="120"/>
      <c r="BPZ3" s="120"/>
      <c r="BQA3" s="120"/>
      <c r="BQB3" s="120"/>
      <c r="BQC3" s="120"/>
      <c r="BQD3" s="120"/>
      <c r="BQE3" s="120"/>
      <c r="BQF3" s="120"/>
      <c r="BQG3" s="120"/>
      <c r="BQH3" s="120"/>
      <c r="BQI3" s="120"/>
      <c r="BQJ3" s="120"/>
      <c r="BQK3" s="120"/>
      <c r="BQL3" s="120"/>
      <c r="BQM3" s="120"/>
      <c r="BQN3" s="120"/>
      <c r="BQO3" s="120"/>
      <c r="BQP3" s="120"/>
      <c r="BQQ3" s="120"/>
      <c r="BQR3" s="120"/>
      <c r="BQS3" s="120"/>
      <c r="BQT3" s="120"/>
      <c r="BQU3" s="120"/>
      <c r="BQV3" s="120"/>
      <c r="BQW3" s="120"/>
      <c r="BQX3" s="120"/>
      <c r="BQY3" s="120"/>
      <c r="BQZ3" s="120"/>
      <c r="BRA3" s="120"/>
      <c r="BRB3" s="120"/>
      <c r="BRC3" s="120"/>
      <c r="BRD3" s="120"/>
      <c r="BRE3" s="120"/>
      <c r="BRF3" s="120"/>
      <c r="BRG3" s="120"/>
      <c r="BRH3" s="120"/>
      <c r="BRI3" s="120"/>
      <c r="BRJ3" s="120"/>
      <c r="BRK3" s="120"/>
      <c r="BRL3" s="120"/>
      <c r="BRM3" s="120"/>
      <c r="BRN3" s="120"/>
      <c r="BRO3" s="120"/>
      <c r="BRP3" s="120"/>
      <c r="BRQ3" s="120"/>
      <c r="BRR3" s="120"/>
      <c r="BRS3" s="120"/>
      <c r="BRT3" s="120"/>
      <c r="BRU3" s="120"/>
      <c r="BRV3" s="120"/>
      <c r="BRW3" s="120"/>
      <c r="BRX3" s="120"/>
      <c r="BRY3" s="120"/>
      <c r="BRZ3" s="120"/>
      <c r="BSA3" s="120"/>
      <c r="BSB3" s="120"/>
      <c r="BSC3" s="120"/>
      <c r="BSD3" s="120"/>
      <c r="BSE3" s="120"/>
      <c r="BSF3" s="120"/>
      <c r="BSG3" s="120"/>
      <c r="BSH3" s="120"/>
      <c r="BSI3" s="120"/>
      <c r="BSJ3" s="120"/>
      <c r="BSK3" s="120"/>
      <c r="BSL3" s="120"/>
      <c r="BSM3" s="120"/>
      <c r="BSN3" s="120"/>
      <c r="BSO3" s="120"/>
      <c r="BSP3" s="120"/>
      <c r="BSQ3" s="120"/>
      <c r="BSR3" s="120"/>
      <c r="BSS3" s="120"/>
      <c r="BST3" s="120"/>
      <c r="BSU3" s="120"/>
      <c r="BSV3" s="120"/>
      <c r="BSW3" s="120"/>
      <c r="BSX3" s="120"/>
      <c r="BSY3" s="120"/>
      <c r="BSZ3" s="120"/>
      <c r="BTA3" s="120"/>
      <c r="BTB3" s="120"/>
      <c r="BTC3" s="120"/>
      <c r="BTD3" s="120"/>
      <c r="BTE3" s="120"/>
      <c r="BTF3" s="120"/>
      <c r="BTG3" s="120"/>
      <c r="BTH3" s="120"/>
      <c r="BTI3" s="120"/>
      <c r="BTJ3" s="120"/>
      <c r="BTK3" s="120"/>
      <c r="BTL3" s="120"/>
      <c r="BTM3" s="120"/>
      <c r="BTN3" s="120"/>
      <c r="BTO3" s="120"/>
      <c r="BTP3" s="120"/>
      <c r="BTQ3" s="120"/>
      <c r="BTR3" s="120"/>
      <c r="BTS3" s="120"/>
      <c r="BTT3" s="120"/>
      <c r="BTU3" s="120"/>
      <c r="BTV3" s="120"/>
      <c r="BTW3" s="120"/>
      <c r="BTX3" s="120"/>
      <c r="BTY3" s="120"/>
      <c r="BTZ3" s="120"/>
      <c r="BUA3" s="120"/>
      <c r="BUB3" s="120"/>
      <c r="BUC3" s="120"/>
      <c r="BUD3" s="120"/>
      <c r="BUE3" s="120"/>
      <c r="BUF3" s="120"/>
      <c r="BUG3" s="120"/>
      <c r="BUH3" s="120"/>
      <c r="BUI3" s="120"/>
      <c r="BUJ3" s="120"/>
      <c r="BUK3" s="120"/>
      <c r="BUL3" s="120"/>
      <c r="BUM3" s="120"/>
      <c r="BUN3" s="120"/>
      <c r="BUO3" s="120"/>
      <c r="BUP3" s="120"/>
      <c r="BUQ3" s="120"/>
      <c r="BUR3" s="120"/>
      <c r="BUS3" s="120"/>
      <c r="BUT3" s="120"/>
      <c r="BUU3" s="120"/>
      <c r="BUV3" s="120"/>
      <c r="BUW3" s="120"/>
      <c r="BUX3" s="120"/>
      <c r="BUY3" s="120"/>
      <c r="BUZ3" s="120"/>
      <c r="BVA3" s="120"/>
      <c r="BVB3" s="120"/>
      <c r="BVC3" s="120"/>
      <c r="BVD3" s="120"/>
      <c r="BVE3" s="120"/>
      <c r="BVF3" s="120"/>
      <c r="BVG3" s="120"/>
      <c r="BVH3" s="120"/>
      <c r="BVI3" s="120"/>
      <c r="BVJ3" s="120"/>
      <c r="BVK3" s="120"/>
      <c r="BVL3" s="120"/>
      <c r="BVM3" s="120"/>
      <c r="BVN3" s="120"/>
      <c r="BVO3" s="120"/>
      <c r="BVP3" s="120"/>
      <c r="BVQ3" s="120"/>
      <c r="BVR3" s="120"/>
      <c r="BVS3" s="120"/>
      <c r="BVT3" s="120"/>
      <c r="BVU3" s="120"/>
      <c r="BVV3" s="120"/>
      <c r="BVW3" s="120"/>
      <c r="BVX3" s="120"/>
      <c r="BVY3" s="120"/>
      <c r="BVZ3" s="120"/>
      <c r="BWA3" s="120"/>
      <c r="BWB3" s="120"/>
      <c r="BWC3" s="120"/>
      <c r="BWD3" s="120"/>
      <c r="BWE3" s="120"/>
      <c r="BWF3" s="120"/>
      <c r="BWG3" s="120"/>
      <c r="BWH3" s="120"/>
      <c r="BWI3" s="120"/>
      <c r="BWJ3" s="120"/>
      <c r="BWK3" s="120"/>
      <c r="BWL3" s="120"/>
      <c r="BWM3" s="120"/>
      <c r="BWN3" s="120"/>
      <c r="BWO3" s="120"/>
      <c r="BWP3" s="120"/>
      <c r="BWQ3" s="120"/>
      <c r="BWR3" s="120"/>
      <c r="BWS3" s="120"/>
      <c r="BWT3" s="120"/>
      <c r="BWU3" s="120"/>
      <c r="BWV3" s="120"/>
      <c r="BWW3" s="120"/>
      <c r="BWX3" s="120"/>
      <c r="BWY3" s="120"/>
      <c r="BWZ3" s="120"/>
      <c r="BXA3" s="120"/>
      <c r="BXB3" s="120"/>
      <c r="BXC3" s="120"/>
      <c r="BXD3" s="120"/>
      <c r="BXE3" s="120"/>
      <c r="BXF3" s="120"/>
      <c r="BXG3" s="120"/>
      <c r="BXH3" s="120"/>
      <c r="BXI3" s="120"/>
      <c r="BXJ3" s="120"/>
      <c r="BXK3" s="120"/>
      <c r="BXL3" s="120"/>
      <c r="BXM3" s="120"/>
      <c r="BXN3" s="120"/>
      <c r="BXO3" s="120"/>
      <c r="BXP3" s="120"/>
      <c r="BXQ3" s="120"/>
      <c r="BXR3" s="120"/>
      <c r="BXS3" s="120"/>
      <c r="BXT3" s="120"/>
      <c r="BXU3" s="120"/>
      <c r="BXV3" s="120"/>
      <c r="BXW3" s="120"/>
      <c r="BXX3" s="120"/>
      <c r="BXY3" s="120"/>
      <c r="BXZ3" s="120"/>
      <c r="BYA3" s="120"/>
      <c r="BYB3" s="120"/>
      <c r="BYC3" s="120"/>
      <c r="BYD3" s="120"/>
      <c r="BYE3" s="120"/>
      <c r="BYF3" s="120"/>
      <c r="BYG3" s="120"/>
      <c r="BYH3" s="120"/>
      <c r="BYI3" s="120"/>
      <c r="BYJ3" s="120"/>
      <c r="BYK3" s="120"/>
      <c r="BYL3" s="120"/>
      <c r="BYM3" s="120"/>
      <c r="BYN3" s="120"/>
      <c r="BYO3" s="120"/>
      <c r="BYP3" s="120"/>
      <c r="BYQ3" s="120"/>
      <c r="BYR3" s="120"/>
      <c r="BYS3" s="120"/>
      <c r="BYT3" s="120"/>
      <c r="BYU3" s="120"/>
      <c r="BYV3" s="120"/>
      <c r="BYW3" s="120"/>
      <c r="BYX3" s="120"/>
      <c r="BYY3" s="120"/>
      <c r="BYZ3" s="120"/>
      <c r="BZA3" s="120"/>
      <c r="BZB3" s="120"/>
      <c r="BZC3" s="120"/>
      <c r="BZD3" s="120"/>
      <c r="BZE3" s="120"/>
      <c r="BZF3" s="120"/>
      <c r="BZG3" s="120"/>
      <c r="BZH3" s="120"/>
      <c r="BZI3" s="120"/>
      <c r="BZJ3" s="120"/>
      <c r="BZK3" s="120"/>
      <c r="BZL3" s="120"/>
      <c r="BZM3" s="120"/>
      <c r="BZN3" s="120"/>
      <c r="BZO3" s="120"/>
      <c r="BZP3" s="120"/>
      <c r="BZQ3" s="120"/>
      <c r="BZR3" s="120"/>
      <c r="BZS3" s="120"/>
      <c r="BZT3" s="120"/>
      <c r="BZU3" s="120"/>
      <c r="BZV3" s="120"/>
      <c r="BZW3" s="120"/>
      <c r="BZX3" s="120"/>
      <c r="BZY3" s="120"/>
      <c r="BZZ3" s="120"/>
      <c r="CAA3" s="120"/>
      <c r="CAB3" s="120"/>
      <c r="CAC3" s="120"/>
      <c r="CAD3" s="120"/>
      <c r="CAE3" s="120"/>
      <c r="CAF3" s="120"/>
      <c r="CAG3" s="120"/>
      <c r="CAH3" s="120"/>
      <c r="CAI3" s="120"/>
      <c r="CAJ3" s="120"/>
      <c r="CAK3" s="120"/>
      <c r="CAL3" s="120"/>
      <c r="CAM3" s="120"/>
      <c r="CAN3" s="120"/>
      <c r="CAO3" s="120"/>
      <c r="CAP3" s="120"/>
      <c r="CAQ3" s="120"/>
      <c r="CAR3" s="120"/>
      <c r="CAS3" s="120"/>
      <c r="CAT3" s="120"/>
      <c r="CAU3" s="120"/>
      <c r="CAV3" s="120"/>
      <c r="CAW3" s="120"/>
      <c r="CAX3" s="120"/>
      <c r="CAY3" s="120"/>
      <c r="CAZ3" s="120"/>
      <c r="CBA3" s="120"/>
      <c r="CBB3" s="120"/>
      <c r="CBC3" s="120"/>
      <c r="CBD3" s="120"/>
      <c r="CBE3" s="120"/>
      <c r="CBF3" s="120"/>
      <c r="CBG3" s="120"/>
      <c r="CBH3" s="120"/>
      <c r="CBI3" s="120"/>
      <c r="CBJ3" s="120"/>
      <c r="CBK3" s="120"/>
      <c r="CBL3" s="120"/>
      <c r="CBM3" s="120"/>
      <c r="CBN3" s="120"/>
      <c r="CBO3" s="120"/>
      <c r="CBP3" s="120"/>
      <c r="CBQ3" s="120"/>
      <c r="CBR3" s="120"/>
      <c r="CBS3" s="120"/>
      <c r="CBT3" s="120"/>
      <c r="CBU3" s="120"/>
      <c r="CBV3" s="120"/>
      <c r="CBW3" s="120"/>
      <c r="CBX3" s="120"/>
      <c r="CBY3" s="120"/>
      <c r="CBZ3" s="120"/>
      <c r="CCA3" s="120"/>
      <c r="CCB3" s="120"/>
      <c r="CCC3" s="120"/>
      <c r="CCD3" s="120"/>
      <c r="CCE3" s="120"/>
      <c r="CCF3" s="120"/>
      <c r="CCG3" s="120"/>
      <c r="CCH3" s="120"/>
      <c r="CCI3" s="120"/>
      <c r="CCJ3" s="120"/>
      <c r="CCK3" s="120"/>
      <c r="CCL3" s="120"/>
      <c r="CCM3" s="120"/>
      <c r="CCN3" s="120"/>
      <c r="CCO3" s="120"/>
      <c r="CCP3" s="120"/>
      <c r="CCQ3" s="120"/>
      <c r="CCR3" s="120"/>
      <c r="CCS3" s="120"/>
      <c r="CCT3" s="120"/>
      <c r="CCU3" s="120"/>
      <c r="CCV3" s="120"/>
      <c r="CCW3" s="120"/>
      <c r="CCX3" s="120"/>
      <c r="CCY3" s="120"/>
      <c r="CCZ3" s="120"/>
      <c r="CDA3" s="120"/>
      <c r="CDB3" s="120"/>
      <c r="CDC3" s="120"/>
      <c r="CDD3" s="120"/>
      <c r="CDE3" s="120"/>
      <c r="CDF3" s="120"/>
      <c r="CDG3" s="120"/>
      <c r="CDH3" s="120"/>
      <c r="CDI3" s="120"/>
      <c r="CDJ3" s="120"/>
      <c r="CDK3" s="120"/>
      <c r="CDL3" s="120"/>
      <c r="CDM3" s="120"/>
      <c r="CDN3" s="120"/>
      <c r="CDO3" s="120"/>
      <c r="CDP3" s="120"/>
      <c r="CDQ3" s="120"/>
      <c r="CDR3" s="120"/>
      <c r="CDS3" s="120"/>
      <c r="CDT3" s="120"/>
      <c r="CDU3" s="120"/>
      <c r="CDV3" s="120"/>
      <c r="CDW3" s="120"/>
      <c r="CDX3" s="120"/>
      <c r="CDY3" s="120"/>
      <c r="CDZ3" s="120"/>
      <c r="CEA3" s="120"/>
      <c r="CEB3" s="120"/>
      <c r="CEC3" s="120"/>
      <c r="CED3" s="120"/>
      <c r="CEE3" s="120"/>
      <c r="CEF3" s="120"/>
      <c r="CEG3" s="120"/>
      <c r="CEH3" s="120"/>
      <c r="CEI3" s="120"/>
      <c r="CEJ3" s="120"/>
      <c r="CEK3" s="120"/>
      <c r="CEL3" s="120"/>
      <c r="CEM3" s="120"/>
      <c r="CEN3" s="120"/>
      <c r="CEO3" s="120"/>
      <c r="CEP3" s="120"/>
      <c r="CEQ3" s="120"/>
      <c r="CER3" s="120"/>
      <c r="CES3" s="120"/>
      <c r="CET3" s="120"/>
      <c r="CEU3" s="120"/>
      <c r="CEV3" s="120"/>
      <c r="CEW3" s="120"/>
      <c r="CEX3" s="120"/>
      <c r="CEY3" s="120"/>
      <c r="CEZ3" s="120"/>
      <c r="CFA3" s="120"/>
      <c r="CFB3" s="120"/>
      <c r="CFC3" s="120"/>
      <c r="CFD3" s="120"/>
      <c r="CFE3" s="120"/>
      <c r="CFF3" s="120"/>
      <c r="CFG3" s="120"/>
      <c r="CFH3" s="120"/>
      <c r="CFI3" s="120"/>
      <c r="CFJ3" s="120"/>
      <c r="CFK3" s="120"/>
      <c r="CFL3" s="120"/>
      <c r="CFM3" s="120"/>
      <c r="CFN3" s="120"/>
      <c r="CFO3" s="120"/>
      <c r="CFP3" s="120"/>
      <c r="CFQ3" s="120"/>
      <c r="CFR3" s="120"/>
      <c r="CFS3" s="120"/>
      <c r="CFT3" s="120"/>
      <c r="CFU3" s="120"/>
      <c r="CFV3" s="120"/>
      <c r="CFW3" s="120"/>
      <c r="CFX3" s="120"/>
      <c r="CFY3" s="120"/>
      <c r="CFZ3" s="120"/>
      <c r="CGA3" s="120"/>
      <c r="CGB3" s="120"/>
      <c r="CGC3" s="120"/>
      <c r="CGD3" s="120"/>
      <c r="CGE3" s="120"/>
      <c r="CGF3" s="120"/>
      <c r="CGG3" s="120"/>
      <c r="CGH3" s="120"/>
      <c r="CGI3" s="120"/>
      <c r="CGJ3" s="120"/>
      <c r="CGK3" s="120"/>
      <c r="CGL3" s="120"/>
      <c r="CGM3" s="120"/>
      <c r="CGN3" s="120"/>
      <c r="CGO3" s="120"/>
      <c r="CGP3" s="120"/>
      <c r="CGQ3" s="120"/>
      <c r="CGR3" s="120"/>
      <c r="CGS3" s="120"/>
      <c r="CGT3" s="120"/>
      <c r="CGU3" s="120"/>
      <c r="CGV3" s="120"/>
      <c r="CGW3" s="120"/>
      <c r="CGX3" s="120"/>
      <c r="CGY3" s="120"/>
      <c r="CGZ3" s="120"/>
      <c r="CHA3" s="120"/>
      <c r="CHB3" s="120"/>
      <c r="CHC3" s="120"/>
      <c r="CHD3" s="120"/>
      <c r="CHE3" s="120"/>
      <c r="CHF3" s="120"/>
      <c r="CHG3" s="120"/>
      <c r="CHH3" s="120"/>
      <c r="CHI3" s="120"/>
      <c r="CHJ3" s="120"/>
      <c r="CHK3" s="120"/>
      <c r="CHL3" s="120"/>
      <c r="CHM3" s="120"/>
      <c r="CHN3" s="120"/>
      <c r="CHO3" s="120"/>
      <c r="CHP3" s="120"/>
      <c r="CHQ3" s="120"/>
      <c r="CHR3" s="120"/>
      <c r="CHS3" s="120"/>
      <c r="CHT3" s="120"/>
      <c r="CHU3" s="120"/>
      <c r="CHV3" s="120"/>
      <c r="CHW3" s="120"/>
      <c r="CHX3" s="120"/>
      <c r="CHY3" s="120"/>
      <c r="CHZ3" s="120"/>
      <c r="CIA3" s="120"/>
      <c r="CIB3" s="120"/>
      <c r="CIC3" s="120"/>
      <c r="CID3" s="120"/>
      <c r="CIE3" s="120"/>
      <c r="CIF3" s="120"/>
      <c r="CIG3" s="120"/>
      <c r="CIH3" s="120"/>
      <c r="CII3" s="120"/>
      <c r="CIJ3" s="120"/>
      <c r="CIK3" s="120"/>
      <c r="CIL3" s="120"/>
      <c r="CIM3" s="120"/>
      <c r="CIN3" s="120"/>
      <c r="CIO3" s="120"/>
      <c r="CIP3" s="120"/>
      <c r="CIQ3" s="120"/>
      <c r="CIR3" s="120"/>
      <c r="CIS3" s="120"/>
      <c r="CIT3" s="120"/>
      <c r="CIU3" s="120"/>
      <c r="CIV3" s="120"/>
      <c r="CIW3" s="120"/>
      <c r="CIX3" s="120"/>
      <c r="CIY3" s="120"/>
      <c r="CIZ3" s="120"/>
      <c r="CJA3" s="120"/>
      <c r="CJB3" s="120"/>
      <c r="CJC3" s="120"/>
      <c r="CJD3" s="120"/>
      <c r="CJE3" s="120"/>
      <c r="CJF3" s="120"/>
      <c r="CJG3" s="120"/>
      <c r="CJH3" s="120"/>
      <c r="CJI3" s="120"/>
      <c r="CJJ3" s="120"/>
      <c r="CJK3" s="120"/>
      <c r="CJL3" s="120"/>
      <c r="CJM3" s="120"/>
      <c r="CJN3" s="120"/>
      <c r="CJO3" s="120"/>
      <c r="CJP3" s="120"/>
      <c r="CJQ3" s="120"/>
      <c r="CJR3" s="120"/>
      <c r="CJS3" s="120"/>
      <c r="CJT3" s="120"/>
      <c r="CJU3" s="120"/>
      <c r="CJV3" s="120"/>
      <c r="CJW3" s="120"/>
      <c r="CJX3" s="120"/>
      <c r="CJY3" s="120"/>
      <c r="CJZ3" s="120"/>
      <c r="CKA3" s="120"/>
      <c r="CKB3" s="120"/>
      <c r="CKC3" s="120"/>
      <c r="CKD3" s="120"/>
      <c r="CKE3" s="120"/>
      <c r="CKF3" s="120"/>
      <c r="CKG3" s="120"/>
      <c r="CKH3" s="120"/>
      <c r="CKI3" s="120"/>
      <c r="CKJ3" s="120"/>
      <c r="CKK3" s="120"/>
      <c r="CKL3" s="120"/>
      <c r="CKM3" s="120"/>
      <c r="CKN3" s="120"/>
      <c r="CKO3" s="120"/>
      <c r="CKP3" s="120"/>
      <c r="CKQ3" s="120"/>
      <c r="CKR3" s="120"/>
      <c r="CKS3" s="120"/>
      <c r="CKT3" s="120"/>
      <c r="CKU3" s="120"/>
      <c r="CKV3" s="120"/>
      <c r="CKW3" s="120"/>
      <c r="CKX3" s="120"/>
      <c r="CKY3" s="120"/>
      <c r="CKZ3" s="120"/>
      <c r="CLA3" s="120"/>
      <c r="CLB3" s="120"/>
      <c r="CLC3" s="120"/>
      <c r="CLD3" s="120"/>
      <c r="CLE3" s="120"/>
      <c r="CLF3" s="120"/>
      <c r="CLG3" s="120"/>
      <c r="CLH3" s="120"/>
      <c r="CLI3" s="120"/>
      <c r="CLJ3" s="120"/>
      <c r="CLK3" s="120"/>
      <c r="CLL3" s="120"/>
      <c r="CLM3" s="120"/>
      <c r="CLN3" s="120"/>
      <c r="CLO3" s="120"/>
      <c r="CLP3" s="120"/>
      <c r="CLQ3" s="120"/>
      <c r="CLR3" s="120"/>
      <c r="CLS3" s="120"/>
      <c r="CLT3" s="120"/>
      <c r="CLU3" s="120"/>
      <c r="CLV3" s="120"/>
      <c r="CLW3" s="120"/>
      <c r="CLX3" s="120"/>
      <c r="CLY3" s="120"/>
      <c r="CLZ3" s="120"/>
      <c r="CMA3" s="120"/>
      <c r="CMB3" s="120"/>
      <c r="CMC3" s="120"/>
      <c r="CMD3" s="120"/>
      <c r="CME3" s="120"/>
      <c r="CMF3" s="120"/>
      <c r="CMG3" s="120"/>
      <c r="CMH3" s="120"/>
      <c r="CMI3" s="120"/>
      <c r="CMJ3" s="120"/>
      <c r="CMK3" s="120"/>
      <c r="CML3" s="120"/>
      <c r="CMM3" s="120"/>
      <c r="CMN3" s="120"/>
      <c r="CMO3" s="120"/>
      <c r="CMP3" s="120"/>
      <c r="CMQ3" s="120"/>
      <c r="CMR3" s="120"/>
      <c r="CMS3" s="120"/>
      <c r="CMT3" s="120"/>
      <c r="CMU3" s="120"/>
      <c r="CMV3" s="120"/>
      <c r="CMW3" s="120"/>
      <c r="CMX3" s="120"/>
      <c r="CMY3" s="120"/>
      <c r="CMZ3" s="120"/>
      <c r="CNA3" s="120"/>
      <c r="CNB3" s="120"/>
      <c r="CNC3" s="120"/>
      <c r="CND3" s="120"/>
      <c r="CNE3" s="120"/>
      <c r="CNF3" s="120"/>
      <c r="CNG3" s="120"/>
      <c r="CNH3" s="120"/>
      <c r="CNI3" s="120"/>
      <c r="CNJ3" s="120"/>
      <c r="CNK3" s="120"/>
      <c r="CNL3" s="120"/>
      <c r="CNM3" s="120"/>
      <c r="CNN3" s="120"/>
      <c r="CNO3" s="120"/>
      <c r="CNP3" s="120"/>
      <c r="CNQ3" s="120"/>
      <c r="CNR3" s="120"/>
      <c r="CNS3" s="120"/>
      <c r="CNT3" s="120"/>
      <c r="CNU3" s="120"/>
      <c r="CNV3" s="120"/>
      <c r="CNW3" s="120"/>
      <c r="CNX3" s="120"/>
      <c r="CNY3" s="120"/>
      <c r="CNZ3" s="120"/>
      <c r="COA3" s="120"/>
      <c r="COB3" s="120"/>
      <c r="COC3" s="120"/>
      <c r="COD3" s="120"/>
      <c r="COE3" s="120"/>
      <c r="COF3" s="120"/>
      <c r="COG3" s="120"/>
      <c r="COH3" s="120"/>
      <c r="COI3" s="120"/>
      <c r="COJ3" s="120"/>
      <c r="COK3" s="120"/>
      <c r="COL3" s="120"/>
      <c r="COM3" s="120"/>
      <c r="CON3" s="120"/>
      <c r="COO3" s="120"/>
      <c r="COP3" s="120"/>
      <c r="COQ3" s="120"/>
      <c r="COR3" s="120"/>
      <c r="COS3" s="120"/>
      <c r="COT3" s="120"/>
      <c r="COU3" s="120"/>
      <c r="COV3" s="120"/>
      <c r="COW3" s="120"/>
      <c r="COX3" s="120"/>
      <c r="COY3" s="120"/>
      <c r="COZ3" s="120"/>
      <c r="CPA3" s="120"/>
      <c r="CPB3" s="120"/>
      <c r="CPC3" s="120"/>
      <c r="CPD3" s="120"/>
      <c r="CPE3" s="120"/>
      <c r="CPF3" s="120"/>
      <c r="CPG3" s="120"/>
      <c r="CPH3" s="120"/>
      <c r="CPI3" s="120"/>
      <c r="CPJ3" s="120"/>
      <c r="CPK3" s="120"/>
      <c r="CPL3" s="120"/>
      <c r="CPM3" s="120"/>
      <c r="CPN3" s="120"/>
      <c r="CPO3" s="120"/>
      <c r="CPP3" s="120"/>
      <c r="CPQ3" s="120"/>
      <c r="CPR3" s="120"/>
      <c r="CPS3" s="120"/>
      <c r="CPT3" s="120"/>
      <c r="CPU3" s="120"/>
      <c r="CPV3" s="120"/>
      <c r="CPW3" s="120"/>
      <c r="CPX3" s="120"/>
      <c r="CPY3" s="120"/>
      <c r="CPZ3" s="120"/>
      <c r="CQA3" s="120"/>
      <c r="CQB3" s="120"/>
      <c r="CQC3" s="120"/>
      <c r="CQD3" s="120"/>
      <c r="CQE3" s="120"/>
      <c r="CQF3" s="120"/>
      <c r="CQG3" s="120"/>
      <c r="CQH3" s="120"/>
      <c r="CQI3" s="120"/>
      <c r="CQJ3" s="120"/>
      <c r="CQK3" s="120"/>
      <c r="CQL3" s="120"/>
      <c r="CQM3" s="120"/>
      <c r="CQN3" s="120"/>
      <c r="CQO3" s="120"/>
      <c r="CQP3" s="120"/>
      <c r="CQQ3" s="120"/>
      <c r="CQR3" s="120"/>
      <c r="CQS3" s="120"/>
      <c r="CQT3" s="120"/>
      <c r="CQU3" s="120"/>
      <c r="CQV3" s="120"/>
      <c r="CQW3" s="120"/>
      <c r="CQX3" s="120"/>
      <c r="CQY3" s="120"/>
      <c r="CQZ3" s="120"/>
      <c r="CRA3" s="120"/>
      <c r="CRB3" s="120"/>
      <c r="CRC3" s="120"/>
      <c r="CRD3" s="120"/>
      <c r="CRE3" s="120"/>
      <c r="CRF3" s="120"/>
      <c r="CRG3" s="120"/>
      <c r="CRH3" s="120"/>
      <c r="CRI3" s="120"/>
      <c r="CRJ3" s="120"/>
      <c r="CRK3" s="120"/>
      <c r="CRL3" s="120"/>
      <c r="CRM3" s="120"/>
      <c r="CRN3" s="120"/>
      <c r="CRO3" s="120"/>
      <c r="CRP3" s="120"/>
      <c r="CRQ3" s="120"/>
      <c r="CRR3" s="120"/>
      <c r="CRS3" s="120"/>
      <c r="CRT3" s="120"/>
      <c r="CRU3" s="120"/>
      <c r="CRV3" s="120"/>
      <c r="CRW3" s="120"/>
      <c r="CRX3" s="120"/>
      <c r="CRY3" s="120"/>
      <c r="CRZ3" s="120"/>
      <c r="CSA3" s="120"/>
      <c r="CSB3" s="120"/>
      <c r="CSC3" s="120"/>
      <c r="CSD3" s="120"/>
      <c r="CSE3" s="120"/>
      <c r="CSF3" s="120"/>
      <c r="CSG3" s="120"/>
      <c r="CSH3" s="120"/>
      <c r="CSI3" s="120"/>
      <c r="CSJ3" s="120"/>
      <c r="CSK3" s="120"/>
      <c r="CSL3" s="120"/>
      <c r="CSM3" s="120"/>
      <c r="CSN3" s="120"/>
      <c r="CSO3" s="120"/>
      <c r="CSP3" s="120"/>
      <c r="CSQ3" s="120"/>
      <c r="CSR3" s="120"/>
      <c r="CSS3" s="120"/>
      <c r="CST3" s="120"/>
      <c r="CSU3" s="120"/>
      <c r="CSV3" s="120"/>
      <c r="CSW3" s="120"/>
      <c r="CSX3" s="120"/>
      <c r="CSY3" s="120"/>
      <c r="CSZ3" s="120"/>
      <c r="CTA3" s="120"/>
      <c r="CTB3" s="120"/>
      <c r="CTC3" s="120"/>
      <c r="CTD3" s="120"/>
      <c r="CTE3" s="120"/>
      <c r="CTF3" s="120"/>
      <c r="CTG3" s="120"/>
      <c r="CTH3" s="120"/>
      <c r="CTI3" s="120"/>
      <c r="CTJ3" s="120"/>
      <c r="CTK3" s="120"/>
      <c r="CTL3" s="120"/>
      <c r="CTM3" s="120"/>
      <c r="CTN3" s="120"/>
      <c r="CTO3" s="120"/>
      <c r="CTP3" s="120"/>
      <c r="CTQ3" s="120"/>
      <c r="CTR3" s="120"/>
      <c r="CTS3" s="120"/>
      <c r="CTT3" s="120"/>
      <c r="CTU3" s="120"/>
      <c r="CTV3" s="120"/>
      <c r="CTW3" s="120"/>
      <c r="CTX3" s="120"/>
      <c r="CTY3" s="120"/>
      <c r="CTZ3" s="120"/>
      <c r="CUA3" s="120"/>
      <c r="CUB3" s="120"/>
      <c r="CUC3" s="120"/>
      <c r="CUD3" s="120"/>
      <c r="CUE3" s="120"/>
      <c r="CUF3" s="120"/>
      <c r="CUG3" s="120"/>
      <c r="CUH3" s="120"/>
      <c r="CUI3" s="120"/>
      <c r="CUJ3" s="120"/>
      <c r="CUK3" s="120"/>
      <c r="CUL3" s="120"/>
      <c r="CUM3" s="120"/>
      <c r="CUN3" s="120"/>
      <c r="CUO3" s="120"/>
      <c r="CUP3" s="120"/>
      <c r="CUQ3" s="120"/>
      <c r="CUR3" s="120"/>
      <c r="CUS3" s="120"/>
      <c r="CUT3" s="120"/>
      <c r="CUU3" s="120"/>
      <c r="CUV3" s="120"/>
      <c r="CUW3" s="120"/>
      <c r="CUX3" s="120"/>
      <c r="CUY3" s="120"/>
      <c r="CUZ3" s="120"/>
      <c r="CVA3" s="120"/>
      <c r="CVB3" s="120"/>
      <c r="CVC3" s="120"/>
      <c r="CVD3" s="120"/>
      <c r="CVE3" s="120"/>
      <c r="CVF3" s="120"/>
      <c r="CVG3" s="120"/>
      <c r="CVH3" s="120"/>
      <c r="CVI3" s="120"/>
      <c r="CVJ3" s="120"/>
      <c r="CVK3" s="120"/>
      <c r="CVL3" s="120"/>
      <c r="CVM3" s="120"/>
      <c r="CVN3" s="120"/>
      <c r="CVO3" s="120"/>
      <c r="CVP3" s="120"/>
      <c r="CVQ3" s="120"/>
      <c r="CVR3" s="120"/>
      <c r="CVS3" s="120"/>
      <c r="CVT3" s="120"/>
      <c r="CVU3" s="120"/>
      <c r="CVV3" s="120"/>
      <c r="CVW3" s="120"/>
      <c r="CVX3" s="120"/>
      <c r="CVY3" s="120"/>
      <c r="CVZ3" s="120"/>
      <c r="CWA3" s="120"/>
      <c r="CWB3" s="120"/>
      <c r="CWC3" s="120"/>
      <c r="CWD3" s="120"/>
      <c r="CWE3" s="120"/>
      <c r="CWF3" s="120"/>
      <c r="CWG3" s="120"/>
      <c r="CWH3" s="120"/>
      <c r="CWI3" s="120"/>
      <c r="CWJ3" s="120"/>
      <c r="CWK3" s="120"/>
      <c r="CWL3" s="120"/>
      <c r="CWM3" s="120"/>
      <c r="CWN3" s="120"/>
      <c r="CWO3" s="120"/>
      <c r="CWP3" s="120"/>
      <c r="CWQ3" s="120"/>
      <c r="CWR3" s="120"/>
      <c r="CWS3" s="120"/>
      <c r="CWT3" s="120"/>
      <c r="CWU3" s="120"/>
      <c r="CWV3" s="120"/>
      <c r="CWW3" s="120"/>
      <c r="CWX3" s="120"/>
      <c r="CWY3" s="120"/>
      <c r="CWZ3" s="120"/>
      <c r="CXA3" s="120"/>
      <c r="CXB3" s="120"/>
      <c r="CXC3" s="120"/>
      <c r="CXD3" s="120"/>
      <c r="CXE3" s="120"/>
      <c r="CXF3" s="120"/>
      <c r="CXG3" s="120"/>
      <c r="CXH3" s="120"/>
      <c r="CXI3" s="120"/>
      <c r="CXJ3" s="120"/>
      <c r="CXK3" s="120"/>
      <c r="CXL3" s="120"/>
      <c r="CXM3" s="120"/>
      <c r="CXN3" s="120"/>
      <c r="CXO3" s="120"/>
      <c r="CXP3" s="120"/>
      <c r="CXQ3" s="120"/>
      <c r="CXR3" s="120"/>
      <c r="CXS3" s="120"/>
      <c r="CXT3" s="120"/>
      <c r="CXU3" s="120"/>
      <c r="CXV3" s="120"/>
      <c r="CXW3" s="120"/>
      <c r="CXX3" s="120"/>
      <c r="CXY3" s="120"/>
      <c r="CXZ3" s="120"/>
      <c r="CYA3" s="120"/>
      <c r="CYB3" s="120"/>
      <c r="CYC3" s="120"/>
      <c r="CYD3" s="120"/>
      <c r="CYE3" s="120"/>
      <c r="CYF3" s="120"/>
      <c r="CYG3" s="120"/>
      <c r="CYH3" s="120"/>
      <c r="CYI3" s="120"/>
      <c r="CYJ3" s="120"/>
      <c r="CYK3" s="120"/>
      <c r="CYL3" s="120"/>
      <c r="CYM3" s="120"/>
      <c r="CYN3" s="120"/>
      <c r="CYO3" s="120"/>
      <c r="CYP3" s="120"/>
      <c r="CYQ3" s="120"/>
      <c r="CYR3" s="120"/>
      <c r="CYS3" s="120"/>
      <c r="CYT3" s="120"/>
      <c r="CYU3" s="120"/>
      <c r="CYV3" s="120"/>
      <c r="CYW3" s="120"/>
      <c r="CYX3" s="120"/>
      <c r="CYY3" s="120"/>
      <c r="CYZ3" s="120"/>
      <c r="CZA3" s="120"/>
      <c r="CZB3" s="120"/>
      <c r="CZC3" s="120"/>
      <c r="CZD3" s="120"/>
      <c r="CZE3" s="120"/>
      <c r="CZF3" s="120"/>
      <c r="CZG3" s="120"/>
      <c r="CZH3" s="120"/>
      <c r="CZI3" s="120"/>
      <c r="CZJ3" s="120"/>
      <c r="CZK3" s="120"/>
      <c r="CZL3" s="120"/>
      <c r="CZM3" s="120"/>
      <c r="CZN3" s="120"/>
      <c r="CZO3" s="120"/>
      <c r="CZP3" s="120"/>
      <c r="CZQ3" s="120"/>
      <c r="CZR3" s="120"/>
      <c r="CZS3" s="120"/>
      <c r="CZT3" s="120"/>
      <c r="CZU3" s="120"/>
      <c r="CZV3" s="120"/>
      <c r="CZW3" s="120"/>
      <c r="CZX3" s="120"/>
      <c r="CZY3" s="120"/>
      <c r="CZZ3" s="120"/>
      <c r="DAA3" s="120"/>
      <c r="DAB3" s="120"/>
      <c r="DAC3" s="120"/>
      <c r="DAD3" s="120"/>
      <c r="DAE3" s="120"/>
      <c r="DAF3" s="120"/>
      <c r="DAG3" s="120"/>
      <c r="DAH3" s="120"/>
      <c r="DAI3" s="120"/>
      <c r="DAJ3" s="120"/>
      <c r="DAK3" s="120"/>
      <c r="DAL3" s="120"/>
      <c r="DAM3" s="120"/>
      <c r="DAN3" s="120"/>
      <c r="DAO3" s="120"/>
      <c r="DAP3" s="120"/>
      <c r="DAQ3" s="120"/>
      <c r="DAR3" s="120"/>
      <c r="DAS3" s="120"/>
      <c r="DAT3" s="120"/>
      <c r="DAU3" s="120"/>
      <c r="DAV3" s="120"/>
      <c r="DAW3" s="120"/>
      <c r="DAX3" s="120"/>
      <c r="DAY3" s="120"/>
      <c r="DAZ3" s="120"/>
      <c r="DBA3" s="120"/>
      <c r="DBB3" s="120"/>
      <c r="DBC3" s="120"/>
      <c r="DBD3" s="120"/>
      <c r="DBE3" s="120"/>
      <c r="DBF3" s="120"/>
      <c r="DBG3" s="120"/>
      <c r="DBH3" s="120"/>
      <c r="DBI3" s="120"/>
      <c r="DBJ3" s="120"/>
      <c r="DBK3" s="120"/>
      <c r="DBL3" s="120"/>
      <c r="DBM3" s="120"/>
      <c r="DBN3" s="120"/>
      <c r="DBO3" s="120"/>
      <c r="DBP3" s="120"/>
      <c r="DBQ3" s="120"/>
      <c r="DBR3" s="120"/>
      <c r="DBS3" s="120"/>
      <c r="DBT3" s="120"/>
      <c r="DBU3" s="120"/>
      <c r="DBV3" s="120"/>
      <c r="DBW3" s="120"/>
      <c r="DBX3" s="120"/>
      <c r="DBY3" s="120"/>
      <c r="DBZ3" s="120"/>
      <c r="DCA3" s="120"/>
      <c r="DCB3" s="120"/>
      <c r="DCC3" s="120"/>
      <c r="DCD3" s="120"/>
      <c r="DCE3" s="120"/>
      <c r="DCF3" s="120"/>
      <c r="DCG3" s="120"/>
      <c r="DCH3" s="120"/>
      <c r="DCI3" s="120"/>
      <c r="DCJ3" s="120"/>
      <c r="DCK3" s="120"/>
      <c r="DCL3" s="120"/>
      <c r="DCM3" s="120"/>
      <c r="DCN3" s="120"/>
      <c r="DCO3" s="120"/>
      <c r="DCP3" s="120"/>
      <c r="DCQ3" s="120"/>
      <c r="DCR3" s="120"/>
      <c r="DCS3" s="120"/>
      <c r="DCT3" s="120"/>
      <c r="DCU3" s="120"/>
      <c r="DCV3" s="120"/>
      <c r="DCW3" s="120"/>
      <c r="DCX3" s="120"/>
      <c r="DCY3" s="120"/>
      <c r="DCZ3" s="120"/>
      <c r="DDA3" s="120"/>
      <c r="DDB3" s="120"/>
      <c r="DDC3" s="120"/>
      <c r="DDD3" s="120"/>
      <c r="DDE3" s="120"/>
      <c r="DDF3" s="120"/>
      <c r="DDG3" s="120"/>
      <c r="DDH3" s="120"/>
      <c r="DDI3" s="120"/>
      <c r="DDJ3" s="120"/>
      <c r="DDK3" s="120"/>
      <c r="DDL3" s="120"/>
      <c r="DDM3" s="120"/>
      <c r="DDN3" s="120"/>
      <c r="DDO3" s="120"/>
      <c r="DDP3" s="120"/>
      <c r="DDQ3" s="120"/>
      <c r="DDR3" s="120"/>
      <c r="DDS3" s="120"/>
      <c r="DDT3" s="120"/>
      <c r="DDU3" s="120"/>
      <c r="DDV3" s="120"/>
      <c r="DDW3" s="120"/>
      <c r="DDX3" s="120"/>
      <c r="DDY3" s="120"/>
      <c r="DDZ3" s="120"/>
      <c r="DEA3" s="120"/>
      <c r="DEB3" s="120"/>
      <c r="DEC3" s="120"/>
      <c r="DED3" s="120"/>
      <c r="DEE3" s="120"/>
      <c r="DEF3" s="120"/>
      <c r="DEG3" s="120"/>
      <c r="DEH3" s="120"/>
      <c r="DEI3" s="120"/>
      <c r="DEJ3" s="120"/>
      <c r="DEK3" s="120"/>
      <c r="DEL3" s="120"/>
      <c r="DEM3" s="120"/>
      <c r="DEN3" s="120"/>
      <c r="DEO3" s="120"/>
      <c r="DEP3" s="120"/>
      <c r="DEQ3" s="120"/>
      <c r="DER3" s="120"/>
      <c r="DES3" s="120"/>
      <c r="DET3" s="120"/>
      <c r="DEU3" s="120"/>
      <c r="DEV3" s="120"/>
      <c r="DEW3" s="120"/>
      <c r="DEX3" s="120"/>
      <c r="DEY3" s="120"/>
      <c r="DEZ3" s="120"/>
      <c r="DFA3" s="120"/>
      <c r="DFB3" s="120"/>
      <c r="DFC3" s="120"/>
      <c r="DFD3" s="120"/>
      <c r="DFE3" s="120"/>
      <c r="DFF3" s="120"/>
      <c r="DFG3" s="120"/>
      <c r="DFH3" s="120"/>
      <c r="DFI3" s="120"/>
      <c r="DFJ3" s="120"/>
      <c r="DFK3" s="120"/>
      <c r="DFL3" s="120"/>
      <c r="DFM3" s="120"/>
      <c r="DFN3" s="120"/>
      <c r="DFO3" s="120"/>
      <c r="DFP3" s="120"/>
      <c r="DFQ3" s="120"/>
      <c r="DFR3" s="120"/>
      <c r="DFS3" s="120"/>
      <c r="DFT3" s="120"/>
      <c r="DFU3" s="120"/>
      <c r="DFV3" s="120"/>
      <c r="DFW3" s="120"/>
      <c r="DFX3" s="120"/>
      <c r="DFY3" s="120"/>
      <c r="DFZ3" s="120"/>
      <c r="DGA3" s="120"/>
      <c r="DGB3" s="120"/>
      <c r="DGC3" s="120"/>
      <c r="DGD3" s="120"/>
      <c r="DGE3" s="120"/>
      <c r="DGF3" s="120"/>
      <c r="DGG3" s="120"/>
      <c r="DGH3" s="120"/>
      <c r="DGI3" s="120"/>
      <c r="DGJ3" s="120"/>
      <c r="DGK3" s="120"/>
      <c r="DGL3" s="120"/>
      <c r="DGM3" s="120"/>
      <c r="DGN3" s="120"/>
      <c r="DGO3" s="120"/>
      <c r="DGP3" s="120"/>
      <c r="DGQ3" s="120"/>
      <c r="DGR3" s="120"/>
      <c r="DGS3" s="120"/>
      <c r="DGT3" s="120"/>
      <c r="DGU3" s="120"/>
      <c r="DGV3" s="120"/>
      <c r="DGW3" s="120"/>
      <c r="DGX3" s="120"/>
      <c r="DGY3" s="120"/>
      <c r="DGZ3" s="120"/>
      <c r="DHA3" s="120"/>
      <c r="DHB3" s="120"/>
      <c r="DHC3" s="120"/>
      <c r="DHD3" s="120"/>
      <c r="DHE3" s="120"/>
      <c r="DHF3" s="120"/>
      <c r="DHG3" s="120"/>
      <c r="DHH3" s="120"/>
      <c r="DHI3" s="120"/>
      <c r="DHJ3" s="120"/>
      <c r="DHK3" s="120"/>
      <c r="DHL3" s="120"/>
      <c r="DHM3" s="120"/>
      <c r="DHN3" s="120"/>
      <c r="DHO3" s="120"/>
      <c r="DHP3" s="120"/>
      <c r="DHQ3" s="120"/>
      <c r="DHR3" s="120"/>
      <c r="DHS3" s="120"/>
      <c r="DHT3" s="120"/>
      <c r="DHU3" s="120"/>
      <c r="DHV3" s="120"/>
      <c r="DHW3" s="120"/>
      <c r="DHX3" s="120"/>
      <c r="DHY3" s="120"/>
      <c r="DHZ3" s="120"/>
      <c r="DIA3" s="120"/>
      <c r="DIB3" s="120"/>
      <c r="DIC3" s="120"/>
      <c r="DID3" s="120"/>
      <c r="DIE3" s="120"/>
      <c r="DIF3" s="120"/>
      <c r="DIG3" s="120"/>
      <c r="DIH3" s="120"/>
      <c r="DII3" s="120"/>
      <c r="DIJ3" s="120"/>
      <c r="DIK3" s="120"/>
      <c r="DIL3" s="120"/>
      <c r="DIM3" s="120"/>
      <c r="DIN3" s="120"/>
      <c r="DIO3" s="120"/>
      <c r="DIP3" s="120"/>
      <c r="DIQ3" s="120"/>
      <c r="DIR3" s="120"/>
      <c r="DIS3" s="120"/>
      <c r="DIT3" s="120"/>
      <c r="DIU3" s="120"/>
      <c r="DIV3" s="120"/>
      <c r="DIW3" s="120"/>
      <c r="DIX3" s="120"/>
      <c r="DIY3" s="120"/>
      <c r="DIZ3" s="120"/>
      <c r="DJA3" s="120"/>
      <c r="DJB3" s="120"/>
      <c r="DJC3" s="120"/>
      <c r="DJD3" s="120"/>
      <c r="DJE3" s="120"/>
      <c r="DJF3" s="120"/>
      <c r="DJG3" s="120"/>
      <c r="DJH3" s="120"/>
      <c r="DJI3" s="120"/>
      <c r="DJJ3" s="120"/>
      <c r="DJK3" s="120"/>
      <c r="DJL3" s="120"/>
      <c r="DJM3" s="120"/>
      <c r="DJN3" s="120"/>
      <c r="DJO3" s="120"/>
      <c r="DJP3" s="120"/>
      <c r="DJQ3" s="120"/>
      <c r="DJR3" s="120"/>
      <c r="DJS3" s="120"/>
      <c r="DJT3" s="120"/>
      <c r="DJU3" s="120"/>
      <c r="DJV3" s="120"/>
      <c r="DJW3" s="120"/>
      <c r="DJX3" s="120"/>
      <c r="DJY3" s="120"/>
      <c r="DJZ3" s="120"/>
      <c r="DKA3" s="120"/>
      <c r="DKB3" s="120"/>
      <c r="DKC3" s="120"/>
      <c r="DKD3" s="120"/>
      <c r="DKE3" s="120"/>
      <c r="DKF3" s="120"/>
      <c r="DKG3" s="120"/>
      <c r="DKH3" s="120"/>
      <c r="DKI3" s="120"/>
      <c r="DKJ3" s="120"/>
      <c r="DKK3" s="120"/>
      <c r="DKL3" s="120"/>
      <c r="DKM3" s="120"/>
      <c r="DKN3" s="120"/>
      <c r="DKO3" s="120"/>
      <c r="DKP3" s="120"/>
      <c r="DKQ3" s="120"/>
      <c r="DKR3" s="120"/>
      <c r="DKS3" s="120"/>
      <c r="DKT3" s="120"/>
      <c r="DKU3" s="120"/>
      <c r="DKV3" s="120"/>
      <c r="DKW3" s="120"/>
      <c r="DKX3" s="120"/>
      <c r="DKY3" s="120"/>
      <c r="DKZ3" s="120"/>
      <c r="DLA3" s="120"/>
      <c r="DLB3" s="120"/>
      <c r="DLC3" s="120"/>
      <c r="DLD3" s="120"/>
      <c r="DLE3" s="120"/>
      <c r="DLF3" s="120"/>
      <c r="DLG3" s="120"/>
      <c r="DLH3" s="120"/>
      <c r="DLI3" s="120"/>
      <c r="DLJ3" s="120"/>
      <c r="DLK3" s="120"/>
      <c r="DLL3" s="120"/>
      <c r="DLM3" s="120"/>
      <c r="DLN3" s="120"/>
      <c r="DLO3" s="120"/>
      <c r="DLP3" s="120"/>
      <c r="DLQ3" s="120"/>
      <c r="DLR3" s="120"/>
      <c r="DLS3" s="120"/>
      <c r="DLT3" s="120"/>
      <c r="DLU3" s="120"/>
      <c r="DLV3" s="120"/>
      <c r="DLW3" s="120"/>
      <c r="DLX3" s="120"/>
      <c r="DLY3" s="120"/>
      <c r="DLZ3" s="120"/>
      <c r="DMA3" s="120"/>
      <c r="DMB3" s="120"/>
      <c r="DMC3" s="120"/>
      <c r="DMD3" s="120"/>
      <c r="DME3" s="120"/>
      <c r="DMF3" s="120"/>
      <c r="DMG3" s="120"/>
      <c r="DMH3" s="120"/>
      <c r="DMI3" s="120"/>
      <c r="DMJ3" s="120"/>
      <c r="DMK3" s="120"/>
      <c r="DML3" s="120"/>
      <c r="DMM3" s="120"/>
      <c r="DMN3" s="120"/>
      <c r="DMO3" s="120"/>
      <c r="DMP3" s="120"/>
      <c r="DMQ3" s="120"/>
      <c r="DMR3" s="120"/>
      <c r="DMS3" s="120"/>
      <c r="DMT3" s="120"/>
      <c r="DMU3" s="120"/>
      <c r="DMV3" s="120"/>
      <c r="DMW3" s="120"/>
      <c r="DMX3" s="120"/>
      <c r="DMY3" s="120"/>
      <c r="DMZ3" s="120"/>
      <c r="DNA3" s="120"/>
      <c r="DNB3" s="120"/>
      <c r="DNC3" s="120"/>
      <c r="DND3" s="120"/>
      <c r="DNE3" s="120"/>
      <c r="DNF3" s="120"/>
      <c r="DNG3" s="120"/>
      <c r="DNH3" s="120"/>
      <c r="DNI3" s="120"/>
      <c r="DNJ3" s="120"/>
      <c r="DNK3" s="120"/>
      <c r="DNL3" s="120"/>
      <c r="DNM3" s="120"/>
      <c r="DNN3" s="120"/>
      <c r="DNO3" s="120"/>
      <c r="DNP3" s="120"/>
      <c r="DNQ3" s="120"/>
      <c r="DNR3" s="120"/>
      <c r="DNS3" s="120"/>
      <c r="DNT3" s="120"/>
      <c r="DNU3" s="120"/>
      <c r="DNV3" s="120"/>
      <c r="DNW3" s="120"/>
      <c r="DNX3" s="120"/>
      <c r="DNY3" s="120"/>
      <c r="DNZ3" s="120"/>
      <c r="DOA3" s="120"/>
      <c r="DOB3" s="120"/>
      <c r="DOC3" s="120"/>
      <c r="DOD3" s="120"/>
      <c r="DOE3" s="120"/>
      <c r="DOF3" s="120"/>
      <c r="DOG3" s="120"/>
      <c r="DOH3" s="120"/>
      <c r="DOI3" s="120"/>
      <c r="DOJ3" s="120"/>
      <c r="DOK3" s="120"/>
      <c r="DOL3" s="120"/>
      <c r="DOM3" s="120"/>
      <c r="DON3" s="120"/>
      <c r="DOO3" s="120"/>
      <c r="DOP3" s="120"/>
      <c r="DOQ3" s="120"/>
      <c r="DOR3" s="120"/>
      <c r="DOS3" s="120"/>
      <c r="DOT3" s="120"/>
      <c r="DOU3" s="120"/>
      <c r="DOV3" s="120"/>
      <c r="DOW3" s="120"/>
      <c r="DOX3" s="120"/>
      <c r="DOY3" s="120"/>
      <c r="DOZ3" s="120"/>
      <c r="DPA3" s="120"/>
      <c r="DPB3" s="120"/>
      <c r="DPC3" s="120"/>
      <c r="DPD3" s="120"/>
      <c r="DPE3" s="120"/>
      <c r="DPF3" s="120"/>
      <c r="DPG3" s="120"/>
      <c r="DPH3" s="120"/>
      <c r="DPI3" s="120"/>
      <c r="DPJ3" s="120"/>
      <c r="DPK3" s="120"/>
      <c r="DPL3" s="120"/>
      <c r="DPM3" s="120"/>
      <c r="DPN3" s="120"/>
      <c r="DPO3" s="120"/>
      <c r="DPP3" s="120"/>
      <c r="DPQ3" s="120"/>
      <c r="DPR3" s="120"/>
      <c r="DPS3" s="120"/>
      <c r="DPT3" s="120"/>
      <c r="DPU3" s="120"/>
      <c r="DPV3" s="120"/>
      <c r="DPW3" s="120"/>
      <c r="DPX3" s="120"/>
      <c r="DPY3" s="120"/>
      <c r="DPZ3" s="120"/>
      <c r="DQA3" s="120"/>
      <c r="DQB3" s="120"/>
      <c r="DQC3" s="120"/>
      <c r="DQD3" s="120"/>
      <c r="DQE3" s="120"/>
      <c r="DQF3" s="120"/>
      <c r="DQG3" s="120"/>
      <c r="DQH3" s="120"/>
      <c r="DQI3" s="120"/>
      <c r="DQJ3" s="120"/>
      <c r="DQK3" s="120"/>
      <c r="DQL3" s="120"/>
      <c r="DQM3" s="120"/>
      <c r="DQN3" s="120"/>
      <c r="DQO3" s="120"/>
      <c r="DQP3" s="120"/>
      <c r="DQQ3" s="120"/>
      <c r="DQR3" s="120"/>
      <c r="DQS3" s="120"/>
      <c r="DQT3" s="120"/>
      <c r="DQU3" s="120"/>
      <c r="DQV3" s="120"/>
      <c r="DQW3" s="120"/>
      <c r="DQX3" s="120"/>
      <c r="DQY3" s="120"/>
      <c r="DQZ3" s="120"/>
      <c r="DRA3" s="120"/>
      <c r="DRB3" s="120"/>
      <c r="DRC3" s="120"/>
      <c r="DRD3" s="120"/>
      <c r="DRE3" s="120"/>
      <c r="DRF3" s="120"/>
      <c r="DRG3" s="120"/>
      <c r="DRH3" s="120"/>
      <c r="DRI3" s="120"/>
      <c r="DRJ3" s="120"/>
      <c r="DRK3" s="120"/>
      <c r="DRL3" s="120"/>
      <c r="DRM3" s="120"/>
      <c r="DRN3" s="120"/>
      <c r="DRO3" s="120"/>
      <c r="DRP3" s="120"/>
      <c r="DRQ3" s="120"/>
      <c r="DRR3" s="120"/>
      <c r="DRS3" s="120"/>
      <c r="DRT3" s="120"/>
      <c r="DRU3" s="120"/>
      <c r="DRV3" s="120"/>
      <c r="DRW3" s="120"/>
      <c r="DRX3" s="120"/>
      <c r="DRY3" s="120"/>
      <c r="DRZ3" s="120"/>
      <c r="DSA3" s="120"/>
      <c r="DSB3" s="120"/>
      <c r="DSC3" s="120"/>
      <c r="DSD3" s="120"/>
      <c r="DSE3" s="120"/>
      <c r="DSF3" s="120"/>
      <c r="DSG3" s="120"/>
      <c r="DSH3" s="120"/>
      <c r="DSI3" s="120"/>
      <c r="DSJ3" s="120"/>
      <c r="DSK3" s="120"/>
      <c r="DSL3" s="120"/>
      <c r="DSM3" s="120"/>
      <c r="DSN3" s="120"/>
      <c r="DSO3" s="120"/>
      <c r="DSP3" s="120"/>
      <c r="DSQ3" s="120"/>
      <c r="DSR3" s="120"/>
      <c r="DSS3" s="120"/>
      <c r="DST3" s="120"/>
      <c r="DSU3" s="120"/>
      <c r="DSV3" s="120"/>
      <c r="DSW3" s="120"/>
      <c r="DSX3" s="120"/>
      <c r="DSY3" s="120"/>
      <c r="DSZ3" s="120"/>
      <c r="DTA3" s="120"/>
      <c r="DTB3" s="120"/>
      <c r="DTC3" s="120"/>
      <c r="DTD3" s="120"/>
      <c r="DTE3" s="120"/>
      <c r="DTF3" s="120"/>
      <c r="DTG3" s="120"/>
      <c r="DTH3" s="120"/>
      <c r="DTI3" s="120"/>
      <c r="DTJ3" s="120"/>
      <c r="DTK3" s="120"/>
      <c r="DTL3" s="120"/>
      <c r="DTM3" s="120"/>
      <c r="DTN3" s="120"/>
      <c r="DTO3" s="120"/>
      <c r="DTP3" s="120"/>
      <c r="DTQ3" s="120"/>
      <c r="DTR3" s="120"/>
      <c r="DTS3" s="120"/>
      <c r="DTT3" s="120"/>
      <c r="DTU3" s="120"/>
      <c r="DTV3" s="120"/>
      <c r="DTW3" s="120"/>
      <c r="DTX3" s="120"/>
      <c r="DTY3" s="120"/>
      <c r="DTZ3" s="120"/>
      <c r="DUA3" s="120"/>
      <c r="DUB3" s="120"/>
      <c r="DUC3" s="120"/>
      <c r="DUD3" s="120"/>
      <c r="DUE3" s="120"/>
      <c r="DUF3" s="120"/>
      <c r="DUG3" s="120"/>
      <c r="DUH3" s="120"/>
      <c r="DUI3" s="120"/>
      <c r="DUJ3" s="120"/>
      <c r="DUK3" s="120"/>
      <c r="DUL3" s="120"/>
      <c r="DUM3" s="120"/>
      <c r="DUN3" s="120"/>
      <c r="DUO3" s="120"/>
      <c r="DUP3" s="120"/>
      <c r="DUQ3" s="120"/>
      <c r="DUR3" s="120"/>
      <c r="DUS3" s="120"/>
      <c r="DUT3" s="120"/>
      <c r="DUU3" s="120"/>
      <c r="DUV3" s="120"/>
      <c r="DUW3" s="120"/>
      <c r="DUX3" s="120"/>
      <c r="DUY3" s="120"/>
      <c r="DUZ3" s="120"/>
      <c r="DVA3" s="120"/>
      <c r="DVB3" s="120"/>
      <c r="DVC3" s="120"/>
      <c r="DVD3" s="120"/>
      <c r="DVE3" s="120"/>
      <c r="DVF3" s="120"/>
      <c r="DVG3" s="120"/>
      <c r="DVH3" s="120"/>
      <c r="DVI3" s="120"/>
      <c r="DVJ3" s="120"/>
      <c r="DVK3" s="120"/>
      <c r="DVL3" s="120"/>
      <c r="DVM3" s="120"/>
      <c r="DVN3" s="120"/>
      <c r="DVO3" s="120"/>
      <c r="DVP3" s="120"/>
      <c r="DVQ3" s="120"/>
      <c r="DVR3" s="120"/>
      <c r="DVS3" s="120"/>
      <c r="DVT3" s="120"/>
      <c r="DVU3" s="120"/>
      <c r="DVV3" s="120"/>
      <c r="DVW3" s="120"/>
      <c r="DVX3" s="120"/>
      <c r="DVY3" s="120"/>
      <c r="DVZ3" s="120"/>
      <c r="DWA3" s="120"/>
      <c r="DWB3" s="120"/>
      <c r="DWC3" s="120"/>
      <c r="DWD3" s="120"/>
      <c r="DWE3" s="120"/>
      <c r="DWF3" s="120"/>
      <c r="DWG3" s="120"/>
      <c r="DWH3" s="120"/>
      <c r="DWI3" s="120"/>
      <c r="DWJ3" s="120"/>
      <c r="DWK3" s="120"/>
      <c r="DWL3" s="120"/>
      <c r="DWM3" s="120"/>
      <c r="DWN3" s="120"/>
      <c r="DWO3" s="120"/>
      <c r="DWP3" s="120"/>
      <c r="DWQ3" s="120"/>
      <c r="DWR3" s="120"/>
      <c r="DWS3" s="120"/>
      <c r="DWT3" s="120"/>
      <c r="DWU3" s="120"/>
      <c r="DWV3" s="120"/>
      <c r="DWW3" s="120"/>
      <c r="DWX3" s="120"/>
      <c r="DWY3" s="120"/>
      <c r="DWZ3" s="120"/>
      <c r="DXA3" s="120"/>
      <c r="DXB3" s="120"/>
      <c r="DXC3" s="120"/>
      <c r="DXD3" s="120"/>
      <c r="DXE3" s="120"/>
      <c r="DXF3" s="120"/>
      <c r="DXG3" s="120"/>
      <c r="DXH3" s="120"/>
      <c r="DXI3" s="120"/>
      <c r="DXJ3" s="120"/>
      <c r="DXK3" s="120"/>
      <c r="DXL3" s="120"/>
      <c r="DXM3" s="120"/>
      <c r="DXN3" s="120"/>
      <c r="DXO3" s="120"/>
      <c r="DXP3" s="120"/>
      <c r="DXQ3" s="120"/>
      <c r="DXR3" s="120"/>
      <c r="DXS3" s="120"/>
      <c r="DXT3" s="120"/>
      <c r="DXU3" s="120"/>
      <c r="DXV3" s="120"/>
      <c r="DXW3" s="120"/>
      <c r="DXX3" s="120"/>
      <c r="DXY3" s="120"/>
      <c r="DXZ3" s="120"/>
      <c r="DYA3" s="120"/>
      <c r="DYB3" s="120"/>
      <c r="DYC3" s="120"/>
      <c r="DYD3" s="120"/>
      <c r="DYE3" s="120"/>
      <c r="DYF3" s="120"/>
      <c r="DYG3" s="120"/>
      <c r="DYH3" s="120"/>
      <c r="DYI3" s="120"/>
      <c r="DYJ3" s="120"/>
      <c r="DYK3" s="120"/>
      <c r="DYL3" s="120"/>
      <c r="DYM3" s="120"/>
      <c r="DYN3" s="120"/>
      <c r="DYO3" s="120"/>
      <c r="DYP3" s="120"/>
      <c r="DYQ3" s="120"/>
      <c r="DYR3" s="120"/>
      <c r="DYS3" s="120"/>
      <c r="DYT3" s="120"/>
      <c r="DYU3" s="120"/>
      <c r="DYV3" s="120"/>
      <c r="DYW3" s="120"/>
      <c r="DYX3" s="120"/>
      <c r="DYY3" s="120"/>
      <c r="DYZ3" s="120"/>
      <c r="DZA3" s="120"/>
      <c r="DZB3" s="120"/>
      <c r="DZC3" s="120"/>
      <c r="DZD3" s="120"/>
      <c r="DZE3" s="120"/>
      <c r="DZF3" s="120"/>
      <c r="DZG3" s="120"/>
      <c r="DZH3" s="120"/>
      <c r="DZI3" s="120"/>
      <c r="DZJ3" s="120"/>
      <c r="DZK3" s="120"/>
      <c r="DZL3" s="120"/>
      <c r="DZM3" s="120"/>
      <c r="DZN3" s="120"/>
      <c r="DZO3" s="120"/>
      <c r="DZP3" s="120"/>
      <c r="DZQ3" s="120"/>
      <c r="DZR3" s="120"/>
      <c r="DZS3" s="120"/>
      <c r="DZT3" s="120"/>
      <c r="DZU3" s="120"/>
      <c r="DZV3" s="120"/>
      <c r="DZW3" s="120"/>
      <c r="DZX3" s="120"/>
      <c r="DZY3" s="120"/>
      <c r="DZZ3" s="120"/>
      <c r="EAA3" s="120"/>
      <c r="EAB3" s="120"/>
      <c r="EAC3" s="120"/>
      <c r="EAD3" s="120"/>
      <c r="EAE3" s="120"/>
      <c r="EAF3" s="120"/>
      <c r="EAG3" s="120"/>
      <c r="EAH3" s="120"/>
      <c r="EAI3" s="120"/>
      <c r="EAJ3" s="120"/>
      <c r="EAK3" s="120"/>
      <c r="EAL3" s="120"/>
      <c r="EAM3" s="120"/>
      <c r="EAN3" s="120"/>
      <c r="EAO3" s="120"/>
      <c r="EAP3" s="120"/>
      <c r="EAQ3" s="120"/>
      <c r="EAR3" s="120"/>
      <c r="EAS3" s="120"/>
      <c r="EAT3" s="120"/>
      <c r="EAU3" s="120"/>
      <c r="EAV3" s="120"/>
      <c r="EAW3" s="120"/>
      <c r="EAX3" s="120"/>
      <c r="EAY3" s="120"/>
      <c r="EAZ3" s="120"/>
      <c r="EBA3" s="120"/>
      <c r="EBB3" s="120"/>
      <c r="EBC3" s="120"/>
      <c r="EBD3" s="120"/>
      <c r="EBE3" s="120"/>
      <c r="EBF3" s="120"/>
      <c r="EBG3" s="120"/>
      <c r="EBH3" s="120"/>
      <c r="EBI3" s="120"/>
      <c r="EBJ3" s="120"/>
      <c r="EBK3" s="120"/>
      <c r="EBL3" s="120"/>
      <c r="EBM3" s="120"/>
      <c r="EBN3" s="120"/>
      <c r="EBO3" s="120"/>
      <c r="EBP3" s="120"/>
      <c r="EBQ3" s="120"/>
      <c r="EBR3" s="120"/>
      <c r="EBS3" s="120"/>
      <c r="EBT3" s="120"/>
      <c r="EBU3" s="120"/>
      <c r="EBV3" s="120"/>
      <c r="EBW3" s="120"/>
      <c r="EBX3" s="120"/>
      <c r="EBY3" s="120"/>
      <c r="EBZ3" s="120"/>
      <c r="ECA3" s="120"/>
      <c r="ECB3" s="120"/>
      <c r="ECC3" s="120"/>
      <c r="ECD3" s="120"/>
      <c r="ECE3" s="120"/>
      <c r="ECF3" s="120"/>
      <c r="ECG3" s="120"/>
      <c r="ECH3" s="120"/>
      <c r="ECI3" s="120"/>
      <c r="ECJ3" s="120"/>
      <c r="ECK3" s="120"/>
      <c r="ECL3" s="120"/>
      <c r="ECM3" s="120"/>
      <c r="ECN3" s="120"/>
      <c r="ECO3" s="120"/>
      <c r="ECP3" s="120"/>
      <c r="ECQ3" s="120"/>
      <c r="ECR3" s="120"/>
      <c r="ECS3" s="120"/>
      <c r="ECT3" s="120"/>
      <c r="ECU3" s="120"/>
      <c r="ECV3" s="120"/>
      <c r="ECW3" s="120"/>
      <c r="ECX3" s="120"/>
      <c r="ECY3" s="120"/>
      <c r="ECZ3" s="120"/>
      <c r="EDA3" s="120"/>
      <c r="EDB3" s="120"/>
      <c r="EDC3" s="120"/>
      <c r="EDD3" s="120"/>
      <c r="EDE3" s="120"/>
      <c r="EDF3" s="120"/>
      <c r="EDG3" s="120"/>
      <c r="EDH3" s="120"/>
      <c r="EDI3" s="120"/>
      <c r="EDJ3" s="120"/>
      <c r="EDK3" s="120"/>
      <c r="EDL3" s="120"/>
      <c r="EDM3" s="120"/>
      <c r="EDN3" s="120"/>
      <c r="EDO3" s="120"/>
      <c r="EDP3" s="120"/>
      <c r="EDQ3" s="120"/>
      <c r="EDR3" s="120"/>
      <c r="EDS3" s="120"/>
      <c r="EDT3" s="120"/>
      <c r="EDU3" s="120"/>
      <c r="EDV3" s="120"/>
      <c r="EDW3" s="120"/>
      <c r="EDX3" s="120"/>
      <c r="EDY3" s="120"/>
      <c r="EDZ3" s="120"/>
      <c r="EEA3" s="120"/>
      <c r="EEB3" s="120"/>
      <c r="EEC3" s="120"/>
      <c r="EED3" s="120"/>
      <c r="EEE3" s="120"/>
      <c r="EEF3" s="120"/>
      <c r="EEG3" s="120"/>
      <c r="EEH3" s="120"/>
      <c r="EEI3" s="120"/>
      <c r="EEJ3" s="120"/>
      <c r="EEK3" s="120"/>
      <c r="EEL3" s="120"/>
      <c r="EEM3" s="120"/>
      <c r="EEN3" s="120"/>
      <c r="EEO3" s="120"/>
      <c r="EEP3" s="120"/>
      <c r="EEQ3" s="120"/>
      <c r="EER3" s="120"/>
      <c r="EES3" s="120"/>
      <c r="EET3" s="120"/>
      <c r="EEU3" s="120"/>
      <c r="EEV3" s="120"/>
      <c r="EEW3" s="120"/>
      <c r="EEX3" s="120"/>
      <c r="EEY3" s="120"/>
      <c r="EEZ3" s="120"/>
      <c r="EFA3" s="120"/>
      <c r="EFB3" s="120"/>
      <c r="EFC3" s="120"/>
      <c r="EFD3" s="120"/>
      <c r="EFE3" s="120"/>
      <c r="EFF3" s="120"/>
      <c r="EFG3" s="120"/>
      <c r="EFH3" s="120"/>
      <c r="EFI3" s="120"/>
      <c r="EFJ3" s="120"/>
      <c r="EFK3" s="120"/>
      <c r="EFL3" s="120"/>
      <c r="EFM3" s="120"/>
      <c r="EFN3" s="120"/>
      <c r="EFO3" s="120"/>
      <c r="EFP3" s="120"/>
      <c r="EFQ3" s="120"/>
      <c r="EFR3" s="120"/>
      <c r="EFS3" s="120"/>
      <c r="EFT3" s="120"/>
      <c r="EFU3" s="120"/>
      <c r="EFV3" s="120"/>
      <c r="EFW3" s="120"/>
      <c r="EFX3" s="120"/>
      <c r="EFY3" s="120"/>
      <c r="EFZ3" s="120"/>
      <c r="EGA3" s="120"/>
      <c r="EGB3" s="120"/>
      <c r="EGC3" s="120"/>
      <c r="EGD3" s="120"/>
      <c r="EGE3" s="120"/>
      <c r="EGF3" s="120"/>
      <c r="EGG3" s="120"/>
      <c r="EGH3" s="120"/>
      <c r="EGI3" s="120"/>
      <c r="EGJ3" s="120"/>
      <c r="EGK3" s="120"/>
      <c r="EGL3" s="120"/>
      <c r="EGM3" s="120"/>
      <c r="EGN3" s="120"/>
      <c r="EGO3" s="120"/>
      <c r="EGP3" s="120"/>
      <c r="EGQ3" s="120"/>
      <c r="EGR3" s="120"/>
      <c r="EGS3" s="120"/>
      <c r="EGT3" s="120"/>
      <c r="EGU3" s="120"/>
      <c r="EGV3" s="120"/>
      <c r="EGW3" s="120"/>
      <c r="EGX3" s="120"/>
      <c r="EGY3" s="120"/>
      <c r="EGZ3" s="120"/>
      <c r="EHA3" s="120"/>
      <c r="EHB3" s="120"/>
      <c r="EHC3" s="120"/>
      <c r="EHD3" s="120"/>
      <c r="EHE3" s="120"/>
      <c r="EHF3" s="120"/>
      <c r="EHG3" s="120"/>
      <c r="EHH3" s="120"/>
      <c r="EHI3" s="120"/>
      <c r="EHJ3" s="120"/>
      <c r="EHK3" s="120"/>
      <c r="EHL3" s="120"/>
      <c r="EHM3" s="120"/>
      <c r="EHN3" s="120"/>
      <c r="EHO3" s="120"/>
      <c r="EHP3" s="120"/>
      <c r="EHQ3" s="120"/>
      <c r="EHR3" s="120"/>
      <c r="EHS3" s="120"/>
      <c r="EHT3" s="120"/>
      <c r="EHU3" s="120"/>
      <c r="EHV3" s="120"/>
      <c r="EHW3" s="120"/>
      <c r="EHX3" s="120"/>
      <c r="EHY3" s="120"/>
      <c r="EHZ3" s="120"/>
      <c r="EIA3" s="120"/>
      <c r="EIB3" s="120"/>
      <c r="EIC3" s="120"/>
      <c r="EID3" s="120"/>
      <c r="EIE3" s="120"/>
      <c r="EIF3" s="120"/>
      <c r="EIG3" s="120"/>
      <c r="EIH3" s="120"/>
      <c r="EII3" s="120"/>
      <c r="EIJ3" s="120"/>
      <c r="EIK3" s="120"/>
      <c r="EIL3" s="120"/>
      <c r="EIM3" s="120"/>
      <c r="EIN3" s="120"/>
      <c r="EIO3" s="120"/>
      <c r="EIP3" s="120"/>
      <c r="EIQ3" s="120"/>
      <c r="EIR3" s="120"/>
      <c r="EIS3" s="120"/>
      <c r="EIT3" s="120"/>
      <c r="EIU3" s="120"/>
      <c r="EIV3" s="120"/>
      <c r="EIW3" s="120"/>
      <c r="EIX3" s="120"/>
      <c r="EIY3" s="120"/>
      <c r="EIZ3" s="120"/>
      <c r="EJA3" s="120"/>
      <c r="EJB3" s="120"/>
      <c r="EJC3" s="120"/>
      <c r="EJD3" s="120"/>
      <c r="EJE3" s="120"/>
      <c r="EJF3" s="120"/>
      <c r="EJG3" s="120"/>
      <c r="EJH3" s="120"/>
      <c r="EJI3" s="120"/>
      <c r="EJJ3" s="120"/>
      <c r="EJK3" s="120"/>
      <c r="EJL3" s="120"/>
      <c r="EJM3" s="120"/>
      <c r="EJN3" s="120"/>
      <c r="EJO3" s="120"/>
      <c r="EJP3" s="120"/>
      <c r="EJQ3" s="120"/>
      <c r="EJR3" s="120"/>
      <c r="EJS3" s="120"/>
      <c r="EJT3" s="120"/>
      <c r="EJU3" s="120"/>
      <c r="EJV3" s="120"/>
      <c r="EJW3" s="120"/>
      <c r="EJX3" s="120"/>
      <c r="EJY3" s="120"/>
      <c r="EJZ3" s="120"/>
      <c r="EKA3" s="120"/>
      <c r="EKB3" s="120"/>
      <c r="EKC3" s="120"/>
      <c r="EKD3" s="120"/>
      <c r="EKE3" s="120"/>
      <c r="EKF3" s="120"/>
      <c r="EKG3" s="120"/>
      <c r="EKH3" s="120"/>
      <c r="EKI3" s="120"/>
      <c r="EKJ3" s="120"/>
      <c r="EKK3" s="120"/>
      <c r="EKL3" s="120"/>
      <c r="EKM3" s="120"/>
      <c r="EKN3" s="120"/>
      <c r="EKO3" s="120"/>
      <c r="EKP3" s="120"/>
      <c r="EKQ3" s="120"/>
      <c r="EKR3" s="120"/>
      <c r="EKS3" s="120"/>
      <c r="EKT3" s="120"/>
      <c r="EKU3" s="120"/>
      <c r="EKV3" s="120"/>
      <c r="EKW3" s="120"/>
      <c r="EKX3" s="120"/>
      <c r="EKY3" s="120"/>
      <c r="EKZ3" s="120"/>
      <c r="ELA3" s="120"/>
      <c r="ELB3" s="120"/>
      <c r="ELC3" s="120"/>
      <c r="ELD3" s="120"/>
      <c r="ELE3" s="120"/>
      <c r="ELF3" s="120"/>
      <c r="ELG3" s="120"/>
      <c r="ELH3" s="120"/>
      <c r="ELI3" s="120"/>
      <c r="ELJ3" s="120"/>
      <c r="ELK3" s="120"/>
      <c r="ELL3" s="120"/>
      <c r="ELM3" s="120"/>
      <c r="ELN3" s="120"/>
      <c r="ELO3" s="120"/>
      <c r="ELP3" s="120"/>
      <c r="ELQ3" s="120"/>
      <c r="ELR3" s="120"/>
      <c r="ELS3" s="120"/>
      <c r="ELT3" s="120"/>
      <c r="ELU3" s="120"/>
      <c r="ELV3" s="120"/>
      <c r="ELW3" s="120"/>
      <c r="ELX3" s="120"/>
      <c r="ELY3" s="120"/>
      <c r="ELZ3" s="120"/>
      <c r="EMA3" s="120"/>
      <c r="EMB3" s="120"/>
      <c r="EMC3" s="120"/>
      <c r="EMD3" s="120"/>
      <c r="EME3" s="120"/>
      <c r="EMF3" s="120"/>
      <c r="EMG3" s="120"/>
      <c r="EMH3" s="120"/>
      <c r="EMI3" s="120"/>
      <c r="EMJ3" s="120"/>
      <c r="EMK3" s="120"/>
      <c r="EML3" s="120"/>
      <c r="EMM3" s="120"/>
      <c r="EMN3" s="120"/>
      <c r="EMO3" s="120"/>
      <c r="EMP3" s="120"/>
      <c r="EMQ3" s="120"/>
      <c r="EMR3" s="120"/>
      <c r="EMS3" s="120"/>
      <c r="EMT3" s="120"/>
      <c r="EMU3" s="120"/>
      <c r="EMV3" s="120"/>
      <c r="EMW3" s="120"/>
      <c r="EMX3" s="120"/>
      <c r="EMY3" s="120"/>
      <c r="EMZ3" s="120"/>
      <c r="ENA3" s="120"/>
      <c r="ENB3" s="120"/>
      <c r="ENC3" s="120"/>
      <c r="END3" s="120"/>
      <c r="ENE3" s="120"/>
      <c r="ENF3" s="120"/>
      <c r="ENG3" s="120"/>
      <c r="ENH3" s="120"/>
      <c r="ENI3" s="120"/>
      <c r="ENJ3" s="120"/>
      <c r="ENK3" s="120"/>
      <c r="ENL3" s="120"/>
      <c r="ENM3" s="120"/>
      <c r="ENN3" s="120"/>
      <c r="ENO3" s="120"/>
      <c r="ENP3" s="120"/>
      <c r="ENQ3" s="120"/>
      <c r="ENR3" s="120"/>
      <c r="ENS3" s="120"/>
      <c r="ENT3" s="120"/>
      <c r="ENU3" s="120"/>
      <c r="ENV3" s="120"/>
      <c r="ENW3" s="120"/>
      <c r="ENX3" s="120"/>
      <c r="ENY3" s="120"/>
      <c r="ENZ3" s="120"/>
      <c r="EOA3" s="120"/>
      <c r="EOB3" s="120"/>
      <c r="EOC3" s="120"/>
      <c r="EOD3" s="120"/>
      <c r="EOE3" s="120"/>
      <c r="EOF3" s="120"/>
      <c r="EOG3" s="120"/>
      <c r="EOH3" s="120"/>
      <c r="EOI3" s="120"/>
      <c r="EOJ3" s="120"/>
      <c r="EOK3" s="120"/>
      <c r="EOL3" s="120"/>
      <c r="EOM3" s="120"/>
      <c r="EON3" s="120"/>
      <c r="EOO3" s="120"/>
      <c r="EOP3" s="120"/>
      <c r="EOQ3" s="120"/>
      <c r="EOR3" s="120"/>
      <c r="EOS3" s="120"/>
      <c r="EOT3" s="120"/>
      <c r="EOU3" s="120"/>
      <c r="EOV3" s="120"/>
      <c r="EOW3" s="120"/>
      <c r="EOX3" s="120"/>
      <c r="EOY3" s="120"/>
      <c r="EOZ3" s="120"/>
      <c r="EPA3" s="120"/>
      <c r="EPB3" s="120"/>
      <c r="EPC3" s="120"/>
      <c r="EPD3" s="120"/>
      <c r="EPE3" s="120"/>
      <c r="EPF3" s="120"/>
      <c r="EPG3" s="120"/>
      <c r="EPH3" s="120"/>
      <c r="EPI3" s="120"/>
      <c r="EPJ3" s="120"/>
      <c r="EPK3" s="120"/>
      <c r="EPL3" s="120"/>
      <c r="EPM3" s="120"/>
      <c r="EPN3" s="120"/>
      <c r="EPO3" s="120"/>
      <c r="EPP3" s="120"/>
      <c r="EPQ3" s="120"/>
      <c r="EPR3" s="120"/>
      <c r="EPS3" s="120"/>
      <c r="EPT3" s="120"/>
      <c r="EPU3" s="120"/>
      <c r="EPV3" s="120"/>
      <c r="EPW3" s="120"/>
      <c r="EPX3" s="120"/>
      <c r="EPY3" s="120"/>
      <c r="EPZ3" s="120"/>
      <c r="EQA3" s="120"/>
      <c r="EQB3" s="120"/>
      <c r="EQC3" s="120"/>
      <c r="EQD3" s="120"/>
      <c r="EQE3" s="120"/>
      <c r="EQF3" s="120"/>
      <c r="EQG3" s="120"/>
      <c r="EQH3" s="120"/>
      <c r="EQI3" s="120"/>
      <c r="EQJ3" s="120"/>
      <c r="EQK3" s="120"/>
      <c r="EQL3" s="120"/>
      <c r="EQM3" s="120"/>
      <c r="EQN3" s="120"/>
      <c r="EQO3" s="120"/>
      <c r="EQP3" s="120"/>
      <c r="EQQ3" s="120"/>
      <c r="EQR3" s="120"/>
      <c r="EQS3" s="120"/>
      <c r="EQT3" s="120"/>
      <c r="EQU3" s="120"/>
      <c r="EQV3" s="120"/>
      <c r="EQW3" s="120"/>
      <c r="EQX3" s="120"/>
      <c r="EQY3" s="120"/>
      <c r="EQZ3" s="120"/>
      <c r="ERA3" s="120"/>
      <c r="ERB3" s="120"/>
      <c r="ERC3" s="120"/>
      <c r="ERD3" s="120"/>
      <c r="ERE3" s="120"/>
      <c r="ERF3" s="120"/>
      <c r="ERG3" s="120"/>
      <c r="ERH3" s="120"/>
      <c r="ERI3" s="120"/>
      <c r="ERJ3" s="120"/>
      <c r="ERK3" s="120"/>
      <c r="ERL3" s="120"/>
      <c r="ERM3" s="120"/>
      <c r="ERN3" s="120"/>
      <c r="ERO3" s="120"/>
      <c r="ERP3" s="120"/>
      <c r="ERQ3" s="120"/>
      <c r="ERR3" s="120"/>
      <c r="ERS3" s="120"/>
      <c r="ERT3" s="120"/>
      <c r="ERU3" s="120"/>
      <c r="ERV3" s="120"/>
      <c r="ERW3" s="120"/>
      <c r="ERX3" s="120"/>
      <c r="ERY3" s="120"/>
      <c r="ERZ3" s="120"/>
      <c r="ESA3" s="120"/>
      <c r="ESB3" s="120"/>
      <c r="ESC3" s="120"/>
      <c r="ESD3" s="120"/>
      <c r="ESE3" s="120"/>
      <c r="ESF3" s="120"/>
      <c r="ESG3" s="120"/>
      <c r="ESH3" s="120"/>
      <c r="ESI3" s="120"/>
      <c r="ESJ3" s="120"/>
      <c r="ESK3" s="120"/>
      <c r="ESL3" s="120"/>
      <c r="ESM3" s="120"/>
      <c r="ESN3" s="120"/>
      <c r="ESO3" s="120"/>
      <c r="ESP3" s="120"/>
      <c r="ESQ3" s="120"/>
      <c r="ESR3" s="120"/>
      <c r="ESS3" s="120"/>
      <c r="EST3" s="120"/>
      <c r="ESU3" s="120"/>
      <c r="ESV3" s="120"/>
      <c r="ESW3" s="120"/>
      <c r="ESX3" s="120"/>
      <c r="ESY3" s="120"/>
      <c r="ESZ3" s="120"/>
      <c r="ETA3" s="120"/>
      <c r="ETB3" s="120"/>
      <c r="ETC3" s="120"/>
      <c r="ETD3" s="120"/>
      <c r="ETE3" s="120"/>
      <c r="ETF3" s="120"/>
      <c r="ETG3" s="120"/>
      <c r="ETH3" s="120"/>
      <c r="ETI3" s="120"/>
      <c r="ETJ3" s="120"/>
      <c r="ETK3" s="120"/>
      <c r="ETL3" s="120"/>
      <c r="ETM3" s="120"/>
      <c r="ETN3" s="120"/>
      <c r="ETO3" s="120"/>
      <c r="ETP3" s="120"/>
      <c r="ETQ3" s="120"/>
      <c r="ETR3" s="120"/>
      <c r="ETS3" s="120"/>
      <c r="ETT3" s="120"/>
      <c r="ETU3" s="120"/>
      <c r="ETV3" s="120"/>
      <c r="ETW3" s="120"/>
      <c r="ETX3" s="120"/>
      <c r="ETY3" s="120"/>
      <c r="ETZ3" s="120"/>
      <c r="EUA3" s="120"/>
      <c r="EUB3" s="120"/>
      <c r="EUC3" s="120"/>
      <c r="EUD3" s="120"/>
      <c r="EUE3" s="120"/>
      <c r="EUF3" s="120"/>
      <c r="EUG3" s="120"/>
      <c r="EUH3" s="120"/>
      <c r="EUI3" s="120"/>
      <c r="EUJ3" s="120"/>
      <c r="EUK3" s="120"/>
      <c r="EUL3" s="120"/>
      <c r="EUM3" s="120"/>
      <c r="EUN3" s="120"/>
      <c r="EUO3" s="120"/>
      <c r="EUP3" s="120"/>
      <c r="EUQ3" s="120"/>
      <c r="EUR3" s="120"/>
      <c r="EUS3" s="120"/>
      <c r="EUT3" s="120"/>
      <c r="EUU3" s="120"/>
      <c r="EUV3" s="120"/>
      <c r="EUW3" s="120"/>
      <c r="EUX3" s="120"/>
      <c r="EUY3" s="120"/>
      <c r="EUZ3" s="120"/>
      <c r="EVA3" s="120"/>
      <c r="EVB3" s="120"/>
      <c r="EVC3" s="120"/>
      <c r="EVD3" s="120"/>
      <c r="EVE3" s="120"/>
      <c r="EVF3" s="120"/>
      <c r="EVG3" s="120"/>
      <c r="EVH3" s="120"/>
      <c r="EVI3" s="120"/>
      <c r="EVJ3" s="120"/>
      <c r="EVK3" s="120"/>
      <c r="EVL3" s="120"/>
      <c r="EVM3" s="120"/>
      <c r="EVN3" s="120"/>
      <c r="EVO3" s="120"/>
      <c r="EVP3" s="120"/>
      <c r="EVQ3" s="120"/>
      <c r="EVR3" s="120"/>
      <c r="EVS3" s="120"/>
      <c r="EVT3" s="120"/>
      <c r="EVU3" s="120"/>
      <c r="EVV3" s="120"/>
      <c r="EVW3" s="120"/>
      <c r="EVX3" s="120"/>
      <c r="EVY3" s="120"/>
      <c r="EVZ3" s="120"/>
      <c r="EWA3" s="120"/>
      <c r="EWB3" s="120"/>
      <c r="EWC3" s="120"/>
      <c r="EWD3" s="120"/>
      <c r="EWE3" s="120"/>
      <c r="EWF3" s="120"/>
      <c r="EWG3" s="120"/>
      <c r="EWH3" s="120"/>
      <c r="EWI3" s="120"/>
      <c r="EWJ3" s="120"/>
      <c r="EWK3" s="120"/>
      <c r="EWL3" s="120"/>
      <c r="EWM3" s="120"/>
      <c r="EWN3" s="120"/>
      <c r="EWO3" s="120"/>
      <c r="EWP3" s="120"/>
      <c r="EWQ3" s="120"/>
      <c r="EWR3" s="120"/>
      <c r="EWS3" s="120"/>
      <c r="EWT3" s="120"/>
      <c r="EWU3" s="120"/>
      <c r="EWV3" s="120"/>
      <c r="EWW3" s="120"/>
      <c r="EWX3" s="120"/>
      <c r="EWY3" s="120"/>
      <c r="EWZ3" s="120"/>
      <c r="EXA3" s="120"/>
      <c r="EXB3" s="120"/>
      <c r="EXC3" s="120"/>
      <c r="EXD3" s="120"/>
      <c r="EXE3" s="120"/>
      <c r="EXF3" s="120"/>
      <c r="EXG3" s="120"/>
      <c r="EXH3" s="120"/>
      <c r="EXI3" s="120"/>
      <c r="EXJ3" s="120"/>
      <c r="EXK3" s="120"/>
      <c r="EXL3" s="120"/>
      <c r="EXM3" s="120"/>
      <c r="EXN3" s="120"/>
      <c r="EXO3" s="120"/>
      <c r="EXP3" s="120"/>
      <c r="EXQ3" s="120"/>
      <c r="EXR3" s="120"/>
      <c r="EXS3" s="120"/>
      <c r="EXT3" s="120"/>
      <c r="EXU3" s="120"/>
      <c r="EXV3" s="120"/>
      <c r="EXW3" s="120"/>
      <c r="EXX3" s="120"/>
      <c r="EXY3" s="120"/>
      <c r="EXZ3" s="120"/>
      <c r="EYA3" s="120"/>
      <c r="EYB3" s="120"/>
      <c r="EYC3" s="120"/>
      <c r="EYD3" s="120"/>
      <c r="EYE3" s="120"/>
      <c r="EYF3" s="120"/>
      <c r="EYG3" s="120"/>
      <c r="EYH3" s="120"/>
      <c r="EYI3" s="120"/>
      <c r="EYJ3" s="120"/>
      <c r="EYK3" s="120"/>
      <c r="EYL3" s="120"/>
      <c r="EYM3" s="120"/>
      <c r="EYN3" s="120"/>
      <c r="EYO3" s="120"/>
      <c r="EYP3" s="120"/>
      <c r="EYQ3" s="120"/>
      <c r="EYR3" s="120"/>
      <c r="EYS3" s="120"/>
      <c r="EYT3" s="120"/>
      <c r="EYU3" s="120"/>
      <c r="EYV3" s="120"/>
      <c r="EYW3" s="120"/>
      <c r="EYX3" s="120"/>
      <c r="EYY3" s="120"/>
      <c r="EYZ3" s="120"/>
      <c r="EZA3" s="120"/>
      <c r="EZB3" s="120"/>
      <c r="EZC3" s="120"/>
      <c r="EZD3" s="120"/>
      <c r="EZE3" s="120"/>
      <c r="EZF3" s="120"/>
      <c r="EZG3" s="120"/>
      <c r="EZH3" s="120"/>
      <c r="EZI3" s="120"/>
      <c r="EZJ3" s="120"/>
      <c r="EZK3" s="120"/>
      <c r="EZL3" s="120"/>
      <c r="EZM3" s="120"/>
      <c r="EZN3" s="120"/>
      <c r="EZO3" s="120"/>
      <c r="EZP3" s="120"/>
      <c r="EZQ3" s="120"/>
      <c r="EZR3" s="120"/>
      <c r="EZS3" s="120"/>
      <c r="EZT3" s="120"/>
      <c r="EZU3" s="120"/>
      <c r="EZV3" s="120"/>
      <c r="EZW3" s="120"/>
      <c r="EZX3" s="120"/>
      <c r="EZY3" s="120"/>
      <c r="EZZ3" s="120"/>
      <c r="FAA3" s="120"/>
      <c r="FAB3" s="120"/>
      <c r="FAC3" s="120"/>
      <c r="FAD3" s="120"/>
      <c r="FAE3" s="120"/>
      <c r="FAF3" s="120"/>
      <c r="FAG3" s="120"/>
      <c r="FAH3" s="120"/>
      <c r="FAI3" s="120"/>
      <c r="FAJ3" s="120"/>
      <c r="FAK3" s="120"/>
      <c r="FAL3" s="120"/>
      <c r="FAM3" s="120"/>
      <c r="FAN3" s="120"/>
      <c r="FAO3" s="120"/>
      <c r="FAP3" s="120"/>
      <c r="FAQ3" s="120"/>
      <c r="FAR3" s="120"/>
      <c r="FAS3" s="120"/>
      <c r="FAT3" s="120"/>
      <c r="FAU3" s="120"/>
      <c r="FAV3" s="120"/>
      <c r="FAW3" s="120"/>
      <c r="FAX3" s="120"/>
      <c r="FAY3" s="120"/>
      <c r="FAZ3" s="120"/>
      <c r="FBA3" s="120"/>
      <c r="FBB3" s="120"/>
      <c r="FBC3" s="120"/>
      <c r="FBD3" s="120"/>
      <c r="FBE3" s="120"/>
      <c r="FBF3" s="120"/>
      <c r="FBG3" s="120"/>
      <c r="FBH3" s="120"/>
      <c r="FBI3" s="120"/>
      <c r="FBJ3" s="120"/>
      <c r="FBK3" s="120"/>
      <c r="FBL3" s="120"/>
      <c r="FBM3" s="120"/>
      <c r="FBN3" s="120"/>
      <c r="FBO3" s="120"/>
      <c r="FBP3" s="120"/>
      <c r="FBQ3" s="120"/>
      <c r="FBR3" s="120"/>
      <c r="FBS3" s="120"/>
      <c r="FBT3" s="120"/>
      <c r="FBU3" s="120"/>
      <c r="FBV3" s="120"/>
      <c r="FBW3" s="120"/>
      <c r="FBX3" s="120"/>
      <c r="FBY3" s="120"/>
      <c r="FBZ3" s="120"/>
      <c r="FCA3" s="120"/>
      <c r="FCB3" s="120"/>
      <c r="FCC3" s="120"/>
      <c r="FCD3" s="120"/>
      <c r="FCE3" s="120"/>
      <c r="FCF3" s="120"/>
      <c r="FCG3" s="120"/>
      <c r="FCH3" s="120"/>
      <c r="FCI3" s="120"/>
      <c r="FCJ3" s="120"/>
      <c r="FCK3" s="120"/>
      <c r="FCL3" s="120"/>
      <c r="FCM3" s="120"/>
      <c r="FCN3" s="120"/>
      <c r="FCO3" s="120"/>
      <c r="FCP3" s="120"/>
      <c r="FCQ3" s="120"/>
      <c r="FCR3" s="120"/>
      <c r="FCS3" s="120"/>
      <c r="FCT3" s="120"/>
      <c r="FCU3" s="120"/>
      <c r="FCV3" s="120"/>
      <c r="FCW3" s="120"/>
      <c r="FCX3" s="120"/>
      <c r="FCY3" s="120"/>
      <c r="FCZ3" s="120"/>
      <c r="FDA3" s="120"/>
      <c r="FDB3" s="120"/>
      <c r="FDC3" s="120"/>
      <c r="FDD3" s="120"/>
      <c r="FDE3" s="120"/>
      <c r="FDF3" s="120"/>
      <c r="FDG3" s="120"/>
      <c r="FDH3" s="120"/>
      <c r="FDI3" s="120"/>
      <c r="FDJ3" s="120"/>
      <c r="FDK3" s="120"/>
      <c r="FDL3" s="120"/>
      <c r="FDM3" s="120"/>
      <c r="FDN3" s="120"/>
      <c r="FDO3" s="120"/>
      <c r="FDP3" s="120"/>
      <c r="FDQ3" s="120"/>
      <c r="FDR3" s="120"/>
      <c r="FDS3" s="120"/>
      <c r="FDT3" s="120"/>
      <c r="FDU3" s="120"/>
      <c r="FDV3" s="120"/>
      <c r="FDW3" s="120"/>
      <c r="FDX3" s="120"/>
      <c r="FDY3" s="120"/>
      <c r="FDZ3" s="120"/>
      <c r="FEA3" s="120"/>
      <c r="FEB3" s="120"/>
      <c r="FEC3" s="120"/>
      <c r="FED3" s="120"/>
      <c r="FEE3" s="120"/>
      <c r="FEF3" s="120"/>
      <c r="FEG3" s="120"/>
      <c r="FEH3" s="120"/>
      <c r="FEI3" s="120"/>
      <c r="FEJ3" s="120"/>
      <c r="FEK3" s="120"/>
      <c r="FEL3" s="120"/>
      <c r="FEM3" s="120"/>
      <c r="FEN3" s="120"/>
      <c r="FEO3" s="120"/>
      <c r="FEP3" s="120"/>
      <c r="FEQ3" s="120"/>
      <c r="FER3" s="120"/>
      <c r="FES3" s="120"/>
      <c r="FET3" s="120"/>
      <c r="FEU3" s="120"/>
      <c r="FEV3" s="120"/>
      <c r="FEW3" s="120"/>
      <c r="FEX3" s="120"/>
      <c r="FEY3" s="120"/>
      <c r="FEZ3" s="120"/>
      <c r="FFA3" s="120"/>
      <c r="FFB3" s="120"/>
      <c r="FFC3" s="120"/>
      <c r="FFD3" s="120"/>
      <c r="FFE3" s="120"/>
      <c r="FFF3" s="120"/>
      <c r="FFG3" s="120"/>
      <c r="FFH3" s="120"/>
      <c r="FFI3" s="120"/>
      <c r="FFJ3" s="120"/>
      <c r="FFK3" s="120"/>
      <c r="FFL3" s="120"/>
      <c r="FFM3" s="120"/>
      <c r="FFN3" s="120"/>
      <c r="FFO3" s="120"/>
      <c r="FFP3" s="120"/>
      <c r="FFQ3" s="120"/>
      <c r="FFR3" s="120"/>
      <c r="FFS3" s="120"/>
      <c r="FFT3" s="120"/>
      <c r="FFU3" s="120"/>
      <c r="FFV3" s="120"/>
      <c r="FFW3" s="120"/>
      <c r="FFX3" s="120"/>
      <c r="FFY3" s="120"/>
      <c r="FFZ3" s="120"/>
      <c r="FGA3" s="120"/>
      <c r="FGB3" s="120"/>
      <c r="FGC3" s="120"/>
      <c r="FGD3" s="120"/>
      <c r="FGE3" s="120"/>
      <c r="FGF3" s="120"/>
      <c r="FGG3" s="120"/>
      <c r="FGH3" s="120"/>
      <c r="FGI3" s="120"/>
      <c r="FGJ3" s="120"/>
      <c r="FGK3" s="120"/>
      <c r="FGL3" s="120"/>
      <c r="FGM3" s="120"/>
      <c r="FGN3" s="120"/>
      <c r="FGO3" s="120"/>
      <c r="FGP3" s="120"/>
      <c r="FGQ3" s="120"/>
      <c r="FGR3" s="120"/>
      <c r="FGS3" s="120"/>
      <c r="FGT3" s="120"/>
      <c r="FGU3" s="120"/>
      <c r="FGV3" s="120"/>
      <c r="FGW3" s="120"/>
      <c r="FGX3" s="120"/>
      <c r="FGY3" s="120"/>
      <c r="FGZ3" s="120"/>
      <c r="FHA3" s="120"/>
      <c r="FHB3" s="120"/>
      <c r="FHC3" s="120"/>
      <c r="FHD3" s="120"/>
      <c r="FHE3" s="120"/>
      <c r="FHF3" s="120"/>
      <c r="FHG3" s="120"/>
      <c r="FHH3" s="120"/>
      <c r="FHI3" s="120"/>
      <c r="FHJ3" s="120"/>
      <c r="FHK3" s="120"/>
      <c r="FHL3" s="120"/>
      <c r="FHM3" s="120"/>
      <c r="FHN3" s="120"/>
      <c r="FHO3" s="120"/>
      <c r="FHP3" s="120"/>
      <c r="FHQ3" s="120"/>
      <c r="FHR3" s="120"/>
      <c r="FHS3" s="120"/>
      <c r="FHT3" s="120"/>
      <c r="FHU3" s="120"/>
      <c r="FHV3" s="120"/>
      <c r="FHW3" s="120"/>
      <c r="FHX3" s="120"/>
      <c r="FHY3" s="120"/>
      <c r="FHZ3" s="120"/>
      <c r="FIA3" s="120"/>
      <c r="FIB3" s="120"/>
      <c r="FIC3" s="120"/>
      <c r="FID3" s="120"/>
      <c r="FIE3" s="120"/>
      <c r="FIF3" s="120"/>
      <c r="FIG3" s="120"/>
      <c r="FIH3" s="120"/>
      <c r="FII3" s="120"/>
      <c r="FIJ3" s="120"/>
      <c r="FIK3" s="120"/>
      <c r="FIL3" s="120"/>
      <c r="FIM3" s="120"/>
      <c r="FIN3" s="120"/>
      <c r="FIO3" s="120"/>
      <c r="FIP3" s="120"/>
      <c r="FIQ3" s="120"/>
      <c r="FIR3" s="120"/>
      <c r="FIS3" s="120"/>
      <c r="FIT3" s="120"/>
      <c r="FIU3" s="120"/>
      <c r="FIV3" s="120"/>
      <c r="FIW3" s="120"/>
      <c r="FIX3" s="120"/>
      <c r="FIY3" s="120"/>
      <c r="FIZ3" s="120"/>
      <c r="FJA3" s="120"/>
      <c r="FJB3" s="120"/>
      <c r="FJC3" s="120"/>
      <c r="FJD3" s="120"/>
      <c r="FJE3" s="120"/>
      <c r="FJF3" s="120"/>
      <c r="FJG3" s="120"/>
      <c r="FJH3" s="120"/>
      <c r="FJI3" s="120"/>
      <c r="FJJ3" s="120"/>
      <c r="FJK3" s="120"/>
      <c r="FJL3" s="120"/>
      <c r="FJM3" s="120"/>
      <c r="FJN3" s="120"/>
      <c r="FJO3" s="120"/>
      <c r="FJP3" s="120"/>
      <c r="FJQ3" s="120"/>
      <c r="FJR3" s="120"/>
      <c r="FJS3" s="120"/>
      <c r="FJT3" s="120"/>
      <c r="FJU3" s="120"/>
      <c r="FJV3" s="120"/>
      <c r="FJW3" s="120"/>
      <c r="FJX3" s="120"/>
      <c r="FJY3" s="120"/>
      <c r="FJZ3" s="120"/>
      <c r="FKA3" s="120"/>
      <c r="FKB3" s="120"/>
      <c r="FKC3" s="120"/>
      <c r="FKD3" s="120"/>
      <c r="FKE3" s="120"/>
      <c r="FKF3" s="120"/>
      <c r="FKG3" s="120"/>
      <c r="FKH3" s="120"/>
      <c r="FKI3" s="120"/>
      <c r="FKJ3" s="120"/>
      <c r="FKK3" s="120"/>
      <c r="FKL3" s="120"/>
      <c r="FKM3" s="120"/>
      <c r="FKN3" s="120"/>
      <c r="FKO3" s="120"/>
      <c r="FKP3" s="120"/>
      <c r="FKQ3" s="120"/>
      <c r="FKR3" s="120"/>
      <c r="FKS3" s="120"/>
      <c r="FKT3" s="120"/>
      <c r="FKU3" s="120"/>
      <c r="FKV3" s="120"/>
      <c r="FKW3" s="120"/>
      <c r="FKX3" s="120"/>
      <c r="FKY3" s="120"/>
      <c r="FKZ3" s="120"/>
      <c r="FLA3" s="120"/>
      <c r="FLB3" s="120"/>
      <c r="FLC3" s="120"/>
      <c r="FLD3" s="120"/>
      <c r="FLE3" s="120"/>
      <c r="FLF3" s="120"/>
      <c r="FLG3" s="120"/>
      <c r="FLH3" s="120"/>
      <c r="FLI3" s="120"/>
      <c r="FLJ3" s="120"/>
      <c r="FLK3" s="120"/>
      <c r="FLL3" s="120"/>
      <c r="FLM3" s="120"/>
      <c r="FLN3" s="120"/>
      <c r="FLO3" s="120"/>
      <c r="FLP3" s="120"/>
      <c r="FLQ3" s="120"/>
      <c r="FLR3" s="120"/>
      <c r="FLS3" s="120"/>
      <c r="FLT3" s="120"/>
      <c r="FLU3" s="120"/>
      <c r="FLV3" s="120"/>
      <c r="FLW3" s="120"/>
      <c r="FLX3" s="120"/>
      <c r="FLY3" s="120"/>
      <c r="FLZ3" s="120"/>
      <c r="FMA3" s="120"/>
      <c r="FMB3" s="120"/>
      <c r="FMC3" s="120"/>
      <c r="FMD3" s="120"/>
      <c r="FME3" s="120"/>
      <c r="FMF3" s="120"/>
      <c r="FMG3" s="120"/>
      <c r="FMH3" s="120"/>
      <c r="FMI3" s="120"/>
      <c r="FMJ3" s="120"/>
      <c r="FMK3" s="120"/>
      <c r="FML3" s="120"/>
      <c r="FMM3" s="120"/>
      <c r="FMN3" s="120"/>
      <c r="FMO3" s="120"/>
      <c r="FMP3" s="120"/>
      <c r="FMQ3" s="120"/>
      <c r="FMR3" s="120"/>
      <c r="FMS3" s="120"/>
      <c r="FMT3" s="120"/>
      <c r="FMU3" s="120"/>
      <c r="FMV3" s="120"/>
      <c r="FMW3" s="120"/>
      <c r="FMX3" s="120"/>
      <c r="FMY3" s="120"/>
      <c r="FMZ3" s="120"/>
      <c r="FNA3" s="120"/>
      <c r="FNB3" s="120"/>
      <c r="FNC3" s="120"/>
      <c r="FND3" s="120"/>
      <c r="FNE3" s="120"/>
      <c r="FNF3" s="120"/>
      <c r="FNG3" s="120"/>
      <c r="FNH3" s="120"/>
      <c r="FNI3" s="120"/>
      <c r="FNJ3" s="120"/>
      <c r="FNK3" s="120"/>
      <c r="FNL3" s="120"/>
      <c r="FNM3" s="120"/>
      <c r="FNN3" s="120"/>
      <c r="FNO3" s="120"/>
      <c r="FNP3" s="120"/>
      <c r="FNQ3" s="120"/>
      <c r="FNR3" s="120"/>
      <c r="FNS3" s="120"/>
      <c r="FNT3" s="120"/>
      <c r="FNU3" s="120"/>
      <c r="FNV3" s="120"/>
      <c r="FNW3" s="120"/>
      <c r="FNX3" s="120"/>
      <c r="FNY3" s="120"/>
      <c r="FNZ3" s="120"/>
      <c r="FOA3" s="120"/>
      <c r="FOB3" s="120"/>
      <c r="FOC3" s="120"/>
      <c r="FOD3" s="120"/>
      <c r="FOE3" s="120"/>
      <c r="FOF3" s="120"/>
      <c r="FOG3" s="120"/>
      <c r="FOH3" s="120"/>
      <c r="FOI3" s="120"/>
      <c r="FOJ3" s="120"/>
      <c r="FOK3" s="120"/>
      <c r="FOL3" s="120"/>
      <c r="FOM3" s="120"/>
      <c r="FON3" s="120"/>
      <c r="FOO3" s="120"/>
      <c r="FOP3" s="120"/>
      <c r="FOQ3" s="120"/>
      <c r="FOR3" s="120"/>
      <c r="FOS3" s="120"/>
      <c r="FOT3" s="120"/>
      <c r="FOU3" s="120"/>
      <c r="FOV3" s="120"/>
      <c r="FOW3" s="120"/>
      <c r="FOX3" s="120"/>
      <c r="FOY3" s="120"/>
      <c r="FOZ3" s="120"/>
      <c r="FPA3" s="120"/>
      <c r="FPB3" s="120"/>
      <c r="FPC3" s="120"/>
      <c r="FPD3" s="120"/>
      <c r="FPE3" s="120"/>
      <c r="FPF3" s="120"/>
      <c r="FPG3" s="120"/>
      <c r="FPH3" s="120"/>
      <c r="FPI3" s="120"/>
      <c r="FPJ3" s="120"/>
      <c r="FPK3" s="120"/>
      <c r="FPL3" s="120"/>
      <c r="FPM3" s="120"/>
      <c r="FPN3" s="120"/>
      <c r="FPO3" s="120"/>
      <c r="FPP3" s="120"/>
      <c r="FPQ3" s="120"/>
      <c r="FPR3" s="120"/>
      <c r="FPS3" s="120"/>
      <c r="FPT3" s="120"/>
      <c r="FPU3" s="120"/>
      <c r="FPV3" s="120"/>
      <c r="FPW3" s="120"/>
      <c r="FPX3" s="120"/>
      <c r="FPY3" s="120"/>
      <c r="FPZ3" s="120"/>
      <c r="FQA3" s="120"/>
      <c r="FQB3" s="120"/>
      <c r="FQC3" s="120"/>
      <c r="FQD3" s="120"/>
      <c r="FQE3" s="120"/>
      <c r="FQF3" s="120"/>
      <c r="FQG3" s="120"/>
      <c r="FQH3" s="120"/>
      <c r="FQI3" s="120"/>
      <c r="FQJ3" s="120"/>
      <c r="FQK3" s="120"/>
      <c r="FQL3" s="120"/>
      <c r="FQM3" s="120"/>
      <c r="FQN3" s="120"/>
      <c r="FQO3" s="120"/>
      <c r="FQP3" s="120"/>
      <c r="FQQ3" s="120"/>
      <c r="FQR3" s="120"/>
      <c r="FQS3" s="120"/>
      <c r="FQT3" s="120"/>
      <c r="FQU3" s="120"/>
      <c r="FQV3" s="120"/>
      <c r="FQW3" s="120"/>
      <c r="FQX3" s="120"/>
      <c r="FQY3" s="120"/>
      <c r="FQZ3" s="120"/>
      <c r="FRA3" s="120"/>
      <c r="FRB3" s="120"/>
      <c r="FRC3" s="120"/>
      <c r="FRD3" s="120"/>
      <c r="FRE3" s="120"/>
      <c r="FRF3" s="120"/>
      <c r="FRG3" s="120"/>
      <c r="FRH3" s="120"/>
      <c r="FRI3" s="120"/>
      <c r="FRJ3" s="120"/>
      <c r="FRK3" s="120"/>
      <c r="FRL3" s="120"/>
      <c r="FRM3" s="120"/>
      <c r="FRN3" s="120"/>
      <c r="FRO3" s="120"/>
      <c r="FRP3" s="120"/>
      <c r="FRQ3" s="120"/>
      <c r="FRR3" s="120"/>
      <c r="FRS3" s="120"/>
      <c r="FRT3" s="120"/>
      <c r="FRU3" s="120"/>
      <c r="FRV3" s="120"/>
      <c r="FRW3" s="120"/>
      <c r="FRX3" s="120"/>
      <c r="FRY3" s="120"/>
      <c r="FRZ3" s="120"/>
      <c r="FSA3" s="120"/>
      <c r="FSB3" s="120"/>
      <c r="FSC3" s="120"/>
      <c r="FSD3" s="120"/>
      <c r="FSE3" s="120"/>
      <c r="FSF3" s="120"/>
      <c r="FSG3" s="120"/>
      <c r="FSH3" s="120"/>
      <c r="FSI3" s="120"/>
      <c r="FSJ3" s="120"/>
      <c r="FSK3" s="120"/>
      <c r="FSL3" s="120"/>
      <c r="FSM3" s="120"/>
      <c r="FSN3" s="120"/>
      <c r="FSO3" s="120"/>
      <c r="FSP3" s="120"/>
      <c r="FSQ3" s="120"/>
      <c r="FSR3" s="120"/>
      <c r="FSS3" s="120"/>
      <c r="FST3" s="120"/>
      <c r="FSU3" s="120"/>
      <c r="FSV3" s="120"/>
      <c r="FSW3" s="120"/>
      <c r="FSX3" s="120"/>
      <c r="FSY3" s="120"/>
      <c r="FSZ3" s="120"/>
      <c r="FTA3" s="120"/>
      <c r="FTB3" s="120"/>
      <c r="FTC3" s="120"/>
      <c r="FTD3" s="120"/>
      <c r="FTE3" s="120"/>
      <c r="FTF3" s="120"/>
      <c r="FTG3" s="120"/>
      <c r="FTH3" s="120"/>
      <c r="FTI3" s="120"/>
      <c r="FTJ3" s="120"/>
      <c r="FTK3" s="120"/>
      <c r="FTL3" s="120"/>
      <c r="FTM3" s="120"/>
      <c r="FTN3" s="120"/>
      <c r="FTO3" s="120"/>
      <c r="FTP3" s="120"/>
      <c r="FTQ3" s="120"/>
      <c r="FTR3" s="120"/>
      <c r="FTS3" s="120"/>
      <c r="FTT3" s="120"/>
      <c r="FTU3" s="120"/>
      <c r="FTV3" s="120"/>
      <c r="FTW3" s="120"/>
      <c r="FTX3" s="120"/>
      <c r="FTY3" s="120"/>
      <c r="FTZ3" s="120"/>
      <c r="FUA3" s="120"/>
      <c r="FUB3" s="120"/>
      <c r="FUC3" s="120"/>
      <c r="FUD3" s="120"/>
      <c r="FUE3" s="120"/>
      <c r="FUF3" s="120"/>
      <c r="FUG3" s="120"/>
      <c r="FUH3" s="120"/>
      <c r="FUI3" s="120"/>
      <c r="FUJ3" s="120"/>
      <c r="FUK3" s="120"/>
      <c r="FUL3" s="120"/>
      <c r="FUM3" s="120"/>
      <c r="FUN3" s="120"/>
      <c r="FUO3" s="120"/>
      <c r="FUP3" s="120"/>
      <c r="FUQ3" s="120"/>
      <c r="FUR3" s="120"/>
      <c r="FUS3" s="120"/>
      <c r="FUT3" s="120"/>
      <c r="FUU3" s="120"/>
      <c r="FUV3" s="120"/>
      <c r="FUW3" s="120"/>
      <c r="FUX3" s="120"/>
      <c r="FUY3" s="120"/>
      <c r="FUZ3" s="120"/>
      <c r="FVA3" s="120"/>
      <c r="FVB3" s="120"/>
      <c r="FVC3" s="120"/>
      <c r="FVD3" s="120"/>
      <c r="FVE3" s="120"/>
      <c r="FVF3" s="120"/>
      <c r="FVG3" s="120"/>
      <c r="FVH3" s="120"/>
      <c r="FVI3" s="120"/>
      <c r="FVJ3" s="120"/>
      <c r="FVK3" s="120"/>
      <c r="FVL3" s="120"/>
      <c r="FVM3" s="120"/>
      <c r="FVN3" s="120"/>
      <c r="FVO3" s="120"/>
      <c r="FVP3" s="120"/>
      <c r="FVQ3" s="120"/>
      <c r="FVR3" s="120"/>
      <c r="FVS3" s="120"/>
      <c r="FVT3" s="120"/>
      <c r="FVU3" s="120"/>
      <c r="FVV3" s="120"/>
      <c r="FVW3" s="120"/>
      <c r="FVX3" s="120"/>
      <c r="FVY3" s="120"/>
      <c r="FVZ3" s="120"/>
      <c r="FWA3" s="120"/>
      <c r="FWB3" s="120"/>
      <c r="FWC3" s="120"/>
      <c r="FWD3" s="120"/>
      <c r="FWE3" s="120"/>
      <c r="FWF3" s="120"/>
      <c r="FWG3" s="120"/>
      <c r="FWH3" s="120"/>
      <c r="FWI3" s="120"/>
      <c r="FWJ3" s="120"/>
      <c r="FWK3" s="120"/>
      <c r="FWL3" s="120"/>
      <c r="FWM3" s="120"/>
      <c r="FWN3" s="120"/>
      <c r="FWO3" s="120"/>
      <c r="FWP3" s="120"/>
      <c r="FWQ3" s="120"/>
      <c r="FWR3" s="120"/>
      <c r="FWS3" s="120"/>
      <c r="FWT3" s="120"/>
      <c r="FWU3" s="120"/>
      <c r="FWV3" s="120"/>
      <c r="FWW3" s="120"/>
      <c r="FWX3" s="120"/>
      <c r="FWY3" s="120"/>
      <c r="FWZ3" s="120"/>
      <c r="FXA3" s="120"/>
      <c r="FXB3" s="120"/>
      <c r="FXC3" s="120"/>
      <c r="FXD3" s="120"/>
      <c r="FXE3" s="120"/>
      <c r="FXF3" s="120"/>
      <c r="FXG3" s="120"/>
      <c r="FXH3" s="120"/>
      <c r="FXI3" s="120"/>
      <c r="FXJ3" s="120"/>
      <c r="FXK3" s="120"/>
      <c r="FXL3" s="120"/>
      <c r="FXM3" s="120"/>
      <c r="FXN3" s="120"/>
      <c r="FXO3" s="120"/>
      <c r="FXP3" s="120"/>
      <c r="FXQ3" s="120"/>
      <c r="FXR3" s="120"/>
      <c r="FXS3" s="120"/>
      <c r="FXT3" s="120"/>
      <c r="FXU3" s="120"/>
      <c r="FXV3" s="120"/>
      <c r="FXW3" s="120"/>
      <c r="FXX3" s="120"/>
      <c r="FXY3" s="120"/>
      <c r="FXZ3" s="120"/>
      <c r="FYA3" s="120"/>
      <c r="FYB3" s="120"/>
      <c r="FYC3" s="120"/>
      <c r="FYD3" s="120"/>
      <c r="FYE3" s="120"/>
      <c r="FYF3" s="120"/>
      <c r="FYG3" s="120"/>
      <c r="FYH3" s="120"/>
      <c r="FYI3" s="120"/>
      <c r="FYJ3" s="120"/>
      <c r="FYK3" s="120"/>
      <c r="FYL3" s="120"/>
      <c r="FYM3" s="120"/>
      <c r="FYN3" s="120"/>
      <c r="FYO3" s="120"/>
      <c r="FYP3" s="120"/>
      <c r="FYQ3" s="120"/>
      <c r="FYR3" s="120"/>
      <c r="FYS3" s="120"/>
      <c r="FYT3" s="120"/>
      <c r="FYU3" s="120"/>
      <c r="FYV3" s="120"/>
      <c r="FYW3" s="120"/>
      <c r="FYX3" s="120"/>
      <c r="FYY3" s="120"/>
      <c r="FYZ3" s="120"/>
      <c r="FZA3" s="120"/>
      <c r="FZB3" s="120"/>
      <c r="FZC3" s="120"/>
      <c r="FZD3" s="120"/>
      <c r="FZE3" s="120"/>
      <c r="FZF3" s="120"/>
      <c r="FZG3" s="120"/>
      <c r="FZH3" s="120"/>
      <c r="FZI3" s="120"/>
      <c r="FZJ3" s="120"/>
      <c r="FZK3" s="120"/>
      <c r="FZL3" s="120"/>
      <c r="FZM3" s="120"/>
      <c r="FZN3" s="120"/>
      <c r="FZO3" s="120"/>
      <c r="FZP3" s="120"/>
      <c r="FZQ3" s="120"/>
      <c r="FZR3" s="120"/>
      <c r="FZS3" s="120"/>
      <c r="FZT3" s="120"/>
      <c r="FZU3" s="120"/>
      <c r="FZV3" s="120"/>
      <c r="FZW3" s="120"/>
      <c r="FZX3" s="120"/>
      <c r="FZY3" s="120"/>
      <c r="FZZ3" s="120"/>
      <c r="GAA3" s="120"/>
      <c r="GAB3" s="120"/>
      <c r="GAC3" s="120"/>
      <c r="GAD3" s="120"/>
      <c r="GAE3" s="120"/>
      <c r="GAF3" s="120"/>
      <c r="GAG3" s="120"/>
      <c r="GAH3" s="120"/>
      <c r="GAI3" s="120"/>
      <c r="GAJ3" s="120"/>
      <c r="GAK3" s="120"/>
      <c r="GAL3" s="120"/>
      <c r="GAM3" s="120"/>
      <c r="GAN3" s="120"/>
      <c r="GAO3" s="120"/>
      <c r="GAP3" s="120"/>
      <c r="GAQ3" s="120"/>
      <c r="GAR3" s="120"/>
      <c r="GAS3" s="120"/>
      <c r="GAT3" s="120"/>
      <c r="GAU3" s="120"/>
      <c r="GAV3" s="120"/>
      <c r="GAW3" s="120"/>
      <c r="GAX3" s="120"/>
      <c r="GAY3" s="120"/>
      <c r="GAZ3" s="120"/>
      <c r="GBA3" s="120"/>
      <c r="GBB3" s="120"/>
      <c r="GBC3" s="120"/>
      <c r="GBD3" s="120"/>
      <c r="GBE3" s="120"/>
      <c r="GBF3" s="120"/>
      <c r="GBG3" s="120"/>
      <c r="GBH3" s="120"/>
      <c r="GBI3" s="120"/>
      <c r="GBJ3" s="120"/>
      <c r="GBK3" s="120"/>
      <c r="GBL3" s="120"/>
      <c r="GBM3" s="120"/>
      <c r="GBN3" s="120"/>
      <c r="GBO3" s="120"/>
      <c r="GBP3" s="120"/>
      <c r="GBQ3" s="120"/>
      <c r="GBR3" s="120"/>
      <c r="GBS3" s="120"/>
      <c r="GBT3" s="120"/>
      <c r="GBU3" s="120"/>
      <c r="GBV3" s="120"/>
      <c r="GBW3" s="120"/>
      <c r="GBX3" s="120"/>
      <c r="GBY3" s="120"/>
      <c r="GBZ3" s="120"/>
      <c r="GCA3" s="120"/>
      <c r="GCB3" s="120"/>
      <c r="GCC3" s="120"/>
      <c r="GCD3" s="120"/>
      <c r="GCE3" s="120"/>
      <c r="GCF3" s="120"/>
      <c r="GCG3" s="120"/>
      <c r="GCH3" s="120"/>
      <c r="GCI3" s="120"/>
      <c r="GCJ3" s="120"/>
      <c r="GCK3" s="120"/>
      <c r="GCL3" s="120"/>
      <c r="GCM3" s="120"/>
      <c r="GCN3" s="120"/>
      <c r="GCO3" s="120"/>
      <c r="GCP3" s="120"/>
      <c r="GCQ3" s="120"/>
      <c r="GCR3" s="120"/>
      <c r="GCS3" s="120"/>
      <c r="GCT3" s="120"/>
      <c r="GCU3" s="120"/>
      <c r="GCV3" s="120"/>
      <c r="GCW3" s="120"/>
      <c r="GCX3" s="120"/>
      <c r="GCY3" s="120"/>
      <c r="GCZ3" s="120"/>
      <c r="GDA3" s="120"/>
      <c r="GDB3" s="120"/>
      <c r="GDC3" s="120"/>
      <c r="GDD3" s="120"/>
      <c r="GDE3" s="120"/>
      <c r="GDF3" s="120"/>
      <c r="GDG3" s="120"/>
      <c r="GDH3" s="120"/>
      <c r="GDI3" s="120"/>
      <c r="GDJ3" s="120"/>
      <c r="GDK3" s="120"/>
      <c r="GDL3" s="120"/>
      <c r="GDM3" s="120"/>
      <c r="GDN3" s="120"/>
      <c r="GDO3" s="120"/>
      <c r="GDP3" s="120"/>
      <c r="GDQ3" s="120"/>
      <c r="GDR3" s="120"/>
      <c r="GDS3" s="120"/>
      <c r="GDT3" s="120"/>
      <c r="GDU3" s="120"/>
      <c r="GDV3" s="120"/>
      <c r="GDW3" s="120"/>
      <c r="GDX3" s="120"/>
      <c r="GDY3" s="120"/>
      <c r="GDZ3" s="120"/>
      <c r="GEA3" s="120"/>
      <c r="GEB3" s="120"/>
      <c r="GEC3" s="120"/>
      <c r="GED3" s="120"/>
      <c r="GEE3" s="120"/>
      <c r="GEF3" s="120"/>
      <c r="GEG3" s="120"/>
      <c r="GEH3" s="120"/>
      <c r="GEI3" s="120"/>
      <c r="GEJ3" s="120"/>
      <c r="GEK3" s="120"/>
      <c r="GEL3" s="120"/>
      <c r="GEM3" s="120"/>
      <c r="GEN3" s="120"/>
      <c r="GEO3" s="120"/>
      <c r="GEP3" s="120"/>
      <c r="GEQ3" s="120"/>
      <c r="GER3" s="120"/>
      <c r="GES3" s="120"/>
      <c r="GET3" s="120"/>
      <c r="GEU3" s="120"/>
      <c r="GEV3" s="120"/>
      <c r="GEW3" s="120"/>
      <c r="GEX3" s="120"/>
      <c r="GEY3" s="120"/>
      <c r="GEZ3" s="120"/>
      <c r="GFA3" s="120"/>
      <c r="GFB3" s="120"/>
      <c r="GFC3" s="120"/>
      <c r="GFD3" s="120"/>
      <c r="GFE3" s="120"/>
      <c r="GFF3" s="120"/>
      <c r="GFG3" s="120"/>
      <c r="GFH3" s="120"/>
      <c r="GFI3" s="120"/>
      <c r="GFJ3" s="120"/>
      <c r="GFK3" s="120"/>
      <c r="GFL3" s="120"/>
      <c r="GFM3" s="120"/>
      <c r="GFN3" s="120"/>
      <c r="GFO3" s="120"/>
      <c r="GFP3" s="120"/>
      <c r="GFQ3" s="120"/>
      <c r="GFR3" s="120"/>
      <c r="GFS3" s="120"/>
      <c r="GFT3" s="120"/>
      <c r="GFU3" s="120"/>
      <c r="GFV3" s="120"/>
      <c r="GFW3" s="120"/>
      <c r="GFX3" s="120"/>
      <c r="GFY3" s="120"/>
      <c r="GFZ3" s="120"/>
      <c r="GGA3" s="120"/>
      <c r="GGB3" s="120"/>
      <c r="GGC3" s="120"/>
      <c r="GGD3" s="120"/>
      <c r="GGE3" s="120"/>
      <c r="GGF3" s="120"/>
      <c r="GGG3" s="120"/>
      <c r="GGH3" s="120"/>
      <c r="GGI3" s="120"/>
      <c r="GGJ3" s="120"/>
      <c r="GGK3" s="120"/>
      <c r="GGL3" s="120"/>
      <c r="GGM3" s="120"/>
      <c r="GGN3" s="120"/>
      <c r="GGO3" s="120"/>
      <c r="GGP3" s="120"/>
      <c r="GGQ3" s="120"/>
      <c r="GGR3" s="120"/>
      <c r="GGS3" s="120"/>
      <c r="GGT3" s="120"/>
      <c r="GGU3" s="120"/>
      <c r="GGV3" s="120"/>
      <c r="GGW3" s="120"/>
      <c r="GGX3" s="120"/>
      <c r="GGY3" s="120"/>
      <c r="GGZ3" s="120"/>
      <c r="GHA3" s="120"/>
      <c r="GHB3" s="120"/>
      <c r="GHC3" s="120"/>
      <c r="GHD3" s="120"/>
      <c r="GHE3" s="120"/>
      <c r="GHF3" s="120"/>
      <c r="GHG3" s="120"/>
      <c r="GHH3" s="120"/>
      <c r="GHI3" s="120"/>
      <c r="GHJ3" s="120"/>
      <c r="GHK3" s="120"/>
      <c r="GHL3" s="120"/>
      <c r="GHM3" s="120"/>
      <c r="GHN3" s="120"/>
      <c r="GHO3" s="120"/>
      <c r="GHP3" s="120"/>
      <c r="GHQ3" s="120"/>
      <c r="GHR3" s="120"/>
      <c r="GHS3" s="120"/>
      <c r="GHT3" s="120"/>
      <c r="GHU3" s="120"/>
      <c r="GHV3" s="120"/>
      <c r="GHW3" s="120"/>
      <c r="GHX3" s="120"/>
      <c r="GHY3" s="120"/>
      <c r="GHZ3" s="120"/>
      <c r="GIA3" s="120"/>
      <c r="GIB3" s="120"/>
      <c r="GIC3" s="120"/>
      <c r="GID3" s="120"/>
      <c r="GIE3" s="120"/>
      <c r="GIF3" s="120"/>
      <c r="GIG3" s="120"/>
      <c r="GIH3" s="120"/>
      <c r="GII3" s="120"/>
      <c r="GIJ3" s="120"/>
      <c r="GIK3" s="120"/>
      <c r="GIL3" s="120"/>
      <c r="GIM3" s="120"/>
      <c r="GIN3" s="120"/>
      <c r="GIO3" s="120"/>
      <c r="GIP3" s="120"/>
      <c r="GIQ3" s="120"/>
      <c r="GIR3" s="120"/>
      <c r="GIS3" s="120"/>
      <c r="GIT3" s="120"/>
      <c r="GIU3" s="120"/>
      <c r="GIV3" s="120"/>
      <c r="GIW3" s="120"/>
      <c r="GIX3" s="120"/>
      <c r="GIY3" s="120"/>
      <c r="GIZ3" s="120"/>
      <c r="GJA3" s="120"/>
      <c r="GJB3" s="120"/>
      <c r="GJC3" s="120"/>
      <c r="GJD3" s="120"/>
      <c r="GJE3" s="120"/>
      <c r="GJF3" s="120"/>
      <c r="GJG3" s="120"/>
      <c r="GJH3" s="120"/>
      <c r="GJI3" s="120"/>
      <c r="GJJ3" s="120"/>
      <c r="GJK3" s="120"/>
      <c r="GJL3" s="120"/>
      <c r="GJM3" s="120"/>
      <c r="GJN3" s="120"/>
      <c r="GJO3" s="120"/>
      <c r="GJP3" s="120"/>
      <c r="GJQ3" s="120"/>
      <c r="GJR3" s="120"/>
      <c r="GJS3" s="120"/>
      <c r="GJT3" s="120"/>
      <c r="GJU3" s="120"/>
      <c r="GJV3" s="120"/>
      <c r="GJW3" s="120"/>
      <c r="GJX3" s="120"/>
      <c r="GJY3" s="120"/>
      <c r="GJZ3" s="120"/>
      <c r="GKA3" s="120"/>
      <c r="GKB3" s="120"/>
      <c r="GKC3" s="120"/>
      <c r="GKD3" s="120"/>
      <c r="GKE3" s="120"/>
      <c r="GKF3" s="120"/>
      <c r="GKG3" s="120"/>
      <c r="GKH3" s="120"/>
      <c r="GKI3" s="120"/>
      <c r="GKJ3" s="120"/>
      <c r="GKK3" s="120"/>
      <c r="GKL3" s="120"/>
      <c r="GKM3" s="120"/>
      <c r="GKN3" s="120"/>
      <c r="GKO3" s="120"/>
      <c r="GKP3" s="120"/>
      <c r="GKQ3" s="120"/>
      <c r="GKR3" s="120"/>
      <c r="GKS3" s="120"/>
      <c r="GKT3" s="120"/>
      <c r="GKU3" s="120"/>
      <c r="GKV3" s="120"/>
      <c r="GKW3" s="120"/>
      <c r="GKX3" s="120"/>
      <c r="GKY3" s="120"/>
      <c r="GKZ3" s="120"/>
      <c r="GLA3" s="120"/>
      <c r="GLB3" s="120"/>
      <c r="GLC3" s="120"/>
      <c r="GLD3" s="120"/>
      <c r="GLE3" s="120"/>
      <c r="GLF3" s="120"/>
      <c r="GLG3" s="120"/>
      <c r="GLH3" s="120"/>
      <c r="GLI3" s="120"/>
      <c r="GLJ3" s="120"/>
      <c r="GLK3" s="120"/>
      <c r="GLL3" s="120"/>
      <c r="GLM3" s="120"/>
      <c r="GLN3" s="120"/>
      <c r="GLO3" s="120"/>
      <c r="GLP3" s="120"/>
      <c r="GLQ3" s="120"/>
      <c r="GLR3" s="120"/>
      <c r="GLS3" s="120"/>
      <c r="GLT3" s="120"/>
      <c r="GLU3" s="120"/>
      <c r="GLV3" s="120"/>
      <c r="GLW3" s="120"/>
      <c r="GLX3" s="120"/>
      <c r="GLY3" s="120"/>
      <c r="GLZ3" s="120"/>
      <c r="GMA3" s="120"/>
      <c r="GMB3" s="120"/>
      <c r="GMC3" s="120"/>
      <c r="GMD3" s="120"/>
      <c r="GME3" s="120"/>
      <c r="GMF3" s="120"/>
      <c r="GMG3" s="120"/>
      <c r="GMH3" s="120"/>
      <c r="GMI3" s="120"/>
      <c r="GMJ3" s="120"/>
      <c r="GMK3" s="120"/>
      <c r="GML3" s="120"/>
      <c r="GMM3" s="120"/>
      <c r="GMN3" s="120"/>
      <c r="GMO3" s="120"/>
      <c r="GMP3" s="120"/>
      <c r="GMQ3" s="120"/>
      <c r="GMR3" s="120"/>
      <c r="GMS3" s="120"/>
      <c r="GMT3" s="120"/>
      <c r="GMU3" s="120"/>
      <c r="GMV3" s="120"/>
      <c r="GMW3" s="120"/>
      <c r="GMX3" s="120"/>
      <c r="GMY3" s="120"/>
      <c r="GMZ3" s="120"/>
      <c r="GNA3" s="120"/>
      <c r="GNB3" s="120"/>
      <c r="GNC3" s="120"/>
      <c r="GND3" s="120"/>
      <c r="GNE3" s="120"/>
      <c r="GNF3" s="120"/>
      <c r="GNG3" s="120"/>
      <c r="GNH3" s="120"/>
      <c r="GNI3" s="120"/>
      <c r="GNJ3" s="120"/>
      <c r="GNK3" s="120"/>
      <c r="GNL3" s="120"/>
      <c r="GNM3" s="120"/>
      <c r="GNN3" s="120"/>
      <c r="GNO3" s="120"/>
      <c r="GNP3" s="120"/>
      <c r="GNQ3" s="120"/>
      <c r="GNR3" s="120"/>
      <c r="GNS3" s="120"/>
      <c r="GNT3" s="120"/>
      <c r="GNU3" s="120"/>
      <c r="GNV3" s="120"/>
      <c r="GNW3" s="120"/>
      <c r="GNX3" s="120"/>
      <c r="GNY3" s="120"/>
      <c r="GNZ3" s="120"/>
      <c r="GOA3" s="120"/>
      <c r="GOB3" s="120"/>
      <c r="GOC3" s="120"/>
      <c r="GOD3" s="120"/>
      <c r="GOE3" s="120"/>
      <c r="GOF3" s="120"/>
      <c r="GOG3" s="120"/>
      <c r="GOH3" s="120"/>
      <c r="GOI3" s="120"/>
      <c r="GOJ3" s="120"/>
      <c r="GOK3" s="120"/>
      <c r="GOL3" s="120"/>
      <c r="GOM3" s="120"/>
      <c r="GON3" s="120"/>
      <c r="GOO3" s="120"/>
      <c r="GOP3" s="120"/>
      <c r="GOQ3" s="120"/>
      <c r="GOR3" s="120"/>
      <c r="GOS3" s="120"/>
      <c r="GOT3" s="120"/>
      <c r="GOU3" s="120"/>
      <c r="GOV3" s="120"/>
      <c r="GOW3" s="120"/>
      <c r="GOX3" s="120"/>
      <c r="GOY3" s="120"/>
      <c r="GOZ3" s="120"/>
      <c r="GPA3" s="120"/>
      <c r="GPB3" s="120"/>
      <c r="GPC3" s="120"/>
      <c r="GPD3" s="120"/>
      <c r="GPE3" s="120"/>
      <c r="GPF3" s="120"/>
      <c r="GPG3" s="120"/>
      <c r="GPH3" s="120"/>
      <c r="GPI3" s="120"/>
      <c r="GPJ3" s="120"/>
      <c r="GPK3" s="120"/>
      <c r="GPL3" s="120"/>
      <c r="GPM3" s="120"/>
      <c r="GPN3" s="120"/>
      <c r="GPO3" s="120"/>
      <c r="GPP3" s="120"/>
      <c r="GPQ3" s="120"/>
      <c r="GPR3" s="120"/>
      <c r="GPS3" s="120"/>
      <c r="GPT3" s="120"/>
      <c r="GPU3" s="120"/>
      <c r="GPV3" s="120"/>
      <c r="GPW3" s="120"/>
      <c r="GPX3" s="120"/>
      <c r="GPY3" s="120"/>
      <c r="GPZ3" s="120"/>
      <c r="GQA3" s="120"/>
      <c r="GQB3" s="120"/>
      <c r="GQC3" s="120"/>
      <c r="GQD3" s="120"/>
      <c r="GQE3" s="120"/>
      <c r="GQF3" s="120"/>
      <c r="GQG3" s="120"/>
      <c r="GQH3" s="120"/>
      <c r="GQI3" s="120"/>
      <c r="GQJ3" s="120"/>
      <c r="GQK3" s="120"/>
      <c r="GQL3" s="120"/>
      <c r="GQM3" s="120"/>
      <c r="GQN3" s="120"/>
      <c r="GQO3" s="120"/>
      <c r="GQP3" s="120"/>
      <c r="GQQ3" s="120"/>
      <c r="GQR3" s="120"/>
      <c r="GQS3" s="120"/>
      <c r="GQT3" s="120"/>
      <c r="GQU3" s="120"/>
      <c r="GQV3" s="120"/>
      <c r="GQW3" s="120"/>
      <c r="GQX3" s="120"/>
      <c r="GQY3" s="120"/>
      <c r="GQZ3" s="120"/>
      <c r="GRA3" s="120"/>
      <c r="GRB3" s="120"/>
      <c r="GRC3" s="120"/>
      <c r="GRD3" s="120"/>
      <c r="GRE3" s="120"/>
      <c r="GRF3" s="120"/>
      <c r="GRG3" s="120"/>
      <c r="GRH3" s="120"/>
      <c r="GRI3" s="120"/>
      <c r="GRJ3" s="120"/>
      <c r="GRK3" s="120"/>
      <c r="GRL3" s="120"/>
      <c r="GRM3" s="120"/>
      <c r="GRN3" s="120"/>
      <c r="GRO3" s="120"/>
      <c r="GRP3" s="120"/>
      <c r="GRQ3" s="120"/>
      <c r="GRR3" s="120"/>
      <c r="GRS3" s="120"/>
      <c r="GRT3" s="120"/>
      <c r="GRU3" s="120"/>
      <c r="GRV3" s="120"/>
      <c r="GRW3" s="120"/>
      <c r="GRX3" s="120"/>
      <c r="GRY3" s="120"/>
      <c r="GRZ3" s="120"/>
      <c r="GSA3" s="120"/>
      <c r="GSB3" s="120"/>
      <c r="GSC3" s="120"/>
      <c r="GSD3" s="120"/>
      <c r="GSE3" s="120"/>
      <c r="GSF3" s="120"/>
      <c r="GSG3" s="120"/>
      <c r="GSH3" s="120"/>
      <c r="GSI3" s="120"/>
      <c r="GSJ3" s="120"/>
      <c r="GSK3" s="120"/>
      <c r="GSL3" s="120"/>
      <c r="GSM3" s="120"/>
      <c r="GSN3" s="120"/>
      <c r="GSO3" s="120"/>
      <c r="GSP3" s="120"/>
      <c r="GSQ3" s="120"/>
      <c r="GSR3" s="120"/>
      <c r="GSS3" s="120"/>
      <c r="GST3" s="120"/>
      <c r="GSU3" s="120"/>
      <c r="GSV3" s="120"/>
      <c r="GSW3" s="120"/>
      <c r="GSX3" s="120"/>
      <c r="GSY3" s="120"/>
      <c r="GSZ3" s="120"/>
      <c r="GTA3" s="120"/>
      <c r="GTB3" s="120"/>
      <c r="GTC3" s="120"/>
      <c r="GTD3" s="120"/>
      <c r="GTE3" s="120"/>
      <c r="GTF3" s="120"/>
      <c r="GTG3" s="120"/>
      <c r="GTH3" s="120"/>
      <c r="GTI3" s="120"/>
      <c r="GTJ3" s="120"/>
      <c r="GTK3" s="120"/>
      <c r="GTL3" s="120"/>
      <c r="GTM3" s="120"/>
      <c r="GTN3" s="120"/>
      <c r="GTO3" s="120"/>
      <c r="GTP3" s="120"/>
      <c r="GTQ3" s="120"/>
      <c r="GTR3" s="120"/>
      <c r="GTS3" s="120"/>
      <c r="GTT3" s="120"/>
      <c r="GTU3" s="120"/>
      <c r="GTV3" s="120"/>
      <c r="GTW3" s="120"/>
      <c r="GTX3" s="120"/>
      <c r="GTY3" s="120"/>
      <c r="GTZ3" s="120"/>
      <c r="GUA3" s="120"/>
      <c r="GUB3" s="120"/>
      <c r="GUC3" s="120"/>
      <c r="GUD3" s="120"/>
      <c r="GUE3" s="120"/>
      <c r="GUF3" s="120"/>
      <c r="GUG3" s="120"/>
      <c r="GUH3" s="120"/>
      <c r="GUI3" s="120"/>
      <c r="GUJ3" s="120"/>
      <c r="GUK3" s="120"/>
      <c r="GUL3" s="120"/>
      <c r="GUM3" s="120"/>
      <c r="GUN3" s="120"/>
      <c r="GUO3" s="120"/>
      <c r="GUP3" s="120"/>
      <c r="GUQ3" s="120"/>
      <c r="GUR3" s="120"/>
      <c r="GUS3" s="120"/>
      <c r="GUT3" s="120"/>
      <c r="GUU3" s="120"/>
      <c r="GUV3" s="120"/>
      <c r="GUW3" s="120"/>
      <c r="GUX3" s="120"/>
      <c r="GUY3" s="120"/>
      <c r="GUZ3" s="120"/>
      <c r="GVA3" s="120"/>
      <c r="GVB3" s="120"/>
      <c r="GVC3" s="120"/>
      <c r="GVD3" s="120"/>
      <c r="GVE3" s="120"/>
      <c r="GVF3" s="120"/>
      <c r="GVG3" s="120"/>
      <c r="GVH3" s="120"/>
      <c r="GVI3" s="120"/>
      <c r="GVJ3" s="120"/>
      <c r="GVK3" s="120"/>
      <c r="GVL3" s="120"/>
      <c r="GVM3" s="120"/>
      <c r="GVN3" s="120"/>
      <c r="GVO3" s="120"/>
      <c r="GVP3" s="120"/>
      <c r="GVQ3" s="120"/>
      <c r="GVR3" s="120"/>
      <c r="GVS3" s="120"/>
      <c r="GVT3" s="120"/>
      <c r="GVU3" s="120"/>
      <c r="GVV3" s="120"/>
      <c r="GVW3" s="120"/>
      <c r="GVX3" s="120"/>
      <c r="GVY3" s="120"/>
      <c r="GVZ3" s="120"/>
      <c r="GWA3" s="120"/>
      <c r="GWB3" s="120"/>
      <c r="GWC3" s="120"/>
      <c r="GWD3" s="120"/>
      <c r="GWE3" s="120"/>
      <c r="GWF3" s="120"/>
      <c r="GWG3" s="120"/>
      <c r="GWH3" s="120"/>
      <c r="GWI3" s="120"/>
      <c r="GWJ3" s="120"/>
      <c r="GWK3" s="120"/>
      <c r="GWL3" s="120"/>
      <c r="GWM3" s="120"/>
      <c r="GWN3" s="120"/>
      <c r="GWO3" s="120"/>
      <c r="GWP3" s="120"/>
      <c r="GWQ3" s="120"/>
      <c r="GWR3" s="120"/>
      <c r="GWS3" s="120"/>
      <c r="GWT3" s="120"/>
      <c r="GWU3" s="120"/>
      <c r="GWV3" s="120"/>
      <c r="GWW3" s="120"/>
      <c r="GWX3" s="120"/>
      <c r="GWY3" s="120"/>
      <c r="GWZ3" s="120"/>
      <c r="GXA3" s="120"/>
      <c r="GXB3" s="120"/>
      <c r="GXC3" s="120"/>
      <c r="GXD3" s="120"/>
      <c r="GXE3" s="120"/>
      <c r="GXF3" s="120"/>
      <c r="GXG3" s="120"/>
      <c r="GXH3" s="120"/>
      <c r="GXI3" s="120"/>
      <c r="GXJ3" s="120"/>
      <c r="GXK3" s="120"/>
      <c r="GXL3" s="120"/>
      <c r="GXM3" s="120"/>
      <c r="GXN3" s="120"/>
      <c r="GXO3" s="120"/>
      <c r="GXP3" s="120"/>
      <c r="GXQ3" s="120"/>
      <c r="GXR3" s="120"/>
      <c r="GXS3" s="120"/>
      <c r="GXT3" s="120"/>
      <c r="GXU3" s="120"/>
      <c r="GXV3" s="120"/>
      <c r="GXW3" s="120"/>
      <c r="GXX3" s="120"/>
      <c r="GXY3" s="120"/>
      <c r="GXZ3" s="120"/>
      <c r="GYA3" s="120"/>
      <c r="GYB3" s="120"/>
      <c r="GYC3" s="120"/>
      <c r="GYD3" s="120"/>
      <c r="GYE3" s="120"/>
      <c r="GYF3" s="120"/>
      <c r="GYG3" s="120"/>
      <c r="GYH3" s="120"/>
      <c r="GYI3" s="120"/>
      <c r="GYJ3" s="120"/>
      <c r="GYK3" s="120"/>
      <c r="GYL3" s="120"/>
      <c r="GYM3" s="120"/>
      <c r="GYN3" s="120"/>
      <c r="GYO3" s="120"/>
      <c r="GYP3" s="120"/>
      <c r="GYQ3" s="120"/>
      <c r="GYR3" s="120"/>
      <c r="GYS3" s="120"/>
      <c r="GYT3" s="120"/>
      <c r="GYU3" s="120"/>
      <c r="GYV3" s="120"/>
      <c r="GYW3" s="120"/>
      <c r="GYX3" s="120"/>
      <c r="GYY3" s="120"/>
      <c r="GYZ3" s="120"/>
      <c r="GZA3" s="120"/>
      <c r="GZB3" s="120"/>
      <c r="GZC3" s="120"/>
      <c r="GZD3" s="120"/>
      <c r="GZE3" s="120"/>
      <c r="GZF3" s="120"/>
      <c r="GZG3" s="120"/>
      <c r="GZH3" s="120"/>
      <c r="GZI3" s="120"/>
      <c r="GZJ3" s="120"/>
      <c r="GZK3" s="120"/>
      <c r="GZL3" s="120"/>
      <c r="GZM3" s="120"/>
      <c r="GZN3" s="120"/>
      <c r="GZO3" s="120"/>
      <c r="GZP3" s="120"/>
      <c r="GZQ3" s="120"/>
      <c r="GZR3" s="120"/>
      <c r="GZS3" s="120"/>
      <c r="GZT3" s="120"/>
      <c r="GZU3" s="120"/>
      <c r="GZV3" s="120"/>
      <c r="GZW3" s="120"/>
      <c r="GZX3" s="120"/>
      <c r="GZY3" s="120"/>
      <c r="GZZ3" s="120"/>
      <c r="HAA3" s="120"/>
      <c r="HAB3" s="120"/>
      <c r="HAC3" s="120"/>
      <c r="HAD3" s="120"/>
      <c r="HAE3" s="120"/>
      <c r="HAF3" s="120"/>
      <c r="HAG3" s="120"/>
      <c r="HAH3" s="120"/>
      <c r="HAI3" s="120"/>
      <c r="HAJ3" s="120"/>
      <c r="HAK3" s="120"/>
      <c r="HAL3" s="120"/>
      <c r="HAM3" s="120"/>
      <c r="HAN3" s="120"/>
      <c r="HAO3" s="120"/>
      <c r="HAP3" s="120"/>
      <c r="HAQ3" s="120"/>
      <c r="HAR3" s="120"/>
      <c r="HAS3" s="120"/>
      <c r="HAT3" s="120"/>
      <c r="HAU3" s="120"/>
      <c r="HAV3" s="120"/>
      <c r="HAW3" s="120"/>
      <c r="HAX3" s="120"/>
      <c r="HAY3" s="120"/>
      <c r="HAZ3" s="120"/>
      <c r="HBA3" s="120"/>
      <c r="HBB3" s="120"/>
      <c r="HBC3" s="120"/>
      <c r="HBD3" s="120"/>
      <c r="HBE3" s="120"/>
      <c r="HBF3" s="120"/>
      <c r="HBG3" s="120"/>
      <c r="HBH3" s="120"/>
      <c r="HBI3" s="120"/>
      <c r="HBJ3" s="120"/>
      <c r="HBK3" s="120"/>
      <c r="HBL3" s="120"/>
      <c r="HBM3" s="120"/>
      <c r="HBN3" s="120"/>
      <c r="HBO3" s="120"/>
      <c r="HBP3" s="120"/>
      <c r="HBQ3" s="120"/>
      <c r="HBR3" s="120"/>
      <c r="HBS3" s="120"/>
      <c r="HBT3" s="120"/>
      <c r="HBU3" s="120"/>
      <c r="HBV3" s="120"/>
      <c r="HBW3" s="120"/>
      <c r="HBX3" s="120"/>
      <c r="HBY3" s="120"/>
      <c r="HBZ3" s="120"/>
      <c r="HCA3" s="120"/>
      <c r="HCB3" s="120"/>
      <c r="HCC3" s="120"/>
      <c r="HCD3" s="120"/>
      <c r="HCE3" s="120"/>
      <c r="HCF3" s="120"/>
      <c r="HCG3" s="120"/>
      <c r="HCH3" s="120"/>
      <c r="HCI3" s="120"/>
      <c r="HCJ3" s="120"/>
      <c r="HCK3" s="120"/>
      <c r="HCL3" s="120"/>
      <c r="HCM3" s="120"/>
      <c r="HCN3" s="120"/>
      <c r="HCO3" s="120"/>
      <c r="HCP3" s="120"/>
      <c r="HCQ3" s="120"/>
      <c r="HCR3" s="120"/>
      <c r="HCS3" s="120"/>
      <c r="HCT3" s="120"/>
      <c r="HCU3" s="120"/>
      <c r="HCV3" s="120"/>
      <c r="HCW3" s="120"/>
      <c r="HCX3" s="120"/>
      <c r="HCY3" s="120"/>
      <c r="HCZ3" s="120"/>
      <c r="HDA3" s="120"/>
      <c r="HDB3" s="120"/>
      <c r="HDC3" s="120"/>
      <c r="HDD3" s="120"/>
      <c r="HDE3" s="120"/>
      <c r="HDF3" s="120"/>
      <c r="HDG3" s="120"/>
      <c r="HDH3" s="120"/>
      <c r="HDI3" s="120"/>
      <c r="HDJ3" s="120"/>
      <c r="HDK3" s="120"/>
      <c r="HDL3" s="120"/>
      <c r="HDM3" s="120"/>
      <c r="HDN3" s="120"/>
      <c r="HDO3" s="120"/>
      <c r="HDP3" s="120"/>
      <c r="HDQ3" s="120"/>
      <c r="HDR3" s="120"/>
      <c r="HDS3" s="120"/>
      <c r="HDT3" s="120"/>
      <c r="HDU3" s="120"/>
      <c r="HDV3" s="120"/>
      <c r="HDW3" s="120"/>
      <c r="HDX3" s="120"/>
      <c r="HDY3" s="120"/>
      <c r="HDZ3" s="120"/>
      <c r="HEA3" s="120"/>
      <c r="HEB3" s="120"/>
      <c r="HEC3" s="120"/>
      <c r="HED3" s="120"/>
      <c r="HEE3" s="120"/>
      <c r="HEF3" s="120"/>
      <c r="HEG3" s="120"/>
      <c r="HEH3" s="120"/>
      <c r="HEI3" s="120"/>
      <c r="HEJ3" s="120"/>
      <c r="HEK3" s="120"/>
      <c r="HEL3" s="120"/>
      <c r="HEM3" s="120"/>
      <c r="HEN3" s="120"/>
      <c r="HEO3" s="120"/>
      <c r="HEP3" s="120"/>
      <c r="HEQ3" s="120"/>
      <c r="HER3" s="120"/>
      <c r="HES3" s="120"/>
      <c r="HET3" s="120"/>
      <c r="HEU3" s="120"/>
      <c r="HEV3" s="120"/>
      <c r="HEW3" s="120"/>
      <c r="HEX3" s="120"/>
      <c r="HEY3" s="120"/>
      <c r="HEZ3" s="120"/>
      <c r="HFA3" s="120"/>
      <c r="HFB3" s="120"/>
      <c r="HFC3" s="120"/>
      <c r="HFD3" s="120"/>
      <c r="HFE3" s="120"/>
      <c r="HFF3" s="120"/>
      <c r="HFG3" s="120"/>
      <c r="HFH3" s="120"/>
      <c r="HFI3" s="120"/>
      <c r="HFJ3" s="120"/>
      <c r="HFK3" s="120"/>
      <c r="HFL3" s="120"/>
      <c r="HFM3" s="120"/>
      <c r="HFN3" s="120"/>
      <c r="HFO3" s="120"/>
      <c r="HFP3" s="120"/>
      <c r="HFQ3" s="120"/>
      <c r="HFR3" s="120"/>
      <c r="HFS3" s="120"/>
      <c r="HFT3" s="120"/>
      <c r="HFU3" s="120"/>
      <c r="HFV3" s="120"/>
      <c r="HFW3" s="120"/>
      <c r="HFX3" s="120"/>
      <c r="HFY3" s="120"/>
      <c r="HFZ3" s="120"/>
      <c r="HGA3" s="120"/>
      <c r="HGB3" s="120"/>
      <c r="HGC3" s="120"/>
      <c r="HGD3" s="120"/>
      <c r="HGE3" s="120"/>
      <c r="HGF3" s="120"/>
      <c r="HGG3" s="120"/>
      <c r="HGH3" s="120"/>
      <c r="HGI3" s="120"/>
      <c r="HGJ3" s="120"/>
      <c r="HGK3" s="120"/>
      <c r="HGL3" s="120"/>
      <c r="HGM3" s="120"/>
      <c r="HGN3" s="120"/>
      <c r="HGO3" s="120"/>
      <c r="HGP3" s="120"/>
      <c r="HGQ3" s="120"/>
      <c r="HGR3" s="120"/>
      <c r="HGS3" s="120"/>
      <c r="HGT3" s="120"/>
      <c r="HGU3" s="120"/>
      <c r="HGV3" s="120"/>
      <c r="HGW3" s="120"/>
      <c r="HGX3" s="120"/>
      <c r="HGY3" s="120"/>
      <c r="HGZ3" s="120"/>
      <c r="HHA3" s="120"/>
      <c r="HHB3" s="120"/>
      <c r="HHC3" s="120"/>
      <c r="HHD3" s="120"/>
      <c r="HHE3" s="120"/>
      <c r="HHF3" s="120"/>
      <c r="HHG3" s="120"/>
      <c r="HHH3" s="120"/>
      <c r="HHI3" s="120"/>
      <c r="HHJ3" s="120"/>
      <c r="HHK3" s="120"/>
      <c r="HHL3" s="120"/>
      <c r="HHM3" s="120"/>
      <c r="HHN3" s="120"/>
      <c r="HHO3" s="120"/>
      <c r="HHP3" s="120"/>
      <c r="HHQ3" s="120"/>
      <c r="HHR3" s="120"/>
      <c r="HHS3" s="120"/>
      <c r="HHT3" s="120"/>
      <c r="HHU3" s="120"/>
      <c r="HHV3" s="120"/>
      <c r="HHW3" s="120"/>
      <c r="HHX3" s="120"/>
      <c r="HHY3" s="120"/>
      <c r="HHZ3" s="120"/>
      <c r="HIA3" s="120"/>
      <c r="HIB3" s="120"/>
      <c r="HIC3" s="120"/>
      <c r="HID3" s="120"/>
      <c r="HIE3" s="120"/>
      <c r="HIF3" s="120"/>
      <c r="HIG3" s="120"/>
      <c r="HIH3" s="120"/>
      <c r="HII3" s="120"/>
      <c r="HIJ3" s="120"/>
      <c r="HIK3" s="120"/>
      <c r="HIL3" s="120"/>
      <c r="HIM3" s="120"/>
      <c r="HIN3" s="120"/>
      <c r="HIO3" s="120"/>
      <c r="HIP3" s="120"/>
      <c r="HIQ3" s="120"/>
      <c r="HIR3" s="120"/>
      <c r="HIS3" s="120"/>
      <c r="HIT3" s="120"/>
      <c r="HIU3" s="120"/>
      <c r="HIV3" s="120"/>
      <c r="HIW3" s="120"/>
      <c r="HIX3" s="120"/>
      <c r="HIY3" s="120"/>
      <c r="HIZ3" s="120"/>
      <c r="HJA3" s="120"/>
      <c r="HJB3" s="120"/>
      <c r="HJC3" s="120"/>
      <c r="HJD3" s="120"/>
      <c r="HJE3" s="120"/>
      <c r="HJF3" s="120"/>
      <c r="HJG3" s="120"/>
      <c r="HJH3" s="120"/>
      <c r="HJI3" s="120"/>
      <c r="HJJ3" s="120"/>
      <c r="HJK3" s="120"/>
      <c r="HJL3" s="120"/>
      <c r="HJM3" s="120"/>
      <c r="HJN3" s="120"/>
      <c r="HJO3" s="120"/>
      <c r="HJP3" s="120"/>
      <c r="HJQ3" s="120"/>
      <c r="HJR3" s="120"/>
      <c r="HJS3" s="120"/>
      <c r="HJT3" s="120"/>
      <c r="HJU3" s="120"/>
      <c r="HJV3" s="120"/>
      <c r="HJW3" s="120"/>
      <c r="HJX3" s="120"/>
      <c r="HJY3" s="120"/>
      <c r="HJZ3" s="120"/>
      <c r="HKA3" s="120"/>
      <c r="HKB3" s="120"/>
      <c r="HKC3" s="120"/>
      <c r="HKD3" s="120"/>
      <c r="HKE3" s="120"/>
      <c r="HKF3" s="120"/>
      <c r="HKG3" s="120"/>
      <c r="HKH3" s="120"/>
      <c r="HKI3" s="120"/>
      <c r="HKJ3" s="120"/>
      <c r="HKK3" s="120"/>
      <c r="HKL3" s="120"/>
      <c r="HKM3" s="120"/>
      <c r="HKN3" s="120"/>
      <c r="HKO3" s="120"/>
      <c r="HKP3" s="120"/>
      <c r="HKQ3" s="120"/>
      <c r="HKR3" s="120"/>
      <c r="HKS3" s="120"/>
      <c r="HKT3" s="120"/>
      <c r="HKU3" s="120"/>
      <c r="HKV3" s="120"/>
      <c r="HKW3" s="120"/>
      <c r="HKX3" s="120"/>
      <c r="HKY3" s="120"/>
      <c r="HKZ3" s="120"/>
      <c r="HLA3" s="120"/>
      <c r="HLB3" s="120"/>
      <c r="HLC3" s="120"/>
      <c r="HLD3" s="120"/>
      <c r="HLE3" s="120"/>
      <c r="HLF3" s="120"/>
      <c r="HLG3" s="120"/>
      <c r="HLH3" s="120"/>
      <c r="HLI3" s="120"/>
      <c r="HLJ3" s="120"/>
      <c r="HLK3" s="120"/>
      <c r="HLL3" s="120"/>
      <c r="HLM3" s="120"/>
      <c r="HLN3" s="120"/>
      <c r="HLO3" s="120"/>
      <c r="HLP3" s="120"/>
      <c r="HLQ3" s="120"/>
      <c r="HLR3" s="120"/>
      <c r="HLS3" s="120"/>
      <c r="HLT3" s="120"/>
      <c r="HLU3" s="120"/>
      <c r="HLV3" s="120"/>
      <c r="HLW3" s="120"/>
      <c r="HLX3" s="120"/>
      <c r="HLY3" s="120"/>
      <c r="HLZ3" s="120"/>
      <c r="HMA3" s="120"/>
      <c r="HMB3" s="120"/>
      <c r="HMC3" s="120"/>
      <c r="HMD3" s="120"/>
      <c r="HME3" s="120"/>
      <c r="HMF3" s="120"/>
      <c r="HMG3" s="120"/>
      <c r="HMH3" s="120"/>
      <c r="HMI3" s="120"/>
      <c r="HMJ3" s="120"/>
      <c r="HMK3" s="120"/>
      <c r="HML3" s="120"/>
      <c r="HMM3" s="120"/>
      <c r="HMN3" s="120"/>
      <c r="HMO3" s="120"/>
      <c r="HMP3" s="120"/>
      <c r="HMQ3" s="120"/>
      <c r="HMR3" s="120"/>
      <c r="HMS3" s="120"/>
      <c r="HMT3" s="120"/>
      <c r="HMU3" s="120"/>
      <c r="HMV3" s="120"/>
      <c r="HMW3" s="120"/>
      <c r="HMX3" s="120"/>
      <c r="HMY3" s="120"/>
      <c r="HMZ3" s="120"/>
      <c r="HNA3" s="120"/>
      <c r="HNB3" s="120"/>
      <c r="HNC3" s="120"/>
      <c r="HND3" s="120"/>
      <c r="HNE3" s="120"/>
      <c r="HNF3" s="120"/>
      <c r="HNG3" s="120"/>
      <c r="HNH3" s="120"/>
      <c r="HNI3" s="120"/>
      <c r="HNJ3" s="120"/>
      <c r="HNK3" s="120"/>
      <c r="HNL3" s="120"/>
      <c r="HNM3" s="120"/>
      <c r="HNN3" s="120"/>
      <c r="HNO3" s="120"/>
      <c r="HNP3" s="120"/>
      <c r="HNQ3" s="120"/>
      <c r="HNR3" s="120"/>
      <c r="HNS3" s="120"/>
      <c r="HNT3" s="120"/>
      <c r="HNU3" s="120"/>
      <c r="HNV3" s="120"/>
      <c r="HNW3" s="120"/>
      <c r="HNX3" s="120"/>
      <c r="HNY3" s="120"/>
      <c r="HNZ3" s="120"/>
      <c r="HOA3" s="120"/>
      <c r="HOB3" s="120"/>
      <c r="HOC3" s="120"/>
      <c r="HOD3" s="120"/>
      <c r="HOE3" s="120"/>
      <c r="HOF3" s="120"/>
      <c r="HOG3" s="120"/>
      <c r="HOH3" s="120"/>
      <c r="HOI3" s="120"/>
      <c r="HOJ3" s="120"/>
      <c r="HOK3" s="120"/>
      <c r="HOL3" s="120"/>
      <c r="HOM3" s="120"/>
      <c r="HON3" s="120"/>
      <c r="HOO3" s="120"/>
      <c r="HOP3" s="120"/>
      <c r="HOQ3" s="120"/>
      <c r="HOR3" s="120"/>
      <c r="HOS3" s="120"/>
      <c r="HOT3" s="120"/>
      <c r="HOU3" s="120"/>
      <c r="HOV3" s="120"/>
      <c r="HOW3" s="120"/>
      <c r="HOX3" s="120"/>
      <c r="HOY3" s="120"/>
      <c r="HOZ3" s="120"/>
      <c r="HPA3" s="120"/>
      <c r="HPB3" s="120"/>
      <c r="HPC3" s="120"/>
      <c r="HPD3" s="120"/>
      <c r="HPE3" s="120"/>
      <c r="HPF3" s="120"/>
      <c r="HPG3" s="120"/>
      <c r="HPH3" s="120"/>
      <c r="HPI3" s="120"/>
      <c r="HPJ3" s="120"/>
      <c r="HPK3" s="120"/>
      <c r="HPL3" s="120"/>
      <c r="HPM3" s="120"/>
      <c r="HPN3" s="120"/>
      <c r="HPO3" s="120"/>
      <c r="HPP3" s="120"/>
      <c r="HPQ3" s="120"/>
      <c r="HPR3" s="120"/>
      <c r="HPS3" s="120"/>
      <c r="HPT3" s="120"/>
      <c r="HPU3" s="120"/>
      <c r="HPV3" s="120"/>
      <c r="HPW3" s="120"/>
      <c r="HPX3" s="120"/>
      <c r="HPY3" s="120"/>
      <c r="HPZ3" s="120"/>
      <c r="HQA3" s="120"/>
      <c r="HQB3" s="120"/>
      <c r="HQC3" s="120"/>
      <c r="HQD3" s="120"/>
      <c r="HQE3" s="120"/>
      <c r="HQF3" s="120"/>
      <c r="HQG3" s="120"/>
      <c r="HQH3" s="120"/>
      <c r="HQI3" s="120"/>
      <c r="HQJ3" s="120"/>
      <c r="HQK3" s="120"/>
      <c r="HQL3" s="120"/>
      <c r="HQM3" s="120"/>
      <c r="HQN3" s="120"/>
      <c r="HQO3" s="120"/>
      <c r="HQP3" s="120"/>
      <c r="HQQ3" s="120"/>
      <c r="HQR3" s="120"/>
      <c r="HQS3" s="120"/>
      <c r="HQT3" s="120"/>
      <c r="HQU3" s="120"/>
      <c r="HQV3" s="120"/>
      <c r="HQW3" s="120"/>
      <c r="HQX3" s="120"/>
      <c r="HQY3" s="120"/>
      <c r="HQZ3" s="120"/>
      <c r="HRA3" s="120"/>
      <c r="HRB3" s="120"/>
      <c r="HRC3" s="120"/>
      <c r="HRD3" s="120"/>
      <c r="HRE3" s="120"/>
      <c r="HRF3" s="120"/>
      <c r="HRG3" s="120"/>
      <c r="HRH3" s="120"/>
      <c r="HRI3" s="120"/>
      <c r="HRJ3" s="120"/>
      <c r="HRK3" s="120"/>
      <c r="HRL3" s="120"/>
      <c r="HRM3" s="120"/>
      <c r="HRN3" s="120"/>
      <c r="HRO3" s="120"/>
      <c r="HRP3" s="120"/>
      <c r="HRQ3" s="120"/>
      <c r="HRR3" s="120"/>
      <c r="HRS3" s="120"/>
      <c r="HRT3" s="120"/>
      <c r="HRU3" s="120"/>
      <c r="HRV3" s="120"/>
      <c r="HRW3" s="120"/>
      <c r="HRX3" s="120"/>
      <c r="HRY3" s="120"/>
      <c r="HRZ3" s="120"/>
      <c r="HSA3" s="120"/>
      <c r="HSB3" s="120"/>
      <c r="HSC3" s="120"/>
      <c r="HSD3" s="120"/>
      <c r="HSE3" s="120"/>
      <c r="HSF3" s="120"/>
      <c r="HSG3" s="120"/>
      <c r="HSH3" s="120"/>
      <c r="HSI3" s="120"/>
      <c r="HSJ3" s="120"/>
      <c r="HSK3" s="120"/>
      <c r="HSL3" s="120"/>
      <c r="HSM3" s="120"/>
      <c r="HSN3" s="120"/>
      <c r="HSO3" s="120"/>
      <c r="HSP3" s="120"/>
      <c r="HSQ3" s="120"/>
      <c r="HSR3" s="120"/>
      <c r="HSS3" s="120"/>
      <c r="HST3" s="120"/>
      <c r="HSU3" s="120"/>
      <c r="HSV3" s="120"/>
      <c r="HSW3" s="120"/>
      <c r="HSX3" s="120"/>
      <c r="HSY3" s="120"/>
      <c r="HSZ3" s="120"/>
      <c r="HTA3" s="120"/>
      <c r="HTB3" s="120"/>
      <c r="HTC3" s="120"/>
      <c r="HTD3" s="120"/>
      <c r="HTE3" s="120"/>
      <c r="HTF3" s="120"/>
      <c r="HTG3" s="120"/>
      <c r="HTH3" s="120"/>
      <c r="HTI3" s="120"/>
      <c r="HTJ3" s="120"/>
      <c r="HTK3" s="120"/>
      <c r="HTL3" s="120"/>
      <c r="HTM3" s="120"/>
      <c r="HTN3" s="120"/>
      <c r="HTO3" s="120"/>
      <c r="HTP3" s="120"/>
      <c r="HTQ3" s="120"/>
      <c r="HTR3" s="120"/>
      <c r="HTS3" s="120"/>
      <c r="HTT3" s="120"/>
      <c r="HTU3" s="120"/>
      <c r="HTV3" s="120"/>
      <c r="HTW3" s="120"/>
      <c r="HTX3" s="120"/>
      <c r="HTY3" s="120"/>
      <c r="HTZ3" s="120"/>
      <c r="HUA3" s="120"/>
      <c r="HUB3" s="120"/>
      <c r="HUC3" s="120"/>
      <c r="HUD3" s="120"/>
      <c r="HUE3" s="120"/>
      <c r="HUF3" s="120"/>
      <c r="HUG3" s="120"/>
      <c r="HUH3" s="120"/>
      <c r="HUI3" s="120"/>
      <c r="HUJ3" s="120"/>
      <c r="HUK3" s="120"/>
      <c r="HUL3" s="120"/>
      <c r="HUM3" s="120"/>
      <c r="HUN3" s="120"/>
      <c r="HUO3" s="120"/>
      <c r="HUP3" s="120"/>
      <c r="HUQ3" s="120"/>
      <c r="HUR3" s="120"/>
      <c r="HUS3" s="120"/>
      <c r="HUT3" s="120"/>
      <c r="HUU3" s="120"/>
      <c r="HUV3" s="120"/>
      <c r="HUW3" s="120"/>
      <c r="HUX3" s="120"/>
      <c r="HUY3" s="120"/>
      <c r="HUZ3" s="120"/>
      <c r="HVA3" s="120"/>
      <c r="HVB3" s="120"/>
      <c r="HVC3" s="120"/>
      <c r="HVD3" s="120"/>
      <c r="HVE3" s="120"/>
      <c r="HVF3" s="120"/>
      <c r="HVG3" s="120"/>
      <c r="HVH3" s="120"/>
      <c r="HVI3" s="120"/>
      <c r="HVJ3" s="120"/>
      <c r="HVK3" s="120"/>
      <c r="HVL3" s="120"/>
      <c r="HVM3" s="120"/>
      <c r="HVN3" s="120"/>
      <c r="HVO3" s="120"/>
      <c r="HVP3" s="120"/>
      <c r="HVQ3" s="120"/>
      <c r="HVR3" s="120"/>
      <c r="HVS3" s="120"/>
      <c r="HVT3" s="120"/>
      <c r="HVU3" s="120"/>
      <c r="HVV3" s="120"/>
      <c r="HVW3" s="120"/>
      <c r="HVX3" s="120"/>
      <c r="HVY3" s="120"/>
      <c r="HVZ3" s="120"/>
      <c r="HWA3" s="120"/>
      <c r="HWB3" s="120"/>
      <c r="HWC3" s="120"/>
      <c r="HWD3" s="120"/>
      <c r="HWE3" s="120"/>
      <c r="HWF3" s="120"/>
      <c r="HWG3" s="120"/>
      <c r="HWH3" s="120"/>
      <c r="HWI3" s="120"/>
      <c r="HWJ3" s="120"/>
      <c r="HWK3" s="120"/>
      <c r="HWL3" s="120"/>
      <c r="HWM3" s="120"/>
      <c r="HWN3" s="120"/>
      <c r="HWO3" s="120"/>
      <c r="HWP3" s="120"/>
      <c r="HWQ3" s="120"/>
      <c r="HWR3" s="120"/>
      <c r="HWS3" s="120"/>
      <c r="HWT3" s="120"/>
      <c r="HWU3" s="120"/>
      <c r="HWV3" s="120"/>
      <c r="HWW3" s="120"/>
      <c r="HWX3" s="120"/>
      <c r="HWY3" s="120"/>
      <c r="HWZ3" s="120"/>
      <c r="HXA3" s="120"/>
      <c r="HXB3" s="120"/>
      <c r="HXC3" s="120"/>
      <c r="HXD3" s="120"/>
      <c r="HXE3" s="120"/>
      <c r="HXF3" s="120"/>
      <c r="HXG3" s="120"/>
      <c r="HXH3" s="120"/>
      <c r="HXI3" s="120"/>
      <c r="HXJ3" s="120"/>
      <c r="HXK3" s="120"/>
      <c r="HXL3" s="120"/>
      <c r="HXM3" s="120"/>
      <c r="HXN3" s="120"/>
      <c r="HXO3" s="120"/>
      <c r="HXP3" s="120"/>
      <c r="HXQ3" s="120"/>
      <c r="HXR3" s="120"/>
      <c r="HXS3" s="120"/>
      <c r="HXT3" s="120"/>
      <c r="HXU3" s="120"/>
      <c r="HXV3" s="120"/>
      <c r="HXW3" s="120"/>
      <c r="HXX3" s="120"/>
      <c r="HXY3" s="120"/>
      <c r="HXZ3" s="120"/>
      <c r="HYA3" s="120"/>
      <c r="HYB3" s="120"/>
      <c r="HYC3" s="120"/>
      <c r="HYD3" s="120"/>
      <c r="HYE3" s="120"/>
      <c r="HYF3" s="120"/>
      <c r="HYG3" s="120"/>
      <c r="HYH3" s="120"/>
      <c r="HYI3" s="120"/>
      <c r="HYJ3" s="120"/>
      <c r="HYK3" s="120"/>
      <c r="HYL3" s="120"/>
      <c r="HYM3" s="120"/>
      <c r="HYN3" s="120"/>
      <c r="HYO3" s="120"/>
      <c r="HYP3" s="120"/>
      <c r="HYQ3" s="120"/>
      <c r="HYR3" s="120"/>
      <c r="HYS3" s="120"/>
      <c r="HYT3" s="120"/>
      <c r="HYU3" s="120"/>
      <c r="HYV3" s="120"/>
      <c r="HYW3" s="120"/>
      <c r="HYX3" s="120"/>
      <c r="HYY3" s="120"/>
      <c r="HYZ3" s="120"/>
      <c r="HZA3" s="120"/>
      <c r="HZB3" s="120"/>
      <c r="HZC3" s="120"/>
      <c r="HZD3" s="120"/>
      <c r="HZE3" s="120"/>
      <c r="HZF3" s="120"/>
      <c r="HZG3" s="120"/>
      <c r="HZH3" s="120"/>
      <c r="HZI3" s="120"/>
      <c r="HZJ3" s="120"/>
      <c r="HZK3" s="120"/>
      <c r="HZL3" s="120"/>
      <c r="HZM3" s="120"/>
      <c r="HZN3" s="120"/>
      <c r="HZO3" s="120"/>
      <c r="HZP3" s="120"/>
      <c r="HZQ3" s="120"/>
      <c r="HZR3" s="120"/>
      <c r="HZS3" s="120"/>
      <c r="HZT3" s="120"/>
      <c r="HZU3" s="120"/>
      <c r="HZV3" s="120"/>
      <c r="HZW3" s="120"/>
      <c r="HZX3" s="120"/>
      <c r="HZY3" s="120"/>
      <c r="HZZ3" s="120"/>
      <c r="IAA3" s="120"/>
      <c r="IAB3" s="120"/>
      <c r="IAC3" s="120"/>
      <c r="IAD3" s="120"/>
      <c r="IAE3" s="120"/>
      <c r="IAF3" s="120"/>
      <c r="IAG3" s="120"/>
      <c r="IAH3" s="120"/>
      <c r="IAI3" s="120"/>
      <c r="IAJ3" s="120"/>
      <c r="IAK3" s="120"/>
      <c r="IAL3" s="120"/>
      <c r="IAM3" s="120"/>
      <c r="IAN3" s="120"/>
      <c r="IAO3" s="120"/>
      <c r="IAP3" s="120"/>
      <c r="IAQ3" s="120"/>
      <c r="IAR3" s="120"/>
      <c r="IAS3" s="120"/>
      <c r="IAT3" s="120"/>
      <c r="IAU3" s="120"/>
      <c r="IAV3" s="120"/>
      <c r="IAW3" s="120"/>
      <c r="IAX3" s="120"/>
      <c r="IAY3" s="120"/>
      <c r="IAZ3" s="120"/>
      <c r="IBA3" s="120"/>
      <c r="IBB3" s="120"/>
      <c r="IBC3" s="120"/>
      <c r="IBD3" s="120"/>
      <c r="IBE3" s="120"/>
      <c r="IBF3" s="120"/>
      <c r="IBG3" s="120"/>
      <c r="IBH3" s="120"/>
      <c r="IBI3" s="120"/>
      <c r="IBJ3" s="120"/>
      <c r="IBK3" s="120"/>
      <c r="IBL3" s="120"/>
      <c r="IBM3" s="120"/>
      <c r="IBN3" s="120"/>
      <c r="IBO3" s="120"/>
      <c r="IBP3" s="120"/>
      <c r="IBQ3" s="120"/>
      <c r="IBR3" s="120"/>
      <c r="IBS3" s="120"/>
      <c r="IBT3" s="120"/>
      <c r="IBU3" s="120"/>
      <c r="IBV3" s="120"/>
      <c r="IBW3" s="120"/>
      <c r="IBX3" s="120"/>
      <c r="IBY3" s="120"/>
      <c r="IBZ3" s="120"/>
      <c r="ICA3" s="120"/>
      <c r="ICB3" s="120"/>
      <c r="ICC3" s="120"/>
      <c r="ICD3" s="120"/>
      <c r="ICE3" s="120"/>
      <c r="ICF3" s="120"/>
      <c r="ICG3" s="120"/>
      <c r="ICH3" s="120"/>
      <c r="ICI3" s="120"/>
      <c r="ICJ3" s="120"/>
      <c r="ICK3" s="120"/>
      <c r="ICL3" s="120"/>
      <c r="ICM3" s="120"/>
      <c r="ICN3" s="120"/>
      <c r="ICO3" s="120"/>
      <c r="ICP3" s="120"/>
      <c r="ICQ3" s="120"/>
      <c r="ICR3" s="120"/>
      <c r="ICS3" s="120"/>
      <c r="ICT3" s="120"/>
      <c r="ICU3" s="120"/>
      <c r="ICV3" s="120"/>
      <c r="ICW3" s="120"/>
      <c r="ICX3" s="120"/>
      <c r="ICY3" s="120"/>
      <c r="ICZ3" s="120"/>
      <c r="IDA3" s="120"/>
      <c r="IDB3" s="120"/>
      <c r="IDC3" s="120"/>
      <c r="IDD3" s="120"/>
      <c r="IDE3" s="120"/>
      <c r="IDF3" s="120"/>
      <c r="IDG3" s="120"/>
      <c r="IDH3" s="120"/>
      <c r="IDI3" s="120"/>
      <c r="IDJ3" s="120"/>
      <c r="IDK3" s="120"/>
      <c r="IDL3" s="120"/>
      <c r="IDM3" s="120"/>
      <c r="IDN3" s="120"/>
      <c r="IDO3" s="120"/>
      <c r="IDP3" s="120"/>
      <c r="IDQ3" s="120"/>
      <c r="IDR3" s="120"/>
      <c r="IDS3" s="120"/>
      <c r="IDT3" s="120"/>
      <c r="IDU3" s="120"/>
      <c r="IDV3" s="120"/>
      <c r="IDW3" s="120"/>
      <c r="IDX3" s="120"/>
      <c r="IDY3" s="120"/>
      <c r="IDZ3" s="120"/>
      <c r="IEA3" s="120"/>
      <c r="IEB3" s="120"/>
      <c r="IEC3" s="120"/>
      <c r="IED3" s="120"/>
      <c r="IEE3" s="120"/>
      <c r="IEF3" s="120"/>
      <c r="IEG3" s="120"/>
      <c r="IEH3" s="120"/>
      <c r="IEI3" s="120"/>
      <c r="IEJ3" s="120"/>
      <c r="IEK3" s="120"/>
      <c r="IEL3" s="120"/>
      <c r="IEM3" s="120"/>
      <c r="IEN3" s="120"/>
      <c r="IEO3" s="120"/>
      <c r="IEP3" s="120"/>
      <c r="IEQ3" s="120"/>
      <c r="IER3" s="120"/>
      <c r="IES3" s="120"/>
      <c r="IET3" s="120"/>
      <c r="IEU3" s="120"/>
      <c r="IEV3" s="120"/>
      <c r="IEW3" s="120"/>
      <c r="IEX3" s="120"/>
      <c r="IEY3" s="120"/>
      <c r="IEZ3" s="120"/>
      <c r="IFA3" s="120"/>
      <c r="IFB3" s="120"/>
      <c r="IFC3" s="120"/>
      <c r="IFD3" s="120"/>
      <c r="IFE3" s="120"/>
      <c r="IFF3" s="120"/>
      <c r="IFG3" s="120"/>
      <c r="IFH3" s="120"/>
      <c r="IFI3" s="120"/>
      <c r="IFJ3" s="120"/>
      <c r="IFK3" s="120"/>
      <c r="IFL3" s="120"/>
      <c r="IFM3" s="120"/>
      <c r="IFN3" s="120"/>
      <c r="IFO3" s="120"/>
      <c r="IFP3" s="120"/>
      <c r="IFQ3" s="120"/>
      <c r="IFR3" s="120"/>
      <c r="IFS3" s="120"/>
      <c r="IFT3" s="120"/>
      <c r="IFU3" s="120"/>
      <c r="IFV3" s="120"/>
      <c r="IFW3" s="120"/>
      <c r="IFX3" s="120"/>
      <c r="IFY3" s="120"/>
      <c r="IFZ3" s="120"/>
      <c r="IGA3" s="120"/>
      <c r="IGB3" s="120"/>
      <c r="IGC3" s="120"/>
      <c r="IGD3" s="120"/>
      <c r="IGE3" s="120"/>
      <c r="IGF3" s="120"/>
      <c r="IGG3" s="120"/>
      <c r="IGH3" s="120"/>
      <c r="IGI3" s="120"/>
      <c r="IGJ3" s="120"/>
      <c r="IGK3" s="120"/>
      <c r="IGL3" s="120"/>
      <c r="IGM3" s="120"/>
      <c r="IGN3" s="120"/>
      <c r="IGO3" s="120"/>
      <c r="IGP3" s="120"/>
      <c r="IGQ3" s="120"/>
      <c r="IGR3" s="120"/>
      <c r="IGS3" s="120"/>
      <c r="IGT3" s="120"/>
      <c r="IGU3" s="120"/>
      <c r="IGV3" s="120"/>
      <c r="IGW3" s="120"/>
      <c r="IGX3" s="120"/>
      <c r="IGY3" s="120"/>
      <c r="IGZ3" s="120"/>
      <c r="IHA3" s="120"/>
      <c r="IHB3" s="120"/>
      <c r="IHC3" s="120"/>
      <c r="IHD3" s="120"/>
      <c r="IHE3" s="120"/>
      <c r="IHF3" s="120"/>
      <c r="IHG3" s="120"/>
      <c r="IHH3" s="120"/>
      <c r="IHI3" s="120"/>
      <c r="IHJ3" s="120"/>
      <c r="IHK3" s="120"/>
      <c r="IHL3" s="120"/>
      <c r="IHM3" s="120"/>
      <c r="IHN3" s="120"/>
      <c r="IHO3" s="120"/>
      <c r="IHP3" s="120"/>
      <c r="IHQ3" s="120"/>
      <c r="IHR3" s="120"/>
      <c r="IHS3" s="120"/>
      <c r="IHT3" s="120"/>
      <c r="IHU3" s="120"/>
      <c r="IHV3" s="120"/>
      <c r="IHW3" s="120"/>
      <c r="IHX3" s="120"/>
      <c r="IHY3" s="120"/>
      <c r="IHZ3" s="120"/>
      <c r="IIA3" s="120"/>
      <c r="IIB3" s="120"/>
      <c r="IIC3" s="120"/>
      <c r="IID3" s="120"/>
      <c r="IIE3" s="120"/>
      <c r="IIF3" s="120"/>
      <c r="IIG3" s="120"/>
      <c r="IIH3" s="120"/>
      <c r="III3" s="120"/>
      <c r="IIJ3" s="120"/>
      <c r="IIK3" s="120"/>
      <c r="IIL3" s="120"/>
      <c r="IIM3" s="120"/>
      <c r="IIN3" s="120"/>
      <c r="IIO3" s="120"/>
      <c r="IIP3" s="120"/>
      <c r="IIQ3" s="120"/>
      <c r="IIR3" s="120"/>
      <c r="IIS3" s="120"/>
      <c r="IIT3" s="120"/>
      <c r="IIU3" s="120"/>
      <c r="IIV3" s="120"/>
      <c r="IIW3" s="120"/>
      <c r="IIX3" s="120"/>
      <c r="IIY3" s="120"/>
      <c r="IIZ3" s="120"/>
      <c r="IJA3" s="120"/>
      <c r="IJB3" s="120"/>
      <c r="IJC3" s="120"/>
      <c r="IJD3" s="120"/>
      <c r="IJE3" s="120"/>
      <c r="IJF3" s="120"/>
      <c r="IJG3" s="120"/>
      <c r="IJH3" s="120"/>
      <c r="IJI3" s="120"/>
      <c r="IJJ3" s="120"/>
      <c r="IJK3" s="120"/>
      <c r="IJL3" s="120"/>
      <c r="IJM3" s="120"/>
      <c r="IJN3" s="120"/>
      <c r="IJO3" s="120"/>
      <c r="IJP3" s="120"/>
      <c r="IJQ3" s="120"/>
      <c r="IJR3" s="120"/>
      <c r="IJS3" s="120"/>
      <c r="IJT3" s="120"/>
      <c r="IJU3" s="120"/>
      <c r="IJV3" s="120"/>
      <c r="IJW3" s="120"/>
      <c r="IJX3" s="120"/>
      <c r="IJY3" s="120"/>
      <c r="IJZ3" s="120"/>
      <c r="IKA3" s="120"/>
      <c r="IKB3" s="120"/>
      <c r="IKC3" s="120"/>
      <c r="IKD3" s="120"/>
      <c r="IKE3" s="120"/>
      <c r="IKF3" s="120"/>
      <c r="IKG3" s="120"/>
      <c r="IKH3" s="120"/>
      <c r="IKI3" s="120"/>
      <c r="IKJ3" s="120"/>
      <c r="IKK3" s="120"/>
      <c r="IKL3" s="120"/>
      <c r="IKM3" s="120"/>
      <c r="IKN3" s="120"/>
      <c r="IKO3" s="120"/>
      <c r="IKP3" s="120"/>
      <c r="IKQ3" s="120"/>
      <c r="IKR3" s="120"/>
      <c r="IKS3" s="120"/>
      <c r="IKT3" s="120"/>
      <c r="IKU3" s="120"/>
      <c r="IKV3" s="120"/>
      <c r="IKW3" s="120"/>
      <c r="IKX3" s="120"/>
      <c r="IKY3" s="120"/>
      <c r="IKZ3" s="120"/>
      <c r="ILA3" s="120"/>
      <c r="ILB3" s="120"/>
      <c r="ILC3" s="120"/>
      <c r="ILD3" s="120"/>
      <c r="ILE3" s="120"/>
      <c r="ILF3" s="120"/>
      <c r="ILG3" s="120"/>
      <c r="ILH3" s="120"/>
      <c r="ILI3" s="120"/>
      <c r="ILJ3" s="120"/>
      <c r="ILK3" s="120"/>
      <c r="ILL3" s="120"/>
      <c r="ILM3" s="120"/>
      <c r="ILN3" s="120"/>
      <c r="ILO3" s="120"/>
      <c r="ILP3" s="120"/>
      <c r="ILQ3" s="120"/>
      <c r="ILR3" s="120"/>
      <c r="ILS3" s="120"/>
      <c r="ILT3" s="120"/>
      <c r="ILU3" s="120"/>
      <c r="ILV3" s="120"/>
      <c r="ILW3" s="120"/>
      <c r="ILX3" s="120"/>
      <c r="ILY3" s="120"/>
      <c r="ILZ3" s="120"/>
      <c r="IMA3" s="120"/>
      <c r="IMB3" s="120"/>
      <c r="IMC3" s="120"/>
      <c r="IMD3" s="120"/>
      <c r="IME3" s="120"/>
      <c r="IMF3" s="120"/>
      <c r="IMG3" s="120"/>
      <c r="IMH3" s="120"/>
      <c r="IMI3" s="120"/>
      <c r="IMJ3" s="120"/>
      <c r="IMK3" s="120"/>
      <c r="IML3" s="120"/>
      <c r="IMM3" s="120"/>
      <c r="IMN3" s="120"/>
      <c r="IMO3" s="120"/>
      <c r="IMP3" s="120"/>
      <c r="IMQ3" s="120"/>
      <c r="IMR3" s="120"/>
      <c r="IMS3" s="120"/>
      <c r="IMT3" s="120"/>
      <c r="IMU3" s="120"/>
      <c r="IMV3" s="120"/>
      <c r="IMW3" s="120"/>
      <c r="IMX3" s="120"/>
      <c r="IMY3" s="120"/>
      <c r="IMZ3" s="120"/>
      <c r="INA3" s="120"/>
      <c r="INB3" s="120"/>
      <c r="INC3" s="120"/>
      <c r="IND3" s="120"/>
      <c r="INE3" s="120"/>
      <c r="INF3" s="120"/>
      <c r="ING3" s="120"/>
      <c r="INH3" s="120"/>
      <c r="INI3" s="120"/>
      <c r="INJ3" s="120"/>
      <c r="INK3" s="120"/>
      <c r="INL3" s="120"/>
      <c r="INM3" s="120"/>
      <c r="INN3" s="120"/>
      <c r="INO3" s="120"/>
      <c r="INP3" s="120"/>
      <c r="INQ3" s="120"/>
      <c r="INR3" s="120"/>
      <c r="INS3" s="120"/>
      <c r="INT3" s="120"/>
      <c r="INU3" s="120"/>
      <c r="INV3" s="120"/>
      <c r="INW3" s="120"/>
      <c r="INX3" s="120"/>
      <c r="INY3" s="120"/>
      <c r="INZ3" s="120"/>
      <c r="IOA3" s="120"/>
      <c r="IOB3" s="120"/>
      <c r="IOC3" s="120"/>
      <c r="IOD3" s="120"/>
      <c r="IOE3" s="120"/>
      <c r="IOF3" s="120"/>
      <c r="IOG3" s="120"/>
      <c r="IOH3" s="120"/>
      <c r="IOI3" s="120"/>
      <c r="IOJ3" s="120"/>
      <c r="IOK3" s="120"/>
      <c r="IOL3" s="120"/>
      <c r="IOM3" s="120"/>
      <c r="ION3" s="120"/>
      <c r="IOO3" s="120"/>
      <c r="IOP3" s="120"/>
      <c r="IOQ3" s="120"/>
      <c r="IOR3" s="120"/>
      <c r="IOS3" s="120"/>
      <c r="IOT3" s="120"/>
      <c r="IOU3" s="120"/>
      <c r="IOV3" s="120"/>
      <c r="IOW3" s="120"/>
      <c r="IOX3" s="120"/>
      <c r="IOY3" s="120"/>
      <c r="IOZ3" s="120"/>
      <c r="IPA3" s="120"/>
      <c r="IPB3" s="120"/>
      <c r="IPC3" s="120"/>
      <c r="IPD3" s="120"/>
      <c r="IPE3" s="120"/>
      <c r="IPF3" s="120"/>
      <c r="IPG3" s="120"/>
      <c r="IPH3" s="120"/>
      <c r="IPI3" s="120"/>
      <c r="IPJ3" s="120"/>
      <c r="IPK3" s="120"/>
      <c r="IPL3" s="120"/>
      <c r="IPM3" s="120"/>
      <c r="IPN3" s="120"/>
      <c r="IPO3" s="120"/>
      <c r="IPP3" s="120"/>
      <c r="IPQ3" s="120"/>
      <c r="IPR3" s="120"/>
      <c r="IPS3" s="120"/>
      <c r="IPT3" s="120"/>
      <c r="IPU3" s="120"/>
      <c r="IPV3" s="120"/>
      <c r="IPW3" s="120"/>
      <c r="IPX3" s="120"/>
      <c r="IPY3" s="120"/>
      <c r="IPZ3" s="120"/>
      <c r="IQA3" s="120"/>
      <c r="IQB3" s="120"/>
      <c r="IQC3" s="120"/>
      <c r="IQD3" s="120"/>
      <c r="IQE3" s="120"/>
      <c r="IQF3" s="120"/>
      <c r="IQG3" s="120"/>
      <c r="IQH3" s="120"/>
      <c r="IQI3" s="120"/>
      <c r="IQJ3" s="120"/>
      <c r="IQK3" s="120"/>
      <c r="IQL3" s="120"/>
      <c r="IQM3" s="120"/>
      <c r="IQN3" s="120"/>
      <c r="IQO3" s="120"/>
      <c r="IQP3" s="120"/>
      <c r="IQQ3" s="120"/>
      <c r="IQR3" s="120"/>
      <c r="IQS3" s="120"/>
      <c r="IQT3" s="120"/>
      <c r="IQU3" s="120"/>
      <c r="IQV3" s="120"/>
      <c r="IQW3" s="120"/>
      <c r="IQX3" s="120"/>
      <c r="IQY3" s="120"/>
      <c r="IQZ3" s="120"/>
      <c r="IRA3" s="120"/>
      <c r="IRB3" s="120"/>
      <c r="IRC3" s="120"/>
      <c r="IRD3" s="120"/>
      <c r="IRE3" s="120"/>
      <c r="IRF3" s="120"/>
      <c r="IRG3" s="120"/>
      <c r="IRH3" s="120"/>
      <c r="IRI3" s="120"/>
      <c r="IRJ3" s="120"/>
      <c r="IRK3" s="120"/>
      <c r="IRL3" s="120"/>
      <c r="IRM3" s="120"/>
      <c r="IRN3" s="120"/>
      <c r="IRO3" s="120"/>
      <c r="IRP3" s="120"/>
      <c r="IRQ3" s="120"/>
      <c r="IRR3" s="120"/>
      <c r="IRS3" s="120"/>
      <c r="IRT3" s="120"/>
      <c r="IRU3" s="120"/>
      <c r="IRV3" s="120"/>
      <c r="IRW3" s="120"/>
      <c r="IRX3" s="120"/>
      <c r="IRY3" s="120"/>
      <c r="IRZ3" s="120"/>
      <c r="ISA3" s="120"/>
      <c r="ISB3" s="120"/>
      <c r="ISC3" s="120"/>
      <c r="ISD3" s="120"/>
      <c r="ISE3" s="120"/>
      <c r="ISF3" s="120"/>
      <c r="ISG3" s="120"/>
      <c r="ISH3" s="120"/>
      <c r="ISI3" s="120"/>
      <c r="ISJ3" s="120"/>
      <c r="ISK3" s="120"/>
      <c r="ISL3" s="120"/>
      <c r="ISM3" s="120"/>
      <c r="ISN3" s="120"/>
      <c r="ISO3" s="120"/>
      <c r="ISP3" s="120"/>
      <c r="ISQ3" s="120"/>
      <c r="ISR3" s="120"/>
      <c r="ISS3" s="120"/>
      <c r="IST3" s="120"/>
      <c r="ISU3" s="120"/>
      <c r="ISV3" s="120"/>
      <c r="ISW3" s="120"/>
      <c r="ISX3" s="120"/>
      <c r="ISY3" s="120"/>
      <c r="ISZ3" s="120"/>
      <c r="ITA3" s="120"/>
      <c r="ITB3" s="120"/>
      <c r="ITC3" s="120"/>
      <c r="ITD3" s="120"/>
      <c r="ITE3" s="120"/>
      <c r="ITF3" s="120"/>
      <c r="ITG3" s="120"/>
      <c r="ITH3" s="120"/>
      <c r="ITI3" s="120"/>
      <c r="ITJ3" s="120"/>
      <c r="ITK3" s="120"/>
      <c r="ITL3" s="120"/>
      <c r="ITM3" s="120"/>
      <c r="ITN3" s="120"/>
      <c r="ITO3" s="120"/>
      <c r="ITP3" s="120"/>
      <c r="ITQ3" s="120"/>
      <c r="ITR3" s="120"/>
      <c r="ITS3" s="120"/>
      <c r="ITT3" s="120"/>
      <c r="ITU3" s="120"/>
      <c r="ITV3" s="120"/>
      <c r="ITW3" s="120"/>
      <c r="ITX3" s="120"/>
      <c r="ITY3" s="120"/>
      <c r="ITZ3" s="120"/>
      <c r="IUA3" s="120"/>
      <c r="IUB3" s="120"/>
      <c r="IUC3" s="120"/>
      <c r="IUD3" s="120"/>
      <c r="IUE3" s="120"/>
      <c r="IUF3" s="120"/>
      <c r="IUG3" s="120"/>
      <c r="IUH3" s="120"/>
      <c r="IUI3" s="120"/>
      <c r="IUJ3" s="120"/>
      <c r="IUK3" s="120"/>
      <c r="IUL3" s="120"/>
      <c r="IUM3" s="120"/>
      <c r="IUN3" s="120"/>
      <c r="IUO3" s="120"/>
      <c r="IUP3" s="120"/>
      <c r="IUQ3" s="120"/>
      <c r="IUR3" s="120"/>
      <c r="IUS3" s="120"/>
      <c r="IUT3" s="120"/>
      <c r="IUU3" s="120"/>
      <c r="IUV3" s="120"/>
      <c r="IUW3" s="120"/>
      <c r="IUX3" s="120"/>
      <c r="IUY3" s="120"/>
      <c r="IUZ3" s="120"/>
      <c r="IVA3" s="120"/>
      <c r="IVB3" s="120"/>
      <c r="IVC3" s="120"/>
      <c r="IVD3" s="120"/>
      <c r="IVE3" s="120"/>
      <c r="IVF3" s="120"/>
      <c r="IVG3" s="120"/>
      <c r="IVH3" s="120"/>
      <c r="IVI3" s="120"/>
      <c r="IVJ3" s="120"/>
      <c r="IVK3" s="120"/>
      <c r="IVL3" s="120"/>
      <c r="IVM3" s="120"/>
      <c r="IVN3" s="120"/>
      <c r="IVO3" s="120"/>
      <c r="IVP3" s="120"/>
      <c r="IVQ3" s="120"/>
      <c r="IVR3" s="120"/>
      <c r="IVS3" s="120"/>
      <c r="IVT3" s="120"/>
      <c r="IVU3" s="120"/>
      <c r="IVV3" s="120"/>
      <c r="IVW3" s="120"/>
      <c r="IVX3" s="120"/>
      <c r="IVY3" s="120"/>
      <c r="IVZ3" s="120"/>
      <c r="IWA3" s="120"/>
      <c r="IWB3" s="120"/>
      <c r="IWC3" s="120"/>
      <c r="IWD3" s="120"/>
      <c r="IWE3" s="120"/>
      <c r="IWF3" s="120"/>
      <c r="IWG3" s="120"/>
      <c r="IWH3" s="120"/>
      <c r="IWI3" s="120"/>
      <c r="IWJ3" s="120"/>
      <c r="IWK3" s="120"/>
      <c r="IWL3" s="120"/>
      <c r="IWM3" s="120"/>
      <c r="IWN3" s="120"/>
      <c r="IWO3" s="120"/>
      <c r="IWP3" s="120"/>
      <c r="IWQ3" s="120"/>
      <c r="IWR3" s="120"/>
      <c r="IWS3" s="120"/>
      <c r="IWT3" s="120"/>
      <c r="IWU3" s="120"/>
      <c r="IWV3" s="120"/>
      <c r="IWW3" s="120"/>
      <c r="IWX3" s="120"/>
      <c r="IWY3" s="120"/>
      <c r="IWZ3" s="120"/>
      <c r="IXA3" s="120"/>
      <c r="IXB3" s="120"/>
      <c r="IXC3" s="120"/>
      <c r="IXD3" s="120"/>
      <c r="IXE3" s="120"/>
      <c r="IXF3" s="120"/>
      <c r="IXG3" s="120"/>
      <c r="IXH3" s="120"/>
      <c r="IXI3" s="120"/>
      <c r="IXJ3" s="120"/>
      <c r="IXK3" s="120"/>
      <c r="IXL3" s="120"/>
      <c r="IXM3" s="120"/>
      <c r="IXN3" s="120"/>
      <c r="IXO3" s="120"/>
      <c r="IXP3" s="120"/>
      <c r="IXQ3" s="120"/>
      <c r="IXR3" s="120"/>
      <c r="IXS3" s="120"/>
      <c r="IXT3" s="120"/>
      <c r="IXU3" s="120"/>
      <c r="IXV3" s="120"/>
      <c r="IXW3" s="120"/>
      <c r="IXX3" s="120"/>
      <c r="IXY3" s="120"/>
      <c r="IXZ3" s="120"/>
      <c r="IYA3" s="120"/>
      <c r="IYB3" s="120"/>
      <c r="IYC3" s="120"/>
      <c r="IYD3" s="120"/>
      <c r="IYE3" s="120"/>
      <c r="IYF3" s="120"/>
      <c r="IYG3" s="120"/>
      <c r="IYH3" s="120"/>
      <c r="IYI3" s="120"/>
      <c r="IYJ3" s="120"/>
      <c r="IYK3" s="120"/>
      <c r="IYL3" s="120"/>
      <c r="IYM3" s="120"/>
      <c r="IYN3" s="120"/>
      <c r="IYO3" s="120"/>
      <c r="IYP3" s="120"/>
      <c r="IYQ3" s="120"/>
      <c r="IYR3" s="120"/>
      <c r="IYS3" s="120"/>
      <c r="IYT3" s="120"/>
      <c r="IYU3" s="120"/>
      <c r="IYV3" s="120"/>
      <c r="IYW3" s="120"/>
      <c r="IYX3" s="120"/>
      <c r="IYY3" s="120"/>
      <c r="IYZ3" s="120"/>
      <c r="IZA3" s="120"/>
      <c r="IZB3" s="120"/>
      <c r="IZC3" s="120"/>
      <c r="IZD3" s="120"/>
      <c r="IZE3" s="120"/>
      <c r="IZF3" s="120"/>
      <c r="IZG3" s="120"/>
      <c r="IZH3" s="120"/>
      <c r="IZI3" s="120"/>
      <c r="IZJ3" s="120"/>
      <c r="IZK3" s="120"/>
      <c r="IZL3" s="120"/>
      <c r="IZM3" s="120"/>
      <c r="IZN3" s="120"/>
      <c r="IZO3" s="120"/>
      <c r="IZP3" s="120"/>
      <c r="IZQ3" s="120"/>
      <c r="IZR3" s="120"/>
      <c r="IZS3" s="120"/>
      <c r="IZT3" s="120"/>
      <c r="IZU3" s="120"/>
      <c r="IZV3" s="120"/>
      <c r="IZW3" s="120"/>
      <c r="IZX3" s="120"/>
      <c r="IZY3" s="120"/>
      <c r="IZZ3" s="120"/>
      <c r="JAA3" s="120"/>
      <c r="JAB3" s="120"/>
      <c r="JAC3" s="120"/>
      <c r="JAD3" s="120"/>
      <c r="JAE3" s="120"/>
      <c r="JAF3" s="120"/>
      <c r="JAG3" s="120"/>
      <c r="JAH3" s="120"/>
      <c r="JAI3" s="120"/>
      <c r="JAJ3" s="120"/>
      <c r="JAK3" s="120"/>
      <c r="JAL3" s="120"/>
      <c r="JAM3" s="120"/>
      <c r="JAN3" s="120"/>
      <c r="JAO3" s="120"/>
      <c r="JAP3" s="120"/>
      <c r="JAQ3" s="120"/>
      <c r="JAR3" s="120"/>
      <c r="JAS3" s="120"/>
      <c r="JAT3" s="120"/>
      <c r="JAU3" s="120"/>
      <c r="JAV3" s="120"/>
      <c r="JAW3" s="120"/>
      <c r="JAX3" s="120"/>
      <c r="JAY3" s="120"/>
      <c r="JAZ3" s="120"/>
      <c r="JBA3" s="120"/>
      <c r="JBB3" s="120"/>
      <c r="JBC3" s="120"/>
      <c r="JBD3" s="120"/>
      <c r="JBE3" s="120"/>
      <c r="JBF3" s="120"/>
      <c r="JBG3" s="120"/>
      <c r="JBH3" s="120"/>
      <c r="JBI3" s="120"/>
      <c r="JBJ3" s="120"/>
      <c r="JBK3" s="120"/>
      <c r="JBL3" s="120"/>
      <c r="JBM3" s="120"/>
      <c r="JBN3" s="120"/>
      <c r="JBO3" s="120"/>
      <c r="JBP3" s="120"/>
      <c r="JBQ3" s="120"/>
      <c r="JBR3" s="120"/>
      <c r="JBS3" s="120"/>
      <c r="JBT3" s="120"/>
      <c r="JBU3" s="120"/>
      <c r="JBV3" s="120"/>
      <c r="JBW3" s="120"/>
      <c r="JBX3" s="120"/>
      <c r="JBY3" s="120"/>
      <c r="JBZ3" s="120"/>
      <c r="JCA3" s="120"/>
      <c r="JCB3" s="120"/>
      <c r="JCC3" s="120"/>
      <c r="JCD3" s="120"/>
      <c r="JCE3" s="120"/>
      <c r="JCF3" s="120"/>
      <c r="JCG3" s="120"/>
      <c r="JCH3" s="120"/>
      <c r="JCI3" s="120"/>
      <c r="JCJ3" s="120"/>
      <c r="JCK3" s="120"/>
      <c r="JCL3" s="120"/>
      <c r="JCM3" s="120"/>
      <c r="JCN3" s="120"/>
      <c r="JCO3" s="120"/>
      <c r="JCP3" s="120"/>
      <c r="JCQ3" s="120"/>
      <c r="JCR3" s="120"/>
      <c r="JCS3" s="120"/>
      <c r="JCT3" s="120"/>
      <c r="JCU3" s="120"/>
      <c r="JCV3" s="120"/>
      <c r="JCW3" s="120"/>
      <c r="JCX3" s="120"/>
      <c r="JCY3" s="120"/>
      <c r="JCZ3" s="120"/>
      <c r="JDA3" s="120"/>
      <c r="JDB3" s="120"/>
      <c r="JDC3" s="120"/>
      <c r="JDD3" s="120"/>
      <c r="JDE3" s="120"/>
      <c r="JDF3" s="120"/>
      <c r="JDG3" s="120"/>
      <c r="JDH3" s="120"/>
      <c r="JDI3" s="120"/>
      <c r="JDJ3" s="120"/>
      <c r="JDK3" s="120"/>
      <c r="JDL3" s="120"/>
      <c r="JDM3" s="120"/>
      <c r="JDN3" s="120"/>
      <c r="JDO3" s="120"/>
      <c r="JDP3" s="120"/>
      <c r="JDQ3" s="120"/>
      <c r="JDR3" s="120"/>
      <c r="JDS3" s="120"/>
      <c r="JDT3" s="120"/>
      <c r="JDU3" s="120"/>
      <c r="JDV3" s="120"/>
      <c r="JDW3" s="120"/>
      <c r="JDX3" s="120"/>
      <c r="JDY3" s="120"/>
      <c r="JDZ3" s="120"/>
      <c r="JEA3" s="120"/>
      <c r="JEB3" s="120"/>
      <c r="JEC3" s="120"/>
      <c r="JED3" s="120"/>
      <c r="JEE3" s="120"/>
      <c r="JEF3" s="120"/>
      <c r="JEG3" s="120"/>
      <c r="JEH3" s="120"/>
      <c r="JEI3" s="120"/>
      <c r="JEJ3" s="120"/>
      <c r="JEK3" s="120"/>
      <c r="JEL3" s="120"/>
      <c r="JEM3" s="120"/>
      <c r="JEN3" s="120"/>
      <c r="JEO3" s="120"/>
      <c r="JEP3" s="120"/>
      <c r="JEQ3" s="120"/>
      <c r="JER3" s="120"/>
      <c r="JES3" s="120"/>
      <c r="JET3" s="120"/>
      <c r="JEU3" s="120"/>
      <c r="JEV3" s="120"/>
      <c r="JEW3" s="120"/>
      <c r="JEX3" s="120"/>
      <c r="JEY3" s="120"/>
      <c r="JEZ3" s="120"/>
      <c r="JFA3" s="120"/>
      <c r="JFB3" s="120"/>
      <c r="JFC3" s="120"/>
      <c r="JFD3" s="120"/>
      <c r="JFE3" s="120"/>
      <c r="JFF3" s="120"/>
      <c r="JFG3" s="120"/>
      <c r="JFH3" s="120"/>
      <c r="JFI3" s="120"/>
      <c r="JFJ3" s="120"/>
      <c r="JFK3" s="120"/>
      <c r="JFL3" s="120"/>
      <c r="JFM3" s="120"/>
      <c r="JFN3" s="120"/>
      <c r="JFO3" s="120"/>
      <c r="JFP3" s="120"/>
      <c r="JFQ3" s="120"/>
      <c r="JFR3" s="120"/>
      <c r="JFS3" s="120"/>
      <c r="JFT3" s="120"/>
      <c r="JFU3" s="120"/>
      <c r="JFV3" s="120"/>
      <c r="JFW3" s="120"/>
      <c r="JFX3" s="120"/>
      <c r="JFY3" s="120"/>
      <c r="JFZ3" s="120"/>
      <c r="JGA3" s="120"/>
      <c r="JGB3" s="120"/>
      <c r="JGC3" s="120"/>
      <c r="JGD3" s="120"/>
      <c r="JGE3" s="120"/>
      <c r="JGF3" s="120"/>
      <c r="JGG3" s="120"/>
      <c r="JGH3" s="120"/>
      <c r="JGI3" s="120"/>
      <c r="JGJ3" s="120"/>
      <c r="JGK3" s="120"/>
      <c r="JGL3" s="120"/>
      <c r="JGM3" s="120"/>
      <c r="JGN3" s="120"/>
      <c r="JGO3" s="120"/>
      <c r="JGP3" s="120"/>
      <c r="JGQ3" s="120"/>
      <c r="JGR3" s="120"/>
      <c r="JGS3" s="120"/>
      <c r="JGT3" s="120"/>
      <c r="JGU3" s="120"/>
      <c r="JGV3" s="120"/>
      <c r="JGW3" s="120"/>
      <c r="JGX3" s="120"/>
      <c r="JGY3" s="120"/>
      <c r="JGZ3" s="120"/>
      <c r="JHA3" s="120"/>
      <c r="JHB3" s="120"/>
      <c r="JHC3" s="120"/>
      <c r="JHD3" s="120"/>
      <c r="JHE3" s="120"/>
      <c r="JHF3" s="120"/>
      <c r="JHG3" s="120"/>
      <c r="JHH3" s="120"/>
      <c r="JHI3" s="120"/>
      <c r="JHJ3" s="120"/>
      <c r="JHK3" s="120"/>
      <c r="JHL3" s="120"/>
      <c r="JHM3" s="120"/>
      <c r="JHN3" s="120"/>
      <c r="JHO3" s="120"/>
      <c r="JHP3" s="120"/>
      <c r="JHQ3" s="120"/>
      <c r="JHR3" s="120"/>
      <c r="JHS3" s="120"/>
      <c r="JHT3" s="120"/>
      <c r="JHU3" s="120"/>
      <c r="JHV3" s="120"/>
      <c r="JHW3" s="120"/>
      <c r="JHX3" s="120"/>
      <c r="JHY3" s="120"/>
      <c r="JHZ3" s="120"/>
      <c r="JIA3" s="120"/>
      <c r="JIB3" s="120"/>
      <c r="JIC3" s="120"/>
      <c r="JID3" s="120"/>
      <c r="JIE3" s="120"/>
      <c r="JIF3" s="120"/>
      <c r="JIG3" s="120"/>
      <c r="JIH3" s="120"/>
      <c r="JII3" s="120"/>
      <c r="JIJ3" s="120"/>
      <c r="JIK3" s="120"/>
      <c r="JIL3" s="120"/>
      <c r="JIM3" s="120"/>
      <c r="JIN3" s="120"/>
      <c r="JIO3" s="120"/>
      <c r="JIP3" s="120"/>
      <c r="JIQ3" s="120"/>
      <c r="JIR3" s="120"/>
      <c r="JIS3" s="120"/>
      <c r="JIT3" s="120"/>
      <c r="JIU3" s="120"/>
      <c r="JIV3" s="120"/>
      <c r="JIW3" s="120"/>
      <c r="JIX3" s="120"/>
      <c r="JIY3" s="120"/>
      <c r="JIZ3" s="120"/>
      <c r="JJA3" s="120"/>
      <c r="JJB3" s="120"/>
      <c r="JJC3" s="120"/>
      <c r="JJD3" s="120"/>
      <c r="JJE3" s="120"/>
      <c r="JJF3" s="120"/>
      <c r="JJG3" s="120"/>
      <c r="JJH3" s="120"/>
      <c r="JJI3" s="120"/>
      <c r="JJJ3" s="120"/>
      <c r="JJK3" s="120"/>
      <c r="JJL3" s="120"/>
      <c r="JJM3" s="120"/>
      <c r="JJN3" s="120"/>
      <c r="JJO3" s="120"/>
      <c r="JJP3" s="120"/>
      <c r="JJQ3" s="120"/>
      <c r="JJR3" s="120"/>
      <c r="JJS3" s="120"/>
      <c r="JJT3" s="120"/>
      <c r="JJU3" s="120"/>
      <c r="JJV3" s="120"/>
      <c r="JJW3" s="120"/>
      <c r="JJX3" s="120"/>
      <c r="JJY3" s="120"/>
      <c r="JJZ3" s="120"/>
      <c r="JKA3" s="120"/>
      <c r="JKB3" s="120"/>
      <c r="JKC3" s="120"/>
      <c r="JKD3" s="120"/>
      <c r="JKE3" s="120"/>
      <c r="JKF3" s="120"/>
      <c r="JKG3" s="120"/>
      <c r="JKH3" s="120"/>
      <c r="JKI3" s="120"/>
      <c r="JKJ3" s="120"/>
      <c r="JKK3" s="120"/>
      <c r="JKL3" s="120"/>
      <c r="JKM3" s="120"/>
      <c r="JKN3" s="120"/>
      <c r="JKO3" s="120"/>
      <c r="JKP3" s="120"/>
      <c r="JKQ3" s="120"/>
      <c r="JKR3" s="120"/>
      <c r="JKS3" s="120"/>
      <c r="JKT3" s="120"/>
      <c r="JKU3" s="120"/>
      <c r="JKV3" s="120"/>
      <c r="JKW3" s="120"/>
      <c r="JKX3" s="120"/>
      <c r="JKY3" s="120"/>
      <c r="JKZ3" s="120"/>
      <c r="JLA3" s="120"/>
      <c r="JLB3" s="120"/>
      <c r="JLC3" s="120"/>
      <c r="JLD3" s="120"/>
      <c r="JLE3" s="120"/>
      <c r="JLF3" s="120"/>
      <c r="JLG3" s="120"/>
      <c r="JLH3" s="120"/>
      <c r="JLI3" s="120"/>
      <c r="JLJ3" s="120"/>
      <c r="JLK3" s="120"/>
      <c r="JLL3" s="120"/>
      <c r="JLM3" s="120"/>
      <c r="JLN3" s="120"/>
      <c r="JLO3" s="120"/>
      <c r="JLP3" s="120"/>
      <c r="JLQ3" s="120"/>
      <c r="JLR3" s="120"/>
      <c r="JLS3" s="120"/>
      <c r="JLT3" s="120"/>
      <c r="JLU3" s="120"/>
      <c r="JLV3" s="120"/>
      <c r="JLW3" s="120"/>
      <c r="JLX3" s="120"/>
      <c r="JLY3" s="120"/>
      <c r="JLZ3" s="120"/>
      <c r="JMA3" s="120"/>
      <c r="JMB3" s="120"/>
      <c r="JMC3" s="120"/>
      <c r="JMD3" s="120"/>
      <c r="JME3" s="120"/>
      <c r="JMF3" s="120"/>
      <c r="JMG3" s="120"/>
      <c r="JMH3" s="120"/>
      <c r="JMI3" s="120"/>
      <c r="JMJ3" s="120"/>
      <c r="JMK3" s="120"/>
      <c r="JML3" s="120"/>
      <c r="JMM3" s="120"/>
      <c r="JMN3" s="120"/>
      <c r="JMO3" s="120"/>
      <c r="JMP3" s="120"/>
      <c r="JMQ3" s="120"/>
      <c r="JMR3" s="120"/>
      <c r="JMS3" s="120"/>
      <c r="JMT3" s="120"/>
      <c r="JMU3" s="120"/>
      <c r="JMV3" s="120"/>
      <c r="JMW3" s="120"/>
      <c r="JMX3" s="120"/>
      <c r="JMY3" s="120"/>
      <c r="JMZ3" s="120"/>
      <c r="JNA3" s="120"/>
      <c r="JNB3" s="120"/>
      <c r="JNC3" s="120"/>
      <c r="JND3" s="120"/>
      <c r="JNE3" s="120"/>
      <c r="JNF3" s="120"/>
      <c r="JNG3" s="120"/>
      <c r="JNH3" s="120"/>
      <c r="JNI3" s="120"/>
      <c r="JNJ3" s="120"/>
      <c r="JNK3" s="120"/>
      <c r="JNL3" s="120"/>
      <c r="JNM3" s="120"/>
      <c r="JNN3" s="120"/>
      <c r="JNO3" s="120"/>
      <c r="JNP3" s="120"/>
      <c r="JNQ3" s="120"/>
      <c r="JNR3" s="120"/>
      <c r="JNS3" s="120"/>
      <c r="JNT3" s="120"/>
      <c r="JNU3" s="120"/>
      <c r="JNV3" s="120"/>
      <c r="JNW3" s="120"/>
      <c r="JNX3" s="120"/>
      <c r="JNY3" s="120"/>
      <c r="JNZ3" s="120"/>
      <c r="JOA3" s="120"/>
      <c r="JOB3" s="120"/>
      <c r="JOC3" s="120"/>
      <c r="JOD3" s="120"/>
      <c r="JOE3" s="120"/>
      <c r="JOF3" s="120"/>
      <c r="JOG3" s="120"/>
      <c r="JOH3" s="120"/>
      <c r="JOI3" s="120"/>
      <c r="JOJ3" s="120"/>
      <c r="JOK3" s="120"/>
      <c r="JOL3" s="120"/>
      <c r="JOM3" s="120"/>
      <c r="JON3" s="120"/>
      <c r="JOO3" s="120"/>
      <c r="JOP3" s="120"/>
      <c r="JOQ3" s="120"/>
      <c r="JOR3" s="120"/>
      <c r="JOS3" s="120"/>
      <c r="JOT3" s="120"/>
      <c r="JOU3" s="120"/>
      <c r="JOV3" s="120"/>
      <c r="JOW3" s="120"/>
      <c r="JOX3" s="120"/>
      <c r="JOY3" s="120"/>
      <c r="JOZ3" s="120"/>
      <c r="JPA3" s="120"/>
      <c r="JPB3" s="120"/>
      <c r="JPC3" s="120"/>
      <c r="JPD3" s="120"/>
      <c r="JPE3" s="120"/>
      <c r="JPF3" s="120"/>
      <c r="JPG3" s="120"/>
      <c r="JPH3" s="120"/>
      <c r="JPI3" s="120"/>
      <c r="JPJ3" s="120"/>
      <c r="JPK3" s="120"/>
      <c r="JPL3" s="120"/>
      <c r="JPM3" s="120"/>
      <c r="JPN3" s="120"/>
      <c r="JPO3" s="120"/>
      <c r="JPP3" s="120"/>
      <c r="JPQ3" s="120"/>
      <c r="JPR3" s="120"/>
      <c r="JPS3" s="120"/>
      <c r="JPT3" s="120"/>
      <c r="JPU3" s="120"/>
      <c r="JPV3" s="120"/>
      <c r="JPW3" s="120"/>
      <c r="JPX3" s="120"/>
      <c r="JPY3" s="120"/>
      <c r="JPZ3" s="120"/>
      <c r="JQA3" s="120"/>
      <c r="JQB3" s="120"/>
      <c r="JQC3" s="120"/>
      <c r="JQD3" s="120"/>
      <c r="JQE3" s="120"/>
      <c r="JQF3" s="120"/>
      <c r="JQG3" s="120"/>
      <c r="JQH3" s="120"/>
      <c r="JQI3" s="120"/>
      <c r="JQJ3" s="120"/>
      <c r="JQK3" s="120"/>
      <c r="JQL3" s="120"/>
      <c r="JQM3" s="120"/>
      <c r="JQN3" s="120"/>
      <c r="JQO3" s="120"/>
      <c r="JQP3" s="120"/>
      <c r="JQQ3" s="120"/>
      <c r="JQR3" s="120"/>
      <c r="JQS3" s="120"/>
      <c r="JQT3" s="120"/>
      <c r="JQU3" s="120"/>
      <c r="JQV3" s="120"/>
      <c r="JQW3" s="120"/>
      <c r="JQX3" s="120"/>
      <c r="JQY3" s="120"/>
      <c r="JQZ3" s="120"/>
      <c r="JRA3" s="120"/>
      <c r="JRB3" s="120"/>
      <c r="JRC3" s="120"/>
      <c r="JRD3" s="120"/>
      <c r="JRE3" s="120"/>
      <c r="JRF3" s="120"/>
      <c r="JRG3" s="120"/>
      <c r="JRH3" s="120"/>
      <c r="JRI3" s="120"/>
      <c r="JRJ3" s="120"/>
      <c r="JRK3" s="120"/>
      <c r="JRL3" s="120"/>
      <c r="JRM3" s="120"/>
      <c r="JRN3" s="120"/>
      <c r="JRO3" s="120"/>
      <c r="JRP3" s="120"/>
      <c r="JRQ3" s="120"/>
      <c r="JRR3" s="120"/>
      <c r="JRS3" s="120"/>
      <c r="JRT3" s="120"/>
      <c r="JRU3" s="120"/>
      <c r="JRV3" s="120"/>
      <c r="JRW3" s="120"/>
      <c r="JRX3" s="120"/>
      <c r="JRY3" s="120"/>
      <c r="JRZ3" s="120"/>
      <c r="JSA3" s="120"/>
      <c r="JSB3" s="120"/>
      <c r="JSC3" s="120"/>
      <c r="JSD3" s="120"/>
      <c r="JSE3" s="120"/>
      <c r="JSF3" s="120"/>
      <c r="JSG3" s="120"/>
      <c r="JSH3" s="120"/>
      <c r="JSI3" s="120"/>
      <c r="JSJ3" s="120"/>
      <c r="JSK3" s="120"/>
      <c r="JSL3" s="120"/>
      <c r="JSM3" s="120"/>
      <c r="JSN3" s="120"/>
      <c r="JSO3" s="120"/>
      <c r="JSP3" s="120"/>
      <c r="JSQ3" s="120"/>
      <c r="JSR3" s="120"/>
      <c r="JSS3" s="120"/>
      <c r="JST3" s="120"/>
      <c r="JSU3" s="120"/>
      <c r="JSV3" s="120"/>
      <c r="JSW3" s="120"/>
      <c r="JSX3" s="120"/>
      <c r="JSY3" s="120"/>
      <c r="JSZ3" s="120"/>
      <c r="JTA3" s="120"/>
      <c r="JTB3" s="120"/>
      <c r="JTC3" s="120"/>
      <c r="JTD3" s="120"/>
      <c r="JTE3" s="120"/>
      <c r="JTF3" s="120"/>
      <c r="JTG3" s="120"/>
      <c r="JTH3" s="120"/>
      <c r="JTI3" s="120"/>
      <c r="JTJ3" s="120"/>
      <c r="JTK3" s="120"/>
      <c r="JTL3" s="120"/>
      <c r="JTM3" s="120"/>
      <c r="JTN3" s="120"/>
      <c r="JTO3" s="120"/>
      <c r="JTP3" s="120"/>
      <c r="JTQ3" s="120"/>
      <c r="JTR3" s="120"/>
      <c r="JTS3" s="120"/>
      <c r="JTT3" s="120"/>
      <c r="JTU3" s="120"/>
      <c r="JTV3" s="120"/>
      <c r="JTW3" s="120"/>
      <c r="JTX3" s="120"/>
      <c r="JTY3" s="120"/>
      <c r="JTZ3" s="120"/>
      <c r="JUA3" s="120"/>
      <c r="JUB3" s="120"/>
      <c r="JUC3" s="120"/>
      <c r="JUD3" s="120"/>
      <c r="JUE3" s="120"/>
      <c r="JUF3" s="120"/>
      <c r="JUG3" s="120"/>
      <c r="JUH3" s="120"/>
      <c r="JUI3" s="120"/>
      <c r="JUJ3" s="120"/>
      <c r="JUK3" s="120"/>
      <c r="JUL3" s="120"/>
      <c r="JUM3" s="120"/>
      <c r="JUN3" s="120"/>
      <c r="JUO3" s="120"/>
      <c r="JUP3" s="120"/>
      <c r="JUQ3" s="120"/>
      <c r="JUR3" s="120"/>
      <c r="JUS3" s="120"/>
      <c r="JUT3" s="120"/>
      <c r="JUU3" s="120"/>
      <c r="JUV3" s="120"/>
      <c r="JUW3" s="120"/>
      <c r="JUX3" s="120"/>
      <c r="JUY3" s="120"/>
      <c r="JUZ3" s="120"/>
      <c r="JVA3" s="120"/>
      <c r="JVB3" s="120"/>
      <c r="JVC3" s="120"/>
      <c r="JVD3" s="120"/>
      <c r="JVE3" s="120"/>
      <c r="JVF3" s="120"/>
      <c r="JVG3" s="120"/>
      <c r="JVH3" s="120"/>
      <c r="JVI3" s="120"/>
      <c r="JVJ3" s="120"/>
      <c r="JVK3" s="120"/>
      <c r="JVL3" s="120"/>
      <c r="JVM3" s="120"/>
      <c r="JVN3" s="120"/>
      <c r="JVO3" s="120"/>
      <c r="JVP3" s="120"/>
      <c r="JVQ3" s="120"/>
      <c r="JVR3" s="120"/>
      <c r="JVS3" s="120"/>
      <c r="JVT3" s="120"/>
      <c r="JVU3" s="120"/>
      <c r="JVV3" s="120"/>
      <c r="JVW3" s="120"/>
      <c r="JVX3" s="120"/>
      <c r="JVY3" s="120"/>
      <c r="JVZ3" s="120"/>
      <c r="JWA3" s="120"/>
      <c r="JWB3" s="120"/>
      <c r="JWC3" s="120"/>
      <c r="JWD3" s="120"/>
      <c r="JWE3" s="120"/>
      <c r="JWF3" s="120"/>
      <c r="JWG3" s="120"/>
      <c r="JWH3" s="120"/>
      <c r="JWI3" s="120"/>
      <c r="JWJ3" s="120"/>
      <c r="JWK3" s="120"/>
      <c r="JWL3" s="120"/>
      <c r="JWM3" s="120"/>
      <c r="JWN3" s="120"/>
      <c r="JWO3" s="120"/>
      <c r="JWP3" s="120"/>
      <c r="JWQ3" s="120"/>
      <c r="JWR3" s="120"/>
      <c r="JWS3" s="120"/>
      <c r="JWT3" s="120"/>
      <c r="JWU3" s="120"/>
      <c r="JWV3" s="120"/>
      <c r="JWW3" s="120"/>
      <c r="JWX3" s="120"/>
      <c r="JWY3" s="120"/>
      <c r="JWZ3" s="120"/>
      <c r="JXA3" s="120"/>
      <c r="JXB3" s="120"/>
      <c r="JXC3" s="120"/>
      <c r="JXD3" s="120"/>
      <c r="JXE3" s="120"/>
      <c r="JXF3" s="120"/>
      <c r="JXG3" s="120"/>
      <c r="JXH3" s="120"/>
      <c r="JXI3" s="120"/>
      <c r="JXJ3" s="120"/>
      <c r="JXK3" s="120"/>
      <c r="JXL3" s="120"/>
      <c r="JXM3" s="120"/>
      <c r="JXN3" s="120"/>
      <c r="JXO3" s="120"/>
      <c r="JXP3" s="120"/>
      <c r="JXQ3" s="120"/>
      <c r="JXR3" s="120"/>
      <c r="JXS3" s="120"/>
      <c r="JXT3" s="120"/>
      <c r="JXU3" s="120"/>
      <c r="JXV3" s="120"/>
      <c r="JXW3" s="120"/>
      <c r="JXX3" s="120"/>
      <c r="JXY3" s="120"/>
      <c r="JXZ3" s="120"/>
      <c r="JYA3" s="120"/>
      <c r="JYB3" s="120"/>
      <c r="JYC3" s="120"/>
      <c r="JYD3" s="120"/>
      <c r="JYE3" s="120"/>
      <c r="JYF3" s="120"/>
      <c r="JYG3" s="120"/>
      <c r="JYH3" s="120"/>
      <c r="JYI3" s="120"/>
      <c r="JYJ3" s="120"/>
      <c r="JYK3" s="120"/>
      <c r="JYL3" s="120"/>
      <c r="JYM3" s="120"/>
      <c r="JYN3" s="120"/>
      <c r="JYO3" s="120"/>
      <c r="JYP3" s="120"/>
      <c r="JYQ3" s="120"/>
      <c r="JYR3" s="120"/>
      <c r="JYS3" s="120"/>
      <c r="JYT3" s="120"/>
      <c r="JYU3" s="120"/>
      <c r="JYV3" s="120"/>
      <c r="JYW3" s="120"/>
      <c r="JYX3" s="120"/>
      <c r="JYY3" s="120"/>
      <c r="JYZ3" s="120"/>
      <c r="JZA3" s="120"/>
      <c r="JZB3" s="120"/>
      <c r="JZC3" s="120"/>
      <c r="JZD3" s="120"/>
      <c r="JZE3" s="120"/>
      <c r="JZF3" s="120"/>
      <c r="JZG3" s="120"/>
      <c r="JZH3" s="120"/>
      <c r="JZI3" s="120"/>
      <c r="JZJ3" s="120"/>
      <c r="JZK3" s="120"/>
      <c r="JZL3" s="120"/>
      <c r="JZM3" s="120"/>
      <c r="JZN3" s="120"/>
      <c r="JZO3" s="120"/>
      <c r="JZP3" s="120"/>
      <c r="JZQ3" s="120"/>
      <c r="JZR3" s="120"/>
      <c r="JZS3" s="120"/>
      <c r="JZT3" s="120"/>
      <c r="JZU3" s="120"/>
      <c r="JZV3" s="120"/>
      <c r="JZW3" s="120"/>
      <c r="JZX3" s="120"/>
      <c r="JZY3" s="120"/>
      <c r="JZZ3" s="120"/>
      <c r="KAA3" s="120"/>
      <c r="KAB3" s="120"/>
      <c r="KAC3" s="120"/>
      <c r="KAD3" s="120"/>
      <c r="KAE3" s="120"/>
      <c r="KAF3" s="120"/>
      <c r="KAG3" s="120"/>
      <c r="KAH3" s="120"/>
      <c r="KAI3" s="120"/>
      <c r="KAJ3" s="120"/>
      <c r="KAK3" s="120"/>
      <c r="KAL3" s="120"/>
      <c r="KAM3" s="120"/>
      <c r="KAN3" s="120"/>
      <c r="KAO3" s="120"/>
      <c r="KAP3" s="120"/>
      <c r="KAQ3" s="120"/>
      <c r="KAR3" s="120"/>
      <c r="KAS3" s="120"/>
      <c r="KAT3" s="120"/>
      <c r="KAU3" s="120"/>
      <c r="KAV3" s="120"/>
      <c r="KAW3" s="120"/>
      <c r="KAX3" s="120"/>
      <c r="KAY3" s="120"/>
      <c r="KAZ3" s="120"/>
      <c r="KBA3" s="120"/>
      <c r="KBB3" s="120"/>
      <c r="KBC3" s="120"/>
      <c r="KBD3" s="120"/>
      <c r="KBE3" s="120"/>
      <c r="KBF3" s="120"/>
      <c r="KBG3" s="120"/>
      <c r="KBH3" s="120"/>
      <c r="KBI3" s="120"/>
      <c r="KBJ3" s="120"/>
      <c r="KBK3" s="120"/>
      <c r="KBL3" s="120"/>
      <c r="KBM3" s="120"/>
      <c r="KBN3" s="120"/>
      <c r="KBO3" s="120"/>
      <c r="KBP3" s="120"/>
      <c r="KBQ3" s="120"/>
      <c r="KBR3" s="120"/>
      <c r="KBS3" s="120"/>
      <c r="KBT3" s="120"/>
      <c r="KBU3" s="120"/>
      <c r="KBV3" s="120"/>
      <c r="KBW3" s="120"/>
      <c r="KBX3" s="120"/>
      <c r="KBY3" s="120"/>
      <c r="KBZ3" s="120"/>
      <c r="KCA3" s="120"/>
      <c r="KCB3" s="120"/>
      <c r="KCC3" s="120"/>
      <c r="KCD3" s="120"/>
      <c r="KCE3" s="120"/>
      <c r="KCF3" s="120"/>
      <c r="KCG3" s="120"/>
      <c r="KCH3" s="120"/>
      <c r="KCI3" s="120"/>
      <c r="KCJ3" s="120"/>
      <c r="KCK3" s="120"/>
      <c r="KCL3" s="120"/>
      <c r="KCM3" s="120"/>
      <c r="KCN3" s="120"/>
      <c r="KCO3" s="120"/>
      <c r="KCP3" s="120"/>
      <c r="KCQ3" s="120"/>
      <c r="KCR3" s="120"/>
      <c r="KCS3" s="120"/>
      <c r="KCT3" s="120"/>
      <c r="KCU3" s="120"/>
      <c r="KCV3" s="120"/>
      <c r="KCW3" s="120"/>
      <c r="KCX3" s="120"/>
      <c r="KCY3" s="120"/>
      <c r="KCZ3" s="120"/>
      <c r="KDA3" s="120"/>
      <c r="KDB3" s="120"/>
      <c r="KDC3" s="120"/>
      <c r="KDD3" s="120"/>
      <c r="KDE3" s="120"/>
      <c r="KDF3" s="120"/>
      <c r="KDG3" s="120"/>
      <c r="KDH3" s="120"/>
      <c r="KDI3" s="120"/>
      <c r="KDJ3" s="120"/>
      <c r="KDK3" s="120"/>
      <c r="KDL3" s="120"/>
      <c r="KDM3" s="120"/>
      <c r="KDN3" s="120"/>
      <c r="KDO3" s="120"/>
      <c r="KDP3" s="120"/>
      <c r="KDQ3" s="120"/>
      <c r="KDR3" s="120"/>
      <c r="KDS3" s="120"/>
      <c r="KDT3" s="120"/>
      <c r="KDU3" s="120"/>
      <c r="KDV3" s="120"/>
      <c r="KDW3" s="120"/>
      <c r="KDX3" s="120"/>
      <c r="KDY3" s="120"/>
      <c r="KDZ3" s="120"/>
      <c r="KEA3" s="120"/>
      <c r="KEB3" s="120"/>
      <c r="KEC3" s="120"/>
      <c r="KED3" s="120"/>
      <c r="KEE3" s="120"/>
      <c r="KEF3" s="120"/>
      <c r="KEG3" s="120"/>
      <c r="KEH3" s="120"/>
      <c r="KEI3" s="120"/>
      <c r="KEJ3" s="120"/>
      <c r="KEK3" s="120"/>
      <c r="KEL3" s="120"/>
      <c r="KEM3" s="120"/>
      <c r="KEN3" s="120"/>
      <c r="KEO3" s="120"/>
      <c r="KEP3" s="120"/>
      <c r="KEQ3" s="120"/>
      <c r="KER3" s="120"/>
      <c r="KES3" s="120"/>
      <c r="KET3" s="120"/>
      <c r="KEU3" s="120"/>
      <c r="KEV3" s="120"/>
      <c r="KEW3" s="120"/>
      <c r="KEX3" s="120"/>
      <c r="KEY3" s="120"/>
      <c r="KEZ3" s="120"/>
      <c r="KFA3" s="120"/>
      <c r="KFB3" s="120"/>
      <c r="KFC3" s="120"/>
      <c r="KFD3" s="120"/>
      <c r="KFE3" s="120"/>
      <c r="KFF3" s="120"/>
      <c r="KFG3" s="120"/>
      <c r="KFH3" s="120"/>
      <c r="KFI3" s="120"/>
      <c r="KFJ3" s="120"/>
      <c r="KFK3" s="120"/>
      <c r="KFL3" s="120"/>
      <c r="KFM3" s="120"/>
      <c r="KFN3" s="120"/>
      <c r="KFO3" s="120"/>
      <c r="KFP3" s="120"/>
      <c r="KFQ3" s="120"/>
      <c r="KFR3" s="120"/>
      <c r="KFS3" s="120"/>
      <c r="KFT3" s="120"/>
      <c r="KFU3" s="120"/>
      <c r="KFV3" s="120"/>
      <c r="KFW3" s="120"/>
      <c r="KFX3" s="120"/>
      <c r="KFY3" s="120"/>
      <c r="KFZ3" s="120"/>
      <c r="KGA3" s="120"/>
      <c r="KGB3" s="120"/>
      <c r="KGC3" s="120"/>
      <c r="KGD3" s="120"/>
      <c r="KGE3" s="120"/>
      <c r="KGF3" s="120"/>
      <c r="KGG3" s="120"/>
      <c r="KGH3" s="120"/>
      <c r="KGI3" s="120"/>
      <c r="KGJ3" s="120"/>
      <c r="KGK3" s="120"/>
      <c r="KGL3" s="120"/>
      <c r="KGM3" s="120"/>
      <c r="KGN3" s="120"/>
      <c r="KGO3" s="120"/>
      <c r="KGP3" s="120"/>
      <c r="KGQ3" s="120"/>
      <c r="KGR3" s="120"/>
      <c r="KGS3" s="120"/>
      <c r="KGT3" s="120"/>
      <c r="KGU3" s="120"/>
      <c r="KGV3" s="120"/>
      <c r="KGW3" s="120"/>
      <c r="KGX3" s="120"/>
      <c r="KGY3" s="120"/>
      <c r="KGZ3" s="120"/>
      <c r="KHA3" s="120"/>
      <c r="KHB3" s="120"/>
      <c r="KHC3" s="120"/>
      <c r="KHD3" s="120"/>
      <c r="KHE3" s="120"/>
      <c r="KHF3" s="120"/>
      <c r="KHG3" s="120"/>
      <c r="KHH3" s="120"/>
      <c r="KHI3" s="120"/>
      <c r="KHJ3" s="120"/>
      <c r="KHK3" s="120"/>
      <c r="KHL3" s="120"/>
      <c r="KHM3" s="120"/>
      <c r="KHN3" s="120"/>
      <c r="KHO3" s="120"/>
      <c r="KHP3" s="120"/>
      <c r="KHQ3" s="120"/>
      <c r="KHR3" s="120"/>
      <c r="KHS3" s="120"/>
      <c r="KHT3" s="120"/>
      <c r="KHU3" s="120"/>
      <c r="KHV3" s="120"/>
      <c r="KHW3" s="120"/>
      <c r="KHX3" s="120"/>
      <c r="KHY3" s="120"/>
      <c r="KHZ3" s="120"/>
      <c r="KIA3" s="120"/>
      <c r="KIB3" s="120"/>
      <c r="KIC3" s="120"/>
      <c r="KID3" s="120"/>
      <c r="KIE3" s="120"/>
      <c r="KIF3" s="120"/>
      <c r="KIG3" s="120"/>
      <c r="KIH3" s="120"/>
      <c r="KII3" s="120"/>
      <c r="KIJ3" s="120"/>
      <c r="KIK3" s="120"/>
      <c r="KIL3" s="120"/>
      <c r="KIM3" s="120"/>
      <c r="KIN3" s="120"/>
      <c r="KIO3" s="120"/>
      <c r="KIP3" s="120"/>
      <c r="KIQ3" s="120"/>
      <c r="KIR3" s="120"/>
      <c r="KIS3" s="120"/>
      <c r="KIT3" s="120"/>
      <c r="KIU3" s="120"/>
      <c r="KIV3" s="120"/>
      <c r="KIW3" s="120"/>
      <c r="KIX3" s="120"/>
      <c r="KIY3" s="120"/>
      <c r="KIZ3" s="120"/>
      <c r="KJA3" s="120"/>
      <c r="KJB3" s="120"/>
      <c r="KJC3" s="120"/>
      <c r="KJD3" s="120"/>
      <c r="KJE3" s="120"/>
      <c r="KJF3" s="120"/>
      <c r="KJG3" s="120"/>
      <c r="KJH3" s="120"/>
      <c r="KJI3" s="120"/>
      <c r="KJJ3" s="120"/>
      <c r="KJK3" s="120"/>
      <c r="KJL3" s="120"/>
      <c r="KJM3" s="120"/>
      <c r="KJN3" s="120"/>
      <c r="KJO3" s="120"/>
      <c r="KJP3" s="120"/>
      <c r="KJQ3" s="120"/>
      <c r="KJR3" s="120"/>
      <c r="KJS3" s="120"/>
      <c r="KJT3" s="120"/>
      <c r="KJU3" s="120"/>
      <c r="KJV3" s="120"/>
      <c r="KJW3" s="120"/>
      <c r="KJX3" s="120"/>
      <c r="KJY3" s="120"/>
      <c r="KJZ3" s="120"/>
      <c r="KKA3" s="120"/>
      <c r="KKB3" s="120"/>
      <c r="KKC3" s="120"/>
      <c r="KKD3" s="120"/>
      <c r="KKE3" s="120"/>
      <c r="KKF3" s="120"/>
      <c r="KKG3" s="120"/>
      <c r="KKH3" s="120"/>
      <c r="KKI3" s="120"/>
      <c r="KKJ3" s="120"/>
      <c r="KKK3" s="120"/>
      <c r="KKL3" s="120"/>
      <c r="KKM3" s="120"/>
      <c r="KKN3" s="120"/>
      <c r="KKO3" s="120"/>
      <c r="KKP3" s="120"/>
      <c r="KKQ3" s="120"/>
      <c r="KKR3" s="120"/>
      <c r="KKS3" s="120"/>
      <c r="KKT3" s="120"/>
      <c r="KKU3" s="120"/>
      <c r="KKV3" s="120"/>
      <c r="KKW3" s="120"/>
      <c r="KKX3" s="120"/>
      <c r="KKY3" s="120"/>
      <c r="KKZ3" s="120"/>
      <c r="KLA3" s="120"/>
      <c r="KLB3" s="120"/>
      <c r="KLC3" s="120"/>
      <c r="KLD3" s="120"/>
      <c r="KLE3" s="120"/>
      <c r="KLF3" s="120"/>
      <c r="KLG3" s="120"/>
      <c r="KLH3" s="120"/>
      <c r="KLI3" s="120"/>
      <c r="KLJ3" s="120"/>
      <c r="KLK3" s="120"/>
      <c r="KLL3" s="120"/>
      <c r="KLM3" s="120"/>
      <c r="KLN3" s="120"/>
      <c r="KLO3" s="120"/>
      <c r="KLP3" s="120"/>
      <c r="KLQ3" s="120"/>
      <c r="KLR3" s="120"/>
      <c r="KLS3" s="120"/>
      <c r="KLT3" s="120"/>
      <c r="KLU3" s="120"/>
      <c r="KLV3" s="120"/>
      <c r="KLW3" s="120"/>
      <c r="KLX3" s="120"/>
      <c r="KLY3" s="120"/>
      <c r="KLZ3" s="120"/>
      <c r="KMA3" s="120"/>
      <c r="KMB3" s="120"/>
      <c r="KMC3" s="120"/>
      <c r="KMD3" s="120"/>
      <c r="KME3" s="120"/>
      <c r="KMF3" s="120"/>
      <c r="KMG3" s="120"/>
      <c r="KMH3" s="120"/>
      <c r="KMI3" s="120"/>
      <c r="KMJ3" s="120"/>
      <c r="KMK3" s="120"/>
      <c r="KML3" s="120"/>
      <c r="KMM3" s="120"/>
      <c r="KMN3" s="120"/>
      <c r="KMO3" s="120"/>
      <c r="KMP3" s="120"/>
      <c r="KMQ3" s="120"/>
      <c r="KMR3" s="120"/>
      <c r="KMS3" s="120"/>
      <c r="KMT3" s="120"/>
      <c r="KMU3" s="120"/>
      <c r="KMV3" s="120"/>
      <c r="KMW3" s="120"/>
      <c r="KMX3" s="120"/>
      <c r="KMY3" s="120"/>
      <c r="KMZ3" s="120"/>
      <c r="KNA3" s="120"/>
      <c r="KNB3" s="120"/>
      <c r="KNC3" s="120"/>
      <c r="KND3" s="120"/>
      <c r="KNE3" s="120"/>
      <c r="KNF3" s="120"/>
      <c r="KNG3" s="120"/>
      <c r="KNH3" s="120"/>
      <c r="KNI3" s="120"/>
      <c r="KNJ3" s="120"/>
      <c r="KNK3" s="120"/>
      <c r="KNL3" s="120"/>
      <c r="KNM3" s="120"/>
      <c r="KNN3" s="120"/>
      <c r="KNO3" s="120"/>
      <c r="KNP3" s="120"/>
      <c r="KNQ3" s="120"/>
      <c r="KNR3" s="120"/>
      <c r="KNS3" s="120"/>
      <c r="KNT3" s="120"/>
      <c r="KNU3" s="120"/>
      <c r="KNV3" s="120"/>
      <c r="KNW3" s="120"/>
      <c r="KNX3" s="120"/>
      <c r="KNY3" s="120"/>
      <c r="KNZ3" s="120"/>
      <c r="KOA3" s="120"/>
      <c r="KOB3" s="120"/>
      <c r="KOC3" s="120"/>
      <c r="KOD3" s="120"/>
      <c r="KOE3" s="120"/>
      <c r="KOF3" s="120"/>
      <c r="KOG3" s="120"/>
      <c r="KOH3" s="120"/>
      <c r="KOI3" s="120"/>
      <c r="KOJ3" s="120"/>
      <c r="KOK3" s="120"/>
      <c r="KOL3" s="120"/>
      <c r="KOM3" s="120"/>
      <c r="KON3" s="120"/>
      <c r="KOO3" s="120"/>
      <c r="KOP3" s="120"/>
      <c r="KOQ3" s="120"/>
      <c r="KOR3" s="120"/>
      <c r="KOS3" s="120"/>
      <c r="KOT3" s="120"/>
      <c r="KOU3" s="120"/>
      <c r="KOV3" s="120"/>
      <c r="KOW3" s="120"/>
      <c r="KOX3" s="120"/>
      <c r="KOY3" s="120"/>
      <c r="KOZ3" s="120"/>
      <c r="KPA3" s="120"/>
      <c r="KPB3" s="120"/>
      <c r="KPC3" s="120"/>
      <c r="KPD3" s="120"/>
      <c r="KPE3" s="120"/>
      <c r="KPF3" s="120"/>
      <c r="KPG3" s="120"/>
      <c r="KPH3" s="120"/>
      <c r="KPI3" s="120"/>
      <c r="KPJ3" s="120"/>
      <c r="KPK3" s="120"/>
      <c r="KPL3" s="120"/>
      <c r="KPM3" s="120"/>
      <c r="KPN3" s="120"/>
      <c r="KPO3" s="120"/>
      <c r="KPP3" s="120"/>
      <c r="KPQ3" s="120"/>
      <c r="KPR3" s="120"/>
      <c r="KPS3" s="120"/>
      <c r="KPT3" s="120"/>
      <c r="KPU3" s="120"/>
      <c r="KPV3" s="120"/>
      <c r="KPW3" s="120"/>
      <c r="KPX3" s="120"/>
      <c r="KPY3" s="120"/>
      <c r="KPZ3" s="120"/>
      <c r="KQA3" s="120"/>
      <c r="KQB3" s="120"/>
      <c r="KQC3" s="120"/>
      <c r="KQD3" s="120"/>
      <c r="KQE3" s="120"/>
      <c r="KQF3" s="120"/>
      <c r="KQG3" s="120"/>
      <c r="KQH3" s="120"/>
      <c r="KQI3" s="120"/>
      <c r="KQJ3" s="120"/>
      <c r="KQK3" s="120"/>
      <c r="KQL3" s="120"/>
      <c r="KQM3" s="120"/>
      <c r="KQN3" s="120"/>
      <c r="KQO3" s="120"/>
      <c r="KQP3" s="120"/>
      <c r="KQQ3" s="120"/>
      <c r="KQR3" s="120"/>
      <c r="KQS3" s="120"/>
      <c r="KQT3" s="120"/>
      <c r="KQU3" s="120"/>
      <c r="KQV3" s="120"/>
      <c r="KQW3" s="120"/>
      <c r="KQX3" s="120"/>
      <c r="KQY3" s="120"/>
      <c r="KQZ3" s="120"/>
      <c r="KRA3" s="120"/>
      <c r="KRB3" s="120"/>
      <c r="KRC3" s="120"/>
      <c r="KRD3" s="120"/>
      <c r="KRE3" s="120"/>
      <c r="KRF3" s="120"/>
      <c r="KRG3" s="120"/>
      <c r="KRH3" s="120"/>
      <c r="KRI3" s="120"/>
      <c r="KRJ3" s="120"/>
      <c r="KRK3" s="120"/>
      <c r="KRL3" s="120"/>
      <c r="KRM3" s="120"/>
      <c r="KRN3" s="120"/>
      <c r="KRO3" s="120"/>
      <c r="KRP3" s="120"/>
      <c r="KRQ3" s="120"/>
      <c r="KRR3" s="120"/>
      <c r="KRS3" s="120"/>
      <c r="KRT3" s="120"/>
      <c r="KRU3" s="120"/>
      <c r="KRV3" s="120"/>
      <c r="KRW3" s="120"/>
      <c r="KRX3" s="120"/>
      <c r="KRY3" s="120"/>
      <c r="KRZ3" s="120"/>
      <c r="KSA3" s="120"/>
      <c r="KSB3" s="120"/>
      <c r="KSC3" s="120"/>
      <c r="KSD3" s="120"/>
      <c r="KSE3" s="120"/>
      <c r="KSF3" s="120"/>
      <c r="KSG3" s="120"/>
      <c r="KSH3" s="120"/>
      <c r="KSI3" s="120"/>
      <c r="KSJ3" s="120"/>
      <c r="KSK3" s="120"/>
      <c r="KSL3" s="120"/>
      <c r="KSM3" s="120"/>
      <c r="KSN3" s="120"/>
      <c r="KSO3" s="120"/>
      <c r="KSP3" s="120"/>
      <c r="KSQ3" s="120"/>
      <c r="KSR3" s="120"/>
      <c r="KSS3" s="120"/>
      <c r="KST3" s="120"/>
      <c r="KSU3" s="120"/>
      <c r="KSV3" s="120"/>
      <c r="KSW3" s="120"/>
      <c r="KSX3" s="120"/>
      <c r="KSY3" s="120"/>
      <c r="KSZ3" s="120"/>
      <c r="KTA3" s="120"/>
      <c r="KTB3" s="120"/>
      <c r="KTC3" s="120"/>
      <c r="KTD3" s="120"/>
      <c r="KTE3" s="120"/>
      <c r="KTF3" s="120"/>
      <c r="KTG3" s="120"/>
      <c r="KTH3" s="120"/>
      <c r="KTI3" s="120"/>
      <c r="KTJ3" s="120"/>
      <c r="KTK3" s="120"/>
      <c r="KTL3" s="120"/>
      <c r="KTM3" s="120"/>
      <c r="KTN3" s="120"/>
      <c r="KTO3" s="120"/>
      <c r="KTP3" s="120"/>
      <c r="KTQ3" s="120"/>
      <c r="KTR3" s="120"/>
      <c r="KTS3" s="120"/>
      <c r="KTT3" s="120"/>
      <c r="KTU3" s="120"/>
      <c r="KTV3" s="120"/>
      <c r="KTW3" s="120"/>
      <c r="KTX3" s="120"/>
      <c r="KTY3" s="120"/>
      <c r="KTZ3" s="120"/>
      <c r="KUA3" s="120"/>
      <c r="KUB3" s="120"/>
      <c r="KUC3" s="120"/>
      <c r="KUD3" s="120"/>
      <c r="KUE3" s="120"/>
      <c r="KUF3" s="120"/>
      <c r="KUG3" s="120"/>
      <c r="KUH3" s="120"/>
      <c r="KUI3" s="120"/>
      <c r="KUJ3" s="120"/>
      <c r="KUK3" s="120"/>
      <c r="KUL3" s="120"/>
      <c r="KUM3" s="120"/>
      <c r="KUN3" s="120"/>
      <c r="KUO3" s="120"/>
      <c r="KUP3" s="120"/>
      <c r="KUQ3" s="120"/>
      <c r="KUR3" s="120"/>
      <c r="KUS3" s="120"/>
      <c r="KUT3" s="120"/>
      <c r="KUU3" s="120"/>
      <c r="KUV3" s="120"/>
      <c r="KUW3" s="120"/>
      <c r="KUX3" s="120"/>
      <c r="KUY3" s="120"/>
      <c r="KUZ3" s="120"/>
      <c r="KVA3" s="120"/>
      <c r="KVB3" s="120"/>
      <c r="KVC3" s="120"/>
      <c r="KVD3" s="120"/>
      <c r="KVE3" s="120"/>
      <c r="KVF3" s="120"/>
      <c r="KVG3" s="120"/>
      <c r="KVH3" s="120"/>
      <c r="KVI3" s="120"/>
      <c r="KVJ3" s="120"/>
      <c r="KVK3" s="120"/>
      <c r="KVL3" s="120"/>
      <c r="KVM3" s="120"/>
      <c r="KVN3" s="120"/>
      <c r="KVO3" s="120"/>
      <c r="KVP3" s="120"/>
      <c r="KVQ3" s="120"/>
      <c r="KVR3" s="120"/>
      <c r="KVS3" s="120"/>
      <c r="KVT3" s="120"/>
      <c r="KVU3" s="120"/>
      <c r="KVV3" s="120"/>
      <c r="KVW3" s="120"/>
      <c r="KVX3" s="120"/>
      <c r="KVY3" s="120"/>
      <c r="KVZ3" s="120"/>
      <c r="KWA3" s="120"/>
      <c r="KWB3" s="120"/>
      <c r="KWC3" s="120"/>
      <c r="KWD3" s="120"/>
      <c r="KWE3" s="120"/>
      <c r="KWF3" s="120"/>
      <c r="KWG3" s="120"/>
      <c r="KWH3" s="120"/>
      <c r="KWI3" s="120"/>
      <c r="KWJ3" s="120"/>
      <c r="KWK3" s="120"/>
      <c r="KWL3" s="120"/>
      <c r="KWM3" s="120"/>
      <c r="KWN3" s="120"/>
      <c r="KWO3" s="120"/>
      <c r="KWP3" s="120"/>
      <c r="KWQ3" s="120"/>
      <c r="KWR3" s="120"/>
      <c r="KWS3" s="120"/>
      <c r="KWT3" s="120"/>
      <c r="KWU3" s="120"/>
      <c r="KWV3" s="120"/>
      <c r="KWW3" s="120"/>
      <c r="KWX3" s="120"/>
      <c r="KWY3" s="120"/>
      <c r="KWZ3" s="120"/>
      <c r="KXA3" s="120"/>
      <c r="KXB3" s="120"/>
      <c r="KXC3" s="120"/>
      <c r="KXD3" s="120"/>
      <c r="KXE3" s="120"/>
      <c r="KXF3" s="120"/>
      <c r="KXG3" s="120"/>
      <c r="KXH3" s="120"/>
      <c r="KXI3" s="120"/>
      <c r="KXJ3" s="120"/>
      <c r="KXK3" s="120"/>
      <c r="KXL3" s="120"/>
      <c r="KXM3" s="120"/>
      <c r="KXN3" s="120"/>
      <c r="KXO3" s="120"/>
      <c r="KXP3" s="120"/>
      <c r="KXQ3" s="120"/>
      <c r="KXR3" s="120"/>
      <c r="KXS3" s="120"/>
      <c r="KXT3" s="120"/>
      <c r="KXU3" s="120"/>
      <c r="KXV3" s="120"/>
      <c r="KXW3" s="120"/>
      <c r="KXX3" s="120"/>
      <c r="KXY3" s="120"/>
      <c r="KXZ3" s="120"/>
      <c r="KYA3" s="120"/>
      <c r="KYB3" s="120"/>
      <c r="KYC3" s="120"/>
      <c r="KYD3" s="120"/>
      <c r="KYE3" s="120"/>
      <c r="KYF3" s="120"/>
      <c r="KYG3" s="120"/>
      <c r="KYH3" s="120"/>
      <c r="KYI3" s="120"/>
      <c r="KYJ3" s="120"/>
      <c r="KYK3" s="120"/>
      <c r="KYL3" s="120"/>
      <c r="KYM3" s="120"/>
      <c r="KYN3" s="120"/>
      <c r="KYO3" s="120"/>
      <c r="KYP3" s="120"/>
      <c r="KYQ3" s="120"/>
      <c r="KYR3" s="120"/>
      <c r="KYS3" s="120"/>
      <c r="KYT3" s="120"/>
      <c r="KYU3" s="120"/>
      <c r="KYV3" s="120"/>
      <c r="KYW3" s="120"/>
      <c r="KYX3" s="120"/>
      <c r="KYY3" s="120"/>
      <c r="KYZ3" s="120"/>
      <c r="KZA3" s="120"/>
      <c r="KZB3" s="120"/>
      <c r="KZC3" s="120"/>
      <c r="KZD3" s="120"/>
      <c r="KZE3" s="120"/>
      <c r="KZF3" s="120"/>
      <c r="KZG3" s="120"/>
      <c r="KZH3" s="120"/>
      <c r="KZI3" s="120"/>
      <c r="KZJ3" s="120"/>
      <c r="KZK3" s="120"/>
      <c r="KZL3" s="120"/>
      <c r="KZM3" s="120"/>
      <c r="KZN3" s="120"/>
      <c r="KZO3" s="120"/>
      <c r="KZP3" s="120"/>
      <c r="KZQ3" s="120"/>
      <c r="KZR3" s="120"/>
      <c r="KZS3" s="120"/>
      <c r="KZT3" s="120"/>
      <c r="KZU3" s="120"/>
      <c r="KZV3" s="120"/>
      <c r="KZW3" s="120"/>
      <c r="KZX3" s="120"/>
      <c r="KZY3" s="120"/>
      <c r="KZZ3" s="120"/>
      <c r="LAA3" s="120"/>
      <c r="LAB3" s="120"/>
      <c r="LAC3" s="120"/>
      <c r="LAD3" s="120"/>
      <c r="LAE3" s="120"/>
      <c r="LAF3" s="120"/>
      <c r="LAG3" s="120"/>
      <c r="LAH3" s="120"/>
      <c r="LAI3" s="120"/>
      <c r="LAJ3" s="120"/>
      <c r="LAK3" s="120"/>
      <c r="LAL3" s="120"/>
      <c r="LAM3" s="120"/>
      <c r="LAN3" s="120"/>
      <c r="LAO3" s="120"/>
      <c r="LAP3" s="120"/>
      <c r="LAQ3" s="120"/>
      <c r="LAR3" s="120"/>
      <c r="LAS3" s="120"/>
      <c r="LAT3" s="120"/>
      <c r="LAU3" s="120"/>
      <c r="LAV3" s="120"/>
      <c r="LAW3" s="120"/>
      <c r="LAX3" s="120"/>
      <c r="LAY3" s="120"/>
      <c r="LAZ3" s="120"/>
      <c r="LBA3" s="120"/>
      <c r="LBB3" s="120"/>
      <c r="LBC3" s="120"/>
      <c r="LBD3" s="120"/>
      <c r="LBE3" s="120"/>
      <c r="LBF3" s="120"/>
      <c r="LBG3" s="120"/>
      <c r="LBH3" s="120"/>
      <c r="LBI3" s="120"/>
      <c r="LBJ3" s="120"/>
      <c r="LBK3" s="120"/>
      <c r="LBL3" s="120"/>
      <c r="LBM3" s="120"/>
      <c r="LBN3" s="120"/>
      <c r="LBO3" s="120"/>
      <c r="LBP3" s="120"/>
      <c r="LBQ3" s="120"/>
      <c r="LBR3" s="120"/>
      <c r="LBS3" s="120"/>
      <c r="LBT3" s="120"/>
      <c r="LBU3" s="120"/>
      <c r="LBV3" s="120"/>
      <c r="LBW3" s="120"/>
      <c r="LBX3" s="120"/>
      <c r="LBY3" s="120"/>
      <c r="LBZ3" s="120"/>
      <c r="LCA3" s="120"/>
      <c r="LCB3" s="120"/>
      <c r="LCC3" s="120"/>
      <c r="LCD3" s="120"/>
      <c r="LCE3" s="120"/>
      <c r="LCF3" s="120"/>
      <c r="LCG3" s="120"/>
      <c r="LCH3" s="120"/>
      <c r="LCI3" s="120"/>
      <c r="LCJ3" s="120"/>
      <c r="LCK3" s="120"/>
      <c r="LCL3" s="120"/>
      <c r="LCM3" s="120"/>
      <c r="LCN3" s="120"/>
      <c r="LCO3" s="120"/>
      <c r="LCP3" s="120"/>
      <c r="LCQ3" s="120"/>
      <c r="LCR3" s="120"/>
      <c r="LCS3" s="120"/>
      <c r="LCT3" s="120"/>
      <c r="LCU3" s="120"/>
      <c r="LCV3" s="120"/>
      <c r="LCW3" s="120"/>
      <c r="LCX3" s="120"/>
      <c r="LCY3" s="120"/>
      <c r="LCZ3" s="120"/>
      <c r="LDA3" s="120"/>
      <c r="LDB3" s="120"/>
      <c r="LDC3" s="120"/>
      <c r="LDD3" s="120"/>
      <c r="LDE3" s="120"/>
      <c r="LDF3" s="120"/>
      <c r="LDG3" s="120"/>
      <c r="LDH3" s="120"/>
      <c r="LDI3" s="120"/>
      <c r="LDJ3" s="120"/>
      <c r="LDK3" s="120"/>
      <c r="LDL3" s="120"/>
      <c r="LDM3" s="120"/>
      <c r="LDN3" s="120"/>
      <c r="LDO3" s="120"/>
      <c r="LDP3" s="120"/>
      <c r="LDQ3" s="120"/>
      <c r="LDR3" s="120"/>
      <c r="LDS3" s="120"/>
      <c r="LDT3" s="120"/>
      <c r="LDU3" s="120"/>
      <c r="LDV3" s="120"/>
      <c r="LDW3" s="120"/>
      <c r="LDX3" s="120"/>
      <c r="LDY3" s="120"/>
      <c r="LDZ3" s="120"/>
      <c r="LEA3" s="120"/>
      <c r="LEB3" s="120"/>
      <c r="LEC3" s="120"/>
      <c r="LED3" s="120"/>
      <c r="LEE3" s="120"/>
      <c r="LEF3" s="120"/>
      <c r="LEG3" s="120"/>
      <c r="LEH3" s="120"/>
      <c r="LEI3" s="120"/>
      <c r="LEJ3" s="120"/>
      <c r="LEK3" s="120"/>
      <c r="LEL3" s="120"/>
      <c r="LEM3" s="120"/>
      <c r="LEN3" s="120"/>
      <c r="LEO3" s="120"/>
      <c r="LEP3" s="120"/>
      <c r="LEQ3" s="120"/>
      <c r="LER3" s="120"/>
      <c r="LES3" s="120"/>
      <c r="LET3" s="120"/>
      <c r="LEU3" s="120"/>
      <c r="LEV3" s="120"/>
      <c r="LEW3" s="120"/>
      <c r="LEX3" s="120"/>
      <c r="LEY3" s="120"/>
      <c r="LEZ3" s="120"/>
      <c r="LFA3" s="120"/>
      <c r="LFB3" s="120"/>
      <c r="LFC3" s="120"/>
      <c r="LFD3" s="120"/>
      <c r="LFE3" s="120"/>
      <c r="LFF3" s="120"/>
      <c r="LFG3" s="120"/>
      <c r="LFH3" s="120"/>
      <c r="LFI3" s="120"/>
      <c r="LFJ3" s="120"/>
      <c r="LFK3" s="120"/>
      <c r="LFL3" s="120"/>
      <c r="LFM3" s="120"/>
      <c r="LFN3" s="120"/>
      <c r="LFO3" s="120"/>
      <c r="LFP3" s="120"/>
      <c r="LFQ3" s="120"/>
      <c r="LFR3" s="120"/>
      <c r="LFS3" s="120"/>
      <c r="LFT3" s="120"/>
      <c r="LFU3" s="120"/>
      <c r="LFV3" s="120"/>
      <c r="LFW3" s="120"/>
      <c r="LFX3" s="120"/>
      <c r="LFY3" s="120"/>
      <c r="LFZ3" s="120"/>
      <c r="LGA3" s="120"/>
      <c r="LGB3" s="120"/>
      <c r="LGC3" s="120"/>
      <c r="LGD3" s="120"/>
      <c r="LGE3" s="120"/>
      <c r="LGF3" s="120"/>
      <c r="LGG3" s="120"/>
      <c r="LGH3" s="120"/>
      <c r="LGI3" s="120"/>
      <c r="LGJ3" s="120"/>
      <c r="LGK3" s="120"/>
      <c r="LGL3" s="120"/>
      <c r="LGM3" s="120"/>
      <c r="LGN3" s="120"/>
      <c r="LGO3" s="120"/>
      <c r="LGP3" s="120"/>
      <c r="LGQ3" s="120"/>
      <c r="LGR3" s="120"/>
      <c r="LGS3" s="120"/>
      <c r="LGT3" s="120"/>
      <c r="LGU3" s="120"/>
      <c r="LGV3" s="120"/>
      <c r="LGW3" s="120"/>
      <c r="LGX3" s="120"/>
      <c r="LGY3" s="120"/>
      <c r="LGZ3" s="120"/>
      <c r="LHA3" s="120"/>
      <c r="LHB3" s="120"/>
      <c r="LHC3" s="120"/>
      <c r="LHD3" s="120"/>
      <c r="LHE3" s="120"/>
      <c r="LHF3" s="120"/>
      <c r="LHG3" s="120"/>
      <c r="LHH3" s="120"/>
      <c r="LHI3" s="120"/>
      <c r="LHJ3" s="120"/>
      <c r="LHK3" s="120"/>
      <c r="LHL3" s="120"/>
      <c r="LHM3" s="120"/>
      <c r="LHN3" s="120"/>
      <c r="LHO3" s="120"/>
      <c r="LHP3" s="120"/>
      <c r="LHQ3" s="120"/>
      <c r="LHR3" s="120"/>
      <c r="LHS3" s="120"/>
      <c r="LHT3" s="120"/>
      <c r="LHU3" s="120"/>
      <c r="LHV3" s="120"/>
      <c r="LHW3" s="120"/>
      <c r="LHX3" s="120"/>
      <c r="LHY3" s="120"/>
      <c r="LHZ3" s="120"/>
      <c r="LIA3" s="120"/>
      <c r="LIB3" s="120"/>
      <c r="LIC3" s="120"/>
      <c r="LID3" s="120"/>
      <c r="LIE3" s="120"/>
      <c r="LIF3" s="120"/>
      <c r="LIG3" s="120"/>
      <c r="LIH3" s="120"/>
      <c r="LII3" s="120"/>
      <c r="LIJ3" s="120"/>
      <c r="LIK3" s="120"/>
      <c r="LIL3" s="120"/>
      <c r="LIM3" s="120"/>
      <c r="LIN3" s="120"/>
      <c r="LIO3" s="120"/>
      <c r="LIP3" s="120"/>
      <c r="LIQ3" s="120"/>
      <c r="LIR3" s="120"/>
      <c r="LIS3" s="120"/>
      <c r="LIT3" s="120"/>
      <c r="LIU3" s="120"/>
      <c r="LIV3" s="120"/>
      <c r="LIW3" s="120"/>
      <c r="LIX3" s="120"/>
      <c r="LIY3" s="120"/>
      <c r="LIZ3" s="120"/>
      <c r="LJA3" s="120"/>
      <c r="LJB3" s="120"/>
      <c r="LJC3" s="120"/>
      <c r="LJD3" s="120"/>
      <c r="LJE3" s="120"/>
      <c r="LJF3" s="120"/>
      <c r="LJG3" s="120"/>
      <c r="LJH3" s="120"/>
      <c r="LJI3" s="120"/>
      <c r="LJJ3" s="120"/>
      <c r="LJK3" s="120"/>
      <c r="LJL3" s="120"/>
      <c r="LJM3" s="120"/>
      <c r="LJN3" s="120"/>
      <c r="LJO3" s="120"/>
      <c r="LJP3" s="120"/>
      <c r="LJQ3" s="120"/>
      <c r="LJR3" s="120"/>
      <c r="LJS3" s="120"/>
      <c r="LJT3" s="120"/>
      <c r="LJU3" s="120"/>
      <c r="LJV3" s="120"/>
      <c r="LJW3" s="120"/>
      <c r="LJX3" s="120"/>
      <c r="LJY3" s="120"/>
      <c r="LJZ3" s="120"/>
      <c r="LKA3" s="120"/>
      <c r="LKB3" s="120"/>
      <c r="LKC3" s="120"/>
      <c r="LKD3" s="120"/>
      <c r="LKE3" s="120"/>
      <c r="LKF3" s="120"/>
      <c r="LKG3" s="120"/>
      <c r="LKH3" s="120"/>
      <c r="LKI3" s="120"/>
      <c r="LKJ3" s="120"/>
      <c r="LKK3" s="120"/>
      <c r="LKL3" s="120"/>
      <c r="LKM3" s="120"/>
      <c r="LKN3" s="120"/>
      <c r="LKO3" s="120"/>
      <c r="LKP3" s="120"/>
      <c r="LKQ3" s="120"/>
      <c r="LKR3" s="120"/>
      <c r="LKS3" s="120"/>
      <c r="LKT3" s="120"/>
      <c r="LKU3" s="120"/>
      <c r="LKV3" s="120"/>
      <c r="LKW3" s="120"/>
      <c r="LKX3" s="120"/>
      <c r="LKY3" s="120"/>
      <c r="LKZ3" s="120"/>
      <c r="LLA3" s="120"/>
      <c r="LLB3" s="120"/>
      <c r="LLC3" s="120"/>
      <c r="LLD3" s="120"/>
      <c r="LLE3" s="120"/>
      <c r="LLF3" s="120"/>
      <c r="LLG3" s="120"/>
      <c r="LLH3" s="120"/>
      <c r="LLI3" s="120"/>
      <c r="LLJ3" s="120"/>
      <c r="LLK3" s="120"/>
      <c r="LLL3" s="120"/>
      <c r="LLM3" s="120"/>
      <c r="LLN3" s="120"/>
      <c r="LLO3" s="120"/>
      <c r="LLP3" s="120"/>
      <c r="LLQ3" s="120"/>
      <c r="LLR3" s="120"/>
      <c r="LLS3" s="120"/>
      <c r="LLT3" s="120"/>
      <c r="LLU3" s="120"/>
      <c r="LLV3" s="120"/>
      <c r="LLW3" s="120"/>
      <c r="LLX3" s="120"/>
      <c r="LLY3" s="120"/>
      <c r="LLZ3" s="120"/>
      <c r="LMA3" s="120"/>
      <c r="LMB3" s="120"/>
      <c r="LMC3" s="120"/>
      <c r="LMD3" s="120"/>
      <c r="LME3" s="120"/>
      <c r="LMF3" s="120"/>
      <c r="LMG3" s="120"/>
      <c r="LMH3" s="120"/>
      <c r="LMI3" s="120"/>
      <c r="LMJ3" s="120"/>
      <c r="LMK3" s="120"/>
      <c r="LML3" s="120"/>
      <c r="LMM3" s="120"/>
      <c r="LMN3" s="120"/>
      <c r="LMO3" s="120"/>
      <c r="LMP3" s="120"/>
      <c r="LMQ3" s="120"/>
      <c r="LMR3" s="120"/>
      <c r="LMS3" s="120"/>
      <c r="LMT3" s="120"/>
      <c r="LMU3" s="120"/>
      <c r="LMV3" s="120"/>
      <c r="LMW3" s="120"/>
      <c r="LMX3" s="120"/>
      <c r="LMY3" s="120"/>
      <c r="LMZ3" s="120"/>
      <c r="LNA3" s="120"/>
      <c r="LNB3" s="120"/>
      <c r="LNC3" s="120"/>
      <c r="LND3" s="120"/>
      <c r="LNE3" s="120"/>
      <c r="LNF3" s="120"/>
      <c r="LNG3" s="120"/>
      <c r="LNH3" s="120"/>
      <c r="LNI3" s="120"/>
      <c r="LNJ3" s="120"/>
      <c r="LNK3" s="120"/>
      <c r="LNL3" s="120"/>
      <c r="LNM3" s="120"/>
      <c r="LNN3" s="120"/>
      <c r="LNO3" s="120"/>
      <c r="LNP3" s="120"/>
      <c r="LNQ3" s="120"/>
      <c r="LNR3" s="120"/>
      <c r="LNS3" s="120"/>
      <c r="LNT3" s="120"/>
      <c r="LNU3" s="120"/>
      <c r="LNV3" s="120"/>
      <c r="LNW3" s="120"/>
      <c r="LNX3" s="120"/>
      <c r="LNY3" s="120"/>
      <c r="LNZ3" s="120"/>
      <c r="LOA3" s="120"/>
      <c r="LOB3" s="120"/>
      <c r="LOC3" s="120"/>
      <c r="LOD3" s="120"/>
      <c r="LOE3" s="120"/>
      <c r="LOF3" s="120"/>
      <c r="LOG3" s="120"/>
      <c r="LOH3" s="120"/>
      <c r="LOI3" s="120"/>
      <c r="LOJ3" s="120"/>
      <c r="LOK3" s="120"/>
      <c r="LOL3" s="120"/>
      <c r="LOM3" s="120"/>
      <c r="LON3" s="120"/>
      <c r="LOO3" s="120"/>
      <c r="LOP3" s="120"/>
      <c r="LOQ3" s="120"/>
      <c r="LOR3" s="120"/>
      <c r="LOS3" s="120"/>
      <c r="LOT3" s="120"/>
      <c r="LOU3" s="120"/>
      <c r="LOV3" s="120"/>
      <c r="LOW3" s="120"/>
      <c r="LOX3" s="120"/>
      <c r="LOY3" s="120"/>
      <c r="LOZ3" s="120"/>
      <c r="LPA3" s="120"/>
      <c r="LPB3" s="120"/>
      <c r="LPC3" s="120"/>
      <c r="LPD3" s="120"/>
      <c r="LPE3" s="120"/>
      <c r="LPF3" s="120"/>
      <c r="LPG3" s="120"/>
      <c r="LPH3" s="120"/>
      <c r="LPI3" s="120"/>
      <c r="LPJ3" s="120"/>
      <c r="LPK3" s="120"/>
      <c r="LPL3" s="120"/>
      <c r="LPM3" s="120"/>
      <c r="LPN3" s="120"/>
      <c r="LPO3" s="120"/>
      <c r="LPP3" s="120"/>
      <c r="LPQ3" s="120"/>
      <c r="LPR3" s="120"/>
      <c r="LPS3" s="120"/>
      <c r="LPT3" s="120"/>
      <c r="LPU3" s="120"/>
      <c r="LPV3" s="120"/>
      <c r="LPW3" s="120"/>
      <c r="LPX3" s="120"/>
      <c r="LPY3" s="120"/>
      <c r="LPZ3" s="120"/>
      <c r="LQA3" s="120"/>
      <c r="LQB3" s="120"/>
      <c r="LQC3" s="120"/>
      <c r="LQD3" s="120"/>
      <c r="LQE3" s="120"/>
      <c r="LQF3" s="120"/>
      <c r="LQG3" s="120"/>
      <c r="LQH3" s="120"/>
      <c r="LQI3" s="120"/>
      <c r="LQJ3" s="120"/>
      <c r="LQK3" s="120"/>
      <c r="LQL3" s="120"/>
      <c r="LQM3" s="120"/>
      <c r="LQN3" s="120"/>
      <c r="LQO3" s="120"/>
      <c r="LQP3" s="120"/>
      <c r="LQQ3" s="120"/>
      <c r="LQR3" s="120"/>
      <c r="LQS3" s="120"/>
      <c r="LQT3" s="120"/>
      <c r="LQU3" s="120"/>
      <c r="LQV3" s="120"/>
      <c r="LQW3" s="120"/>
      <c r="LQX3" s="120"/>
      <c r="LQY3" s="120"/>
      <c r="LQZ3" s="120"/>
      <c r="LRA3" s="120"/>
      <c r="LRB3" s="120"/>
      <c r="LRC3" s="120"/>
      <c r="LRD3" s="120"/>
      <c r="LRE3" s="120"/>
      <c r="LRF3" s="120"/>
      <c r="LRG3" s="120"/>
      <c r="LRH3" s="120"/>
      <c r="LRI3" s="120"/>
      <c r="LRJ3" s="120"/>
      <c r="LRK3" s="120"/>
      <c r="LRL3" s="120"/>
      <c r="LRM3" s="120"/>
      <c r="LRN3" s="120"/>
      <c r="LRO3" s="120"/>
      <c r="LRP3" s="120"/>
      <c r="LRQ3" s="120"/>
      <c r="LRR3" s="120"/>
      <c r="LRS3" s="120"/>
      <c r="LRT3" s="120"/>
      <c r="LRU3" s="120"/>
      <c r="LRV3" s="120"/>
      <c r="LRW3" s="120"/>
      <c r="LRX3" s="120"/>
      <c r="LRY3" s="120"/>
      <c r="LRZ3" s="120"/>
      <c r="LSA3" s="120"/>
      <c r="LSB3" s="120"/>
      <c r="LSC3" s="120"/>
      <c r="LSD3" s="120"/>
      <c r="LSE3" s="120"/>
      <c r="LSF3" s="120"/>
      <c r="LSG3" s="120"/>
      <c r="LSH3" s="120"/>
      <c r="LSI3" s="120"/>
      <c r="LSJ3" s="120"/>
      <c r="LSK3" s="120"/>
      <c r="LSL3" s="120"/>
      <c r="LSM3" s="120"/>
      <c r="LSN3" s="120"/>
      <c r="LSO3" s="120"/>
      <c r="LSP3" s="120"/>
      <c r="LSQ3" s="120"/>
      <c r="LSR3" s="120"/>
      <c r="LSS3" s="120"/>
      <c r="LST3" s="120"/>
      <c r="LSU3" s="120"/>
      <c r="LSV3" s="120"/>
      <c r="LSW3" s="120"/>
      <c r="LSX3" s="120"/>
      <c r="LSY3" s="120"/>
      <c r="LSZ3" s="120"/>
      <c r="LTA3" s="120"/>
      <c r="LTB3" s="120"/>
      <c r="LTC3" s="120"/>
      <c r="LTD3" s="120"/>
      <c r="LTE3" s="120"/>
      <c r="LTF3" s="120"/>
      <c r="LTG3" s="120"/>
      <c r="LTH3" s="120"/>
      <c r="LTI3" s="120"/>
      <c r="LTJ3" s="120"/>
      <c r="LTK3" s="120"/>
      <c r="LTL3" s="120"/>
      <c r="LTM3" s="120"/>
      <c r="LTN3" s="120"/>
      <c r="LTO3" s="120"/>
      <c r="LTP3" s="120"/>
      <c r="LTQ3" s="120"/>
      <c r="LTR3" s="120"/>
      <c r="LTS3" s="120"/>
      <c r="LTT3" s="120"/>
      <c r="LTU3" s="120"/>
      <c r="LTV3" s="120"/>
      <c r="LTW3" s="120"/>
      <c r="LTX3" s="120"/>
      <c r="LTY3" s="120"/>
      <c r="LTZ3" s="120"/>
      <c r="LUA3" s="120"/>
      <c r="LUB3" s="120"/>
      <c r="LUC3" s="120"/>
      <c r="LUD3" s="120"/>
      <c r="LUE3" s="120"/>
      <c r="LUF3" s="120"/>
      <c r="LUG3" s="120"/>
      <c r="LUH3" s="120"/>
      <c r="LUI3" s="120"/>
      <c r="LUJ3" s="120"/>
      <c r="LUK3" s="120"/>
      <c r="LUL3" s="120"/>
      <c r="LUM3" s="120"/>
      <c r="LUN3" s="120"/>
      <c r="LUO3" s="120"/>
      <c r="LUP3" s="120"/>
      <c r="LUQ3" s="120"/>
      <c r="LUR3" s="120"/>
      <c r="LUS3" s="120"/>
      <c r="LUT3" s="120"/>
      <c r="LUU3" s="120"/>
      <c r="LUV3" s="120"/>
      <c r="LUW3" s="120"/>
      <c r="LUX3" s="120"/>
      <c r="LUY3" s="120"/>
      <c r="LUZ3" s="120"/>
      <c r="LVA3" s="120"/>
      <c r="LVB3" s="120"/>
      <c r="LVC3" s="120"/>
      <c r="LVD3" s="120"/>
      <c r="LVE3" s="120"/>
      <c r="LVF3" s="120"/>
      <c r="LVG3" s="120"/>
      <c r="LVH3" s="120"/>
      <c r="LVI3" s="120"/>
      <c r="LVJ3" s="120"/>
      <c r="LVK3" s="120"/>
      <c r="LVL3" s="120"/>
      <c r="LVM3" s="120"/>
      <c r="LVN3" s="120"/>
      <c r="LVO3" s="120"/>
      <c r="LVP3" s="120"/>
      <c r="LVQ3" s="120"/>
      <c r="LVR3" s="120"/>
      <c r="LVS3" s="120"/>
      <c r="LVT3" s="120"/>
      <c r="LVU3" s="120"/>
      <c r="LVV3" s="120"/>
      <c r="LVW3" s="120"/>
      <c r="LVX3" s="120"/>
      <c r="LVY3" s="120"/>
      <c r="LVZ3" s="120"/>
      <c r="LWA3" s="120"/>
      <c r="LWB3" s="120"/>
      <c r="LWC3" s="120"/>
      <c r="LWD3" s="120"/>
      <c r="LWE3" s="120"/>
      <c r="LWF3" s="120"/>
      <c r="LWG3" s="120"/>
      <c r="LWH3" s="120"/>
      <c r="LWI3" s="120"/>
      <c r="LWJ3" s="120"/>
      <c r="LWK3" s="120"/>
      <c r="LWL3" s="120"/>
      <c r="LWM3" s="120"/>
      <c r="LWN3" s="120"/>
      <c r="LWO3" s="120"/>
      <c r="LWP3" s="120"/>
      <c r="LWQ3" s="120"/>
      <c r="LWR3" s="120"/>
      <c r="LWS3" s="120"/>
      <c r="LWT3" s="120"/>
      <c r="LWU3" s="120"/>
      <c r="LWV3" s="120"/>
      <c r="LWW3" s="120"/>
      <c r="LWX3" s="120"/>
      <c r="LWY3" s="120"/>
      <c r="LWZ3" s="120"/>
      <c r="LXA3" s="120"/>
      <c r="LXB3" s="120"/>
      <c r="LXC3" s="120"/>
      <c r="LXD3" s="120"/>
      <c r="LXE3" s="120"/>
      <c r="LXF3" s="120"/>
      <c r="LXG3" s="120"/>
      <c r="LXH3" s="120"/>
      <c r="LXI3" s="120"/>
      <c r="LXJ3" s="120"/>
      <c r="LXK3" s="120"/>
      <c r="LXL3" s="120"/>
      <c r="LXM3" s="120"/>
      <c r="LXN3" s="120"/>
      <c r="LXO3" s="120"/>
      <c r="LXP3" s="120"/>
      <c r="LXQ3" s="120"/>
      <c r="LXR3" s="120"/>
      <c r="LXS3" s="120"/>
      <c r="LXT3" s="120"/>
      <c r="LXU3" s="120"/>
      <c r="LXV3" s="120"/>
      <c r="LXW3" s="120"/>
      <c r="LXX3" s="120"/>
      <c r="LXY3" s="120"/>
      <c r="LXZ3" s="120"/>
      <c r="LYA3" s="120"/>
      <c r="LYB3" s="120"/>
      <c r="LYC3" s="120"/>
      <c r="LYD3" s="120"/>
      <c r="LYE3" s="120"/>
      <c r="LYF3" s="120"/>
      <c r="LYG3" s="120"/>
      <c r="LYH3" s="120"/>
      <c r="LYI3" s="120"/>
      <c r="LYJ3" s="120"/>
      <c r="LYK3" s="120"/>
      <c r="LYL3" s="120"/>
      <c r="LYM3" s="120"/>
      <c r="LYN3" s="120"/>
      <c r="LYO3" s="120"/>
      <c r="LYP3" s="120"/>
      <c r="LYQ3" s="120"/>
      <c r="LYR3" s="120"/>
      <c r="LYS3" s="120"/>
      <c r="LYT3" s="120"/>
      <c r="LYU3" s="120"/>
      <c r="LYV3" s="120"/>
      <c r="LYW3" s="120"/>
      <c r="LYX3" s="120"/>
      <c r="LYY3" s="120"/>
      <c r="LYZ3" s="120"/>
      <c r="LZA3" s="120"/>
      <c r="LZB3" s="120"/>
      <c r="LZC3" s="120"/>
      <c r="LZD3" s="120"/>
      <c r="LZE3" s="120"/>
      <c r="LZF3" s="120"/>
      <c r="LZG3" s="120"/>
      <c r="LZH3" s="120"/>
      <c r="LZI3" s="120"/>
      <c r="LZJ3" s="120"/>
      <c r="LZK3" s="120"/>
      <c r="LZL3" s="120"/>
      <c r="LZM3" s="120"/>
      <c r="LZN3" s="120"/>
      <c r="LZO3" s="120"/>
      <c r="LZP3" s="120"/>
      <c r="LZQ3" s="120"/>
      <c r="LZR3" s="120"/>
      <c r="LZS3" s="120"/>
      <c r="LZT3" s="120"/>
      <c r="LZU3" s="120"/>
      <c r="LZV3" s="120"/>
      <c r="LZW3" s="120"/>
      <c r="LZX3" s="120"/>
      <c r="LZY3" s="120"/>
      <c r="LZZ3" s="120"/>
      <c r="MAA3" s="120"/>
      <c r="MAB3" s="120"/>
      <c r="MAC3" s="120"/>
      <c r="MAD3" s="120"/>
      <c r="MAE3" s="120"/>
      <c r="MAF3" s="120"/>
      <c r="MAG3" s="120"/>
      <c r="MAH3" s="120"/>
      <c r="MAI3" s="120"/>
      <c r="MAJ3" s="120"/>
      <c r="MAK3" s="120"/>
      <c r="MAL3" s="120"/>
      <c r="MAM3" s="120"/>
      <c r="MAN3" s="120"/>
      <c r="MAO3" s="120"/>
      <c r="MAP3" s="120"/>
      <c r="MAQ3" s="120"/>
      <c r="MAR3" s="120"/>
      <c r="MAS3" s="120"/>
      <c r="MAT3" s="120"/>
      <c r="MAU3" s="120"/>
      <c r="MAV3" s="120"/>
      <c r="MAW3" s="120"/>
      <c r="MAX3" s="120"/>
      <c r="MAY3" s="120"/>
      <c r="MAZ3" s="120"/>
      <c r="MBA3" s="120"/>
      <c r="MBB3" s="120"/>
      <c r="MBC3" s="120"/>
      <c r="MBD3" s="120"/>
      <c r="MBE3" s="120"/>
      <c r="MBF3" s="120"/>
      <c r="MBG3" s="120"/>
      <c r="MBH3" s="120"/>
      <c r="MBI3" s="120"/>
      <c r="MBJ3" s="120"/>
      <c r="MBK3" s="120"/>
      <c r="MBL3" s="120"/>
      <c r="MBM3" s="120"/>
      <c r="MBN3" s="120"/>
      <c r="MBO3" s="120"/>
      <c r="MBP3" s="120"/>
      <c r="MBQ3" s="120"/>
      <c r="MBR3" s="120"/>
      <c r="MBS3" s="120"/>
      <c r="MBT3" s="120"/>
      <c r="MBU3" s="120"/>
      <c r="MBV3" s="120"/>
      <c r="MBW3" s="120"/>
      <c r="MBX3" s="120"/>
      <c r="MBY3" s="120"/>
      <c r="MBZ3" s="120"/>
      <c r="MCA3" s="120"/>
      <c r="MCB3" s="120"/>
      <c r="MCC3" s="120"/>
      <c r="MCD3" s="120"/>
      <c r="MCE3" s="120"/>
      <c r="MCF3" s="120"/>
      <c r="MCG3" s="120"/>
      <c r="MCH3" s="120"/>
      <c r="MCI3" s="120"/>
      <c r="MCJ3" s="120"/>
      <c r="MCK3" s="120"/>
      <c r="MCL3" s="120"/>
      <c r="MCM3" s="120"/>
      <c r="MCN3" s="120"/>
      <c r="MCO3" s="120"/>
      <c r="MCP3" s="120"/>
      <c r="MCQ3" s="120"/>
      <c r="MCR3" s="120"/>
      <c r="MCS3" s="120"/>
      <c r="MCT3" s="120"/>
      <c r="MCU3" s="120"/>
      <c r="MCV3" s="120"/>
      <c r="MCW3" s="120"/>
      <c r="MCX3" s="120"/>
      <c r="MCY3" s="120"/>
      <c r="MCZ3" s="120"/>
      <c r="MDA3" s="120"/>
      <c r="MDB3" s="120"/>
      <c r="MDC3" s="120"/>
      <c r="MDD3" s="120"/>
      <c r="MDE3" s="120"/>
      <c r="MDF3" s="120"/>
      <c r="MDG3" s="120"/>
      <c r="MDH3" s="120"/>
      <c r="MDI3" s="120"/>
      <c r="MDJ3" s="120"/>
      <c r="MDK3" s="120"/>
      <c r="MDL3" s="120"/>
      <c r="MDM3" s="120"/>
      <c r="MDN3" s="120"/>
      <c r="MDO3" s="120"/>
      <c r="MDP3" s="120"/>
      <c r="MDQ3" s="120"/>
      <c r="MDR3" s="120"/>
      <c r="MDS3" s="120"/>
      <c r="MDT3" s="120"/>
      <c r="MDU3" s="120"/>
      <c r="MDV3" s="120"/>
      <c r="MDW3" s="120"/>
      <c r="MDX3" s="120"/>
      <c r="MDY3" s="120"/>
      <c r="MDZ3" s="120"/>
      <c r="MEA3" s="120"/>
      <c r="MEB3" s="120"/>
      <c r="MEC3" s="120"/>
      <c r="MED3" s="120"/>
      <c r="MEE3" s="120"/>
      <c r="MEF3" s="120"/>
      <c r="MEG3" s="120"/>
      <c r="MEH3" s="120"/>
      <c r="MEI3" s="120"/>
      <c r="MEJ3" s="120"/>
      <c r="MEK3" s="120"/>
      <c r="MEL3" s="120"/>
      <c r="MEM3" s="120"/>
      <c r="MEN3" s="120"/>
      <c r="MEO3" s="120"/>
      <c r="MEP3" s="120"/>
      <c r="MEQ3" s="120"/>
      <c r="MER3" s="120"/>
      <c r="MES3" s="120"/>
      <c r="MET3" s="120"/>
      <c r="MEU3" s="120"/>
      <c r="MEV3" s="120"/>
      <c r="MEW3" s="120"/>
      <c r="MEX3" s="120"/>
      <c r="MEY3" s="120"/>
      <c r="MEZ3" s="120"/>
      <c r="MFA3" s="120"/>
      <c r="MFB3" s="120"/>
      <c r="MFC3" s="120"/>
      <c r="MFD3" s="120"/>
      <c r="MFE3" s="120"/>
      <c r="MFF3" s="120"/>
      <c r="MFG3" s="120"/>
      <c r="MFH3" s="120"/>
      <c r="MFI3" s="120"/>
      <c r="MFJ3" s="120"/>
      <c r="MFK3" s="120"/>
      <c r="MFL3" s="120"/>
      <c r="MFM3" s="120"/>
      <c r="MFN3" s="120"/>
      <c r="MFO3" s="120"/>
      <c r="MFP3" s="120"/>
      <c r="MFQ3" s="120"/>
      <c r="MFR3" s="120"/>
      <c r="MFS3" s="120"/>
      <c r="MFT3" s="120"/>
      <c r="MFU3" s="120"/>
      <c r="MFV3" s="120"/>
      <c r="MFW3" s="120"/>
      <c r="MFX3" s="120"/>
      <c r="MFY3" s="120"/>
      <c r="MFZ3" s="120"/>
      <c r="MGA3" s="120"/>
      <c r="MGB3" s="120"/>
      <c r="MGC3" s="120"/>
      <c r="MGD3" s="120"/>
      <c r="MGE3" s="120"/>
      <c r="MGF3" s="120"/>
      <c r="MGG3" s="120"/>
      <c r="MGH3" s="120"/>
      <c r="MGI3" s="120"/>
      <c r="MGJ3" s="120"/>
      <c r="MGK3" s="120"/>
      <c r="MGL3" s="120"/>
      <c r="MGM3" s="120"/>
      <c r="MGN3" s="120"/>
      <c r="MGO3" s="120"/>
      <c r="MGP3" s="120"/>
      <c r="MGQ3" s="120"/>
      <c r="MGR3" s="120"/>
      <c r="MGS3" s="120"/>
      <c r="MGT3" s="120"/>
      <c r="MGU3" s="120"/>
      <c r="MGV3" s="120"/>
      <c r="MGW3" s="120"/>
      <c r="MGX3" s="120"/>
      <c r="MGY3" s="120"/>
      <c r="MGZ3" s="120"/>
      <c r="MHA3" s="120"/>
      <c r="MHB3" s="120"/>
      <c r="MHC3" s="120"/>
      <c r="MHD3" s="120"/>
      <c r="MHE3" s="120"/>
      <c r="MHF3" s="120"/>
      <c r="MHG3" s="120"/>
      <c r="MHH3" s="120"/>
      <c r="MHI3" s="120"/>
      <c r="MHJ3" s="120"/>
      <c r="MHK3" s="120"/>
      <c r="MHL3" s="120"/>
      <c r="MHM3" s="120"/>
      <c r="MHN3" s="120"/>
      <c r="MHO3" s="120"/>
      <c r="MHP3" s="120"/>
      <c r="MHQ3" s="120"/>
      <c r="MHR3" s="120"/>
      <c r="MHS3" s="120"/>
      <c r="MHT3" s="120"/>
      <c r="MHU3" s="120"/>
      <c r="MHV3" s="120"/>
      <c r="MHW3" s="120"/>
      <c r="MHX3" s="120"/>
      <c r="MHY3" s="120"/>
      <c r="MHZ3" s="120"/>
      <c r="MIA3" s="120"/>
      <c r="MIB3" s="120"/>
      <c r="MIC3" s="120"/>
      <c r="MID3" s="120"/>
      <c r="MIE3" s="120"/>
      <c r="MIF3" s="120"/>
      <c r="MIG3" s="120"/>
      <c r="MIH3" s="120"/>
      <c r="MII3" s="120"/>
      <c r="MIJ3" s="120"/>
      <c r="MIK3" s="120"/>
      <c r="MIL3" s="120"/>
      <c r="MIM3" s="120"/>
      <c r="MIN3" s="120"/>
      <c r="MIO3" s="120"/>
      <c r="MIP3" s="120"/>
      <c r="MIQ3" s="120"/>
      <c r="MIR3" s="120"/>
      <c r="MIS3" s="120"/>
      <c r="MIT3" s="120"/>
      <c r="MIU3" s="120"/>
      <c r="MIV3" s="120"/>
      <c r="MIW3" s="120"/>
      <c r="MIX3" s="120"/>
      <c r="MIY3" s="120"/>
      <c r="MIZ3" s="120"/>
      <c r="MJA3" s="120"/>
      <c r="MJB3" s="120"/>
      <c r="MJC3" s="120"/>
      <c r="MJD3" s="120"/>
      <c r="MJE3" s="120"/>
      <c r="MJF3" s="120"/>
      <c r="MJG3" s="120"/>
      <c r="MJH3" s="120"/>
      <c r="MJI3" s="120"/>
      <c r="MJJ3" s="120"/>
      <c r="MJK3" s="120"/>
      <c r="MJL3" s="120"/>
      <c r="MJM3" s="120"/>
      <c r="MJN3" s="120"/>
      <c r="MJO3" s="120"/>
      <c r="MJP3" s="120"/>
      <c r="MJQ3" s="120"/>
      <c r="MJR3" s="120"/>
      <c r="MJS3" s="120"/>
      <c r="MJT3" s="120"/>
      <c r="MJU3" s="120"/>
      <c r="MJV3" s="120"/>
      <c r="MJW3" s="120"/>
      <c r="MJX3" s="120"/>
      <c r="MJY3" s="120"/>
      <c r="MJZ3" s="120"/>
      <c r="MKA3" s="120"/>
      <c r="MKB3" s="120"/>
      <c r="MKC3" s="120"/>
      <c r="MKD3" s="120"/>
      <c r="MKE3" s="120"/>
      <c r="MKF3" s="120"/>
      <c r="MKG3" s="120"/>
      <c r="MKH3" s="120"/>
      <c r="MKI3" s="120"/>
      <c r="MKJ3" s="120"/>
      <c r="MKK3" s="120"/>
      <c r="MKL3" s="120"/>
      <c r="MKM3" s="120"/>
      <c r="MKN3" s="120"/>
      <c r="MKO3" s="120"/>
      <c r="MKP3" s="120"/>
      <c r="MKQ3" s="120"/>
      <c r="MKR3" s="120"/>
      <c r="MKS3" s="120"/>
      <c r="MKT3" s="120"/>
      <c r="MKU3" s="120"/>
      <c r="MKV3" s="120"/>
      <c r="MKW3" s="120"/>
      <c r="MKX3" s="120"/>
      <c r="MKY3" s="120"/>
      <c r="MKZ3" s="120"/>
      <c r="MLA3" s="120"/>
      <c r="MLB3" s="120"/>
      <c r="MLC3" s="120"/>
      <c r="MLD3" s="120"/>
      <c r="MLE3" s="120"/>
      <c r="MLF3" s="120"/>
      <c r="MLG3" s="120"/>
      <c r="MLH3" s="120"/>
      <c r="MLI3" s="120"/>
      <c r="MLJ3" s="120"/>
      <c r="MLK3" s="120"/>
      <c r="MLL3" s="120"/>
      <c r="MLM3" s="120"/>
      <c r="MLN3" s="120"/>
      <c r="MLO3" s="120"/>
      <c r="MLP3" s="120"/>
      <c r="MLQ3" s="120"/>
      <c r="MLR3" s="120"/>
      <c r="MLS3" s="120"/>
      <c r="MLT3" s="120"/>
      <c r="MLU3" s="120"/>
      <c r="MLV3" s="120"/>
      <c r="MLW3" s="120"/>
      <c r="MLX3" s="120"/>
      <c r="MLY3" s="120"/>
      <c r="MLZ3" s="120"/>
      <c r="MMA3" s="120"/>
      <c r="MMB3" s="120"/>
      <c r="MMC3" s="120"/>
      <c r="MMD3" s="120"/>
      <c r="MME3" s="120"/>
      <c r="MMF3" s="120"/>
      <c r="MMG3" s="120"/>
      <c r="MMH3" s="120"/>
      <c r="MMI3" s="120"/>
      <c r="MMJ3" s="120"/>
      <c r="MMK3" s="120"/>
      <c r="MML3" s="120"/>
      <c r="MMM3" s="120"/>
      <c r="MMN3" s="120"/>
      <c r="MMO3" s="120"/>
      <c r="MMP3" s="120"/>
      <c r="MMQ3" s="120"/>
      <c r="MMR3" s="120"/>
      <c r="MMS3" s="120"/>
      <c r="MMT3" s="120"/>
      <c r="MMU3" s="120"/>
      <c r="MMV3" s="120"/>
      <c r="MMW3" s="120"/>
      <c r="MMX3" s="120"/>
      <c r="MMY3" s="120"/>
      <c r="MMZ3" s="120"/>
      <c r="MNA3" s="120"/>
      <c r="MNB3" s="120"/>
      <c r="MNC3" s="120"/>
      <c r="MND3" s="120"/>
      <c r="MNE3" s="120"/>
      <c r="MNF3" s="120"/>
      <c r="MNG3" s="120"/>
      <c r="MNH3" s="120"/>
      <c r="MNI3" s="120"/>
      <c r="MNJ3" s="120"/>
      <c r="MNK3" s="120"/>
      <c r="MNL3" s="120"/>
      <c r="MNM3" s="120"/>
      <c r="MNN3" s="120"/>
      <c r="MNO3" s="120"/>
      <c r="MNP3" s="120"/>
      <c r="MNQ3" s="120"/>
      <c r="MNR3" s="120"/>
      <c r="MNS3" s="120"/>
      <c r="MNT3" s="120"/>
      <c r="MNU3" s="120"/>
      <c r="MNV3" s="120"/>
      <c r="MNW3" s="120"/>
      <c r="MNX3" s="120"/>
      <c r="MNY3" s="120"/>
      <c r="MNZ3" s="120"/>
      <c r="MOA3" s="120"/>
      <c r="MOB3" s="120"/>
      <c r="MOC3" s="120"/>
      <c r="MOD3" s="120"/>
      <c r="MOE3" s="120"/>
      <c r="MOF3" s="120"/>
      <c r="MOG3" s="120"/>
      <c r="MOH3" s="120"/>
      <c r="MOI3" s="120"/>
      <c r="MOJ3" s="120"/>
      <c r="MOK3" s="120"/>
      <c r="MOL3" s="120"/>
      <c r="MOM3" s="120"/>
      <c r="MON3" s="120"/>
      <c r="MOO3" s="120"/>
      <c r="MOP3" s="120"/>
      <c r="MOQ3" s="120"/>
      <c r="MOR3" s="120"/>
      <c r="MOS3" s="120"/>
      <c r="MOT3" s="120"/>
      <c r="MOU3" s="120"/>
      <c r="MOV3" s="120"/>
      <c r="MOW3" s="120"/>
      <c r="MOX3" s="120"/>
      <c r="MOY3" s="120"/>
      <c r="MOZ3" s="120"/>
      <c r="MPA3" s="120"/>
      <c r="MPB3" s="120"/>
      <c r="MPC3" s="120"/>
      <c r="MPD3" s="120"/>
      <c r="MPE3" s="120"/>
      <c r="MPF3" s="120"/>
      <c r="MPG3" s="120"/>
      <c r="MPH3" s="120"/>
      <c r="MPI3" s="120"/>
      <c r="MPJ3" s="120"/>
      <c r="MPK3" s="120"/>
      <c r="MPL3" s="120"/>
      <c r="MPM3" s="120"/>
      <c r="MPN3" s="120"/>
      <c r="MPO3" s="120"/>
      <c r="MPP3" s="120"/>
      <c r="MPQ3" s="120"/>
      <c r="MPR3" s="120"/>
      <c r="MPS3" s="120"/>
      <c r="MPT3" s="120"/>
      <c r="MPU3" s="120"/>
      <c r="MPV3" s="120"/>
      <c r="MPW3" s="120"/>
      <c r="MPX3" s="120"/>
      <c r="MPY3" s="120"/>
      <c r="MPZ3" s="120"/>
      <c r="MQA3" s="120"/>
      <c r="MQB3" s="120"/>
      <c r="MQC3" s="120"/>
      <c r="MQD3" s="120"/>
      <c r="MQE3" s="120"/>
      <c r="MQF3" s="120"/>
      <c r="MQG3" s="120"/>
      <c r="MQH3" s="120"/>
      <c r="MQI3" s="120"/>
      <c r="MQJ3" s="120"/>
      <c r="MQK3" s="120"/>
      <c r="MQL3" s="120"/>
      <c r="MQM3" s="120"/>
      <c r="MQN3" s="120"/>
      <c r="MQO3" s="120"/>
      <c r="MQP3" s="120"/>
      <c r="MQQ3" s="120"/>
      <c r="MQR3" s="120"/>
      <c r="MQS3" s="120"/>
      <c r="MQT3" s="120"/>
      <c r="MQU3" s="120"/>
      <c r="MQV3" s="120"/>
      <c r="MQW3" s="120"/>
      <c r="MQX3" s="120"/>
      <c r="MQY3" s="120"/>
      <c r="MQZ3" s="120"/>
      <c r="MRA3" s="120"/>
      <c r="MRB3" s="120"/>
      <c r="MRC3" s="120"/>
      <c r="MRD3" s="120"/>
      <c r="MRE3" s="120"/>
      <c r="MRF3" s="120"/>
      <c r="MRG3" s="120"/>
      <c r="MRH3" s="120"/>
      <c r="MRI3" s="120"/>
      <c r="MRJ3" s="120"/>
      <c r="MRK3" s="120"/>
      <c r="MRL3" s="120"/>
      <c r="MRM3" s="120"/>
      <c r="MRN3" s="120"/>
      <c r="MRO3" s="120"/>
      <c r="MRP3" s="120"/>
      <c r="MRQ3" s="120"/>
      <c r="MRR3" s="120"/>
      <c r="MRS3" s="120"/>
      <c r="MRT3" s="120"/>
      <c r="MRU3" s="120"/>
      <c r="MRV3" s="120"/>
      <c r="MRW3" s="120"/>
      <c r="MRX3" s="120"/>
      <c r="MRY3" s="120"/>
      <c r="MRZ3" s="120"/>
      <c r="MSA3" s="120"/>
      <c r="MSB3" s="120"/>
      <c r="MSC3" s="120"/>
      <c r="MSD3" s="120"/>
      <c r="MSE3" s="120"/>
      <c r="MSF3" s="120"/>
      <c r="MSG3" s="120"/>
      <c r="MSH3" s="120"/>
      <c r="MSI3" s="120"/>
      <c r="MSJ3" s="120"/>
      <c r="MSK3" s="120"/>
      <c r="MSL3" s="120"/>
      <c r="MSM3" s="120"/>
      <c r="MSN3" s="120"/>
      <c r="MSO3" s="120"/>
      <c r="MSP3" s="120"/>
      <c r="MSQ3" s="120"/>
      <c r="MSR3" s="120"/>
      <c r="MSS3" s="120"/>
      <c r="MST3" s="120"/>
      <c r="MSU3" s="120"/>
      <c r="MSV3" s="120"/>
      <c r="MSW3" s="120"/>
      <c r="MSX3" s="120"/>
      <c r="MSY3" s="120"/>
      <c r="MSZ3" s="120"/>
      <c r="MTA3" s="120"/>
      <c r="MTB3" s="120"/>
      <c r="MTC3" s="120"/>
      <c r="MTD3" s="120"/>
      <c r="MTE3" s="120"/>
      <c r="MTF3" s="120"/>
      <c r="MTG3" s="120"/>
      <c r="MTH3" s="120"/>
      <c r="MTI3" s="120"/>
      <c r="MTJ3" s="120"/>
      <c r="MTK3" s="120"/>
      <c r="MTL3" s="120"/>
      <c r="MTM3" s="120"/>
      <c r="MTN3" s="120"/>
      <c r="MTO3" s="120"/>
      <c r="MTP3" s="120"/>
      <c r="MTQ3" s="120"/>
      <c r="MTR3" s="120"/>
      <c r="MTS3" s="120"/>
      <c r="MTT3" s="120"/>
      <c r="MTU3" s="120"/>
      <c r="MTV3" s="120"/>
      <c r="MTW3" s="120"/>
      <c r="MTX3" s="120"/>
      <c r="MTY3" s="120"/>
      <c r="MTZ3" s="120"/>
      <c r="MUA3" s="120"/>
      <c r="MUB3" s="120"/>
      <c r="MUC3" s="120"/>
      <c r="MUD3" s="120"/>
      <c r="MUE3" s="120"/>
      <c r="MUF3" s="120"/>
      <c r="MUG3" s="120"/>
      <c r="MUH3" s="120"/>
      <c r="MUI3" s="120"/>
      <c r="MUJ3" s="120"/>
      <c r="MUK3" s="120"/>
      <c r="MUL3" s="120"/>
      <c r="MUM3" s="120"/>
      <c r="MUN3" s="120"/>
      <c r="MUO3" s="120"/>
      <c r="MUP3" s="120"/>
      <c r="MUQ3" s="120"/>
      <c r="MUR3" s="120"/>
      <c r="MUS3" s="120"/>
      <c r="MUT3" s="120"/>
      <c r="MUU3" s="120"/>
      <c r="MUV3" s="120"/>
      <c r="MUW3" s="120"/>
      <c r="MUX3" s="120"/>
      <c r="MUY3" s="120"/>
      <c r="MUZ3" s="120"/>
      <c r="MVA3" s="120"/>
      <c r="MVB3" s="120"/>
      <c r="MVC3" s="120"/>
      <c r="MVD3" s="120"/>
      <c r="MVE3" s="120"/>
      <c r="MVF3" s="120"/>
      <c r="MVG3" s="120"/>
      <c r="MVH3" s="120"/>
      <c r="MVI3" s="120"/>
      <c r="MVJ3" s="120"/>
      <c r="MVK3" s="120"/>
      <c r="MVL3" s="120"/>
      <c r="MVM3" s="120"/>
      <c r="MVN3" s="120"/>
      <c r="MVO3" s="120"/>
      <c r="MVP3" s="120"/>
      <c r="MVQ3" s="120"/>
      <c r="MVR3" s="120"/>
      <c r="MVS3" s="120"/>
      <c r="MVT3" s="120"/>
      <c r="MVU3" s="120"/>
      <c r="MVV3" s="120"/>
      <c r="MVW3" s="120"/>
      <c r="MVX3" s="120"/>
      <c r="MVY3" s="120"/>
      <c r="MVZ3" s="120"/>
      <c r="MWA3" s="120"/>
      <c r="MWB3" s="120"/>
      <c r="MWC3" s="120"/>
      <c r="MWD3" s="120"/>
      <c r="MWE3" s="120"/>
      <c r="MWF3" s="120"/>
      <c r="MWG3" s="120"/>
      <c r="MWH3" s="120"/>
      <c r="MWI3" s="120"/>
      <c r="MWJ3" s="120"/>
      <c r="MWK3" s="120"/>
      <c r="MWL3" s="120"/>
      <c r="MWM3" s="120"/>
      <c r="MWN3" s="120"/>
      <c r="MWO3" s="120"/>
      <c r="MWP3" s="120"/>
      <c r="MWQ3" s="120"/>
      <c r="MWR3" s="120"/>
      <c r="MWS3" s="120"/>
      <c r="MWT3" s="120"/>
      <c r="MWU3" s="120"/>
      <c r="MWV3" s="120"/>
      <c r="MWW3" s="120"/>
      <c r="MWX3" s="120"/>
      <c r="MWY3" s="120"/>
      <c r="MWZ3" s="120"/>
      <c r="MXA3" s="120"/>
      <c r="MXB3" s="120"/>
      <c r="MXC3" s="120"/>
      <c r="MXD3" s="120"/>
      <c r="MXE3" s="120"/>
      <c r="MXF3" s="120"/>
      <c r="MXG3" s="120"/>
      <c r="MXH3" s="120"/>
      <c r="MXI3" s="120"/>
      <c r="MXJ3" s="120"/>
      <c r="MXK3" s="120"/>
      <c r="MXL3" s="120"/>
      <c r="MXM3" s="120"/>
      <c r="MXN3" s="120"/>
      <c r="MXO3" s="120"/>
      <c r="MXP3" s="120"/>
      <c r="MXQ3" s="120"/>
      <c r="MXR3" s="120"/>
      <c r="MXS3" s="120"/>
      <c r="MXT3" s="120"/>
      <c r="MXU3" s="120"/>
      <c r="MXV3" s="120"/>
      <c r="MXW3" s="120"/>
      <c r="MXX3" s="120"/>
      <c r="MXY3" s="120"/>
      <c r="MXZ3" s="120"/>
      <c r="MYA3" s="120"/>
      <c r="MYB3" s="120"/>
      <c r="MYC3" s="120"/>
      <c r="MYD3" s="120"/>
      <c r="MYE3" s="120"/>
      <c r="MYF3" s="120"/>
      <c r="MYG3" s="120"/>
      <c r="MYH3" s="120"/>
      <c r="MYI3" s="120"/>
      <c r="MYJ3" s="120"/>
      <c r="MYK3" s="120"/>
      <c r="MYL3" s="120"/>
      <c r="MYM3" s="120"/>
      <c r="MYN3" s="120"/>
      <c r="MYO3" s="120"/>
      <c r="MYP3" s="120"/>
      <c r="MYQ3" s="120"/>
      <c r="MYR3" s="120"/>
      <c r="MYS3" s="120"/>
      <c r="MYT3" s="120"/>
      <c r="MYU3" s="120"/>
      <c r="MYV3" s="120"/>
      <c r="MYW3" s="120"/>
      <c r="MYX3" s="120"/>
      <c r="MYY3" s="120"/>
      <c r="MYZ3" s="120"/>
      <c r="MZA3" s="120"/>
      <c r="MZB3" s="120"/>
      <c r="MZC3" s="120"/>
      <c r="MZD3" s="120"/>
      <c r="MZE3" s="120"/>
      <c r="MZF3" s="120"/>
      <c r="MZG3" s="120"/>
      <c r="MZH3" s="120"/>
      <c r="MZI3" s="120"/>
      <c r="MZJ3" s="120"/>
      <c r="MZK3" s="120"/>
      <c r="MZL3" s="120"/>
      <c r="MZM3" s="120"/>
      <c r="MZN3" s="120"/>
      <c r="MZO3" s="120"/>
      <c r="MZP3" s="120"/>
      <c r="MZQ3" s="120"/>
      <c r="MZR3" s="120"/>
      <c r="MZS3" s="120"/>
      <c r="MZT3" s="120"/>
      <c r="MZU3" s="120"/>
      <c r="MZV3" s="120"/>
      <c r="MZW3" s="120"/>
      <c r="MZX3" s="120"/>
      <c r="MZY3" s="120"/>
      <c r="MZZ3" s="120"/>
      <c r="NAA3" s="120"/>
      <c r="NAB3" s="120"/>
      <c r="NAC3" s="120"/>
      <c r="NAD3" s="120"/>
      <c r="NAE3" s="120"/>
      <c r="NAF3" s="120"/>
      <c r="NAG3" s="120"/>
      <c r="NAH3" s="120"/>
      <c r="NAI3" s="120"/>
      <c r="NAJ3" s="120"/>
      <c r="NAK3" s="120"/>
      <c r="NAL3" s="120"/>
      <c r="NAM3" s="120"/>
      <c r="NAN3" s="120"/>
      <c r="NAO3" s="120"/>
      <c r="NAP3" s="120"/>
      <c r="NAQ3" s="120"/>
      <c r="NAR3" s="120"/>
      <c r="NAS3" s="120"/>
      <c r="NAT3" s="120"/>
      <c r="NAU3" s="120"/>
      <c r="NAV3" s="120"/>
      <c r="NAW3" s="120"/>
      <c r="NAX3" s="120"/>
      <c r="NAY3" s="120"/>
      <c r="NAZ3" s="120"/>
      <c r="NBA3" s="120"/>
      <c r="NBB3" s="120"/>
      <c r="NBC3" s="120"/>
      <c r="NBD3" s="120"/>
      <c r="NBE3" s="120"/>
      <c r="NBF3" s="120"/>
      <c r="NBG3" s="120"/>
      <c r="NBH3" s="120"/>
      <c r="NBI3" s="120"/>
      <c r="NBJ3" s="120"/>
      <c r="NBK3" s="120"/>
      <c r="NBL3" s="120"/>
      <c r="NBM3" s="120"/>
      <c r="NBN3" s="120"/>
      <c r="NBO3" s="120"/>
      <c r="NBP3" s="120"/>
      <c r="NBQ3" s="120"/>
      <c r="NBR3" s="120"/>
      <c r="NBS3" s="120"/>
      <c r="NBT3" s="120"/>
      <c r="NBU3" s="120"/>
      <c r="NBV3" s="120"/>
      <c r="NBW3" s="120"/>
      <c r="NBX3" s="120"/>
      <c r="NBY3" s="120"/>
      <c r="NBZ3" s="120"/>
      <c r="NCA3" s="120"/>
      <c r="NCB3" s="120"/>
      <c r="NCC3" s="120"/>
      <c r="NCD3" s="120"/>
      <c r="NCE3" s="120"/>
      <c r="NCF3" s="120"/>
      <c r="NCG3" s="120"/>
      <c r="NCH3" s="120"/>
      <c r="NCI3" s="120"/>
      <c r="NCJ3" s="120"/>
      <c r="NCK3" s="120"/>
      <c r="NCL3" s="120"/>
      <c r="NCM3" s="120"/>
      <c r="NCN3" s="120"/>
      <c r="NCO3" s="120"/>
      <c r="NCP3" s="120"/>
      <c r="NCQ3" s="120"/>
      <c r="NCR3" s="120"/>
      <c r="NCS3" s="120"/>
      <c r="NCT3" s="120"/>
      <c r="NCU3" s="120"/>
      <c r="NCV3" s="120"/>
      <c r="NCW3" s="120"/>
      <c r="NCX3" s="120"/>
      <c r="NCY3" s="120"/>
      <c r="NCZ3" s="120"/>
      <c r="NDA3" s="120"/>
      <c r="NDB3" s="120"/>
      <c r="NDC3" s="120"/>
      <c r="NDD3" s="120"/>
      <c r="NDE3" s="120"/>
      <c r="NDF3" s="120"/>
      <c r="NDG3" s="120"/>
      <c r="NDH3" s="120"/>
      <c r="NDI3" s="120"/>
      <c r="NDJ3" s="120"/>
      <c r="NDK3" s="120"/>
      <c r="NDL3" s="120"/>
      <c r="NDM3" s="120"/>
      <c r="NDN3" s="120"/>
      <c r="NDO3" s="120"/>
      <c r="NDP3" s="120"/>
      <c r="NDQ3" s="120"/>
      <c r="NDR3" s="120"/>
      <c r="NDS3" s="120"/>
      <c r="NDT3" s="120"/>
      <c r="NDU3" s="120"/>
      <c r="NDV3" s="120"/>
      <c r="NDW3" s="120"/>
      <c r="NDX3" s="120"/>
      <c r="NDY3" s="120"/>
      <c r="NDZ3" s="120"/>
      <c r="NEA3" s="120"/>
      <c r="NEB3" s="120"/>
      <c r="NEC3" s="120"/>
      <c r="NED3" s="120"/>
      <c r="NEE3" s="120"/>
      <c r="NEF3" s="120"/>
      <c r="NEG3" s="120"/>
      <c r="NEH3" s="120"/>
      <c r="NEI3" s="120"/>
      <c r="NEJ3" s="120"/>
      <c r="NEK3" s="120"/>
      <c r="NEL3" s="120"/>
      <c r="NEM3" s="120"/>
      <c r="NEN3" s="120"/>
      <c r="NEO3" s="120"/>
      <c r="NEP3" s="120"/>
      <c r="NEQ3" s="120"/>
      <c r="NER3" s="120"/>
      <c r="NES3" s="120"/>
      <c r="NET3" s="120"/>
      <c r="NEU3" s="120"/>
      <c r="NEV3" s="120"/>
      <c r="NEW3" s="120"/>
      <c r="NEX3" s="120"/>
      <c r="NEY3" s="120"/>
      <c r="NEZ3" s="120"/>
      <c r="NFA3" s="120"/>
      <c r="NFB3" s="120"/>
      <c r="NFC3" s="120"/>
      <c r="NFD3" s="120"/>
      <c r="NFE3" s="120"/>
      <c r="NFF3" s="120"/>
      <c r="NFG3" s="120"/>
      <c r="NFH3" s="120"/>
      <c r="NFI3" s="120"/>
      <c r="NFJ3" s="120"/>
      <c r="NFK3" s="120"/>
      <c r="NFL3" s="120"/>
      <c r="NFM3" s="120"/>
      <c r="NFN3" s="120"/>
      <c r="NFO3" s="120"/>
      <c r="NFP3" s="120"/>
      <c r="NFQ3" s="120"/>
      <c r="NFR3" s="120"/>
      <c r="NFS3" s="120"/>
      <c r="NFT3" s="120"/>
      <c r="NFU3" s="120"/>
      <c r="NFV3" s="120"/>
      <c r="NFW3" s="120"/>
      <c r="NFX3" s="120"/>
      <c r="NFY3" s="120"/>
      <c r="NFZ3" s="120"/>
      <c r="NGA3" s="120"/>
      <c r="NGB3" s="120"/>
      <c r="NGC3" s="120"/>
      <c r="NGD3" s="120"/>
      <c r="NGE3" s="120"/>
      <c r="NGF3" s="120"/>
      <c r="NGG3" s="120"/>
      <c r="NGH3" s="120"/>
      <c r="NGI3" s="120"/>
      <c r="NGJ3" s="120"/>
      <c r="NGK3" s="120"/>
      <c r="NGL3" s="120"/>
      <c r="NGM3" s="120"/>
      <c r="NGN3" s="120"/>
      <c r="NGO3" s="120"/>
      <c r="NGP3" s="120"/>
      <c r="NGQ3" s="120"/>
      <c r="NGR3" s="120"/>
      <c r="NGS3" s="120"/>
      <c r="NGT3" s="120"/>
      <c r="NGU3" s="120"/>
      <c r="NGV3" s="120"/>
      <c r="NGW3" s="120"/>
      <c r="NGX3" s="120"/>
      <c r="NGY3" s="120"/>
      <c r="NGZ3" s="120"/>
      <c r="NHA3" s="120"/>
      <c r="NHB3" s="120"/>
      <c r="NHC3" s="120"/>
      <c r="NHD3" s="120"/>
      <c r="NHE3" s="120"/>
      <c r="NHF3" s="120"/>
      <c r="NHG3" s="120"/>
      <c r="NHH3" s="120"/>
      <c r="NHI3" s="120"/>
      <c r="NHJ3" s="120"/>
      <c r="NHK3" s="120"/>
      <c r="NHL3" s="120"/>
      <c r="NHM3" s="120"/>
      <c r="NHN3" s="120"/>
      <c r="NHO3" s="120"/>
      <c r="NHP3" s="120"/>
      <c r="NHQ3" s="120"/>
      <c r="NHR3" s="120"/>
      <c r="NHS3" s="120"/>
      <c r="NHT3" s="120"/>
      <c r="NHU3" s="120"/>
      <c r="NHV3" s="120"/>
      <c r="NHW3" s="120"/>
      <c r="NHX3" s="120"/>
      <c r="NHY3" s="120"/>
      <c r="NHZ3" s="120"/>
      <c r="NIA3" s="120"/>
      <c r="NIB3" s="120"/>
      <c r="NIC3" s="120"/>
      <c r="NID3" s="120"/>
      <c r="NIE3" s="120"/>
      <c r="NIF3" s="120"/>
      <c r="NIG3" s="120"/>
      <c r="NIH3" s="120"/>
      <c r="NII3" s="120"/>
      <c r="NIJ3" s="120"/>
      <c r="NIK3" s="120"/>
      <c r="NIL3" s="120"/>
      <c r="NIM3" s="120"/>
      <c r="NIN3" s="120"/>
      <c r="NIO3" s="120"/>
      <c r="NIP3" s="120"/>
      <c r="NIQ3" s="120"/>
      <c r="NIR3" s="120"/>
      <c r="NIS3" s="120"/>
      <c r="NIT3" s="120"/>
      <c r="NIU3" s="120"/>
      <c r="NIV3" s="120"/>
      <c r="NIW3" s="120"/>
      <c r="NIX3" s="120"/>
      <c r="NIY3" s="120"/>
      <c r="NIZ3" s="120"/>
      <c r="NJA3" s="120"/>
      <c r="NJB3" s="120"/>
      <c r="NJC3" s="120"/>
      <c r="NJD3" s="120"/>
      <c r="NJE3" s="120"/>
      <c r="NJF3" s="120"/>
      <c r="NJG3" s="120"/>
      <c r="NJH3" s="120"/>
      <c r="NJI3" s="120"/>
      <c r="NJJ3" s="120"/>
      <c r="NJK3" s="120"/>
      <c r="NJL3" s="120"/>
      <c r="NJM3" s="120"/>
      <c r="NJN3" s="120"/>
      <c r="NJO3" s="120"/>
      <c r="NJP3" s="120"/>
      <c r="NJQ3" s="120"/>
      <c r="NJR3" s="120"/>
      <c r="NJS3" s="120"/>
      <c r="NJT3" s="120"/>
      <c r="NJU3" s="120"/>
      <c r="NJV3" s="120"/>
      <c r="NJW3" s="120"/>
      <c r="NJX3" s="120"/>
      <c r="NJY3" s="120"/>
      <c r="NJZ3" s="120"/>
      <c r="NKA3" s="120"/>
      <c r="NKB3" s="120"/>
      <c r="NKC3" s="120"/>
      <c r="NKD3" s="120"/>
      <c r="NKE3" s="120"/>
      <c r="NKF3" s="120"/>
      <c r="NKG3" s="120"/>
      <c r="NKH3" s="120"/>
      <c r="NKI3" s="120"/>
      <c r="NKJ3" s="120"/>
      <c r="NKK3" s="120"/>
      <c r="NKL3" s="120"/>
      <c r="NKM3" s="120"/>
      <c r="NKN3" s="120"/>
      <c r="NKO3" s="120"/>
      <c r="NKP3" s="120"/>
      <c r="NKQ3" s="120"/>
      <c r="NKR3" s="120"/>
      <c r="NKS3" s="120"/>
      <c r="NKT3" s="120"/>
      <c r="NKU3" s="120"/>
      <c r="NKV3" s="120"/>
      <c r="NKW3" s="120"/>
      <c r="NKX3" s="120"/>
      <c r="NKY3" s="120"/>
      <c r="NKZ3" s="120"/>
      <c r="NLA3" s="120"/>
      <c r="NLB3" s="120"/>
      <c r="NLC3" s="120"/>
      <c r="NLD3" s="120"/>
      <c r="NLE3" s="120"/>
      <c r="NLF3" s="120"/>
      <c r="NLG3" s="120"/>
      <c r="NLH3" s="120"/>
      <c r="NLI3" s="120"/>
      <c r="NLJ3" s="120"/>
      <c r="NLK3" s="120"/>
      <c r="NLL3" s="120"/>
      <c r="NLM3" s="120"/>
      <c r="NLN3" s="120"/>
      <c r="NLO3" s="120"/>
      <c r="NLP3" s="120"/>
      <c r="NLQ3" s="120"/>
      <c r="NLR3" s="120"/>
      <c r="NLS3" s="120"/>
      <c r="NLT3" s="120"/>
      <c r="NLU3" s="120"/>
      <c r="NLV3" s="120"/>
      <c r="NLW3" s="120"/>
      <c r="NLX3" s="120"/>
      <c r="NLY3" s="120"/>
      <c r="NLZ3" s="120"/>
      <c r="NMA3" s="120"/>
      <c r="NMB3" s="120"/>
      <c r="NMC3" s="120"/>
      <c r="NMD3" s="120"/>
      <c r="NME3" s="120"/>
      <c r="NMF3" s="120"/>
      <c r="NMG3" s="120"/>
      <c r="NMH3" s="120"/>
      <c r="NMI3" s="120"/>
      <c r="NMJ3" s="120"/>
      <c r="NMK3" s="120"/>
      <c r="NML3" s="120"/>
      <c r="NMM3" s="120"/>
      <c r="NMN3" s="120"/>
      <c r="NMO3" s="120"/>
      <c r="NMP3" s="120"/>
      <c r="NMQ3" s="120"/>
      <c r="NMR3" s="120"/>
      <c r="NMS3" s="120"/>
      <c r="NMT3" s="120"/>
      <c r="NMU3" s="120"/>
      <c r="NMV3" s="120"/>
      <c r="NMW3" s="120"/>
      <c r="NMX3" s="120"/>
      <c r="NMY3" s="120"/>
      <c r="NMZ3" s="120"/>
      <c r="NNA3" s="120"/>
      <c r="NNB3" s="120"/>
      <c r="NNC3" s="120"/>
      <c r="NND3" s="120"/>
      <c r="NNE3" s="120"/>
      <c r="NNF3" s="120"/>
      <c r="NNG3" s="120"/>
      <c r="NNH3" s="120"/>
      <c r="NNI3" s="120"/>
      <c r="NNJ3" s="120"/>
      <c r="NNK3" s="120"/>
      <c r="NNL3" s="120"/>
      <c r="NNM3" s="120"/>
      <c r="NNN3" s="120"/>
      <c r="NNO3" s="120"/>
      <c r="NNP3" s="120"/>
      <c r="NNQ3" s="120"/>
      <c r="NNR3" s="120"/>
      <c r="NNS3" s="120"/>
      <c r="NNT3" s="120"/>
      <c r="NNU3" s="120"/>
      <c r="NNV3" s="120"/>
      <c r="NNW3" s="120"/>
      <c r="NNX3" s="120"/>
      <c r="NNY3" s="120"/>
      <c r="NNZ3" s="120"/>
      <c r="NOA3" s="120"/>
      <c r="NOB3" s="120"/>
      <c r="NOC3" s="120"/>
      <c r="NOD3" s="120"/>
      <c r="NOE3" s="120"/>
      <c r="NOF3" s="120"/>
      <c r="NOG3" s="120"/>
      <c r="NOH3" s="120"/>
      <c r="NOI3" s="120"/>
      <c r="NOJ3" s="120"/>
      <c r="NOK3" s="120"/>
      <c r="NOL3" s="120"/>
      <c r="NOM3" s="120"/>
      <c r="NON3" s="120"/>
      <c r="NOO3" s="120"/>
      <c r="NOP3" s="120"/>
      <c r="NOQ3" s="120"/>
      <c r="NOR3" s="120"/>
      <c r="NOS3" s="120"/>
      <c r="NOT3" s="120"/>
      <c r="NOU3" s="120"/>
      <c r="NOV3" s="120"/>
      <c r="NOW3" s="120"/>
      <c r="NOX3" s="120"/>
      <c r="NOY3" s="120"/>
      <c r="NOZ3" s="120"/>
      <c r="NPA3" s="120"/>
      <c r="NPB3" s="120"/>
      <c r="NPC3" s="120"/>
      <c r="NPD3" s="120"/>
      <c r="NPE3" s="120"/>
      <c r="NPF3" s="120"/>
      <c r="NPG3" s="120"/>
      <c r="NPH3" s="120"/>
      <c r="NPI3" s="120"/>
      <c r="NPJ3" s="120"/>
      <c r="NPK3" s="120"/>
      <c r="NPL3" s="120"/>
      <c r="NPM3" s="120"/>
      <c r="NPN3" s="120"/>
      <c r="NPO3" s="120"/>
      <c r="NPP3" s="120"/>
      <c r="NPQ3" s="120"/>
      <c r="NPR3" s="120"/>
      <c r="NPS3" s="120"/>
      <c r="NPT3" s="120"/>
      <c r="NPU3" s="120"/>
      <c r="NPV3" s="120"/>
      <c r="NPW3" s="120"/>
      <c r="NPX3" s="120"/>
      <c r="NPY3" s="120"/>
      <c r="NPZ3" s="120"/>
      <c r="NQA3" s="120"/>
      <c r="NQB3" s="120"/>
      <c r="NQC3" s="120"/>
      <c r="NQD3" s="120"/>
      <c r="NQE3" s="120"/>
      <c r="NQF3" s="120"/>
      <c r="NQG3" s="120"/>
      <c r="NQH3" s="120"/>
      <c r="NQI3" s="120"/>
      <c r="NQJ3" s="120"/>
      <c r="NQK3" s="120"/>
      <c r="NQL3" s="120"/>
      <c r="NQM3" s="120"/>
      <c r="NQN3" s="120"/>
      <c r="NQO3" s="120"/>
      <c r="NQP3" s="120"/>
      <c r="NQQ3" s="120"/>
      <c r="NQR3" s="120"/>
      <c r="NQS3" s="120"/>
      <c r="NQT3" s="120"/>
      <c r="NQU3" s="120"/>
      <c r="NQV3" s="120"/>
      <c r="NQW3" s="120"/>
      <c r="NQX3" s="120"/>
      <c r="NQY3" s="120"/>
      <c r="NQZ3" s="120"/>
      <c r="NRA3" s="120"/>
      <c r="NRB3" s="120"/>
      <c r="NRC3" s="120"/>
      <c r="NRD3" s="120"/>
      <c r="NRE3" s="120"/>
      <c r="NRF3" s="120"/>
      <c r="NRG3" s="120"/>
      <c r="NRH3" s="120"/>
      <c r="NRI3" s="120"/>
      <c r="NRJ3" s="120"/>
      <c r="NRK3" s="120"/>
      <c r="NRL3" s="120"/>
      <c r="NRM3" s="120"/>
      <c r="NRN3" s="120"/>
      <c r="NRO3" s="120"/>
      <c r="NRP3" s="120"/>
      <c r="NRQ3" s="120"/>
      <c r="NRR3" s="120"/>
      <c r="NRS3" s="120"/>
      <c r="NRT3" s="120"/>
      <c r="NRU3" s="120"/>
      <c r="NRV3" s="120"/>
      <c r="NRW3" s="120"/>
      <c r="NRX3" s="120"/>
      <c r="NRY3" s="120"/>
      <c r="NRZ3" s="120"/>
      <c r="NSA3" s="120"/>
      <c r="NSB3" s="120"/>
      <c r="NSC3" s="120"/>
      <c r="NSD3" s="120"/>
      <c r="NSE3" s="120"/>
      <c r="NSF3" s="120"/>
      <c r="NSG3" s="120"/>
      <c r="NSH3" s="120"/>
      <c r="NSI3" s="120"/>
      <c r="NSJ3" s="120"/>
      <c r="NSK3" s="120"/>
      <c r="NSL3" s="120"/>
      <c r="NSM3" s="120"/>
      <c r="NSN3" s="120"/>
      <c r="NSO3" s="120"/>
      <c r="NSP3" s="120"/>
      <c r="NSQ3" s="120"/>
      <c r="NSR3" s="120"/>
      <c r="NSS3" s="120"/>
      <c r="NST3" s="120"/>
      <c r="NSU3" s="120"/>
      <c r="NSV3" s="120"/>
      <c r="NSW3" s="120"/>
      <c r="NSX3" s="120"/>
      <c r="NSY3" s="120"/>
      <c r="NSZ3" s="120"/>
      <c r="NTA3" s="120"/>
      <c r="NTB3" s="120"/>
      <c r="NTC3" s="120"/>
      <c r="NTD3" s="120"/>
      <c r="NTE3" s="120"/>
      <c r="NTF3" s="120"/>
      <c r="NTG3" s="120"/>
      <c r="NTH3" s="120"/>
      <c r="NTI3" s="120"/>
      <c r="NTJ3" s="120"/>
      <c r="NTK3" s="120"/>
      <c r="NTL3" s="120"/>
      <c r="NTM3" s="120"/>
      <c r="NTN3" s="120"/>
      <c r="NTO3" s="120"/>
      <c r="NTP3" s="120"/>
      <c r="NTQ3" s="120"/>
      <c r="NTR3" s="120"/>
      <c r="NTS3" s="120"/>
      <c r="NTT3" s="120"/>
      <c r="NTU3" s="120"/>
      <c r="NTV3" s="120"/>
      <c r="NTW3" s="120"/>
      <c r="NTX3" s="120"/>
      <c r="NTY3" s="120"/>
      <c r="NTZ3" s="120"/>
      <c r="NUA3" s="120"/>
      <c r="NUB3" s="120"/>
      <c r="NUC3" s="120"/>
      <c r="NUD3" s="120"/>
      <c r="NUE3" s="120"/>
      <c r="NUF3" s="120"/>
      <c r="NUG3" s="120"/>
      <c r="NUH3" s="120"/>
      <c r="NUI3" s="120"/>
      <c r="NUJ3" s="120"/>
      <c r="NUK3" s="120"/>
      <c r="NUL3" s="120"/>
      <c r="NUM3" s="120"/>
      <c r="NUN3" s="120"/>
      <c r="NUO3" s="120"/>
      <c r="NUP3" s="120"/>
      <c r="NUQ3" s="120"/>
      <c r="NUR3" s="120"/>
      <c r="NUS3" s="120"/>
      <c r="NUT3" s="120"/>
      <c r="NUU3" s="120"/>
      <c r="NUV3" s="120"/>
      <c r="NUW3" s="120"/>
      <c r="NUX3" s="120"/>
      <c r="NUY3" s="120"/>
      <c r="NUZ3" s="120"/>
      <c r="NVA3" s="120"/>
      <c r="NVB3" s="120"/>
      <c r="NVC3" s="120"/>
      <c r="NVD3" s="120"/>
      <c r="NVE3" s="120"/>
      <c r="NVF3" s="120"/>
      <c r="NVG3" s="120"/>
      <c r="NVH3" s="120"/>
      <c r="NVI3" s="120"/>
      <c r="NVJ3" s="120"/>
      <c r="NVK3" s="120"/>
      <c r="NVL3" s="120"/>
      <c r="NVM3" s="120"/>
      <c r="NVN3" s="120"/>
      <c r="NVO3" s="120"/>
      <c r="NVP3" s="120"/>
      <c r="NVQ3" s="120"/>
      <c r="NVR3" s="120"/>
      <c r="NVS3" s="120"/>
      <c r="NVT3" s="120"/>
      <c r="NVU3" s="120"/>
      <c r="NVV3" s="120"/>
      <c r="NVW3" s="120"/>
      <c r="NVX3" s="120"/>
      <c r="NVY3" s="120"/>
      <c r="NVZ3" s="120"/>
      <c r="NWA3" s="120"/>
      <c r="NWB3" s="120"/>
      <c r="NWC3" s="120"/>
      <c r="NWD3" s="120"/>
      <c r="NWE3" s="120"/>
      <c r="NWF3" s="120"/>
      <c r="NWG3" s="120"/>
      <c r="NWH3" s="120"/>
      <c r="NWI3" s="120"/>
      <c r="NWJ3" s="120"/>
      <c r="NWK3" s="120"/>
      <c r="NWL3" s="120"/>
      <c r="NWM3" s="120"/>
      <c r="NWN3" s="120"/>
      <c r="NWO3" s="120"/>
      <c r="NWP3" s="120"/>
      <c r="NWQ3" s="120"/>
      <c r="NWR3" s="120"/>
      <c r="NWS3" s="120"/>
      <c r="NWT3" s="120"/>
      <c r="NWU3" s="120"/>
      <c r="NWV3" s="120"/>
      <c r="NWW3" s="120"/>
      <c r="NWX3" s="120"/>
      <c r="NWY3" s="120"/>
      <c r="NWZ3" s="120"/>
      <c r="NXA3" s="120"/>
      <c r="NXB3" s="120"/>
      <c r="NXC3" s="120"/>
      <c r="NXD3" s="120"/>
      <c r="NXE3" s="120"/>
      <c r="NXF3" s="120"/>
      <c r="NXG3" s="120"/>
      <c r="NXH3" s="120"/>
      <c r="NXI3" s="120"/>
      <c r="NXJ3" s="120"/>
      <c r="NXK3" s="120"/>
      <c r="NXL3" s="120"/>
      <c r="NXM3" s="120"/>
      <c r="NXN3" s="120"/>
      <c r="NXO3" s="120"/>
      <c r="NXP3" s="120"/>
      <c r="NXQ3" s="120"/>
      <c r="NXR3" s="120"/>
      <c r="NXS3" s="120"/>
      <c r="NXT3" s="120"/>
      <c r="NXU3" s="120"/>
      <c r="NXV3" s="120"/>
      <c r="NXW3" s="120"/>
      <c r="NXX3" s="120"/>
      <c r="NXY3" s="120"/>
      <c r="NXZ3" s="120"/>
      <c r="NYA3" s="120"/>
      <c r="NYB3" s="120"/>
      <c r="NYC3" s="120"/>
      <c r="NYD3" s="120"/>
      <c r="NYE3" s="120"/>
      <c r="NYF3" s="120"/>
      <c r="NYG3" s="120"/>
      <c r="NYH3" s="120"/>
      <c r="NYI3" s="120"/>
      <c r="NYJ3" s="120"/>
      <c r="NYK3" s="120"/>
      <c r="NYL3" s="120"/>
      <c r="NYM3" s="120"/>
      <c r="NYN3" s="120"/>
      <c r="NYO3" s="120"/>
      <c r="NYP3" s="120"/>
      <c r="NYQ3" s="120"/>
      <c r="NYR3" s="120"/>
      <c r="NYS3" s="120"/>
      <c r="NYT3" s="120"/>
      <c r="NYU3" s="120"/>
      <c r="NYV3" s="120"/>
      <c r="NYW3" s="120"/>
      <c r="NYX3" s="120"/>
      <c r="NYY3" s="120"/>
      <c r="NYZ3" s="120"/>
      <c r="NZA3" s="120"/>
      <c r="NZB3" s="120"/>
      <c r="NZC3" s="120"/>
      <c r="NZD3" s="120"/>
      <c r="NZE3" s="120"/>
      <c r="NZF3" s="120"/>
      <c r="NZG3" s="120"/>
      <c r="NZH3" s="120"/>
      <c r="NZI3" s="120"/>
      <c r="NZJ3" s="120"/>
      <c r="NZK3" s="120"/>
      <c r="NZL3" s="120"/>
      <c r="NZM3" s="120"/>
      <c r="NZN3" s="120"/>
      <c r="NZO3" s="120"/>
      <c r="NZP3" s="120"/>
      <c r="NZQ3" s="120"/>
      <c r="NZR3" s="120"/>
      <c r="NZS3" s="120"/>
      <c r="NZT3" s="120"/>
      <c r="NZU3" s="120"/>
      <c r="NZV3" s="120"/>
      <c r="NZW3" s="120"/>
      <c r="NZX3" s="120"/>
      <c r="NZY3" s="120"/>
      <c r="NZZ3" s="120"/>
      <c r="OAA3" s="120"/>
      <c r="OAB3" s="120"/>
      <c r="OAC3" s="120"/>
      <c r="OAD3" s="120"/>
      <c r="OAE3" s="120"/>
      <c r="OAF3" s="120"/>
      <c r="OAG3" s="120"/>
      <c r="OAH3" s="120"/>
      <c r="OAI3" s="120"/>
      <c r="OAJ3" s="120"/>
      <c r="OAK3" s="120"/>
      <c r="OAL3" s="120"/>
      <c r="OAM3" s="120"/>
      <c r="OAN3" s="120"/>
      <c r="OAO3" s="120"/>
      <c r="OAP3" s="120"/>
      <c r="OAQ3" s="120"/>
      <c r="OAR3" s="120"/>
      <c r="OAS3" s="120"/>
      <c r="OAT3" s="120"/>
      <c r="OAU3" s="120"/>
      <c r="OAV3" s="120"/>
      <c r="OAW3" s="120"/>
      <c r="OAX3" s="120"/>
      <c r="OAY3" s="120"/>
      <c r="OAZ3" s="120"/>
      <c r="OBA3" s="120"/>
      <c r="OBB3" s="120"/>
      <c r="OBC3" s="120"/>
      <c r="OBD3" s="120"/>
      <c r="OBE3" s="120"/>
      <c r="OBF3" s="120"/>
      <c r="OBG3" s="120"/>
      <c r="OBH3" s="120"/>
      <c r="OBI3" s="120"/>
      <c r="OBJ3" s="120"/>
      <c r="OBK3" s="120"/>
      <c r="OBL3" s="120"/>
      <c r="OBM3" s="120"/>
      <c r="OBN3" s="120"/>
      <c r="OBO3" s="120"/>
      <c r="OBP3" s="120"/>
      <c r="OBQ3" s="120"/>
      <c r="OBR3" s="120"/>
      <c r="OBS3" s="120"/>
      <c r="OBT3" s="120"/>
      <c r="OBU3" s="120"/>
      <c r="OBV3" s="120"/>
      <c r="OBW3" s="120"/>
      <c r="OBX3" s="120"/>
      <c r="OBY3" s="120"/>
      <c r="OBZ3" s="120"/>
      <c r="OCA3" s="120"/>
      <c r="OCB3" s="120"/>
      <c r="OCC3" s="120"/>
      <c r="OCD3" s="120"/>
      <c r="OCE3" s="120"/>
      <c r="OCF3" s="120"/>
      <c r="OCG3" s="120"/>
      <c r="OCH3" s="120"/>
      <c r="OCI3" s="120"/>
      <c r="OCJ3" s="120"/>
      <c r="OCK3" s="120"/>
      <c r="OCL3" s="120"/>
      <c r="OCM3" s="120"/>
      <c r="OCN3" s="120"/>
      <c r="OCO3" s="120"/>
      <c r="OCP3" s="120"/>
      <c r="OCQ3" s="120"/>
      <c r="OCR3" s="120"/>
      <c r="OCS3" s="120"/>
      <c r="OCT3" s="120"/>
      <c r="OCU3" s="120"/>
      <c r="OCV3" s="120"/>
      <c r="OCW3" s="120"/>
      <c r="OCX3" s="120"/>
      <c r="OCY3" s="120"/>
      <c r="OCZ3" s="120"/>
      <c r="ODA3" s="120"/>
      <c r="ODB3" s="120"/>
      <c r="ODC3" s="120"/>
      <c r="ODD3" s="120"/>
      <c r="ODE3" s="120"/>
      <c r="ODF3" s="120"/>
      <c r="ODG3" s="120"/>
      <c r="ODH3" s="120"/>
      <c r="ODI3" s="120"/>
      <c r="ODJ3" s="120"/>
      <c r="ODK3" s="120"/>
      <c r="ODL3" s="120"/>
      <c r="ODM3" s="120"/>
      <c r="ODN3" s="120"/>
      <c r="ODO3" s="120"/>
      <c r="ODP3" s="120"/>
      <c r="ODQ3" s="120"/>
      <c r="ODR3" s="120"/>
      <c r="ODS3" s="120"/>
      <c r="ODT3" s="120"/>
      <c r="ODU3" s="120"/>
      <c r="ODV3" s="120"/>
      <c r="ODW3" s="120"/>
      <c r="ODX3" s="120"/>
      <c r="ODY3" s="120"/>
      <c r="ODZ3" s="120"/>
      <c r="OEA3" s="120"/>
      <c r="OEB3" s="120"/>
      <c r="OEC3" s="120"/>
      <c r="OED3" s="120"/>
      <c r="OEE3" s="120"/>
      <c r="OEF3" s="120"/>
      <c r="OEG3" s="120"/>
      <c r="OEH3" s="120"/>
      <c r="OEI3" s="120"/>
      <c r="OEJ3" s="120"/>
      <c r="OEK3" s="120"/>
      <c r="OEL3" s="120"/>
      <c r="OEM3" s="120"/>
      <c r="OEN3" s="120"/>
      <c r="OEO3" s="120"/>
      <c r="OEP3" s="120"/>
      <c r="OEQ3" s="120"/>
      <c r="OER3" s="120"/>
      <c r="OES3" s="120"/>
      <c r="OET3" s="120"/>
      <c r="OEU3" s="120"/>
      <c r="OEV3" s="120"/>
      <c r="OEW3" s="120"/>
      <c r="OEX3" s="120"/>
      <c r="OEY3" s="120"/>
      <c r="OEZ3" s="120"/>
      <c r="OFA3" s="120"/>
      <c r="OFB3" s="120"/>
      <c r="OFC3" s="120"/>
      <c r="OFD3" s="120"/>
      <c r="OFE3" s="120"/>
      <c r="OFF3" s="120"/>
      <c r="OFG3" s="120"/>
      <c r="OFH3" s="120"/>
      <c r="OFI3" s="120"/>
      <c r="OFJ3" s="120"/>
      <c r="OFK3" s="120"/>
      <c r="OFL3" s="120"/>
      <c r="OFM3" s="120"/>
      <c r="OFN3" s="120"/>
      <c r="OFO3" s="120"/>
      <c r="OFP3" s="120"/>
      <c r="OFQ3" s="120"/>
      <c r="OFR3" s="120"/>
      <c r="OFS3" s="120"/>
      <c r="OFT3" s="120"/>
      <c r="OFU3" s="120"/>
      <c r="OFV3" s="120"/>
      <c r="OFW3" s="120"/>
      <c r="OFX3" s="120"/>
      <c r="OFY3" s="120"/>
      <c r="OFZ3" s="120"/>
      <c r="OGA3" s="120"/>
      <c r="OGB3" s="120"/>
      <c r="OGC3" s="120"/>
      <c r="OGD3" s="120"/>
      <c r="OGE3" s="120"/>
      <c r="OGF3" s="120"/>
      <c r="OGG3" s="120"/>
      <c r="OGH3" s="120"/>
      <c r="OGI3" s="120"/>
      <c r="OGJ3" s="120"/>
      <c r="OGK3" s="120"/>
      <c r="OGL3" s="120"/>
      <c r="OGM3" s="120"/>
      <c r="OGN3" s="120"/>
      <c r="OGO3" s="120"/>
      <c r="OGP3" s="120"/>
      <c r="OGQ3" s="120"/>
      <c r="OGR3" s="120"/>
      <c r="OGS3" s="120"/>
      <c r="OGT3" s="120"/>
      <c r="OGU3" s="120"/>
      <c r="OGV3" s="120"/>
      <c r="OGW3" s="120"/>
      <c r="OGX3" s="120"/>
      <c r="OGY3" s="120"/>
      <c r="OGZ3" s="120"/>
      <c r="OHA3" s="120"/>
      <c r="OHB3" s="120"/>
      <c r="OHC3" s="120"/>
      <c r="OHD3" s="120"/>
      <c r="OHE3" s="120"/>
      <c r="OHF3" s="120"/>
      <c r="OHG3" s="120"/>
      <c r="OHH3" s="120"/>
      <c r="OHI3" s="120"/>
      <c r="OHJ3" s="120"/>
      <c r="OHK3" s="120"/>
      <c r="OHL3" s="120"/>
      <c r="OHM3" s="120"/>
      <c r="OHN3" s="120"/>
      <c r="OHO3" s="120"/>
      <c r="OHP3" s="120"/>
      <c r="OHQ3" s="120"/>
      <c r="OHR3" s="120"/>
      <c r="OHS3" s="120"/>
      <c r="OHT3" s="120"/>
      <c r="OHU3" s="120"/>
      <c r="OHV3" s="120"/>
      <c r="OHW3" s="120"/>
      <c r="OHX3" s="120"/>
      <c r="OHY3" s="120"/>
      <c r="OHZ3" s="120"/>
      <c r="OIA3" s="120"/>
      <c r="OIB3" s="120"/>
      <c r="OIC3" s="120"/>
      <c r="OID3" s="120"/>
      <c r="OIE3" s="120"/>
      <c r="OIF3" s="120"/>
      <c r="OIG3" s="120"/>
      <c r="OIH3" s="120"/>
      <c r="OII3" s="120"/>
      <c r="OIJ3" s="120"/>
      <c r="OIK3" s="120"/>
      <c r="OIL3" s="120"/>
      <c r="OIM3" s="120"/>
      <c r="OIN3" s="120"/>
      <c r="OIO3" s="120"/>
      <c r="OIP3" s="120"/>
      <c r="OIQ3" s="120"/>
      <c r="OIR3" s="120"/>
      <c r="OIS3" s="120"/>
      <c r="OIT3" s="120"/>
      <c r="OIU3" s="120"/>
      <c r="OIV3" s="120"/>
      <c r="OIW3" s="120"/>
      <c r="OIX3" s="120"/>
      <c r="OIY3" s="120"/>
      <c r="OIZ3" s="120"/>
      <c r="OJA3" s="120"/>
      <c r="OJB3" s="120"/>
      <c r="OJC3" s="120"/>
      <c r="OJD3" s="120"/>
      <c r="OJE3" s="120"/>
      <c r="OJF3" s="120"/>
      <c r="OJG3" s="120"/>
      <c r="OJH3" s="120"/>
      <c r="OJI3" s="120"/>
      <c r="OJJ3" s="120"/>
      <c r="OJK3" s="120"/>
      <c r="OJL3" s="120"/>
      <c r="OJM3" s="120"/>
      <c r="OJN3" s="120"/>
      <c r="OJO3" s="120"/>
      <c r="OJP3" s="120"/>
      <c r="OJQ3" s="120"/>
      <c r="OJR3" s="120"/>
      <c r="OJS3" s="120"/>
      <c r="OJT3" s="120"/>
      <c r="OJU3" s="120"/>
      <c r="OJV3" s="120"/>
      <c r="OJW3" s="120"/>
      <c r="OJX3" s="120"/>
      <c r="OJY3" s="120"/>
      <c r="OJZ3" s="120"/>
      <c r="OKA3" s="120"/>
      <c r="OKB3" s="120"/>
      <c r="OKC3" s="120"/>
      <c r="OKD3" s="120"/>
      <c r="OKE3" s="120"/>
      <c r="OKF3" s="120"/>
      <c r="OKG3" s="120"/>
      <c r="OKH3" s="120"/>
      <c r="OKI3" s="120"/>
      <c r="OKJ3" s="120"/>
      <c r="OKK3" s="120"/>
      <c r="OKL3" s="120"/>
      <c r="OKM3" s="120"/>
      <c r="OKN3" s="120"/>
      <c r="OKO3" s="120"/>
      <c r="OKP3" s="120"/>
      <c r="OKQ3" s="120"/>
      <c r="OKR3" s="120"/>
      <c r="OKS3" s="120"/>
      <c r="OKT3" s="120"/>
      <c r="OKU3" s="120"/>
      <c r="OKV3" s="120"/>
      <c r="OKW3" s="120"/>
      <c r="OKX3" s="120"/>
      <c r="OKY3" s="120"/>
      <c r="OKZ3" s="120"/>
      <c r="OLA3" s="120"/>
      <c r="OLB3" s="120"/>
      <c r="OLC3" s="120"/>
      <c r="OLD3" s="120"/>
      <c r="OLE3" s="120"/>
      <c r="OLF3" s="120"/>
      <c r="OLG3" s="120"/>
      <c r="OLH3" s="120"/>
      <c r="OLI3" s="120"/>
      <c r="OLJ3" s="120"/>
      <c r="OLK3" s="120"/>
      <c r="OLL3" s="120"/>
      <c r="OLM3" s="120"/>
      <c r="OLN3" s="120"/>
      <c r="OLO3" s="120"/>
      <c r="OLP3" s="120"/>
      <c r="OLQ3" s="120"/>
      <c r="OLR3" s="120"/>
      <c r="OLS3" s="120"/>
      <c r="OLT3" s="120"/>
      <c r="OLU3" s="120"/>
      <c r="OLV3" s="120"/>
      <c r="OLW3" s="120"/>
      <c r="OLX3" s="120"/>
      <c r="OLY3" s="120"/>
      <c r="OLZ3" s="120"/>
      <c r="OMA3" s="120"/>
      <c r="OMB3" s="120"/>
      <c r="OMC3" s="120"/>
      <c r="OMD3" s="120"/>
      <c r="OME3" s="120"/>
      <c r="OMF3" s="120"/>
      <c r="OMG3" s="120"/>
      <c r="OMH3" s="120"/>
      <c r="OMI3" s="120"/>
      <c r="OMJ3" s="120"/>
      <c r="OMK3" s="120"/>
      <c r="OML3" s="120"/>
      <c r="OMM3" s="120"/>
      <c r="OMN3" s="120"/>
      <c r="OMO3" s="120"/>
      <c r="OMP3" s="120"/>
      <c r="OMQ3" s="120"/>
      <c r="OMR3" s="120"/>
      <c r="OMS3" s="120"/>
      <c r="OMT3" s="120"/>
      <c r="OMU3" s="120"/>
      <c r="OMV3" s="120"/>
      <c r="OMW3" s="120"/>
      <c r="OMX3" s="120"/>
      <c r="OMY3" s="120"/>
      <c r="OMZ3" s="120"/>
      <c r="ONA3" s="120"/>
      <c r="ONB3" s="120"/>
      <c r="ONC3" s="120"/>
      <c r="OND3" s="120"/>
      <c r="ONE3" s="120"/>
      <c r="ONF3" s="120"/>
      <c r="ONG3" s="120"/>
      <c r="ONH3" s="120"/>
      <c r="ONI3" s="120"/>
      <c r="ONJ3" s="120"/>
      <c r="ONK3" s="120"/>
      <c r="ONL3" s="120"/>
      <c r="ONM3" s="120"/>
      <c r="ONN3" s="120"/>
      <c r="ONO3" s="120"/>
      <c r="ONP3" s="120"/>
      <c r="ONQ3" s="120"/>
      <c r="ONR3" s="120"/>
      <c r="ONS3" s="120"/>
      <c r="ONT3" s="120"/>
      <c r="ONU3" s="120"/>
      <c r="ONV3" s="120"/>
      <c r="ONW3" s="120"/>
      <c r="ONX3" s="120"/>
      <c r="ONY3" s="120"/>
      <c r="ONZ3" s="120"/>
      <c r="OOA3" s="120"/>
      <c r="OOB3" s="120"/>
      <c r="OOC3" s="120"/>
      <c r="OOD3" s="120"/>
      <c r="OOE3" s="120"/>
      <c r="OOF3" s="120"/>
      <c r="OOG3" s="120"/>
      <c r="OOH3" s="120"/>
      <c r="OOI3" s="120"/>
      <c r="OOJ3" s="120"/>
      <c r="OOK3" s="120"/>
      <c r="OOL3" s="120"/>
      <c r="OOM3" s="120"/>
      <c r="OON3" s="120"/>
      <c r="OOO3" s="120"/>
      <c r="OOP3" s="120"/>
      <c r="OOQ3" s="120"/>
      <c r="OOR3" s="120"/>
      <c r="OOS3" s="120"/>
      <c r="OOT3" s="120"/>
      <c r="OOU3" s="120"/>
      <c r="OOV3" s="120"/>
      <c r="OOW3" s="120"/>
      <c r="OOX3" s="120"/>
      <c r="OOY3" s="120"/>
      <c r="OOZ3" s="120"/>
      <c r="OPA3" s="120"/>
      <c r="OPB3" s="120"/>
      <c r="OPC3" s="120"/>
      <c r="OPD3" s="120"/>
      <c r="OPE3" s="120"/>
      <c r="OPF3" s="120"/>
      <c r="OPG3" s="120"/>
      <c r="OPH3" s="120"/>
      <c r="OPI3" s="120"/>
      <c r="OPJ3" s="120"/>
      <c r="OPK3" s="120"/>
      <c r="OPL3" s="120"/>
      <c r="OPM3" s="120"/>
      <c r="OPN3" s="120"/>
      <c r="OPO3" s="120"/>
      <c r="OPP3" s="120"/>
      <c r="OPQ3" s="120"/>
      <c r="OPR3" s="120"/>
      <c r="OPS3" s="120"/>
      <c r="OPT3" s="120"/>
      <c r="OPU3" s="120"/>
      <c r="OPV3" s="120"/>
      <c r="OPW3" s="120"/>
      <c r="OPX3" s="120"/>
      <c r="OPY3" s="120"/>
      <c r="OPZ3" s="120"/>
      <c r="OQA3" s="120"/>
      <c r="OQB3" s="120"/>
      <c r="OQC3" s="120"/>
      <c r="OQD3" s="120"/>
      <c r="OQE3" s="120"/>
      <c r="OQF3" s="120"/>
      <c r="OQG3" s="120"/>
      <c r="OQH3" s="120"/>
      <c r="OQI3" s="120"/>
      <c r="OQJ3" s="120"/>
      <c r="OQK3" s="120"/>
      <c r="OQL3" s="120"/>
      <c r="OQM3" s="120"/>
      <c r="OQN3" s="120"/>
      <c r="OQO3" s="120"/>
      <c r="OQP3" s="120"/>
      <c r="OQQ3" s="120"/>
      <c r="OQR3" s="120"/>
      <c r="OQS3" s="120"/>
      <c r="OQT3" s="120"/>
      <c r="OQU3" s="120"/>
      <c r="OQV3" s="120"/>
      <c r="OQW3" s="120"/>
      <c r="OQX3" s="120"/>
      <c r="OQY3" s="120"/>
      <c r="OQZ3" s="120"/>
      <c r="ORA3" s="120"/>
      <c r="ORB3" s="120"/>
      <c r="ORC3" s="120"/>
      <c r="ORD3" s="120"/>
      <c r="ORE3" s="120"/>
      <c r="ORF3" s="120"/>
      <c r="ORG3" s="120"/>
      <c r="ORH3" s="120"/>
      <c r="ORI3" s="120"/>
      <c r="ORJ3" s="120"/>
      <c r="ORK3" s="120"/>
      <c r="ORL3" s="120"/>
      <c r="ORM3" s="120"/>
      <c r="ORN3" s="120"/>
      <c r="ORO3" s="120"/>
      <c r="ORP3" s="120"/>
      <c r="ORQ3" s="120"/>
      <c r="ORR3" s="120"/>
      <c r="ORS3" s="120"/>
      <c r="ORT3" s="120"/>
      <c r="ORU3" s="120"/>
      <c r="ORV3" s="120"/>
      <c r="ORW3" s="120"/>
      <c r="ORX3" s="120"/>
      <c r="ORY3" s="120"/>
      <c r="ORZ3" s="120"/>
      <c r="OSA3" s="120"/>
      <c r="OSB3" s="120"/>
      <c r="OSC3" s="120"/>
      <c r="OSD3" s="120"/>
      <c r="OSE3" s="120"/>
      <c r="OSF3" s="120"/>
      <c r="OSG3" s="120"/>
      <c r="OSH3" s="120"/>
      <c r="OSI3" s="120"/>
      <c r="OSJ3" s="120"/>
      <c r="OSK3" s="120"/>
      <c r="OSL3" s="120"/>
      <c r="OSM3" s="120"/>
      <c r="OSN3" s="120"/>
      <c r="OSO3" s="120"/>
      <c r="OSP3" s="120"/>
      <c r="OSQ3" s="120"/>
      <c r="OSR3" s="120"/>
      <c r="OSS3" s="120"/>
      <c r="OST3" s="120"/>
      <c r="OSU3" s="120"/>
      <c r="OSV3" s="120"/>
      <c r="OSW3" s="120"/>
      <c r="OSX3" s="120"/>
      <c r="OSY3" s="120"/>
      <c r="OSZ3" s="120"/>
      <c r="OTA3" s="120"/>
      <c r="OTB3" s="120"/>
      <c r="OTC3" s="120"/>
      <c r="OTD3" s="120"/>
      <c r="OTE3" s="120"/>
      <c r="OTF3" s="120"/>
      <c r="OTG3" s="120"/>
      <c r="OTH3" s="120"/>
      <c r="OTI3" s="120"/>
      <c r="OTJ3" s="120"/>
      <c r="OTK3" s="120"/>
      <c r="OTL3" s="120"/>
      <c r="OTM3" s="120"/>
      <c r="OTN3" s="120"/>
      <c r="OTO3" s="120"/>
      <c r="OTP3" s="120"/>
      <c r="OTQ3" s="120"/>
      <c r="OTR3" s="120"/>
      <c r="OTS3" s="120"/>
      <c r="OTT3" s="120"/>
      <c r="OTU3" s="120"/>
      <c r="OTV3" s="120"/>
      <c r="OTW3" s="120"/>
      <c r="OTX3" s="120"/>
      <c r="OTY3" s="120"/>
      <c r="OTZ3" s="120"/>
      <c r="OUA3" s="120"/>
      <c r="OUB3" s="120"/>
      <c r="OUC3" s="120"/>
      <c r="OUD3" s="120"/>
      <c r="OUE3" s="120"/>
      <c r="OUF3" s="120"/>
      <c r="OUG3" s="120"/>
      <c r="OUH3" s="120"/>
      <c r="OUI3" s="120"/>
      <c r="OUJ3" s="120"/>
      <c r="OUK3" s="120"/>
      <c r="OUL3" s="120"/>
      <c r="OUM3" s="120"/>
      <c r="OUN3" s="120"/>
      <c r="OUO3" s="120"/>
      <c r="OUP3" s="120"/>
      <c r="OUQ3" s="120"/>
      <c r="OUR3" s="120"/>
      <c r="OUS3" s="120"/>
      <c r="OUT3" s="120"/>
      <c r="OUU3" s="120"/>
      <c r="OUV3" s="120"/>
      <c r="OUW3" s="120"/>
      <c r="OUX3" s="120"/>
      <c r="OUY3" s="120"/>
      <c r="OUZ3" s="120"/>
      <c r="OVA3" s="120"/>
      <c r="OVB3" s="120"/>
      <c r="OVC3" s="120"/>
      <c r="OVD3" s="120"/>
      <c r="OVE3" s="120"/>
      <c r="OVF3" s="120"/>
      <c r="OVG3" s="120"/>
      <c r="OVH3" s="120"/>
      <c r="OVI3" s="120"/>
      <c r="OVJ3" s="120"/>
      <c r="OVK3" s="120"/>
      <c r="OVL3" s="120"/>
      <c r="OVM3" s="120"/>
      <c r="OVN3" s="120"/>
      <c r="OVO3" s="120"/>
      <c r="OVP3" s="120"/>
      <c r="OVQ3" s="120"/>
      <c r="OVR3" s="120"/>
      <c r="OVS3" s="120"/>
      <c r="OVT3" s="120"/>
      <c r="OVU3" s="120"/>
      <c r="OVV3" s="120"/>
      <c r="OVW3" s="120"/>
      <c r="OVX3" s="120"/>
      <c r="OVY3" s="120"/>
      <c r="OVZ3" s="120"/>
      <c r="OWA3" s="120"/>
      <c r="OWB3" s="120"/>
      <c r="OWC3" s="120"/>
      <c r="OWD3" s="120"/>
      <c r="OWE3" s="120"/>
      <c r="OWF3" s="120"/>
      <c r="OWG3" s="120"/>
      <c r="OWH3" s="120"/>
      <c r="OWI3" s="120"/>
      <c r="OWJ3" s="120"/>
      <c r="OWK3" s="120"/>
      <c r="OWL3" s="120"/>
      <c r="OWM3" s="120"/>
      <c r="OWN3" s="120"/>
      <c r="OWO3" s="120"/>
      <c r="OWP3" s="120"/>
      <c r="OWQ3" s="120"/>
      <c r="OWR3" s="120"/>
      <c r="OWS3" s="120"/>
      <c r="OWT3" s="120"/>
      <c r="OWU3" s="120"/>
      <c r="OWV3" s="120"/>
      <c r="OWW3" s="120"/>
      <c r="OWX3" s="120"/>
      <c r="OWY3" s="120"/>
      <c r="OWZ3" s="120"/>
      <c r="OXA3" s="120"/>
      <c r="OXB3" s="120"/>
      <c r="OXC3" s="120"/>
      <c r="OXD3" s="120"/>
      <c r="OXE3" s="120"/>
      <c r="OXF3" s="120"/>
      <c r="OXG3" s="120"/>
      <c r="OXH3" s="120"/>
      <c r="OXI3" s="120"/>
      <c r="OXJ3" s="120"/>
      <c r="OXK3" s="120"/>
      <c r="OXL3" s="120"/>
      <c r="OXM3" s="120"/>
      <c r="OXN3" s="120"/>
      <c r="OXO3" s="120"/>
      <c r="OXP3" s="120"/>
      <c r="OXQ3" s="120"/>
      <c r="OXR3" s="120"/>
      <c r="OXS3" s="120"/>
      <c r="OXT3" s="120"/>
      <c r="OXU3" s="120"/>
      <c r="OXV3" s="120"/>
      <c r="OXW3" s="120"/>
      <c r="OXX3" s="120"/>
      <c r="OXY3" s="120"/>
      <c r="OXZ3" s="120"/>
      <c r="OYA3" s="120"/>
      <c r="OYB3" s="120"/>
      <c r="OYC3" s="120"/>
      <c r="OYD3" s="120"/>
      <c r="OYE3" s="120"/>
      <c r="OYF3" s="120"/>
      <c r="OYG3" s="120"/>
      <c r="OYH3" s="120"/>
      <c r="OYI3" s="120"/>
      <c r="OYJ3" s="120"/>
      <c r="OYK3" s="120"/>
      <c r="OYL3" s="120"/>
      <c r="OYM3" s="120"/>
      <c r="OYN3" s="120"/>
      <c r="OYO3" s="120"/>
      <c r="OYP3" s="120"/>
      <c r="OYQ3" s="120"/>
      <c r="OYR3" s="120"/>
      <c r="OYS3" s="120"/>
      <c r="OYT3" s="120"/>
      <c r="OYU3" s="120"/>
      <c r="OYV3" s="120"/>
      <c r="OYW3" s="120"/>
      <c r="OYX3" s="120"/>
      <c r="OYY3" s="120"/>
      <c r="OYZ3" s="120"/>
      <c r="OZA3" s="120"/>
      <c r="OZB3" s="120"/>
      <c r="OZC3" s="120"/>
      <c r="OZD3" s="120"/>
      <c r="OZE3" s="120"/>
      <c r="OZF3" s="120"/>
      <c r="OZG3" s="120"/>
      <c r="OZH3" s="120"/>
      <c r="OZI3" s="120"/>
      <c r="OZJ3" s="120"/>
      <c r="OZK3" s="120"/>
      <c r="OZL3" s="120"/>
      <c r="OZM3" s="120"/>
      <c r="OZN3" s="120"/>
      <c r="OZO3" s="120"/>
      <c r="OZP3" s="120"/>
      <c r="OZQ3" s="120"/>
      <c r="OZR3" s="120"/>
      <c r="OZS3" s="120"/>
      <c r="OZT3" s="120"/>
      <c r="OZU3" s="120"/>
      <c r="OZV3" s="120"/>
      <c r="OZW3" s="120"/>
      <c r="OZX3" s="120"/>
      <c r="OZY3" s="120"/>
      <c r="OZZ3" s="120"/>
      <c r="PAA3" s="120"/>
      <c r="PAB3" s="120"/>
      <c r="PAC3" s="120"/>
      <c r="PAD3" s="120"/>
      <c r="PAE3" s="120"/>
      <c r="PAF3" s="120"/>
      <c r="PAG3" s="120"/>
      <c r="PAH3" s="120"/>
      <c r="PAI3" s="120"/>
      <c r="PAJ3" s="120"/>
      <c r="PAK3" s="120"/>
      <c r="PAL3" s="120"/>
      <c r="PAM3" s="120"/>
      <c r="PAN3" s="120"/>
      <c r="PAO3" s="120"/>
      <c r="PAP3" s="120"/>
      <c r="PAQ3" s="120"/>
      <c r="PAR3" s="120"/>
      <c r="PAS3" s="120"/>
      <c r="PAT3" s="120"/>
      <c r="PAU3" s="120"/>
      <c r="PAV3" s="120"/>
      <c r="PAW3" s="120"/>
      <c r="PAX3" s="120"/>
      <c r="PAY3" s="120"/>
      <c r="PAZ3" s="120"/>
      <c r="PBA3" s="120"/>
      <c r="PBB3" s="120"/>
      <c r="PBC3" s="120"/>
      <c r="PBD3" s="120"/>
      <c r="PBE3" s="120"/>
      <c r="PBF3" s="120"/>
      <c r="PBG3" s="120"/>
      <c r="PBH3" s="120"/>
      <c r="PBI3" s="120"/>
      <c r="PBJ3" s="120"/>
      <c r="PBK3" s="120"/>
      <c r="PBL3" s="120"/>
      <c r="PBM3" s="120"/>
      <c r="PBN3" s="120"/>
      <c r="PBO3" s="120"/>
      <c r="PBP3" s="120"/>
      <c r="PBQ3" s="120"/>
      <c r="PBR3" s="120"/>
      <c r="PBS3" s="120"/>
      <c r="PBT3" s="120"/>
      <c r="PBU3" s="120"/>
      <c r="PBV3" s="120"/>
      <c r="PBW3" s="120"/>
      <c r="PBX3" s="120"/>
      <c r="PBY3" s="120"/>
      <c r="PBZ3" s="120"/>
      <c r="PCA3" s="120"/>
      <c r="PCB3" s="120"/>
      <c r="PCC3" s="120"/>
      <c r="PCD3" s="120"/>
      <c r="PCE3" s="120"/>
      <c r="PCF3" s="120"/>
      <c r="PCG3" s="120"/>
      <c r="PCH3" s="120"/>
      <c r="PCI3" s="120"/>
      <c r="PCJ3" s="120"/>
      <c r="PCK3" s="120"/>
      <c r="PCL3" s="120"/>
      <c r="PCM3" s="120"/>
      <c r="PCN3" s="120"/>
      <c r="PCO3" s="120"/>
      <c r="PCP3" s="120"/>
      <c r="PCQ3" s="120"/>
      <c r="PCR3" s="120"/>
      <c r="PCS3" s="120"/>
      <c r="PCT3" s="120"/>
      <c r="PCU3" s="120"/>
      <c r="PCV3" s="120"/>
      <c r="PCW3" s="120"/>
      <c r="PCX3" s="120"/>
      <c r="PCY3" s="120"/>
      <c r="PCZ3" s="120"/>
      <c r="PDA3" s="120"/>
      <c r="PDB3" s="120"/>
      <c r="PDC3" s="120"/>
      <c r="PDD3" s="120"/>
      <c r="PDE3" s="120"/>
      <c r="PDF3" s="120"/>
      <c r="PDG3" s="120"/>
      <c r="PDH3" s="120"/>
      <c r="PDI3" s="120"/>
      <c r="PDJ3" s="120"/>
      <c r="PDK3" s="120"/>
      <c r="PDL3" s="120"/>
      <c r="PDM3" s="120"/>
      <c r="PDN3" s="120"/>
      <c r="PDO3" s="120"/>
      <c r="PDP3" s="120"/>
      <c r="PDQ3" s="120"/>
      <c r="PDR3" s="120"/>
      <c r="PDS3" s="120"/>
      <c r="PDT3" s="120"/>
      <c r="PDU3" s="120"/>
      <c r="PDV3" s="120"/>
      <c r="PDW3" s="120"/>
      <c r="PDX3" s="120"/>
      <c r="PDY3" s="120"/>
      <c r="PDZ3" s="120"/>
      <c r="PEA3" s="120"/>
      <c r="PEB3" s="120"/>
      <c r="PEC3" s="120"/>
      <c r="PED3" s="120"/>
      <c r="PEE3" s="120"/>
      <c r="PEF3" s="120"/>
      <c r="PEG3" s="120"/>
      <c r="PEH3" s="120"/>
      <c r="PEI3" s="120"/>
      <c r="PEJ3" s="120"/>
      <c r="PEK3" s="120"/>
      <c r="PEL3" s="120"/>
      <c r="PEM3" s="120"/>
      <c r="PEN3" s="120"/>
      <c r="PEO3" s="120"/>
      <c r="PEP3" s="120"/>
      <c r="PEQ3" s="120"/>
      <c r="PER3" s="120"/>
      <c r="PES3" s="120"/>
      <c r="PET3" s="120"/>
      <c r="PEU3" s="120"/>
      <c r="PEV3" s="120"/>
      <c r="PEW3" s="120"/>
      <c r="PEX3" s="120"/>
      <c r="PEY3" s="120"/>
      <c r="PEZ3" s="120"/>
      <c r="PFA3" s="120"/>
      <c r="PFB3" s="120"/>
      <c r="PFC3" s="120"/>
      <c r="PFD3" s="120"/>
      <c r="PFE3" s="120"/>
      <c r="PFF3" s="120"/>
      <c r="PFG3" s="120"/>
      <c r="PFH3" s="120"/>
      <c r="PFI3" s="120"/>
      <c r="PFJ3" s="120"/>
      <c r="PFK3" s="120"/>
      <c r="PFL3" s="120"/>
      <c r="PFM3" s="120"/>
      <c r="PFN3" s="120"/>
      <c r="PFO3" s="120"/>
      <c r="PFP3" s="120"/>
      <c r="PFQ3" s="120"/>
      <c r="PFR3" s="120"/>
      <c r="PFS3" s="120"/>
      <c r="PFT3" s="120"/>
      <c r="PFU3" s="120"/>
      <c r="PFV3" s="120"/>
      <c r="PFW3" s="120"/>
      <c r="PFX3" s="120"/>
      <c r="PFY3" s="120"/>
      <c r="PFZ3" s="120"/>
      <c r="PGA3" s="120"/>
      <c r="PGB3" s="120"/>
      <c r="PGC3" s="120"/>
      <c r="PGD3" s="120"/>
      <c r="PGE3" s="120"/>
      <c r="PGF3" s="120"/>
      <c r="PGG3" s="120"/>
      <c r="PGH3" s="120"/>
      <c r="PGI3" s="120"/>
      <c r="PGJ3" s="120"/>
      <c r="PGK3" s="120"/>
      <c r="PGL3" s="120"/>
      <c r="PGM3" s="120"/>
      <c r="PGN3" s="120"/>
      <c r="PGO3" s="120"/>
      <c r="PGP3" s="120"/>
      <c r="PGQ3" s="120"/>
      <c r="PGR3" s="120"/>
      <c r="PGS3" s="120"/>
      <c r="PGT3" s="120"/>
      <c r="PGU3" s="120"/>
      <c r="PGV3" s="120"/>
      <c r="PGW3" s="120"/>
      <c r="PGX3" s="120"/>
      <c r="PGY3" s="120"/>
      <c r="PGZ3" s="120"/>
      <c r="PHA3" s="120"/>
      <c r="PHB3" s="120"/>
      <c r="PHC3" s="120"/>
      <c r="PHD3" s="120"/>
      <c r="PHE3" s="120"/>
      <c r="PHF3" s="120"/>
      <c r="PHG3" s="120"/>
      <c r="PHH3" s="120"/>
      <c r="PHI3" s="120"/>
      <c r="PHJ3" s="120"/>
      <c r="PHK3" s="120"/>
      <c r="PHL3" s="120"/>
      <c r="PHM3" s="120"/>
      <c r="PHN3" s="120"/>
      <c r="PHO3" s="120"/>
      <c r="PHP3" s="120"/>
      <c r="PHQ3" s="120"/>
      <c r="PHR3" s="120"/>
      <c r="PHS3" s="120"/>
      <c r="PHT3" s="120"/>
      <c r="PHU3" s="120"/>
      <c r="PHV3" s="120"/>
      <c r="PHW3" s="120"/>
      <c r="PHX3" s="120"/>
      <c r="PHY3" s="120"/>
      <c r="PHZ3" s="120"/>
      <c r="PIA3" s="120"/>
      <c r="PIB3" s="120"/>
      <c r="PIC3" s="120"/>
      <c r="PID3" s="120"/>
      <c r="PIE3" s="120"/>
      <c r="PIF3" s="120"/>
      <c r="PIG3" s="120"/>
      <c r="PIH3" s="120"/>
      <c r="PII3" s="120"/>
      <c r="PIJ3" s="120"/>
      <c r="PIK3" s="120"/>
      <c r="PIL3" s="120"/>
      <c r="PIM3" s="120"/>
      <c r="PIN3" s="120"/>
      <c r="PIO3" s="120"/>
      <c r="PIP3" s="120"/>
      <c r="PIQ3" s="120"/>
      <c r="PIR3" s="120"/>
      <c r="PIS3" s="120"/>
      <c r="PIT3" s="120"/>
      <c r="PIU3" s="120"/>
      <c r="PIV3" s="120"/>
      <c r="PIW3" s="120"/>
      <c r="PIX3" s="120"/>
      <c r="PIY3" s="120"/>
      <c r="PIZ3" s="120"/>
      <c r="PJA3" s="120"/>
      <c r="PJB3" s="120"/>
      <c r="PJC3" s="120"/>
      <c r="PJD3" s="120"/>
      <c r="PJE3" s="120"/>
      <c r="PJF3" s="120"/>
      <c r="PJG3" s="120"/>
      <c r="PJH3" s="120"/>
      <c r="PJI3" s="120"/>
      <c r="PJJ3" s="120"/>
      <c r="PJK3" s="120"/>
      <c r="PJL3" s="120"/>
      <c r="PJM3" s="120"/>
      <c r="PJN3" s="120"/>
      <c r="PJO3" s="120"/>
      <c r="PJP3" s="120"/>
      <c r="PJQ3" s="120"/>
      <c r="PJR3" s="120"/>
      <c r="PJS3" s="120"/>
      <c r="PJT3" s="120"/>
      <c r="PJU3" s="120"/>
      <c r="PJV3" s="120"/>
      <c r="PJW3" s="120"/>
      <c r="PJX3" s="120"/>
      <c r="PJY3" s="120"/>
      <c r="PJZ3" s="120"/>
      <c r="PKA3" s="120"/>
      <c r="PKB3" s="120"/>
      <c r="PKC3" s="120"/>
      <c r="PKD3" s="120"/>
      <c r="PKE3" s="120"/>
      <c r="PKF3" s="120"/>
      <c r="PKG3" s="120"/>
      <c r="PKH3" s="120"/>
      <c r="PKI3" s="120"/>
      <c r="PKJ3" s="120"/>
      <c r="PKK3" s="120"/>
      <c r="PKL3" s="120"/>
      <c r="PKM3" s="120"/>
      <c r="PKN3" s="120"/>
      <c r="PKO3" s="120"/>
      <c r="PKP3" s="120"/>
      <c r="PKQ3" s="120"/>
      <c r="PKR3" s="120"/>
      <c r="PKS3" s="120"/>
      <c r="PKT3" s="120"/>
      <c r="PKU3" s="120"/>
      <c r="PKV3" s="120"/>
      <c r="PKW3" s="120"/>
      <c r="PKX3" s="120"/>
      <c r="PKY3" s="120"/>
      <c r="PKZ3" s="120"/>
      <c r="PLA3" s="120"/>
      <c r="PLB3" s="120"/>
      <c r="PLC3" s="120"/>
      <c r="PLD3" s="120"/>
      <c r="PLE3" s="120"/>
      <c r="PLF3" s="120"/>
      <c r="PLG3" s="120"/>
      <c r="PLH3" s="120"/>
      <c r="PLI3" s="120"/>
      <c r="PLJ3" s="120"/>
      <c r="PLK3" s="120"/>
      <c r="PLL3" s="120"/>
      <c r="PLM3" s="120"/>
      <c r="PLN3" s="120"/>
      <c r="PLO3" s="120"/>
      <c r="PLP3" s="120"/>
      <c r="PLQ3" s="120"/>
      <c r="PLR3" s="120"/>
      <c r="PLS3" s="120"/>
      <c r="PLT3" s="120"/>
      <c r="PLU3" s="120"/>
      <c r="PLV3" s="120"/>
      <c r="PLW3" s="120"/>
      <c r="PLX3" s="120"/>
      <c r="PLY3" s="120"/>
      <c r="PLZ3" s="120"/>
      <c r="PMA3" s="120"/>
      <c r="PMB3" s="120"/>
      <c r="PMC3" s="120"/>
      <c r="PMD3" s="120"/>
      <c r="PME3" s="120"/>
      <c r="PMF3" s="120"/>
      <c r="PMG3" s="120"/>
      <c r="PMH3" s="120"/>
      <c r="PMI3" s="120"/>
      <c r="PMJ3" s="120"/>
      <c r="PMK3" s="120"/>
      <c r="PML3" s="120"/>
      <c r="PMM3" s="120"/>
      <c r="PMN3" s="120"/>
      <c r="PMO3" s="120"/>
      <c r="PMP3" s="120"/>
      <c r="PMQ3" s="120"/>
      <c r="PMR3" s="120"/>
      <c r="PMS3" s="120"/>
      <c r="PMT3" s="120"/>
      <c r="PMU3" s="120"/>
      <c r="PMV3" s="120"/>
      <c r="PMW3" s="120"/>
      <c r="PMX3" s="120"/>
      <c r="PMY3" s="120"/>
      <c r="PMZ3" s="120"/>
      <c r="PNA3" s="120"/>
      <c r="PNB3" s="120"/>
      <c r="PNC3" s="120"/>
      <c r="PND3" s="120"/>
      <c r="PNE3" s="120"/>
      <c r="PNF3" s="120"/>
      <c r="PNG3" s="120"/>
      <c r="PNH3" s="120"/>
      <c r="PNI3" s="120"/>
      <c r="PNJ3" s="120"/>
      <c r="PNK3" s="120"/>
      <c r="PNL3" s="120"/>
      <c r="PNM3" s="120"/>
      <c r="PNN3" s="120"/>
      <c r="PNO3" s="120"/>
      <c r="PNP3" s="120"/>
      <c r="PNQ3" s="120"/>
      <c r="PNR3" s="120"/>
      <c r="PNS3" s="120"/>
      <c r="PNT3" s="120"/>
      <c r="PNU3" s="120"/>
      <c r="PNV3" s="120"/>
      <c r="PNW3" s="120"/>
      <c r="PNX3" s="120"/>
      <c r="PNY3" s="120"/>
      <c r="PNZ3" s="120"/>
      <c r="POA3" s="120"/>
      <c r="POB3" s="120"/>
      <c r="POC3" s="120"/>
      <c r="POD3" s="120"/>
      <c r="POE3" s="120"/>
      <c r="POF3" s="120"/>
      <c r="POG3" s="120"/>
      <c r="POH3" s="120"/>
      <c r="POI3" s="120"/>
      <c r="POJ3" s="120"/>
      <c r="POK3" s="120"/>
      <c r="POL3" s="120"/>
      <c r="POM3" s="120"/>
      <c r="PON3" s="120"/>
      <c r="POO3" s="120"/>
      <c r="POP3" s="120"/>
      <c r="POQ3" s="120"/>
      <c r="POR3" s="120"/>
      <c r="POS3" s="120"/>
      <c r="POT3" s="120"/>
      <c r="POU3" s="120"/>
      <c r="POV3" s="120"/>
      <c r="POW3" s="120"/>
      <c r="POX3" s="120"/>
      <c r="POY3" s="120"/>
      <c r="POZ3" s="120"/>
      <c r="PPA3" s="120"/>
      <c r="PPB3" s="120"/>
      <c r="PPC3" s="120"/>
      <c r="PPD3" s="120"/>
      <c r="PPE3" s="120"/>
      <c r="PPF3" s="120"/>
      <c r="PPG3" s="120"/>
      <c r="PPH3" s="120"/>
      <c r="PPI3" s="120"/>
      <c r="PPJ3" s="120"/>
      <c r="PPK3" s="120"/>
      <c r="PPL3" s="120"/>
      <c r="PPM3" s="120"/>
      <c r="PPN3" s="120"/>
      <c r="PPO3" s="120"/>
      <c r="PPP3" s="120"/>
      <c r="PPQ3" s="120"/>
      <c r="PPR3" s="120"/>
      <c r="PPS3" s="120"/>
      <c r="PPT3" s="120"/>
      <c r="PPU3" s="120"/>
      <c r="PPV3" s="120"/>
      <c r="PPW3" s="120"/>
      <c r="PPX3" s="120"/>
      <c r="PPY3" s="120"/>
      <c r="PPZ3" s="120"/>
      <c r="PQA3" s="120"/>
      <c r="PQB3" s="120"/>
      <c r="PQC3" s="120"/>
      <c r="PQD3" s="120"/>
      <c r="PQE3" s="120"/>
      <c r="PQF3" s="120"/>
      <c r="PQG3" s="120"/>
      <c r="PQH3" s="120"/>
      <c r="PQI3" s="120"/>
      <c r="PQJ3" s="120"/>
      <c r="PQK3" s="120"/>
      <c r="PQL3" s="120"/>
      <c r="PQM3" s="120"/>
      <c r="PQN3" s="120"/>
      <c r="PQO3" s="120"/>
      <c r="PQP3" s="120"/>
      <c r="PQQ3" s="120"/>
      <c r="PQR3" s="120"/>
      <c r="PQS3" s="120"/>
      <c r="PQT3" s="120"/>
      <c r="PQU3" s="120"/>
      <c r="PQV3" s="120"/>
      <c r="PQW3" s="120"/>
      <c r="PQX3" s="120"/>
      <c r="PQY3" s="120"/>
      <c r="PQZ3" s="120"/>
      <c r="PRA3" s="120"/>
      <c r="PRB3" s="120"/>
      <c r="PRC3" s="120"/>
      <c r="PRD3" s="120"/>
      <c r="PRE3" s="120"/>
      <c r="PRF3" s="120"/>
      <c r="PRG3" s="120"/>
      <c r="PRH3" s="120"/>
      <c r="PRI3" s="120"/>
      <c r="PRJ3" s="120"/>
      <c r="PRK3" s="120"/>
      <c r="PRL3" s="120"/>
      <c r="PRM3" s="120"/>
      <c r="PRN3" s="120"/>
      <c r="PRO3" s="120"/>
      <c r="PRP3" s="120"/>
      <c r="PRQ3" s="120"/>
      <c r="PRR3" s="120"/>
      <c r="PRS3" s="120"/>
      <c r="PRT3" s="120"/>
      <c r="PRU3" s="120"/>
      <c r="PRV3" s="120"/>
      <c r="PRW3" s="120"/>
      <c r="PRX3" s="120"/>
      <c r="PRY3" s="120"/>
      <c r="PRZ3" s="120"/>
      <c r="PSA3" s="120"/>
      <c r="PSB3" s="120"/>
      <c r="PSC3" s="120"/>
      <c r="PSD3" s="120"/>
      <c r="PSE3" s="120"/>
      <c r="PSF3" s="120"/>
      <c r="PSG3" s="120"/>
      <c r="PSH3" s="120"/>
      <c r="PSI3" s="120"/>
      <c r="PSJ3" s="120"/>
      <c r="PSK3" s="120"/>
      <c r="PSL3" s="120"/>
      <c r="PSM3" s="120"/>
      <c r="PSN3" s="120"/>
      <c r="PSO3" s="120"/>
      <c r="PSP3" s="120"/>
      <c r="PSQ3" s="120"/>
      <c r="PSR3" s="120"/>
      <c r="PSS3" s="120"/>
      <c r="PST3" s="120"/>
      <c r="PSU3" s="120"/>
      <c r="PSV3" s="120"/>
      <c r="PSW3" s="120"/>
      <c r="PSX3" s="120"/>
      <c r="PSY3" s="120"/>
      <c r="PSZ3" s="120"/>
      <c r="PTA3" s="120"/>
      <c r="PTB3" s="120"/>
      <c r="PTC3" s="120"/>
      <c r="PTD3" s="120"/>
      <c r="PTE3" s="120"/>
      <c r="PTF3" s="120"/>
      <c r="PTG3" s="120"/>
      <c r="PTH3" s="120"/>
      <c r="PTI3" s="120"/>
      <c r="PTJ3" s="120"/>
      <c r="PTK3" s="120"/>
      <c r="PTL3" s="120"/>
      <c r="PTM3" s="120"/>
      <c r="PTN3" s="120"/>
      <c r="PTO3" s="120"/>
      <c r="PTP3" s="120"/>
      <c r="PTQ3" s="120"/>
      <c r="PTR3" s="120"/>
      <c r="PTS3" s="120"/>
      <c r="PTT3" s="120"/>
      <c r="PTU3" s="120"/>
      <c r="PTV3" s="120"/>
      <c r="PTW3" s="120"/>
      <c r="PTX3" s="120"/>
      <c r="PTY3" s="120"/>
      <c r="PTZ3" s="120"/>
      <c r="PUA3" s="120"/>
      <c r="PUB3" s="120"/>
      <c r="PUC3" s="120"/>
      <c r="PUD3" s="120"/>
      <c r="PUE3" s="120"/>
      <c r="PUF3" s="120"/>
      <c r="PUG3" s="120"/>
      <c r="PUH3" s="120"/>
      <c r="PUI3" s="120"/>
      <c r="PUJ3" s="120"/>
      <c r="PUK3" s="120"/>
      <c r="PUL3" s="120"/>
      <c r="PUM3" s="120"/>
      <c r="PUN3" s="120"/>
      <c r="PUO3" s="120"/>
      <c r="PUP3" s="120"/>
      <c r="PUQ3" s="120"/>
      <c r="PUR3" s="120"/>
      <c r="PUS3" s="120"/>
      <c r="PUT3" s="120"/>
      <c r="PUU3" s="120"/>
      <c r="PUV3" s="120"/>
      <c r="PUW3" s="120"/>
      <c r="PUX3" s="120"/>
      <c r="PUY3" s="120"/>
      <c r="PUZ3" s="120"/>
      <c r="PVA3" s="120"/>
      <c r="PVB3" s="120"/>
      <c r="PVC3" s="120"/>
      <c r="PVD3" s="120"/>
      <c r="PVE3" s="120"/>
      <c r="PVF3" s="120"/>
      <c r="PVG3" s="120"/>
      <c r="PVH3" s="120"/>
      <c r="PVI3" s="120"/>
      <c r="PVJ3" s="120"/>
      <c r="PVK3" s="120"/>
      <c r="PVL3" s="120"/>
      <c r="PVM3" s="120"/>
      <c r="PVN3" s="120"/>
      <c r="PVO3" s="120"/>
      <c r="PVP3" s="120"/>
      <c r="PVQ3" s="120"/>
      <c r="PVR3" s="120"/>
      <c r="PVS3" s="120"/>
      <c r="PVT3" s="120"/>
      <c r="PVU3" s="120"/>
      <c r="PVV3" s="120"/>
      <c r="PVW3" s="120"/>
      <c r="PVX3" s="120"/>
      <c r="PVY3" s="120"/>
      <c r="PVZ3" s="120"/>
      <c r="PWA3" s="120"/>
      <c r="PWB3" s="120"/>
      <c r="PWC3" s="120"/>
      <c r="PWD3" s="120"/>
      <c r="PWE3" s="120"/>
      <c r="PWF3" s="120"/>
      <c r="PWG3" s="120"/>
      <c r="PWH3" s="120"/>
      <c r="PWI3" s="120"/>
      <c r="PWJ3" s="120"/>
      <c r="PWK3" s="120"/>
      <c r="PWL3" s="120"/>
      <c r="PWM3" s="120"/>
      <c r="PWN3" s="120"/>
      <c r="PWO3" s="120"/>
      <c r="PWP3" s="120"/>
      <c r="PWQ3" s="120"/>
      <c r="PWR3" s="120"/>
      <c r="PWS3" s="120"/>
      <c r="PWT3" s="120"/>
      <c r="PWU3" s="120"/>
      <c r="PWV3" s="120"/>
      <c r="PWW3" s="120"/>
      <c r="PWX3" s="120"/>
      <c r="PWY3" s="120"/>
      <c r="PWZ3" s="120"/>
      <c r="PXA3" s="120"/>
      <c r="PXB3" s="120"/>
      <c r="PXC3" s="120"/>
      <c r="PXD3" s="120"/>
      <c r="PXE3" s="120"/>
      <c r="PXF3" s="120"/>
      <c r="PXG3" s="120"/>
      <c r="PXH3" s="120"/>
      <c r="PXI3" s="120"/>
      <c r="PXJ3" s="120"/>
      <c r="PXK3" s="120"/>
      <c r="PXL3" s="120"/>
      <c r="PXM3" s="120"/>
      <c r="PXN3" s="120"/>
      <c r="PXO3" s="120"/>
      <c r="PXP3" s="120"/>
      <c r="PXQ3" s="120"/>
      <c r="PXR3" s="120"/>
      <c r="PXS3" s="120"/>
      <c r="PXT3" s="120"/>
      <c r="PXU3" s="120"/>
      <c r="PXV3" s="120"/>
      <c r="PXW3" s="120"/>
      <c r="PXX3" s="120"/>
      <c r="PXY3" s="120"/>
      <c r="PXZ3" s="120"/>
      <c r="PYA3" s="120"/>
      <c r="PYB3" s="120"/>
      <c r="PYC3" s="120"/>
      <c r="PYD3" s="120"/>
      <c r="PYE3" s="120"/>
      <c r="PYF3" s="120"/>
      <c r="PYG3" s="120"/>
      <c r="PYH3" s="120"/>
      <c r="PYI3" s="120"/>
      <c r="PYJ3" s="120"/>
      <c r="PYK3" s="120"/>
      <c r="PYL3" s="120"/>
      <c r="PYM3" s="120"/>
      <c r="PYN3" s="120"/>
      <c r="PYO3" s="120"/>
      <c r="PYP3" s="120"/>
      <c r="PYQ3" s="120"/>
      <c r="PYR3" s="120"/>
      <c r="PYS3" s="120"/>
      <c r="PYT3" s="120"/>
      <c r="PYU3" s="120"/>
      <c r="PYV3" s="120"/>
      <c r="PYW3" s="120"/>
      <c r="PYX3" s="120"/>
      <c r="PYY3" s="120"/>
      <c r="PYZ3" s="120"/>
      <c r="PZA3" s="120"/>
      <c r="PZB3" s="120"/>
      <c r="PZC3" s="120"/>
      <c r="PZD3" s="120"/>
      <c r="PZE3" s="120"/>
      <c r="PZF3" s="120"/>
      <c r="PZG3" s="120"/>
      <c r="PZH3" s="120"/>
      <c r="PZI3" s="120"/>
      <c r="PZJ3" s="120"/>
      <c r="PZK3" s="120"/>
      <c r="PZL3" s="120"/>
      <c r="PZM3" s="120"/>
      <c r="PZN3" s="120"/>
      <c r="PZO3" s="120"/>
      <c r="PZP3" s="120"/>
      <c r="PZQ3" s="120"/>
      <c r="PZR3" s="120"/>
      <c r="PZS3" s="120"/>
      <c r="PZT3" s="120"/>
      <c r="PZU3" s="120"/>
      <c r="PZV3" s="120"/>
      <c r="PZW3" s="120"/>
      <c r="PZX3" s="120"/>
      <c r="PZY3" s="120"/>
      <c r="PZZ3" s="120"/>
      <c r="QAA3" s="120"/>
      <c r="QAB3" s="120"/>
      <c r="QAC3" s="120"/>
      <c r="QAD3" s="120"/>
      <c r="QAE3" s="120"/>
      <c r="QAF3" s="120"/>
      <c r="QAG3" s="120"/>
      <c r="QAH3" s="120"/>
      <c r="QAI3" s="120"/>
      <c r="QAJ3" s="120"/>
      <c r="QAK3" s="120"/>
      <c r="QAL3" s="120"/>
      <c r="QAM3" s="120"/>
      <c r="QAN3" s="120"/>
      <c r="QAO3" s="120"/>
      <c r="QAP3" s="120"/>
      <c r="QAQ3" s="120"/>
      <c r="QAR3" s="120"/>
      <c r="QAS3" s="120"/>
      <c r="QAT3" s="120"/>
      <c r="QAU3" s="120"/>
      <c r="QAV3" s="120"/>
      <c r="QAW3" s="120"/>
      <c r="QAX3" s="120"/>
      <c r="QAY3" s="120"/>
      <c r="QAZ3" s="120"/>
      <c r="QBA3" s="120"/>
      <c r="QBB3" s="120"/>
      <c r="QBC3" s="120"/>
      <c r="QBD3" s="120"/>
      <c r="QBE3" s="120"/>
      <c r="QBF3" s="120"/>
      <c r="QBG3" s="120"/>
      <c r="QBH3" s="120"/>
      <c r="QBI3" s="120"/>
      <c r="QBJ3" s="120"/>
      <c r="QBK3" s="120"/>
      <c r="QBL3" s="120"/>
      <c r="QBM3" s="120"/>
      <c r="QBN3" s="120"/>
      <c r="QBO3" s="120"/>
      <c r="QBP3" s="120"/>
      <c r="QBQ3" s="120"/>
      <c r="QBR3" s="120"/>
      <c r="QBS3" s="120"/>
      <c r="QBT3" s="120"/>
      <c r="QBU3" s="120"/>
      <c r="QBV3" s="120"/>
      <c r="QBW3" s="120"/>
      <c r="QBX3" s="120"/>
      <c r="QBY3" s="120"/>
      <c r="QBZ3" s="120"/>
      <c r="QCA3" s="120"/>
      <c r="QCB3" s="120"/>
      <c r="QCC3" s="120"/>
      <c r="QCD3" s="120"/>
      <c r="QCE3" s="120"/>
      <c r="QCF3" s="120"/>
      <c r="QCG3" s="120"/>
      <c r="QCH3" s="120"/>
      <c r="QCI3" s="120"/>
      <c r="QCJ3" s="120"/>
      <c r="QCK3" s="120"/>
      <c r="QCL3" s="120"/>
      <c r="QCM3" s="120"/>
      <c r="QCN3" s="120"/>
      <c r="QCO3" s="120"/>
      <c r="QCP3" s="120"/>
      <c r="QCQ3" s="120"/>
      <c r="QCR3" s="120"/>
      <c r="QCS3" s="120"/>
      <c r="QCT3" s="120"/>
      <c r="QCU3" s="120"/>
      <c r="QCV3" s="120"/>
      <c r="QCW3" s="120"/>
      <c r="QCX3" s="120"/>
      <c r="QCY3" s="120"/>
      <c r="QCZ3" s="120"/>
      <c r="QDA3" s="120"/>
      <c r="QDB3" s="120"/>
      <c r="QDC3" s="120"/>
      <c r="QDD3" s="120"/>
      <c r="QDE3" s="120"/>
      <c r="QDF3" s="120"/>
      <c r="QDG3" s="120"/>
      <c r="QDH3" s="120"/>
      <c r="QDI3" s="120"/>
      <c r="QDJ3" s="120"/>
      <c r="QDK3" s="120"/>
      <c r="QDL3" s="120"/>
      <c r="QDM3" s="120"/>
      <c r="QDN3" s="120"/>
      <c r="QDO3" s="120"/>
      <c r="QDP3" s="120"/>
      <c r="QDQ3" s="120"/>
      <c r="QDR3" s="120"/>
      <c r="QDS3" s="120"/>
      <c r="QDT3" s="120"/>
      <c r="QDU3" s="120"/>
      <c r="QDV3" s="120"/>
      <c r="QDW3" s="120"/>
      <c r="QDX3" s="120"/>
      <c r="QDY3" s="120"/>
      <c r="QDZ3" s="120"/>
      <c r="QEA3" s="120"/>
      <c r="QEB3" s="120"/>
      <c r="QEC3" s="120"/>
      <c r="QED3" s="120"/>
      <c r="QEE3" s="120"/>
      <c r="QEF3" s="120"/>
      <c r="QEG3" s="120"/>
      <c r="QEH3" s="120"/>
      <c r="QEI3" s="120"/>
      <c r="QEJ3" s="120"/>
      <c r="QEK3" s="120"/>
      <c r="QEL3" s="120"/>
      <c r="QEM3" s="120"/>
      <c r="QEN3" s="120"/>
      <c r="QEO3" s="120"/>
      <c r="QEP3" s="120"/>
      <c r="QEQ3" s="120"/>
      <c r="QER3" s="120"/>
      <c r="QES3" s="120"/>
      <c r="QET3" s="120"/>
      <c r="QEU3" s="120"/>
      <c r="QEV3" s="120"/>
      <c r="QEW3" s="120"/>
      <c r="QEX3" s="120"/>
      <c r="QEY3" s="120"/>
      <c r="QEZ3" s="120"/>
      <c r="QFA3" s="120"/>
      <c r="QFB3" s="120"/>
      <c r="QFC3" s="120"/>
      <c r="QFD3" s="120"/>
      <c r="QFE3" s="120"/>
      <c r="QFF3" s="120"/>
      <c r="QFG3" s="120"/>
      <c r="QFH3" s="120"/>
      <c r="QFI3" s="120"/>
      <c r="QFJ3" s="120"/>
      <c r="QFK3" s="120"/>
      <c r="QFL3" s="120"/>
      <c r="QFM3" s="120"/>
      <c r="QFN3" s="120"/>
      <c r="QFO3" s="120"/>
      <c r="QFP3" s="120"/>
      <c r="QFQ3" s="120"/>
      <c r="QFR3" s="120"/>
      <c r="QFS3" s="120"/>
      <c r="QFT3" s="120"/>
      <c r="QFU3" s="120"/>
      <c r="QFV3" s="120"/>
      <c r="QFW3" s="120"/>
      <c r="QFX3" s="120"/>
      <c r="QFY3" s="120"/>
      <c r="QFZ3" s="120"/>
      <c r="QGA3" s="120"/>
      <c r="QGB3" s="120"/>
      <c r="QGC3" s="120"/>
      <c r="QGD3" s="120"/>
      <c r="QGE3" s="120"/>
      <c r="QGF3" s="120"/>
      <c r="QGG3" s="120"/>
      <c r="QGH3" s="120"/>
      <c r="QGI3" s="120"/>
      <c r="QGJ3" s="120"/>
      <c r="QGK3" s="120"/>
      <c r="QGL3" s="120"/>
      <c r="QGM3" s="120"/>
      <c r="QGN3" s="120"/>
      <c r="QGO3" s="120"/>
      <c r="QGP3" s="120"/>
      <c r="QGQ3" s="120"/>
      <c r="QGR3" s="120"/>
      <c r="QGS3" s="120"/>
      <c r="QGT3" s="120"/>
      <c r="QGU3" s="120"/>
      <c r="QGV3" s="120"/>
      <c r="QGW3" s="120"/>
      <c r="QGX3" s="120"/>
      <c r="QGY3" s="120"/>
      <c r="QGZ3" s="120"/>
      <c r="QHA3" s="120"/>
      <c r="QHB3" s="120"/>
      <c r="QHC3" s="120"/>
      <c r="QHD3" s="120"/>
      <c r="QHE3" s="120"/>
      <c r="QHF3" s="120"/>
      <c r="QHG3" s="120"/>
      <c r="QHH3" s="120"/>
      <c r="QHI3" s="120"/>
      <c r="QHJ3" s="120"/>
      <c r="QHK3" s="120"/>
      <c r="QHL3" s="120"/>
      <c r="QHM3" s="120"/>
      <c r="QHN3" s="120"/>
      <c r="QHO3" s="120"/>
      <c r="QHP3" s="120"/>
      <c r="QHQ3" s="120"/>
      <c r="QHR3" s="120"/>
      <c r="QHS3" s="120"/>
      <c r="QHT3" s="120"/>
      <c r="QHU3" s="120"/>
      <c r="QHV3" s="120"/>
      <c r="QHW3" s="120"/>
      <c r="QHX3" s="120"/>
      <c r="QHY3" s="120"/>
      <c r="QHZ3" s="120"/>
      <c r="QIA3" s="120"/>
      <c r="QIB3" s="120"/>
      <c r="QIC3" s="120"/>
      <c r="QID3" s="120"/>
      <c r="QIE3" s="120"/>
      <c r="QIF3" s="120"/>
      <c r="QIG3" s="120"/>
      <c r="QIH3" s="120"/>
      <c r="QII3" s="120"/>
      <c r="QIJ3" s="120"/>
      <c r="QIK3" s="120"/>
      <c r="QIL3" s="120"/>
      <c r="QIM3" s="120"/>
      <c r="QIN3" s="120"/>
      <c r="QIO3" s="120"/>
      <c r="QIP3" s="120"/>
      <c r="QIQ3" s="120"/>
      <c r="QIR3" s="120"/>
      <c r="QIS3" s="120"/>
      <c r="QIT3" s="120"/>
      <c r="QIU3" s="120"/>
      <c r="QIV3" s="120"/>
      <c r="QIW3" s="120"/>
      <c r="QIX3" s="120"/>
      <c r="QIY3" s="120"/>
      <c r="QIZ3" s="120"/>
      <c r="QJA3" s="120"/>
      <c r="QJB3" s="120"/>
      <c r="QJC3" s="120"/>
      <c r="QJD3" s="120"/>
      <c r="QJE3" s="120"/>
      <c r="QJF3" s="120"/>
      <c r="QJG3" s="120"/>
      <c r="QJH3" s="120"/>
      <c r="QJI3" s="120"/>
      <c r="QJJ3" s="120"/>
      <c r="QJK3" s="120"/>
      <c r="QJL3" s="120"/>
      <c r="QJM3" s="120"/>
      <c r="QJN3" s="120"/>
      <c r="QJO3" s="120"/>
      <c r="QJP3" s="120"/>
      <c r="QJQ3" s="120"/>
      <c r="QJR3" s="120"/>
      <c r="QJS3" s="120"/>
      <c r="QJT3" s="120"/>
      <c r="QJU3" s="120"/>
      <c r="QJV3" s="120"/>
      <c r="QJW3" s="120"/>
      <c r="QJX3" s="120"/>
      <c r="QJY3" s="120"/>
      <c r="QJZ3" s="120"/>
      <c r="QKA3" s="120"/>
      <c r="QKB3" s="120"/>
      <c r="QKC3" s="120"/>
      <c r="QKD3" s="120"/>
      <c r="QKE3" s="120"/>
      <c r="QKF3" s="120"/>
      <c r="QKG3" s="120"/>
      <c r="QKH3" s="120"/>
      <c r="QKI3" s="120"/>
      <c r="QKJ3" s="120"/>
      <c r="QKK3" s="120"/>
      <c r="QKL3" s="120"/>
      <c r="QKM3" s="120"/>
      <c r="QKN3" s="120"/>
      <c r="QKO3" s="120"/>
      <c r="QKP3" s="120"/>
      <c r="QKQ3" s="120"/>
      <c r="QKR3" s="120"/>
      <c r="QKS3" s="120"/>
      <c r="QKT3" s="120"/>
      <c r="QKU3" s="120"/>
      <c r="QKV3" s="120"/>
      <c r="QKW3" s="120"/>
      <c r="QKX3" s="120"/>
      <c r="QKY3" s="120"/>
      <c r="QKZ3" s="120"/>
      <c r="QLA3" s="120"/>
      <c r="QLB3" s="120"/>
      <c r="QLC3" s="120"/>
      <c r="QLD3" s="120"/>
      <c r="QLE3" s="120"/>
      <c r="QLF3" s="120"/>
      <c r="QLG3" s="120"/>
      <c r="QLH3" s="120"/>
      <c r="QLI3" s="120"/>
      <c r="QLJ3" s="120"/>
      <c r="QLK3" s="120"/>
      <c r="QLL3" s="120"/>
      <c r="QLM3" s="120"/>
      <c r="QLN3" s="120"/>
      <c r="QLO3" s="120"/>
      <c r="QLP3" s="120"/>
      <c r="QLQ3" s="120"/>
      <c r="QLR3" s="120"/>
      <c r="QLS3" s="120"/>
      <c r="QLT3" s="120"/>
      <c r="QLU3" s="120"/>
      <c r="QLV3" s="120"/>
      <c r="QLW3" s="120"/>
      <c r="QLX3" s="120"/>
      <c r="QLY3" s="120"/>
      <c r="QLZ3" s="120"/>
      <c r="QMA3" s="120"/>
      <c r="QMB3" s="120"/>
      <c r="QMC3" s="120"/>
      <c r="QMD3" s="120"/>
      <c r="QME3" s="120"/>
      <c r="QMF3" s="120"/>
      <c r="QMG3" s="120"/>
      <c r="QMH3" s="120"/>
      <c r="QMI3" s="120"/>
      <c r="QMJ3" s="120"/>
      <c r="QMK3" s="120"/>
      <c r="QML3" s="120"/>
      <c r="QMM3" s="120"/>
      <c r="QMN3" s="120"/>
      <c r="QMO3" s="120"/>
      <c r="QMP3" s="120"/>
      <c r="QMQ3" s="120"/>
      <c r="QMR3" s="120"/>
      <c r="QMS3" s="120"/>
      <c r="QMT3" s="120"/>
      <c r="QMU3" s="120"/>
      <c r="QMV3" s="120"/>
      <c r="QMW3" s="120"/>
      <c r="QMX3" s="120"/>
      <c r="QMY3" s="120"/>
      <c r="QMZ3" s="120"/>
      <c r="QNA3" s="120"/>
      <c r="QNB3" s="120"/>
      <c r="QNC3" s="120"/>
      <c r="QND3" s="120"/>
      <c r="QNE3" s="120"/>
      <c r="QNF3" s="120"/>
      <c r="QNG3" s="120"/>
      <c r="QNH3" s="120"/>
      <c r="QNI3" s="120"/>
      <c r="QNJ3" s="120"/>
      <c r="QNK3" s="120"/>
      <c r="QNL3" s="120"/>
      <c r="QNM3" s="120"/>
      <c r="QNN3" s="120"/>
      <c r="QNO3" s="120"/>
      <c r="QNP3" s="120"/>
      <c r="QNQ3" s="120"/>
      <c r="QNR3" s="120"/>
      <c r="QNS3" s="120"/>
      <c r="QNT3" s="120"/>
      <c r="QNU3" s="120"/>
      <c r="QNV3" s="120"/>
      <c r="QNW3" s="120"/>
      <c r="QNX3" s="120"/>
      <c r="QNY3" s="120"/>
      <c r="QNZ3" s="120"/>
      <c r="QOA3" s="120"/>
      <c r="QOB3" s="120"/>
      <c r="QOC3" s="120"/>
      <c r="QOD3" s="120"/>
      <c r="QOE3" s="120"/>
      <c r="QOF3" s="120"/>
      <c r="QOG3" s="120"/>
      <c r="QOH3" s="120"/>
      <c r="QOI3" s="120"/>
      <c r="QOJ3" s="120"/>
      <c r="QOK3" s="120"/>
      <c r="QOL3" s="120"/>
      <c r="QOM3" s="120"/>
      <c r="QON3" s="120"/>
      <c r="QOO3" s="120"/>
      <c r="QOP3" s="120"/>
      <c r="QOQ3" s="120"/>
      <c r="QOR3" s="120"/>
      <c r="QOS3" s="120"/>
      <c r="QOT3" s="120"/>
      <c r="QOU3" s="120"/>
      <c r="QOV3" s="120"/>
      <c r="QOW3" s="120"/>
      <c r="QOX3" s="120"/>
      <c r="QOY3" s="120"/>
      <c r="QOZ3" s="120"/>
      <c r="QPA3" s="120"/>
      <c r="QPB3" s="120"/>
      <c r="QPC3" s="120"/>
      <c r="QPD3" s="120"/>
      <c r="QPE3" s="120"/>
      <c r="QPF3" s="120"/>
      <c r="QPG3" s="120"/>
      <c r="QPH3" s="120"/>
      <c r="QPI3" s="120"/>
      <c r="QPJ3" s="120"/>
      <c r="QPK3" s="120"/>
      <c r="QPL3" s="120"/>
      <c r="QPM3" s="120"/>
      <c r="QPN3" s="120"/>
      <c r="QPO3" s="120"/>
      <c r="QPP3" s="120"/>
      <c r="QPQ3" s="120"/>
      <c r="QPR3" s="120"/>
      <c r="QPS3" s="120"/>
      <c r="QPT3" s="120"/>
      <c r="QPU3" s="120"/>
      <c r="QPV3" s="120"/>
      <c r="QPW3" s="120"/>
      <c r="QPX3" s="120"/>
      <c r="QPY3" s="120"/>
      <c r="QPZ3" s="120"/>
      <c r="QQA3" s="120"/>
      <c r="QQB3" s="120"/>
      <c r="QQC3" s="120"/>
      <c r="QQD3" s="120"/>
      <c r="QQE3" s="120"/>
      <c r="QQF3" s="120"/>
      <c r="QQG3" s="120"/>
      <c r="QQH3" s="120"/>
      <c r="QQI3" s="120"/>
      <c r="QQJ3" s="120"/>
      <c r="QQK3" s="120"/>
      <c r="QQL3" s="120"/>
      <c r="QQM3" s="120"/>
      <c r="QQN3" s="120"/>
      <c r="QQO3" s="120"/>
      <c r="QQP3" s="120"/>
      <c r="QQQ3" s="120"/>
      <c r="QQR3" s="120"/>
      <c r="QQS3" s="120"/>
      <c r="QQT3" s="120"/>
      <c r="QQU3" s="120"/>
      <c r="QQV3" s="120"/>
      <c r="QQW3" s="120"/>
      <c r="QQX3" s="120"/>
      <c r="QQY3" s="120"/>
      <c r="QQZ3" s="120"/>
      <c r="QRA3" s="120"/>
      <c r="QRB3" s="120"/>
      <c r="QRC3" s="120"/>
      <c r="QRD3" s="120"/>
      <c r="QRE3" s="120"/>
      <c r="QRF3" s="120"/>
      <c r="QRG3" s="120"/>
      <c r="QRH3" s="120"/>
      <c r="QRI3" s="120"/>
      <c r="QRJ3" s="120"/>
      <c r="QRK3" s="120"/>
      <c r="QRL3" s="120"/>
      <c r="QRM3" s="120"/>
      <c r="QRN3" s="120"/>
      <c r="QRO3" s="120"/>
      <c r="QRP3" s="120"/>
      <c r="QRQ3" s="120"/>
      <c r="QRR3" s="120"/>
      <c r="QRS3" s="120"/>
      <c r="QRT3" s="120"/>
      <c r="QRU3" s="120"/>
      <c r="QRV3" s="120"/>
      <c r="QRW3" s="120"/>
      <c r="QRX3" s="120"/>
      <c r="QRY3" s="120"/>
      <c r="QRZ3" s="120"/>
      <c r="QSA3" s="120"/>
      <c r="QSB3" s="120"/>
      <c r="QSC3" s="120"/>
      <c r="QSD3" s="120"/>
      <c r="QSE3" s="120"/>
      <c r="QSF3" s="120"/>
      <c r="QSG3" s="120"/>
      <c r="QSH3" s="120"/>
      <c r="QSI3" s="120"/>
      <c r="QSJ3" s="120"/>
      <c r="QSK3" s="120"/>
      <c r="QSL3" s="120"/>
      <c r="QSM3" s="120"/>
      <c r="QSN3" s="120"/>
      <c r="QSO3" s="120"/>
      <c r="QSP3" s="120"/>
      <c r="QSQ3" s="120"/>
      <c r="QSR3" s="120"/>
      <c r="QSS3" s="120"/>
      <c r="QST3" s="120"/>
      <c r="QSU3" s="120"/>
      <c r="QSV3" s="120"/>
      <c r="QSW3" s="120"/>
      <c r="QSX3" s="120"/>
      <c r="QSY3" s="120"/>
      <c r="QSZ3" s="120"/>
      <c r="QTA3" s="120"/>
      <c r="QTB3" s="120"/>
      <c r="QTC3" s="120"/>
      <c r="QTD3" s="120"/>
      <c r="QTE3" s="120"/>
      <c r="QTF3" s="120"/>
      <c r="QTG3" s="120"/>
      <c r="QTH3" s="120"/>
      <c r="QTI3" s="120"/>
      <c r="QTJ3" s="120"/>
      <c r="QTK3" s="120"/>
      <c r="QTL3" s="120"/>
      <c r="QTM3" s="120"/>
      <c r="QTN3" s="120"/>
      <c r="QTO3" s="120"/>
      <c r="QTP3" s="120"/>
      <c r="QTQ3" s="120"/>
      <c r="QTR3" s="120"/>
      <c r="QTS3" s="120"/>
      <c r="QTT3" s="120"/>
      <c r="QTU3" s="120"/>
      <c r="QTV3" s="120"/>
      <c r="QTW3" s="120"/>
      <c r="QTX3" s="120"/>
      <c r="QTY3" s="120"/>
      <c r="QTZ3" s="120"/>
      <c r="QUA3" s="120"/>
      <c r="QUB3" s="120"/>
      <c r="QUC3" s="120"/>
      <c r="QUD3" s="120"/>
      <c r="QUE3" s="120"/>
      <c r="QUF3" s="120"/>
      <c r="QUG3" s="120"/>
      <c r="QUH3" s="120"/>
      <c r="QUI3" s="120"/>
      <c r="QUJ3" s="120"/>
      <c r="QUK3" s="120"/>
      <c r="QUL3" s="120"/>
      <c r="QUM3" s="120"/>
      <c r="QUN3" s="120"/>
      <c r="QUO3" s="120"/>
      <c r="QUP3" s="120"/>
      <c r="QUQ3" s="120"/>
      <c r="QUR3" s="120"/>
      <c r="QUS3" s="120"/>
      <c r="QUT3" s="120"/>
      <c r="QUU3" s="120"/>
      <c r="QUV3" s="120"/>
      <c r="QUW3" s="120"/>
      <c r="QUX3" s="120"/>
      <c r="QUY3" s="120"/>
      <c r="QUZ3" s="120"/>
      <c r="QVA3" s="120"/>
      <c r="QVB3" s="120"/>
      <c r="QVC3" s="120"/>
      <c r="QVD3" s="120"/>
      <c r="QVE3" s="120"/>
      <c r="QVF3" s="120"/>
      <c r="QVG3" s="120"/>
      <c r="QVH3" s="120"/>
      <c r="QVI3" s="120"/>
      <c r="QVJ3" s="120"/>
      <c r="QVK3" s="120"/>
      <c r="QVL3" s="120"/>
      <c r="QVM3" s="120"/>
      <c r="QVN3" s="120"/>
      <c r="QVO3" s="120"/>
      <c r="QVP3" s="120"/>
      <c r="QVQ3" s="120"/>
      <c r="QVR3" s="120"/>
      <c r="QVS3" s="120"/>
      <c r="QVT3" s="120"/>
      <c r="QVU3" s="120"/>
      <c r="QVV3" s="120"/>
      <c r="QVW3" s="120"/>
      <c r="QVX3" s="120"/>
      <c r="QVY3" s="120"/>
      <c r="QVZ3" s="120"/>
      <c r="QWA3" s="120"/>
      <c r="QWB3" s="120"/>
      <c r="QWC3" s="120"/>
      <c r="QWD3" s="120"/>
      <c r="QWE3" s="120"/>
      <c r="QWF3" s="120"/>
      <c r="QWG3" s="120"/>
      <c r="QWH3" s="120"/>
      <c r="QWI3" s="120"/>
      <c r="QWJ3" s="120"/>
      <c r="QWK3" s="120"/>
      <c r="QWL3" s="120"/>
      <c r="QWM3" s="120"/>
      <c r="QWN3" s="120"/>
      <c r="QWO3" s="120"/>
      <c r="QWP3" s="120"/>
      <c r="QWQ3" s="120"/>
      <c r="QWR3" s="120"/>
      <c r="QWS3" s="120"/>
      <c r="QWT3" s="120"/>
      <c r="QWU3" s="120"/>
      <c r="QWV3" s="120"/>
      <c r="QWW3" s="120"/>
      <c r="QWX3" s="120"/>
      <c r="QWY3" s="120"/>
      <c r="QWZ3" s="120"/>
      <c r="QXA3" s="120"/>
      <c r="QXB3" s="120"/>
      <c r="QXC3" s="120"/>
      <c r="QXD3" s="120"/>
      <c r="QXE3" s="120"/>
      <c r="QXF3" s="120"/>
      <c r="QXG3" s="120"/>
      <c r="QXH3" s="120"/>
      <c r="QXI3" s="120"/>
      <c r="QXJ3" s="120"/>
      <c r="QXK3" s="120"/>
      <c r="QXL3" s="120"/>
      <c r="QXM3" s="120"/>
      <c r="QXN3" s="120"/>
      <c r="QXO3" s="120"/>
      <c r="QXP3" s="120"/>
      <c r="QXQ3" s="120"/>
      <c r="QXR3" s="120"/>
      <c r="QXS3" s="120"/>
      <c r="QXT3" s="120"/>
      <c r="QXU3" s="120"/>
      <c r="QXV3" s="120"/>
      <c r="QXW3" s="120"/>
      <c r="QXX3" s="120"/>
      <c r="QXY3" s="120"/>
      <c r="QXZ3" s="120"/>
      <c r="QYA3" s="120"/>
      <c r="QYB3" s="120"/>
      <c r="QYC3" s="120"/>
      <c r="QYD3" s="120"/>
      <c r="QYE3" s="120"/>
      <c r="QYF3" s="120"/>
      <c r="QYG3" s="120"/>
      <c r="QYH3" s="120"/>
      <c r="QYI3" s="120"/>
      <c r="QYJ3" s="120"/>
      <c r="QYK3" s="120"/>
      <c r="QYL3" s="120"/>
      <c r="QYM3" s="120"/>
      <c r="QYN3" s="120"/>
      <c r="QYO3" s="120"/>
      <c r="QYP3" s="120"/>
      <c r="QYQ3" s="120"/>
      <c r="QYR3" s="120"/>
      <c r="QYS3" s="120"/>
      <c r="QYT3" s="120"/>
      <c r="QYU3" s="120"/>
      <c r="QYV3" s="120"/>
      <c r="QYW3" s="120"/>
      <c r="QYX3" s="120"/>
      <c r="QYY3" s="120"/>
      <c r="QYZ3" s="120"/>
      <c r="QZA3" s="120"/>
      <c r="QZB3" s="120"/>
      <c r="QZC3" s="120"/>
      <c r="QZD3" s="120"/>
      <c r="QZE3" s="120"/>
      <c r="QZF3" s="120"/>
      <c r="QZG3" s="120"/>
      <c r="QZH3" s="120"/>
      <c r="QZI3" s="120"/>
      <c r="QZJ3" s="120"/>
      <c r="QZK3" s="120"/>
      <c r="QZL3" s="120"/>
      <c r="QZM3" s="120"/>
      <c r="QZN3" s="120"/>
      <c r="QZO3" s="120"/>
      <c r="QZP3" s="120"/>
      <c r="QZQ3" s="120"/>
      <c r="QZR3" s="120"/>
      <c r="QZS3" s="120"/>
      <c r="QZT3" s="120"/>
      <c r="QZU3" s="120"/>
      <c r="QZV3" s="120"/>
      <c r="QZW3" s="120"/>
      <c r="QZX3" s="120"/>
      <c r="QZY3" s="120"/>
      <c r="QZZ3" s="120"/>
      <c r="RAA3" s="120"/>
      <c r="RAB3" s="120"/>
      <c r="RAC3" s="120"/>
      <c r="RAD3" s="120"/>
      <c r="RAE3" s="120"/>
      <c r="RAF3" s="120"/>
      <c r="RAG3" s="120"/>
      <c r="RAH3" s="120"/>
      <c r="RAI3" s="120"/>
      <c r="RAJ3" s="120"/>
      <c r="RAK3" s="120"/>
      <c r="RAL3" s="120"/>
      <c r="RAM3" s="120"/>
      <c r="RAN3" s="120"/>
      <c r="RAO3" s="120"/>
      <c r="RAP3" s="120"/>
      <c r="RAQ3" s="120"/>
      <c r="RAR3" s="120"/>
      <c r="RAS3" s="120"/>
      <c r="RAT3" s="120"/>
      <c r="RAU3" s="120"/>
      <c r="RAV3" s="120"/>
      <c r="RAW3" s="120"/>
      <c r="RAX3" s="120"/>
      <c r="RAY3" s="120"/>
      <c r="RAZ3" s="120"/>
      <c r="RBA3" s="120"/>
      <c r="RBB3" s="120"/>
      <c r="RBC3" s="120"/>
      <c r="RBD3" s="120"/>
      <c r="RBE3" s="120"/>
      <c r="RBF3" s="120"/>
      <c r="RBG3" s="120"/>
      <c r="RBH3" s="120"/>
      <c r="RBI3" s="120"/>
      <c r="RBJ3" s="120"/>
      <c r="RBK3" s="120"/>
      <c r="RBL3" s="120"/>
      <c r="RBM3" s="120"/>
      <c r="RBN3" s="120"/>
      <c r="RBO3" s="120"/>
      <c r="RBP3" s="120"/>
      <c r="RBQ3" s="120"/>
      <c r="RBR3" s="120"/>
      <c r="RBS3" s="120"/>
      <c r="RBT3" s="120"/>
      <c r="RBU3" s="120"/>
      <c r="RBV3" s="120"/>
      <c r="RBW3" s="120"/>
      <c r="RBX3" s="120"/>
      <c r="RBY3" s="120"/>
      <c r="RBZ3" s="120"/>
      <c r="RCA3" s="120"/>
      <c r="RCB3" s="120"/>
      <c r="RCC3" s="120"/>
      <c r="RCD3" s="120"/>
      <c r="RCE3" s="120"/>
      <c r="RCF3" s="120"/>
      <c r="RCG3" s="120"/>
      <c r="RCH3" s="120"/>
      <c r="RCI3" s="120"/>
      <c r="RCJ3" s="120"/>
      <c r="RCK3" s="120"/>
      <c r="RCL3" s="120"/>
      <c r="RCM3" s="120"/>
      <c r="RCN3" s="120"/>
      <c r="RCO3" s="120"/>
      <c r="RCP3" s="120"/>
      <c r="RCQ3" s="120"/>
      <c r="RCR3" s="120"/>
      <c r="RCS3" s="120"/>
      <c r="RCT3" s="120"/>
      <c r="RCU3" s="120"/>
      <c r="RCV3" s="120"/>
      <c r="RCW3" s="120"/>
      <c r="RCX3" s="120"/>
      <c r="RCY3" s="120"/>
      <c r="RCZ3" s="120"/>
      <c r="RDA3" s="120"/>
      <c r="RDB3" s="120"/>
      <c r="RDC3" s="120"/>
      <c r="RDD3" s="120"/>
      <c r="RDE3" s="120"/>
      <c r="RDF3" s="120"/>
      <c r="RDG3" s="120"/>
      <c r="RDH3" s="120"/>
      <c r="RDI3" s="120"/>
      <c r="RDJ3" s="120"/>
      <c r="RDK3" s="120"/>
      <c r="RDL3" s="120"/>
      <c r="RDM3" s="120"/>
      <c r="RDN3" s="120"/>
      <c r="RDO3" s="120"/>
      <c r="RDP3" s="120"/>
      <c r="RDQ3" s="120"/>
      <c r="RDR3" s="120"/>
      <c r="RDS3" s="120"/>
      <c r="RDT3" s="120"/>
      <c r="RDU3" s="120"/>
      <c r="RDV3" s="120"/>
      <c r="RDW3" s="120"/>
      <c r="RDX3" s="120"/>
      <c r="RDY3" s="120"/>
      <c r="RDZ3" s="120"/>
      <c r="REA3" s="120"/>
      <c r="REB3" s="120"/>
      <c r="REC3" s="120"/>
      <c r="RED3" s="120"/>
      <c r="REE3" s="120"/>
      <c r="REF3" s="120"/>
      <c r="REG3" s="120"/>
      <c r="REH3" s="120"/>
      <c r="REI3" s="120"/>
      <c r="REJ3" s="120"/>
      <c r="REK3" s="120"/>
      <c r="REL3" s="120"/>
      <c r="REM3" s="120"/>
      <c r="REN3" s="120"/>
      <c r="REO3" s="120"/>
      <c r="REP3" s="120"/>
      <c r="REQ3" s="120"/>
      <c r="RER3" s="120"/>
      <c r="RES3" s="120"/>
      <c r="RET3" s="120"/>
      <c r="REU3" s="120"/>
      <c r="REV3" s="120"/>
      <c r="REW3" s="120"/>
      <c r="REX3" s="120"/>
      <c r="REY3" s="120"/>
      <c r="REZ3" s="120"/>
      <c r="RFA3" s="120"/>
      <c r="RFB3" s="120"/>
      <c r="RFC3" s="120"/>
      <c r="RFD3" s="120"/>
      <c r="RFE3" s="120"/>
      <c r="RFF3" s="120"/>
      <c r="RFG3" s="120"/>
      <c r="RFH3" s="120"/>
      <c r="RFI3" s="120"/>
      <c r="RFJ3" s="120"/>
      <c r="RFK3" s="120"/>
      <c r="RFL3" s="120"/>
      <c r="RFM3" s="120"/>
      <c r="RFN3" s="120"/>
      <c r="RFO3" s="120"/>
      <c r="RFP3" s="120"/>
      <c r="RFQ3" s="120"/>
      <c r="RFR3" s="120"/>
      <c r="RFS3" s="120"/>
      <c r="RFT3" s="120"/>
      <c r="RFU3" s="120"/>
      <c r="RFV3" s="120"/>
      <c r="RFW3" s="120"/>
      <c r="RFX3" s="120"/>
      <c r="RFY3" s="120"/>
      <c r="RFZ3" s="120"/>
      <c r="RGA3" s="120"/>
      <c r="RGB3" s="120"/>
      <c r="RGC3" s="120"/>
      <c r="RGD3" s="120"/>
      <c r="RGE3" s="120"/>
      <c r="RGF3" s="120"/>
      <c r="RGG3" s="120"/>
      <c r="RGH3" s="120"/>
      <c r="RGI3" s="120"/>
      <c r="RGJ3" s="120"/>
      <c r="RGK3" s="120"/>
      <c r="RGL3" s="120"/>
      <c r="RGM3" s="120"/>
      <c r="RGN3" s="120"/>
      <c r="RGO3" s="120"/>
      <c r="RGP3" s="120"/>
      <c r="RGQ3" s="120"/>
      <c r="RGR3" s="120"/>
      <c r="RGS3" s="120"/>
      <c r="RGT3" s="120"/>
      <c r="RGU3" s="120"/>
      <c r="RGV3" s="120"/>
      <c r="RGW3" s="120"/>
      <c r="RGX3" s="120"/>
      <c r="RGY3" s="120"/>
      <c r="RGZ3" s="120"/>
      <c r="RHA3" s="120"/>
      <c r="RHB3" s="120"/>
      <c r="RHC3" s="120"/>
      <c r="RHD3" s="120"/>
      <c r="RHE3" s="120"/>
      <c r="RHF3" s="120"/>
      <c r="RHG3" s="120"/>
      <c r="RHH3" s="120"/>
      <c r="RHI3" s="120"/>
      <c r="RHJ3" s="120"/>
      <c r="RHK3" s="120"/>
      <c r="RHL3" s="120"/>
      <c r="RHM3" s="120"/>
      <c r="RHN3" s="120"/>
      <c r="RHO3" s="120"/>
      <c r="RHP3" s="120"/>
      <c r="RHQ3" s="120"/>
      <c r="RHR3" s="120"/>
      <c r="RHS3" s="120"/>
      <c r="RHT3" s="120"/>
      <c r="RHU3" s="120"/>
      <c r="RHV3" s="120"/>
      <c r="RHW3" s="120"/>
      <c r="RHX3" s="120"/>
      <c r="RHY3" s="120"/>
      <c r="RHZ3" s="120"/>
      <c r="RIA3" s="120"/>
      <c r="RIB3" s="120"/>
      <c r="RIC3" s="120"/>
      <c r="RID3" s="120"/>
      <c r="RIE3" s="120"/>
      <c r="RIF3" s="120"/>
      <c r="RIG3" s="120"/>
      <c r="RIH3" s="120"/>
      <c r="RII3" s="120"/>
      <c r="RIJ3" s="120"/>
      <c r="RIK3" s="120"/>
      <c r="RIL3" s="120"/>
      <c r="RIM3" s="120"/>
      <c r="RIN3" s="120"/>
      <c r="RIO3" s="120"/>
      <c r="RIP3" s="120"/>
      <c r="RIQ3" s="120"/>
      <c r="RIR3" s="120"/>
      <c r="RIS3" s="120"/>
      <c r="RIT3" s="120"/>
      <c r="RIU3" s="120"/>
      <c r="RIV3" s="120"/>
      <c r="RIW3" s="120"/>
      <c r="RIX3" s="120"/>
      <c r="RIY3" s="120"/>
      <c r="RIZ3" s="120"/>
      <c r="RJA3" s="120"/>
      <c r="RJB3" s="120"/>
      <c r="RJC3" s="120"/>
      <c r="RJD3" s="120"/>
      <c r="RJE3" s="120"/>
      <c r="RJF3" s="120"/>
      <c r="RJG3" s="120"/>
      <c r="RJH3" s="120"/>
      <c r="RJI3" s="120"/>
      <c r="RJJ3" s="120"/>
      <c r="RJK3" s="120"/>
      <c r="RJL3" s="120"/>
      <c r="RJM3" s="120"/>
      <c r="RJN3" s="120"/>
      <c r="RJO3" s="120"/>
      <c r="RJP3" s="120"/>
      <c r="RJQ3" s="120"/>
      <c r="RJR3" s="120"/>
      <c r="RJS3" s="120"/>
      <c r="RJT3" s="120"/>
      <c r="RJU3" s="120"/>
      <c r="RJV3" s="120"/>
      <c r="RJW3" s="120"/>
      <c r="RJX3" s="120"/>
      <c r="RJY3" s="120"/>
      <c r="RJZ3" s="120"/>
      <c r="RKA3" s="120"/>
      <c r="RKB3" s="120"/>
      <c r="RKC3" s="120"/>
      <c r="RKD3" s="120"/>
      <c r="RKE3" s="120"/>
      <c r="RKF3" s="120"/>
      <c r="RKG3" s="120"/>
      <c r="RKH3" s="120"/>
      <c r="RKI3" s="120"/>
      <c r="RKJ3" s="120"/>
      <c r="RKK3" s="120"/>
      <c r="RKL3" s="120"/>
      <c r="RKM3" s="120"/>
      <c r="RKN3" s="120"/>
      <c r="RKO3" s="120"/>
      <c r="RKP3" s="120"/>
      <c r="RKQ3" s="120"/>
      <c r="RKR3" s="120"/>
      <c r="RKS3" s="120"/>
      <c r="RKT3" s="120"/>
      <c r="RKU3" s="120"/>
      <c r="RKV3" s="120"/>
      <c r="RKW3" s="120"/>
      <c r="RKX3" s="120"/>
      <c r="RKY3" s="120"/>
      <c r="RKZ3" s="120"/>
      <c r="RLA3" s="120"/>
      <c r="RLB3" s="120"/>
      <c r="RLC3" s="120"/>
      <c r="RLD3" s="120"/>
      <c r="RLE3" s="120"/>
      <c r="RLF3" s="120"/>
      <c r="RLG3" s="120"/>
      <c r="RLH3" s="120"/>
      <c r="RLI3" s="120"/>
      <c r="RLJ3" s="120"/>
      <c r="RLK3" s="120"/>
      <c r="RLL3" s="120"/>
      <c r="RLM3" s="120"/>
      <c r="RLN3" s="120"/>
      <c r="RLO3" s="120"/>
      <c r="RLP3" s="120"/>
      <c r="RLQ3" s="120"/>
      <c r="RLR3" s="120"/>
      <c r="RLS3" s="120"/>
      <c r="RLT3" s="120"/>
      <c r="RLU3" s="120"/>
      <c r="RLV3" s="120"/>
      <c r="RLW3" s="120"/>
      <c r="RLX3" s="120"/>
      <c r="RLY3" s="120"/>
      <c r="RLZ3" s="120"/>
      <c r="RMA3" s="120"/>
      <c r="RMB3" s="120"/>
      <c r="RMC3" s="120"/>
      <c r="RMD3" s="120"/>
      <c r="RME3" s="120"/>
      <c r="RMF3" s="120"/>
      <c r="RMG3" s="120"/>
      <c r="RMH3" s="120"/>
      <c r="RMI3" s="120"/>
      <c r="RMJ3" s="120"/>
      <c r="RMK3" s="120"/>
      <c r="RML3" s="120"/>
      <c r="RMM3" s="120"/>
      <c r="RMN3" s="120"/>
      <c r="RMO3" s="120"/>
      <c r="RMP3" s="120"/>
      <c r="RMQ3" s="120"/>
      <c r="RMR3" s="120"/>
      <c r="RMS3" s="120"/>
      <c r="RMT3" s="120"/>
      <c r="RMU3" s="120"/>
      <c r="RMV3" s="120"/>
      <c r="RMW3" s="120"/>
      <c r="RMX3" s="120"/>
      <c r="RMY3" s="120"/>
      <c r="RMZ3" s="120"/>
      <c r="RNA3" s="120"/>
      <c r="RNB3" s="120"/>
      <c r="RNC3" s="120"/>
      <c r="RND3" s="120"/>
      <c r="RNE3" s="120"/>
      <c r="RNF3" s="120"/>
      <c r="RNG3" s="120"/>
      <c r="RNH3" s="120"/>
      <c r="RNI3" s="120"/>
      <c r="RNJ3" s="120"/>
      <c r="RNK3" s="120"/>
      <c r="RNL3" s="120"/>
      <c r="RNM3" s="120"/>
      <c r="RNN3" s="120"/>
      <c r="RNO3" s="120"/>
      <c r="RNP3" s="120"/>
      <c r="RNQ3" s="120"/>
      <c r="RNR3" s="120"/>
      <c r="RNS3" s="120"/>
      <c r="RNT3" s="120"/>
      <c r="RNU3" s="120"/>
      <c r="RNV3" s="120"/>
      <c r="RNW3" s="120"/>
      <c r="RNX3" s="120"/>
      <c r="RNY3" s="120"/>
      <c r="RNZ3" s="120"/>
      <c r="ROA3" s="120"/>
      <c r="ROB3" s="120"/>
      <c r="ROC3" s="120"/>
      <c r="ROD3" s="120"/>
      <c r="ROE3" s="120"/>
      <c r="ROF3" s="120"/>
      <c r="ROG3" s="120"/>
      <c r="ROH3" s="120"/>
      <c r="ROI3" s="120"/>
      <c r="ROJ3" s="120"/>
      <c r="ROK3" s="120"/>
      <c r="ROL3" s="120"/>
      <c r="ROM3" s="120"/>
      <c r="RON3" s="120"/>
      <c r="ROO3" s="120"/>
      <c r="ROP3" s="120"/>
      <c r="ROQ3" s="120"/>
      <c r="ROR3" s="120"/>
      <c r="ROS3" s="120"/>
      <c r="ROT3" s="120"/>
      <c r="ROU3" s="120"/>
      <c r="ROV3" s="120"/>
      <c r="ROW3" s="120"/>
      <c r="ROX3" s="120"/>
      <c r="ROY3" s="120"/>
      <c r="ROZ3" s="120"/>
      <c r="RPA3" s="120"/>
      <c r="RPB3" s="120"/>
      <c r="RPC3" s="120"/>
      <c r="RPD3" s="120"/>
      <c r="RPE3" s="120"/>
      <c r="RPF3" s="120"/>
      <c r="RPG3" s="120"/>
      <c r="RPH3" s="120"/>
      <c r="RPI3" s="120"/>
      <c r="RPJ3" s="120"/>
      <c r="RPK3" s="120"/>
      <c r="RPL3" s="120"/>
      <c r="RPM3" s="120"/>
      <c r="RPN3" s="120"/>
      <c r="RPO3" s="120"/>
      <c r="RPP3" s="120"/>
      <c r="RPQ3" s="120"/>
      <c r="RPR3" s="120"/>
      <c r="RPS3" s="120"/>
      <c r="RPT3" s="120"/>
      <c r="RPU3" s="120"/>
      <c r="RPV3" s="120"/>
      <c r="RPW3" s="120"/>
      <c r="RPX3" s="120"/>
      <c r="RPY3" s="120"/>
      <c r="RPZ3" s="120"/>
      <c r="RQA3" s="120"/>
      <c r="RQB3" s="120"/>
      <c r="RQC3" s="120"/>
      <c r="RQD3" s="120"/>
      <c r="RQE3" s="120"/>
      <c r="RQF3" s="120"/>
      <c r="RQG3" s="120"/>
      <c r="RQH3" s="120"/>
      <c r="RQI3" s="120"/>
      <c r="RQJ3" s="120"/>
      <c r="RQK3" s="120"/>
      <c r="RQL3" s="120"/>
      <c r="RQM3" s="120"/>
      <c r="RQN3" s="120"/>
      <c r="RQO3" s="120"/>
      <c r="RQP3" s="120"/>
      <c r="RQQ3" s="120"/>
      <c r="RQR3" s="120"/>
      <c r="RQS3" s="120"/>
      <c r="RQT3" s="120"/>
      <c r="RQU3" s="120"/>
      <c r="RQV3" s="120"/>
      <c r="RQW3" s="120"/>
      <c r="RQX3" s="120"/>
      <c r="RQY3" s="120"/>
      <c r="RQZ3" s="120"/>
      <c r="RRA3" s="120"/>
      <c r="RRB3" s="120"/>
      <c r="RRC3" s="120"/>
      <c r="RRD3" s="120"/>
      <c r="RRE3" s="120"/>
      <c r="RRF3" s="120"/>
      <c r="RRG3" s="120"/>
      <c r="RRH3" s="120"/>
      <c r="RRI3" s="120"/>
      <c r="RRJ3" s="120"/>
      <c r="RRK3" s="120"/>
      <c r="RRL3" s="120"/>
      <c r="RRM3" s="120"/>
      <c r="RRN3" s="120"/>
      <c r="RRO3" s="120"/>
      <c r="RRP3" s="120"/>
      <c r="RRQ3" s="120"/>
      <c r="RRR3" s="120"/>
      <c r="RRS3" s="120"/>
      <c r="RRT3" s="120"/>
      <c r="RRU3" s="120"/>
      <c r="RRV3" s="120"/>
      <c r="RRW3" s="120"/>
      <c r="RRX3" s="120"/>
      <c r="RRY3" s="120"/>
      <c r="RRZ3" s="120"/>
      <c r="RSA3" s="120"/>
      <c r="RSB3" s="120"/>
      <c r="RSC3" s="120"/>
      <c r="RSD3" s="120"/>
      <c r="RSE3" s="120"/>
      <c r="RSF3" s="120"/>
      <c r="RSG3" s="120"/>
      <c r="RSH3" s="120"/>
      <c r="RSI3" s="120"/>
      <c r="RSJ3" s="120"/>
      <c r="RSK3" s="120"/>
      <c r="RSL3" s="120"/>
      <c r="RSM3" s="120"/>
      <c r="RSN3" s="120"/>
      <c r="RSO3" s="120"/>
      <c r="RSP3" s="120"/>
      <c r="RSQ3" s="120"/>
      <c r="RSR3" s="120"/>
      <c r="RSS3" s="120"/>
      <c r="RST3" s="120"/>
      <c r="RSU3" s="120"/>
      <c r="RSV3" s="120"/>
      <c r="RSW3" s="120"/>
      <c r="RSX3" s="120"/>
      <c r="RSY3" s="120"/>
      <c r="RSZ3" s="120"/>
      <c r="RTA3" s="120"/>
      <c r="RTB3" s="120"/>
      <c r="RTC3" s="120"/>
      <c r="RTD3" s="120"/>
      <c r="RTE3" s="120"/>
      <c r="RTF3" s="120"/>
      <c r="RTG3" s="120"/>
      <c r="RTH3" s="120"/>
      <c r="RTI3" s="120"/>
      <c r="RTJ3" s="120"/>
      <c r="RTK3" s="120"/>
      <c r="RTL3" s="120"/>
      <c r="RTM3" s="120"/>
      <c r="RTN3" s="120"/>
      <c r="RTO3" s="120"/>
      <c r="RTP3" s="120"/>
      <c r="RTQ3" s="120"/>
      <c r="RTR3" s="120"/>
      <c r="RTS3" s="120"/>
      <c r="RTT3" s="120"/>
      <c r="RTU3" s="120"/>
      <c r="RTV3" s="120"/>
      <c r="RTW3" s="120"/>
      <c r="RTX3" s="120"/>
      <c r="RTY3" s="120"/>
      <c r="RTZ3" s="120"/>
      <c r="RUA3" s="120"/>
      <c r="RUB3" s="120"/>
      <c r="RUC3" s="120"/>
      <c r="RUD3" s="120"/>
      <c r="RUE3" s="120"/>
      <c r="RUF3" s="120"/>
      <c r="RUG3" s="120"/>
      <c r="RUH3" s="120"/>
      <c r="RUI3" s="120"/>
      <c r="RUJ3" s="120"/>
      <c r="RUK3" s="120"/>
      <c r="RUL3" s="120"/>
      <c r="RUM3" s="120"/>
      <c r="RUN3" s="120"/>
      <c r="RUO3" s="120"/>
      <c r="RUP3" s="120"/>
      <c r="RUQ3" s="120"/>
      <c r="RUR3" s="120"/>
      <c r="RUS3" s="120"/>
      <c r="RUT3" s="120"/>
      <c r="RUU3" s="120"/>
      <c r="RUV3" s="120"/>
      <c r="RUW3" s="120"/>
      <c r="RUX3" s="120"/>
      <c r="RUY3" s="120"/>
      <c r="RUZ3" s="120"/>
      <c r="RVA3" s="120"/>
      <c r="RVB3" s="120"/>
      <c r="RVC3" s="120"/>
      <c r="RVD3" s="120"/>
      <c r="RVE3" s="120"/>
      <c r="RVF3" s="120"/>
      <c r="RVG3" s="120"/>
      <c r="RVH3" s="120"/>
      <c r="RVI3" s="120"/>
      <c r="RVJ3" s="120"/>
      <c r="RVK3" s="120"/>
      <c r="RVL3" s="120"/>
      <c r="RVM3" s="120"/>
      <c r="RVN3" s="120"/>
      <c r="RVO3" s="120"/>
      <c r="RVP3" s="120"/>
      <c r="RVQ3" s="120"/>
      <c r="RVR3" s="120"/>
      <c r="RVS3" s="120"/>
      <c r="RVT3" s="120"/>
      <c r="RVU3" s="120"/>
      <c r="RVV3" s="120"/>
      <c r="RVW3" s="120"/>
      <c r="RVX3" s="120"/>
      <c r="RVY3" s="120"/>
      <c r="RVZ3" s="120"/>
      <c r="RWA3" s="120"/>
      <c r="RWB3" s="120"/>
      <c r="RWC3" s="120"/>
      <c r="RWD3" s="120"/>
      <c r="RWE3" s="120"/>
      <c r="RWF3" s="120"/>
      <c r="RWG3" s="120"/>
      <c r="RWH3" s="120"/>
      <c r="RWI3" s="120"/>
      <c r="RWJ3" s="120"/>
      <c r="RWK3" s="120"/>
      <c r="RWL3" s="120"/>
      <c r="RWM3" s="120"/>
      <c r="RWN3" s="120"/>
      <c r="RWO3" s="120"/>
      <c r="RWP3" s="120"/>
      <c r="RWQ3" s="120"/>
      <c r="RWR3" s="120"/>
      <c r="RWS3" s="120"/>
      <c r="RWT3" s="120"/>
      <c r="RWU3" s="120"/>
      <c r="RWV3" s="120"/>
      <c r="RWW3" s="120"/>
      <c r="RWX3" s="120"/>
      <c r="RWY3" s="120"/>
      <c r="RWZ3" s="120"/>
      <c r="RXA3" s="120"/>
      <c r="RXB3" s="120"/>
      <c r="RXC3" s="120"/>
      <c r="RXD3" s="120"/>
      <c r="RXE3" s="120"/>
      <c r="RXF3" s="120"/>
      <c r="RXG3" s="120"/>
      <c r="RXH3" s="120"/>
      <c r="RXI3" s="120"/>
      <c r="RXJ3" s="120"/>
      <c r="RXK3" s="120"/>
      <c r="RXL3" s="120"/>
      <c r="RXM3" s="120"/>
      <c r="RXN3" s="120"/>
      <c r="RXO3" s="120"/>
      <c r="RXP3" s="120"/>
      <c r="RXQ3" s="120"/>
      <c r="RXR3" s="120"/>
      <c r="RXS3" s="120"/>
      <c r="RXT3" s="120"/>
      <c r="RXU3" s="120"/>
      <c r="RXV3" s="120"/>
      <c r="RXW3" s="120"/>
      <c r="RXX3" s="120"/>
      <c r="RXY3" s="120"/>
      <c r="RXZ3" s="120"/>
      <c r="RYA3" s="120"/>
      <c r="RYB3" s="120"/>
      <c r="RYC3" s="120"/>
      <c r="RYD3" s="120"/>
      <c r="RYE3" s="120"/>
      <c r="RYF3" s="120"/>
      <c r="RYG3" s="120"/>
      <c r="RYH3" s="120"/>
      <c r="RYI3" s="120"/>
      <c r="RYJ3" s="120"/>
      <c r="RYK3" s="120"/>
      <c r="RYL3" s="120"/>
      <c r="RYM3" s="120"/>
      <c r="RYN3" s="120"/>
      <c r="RYO3" s="120"/>
      <c r="RYP3" s="120"/>
      <c r="RYQ3" s="120"/>
      <c r="RYR3" s="120"/>
      <c r="RYS3" s="120"/>
      <c r="RYT3" s="120"/>
      <c r="RYU3" s="120"/>
      <c r="RYV3" s="120"/>
      <c r="RYW3" s="120"/>
      <c r="RYX3" s="120"/>
      <c r="RYY3" s="120"/>
      <c r="RYZ3" s="120"/>
      <c r="RZA3" s="120"/>
      <c r="RZB3" s="120"/>
      <c r="RZC3" s="120"/>
      <c r="RZD3" s="120"/>
      <c r="RZE3" s="120"/>
      <c r="RZF3" s="120"/>
      <c r="RZG3" s="120"/>
      <c r="RZH3" s="120"/>
      <c r="RZI3" s="120"/>
      <c r="RZJ3" s="120"/>
      <c r="RZK3" s="120"/>
      <c r="RZL3" s="120"/>
      <c r="RZM3" s="120"/>
      <c r="RZN3" s="120"/>
      <c r="RZO3" s="120"/>
      <c r="RZP3" s="120"/>
      <c r="RZQ3" s="120"/>
      <c r="RZR3" s="120"/>
      <c r="RZS3" s="120"/>
      <c r="RZT3" s="120"/>
      <c r="RZU3" s="120"/>
      <c r="RZV3" s="120"/>
      <c r="RZW3" s="120"/>
      <c r="RZX3" s="120"/>
      <c r="RZY3" s="120"/>
      <c r="RZZ3" s="120"/>
      <c r="SAA3" s="120"/>
      <c r="SAB3" s="120"/>
      <c r="SAC3" s="120"/>
      <c r="SAD3" s="120"/>
      <c r="SAE3" s="120"/>
      <c r="SAF3" s="120"/>
      <c r="SAG3" s="120"/>
      <c r="SAH3" s="120"/>
      <c r="SAI3" s="120"/>
      <c r="SAJ3" s="120"/>
      <c r="SAK3" s="120"/>
      <c r="SAL3" s="120"/>
      <c r="SAM3" s="120"/>
      <c r="SAN3" s="120"/>
      <c r="SAO3" s="120"/>
      <c r="SAP3" s="120"/>
      <c r="SAQ3" s="120"/>
      <c r="SAR3" s="120"/>
      <c r="SAS3" s="120"/>
      <c r="SAT3" s="120"/>
      <c r="SAU3" s="120"/>
      <c r="SAV3" s="120"/>
      <c r="SAW3" s="120"/>
      <c r="SAX3" s="120"/>
      <c r="SAY3" s="120"/>
      <c r="SAZ3" s="120"/>
      <c r="SBA3" s="120"/>
      <c r="SBB3" s="120"/>
      <c r="SBC3" s="120"/>
      <c r="SBD3" s="120"/>
      <c r="SBE3" s="120"/>
      <c r="SBF3" s="120"/>
      <c r="SBG3" s="120"/>
      <c r="SBH3" s="120"/>
      <c r="SBI3" s="120"/>
      <c r="SBJ3" s="120"/>
      <c r="SBK3" s="120"/>
      <c r="SBL3" s="120"/>
      <c r="SBM3" s="120"/>
      <c r="SBN3" s="120"/>
      <c r="SBO3" s="120"/>
      <c r="SBP3" s="120"/>
      <c r="SBQ3" s="120"/>
      <c r="SBR3" s="120"/>
      <c r="SBS3" s="120"/>
      <c r="SBT3" s="120"/>
      <c r="SBU3" s="120"/>
      <c r="SBV3" s="120"/>
      <c r="SBW3" s="120"/>
      <c r="SBX3" s="120"/>
      <c r="SBY3" s="120"/>
      <c r="SBZ3" s="120"/>
      <c r="SCA3" s="120"/>
      <c r="SCB3" s="120"/>
      <c r="SCC3" s="120"/>
      <c r="SCD3" s="120"/>
      <c r="SCE3" s="120"/>
      <c r="SCF3" s="120"/>
      <c r="SCG3" s="120"/>
      <c r="SCH3" s="120"/>
      <c r="SCI3" s="120"/>
      <c r="SCJ3" s="120"/>
      <c r="SCK3" s="120"/>
      <c r="SCL3" s="120"/>
      <c r="SCM3" s="120"/>
      <c r="SCN3" s="120"/>
      <c r="SCO3" s="120"/>
      <c r="SCP3" s="120"/>
      <c r="SCQ3" s="120"/>
      <c r="SCR3" s="120"/>
      <c r="SCS3" s="120"/>
      <c r="SCT3" s="120"/>
      <c r="SCU3" s="120"/>
      <c r="SCV3" s="120"/>
      <c r="SCW3" s="120"/>
      <c r="SCX3" s="120"/>
      <c r="SCY3" s="120"/>
      <c r="SCZ3" s="120"/>
      <c r="SDA3" s="120"/>
      <c r="SDB3" s="120"/>
      <c r="SDC3" s="120"/>
      <c r="SDD3" s="120"/>
      <c r="SDE3" s="120"/>
      <c r="SDF3" s="120"/>
      <c r="SDG3" s="120"/>
      <c r="SDH3" s="120"/>
      <c r="SDI3" s="120"/>
      <c r="SDJ3" s="120"/>
      <c r="SDK3" s="120"/>
      <c r="SDL3" s="120"/>
      <c r="SDM3" s="120"/>
      <c r="SDN3" s="120"/>
      <c r="SDO3" s="120"/>
      <c r="SDP3" s="120"/>
      <c r="SDQ3" s="120"/>
      <c r="SDR3" s="120"/>
      <c r="SDS3" s="120"/>
      <c r="SDT3" s="120"/>
      <c r="SDU3" s="120"/>
      <c r="SDV3" s="120"/>
      <c r="SDW3" s="120"/>
      <c r="SDX3" s="120"/>
      <c r="SDY3" s="120"/>
      <c r="SDZ3" s="120"/>
      <c r="SEA3" s="120"/>
      <c r="SEB3" s="120"/>
      <c r="SEC3" s="120"/>
      <c r="SED3" s="120"/>
      <c r="SEE3" s="120"/>
      <c r="SEF3" s="120"/>
      <c r="SEG3" s="120"/>
      <c r="SEH3" s="120"/>
      <c r="SEI3" s="120"/>
      <c r="SEJ3" s="120"/>
      <c r="SEK3" s="120"/>
      <c r="SEL3" s="120"/>
      <c r="SEM3" s="120"/>
      <c r="SEN3" s="120"/>
      <c r="SEO3" s="120"/>
      <c r="SEP3" s="120"/>
      <c r="SEQ3" s="120"/>
      <c r="SER3" s="120"/>
      <c r="SES3" s="120"/>
      <c r="SET3" s="120"/>
      <c r="SEU3" s="120"/>
      <c r="SEV3" s="120"/>
      <c r="SEW3" s="120"/>
      <c r="SEX3" s="120"/>
      <c r="SEY3" s="120"/>
      <c r="SEZ3" s="120"/>
      <c r="SFA3" s="120"/>
      <c r="SFB3" s="120"/>
      <c r="SFC3" s="120"/>
      <c r="SFD3" s="120"/>
      <c r="SFE3" s="120"/>
      <c r="SFF3" s="120"/>
      <c r="SFG3" s="120"/>
      <c r="SFH3" s="120"/>
      <c r="SFI3" s="120"/>
      <c r="SFJ3" s="120"/>
      <c r="SFK3" s="120"/>
      <c r="SFL3" s="120"/>
      <c r="SFM3" s="120"/>
      <c r="SFN3" s="120"/>
      <c r="SFO3" s="120"/>
      <c r="SFP3" s="120"/>
      <c r="SFQ3" s="120"/>
      <c r="SFR3" s="120"/>
      <c r="SFS3" s="120"/>
      <c r="SFT3" s="120"/>
      <c r="SFU3" s="120"/>
      <c r="SFV3" s="120"/>
      <c r="SFW3" s="120"/>
      <c r="SFX3" s="120"/>
      <c r="SFY3" s="120"/>
      <c r="SFZ3" s="120"/>
      <c r="SGA3" s="120"/>
      <c r="SGB3" s="120"/>
      <c r="SGC3" s="120"/>
      <c r="SGD3" s="120"/>
      <c r="SGE3" s="120"/>
      <c r="SGF3" s="120"/>
      <c r="SGG3" s="120"/>
      <c r="SGH3" s="120"/>
      <c r="SGI3" s="120"/>
      <c r="SGJ3" s="120"/>
      <c r="SGK3" s="120"/>
      <c r="SGL3" s="120"/>
      <c r="SGM3" s="120"/>
      <c r="SGN3" s="120"/>
      <c r="SGO3" s="120"/>
      <c r="SGP3" s="120"/>
      <c r="SGQ3" s="120"/>
      <c r="SGR3" s="120"/>
      <c r="SGS3" s="120"/>
      <c r="SGT3" s="120"/>
      <c r="SGU3" s="120"/>
      <c r="SGV3" s="120"/>
      <c r="SGW3" s="120"/>
      <c r="SGX3" s="120"/>
      <c r="SGY3" s="120"/>
      <c r="SGZ3" s="120"/>
      <c r="SHA3" s="120"/>
      <c r="SHB3" s="120"/>
      <c r="SHC3" s="120"/>
      <c r="SHD3" s="120"/>
      <c r="SHE3" s="120"/>
      <c r="SHF3" s="120"/>
      <c r="SHG3" s="120"/>
      <c r="SHH3" s="120"/>
      <c r="SHI3" s="120"/>
      <c r="SHJ3" s="120"/>
      <c r="SHK3" s="120"/>
      <c r="SHL3" s="120"/>
      <c r="SHM3" s="120"/>
      <c r="SHN3" s="120"/>
      <c r="SHO3" s="120"/>
      <c r="SHP3" s="120"/>
      <c r="SHQ3" s="120"/>
      <c r="SHR3" s="120"/>
      <c r="SHS3" s="120"/>
      <c r="SHT3" s="120"/>
      <c r="SHU3" s="120"/>
      <c r="SHV3" s="120"/>
      <c r="SHW3" s="120"/>
      <c r="SHX3" s="120"/>
      <c r="SHY3" s="120"/>
      <c r="SHZ3" s="120"/>
      <c r="SIA3" s="120"/>
      <c r="SIB3" s="120"/>
      <c r="SIC3" s="120"/>
      <c r="SID3" s="120"/>
      <c r="SIE3" s="120"/>
      <c r="SIF3" s="120"/>
      <c r="SIG3" s="120"/>
      <c r="SIH3" s="120"/>
      <c r="SII3" s="120"/>
      <c r="SIJ3" s="120"/>
      <c r="SIK3" s="120"/>
      <c r="SIL3" s="120"/>
      <c r="SIM3" s="120"/>
      <c r="SIN3" s="120"/>
      <c r="SIO3" s="120"/>
      <c r="SIP3" s="120"/>
      <c r="SIQ3" s="120"/>
      <c r="SIR3" s="120"/>
      <c r="SIS3" s="120"/>
      <c r="SIT3" s="120"/>
      <c r="SIU3" s="120"/>
      <c r="SIV3" s="120"/>
      <c r="SIW3" s="120"/>
      <c r="SIX3" s="120"/>
      <c r="SIY3" s="120"/>
      <c r="SIZ3" s="120"/>
      <c r="SJA3" s="120"/>
      <c r="SJB3" s="120"/>
      <c r="SJC3" s="120"/>
      <c r="SJD3" s="120"/>
      <c r="SJE3" s="120"/>
      <c r="SJF3" s="120"/>
      <c r="SJG3" s="120"/>
      <c r="SJH3" s="120"/>
      <c r="SJI3" s="120"/>
      <c r="SJJ3" s="120"/>
      <c r="SJK3" s="120"/>
      <c r="SJL3" s="120"/>
      <c r="SJM3" s="120"/>
      <c r="SJN3" s="120"/>
      <c r="SJO3" s="120"/>
      <c r="SJP3" s="120"/>
      <c r="SJQ3" s="120"/>
      <c r="SJR3" s="120"/>
      <c r="SJS3" s="120"/>
      <c r="SJT3" s="120"/>
      <c r="SJU3" s="120"/>
      <c r="SJV3" s="120"/>
      <c r="SJW3" s="120"/>
      <c r="SJX3" s="120"/>
      <c r="SJY3" s="120"/>
      <c r="SJZ3" s="120"/>
      <c r="SKA3" s="120"/>
      <c r="SKB3" s="120"/>
      <c r="SKC3" s="120"/>
      <c r="SKD3" s="120"/>
      <c r="SKE3" s="120"/>
      <c r="SKF3" s="120"/>
      <c r="SKG3" s="120"/>
      <c r="SKH3" s="120"/>
      <c r="SKI3" s="120"/>
      <c r="SKJ3" s="120"/>
      <c r="SKK3" s="120"/>
      <c r="SKL3" s="120"/>
      <c r="SKM3" s="120"/>
      <c r="SKN3" s="120"/>
      <c r="SKO3" s="120"/>
      <c r="SKP3" s="120"/>
      <c r="SKQ3" s="120"/>
      <c r="SKR3" s="120"/>
      <c r="SKS3" s="120"/>
      <c r="SKT3" s="120"/>
      <c r="SKU3" s="120"/>
      <c r="SKV3" s="120"/>
      <c r="SKW3" s="120"/>
      <c r="SKX3" s="120"/>
      <c r="SKY3" s="120"/>
      <c r="SKZ3" s="120"/>
      <c r="SLA3" s="120"/>
      <c r="SLB3" s="120"/>
      <c r="SLC3" s="120"/>
      <c r="SLD3" s="120"/>
      <c r="SLE3" s="120"/>
      <c r="SLF3" s="120"/>
      <c r="SLG3" s="120"/>
      <c r="SLH3" s="120"/>
      <c r="SLI3" s="120"/>
      <c r="SLJ3" s="120"/>
      <c r="SLK3" s="120"/>
      <c r="SLL3" s="120"/>
      <c r="SLM3" s="120"/>
      <c r="SLN3" s="120"/>
      <c r="SLO3" s="120"/>
      <c r="SLP3" s="120"/>
      <c r="SLQ3" s="120"/>
      <c r="SLR3" s="120"/>
      <c r="SLS3" s="120"/>
      <c r="SLT3" s="120"/>
      <c r="SLU3" s="120"/>
      <c r="SLV3" s="120"/>
      <c r="SLW3" s="120"/>
      <c r="SLX3" s="120"/>
      <c r="SLY3" s="120"/>
      <c r="SLZ3" s="120"/>
      <c r="SMA3" s="120"/>
      <c r="SMB3" s="120"/>
      <c r="SMC3" s="120"/>
      <c r="SMD3" s="120"/>
      <c r="SME3" s="120"/>
      <c r="SMF3" s="120"/>
      <c r="SMG3" s="120"/>
      <c r="SMH3" s="120"/>
      <c r="SMI3" s="120"/>
      <c r="SMJ3" s="120"/>
      <c r="SMK3" s="120"/>
      <c r="SML3" s="120"/>
      <c r="SMM3" s="120"/>
      <c r="SMN3" s="120"/>
      <c r="SMO3" s="120"/>
      <c r="SMP3" s="120"/>
      <c r="SMQ3" s="120"/>
      <c r="SMR3" s="120"/>
      <c r="SMS3" s="120"/>
      <c r="SMT3" s="120"/>
      <c r="SMU3" s="120"/>
      <c r="SMV3" s="120"/>
      <c r="SMW3" s="120"/>
      <c r="SMX3" s="120"/>
      <c r="SMY3" s="120"/>
      <c r="SMZ3" s="120"/>
      <c r="SNA3" s="120"/>
      <c r="SNB3" s="120"/>
      <c r="SNC3" s="120"/>
      <c r="SND3" s="120"/>
      <c r="SNE3" s="120"/>
      <c r="SNF3" s="120"/>
      <c r="SNG3" s="120"/>
      <c r="SNH3" s="120"/>
      <c r="SNI3" s="120"/>
      <c r="SNJ3" s="120"/>
      <c r="SNK3" s="120"/>
      <c r="SNL3" s="120"/>
      <c r="SNM3" s="120"/>
      <c r="SNN3" s="120"/>
      <c r="SNO3" s="120"/>
      <c r="SNP3" s="120"/>
      <c r="SNQ3" s="120"/>
      <c r="SNR3" s="120"/>
      <c r="SNS3" s="120"/>
      <c r="SNT3" s="120"/>
      <c r="SNU3" s="120"/>
      <c r="SNV3" s="120"/>
      <c r="SNW3" s="120"/>
      <c r="SNX3" s="120"/>
      <c r="SNY3" s="120"/>
      <c r="SNZ3" s="120"/>
      <c r="SOA3" s="120"/>
      <c r="SOB3" s="120"/>
      <c r="SOC3" s="120"/>
      <c r="SOD3" s="120"/>
      <c r="SOE3" s="120"/>
      <c r="SOF3" s="120"/>
      <c r="SOG3" s="120"/>
      <c r="SOH3" s="120"/>
      <c r="SOI3" s="120"/>
      <c r="SOJ3" s="120"/>
      <c r="SOK3" s="120"/>
      <c r="SOL3" s="120"/>
      <c r="SOM3" s="120"/>
      <c r="SON3" s="120"/>
      <c r="SOO3" s="120"/>
      <c r="SOP3" s="120"/>
      <c r="SOQ3" s="120"/>
      <c r="SOR3" s="120"/>
      <c r="SOS3" s="120"/>
      <c r="SOT3" s="120"/>
      <c r="SOU3" s="120"/>
      <c r="SOV3" s="120"/>
      <c r="SOW3" s="120"/>
      <c r="SOX3" s="120"/>
      <c r="SOY3" s="120"/>
      <c r="SOZ3" s="120"/>
      <c r="SPA3" s="120"/>
      <c r="SPB3" s="120"/>
      <c r="SPC3" s="120"/>
      <c r="SPD3" s="120"/>
      <c r="SPE3" s="120"/>
      <c r="SPF3" s="120"/>
      <c r="SPG3" s="120"/>
      <c r="SPH3" s="120"/>
      <c r="SPI3" s="120"/>
      <c r="SPJ3" s="120"/>
      <c r="SPK3" s="120"/>
      <c r="SPL3" s="120"/>
      <c r="SPM3" s="120"/>
      <c r="SPN3" s="120"/>
      <c r="SPO3" s="120"/>
      <c r="SPP3" s="120"/>
      <c r="SPQ3" s="120"/>
      <c r="SPR3" s="120"/>
      <c r="SPS3" s="120"/>
      <c r="SPT3" s="120"/>
      <c r="SPU3" s="120"/>
      <c r="SPV3" s="120"/>
      <c r="SPW3" s="120"/>
      <c r="SPX3" s="120"/>
      <c r="SPY3" s="120"/>
      <c r="SPZ3" s="120"/>
      <c r="SQA3" s="120"/>
      <c r="SQB3" s="120"/>
      <c r="SQC3" s="120"/>
      <c r="SQD3" s="120"/>
      <c r="SQE3" s="120"/>
      <c r="SQF3" s="120"/>
      <c r="SQG3" s="120"/>
      <c r="SQH3" s="120"/>
      <c r="SQI3" s="120"/>
      <c r="SQJ3" s="120"/>
      <c r="SQK3" s="120"/>
      <c r="SQL3" s="120"/>
      <c r="SQM3" s="120"/>
      <c r="SQN3" s="120"/>
      <c r="SQO3" s="120"/>
      <c r="SQP3" s="120"/>
      <c r="SQQ3" s="120"/>
      <c r="SQR3" s="120"/>
      <c r="SQS3" s="120"/>
      <c r="SQT3" s="120"/>
      <c r="SQU3" s="120"/>
      <c r="SQV3" s="120"/>
      <c r="SQW3" s="120"/>
      <c r="SQX3" s="120"/>
      <c r="SQY3" s="120"/>
      <c r="SQZ3" s="120"/>
      <c r="SRA3" s="120"/>
      <c r="SRB3" s="120"/>
      <c r="SRC3" s="120"/>
      <c r="SRD3" s="120"/>
      <c r="SRE3" s="120"/>
      <c r="SRF3" s="120"/>
      <c r="SRG3" s="120"/>
      <c r="SRH3" s="120"/>
      <c r="SRI3" s="120"/>
      <c r="SRJ3" s="120"/>
      <c r="SRK3" s="120"/>
      <c r="SRL3" s="120"/>
      <c r="SRM3" s="120"/>
      <c r="SRN3" s="120"/>
      <c r="SRO3" s="120"/>
      <c r="SRP3" s="120"/>
      <c r="SRQ3" s="120"/>
      <c r="SRR3" s="120"/>
      <c r="SRS3" s="120"/>
      <c r="SRT3" s="120"/>
      <c r="SRU3" s="120"/>
      <c r="SRV3" s="120"/>
      <c r="SRW3" s="120"/>
      <c r="SRX3" s="120"/>
      <c r="SRY3" s="120"/>
      <c r="SRZ3" s="120"/>
      <c r="SSA3" s="120"/>
      <c r="SSB3" s="120"/>
      <c r="SSC3" s="120"/>
      <c r="SSD3" s="120"/>
      <c r="SSE3" s="120"/>
      <c r="SSF3" s="120"/>
      <c r="SSG3" s="120"/>
      <c r="SSH3" s="120"/>
      <c r="SSI3" s="120"/>
      <c r="SSJ3" s="120"/>
      <c r="SSK3" s="120"/>
      <c r="SSL3" s="120"/>
      <c r="SSM3" s="120"/>
      <c r="SSN3" s="120"/>
      <c r="SSO3" s="120"/>
      <c r="SSP3" s="120"/>
      <c r="SSQ3" s="120"/>
      <c r="SSR3" s="120"/>
      <c r="SSS3" s="120"/>
      <c r="SST3" s="120"/>
      <c r="SSU3" s="120"/>
      <c r="SSV3" s="120"/>
      <c r="SSW3" s="120"/>
      <c r="SSX3" s="120"/>
      <c r="SSY3" s="120"/>
      <c r="SSZ3" s="120"/>
      <c r="STA3" s="120"/>
      <c r="STB3" s="120"/>
      <c r="STC3" s="120"/>
      <c r="STD3" s="120"/>
      <c r="STE3" s="120"/>
      <c r="STF3" s="120"/>
      <c r="STG3" s="120"/>
      <c r="STH3" s="120"/>
      <c r="STI3" s="120"/>
      <c r="STJ3" s="120"/>
      <c r="STK3" s="120"/>
      <c r="STL3" s="120"/>
      <c r="STM3" s="120"/>
      <c r="STN3" s="120"/>
      <c r="STO3" s="120"/>
      <c r="STP3" s="120"/>
      <c r="STQ3" s="120"/>
      <c r="STR3" s="120"/>
      <c r="STS3" s="120"/>
      <c r="STT3" s="120"/>
      <c r="STU3" s="120"/>
      <c r="STV3" s="120"/>
      <c r="STW3" s="120"/>
      <c r="STX3" s="120"/>
      <c r="STY3" s="120"/>
      <c r="STZ3" s="120"/>
      <c r="SUA3" s="120"/>
      <c r="SUB3" s="120"/>
      <c r="SUC3" s="120"/>
      <c r="SUD3" s="120"/>
      <c r="SUE3" s="120"/>
      <c r="SUF3" s="120"/>
      <c r="SUG3" s="120"/>
      <c r="SUH3" s="120"/>
      <c r="SUI3" s="120"/>
      <c r="SUJ3" s="120"/>
      <c r="SUK3" s="120"/>
      <c r="SUL3" s="120"/>
      <c r="SUM3" s="120"/>
      <c r="SUN3" s="120"/>
      <c r="SUO3" s="120"/>
      <c r="SUP3" s="120"/>
      <c r="SUQ3" s="120"/>
      <c r="SUR3" s="120"/>
      <c r="SUS3" s="120"/>
      <c r="SUT3" s="120"/>
      <c r="SUU3" s="120"/>
      <c r="SUV3" s="120"/>
      <c r="SUW3" s="120"/>
      <c r="SUX3" s="120"/>
      <c r="SUY3" s="120"/>
      <c r="SUZ3" s="120"/>
      <c r="SVA3" s="120"/>
      <c r="SVB3" s="120"/>
      <c r="SVC3" s="120"/>
      <c r="SVD3" s="120"/>
      <c r="SVE3" s="120"/>
      <c r="SVF3" s="120"/>
      <c r="SVG3" s="120"/>
      <c r="SVH3" s="120"/>
      <c r="SVI3" s="120"/>
      <c r="SVJ3" s="120"/>
      <c r="SVK3" s="120"/>
      <c r="SVL3" s="120"/>
      <c r="SVM3" s="120"/>
      <c r="SVN3" s="120"/>
      <c r="SVO3" s="120"/>
      <c r="SVP3" s="120"/>
      <c r="SVQ3" s="120"/>
      <c r="SVR3" s="120"/>
      <c r="SVS3" s="120"/>
      <c r="SVT3" s="120"/>
      <c r="SVU3" s="120"/>
      <c r="SVV3" s="120"/>
      <c r="SVW3" s="120"/>
      <c r="SVX3" s="120"/>
      <c r="SVY3" s="120"/>
      <c r="SVZ3" s="120"/>
      <c r="SWA3" s="120"/>
      <c r="SWB3" s="120"/>
      <c r="SWC3" s="120"/>
      <c r="SWD3" s="120"/>
      <c r="SWE3" s="120"/>
      <c r="SWF3" s="120"/>
      <c r="SWG3" s="120"/>
      <c r="SWH3" s="120"/>
      <c r="SWI3" s="120"/>
      <c r="SWJ3" s="120"/>
      <c r="SWK3" s="120"/>
      <c r="SWL3" s="120"/>
      <c r="SWM3" s="120"/>
      <c r="SWN3" s="120"/>
      <c r="SWO3" s="120"/>
      <c r="SWP3" s="120"/>
      <c r="SWQ3" s="120"/>
      <c r="SWR3" s="120"/>
      <c r="SWS3" s="120"/>
      <c r="SWT3" s="120"/>
      <c r="SWU3" s="120"/>
      <c r="SWV3" s="120"/>
      <c r="SWW3" s="120"/>
      <c r="SWX3" s="120"/>
      <c r="SWY3" s="120"/>
      <c r="SWZ3" s="120"/>
      <c r="SXA3" s="120"/>
      <c r="SXB3" s="120"/>
      <c r="SXC3" s="120"/>
      <c r="SXD3" s="120"/>
      <c r="SXE3" s="120"/>
      <c r="SXF3" s="120"/>
      <c r="SXG3" s="120"/>
      <c r="SXH3" s="120"/>
      <c r="SXI3" s="120"/>
      <c r="SXJ3" s="120"/>
      <c r="SXK3" s="120"/>
      <c r="SXL3" s="120"/>
      <c r="SXM3" s="120"/>
      <c r="SXN3" s="120"/>
      <c r="SXO3" s="120"/>
      <c r="SXP3" s="120"/>
      <c r="SXQ3" s="120"/>
      <c r="SXR3" s="120"/>
      <c r="SXS3" s="120"/>
      <c r="SXT3" s="120"/>
      <c r="SXU3" s="120"/>
      <c r="SXV3" s="120"/>
      <c r="SXW3" s="120"/>
      <c r="SXX3" s="120"/>
      <c r="SXY3" s="120"/>
      <c r="SXZ3" s="120"/>
      <c r="SYA3" s="120"/>
      <c r="SYB3" s="120"/>
      <c r="SYC3" s="120"/>
      <c r="SYD3" s="120"/>
      <c r="SYE3" s="120"/>
      <c r="SYF3" s="120"/>
      <c r="SYG3" s="120"/>
      <c r="SYH3" s="120"/>
      <c r="SYI3" s="120"/>
      <c r="SYJ3" s="120"/>
      <c r="SYK3" s="120"/>
      <c r="SYL3" s="120"/>
      <c r="SYM3" s="120"/>
      <c r="SYN3" s="120"/>
      <c r="SYO3" s="120"/>
      <c r="SYP3" s="120"/>
      <c r="SYQ3" s="120"/>
      <c r="SYR3" s="120"/>
      <c r="SYS3" s="120"/>
      <c r="SYT3" s="120"/>
      <c r="SYU3" s="120"/>
      <c r="SYV3" s="120"/>
      <c r="SYW3" s="120"/>
      <c r="SYX3" s="120"/>
      <c r="SYY3" s="120"/>
      <c r="SYZ3" s="120"/>
      <c r="SZA3" s="120"/>
      <c r="SZB3" s="120"/>
      <c r="SZC3" s="120"/>
      <c r="SZD3" s="120"/>
      <c r="SZE3" s="120"/>
      <c r="SZF3" s="120"/>
      <c r="SZG3" s="120"/>
      <c r="SZH3" s="120"/>
      <c r="SZI3" s="120"/>
      <c r="SZJ3" s="120"/>
      <c r="SZK3" s="120"/>
      <c r="SZL3" s="120"/>
      <c r="SZM3" s="120"/>
      <c r="SZN3" s="120"/>
      <c r="SZO3" s="120"/>
      <c r="SZP3" s="120"/>
      <c r="SZQ3" s="120"/>
      <c r="SZR3" s="120"/>
      <c r="SZS3" s="120"/>
      <c r="SZT3" s="120"/>
      <c r="SZU3" s="120"/>
      <c r="SZV3" s="120"/>
      <c r="SZW3" s="120"/>
      <c r="SZX3" s="120"/>
      <c r="SZY3" s="120"/>
      <c r="SZZ3" s="120"/>
      <c r="TAA3" s="120"/>
      <c r="TAB3" s="120"/>
      <c r="TAC3" s="120"/>
      <c r="TAD3" s="120"/>
      <c r="TAE3" s="120"/>
      <c r="TAF3" s="120"/>
      <c r="TAG3" s="120"/>
      <c r="TAH3" s="120"/>
      <c r="TAI3" s="120"/>
      <c r="TAJ3" s="120"/>
      <c r="TAK3" s="120"/>
      <c r="TAL3" s="120"/>
      <c r="TAM3" s="120"/>
      <c r="TAN3" s="120"/>
      <c r="TAO3" s="120"/>
      <c r="TAP3" s="120"/>
      <c r="TAQ3" s="120"/>
      <c r="TAR3" s="120"/>
      <c r="TAS3" s="120"/>
      <c r="TAT3" s="120"/>
      <c r="TAU3" s="120"/>
      <c r="TAV3" s="120"/>
      <c r="TAW3" s="120"/>
      <c r="TAX3" s="120"/>
      <c r="TAY3" s="120"/>
      <c r="TAZ3" s="120"/>
      <c r="TBA3" s="120"/>
      <c r="TBB3" s="120"/>
      <c r="TBC3" s="120"/>
      <c r="TBD3" s="120"/>
      <c r="TBE3" s="120"/>
      <c r="TBF3" s="120"/>
      <c r="TBG3" s="120"/>
      <c r="TBH3" s="120"/>
      <c r="TBI3" s="120"/>
      <c r="TBJ3" s="120"/>
      <c r="TBK3" s="120"/>
      <c r="TBL3" s="120"/>
      <c r="TBM3" s="120"/>
      <c r="TBN3" s="120"/>
      <c r="TBO3" s="120"/>
      <c r="TBP3" s="120"/>
      <c r="TBQ3" s="120"/>
      <c r="TBR3" s="120"/>
      <c r="TBS3" s="120"/>
      <c r="TBT3" s="120"/>
      <c r="TBU3" s="120"/>
      <c r="TBV3" s="120"/>
      <c r="TBW3" s="120"/>
      <c r="TBX3" s="120"/>
      <c r="TBY3" s="120"/>
      <c r="TBZ3" s="120"/>
      <c r="TCA3" s="120"/>
      <c r="TCB3" s="120"/>
      <c r="TCC3" s="120"/>
      <c r="TCD3" s="120"/>
      <c r="TCE3" s="120"/>
      <c r="TCF3" s="120"/>
      <c r="TCG3" s="120"/>
      <c r="TCH3" s="120"/>
      <c r="TCI3" s="120"/>
      <c r="TCJ3" s="120"/>
      <c r="TCK3" s="120"/>
      <c r="TCL3" s="120"/>
      <c r="TCM3" s="120"/>
      <c r="TCN3" s="120"/>
      <c r="TCO3" s="120"/>
      <c r="TCP3" s="120"/>
      <c r="TCQ3" s="120"/>
      <c r="TCR3" s="120"/>
      <c r="TCS3" s="120"/>
      <c r="TCT3" s="120"/>
      <c r="TCU3" s="120"/>
      <c r="TCV3" s="120"/>
      <c r="TCW3" s="120"/>
      <c r="TCX3" s="120"/>
      <c r="TCY3" s="120"/>
      <c r="TCZ3" s="120"/>
      <c r="TDA3" s="120"/>
      <c r="TDB3" s="120"/>
      <c r="TDC3" s="120"/>
      <c r="TDD3" s="120"/>
      <c r="TDE3" s="120"/>
      <c r="TDF3" s="120"/>
      <c r="TDG3" s="120"/>
      <c r="TDH3" s="120"/>
      <c r="TDI3" s="120"/>
      <c r="TDJ3" s="120"/>
      <c r="TDK3" s="120"/>
      <c r="TDL3" s="120"/>
      <c r="TDM3" s="120"/>
      <c r="TDN3" s="120"/>
      <c r="TDO3" s="120"/>
      <c r="TDP3" s="120"/>
      <c r="TDQ3" s="120"/>
      <c r="TDR3" s="120"/>
      <c r="TDS3" s="120"/>
      <c r="TDT3" s="120"/>
      <c r="TDU3" s="120"/>
      <c r="TDV3" s="120"/>
      <c r="TDW3" s="120"/>
      <c r="TDX3" s="120"/>
      <c r="TDY3" s="120"/>
      <c r="TDZ3" s="120"/>
      <c r="TEA3" s="120"/>
      <c r="TEB3" s="120"/>
      <c r="TEC3" s="120"/>
      <c r="TED3" s="120"/>
      <c r="TEE3" s="120"/>
      <c r="TEF3" s="120"/>
      <c r="TEG3" s="120"/>
      <c r="TEH3" s="120"/>
      <c r="TEI3" s="120"/>
      <c r="TEJ3" s="120"/>
      <c r="TEK3" s="120"/>
      <c r="TEL3" s="120"/>
      <c r="TEM3" s="120"/>
      <c r="TEN3" s="120"/>
      <c r="TEO3" s="120"/>
      <c r="TEP3" s="120"/>
      <c r="TEQ3" s="120"/>
      <c r="TER3" s="120"/>
      <c r="TES3" s="120"/>
      <c r="TET3" s="120"/>
      <c r="TEU3" s="120"/>
      <c r="TEV3" s="120"/>
      <c r="TEW3" s="120"/>
      <c r="TEX3" s="120"/>
      <c r="TEY3" s="120"/>
      <c r="TEZ3" s="120"/>
      <c r="TFA3" s="120"/>
      <c r="TFB3" s="120"/>
      <c r="TFC3" s="120"/>
      <c r="TFD3" s="120"/>
      <c r="TFE3" s="120"/>
      <c r="TFF3" s="120"/>
      <c r="TFG3" s="120"/>
      <c r="TFH3" s="120"/>
      <c r="TFI3" s="120"/>
      <c r="TFJ3" s="120"/>
      <c r="TFK3" s="120"/>
      <c r="TFL3" s="120"/>
      <c r="TFM3" s="120"/>
      <c r="TFN3" s="120"/>
      <c r="TFO3" s="120"/>
      <c r="TFP3" s="120"/>
      <c r="TFQ3" s="120"/>
      <c r="TFR3" s="120"/>
      <c r="TFS3" s="120"/>
      <c r="TFT3" s="120"/>
      <c r="TFU3" s="120"/>
      <c r="TFV3" s="120"/>
      <c r="TFW3" s="120"/>
      <c r="TFX3" s="120"/>
      <c r="TFY3" s="120"/>
      <c r="TFZ3" s="120"/>
      <c r="TGA3" s="120"/>
      <c r="TGB3" s="120"/>
      <c r="TGC3" s="120"/>
      <c r="TGD3" s="120"/>
      <c r="TGE3" s="120"/>
      <c r="TGF3" s="120"/>
      <c r="TGG3" s="120"/>
      <c r="TGH3" s="120"/>
      <c r="TGI3" s="120"/>
      <c r="TGJ3" s="120"/>
      <c r="TGK3" s="120"/>
      <c r="TGL3" s="120"/>
      <c r="TGM3" s="120"/>
      <c r="TGN3" s="120"/>
      <c r="TGO3" s="120"/>
      <c r="TGP3" s="120"/>
      <c r="TGQ3" s="120"/>
      <c r="TGR3" s="120"/>
      <c r="TGS3" s="120"/>
      <c r="TGT3" s="120"/>
      <c r="TGU3" s="120"/>
      <c r="TGV3" s="120"/>
      <c r="TGW3" s="120"/>
      <c r="TGX3" s="120"/>
      <c r="TGY3" s="120"/>
      <c r="TGZ3" s="120"/>
      <c r="THA3" s="120"/>
      <c r="THB3" s="120"/>
      <c r="THC3" s="120"/>
      <c r="THD3" s="120"/>
      <c r="THE3" s="120"/>
      <c r="THF3" s="120"/>
      <c r="THG3" s="120"/>
      <c r="THH3" s="120"/>
      <c r="THI3" s="120"/>
      <c r="THJ3" s="120"/>
      <c r="THK3" s="120"/>
      <c r="THL3" s="120"/>
      <c r="THM3" s="120"/>
      <c r="THN3" s="120"/>
      <c r="THO3" s="120"/>
      <c r="THP3" s="120"/>
      <c r="THQ3" s="120"/>
      <c r="THR3" s="120"/>
      <c r="THS3" s="120"/>
      <c r="THT3" s="120"/>
      <c r="THU3" s="120"/>
      <c r="THV3" s="120"/>
      <c r="THW3" s="120"/>
      <c r="THX3" s="120"/>
      <c r="THY3" s="120"/>
      <c r="THZ3" s="120"/>
      <c r="TIA3" s="120"/>
      <c r="TIB3" s="120"/>
      <c r="TIC3" s="120"/>
      <c r="TID3" s="120"/>
      <c r="TIE3" s="120"/>
      <c r="TIF3" s="120"/>
      <c r="TIG3" s="120"/>
      <c r="TIH3" s="120"/>
      <c r="TII3" s="120"/>
      <c r="TIJ3" s="120"/>
      <c r="TIK3" s="120"/>
      <c r="TIL3" s="120"/>
      <c r="TIM3" s="120"/>
      <c r="TIN3" s="120"/>
      <c r="TIO3" s="120"/>
      <c r="TIP3" s="120"/>
      <c r="TIQ3" s="120"/>
      <c r="TIR3" s="120"/>
      <c r="TIS3" s="120"/>
      <c r="TIT3" s="120"/>
      <c r="TIU3" s="120"/>
      <c r="TIV3" s="120"/>
      <c r="TIW3" s="120"/>
      <c r="TIX3" s="120"/>
      <c r="TIY3" s="120"/>
      <c r="TIZ3" s="120"/>
      <c r="TJA3" s="120"/>
      <c r="TJB3" s="120"/>
      <c r="TJC3" s="120"/>
      <c r="TJD3" s="120"/>
      <c r="TJE3" s="120"/>
      <c r="TJF3" s="120"/>
      <c r="TJG3" s="120"/>
      <c r="TJH3" s="120"/>
      <c r="TJI3" s="120"/>
      <c r="TJJ3" s="120"/>
      <c r="TJK3" s="120"/>
      <c r="TJL3" s="120"/>
      <c r="TJM3" s="120"/>
      <c r="TJN3" s="120"/>
      <c r="TJO3" s="120"/>
      <c r="TJP3" s="120"/>
      <c r="TJQ3" s="120"/>
      <c r="TJR3" s="120"/>
      <c r="TJS3" s="120"/>
      <c r="TJT3" s="120"/>
      <c r="TJU3" s="120"/>
      <c r="TJV3" s="120"/>
      <c r="TJW3" s="120"/>
      <c r="TJX3" s="120"/>
      <c r="TJY3" s="120"/>
      <c r="TJZ3" s="120"/>
      <c r="TKA3" s="120"/>
      <c r="TKB3" s="120"/>
      <c r="TKC3" s="120"/>
      <c r="TKD3" s="120"/>
      <c r="TKE3" s="120"/>
      <c r="TKF3" s="120"/>
      <c r="TKG3" s="120"/>
      <c r="TKH3" s="120"/>
      <c r="TKI3" s="120"/>
      <c r="TKJ3" s="120"/>
      <c r="TKK3" s="120"/>
      <c r="TKL3" s="120"/>
      <c r="TKM3" s="120"/>
      <c r="TKN3" s="120"/>
      <c r="TKO3" s="120"/>
      <c r="TKP3" s="120"/>
      <c r="TKQ3" s="120"/>
      <c r="TKR3" s="120"/>
      <c r="TKS3" s="120"/>
      <c r="TKT3" s="120"/>
      <c r="TKU3" s="120"/>
      <c r="TKV3" s="120"/>
      <c r="TKW3" s="120"/>
      <c r="TKX3" s="120"/>
      <c r="TKY3" s="120"/>
      <c r="TKZ3" s="120"/>
      <c r="TLA3" s="120"/>
      <c r="TLB3" s="120"/>
      <c r="TLC3" s="120"/>
      <c r="TLD3" s="120"/>
      <c r="TLE3" s="120"/>
      <c r="TLF3" s="120"/>
      <c r="TLG3" s="120"/>
      <c r="TLH3" s="120"/>
      <c r="TLI3" s="120"/>
      <c r="TLJ3" s="120"/>
      <c r="TLK3" s="120"/>
      <c r="TLL3" s="120"/>
      <c r="TLM3" s="120"/>
      <c r="TLN3" s="120"/>
      <c r="TLO3" s="120"/>
      <c r="TLP3" s="120"/>
      <c r="TLQ3" s="120"/>
      <c r="TLR3" s="120"/>
      <c r="TLS3" s="120"/>
      <c r="TLT3" s="120"/>
      <c r="TLU3" s="120"/>
      <c r="TLV3" s="120"/>
      <c r="TLW3" s="120"/>
      <c r="TLX3" s="120"/>
      <c r="TLY3" s="120"/>
      <c r="TLZ3" s="120"/>
      <c r="TMA3" s="120"/>
      <c r="TMB3" s="120"/>
      <c r="TMC3" s="120"/>
      <c r="TMD3" s="120"/>
      <c r="TME3" s="120"/>
      <c r="TMF3" s="120"/>
      <c r="TMG3" s="120"/>
      <c r="TMH3" s="120"/>
      <c r="TMI3" s="120"/>
      <c r="TMJ3" s="120"/>
      <c r="TMK3" s="120"/>
      <c r="TML3" s="120"/>
      <c r="TMM3" s="120"/>
      <c r="TMN3" s="120"/>
      <c r="TMO3" s="120"/>
      <c r="TMP3" s="120"/>
      <c r="TMQ3" s="120"/>
      <c r="TMR3" s="120"/>
      <c r="TMS3" s="120"/>
      <c r="TMT3" s="120"/>
      <c r="TMU3" s="120"/>
      <c r="TMV3" s="120"/>
      <c r="TMW3" s="120"/>
      <c r="TMX3" s="120"/>
      <c r="TMY3" s="120"/>
      <c r="TMZ3" s="120"/>
      <c r="TNA3" s="120"/>
      <c r="TNB3" s="120"/>
      <c r="TNC3" s="120"/>
      <c r="TND3" s="120"/>
      <c r="TNE3" s="120"/>
      <c r="TNF3" s="120"/>
      <c r="TNG3" s="120"/>
      <c r="TNH3" s="120"/>
      <c r="TNI3" s="120"/>
      <c r="TNJ3" s="120"/>
      <c r="TNK3" s="120"/>
      <c r="TNL3" s="120"/>
      <c r="TNM3" s="120"/>
      <c r="TNN3" s="120"/>
      <c r="TNO3" s="120"/>
      <c r="TNP3" s="120"/>
      <c r="TNQ3" s="120"/>
      <c r="TNR3" s="120"/>
      <c r="TNS3" s="120"/>
      <c r="TNT3" s="120"/>
      <c r="TNU3" s="120"/>
      <c r="TNV3" s="120"/>
      <c r="TNW3" s="120"/>
      <c r="TNX3" s="120"/>
      <c r="TNY3" s="120"/>
      <c r="TNZ3" s="120"/>
      <c r="TOA3" s="120"/>
      <c r="TOB3" s="120"/>
      <c r="TOC3" s="120"/>
      <c r="TOD3" s="120"/>
      <c r="TOE3" s="120"/>
      <c r="TOF3" s="120"/>
      <c r="TOG3" s="120"/>
      <c r="TOH3" s="120"/>
      <c r="TOI3" s="120"/>
      <c r="TOJ3" s="120"/>
      <c r="TOK3" s="120"/>
      <c r="TOL3" s="120"/>
      <c r="TOM3" s="120"/>
      <c r="TON3" s="120"/>
      <c r="TOO3" s="120"/>
      <c r="TOP3" s="120"/>
      <c r="TOQ3" s="120"/>
      <c r="TOR3" s="120"/>
      <c r="TOS3" s="120"/>
      <c r="TOT3" s="120"/>
      <c r="TOU3" s="120"/>
      <c r="TOV3" s="120"/>
      <c r="TOW3" s="120"/>
      <c r="TOX3" s="120"/>
      <c r="TOY3" s="120"/>
      <c r="TOZ3" s="120"/>
      <c r="TPA3" s="120"/>
      <c r="TPB3" s="120"/>
      <c r="TPC3" s="120"/>
      <c r="TPD3" s="120"/>
      <c r="TPE3" s="120"/>
      <c r="TPF3" s="120"/>
      <c r="TPG3" s="120"/>
      <c r="TPH3" s="120"/>
      <c r="TPI3" s="120"/>
      <c r="TPJ3" s="120"/>
      <c r="TPK3" s="120"/>
      <c r="TPL3" s="120"/>
      <c r="TPM3" s="120"/>
      <c r="TPN3" s="120"/>
      <c r="TPO3" s="120"/>
      <c r="TPP3" s="120"/>
      <c r="TPQ3" s="120"/>
      <c r="TPR3" s="120"/>
      <c r="TPS3" s="120"/>
      <c r="TPT3" s="120"/>
      <c r="TPU3" s="120"/>
      <c r="TPV3" s="120"/>
      <c r="TPW3" s="120"/>
      <c r="TPX3" s="120"/>
      <c r="TPY3" s="120"/>
      <c r="TPZ3" s="120"/>
      <c r="TQA3" s="120"/>
      <c r="TQB3" s="120"/>
      <c r="TQC3" s="120"/>
      <c r="TQD3" s="120"/>
      <c r="TQE3" s="120"/>
      <c r="TQF3" s="120"/>
      <c r="TQG3" s="120"/>
      <c r="TQH3" s="120"/>
      <c r="TQI3" s="120"/>
      <c r="TQJ3" s="120"/>
      <c r="TQK3" s="120"/>
      <c r="TQL3" s="120"/>
      <c r="TQM3" s="120"/>
      <c r="TQN3" s="120"/>
      <c r="TQO3" s="120"/>
      <c r="TQP3" s="120"/>
      <c r="TQQ3" s="120"/>
      <c r="TQR3" s="120"/>
      <c r="TQS3" s="120"/>
      <c r="TQT3" s="120"/>
      <c r="TQU3" s="120"/>
      <c r="TQV3" s="120"/>
      <c r="TQW3" s="120"/>
      <c r="TQX3" s="120"/>
      <c r="TQY3" s="120"/>
      <c r="TQZ3" s="120"/>
      <c r="TRA3" s="120"/>
      <c r="TRB3" s="120"/>
      <c r="TRC3" s="120"/>
      <c r="TRD3" s="120"/>
      <c r="TRE3" s="120"/>
      <c r="TRF3" s="120"/>
      <c r="TRG3" s="120"/>
      <c r="TRH3" s="120"/>
      <c r="TRI3" s="120"/>
      <c r="TRJ3" s="120"/>
      <c r="TRK3" s="120"/>
      <c r="TRL3" s="120"/>
      <c r="TRM3" s="120"/>
      <c r="TRN3" s="120"/>
      <c r="TRO3" s="120"/>
      <c r="TRP3" s="120"/>
      <c r="TRQ3" s="120"/>
      <c r="TRR3" s="120"/>
      <c r="TRS3" s="120"/>
      <c r="TRT3" s="120"/>
      <c r="TRU3" s="120"/>
      <c r="TRV3" s="120"/>
      <c r="TRW3" s="120"/>
      <c r="TRX3" s="120"/>
      <c r="TRY3" s="120"/>
      <c r="TRZ3" s="120"/>
      <c r="TSA3" s="120"/>
      <c r="TSB3" s="120"/>
      <c r="TSC3" s="120"/>
      <c r="TSD3" s="120"/>
      <c r="TSE3" s="120"/>
      <c r="TSF3" s="120"/>
      <c r="TSG3" s="120"/>
      <c r="TSH3" s="120"/>
      <c r="TSI3" s="120"/>
      <c r="TSJ3" s="120"/>
      <c r="TSK3" s="120"/>
      <c r="TSL3" s="120"/>
      <c r="TSM3" s="120"/>
      <c r="TSN3" s="120"/>
      <c r="TSO3" s="120"/>
      <c r="TSP3" s="120"/>
      <c r="TSQ3" s="120"/>
      <c r="TSR3" s="120"/>
      <c r="TSS3" s="120"/>
      <c r="TST3" s="120"/>
      <c r="TSU3" s="120"/>
      <c r="TSV3" s="120"/>
      <c r="TSW3" s="120"/>
      <c r="TSX3" s="120"/>
      <c r="TSY3" s="120"/>
      <c r="TSZ3" s="120"/>
      <c r="TTA3" s="120"/>
      <c r="TTB3" s="120"/>
      <c r="TTC3" s="120"/>
      <c r="TTD3" s="120"/>
      <c r="TTE3" s="120"/>
      <c r="TTF3" s="120"/>
      <c r="TTG3" s="120"/>
      <c r="TTH3" s="120"/>
      <c r="TTI3" s="120"/>
      <c r="TTJ3" s="120"/>
      <c r="TTK3" s="120"/>
      <c r="TTL3" s="120"/>
      <c r="TTM3" s="120"/>
      <c r="TTN3" s="120"/>
      <c r="TTO3" s="120"/>
      <c r="TTP3" s="120"/>
      <c r="TTQ3" s="120"/>
      <c r="TTR3" s="120"/>
      <c r="TTS3" s="120"/>
      <c r="TTT3" s="120"/>
      <c r="TTU3" s="120"/>
      <c r="TTV3" s="120"/>
      <c r="TTW3" s="120"/>
      <c r="TTX3" s="120"/>
      <c r="TTY3" s="120"/>
      <c r="TTZ3" s="120"/>
      <c r="TUA3" s="120"/>
      <c r="TUB3" s="120"/>
      <c r="TUC3" s="120"/>
      <c r="TUD3" s="120"/>
      <c r="TUE3" s="120"/>
      <c r="TUF3" s="120"/>
      <c r="TUG3" s="120"/>
      <c r="TUH3" s="120"/>
      <c r="TUI3" s="120"/>
      <c r="TUJ3" s="120"/>
      <c r="TUK3" s="120"/>
      <c r="TUL3" s="120"/>
      <c r="TUM3" s="120"/>
      <c r="TUN3" s="120"/>
      <c r="TUO3" s="120"/>
      <c r="TUP3" s="120"/>
      <c r="TUQ3" s="120"/>
      <c r="TUR3" s="120"/>
      <c r="TUS3" s="120"/>
      <c r="TUT3" s="120"/>
      <c r="TUU3" s="120"/>
      <c r="TUV3" s="120"/>
      <c r="TUW3" s="120"/>
      <c r="TUX3" s="120"/>
      <c r="TUY3" s="120"/>
      <c r="TUZ3" s="120"/>
      <c r="TVA3" s="120"/>
      <c r="TVB3" s="120"/>
      <c r="TVC3" s="120"/>
      <c r="TVD3" s="120"/>
      <c r="TVE3" s="120"/>
      <c r="TVF3" s="120"/>
      <c r="TVG3" s="120"/>
      <c r="TVH3" s="120"/>
      <c r="TVI3" s="120"/>
      <c r="TVJ3" s="120"/>
      <c r="TVK3" s="120"/>
      <c r="TVL3" s="120"/>
      <c r="TVM3" s="120"/>
      <c r="TVN3" s="120"/>
      <c r="TVO3" s="120"/>
      <c r="TVP3" s="120"/>
      <c r="TVQ3" s="120"/>
      <c r="TVR3" s="120"/>
      <c r="TVS3" s="120"/>
      <c r="TVT3" s="120"/>
      <c r="TVU3" s="120"/>
      <c r="TVV3" s="120"/>
      <c r="TVW3" s="120"/>
      <c r="TVX3" s="120"/>
      <c r="TVY3" s="120"/>
      <c r="TVZ3" s="120"/>
      <c r="TWA3" s="120"/>
      <c r="TWB3" s="120"/>
      <c r="TWC3" s="120"/>
      <c r="TWD3" s="120"/>
      <c r="TWE3" s="120"/>
      <c r="TWF3" s="120"/>
      <c r="TWG3" s="120"/>
      <c r="TWH3" s="120"/>
      <c r="TWI3" s="120"/>
      <c r="TWJ3" s="120"/>
      <c r="TWK3" s="120"/>
      <c r="TWL3" s="120"/>
      <c r="TWM3" s="120"/>
      <c r="TWN3" s="120"/>
      <c r="TWO3" s="120"/>
      <c r="TWP3" s="120"/>
      <c r="TWQ3" s="120"/>
      <c r="TWR3" s="120"/>
      <c r="TWS3" s="120"/>
      <c r="TWT3" s="120"/>
      <c r="TWU3" s="120"/>
      <c r="TWV3" s="120"/>
      <c r="TWW3" s="120"/>
      <c r="TWX3" s="120"/>
      <c r="TWY3" s="120"/>
      <c r="TWZ3" s="120"/>
      <c r="TXA3" s="120"/>
      <c r="TXB3" s="120"/>
      <c r="TXC3" s="120"/>
      <c r="TXD3" s="120"/>
      <c r="TXE3" s="120"/>
      <c r="TXF3" s="120"/>
      <c r="TXG3" s="120"/>
      <c r="TXH3" s="120"/>
      <c r="TXI3" s="120"/>
      <c r="TXJ3" s="120"/>
      <c r="TXK3" s="120"/>
      <c r="TXL3" s="120"/>
      <c r="TXM3" s="120"/>
      <c r="TXN3" s="120"/>
      <c r="TXO3" s="120"/>
      <c r="TXP3" s="120"/>
      <c r="TXQ3" s="120"/>
      <c r="TXR3" s="120"/>
      <c r="TXS3" s="120"/>
      <c r="TXT3" s="120"/>
      <c r="TXU3" s="120"/>
      <c r="TXV3" s="120"/>
      <c r="TXW3" s="120"/>
      <c r="TXX3" s="120"/>
      <c r="TXY3" s="120"/>
      <c r="TXZ3" s="120"/>
      <c r="TYA3" s="120"/>
      <c r="TYB3" s="120"/>
      <c r="TYC3" s="120"/>
      <c r="TYD3" s="120"/>
      <c r="TYE3" s="120"/>
      <c r="TYF3" s="120"/>
      <c r="TYG3" s="120"/>
      <c r="TYH3" s="120"/>
      <c r="TYI3" s="120"/>
      <c r="TYJ3" s="120"/>
      <c r="TYK3" s="120"/>
      <c r="TYL3" s="120"/>
      <c r="TYM3" s="120"/>
      <c r="TYN3" s="120"/>
      <c r="TYO3" s="120"/>
      <c r="TYP3" s="120"/>
      <c r="TYQ3" s="120"/>
      <c r="TYR3" s="120"/>
      <c r="TYS3" s="120"/>
      <c r="TYT3" s="120"/>
      <c r="TYU3" s="120"/>
      <c r="TYV3" s="120"/>
      <c r="TYW3" s="120"/>
      <c r="TYX3" s="120"/>
      <c r="TYY3" s="120"/>
      <c r="TYZ3" s="120"/>
      <c r="TZA3" s="120"/>
      <c r="TZB3" s="120"/>
      <c r="TZC3" s="120"/>
      <c r="TZD3" s="120"/>
      <c r="TZE3" s="120"/>
      <c r="TZF3" s="120"/>
      <c r="TZG3" s="120"/>
      <c r="TZH3" s="120"/>
      <c r="TZI3" s="120"/>
      <c r="TZJ3" s="120"/>
      <c r="TZK3" s="120"/>
      <c r="TZL3" s="120"/>
      <c r="TZM3" s="120"/>
      <c r="TZN3" s="120"/>
      <c r="TZO3" s="120"/>
      <c r="TZP3" s="120"/>
      <c r="TZQ3" s="120"/>
      <c r="TZR3" s="120"/>
      <c r="TZS3" s="120"/>
      <c r="TZT3" s="120"/>
      <c r="TZU3" s="120"/>
      <c r="TZV3" s="120"/>
      <c r="TZW3" s="120"/>
      <c r="TZX3" s="120"/>
      <c r="TZY3" s="120"/>
      <c r="TZZ3" s="120"/>
      <c r="UAA3" s="120"/>
      <c r="UAB3" s="120"/>
      <c r="UAC3" s="120"/>
      <c r="UAD3" s="120"/>
      <c r="UAE3" s="120"/>
      <c r="UAF3" s="120"/>
      <c r="UAG3" s="120"/>
      <c r="UAH3" s="120"/>
      <c r="UAI3" s="120"/>
      <c r="UAJ3" s="120"/>
      <c r="UAK3" s="120"/>
      <c r="UAL3" s="120"/>
      <c r="UAM3" s="120"/>
      <c r="UAN3" s="120"/>
      <c r="UAO3" s="120"/>
      <c r="UAP3" s="120"/>
      <c r="UAQ3" s="120"/>
      <c r="UAR3" s="120"/>
      <c r="UAS3" s="120"/>
      <c r="UAT3" s="120"/>
      <c r="UAU3" s="120"/>
      <c r="UAV3" s="120"/>
      <c r="UAW3" s="120"/>
      <c r="UAX3" s="120"/>
      <c r="UAY3" s="120"/>
      <c r="UAZ3" s="120"/>
      <c r="UBA3" s="120"/>
      <c r="UBB3" s="120"/>
      <c r="UBC3" s="120"/>
      <c r="UBD3" s="120"/>
      <c r="UBE3" s="120"/>
      <c r="UBF3" s="120"/>
      <c r="UBG3" s="120"/>
      <c r="UBH3" s="120"/>
      <c r="UBI3" s="120"/>
      <c r="UBJ3" s="120"/>
      <c r="UBK3" s="120"/>
      <c r="UBL3" s="120"/>
      <c r="UBM3" s="120"/>
      <c r="UBN3" s="120"/>
      <c r="UBO3" s="120"/>
      <c r="UBP3" s="120"/>
      <c r="UBQ3" s="120"/>
      <c r="UBR3" s="120"/>
      <c r="UBS3" s="120"/>
      <c r="UBT3" s="120"/>
      <c r="UBU3" s="120"/>
      <c r="UBV3" s="120"/>
      <c r="UBW3" s="120"/>
      <c r="UBX3" s="120"/>
      <c r="UBY3" s="120"/>
      <c r="UBZ3" s="120"/>
      <c r="UCA3" s="120"/>
      <c r="UCB3" s="120"/>
      <c r="UCC3" s="120"/>
      <c r="UCD3" s="120"/>
      <c r="UCE3" s="120"/>
      <c r="UCF3" s="120"/>
      <c r="UCG3" s="120"/>
      <c r="UCH3" s="120"/>
      <c r="UCI3" s="120"/>
      <c r="UCJ3" s="120"/>
      <c r="UCK3" s="120"/>
      <c r="UCL3" s="120"/>
      <c r="UCM3" s="120"/>
      <c r="UCN3" s="120"/>
      <c r="UCO3" s="120"/>
      <c r="UCP3" s="120"/>
      <c r="UCQ3" s="120"/>
      <c r="UCR3" s="120"/>
      <c r="UCS3" s="120"/>
      <c r="UCT3" s="120"/>
      <c r="UCU3" s="120"/>
      <c r="UCV3" s="120"/>
      <c r="UCW3" s="120"/>
      <c r="UCX3" s="120"/>
      <c r="UCY3" s="120"/>
      <c r="UCZ3" s="120"/>
      <c r="UDA3" s="120"/>
      <c r="UDB3" s="120"/>
      <c r="UDC3" s="120"/>
      <c r="UDD3" s="120"/>
      <c r="UDE3" s="120"/>
      <c r="UDF3" s="120"/>
      <c r="UDG3" s="120"/>
      <c r="UDH3" s="120"/>
      <c r="UDI3" s="120"/>
      <c r="UDJ3" s="120"/>
      <c r="UDK3" s="120"/>
      <c r="UDL3" s="120"/>
      <c r="UDM3" s="120"/>
      <c r="UDN3" s="120"/>
      <c r="UDO3" s="120"/>
      <c r="UDP3" s="120"/>
      <c r="UDQ3" s="120"/>
      <c r="UDR3" s="120"/>
      <c r="UDS3" s="120"/>
      <c r="UDT3" s="120"/>
      <c r="UDU3" s="120"/>
      <c r="UDV3" s="120"/>
      <c r="UDW3" s="120"/>
      <c r="UDX3" s="120"/>
      <c r="UDY3" s="120"/>
      <c r="UDZ3" s="120"/>
      <c r="UEA3" s="120"/>
      <c r="UEB3" s="120"/>
      <c r="UEC3" s="120"/>
      <c r="UED3" s="120"/>
      <c r="UEE3" s="120"/>
      <c r="UEF3" s="120"/>
      <c r="UEG3" s="120"/>
      <c r="UEH3" s="120"/>
      <c r="UEI3" s="120"/>
      <c r="UEJ3" s="120"/>
      <c r="UEK3" s="120"/>
      <c r="UEL3" s="120"/>
      <c r="UEM3" s="120"/>
      <c r="UEN3" s="120"/>
      <c r="UEO3" s="120"/>
      <c r="UEP3" s="120"/>
      <c r="UEQ3" s="120"/>
      <c r="UER3" s="120"/>
      <c r="UES3" s="120"/>
      <c r="UET3" s="120"/>
      <c r="UEU3" s="120"/>
      <c r="UEV3" s="120"/>
      <c r="UEW3" s="120"/>
      <c r="UEX3" s="120"/>
      <c r="UEY3" s="120"/>
      <c r="UEZ3" s="120"/>
      <c r="UFA3" s="120"/>
      <c r="UFB3" s="120"/>
      <c r="UFC3" s="120"/>
      <c r="UFD3" s="120"/>
      <c r="UFE3" s="120"/>
      <c r="UFF3" s="120"/>
      <c r="UFG3" s="120"/>
      <c r="UFH3" s="120"/>
      <c r="UFI3" s="120"/>
      <c r="UFJ3" s="120"/>
      <c r="UFK3" s="120"/>
      <c r="UFL3" s="120"/>
      <c r="UFM3" s="120"/>
      <c r="UFN3" s="120"/>
      <c r="UFO3" s="120"/>
      <c r="UFP3" s="120"/>
      <c r="UFQ3" s="120"/>
      <c r="UFR3" s="120"/>
      <c r="UFS3" s="120"/>
      <c r="UFT3" s="120"/>
      <c r="UFU3" s="120"/>
      <c r="UFV3" s="120"/>
      <c r="UFW3" s="120"/>
      <c r="UFX3" s="120"/>
      <c r="UFY3" s="120"/>
      <c r="UFZ3" s="120"/>
      <c r="UGA3" s="120"/>
      <c r="UGB3" s="120"/>
      <c r="UGC3" s="120"/>
      <c r="UGD3" s="120"/>
      <c r="UGE3" s="120"/>
      <c r="UGF3" s="120"/>
      <c r="UGG3" s="120"/>
      <c r="UGH3" s="120"/>
      <c r="UGI3" s="120"/>
      <c r="UGJ3" s="120"/>
      <c r="UGK3" s="120"/>
      <c r="UGL3" s="120"/>
      <c r="UGM3" s="120"/>
      <c r="UGN3" s="120"/>
      <c r="UGO3" s="120"/>
      <c r="UGP3" s="120"/>
      <c r="UGQ3" s="120"/>
      <c r="UGR3" s="120"/>
      <c r="UGS3" s="120"/>
      <c r="UGT3" s="120"/>
      <c r="UGU3" s="120"/>
      <c r="UGV3" s="120"/>
      <c r="UGW3" s="120"/>
      <c r="UGX3" s="120"/>
      <c r="UGY3" s="120"/>
      <c r="UGZ3" s="120"/>
      <c r="UHA3" s="120"/>
      <c r="UHB3" s="120"/>
      <c r="UHC3" s="120"/>
      <c r="UHD3" s="120"/>
      <c r="UHE3" s="120"/>
      <c r="UHF3" s="120"/>
      <c r="UHG3" s="120"/>
      <c r="UHH3" s="120"/>
      <c r="UHI3" s="120"/>
      <c r="UHJ3" s="120"/>
      <c r="UHK3" s="120"/>
      <c r="UHL3" s="120"/>
      <c r="UHM3" s="120"/>
      <c r="UHN3" s="120"/>
      <c r="UHO3" s="120"/>
      <c r="UHP3" s="120"/>
      <c r="UHQ3" s="120"/>
      <c r="UHR3" s="120"/>
      <c r="UHS3" s="120"/>
      <c r="UHT3" s="120"/>
      <c r="UHU3" s="120"/>
      <c r="UHV3" s="120"/>
      <c r="UHW3" s="120"/>
      <c r="UHX3" s="120"/>
      <c r="UHY3" s="120"/>
      <c r="UHZ3" s="120"/>
      <c r="UIA3" s="120"/>
      <c r="UIB3" s="120"/>
      <c r="UIC3" s="120"/>
      <c r="UID3" s="120"/>
      <c r="UIE3" s="120"/>
      <c r="UIF3" s="120"/>
      <c r="UIG3" s="120"/>
      <c r="UIH3" s="120"/>
      <c r="UII3" s="120"/>
      <c r="UIJ3" s="120"/>
      <c r="UIK3" s="120"/>
      <c r="UIL3" s="120"/>
      <c r="UIM3" s="120"/>
      <c r="UIN3" s="120"/>
      <c r="UIO3" s="120"/>
      <c r="UIP3" s="120"/>
      <c r="UIQ3" s="120"/>
      <c r="UIR3" s="120"/>
      <c r="UIS3" s="120"/>
      <c r="UIT3" s="120"/>
      <c r="UIU3" s="120"/>
      <c r="UIV3" s="120"/>
      <c r="UIW3" s="120"/>
      <c r="UIX3" s="120"/>
      <c r="UIY3" s="120"/>
      <c r="UIZ3" s="120"/>
      <c r="UJA3" s="120"/>
      <c r="UJB3" s="120"/>
      <c r="UJC3" s="120"/>
      <c r="UJD3" s="120"/>
      <c r="UJE3" s="120"/>
      <c r="UJF3" s="120"/>
      <c r="UJG3" s="120"/>
      <c r="UJH3" s="120"/>
      <c r="UJI3" s="120"/>
      <c r="UJJ3" s="120"/>
      <c r="UJK3" s="120"/>
      <c r="UJL3" s="120"/>
      <c r="UJM3" s="120"/>
      <c r="UJN3" s="120"/>
      <c r="UJO3" s="120"/>
      <c r="UJP3" s="120"/>
      <c r="UJQ3" s="120"/>
      <c r="UJR3" s="120"/>
      <c r="UJS3" s="120"/>
      <c r="UJT3" s="120"/>
      <c r="UJU3" s="120"/>
      <c r="UJV3" s="120"/>
      <c r="UJW3" s="120"/>
      <c r="UJX3" s="120"/>
      <c r="UJY3" s="120"/>
      <c r="UJZ3" s="120"/>
      <c r="UKA3" s="120"/>
      <c r="UKB3" s="120"/>
      <c r="UKC3" s="120"/>
      <c r="UKD3" s="120"/>
      <c r="UKE3" s="120"/>
      <c r="UKF3" s="120"/>
      <c r="UKG3" s="120"/>
      <c r="UKH3" s="120"/>
      <c r="UKI3" s="120"/>
      <c r="UKJ3" s="120"/>
      <c r="UKK3" s="120"/>
      <c r="UKL3" s="120"/>
      <c r="UKM3" s="120"/>
      <c r="UKN3" s="120"/>
      <c r="UKO3" s="120"/>
      <c r="UKP3" s="120"/>
      <c r="UKQ3" s="120"/>
      <c r="UKR3" s="120"/>
      <c r="UKS3" s="120"/>
      <c r="UKT3" s="120"/>
      <c r="UKU3" s="120"/>
      <c r="UKV3" s="120"/>
      <c r="UKW3" s="120"/>
      <c r="UKX3" s="120"/>
      <c r="UKY3" s="120"/>
      <c r="UKZ3" s="120"/>
      <c r="ULA3" s="120"/>
      <c r="ULB3" s="120"/>
      <c r="ULC3" s="120"/>
      <c r="ULD3" s="120"/>
      <c r="ULE3" s="120"/>
      <c r="ULF3" s="120"/>
      <c r="ULG3" s="120"/>
      <c r="ULH3" s="120"/>
      <c r="ULI3" s="120"/>
      <c r="ULJ3" s="120"/>
      <c r="ULK3" s="120"/>
      <c r="ULL3" s="120"/>
      <c r="ULM3" s="120"/>
      <c r="ULN3" s="120"/>
      <c r="ULO3" s="120"/>
      <c r="ULP3" s="120"/>
      <c r="ULQ3" s="120"/>
      <c r="ULR3" s="120"/>
      <c r="ULS3" s="120"/>
      <c r="ULT3" s="120"/>
      <c r="ULU3" s="120"/>
      <c r="ULV3" s="120"/>
      <c r="ULW3" s="120"/>
      <c r="ULX3" s="120"/>
      <c r="ULY3" s="120"/>
      <c r="ULZ3" s="120"/>
      <c r="UMA3" s="120"/>
      <c r="UMB3" s="120"/>
      <c r="UMC3" s="120"/>
      <c r="UMD3" s="120"/>
      <c r="UME3" s="120"/>
      <c r="UMF3" s="120"/>
      <c r="UMG3" s="120"/>
      <c r="UMH3" s="120"/>
      <c r="UMI3" s="120"/>
      <c r="UMJ3" s="120"/>
      <c r="UMK3" s="120"/>
      <c r="UML3" s="120"/>
      <c r="UMM3" s="120"/>
      <c r="UMN3" s="120"/>
      <c r="UMO3" s="120"/>
      <c r="UMP3" s="120"/>
      <c r="UMQ3" s="120"/>
      <c r="UMR3" s="120"/>
      <c r="UMS3" s="120"/>
      <c r="UMT3" s="120"/>
      <c r="UMU3" s="120"/>
      <c r="UMV3" s="120"/>
      <c r="UMW3" s="120"/>
      <c r="UMX3" s="120"/>
      <c r="UMY3" s="120"/>
      <c r="UMZ3" s="120"/>
      <c r="UNA3" s="120"/>
      <c r="UNB3" s="120"/>
      <c r="UNC3" s="120"/>
      <c r="UND3" s="120"/>
      <c r="UNE3" s="120"/>
      <c r="UNF3" s="120"/>
      <c r="UNG3" s="120"/>
      <c r="UNH3" s="120"/>
      <c r="UNI3" s="120"/>
      <c r="UNJ3" s="120"/>
      <c r="UNK3" s="120"/>
      <c r="UNL3" s="120"/>
      <c r="UNM3" s="120"/>
      <c r="UNN3" s="120"/>
      <c r="UNO3" s="120"/>
      <c r="UNP3" s="120"/>
      <c r="UNQ3" s="120"/>
      <c r="UNR3" s="120"/>
      <c r="UNS3" s="120"/>
      <c r="UNT3" s="120"/>
      <c r="UNU3" s="120"/>
      <c r="UNV3" s="120"/>
      <c r="UNW3" s="120"/>
      <c r="UNX3" s="120"/>
      <c r="UNY3" s="120"/>
      <c r="UNZ3" s="120"/>
      <c r="UOA3" s="120"/>
      <c r="UOB3" s="120"/>
      <c r="UOC3" s="120"/>
      <c r="UOD3" s="120"/>
      <c r="UOE3" s="120"/>
      <c r="UOF3" s="120"/>
      <c r="UOG3" s="120"/>
      <c r="UOH3" s="120"/>
      <c r="UOI3" s="120"/>
      <c r="UOJ3" s="120"/>
      <c r="UOK3" s="120"/>
      <c r="UOL3" s="120"/>
      <c r="UOM3" s="120"/>
      <c r="UON3" s="120"/>
      <c r="UOO3" s="120"/>
      <c r="UOP3" s="120"/>
      <c r="UOQ3" s="120"/>
      <c r="UOR3" s="120"/>
      <c r="UOS3" s="120"/>
      <c r="UOT3" s="120"/>
      <c r="UOU3" s="120"/>
      <c r="UOV3" s="120"/>
      <c r="UOW3" s="120"/>
      <c r="UOX3" s="120"/>
      <c r="UOY3" s="120"/>
      <c r="UOZ3" s="120"/>
      <c r="UPA3" s="120"/>
      <c r="UPB3" s="120"/>
      <c r="UPC3" s="120"/>
      <c r="UPD3" s="120"/>
      <c r="UPE3" s="120"/>
      <c r="UPF3" s="120"/>
      <c r="UPG3" s="120"/>
      <c r="UPH3" s="120"/>
      <c r="UPI3" s="120"/>
      <c r="UPJ3" s="120"/>
      <c r="UPK3" s="120"/>
      <c r="UPL3" s="120"/>
      <c r="UPM3" s="120"/>
      <c r="UPN3" s="120"/>
      <c r="UPO3" s="120"/>
      <c r="UPP3" s="120"/>
      <c r="UPQ3" s="120"/>
      <c r="UPR3" s="120"/>
      <c r="UPS3" s="120"/>
      <c r="UPT3" s="120"/>
      <c r="UPU3" s="120"/>
      <c r="UPV3" s="120"/>
      <c r="UPW3" s="120"/>
      <c r="UPX3" s="120"/>
      <c r="UPY3" s="120"/>
      <c r="UPZ3" s="120"/>
      <c r="UQA3" s="120"/>
      <c r="UQB3" s="120"/>
      <c r="UQC3" s="120"/>
      <c r="UQD3" s="120"/>
      <c r="UQE3" s="120"/>
      <c r="UQF3" s="120"/>
      <c r="UQG3" s="120"/>
      <c r="UQH3" s="120"/>
      <c r="UQI3" s="120"/>
      <c r="UQJ3" s="120"/>
      <c r="UQK3" s="120"/>
      <c r="UQL3" s="120"/>
      <c r="UQM3" s="120"/>
      <c r="UQN3" s="120"/>
      <c r="UQO3" s="120"/>
      <c r="UQP3" s="120"/>
      <c r="UQQ3" s="120"/>
      <c r="UQR3" s="120"/>
      <c r="UQS3" s="120"/>
      <c r="UQT3" s="120"/>
      <c r="UQU3" s="120"/>
      <c r="UQV3" s="120"/>
      <c r="UQW3" s="120"/>
      <c r="UQX3" s="120"/>
      <c r="UQY3" s="120"/>
      <c r="UQZ3" s="120"/>
      <c r="URA3" s="120"/>
      <c r="URB3" s="120"/>
      <c r="URC3" s="120"/>
      <c r="URD3" s="120"/>
      <c r="URE3" s="120"/>
      <c r="URF3" s="120"/>
      <c r="URG3" s="120"/>
      <c r="URH3" s="120"/>
      <c r="URI3" s="120"/>
      <c r="URJ3" s="120"/>
      <c r="URK3" s="120"/>
      <c r="URL3" s="120"/>
      <c r="URM3" s="120"/>
      <c r="URN3" s="120"/>
      <c r="URO3" s="120"/>
      <c r="URP3" s="120"/>
      <c r="URQ3" s="120"/>
      <c r="URR3" s="120"/>
      <c r="URS3" s="120"/>
      <c r="URT3" s="120"/>
      <c r="URU3" s="120"/>
      <c r="URV3" s="120"/>
      <c r="URW3" s="120"/>
      <c r="URX3" s="120"/>
      <c r="URY3" s="120"/>
      <c r="URZ3" s="120"/>
      <c r="USA3" s="120"/>
      <c r="USB3" s="120"/>
      <c r="USC3" s="120"/>
      <c r="USD3" s="120"/>
      <c r="USE3" s="120"/>
      <c r="USF3" s="120"/>
      <c r="USG3" s="120"/>
      <c r="USH3" s="120"/>
      <c r="USI3" s="120"/>
      <c r="USJ3" s="120"/>
      <c r="USK3" s="120"/>
      <c r="USL3" s="120"/>
      <c r="USM3" s="120"/>
      <c r="USN3" s="120"/>
      <c r="USO3" s="120"/>
      <c r="USP3" s="120"/>
      <c r="USQ3" s="120"/>
      <c r="USR3" s="120"/>
      <c r="USS3" s="120"/>
      <c r="UST3" s="120"/>
      <c r="USU3" s="120"/>
      <c r="USV3" s="120"/>
      <c r="USW3" s="120"/>
      <c r="USX3" s="120"/>
      <c r="USY3" s="120"/>
      <c r="USZ3" s="120"/>
      <c r="UTA3" s="120"/>
      <c r="UTB3" s="120"/>
      <c r="UTC3" s="120"/>
      <c r="UTD3" s="120"/>
      <c r="UTE3" s="120"/>
      <c r="UTF3" s="120"/>
      <c r="UTG3" s="120"/>
      <c r="UTH3" s="120"/>
      <c r="UTI3" s="120"/>
      <c r="UTJ3" s="120"/>
      <c r="UTK3" s="120"/>
      <c r="UTL3" s="120"/>
      <c r="UTM3" s="120"/>
      <c r="UTN3" s="120"/>
      <c r="UTO3" s="120"/>
      <c r="UTP3" s="120"/>
      <c r="UTQ3" s="120"/>
      <c r="UTR3" s="120"/>
      <c r="UTS3" s="120"/>
      <c r="UTT3" s="120"/>
      <c r="UTU3" s="120"/>
      <c r="UTV3" s="120"/>
      <c r="UTW3" s="120"/>
      <c r="UTX3" s="120"/>
      <c r="UTY3" s="120"/>
      <c r="UTZ3" s="120"/>
      <c r="UUA3" s="120"/>
      <c r="UUB3" s="120"/>
      <c r="UUC3" s="120"/>
      <c r="UUD3" s="120"/>
      <c r="UUE3" s="120"/>
      <c r="UUF3" s="120"/>
      <c r="UUG3" s="120"/>
      <c r="UUH3" s="120"/>
      <c r="UUI3" s="120"/>
      <c r="UUJ3" s="120"/>
      <c r="UUK3" s="120"/>
      <c r="UUL3" s="120"/>
      <c r="UUM3" s="120"/>
      <c r="UUN3" s="120"/>
      <c r="UUO3" s="120"/>
      <c r="UUP3" s="120"/>
      <c r="UUQ3" s="120"/>
      <c r="UUR3" s="120"/>
      <c r="UUS3" s="120"/>
      <c r="UUT3" s="120"/>
      <c r="UUU3" s="120"/>
      <c r="UUV3" s="120"/>
      <c r="UUW3" s="120"/>
      <c r="UUX3" s="120"/>
      <c r="UUY3" s="120"/>
      <c r="UUZ3" s="120"/>
      <c r="UVA3" s="120"/>
      <c r="UVB3" s="120"/>
      <c r="UVC3" s="120"/>
      <c r="UVD3" s="120"/>
      <c r="UVE3" s="120"/>
      <c r="UVF3" s="120"/>
      <c r="UVG3" s="120"/>
      <c r="UVH3" s="120"/>
      <c r="UVI3" s="120"/>
      <c r="UVJ3" s="120"/>
      <c r="UVK3" s="120"/>
      <c r="UVL3" s="120"/>
      <c r="UVM3" s="120"/>
      <c r="UVN3" s="120"/>
      <c r="UVO3" s="120"/>
      <c r="UVP3" s="120"/>
      <c r="UVQ3" s="120"/>
      <c r="UVR3" s="120"/>
      <c r="UVS3" s="120"/>
      <c r="UVT3" s="120"/>
      <c r="UVU3" s="120"/>
      <c r="UVV3" s="120"/>
      <c r="UVW3" s="120"/>
      <c r="UVX3" s="120"/>
      <c r="UVY3" s="120"/>
      <c r="UVZ3" s="120"/>
      <c r="UWA3" s="120"/>
      <c r="UWB3" s="120"/>
      <c r="UWC3" s="120"/>
      <c r="UWD3" s="120"/>
      <c r="UWE3" s="120"/>
      <c r="UWF3" s="120"/>
      <c r="UWG3" s="120"/>
      <c r="UWH3" s="120"/>
      <c r="UWI3" s="120"/>
      <c r="UWJ3" s="120"/>
      <c r="UWK3" s="120"/>
      <c r="UWL3" s="120"/>
      <c r="UWM3" s="120"/>
      <c r="UWN3" s="120"/>
      <c r="UWO3" s="120"/>
      <c r="UWP3" s="120"/>
      <c r="UWQ3" s="120"/>
      <c r="UWR3" s="120"/>
      <c r="UWS3" s="120"/>
      <c r="UWT3" s="120"/>
      <c r="UWU3" s="120"/>
      <c r="UWV3" s="120"/>
      <c r="UWW3" s="120"/>
      <c r="UWX3" s="120"/>
      <c r="UWY3" s="120"/>
      <c r="UWZ3" s="120"/>
      <c r="UXA3" s="120"/>
      <c r="UXB3" s="120"/>
      <c r="UXC3" s="120"/>
      <c r="UXD3" s="120"/>
      <c r="UXE3" s="120"/>
      <c r="UXF3" s="120"/>
      <c r="UXG3" s="120"/>
      <c r="UXH3" s="120"/>
      <c r="UXI3" s="120"/>
      <c r="UXJ3" s="120"/>
      <c r="UXK3" s="120"/>
      <c r="UXL3" s="120"/>
      <c r="UXM3" s="120"/>
      <c r="UXN3" s="120"/>
      <c r="UXO3" s="120"/>
      <c r="UXP3" s="120"/>
      <c r="UXQ3" s="120"/>
      <c r="UXR3" s="120"/>
      <c r="UXS3" s="120"/>
      <c r="UXT3" s="120"/>
      <c r="UXU3" s="120"/>
      <c r="UXV3" s="120"/>
      <c r="UXW3" s="120"/>
      <c r="UXX3" s="120"/>
      <c r="UXY3" s="120"/>
      <c r="UXZ3" s="120"/>
      <c r="UYA3" s="120"/>
      <c r="UYB3" s="120"/>
      <c r="UYC3" s="120"/>
      <c r="UYD3" s="120"/>
      <c r="UYE3" s="120"/>
      <c r="UYF3" s="120"/>
      <c r="UYG3" s="120"/>
      <c r="UYH3" s="120"/>
      <c r="UYI3" s="120"/>
      <c r="UYJ3" s="120"/>
      <c r="UYK3" s="120"/>
      <c r="UYL3" s="120"/>
      <c r="UYM3" s="120"/>
      <c r="UYN3" s="120"/>
      <c r="UYO3" s="120"/>
      <c r="UYP3" s="120"/>
      <c r="UYQ3" s="120"/>
      <c r="UYR3" s="120"/>
      <c r="UYS3" s="120"/>
      <c r="UYT3" s="120"/>
      <c r="UYU3" s="120"/>
      <c r="UYV3" s="120"/>
      <c r="UYW3" s="120"/>
      <c r="UYX3" s="120"/>
      <c r="UYY3" s="120"/>
      <c r="UYZ3" s="120"/>
      <c r="UZA3" s="120"/>
      <c r="UZB3" s="120"/>
      <c r="UZC3" s="120"/>
      <c r="UZD3" s="120"/>
      <c r="UZE3" s="120"/>
      <c r="UZF3" s="120"/>
      <c r="UZG3" s="120"/>
      <c r="UZH3" s="120"/>
      <c r="UZI3" s="120"/>
      <c r="UZJ3" s="120"/>
      <c r="UZK3" s="120"/>
      <c r="UZL3" s="120"/>
      <c r="UZM3" s="120"/>
      <c r="UZN3" s="120"/>
      <c r="UZO3" s="120"/>
      <c r="UZP3" s="120"/>
      <c r="UZQ3" s="120"/>
      <c r="UZR3" s="120"/>
      <c r="UZS3" s="120"/>
      <c r="UZT3" s="120"/>
      <c r="UZU3" s="120"/>
      <c r="UZV3" s="120"/>
      <c r="UZW3" s="120"/>
      <c r="UZX3" s="120"/>
      <c r="UZY3" s="120"/>
      <c r="UZZ3" s="120"/>
      <c r="VAA3" s="120"/>
      <c r="VAB3" s="120"/>
      <c r="VAC3" s="120"/>
      <c r="VAD3" s="120"/>
      <c r="VAE3" s="120"/>
      <c r="VAF3" s="120"/>
      <c r="VAG3" s="120"/>
      <c r="VAH3" s="120"/>
      <c r="VAI3" s="120"/>
      <c r="VAJ3" s="120"/>
      <c r="VAK3" s="120"/>
      <c r="VAL3" s="120"/>
      <c r="VAM3" s="120"/>
      <c r="VAN3" s="120"/>
      <c r="VAO3" s="120"/>
      <c r="VAP3" s="120"/>
      <c r="VAQ3" s="120"/>
      <c r="VAR3" s="120"/>
      <c r="VAS3" s="120"/>
      <c r="VAT3" s="120"/>
      <c r="VAU3" s="120"/>
      <c r="VAV3" s="120"/>
      <c r="VAW3" s="120"/>
      <c r="VAX3" s="120"/>
      <c r="VAY3" s="120"/>
      <c r="VAZ3" s="120"/>
      <c r="VBA3" s="120"/>
      <c r="VBB3" s="120"/>
      <c r="VBC3" s="120"/>
      <c r="VBD3" s="120"/>
      <c r="VBE3" s="120"/>
      <c r="VBF3" s="120"/>
      <c r="VBG3" s="120"/>
      <c r="VBH3" s="120"/>
      <c r="VBI3" s="120"/>
      <c r="VBJ3" s="120"/>
      <c r="VBK3" s="120"/>
      <c r="VBL3" s="120"/>
      <c r="VBM3" s="120"/>
      <c r="VBN3" s="120"/>
      <c r="VBO3" s="120"/>
      <c r="VBP3" s="120"/>
      <c r="VBQ3" s="120"/>
      <c r="VBR3" s="120"/>
      <c r="VBS3" s="120"/>
      <c r="VBT3" s="120"/>
      <c r="VBU3" s="120"/>
      <c r="VBV3" s="120"/>
      <c r="VBW3" s="120"/>
      <c r="VBX3" s="120"/>
      <c r="VBY3" s="120"/>
      <c r="VBZ3" s="120"/>
      <c r="VCA3" s="120"/>
      <c r="VCB3" s="120"/>
      <c r="VCC3" s="120"/>
      <c r="VCD3" s="120"/>
      <c r="VCE3" s="120"/>
      <c r="VCF3" s="120"/>
      <c r="VCG3" s="120"/>
      <c r="VCH3" s="120"/>
      <c r="VCI3" s="120"/>
      <c r="VCJ3" s="120"/>
      <c r="VCK3" s="120"/>
      <c r="VCL3" s="120"/>
      <c r="VCM3" s="120"/>
      <c r="VCN3" s="120"/>
      <c r="VCO3" s="120"/>
      <c r="VCP3" s="120"/>
      <c r="VCQ3" s="120"/>
      <c r="VCR3" s="120"/>
      <c r="VCS3" s="120"/>
      <c r="VCT3" s="120"/>
      <c r="VCU3" s="120"/>
      <c r="VCV3" s="120"/>
      <c r="VCW3" s="120"/>
      <c r="VCX3" s="120"/>
      <c r="VCY3" s="120"/>
      <c r="VCZ3" s="120"/>
      <c r="VDA3" s="120"/>
      <c r="VDB3" s="120"/>
      <c r="VDC3" s="120"/>
      <c r="VDD3" s="120"/>
      <c r="VDE3" s="120"/>
      <c r="VDF3" s="120"/>
      <c r="VDG3" s="120"/>
      <c r="VDH3" s="120"/>
      <c r="VDI3" s="120"/>
      <c r="VDJ3" s="120"/>
      <c r="VDK3" s="120"/>
      <c r="VDL3" s="120"/>
      <c r="VDM3" s="120"/>
      <c r="VDN3" s="120"/>
      <c r="VDO3" s="120"/>
      <c r="VDP3" s="120"/>
      <c r="VDQ3" s="120"/>
      <c r="VDR3" s="120"/>
      <c r="VDS3" s="120"/>
      <c r="VDT3" s="120"/>
      <c r="VDU3" s="120"/>
      <c r="VDV3" s="120"/>
      <c r="VDW3" s="120"/>
      <c r="VDX3" s="120"/>
      <c r="VDY3" s="120"/>
      <c r="VDZ3" s="120"/>
      <c r="VEA3" s="120"/>
      <c r="VEB3" s="120"/>
      <c r="VEC3" s="120"/>
      <c r="VED3" s="120"/>
      <c r="VEE3" s="120"/>
      <c r="VEF3" s="120"/>
      <c r="VEG3" s="120"/>
      <c r="VEH3" s="120"/>
      <c r="VEI3" s="120"/>
      <c r="VEJ3" s="120"/>
      <c r="VEK3" s="120"/>
      <c r="VEL3" s="120"/>
      <c r="VEM3" s="120"/>
      <c r="VEN3" s="120"/>
      <c r="VEO3" s="120"/>
      <c r="VEP3" s="120"/>
      <c r="VEQ3" s="120"/>
      <c r="VER3" s="120"/>
      <c r="VES3" s="120"/>
      <c r="VET3" s="120"/>
      <c r="VEU3" s="120"/>
      <c r="VEV3" s="120"/>
      <c r="VEW3" s="120"/>
      <c r="VEX3" s="120"/>
      <c r="VEY3" s="120"/>
      <c r="VEZ3" s="120"/>
      <c r="VFA3" s="120"/>
      <c r="VFB3" s="120"/>
      <c r="VFC3" s="120"/>
      <c r="VFD3" s="120"/>
      <c r="VFE3" s="120"/>
      <c r="VFF3" s="120"/>
      <c r="VFG3" s="120"/>
      <c r="VFH3" s="120"/>
      <c r="VFI3" s="120"/>
      <c r="VFJ3" s="120"/>
      <c r="VFK3" s="120"/>
      <c r="VFL3" s="120"/>
      <c r="VFM3" s="120"/>
      <c r="VFN3" s="120"/>
      <c r="VFO3" s="120"/>
      <c r="VFP3" s="120"/>
      <c r="VFQ3" s="120"/>
      <c r="VFR3" s="120"/>
      <c r="VFS3" s="120"/>
      <c r="VFT3" s="120"/>
      <c r="VFU3" s="120"/>
      <c r="VFV3" s="120"/>
      <c r="VFW3" s="120"/>
      <c r="VFX3" s="120"/>
      <c r="VFY3" s="120"/>
      <c r="VFZ3" s="120"/>
      <c r="VGA3" s="120"/>
      <c r="VGB3" s="120"/>
      <c r="VGC3" s="120"/>
      <c r="VGD3" s="120"/>
      <c r="VGE3" s="120"/>
      <c r="VGF3" s="120"/>
      <c r="VGG3" s="120"/>
      <c r="VGH3" s="120"/>
      <c r="VGI3" s="120"/>
      <c r="VGJ3" s="120"/>
      <c r="VGK3" s="120"/>
      <c r="VGL3" s="120"/>
      <c r="VGM3" s="120"/>
      <c r="VGN3" s="120"/>
      <c r="VGO3" s="120"/>
      <c r="VGP3" s="120"/>
      <c r="VGQ3" s="120"/>
      <c r="VGR3" s="120"/>
      <c r="VGS3" s="120"/>
      <c r="VGT3" s="120"/>
      <c r="VGU3" s="120"/>
      <c r="VGV3" s="120"/>
      <c r="VGW3" s="120"/>
      <c r="VGX3" s="120"/>
      <c r="VGY3" s="120"/>
      <c r="VGZ3" s="120"/>
      <c r="VHA3" s="120"/>
      <c r="VHB3" s="120"/>
      <c r="VHC3" s="120"/>
      <c r="VHD3" s="120"/>
      <c r="VHE3" s="120"/>
      <c r="VHF3" s="120"/>
      <c r="VHG3" s="120"/>
      <c r="VHH3" s="120"/>
      <c r="VHI3" s="120"/>
      <c r="VHJ3" s="120"/>
      <c r="VHK3" s="120"/>
      <c r="VHL3" s="120"/>
      <c r="VHM3" s="120"/>
      <c r="VHN3" s="120"/>
      <c r="VHO3" s="120"/>
      <c r="VHP3" s="120"/>
      <c r="VHQ3" s="120"/>
      <c r="VHR3" s="120"/>
      <c r="VHS3" s="120"/>
      <c r="VHT3" s="120"/>
      <c r="VHU3" s="120"/>
      <c r="VHV3" s="120"/>
      <c r="VHW3" s="120"/>
      <c r="VHX3" s="120"/>
      <c r="VHY3" s="120"/>
      <c r="VHZ3" s="120"/>
      <c r="VIA3" s="120"/>
      <c r="VIB3" s="120"/>
      <c r="VIC3" s="120"/>
      <c r="VID3" s="120"/>
      <c r="VIE3" s="120"/>
      <c r="VIF3" s="120"/>
      <c r="VIG3" s="120"/>
      <c r="VIH3" s="120"/>
      <c r="VII3" s="120"/>
      <c r="VIJ3" s="120"/>
      <c r="VIK3" s="120"/>
      <c r="VIL3" s="120"/>
      <c r="VIM3" s="120"/>
      <c r="VIN3" s="120"/>
      <c r="VIO3" s="120"/>
      <c r="VIP3" s="120"/>
      <c r="VIQ3" s="120"/>
      <c r="VIR3" s="120"/>
      <c r="VIS3" s="120"/>
      <c r="VIT3" s="120"/>
      <c r="VIU3" s="120"/>
      <c r="VIV3" s="120"/>
      <c r="VIW3" s="120"/>
      <c r="VIX3" s="120"/>
      <c r="VIY3" s="120"/>
      <c r="VIZ3" s="120"/>
      <c r="VJA3" s="120"/>
      <c r="VJB3" s="120"/>
      <c r="VJC3" s="120"/>
      <c r="VJD3" s="120"/>
      <c r="VJE3" s="120"/>
      <c r="VJF3" s="120"/>
      <c r="VJG3" s="120"/>
      <c r="VJH3" s="120"/>
      <c r="VJI3" s="120"/>
      <c r="VJJ3" s="120"/>
      <c r="VJK3" s="120"/>
      <c r="VJL3" s="120"/>
      <c r="VJM3" s="120"/>
      <c r="VJN3" s="120"/>
      <c r="VJO3" s="120"/>
      <c r="VJP3" s="120"/>
      <c r="VJQ3" s="120"/>
      <c r="VJR3" s="120"/>
      <c r="VJS3" s="120"/>
      <c r="VJT3" s="120"/>
      <c r="VJU3" s="120"/>
      <c r="VJV3" s="120"/>
      <c r="VJW3" s="120"/>
      <c r="VJX3" s="120"/>
      <c r="VJY3" s="120"/>
      <c r="VJZ3" s="120"/>
      <c r="VKA3" s="120"/>
      <c r="VKB3" s="120"/>
      <c r="VKC3" s="120"/>
      <c r="VKD3" s="120"/>
      <c r="VKE3" s="120"/>
      <c r="VKF3" s="120"/>
      <c r="VKG3" s="120"/>
      <c r="VKH3" s="120"/>
      <c r="VKI3" s="120"/>
      <c r="VKJ3" s="120"/>
      <c r="VKK3" s="120"/>
      <c r="VKL3" s="120"/>
      <c r="VKM3" s="120"/>
      <c r="VKN3" s="120"/>
      <c r="VKO3" s="120"/>
      <c r="VKP3" s="120"/>
      <c r="VKQ3" s="120"/>
      <c r="VKR3" s="120"/>
      <c r="VKS3" s="120"/>
      <c r="VKT3" s="120"/>
      <c r="VKU3" s="120"/>
      <c r="VKV3" s="120"/>
      <c r="VKW3" s="120"/>
      <c r="VKX3" s="120"/>
      <c r="VKY3" s="120"/>
      <c r="VKZ3" s="120"/>
      <c r="VLA3" s="120"/>
      <c r="VLB3" s="120"/>
      <c r="VLC3" s="120"/>
      <c r="VLD3" s="120"/>
      <c r="VLE3" s="120"/>
      <c r="VLF3" s="120"/>
      <c r="VLG3" s="120"/>
      <c r="VLH3" s="120"/>
      <c r="VLI3" s="120"/>
      <c r="VLJ3" s="120"/>
      <c r="VLK3" s="120"/>
      <c r="VLL3" s="120"/>
      <c r="VLM3" s="120"/>
      <c r="VLN3" s="120"/>
      <c r="VLO3" s="120"/>
      <c r="VLP3" s="120"/>
      <c r="VLQ3" s="120"/>
      <c r="VLR3" s="120"/>
      <c r="VLS3" s="120"/>
      <c r="VLT3" s="120"/>
      <c r="VLU3" s="120"/>
      <c r="VLV3" s="120"/>
      <c r="VLW3" s="120"/>
      <c r="VLX3" s="120"/>
      <c r="VLY3" s="120"/>
      <c r="VLZ3" s="120"/>
      <c r="VMA3" s="120"/>
      <c r="VMB3" s="120"/>
      <c r="VMC3" s="120"/>
      <c r="VMD3" s="120"/>
      <c r="VME3" s="120"/>
      <c r="VMF3" s="120"/>
      <c r="VMG3" s="120"/>
      <c r="VMH3" s="120"/>
      <c r="VMI3" s="120"/>
      <c r="VMJ3" s="120"/>
      <c r="VMK3" s="120"/>
      <c r="VML3" s="120"/>
      <c r="VMM3" s="120"/>
      <c r="VMN3" s="120"/>
      <c r="VMO3" s="120"/>
      <c r="VMP3" s="120"/>
      <c r="VMQ3" s="120"/>
      <c r="VMR3" s="120"/>
      <c r="VMS3" s="120"/>
      <c r="VMT3" s="120"/>
      <c r="VMU3" s="120"/>
      <c r="VMV3" s="120"/>
      <c r="VMW3" s="120"/>
      <c r="VMX3" s="120"/>
      <c r="VMY3" s="120"/>
      <c r="VMZ3" s="120"/>
      <c r="VNA3" s="120"/>
      <c r="VNB3" s="120"/>
      <c r="VNC3" s="120"/>
      <c r="VND3" s="120"/>
      <c r="VNE3" s="120"/>
      <c r="VNF3" s="120"/>
      <c r="VNG3" s="120"/>
      <c r="VNH3" s="120"/>
      <c r="VNI3" s="120"/>
      <c r="VNJ3" s="120"/>
      <c r="VNK3" s="120"/>
      <c r="VNL3" s="120"/>
      <c r="VNM3" s="120"/>
      <c r="VNN3" s="120"/>
      <c r="VNO3" s="120"/>
      <c r="VNP3" s="120"/>
      <c r="VNQ3" s="120"/>
      <c r="VNR3" s="120"/>
      <c r="VNS3" s="120"/>
      <c r="VNT3" s="120"/>
      <c r="VNU3" s="120"/>
      <c r="VNV3" s="120"/>
      <c r="VNW3" s="120"/>
      <c r="VNX3" s="120"/>
      <c r="VNY3" s="120"/>
      <c r="VNZ3" s="120"/>
      <c r="VOA3" s="120"/>
      <c r="VOB3" s="120"/>
      <c r="VOC3" s="120"/>
      <c r="VOD3" s="120"/>
      <c r="VOE3" s="120"/>
      <c r="VOF3" s="120"/>
      <c r="VOG3" s="120"/>
      <c r="VOH3" s="120"/>
      <c r="VOI3" s="120"/>
      <c r="VOJ3" s="120"/>
      <c r="VOK3" s="120"/>
      <c r="VOL3" s="120"/>
      <c r="VOM3" s="120"/>
      <c r="VON3" s="120"/>
      <c r="VOO3" s="120"/>
      <c r="VOP3" s="120"/>
      <c r="VOQ3" s="120"/>
      <c r="VOR3" s="120"/>
      <c r="VOS3" s="120"/>
      <c r="VOT3" s="120"/>
      <c r="VOU3" s="120"/>
      <c r="VOV3" s="120"/>
      <c r="VOW3" s="120"/>
      <c r="VOX3" s="120"/>
      <c r="VOY3" s="120"/>
      <c r="VOZ3" s="120"/>
      <c r="VPA3" s="120"/>
      <c r="VPB3" s="120"/>
      <c r="VPC3" s="120"/>
      <c r="VPD3" s="120"/>
      <c r="VPE3" s="120"/>
      <c r="VPF3" s="120"/>
      <c r="VPG3" s="120"/>
      <c r="VPH3" s="120"/>
      <c r="VPI3" s="120"/>
      <c r="VPJ3" s="120"/>
      <c r="VPK3" s="120"/>
      <c r="VPL3" s="120"/>
      <c r="VPM3" s="120"/>
      <c r="VPN3" s="120"/>
      <c r="VPO3" s="120"/>
      <c r="VPP3" s="120"/>
      <c r="VPQ3" s="120"/>
      <c r="VPR3" s="120"/>
      <c r="VPS3" s="120"/>
      <c r="VPT3" s="120"/>
      <c r="VPU3" s="120"/>
      <c r="VPV3" s="120"/>
      <c r="VPW3" s="120"/>
      <c r="VPX3" s="120"/>
      <c r="VPY3" s="120"/>
      <c r="VPZ3" s="120"/>
      <c r="VQA3" s="120"/>
      <c r="VQB3" s="120"/>
      <c r="VQC3" s="120"/>
      <c r="VQD3" s="120"/>
      <c r="VQE3" s="120"/>
      <c r="VQF3" s="120"/>
      <c r="VQG3" s="120"/>
      <c r="VQH3" s="120"/>
      <c r="VQI3" s="120"/>
      <c r="VQJ3" s="120"/>
      <c r="VQK3" s="120"/>
      <c r="VQL3" s="120"/>
      <c r="VQM3" s="120"/>
      <c r="VQN3" s="120"/>
      <c r="VQO3" s="120"/>
      <c r="VQP3" s="120"/>
      <c r="VQQ3" s="120"/>
      <c r="VQR3" s="120"/>
      <c r="VQS3" s="120"/>
      <c r="VQT3" s="120"/>
      <c r="VQU3" s="120"/>
      <c r="VQV3" s="120"/>
      <c r="VQW3" s="120"/>
      <c r="VQX3" s="120"/>
      <c r="VQY3" s="120"/>
      <c r="VQZ3" s="120"/>
      <c r="VRA3" s="120"/>
      <c r="VRB3" s="120"/>
      <c r="VRC3" s="120"/>
      <c r="VRD3" s="120"/>
      <c r="VRE3" s="120"/>
      <c r="VRF3" s="120"/>
      <c r="VRG3" s="120"/>
      <c r="VRH3" s="120"/>
      <c r="VRI3" s="120"/>
      <c r="VRJ3" s="120"/>
      <c r="VRK3" s="120"/>
      <c r="VRL3" s="120"/>
      <c r="VRM3" s="120"/>
      <c r="VRN3" s="120"/>
      <c r="VRO3" s="120"/>
      <c r="VRP3" s="120"/>
      <c r="VRQ3" s="120"/>
      <c r="VRR3" s="120"/>
      <c r="VRS3" s="120"/>
      <c r="VRT3" s="120"/>
      <c r="VRU3" s="120"/>
      <c r="VRV3" s="120"/>
      <c r="VRW3" s="120"/>
      <c r="VRX3" s="120"/>
      <c r="VRY3" s="120"/>
      <c r="VRZ3" s="120"/>
      <c r="VSA3" s="120"/>
      <c r="VSB3" s="120"/>
      <c r="VSC3" s="120"/>
      <c r="VSD3" s="120"/>
      <c r="VSE3" s="120"/>
      <c r="VSF3" s="120"/>
      <c r="VSG3" s="120"/>
      <c r="VSH3" s="120"/>
      <c r="VSI3" s="120"/>
      <c r="VSJ3" s="120"/>
      <c r="VSK3" s="120"/>
      <c r="VSL3" s="120"/>
      <c r="VSM3" s="120"/>
      <c r="VSN3" s="120"/>
      <c r="VSO3" s="120"/>
      <c r="VSP3" s="120"/>
      <c r="VSQ3" s="120"/>
      <c r="VSR3" s="120"/>
      <c r="VSS3" s="120"/>
      <c r="VST3" s="120"/>
      <c r="VSU3" s="120"/>
      <c r="VSV3" s="120"/>
      <c r="VSW3" s="120"/>
      <c r="VSX3" s="120"/>
      <c r="VSY3" s="120"/>
      <c r="VSZ3" s="120"/>
      <c r="VTA3" s="120"/>
      <c r="VTB3" s="120"/>
      <c r="VTC3" s="120"/>
      <c r="VTD3" s="120"/>
      <c r="VTE3" s="120"/>
      <c r="VTF3" s="120"/>
      <c r="VTG3" s="120"/>
      <c r="VTH3" s="120"/>
      <c r="VTI3" s="120"/>
      <c r="VTJ3" s="120"/>
      <c r="VTK3" s="120"/>
      <c r="VTL3" s="120"/>
      <c r="VTM3" s="120"/>
      <c r="VTN3" s="120"/>
      <c r="VTO3" s="120"/>
      <c r="VTP3" s="120"/>
      <c r="VTQ3" s="120"/>
      <c r="VTR3" s="120"/>
      <c r="VTS3" s="120"/>
      <c r="VTT3" s="120"/>
      <c r="VTU3" s="120"/>
      <c r="VTV3" s="120"/>
      <c r="VTW3" s="120"/>
      <c r="VTX3" s="120"/>
      <c r="VTY3" s="120"/>
      <c r="VTZ3" s="120"/>
      <c r="VUA3" s="120"/>
      <c r="VUB3" s="120"/>
      <c r="VUC3" s="120"/>
      <c r="VUD3" s="120"/>
      <c r="VUE3" s="120"/>
      <c r="VUF3" s="120"/>
      <c r="VUG3" s="120"/>
      <c r="VUH3" s="120"/>
      <c r="VUI3" s="120"/>
      <c r="VUJ3" s="120"/>
      <c r="VUK3" s="120"/>
      <c r="VUL3" s="120"/>
      <c r="VUM3" s="120"/>
      <c r="VUN3" s="120"/>
      <c r="VUO3" s="120"/>
      <c r="VUP3" s="120"/>
      <c r="VUQ3" s="120"/>
      <c r="VUR3" s="120"/>
      <c r="VUS3" s="120"/>
      <c r="VUT3" s="120"/>
      <c r="VUU3" s="120"/>
      <c r="VUV3" s="120"/>
      <c r="VUW3" s="120"/>
      <c r="VUX3" s="120"/>
      <c r="VUY3" s="120"/>
      <c r="VUZ3" s="120"/>
      <c r="VVA3" s="120"/>
      <c r="VVB3" s="120"/>
      <c r="VVC3" s="120"/>
      <c r="VVD3" s="120"/>
      <c r="VVE3" s="120"/>
      <c r="VVF3" s="120"/>
      <c r="VVG3" s="120"/>
      <c r="VVH3" s="120"/>
      <c r="VVI3" s="120"/>
      <c r="VVJ3" s="120"/>
      <c r="VVK3" s="120"/>
      <c r="VVL3" s="120"/>
      <c r="VVM3" s="120"/>
      <c r="VVN3" s="120"/>
      <c r="VVO3" s="120"/>
      <c r="VVP3" s="120"/>
      <c r="VVQ3" s="120"/>
      <c r="VVR3" s="120"/>
      <c r="VVS3" s="120"/>
      <c r="VVT3" s="120"/>
      <c r="VVU3" s="120"/>
      <c r="VVV3" s="120"/>
      <c r="VVW3" s="120"/>
      <c r="VVX3" s="120"/>
      <c r="VVY3" s="120"/>
      <c r="VVZ3" s="120"/>
      <c r="VWA3" s="120"/>
      <c r="VWB3" s="120"/>
      <c r="VWC3" s="120"/>
      <c r="VWD3" s="120"/>
      <c r="VWE3" s="120"/>
      <c r="VWF3" s="120"/>
      <c r="VWG3" s="120"/>
      <c r="VWH3" s="120"/>
      <c r="VWI3" s="120"/>
      <c r="VWJ3" s="120"/>
      <c r="VWK3" s="120"/>
      <c r="VWL3" s="120"/>
      <c r="VWM3" s="120"/>
      <c r="VWN3" s="120"/>
      <c r="VWO3" s="120"/>
      <c r="VWP3" s="120"/>
      <c r="VWQ3" s="120"/>
      <c r="VWR3" s="120"/>
      <c r="VWS3" s="120"/>
      <c r="VWT3" s="120"/>
      <c r="VWU3" s="120"/>
      <c r="VWV3" s="120"/>
      <c r="VWW3" s="120"/>
      <c r="VWX3" s="120"/>
      <c r="VWY3" s="120"/>
      <c r="VWZ3" s="120"/>
      <c r="VXA3" s="120"/>
      <c r="VXB3" s="120"/>
      <c r="VXC3" s="120"/>
      <c r="VXD3" s="120"/>
      <c r="VXE3" s="120"/>
      <c r="VXF3" s="120"/>
      <c r="VXG3" s="120"/>
      <c r="VXH3" s="120"/>
      <c r="VXI3" s="120"/>
      <c r="VXJ3" s="120"/>
      <c r="VXK3" s="120"/>
      <c r="VXL3" s="120"/>
      <c r="VXM3" s="120"/>
      <c r="VXN3" s="120"/>
      <c r="VXO3" s="120"/>
      <c r="VXP3" s="120"/>
      <c r="VXQ3" s="120"/>
      <c r="VXR3" s="120"/>
      <c r="VXS3" s="120"/>
      <c r="VXT3" s="120"/>
      <c r="VXU3" s="120"/>
      <c r="VXV3" s="120"/>
      <c r="VXW3" s="120"/>
      <c r="VXX3" s="120"/>
      <c r="VXY3" s="120"/>
      <c r="VXZ3" s="120"/>
      <c r="VYA3" s="120"/>
      <c r="VYB3" s="120"/>
      <c r="VYC3" s="120"/>
      <c r="VYD3" s="120"/>
      <c r="VYE3" s="120"/>
      <c r="VYF3" s="120"/>
      <c r="VYG3" s="120"/>
      <c r="VYH3" s="120"/>
      <c r="VYI3" s="120"/>
      <c r="VYJ3" s="120"/>
      <c r="VYK3" s="120"/>
      <c r="VYL3" s="120"/>
      <c r="VYM3" s="120"/>
      <c r="VYN3" s="120"/>
      <c r="VYO3" s="120"/>
      <c r="VYP3" s="120"/>
      <c r="VYQ3" s="120"/>
      <c r="VYR3" s="120"/>
      <c r="VYS3" s="120"/>
      <c r="VYT3" s="120"/>
      <c r="VYU3" s="120"/>
      <c r="VYV3" s="120"/>
      <c r="VYW3" s="120"/>
      <c r="VYX3" s="120"/>
      <c r="VYY3" s="120"/>
      <c r="VYZ3" s="120"/>
      <c r="VZA3" s="120"/>
      <c r="VZB3" s="120"/>
      <c r="VZC3" s="120"/>
      <c r="VZD3" s="120"/>
      <c r="VZE3" s="120"/>
      <c r="VZF3" s="120"/>
      <c r="VZG3" s="120"/>
      <c r="VZH3" s="120"/>
      <c r="VZI3" s="120"/>
      <c r="VZJ3" s="120"/>
      <c r="VZK3" s="120"/>
      <c r="VZL3" s="120"/>
      <c r="VZM3" s="120"/>
      <c r="VZN3" s="120"/>
      <c r="VZO3" s="120"/>
      <c r="VZP3" s="120"/>
      <c r="VZQ3" s="120"/>
      <c r="VZR3" s="120"/>
      <c r="VZS3" s="120"/>
      <c r="VZT3" s="120"/>
      <c r="VZU3" s="120"/>
      <c r="VZV3" s="120"/>
      <c r="VZW3" s="120"/>
      <c r="VZX3" s="120"/>
      <c r="VZY3" s="120"/>
      <c r="VZZ3" s="120"/>
      <c r="WAA3" s="120"/>
      <c r="WAB3" s="120"/>
      <c r="WAC3" s="120"/>
      <c r="WAD3" s="120"/>
      <c r="WAE3" s="120"/>
      <c r="WAF3" s="120"/>
      <c r="WAG3" s="120"/>
      <c r="WAH3" s="120"/>
      <c r="WAI3" s="120"/>
      <c r="WAJ3" s="120"/>
      <c r="WAK3" s="120"/>
      <c r="WAL3" s="120"/>
      <c r="WAM3" s="120"/>
      <c r="WAN3" s="120"/>
      <c r="WAO3" s="120"/>
      <c r="WAP3" s="120"/>
      <c r="WAQ3" s="120"/>
      <c r="WAR3" s="120"/>
      <c r="WAS3" s="120"/>
      <c r="WAT3" s="120"/>
      <c r="WAU3" s="120"/>
      <c r="WAV3" s="120"/>
      <c r="WAW3" s="120"/>
      <c r="WAX3" s="120"/>
      <c r="WAY3" s="120"/>
      <c r="WAZ3" s="120"/>
      <c r="WBA3" s="120"/>
      <c r="WBB3" s="120"/>
      <c r="WBC3" s="120"/>
      <c r="WBD3" s="120"/>
      <c r="WBE3" s="120"/>
      <c r="WBF3" s="120"/>
      <c r="WBG3" s="120"/>
      <c r="WBH3" s="120"/>
      <c r="WBI3" s="120"/>
      <c r="WBJ3" s="120"/>
      <c r="WBK3" s="120"/>
      <c r="WBL3" s="120"/>
      <c r="WBM3" s="120"/>
      <c r="WBN3" s="120"/>
      <c r="WBO3" s="120"/>
      <c r="WBP3" s="120"/>
      <c r="WBQ3" s="120"/>
      <c r="WBR3" s="120"/>
      <c r="WBS3" s="120"/>
      <c r="WBT3" s="120"/>
      <c r="WBU3" s="120"/>
      <c r="WBV3" s="120"/>
      <c r="WBW3" s="120"/>
      <c r="WBX3" s="120"/>
      <c r="WBY3" s="120"/>
      <c r="WBZ3" s="120"/>
      <c r="WCA3" s="120"/>
      <c r="WCB3" s="120"/>
      <c r="WCC3" s="120"/>
      <c r="WCD3" s="120"/>
      <c r="WCE3" s="120"/>
      <c r="WCF3" s="120"/>
      <c r="WCG3" s="120"/>
      <c r="WCH3" s="120"/>
      <c r="WCI3" s="120"/>
      <c r="WCJ3" s="120"/>
      <c r="WCK3" s="120"/>
      <c r="WCL3" s="120"/>
      <c r="WCM3" s="120"/>
      <c r="WCN3" s="120"/>
      <c r="WCO3" s="120"/>
      <c r="WCP3" s="120"/>
      <c r="WCQ3" s="120"/>
      <c r="WCR3" s="120"/>
      <c r="WCS3" s="120"/>
      <c r="WCT3" s="120"/>
      <c r="WCU3" s="120"/>
      <c r="WCV3" s="120"/>
      <c r="WCW3" s="120"/>
      <c r="WCX3" s="120"/>
      <c r="WCY3" s="120"/>
      <c r="WCZ3" s="120"/>
      <c r="WDA3" s="120"/>
      <c r="WDB3" s="120"/>
      <c r="WDC3" s="120"/>
      <c r="WDD3" s="120"/>
      <c r="WDE3" s="120"/>
      <c r="WDF3" s="120"/>
      <c r="WDG3" s="120"/>
      <c r="WDH3" s="120"/>
      <c r="WDI3" s="120"/>
      <c r="WDJ3" s="120"/>
      <c r="WDK3" s="120"/>
      <c r="WDL3" s="120"/>
      <c r="WDM3" s="120"/>
      <c r="WDN3" s="120"/>
      <c r="WDO3" s="120"/>
      <c r="WDP3" s="120"/>
      <c r="WDQ3" s="120"/>
      <c r="WDR3" s="120"/>
      <c r="WDS3" s="120"/>
      <c r="WDT3" s="120"/>
      <c r="WDU3" s="120"/>
      <c r="WDV3" s="120"/>
      <c r="WDW3" s="120"/>
      <c r="WDX3" s="120"/>
      <c r="WDY3" s="120"/>
      <c r="WDZ3" s="120"/>
      <c r="WEA3" s="120"/>
      <c r="WEB3" s="120"/>
      <c r="WEC3" s="120"/>
      <c r="WED3" s="120"/>
      <c r="WEE3" s="120"/>
      <c r="WEF3" s="120"/>
      <c r="WEG3" s="120"/>
      <c r="WEH3" s="120"/>
      <c r="WEI3" s="120"/>
      <c r="WEJ3" s="120"/>
      <c r="WEK3" s="120"/>
      <c r="WEL3" s="120"/>
      <c r="WEM3" s="120"/>
      <c r="WEN3" s="120"/>
      <c r="WEO3" s="120"/>
      <c r="WEP3" s="120"/>
      <c r="WEQ3" s="120"/>
      <c r="WER3" s="120"/>
      <c r="WES3" s="120"/>
      <c r="WET3" s="120"/>
      <c r="WEU3" s="120"/>
      <c r="WEV3" s="120"/>
      <c r="WEW3" s="120"/>
      <c r="WEX3" s="120"/>
      <c r="WEY3" s="120"/>
      <c r="WEZ3" s="120"/>
      <c r="WFA3" s="120"/>
      <c r="WFB3" s="120"/>
      <c r="WFC3" s="120"/>
      <c r="WFD3" s="120"/>
      <c r="WFE3" s="120"/>
      <c r="WFF3" s="120"/>
      <c r="WFG3" s="120"/>
      <c r="WFH3" s="120"/>
      <c r="WFI3" s="120"/>
      <c r="WFJ3" s="120"/>
      <c r="WFK3" s="120"/>
      <c r="WFL3" s="120"/>
      <c r="WFM3" s="120"/>
      <c r="WFN3" s="120"/>
      <c r="WFO3" s="120"/>
      <c r="WFP3" s="120"/>
      <c r="WFQ3" s="120"/>
      <c r="WFR3" s="120"/>
      <c r="WFS3" s="120"/>
      <c r="WFT3" s="120"/>
      <c r="WFU3" s="120"/>
      <c r="WFV3" s="120"/>
      <c r="WFW3" s="120"/>
      <c r="WFX3" s="120"/>
      <c r="WFY3" s="120"/>
      <c r="WFZ3" s="120"/>
      <c r="WGA3" s="120"/>
      <c r="WGB3" s="120"/>
      <c r="WGC3" s="120"/>
      <c r="WGD3" s="120"/>
      <c r="WGE3" s="120"/>
      <c r="WGF3" s="120"/>
      <c r="WGG3" s="120"/>
      <c r="WGH3" s="120"/>
      <c r="WGI3" s="120"/>
      <c r="WGJ3" s="120"/>
      <c r="WGK3" s="120"/>
      <c r="WGL3" s="120"/>
      <c r="WGM3" s="120"/>
      <c r="WGN3" s="120"/>
      <c r="WGO3" s="120"/>
      <c r="WGP3" s="120"/>
      <c r="WGQ3" s="120"/>
      <c r="WGR3" s="120"/>
      <c r="WGS3" s="120"/>
      <c r="WGT3" s="120"/>
      <c r="WGU3" s="120"/>
      <c r="WGV3" s="120"/>
      <c r="WGW3" s="120"/>
      <c r="WGX3" s="120"/>
      <c r="WGY3" s="120"/>
      <c r="WGZ3" s="120"/>
      <c r="WHA3" s="120"/>
      <c r="WHB3" s="120"/>
      <c r="WHC3" s="120"/>
      <c r="WHD3" s="120"/>
      <c r="WHE3" s="120"/>
      <c r="WHF3" s="120"/>
      <c r="WHG3" s="120"/>
      <c r="WHH3" s="120"/>
      <c r="WHI3" s="120"/>
      <c r="WHJ3" s="120"/>
      <c r="WHK3" s="120"/>
      <c r="WHL3" s="120"/>
      <c r="WHM3" s="120"/>
      <c r="WHN3" s="120"/>
      <c r="WHO3" s="120"/>
      <c r="WHP3" s="120"/>
      <c r="WHQ3" s="120"/>
      <c r="WHR3" s="120"/>
      <c r="WHS3" s="120"/>
      <c r="WHT3" s="120"/>
      <c r="WHU3" s="120"/>
      <c r="WHV3" s="120"/>
      <c r="WHW3" s="120"/>
      <c r="WHX3" s="120"/>
      <c r="WHY3" s="120"/>
      <c r="WHZ3" s="120"/>
      <c r="WIA3" s="120"/>
      <c r="WIB3" s="120"/>
      <c r="WIC3" s="120"/>
      <c r="WID3" s="120"/>
      <c r="WIE3" s="120"/>
      <c r="WIF3" s="120"/>
      <c r="WIG3" s="120"/>
      <c r="WIH3" s="120"/>
      <c r="WII3" s="120"/>
      <c r="WIJ3" s="120"/>
      <c r="WIK3" s="120"/>
      <c r="WIL3" s="120"/>
      <c r="WIM3" s="120"/>
      <c r="WIN3" s="120"/>
      <c r="WIO3" s="120"/>
      <c r="WIP3" s="120"/>
      <c r="WIQ3" s="120"/>
      <c r="WIR3" s="120"/>
      <c r="WIS3" s="120"/>
      <c r="WIT3" s="120"/>
      <c r="WIU3" s="120"/>
      <c r="WIV3" s="120"/>
      <c r="WIW3" s="120"/>
      <c r="WIX3" s="120"/>
      <c r="WIY3" s="120"/>
      <c r="WIZ3" s="120"/>
      <c r="WJA3" s="120"/>
      <c r="WJB3" s="120"/>
      <c r="WJC3" s="120"/>
      <c r="WJD3" s="120"/>
      <c r="WJE3" s="120"/>
      <c r="WJF3" s="120"/>
      <c r="WJG3" s="120"/>
      <c r="WJH3" s="120"/>
      <c r="WJI3" s="120"/>
      <c r="WJJ3" s="120"/>
      <c r="WJK3" s="120"/>
      <c r="WJL3" s="120"/>
      <c r="WJM3" s="120"/>
      <c r="WJN3" s="120"/>
      <c r="WJO3" s="120"/>
      <c r="WJP3" s="120"/>
      <c r="WJQ3" s="120"/>
      <c r="WJR3" s="120"/>
      <c r="WJS3" s="120"/>
      <c r="WJT3" s="120"/>
      <c r="WJU3" s="120"/>
      <c r="WJV3" s="120"/>
      <c r="WJW3" s="120"/>
      <c r="WJX3" s="120"/>
      <c r="WJY3" s="120"/>
      <c r="WJZ3" s="120"/>
      <c r="WKA3" s="120"/>
      <c r="WKB3" s="120"/>
      <c r="WKC3" s="120"/>
      <c r="WKD3" s="120"/>
      <c r="WKE3" s="120"/>
      <c r="WKF3" s="120"/>
      <c r="WKG3" s="120"/>
      <c r="WKH3" s="120"/>
      <c r="WKI3" s="120"/>
      <c r="WKJ3" s="120"/>
      <c r="WKK3" s="120"/>
      <c r="WKL3" s="120"/>
      <c r="WKM3" s="120"/>
      <c r="WKN3" s="120"/>
      <c r="WKO3" s="120"/>
      <c r="WKP3" s="120"/>
      <c r="WKQ3" s="120"/>
      <c r="WKR3" s="120"/>
      <c r="WKS3" s="120"/>
      <c r="WKT3" s="120"/>
      <c r="WKU3" s="120"/>
      <c r="WKV3" s="120"/>
      <c r="WKW3" s="120"/>
      <c r="WKX3" s="120"/>
      <c r="WKY3" s="120"/>
      <c r="WKZ3" s="120"/>
      <c r="WLA3" s="120"/>
      <c r="WLB3" s="120"/>
      <c r="WLC3" s="120"/>
      <c r="WLD3" s="120"/>
      <c r="WLE3" s="120"/>
      <c r="WLF3" s="120"/>
      <c r="WLG3" s="120"/>
      <c r="WLH3" s="120"/>
      <c r="WLI3" s="120"/>
      <c r="WLJ3" s="120"/>
      <c r="WLK3" s="120"/>
      <c r="WLL3" s="120"/>
      <c r="WLM3" s="120"/>
      <c r="WLN3" s="120"/>
      <c r="WLO3" s="120"/>
      <c r="WLP3" s="120"/>
      <c r="WLQ3" s="120"/>
      <c r="WLR3" s="120"/>
      <c r="WLS3" s="120"/>
      <c r="WLT3" s="120"/>
      <c r="WLU3" s="120"/>
      <c r="WLV3" s="120"/>
      <c r="WLW3" s="120"/>
      <c r="WLX3" s="120"/>
      <c r="WLY3" s="120"/>
      <c r="WLZ3" s="120"/>
      <c r="WMA3" s="120"/>
      <c r="WMB3" s="120"/>
      <c r="WMC3" s="120"/>
      <c r="WMD3" s="120"/>
      <c r="WME3" s="120"/>
      <c r="WMF3" s="120"/>
      <c r="WMG3" s="120"/>
      <c r="WMH3" s="120"/>
      <c r="WMI3" s="120"/>
      <c r="WMJ3" s="120"/>
      <c r="WMK3" s="120"/>
      <c r="WML3" s="120"/>
      <c r="WMM3" s="120"/>
      <c r="WMN3" s="120"/>
      <c r="WMO3" s="120"/>
      <c r="WMP3" s="120"/>
      <c r="WMQ3" s="120"/>
      <c r="WMR3" s="120"/>
      <c r="WMS3" s="120"/>
      <c r="WMT3" s="120"/>
      <c r="WMU3" s="120"/>
      <c r="WMV3" s="120"/>
      <c r="WMW3" s="120"/>
      <c r="WMX3" s="120"/>
      <c r="WMY3" s="120"/>
      <c r="WMZ3" s="120"/>
      <c r="WNA3" s="120"/>
      <c r="WNB3" s="120"/>
      <c r="WNC3" s="120"/>
      <c r="WND3" s="120"/>
      <c r="WNE3" s="120"/>
      <c r="WNF3" s="120"/>
      <c r="WNG3" s="120"/>
      <c r="WNH3" s="120"/>
      <c r="WNI3" s="120"/>
      <c r="WNJ3" s="120"/>
      <c r="WNK3" s="120"/>
      <c r="WNL3" s="120"/>
      <c r="WNM3" s="120"/>
      <c r="WNN3" s="120"/>
      <c r="WNO3" s="120"/>
      <c r="WNP3" s="120"/>
      <c r="WNQ3" s="120"/>
      <c r="WNR3" s="120"/>
      <c r="WNS3" s="120"/>
      <c r="WNT3" s="120"/>
      <c r="WNU3" s="120"/>
      <c r="WNV3" s="120"/>
      <c r="WNW3" s="120"/>
      <c r="WNX3" s="120"/>
      <c r="WNY3" s="120"/>
      <c r="WNZ3" s="120"/>
      <c r="WOA3" s="120"/>
      <c r="WOB3" s="120"/>
      <c r="WOC3" s="120"/>
      <c r="WOD3" s="120"/>
      <c r="WOE3" s="120"/>
      <c r="WOF3" s="120"/>
      <c r="WOG3" s="120"/>
      <c r="WOH3" s="120"/>
      <c r="WOI3" s="120"/>
      <c r="WOJ3" s="120"/>
      <c r="WOK3" s="120"/>
      <c r="WOL3" s="120"/>
      <c r="WOM3" s="120"/>
      <c r="WON3" s="120"/>
      <c r="WOO3" s="120"/>
      <c r="WOP3" s="120"/>
      <c r="WOQ3" s="120"/>
      <c r="WOR3" s="120"/>
      <c r="WOS3" s="120"/>
      <c r="WOT3" s="120"/>
      <c r="WOU3" s="120"/>
      <c r="WOV3" s="120"/>
      <c r="WOW3" s="120"/>
      <c r="WOX3" s="120"/>
      <c r="WOY3" s="120"/>
      <c r="WOZ3" s="120"/>
      <c r="WPA3" s="120"/>
      <c r="WPB3" s="120"/>
      <c r="WPC3" s="120"/>
      <c r="WPD3" s="120"/>
      <c r="WPE3" s="120"/>
      <c r="WPF3" s="120"/>
      <c r="WPG3" s="120"/>
      <c r="WPH3" s="120"/>
      <c r="WPI3" s="120"/>
      <c r="WPJ3" s="120"/>
      <c r="WPK3" s="120"/>
      <c r="WPL3" s="120"/>
      <c r="WPM3" s="120"/>
      <c r="WPN3" s="120"/>
      <c r="WPO3" s="120"/>
      <c r="WPP3" s="120"/>
      <c r="WPQ3" s="120"/>
      <c r="WPR3" s="120"/>
      <c r="WPS3" s="120"/>
      <c r="WPT3" s="120"/>
      <c r="WPU3" s="120"/>
      <c r="WPV3" s="120"/>
      <c r="WPW3" s="120"/>
      <c r="WPX3" s="120"/>
      <c r="WPY3" s="120"/>
      <c r="WPZ3" s="120"/>
      <c r="WQA3" s="120"/>
      <c r="WQB3" s="120"/>
      <c r="WQC3" s="120"/>
      <c r="WQD3" s="120"/>
      <c r="WQE3" s="120"/>
      <c r="WQF3" s="120"/>
      <c r="WQG3" s="120"/>
      <c r="WQH3" s="120"/>
      <c r="WQI3" s="120"/>
      <c r="WQJ3" s="120"/>
      <c r="WQK3" s="120"/>
      <c r="WQL3" s="120"/>
      <c r="WQM3" s="120"/>
      <c r="WQN3" s="120"/>
      <c r="WQO3" s="120"/>
      <c r="WQP3" s="120"/>
      <c r="WQQ3" s="120"/>
      <c r="WQR3" s="120"/>
      <c r="WQS3" s="120"/>
      <c r="WQT3" s="120"/>
      <c r="WQU3" s="120"/>
      <c r="WQV3" s="120"/>
      <c r="WQW3" s="120"/>
      <c r="WQX3" s="120"/>
      <c r="WQY3" s="120"/>
      <c r="WQZ3" s="120"/>
      <c r="WRA3" s="120"/>
      <c r="WRB3" s="120"/>
      <c r="WRC3" s="120"/>
      <c r="WRD3" s="120"/>
      <c r="WRE3" s="120"/>
      <c r="WRF3" s="120"/>
      <c r="WRG3" s="120"/>
      <c r="WRH3" s="120"/>
      <c r="WRI3" s="120"/>
      <c r="WRJ3" s="120"/>
      <c r="WRK3" s="120"/>
      <c r="WRL3" s="120"/>
      <c r="WRM3" s="120"/>
      <c r="WRN3" s="120"/>
      <c r="WRO3" s="120"/>
      <c r="WRP3" s="120"/>
      <c r="WRQ3" s="120"/>
      <c r="WRR3" s="120"/>
      <c r="WRS3" s="120"/>
      <c r="WRT3" s="120"/>
      <c r="WRU3" s="120"/>
      <c r="WRV3" s="120"/>
      <c r="WRW3" s="120"/>
      <c r="WRX3" s="120"/>
      <c r="WRY3" s="120"/>
      <c r="WRZ3" s="120"/>
      <c r="WSA3" s="120"/>
      <c r="WSB3" s="120"/>
      <c r="WSC3" s="120"/>
      <c r="WSD3" s="120"/>
      <c r="WSE3" s="120"/>
      <c r="WSF3" s="120"/>
      <c r="WSG3" s="120"/>
      <c r="WSH3" s="120"/>
      <c r="WSI3" s="120"/>
      <c r="WSJ3" s="120"/>
      <c r="WSK3" s="120"/>
      <c r="WSL3" s="120"/>
      <c r="WSM3" s="120"/>
      <c r="WSN3" s="120"/>
      <c r="WSO3" s="120"/>
      <c r="WSP3" s="120"/>
      <c r="WSQ3" s="120"/>
      <c r="WSR3" s="120"/>
      <c r="WSS3" s="120"/>
      <c r="WST3" s="120"/>
      <c r="WSU3" s="120"/>
      <c r="WSV3" s="120"/>
      <c r="WSW3" s="120"/>
      <c r="WSX3" s="120"/>
      <c r="WSY3" s="120"/>
      <c r="WSZ3" s="120"/>
      <c r="WTA3" s="120"/>
      <c r="WTB3" s="120"/>
      <c r="WTC3" s="120"/>
      <c r="WTD3" s="120"/>
      <c r="WTE3" s="120"/>
      <c r="WTF3" s="120"/>
      <c r="WTG3" s="120"/>
      <c r="WTH3" s="120"/>
      <c r="WTI3" s="120"/>
      <c r="WTJ3" s="120"/>
      <c r="WTK3" s="120"/>
      <c r="WTL3" s="120"/>
      <c r="WTM3" s="120"/>
      <c r="WTN3" s="120"/>
      <c r="WTO3" s="120"/>
      <c r="WTP3" s="120"/>
      <c r="WTQ3" s="120"/>
      <c r="WTR3" s="120"/>
      <c r="WTS3" s="120"/>
      <c r="WTT3" s="120"/>
      <c r="WTU3" s="120"/>
      <c r="WTV3" s="120"/>
      <c r="WTW3" s="120"/>
      <c r="WTX3" s="120"/>
      <c r="WTY3" s="120"/>
      <c r="WTZ3" s="120"/>
      <c r="WUA3" s="120"/>
      <c r="WUB3" s="120"/>
      <c r="WUC3" s="120"/>
      <c r="WUD3" s="120"/>
      <c r="WUE3" s="120"/>
      <c r="WUF3" s="120"/>
      <c r="WUG3" s="120"/>
      <c r="WUH3" s="120"/>
      <c r="WUI3" s="120"/>
      <c r="WUJ3" s="120"/>
      <c r="WUK3" s="120"/>
      <c r="WUL3" s="120"/>
      <c r="WUM3" s="120"/>
      <c r="WUN3" s="120"/>
      <c r="WUO3" s="120"/>
      <c r="WUP3" s="120"/>
      <c r="WUQ3" s="120"/>
      <c r="WUR3" s="120"/>
      <c r="WUS3" s="120"/>
      <c r="WUT3" s="120"/>
      <c r="WUU3" s="120"/>
      <c r="WUV3" s="120"/>
      <c r="WUW3" s="120"/>
      <c r="WUX3" s="120"/>
      <c r="WUY3" s="120"/>
      <c r="WUZ3" s="120"/>
      <c r="WVA3" s="120"/>
      <c r="WVB3" s="120"/>
      <c r="WVC3" s="120"/>
      <c r="WVD3" s="120"/>
      <c r="WVE3" s="120"/>
      <c r="WVF3" s="120"/>
      <c r="WVG3" s="120"/>
      <c r="WVH3" s="120"/>
      <c r="WVI3" s="120"/>
      <c r="WVJ3" s="120"/>
      <c r="WVK3" s="120"/>
      <c r="WVL3" s="120"/>
      <c r="WVM3" s="120"/>
      <c r="WVN3" s="120"/>
      <c r="WVO3" s="120"/>
      <c r="WVP3" s="120"/>
      <c r="WVQ3" s="120"/>
      <c r="WVR3" s="120"/>
      <c r="WVS3" s="120"/>
      <c r="WVT3" s="120"/>
      <c r="WVU3" s="120"/>
      <c r="WVV3" s="120"/>
      <c r="WVW3" s="120"/>
      <c r="WVX3" s="120"/>
      <c r="WVY3" s="120"/>
      <c r="WVZ3" s="120"/>
      <c r="WWA3" s="120"/>
      <c r="WWB3" s="120"/>
      <c r="WWC3" s="120"/>
      <c r="WWD3" s="120"/>
      <c r="WWE3" s="120"/>
      <c r="WWF3" s="120"/>
      <c r="WWG3" s="120"/>
      <c r="WWH3" s="120"/>
      <c r="WWI3" s="120"/>
      <c r="WWJ3" s="120"/>
      <c r="WWK3" s="120"/>
      <c r="WWL3" s="120"/>
      <c r="WWM3" s="120"/>
      <c r="WWN3" s="120"/>
      <c r="WWO3" s="120"/>
      <c r="WWP3" s="120"/>
      <c r="WWQ3" s="120"/>
      <c r="WWR3" s="120"/>
      <c r="WWS3" s="120"/>
      <c r="WWT3" s="120"/>
      <c r="WWU3" s="120"/>
      <c r="WWV3" s="120"/>
      <c r="WWW3" s="120"/>
      <c r="WWX3" s="120"/>
      <c r="WWY3" s="120"/>
      <c r="WWZ3" s="120"/>
      <c r="WXA3" s="120"/>
      <c r="WXB3" s="120"/>
      <c r="WXC3" s="120"/>
      <c r="WXD3" s="120"/>
      <c r="WXE3" s="120"/>
      <c r="WXF3" s="120"/>
      <c r="WXG3" s="120"/>
      <c r="WXH3" s="120"/>
      <c r="WXI3" s="120"/>
      <c r="WXJ3" s="120"/>
      <c r="WXK3" s="120"/>
      <c r="WXL3" s="120"/>
      <c r="WXM3" s="120"/>
      <c r="WXN3" s="120"/>
      <c r="WXO3" s="120"/>
      <c r="WXP3" s="120"/>
      <c r="WXQ3" s="120"/>
      <c r="WXR3" s="120"/>
      <c r="WXS3" s="120"/>
      <c r="WXT3" s="120"/>
      <c r="WXU3" s="120"/>
      <c r="WXV3" s="120"/>
      <c r="WXW3" s="120"/>
      <c r="WXX3" s="120"/>
      <c r="WXY3" s="120"/>
      <c r="WXZ3" s="120"/>
      <c r="WYA3" s="120"/>
      <c r="WYB3" s="120"/>
      <c r="WYC3" s="120"/>
      <c r="WYD3" s="120"/>
      <c r="WYE3" s="120"/>
      <c r="WYF3" s="120"/>
      <c r="WYG3" s="120"/>
      <c r="WYH3" s="120"/>
      <c r="WYI3" s="120"/>
      <c r="WYJ3" s="120"/>
      <c r="WYK3" s="120"/>
      <c r="WYL3" s="120"/>
      <c r="WYM3" s="120"/>
      <c r="WYN3" s="120"/>
      <c r="WYO3" s="120"/>
      <c r="WYP3" s="120"/>
      <c r="WYQ3" s="120"/>
      <c r="WYR3" s="120"/>
      <c r="WYS3" s="120"/>
      <c r="WYT3" s="120"/>
      <c r="WYU3" s="120"/>
      <c r="WYV3" s="120"/>
      <c r="WYW3" s="120"/>
      <c r="WYX3" s="120"/>
      <c r="WYY3" s="120"/>
      <c r="WYZ3" s="120"/>
      <c r="WZA3" s="120"/>
      <c r="WZB3" s="120"/>
      <c r="WZC3" s="120"/>
      <c r="WZD3" s="120"/>
      <c r="WZE3" s="120"/>
      <c r="WZF3" s="120"/>
      <c r="WZG3" s="120"/>
      <c r="WZH3" s="120"/>
      <c r="WZI3" s="120"/>
      <c r="WZJ3" s="120"/>
      <c r="WZK3" s="120"/>
      <c r="WZL3" s="120"/>
      <c r="WZM3" s="120"/>
      <c r="WZN3" s="120"/>
      <c r="WZO3" s="120"/>
      <c r="WZP3" s="120"/>
      <c r="WZQ3" s="120"/>
      <c r="WZR3" s="120"/>
      <c r="WZS3" s="120"/>
      <c r="WZT3" s="120"/>
      <c r="WZU3" s="120"/>
      <c r="WZV3" s="120"/>
      <c r="WZW3" s="120"/>
      <c r="WZX3" s="120"/>
      <c r="WZY3" s="120"/>
      <c r="WZZ3" s="120"/>
      <c r="XAA3" s="120"/>
      <c r="XAB3" s="120"/>
      <c r="XAC3" s="120"/>
      <c r="XAD3" s="120"/>
      <c r="XAE3" s="120"/>
      <c r="XAF3" s="120"/>
      <c r="XAG3" s="120"/>
      <c r="XAH3" s="120"/>
      <c r="XAI3" s="120"/>
      <c r="XAJ3" s="120"/>
      <c r="XAK3" s="120"/>
      <c r="XAL3" s="120"/>
      <c r="XAM3" s="120"/>
      <c r="XAN3" s="120"/>
      <c r="XAO3" s="120"/>
      <c r="XAP3" s="120"/>
      <c r="XAQ3" s="120"/>
      <c r="XAR3" s="120"/>
      <c r="XAS3" s="120"/>
      <c r="XAT3" s="120"/>
      <c r="XAU3" s="120"/>
      <c r="XAV3" s="120"/>
      <c r="XAW3" s="120"/>
      <c r="XAX3" s="120"/>
      <c r="XAY3" s="120"/>
      <c r="XAZ3" s="120"/>
      <c r="XBA3" s="120"/>
      <c r="XBB3" s="120"/>
      <c r="XBC3" s="120"/>
      <c r="XBD3" s="120"/>
      <c r="XBE3" s="120"/>
      <c r="XBF3" s="120"/>
      <c r="XBG3" s="120"/>
      <c r="XBH3" s="120"/>
      <c r="XBI3" s="120"/>
      <c r="XBJ3" s="120"/>
      <c r="XBK3" s="120"/>
      <c r="XBL3" s="120"/>
      <c r="XBM3" s="120"/>
      <c r="XBN3" s="120"/>
      <c r="XBO3" s="120"/>
      <c r="XBP3" s="120"/>
      <c r="XBQ3" s="120"/>
      <c r="XBR3" s="120"/>
      <c r="XBS3" s="120"/>
      <c r="XBT3" s="120"/>
      <c r="XBU3" s="120"/>
      <c r="XBV3" s="120"/>
      <c r="XBW3" s="120"/>
      <c r="XBX3" s="120"/>
      <c r="XBY3" s="120"/>
      <c r="XBZ3" s="120"/>
      <c r="XCA3" s="120"/>
      <c r="XCB3" s="120"/>
      <c r="XCC3" s="120"/>
      <c r="XCD3" s="120"/>
      <c r="XCE3" s="120"/>
      <c r="XCF3" s="120"/>
      <c r="XCG3" s="120"/>
      <c r="XCH3" s="120"/>
      <c r="XCI3" s="120"/>
      <c r="XCJ3" s="120"/>
      <c r="XCK3" s="120"/>
      <c r="XCL3" s="120"/>
      <c r="XCM3" s="120"/>
      <c r="XCN3" s="120"/>
      <c r="XCO3" s="120"/>
      <c r="XCP3" s="120"/>
      <c r="XCQ3" s="120"/>
      <c r="XCR3" s="120"/>
      <c r="XCS3" s="120"/>
      <c r="XCT3" s="120"/>
      <c r="XCU3" s="120"/>
      <c r="XCV3" s="120"/>
      <c r="XCW3" s="120"/>
      <c r="XCX3" s="120"/>
      <c r="XCY3" s="120"/>
      <c r="XCZ3" s="120"/>
      <c r="XDA3" s="120"/>
      <c r="XDB3" s="120"/>
      <c r="XDC3" s="120"/>
      <c r="XDD3" s="120"/>
      <c r="XDE3" s="120"/>
      <c r="XDF3" s="120"/>
      <c r="XDG3" s="120"/>
      <c r="XDH3" s="120"/>
      <c r="XDI3" s="120"/>
      <c r="XDJ3" s="120"/>
      <c r="XDK3" s="120"/>
      <c r="XDL3" s="120"/>
      <c r="XDM3" s="120"/>
      <c r="XDN3" s="120"/>
      <c r="XDO3" s="120"/>
      <c r="XDP3" s="120"/>
      <c r="XDQ3" s="120"/>
      <c r="XDR3" s="120"/>
      <c r="XDS3" s="120"/>
      <c r="XDT3" s="120"/>
      <c r="XDU3" s="120"/>
      <c r="XDV3" s="120"/>
      <c r="XDW3" s="120"/>
      <c r="XDX3" s="120"/>
      <c r="XDY3" s="120"/>
      <c r="XDZ3" s="120"/>
      <c r="XEA3" s="120"/>
      <c r="XEB3" s="120"/>
      <c r="XEC3" s="120"/>
      <c r="XED3" s="120"/>
      <c r="XEE3" s="120"/>
      <c r="XEF3" s="120"/>
      <c r="XEG3" s="120"/>
      <c r="XEH3" s="120"/>
      <c r="XEI3" s="120"/>
      <c r="XEJ3" s="120"/>
      <c r="XEK3" s="120"/>
      <c r="XEL3" s="120"/>
      <c r="XEM3" s="120"/>
      <c r="XEN3" s="120"/>
      <c r="XEO3" s="120"/>
      <c r="XEP3" s="120"/>
      <c r="XEQ3" s="120"/>
      <c r="XER3" s="120"/>
      <c r="XES3" s="120"/>
      <c r="XET3" s="120"/>
      <c r="XEU3" s="120"/>
      <c r="XEV3" s="120"/>
      <c r="XEW3" s="120"/>
      <c r="XEX3" s="120"/>
      <c r="XEY3" s="120"/>
      <c r="XEZ3" s="120"/>
      <c r="XFA3" s="120"/>
      <c r="XFB3" s="120"/>
      <c r="XFC3" s="120"/>
      <c r="XFD3" s="120"/>
    </row>
    <row r="4" spans="1:16384" ht="15" customHeight="1" thickBot="1">
      <c r="D4" s="47"/>
      <c r="E4" s="47"/>
      <c r="F4" s="47"/>
      <c r="G4" s="47"/>
      <c r="H4" s="47"/>
      <c r="N4" s="47"/>
      <c r="O4" s="47"/>
      <c r="P4" s="47"/>
    </row>
    <row r="5" spans="1:16384" ht="30" customHeight="1" thickTop="1">
      <c r="C5" s="34" t="s">
        <v>25</v>
      </c>
      <c r="D5" s="34" t="s">
        <v>30</v>
      </c>
      <c r="E5" s="34" t="s">
        <v>31</v>
      </c>
      <c r="F5" s="34" t="s">
        <v>32</v>
      </c>
      <c r="G5" s="34" t="s">
        <v>33</v>
      </c>
      <c r="H5" s="34" t="s">
        <v>34</v>
      </c>
      <c r="J5" s="34" t="s">
        <v>70</v>
      </c>
      <c r="K5" s="34" t="s">
        <v>71</v>
      </c>
      <c r="L5" s="34" t="s">
        <v>37</v>
      </c>
      <c r="M5" s="34" t="s">
        <v>38</v>
      </c>
      <c r="N5" s="34" t="s">
        <v>39</v>
      </c>
      <c r="O5" s="34" t="s">
        <v>102</v>
      </c>
      <c r="P5" s="34" t="s">
        <v>40</v>
      </c>
      <c r="Q5" s="34" t="s">
        <v>41</v>
      </c>
      <c r="R5" s="34" t="s">
        <v>42</v>
      </c>
      <c r="S5" s="34" t="s">
        <v>64</v>
      </c>
    </row>
    <row r="6" spans="1:16384" ht="30" customHeight="1">
      <c r="A6" s="52">
        <f>IFERROR(L6+I6,0)</f>
        <v>30.500001000000001</v>
      </c>
      <c r="B6" s="60">
        <f>IFERROR(H6+I6,0)</f>
        <v>19.500001000000001</v>
      </c>
      <c r="C6" s="96" t="str">
        <f>IF(CAD_PROD!C6="","",CAD_PROD!C6)</f>
        <v>Produto 1</v>
      </c>
      <c r="D6" s="69">
        <v>9</v>
      </c>
      <c r="E6" s="56">
        <v>0.1</v>
      </c>
      <c r="F6" s="56">
        <v>0.01</v>
      </c>
      <c r="G6" s="69">
        <v>5</v>
      </c>
      <c r="H6" s="75">
        <f>IF(C6="","",D6+CAD_PROD!D6*(E6+F6)+G6)</f>
        <v>19.5</v>
      </c>
      <c r="I6" s="52">
        <v>9.9999999999999995E-7</v>
      </c>
      <c r="J6" s="68">
        <f>IF(ISERROR(
CAD_PROD!F6*E6),"",CAD_PROD!F6*E6)</f>
        <v>50</v>
      </c>
      <c r="K6" s="68">
        <f>IF(ISERROR(
CAD_PROD!F6*F6),"",CAD_PROD!F6*F6)</f>
        <v>5</v>
      </c>
      <c r="L6" s="68">
        <f>IF(ISERROR(
CAD_PROD!D6-H6),"",CAD_PROD!D6-H6)</f>
        <v>30.5</v>
      </c>
      <c r="M6" s="57">
        <f>IF(ISERROR(
L6/CAD_PROD!D6),"",L6/CAD_PROD!D6)</f>
        <v>0.61</v>
      </c>
      <c r="N6" s="68">
        <f>IF(ISERROR((P6*CAD_PROD!D6)),"",(P6*CAD_PROD!D6))</f>
        <v>450</v>
      </c>
      <c r="O6" s="68">
        <f>IF(ISERROR(PE_GERAL!$J$7*CAD_PROD!G6),"",PE_GERAL!$J$7*CAD_PROD!G6)</f>
        <v>263.15789473684208</v>
      </c>
      <c r="P6" s="101">
        <f>IF(ISERROR(ROUNDUP(O6/L6,0)),"",ROUNDUP(O6/L6,0))</f>
        <v>9</v>
      </c>
      <c r="Q6" s="68">
        <f>IF(C6="","",IF(ISERROR(
CAD_PROD!E6*G6),"",CAD_PROD!E6*G6))</f>
        <v>50</v>
      </c>
      <c r="R6" s="68">
        <f>IF(C6="","",IF(ISERROR(
CAD_PROD!E6*D6),"",CAD_PROD!E6*D6))</f>
        <v>90</v>
      </c>
      <c r="S6" s="44" t="str">
        <f>IF(C6="","",IF(CAD_PROD!E6&gt;=P6,"Sim","Não"))</f>
        <v>Sim</v>
      </c>
    </row>
    <row r="7" spans="1:16384" ht="30" customHeight="1">
      <c r="A7" s="52">
        <f t="shared" ref="A7:A70" si="0">IFERROR(L7+I7,0)</f>
        <v>32.200001</v>
      </c>
      <c r="B7" s="52">
        <f t="shared" ref="B7:B70" si="1">IFERROR(H7+I7,0)</f>
        <v>27.800001000000002</v>
      </c>
      <c r="C7" s="96" t="str">
        <f>IF(CAD_PROD!C7="","",CAD_PROD!C7)</f>
        <v>Produto 2</v>
      </c>
      <c r="D7" s="69">
        <v>10</v>
      </c>
      <c r="E7" s="56">
        <v>0.11</v>
      </c>
      <c r="F7" s="56">
        <v>0.02</v>
      </c>
      <c r="G7" s="69">
        <v>10</v>
      </c>
      <c r="H7" s="75">
        <f>IF(C7="","",D7+CAD_PROD!D7*(E7+F7)+G7)</f>
        <v>27.8</v>
      </c>
      <c r="I7" s="52">
        <v>9.9999999999999995E-7</v>
      </c>
      <c r="J7" s="68">
        <f>IF(ISERROR(
CAD_PROD!F7*E7),"",CAD_PROD!F7*E7)</f>
        <v>594</v>
      </c>
      <c r="K7" s="68">
        <f>IF(ISERROR(
CAD_PROD!F7*F7),"",CAD_PROD!F7*F7)</f>
        <v>108</v>
      </c>
      <c r="L7" s="68">
        <f>IF(ISERROR(
CAD_PROD!D7-H7),"",CAD_PROD!D7-H7)</f>
        <v>32.200000000000003</v>
      </c>
      <c r="M7" s="57">
        <f>IF(ISERROR(
L7/CAD_PROD!D7),"",L7/CAD_PROD!D7)</f>
        <v>0.53666666666666674</v>
      </c>
      <c r="N7" s="68">
        <f>IF(ISERROR(
(P7*CAD_PROD!D7)),"",(P7*CAD_PROD!D7))</f>
        <v>5340</v>
      </c>
      <c r="O7" s="68">
        <f>IF(ISERROR(PE_GERAL!$J$7*CAD_PROD!G7),"",PE_GERAL!$J$7*CAD_PROD!G7)</f>
        <v>2842.105263157895</v>
      </c>
      <c r="P7" s="101">
        <f t="shared" ref="P7:P70" si="2">IF(ISERROR(ROUNDUP(O7/L7,0)),"",ROUNDUP(O7/L7,0))</f>
        <v>89</v>
      </c>
      <c r="Q7" s="68">
        <f>IF(C7="","",IF(ISERROR(
CAD_PROD!E7*G7),"",CAD_PROD!E7*G7))</f>
        <v>900</v>
      </c>
      <c r="R7" s="68">
        <f>IF(C7="","",IF(ISERROR(
CAD_PROD!E7*D7),"",CAD_PROD!E7*D7))</f>
        <v>900</v>
      </c>
      <c r="S7" s="44" t="str">
        <f>IF(C7="","",IF(CAD_PROD!E7&gt;=P7,"Sim","Não"))</f>
        <v>Sim</v>
      </c>
    </row>
    <row r="8" spans="1:16384" ht="30" customHeight="1">
      <c r="A8" s="52">
        <f t="shared" si="0"/>
        <v>33.500000999999997</v>
      </c>
      <c r="B8" s="52">
        <f t="shared" si="1"/>
        <v>36.500000999999997</v>
      </c>
      <c r="C8" s="96" t="str">
        <f>IF(CAD_PROD!C8="","",CAD_PROD!C8)</f>
        <v>Produto 3</v>
      </c>
      <c r="D8" s="75">
        <v>11</v>
      </c>
      <c r="E8" s="125">
        <v>0.12</v>
      </c>
      <c r="F8" s="125">
        <v>0.03</v>
      </c>
      <c r="G8" s="75">
        <v>15</v>
      </c>
      <c r="H8" s="75">
        <f>IF(C8="","",D8+CAD_PROD!D8*(E8+F8)+G8)</f>
        <v>36.5</v>
      </c>
      <c r="I8" s="52">
        <v>9.9999999999999995E-7</v>
      </c>
      <c r="J8" s="68">
        <f>IF(ISERROR(
CAD_PROD!F8*E8),"",CAD_PROD!F8*E8)</f>
        <v>252</v>
      </c>
      <c r="K8" s="68">
        <f>IF(ISERROR(
CAD_PROD!F8*F8),"",CAD_PROD!F8*F8)</f>
        <v>63</v>
      </c>
      <c r="L8" s="68">
        <f>IF(ISERROR(
CAD_PROD!D8-H8),"",CAD_PROD!D8-H8)</f>
        <v>33.5</v>
      </c>
      <c r="M8" s="57">
        <f>IF(ISERROR(
L8/CAD_PROD!D8),"",L8/CAD_PROD!D8)</f>
        <v>0.47857142857142859</v>
      </c>
      <c r="N8" s="68">
        <f>IF(ISERROR(
(P8*CAD_PROD!D8)),"",(P8*CAD_PROD!D8))</f>
        <v>2310</v>
      </c>
      <c r="O8" s="68">
        <f>IF(ISERROR(PE_GERAL!$J$7*CAD_PROD!G8),"",PE_GERAL!$J$7*CAD_PROD!G8)</f>
        <v>1105.2631578947369</v>
      </c>
      <c r="P8" s="101">
        <f t="shared" si="2"/>
        <v>33</v>
      </c>
      <c r="Q8" s="68">
        <f>IF(C8="","",IF(ISERROR(
CAD_PROD!E8*G8),"",CAD_PROD!E8*G8))</f>
        <v>450</v>
      </c>
      <c r="R8" s="68">
        <f>IF(C8="","",IF(ISERROR(
CAD_PROD!E8*D8),"",CAD_PROD!E8*D8))</f>
        <v>330</v>
      </c>
      <c r="S8" s="44" t="str">
        <f>IF(C8="","",IF(CAD_PROD!E8&gt;=P8,"Sim","Não"))</f>
        <v>Não</v>
      </c>
    </row>
    <row r="9" spans="1:16384" ht="30" customHeight="1">
      <c r="A9" s="52">
        <f t="shared" si="0"/>
        <v>34.400000999999996</v>
      </c>
      <c r="B9" s="52">
        <f t="shared" si="1"/>
        <v>45.600000999999999</v>
      </c>
      <c r="C9" s="96" t="str">
        <f>IF(CAD_PROD!C9="","",CAD_PROD!C9)</f>
        <v>Produto 4</v>
      </c>
      <c r="D9" s="75">
        <v>12</v>
      </c>
      <c r="E9" s="125">
        <v>0.13</v>
      </c>
      <c r="F9" s="125">
        <v>0.04</v>
      </c>
      <c r="G9" s="75">
        <v>20</v>
      </c>
      <c r="H9" s="75">
        <f>IF(C9="","",D9+CAD_PROD!D9*(E9+F9)+G9)</f>
        <v>45.6</v>
      </c>
      <c r="I9" s="52">
        <v>9.9999999999999995E-7</v>
      </c>
      <c r="J9" s="68">
        <f>IF(ISERROR(
CAD_PROD!F9*E9),"",CAD_PROD!F9*E9)</f>
        <v>416</v>
      </c>
      <c r="K9" s="68">
        <f>IF(ISERROR(
CAD_PROD!F9*F9),"",CAD_PROD!F9*F9)</f>
        <v>128</v>
      </c>
      <c r="L9" s="68">
        <f>IF(ISERROR(
CAD_PROD!D9-H9),"",CAD_PROD!D9-H9)</f>
        <v>34.4</v>
      </c>
      <c r="M9" s="57">
        <f>IF(ISERROR(
L9/CAD_PROD!D9),"",L9/CAD_PROD!D9)</f>
        <v>0.43</v>
      </c>
      <c r="N9" s="68">
        <f>IF(ISERROR(
(P9*CAD_PROD!D9)),"",(P9*CAD_PROD!D9))</f>
        <v>3920</v>
      </c>
      <c r="O9" s="68">
        <f>IF(ISERROR(PE_GERAL!$J$7*CAD_PROD!G9),"",PE_GERAL!$J$7*CAD_PROD!G9)</f>
        <v>1684.2105263157896</v>
      </c>
      <c r="P9" s="101">
        <f t="shared" si="2"/>
        <v>49</v>
      </c>
      <c r="Q9" s="68">
        <f>IF(C9="","",IF(ISERROR(
CAD_PROD!E9*G9),"",CAD_PROD!E9*G9))</f>
        <v>800</v>
      </c>
      <c r="R9" s="68">
        <f>IF(C9="","",IF(ISERROR(
CAD_PROD!E9*D9),"",CAD_PROD!E9*D9))</f>
        <v>480</v>
      </c>
      <c r="S9" s="44" t="str">
        <f>IF(C9="","",IF(CAD_PROD!E9&gt;=P9,"Sim","Não"))</f>
        <v>Não</v>
      </c>
    </row>
    <row r="10" spans="1:16384" ht="30" customHeight="1">
      <c r="A10" s="52">
        <f t="shared" si="0"/>
        <v>34.900000999999996</v>
      </c>
      <c r="B10" s="52">
        <f t="shared" si="1"/>
        <v>55.100000999999999</v>
      </c>
      <c r="C10" s="96" t="str">
        <f>IF(CAD_PROD!C10="","",CAD_PROD!C10)</f>
        <v>Produto 5</v>
      </c>
      <c r="D10" s="75">
        <v>13</v>
      </c>
      <c r="E10" s="125">
        <v>0.14000000000000001</v>
      </c>
      <c r="F10" s="125">
        <v>0.05</v>
      </c>
      <c r="G10" s="75">
        <v>25</v>
      </c>
      <c r="H10" s="75">
        <f>IF(C10="","",D10+CAD_PROD!D10*(E10+F10)+G10)</f>
        <v>55.1</v>
      </c>
      <c r="I10" s="52">
        <v>9.9999999999999995E-7</v>
      </c>
      <c r="J10" s="68">
        <f>IF(ISERROR(
CAD_PROD!F10*E10),"",CAD_PROD!F10*E10)</f>
        <v>1890.0000000000002</v>
      </c>
      <c r="K10" s="68">
        <f>IF(ISERROR(
CAD_PROD!F10*F10),"",CAD_PROD!F10*F10)</f>
        <v>675</v>
      </c>
      <c r="L10" s="68">
        <f>IF(ISERROR(
CAD_PROD!D10-H10),"",CAD_PROD!D10-H10)</f>
        <v>34.9</v>
      </c>
      <c r="M10" s="57">
        <f>IF(ISERROR(
L10/CAD_PROD!D10),"",L10/CAD_PROD!D10)</f>
        <v>0.38777777777777778</v>
      </c>
      <c r="N10" s="68">
        <f>IF(ISERROR(
(P10*CAD_PROD!D10)),"",(P10*CAD_PROD!D10))</f>
        <v>18360</v>
      </c>
      <c r="O10" s="68">
        <f>IF(ISERROR(PE_GERAL!$J$7*CAD_PROD!G10),"",PE_GERAL!$J$7*CAD_PROD!G10)</f>
        <v>7105.2631578947376</v>
      </c>
      <c r="P10" s="101">
        <f t="shared" si="2"/>
        <v>204</v>
      </c>
      <c r="Q10" s="68">
        <f>IF(C10="","",IF(ISERROR(
CAD_PROD!E10*G10),"",CAD_PROD!E10*G10))</f>
        <v>3750</v>
      </c>
      <c r="R10" s="68">
        <f>IF(C10="","",IF(ISERROR(
CAD_PROD!E10*D10),"",CAD_PROD!E10*D10))</f>
        <v>1950</v>
      </c>
      <c r="S10" s="44" t="str">
        <f>IF(C10="","",IF(CAD_PROD!E10&gt;=P10,"Sim","Não"))</f>
        <v>Não</v>
      </c>
    </row>
    <row r="11" spans="1:16384" ht="30" customHeight="1">
      <c r="A11" s="52">
        <f t="shared" si="0"/>
        <v>0</v>
      </c>
      <c r="B11" s="52">
        <f t="shared" si="1"/>
        <v>0</v>
      </c>
      <c r="C11" s="96" t="str">
        <f>IF(CAD_PROD!C11="","",CAD_PROD!C11)</f>
        <v/>
      </c>
      <c r="D11" s="75"/>
      <c r="E11" s="125"/>
      <c r="F11" s="125"/>
      <c r="G11" s="75"/>
      <c r="H11" s="75" t="str">
        <f>IF(C11="","",D11+CAD_PROD!D11*(E11+F11)+G11)</f>
        <v/>
      </c>
      <c r="I11" s="52">
        <v>9.9999999999999995E-7</v>
      </c>
      <c r="J11" s="68" t="str">
        <f>IF(ISERROR(
CAD_PROD!F11*E11),"",CAD_PROD!F11*E11)</f>
        <v/>
      </c>
      <c r="K11" s="68" t="str">
        <f>IF(ISERROR(
CAD_PROD!F11*F11),"",CAD_PROD!F11*F11)</f>
        <v/>
      </c>
      <c r="L11" s="68" t="str">
        <f>IF(ISERROR(
CAD_PROD!D11-H11),"",CAD_PROD!D11-H11)</f>
        <v/>
      </c>
      <c r="M11" s="57" t="str">
        <f>IF(ISERROR(
L11/CAD_PROD!D11),"",L11/CAD_PROD!D11)</f>
        <v/>
      </c>
      <c r="N11" s="68" t="str">
        <f>IF(ISERROR(
(P11*CAD_PROD!D11)),"",(P11*CAD_PROD!D11))</f>
        <v/>
      </c>
      <c r="O11" s="68" t="str">
        <f>IF(ISERROR(PE_GERAL!$J$7*CAD_PROD!G11),"",PE_GERAL!$J$7*CAD_PROD!G11)</f>
        <v/>
      </c>
      <c r="P11" s="101" t="str">
        <f t="shared" si="2"/>
        <v/>
      </c>
      <c r="Q11" s="68" t="str">
        <f>IF(C11="","",IF(ISERROR(
CAD_PROD!E11*G11),"",CAD_PROD!E11*G11))</f>
        <v/>
      </c>
      <c r="R11" s="68" t="str">
        <f>IF(C11="","",IF(ISERROR(
CAD_PROD!E11*D11),"",CAD_PROD!E11*D11))</f>
        <v/>
      </c>
      <c r="S11" s="44" t="str">
        <f>IF(C11="","",IF(CAD_PROD!E11&gt;=P11,"Sim","Não"))</f>
        <v/>
      </c>
    </row>
    <row r="12" spans="1:16384" ht="30" customHeight="1">
      <c r="A12" s="52">
        <f t="shared" si="0"/>
        <v>0</v>
      </c>
      <c r="B12" s="52">
        <f t="shared" si="1"/>
        <v>0</v>
      </c>
      <c r="C12" s="96" t="str">
        <f>IF(CAD_PROD!C12="","",CAD_PROD!C12)</f>
        <v/>
      </c>
      <c r="D12" s="75"/>
      <c r="E12" s="125"/>
      <c r="F12" s="125"/>
      <c r="G12" s="75"/>
      <c r="H12" s="75" t="str">
        <f>IF(C12="","",D12+CAD_PROD!D12*(E12+F12)+G12)</f>
        <v/>
      </c>
      <c r="I12" s="52">
        <v>9.9999999999999995E-7</v>
      </c>
      <c r="J12" s="68" t="str">
        <f>IF(ISERROR(
CAD_PROD!F12*E12),"",CAD_PROD!F12*E12)</f>
        <v/>
      </c>
      <c r="K12" s="68" t="str">
        <f>IF(ISERROR(
CAD_PROD!F12*F12),"",CAD_PROD!F12*F12)</f>
        <v/>
      </c>
      <c r="L12" s="68" t="str">
        <f>IF(ISERROR(
CAD_PROD!D12-H12),"",CAD_PROD!D12-H12)</f>
        <v/>
      </c>
      <c r="M12" s="57" t="str">
        <f>IF(ISERROR(
L12/CAD_PROD!D12),"",L12/CAD_PROD!D12)</f>
        <v/>
      </c>
      <c r="N12" s="68" t="str">
        <f>IF(ISERROR(
(P12*CAD_PROD!D12)),"",(P12*CAD_PROD!D12))</f>
        <v/>
      </c>
      <c r="O12" s="68" t="str">
        <f>IF(ISERROR(PE_GERAL!$J$7*CAD_PROD!G12),"",PE_GERAL!$J$7*CAD_PROD!G12)</f>
        <v/>
      </c>
      <c r="P12" s="101" t="str">
        <f t="shared" si="2"/>
        <v/>
      </c>
      <c r="Q12" s="68" t="str">
        <f>IF(C12="","",IF(ISERROR(
CAD_PROD!E12*G12),"",CAD_PROD!E12*G12))</f>
        <v/>
      </c>
      <c r="R12" s="68" t="str">
        <f>IF(C12="","",IF(ISERROR(
CAD_PROD!E12*D12),"",CAD_PROD!E12*D12))</f>
        <v/>
      </c>
      <c r="S12" s="44" t="str">
        <f>IF(C12="","",IF(CAD_PROD!E12&gt;=P12,"Sim","Não"))</f>
        <v/>
      </c>
    </row>
    <row r="13" spans="1:16384" ht="30" customHeight="1">
      <c r="A13" s="52">
        <f t="shared" si="0"/>
        <v>0</v>
      </c>
      <c r="B13" s="52">
        <f t="shared" si="1"/>
        <v>0</v>
      </c>
      <c r="C13" s="96" t="str">
        <f>IF(CAD_PROD!C13="","",CAD_PROD!C13)</f>
        <v/>
      </c>
      <c r="D13" s="75"/>
      <c r="E13" s="125"/>
      <c r="F13" s="125"/>
      <c r="G13" s="75"/>
      <c r="H13" s="75" t="str">
        <f>IF(C13="","",D13+CAD_PROD!D13*(E13+F13)+G13)</f>
        <v/>
      </c>
      <c r="I13" s="52">
        <v>9.9999999999999995E-7</v>
      </c>
      <c r="J13" s="68" t="str">
        <f>IF(ISERROR(
CAD_PROD!F13*E13),"",CAD_PROD!F13*E13)</f>
        <v/>
      </c>
      <c r="K13" s="68" t="str">
        <f>IF(ISERROR(
CAD_PROD!F13*F13),"",CAD_PROD!F13*F13)</f>
        <v/>
      </c>
      <c r="L13" s="68" t="str">
        <f>IF(ISERROR(
CAD_PROD!D13-H13),"",CAD_PROD!D13-H13)</f>
        <v/>
      </c>
      <c r="M13" s="57" t="str">
        <f>IF(ISERROR(
L13/CAD_PROD!D13),"",L13/CAD_PROD!D13)</f>
        <v/>
      </c>
      <c r="N13" s="68" t="str">
        <f>IF(ISERROR(
(P13*CAD_PROD!D13)),"",(P13*CAD_PROD!D13))</f>
        <v/>
      </c>
      <c r="O13" s="68" t="str">
        <f>IF(ISERROR(PE_GERAL!$J$7*CAD_PROD!G13),"",PE_GERAL!$J$7*CAD_PROD!G13)</f>
        <v/>
      </c>
      <c r="P13" s="101" t="str">
        <f t="shared" si="2"/>
        <v/>
      </c>
      <c r="Q13" s="68" t="str">
        <f>IF(C13="","",IF(ISERROR(
CAD_PROD!E13*G13),"",CAD_PROD!E13*G13))</f>
        <v/>
      </c>
      <c r="R13" s="68" t="str">
        <f>IF(C13="","",IF(ISERROR(
CAD_PROD!E13*D13),"",CAD_PROD!E13*D13))</f>
        <v/>
      </c>
      <c r="S13" s="44" t="str">
        <f>IF(C13="","",IF(CAD_PROD!E13&gt;=P13,"Sim","Não"))</f>
        <v/>
      </c>
    </row>
    <row r="14" spans="1:16384" ht="30" customHeight="1">
      <c r="A14" s="52">
        <f t="shared" si="0"/>
        <v>0</v>
      </c>
      <c r="B14" s="52">
        <f t="shared" si="1"/>
        <v>0</v>
      </c>
      <c r="C14" s="96" t="str">
        <f>IF(CAD_PROD!C14="","",CAD_PROD!C14)</f>
        <v/>
      </c>
      <c r="D14" s="75"/>
      <c r="E14" s="125"/>
      <c r="F14" s="125"/>
      <c r="G14" s="75"/>
      <c r="H14" s="75" t="str">
        <f>IF(C14="","",D14+CAD_PROD!D14*(E14+F14)+G14)</f>
        <v/>
      </c>
      <c r="I14" s="52">
        <v>9.9999999999999995E-7</v>
      </c>
      <c r="J14" s="68" t="str">
        <f>IF(ISERROR(
CAD_PROD!F14*E14),"",CAD_PROD!F14*E14)</f>
        <v/>
      </c>
      <c r="K14" s="68" t="str">
        <f>IF(ISERROR(
CAD_PROD!F14*F14),"",CAD_PROD!F14*F14)</f>
        <v/>
      </c>
      <c r="L14" s="68" t="str">
        <f>IF(ISERROR(
CAD_PROD!D14-H14),"",CAD_PROD!D14-H14)</f>
        <v/>
      </c>
      <c r="M14" s="57" t="str">
        <f>IF(ISERROR(
L14/CAD_PROD!D14),"",L14/CAD_PROD!D14)</f>
        <v/>
      </c>
      <c r="N14" s="68" t="str">
        <f>IF(ISERROR(
(P14*CAD_PROD!D14)),"",(P14*CAD_PROD!D14))</f>
        <v/>
      </c>
      <c r="O14" s="68" t="str">
        <f>IF(ISERROR(PE_GERAL!$J$7*CAD_PROD!G14),"",PE_GERAL!$J$7*CAD_PROD!G14)</f>
        <v/>
      </c>
      <c r="P14" s="101" t="str">
        <f t="shared" si="2"/>
        <v/>
      </c>
      <c r="Q14" s="68" t="str">
        <f>IF(C14="","",IF(ISERROR(
CAD_PROD!E14*G14),"",CAD_PROD!E14*G14))</f>
        <v/>
      </c>
      <c r="R14" s="68" t="str">
        <f>IF(C14="","",IF(ISERROR(
CAD_PROD!E14*D14),"",CAD_PROD!E14*D14))</f>
        <v/>
      </c>
      <c r="S14" s="44" t="str">
        <f>IF(C14="","",IF(CAD_PROD!E14&gt;=P14,"Sim","Não"))</f>
        <v/>
      </c>
    </row>
    <row r="15" spans="1:16384" ht="30" customHeight="1">
      <c r="A15" s="52">
        <f t="shared" si="0"/>
        <v>0</v>
      </c>
      <c r="B15" s="52">
        <f t="shared" si="1"/>
        <v>0</v>
      </c>
      <c r="C15" s="96" t="str">
        <f>IF(CAD_PROD!C15="","",CAD_PROD!C15)</f>
        <v/>
      </c>
      <c r="D15" s="75"/>
      <c r="E15" s="125"/>
      <c r="F15" s="125"/>
      <c r="G15" s="75"/>
      <c r="H15" s="75" t="str">
        <f>IF(C15="","",D15+CAD_PROD!D15*(E15+F15)+G15)</f>
        <v/>
      </c>
      <c r="I15" s="52">
        <v>9.9999999999999995E-7</v>
      </c>
      <c r="J15" s="68" t="str">
        <f>IF(ISERROR(
CAD_PROD!F15*E15),"",CAD_PROD!F15*E15)</f>
        <v/>
      </c>
      <c r="K15" s="68" t="str">
        <f>IF(ISERROR(
CAD_PROD!F15*F15),"",CAD_PROD!F15*F15)</f>
        <v/>
      </c>
      <c r="L15" s="68" t="str">
        <f>IF(ISERROR(
CAD_PROD!D15-H15),"",CAD_PROD!D15-H15)</f>
        <v/>
      </c>
      <c r="M15" s="57" t="str">
        <f>IF(ISERROR(
L15/CAD_PROD!D15),"",L15/CAD_PROD!D15)</f>
        <v/>
      </c>
      <c r="N15" s="68" t="str">
        <f>IF(ISERROR(
(P15*CAD_PROD!D15)),"",(P15*CAD_PROD!D15))</f>
        <v/>
      </c>
      <c r="O15" s="68" t="str">
        <f>IF(ISERROR(PE_GERAL!$J$7*CAD_PROD!G15),"",PE_GERAL!$J$7*CAD_PROD!G15)</f>
        <v/>
      </c>
      <c r="P15" s="101" t="str">
        <f t="shared" si="2"/>
        <v/>
      </c>
      <c r="Q15" s="68" t="str">
        <f>IF(C15="","",IF(ISERROR(
CAD_PROD!E15*G15),"",CAD_PROD!E15*G15))</f>
        <v/>
      </c>
      <c r="R15" s="68" t="str">
        <f>IF(C15="","",IF(ISERROR(
CAD_PROD!E15*D15),"",CAD_PROD!E15*D15))</f>
        <v/>
      </c>
      <c r="S15" s="44" t="str">
        <f>IF(C15="","",IF(CAD_PROD!E15&gt;=P15,"Sim","Não"))</f>
        <v/>
      </c>
    </row>
    <row r="16" spans="1:16384" ht="30" customHeight="1">
      <c r="A16" s="52">
        <f t="shared" si="0"/>
        <v>0</v>
      </c>
      <c r="B16" s="52">
        <f t="shared" si="1"/>
        <v>0</v>
      </c>
      <c r="C16" s="96" t="str">
        <f>IF(CAD_PROD!C16="","",CAD_PROD!C16)</f>
        <v/>
      </c>
      <c r="D16" s="75"/>
      <c r="E16" s="125"/>
      <c r="F16" s="125"/>
      <c r="G16" s="75"/>
      <c r="H16" s="75" t="str">
        <f>IF(C16="","",D16+CAD_PROD!D16*(E16+F16)+G16)</f>
        <v/>
      </c>
      <c r="I16" s="52">
        <v>9.9999999999999995E-7</v>
      </c>
      <c r="J16" s="68" t="str">
        <f>IF(ISERROR(
CAD_PROD!F16*E16),"",CAD_PROD!F16*E16)</f>
        <v/>
      </c>
      <c r="K16" s="68" t="str">
        <f>IF(ISERROR(
CAD_PROD!F16*F16),"",CAD_PROD!F16*F16)</f>
        <v/>
      </c>
      <c r="L16" s="68" t="str">
        <f>IF(ISERROR(
CAD_PROD!D16-H16),"",CAD_PROD!D16-H16)</f>
        <v/>
      </c>
      <c r="M16" s="57" t="str">
        <f>IF(ISERROR(
L16/CAD_PROD!D16),"",L16/CAD_PROD!D16)</f>
        <v/>
      </c>
      <c r="N16" s="68" t="str">
        <f>IF(ISERROR(
(P16*CAD_PROD!D16)),"",(P16*CAD_PROD!D16))</f>
        <v/>
      </c>
      <c r="O16" s="68" t="str">
        <f>IF(ISERROR(PE_GERAL!$J$7*CAD_PROD!G16),"",PE_GERAL!$J$7*CAD_PROD!G16)</f>
        <v/>
      </c>
      <c r="P16" s="101" t="str">
        <f t="shared" si="2"/>
        <v/>
      </c>
      <c r="Q16" s="68" t="str">
        <f>IF(C16="","",IF(ISERROR(
CAD_PROD!E16*G16),"",CAD_PROD!E16*G16))</f>
        <v/>
      </c>
      <c r="R16" s="68" t="str">
        <f>IF(C16="","",IF(ISERROR(
CAD_PROD!E16*D16),"",CAD_PROD!E16*D16))</f>
        <v/>
      </c>
      <c r="S16" s="44" t="str">
        <f>IF(C16="","",IF(CAD_PROD!E16&gt;=P16,"Sim","Não"))</f>
        <v/>
      </c>
    </row>
    <row r="17" spans="1:19" ht="30" customHeight="1">
      <c r="A17" s="52">
        <f t="shared" si="0"/>
        <v>0</v>
      </c>
      <c r="B17" s="52">
        <f t="shared" si="1"/>
        <v>0</v>
      </c>
      <c r="C17" s="96" t="str">
        <f>IF(CAD_PROD!C17="","",CAD_PROD!C17)</f>
        <v/>
      </c>
      <c r="D17" s="75"/>
      <c r="E17" s="125"/>
      <c r="F17" s="125"/>
      <c r="G17" s="75"/>
      <c r="H17" s="75" t="str">
        <f>IF(C17="","",D17+CAD_PROD!D17*(E17+F17)+G17)</f>
        <v/>
      </c>
      <c r="I17" s="52">
        <v>9.9999999999999995E-7</v>
      </c>
      <c r="J17" s="68" t="str">
        <f>IF(ISERROR(
CAD_PROD!F17*E17),"",CAD_PROD!F17*E17)</f>
        <v/>
      </c>
      <c r="K17" s="68" t="str">
        <f>IF(ISERROR(
CAD_PROD!F17*F17),"",CAD_PROD!F17*F17)</f>
        <v/>
      </c>
      <c r="L17" s="68" t="str">
        <f>IF(ISERROR(
CAD_PROD!D17-H17),"",CAD_PROD!D17-H17)</f>
        <v/>
      </c>
      <c r="M17" s="57" t="str">
        <f>IF(ISERROR(
L17/CAD_PROD!D17),"",L17/CAD_PROD!D17)</f>
        <v/>
      </c>
      <c r="N17" s="68" t="str">
        <f>IF(ISERROR(
(P17*CAD_PROD!D17)),"",(P17*CAD_PROD!D17))</f>
        <v/>
      </c>
      <c r="O17" s="68" t="str">
        <f>IF(ISERROR(PE_GERAL!$J$7*CAD_PROD!G17),"",PE_GERAL!$J$7*CAD_PROD!G17)</f>
        <v/>
      </c>
      <c r="P17" s="101" t="str">
        <f t="shared" si="2"/>
        <v/>
      </c>
      <c r="Q17" s="68" t="str">
        <f>IF(C17="","",IF(ISERROR(
CAD_PROD!E17*G17),"",CAD_PROD!E17*G17))</f>
        <v/>
      </c>
      <c r="R17" s="68" t="str">
        <f>IF(C17="","",IF(ISERROR(
CAD_PROD!E17*D17),"",CAD_PROD!E17*D17))</f>
        <v/>
      </c>
      <c r="S17" s="44" t="str">
        <f>IF(C17="","",IF(CAD_PROD!E17&gt;=P17,"Sim","Não"))</f>
        <v/>
      </c>
    </row>
    <row r="18" spans="1:19" ht="30" customHeight="1">
      <c r="A18" s="52">
        <f t="shared" si="0"/>
        <v>0</v>
      </c>
      <c r="B18" s="52">
        <f t="shared" si="1"/>
        <v>0</v>
      </c>
      <c r="C18" s="96" t="str">
        <f>IF(CAD_PROD!C18="","",CAD_PROD!C18)</f>
        <v/>
      </c>
      <c r="D18" s="75"/>
      <c r="E18" s="125"/>
      <c r="F18" s="125"/>
      <c r="G18" s="75"/>
      <c r="H18" s="75" t="str">
        <f>IF(C18="","",D18+CAD_PROD!D18*(E18+F18)+G18)</f>
        <v/>
      </c>
      <c r="I18" s="52">
        <v>9.9999999999999995E-7</v>
      </c>
      <c r="J18" s="68" t="str">
        <f>IF(ISERROR(
CAD_PROD!F18*E18),"",CAD_PROD!F18*E18)</f>
        <v/>
      </c>
      <c r="K18" s="68" t="str">
        <f>IF(ISERROR(
CAD_PROD!F18*F18),"",CAD_PROD!F18*F18)</f>
        <v/>
      </c>
      <c r="L18" s="68" t="str">
        <f>IF(ISERROR(
CAD_PROD!D18-H18),"",CAD_PROD!D18-H18)</f>
        <v/>
      </c>
      <c r="M18" s="57" t="str">
        <f>IF(ISERROR(
L18/CAD_PROD!D18),"",L18/CAD_PROD!D18)</f>
        <v/>
      </c>
      <c r="N18" s="68" t="str">
        <f>IF(ISERROR(
(P18*CAD_PROD!D18)),"",(P18*CAD_PROD!D18))</f>
        <v/>
      </c>
      <c r="O18" s="68" t="str">
        <f>IF(ISERROR(PE_GERAL!$J$7*CAD_PROD!G18),"",PE_GERAL!$J$7*CAD_PROD!G18)</f>
        <v/>
      </c>
      <c r="P18" s="101" t="str">
        <f t="shared" si="2"/>
        <v/>
      </c>
      <c r="Q18" s="68" t="str">
        <f>IF(C18="","",IF(ISERROR(
CAD_PROD!E18*G18),"",CAD_PROD!E18*G18))</f>
        <v/>
      </c>
      <c r="R18" s="68" t="str">
        <f>IF(C18="","",IF(ISERROR(
CAD_PROD!E18*D18),"",CAD_PROD!E18*D18))</f>
        <v/>
      </c>
      <c r="S18" s="44" t="str">
        <f>IF(C18="","",IF(CAD_PROD!E18&gt;=P18,"Sim","Não"))</f>
        <v/>
      </c>
    </row>
    <row r="19" spans="1:19" ht="30" customHeight="1">
      <c r="A19" s="52">
        <f t="shared" si="0"/>
        <v>0</v>
      </c>
      <c r="B19" s="52">
        <f t="shared" si="1"/>
        <v>0</v>
      </c>
      <c r="C19" s="96" t="str">
        <f>IF(CAD_PROD!C19="","",CAD_PROD!C19)</f>
        <v/>
      </c>
      <c r="D19" s="75"/>
      <c r="E19" s="125"/>
      <c r="F19" s="125"/>
      <c r="G19" s="75"/>
      <c r="H19" s="75" t="str">
        <f>IF(C19="","",D19+CAD_PROD!D19*(E19+F19)+G19)</f>
        <v/>
      </c>
      <c r="I19" s="52">
        <v>9.9999999999999995E-7</v>
      </c>
      <c r="J19" s="68" t="str">
        <f>IF(ISERROR(
CAD_PROD!F19*E19),"",CAD_PROD!F19*E19)</f>
        <v/>
      </c>
      <c r="K19" s="68" t="str">
        <f>IF(ISERROR(
CAD_PROD!F19*F19),"",CAD_PROD!F19*F19)</f>
        <v/>
      </c>
      <c r="L19" s="68" t="str">
        <f>IF(ISERROR(
CAD_PROD!D19-H19),"",CAD_PROD!D19-H19)</f>
        <v/>
      </c>
      <c r="M19" s="57" t="str">
        <f>IF(ISERROR(
L19/CAD_PROD!D19),"",L19/CAD_PROD!D19)</f>
        <v/>
      </c>
      <c r="N19" s="68" t="str">
        <f>IF(ISERROR(
(P19*CAD_PROD!D19)),"",(P19*CAD_PROD!D19))</f>
        <v/>
      </c>
      <c r="O19" s="68" t="str">
        <f>IF(ISERROR(PE_GERAL!$J$7*CAD_PROD!G19),"",PE_GERAL!$J$7*CAD_PROD!G19)</f>
        <v/>
      </c>
      <c r="P19" s="101" t="str">
        <f t="shared" si="2"/>
        <v/>
      </c>
      <c r="Q19" s="68" t="str">
        <f>IF(C19="","",IF(ISERROR(
CAD_PROD!E19*G19),"",CAD_PROD!E19*G19))</f>
        <v/>
      </c>
      <c r="R19" s="68" t="str">
        <f>IF(C19="","",IF(ISERROR(
CAD_PROD!E19*D19),"",CAD_PROD!E19*D19))</f>
        <v/>
      </c>
      <c r="S19" s="44" t="str">
        <f>IF(C19="","",IF(CAD_PROD!E19&gt;=P19,"Sim","Não"))</f>
        <v/>
      </c>
    </row>
    <row r="20" spans="1:19" ht="30" customHeight="1">
      <c r="A20" s="52">
        <f t="shared" si="0"/>
        <v>0</v>
      </c>
      <c r="B20" s="52">
        <f t="shared" si="1"/>
        <v>0</v>
      </c>
      <c r="C20" s="96" t="str">
        <f>IF(CAD_PROD!C20="","",CAD_PROD!C20)</f>
        <v/>
      </c>
      <c r="D20" s="75"/>
      <c r="E20" s="125"/>
      <c r="F20" s="125"/>
      <c r="G20" s="75"/>
      <c r="H20" s="75" t="str">
        <f>IF(C20="","",D20+CAD_PROD!D20*(E20+F20)+G20)</f>
        <v/>
      </c>
      <c r="I20" s="52">
        <v>9.9999999999999995E-7</v>
      </c>
      <c r="J20" s="68" t="str">
        <f>IF(ISERROR(
CAD_PROD!F20*E20),"",CAD_PROD!F20*E20)</f>
        <v/>
      </c>
      <c r="K20" s="68" t="str">
        <f>IF(ISERROR(
CAD_PROD!F20*F20),"",CAD_PROD!F20*F20)</f>
        <v/>
      </c>
      <c r="L20" s="68" t="str">
        <f>IF(ISERROR(
CAD_PROD!D20-H20),"",CAD_PROD!D20-H20)</f>
        <v/>
      </c>
      <c r="M20" s="57" t="str">
        <f>IF(ISERROR(
L20/CAD_PROD!D20),"",L20/CAD_PROD!D20)</f>
        <v/>
      </c>
      <c r="N20" s="68" t="str">
        <f>IF(ISERROR(
(P20*CAD_PROD!D20)),"",(P20*CAD_PROD!D20))</f>
        <v/>
      </c>
      <c r="O20" s="68" t="str">
        <f>IF(ISERROR(PE_GERAL!$J$7*CAD_PROD!G20),"",PE_GERAL!$J$7*CAD_PROD!G20)</f>
        <v/>
      </c>
      <c r="P20" s="101" t="str">
        <f t="shared" si="2"/>
        <v/>
      </c>
      <c r="Q20" s="68" t="str">
        <f>IF(C20="","",IF(ISERROR(
CAD_PROD!E20*G20),"",CAD_PROD!E20*G20))</f>
        <v/>
      </c>
      <c r="R20" s="68" t="str">
        <f>IF(C20="","",IF(ISERROR(
CAD_PROD!E20*D20),"",CAD_PROD!E20*D20))</f>
        <v/>
      </c>
      <c r="S20" s="44" t="str">
        <f>IF(C20="","",IF(CAD_PROD!E20&gt;=P20,"Sim","Não"))</f>
        <v/>
      </c>
    </row>
    <row r="21" spans="1:19" ht="30" customHeight="1">
      <c r="A21" s="52">
        <f t="shared" si="0"/>
        <v>0</v>
      </c>
      <c r="B21" s="52">
        <f t="shared" si="1"/>
        <v>0</v>
      </c>
      <c r="C21" s="96" t="str">
        <f>IF(CAD_PROD!C21="","",CAD_PROD!C21)</f>
        <v/>
      </c>
      <c r="D21" s="75"/>
      <c r="E21" s="125"/>
      <c r="F21" s="125"/>
      <c r="G21" s="75"/>
      <c r="H21" s="75" t="str">
        <f>IF(C21="","",D21+CAD_PROD!D21*(E21+F21)+G21)</f>
        <v/>
      </c>
      <c r="I21" s="52">
        <v>9.9999999999999995E-7</v>
      </c>
      <c r="J21" s="68" t="str">
        <f>IF(ISERROR(
CAD_PROD!F21*E21),"",CAD_PROD!F21*E21)</f>
        <v/>
      </c>
      <c r="K21" s="68" t="str">
        <f>IF(ISERROR(
CAD_PROD!F21*F21),"",CAD_PROD!F21*F21)</f>
        <v/>
      </c>
      <c r="L21" s="68" t="str">
        <f>IF(ISERROR(
CAD_PROD!D21-H21),"",CAD_PROD!D21-H21)</f>
        <v/>
      </c>
      <c r="M21" s="57" t="str">
        <f>IF(ISERROR(
L21/CAD_PROD!D21),"",L21/CAD_PROD!D21)</f>
        <v/>
      </c>
      <c r="N21" s="68" t="str">
        <f>IF(ISERROR(
(P21*CAD_PROD!D21)),"",(P21*CAD_PROD!D21))</f>
        <v/>
      </c>
      <c r="O21" s="68" t="str">
        <f>IF(ISERROR(PE_GERAL!$J$7*CAD_PROD!G21),"",PE_GERAL!$J$7*CAD_PROD!G21)</f>
        <v/>
      </c>
      <c r="P21" s="101" t="str">
        <f t="shared" si="2"/>
        <v/>
      </c>
      <c r="Q21" s="68" t="str">
        <f>IF(C21="","",IF(ISERROR(
CAD_PROD!E21*G21),"",CAD_PROD!E21*G21))</f>
        <v/>
      </c>
      <c r="R21" s="68" t="str">
        <f>IF(C21="","",IF(ISERROR(
CAD_PROD!E21*D21),"",CAD_PROD!E21*D21))</f>
        <v/>
      </c>
      <c r="S21" s="44" t="str">
        <f>IF(C21="","",IF(CAD_PROD!E21&gt;=P21,"Sim","Não"))</f>
        <v/>
      </c>
    </row>
    <row r="22" spans="1:19" ht="30" customHeight="1">
      <c r="A22" s="52">
        <f t="shared" si="0"/>
        <v>0</v>
      </c>
      <c r="B22" s="52">
        <f t="shared" si="1"/>
        <v>0</v>
      </c>
      <c r="C22" s="96" t="str">
        <f>IF(CAD_PROD!C22="","",CAD_PROD!C22)</f>
        <v/>
      </c>
      <c r="D22" s="75"/>
      <c r="E22" s="125"/>
      <c r="F22" s="125"/>
      <c r="G22" s="75"/>
      <c r="H22" s="75" t="str">
        <f>IF(C22="","",D22+CAD_PROD!D22*(E22+F22)+G22)</f>
        <v/>
      </c>
      <c r="I22" s="52">
        <v>9.9999999999999995E-7</v>
      </c>
      <c r="J22" s="68" t="str">
        <f>IF(ISERROR(
CAD_PROD!F22*E22),"",CAD_PROD!F22*E22)</f>
        <v/>
      </c>
      <c r="K22" s="68" t="str">
        <f>IF(ISERROR(
CAD_PROD!F22*F22),"",CAD_PROD!F22*F22)</f>
        <v/>
      </c>
      <c r="L22" s="68" t="str">
        <f>IF(ISERROR(
CAD_PROD!D22-H22),"",CAD_PROD!D22-H22)</f>
        <v/>
      </c>
      <c r="M22" s="57" t="str">
        <f>IF(ISERROR(
L22/CAD_PROD!D22),"",L22/CAD_PROD!D22)</f>
        <v/>
      </c>
      <c r="N22" s="68" t="str">
        <f>IF(ISERROR(
(P22*CAD_PROD!D22)),"",(P22*CAD_PROD!D22))</f>
        <v/>
      </c>
      <c r="O22" s="68" t="str">
        <f>IF(ISERROR(PE_GERAL!$J$7*CAD_PROD!G22),"",PE_GERAL!$J$7*CAD_PROD!G22)</f>
        <v/>
      </c>
      <c r="P22" s="101" t="str">
        <f t="shared" si="2"/>
        <v/>
      </c>
      <c r="Q22" s="68" t="str">
        <f>IF(C22="","",IF(ISERROR(
CAD_PROD!E22*G22),"",CAD_PROD!E22*G22))</f>
        <v/>
      </c>
      <c r="R22" s="68" t="str">
        <f>IF(C22="","",IF(ISERROR(
CAD_PROD!E22*D22),"",CAD_PROD!E22*D22))</f>
        <v/>
      </c>
      <c r="S22" s="44" t="str">
        <f>IF(C22="","",IF(CAD_PROD!E22&gt;=P22,"Sim","Não"))</f>
        <v/>
      </c>
    </row>
    <row r="23" spans="1:19" ht="30" customHeight="1">
      <c r="A23" s="52">
        <f t="shared" si="0"/>
        <v>0</v>
      </c>
      <c r="B23" s="52">
        <f t="shared" si="1"/>
        <v>0</v>
      </c>
      <c r="C23" s="96" t="str">
        <f>IF(CAD_PROD!C23="","",CAD_PROD!C23)</f>
        <v/>
      </c>
      <c r="D23" s="75"/>
      <c r="E23" s="125"/>
      <c r="F23" s="125"/>
      <c r="G23" s="75"/>
      <c r="H23" s="75" t="str">
        <f>IF(C23="","",D23+CAD_PROD!D23*(E23+F23)+G23)</f>
        <v/>
      </c>
      <c r="I23" s="52">
        <v>9.9999999999999995E-7</v>
      </c>
      <c r="J23" s="68" t="str">
        <f>IF(ISERROR(
CAD_PROD!F23*E23),"",CAD_PROD!F23*E23)</f>
        <v/>
      </c>
      <c r="K23" s="68" t="str">
        <f>IF(ISERROR(
CAD_PROD!F23*F23),"",CAD_PROD!F23*F23)</f>
        <v/>
      </c>
      <c r="L23" s="68" t="str">
        <f>IF(ISERROR(
CAD_PROD!D23-H23),"",CAD_PROD!D23-H23)</f>
        <v/>
      </c>
      <c r="M23" s="57" t="str">
        <f>IF(ISERROR(
L23/CAD_PROD!D23),"",L23/CAD_PROD!D23)</f>
        <v/>
      </c>
      <c r="N23" s="68" t="str">
        <f>IF(ISERROR(
(P23*CAD_PROD!D23)),"",(P23*CAD_PROD!D23))</f>
        <v/>
      </c>
      <c r="O23" s="68" t="str">
        <f>IF(ISERROR(PE_GERAL!$J$7*CAD_PROD!G23),"",PE_GERAL!$J$7*CAD_PROD!G23)</f>
        <v/>
      </c>
      <c r="P23" s="101" t="str">
        <f t="shared" si="2"/>
        <v/>
      </c>
      <c r="Q23" s="68" t="str">
        <f>IF(C23="","",IF(ISERROR(
CAD_PROD!E23*G23),"",CAD_PROD!E23*G23))</f>
        <v/>
      </c>
      <c r="R23" s="68" t="str">
        <f>IF(C23="","",IF(ISERROR(
CAD_PROD!E23*D23),"",CAD_PROD!E23*D23))</f>
        <v/>
      </c>
      <c r="S23" s="44" t="str">
        <f>IF(C23="","",IF(CAD_PROD!E23&gt;=P23,"Sim","Não"))</f>
        <v/>
      </c>
    </row>
    <row r="24" spans="1:19" ht="30" customHeight="1">
      <c r="A24" s="52">
        <f t="shared" si="0"/>
        <v>0</v>
      </c>
      <c r="B24" s="52">
        <f t="shared" si="1"/>
        <v>0</v>
      </c>
      <c r="C24" s="96" t="str">
        <f>IF(CAD_PROD!C24="","",CAD_PROD!C24)</f>
        <v/>
      </c>
      <c r="D24" s="75"/>
      <c r="E24" s="125"/>
      <c r="F24" s="125"/>
      <c r="G24" s="75"/>
      <c r="H24" s="75" t="str">
        <f>IF(C24="","",D24+CAD_PROD!D24*(E24+F24)+G24)</f>
        <v/>
      </c>
      <c r="I24" s="52">
        <v>9.9999999999999995E-7</v>
      </c>
      <c r="J24" s="68" t="str">
        <f>IF(ISERROR(
CAD_PROD!F24*E24),"",CAD_PROD!F24*E24)</f>
        <v/>
      </c>
      <c r="K24" s="68" t="str">
        <f>IF(ISERROR(
CAD_PROD!F24*F24),"",CAD_PROD!F24*F24)</f>
        <v/>
      </c>
      <c r="L24" s="68" t="str">
        <f>IF(ISERROR(
CAD_PROD!D24-H24),"",CAD_PROD!D24-H24)</f>
        <v/>
      </c>
      <c r="M24" s="57" t="str">
        <f>IF(ISERROR(
L24/CAD_PROD!D24),"",L24/CAD_PROD!D24)</f>
        <v/>
      </c>
      <c r="N24" s="68" t="str">
        <f>IF(ISERROR(
(P24*CAD_PROD!D24)),"",(P24*CAD_PROD!D24))</f>
        <v/>
      </c>
      <c r="O24" s="68" t="str">
        <f>IF(ISERROR(PE_GERAL!$J$7*CAD_PROD!G24),"",PE_GERAL!$J$7*CAD_PROD!G24)</f>
        <v/>
      </c>
      <c r="P24" s="101" t="str">
        <f t="shared" si="2"/>
        <v/>
      </c>
      <c r="Q24" s="68" t="str">
        <f>IF(C24="","",IF(ISERROR(
CAD_PROD!E24*G24),"",CAD_PROD!E24*G24))</f>
        <v/>
      </c>
      <c r="R24" s="68" t="str">
        <f>IF(C24="","",IF(ISERROR(
CAD_PROD!E24*D24),"",CAD_PROD!E24*D24))</f>
        <v/>
      </c>
      <c r="S24" s="44" t="str">
        <f>IF(C24="","",IF(CAD_PROD!E24&gt;=P24,"Sim","Não"))</f>
        <v/>
      </c>
    </row>
    <row r="25" spans="1:19" ht="30" customHeight="1">
      <c r="A25" s="52">
        <f t="shared" si="0"/>
        <v>0</v>
      </c>
      <c r="B25" s="52">
        <f t="shared" si="1"/>
        <v>0</v>
      </c>
      <c r="C25" s="96" t="str">
        <f>IF(CAD_PROD!C25="","",CAD_PROD!C25)</f>
        <v/>
      </c>
      <c r="D25" s="75"/>
      <c r="E25" s="125"/>
      <c r="F25" s="125"/>
      <c r="G25" s="75"/>
      <c r="H25" s="75" t="str">
        <f>IF(C25="","",D25+CAD_PROD!D25*(E25+F25)+G25)</f>
        <v/>
      </c>
      <c r="I25" s="52">
        <v>9.9999999999999995E-7</v>
      </c>
      <c r="J25" s="68" t="str">
        <f>IF(ISERROR(
CAD_PROD!F25*E25),"",CAD_PROD!F25*E25)</f>
        <v/>
      </c>
      <c r="K25" s="68" t="str">
        <f>IF(ISERROR(
CAD_PROD!F25*F25),"",CAD_PROD!F25*F25)</f>
        <v/>
      </c>
      <c r="L25" s="68" t="str">
        <f>IF(ISERROR(
CAD_PROD!D25-H25),"",CAD_PROD!D25-H25)</f>
        <v/>
      </c>
      <c r="M25" s="57" t="str">
        <f>IF(ISERROR(
L25/CAD_PROD!D25),"",L25/CAD_PROD!D25)</f>
        <v/>
      </c>
      <c r="N25" s="68" t="str">
        <f>IF(ISERROR(
(P25*CAD_PROD!D25)),"",(P25*CAD_PROD!D25))</f>
        <v/>
      </c>
      <c r="O25" s="68" t="str">
        <f>IF(ISERROR(PE_GERAL!$J$7*CAD_PROD!G25),"",PE_GERAL!$J$7*CAD_PROD!G25)</f>
        <v/>
      </c>
      <c r="P25" s="101" t="str">
        <f t="shared" si="2"/>
        <v/>
      </c>
      <c r="Q25" s="68" t="str">
        <f>IF(C25="","",IF(ISERROR(
CAD_PROD!E25*G25),"",CAD_PROD!E25*G25))</f>
        <v/>
      </c>
      <c r="R25" s="68" t="str">
        <f>IF(C25="","",IF(ISERROR(
CAD_PROD!E25*D25),"",CAD_PROD!E25*D25))</f>
        <v/>
      </c>
      <c r="S25" s="44" t="str">
        <f>IF(C25="","",IF(CAD_PROD!E25&gt;=P25,"Sim","Não"))</f>
        <v/>
      </c>
    </row>
    <row r="26" spans="1:19" ht="30" customHeight="1">
      <c r="A26" s="52">
        <f t="shared" si="0"/>
        <v>0</v>
      </c>
      <c r="B26" s="52">
        <f t="shared" si="1"/>
        <v>0</v>
      </c>
      <c r="C26" s="96" t="str">
        <f>IF(CAD_PROD!C26="","",CAD_PROD!C26)</f>
        <v/>
      </c>
      <c r="D26" s="75"/>
      <c r="E26" s="125"/>
      <c r="F26" s="125"/>
      <c r="G26" s="75"/>
      <c r="H26" s="75" t="str">
        <f>IF(C26="","",D26+CAD_PROD!D26*(E26+F26)+G26)</f>
        <v/>
      </c>
      <c r="I26" s="52">
        <v>9.9999999999999995E-7</v>
      </c>
      <c r="J26" s="68" t="str">
        <f>IF(ISERROR(
CAD_PROD!F26*E26),"",CAD_PROD!F26*E26)</f>
        <v/>
      </c>
      <c r="K26" s="68" t="str">
        <f>IF(ISERROR(
CAD_PROD!F26*F26),"",CAD_PROD!F26*F26)</f>
        <v/>
      </c>
      <c r="L26" s="68" t="str">
        <f>IF(ISERROR(
CAD_PROD!D26-H26),"",CAD_PROD!D26-H26)</f>
        <v/>
      </c>
      <c r="M26" s="57" t="str">
        <f>IF(ISERROR(
L26/CAD_PROD!D26),"",L26/CAD_PROD!D26)</f>
        <v/>
      </c>
      <c r="N26" s="68" t="str">
        <f>IF(ISERROR(
(P26*CAD_PROD!D26)),"",(P26*CAD_PROD!D26))</f>
        <v/>
      </c>
      <c r="O26" s="68" t="str">
        <f>IF(ISERROR(PE_GERAL!$J$7*CAD_PROD!G26),"",PE_GERAL!$J$7*CAD_PROD!G26)</f>
        <v/>
      </c>
      <c r="P26" s="101" t="str">
        <f t="shared" si="2"/>
        <v/>
      </c>
      <c r="Q26" s="68" t="str">
        <f>IF(C26="","",IF(ISERROR(
CAD_PROD!E26*G26),"",CAD_PROD!E26*G26))</f>
        <v/>
      </c>
      <c r="R26" s="68" t="str">
        <f>IF(C26="","",IF(ISERROR(
CAD_PROD!E26*D26),"",CAD_PROD!E26*D26))</f>
        <v/>
      </c>
      <c r="S26" s="44" t="str">
        <f>IF(C26="","",IF(CAD_PROD!E26&gt;=P26,"Sim","Não"))</f>
        <v/>
      </c>
    </row>
    <row r="27" spans="1:19" ht="30" customHeight="1">
      <c r="A27" s="52">
        <f t="shared" si="0"/>
        <v>0</v>
      </c>
      <c r="B27" s="52">
        <f t="shared" si="1"/>
        <v>0</v>
      </c>
      <c r="C27" s="96" t="str">
        <f>IF(CAD_PROD!C27="","",CAD_PROD!C27)</f>
        <v/>
      </c>
      <c r="D27" s="75"/>
      <c r="E27" s="125"/>
      <c r="F27" s="125"/>
      <c r="G27" s="75"/>
      <c r="H27" s="75" t="str">
        <f>IF(C27="","",D27+CAD_PROD!D27*(E27+F27)+G27)</f>
        <v/>
      </c>
      <c r="I27" s="52">
        <v>9.9999999999999995E-7</v>
      </c>
      <c r="J27" s="68" t="str">
        <f>IF(ISERROR(
CAD_PROD!F27*E27),"",CAD_PROD!F27*E27)</f>
        <v/>
      </c>
      <c r="K27" s="68" t="str">
        <f>IF(ISERROR(
CAD_PROD!F27*F27),"",CAD_PROD!F27*F27)</f>
        <v/>
      </c>
      <c r="L27" s="68" t="str">
        <f>IF(ISERROR(
CAD_PROD!D27-H27),"",CAD_PROD!D27-H27)</f>
        <v/>
      </c>
      <c r="M27" s="57" t="str">
        <f>IF(ISERROR(
L27/CAD_PROD!D27),"",L27/CAD_PROD!D27)</f>
        <v/>
      </c>
      <c r="N27" s="68" t="str">
        <f>IF(ISERROR(
(P27*CAD_PROD!D27)),"",(P27*CAD_PROD!D27))</f>
        <v/>
      </c>
      <c r="O27" s="68" t="str">
        <f>IF(ISERROR(PE_GERAL!$J$7*CAD_PROD!G27),"",PE_GERAL!$J$7*CAD_PROD!G27)</f>
        <v/>
      </c>
      <c r="P27" s="101" t="str">
        <f t="shared" si="2"/>
        <v/>
      </c>
      <c r="Q27" s="68" t="str">
        <f>IF(C27="","",IF(ISERROR(
CAD_PROD!E27*G27),"",CAD_PROD!E27*G27))</f>
        <v/>
      </c>
      <c r="R27" s="68" t="str">
        <f>IF(C27="","",IF(ISERROR(
CAD_PROD!E27*D27),"",CAD_PROD!E27*D27))</f>
        <v/>
      </c>
      <c r="S27" s="44" t="str">
        <f>IF(C27="","",IF(CAD_PROD!E27&gt;=P27,"Sim","Não"))</f>
        <v/>
      </c>
    </row>
    <row r="28" spans="1:19" ht="30" customHeight="1">
      <c r="A28" s="52">
        <f t="shared" si="0"/>
        <v>0</v>
      </c>
      <c r="B28" s="52">
        <f t="shared" si="1"/>
        <v>0</v>
      </c>
      <c r="C28" s="96" t="str">
        <f>IF(CAD_PROD!C28="","",CAD_PROD!C28)</f>
        <v/>
      </c>
      <c r="D28" s="75"/>
      <c r="E28" s="125"/>
      <c r="F28" s="125"/>
      <c r="G28" s="75"/>
      <c r="H28" s="75" t="str">
        <f>IF(C28="","",D28+CAD_PROD!D28*(E28+F28)+G28)</f>
        <v/>
      </c>
      <c r="I28" s="52">
        <v>9.9999999999999995E-7</v>
      </c>
      <c r="J28" s="68" t="str">
        <f>IF(ISERROR(
CAD_PROD!F28*E28),"",CAD_PROD!F28*E28)</f>
        <v/>
      </c>
      <c r="K28" s="68" t="str">
        <f>IF(ISERROR(
CAD_PROD!F28*F28),"",CAD_PROD!F28*F28)</f>
        <v/>
      </c>
      <c r="L28" s="68" t="str">
        <f>IF(ISERROR(
CAD_PROD!D28-H28),"",CAD_PROD!D28-H28)</f>
        <v/>
      </c>
      <c r="M28" s="57" t="str">
        <f>IF(ISERROR(
L28/CAD_PROD!D28),"",L28/CAD_PROD!D28)</f>
        <v/>
      </c>
      <c r="N28" s="68" t="str">
        <f>IF(ISERROR(
(P28*CAD_PROD!D28)),"",(P28*CAD_PROD!D28))</f>
        <v/>
      </c>
      <c r="O28" s="68" t="str">
        <f>IF(ISERROR(PE_GERAL!$J$7*CAD_PROD!G28),"",PE_GERAL!$J$7*CAD_PROD!G28)</f>
        <v/>
      </c>
      <c r="P28" s="101" t="str">
        <f t="shared" si="2"/>
        <v/>
      </c>
      <c r="Q28" s="68" t="str">
        <f>IF(C28="","",IF(ISERROR(
CAD_PROD!E28*G28),"",CAD_PROD!E28*G28))</f>
        <v/>
      </c>
      <c r="R28" s="68" t="str">
        <f>IF(C28="","",IF(ISERROR(
CAD_PROD!E28*D28),"",CAD_PROD!E28*D28))</f>
        <v/>
      </c>
      <c r="S28" s="44" t="str">
        <f>IF(C28="","",IF(CAD_PROD!E28&gt;=P28,"Sim","Não"))</f>
        <v/>
      </c>
    </row>
    <row r="29" spans="1:19" ht="30" customHeight="1">
      <c r="A29" s="52">
        <f t="shared" si="0"/>
        <v>0</v>
      </c>
      <c r="B29" s="52">
        <f t="shared" si="1"/>
        <v>0</v>
      </c>
      <c r="C29" s="96" t="str">
        <f>IF(CAD_PROD!C29="","",CAD_PROD!C29)</f>
        <v/>
      </c>
      <c r="D29" s="75"/>
      <c r="E29" s="125"/>
      <c r="F29" s="125"/>
      <c r="G29" s="75"/>
      <c r="H29" s="75" t="str">
        <f>IF(C29="","",D29+CAD_PROD!D29*(E29+F29)+G29)</f>
        <v/>
      </c>
      <c r="I29" s="52">
        <v>9.9999999999999995E-7</v>
      </c>
      <c r="J29" s="68" t="str">
        <f>IF(ISERROR(
CAD_PROD!F29*E29),"",CAD_PROD!F29*E29)</f>
        <v/>
      </c>
      <c r="K29" s="68" t="str">
        <f>IF(ISERROR(
CAD_PROD!F29*F29),"",CAD_PROD!F29*F29)</f>
        <v/>
      </c>
      <c r="L29" s="68" t="str">
        <f>IF(ISERROR(
CAD_PROD!D29-H29),"",CAD_PROD!D29-H29)</f>
        <v/>
      </c>
      <c r="M29" s="57" t="str">
        <f>IF(ISERROR(
L29/CAD_PROD!D29),"",L29/CAD_PROD!D29)</f>
        <v/>
      </c>
      <c r="N29" s="68" t="str">
        <f>IF(ISERROR(
(P29*CAD_PROD!D29)),"",(P29*CAD_PROD!D29))</f>
        <v/>
      </c>
      <c r="O29" s="68" t="str">
        <f>IF(ISERROR(PE_GERAL!$J$7*CAD_PROD!G29),"",PE_GERAL!$J$7*CAD_PROD!G29)</f>
        <v/>
      </c>
      <c r="P29" s="101" t="str">
        <f t="shared" si="2"/>
        <v/>
      </c>
      <c r="Q29" s="68" t="str">
        <f>IF(C29="","",IF(ISERROR(
CAD_PROD!E29*G29),"",CAD_PROD!E29*G29))</f>
        <v/>
      </c>
      <c r="R29" s="68" t="str">
        <f>IF(C29="","",IF(ISERROR(
CAD_PROD!E29*D29),"",CAD_PROD!E29*D29))</f>
        <v/>
      </c>
      <c r="S29" s="44" t="str">
        <f>IF(C29="","",IF(CAD_PROD!E29&gt;=P29,"Sim","Não"))</f>
        <v/>
      </c>
    </row>
    <row r="30" spans="1:19" ht="30" customHeight="1">
      <c r="A30" s="52">
        <f t="shared" si="0"/>
        <v>0</v>
      </c>
      <c r="B30" s="52">
        <f t="shared" si="1"/>
        <v>0</v>
      </c>
      <c r="C30" s="96" t="str">
        <f>IF(CAD_PROD!C30="","",CAD_PROD!C30)</f>
        <v/>
      </c>
      <c r="D30" s="75"/>
      <c r="E30" s="125"/>
      <c r="F30" s="125"/>
      <c r="G30" s="75"/>
      <c r="H30" s="75" t="str">
        <f>IF(C30="","",D30+CAD_PROD!D30*(E30+F30)+G30)</f>
        <v/>
      </c>
      <c r="I30" s="52">
        <v>9.9999999999999995E-7</v>
      </c>
      <c r="J30" s="68" t="str">
        <f>IF(ISERROR(
CAD_PROD!F30*E30),"",CAD_PROD!F30*E30)</f>
        <v/>
      </c>
      <c r="K30" s="68" t="str">
        <f>IF(ISERROR(
CAD_PROD!F30*F30),"",CAD_PROD!F30*F30)</f>
        <v/>
      </c>
      <c r="L30" s="68" t="str">
        <f>IF(ISERROR(
CAD_PROD!D30-H30),"",CAD_PROD!D30-H30)</f>
        <v/>
      </c>
      <c r="M30" s="57" t="str">
        <f>IF(ISERROR(
L30/CAD_PROD!D30),"",L30/CAD_PROD!D30)</f>
        <v/>
      </c>
      <c r="N30" s="68" t="str">
        <f>IF(ISERROR(
(P30*CAD_PROD!D30)),"",(P30*CAD_PROD!D30))</f>
        <v/>
      </c>
      <c r="O30" s="68" t="str">
        <f>IF(ISERROR(PE_GERAL!$J$7*CAD_PROD!G30),"",PE_GERAL!$J$7*CAD_PROD!G30)</f>
        <v/>
      </c>
      <c r="P30" s="101" t="str">
        <f t="shared" si="2"/>
        <v/>
      </c>
      <c r="Q30" s="68" t="str">
        <f>IF(C30="","",IF(ISERROR(
CAD_PROD!E30*G30),"",CAD_PROD!E30*G30))</f>
        <v/>
      </c>
      <c r="R30" s="68" t="str">
        <f>IF(C30="","",IF(ISERROR(
CAD_PROD!E30*D30),"",CAD_PROD!E30*D30))</f>
        <v/>
      </c>
      <c r="S30" s="44" t="str">
        <f>IF(C30="","",IF(CAD_PROD!E30&gt;=P30,"Sim","Não"))</f>
        <v/>
      </c>
    </row>
    <row r="31" spans="1:19" ht="30" customHeight="1">
      <c r="A31" s="52">
        <f t="shared" si="0"/>
        <v>0</v>
      </c>
      <c r="B31" s="52">
        <f t="shared" si="1"/>
        <v>0</v>
      </c>
      <c r="C31" s="96" t="str">
        <f>IF(CAD_PROD!C31="","",CAD_PROD!C31)</f>
        <v/>
      </c>
      <c r="D31" s="75"/>
      <c r="E31" s="125"/>
      <c r="F31" s="125"/>
      <c r="G31" s="75"/>
      <c r="H31" s="75" t="str">
        <f>IF(C31="","",D31+CAD_PROD!D31*(E31+F31)+G31)</f>
        <v/>
      </c>
      <c r="I31" s="52">
        <v>9.9999999999999995E-7</v>
      </c>
      <c r="J31" s="68" t="str">
        <f>IF(ISERROR(
CAD_PROD!F31*E31),"",CAD_PROD!F31*E31)</f>
        <v/>
      </c>
      <c r="K31" s="68" t="str">
        <f>IF(ISERROR(
CAD_PROD!F31*F31),"",CAD_PROD!F31*F31)</f>
        <v/>
      </c>
      <c r="L31" s="68" t="str">
        <f>IF(ISERROR(
CAD_PROD!D31-H31),"",CAD_PROD!D31-H31)</f>
        <v/>
      </c>
      <c r="M31" s="57" t="str">
        <f>IF(ISERROR(
L31/CAD_PROD!D31),"",L31/CAD_PROD!D31)</f>
        <v/>
      </c>
      <c r="N31" s="68" t="str">
        <f>IF(ISERROR(
(P31*CAD_PROD!D31)),"",(P31*CAD_PROD!D31))</f>
        <v/>
      </c>
      <c r="O31" s="68" t="str">
        <f>IF(ISERROR(PE_GERAL!$J$7*CAD_PROD!G31),"",PE_GERAL!$J$7*CAD_PROD!G31)</f>
        <v/>
      </c>
      <c r="P31" s="101" t="str">
        <f t="shared" si="2"/>
        <v/>
      </c>
      <c r="Q31" s="68" t="str">
        <f>IF(C31="","",IF(ISERROR(
CAD_PROD!E31*G31),"",CAD_PROD!E31*G31))</f>
        <v/>
      </c>
      <c r="R31" s="68" t="str">
        <f>IF(C31="","",IF(ISERROR(
CAD_PROD!E31*D31),"",CAD_PROD!E31*D31))</f>
        <v/>
      </c>
      <c r="S31" s="44" t="str">
        <f>IF(C31="","",IF(CAD_PROD!E31&gt;=P31,"Sim","Não"))</f>
        <v/>
      </c>
    </row>
    <row r="32" spans="1:19" ht="30" customHeight="1">
      <c r="A32" s="52">
        <f t="shared" si="0"/>
        <v>0</v>
      </c>
      <c r="B32" s="52">
        <f t="shared" si="1"/>
        <v>0</v>
      </c>
      <c r="C32" s="96" t="str">
        <f>IF(CAD_PROD!C32="","",CAD_PROD!C32)</f>
        <v/>
      </c>
      <c r="D32" s="75"/>
      <c r="E32" s="125"/>
      <c r="F32" s="125"/>
      <c r="G32" s="75"/>
      <c r="H32" s="75" t="str">
        <f>IF(C32="","",D32+CAD_PROD!D32*(E32+F32)+G32)</f>
        <v/>
      </c>
      <c r="I32" s="52">
        <v>9.9999999999999995E-7</v>
      </c>
      <c r="J32" s="68" t="str">
        <f>IF(ISERROR(
CAD_PROD!F32*E32),"",CAD_PROD!F32*E32)</f>
        <v/>
      </c>
      <c r="K32" s="68" t="str">
        <f>IF(ISERROR(
CAD_PROD!F32*F32),"",CAD_PROD!F32*F32)</f>
        <v/>
      </c>
      <c r="L32" s="68" t="str">
        <f>IF(ISERROR(
CAD_PROD!D32-H32),"",CAD_PROD!D32-H32)</f>
        <v/>
      </c>
      <c r="M32" s="57" t="str">
        <f>IF(ISERROR(
L32/CAD_PROD!D32),"",L32/CAD_PROD!D32)</f>
        <v/>
      </c>
      <c r="N32" s="68" t="str">
        <f>IF(ISERROR(
(P32*CAD_PROD!D32)),"",(P32*CAD_PROD!D32))</f>
        <v/>
      </c>
      <c r="O32" s="68" t="str">
        <f>IF(ISERROR(PE_GERAL!$J$7*CAD_PROD!G32),"",PE_GERAL!$J$7*CAD_PROD!G32)</f>
        <v/>
      </c>
      <c r="P32" s="101" t="str">
        <f t="shared" si="2"/>
        <v/>
      </c>
      <c r="Q32" s="68" t="str">
        <f>IF(C32="","",IF(ISERROR(
CAD_PROD!E32*G32),"",CAD_PROD!E32*G32))</f>
        <v/>
      </c>
      <c r="R32" s="68" t="str">
        <f>IF(C32="","",IF(ISERROR(
CAD_PROD!E32*D32),"",CAD_PROD!E32*D32))</f>
        <v/>
      </c>
      <c r="S32" s="44" t="str">
        <f>IF(C32="","",IF(CAD_PROD!E32&gt;=P32,"Sim","Não"))</f>
        <v/>
      </c>
    </row>
    <row r="33" spans="1:19" ht="30" customHeight="1">
      <c r="A33" s="52">
        <f t="shared" si="0"/>
        <v>0</v>
      </c>
      <c r="B33" s="52">
        <f t="shared" si="1"/>
        <v>0</v>
      </c>
      <c r="C33" s="96" t="str">
        <f>IF(CAD_PROD!C33="","",CAD_PROD!C33)</f>
        <v/>
      </c>
      <c r="D33" s="75"/>
      <c r="E33" s="125"/>
      <c r="F33" s="125"/>
      <c r="G33" s="75"/>
      <c r="H33" s="75" t="str">
        <f>IF(C33="","",D33+CAD_PROD!D33*(E33+F33)+G33)</f>
        <v/>
      </c>
      <c r="I33" s="52">
        <v>9.9999999999999995E-7</v>
      </c>
      <c r="J33" s="68" t="str">
        <f>IF(ISERROR(
CAD_PROD!F33*E33),"",CAD_PROD!F33*E33)</f>
        <v/>
      </c>
      <c r="K33" s="68" t="str">
        <f>IF(ISERROR(
CAD_PROD!F33*F33),"",CAD_PROD!F33*F33)</f>
        <v/>
      </c>
      <c r="L33" s="68" t="str">
        <f>IF(ISERROR(
CAD_PROD!D33-H33),"",CAD_PROD!D33-H33)</f>
        <v/>
      </c>
      <c r="M33" s="57" t="str">
        <f>IF(ISERROR(
L33/CAD_PROD!D33),"",L33/CAD_PROD!D33)</f>
        <v/>
      </c>
      <c r="N33" s="68" t="str">
        <f>IF(ISERROR(
(P33*CAD_PROD!D33)),"",(P33*CAD_PROD!D33))</f>
        <v/>
      </c>
      <c r="O33" s="68" t="str">
        <f>IF(ISERROR(PE_GERAL!$J$7*CAD_PROD!G33),"",PE_GERAL!$J$7*CAD_PROD!G33)</f>
        <v/>
      </c>
      <c r="P33" s="101" t="str">
        <f t="shared" si="2"/>
        <v/>
      </c>
      <c r="Q33" s="68" t="str">
        <f>IF(C33="","",IF(ISERROR(
CAD_PROD!E33*G33),"",CAD_PROD!E33*G33))</f>
        <v/>
      </c>
      <c r="R33" s="68" t="str">
        <f>IF(C33="","",IF(ISERROR(
CAD_PROD!E33*D33),"",CAD_PROD!E33*D33))</f>
        <v/>
      </c>
      <c r="S33" s="44" t="str">
        <f>IF(C33="","",IF(CAD_PROD!E33&gt;=P33,"Sim","Não"))</f>
        <v/>
      </c>
    </row>
    <row r="34" spans="1:19" ht="30" customHeight="1">
      <c r="A34" s="52">
        <f t="shared" si="0"/>
        <v>0</v>
      </c>
      <c r="B34" s="52">
        <f t="shared" si="1"/>
        <v>0</v>
      </c>
      <c r="C34" s="96" t="str">
        <f>IF(CAD_PROD!C34="","",CAD_PROD!C34)</f>
        <v/>
      </c>
      <c r="D34" s="75"/>
      <c r="E34" s="125"/>
      <c r="F34" s="125"/>
      <c r="G34" s="75"/>
      <c r="H34" s="75" t="str">
        <f>IF(C34="","",D34+CAD_PROD!D34*(E34+F34)+G34)</f>
        <v/>
      </c>
      <c r="I34" s="52">
        <v>9.9999999999999995E-7</v>
      </c>
      <c r="J34" s="68" t="str">
        <f>IF(ISERROR(
CAD_PROD!F34*E34),"",CAD_PROD!F34*E34)</f>
        <v/>
      </c>
      <c r="K34" s="68" t="str">
        <f>IF(ISERROR(
CAD_PROD!F34*F34),"",CAD_PROD!F34*F34)</f>
        <v/>
      </c>
      <c r="L34" s="68" t="str">
        <f>IF(ISERROR(
CAD_PROD!D34-H34),"",CAD_PROD!D34-H34)</f>
        <v/>
      </c>
      <c r="M34" s="57" t="str">
        <f>IF(ISERROR(
L34/CAD_PROD!D34),"",L34/CAD_PROD!D34)</f>
        <v/>
      </c>
      <c r="N34" s="68" t="str">
        <f>IF(ISERROR(
(P34*CAD_PROD!D34)),"",(P34*CAD_PROD!D34))</f>
        <v/>
      </c>
      <c r="O34" s="68" t="str">
        <f>IF(ISERROR(PE_GERAL!$J$7*CAD_PROD!G34),"",PE_GERAL!$J$7*CAD_PROD!G34)</f>
        <v/>
      </c>
      <c r="P34" s="101" t="str">
        <f t="shared" si="2"/>
        <v/>
      </c>
      <c r="Q34" s="68" t="str">
        <f>IF(C34="","",IF(ISERROR(
CAD_PROD!E34*G34),"",CAD_PROD!E34*G34))</f>
        <v/>
      </c>
      <c r="R34" s="68" t="str">
        <f>IF(C34="","",IF(ISERROR(
CAD_PROD!E34*D34),"",CAD_PROD!E34*D34))</f>
        <v/>
      </c>
      <c r="S34" s="44" t="str">
        <f>IF(C34="","",IF(CAD_PROD!E34&gt;=P34,"Sim","Não"))</f>
        <v/>
      </c>
    </row>
    <row r="35" spans="1:19" ht="30" customHeight="1">
      <c r="A35" s="52">
        <f t="shared" si="0"/>
        <v>0</v>
      </c>
      <c r="B35" s="52">
        <f t="shared" si="1"/>
        <v>0</v>
      </c>
      <c r="C35" s="96" t="str">
        <f>IF(CAD_PROD!C35="","",CAD_PROD!C35)</f>
        <v/>
      </c>
      <c r="D35" s="75"/>
      <c r="E35" s="125"/>
      <c r="F35" s="125"/>
      <c r="G35" s="75"/>
      <c r="H35" s="75" t="str">
        <f>IF(C35="","",D35+CAD_PROD!D35*(E35+F35)+G35)</f>
        <v/>
      </c>
      <c r="I35" s="52">
        <v>9.9999999999999995E-7</v>
      </c>
      <c r="J35" s="68" t="str">
        <f>IF(ISERROR(
CAD_PROD!F35*E35),"",CAD_PROD!F35*E35)</f>
        <v/>
      </c>
      <c r="K35" s="68" t="str">
        <f>IF(ISERROR(
CAD_PROD!F35*F35),"",CAD_PROD!F35*F35)</f>
        <v/>
      </c>
      <c r="L35" s="68" t="str">
        <f>IF(ISERROR(
CAD_PROD!D35-H35),"",CAD_PROD!D35-H35)</f>
        <v/>
      </c>
      <c r="M35" s="57" t="str">
        <f>IF(ISERROR(
L35/CAD_PROD!D35),"",L35/CAD_PROD!D35)</f>
        <v/>
      </c>
      <c r="N35" s="68" t="str">
        <f>IF(ISERROR(
(P35*CAD_PROD!D35)),"",(P35*CAD_PROD!D35))</f>
        <v/>
      </c>
      <c r="O35" s="68" t="str">
        <f>IF(ISERROR(PE_GERAL!$J$7*CAD_PROD!G35),"",PE_GERAL!$J$7*CAD_PROD!G35)</f>
        <v/>
      </c>
      <c r="P35" s="101" t="str">
        <f t="shared" si="2"/>
        <v/>
      </c>
      <c r="Q35" s="68" t="str">
        <f>IF(C35="","",IF(ISERROR(
CAD_PROD!E35*G35),"",CAD_PROD!E35*G35))</f>
        <v/>
      </c>
      <c r="R35" s="68" t="str">
        <f>IF(C35="","",IF(ISERROR(
CAD_PROD!E35*D35),"",CAD_PROD!E35*D35))</f>
        <v/>
      </c>
      <c r="S35" s="44" t="str">
        <f>IF(C35="","",IF(CAD_PROD!E35&gt;=P35,"Sim","Não"))</f>
        <v/>
      </c>
    </row>
    <row r="36" spans="1:19" ht="30" customHeight="1">
      <c r="A36" s="52">
        <f t="shared" si="0"/>
        <v>0</v>
      </c>
      <c r="B36" s="52">
        <f t="shared" si="1"/>
        <v>0</v>
      </c>
      <c r="C36" s="96" t="str">
        <f>IF(CAD_PROD!C36="","",CAD_PROD!C36)</f>
        <v/>
      </c>
      <c r="D36" s="75"/>
      <c r="E36" s="125"/>
      <c r="F36" s="125"/>
      <c r="G36" s="75"/>
      <c r="H36" s="75" t="str">
        <f>IF(C36="","",D36+CAD_PROD!D36*(E36+F36)+G36)</f>
        <v/>
      </c>
      <c r="I36" s="52">
        <v>9.9999999999999995E-7</v>
      </c>
      <c r="J36" s="68" t="str">
        <f>IF(ISERROR(
CAD_PROD!F36*E36),"",CAD_PROD!F36*E36)</f>
        <v/>
      </c>
      <c r="K36" s="68" t="str">
        <f>IF(ISERROR(
CAD_PROD!F36*F36),"",CAD_PROD!F36*F36)</f>
        <v/>
      </c>
      <c r="L36" s="68" t="str">
        <f>IF(ISERROR(
CAD_PROD!D36-H36),"",CAD_PROD!D36-H36)</f>
        <v/>
      </c>
      <c r="M36" s="57" t="str">
        <f>IF(ISERROR(
L36/CAD_PROD!D36),"",L36/CAD_PROD!D36)</f>
        <v/>
      </c>
      <c r="N36" s="68" t="str">
        <f>IF(ISERROR(
(P36*CAD_PROD!D36)),"",(P36*CAD_PROD!D36))</f>
        <v/>
      </c>
      <c r="O36" s="68" t="str">
        <f>IF(ISERROR(PE_GERAL!$J$7*CAD_PROD!G36),"",PE_GERAL!$J$7*CAD_PROD!G36)</f>
        <v/>
      </c>
      <c r="P36" s="101" t="str">
        <f t="shared" si="2"/>
        <v/>
      </c>
      <c r="Q36" s="68" t="str">
        <f>IF(C36="","",IF(ISERROR(
CAD_PROD!E36*G36),"",CAD_PROD!E36*G36))</f>
        <v/>
      </c>
      <c r="R36" s="68" t="str">
        <f>IF(C36="","",IF(ISERROR(
CAD_PROD!E36*D36),"",CAD_PROD!E36*D36))</f>
        <v/>
      </c>
      <c r="S36" s="44" t="str">
        <f>IF(C36="","",IF(CAD_PROD!E36&gt;=P36,"Sim","Não"))</f>
        <v/>
      </c>
    </row>
    <row r="37" spans="1:19" ht="30" customHeight="1">
      <c r="A37" s="52">
        <f t="shared" si="0"/>
        <v>0</v>
      </c>
      <c r="B37" s="52">
        <f t="shared" si="1"/>
        <v>0</v>
      </c>
      <c r="C37" s="96" t="str">
        <f>IF(CAD_PROD!C37="","",CAD_PROD!C37)</f>
        <v/>
      </c>
      <c r="D37" s="75"/>
      <c r="E37" s="125"/>
      <c r="F37" s="125"/>
      <c r="G37" s="75"/>
      <c r="H37" s="75" t="str">
        <f>IF(C37="","",D37+CAD_PROD!D37*(E37+F37)+G37)</f>
        <v/>
      </c>
      <c r="I37" s="52">
        <v>9.9999999999999995E-7</v>
      </c>
      <c r="J37" s="68" t="str">
        <f>IF(ISERROR(
CAD_PROD!F37*E37),"",CAD_PROD!F37*E37)</f>
        <v/>
      </c>
      <c r="K37" s="68" t="str">
        <f>IF(ISERROR(
CAD_PROD!F37*F37),"",CAD_PROD!F37*F37)</f>
        <v/>
      </c>
      <c r="L37" s="68" t="str">
        <f>IF(ISERROR(
CAD_PROD!D37-H37),"",CAD_PROD!D37-H37)</f>
        <v/>
      </c>
      <c r="M37" s="57" t="str">
        <f>IF(ISERROR(
L37/CAD_PROD!D37),"",L37/CAD_PROD!D37)</f>
        <v/>
      </c>
      <c r="N37" s="68" t="str">
        <f>IF(ISERROR(
(P37*CAD_PROD!D37)),"",(P37*CAD_PROD!D37))</f>
        <v/>
      </c>
      <c r="O37" s="68" t="str">
        <f>IF(ISERROR(PE_GERAL!$J$7*CAD_PROD!G37),"",PE_GERAL!$J$7*CAD_PROD!G37)</f>
        <v/>
      </c>
      <c r="P37" s="101" t="str">
        <f t="shared" si="2"/>
        <v/>
      </c>
      <c r="Q37" s="68" t="str">
        <f>IF(C37="","",IF(ISERROR(
CAD_PROD!E37*G37),"",CAD_PROD!E37*G37))</f>
        <v/>
      </c>
      <c r="R37" s="68" t="str">
        <f>IF(C37="","",IF(ISERROR(
CAD_PROD!E37*D37),"",CAD_PROD!E37*D37))</f>
        <v/>
      </c>
      <c r="S37" s="44" t="str">
        <f>IF(C37="","",IF(CAD_PROD!E37&gt;=P37,"Sim","Não"))</f>
        <v/>
      </c>
    </row>
    <row r="38" spans="1:19" ht="30" customHeight="1">
      <c r="A38" s="52">
        <f t="shared" si="0"/>
        <v>0</v>
      </c>
      <c r="B38" s="52">
        <f t="shared" si="1"/>
        <v>0</v>
      </c>
      <c r="C38" s="96" t="str">
        <f>IF(CAD_PROD!C38="","",CAD_PROD!C38)</f>
        <v/>
      </c>
      <c r="D38" s="75"/>
      <c r="E38" s="125"/>
      <c r="F38" s="125"/>
      <c r="G38" s="75"/>
      <c r="H38" s="75" t="str">
        <f>IF(C38="","",D38+CAD_PROD!D38*(E38+F38)+G38)</f>
        <v/>
      </c>
      <c r="I38" s="52">
        <v>9.9999999999999995E-7</v>
      </c>
      <c r="J38" s="68" t="str">
        <f>IF(ISERROR(
CAD_PROD!F38*E38),"",CAD_PROD!F38*E38)</f>
        <v/>
      </c>
      <c r="K38" s="68" t="str">
        <f>IF(ISERROR(
CAD_PROD!F38*F38),"",CAD_PROD!F38*F38)</f>
        <v/>
      </c>
      <c r="L38" s="68" t="str">
        <f>IF(ISERROR(
CAD_PROD!D38-H38),"",CAD_PROD!D38-H38)</f>
        <v/>
      </c>
      <c r="M38" s="57" t="str">
        <f>IF(ISERROR(
L38/CAD_PROD!D38),"",L38/CAD_PROD!D38)</f>
        <v/>
      </c>
      <c r="N38" s="68" t="str">
        <f>IF(ISERROR(
(P38*CAD_PROD!D38)),"",(P38*CAD_PROD!D38))</f>
        <v/>
      </c>
      <c r="O38" s="68" t="str">
        <f>IF(ISERROR(PE_GERAL!$J$7*CAD_PROD!G38),"",PE_GERAL!$J$7*CAD_PROD!G38)</f>
        <v/>
      </c>
      <c r="P38" s="101" t="str">
        <f t="shared" si="2"/>
        <v/>
      </c>
      <c r="Q38" s="68" t="str">
        <f>IF(C38="","",IF(ISERROR(
CAD_PROD!E38*G38),"",CAD_PROD!E38*G38))</f>
        <v/>
      </c>
      <c r="R38" s="68" t="str">
        <f>IF(C38="","",IF(ISERROR(
CAD_PROD!E38*D38),"",CAD_PROD!E38*D38))</f>
        <v/>
      </c>
      <c r="S38" s="44" t="str">
        <f>IF(C38="","",IF(CAD_PROD!E38&gt;=P38,"Sim","Não"))</f>
        <v/>
      </c>
    </row>
    <row r="39" spans="1:19" ht="30" customHeight="1">
      <c r="A39" s="52">
        <f t="shared" si="0"/>
        <v>0</v>
      </c>
      <c r="B39" s="52">
        <f t="shared" si="1"/>
        <v>0</v>
      </c>
      <c r="C39" s="96" t="str">
        <f>IF(CAD_PROD!C39="","",CAD_PROD!C39)</f>
        <v/>
      </c>
      <c r="D39" s="75"/>
      <c r="E39" s="125"/>
      <c r="F39" s="125"/>
      <c r="G39" s="75"/>
      <c r="H39" s="75" t="str">
        <f>IF(C39="","",D39+CAD_PROD!D39*(E39+F39)+G39)</f>
        <v/>
      </c>
      <c r="I39" s="52">
        <v>9.9999999999999995E-7</v>
      </c>
      <c r="J39" s="68" t="str">
        <f>IF(ISERROR(
CAD_PROD!F39*E39),"",CAD_PROD!F39*E39)</f>
        <v/>
      </c>
      <c r="K39" s="68" t="str">
        <f>IF(ISERROR(
CAD_PROD!F39*F39),"",CAD_PROD!F39*F39)</f>
        <v/>
      </c>
      <c r="L39" s="68" t="str">
        <f>IF(ISERROR(
CAD_PROD!D39-H39),"",CAD_PROD!D39-H39)</f>
        <v/>
      </c>
      <c r="M39" s="57" t="str">
        <f>IF(ISERROR(
L39/CAD_PROD!D39),"",L39/CAD_PROD!D39)</f>
        <v/>
      </c>
      <c r="N39" s="68" t="str">
        <f>IF(ISERROR(
(P39*CAD_PROD!D39)),"",(P39*CAD_PROD!D39))</f>
        <v/>
      </c>
      <c r="O39" s="68" t="str">
        <f>IF(ISERROR(PE_GERAL!$J$7*CAD_PROD!G39),"",PE_GERAL!$J$7*CAD_PROD!G39)</f>
        <v/>
      </c>
      <c r="P39" s="101" t="str">
        <f t="shared" si="2"/>
        <v/>
      </c>
      <c r="Q39" s="68" t="str">
        <f>IF(C39="","",IF(ISERROR(
CAD_PROD!E39*G39),"",CAD_PROD!E39*G39))</f>
        <v/>
      </c>
      <c r="R39" s="68" t="str">
        <f>IF(C39="","",IF(ISERROR(
CAD_PROD!E39*D39),"",CAD_PROD!E39*D39))</f>
        <v/>
      </c>
      <c r="S39" s="44" t="str">
        <f>IF(C39="","",IF(CAD_PROD!E39&gt;=P39,"Sim","Não"))</f>
        <v/>
      </c>
    </row>
    <row r="40" spans="1:19" ht="30" customHeight="1">
      <c r="A40" s="52">
        <f t="shared" si="0"/>
        <v>0</v>
      </c>
      <c r="B40" s="52">
        <f t="shared" si="1"/>
        <v>0</v>
      </c>
      <c r="C40" s="96" t="str">
        <f>IF(CAD_PROD!C40="","",CAD_PROD!C40)</f>
        <v/>
      </c>
      <c r="D40" s="75"/>
      <c r="E40" s="125"/>
      <c r="F40" s="125"/>
      <c r="G40" s="75"/>
      <c r="H40" s="75" t="str">
        <f>IF(C40="","",D40+CAD_PROD!D40*(E40+F40)+G40)</f>
        <v/>
      </c>
      <c r="I40" s="52">
        <v>9.9999999999999995E-7</v>
      </c>
      <c r="J40" s="68" t="str">
        <f>IF(ISERROR(
CAD_PROD!F40*E40),"",CAD_PROD!F40*E40)</f>
        <v/>
      </c>
      <c r="K40" s="68" t="str">
        <f>IF(ISERROR(
CAD_PROD!F40*F40),"",CAD_PROD!F40*F40)</f>
        <v/>
      </c>
      <c r="L40" s="68" t="str">
        <f>IF(ISERROR(
CAD_PROD!D40-H40),"",CAD_PROD!D40-H40)</f>
        <v/>
      </c>
      <c r="M40" s="57" t="str">
        <f>IF(ISERROR(
L40/CAD_PROD!D40),"",L40/CAD_PROD!D40)</f>
        <v/>
      </c>
      <c r="N40" s="68" t="str">
        <f>IF(ISERROR(
(P40*CAD_PROD!D40)),"",(P40*CAD_PROD!D40))</f>
        <v/>
      </c>
      <c r="O40" s="68" t="str">
        <f>IF(ISERROR(PE_GERAL!$J$7*CAD_PROD!G40),"",PE_GERAL!$J$7*CAD_PROD!G40)</f>
        <v/>
      </c>
      <c r="P40" s="101" t="str">
        <f t="shared" si="2"/>
        <v/>
      </c>
      <c r="Q40" s="68" t="str">
        <f>IF(C40="","",IF(ISERROR(
CAD_PROD!E40*G40),"",CAD_PROD!E40*G40))</f>
        <v/>
      </c>
      <c r="R40" s="68" t="str">
        <f>IF(C40="","",IF(ISERROR(
CAD_PROD!E40*D40),"",CAD_PROD!E40*D40))</f>
        <v/>
      </c>
      <c r="S40" s="44" t="str">
        <f>IF(C40="","",IF(CAD_PROD!E40&gt;=P40,"Sim","Não"))</f>
        <v/>
      </c>
    </row>
    <row r="41" spans="1:19" ht="30" customHeight="1">
      <c r="A41" s="52">
        <f t="shared" si="0"/>
        <v>0</v>
      </c>
      <c r="B41" s="52">
        <f t="shared" si="1"/>
        <v>0</v>
      </c>
      <c r="C41" s="96" t="str">
        <f>IF(CAD_PROD!C41="","",CAD_PROD!C41)</f>
        <v/>
      </c>
      <c r="D41" s="75"/>
      <c r="E41" s="125"/>
      <c r="F41" s="125"/>
      <c r="G41" s="75"/>
      <c r="H41" s="75" t="str">
        <f>IF(C41="","",D41+CAD_PROD!D41*(E41+F41)+G41)</f>
        <v/>
      </c>
      <c r="I41" s="52">
        <v>9.9999999999999995E-7</v>
      </c>
      <c r="J41" s="68" t="str">
        <f>IF(ISERROR(
CAD_PROD!F41*E41),"",CAD_PROD!F41*E41)</f>
        <v/>
      </c>
      <c r="K41" s="68" t="str">
        <f>IF(ISERROR(
CAD_PROD!F41*F41),"",CAD_PROD!F41*F41)</f>
        <v/>
      </c>
      <c r="L41" s="68" t="str">
        <f>IF(ISERROR(
CAD_PROD!D41-H41),"",CAD_PROD!D41-H41)</f>
        <v/>
      </c>
      <c r="M41" s="57" t="str">
        <f>IF(ISERROR(
L41/CAD_PROD!D41),"",L41/CAD_PROD!D41)</f>
        <v/>
      </c>
      <c r="N41" s="68" t="str">
        <f>IF(ISERROR(
(P41*CAD_PROD!D41)),"",(P41*CAD_PROD!D41))</f>
        <v/>
      </c>
      <c r="O41" s="68" t="str">
        <f>IF(ISERROR(PE_GERAL!$J$7*CAD_PROD!G41),"",PE_GERAL!$J$7*CAD_PROD!G41)</f>
        <v/>
      </c>
      <c r="P41" s="101" t="str">
        <f t="shared" si="2"/>
        <v/>
      </c>
      <c r="Q41" s="68" t="str">
        <f>IF(C41="","",IF(ISERROR(
CAD_PROD!E41*G41),"",CAD_PROD!E41*G41))</f>
        <v/>
      </c>
      <c r="R41" s="68" t="str">
        <f>IF(C41="","",IF(ISERROR(
CAD_PROD!E41*D41),"",CAD_PROD!E41*D41))</f>
        <v/>
      </c>
      <c r="S41" s="44" t="str">
        <f>IF(C41="","",IF(CAD_PROD!E41&gt;=P41,"Sim","Não"))</f>
        <v/>
      </c>
    </row>
    <row r="42" spans="1:19" ht="30" customHeight="1">
      <c r="A42" s="52">
        <f t="shared" si="0"/>
        <v>0</v>
      </c>
      <c r="B42" s="52">
        <f t="shared" si="1"/>
        <v>0</v>
      </c>
      <c r="C42" s="96" t="str">
        <f>IF(CAD_PROD!C42="","",CAD_PROD!C42)</f>
        <v/>
      </c>
      <c r="D42" s="75"/>
      <c r="E42" s="125"/>
      <c r="F42" s="125"/>
      <c r="G42" s="75"/>
      <c r="H42" s="75" t="str">
        <f>IF(C42="","",D42+CAD_PROD!D42*(E42+F42)+G42)</f>
        <v/>
      </c>
      <c r="I42" s="52">
        <v>9.9999999999999995E-7</v>
      </c>
      <c r="J42" s="68" t="str">
        <f>IF(ISERROR(
CAD_PROD!F42*E42),"",CAD_PROD!F42*E42)</f>
        <v/>
      </c>
      <c r="K42" s="68" t="str">
        <f>IF(ISERROR(
CAD_PROD!F42*F42),"",CAD_PROD!F42*F42)</f>
        <v/>
      </c>
      <c r="L42" s="68" t="str">
        <f>IF(ISERROR(
CAD_PROD!D42-H42),"",CAD_PROD!D42-H42)</f>
        <v/>
      </c>
      <c r="M42" s="57" t="str">
        <f>IF(ISERROR(
L42/CAD_PROD!D42),"",L42/CAD_PROD!D42)</f>
        <v/>
      </c>
      <c r="N42" s="68" t="str">
        <f>IF(ISERROR(
(P42*CAD_PROD!D42)),"",(P42*CAD_PROD!D42))</f>
        <v/>
      </c>
      <c r="O42" s="68" t="str">
        <f>IF(ISERROR(PE_GERAL!$J$7*CAD_PROD!G42),"",PE_GERAL!$J$7*CAD_PROD!G42)</f>
        <v/>
      </c>
      <c r="P42" s="101" t="str">
        <f t="shared" si="2"/>
        <v/>
      </c>
      <c r="Q42" s="68" t="str">
        <f>IF(C42="","",IF(ISERROR(
CAD_PROD!E42*G42),"",CAD_PROD!E42*G42))</f>
        <v/>
      </c>
      <c r="R42" s="68" t="str">
        <f>IF(C42="","",IF(ISERROR(
CAD_PROD!E42*D42),"",CAD_PROD!E42*D42))</f>
        <v/>
      </c>
      <c r="S42" s="44" t="str">
        <f>IF(C42="","",IF(CAD_PROD!E42&gt;=P42,"Sim","Não"))</f>
        <v/>
      </c>
    </row>
    <row r="43" spans="1:19" ht="30" customHeight="1">
      <c r="A43" s="52">
        <f t="shared" si="0"/>
        <v>0</v>
      </c>
      <c r="B43" s="52">
        <f t="shared" si="1"/>
        <v>0</v>
      </c>
      <c r="C43" s="96" t="str">
        <f>IF(CAD_PROD!C43="","",CAD_PROD!C43)</f>
        <v/>
      </c>
      <c r="D43" s="75"/>
      <c r="E43" s="125"/>
      <c r="F43" s="125"/>
      <c r="G43" s="75"/>
      <c r="H43" s="75" t="str">
        <f>IF(C43="","",D43+CAD_PROD!D43*(E43+F43)+G43)</f>
        <v/>
      </c>
      <c r="I43" s="52">
        <v>9.9999999999999995E-7</v>
      </c>
      <c r="J43" s="68" t="str">
        <f>IF(ISERROR(
CAD_PROD!F43*E43),"",CAD_PROD!F43*E43)</f>
        <v/>
      </c>
      <c r="K43" s="68" t="str">
        <f>IF(ISERROR(
CAD_PROD!F43*F43),"",CAD_PROD!F43*F43)</f>
        <v/>
      </c>
      <c r="L43" s="68" t="str">
        <f>IF(ISERROR(
CAD_PROD!D43-H43),"",CAD_PROD!D43-H43)</f>
        <v/>
      </c>
      <c r="M43" s="57" t="str">
        <f>IF(ISERROR(
L43/CAD_PROD!D43),"",L43/CAD_PROD!D43)</f>
        <v/>
      </c>
      <c r="N43" s="68" t="str">
        <f>IF(ISERROR(
(P43*CAD_PROD!D43)),"",(P43*CAD_PROD!D43))</f>
        <v/>
      </c>
      <c r="O43" s="68" t="str">
        <f>IF(ISERROR(PE_GERAL!$J$7*CAD_PROD!G43),"",PE_GERAL!$J$7*CAD_PROD!G43)</f>
        <v/>
      </c>
      <c r="P43" s="101" t="str">
        <f t="shared" si="2"/>
        <v/>
      </c>
      <c r="Q43" s="68" t="str">
        <f>IF(C43="","",IF(ISERROR(
CAD_PROD!E43*G43),"",CAD_PROD!E43*G43))</f>
        <v/>
      </c>
      <c r="R43" s="68" t="str">
        <f>IF(C43="","",IF(ISERROR(
CAD_PROD!E43*D43),"",CAD_PROD!E43*D43))</f>
        <v/>
      </c>
      <c r="S43" s="44" t="str">
        <f>IF(C43="","",IF(CAD_PROD!E43&gt;=P43,"Sim","Não"))</f>
        <v/>
      </c>
    </row>
    <row r="44" spans="1:19" ht="30" customHeight="1">
      <c r="A44" s="52">
        <f t="shared" si="0"/>
        <v>0</v>
      </c>
      <c r="B44" s="52">
        <f t="shared" si="1"/>
        <v>0</v>
      </c>
      <c r="C44" s="96" t="str">
        <f>IF(CAD_PROD!C44="","",CAD_PROD!C44)</f>
        <v/>
      </c>
      <c r="D44" s="75"/>
      <c r="E44" s="125"/>
      <c r="F44" s="125"/>
      <c r="G44" s="75"/>
      <c r="H44" s="75" t="str">
        <f>IF(C44="","",D44+CAD_PROD!D44*(E44+F44)+G44)</f>
        <v/>
      </c>
      <c r="I44" s="52">
        <v>9.9999999999999995E-7</v>
      </c>
      <c r="J44" s="68" t="str">
        <f>IF(ISERROR(
CAD_PROD!F44*E44),"",CAD_PROD!F44*E44)</f>
        <v/>
      </c>
      <c r="K44" s="68" t="str">
        <f>IF(ISERROR(
CAD_PROD!F44*F44),"",CAD_PROD!F44*F44)</f>
        <v/>
      </c>
      <c r="L44" s="68" t="str">
        <f>IF(ISERROR(
CAD_PROD!D44-H44),"",CAD_PROD!D44-H44)</f>
        <v/>
      </c>
      <c r="M44" s="57" t="str">
        <f>IF(ISERROR(
L44/CAD_PROD!D44),"",L44/CAD_PROD!D44)</f>
        <v/>
      </c>
      <c r="N44" s="68" t="str">
        <f>IF(ISERROR(
(P44*CAD_PROD!D44)),"",(P44*CAD_PROD!D44))</f>
        <v/>
      </c>
      <c r="O44" s="68" t="str">
        <f>IF(ISERROR(PE_GERAL!$J$7*CAD_PROD!G44),"",PE_GERAL!$J$7*CAD_PROD!G44)</f>
        <v/>
      </c>
      <c r="P44" s="101" t="str">
        <f t="shared" si="2"/>
        <v/>
      </c>
      <c r="Q44" s="68" t="str">
        <f>IF(C44="","",IF(ISERROR(
CAD_PROD!E44*G44),"",CAD_PROD!E44*G44))</f>
        <v/>
      </c>
      <c r="R44" s="68" t="str">
        <f>IF(C44="","",IF(ISERROR(
CAD_PROD!E44*D44),"",CAD_PROD!E44*D44))</f>
        <v/>
      </c>
      <c r="S44" s="44" t="str">
        <f>IF(C44="","",IF(CAD_PROD!E44&gt;=P44,"Sim","Não"))</f>
        <v/>
      </c>
    </row>
    <row r="45" spans="1:19" ht="30" customHeight="1">
      <c r="A45" s="52">
        <f t="shared" si="0"/>
        <v>0</v>
      </c>
      <c r="B45" s="52">
        <f t="shared" si="1"/>
        <v>0</v>
      </c>
      <c r="C45" s="96" t="str">
        <f>IF(CAD_PROD!C45="","",CAD_PROD!C45)</f>
        <v/>
      </c>
      <c r="D45" s="75"/>
      <c r="E45" s="125"/>
      <c r="F45" s="125"/>
      <c r="G45" s="75"/>
      <c r="H45" s="75" t="str">
        <f>IF(C45="","",D45+CAD_PROD!D45*(E45+F45)+G45)</f>
        <v/>
      </c>
      <c r="I45" s="52">
        <v>9.9999999999999995E-7</v>
      </c>
      <c r="J45" s="68" t="str">
        <f>IF(ISERROR(
CAD_PROD!F45*E45),"",CAD_PROD!F45*E45)</f>
        <v/>
      </c>
      <c r="K45" s="68" t="str">
        <f>IF(ISERROR(
CAD_PROD!F45*F45),"",CAD_PROD!F45*F45)</f>
        <v/>
      </c>
      <c r="L45" s="68" t="str">
        <f>IF(ISERROR(
CAD_PROD!D45-H45),"",CAD_PROD!D45-H45)</f>
        <v/>
      </c>
      <c r="M45" s="57" t="str">
        <f>IF(ISERROR(
L45/CAD_PROD!D45),"",L45/CAD_PROD!D45)</f>
        <v/>
      </c>
      <c r="N45" s="68" t="str">
        <f>IF(ISERROR(
(P45*CAD_PROD!D45)),"",(P45*CAD_PROD!D45))</f>
        <v/>
      </c>
      <c r="O45" s="68" t="str">
        <f>IF(ISERROR(PE_GERAL!$J$7*CAD_PROD!G45),"",PE_GERAL!$J$7*CAD_PROD!G45)</f>
        <v/>
      </c>
      <c r="P45" s="101" t="str">
        <f t="shared" si="2"/>
        <v/>
      </c>
      <c r="Q45" s="68" t="str">
        <f>IF(C45="","",IF(ISERROR(
CAD_PROD!E45*G45),"",CAD_PROD!E45*G45))</f>
        <v/>
      </c>
      <c r="R45" s="68" t="str">
        <f>IF(C45="","",IF(ISERROR(
CAD_PROD!E45*D45),"",CAD_PROD!E45*D45))</f>
        <v/>
      </c>
      <c r="S45" s="44" t="str">
        <f>IF(C45="","",IF(CAD_PROD!E45&gt;=P45,"Sim","Não"))</f>
        <v/>
      </c>
    </row>
    <row r="46" spans="1:19" ht="30" customHeight="1">
      <c r="A46" s="52">
        <f t="shared" si="0"/>
        <v>0</v>
      </c>
      <c r="B46" s="52">
        <f t="shared" si="1"/>
        <v>0</v>
      </c>
      <c r="C46" s="96" t="str">
        <f>IF(CAD_PROD!C46="","",CAD_PROD!C46)</f>
        <v/>
      </c>
      <c r="D46" s="75"/>
      <c r="E46" s="125"/>
      <c r="F46" s="125"/>
      <c r="G46" s="75"/>
      <c r="H46" s="75" t="str">
        <f>IF(C46="","",D46+CAD_PROD!D46*(E46+F46)+G46)</f>
        <v/>
      </c>
      <c r="I46" s="52">
        <v>9.9999999999999995E-7</v>
      </c>
      <c r="J46" s="68" t="str">
        <f>IF(ISERROR(
CAD_PROD!F46*E46),"",CAD_PROD!F46*E46)</f>
        <v/>
      </c>
      <c r="K46" s="68" t="str">
        <f>IF(ISERROR(
CAD_PROD!F46*F46),"",CAD_PROD!F46*F46)</f>
        <v/>
      </c>
      <c r="L46" s="68" t="str">
        <f>IF(ISERROR(
CAD_PROD!D46-H46),"",CAD_PROD!D46-H46)</f>
        <v/>
      </c>
      <c r="M46" s="57" t="str">
        <f>IF(ISERROR(
L46/CAD_PROD!D46),"",L46/CAD_PROD!D46)</f>
        <v/>
      </c>
      <c r="N46" s="68" t="str">
        <f>IF(ISERROR(
(P46*CAD_PROD!D46)),"",(P46*CAD_PROD!D46))</f>
        <v/>
      </c>
      <c r="O46" s="68" t="str">
        <f>IF(ISERROR(PE_GERAL!$J$7*CAD_PROD!G46),"",PE_GERAL!$J$7*CAD_PROD!G46)</f>
        <v/>
      </c>
      <c r="P46" s="101" t="str">
        <f t="shared" si="2"/>
        <v/>
      </c>
      <c r="Q46" s="68" t="str">
        <f>IF(C46="","",IF(ISERROR(
CAD_PROD!E46*G46),"",CAD_PROD!E46*G46))</f>
        <v/>
      </c>
      <c r="R46" s="68" t="str">
        <f>IF(C46="","",IF(ISERROR(
CAD_PROD!E46*D46),"",CAD_PROD!E46*D46))</f>
        <v/>
      </c>
      <c r="S46" s="44" t="str">
        <f>IF(C46="","",IF(CAD_PROD!E46&gt;=P46,"Sim","Não"))</f>
        <v/>
      </c>
    </row>
    <row r="47" spans="1:19" ht="30" customHeight="1">
      <c r="A47" s="52">
        <f t="shared" si="0"/>
        <v>0</v>
      </c>
      <c r="B47" s="52">
        <f t="shared" si="1"/>
        <v>0</v>
      </c>
      <c r="C47" s="96" t="str">
        <f>IF(CAD_PROD!C47="","",CAD_PROD!C47)</f>
        <v/>
      </c>
      <c r="D47" s="75"/>
      <c r="E47" s="125"/>
      <c r="F47" s="125"/>
      <c r="G47" s="75"/>
      <c r="H47" s="75" t="str">
        <f>IF(C47="","",D47+CAD_PROD!D47*(E47+F47)+G47)</f>
        <v/>
      </c>
      <c r="I47" s="52">
        <v>9.9999999999999995E-7</v>
      </c>
      <c r="J47" s="68" t="str">
        <f>IF(ISERROR(
CAD_PROD!F47*E47),"",CAD_PROD!F47*E47)</f>
        <v/>
      </c>
      <c r="K47" s="68" t="str">
        <f>IF(ISERROR(
CAD_PROD!F47*F47),"",CAD_PROD!F47*F47)</f>
        <v/>
      </c>
      <c r="L47" s="68" t="str">
        <f>IF(ISERROR(
CAD_PROD!D47-H47),"",CAD_PROD!D47-H47)</f>
        <v/>
      </c>
      <c r="M47" s="57" t="str">
        <f>IF(ISERROR(
L47/CAD_PROD!D47),"",L47/CAD_PROD!D47)</f>
        <v/>
      </c>
      <c r="N47" s="68" t="str">
        <f>IF(ISERROR(
(P47*CAD_PROD!D47)),"",(P47*CAD_PROD!D47))</f>
        <v/>
      </c>
      <c r="O47" s="68" t="str">
        <f>IF(ISERROR(PE_GERAL!$J$7*CAD_PROD!G47),"",PE_GERAL!$J$7*CAD_PROD!G47)</f>
        <v/>
      </c>
      <c r="P47" s="101" t="str">
        <f t="shared" si="2"/>
        <v/>
      </c>
      <c r="Q47" s="68" t="str">
        <f>IF(C47="","",IF(ISERROR(
CAD_PROD!E47*G47),"",CAD_PROD!E47*G47))</f>
        <v/>
      </c>
      <c r="R47" s="68" t="str">
        <f>IF(C47="","",IF(ISERROR(
CAD_PROD!E47*D47),"",CAD_PROD!E47*D47))</f>
        <v/>
      </c>
      <c r="S47" s="44" t="str">
        <f>IF(C47="","",IF(CAD_PROD!E47&gt;=P47,"Sim","Não"))</f>
        <v/>
      </c>
    </row>
    <row r="48" spans="1:19" ht="30" customHeight="1">
      <c r="A48" s="52">
        <f t="shared" si="0"/>
        <v>0</v>
      </c>
      <c r="B48" s="52">
        <f t="shared" si="1"/>
        <v>0</v>
      </c>
      <c r="C48" s="96" t="str">
        <f>IF(CAD_PROD!C48="","",CAD_PROD!C48)</f>
        <v/>
      </c>
      <c r="D48" s="75"/>
      <c r="E48" s="125"/>
      <c r="F48" s="125"/>
      <c r="G48" s="75"/>
      <c r="H48" s="75" t="str">
        <f>IF(C48="","",D48+CAD_PROD!D48*(E48+F48)+G48)</f>
        <v/>
      </c>
      <c r="I48" s="52">
        <v>9.9999999999999995E-7</v>
      </c>
      <c r="J48" s="68" t="str">
        <f>IF(ISERROR(
CAD_PROD!F48*E48),"",CAD_PROD!F48*E48)</f>
        <v/>
      </c>
      <c r="K48" s="68" t="str">
        <f>IF(ISERROR(
CAD_PROD!F48*F48),"",CAD_PROD!F48*F48)</f>
        <v/>
      </c>
      <c r="L48" s="68" t="str">
        <f>IF(ISERROR(
CAD_PROD!D48-H48),"",CAD_PROD!D48-H48)</f>
        <v/>
      </c>
      <c r="M48" s="57" t="str">
        <f>IF(ISERROR(
L48/CAD_PROD!D48),"",L48/CAD_PROD!D48)</f>
        <v/>
      </c>
      <c r="N48" s="68" t="str">
        <f>IF(ISERROR(
(P48*CAD_PROD!D48)),"",(P48*CAD_PROD!D48))</f>
        <v/>
      </c>
      <c r="O48" s="68" t="str">
        <f>IF(ISERROR(PE_GERAL!$J$7*CAD_PROD!G48),"",PE_GERAL!$J$7*CAD_PROD!G48)</f>
        <v/>
      </c>
      <c r="P48" s="101" t="str">
        <f t="shared" si="2"/>
        <v/>
      </c>
      <c r="Q48" s="68" t="str">
        <f>IF(C48="","",IF(ISERROR(
CAD_PROD!E48*G48),"",CAD_PROD!E48*G48))</f>
        <v/>
      </c>
      <c r="R48" s="68" t="str">
        <f>IF(C48="","",IF(ISERROR(
CAD_PROD!E48*D48),"",CAD_PROD!E48*D48))</f>
        <v/>
      </c>
      <c r="S48" s="44" t="str">
        <f>IF(C48="","",IF(CAD_PROD!E48&gt;=P48,"Sim","Não"))</f>
        <v/>
      </c>
    </row>
    <row r="49" spans="1:19" ht="30" customHeight="1">
      <c r="A49" s="52">
        <f t="shared" si="0"/>
        <v>0</v>
      </c>
      <c r="B49" s="52">
        <f t="shared" si="1"/>
        <v>0</v>
      </c>
      <c r="C49" s="96" t="str">
        <f>IF(CAD_PROD!C49="","",CAD_PROD!C49)</f>
        <v/>
      </c>
      <c r="D49" s="75"/>
      <c r="E49" s="125"/>
      <c r="F49" s="125"/>
      <c r="G49" s="75"/>
      <c r="H49" s="75" t="str">
        <f>IF(C49="","",D49+CAD_PROD!D49*(E49+F49)+G49)</f>
        <v/>
      </c>
      <c r="I49" s="52">
        <v>9.9999999999999995E-7</v>
      </c>
      <c r="J49" s="68" t="str">
        <f>IF(ISERROR(
CAD_PROD!F49*E49),"",CAD_PROD!F49*E49)</f>
        <v/>
      </c>
      <c r="K49" s="68" t="str">
        <f>IF(ISERROR(
CAD_PROD!F49*F49),"",CAD_PROD!F49*F49)</f>
        <v/>
      </c>
      <c r="L49" s="68" t="str">
        <f>IF(ISERROR(
CAD_PROD!D49-H49),"",CAD_PROD!D49-H49)</f>
        <v/>
      </c>
      <c r="M49" s="57" t="str">
        <f>IF(ISERROR(
L49/CAD_PROD!D49),"",L49/CAD_PROD!D49)</f>
        <v/>
      </c>
      <c r="N49" s="68" t="str">
        <f>IF(ISERROR(
(P49*CAD_PROD!D49)),"",(P49*CAD_PROD!D49))</f>
        <v/>
      </c>
      <c r="O49" s="68" t="str">
        <f>IF(ISERROR(PE_GERAL!$J$7*CAD_PROD!G49),"",PE_GERAL!$J$7*CAD_PROD!G49)</f>
        <v/>
      </c>
      <c r="P49" s="101" t="str">
        <f t="shared" si="2"/>
        <v/>
      </c>
      <c r="Q49" s="68" t="str">
        <f>IF(C49="","",IF(ISERROR(
CAD_PROD!E49*G49),"",CAD_PROD!E49*G49))</f>
        <v/>
      </c>
      <c r="R49" s="68" t="str">
        <f>IF(C49="","",IF(ISERROR(
CAD_PROD!E49*D49),"",CAD_PROD!E49*D49))</f>
        <v/>
      </c>
      <c r="S49" s="44" t="str">
        <f>IF(C49="","",IF(CAD_PROD!E49&gt;=P49,"Sim","Não"))</f>
        <v/>
      </c>
    </row>
    <row r="50" spans="1:19" ht="30" customHeight="1">
      <c r="A50" s="52">
        <f t="shared" si="0"/>
        <v>0</v>
      </c>
      <c r="B50" s="52">
        <f t="shared" si="1"/>
        <v>0</v>
      </c>
      <c r="C50" s="96" t="str">
        <f>IF(CAD_PROD!C50="","",CAD_PROD!C50)</f>
        <v/>
      </c>
      <c r="D50" s="75"/>
      <c r="E50" s="125"/>
      <c r="F50" s="125"/>
      <c r="G50" s="75"/>
      <c r="H50" s="75" t="str">
        <f>IF(C50="","",D50+CAD_PROD!D50*(E50+F50)+G50)</f>
        <v/>
      </c>
      <c r="I50" s="52">
        <v>9.9999999999999995E-7</v>
      </c>
      <c r="J50" s="68" t="str">
        <f>IF(ISERROR(
CAD_PROD!F50*E50),"",CAD_PROD!F50*E50)</f>
        <v/>
      </c>
      <c r="K50" s="68" t="str">
        <f>IF(ISERROR(
CAD_PROD!F50*F50),"",CAD_PROD!F50*F50)</f>
        <v/>
      </c>
      <c r="L50" s="68" t="str">
        <f>IF(ISERROR(
CAD_PROD!D50-H50),"",CAD_PROD!D50-H50)</f>
        <v/>
      </c>
      <c r="M50" s="57" t="str">
        <f>IF(ISERROR(
L50/CAD_PROD!D50),"",L50/CAD_PROD!D50)</f>
        <v/>
      </c>
      <c r="N50" s="68" t="str">
        <f>IF(ISERROR(
(P50*CAD_PROD!D50)),"",(P50*CAD_PROD!D50))</f>
        <v/>
      </c>
      <c r="O50" s="68" t="str">
        <f>IF(ISERROR(PE_GERAL!$J$7*CAD_PROD!G50),"",PE_GERAL!$J$7*CAD_PROD!G50)</f>
        <v/>
      </c>
      <c r="P50" s="101" t="str">
        <f t="shared" si="2"/>
        <v/>
      </c>
      <c r="Q50" s="68" t="str">
        <f>IF(C50="","",IF(ISERROR(
CAD_PROD!E50*G50),"",CAD_PROD!E50*G50))</f>
        <v/>
      </c>
      <c r="R50" s="68" t="str">
        <f>IF(C50="","",IF(ISERROR(
CAD_PROD!E50*D50),"",CAD_PROD!E50*D50))</f>
        <v/>
      </c>
      <c r="S50" s="44" t="str">
        <f>IF(C50="","",IF(CAD_PROD!E50&gt;=P50,"Sim","Não"))</f>
        <v/>
      </c>
    </row>
    <row r="51" spans="1:19" ht="30" customHeight="1">
      <c r="A51" s="52">
        <f t="shared" si="0"/>
        <v>0</v>
      </c>
      <c r="B51" s="52">
        <f t="shared" si="1"/>
        <v>0</v>
      </c>
      <c r="C51" s="96" t="str">
        <f>IF(CAD_PROD!C51="","",CAD_PROD!C51)</f>
        <v/>
      </c>
      <c r="D51" s="75"/>
      <c r="E51" s="125"/>
      <c r="F51" s="125"/>
      <c r="G51" s="75"/>
      <c r="H51" s="75" t="str">
        <f>IF(C51="","",D51+CAD_PROD!D51*(E51+F51)+G51)</f>
        <v/>
      </c>
      <c r="I51" s="52">
        <v>9.9999999999999995E-7</v>
      </c>
      <c r="J51" s="68" t="str">
        <f>IF(ISERROR(
CAD_PROD!F51*E51),"",CAD_PROD!F51*E51)</f>
        <v/>
      </c>
      <c r="K51" s="68" t="str">
        <f>IF(ISERROR(
CAD_PROD!F51*F51),"",CAD_PROD!F51*F51)</f>
        <v/>
      </c>
      <c r="L51" s="68" t="str">
        <f>IF(ISERROR(
CAD_PROD!D51-H51),"",CAD_PROD!D51-H51)</f>
        <v/>
      </c>
      <c r="M51" s="57" t="str">
        <f>IF(ISERROR(
L51/CAD_PROD!D51),"",L51/CAD_PROD!D51)</f>
        <v/>
      </c>
      <c r="N51" s="68" t="str">
        <f>IF(ISERROR(
(P51*CAD_PROD!D51)),"",(P51*CAD_PROD!D51))</f>
        <v/>
      </c>
      <c r="O51" s="68" t="str">
        <f>IF(ISERROR(PE_GERAL!$J$7*CAD_PROD!G51),"",PE_GERAL!$J$7*CAD_PROD!G51)</f>
        <v/>
      </c>
      <c r="P51" s="101" t="str">
        <f t="shared" si="2"/>
        <v/>
      </c>
      <c r="Q51" s="68" t="str">
        <f>IF(C51="","",IF(ISERROR(
CAD_PROD!E51*G51),"",CAD_PROD!E51*G51))</f>
        <v/>
      </c>
      <c r="R51" s="68" t="str">
        <f>IF(C51="","",IF(ISERROR(
CAD_PROD!E51*D51),"",CAD_PROD!E51*D51))</f>
        <v/>
      </c>
      <c r="S51" s="44" t="str">
        <f>IF(C51="","",IF(CAD_PROD!E51&gt;=P51,"Sim","Não"))</f>
        <v/>
      </c>
    </row>
    <row r="52" spans="1:19" ht="30" customHeight="1">
      <c r="A52" s="52">
        <f t="shared" si="0"/>
        <v>0</v>
      </c>
      <c r="B52" s="52">
        <f t="shared" si="1"/>
        <v>0</v>
      </c>
      <c r="C52" s="96" t="str">
        <f>IF(CAD_PROD!C52="","",CAD_PROD!C52)</f>
        <v/>
      </c>
      <c r="D52" s="75"/>
      <c r="E52" s="125"/>
      <c r="F52" s="125"/>
      <c r="G52" s="75"/>
      <c r="H52" s="75" t="str">
        <f>IF(C52="","",D52+CAD_PROD!D52*(E52+F52)+G52)</f>
        <v/>
      </c>
      <c r="I52" s="52">
        <v>9.9999999999999995E-7</v>
      </c>
      <c r="J52" s="68" t="str">
        <f>IF(ISERROR(
CAD_PROD!F52*E52),"",CAD_PROD!F52*E52)</f>
        <v/>
      </c>
      <c r="K52" s="68" t="str">
        <f>IF(ISERROR(
CAD_PROD!F52*F52),"",CAD_PROD!F52*F52)</f>
        <v/>
      </c>
      <c r="L52" s="68" t="str">
        <f>IF(ISERROR(
CAD_PROD!D52-H52),"",CAD_PROD!D52-H52)</f>
        <v/>
      </c>
      <c r="M52" s="57" t="str">
        <f>IF(ISERROR(
L52/CAD_PROD!D52),"",L52/CAD_PROD!D52)</f>
        <v/>
      </c>
      <c r="N52" s="68" t="str">
        <f>IF(ISERROR(
(P52*CAD_PROD!D52)),"",(P52*CAD_PROD!D52))</f>
        <v/>
      </c>
      <c r="O52" s="68" t="str">
        <f>IF(ISERROR(PE_GERAL!$J$7*CAD_PROD!G52),"",PE_GERAL!$J$7*CAD_PROD!G52)</f>
        <v/>
      </c>
      <c r="P52" s="101" t="str">
        <f t="shared" si="2"/>
        <v/>
      </c>
      <c r="Q52" s="68" t="str">
        <f>IF(C52="","",IF(ISERROR(
CAD_PROD!E52*G52),"",CAD_PROD!E52*G52))</f>
        <v/>
      </c>
      <c r="R52" s="68" t="str">
        <f>IF(C52="","",IF(ISERROR(
CAD_PROD!E52*D52),"",CAD_PROD!E52*D52))</f>
        <v/>
      </c>
      <c r="S52" s="44" t="str">
        <f>IF(C52="","",IF(CAD_PROD!E52&gt;=P52,"Sim","Não"))</f>
        <v/>
      </c>
    </row>
    <row r="53" spans="1:19" ht="30" customHeight="1">
      <c r="A53" s="52">
        <f t="shared" si="0"/>
        <v>0</v>
      </c>
      <c r="B53" s="52">
        <f t="shared" si="1"/>
        <v>0</v>
      </c>
      <c r="C53" s="96" t="str">
        <f>IF(CAD_PROD!C53="","",CAD_PROD!C53)</f>
        <v/>
      </c>
      <c r="D53" s="75"/>
      <c r="E53" s="125"/>
      <c r="F53" s="125"/>
      <c r="G53" s="75"/>
      <c r="H53" s="75" t="str">
        <f>IF(C53="","",D53+CAD_PROD!D53*(E53+F53)+G53)</f>
        <v/>
      </c>
      <c r="I53" s="52">
        <v>9.9999999999999995E-7</v>
      </c>
      <c r="J53" s="68" t="str">
        <f>IF(ISERROR(
CAD_PROD!F53*E53),"",CAD_PROD!F53*E53)</f>
        <v/>
      </c>
      <c r="K53" s="68" t="str">
        <f>IF(ISERROR(
CAD_PROD!F53*F53),"",CAD_PROD!F53*F53)</f>
        <v/>
      </c>
      <c r="L53" s="68" t="str">
        <f>IF(ISERROR(
CAD_PROD!D53-H53),"",CAD_PROD!D53-H53)</f>
        <v/>
      </c>
      <c r="M53" s="57" t="str">
        <f>IF(ISERROR(
L53/CAD_PROD!D53),"",L53/CAD_PROD!D53)</f>
        <v/>
      </c>
      <c r="N53" s="68" t="str">
        <f>IF(ISERROR(
(P53*CAD_PROD!D53)),"",(P53*CAD_PROD!D53))</f>
        <v/>
      </c>
      <c r="O53" s="68" t="str">
        <f>IF(ISERROR(PE_GERAL!$J$7*CAD_PROD!G53),"",PE_GERAL!$J$7*CAD_PROD!G53)</f>
        <v/>
      </c>
      <c r="P53" s="101" t="str">
        <f t="shared" si="2"/>
        <v/>
      </c>
      <c r="Q53" s="68" t="str">
        <f>IF(C53="","",IF(ISERROR(
CAD_PROD!E53*G53),"",CAD_PROD!E53*G53))</f>
        <v/>
      </c>
      <c r="R53" s="68" t="str">
        <f>IF(C53="","",IF(ISERROR(
CAD_PROD!E53*D53),"",CAD_PROD!E53*D53))</f>
        <v/>
      </c>
      <c r="S53" s="44" t="str">
        <f>IF(C53="","",IF(CAD_PROD!E53&gt;=P53,"Sim","Não"))</f>
        <v/>
      </c>
    </row>
    <row r="54" spans="1:19" ht="30" customHeight="1">
      <c r="A54" s="52">
        <f t="shared" si="0"/>
        <v>0</v>
      </c>
      <c r="B54" s="52">
        <f t="shared" si="1"/>
        <v>0</v>
      </c>
      <c r="C54" s="96" t="str">
        <f>IF(CAD_PROD!C54="","",CAD_PROD!C54)</f>
        <v/>
      </c>
      <c r="D54" s="75"/>
      <c r="E54" s="125"/>
      <c r="F54" s="125"/>
      <c r="G54" s="75"/>
      <c r="H54" s="75" t="str">
        <f>IF(C54="","",D54+CAD_PROD!D54*(E54+F54)+G54)</f>
        <v/>
      </c>
      <c r="I54" s="52">
        <v>9.9999999999999995E-7</v>
      </c>
      <c r="J54" s="68" t="str">
        <f>IF(ISERROR(
CAD_PROD!F54*E54),"",CAD_PROD!F54*E54)</f>
        <v/>
      </c>
      <c r="K54" s="68" t="str">
        <f>IF(ISERROR(
CAD_PROD!F54*F54),"",CAD_PROD!F54*F54)</f>
        <v/>
      </c>
      <c r="L54" s="68" t="str">
        <f>IF(ISERROR(
CAD_PROD!D54-H54),"",CAD_PROD!D54-H54)</f>
        <v/>
      </c>
      <c r="M54" s="57" t="str">
        <f>IF(ISERROR(
L54/CAD_PROD!D54),"",L54/CAD_PROD!D54)</f>
        <v/>
      </c>
      <c r="N54" s="68" t="str">
        <f>IF(ISERROR(
(P54*CAD_PROD!D54)),"",(P54*CAD_PROD!D54))</f>
        <v/>
      </c>
      <c r="O54" s="68" t="str">
        <f>IF(ISERROR(PE_GERAL!$J$7*CAD_PROD!G54),"",PE_GERAL!$J$7*CAD_PROD!G54)</f>
        <v/>
      </c>
      <c r="P54" s="101" t="str">
        <f t="shared" si="2"/>
        <v/>
      </c>
      <c r="Q54" s="68" t="str">
        <f>IF(C54="","",IF(ISERROR(
CAD_PROD!E54*G54),"",CAD_PROD!E54*G54))</f>
        <v/>
      </c>
      <c r="R54" s="68" t="str">
        <f>IF(C54="","",IF(ISERROR(
CAD_PROD!E54*D54),"",CAD_PROD!E54*D54))</f>
        <v/>
      </c>
      <c r="S54" s="44" t="str">
        <f>IF(C54="","",IF(CAD_PROD!E54&gt;=P54,"Sim","Não"))</f>
        <v/>
      </c>
    </row>
    <row r="55" spans="1:19" ht="30" customHeight="1">
      <c r="A55" s="52">
        <f t="shared" si="0"/>
        <v>0</v>
      </c>
      <c r="B55" s="52">
        <f t="shared" si="1"/>
        <v>0</v>
      </c>
      <c r="C55" s="96" t="str">
        <f>IF(CAD_PROD!C55="","",CAD_PROD!C55)</f>
        <v/>
      </c>
      <c r="D55" s="75"/>
      <c r="E55" s="125"/>
      <c r="F55" s="125"/>
      <c r="G55" s="75"/>
      <c r="H55" s="75" t="str">
        <f>IF(C55="","",D55+CAD_PROD!D55*(E55+F55)+G55)</f>
        <v/>
      </c>
      <c r="I55" s="52">
        <v>9.9999999999999995E-7</v>
      </c>
      <c r="J55" s="68" t="str">
        <f>IF(ISERROR(
CAD_PROD!F55*E55),"",CAD_PROD!F55*E55)</f>
        <v/>
      </c>
      <c r="K55" s="68" t="str">
        <f>IF(ISERROR(
CAD_PROD!F55*F55),"",CAD_PROD!F55*F55)</f>
        <v/>
      </c>
      <c r="L55" s="68" t="str">
        <f>IF(ISERROR(
CAD_PROD!D55-H55),"",CAD_PROD!D55-H55)</f>
        <v/>
      </c>
      <c r="M55" s="57" t="str">
        <f>IF(ISERROR(
L55/CAD_PROD!D55),"",L55/CAD_PROD!D55)</f>
        <v/>
      </c>
      <c r="N55" s="68" t="str">
        <f>IF(ISERROR(
(P55*CAD_PROD!D55)),"",(P55*CAD_PROD!D55))</f>
        <v/>
      </c>
      <c r="O55" s="68" t="str">
        <f>IF(ISERROR(PE_GERAL!$J$7*CAD_PROD!G55),"",PE_GERAL!$J$7*CAD_PROD!G55)</f>
        <v/>
      </c>
      <c r="P55" s="101" t="str">
        <f t="shared" si="2"/>
        <v/>
      </c>
      <c r="Q55" s="68" t="str">
        <f>IF(C55="","",IF(ISERROR(
CAD_PROD!E55*G55),"",CAD_PROD!E55*G55))</f>
        <v/>
      </c>
      <c r="R55" s="68" t="str">
        <f>IF(C55="","",IF(ISERROR(
CAD_PROD!E55*D55),"",CAD_PROD!E55*D55))</f>
        <v/>
      </c>
      <c r="S55" s="44" t="str">
        <f>IF(C55="","",IF(CAD_PROD!E55&gt;=P55,"Sim","Não"))</f>
        <v/>
      </c>
    </row>
    <row r="56" spans="1:19" ht="30" customHeight="1">
      <c r="A56" s="52">
        <f t="shared" si="0"/>
        <v>0</v>
      </c>
      <c r="B56" s="52">
        <f t="shared" si="1"/>
        <v>0</v>
      </c>
      <c r="C56" s="96" t="str">
        <f>IF(CAD_PROD!C56="","",CAD_PROD!C56)</f>
        <v/>
      </c>
      <c r="D56" s="75"/>
      <c r="E56" s="125"/>
      <c r="F56" s="125"/>
      <c r="G56" s="75"/>
      <c r="H56" s="75" t="str">
        <f>IF(C56="","",D56+CAD_PROD!D56*(E56+F56)+G56)</f>
        <v/>
      </c>
      <c r="I56" s="52">
        <v>9.9999999999999995E-7</v>
      </c>
      <c r="J56" s="68" t="str">
        <f>IF(ISERROR(
CAD_PROD!F56*E56),"",CAD_PROD!F56*E56)</f>
        <v/>
      </c>
      <c r="K56" s="68" t="str">
        <f>IF(ISERROR(
CAD_PROD!F56*F56),"",CAD_PROD!F56*F56)</f>
        <v/>
      </c>
      <c r="L56" s="68" t="str">
        <f>IF(ISERROR(
CAD_PROD!D56-H56),"",CAD_PROD!D56-H56)</f>
        <v/>
      </c>
      <c r="M56" s="57" t="str">
        <f>IF(ISERROR(
L56/CAD_PROD!D56),"",L56/CAD_PROD!D56)</f>
        <v/>
      </c>
      <c r="N56" s="68" t="str">
        <f>IF(ISERROR(
(P56*CAD_PROD!D56)),"",(P56*CAD_PROD!D56))</f>
        <v/>
      </c>
      <c r="O56" s="68" t="str">
        <f>IF(ISERROR(PE_GERAL!$J$7*CAD_PROD!G56),"",PE_GERAL!$J$7*CAD_PROD!G56)</f>
        <v/>
      </c>
      <c r="P56" s="101" t="str">
        <f t="shared" si="2"/>
        <v/>
      </c>
      <c r="Q56" s="68" t="str">
        <f>IF(C56="","",IF(ISERROR(
CAD_PROD!E56*G56),"",CAD_PROD!E56*G56))</f>
        <v/>
      </c>
      <c r="R56" s="68" t="str">
        <f>IF(C56="","",IF(ISERROR(
CAD_PROD!E56*D56),"",CAD_PROD!E56*D56))</f>
        <v/>
      </c>
      <c r="S56" s="44" t="str">
        <f>IF(C56="","",IF(CAD_PROD!E56&gt;=P56,"Sim","Não"))</f>
        <v/>
      </c>
    </row>
    <row r="57" spans="1:19" ht="30" customHeight="1">
      <c r="A57" s="52">
        <f t="shared" si="0"/>
        <v>0</v>
      </c>
      <c r="B57" s="52">
        <f t="shared" si="1"/>
        <v>0</v>
      </c>
      <c r="C57" s="96" t="str">
        <f>IF(CAD_PROD!C57="","",CAD_PROD!C57)</f>
        <v/>
      </c>
      <c r="D57" s="75"/>
      <c r="E57" s="125"/>
      <c r="F57" s="125"/>
      <c r="G57" s="75"/>
      <c r="H57" s="75" t="str">
        <f>IF(C57="","",D57+CAD_PROD!D57*(E57+F57)+G57)</f>
        <v/>
      </c>
      <c r="I57" s="52">
        <v>9.9999999999999995E-7</v>
      </c>
      <c r="J57" s="68" t="str">
        <f>IF(ISERROR(
CAD_PROD!F57*E57),"",CAD_PROD!F57*E57)</f>
        <v/>
      </c>
      <c r="K57" s="68" t="str">
        <f>IF(ISERROR(
CAD_PROD!F57*F57),"",CAD_PROD!F57*F57)</f>
        <v/>
      </c>
      <c r="L57" s="68" t="str">
        <f>IF(ISERROR(
CAD_PROD!D57-H57),"",CAD_PROD!D57-H57)</f>
        <v/>
      </c>
      <c r="M57" s="57" t="str">
        <f>IF(ISERROR(
L57/CAD_PROD!D57),"",L57/CAD_PROD!D57)</f>
        <v/>
      </c>
      <c r="N57" s="68" t="str">
        <f>IF(ISERROR(
(P57*CAD_PROD!D57)),"",(P57*CAD_PROD!D57))</f>
        <v/>
      </c>
      <c r="O57" s="68" t="str">
        <f>IF(ISERROR(PE_GERAL!$J$7*CAD_PROD!G57),"",PE_GERAL!$J$7*CAD_PROD!G57)</f>
        <v/>
      </c>
      <c r="P57" s="101" t="str">
        <f t="shared" si="2"/>
        <v/>
      </c>
      <c r="Q57" s="68" t="str">
        <f>IF(C57="","",IF(ISERROR(
CAD_PROD!E57*G57),"",CAD_PROD!E57*G57))</f>
        <v/>
      </c>
      <c r="R57" s="68" t="str">
        <f>IF(C57="","",IF(ISERROR(
CAD_PROD!E57*D57),"",CAD_PROD!E57*D57))</f>
        <v/>
      </c>
      <c r="S57" s="44" t="str">
        <f>IF(C57="","",IF(CAD_PROD!E57&gt;=P57,"Sim","Não"))</f>
        <v/>
      </c>
    </row>
    <row r="58" spans="1:19" ht="30" customHeight="1">
      <c r="A58" s="52">
        <f t="shared" si="0"/>
        <v>0</v>
      </c>
      <c r="B58" s="52">
        <f t="shared" si="1"/>
        <v>0</v>
      </c>
      <c r="C58" s="96" t="str">
        <f>IF(CAD_PROD!C58="","",CAD_PROD!C58)</f>
        <v/>
      </c>
      <c r="D58" s="75"/>
      <c r="E58" s="125"/>
      <c r="F58" s="125"/>
      <c r="G58" s="75"/>
      <c r="H58" s="75" t="str">
        <f>IF(C58="","",D58+CAD_PROD!D58*(E58+F58)+G58)</f>
        <v/>
      </c>
      <c r="I58" s="52">
        <v>9.9999999999999995E-7</v>
      </c>
      <c r="J58" s="68" t="str">
        <f>IF(ISERROR(
CAD_PROD!F58*E58),"",CAD_PROD!F58*E58)</f>
        <v/>
      </c>
      <c r="K58" s="68" t="str">
        <f>IF(ISERROR(
CAD_PROD!F58*F58),"",CAD_PROD!F58*F58)</f>
        <v/>
      </c>
      <c r="L58" s="68" t="str">
        <f>IF(ISERROR(
CAD_PROD!D58-H58),"",CAD_PROD!D58-H58)</f>
        <v/>
      </c>
      <c r="M58" s="57" t="str">
        <f>IF(ISERROR(
L58/CAD_PROD!D58),"",L58/CAD_PROD!D58)</f>
        <v/>
      </c>
      <c r="N58" s="68" t="str">
        <f>IF(ISERROR(
(P58*CAD_PROD!D58)),"",(P58*CAD_PROD!D58))</f>
        <v/>
      </c>
      <c r="O58" s="68" t="str">
        <f>IF(ISERROR(PE_GERAL!$J$7*CAD_PROD!G58),"",PE_GERAL!$J$7*CAD_PROD!G58)</f>
        <v/>
      </c>
      <c r="P58" s="101" t="str">
        <f t="shared" si="2"/>
        <v/>
      </c>
      <c r="Q58" s="68" t="str">
        <f>IF(C58="","",IF(ISERROR(
CAD_PROD!E58*G58),"",CAD_PROD!E58*G58))</f>
        <v/>
      </c>
      <c r="R58" s="68" t="str">
        <f>IF(C58="","",IF(ISERROR(
CAD_PROD!E58*D58),"",CAD_PROD!E58*D58))</f>
        <v/>
      </c>
      <c r="S58" s="44" t="str">
        <f>IF(C58="","",IF(CAD_PROD!E58&gt;=P58,"Sim","Não"))</f>
        <v/>
      </c>
    </row>
    <row r="59" spans="1:19" ht="30" customHeight="1">
      <c r="A59" s="52">
        <f t="shared" si="0"/>
        <v>0</v>
      </c>
      <c r="B59" s="52">
        <f t="shared" si="1"/>
        <v>0</v>
      </c>
      <c r="C59" s="96" t="str">
        <f>IF(CAD_PROD!C59="","",CAD_PROD!C59)</f>
        <v/>
      </c>
      <c r="D59" s="75"/>
      <c r="E59" s="125"/>
      <c r="F59" s="125"/>
      <c r="G59" s="75"/>
      <c r="H59" s="75" t="str">
        <f>IF(C59="","",D59+CAD_PROD!D59*(E59+F59)+G59)</f>
        <v/>
      </c>
      <c r="I59" s="52">
        <v>9.9999999999999995E-7</v>
      </c>
      <c r="J59" s="68" t="str">
        <f>IF(ISERROR(
CAD_PROD!F59*E59),"",CAD_PROD!F59*E59)</f>
        <v/>
      </c>
      <c r="K59" s="68" t="str">
        <f>IF(ISERROR(
CAD_PROD!F59*F59),"",CAD_PROD!F59*F59)</f>
        <v/>
      </c>
      <c r="L59" s="68" t="str">
        <f>IF(ISERROR(
CAD_PROD!D59-H59),"",CAD_PROD!D59-H59)</f>
        <v/>
      </c>
      <c r="M59" s="57" t="str">
        <f>IF(ISERROR(
L59/CAD_PROD!D59),"",L59/CAD_PROD!D59)</f>
        <v/>
      </c>
      <c r="N59" s="68" t="str">
        <f>IF(ISERROR(
(P59*CAD_PROD!D59)),"",(P59*CAD_PROD!D59))</f>
        <v/>
      </c>
      <c r="O59" s="68" t="str">
        <f>IF(ISERROR(PE_GERAL!$J$7*CAD_PROD!G59),"",PE_GERAL!$J$7*CAD_PROD!G59)</f>
        <v/>
      </c>
      <c r="P59" s="101" t="str">
        <f t="shared" si="2"/>
        <v/>
      </c>
      <c r="Q59" s="68" t="str">
        <f>IF(C59="","",IF(ISERROR(
CAD_PROD!E59*G59),"",CAD_PROD!E59*G59))</f>
        <v/>
      </c>
      <c r="R59" s="68" t="str">
        <f>IF(C59="","",IF(ISERROR(
CAD_PROD!E59*D59),"",CAD_PROD!E59*D59))</f>
        <v/>
      </c>
      <c r="S59" s="44" t="str">
        <f>IF(C59="","",IF(CAD_PROD!E59&gt;=P59,"Sim","Não"))</f>
        <v/>
      </c>
    </row>
    <row r="60" spans="1:19" ht="30" customHeight="1">
      <c r="A60" s="52">
        <f t="shared" si="0"/>
        <v>0</v>
      </c>
      <c r="B60" s="52">
        <f t="shared" si="1"/>
        <v>0</v>
      </c>
      <c r="C60" s="96" t="str">
        <f>IF(CAD_PROD!C60="","",CAD_PROD!C60)</f>
        <v/>
      </c>
      <c r="D60" s="75"/>
      <c r="E60" s="125"/>
      <c r="F60" s="125"/>
      <c r="G60" s="75"/>
      <c r="H60" s="75" t="str">
        <f>IF(C60="","",D60+CAD_PROD!D60*(E60+F60)+G60)</f>
        <v/>
      </c>
      <c r="I60" s="52">
        <v>9.9999999999999995E-7</v>
      </c>
      <c r="J60" s="68" t="str">
        <f>IF(ISERROR(
CAD_PROD!F60*E60),"",CAD_PROD!F60*E60)</f>
        <v/>
      </c>
      <c r="K60" s="68" t="str">
        <f>IF(ISERROR(
CAD_PROD!F60*F60),"",CAD_PROD!F60*F60)</f>
        <v/>
      </c>
      <c r="L60" s="68" t="str">
        <f>IF(ISERROR(
CAD_PROD!D60-H60),"",CAD_PROD!D60-H60)</f>
        <v/>
      </c>
      <c r="M60" s="57" t="str">
        <f>IF(ISERROR(
L60/CAD_PROD!D60),"",L60/CAD_PROD!D60)</f>
        <v/>
      </c>
      <c r="N60" s="68" t="str">
        <f>IF(ISERROR(
(P60*CAD_PROD!D60)),"",(P60*CAD_PROD!D60))</f>
        <v/>
      </c>
      <c r="O60" s="68" t="str">
        <f>IF(ISERROR(PE_GERAL!$J$7*CAD_PROD!G60),"",PE_GERAL!$J$7*CAD_PROD!G60)</f>
        <v/>
      </c>
      <c r="P60" s="101" t="str">
        <f t="shared" si="2"/>
        <v/>
      </c>
      <c r="Q60" s="68" t="str">
        <f>IF(C60="","",IF(ISERROR(
CAD_PROD!E60*G60),"",CAD_PROD!E60*G60))</f>
        <v/>
      </c>
      <c r="R60" s="68" t="str">
        <f>IF(C60="","",IF(ISERROR(
CAD_PROD!E60*D60),"",CAD_PROD!E60*D60))</f>
        <v/>
      </c>
      <c r="S60" s="44" t="str">
        <f>IF(C60="","",IF(CAD_PROD!E60&gt;=P60,"Sim","Não"))</f>
        <v/>
      </c>
    </row>
    <row r="61" spans="1:19" ht="30" customHeight="1">
      <c r="A61" s="52">
        <f t="shared" si="0"/>
        <v>0</v>
      </c>
      <c r="B61" s="52">
        <f t="shared" si="1"/>
        <v>0</v>
      </c>
      <c r="C61" s="96" t="str">
        <f>IF(CAD_PROD!C61="","",CAD_PROD!C61)</f>
        <v/>
      </c>
      <c r="D61" s="75"/>
      <c r="E61" s="125"/>
      <c r="F61" s="125"/>
      <c r="G61" s="75"/>
      <c r="H61" s="75" t="str">
        <f>IF(C61="","",D61+CAD_PROD!D61*(E61+F61)+G61)</f>
        <v/>
      </c>
      <c r="I61" s="52">
        <v>9.9999999999999995E-7</v>
      </c>
      <c r="J61" s="68" t="str">
        <f>IF(ISERROR(
CAD_PROD!F61*E61),"",CAD_PROD!F61*E61)</f>
        <v/>
      </c>
      <c r="K61" s="68" t="str">
        <f>IF(ISERROR(
CAD_PROD!F61*F61),"",CAD_PROD!F61*F61)</f>
        <v/>
      </c>
      <c r="L61" s="68" t="str">
        <f>IF(ISERROR(
CAD_PROD!D61-H61),"",CAD_PROD!D61-H61)</f>
        <v/>
      </c>
      <c r="M61" s="57" t="str">
        <f>IF(ISERROR(
L61/CAD_PROD!D61),"",L61/CAD_PROD!D61)</f>
        <v/>
      </c>
      <c r="N61" s="68" t="str">
        <f>IF(ISERROR(
(P61*CAD_PROD!D61)),"",(P61*CAD_PROD!D61))</f>
        <v/>
      </c>
      <c r="O61" s="68" t="str">
        <f>IF(ISERROR(PE_GERAL!$J$7*CAD_PROD!G61),"",PE_GERAL!$J$7*CAD_PROD!G61)</f>
        <v/>
      </c>
      <c r="P61" s="101" t="str">
        <f t="shared" si="2"/>
        <v/>
      </c>
      <c r="Q61" s="68" t="str">
        <f>IF(C61="","",IF(ISERROR(
CAD_PROD!E61*G61),"",CAD_PROD!E61*G61))</f>
        <v/>
      </c>
      <c r="R61" s="68" t="str">
        <f>IF(C61="","",IF(ISERROR(
CAD_PROD!E61*D61),"",CAD_PROD!E61*D61))</f>
        <v/>
      </c>
      <c r="S61" s="44" t="str">
        <f>IF(C61="","",IF(CAD_PROD!E61&gt;=P61,"Sim","Não"))</f>
        <v/>
      </c>
    </row>
    <row r="62" spans="1:19" ht="30" customHeight="1">
      <c r="A62" s="52">
        <f t="shared" si="0"/>
        <v>0</v>
      </c>
      <c r="B62" s="52">
        <f t="shared" si="1"/>
        <v>0</v>
      </c>
      <c r="C62" s="96" t="str">
        <f>IF(CAD_PROD!C62="","",CAD_PROD!C62)</f>
        <v/>
      </c>
      <c r="D62" s="75"/>
      <c r="E62" s="125"/>
      <c r="F62" s="125"/>
      <c r="G62" s="75"/>
      <c r="H62" s="75" t="str">
        <f>IF(C62="","",D62+CAD_PROD!D62*(E62+F62)+G62)</f>
        <v/>
      </c>
      <c r="I62" s="52">
        <v>9.9999999999999995E-7</v>
      </c>
      <c r="J62" s="68" t="str">
        <f>IF(ISERROR(
CAD_PROD!F62*E62),"",CAD_PROD!F62*E62)</f>
        <v/>
      </c>
      <c r="K62" s="68" t="str">
        <f>IF(ISERROR(
CAD_PROD!F62*F62),"",CAD_PROD!F62*F62)</f>
        <v/>
      </c>
      <c r="L62" s="68" t="str">
        <f>IF(ISERROR(
CAD_PROD!D62-H62),"",CAD_PROD!D62-H62)</f>
        <v/>
      </c>
      <c r="M62" s="57" t="str">
        <f>IF(ISERROR(
L62/CAD_PROD!D62),"",L62/CAD_PROD!D62)</f>
        <v/>
      </c>
      <c r="N62" s="68" t="str">
        <f>IF(ISERROR(
(P62*CAD_PROD!D62)),"",(P62*CAD_PROD!D62))</f>
        <v/>
      </c>
      <c r="O62" s="68" t="str">
        <f>IF(ISERROR(PE_GERAL!$J$7*CAD_PROD!G62),"",PE_GERAL!$J$7*CAD_PROD!G62)</f>
        <v/>
      </c>
      <c r="P62" s="101" t="str">
        <f t="shared" si="2"/>
        <v/>
      </c>
      <c r="Q62" s="68" t="str">
        <f>IF(C62="","",IF(ISERROR(
CAD_PROD!E62*G62),"",CAD_PROD!E62*G62))</f>
        <v/>
      </c>
      <c r="R62" s="68" t="str">
        <f>IF(C62="","",IF(ISERROR(
CAD_PROD!E62*D62),"",CAD_PROD!E62*D62))</f>
        <v/>
      </c>
      <c r="S62" s="44" t="str">
        <f>IF(C62="","",IF(CAD_PROD!E62&gt;=P62,"Sim","Não"))</f>
        <v/>
      </c>
    </row>
    <row r="63" spans="1:19" ht="30" customHeight="1">
      <c r="A63" s="52">
        <f t="shared" si="0"/>
        <v>0</v>
      </c>
      <c r="B63" s="52">
        <f t="shared" si="1"/>
        <v>0</v>
      </c>
      <c r="C63" s="96" t="str">
        <f>IF(CAD_PROD!C63="","",CAD_PROD!C63)</f>
        <v/>
      </c>
      <c r="D63" s="75"/>
      <c r="E63" s="125"/>
      <c r="F63" s="125"/>
      <c r="G63" s="75"/>
      <c r="H63" s="75" t="str">
        <f>IF(C63="","",D63+CAD_PROD!D63*(E63+F63)+G63)</f>
        <v/>
      </c>
      <c r="I63" s="52">
        <v>9.9999999999999995E-7</v>
      </c>
      <c r="J63" s="68" t="str">
        <f>IF(ISERROR(
CAD_PROD!F63*E63),"",CAD_PROD!F63*E63)</f>
        <v/>
      </c>
      <c r="K63" s="68" t="str">
        <f>IF(ISERROR(
CAD_PROD!F63*F63),"",CAD_PROD!F63*F63)</f>
        <v/>
      </c>
      <c r="L63" s="68" t="str">
        <f>IF(ISERROR(
CAD_PROD!D63-H63),"",CAD_PROD!D63-H63)</f>
        <v/>
      </c>
      <c r="M63" s="57" t="str">
        <f>IF(ISERROR(
L63/CAD_PROD!D63),"",L63/CAD_PROD!D63)</f>
        <v/>
      </c>
      <c r="N63" s="68" t="str">
        <f>IF(ISERROR(
(P63*CAD_PROD!D63)),"",(P63*CAD_PROD!D63))</f>
        <v/>
      </c>
      <c r="O63" s="68" t="str">
        <f>IF(ISERROR(PE_GERAL!$J$7*CAD_PROD!G63),"",PE_GERAL!$J$7*CAD_PROD!G63)</f>
        <v/>
      </c>
      <c r="P63" s="101" t="str">
        <f t="shared" si="2"/>
        <v/>
      </c>
      <c r="Q63" s="68" t="str">
        <f>IF(C63="","",IF(ISERROR(
CAD_PROD!E63*G63),"",CAD_PROD!E63*G63))</f>
        <v/>
      </c>
      <c r="R63" s="68" t="str">
        <f>IF(C63="","",IF(ISERROR(
CAD_PROD!E63*D63),"",CAD_PROD!E63*D63))</f>
        <v/>
      </c>
      <c r="S63" s="44" t="str">
        <f>IF(C63="","",IF(CAD_PROD!E63&gt;=P63,"Sim","Não"))</f>
        <v/>
      </c>
    </row>
    <row r="64" spans="1:19" ht="30" customHeight="1">
      <c r="A64" s="52">
        <f t="shared" si="0"/>
        <v>0</v>
      </c>
      <c r="B64" s="52">
        <f t="shared" si="1"/>
        <v>0</v>
      </c>
      <c r="C64" s="96" t="str">
        <f>IF(CAD_PROD!C64="","",CAD_PROD!C64)</f>
        <v/>
      </c>
      <c r="D64" s="75"/>
      <c r="E64" s="125"/>
      <c r="F64" s="125"/>
      <c r="G64" s="75"/>
      <c r="H64" s="75" t="str">
        <f>IF(C64="","",D64+CAD_PROD!D64*(E64+F64)+G64)</f>
        <v/>
      </c>
      <c r="I64" s="52">
        <v>9.9999999999999995E-7</v>
      </c>
      <c r="J64" s="68" t="str">
        <f>IF(ISERROR(
CAD_PROD!F64*E64),"",CAD_PROD!F64*E64)</f>
        <v/>
      </c>
      <c r="K64" s="68" t="str">
        <f>IF(ISERROR(
CAD_PROD!F64*F64),"",CAD_PROD!F64*F64)</f>
        <v/>
      </c>
      <c r="L64" s="68" t="str">
        <f>IF(ISERROR(
CAD_PROD!D64-H64),"",CAD_PROD!D64-H64)</f>
        <v/>
      </c>
      <c r="M64" s="57" t="str">
        <f>IF(ISERROR(
L64/CAD_PROD!D64),"",L64/CAD_PROD!D64)</f>
        <v/>
      </c>
      <c r="N64" s="68" t="str">
        <f>IF(ISERROR(
(P64*CAD_PROD!D64)),"",(P64*CAD_PROD!D64))</f>
        <v/>
      </c>
      <c r="O64" s="68" t="str">
        <f>IF(ISERROR(PE_GERAL!$J$7*CAD_PROD!G64),"",PE_GERAL!$J$7*CAD_PROD!G64)</f>
        <v/>
      </c>
      <c r="P64" s="101" t="str">
        <f t="shared" si="2"/>
        <v/>
      </c>
      <c r="Q64" s="68" t="str">
        <f>IF(C64="","",IF(ISERROR(
CAD_PROD!E64*G64),"",CAD_PROD!E64*G64))</f>
        <v/>
      </c>
      <c r="R64" s="68" t="str">
        <f>IF(C64="","",IF(ISERROR(
CAD_PROD!E64*D64),"",CAD_PROD!E64*D64))</f>
        <v/>
      </c>
      <c r="S64" s="44" t="str">
        <f>IF(C64="","",IF(CAD_PROD!E64&gt;=P64,"Sim","Não"))</f>
        <v/>
      </c>
    </row>
    <row r="65" spans="1:19" ht="30" customHeight="1">
      <c r="A65" s="52">
        <f t="shared" si="0"/>
        <v>0</v>
      </c>
      <c r="B65" s="52">
        <f t="shared" si="1"/>
        <v>0</v>
      </c>
      <c r="C65" s="96" t="str">
        <f>IF(CAD_PROD!C65="","",CAD_PROD!C65)</f>
        <v/>
      </c>
      <c r="D65" s="75"/>
      <c r="E65" s="125"/>
      <c r="F65" s="125"/>
      <c r="G65" s="75"/>
      <c r="H65" s="75" t="str">
        <f>IF(C65="","",D65+CAD_PROD!D65*(E65+F65)+G65)</f>
        <v/>
      </c>
      <c r="I65" s="52">
        <v>9.9999999999999995E-7</v>
      </c>
      <c r="J65" s="68" t="str">
        <f>IF(ISERROR(
CAD_PROD!F65*E65),"",CAD_PROD!F65*E65)</f>
        <v/>
      </c>
      <c r="K65" s="68" t="str">
        <f>IF(ISERROR(
CAD_PROD!F65*F65),"",CAD_PROD!F65*F65)</f>
        <v/>
      </c>
      <c r="L65" s="68" t="str">
        <f>IF(ISERROR(
CAD_PROD!D65-H65),"",CAD_PROD!D65-H65)</f>
        <v/>
      </c>
      <c r="M65" s="57" t="str">
        <f>IF(ISERROR(
L65/CAD_PROD!D65),"",L65/CAD_PROD!D65)</f>
        <v/>
      </c>
      <c r="N65" s="68" t="str">
        <f>IF(ISERROR(
(P65*CAD_PROD!D65)),"",(P65*CAD_PROD!D65))</f>
        <v/>
      </c>
      <c r="O65" s="68" t="str">
        <f>IF(ISERROR(PE_GERAL!$J$7*CAD_PROD!G65),"",PE_GERAL!$J$7*CAD_PROD!G65)</f>
        <v/>
      </c>
      <c r="P65" s="101" t="str">
        <f t="shared" si="2"/>
        <v/>
      </c>
      <c r="Q65" s="68" t="str">
        <f>IF(C65="","",IF(ISERROR(
CAD_PROD!E65*G65),"",CAD_PROD!E65*G65))</f>
        <v/>
      </c>
      <c r="R65" s="68" t="str">
        <f>IF(C65="","",IF(ISERROR(
CAD_PROD!E65*D65),"",CAD_PROD!E65*D65))</f>
        <v/>
      </c>
      <c r="S65" s="44" t="str">
        <f>IF(C65="","",IF(CAD_PROD!E65&gt;=P65,"Sim","Não"))</f>
        <v/>
      </c>
    </row>
    <row r="66" spans="1:19" ht="30" customHeight="1">
      <c r="A66" s="52">
        <f t="shared" si="0"/>
        <v>0</v>
      </c>
      <c r="B66" s="52">
        <f t="shared" si="1"/>
        <v>0</v>
      </c>
      <c r="C66" s="96" t="str">
        <f>IF(CAD_PROD!C66="","",CAD_PROD!C66)</f>
        <v/>
      </c>
      <c r="D66" s="75"/>
      <c r="E66" s="125"/>
      <c r="F66" s="125"/>
      <c r="G66" s="75"/>
      <c r="H66" s="75" t="str">
        <f>IF(C66="","",D66+CAD_PROD!D66*(E66+F66)+G66)</f>
        <v/>
      </c>
      <c r="I66" s="52">
        <v>9.9999999999999995E-7</v>
      </c>
      <c r="J66" s="68" t="str">
        <f>IF(ISERROR(
CAD_PROD!F66*E66),"",CAD_PROD!F66*E66)</f>
        <v/>
      </c>
      <c r="K66" s="68" t="str">
        <f>IF(ISERROR(
CAD_PROD!F66*F66),"",CAD_PROD!F66*F66)</f>
        <v/>
      </c>
      <c r="L66" s="68" t="str">
        <f>IF(ISERROR(
CAD_PROD!D66-H66),"",CAD_PROD!D66-H66)</f>
        <v/>
      </c>
      <c r="M66" s="57" t="str">
        <f>IF(ISERROR(
L66/CAD_PROD!D66),"",L66/CAD_PROD!D66)</f>
        <v/>
      </c>
      <c r="N66" s="68" t="str">
        <f>IF(ISERROR(
(P66*CAD_PROD!D66)),"",(P66*CAD_PROD!D66))</f>
        <v/>
      </c>
      <c r="O66" s="68" t="str">
        <f>IF(ISERROR(PE_GERAL!$J$7*CAD_PROD!G66),"",PE_GERAL!$J$7*CAD_PROD!G66)</f>
        <v/>
      </c>
      <c r="P66" s="101" t="str">
        <f t="shared" si="2"/>
        <v/>
      </c>
      <c r="Q66" s="68" t="str">
        <f>IF(C66="","",IF(ISERROR(
CAD_PROD!E66*G66),"",CAD_PROD!E66*G66))</f>
        <v/>
      </c>
      <c r="R66" s="68" t="str">
        <f>IF(C66="","",IF(ISERROR(
CAD_PROD!E66*D66),"",CAD_PROD!E66*D66))</f>
        <v/>
      </c>
      <c r="S66" s="44" t="str">
        <f>IF(C66="","",IF(CAD_PROD!E66&gt;=P66,"Sim","Não"))</f>
        <v/>
      </c>
    </row>
    <row r="67" spans="1:19" ht="30" customHeight="1">
      <c r="A67" s="52">
        <f t="shared" si="0"/>
        <v>0</v>
      </c>
      <c r="B67" s="52">
        <f t="shared" si="1"/>
        <v>0</v>
      </c>
      <c r="C67" s="96" t="str">
        <f>IF(CAD_PROD!C67="","",CAD_PROD!C67)</f>
        <v/>
      </c>
      <c r="D67" s="75"/>
      <c r="E67" s="125"/>
      <c r="F67" s="125"/>
      <c r="G67" s="75"/>
      <c r="H67" s="75" t="str">
        <f>IF(C67="","",D67+CAD_PROD!D67*(E67+F67)+G67)</f>
        <v/>
      </c>
      <c r="I67" s="52">
        <v>9.9999999999999995E-7</v>
      </c>
      <c r="J67" s="68" t="str">
        <f>IF(ISERROR(
CAD_PROD!F67*E67),"",CAD_PROD!F67*E67)</f>
        <v/>
      </c>
      <c r="K67" s="68" t="str">
        <f>IF(ISERROR(
CAD_PROD!F67*F67),"",CAD_PROD!F67*F67)</f>
        <v/>
      </c>
      <c r="L67" s="68" t="str">
        <f>IF(ISERROR(
CAD_PROD!D67-H67),"",CAD_PROD!D67-H67)</f>
        <v/>
      </c>
      <c r="M67" s="57" t="str">
        <f>IF(ISERROR(
L67/CAD_PROD!D67),"",L67/CAD_PROD!D67)</f>
        <v/>
      </c>
      <c r="N67" s="68" t="str">
        <f>IF(ISERROR(
(P67*CAD_PROD!D67)),"",(P67*CAD_PROD!D67))</f>
        <v/>
      </c>
      <c r="O67" s="68" t="str">
        <f>IF(ISERROR(PE_GERAL!$J$7*CAD_PROD!G67),"",PE_GERAL!$J$7*CAD_PROD!G67)</f>
        <v/>
      </c>
      <c r="P67" s="101" t="str">
        <f t="shared" si="2"/>
        <v/>
      </c>
      <c r="Q67" s="68" t="str">
        <f>IF(C67="","",IF(ISERROR(
CAD_PROD!E67*G67),"",CAD_PROD!E67*G67))</f>
        <v/>
      </c>
      <c r="R67" s="68" t="str">
        <f>IF(C67="","",IF(ISERROR(
CAD_PROD!E67*D67),"",CAD_PROD!E67*D67))</f>
        <v/>
      </c>
      <c r="S67" s="44" t="str">
        <f>IF(C67="","",IF(CAD_PROD!E67&gt;=P67,"Sim","Não"))</f>
        <v/>
      </c>
    </row>
    <row r="68" spans="1:19" ht="30" customHeight="1">
      <c r="A68" s="52">
        <f t="shared" si="0"/>
        <v>0</v>
      </c>
      <c r="B68" s="52">
        <f t="shared" si="1"/>
        <v>0</v>
      </c>
      <c r="C68" s="96" t="str">
        <f>IF(CAD_PROD!C68="","",CAD_PROD!C68)</f>
        <v/>
      </c>
      <c r="D68" s="75"/>
      <c r="E68" s="125"/>
      <c r="F68" s="125"/>
      <c r="G68" s="75"/>
      <c r="H68" s="75" t="str">
        <f>IF(C68="","",D68+CAD_PROD!D68*(E68+F68)+G68)</f>
        <v/>
      </c>
      <c r="I68" s="52">
        <v>9.9999999999999995E-7</v>
      </c>
      <c r="J68" s="68" t="str">
        <f>IF(ISERROR(
CAD_PROD!F68*E68),"",CAD_PROD!F68*E68)</f>
        <v/>
      </c>
      <c r="K68" s="68" t="str">
        <f>IF(ISERROR(
CAD_PROD!F68*F68),"",CAD_PROD!F68*F68)</f>
        <v/>
      </c>
      <c r="L68" s="68" t="str">
        <f>IF(ISERROR(
CAD_PROD!D68-H68),"",CAD_PROD!D68-H68)</f>
        <v/>
      </c>
      <c r="M68" s="57" t="str">
        <f>IF(ISERROR(
L68/CAD_PROD!D68),"",L68/CAD_PROD!D68)</f>
        <v/>
      </c>
      <c r="N68" s="68" t="str">
        <f>IF(ISERROR(
(P68*CAD_PROD!D68)),"",(P68*CAD_PROD!D68))</f>
        <v/>
      </c>
      <c r="O68" s="68" t="str">
        <f>IF(ISERROR(PE_GERAL!$J$7*CAD_PROD!G68),"",PE_GERAL!$J$7*CAD_PROD!G68)</f>
        <v/>
      </c>
      <c r="P68" s="101" t="str">
        <f t="shared" si="2"/>
        <v/>
      </c>
      <c r="Q68" s="68" t="str">
        <f>IF(C68="","",IF(ISERROR(
CAD_PROD!E68*G68),"",CAD_PROD!E68*G68))</f>
        <v/>
      </c>
      <c r="R68" s="68" t="str">
        <f>IF(C68="","",IF(ISERROR(
CAD_PROD!E68*D68),"",CAD_PROD!E68*D68))</f>
        <v/>
      </c>
      <c r="S68" s="44" t="str">
        <f>IF(C68="","",IF(CAD_PROD!E68&gt;=P68,"Sim","Não"))</f>
        <v/>
      </c>
    </row>
    <row r="69" spans="1:19" ht="30" customHeight="1">
      <c r="A69" s="52">
        <f t="shared" si="0"/>
        <v>0</v>
      </c>
      <c r="B69" s="52">
        <f t="shared" si="1"/>
        <v>0</v>
      </c>
      <c r="C69" s="96" t="str">
        <f>IF(CAD_PROD!C69="","",CAD_PROD!C69)</f>
        <v/>
      </c>
      <c r="D69" s="75"/>
      <c r="E69" s="125"/>
      <c r="F69" s="125"/>
      <c r="G69" s="75"/>
      <c r="H69" s="75" t="str">
        <f>IF(C69="","",D69+CAD_PROD!D69*(E69+F69)+G69)</f>
        <v/>
      </c>
      <c r="I69" s="52">
        <v>9.9999999999999995E-7</v>
      </c>
      <c r="J69" s="68" t="str">
        <f>IF(ISERROR(
CAD_PROD!F69*E69),"",CAD_PROD!F69*E69)</f>
        <v/>
      </c>
      <c r="K69" s="68" t="str">
        <f>IF(ISERROR(
CAD_PROD!F69*F69),"",CAD_PROD!F69*F69)</f>
        <v/>
      </c>
      <c r="L69" s="68" t="str">
        <f>IF(ISERROR(
CAD_PROD!D69-H69),"",CAD_PROD!D69-H69)</f>
        <v/>
      </c>
      <c r="M69" s="57" t="str">
        <f>IF(ISERROR(
L69/CAD_PROD!D69),"",L69/CAD_PROD!D69)</f>
        <v/>
      </c>
      <c r="N69" s="68" t="str">
        <f>IF(ISERROR(
(P69*CAD_PROD!D69)),"",(P69*CAD_PROD!D69))</f>
        <v/>
      </c>
      <c r="O69" s="68" t="str">
        <f>IF(ISERROR(PE_GERAL!$J$7*CAD_PROD!G69),"",PE_GERAL!$J$7*CAD_PROD!G69)</f>
        <v/>
      </c>
      <c r="P69" s="101" t="str">
        <f t="shared" si="2"/>
        <v/>
      </c>
      <c r="Q69" s="68" t="str">
        <f>IF(C69="","",IF(ISERROR(
CAD_PROD!E69*G69),"",CAD_PROD!E69*G69))</f>
        <v/>
      </c>
      <c r="R69" s="68" t="str">
        <f>IF(C69="","",IF(ISERROR(
CAD_PROD!E69*D69),"",CAD_PROD!E69*D69))</f>
        <v/>
      </c>
      <c r="S69" s="44" t="str">
        <f>IF(C69="","",IF(CAD_PROD!E69&gt;=P69,"Sim","Não"))</f>
        <v/>
      </c>
    </row>
    <row r="70" spans="1:19" ht="30" customHeight="1">
      <c r="A70" s="52">
        <f t="shared" si="0"/>
        <v>0</v>
      </c>
      <c r="B70" s="52">
        <f t="shared" si="1"/>
        <v>0</v>
      </c>
      <c r="C70" s="96" t="str">
        <f>IF(CAD_PROD!C70="","",CAD_PROD!C70)</f>
        <v/>
      </c>
      <c r="D70" s="75"/>
      <c r="E70" s="125"/>
      <c r="F70" s="125"/>
      <c r="G70" s="75"/>
      <c r="H70" s="75" t="str">
        <f>IF(C70="","",D70+CAD_PROD!D70*(E70+F70)+G70)</f>
        <v/>
      </c>
      <c r="I70" s="52">
        <v>9.9999999999999995E-7</v>
      </c>
      <c r="J70" s="68" t="str">
        <f>IF(ISERROR(
CAD_PROD!F70*E70),"",CAD_PROD!F70*E70)</f>
        <v/>
      </c>
      <c r="K70" s="68" t="str">
        <f>IF(ISERROR(
CAD_PROD!F70*F70),"",CAD_PROD!F70*F70)</f>
        <v/>
      </c>
      <c r="L70" s="68" t="str">
        <f>IF(ISERROR(
CAD_PROD!D70-H70),"",CAD_PROD!D70-H70)</f>
        <v/>
      </c>
      <c r="M70" s="57" t="str">
        <f>IF(ISERROR(
L70/CAD_PROD!D70),"",L70/CAD_PROD!D70)</f>
        <v/>
      </c>
      <c r="N70" s="68" t="str">
        <f>IF(ISERROR(
(P70*CAD_PROD!D70)),"",(P70*CAD_PROD!D70))</f>
        <v/>
      </c>
      <c r="O70" s="68" t="str">
        <f>IF(ISERROR(PE_GERAL!$J$7*CAD_PROD!G70),"",PE_GERAL!$J$7*CAD_PROD!G70)</f>
        <v/>
      </c>
      <c r="P70" s="101" t="str">
        <f t="shared" si="2"/>
        <v/>
      </c>
      <c r="Q70" s="68" t="str">
        <f>IF(C70="","",IF(ISERROR(
CAD_PROD!E70*G70),"",CAD_PROD!E70*G70))</f>
        <v/>
      </c>
      <c r="R70" s="68" t="str">
        <f>IF(C70="","",IF(ISERROR(
CAD_PROD!E70*D70),"",CAD_PROD!E70*D70))</f>
        <v/>
      </c>
      <c r="S70" s="44" t="str">
        <f>IF(C70="","",IF(CAD_PROD!E70&gt;=P70,"Sim","Não"))</f>
        <v/>
      </c>
    </row>
    <row r="71" spans="1:19" ht="30" customHeight="1">
      <c r="A71" s="52">
        <f t="shared" ref="A71:A134" si="3">IFERROR(L71+I71,0)</f>
        <v>0</v>
      </c>
      <c r="B71" s="52">
        <f t="shared" ref="B71:B134" si="4">IFERROR(H71+I71,0)</f>
        <v>0</v>
      </c>
      <c r="C71" s="96" t="str">
        <f>IF(CAD_PROD!C71="","",CAD_PROD!C71)</f>
        <v/>
      </c>
      <c r="D71" s="75"/>
      <c r="E71" s="125"/>
      <c r="F71" s="125"/>
      <c r="G71" s="75"/>
      <c r="H71" s="75" t="str">
        <f>IF(C71="","",D71+CAD_PROD!D71*(E71+F71)+G71)</f>
        <v/>
      </c>
      <c r="I71" s="52">
        <v>9.9999999999999995E-7</v>
      </c>
      <c r="J71" s="68" t="str">
        <f>IF(ISERROR(
CAD_PROD!F71*E71),"",CAD_PROD!F71*E71)</f>
        <v/>
      </c>
      <c r="K71" s="68" t="str">
        <f>IF(ISERROR(
CAD_PROD!F71*F71),"",CAD_PROD!F71*F71)</f>
        <v/>
      </c>
      <c r="L71" s="68" t="str">
        <f>IF(ISERROR(
CAD_PROD!D71-H71),"",CAD_PROD!D71-H71)</f>
        <v/>
      </c>
      <c r="M71" s="57" t="str">
        <f>IF(ISERROR(
L71/CAD_PROD!D71),"",L71/CAD_PROD!D71)</f>
        <v/>
      </c>
      <c r="N71" s="68" t="str">
        <f>IF(ISERROR(
(P71*CAD_PROD!D71)),"",(P71*CAD_PROD!D71))</f>
        <v/>
      </c>
      <c r="O71" s="68" t="str">
        <f>IF(ISERROR(PE_GERAL!$J$7*CAD_PROD!G71),"",PE_GERAL!$J$7*CAD_PROD!G71)</f>
        <v/>
      </c>
      <c r="P71" s="101" t="str">
        <f t="shared" ref="P71:P134" si="5">IF(ISERROR(ROUNDUP(O71/L71,0)),"",ROUNDUP(O71/L71,0))</f>
        <v/>
      </c>
      <c r="Q71" s="68" t="str">
        <f>IF(C71="","",IF(ISERROR(
CAD_PROD!E71*G71),"",CAD_PROD!E71*G71))</f>
        <v/>
      </c>
      <c r="R71" s="68" t="str">
        <f>IF(C71="","",IF(ISERROR(
CAD_PROD!E71*D71),"",CAD_PROD!E71*D71))</f>
        <v/>
      </c>
      <c r="S71" s="44" t="str">
        <f>IF(C71="","",IF(CAD_PROD!E71&gt;=P71,"Sim","Não"))</f>
        <v/>
      </c>
    </row>
    <row r="72" spans="1:19" ht="30" customHeight="1">
      <c r="A72" s="52">
        <f t="shared" si="3"/>
        <v>0</v>
      </c>
      <c r="B72" s="52">
        <f t="shared" si="4"/>
        <v>0</v>
      </c>
      <c r="C72" s="96" t="str">
        <f>IF(CAD_PROD!C72="","",CAD_PROD!C72)</f>
        <v/>
      </c>
      <c r="D72" s="75"/>
      <c r="E72" s="125"/>
      <c r="F72" s="125"/>
      <c r="G72" s="75"/>
      <c r="H72" s="75" t="str">
        <f>IF(C72="","",D72+CAD_PROD!D72*(E72+F72)+G72)</f>
        <v/>
      </c>
      <c r="I72" s="52">
        <v>9.9999999999999995E-7</v>
      </c>
      <c r="J72" s="68" t="str">
        <f>IF(ISERROR(
CAD_PROD!F72*E72),"",CAD_PROD!F72*E72)</f>
        <v/>
      </c>
      <c r="K72" s="68" t="str">
        <f>IF(ISERROR(
CAD_PROD!F72*F72),"",CAD_PROD!F72*F72)</f>
        <v/>
      </c>
      <c r="L72" s="68" t="str">
        <f>IF(ISERROR(
CAD_PROD!D72-H72),"",CAD_PROD!D72-H72)</f>
        <v/>
      </c>
      <c r="M72" s="57" t="str">
        <f>IF(ISERROR(
L72/CAD_PROD!D72),"",L72/CAD_PROD!D72)</f>
        <v/>
      </c>
      <c r="N72" s="68" t="str">
        <f>IF(ISERROR(
(P72*CAD_PROD!D72)),"",(P72*CAD_PROD!D72))</f>
        <v/>
      </c>
      <c r="O72" s="68" t="str">
        <f>IF(ISERROR(PE_GERAL!$J$7*CAD_PROD!G72),"",PE_GERAL!$J$7*CAD_PROD!G72)</f>
        <v/>
      </c>
      <c r="P72" s="101" t="str">
        <f t="shared" si="5"/>
        <v/>
      </c>
      <c r="Q72" s="68" t="str">
        <f>IF(C72="","",IF(ISERROR(
CAD_PROD!E72*G72),"",CAD_PROD!E72*G72))</f>
        <v/>
      </c>
      <c r="R72" s="68" t="str">
        <f>IF(C72="","",IF(ISERROR(
CAD_PROD!E72*D72),"",CAD_PROD!E72*D72))</f>
        <v/>
      </c>
      <c r="S72" s="44" t="str">
        <f>IF(C72="","",IF(CAD_PROD!E72&gt;=P72,"Sim","Não"))</f>
        <v/>
      </c>
    </row>
    <row r="73" spans="1:19" ht="30" customHeight="1">
      <c r="A73" s="52">
        <f t="shared" si="3"/>
        <v>0</v>
      </c>
      <c r="B73" s="52">
        <f t="shared" si="4"/>
        <v>0</v>
      </c>
      <c r="C73" s="96" t="str">
        <f>IF(CAD_PROD!C73="","",CAD_PROD!C73)</f>
        <v/>
      </c>
      <c r="D73" s="75"/>
      <c r="E73" s="125"/>
      <c r="F73" s="125"/>
      <c r="G73" s="75"/>
      <c r="H73" s="75" t="str">
        <f>IF(C73="","",D73+CAD_PROD!D73*(E73+F73)+G73)</f>
        <v/>
      </c>
      <c r="I73" s="52">
        <v>9.9999999999999995E-7</v>
      </c>
      <c r="J73" s="68" t="str">
        <f>IF(ISERROR(
CAD_PROD!F73*E73),"",CAD_PROD!F73*E73)</f>
        <v/>
      </c>
      <c r="K73" s="68" t="str">
        <f>IF(ISERROR(
CAD_PROD!F73*F73),"",CAD_PROD!F73*F73)</f>
        <v/>
      </c>
      <c r="L73" s="68" t="str">
        <f>IF(ISERROR(
CAD_PROD!D73-H73),"",CAD_PROD!D73-H73)</f>
        <v/>
      </c>
      <c r="M73" s="57" t="str">
        <f>IF(ISERROR(
L73/CAD_PROD!D73),"",L73/CAD_PROD!D73)</f>
        <v/>
      </c>
      <c r="N73" s="68" t="str">
        <f>IF(ISERROR(
(P73*CAD_PROD!D73)),"",(P73*CAD_PROD!D73))</f>
        <v/>
      </c>
      <c r="O73" s="68" t="str">
        <f>IF(ISERROR(PE_GERAL!$J$7*CAD_PROD!G73),"",PE_GERAL!$J$7*CAD_PROD!G73)</f>
        <v/>
      </c>
      <c r="P73" s="101" t="str">
        <f t="shared" si="5"/>
        <v/>
      </c>
      <c r="Q73" s="68" t="str">
        <f>IF(C73="","",IF(ISERROR(
CAD_PROD!E73*G73),"",CAD_PROD!E73*G73))</f>
        <v/>
      </c>
      <c r="R73" s="68" t="str">
        <f>IF(C73="","",IF(ISERROR(
CAD_PROD!E73*D73),"",CAD_PROD!E73*D73))</f>
        <v/>
      </c>
      <c r="S73" s="44" t="str">
        <f>IF(C73="","",IF(CAD_PROD!E73&gt;=P73,"Sim","Não"))</f>
        <v/>
      </c>
    </row>
    <row r="74" spans="1:19" ht="30" customHeight="1">
      <c r="A74" s="52">
        <f t="shared" si="3"/>
        <v>0</v>
      </c>
      <c r="B74" s="52">
        <f t="shared" si="4"/>
        <v>0</v>
      </c>
      <c r="C74" s="96" t="str">
        <f>IF(CAD_PROD!C74="","",CAD_PROD!C74)</f>
        <v/>
      </c>
      <c r="D74" s="75"/>
      <c r="E74" s="125"/>
      <c r="F74" s="125"/>
      <c r="G74" s="75"/>
      <c r="H74" s="75" t="str">
        <f>IF(C74="","",D74+CAD_PROD!D74*(E74+F74)+G74)</f>
        <v/>
      </c>
      <c r="I74" s="52">
        <v>9.9999999999999995E-7</v>
      </c>
      <c r="J74" s="68" t="str">
        <f>IF(ISERROR(
CAD_PROD!F74*E74),"",CAD_PROD!F74*E74)</f>
        <v/>
      </c>
      <c r="K74" s="68" t="str">
        <f>IF(ISERROR(
CAD_PROD!F74*F74),"",CAD_PROD!F74*F74)</f>
        <v/>
      </c>
      <c r="L74" s="68" t="str">
        <f>IF(ISERROR(
CAD_PROD!D74-H74),"",CAD_PROD!D74-H74)</f>
        <v/>
      </c>
      <c r="M74" s="57" t="str">
        <f>IF(ISERROR(
L74/CAD_PROD!D74),"",L74/CAD_PROD!D74)</f>
        <v/>
      </c>
      <c r="N74" s="68" t="str">
        <f>IF(ISERROR(
(P74*CAD_PROD!D74)),"",(P74*CAD_PROD!D74))</f>
        <v/>
      </c>
      <c r="O74" s="68" t="str">
        <f>IF(ISERROR(PE_GERAL!$J$7*CAD_PROD!G74),"",PE_GERAL!$J$7*CAD_PROD!G74)</f>
        <v/>
      </c>
      <c r="P74" s="101" t="str">
        <f t="shared" si="5"/>
        <v/>
      </c>
      <c r="Q74" s="68" t="str">
        <f>IF(C74="","",IF(ISERROR(
CAD_PROD!E74*G74),"",CAD_PROD!E74*G74))</f>
        <v/>
      </c>
      <c r="R74" s="68" t="str">
        <f>IF(C74="","",IF(ISERROR(
CAD_PROD!E74*D74),"",CAD_PROD!E74*D74))</f>
        <v/>
      </c>
      <c r="S74" s="44" t="str">
        <f>IF(C74="","",IF(CAD_PROD!E74&gt;=P74,"Sim","Não"))</f>
        <v/>
      </c>
    </row>
    <row r="75" spans="1:19" ht="30" customHeight="1">
      <c r="A75" s="52">
        <f t="shared" si="3"/>
        <v>0</v>
      </c>
      <c r="B75" s="52">
        <f t="shared" si="4"/>
        <v>0</v>
      </c>
      <c r="C75" s="96" t="str">
        <f>IF(CAD_PROD!C75="","",CAD_PROD!C75)</f>
        <v/>
      </c>
      <c r="D75" s="75"/>
      <c r="E75" s="125"/>
      <c r="F75" s="125"/>
      <c r="G75" s="75"/>
      <c r="H75" s="75" t="str">
        <f>IF(C75="","",D75+CAD_PROD!D75*(E75+F75)+G75)</f>
        <v/>
      </c>
      <c r="I75" s="52">
        <v>9.9999999999999995E-7</v>
      </c>
      <c r="J75" s="68" t="str">
        <f>IF(ISERROR(
CAD_PROD!F75*E75),"",CAD_PROD!F75*E75)</f>
        <v/>
      </c>
      <c r="K75" s="68" t="str">
        <f>IF(ISERROR(
CAD_PROD!F75*F75),"",CAD_PROD!F75*F75)</f>
        <v/>
      </c>
      <c r="L75" s="68" t="str">
        <f>IF(ISERROR(
CAD_PROD!D75-H75),"",CAD_PROD!D75-H75)</f>
        <v/>
      </c>
      <c r="M75" s="57" t="str">
        <f>IF(ISERROR(
L75/CAD_PROD!D75),"",L75/CAD_PROD!D75)</f>
        <v/>
      </c>
      <c r="N75" s="68" t="str">
        <f>IF(ISERROR(
(P75*CAD_PROD!D75)),"",(P75*CAD_PROD!D75))</f>
        <v/>
      </c>
      <c r="O75" s="68" t="str">
        <f>IF(ISERROR(PE_GERAL!$J$7*CAD_PROD!G75),"",PE_GERAL!$J$7*CAD_PROD!G75)</f>
        <v/>
      </c>
      <c r="P75" s="101" t="str">
        <f t="shared" si="5"/>
        <v/>
      </c>
      <c r="Q75" s="68" t="str">
        <f>IF(C75="","",IF(ISERROR(
CAD_PROD!E75*G75),"",CAD_PROD!E75*G75))</f>
        <v/>
      </c>
      <c r="R75" s="68" t="str">
        <f>IF(C75="","",IF(ISERROR(
CAD_PROD!E75*D75),"",CAD_PROD!E75*D75))</f>
        <v/>
      </c>
      <c r="S75" s="44" t="str">
        <f>IF(C75="","",IF(CAD_PROD!E75&gt;=P75,"Sim","Não"))</f>
        <v/>
      </c>
    </row>
    <row r="76" spans="1:19" ht="30" customHeight="1">
      <c r="A76" s="52">
        <f t="shared" si="3"/>
        <v>0</v>
      </c>
      <c r="B76" s="52">
        <f t="shared" si="4"/>
        <v>0</v>
      </c>
      <c r="C76" s="96" t="str">
        <f>IF(CAD_PROD!C76="","",CAD_PROD!C76)</f>
        <v/>
      </c>
      <c r="D76" s="75"/>
      <c r="E76" s="125"/>
      <c r="F76" s="125"/>
      <c r="G76" s="75"/>
      <c r="H76" s="75" t="str">
        <f>IF(C76="","",D76+CAD_PROD!D76*(E76+F76)+G76)</f>
        <v/>
      </c>
      <c r="I76" s="52">
        <v>9.9999999999999995E-7</v>
      </c>
      <c r="J76" s="68" t="str">
        <f>IF(ISERROR(
CAD_PROD!F76*E76),"",CAD_PROD!F76*E76)</f>
        <v/>
      </c>
      <c r="K76" s="68" t="str">
        <f>IF(ISERROR(
CAD_PROD!F76*F76),"",CAD_PROD!F76*F76)</f>
        <v/>
      </c>
      <c r="L76" s="68" t="str">
        <f>IF(ISERROR(
CAD_PROD!D76-H76),"",CAD_PROD!D76-H76)</f>
        <v/>
      </c>
      <c r="M76" s="57" t="str">
        <f>IF(ISERROR(
L76/CAD_PROD!D76),"",L76/CAD_PROD!D76)</f>
        <v/>
      </c>
      <c r="N76" s="68" t="str">
        <f>IF(ISERROR(
(P76*CAD_PROD!D76)),"",(P76*CAD_PROD!D76))</f>
        <v/>
      </c>
      <c r="O76" s="68" t="str">
        <f>IF(ISERROR(PE_GERAL!$J$7*CAD_PROD!G76),"",PE_GERAL!$J$7*CAD_PROD!G76)</f>
        <v/>
      </c>
      <c r="P76" s="101" t="str">
        <f t="shared" si="5"/>
        <v/>
      </c>
      <c r="Q76" s="68" t="str">
        <f>IF(C76="","",IF(ISERROR(
CAD_PROD!E76*G76),"",CAD_PROD!E76*G76))</f>
        <v/>
      </c>
      <c r="R76" s="68" t="str">
        <f>IF(C76="","",IF(ISERROR(
CAD_PROD!E76*D76),"",CAD_PROD!E76*D76))</f>
        <v/>
      </c>
      <c r="S76" s="44" t="str">
        <f>IF(C76="","",IF(CAD_PROD!E76&gt;=P76,"Sim","Não"))</f>
        <v/>
      </c>
    </row>
    <row r="77" spans="1:19" ht="30" customHeight="1">
      <c r="A77" s="52">
        <f t="shared" si="3"/>
        <v>0</v>
      </c>
      <c r="B77" s="52">
        <f t="shared" si="4"/>
        <v>0</v>
      </c>
      <c r="C77" s="96" t="str">
        <f>IF(CAD_PROD!C77="","",CAD_PROD!C77)</f>
        <v/>
      </c>
      <c r="D77" s="75"/>
      <c r="E77" s="125"/>
      <c r="F77" s="125"/>
      <c r="G77" s="75"/>
      <c r="H77" s="75" t="str">
        <f>IF(C77="","",D77+CAD_PROD!D77*(E77+F77)+G77)</f>
        <v/>
      </c>
      <c r="I77" s="52">
        <v>9.9999999999999995E-7</v>
      </c>
      <c r="J77" s="68" t="str">
        <f>IF(ISERROR(
CAD_PROD!F77*E77),"",CAD_PROD!F77*E77)</f>
        <v/>
      </c>
      <c r="K77" s="68" t="str">
        <f>IF(ISERROR(
CAD_PROD!F77*F77),"",CAD_PROD!F77*F77)</f>
        <v/>
      </c>
      <c r="L77" s="68" t="str">
        <f>IF(ISERROR(
CAD_PROD!D77-H77),"",CAD_PROD!D77-H77)</f>
        <v/>
      </c>
      <c r="M77" s="57" t="str">
        <f>IF(ISERROR(
L77/CAD_PROD!D77),"",L77/CAD_PROD!D77)</f>
        <v/>
      </c>
      <c r="N77" s="68" t="str">
        <f>IF(ISERROR(
(P77*CAD_PROD!D77)),"",(P77*CAD_PROD!D77))</f>
        <v/>
      </c>
      <c r="O77" s="68" t="str">
        <f>IF(ISERROR(PE_GERAL!$J$7*CAD_PROD!G77),"",PE_GERAL!$J$7*CAD_PROD!G77)</f>
        <v/>
      </c>
      <c r="P77" s="101" t="str">
        <f t="shared" si="5"/>
        <v/>
      </c>
      <c r="Q77" s="68" t="str">
        <f>IF(C77="","",IF(ISERROR(
CAD_PROD!E77*G77),"",CAD_PROD!E77*G77))</f>
        <v/>
      </c>
      <c r="R77" s="68" t="str">
        <f>IF(C77="","",IF(ISERROR(
CAD_PROD!E77*D77),"",CAD_PROD!E77*D77))</f>
        <v/>
      </c>
      <c r="S77" s="44" t="str">
        <f>IF(C77="","",IF(CAD_PROD!E77&gt;=P77,"Sim","Não"))</f>
        <v/>
      </c>
    </row>
    <row r="78" spans="1:19" ht="30" customHeight="1">
      <c r="A78" s="52">
        <f t="shared" si="3"/>
        <v>0</v>
      </c>
      <c r="B78" s="52">
        <f t="shared" si="4"/>
        <v>0</v>
      </c>
      <c r="C78" s="96" t="str">
        <f>IF(CAD_PROD!C78="","",CAD_PROD!C78)</f>
        <v/>
      </c>
      <c r="D78" s="75"/>
      <c r="E78" s="125"/>
      <c r="F78" s="125"/>
      <c r="G78" s="75"/>
      <c r="H78" s="75" t="str">
        <f>IF(C78="","",D78+CAD_PROD!D78*(E78+F78)+G78)</f>
        <v/>
      </c>
      <c r="I78" s="52">
        <v>9.9999999999999995E-7</v>
      </c>
      <c r="J78" s="68" t="str">
        <f>IF(ISERROR(
CAD_PROD!F78*E78),"",CAD_PROD!F78*E78)</f>
        <v/>
      </c>
      <c r="K78" s="68" t="str">
        <f>IF(ISERROR(
CAD_PROD!F78*F78),"",CAD_PROD!F78*F78)</f>
        <v/>
      </c>
      <c r="L78" s="68" t="str">
        <f>IF(ISERROR(
CAD_PROD!D78-H78),"",CAD_PROD!D78-H78)</f>
        <v/>
      </c>
      <c r="M78" s="57" t="str">
        <f>IF(ISERROR(
L78/CAD_PROD!D78),"",L78/CAD_PROD!D78)</f>
        <v/>
      </c>
      <c r="N78" s="68" t="str">
        <f>IF(ISERROR(
(P78*CAD_PROD!D78)),"",(P78*CAD_PROD!D78))</f>
        <v/>
      </c>
      <c r="O78" s="68" t="str">
        <f>IF(ISERROR(PE_GERAL!$J$7*CAD_PROD!G78),"",PE_GERAL!$J$7*CAD_PROD!G78)</f>
        <v/>
      </c>
      <c r="P78" s="101" t="str">
        <f t="shared" si="5"/>
        <v/>
      </c>
      <c r="Q78" s="68" t="str">
        <f>IF(C78="","",IF(ISERROR(
CAD_PROD!E78*G78),"",CAD_PROD!E78*G78))</f>
        <v/>
      </c>
      <c r="R78" s="68" t="str">
        <f>IF(C78="","",IF(ISERROR(
CAD_PROD!E78*D78),"",CAD_PROD!E78*D78))</f>
        <v/>
      </c>
      <c r="S78" s="44" t="str">
        <f>IF(C78="","",IF(CAD_PROD!E78&gt;=P78,"Sim","Não"))</f>
        <v/>
      </c>
    </row>
    <row r="79" spans="1:19" ht="30" customHeight="1">
      <c r="A79" s="52">
        <f t="shared" si="3"/>
        <v>0</v>
      </c>
      <c r="B79" s="52">
        <f t="shared" si="4"/>
        <v>0</v>
      </c>
      <c r="C79" s="96" t="str">
        <f>IF(CAD_PROD!C79="","",CAD_PROD!C79)</f>
        <v/>
      </c>
      <c r="D79" s="75"/>
      <c r="E79" s="125"/>
      <c r="F79" s="125"/>
      <c r="G79" s="75"/>
      <c r="H79" s="75" t="str">
        <f>IF(C79="","",D79+CAD_PROD!D79*(E79+F79)+G79)</f>
        <v/>
      </c>
      <c r="I79" s="52">
        <v>9.9999999999999995E-7</v>
      </c>
      <c r="J79" s="68" t="str">
        <f>IF(ISERROR(
CAD_PROD!F79*E79),"",CAD_PROD!F79*E79)</f>
        <v/>
      </c>
      <c r="K79" s="68" t="str">
        <f>IF(ISERROR(
CAD_PROD!F79*F79),"",CAD_PROD!F79*F79)</f>
        <v/>
      </c>
      <c r="L79" s="68" t="str">
        <f>IF(ISERROR(
CAD_PROD!D79-H79),"",CAD_PROD!D79-H79)</f>
        <v/>
      </c>
      <c r="M79" s="57" t="str">
        <f>IF(ISERROR(
L79/CAD_PROD!D79),"",L79/CAD_PROD!D79)</f>
        <v/>
      </c>
      <c r="N79" s="68" t="str">
        <f>IF(ISERROR(
(P79*CAD_PROD!D79)),"",(P79*CAD_PROD!D79))</f>
        <v/>
      </c>
      <c r="O79" s="68" t="str">
        <f>IF(ISERROR(PE_GERAL!$J$7*CAD_PROD!G79),"",PE_GERAL!$J$7*CAD_PROD!G79)</f>
        <v/>
      </c>
      <c r="P79" s="101" t="str">
        <f t="shared" si="5"/>
        <v/>
      </c>
      <c r="Q79" s="68" t="str">
        <f>IF(C79="","",IF(ISERROR(
CAD_PROD!E79*G79),"",CAD_PROD!E79*G79))</f>
        <v/>
      </c>
      <c r="R79" s="68" t="str">
        <f>IF(C79="","",IF(ISERROR(
CAD_PROD!E79*D79),"",CAD_PROD!E79*D79))</f>
        <v/>
      </c>
      <c r="S79" s="44" t="str">
        <f>IF(C79="","",IF(CAD_PROD!E79&gt;=P79,"Sim","Não"))</f>
        <v/>
      </c>
    </row>
    <row r="80" spans="1:19" ht="30" customHeight="1">
      <c r="A80" s="52">
        <f t="shared" si="3"/>
        <v>0</v>
      </c>
      <c r="B80" s="52">
        <f t="shared" si="4"/>
        <v>0</v>
      </c>
      <c r="C80" s="96" t="str">
        <f>IF(CAD_PROD!C80="","",CAD_PROD!C80)</f>
        <v/>
      </c>
      <c r="D80" s="75"/>
      <c r="E80" s="125"/>
      <c r="F80" s="125"/>
      <c r="G80" s="75"/>
      <c r="H80" s="75" t="str">
        <f>IF(C80="","",D80+CAD_PROD!D80*(E80+F80)+G80)</f>
        <v/>
      </c>
      <c r="I80" s="52">
        <v>9.9999999999999995E-7</v>
      </c>
      <c r="J80" s="68" t="str">
        <f>IF(ISERROR(
CAD_PROD!F80*E80),"",CAD_PROD!F80*E80)</f>
        <v/>
      </c>
      <c r="K80" s="68" t="str">
        <f>IF(ISERROR(
CAD_PROD!F80*F80),"",CAD_PROD!F80*F80)</f>
        <v/>
      </c>
      <c r="L80" s="68" t="str">
        <f>IF(ISERROR(
CAD_PROD!D80-H80),"",CAD_PROD!D80-H80)</f>
        <v/>
      </c>
      <c r="M80" s="57" t="str">
        <f>IF(ISERROR(
L80/CAD_PROD!D80),"",L80/CAD_PROD!D80)</f>
        <v/>
      </c>
      <c r="N80" s="68" t="str">
        <f>IF(ISERROR(
(P80*CAD_PROD!D80)),"",(P80*CAD_PROD!D80))</f>
        <v/>
      </c>
      <c r="O80" s="68" t="str">
        <f>IF(ISERROR(PE_GERAL!$J$7*CAD_PROD!G80),"",PE_GERAL!$J$7*CAD_PROD!G80)</f>
        <v/>
      </c>
      <c r="P80" s="101" t="str">
        <f t="shared" si="5"/>
        <v/>
      </c>
      <c r="Q80" s="68" t="str">
        <f>IF(C80="","",IF(ISERROR(
CAD_PROD!E80*G80),"",CAD_PROD!E80*G80))</f>
        <v/>
      </c>
      <c r="R80" s="68" t="str">
        <f>IF(C80="","",IF(ISERROR(
CAD_PROD!E80*D80),"",CAD_PROD!E80*D80))</f>
        <v/>
      </c>
      <c r="S80" s="44" t="str">
        <f>IF(C80="","",IF(CAD_PROD!E80&gt;=P80,"Sim","Não"))</f>
        <v/>
      </c>
    </row>
    <row r="81" spans="1:19" ht="30" customHeight="1">
      <c r="A81" s="52">
        <f t="shared" si="3"/>
        <v>0</v>
      </c>
      <c r="B81" s="52">
        <f t="shared" si="4"/>
        <v>0</v>
      </c>
      <c r="C81" s="96" t="str">
        <f>IF(CAD_PROD!C81="","",CAD_PROD!C81)</f>
        <v/>
      </c>
      <c r="D81" s="75"/>
      <c r="E81" s="125"/>
      <c r="F81" s="125"/>
      <c r="G81" s="75"/>
      <c r="H81" s="75" t="str">
        <f>IF(C81="","",D81+CAD_PROD!D81*(E81+F81)+G81)</f>
        <v/>
      </c>
      <c r="I81" s="52">
        <v>9.9999999999999995E-7</v>
      </c>
      <c r="J81" s="68" t="str">
        <f>IF(ISERROR(
CAD_PROD!F81*E81),"",CAD_PROD!F81*E81)</f>
        <v/>
      </c>
      <c r="K81" s="68" t="str">
        <f>IF(ISERROR(
CAD_PROD!F81*F81),"",CAD_PROD!F81*F81)</f>
        <v/>
      </c>
      <c r="L81" s="68" t="str">
        <f>IF(ISERROR(
CAD_PROD!D81-H81),"",CAD_PROD!D81-H81)</f>
        <v/>
      </c>
      <c r="M81" s="57" t="str">
        <f>IF(ISERROR(
L81/CAD_PROD!D81),"",L81/CAD_PROD!D81)</f>
        <v/>
      </c>
      <c r="N81" s="68" t="str">
        <f>IF(ISERROR(
(P81*CAD_PROD!D81)),"",(P81*CAD_PROD!D81))</f>
        <v/>
      </c>
      <c r="O81" s="68" t="str">
        <f>IF(ISERROR(PE_GERAL!$J$7*CAD_PROD!G81),"",PE_GERAL!$J$7*CAD_PROD!G81)</f>
        <v/>
      </c>
      <c r="P81" s="101" t="str">
        <f t="shared" si="5"/>
        <v/>
      </c>
      <c r="Q81" s="68" t="str">
        <f>IF(C81="","",IF(ISERROR(
CAD_PROD!E81*G81),"",CAD_PROD!E81*G81))</f>
        <v/>
      </c>
      <c r="R81" s="68" t="str">
        <f>IF(C81="","",IF(ISERROR(
CAD_PROD!E81*D81),"",CAD_PROD!E81*D81))</f>
        <v/>
      </c>
      <c r="S81" s="44" t="str">
        <f>IF(C81="","",IF(CAD_PROD!E81&gt;=P81,"Sim","Não"))</f>
        <v/>
      </c>
    </row>
    <row r="82" spans="1:19" ht="30" customHeight="1">
      <c r="A82" s="52">
        <f t="shared" si="3"/>
        <v>0</v>
      </c>
      <c r="B82" s="52">
        <f t="shared" si="4"/>
        <v>0</v>
      </c>
      <c r="C82" s="96" t="str">
        <f>IF(CAD_PROD!C82="","",CAD_PROD!C82)</f>
        <v/>
      </c>
      <c r="D82" s="75"/>
      <c r="E82" s="125"/>
      <c r="F82" s="125"/>
      <c r="G82" s="75"/>
      <c r="H82" s="75" t="str">
        <f>IF(C82="","",D82+CAD_PROD!D82*(E82+F82)+G82)</f>
        <v/>
      </c>
      <c r="I82" s="52">
        <v>9.9999999999999995E-7</v>
      </c>
      <c r="J82" s="68" t="str">
        <f>IF(ISERROR(
CAD_PROD!F82*E82),"",CAD_PROD!F82*E82)</f>
        <v/>
      </c>
      <c r="K82" s="68" t="str">
        <f>IF(ISERROR(
CAD_PROD!F82*F82),"",CAD_PROD!F82*F82)</f>
        <v/>
      </c>
      <c r="L82" s="68" t="str">
        <f>IF(ISERROR(
CAD_PROD!D82-H82),"",CAD_PROD!D82-H82)</f>
        <v/>
      </c>
      <c r="M82" s="57" t="str">
        <f>IF(ISERROR(
L82/CAD_PROD!D82),"",L82/CAD_PROD!D82)</f>
        <v/>
      </c>
      <c r="N82" s="68" t="str">
        <f>IF(ISERROR(
(P82*CAD_PROD!D82)),"",(P82*CAD_PROD!D82))</f>
        <v/>
      </c>
      <c r="O82" s="68" t="str">
        <f>IF(ISERROR(PE_GERAL!$J$7*CAD_PROD!G82),"",PE_GERAL!$J$7*CAD_PROD!G82)</f>
        <v/>
      </c>
      <c r="P82" s="101" t="str">
        <f t="shared" si="5"/>
        <v/>
      </c>
      <c r="Q82" s="68" t="str">
        <f>IF(C82="","",IF(ISERROR(
CAD_PROD!E82*G82),"",CAD_PROD!E82*G82))</f>
        <v/>
      </c>
      <c r="R82" s="68" t="str">
        <f>IF(C82="","",IF(ISERROR(
CAD_PROD!E82*D82),"",CAD_PROD!E82*D82))</f>
        <v/>
      </c>
      <c r="S82" s="44" t="str">
        <f>IF(C82="","",IF(CAD_PROD!E82&gt;=P82,"Sim","Não"))</f>
        <v/>
      </c>
    </row>
    <row r="83" spans="1:19" ht="30" customHeight="1">
      <c r="A83" s="52">
        <f t="shared" si="3"/>
        <v>0</v>
      </c>
      <c r="B83" s="52">
        <f t="shared" si="4"/>
        <v>0</v>
      </c>
      <c r="C83" s="96" t="str">
        <f>IF(CAD_PROD!C83="","",CAD_PROD!C83)</f>
        <v/>
      </c>
      <c r="D83" s="75"/>
      <c r="E83" s="125"/>
      <c r="F83" s="125"/>
      <c r="G83" s="75"/>
      <c r="H83" s="75" t="str">
        <f>IF(C83="","",D83+CAD_PROD!D83*(E83+F83)+G83)</f>
        <v/>
      </c>
      <c r="I83" s="52">
        <v>9.9999999999999995E-7</v>
      </c>
      <c r="J83" s="68" t="str">
        <f>IF(ISERROR(
CAD_PROD!F83*E83),"",CAD_PROD!F83*E83)</f>
        <v/>
      </c>
      <c r="K83" s="68" t="str">
        <f>IF(ISERROR(
CAD_PROD!F83*F83),"",CAD_PROD!F83*F83)</f>
        <v/>
      </c>
      <c r="L83" s="68" t="str">
        <f>IF(ISERROR(
CAD_PROD!D83-H83),"",CAD_PROD!D83-H83)</f>
        <v/>
      </c>
      <c r="M83" s="57" t="str">
        <f>IF(ISERROR(
L83/CAD_PROD!D83),"",L83/CAD_PROD!D83)</f>
        <v/>
      </c>
      <c r="N83" s="68" t="str">
        <f>IF(ISERROR(
(P83*CAD_PROD!D83)),"",(P83*CAD_PROD!D83))</f>
        <v/>
      </c>
      <c r="O83" s="68" t="str">
        <f>IF(ISERROR(PE_GERAL!$J$7*CAD_PROD!G83),"",PE_GERAL!$J$7*CAD_PROD!G83)</f>
        <v/>
      </c>
      <c r="P83" s="101" t="str">
        <f t="shared" si="5"/>
        <v/>
      </c>
      <c r="Q83" s="68" t="str">
        <f>IF(C83="","",IF(ISERROR(
CAD_PROD!E83*G83),"",CAD_PROD!E83*G83))</f>
        <v/>
      </c>
      <c r="R83" s="68" t="str">
        <f>IF(C83="","",IF(ISERROR(
CAD_PROD!E83*D83),"",CAD_PROD!E83*D83))</f>
        <v/>
      </c>
      <c r="S83" s="44" t="str">
        <f>IF(C83="","",IF(CAD_PROD!E83&gt;=P83,"Sim","Não"))</f>
        <v/>
      </c>
    </row>
    <row r="84" spans="1:19" ht="30" customHeight="1">
      <c r="A84" s="52">
        <f t="shared" si="3"/>
        <v>0</v>
      </c>
      <c r="B84" s="52">
        <f t="shared" si="4"/>
        <v>0</v>
      </c>
      <c r="C84" s="96" t="str">
        <f>IF(CAD_PROD!C84="","",CAD_PROD!C84)</f>
        <v/>
      </c>
      <c r="D84" s="75"/>
      <c r="E84" s="125"/>
      <c r="F84" s="125"/>
      <c r="G84" s="75"/>
      <c r="H84" s="75" t="str">
        <f>IF(C84="","",D84+CAD_PROD!D84*(E84+F84)+G84)</f>
        <v/>
      </c>
      <c r="I84" s="52">
        <v>9.9999999999999995E-7</v>
      </c>
      <c r="J84" s="68" t="str">
        <f>IF(ISERROR(
CAD_PROD!F84*E84),"",CAD_PROD!F84*E84)</f>
        <v/>
      </c>
      <c r="K84" s="68" t="str">
        <f>IF(ISERROR(
CAD_PROD!F84*F84),"",CAD_PROD!F84*F84)</f>
        <v/>
      </c>
      <c r="L84" s="68" t="str">
        <f>IF(ISERROR(
CAD_PROD!D84-H84),"",CAD_PROD!D84-H84)</f>
        <v/>
      </c>
      <c r="M84" s="57" t="str">
        <f>IF(ISERROR(
L84/CAD_PROD!D84),"",L84/CAD_PROD!D84)</f>
        <v/>
      </c>
      <c r="N84" s="68" t="str">
        <f>IF(ISERROR(
(P84*CAD_PROD!D84)),"",(P84*CAD_PROD!D84))</f>
        <v/>
      </c>
      <c r="O84" s="68" t="str">
        <f>IF(ISERROR(PE_GERAL!$J$7*CAD_PROD!G84),"",PE_GERAL!$J$7*CAD_PROD!G84)</f>
        <v/>
      </c>
      <c r="P84" s="101" t="str">
        <f t="shared" si="5"/>
        <v/>
      </c>
      <c r="Q84" s="68" t="str">
        <f>IF(C84="","",IF(ISERROR(
CAD_PROD!E84*G84),"",CAD_PROD!E84*G84))</f>
        <v/>
      </c>
      <c r="R84" s="68" t="str">
        <f>IF(C84="","",IF(ISERROR(
CAD_PROD!E84*D84),"",CAD_PROD!E84*D84))</f>
        <v/>
      </c>
      <c r="S84" s="44" t="str">
        <f>IF(C84="","",IF(CAD_PROD!E84&gt;=P84,"Sim","Não"))</f>
        <v/>
      </c>
    </row>
    <row r="85" spans="1:19" ht="30" customHeight="1">
      <c r="A85" s="52">
        <f t="shared" si="3"/>
        <v>0</v>
      </c>
      <c r="B85" s="52">
        <f t="shared" si="4"/>
        <v>0</v>
      </c>
      <c r="C85" s="96" t="str">
        <f>IF(CAD_PROD!C85="","",CAD_PROD!C85)</f>
        <v/>
      </c>
      <c r="D85" s="75"/>
      <c r="E85" s="125"/>
      <c r="F85" s="125"/>
      <c r="G85" s="75"/>
      <c r="H85" s="75" t="str">
        <f>IF(C85="","",D85+CAD_PROD!D85*(E85+F85)+G85)</f>
        <v/>
      </c>
      <c r="I85" s="52">
        <v>9.9999999999999995E-7</v>
      </c>
      <c r="J85" s="68" t="str">
        <f>IF(ISERROR(
CAD_PROD!F85*E85),"",CAD_PROD!F85*E85)</f>
        <v/>
      </c>
      <c r="K85" s="68" t="str">
        <f>IF(ISERROR(
CAD_PROD!F85*F85),"",CAD_PROD!F85*F85)</f>
        <v/>
      </c>
      <c r="L85" s="68" t="str">
        <f>IF(ISERROR(
CAD_PROD!D85-H85),"",CAD_PROD!D85-H85)</f>
        <v/>
      </c>
      <c r="M85" s="57" t="str">
        <f>IF(ISERROR(
L85/CAD_PROD!D85),"",L85/CAD_PROD!D85)</f>
        <v/>
      </c>
      <c r="N85" s="68" t="str">
        <f>IF(ISERROR(
(P85*CAD_PROD!D85)),"",(P85*CAD_PROD!D85))</f>
        <v/>
      </c>
      <c r="O85" s="68" t="str">
        <f>IF(ISERROR(PE_GERAL!$J$7*CAD_PROD!G85),"",PE_GERAL!$J$7*CAD_PROD!G85)</f>
        <v/>
      </c>
      <c r="P85" s="101" t="str">
        <f t="shared" si="5"/>
        <v/>
      </c>
      <c r="Q85" s="68" t="str">
        <f>IF(C85="","",IF(ISERROR(
CAD_PROD!E85*G85),"",CAD_PROD!E85*G85))</f>
        <v/>
      </c>
      <c r="R85" s="68" t="str">
        <f>IF(C85="","",IF(ISERROR(
CAD_PROD!E85*D85),"",CAD_PROD!E85*D85))</f>
        <v/>
      </c>
      <c r="S85" s="44" t="str">
        <f>IF(C85="","",IF(CAD_PROD!E85&gt;=P85,"Sim","Não"))</f>
        <v/>
      </c>
    </row>
    <row r="86" spans="1:19" ht="30" customHeight="1">
      <c r="A86" s="52">
        <f t="shared" si="3"/>
        <v>0</v>
      </c>
      <c r="B86" s="52">
        <f t="shared" si="4"/>
        <v>0</v>
      </c>
      <c r="C86" s="96" t="str">
        <f>IF(CAD_PROD!C86="","",CAD_PROD!C86)</f>
        <v/>
      </c>
      <c r="D86" s="75"/>
      <c r="E86" s="125"/>
      <c r="F86" s="125"/>
      <c r="G86" s="75"/>
      <c r="H86" s="75" t="str">
        <f>IF(C86="","",D86+CAD_PROD!D86*(E86+F86)+G86)</f>
        <v/>
      </c>
      <c r="I86" s="52">
        <v>9.9999999999999995E-7</v>
      </c>
      <c r="J86" s="68" t="str">
        <f>IF(ISERROR(
CAD_PROD!F86*E86),"",CAD_PROD!F86*E86)</f>
        <v/>
      </c>
      <c r="K86" s="68" t="str">
        <f>IF(ISERROR(
CAD_PROD!F86*F86),"",CAD_PROD!F86*F86)</f>
        <v/>
      </c>
      <c r="L86" s="68" t="str">
        <f>IF(ISERROR(
CAD_PROD!D86-H86),"",CAD_PROD!D86-H86)</f>
        <v/>
      </c>
      <c r="M86" s="57" t="str">
        <f>IF(ISERROR(
L86/CAD_PROD!D86),"",L86/CAD_PROD!D86)</f>
        <v/>
      </c>
      <c r="N86" s="68" t="str">
        <f>IF(ISERROR(
(P86*CAD_PROD!D86)),"",(P86*CAD_PROD!D86))</f>
        <v/>
      </c>
      <c r="O86" s="68" t="str">
        <f>IF(ISERROR(PE_GERAL!$J$7*CAD_PROD!G86),"",PE_GERAL!$J$7*CAD_PROD!G86)</f>
        <v/>
      </c>
      <c r="P86" s="101" t="str">
        <f t="shared" si="5"/>
        <v/>
      </c>
      <c r="Q86" s="68" t="str">
        <f>IF(C86="","",IF(ISERROR(
CAD_PROD!E86*G86),"",CAD_PROD!E86*G86))</f>
        <v/>
      </c>
      <c r="R86" s="68" t="str">
        <f>IF(C86="","",IF(ISERROR(
CAD_PROD!E86*D86),"",CAD_PROD!E86*D86))</f>
        <v/>
      </c>
      <c r="S86" s="44" t="str">
        <f>IF(C86="","",IF(CAD_PROD!E86&gt;=P86,"Sim","Não"))</f>
        <v/>
      </c>
    </row>
    <row r="87" spans="1:19" ht="30" customHeight="1">
      <c r="A87" s="52">
        <f t="shared" si="3"/>
        <v>0</v>
      </c>
      <c r="B87" s="52">
        <f t="shared" si="4"/>
        <v>0</v>
      </c>
      <c r="C87" s="96" t="str">
        <f>IF(CAD_PROD!C87="","",CAD_PROD!C87)</f>
        <v/>
      </c>
      <c r="D87" s="75"/>
      <c r="E87" s="125"/>
      <c r="F87" s="125"/>
      <c r="G87" s="75"/>
      <c r="H87" s="75" t="str">
        <f>IF(C87="","",D87+CAD_PROD!D87*(E87+F87)+G87)</f>
        <v/>
      </c>
      <c r="I87" s="52">
        <v>9.9999999999999995E-7</v>
      </c>
      <c r="J87" s="68" t="str">
        <f>IF(ISERROR(
CAD_PROD!F87*E87),"",CAD_PROD!F87*E87)</f>
        <v/>
      </c>
      <c r="K87" s="68" t="str">
        <f>IF(ISERROR(
CAD_PROD!F87*F87),"",CAD_PROD!F87*F87)</f>
        <v/>
      </c>
      <c r="L87" s="68" t="str">
        <f>IF(ISERROR(
CAD_PROD!D87-H87),"",CAD_PROD!D87-H87)</f>
        <v/>
      </c>
      <c r="M87" s="57" t="str">
        <f>IF(ISERROR(
L87/CAD_PROD!D87),"",L87/CAD_PROD!D87)</f>
        <v/>
      </c>
      <c r="N87" s="68" t="str">
        <f>IF(ISERROR(
(P87*CAD_PROD!D87)),"",(P87*CAD_PROD!D87))</f>
        <v/>
      </c>
      <c r="O87" s="68" t="str">
        <f>IF(ISERROR(PE_GERAL!$J$7*CAD_PROD!G87),"",PE_GERAL!$J$7*CAD_PROD!G87)</f>
        <v/>
      </c>
      <c r="P87" s="101" t="str">
        <f t="shared" si="5"/>
        <v/>
      </c>
      <c r="Q87" s="68" t="str">
        <f>IF(C87="","",IF(ISERROR(
CAD_PROD!E87*G87),"",CAD_PROD!E87*G87))</f>
        <v/>
      </c>
      <c r="R87" s="68" t="str">
        <f>IF(C87="","",IF(ISERROR(
CAD_PROD!E87*D87),"",CAD_PROD!E87*D87))</f>
        <v/>
      </c>
      <c r="S87" s="44" t="str">
        <f>IF(C87="","",IF(CAD_PROD!E87&gt;=P87,"Sim","Não"))</f>
        <v/>
      </c>
    </row>
    <row r="88" spans="1:19" ht="30" customHeight="1">
      <c r="A88" s="52">
        <f t="shared" si="3"/>
        <v>0</v>
      </c>
      <c r="B88" s="52">
        <f t="shared" si="4"/>
        <v>0</v>
      </c>
      <c r="C88" s="96" t="str">
        <f>IF(CAD_PROD!C88="","",CAD_PROD!C88)</f>
        <v/>
      </c>
      <c r="D88" s="75"/>
      <c r="E88" s="125"/>
      <c r="F88" s="125"/>
      <c r="G88" s="75"/>
      <c r="H88" s="75" t="str">
        <f>IF(C88="","",D88+CAD_PROD!D88*(E88+F88)+G88)</f>
        <v/>
      </c>
      <c r="I88" s="52">
        <v>9.9999999999999995E-7</v>
      </c>
      <c r="J88" s="68" t="str">
        <f>IF(ISERROR(
CAD_PROD!F88*E88),"",CAD_PROD!F88*E88)</f>
        <v/>
      </c>
      <c r="K88" s="68" t="str">
        <f>IF(ISERROR(
CAD_PROD!F88*F88),"",CAD_PROD!F88*F88)</f>
        <v/>
      </c>
      <c r="L88" s="68" t="str">
        <f>IF(ISERROR(
CAD_PROD!D88-H88),"",CAD_PROD!D88-H88)</f>
        <v/>
      </c>
      <c r="M88" s="57" t="str">
        <f>IF(ISERROR(
L88/CAD_PROD!D88),"",L88/CAD_PROD!D88)</f>
        <v/>
      </c>
      <c r="N88" s="68" t="str">
        <f>IF(ISERROR(
(P88*CAD_PROD!D88)),"",(P88*CAD_PROD!D88))</f>
        <v/>
      </c>
      <c r="O88" s="68" t="str">
        <f>IF(ISERROR(PE_GERAL!$J$7*CAD_PROD!G88),"",PE_GERAL!$J$7*CAD_PROD!G88)</f>
        <v/>
      </c>
      <c r="P88" s="101" t="str">
        <f t="shared" si="5"/>
        <v/>
      </c>
      <c r="Q88" s="68" t="str">
        <f>IF(C88="","",IF(ISERROR(
CAD_PROD!E88*G88),"",CAD_PROD!E88*G88))</f>
        <v/>
      </c>
      <c r="R88" s="68" t="str">
        <f>IF(C88="","",IF(ISERROR(
CAD_PROD!E88*D88),"",CAD_PROD!E88*D88))</f>
        <v/>
      </c>
      <c r="S88" s="44" t="str">
        <f>IF(C88="","",IF(CAD_PROD!E88&gt;=P88,"Sim","Não"))</f>
        <v/>
      </c>
    </row>
    <row r="89" spans="1:19" ht="30" customHeight="1">
      <c r="A89" s="52">
        <f t="shared" si="3"/>
        <v>0</v>
      </c>
      <c r="B89" s="52">
        <f t="shared" si="4"/>
        <v>0</v>
      </c>
      <c r="C89" s="96" t="str">
        <f>IF(CAD_PROD!C89="","",CAD_PROD!C89)</f>
        <v/>
      </c>
      <c r="D89" s="75"/>
      <c r="E89" s="125"/>
      <c r="F89" s="125"/>
      <c r="G89" s="75"/>
      <c r="H89" s="75" t="str">
        <f>IF(C89="","",D89+CAD_PROD!D89*(E89+F89)+G89)</f>
        <v/>
      </c>
      <c r="I89" s="52">
        <v>9.9999999999999995E-7</v>
      </c>
      <c r="J89" s="68" t="str">
        <f>IF(ISERROR(
CAD_PROD!F89*E89),"",CAD_PROD!F89*E89)</f>
        <v/>
      </c>
      <c r="K89" s="68" t="str">
        <f>IF(ISERROR(
CAD_PROD!F89*F89),"",CAD_PROD!F89*F89)</f>
        <v/>
      </c>
      <c r="L89" s="68" t="str">
        <f>IF(ISERROR(
CAD_PROD!D89-H89),"",CAD_PROD!D89-H89)</f>
        <v/>
      </c>
      <c r="M89" s="57" t="str">
        <f>IF(ISERROR(
L89/CAD_PROD!D89),"",L89/CAD_PROD!D89)</f>
        <v/>
      </c>
      <c r="N89" s="68" t="str">
        <f>IF(ISERROR(
(P89*CAD_PROD!D89)),"",(P89*CAD_PROD!D89))</f>
        <v/>
      </c>
      <c r="O89" s="68" t="str">
        <f>IF(ISERROR(PE_GERAL!$J$7*CAD_PROD!G89),"",PE_GERAL!$J$7*CAD_PROD!G89)</f>
        <v/>
      </c>
      <c r="P89" s="101" t="str">
        <f t="shared" si="5"/>
        <v/>
      </c>
      <c r="Q89" s="68" t="str">
        <f>IF(C89="","",IF(ISERROR(
CAD_PROD!E89*G89),"",CAD_PROD!E89*G89))</f>
        <v/>
      </c>
      <c r="R89" s="68" t="str">
        <f>IF(C89="","",IF(ISERROR(
CAD_PROD!E89*D89),"",CAD_PROD!E89*D89))</f>
        <v/>
      </c>
      <c r="S89" s="44" t="str">
        <f>IF(C89="","",IF(CAD_PROD!E89&gt;=P89,"Sim","Não"))</f>
        <v/>
      </c>
    </row>
    <row r="90" spans="1:19" ht="30" customHeight="1">
      <c r="A90" s="52">
        <f t="shared" si="3"/>
        <v>0</v>
      </c>
      <c r="B90" s="52">
        <f t="shared" si="4"/>
        <v>0</v>
      </c>
      <c r="C90" s="96" t="str">
        <f>IF(CAD_PROD!C90="","",CAD_PROD!C90)</f>
        <v/>
      </c>
      <c r="D90" s="75"/>
      <c r="E90" s="125"/>
      <c r="F90" s="125"/>
      <c r="G90" s="75"/>
      <c r="H90" s="75" t="str">
        <f>IF(C90="","",D90+CAD_PROD!D90*(E90+F90)+G90)</f>
        <v/>
      </c>
      <c r="I90" s="52">
        <v>9.9999999999999995E-7</v>
      </c>
      <c r="J90" s="68" t="str">
        <f>IF(ISERROR(
CAD_PROD!F90*E90),"",CAD_PROD!F90*E90)</f>
        <v/>
      </c>
      <c r="K90" s="68" t="str">
        <f>IF(ISERROR(
CAD_PROD!F90*F90),"",CAD_PROD!F90*F90)</f>
        <v/>
      </c>
      <c r="L90" s="68" t="str">
        <f>IF(ISERROR(
CAD_PROD!D90-H90),"",CAD_PROD!D90-H90)</f>
        <v/>
      </c>
      <c r="M90" s="57" t="str">
        <f>IF(ISERROR(
L90/CAD_PROD!D90),"",L90/CAD_PROD!D90)</f>
        <v/>
      </c>
      <c r="N90" s="68" t="str">
        <f>IF(ISERROR(
(P90*CAD_PROD!D90)),"",(P90*CAD_PROD!D90))</f>
        <v/>
      </c>
      <c r="O90" s="68" t="str">
        <f>IF(ISERROR(PE_GERAL!$J$7*CAD_PROD!G90),"",PE_GERAL!$J$7*CAD_PROD!G90)</f>
        <v/>
      </c>
      <c r="P90" s="101" t="str">
        <f t="shared" si="5"/>
        <v/>
      </c>
      <c r="Q90" s="68" t="str">
        <f>IF(C90="","",IF(ISERROR(
CAD_PROD!E90*G90),"",CAD_PROD!E90*G90))</f>
        <v/>
      </c>
      <c r="R90" s="68" t="str">
        <f>IF(C90="","",IF(ISERROR(
CAD_PROD!E90*D90),"",CAD_PROD!E90*D90))</f>
        <v/>
      </c>
      <c r="S90" s="44" t="str">
        <f>IF(C90="","",IF(CAD_PROD!E90&gt;=P90,"Sim","Não"))</f>
        <v/>
      </c>
    </row>
    <row r="91" spans="1:19" ht="30" customHeight="1">
      <c r="A91" s="52">
        <f t="shared" si="3"/>
        <v>0</v>
      </c>
      <c r="B91" s="52">
        <f t="shared" si="4"/>
        <v>0</v>
      </c>
      <c r="C91" s="96" t="str">
        <f>IF(CAD_PROD!C91="","",CAD_PROD!C91)</f>
        <v/>
      </c>
      <c r="D91" s="75"/>
      <c r="E91" s="125"/>
      <c r="F91" s="125"/>
      <c r="G91" s="75"/>
      <c r="H91" s="75" t="str">
        <f>IF(C91="","",D91+CAD_PROD!D91*(E91+F91)+G91)</f>
        <v/>
      </c>
      <c r="I91" s="52">
        <v>9.9999999999999995E-7</v>
      </c>
      <c r="J91" s="68" t="str">
        <f>IF(ISERROR(
CAD_PROD!F91*E91),"",CAD_PROD!F91*E91)</f>
        <v/>
      </c>
      <c r="K91" s="68" t="str">
        <f>IF(ISERROR(
CAD_PROD!F91*F91),"",CAD_PROD!F91*F91)</f>
        <v/>
      </c>
      <c r="L91" s="68" t="str">
        <f>IF(ISERROR(
CAD_PROD!D91-H91),"",CAD_PROD!D91-H91)</f>
        <v/>
      </c>
      <c r="M91" s="57" t="str">
        <f>IF(ISERROR(
L91/CAD_PROD!D91),"",L91/CAD_PROD!D91)</f>
        <v/>
      </c>
      <c r="N91" s="68" t="str">
        <f>IF(ISERROR(
(P91*CAD_PROD!D91)),"",(P91*CAD_PROD!D91))</f>
        <v/>
      </c>
      <c r="O91" s="68" t="str">
        <f>IF(ISERROR(PE_GERAL!$J$7*CAD_PROD!G91),"",PE_GERAL!$J$7*CAD_PROD!G91)</f>
        <v/>
      </c>
      <c r="P91" s="101" t="str">
        <f t="shared" si="5"/>
        <v/>
      </c>
      <c r="Q91" s="68" t="str">
        <f>IF(C91="","",IF(ISERROR(
CAD_PROD!E91*G91),"",CAD_PROD!E91*G91))</f>
        <v/>
      </c>
      <c r="R91" s="68" t="str">
        <f>IF(C91="","",IF(ISERROR(
CAD_PROD!E91*D91),"",CAD_PROD!E91*D91))</f>
        <v/>
      </c>
      <c r="S91" s="44" t="str">
        <f>IF(C91="","",IF(CAD_PROD!E91&gt;=P91,"Sim","Não"))</f>
        <v/>
      </c>
    </row>
    <row r="92" spans="1:19" ht="30" customHeight="1">
      <c r="A92" s="52">
        <f t="shared" si="3"/>
        <v>0</v>
      </c>
      <c r="B92" s="52">
        <f t="shared" si="4"/>
        <v>0</v>
      </c>
      <c r="C92" s="96" t="str">
        <f>IF(CAD_PROD!C92="","",CAD_PROD!C92)</f>
        <v/>
      </c>
      <c r="D92" s="75"/>
      <c r="E92" s="125"/>
      <c r="F92" s="125"/>
      <c r="G92" s="75"/>
      <c r="H92" s="75" t="str">
        <f>IF(C92="","",D92+CAD_PROD!D92*(E92+F92)+G92)</f>
        <v/>
      </c>
      <c r="I92" s="52">
        <v>9.9999999999999995E-7</v>
      </c>
      <c r="J92" s="68" t="str">
        <f>IF(ISERROR(
CAD_PROD!F92*E92),"",CAD_PROD!F92*E92)</f>
        <v/>
      </c>
      <c r="K92" s="68" t="str">
        <f>IF(ISERROR(
CAD_PROD!F92*F92),"",CAD_PROD!F92*F92)</f>
        <v/>
      </c>
      <c r="L92" s="68" t="str">
        <f>IF(ISERROR(
CAD_PROD!D92-H92),"",CAD_PROD!D92-H92)</f>
        <v/>
      </c>
      <c r="M92" s="57" t="str">
        <f>IF(ISERROR(
L92/CAD_PROD!D92),"",L92/CAD_PROD!D92)</f>
        <v/>
      </c>
      <c r="N92" s="68" t="str">
        <f>IF(ISERROR(
(P92*CAD_PROD!D92)),"",(P92*CAD_PROD!D92))</f>
        <v/>
      </c>
      <c r="O92" s="68" t="str">
        <f>IF(ISERROR(PE_GERAL!$J$7*CAD_PROD!G92),"",PE_GERAL!$J$7*CAD_PROD!G92)</f>
        <v/>
      </c>
      <c r="P92" s="101" t="str">
        <f t="shared" si="5"/>
        <v/>
      </c>
      <c r="Q92" s="68" t="str">
        <f>IF(C92="","",IF(ISERROR(
CAD_PROD!E92*G92),"",CAD_PROD!E92*G92))</f>
        <v/>
      </c>
      <c r="R92" s="68" t="str">
        <f>IF(C92="","",IF(ISERROR(
CAD_PROD!E92*D92),"",CAD_PROD!E92*D92))</f>
        <v/>
      </c>
      <c r="S92" s="44" t="str">
        <f>IF(C92="","",IF(CAD_PROD!E92&gt;=P92,"Sim","Não"))</f>
        <v/>
      </c>
    </row>
    <row r="93" spans="1:19" ht="30" customHeight="1">
      <c r="A93" s="52">
        <f t="shared" si="3"/>
        <v>0</v>
      </c>
      <c r="B93" s="52">
        <f t="shared" si="4"/>
        <v>0</v>
      </c>
      <c r="C93" s="96" t="str">
        <f>IF(CAD_PROD!C93="","",CAD_PROD!C93)</f>
        <v/>
      </c>
      <c r="D93" s="75"/>
      <c r="E93" s="125"/>
      <c r="F93" s="125"/>
      <c r="G93" s="75"/>
      <c r="H93" s="75" t="str">
        <f>IF(C93="","",D93+CAD_PROD!D93*(E93+F93)+G93)</f>
        <v/>
      </c>
      <c r="I93" s="52">
        <v>9.9999999999999995E-7</v>
      </c>
      <c r="J93" s="68" t="str">
        <f>IF(ISERROR(
CAD_PROD!F93*E93),"",CAD_PROD!F93*E93)</f>
        <v/>
      </c>
      <c r="K93" s="68" t="str">
        <f>IF(ISERROR(
CAD_PROD!F93*F93),"",CAD_PROD!F93*F93)</f>
        <v/>
      </c>
      <c r="L93" s="68" t="str">
        <f>IF(ISERROR(
CAD_PROD!D93-H93),"",CAD_PROD!D93-H93)</f>
        <v/>
      </c>
      <c r="M93" s="57" t="str">
        <f>IF(ISERROR(
L93/CAD_PROD!D93),"",L93/CAD_PROD!D93)</f>
        <v/>
      </c>
      <c r="N93" s="68" t="str">
        <f>IF(ISERROR(
(P93*CAD_PROD!D93)),"",(P93*CAD_PROD!D93))</f>
        <v/>
      </c>
      <c r="O93" s="68" t="str">
        <f>IF(ISERROR(PE_GERAL!$J$7*CAD_PROD!G93),"",PE_GERAL!$J$7*CAD_PROD!G93)</f>
        <v/>
      </c>
      <c r="P93" s="101" t="str">
        <f t="shared" si="5"/>
        <v/>
      </c>
      <c r="Q93" s="68" t="str">
        <f>IF(C93="","",IF(ISERROR(
CAD_PROD!E93*G93),"",CAD_PROD!E93*G93))</f>
        <v/>
      </c>
      <c r="R93" s="68" t="str">
        <f>IF(C93="","",IF(ISERROR(
CAD_PROD!E93*D93),"",CAD_PROD!E93*D93))</f>
        <v/>
      </c>
      <c r="S93" s="44" t="str">
        <f>IF(C93="","",IF(CAD_PROD!E93&gt;=P93,"Sim","Não"))</f>
        <v/>
      </c>
    </row>
    <row r="94" spans="1:19" ht="30" customHeight="1">
      <c r="A94" s="52">
        <f t="shared" si="3"/>
        <v>0</v>
      </c>
      <c r="B94" s="52">
        <f t="shared" si="4"/>
        <v>0</v>
      </c>
      <c r="C94" s="96" t="str">
        <f>IF(CAD_PROD!C94="","",CAD_PROD!C94)</f>
        <v/>
      </c>
      <c r="D94" s="75"/>
      <c r="E94" s="125"/>
      <c r="F94" s="125"/>
      <c r="G94" s="75"/>
      <c r="H94" s="75" t="str">
        <f>IF(C94="","",D94+CAD_PROD!D94*(E94+F94)+G94)</f>
        <v/>
      </c>
      <c r="I94" s="52">
        <v>9.9999999999999995E-7</v>
      </c>
      <c r="J94" s="68" t="str">
        <f>IF(ISERROR(
CAD_PROD!F94*E94),"",CAD_PROD!F94*E94)</f>
        <v/>
      </c>
      <c r="K94" s="68" t="str">
        <f>IF(ISERROR(
CAD_PROD!F94*F94),"",CAD_PROD!F94*F94)</f>
        <v/>
      </c>
      <c r="L94" s="68" t="str">
        <f>IF(ISERROR(
CAD_PROD!D94-H94),"",CAD_PROD!D94-H94)</f>
        <v/>
      </c>
      <c r="M94" s="57" t="str">
        <f>IF(ISERROR(
L94/CAD_PROD!D94),"",L94/CAD_PROD!D94)</f>
        <v/>
      </c>
      <c r="N94" s="68" t="str">
        <f>IF(ISERROR(
(P94*CAD_PROD!D94)),"",(P94*CAD_PROD!D94))</f>
        <v/>
      </c>
      <c r="O94" s="68" t="str">
        <f>IF(ISERROR(PE_GERAL!$J$7*CAD_PROD!G94),"",PE_GERAL!$J$7*CAD_PROD!G94)</f>
        <v/>
      </c>
      <c r="P94" s="101" t="str">
        <f t="shared" si="5"/>
        <v/>
      </c>
      <c r="Q94" s="68" t="str">
        <f>IF(C94="","",IF(ISERROR(
CAD_PROD!E94*G94),"",CAD_PROD!E94*G94))</f>
        <v/>
      </c>
      <c r="R94" s="68" t="str">
        <f>IF(C94="","",IF(ISERROR(
CAD_PROD!E94*D94),"",CAD_PROD!E94*D94))</f>
        <v/>
      </c>
      <c r="S94" s="44" t="str">
        <f>IF(C94="","",IF(CAD_PROD!E94&gt;=P94,"Sim","Não"))</f>
        <v/>
      </c>
    </row>
    <row r="95" spans="1:19" ht="30" customHeight="1">
      <c r="A95" s="52">
        <f t="shared" si="3"/>
        <v>0</v>
      </c>
      <c r="B95" s="52">
        <f t="shared" si="4"/>
        <v>0</v>
      </c>
      <c r="C95" s="96" t="str">
        <f>IF(CAD_PROD!C95="","",CAD_PROD!C95)</f>
        <v/>
      </c>
      <c r="D95" s="75"/>
      <c r="E95" s="125"/>
      <c r="F95" s="125"/>
      <c r="G95" s="75"/>
      <c r="H95" s="75" t="str">
        <f>IF(C95="","",D95+CAD_PROD!D95*(E95+F95)+G95)</f>
        <v/>
      </c>
      <c r="I95" s="52">
        <v>9.9999999999999995E-7</v>
      </c>
      <c r="J95" s="68" t="str">
        <f>IF(ISERROR(
CAD_PROD!F95*E95),"",CAD_PROD!F95*E95)</f>
        <v/>
      </c>
      <c r="K95" s="68" t="str">
        <f>IF(ISERROR(
CAD_PROD!F95*F95),"",CAD_PROD!F95*F95)</f>
        <v/>
      </c>
      <c r="L95" s="68" t="str">
        <f>IF(ISERROR(
CAD_PROD!D95-H95),"",CAD_PROD!D95-H95)</f>
        <v/>
      </c>
      <c r="M95" s="57" t="str">
        <f>IF(ISERROR(
L95/CAD_PROD!D95),"",L95/CAD_PROD!D95)</f>
        <v/>
      </c>
      <c r="N95" s="68" t="str">
        <f>IF(ISERROR(
(P95*CAD_PROD!D95)),"",(P95*CAD_PROD!D95))</f>
        <v/>
      </c>
      <c r="O95" s="68" t="str">
        <f>IF(ISERROR(PE_GERAL!$J$7*CAD_PROD!G95),"",PE_GERAL!$J$7*CAD_PROD!G95)</f>
        <v/>
      </c>
      <c r="P95" s="101" t="str">
        <f t="shared" si="5"/>
        <v/>
      </c>
      <c r="Q95" s="68" t="str">
        <f>IF(C95="","",IF(ISERROR(
CAD_PROD!E95*G95),"",CAD_PROD!E95*G95))</f>
        <v/>
      </c>
      <c r="R95" s="68" t="str">
        <f>IF(C95="","",IF(ISERROR(
CAD_PROD!E95*D95),"",CAD_PROD!E95*D95))</f>
        <v/>
      </c>
      <c r="S95" s="44" t="str">
        <f>IF(C95="","",IF(CAD_PROD!E95&gt;=P95,"Sim","Não"))</f>
        <v/>
      </c>
    </row>
    <row r="96" spans="1:19" ht="30" customHeight="1">
      <c r="A96" s="52">
        <f t="shared" si="3"/>
        <v>0</v>
      </c>
      <c r="B96" s="52">
        <f t="shared" si="4"/>
        <v>0</v>
      </c>
      <c r="C96" s="96" t="str">
        <f>IF(CAD_PROD!C96="","",CAD_PROD!C96)</f>
        <v/>
      </c>
      <c r="D96" s="75"/>
      <c r="E96" s="125"/>
      <c r="F96" s="125"/>
      <c r="G96" s="75"/>
      <c r="H96" s="75" t="str">
        <f>IF(C96="","",D96+CAD_PROD!D96*(E96+F96)+G96)</f>
        <v/>
      </c>
      <c r="I96" s="52">
        <v>9.9999999999999995E-7</v>
      </c>
      <c r="J96" s="68" t="str">
        <f>IF(ISERROR(
CAD_PROD!F96*E96),"",CAD_PROD!F96*E96)</f>
        <v/>
      </c>
      <c r="K96" s="68" t="str">
        <f>IF(ISERROR(
CAD_PROD!F96*F96),"",CAD_PROD!F96*F96)</f>
        <v/>
      </c>
      <c r="L96" s="68" t="str">
        <f>IF(ISERROR(
CAD_PROD!D96-H96),"",CAD_PROD!D96-H96)</f>
        <v/>
      </c>
      <c r="M96" s="57" t="str">
        <f>IF(ISERROR(
L96/CAD_PROD!D96),"",L96/CAD_PROD!D96)</f>
        <v/>
      </c>
      <c r="N96" s="68" t="str">
        <f>IF(ISERROR(
(P96*CAD_PROD!D96)),"",(P96*CAD_PROD!D96))</f>
        <v/>
      </c>
      <c r="O96" s="68" t="str">
        <f>IF(ISERROR(PE_GERAL!$J$7*CAD_PROD!G96),"",PE_GERAL!$J$7*CAD_PROD!G96)</f>
        <v/>
      </c>
      <c r="P96" s="101" t="str">
        <f t="shared" si="5"/>
        <v/>
      </c>
      <c r="Q96" s="68" t="str">
        <f>IF(C96="","",IF(ISERROR(
CAD_PROD!E96*G96),"",CAD_PROD!E96*G96))</f>
        <v/>
      </c>
      <c r="R96" s="68" t="str">
        <f>IF(C96="","",IF(ISERROR(
CAD_PROD!E96*D96),"",CAD_PROD!E96*D96))</f>
        <v/>
      </c>
      <c r="S96" s="44" t="str">
        <f>IF(C96="","",IF(CAD_PROD!E96&gt;=P96,"Sim","Não"))</f>
        <v/>
      </c>
    </row>
    <row r="97" spans="1:19" ht="30" customHeight="1">
      <c r="A97" s="52">
        <f t="shared" si="3"/>
        <v>0</v>
      </c>
      <c r="B97" s="52">
        <f t="shared" si="4"/>
        <v>0</v>
      </c>
      <c r="C97" s="96" t="str">
        <f>IF(CAD_PROD!C97="","",CAD_PROD!C97)</f>
        <v/>
      </c>
      <c r="D97" s="75"/>
      <c r="E97" s="125"/>
      <c r="F97" s="125"/>
      <c r="G97" s="75"/>
      <c r="H97" s="75" t="str">
        <f>IF(C97="","",D97+CAD_PROD!D97*(E97+F97)+G97)</f>
        <v/>
      </c>
      <c r="I97" s="52">
        <v>9.9999999999999995E-7</v>
      </c>
      <c r="J97" s="68" t="str">
        <f>IF(ISERROR(
CAD_PROD!F97*E97),"",CAD_PROD!F97*E97)</f>
        <v/>
      </c>
      <c r="K97" s="68" t="str">
        <f>IF(ISERROR(
CAD_PROD!F97*F97),"",CAD_PROD!F97*F97)</f>
        <v/>
      </c>
      <c r="L97" s="68" t="str">
        <f>IF(ISERROR(
CAD_PROD!D97-H97),"",CAD_PROD!D97-H97)</f>
        <v/>
      </c>
      <c r="M97" s="57" t="str">
        <f>IF(ISERROR(
L97/CAD_PROD!D97),"",L97/CAD_PROD!D97)</f>
        <v/>
      </c>
      <c r="N97" s="68" t="str">
        <f>IF(ISERROR(
(P97*CAD_PROD!D97)),"",(P97*CAD_PROD!D97))</f>
        <v/>
      </c>
      <c r="O97" s="68" t="str">
        <f>IF(ISERROR(PE_GERAL!$J$7*CAD_PROD!G97),"",PE_GERAL!$J$7*CAD_PROD!G97)</f>
        <v/>
      </c>
      <c r="P97" s="101" t="str">
        <f t="shared" si="5"/>
        <v/>
      </c>
      <c r="Q97" s="68" t="str">
        <f>IF(C97="","",IF(ISERROR(
CAD_PROD!E97*G97),"",CAD_PROD!E97*G97))</f>
        <v/>
      </c>
      <c r="R97" s="68" t="str">
        <f>IF(C97="","",IF(ISERROR(
CAD_PROD!E97*D97),"",CAD_PROD!E97*D97))</f>
        <v/>
      </c>
      <c r="S97" s="44" t="str">
        <f>IF(C97="","",IF(CAD_PROD!E97&gt;=P97,"Sim","Não"))</f>
        <v/>
      </c>
    </row>
    <row r="98" spans="1:19" ht="30" customHeight="1">
      <c r="A98" s="52">
        <f t="shared" si="3"/>
        <v>0</v>
      </c>
      <c r="B98" s="52">
        <f t="shared" si="4"/>
        <v>0</v>
      </c>
      <c r="C98" s="96" t="str">
        <f>IF(CAD_PROD!C98="","",CAD_PROD!C98)</f>
        <v/>
      </c>
      <c r="D98" s="75"/>
      <c r="E98" s="125"/>
      <c r="F98" s="125"/>
      <c r="G98" s="75"/>
      <c r="H98" s="75" t="str">
        <f>IF(C98="","",D98+CAD_PROD!D98*(E98+F98)+G98)</f>
        <v/>
      </c>
      <c r="I98" s="52">
        <v>9.9999999999999995E-7</v>
      </c>
      <c r="J98" s="68" t="str">
        <f>IF(ISERROR(
CAD_PROD!F98*E98),"",CAD_PROD!F98*E98)</f>
        <v/>
      </c>
      <c r="K98" s="68" t="str">
        <f>IF(ISERROR(
CAD_PROD!F98*F98),"",CAD_PROD!F98*F98)</f>
        <v/>
      </c>
      <c r="L98" s="68" t="str">
        <f>IF(ISERROR(
CAD_PROD!D98-H98),"",CAD_PROD!D98-H98)</f>
        <v/>
      </c>
      <c r="M98" s="57" t="str">
        <f>IF(ISERROR(
L98/CAD_PROD!D98),"",L98/CAD_PROD!D98)</f>
        <v/>
      </c>
      <c r="N98" s="68" t="str">
        <f>IF(ISERROR(
(P98*CAD_PROD!D98)),"",(P98*CAD_PROD!D98))</f>
        <v/>
      </c>
      <c r="O98" s="68" t="str">
        <f>IF(ISERROR(PE_GERAL!$J$7*CAD_PROD!G98),"",PE_GERAL!$J$7*CAD_PROD!G98)</f>
        <v/>
      </c>
      <c r="P98" s="101" t="str">
        <f t="shared" si="5"/>
        <v/>
      </c>
      <c r="Q98" s="68" t="str">
        <f>IF(C98="","",IF(ISERROR(
CAD_PROD!E98*G98),"",CAD_PROD!E98*G98))</f>
        <v/>
      </c>
      <c r="R98" s="68" t="str">
        <f>IF(C98="","",IF(ISERROR(
CAD_PROD!E98*D98),"",CAD_PROD!E98*D98))</f>
        <v/>
      </c>
      <c r="S98" s="44" t="str">
        <f>IF(C98="","",IF(CAD_PROD!E98&gt;=P98,"Sim","Não"))</f>
        <v/>
      </c>
    </row>
    <row r="99" spans="1:19" ht="30" customHeight="1">
      <c r="A99" s="52">
        <f t="shared" si="3"/>
        <v>0</v>
      </c>
      <c r="B99" s="52">
        <f t="shared" si="4"/>
        <v>0</v>
      </c>
      <c r="C99" s="96" t="str">
        <f>IF(CAD_PROD!C99="","",CAD_PROD!C99)</f>
        <v/>
      </c>
      <c r="D99" s="75"/>
      <c r="E99" s="125"/>
      <c r="F99" s="125"/>
      <c r="G99" s="75"/>
      <c r="H99" s="75" t="str">
        <f>IF(C99="","",D99+CAD_PROD!D99*(E99+F99)+G99)</f>
        <v/>
      </c>
      <c r="I99" s="52">
        <v>9.9999999999999995E-7</v>
      </c>
      <c r="J99" s="68" t="str">
        <f>IF(ISERROR(
CAD_PROD!F99*E99),"",CAD_PROD!F99*E99)</f>
        <v/>
      </c>
      <c r="K99" s="68" t="str">
        <f>IF(ISERROR(
CAD_PROD!F99*F99),"",CAD_PROD!F99*F99)</f>
        <v/>
      </c>
      <c r="L99" s="68" t="str">
        <f>IF(ISERROR(
CAD_PROD!D99-H99),"",CAD_PROD!D99-H99)</f>
        <v/>
      </c>
      <c r="M99" s="57" t="str">
        <f>IF(ISERROR(
L99/CAD_PROD!D99),"",L99/CAD_PROD!D99)</f>
        <v/>
      </c>
      <c r="N99" s="68" t="str">
        <f>IF(ISERROR(
(P99*CAD_PROD!D99)),"",(P99*CAD_PROD!D99))</f>
        <v/>
      </c>
      <c r="O99" s="68" t="str">
        <f>IF(ISERROR(PE_GERAL!$J$7*CAD_PROD!G99),"",PE_GERAL!$J$7*CAD_PROD!G99)</f>
        <v/>
      </c>
      <c r="P99" s="101" t="str">
        <f t="shared" si="5"/>
        <v/>
      </c>
      <c r="Q99" s="68" t="str">
        <f>IF(C99="","",IF(ISERROR(
CAD_PROD!E99*G99),"",CAD_PROD!E99*G99))</f>
        <v/>
      </c>
      <c r="R99" s="68" t="str">
        <f>IF(C99="","",IF(ISERROR(
CAD_PROD!E99*D99),"",CAD_PROD!E99*D99))</f>
        <v/>
      </c>
      <c r="S99" s="44" t="str">
        <f>IF(C99="","",IF(CAD_PROD!E99&gt;=P99,"Sim","Não"))</f>
        <v/>
      </c>
    </row>
    <row r="100" spans="1:19" ht="30" customHeight="1">
      <c r="A100" s="52">
        <f t="shared" si="3"/>
        <v>0</v>
      </c>
      <c r="B100" s="52">
        <f t="shared" si="4"/>
        <v>0</v>
      </c>
      <c r="C100" s="96" t="str">
        <f>IF(CAD_PROD!C100="","",CAD_PROD!C100)</f>
        <v/>
      </c>
      <c r="D100" s="75"/>
      <c r="E100" s="125"/>
      <c r="F100" s="125"/>
      <c r="G100" s="75"/>
      <c r="H100" s="75" t="str">
        <f>IF(C100="","",D100+CAD_PROD!D100*(E100+F100)+G100)</f>
        <v/>
      </c>
      <c r="I100" s="52">
        <v>9.9999999999999995E-7</v>
      </c>
      <c r="J100" s="68" t="str">
        <f>IF(ISERROR(
CAD_PROD!F100*E100),"",CAD_PROD!F100*E100)</f>
        <v/>
      </c>
      <c r="K100" s="68" t="str">
        <f>IF(ISERROR(
CAD_PROD!F100*F100),"",CAD_PROD!F100*F100)</f>
        <v/>
      </c>
      <c r="L100" s="68" t="str">
        <f>IF(ISERROR(
CAD_PROD!D100-H100),"",CAD_PROD!D100-H100)</f>
        <v/>
      </c>
      <c r="M100" s="57" t="str">
        <f>IF(ISERROR(
L100/CAD_PROD!D100),"",L100/CAD_PROD!D100)</f>
        <v/>
      </c>
      <c r="N100" s="68" t="str">
        <f>IF(ISERROR(
(P100*CAD_PROD!D100)),"",(P100*CAD_PROD!D100))</f>
        <v/>
      </c>
      <c r="O100" s="68" t="str">
        <f>IF(ISERROR(PE_GERAL!$J$7*CAD_PROD!G100),"",PE_GERAL!$J$7*CAD_PROD!G100)</f>
        <v/>
      </c>
      <c r="P100" s="101" t="str">
        <f t="shared" si="5"/>
        <v/>
      </c>
      <c r="Q100" s="68" t="str">
        <f>IF(C100="","",IF(ISERROR(
CAD_PROD!E100*G100),"",CAD_PROD!E100*G100))</f>
        <v/>
      </c>
      <c r="R100" s="68" t="str">
        <f>IF(C100="","",IF(ISERROR(
CAD_PROD!E100*D100),"",CAD_PROD!E100*D100))</f>
        <v/>
      </c>
      <c r="S100" s="44" t="str">
        <f>IF(C100="","",IF(CAD_PROD!E100&gt;=P100,"Sim","Não"))</f>
        <v/>
      </c>
    </row>
    <row r="101" spans="1:19" ht="30" customHeight="1">
      <c r="A101" s="52">
        <f t="shared" si="3"/>
        <v>0</v>
      </c>
      <c r="B101" s="52">
        <f t="shared" si="4"/>
        <v>0</v>
      </c>
      <c r="C101" s="96" t="str">
        <f>IF(CAD_PROD!C101="","",CAD_PROD!C101)</f>
        <v/>
      </c>
      <c r="D101" s="75"/>
      <c r="E101" s="125"/>
      <c r="F101" s="125"/>
      <c r="G101" s="75"/>
      <c r="H101" s="75" t="str">
        <f>IF(C101="","",D101+CAD_PROD!D101*(E101+F101)+G101)</f>
        <v/>
      </c>
      <c r="I101" s="52">
        <v>9.9999999999999995E-7</v>
      </c>
      <c r="J101" s="68" t="str">
        <f>IF(ISERROR(
CAD_PROD!F101*E101),"",CAD_PROD!F101*E101)</f>
        <v/>
      </c>
      <c r="K101" s="68" t="str">
        <f>IF(ISERROR(
CAD_PROD!F101*F101),"",CAD_PROD!F101*F101)</f>
        <v/>
      </c>
      <c r="L101" s="68" t="str">
        <f>IF(ISERROR(
CAD_PROD!D101-H101),"",CAD_PROD!D101-H101)</f>
        <v/>
      </c>
      <c r="M101" s="57" t="str">
        <f>IF(ISERROR(
L101/CAD_PROD!D101),"",L101/CAD_PROD!D101)</f>
        <v/>
      </c>
      <c r="N101" s="68" t="str">
        <f>IF(ISERROR(
(P101*CAD_PROD!D101)),"",(P101*CAD_PROD!D101))</f>
        <v/>
      </c>
      <c r="O101" s="68" t="str">
        <f>IF(ISERROR(PE_GERAL!$J$7*CAD_PROD!G101),"",PE_GERAL!$J$7*CAD_PROD!G101)</f>
        <v/>
      </c>
      <c r="P101" s="101" t="str">
        <f t="shared" si="5"/>
        <v/>
      </c>
      <c r="Q101" s="68" t="str">
        <f>IF(C101="","",IF(ISERROR(
CAD_PROD!E101*G101),"",CAD_PROD!E101*G101))</f>
        <v/>
      </c>
      <c r="R101" s="68" t="str">
        <f>IF(C101="","",IF(ISERROR(
CAD_PROD!E101*D101),"",CAD_PROD!E101*D101))</f>
        <v/>
      </c>
      <c r="S101" s="44" t="str">
        <f>IF(C101="","",IF(CAD_PROD!E101&gt;=P101,"Sim","Não"))</f>
        <v/>
      </c>
    </row>
    <row r="102" spans="1:19" ht="30" customHeight="1">
      <c r="A102" s="52">
        <f t="shared" si="3"/>
        <v>0</v>
      </c>
      <c r="B102" s="52">
        <f t="shared" si="4"/>
        <v>0</v>
      </c>
      <c r="C102" s="96" t="str">
        <f>IF(CAD_PROD!C102="","",CAD_PROD!C102)</f>
        <v/>
      </c>
      <c r="D102" s="75"/>
      <c r="E102" s="125"/>
      <c r="F102" s="125"/>
      <c r="G102" s="75"/>
      <c r="H102" s="75" t="str">
        <f>IF(C102="","",D102+CAD_PROD!D102*(E102+F102)+G102)</f>
        <v/>
      </c>
      <c r="I102" s="52">
        <v>9.9999999999999995E-7</v>
      </c>
      <c r="J102" s="68" t="str">
        <f>IF(ISERROR(
CAD_PROD!F102*E102),"",CAD_PROD!F102*E102)</f>
        <v/>
      </c>
      <c r="K102" s="68" t="str">
        <f>IF(ISERROR(
CAD_PROD!F102*F102),"",CAD_PROD!F102*F102)</f>
        <v/>
      </c>
      <c r="L102" s="68" t="str">
        <f>IF(ISERROR(
CAD_PROD!D102-H102),"",CAD_PROD!D102-H102)</f>
        <v/>
      </c>
      <c r="M102" s="57" t="str">
        <f>IF(ISERROR(
L102/CAD_PROD!D102),"",L102/CAD_PROD!D102)</f>
        <v/>
      </c>
      <c r="N102" s="68" t="str">
        <f>IF(ISERROR(
(P102*CAD_PROD!D102)),"",(P102*CAD_PROD!D102))</f>
        <v/>
      </c>
      <c r="O102" s="68" t="str">
        <f>IF(ISERROR(PE_GERAL!$J$7*CAD_PROD!G102),"",PE_GERAL!$J$7*CAD_PROD!G102)</f>
        <v/>
      </c>
      <c r="P102" s="101" t="str">
        <f t="shared" si="5"/>
        <v/>
      </c>
      <c r="Q102" s="68" t="str">
        <f>IF(C102="","",IF(ISERROR(
CAD_PROD!E102*G102),"",CAD_PROD!E102*G102))</f>
        <v/>
      </c>
      <c r="R102" s="68" t="str">
        <f>IF(C102="","",IF(ISERROR(
CAD_PROD!E102*D102),"",CAD_PROD!E102*D102))</f>
        <v/>
      </c>
      <c r="S102" s="44" t="str">
        <f>IF(C102="","",IF(CAD_PROD!E102&gt;=P102,"Sim","Não"))</f>
        <v/>
      </c>
    </row>
    <row r="103" spans="1:19" ht="30" customHeight="1">
      <c r="A103" s="52">
        <f t="shared" si="3"/>
        <v>0</v>
      </c>
      <c r="B103" s="52">
        <f t="shared" si="4"/>
        <v>0</v>
      </c>
      <c r="C103" s="96" t="str">
        <f>IF(CAD_PROD!C103="","",CAD_PROD!C103)</f>
        <v/>
      </c>
      <c r="D103" s="75"/>
      <c r="E103" s="125"/>
      <c r="F103" s="125"/>
      <c r="G103" s="75"/>
      <c r="H103" s="75" t="str">
        <f>IF(C103="","",D103+CAD_PROD!D103*(E103+F103)+G103)</f>
        <v/>
      </c>
      <c r="I103" s="52">
        <v>9.9999999999999995E-7</v>
      </c>
      <c r="J103" s="68" t="str">
        <f>IF(ISERROR(
CAD_PROD!F103*E103),"",CAD_PROD!F103*E103)</f>
        <v/>
      </c>
      <c r="K103" s="68" t="str">
        <f>IF(ISERROR(
CAD_PROD!F103*F103),"",CAD_PROD!F103*F103)</f>
        <v/>
      </c>
      <c r="L103" s="68" t="str">
        <f>IF(ISERROR(
CAD_PROD!D103-H103),"",CAD_PROD!D103-H103)</f>
        <v/>
      </c>
      <c r="M103" s="57" t="str">
        <f>IF(ISERROR(
L103/CAD_PROD!D103),"",L103/CAD_PROD!D103)</f>
        <v/>
      </c>
      <c r="N103" s="68" t="str">
        <f>IF(ISERROR(
(P103*CAD_PROD!D103)),"",(P103*CAD_PROD!D103))</f>
        <v/>
      </c>
      <c r="O103" s="68" t="str">
        <f>IF(ISERROR(PE_GERAL!$J$7*CAD_PROD!G103),"",PE_GERAL!$J$7*CAD_PROD!G103)</f>
        <v/>
      </c>
      <c r="P103" s="101" t="str">
        <f t="shared" si="5"/>
        <v/>
      </c>
      <c r="Q103" s="68" t="str">
        <f>IF(C103="","",IF(ISERROR(
CAD_PROD!E103*G103),"",CAD_PROD!E103*G103))</f>
        <v/>
      </c>
      <c r="R103" s="68" t="str">
        <f>IF(C103="","",IF(ISERROR(
CAD_PROD!E103*D103),"",CAD_PROD!E103*D103))</f>
        <v/>
      </c>
      <c r="S103" s="44" t="str">
        <f>IF(C103="","",IF(CAD_PROD!E103&gt;=P103,"Sim","Não"))</f>
        <v/>
      </c>
    </row>
    <row r="104" spans="1:19" ht="30" customHeight="1">
      <c r="A104" s="52">
        <f t="shared" si="3"/>
        <v>0</v>
      </c>
      <c r="B104" s="52">
        <f t="shared" si="4"/>
        <v>0</v>
      </c>
      <c r="C104" s="96" t="str">
        <f>IF(CAD_PROD!C104="","",CAD_PROD!C104)</f>
        <v/>
      </c>
      <c r="D104" s="75"/>
      <c r="E104" s="125"/>
      <c r="F104" s="125"/>
      <c r="G104" s="75"/>
      <c r="H104" s="75" t="str">
        <f>IF(C104="","",D104+CAD_PROD!D104*(E104+F104)+G104)</f>
        <v/>
      </c>
      <c r="I104" s="52">
        <v>9.9999999999999995E-7</v>
      </c>
      <c r="J104" s="68" t="str">
        <f>IF(ISERROR(
CAD_PROD!F104*E104),"",CAD_PROD!F104*E104)</f>
        <v/>
      </c>
      <c r="K104" s="68" t="str">
        <f>IF(ISERROR(
CAD_PROD!F104*F104),"",CAD_PROD!F104*F104)</f>
        <v/>
      </c>
      <c r="L104" s="68" t="str">
        <f>IF(ISERROR(
CAD_PROD!D104-H104),"",CAD_PROD!D104-H104)</f>
        <v/>
      </c>
      <c r="M104" s="57" t="str">
        <f>IF(ISERROR(
L104/CAD_PROD!D104),"",L104/CAD_PROD!D104)</f>
        <v/>
      </c>
      <c r="N104" s="68" t="str">
        <f>IF(ISERROR(
(P104*CAD_PROD!D104)),"",(P104*CAD_PROD!D104))</f>
        <v/>
      </c>
      <c r="O104" s="68" t="str">
        <f>IF(ISERROR(PE_GERAL!$J$7*CAD_PROD!G104),"",PE_GERAL!$J$7*CAD_PROD!G104)</f>
        <v/>
      </c>
      <c r="P104" s="101" t="str">
        <f t="shared" si="5"/>
        <v/>
      </c>
      <c r="Q104" s="68" t="str">
        <f>IF(C104="","",IF(ISERROR(
CAD_PROD!E104*G104),"",CAD_PROD!E104*G104))</f>
        <v/>
      </c>
      <c r="R104" s="68" t="str">
        <f>IF(C104="","",IF(ISERROR(
CAD_PROD!E104*D104),"",CAD_PROD!E104*D104))</f>
        <v/>
      </c>
      <c r="S104" s="44" t="str">
        <f>IF(C104="","",IF(CAD_PROD!E104&gt;=P104,"Sim","Não"))</f>
        <v/>
      </c>
    </row>
    <row r="105" spans="1:19" ht="30" customHeight="1">
      <c r="A105" s="52">
        <f t="shared" si="3"/>
        <v>0</v>
      </c>
      <c r="B105" s="52">
        <f t="shared" si="4"/>
        <v>0</v>
      </c>
      <c r="C105" s="96" t="str">
        <f>IF(CAD_PROD!C105="","",CAD_PROD!C105)</f>
        <v/>
      </c>
      <c r="D105" s="75"/>
      <c r="E105" s="125"/>
      <c r="F105" s="125"/>
      <c r="G105" s="75"/>
      <c r="H105" s="75" t="str">
        <f>IF(C105="","",D105+CAD_PROD!D105*(E105+F105)+G105)</f>
        <v/>
      </c>
      <c r="I105" s="52">
        <v>9.9999999999999995E-7</v>
      </c>
      <c r="J105" s="68" t="str">
        <f>IF(ISERROR(
CAD_PROD!F105*E105),"",CAD_PROD!F105*E105)</f>
        <v/>
      </c>
      <c r="K105" s="68" t="str">
        <f>IF(ISERROR(
CAD_PROD!F105*F105),"",CAD_PROD!F105*F105)</f>
        <v/>
      </c>
      <c r="L105" s="68" t="str">
        <f>IF(ISERROR(
CAD_PROD!D105-H105),"",CAD_PROD!D105-H105)</f>
        <v/>
      </c>
      <c r="M105" s="57" t="str">
        <f>IF(ISERROR(
L105/CAD_PROD!D105),"",L105/CAD_PROD!D105)</f>
        <v/>
      </c>
      <c r="N105" s="68" t="str">
        <f>IF(ISERROR(
(P105*CAD_PROD!D105)),"",(P105*CAD_PROD!D105))</f>
        <v/>
      </c>
      <c r="O105" s="68" t="str">
        <f>IF(ISERROR(PE_GERAL!$J$7*CAD_PROD!G105),"",PE_GERAL!$J$7*CAD_PROD!G105)</f>
        <v/>
      </c>
      <c r="P105" s="101" t="str">
        <f t="shared" si="5"/>
        <v/>
      </c>
      <c r="Q105" s="68" t="str">
        <f>IF(C105="","",IF(ISERROR(
CAD_PROD!E105*G105),"",CAD_PROD!E105*G105))</f>
        <v/>
      </c>
      <c r="R105" s="68" t="str">
        <f>IF(C105="","",IF(ISERROR(
CAD_PROD!E105*D105),"",CAD_PROD!E105*D105))</f>
        <v/>
      </c>
      <c r="S105" s="44" t="str">
        <f>IF(C105="","",IF(CAD_PROD!E105&gt;=P105,"Sim","Não"))</f>
        <v/>
      </c>
    </row>
    <row r="106" spans="1:19" ht="30" customHeight="1">
      <c r="A106" s="52">
        <f t="shared" si="3"/>
        <v>0</v>
      </c>
      <c r="B106" s="52">
        <f t="shared" si="4"/>
        <v>0</v>
      </c>
      <c r="C106" s="96" t="str">
        <f>IF(CAD_PROD!C106="","",CAD_PROD!C106)</f>
        <v/>
      </c>
      <c r="D106" s="75"/>
      <c r="E106" s="125"/>
      <c r="F106" s="125"/>
      <c r="G106" s="75"/>
      <c r="H106" s="75" t="str">
        <f>IF(C106="","",D106+CAD_PROD!D106*(E106+F106)+G106)</f>
        <v/>
      </c>
      <c r="I106" s="52">
        <v>9.9999999999999995E-7</v>
      </c>
      <c r="J106" s="68" t="str">
        <f>IF(ISERROR(
CAD_PROD!F106*E106),"",CAD_PROD!F106*E106)</f>
        <v/>
      </c>
      <c r="K106" s="68" t="str">
        <f>IF(ISERROR(
CAD_PROD!F106*F106),"",CAD_PROD!F106*F106)</f>
        <v/>
      </c>
      <c r="L106" s="68" t="str">
        <f>IF(ISERROR(
CAD_PROD!D106-H106),"",CAD_PROD!D106-H106)</f>
        <v/>
      </c>
      <c r="M106" s="57" t="str">
        <f>IF(ISERROR(
L106/CAD_PROD!D106),"",L106/CAD_PROD!D106)</f>
        <v/>
      </c>
      <c r="N106" s="68" t="str">
        <f>IF(ISERROR(
(P106*CAD_PROD!D106)),"",(P106*CAD_PROD!D106))</f>
        <v/>
      </c>
      <c r="O106" s="68" t="str">
        <f>IF(ISERROR(PE_GERAL!$J$7*CAD_PROD!G106),"",PE_GERAL!$J$7*CAD_PROD!G106)</f>
        <v/>
      </c>
      <c r="P106" s="101" t="str">
        <f t="shared" si="5"/>
        <v/>
      </c>
      <c r="Q106" s="68" t="str">
        <f>IF(C106="","",IF(ISERROR(
CAD_PROD!E106*G106),"",CAD_PROD!E106*G106))</f>
        <v/>
      </c>
      <c r="R106" s="68" t="str">
        <f>IF(C106="","",IF(ISERROR(
CAD_PROD!E106*D106),"",CAD_PROD!E106*D106))</f>
        <v/>
      </c>
      <c r="S106" s="44" t="str">
        <f>IF(C106="","",IF(CAD_PROD!E106&gt;=P106,"Sim","Não"))</f>
        <v/>
      </c>
    </row>
    <row r="107" spans="1:19" ht="30" customHeight="1">
      <c r="A107" s="52">
        <f t="shared" si="3"/>
        <v>0</v>
      </c>
      <c r="B107" s="52">
        <f t="shared" si="4"/>
        <v>0</v>
      </c>
      <c r="C107" s="96" t="str">
        <f>IF(CAD_PROD!C107="","",CAD_PROD!C107)</f>
        <v/>
      </c>
      <c r="D107" s="75"/>
      <c r="E107" s="125"/>
      <c r="F107" s="125"/>
      <c r="G107" s="75"/>
      <c r="H107" s="75" t="str">
        <f>IF(C107="","",D107+CAD_PROD!D107*(E107+F107)+G107)</f>
        <v/>
      </c>
      <c r="I107" s="52">
        <v>9.9999999999999995E-7</v>
      </c>
      <c r="J107" s="68" t="str">
        <f>IF(ISERROR(
CAD_PROD!F107*E107),"",CAD_PROD!F107*E107)</f>
        <v/>
      </c>
      <c r="K107" s="68" t="str">
        <f>IF(ISERROR(
CAD_PROD!F107*F107),"",CAD_PROD!F107*F107)</f>
        <v/>
      </c>
      <c r="L107" s="68" t="str">
        <f>IF(ISERROR(
CAD_PROD!D107-H107),"",CAD_PROD!D107-H107)</f>
        <v/>
      </c>
      <c r="M107" s="57" t="str">
        <f>IF(ISERROR(
L107/CAD_PROD!D107),"",L107/CAD_PROD!D107)</f>
        <v/>
      </c>
      <c r="N107" s="68" t="str">
        <f>IF(ISERROR(
(P107*CAD_PROD!D107)),"",(P107*CAD_PROD!D107))</f>
        <v/>
      </c>
      <c r="O107" s="68" t="str">
        <f>IF(ISERROR(PE_GERAL!$J$7*CAD_PROD!G107),"",PE_GERAL!$J$7*CAD_PROD!G107)</f>
        <v/>
      </c>
      <c r="P107" s="101" t="str">
        <f t="shared" si="5"/>
        <v/>
      </c>
      <c r="Q107" s="68" t="str">
        <f>IF(C107="","",IF(ISERROR(
CAD_PROD!E107*G107),"",CAD_PROD!E107*G107))</f>
        <v/>
      </c>
      <c r="R107" s="68" t="str">
        <f>IF(C107="","",IF(ISERROR(
CAD_PROD!E107*D107),"",CAD_PROD!E107*D107))</f>
        <v/>
      </c>
      <c r="S107" s="44" t="str">
        <f>IF(C107="","",IF(CAD_PROD!E107&gt;=P107,"Sim","Não"))</f>
        <v/>
      </c>
    </row>
    <row r="108" spans="1:19" ht="30" customHeight="1">
      <c r="A108" s="52">
        <f t="shared" si="3"/>
        <v>0</v>
      </c>
      <c r="B108" s="52">
        <f t="shared" si="4"/>
        <v>0</v>
      </c>
      <c r="C108" s="96" t="str">
        <f>IF(CAD_PROD!C108="","",CAD_PROD!C108)</f>
        <v/>
      </c>
      <c r="D108" s="75"/>
      <c r="E108" s="125"/>
      <c r="F108" s="125"/>
      <c r="G108" s="75"/>
      <c r="H108" s="75" t="str">
        <f>IF(C108="","",D108+CAD_PROD!D108*(E108+F108)+G108)</f>
        <v/>
      </c>
      <c r="I108" s="52">
        <v>9.9999999999999995E-7</v>
      </c>
      <c r="J108" s="68" t="str">
        <f>IF(ISERROR(
CAD_PROD!F108*E108),"",CAD_PROD!F108*E108)</f>
        <v/>
      </c>
      <c r="K108" s="68" t="str">
        <f>IF(ISERROR(
CAD_PROD!F108*F108),"",CAD_PROD!F108*F108)</f>
        <v/>
      </c>
      <c r="L108" s="68" t="str">
        <f>IF(ISERROR(
CAD_PROD!D108-H108),"",CAD_PROD!D108-H108)</f>
        <v/>
      </c>
      <c r="M108" s="57" t="str">
        <f>IF(ISERROR(
L108/CAD_PROD!D108),"",L108/CAD_PROD!D108)</f>
        <v/>
      </c>
      <c r="N108" s="68" t="str">
        <f>IF(ISERROR(
(P108*CAD_PROD!D108)),"",(P108*CAD_PROD!D108))</f>
        <v/>
      </c>
      <c r="O108" s="68" t="str">
        <f>IF(ISERROR(PE_GERAL!$J$7*CAD_PROD!G108),"",PE_GERAL!$J$7*CAD_PROD!G108)</f>
        <v/>
      </c>
      <c r="P108" s="101" t="str">
        <f t="shared" si="5"/>
        <v/>
      </c>
      <c r="Q108" s="68" t="str">
        <f>IF(C108="","",IF(ISERROR(
CAD_PROD!E108*G108),"",CAD_PROD!E108*G108))</f>
        <v/>
      </c>
      <c r="R108" s="68" t="str">
        <f>IF(C108="","",IF(ISERROR(
CAD_PROD!E108*D108),"",CAD_PROD!E108*D108))</f>
        <v/>
      </c>
      <c r="S108" s="44" t="str">
        <f>IF(C108="","",IF(CAD_PROD!E108&gt;=P108,"Sim","Não"))</f>
        <v/>
      </c>
    </row>
    <row r="109" spans="1:19" ht="30" customHeight="1">
      <c r="A109" s="52">
        <f t="shared" si="3"/>
        <v>0</v>
      </c>
      <c r="B109" s="52">
        <f t="shared" si="4"/>
        <v>0</v>
      </c>
      <c r="C109" s="96" t="str">
        <f>IF(CAD_PROD!C109="","",CAD_PROD!C109)</f>
        <v/>
      </c>
      <c r="D109" s="75"/>
      <c r="E109" s="125"/>
      <c r="F109" s="125"/>
      <c r="G109" s="75"/>
      <c r="H109" s="75" t="str">
        <f>IF(C109="","",D109+CAD_PROD!D109*(E109+F109)+G109)</f>
        <v/>
      </c>
      <c r="I109" s="52">
        <v>9.9999999999999995E-7</v>
      </c>
      <c r="J109" s="68" t="str">
        <f>IF(ISERROR(
CAD_PROD!F109*E109),"",CAD_PROD!F109*E109)</f>
        <v/>
      </c>
      <c r="K109" s="68" t="str">
        <f>IF(ISERROR(
CAD_PROD!F109*F109),"",CAD_PROD!F109*F109)</f>
        <v/>
      </c>
      <c r="L109" s="68" t="str">
        <f>IF(ISERROR(
CAD_PROD!D109-H109),"",CAD_PROD!D109-H109)</f>
        <v/>
      </c>
      <c r="M109" s="57" t="str">
        <f>IF(ISERROR(
L109/CAD_PROD!D109),"",L109/CAD_PROD!D109)</f>
        <v/>
      </c>
      <c r="N109" s="68" t="str">
        <f>IF(ISERROR(
(P109*CAD_PROD!D109)),"",(P109*CAD_PROD!D109))</f>
        <v/>
      </c>
      <c r="O109" s="68" t="str">
        <f>IF(ISERROR(PE_GERAL!$J$7*CAD_PROD!G109),"",PE_GERAL!$J$7*CAD_PROD!G109)</f>
        <v/>
      </c>
      <c r="P109" s="101" t="str">
        <f t="shared" si="5"/>
        <v/>
      </c>
      <c r="Q109" s="68" t="str">
        <f>IF(C109="","",IF(ISERROR(
CAD_PROD!E109*G109),"",CAD_PROD!E109*G109))</f>
        <v/>
      </c>
      <c r="R109" s="68" t="str">
        <f>IF(C109="","",IF(ISERROR(
CAD_PROD!E109*D109),"",CAD_PROD!E109*D109))</f>
        <v/>
      </c>
      <c r="S109" s="44" t="str">
        <f>IF(C109="","",IF(CAD_PROD!E109&gt;=P109,"Sim","Não"))</f>
        <v/>
      </c>
    </row>
    <row r="110" spans="1:19" ht="30" customHeight="1">
      <c r="A110" s="52">
        <f t="shared" si="3"/>
        <v>0</v>
      </c>
      <c r="B110" s="52">
        <f t="shared" si="4"/>
        <v>0</v>
      </c>
      <c r="C110" s="96" t="str">
        <f>IF(CAD_PROD!C110="","",CAD_PROD!C110)</f>
        <v/>
      </c>
      <c r="D110" s="75"/>
      <c r="E110" s="125"/>
      <c r="F110" s="125"/>
      <c r="G110" s="75"/>
      <c r="H110" s="75" t="str">
        <f>IF(C110="","",D110+CAD_PROD!D110*(E110+F110)+G110)</f>
        <v/>
      </c>
      <c r="I110" s="52">
        <v>9.9999999999999995E-7</v>
      </c>
      <c r="J110" s="68" t="str">
        <f>IF(ISERROR(
CAD_PROD!F110*E110),"",CAD_PROD!F110*E110)</f>
        <v/>
      </c>
      <c r="K110" s="68" t="str">
        <f>IF(ISERROR(
CAD_PROD!F110*F110),"",CAD_PROD!F110*F110)</f>
        <v/>
      </c>
      <c r="L110" s="68" t="str">
        <f>IF(ISERROR(
CAD_PROD!D110-H110),"",CAD_PROD!D110-H110)</f>
        <v/>
      </c>
      <c r="M110" s="57" t="str">
        <f>IF(ISERROR(
L110/CAD_PROD!D110),"",L110/CAD_PROD!D110)</f>
        <v/>
      </c>
      <c r="N110" s="68" t="str">
        <f>IF(ISERROR(
(P110*CAD_PROD!D110)),"",(P110*CAD_PROD!D110))</f>
        <v/>
      </c>
      <c r="O110" s="68" t="str">
        <f>IF(ISERROR(PE_GERAL!$J$7*CAD_PROD!G110),"",PE_GERAL!$J$7*CAD_PROD!G110)</f>
        <v/>
      </c>
      <c r="P110" s="101" t="str">
        <f t="shared" si="5"/>
        <v/>
      </c>
      <c r="Q110" s="68" t="str">
        <f>IF(C110="","",IF(ISERROR(
CAD_PROD!E110*G110),"",CAD_PROD!E110*G110))</f>
        <v/>
      </c>
      <c r="R110" s="68" t="str">
        <f>IF(C110="","",IF(ISERROR(
CAD_PROD!E110*D110),"",CAD_PROD!E110*D110))</f>
        <v/>
      </c>
      <c r="S110" s="44" t="str">
        <f>IF(C110="","",IF(CAD_PROD!E110&gt;=P110,"Sim","Não"))</f>
        <v/>
      </c>
    </row>
    <row r="111" spans="1:19" ht="30" customHeight="1">
      <c r="A111" s="52">
        <f t="shared" si="3"/>
        <v>0</v>
      </c>
      <c r="B111" s="52">
        <f t="shared" si="4"/>
        <v>0</v>
      </c>
      <c r="C111" s="96" t="str">
        <f>IF(CAD_PROD!C111="","",CAD_PROD!C111)</f>
        <v/>
      </c>
      <c r="D111" s="75"/>
      <c r="E111" s="125"/>
      <c r="F111" s="125"/>
      <c r="G111" s="75"/>
      <c r="H111" s="75" t="str">
        <f>IF(C111="","",D111+CAD_PROD!D111*(E111+F111)+G111)</f>
        <v/>
      </c>
      <c r="I111" s="52">
        <v>9.9999999999999995E-7</v>
      </c>
      <c r="J111" s="68" t="str">
        <f>IF(ISERROR(
CAD_PROD!F111*E111),"",CAD_PROD!F111*E111)</f>
        <v/>
      </c>
      <c r="K111" s="68" t="str">
        <f>IF(ISERROR(
CAD_PROD!F111*F111),"",CAD_PROD!F111*F111)</f>
        <v/>
      </c>
      <c r="L111" s="68" t="str">
        <f>IF(ISERROR(
CAD_PROD!D111-H111),"",CAD_PROD!D111-H111)</f>
        <v/>
      </c>
      <c r="M111" s="57" t="str">
        <f>IF(ISERROR(
L111/CAD_PROD!D111),"",L111/CAD_PROD!D111)</f>
        <v/>
      </c>
      <c r="N111" s="68" t="str">
        <f>IF(ISERROR(
(P111*CAD_PROD!D111)),"",(P111*CAD_PROD!D111))</f>
        <v/>
      </c>
      <c r="O111" s="68" t="str">
        <f>IF(ISERROR(PE_GERAL!$J$7*CAD_PROD!G111),"",PE_GERAL!$J$7*CAD_PROD!G111)</f>
        <v/>
      </c>
      <c r="P111" s="101" t="str">
        <f t="shared" si="5"/>
        <v/>
      </c>
      <c r="Q111" s="68" t="str">
        <f>IF(C111="","",IF(ISERROR(
CAD_PROD!E111*G111),"",CAD_PROD!E111*G111))</f>
        <v/>
      </c>
      <c r="R111" s="68" t="str">
        <f>IF(C111="","",IF(ISERROR(
CAD_PROD!E111*D111),"",CAD_PROD!E111*D111))</f>
        <v/>
      </c>
      <c r="S111" s="44" t="str">
        <f>IF(C111="","",IF(CAD_PROD!E111&gt;=P111,"Sim","Não"))</f>
        <v/>
      </c>
    </row>
    <row r="112" spans="1:19" ht="30" customHeight="1">
      <c r="A112" s="52">
        <f t="shared" si="3"/>
        <v>0</v>
      </c>
      <c r="B112" s="52">
        <f t="shared" si="4"/>
        <v>0</v>
      </c>
      <c r="C112" s="96" t="str">
        <f>IF(CAD_PROD!C112="","",CAD_PROD!C112)</f>
        <v/>
      </c>
      <c r="D112" s="75"/>
      <c r="E112" s="125"/>
      <c r="F112" s="125"/>
      <c r="G112" s="75"/>
      <c r="H112" s="75" t="str">
        <f>IF(C112="","",D112+CAD_PROD!D112*(E112+F112)+G112)</f>
        <v/>
      </c>
      <c r="I112" s="52">
        <v>9.9999999999999995E-7</v>
      </c>
      <c r="J112" s="68" t="str">
        <f>IF(ISERROR(
CAD_PROD!F112*E112),"",CAD_PROD!F112*E112)</f>
        <v/>
      </c>
      <c r="K112" s="68" t="str">
        <f>IF(ISERROR(
CAD_PROD!F112*F112),"",CAD_PROD!F112*F112)</f>
        <v/>
      </c>
      <c r="L112" s="68" t="str">
        <f>IF(ISERROR(
CAD_PROD!D112-H112),"",CAD_PROD!D112-H112)</f>
        <v/>
      </c>
      <c r="M112" s="57" t="str">
        <f>IF(ISERROR(
L112/CAD_PROD!D112),"",L112/CAD_PROD!D112)</f>
        <v/>
      </c>
      <c r="N112" s="68" t="str">
        <f>IF(ISERROR(
(P112*CAD_PROD!D112)),"",(P112*CAD_PROD!D112))</f>
        <v/>
      </c>
      <c r="O112" s="68" t="str">
        <f>IF(ISERROR(PE_GERAL!$J$7*CAD_PROD!G112),"",PE_GERAL!$J$7*CAD_PROD!G112)</f>
        <v/>
      </c>
      <c r="P112" s="101" t="str">
        <f t="shared" si="5"/>
        <v/>
      </c>
      <c r="Q112" s="68" t="str">
        <f>IF(C112="","",IF(ISERROR(
CAD_PROD!E112*G112),"",CAD_PROD!E112*G112))</f>
        <v/>
      </c>
      <c r="R112" s="68" t="str">
        <f>IF(C112="","",IF(ISERROR(
CAD_PROD!E112*D112),"",CAD_PROD!E112*D112))</f>
        <v/>
      </c>
      <c r="S112" s="44" t="str">
        <f>IF(C112="","",IF(CAD_PROD!E112&gt;=P112,"Sim","Não"))</f>
        <v/>
      </c>
    </row>
    <row r="113" spans="1:19" ht="30" customHeight="1">
      <c r="A113" s="52">
        <f t="shared" si="3"/>
        <v>0</v>
      </c>
      <c r="B113" s="52">
        <f t="shared" si="4"/>
        <v>0</v>
      </c>
      <c r="C113" s="96" t="str">
        <f>IF(CAD_PROD!C113="","",CAD_PROD!C113)</f>
        <v/>
      </c>
      <c r="D113" s="75"/>
      <c r="E113" s="125"/>
      <c r="F113" s="125"/>
      <c r="G113" s="75"/>
      <c r="H113" s="75" t="str">
        <f>IF(C113="","",D113+CAD_PROD!D113*(E113+F113)+G113)</f>
        <v/>
      </c>
      <c r="I113" s="52">
        <v>9.9999999999999995E-7</v>
      </c>
      <c r="J113" s="68" t="str">
        <f>IF(ISERROR(
CAD_PROD!F113*E113),"",CAD_PROD!F113*E113)</f>
        <v/>
      </c>
      <c r="K113" s="68" t="str">
        <f>IF(ISERROR(
CAD_PROD!F113*F113),"",CAD_PROD!F113*F113)</f>
        <v/>
      </c>
      <c r="L113" s="68" t="str">
        <f>IF(ISERROR(
CAD_PROD!D113-H113),"",CAD_PROD!D113-H113)</f>
        <v/>
      </c>
      <c r="M113" s="57" t="str">
        <f>IF(ISERROR(
L113/CAD_PROD!D113),"",L113/CAD_PROD!D113)</f>
        <v/>
      </c>
      <c r="N113" s="68" t="str">
        <f>IF(ISERROR(
(P113*CAD_PROD!D113)),"",(P113*CAD_PROD!D113))</f>
        <v/>
      </c>
      <c r="O113" s="68" t="str">
        <f>IF(ISERROR(PE_GERAL!$J$7*CAD_PROD!G113),"",PE_GERAL!$J$7*CAD_PROD!G113)</f>
        <v/>
      </c>
      <c r="P113" s="101" t="str">
        <f t="shared" si="5"/>
        <v/>
      </c>
      <c r="Q113" s="68" t="str">
        <f>IF(C113="","",IF(ISERROR(
CAD_PROD!E113*G113),"",CAD_PROD!E113*G113))</f>
        <v/>
      </c>
      <c r="R113" s="68" t="str">
        <f>IF(C113="","",IF(ISERROR(
CAD_PROD!E113*D113),"",CAD_PROD!E113*D113))</f>
        <v/>
      </c>
      <c r="S113" s="44" t="str">
        <f>IF(C113="","",IF(CAD_PROD!E113&gt;=P113,"Sim","Não"))</f>
        <v/>
      </c>
    </row>
    <row r="114" spans="1:19" ht="30" customHeight="1">
      <c r="A114" s="52">
        <f t="shared" si="3"/>
        <v>0</v>
      </c>
      <c r="B114" s="52">
        <f t="shared" si="4"/>
        <v>0</v>
      </c>
      <c r="C114" s="96" t="str">
        <f>IF(CAD_PROD!C114="","",CAD_PROD!C114)</f>
        <v/>
      </c>
      <c r="D114" s="75"/>
      <c r="E114" s="125"/>
      <c r="F114" s="125"/>
      <c r="G114" s="75"/>
      <c r="H114" s="75" t="str">
        <f>IF(C114="","",D114+CAD_PROD!D114*(E114+F114)+G114)</f>
        <v/>
      </c>
      <c r="I114" s="52">
        <v>9.9999999999999995E-7</v>
      </c>
      <c r="J114" s="68" t="str">
        <f>IF(ISERROR(
CAD_PROD!F114*E114),"",CAD_PROD!F114*E114)</f>
        <v/>
      </c>
      <c r="K114" s="68" t="str">
        <f>IF(ISERROR(
CAD_PROD!F114*F114),"",CAD_PROD!F114*F114)</f>
        <v/>
      </c>
      <c r="L114" s="68" t="str">
        <f>IF(ISERROR(
CAD_PROD!D114-H114),"",CAD_PROD!D114-H114)</f>
        <v/>
      </c>
      <c r="M114" s="57" t="str">
        <f>IF(ISERROR(
L114/CAD_PROD!D114),"",L114/CAD_PROD!D114)</f>
        <v/>
      </c>
      <c r="N114" s="68" t="str">
        <f>IF(ISERROR(
(P114*CAD_PROD!D114)),"",(P114*CAD_PROD!D114))</f>
        <v/>
      </c>
      <c r="O114" s="68" t="str">
        <f>IF(ISERROR(PE_GERAL!$J$7*CAD_PROD!G114),"",PE_GERAL!$J$7*CAD_PROD!G114)</f>
        <v/>
      </c>
      <c r="P114" s="101" t="str">
        <f t="shared" si="5"/>
        <v/>
      </c>
      <c r="Q114" s="68" t="str">
        <f>IF(C114="","",IF(ISERROR(
CAD_PROD!E114*G114),"",CAD_PROD!E114*G114))</f>
        <v/>
      </c>
      <c r="R114" s="68" t="str">
        <f>IF(C114="","",IF(ISERROR(
CAD_PROD!E114*D114),"",CAD_PROD!E114*D114))</f>
        <v/>
      </c>
      <c r="S114" s="44" t="str">
        <f>IF(C114="","",IF(CAD_PROD!E114&gt;=P114,"Sim","Não"))</f>
        <v/>
      </c>
    </row>
    <row r="115" spans="1:19" ht="30" customHeight="1">
      <c r="A115" s="52">
        <f t="shared" si="3"/>
        <v>0</v>
      </c>
      <c r="B115" s="52">
        <f t="shared" si="4"/>
        <v>0</v>
      </c>
      <c r="C115" s="96" t="str">
        <f>IF(CAD_PROD!C115="","",CAD_PROD!C115)</f>
        <v/>
      </c>
      <c r="D115" s="75"/>
      <c r="E115" s="125"/>
      <c r="F115" s="125"/>
      <c r="G115" s="75"/>
      <c r="H115" s="75" t="str">
        <f>IF(C115="","",D115+CAD_PROD!D115*(E115+F115)+G115)</f>
        <v/>
      </c>
      <c r="I115" s="52">
        <v>9.9999999999999995E-7</v>
      </c>
      <c r="J115" s="68" t="str">
        <f>IF(ISERROR(
CAD_PROD!F115*E115),"",CAD_PROD!F115*E115)</f>
        <v/>
      </c>
      <c r="K115" s="68" t="str">
        <f>IF(ISERROR(
CAD_PROD!F115*F115),"",CAD_PROD!F115*F115)</f>
        <v/>
      </c>
      <c r="L115" s="68" t="str">
        <f>IF(ISERROR(
CAD_PROD!D115-H115),"",CAD_PROD!D115-H115)</f>
        <v/>
      </c>
      <c r="M115" s="57" t="str">
        <f>IF(ISERROR(
L115/CAD_PROD!D115),"",L115/CAD_PROD!D115)</f>
        <v/>
      </c>
      <c r="N115" s="68" t="str">
        <f>IF(ISERROR(
(P115*CAD_PROD!D115)),"",(P115*CAD_PROD!D115))</f>
        <v/>
      </c>
      <c r="O115" s="68" t="str">
        <f>IF(ISERROR(PE_GERAL!$J$7*CAD_PROD!G115),"",PE_GERAL!$J$7*CAD_PROD!G115)</f>
        <v/>
      </c>
      <c r="P115" s="101" t="str">
        <f t="shared" si="5"/>
        <v/>
      </c>
      <c r="Q115" s="68" t="str">
        <f>IF(C115="","",IF(ISERROR(
CAD_PROD!E115*G115),"",CAD_PROD!E115*G115))</f>
        <v/>
      </c>
      <c r="R115" s="68" t="str">
        <f>IF(C115="","",IF(ISERROR(
CAD_PROD!E115*D115),"",CAD_PROD!E115*D115))</f>
        <v/>
      </c>
      <c r="S115" s="44" t="str">
        <f>IF(C115="","",IF(CAD_PROD!E115&gt;=P115,"Sim","Não"))</f>
        <v/>
      </c>
    </row>
    <row r="116" spans="1:19" ht="30" customHeight="1">
      <c r="A116" s="52">
        <f t="shared" si="3"/>
        <v>0</v>
      </c>
      <c r="B116" s="52">
        <f t="shared" si="4"/>
        <v>0</v>
      </c>
      <c r="C116" s="96" t="str">
        <f>IF(CAD_PROD!C116="","",CAD_PROD!C116)</f>
        <v/>
      </c>
      <c r="D116" s="75"/>
      <c r="E116" s="125"/>
      <c r="F116" s="125"/>
      <c r="G116" s="75"/>
      <c r="H116" s="75" t="str">
        <f>IF(C116="","",D116+CAD_PROD!D116*(E116+F116)+G116)</f>
        <v/>
      </c>
      <c r="I116" s="52">
        <v>9.9999999999999995E-7</v>
      </c>
      <c r="J116" s="68" t="str">
        <f>IF(ISERROR(
CAD_PROD!F116*E116),"",CAD_PROD!F116*E116)</f>
        <v/>
      </c>
      <c r="K116" s="68" t="str">
        <f>IF(ISERROR(
CAD_PROD!F116*F116),"",CAD_PROD!F116*F116)</f>
        <v/>
      </c>
      <c r="L116" s="68" t="str">
        <f>IF(ISERROR(
CAD_PROD!D116-H116),"",CAD_PROD!D116-H116)</f>
        <v/>
      </c>
      <c r="M116" s="57" t="str">
        <f>IF(ISERROR(
L116/CAD_PROD!D116),"",L116/CAD_PROD!D116)</f>
        <v/>
      </c>
      <c r="N116" s="68" t="str">
        <f>IF(ISERROR(
(P116*CAD_PROD!D116)),"",(P116*CAD_PROD!D116))</f>
        <v/>
      </c>
      <c r="O116" s="68" t="str">
        <f>IF(ISERROR(PE_GERAL!$J$7*CAD_PROD!G116),"",PE_GERAL!$J$7*CAD_PROD!G116)</f>
        <v/>
      </c>
      <c r="P116" s="101" t="str">
        <f t="shared" si="5"/>
        <v/>
      </c>
      <c r="Q116" s="68" t="str">
        <f>IF(C116="","",IF(ISERROR(
CAD_PROD!E116*G116),"",CAD_PROD!E116*G116))</f>
        <v/>
      </c>
      <c r="R116" s="68" t="str">
        <f>IF(C116="","",IF(ISERROR(
CAD_PROD!E116*D116),"",CAD_PROD!E116*D116))</f>
        <v/>
      </c>
      <c r="S116" s="44" t="str">
        <f>IF(C116="","",IF(CAD_PROD!E116&gt;=P116,"Sim","Não"))</f>
        <v/>
      </c>
    </row>
    <row r="117" spans="1:19" ht="30" customHeight="1">
      <c r="A117" s="52">
        <f t="shared" si="3"/>
        <v>0</v>
      </c>
      <c r="B117" s="52">
        <f t="shared" si="4"/>
        <v>0</v>
      </c>
      <c r="C117" s="96" t="str">
        <f>IF(CAD_PROD!C117="","",CAD_PROD!C117)</f>
        <v/>
      </c>
      <c r="D117" s="75"/>
      <c r="E117" s="125"/>
      <c r="F117" s="125"/>
      <c r="G117" s="75"/>
      <c r="H117" s="75" t="str">
        <f>IF(C117="","",D117+CAD_PROD!D117*(E117+F117)+G117)</f>
        <v/>
      </c>
      <c r="I117" s="52">
        <v>9.9999999999999995E-7</v>
      </c>
      <c r="J117" s="68" t="str">
        <f>IF(ISERROR(
CAD_PROD!F117*E117),"",CAD_PROD!F117*E117)</f>
        <v/>
      </c>
      <c r="K117" s="68" t="str">
        <f>IF(ISERROR(
CAD_PROD!F117*F117),"",CAD_PROD!F117*F117)</f>
        <v/>
      </c>
      <c r="L117" s="68" t="str">
        <f>IF(ISERROR(
CAD_PROD!D117-H117),"",CAD_PROD!D117-H117)</f>
        <v/>
      </c>
      <c r="M117" s="57" t="str">
        <f>IF(ISERROR(
L117/CAD_PROD!D117),"",L117/CAD_PROD!D117)</f>
        <v/>
      </c>
      <c r="N117" s="68" t="str">
        <f>IF(ISERROR(
(P117*CAD_PROD!D117)),"",(P117*CAD_PROD!D117))</f>
        <v/>
      </c>
      <c r="O117" s="68" t="str">
        <f>IF(ISERROR(PE_GERAL!$J$7*CAD_PROD!G117),"",PE_GERAL!$J$7*CAD_PROD!G117)</f>
        <v/>
      </c>
      <c r="P117" s="101" t="str">
        <f t="shared" si="5"/>
        <v/>
      </c>
      <c r="Q117" s="68" t="str">
        <f>IF(C117="","",IF(ISERROR(
CAD_PROD!E117*G117),"",CAD_PROD!E117*G117))</f>
        <v/>
      </c>
      <c r="R117" s="68" t="str">
        <f>IF(C117="","",IF(ISERROR(
CAD_PROD!E117*D117),"",CAD_PROD!E117*D117))</f>
        <v/>
      </c>
      <c r="S117" s="44" t="str">
        <f>IF(C117="","",IF(CAD_PROD!E117&gt;=P117,"Sim","Não"))</f>
        <v/>
      </c>
    </row>
    <row r="118" spans="1:19" ht="30" customHeight="1">
      <c r="A118" s="52">
        <f t="shared" si="3"/>
        <v>0</v>
      </c>
      <c r="B118" s="52">
        <f t="shared" si="4"/>
        <v>0</v>
      </c>
      <c r="C118" s="96" t="str">
        <f>IF(CAD_PROD!C118="","",CAD_PROD!C118)</f>
        <v/>
      </c>
      <c r="D118" s="75"/>
      <c r="E118" s="125"/>
      <c r="F118" s="125"/>
      <c r="G118" s="75"/>
      <c r="H118" s="75" t="str">
        <f>IF(C118="","",D118+CAD_PROD!D118*(E118+F118)+G118)</f>
        <v/>
      </c>
      <c r="I118" s="52">
        <v>9.9999999999999995E-7</v>
      </c>
      <c r="J118" s="68" t="str">
        <f>IF(ISERROR(
CAD_PROD!F118*E118),"",CAD_PROD!F118*E118)</f>
        <v/>
      </c>
      <c r="K118" s="68" t="str">
        <f>IF(ISERROR(
CAD_PROD!F118*F118),"",CAD_PROD!F118*F118)</f>
        <v/>
      </c>
      <c r="L118" s="68" t="str">
        <f>IF(ISERROR(
CAD_PROD!D118-H118),"",CAD_PROD!D118-H118)</f>
        <v/>
      </c>
      <c r="M118" s="57" t="str">
        <f>IF(ISERROR(
L118/CAD_PROD!D118),"",L118/CAD_PROD!D118)</f>
        <v/>
      </c>
      <c r="N118" s="68" t="str">
        <f>IF(ISERROR(
(P118*CAD_PROD!D118)),"",(P118*CAD_PROD!D118))</f>
        <v/>
      </c>
      <c r="O118" s="68" t="str">
        <f>IF(ISERROR(PE_GERAL!$J$7*CAD_PROD!G118),"",PE_GERAL!$J$7*CAD_PROD!G118)</f>
        <v/>
      </c>
      <c r="P118" s="101" t="str">
        <f t="shared" si="5"/>
        <v/>
      </c>
      <c r="Q118" s="68" t="str">
        <f>IF(C118="","",IF(ISERROR(
CAD_PROD!E118*G118),"",CAD_PROD!E118*G118))</f>
        <v/>
      </c>
      <c r="R118" s="68" t="str">
        <f>IF(C118="","",IF(ISERROR(
CAD_PROD!E118*D118),"",CAD_PROD!E118*D118))</f>
        <v/>
      </c>
      <c r="S118" s="44" t="str">
        <f>IF(C118="","",IF(CAD_PROD!E118&gt;=P118,"Sim","Não"))</f>
        <v/>
      </c>
    </row>
    <row r="119" spans="1:19" ht="30" customHeight="1">
      <c r="A119" s="52">
        <f t="shared" si="3"/>
        <v>0</v>
      </c>
      <c r="B119" s="52">
        <f t="shared" si="4"/>
        <v>0</v>
      </c>
      <c r="C119" s="96" t="str">
        <f>IF(CAD_PROD!C119="","",CAD_PROD!C119)</f>
        <v/>
      </c>
      <c r="D119" s="75"/>
      <c r="E119" s="125"/>
      <c r="F119" s="125"/>
      <c r="G119" s="75"/>
      <c r="H119" s="75" t="str">
        <f>IF(C119="","",D119+CAD_PROD!D119*(E119+F119)+G119)</f>
        <v/>
      </c>
      <c r="I119" s="52">
        <v>9.9999999999999995E-7</v>
      </c>
      <c r="J119" s="68" t="str">
        <f>IF(ISERROR(
CAD_PROD!F119*E119),"",CAD_PROD!F119*E119)</f>
        <v/>
      </c>
      <c r="K119" s="68" t="str">
        <f>IF(ISERROR(
CAD_PROD!F119*F119),"",CAD_PROD!F119*F119)</f>
        <v/>
      </c>
      <c r="L119" s="68" t="str">
        <f>IF(ISERROR(
CAD_PROD!D119-H119),"",CAD_PROD!D119-H119)</f>
        <v/>
      </c>
      <c r="M119" s="57" t="str">
        <f>IF(ISERROR(
L119/CAD_PROD!D119),"",L119/CAD_PROD!D119)</f>
        <v/>
      </c>
      <c r="N119" s="68" t="str">
        <f>IF(ISERROR(
(P119*CAD_PROD!D119)),"",(P119*CAD_PROD!D119))</f>
        <v/>
      </c>
      <c r="O119" s="68" t="str">
        <f>IF(ISERROR(PE_GERAL!$J$7*CAD_PROD!G119),"",PE_GERAL!$J$7*CAD_PROD!G119)</f>
        <v/>
      </c>
      <c r="P119" s="101" t="str">
        <f t="shared" si="5"/>
        <v/>
      </c>
      <c r="Q119" s="68" t="str">
        <f>IF(C119="","",IF(ISERROR(
CAD_PROD!E119*G119),"",CAD_PROD!E119*G119))</f>
        <v/>
      </c>
      <c r="R119" s="68" t="str">
        <f>IF(C119="","",IF(ISERROR(
CAD_PROD!E119*D119),"",CAD_PROD!E119*D119))</f>
        <v/>
      </c>
      <c r="S119" s="44" t="str">
        <f>IF(C119="","",IF(CAD_PROD!E119&gt;=P119,"Sim","Não"))</f>
        <v/>
      </c>
    </row>
    <row r="120" spans="1:19" ht="30" customHeight="1">
      <c r="A120" s="52">
        <f t="shared" si="3"/>
        <v>0</v>
      </c>
      <c r="B120" s="52">
        <f t="shared" si="4"/>
        <v>0</v>
      </c>
      <c r="C120" s="96" t="str">
        <f>IF(CAD_PROD!C120="","",CAD_PROD!C120)</f>
        <v/>
      </c>
      <c r="D120" s="75"/>
      <c r="E120" s="125"/>
      <c r="F120" s="125"/>
      <c r="G120" s="75"/>
      <c r="H120" s="75" t="str">
        <f>IF(C120="","",D120+CAD_PROD!D120*(E120+F120)+G120)</f>
        <v/>
      </c>
      <c r="I120" s="52">
        <v>9.9999999999999995E-7</v>
      </c>
      <c r="J120" s="68" t="str">
        <f>IF(ISERROR(
CAD_PROD!F120*E120),"",CAD_PROD!F120*E120)</f>
        <v/>
      </c>
      <c r="K120" s="68" t="str">
        <f>IF(ISERROR(
CAD_PROD!F120*F120),"",CAD_PROD!F120*F120)</f>
        <v/>
      </c>
      <c r="L120" s="68" t="str">
        <f>IF(ISERROR(
CAD_PROD!D120-H120),"",CAD_PROD!D120-H120)</f>
        <v/>
      </c>
      <c r="M120" s="57" t="str">
        <f>IF(ISERROR(
L120/CAD_PROD!D120),"",L120/CAD_PROD!D120)</f>
        <v/>
      </c>
      <c r="N120" s="68" t="str">
        <f>IF(ISERROR(
(P120*CAD_PROD!D120)),"",(P120*CAD_PROD!D120))</f>
        <v/>
      </c>
      <c r="O120" s="68" t="str">
        <f>IF(ISERROR(PE_GERAL!$J$7*CAD_PROD!G120),"",PE_GERAL!$J$7*CAD_PROD!G120)</f>
        <v/>
      </c>
      <c r="P120" s="101" t="str">
        <f t="shared" si="5"/>
        <v/>
      </c>
      <c r="Q120" s="68" t="str">
        <f>IF(C120="","",IF(ISERROR(
CAD_PROD!E120*G120),"",CAD_PROD!E120*G120))</f>
        <v/>
      </c>
      <c r="R120" s="68" t="str">
        <f>IF(C120="","",IF(ISERROR(
CAD_PROD!E120*D120),"",CAD_PROD!E120*D120))</f>
        <v/>
      </c>
      <c r="S120" s="44" t="str">
        <f>IF(C120="","",IF(CAD_PROD!E120&gt;=P120,"Sim","Não"))</f>
        <v/>
      </c>
    </row>
    <row r="121" spans="1:19" ht="30" customHeight="1">
      <c r="A121" s="52">
        <f t="shared" si="3"/>
        <v>0</v>
      </c>
      <c r="B121" s="52">
        <f t="shared" si="4"/>
        <v>0</v>
      </c>
      <c r="C121" s="96" t="str">
        <f>IF(CAD_PROD!C121="","",CAD_PROD!C121)</f>
        <v/>
      </c>
      <c r="D121" s="75"/>
      <c r="E121" s="125"/>
      <c r="F121" s="125"/>
      <c r="G121" s="75"/>
      <c r="H121" s="75" t="str">
        <f>IF(C121="","",D121+CAD_PROD!D121*(E121+F121)+G121)</f>
        <v/>
      </c>
      <c r="I121" s="52">
        <v>9.9999999999999995E-7</v>
      </c>
      <c r="J121" s="68" t="str">
        <f>IF(ISERROR(
CAD_PROD!F121*E121),"",CAD_PROD!F121*E121)</f>
        <v/>
      </c>
      <c r="K121" s="68" t="str">
        <f>IF(ISERROR(
CAD_PROD!F121*F121),"",CAD_PROD!F121*F121)</f>
        <v/>
      </c>
      <c r="L121" s="68" t="str">
        <f>IF(ISERROR(
CAD_PROD!D121-H121),"",CAD_PROD!D121-H121)</f>
        <v/>
      </c>
      <c r="M121" s="57" t="str">
        <f>IF(ISERROR(
L121/CAD_PROD!D121),"",L121/CAD_PROD!D121)</f>
        <v/>
      </c>
      <c r="N121" s="68" t="str">
        <f>IF(ISERROR(
(P121*CAD_PROD!D121)),"",(P121*CAD_PROD!D121))</f>
        <v/>
      </c>
      <c r="O121" s="68" t="str">
        <f>IF(ISERROR(PE_GERAL!$J$7*CAD_PROD!G121),"",PE_GERAL!$J$7*CAD_PROD!G121)</f>
        <v/>
      </c>
      <c r="P121" s="101" t="str">
        <f t="shared" si="5"/>
        <v/>
      </c>
      <c r="Q121" s="68" t="str">
        <f>IF(C121="","",IF(ISERROR(
CAD_PROD!E121*G121),"",CAD_PROD!E121*G121))</f>
        <v/>
      </c>
      <c r="R121" s="68" t="str">
        <f>IF(C121="","",IF(ISERROR(
CAD_PROD!E121*D121),"",CAD_PROD!E121*D121))</f>
        <v/>
      </c>
      <c r="S121" s="44" t="str">
        <f>IF(C121="","",IF(CAD_PROD!E121&gt;=P121,"Sim","Não"))</f>
        <v/>
      </c>
    </row>
    <row r="122" spans="1:19" ht="30" customHeight="1">
      <c r="A122" s="52">
        <f t="shared" si="3"/>
        <v>0</v>
      </c>
      <c r="B122" s="52">
        <f t="shared" si="4"/>
        <v>0</v>
      </c>
      <c r="C122" s="96" t="str">
        <f>IF(CAD_PROD!C122="","",CAD_PROD!C122)</f>
        <v/>
      </c>
      <c r="D122" s="75"/>
      <c r="E122" s="125"/>
      <c r="F122" s="125"/>
      <c r="G122" s="75"/>
      <c r="H122" s="75" t="str">
        <f>IF(C122="","",D122+CAD_PROD!D122*(E122+F122)+G122)</f>
        <v/>
      </c>
      <c r="I122" s="52">
        <v>9.9999999999999995E-7</v>
      </c>
      <c r="J122" s="68" t="str">
        <f>IF(ISERROR(
CAD_PROD!F122*E122),"",CAD_PROD!F122*E122)</f>
        <v/>
      </c>
      <c r="K122" s="68" t="str">
        <f>IF(ISERROR(
CAD_PROD!F122*F122),"",CAD_PROD!F122*F122)</f>
        <v/>
      </c>
      <c r="L122" s="68" t="str">
        <f>IF(ISERROR(
CAD_PROD!D122-H122),"",CAD_PROD!D122-H122)</f>
        <v/>
      </c>
      <c r="M122" s="57" t="str">
        <f>IF(ISERROR(
L122/CAD_PROD!D122),"",L122/CAD_PROD!D122)</f>
        <v/>
      </c>
      <c r="N122" s="68" t="str">
        <f>IF(ISERROR(
(P122*CAD_PROD!D122)),"",(P122*CAD_PROD!D122))</f>
        <v/>
      </c>
      <c r="O122" s="68" t="str">
        <f>IF(ISERROR(PE_GERAL!$J$7*CAD_PROD!G122),"",PE_GERAL!$J$7*CAD_PROD!G122)</f>
        <v/>
      </c>
      <c r="P122" s="101" t="str">
        <f t="shared" si="5"/>
        <v/>
      </c>
      <c r="Q122" s="68" t="str">
        <f>IF(C122="","",IF(ISERROR(
CAD_PROD!E122*G122),"",CAD_PROD!E122*G122))</f>
        <v/>
      </c>
      <c r="R122" s="68" t="str">
        <f>IF(C122="","",IF(ISERROR(
CAD_PROD!E122*D122),"",CAD_PROD!E122*D122))</f>
        <v/>
      </c>
      <c r="S122" s="44" t="str">
        <f>IF(C122="","",IF(CAD_PROD!E122&gt;=P122,"Sim","Não"))</f>
        <v/>
      </c>
    </row>
    <row r="123" spans="1:19" ht="30" customHeight="1">
      <c r="A123" s="52">
        <f t="shared" si="3"/>
        <v>0</v>
      </c>
      <c r="B123" s="52">
        <f t="shared" si="4"/>
        <v>0</v>
      </c>
      <c r="C123" s="96" t="str">
        <f>IF(CAD_PROD!C123="","",CAD_PROD!C123)</f>
        <v/>
      </c>
      <c r="D123" s="75"/>
      <c r="E123" s="125"/>
      <c r="F123" s="125"/>
      <c r="G123" s="75"/>
      <c r="H123" s="75" t="str">
        <f>IF(C123="","",D123+CAD_PROD!D123*(E123+F123)+G123)</f>
        <v/>
      </c>
      <c r="I123" s="52">
        <v>9.9999999999999995E-7</v>
      </c>
      <c r="J123" s="68" t="str">
        <f>IF(ISERROR(
CAD_PROD!F123*E123),"",CAD_PROD!F123*E123)</f>
        <v/>
      </c>
      <c r="K123" s="68" t="str">
        <f>IF(ISERROR(
CAD_PROD!F123*F123),"",CAD_PROD!F123*F123)</f>
        <v/>
      </c>
      <c r="L123" s="68" t="str">
        <f>IF(ISERROR(
CAD_PROD!D123-H123),"",CAD_PROD!D123-H123)</f>
        <v/>
      </c>
      <c r="M123" s="57" t="str">
        <f>IF(ISERROR(
L123/CAD_PROD!D123),"",L123/CAD_PROD!D123)</f>
        <v/>
      </c>
      <c r="N123" s="68" t="str">
        <f>IF(ISERROR(
(P123*CAD_PROD!D123)),"",(P123*CAD_PROD!D123))</f>
        <v/>
      </c>
      <c r="O123" s="68" t="str">
        <f>IF(ISERROR(PE_GERAL!$J$7*CAD_PROD!G123),"",PE_GERAL!$J$7*CAD_PROD!G123)</f>
        <v/>
      </c>
      <c r="P123" s="101" t="str">
        <f t="shared" si="5"/>
        <v/>
      </c>
      <c r="Q123" s="68" t="str">
        <f>IF(C123="","",IF(ISERROR(
CAD_PROD!E123*G123),"",CAD_PROD!E123*G123))</f>
        <v/>
      </c>
      <c r="R123" s="68" t="str">
        <f>IF(C123="","",IF(ISERROR(
CAD_PROD!E123*D123),"",CAD_PROD!E123*D123))</f>
        <v/>
      </c>
      <c r="S123" s="44" t="str">
        <f>IF(C123="","",IF(CAD_PROD!E123&gt;=P123,"Sim","Não"))</f>
        <v/>
      </c>
    </row>
    <row r="124" spans="1:19" ht="30" customHeight="1">
      <c r="A124" s="52">
        <f t="shared" si="3"/>
        <v>0</v>
      </c>
      <c r="B124" s="52">
        <f t="shared" si="4"/>
        <v>0</v>
      </c>
      <c r="C124" s="96" t="str">
        <f>IF(CAD_PROD!C124="","",CAD_PROD!C124)</f>
        <v/>
      </c>
      <c r="D124" s="75"/>
      <c r="E124" s="125"/>
      <c r="F124" s="125"/>
      <c r="G124" s="75"/>
      <c r="H124" s="75" t="str">
        <f>IF(C124="","",D124+CAD_PROD!D124*(E124+F124)+G124)</f>
        <v/>
      </c>
      <c r="I124" s="52">
        <v>9.9999999999999995E-7</v>
      </c>
      <c r="J124" s="68" t="str">
        <f>IF(ISERROR(
CAD_PROD!F124*E124),"",CAD_PROD!F124*E124)</f>
        <v/>
      </c>
      <c r="K124" s="68" t="str">
        <f>IF(ISERROR(
CAD_PROD!F124*F124),"",CAD_PROD!F124*F124)</f>
        <v/>
      </c>
      <c r="L124" s="68" t="str">
        <f>IF(ISERROR(
CAD_PROD!D124-H124),"",CAD_PROD!D124-H124)</f>
        <v/>
      </c>
      <c r="M124" s="57" t="str">
        <f>IF(ISERROR(
L124/CAD_PROD!D124),"",L124/CAD_PROD!D124)</f>
        <v/>
      </c>
      <c r="N124" s="68" t="str">
        <f>IF(ISERROR(
(P124*CAD_PROD!D124)),"",(P124*CAD_PROD!D124))</f>
        <v/>
      </c>
      <c r="O124" s="68" t="str">
        <f>IF(ISERROR(PE_GERAL!$J$7*CAD_PROD!G124),"",PE_GERAL!$J$7*CAD_PROD!G124)</f>
        <v/>
      </c>
      <c r="P124" s="101" t="str">
        <f t="shared" si="5"/>
        <v/>
      </c>
      <c r="Q124" s="68" t="str">
        <f>IF(C124="","",IF(ISERROR(
CAD_PROD!E124*G124),"",CAD_PROD!E124*G124))</f>
        <v/>
      </c>
      <c r="R124" s="68" t="str">
        <f>IF(C124="","",IF(ISERROR(
CAD_PROD!E124*D124),"",CAD_PROD!E124*D124))</f>
        <v/>
      </c>
      <c r="S124" s="44" t="str">
        <f>IF(C124="","",IF(CAD_PROD!E124&gt;=P124,"Sim","Não"))</f>
        <v/>
      </c>
    </row>
    <row r="125" spans="1:19" ht="30" customHeight="1">
      <c r="A125" s="52">
        <f t="shared" si="3"/>
        <v>0</v>
      </c>
      <c r="B125" s="52">
        <f t="shared" si="4"/>
        <v>0</v>
      </c>
      <c r="C125" s="96" t="str">
        <f>IF(CAD_PROD!C125="","",CAD_PROD!C125)</f>
        <v/>
      </c>
      <c r="D125" s="75"/>
      <c r="E125" s="125"/>
      <c r="F125" s="125"/>
      <c r="G125" s="75"/>
      <c r="H125" s="75" t="str">
        <f>IF(C125="","",D125+CAD_PROD!D125*(E125+F125)+G125)</f>
        <v/>
      </c>
      <c r="I125" s="52">
        <v>9.9999999999999995E-7</v>
      </c>
      <c r="J125" s="68" t="str">
        <f>IF(ISERROR(
CAD_PROD!F125*E125),"",CAD_PROD!F125*E125)</f>
        <v/>
      </c>
      <c r="K125" s="68" t="str">
        <f>IF(ISERROR(
CAD_PROD!F125*F125),"",CAD_PROD!F125*F125)</f>
        <v/>
      </c>
      <c r="L125" s="68" t="str">
        <f>IF(ISERROR(
CAD_PROD!D125-H125),"",CAD_PROD!D125-H125)</f>
        <v/>
      </c>
      <c r="M125" s="57" t="str">
        <f>IF(ISERROR(
L125/CAD_PROD!D125),"",L125/CAD_PROD!D125)</f>
        <v/>
      </c>
      <c r="N125" s="68" t="str">
        <f>IF(ISERROR(
(P125*CAD_PROD!D125)),"",(P125*CAD_PROD!D125))</f>
        <v/>
      </c>
      <c r="O125" s="68" t="str">
        <f>IF(ISERROR(PE_GERAL!$J$7*CAD_PROD!G125),"",PE_GERAL!$J$7*CAD_PROD!G125)</f>
        <v/>
      </c>
      <c r="P125" s="101" t="str">
        <f t="shared" si="5"/>
        <v/>
      </c>
      <c r="Q125" s="68" t="str">
        <f>IF(C125="","",IF(ISERROR(
CAD_PROD!E125*G125),"",CAD_PROD!E125*G125))</f>
        <v/>
      </c>
      <c r="R125" s="68" t="str">
        <f>IF(C125="","",IF(ISERROR(
CAD_PROD!E125*D125),"",CAD_PROD!E125*D125))</f>
        <v/>
      </c>
      <c r="S125" s="44" t="str">
        <f>IF(C125="","",IF(CAD_PROD!E125&gt;=P125,"Sim","Não"))</f>
        <v/>
      </c>
    </row>
    <row r="126" spans="1:19" ht="30" customHeight="1">
      <c r="A126" s="52">
        <f t="shared" si="3"/>
        <v>0</v>
      </c>
      <c r="B126" s="52">
        <f t="shared" si="4"/>
        <v>0</v>
      </c>
      <c r="C126" s="96" t="str">
        <f>IF(CAD_PROD!C126="","",CAD_PROD!C126)</f>
        <v/>
      </c>
      <c r="D126" s="75"/>
      <c r="E126" s="125"/>
      <c r="F126" s="125"/>
      <c r="G126" s="75"/>
      <c r="H126" s="75" t="str">
        <f>IF(C126="","",D126+CAD_PROD!D126*(E126+F126)+G126)</f>
        <v/>
      </c>
      <c r="I126" s="52">
        <v>9.9999999999999995E-7</v>
      </c>
      <c r="J126" s="68" t="str">
        <f>IF(ISERROR(
CAD_PROD!F126*E126),"",CAD_PROD!F126*E126)</f>
        <v/>
      </c>
      <c r="K126" s="68" t="str">
        <f>IF(ISERROR(
CAD_PROD!F126*F126),"",CAD_PROD!F126*F126)</f>
        <v/>
      </c>
      <c r="L126" s="68" t="str">
        <f>IF(ISERROR(
CAD_PROD!D126-H126),"",CAD_PROD!D126-H126)</f>
        <v/>
      </c>
      <c r="M126" s="57" t="str">
        <f>IF(ISERROR(
L126/CAD_PROD!D126),"",L126/CAD_PROD!D126)</f>
        <v/>
      </c>
      <c r="N126" s="68" t="str">
        <f>IF(ISERROR(
(P126*CAD_PROD!D126)),"",(P126*CAD_PROD!D126))</f>
        <v/>
      </c>
      <c r="O126" s="68" t="str">
        <f>IF(ISERROR(PE_GERAL!$J$7*CAD_PROD!G126),"",PE_GERAL!$J$7*CAD_PROD!G126)</f>
        <v/>
      </c>
      <c r="P126" s="101" t="str">
        <f t="shared" si="5"/>
        <v/>
      </c>
      <c r="Q126" s="68" t="str">
        <f>IF(C126="","",IF(ISERROR(
CAD_PROD!E126*G126),"",CAD_PROD!E126*G126))</f>
        <v/>
      </c>
      <c r="R126" s="68" t="str">
        <f>IF(C126="","",IF(ISERROR(
CAD_PROD!E126*D126),"",CAD_PROD!E126*D126))</f>
        <v/>
      </c>
      <c r="S126" s="44" t="str">
        <f>IF(C126="","",IF(CAD_PROD!E126&gt;=P126,"Sim","Não"))</f>
        <v/>
      </c>
    </row>
    <row r="127" spans="1:19" ht="30" customHeight="1">
      <c r="A127" s="52">
        <f t="shared" si="3"/>
        <v>0</v>
      </c>
      <c r="B127" s="52">
        <f t="shared" si="4"/>
        <v>0</v>
      </c>
      <c r="C127" s="96" t="str">
        <f>IF(CAD_PROD!C127="","",CAD_PROD!C127)</f>
        <v/>
      </c>
      <c r="D127" s="75"/>
      <c r="E127" s="125"/>
      <c r="F127" s="125"/>
      <c r="G127" s="75"/>
      <c r="H127" s="75" t="str">
        <f>IF(C127="","",D127+CAD_PROD!D127*(E127+F127)+G127)</f>
        <v/>
      </c>
      <c r="I127" s="52">
        <v>9.9999999999999995E-7</v>
      </c>
      <c r="J127" s="68" t="str">
        <f>IF(ISERROR(
CAD_PROD!F127*E127),"",CAD_PROD!F127*E127)</f>
        <v/>
      </c>
      <c r="K127" s="68" t="str">
        <f>IF(ISERROR(
CAD_PROD!F127*F127),"",CAD_PROD!F127*F127)</f>
        <v/>
      </c>
      <c r="L127" s="68" t="str">
        <f>IF(ISERROR(
CAD_PROD!D127-H127),"",CAD_PROD!D127-H127)</f>
        <v/>
      </c>
      <c r="M127" s="57" t="str">
        <f>IF(ISERROR(
L127/CAD_PROD!D127),"",L127/CAD_PROD!D127)</f>
        <v/>
      </c>
      <c r="N127" s="68" t="str">
        <f>IF(ISERROR(
(P127*CAD_PROD!D127)),"",(P127*CAD_PROD!D127))</f>
        <v/>
      </c>
      <c r="O127" s="68" t="str">
        <f>IF(ISERROR(PE_GERAL!$J$7*CAD_PROD!G127),"",PE_GERAL!$J$7*CAD_PROD!G127)</f>
        <v/>
      </c>
      <c r="P127" s="101" t="str">
        <f t="shared" si="5"/>
        <v/>
      </c>
      <c r="Q127" s="68" t="str">
        <f>IF(C127="","",IF(ISERROR(
CAD_PROD!E127*G127),"",CAD_PROD!E127*G127))</f>
        <v/>
      </c>
      <c r="R127" s="68" t="str">
        <f>IF(C127="","",IF(ISERROR(
CAD_PROD!E127*D127),"",CAD_PROD!E127*D127))</f>
        <v/>
      </c>
      <c r="S127" s="44" t="str">
        <f>IF(C127="","",IF(CAD_PROD!E127&gt;=P127,"Sim","Não"))</f>
        <v/>
      </c>
    </row>
    <row r="128" spans="1:19" ht="30" customHeight="1">
      <c r="A128" s="52">
        <f t="shared" si="3"/>
        <v>0</v>
      </c>
      <c r="B128" s="52">
        <f t="shared" si="4"/>
        <v>0</v>
      </c>
      <c r="C128" s="96" t="str">
        <f>IF(CAD_PROD!C128="","",CAD_PROD!C128)</f>
        <v/>
      </c>
      <c r="D128" s="75"/>
      <c r="E128" s="125"/>
      <c r="F128" s="125"/>
      <c r="G128" s="75"/>
      <c r="H128" s="75" t="str">
        <f>IF(C128="","",D128+CAD_PROD!D128*(E128+F128)+G128)</f>
        <v/>
      </c>
      <c r="I128" s="52">
        <v>9.9999999999999995E-7</v>
      </c>
      <c r="J128" s="68" t="str">
        <f>IF(ISERROR(
CAD_PROD!F128*E128),"",CAD_PROD!F128*E128)</f>
        <v/>
      </c>
      <c r="K128" s="68" t="str">
        <f>IF(ISERROR(
CAD_PROD!F128*F128),"",CAD_PROD!F128*F128)</f>
        <v/>
      </c>
      <c r="L128" s="68" t="str">
        <f>IF(ISERROR(
CAD_PROD!D128-H128),"",CAD_PROD!D128-H128)</f>
        <v/>
      </c>
      <c r="M128" s="57" t="str">
        <f>IF(ISERROR(
L128/CAD_PROD!D128),"",L128/CAD_PROD!D128)</f>
        <v/>
      </c>
      <c r="N128" s="68" t="str">
        <f>IF(ISERROR(
(P128*CAD_PROD!D128)),"",(P128*CAD_PROD!D128))</f>
        <v/>
      </c>
      <c r="O128" s="68" t="str">
        <f>IF(ISERROR(PE_GERAL!$J$7*CAD_PROD!G128),"",PE_GERAL!$J$7*CAD_PROD!G128)</f>
        <v/>
      </c>
      <c r="P128" s="101" t="str">
        <f t="shared" si="5"/>
        <v/>
      </c>
      <c r="Q128" s="68" t="str">
        <f>IF(C128="","",IF(ISERROR(
CAD_PROD!E128*G128),"",CAD_PROD!E128*G128))</f>
        <v/>
      </c>
      <c r="R128" s="68" t="str">
        <f>IF(C128="","",IF(ISERROR(
CAD_PROD!E128*D128),"",CAD_PROD!E128*D128))</f>
        <v/>
      </c>
      <c r="S128" s="44" t="str">
        <f>IF(C128="","",IF(CAD_PROD!E128&gt;=P128,"Sim","Não"))</f>
        <v/>
      </c>
    </row>
    <row r="129" spans="1:19" ht="30" customHeight="1">
      <c r="A129" s="52">
        <f t="shared" si="3"/>
        <v>0</v>
      </c>
      <c r="B129" s="52">
        <f t="shared" si="4"/>
        <v>0</v>
      </c>
      <c r="C129" s="96" t="str">
        <f>IF(CAD_PROD!C129="","",CAD_PROD!C129)</f>
        <v/>
      </c>
      <c r="D129" s="75"/>
      <c r="E129" s="125"/>
      <c r="F129" s="125"/>
      <c r="G129" s="75"/>
      <c r="H129" s="75" t="str">
        <f>IF(C129="","",D129+CAD_PROD!D129*(E129+F129)+G129)</f>
        <v/>
      </c>
      <c r="I129" s="52">
        <v>9.9999999999999995E-7</v>
      </c>
      <c r="J129" s="68" t="str">
        <f>IF(ISERROR(
CAD_PROD!F129*E129),"",CAD_PROD!F129*E129)</f>
        <v/>
      </c>
      <c r="K129" s="68" t="str">
        <f>IF(ISERROR(
CAD_PROD!F129*F129),"",CAD_PROD!F129*F129)</f>
        <v/>
      </c>
      <c r="L129" s="68" t="str">
        <f>IF(ISERROR(
CAD_PROD!D129-H129),"",CAD_PROD!D129-H129)</f>
        <v/>
      </c>
      <c r="M129" s="57" t="str">
        <f>IF(ISERROR(
L129/CAD_PROD!D129),"",L129/CAD_PROD!D129)</f>
        <v/>
      </c>
      <c r="N129" s="68" t="str">
        <f>IF(ISERROR(
(P129*CAD_PROD!D129)),"",(P129*CAD_PROD!D129))</f>
        <v/>
      </c>
      <c r="O129" s="68" t="str">
        <f>IF(ISERROR(PE_GERAL!$J$7*CAD_PROD!G129),"",PE_GERAL!$J$7*CAD_PROD!G129)</f>
        <v/>
      </c>
      <c r="P129" s="101" t="str">
        <f t="shared" si="5"/>
        <v/>
      </c>
      <c r="Q129" s="68" t="str">
        <f>IF(C129="","",IF(ISERROR(
CAD_PROD!E129*G129),"",CAD_PROD!E129*G129))</f>
        <v/>
      </c>
      <c r="R129" s="68" t="str">
        <f>IF(C129="","",IF(ISERROR(
CAD_PROD!E129*D129),"",CAD_PROD!E129*D129))</f>
        <v/>
      </c>
      <c r="S129" s="44" t="str">
        <f>IF(C129="","",IF(CAD_PROD!E129&gt;=P129,"Sim","Não"))</f>
        <v/>
      </c>
    </row>
    <row r="130" spans="1:19" ht="30" customHeight="1">
      <c r="A130" s="52">
        <f t="shared" si="3"/>
        <v>0</v>
      </c>
      <c r="B130" s="52">
        <f t="shared" si="4"/>
        <v>0</v>
      </c>
      <c r="C130" s="96" t="str">
        <f>IF(CAD_PROD!C130="","",CAD_PROD!C130)</f>
        <v/>
      </c>
      <c r="D130" s="75"/>
      <c r="E130" s="125"/>
      <c r="F130" s="125"/>
      <c r="G130" s="75"/>
      <c r="H130" s="75" t="str">
        <f>IF(C130="","",D130+CAD_PROD!D130*(E130+F130)+G130)</f>
        <v/>
      </c>
      <c r="I130" s="52">
        <v>9.9999999999999995E-7</v>
      </c>
      <c r="J130" s="68" t="str">
        <f>IF(ISERROR(
CAD_PROD!F130*E130),"",CAD_PROD!F130*E130)</f>
        <v/>
      </c>
      <c r="K130" s="68" t="str">
        <f>IF(ISERROR(
CAD_PROD!F130*F130),"",CAD_PROD!F130*F130)</f>
        <v/>
      </c>
      <c r="L130" s="68" t="str">
        <f>IF(ISERROR(
CAD_PROD!D130-H130),"",CAD_PROD!D130-H130)</f>
        <v/>
      </c>
      <c r="M130" s="57" t="str">
        <f>IF(ISERROR(
L130/CAD_PROD!D130),"",L130/CAD_PROD!D130)</f>
        <v/>
      </c>
      <c r="N130" s="68" t="str">
        <f>IF(ISERROR(
(P130*CAD_PROD!D130)),"",(P130*CAD_PROD!D130))</f>
        <v/>
      </c>
      <c r="O130" s="68" t="str">
        <f>IF(ISERROR(PE_GERAL!$J$7*CAD_PROD!G130),"",PE_GERAL!$J$7*CAD_PROD!G130)</f>
        <v/>
      </c>
      <c r="P130" s="101" t="str">
        <f t="shared" si="5"/>
        <v/>
      </c>
      <c r="Q130" s="68" t="str">
        <f>IF(C130="","",IF(ISERROR(
CAD_PROD!E130*G130),"",CAD_PROD!E130*G130))</f>
        <v/>
      </c>
      <c r="R130" s="68" t="str">
        <f>IF(C130="","",IF(ISERROR(
CAD_PROD!E130*D130),"",CAD_PROD!E130*D130))</f>
        <v/>
      </c>
      <c r="S130" s="44" t="str">
        <f>IF(C130="","",IF(CAD_PROD!E130&gt;=P130,"Sim","Não"))</f>
        <v/>
      </c>
    </row>
    <row r="131" spans="1:19" ht="30" customHeight="1">
      <c r="A131" s="52">
        <f t="shared" si="3"/>
        <v>0</v>
      </c>
      <c r="B131" s="52">
        <f t="shared" si="4"/>
        <v>0</v>
      </c>
      <c r="C131" s="96" t="str">
        <f>IF(CAD_PROD!C131="","",CAD_PROD!C131)</f>
        <v/>
      </c>
      <c r="D131" s="75"/>
      <c r="E131" s="125"/>
      <c r="F131" s="125"/>
      <c r="G131" s="75"/>
      <c r="H131" s="75" t="str">
        <f>IF(C131="","",D131+CAD_PROD!D131*(E131+F131)+G131)</f>
        <v/>
      </c>
      <c r="I131" s="52">
        <v>9.9999999999999995E-7</v>
      </c>
      <c r="J131" s="68" t="str">
        <f>IF(ISERROR(
CAD_PROD!F131*E131),"",CAD_PROD!F131*E131)</f>
        <v/>
      </c>
      <c r="K131" s="68" t="str">
        <f>IF(ISERROR(
CAD_PROD!F131*F131),"",CAD_PROD!F131*F131)</f>
        <v/>
      </c>
      <c r="L131" s="68" t="str">
        <f>IF(ISERROR(
CAD_PROD!D131-H131),"",CAD_PROD!D131-H131)</f>
        <v/>
      </c>
      <c r="M131" s="57" t="str">
        <f>IF(ISERROR(
L131/CAD_PROD!D131),"",L131/CAD_PROD!D131)</f>
        <v/>
      </c>
      <c r="N131" s="68" t="str">
        <f>IF(ISERROR(
(P131*CAD_PROD!D131)),"",(P131*CAD_PROD!D131))</f>
        <v/>
      </c>
      <c r="O131" s="68" t="str">
        <f>IF(ISERROR(PE_GERAL!$J$7*CAD_PROD!G131),"",PE_GERAL!$J$7*CAD_PROD!G131)</f>
        <v/>
      </c>
      <c r="P131" s="101" t="str">
        <f t="shared" si="5"/>
        <v/>
      </c>
      <c r="Q131" s="68" t="str">
        <f>IF(C131="","",IF(ISERROR(
CAD_PROD!E131*G131),"",CAD_PROD!E131*G131))</f>
        <v/>
      </c>
      <c r="R131" s="68" t="str">
        <f>IF(C131="","",IF(ISERROR(
CAD_PROD!E131*D131),"",CAD_PROD!E131*D131))</f>
        <v/>
      </c>
      <c r="S131" s="44" t="str">
        <f>IF(C131="","",IF(CAD_PROD!E131&gt;=P131,"Sim","Não"))</f>
        <v/>
      </c>
    </row>
    <row r="132" spans="1:19" ht="30" customHeight="1">
      <c r="A132" s="52">
        <f t="shared" si="3"/>
        <v>0</v>
      </c>
      <c r="B132" s="52">
        <f t="shared" si="4"/>
        <v>0</v>
      </c>
      <c r="C132" s="96" t="str">
        <f>IF(CAD_PROD!C132="","",CAD_PROD!C132)</f>
        <v/>
      </c>
      <c r="D132" s="75"/>
      <c r="E132" s="125"/>
      <c r="F132" s="125"/>
      <c r="G132" s="75"/>
      <c r="H132" s="75" t="str">
        <f>IF(C132="","",D132+CAD_PROD!D132*(E132+F132)+G132)</f>
        <v/>
      </c>
      <c r="I132" s="52">
        <v>9.9999999999999995E-7</v>
      </c>
      <c r="J132" s="68" t="str">
        <f>IF(ISERROR(
CAD_PROD!F132*E132),"",CAD_PROD!F132*E132)</f>
        <v/>
      </c>
      <c r="K132" s="68" t="str">
        <f>IF(ISERROR(
CAD_PROD!F132*F132),"",CAD_PROD!F132*F132)</f>
        <v/>
      </c>
      <c r="L132" s="68" t="str">
        <f>IF(ISERROR(
CAD_PROD!D132-H132),"",CAD_PROD!D132-H132)</f>
        <v/>
      </c>
      <c r="M132" s="57" t="str">
        <f>IF(ISERROR(
L132/CAD_PROD!D132),"",L132/CAD_PROD!D132)</f>
        <v/>
      </c>
      <c r="N132" s="68" t="str">
        <f>IF(ISERROR(
(P132*CAD_PROD!D132)),"",(P132*CAD_PROD!D132))</f>
        <v/>
      </c>
      <c r="O132" s="68" t="str">
        <f>IF(ISERROR(PE_GERAL!$J$7*CAD_PROD!G132),"",PE_GERAL!$J$7*CAD_PROD!G132)</f>
        <v/>
      </c>
      <c r="P132" s="101" t="str">
        <f t="shared" si="5"/>
        <v/>
      </c>
      <c r="Q132" s="68" t="str">
        <f>IF(C132="","",IF(ISERROR(
CAD_PROD!E132*G132),"",CAD_PROD!E132*G132))</f>
        <v/>
      </c>
      <c r="R132" s="68" t="str">
        <f>IF(C132="","",IF(ISERROR(
CAD_PROD!E132*D132),"",CAD_PROD!E132*D132))</f>
        <v/>
      </c>
      <c r="S132" s="44" t="str">
        <f>IF(C132="","",IF(CAD_PROD!E132&gt;=P132,"Sim","Não"))</f>
        <v/>
      </c>
    </row>
    <row r="133" spans="1:19" ht="30" customHeight="1">
      <c r="A133" s="52">
        <f t="shared" si="3"/>
        <v>0</v>
      </c>
      <c r="B133" s="52">
        <f t="shared" si="4"/>
        <v>0</v>
      </c>
      <c r="C133" s="96" t="str">
        <f>IF(CAD_PROD!C133="","",CAD_PROD!C133)</f>
        <v/>
      </c>
      <c r="D133" s="75"/>
      <c r="E133" s="125"/>
      <c r="F133" s="125"/>
      <c r="G133" s="75"/>
      <c r="H133" s="75" t="str">
        <f>IF(C133="","",D133+CAD_PROD!D133*(E133+F133)+G133)</f>
        <v/>
      </c>
      <c r="I133" s="52">
        <v>9.9999999999999995E-7</v>
      </c>
      <c r="J133" s="68" t="str">
        <f>IF(ISERROR(
CAD_PROD!F133*E133),"",CAD_PROD!F133*E133)</f>
        <v/>
      </c>
      <c r="K133" s="68" t="str">
        <f>IF(ISERROR(
CAD_PROD!F133*F133),"",CAD_PROD!F133*F133)</f>
        <v/>
      </c>
      <c r="L133" s="68" t="str">
        <f>IF(ISERROR(
CAD_PROD!D133-H133),"",CAD_PROD!D133-H133)</f>
        <v/>
      </c>
      <c r="M133" s="57" t="str">
        <f>IF(ISERROR(
L133/CAD_PROD!D133),"",L133/CAD_PROD!D133)</f>
        <v/>
      </c>
      <c r="N133" s="68" t="str">
        <f>IF(ISERROR(
(P133*CAD_PROD!D133)),"",(P133*CAD_PROD!D133))</f>
        <v/>
      </c>
      <c r="O133" s="68" t="str">
        <f>IF(ISERROR(PE_GERAL!$J$7*CAD_PROD!G133),"",PE_GERAL!$J$7*CAD_PROD!G133)</f>
        <v/>
      </c>
      <c r="P133" s="101" t="str">
        <f t="shared" si="5"/>
        <v/>
      </c>
      <c r="Q133" s="68" t="str">
        <f>IF(C133="","",IF(ISERROR(
CAD_PROD!E133*G133),"",CAD_PROD!E133*G133))</f>
        <v/>
      </c>
      <c r="R133" s="68" t="str">
        <f>IF(C133="","",IF(ISERROR(
CAD_PROD!E133*D133),"",CAD_PROD!E133*D133))</f>
        <v/>
      </c>
      <c r="S133" s="44" t="str">
        <f>IF(C133="","",IF(CAD_PROD!E133&gt;=P133,"Sim","Não"))</f>
        <v/>
      </c>
    </row>
    <row r="134" spans="1:19" ht="30" customHeight="1">
      <c r="A134" s="52">
        <f t="shared" si="3"/>
        <v>0</v>
      </c>
      <c r="B134" s="52">
        <f t="shared" si="4"/>
        <v>0</v>
      </c>
      <c r="C134" s="96" t="str">
        <f>IF(CAD_PROD!C134="","",CAD_PROD!C134)</f>
        <v/>
      </c>
      <c r="D134" s="75"/>
      <c r="E134" s="125"/>
      <c r="F134" s="125"/>
      <c r="G134" s="75"/>
      <c r="H134" s="75" t="str">
        <f>IF(C134="","",D134+CAD_PROD!D134*(E134+F134)+G134)</f>
        <v/>
      </c>
      <c r="I134" s="52">
        <v>9.9999999999999995E-7</v>
      </c>
      <c r="J134" s="68" t="str">
        <f>IF(ISERROR(
CAD_PROD!F134*E134),"",CAD_PROD!F134*E134)</f>
        <v/>
      </c>
      <c r="K134" s="68" t="str">
        <f>IF(ISERROR(
CAD_PROD!F134*F134),"",CAD_PROD!F134*F134)</f>
        <v/>
      </c>
      <c r="L134" s="68" t="str">
        <f>IF(ISERROR(
CAD_PROD!D134-H134),"",CAD_PROD!D134-H134)</f>
        <v/>
      </c>
      <c r="M134" s="57" t="str">
        <f>IF(ISERROR(
L134/CAD_PROD!D134),"",L134/CAD_PROD!D134)</f>
        <v/>
      </c>
      <c r="N134" s="68" t="str">
        <f>IF(ISERROR(
(P134*CAD_PROD!D134)),"",(P134*CAD_PROD!D134))</f>
        <v/>
      </c>
      <c r="O134" s="68" t="str">
        <f>IF(ISERROR(PE_GERAL!$J$7*CAD_PROD!G134),"",PE_GERAL!$J$7*CAD_PROD!G134)</f>
        <v/>
      </c>
      <c r="P134" s="101" t="str">
        <f t="shared" si="5"/>
        <v/>
      </c>
      <c r="Q134" s="68" t="str">
        <f>IF(C134="","",IF(ISERROR(
CAD_PROD!E134*G134),"",CAD_PROD!E134*G134))</f>
        <v/>
      </c>
      <c r="R134" s="68" t="str">
        <f>IF(C134="","",IF(ISERROR(
CAD_PROD!E134*D134),"",CAD_PROD!E134*D134))</f>
        <v/>
      </c>
      <c r="S134" s="44" t="str">
        <f>IF(C134="","",IF(CAD_PROD!E134&gt;=P134,"Sim","Não"))</f>
        <v/>
      </c>
    </row>
    <row r="135" spans="1:19" ht="30" customHeight="1">
      <c r="A135" s="52">
        <f t="shared" ref="A135:A198" si="6">IFERROR(L135+I135,0)</f>
        <v>0</v>
      </c>
      <c r="B135" s="52">
        <f t="shared" ref="B135:B198" si="7">IFERROR(H135+I135,0)</f>
        <v>0</v>
      </c>
      <c r="C135" s="96" t="str">
        <f>IF(CAD_PROD!C135="","",CAD_PROD!C135)</f>
        <v/>
      </c>
      <c r="D135" s="75"/>
      <c r="E135" s="125"/>
      <c r="F135" s="125"/>
      <c r="G135" s="75"/>
      <c r="H135" s="75" t="str">
        <f>IF(C135="","",D135+CAD_PROD!D135*(E135+F135)+G135)</f>
        <v/>
      </c>
      <c r="I135" s="52">
        <v>9.9999999999999995E-7</v>
      </c>
      <c r="J135" s="68" t="str">
        <f>IF(ISERROR(
CAD_PROD!F135*E135),"",CAD_PROD!F135*E135)</f>
        <v/>
      </c>
      <c r="K135" s="68" t="str">
        <f>IF(ISERROR(
CAD_PROD!F135*F135),"",CAD_PROD!F135*F135)</f>
        <v/>
      </c>
      <c r="L135" s="68" t="str">
        <f>IF(ISERROR(
CAD_PROD!D135-H135),"",CAD_PROD!D135-H135)</f>
        <v/>
      </c>
      <c r="M135" s="57" t="str">
        <f>IF(ISERROR(
L135/CAD_PROD!D135),"",L135/CAD_PROD!D135)</f>
        <v/>
      </c>
      <c r="N135" s="68" t="str">
        <f>IF(ISERROR(
(P135*CAD_PROD!D135)),"",(P135*CAD_PROD!D135))</f>
        <v/>
      </c>
      <c r="O135" s="68" t="str">
        <f>IF(ISERROR(PE_GERAL!$J$7*CAD_PROD!G135),"",PE_GERAL!$J$7*CAD_PROD!G135)</f>
        <v/>
      </c>
      <c r="P135" s="101" t="str">
        <f t="shared" ref="P135:P198" si="8">IF(ISERROR(ROUNDUP(O135/L135,0)),"",ROUNDUP(O135/L135,0))</f>
        <v/>
      </c>
      <c r="Q135" s="68" t="str">
        <f>IF(C135="","",IF(ISERROR(
CAD_PROD!E135*G135),"",CAD_PROD!E135*G135))</f>
        <v/>
      </c>
      <c r="R135" s="68" t="str">
        <f>IF(C135="","",IF(ISERROR(
CAD_PROD!E135*D135),"",CAD_PROD!E135*D135))</f>
        <v/>
      </c>
      <c r="S135" s="44" t="str">
        <f>IF(C135="","",IF(CAD_PROD!E135&gt;=P135,"Sim","Não"))</f>
        <v/>
      </c>
    </row>
    <row r="136" spans="1:19" ht="30" customHeight="1">
      <c r="A136" s="52">
        <f t="shared" si="6"/>
        <v>0</v>
      </c>
      <c r="B136" s="52">
        <f t="shared" si="7"/>
        <v>0</v>
      </c>
      <c r="C136" s="96" t="str">
        <f>IF(CAD_PROD!C136="","",CAD_PROD!C136)</f>
        <v/>
      </c>
      <c r="D136" s="75"/>
      <c r="E136" s="125"/>
      <c r="F136" s="125"/>
      <c r="G136" s="75"/>
      <c r="H136" s="75" t="str">
        <f>IF(C136="","",D136+CAD_PROD!D136*(E136+F136)+G136)</f>
        <v/>
      </c>
      <c r="I136" s="52">
        <v>9.9999999999999995E-7</v>
      </c>
      <c r="J136" s="68" t="str">
        <f>IF(ISERROR(
CAD_PROD!F136*E136),"",CAD_PROD!F136*E136)</f>
        <v/>
      </c>
      <c r="K136" s="68" t="str">
        <f>IF(ISERROR(
CAD_PROD!F136*F136),"",CAD_PROD!F136*F136)</f>
        <v/>
      </c>
      <c r="L136" s="68" t="str">
        <f>IF(ISERROR(
CAD_PROD!D136-H136),"",CAD_PROD!D136-H136)</f>
        <v/>
      </c>
      <c r="M136" s="57" t="str">
        <f>IF(ISERROR(
L136/CAD_PROD!D136),"",L136/CAD_PROD!D136)</f>
        <v/>
      </c>
      <c r="N136" s="68" t="str">
        <f>IF(ISERROR(
(P136*CAD_PROD!D136)),"",(P136*CAD_PROD!D136))</f>
        <v/>
      </c>
      <c r="O136" s="68" t="str">
        <f>IF(ISERROR(PE_GERAL!$J$7*CAD_PROD!G136),"",PE_GERAL!$J$7*CAD_PROD!G136)</f>
        <v/>
      </c>
      <c r="P136" s="101" t="str">
        <f t="shared" si="8"/>
        <v/>
      </c>
      <c r="Q136" s="68" t="str">
        <f>IF(C136="","",IF(ISERROR(
CAD_PROD!E136*G136),"",CAD_PROD!E136*G136))</f>
        <v/>
      </c>
      <c r="R136" s="68" t="str">
        <f>IF(C136="","",IF(ISERROR(
CAD_PROD!E136*D136),"",CAD_PROD!E136*D136))</f>
        <v/>
      </c>
      <c r="S136" s="44" t="str">
        <f>IF(C136="","",IF(CAD_PROD!E136&gt;=P136,"Sim","Não"))</f>
        <v/>
      </c>
    </row>
    <row r="137" spans="1:19" ht="30" customHeight="1">
      <c r="A137" s="52">
        <f t="shared" si="6"/>
        <v>0</v>
      </c>
      <c r="B137" s="52">
        <f t="shared" si="7"/>
        <v>0</v>
      </c>
      <c r="C137" s="96" t="str">
        <f>IF(CAD_PROD!C137="","",CAD_PROD!C137)</f>
        <v/>
      </c>
      <c r="D137" s="75"/>
      <c r="E137" s="125"/>
      <c r="F137" s="125"/>
      <c r="G137" s="75"/>
      <c r="H137" s="75" t="str">
        <f>IF(C137="","",D137+CAD_PROD!D137*(E137+F137)+G137)</f>
        <v/>
      </c>
      <c r="I137" s="52">
        <v>9.9999999999999995E-7</v>
      </c>
      <c r="J137" s="68" t="str">
        <f>IF(ISERROR(
CAD_PROD!F137*E137),"",CAD_PROD!F137*E137)</f>
        <v/>
      </c>
      <c r="K137" s="68" t="str">
        <f>IF(ISERROR(
CAD_PROD!F137*F137),"",CAD_PROD!F137*F137)</f>
        <v/>
      </c>
      <c r="L137" s="68" t="str">
        <f>IF(ISERROR(
CAD_PROD!D137-H137),"",CAD_PROD!D137-H137)</f>
        <v/>
      </c>
      <c r="M137" s="57" t="str">
        <f>IF(ISERROR(
L137/CAD_PROD!D137),"",L137/CAD_PROD!D137)</f>
        <v/>
      </c>
      <c r="N137" s="68" t="str">
        <f>IF(ISERROR(
(P137*CAD_PROD!D137)),"",(P137*CAD_PROD!D137))</f>
        <v/>
      </c>
      <c r="O137" s="68" t="str">
        <f>IF(ISERROR(PE_GERAL!$J$7*CAD_PROD!G137),"",PE_GERAL!$J$7*CAD_PROD!G137)</f>
        <v/>
      </c>
      <c r="P137" s="101" t="str">
        <f t="shared" si="8"/>
        <v/>
      </c>
      <c r="Q137" s="68" t="str">
        <f>IF(C137="","",IF(ISERROR(
CAD_PROD!E137*G137),"",CAD_PROD!E137*G137))</f>
        <v/>
      </c>
      <c r="R137" s="68" t="str">
        <f>IF(C137="","",IF(ISERROR(
CAD_PROD!E137*D137),"",CAD_PROD!E137*D137))</f>
        <v/>
      </c>
      <c r="S137" s="44" t="str">
        <f>IF(C137="","",IF(CAD_PROD!E137&gt;=P137,"Sim","Não"))</f>
        <v/>
      </c>
    </row>
    <row r="138" spans="1:19" ht="30" customHeight="1">
      <c r="A138" s="52">
        <f t="shared" si="6"/>
        <v>0</v>
      </c>
      <c r="B138" s="52">
        <f t="shared" si="7"/>
        <v>0</v>
      </c>
      <c r="C138" s="96" t="str">
        <f>IF(CAD_PROD!C138="","",CAD_PROD!C138)</f>
        <v/>
      </c>
      <c r="D138" s="75"/>
      <c r="E138" s="125"/>
      <c r="F138" s="125"/>
      <c r="G138" s="75"/>
      <c r="H138" s="75" t="str">
        <f>IF(C138="","",D138+CAD_PROD!D138*(E138+F138)+G138)</f>
        <v/>
      </c>
      <c r="I138" s="52">
        <v>9.9999999999999995E-7</v>
      </c>
      <c r="J138" s="68" t="str">
        <f>IF(ISERROR(
CAD_PROD!F138*E138),"",CAD_PROD!F138*E138)</f>
        <v/>
      </c>
      <c r="K138" s="68" t="str">
        <f>IF(ISERROR(
CAD_PROD!F138*F138),"",CAD_PROD!F138*F138)</f>
        <v/>
      </c>
      <c r="L138" s="68" t="str">
        <f>IF(ISERROR(
CAD_PROD!D138-H138),"",CAD_PROD!D138-H138)</f>
        <v/>
      </c>
      <c r="M138" s="57" t="str">
        <f>IF(ISERROR(
L138/CAD_PROD!D138),"",L138/CAD_PROD!D138)</f>
        <v/>
      </c>
      <c r="N138" s="68" t="str">
        <f>IF(ISERROR(
(P138*CAD_PROD!D138)),"",(P138*CAD_PROD!D138))</f>
        <v/>
      </c>
      <c r="O138" s="68" t="str">
        <f>IF(ISERROR(PE_GERAL!$J$7*CAD_PROD!G138),"",PE_GERAL!$J$7*CAD_PROD!G138)</f>
        <v/>
      </c>
      <c r="P138" s="101" t="str">
        <f t="shared" si="8"/>
        <v/>
      </c>
      <c r="Q138" s="68" t="str">
        <f>IF(C138="","",IF(ISERROR(
CAD_PROD!E138*G138),"",CAD_PROD!E138*G138))</f>
        <v/>
      </c>
      <c r="R138" s="68" t="str">
        <f>IF(C138="","",IF(ISERROR(
CAD_PROD!E138*D138),"",CAD_PROD!E138*D138))</f>
        <v/>
      </c>
      <c r="S138" s="44" t="str">
        <f>IF(C138="","",IF(CAD_PROD!E138&gt;=P138,"Sim","Não"))</f>
        <v/>
      </c>
    </row>
    <row r="139" spans="1:19" ht="30" customHeight="1">
      <c r="A139" s="52">
        <f t="shared" si="6"/>
        <v>0</v>
      </c>
      <c r="B139" s="52">
        <f t="shared" si="7"/>
        <v>0</v>
      </c>
      <c r="C139" s="96" t="str">
        <f>IF(CAD_PROD!C139="","",CAD_PROD!C139)</f>
        <v/>
      </c>
      <c r="D139" s="75"/>
      <c r="E139" s="125"/>
      <c r="F139" s="125"/>
      <c r="G139" s="75"/>
      <c r="H139" s="75" t="str">
        <f>IF(C139="","",D139+CAD_PROD!D139*(E139+F139)+G139)</f>
        <v/>
      </c>
      <c r="I139" s="52">
        <v>9.9999999999999995E-7</v>
      </c>
      <c r="J139" s="68" t="str">
        <f>IF(ISERROR(
CAD_PROD!F139*E139),"",CAD_PROD!F139*E139)</f>
        <v/>
      </c>
      <c r="K139" s="68" t="str">
        <f>IF(ISERROR(
CAD_PROD!F139*F139),"",CAD_PROD!F139*F139)</f>
        <v/>
      </c>
      <c r="L139" s="68" t="str">
        <f>IF(ISERROR(
CAD_PROD!D139-H139),"",CAD_PROD!D139-H139)</f>
        <v/>
      </c>
      <c r="M139" s="57" t="str">
        <f>IF(ISERROR(
L139/CAD_PROD!D139),"",L139/CAD_PROD!D139)</f>
        <v/>
      </c>
      <c r="N139" s="68" t="str">
        <f>IF(ISERROR(
(P139*CAD_PROD!D139)),"",(P139*CAD_PROD!D139))</f>
        <v/>
      </c>
      <c r="O139" s="68" t="str">
        <f>IF(ISERROR(PE_GERAL!$J$7*CAD_PROD!G139),"",PE_GERAL!$J$7*CAD_PROD!G139)</f>
        <v/>
      </c>
      <c r="P139" s="101" t="str">
        <f t="shared" si="8"/>
        <v/>
      </c>
      <c r="Q139" s="68" t="str">
        <f>IF(C139="","",IF(ISERROR(
CAD_PROD!E139*G139),"",CAD_PROD!E139*G139))</f>
        <v/>
      </c>
      <c r="R139" s="68" t="str">
        <f>IF(C139="","",IF(ISERROR(
CAD_PROD!E139*D139),"",CAD_PROD!E139*D139))</f>
        <v/>
      </c>
      <c r="S139" s="44" t="str">
        <f>IF(C139="","",IF(CAD_PROD!E139&gt;=P139,"Sim","Não"))</f>
        <v/>
      </c>
    </row>
    <row r="140" spans="1:19" ht="30" customHeight="1">
      <c r="A140" s="52">
        <f t="shared" si="6"/>
        <v>0</v>
      </c>
      <c r="B140" s="52">
        <f t="shared" si="7"/>
        <v>0</v>
      </c>
      <c r="C140" s="96" t="str">
        <f>IF(CAD_PROD!C140="","",CAD_PROD!C140)</f>
        <v/>
      </c>
      <c r="D140" s="75"/>
      <c r="E140" s="125"/>
      <c r="F140" s="125"/>
      <c r="G140" s="75"/>
      <c r="H140" s="75" t="str">
        <f>IF(C140="","",D140+CAD_PROD!D140*(E140+F140)+G140)</f>
        <v/>
      </c>
      <c r="I140" s="52">
        <v>9.9999999999999995E-7</v>
      </c>
      <c r="J140" s="68" t="str">
        <f>IF(ISERROR(
CAD_PROD!F140*E140),"",CAD_PROD!F140*E140)</f>
        <v/>
      </c>
      <c r="K140" s="68" t="str">
        <f>IF(ISERROR(
CAD_PROD!F140*F140),"",CAD_PROD!F140*F140)</f>
        <v/>
      </c>
      <c r="L140" s="68" t="str">
        <f>IF(ISERROR(
CAD_PROD!D140-H140),"",CAD_PROD!D140-H140)</f>
        <v/>
      </c>
      <c r="M140" s="57" t="str">
        <f>IF(ISERROR(
L140/CAD_PROD!D140),"",L140/CAD_PROD!D140)</f>
        <v/>
      </c>
      <c r="N140" s="68" t="str">
        <f>IF(ISERROR(
(P140*CAD_PROD!D140)),"",(P140*CAD_PROD!D140))</f>
        <v/>
      </c>
      <c r="O140" s="68" t="str">
        <f>IF(ISERROR(PE_GERAL!$J$7*CAD_PROD!G140),"",PE_GERAL!$J$7*CAD_PROD!G140)</f>
        <v/>
      </c>
      <c r="P140" s="101" t="str">
        <f t="shared" si="8"/>
        <v/>
      </c>
      <c r="Q140" s="68" t="str">
        <f>IF(C140="","",IF(ISERROR(
CAD_PROD!E140*G140),"",CAD_PROD!E140*G140))</f>
        <v/>
      </c>
      <c r="R140" s="68" t="str">
        <f>IF(C140="","",IF(ISERROR(
CAD_PROD!E140*D140),"",CAD_PROD!E140*D140))</f>
        <v/>
      </c>
      <c r="S140" s="44" t="str">
        <f>IF(C140="","",IF(CAD_PROD!E140&gt;=P140,"Sim","Não"))</f>
        <v/>
      </c>
    </row>
    <row r="141" spans="1:19" ht="30" customHeight="1">
      <c r="A141" s="52">
        <f t="shared" si="6"/>
        <v>0</v>
      </c>
      <c r="B141" s="52">
        <f t="shared" si="7"/>
        <v>0</v>
      </c>
      <c r="C141" s="96" t="str">
        <f>IF(CAD_PROD!C141="","",CAD_PROD!C141)</f>
        <v/>
      </c>
      <c r="D141" s="75"/>
      <c r="E141" s="125"/>
      <c r="F141" s="125"/>
      <c r="G141" s="75"/>
      <c r="H141" s="75" t="str">
        <f>IF(C141="","",D141+CAD_PROD!D141*(E141+F141)+G141)</f>
        <v/>
      </c>
      <c r="I141" s="52">
        <v>9.9999999999999995E-7</v>
      </c>
      <c r="J141" s="68" t="str">
        <f>IF(ISERROR(
CAD_PROD!F141*E141),"",CAD_PROD!F141*E141)</f>
        <v/>
      </c>
      <c r="K141" s="68" t="str">
        <f>IF(ISERROR(
CAD_PROD!F141*F141),"",CAD_PROD!F141*F141)</f>
        <v/>
      </c>
      <c r="L141" s="68" t="str">
        <f>IF(ISERROR(
CAD_PROD!D141-H141),"",CAD_PROD!D141-H141)</f>
        <v/>
      </c>
      <c r="M141" s="57" t="str">
        <f>IF(ISERROR(
L141/CAD_PROD!D141),"",L141/CAD_PROD!D141)</f>
        <v/>
      </c>
      <c r="N141" s="68" t="str">
        <f>IF(ISERROR(
(P141*CAD_PROD!D141)),"",(P141*CAD_PROD!D141))</f>
        <v/>
      </c>
      <c r="O141" s="68" t="str">
        <f>IF(ISERROR(PE_GERAL!$J$7*CAD_PROD!G141),"",PE_GERAL!$J$7*CAD_PROD!G141)</f>
        <v/>
      </c>
      <c r="P141" s="101" t="str">
        <f t="shared" si="8"/>
        <v/>
      </c>
      <c r="Q141" s="68" t="str">
        <f>IF(C141="","",IF(ISERROR(
CAD_PROD!E141*G141),"",CAD_PROD!E141*G141))</f>
        <v/>
      </c>
      <c r="R141" s="68" t="str">
        <f>IF(C141="","",IF(ISERROR(
CAD_PROD!E141*D141),"",CAD_PROD!E141*D141))</f>
        <v/>
      </c>
      <c r="S141" s="44" t="str">
        <f>IF(C141="","",IF(CAD_PROD!E141&gt;=P141,"Sim","Não"))</f>
        <v/>
      </c>
    </row>
    <row r="142" spans="1:19" ht="30" customHeight="1">
      <c r="A142" s="52">
        <f t="shared" si="6"/>
        <v>0</v>
      </c>
      <c r="B142" s="52">
        <f t="shared" si="7"/>
        <v>0</v>
      </c>
      <c r="C142" s="96" t="str">
        <f>IF(CAD_PROD!C142="","",CAD_PROD!C142)</f>
        <v/>
      </c>
      <c r="D142" s="75"/>
      <c r="E142" s="125"/>
      <c r="F142" s="125"/>
      <c r="G142" s="75"/>
      <c r="H142" s="75" t="str">
        <f>IF(C142="","",D142+CAD_PROD!D142*(E142+F142)+G142)</f>
        <v/>
      </c>
      <c r="I142" s="52">
        <v>9.9999999999999995E-7</v>
      </c>
      <c r="J142" s="68" t="str">
        <f>IF(ISERROR(
CAD_PROD!F142*E142),"",CAD_PROD!F142*E142)</f>
        <v/>
      </c>
      <c r="K142" s="68" t="str">
        <f>IF(ISERROR(
CAD_PROD!F142*F142),"",CAD_PROD!F142*F142)</f>
        <v/>
      </c>
      <c r="L142" s="68" t="str">
        <f>IF(ISERROR(
CAD_PROD!D142-H142),"",CAD_PROD!D142-H142)</f>
        <v/>
      </c>
      <c r="M142" s="57" t="str">
        <f>IF(ISERROR(
L142/CAD_PROD!D142),"",L142/CAD_PROD!D142)</f>
        <v/>
      </c>
      <c r="N142" s="68" t="str">
        <f>IF(ISERROR(
(P142*CAD_PROD!D142)),"",(P142*CAD_PROD!D142))</f>
        <v/>
      </c>
      <c r="O142" s="68" t="str">
        <f>IF(ISERROR(PE_GERAL!$J$7*CAD_PROD!G142),"",PE_GERAL!$J$7*CAD_PROD!G142)</f>
        <v/>
      </c>
      <c r="P142" s="101" t="str">
        <f t="shared" si="8"/>
        <v/>
      </c>
      <c r="Q142" s="68" t="str">
        <f>IF(C142="","",IF(ISERROR(
CAD_PROD!E142*G142),"",CAD_PROD!E142*G142))</f>
        <v/>
      </c>
      <c r="R142" s="68" t="str">
        <f>IF(C142="","",IF(ISERROR(
CAD_PROD!E142*D142),"",CAD_PROD!E142*D142))</f>
        <v/>
      </c>
      <c r="S142" s="44" t="str">
        <f>IF(C142="","",IF(CAD_PROD!E142&gt;=P142,"Sim","Não"))</f>
        <v/>
      </c>
    </row>
    <row r="143" spans="1:19" ht="30" customHeight="1">
      <c r="A143" s="52">
        <f t="shared" si="6"/>
        <v>0</v>
      </c>
      <c r="B143" s="52">
        <f t="shared" si="7"/>
        <v>0</v>
      </c>
      <c r="C143" s="96" t="str">
        <f>IF(CAD_PROD!C143="","",CAD_PROD!C143)</f>
        <v/>
      </c>
      <c r="D143" s="75"/>
      <c r="E143" s="125"/>
      <c r="F143" s="125"/>
      <c r="G143" s="75"/>
      <c r="H143" s="75" t="str">
        <f>IF(C143="","",D143+CAD_PROD!D143*(E143+F143)+G143)</f>
        <v/>
      </c>
      <c r="I143" s="52">
        <v>9.9999999999999995E-7</v>
      </c>
      <c r="J143" s="68" t="str">
        <f>IF(ISERROR(
CAD_PROD!F143*E143),"",CAD_PROD!F143*E143)</f>
        <v/>
      </c>
      <c r="K143" s="68" t="str">
        <f>IF(ISERROR(
CAD_PROD!F143*F143),"",CAD_PROD!F143*F143)</f>
        <v/>
      </c>
      <c r="L143" s="68" t="str">
        <f>IF(ISERROR(
CAD_PROD!D143-H143),"",CAD_PROD!D143-H143)</f>
        <v/>
      </c>
      <c r="M143" s="57" t="str">
        <f>IF(ISERROR(
L143/CAD_PROD!D143),"",L143/CAD_PROD!D143)</f>
        <v/>
      </c>
      <c r="N143" s="68" t="str">
        <f>IF(ISERROR(
(P143*CAD_PROD!D143)),"",(P143*CAD_PROD!D143))</f>
        <v/>
      </c>
      <c r="O143" s="68" t="str">
        <f>IF(ISERROR(PE_GERAL!$J$7*CAD_PROD!G143),"",PE_GERAL!$J$7*CAD_PROD!G143)</f>
        <v/>
      </c>
      <c r="P143" s="101" t="str">
        <f t="shared" si="8"/>
        <v/>
      </c>
      <c r="Q143" s="68" t="str">
        <f>IF(C143="","",IF(ISERROR(
CAD_PROD!E143*G143),"",CAD_PROD!E143*G143))</f>
        <v/>
      </c>
      <c r="R143" s="68" t="str">
        <f>IF(C143="","",IF(ISERROR(
CAD_PROD!E143*D143),"",CAD_PROD!E143*D143))</f>
        <v/>
      </c>
      <c r="S143" s="44" t="str">
        <f>IF(C143="","",IF(CAD_PROD!E143&gt;=P143,"Sim","Não"))</f>
        <v/>
      </c>
    </row>
    <row r="144" spans="1:19" ht="30" customHeight="1">
      <c r="A144" s="52">
        <f t="shared" si="6"/>
        <v>0</v>
      </c>
      <c r="B144" s="52">
        <f t="shared" si="7"/>
        <v>0</v>
      </c>
      <c r="C144" s="96" t="str">
        <f>IF(CAD_PROD!C144="","",CAD_PROD!C144)</f>
        <v/>
      </c>
      <c r="D144" s="75"/>
      <c r="E144" s="125"/>
      <c r="F144" s="125"/>
      <c r="G144" s="75"/>
      <c r="H144" s="75" t="str">
        <f>IF(C144="","",D144+CAD_PROD!D144*(E144+F144)+G144)</f>
        <v/>
      </c>
      <c r="I144" s="52">
        <v>9.9999999999999995E-7</v>
      </c>
      <c r="J144" s="68" t="str">
        <f>IF(ISERROR(
CAD_PROD!F144*E144),"",CAD_PROD!F144*E144)</f>
        <v/>
      </c>
      <c r="K144" s="68" t="str">
        <f>IF(ISERROR(
CAD_PROD!F144*F144),"",CAD_PROD!F144*F144)</f>
        <v/>
      </c>
      <c r="L144" s="68" t="str">
        <f>IF(ISERROR(
CAD_PROD!D144-H144),"",CAD_PROD!D144-H144)</f>
        <v/>
      </c>
      <c r="M144" s="57" t="str">
        <f>IF(ISERROR(
L144/CAD_PROD!D144),"",L144/CAD_PROD!D144)</f>
        <v/>
      </c>
      <c r="N144" s="68" t="str">
        <f>IF(ISERROR(
(P144*CAD_PROD!D144)),"",(P144*CAD_PROD!D144))</f>
        <v/>
      </c>
      <c r="O144" s="68" t="str">
        <f>IF(ISERROR(PE_GERAL!$J$7*CAD_PROD!G144),"",PE_GERAL!$J$7*CAD_PROD!G144)</f>
        <v/>
      </c>
      <c r="P144" s="101" t="str">
        <f t="shared" si="8"/>
        <v/>
      </c>
      <c r="Q144" s="68" t="str">
        <f>IF(C144="","",IF(ISERROR(
CAD_PROD!E144*G144),"",CAD_PROD!E144*G144))</f>
        <v/>
      </c>
      <c r="R144" s="68" t="str">
        <f>IF(C144="","",IF(ISERROR(
CAD_PROD!E144*D144),"",CAD_PROD!E144*D144))</f>
        <v/>
      </c>
      <c r="S144" s="44" t="str">
        <f>IF(C144="","",IF(CAD_PROD!E144&gt;=P144,"Sim","Não"))</f>
        <v/>
      </c>
    </row>
    <row r="145" spans="1:19" ht="30" customHeight="1">
      <c r="A145" s="52">
        <f t="shared" si="6"/>
        <v>0</v>
      </c>
      <c r="B145" s="52">
        <f t="shared" si="7"/>
        <v>0</v>
      </c>
      <c r="C145" s="96" t="str">
        <f>IF(CAD_PROD!C145="","",CAD_PROD!C145)</f>
        <v/>
      </c>
      <c r="D145" s="75"/>
      <c r="E145" s="125"/>
      <c r="F145" s="125"/>
      <c r="G145" s="75"/>
      <c r="H145" s="75" t="str">
        <f>IF(C145="","",D145+CAD_PROD!D145*(E145+F145)+G145)</f>
        <v/>
      </c>
      <c r="I145" s="52">
        <v>9.9999999999999995E-7</v>
      </c>
      <c r="J145" s="68" t="str">
        <f>IF(ISERROR(
CAD_PROD!F145*E145),"",CAD_PROD!F145*E145)</f>
        <v/>
      </c>
      <c r="K145" s="68" t="str">
        <f>IF(ISERROR(
CAD_PROD!F145*F145),"",CAD_PROD!F145*F145)</f>
        <v/>
      </c>
      <c r="L145" s="68" t="str">
        <f>IF(ISERROR(
CAD_PROD!D145-H145),"",CAD_PROD!D145-H145)</f>
        <v/>
      </c>
      <c r="M145" s="57" t="str">
        <f>IF(ISERROR(
L145/CAD_PROD!D145),"",L145/CAD_PROD!D145)</f>
        <v/>
      </c>
      <c r="N145" s="68" t="str">
        <f>IF(ISERROR(
(P145*CAD_PROD!D145)),"",(P145*CAD_PROD!D145))</f>
        <v/>
      </c>
      <c r="O145" s="68" t="str">
        <f>IF(ISERROR(PE_GERAL!$J$7*CAD_PROD!G145),"",PE_GERAL!$J$7*CAD_PROD!G145)</f>
        <v/>
      </c>
      <c r="P145" s="101" t="str">
        <f t="shared" si="8"/>
        <v/>
      </c>
      <c r="Q145" s="68" t="str">
        <f>IF(C145="","",IF(ISERROR(
CAD_PROD!E145*G145),"",CAD_PROD!E145*G145))</f>
        <v/>
      </c>
      <c r="R145" s="68" t="str">
        <f>IF(C145="","",IF(ISERROR(
CAD_PROD!E145*D145),"",CAD_PROD!E145*D145))</f>
        <v/>
      </c>
      <c r="S145" s="44" t="str">
        <f>IF(C145="","",IF(CAD_PROD!E145&gt;=P145,"Sim","Não"))</f>
        <v/>
      </c>
    </row>
    <row r="146" spans="1:19" ht="30" customHeight="1">
      <c r="A146" s="52">
        <f t="shared" si="6"/>
        <v>0</v>
      </c>
      <c r="B146" s="52">
        <f t="shared" si="7"/>
        <v>0</v>
      </c>
      <c r="C146" s="96" t="str">
        <f>IF(CAD_PROD!C146="","",CAD_PROD!C146)</f>
        <v/>
      </c>
      <c r="D146" s="75"/>
      <c r="E146" s="125"/>
      <c r="F146" s="125"/>
      <c r="G146" s="75"/>
      <c r="H146" s="75" t="str">
        <f>IF(C146="","",D146+CAD_PROD!D146*(E146+F146)+G146)</f>
        <v/>
      </c>
      <c r="I146" s="52">
        <v>9.9999999999999995E-7</v>
      </c>
      <c r="J146" s="68" t="str">
        <f>IF(ISERROR(
CAD_PROD!F146*E146),"",CAD_PROD!F146*E146)</f>
        <v/>
      </c>
      <c r="K146" s="68" t="str">
        <f>IF(ISERROR(
CAD_PROD!F146*F146),"",CAD_PROD!F146*F146)</f>
        <v/>
      </c>
      <c r="L146" s="68" t="str">
        <f>IF(ISERROR(
CAD_PROD!D146-H146),"",CAD_PROD!D146-H146)</f>
        <v/>
      </c>
      <c r="M146" s="57" t="str">
        <f>IF(ISERROR(
L146/CAD_PROD!D146),"",L146/CAD_PROD!D146)</f>
        <v/>
      </c>
      <c r="N146" s="68" t="str">
        <f>IF(ISERROR(
(P146*CAD_PROD!D146)),"",(P146*CAD_PROD!D146))</f>
        <v/>
      </c>
      <c r="O146" s="68" t="str">
        <f>IF(ISERROR(PE_GERAL!$J$7*CAD_PROD!G146),"",PE_GERAL!$J$7*CAD_PROD!G146)</f>
        <v/>
      </c>
      <c r="P146" s="101" t="str">
        <f t="shared" si="8"/>
        <v/>
      </c>
      <c r="Q146" s="68" t="str">
        <f>IF(C146="","",IF(ISERROR(
CAD_PROD!E146*G146),"",CAD_PROD!E146*G146))</f>
        <v/>
      </c>
      <c r="R146" s="68" t="str">
        <f>IF(C146="","",IF(ISERROR(
CAD_PROD!E146*D146),"",CAD_PROD!E146*D146))</f>
        <v/>
      </c>
      <c r="S146" s="44" t="str">
        <f>IF(C146="","",IF(CAD_PROD!E146&gt;=P146,"Sim","Não"))</f>
        <v/>
      </c>
    </row>
    <row r="147" spans="1:19" ht="30" customHeight="1">
      <c r="A147" s="52">
        <f t="shared" si="6"/>
        <v>0</v>
      </c>
      <c r="B147" s="52">
        <f t="shared" si="7"/>
        <v>0</v>
      </c>
      <c r="C147" s="96" t="str">
        <f>IF(CAD_PROD!C147="","",CAD_PROD!C147)</f>
        <v/>
      </c>
      <c r="D147" s="75"/>
      <c r="E147" s="125"/>
      <c r="F147" s="125"/>
      <c r="G147" s="75"/>
      <c r="H147" s="75" t="str">
        <f>IF(C147="","",D147+CAD_PROD!D147*(E147+F147)+G147)</f>
        <v/>
      </c>
      <c r="I147" s="52">
        <v>9.9999999999999995E-7</v>
      </c>
      <c r="J147" s="68" t="str">
        <f>IF(ISERROR(
CAD_PROD!F147*E147),"",CAD_PROD!F147*E147)</f>
        <v/>
      </c>
      <c r="K147" s="68" t="str">
        <f>IF(ISERROR(
CAD_PROD!F147*F147),"",CAD_PROD!F147*F147)</f>
        <v/>
      </c>
      <c r="L147" s="68" t="str">
        <f>IF(ISERROR(
CAD_PROD!D147-H147),"",CAD_PROD!D147-H147)</f>
        <v/>
      </c>
      <c r="M147" s="57" t="str">
        <f>IF(ISERROR(
L147/CAD_PROD!D147),"",L147/CAD_PROD!D147)</f>
        <v/>
      </c>
      <c r="N147" s="68" t="str">
        <f>IF(ISERROR(
(P147*CAD_PROD!D147)),"",(P147*CAD_PROD!D147))</f>
        <v/>
      </c>
      <c r="O147" s="68" t="str">
        <f>IF(ISERROR(PE_GERAL!$J$7*CAD_PROD!G147),"",PE_GERAL!$J$7*CAD_PROD!G147)</f>
        <v/>
      </c>
      <c r="P147" s="101" t="str">
        <f t="shared" si="8"/>
        <v/>
      </c>
      <c r="Q147" s="68" t="str">
        <f>IF(C147="","",IF(ISERROR(
CAD_PROD!E147*G147),"",CAD_PROD!E147*G147))</f>
        <v/>
      </c>
      <c r="R147" s="68" t="str">
        <f>IF(C147="","",IF(ISERROR(
CAD_PROD!E147*D147),"",CAD_PROD!E147*D147))</f>
        <v/>
      </c>
      <c r="S147" s="44" t="str">
        <f>IF(C147="","",IF(CAD_PROD!E147&gt;=P147,"Sim","Não"))</f>
        <v/>
      </c>
    </row>
    <row r="148" spans="1:19" ht="30" customHeight="1">
      <c r="A148" s="52">
        <f t="shared" si="6"/>
        <v>0</v>
      </c>
      <c r="B148" s="52">
        <f t="shared" si="7"/>
        <v>0</v>
      </c>
      <c r="C148" s="96" t="str">
        <f>IF(CAD_PROD!C148="","",CAD_PROD!C148)</f>
        <v/>
      </c>
      <c r="D148" s="75"/>
      <c r="E148" s="125"/>
      <c r="F148" s="125"/>
      <c r="G148" s="75"/>
      <c r="H148" s="75" t="str">
        <f>IF(C148="","",D148+CAD_PROD!D148*(E148+F148)+G148)</f>
        <v/>
      </c>
      <c r="I148" s="52">
        <v>9.9999999999999995E-7</v>
      </c>
      <c r="J148" s="68" t="str">
        <f>IF(ISERROR(
CAD_PROD!F148*E148),"",CAD_PROD!F148*E148)</f>
        <v/>
      </c>
      <c r="K148" s="68" t="str">
        <f>IF(ISERROR(
CAD_PROD!F148*F148),"",CAD_PROD!F148*F148)</f>
        <v/>
      </c>
      <c r="L148" s="68" t="str">
        <f>IF(ISERROR(
CAD_PROD!D148-H148),"",CAD_PROD!D148-H148)</f>
        <v/>
      </c>
      <c r="M148" s="57" t="str">
        <f>IF(ISERROR(
L148/CAD_PROD!D148),"",L148/CAD_PROD!D148)</f>
        <v/>
      </c>
      <c r="N148" s="68" t="str">
        <f>IF(ISERROR(
(P148*CAD_PROD!D148)),"",(P148*CAD_PROD!D148))</f>
        <v/>
      </c>
      <c r="O148" s="68" t="str">
        <f>IF(ISERROR(PE_GERAL!$J$7*CAD_PROD!G148),"",PE_GERAL!$J$7*CAD_PROD!G148)</f>
        <v/>
      </c>
      <c r="P148" s="101" t="str">
        <f t="shared" si="8"/>
        <v/>
      </c>
      <c r="Q148" s="68" t="str">
        <f>IF(C148="","",IF(ISERROR(
CAD_PROD!E148*G148),"",CAD_PROD!E148*G148))</f>
        <v/>
      </c>
      <c r="R148" s="68" t="str">
        <f>IF(C148="","",IF(ISERROR(
CAD_PROD!E148*D148),"",CAD_PROD!E148*D148))</f>
        <v/>
      </c>
      <c r="S148" s="44" t="str">
        <f>IF(C148="","",IF(CAD_PROD!E148&gt;=P148,"Sim","Não"))</f>
        <v/>
      </c>
    </row>
    <row r="149" spans="1:19" ht="30" customHeight="1">
      <c r="A149" s="52">
        <f t="shared" si="6"/>
        <v>0</v>
      </c>
      <c r="B149" s="52">
        <f t="shared" si="7"/>
        <v>0</v>
      </c>
      <c r="C149" s="96" t="str">
        <f>IF(CAD_PROD!C149="","",CAD_PROD!C149)</f>
        <v/>
      </c>
      <c r="D149" s="75"/>
      <c r="E149" s="125"/>
      <c r="F149" s="125"/>
      <c r="G149" s="75"/>
      <c r="H149" s="75" t="str">
        <f>IF(C149="","",D149+CAD_PROD!D149*(E149+F149)+G149)</f>
        <v/>
      </c>
      <c r="I149" s="52">
        <v>9.9999999999999995E-7</v>
      </c>
      <c r="J149" s="68" t="str">
        <f>IF(ISERROR(
CAD_PROD!F149*E149),"",CAD_PROD!F149*E149)</f>
        <v/>
      </c>
      <c r="K149" s="68" t="str">
        <f>IF(ISERROR(
CAD_PROD!F149*F149),"",CAD_PROD!F149*F149)</f>
        <v/>
      </c>
      <c r="L149" s="68" t="str">
        <f>IF(ISERROR(
CAD_PROD!D149-H149),"",CAD_PROD!D149-H149)</f>
        <v/>
      </c>
      <c r="M149" s="57" t="str">
        <f>IF(ISERROR(
L149/CAD_PROD!D149),"",L149/CAD_PROD!D149)</f>
        <v/>
      </c>
      <c r="N149" s="68" t="str">
        <f>IF(ISERROR(
(P149*CAD_PROD!D149)),"",(P149*CAD_PROD!D149))</f>
        <v/>
      </c>
      <c r="O149" s="68" t="str">
        <f>IF(ISERROR(PE_GERAL!$J$7*CAD_PROD!G149),"",PE_GERAL!$J$7*CAD_PROD!G149)</f>
        <v/>
      </c>
      <c r="P149" s="101" t="str">
        <f t="shared" si="8"/>
        <v/>
      </c>
      <c r="Q149" s="68" t="str">
        <f>IF(C149="","",IF(ISERROR(
CAD_PROD!E149*G149),"",CAD_PROD!E149*G149))</f>
        <v/>
      </c>
      <c r="R149" s="68" t="str">
        <f>IF(C149="","",IF(ISERROR(
CAD_PROD!E149*D149),"",CAD_PROD!E149*D149))</f>
        <v/>
      </c>
      <c r="S149" s="44" t="str">
        <f>IF(C149="","",IF(CAD_PROD!E149&gt;=P149,"Sim","Não"))</f>
        <v/>
      </c>
    </row>
    <row r="150" spans="1:19" ht="30" customHeight="1">
      <c r="A150" s="52">
        <f t="shared" si="6"/>
        <v>0</v>
      </c>
      <c r="B150" s="52">
        <f t="shared" si="7"/>
        <v>0</v>
      </c>
      <c r="C150" s="96" t="str">
        <f>IF(CAD_PROD!C150="","",CAD_PROD!C150)</f>
        <v/>
      </c>
      <c r="D150" s="75"/>
      <c r="E150" s="125"/>
      <c r="F150" s="125"/>
      <c r="G150" s="75"/>
      <c r="H150" s="75" t="str">
        <f>IF(C150="","",D150+CAD_PROD!D150*(E150+F150)+G150)</f>
        <v/>
      </c>
      <c r="I150" s="52">
        <v>9.9999999999999995E-7</v>
      </c>
      <c r="J150" s="68" t="str">
        <f>IF(ISERROR(
CAD_PROD!F150*E150),"",CAD_PROD!F150*E150)</f>
        <v/>
      </c>
      <c r="K150" s="68" t="str">
        <f>IF(ISERROR(
CAD_PROD!F150*F150),"",CAD_PROD!F150*F150)</f>
        <v/>
      </c>
      <c r="L150" s="68" t="str">
        <f>IF(ISERROR(
CAD_PROD!D150-H150),"",CAD_PROD!D150-H150)</f>
        <v/>
      </c>
      <c r="M150" s="57" t="str">
        <f>IF(ISERROR(
L150/CAD_PROD!D150),"",L150/CAD_PROD!D150)</f>
        <v/>
      </c>
      <c r="N150" s="68" t="str">
        <f>IF(ISERROR(
(P150*CAD_PROD!D150)),"",(P150*CAD_PROD!D150))</f>
        <v/>
      </c>
      <c r="O150" s="68" t="str">
        <f>IF(ISERROR(PE_GERAL!$J$7*CAD_PROD!G150),"",PE_GERAL!$J$7*CAD_PROD!G150)</f>
        <v/>
      </c>
      <c r="P150" s="101" t="str">
        <f t="shared" si="8"/>
        <v/>
      </c>
      <c r="Q150" s="68" t="str">
        <f>IF(C150="","",IF(ISERROR(
CAD_PROD!E150*G150),"",CAD_PROD!E150*G150))</f>
        <v/>
      </c>
      <c r="R150" s="68" t="str">
        <f>IF(C150="","",IF(ISERROR(
CAD_PROD!E150*D150),"",CAD_PROD!E150*D150))</f>
        <v/>
      </c>
      <c r="S150" s="44" t="str">
        <f>IF(C150="","",IF(CAD_PROD!E150&gt;=P150,"Sim","Não"))</f>
        <v/>
      </c>
    </row>
    <row r="151" spans="1:19" ht="30" customHeight="1">
      <c r="A151" s="52">
        <f t="shared" si="6"/>
        <v>0</v>
      </c>
      <c r="B151" s="52">
        <f t="shared" si="7"/>
        <v>0</v>
      </c>
      <c r="C151" s="96" t="str">
        <f>IF(CAD_PROD!C151="","",CAD_PROD!C151)</f>
        <v/>
      </c>
      <c r="D151" s="75"/>
      <c r="E151" s="125"/>
      <c r="F151" s="125"/>
      <c r="G151" s="75"/>
      <c r="H151" s="75" t="str">
        <f>IF(C151="","",D151+CAD_PROD!D151*(E151+F151)+G151)</f>
        <v/>
      </c>
      <c r="I151" s="52">
        <v>9.9999999999999995E-7</v>
      </c>
      <c r="J151" s="68" t="str">
        <f>IF(ISERROR(
CAD_PROD!F151*E151),"",CAD_PROD!F151*E151)</f>
        <v/>
      </c>
      <c r="K151" s="68" t="str">
        <f>IF(ISERROR(
CAD_PROD!F151*F151),"",CAD_PROD!F151*F151)</f>
        <v/>
      </c>
      <c r="L151" s="68" t="str">
        <f>IF(ISERROR(
CAD_PROD!D151-H151),"",CAD_PROD!D151-H151)</f>
        <v/>
      </c>
      <c r="M151" s="57" t="str">
        <f>IF(ISERROR(
L151/CAD_PROD!D151),"",L151/CAD_PROD!D151)</f>
        <v/>
      </c>
      <c r="N151" s="68" t="str">
        <f>IF(ISERROR(
(P151*CAD_PROD!D151)),"",(P151*CAD_PROD!D151))</f>
        <v/>
      </c>
      <c r="O151" s="68" t="str">
        <f>IF(ISERROR(PE_GERAL!$J$7*CAD_PROD!G151),"",PE_GERAL!$J$7*CAD_PROD!G151)</f>
        <v/>
      </c>
      <c r="P151" s="101" t="str">
        <f t="shared" si="8"/>
        <v/>
      </c>
      <c r="Q151" s="68" t="str">
        <f>IF(C151="","",IF(ISERROR(
CAD_PROD!E151*G151),"",CAD_PROD!E151*G151))</f>
        <v/>
      </c>
      <c r="R151" s="68" t="str">
        <f>IF(C151="","",IF(ISERROR(
CAD_PROD!E151*D151),"",CAD_PROD!E151*D151))</f>
        <v/>
      </c>
      <c r="S151" s="44" t="str">
        <f>IF(C151="","",IF(CAD_PROD!E151&gt;=P151,"Sim","Não"))</f>
        <v/>
      </c>
    </row>
    <row r="152" spans="1:19" ht="30" customHeight="1">
      <c r="A152" s="52">
        <f t="shared" si="6"/>
        <v>0</v>
      </c>
      <c r="B152" s="52">
        <f t="shared" si="7"/>
        <v>0</v>
      </c>
      <c r="C152" s="96" t="str">
        <f>IF(CAD_PROD!C152="","",CAD_PROD!C152)</f>
        <v/>
      </c>
      <c r="D152" s="75"/>
      <c r="E152" s="125"/>
      <c r="F152" s="125"/>
      <c r="G152" s="75"/>
      <c r="H152" s="75" t="str">
        <f>IF(C152="","",D152+CAD_PROD!D152*(E152+F152)+G152)</f>
        <v/>
      </c>
      <c r="I152" s="52">
        <v>9.9999999999999995E-7</v>
      </c>
      <c r="J152" s="68" t="str">
        <f>IF(ISERROR(
CAD_PROD!F152*E152),"",CAD_PROD!F152*E152)</f>
        <v/>
      </c>
      <c r="K152" s="68" t="str">
        <f>IF(ISERROR(
CAD_PROD!F152*F152),"",CAD_PROD!F152*F152)</f>
        <v/>
      </c>
      <c r="L152" s="68" t="str">
        <f>IF(ISERROR(
CAD_PROD!D152-H152),"",CAD_PROD!D152-H152)</f>
        <v/>
      </c>
      <c r="M152" s="57" t="str">
        <f>IF(ISERROR(
L152/CAD_PROD!D152),"",L152/CAD_PROD!D152)</f>
        <v/>
      </c>
      <c r="N152" s="68" t="str">
        <f>IF(ISERROR(
(P152*CAD_PROD!D152)),"",(P152*CAD_PROD!D152))</f>
        <v/>
      </c>
      <c r="O152" s="68" t="str">
        <f>IF(ISERROR(PE_GERAL!$J$7*CAD_PROD!G152),"",PE_GERAL!$J$7*CAD_PROD!G152)</f>
        <v/>
      </c>
      <c r="P152" s="101" t="str">
        <f t="shared" si="8"/>
        <v/>
      </c>
      <c r="Q152" s="68" t="str">
        <f>IF(C152="","",IF(ISERROR(
CAD_PROD!E152*G152),"",CAD_PROD!E152*G152))</f>
        <v/>
      </c>
      <c r="R152" s="68" t="str">
        <f>IF(C152="","",IF(ISERROR(
CAD_PROD!E152*D152),"",CAD_PROD!E152*D152))</f>
        <v/>
      </c>
      <c r="S152" s="44" t="str">
        <f>IF(C152="","",IF(CAD_PROD!E152&gt;=P152,"Sim","Não"))</f>
        <v/>
      </c>
    </row>
    <row r="153" spans="1:19" ht="30" customHeight="1">
      <c r="A153" s="52">
        <f t="shared" si="6"/>
        <v>0</v>
      </c>
      <c r="B153" s="52">
        <f t="shared" si="7"/>
        <v>0</v>
      </c>
      <c r="C153" s="96" t="str">
        <f>IF(CAD_PROD!C153="","",CAD_PROD!C153)</f>
        <v/>
      </c>
      <c r="D153" s="75"/>
      <c r="E153" s="125"/>
      <c r="F153" s="125"/>
      <c r="G153" s="75"/>
      <c r="H153" s="75" t="str">
        <f>IF(C153="","",D153+CAD_PROD!D153*(E153+F153)+G153)</f>
        <v/>
      </c>
      <c r="I153" s="52">
        <v>9.9999999999999995E-7</v>
      </c>
      <c r="J153" s="68" t="str">
        <f>IF(ISERROR(
CAD_PROD!F153*E153),"",CAD_PROD!F153*E153)</f>
        <v/>
      </c>
      <c r="K153" s="68" t="str">
        <f>IF(ISERROR(
CAD_PROD!F153*F153),"",CAD_PROD!F153*F153)</f>
        <v/>
      </c>
      <c r="L153" s="68" t="str">
        <f>IF(ISERROR(
CAD_PROD!D153-H153),"",CAD_PROD!D153-H153)</f>
        <v/>
      </c>
      <c r="M153" s="57" t="str">
        <f>IF(ISERROR(
L153/CAD_PROD!D153),"",L153/CAD_PROD!D153)</f>
        <v/>
      </c>
      <c r="N153" s="68" t="str">
        <f>IF(ISERROR(
(P153*CAD_PROD!D153)),"",(P153*CAD_PROD!D153))</f>
        <v/>
      </c>
      <c r="O153" s="68" t="str">
        <f>IF(ISERROR(PE_GERAL!$J$7*CAD_PROD!G153),"",PE_GERAL!$J$7*CAD_PROD!G153)</f>
        <v/>
      </c>
      <c r="P153" s="101" t="str">
        <f t="shared" si="8"/>
        <v/>
      </c>
      <c r="Q153" s="68" t="str">
        <f>IF(C153="","",IF(ISERROR(
CAD_PROD!E153*G153),"",CAD_PROD!E153*G153))</f>
        <v/>
      </c>
      <c r="R153" s="68" t="str">
        <f>IF(C153="","",IF(ISERROR(
CAD_PROD!E153*D153),"",CAD_PROD!E153*D153))</f>
        <v/>
      </c>
      <c r="S153" s="44" t="str">
        <f>IF(C153="","",IF(CAD_PROD!E153&gt;=P153,"Sim","Não"))</f>
        <v/>
      </c>
    </row>
    <row r="154" spans="1:19" ht="30" customHeight="1">
      <c r="A154" s="52">
        <f t="shared" si="6"/>
        <v>0</v>
      </c>
      <c r="B154" s="52">
        <f t="shared" si="7"/>
        <v>0</v>
      </c>
      <c r="C154" s="96" t="str">
        <f>IF(CAD_PROD!C154="","",CAD_PROD!C154)</f>
        <v/>
      </c>
      <c r="D154" s="75"/>
      <c r="E154" s="125"/>
      <c r="F154" s="125"/>
      <c r="G154" s="75"/>
      <c r="H154" s="75" t="str">
        <f>IF(C154="","",D154+CAD_PROD!D154*(E154+F154)+G154)</f>
        <v/>
      </c>
      <c r="I154" s="52">
        <v>9.9999999999999995E-7</v>
      </c>
      <c r="J154" s="68" t="str">
        <f>IF(ISERROR(
CAD_PROD!F154*E154),"",CAD_PROD!F154*E154)</f>
        <v/>
      </c>
      <c r="K154" s="68" t="str">
        <f>IF(ISERROR(
CAD_PROD!F154*F154),"",CAD_PROD!F154*F154)</f>
        <v/>
      </c>
      <c r="L154" s="68" t="str">
        <f>IF(ISERROR(
CAD_PROD!D154-H154),"",CAD_PROD!D154-H154)</f>
        <v/>
      </c>
      <c r="M154" s="57" t="str">
        <f>IF(ISERROR(
L154/CAD_PROD!D154),"",L154/CAD_PROD!D154)</f>
        <v/>
      </c>
      <c r="N154" s="68" t="str">
        <f>IF(ISERROR(
(P154*CAD_PROD!D154)),"",(P154*CAD_PROD!D154))</f>
        <v/>
      </c>
      <c r="O154" s="68" t="str">
        <f>IF(ISERROR(PE_GERAL!$J$7*CAD_PROD!G154),"",PE_GERAL!$J$7*CAD_PROD!G154)</f>
        <v/>
      </c>
      <c r="P154" s="101" t="str">
        <f t="shared" si="8"/>
        <v/>
      </c>
      <c r="Q154" s="68" t="str">
        <f>IF(C154="","",IF(ISERROR(
CAD_PROD!E154*G154),"",CAD_PROD!E154*G154))</f>
        <v/>
      </c>
      <c r="R154" s="68" t="str">
        <f>IF(C154="","",IF(ISERROR(
CAD_PROD!E154*D154),"",CAD_PROD!E154*D154))</f>
        <v/>
      </c>
      <c r="S154" s="44" t="str">
        <f>IF(C154="","",IF(CAD_PROD!E154&gt;=P154,"Sim","Não"))</f>
        <v/>
      </c>
    </row>
    <row r="155" spans="1:19" ht="30" customHeight="1">
      <c r="A155" s="52">
        <f t="shared" si="6"/>
        <v>0</v>
      </c>
      <c r="B155" s="52">
        <f t="shared" si="7"/>
        <v>0</v>
      </c>
      <c r="C155" s="96" t="str">
        <f>IF(CAD_PROD!C155="","",CAD_PROD!C155)</f>
        <v/>
      </c>
      <c r="D155" s="75"/>
      <c r="E155" s="125"/>
      <c r="F155" s="125"/>
      <c r="G155" s="75"/>
      <c r="H155" s="75" t="str">
        <f>IF(C155="","",D155+CAD_PROD!D155*(E155+F155)+G155)</f>
        <v/>
      </c>
      <c r="I155" s="52">
        <v>9.9999999999999995E-7</v>
      </c>
      <c r="J155" s="68" t="str">
        <f>IF(ISERROR(
CAD_PROD!F155*E155),"",CAD_PROD!F155*E155)</f>
        <v/>
      </c>
      <c r="K155" s="68" t="str">
        <f>IF(ISERROR(
CAD_PROD!F155*F155),"",CAD_PROD!F155*F155)</f>
        <v/>
      </c>
      <c r="L155" s="68" t="str">
        <f>IF(ISERROR(
CAD_PROD!D155-H155),"",CAD_PROD!D155-H155)</f>
        <v/>
      </c>
      <c r="M155" s="57" t="str">
        <f>IF(ISERROR(
L155/CAD_PROD!D155),"",L155/CAD_PROD!D155)</f>
        <v/>
      </c>
      <c r="N155" s="68" t="str">
        <f>IF(ISERROR(
(P155*CAD_PROD!D155)),"",(P155*CAD_PROD!D155))</f>
        <v/>
      </c>
      <c r="O155" s="68" t="str">
        <f>IF(ISERROR(PE_GERAL!$J$7*CAD_PROD!G155),"",PE_GERAL!$J$7*CAD_PROD!G155)</f>
        <v/>
      </c>
      <c r="P155" s="101" t="str">
        <f t="shared" si="8"/>
        <v/>
      </c>
      <c r="Q155" s="68" t="str">
        <f>IF(C155="","",IF(ISERROR(
CAD_PROD!E155*G155),"",CAD_PROD!E155*G155))</f>
        <v/>
      </c>
      <c r="R155" s="68" t="str">
        <f>IF(C155="","",IF(ISERROR(
CAD_PROD!E155*D155),"",CAD_PROD!E155*D155))</f>
        <v/>
      </c>
      <c r="S155" s="44" t="str">
        <f>IF(C155="","",IF(CAD_PROD!E155&gt;=P155,"Sim","Não"))</f>
        <v/>
      </c>
    </row>
    <row r="156" spans="1:19" ht="30" customHeight="1">
      <c r="A156" s="52">
        <f t="shared" si="6"/>
        <v>0</v>
      </c>
      <c r="B156" s="52">
        <f t="shared" si="7"/>
        <v>0</v>
      </c>
      <c r="C156" s="96" t="str">
        <f>IF(CAD_PROD!C156="","",CAD_PROD!C156)</f>
        <v/>
      </c>
      <c r="D156" s="75"/>
      <c r="E156" s="125"/>
      <c r="F156" s="125"/>
      <c r="G156" s="75"/>
      <c r="H156" s="75" t="str">
        <f>IF(C156="","",D156+CAD_PROD!D156*(E156+F156)+G156)</f>
        <v/>
      </c>
      <c r="I156" s="52">
        <v>9.9999999999999995E-7</v>
      </c>
      <c r="J156" s="68" t="str">
        <f>IF(ISERROR(
CAD_PROD!F156*E156),"",CAD_PROD!F156*E156)</f>
        <v/>
      </c>
      <c r="K156" s="68" t="str">
        <f>IF(ISERROR(
CAD_PROD!F156*F156),"",CAD_PROD!F156*F156)</f>
        <v/>
      </c>
      <c r="L156" s="68" t="str">
        <f>IF(ISERROR(
CAD_PROD!D156-H156),"",CAD_PROD!D156-H156)</f>
        <v/>
      </c>
      <c r="M156" s="57" t="str">
        <f>IF(ISERROR(
L156/CAD_PROD!D156),"",L156/CAD_PROD!D156)</f>
        <v/>
      </c>
      <c r="N156" s="68" t="str">
        <f>IF(ISERROR(
(P156*CAD_PROD!D156)),"",(P156*CAD_PROD!D156))</f>
        <v/>
      </c>
      <c r="O156" s="68" t="str">
        <f>IF(ISERROR(PE_GERAL!$J$7*CAD_PROD!G156),"",PE_GERAL!$J$7*CAD_PROD!G156)</f>
        <v/>
      </c>
      <c r="P156" s="101" t="str">
        <f t="shared" si="8"/>
        <v/>
      </c>
      <c r="Q156" s="68" t="str">
        <f>IF(C156="","",IF(ISERROR(
CAD_PROD!E156*G156),"",CAD_PROD!E156*G156))</f>
        <v/>
      </c>
      <c r="R156" s="68" t="str">
        <f>IF(C156="","",IF(ISERROR(
CAD_PROD!E156*D156),"",CAD_PROD!E156*D156))</f>
        <v/>
      </c>
      <c r="S156" s="44" t="str">
        <f>IF(C156="","",IF(CAD_PROD!E156&gt;=P156,"Sim","Não"))</f>
        <v/>
      </c>
    </row>
    <row r="157" spans="1:19" ht="30" customHeight="1">
      <c r="A157" s="52">
        <f t="shared" si="6"/>
        <v>0</v>
      </c>
      <c r="B157" s="52">
        <f t="shared" si="7"/>
        <v>0</v>
      </c>
      <c r="C157" s="96" t="str">
        <f>IF(CAD_PROD!C157="","",CAD_PROD!C157)</f>
        <v/>
      </c>
      <c r="D157" s="75"/>
      <c r="E157" s="125"/>
      <c r="F157" s="125"/>
      <c r="G157" s="75"/>
      <c r="H157" s="75" t="str">
        <f>IF(C157="","",D157+CAD_PROD!D157*(E157+F157)+G157)</f>
        <v/>
      </c>
      <c r="I157" s="52">
        <v>9.9999999999999995E-7</v>
      </c>
      <c r="J157" s="68" t="str">
        <f>IF(ISERROR(
CAD_PROD!F157*E157),"",CAD_PROD!F157*E157)</f>
        <v/>
      </c>
      <c r="K157" s="68" t="str">
        <f>IF(ISERROR(
CAD_PROD!F157*F157),"",CAD_PROD!F157*F157)</f>
        <v/>
      </c>
      <c r="L157" s="68" t="str">
        <f>IF(ISERROR(
CAD_PROD!D157-H157),"",CAD_PROD!D157-H157)</f>
        <v/>
      </c>
      <c r="M157" s="57" t="str">
        <f>IF(ISERROR(
L157/CAD_PROD!D157),"",L157/CAD_PROD!D157)</f>
        <v/>
      </c>
      <c r="N157" s="68" t="str">
        <f>IF(ISERROR(
(P157*CAD_PROD!D157)),"",(P157*CAD_PROD!D157))</f>
        <v/>
      </c>
      <c r="O157" s="68" t="str">
        <f>IF(ISERROR(PE_GERAL!$J$7*CAD_PROD!G157),"",PE_GERAL!$J$7*CAD_PROD!G157)</f>
        <v/>
      </c>
      <c r="P157" s="101" t="str">
        <f t="shared" si="8"/>
        <v/>
      </c>
      <c r="Q157" s="68" t="str">
        <f>IF(C157="","",IF(ISERROR(
CAD_PROD!E157*G157),"",CAD_PROD!E157*G157))</f>
        <v/>
      </c>
      <c r="R157" s="68" t="str">
        <f>IF(C157="","",IF(ISERROR(
CAD_PROD!E157*D157),"",CAD_PROD!E157*D157))</f>
        <v/>
      </c>
      <c r="S157" s="44" t="str">
        <f>IF(C157="","",IF(CAD_PROD!E157&gt;=P157,"Sim","Não"))</f>
        <v/>
      </c>
    </row>
    <row r="158" spans="1:19" ht="30" customHeight="1">
      <c r="A158" s="52">
        <f t="shared" si="6"/>
        <v>0</v>
      </c>
      <c r="B158" s="52">
        <f t="shared" si="7"/>
        <v>0</v>
      </c>
      <c r="C158" s="96" t="str">
        <f>IF(CAD_PROD!C158="","",CAD_PROD!C158)</f>
        <v/>
      </c>
      <c r="D158" s="75"/>
      <c r="E158" s="125"/>
      <c r="F158" s="125"/>
      <c r="G158" s="75"/>
      <c r="H158" s="75" t="str">
        <f>IF(C158="","",D158+CAD_PROD!D158*(E158+F158)+G158)</f>
        <v/>
      </c>
      <c r="I158" s="52">
        <v>9.9999999999999995E-7</v>
      </c>
      <c r="J158" s="68" t="str">
        <f>IF(ISERROR(
CAD_PROD!F158*E158),"",CAD_PROD!F158*E158)</f>
        <v/>
      </c>
      <c r="K158" s="68" t="str">
        <f>IF(ISERROR(
CAD_PROD!F158*F158),"",CAD_PROD!F158*F158)</f>
        <v/>
      </c>
      <c r="L158" s="68" t="str">
        <f>IF(ISERROR(
CAD_PROD!D158-H158),"",CAD_PROD!D158-H158)</f>
        <v/>
      </c>
      <c r="M158" s="57" t="str">
        <f>IF(ISERROR(
L158/CAD_PROD!D158),"",L158/CAD_PROD!D158)</f>
        <v/>
      </c>
      <c r="N158" s="68" t="str">
        <f>IF(ISERROR(
(P158*CAD_PROD!D158)),"",(P158*CAD_PROD!D158))</f>
        <v/>
      </c>
      <c r="O158" s="68" t="str">
        <f>IF(ISERROR(PE_GERAL!$J$7*CAD_PROD!G158),"",PE_GERAL!$J$7*CAD_PROD!G158)</f>
        <v/>
      </c>
      <c r="P158" s="101" t="str">
        <f t="shared" si="8"/>
        <v/>
      </c>
      <c r="Q158" s="68" t="str">
        <f>IF(C158="","",IF(ISERROR(
CAD_PROD!E158*G158),"",CAD_PROD!E158*G158))</f>
        <v/>
      </c>
      <c r="R158" s="68" t="str">
        <f>IF(C158="","",IF(ISERROR(
CAD_PROD!E158*D158),"",CAD_PROD!E158*D158))</f>
        <v/>
      </c>
      <c r="S158" s="44" t="str">
        <f>IF(C158="","",IF(CAD_PROD!E158&gt;=P158,"Sim","Não"))</f>
        <v/>
      </c>
    </row>
    <row r="159" spans="1:19" ht="30" customHeight="1">
      <c r="A159" s="52">
        <f t="shared" si="6"/>
        <v>0</v>
      </c>
      <c r="B159" s="52">
        <f t="shared" si="7"/>
        <v>0</v>
      </c>
      <c r="C159" s="96" t="str">
        <f>IF(CAD_PROD!C159="","",CAD_PROD!C159)</f>
        <v/>
      </c>
      <c r="D159" s="75"/>
      <c r="E159" s="125"/>
      <c r="F159" s="125"/>
      <c r="G159" s="75"/>
      <c r="H159" s="75" t="str">
        <f>IF(C159="","",D159+CAD_PROD!D159*(E159+F159)+G159)</f>
        <v/>
      </c>
      <c r="I159" s="52">
        <v>9.9999999999999995E-7</v>
      </c>
      <c r="J159" s="68" t="str">
        <f>IF(ISERROR(
CAD_PROD!F159*E159),"",CAD_PROD!F159*E159)</f>
        <v/>
      </c>
      <c r="K159" s="68" t="str">
        <f>IF(ISERROR(
CAD_PROD!F159*F159),"",CAD_PROD!F159*F159)</f>
        <v/>
      </c>
      <c r="L159" s="68" t="str">
        <f>IF(ISERROR(
CAD_PROD!D159-H159),"",CAD_PROD!D159-H159)</f>
        <v/>
      </c>
      <c r="M159" s="57" t="str">
        <f>IF(ISERROR(
L159/CAD_PROD!D159),"",L159/CAD_PROD!D159)</f>
        <v/>
      </c>
      <c r="N159" s="68" t="str">
        <f>IF(ISERROR(
(P159*CAD_PROD!D159)),"",(P159*CAD_PROD!D159))</f>
        <v/>
      </c>
      <c r="O159" s="68" t="str">
        <f>IF(ISERROR(PE_GERAL!$J$7*CAD_PROD!G159),"",PE_GERAL!$J$7*CAD_PROD!G159)</f>
        <v/>
      </c>
      <c r="P159" s="101" t="str">
        <f t="shared" si="8"/>
        <v/>
      </c>
      <c r="Q159" s="68" t="str">
        <f>IF(C159="","",IF(ISERROR(
CAD_PROD!E159*G159),"",CAD_PROD!E159*G159))</f>
        <v/>
      </c>
      <c r="R159" s="68" t="str">
        <f>IF(C159="","",IF(ISERROR(
CAD_PROD!E159*D159),"",CAD_PROD!E159*D159))</f>
        <v/>
      </c>
      <c r="S159" s="44" t="str">
        <f>IF(C159="","",IF(CAD_PROD!E159&gt;=P159,"Sim","Não"))</f>
        <v/>
      </c>
    </row>
    <row r="160" spans="1:19" ht="30" customHeight="1">
      <c r="A160" s="52">
        <f t="shared" si="6"/>
        <v>0</v>
      </c>
      <c r="B160" s="52">
        <f t="shared" si="7"/>
        <v>0</v>
      </c>
      <c r="C160" s="96" t="str">
        <f>IF(CAD_PROD!C160="","",CAD_PROD!C160)</f>
        <v/>
      </c>
      <c r="D160" s="75"/>
      <c r="E160" s="125"/>
      <c r="F160" s="125"/>
      <c r="G160" s="75"/>
      <c r="H160" s="75" t="str">
        <f>IF(C160="","",D160+CAD_PROD!D160*(E160+F160)+G160)</f>
        <v/>
      </c>
      <c r="I160" s="52">
        <v>9.9999999999999995E-7</v>
      </c>
      <c r="J160" s="68" t="str">
        <f>IF(ISERROR(
CAD_PROD!F160*E160),"",CAD_PROD!F160*E160)</f>
        <v/>
      </c>
      <c r="K160" s="68" t="str">
        <f>IF(ISERROR(
CAD_PROD!F160*F160),"",CAD_PROD!F160*F160)</f>
        <v/>
      </c>
      <c r="L160" s="68" t="str">
        <f>IF(ISERROR(
CAD_PROD!D160-H160),"",CAD_PROD!D160-H160)</f>
        <v/>
      </c>
      <c r="M160" s="57" t="str">
        <f>IF(ISERROR(
L160/CAD_PROD!D160),"",L160/CAD_PROD!D160)</f>
        <v/>
      </c>
      <c r="N160" s="68" t="str">
        <f>IF(ISERROR(
(P160*CAD_PROD!D160)),"",(P160*CAD_PROD!D160))</f>
        <v/>
      </c>
      <c r="O160" s="68" t="str">
        <f>IF(ISERROR(PE_GERAL!$J$7*CAD_PROD!G160),"",PE_GERAL!$J$7*CAD_PROD!G160)</f>
        <v/>
      </c>
      <c r="P160" s="101" t="str">
        <f t="shared" si="8"/>
        <v/>
      </c>
      <c r="Q160" s="68" t="str">
        <f>IF(C160="","",IF(ISERROR(
CAD_PROD!E160*G160),"",CAD_PROD!E160*G160))</f>
        <v/>
      </c>
      <c r="R160" s="68" t="str">
        <f>IF(C160="","",IF(ISERROR(
CAD_PROD!E160*D160),"",CAD_PROD!E160*D160))</f>
        <v/>
      </c>
      <c r="S160" s="44" t="str">
        <f>IF(C160="","",IF(CAD_PROD!E160&gt;=P160,"Sim","Não"))</f>
        <v/>
      </c>
    </row>
    <row r="161" spans="1:19" ht="30" customHeight="1">
      <c r="A161" s="52">
        <f t="shared" si="6"/>
        <v>0</v>
      </c>
      <c r="B161" s="52">
        <f t="shared" si="7"/>
        <v>0</v>
      </c>
      <c r="C161" s="96" t="str">
        <f>IF(CAD_PROD!C161="","",CAD_PROD!C161)</f>
        <v/>
      </c>
      <c r="D161" s="75"/>
      <c r="E161" s="125"/>
      <c r="F161" s="125"/>
      <c r="G161" s="75"/>
      <c r="H161" s="75" t="str">
        <f>IF(C161="","",D161+CAD_PROD!D161*(E161+F161)+G161)</f>
        <v/>
      </c>
      <c r="I161" s="52">
        <v>9.9999999999999995E-7</v>
      </c>
      <c r="J161" s="68" t="str">
        <f>IF(ISERROR(
CAD_PROD!F161*E161),"",CAD_PROD!F161*E161)</f>
        <v/>
      </c>
      <c r="K161" s="68" t="str">
        <f>IF(ISERROR(
CAD_PROD!F161*F161),"",CAD_PROD!F161*F161)</f>
        <v/>
      </c>
      <c r="L161" s="68" t="str">
        <f>IF(ISERROR(
CAD_PROD!D161-H161),"",CAD_PROD!D161-H161)</f>
        <v/>
      </c>
      <c r="M161" s="57" t="str">
        <f>IF(ISERROR(
L161/CAD_PROD!D161),"",L161/CAD_PROD!D161)</f>
        <v/>
      </c>
      <c r="N161" s="68" t="str">
        <f>IF(ISERROR(
(P161*CAD_PROD!D161)),"",(P161*CAD_PROD!D161))</f>
        <v/>
      </c>
      <c r="O161" s="68" t="str">
        <f>IF(ISERROR(PE_GERAL!$J$7*CAD_PROD!G161),"",PE_GERAL!$J$7*CAD_PROD!G161)</f>
        <v/>
      </c>
      <c r="P161" s="101" t="str">
        <f t="shared" si="8"/>
        <v/>
      </c>
      <c r="Q161" s="68" t="str">
        <f>IF(C161="","",IF(ISERROR(
CAD_PROD!E161*G161),"",CAD_PROD!E161*G161))</f>
        <v/>
      </c>
      <c r="R161" s="68" t="str">
        <f>IF(C161="","",IF(ISERROR(
CAD_PROD!E161*D161),"",CAD_PROD!E161*D161))</f>
        <v/>
      </c>
      <c r="S161" s="44" t="str">
        <f>IF(C161="","",IF(CAD_PROD!E161&gt;=P161,"Sim","Não"))</f>
        <v/>
      </c>
    </row>
    <row r="162" spans="1:19" ht="30" customHeight="1">
      <c r="A162" s="52">
        <f t="shared" si="6"/>
        <v>0</v>
      </c>
      <c r="B162" s="52">
        <f t="shared" si="7"/>
        <v>0</v>
      </c>
      <c r="C162" s="96" t="str">
        <f>IF(CAD_PROD!C162="","",CAD_PROD!C162)</f>
        <v/>
      </c>
      <c r="D162" s="75"/>
      <c r="E162" s="125"/>
      <c r="F162" s="125"/>
      <c r="G162" s="75"/>
      <c r="H162" s="75" t="str">
        <f>IF(C162="","",D162+CAD_PROD!D162*(E162+F162)+G162)</f>
        <v/>
      </c>
      <c r="I162" s="52">
        <v>9.9999999999999995E-7</v>
      </c>
      <c r="J162" s="68" t="str">
        <f>IF(ISERROR(
CAD_PROD!F162*E162),"",CAD_PROD!F162*E162)</f>
        <v/>
      </c>
      <c r="K162" s="68" t="str">
        <f>IF(ISERROR(
CAD_PROD!F162*F162),"",CAD_PROD!F162*F162)</f>
        <v/>
      </c>
      <c r="L162" s="68" t="str">
        <f>IF(ISERROR(
CAD_PROD!D162-H162),"",CAD_PROD!D162-H162)</f>
        <v/>
      </c>
      <c r="M162" s="57" t="str">
        <f>IF(ISERROR(
L162/CAD_PROD!D162),"",L162/CAD_PROD!D162)</f>
        <v/>
      </c>
      <c r="N162" s="68" t="str">
        <f>IF(ISERROR(
(P162*CAD_PROD!D162)),"",(P162*CAD_PROD!D162))</f>
        <v/>
      </c>
      <c r="O162" s="68" t="str">
        <f>IF(ISERROR(PE_GERAL!$J$7*CAD_PROD!G162),"",PE_GERAL!$J$7*CAD_PROD!G162)</f>
        <v/>
      </c>
      <c r="P162" s="101" t="str">
        <f t="shared" si="8"/>
        <v/>
      </c>
      <c r="Q162" s="68" t="str">
        <f>IF(C162="","",IF(ISERROR(
CAD_PROD!E162*G162),"",CAD_PROD!E162*G162))</f>
        <v/>
      </c>
      <c r="R162" s="68" t="str">
        <f>IF(C162="","",IF(ISERROR(
CAD_PROD!E162*D162),"",CAD_PROD!E162*D162))</f>
        <v/>
      </c>
      <c r="S162" s="44" t="str">
        <f>IF(C162="","",IF(CAD_PROD!E162&gt;=P162,"Sim","Não"))</f>
        <v/>
      </c>
    </row>
    <row r="163" spans="1:19" ht="30" customHeight="1">
      <c r="A163" s="52">
        <f t="shared" si="6"/>
        <v>0</v>
      </c>
      <c r="B163" s="52">
        <f t="shared" si="7"/>
        <v>0</v>
      </c>
      <c r="C163" s="96" t="str">
        <f>IF(CAD_PROD!C163="","",CAD_PROD!C163)</f>
        <v/>
      </c>
      <c r="D163" s="75"/>
      <c r="E163" s="125"/>
      <c r="F163" s="125"/>
      <c r="G163" s="75"/>
      <c r="H163" s="75" t="str">
        <f>IF(C163="","",D163+CAD_PROD!D163*(E163+F163)+G163)</f>
        <v/>
      </c>
      <c r="I163" s="52">
        <v>9.9999999999999995E-7</v>
      </c>
      <c r="J163" s="68" t="str">
        <f>IF(ISERROR(
CAD_PROD!F163*E163),"",CAD_PROD!F163*E163)</f>
        <v/>
      </c>
      <c r="K163" s="68" t="str">
        <f>IF(ISERROR(
CAD_PROD!F163*F163),"",CAD_PROD!F163*F163)</f>
        <v/>
      </c>
      <c r="L163" s="68" t="str">
        <f>IF(ISERROR(
CAD_PROD!D163-H163),"",CAD_PROD!D163-H163)</f>
        <v/>
      </c>
      <c r="M163" s="57" t="str">
        <f>IF(ISERROR(
L163/CAD_PROD!D163),"",L163/CAD_PROD!D163)</f>
        <v/>
      </c>
      <c r="N163" s="68" t="str">
        <f>IF(ISERROR(
(P163*CAD_PROD!D163)),"",(P163*CAD_PROD!D163))</f>
        <v/>
      </c>
      <c r="O163" s="68" t="str">
        <f>IF(ISERROR(PE_GERAL!$J$7*CAD_PROD!G163),"",PE_GERAL!$J$7*CAD_PROD!G163)</f>
        <v/>
      </c>
      <c r="P163" s="101" t="str">
        <f t="shared" si="8"/>
        <v/>
      </c>
      <c r="Q163" s="68" t="str">
        <f>IF(C163="","",IF(ISERROR(
CAD_PROD!E163*G163),"",CAD_PROD!E163*G163))</f>
        <v/>
      </c>
      <c r="R163" s="68" t="str">
        <f>IF(C163="","",IF(ISERROR(
CAD_PROD!E163*D163),"",CAD_PROD!E163*D163))</f>
        <v/>
      </c>
      <c r="S163" s="44" t="str">
        <f>IF(C163="","",IF(CAD_PROD!E163&gt;=P163,"Sim","Não"))</f>
        <v/>
      </c>
    </row>
    <row r="164" spans="1:19" ht="30" customHeight="1">
      <c r="A164" s="52">
        <f t="shared" si="6"/>
        <v>0</v>
      </c>
      <c r="B164" s="52">
        <f t="shared" si="7"/>
        <v>0</v>
      </c>
      <c r="C164" s="96" t="str">
        <f>IF(CAD_PROD!C164="","",CAD_PROD!C164)</f>
        <v/>
      </c>
      <c r="D164" s="75"/>
      <c r="E164" s="125"/>
      <c r="F164" s="125"/>
      <c r="G164" s="75"/>
      <c r="H164" s="75" t="str">
        <f>IF(C164="","",D164+CAD_PROD!D164*(E164+F164)+G164)</f>
        <v/>
      </c>
      <c r="I164" s="52">
        <v>9.9999999999999995E-7</v>
      </c>
      <c r="J164" s="68" t="str">
        <f>IF(ISERROR(
CAD_PROD!F164*E164),"",CAD_PROD!F164*E164)</f>
        <v/>
      </c>
      <c r="K164" s="68" t="str">
        <f>IF(ISERROR(
CAD_PROD!F164*F164),"",CAD_PROD!F164*F164)</f>
        <v/>
      </c>
      <c r="L164" s="68" t="str">
        <f>IF(ISERROR(
CAD_PROD!D164-H164),"",CAD_PROD!D164-H164)</f>
        <v/>
      </c>
      <c r="M164" s="57" t="str">
        <f>IF(ISERROR(
L164/CAD_PROD!D164),"",L164/CAD_PROD!D164)</f>
        <v/>
      </c>
      <c r="N164" s="68" t="str">
        <f>IF(ISERROR(
(P164*CAD_PROD!D164)),"",(P164*CAD_PROD!D164))</f>
        <v/>
      </c>
      <c r="O164" s="68" t="str">
        <f>IF(ISERROR(PE_GERAL!$J$7*CAD_PROD!G164),"",PE_GERAL!$J$7*CAD_PROD!G164)</f>
        <v/>
      </c>
      <c r="P164" s="101" t="str">
        <f t="shared" si="8"/>
        <v/>
      </c>
      <c r="Q164" s="68" t="str">
        <f>IF(C164="","",IF(ISERROR(
CAD_PROD!E164*G164),"",CAD_PROD!E164*G164))</f>
        <v/>
      </c>
      <c r="R164" s="68" t="str">
        <f>IF(C164="","",IF(ISERROR(
CAD_PROD!E164*D164),"",CAD_PROD!E164*D164))</f>
        <v/>
      </c>
      <c r="S164" s="44" t="str">
        <f>IF(C164="","",IF(CAD_PROD!E164&gt;=P164,"Sim","Não"))</f>
        <v/>
      </c>
    </row>
    <row r="165" spans="1:19" ht="30" customHeight="1">
      <c r="A165" s="52">
        <f t="shared" si="6"/>
        <v>0</v>
      </c>
      <c r="B165" s="52">
        <f t="shared" si="7"/>
        <v>0</v>
      </c>
      <c r="C165" s="96" t="str">
        <f>IF(CAD_PROD!C165="","",CAD_PROD!C165)</f>
        <v/>
      </c>
      <c r="D165" s="75"/>
      <c r="E165" s="125"/>
      <c r="F165" s="125"/>
      <c r="G165" s="75"/>
      <c r="H165" s="75" t="str">
        <f>IF(C165="","",D165+CAD_PROD!D165*(E165+F165)+G165)</f>
        <v/>
      </c>
      <c r="I165" s="52">
        <v>9.9999999999999995E-7</v>
      </c>
      <c r="J165" s="68" t="str">
        <f>IF(ISERROR(
CAD_PROD!F165*E165),"",CAD_PROD!F165*E165)</f>
        <v/>
      </c>
      <c r="K165" s="68" t="str">
        <f>IF(ISERROR(
CAD_PROD!F165*F165),"",CAD_PROD!F165*F165)</f>
        <v/>
      </c>
      <c r="L165" s="68" t="str">
        <f>IF(ISERROR(
CAD_PROD!D165-H165),"",CAD_PROD!D165-H165)</f>
        <v/>
      </c>
      <c r="M165" s="57" t="str">
        <f>IF(ISERROR(
L165/CAD_PROD!D165),"",L165/CAD_PROD!D165)</f>
        <v/>
      </c>
      <c r="N165" s="68" t="str">
        <f>IF(ISERROR(
(P165*CAD_PROD!D165)),"",(P165*CAD_PROD!D165))</f>
        <v/>
      </c>
      <c r="O165" s="68" t="str">
        <f>IF(ISERROR(PE_GERAL!$J$7*CAD_PROD!G165),"",PE_GERAL!$J$7*CAD_PROD!G165)</f>
        <v/>
      </c>
      <c r="P165" s="101" t="str">
        <f t="shared" si="8"/>
        <v/>
      </c>
      <c r="Q165" s="68" t="str">
        <f>IF(C165="","",IF(ISERROR(
CAD_PROD!E165*G165),"",CAD_PROD!E165*G165))</f>
        <v/>
      </c>
      <c r="R165" s="68" t="str">
        <f>IF(C165="","",IF(ISERROR(
CAD_PROD!E165*D165),"",CAD_PROD!E165*D165))</f>
        <v/>
      </c>
      <c r="S165" s="44" t="str">
        <f>IF(C165="","",IF(CAD_PROD!E165&gt;=P165,"Sim","Não"))</f>
        <v/>
      </c>
    </row>
    <row r="166" spans="1:19" ht="30" customHeight="1">
      <c r="A166" s="52">
        <f t="shared" si="6"/>
        <v>0</v>
      </c>
      <c r="B166" s="52">
        <f t="shared" si="7"/>
        <v>0</v>
      </c>
      <c r="C166" s="96" t="str">
        <f>IF(CAD_PROD!C166="","",CAD_PROD!C166)</f>
        <v/>
      </c>
      <c r="D166" s="75"/>
      <c r="E166" s="125"/>
      <c r="F166" s="125"/>
      <c r="G166" s="75"/>
      <c r="H166" s="75" t="str">
        <f>IF(C166="","",D166+CAD_PROD!D166*(E166+F166)+G166)</f>
        <v/>
      </c>
      <c r="I166" s="52">
        <v>9.9999999999999995E-7</v>
      </c>
      <c r="J166" s="68" t="str">
        <f>IF(ISERROR(
CAD_PROD!F166*E166),"",CAD_PROD!F166*E166)</f>
        <v/>
      </c>
      <c r="K166" s="68" t="str">
        <f>IF(ISERROR(
CAD_PROD!F166*F166),"",CAD_PROD!F166*F166)</f>
        <v/>
      </c>
      <c r="L166" s="68" t="str">
        <f>IF(ISERROR(
CAD_PROD!D166-H166),"",CAD_PROD!D166-H166)</f>
        <v/>
      </c>
      <c r="M166" s="57" t="str">
        <f>IF(ISERROR(
L166/CAD_PROD!D166),"",L166/CAD_PROD!D166)</f>
        <v/>
      </c>
      <c r="N166" s="68" t="str">
        <f>IF(ISERROR(
(P166*CAD_PROD!D166)),"",(P166*CAD_PROD!D166))</f>
        <v/>
      </c>
      <c r="O166" s="68" t="str">
        <f>IF(ISERROR(PE_GERAL!$J$7*CAD_PROD!G166),"",PE_GERAL!$J$7*CAD_PROD!G166)</f>
        <v/>
      </c>
      <c r="P166" s="101" t="str">
        <f t="shared" si="8"/>
        <v/>
      </c>
      <c r="Q166" s="68" t="str">
        <f>IF(C166="","",IF(ISERROR(
CAD_PROD!E166*G166),"",CAD_PROD!E166*G166))</f>
        <v/>
      </c>
      <c r="R166" s="68" t="str">
        <f>IF(C166="","",IF(ISERROR(
CAD_PROD!E166*D166),"",CAD_PROD!E166*D166))</f>
        <v/>
      </c>
      <c r="S166" s="44" t="str">
        <f>IF(C166="","",IF(CAD_PROD!E166&gt;=P166,"Sim","Não"))</f>
        <v/>
      </c>
    </row>
    <row r="167" spans="1:19" ht="30" customHeight="1">
      <c r="A167" s="52">
        <f t="shared" si="6"/>
        <v>0</v>
      </c>
      <c r="B167" s="52">
        <f t="shared" si="7"/>
        <v>0</v>
      </c>
      <c r="C167" s="96" t="str">
        <f>IF(CAD_PROD!C167="","",CAD_PROD!C167)</f>
        <v/>
      </c>
      <c r="D167" s="75"/>
      <c r="E167" s="125"/>
      <c r="F167" s="125"/>
      <c r="G167" s="75"/>
      <c r="H167" s="75" t="str">
        <f>IF(C167="","",D167+CAD_PROD!D167*(E167+F167)+G167)</f>
        <v/>
      </c>
      <c r="I167" s="52">
        <v>9.9999999999999995E-7</v>
      </c>
      <c r="J167" s="68" t="str">
        <f>IF(ISERROR(
CAD_PROD!F167*E167),"",CAD_PROD!F167*E167)</f>
        <v/>
      </c>
      <c r="K167" s="68" t="str">
        <f>IF(ISERROR(
CAD_PROD!F167*F167),"",CAD_PROD!F167*F167)</f>
        <v/>
      </c>
      <c r="L167" s="68" t="str">
        <f>IF(ISERROR(
CAD_PROD!D167-H167),"",CAD_PROD!D167-H167)</f>
        <v/>
      </c>
      <c r="M167" s="57" t="str">
        <f>IF(ISERROR(
L167/CAD_PROD!D167),"",L167/CAD_PROD!D167)</f>
        <v/>
      </c>
      <c r="N167" s="68" t="str">
        <f>IF(ISERROR(
(P167*CAD_PROD!D167)),"",(P167*CAD_PROD!D167))</f>
        <v/>
      </c>
      <c r="O167" s="68" t="str">
        <f>IF(ISERROR(PE_GERAL!$J$7*CAD_PROD!G167),"",PE_GERAL!$J$7*CAD_PROD!G167)</f>
        <v/>
      </c>
      <c r="P167" s="101" t="str">
        <f t="shared" si="8"/>
        <v/>
      </c>
      <c r="Q167" s="68" t="str">
        <f>IF(C167="","",IF(ISERROR(
CAD_PROD!E167*G167),"",CAD_PROD!E167*G167))</f>
        <v/>
      </c>
      <c r="R167" s="68" t="str">
        <f>IF(C167="","",IF(ISERROR(
CAD_PROD!E167*D167),"",CAD_PROD!E167*D167))</f>
        <v/>
      </c>
      <c r="S167" s="44" t="str">
        <f>IF(C167="","",IF(CAD_PROD!E167&gt;=P167,"Sim","Não"))</f>
        <v/>
      </c>
    </row>
    <row r="168" spans="1:19" ht="30" customHeight="1">
      <c r="A168" s="52">
        <f t="shared" si="6"/>
        <v>0</v>
      </c>
      <c r="B168" s="52">
        <f t="shared" si="7"/>
        <v>0</v>
      </c>
      <c r="C168" s="96" t="str">
        <f>IF(CAD_PROD!C168="","",CAD_PROD!C168)</f>
        <v/>
      </c>
      <c r="D168" s="75"/>
      <c r="E168" s="125"/>
      <c r="F168" s="125"/>
      <c r="G168" s="75"/>
      <c r="H168" s="75" t="str">
        <f>IF(C168="","",D168+CAD_PROD!D168*(E168+F168)+G168)</f>
        <v/>
      </c>
      <c r="I168" s="52">
        <v>9.9999999999999995E-7</v>
      </c>
      <c r="J168" s="68" t="str">
        <f>IF(ISERROR(
CAD_PROD!F168*E168),"",CAD_PROD!F168*E168)</f>
        <v/>
      </c>
      <c r="K168" s="68" t="str">
        <f>IF(ISERROR(
CAD_PROD!F168*F168),"",CAD_PROD!F168*F168)</f>
        <v/>
      </c>
      <c r="L168" s="68" t="str">
        <f>IF(ISERROR(
CAD_PROD!D168-H168),"",CAD_PROD!D168-H168)</f>
        <v/>
      </c>
      <c r="M168" s="57" t="str">
        <f>IF(ISERROR(
L168/CAD_PROD!D168),"",L168/CAD_PROD!D168)</f>
        <v/>
      </c>
      <c r="N168" s="68" t="str">
        <f>IF(ISERROR(
(P168*CAD_PROD!D168)),"",(P168*CAD_PROD!D168))</f>
        <v/>
      </c>
      <c r="O168" s="68" t="str">
        <f>IF(ISERROR(PE_GERAL!$J$7*CAD_PROD!G168),"",PE_GERAL!$J$7*CAD_PROD!G168)</f>
        <v/>
      </c>
      <c r="P168" s="101" t="str">
        <f t="shared" si="8"/>
        <v/>
      </c>
      <c r="Q168" s="68" t="str">
        <f>IF(C168="","",IF(ISERROR(
CAD_PROD!E168*G168),"",CAD_PROD!E168*G168))</f>
        <v/>
      </c>
      <c r="R168" s="68" t="str">
        <f>IF(C168="","",IF(ISERROR(
CAD_PROD!E168*D168),"",CAD_PROD!E168*D168))</f>
        <v/>
      </c>
      <c r="S168" s="44" t="str">
        <f>IF(C168="","",IF(CAD_PROD!E168&gt;=P168,"Sim","Não"))</f>
        <v/>
      </c>
    </row>
    <row r="169" spans="1:19" ht="30" customHeight="1">
      <c r="A169" s="52">
        <f t="shared" si="6"/>
        <v>0</v>
      </c>
      <c r="B169" s="52">
        <f t="shared" si="7"/>
        <v>0</v>
      </c>
      <c r="C169" s="96" t="str">
        <f>IF(CAD_PROD!C169="","",CAD_PROD!C169)</f>
        <v/>
      </c>
      <c r="D169" s="75"/>
      <c r="E169" s="125"/>
      <c r="F169" s="125"/>
      <c r="G169" s="75"/>
      <c r="H169" s="75" t="str">
        <f>IF(C169="","",D169+CAD_PROD!D169*(E169+F169)+G169)</f>
        <v/>
      </c>
      <c r="I169" s="52">
        <v>9.9999999999999995E-7</v>
      </c>
      <c r="J169" s="68" t="str">
        <f>IF(ISERROR(
CAD_PROD!F169*E169),"",CAD_PROD!F169*E169)</f>
        <v/>
      </c>
      <c r="K169" s="68" t="str">
        <f>IF(ISERROR(
CAD_PROD!F169*F169),"",CAD_PROD!F169*F169)</f>
        <v/>
      </c>
      <c r="L169" s="68" t="str">
        <f>IF(ISERROR(
CAD_PROD!D169-H169),"",CAD_PROD!D169-H169)</f>
        <v/>
      </c>
      <c r="M169" s="57" t="str">
        <f>IF(ISERROR(
L169/CAD_PROD!D169),"",L169/CAD_PROD!D169)</f>
        <v/>
      </c>
      <c r="N169" s="68" t="str">
        <f>IF(ISERROR(
(P169*CAD_PROD!D169)),"",(P169*CAD_PROD!D169))</f>
        <v/>
      </c>
      <c r="O169" s="68" t="str">
        <f>IF(ISERROR(PE_GERAL!$J$7*CAD_PROD!G169),"",PE_GERAL!$J$7*CAD_PROD!G169)</f>
        <v/>
      </c>
      <c r="P169" s="101" t="str">
        <f t="shared" si="8"/>
        <v/>
      </c>
      <c r="Q169" s="68" t="str">
        <f>IF(C169="","",IF(ISERROR(
CAD_PROD!E169*G169),"",CAD_PROD!E169*G169))</f>
        <v/>
      </c>
      <c r="R169" s="68" t="str">
        <f>IF(C169="","",IF(ISERROR(
CAD_PROD!E169*D169),"",CAD_PROD!E169*D169))</f>
        <v/>
      </c>
      <c r="S169" s="44" t="str">
        <f>IF(C169="","",IF(CAD_PROD!E169&gt;=P169,"Sim","Não"))</f>
        <v/>
      </c>
    </row>
    <row r="170" spans="1:19" ht="30" customHeight="1">
      <c r="A170" s="52">
        <f t="shared" si="6"/>
        <v>0</v>
      </c>
      <c r="B170" s="52">
        <f t="shared" si="7"/>
        <v>0</v>
      </c>
      <c r="C170" s="96" t="str">
        <f>IF(CAD_PROD!C170="","",CAD_PROD!C170)</f>
        <v/>
      </c>
      <c r="D170" s="75"/>
      <c r="E170" s="125"/>
      <c r="F170" s="125"/>
      <c r="G170" s="75"/>
      <c r="H170" s="75" t="str">
        <f>IF(C170="","",D170+CAD_PROD!D170*(E170+F170)+G170)</f>
        <v/>
      </c>
      <c r="I170" s="52">
        <v>9.9999999999999995E-7</v>
      </c>
      <c r="J170" s="68" t="str">
        <f>IF(ISERROR(
CAD_PROD!F170*E170),"",CAD_PROD!F170*E170)</f>
        <v/>
      </c>
      <c r="K170" s="68" t="str">
        <f>IF(ISERROR(
CAD_PROD!F170*F170),"",CAD_PROD!F170*F170)</f>
        <v/>
      </c>
      <c r="L170" s="68" t="str">
        <f>IF(ISERROR(
CAD_PROD!D170-H170),"",CAD_PROD!D170-H170)</f>
        <v/>
      </c>
      <c r="M170" s="57" t="str">
        <f>IF(ISERROR(
L170/CAD_PROD!D170),"",L170/CAD_PROD!D170)</f>
        <v/>
      </c>
      <c r="N170" s="68" t="str">
        <f>IF(ISERROR(
(P170*CAD_PROD!D170)),"",(P170*CAD_PROD!D170))</f>
        <v/>
      </c>
      <c r="O170" s="68" t="str">
        <f>IF(ISERROR(PE_GERAL!$J$7*CAD_PROD!G170),"",PE_GERAL!$J$7*CAD_PROD!G170)</f>
        <v/>
      </c>
      <c r="P170" s="101" t="str">
        <f t="shared" si="8"/>
        <v/>
      </c>
      <c r="Q170" s="68" t="str">
        <f>IF(C170="","",IF(ISERROR(
CAD_PROD!E170*G170),"",CAD_PROD!E170*G170))</f>
        <v/>
      </c>
      <c r="R170" s="68" t="str">
        <f>IF(C170="","",IF(ISERROR(
CAD_PROD!E170*D170),"",CAD_PROD!E170*D170))</f>
        <v/>
      </c>
      <c r="S170" s="44" t="str">
        <f>IF(C170="","",IF(CAD_PROD!E170&gt;=P170,"Sim","Não"))</f>
        <v/>
      </c>
    </row>
    <row r="171" spans="1:19" ht="30" customHeight="1">
      <c r="A171" s="52">
        <f t="shared" si="6"/>
        <v>0</v>
      </c>
      <c r="B171" s="52">
        <f t="shared" si="7"/>
        <v>0</v>
      </c>
      <c r="C171" s="96" t="str">
        <f>IF(CAD_PROD!C171="","",CAD_PROD!C171)</f>
        <v/>
      </c>
      <c r="D171" s="75"/>
      <c r="E171" s="125"/>
      <c r="F171" s="125"/>
      <c r="G171" s="75"/>
      <c r="H171" s="75" t="str">
        <f>IF(C171="","",D171+CAD_PROD!D171*(E171+F171)+G171)</f>
        <v/>
      </c>
      <c r="I171" s="52">
        <v>9.9999999999999995E-7</v>
      </c>
      <c r="J171" s="68" t="str">
        <f>IF(ISERROR(
CAD_PROD!F171*E171),"",CAD_PROD!F171*E171)</f>
        <v/>
      </c>
      <c r="K171" s="68" t="str">
        <f>IF(ISERROR(
CAD_PROD!F171*F171),"",CAD_PROD!F171*F171)</f>
        <v/>
      </c>
      <c r="L171" s="68" t="str">
        <f>IF(ISERROR(
CAD_PROD!D171-H171),"",CAD_PROD!D171-H171)</f>
        <v/>
      </c>
      <c r="M171" s="57" t="str">
        <f>IF(ISERROR(
L171/CAD_PROD!D171),"",L171/CAD_PROD!D171)</f>
        <v/>
      </c>
      <c r="N171" s="68" t="str">
        <f>IF(ISERROR(
(P171*CAD_PROD!D171)),"",(P171*CAD_PROD!D171))</f>
        <v/>
      </c>
      <c r="O171" s="68" t="str">
        <f>IF(ISERROR(PE_GERAL!$J$7*CAD_PROD!G171),"",PE_GERAL!$J$7*CAD_PROD!G171)</f>
        <v/>
      </c>
      <c r="P171" s="101" t="str">
        <f t="shared" si="8"/>
        <v/>
      </c>
      <c r="Q171" s="68" t="str">
        <f>IF(C171="","",IF(ISERROR(
CAD_PROD!E171*G171),"",CAD_PROD!E171*G171))</f>
        <v/>
      </c>
      <c r="R171" s="68" t="str">
        <f>IF(C171="","",IF(ISERROR(
CAD_PROD!E171*D171),"",CAD_PROD!E171*D171))</f>
        <v/>
      </c>
      <c r="S171" s="44" t="str">
        <f>IF(C171="","",IF(CAD_PROD!E171&gt;=P171,"Sim","Não"))</f>
        <v/>
      </c>
    </row>
    <row r="172" spans="1:19" ht="30" customHeight="1">
      <c r="A172" s="52">
        <f t="shared" si="6"/>
        <v>0</v>
      </c>
      <c r="B172" s="52">
        <f t="shared" si="7"/>
        <v>0</v>
      </c>
      <c r="C172" s="96" t="str">
        <f>IF(CAD_PROD!C172="","",CAD_PROD!C172)</f>
        <v/>
      </c>
      <c r="D172" s="75"/>
      <c r="E172" s="125"/>
      <c r="F172" s="125"/>
      <c r="G172" s="75"/>
      <c r="H172" s="75" t="str">
        <f>IF(C172="","",D172+CAD_PROD!D172*(E172+F172)+G172)</f>
        <v/>
      </c>
      <c r="I172" s="52">
        <v>9.9999999999999995E-7</v>
      </c>
      <c r="J172" s="68" t="str">
        <f>IF(ISERROR(
CAD_PROD!F172*E172),"",CAD_PROD!F172*E172)</f>
        <v/>
      </c>
      <c r="K172" s="68" t="str">
        <f>IF(ISERROR(
CAD_PROD!F172*F172),"",CAD_PROD!F172*F172)</f>
        <v/>
      </c>
      <c r="L172" s="68" t="str">
        <f>IF(ISERROR(
CAD_PROD!D172-H172),"",CAD_PROD!D172-H172)</f>
        <v/>
      </c>
      <c r="M172" s="57" t="str">
        <f>IF(ISERROR(
L172/CAD_PROD!D172),"",L172/CAD_PROD!D172)</f>
        <v/>
      </c>
      <c r="N172" s="68" t="str">
        <f>IF(ISERROR(
(P172*CAD_PROD!D172)),"",(P172*CAD_PROD!D172))</f>
        <v/>
      </c>
      <c r="O172" s="68" t="str">
        <f>IF(ISERROR(PE_GERAL!$J$7*CAD_PROD!G172),"",PE_GERAL!$J$7*CAD_PROD!G172)</f>
        <v/>
      </c>
      <c r="P172" s="101" t="str">
        <f t="shared" si="8"/>
        <v/>
      </c>
      <c r="Q172" s="68" t="str">
        <f>IF(C172="","",IF(ISERROR(
CAD_PROD!E172*G172),"",CAD_PROD!E172*G172))</f>
        <v/>
      </c>
      <c r="R172" s="68" t="str">
        <f>IF(C172="","",IF(ISERROR(
CAD_PROD!E172*D172),"",CAD_PROD!E172*D172))</f>
        <v/>
      </c>
      <c r="S172" s="44" t="str">
        <f>IF(C172="","",IF(CAD_PROD!E172&gt;=P172,"Sim","Não"))</f>
        <v/>
      </c>
    </row>
    <row r="173" spans="1:19" ht="30" customHeight="1">
      <c r="A173" s="52">
        <f t="shared" si="6"/>
        <v>0</v>
      </c>
      <c r="B173" s="52">
        <f t="shared" si="7"/>
        <v>0</v>
      </c>
      <c r="C173" s="96" t="str">
        <f>IF(CAD_PROD!C173="","",CAD_PROD!C173)</f>
        <v/>
      </c>
      <c r="D173" s="75"/>
      <c r="E173" s="125"/>
      <c r="F173" s="125"/>
      <c r="G173" s="75"/>
      <c r="H173" s="75" t="str">
        <f>IF(C173="","",D173+CAD_PROD!D173*(E173+F173)+G173)</f>
        <v/>
      </c>
      <c r="I173" s="52">
        <v>9.9999999999999995E-7</v>
      </c>
      <c r="J173" s="68" t="str">
        <f>IF(ISERROR(
CAD_PROD!F173*E173),"",CAD_PROD!F173*E173)</f>
        <v/>
      </c>
      <c r="K173" s="68" t="str">
        <f>IF(ISERROR(
CAD_PROD!F173*F173),"",CAD_PROD!F173*F173)</f>
        <v/>
      </c>
      <c r="L173" s="68" t="str">
        <f>IF(ISERROR(
CAD_PROD!D173-H173),"",CAD_PROD!D173-H173)</f>
        <v/>
      </c>
      <c r="M173" s="57" t="str">
        <f>IF(ISERROR(
L173/CAD_PROD!D173),"",L173/CAD_PROD!D173)</f>
        <v/>
      </c>
      <c r="N173" s="68" t="str">
        <f>IF(ISERROR(
(P173*CAD_PROD!D173)),"",(P173*CAD_PROD!D173))</f>
        <v/>
      </c>
      <c r="O173" s="68" t="str">
        <f>IF(ISERROR(PE_GERAL!$J$7*CAD_PROD!G173),"",PE_GERAL!$J$7*CAD_PROD!G173)</f>
        <v/>
      </c>
      <c r="P173" s="101" t="str">
        <f t="shared" si="8"/>
        <v/>
      </c>
      <c r="Q173" s="68" t="str">
        <f>IF(C173="","",IF(ISERROR(
CAD_PROD!E173*G173),"",CAD_PROD!E173*G173))</f>
        <v/>
      </c>
      <c r="R173" s="68" t="str">
        <f>IF(C173="","",IF(ISERROR(
CAD_PROD!E173*D173),"",CAD_PROD!E173*D173))</f>
        <v/>
      </c>
      <c r="S173" s="44" t="str">
        <f>IF(C173="","",IF(CAD_PROD!E173&gt;=P173,"Sim","Não"))</f>
        <v/>
      </c>
    </row>
    <row r="174" spans="1:19" ht="30" customHeight="1">
      <c r="A174" s="52">
        <f t="shared" si="6"/>
        <v>0</v>
      </c>
      <c r="B174" s="52">
        <f t="shared" si="7"/>
        <v>0</v>
      </c>
      <c r="C174" s="96" t="str">
        <f>IF(CAD_PROD!C174="","",CAD_PROD!C174)</f>
        <v/>
      </c>
      <c r="D174" s="75"/>
      <c r="E174" s="125"/>
      <c r="F174" s="125"/>
      <c r="G174" s="75"/>
      <c r="H174" s="75" t="str">
        <f>IF(C174="","",D174+CAD_PROD!D174*(E174+F174)+G174)</f>
        <v/>
      </c>
      <c r="I174" s="52">
        <v>9.9999999999999995E-7</v>
      </c>
      <c r="J174" s="68" t="str">
        <f>IF(ISERROR(
CAD_PROD!F174*E174),"",CAD_PROD!F174*E174)</f>
        <v/>
      </c>
      <c r="K174" s="68" t="str">
        <f>IF(ISERROR(
CAD_PROD!F174*F174),"",CAD_PROD!F174*F174)</f>
        <v/>
      </c>
      <c r="L174" s="68" t="str">
        <f>IF(ISERROR(
CAD_PROD!D174-H174),"",CAD_PROD!D174-H174)</f>
        <v/>
      </c>
      <c r="M174" s="57" t="str">
        <f>IF(ISERROR(
L174/CAD_PROD!D174),"",L174/CAD_PROD!D174)</f>
        <v/>
      </c>
      <c r="N174" s="68" t="str">
        <f>IF(ISERROR(
(P174*CAD_PROD!D174)),"",(P174*CAD_PROD!D174))</f>
        <v/>
      </c>
      <c r="O174" s="68" t="str">
        <f>IF(ISERROR(PE_GERAL!$J$7*CAD_PROD!G174),"",PE_GERAL!$J$7*CAD_PROD!G174)</f>
        <v/>
      </c>
      <c r="P174" s="101" t="str">
        <f t="shared" si="8"/>
        <v/>
      </c>
      <c r="Q174" s="68" t="str">
        <f>IF(C174="","",IF(ISERROR(
CAD_PROD!E174*G174),"",CAD_PROD!E174*G174))</f>
        <v/>
      </c>
      <c r="R174" s="68" t="str">
        <f>IF(C174="","",IF(ISERROR(
CAD_PROD!E174*D174),"",CAD_PROD!E174*D174))</f>
        <v/>
      </c>
      <c r="S174" s="44" t="str">
        <f>IF(C174="","",IF(CAD_PROD!E174&gt;=P174,"Sim","Não"))</f>
        <v/>
      </c>
    </row>
    <row r="175" spans="1:19" ht="30" customHeight="1">
      <c r="A175" s="52">
        <f t="shared" si="6"/>
        <v>0</v>
      </c>
      <c r="B175" s="52">
        <f t="shared" si="7"/>
        <v>0</v>
      </c>
      <c r="C175" s="96" t="str">
        <f>IF(CAD_PROD!C175="","",CAD_PROD!C175)</f>
        <v/>
      </c>
      <c r="D175" s="75"/>
      <c r="E175" s="125"/>
      <c r="F175" s="125"/>
      <c r="G175" s="75"/>
      <c r="H175" s="75" t="str">
        <f>IF(C175="","",D175+CAD_PROD!D175*(E175+F175)+G175)</f>
        <v/>
      </c>
      <c r="I175" s="52">
        <v>9.9999999999999995E-7</v>
      </c>
      <c r="J175" s="68" t="str">
        <f>IF(ISERROR(
CAD_PROD!F175*E175),"",CAD_PROD!F175*E175)</f>
        <v/>
      </c>
      <c r="K175" s="68" t="str">
        <f>IF(ISERROR(
CAD_PROD!F175*F175),"",CAD_PROD!F175*F175)</f>
        <v/>
      </c>
      <c r="L175" s="68" t="str">
        <f>IF(ISERROR(
CAD_PROD!D175-H175),"",CAD_PROD!D175-H175)</f>
        <v/>
      </c>
      <c r="M175" s="57" t="str">
        <f>IF(ISERROR(
L175/CAD_PROD!D175),"",L175/CAD_PROD!D175)</f>
        <v/>
      </c>
      <c r="N175" s="68" t="str">
        <f>IF(ISERROR(
(P175*CAD_PROD!D175)),"",(P175*CAD_PROD!D175))</f>
        <v/>
      </c>
      <c r="O175" s="68" t="str">
        <f>IF(ISERROR(PE_GERAL!$J$7*CAD_PROD!G175),"",PE_GERAL!$J$7*CAD_PROD!G175)</f>
        <v/>
      </c>
      <c r="P175" s="101" t="str">
        <f t="shared" si="8"/>
        <v/>
      </c>
      <c r="Q175" s="68" t="str">
        <f>IF(C175="","",IF(ISERROR(
CAD_PROD!E175*G175),"",CAD_PROD!E175*G175))</f>
        <v/>
      </c>
      <c r="R175" s="68" t="str">
        <f>IF(C175="","",IF(ISERROR(
CAD_PROD!E175*D175),"",CAD_PROD!E175*D175))</f>
        <v/>
      </c>
      <c r="S175" s="44" t="str">
        <f>IF(C175="","",IF(CAD_PROD!E175&gt;=P175,"Sim","Não"))</f>
        <v/>
      </c>
    </row>
    <row r="176" spans="1:19" ht="30" customHeight="1">
      <c r="A176" s="52">
        <f t="shared" si="6"/>
        <v>0</v>
      </c>
      <c r="B176" s="52">
        <f t="shared" si="7"/>
        <v>0</v>
      </c>
      <c r="C176" s="96" t="str">
        <f>IF(CAD_PROD!C176="","",CAD_PROD!C176)</f>
        <v/>
      </c>
      <c r="D176" s="75"/>
      <c r="E176" s="125"/>
      <c r="F176" s="125"/>
      <c r="G176" s="75"/>
      <c r="H176" s="75" t="str">
        <f>IF(C176="","",D176+CAD_PROD!D176*(E176+F176)+G176)</f>
        <v/>
      </c>
      <c r="I176" s="52">
        <v>9.9999999999999995E-7</v>
      </c>
      <c r="J176" s="68" t="str">
        <f>IF(ISERROR(
CAD_PROD!F176*E176),"",CAD_PROD!F176*E176)</f>
        <v/>
      </c>
      <c r="K176" s="68" t="str">
        <f>IF(ISERROR(
CAD_PROD!F176*F176),"",CAD_PROD!F176*F176)</f>
        <v/>
      </c>
      <c r="L176" s="68" t="str">
        <f>IF(ISERROR(
CAD_PROD!D176-H176),"",CAD_PROD!D176-H176)</f>
        <v/>
      </c>
      <c r="M176" s="57" t="str">
        <f>IF(ISERROR(
L176/CAD_PROD!D176),"",L176/CAD_PROD!D176)</f>
        <v/>
      </c>
      <c r="N176" s="68" t="str">
        <f>IF(ISERROR(
(P176*CAD_PROD!D176)),"",(P176*CAD_PROD!D176))</f>
        <v/>
      </c>
      <c r="O176" s="68" t="str">
        <f>IF(ISERROR(PE_GERAL!$J$7*CAD_PROD!G176),"",PE_GERAL!$J$7*CAD_PROD!G176)</f>
        <v/>
      </c>
      <c r="P176" s="101" t="str">
        <f t="shared" si="8"/>
        <v/>
      </c>
      <c r="Q176" s="68" t="str">
        <f>IF(C176="","",IF(ISERROR(
CAD_PROD!E176*G176),"",CAD_PROD!E176*G176))</f>
        <v/>
      </c>
      <c r="R176" s="68" t="str">
        <f>IF(C176="","",IF(ISERROR(
CAD_PROD!E176*D176),"",CAD_PROD!E176*D176))</f>
        <v/>
      </c>
      <c r="S176" s="44" t="str">
        <f>IF(C176="","",IF(CAD_PROD!E176&gt;=P176,"Sim","Não"))</f>
        <v/>
      </c>
    </row>
    <row r="177" spans="1:19" ht="30" customHeight="1">
      <c r="A177" s="52">
        <f t="shared" si="6"/>
        <v>0</v>
      </c>
      <c r="B177" s="52">
        <f t="shared" si="7"/>
        <v>0</v>
      </c>
      <c r="C177" s="96" t="str">
        <f>IF(CAD_PROD!C177="","",CAD_PROD!C177)</f>
        <v/>
      </c>
      <c r="D177" s="75"/>
      <c r="E177" s="125"/>
      <c r="F177" s="125"/>
      <c r="G177" s="75"/>
      <c r="H177" s="75" t="str">
        <f>IF(C177="","",D177+CAD_PROD!D177*(E177+F177)+G177)</f>
        <v/>
      </c>
      <c r="I177" s="52">
        <v>9.9999999999999995E-7</v>
      </c>
      <c r="J177" s="68" t="str">
        <f>IF(ISERROR(
CAD_PROD!F177*E177),"",CAD_PROD!F177*E177)</f>
        <v/>
      </c>
      <c r="K177" s="68" t="str">
        <f>IF(ISERROR(
CAD_PROD!F177*F177),"",CAD_PROD!F177*F177)</f>
        <v/>
      </c>
      <c r="L177" s="68" t="str">
        <f>IF(ISERROR(
CAD_PROD!D177-H177),"",CAD_PROD!D177-H177)</f>
        <v/>
      </c>
      <c r="M177" s="57" t="str">
        <f>IF(ISERROR(
L177/CAD_PROD!D177),"",L177/CAD_PROD!D177)</f>
        <v/>
      </c>
      <c r="N177" s="68" t="str">
        <f>IF(ISERROR(
(P177*CAD_PROD!D177)),"",(P177*CAD_PROD!D177))</f>
        <v/>
      </c>
      <c r="O177" s="68" t="str">
        <f>IF(ISERROR(PE_GERAL!$J$7*CAD_PROD!G177),"",PE_GERAL!$J$7*CAD_PROD!G177)</f>
        <v/>
      </c>
      <c r="P177" s="101" t="str">
        <f t="shared" si="8"/>
        <v/>
      </c>
      <c r="Q177" s="68" t="str">
        <f>IF(C177="","",IF(ISERROR(
CAD_PROD!E177*G177),"",CAD_PROD!E177*G177))</f>
        <v/>
      </c>
      <c r="R177" s="68" t="str">
        <f>IF(C177="","",IF(ISERROR(
CAD_PROD!E177*D177),"",CAD_PROD!E177*D177))</f>
        <v/>
      </c>
      <c r="S177" s="44" t="str">
        <f>IF(C177="","",IF(CAD_PROD!E177&gt;=P177,"Sim","Não"))</f>
        <v/>
      </c>
    </row>
    <row r="178" spans="1:19" ht="30" customHeight="1">
      <c r="A178" s="52">
        <f t="shared" si="6"/>
        <v>0</v>
      </c>
      <c r="B178" s="52">
        <f t="shared" si="7"/>
        <v>0</v>
      </c>
      <c r="C178" s="96" t="str">
        <f>IF(CAD_PROD!C178="","",CAD_PROD!C178)</f>
        <v/>
      </c>
      <c r="D178" s="75"/>
      <c r="E178" s="125"/>
      <c r="F178" s="125"/>
      <c r="G178" s="75"/>
      <c r="H178" s="75" t="str">
        <f>IF(C178="","",D178+CAD_PROD!D178*(E178+F178)+G178)</f>
        <v/>
      </c>
      <c r="I178" s="52">
        <v>9.9999999999999995E-7</v>
      </c>
      <c r="J178" s="68" t="str">
        <f>IF(ISERROR(
CAD_PROD!F178*E178),"",CAD_PROD!F178*E178)</f>
        <v/>
      </c>
      <c r="K178" s="68" t="str">
        <f>IF(ISERROR(
CAD_PROD!F178*F178),"",CAD_PROD!F178*F178)</f>
        <v/>
      </c>
      <c r="L178" s="68" t="str">
        <f>IF(ISERROR(
CAD_PROD!D178-H178),"",CAD_PROD!D178-H178)</f>
        <v/>
      </c>
      <c r="M178" s="57" t="str">
        <f>IF(ISERROR(
L178/CAD_PROD!D178),"",L178/CAD_PROD!D178)</f>
        <v/>
      </c>
      <c r="N178" s="68" t="str">
        <f>IF(ISERROR(
(P178*CAD_PROD!D178)),"",(P178*CAD_PROD!D178))</f>
        <v/>
      </c>
      <c r="O178" s="68" t="str">
        <f>IF(ISERROR(PE_GERAL!$J$7*CAD_PROD!G178),"",PE_GERAL!$J$7*CAD_PROD!G178)</f>
        <v/>
      </c>
      <c r="P178" s="101" t="str">
        <f t="shared" si="8"/>
        <v/>
      </c>
      <c r="Q178" s="68" t="str">
        <f>IF(C178="","",IF(ISERROR(
CAD_PROD!E178*G178),"",CAD_PROD!E178*G178))</f>
        <v/>
      </c>
      <c r="R178" s="68" t="str">
        <f>IF(C178="","",IF(ISERROR(
CAD_PROD!E178*D178),"",CAD_PROD!E178*D178))</f>
        <v/>
      </c>
      <c r="S178" s="44" t="str">
        <f>IF(C178="","",IF(CAD_PROD!E178&gt;=P178,"Sim","Não"))</f>
        <v/>
      </c>
    </row>
    <row r="179" spans="1:19" ht="30" customHeight="1">
      <c r="A179" s="52">
        <f t="shared" si="6"/>
        <v>0</v>
      </c>
      <c r="B179" s="52">
        <f t="shared" si="7"/>
        <v>0</v>
      </c>
      <c r="C179" s="96" t="str">
        <f>IF(CAD_PROD!C179="","",CAD_PROD!C179)</f>
        <v/>
      </c>
      <c r="D179" s="75"/>
      <c r="E179" s="125"/>
      <c r="F179" s="125"/>
      <c r="G179" s="75"/>
      <c r="H179" s="75" t="str">
        <f>IF(C179="","",D179+CAD_PROD!D179*(E179+F179)+G179)</f>
        <v/>
      </c>
      <c r="I179" s="52">
        <v>9.9999999999999995E-7</v>
      </c>
      <c r="J179" s="68" t="str">
        <f>IF(ISERROR(
CAD_PROD!F179*E179),"",CAD_PROD!F179*E179)</f>
        <v/>
      </c>
      <c r="K179" s="68" t="str">
        <f>IF(ISERROR(
CAD_PROD!F179*F179),"",CAD_PROD!F179*F179)</f>
        <v/>
      </c>
      <c r="L179" s="68" t="str">
        <f>IF(ISERROR(
CAD_PROD!D179-H179),"",CAD_PROD!D179-H179)</f>
        <v/>
      </c>
      <c r="M179" s="57" t="str">
        <f>IF(ISERROR(
L179/CAD_PROD!D179),"",L179/CAD_PROD!D179)</f>
        <v/>
      </c>
      <c r="N179" s="68" t="str">
        <f>IF(ISERROR(
(P179*CAD_PROD!D179)),"",(P179*CAD_PROD!D179))</f>
        <v/>
      </c>
      <c r="O179" s="68" t="str">
        <f>IF(ISERROR(PE_GERAL!$J$7*CAD_PROD!G179),"",PE_GERAL!$J$7*CAD_PROD!G179)</f>
        <v/>
      </c>
      <c r="P179" s="101" t="str">
        <f t="shared" si="8"/>
        <v/>
      </c>
      <c r="Q179" s="68" t="str">
        <f>IF(C179="","",IF(ISERROR(
CAD_PROD!E179*G179),"",CAD_PROD!E179*G179))</f>
        <v/>
      </c>
      <c r="R179" s="68" t="str">
        <f>IF(C179="","",IF(ISERROR(
CAD_PROD!E179*D179),"",CAD_PROD!E179*D179))</f>
        <v/>
      </c>
      <c r="S179" s="44" t="str">
        <f>IF(C179="","",IF(CAD_PROD!E179&gt;=P179,"Sim","Não"))</f>
        <v/>
      </c>
    </row>
    <row r="180" spans="1:19" ht="30" customHeight="1">
      <c r="A180" s="52">
        <f t="shared" si="6"/>
        <v>0</v>
      </c>
      <c r="B180" s="52">
        <f t="shared" si="7"/>
        <v>0</v>
      </c>
      <c r="C180" s="96" t="str">
        <f>IF(CAD_PROD!C180="","",CAD_PROD!C180)</f>
        <v/>
      </c>
      <c r="D180" s="75"/>
      <c r="E180" s="125"/>
      <c r="F180" s="125"/>
      <c r="G180" s="75"/>
      <c r="H180" s="75" t="str">
        <f>IF(C180="","",D180+CAD_PROD!D180*(E180+F180)+G180)</f>
        <v/>
      </c>
      <c r="I180" s="52">
        <v>9.9999999999999995E-7</v>
      </c>
      <c r="J180" s="68" t="str">
        <f>IF(ISERROR(
CAD_PROD!F180*E180),"",CAD_PROD!F180*E180)</f>
        <v/>
      </c>
      <c r="K180" s="68" t="str">
        <f>IF(ISERROR(
CAD_PROD!F180*F180),"",CAD_PROD!F180*F180)</f>
        <v/>
      </c>
      <c r="L180" s="68" t="str">
        <f>IF(ISERROR(
CAD_PROD!D180-H180),"",CAD_PROD!D180-H180)</f>
        <v/>
      </c>
      <c r="M180" s="57" t="str">
        <f>IF(ISERROR(
L180/CAD_PROD!D180),"",L180/CAD_PROD!D180)</f>
        <v/>
      </c>
      <c r="N180" s="68" t="str">
        <f>IF(ISERROR(
(P180*CAD_PROD!D180)),"",(P180*CAD_PROD!D180))</f>
        <v/>
      </c>
      <c r="O180" s="68" t="str">
        <f>IF(ISERROR(PE_GERAL!$J$7*CAD_PROD!G180),"",PE_GERAL!$J$7*CAD_PROD!G180)</f>
        <v/>
      </c>
      <c r="P180" s="101" t="str">
        <f t="shared" si="8"/>
        <v/>
      </c>
      <c r="Q180" s="68" t="str">
        <f>IF(C180="","",IF(ISERROR(
CAD_PROD!E180*G180),"",CAD_PROD!E180*G180))</f>
        <v/>
      </c>
      <c r="R180" s="68" t="str">
        <f>IF(C180="","",IF(ISERROR(
CAD_PROD!E180*D180),"",CAD_PROD!E180*D180))</f>
        <v/>
      </c>
      <c r="S180" s="44" t="str">
        <f>IF(C180="","",IF(CAD_PROD!E180&gt;=P180,"Sim","Não"))</f>
        <v/>
      </c>
    </row>
    <row r="181" spans="1:19" ht="30" customHeight="1">
      <c r="A181" s="52">
        <f t="shared" si="6"/>
        <v>0</v>
      </c>
      <c r="B181" s="52">
        <f t="shared" si="7"/>
        <v>0</v>
      </c>
      <c r="C181" s="96" t="str">
        <f>IF(CAD_PROD!C181="","",CAD_PROD!C181)</f>
        <v/>
      </c>
      <c r="D181" s="75"/>
      <c r="E181" s="125"/>
      <c r="F181" s="125"/>
      <c r="G181" s="75"/>
      <c r="H181" s="75" t="str">
        <f>IF(C181="","",D181+CAD_PROD!D181*(E181+F181)+G181)</f>
        <v/>
      </c>
      <c r="I181" s="52">
        <v>9.9999999999999995E-7</v>
      </c>
      <c r="J181" s="68" t="str">
        <f>IF(ISERROR(
CAD_PROD!F181*E181),"",CAD_PROD!F181*E181)</f>
        <v/>
      </c>
      <c r="K181" s="68" t="str">
        <f>IF(ISERROR(
CAD_PROD!F181*F181),"",CAD_PROD!F181*F181)</f>
        <v/>
      </c>
      <c r="L181" s="68" t="str">
        <f>IF(ISERROR(
CAD_PROD!D181-H181),"",CAD_PROD!D181-H181)</f>
        <v/>
      </c>
      <c r="M181" s="57" t="str">
        <f>IF(ISERROR(
L181/CAD_PROD!D181),"",L181/CAD_PROD!D181)</f>
        <v/>
      </c>
      <c r="N181" s="68" t="str">
        <f>IF(ISERROR(
(P181*CAD_PROD!D181)),"",(P181*CAD_PROD!D181))</f>
        <v/>
      </c>
      <c r="O181" s="68" t="str">
        <f>IF(ISERROR(PE_GERAL!$J$7*CAD_PROD!G181),"",PE_GERAL!$J$7*CAD_PROD!G181)</f>
        <v/>
      </c>
      <c r="P181" s="101" t="str">
        <f t="shared" si="8"/>
        <v/>
      </c>
      <c r="Q181" s="68" t="str">
        <f>IF(C181="","",IF(ISERROR(
CAD_PROD!E181*G181),"",CAD_PROD!E181*G181))</f>
        <v/>
      </c>
      <c r="R181" s="68" t="str">
        <f>IF(C181="","",IF(ISERROR(
CAD_PROD!E181*D181),"",CAD_PROD!E181*D181))</f>
        <v/>
      </c>
      <c r="S181" s="44" t="str">
        <f>IF(C181="","",IF(CAD_PROD!E181&gt;=P181,"Sim","Não"))</f>
        <v/>
      </c>
    </row>
    <row r="182" spans="1:19" ht="30" customHeight="1">
      <c r="A182" s="52">
        <f t="shared" si="6"/>
        <v>0</v>
      </c>
      <c r="B182" s="52">
        <f t="shared" si="7"/>
        <v>0</v>
      </c>
      <c r="C182" s="96" t="str">
        <f>IF(CAD_PROD!C182="","",CAD_PROD!C182)</f>
        <v/>
      </c>
      <c r="D182" s="75"/>
      <c r="E182" s="125"/>
      <c r="F182" s="125"/>
      <c r="G182" s="75"/>
      <c r="H182" s="75" t="str">
        <f>IF(C182="","",D182+CAD_PROD!D182*(E182+F182)+G182)</f>
        <v/>
      </c>
      <c r="I182" s="52">
        <v>9.9999999999999995E-7</v>
      </c>
      <c r="J182" s="68" t="str">
        <f>IF(ISERROR(
CAD_PROD!F182*E182),"",CAD_PROD!F182*E182)</f>
        <v/>
      </c>
      <c r="K182" s="68" t="str">
        <f>IF(ISERROR(
CAD_PROD!F182*F182),"",CAD_PROD!F182*F182)</f>
        <v/>
      </c>
      <c r="L182" s="68" t="str">
        <f>IF(ISERROR(
CAD_PROD!D182-H182),"",CAD_PROD!D182-H182)</f>
        <v/>
      </c>
      <c r="M182" s="57" t="str">
        <f>IF(ISERROR(
L182/CAD_PROD!D182),"",L182/CAD_PROD!D182)</f>
        <v/>
      </c>
      <c r="N182" s="68" t="str">
        <f>IF(ISERROR(
(P182*CAD_PROD!D182)),"",(P182*CAD_PROD!D182))</f>
        <v/>
      </c>
      <c r="O182" s="68" t="str">
        <f>IF(ISERROR(PE_GERAL!$J$7*CAD_PROD!G182),"",PE_GERAL!$J$7*CAD_PROD!G182)</f>
        <v/>
      </c>
      <c r="P182" s="101" t="str">
        <f t="shared" si="8"/>
        <v/>
      </c>
      <c r="Q182" s="68" t="str">
        <f>IF(C182="","",IF(ISERROR(
CAD_PROD!E182*G182),"",CAD_PROD!E182*G182))</f>
        <v/>
      </c>
      <c r="R182" s="68" t="str">
        <f>IF(C182="","",IF(ISERROR(
CAD_PROD!E182*D182),"",CAD_PROD!E182*D182))</f>
        <v/>
      </c>
      <c r="S182" s="44" t="str">
        <f>IF(C182="","",IF(CAD_PROD!E182&gt;=P182,"Sim","Não"))</f>
        <v/>
      </c>
    </row>
    <row r="183" spans="1:19" ht="30" customHeight="1">
      <c r="A183" s="52">
        <f t="shared" si="6"/>
        <v>0</v>
      </c>
      <c r="B183" s="52">
        <f t="shared" si="7"/>
        <v>0</v>
      </c>
      <c r="C183" s="96" t="str">
        <f>IF(CAD_PROD!C183="","",CAD_PROD!C183)</f>
        <v/>
      </c>
      <c r="D183" s="75"/>
      <c r="E183" s="125"/>
      <c r="F183" s="125"/>
      <c r="G183" s="75"/>
      <c r="H183" s="75" t="str">
        <f>IF(C183="","",D183+CAD_PROD!D183*(E183+F183)+G183)</f>
        <v/>
      </c>
      <c r="I183" s="52">
        <v>9.9999999999999995E-7</v>
      </c>
      <c r="J183" s="68" t="str">
        <f>IF(ISERROR(
CAD_PROD!F183*E183),"",CAD_PROD!F183*E183)</f>
        <v/>
      </c>
      <c r="K183" s="68" t="str">
        <f>IF(ISERROR(
CAD_PROD!F183*F183),"",CAD_PROD!F183*F183)</f>
        <v/>
      </c>
      <c r="L183" s="68" t="str">
        <f>IF(ISERROR(
CAD_PROD!D183-H183),"",CAD_PROD!D183-H183)</f>
        <v/>
      </c>
      <c r="M183" s="57" t="str">
        <f>IF(ISERROR(
L183/CAD_PROD!D183),"",L183/CAD_PROD!D183)</f>
        <v/>
      </c>
      <c r="N183" s="68" t="str">
        <f>IF(ISERROR(
(P183*CAD_PROD!D183)),"",(P183*CAD_PROD!D183))</f>
        <v/>
      </c>
      <c r="O183" s="68" t="str">
        <f>IF(ISERROR(PE_GERAL!$J$7*CAD_PROD!G183),"",PE_GERAL!$J$7*CAD_PROD!G183)</f>
        <v/>
      </c>
      <c r="P183" s="101" t="str">
        <f t="shared" si="8"/>
        <v/>
      </c>
      <c r="Q183" s="68" t="str">
        <f>IF(C183="","",IF(ISERROR(
CAD_PROD!E183*G183),"",CAD_PROD!E183*G183))</f>
        <v/>
      </c>
      <c r="R183" s="68" t="str">
        <f>IF(C183="","",IF(ISERROR(
CAD_PROD!E183*D183),"",CAD_PROD!E183*D183))</f>
        <v/>
      </c>
      <c r="S183" s="44" t="str">
        <f>IF(C183="","",IF(CAD_PROD!E183&gt;=P183,"Sim","Não"))</f>
        <v/>
      </c>
    </row>
    <row r="184" spans="1:19" ht="30" customHeight="1">
      <c r="A184" s="52">
        <f t="shared" si="6"/>
        <v>0</v>
      </c>
      <c r="B184" s="52">
        <f t="shared" si="7"/>
        <v>0</v>
      </c>
      <c r="C184" s="96" t="str">
        <f>IF(CAD_PROD!C184="","",CAD_PROD!C184)</f>
        <v/>
      </c>
      <c r="D184" s="75"/>
      <c r="E184" s="125"/>
      <c r="F184" s="125"/>
      <c r="G184" s="75"/>
      <c r="H184" s="75" t="str">
        <f>IF(C184="","",D184+CAD_PROD!D184*(E184+F184)+G184)</f>
        <v/>
      </c>
      <c r="I184" s="52">
        <v>9.9999999999999995E-7</v>
      </c>
      <c r="J184" s="68" t="str">
        <f>IF(ISERROR(
CAD_PROD!F184*E184),"",CAD_PROD!F184*E184)</f>
        <v/>
      </c>
      <c r="K184" s="68" t="str">
        <f>IF(ISERROR(
CAD_PROD!F184*F184),"",CAD_PROD!F184*F184)</f>
        <v/>
      </c>
      <c r="L184" s="68" t="str">
        <f>IF(ISERROR(
CAD_PROD!D184-H184),"",CAD_PROD!D184-H184)</f>
        <v/>
      </c>
      <c r="M184" s="57" t="str">
        <f>IF(ISERROR(
L184/CAD_PROD!D184),"",L184/CAD_PROD!D184)</f>
        <v/>
      </c>
      <c r="N184" s="68" t="str">
        <f>IF(ISERROR(
(P184*CAD_PROD!D184)),"",(P184*CAD_PROD!D184))</f>
        <v/>
      </c>
      <c r="O184" s="68" t="str">
        <f>IF(ISERROR(PE_GERAL!$J$7*CAD_PROD!G184),"",PE_GERAL!$J$7*CAD_PROD!G184)</f>
        <v/>
      </c>
      <c r="P184" s="101" t="str">
        <f t="shared" si="8"/>
        <v/>
      </c>
      <c r="Q184" s="68" t="str">
        <f>IF(C184="","",IF(ISERROR(
CAD_PROD!E184*G184),"",CAD_PROD!E184*G184))</f>
        <v/>
      </c>
      <c r="R184" s="68" t="str">
        <f>IF(C184="","",IF(ISERROR(
CAD_PROD!E184*D184),"",CAD_PROD!E184*D184))</f>
        <v/>
      </c>
      <c r="S184" s="44" t="str">
        <f>IF(C184="","",IF(CAD_PROD!E184&gt;=P184,"Sim","Não"))</f>
        <v/>
      </c>
    </row>
    <row r="185" spans="1:19" ht="30" customHeight="1">
      <c r="A185" s="52">
        <f t="shared" si="6"/>
        <v>0</v>
      </c>
      <c r="B185" s="52">
        <f t="shared" si="7"/>
        <v>0</v>
      </c>
      <c r="C185" s="96" t="str">
        <f>IF(CAD_PROD!C185="","",CAD_PROD!C185)</f>
        <v/>
      </c>
      <c r="D185" s="75"/>
      <c r="E185" s="125"/>
      <c r="F185" s="125"/>
      <c r="G185" s="75"/>
      <c r="H185" s="75" t="str">
        <f>IF(C185="","",D185+CAD_PROD!D185*(E185+F185)+G185)</f>
        <v/>
      </c>
      <c r="I185" s="52">
        <v>9.9999999999999995E-7</v>
      </c>
      <c r="J185" s="68" t="str">
        <f>IF(ISERROR(
CAD_PROD!F185*E185),"",CAD_PROD!F185*E185)</f>
        <v/>
      </c>
      <c r="K185" s="68" t="str">
        <f>IF(ISERROR(
CAD_PROD!F185*F185),"",CAD_PROD!F185*F185)</f>
        <v/>
      </c>
      <c r="L185" s="68" t="str">
        <f>IF(ISERROR(
CAD_PROD!D185-H185),"",CAD_PROD!D185-H185)</f>
        <v/>
      </c>
      <c r="M185" s="57" t="str">
        <f>IF(ISERROR(
L185/CAD_PROD!D185),"",L185/CAD_PROD!D185)</f>
        <v/>
      </c>
      <c r="N185" s="68" t="str">
        <f>IF(ISERROR(
(P185*CAD_PROD!D185)),"",(P185*CAD_PROD!D185))</f>
        <v/>
      </c>
      <c r="O185" s="68" t="str">
        <f>IF(ISERROR(PE_GERAL!$J$7*CAD_PROD!G185),"",PE_GERAL!$J$7*CAD_PROD!G185)</f>
        <v/>
      </c>
      <c r="P185" s="101" t="str">
        <f t="shared" si="8"/>
        <v/>
      </c>
      <c r="Q185" s="68" t="str">
        <f>IF(C185="","",IF(ISERROR(
CAD_PROD!E185*G185),"",CAD_PROD!E185*G185))</f>
        <v/>
      </c>
      <c r="R185" s="68" t="str">
        <f>IF(C185="","",IF(ISERROR(
CAD_PROD!E185*D185),"",CAD_PROD!E185*D185))</f>
        <v/>
      </c>
      <c r="S185" s="44" t="str">
        <f>IF(C185="","",IF(CAD_PROD!E185&gt;=P185,"Sim","Não"))</f>
        <v/>
      </c>
    </row>
    <row r="186" spans="1:19" ht="30" customHeight="1">
      <c r="A186" s="52">
        <f t="shared" si="6"/>
        <v>0</v>
      </c>
      <c r="B186" s="52">
        <f t="shared" si="7"/>
        <v>0</v>
      </c>
      <c r="C186" s="96" t="str">
        <f>IF(CAD_PROD!C186="","",CAD_PROD!C186)</f>
        <v/>
      </c>
      <c r="D186" s="75"/>
      <c r="E186" s="125"/>
      <c r="F186" s="125"/>
      <c r="G186" s="75"/>
      <c r="H186" s="75" t="str">
        <f>IF(C186="","",D186+CAD_PROD!D186*(E186+F186)+G186)</f>
        <v/>
      </c>
      <c r="I186" s="52">
        <v>9.9999999999999995E-7</v>
      </c>
      <c r="J186" s="68" t="str">
        <f>IF(ISERROR(
CAD_PROD!F186*E186),"",CAD_PROD!F186*E186)</f>
        <v/>
      </c>
      <c r="K186" s="68" t="str">
        <f>IF(ISERROR(
CAD_PROD!F186*F186),"",CAD_PROD!F186*F186)</f>
        <v/>
      </c>
      <c r="L186" s="68" t="str">
        <f>IF(ISERROR(
CAD_PROD!D186-H186),"",CAD_PROD!D186-H186)</f>
        <v/>
      </c>
      <c r="M186" s="57" t="str">
        <f>IF(ISERROR(
L186/CAD_PROD!D186),"",L186/CAD_PROD!D186)</f>
        <v/>
      </c>
      <c r="N186" s="68" t="str">
        <f>IF(ISERROR(
(P186*CAD_PROD!D186)),"",(P186*CAD_PROD!D186))</f>
        <v/>
      </c>
      <c r="O186" s="68" t="str">
        <f>IF(ISERROR(PE_GERAL!$J$7*CAD_PROD!G186),"",PE_GERAL!$J$7*CAD_PROD!G186)</f>
        <v/>
      </c>
      <c r="P186" s="101" t="str">
        <f t="shared" si="8"/>
        <v/>
      </c>
      <c r="Q186" s="68" t="str">
        <f>IF(C186="","",IF(ISERROR(
CAD_PROD!E186*G186),"",CAD_PROD!E186*G186))</f>
        <v/>
      </c>
      <c r="R186" s="68" t="str">
        <f>IF(C186="","",IF(ISERROR(
CAD_PROD!E186*D186),"",CAD_PROD!E186*D186))</f>
        <v/>
      </c>
      <c r="S186" s="44" t="str">
        <f>IF(C186="","",IF(CAD_PROD!E186&gt;=P186,"Sim","Não"))</f>
        <v/>
      </c>
    </row>
    <row r="187" spans="1:19" ht="30" customHeight="1">
      <c r="A187" s="52">
        <f t="shared" si="6"/>
        <v>0</v>
      </c>
      <c r="B187" s="52">
        <f t="shared" si="7"/>
        <v>0</v>
      </c>
      <c r="C187" s="96" t="str">
        <f>IF(CAD_PROD!C187="","",CAD_PROD!C187)</f>
        <v/>
      </c>
      <c r="D187" s="75"/>
      <c r="E187" s="125"/>
      <c r="F187" s="125"/>
      <c r="G187" s="75"/>
      <c r="H187" s="75" t="str">
        <f>IF(C187="","",D187+CAD_PROD!D187*(E187+F187)+G187)</f>
        <v/>
      </c>
      <c r="I187" s="52">
        <v>9.9999999999999995E-7</v>
      </c>
      <c r="J187" s="68" t="str">
        <f>IF(ISERROR(
CAD_PROD!F187*E187),"",CAD_PROD!F187*E187)</f>
        <v/>
      </c>
      <c r="K187" s="68" t="str">
        <f>IF(ISERROR(
CAD_PROD!F187*F187),"",CAD_PROD!F187*F187)</f>
        <v/>
      </c>
      <c r="L187" s="68" t="str">
        <f>IF(ISERROR(
CAD_PROD!D187-H187),"",CAD_PROD!D187-H187)</f>
        <v/>
      </c>
      <c r="M187" s="57" t="str">
        <f>IF(ISERROR(
L187/CAD_PROD!D187),"",L187/CAD_PROD!D187)</f>
        <v/>
      </c>
      <c r="N187" s="68" t="str">
        <f>IF(ISERROR(
(P187*CAD_PROD!D187)),"",(P187*CAD_PROD!D187))</f>
        <v/>
      </c>
      <c r="O187" s="68" t="str">
        <f>IF(ISERROR(PE_GERAL!$J$7*CAD_PROD!G187),"",PE_GERAL!$J$7*CAD_PROD!G187)</f>
        <v/>
      </c>
      <c r="P187" s="101" t="str">
        <f t="shared" si="8"/>
        <v/>
      </c>
      <c r="Q187" s="68" t="str">
        <f>IF(C187="","",IF(ISERROR(
CAD_PROD!E187*G187),"",CAD_PROD!E187*G187))</f>
        <v/>
      </c>
      <c r="R187" s="68" t="str">
        <f>IF(C187="","",IF(ISERROR(
CAD_PROD!E187*D187),"",CAD_PROD!E187*D187))</f>
        <v/>
      </c>
      <c r="S187" s="44" t="str">
        <f>IF(C187="","",IF(CAD_PROD!E187&gt;=P187,"Sim","Não"))</f>
        <v/>
      </c>
    </row>
    <row r="188" spans="1:19" ht="30" customHeight="1">
      <c r="A188" s="52">
        <f t="shared" si="6"/>
        <v>0</v>
      </c>
      <c r="B188" s="52">
        <f t="shared" si="7"/>
        <v>0</v>
      </c>
      <c r="C188" s="96" t="str">
        <f>IF(CAD_PROD!C188="","",CAD_PROD!C188)</f>
        <v/>
      </c>
      <c r="D188" s="75"/>
      <c r="E188" s="125"/>
      <c r="F188" s="125"/>
      <c r="G188" s="75"/>
      <c r="H188" s="75" t="str">
        <f>IF(C188="","",D188+CAD_PROD!D188*(E188+F188)+G188)</f>
        <v/>
      </c>
      <c r="I188" s="52">
        <v>9.9999999999999995E-7</v>
      </c>
      <c r="J188" s="68" t="str">
        <f>IF(ISERROR(
CAD_PROD!F188*E188),"",CAD_PROD!F188*E188)</f>
        <v/>
      </c>
      <c r="K188" s="68" t="str">
        <f>IF(ISERROR(
CAD_PROD!F188*F188),"",CAD_PROD!F188*F188)</f>
        <v/>
      </c>
      <c r="L188" s="68" t="str">
        <f>IF(ISERROR(
CAD_PROD!D188-H188),"",CAD_PROD!D188-H188)</f>
        <v/>
      </c>
      <c r="M188" s="57" t="str">
        <f>IF(ISERROR(
L188/CAD_PROD!D188),"",L188/CAD_PROD!D188)</f>
        <v/>
      </c>
      <c r="N188" s="68" t="str">
        <f>IF(ISERROR(
(P188*CAD_PROD!D188)),"",(P188*CAD_PROD!D188))</f>
        <v/>
      </c>
      <c r="O188" s="68" t="str">
        <f>IF(ISERROR(PE_GERAL!$J$7*CAD_PROD!G188),"",PE_GERAL!$J$7*CAD_PROD!G188)</f>
        <v/>
      </c>
      <c r="P188" s="101" t="str">
        <f t="shared" si="8"/>
        <v/>
      </c>
      <c r="Q188" s="68" t="str">
        <f>IF(C188="","",IF(ISERROR(
CAD_PROD!E188*G188),"",CAD_PROD!E188*G188))</f>
        <v/>
      </c>
      <c r="R188" s="68" t="str">
        <f>IF(C188="","",IF(ISERROR(
CAD_PROD!E188*D188),"",CAD_PROD!E188*D188))</f>
        <v/>
      </c>
      <c r="S188" s="44" t="str">
        <f>IF(C188="","",IF(CAD_PROD!E188&gt;=P188,"Sim","Não"))</f>
        <v/>
      </c>
    </row>
    <row r="189" spans="1:19" ht="30" customHeight="1">
      <c r="A189" s="52">
        <f t="shared" si="6"/>
        <v>0</v>
      </c>
      <c r="B189" s="52">
        <f t="shared" si="7"/>
        <v>0</v>
      </c>
      <c r="C189" s="96" t="str">
        <f>IF(CAD_PROD!C189="","",CAD_PROD!C189)</f>
        <v/>
      </c>
      <c r="D189" s="75"/>
      <c r="E189" s="125"/>
      <c r="F189" s="125"/>
      <c r="G189" s="75"/>
      <c r="H189" s="75" t="str">
        <f>IF(C189="","",D189+CAD_PROD!D189*(E189+F189)+G189)</f>
        <v/>
      </c>
      <c r="I189" s="52">
        <v>9.9999999999999995E-7</v>
      </c>
      <c r="J189" s="68" t="str">
        <f>IF(ISERROR(
CAD_PROD!F189*E189),"",CAD_PROD!F189*E189)</f>
        <v/>
      </c>
      <c r="K189" s="68" t="str">
        <f>IF(ISERROR(
CAD_PROD!F189*F189),"",CAD_PROD!F189*F189)</f>
        <v/>
      </c>
      <c r="L189" s="68" t="str">
        <f>IF(ISERROR(
CAD_PROD!D189-H189),"",CAD_PROD!D189-H189)</f>
        <v/>
      </c>
      <c r="M189" s="57" t="str">
        <f>IF(ISERROR(
L189/CAD_PROD!D189),"",L189/CAD_PROD!D189)</f>
        <v/>
      </c>
      <c r="N189" s="68" t="str">
        <f>IF(ISERROR(
(P189*CAD_PROD!D189)),"",(P189*CAD_PROD!D189))</f>
        <v/>
      </c>
      <c r="O189" s="68" t="str">
        <f>IF(ISERROR(PE_GERAL!$J$7*CAD_PROD!G189),"",PE_GERAL!$J$7*CAD_PROD!G189)</f>
        <v/>
      </c>
      <c r="P189" s="101" t="str">
        <f t="shared" si="8"/>
        <v/>
      </c>
      <c r="Q189" s="68" t="str">
        <f>IF(C189="","",IF(ISERROR(
CAD_PROD!E189*G189),"",CAD_PROD!E189*G189))</f>
        <v/>
      </c>
      <c r="R189" s="68" t="str">
        <f>IF(C189="","",IF(ISERROR(
CAD_PROD!E189*D189),"",CAD_PROD!E189*D189))</f>
        <v/>
      </c>
      <c r="S189" s="44" t="str">
        <f>IF(C189="","",IF(CAD_PROD!E189&gt;=P189,"Sim","Não"))</f>
        <v/>
      </c>
    </row>
    <row r="190" spans="1:19" ht="30" customHeight="1">
      <c r="A190" s="52">
        <f t="shared" si="6"/>
        <v>0</v>
      </c>
      <c r="B190" s="52">
        <f t="shared" si="7"/>
        <v>0</v>
      </c>
      <c r="C190" s="96" t="str">
        <f>IF(CAD_PROD!C190="","",CAD_PROD!C190)</f>
        <v/>
      </c>
      <c r="D190" s="75"/>
      <c r="E190" s="125"/>
      <c r="F190" s="125"/>
      <c r="G190" s="75"/>
      <c r="H190" s="75" t="str">
        <f>IF(C190="","",D190+CAD_PROD!D190*(E190+F190)+G190)</f>
        <v/>
      </c>
      <c r="I190" s="52">
        <v>9.9999999999999995E-7</v>
      </c>
      <c r="J190" s="68" t="str">
        <f>IF(ISERROR(
CAD_PROD!F190*E190),"",CAD_PROD!F190*E190)</f>
        <v/>
      </c>
      <c r="K190" s="68" t="str">
        <f>IF(ISERROR(
CAD_PROD!F190*F190),"",CAD_PROD!F190*F190)</f>
        <v/>
      </c>
      <c r="L190" s="68" t="str">
        <f>IF(ISERROR(
CAD_PROD!D190-H190),"",CAD_PROD!D190-H190)</f>
        <v/>
      </c>
      <c r="M190" s="57" t="str">
        <f>IF(ISERROR(
L190/CAD_PROD!D190),"",L190/CAD_PROD!D190)</f>
        <v/>
      </c>
      <c r="N190" s="68" t="str">
        <f>IF(ISERROR(
(P190*CAD_PROD!D190)),"",(P190*CAD_PROD!D190))</f>
        <v/>
      </c>
      <c r="O190" s="68" t="str">
        <f>IF(ISERROR(PE_GERAL!$J$7*CAD_PROD!G190),"",PE_GERAL!$J$7*CAD_PROD!G190)</f>
        <v/>
      </c>
      <c r="P190" s="101" t="str">
        <f t="shared" si="8"/>
        <v/>
      </c>
      <c r="Q190" s="68" t="str">
        <f>IF(C190="","",IF(ISERROR(
CAD_PROD!E190*G190),"",CAD_PROD!E190*G190))</f>
        <v/>
      </c>
      <c r="R190" s="68" t="str">
        <f>IF(C190="","",IF(ISERROR(
CAD_PROD!E190*D190),"",CAD_PROD!E190*D190))</f>
        <v/>
      </c>
      <c r="S190" s="44" t="str">
        <f>IF(C190="","",IF(CAD_PROD!E190&gt;=P190,"Sim","Não"))</f>
        <v/>
      </c>
    </row>
    <row r="191" spans="1:19" ht="30" customHeight="1">
      <c r="A191" s="52">
        <f t="shared" si="6"/>
        <v>0</v>
      </c>
      <c r="B191" s="52">
        <f t="shared" si="7"/>
        <v>0</v>
      </c>
      <c r="C191" s="96" t="str">
        <f>IF(CAD_PROD!C191="","",CAD_PROD!C191)</f>
        <v/>
      </c>
      <c r="D191" s="75"/>
      <c r="E191" s="125"/>
      <c r="F191" s="125"/>
      <c r="G191" s="75"/>
      <c r="H191" s="75" t="str">
        <f>IF(C191="","",D191+CAD_PROD!D191*(E191+F191)+G191)</f>
        <v/>
      </c>
      <c r="I191" s="52">
        <v>9.9999999999999995E-7</v>
      </c>
      <c r="J191" s="68" t="str">
        <f>IF(ISERROR(
CAD_PROD!F191*E191),"",CAD_PROD!F191*E191)</f>
        <v/>
      </c>
      <c r="K191" s="68" t="str">
        <f>IF(ISERROR(
CAD_PROD!F191*F191),"",CAD_PROD!F191*F191)</f>
        <v/>
      </c>
      <c r="L191" s="68" t="str">
        <f>IF(ISERROR(
CAD_PROD!D191-H191),"",CAD_PROD!D191-H191)</f>
        <v/>
      </c>
      <c r="M191" s="57" t="str">
        <f>IF(ISERROR(
L191/CAD_PROD!D191),"",L191/CAD_PROD!D191)</f>
        <v/>
      </c>
      <c r="N191" s="68" t="str">
        <f>IF(ISERROR(
(P191*CAD_PROD!D191)),"",(P191*CAD_PROD!D191))</f>
        <v/>
      </c>
      <c r="O191" s="68" t="str">
        <f>IF(ISERROR(PE_GERAL!$J$7*CAD_PROD!G191),"",PE_GERAL!$J$7*CAD_PROD!G191)</f>
        <v/>
      </c>
      <c r="P191" s="101" t="str">
        <f t="shared" si="8"/>
        <v/>
      </c>
      <c r="Q191" s="68" t="str">
        <f>IF(C191="","",IF(ISERROR(
CAD_PROD!E191*G191),"",CAD_PROD!E191*G191))</f>
        <v/>
      </c>
      <c r="R191" s="68" t="str">
        <f>IF(C191="","",IF(ISERROR(
CAD_PROD!E191*D191),"",CAD_PROD!E191*D191))</f>
        <v/>
      </c>
      <c r="S191" s="44" t="str">
        <f>IF(C191="","",IF(CAD_PROD!E191&gt;=P191,"Sim","Não"))</f>
        <v/>
      </c>
    </row>
    <row r="192" spans="1:19" ht="30" customHeight="1">
      <c r="A192" s="52">
        <f t="shared" si="6"/>
        <v>0</v>
      </c>
      <c r="B192" s="52">
        <f t="shared" si="7"/>
        <v>0</v>
      </c>
      <c r="C192" s="96" t="str">
        <f>IF(CAD_PROD!C192="","",CAD_PROD!C192)</f>
        <v/>
      </c>
      <c r="D192" s="75"/>
      <c r="E192" s="125"/>
      <c r="F192" s="125"/>
      <c r="G192" s="75"/>
      <c r="H192" s="75" t="str">
        <f>IF(C192="","",D192+CAD_PROD!D192*(E192+F192)+G192)</f>
        <v/>
      </c>
      <c r="I192" s="52">
        <v>9.9999999999999995E-7</v>
      </c>
      <c r="J192" s="68" t="str">
        <f>IF(ISERROR(
CAD_PROD!F192*E192),"",CAD_PROD!F192*E192)</f>
        <v/>
      </c>
      <c r="K192" s="68" t="str">
        <f>IF(ISERROR(
CAD_PROD!F192*F192),"",CAD_PROD!F192*F192)</f>
        <v/>
      </c>
      <c r="L192" s="68" t="str">
        <f>IF(ISERROR(
CAD_PROD!D192-H192),"",CAD_PROD!D192-H192)</f>
        <v/>
      </c>
      <c r="M192" s="57" t="str">
        <f>IF(ISERROR(
L192/CAD_PROD!D192),"",L192/CAD_PROD!D192)</f>
        <v/>
      </c>
      <c r="N192" s="68" t="str">
        <f>IF(ISERROR(
(P192*CAD_PROD!D192)),"",(P192*CAD_PROD!D192))</f>
        <v/>
      </c>
      <c r="O192" s="68" t="str">
        <f>IF(ISERROR(PE_GERAL!$J$7*CAD_PROD!G192),"",PE_GERAL!$J$7*CAD_PROD!G192)</f>
        <v/>
      </c>
      <c r="P192" s="101" t="str">
        <f t="shared" si="8"/>
        <v/>
      </c>
      <c r="Q192" s="68" t="str">
        <f>IF(C192="","",IF(ISERROR(
CAD_PROD!E192*G192),"",CAD_PROD!E192*G192))</f>
        <v/>
      </c>
      <c r="R192" s="68" t="str">
        <f>IF(C192="","",IF(ISERROR(
CAD_PROD!E192*D192),"",CAD_PROD!E192*D192))</f>
        <v/>
      </c>
      <c r="S192" s="44" t="str">
        <f>IF(C192="","",IF(CAD_PROD!E192&gt;=P192,"Sim","Não"))</f>
        <v/>
      </c>
    </row>
    <row r="193" spans="1:19" ht="30" customHeight="1">
      <c r="A193" s="52">
        <f t="shared" si="6"/>
        <v>0</v>
      </c>
      <c r="B193" s="52">
        <f t="shared" si="7"/>
        <v>0</v>
      </c>
      <c r="C193" s="96" t="str">
        <f>IF(CAD_PROD!C193="","",CAD_PROD!C193)</f>
        <v/>
      </c>
      <c r="D193" s="75"/>
      <c r="E193" s="125"/>
      <c r="F193" s="125"/>
      <c r="G193" s="75"/>
      <c r="H193" s="75" t="str">
        <f>IF(C193="","",D193+CAD_PROD!D193*(E193+F193)+G193)</f>
        <v/>
      </c>
      <c r="I193" s="52">
        <v>9.9999999999999995E-7</v>
      </c>
      <c r="J193" s="68" t="str">
        <f>IF(ISERROR(
CAD_PROD!F193*E193),"",CAD_PROD!F193*E193)</f>
        <v/>
      </c>
      <c r="K193" s="68" t="str">
        <f>IF(ISERROR(
CAD_PROD!F193*F193),"",CAD_PROD!F193*F193)</f>
        <v/>
      </c>
      <c r="L193" s="68" t="str">
        <f>IF(ISERROR(
CAD_PROD!D193-H193),"",CAD_PROD!D193-H193)</f>
        <v/>
      </c>
      <c r="M193" s="57" t="str">
        <f>IF(ISERROR(
L193/CAD_PROD!D193),"",L193/CAD_PROD!D193)</f>
        <v/>
      </c>
      <c r="N193" s="68" t="str">
        <f>IF(ISERROR(
(P193*CAD_PROD!D193)),"",(P193*CAD_PROD!D193))</f>
        <v/>
      </c>
      <c r="O193" s="68" t="str">
        <f>IF(ISERROR(PE_GERAL!$J$7*CAD_PROD!G193),"",PE_GERAL!$J$7*CAD_PROD!G193)</f>
        <v/>
      </c>
      <c r="P193" s="101" t="str">
        <f t="shared" si="8"/>
        <v/>
      </c>
      <c r="Q193" s="68" t="str">
        <f>IF(C193="","",IF(ISERROR(
CAD_PROD!E193*G193),"",CAD_PROD!E193*G193))</f>
        <v/>
      </c>
      <c r="R193" s="68" t="str">
        <f>IF(C193="","",IF(ISERROR(
CAD_PROD!E193*D193),"",CAD_PROD!E193*D193))</f>
        <v/>
      </c>
      <c r="S193" s="44" t="str">
        <f>IF(C193="","",IF(CAD_PROD!E193&gt;=P193,"Sim","Não"))</f>
        <v/>
      </c>
    </row>
    <row r="194" spans="1:19" ht="30" customHeight="1">
      <c r="A194" s="52">
        <f t="shared" si="6"/>
        <v>0</v>
      </c>
      <c r="B194" s="52">
        <f t="shared" si="7"/>
        <v>0</v>
      </c>
      <c r="C194" s="96" t="str">
        <f>IF(CAD_PROD!C194="","",CAD_PROD!C194)</f>
        <v/>
      </c>
      <c r="D194" s="75"/>
      <c r="E194" s="125"/>
      <c r="F194" s="125"/>
      <c r="G194" s="75"/>
      <c r="H194" s="75" t="str">
        <f>IF(C194="","",D194+CAD_PROD!D194*(E194+F194)+G194)</f>
        <v/>
      </c>
      <c r="I194" s="52">
        <v>9.9999999999999995E-7</v>
      </c>
      <c r="J194" s="68" t="str">
        <f>IF(ISERROR(
CAD_PROD!F194*E194),"",CAD_PROD!F194*E194)</f>
        <v/>
      </c>
      <c r="K194" s="68" t="str">
        <f>IF(ISERROR(
CAD_PROD!F194*F194),"",CAD_PROD!F194*F194)</f>
        <v/>
      </c>
      <c r="L194" s="68" t="str">
        <f>IF(ISERROR(
CAD_PROD!D194-H194),"",CAD_PROD!D194-H194)</f>
        <v/>
      </c>
      <c r="M194" s="57" t="str">
        <f>IF(ISERROR(
L194/CAD_PROD!D194),"",L194/CAD_PROD!D194)</f>
        <v/>
      </c>
      <c r="N194" s="68" t="str">
        <f>IF(ISERROR(
(P194*CAD_PROD!D194)),"",(P194*CAD_PROD!D194))</f>
        <v/>
      </c>
      <c r="O194" s="68" t="str">
        <f>IF(ISERROR(PE_GERAL!$J$7*CAD_PROD!G194),"",PE_GERAL!$J$7*CAD_PROD!G194)</f>
        <v/>
      </c>
      <c r="P194" s="101" t="str">
        <f t="shared" si="8"/>
        <v/>
      </c>
      <c r="Q194" s="68" t="str">
        <f>IF(C194="","",IF(ISERROR(
CAD_PROD!E194*G194),"",CAD_PROD!E194*G194))</f>
        <v/>
      </c>
      <c r="R194" s="68" t="str">
        <f>IF(C194="","",IF(ISERROR(
CAD_PROD!E194*D194),"",CAD_PROD!E194*D194))</f>
        <v/>
      </c>
      <c r="S194" s="44" t="str">
        <f>IF(C194="","",IF(CAD_PROD!E194&gt;=P194,"Sim","Não"))</f>
        <v/>
      </c>
    </row>
    <row r="195" spans="1:19" ht="30" customHeight="1">
      <c r="A195" s="52">
        <f t="shared" si="6"/>
        <v>0</v>
      </c>
      <c r="B195" s="52">
        <f t="shared" si="7"/>
        <v>0</v>
      </c>
      <c r="C195" s="96" t="str">
        <f>IF(CAD_PROD!C195="","",CAD_PROD!C195)</f>
        <v/>
      </c>
      <c r="D195" s="75"/>
      <c r="E195" s="125"/>
      <c r="F195" s="125"/>
      <c r="G195" s="75"/>
      <c r="H195" s="75" t="str">
        <f>IF(C195="","",D195+CAD_PROD!D195*(E195+F195)+G195)</f>
        <v/>
      </c>
      <c r="I195" s="52">
        <v>9.9999999999999995E-7</v>
      </c>
      <c r="J195" s="68" t="str">
        <f>IF(ISERROR(
CAD_PROD!F195*E195),"",CAD_PROD!F195*E195)</f>
        <v/>
      </c>
      <c r="K195" s="68" t="str">
        <f>IF(ISERROR(
CAD_PROD!F195*F195),"",CAD_PROD!F195*F195)</f>
        <v/>
      </c>
      <c r="L195" s="68" t="str">
        <f>IF(ISERROR(
CAD_PROD!D195-H195),"",CAD_PROD!D195-H195)</f>
        <v/>
      </c>
      <c r="M195" s="57" t="str">
        <f>IF(ISERROR(
L195/CAD_PROD!D195),"",L195/CAD_PROD!D195)</f>
        <v/>
      </c>
      <c r="N195" s="68" t="str">
        <f>IF(ISERROR(
(P195*CAD_PROD!D195)),"",(P195*CAD_PROD!D195))</f>
        <v/>
      </c>
      <c r="O195" s="68" t="str">
        <f>IF(ISERROR(PE_GERAL!$J$7*CAD_PROD!G195),"",PE_GERAL!$J$7*CAD_PROD!G195)</f>
        <v/>
      </c>
      <c r="P195" s="101" t="str">
        <f t="shared" si="8"/>
        <v/>
      </c>
      <c r="Q195" s="68" t="str">
        <f>IF(C195="","",IF(ISERROR(
CAD_PROD!E195*G195),"",CAD_PROD!E195*G195))</f>
        <v/>
      </c>
      <c r="R195" s="68" t="str">
        <f>IF(C195="","",IF(ISERROR(
CAD_PROD!E195*D195),"",CAD_PROD!E195*D195))</f>
        <v/>
      </c>
      <c r="S195" s="44" t="str">
        <f>IF(C195="","",IF(CAD_PROD!E195&gt;=P195,"Sim","Não"))</f>
        <v/>
      </c>
    </row>
    <row r="196" spans="1:19" ht="30" customHeight="1">
      <c r="A196" s="52">
        <f t="shared" si="6"/>
        <v>0</v>
      </c>
      <c r="B196" s="52">
        <f t="shared" si="7"/>
        <v>0</v>
      </c>
      <c r="C196" s="96" t="str">
        <f>IF(CAD_PROD!C196="","",CAD_PROD!C196)</f>
        <v/>
      </c>
      <c r="D196" s="75"/>
      <c r="E196" s="125"/>
      <c r="F196" s="125"/>
      <c r="G196" s="75"/>
      <c r="H196" s="75" t="str">
        <f>IF(C196="","",D196+CAD_PROD!D196*(E196+F196)+G196)</f>
        <v/>
      </c>
      <c r="I196" s="52">
        <v>9.9999999999999995E-7</v>
      </c>
      <c r="J196" s="68" t="str">
        <f>IF(ISERROR(
CAD_PROD!F196*E196),"",CAD_PROD!F196*E196)</f>
        <v/>
      </c>
      <c r="K196" s="68" t="str">
        <f>IF(ISERROR(
CAD_PROD!F196*F196),"",CAD_PROD!F196*F196)</f>
        <v/>
      </c>
      <c r="L196" s="68" t="str">
        <f>IF(ISERROR(
CAD_PROD!D196-H196),"",CAD_PROD!D196-H196)</f>
        <v/>
      </c>
      <c r="M196" s="57" t="str">
        <f>IF(ISERROR(
L196/CAD_PROD!D196),"",L196/CAD_PROD!D196)</f>
        <v/>
      </c>
      <c r="N196" s="68" t="str">
        <f>IF(ISERROR(
(P196*CAD_PROD!D196)),"",(P196*CAD_PROD!D196))</f>
        <v/>
      </c>
      <c r="O196" s="68" t="str">
        <f>IF(ISERROR(PE_GERAL!$J$7*CAD_PROD!G196),"",PE_GERAL!$J$7*CAD_PROD!G196)</f>
        <v/>
      </c>
      <c r="P196" s="101" t="str">
        <f t="shared" si="8"/>
        <v/>
      </c>
      <c r="Q196" s="68" t="str">
        <f>IF(C196="","",IF(ISERROR(
CAD_PROD!E196*G196),"",CAD_PROD!E196*G196))</f>
        <v/>
      </c>
      <c r="R196" s="68" t="str">
        <f>IF(C196="","",IF(ISERROR(
CAD_PROD!E196*D196),"",CAD_PROD!E196*D196))</f>
        <v/>
      </c>
      <c r="S196" s="44" t="str">
        <f>IF(C196="","",IF(CAD_PROD!E196&gt;=P196,"Sim","Não"))</f>
        <v/>
      </c>
    </row>
    <row r="197" spans="1:19" ht="30" customHeight="1">
      <c r="A197" s="52">
        <f t="shared" si="6"/>
        <v>0</v>
      </c>
      <c r="B197" s="52">
        <f t="shared" si="7"/>
        <v>0</v>
      </c>
      <c r="C197" s="96" t="str">
        <f>IF(CAD_PROD!C197="","",CAD_PROD!C197)</f>
        <v/>
      </c>
      <c r="D197" s="75"/>
      <c r="E197" s="125"/>
      <c r="F197" s="125"/>
      <c r="G197" s="75"/>
      <c r="H197" s="75" t="str">
        <f>IF(C197="","",D197+CAD_PROD!D197*(E197+F197)+G197)</f>
        <v/>
      </c>
      <c r="I197" s="52">
        <v>9.9999999999999995E-7</v>
      </c>
      <c r="J197" s="68" t="str">
        <f>IF(ISERROR(
CAD_PROD!F197*E197),"",CAD_PROD!F197*E197)</f>
        <v/>
      </c>
      <c r="K197" s="68" t="str">
        <f>IF(ISERROR(
CAD_PROD!F197*F197),"",CAD_PROD!F197*F197)</f>
        <v/>
      </c>
      <c r="L197" s="68" t="str">
        <f>IF(ISERROR(
CAD_PROD!D197-H197),"",CAD_PROD!D197-H197)</f>
        <v/>
      </c>
      <c r="M197" s="57" t="str">
        <f>IF(ISERROR(
L197/CAD_PROD!D197),"",L197/CAD_PROD!D197)</f>
        <v/>
      </c>
      <c r="N197" s="68" t="str">
        <f>IF(ISERROR(
(P197*CAD_PROD!D197)),"",(P197*CAD_PROD!D197))</f>
        <v/>
      </c>
      <c r="O197" s="68" t="str">
        <f>IF(ISERROR(PE_GERAL!$J$7*CAD_PROD!G197),"",PE_GERAL!$J$7*CAD_PROD!G197)</f>
        <v/>
      </c>
      <c r="P197" s="101" t="str">
        <f t="shared" si="8"/>
        <v/>
      </c>
      <c r="Q197" s="68" t="str">
        <f>IF(C197="","",IF(ISERROR(
CAD_PROD!E197*G197),"",CAD_PROD!E197*G197))</f>
        <v/>
      </c>
      <c r="R197" s="68" t="str">
        <f>IF(C197="","",IF(ISERROR(
CAD_PROD!E197*D197),"",CAD_PROD!E197*D197))</f>
        <v/>
      </c>
      <c r="S197" s="44" t="str">
        <f>IF(C197="","",IF(CAD_PROD!E197&gt;=P197,"Sim","Não"))</f>
        <v/>
      </c>
    </row>
    <row r="198" spans="1:19" ht="30" customHeight="1">
      <c r="A198" s="52">
        <f t="shared" si="6"/>
        <v>0</v>
      </c>
      <c r="B198" s="52">
        <f t="shared" si="7"/>
        <v>0</v>
      </c>
      <c r="C198" s="96" t="str">
        <f>IF(CAD_PROD!C198="","",CAD_PROD!C198)</f>
        <v/>
      </c>
      <c r="D198" s="75"/>
      <c r="E198" s="125"/>
      <c r="F198" s="125"/>
      <c r="G198" s="75"/>
      <c r="H198" s="75" t="str">
        <f>IF(C198="","",D198+CAD_PROD!D198*(E198+F198)+G198)</f>
        <v/>
      </c>
      <c r="I198" s="52">
        <v>9.9999999999999995E-7</v>
      </c>
      <c r="J198" s="68" t="str">
        <f>IF(ISERROR(
CAD_PROD!F198*E198),"",CAD_PROD!F198*E198)</f>
        <v/>
      </c>
      <c r="K198" s="68" t="str">
        <f>IF(ISERROR(
CAD_PROD!F198*F198),"",CAD_PROD!F198*F198)</f>
        <v/>
      </c>
      <c r="L198" s="68" t="str">
        <f>IF(ISERROR(
CAD_PROD!D198-H198),"",CAD_PROD!D198-H198)</f>
        <v/>
      </c>
      <c r="M198" s="57" t="str">
        <f>IF(ISERROR(
L198/CAD_PROD!D198),"",L198/CAD_PROD!D198)</f>
        <v/>
      </c>
      <c r="N198" s="68" t="str">
        <f>IF(ISERROR(
(P198*CAD_PROD!D198)),"",(P198*CAD_PROD!D198))</f>
        <v/>
      </c>
      <c r="O198" s="68" t="str">
        <f>IF(ISERROR(PE_GERAL!$J$7*CAD_PROD!G198),"",PE_GERAL!$J$7*CAD_PROD!G198)</f>
        <v/>
      </c>
      <c r="P198" s="101" t="str">
        <f t="shared" si="8"/>
        <v/>
      </c>
      <c r="Q198" s="68" t="str">
        <f>IF(C198="","",IF(ISERROR(
CAD_PROD!E198*G198),"",CAD_PROD!E198*G198))</f>
        <v/>
      </c>
      <c r="R198" s="68" t="str">
        <f>IF(C198="","",IF(ISERROR(
CAD_PROD!E198*D198),"",CAD_PROD!E198*D198))</f>
        <v/>
      </c>
      <c r="S198" s="44" t="str">
        <f>IF(C198="","",IF(CAD_PROD!E198&gt;=P198,"Sim","Não"))</f>
        <v/>
      </c>
    </row>
    <row r="199" spans="1:19" ht="30" customHeight="1">
      <c r="A199" s="52">
        <f t="shared" ref="A199:A262" si="9">IFERROR(L199+I199,0)</f>
        <v>0</v>
      </c>
      <c r="B199" s="52">
        <f t="shared" ref="B199:B262" si="10">IFERROR(H199+I199,0)</f>
        <v>0</v>
      </c>
      <c r="C199" s="96" t="str">
        <f>IF(CAD_PROD!C199="","",CAD_PROD!C199)</f>
        <v/>
      </c>
      <c r="D199" s="75"/>
      <c r="E199" s="125"/>
      <c r="F199" s="125"/>
      <c r="G199" s="75"/>
      <c r="H199" s="75" t="str">
        <f>IF(C199="","",D199+CAD_PROD!D199*(E199+F199)+G199)</f>
        <v/>
      </c>
      <c r="I199" s="52">
        <v>9.9999999999999995E-7</v>
      </c>
      <c r="J199" s="68" t="str">
        <f>IF(ISERROR(
CAD_PROD!F199*E199),"",CAD_PROD!F199*E199)</f>
        <v/>
      </c>
      <c r="K199" s="68" t="str">
        <f>IF(ISERROR(
CAD_PROD!F199*F199),"",CAD_PROD!F199*F199)</f>
        <v/>
      </c>
      <c r="L199" s="68" t="str">
        <f>IF(ISERROR(
CAD_PROD!D199-H199),"",CAD_PROD!D199-H199)</f>
        <v/>
      </c>
      <c r="M199" s="57" t="str">
        <f>IF(ISERROR(
L199/CAD_PROD!D199),"",L199/CAD_PROD!D199)</f>
        <v/>
      </c>
      <c r="N199" s="68" t="str">
        <f>IF(ISERROR(
(P199*CAD_PROD!D199)),"",(P199*CAD_PROD!D199))</f>
        <v/>
      </c>
      <c r="O199" s="68" t="str">
        <f>IF(ISERROR(PE_GERAL!$J$7*CAD_PROD!G199),"",PE_GERAL!$J$7*CAD_PROD!G199)</f>
        <v/>
      </c>
      <c r="P199" s="101" t="str">
        <f t="shared" ref="P199:P262" si="11">IF(ISERROR(ROUNDUP(O199/L199,0)),"",ROUNDUP(O199/L199,0))</f>
        <v/>
      </c>
      <c r="Q199" s="68" t="str">
        <f>IF(C199="","",IF(ISERROR(
CAD_PROD!E199*G199),"",CAD_PROD!E199*G199))</f>
        <v/>
      </c>
      <c r="R199" s="68" t="str">
        <f>IF(C199="","",IF(ISERROR(
CAD_PROD!E199*D199),"",CAD_PROD!E199*D199))</f>
        <v/>
      </c>
      <c r="S199" s="44" t="str">
        <f>IF(C199="","",IF(CAD_PROD!E199&gt;=P199,"Sim","Não"))</f>
        <v/>
      </c>
    </row>
    <row r="200" spans="1:19" ht="30" customHeight="1">
      <c r="A200" s="52">
        <f t="shared" si="9"/>
        <v>0</v>
      </c>
      <c r="B200" s="52">
        <f t="shared" si="10"/>
        <v>0</v>
      </c>
      <c r="C200" s="96" t="str">
        <f>IF(CAD_PROD!C200="","",CAD_PROD!C200)</f>
        <v/>
      </c>
      <c r="D200" s="75"/>
      <c r="E200" s="125"/>
      <c r="F200" s="125"/>
      <c r="G200" s="75"/>
      <c r="H200" s="75" t="str">
        <f>IF(C200="","",D200+CAD_PROD!D200*(E200+F200)+G200)</f>
        <v/>
      </c>
      <c r="I200" s="52">
        <v>9.9999999999999995E-7</v>
      </c>
      <c r="J200" s="68" t="str">
        <f>IF(ISERROR(
CAD_PROD!F200*E200),"",CAD_PROD!F200*E200)</f>
        <v/>
      </c>
      <c r="K200" s="68" t="str">
        <f>IF(ISERROR(
CAD_PROD!F200*F200),"",CAD_PROD!F200*F200)</f>
        <v/>
      </c>
      <c r="L200" s="68" t="str">
        <f>IF(ISERROR(
CAD_PROD!D200-H200),"",CAD_PROD!D200-H200)</f>
        <v/>
      </c>
      <c r="M200" s="57" t="str">
        <f>IF(ISERROR(
L200/CAD_PROD!D200),"",L200/CAD_PROD!D200)</f>
        <v/>
      </c>
      <c r="N200" s="68" t="str">
        <f>IF(ISERROR(
(P200*CAD_PROD!D200)),"",(P200*CAD_PROD!D200))</f>
        <v/>
      </c>
      <c r="O200" s="68" t="str">
        <f>IF(ISERROR(PE_GERAL!$J$7*CAD_PROD!G200),"",PE_GERAL!$J$7*CAD_PROD!G200)</f>
        <v/>
      </c>
      <c r="P200" s="101" t="str">
        <f t="shared" si="11"/>
        <v/>
      </c>
      <c r="Q200" s="68" t="str">
        <f>IF(C200="","",IF(ISERROR(
CAD_PROD!E200*G200),"",CAD_PROD!E200*G200))</f>
        <v/>
      </c>
      <c r="R200" s="68" t="str">
        <f>IF(C200="","",IF(ISERROR(
CAD_PROD!E200*D200),"",CAD_PROD!E200*D200))</f>
        <v/>
      </c>
      <c r="S200" s="44" t="str">
        <f>IF(C200="","",IF(CAD_PROD!E200&gt;=P200,"Sim","Não"))</f>
        <v/>
      </c>
    </row>
    <row r="201" spans="1:19" ht="30" customHeight="1">
      <c r="A201" s="52">
        <f t="shared" si="9"/>
        <v>0</v>
      </c>
      <c r="B201" s="52">
        <f t="shared" si="10"/>
        <v>0</v>
      </c>
      <c r="C201" s="96" t="str">
        <f>IF(CAD_PROD!C201="","",CAD_PROD!C201)</f>
        <v/>
      </c>
      <c r="D201" s="75"/>
      <c r="E201" s="125"/>
      <c r="F201" s="125"/>
      <c r="G201" s="75"/>
      <c r="H201" s="75" t="str">
        <f>IF(C201="","",D201+CAD_PROD!D201*(E201+F201)+G201)</f>
        <v/>
      </c>
      <c r="I201" s="52">
        <v>9.9999999999999995E-7</v>
      </c>
      <c r="J201" s="68" t="str">
        <f>IF(ISERROR(
CAD_PROD!F201*E201),"",CAD_PROD!F201*E201)</f>
        <v/>
      </c>
      <c r="K201" s="68" t="str">
        <f>IF(ISERROR(
CAD_PROD!F201*F201),"",CAD_PROD!F201*F201)</f>
        <v/>
      </c>
      <c r="L201" s="68" t="str">
        <f>IF(ISERROR(
CAD_PROD!D201-H201),"",CAD_PROD!D201-H201)</f>
        <v/>
      </c>
      <c r="M201" s="57" t="str">
        <f>IF(ISERROR(
L201/CAD_PROD!D201),"",L201/CAD_PROD!D201)</f>
        <v/>
      </c>
      <c r="N201" s="68" t="str">
        <f>IF(ISERROR(
(P201*CAD_PROD!D201)),"",(P201*CAD_PROD!D201))</f>
        <v/>
      </c>
      <c r="O201" s="68" t="str">
        <f>IF(ISERROR(PE_GERAL!$J$7*CAD_PROD!G201),"",PE_GERAL!$J$7*CAD_PROD!G201)</f>
        <v/>
      </c>
      <c r="P201" s="101" t="str">
        <f t="shared" si="11"/>
        <v/>
      </c>
      <c r="Q201" s="68" t="str">
        <f>IF(C201="","",IF(ISERROR(
CAD_PROD!E201*G201),"",CAD_PROD!E201*G201))</f>
        <v/>
      </c>
      <c r="R201" s="68" t="str">
        <f>IF(C201="","",IF(ISERROR(
CAD_PROD!E201*D201),"",CAD_PROD!E201*D201))</f>
        <v/>
      </c>
      <c r="S201" s="44" t="str">
        <f>IF(C201="","",IF(CAD_PROD!E201&gt;=P201,"Sim","Não"))</f>
        <v/>
      </c>
    </row>
    <row r="202" spans="1:19" ht="30" customHeight="1">
      <c r="A202" s="52">
        <f t="shared" si="9"/>
        <v>0</v>
      </c>
      <c r="B202" s="52">
        <f t="shared" si="10"/>
        <v>0</v>
      </c>
      <c r="C202" s="96" t="str">
        <f>IF(CAD_PROD!C202="","",CAD_PROD!C202)</f>
        <v/>
      </c>
      <c r="D202" s="75"/>
      <c r="E202" s="125"/>
      <c r="F202" s="125"/>
      <c r="G202" s="75"/>
      <c r="H202" s="75" t="str">
        <f>IF(C202="","",D202+CAD_PROD!D202*(E202+F202)+G202)</f>
        <v/>
      </c>
      <c r="I202" s="52">
        <v>9.9999999999999995E-7</v>
      </c>
      <c r="J202" s="68" t="str">
        <f>IF(ISERROR(
CAD_PROD!F202*E202),"",CAD_PROD!F202*E202)</f>
        <v/>
      </c>
      <c r="K202" s="68" t="str">
        <f>IF(ISERROR(
CAD_PROD!F202*F202),"",CAD_PROD!F202*F202)</f>
        <v/>
      </c>
      <c r="L202" s="68" t="str">
        <f>IF(ISERROR(
CAD_PROD!D202-H202),"",CAD_PROD!D202-H202)</f>
        <v/>
      </c>
      <c r="M202" s="57" t="str">
        <f>IF(ISERROR(
L202/CAD_PROD!D202),"",L202/CAD_PROD!D202)</f>
        <v/>
      </c>
      <c r="N202" s="68" t="str">
        <f>IF(ISERROR(
(P202*CAD_PROD!D202)),"",(P202*CAD_PROD!D202))</f>
        <v/>
      </c>
      <c r="O202" s="68" t="str">
        <f>IF(ISERROR(PE_GERAL!$J$7*CAD_PROD!G202),"",PE_GERAL!$J$7*CAD_PROD!G202)</f>
        <v/>
      </c>
      <c r="P202" s="101" t="str">
        <f t="shared" si="11"/>
        <v/>
      </c>
      <c r="Q202" s="68" t="str">
        <f>IF(C202="","",IF(ISERROR(
CAD_PROD!E202*G202),"",CAD_PROD!E202*G202))</f>
        <v/>
      </c>
      <c r="R202" s="68" t="str">
        <f>IF(C202="","",IF(ISERROR(
CAD_PROD!E202*D202),"",CAD_PROD!E202*D202))</f>
        <v/>
      </c>
      <c r="S202" s="44" t="str">
        <f>IF(C202="","",IF(CAD_PROD!E202&gt;=P202,"Sim","Não"))</f>
        <v/>
      </c>
    </row>
    <row r="203" spans="1:19" ht="30" customHeight="1">
      <c r="A203" s="52">
        <f t="shared" si="9"/>
        <v>0</v>
      </c>
      <c r="B203" s="52">
        <f t="shared" si="10"/>
        <v>0</v>
      </c>
      <c r="C203" s="96" t="str">
        <f>IF(CAD_PROD!C203="","",CAD_PROD!C203)</f>
        <v/>
      </c>
      <c r="D203" s="75"/>
      <c r="E203" s="125"/>
      <c r="F203" s="125"/>
      <c r="G203" s="75"/>
      <c r="H203" s="75" t="str">
        <f>IF(C203="","",D203+CAD_PROD!D203*(E203+F203)+G203)</f>
        <v/>
      </c>
      <c r="I203" s="52">
        <v>9.9999999999999995E-7</v>
      </c>
      <c r="J203" s="68" t="str">
        <f>IF(ISERROR(
CAD_PROD!F203*E203),"",CAD_PROD!F203*E203)</f>
        <v/>
      </c>
      <c r="K203" s="68" t="str">
        <f>IF(ISERROR(
CAD_PROD!F203*F203),"",CAD_PROD!F203*F203)</f>
        <v/>
      </c>
      <c r="L203" s="68" t="str">
        <f>IF(ISERROR(
CAD_PROD!D203-H203),"",CAD_PROD!D203-H203)</f>
        <v/>
      </c>
      <c r="M203" s="57" t="str">
        <f>IF(ISERROR(
L203/CAD_PROD!D203),"",L203/CAD_PROD!D203)</f>
        <v/>
      </c>
      <c r="N203" s="68" t="str">
        <f>IF(ISERROR(
(P203*CAD_PROD!D203)),"",(P203*CAD_PROD!D203))</f>
        <v/>
      </c>
      <c r="O203" s="68" t="str">
        <f>IF(ISERROR(PE_GERAL!$J$7*CAD_PROD!G203),"",PE_GERAL!$J$7*CAD_PROD!G203)</f>
        <v/>
      </c>
      <c r="P203" s="101" t="str">
        <f t="shared" si="11"/>
        <v/>
      </c>
      <c r="Q203" s="68" t="str">
        <f>IF(C203="","",IF(ISERROR(
CAD_PROD!E203*G203),"",CAD_PROD!E203*G203))</f>
        <v/>
      </c>
      <c r="R203" s="68" t="str">
        <f>IF(C203="","",IF(ISERROR(
CAD_PROD!E203*D203),"",CAD_PROD!E203*D203))</f>
        <v/>
      </c>
      <c r="S203" s="44" t="str">
        <f>IF(C203="","",IF(CAD_PROD!E203&gt;=P203,"Sim","Não"))</f>
        <v/>
      </c>
    </row>
    <row r="204" spans="1:19" ht="30" customHeight="1">
      <c r="A204" s="52">
        <f t="shared" si="9"/>
        <v>0</v>
      </c>
      <c r="B204" s="52">
        <f t="shared" si="10"/>
        <v>0</v>
      </c>
      <c r="C204" s="96" t="str">
        <f>IF(CAD_PROD!C204="","",CAD_PROD!C204)</f>
        <v/>
      </c>
      <c r="D204" s="75"/>
      <c r="E204" s="125"/>
      <c r="F204" s="125"/>
      <c r="G204" s="75"/>
      <c r="H204" s="75" t="str">
        <f>IF(C204="","",D204+CAD_PROD!D204*(E204+F204)+G204)</f>
        <v/>
      </c>
      <c r="I204" s="52">
        <v>9.9999999999999995E-7</v>
      </c>
      <c r="J204" s="68" t="str">
        <f>IF(ISERROR(
CAD_PROD!F204*E204),"",CAD_PROD!F204*E204)</f>
        <v/>
      </c>
      <c r="K204" s="68" t="str">
        <f>IF(ISERROR(
CAD_PROD!F204*F204),"",CAD_PROD!F204*F204)</f>
        <v/>
      </c>
      <c r="L204" s="68" t="str">
        <f>IF(ISERROR(
CAD_PROD!D204-H204),"",CAD_PROD!D204-H204)</f>
        <v/>
      </c>
      <c r="M204" s="57" t="str">
        <f>IF(ISERROR(
L204/CAD_PROD!D204),"",L204/CAD_PROD!D204)</f>
        <v/>
      </c>
      <c r="N204" s="68" t="str">
        <f>IF(ISERROR(
(P204*CAD_PROD!D204)),"",(P204*CAD_PROD!D204))</f>
        <v/>
      </c>
      <c r="O204" s="68" t="str">
        <f>IF(ISERROR(PE_GERAL!$J$7*CAD_PROD!G204),"",PE_GERAL!$J$7*CAD_PROD!G204)</f>
        <v/>
      </c>
      <c r="P204" s="101" t="str">
        <f t="shared" si="11"/>
        <v/>
      </c>
      <c r="Q204" s="68" t="str">
        <f>IF(C204="","",IF(ISERROR(
CAD_PROD!E204*G204),"",CAD_PROD!E204*G204))</f>
        <v/>
      </c>
      <c r="R204" s="68" t="str">
        <f>IF(C204="","",IF(ISERROR(
CAD_PROD!E204*D204),"",CAD_PROD!E204*D204))</f>
        <v/>
      </c>
      <c r="S204" s="44" t="str">
        <f>IF(C204="","",IF(CAD_PROD!E204&gt;=P204,"Sim","Não"))</f>
        <v/>
      </c>
    </row>
    <row r="205" spans="1:19" ht="30" customHeight="1">
      <c r="A205" s="52">
        <f t="shared" si="9"/>
        <v>0</v>
      </c>
      <c r="B205" s="52">
        <f t="shared" si="10"/>
        <v>0</v>
      </c>
      <c r="C205" s="96" t="str">
        <f>IF(CAD_PROD!C205="","",CAD_PROD!C205)</f>
        <v/>
      </c>
      <c r="D205" s="75"/>
      <c r="E205" s="125"/>
      <c r="F205" s="125"/>
      <c r="G205" s="75"/>
      <c r="H205" s="75" t="str">
        <f>IF(C205="","",D205+CAD_PROD!D205*(E205+F205)+G205)</f>
        <v/>
      </c>
      <c r="I205" s="52">
        <v>9.9999999999999995E-7</v>
      </c>
      <c r="J205" s="68" t="str">
        <f>IF(ISERROR(
CAD_PROD!F205*E205),"",CAD_PROD!F205*E205)</f>
        <v/>
      </c>
      <c r="K205" s="68" t="str">
        <f>IF(ISERROR(
CAD_PROD!F205*F205),"",CAD_PROD!F205*F205)</f>
        <v/>
      </c>
      <c r="L205" s="68" t="str">
        <f>IF(ISERROR(
CAD_PROD!D205-H205),"",CAD_PROD!D205-H205)</f>
        <v/>
      </c>
      <c r="M205" s="57" t="str">
        <f>IF(ISERROR(
L205/CAD_PROD!D205),"",L205/CAD_PROD!D205)</f>
        <v/>
      </c>
      <c r="N205" s="68" t="str">
        <f>IF(ISERROR(
(P205*CAD_PROD!D205)),"",(P205*CAD_PROD!D205))</f>
        <v/>
      </c>
      <c r="O205" s="68" t="str">
        <f>IF(ISERROR(PE_GERAL!$J$7*CAD_PROD!G205),"",PE_GERAL!$J$7*CAD_PROD!G205)</f>
        <v/>
      </c>
      <c r="P205" s="101" t="str">
        <f t="shared" si="11"/>
        <v/>
      </c>
      <c r="Q205" s="68" t="str">
        <f>IF(C205="","",IF(ISERROR(
CAD_PROD!E205*G205),"",CAD_PROD!E205*G205))</f>
        <v/>
      </c>
      <c r="R205" s="68" t="str">
        <f>IF(C205="","",IF(ISERROR(
CAD_PROD!E205*D205),"",CAD_PROD!E205*D205))</f>
        <v/>
      </c>
      <c r="S205" s="44" t="str">
        <f>IF(C205="","",IF(CAD_PROD!E205&gt;=P205,"Sim","Não"))</f>
        <v/>
      </c>
    </row>
    <row r="206" spans="1:19" ht="30" customHeight="1">
      <c r="A206" s="52">
        <f t="shared" si="9"/>
        <v>0</v>
      </c>
      <c r="B206" s="52">
        <f t="shared" si="10"/>
        <v>0</v>
      </c>
      <c r="C206" s="96" t="str">
        <f>IF(CAD_PROD!C206="","",CAD_PROD!C206)</f>
        <v/>
      </c>
      <c r="D206" s="75"/>
      <c r="E206" s="125"/>
      <c r="F206" s="125"/>
      <c r="G206" s="75"/>
      <c r="H206" s="75" t="str">
        <f>IF(C206="","",D206+CAD_PROD!D206*(E206+F206)+G206)</f>
        <v/>
      </c>
      <c r="I206" s="52">
        <v>9.9999999999999995E-7</v>
      </c>
      <c r="J206" s="68" t="str">
        <f>IF(ISERROR(
CAD_PROD!F206*E206),"",CAD_PROD!F206*E206)</f>
        <v/>
      </c>
      <c r="K206" s="68" t="str">
        <f>IF(ISERROR(
CAD_PROD!F206*F206),"",CAD_PROD!F206*F206)</f>
        <v/>
      </c>
      <c r="L206" s="68" t="str">
        <f>IF(ISERROR(
CAD_PROD!D206-H206),"",CAD_PROD!D206-H206)</f>
        <v/>
      </c>
      <c r="M206" s="57" t="str">
        <f>IF(ISERROR(
L206/CAD_PROD!D206),"",L206/CAD_PROD!D206)</f>
        <v/>
      </c>
      <c r="N206" s="68" t="str">
        <f>IF(ISERROR(
(P206*CAD_PROD!D206)),"",(P206*CAD_PROD!D206))</f>
        <v/>
      </c>
      <c r="O206" s="68" t="str">
        <f>IF(ISERROR(PE_GERAL!$J$7*CAD_PROD!G206),"",PE_GERAL!$J$7*CAD_PROD!G206)</f>
        <v/>
      </c>
      <c r="P206" s="101" t="str">
        <f t="shared" si="11"/>
        <v/>
      </c>
      <c r="Q206" s="68" t="str">
        <f>IF(C206="","",IF(ISERROR(
CAD_PROD!E206*G206),"",CAD_PROD!E206*G206))</f>
        <v/>
      </c>
      <c r="R206" s="68" t="str">
        <f>IF(C206="","",IF(ISERROR(
CAD_PROD!E206*D206),"",CAD_PROD!E206*D206))</f>
        <v/>
      </c>
      <c r="S206" s="44" t="str">
        <f>IF(C206="","",IF(CAD_PROD!E206&gt;=P206,"Sim","Não"))</f>
        <v/>
      </c>
    </row>
    <row r="207" spans="1:19" ht="30" customHeight="1">
      <c r="A207" s="52">
        <f t="shared" si="9"/>
        <v>0</v>
      </c>
      <c r="B207" s="52">
        <f t="shared" si="10"/>
        <v>0</v>
      </c>
      <c r="C207" s="96" t="str">
        <f>IF(CAD_PROD!C207="","",CAD_PROD!C207)</f>
        <v/>
      </c>
      <c r="D207" s="75"/>
      <c r="E207" s="125"/>
      <c r="F207" s="125"/>
      <c r="G207" s="75"/>
      <c r="H207" s="75" t="str">
        <f>IF(C207="","",D207+CAD_PROD!D207*(E207+F207)+G207)</f>
        <v/>
      </c>
      <c r="I207" s="52">
        <v>9.9999999999999995E-7</v>
      </c>
      <c r="J207" s="68" t="str">
        <f>IF(ISERROR(
CAD_PROD!F207*E207),"",CAD_PROD!F207*E207)</f>
        <v/>
      </c>
      <c r="K207" s="68" t="str">
        <f>IF(ISERROR(
CAD_PROD!F207*F207),"",CAD_PROD!F207*F207)</f>
        <v/>
      </c>
      <c r="L207" s="68" t="str">
        <f>IF(ISERROR(
CAD_PROD!D207-H207),"",CAD_PROD!D207-H207)</f>
        <v/>
      </c>
      <c r="M207" s="57" t="str">
        <f>IF(ISERROR(
L207/CAD_PROD!D207),"",L207/CAD_PROD!D207)</f>
        <v/>
      </c>
      <c r="N207" s="68" t="str">
        <f>IF(ISERROR(
(P207*CAD_PROD!D207)),"",(P207*CAD_PROD!D207))</f>
        <v/>
      </c>
      <c r="O207" s="68" t="str">
        <f>IF(ISERROR(PE_GERAL!$J$7*CAD_PROD!G207),"",PE_GERAL!$J$7*CAD_PROD!G207)</f>
        <v/>
      </c>
      <c r="P207" s="101" t="str">
        <f t="shared" si="11"/>
        <v/>
      </c>
      <c r="Q207" s="68" t="str">
        <f>IF(C207="","",IF(ISERROR(
CAD_PROD!E207*G207),"",CAD_PROD!E207*G207))</f>
        <v/>
      </c>
      <c r="R207" s="68" t="str">
        <f>IF(C207="","",IF(ISERROR(
CAD_PROD!E207*D207),"",CAD_PROD!E207*D207))</f>
        <v/>
      </c>
      <c r="S207" s="44" t="str">
        <f>IF(C207="","",IF(CAD_PROD!E207&gt;=P207,"Sim","Não"))</f>
        <v/>
      </c>
    </row>
    <row r="208" spans="1:19" ht="30" customHeight="1">
      <c r="A208" s="52">
        <f t="shared" si="9"/>
        <v>0</v>
      </c>
      <c r="B208" s="52">
        <f t="shared" si="10"/>
        <v>0</v>
      </c>
      <c r="C208" s="96" t="str">
        <f>IF(CAD_PROD!C208="","",CAD_PROD!C208)</f>
        <v/>
      </c>
      <c r="D208" s="75"/>
      <c r="E208" s="125"/>
      <c r="F208" s="125"/>
      <c r="G208" s="75"/>
      <c r="H208" s="75" t="str">
        <f>IF(C208="","",D208+CAD_PROD!D208*(E208+F208)+G208)</f>
        <v/>
      </c>
      <c r="I208" s="52">
        <v>9.9999999999999995E-7</v>
      </c>
      <c r="J208" s="68" t="str">
        <f>IF(ISERROR(
CAD_PROD!F208*E208),"",CAD_PROD!F208*E208)</f>
        <v/>
      </c>
      <c r="K208" s="68" t="str">
        <f>IF(ISERROR(
CAD_PROD!F208*F208),"",CAD_PROD!F208*F208)</f>
        <v/>
      </c>
      <c r="L208" s="68" t="str">
        <f>IF(ISERROR(
CAD_PROD!D208-H208),"",CAD_PROD!D208-H208)</f>
        <v/>
      </c>
      <c r="M208" s="57" t="str">
        <f>IF(ISERROR(
L208/CAD_PROD!D208),"",L208/CAD_PROD!D208)</f>
        <v/>
      </c>
      <c r="N208" s="68" t="str">
        <f>IF(ISERROR(
(P208*CAD_PROD!D208)),"",(P208*CAD_PROD!D208))</f>
        <v/>
      </c>
      <c r="O208" s="68" t="str">
        <f>IF(ISERROR(PE_GERAL!$J$7*CAD_PROD!G208),"",PE_GERAL!$J$7*CAD_PROD!G208)</f>
        <v/>
      </c>
      <c r="P208" s="101" t="str">
        <f t="shared" si="11"/>
        <v/>
      </c>
      <c r="Q208" s="68" t="str">
        <f>IF(C208="","",IF(ISERROR(
CAD_PROD!E208*G208),"",CAD_PROD!E208*G208))</f>
        <v/>
      </c>
      <c r="R208" s="68" t="str">
        <f>IF(C208="","",IF(ISERROR(
CAD_PROD!E208*D208),"",CAD_PROD!E208*D208))</f>
        <v/>
      </c>
      <c r="S208" s="44" t="str">
        <f>IF(C208="","",IF(CAD_PROD!E208&gt;=P208,"Sim","Não"))</f>
        <v/>
      </c>
    </row>
    <row r="209" spans="1:19" ht="30" customHeight="1">
      <c r="A209" s="52">
        <f t="shared" si="9"/>
        <v>0</v>
      </c>
      <c r="B209" s="52">
        <f t="shared" si="10"/>
        <v>0</v>
      </c>
      <c r="C209" s="96" t="str">
        <f>IF(CAD_PROD!C209="","",CAD_PROD!C209)</f>
        <v/>
      </c>
      <c r="D209" s="75"/>
      <c r="E209" s="125"/>
      <c r="F209" s="125"/>
      <c r="G209" s="75"/>
      <c r="H209" s="75" t="str">
        <f>IF(C209="","",D209+CAD_PROD!D209*(E209+F209)+G209)</f>
        <v/>
      </c>
      <c r="I209" s="52">
        <v>9.9999999999999995E-7</v>
      </c>
      <c r="J209" s="68" t="str">
        <f>IF(ISERROR(
CAD_PROD!F209*E209),"",CAD_PROD!F209*E209)</f>
        <v/>
      </c>
      <c r="K209" s="68" t="str">
        <f>IF(ISERROR(
CAD_PROD!F209*F209),"",CAD_PROD!F209*F209)</f>
        <v/>
      </c>
      <c r="L209" s="68" t="str">
        <f>IF(ISERROR(
CAD_PROD!D209-H209),"",CAD_PROD!D209-H209)</f>
        <v/>
      </c>
      <c r="M209" s="57" t="str">
        <f>IF(ISERROR(
L209/CAD_PROD!D209),"",L209/CAD_PROD!D209)</f>
        <v/>
      </c>
      <c r="N209" s="68" t="str">
        <f>IF(ISERROR(
(P209*CAD_PROD!D209)),"",(P209*CAD_PROD!D209))</f>
        <v/>
      </c>
      <c r="O209" s="68" t="str">
        <f>IF(ISERROR(PE_GERAL!$J$7*CAD_PROD!G209),"",PE_GERAL!$J$7*CAD_PROD!G209)</f>
        <v/>
      </c>
      <c r="P209" s="101" t="str">
        <f t="shared" si="11"/>
        <v/>
      </c>
      <c r="Q209" s="68" t="str">
        <f>IF(C209="","",IF(ISERROR(
CAD_PROD!E209*G209),"",CAD_PROD!E209*G209))</f>
        <v/>
      </c>
      <c r="R209" s="68" t="str">
        <f>IF(C209="","",IF(ISERROR(
CAD_PROD!E209*D209),"",CAD_PROD!E209*D209))</f>
        <v/>
      </c>
      <c r="S209" s="44" t="str">
        <f>IF(C209="","",IF(CAD_PROD!E209&gt;=P209,"Sim","Não"))</f>
        <v/>
      </c>
    </row>
    <row r="210" spans="1:19" ht="30" customHeight="1">
      <c r="A210" s="52">
        <f t="shared" si="9"/>
        <v>0</v>
      </c>
      <c r="B210" s="52">
        <f t="shared" si="10"/>
        <v>0</v>
      </c>
      <c r="C210" s="96" t="str">
        <f>IF(CAD_PROD!C210="","",CAD_PROD!C210)</f>
        <v/>
      </c>
      <c r="D210" s="75"/>
      <c r="E210" s="125"/>
      <c r="F210" s="125"/>
      <c r="G210" s="75"/>
      <c r="H210" s="75" t="str">
        <f>IF(C210="","",D210+CAD_PROD!D210*(E210+F210)+G210)</f>
        <v/>
      </c>
      <c r="I210" s="52">
        <v>9.9999999999999995E-7</v>
      </c>
      <c r="J210" s="68" t="str">
        <f>IF(ISERROR(
CAD_PROD!F210*E210),"",CAD_PROD!F210*E210)</f>
        <v/>
      </c>
      <c r="K210" s="68" t="str">
        <f>IF(ISERROR(
CAD_PROD!F210*F210),"",CAD_PROD!F210*F210)</f>
        <v/>
      </c>
      <c r="L210" s="68" t="str">
        <f>IF(ISERROR(
CAD_PROD!D210-H210),"",CAD_PROD!D210-H210)</f>
        <v/>
      </c>
      <c r="M210" s="57" t="str">
        <f>IF(ISERROR(
L210/CAD_PROD!D210),"",L210/CAD_PROD!D210)</f>
        <v/>
      </c>
      <c r="N210" s="68" t="str">
        <f>IF(ISERROR(
(P210*CAD_PROD!D210)),"",(P210*CAD_PROD!D210))</f>
        <v/>
      </c>
      <c r="O210" s="68" t="str">
        <f>IF(ISERROR(PE_GERAL!$J$7*CAD_PROD!G210),"",PE_GERAL!$J$7*CAD_PROD!G210)</f>
        <v/>
      </c>
      <c r="P210" s="101" t="str">
        <f t="shared" si="11"/>
        <v/>
      </c>
      <c r="Q210" s="68" t="str">
        <f>IF(C210="","",IF(ISERROR(
CAD_PROD!E210*G210),"",CAD_PROD!E210*G210))</f>
        <v/>
      </c>
      <c r="R210" s="68" t="str">
        <f>IF(C210="","",IF(ISERROR(
CAD_PROD!E210*D210),"",CAD_PROD!E210*D210))</f>
        <v/>
      </c>
      <c r="S210" s="44" t="str">
        <f>IF(C210="","",IF(CAD_PROD!E210&gt;=P210,"Sim","Não"))</f>
        <v/>
      </c>
    </row>
    <row r="211" spans="1:19" ht="30" customHeight="1">
      <c r="A211" s="52">
        <f t="shared" si="9"/>
        <v>0</v>
      </c>
      <c r="B211" s="52">
        <f t="shared" si="10"/>
        <v>0</v>
      </c>
      <c r="C211" s="96" t="str">
        <f>IF(CAD_PROD!C211="","",CAD_PROD!C211)</f>
        <v/>
      </c>
      <c r="D211" s="75"/>
      <c r="E211" s="125"/>
      <c r="F211" s="125"/>
      <c r="G211" s="75"/>
      <c r="H211" s="75" t="str">
        <f>IF(C211="","",D211+CAD_PROD!D211*(E211+F211)+G211)</f>
        <v/>
      </c>
      <c r="I211" s="52">
        <v>9.9999999999999995E-7</v>
      </c>
      <c r="J211" s="68" t="str">
        <f>IF(ISERROR(
CAD_PROD!F211*E211),"",CAD_PROD!F211*E211)</f>
        <v/>
      </c>
      <c r="K211" s="68" t="str">
        <f>IF(ISERROR(
CAD_PROD!F211*F211),"",CAD_PROD!F211*F211)</f>
        <v/>
      </c>
      <c r="L211" s="68" t="str">
        <f>IF(ISERROR(
CAD_PROD!D211-H211),"",CAD_PROD!D211-H211)</f>
        <v/>
      </c>
      <c r="M211" s="57" t="str">
        <f>IF(ISERROR(
L211/CAD_PROD!D211),"",L211/CAD_PROD!D211)</f>
        <v/>
      </c>
      <c r="N211" s="68" t="str">
        <f>IF(ISERROR(
(P211*CAD_PROD!D211)),"",(P211*CAD_PROD!D211))</f>
        <v/>
      </c>
      <c r="O211" s="68" t="str">
        <f>IF(ISERROR(PE_GERAL!$J$7*CAD_PROD!G211),"",PE_GERAL!$J$7*CAD_PROD!G211)</f>
        <v/>
      </c>
      <c r="P211" s="101" t="str">
        <f t="shared" si="11"/>
        <v/>
      </c>
      <c r="Q211" s="68" t="str">
        <f>IF(C211="","",IF(ISERROR(
CAD_PROD!E211*G211),"",CAD_PROD!E211*G211))</f>
        <v/>
      </c>
      <c r="R211" s="68" t="str">
        <f>IF(C211="","",IF(ISERROR(
CAD_PROD!E211*D211),"",CAD_PROD!E211*D211))</f>
        <v/>
      </c>
      <c r="S211" s="44" t="str">
        <f>IF(C211="","",IF(CAD_PROD!E211&gt;=P211,"Sim","Não"))</f>
        <v/>
      </c>
    </row>
    <row r="212" spans="1:19" ht="30" customHeight="1">
      <c r="A212" s="52">
        <f t="shared" si="9"/>
        <v>0</v>
      </c>
      <c r="B212" s="52">
        <f t="shared" si="10"/>
        <v>0</v>
      </c>
      <c r="C212" s="96" t="str">
        <f>IF(CAD_PROD!C212="","",CAD_PROD!C212)</f>
        <v/>
      </c>
      <c r="D212" s="75"/>
      <c r="E212" s="125"/>
      <c r="F212" s="125"/>
      <c r="G212" s="75"/>
      <c r="H212" s="75" t="str">
        <f>IF(C212="","",D212+CAD_PROD!D212*(E212+F212)+G212)</f>
        <v/>
      </c>
      <c r="I212" s="52">
        <v>9.9999999999999995E-7</v>
      </c>
      <c r="J212" s="68" t="str">
        <f>IF(ISERROR(
CAD_PROD!F212*E212),"",CAD_PROD!F212*E212)</f>
        <v/>
      </c>
      <c r="K212" s="68" t="str">
        <f>IF(ISERROR(
CAD_PROD!F212*F212),"",CAD_PROD!F212*F212)</f>
        <v/>
      </c>
      <c r="L212" s="68" t="str">
        <f>IF(ISERROR(
CAD_PROD!D212-H212),"",CAD_PROD!D212-H212)</f>
        <v/>
      </c>
      <c r="M212" s="57" t="str">
        <f>IF(ISERROR(
L212/CAD_PROD!D212),"",L212/CAD_PROD!D212)</f>
        <v/>
      </c>
      <c r="N212" s="68" t="str">
        <f>IF(ISERROR(
(P212*CAD_PROD!D212)),"",(P212*CAD_PROD!D212))</f>
        <v/>
      </c>
      <c r="O212" s="68" t="str">
        <f>IF(ISERROR(PE_GERAL!$J$7*CAD_PROD!G212),"",PE_GERAL!$J$7*CAD_PROD!G212)</f>
        <v/>
      </c>
      <c r="P212" s="101" t="str">
        <f t="shared" si="11"/>
        <v/>
      </c>
      <c r="Q212" s="68" t="str">
        <f>IF(C212="","",IF(ISERROR(
CAD_PROD!E212*G212),"",CAD_PROD!E212*G212))</f>
        <v/>
      </c>
      <c r="R212" s="68" t="str">
        <f>IF(C212="","",IF(ISERROR(
CAD_PROD!E212*D212),"",CAD_PROD!E212*D212))</f>
        <v/>
      </c>
      <c r="S212" s="44" t="str">
        <f>IF(C212="","",IF(CAD_PROD!E212&gt;=P212,"Sim","Não"))</f>
        <v/>
      </c>
    </row>
    <row r="213" spans="1:19" ht="30" customHeight="1">
      <c r="A213" s="52">
        <f t="shared" si="9"/>
        <v>0</v>
      </c>
      <c r="B213" s="52">
        <f t="shared" si="10"/>
        <v>0</v>
      </c>
      <c r="C213" s="96" t="str">
        <f>IF(CAD_PROD!C213="","",CAD_PROD!C213)</f>
        <v/>
      </c>
      <c r="D213" s="75"/>
      <c r="E213" s="125"/>
      <c r="F213" s="125"/>
      <c r="G213" s="75"/>
      <c r="H213" s="75" t="str">
        <f>IF(C213="","",D213+CAD_PROD!D213*(E213+F213)+G213)</f>
        <v/>
      </c>
      <c r="I213" s="52">
        <v>9.9999999999999995E-7</v>
      </c>
      <c r="J213" s="68" t="str">
        <f>IF(ISERROR(
CAD_PROD!F213*E213),"",CAD_PROD!F213*E213)</f>
        <v/>
      </c>
      <c r="K213" s="68" t="str">
        <f>IF(ISERROR(
CAD_PROD!F213*F213),"",CAD_PROD!F213*F213)</f>
        <v/>
      </c>
      <c r="L213" s="68" t="str">
        <f>IF(ISERROR(
CAD_PROD!D213-H213),"",CAD_PROD!D213-H213)</f>
        <v/>
      </c>
      <c r="M213" s="57" t="str">
        <f>IF(ISERROR(
L213/CAD_PROD!D213),"",L213/CAD_PROD!D213)</f>
        <v/>
      </c>
      <c r="N213" s="68" t="str">
        <f>IF(ISERROR(
(P213*CAD_PROD!D213)),"",(P213*CAD_PROD!D213))</f>
        <v/>
      </c>
      <c r="O213" s="68" t="str">
        <f>IF(ISERROR(PE_GERAL!$J$7*CAD_PROD!G213),"",PE_GERAL!$J$7*CAD_PROD!G213)</f>
        <v/>
      </c>
      <c r="P213" s="101" t="str">
        <f t="shared" si="11"/>
        <v/>
      </c>
      <c r="Q213" s="68" t="str">
        <f>IF(C213="","",IF(ISERROR(
CAD_PROD!E213*G213),"",CAD_PROD!E213*G213))</f>
        <v/>
      </c>
      <c r="R213" s="68" t="str">
        <f>IF(C213="","",IF(ISERROR(
CAD_PROD!E213*D213),"",CAD_PROD!E213*D213))</f>
        <v/>
      </c>
      <c r="S213" s="44" t="str">
        <f>IF(C213="","",IF(CAD_PROD!E213&gt;=P213,"Sim","Não"))</f>
        <v/>
      </c>
    </row>
    <row r="214" spans="1:19" ht="30" customHeight="1">
      <c r="A214" s="52">
        <f t="shared" si="9"/>
        <v>0</v>
      </c>
      <c r="B214" s="52">
        <f t="shared" si="10"/>
        <v>0</v>
      </c>
      <c r="C214" s="96" t="str">
        <f>IF(CAD_PROD!C214="","",CAD_PROD!C214)</f>
        <v/>
      </c>
      <c r="D214" s="75"/>
      <c r="E214" s="125"/>
      <c r="F214" s="125"/>
      <c r="G214" s="75"/>
      <c r="H214" s="75" t="str">
        <f>IF(C214="","",D214+CAD_PROD!D214*(E214+F214)+G214)</f>
        <v/>
      </c>
      <c r="I214" s="52">
        <v>9.9999999999999995E-7</v>
      </c>
      <c r="J214" s="68" t="str">
        <f>IF(ISERROR(
CAD_PROD!F214*E214),"",CAD_PROD!F214*E214)</f>
        <v/>
      </c>
      <c r="K214" s="68" t="str">
        <f>IF(ISERROR(
CAD_PROD!F214*F214),"",CAD_PROD!F214*F214)</f>
        <v/>
      </c>
      <c r="L214" s="68" t="str">
        <f>IF(ISERROR(
CAD_PROD!D214-H214),"",CAD_PROD!D214-H214)</f>
        <v/>
      </c>
      <c r="M214" s="57" t="str">
        <f>IF(ISERROR(
L214/CAD_PROD!D214),"",L214/CAD_PROD!D214)</f>
        <v/>
      </c>
      <c r="N214" s="68" t="str">
        <f>IF(ISERROR(
(P214*CAD_PROD!D214)),"",(P214*CAD_PROD!D214))</f>
        <v/>
      </c>
      <c r="O214" s="68" t="str">
        <f>IF(ISERROR(PE_GERAL!$J$7*CAD_PROD!G214),"",PE_GERAL!$J$7*CAD_PROD!G214)</f>
        <v/>
      </c>
      <c r="P214" s="101" t="str">
        <f t="shared" si="11"/>
        <v/>
      </c>
      <c r="Q214" s="68" t="str">
        <f>IF(C214="","",IF(ISERROR(
CAD_PROD!E214*G214),"",CAD_PROD!E214*G214))</f>
        <v/>
      </c>
      <c r="R214" s="68" t="str">
        <f>IF(C214="","",IF(ISERROR(
CAD_PROD!E214*D214),"",CAD_PROD!E214*D214))</f>
        <v/>
      </c>
      <c r="S214" s="44" t="str">
        <f>IF(C214="","",IF(CAD_PROD!E214&gt;=P214,"Sim","Não"))</f>
        <v/>
      </c>
    </row>
    <row r="215" spans="1:19" ht="30" customHeight="1">
      <c r="A215" s="52">
        <f t="shared" si="9"/>
        <v>0</v>
      </c>
      <c r="B215" s="52">
        <f t="shared" si="10"/>
        <v>0</v>
      </c>
      <c r="C215" s="96" t="str">
        <f>IF(CAD_PROD!C215="","",CAD_PROD!C215)</f>
        <v/>
      </c>
      <c r="D215" s="75"/>
      <c r="E215" s="125"/>
      <c r="F215" s="125"/>
      <c r="G215" s="75"/>
      <c r="H215" s="75" t="str">
        <f>IF(C215="","",D215+CAD_PROD!D215*(E215+F215)+G215)</f>
        <v/>
      </c>
      <c r="I215" s="52">
        <v>9.9999999999999995E-7</v>
      </c>
      <c r="J215" s="68" t="str">
        <f>IF(ISERROR(
CAD_PROD!F215*E215),"",CAD_PROD!F215*E215)</f>
        <v/>
      </c>
      <c r="K215" s="68" t="str">
        <f>IF(ISERROR(
CAD_PROD!F215*F215),"",CAD_PROD!F215*F215)</f>
        <v/>
      </c>
      <c r="L215" s="68" t="str">
        <f>IF(ISERROR(
CAD_PROD!D215-H215),"",CAD_PROD!D215-H215)</f>
        <v/>
      </c>
      <c r="M215" s="57" t="str">
        <f>IF(ISERROR(
L215/CAD_PROD!D215),"",L215/CAD_PROD!D215)</f>
        <v/>
      </c>
      <c r="N215" s="68" t="str">
        <f>IF(ISERROR(
(P215*CAD_PROD!D215)),"",(P215*CAD_PROD!D215))</f>
        <v/>
      </c>
      <c r="O215" s="68" t="str">
        <f>IF(ISERROR(PE_GERAL!$J$7*CAD_PROD!G215),"",PE_GERAL!$J$7*CAD_PROD!G215)</f>
        <v/>
      </c>
      <c r="P215" s="101" t="str">
        <f t="shared" si="11"/>
        <v/>
      </c>
      <c r="Q215" s="68" t="str">
        <f>IF(C215="","",IF(ISERROR(
CAD_PROD!E215*G215),"",CAD_PROD!E215*G215))</f>
        <v/>
      </c>
      <c r="R215" s="68" t="str">
        <f>IF(C215="","",IF(ISERROR(
CAD_PROD!E215*D215),"",CAD_PROD!E215*D215))</f>
        <v/>
      </c>
      <c r="S215" s="44" t="str">
        <f>IF(C215="","",IF(CAD_PROD!E215&gt;=P215,"Sim","Não"))</f>
        <v/>
      </c>
    </row>
    <row r="216" spans="1:19" ht="30" customHeight="1">
      <c r="A216" s="52">
        <f t="shared" si="9"/>
        <v>0</v>
      </c>
      <c r="B216" s="52">
        <f t="shared" si="10"/>
        <v>0</v>
      </c>
      <c r="C216" s="96" t="str">
        <f>IF(CAD_PROD!C216="","",CAD_PROD!C216)</f>
        <v/>
      </c>
      <c r="D216" s="75"/>
      <c r="E216" s="125"/>
      <c r="F216" s="125"/>
      <c r="G216" s="75"/>
      <c r="H216" s="75" t="str">
        <f>IF(C216="","",D216+CAD_PROD!D216*(E216+F216)+G216)</f>
        <v/>
      </c>
      <c r="I216" s="52">
        <v>9.9999999999999995E-7</v>
      </c>
      <c r="J216" s="68" t="str">
        <f>IF(ISERROR(
CAD_PROD!F216*E216),"",CAD_PROD!F216*E216)</f>
        <v/>
      </c>
      <c r="K216" s="68" t="str">
        <f>IF(ISERROR(
CAD_PROD!F216*F216),"",CAD_PROD!F216*F216)</f>
        <v/>
      </c>
      <c r="L216" s="68" t="str">
        <f>IF(ISERROR(
CAD_PROD!D216-H216),"",CAD_PROD!D216-H216)</f>
        <v/>
      </c>
      <c r="M216" s="57" t="str">
        <f>IF(ISERROR(
L216/CAD_PROD!D216),"",L216/CAD_PROD!D216)</f>
        <v/>
      </c>
      <c r="N216" s="68" t="str">
        <f>IF(ISERROR(
(P216*CAD_PROD!D216)),"",(P216*CAD_PROD!D216))</f>
        <v/>
      </c>
      <c r="O216" s="68" t="str">
        <f>IF(ISERROR(PE_GERAL!$J$7*CAD_PROD!G216),"",PE_GERAL!$J$7*CAD_PROD!G216)</f>
        <v/>
      </c>
      <c r="P216" s="101" t="str">
        <f t="shared" si="11"/>
        <v/>
      </c>
      <c r="Q216" s="68" t="str">
        <f>IF(C216="","",IF(ISERROR(
CAD_PROD!E216*G216),"",CAD_PROD!E216*G216))</f>
        <v/>
      </c>
      <c r="R216" s="68" t="str">
        <f>IF(C216="","",IF(ISERROR(
CAD_PROD!E216*D216),"",CAD_PROD!E216*D216))</f>
        <v/>
      </c>
      <c r="S216" s="44" t="str">
        <f>IF(C216="","",IF(CAD_PROD!E216&gt;=P216,"Sim","Não"))</f>
        <v/>
      </c>
    </row>
    <row r="217" spans="1:19" ht="30" customHeight="1">
      <c r="A217" s="52">
        <f t="shared" si="9"/>
        <v>0</v>
      </c>
      <c r="B217" s="52">
        <f t="shared" si="10"/>
        <v>0</v>
      </c>
      <c r="C217" s="96" t="str">
        <f>IF(CAD_PROD!C217="","",CAD_PROD!C217)</f>
        <v/>
      </c>
      <c r="D217" s="75"/>
      <c r="E217" s="125"/>
      <c r="F217" s="125"/>
      <c r="G217" s="75"/>
      <c r="H217" s="75" t="str">
        <f>IF(C217="","",D217+CAD_PROD!D217*(E217+F217)+G217)</f>
        <v/>
      </c>
      <c r="I217" s="52">
        <v>9.9999999999999995E-7</v>
      </c>
      <c r="J217" s="68" t="str">
        <f>IF(ISERROR(
CAD_PROD!F217*E217),"",CAD_PROD!F217*E217)</f>
        <v/>
      </c>
      <c r="K217" s="68" t="str">
        <f>IF(ISERROR(
CAD_PROD!F217*F217),"",CAD_PROD!F217*F217)</f>
        <v/>
      </c>
      <c r="L217" s="68" t="str">
        <f>IF(ISERROR(
CAD_PROD!D217-H217),"",CAD_PROD!D217-H217)</f>
        <v/>
      </c>
      <c r="M217" s="57" t="str">
        <f>IF(ISERROR(
L217/CAD_PROD!D217),"",L217/CAD_PROD!D217)</f>
        <v/>
      </c>
      <c r="N217" s="68" t="str">
        <f>IF(ISERROR(
(P217*CAD_PROD!D217)),"",(P217*CAD_PROD!D217))</f>
        <v/>
      </c>
      <c r="O217" s="68" t="str">
        <f>IF(ISERROR(PE_GERAL!$J$7*CAD_PROD!G217),"",PE_GERAL!$J$7*CAD_PROD!G217)</f>
        <v/>
      </c>
      <c r="P217" s="101" t="str">
        <f t="shared" si="11"/>
        <v/>
      </c>
      <c r="Q217" s="68" t="str">
        <f>IF(C217="","",IF(ISERROR(
CAD_PROD!E217*G217),"",CAD_PROD!E217*G217))</f>
        <v/>
      </c>
      <c r="R217" s="68" t="str">
        <f>IF(C217="","",IF(ISERROR(
CAD_PROD!E217*D217),"",CAD_PROD!E217*D217))</f>
        <v/>
      </c>
      <c r="S217" s="44" t="str">
        <f>IF(C217="","",IF(CAD_PROD!E217&gt;=P217,"Sim","Não"))</f>
        <v/>
      </c>
    </row>
    <row r="218" spans="1:19" ht="30" customHeight="1">
      <c r="A218" s="52">
        <f t="shared" si="9"/>
        <v>0</v>
      </c>
      <c r="B218" s="52">
        <f t="shared" si="10"/>
        <v>0</v>
      </c>
      <c r="C218" s="96" t="str">
        <f>IF(CAD_PROD!C218="","",CAD_PROD!C218)</f>
        <v/>
      </c>
      <c r="D218" s="75"/>
      <c r="E218" s="125"/>
      <c r="F218" s="125"/>
      <c r="G218" s="75"/>
      <c r="H218" s="75" t="str">
        <f>IF(C218="","",D218+CAD_PROD!D218*(E218+F218)+G218)</f>
        <v/>
      </c>
      <c r="I218" s="52">
        <v>9.9999999999999995E-7</v>
      </c>
      <c r="J218" s="68" t="str">
        <f>IF(ISERROR(
CAD_PROD!F218*E218),"",CAD_PROD!F218*E218)</f>
        <v/>
      </c>
      <c r="K218" s="68" t="str">
        <f>IF(ISERROR(
CAD_PROD!F218*F218),"",CAD_PROD!F218*F218)</f>
        <v/>
      </c>
      <c r="L218" s="68" t="str">
        <f>IF(ISERROR(
CAD_PROD!D218-H218),"",CAD_PROD!D218-H218)</f>
        <v/>
      </c>
      <c r="M218" s="57" t="str">
        <f>IF(ISERROR(
L218/CAD_PROD!D218),"",L218/CAD_PROD!D218)</f>
        <v/>
      </c>
      <c r="N218" s="68" t="str">
        <f>IF(ISERROR(
(P218*CAD_PROD!D218)),"",(P218*CAD_PROD!D218))</f>
        <v/>
      </c>
      <c r="O218" s="68" t="str">
        <f>IF(ISERROR(PE_GERAL!$J$7*CAD_PROD!G218),"",PE_GERAL!$J$7*CAD_PROD!G218)</f>
        <v/>
      </c>
      <c r="P218" s="101" t="str">
        <f t="shared" si="11"/>
        <v/>
      </c>
      <c r="Q218" s="68" t="str">
        <f>IF(C218="","",IF(ISERROR(
CAD_PROD!E218*G218),"",CAD_PROD!E218*G218))</f>
        <v/>
      </c>
      <c r="R218" s="68" t="str">
        <f>IF(C218="","",IF(ISERROR(
CAD_PROD!E218*D218),"",CAD_PROD!E218*D218))</f>
        <v/>
      </c>
      <c r="S218" s="44" t="str">
        <f>IF(C218="","",IF(CAD_PROD!E218&gt;=P218,"Sim","Não"))</f>
        <v/>
      </c>
    </row>
    <row r="219" spans="1:19" ht="30" customHeight="1">
      <c r="A219" s="52">
        <f t="shared" si="9"/>
        <v>0</v>
      </c>
      <c r="B219" s="52">
        <f t="shared" si="10"/>
        <v>0</v>
      </c>
      <c r="C219" s="96" t="str">
        <f>IF(CAD_PROD!C219="","",CAD_PROD!C219)</f>
        <v/>
      </c>
      <c r="D219" s="75"/>
      <c r="E219" s="125"/>
      <c r="F219" s="125"/>
      <c r="G219" s="75"/>
      <c r="H219" s="75" t="str">
        <f>IF(C219="","",D219+CAD_PROD!D219*(E219+F219)+G219)</f>
        <v/>
      </c>
      <c r="I219" s="52">
        <v>9.9999999999999995E-7</v>
      </c>
      <c r="J219" s="68" t="str">
        <f>IF(ISERROR(
CAD_PROD!F219*E219),"",CAD_PROD!F219*E219)</f>
        <v/>
      </c>
      <c r="K219" s="68" t="str">
        <f>IF(ISERROR(
CAD_PROD!F219*F219),"",CAD_PROD!F219*F219)</f>
        <v/>
      </c>
      <c r="L219" s="68" t="str">
        <f>IF(ISERROR(
CAD_PROD!D219-H219),"",CAD_PROD!D219-H219)</f>
        <v/>
      </c>
      <c r="M219" s="57" t="str">
        <f>IF(ISERROR(
L219/CAD_PROD!D219),"",L219/CAD_PROD!D219)</f>
        <v/>
      </c>
      <c r="N219" s="68" t="str">
        <f>IF(ISERROR(
(P219*CAD_PROD!D219)),"",(P219*CAD_PROD!D219))</f>
        <v/>
      </c>
      <c r="O219" s="68" t="str">
        <f>IF(ISERROR(PE_GERAL!$J$7*CAD_PROD!G219),"",PE_GERAL!$J$7*CAD_PROD!G219)</f>
        <v/>
      </c>
      <c r="P219" s="101" t="str">
        <f t="shared" si="11"/>
        <v/>
      </c>
      <c r="Q219" s="68" t="str">
        <f>IF(C219="","",IF(ISERROR(
CAD_PROD!E219*G219),"",CAD_PROD!E219*G219))</f>
        <v/>
      </c>
      <c r="R219" s="68" t="str">
        <f>IF(C219="","",IF(ISERROR(
CAD_PROD!E219*D219),"",CAD_PROD!E219*D219))</f>
        <v/>
      </c>
      <c r="S219" s="44" t="str">
        <f>IF(C219="","",IF(CAD_PROD!E219&gt;=P219,"Sim","Não"))</f>
        <v/>
      </c>
    </row>
    <row r="220" spans="1:19" ht="30" customHeight="1">
      <c r="A220" s="52">
        <f t="shared" si="9"/>
        <v>0</v>
      </c>
      <c r="B220" s="52">
        <f t="shared" si="10"/>
        <v>0</v>
      </c>
      <c r="C220" s="96" t="str">
        <f>IF(CAD_PROD!C220="","",CAD_PROD!C220)</f>
        <v/>
      </c>
      <c r="D220" s="75"/>
      <c r="E220" s="125"/>
      <c r="F220" s="125"/>
      <c r="G220" s="75"/>
      <c r="H220" s="75" t="str">
        <f>IF(C220="","",D220+CAD_PROD!D220*(E220+F220)+G220)</f>
        <v/>
      </c>
      <c r="I220" s="52">
        <v>9.9999999999999995E-7</v>
      </c>
      <c r="J220" s="68" t="str">
        <f>IF(ISERROR(
CAD_PROD!F220*E220),"",CAD_PROD!F220*E220)</f>
        <v/>
      </c>
      <c r="K220" s="68" t="str">
        <f>IF(ISERROR(
CAD_PROD!F220*F220),"",CAD_PROD!F220*F220)</f>
        <v/>
      </c>
      <c r="L220" s="68" t="str">
        <f>IF(ISERROR(
CAD_PROD!D220-H220),"",CAD_PROD!D220-H220)</f>
        <v/>
      </c>
      <c r="M220" s="57" t="str">
        <f>IF(ISERROR(
L220/CAD_PROD!D220),"",L220/CAD_PROD!D220)</f>
        <v/>
      </c>
      <c r="N220" s="68" t="str">
        <f>IF(ISERROR(
(P220*CAD_PROD!D220)),"",(P220*CAD_PROD!D220))</f>
        <v/>
      </c>
      <c r="O220" s="68" t="str">
        <f>IF(ISERROR(PE_GERAL!$J$7*CAD_PROD!G220),"",PE_GERAL!$J$7*CAD_PROD!G220)</f>
        <v/>
      </c>
      <c r="P220" s="101" t="str">
        <f t="shared" si="11"/>
        <v/>
      </c>
      <c r="Q220" s="68" t="str">
        <f>IF(C220="","",IF(ISERROR(
CAD_PROD!E220*G220),"",CAD_PROD!E220*G220))</f>
        <v/>
      </c>
      <c r="R220" s="68" t="str">
        <f>IF(C220="","",IF(ISERROR(
CAD_PROD!E220*D220),"",CAD_PROD!E220*D220))</f>
        <v/>
      </c>
      <c r="S220" s="44" t="str">
        <f>IF(C220="","",IF(CAD_PROD!E220&gt;=P220,"Sim","Não"))</f>
        <v/>
      </c>
    </row>
    <row r="221" spans="1:19" ht="30" customHeight="1">
      <c r="A221" s="52">
        <f t="shared" si="9"/>
        <v>0</v>
      </c>
      <c r="B221" s="52">
        <f t="shared" si="10"/>
        <v>0</v>
      </c>
      <c r="C221" s="96" t="str">
        <f>IF(CAD_PROD!C221="","",CAD_PROD!C221)</f>
        <v/>
      </c>
      <c r="D221" s="75"/>
      <c r="E221" s="125"/>
      <c r="F221" s="125"/>
      <c r="G221" s="75"/>
      <c r="H221" s="75" t="str">
        <f>IF(C221="","",D221+CAD_PROD!D221*(E221+F221)+G221)</f>
        <v/>
      </c>
      <c r="I221" s="52">
        <v>9.9999999999999995E-7</v>
      </c>
      <c r="J221" s="68" t="str">
        <f>IF(ISERROR(
CAD_PROD!F221*E221),"",CAD_PROD!F221*E221)</f>
        <v/>
      </c>
      <c r="K221" s="68" t="str">
        <f>IF(ISERROR(
CAD_PROD!F221*F221),"",CAD_PROD!F221*F221)</f>
        <v/>
      </c>
      <c r="L221" s="68" t="str">
        <f>IF(ISERROR(
CAD_PROD!D221-H221),"",CAD_PROD!D221-H221)</f>
        <v/>
      </c>
      <c r="M221" s="57" t="str">
        <f>IF(ISERROR(
L221/CAD_PROD!D221),"",L221/CAD_PROD!D221)</f>
        <v/>
      </c>
      <c r="N221" s="68" t="str">
        <f>IF(ISERROR(
(P221*CAD_PROD!D221)),"",(P221*CAD_PROD!D221))</f>
        <v/>
      </c>
      <c r="O221" s="68" t="str">
        <f>IF(ISERROR(PE_GERAL!$J$7*CAD_PROD!G221),"",PE_GERAL!$J$7*CAD_PROD!G221)</f>
        <v/>
      </c>
      <c r="P221" s="101" t="str">
        <f t="shared" si="11"/>
        <v/>
      </c>
      <c r="Q221" s="68" t="str">
        <f>IF(C221="","",IF(ISERROR(
CAD_PROD!E221*G221),"",CAD_PROD!E221*G221))</f>
        <v/>
      </c>
      <c r="R221" s="68" t="str">
        <f>IF(C221="","",IF(ISERROR(
CAD_PROD!E221*D221),"",CAD_PROD!E221*D221))</f>
        <v/>
      </c>
      <c r="S221" s="44" t="str">
        <f>IF(C221="","",IF(CAD_PROD!E221&gt;=P221,"Sim","Não"))</f>
        <v/>
      </c>
    </row>
    <row r="222" spans="1:19" ht="30" customHeight="1">
      <c r="A222" s="52">
        <f t="shared" si="9"/>
        <v>0</v>
      </c>
      <c r="B222" s="52">
        <f t="shared" si="10"/>
        <v>0</v>
      </c>
      <c r="C222" s="96" t="str">
        <f>IF(CAD_PROD!C222="","",CAD_PROD!C222)</f>
        <v/>
      </c>
      <c r="D222" s="75"/>
      <c r="E222" s="125"/>
      <c r="F222" s="125"/>
      <c r="G222" s="75"/>
      <c r="H222" s="75" t="str">
        <f>IF(C222="","",D222+CAD_PROD!D222*(E222+F222)+G222)</f>
        <v/>
      </c>
      <c r="I222" s="52">
        <v>9.9999999999999995E-7</v>
      </c>
      <c r="J222" s="68" t="str">
        <f>IF(ISERROR(
CAD_PROD!F222*E222),"",CAD_PROD!F222*E222)</f>
        <v/>
      </c>
      <c r="K222" s="68" t="str">
        <f>IF(ISERROR(
CAD_PROD!F222*F222),"",CAD_PROD!F222*F222)</f>
        <v/>
      </c>
      <c r="L222" s="68" t="str">
        <f>IF(ISERROR(
CAD_PROD!D222-H222),"",CAD_PROD!D222-H222)</f>
        <v/>
      </c>
      <c r="M222" s="57" t="str">
        <f>IF(ISERROR(
L222/CAD_PROD!D222),"",L222/CAD_PROD!D222)</f>
        <v/>
      </c>
      <c r="N222" s="68" t="str">
        <f>IF(ISERROR(
(P222*CAD_PROD!D222)),"",(P222*CAD_PROD!D222))</f>
        <v/>
      </c>
      <c r="O222" s="68" t="str">
        <f>IF(ISERROR(PE_GERAL!$J$7*CAD_PROD!G222),"",PE_GERAL!$J$7*CAD_PROD!G222)</f>
        <v/>
      </c>
      <c r="P222" s="101" t="str">
        <f t="shared" si="11"/>
        <v/>
      </c>
      <c r="Q222" s="68" t="str">
        <f>IF(C222="","",IF(ISERROR(
CAD_PROD!E222*G222),"",CAD_PROD!E222*G222))</f>
        <v/>
      </c>
      <c r="R222" s="68" t="str">
        <f>IF(C222="","",IF(ISERROR(
CAD_PROD!E222*D222),"",CAD_PROD!E222*D222))</f>
        <v/>
      </c>
      <c r="S222" s="44" t="str">
        <f>IF(C222="","",IF(CAD_PROD!E222&gt;=P222,"Sim","Não"))</f>
        <v/>
      </c>
    </row>
    <row r="223" spans="1:19" ht="30" customHeight="1">
      <c r="A223" s="52">
        <f t="shared" si="9"/>
        <v>0</v>
      </c>
      <c r="B223" s="52">
        <f t="shared" si="10"/>
        <v>0</v>
      </c>
      <c r="C223" s="96" t="str">
        <f>IF(CAD_PROD!C223="","",CAD_PROD!C223)</f>
        <v/>
      </c>
      <c r="D223" s="75"/>
      <c r="E223" s="125"/>
      <c r="F223" s="125"/>
      <c r="G223" s="75"/>
      <c r="H223" s="75" t="str">
        <f>IF(C223="","",D223+CAD_PROD!D223*(E223+F223)+G223)</f>
        <v/>
      </c>
      <c r="I223" s="52">
        <v>9.9999999999999995E-7</v>
      </c>
      <c r="J223" s="68" t="str">
        <f>IF(ISERROR(
CAD_PROD!F223*E223),"",CAD_PROD!F223*E223)</f>
        <v/>
      </c>
      <c r="K223" s="68" t="str">
        <f>IF(ISERROR(
CAD_PROD!F223*F223),"",CAD_PROD!F223*F223)</f>
        <v/>
      </c>
      <c r="L223" s="68" t="str">
        <f>IF(ISERROR(
CAD_PROD!D223-H223),"",CAD_PROD!D223-H223)</f>
        <v/>
      </c>
      <c r="M223" s="57" t="str">
        <f>IF(ISERROR(
L223/CAD_PROD!D223),"",L223/CAD_PROD!D223)</f>
        <v/>
      </c>
      <c r="N223" s="68" t="str">
        <f>IF(ISERROR(
(P223*CAD_PROD!D223)),"",(P223*CAD_PROD!D223))</f>
        <v/>
      </c>
      <c r="O223" s="68" t="str">
        <f>IF(ISERROR(PE_GERAL!$J$7*CAD_PROD!G223),"",PE_GERAL!$J$7*CAD_PROD!G223)</f>
        <v/>
      </c>
      <c r="P223" s="101" t="str">
        <f t="shared" si="11"/>
        <v/>
      </c>
      <c r="Q223" s="68" t="str">
        <f>IF(C223="","",IF(ISERROR(
CAD_PROD!E223*G223),"",CAD_PROD!E223*G223))</f>
        <v/>
      </c>
      <c r="R223" s="68" t="str">
        <f>IF(C223="","",IF(ISERROR(
CAD_PROD!E223*D223),"",CAD_PROD!E223*D223))</f>
        <v/>
      </c>
      <c r="S223" s="44" t="str">
        <f>IF(C223="","",IF(CAD_PROD!E223&gt;=P223,"Sim","Não"))</f>
        <v/>
      </c>
    </row>
    <row r="224" spans="1:19" ht="30" customHeight="1">
      <c r="A224" s="52">
        <f t="shared" si="9"/>
        <v>0</v>
      </c>
      <c r="B224" s="52">
        <f t="shared" si="10"/>
        <v>0</v>
      </c>
      <c r="C224" s="96" t="str">
        <f>IF(CAD_PROD!C224="","",CAD_PROD!C224)</f>
        <v/>
      </c>
      <c r="D224" s="75"/>
      <c r="E224" s="125"/>
      <c r="F224" s="125"/>
      <c r="G224" s="75"/>
      <c r="H224" s="75" t="str">
        <f>IF(C224="","",D224+CAD_PROD!D224*(E224+F224)+G224)</f>
        <v/>
      </c>
      <c r="I224" s="52">
        <v>9.9999999999999995E-7</v>
      </c>
      <c r="J224" s="68" t="str">
        <f>IF(ISERROR(
CAD_PROD!F224*E224),"",CAD_PROD!F224*E224)</f>
        <v/>
      </c>
      <c r="K224" s="68" t="str">
        <f>IF(ISERROR(
CAD_PROD!F224*F224),"",CAD_PROD!F224*F224)</f>
        <v/>
      </c>
      <c r="L224" s="68" t="str">
        <f>IF(ISERROR(
CAD_PROD!D224-H224),"",CAD_PROD!D224-H224)</f>
        <v/>
      </c>
      <c r="M224" s="57" t="str">
        <f>IF(ISERROR(
L224/CAD_PROD!D224),"",L224/CAD_PROD!D224)</f>
        <v/>
      </c>
      <c r="N224" s="68" t="str">
        <f>IF(ISERROR(
(P224*CAD_PROD!D224)),"",(P224*CAD_PROD!D224))</f>
        <v/>
      </c>
      <c r="O224" s="68" t="str">
        <f>IF(ISERROR(PE_GERAL!$J$7*CAD_PROD!G224),"",PE_GERAL!$J$7*CAD_PROD!G224)</f>
        <v/>
      </c>
      <c r="P224" s="101" t="str">
        <f t="shared" si="11"/>
        <v/>
      </c>
      <c r="Q224" s="68" t="str">
        <f>IF(C224="","",IF(ISERROR(
CAD_PROD!E224*G224),"",CAD_PROD!E224*G224))</f>
        <v/>
      </c>
      <c r="R224" s="68" t="str">
        <f>IF(C224="","",IF(ISERROR(
CAD_PROD!E224*D224),"",CAD_PROD!E224*D224))</f>
        <v/>
      </c>
      <c r="S224" s="44" t="str">
        <f>IF(C224="","",IF(CAD_PROD!E224&gt;=P224,"Sim","Não"))</f>
        <v/>
      </c>
    </row>
    <row r="225" spans="1:19" ht="30" customHeight="1">
      <c r="A225" s="52">
        <f t="shared" si="9"/>
        <v>0</v>
      </c>
      <c r="B225" s="52">
        <f t="shared" si="10"/>
        <v>0</v>
      </c>
      <c r="C225" s="96" t="str">
        <f>IF(CAD_PROD!C225="","",CAD_PROD!C225)</f>
        <v/>
      </c>
      <c r="D225" s="75"/>
      <c r="E225" s="125"/>
      <c r="F225" s="125"/>
      <c r="G225" s="75"/>
      <c r="H225" s="75" t="str">
        <f>IF(C225="","",D225+CAD_PROD!D225*(E225+F225)+G225)</f>
        <v/>
      </c>
      <c r="I225" s="52">
        <v>9.9999999999999995E-7</v>
      </c>
      <c r="J225" s="68" t="str">
        <f>IF(ISERROR(
CAD_PROD!F225*E225),"",CAD_PROD!F225*E225)</f>
        <v/>
      </c>
      <c r="K225" s="68" t="str">
        <f>IF(ISERROR(
CAD_PROD!F225*F225),"",CAD_PROD!F225*F225)</f>
        <v/>
      </c>
      <c r="L225" s="68" t="str">
        <f>IF(ISERROR(
CAD_PROD!D225-H225),"",CAD_PROD!D225-H225)</f>
        <v/>
      </c>
      <c r="M225" s="57" t="str">
        <f>IF(ISERROR(
L225/CAD_PROD!D225),"",L225/CAD_PROD!D225)</f>
        <v/>
      </c>
      <c r="N225" s="68" t="str">
        <f>IF(ISERROR(
(P225*CAD_PROD!D225)),"",(P225*CAD_PROD!D225))</f>
        <v/>
      </c>
      <c r="O225" s="68" t="str">
        <f>IF(ISERROR(PE_GERAL!$J$7*CAD_PROD!G225),"",PE_GERAL!$J$7*CAD_PROD!G225)</f>
        <v/>
      </c>
      <c r="P225" s="101" t="str">
        <f t="shared" si="11"/>
        <v/>
      </c>
      <c r="Q225" s="68" t="str">
        <f>IF(C225="","",IF(ISERROR(
CAD_PROD!E225*G225),"",CAD_PROD!E225*G225))</f>
        <v/>
      </c>
      <c r="R225" s="68" t="str">
        <f>IF(C225="","",IF(ISERROR(
CAD_PROD!E225*D225),"",CAD_PROD!E225*D225))</f>
        <v/>
      </c>
      <c r="S225" s="44" t="str">
        <f>IF(C225="","",IF(CAD_PROD!E225&gt;=P225,"Sim","Não"))</f>
        <v/>
      </c>
    </row>
    <row r="226" spans="1:19" ht="30" customHeight="1">
      <c r="A226" s="52">
        <f t="shared" si="9"/>
        <v>0</v>
      </c>
      <c r="B226" s="52">
        <f t="shared" si="10"/>
        <v>0</v>
      </c>
      <c r="C226" s="96" t="str">
        <f>IF(CAD_PROD!C226="","",CAD_PROD!C226)</f>
        <v/>
      </c>
      <c r="D226" s="75"/>
      <c r="E226" s="125"/>
      <c r="F226" s="125"/>
      <c r="G226" s="75"/>
      <c r="H226" s="75" t="str">
        <f>IF(C226="","",D226+CAD_PROD!D226*(E226+F226)+G226)</f>
        <v/>
      </c>
      <c r="I226" s="52">
        <v>9.9999999999999995E-7</v>
      </c>
      <c r="J226" s="68" t="str">
        <f>IF(ISERROR(
CAD_PROD!F226*E226),"",CAD_PROD!F226*E226)</f>
        <v/>
      </c>
      <c r="K226" s="68" t="str">
        <f>IF(ISERROR(
CAD_PROD!F226*F226),"",CAD_PROD!F226*F226)</f>
        <v/>
      </c>
      <c r="L226" s="68" t="str">
        <f>IF(ISERROR(
CAD_PROD!D226-H226),"",CAD_PROD!D226-H226)</f>
        <v/>
      </c>
      <c r="M226" s="57" t="str">
        <f>IF(ISERROR(
L226/CAD_PROD!D226),"",L226/CAD_PROD!D226)</f>
        <v/>
      </c>
      <c r="N226" s="68" t="str">
        <f>IF(ISERROR(
(P226*CAD_PROD!D226)),"",(P226*CAD_PROD!D226))</f>
        <v/>
      </c>
      <c r="O226" s="68" t="str">
        <f>IF(ISERROR(PE_GERAL!$J$7*CAD_PROD!G226),"",PE_GERAL!$J$7*CAD_PROD!G226)</f>
        <v/>
      </c>
      <c r="P226" s="101" t="str">
        <f t="shared" si="11"/>
        <v/>
      </c>
      <c r="Q226" s="68" t="str">
        <f>IF(C226="","",IF(ISERROR(
CAD_PROD!E226*G226),"",CAD_PROD!E226*G226))</f>
        <v/>
      </c>
      <c r="R226" s="68" t="str">
        <f>IF(C226="","",IF(ISERROR(
CAD_PROD!E226*D226),"",CAD_PROD!E226*D226))</f>
        <v/>
      </c>
      <c r="S226" s="44" t="str">
        <f>IF(C226="","",IF(CAD_PROD!E226&gt;=P226,"Sim","Não"))</f>
        <v/>
      </c>
    </row>
    <row r="227" spans="1:19" ht="30" customHeight="1">
      <c r="A227" s="52">
        <f t="shared" si="9"/>
        <v>0</v>
      </c>
      <c r="B227" s="52">
        <f t="shared" si="10"/>
        <v>0</v>
      </c>
      <c r="C227" s="96" t="str">
        <f>IF(CAD_PROD!C227="","",CAD_PROD!C227)</f>
        <v/>
      </c>
      <c r="D227" s="75"/>
      <c r="E227" s="125"/>
      <c r="F227" s="125"/>
      <c r="G227" s="75"/>
      <c r="H227" s="75" t="str">
        <f>IF(C227="","",D227+CAD_PROD!D227*(E227+F227)+G227)</f>
        <v/>
      </c>
      <c r="I227" s="52">
        <v>9.9999999999999995E-7</v>
      </c>
      <c r="J227" s="68" t="str">
        <f>IF(ISERROR(
CAD_PROD!F227*E227),"",CAD_PROD!F227*E227)</f>
        <v/>
      </c>
      <c r="K227" s="68" t="str">
        <f>IF(ISERROR(
CAD_PROD!F227*F227),"",CAD_PROD!F227*F227)</f>
        <v/>
      </c>
      <c r="L227" s="68" t="str">
        <f>IF(ISERROR(
CAD_PROD!D227-H227),"",CAD_PROD!D227-H227)</f>
        <v/>
      </c>
      <c r="M227" s="57" t="str">
        <f>IF(ISERROR(
L227/CAD_PROD!D227),"",L227/CAD_PROD!D227)</f>
        <v/>
      </c>
      <c r="N227" s="68" t="str">
        <f>IF(ISERROR(
(P227*CAD_PROD!D227)),"",(P227*CAD_PROD!D227))</f>
        <v/>
      </c>
      <c r="O227" s="68" t="str">
        <f>IF(ISERROR(PE_GERAL!$J$7*CAD_PROD!G227),"",PE_GERAL!$J$7*CAD_PROD!G227)</f>
        <v/>
      </c>
      <c r="P227" s="101" t="str">
        <f t="shared" si="11"/>
        <v/>
      </c>
      <c r="Q227" s="68" t="str">
        <f>IF(C227="","",IF(ISERROR(
CAD_PROD!E227*G227),"",CAD_PROD!E227*G227))</f>
        <v/>
      </c>
      <c r="R227" s="68" t="str">
        <f>IF(C227="","",IF(ISERROR(
CAD_PROD!E227*D227),"",CAD_PROD!E227*D227))</f>
        <v/>
      </c>
      <c r="S227" s="44" t="str">
        <f>IF(C227="","",IF(CAD_PROD!E227&gt;=P227,"Sim","Não"))</f>
        <v/>
      </c>
    </row>
    <row r="228" spans="1:19" ht="30" customHeight="1">
      <c r="A228" s="52">
        <f t="shared" si="9"/>
        <v>0</v>
      </c>
      <c r="B228" s="52">
        <f t="shared" si="10"/>
        <v>0</v>
      </c>
      <c r="C228" s="96" t="str">
        <f>IF(CAD_PROD!C228="","",CAD_PROD!C228)</f>
        <v/>
      </c>
      <c r="D228" s="75"/>
      <c r="E228" s="125"/>
      <c r="F228" s="125"/>
      <c r="G228" s="75"/>
      <c r="H228" s="75" t="str">
        <f>IF(C228="","",D228+CAD_PROD!D228*(E228+F228)+G228)</f>
        <v/>
      </c>
      <c r="I228" s="52">
        <v>9.9999999999999995E-7</v>
      </c>
      <c r="J228" s="68" t="str">
        <f>IF(ISERROR(
CAD_PROD!F228*E228),"",CAD_PROD!F228*E228)</f>
        <v/>
      </c>
      <c r="K228" s="68" t="str">
        <f>IF(ISERROR(
CAD_PROD!F228*F228),"",CAD_PROD!F228*F228)</f>
        <v/>
      </c>
      <c r="L228" s="68" t="str">
        <f>IF(ISERROR(
CAD_PROD!D228-H228),"",CAD_PROD!D228-H228)</f>
        <v/>
      </c>
      <c r="M228" s="57" t="str">
        <f>IF(ISERROR(
L228/CAD_PROD!D228),"",L228/CAD_PROD!D228)</f>
        <v/>
      </c>
      <c r="N228" s="68" t="str">
        <f>IF(ISERROR(
(P228*CAD_PROD!D228)),"",(P228*CAD_PROD!D228))</f>
        <v/>
      </c>
      <c r="O228" s="68" t="str">
        <f>IF(ISERROR(PE_GERAL!$J$7*CAD_PROD!G228),"",PE_GERAL!$J$7*CAD_PROD!G228)</f>
        <v/>
      </c>
      <c r="P228" s="101" t="str">
        <f t="shared" si="11"/>
        <v/>
      </c>
      <c r="Q228" s="68" t="str">
        <f>IF(C228="","",IF(ISERROR(
CAD_PROD!E228*G228),"",CAD_PROD!E228*G228))</f>
        <v/>
      </c>
      <c r="R228" s="68" t="str">
        <f>IF(C228="","",IF(ISERROR(
CAD_PROD!E228*D228),"",CAD_PROD!E228*D228))</f>
        <v/>
      </c>
      <c r="S228" s="44" t="str">
        <f>IF(C228="","",IF(CAD_PROD!E228&gt;=P228,"Sim","Não"))</f>
        <v/>
      </c>
    </row>
    <row r="229" spans="1:19" ht="30" customHeight="1">
      <c r="A229" s="52">
        <f t="shared" si="9"/>
        <v>0</v>
      </c>
      <c r="B229" s="52">
        <f t="shared" si="10"/>
        <v>0</v>
      </c>
      <c r="C229" s="96" t="str">
        <f>IF(CAD_PROD!C229="","",CAD_PROD!C229)</f>
        <v/>
      </c>
      <c r="D229" s="75"/>
      <c r="E229" s="125"/>
      <c r="F229" s="125"/>
      <c r="G229" s="75"/>
      <c r="H229" s="75" t="str">
        <f>IF(C229="","",D229+CAD_PROD!D229*(E229+F229)+G229)</f>
        <v/>
      </c>
      <c r="I229" s="52">
        <v>9.9999999999999995E-7</v>
      </c>
      <c r="J229" s="68" t="str">
        <f>IF(ISERROR(
CAD_PROD!F229*E229),"",CAD_PROD!F229*E229)</f>
        <v/>
      </c>
      <c r="K229" s="68" t="str">
        <f>IF(ISERROR(
CAD_PROD!F229*F229),"",CAD_PROD!F229*F229)</f>
        <v/>
      </c>
      <c r="L229" s="68" t="str">
        <f>IF(ISERROR(
CAD_PROD!D229-H229),"",CAD_PROD!D229-H229)</f>
        <v/>
      </c>
      <c r="M229" s="57" t="str">
        <f>IF(ISERROR(
L229/CAD_PROD!D229),"",L229/CAD_PROD!D229)</f>
        <v/>
      </c>
      <c r="N229" s="68" t="str">
        <f>IF(ISERROR(
(P229*CAD_PROD!D229)),"",(P229*CAD_PROD!D229))</f>
        <v/>
      </c>
      <c r="O229" s="68" t="str">
        <f>IF(ISERROR(PE_GERAL!$J$7*CAD_PROD!G229),"",PE_GERAL!$J$7*CAD_PROD!G229)</f>
        <v/>
      </c>
      <c r="P229" s="101" t="str">
        <f t="shared" si="11"/>
        <v/>
      </c>
      <c r="Q229" s="68" t="str">
        <f>IF(C229="","",IF(ISERROR(
CAD_PROD!E229*G229),"",CAD_PROD!E229*G229))</f>
        <v/>
      </c>
      <c r="R229" s="68" t="str">
        <f>IF(C229="","",IF(ISERROR(
CAD_PROD!E229*D229),"",CAD_PROD!E229*D229))</f>
        <v/>
      </c>
      <c r="S229" s="44" t="str">
        <f>IF(C229="","",IF(CAD_PROD!E229&gt;=P229,"Sim","Não"))</f>
        <v/>
      </c>
    </row>
    <row r="230" spans="1:19" ht="30" customHeight="1">
      <c r="A230" s="52">
        <f t="shared" si="9"/>
        <v>0</v>
      </c>
      <c r="B230" s="52">
        <f t="shared" si="10"/>
        <v>0</v>
      </c>
      <c r="C230" s="96" t="str">
        <f>IF(CAD_PROD!C230="","",CAD_PROD!C230)</f>
        <v/>
      </c>
      <c r="D230" s="75"/>
      <c r="E230" s="125"/>
      <c r="F230" s="125"/>
      <c r="G230" s="75"/>
      <c r="H230" s="75" t="str">
        <f>IF(C230="","",D230+CAD_PROD!D230*(E230+F230)+G230)</f>
        <v/>
      </c>
      <c r="I230" s="52">
        <v>9.9999999999999995E-7</v>
      </c>
      <c r="J230" s="68" t="str">
        <f>IF(ISERROR(
CAD_PROD!F230*E230),"",CAD_PROD!F230*E230)</f>
        <v/>
      </c>
      <c r="K230" s="68" t="str">
        <f>IF(ISERROR(
CAD_PROD!F230*F230),"",CAD_PROD!F230*F230)</f>
        <v/>
      </c>
      <c r="L230" s="68" t="str">
        <f>IF(ISERROR(
CAD_PROD!D230-H230),"",CAD_PROD!D230-H230)</f>
        <v/>
      </c>
      <c r="M230" s="57" t="str">
        <f>IF(ISERROR(
L230/CAD_PROD!D230),"",L230/CAD_PROD!D230)</f>
        <v/>
      </c>
      <c r="N230" s="68" t="str">
        <f>IF(ISERROR(
(P230*CAD_PROD!D230)),"",(P230*CAD_PROD!D230))</f>
        <v/>
      </c>
      <c r="O230" s="68" t="str">
        <f>IF(ISERROR(PE_GERAL!$J$7*CAD_PROD!G230),"",PE_GERAL!$J$7*CAD_PROD!G230)</f>
        <v/>
      </c>
      <c r="P230" s="101" t="str">
        <f t="shared" si="11"/>
        <v/>
      </c>
      <c r="Q230" s="68" t="str">
        <f>IF(C230="","",IF(ISERROR(
CAD_PROD!E230*G230),"",CAD_PROD!E230*G230))</f>
        <v/>
      </c>
      <c r="R230" s="68" t="str">
        <f>IF(C230="","",IF(ISERROR(
CAD_PROD!E230*D230),"",CAD_PROD!E230*D230))</f>
        <v/>
      </c>
      <c r="S230" s="44" t="str">
        <f>IF(C230="","",IF(CAD_PROD!E230&gt;=P230,"Sim","Não"))</f>
        <v/>
      </c>
    </row>
    <row r="231" spans="1:19" ht="30" customHeight="1">
      <c r="A231" s="52">
        <f t="shared" si="9"/>
        <v>0</v>
      </c>
      <c r="B231" s="52">
        <f t="shared" si="10"/>
        <v>0</v>
      </c>
      <c r="C231" s="96" t="str">
        <f>IF(CAD_PROD!C231="","",CAD_PROD!C231)</f>
        <v/>
      </c>
      <c r="D231" s="75"/>
      <c r="E231" s="125"/>
      <c r="F231" s="125"/>
      <c r="G231" s="75"/>
      <c r="H231" s="75" t="str">
        <f>IF(C231="","",D231+CAD_PROD!D231*(E231+F231)+G231)</f>
        <v/>
      </c>
      <c r="I231" s="52">
        <v>9.9999999999999995E-7</v>
      </c>
      <c r="J231" s="68" t="str">
        <f>IF(ISERROR(
CAD_PROD!F231*E231),"",CAD_PROD!F231*E231)</f>
        <v/>
      </c>
      <c r="K231" s="68" t="str">
        <f>IF(ISERROR(
CAD_PROD!F231*F231),"",CAD_PROD!F231*F231)</f>
        <v/>
      </c>
      <c r="L231" s="68" t="str">
        <f>IF(ISERROR(
CAD_PROD!D231-H231),"",CAD_PROD!D231-H231)</f>
        <v/>
      </c>
      <c r="M231" s="57" t="str">
        <f>IF(ISERROR(
L231/CAD_PROD!D231),"",L231/CAD_PROD!D231)</f>
        <v/>
      </c>
      <c r="N231" s="68" t="str">
        <f>IF(ISERROR(
(P231*CAD_PROD!D231)),"",(P231*CAD_PROD!D231))</f>
        <v/>
      </c>
      <c r="O231" s="68" t="str">
        <f>IF(ISERROR(PE_GERAL!$J$7*CAD_PROD!G231),"",PE_GERAL!$J$7*CAD_PROD!G231)</f>
        <v/>
      </c>
      <c r="P231" s="101" t="str">
        <f t="shared" si="11"/>
        <v/>
      </c>
      <c r="Q231" s="68" t="str">
        <f>IF(C231="","",IF(ISERROR(
CAD_PROD!E231*G231),"",CAD_PROD!E231*G231))</f>
        <v/>
      </c>
      <c r="R231" s="68" t="str">
        <f>IF(C231="","",IF(ISERROR(
CAD_PROD!E231*D231),"",CAD_PROD!E231*D231))</f>
        <v/>
      </c>
      <c r="S231" s="44" t="str">
        <f>IF(C231="","",IF(CAD_PROD!E231&gt;=P231,"Sim","Não"))</f>
        <v/>
      </c>
    </row>
    <row r="232" spans="1:19" ht="30" customHeight="1">
      <c r="A232" s="52">
        <f t="shared" si="9"/>
        <v>0</v>
      </c>
      <c r="B232" s="52">
        <f t="shared" si="10"/>
        <v>0</v>
      </c>
      <c r="C232" s="96" t="str">
        <f>IF(CAD_PROD!C232="","",CAD_PROD!C232)</f>
        <v/>
      </c>
      <c r="D232" s="75"/>
      <c r="E232" s="125"/>
      <c r="F232" s="125"/>
      <c r="G232" s="75"/>
      <c r="H232" s="75" t="str">
        <f>IF(C232="","",D232+CAD_PROD!D232*(E232+F232)+G232)</f>
        <v/>
      </c>
      <c r="I232" s="52">
        <v>9.9999999999999995E-7</v>
      </c>
      <c r="J232" s="68" t="str">
        <f>IF(ISERROR(
CAD_PROD!F232*E232),"",CAD_PROD!F232*E232)</f>
        <v/>
      </c>
      <c r="K232" s="68" t="str">
        <f>IF(ISERROR(
CAD_PROD!F232*F232),"",CAD_PROD!F232*F232)</f>
        <v/>
      </c>
      <c r="L232" s="68" t="str">
        <f>IF(ISERROR(
CAD_PROD!D232-H232),"",CAD_PROD!D232-H232)</f>
        <v/>
      </c>
      <c r="M232" s="57" t="str">
        <f>IF(ISERROR(
L232/CAD_PROD!D232),"",L232/CAD_PROD!D232)</f>
        <v/>
      </c>
      <c r="N232" s="68" t="str">
        <f>IF(ISERROR(
(P232*CAD_PROD!D232)),"",(P232*CAD_PROD!D232))</f>
        <v/>
      </c>
      <c r="O232" s="68" t="str">
        <f>IF(ISERROR(PE_GERAL!$J$7*CAD_PROD!G232),"",PE_GERAL!$J$7*CAD_PROD!G232)</f>
        <v/>
      </c>
      <c r="P232" s="101" t="str">
        <f t="shared" si="11"/>
        <v/>
      </c>
      <c r="Q232" s="68" t="str">
        <f>IF(C232="","",IF(ISERROR(
CAD_PROD!E232*G232),"",CAD_PROD!E232*G232))</f>
        <v/>
      </c>
      <c r="R232" s="68" t="str">
        <f>IF(C232="","",IF(ISERROR(
CAD_PROD!E232*D232),"",CAD_PROD!E232*D232))</f>
        <v/>
      </c>
      <c r="S232" s="44" t="str">
        <f>IF(C232="","",IF(CAD_PROD!E232&gt;=P232,"Sim","Não"))</f>
        <v/>
      </c>
    </row>
    <row r="233" spans="1:19" ht="30" customHeight="1">
      <c r="A233" s="52">
        <f t="shared" si="9"/>
        <v>0</v>
      </c>
      <c r="B233" s="52">
        <f t="shared" si="10"/>
        <v>0</v>
      </c>
      <c r="C233" s="96" t="str">
        <f>IF(CAD_PROD!C233="","",CAD_PROD!C233)</f>
        <v/>
      </c>
      <c r="D233" s="75"/>
      <c r="E233" s="125"/>
      <c r="F233" s="125"/>
      <c r="G233" s="75"/>
      <c r="H233" s="75" t="str">
        <f>IF(C233="","",D233+CAD_PROD!D233*(E233+F233)+G233)</f>
        <v/>
      </c>
      <c r="I233" s="52">
        <v>9.9999999999999995E-7</v>
      </c>
      <c r="J233" s="68" t="str">
        <f>IF(ISERROR(
CAD_PROD!F233*E233),"",CAD_PROD!F233*E233)</f>
        <v/>
      </c>
      <c r="K233" s="68" t="str">
        <f>IF(ISERROR(
CAD_PROD!F233*F233),"",CAD_PROD!F233*F233)</f>
        <v/>
      </c>
      <c r="L233" s="68" t="str">
        <f>IF(ISERROR(
CAD_PROD!D233-H233),"",CAD_PROD!D233-H233)</f>
        <v/>
      </c>
      <c r="M233" s="57" t="str">
        <f>IF(ISERROR(
L233/CAD_PROD!D233),"",L233/CAD_PROD!D233)</f>
        <v/>
      </c>
      <c r="N233" s="68" t="str">
        <f>IF(ISERROR(
(P233*CAD_PROD!D233)),"",(P233*CAD_PROD!D233))</f>
        <v/>
      </c>
      <c r="O233" s="68" t="str">
        <f>IF(ISERROR(PE_GERAL!$J$7*CAD_PROD!G233),"",PE_GERAL!$J$7*CAD_PROD!G233)</f>
        <v/>
      </c>
      <c r="P233" s="101" t="str">
        <f t="shared" si="11"/>
        <v/>
      </c>
      <c r="Q233" s="68" t="str">
        <f>IF(C233="","",IF(ISERROR(
CAD_PROD!E233*G233),"",CAD_PROD!E233*G233))</f>
        <v/>
      </c>
      <c r="R233" s="68" t="str">
        <f>IF(C233="","",IF(ISERROR(
CAD_PROD!E233*D233),"",CAD_PROD!E233*D233))</f>
        <v/>
      </c>
      <c r="S233" s="44" t="str">
        <f>IF(C233="","",IF(CAD_PROD!E233&gt;=P233,"Sim","Não"))</f>
        <v/>
      </c>
    </row>
    <row r="234" spans="1:19" ht="30" customHeight="1">
      <c r="A234" s="52">
        <f t="shared" si="9"/>
        <v>0</v>
      </c>
      <c r="B234" s="52">
        <f t="shared" si="10"/>
        <v>0</v>
      </c>
      <c r="C234" s="96" t="str">
        <f>IF(CAD_PROD!C234="","",CAD_PROD!C234)</f>
        <v/>
      </c>
      <c r="D234" s="75"/>
      <c r="E234" s="125"/>
      <c r="F234" s="125"/>
      <c r="G234" s="75"/>
      <c r="H234" s="75" t="str">
        <f>IF(C234="","",D234+CAD_PROD!D234*(E234+F234)+G234)</f>
        <v/>
      </c>
      <c r="I234" s="52">
        <v>9.9999999999999995E-7</v>
      </c>
      <c r="J234" s="68" t="str">
        <f>IF(ISERROR(
CAD_PROD!F234*E234),"",CAD_PROD!F234*E234)</f>
        <v/>
      </c>
      <c r="K234" s="68" t="str">
        <f>IF(ISERROR(
CAD_PROD!F234*F234),"",CAD_PROD!F234*F234)</f>
        <v/>
      </c>
      <c r="L234" s="68" t="str">
        <f>IF(ISERROR(
CAD_PROD!D234-H234),"",CAD_PROD!D234-H234)</f>
        <v/>
      </c>
      <c r="M234" s="57" t="str">
        <f>IF(ISERROR(
L234/CAD_PROD!D234),"",L234/CAD_PROD!D234)</f>
        <v/>
      </c>
      <c r="N234" s="68" t="str">
        <f>IF(ISERROR(
(P234*CAD_PROD!D234)),"",(P234*CAD_PROD!D234))</f>
        <v/>
      </c>
      <c r="O234" s="68" t="str">
        <f>IF(ISERROR(PE_GERAL!$J$7*CAD_PROD!G234),"",PE_GERAL!$J$7*CAD_PROD!G234)</f>
        <v/>
      </c>
      <c r="P234" s="101" t="str">
        <f t="shared" si="11"/>
        <v/>
      </c>
      <c r="Q234" s="68" t="str">
        <f>IF(C234="","",IF(ISERROR(
CAD_PROD!E234*G234),"",CAD_PROD!E234*G234))</f>
        <v/>
      </c>
      <c r="R234" s="68" t="str">
        <f>IF(C234="","",IF(ISERROR(
CAD_PROD!E234*D234),"",CAD_PROD!E234*D234))</f>
        <v/>
      </c>
      <c r="S234" s="44" t="str">
        <f>IF(C234="","",IF(CAD_PROD!E234&gt;=P234,"Sim","Não"))</f>
        <v/>
      </c>
    </row>
    <row r="235" spans="1:19" ht="30" customHeight="1">
      <c r="A235" s="52">
        <f t="shared" si="9"/>
        <v>0</v>
      </c>
      <c r="B235" s="52">
        <f t="shared" si="10"/>
        <v>0</v>
      </c>
      <c r="C235" s="96" t="str">
        <f>IF(CAD_PROD!C235="","",CAD_PROD!C235)</f>
        <v/>
      </c>
      <c r="D235" s="75"/>
      <c r="E235" s="125"/>
      <c r="F235" s="125"/>
      <c r="G235" s="75"/>
      <c r="H235" s="75" t="str">
        <f>IF(C235="","",D235+CAD_PROD!D235*(E235+F235)+G235)</f>
        <v/>
      </c>
      <c r="I235" s="52">
        <v>9.9999999999999995E-7</v>
      </c>
      <c r="J235" s="68" t="str">
        <f>IF(ISERROR(
CAD_PROD!F235*E235),"",CAD_PROD!F235*E235)</f>
        <v/>
      </c>
      <c r="K235" s="68" t="str">
        <f>IF(ISERROR(
CAD_PROD!F235*F235),"",CAD_PROD!F235*F235)</f>
        <v/>
      </c>
      <c r="L235" s="68" t="str">
        <f>IF(ISERROR(
CAD_PROD!D235-H235),"",CAD_PROD!D235-H235)</f>
        <v/>
      </c>
      <c r="M235" s="57" t="str">
        <f>IF(ISERROR(
L235/CAD_PROD!D235),"",L235/CAD_PROD!D235)</f>
        <v/>
      </c>
      <c r="N235" s="68" t="str">
        <f>IF(ISERROR(
(P235*CAD_PROD!D235)),"",(P235*CAD_PROD!D235))</f>
        <v/>
      </c>
      <c r="O235" s="68" t="str">
        <f>IF(ISERROR(PE_GERAL!$J$7*CAD_PROD!G235),"",PE_GERAL!$J$7*CAD_PROD!G235)</f>
        <v/>
      </c>
      <c r="P235" s="101" t="str">
        <f t="shared" si="11"/>
        <v/>
      </c>
      <c r="Q235" s="68" t="str">
        <f>IF(C235="","",IF(ISERROR(
CAD_PROD!E235*G235),"",CAD_PROD!E235*G235))</f>
        <v/>
      </c>
      <c r="R235" s="68" t="str">
        <f>IF(C235="","",IF(ISERROR(
CAD_PROD!E235*D235),"",CAD_PROD!E235*D235))</f>
        <v/>
      </c>
      <c r="S235" s="44" t="str">
        <f>IF(C235="","",IF(CAD_PROD!E235&gt;=P235,"Sim","Não"))</f>
        <v/>
      </c>
    </row>
    <row r="236" spans="1:19" ht="30" customHeight="1">
      <c r="A236" s="52">
        <f t="shared" si="9"/>
        <v>0</v>
      </c>
      <c r="B236" s="52">
        <f t="shared" si="10"/>
        <v>0</v>
      </c>
      <c r="C236" s="96" t="str">
        <f>IF(CAD_PROD!C236="","",CAD_PROD!C236)</f>
        <v/>
      </c>
      <c r="D236" s="75"/>
      <c r="E236" s="125"/>
      <c r="F236" s="125"/>
      <c r="G236" s="75"/>
      <c r="H236" s="75" t="str">
        <f>IF(C236="","",D236+CAD_PROD!D236*(E236+F236)+G236)</f>
        <v/>
      </c>
      <c r="I236" s="52">
        <v>9.9999999999999995E-7</v>
      </c>
      <c r="J236" s="68" t="str">
        <f>IF(ISERROR(
CAD_PROD!F236*E236),"",CAD_PROD!F236*E236)</f>
        <v/>
      </c>
      <c r="K236" s="68" t="str">
        <f>IF(ISERROR(
CAD_PROD!F236*F236),"",CAD_PROD!F236*F236)</f>
        <v/>
      </c>
      <c r="L236" s="68" t="str">
        <f>IF(ISERROR(
CAD_PROD!D236-H236),"",CAD_PROD!D236-H236)</f>
        <v/>
      </c>
      <c r="M236" s="57" t="str">
        <f>IF(ISERROR(
L236/CAD_PROD!D236),"",L236/CAD_PROD!D236)</f>
        <v/>
      </c>
      <c r="N236" s="68" t="str">
        <f>IF(ISERROR(
(P236*CAD_PROD!D236)),"",(P236*CAD_PROD!D236))</f>
        <v/>
      </c>
      <c r="O236" s="68" t="str">
        <f>IF(ISERROR(PE_GERAL!$J$7*CAD_PROD!G236),"",PE_GERAL!$J$7*CAD_PROD!G236)</f>
        <v/>
      </c>
      <c r="P236" s="101" t="str">
        <f t="shared" si="11"/>
        <v/>
      </c>
      <c r="Q236" s="68" t="str">
        <f>IF(C236="","",IF(ISERROR(
CAD_PROD!E236*G236),"",CAD_PROD!E236*G236))</f>
        <v/>
      </c>
      <c r="R236" s="68" t="str">
        <f>IF(C236="","",IF(ISERROR(
CAD_PROD!E236*D236),"",CAD_PROD!E236*D236))</f>
        <v/>
      </c>
      <c r="S236" s="44" t="str">
        <f>IF(C236="","",IF(CAD_PROD!E236&gt;=P236,"Sim","Não"))</f>
        <v/>
      </c>
    </row>
    <row r="237" spans="1:19" ht="30" customHeight="1">
      <c r="A237" s="52">
        <f t="shared" si="9"/>
        <v>0</v>
      </c>
      <c r="B237" s="52">
        <f t="shared" si="10"/>
        <v>0</v>
      </c>
      <c r="C237" s="96" t="str">
        <f>IF(CAD_PROD!C237="","",CAD_PROD!C237)</f>
        <v/>
      </c>
      <c r="D237" s="75"/>
      <c r="E237" s="125"/>
      <c r="F237" s="125"/>
      <c r="G237" s="75"/>
      <c r="H237" s="75" t="str">
        <f>IF(C237="","",D237+CAD_PROD!D237*(E237+F237)+G237)</f>
        <v/>
      </c>
      <c r="I237" s="52">
        <v>9.9999999999999995E-7</v>
      </c>
      <c r="J237" s="68" t="str">
        <f>IF(ISERROR(
CAD_PROD!F237*E237),"",CAD_PROD!F237*E237)</f>
        <v/>
      </c>
      <c r="K237" s="68" t="str">
        <f>IF(ISERROR(
CAD_PROD!F237*F237),"",CAD_PROD!F237*F237)</f>
        <v/>
      </c>
      <c r="L237" s="68" t="str">
        <f>IF(ISERROR(
CAD_PROD!D237-H237),"",CAD_PROD!D237-H237)</f>
        <v/>
      </c>
      <c r="M237" s="57" t="str">
        <f>IF(ISERROR(
L237/CAD_PROD!D237),"",L237/CAD_PROD!D237)</f>
        <v/>
      </c>
      <c r="N237" s="68" t="str">
        <f>IF(ISERROR(
(P237*CAD_PROD!D237)),"",(P237*CAD_PROD!D237))</f>
        <v/>
      </c>
      <c r="O237" s="68" t="str">
        <f>IF(ISERROR(PE_GERAL!$J$7*CAD_PROD!G237),"",PE_GERAL!$J$7*CAD_PROD!G237)</f>
        <v/>
      </c>
      <c r="P237" s="101" t="str">
        <f t="shared" si="11"/>
        <v/>
      </c>
      <c r="Q237" s="68" t="str">
        <f>IF(C237="","",IF(ISERROR(
CAD_PROD!E237*G237),"",CAD_PROD!E237*G237))</f>
        <v/>
      </c>
      <c r="R237" s="68" t="str">
        <f>IF(C237="","",IF(ISERROR(
CAD_PROD!E237*D237),"",CAD_PROD!E237*D237))</f>
        <v/>
      </c>
      <c r="S237" s="44" t="str">
        <f>IF(C237="","",IF(CAD_PROD!E237&gt;=P237,"Sim","Não"))</f>
        <v/>
      </c>
    </row>
    <row r="238" spans="1:19" ht="30" customHeight="1">
      <c r="A238" s="52">
        <f t="shared" si="9"/>
        <v>0</v>
      </c>
      <c r="B238" s="52">
        <f t="shared" si="10"/>
        <v>0</v>
      </c>
      <c r="C238" s="96" t="str">
        <f>IF(CAD_PROD!C238="","",CAD_PROD!C238)</f>
        <v/>
      </c>
      <c r="D238" s="75"/>
      <c r="E238" s="125"/>
      <c r="F238" s="125"/>
      <c r="G238" s="75"/>
      <c r="H238" s="75" t="str">
        <f>IF(C238="","",D238+CAD_PROD!D238*(E238+F238)+G238)</f>
        <v/>
      </c>
      <c r="I238" s="52">
        <v>9.9999999999999995E-7</v>
      </c>
      <c r="J238" s="68" t="str">
        <f>IF(ISERROR(
CAD_PROD!F238*E238),"",CAD_PROD!F238*E238)</f>
        <v/>
      </c>
      <c r="K238" s="68" t="str">
        <f>IF(ISERROR(
CAD_PROD!F238*F238),"",CAD_PROD!F238*F238)</f>
        <v/>
      </c>
      <c r="L238" s="68" t="str">
        <f>IF(ISERROR(
CAD_PROD!D238-H238),"",CAD_PROD!D238-H238)</f>
        <v/>
      </c>
      <c r="M238" s="57" t="str">
        <f>IF(ISERROR(
L238/CAD_PROD!D238),"",L238/CAD_PROD!D238)</f>
        <v/>
      </c>
      <c r="N238" s="68" t="str">
        <f>IF(ISERROR(
(P238*CAD_PROD!D238)),"",(P238*CAD_PROD!D238))</f>
        <v/>
      </c>
      <c r="O238" s="68" t="str">
        <f>IF(ISERROR(PE_GERAL!$J$7*CAD_PROD!G238),"",PE_GERAL!$J$7*CAD_PROD!G238)</f>
        <v/>
      </c>
      <c r="P238" s="101" t="str">
        <f t="shared" si="11"/>
        <v/>
      </c>
      <c r="Q238" s="68" t="str">
        <f>IF(C238="","",IF(ISERROR(
CAD_PROD!E238*G238),"",CAD_PROD!E238*G238))</f>
        <v/>
      </c>
      <c r="R238" s="68" t="str">
        <f>IF(C238="","",IF(ISERROR(
CAD_PROD!E238*D238),"",CAD_PROD!E238*D238))</f>
        <v/>
      </c>
      <c r="S238" s="44" t="str">
        <f>IF(C238="","",IF(CAD_PROD!E238&gt;=P238,"Sim","Não"))</f>
        <v/>
      </c>
    </row>
    <row r="239" spans="1:19" ht="30" customHeight="1">
      <c r="A239" s="52">
        <f t="shared" si="9"/>
        <v>0</v>
      </c>
      <c r="B239" s="52">
        <f t="shared" si="10"/>
        <v>0</v>
      </c>
      <c r="C239" s="96" t="str">
        <f>IF(CAD_PROD!C239="","",CAD_PROD!C239)</f>
        <v/>
      </c>
      <c r="D239" s="75"/>
      <c r="E239" s="125"/>
      <c r="F239" s="125"/>
      <c r="G239" s="75"/>
      <c r="H239" s="75" t="str">
        <f>IF(C239="","",D239+CAD_PROD!D239*(E239+F239)+G239)</f>
        <v/>
      </c>
      <c r="I239" s="52">
        <v>9.9999999999999995E-7</v>
      </c>
      <c r="J239" s="68" t="str">
        <f>IF(ISERROR(
CAD_PROD!F239*E239),"",CAD_PROD!F239*E239)</f>
        <v/>
      </c>
      <c r="K239" s="68" t="str">
        <f>IF(ISERROR(
CAD_PROD!F239*F239),"",CAD_PROD!F239*F239)</f>
        <v/>
      </c>
      <c r="L239" s="68" t="str">
        <f>IF(ISERROR(
CAD_PROD!D239-H239),"",CAD_PROD!D239-H239)</f>
        <v/>
      </c>
      <c r="M239" s="57" t="str">
        <f>IF(ISERROR(
L239/CAD_PROD!D239),"",L239/CAD_PROD!D239)</f>
        <v/>
      </c>
      <c r="N239" s="68" t="str">
        <f>IF(ISERROR(
(P239*CAD_PROD!D239)),"",(P239*CAD_PROD!D239))</f>
        <v/>
      </c>
      <c r="O239" s="68" t="str">
        <f>IF(ISERROR(PE_GERAL!$J$7*CAD_PROD!G239),"",PE_GERAL!$J$7*CAD_PROD!G239)</f>
        <v/>
      </c>
      <c r="P239" s="101" t="str">
        <f t="shared" si="11"/>
        <v/>
      </c>
      <c r="Q239" s="68" t="str">
        <f>IF(C239="","",IF(ISERROR(
CAD_PROD!E239*G239),"",CAD_PROD!E239*G239))</f>
        <v/>
      </c>
      <c r="R239" s="68" t="str">
        <f>IF(C239="","",IF(ISERROR(
CAD_PROD!E239*D239),"",CAD_PROD!E239*D239))</f>
        <v/>
      </c>
      <c r="S239" s="44" t="str">
        <f>IF(C239="","",IF(CAD_PROD!E239&gt;=P239,"Sim","Não"))</f>
        <v/>
      </c>
    </row>
    <row r="240" spans="1:19" ht="30" customHeight="1">
      <c r="A240" s="52">
        <f t="shared" si="9"/>
        <v>0</v>
      </c>
      <c r="B240" s="52">
        <f t="shared" si="10"/>
        <v>0</v>
      </c>
      <c r="C240" s="96" t="str">
        <f>IF(CAD_PROD!C240="","",CAD_PROD!C240)</f>
        <v/>
      </c>
      <c r="D240" s="75"/>
      <c r="E240" s="125"/>
      <c r="F240" s="125"/>
      <c r="G240" s="75"/>
      <c r="H240" s="75" t="str">
        <f>IF(C240="","",D240+CAD_PROD!D240*(E240+F240)+G240)</f>
        <v/>
      </c>
      <c r="I240" s="52">
        <v>9.9999999999999995E-7</v>
      </c>
      <c r="J240" s="68" t="str">
        <f>IF(ISERROR(
CAD_PROD!F240*E240),"",CAD_PROD!F240*E240)</f>
        <v/>
      </c>
      <c r="K240" s="68" t="str">
        <f>IF(ISERROR(
CAD_PROD!F240*F240),"",CAD_PROD!F240*F240)</f>
        <v/>
      </c>
      <c r="L240" s="68" t="str">
        <f>IF(ISERROR(
CAD_PROD!D240-H240),"",CAD_PROD!D240-H240)</f>
        <v/>
      </c>
      <c r="M240" s="57" t="str">
        <f>IF(ISERROR(
L240/CAD_PROD!D240),"",L240/CAD_PROD!D240)</f>
        <v/>
      </c>
      <c r="N240" s="68" t="str">
        <f>IF(ISERROR(
(P240*CAD_PROD!D240)),"",(P240*CAD_PROD!D240))</f>
        <v/>
      </c>
      <c r="O240" s="68" t="str">
        <f>IF(ISERROR(PE_GERAL!$J$7*CAD_PROD!G240),"",PE_GERAL!$J$7*CAD_PROD!G240)</f>
        <v/>
      </c>
      <c r="P240" s="101" t="str">
        <f t="shared" si="11"/>
        <v/>
      </c>
      <c r="Q240" s="68" t="str">
        <f>IF(C240="","",IF(ISERROR(
CAD_PROD!E240*G240),"",CAD_PROD!E240*G240))</f>
        <v/>
      </c>
      <c r="R240" s="68" t="str">
        <f>IF(C240="","",IF(ISERROR(
CAD_PROD!E240*D240),"",CAD_PROD!E240*D240))</f>
        <v/>
      </c>
      <c r="S240" s="44" t="str">
        <f>IF(C240="","",IF(CAD_PROD!E240&gt;=P240,"Sim","Não"))</f>
        <v/>
      </c>
    </row>
    <row r="241" spans="1:19" ht="30" customHeight="1">
      <c r="A241" s="52">
        <f t="shared" si="9"/>
        <v>0</v>
      </c>
      <c r="B241" s="52">
        <f t="shared" si="10"/>
        <v>0</v>
      </c>
      <c r="C241" s="96" t="str">
        <f>IF(CAD_PROD!C241="","",CAD_PROD!C241)</f>
        <v/>
      </c>
      <c r="D241" s="75"/>
      <c r="E241" s="125"/>
      <c r="F241" s="125"/>
      <c r="G241" s="75"/>
      <c r="H241" s="75" t="str">
        <f>IF(C241="","",D241+CAD_PROD!D241*(E241+F241)+G241)</f>
        <v/>
      </c>
      <c r="I241" s="52">
        <v>9.9999999999999995E-7</v>
      </c>
      <c r="J241" s="68" t="str">
        <f>IF(ISERROR(
CAD_PROD!F241*E241),"",CAD_PROD!F241*E241)</f>
        <v/>
      </c>
      <c r="K241" s="68" t="str">
        <f>IF(ISERROR(
CAD_PROD!F241*F241),"",CAD_PROD!F241*F241)</f>
        <v/>
      </c>
      <c r="L241" s="68" t="str">
        <f>IF(ISERROR(
CAD_PROD!D241-H241),"",CAD_PROD!D241-H241)</f>
        <v/>
      </c>
      <c r="M241" s="57" t="str">
        <f>IF(ISERROR(
L241/CAD_PROD!D241),"",L241/CAD_PROD!D241)</f>
        <v/>
      </c>
      <c r="N241" s="68" t="str">
        <f>IF(ISERROR(
(P241*CAD_PROD!D241)),"",(P241*CAD_PROD!D241))</f>
        <v/>
      </c>
      <c r="O241" s="68" t="str">
        <f>IF(ISERROR(PE_GERAL!$J$7*CAD_PROD!G241),"",PE_GERAL!$J$7*CAD_PROD!G241)</f>
        <v/>
      </c>
      <c r="P241" s="101" t="str">
        <f t="shared" si="11"/>
        <v/>
      </c>
      <c r="Q241" s="68" t="str">
        <f>IF(C241="","",IF(ISERROR(
CAD_PROD!E241*G241),"",CAD_PROD!E241*G241))</f>
        <v/>
      </c>
      <c r="R241" s="68" t="str">
        <f>IF(C241="","",IF(ISERROR(
CAD_PROD!E241*D241),"",CAD_PROD!E241*D241))</f>
        <v/>
      </c>
      <c r="S241" s="44" t="str">
        <f>IF(C241="","",IF(CAD_PROD!E241&gt;=P241,"Sim","Não"))</f>
        <v/>
      </c>
    </row>
    <row r="242" spans="1:19" ht="30" customHeight="1">
      <c r="A242" s="52">
        <f t="shared" si="9"/>
        <v>0</v>
      </c>
      <c r="B242" s="52">
        <f t="shared" si="10"/>
        <v>0</v>
      </c>
      <c r="C242" s="96" t="str">
        <f>IF(CAD_PROD!C242="","",CAD_PROD!C242)</f>
        <v/>
      </c>
      <c r="D242" s="75"/>
      <c r="E242" s="125"/>
      <c r="F242" s="125"/>
      <c r="G242" s="75"/>
      <c r="H242" s="75" t="str">
        <f>IF(C242="","",D242+CAD_PROD!D242*(E242+F242)+G242)</f>
        <v/>
      </c>
      <c r="I242" s="52">
        <v>9.9999999999999995E-7</v>
      </c>
      <c r="J242" s="68" t="str">
        <f>IF(ISERROR(
CAD_PROD!F242*E242),"",CAD_PROD!F242*E242)</f>
        <v/>
      </c>
      <c r="K242" s="68" t="str">
        <f>IF(ISERROR(
CAD_PROD!F242*F242),"",CAD_PROD!F242*F242)</f>
        <v/>
      </c>
      <c r="L242" s="68" t="str">
        <f>IF(ISERROR(
CAD_PROD!D242-H242),"",CAD_PROD!D242-H242)</f>
        <v/>
      </c>
      <c r="M242" s="57" t="str">
        <f>IF(ISERROR(
L242/CAD_PROD!D242),"",L242/CAD_PROD!D242)</f>
        <v/>
      </c>
      <c r="N242" s="68" t="str">
        <f>IF(ISERROR(
(P242*CAD_PROD!D242)),"",(P242*CAD_PROD!D242))</f>
        <v/>
      </c>
      <c r="O242" s="68" t="str">
        <f>IF(ISERROR(PE_GERAL!$J$7*CAD_PROD!G242),"",PE_GERAL!$J$7*CAD_PROD!G242)</f>
        <v/>
      </c>
      <c r="P242" s="101" t="str">
        <f t="shared" si="11"/>
        <v/>
      </c>
      <c r="Q242" s="68" t="str">
        <f>IF(C242="","",IF(ISERROR(
CAD_PROD!E242*G242),"",CAD_PROD!E242*G242))</f>
        <v/>
      </c>
      <c r="R242" s="68" t="str">
        <f>IF(C242="","",IF(ISERROR(
CAD_PROD!E242*D242),"",CAD_PROD!E242*D242))</f>
        <v/>
      </c>
      <c r="S242" s="44" t="str">
        <f>IF(C242="","",IF(CAD_PROD!E242&gt;=P242,"Sim","Não"))</f>
        <v/>
      </c>
    </row>
    <row r="243" spans="1:19" ht="30" customHeight="1">
      <c r="A243" s="52">
        <f t="shared" si="9"/>
        <v>0</v>
      </c>
      <c r="B243" s="52">
        <f t="shared" si="10"/>
        <v>0</v>
      </c>
      <c r="C243" s="96" t="str">
        <f>IF(CAD_PROD!C243="","",CAD_PROD!C243)</f>
        <v/>
      </c>
      <c r="D243" s="75"/>
      <c r="E243" s="125"/>
      <c r="F243" s="125"/>
      <c r="G243" s="75"/>
      <c r="H243" s="75" t="str">
        <f>IF(C243="","",D243+CAD_PROD!D243*(E243+F243)+G243)</f>
        <v/>
      </c>
      <c r="I243" s="52">
        <v>9.9999999999999995E-7</v>
      </c>
      <c r="J243" s="68" t="str">
        <f>IF(ISERROR(
CAD_PROD!F243*E243),"",CAD_PROD!F243*E243)</f>
        <v/>
      </c>
      <c r="K243" s="68" t="str">
        <f>IF(ISERROR(
CAD_PROD!F243*F243),"",CAD_PROD!F243*F243)</f>
        <v/>
      </c>
      <c r="L243" s="68" t="str">
        <f>IF(ISERROR(
CAD_PROD!D243-H243),"",CAD_PROD!D243-H243)</f>
        <v/>
      </c>
      <c r="M243" s="57" t="str">
        <f>IF(ISERROR(
L243/CAD_PROD!D243),"",L243/CAD_PROD!D243)</f>
        <v/>
      </c>
      <c r="N243" s="68" t="str">
        <f>IF(ISERROR(
(P243*CAD_PROD!D243)),"",(P243*CAD_PROD!D243))</f>
        <v/>
      </c>
      <c r="O243" s="68" t="str">
        <f>IF(ISERROR(PE_GERAL!$J$7*CAD_PROD!G243),"",PE_GERAL!$J$7*CAD_PROD!G243)</f>
        <v/>
      </c>
      <c r="P243" s="101" t="str">
        <f t="shared" si="11"/>
        <v/>
      </c>
      <c r="Q243" s="68" t="str">
        <f>IF(C243="","",IF(ISERROR(
CAD_PROD!E243*G243),"",CAD_PROD!E243*G243))</f>
        <v/>
      </c>
      <c r="R243" s="68" t="str">
        <f>IF(C243="","",IF(ISERROR(
CAD_PROD!E243*D243),"",CAD_PROD!E243*D243))</f>
        <v/>
      </c>
      <c r="S243" s="44" t="str">
        <f>IF(C243="","",IF(CAD_PROD!E243&gt;=P243,"Sim","Não"))</f>
        <v/>
      </c>
    </row>
    <row r="244" spans="1:19" ht="30" customHeight="1">
      <c r="A244" s="52">
        <f t="shared" si="9"/>
        <v>0</v>
      </c>
      <c r="B244" s="52">
        <f t="shared" si="10"/>
        <v>0</v>
      </c>
      <c r="C244" s="96" t="str">
        <f>IF(CAD_PROD!C244="","",CAD_PROD!C244)</f>
        <v/>
      </c>
      <c r="D244" s="75"/>
      <c r="E244" s="125"/>
      <c r="F244" s="125"/>
      <c r="G244" s="75"/>
      <c r="H244" s="75" t="str">
        <f>IF(C244="","",D244+CAD_PROD!D244*(E244+F244)+G244)</f>
        <v/>
      </c>
      <c r="I244" s="52">
        <v>9.9999999999999995E-7</v>
      </c>
      <c r="J244" s="68" t="str">
        <f>IF(ISERROR(
CAD_PROD!F244*E244),"",CAD_PROD!F244*E244)</f>
        <v/>
      </c>
      <c r="K244" s="68" t="str">
        <f>IF(ISERROR(
CAD_PROD!F244*F244),"",CAD_PROD!F244*F244)</f>
        <v/>
      </c>
      <c r="L244" s="68" t="str">
        <f>IF(ISERROR(
CAD_PROD!D244-H244),"",CAD_PROD!D244-H244)</f>
        <v/>
      </c>
      <c r="M244" s="57" t="str">
        <f>IF(ISERROR(
L244/CAD_PROD!D244),"",L244/CAD_PROD!D244)</f>
        <v/>
      </c>
      <c r="N244" s="68" t="str">
        <f>IF(ISERROR(
(P244*CAD_PROD!D244)),"",(P244*CAD_PROD!D244))</f>
        <v/>
      </c>
      <c r="O244" s="68" t="str">
        <f>IF(ISERROR(PE_GERAL!$J$7*CAD_PROD!G244),"",PE_GERAL!$J$7*CAD_PROD!G244)</f>
        <v/>
      </c>
      <c r="P244" s="101" t="str">
        <f t="shared" si="11"/>
        <v/>
      </c>
      <c r="Q244" s="68" t="str">
        <f>IF(C244="","",IF(ISERROR(
CAD_PROD!E244*G244),"",CAD_PROD!E244*G244))</f>
        <v/>
      </c>
      <c r="R244" s="68" t="str">
        <f>IF(C244="","",IF(ISERROR(
CAD_PROD!E244*D244),"",CAD_PROD!E244*D244))</f>
        <v/>
      </c>
      <c r="S244" s="44" t="str">
        <f>IF(C244="","",IF(CAD_PROD!E244&gt;=P244,"Sim","Não"))</f>
        <v/>
      </c>
    </row>
    <row r="245" spans="1:19" ht="30" customHeight="1">
      <c r="A245" s="52">
        <f t="shared" si="9"/>
        <v>0</v>
      </c>
      <c r="B245" s="52">
        <f t="shared" si="10"/>
        <v>0</v>
      </c>
      <c r="C245" s="96" t="str">
        <f>IF(CAD_PROD!C245="","",CAD_PROD!C245)</f>
        <v/>
      </c>
      <c r="D245" s="75"/>
      <c r="E245" s="125"/>
      <c r="F245" s="125"/>
      <c r="G245" s="75"/>
      <c r="H245" s="75" t="str">
        <f>IF(C245="","",D245+CAD_PROD!D245*(E245+F245)+G245)</f>
        <v/>
      </c>
      <c r="I245" s="52">
        <v>9.9999999999999995E-7</v>
      </c>
      <c r="J245" s="68" t="str">
        <f>IF(ISERROR(
CAD_PROD!F245*E245),"",CAD_PROD!F245*E245)</f>
        <v/>
      </c>
      <c r="K245" s="68" t="str">
        <f>IF(ISERROR(
CAD_PROD!F245*F245),"",CAD_PROD!F245*F245)</f>
        <v/>
      </c>
      <c r="L245" s="68" t="str">
        <f>IF(ISERROR(
CAD_PROD!D245-H245),"",CAD_PROD!D245-H245)</f>
        <v/>
      </c>
      <c r="M245" s="57" t="str">
        <f>IF(ISERROR(
L245/CAD_PROD!D245),"",L245/CAD_PROD!D245)</f>
        <v/>
      </c>
      <c r="N245" s="68" t="str">
        <f>IF(ISERROR(
(P245*CAD_PROD!D245)),"",(P245*CAD_PROD!D245))</f>
        <v/>
      </c>
      <c r="O245" s="68" t="str">
        <f>IF(ISERROR(PE_GERAL!$J$7*CAD_PROD!G245),"",PE_GERAL!$J$7*CAD_PROD!G245)</f>
        <v/>
      </c>
      <c r="P245" s="101" t="str">
        <f t="shared" si="11"/>
        <v/>
      </c>
      <c r="Q245" s="68" t="str">
        <f>IF(C245="","",IF(ISERROR(
CAD_PROD!E245*G245),"",CAD_PROD!E245*G245))</f>
        <v/>
      </c>
      <c r="R245" s="68" t="str">
        <f>IF(C245="","",IF(ISERROR(
CAD_PROD!E245*D245),"",CAD_PROD!E245*D245))</f>
        <v/>
      </c>
      <c r="S245" s="44" t="str">
        <f>IF(C245="","",IF(CAD_PROD!E245&gt;=P245,"Sim","Não"))</f>
        <v/>
      </c>
    </row>
    <row r="246" spans="1:19" ht="30" customHeight="1">
      <c r="A246" s="52">
        <f t="shared" si="9"/>
        <v>0</v>
      </c>
      <c r="B246" s="52">
        <f t="shared" si="10"/>
        <v>0</v>
      </c>
      <c r="C246" s="96" t="str">
        <f>IF(CAD_PROD!C246="","",CAD_PROD!C246)</f>
        <v/>
      </c>
      <c r="D246" s="75"/>
      <c r="E246" s="125"/>
      <c r="F246" s="125"/>
      <c r="G246" s="75"/>
      <c r="H246" s="75" t="str">
        <f>IF(C246="","",D246+CAD_PROD!D246*(E246+F246)+G246)</f>
        <v/>
      </c>
      <c r="I246" s="52">
        <v>9.9999999999999995E-7</v>
      </c>
      <c r="J246" s="68" t="str">
        <f>IF(ISERROR(
CAD_PROD!F246*E246),"",CAD_PROD!F246*E246)</f>
        <v/>
      </c>
      <c r="K246" s="68" t="str">
        <f>IF(ISERROR(
CAD_PROD!F246*F246),"",CAD_PROD!F246*F246)</f>
        <v/>
      </c>
      <c r="L246" s="68" t="str">
        <f>IF(ISERROR(
CAD_PROD!D246-H246),"",CAD_PROD!D246-H246)</f>
        <v/>
      </c>
      <c r="M246" s="57" t="str">
        <f>IF(ISERROR(
L246/CAD_PROD!D246),"",L246/CAD_PROD!D246)</f>
        <v/>
      </c>
      <c r="N246" s="68" t="str">
        <f>IF(ISERROR(
(P246*CAD_PROD!D246)),"",(P246*CAD_PROD!D246))</f>
        <v/>
      </c>
      <c r="O246" s="68" t="str">
        <f>IF(ISERROR(PE_GERAL!$J$7*CAD_PROD!G246),"",PE_GERAL!$J$7*CAD_PROD!G246)</f>
        <v/>
      </c>
      <c r="P246" s="101" t="str">
        <f t="shared" si="11"/>
        <v/>
      </c>
      <c r="Q246" s="68" t="str">
        <f>IF(C246="","",IF(ISERROR(
CAD_PROD!E246*G246),"",CAD_PROD!E246*G246))</f>
        <v/>
      </c>
      <c r="R246" s="68" t="str">
        <f>IF(C246="","",IF(ISERROR(
CAD_PROD!E246*D246),"",CAD_PROD!E246*D246))</f>
        <v/>
      </c>
      <c r="S246" s="44" t="str">
        <f>IF(C246="","",IF(CAD_PROD!E246&gt;=P246,"Sim","Não"))</f>
        <v/>
      </c>
    </row>
    <row r="247" spans="1:19" ht="30" customHeight="1">
      <c r="A247" s="52">
        <f t="shared" si="9"/>
        <v>0</v>
      </c>
      <c r="B247" s="52">
        <f t="shared" si="10"/>
        <v>0</v>
      </c>
      <c r="C247" s="96" t="str">
        <f>IF(CAD_PROD!C247="","",CAD_PROD!C247)</f>
        <v/>
      </c>
      <c r="D247" s="75"/>
      <c r="E247" s="125"/>
      <c r="F247" s="125"/>
      <c r="G247" s="75"/>
      <c r="H247" s="75" t="str">
        <f>IF(C247="","",D247+CAD_PROD!D247*(E247+F247)+G247)</f>
        <v/>
      </c>
      <c r="I247" s="52">
        <v>9.9999999999999995E-7</v>
      </c>
      <c r="J247" s="68" t="str">
        <f>IF(ISERROR(
CAD_PROD!F247*E247),"",CAD_PROD!F247*E247)</f>
        <v/>
      </c>
      <c r="K247" s="68" t="str">
        <f>IF(ISERROR(
CAD_PROD!F247*F247),"",CAD_PROD!F247*F247)</f>
        <v/>
      </c>
      <c r="L247" s="68" t="str">
        <f>IF(ISERROR(
CAD_PROD!D247-H247),"",CAD_PROD!D247-H247)</f>
        <v/>
      </c>
      <c r="M247" s="57" t="str">
        <f>IF(ISERROR(
L247/CAD_PROD!D247),"",L247/CAD_PROD!D247)</f>
        <v/>
      </c>
      <c r="N247" s="68" t="str">
        <f>IF(ISERROR(
(P247*CAD_PROD!D247)),"",(P247*CAD_PROD!D247))</f>
        <v/>
      </c>
      <c r="O247" s="68" t="str">
        <f>IF(ISERROR(PE_GERAL!$J$7*CAD_PROD!G247),"",PE_GERAL!$J$7*CAD_PROD!G247)</f>
        <v/>
      </c>
      <c r="P247" s="101" t="str">
        <f t="shared" si="11"/>
        <v/>
      </c>
      <c r="Q247" s="68" t="str">
        <f>IF(C247="","",IF(ISERROR(
CAD_PROD!E247*G247),"",CAD_PROD!E247*G247))</f>
        <v/>
      </c>
      <c r="R247" s="68" t="str">
        <f>IF(C247="","",IF(ISERROR(
CAD_PROD!E247*D247),"",CAD_PROD!E247*D247))</f>
        <v/>
      </c>
      <c r="S247" s="44" t="str">
        <f>IF(C247="","",IF(CAD_PROD!E247&gt;=P247,"Sim","Não"))</f>
        <v/>
      </c>
    </row>
    <row r="248" spans="1:19" ht="30" customHeight="1">
      <c r="A248" s="52">
        <f t="shared" si="9"/>
        <v>0</v>
      </c>
      <c r="B248" s="52">
        <f t="shared" si="10"/>
        <v>0</v>
      </c>
      <c r="C248" s="96" t="str">
        <f>IF(CAD_PROD!C248="","",CAD_PROD!C248)</f>
        <v/>
      </c>
      <c r="D248" s="75"/>
      <c r="E248" s="125"/>
      <c r="F248" s="125"/>
      <c r="G248" s="75"/>
      <c r="H248" s="75" t="str">
        <f>IF(C248="","",D248+CAD_PROD!D248*(E248+F248)+G248)</f>
        <v/>
      </c>
      <c r="I248" s="52">
        <v>9.9999999999999995E-7</v>
      </c>
      <c r="J248" s="68" t="str">
        <f>IF(ISERROR(
CAD_PROD!F248*E248),"",CAD_PROD!F248*E248)</f>
        <v/>
      </c>
      <c r="K248" s="68" t="str">
        <f>IF(ISERROR(
CAD_PROD!F248*F248),"",CAD_PROD!F248*F248)</f>
        <v/>
      </c>
      <c r="L248" s="68" t="str">
        <f>IF(ISERROR(
CAD_PROD!D248-H248),"",CAD_PROD!D248-H248)</f>
        <v/>
      </c>
      <c r="M248" s="57" t="str">
        <f>IF(ISERROR(
L248/CAD_PROD!D248),"",L248/CAD_PROD!D248)</f>
        <v/>
      </c>
      <c r="N248" s="68" t="str">
        <f>IF(ISERROR(
(P248*CAD_PROD!D248)),"",(P248*CAD_PROD!D248))</f>
        <v/>
      </c>
      <c r="O248" s="68" t="str">
        <f>IF(ISERROR(PE_GERAL!$J$7*CAD_PROD!G248),"",PE_GERAL!$J$7*CAD_PROD!G248)</f>
        <v/>
      </c>
      <c r="P248" s="101" t="str">
        <f t="shared" si="11"/>
        <v/>
      </c>
      <c r="Q248" s="68" t="str">
        <f>IF(C248="","",IF(ISERROR(
CAD_PROD!E248*G248),"",CAD_PROD!E248*G248))</f>
        <v/>
      </c>
      <c r="R248" s="68" t="str">
        <f>IF(C248="","",IF(ISERROR(
CAD_PROD!E248*D248),"",CAD_PROD!E248*D248))</f>
        <v/>
      </c>
      <c r="S248" s="44" t="str">
        <f>IF(C248="","",IF(CAD_PROD!E248&gt;=P248,"Sim","Não"))</f>
        <v/>
      </c>
    </row>
    <row r="249" spans="1:19" ht="30" customHeight="1">
      <c r="A249" s="52">
        <f t="shared" si="9"/>
        <v>0</v>
      </c>
      <c r="B249" s="52">
        <f t="shared" si="10"/>
        <v>0</v>
      </c>
      <c r="C249" s="96" t="str">
        <f>IF(CAD_PROD!C249="","",CAD_PROD!C249)</f>
        <v/>
      </c>
      <c r="D249" s="75"/>
      <c r="E249" s="125"/>
      <c r="F249" s="125"/>
      <c r="G249" s="75"/>
      <c r="H249" s="75" t="str">
        <f>IF(C249="","",D249+CAD_PROD!D249*(E249+F249)+G249)</f>
        <v/>
      </c>
      <c r="I249" s="52">
        <v>9.9999999999999995E-7</v>
      </c>
      <c r="J249" s="68" t="str">
        <f>IF(ISERROR(
CAD_PROD!F249*E249),"",CAD_PROD!F249*E249)</f>
        <v/>
      </c>
      <c r="K249" s="68" t="str">
        <f>IF(ISERROR(
CAD_PROD!F249*F249),"",CAD_PROD!F249*F249)</f>
        <v/>
      </c>
      <c r="L249" s="68" t="str">
        <f>IF(ISERROR(
CAD_PROD!D249-H249),"",CAD_PROD!D249-H249)</f>
        <v/>
      </c>
      <c r="M249" s="57" t="str">
        <f>IF(ISERROR(
L249/CAD_PROD!D249),"",L249/CAD_PROD!D249)</f>
        <v/>
      </c>
      <c r="N249" s="68" t="str">
        <f>IF(ISERROR(
(P249*CAD_PROD!D249)),"",(P249*CAD_PROD!D249))</f>
        <v/>
      </c>
      <c r="O249" s="68" t="str">
        <f>IF(ISERROR(PE_GERAL!$J$7*CAD_PROD!G249),"",PE_GERAL!$J$7*CAD_PROD!G249)</f>
        <v/>
      </c>
      <c r="P249" s="101" t="str">
        <f t="shared" si="11"/>
        <v/>
      </c>
      <c r="Q249" s="68" t="str">
        <f>IF(C249="","",IF(ISERROR(
CAD_PROD!E249*G249),"",CAD_PROD!E249*G249))</f>
        <v/>
      </c>
      <c r="R249" s="68" t="str">
        <f>IF(C249="","",IF(ISERROR(
CAD_PROD!E249*D249),"",CAD_PROD!E249*D249))</f>
        <v/>
      </c>
      <c r="S249" s="44" t="str">
        <f>IF(C249="","",IF(CAD_PROD!E249&gt;=P249,"Sim","Não"))</f>
        <v/>
      </c>
    </row>
    <row r="250" spans="1:19" ht="30" customHeight="1">
      <c r="A250" s="52">
        <f t="shared" si="9"/>
        <v>0</v>
      </c>
      <c r="B250" s="52">
        <f t="shared" si="10"/>
        <v>0</v>
      </c>
      <c r="C250" s="96" t="str">
        <f>IF(CAD_PROD!C250="","",CAD_PROD!C250)</f>
        <v/>
      </c>
      <c r="D250" s="75"/>
      <c r="E250" s="125"/>
      <c r="F250" s="125"/>
      <c r="G250" s="75"/>
      <c r="H250" s="75" t="str">
        <f>IF(C250="","",D250+CAD_PROD!D250*(E250+F250)+G250)</f>
        <v/>
      </c>
      <c r="I250" s="52">
        <v>9.9999999999999995E-7</v>
      </c>
      <c r="J250" s="68" t="str">
        <f>IF(ISERROR(
CAD_PROD!F250*E250),"",CAD_PROD!F250*E250)</f>
        <v/>
      </c>
      <c r="K250" s="68" t="str">
        <f>IF(ISERROR(
CAD_PROD!F250*F250),"",CAD_PROD!F250*F250)</f>
        <v/>
      </c>
      <c r="L250" s="68" t="str">
        <f>IF(ISERROR(
CAD_PROD!D250-H250),"",CAD_PROD!D250-H250)</f>
        <v/>
      </c>
      <c r="M250" s="57" t="str">
        <f>IF(ISERROR(
L250/CAD_PROD!D250),"",L250/CAD_PROD!D250)</f>
        <v/>
      </c>
      <c r="N250" s="68" t="str">
        <f>IF(ISERROR(
(P250*CAD_PROD!D250)),"",(P250*CAD_PROD!D250))</f>
        <v/>
      </c>
      <c r="O250" s="68" t="str">
        <f>IF(ISERROR(PE_GERAL!$J$7*CAD_PROD!G250),"",PE_GERAL!$J$7*CAD_PROD!G250)</f>
        <v/>
      </c>
      <c r="P250" s="101" t="str">
        <f t="shared" si="11"/>
        <v/>
      </c>
      <c r="Q250" s="68" t="str">
        <f>IF(C250="","",IF(ISERROR(
CAD_PROD!E250*G250),"",CAD_PROD!E250*G250))</f>
        <v/>
      </c>
      <c r="R250" s="68" t="str">
        <f>IF(C250="","",IF(ISERROR(
CAD_PROD!E250*D250),"",CAD_PROD!E250*D250))</f>
        <v/>
      </c>
      <c r="S250" s="44" t="str">
        <f>IF(C250="","",IF(CAD_PROD!E250&gt;=P250,"Sim","Não"))</f>
        <v/>
      </c>
    </row>
    <row r="251" spans="1:19" ht="30" customHeight="1">
      <c r="A251" s="52">
        <f t="shared" si="9"/>
        <v>0</v>
      </c>
      <c r="B251" s="52">
        <f t="shared" si="10"/>
        <v>0</v>
      </c>
      <c r="C251" s="96" t="str">
        <f>IF(CAD_PROD!C251="","",CAD_PROD!C251)</f>
        <v/>
      </c>
      <c r="D251" s="75"/>
      <c r="E251" s="125"/>
      <c r="F251" s="125"/>
      <c r="G251" s="75"/>
      <c r="H251" s="75" t="str">
        <f>IF(C251="","",D251+CAD_PROD!D251*(E251+F251)+G251)</f>
        <v/>
      </c>
      <c r="I251" s="52">
        <v>9.9999999999999995E-7</v>
      </c>
      <c r="J251" s="68" t="str">
        <f>IF(ISERROR(
CAD_PROD!F251*E251),"",CAD_PROD!F251*E251)</f>
        <v/>
      </c>
      <c r="K251" s="68" t="str">
        <f>IF(ISERROR(
CAD_PROD!F251*F251),"",CAD_PROD!F251*F251)</f>
        <v/>
      </c>
      <c r="L251" s="68" t="str">
        <f>IF(ISERROR(
CAD_PROD!D251-H251),"",CAD_PROD!D251-H251)</f>
        <v/>
      </c>
      <c r="M251" s="57" t="str">
        <f>IF(ISERROR(
L251/CAD_PROD!D251),"",L251/CAD_PROD!D251)</f>
        <v/>
      </c>
      <c r="N251" s="68" t="str">
        <f>IF(ISERROR(
(P251*CAD_PROD!D251)),"",(P251*CAD_PROD!D251))</f>
        <v/>
      </c>
      <c r="O251" s="68" t="str">
        <f>IF(ISERROR(PE_GERAL!$J$7*CAD_PROD!G251),"",PE_GERAL!$J$7*CAD_PROD!G251)</f>
        <v/>
      </c>
      <c r="P251" s="101" t="str">
        <f t="shared" si="11"/>
        <v/>
      </c>
      <c r="Q251" s="68" t="str">
        <f>IF(C251="","",IF(ISERROR(
CAD_PROD!E251*G251),"",CAD_PROD!E251*G251))</f>
        <v/>
      </c>
      <c r="R251" s="68" t="str">
        <f>IF(C251="","",IF(ISERROR(
CAD_PROD!E251*D251),"",CAD_PROD!E251*D251))</f>
        <v/>
      </c>
      <c r="S251" s="44" t="str">
        <f>IF(C251="","",IF(CAD_PROD!E251&gt;=P251,"Sim","Não"))</f>
        <v/>
      </c>
    </row>
    <row r="252" spans="1:19" ht="30" customHeight="1">
      <c r="A252" s="52">
        <f t="shared" si="9"/>
        <v>0</v>
      </c>
      <c r="B252" s="52">
        <f t="shared" si="10"/>
        <v>0</v>
      </c>
      <c r="C252" s="96" t="str">
        <f>IF(CAD_PROD!C252="","",CAD_PROD!C252)</f>
        <v/>
      </c>
      <c r="D252" s="75"/>
      <c r="E252" s="125"/>
      <c r="F252" s="125"/>
      <c r="G252" s="75"/>
      <c r="H252" s="75" t="str">
        <f>IF(C252="","",D252+CAD_PROD!D252*(E252+F252)+G252)</f>
        <v/>
      </c>
      <c r="I252" s="52">
        <v>9.9999999999999995E-7</v>
      </c>
      <c r="J252" s="68" t="str">
        <f>IF(ISERROR(
CAD_PROD!F252*E252),"",CAD_PROD!F252*E252)</f>
        <v/>
      </c>
      <c r="K252" s="68" t="str">
        <f>IF(ISERROR(
CAD_PROD!F252*F252),"",CAD_PROD!F252*F252)</f>
        <v/>
      </c>
      <c r="L252" s="68" t="str">
        <f>IF(ISERROR(
CAD_PROD!D252-H252),"",CAD_PROD!D252-H252)</f>
        <v/>
      </c>
      <c r="M252" s="57" t="str">
        <f>IF(ISERROR(
L252/CAD_PROD!D252),"",L252/CAD_PROD!D252)</f>
        <v/>
      </c>
      <c r="N252" s="68" t="str">
        <f>IF(ISERROR(
(P252*CAD_PROD!D252)),"",(P252*CAD_PROD!D252))</f>
        <v/>
      </c>
      <c r="O252" s="68" t="str">
        <f>IF(ISERROR(PE_GERAL!$J$7*CAD_PROD!G252),"",PE_GERAL!$J$7*CAD_PROD!G252)</f>
        <v/>
      </c>
      <c r="P252" s="101" t="str">
        <f t="shared" si="11"/>
        <v/>
      </c>
      <c r="Q252" s="68" t="str">
        <f>IF(C252="","",IF(ISERROR(
CAD_PROD!E252*G252),"",CAD_PROD!E252*G252))</f>
        <v/>
      </c>
      <c r="R252" s="68" t="str">
        <f>IF(C252="","",IF(ISERROR(
CAD_PROD!E252*D252),"",CAD_PROD!E252*D252))</f>
        <v/>
      </c>
      <c r="S252" s="44" t="str">
        <f>IF(C252="","",IF(CAD_PROD!E252&gt;=P252,"Sim","Não"))</f>
        <v/>
      </c>
    </row>
    <row r="253" spans="1:19" ht="30" customHeight="1">
      <c r="A253" s="52">
        <f t="shared" si="9"/>
        <v>0</v>
      </c>
      <c r="B253" s="52">
        <f t="shared" si="10"/>
        <v>0</v>
      </c>
      <c r="C253" s="96" t="str">
        <f>IF(CAD_PROD!C253="","",CAD_PROD!C253)</f>
        <v/>
      </c>
      <c r="D253" s="75"/>
      <c r="E253" s="125"/>
      <c r="F253" s="125"/>
      <c r="G253" s="75"/>
      <c r="H253" s="75" t="str">
        <f>IF(C253="","",D253+CAD_PROD!D253*(E253+F253)+G253)</f>
        <v/>
      </c>
      <c r="I253" s="52">
        <v>9.9999999999999995E-7</v>
      </c>
      <c r="J253" s="68" t="str">
        <f>IF(ISERROR(
CAD_PROD!F253*E253),"",CAD_PROD!F253*E253)</f>
        <v/>
      </c>
      <c r="K253" s="68" t="str">
        <f>IF(ISERROR(
CAD_PROD!F253*F253),"",CAD_PROD!F253*F253)</f>
        <v/>
      </c>
      <c r="L253" s="68" t="str">
        <f>IF(ISERROR(
CAD_PROD!D253-H253),"",CAD_PROD!D253-H253)</f>
        <v/>
      </c>
      <c r="M253" s="57" t="str">
        <f>IF(ISERROR(
L253/CAD_PROD!D253),"",L253/CAD_PROD!D253)</f>
        <v/>
      </c>
      <c r="N253" s="68" t="str">
        <f>IF(ISERROR(
(P253*CAD_PROD!D253)),"",(P253*CAD_PROD!D253))</f>
        <v/>
      </c>
      <c r="O253" s="68" t="str">
        <f>IF(ISERROR(PE_GERAL!$J$7*CAD_PROD!G253),"",PE_GERAL!$J$7*CAD_PROD!G253)</f>
        <v/>
      </c>
      <c r="P253" s="101" t="str">
        <f t="shared" si="11"/>
        <v/>
      </c>
      <c r="Q253" s="68" t="str">
        <f>IF(C253="","",IF(ISERROR(
CAD_PROD!E253*G253),"",CAD_PROD!E253*G253))</f>
        <v/>
      </c>
      <c r="R253" s="68" t="str">
        <f>IF(C253="","",IF(ISERROR(
CAD_PROD!E253*D253),"",CAD_PROD!E253*D253))</f>
        <v/>
      </c>
      <c r="S253" s="44" t="str">
        <f>IF(C253="","",IF(CAD_PROD!E253&gt;=P253,"Sim","Não"))</f>
        <v/>
      </c>
    </row>
    <row r="254" spans="1:19" ht="30" customHeight="1">
      <c r="A254" s="52">
        <f t="shared" si="9"/>
        <v>0</v>
      </c>
      <c r="B254" s="52">
        <f t="shared" si="10"/>
        <v>0</v>
      </c>
      <c r="C254" s="96" t="str">
        <f>IF(CAD_PROD!C254="","",CAD_PROD!C254)</f>
        <v/>
      </c>
      <c r="D254" s="75"/>
      <c r="E254" s="125"/>
      <c r="F254" s="125"/>
      <c r="G254" s="75"/>
      <c r="H254" s="75" t="str">
        <f>IF(C254="","",D254+CAD_PROD!D254*(E254+F254)+G254)</f>
        <v/>
      </c>
      <c r="I254" s="52">
        <v>9.9999999999999995E-7</v>
      </c>
      <c r="J254" s="68" t="str">
        <f>IF(ISERROR(
CAD_PROD!F254*E254),"",CAD_PROD!F254*E254)</f>
        <v/>
      </c>
      <c r="K254" s="68" t="str">
        <f>IF(ISERROR(
CAD_PROD!F254*F254),"",CAD_PROD!F254*F254)</f>
        <v/>
      </c>
      <c r="L254" s="68" t="str">
        <f>IF(ISERROR(
CAD_PROD!D254-H254),"",CAD_PROD!D254-H254)</f>
        <v/>
      </c>
      <c r="M254" s="57" t="str">
        <f>IF(ISERROR(
L254/CAD_PROD!D254),"",L254/CAD_PROD!D254)</f>
        <v/>
      </c>
      <c r="N254" s="68" t="str">
        <f>IF(ISERROR(
(P254*CAD_PROD!D254)),"",(P254*CAD_PROD!D254))</f>
        <v/>
      </c>
      <c r="O254" s="68" t="str">
        <f>IF(ISERROR(PE_GERAL!$J$7*CAD_PROD!G254),"",PE_GERAL!$J$7*CAD_PROD!G254)</f>
        <v/>
      </c>
      <c r="P254" s="101" t="str">
        <f t="shared" si="11"/>
        <v/>
      </c>
      <c r="Q254" s="68" t="str">
        <f>IF(C254="","",IF(ISERROR(
CAD_PROD!E254*G254),"",CAD_PROD!E254*G254))</f>
        <v/>
      </c>
      <c r="R254" s="68" t="str">
        <f>IF(C254="","",IF(ISERROR(
CAD_PROD!E254*D254),"",CAD_PROD!E254*D254))</f>
        <v/>
      </c>
      <c r="S254" s="44" t="str">
        <f>IF(C254="","",IF(CAD_PROD!E254&gt;=P254,"Sim","Não"))</f>
        <v/>
      </c>
    </row>
    <row r="255" spans="1:19" ht="30" customHeight="1">
      <c r="A255" s="52">
        <f t="shared" si="9"/>
        <v>0</v>
      </c>
      <c r="B255" s="52">
        <f t="shared" si="10"/>
        <v>0</v>
      </c>
      <c r="C255" s="96" t="str">
        <f>IF(CAD_PROD!C255="","",CAD_PROD!C255)</f>
        <v/>
      </c>
      <c r="D255" s="75"/>
      <c r="E255" s="125"/>
      <c r="F255" s="125"/>
      <c r="G255" s="75"/>
      <c r="H255" s="75" t="str">
        <f>IF(C255="","",D255+CAD_PROD!D255*(E255+F255)+G255)</f>
        <v/>
      </c>
      <c r="I255" s="52">
        <v>9.9999999999999995E-7</v>
      </c>
      <c r="J255" s="68" t="str">
        <f>IF(ISERROR(
CAD_PROD!F255*E255),"",CAD_PROD!F255*E255)</f>
        <v/>
      </c>
      <c r="K255" s="68" t="str">
        <f>IF(ISERROR(
CAD_PROD!F255*F255),"",CAD_PROD!F255*F255)</f>
        <v/>
      </c>
      <c r="L255" s="68" t="str">
        <f>IF(ISERROR(
CAD_PROD!D255-H255),"",CAD_PROD!D255-H255)</f>
        <v/>
      </c>
      <c r="M255" s="57" t="str">
        <f>IF(ISERROR(
L255/CAD_PROD!D255),"",L255/CAD_PROD!D255)</f>
        <v/>
      </c>
      <c r="N255" s="68" t="str">
        <f>IF(ISERROR(
(P255*CAD_PROD!D255)),"",(P255*CAD_PROD!D255))</f>
        <v/>
      </c>
      <c r="O255" s="68" t="str">
        <f>IF(ISERROR(PE_GERAL!$J$7*CAD_PROD!G255),"",PE_GERAL!$J$7*CAD_PROD!G255)</f>
        <v/>
      </c>
      <c r="P255" s="101" t="str">
        <f t="shared" si="11"/>
        <v/>
      </c>
      <c r="Q255" s="68" t="str">
        <f>IF(C255="","",IF(ISERROR(
CAD_PROD!E255*G255),"",CAD_PROD!E255*G255))</f>
        <v/>
      </c>
      <c r="R255" s="68" t="str">
        <f>IF(C255="","",IF(ISERROR(
CAD_PROD!E255*D255),"",CAD_PROD!E255*D255))</f>
        <v/>
      </c>
      <c r="S255" s="44" t="str">
        <f>IF(C255="","",IF(CAD_PROD!E255&gt;=P255,"Sim","Não"))</f>
        <v/>
      </c>
    </row>
    <row r="256" spans="1:19" ht="30" customHeight="1">
      <c r="A256" s="52">
        <f t="shared" si="9"/>
        <v>0</v>
      </c>
      <c r="B256" s="52">
        <f t="shared" si="10"/>
        <v>0</v>
      </c>
      <c r="C256" s="96" t="str">
        <f>IF(CAD_PROD!C256="","",CAD_PROD!C256)</f>
        <v/>
      </c>
      <c r="D256" s="75"/>
      <c r="E256" s="125"/>
      <c r="F256" s="125"/>
      <c r="G256" s="75"/>
      <c r="H256" s="75" t="str">
        <f>IF(C256="","",D256+CAD_PROD!D256*(E256+F256)+G256)</f>
        <v/>
      </c>
      <c r="I256" s="52">
        <v>9.9999999999999995E-7</v>
      </c>
      <c r="J256" s="68" t="str">
        <f>IF(ISERROR(
CAD_PROD!F256*E256),"",CAD_PROD!F256*E256)</f>
        <v/>
      </c>
      <c r="K256" s="68" t="str">
        <f>IF(ISERROR(
CAD_PROD!F256*F256),"",CAD_PROD!F256*F256)</f>
        <v/>
      </c>
      <c r="L256" s="68" t="str">
        <f>IF(ISERROR(
CAD_PROD!D256-H256),"",CAD_PROD!D256-H256)</f>
        <v/>
      </c>
      <c r="M256" s="57" t="str">
        <f>IF(ISERROR(
L256/CAD_PROD!D256),"",L256/CAD_PROD!D256)</f>
        <v/>
      </c>
      <c r="N256" s="68" t="str">
        <f>IF(ISERROR(
(P256*CAD_PROD!D256)),"",(P256*CAD_PROD!D256))</f>
        <v/>
      </c>
      <c r="O256" s="68" t="str">
        <f>IF(ISERROR(PE_GERAL!$J$7*CAD_PROD!G256),"",PE_GERAL!$J$7*CAD_PROD!G256)</f>
        <v/>
      </c>
      <c r="P256" s="101" t="str">
        <f t="shared" si="11"/>
        <v/>
      </c>
      <c r="Q256" s="68" t="str">
        <f>IF(C256="","",IF(ISERROR(
CAD_PROD!E256*G256),"",CAD_PROD!E256*G256))</f>
        <v/>
      </c>
      <c r="R256" s="68" t="str">
        <f>IF(C256="","",IF(ISERROR(
CAD_PROD!E256*D256),"",CAD_PROD!E256*D256))</f>
        <v/>
      </c>
      <c r="S256" s="44" t="str">
        <f>IF(C256="","",IF(CAD_PROD!E256&gt;=P256,"Sim","Não"))</f>
        <v/>
      </c>
    </row>
    <row r="257" spans="1:19" ht="30" customHeight="1">
      <c r="A257" s="52">
        <f t="shared" si="9"/>
        <v>0</v>
      </c>
      <c r="B257" s="52">
        <f t="shared" si="10"/>
        <v>0</v>
      </c>
      <c r="C257" s="96" t="str">
        <f>IF(CAD_PROD!C257="","",CAD_PROD!C257)</f>
        <v/>
      </c>
      <c r="D257" s="75"/>
      <c r="E257" s="125"/>
      <c r="F257" s="125"/>
      <c r="G257" s="75"/>
      <c r="H257" s="75" t="str">
        <f>IF(C257="","",D257+CAD_PROD!D257*(E257+F257)+G257)</f>
        <v/>
      </c>
      <c r="I257" s="52">
        <v>9.9999999999999995E-7</v>
      </c>
      <c r="J257" s="68" t="str">
        <f>IF(ISERROR(
CAD_PROD!F257*E257),"",CAD_PROD!F257*E257)</f>
        <v/>
      </c>
      <c r="K257" s="68" t="str">
        <f>IF(ISERROR(
CAD_PROD!F257*F257),"",CAD_PROD!F257*F257)</f>
        <v/>
      </c>
      <c r="L257" s="68" t="str">
        <f>IF(ISERROR(
CAD_PROD!D257-H257),"",CAD_PROD!D257-H257)</f>
        <v/>
      </c>
      <c r="M257" s="57" t="str">
        <f>IF(ISERROR(
L257/CAD_PROD!D257),"",L257/CAD_PROD!D257)</f>
        <v/>
      </c>
      <c r="N257" s="68" t="str">
        <f>IF(ISERROR(
(P257*CAD_PROD!D257)),"",(P257*CAD_PROD!D257))</f>
        <v/>
      </c>
      <c r="O257" s="68" t="str">
        <f>IF(ISERROR(PE_GERAL!$J$7*CAD_PROD!G257),"",PE_GERAL!$J$7*CAD_PROD!G257)</f>
        <v/>
      </c>
      <c r="P257" s="101" t="str">
        <f t="shared" si="11"/>
        <v/>
      </c>
      <c r="Q257" s="68" t="str">
        <f>IF(C257="","",IF(ISERROR(
CAD_PROD!E257*G257),"",CAD_PROD!E257*G257))</f>
        <v/>
      </c>
      <c r="R257" s="68" t="str">
        <f>IF(C257="","",IF(ISERROR(
CAD_PROD!E257*D257),"",CAD_PROD!E257*D257))</f>
        <v/>
      </c>
      <c r="S257" s="44" t="str">
        <f>IF(C257="","",IF(CAD_PROD!E257&gt;=P257,"Sim","Não"))</f>
        <v/>
      </c>
    </row>
    <row r="258" spans="1:19" ht="30" customHeight="1">
      <c r="A258" s="52">
        <f t="shared" si="9"/>
        <v>0</v>
      </c>
      <c r="B258" s="52">
        <f t="shared" si="10"/>
        <v>0</v>
      </c>
      <c r="C258" s="96" t="str">
        <f>IF(CAD_PROD!C258="","",CAD_PROD!C258)</f>
        <v/>
      </c>
      <c r="D258" s="75"/>
      <c r="E258" s="125"/>
      <c r="F258" s="125"/>
      <c r="G258" s="75"/>
      <c r="H258" s="75" t="str">
        <f>IF(C258="","",D258+CAD_PROD!D258*(E258+F258)+G258)</f>
        <v/>
      </c>
      <c r="I258" s="52">
        <v>9.9999999999999995E-7</v>
      </c>
      <c r="J258" s="68" t="str">
        <f>IF(ISERROR(
CAD_PROD!F258*E258),"",CAD_PROD!F258*E258)</f>
        <v/>
      </c>
      <c r="K258" s="68" t="str">
        <f>IF(ISERROR(
CAD_PROD!F258*F258),"",CAD_PROD!F258*F258)</f>
        <v/>
      </c>
      <c r="L258" s="68" t="str">
        <f>IF(ISERROR(
CAD_PROD!D258-H258),"",CAD_PROD!D258-H258)</f>
        <v/>
      </c>
      <c r="M258" s="57" t="str">
        <f>IF(ISERROR(
L258/CAD_PROD!D258),"",L258/CAD_PROD!D258)</f>
        <v/>
      </c>
      <c r="N258" s="68" t="str">
        <f>IF(ISERROR(
(P258*CAD_PROD!D258)),"",(P258*CAD_PROD!D258))</f>
        <v/>
      </c>
      <c r="O258" s="68" t="str">
        <f>IF(ISERROR(PE_GERAL!$J$7*CAD_PROD!G258),"",PE_GERAL!$J$7*CAD_PROD!G258)</f>
        <v/>
      </c>
      <c r="P258" s="101" t="str">
        <f t="shared" si="11"/>
        <v/>
      </c>
      <c r="Q258" s="68" t="str">
        <f>IF(C258="","",IF(ISERROR(
CAD_PROD!E258*G258),"",CAD_PROD!E258*G258))</f>
        <v/>
      </c>
      <c r="R258" s="68" t="str">
        <f>IF(C258="","",IF(ISERROR(
CAD_PROD!E258*D258),"",CAD_PROD!E258*D258))</f>
        <v/>
      </c>
      <c r="S258" s="44" t="str">
        <f>IF(C258="","",IF(CAD_PROD!E258&gt;=P258,"Sim","Não"))</f>
        <v/>
      </c>
    </row>
    <row r="259" spans="1:19" ht="30" customHeight="1">
      <c r="A259" s="52">
        <f t="shared" si="9"/>
        <v>0</v>
      </c>
      <c r="B259" s="52">
        <f t="shared" si="10"/>
        <v>0</v>
      </c>
      <c r="C259" s="96" t="str">
        <f>IF(CAD_PROD!C259="","",CAD_PROD!C259)</f>
        <v/>
      </c>
      <c r="D259" s="75"/>
      <c r="E259" s="125"/>
      <c r="F259" s="125"/>
      <c r="G259" s="75"/>
      <c r="H259" s="75" t="str">
        <f>IF(C259="","",D259+CAD_PROD!D259*(E259+F259)+G259)</f>
        <v/>
      </c>
      <c r="I259" s="52">
        <v>9.9999999999999995E-7</v>
      </c>
      <c r="J259" s="68" t="str">
        <f>IF(ISERROR(
CAD_PROD!F259*E259),"",CAD_PROD!F259*E259)</f>
        <v/>
      </c>
      <c r="K259" s="68" t="str">
        <f>IF(ISERROR(
CAD_PROD!F259*F259),"",CAD_PROD!F259*F259)</f>
        <v/>
      </c>
      <c r="L259" s="68" t="str">
        <f>IF(ISERROR(
CAD_PROD!D259-H259),"",CAD_PROD!D259-H259)</f>
        <v/>
      </c>
      <c r="M259" s="57" t="str">
        <f>IF(ISERROR(
L259/CAD_PROD!D259),"",L259/CAD_PROD!D259)</f>
        <v/>
      </c>
      <c r="N259" s="68" t="str">
        <f>IF(ISERROR(
(P259*CAD_PROD!D259)),"",(P259*CAD_PROD!D259))</f>
        <v/>
      </c>
      <c r="O259" s="68" t="str">
        <f>IF(ISERROR(PE_GERAL!$J$7*CAD_PROD!G259),"",PE_GERAL!$J$7*CAD_PROD!G259)</f>
        <v/>
      </c>
      <c r="P259" s="101" t="str">
        <f t="shared" si="11"/>
        <v/>
      </c>
      <c r="Q259" s="68" t="str">
        <f>IF(C259="","",IF(ISERROR(
CAD_PROD!E259*G259),"",CAD_PROD!E259*G259))</f>
        <v/>
      </c>
      <c r="R259" s="68" t="str">
        <f>IF(C259="","",IF(ISERROR(
CAD_PROD!E259*D259),"",CAD_PROD!E259*D259))</f>
        <v/>
      </c>
      <c r="S259" s="44" t="str">
        <f>IF(C259="","",IF(CAD_PROD!E259&gt;=P259,"Sim","Não"))</f>
        <v/>
      </c>
    </row>
    <row r="260" spans="1:19" ht="30" customHeight="1">
      <c r="A260" s="52">
        <f t="shared" si="9"/>
        <v>0</v>
      </c>
      <c r="B260" s="52">
        <f t="shared" si="10"/>
        <v>0</v>
      </c>
      <c r="C260" s="96" t="str">
        <f>IF(CAD_PROD!C260="","",CAD_PROD!C260)</f>
        <v/>
      </c>
      <c r="D260" s="75"/>
      <c r="E260" s="125"/>
      <c r="F260" s="125"/>
      <c r="G260" s="75"/>
      <c r="H260" s="75" t="str">
        <f>IF(C260="","",D260+CAD_PROD!D260*(E260+F260)+G260)</f>
        <v/>
      </c>
      <c r="I260" s="52">
        <v>9.9999999999999995E-7</v>
      </c>
      <c r="J260" s="68" t="str">
        <f>IF(ISERROR(
CAD_PROD!F260*E260),"",CAD_PROD!F260*E260)</f>
        <v/>
      </c>
      <c r="K260" s="68" t="str">
        <f>IF(ISERROR(
CAD_PROD!F260*F260),"",CAD_PROD!F260*F260)</f>
        <v/>
      </c>
      <c r="L260" s="68" t="str">
        <f>IF(ISERROR(
CAD_PROD!D260-H260),"",CAD_PROD!D260-H260)</f>
        <v/>
      </c>
      <c r="M260" s="57" t="str">
        <f>IF(ISERROR(
L260/CAD_PROD!D260),"",L260/CAD_PROD!D260)</f>
        <v/>
      </c>
      <c r="N260" s="68" t="str">
        <f>IF(ISERROR(
(P260*CAD_PROD!D260)),"",(P260*CAD_PROD!D260))</f>
        <v/>
      </c>
      <c r="O260" s="68" t="str">
        <f>IF(ISERROR(PE_GERAL!$J$7*CAD_PROD!G260),"",PE_GERAL!$J$7*CAD_PROD!G260)</f>
        <v/>
      </c>
      <c r="P260" s="101" t="str">
        <f t="shared" si="11"/>
        <v/>
      </c>
      <c r="Q260" s="68" t="str">
        <f>IF(C260="","",IF(ISERROR(
CAD_PROD!E260*G260),"",CAD_PROD!E260*G260))</f>
        <v/>
      </c>
      <c r="R260" s="68" t="str">
        <f>IF(C260="","",IF(ISERROR(
CAD_PROD!E260*D260),"",CAD_PROD!E260*D260))</f>
        <v/>
      </c>
      <c r="S260" s="44" t="str">
        <f>IF(C260="","",IF(CAD_PROD!E260&gt;=P260,"Sim","Não"))</f>
        <v/>
      </c>
    </row>
    <row r="261" spans="1:19" ht="30" customHeight="1">
      <c r="A261" s="52">
        <f t="shared" si="9"/>
        <v>0</v>
      </c>
      <c r="B261" s="52">
        <f t="shared" si="10"/>
        <v>0</v>
      </c>
      <c r="C261" s="96" t="str">
        <f>IF(CAD_PROD!C261="","",CAD_PROD!C261)</f>
        <v/>
      </c>
      <c r="D261" s="75"/>
      <c r="E261" s="125"/>
      <c r="F261" s="125"/>
      <c r="G261" s="75"/>
      <c r="H261" s="75" t="str">
        <f>IF(C261="","",D261+CAD_PROD!D261*(E261+F261)+G261)</f>
        <v/>
      </c>
      <c r="I261" s="52">
        <v>9.9999999999999995E-7</v>
      </c>
      <c r="J261" s="68" t="str">
        <f>IF(ISERROR(
CAD_PROD!F261*E261),"",CAD_PROD!F261*E261)</f>
        <v/>
      </c>
      <c r="K261" s="68" t="str">
        <f>IF(ISERROR(
CAD_PROD!F261*F261),"",CAD_PROD!F261*F261)</f>
        <v/>
      </c>
      <c r="L261" s="68" t="str">
        <f>IF(ISERROR(
CAD_PROD!D261-H261),"",CAD_PROD!D261-H261)</f>
        <v/>
      </c>
      <c r="M261" s="57" t="str">
        <f>IF(ISERROR(
L261/CAD_PROD!D261),"",L261/CAD_PROD!D261)</f>
        <v/>
      </c>
      <c r="N261" s="68" t="str">
        <f>IF(ISERROR(
(P261*CAD_PROD!D261)),"",(P261*CAD_PROD!D261))</f>
        <v/>
      </c>
      <c r="O261" s="68" t="str">
        <f>IF(ISERROR(PE_GERAL!$J$7*CAD_PROD!G261),"",PE_GERAL!$J$7*CAD_PROD!G261)</f>
        <v/>
      </c>
      <c r="P261" s="101" t="str">
        <f t="shared" si="11"/>
        <v/>
      </c>
      <c r="Q261" s="68" t="str">
        <f>IF(C261="","",IF(ISERROR(
CAD_PROD!E261*G261),"",CAD_PROD!E261*G261))</f>
        <v/>
      </c>
      <c r="R261" s="68" t="str">
        <f>IF(C261="","",IF(ISERROR(
CAD_PROD!E261*D261),"",CAD_PROD!E261*D261))</f>
        <v/>
      </c>
      <c r="S261" s="44" t="str">
        <f>IF(C261="","",IF(CAD_PROD!E261&gt;=P261,"Sim","Não"))</f>
        <v/>
      </c>
    </row>
    <row r="262" spans="1:19" ht="30" customHeight="1">
      <c r="A262" s="52">
        <f t="shared" si="9"/>
        <v>0</v>
      </c>
      <c r="B262" s="52">
        <f t="shared" si="10"/>
        <v>0</v>
      </c>
      <c r="C262" s="96" t="str">
        <f>IF(CAD_PROD!C262="","",CAD_PROD!C262)</f>
        <v/>
      </c>
      <c r="D262" s="75"/>
      <c r="E262" s="125"/>
      <c r="F262" s="125"/>
      <c r="G262" s="75"/>
      <c r="H262" s="75" t="str">
        <f>IF(C262="","",D262+CAD_PROD!D262*(E262+F262)+G262)</f>
        <v/>
      </c>
      <c r="I262" s="52">
        <v>9.9999999999999995E-7</v>
      </c>
      <c r="J262" s="68" t="str">
        <f>IF(ISERROR(
CAD_PROD!F262*E262),"",CAD_PROD!F262*E262)</f>
        <v/>
      </c>
      <c r="K262" s="68" t="str">
        <f>IF(ISERROR(
CAD_PROD!F262*F262),"",CAD_PROD!F262*F262)</f>
        <v/>
      </c>
      <c r="L262" s="68" t="str">
        <f>IF(ISERROR(
CAD_PROD!D262-H262),"",CAD_PROD!D262-H262)</f>
        <v/>
      </c>
      <c r="M262" s="57" t="str">
        <f>IF(ISERROR(
L262/CAD_PROD!D262),"",L262/CAD_PROD!D262)</f>
        <v/>
      </c>
      <c r="N262" s="68" t="str">
        <f>IF(ISERROR(
(P262*CAD_PROD!D262)),"",(P262*CAD_PROD!D262))</f>
        <v/>
      </c>
      <c r="O262" s="68" t="str">
        <f>IF(ISERROR(PE_GERAL!$J$7*CAD_PROD!G262),"",PE_GERAL!$J$7*CAD_PROD!G262)</f>
        <v/>
      </c>
      <c r="P262" s="101" t="str">
        <f t="shared" si="11"/>
        <v/>
      </c>
      <c r="Q262" s="68" t="str">
        <f>IF(C262="","",IF(ISERROR(
CAD_PROD!E262*G262),"",CAD_PROD!E262*G262))</f>
        <v/>
      </c>
      <c r="R262" s="68" t="str">
        <f>IF(C262="","",IF(ISERROR(
CAD_PROD!E262*D262),"",CAD_PROD!E262*D262))</f>
        <v/>
      </c>
      <c r="S262" s="44" t="str">
        <f>IF(C262="","",IF(CAD_PROD!E262&gt;=P262,"Sim","Não"))</f>
        <v/>
      </c>
    </row>
    <row r="263" spans="1:19" ht="30" customHeight="1">
      <c r="A263" s="52">
        <f t="shared" ref="A263:A326" si="12">IFERROR(L263+I263,0)</f>
        <v>0</v>
      </c>
      <c r="B263" s="52">
        <f t="shared" ref="B263:B326" si="13">IFERROR(H263+I263,0)</f>
        <v>0</v>
      </c>
      <c r="C263" s="96" t="str">
        <f>IF(CAD_PROD!C263="","",CAD_PROD!C263)</f>
        <v/>
      </c>
      <c r="D263" s="75"/>
      <c r="E263" s="125"/>
      <c r="F263" s="125"/>
      <c r="G263" s="75"/>
      <c r="H263" s="75" t="str">
        <f>IF(C263="","",D263+CAD_PROD!D263*(E263+F263)+G263)</f>
        <v/>
      </c>
      <c r="I263" s="52">
        <v>9.9999999999999995E-7</v>
      </c>
      <c r="J263" s="68" t="str">
        <f>IF(ISERROR(
CAD_PROD!F263*E263),"",CAD_PROD!F263*E263)</f>
        <v/>
      </c>
      <c r="K263" s="68" t="str">
        <f>IF(ISERROR(
CAD_PROD!F263*F263),"",CAD_PROD!F263*F263)</f>
        <v/>
      </c>
      <c r="L263" s="68" t="str">
        <f>IF(ISERROR(
CAD_PROD!D263-H263),"",CAD_PROD!D263-H263)</f>
        <v/>
      </c>
      <c r="M263" s="57" t="str">
        <f>IF(ISERROR(
L263/CAD_PROD!D263),"",L263/CAD_PROD!D263)</f>
        <v/>
      </c>
      <c r="N263" s="68" t="str">
        <f>IF(ISERROR(
(P263*CAD_PROD!D263)),"",(P263*CAD_PROD!D263))</f>
        <v/>
      </c>
      <c r="O263" s="68" t="str">
        <f>IF(ISERROR(PE_GERAL!$J$7*CAD_PROD!G263),"",PE_GERAL!$J$7*CAD_PROD!G263)</f>
        <v/>
      </c>
      <c r="P263" s="101" t="str">
        <f t="shared" ref="P263:P326" si="14">IF(ISERROR(ROUNDUP(O263/L263,0)),"",ROUNDUP(O263/L263,0))</f>
        <v/>
      </c>
      <c r="Q263" s="68" t="str">
        <f>IF(C263="","",IF(ISERROR(
CAD_PROD!E263*G263),"",CAD_PROD!E263*G263))</f>
        <v/>
      </c>
      <c r="R263" s="68" t="str">
        <f>IF(C263="","",IF(ISERROR(
CAD_PROD!E263*D263),"",CAD_PROD!E263*D263))</f>
        <v/>
      </c>
      <c r="S263" s="44" t="str">
        <f>IF(C263="","",IF(CAD_PROD!E263&gt;=P263,"Sim","Não"))</f>
        <v/>
      </c>
    </row>
    <row r="264" spans="1:19" ht="30" customHeight="1">
      <c r="A264" s="52">
        <f t="shared" si="12"/>
        <v>0</v>
      </c>
      <c r="B264" s="52">
        <f t="shared" si="13"/>
        <v>0</v>
      </c>
      <c r="C264" s="96" t="str">
        <f>IF(CAD_PROD!C264="","",CAD_PROD!C264)</f>
        <v/>
      </c>
      <c r="D264" s="75"/>
      <c r="E264" s="125"/>
      <c r="F264" s="125"/>
      <c r="G264" s="75"/>
      <c r="H264" s="75" t="str">
        <f>IF(C264="","",D264+CAD_PROD!D264*(E264+F264)+G264)</f>
        <v/>
      </c>
      <c r="I264" s="52">
        <v>9.9999999999999995E-7</v>
      </c>
      <c r="J264" s="68" t="str">
        <f>IF(ISERROR(
CAD_PROD!F264*E264),"",CAD_PROD!F264*E264)</f>
        <v/>
      </c>
      <c r="K264" s="68" t="str">
        <f>IF(ISERROR(
CAD_PROD!F264*F264),"",CAD_PROD!F264*F264)</f>
        <v/>
      </c>
      <c r="L264" s="68" t="str">
        <f>IF(ISERROR(
CAD_PROD!D264-H264),"",CAD_PROD!D264-H264)</f>
        <v/>
      </c>
      <c r="M264" s="57" t="str">
        <f>IF(ISERROR(
L264/CAD_PROD!D264),"",L264/CAD_PROD!D264)</f>
        <v/>
      </c>
      <c r="N264" s="68" t="str">
        <f>IF(ISERROR(
(P264*CAD_PROD!D264)),"",(P264*CAD_PROD!D264))</f>
        <v/>
      </c>
      <c r="O264" s="68" t="str">
        <f>IF(ISERROR(PE_GERAL!$J$7*CAD_PROD!G264),"",PE_GERAL!$J$7*CAD_PROD!G264)</f>
        <v/>
      </c>
      <c r="P264" s="101" t="str">
        <f t="shared" si="14"/>
        <v/>
      </c>
      <c r="Q264" s="68" t="str">
        <f>IF(C264="","",IF(ISERROR(
CAD_PROD!E264*G264),"",CAD_PROD!E264*G264))</f>
        <v/>
      </c>
      <c r="R264" s="68" t="str">
        <f>IF(C264="","",IF(ISERROR(
CAD_PROD!E264*D264),"",CAD_PROD!E264*D264))</f>
        <v/>
      </c>
      <c r="S264" s="44" t="str">
        <f>IF(C264="","",IF(CAD_PROD!E264&gt;=P264,"Sim","Não"))</f>
        <v/>
      </c>
    </row>
    <row r="265" spans="1:19" ht="30" customHeight="1">
      <c r="A265" s="52">
        <f t="shared" si="12"/>
        <v>0</v>
      </c>
      <c r="B265" s="52">
        <f t="shared" si="13"/>
        <v>0</v>
      </c>
      <c r="C265" s="96" t="str">
        <f>IF(CAD_PROD!C265="","",CAD_PROD!C265)</f>
        <v/>
      </c>
      <c r="D265" s="75"/>
      <c r="E265" s="125"/>
      <c r="F265" s="125"/>
      <c r="G265" s="75"/>
      <c r="H265" s="75" t="str">
        <f>IF(C265="","",D265+CAD_PROD!D265*(E265+F265)+G265)</f>
        <v/>
      </c>
      <c r="I265" s="52">
        <v>9.9999999999999995E-7</v>
      </c>
      <c r="J265" s="68" t="str">
        <f>IF(ISERROR(
CAD_PROD!F265*E265),"",CAD_PROD!F265*E265)</f>
        <v/>
      </c>
      <c r="K265" s="68" t="str">
        <f>IF(ISERROR(
CAD_PROD!F265*F265),"",CAD_PROD!F265*F265)</f>
        <v/>
      </c>
      <c r="L265" s="68" t="str">
        <f>IF(ISERROR(
CAD_PROD!D265-H265),"",CAD_PROD!D265-H265)</f>
        <v/>
      </c>
      <c r="M265" s="57" t="str">
        <f>IF(ISERROR(
L265/CAD_PROD!D265),"",L265/CAD_PROD!D265)</f>
        <v/>
      </c>
      <c r="N265" s="68" t="str">
        <f>IF(ISERROR(
(P265*CAD_PROD!D265)),"",(P265*CAD_PROD!D265))</f>
        <v/>
      </c>
      <c r="O265" s="68" t="str">
        <f>IF(ISERROR(PE_GERAL!$J$7*CAD_PROD!G265),"",PE_GERAL!$J$7*CAD_PROD!G265)</f>
        <v/>
      </c>
      <c r="P265" s="101" t="str">
        <f t="shared" si="14"/>
        <v/>
      </c>
      <c r="Q265" s="68" t="str">
        <f>IF(C265="","",IF(ISERROR(
CAD_PROD!E265*G265),"",CAD_PROD!E265*G265))</f>
        <v/>
      </c>
      <c r="R265" s="68" t="str">
        <f>IF(C265="","",IF(ISERROR(
CAD_PROD!E265*D265),"",CAD_PROD!E265*D265))</f>
        <v/>
      </c>
      <c r="S265" s="44" t="str">
        <f>IF(C265="","",IF(CAD_PROD!E265&gt;=P265,"Sim","Não"))</f>
        <v/>
      </c>
    </row>
    <row r="266" spans="1:19" ht="30" customHeight="1">
      <c r="A266" s="52">
        <f t="shared" si="12"/>
        <v>0</v>
      </c>
      <c r="B266" s="52">
        <f t="shared" si="13"/>
        <v>0</v>
      </c>
      <c r="C266" s="96" t="str">
        <f>IF(CAD_PROD!C266="","",CAD_PROD!C266)</f>
        <v/>
      </c>
      <c r="D266" s="75"/>
      <c r="E266" s="125"/>
      <c r="F266" s="125"/>
      <c r="G266" s="75"/>
      <c r="H266" s="75" t="str">
        <f>IF(C266="","",D266+CAD_PROD!D266*(E266+F266)+G266)</f>
        <v/>
      </c>
      <c r="I266" s="52">
        <v>9.9999999999999995E-7</v>
      </c>
      <c r="J266" s="68" t="str">
        <f>IF(ISERROR(
CAD_PROD!F266*E266),"",CAD_PROD!F266*E266)</f>
        <v/>
      </c>
      <c r="K266" s="68" t="str">
        <f>IF(ISERROR(
CAD_PROD!F266*F266),"",CAD_PROD!F266*F266)</f>
        <v/>
      </c>
      <c r="L266" s="68" t="str">
        <f>IF(ISERROR(
CAD_PROD!D266-H266),"",CAD_PROD!D266-H266)</f>
        <v/>
      </c>
      <c r="M266" s="57" t="str">
        <f>IF(ISERROR(
L266/CAD_PROD!D266),"",L266/CAD_PROD!D266)</f>
        <v/>
      </c>
      <c r="N266" s="68" t="str">
        <f>IF(ISERROR(
(P266*CAD_PROD!D266)),"",(P266*CAD_PROD!D266))</f>
        <v/>
      </c>
      <c r="O266" s="68" t="str">
        <f>IF(ISERROR(PE_GERAL!$J$7*CAD_PROD!G266),"",PE_GERAL!$J$7*CAD_PROD!G266)</f>
        <v/>
      </c>
      <c r="P266" s="101" t="str">
        <f t="shared" si="14"/>
        <v/>
      </c>
      <c r="Q266" s="68" t="str">
        <f>IF(C266="","",IF(ISERROR(
CAD_PROD!E266*G266),"",CAD_PROD!E266*G266))</f>
        <v/>
      </c>
      <c r="R266" s="68" t="str">
        <f>IF(C266="","",IF(ISERROR(
CAD_PROD!E266*D266),"",CAD_PROD!E266*D266))</f>
        <v/>
      </c>
      <c r="S266" s="44" t="str">
        <f>IF(C266="","",IF(CAD_PROD!E266&gt;=P266,"Sim","Não"))</f>
        <v/>
      </c>
    </row>
    <row r="267" spans="1:19" ht="30" customHeight="1">
      <c r="A267" s="52">
        <f t="shared" si="12"/>
        <v>0</v>
      </c>
      <c r="B267" s="52">
        <f t="shared" si="13"/>
        <v>0</v>
      </c>
      <c r="C267" s="96" t="str">
        <f>IF(CAD_PROD!C267="","",CAD_PROD!C267)</f>
        <v/>
      </c>
      <c r="D267" s="75"/>
      <c r="E267" s="125"/>
      <c r="F267" s="125"/>
      <c r="G267" s="75"/>
      <c r="H267" s="75" t="str">
        <f>IF(C267="","",D267+CAD_PROD!D267*(E267+F267)+G267)</f>
        <v/>
      </c>
      <c r="I267" s="52">
        <v>9.9999999999999995E-7</v>
      </c>
      <c r="J267" s="68" t="str">
        <f>IF(ISERROR(
CAD_PROD!F267*E267),"",CAD_PROD!F267*E267)</f>
        <v/>
      </c>
      <c r="K267" s="68" t="str">
        <f>IF(ISERROR(
CAD_PROD!F267*F267),"",CAD_PROD!F267*F267)</f>
        <v/>
      </c>
      <c r="L267" s="68" t="str">
        <f>IF(ISERROR(
CAD_PROD!D267-H267),"",CAD_PROD!D267-H267)</f>
        <v/>
      </c>
      <c r="M267" s="57" t="str">
        <f>IF(ISERROR(
L267/CAD_PROD!D267),"",L267/CAD_PROD!D267)</f>
        <v/>
      </c>
      <c r="N267" s="68" t="str">
        <f>IF(ISERROR(
(P267*CAD_PROD!D267)),"",(P267*CAD_PROD!D267))</f>
        <v/>
      </c>
      <c r="O267" s="68" t="str">
        <f>IF(ISERROR(PE_GERAL!$J$7*CAD_PROD!G267),"",PE_GERAL!$J$7*CAD_PROD!G267)</f>
        <v/>
      </c>
      <c r="P267" s="101" t="str">
        <f t="shared" si="14"/>
        <v/>
      </c>
      <c r="Q267" s="68" t="str">
        <f>IF(C267="","",IF(ISERROR(
CAD_PROD!E267*G267),"",CAD_PROD!E267*G267))</f>
        <v/>
      </c>
      <c r="R267" s="68" t="str">
        <f>IF(C267="","",IF(ISERROR(
CAD_PROD!E267*D267),"",CAD_PROD!E267*D267))</f>
        <v/>
      </c>
      <c r="S267" s="44" t="str">
        <f>IF(C267="","",IF(CAD_PROD!E267&gt;=P267,"Sim","Não"))</f>
        <v/>
      </c>
    </row>
    <row r="268" spans="1:19" ht="30" customHeight="1">
      <c r="A268" s="52">
        <f t="shared" si="12"/>
        <v>0</v>
      </c>
      <c r="B268" s="52">
        <f t="shared" si="13"/>
        <v>0</v>
      </c>
      <c r="C268" s="96" t="str">
        <f>IF(CAD_PROD!C268="","",CAD_PROD!C268)</f>
        <v/>
      </c>
      <c r="D268" s="75"/>
      <c r="E268" s="125"/>
      <c r="F268" s="125"/>
      <c r="G268" s="75"/>
      <c r="H268" s="75" t="str">
        <f>IF(C268="","",D268+CAD_PROD!D268*(E268+F268)+G268)</f>
        <v/>
      </c>
      <c r="I268" s="52">
        <v>9.9999999999999995E-7</v>
      </c>
      <c r="J268" s="68" t="str">
        <f>IF(ISERROR(
CAD_PROD!F268*E268),"",CAD_PROD!F268*E268)</f>
        <v/>
      </c>
      <c r="K268" s="68" t="str">
        <f>IF(ISERROR(
CAD_PROD!F268*F268),"",CAD_PROD!F268*F268)</f>
        <v/>
      </c>
      <c r="L268" s="68" t="str">
        <f>IF(ISERROR(
CAD_PROD!D268-H268),"",CAD_PROD!D268-H268)</f>
        <v/>
      </c>
      <c r="M268" s="57" t="str">
        <f>IF(ISERROR(
L268/CAD_PROD!D268),"",L268/CAD_PROD!D268)</f>
        <v/>
      </c>
      <c r="N268" s="68" t="str">
        <f>IF(ISERROR(
(P268*CAD_PROD!D268)),"",(P268*CAD_PROD!D268))</f>
        <v/>
      </c>
      <c r="O268" s="68" t="str">
        <f>IF(ISERROR(PE_GERAL!$J$7*CAD_PROD!G268),"",PE_GERAL!$J$7*CAD_PROD!G268)</f>
        <v/>
      </c>
      <c r="P268" s="101" t="str">
        <f t="shared" si="14"/>
        <v/>
      </c>
      <c r="Q268" s="68" t="str">
        <f>IF(C268="","",IF(ISERROR(
CAD_PROD!E268*G268),"",CAD_PROD!E268*G268))</f>
        <v/>
      </c>
      <c r="R268" s="68" t="str">
        <f>IF(C268="","",IF(ISERROR(
CAD_PROD!E268*D268),"",CAD_PROD!E268*D268))</f>
        <v/>
      </c>
      <c r="S268" s="44" t="str">
        <f>IF(C268="","",IF(CAD_PROD!E268&gt;=P268,"Sim","Não"))</f>
        <v/>
      </c>
    </row>
    <row r="269" spans="1:19" ht="30" customHeight="1">
      <c r="A269" s="52">
        <f t="shared" si="12"/>
        <v>0</v>
      </c>
      <c r="B269" s="52">
        <f t="shared" si="13"/>
        <v>0</v>
      </c>
      <c r="C269" s="96" t="str">
        <f>IF(CAD_PROD!C269="","",CAD_PROD!C269)</f>
        <v/>
      </c>
      <c r="D269" s="75"/>
      <c r="E269" s="125"/>
      <c r="F269" s="125"/>
      <c r="G269" s="75"/>
      <c r="H269" s="75" t="str">
        <f>IF(C269="","",D269+CAD_PROD!D269*(E269+F269)+G269)</f>
        <v/>
      </c>
      <c r="I269" s="52">
        <v>9.9999999999999995E-7</v>
      </c>
      <c r="J269" s="68" t="str">
        <f>IF(ISERROR(
CAD_PROD!F269*E269),"",CAD_PROD!F269*E269)</f>
        <v/>
      </c>
      <c r="K269" s="68" t="str">
        <f>IF(ISERROR(
CAD_PROD!F269*F269),"",CAD_PROD!F269*F269)</f>
        <v/>
      </c>
      <c r="L269" s="68" t="str">
        <f>IF(ISERROR(
CAD_PROD!D269-H269),"",CAD_PROD!D269-H269)</f>
        <v/>
      </c>
      <c r="M269" s="57" t="str">
        <f>IF(ISERROR(
L269/CAD_PROD!D269),"",L269/CAD_PROD!D269)</f>
        <v/>
      </c>
      <c r="N269" s="68" t="str">
        <f>IF(ISERROR(
(P269*CAD_PROD!D269)),"",(P269*CAD_PROD!D269))</f>
        <v/>
      </c>
      <c r="O269" s="68" t="str">
        <f>IF(ISERROR(PE_GERAL!$J$7*CAD_PROD!G269),"",PE_GERAL!$J$7*CAD_PROD!G269)</f>
        <v/>
      </c>
      <c r="P269" s="101" t="str">
        <f t="shared" si="14"/>
        <v/>
      </c>
      <c r="Q269" s="68" t="str">
        <f>IF(C269="","",IF(ISERROR(
CAD_PROD!E269*G269),"",CAD_PROD!E269*G269))</f>
        <v/>
      </c>
      <c r="R269" s="68" t="str">
        <f>IF(C269="","",IF(ISERROR(
CAD_PROD!E269*D269),"",CAD_PROD!E269*D269))</f>
        <v/>
      </c>
      <c r="S269" s="44" t="str">
        <f>IF(C269="","",IF(CAD_PROD!E269&gt;=P269,"Sim","Não"))</f>
        <v/>
      </c>
    </row>
    <row r="270" spans="1:19" ht="30" customHeight="1">
      <c r="A270" s="52">
        <f t="shared" si="12"/>
        <v>0</v>
      </c>
      <c r="B270" s="52">
        <f t="shared" si="13"/>
        <v>0</v>
      </c>
      <c r="C270" s="96" t="str">
        <f>IF(CAD_PROD!C270="","",CAD_PROD!C270)</f>
        <v/>
      </c>
      <c r="D270" s="75"/>
      <c r="E270" s="125"/>
      <c r="F270" s="125"/>
      <c r="G270" s="75"/>
      <c r="H270" s="75" t="str">
        <f>IF(C270="","",D270+CAD_PROD!D270*(E270+F270)+G270)</f>
        <v/>
      </c>
      <c r="I270" s="52">
        <v>9.9999999999999995E-7</v>
      </c>
      <c r="J270" s="68" t="str">
        <f>IF(ISERROR(
CAD_PROD!F270*E270),"",CAD_PROD!F270*E270)</f>
        <v/>
      </c>
      <c r="K270" s="68" t="str">
        <f>IF(ISERROR(
CAD_PROD!F270*F270),"",CAD_PROD!F270*F270)</f>
        <v/>
      </c>
      <c r="L270" s="68" t="str">
        <f>IF(ISERROR(
CAD_PROD!D270-H270),"",CAD_PROD!D270-H270)</f>
        <v/>
      </c>
      <c r="M270" s="57" t="str">
        <f>IF(ISERROR(
L270/CAD_PROD!D270),"",L270/CAD_PROD!D270)</f>
        <v/>
      </c>
      <c r="N270" s="68" t="str">
        <f>IF(ISERROR(
(P270*CAD_PROD!D270)),"",(P270*CAD_PROD!D270))</f>
        <v/>
      </c>
      <c r="O270" s="68" t="str">
        <f>IF(ISERROR(PE_GERAL!$J$7*CAD_PROD!G270),"",PE_GERAL!$J$7*CAD_PROD!G270)</f>
        <v/>
      </c>
      <c r="P270" s="101" t="str">
        <f t="shared" si="14"/>
        <v/>
      </c>
      <c r="Q270" s="68" t="str">
        <f>IF(C270="","",IF(ISERROR(
CAD_PROD!E270*G270),"",CAD_PROD!E270*G270))</f>
        <v/>
      </c>
      <c r="R270" s="68" t="str">
        <f>IF(C270="","",IF(ISERROR(
CAD_PROD!E270*D270),"",CAD_PROD!E270*D270))</f>
        <v/>
      </c>
      <c r="S270" s="44" t="str">
        <f>IF(C270="","",IF(CAD_PROD!E270&gt;=P270,"Sim","Não"))</f>
        <v/>
      </c>
    </row>
    <row r="271" spans="1:19" ht="30" customHeight="1">
      <c r="A271" s="52">
        <f t="shared" si="12"/>
        <v>0</v>
      </c>
      <c r="B271" s="52">
        <f t="shared" si="13"/>
        <v>0</v>
      </c>
      <c r="C271" s="96" t="str">
        <f>IF(CAD_PROD!C271="","",CAD_PROD!C271)</f>
        <v/>
      </c>
      <c r="D271" s="75"/>
      <c r="E271" s="125"/>
      <c r="F271" s="125"/>
      <c r="G271" s="75"/>
      <c r="H271" s="75" t="str">
        <f>IF(C271="","",D271+CAD_PROD!D271*(E271+F271)+G271)</f>
        <v/>
      </c>
      <c r="I271" s="52">
        <v>9.9999999999999995E-7</v>
      </c>
      <c r="J271" s="68" t="str">
        <f>IF(ISERROR(
CAD_PROD!F271*E271),"",CAD_PROD!F271*E271)</f>
        <v/>
      </c>
      <c r="K271" s="68" t="str">
        <f>IF(ISERROR(
CAD_PROD!F271*F271),"",CAD_PROD!F271*F271)</f>
        <v/>
      </c>
      <c r="L271" s="68" t="str">
        <f>IF(ISERROR(
CAD_PROD!D271-H271),"",CAD_PROD!D271-H271)</f>
        <v/>
      </c>
      <c r="M271" s="57" t="str">
        <f>IF(ISERROR(
L271/CAD_PROD!D271),"",L271/CAD_PROD!D271)</f>
        <v/>
      </c>
      <c r="N271" s="68" t="str">
        <f>IF(ISERROR(
(P271*CAD_PROD!D271)),"",(P271*CAD_PROD!D271))</f>
        <v/>
      </c>
      <c r="O271" s="68" t="str">
        <f>IF(ISERROR(PE_GERAL!$J$7*CAD_PROD!G271),"",PE_GERAL!$J$7*CAD_PROD!G271)</f>
        <v/>
      </c>
      <c r="P271" s="101" t="str">
        <f t="shared" si="14"/>
        <v/>
      </c>
      <c r="Q271" s="68" t="str">
        <f>IF(C271="","",IF(ISERROR(
CAD_PROD!E271*G271),"",CAD_PROD!E271*G271))</f>
        <v/>
      </c>
      <c r="R271" s="68" t="str">
        <f>IF(C271="","",IF(ISERROR(
CAD_PROD!E271*D271),"",CAD_PROD!E271*D271))</f>
        <v/>
      </c>
      <c r="S271" s="44" t="str">
        <f>IF(C271="","",IF(CAD_PROD!E271&gt;=P271,"Sim","Não"))</f>
        <v/>
      </c>
    </row>
    <row r="272" spans="1:19" ht="30" customHeight="1">
      <c r="A272" s="52">
        <f t="shared" si="12"/>
        <v>0</v>
      </c>
      <c r="B272" s="52">
        <f t="shared" si="13"/>
        <v>0</v>
      </c>
      <c r="C272" s="96" t="str">
        <f>IF(CAD_PROD!C272="","",CAD_PROD!C272)</f>
        <v/>
      </c>
      <c r="D272" s="75"/>
      <c r="E272" s="125"/>
      <c r="F272" s="125"/>
      <c r="G272" s="75"/>
      <c r="H272" s="75" t="str">
        <f>IF(C272="","",D272+CAD_PROD!D272*(E272+F272)+G272)</f>
        <v/>
      </c>
      <c r="I272" s="52">
        <v>9.9999999999999995E-7</v>
      </c>
      <c r="J272" s="68" t="str">
        <f>IF(ISERROR(
CAD_PROD!F272*E272),"",CAD_PROD!F272*E272)</f>
        <v/>
      </c>
      <c r="K272" s="68" t="str">
        <f>IF(ISERROR(
CAD_PROD!F272*F272),"",CAD_PROD!F272*F272)</f>
        <v/>
      </c>
      <c r="L272" s="68" t="str">
        <f>IF(ISERROR(
CAD_PROD!D272-H272),"",CAD_PROD!D272-H272)</f>
        <v/>
      </c>
      <c r="M272" s="57" t="str">
        <f>IF(ISERROR(
L272/CAD_PROD!D272),"",L272/CAD_PROD!D272)</f>
        <v/>
      </c>
      <c r="N272" s="68" t="str">
        <f>IF(ISERROR(
(P272*CAD_PROD!D272)),"",(P272*CAD_PROD!D272))</f>
        <v/>
      </c>
      <c r="O272" s="68" t="str">
        <f>IF(ISERROR(PE_GERAL!$J$7*CAD_PROD!G272),"",PE_GERAL!$J$7*CAD_PROD!G272)</f>
        <v/>
      </c>
      <c r="P272" s="101" t="str">
        <f t="shared" si="14"/>
        <v/>
      </c>
      <c r="Q272" s="68" t="str">
        <f>IF(C272="","",IF(ISERROR(
CAD_PROD!E272*G272),"",CAD_PROD!E272*G272))</f>
        <v/>
      </c>
      <c r="R272" s="68" t="str">
        <f>IF(C272="","",IF(ISERROR(
CAD_PROD!E272*D272),"",CAD_PROD!E272*D272))</f>
        <v/>
      </c>
      <c r="S272" s="44" t="str">
        <f>IF(C272="","",IF(CAD_PROD!E272&gt;=P272,"Sim","Não"))</f>
        <v/>
      </c>
    </row>
    <row r="273" spans="1:19" ht="30" customHeight="1">
      <c r="A273" s="52">
        <f t="shared" si="12"/>
        <v>0</v>
      </c>
      <c r="B273" s="52">
        <f t="shared" si="13"/>
        <v>0</v>
      </c>
      <c r="C273" s="96" t="str">
        <f>IF(CAD_PROD!C273="","",CAD_PROD!C273)</f>
        <v/>
      </c>
      <c r="D273" s="75"/>
      <c r="E273" s="125"/>
      <c r="F273" s="125"/>
      <c r="G273" s="75"/>
      <c r="H273" s="75" t="str">
        <f>IF(C273="","",D273+CAD_PROD!D273*(E273+F273)+G273)</f>
        <v/>
      </c>
      <c r="I273" s="52">
        <v>9.9999999999999995E-7</v>
      </c>
      <c r="J273" s="68" t="str">
        <f>IF(ISERROR(
CAD_PROD!F273*E273),"",CAD_PROD!F273*E273)</f>
        <v/>
      </c>
      <c r="K273" s="68" t="str">
        <f>IF(ISERROR(
CAD_PROD!F273*F273),"",CAD_PROD!F273*F273)</f>
        <v/>
      </c>
      <c r="L273" s="68" t="str">
        <f>IF(ISERROR(
CAD_PROD!D273-H273),"",CAD_PROD!D273-H273)</f>
        <v/>
      </c>
      <c r="M273" s="57" t="str">
        <f>IF(ISERROR(
L273/CAD_PROD!D273),"",L273/CAD_PROD!D273)</f>
        <v/>
      </c>
      <c r="N273" s="68" t="str">
        <f>IF(ISERROR(
(P273*CAD_PROD!D273)),"",(P273*CAD_PROD!D273))</f>
        <v/>
      </c>
      <c r="O273" s="68" t="str">
        <f>IF(ISERROR(PE_GERAL!$J$7*CAD_PROD!G273),"",PE_GERAL!$J$7*CAD_PROD!G273)</f>
        <v/>
      </c>
      <c r="P273" s="101" t="str">
        <f t="shared" si="14"/>
        <v/>
      </c>
      <c r="Q273" s="68" t="str">
        <f>IF(C273="","",IF(ISERROR(
CAD_PROD!E273*G273),"",CAD_PROD!E273*G273))</f>
        <v/>
      </c>
      <c r="R273" s="68" t="str">
        <f>IF(C273="","",IF(ISERROR(
CAD_PROD!E273*D273),"",CAD_PROD!E273*D273))</f>
        <v/>
      </c>
      <c r="S273" s="44" t="str">
        <f>IF(C273="","",IF(CAD_PROD!E273&gt;=P273,"Sim","Não"))</f>
        <v/>
      </c>
    </row>
    <row r="274" spans="1:19" ht="30" customHeight="1">
      <c r="A274" s="52">
        <f t="shared" si="12"/>
        <v>0</v>
      </c>
      <c r="B274" s="52">
        <f t="shared" si="13"/>
        <v>0</v>
      </c>
      <c r="C274" s="96" t="str">
        <f>IF(CAD_PROD!C274="","",CAD_PROD!C274)</f>
        <v/>
      </c>
      <c r="D274" s="75"/>
      <c r="E274" s="125"/>
      <c r="F274" s="125"/>
      <c r="G274" s="75"/>
      <c r="H274" s="75" t="str">
        <f>IF(C274="","",D274+CAD_PROD!D274*(E274+F274)+G274)</f>
        <v/>
      </c>
      <c r="I274" s="52">
        <v>9.9999999999999995E-7</v>
      </c>
      <c r="J274" s="68" t="str">
        <f>IF(ISERROR(
CAD_PROD!F274*E274),"",CAD_PROD!F274*E274)</f>
        <v/>
      </c>
      <c r="K274" s="68" t="str">
        <f>IF(ISERROR(
CAD_PROD!F274*F274),"",CAD_PROD!F274*F274)</f>
        <v/>
      </c>
      <c r="L274" s="68" t="str">
        <f>IF(ISERROR(
CAD_PROD!D274-H274),"",CAD_PROD!D274-H274)</f>
        <v/>
      </c>
      <c r="M274" s="57" t="str">
        <f>IF(ISERROR(
L274/CAD_PROD!D274),"",L274/CAD_PROD!D274)</f>
        <v/>
      </c>
      <c r="N274" s="68" t="str">
        <f>IF(ISERROR(
(P274*CAD_PROD!D274)),"",(P274*CAD_PROD!D274))</f>
        <v/>
      </c>
      <c r="O274" s="68" t="str">
        <f>IF(ISERROR(PE_GERAL!$J$7*CAD_PROD!G274),"",PE_GERAL!$J$7*CAD_PROD!G274)</f>
        <v/>
      </c>
      <c r="P274" s="101" t="str">
        <f t="shared" si="14"/>
        <v/>
      </c>
      <c r="Q274" s="68" t="str">
        <f>IF(C274="","",IF(ISERROR(
CAD_PROD!E274*G274),"",CAD_PROD!E274*G274))</f>
        <v/>
      </c>
      <c r="R274" s="68" t="str">
        <f>IF(C274="","",IF(ISERROR(
CAD_PROD!E274*D274),"",CAD_PROD!E274*D274))</f>
        <v/>
      </c>
      <c r="S274" s="44" t="str">
        <f>IF(C274="","",IF(CAD_PROD!E274&gt;=P274,"Sim","Não"))</f>
        <v/>
      </c>
    </row>
    <row r="275" spans="1:19" ht="30" customHeight="1">
      <c r="A275" s="52">
        <f t="shared" si="12"/>
        <v>0</v>
      </c>
      <c r="B275" s="52">
        <f t="shared" si="13"/>
        <v>0</v>
      </c>
      <c r="C275" s="96" t="str">
        <f>IF(CAD_PROD!C275="","",CAD_PROD!C275)</f>
        <v/>
      </c>
      <c r="D275" s="75"/>
      <c r="E275" s="125"/>
      <c r="F275" s="125"/>
      <c r="G275" s="75"/>
      <c r="H275" s="75" t="str">
        <f>IF(C275="","",D275+CAD_PROD!D275*(E275+F275)+G275)</f>
        <v/>
      </c>
      <c r="I275" s="52">
        <v>9.9999999999999995E-7</v>
      </c>
      <c r="J275" s="68" t="str">
        <f>IF(ISERROR(
CAD_PROD!F275*E275),"",CAD_PROD!F275*E275)</f>
        <v/>
      </c>
      <c r="K275" s="68" t="str">
        <f>IF(ISERROR(
CAD_PROD!F275*F275),"",CAD_PROD!F275*F275)</f>
        <v/>
      </c>
      <c r="L275" s="68" t="str">
        <f>IF(ISERROR(
CAD_PROD!D275-H275),"",CAD_PROD!D275-H275)</f>
        <v/>
      </c>
      <c r="M275" s="57" t="str">
        <f>IF(ISERROR(
L275/CAD_PROD!D275),"",L275/CAD_PROD!D275)</f>
        <v/>
      </c>
      <c r="N275" s="68" t="str">
        <f>IF(ISERROR(
(P275*CAD_PROD!D275)),"",(P275*CAD_PROD!D275))</f>
        <v/>
      </c>
      <c r="O275" s="68" t="str">
        <f>IF(ISERROR(PE_GERAL!$J$7*CAD_PROD!G275),"",PE_GERAL!$J$7*CAD_PROD!G275)</f>
        <v/>
      </c>
      <c r="P275" s="101" t="str">
        <f t="shared" si="14"/>
        <v/>
      </c>
      <c r="Q275" s="68" t="str">
        <f>IF(C275="","",IF(ISERROR(
CAD_PROD!E275*G275),"",CAD_PROD!E275*G275))</f>
        <v/>
      </c>
      <c r="R275" s="68" t="str">
        <f>IF(C275="","",IF(ISERROR(
CAD_PROD!E275*D275),"",CAD_PROD!E275*D275))</f>
        <v/>
      </c>
      <c r="S275" s="44" t="str">
        <f>IF(C275="","",IF(CAD_PROD!E275&gt;=P275,"Sim","Não"))</f>
        <v/>
      </c>
    </row>
    <row r="276" spans="1:19" ht="30" customHeight="1">
      <c r="A276" s="52">
        <f t="shared" si="12"/>
        <v>0</v>
      </c>
      <c r="B276" s="52">
        <f t="shared" si="13"/>
        <v>0</v>
      </c>
      <c r="C276" s="96" t="str">
        <f>IF(CAD_PROD!C276="","",CAD_PROD!C276)</f>
        <v/>
      </c>
      <c r="D276" s="75"/>
      <c r="E276" s="125"/>
      <c r="F276" s="125"/>
      <c r="G276" s="75"/>
      <c r="H276" s="75" t="str">
        <f>IF(C276="","",D276+CAD_PROD!D276*(E276+F276)+G276)</f>
        <v/>
      </c>
      <c r="I276" s="52">
        <v>9.9999999999999995E-7</v>
      </c>
      <c r="J276" s="68" t="str">
        <f>IF(ISERROR(
CAD_PROD!F276*E276),"",CAD_PROD!F276*E276)</f>
        <v/>
      </c>
      <c r="K276" s="68" t="str">
        <f>IF(ISERROR(
CAD_PROD!F276*F276),"",CAD_PROD!F276*F276)</f>
        <v/>
      </c>
      <c r="L276" s="68" t="str">
        <f>IF(ISERROR(
CAD_PROD!D276-H276),"",CAD_PROD!D276-H276)</f>
        <v/>
      </c>
      <c r="M276" s="57" t="str">
        <f>IF(ISERROR(
L276/CAD_PROD!D276),"",L276/CAD_PROD!D276)</f>
        <v/>
      </c>
      <c r="N276" s="68" t="str">
        <f>IF(ISERROR(
(P276*CAD_PROD!D276)),"",(P276*CAD_PROD!D276))</f>
        <v/>
      </c>
      <c r="O276" s="68" t="str">
        <f>IF(ISERROR(PE_GERAL!$J$7*CAD_PROD!G276),"",PE_GERAL!$J$7*CAD_PROD!G276)</f>
        <v/>
      </c>
      <c r="P276" s="101" t="str">
        <f t="shared" si="14"/>
        <v/>
      </c>
      <c r="Q276" s="68" t="str">
        <f>IF(C276="","",IF(ISERROR(
CAD_PROD!E276*G276),"",CAD_PROD!E276*G276))</f>
        <v/>
      </c>
      <c r="R276" s="68" t="str">
        <f>IF(C276="","",IF(ISERROR(
CAD_PROD!E276*D276),"",CAD_PROD!E276*D276))</f>
        <v/>
      </c>
      <c r="S276" s="44" t="str">
        <f>IF(C276="","",IF(CAD_PROD!E276&gt;=P276,"Sim","Não"))</f>
        <v/>
      </c>
    </row>
    <row r="277" spans="1:19" ht="30" customHeight="1">
      <c r="A277" s="52">
        <f t="shared" si="12"/>
        <v>0</v>
      </c>
      <c r="B277" s="52">
        <f t="shared" si="13"/>
        <v>0</v>
      </c>
      <c r="C277" s="96" t="str">
        <f>IF(CAD_PROD!C277="","",CAD_PROD!C277)</f>
        <v/>
      </c>
      <c r="D277" s="75"/>
      <c r="E277" s="125"/>
      <c r="F277" s="125"/>
      <c r="G277" s="75"/>
      <c r="H277" s="75" t="str">
        <f>IF(C277="","",D277+CAD_PROD!D277*(E277+F277)+G277)</f>
        <v/>
      </c>
      <c r="I277" s="52">
        <v>9.9999999999999995E-7</v>
      </c>
      <c r="J277" s="68" t="str">
        <f>IF(ISERROR(
CAD_PROD!F277*E277),"",CAD_PROD!F277*E277)</f>
        <v/>
      </c>
      <c r="K277" s="68" t="str">
        <f>IF(ISERROR(
CAD_PROD!F277*F277),"",CAD_PROD!F277*F277)</f>
        <v/>
      </c>
      <c r="L277" s="68" t="str">
        <f>IF(ISERROR(
CAD_PROD!D277-H277),"",CAD_PROD!D277-H277)</f>
        <v/>
      </c>
      <c r="M277" s="57" t="str">
        <f>IF(ISERROR(
L277/CAD_PROD!D277),"",L277/CAD_PROD!D277)</f>
        <v/>
      </c>
      <c r="N277" s="68" t="str">
        <f>IF(ISERROR(
(P277*CAD_PROD!D277)),"",(P277*CAD_PROD!D277))</f>
        <v/>
      </c>
      <c r="O277" s="68" t="str">
        <f>IF(ISERROR(PE_GERAL!$J$7*CAD_PROD!G277),"",PE_GERAL!$J$7*CAD_PROD!G277)</f>
        <v/>
      </c>
      <c r="P277" s="101" t="str">
        <f t="shared" si="14"/>
        <v/>
      </c>
      <c r="Q277" s="68" t="str">
        <f>IF(C277="","",IF(ISERROR(
CAD_PROD!E277*G277),"",CAD_PROD!E277*G277))</f>
        <v/>
      </c>
      <c r="R277" s="68" t="str">
        <f>IF(C277="","",IF(ISERROR(
CAD_PROD!E277*D277),"",CAD_PROD!E277*D277))</f>
        <v/>
      </c>
      <c r="S277" s="44" t="str">
        <f>IF(C277="","",IF(CAD_PROD!E277&gt;=P277,"Sim","Não"))</f>
        <v/>
      </c>
    </row>
    <row r="278" spans="1:19" ht="30" customHeight="1">
      <c r="A278" s="52">
        <f t="shared" si="12"/>
        <v>0</v>
      </c>
      <c r="B278" s="52">
        <f t="shared" si="13"/>
        <v>0</v>
      </c>
      <c r="C278" s="96" t="str">
        <f>IF(CAD_PROD!C278="","",CAD_PROD!C278)</f>
        <v/>
      </c>
      <c r="D278" s="75"/>
      <c r="E278" s="125"/>
      <c r="F278" s="125"/>
      <c r="G278" s="75"/>
      <c r="H278" s="75" t="str">
        <f>IF(C278="","",D278+CAD_PROD!D278*(E278+F278)+G278)</f>
        <v/>
      </c>
      <c r="I278" s="52">
        <v>9.9999999999999995E-7</v>
      </c>
      <c r="J278" s="68" t="str">
        <f>IF(ISERROR(
CAD_PROD!F278*E278),"",CAD_PROD!F278*E278)</f>
        <v/>
      </c>
      <c r="K278" s="68" t="str">
        <f>IF(ISERROR(
CAD_PROD!F278*F278),"",CAD_PROD!F278*F278)</f>
        <v/>
      </c>
      <c r="L278" s="68" t="str">
        <f>IF(ISERROR(
CAD_PROD!D278-H278),"",CAD_PROD!D278-H278)</f>
        <v/>
      </c>
      <c r="M278" s="57" t="str">
        <f>IF(ISERROR(
L278/CAD_PROD!D278),"",L278/CAD_PROD!D278)</f>
        <v/>
      </c>
      <c r="N278" s="68" t="str">
        <f>IF(ISERROR(
(P278*CAD_PROD!D278)),"",(P278*CAD_PROD!D278))</f>
        <v/>
      </c>
      <c r="O278" s="68" t="str">
        <f>IF(ISERROR(PE_GERAL!$J$7*CAD_PROD!G278),"",PE_GERAL!$J$7*CAD_PROD!G278)</f>
        <v/>
      </c>
      <c r="P278" s="101" t="str">
        <f t="shared" si="14"/>
        <v/>
      </c>
      <c r="Q278" s="68" t="str">
        <f>IF(C278="","",IF(ISERROR(
CAD_PROD!E278*G278),"",CAD_PROD!E278*G278))</f>
        <v/>
      </c>
      <c r="R278" s="68" t="str">
        <f>IF(C278="","",IF(ISERROR(
CAD_PROD!E278*D278),"",CAD_PROD!E278*D278))</f>
        <v/>
      </c>
      <c r="S278" s="44" t="str">
        <f>IF(C278="","",IF(CAD_PROD!E278&gt;=P278,"Sim","Não"))</f>
        <v/>
      </c>
    </row>
    <row r="279" spans="1:19" ht="30" customHeight="1">
      <c r="A279" s="52">
        <f t="shared" si="12"/>
        <v>0</v>
      </c>
      <c r="B279" s="52">
        <f t="shared" si="13"/>
        <v>0</v>
      </c>
      <c r="C279" s="96" t="str">
        <f>IF(CAD_PROD!C279="","",CAD_PROD!C279)</f>
        <v/>
      </c>
      <c r="D279" s="75"/>
      <c r="E279" s="125"/>
      <c r="F279" s="125"/>
      <c r="G279" s="75"/>
      <c r="H279" s="75" t="str">
        <f>IF(C279="","",D279+CAD_PROD!D279*(E279+F279)+G279)</f>
        <v/>
      </c>
      <c r="I279" s="52">
        <v>9.9999999999999995E-7</v>
      </c>
      <c r="J279" s="68" t="str">
        <f>IF(ISERROR(
CAD_PROD!F279*E279),"",CAD_PROD!F279*E279)</f>
        <v/>
      </c>
      <c r="K279" s="68" t="str">
        <f>IF(ISERROR(
CAD_PROD!F279*F279),"",CAD_PROD!F279*F279)</f>
        <v/>
      </c>
      <c r="L279" s="68" t="str">
        <f>IF(ISERROR(
CAD_PROD!D279-H279),"",CAD_PROD!D279-H279)</f>
        <v/>
      </c>
      <c r="M279" s="57" t="str">
        <f>IF(ISERROR(
L279/CAD_PROD!D279),"",L279/CAD_PROD!D279)</f>
        <v/>
      </c>
      <c r="N279" s="68" t="str">
        <f>IF(ISERROR(
(P279*CAD_PROD!D279)),"",(P279*CAD_PROD!D279))</f>
        <v/>
      </c>
      <c r="O279" s="68" t="str">
        <f>IF(ISERROR(PE_GERAL!$J$7*CAD_PROD!G279),"",PE_GERAL!$J$7*CAD_PROD!G279)</f>
        <v/>
      </c>
      <c r="P279" s="101" t="str">
        <f t="shared" si="14"/>
        <v/>
      </c>
      <c r="Q279" s="68" t="str">
        <f>IF(C279="","",IF(ISERROR(
CAD_PROD!E279*G279),"",CAD_PROD!E279*G279))</f>
        <v/>
      </c>
      <c r="R279" s="68" t="str">
        <f>IF(C279="","",IF(ISERROR(
CAD_PROD!E279*D279),"",CAD_PROD!E279*D279))</f>
        <v/>
      </c>
      <c r="S279" s="44" t="str">
        <f>IF(C279="","",IF(CAD_PROD!E279&gt;=P279,"Sim","Não"))</f>
        <v/>
      </c>
    </row>
    <row r="280" spans="1:19" ht="30" customHeight="1">
      <c r="A280" s="52">
        <f t="shared" si="12"/>
        <v>0</v>
      </c>
      <c r="B280" s="52">
        <f t="shared" si="13"/>
        <v>0</v>
      </c>
      <c r="C280" s="96" t="str">
        <f>IF(CAD_PROD!C280="","",CAD_PROD!C280)</f>
        <v/>
      </c>
      <c r="D280" s="75"/>
      <c r="E280" s="125"/>
      <c r="F280" s="125"/>
      <c r="G280" s="75"/>
      <c r="H280" s="75" t="str">
        <f>IF(C280="","",D280+CAD_PROD!D280*(E280+F280)+G280)</f>
        <v/>
      </c>
      <c r="I280" s="52">
        <v>9.9999999999999995E-7</v>
      </c>
      <c r="J280" s="68" t="str">
        <f>IF(ISERROR(
CAD_PROD!F280*E280),"",CAD_PROD!F280*E280)</f>
        <v/>
      </c>
      <c r="K280" s="68" t="str">
        <f>IF(ISERROR(
CAD_PROD!F280*F280),"",CAD_PROD!F280*F280)</f>
        <v/>
      </c>
      <c r="L280" s="68" t="str">
        <f>IF(ISERROR(
CAD_PROD!D280-H280),"",CAD_PROD!D280-H280)</f>
        <v/>
      </c>
      <c r="M280" s="57" t="str">
        <f>IF(ISERROR(
L280/CAD_PROD!D280),"",L280/CAD_PROD!D280)</f>
        <v/>
      </c>
      <c r="N280" s="68" t="str">
        <f>IF(ISERROR(
(P280*CAD_PROD!D280)),"",(P280*CAD_PROD!D280))</f>
        <v/>
      </c>
      <c r="O280" s="68" t="str">
        <f>IF(ISERROR(PE_GERAL!$J$7*CAD_PROD!G280),"",PE_GERAL!$J$7*CAD_PROD!G280)</f>
        <v/>
      </c>
      <c r="P280" s="101" t="str">
        <f t="shared" si="14"/>
        <v/>
      </c>
      <c r="Q280" s="68" t="str">
        <f>IF(C280="","",IF(ISERROR(
CAD_PROD!E280*G280),"",CAD_PROD!E280*G280))</f>
        <v/>
      </c>
      <c r="R280" s="68" t="str">
        <f>IF(C280="","",IF(ISERROR(
CAD_PROD!E280*D280),"",CAD_PROD!E280*D280))</f>
        <v/>
      </c>
      <c r="S280" s="44" t="str">
        <f>IF(C280="","",IF(CAD_PROD!E280&gt;=P280,"Sim","Não"))</f>
        <v/>
      </c>
    </row>
    <row r="281" spans="1:19" ht="30" customHeight="1">
      <c r="A281" s="52">
        <f t="shared" si="12"/>
        <v>0</v>
      </c>
      <c r="B281" s="52">
        <f t="shared" si="13"/>
        <v>0</v>
      </c>
      <c r="C281" s="96" t="str">
        <f>IF(CAD_PROD!C281="","",CAD_PROD!C281)</f>
        <v/>
      </c>
      <c r="D281" s="75"/>
      <c r="E281" s="125"/>
      <c r="F281" s="125"/>
      <c r="G281" s="75"/>
      <c r="H281" s="75" t="str">
        <f>IF(C281="","",D281+CAD_PROD!D281*(E281+F281)+G281)</f>
        <v/>
      </c>
      <c r="I281" s="52">
        <v>9.9999999999999995E-7</v>
      </c>
      <c r="J281" s="68" t="str">
        <f>IF(ISERROR(
CAD_PROD!F281*E281),"",CAD_PROD!F281*E281)</f>
        <v/>
      </c>
      <c r="K281" s="68" t="str">
        <f>IF(ISERROR(
CAD_PROD!F281*F281),"",CAD_PROD!F281*F281)</f>
        <v/>
      </c>
      <c r="L281" s="68" t="str">
        <f>IF(ISERROR(
CAD_PROD!D281-H281),"",CAD_PROD!D281-H281)</f>
        <v/>
      </c>
      <c r="M281" s="57" t="str">
        <f>IF(ISERROR(
L281/CAD_PROD!D281),"",L281/CAD_PROD!D281)</f>
        <v/>
      </c>
      <c r="N281" s="68" t="str">
        <f>IF(ISERROR(
(P281*CAD_PROD!D281)),"",(P281*CAD_PROD!D281))</f>
        <v/>
      </c>
      <c r="O281" s="68" t="str">
        <f>IF(ISERROR(PE_GERAL!$J$7*CAD_PROD!G281),"",PE_GERAL!$J$7*CAD_PROD!G281)</f>
        <v/>
      </c>
      <c r="P281" s="101" t="str">
        <f t="shared" si="14"/>
        <v/>
      </c>
      <c r="Q281" s="68" t="str">
        <f>IF(C281="","",IF(ISERROR(
CAD_PROD!E281*G281),"",CAD_PROD!E281*G281))</f>
        <v/>
      </c>
      <c r="R281" s="68" t="str">
        <f>IF(C281="","",IF(ISERROR(
CAD_PROD!E281*D281),"",CAD_PROD!E281*D281))</f>
        <v/>
      </c>
      <c r="S281" s="44" t="str">
        <f>IF(C281="","",IF(CAD_PROD!E281&gt;=P281,"Sim","Não"))</f>
        <v/>
      </c>
    </row>
    <row r="282" spans="1:19" ht="30" customHeight="1">
      <c r="A282" s="52">
        <f t="shared" si="12"/>
        <v>0</v>
      </c>
      <c r="B282" s="52">
        <f t="shared" si="13"/>
        <v>0</v>
      </c>
      <c r="C282" s="96" t="str">
        <f>IF(CAD_PROD!C282="","",CAD_PROD!C282)</f>
        <v/>
      </c>
      <c r="D282" s="75"/>
      <c r="E282" s="125"/>
      <c r="F282" s="125"/>
      <c r="G282" s="75"/>
      <c r="H282" s="75" t="str">
        <f>IF(C282="","",D282+CAD_PROD!D282*(E282+F282)+G282)</f>
        <v/>
      </c>
      <c r="I282" s="52">
        <v>9.9999999999999995E-7</v>
      </c>
      <c r="J282" s="68" t="str">
        <f>IF(ISERROR(
CAD_PROD!F282*E282),"",CAD_PROD!F282*E282)</f>
        <v/>
      </c>
      <c r="K282" s="68" t="str">
        <f>IF(ISERROR(
CAD_PROD!F282*F282),"",CAD_PROD!F282*F282)</f>
        <v/>
      </c>
      <c r="L282" s="68" t="str">
        <f>IF(ISERROR(
CAD_PROD!D282-H282),"",CAD_PROD!D282-H282)</f>
        <v/>
      </c>
      <c r="M282" s="57" t="str">
        <f>IF(ISERROR(
L282/CAD_PROD!D282),"",L282/CAD_PROD!D282)</f>
        <v/>
      </c>
      <c r="N282" s="68" t="str">
        <f>IF(ISERROR(
(P282*CAD_PROD!D282)),"",(P282*CAD_PROD!D282))</f>
        <v/>
      </c>
      <c r="O282" s="68" t="str">
        <f>IF(ISERROR(PE_GERAL!$J$7*CAD_PROD!G282),"",PE_GERAL!$J$7*CAD_PROD!G282)</f>
        <v/>
      </c>
      <c r="P282" s="101" t="str">
        <f t="shared" si="14"/>
        <v/>
      </c>
      <c r="Q282" s="68" t="str">
        <f>IF(C282="","",IF(ISERROR(
CAD_PROD!E282*G282),"",CAD_PROD!E282*G282))</f>
        <v/>
      </c>
      <c r="R282" s="68" t="str">
        <f>IF(C282="","",IF(ISERROR(
CAD_PROD!E282*D282),"",CAD_PROD!E282*D282))</f>
        <v/>
      </c>
      <c r="S282" s="44" t="str">
        <f>IF(C282="","",IF(CAD_PROD!E282&gt;=P282,"Sim","Não"))</f>
        <v/>
      </c>
    </row>
    <row r="283" spans="1:19" ht="30" customHeight="1">
      <c r="A283" s="52">
        <f t="shared" si="12"/>
        <v>0</v>
      </c>
      <c r="B283" s="52">
        <f t="shared" si="13"/>
        <v>0</v>
      </c>
      <c r="C283" s="96" t="str">
        <f>IF(CAD_PROD!C283="","",CAD_PROD!C283)</f>
        <v/>
      </c>
      <c r="D283" s="75"/>
      <c r="E283" s="125"/>
      <c r="F283" s="125"/>
      <c r="G283" s="75"/>
      <c r="H283" s="75" t="str">
        <f>IF(C283="","",D283+CAD_PROD!D283*(E283+F283)+G283)</f>
        <v/>
      </c>
      <c r="I283" s="52">
        <v>9.9999999999999995E-7</v>
      </c>
      <c r="J283" s="68" t="str">
        <f>IF(ISERROR(
CAD_PROD!F283*E283),"",CAD_PROD!F283*E283)</f>
        <v/>
      </c>
      <c r="K283" s="68" t="str">
        <f>IF(ISERROR(
CAD_PROD!F283*F283),"",CAD_PROD!F283*F283)</f>
        <v/>
      </c>
      <c r="L283" s="68" t="str">
        <f>IF(ISERROR(
CAD_PROD!D283-H283),"",CAD_PROD!D283-H283)</f>
        <v/>
      </c>
      <c r="M283" s="57" t="str">
        <f>IF(ISERROR(
L283/CAD_PROD!D283),"",L283/CAD_PROD!D283)</f>
        <v/>
      </c>
      <c r="N283" s="68" t="str">
        <f>IF(ISERROR(
(P283*CAD_PROD!D283)),"",(P283*CAD_PROD!D283))</f>
        <v/>
      </c>
      <c r="O283" s="68" t="str">
        <f>IF(ISERROR(PE_GERAL!$J$7*CAD_PROD!G283),"",PE_GERAL!$J$7*CAD_PROD!G283)</f>
        <v/>
      </c>
      <c r="P283" s="101" t="str">
        <f t="shared" si="14"/>
        <v/>
      </c>
      <c r="Q283" s="68" t="str">
        <f>IF(C283="","",IF(ISERROR(
CAD_PROD!E283*G283),"",CAD_PROD!E283*G283))</f>
        <v/>
      </c>
      <c r="R283" s="68" t="str">
        <f>IF(C283="","",IF(ISERROR(
CAD_PROD!E283*D283),"",CAD_PROD!E283*D283))</f>
        <v/>
      </c>
      <c r="S283" s="44" t="str">
        <f>IF(C283="","",IF(CAD_PROD!E283&gt;=P283,"Sim","Não"))</f>
        <v/>
      </c>
    </row>
    <row r="284" spans="1:19" ht="30" customHeight="1">
      <c r="A284" s="52">
        <f t="shared" si="12"/>
        <v>0</v>
      </c>
      <c r="B284" s="52">
        <f t="shared" si="13"/>
        <v>0</v>
      </c>
      <c r="C284" s="96" t="str">
        <f>IF(CAD_PROD!C284="","",CAD_PROD!C284)</f>
        <v/>
      </c>
      <c r="D284" s="75"/>
      <c r="E284" s="125"/>
      <c r="F284" s="125"/>
      <c r="G284" s="75"/>
      <c r="H284" s="75" t="str">
        <f>IF(C284="","",D284+CAD_PROD!D284*(E284+F284)+G284)</f>
        <v/>
      </c>
      <c r="I284" s="52">
        <v>9.9999999999999995E-7</v>
      </c>
      <c r="J284" s="68" t="str">
        <f>IF(ISERROR(
CAD_PROD!F284*E284),"",CAD_PROD!F284*E284)</f>
        <v/>
      </c>
      <c r="K284" s="68" t="str">
        <f>IF(ISERROR(
CAD_PROD!F284*F284),"",CAD_PROD!F284*F284)</f>
        <v/>
      </c>
      <c r="L284" s="68" t="str">
        <f>IF(ISERROR(
CAD_PROD!D284-H284),"",CAD_PROD!D284-H284)</f>
        <v/>
      </c>
      <c r="M284" s="57" t="str">
        <f>IF(ISERROR(
L284/CAD_PROD!D284),"",L284/CAD_PROD!D284)</f>
        <v/>
      </c>
      <c r="N284" s="68" t="str">
        <f>IF(ISERROR(
(P284*CAD_PROD!D284)),"",(P284*CAD_PROD!D284))</f>
        <v/>
      </c>
      <c r="O284" s="68" t="str">
        <f>IF(ISERROR(PE_GERAL!$J$7*CAD_PROD!G284),"",PE_GERAL!$J$7*CAD_PROD!G284)</f>
        <v/>
      </c>
      <c r="P284" s="101" t="str">
        <f t="shared" si="14"/>
        <v/>
      </c>
      <c r="Q284" s="68" t="str">
        <f>IF(C284="","",IF(ISERROR(
CAD_PROD!E284*G284),"",CAD_PROD!E284*G284))</f>
        <v/>
      </c>
      <c r="R284" s="68" t="str">
        <f>IF(C284="","",IF(ISERROR(
CAD_PROD!E284*D284),"",CAD_PROD!E284*D284))</f>
        <v/>
      </c>
      <c r="S284" s="44" t="str">
        <f>IF(C284="","",IF(CAD_PROD!E284&gt;=P284,"Sim","Não"))</f>
        <v/>
      </c>
    </row>
    <row r="285" spans="1:19" ht="30" customHeight="1">
      <c r="A285" s="52">
        <f t="shared" si="12"/>
        <v>0</v>
      </c>
      <c r="B285" s="52">
        <f t="shared" si="13"/>
        <v>0</v>
      </c>
      <c r="C285" s="96" t="str">
        <f>IF(CAD_PROD!C285="","",CAD_PROD!C285)</f>
        <v/>
      </c>
      <c r="D285" s="75"/>
      <c r="E285" s="125"/>
      <c r="F285" s="125"/>
      <c r="G285" s="75"/>
      <c r="H285" s="75" t="str">
        <f>IF(C285="","",D285+CAD_PROD!D285*(E285+F285)+G285)</f>
        <v/>
      </c>
      <c r="I285" s="52">
        <v>9.9999999999999995E-7</v>
      </c>
      <c r="J285" s="68" t="str">
        <f>IF(ISERROR(
CAD_PROD!F285*E285),"",CAD_PROD!F285*E285)</f>
        <v/>
      </c>
      <c r="K285" s="68" t="str">
        <f>IF(ISERROR(
CAD_PROD!F285*F285),"",CAD_PROD!F285*F285)</f>
        <v/>
      </c>
      <c r="L285" s="68" t="str">
        <f>IF(ISERROR(
CAD_PROD!D285-H285),"",CAD_PROD!D285-H285)</f>
        <v/>
      </c>
      <c r="M285" s="57" t="str">
        <f>IF(ISERROR(
L285/CAD_PROD!D285),"",L285/CAD_PROD!D285)</f>
        <v/>
      </c>
      <c r="N285" s="68" t="str">
        <f>IF(ISERROR(
(P285*CAD_PROD!D285)),"",(P285*CAD_PROD!D285))</f>
        <v/>
      </c>
      <c r="O285" s="68" t="str">
        <f>IF(ISERROR(PE_GERAL!$J$7*CAD_PROD!G285),"",PE_GERAL!$J$7*CAD_PROD!G285)</f>
        <v/>
      </c>
      <c r="P285" s="101" t="str">
        <f t="shared" si="14"/>
        <v/>
      </c>
      <c r="Q285" s="68" t="str">
        <f>IF(C285="","",IF(ISERROR(
CAD_PROD!E285*G285),"",CAD_PROD!E285*G285))</f>
        <v/>
      </c>
      <c r="R285" s="68" t="str">
        <f>IF(C285="","",IF(ISERROR(
CAD_PROD!E285*D285),"",CAD_PROD!E285*D285))</f>
        <v/>
      </c>
      <c r="S285" s="44" t="str">
        <f>IF(C285="","",IF(CAD_PROD!E285&gt;=P285,"Sim","Não"))</f>
        <v/>
      </c>
    </row>
    <row r="286" spans="1:19" ht="30" customHeight="1">
      <c r="A286" s="52">
        <f t="shared" si="12"/>
        <v>0</v>
      </c>
      <c r="B286" s="52">
        <f t="shared" si="13"/>
        <v>0</v>
      </c>
      <c r="C286" s="96" t="str">
        <f>IF(CAD_PROD!C286="","",CAD_PROD!C286)</f>
        <v/>
      </c>
      <c r="D286" s="75"/>
      <c r="E286" s="125"/>
      <c r="F286" s="125"/>
      <c r="G286" s="75"/>
      <c r="H286" s="75" t="str">
        <f>IF(C286="","",D286+CAD_PROD!D286*(E286+F286)+G286)</f>
        <v/>
      </c>
      <c r="I286" s="52">
        <v>9.9999999999999995E-7</v>
      </c>
      <c r="J286" s="68" t="str">
        <f>IF(ISERROR(
CAD_PROD!F286*E286),"",CAD_PROD!F286*E286)</f>
        <v/>
      </c>
      <c r="K286" s="68" t="str">
        <f>IF(ISERROR(
CAD_PROD!F286*F286),"",CAD_PROD!F286*F286)</f>
        <v/>
      </c>
      <c r="L286" s="68" t="str">
        <f>IF(ISERROR(
CAD_PROD!D286-H286),"",CAD_PROD!D286-H286)</f>
        <v/>
      </c>
      <c r="M286" s="57" t="str">
        <f>IF(ISERROR(
L286/CAD_PROD!D286),"",L286/CAD_PROD!D286)</f>
        <v/>
      </c>
      <c r="N286" s="68" t="str">
        <f>IF(ISERROR(
(P286*CAD_PROD!D286)),"",(P286*CAD_PROD!D286))</f>
        <v/>
      </c>
      <c r="O286" s="68" t="str">
        <f>IF(ISERROR(PE_GERAL!$J$7*CAD_PROD!G286),"",PE_GERAL!$J$7*CAD_PROD!G286)</f>
        <v/>
      </c>
      <c r="P286" s="101" t="str">
        <f t="shared" si="14"/>
        <v/>
      </c>
      <c r="Q286" s="68" t="str">
        <f>IF(C286="","",IF(ISERROR(
CAD_PROD!E286*G286),"",CAD_PROD!E286*G286))</f>
        <v/>
      </c>
      <c r="R286" s="68" t="str">
        <f>IF(C286="","",IF(ISERROR(
CAD_PROD!E286*D286),"",CAD_PROD!E286*D286))</f>
        <v/>
      </c>
      <c r="S286" s="44" t="str">
        <f>IF(C286="","",IF(CAD_PROD!E286&gt;=P286,"Sim","Não"))</f>
        <v/>
      </c>
    </row>
    <row r="287" spans="1:19" ht="30" customHeight="1">
      <c r="A287" s="52">
        <f t="shared" si="12"/>
        <v>0</v>
      </c>
      <c r="B287" s="52">
        <f t="shared" si="13"/>
        <v>0</v>
      </c>
      <c r="C287" s="96" t="str">
        <f>IF(CAD_PROD!C287="","",CAD_PROD!C287)</f>
        <v/>
      </c>
      <c r="D287" s="75"/>
      <c r="E287" s="125"/>
      <c r="F287" s="125"/>
      <c r="G287" s="75"/>
      <c r="H287" s="75" t="str">
        <f>IF(C287="","",D287+CAD_PROD!D287*(E287+F287)+G287)</f>
        <v/>
      </c>
      <c r="I287" s="52">
        <v>9.9999999999999995E-7</v>
      </c>
      <c r="J287" s="68" t="str">
        <f>IF(ISERROR(
CAD_PROD!F287*E287),"",CAD_PROD!F287*E287)</f>
        <v/>
      </c>
      <c r="K287" s="68" t="str">
        <f>IF(ISERROR(
CAD_PROD!F287*F287),"",CAD_PROD!F287*F287)</f>
        <v/>
      </c>
      <c r="L287" s="68" t="str">
        <f>IF(ISERROR(
CAD_PROD!D287-H287),"",CAD_PROD!D287-H287)</f>
        <v/>
      </c>
      <c r="M287" s="57" t="str">
        <f>IF(ISERROR(
L287/CAD_PROD!D287),"",L287/CAD_PROD!D287)</f>
        <v/>
      </c>
      <c r="N287" s="68" t="str">
        <f>IF(ISERROR(
(P287*CAD_PROD!D287)),"",(P287*CAD_PROD!D287))</f>
        <v/>
      </c>
      <c r="O287" s="68" t="str">
        <f>IF(ISERROR(PE_GERAL!$J$7*CAD_PROD!G287),"",PE_GERAL!$J$7*CAD_PROD!G287)</f>
        <v/>
      </c>
      <c r="P287" s="101" t="str">
        <f t="shared" si="14"/>
        <v/>
      </c>
      <c r="Q287" s="68" t="str">
        <f>IF(C287="","",IF(ISERROR(
CAD_PROD!E287*G287),"",CAD_PROD!E287*G287))</f>
        <v/>
      </c>
      <c r="R287" s="68" t="str">
        <f>IF(C287="","",IF(ISERROR(
CAD_PROD!E287*D287),"",CAD_PROD!E287*D287))</f>
        <v/>
      </c>
      <c r="S287" s="44" t="str">
        <f>IF(C287="","",IF(CAD_PROD!E287&gt;=P287,"Sim","Não"))</f>
        <v/>
      </c>
    </row>
    <row r="288" spans="1:19" ht="30" customHeight="1">
      <c r="A288" s="52">
        <f t="shared" si="12"/>
        <v>0</v>
      </c>
      <c r="B288" s="52">
        <f t="shared" si="13"/>
        <v>0</v>
      </c>
      <c r="C288" s="96" t="str">
        <f>IF(CAD_PROD!C288="","",CAD_PROD!C288)</f>
        <v/>
      </c>
      <c r="D288" s="75"/>
      <c r="E288" s="125"/>
      <c r="F288" s="125"/>
      <c r="G288" s="75"/>
      <c r="H288" s="75" t="str">
        <f>IF(C288="","",D288+CAD_PROD!D288*(E288+F288)+G288)</f>
        <v/>
      </c>
      <c r="I288" s="52">
        <v>9.9999999999999995E-7</v>
      </c>
      <c r="J288" s="68" t="str">
        <f>IF(ISERROR(
CAD_PROD!F288*E288),"",CAD_PROD!F288*E288)</f>
        <v/>
      </c>
      <c r="K288" s="68" t="str">
        <f>IF(ISERROR(
CAD_PROD!F288*F288),"",CAD_PROD!F288*F288)</f>
        <v/>
      </c>
      <c r="L288" s="68" t="str">
        <f>IF(ISERROR(
CAD_PROD!D288-H288),"",CAD_PROD!D288-H288)</f>
        <v/>
      </c>
      <c r="M288" s="57" t="str">
        <f>IF(ISERROR(
L288/CAD_PROD!D288),"",L288/CAD_PROD!D288)</f>
        <v/>
      </c>
      <c r="N288" s="68" t="str">
        <f>IF(ISERROR(
(P288*CAD_PROD!D288)),"",(P288*CAD_PROD!D288))</f>
        <v/>
      </c>
      <c r="O288" s="68" t="str">
        <f>IF(ISERROR(PE_GERAL!$J$7*CAD_PROD!G288),"",PE_GERAL!$J$7*CAD_PROD!G288)</f>
        <v/>
      </c>
      <c r="P288" s="101" t="str">
        <f t="shared" si="14"/>
        <v/>
      </c>
      <c r="Q288" s="68" t="str">
        <f>IF(C288="","",IF(ISERROR(
CAD_PROD!E288*G288),"",CAD_PROD!E288*G288))</f>
        <v/>
      </c>
      <c r="R288" s="68" t="str">
        <f>IF(C288="","",IF(ISERROR(
CAD_PROD!E288*D288),"",CAD_PROD!E288*D288))</f>
        <v/>
      </c>
      <c r="S288" s="44" t="str">
        <f>IF(C288="","",IF(CAD_PROD!E288&gt;=P288,"Sim","Não"))</f>
        <v/>
      </c>
    </row>
    <row r="289" spans="1:19" ht="30" customHeight="1">
      <c r="A289" s="52">
        <f t="shared" si="12"/>
        <v>0</v>
      </c>
      <c r="B289" s="52">
        <f t="shared" si="13"/>
        <v>0</v>
      </c>
      <c r="C289" s="96" t="str">
        <f>IF(CAD_PROD!C289="","",CAD_PROD!C289)</f>
        <v/>
      </c>
      <c r="D289" s="75"/>
      <c r="E289" s="125"/>
      <c r="F289" s="125"/>
      <c r="G289" s="75"/>
      <c r="H289" s="75" t="str">
        <f>IF(C289="","",D289+CAD_PROD!D289*(E289+F289)+G289)</f>
        <v/>
      </c>
      <c r="I289" s="52">
        <v>9.9999999999999995E-7</v>
      </c>
      <c r="J289" s="68" t="str">
        <f>IF(ISERROR(
CAD_PROD!F289*E289),"",CAD_PROD!F289*E289)</f>
        <v/>
      </c>
      <c r="K289" s="68" t="str">
        <f>IF(ISERROR(
CAD_PROD!F289*F289),"",CAD_PROD!F289*F289)</f>
        <v/>
      </c>
      <c r="L289" s="68" t="str">
        <f>IF(ISERROR(
CAD_PROD!D289-H289),"",CAD_PROD!D289-H289)</f>
        <v/>
      </c>
      <c r="M289" s="57" t="str">
        <f>IF(ISERROR(
L289/CAD_PROD!D289),"",L289/CAD_PROD!D289)</f>
        <v/>
      </c>
      <c r="N289" s="68" t="str">
        <f>IF(ISERROR(
(P289*CAD_PROD!D289)),"",(P289*CAD_PROD!D289))</f>
        <v/>
      </c>
      <c r="O289" s="68" t="str">
        <f>IF(ISERROR(PE_GERAL!$J$7*CAD_PROD!G289),"",PE_GERAL!$J$7*CAD_PROD!G289)</f>
        <v/>
      </c>
      <c r="P289" s="101" t="str">
        <f t="shared" si="14"/>
        <v/>
      </c>
      <c r="Q289" s="68" t="str">
        <f>IF(C289="","",IF(ISERROR(
CAD_PROD!E289*G289),"",CAD_PROD!E289*G289))</f>
        <v/>
      </c>
      <c r="R289" s="68" t="str">
        <f>IF(C289="","",IF(ISERROR(
CAD_PROD!E289*D289),"",CAD_PROD!E289*D289))</f>
        <v/>
      </c>
      <c r="S289" s="44" t="str">
        <f>IF(C289="","",IF(CAD_PROD!E289&gt;=P289,"Sim","Não"))</f>
        <v/>
      </c>
    </row>
    <row r="290" spans="1:19" ht="30" customHeight="1">
      <c r="A290" s="52">
        <f t="shared" si="12"/>
        <v>0</v>
      </c>
      <c r="B290" s="52">
        <f t="shared" si="13"/>
        <v>0</v>
      </c>
      <c r="C290" s="96" t="str">
        <f>IF(CAD_PROD!C290="","",CAD_PROD!C290)</f>
        <v/>
      </c>
      <c r="D290" s="75"/>
      <c r="E290" s="125"/>
      <c r="F290" s="125"/>
      <c r="G290" s="75"/>
      <c r="H290" s="75" t="str">
        <f>IF(C290="","",D290+CAD_PROD!D290*(E290+F290)+G290)</f>
        <v/>
      </c>
      <c r="I290" s="52">
        <v>9.9999999999999995E-7</v>
      </c>
      <c r="J290" s="68" t="str">
        <f>IF(ISERROR(
CAD_PROD!F290*E290),"",CAD_PROD!F290*E290)</f>
        <v/>
      </c>
      <c r="K290" s="68" t="str">
        <f>IF(ISERROR(
CAD_PROD!F290*F290),"",CAD_PROD!F290*F290)</f>
        <v/>
      </c>
      <c r="L290" s="68" t="str">
        <f>IF(ISERROR(
CAD_PROD!D290-H290),"",CAD_PROD!D290-H290)</f>
        <v/>
      </c>
      <c r="M290" s="57" t="str">
        <f>IF(ISERROR(
L290/CAD_PROD!D290),"",L290/CAD_PROD!D290)</f>
        <v/>
      </c>
      <c r="N290" s="68" t="str">
        <f>IF(ISERROR(
(P290*CAD_PROD!D290)),"",(P290*CAD_PROD!D290))</f>
        <v/>
      </c>
      <c r="O290" s="68" t="str">
        <f>IF(ISERROR(PE_GERAL!$J$7*CAD_PROD!G290),"",PE_GERAL!$J$7*CAD_PROD!G290)</f>
        <v/>
      </c>
      <c r="P290" s="101" t="str">
        <f t="shared" si="14"/>
        <v/>
      </c>
      <c r="Q290" s="68" t="str">
        <f>IF(C290="","",IF(ISERROR(
CAD_PROD!E290*G290),"",CAD_PROD!E290*G290))</f>
        <v/>
      </c>
      <c r="R290" s="68" t="str">
        <f>IF(C290="","",IF(ISERROR(
CAD_PROD!E290*D290),"",CAD_PROD!E290*D290))</f>
        <v/>
      </c>
      <c r="S290" s="44" t="str">
        <f>IF(C290="","",IF(CAD_PROD!E290&gt;=P290,"Sim","Não"))</f>
        <v/>
      </c>
    </row>
    <row r="291" spans="1:19" ht="30" customHeight="1">
      <c r="A291" s="52">
        <f t="shared" si="12"/>
        <v>0</v>
      </c>
      <c r="B291" s="52">
        <f t="shared" si="13"/>
        <v>0</v>
      </c>
      <c r="C291" s="96" t="str">
        <f>IF(CAD_PROD!C291="","",CAD_PROD!C291)</f>
        <v/>
      </c>
      <c r="D291" s="75"/>
      <c r="E291" s="125"/>
      <c r="F291" s="125"/>
      <c r="G291" s="75"/>
      <c r="H291" s="75" t="str">
        <f>IF(C291="","",D291+CAD_PROD!D291*(E291+F291)+G291)</f>
        <v/>
      </c>
      <c r="I291" s="52">
        <v>9.9999999999999995E-7</v>
      </c>
      <c r="J291" s="68" t="str">
        <f>IF(ISERROR(
CAD_PROD!F291*E291),"",CAD_PROD!F291*E291)</f>
        <v/>
      </c>
      <c r="K291" s="68" t="str">
        <f>IF(ISERROR(
CAD_PROD!F291*F291),"",CAD_PROD!F291*F291)</f>
        <v/>
      </c>
      <c r="L291" s="68" t="str">
        <f>IF(ISERROR(
CAD_PROD!D291-H291),"",CAD_PROD!D291-H291)</f>
        <v/>
      </c>
      <c r="M291" s="57" t="str">
        <f>IF(ISERROR(
L291/CAD_PROD!D291),"",L291/CAD_PROD!D291)</f>
        <v/>
      </c>
      <c r="N291" s="68" t="str">
        <f>IF(ISERROR(
(P291*CAD_PROD!D291)),"",(P291*CAD_PROD!D291))</f>
        <v/>
      </c>
      <c r="O291" s="68" t="str">
        <f>IF(ISERROR(PE_GERAL!$J$7*CAD_PROD!G291),"",PE_GERAL!$J$7*CAD_PROD!G291)</f>
        <v/>
      </c>
      <c r="P291" s="101" t="str">
        <f t="shared" si="14"/>
        <v/>
      </c>
      <c r="Q291" s="68" t="str">
        <f>IF(C291="","",IF(ISERROR(
CAD_PROD!E291*G291),"",CAD_PROD!E291*G291))</f>
        <v/>
      </c>
      <c r="R291" s="68" t="str">
        <f>IF(C291="","",IF(ISERROR(
CAD_PROD!E291*D291),"",CAD_PROD!E291*D291))</f>
        <v/>
      </c>
      <c r="S291" s="44" t="str">
        <f>IF(C291="","",IF(CAD_PROD!E291&gt;=P291,"Sim","Não"))</f>
        <v/>
      </c>
    </row>
    <row r="292" spans="1:19" ht="30" customHeight="1">
      <c r="A292" s="52">
        <f t="shared" si="12"/>
        <v>0</v>
      </c>
      <c r="B292" s="52">
        <f t="shared" si="13"/>
        <v>0</v>
      </c>
      <c r="C292" s="96" t="str">
        <f>IF(CAD_PROD!C292="","",CAD_PROD!C292)</f>
        <v/>
      </c>
      <c r="D292" s="75"/>
      <c r="E292" s="125"/>
      <c r="F292" s="125"/>
      <c r="G292" s="75"/>
      <c r="H292" s="75" t="str">
        <f>IF(C292="","",D292+CAD_PROD!D292*(E292+F292)+G292)</f>
        <v/>
      </c>
      <c r="I292" s="52">
        <v>9.9999999999999995E-7</v>
      </c>
      <c r="J292" s="68" t="str">
        <f>IF(ISERROR(
CAD_PROD!F292*E292),"",CAD_PROD!F292*E292)</f>
        <v/>
      </c>
      <c r="K292" s="68" t="str">
        <f>IF(ISERROR(
CAD_PROD!F292*F292),"",CAD_PROD!F292*F292)</f>
        <v/>
      </c>
      <c r="L292" s="68" t="str">
        <f>IF(ISERROR(
CAD_PROD!D292-H292),"",CAD_PROD!D292-H292)</f>
        <v/>
      </c>
      <c r="M292" s="57" t="str">
        <f>IF(ISERROR(
L292/CAD_PROD!D292),"",L292/CAD_PROD!D292)</f>
        <v/>
      </c>
      <c r="N292" s="68" t="str">
        <f>IF(ISERROR(
(P292*CAD_PROD!D292)),"",(P292*CAD_PROD!D292))</f>
        <v/>
      </c>
      <c r="O292" s="68" t="str">
        <f>IF(ISERROR(PE_GERAL!$J$7*CAD_PROD!G292),"",PE_GERAL!$J$7*CAD_PROD!G292)</f>
        <v/>
      </c>
      <c r="P292" s="101" t="str">
        <f t="shared" si="14"/>
        <v/>
      </c>
      <c r="Q292" s="68" t="str">
        <f>IF(C292="","",IF(ISERROR(
CAD_PROD!E292*G292),"",CAD_PROD!E292*G292))</f>
        <v/>
      </c>
      <c r="R292" s="68" t="str">
        <f>IF(C292="","",IF(ISERROR(
CAD_PROD!E292*D292),"",CAD_PROD!E292*D292))</f>
        <v/>
      </c>
      <c r="S292" s="44" t="str">
        <f>IF(C292="","",IF(CAD_PROD!E292&gt;=P292,"Sim","Não"))</f>
        <v/>
      </c>
    </row>
    <row r="293" spans="1:19" ht="30" customHeight="1">
      <c r="A293" s="52">
        <f t="shared" si="12"/>
        <v>0</v>
      </c>
      <c r="B293" s="52">
        <f t="shared" si="13"/>
        <v>0</v>
      </c>
      <c r="C293" s="96" t="str">
        <f>IF(CAD_PROD!C293="","",CAD_PROD!C293)</f>
        <v/>
      </c>
      <c r="D293" s="75"/>
      <c r="E293" s="125"/>
      <c r="F293" s="125"/>
      <c r="G293" s="75"/>
      <c r="H293" s="75" t="str">
        <f>IF(C293="","",D293+CAD_PROD!D293*(E293+F293)+G293)</f>
        <v/>
      </c>
      <c r="I293" s="52">
        <v>9.9999999999999995E-7</v>
      </c>
      <c r="J293" s="68" t="str">
        <f>IF(ISERROR(
CAD_PROD!F293*E293),"",CAD_PROD!F293*E293)</f>
        <v/>
      </c>
      <c r="K293" s="68" t="str">
        <f>IF(ISERROR(
CAD_PROD!F293*F293),"",CAD_PROD!F293*F293)</f>
        <v/>
      </c>
      <c r="L293" s="68" t="str">
        <f>IF(ISERROR(
CAD_PROD!D293-H293),"",CAD_PROD!D293-H293)</f>
        <v/>
      </c>
      <c r="M293" s="57" t="str">
        <f>IF(ISERROR(
L293/CAD_PROD!D293),"",L293/CAD_PROD!D293)</f>
        <v/>
      </c>
      <c r="N293" s="68" t="str">
        <f>IF(ISERROR(
(P293*CAD_PROD!D293)),"",(P293*CAD_PROD!D293))</f>
        <v/>
      </c>
      <c r="O293" s="68" t="str">
        <f>IF(ISERROR(PE_GERAL!$J$7*CAD_PROD!G293),"",PE_GERAL!$J$7*CAD_PROD!G293)</f>
        <v/>
      </c>
      <c r="P293" s="101" t="str">
        <f t="shared" si="14"/>
        <v/>
      </c>
      <c r="Q293" s="68" t="str">
        <f>IF(C293="","",IF(ISERROR(
CAD_PROD!E293*G293),"",CAD_PROD!E293*G293))</f>
        <v/>
      </c>
      <c r="R293" s="68" t="str">
        <f>IF(C293="","",IF(ISERROR(
CAD_PROD!E293*D293),"",CAD_PROD!E293*D293))</f>
        <v/>
      </c>
      <c r="S293" s="44" t="str">
        <f>IF(C293="","",IF(CAD_PROD!E293&gt;=P293,"Sim","Não"))</f>
        <v/>
      </c>
    </row>
    <row r="294" spans="1:19" ht="30" customHeight="1">
      <c r="A294" s="52">
        <f t="shared" si="12"/>
        <v>0</v>
      </c>
      <c r="B294" s="52">
        <f t="shared" si="13"/>
        <v>0</v>
      </c>
      <c r="C294" s="96" t="str">
        <f>IF(CAD_PROD!C294="","",CAD_PROD!C294)</f>
        <v/>
      </c>
      <c r="D294" s="75"/>
      <c r="E294" s="125"/>
      <c r="F294" s="125"/>
      <c r="G294" s="75"/>
      <c r="H294" s="75" t="str">
        <f>IF(C294="","",D294+CAD_PROD!D294*(E294+F294)+G294)</f>
        <v/>
      </c>
      <c r="I294" s="52">
        <v>9.9999999999999995E-7</v>
      </c>
      <c r="J294" s="68" t="str">
        <f>IF(ISERROR(
CAD_PROD!F294*E294),"",CAD_PROD!F294*E294)</f>
        <v/>
      </c>
      <c r="K294" s="68" t="str">
        <f>IF(ISERROR(
CAD_PROD!F294*F294),"",CAD_PROD!F294*F294)</f>
        <v/>
      </c>
      <c r="L294" s="68" t="str">
        <f>IF(ISERROR(
CAD_PROD!D294-H294),"",CAD_PROD!D294-H294)</f>
        <v/>
      </c>
      <c r="M294" s="57" t="str">
        <f>IF(ISERROR(
L294/CAD_PROD!D294),"",L294/CAD_PROD!D294)</f>
        <v/>
      </c>
      <c r="N294" s="68" t="str">
        <f>IF(ISERROR(
(P294*CAD_PROD!D294)),"",(P294*CAD_PROD!D294))</f>
        <v/>
      </c>
      <c r="O294" s="68" t="str">
        <f>IF(ISERROR(PE_GERAL!$J$7*CAD_PROD!G294),"",PE_GERAL!$J$7*CAD_PROD!G294)</f>
        <v/>
      </c>
      <c r="P294" s="101" t="str">
        <f t="shared" si="14"/>
        <v/>
      </c>
      <c r="Q294" s="68" t="str">
        <f>IF(C294="","",IF(ISERROR(
CAD_PROD!E294*G294),"",CAD_PROD!E294*G294))</f>
        <v/>
      </c>
      <c r="R294" s="68" t="str">
        <f>IF(C294="","",IF(ISERROR(
CAD_PROD!E294*D294),"",CAD_PROD!E294*D294))</f>
        <v/>
      </c>
      <c r="S294" s="44" t="str">
        <f>IF(C294="","",IF(CAD_PROD!E294&gt;=P294,"Sim","Não"))</f>
        <v/>
      </c>
    </row>
    <row r="295" spans="1:19" ht="30" customHeight="1">
      <c r="A295" s="52">
        <f t="shared" si="12"/>
        <v>0</v>
      </c>
      <c r="B295" s="52">
        <f t="shared" si="13"/>
        <v>0</v>
      </c>
      <c r="C295" s="96" t="str">
        <f>IF(CAD_PROD!C295="","",CAD_PROD!C295)</f>
        <v/>
      </c>
      <c r="D295" s="75"/>
      <c r="E295" s="125"/>
      <c r="F295" s="125"/>
      <c r="G295" s="75"/>
      <c r="H295" s="75" t="str">
        <f>IF(C295="","",D295+CAD_PROD!D295*(E295+F295)+G295)</f>
        <v/>
      </c>
      <c r="I295" s="52">
        <v>9.9999999999999995E-7</v>
      </c>
      <c r="J295" s="68" t="str">
        <f>IF(ISERROR(
CAD_PROD!F295*E295),"",CAD_PROD!F295*E295)</f>
        <v/>
      </c>
      <c r="K295" s="68" t="str">
        <f>IF(ISERROR(
CAD_PROD!F295*F295),"",CAD_PROD!F295*F295)</f>
        <v/>
      </c>
      <c r="L295" s="68" t="str">
        <f>IF(ISERROR(
CAD_PROD!D295-H295),"",CAD_PROD!D295-H295)</f>
        <v/>
      </c>
      <c r="M295" s="57" t="str">
        <f>IF(ISERROR(
L295/CAD_PROD!D295),"",L295/CAD_PROD!D295)</f>
        <v/>
      </c>
      <c r="N295" s="68" t="str">
        <f>IF(ISERROR(
(P295*CAD_PROD!D295)),"",(P295*CAD_PROD!D295))</f>
        <v/>
      </c>
      <c r="O295" s="68" t="str">
        <f>IF(ISERROR(PE_GERAL!$J$7*CAD_PROD!G295),"",PE_GERAL!$J$7*CAD_PROD!G295)</f>
        <v/>
      </c>
      <c r="P295" s="101" t="str">
        <f t="shared" si="14"/>
        <v/>
      </c>
      <c r="Q295" s="68" t="str">
        <f>IF(C295="","",IF(ISERROR(
CAD_PROD!E295*G295),"",CAD_PROD!E295*G295))</f>
        <v/>
      </c>
      <c r="R295" s="68" t="str">
        <f>IF(C295="","",IF(ISERROR(
CAD_PROD!E295*D295),"",CAD_PROD!E295*D295))</f>
        <v/>
      </c>
      <c r="S295" s="44" t="str">
        <f>IF(C295="","",IF(CAD_PROD!E295&gt;=P295,"Sim","Não"))</f>
        <v/>
      </c>
    </row>
    <row r="296" spans="1:19" ht="30" customHeight="1">
      <c r="A296" s="52">
        <f t="shared" si="12"/>
        <v>0</v>
      </c>
      <c r="B296" s="52">
        <f t="shared" si="13"/>
        <v>0</v>
      </c>
      <c r="C296" s="96" t="str">
        <f>IF(CAD_PROD!C296="","",CAD_PROD!C296)</f>
        <v/>
      </c>
      <c r="D296" s="75"/>
      <c r="E296" s="125"/>
      <c r="F296" s="125"/>
      <c r="G296" s="75"/>
      <c r="H296" s="75" t="str">
        <f>IF(C296="","",D296+CAD_PROD!D296*(E296+F296)+G296)</f>
        <v/>
      </c>
      <c r="I296" s="52">
        <v>9.9999999999999995E-7</v>
      </c>
      <c r="J296" s="68" t="str">
        <f>IF(ISERROR(
CAD_PROD!F296*E296),"",CAD_PROD!F296*E296)</f>
        <v/>
      </c>
      <c r="K296" s="68" t="str">
        <f>IF(ISERROR(
CAD_PROD!F296*F296),"",CAD_PROD!F296*F296)</f>
        <v/>
      </c>
      <c r="L296" s="68" t="str">
        <f>IF(ISERROR(
CAD_PROD!D296-H296),"",CAD_PROD!D296-H296)</f>
        <v/>
      </c>
      <c r="M296" s="57" t="str">
        <f>IF(ISERROR(
L296/CAD_PROD!D296),"",L296/CAD_PROD!D296)</f>
        <v/>
      </c>
      <c r="N296" s="68" t="str">
        <f>IF(ISERROR(
(P296*CAD_PROD!D296)),"",(P296*CAD_PROD!D296))</f>
        <v/>
      </c>
      <c r="O296" s="68" t="str">
        <f>IF(ISERROR(PE_GERAL!$J$7*CAD_PROD!G296),"",PE_GERAL!$J$7*CAD_PROD!G296)</f>
        <v/>
      </c>
      <c r="P296" s="101" t="str">
        <f t="shared" si="14"/>
        <v/>
      </c>
      <c r="Q296" s="68" t="str">
        <f>IF(C296="","",IF(ISERROR(
CAD_PROD!E296*G296),"",CAD_PROD!E296*G296))</f>
        <v/>
      </c>
      <c r="R296" s="68" t="str">
        <f>IF(C296="","",IF(ISERROR(
CAD_PROD!E296*D296),"",CAD_PROD!E296*D296))</f>
        <v/>
      </c>
      <c r="S296" s="44" t="str">
        <f>IF(C296="","",IF(CAD_PROD!E296&gt;=P296,"Sim","Não"))</f>
        <v/>
      </c>
    </row>
    <row r="297" spans="1:19" ht="30" customHeight="1">
      <c r="A297" s="52">
        <f t="shared" si="12"/>
        <v>0</v>
      </c>
      <c r="B297" s="52">
        <f t="shared" si="13"/>
        <v>0</v>
      </c>
      <c r="C297" s="96" t="str">
        <f>IF(CAD_PROD!C297="","",CAD_PROD!C297)</f>
        <v/>
      </c>
      <c r="D297" s="75"/>
      <c r="E297" s="125"/>
      <c r="F297" s="125"/>
      <c r="G297" s="75"/>
      <c r="H297" s="75" t="str">
        <f>IF(C297="","",D297+CAD_PROD!D297*(E297+F297)+G297)</f>
        <v/>
      </c>
      <c r="I297" s="52">
        <v>9.9999999999999995E-7</v>
      </c>
      <c r="J297" s="68" t="str">
        <f>IF(ISERROR(
CAD_PROD!F297*E297),"",CAD_PROD!F297*E297)</f>
        <v/>
      </c>
      <c r="K297" s="68" t="str">
        <f>IF(ISERROR(
CAD_PROD!F297*F297),"",CAD_PROD!F297*F297)</f>
        <v/>
      </c>
      <c r="L297" s="68" t="str">
        <f>IF(ISERROR(
CAD_PROD!D297-H297),"",CAD_PROD!D297-H297)</f>
        <v/>
      </c>
      <c r="M297" s="57" t="str">
        <f>IF(ISERROR(
L297/CAD_PROD!D297),"",L297/CAD_PROD!D297)</f>
        <v/>
      </c>
      <c r="N297" s="68" t="str">
        <f>IF(ISERROR(
(P297*CAD_PROD!D297)),"",(P297*CAD_PROD!D297))</f>
        <v/>
      </c>
      <c r="O297" s="68" t="str">
        <f>IF(ISERROR(PE_GERAL!$J$7*CAD_PROD!G297),"",PE_GERAL!$J$7*CAD_PROD!G297)</f>
        <v/>
      </c>
      <c r="P297" s="101" t="str">
        <f t="shared" si="14"/>
        <v/>
      </c>
      <c r="Q297" s="68" t="str">
        <f>IF(C297="","",IF(ISERROR(
CAD_PROD!E297*G297),"",CAD_PROD!E297*G297))</f>
        <v/>
      </c>
      <c r="R297" s="68" t="str">
        <f>IF(C297="","",IF(ISERROR(
CAD_PROD!E297*D297),"",CAD_PROD!E297*D297))</f>
        <v/>
      </c>
      <c r="S297" s="44" t="str">
        <f>IF(C297="","",IF(CAD_PROD!E297&gt;=P297,"Sim","Não"))</f>
        <v/>
      </c>
    </row>
    <row r="298" spans="1:19" ht="30" customHeight="1">
      <c r="A298" s="52">
        <f t="shared" si="12"/>
        <v>0</v>
      </c>
      <c r="B298" s="52">
        <f t="shared" si="13"/>
        <v>0</v>
      </c>
      <c r="C298" s="96" t="str">
        <f>IF(CAD_PROD!C298="","",CAD_PROD!C298)</f>
        <v/>
      </c>
      <c r="D298" s="75"/>
      <c r="E298" s="125"/>
      <c r="F298" s="125"/>
      <c r="G298" s="75"/>
      <c r="H298" s="75" t="str">
        <f>IF(C298="","",D298+CAD_PROD!D298*(E298+F298)+G298)</f>
        <v/>
      </c>
      <c r="I298" s="52">
        <v>9.9999999999999995E-7</v>
      </c>
      <c r="J298" s="68" t="str">
        <f>IF(ISERROR(
CAD_PROD!F298*E298),"",CAD_PROD!F298*E298)</f>
        <v/>
      </c>
      <c r="K298" s="68" t="str">
        <f>IF(ISERROR(
CAD_PROD!F298*F298),"",CAD_PROD!F298*F298)</f>
        <v/>
      </c>
      <c r="L298" s="68" t="str">
        <f>IF(ISERROR(
CAD_PROD!D298-H298),"",CAD_PROD!D298-H298)</f>
        <v/>
      </c>
      <c r="M298" s="57" t="str">
        <f>IF(ISERROR(
L298/CAD_PROD!D298),"",L298/CAD_PROD!D298)</f>
        <v/>
      </c>
      <c r="N298" s="68" t="str">
        <f>IF(ISERROR(
(P298*CAD_PROD!D298)),"",(P298*CAD_PROD!D298))</f>
        <v/>
      </c>
      <c r="O298" s="68" t="str">
        <f>IF(ISERROR(PE_GERAL!$J$7*CAD_PROD!G298),"",PE_GERAL!$J$7*CAD_PROD!G298)</f>
        <v/>
      </c>
      <c r="P298" s="101" t="str">
        <f t="shared" si="14"/>
        <v/>
      </c>
      <c r="Q298" s="68" t="str">
        <f>IF(C298="","",IF(ISERROR(
CAD_PROD!E298*G298),"",CAD_PROD!E298*G298))</f>
        <v/>
      </c>
      <c r="R298" s="68" t="str">
        <f>IF(C298="","",IF(ISERROR(
CAD_PROD!E298*D298),"",CAD_PROD!E298*D298))</f>
        <v/>
      </c>
      <c r="S298" s="44" t="str">
        <f>IF(C298="","",IF(CAD_PROD!E298&gt;=P298,"Sim","Não"))</f>
        <v/>
      </c>
    </row>
    <row r="299" spans="1:19" ht="30" customHeight="1">
      <c r="A299" s="52">
        <f t="shared" si="12"/>
        <v>0</v>
      </c>
      <c r="B299" s="52">
        <f t="shared" si="13"/>
        <v>0</v>
      </c>
      <c r="C299" s="96" t="str">
        <f>IF(CAD_PROD!C299="","",CAD_PROD!C299)</f>
        <v/>
      </c>
      <c r="D299" s="75"/>
      <c r="E299" s="125"/>
      <c r="F299" s="125"/>
      <c r="G299" s="75"/>
      <c r="H299" s="75" t="str">
        <f>IF(C299="","",D299+CAD_PROD!D299*(E299+F299)+G299)</f>
        <v/>
      </c>
      <c r="I299" s="52">
        <v>9.9999999999999995E-7</v>
      </c>
      <c r="J299" s="68" t="str">
        <f>IF(ISERROR(
CAD_PROD!F299*E299),"",CAD_PROD!F299*E299)</f>
        <v/>
      </c>
      <c r="K299" s="68" t="str">
        <f>IF(ISERROR(
CAD_PROD!F299*F299),"",CAD_PROD!F299*F299)</f>
        <v/>
      </c>
      <c r="L299" s="68" t="str">
        <f>IF(ISERROR(
CAD_PROD!D299-H299),"",CAD_PROD!D299-H299)</f>
        <v/>
      </c>
      <c r="M299" s="57" t="str">
        <f>IF(ISERROR(
L299/CAD_PROD!D299),"",L299/CAD_PROD!D299)</f>
        <v/>
      </c>
      <c r="N299" s="68" t="str">
        <f>IF(ISERROR(
(P299*CAD_PROD!D299)),"",(P299*CAD_PROD!D299))</f>
        <v/>
      </c>
      <c r="O299" s="68" t="str">
        <f>IF(ISERROR(PE_GERAL!$J$7*CAD_PROD!G299),"",PE_GERAL!$J$7*CAD_PROD!G299)</f>
        <v/>
      </c>
      <c r="P299" s="101" t="str">
        <f t="shared" si="14"/>
        <v/>
      </c>
      <c r="Q299" s="68" t="str">
        <f>IF(C299="","",IF(ISERROR(
CAD_PROD!E299*G299),"",CAD_PROD!E299*G299))</f>
        <v/>
      </c>
      <c r="R299" s="68" t="str">
        <f>IF(C299="","",IF(ISERROR(
CAD_PROD!E299*D299),"",CAD_PROD!E299*D299))</f>
        <v/>
      </c>
      <c r="S299" s="44" t="str">
        <f>IF(C299="","",IF(CAD_PROD!E299&gt;=P299,"Sim","Não"))</f>
        <v/>
      </c>
    </row>
    <row r="300" spans="1:19" ht="30" customHeight="1">
      <c r="A300" s="52">
        <f t="shared" si="12"/>
        <v>0</v>
      </c>
      <c r="B300" s="52">
        <f t="shared" si="13"/>
        <v>0</v>
      </c>
      <c r="C300" s="96" t="str">
        <f>IF(CAD_PROD!C300="","",CAD_PROD!C300)</f>
        <v/>
      </c>
      <c r="D300" s="75"/>
      <c r="E300" s="125"/>
      <c r="F300" s="125"/>
      <c r="G300" s="75"/>
      <c r="H300" s="75" t="str">
        <f>IF(C300="","",D300+CAD_PROD!D300*(E300+F300)+G300)</f>
        <v/>
      </c>
      <c r="I300" s="52">
        <v>9.9999999999999995E-7</v>
      </c>
      <c r="J300" s="68" t="str">
        <f>IF(ISERROR(
CAD_PROD!F300*E300),"",CAD_PROD!F300*E300)</f>
        <v/>
      </c>
      <c r="K300" s="68" t="str">
        <f>IF(ISERROR(
CAD_PROD!F300*F300),"",CAD_PROD!F300*F300)</f>
        <v/>
      </c>
      <c r="L300" s="68" t="str">
        <f>IF(ISERROR(
CAD_PROD!D300-H300),"",CAD_PROD!D300-H300)</f>
        <v/>
      </c>
      <c r="M300" s="57" t="str">
        <f>IF(ISERROR(
L300/CAD_PROD!D300),"",L300/CAD_PROD!D300)</f>
        <v/>
      </c>
      <c r="N300" s="68" t="str">
        <f>IF(ISERROR(
(P300*CAD_PROD!D300)),"",(P300*CAD_PROD!D300))</f>
        <v/>
      </c>
      <c r="O300" s="68" t="str">
        <f>IF(ISERROR(PE_GERAL!$J$7*CAD_PROD!G300),"",PE_GERAL!$J$7*CAD_PROD!G300)</f>
        <v/>
      </c>
      <c r="P300" s="101" t="str">
        <f t="shared" si="14"/>
        <v/>
      </c>
      <c r="Q300" s="68" t="str">
        <f>IF(C300="","",IF(ISERROR(
CAD_PROD!E300*G300),"",CAD_PROD!E300*G300))</f>
        <v/>
      </c>
      <c r="R300" s="68" t="str">
        <f>IF(C300="","",IF(ISERROR(
CAD_PROD!E300*D300),"",CAD_PROD!E300*D300))</f>
        <v/>
      </c>
      <c r="S300" s="44" t="str">
        <f>IF(C300="","",IF(CAD_PROD!E300&gt;=P300,"Sim","Não"))</f>
        <v/>
      </c>
    </row>
    <row r="301" spans="1:19" ht="30" customHeight="1">
      <c r="A301" s="52">
        <f t="shared" si="12"/>
        <v>0</v>
      </c>
      <c r="B301" s="52">
        <f t="shared" si="13"/>
        <v>0</v>
      </c>
      <c r="C301" s="96" t="str">
        <f>IF(CAD_PROD!C301="","",CAD_PROD!C301)</f>
        <v/>
      </c>
      <c r="D301" s="75"/>
      <c r="E301" s="125"/>
      <c r="F301" s="125"/>
      <c r="G301" s="75"/>
      <c r="H301" s="75" t="str">
        <f>IF(C301="","",D301+CAD_PROD!D301*(E301+F301)+G301)</f>
        <v/>
      </c>
      <c r="I301" s="52">
        <v>9.9999999999999995E-7</v>
      </c>
      <c r="J301" s="68" t="str">
        <f>IF(ISERROR(
CAD_PROD!F301*E301),"",CAD_PROD!F301*E301)</f>
        <v/>
      </c>
      <c r="K301" s="68" t="str">
        <f>IF(ISERROR(
CAD_PROD!F301*F301),"",CAD_PROD!F301*F301)</f>
        <v/>
      </c>
      <c r="L301" s="68" t="str">
        <f>IF(ISERROR(
CAD_PROD!D301-H301),"",CAD_PROD!D301-H301)</f>
        <v/>
      </c>
      <c r="M301" s="57" t="str">
        <f>IF(ISERROR(
L301/CAD_PROD!D301),"",L301/CAD_PROD!D301)</f>
        <v/>
      </c>
      <c r="N301" s="68" t="str">
        <f>IF(ISERROR(
(P301*CAD_PROD!D301)),"",(P301*CAD_PROD!D301))</f>
        <v/>
      </c>
      <c r="O301" s="68" t="str">
        <f>IF(ISERROR(PE_GERAL!$J$7*CAD_PROD!G301),"",PE_GERAL!$J$7*CAD_PROD!G301)</f>
        <v/>
      </c>
      <c r="P301" s="101" t="str">
        <f t="shared" si="14"/>
        <v/>
      </c>
      <c r="Q301" s="68" t="str">
        <f>IF(C301="","",IF(ISERROR(
CAD_PROD!E301*G301),"",CAD_PROD!E301*G301))</f>
        <v/>
      </c>
      <c r="R301" s="68" t="str">
        <f>IF(C301="","",IF(ISERROR(
CAD_PROD!E301*D301),"",CAD_PROD!E301*D301))</f>
        <v/>
      </c>
      <c r="S301" s="44" t="str">
        <f>IF(C301="","",IF(CAD_PROD!E301&gt;=P301,"Sim","Não"))</f>
        <v/>
      </c>
    </row>
    <row r="302" spans="1:19" ht="30" customHeight="1">
      <c r="A302" s="52">
        <f t="shared" si="12"/>
        <v>0</v>
      </c>
      <c r="B302" s="52">
        <f t="shared" si="13"/>
        <v>0</v>
      </c>
      <c r="C302" s="96" t="str">
        <f>IF(CAD_PROD!C302="","",CAD_PROD!C302)</f>
        <v/>
      </c>
      <c r="D302" s="75"/>
      <c r="E302" s="125"/>
      <c r="F302" s="125"/>
      <c r="G302" s="75"/>
      <c r="H302" s="75" t="str">
        <f>IF(C302="","",D302+CAD_PROD!D302*(E302+F302)+G302)</f>
        <v/>
      </c>
      <c r="I302" s="52">
        <v>9.9999999999999995E-7</v>
      </c>
      <c r="J302" s="68" t="str">
        <f>IF(ISERROR(
CAD_PROD!F302*E302),"",CAD_PROD!F302*E302)</f>
        <v/>
      </c>
      <c r="K302" s="68" t="str">
        <f>IF(ISERROR(
CAD_PROD!F302*F302),"",CAD_PROD!F302*F302)</f>
        <v/>
      </c>
      <c r="L302" s="68" t="str">
        <f>IF(ISERROR(
CAD_PROD!D302-H302),"",CAD_PROD!D302-H302)</f>
        <v/>
      </c>
      <c r="M302" s="57" t="str">
        <f>IF(ISERROR(
L302/CAD_PROD!D302),"",L302/CAD_PROD!D302)</f>
        <v/>
      </c>
      <c r="N302" s="68" t="str">
        <f>IF(ISERROR(
(P302*CAD_PROD!D302)),"",(P302*CAD_PROD!D302))</f>
        <v/>
      </c>
      <c r="O302" s="68" t="str">
        <f>IF(ISERROR(PE_GERAL!$J$7*CAD_PROD!G302),"",PE_GERAL!$J$7*CAD_PROD!G302)</f>
        <v/>
      </c>
      <c r="P302" s="101" t="str">
        <f t="shared" si="14"/>
        <v/>
      </c>
      <c r="Q302" s="68" t="str">
        <f>IF(C302="","",IF(ISERROR(
CAD_PROD!E302*G302),"",CAD_PROD!E302*G302))</f>
        <v/>
      </c>
      <c r="R302" s="68" t="str">
        <f>IF(C302="","",IF(ISERROR(
CAD_PROD!E302*D302),"",CAD_PROD!E302*D302))</f>
        <v/>
      </c>
      <c r="S302" s="44" t="str">
        <f>IF(C302="","",IF(CAD_PROD!E302&gt;=P302,"Sim","Não"))</f>
        <v/>
      </c>
    </row>
    <row r="303" spans="1:19" ht="30" customHeight="1">
      <c r="A303" s="52">
        <f t="shared" si="12"/>
        <v>0</v>
      </c>
      <c r="B303" s="52">
        <f t="shared" si="13"/>
        <v>0</v>
      </c>
      <c r="C303" s="96" t="str">
        <f>IF(CAD_PROD!C303="","",CAD_PROD!C303)</f>
        <v/>
      </c>
      <c r="D303" s="75"/>
      <c r="E303" s="125"/>
      <c r="F303" s="125"/>
      <c r="G303" s="75"/>
      <c r="H303" s="75" t="str">
        <f>IF(C303="","",D303+CAD_PROD!D303*(E303+F303)+G303)</f>
        <v/>
      </c>
      <c r="I303" s="52">
        <v>9.9999999999999995E-7</v>
      </c>
      <c r="J303" s="68" t="str">
        <f>IF(ISERROR(
CAD_PROD!F303*E303),"",CAD_PROD!F303*E303)</f>
        <v/>
      </c>
      <c r="K303" s="68" t="str">
        <f>IF(ISERROR(
CAD_PROD!F303*F303),"",CAD_PROD!F303*F303)</f>
        <v/>
      </c>
      <c r="L303" s="68" t="str">
        <f>IF(ISERROR(
CAD_PROD!D303-H303),"",CAD_PROD!D303-H303)</f>
        <v/>
      </c>
      <c r="M303" s="57" t="str">
        <f>IF(ISERROR(
L303/CAD_PROD!D303),"",L303/CAD_PROD!D303)</f>
        <v/>
      </c>
      <c r="N303" s="68" t="str">
        <f>IF(ISERROR(
(P303*CAD_PROD!D303)),"",(P303*CAD_PROD!D303))</f>
        <v/>
      </c>
      <c r="O303" s="68" t="str">
        <f>IF(ISERROR(PE_GERAL!$J$7*CAD_PROD!G303),"",PE_GERAL!$J$7*CAD_PROD!G303)</f>
        <v/>
      </c>
      <c r="P303" s="101" t="str">
        <f t="shared" si="14"/>
        <v/>
      </c>
      <c r="Q303" s="68" t="str">
        <f>IF(C303="","",IF(ISERROR(
CAD_PROD!E303*G303),"",CAD_PROD!E303*G303))</f>
        <v/>
      </c>
      <c r="R303" s="68" t="str">
        <f>IF(C303="","",IF(ISERROR(
CAD_PROD!E303*D303),"",CAD_PROD!E303*D303))</f>
        <v/>
      </c>
      <c r="S303" s="44" t="str">
        <f>IF(C303="","",IF(CAD_PROD!E303&gt;=P303,"Sim","Não"))</f>
        <v/>
      </c>
    </row>
    <row r="304" spans="1:19" ht="30" customHeight="1">
      <c r="A304" s="52">
        <f t="shared" si="12"/>
        <v>0</v>
      </c>
      <c r="B304" s="52">
        <f t="shared" si="13"/>
        <v>0</v>
      </c>
      <c r="C304" s="96" t="str">
        <f>IF(CAD_PROD!C304="","",CAD_PROD!C304)</f>
        <v/>
      </c>
      <c r="D304" s="75"/>
      <c r="E304" s="125"/>
      <c r="F304" s="125"/>
      <c r="G304" s="75"/>
      <c r="H304" s="75" t="str">
        <f>IF(C304="","",D304+CAD_PROD!D304*(E304+F304)+G304)</f>
        <v/>
      </c>
      <c r="I304" s="52">
        <v>9.9999999999999995E-7</v>
      </c>
      <c r="J304" s="68" t="str">
        <f>IF(ISERROR(
CAD_PROD!F304*E304),"",CAD_PROD!F304*E304)</f>
        <v/>
      </c>
      <c r="K304" s="68" t="str">
        <f>IF(ISERROR(
CAD_PROD!F304*F304),"",CAD_PROD!F304*F304)</f>
        <v/>
      </c>
      <c r="L304" s="68" t="str">
        <f>IF(ISERROR(
CAD_PROD!D304-H304),"",CAD_PROD!D304-H304)</f>
        <v/>
      </c>
      <c r="M304" s="57" t="str">
        <f>IF(ISERROR(
L304/CAD_PROD!D304),"",L304/CAD_PROD!D304)</f>
        <v/>
      </c>
      <c r="N304" s="68" t="str">
        <f>IF(ISERROR(
(P304*CAD_PROD!D304)),"",(P304*CAD_PROD!D304))</f>
        <v/>
      </c>
      <c r="O304" s="68" t="str">
        <f>IF(ISERROR(PE_GERAL!$J$7*CAD_PROD!G304),"",PE_GERAL!$J$7*CAD_PROD!G304)</f>
        <v/>
      </c>
      <c r="P304" s="101" t="str">
        <f t="shared" si="14"/>
        <v/>
      </c>
      <c r="Q304" s="68" t="str">
        <f>IF(C304="","",IF(ISERROR(
CAD_PROD!E304*G304),"",CAD_PROD!E304*G304))</f>
        <v/>
      </c>
      <c r="R304" s="68" t="str">
        <f>IF(C304="","",IF(ISERROR(
CAD_PROD!E304*D304),"",CAD_PROD!E304*D304))</f>
        <v/>
      </c>
      <c r="S304" s="44" t="str">
        <f>IF(C304="","",IF(CAD_PROD!E304&gt;=P304,"Sim","Não"))</f>
        <v/>
      </c>
    </row>
    <row r="305" spans="1:19" ht="30" customHeight="1">
      <c r="A305" s="52">
        <f t="shared" si="12"/>
        <v>0</v>
      </c>
      <c r="B305" s="52">
        <f t="shared" si="13"/>
        <v>0</v>
      </c>
      <c r="C305" s="96" t="str">
        <f>IF(CAD_PROD!C305="","",CAD_PROD!C305)</f>
        <v/>
      </c>
      <c r="D305" s="75"/>
      <c r="E305" s="125"/>
      <c r="F305" s="125"/>
      <c r="G305" s="75"/>
      <c r="H305" s="75" t="str">
        <f>IF(C305="","",D305+CAD_PROD!D305*(E305+F305)+G305)</f>
        <v/>
      </c>
      <c r="I305" s="52">
        <v>9.9999999999999995E-7</v>
      </c>
      <c r="J305" s="68" t="str">
        <f>IF(ISERROR(
CAD_PROD!F305*E305),"",CAD_PROD!F305*E305)</f>
        <v/>
      </c>
      <c r="K305" s="68" t="str">
        <f>IF(ISERROR(
CAD_PROD!F305*F305),"",CAD_PROD!F305*F305)</f>
        <v/>
      </c>
      <c r="L305" s="68" t="str">
        <f>IF(ISERROR(
CAD_PROD!D305-H305),"",CAD_PROD!D305-H305)</f>
        <v/>
      </c>
      <c r="M305" s="57" t="str">
        <f>IF(ISERROR(
L305/CAD_PROD!D305),"",L305/CAD_PROD!D305)</f>
        <v/>
      </c>
      <c r="N305" s="68" t="str">
        <f>IF(ISERROR(
(P305*CAD_PROD!D305)),"",(P305*CAD_PROD!D305))</f>
        <v/>
      </c>
      <c r="O305" s="68" t="str">
        <f>IF(ISERROR(PE_GERAL!$J$7*CAD_PROD!G305),"",PE_GERAL!$J$7*CAD_PROD!G305)</f>
        <v/>
      </c>
      <c r="P305" s="101" t="str">
        <f t="shared" si="14"/>
        <v/>
      </c>
      <c r="Q305" s="68" t="str">
        <f>IF(C305="","",IF(ISERROR(
CAD_PROD!E305*G305),"",CAD_PROD!E305*G305))</f>
        <v/>
      </c>
      <c r="R305" s="68" t="str">
        <f>IF(C305="","",IF(ISERROR(
CAD_PROD!E305*D305),"",CAD_PROD!E305*D305))</f>
        <v/>
      </c>
      <c r="S305" s="44" t="str">
        <f>IF(C305="","",IF(CAD_PROD!E305&gt;=P305,"Sim","Não"))</f>
        <v/>
      </c>
    </row>
    <row r="306" spans="1:19" ht="30" customHeight="1">
      <c r="A306" s="52">
        <f t="shared" si="12"/>
        <v>0</v>
      </c>
      <c r="B306" s="52">
        <f t="shared" si="13"/>
        <v>0</v>
      </c>
      <c r="C306" s="96" t="str">
        <f>IF(CAD_PROD!C306="","",CAD_PROD!C306)</f>
        <v/>
      </c>
      <c r="D306" s="75"/>
      <c r="E306" s="125"/>
      <c r="F306" s="125"/>
      <c r="G306" s="75"/>
      <c r="H306" s="75" t="str">
        <f>IF(C306="","",D306+CAD_PROD!D306*(E306+F306)+G306)</f>
        <v/>
      </c>
      <c r="I306" s="52">
        <v>9.9999999999999995E-7</v>
      </c>
      <c r="J306" s="68" t="str">
        <f>IF(ISERROR(
CAD_PROD!F306*E306),"",CAD_PROD!F306*E306)</f>
        <v/>
      </c>
      <c r="K306" s="68" t="str">
        <f>IF(ISERROR(
CAD_PROD!F306*F306),"",CAD_PROD!F306*F306)</f>
        <v/>
      </c>
      <c r="L306" s="68" t="str">
        <f>IF(ISERROR(
CAD_PROD!D306-H306),"",CAD_PROD!D306-H306)</f>
        <v/>
      </c>
      <c r="M306" s="57" t="str">
        <f>IF(ISERROR(
L306/CAD_PROD!D306),"",L306/CAD_PROD!D306)</f>
        <v/>
      </c>
      <c r="N306" s="68" t="str">
        <f>IF(ISERROR(
(P306*CAD_PROD!D306)),"",(P306*CAD_PROD!D306))</f>
        <v/>
      </c>
      <c r="O306" s="68" t="str">
        <f>IF(ISERROR(PE_GERAL!$J$7*CAD_PROD!G306),"",PE_GERAL!$J$7*CAD_PROD!G306)</f>
        <v/>
      </c>
      <c r="P306" s="101" t="str">
        <f t="shared" si="14"/>
        <v/>
      </c>
      <c r="Q306" s="68" t="str">
        <f>IF(C306="","",IF(ISERROR(
CAD_PROD!E306*G306),"",CAD_PROD!E306*G306))</f>
        <v/>
      </c>
      <c r="R306" s="68" t="str">
        <f>IF(C306="","",IF(ISERROR(
CAD_PROD!E306*D306),"",CAD_PROD!E306*D306))</f>
        <v/>
      </c>
      <c r="S306" s="44" t="str">
        <f>IF(C306="","",IF(CAD_PROD!E306&gt;=P306,"Sim","Não"))</f>
        <v/>
      </c>
    </row>
    <row r="307" spans="1:19" ht="30" customHeight="1">
      <c r="A307" s="52">
        <f t="shared" si="12"/>
        <v>0</v>
      </c>
      <c r="B307" s="52">
        <f t="shared" si="13"/>
        <v>0</v>
      </c>
      <c r="C307" s="96" t="str">
        <f>IF(CAD_PROD!C307="","",CAD_PROD!C307)</f>
        <v/>
      </c>
      <c r="D307" s="75"/>
      <c r="E307" s="125"/>
      <c r="F307" s="125"/>
      <c r="G307" s="75"/>
      <c r="H307" s="75" t="str">
        <f>IF(C307="","",D307+CAD_PROD!D307*(E307+F307)+G307)</f>
        <v/>
      </c>
      <c r="I307" s="52">
        <v>9.9999999999999995E-7</v>
      </c>
      <c r="J307" s="68" t="str">
        <f>IF(ISERROR(
CAD_PROD!F307*E307),"",CAD_PROD!F307*E307)</f>
        <v/>
      </c>
      <c r="K307" s="68" t="str">
        <f>IF(ISERROR(
CAD_PROD!F307*F307),"",CAD_PROD!F307*F307)</f>
        <v/>
      </c>
      <c r="L307" s="68" t="str">
        <f>IF(ISERROR(
CAD_PROD!D307-H307),"",CAD_PROD!D307-H307)</f>
        <v/>
      </c>
      <c r="M307" s="57" t="str">
        <f>IF(ISERROR(
L307/CAD_PROD!D307),"",L307/CAD_PROD!D307)</f>
        <v/>
      </c>
      <c r="N307" s="68" t="str">
        <f>IF(ISERROR(
(P307*CAD_PROD!D307)),"",(P307*CAD_PROD!D307))</f>
        <v/>
      </c>
      <c r="O307" s="68" t="str">
        <f>IF(ISERROR(PE_GERAL!$J$7*CAD_PROD!G307),"",PE_GERAL!$J$7*CAD_PROD!G307)</f>
        <v/>
      </c>
      <c r="P307" s="101" t="str">
        <f t="shared" si="14"/>
        <v/>
      </c>
      <c r="Q307" s="68" t="str">
        <f>IF(C307="","",IF(ISERROR(
CAD_PROD!E307*G307),"",CAD_PROD!E307*G307))</f>
        <v/>
      </c>
      <c r="R307" s="68" t="str">
        <f>IF(C307="","",IF(ISERROR(
CAD_PROD!E307*D307),"",CAD_PROD!E307*D307))</f>
        <v/>
      </c>
      <c r="S307" s="44" t="str">
        <f>IF(C307="","",IF(CAD_PROD!E307&gt;=P307,"Sim","Não"))</f>
        <v/>
      </c>
    </row>
    <row r="308" spans="1:19" ht="30" customHeight="1">
      <c r="A308" s="52">
        <f t="shared" si="12"/>
        <v>0</v>
      </c>
      <c r="B308" s="52">
        <f t="shared" si="13"/>
        <v>0</v>
      </c>
      <c r="C308" s="96" t="str">
        <f>IF(CAD_PROD!C308="","",CAD_PROD!C308)</f>
        <v/>
      </c>
      <c r="D308" s="75"/>
      <c r="E308" s="125"/>
      <c r="F308" s="125"/>
      <c r="G308" s="75"/>
      <c r="H308" s="75" t="str">
        <f>IF(C308="","",D308+CAD_PROD!D308*(E308+F308)+G308)</f>
        <v/>
      </c>
      <c r="I308" s="52">
        <v>9.9999999999999995E-7</v>
      </c>
      <c r="J308" s="68" t="str">
        <f>IF(ISERROR(
CAD_PROD!F308*E308),"",CAD_PROD!F308*E308)</f>
        <v/>
      </c>
      <c r="K308" s="68" t="str">
        <f>IF(ISERROR(
CAD_PROD!F308*F308),"",CAD_PROD!F308*F308)</f>
        <v/>
      </c>
      <c r="L308" s="68" t="str">
        <f>IF(ISERROR(
CAD_PROD!D308-H308),"",CAD_PROD!D308-H308)</f>
        <v/>
      </c>
      <c r="M308" s="57" t="str">
        <f>IF(ISERROR(
L308/CAD_PROD!D308),"",L308/CAD_PROD!D308)</f>
        <v/>
      </c>
      <c r="N308" s="68" t="str">
        <f>IF(ISERROR(
(P308*CAD_PROD!D308)),"",(P308*CAD_PROD!D308))</f>
        <v/>
      </c>
      <c r="O308" s="68" t="str">
        <f>IF(ISERROR(PE_GERAL!$J$7*CAD_PROD!G308),"",PE_GERAL!$J$7*CAD_PROD!G308)</f>
        <v/>
      </c>
      <c r="P308" s="101" t="str">
        <f t="shared" si="14"/>
        <v/>
      </c>
      <c r="Q308" s="68" t="str">
        <f>IF(C308="","",IF(ISERROR(
CAD_PROD!E308*G308),"",CAD_PROD!E308*G308))</f>
        <v/>
      </c>
      <c r="R308" s="68" t="str">
        <f>IF(C308="","",IF(ISERROR(
CAD_PROD!E308*D308),"",CAD_PROD!E308*D308))</f>
        <v/>
      </c>
      <c r="S308" s="44" t="str">
        <f>IF(C308="","",IF(CAD_PROD!E308&gt;=P308,"Sim","Não"))</f>
        <v/>
      </c>
    </row>
    <row r="309" spans="1:19" ht="30" customHeight="1">
      <c r="A309" s="52">
        <f t="shared" si="12"/>
        <v>0</v>
      </c>
      <c r="B309" s="52">
        <f t="shared" si="13"/>
        <v>0</v>
      </c>
      <c r="C309" s="96" t="str">
        <f>IF(CAD_PROD!C309="","",CAD_PROD!C309)</f>
        <v/>
      </c>
      <c r="D309" s="75"/>
      <c r="E309" s="125"/>
      <c r="F309" s="125"/>
      <c r="G309" s="75"/>
      <c r="H309" s="75" t="str">
        <f>IF(C309="","",D309+CAD_PROD!D309*(E309+F309)+G309)</f>
        <v/>
      </c>
      <c r="I309" s="52">
        <v>9.9999999999999995E-7</v>
      </c>
      <c r="J309" s="68" t="str">
        <f>IF(ISERROR(
CAD_PROD!F309*E309),"",CAD_PROD!F309*E309)</f>
        <v/>
      </c>
      <c r="K309" s="68" t="str">
        <f>IF(ISERROR(
CAD_PROD!F309*F309),"",CAD_PROD!F309*F309)</f>
        <v/>
      </c>
      <c r="L309" s="68" t="str">
        <f>IF(ISERROR(
CAD_PROD!D309-H309),"",CAD_PROD!D309-H309)</f>
        <v/>
      </c>
      <c r="M309" s="57" t="str">
        <f>IF(ISERROR(
L309/CAD_PROD!D309),"",L309/CAD_PROD!D309)</f>
        <v/>
      </c>
      <c r="N309" s="68" t="str">
        <f>IF(ISERROR(
(P309*CAD_PROD!D309)),"",(P309*CAD_PROD!D309))</f>
        <v/>
      </c>
      <c r="O309" s="68" t="str">
        <f>IF(ISERROR(PE_GERAL!$J$7*CAD_PROD!G309),"",PE_GERAL!$J$7*CAD_PROD!G309)</f>
        <v/>
      </c>
      <c r="P309" s="101" t="str">
        <f t="shared" si="14"/>
        <v/>
      </c>
      <c r="Q309" s="68" t="str">
        <f>IF(C309="","",IF(ISERROR(
CAD_PROD!E309*G309),"",CAD_PROD!E309*G309))</f>
        <v/>
      </c>
      <c r="R309" s="68" t="str">
        <f>IF(C309="","",IF(ISERROR(
CAD_PROD!E309*D309),"",CAD_PROD!E309*D309))</f>
        <v/>
      </c>
      <c r="S309" s="44" t="str">
        <f>IF(C309="","",IF(CAD_PROD!E309&gt;=P309,"Sim","Não"))</f>
        <v/>
      </c>
    </row>
    <row r="310" spans="1:19" ht="30" customHeight="1">
      <c r="A310" s="52">
        <f t="shared" si="12"/>
        <v>0</v>
      </c>
      <c r="B310" s="52">
        <f t="shared" si="13"/>
        <v>0</v>
      </c>
      <c r="C310" s="96" t="str">
        <f>IF(CAD_PROD!C310="","",CAD_PROD!C310)</f>
        <v/>
      </c>
      <c r="D310" s="75"/>
      <c r="E310" s="125"/>
      <c r="F310" s="125"/>
      <c r="G310" s="75"/>
      <c r="H310" s="75" t="str">
        <f>IF(C310="","",D310+CAD_PROD!D310*(E310+F310)+G310)</f>
        <v/>
      </c>
      <c r="I310" s="52">
        <v>9.9999999999999995E-7</v>
      </c>
      <c r="J310" s="68" t="str">
        <f>IF(ISERROR(
CAD_PROD!F310*E310),"",CAD_PROD!F310*E310)</f>
        <v/>
      </c>
      <c r="K310" s="68" t="str">
        <f>IF(ISERROR(
CAD_PROD!F310*F310),"",CAD_PROD!F310*F310)</f>
        <v/>
      </c>
      <c r="L310" s="68" t="str">
        <f>IF(ISERROR(
CAD_PROD!D310-H310),"",CAD_PROD!D310-H310)</f>
        <v/>
      </c>
      <c r="M310" s="57" t="str">
        <f>IF(ISERROR(
L310/CAD_PROD!D310),"",L310/CAD_PROD!D310)</f>
        <v/>
      </c>
      <c r="N310" s="68" t="str">
        <f>IF(ISERROR(
(P310*CAD_PROD!D310)),"",(P310*CAD_PROD!D310))</f>
        <v/>
      </c>
      <c r="O310" s="68" t="str">
        <f>IF(ISERROR(PE_GERAL!$J$7*CAD_PROD!G310),"",PE_GERAL!$J$7*CAD_PROD!G310)</f>
        <v/>
      </c>
      <c r="P310" s="101" t="str">
        <f t="shared" si="14"/>
        <v/>
      </c>
      <c r="Q310" s="68" t="str">
        <f>IF(C310="","",IF(ISERROR(
CAD_PROD!E310*G310),"",CAD_PROD!E310*G310))</f>
        <v/>
      </c>
      <c r="R310" s="68" t="str">
        <f>IF(C310="","",IF(ISERROR(
CAD_PROD!E310*D310),"",CAD_PROD!E310*D310))</f>
        <v/>
      </c>
      <c r="S310" s="44" t="str">
        <f>IF(C310="","",IF(CAD_PROD!E310&gt;=P310,"Sim","Não"))</f>
        <v/>
      </c>
    </row>
    <row r="311" spans="1:19" ht="30" customHeight="1">
      <c r="A311" s="52">
        <f t="shared" si="12"/>
        <v>0</v>
      </c>
      <c r="B311" s="52">
        <f t="shared" si="13"/>
        <v>0</v>
      </c>
      <c r="C311" s="96" t="str">
        <f>IF(CAD_PROD!C311="","",CAD_PROD!C311)</f>
        <v/>
      </c>
      <c r="D311" s="75"/>
      <c r="E311" s="125"/>
      <c r="F311" s="125"/>
      <c r="G311" s="75"/>
      <c r="H311" s="75" t="str">
        <f>IF(C311="","",D311+CAD_PROD!D311*(E311+F311)+G311)</f>
        <v/>
      </c>
      <c r="I311" s="52">
        <v>9.9999999999999995E-7</v>
      </c>
      <c r="J311" s="68" t="str">
        <f>IF(ISERROR(
CAD_PROD!F311*E311),"",CAD_PROD!F311*E311)</f>
        <v/>
      </c>
      <c r="K311" s="68" t="str">
        <f>IF(ISERROR(
CAD_PROD!F311*F311),"",CAD_PROD!F311*F311)</f>
        <v/>
      </c>
      <c r="L311" s="68" t="str">
        <f>IF(ISERROR(
CAD_PROD!D311-H311),"",CAD_PROD!D311-H311)</f>
        <v/>
      </c>
      <c r="M311" s="57" t="str">
        <f>IF(ISERROR(
L311/CAD_PROD!D311),"",L311/CAD_PROD!D311)</f>
        <v/>
      </c>
      <c r="N311" s="68" t="str">
        <f>IF(ISERROR(
(P311*CAD_PROD!D311)),"",(P311*CAD_PROD!D311))</f>
        <v/>
      </c>
      <c r="O311" s="68" t="str">
        <f>IF(ISERROR(PE_GERAL!$J$7*CAD_PROD!G311),"",PE_GERAL!$J$7*CAD_PROD!G311)</f>
        <v/>
      </c>
      <c r="P311" s="101" t="str">
        <f t="shared" si="14"/>
        <v/>
      </c>
      <c r="Q311" s="68" t="str">
        <f>IF(C311="","",IF(ISERROR(
CAD_PROD!E311*G311),"",CAD_PROD!E311*G311))</f>
        <v/>
      </c>
      <c r="R311" s="68" t="str">
        <f>IF(C311="","",IF(ISERROR(
CAD_PROD!E311*D311),"",CAD_PROD!E311*D311))</f>
        <v/>
      </c>
      <c r="S311" s="44" t="str">
        <f>IF(C311="","",IF(CAD_PROD!E311&gt;=P311,"Sim","Não"))</f>
        <v/>
      </c>
    </row>
    <row r="312" spans="1:19" ht="30" customHeight="1">
      <c r="A312" s="52">
        <f t="shared" si="12"/>
        <v>0</v>
      </c>
      <c r="B312" s="52">
        <f t="shared" si="13"/>
        <v>0</v>
      </c>
      <c r="C312" s="96" t="str">
        <f>IF(CAD_PROD!C312="","",CAD_PROD!C312)</f>
        <v/>
      </c>
      <c r="D312" s="75"/>
      <c r="E312" s="125"/>
      <c r="F312" s="125"/>
      <c r="G312" s="75"/>
      <c r="H312" s="75" t="str">
        <f>IF(C312="","",D312+CAD_PROD!D312*(E312+F312)+G312)</f>
        <v/>
      </c>
      <c r="I312" s="52">
        <v>9.9999999999999995E-7</v>
      </c>
      <c r="J312" s="68" t="str">
        <f>IF(ISERROR(
CAD_PROD!F312*E312),"",CAD_PROD!F312*E312)</f>
        <v/>
      </c>
      <c r="K312" s="68" t="str">
        <f>IF(ISERROR(
CAD_PROD!F312*F312),"",CAD_PROD!F312*F312)</f>
        <v/>
      </c>
      <c r="L312" s="68" t="str">
        <f>IF(ISERROR(
CAD_PROD!D312-H312),"",CAD_PROD!D312-H312)</f>
        <v/>
      </c>
      <c r="M312" s="57" t="str">
        <f>IF(ISERROR(
L312/CAD_PROD!D312),"",L312/CAD_PROD!D312)</f>
        <v/>
      </c>
      <c r="N312" s="68" t="str">
        <f>IF(ISERROR(
(P312*CAD_PROD!D312)),"",(P312*CAD_PROD!D312))</f>
        <v/>
      </c>
      <c r="O312" s="68" t="str">
        <f>IF(ISERROR(PE_GERAL!$J$7*CAD_PROD!G312),"",PE_GERAL!$J$7*CAD_PROD!G312)</f>
        <v/>
      </c>
      <c r="P312" s="101" t="str">
        <f t="shared" si="14"/>
        <v/>
      </c>
      <c r="Q312" s="68" t="str">
        <f>IF(C312="","",IF(ISERROR(
CAD_PROD!E312*G312),"",CAD_PROD!E312*G312))</f>
        <v/>
      </c>
      <c r="R312" s="68" t="str">
        <f>IF(C312="","",IF(ISERROR(
CAD_PROD!E312*D312),"",CAD_PROD!E312*D312))</f>
        <v/>
      </c>
      <c r="S312" s="44" t="str">
        <f>IF(C312="","",IF(CAD_PROD!E312&gt;=P312,"Sim","Não"))</f>
        <v/>
      </c>
    </row>
    <row r="313" spans="1:19" ht="30" customHeight="1">
      <c r="A313" s="52">
        <f t="shared" si="12"/>
        <v>0</v>
      </c>
      <c r="B313" s="52">
        <f t="shared" si="13"/>
        <v>0</v>
      </c>
      <c r="C313" s="96" t="str">
        <f>IF(CAD_PROD!C313="","",CAD_PROD!C313)</f>
        <v/>
      </c>
      <c r="D313" s="75"/>
      <c r="E313" s="125"/>
      <c r="F313" s="125"/>
      <c r="G313" s="75"/>
      <c r="H313" s="75" t="str">
        <f>IF(C313="","",D313+CAD_PROD!D313*(E313+F313)+G313)</f>
        <v/>
      </c>
      <c r="I313" s="52">
        <v>9.9999999999999995E-7</v>
      </c>
      <c r="J313" s="68" t="str">
        <f>IF(ISERROR(
CAD_PROD!F313*E313),"",CAD_PROD!F313*E313)</f>
        <v/>
      </c>
      <c r="K313" s="68" t="str">
        <f>IF(ISERROR(
CAD_PROD!F313*F313),"",CAD_PROD!F313*F313)</f>
        <v/>
      </c>
      <c r="L313" s="68" t="str">
        <f>IF(ISERROR(
CAD_PROD!D313-H313),"",CAD_PROD!D313-H313)</f>
        <v/>
      </c>
      <c r="M313" s="57" t="str">
        <f>IF(ISERROR(
L313/CAD_PROD!D313),"",L313/CAD_PROD!D313)</f>
        <v/>
      </c>
      <c r="N313" s="68" t="str">
        <f>IF(ISERROR(
(P313*CAD_PROD!D313)),"",(P313*CAD_PROD!D313))</f>
        <v/>
      </c>
      <c r="O313" s="68" t="str">
        <f>IF(ISERROR(PE_GERAL!$J$7*CAD_PROD!G313),"",PE_GERAL!$J$7*CAD_PROD!G313)</f>
        <v/>
      </c>
      <c r="P313" s="101" t="str">
        <f t="shared" si="14"/>
        <v/>
      </c>
      <c r="Q313" s="68" t="str">
        <f>IF(C313="","",IF(ISERROR(
CAD_PROD!E313*G313),"",CAD_PROD!E313*G313))</f>
        <v/>
      </c>
      <c r="R313" s="68" t="str">
        <f>IF(C313="","",IF(ISERROR(
CAD_PROD!E313*D313),"",CAD_PROD!E313*D313))</f>
        <v/>
      </c>
      <c r="S313" s="44" t="str">
        <f>IF(C313="","",IF(CAD_PROD!E313&gt;=P313,"Sim","Não"))</f>
        <v/>
      </c>
    </row>
    <row r="314" spans="1:19" ht="30" customHeight="1">
      <c r="A314" s="52">
        <f t="shared" si="12"/>
        <v>0</v>
      </c>
      <c r="B314" s="52">
        <f t="shared" si="13"/>
        <v>0</v>
      </c>
      <c r="C314" s="96" t="str">
        <f>IF(CAD_PROD!C314="","",CAD_PROD!C314)</f>
        <v/>
      </c>
      <c r="D314" s="75"/>
      <c r="E314" s="125"/>
      <c r="F314" s="125"/>
      <c r="G314" s="75"/>
      <c r="H314" s="75" t="str">
        <f>IF(C314="","",D314+CAD_PROD!D314*(E314+F314)+G314)</f>
        <v/>
      </c>
      <c r="I314" s="52">
        <v>9.9999999999999995E-7</v>
      </c>
      <c r="J314" s="68" t="str">
        <f>IF(ISERROR(
CAD_PROD!F314*E314),"",CAD_PROD!F314*E314)</f>
        <v/>
      </c>
      <c r="K314" s="68" t="str">
        <f>IF(ISERROR(
CAD_PROD!F314*F314),"",CAD_PROD!F314*F314)</f>
        <v/>
      </c>
      <c r="L314" s="68" t="str">
        <f>IF(ISERROR(
CAD_PROD!D314-H314),"",CAD_PROD!D314-H314)</f>
        <v/>
      </c>
      <c r="M314" s="57" t="str">
        <f>IF(ISERROR(
L314/CAD_PROD!D314),"",L314/CAD_PROD!D314)</f>
        <v/>
      </c>
      <c r="N314" s="68" t="str">
        <f>IF(ISERROR(
(P314*CAD_PROD!D314)),"",(P314*CAD_PROD!D314))</f>
        <v/>
      </c>
      <c r="O314" s="68" t="str">
        <f>IF(ISERROR(PE_GERAL!$J$7*CAD_PROD!G314),"",PE_GERAL!$J$7*CAD_PROD!G314)</f>
        <v/>
      </c>
      <c r="P314" s="101" t="str">
        <f t="shared" si="14"/>
        <v/>
      </c>
      <c r="Q314" s="68" t="str">
        <f>IF(C314="","",IF(ISERROR(
CAD_PROD!E314*G314),"",CAD_PROD!E314*G314))</f>
        <v/>
      </c>
      <c r="R314" s="68" t="str">
        <f>IF(C314="","",IF(ISERROR(
CAD_PROD!E314*D314),"",CAD_PROD!E314*D314))</f>
        <v/>
      </c>
      <c r="S314" s="44" t="str">
        <f>IF(C314="","",IF(CAD_PROD!E314&gt;=P314,"Sim","Não"))</f>
        <v/>
      </c>
    </row>
    <row r="315" spans="1:19" ht="30" customHeight="1">
      <c r="A315" s="52">
        <f t="shared" si="12"/>
        <v>0</v>
      </c>
      <c r="B315" s="52">
        <f t="shared" si="13"/>
        <v>0</v>
      </c>
      <c r="C315" s="96" t="str">
        <f>IF(CAD_PROD!C315="","",CAD_PROD!C315)</f>
        <v/>
      </c>
      <c r="D315" s="75"/>
      <c r="E315" s="125"/>
      <c r="F315" s="125"/>
      <c r="G315" s="75"/>
      <c r="H315" s="75" t="str">
        <f>IF(C315="","",D315+CAD_PROD!D315*(E315+F315)+G315)</f>
        <v/>
      </c>
      <c r="I315" s="52">
        <v>9.9999999999999995E-7</v>
      </c>
      <c r="J315" s="68" t="str">
        <f>IF(ISERROR(
CAD_PROD!F315*E315),"",CAD_PROD!F315*E315)</f>
        <v/>
      </c>
      <c r="K315" s="68" t="str">
        <f>IF(ISERROR(
CAD_PROD!F315*F315),"",CAD_PROD!F315*F315)</f>
        <v/>
      </c>
      <c r="L315" s="68" t="str">
        <f>IF(ISERROR(
CAD_PROD!D315-H315),"",CAD_PROD!D315-H315)</f>
        <v/>
      </c>
      <c r="M315" s="57" t="str">
        <f>IF(ISERROR(
L315/CAD_PROD!D315),"",L315/CAD_PROD!D315)</f>
        <v/>
      </c>
      <c r="N315" s="68" t="str">
        <f>IF(ISERROR(
(P315*CAD_PROD!D315)),"",(P315*CAD_PROD!D315))</f>
        <v/>
      </c>
      <c r="O315" s="68" t="str">
        <f>IF(ISERROR(PE_GERAL!$J$7*CAD_PROD!G315),"",PE_GERAL!$J$7*CAD_PROD!G315)</f>
        <v/>
      </c>
      <c r="P315" s="101" t="str">
        <f t="shared" si="14"/>
        <v/>
      </c>
      <c r="Q315" s="68" t="str">
        <f>IF(C315="","",IF(ISERROR(
CAD_PROD!E315*G315),"",CAD_PROD!E315*G315))</f>
        <v/>
      </c>
      <c r="R315" s="68" t="str">
        <f>IF(C315="","",IF(ISERROR(
CAD_PROD!E315*D315),"",CAD_PROD!E315*D315))</f>
        <v/>
      </c>
      <c r="S315" s="44" t="str">
        <f>IF(C315="","",IF(CAD_PROD!E315&gt;=P315,"Sim","Não"))</f>
        <v/>
      </c>
    </row>
    <row r="316" spans="1:19" ht="30" customHeight="1">
      <c r="A316" s="52">
        <f t="shared" si="12"/>
        <v>0</v>
      </c>
      <c r="B316" s="52">
        <f t="shared" si="13"/>
        <v>0</v>
      </c>
      <c r="C316" s="96" t="str">
        <f>IF(CAD_PROD!C316="","",CAD_PROD!C316)</f>
        <v/>
      </c>
      <c r="D316" s="75"/>
      <c r="E316" s="125"/>
      <c r="F316" s="125"/>
      <c r="G316" s="75"/>
      <c r="H316" s="75" t="str">
        <f>IF(C316="","",D316+CAD_PROD!D316*(E316+F316)+G316)</f>
        <v/>
      </c>
      <c r="I316" s="52">
        <v>9.9999999999999995E-7</v>
      </c>
      <c r="J316" s="68" t="str">
        <f>IF(ISERROR(
CAD_PROD!F316*E316),"",CAD_PROD!F316*E316)</f>
        <v/>
      </c>
      <c r="K316" s="68" t="str">
        <f>IF(ISERROR(
CAD_PROD!F316*F316),"",CAD_PROD!F316*F316)</f>
        <v/>
      </c>
      <c r="L316" s="68" t="str">
        <f>IF(ISERROR(
CAD_PROD!D316-H316),"",CAD_PROD!D316-H316)</f>
        <v/>
      </c>
      <c r="M316" s="57" t="str">
        <f>IF(ISERROR(
L316/CAD_PROD!D316),"",L316/CAD_PROD!D316)</f>
        <v/>
      </c>
      <c r="N316" s="68" t="str">
        <f>IF(ISERROR(
(P316*CAD_PROD!D316)),"",(P316*CAD_PROD!D316))</f>
        <v/>
      </c>
      <c r="O316" s="68" t="str">
        <f>IF(ISERROR(PE_GERAL!$J$7*CAD_PROD!G316),"",PE_GERAL!$J$7*CAD_PROD!G316)</f>
        <v/>
      </c>
      <c r="P316" s="101" t="str">
        <f t="shared" si="14"/>
        <v/>
      </c>
      <c r="Q316" s="68" t="str">
        <f>IF(C316="","",IF(ISERROR(
CAD_PROD!E316*G316),"",CAD_PROD!E316*G316))</f>
        <v/>
      </c>
      <c r="R316" s="68" t="str">
        <f>IF(C316="","",IF(ISERROR(
CAD_PROD!E316*D316),"",CAD_PROD!E316*D316))</f>
        <v/>
      </c>
      <c r="S316" s="44" t="str">
        <f>IF(C316="","",IF(CAD_PROD!E316&gt;=P316,"Sim","Não"))</f>
        <v/>
      </c>
    </row>
    <row r="317" spans="1:19" ht="30" customHeight="1">
      <c r="A317" s="52">
        <f t="shared" si="12"/>
        <v>0</v>
      </c>
      <c r="B317" s="52">
        <f t="shared" si="13"/>
        <v>0</v>
      </c>
      <c r="C317" s="96" t="str">
        <f>IF(CAD_PROD!C317="","",CAD_PROD!C317)</f>
        <v/>
      </c>
      <c r="D317" s="75"/>
      <c r="E317" s="125"/>
      <c r="F317" s="125"/>
      <c r="G317" s="75"/>
      <c r="H317" s="75" t="str">
        <f>IF(C317="","",D317+CAD_PROD!D317*(E317+F317)+G317)</f>
        <v/>
      </c>
      <c r="I317" s="52">
        <v>9.9999999999999995E-7</v>
      </c>
      <c r="J317" s="68" t="str">
        <f>IF(ISERROR(
CAD_PROD!F317*E317),"",CAD_PROD!F317*E317)</f>
        <v/>
      </c>
      <c r="K317" s="68" t="str">
        <f>IF(ISERROR(
CAD_PROD!F317*F317),"",CAD_PROD!F317*F317)</f>
        <v/>
      </c>
      <c r="L317" s="68" t="str">
        <f>IF(ISERROR(
CAD_PROD!D317-H317),"",CAD_PROD!D317-H317)</f>
        <v/>
      </c>
      <c r="M317" s="57" t="str">
        <f>IF(ISERROR(
L317/CAD_PROD!D317),"",L317/CAD_PROD!D317)</f>
        <v/>
      </c>
      <c r="N317" s="68" t="str">
        <f>IF(ISERROR(
(P317*CAD_PROD!D317)),"",(P317*CAD_PROD!D317))</f>
        <v/>
      </c>
      <c r="O317" s="68" t="str">
        <f>IF(ISERROR(PE_GERAL!$J$7*CAD_PROD!G317),"",PE_GERAL!$J$7*CAD_PROD!G317)</f>
        <v/>
      </c>
      <c r="P317" s="101" t="str">
        <f t="shared" si="14"/>
        <v/>
      </c>
      <c r="Q317" s="68" t="str">
        <f>IF(C317="","",IF(ISERROR(
CAD_PROD!E317*G317),"",CAD_PROD!E317*G317))</f>
        <v/>
      </c>
      <c r="R317" s="68" t="str">
        <f>IF(C317="","",IF(ISERROR(
CAD_PROD!E317*D317),"",CAD_PROD!E317*D317))</f>
        <v/>
      </c>
      <c r="S317" s="44" t="str">
        <f>IF(C317="","",IF(CAD_PROD!E317&gt;=P317,"Sim","Não"))</f>
        <v/>
      </c>
    </row>
    <row r="318" spans="1:19" ht="30" customHeight="1">
      <c r="A318" s="52">
        <f t="shared" si="12"/>
        <v>0</v>
      </c>
      <c r="B318" s="52">
        <f t="shared" si="13"/>
        <v>0</v>
      </c>
      <c r="C318" s="96" t="str">
        <f>IF(CAD_PROD!C318="","",CAD_PROD!C318)</f>
        <v/>
      </c>
      <c r="D318" s="75"/>
      <c r="E318" s="125"/>
      <c r="F318" s="125"/>
      <c r="G318" s="75"/>
      <c r="H318" s="75" t="str">
        <f>IF(C318="","",D318+CAD_PROD!D318*(E318+F318)+G318)</f>
        <v/>
      </c>
      <c r="I318" s="52">
        <v>9.9999999999999995E-7</v>
      </c>
      <c r="J318" s="68" t="str">
        <f>IF(ISERROR(
CAD_PROD!F318*E318),"",CAD_PROD!F318*E318)</f>
        <v/>
      </c>
      <c r="K318" s="68" t="str">
        <f>IF(ISERROR(
CAD_PROD!F318*F318),"",CAD_PROD!F318*F318)</f>
        <v/>
      </c>
      <c r="L318" s="68" t="str">
        <f>IF(ISERROR(
CAD_PROD!D318-H318),"",CAD_PROD!D318-H318)</f>
        <v/>
      </c>
      <c r="M318" s="57" t="str">
        <f>IF(ISERROR(
L318/CAD_PROD!D318),"",L318/CAD_PROD!D318)</f>
        <v/>
      </c>
      <c r="N318" s="68" t="str">
        <f>IF(ISERROR(
(P318*CAD_PROD!D318)),"",(P318*CAD_PROD!D318))</f>
        <v/>
      </c>
      <c r="O318" s="68" t="str">
        <f>IF(ISERROR(PE_GERAL!$J$7*CAD_PROD!G318),"",PE_GERAL!$J$7*CAD_PROD!G318)</f>
        <v/>
      </c>
      <c r="P318" s="101" t="str">
        <f t="shared" si="14"/>
        <v/>
      </c>
      <c r="Q318" s="68" t="str">
        <f>IF(C318="","",IF(ISERROR(
CAD_PROD!E318*G318),"",CAD_PROD!E318*G318))</f>
        <v/>
      </c>
      <c r="R318" s="68" t="str">
        <f>IF(C318="","",IF(ISERROR(
CAD_PROD!E318*D318),"",CAD_PROD!E318*D318))</f>
        <v/>
      </c>
      <c r="S318" s="44" t="str">
        <f>IF(C318="","",IF(CAD_PROD!E318&gt;=P318,"Sim","Não"))</f>
        <v/>
      </c>
    </row>
    <row r="319" spans="1:19" ht="30" customHeight="1">
      <c r="A319" s="52">
        <f t="shared" si="12"/>
        <v>0</v>
      </c>
      <c r="B319" s="52">
        <f t="shared" si="13"/>
        <v>0</v>
      </c>
      <c r="C319" s="96" t="str">
        <f>IF(CAD_PROD!C319="","",CAD_PROD!C319)</f>
        <v/>
      </c>
      <c r="D319" s="75"/>
      <c r="E319" s="125"/>
      <c r="F319" s="125"/>
      <c r="G319" s="75"/>
      <c r="H319" s="75" t="str">
        <f>IF(C319="","",D319+CAD_PROD!D319*(E319+F319)+G319)</f>
        <v/>
      </c>
      <c r="I319" s="52">
        <v>9.9999999999999995E-7</v>
      </c>
      <c r="J319" s="68" t="str">
        <f>IF(ISERROR(
CAD_PROD!F319*E319),"",CAD_PROD!F319*E319)</f>
        <v/>
      </c>
      <c r="K319" s="68" t="str">
        <f>IF(ISERROR(
CAD_PROD!F319*F319),"",CAD_PROD!F319*F319)</f>
        <v/>
      </c>
      <c r="L319" s="68" t="str">
        <f>IF(ISERROR(
CAD_PROD!D319-H319),"",CAD_PROD!D319-H319)</f>
        <v/>
      </c>
      <c r="M319" s="57" t="str">
        <f>IF(ISERROR(
L319/CAD_PROD!D319),"",L319/CAD_PROD!D319)</f>
        <v/>
      </c>
      <c r="N319" s="68" t="str">
        <f>IF(ISERROR(
(P319*CAD_PROD!D319)),"",(P319*CAD_PROD!D319))</f>
        <v/>
      </c>
      <c r="O319" s="68" t="str">
        <f>IF(ISERROR(PE_GERAL!$J$7*CAD_PROD!G319),"",PE_GERAL!$J$7*CAD_PROD!G319)</f>
        <v/>
      </c>
      <c r="P319" s="101" t="str">
        <f t="shared" si="14"/>
        <v/>
      </c>
      <c r="Q319" s="68" t="str">
        <f>IF(C319="","",IF(ISERROR(
CAD_PROD!E319*G319),"",CAD_PROD!E319*G319))</f>
        <v/>
      </c>
      <c r="R319" s="68" t="str">
        <f>IF(C319="","",IF(ISERROR(
CAD_PROD!E319*D319),"",CAD_PROD!E319*D319))</f>
        <v/>
      </c>
      <c r="S319" s="44" t="str">
        <f>IF(C319="","",IF(CAD_PROD!E319&gt;=P319,"Sim","Não"))</f>
        <v/>
      </c>
    </row>
    <row r="320" spans="1:19" ht="30" customHeight="1">
      <c r="A320" s="52">
        <f t="shared" si="12"/>
        <v>0</v>
      </c>
      <c r="B320" s="52">
        <f t="shared" si="13"/>
        <v>0</v>
      </c>
      <c r="C320" s="96" t="str">
        <f>IF(CAD_PROD!C320="","",CAD_PROD!C320)</f>
        <v/>
      </c>
      <c r="D320" s="75"/>
      <c r="E320" s="125"/>
      <c r="F320" s="125"/>
      <c r="G320" s="75"/>
      <c r="H320" s="75" t="str">
        <f>IF(C320="","",D320+CAD_PROD!D320*(E320+F320)+G320)</f>
        <v/>
      </c>
      <c r="I320" s="52">
        <v>9.9999999999999995E-7</v>
      </c>
      <c r="J320" s="68" t="str">
        <f>IF(ISERROR(
CAD_PROD!F320*E320),"",CAD_PROD!F320*E320)</f>
        <v/>
      </c>
      <c r="K320" s="68" t="str">
        <f>IF(ISERROR(
CAD_PROD!F320*F320),"",CAD_PROD!F320*F320)</f>
        <v/>
      </c>
      <c r="L320" s="68" t="str">
        <f>IF(ISERROR(
CAD_PROD!D320-H320),"",CAD_PROD!D320-H320)</f>
        <v/>
      </c>
      <c r="M320" s="57" t="str">
        <f>IF(ISERROR(
L320/CAD_PROD!D320),"",L320/CAD_PROD!D320)</f>
        <v/>
      </c>
      <c r="N320" s="68" t="str">
        <f>IF(ISERROR(
(P320*CAD_PROD!D320)),"",(P320*CAD_PROD!D320))</f>
        <v/>
      </c>
      <c r="O320" s="68" t="str">
        <f>IF(ISERROR(PE_GERAL!$J$7*CAD_PROD!G320),"",PE_GERAL!$J$7*CAD_PROD!G320)</f>
        <v/>
      </c>
      <c r="P320" s="101" t="str">
        <f t="shared" si="14"/>
        <v/>
      </c>
      <c r="Q320" s="68" t="str">
        <f>IF(C320="","",IF(ISERROR(
CAD_PROD!E320*G320),"",CAD_PROD!E320*G320))</f>
        <v/>
      </c>
      <c r="R320" s="68" t="str">
        <f>IF(C320="","",IF(ISERROR(
CAD_PROD!E320*D320),"",CAD_PROD!E320*D320))</f>
        <v/>
      </c>
      <c r="S320" s="44" t="str">
        <f>IF(C320="","",IF(CAD_PROD!E320&gt;=P320,"Sim","Não"))</f>
        <v/>
      </c>
    </row>
    <row r="321" spans="1:19" ht="30" customHeight="1">
      <c r="A321" s="52">
        <f t="shared" si="12"/>
        <v>0</v>
      </c>
      <c r="B321" s="52">
        <f t="shared" si="13"/>
        <v>0</v>
      </c>
      <c r="C321" s="96" t="str">
        <f>IF(CAD_PROD!C321="","",CAD_PROD!C321)</f>
        <v/>
      </c>
      <c r="D321" s="75"/>
      <c r="E321" s="125"/>
      <c r="F321" s="125"/>
      <c r="G321" s="75"/>
      <c r="H321" s="75" t="str">
        <f>IF(C321="","",D321+CAD_PROD!D321*(E321+F321)+G321)</f>
        <v/>
      </c>
      <c r="I321" s="52">
        <v>9.9999999999999995E-7</v>
      </c>
      <c r="J321" s="68" t="str">
        <f>IF(ISERROR(
CAD_PROD!F321*E321),"",CAD_PROD!F321*E321)</f>
        <v/>
      </c>
      <c r="K321" s="68" t="str">
        <f>IF(ISERROR(
CAD_PROD!F321*F321),"",CAD_PROD!F321*F321)</f>
        <v/>
      </c>
      <c r="L321" s="68" t="str">
        <f>IF(ISERROR(
CAD_PROD!D321-H321),"",CAD_PROD!D321-H321)</f>
        <v/>
      </c>
      <c r="M321" s="57" t="str">
        <f>IF(ISERROR(
L321/CAD_PROD!D321),"",L321/CAD_PROD!D321)</f>
        <v/>
      </c>
      <c r="N321" s="68" t="str">
        <f>IF(ISERROR(
(P321*CAD_PROD!D321)),"",(P321*CAD_PROD!D321))</f>
        <v/>
      </c>
      <c r="O321" s="68" t="str">
        <f>IF(ISERROR(PE_GERAL!$J$7*CAD_PROD!G321),"",PE_GERAL!$J$7*CAD_PROD!G321)</f>
        <v/>
      </c>
      <c r="P321" s="101" t="str">
        <f t="shared" si="14"/>
        <v/>
      </c>
      <c r="Q321" s="68" t="str">
        <f>IF(C321="","",IF(ISERROR(
CAD_PROD!E321*G321),"",CAD_PROD!E321*G321))</f>
        <v/>
      </c>
      <c r="R321" s="68" t="str">
        <f>IF(C321="","",IF(ISERROR(
CAD_PROD!E321*D321),"",CAD_PROD!E321*D321))</f>
        <v/>
      </c>
      <c r="S321" s="44" t="str">
        <f>IF(C321="","",IF(CAD_PROD!E321&gt;=P321,"Sim","Não"))</f>
        <v/>
      </c>
    </row>
    <row r="322" spans="1:19" ht="30" customHeight="1">
      <c r="A322" s="52">
        <f t="shared" si="12"/>
        <v>0</v>
      </c>
      <c r="B322" s="52">
        <f t="shared" si="13"/>
        <v>0</v>
      </c>
      <c r="C322" s="96" t="str">
        <f>IF(CAD_PROD!C322="","",CAD_PROD!C322)</f>
        <v/>
      </c>
      <c r="D322" s="75"/>
      <c r="E322" s="125"/>
      <c r="F322" s="125"/>
      <c r="G322" s="75"/>
      <c r="H322" s="75" t="str">
        <f>IF(C322="","",D322+CAD_PROD!D322*(E322+F322)+G322)</f>
        <v/>
      </c>
      <c r="I322" s="52">
        <v>9.9999999999999995E-7</v>
      </c>
      <c r="J322" s="68" t="str">
        <f>IF(ISERROR(
CAD_PROD!F322*E322),"",CAD_PROD!F322*E322)</f>
        <v/>
      </c>
      <c r="K322" s="68" t="str">
        <f>IF(ISERROR(
CAD_PROD!F322*F322),"",CAD_PROD!F322*F322)</f>
        <v/>
      </c>
      <c r="L322" s="68" t="str">
        <f>IF(ISERROR(
CAD_PROD!D322-H322),"",CAD_PROD!D322-H322)</f>
        <v/>
      </c>
      <c r="M322" s="57" t="str">
        <f>IF(ISERROR(
L322/CAD_PROD!D322),"",L322/CAD_PROD!D322)</f>
        <v/>
      </c>
      <c r="N322" s="68" t="str">
        <f>IF(ISERROR(
(P322*CAD_PROD!D322)),"",(P322*CAD_PROD!D322))</f>
        <v/>
      </c>
      <c r="O322" s="68" t="str">
        <f>IF(ISERROR(PE_GERAL!$J$7*CAD_PROD!G322),"",PE_GERAL!$J$7*CAD_PROD!G322)</f>
        <v/>
      </c>
      <c r="P322" s="101" t="str">
        <f t="shared" si="14"/>
        <v/>
      </c>
      <c r="Q322" s="68" t="str">
        <f>IF(C322="","",IF(ISERROR(
CAD_PROD!E322*G322),"",CAD_PROD!E322*G322))</f>
        <v/>
      </c>
      <c r="R322" s="68" t="str">
        <f>IF(C322="","",IF(ISERROR(
CAD_PROD!E322*D322),"",CAD_PROD!E322*D322))</f>
        <v/>
      </c>
      <c r="S322" s="44" t="str">
        <f>IF(C322="","",IF(CAD_PROD!E322&gt;=P322,"Sim","Não"))</f>
        <v/>
      </c>
    </row>
    <row r="323" spans="1:19" ht="30" customHeight="1">
      <c r="A323" s="52">
        <f t="shared" si="12"/>
        <v>0</v>
      </c>
      <c r="B323" s="52">
        <f t="shared" si="13"/>
        <v>0</v>
      </c>
      <c r="C323" s="96" t="str">
        <f>IF(CAD_PROD!C323="","",CAD_PROD!C323)</f>
        <v/>
      </c>
      <c r="D323" s="75"/>
      <c r="E323" s="125"/>
      <c r="F323" s="125"/>
      <c r="G323" s="75"/>
      <c r="H323" s="75" t="str">
        <f>IF(C323="","",D323+CAD_PROD!D323*(E323+F323)+G323)</f>
        <v/>
      </c>
      <c r="I323" s="52">
        <v>9.9999999999999995E-7</v>
      </c>
      <c r="J323" s="68" t="str">
        <f>IF(ISERROR(
CAD_PROD!F323*E323),"",CAD_PROD!F323*E323)</f>
        <v/>
      </c>
      <c r="K323" s="68" t="str">
        <f>IF(ISERROR(
CAD_PROD!F323*F323),"",CAD_PROD!F323*F323)</f>
        <v/>
      </c>
      <c r="L323" s="68" t="str">
        <f>IF(ISERROR(
CAD_PROD!D323-H323),"",CAD_PROD!D323-H323)</f>
        <v/>
      </c>
      <c r="M323" s="57" t="str">
        <f>IF(ISERROR(
L323/CAD_PROD!D323),"",L323/CAD_PROD!D323)</f>
        <v/>
      </c>
      <c r="N323" s="68" t="str">
        <f>IF(ISERROR(
(P323*CAD_PROD!D323)),"",(P323*CAD_PROD!D323))</f>
        <v/>
      </c>
      <c r="O323" s="68" t="str">
        <f>IF(ISERROR(PE_GERAL!$J$7*CAD_PROD!G323),"",PE_GERAL!$J$7*CAD_PROD!G323)</f>
        <v/>
      </c>
      <c r="P323" s="101" t="str">
        <f t="shared" si="14"/>
        <v/>
      </c>
      <c r="Q323" s="68" t="str">
        <f>IF(C323="","",IF(ISERROR(
CAD_PROD!E323*G323),"",CAD_PROD!E323*G323))</f>
        <v/>
      </c>
      <c r="R323" s="68" t="str">
        <f>IF(C323="","",IF(ISERROR(
CAD_PROD!E323*D323),"",CAD_PROD!E323*D323))</f>
        <v/>
      </c>
      <c r="S323" s="44" t="str">
        <f>IF(C323="","",IF(CAD_PROD!E323&gt;=P323,"Sim","Não"))</f>
        <v/>
      </c>
    </row>
    <row r="324" spans="1:19" ht="30" customHeight="1">
      <c r="A324" s="52">
        <f t="shared" si="12"/>
        <v>0</v>
      </c>
      <c r="B324" s="52">
        <f t="shared" si="13"/>
        <v>0</v>
      </c>
      <c r="C324" s="96" t="str">
        <f>IF(CAD_PROD!C324="","",CAD_PROD!C324)</f>
        <v/>
      </c>
      <c r="D324" s="75"/>
      <c r="E324" s="125"/>
      <c r="F324" s="125"/>
      <c r="G324" s="75"/>
      <c r="H324" s="75" t="str">
        <f>IF(C324="","",D324+CAD_PROD!D324*(E324+F324)+G324)</f>
        <v/>
      </c>
      <c r="I324" s="52">
        <v>9.9999999999999995E-7</v>
      </c>
      <c r="J324" s="68" t="str">
        <f>IF(ISERROR(
CAD_PROD!F324*E324),"",CAD_PROD!F324*E324)</f>
        <v/>
      </c>
      <c r="K324" s="68" t="str">
        <f>IF(ISERROR(
CAD_PROD!F324*F324),"",CAD_PROD!F324*F324)</f>
        <v/>
      </c>
      <c r="L324" s="68" t="str">
        <f>IF(ISERROR(
CAD_PROD!D324-H324),"",CAD_PROD!D324-H324)</f>
        <v/>
      </c>
      <c r="M324" s="57" t="str">
        <f>IF(ISERROR(
L324/CAD_PROD!D324),"",L324/CAD_PROD!D324)</f>
        <v/>
      </c>
      <c r="N324" s="68" t="str">
        <f>IF(ISERROR(
(P324*CAD_PROD!D324)),"",(P324*CAD_PROD!D324))</f>
        <v/>
      </c>
      <c r="O324" s="68" t="str">
        <f>IF(ISERROR(PE_GERAL!$J$7*CAD_PROD!G324),"",PE_GERAL!$J$7*CAD_PROD!G324)</f>
        <v/>
      </c>
      <c r="P324" s="101" t="str">
        <f t="shared" si="14"/>
        <v/>
      </c>
      <c r="Q324" s="68" t="str">
        <f>IF(C324="","",IF(ISERROR(
CAD_PROD!E324*G324),"",CAD_PROD!E324*G324))</f>
        <v/>
      </c>
      <c r="R324" s="68" t="str">
        <f>IF(C324="","",IF(ISERROR(
CAD_PROD!E324*D324),"",CAD_PROD!E324*D324))</f>
        <v/>
      </c>
      <c r="S324" s="44" t="str">
        <f>IF(C324="","",IF(CAD_PROD!E324&gt;=P324,"Sim","Não"))</f>
        <v/>
      </c>
    </row>
    <row r="325" spans="1:19" ht="30" customHeight="1">
      <c r="A325" s="52">
        <f t="shared" si="12"/>
        <v>0</v>
      </c>
      <c r="B325" s="52">
        <f t="shared" si="13"/>
        <v>0</v>
      </c>
      <c r="C325" s="96" t="str">
        <f>IF(CAD_PROD!C325="","",CAD_PROD!C325)</f>
        <v/>
      </c>
      <c r="D325" s="75"/>
      <c r="E325" s="125"/>
      <c r="F325" s="125"/>
      <c r="G325" s="75"/>
      <c r="H325" s="75" t="str">
        <f>IF(C325="","",D325+CAD_PROD!D325*(E325+F325)+G325)</f>
        <v/>
      </c>
      <c r="I325" s="52">
        <v>9.9999999999999995E-7</v>
      </c>
      <c r="J325" s="68" t="str">
        <f>IF(ISERROR(
CAD_PROD!F325*E325),"",CAD_PROD!F325*E325)</f>
        <v/>
      </c>
      <c r="K325" s="68" t="str">
        <f>IF(ISERROR(
CAD_PROD!F325*F325),"",CAD_PROD!F325*F325)</f>
        <v/>
      </c>
      <c r="L325" s="68" t="str">
        <f>IF(ISERROR(
CAD_PROD!D325-H325),"",CAD_PROD!D325-H325)</f>
        <v/>
      </c>
      <c r="M325" s="57" t="str">
        <f>IF(ISERROR(
L325/CAD_PROD!D325),"",L325/CAD_PROD!D325)</f>
        <v/>
      </c>
      <c r="N325" s="68" t="str">
        <f>IF(ISERROR(
(P325*CAD_PROD!D325)),"",(P325*CAD_PROD!D325))</f>
        <v/>
      </c>
      <c r="O325" s="68" t="str">
        <f>IF(ISERROR(PE_GERAL!$J$7*CAD_PROD!G325),"",PE_GERAL!$J$7*CAD_PROD!G325)</f>
        <v/>
      </c>
      <c r="P325" s="101" t="str">
        <f t="shared" si="14"/>
        <v/>
      </c>
      <c r="Q325" s="68" t="str">
        <f>IF(C325="","",IF(ISERROR(
CAD_PROD!E325*G325),"",CAD_PROD!E325*G325))</f>
        <v/>
      </c>
      <c r="R325" s="68" t="str">
        <f>IF(C325="","",IF(ISERROR(
CAD_PROD!E325*D325),"",CAD_PROD!E325*D325))</f>
        <v/>
      </c>
      <c r="S325" s="44" t="str">
        <f>IF(C325="","",IF(CAD_PROD!E325&gt;=P325,"Sim","Não"))</f>
        <v/>
      </c>
    </row>
    <row r="326" spans="1:19" ht="30" customHeight="1">
      <c r="A326" s="52">
        <f t="shared" si="12"/>
        <v>0</v>
      </c>
      <c r="B326" s="52">
        <f t="shared" si="13"/>
        <v>0</v>
      </c>
      <c r="C326" s="96" t="str">
        <f>IF(CAD_PROD!C326="","",CAD_PROD!C326)</f>
        <v/>
      </c>
      <c r="D326" s="75"/>
      <c r="E326" s="125"/>
      <c r="F326" s="125"/>
      <c r="G326" s="75"/>
      <c r="H326" s="75" t="str">
        <f>IF(C326="","",D326+CAD_PROD!D326*(E326+F326)+G326)</f>
        <v/>
      </c>
      <c r="I326" s="52">
        <v>9.9999999999999995E-7</v>
      </c>
      <c r="J326" s="68" t="str">
        <f>IF(ISERROR(
CAD_PROD!F326*E326),"",CAD_PROD!F326*E326)</f>
        <v/>
      </c>
      <c r="K326" s="68" t="str">
        <f>IF(ISERROR(
CAD_PROD!F326*F326),"",CAD_PROD!F326*F326)</f>
        <v/>
      </c>
      <c r="L326" s="68" t="str">
        <f>IF(ISERROR(
CAD_PROD!D326-H326),"",CAD_PROD!D326-H326)</f>
        <v/>
      </c>
      <c r="M326" s="57" t="str">
        <f>IF(ISERROR(
L326/CAD_PROD!D326),"",L326/CAD_PROD!D326)</f>
        <v/>
      </c>
      <c r="N326" s="68" t="str">
        <f>IF(ISERROR(
(P326*CAD_PROD!D326)),"",(P326*CAD_PROD!D326))</f>
        <v/>
      </c>
      <c r="O326" s="68" t="str">
        <f>IF(ISERROR(PE_GERAL!$J$7*CAD_PROD!G326),"",PE_GERAL!$J$7*CAD_PROD!G326)</f>
        <v/>
      </c>
      <c r="P326" s="101" t="str">
        <f t="shared" si="14"/>
        <v/>
      </c>
      <c r="Q326" s="68" t="str">
        <f>IF(C326="","",IF(ISERROR(
CAD_PROD!E326*G326),"",CAD_PROD!E326*G326))</f>
        <v/>
      </c>
      <c r="R326" s="68" t="str">
        <f>IF(C326="","",IF(ISERROR(
CAD_PROD!E326*D326),"",CAD_PROD!E326*D326))</f>
        <v/>
      </c>
      <c r="S326" s="44" t="str">
        <f>IF(C326="","",IF(CAD_PROD!E326&gt;=P326,"Sim","Não"))</f>
        <v/>
      </c>
    </row>
    <row r="327" spans="1:19" ht="30" customHeight="1">
      <c r="A327" s="52">
        <f t="shared" ref="A327:A390" si="15">IFERROR(L327+I327,0)</f>
        <v>0</v>
      </c>
      <c r="B327" s="52">
        <f t="shared" ref="B327:B390" si="16">IFERROR(H327+I327,0)</f>
        <v>0</v>
      </c>
      <c r="C327" s="96" t="str">
        <f>IF(CAD_PROD!C327="","",CAD_PROD!C327)</f>
        <v/>
      </c>
      <c r="D327" s="75"/>
      <c r="E327" s="125"/>
      <c r="F327" s="125"/>
      <c r="G327" s="75"/>
      <c r="H327" s="75" t="str">
        <f>IF(C327="","",D327+CAD_PROD!D327*(E327+F327)+G327)</f>
        <v/>
      </c>
      <c r="I327" s="52">
        <v>9.9999999999999995E-7</v>
      </c>
      <c r="J327" s="68" t="str">
        <f>IF(ISERROR(
CAD_PROD!F327*E327),"",CAD_PROD!F327*E327)</f>
        <v/>
      </c>
      <c r="K327" s="68" t="str">
        <f>IF(ISERROR(
CAD_PROD!F327*F327),"",CAD_PROD!F327*F327)</f>
        <v/>
      </c>
      <c r="L327" s="68" t="str">
        <f>IF(ISERROR(
CAD_PROD!D327-H327),"",CAD_PROD!D327-H327)</f>
        <v/>
      </c>
      <c r="M327" s="57" t="str">
        <f>IF(ISERROR(
L327/CAD_PROD!D327),"",L327/CAD_PROD!D327)</f>
        <v/>
      </c>
      <c r="N327" s="68" t="str">
        <f>IF(ISERROR(
(P327*CAD_PROD!D327)),"",(P327*CAD_PROD!D327))</f>
        <v/>
      </c>
      <c r="O327" s="68" t="str">
        <f>IF(ISERROR(PE_GERAL!$J$7*CAD_PROD!G327),"",PE_GERAL!$J$7*CAD_PROD!G327)</f>
        <v/>
      </c>
      <c r="P327" s="101" t="str">
        <f t="shared" ref="P327:P390" si="17">IF(ISERROR(ROUNDUP(O327/L327,0)),"",ROUNDUP(O327/L327,0))</f>
        <v/>
      </c>
      <c r="Q327" s="68" t="str">
        <f>IF(C327="","",IF(ISERROR(
CAD_PROD!E327*G327),"",CAD_PROD!E327*G327))</f>
        <v/>
      </c>
      <c r="R327" s="68" t="str">
        <f>IF(C327="","",IF(ISERROR(
CAD_PROD!E327*D327),"",CAD_PROD!E327*D327))</f>
        <v/>
      </c>
      <c r="S327" s="44" t="str">
        <f>IF(C327="","",IF(CAD_PROD!E327&gt;=P327,"Sim","Não"))</f>
        <v/>
      </c>
    </row>
    <row r="328" spans="1:19" ht="30" customHeight="1">
      <c r="A328" s="52">
        <f t="shared" si="15"/>
        <v>0</v>
      </c>
      <c r="B328" s="52">
        <f t="shared" si="16"/>
        <v>0</v>
      </c>
      <c r="C328" s="96" t="str">
        <f>IF(CAD_PROD!C328="","",CAD_PROD!C328)</f>
        <v/>
      </c>
      <c r="D328" s="75"/>
      <c r="E328" s="125"/>
      <c r="F328" s="125"/>
      <c r="G328" s="75"/>
      <c r="H328" s="75" t="str">
        <f>IF(C328="","",D328+CAD_PROD!D328*(E328+F328)+G328)</f>
        <v/>
      </c>
      <c r="I328" s="52">
        <v>9.9999999999999995E-7</v>
      </c>
      <c r="J328" s="68" t="str">
        <f>IF(ISERROR(
CAD_PROD!F328*E328),"",CAD_PROD!F328*E328)</f>
        <v/>
      </c>
      <c r="K328" s="68" t="str">
        <f>IF(ISERROR(
CAD_PROD!F328*F328),"",CAD_PROD!F328*F328)</f>
        <v/>
      </c>
      <c r="L328" s="68" t="str">
        <f>IF(ISERROR(
CAD_PROD!D328-H328),"",CAD_PROD!D328-H328)</f>
        <v/>
      </c>
      <c r="M328" s="57" t="str">
        <f>IF(ISERROR(
L328/CAD_PROD!D328),"",L328/CAD_PROD!D328)</f>
        <v/>
      </c>
      <c r="N328" s="68" t="str">
        <f>IF(ISERROR(
(P328*CAD_PROD!D328)),"",(P328*CAD_PROD!D328))</f>
        <v/>
      </c>
      <c r="O328" s="68" t="str">
        <f>IF(ISERROR(PE_GERAL!$J$7*CAD_PROD!G328),"",PE_GERAL!$J$7*CAD_PROD!G328)</f>
        <v/>
      </c>
      <c r="P328" s="101" t="str">
        <f t="shared" si="17"/>
        <v/>
      </c>
      <c r="Q328" s="68" t="str">
        <f>IF(C328="","",IF(ISERROR(
CAD_PROD!E328*G328),"",CAD_PROD!E328*G328))</f>
        <v/>
      </c>
      <c r="R328" s="68" t="str">
        <f>IF(C328="","",IF(ISERROR(
CAD_PROD!E328*D328),"",CAD_PROD!E328*D328))</f>
        <v/>
      </c>
      <c r="S328" s="44" t="str">
        <f>IF(C328="","",IF(CAD_PROD!E328&gt;=P328,"Sim","Não"))</f>
        <v/>
      </c>
    </row>
    <row r="329" spans="1:19" ht="30" customHeight="1">
      <c r="A329" s="52">
        <f t="shared" si="15"/>
        <v>0</v>
      </c>
      <c r="B329" s="52">
        <f t="shared" si="16"/>
        <v>0</v>
      </c>
      <c r="C329" s="96" t="str">
        <f>IF(CAD_PROD!C329="","",CAD_PROD!C329)</f>
        <v/>
      </c>
      <c r="D329" s="75"/>
      <c r="E329" s="125"/>
      <c r="F329" s="125"/>
      <c r="G329" s="75"/>
      <c r="H329" s="75" t="str">
        <f>IF(C329="","",D329+CAD_PROD!D329*(E329+F329)+G329)</f>
        <v/>
      </c>
      <c r="I329" s="52">
        <v>9.9999999999999995E-7</v>
      </c>
      <c r="J329" s="68" t="str">
        <f>IF(ISERROR(
CAD_PROD!F329*E329),"",CAD_PROD!F329*E329)</f>
        <v/>
      </c>
      <c r="K329" s="68" t="str">
        <f>IF(ISERROR(
CAD_PROD!F329*F329),"",CAD_PROD!F329*F329)</f>
        <v/>
      </c>
      <c r="L329" s="68" t="str">
        <f>IF(ISERROR(
CAD_PROD!D329-H329),"",CAD_PROD!D329-H329)</f>
        <v/>
      </c>
      <c r="M329" s="57" t="str">
        <f>IF(ISERROR(
L329/CAD_PROD!D329),"",L329/CAD_PROD!D329)</f>
        <v/>
      </c>
      <c r="N329" s="68" t="str">
        <f>IF(ISERROR(
(P329*CAD_PROD!D329)),"",(P329*CAD_PROD!D329))</f>
        <v/>
      </c>
      <c r="O329" s="68" t="str">
        <f>IF(ISERROR(PE_GERAL!$J$7*CAD_PROD!G329),"",PE_GERAL!$J$7*CAD_PROD!G329)</f>
        <v/>
      </c>
      <c r="P329" s="101" t="str">
        <f t="shared" si="17"/>
        <v/>
      </c>
      <c r="Q329" s="68" t="str">
        <f>IF(C329="","",IF(ISERROR(
CAD_PROD!E329*G329),"",CAD_PROD!E329*G329))</f>
        <v/>
      </c>
      <c r="R329" s="68" t="str">
        <f>IF(C329="","",IF(ISERROR(
CAD_PROD!E329*D329),"",CAD_PROD!E329*D329))</f>
        <v/>
      </c>
      <c r="S329" s="44" t="str">
        <f>IF(C329="","",IF(CAD_PROD!E329&gt;=P329,"Sim","Não"))</f>
        <v/>
      </c>
    </row>
    <row r="330" spans="1:19" ht="30" customHeight="1">
      <c r="A330" s="52">
        <f t="shared" si="15"/>
        <v>0</v>
      </c>
      <c r="B330" s="52">
        <f t="shared" si="16"/>
        <v>0</v>
      </c>
      <c r="C330" s="96" t="str">
        <f>IF(CAD_PROD!C330="","",CAD_PROD!C330)</f>
        <v/>
      </c>
      <c r="D330" s="75"/>
      <c r="E330" s="125"/>
      <c r="F330" s="125"/>
      <c r="G330" s="75"/>
      <c r="H330" s="75" t="str">
        <f>IF(C330="","",D330+CAD_PROD!D330*(E330+F330)+G330)</f>
        <v/>
      </c>
      <c r="I330" s="52">
        <v>9.9999999999999995E-7</v>
      </c>
      <c r="J330" s="68" t="str">
        <f>IF(ISERROR(
CAD_PROD!F330*E330),"",CAD_PROD!F330*E330)</f>
        <v/>
      </c>
      <c r="K330" s="68" t="str">
        <f>IF(ISERROR(
CAD_PROD!F330*F330),"",CAD_PROD!F330*F330)</f>
        <v/>
      </c>
      <c r="L330" s="68" t="str">
        <f>IF(ISERROR(
CAD_PROD!D330-H330),"",CAD_PROD!D330-H330)</f>
        <v/>
      </c>
      <c r="M330" s="57" t="str">
        <f>IF(ISERROR(
L330/CAD_PROD!D330),"",L330/CAD_PROD!D330)</f>
        <v/>
      </c>
      <c r="N330" s="68" t="str">
        <f>IF(ISERROR(
(P330*CAD_PROD!D330)),"",(P330*CAD_PROD!D330))</f>
        <v/>
      </c>
      <c r="O330" s="68" t="str">
        <f>IF(ISERROR(PE_GERAL!$J$7*CAD_PROD!G330),"",PE_GERAL!$J$7*CAD_PROD!G330)</f>
        <v/>
      </c>
      <c r="P330" s="101" t="str">
        <f t="shared" si="17"/>
        <v/>
      </c>
      <c r="Q330" s="68" t="str">
        <f>IF(C330="","",IF(ISERROR(
CAD_PROD!E330*G330),"",CAD_PROD!E330*G330))</f>
        <v/>
      </c>
      <c r="R330" s="68" t="str">
        <f>IF(C330="","",IF(ISERROR(
CAD_PROD!E330*D330),"",CAD_PROD!E330*D330))</f>
        <v/>
      </c>
      <c r="S330" s="44" t="str">
        <f>IF(C330="","",IF(CAD_PROD!E330&gt;=P330,"Sim","Não"))</f>
        <v/>
      </c>
    </row>
    <row r="331" spans="1:19" ht="30" customHeight="1">
      <c r="A331" s="52">
        <f t="shared" si="15"/>
        <v>0</v>
      </c>
      <c r="B331" s="52">
        <f t="shared" si="16"/>
        <v>0</v>
      </c>
      <c r="C331" s="96" t="str">
        <f>IF(CAD_PROD!C331="","",CAD_PROD!C331)</f>
        <v/>
      </c>
      <c r="D331" s="75"/>
      <c r="E331" s="125"/>
      <c r="F331" s="125"/>
      <c r="G331" s="75"/>
      <c r="H331" s="75" t="str">
        <f>IF(C331="","",D331+CAD_PROD!D331*(E331+F331)+G331)</f>
        <v/>
      </c>
      <c r="I331" s="52">
        <v>9.9999999999999995E-7</v>
      </c>
      <c r="J331" s="68" t="str">
        <f>IF(ISERROR(
CAD_PROD!F331*E331),"",CAD_PROD!F331*E331)</f>
        <v/>
      </c>
      <c r="K331" s="68" t="str">
        <f>IF(ISERROR(
CAD_PROD!F331*F331),"",CAD_PROD!F331*F331)</f>
        <v/>
      </c>
      <c r="L331" s="68" t="str">
        <f>IF(ISERROR(
CAD_PROD!D331-H331),"",CAD_PROD!D331-H331)</f>
        <v/>
      </c>
      <c r="M331" s="57" t="str">
        <f>IF(ISERROR(
L331/CAD_PROD!D331),"",L331/CAD_PROD!D331)</f>
        <v/>
      </c>
      <c r="N331" s="68" t="str">
        <f>IF(ISERROR(
(P331*CAD_PROD!D331)),"",(P331*CAD_PROD!D331))</f>
        <v/>
      </c>
      <c r="O331" s="68" t="str">
        <f>IF(ISERROR(PE_GERAL!$J$7*CAD_PROD!G331),"",PE_GERAL!$J$7*CAD_PROD!G331)</f>
        <v/>
      </c>
      <c r="P331" s="101" t="str">
        <f t="shared" si="17"/>
        <v/>
      </c>
      <c r="Q331" s="68" t="str">
        <f>IF(C331="","",IF(ISERROR(
CAD_PROD!E331*G331),"",CAD_PROD!E331*G331))</f>
        <v/>
      </c>
      <c r="R331" s="68" t="str">
        <f>IF(C331="","",IF(ISERROR(
CAD_PROD!E331*D331),"",CAD_PROD!E331*D331))</f>
        <v/>
      </c>
      <c r="S331" s="44" t="str">
        <f>IF(C331="","",IF(CAD_PROD!E331&gt;=P331,"Sim","Não"))</f>
        <v/>
      </c>
    </row>
    <row r="332" spans="1:19" ht="30" customHeight="1">
      <c r="A332" s="52">
        <f t="shared" si="15"/>
        <v>0</v>
      </c>
      <c r="B332" s="52">
        <f t="shared" si="16"/>
        <v>0</v>
      </c>
      <c r="C332" s="96" t="str">
        <f>IF(CAD_PROD!C332="","",CAD_PROD!C332)</f>
        <v/>
      </c>
      <c r="D332" s="75"/>
      <c r="E332" s="125"/>
      <c r="F332" s="125"/>
      <c r="G332" s="75"/>
      <c r="H332" s="75" t="str">
        <f>IF(C332="","",D332+CAD_PROD!D332*(E332+F332)+G332)</f>
        <v/>
      </c>
      <c r="I332" s="52">
        <v>9.9999999999999995E-7</v>
      </c>
      <c r="J332" s="68" t="str">
        <f>IF(ISERROR(
CAD_PROD!F332*E332),"",CAD_PROD!F332*E332)</f>
        <v/>
      </c>
      <c r="K332" s="68" t="str">
        <f>IF(ISERROR(
CAD_PROD!F332*F332),"",CAD_PROD!F332*F332)</f>
        <v/>
      </c>
      <c r="L332" s="68" t="str">
        <f>IF(ISERROR(
CAD_PROD!D332-H332),"",CAD_PROD!D332-H332)</f>
        <v/>
      </c>
      <c r="M332" s="57" t="str">
        <f>IF(ISERROR(
L332/CAD_PROD!D332),"",L332/CAD_PROD!D332)</f>
        <v/>
      </c>
      <c r="N332" s="68" t="str">
        <f>IF(ISERROR(
(P332*CAD_PROD!D332)),"",(P332*CAD_PROD!D332))</f>
        <v/>
      </c>
      <c r="O332" s="68" t="str">
        <f>IF(ISERROR(PE_GERAL!$J$7*CAD_PROD!G332),"",PE_GERAL!$J$7*CAD_PROD!G332)</f>
        <v/>
      </c>
      <c r="P332" s="101" t="str">
        <f t="shared" si="17"/>
        <v/>
      </c>
      <c r="Q332" s="68" t="str">
        <f>IF(C332="","",IF(ISERROR(
CAD_PROD!E332*G332),"",CAD_PROD!E332*G332))</f>
        <v/>
      </c>
      <c r="R332" s="68" t="str">
        <f>IF(C332="","",IF(ISERROR(
CAD_PROD!E332*D332),"",CAD_PROD!E332*D332))</f>
        <v/>
      </c>
      <c r="S332" s="44" t="str">
        <f>IF(C332="","",IF(CAD_PROD!E332&gt;=P332,"Sim","Não"))</f>
        <v/>
      </c>
    </row>
    <row r="333" spans="1:19" ht="30" customHeight="1">
      <c r="A333" s="52">
        <f t="shared" si="15"/>
        <v>0</v>
      </c>
      <c r="B333" s="52">
        <f t="shared" si="16"/>
        <v>0</v>
      </c>
      <c r="C333" s="96" t="str">
        <f>IF(CAD_PROD!C333="","",CAD_PROD!C333)</f>
        <v/>
      </c>
      <c r="D333" s="75"/>
      <c r="E333" s="125"/>
      <c r="F333" s="125"/>
      <c r="G333" s="75"/>
      <c r="H333" s="75" t="str">
        <f>IF(C333="","",D333+CAD_PROD!D333*(E333+F333)+G333)</f>
        <v/>
      </c>
      <c r="I333" s="52">
        <v>9.9999999999999995E-7</v>
      </c>
      <c r="J333" s="68" t="str">
        <f>IF(ISERROR(
CAD_PROD!F333*E333),"",CAD_PROD!F333*E333)</f>
        <v/>
      </c>
      <c r="K333" s="68" t="str">
        <f>IF(ISERROR(
CAD_PROD!F333*F333),"",CAD_PROD!F333*F333)</f>
        <v/>
      </c>
      <c r="L333" s="68" t="str">
        <f>IF(ISERROR(
CAD_PROD!D333-H333),"",CAD_PROD!D333-H333)</f>
        <v/>
      </c>
      <c r="M333" s="57" t="str">
        <f>IF(ISERROR(
L333/CAD_PROD!D333),"",L333/CAD_PROD!D333)</f>
        <v/>
      </c>
      <c r="N333" s="68" t="str">
        <f>IF(ISERROR(
(P333*CAD_PROD!D333)),"",(P333*CAD_PROD!D333))</f>
        <v/>
      </c>
      <c r="O333" s="68" t="str">
        <f>IF(ISERROR(PE_GERAL!$J$7*CAD_PROD!G333),"",PE_GERAL!$J$7*CAD_PROD!G333)</f>
        <v/>
      </c>
      <c r="P333" s="101" t="str">
        <f t="shared" si="17"/>
        <v/>
      </c>
      <c r="Q333" s="68" t="str">
        <f>IF(C333="","",IF(ISERROR(
CAD_PROD!E333*G333),"",CAD_PROD!E333*G333))</f>
        <v/>
      </c>
      <c r="R333" s="68" t="str">
        <f>IF(C333="","",IF(ISERROR(
CAD_PROD!E333*D333),"",CAD_PROD!E333*D333))</f>
        <v/>
      </c>
      <c r="S333" s="44" t="str">
        <f>IF(C333="","",IF(CAD_PROD!E333&gt;=P333,"Sim","Não"))</f>
        <v/>
      </c>
    </row>
    <row r="334" spans="1:19" ht="30" customHeight="1">
      <c r="A334" s="52">
        <f t="shared" si="15"/>
        <v>0</v>
      </c>
      <c r="B334" s="52">
        <f t="shared" si="16"/>
        <v>0</v>
      </c>
      <c r="C334" s="96" t="str">
        <f>IF(CAD_PROD!C334="","",CAD_PROD!C334)</f>
        <v/>
      </c>
      <c r="D334" s="75"/>
      <c r="E334" s="125"/>
      <c r="F334" s="125"/>
      <c r="G334" s="75"/>
      <c r="H334" s="75" t="str">
        <f>IF(C334="","",D334+CAD_PROD!D334*(E334+F334)+G334)</f>
        <v/>
      </c>
      <c r="I334" s="52">
        <v>9.9999999999999995E-7</v>
      </c>
      <c r="J334" s="68" t="str">
        <f>IF(ISERROR(
CAD_PROD!F334*E334),"",CAD_PROD!F334*E334)</f>
        <v/>
      </c>
      <c r="K334" s="68" t="str">
        <f>IF(ISERROR(
CAD_PROD!F334*F334),"",CAD_PROD!F334*F334)</f>
        <v/>
      </c>
      <c r="L334" s="68" t="str">
        <f>IF(ISERROR(
CAD_PROD!D334-H334),"",CAD_PROD!D334-H334)</f>
        <v/>
      </c>
      <c r="M334" s="57" t="str">
        <f>IF(ISERROR(
L334/CAD_PROD!D334),"",L334/CAD_PROD!D334)</f>
        <v/>
      </c>
      <c r="N334" s="68" t="str">
        <f>IF(ISERROR(
(P334*CAD_PROD!D334)),"",(P334*CAD_PROD!D334))</f>
        <v/>
      </c>
      <c r="O334" s="68" t="str">
        <f>IF(ISERROR(PE_GERAL!$J$7*CAD_PROD!G334),"",PE_GERAL!$J$7*CAD_PROD!G334)</f>
        <v/>
      </c>
      <c r="P334" s="101" t="str">
        <f t="shared" si="17"/>
        <v/>
      </c>
      <c r="Q334" s="68" t="str">
        <f>IF(C334="","",IF(ISERROR(
CAD_PROD!E334*G334),"",CAD_PROD!E334*G334))</f>
        <v/>
      </c>
      <c r="R334" s="68" t="str">
        <f>IF(C334="","",IF(ISERROR(
CAD_PROD!E334*D334),"",CAD_PROD!E334*D334))</f>
        <v/>
      </c>
      <c r="S334" s="44" t="str">
        <f>IF(C334="","",IF(CAD_PROD!E334&gt;=P334,"Sim","Não"))</f>
        <v/>
      </c>
    </row>
    <row r="335" spans="1:19" ht="30" customHeight="1">
      <c r="A335" s="52">
        <f t="shared" si="15"/>
        <v>0</v>
      </c>
      <c r="B335" s="52">
        <f t="shared" si="16"/>
        <v>0</v>
      </c>
      <c r="C335" s="96" t="str">
        <f>IF(CAD_PROD!C335="","",CAD_PROD!C335)</f>
        <v/>
      </c>
      <c r="D335" s="75"/>
      <c r="E335" s="125"/>
      <c r="F335" s="125"/>
      <c r="G335" s="75"/>
      <c r="H335" s="75" t="str">
        <f>IF(C335="","",D335+CAD_PROD!D335*(E335+F335)+G335)</f>
        <v/>
      </c>
      <c r="I335" s="52">
        <v>9.9999999999999995E-7</v>
      </c>
      <c r="J335" s="68" t="str">
        <f>IF(ISERROR(
CAD_PROD!F335*E335),"",CAD_PROD!F335*E335)</f>
        <v/>
      </c>
      <c r="K335" s="68" t="str">
        <f>IF(ISERROR(
CAD_PROD!F335*F335),"",CAD_PROD!F335*F335)</f>
        <v/>
      </c>
      <c r="L335" s="68" t="str">
        <f>IF(ISERROR(
CAD_PROD!D335-H335),"",CAD_PROD!D335-H335)</f>
        <v/>
      </c>
      <c r="M335" s="57" t="str">
        <f>IF(ISERROR(
L335/CAD_PROD!D335),"",L335/CAD_PROD!D335)</f>
        <v/>
      </c>
      <c r="N335" s="68" t="str">
        <f>IF(ISERROR(
(P335*CAD_PROD!D335)),"",(P335*CAD_PROD!D335))</f>
        <v/>
      </c>
      <c r="O335" s="68" t="str">
        <f>IF(ISERROR(PE_GERAL!$J$7*CAD_PROD!G335),"",PE_GERAL!$J$7*CAD_PROD!G335)</f>
        <v/>
      </c>
      <c r="P335" s="101" t="str">
        <f t="shared" si="17"/>
        <v/>
      </c>
      <c r="Q335" s="68" t="str">
        <f>IF(C335="","",IF(ISERROR(
CAD_PROD!E335*G335),"",CAD_PROD!E335*G335))</f>
        <v/>
      </c>
      <c r="R335" s="68" t="str">
        <f>IF(C335="","",IF(ISERROR(
CAD_PROD!E335*D335),"",CAD_PROD!E335*D335))</f>
        <v/>
      </c>
      <c r="S335" s="44" t="str">
        <f>IF(C335="","",IF(CAD_PROD!E335&gt;=P335,"Sim","Não"))</f>
        <v/>
      </c>
    </row>
    <row r="336" spans="1:19" ht="30" customHeight="1">
      <c r="A336" s="52">
        <f t="shared" si="15"/>
        <v>0</v>
      </c>
      <c r="B336" s="52">
        <f t="shared" si="16"/>
        <v>0</v>
      </c>
      <c r="C336" s="96" t="str">
        <f>IF(CAD_PROD!C336="","",CAD_PROD!C336)</f>
        <v/>
      </c>
      <c r="D336" s="75"/>
      <c r="E336" s="125"/>
      <c r="F336" s="125"/>
      <c r="G336" s="75"/>
      <c r="H336" s="75" t="str">
        <f>IF(C336="","",D336+CAD_PROD!D336*(E336+F336)+G336)</f>
        <v/>
      </c>
      <c r="I336" s="52">
        <v>9.9999999999999995E-7</v>
      </c>
      <c r="J336" s="68" t="str">
        <f>IF(ISERROR(
CAD_PROD!F336*E336),"",CAD_PROD!F336*E336)</f>
        <v/>
      </c>
      <c r="K336" s="68" t="str">
        <f>IF(ISERROR(
CAD_PROD!F336*F336),"",CAD_PROD!F336*F336)</f>
        <v/>
      </c>
      <c r="L336" s="68" t="str">
        <f>IF(ISERROR(
CAD_PROD!D336-H336),"",CAD_PROD!D336-H336)</f>
        <v/>
      </c>
      <c r="M336" s="57" t="str">
        <f>IF(ISERROR(
L336/CAD_PROD!D336),"",L336/CAD_PROD!D336)</f>
        <v/>
      </c>
      <c r="N336" s="68" t="str">
        <f>IF(ISERROR(
(P336*CAD_PROD!D336)),"",(P336*CAD_PROD!D336))</f>
        <v/>
      </c>
      <c r="O336" s="68" t="str">
        <f>IF(ISERROR(PE_GERAL!$J$7*CAD_PROD!G336),"",PE_GERAL!$J$7*CAD_PROD!G336)</f>
        <v/>
      </c>
      <c r="P336" s="101" t="str">
        <f t="shared" si="17"/>
        <v/>
      </c>
      <c r="Q336" s="68" t="str">
        <f>IF(C336="","",IF(ISERROR(
CAD_PROD!E336*G336),"",CAD_PROD!E336*G336))</f>
        <v/>
      </c>
      <c r="R336" s="68" t="str">
        <f>IF(C336="","",IF(ISERROR(
CAD_PROD!E336*D336),"",CAD_PROD!E336*D336))</f>
        <v/>
      </c>
      <c r="S336" s="44" t="str">
        <f>IF(C336="","",IF(CAD_PROD!E336&gt;=P336,"Sim","Não"))</f>
        <v/>
      </c>
    </row>
    <row r="337" spans="1:19" ht="30" customHeight="1">
      <c r="A337" s="52">
        <f t="shared" si="15"/>
        <v>0</v>
      </c>
      <c r="B337" s="52">
        <f t="shared" si="16"/>
        <v>0</v>
      </c>
      <c r="C337" s="96" t="str">
        <f>IF(CAD_PROD!C337="","",CAD_PROD!C337)</f>
        <v/>
      </c>
      <c r="D337" s="75"/>
      <c r="E337" s="125"/>
      <c r="F337" s="125"/>
      <c r="G337" s="75"/>
      <c r="H337" s="75" t="str">
        <f>IF(C337="","",D337+CAD_PROD!D337*(E337+F337)+G337)</f>
        <v/>
      </c>
      <c r="I337" s="52">
        <v>9.9999999999999995E-7</v>
      </c>
      <c r="J337" s="68" t="str">
        <f>IF(ISERROR(
CAD_PROD!F337*E337),"",CAD_PROD!F337*E337)</f>
        <v/>
      </c>
      <c r="K337" s="68" t="str">
        <f>IF(ISERROR(
CAD_PROD!F337*F337),"",CAD_PROD!F337*F337)</f>
        <v/>
      </c>
      <c r="L337" s="68" t="str">
        <f>IF(ISERROR(
CAD_PROD!D337-H337),"",CAD_PROD!D337-H337)</f>
        <v/>
      </c>
      <c r="M337" s="57" t="str">
        <f>IF(ISERROR(
L337/CAD_PROD!D337),"",L337/CAD_PROD!D337)</f>
        <v/>
      </c>
      <c r="N337" s="68" t="str">
        <f>IF(ISERROR(
(P337*CAD_PROD!D337)),"",(P337*CAD_PROD!D337))</f>
        <v/>
      </c>
      <c r="O337" s="68" t="str">
        <f>IF(ISERROR(PE_GERAL!$J$7*CAD_PROD!G337),"",PE_GERAL!$J$7*CAD_PROD!G337)</f>
        <v/>
      </c>
      <c r="P337" s="101" t="str">
        <f t="shared" si="17"/>
        <v/>
      </c>
      <c r="Q337" s="68" t="str">
        <f>IF(C337="","",IF(ISERROR(
CAD_PROD!E337*G337),"",CAD_PROD!E337*G337))</f>
        <v/>
      </c>
      <c r="R337" s="68" t="str">
        <f>IF(C337="","",IF(ISERROR(
CAD_PROD!E337*D337),"",CAD_PROD!E337*D337))</f>
        <v/>
      </c>
      <c r="S337" s="44" t="str">
        <f>IF(C337="","",IF(CAD_PROD!E337&gt;=P337,"Sim","Não"))</f>
        <v/>
      </c>
    </row>
    <row r="338" spans="1:19" ht="30" customHeight="1">
      <c r="A338" s="52">
        <f t="shared" si="15"/>
        <v>0</v>
      </c>
      <c r="B338" s="52">
        <f t="shared" si="16"/>
        <v>0</v>
      </c>
      <c r="C338" s="96" t="str">
        <f>IF(CAD_PROD!C338="","",CAD_PROD!C338)</f>
        <v/>
      </c>
      <c r="D338" s="75"/>
      <c r="E338" s="125"/>
      <c r="F338" s="125"/>
      <c r="G338" s="75"/>
      <c r="H338" s="75" t="str">
        <f>IF(C338="","",D338+CAD_PROD!D338*(E338+F338)+G338)</f>
        <v/>
      </c>
      <c r="I338" s="52">
        <v>9.9999999999999995E-7</v>
      </c>
      <c r="J338" s="68" t="str">
        <f>IF(ISERROR(
CAD_PROD!F338*E338),"",CAD_PROD!F338*E338)</f>
        <v/>
      </c>
      <c r="K338" s="68" t="str">
        <f>IF(ISERROR(
CAD_PROD!F338*F338),"",CAD_PROD!F338*F338)</f>
        <v/>
      </c>
      <c r="L338" s="68" t="str">
        <f>IF(ISERROR(
CAD_PROD!D338-H338),"",CAD_PROD!D338-H338)</f>
        <v/>
      </c>
      <c r="M338" s="57" t="str">
        <f>IF(ISERROR(
L338/CAD_PROD!D338),"",L338/CAD_PROD!D338)</f>
        <v/>
      </c>
      <c r="N338" s="68" t="str">
        <f>IF(ISERROR(
(P338*CAD_PROD!D338)),"",(P338*CAD_PROD!D338))</f>
        <v/>
      </c>
      <c r="O338" s="68" t="str">
        <f>IF(ISERROR(PE_GERAL!$J$7*CAD_PROD!G338),"",PE_GERAL!$J$7*CAD_PROD!G338)</f>
        <v/>
      </c>
      <c r="P338" s="101" t="str">
        <f t="shared" si="17"/>
        <v/>
      </c>
      <c r="Q338" s="68" t="str">
        <f>IF(C338="","",IF(ISERROR(
CAD_PROD!E338*G338),"",CAD_PROD!E338*G338))</f>
        <v/>
      </c>
      <c r="R338" s="68" t="str">
        <f>IF(C338="","",IF(ISERROR(
CAD_PROD!E338*D338),"",CAD_PROD!E338*D338))</f>
        <v/>
      </c>
      <c r="S338" s="44" t="str">
        <f>IF(C338="","",IF(CAD_PROD!E338&gt;=P338,"Sim","Não"))</f>
        <v/>
      </c>
    </row>
    <row r="339" spans="1:19" ht="30" customHeight="1">
      <c r="A339" s="52">
        <f t="shared" si="15"/>
        <v>0</v>
      </c>
      <c r="B339" s="52">
        <f t="shared" si="16"/>
        <v>0</v>
      </c>
      <c r="C339" s="96" t="str">
        <f>IF(CAD_PROD!C339="","",CAD_PROD!C339)</f>
        <v/>
      </c>
      <c r="D339" s="75"/>
      <c r="E339" s="125"/>
      <c r="F339" s="125"/>
      <c r="G339" s="75"/>
      <c r="H339" s="75" t="str">
        <f>IF(C339="","",D339+CAD_PROD!D339*(E339+F339)+G339)</f>
        <v/>
      </c>
      <c r="I339" s="52">
        <v>9.9999999999999995E-7</v>
      </c>
      <c r="J339" s="68" t="str">
        <f>IF(ISERROR(
CAD_PROD!F339*E339),"",CAD_PROD!F339*E339)</f>
        <v/>
      </c>
      <c r="K339" s="68" t="str">
        <f>IF(ISERROR(
CAD_PROD!F339*F339),"",CAD_PROD!F339*F339)</f>
        <v/>
      </c>
      <c r="L339" s="68" t="str">
        <f>IF(ISERROR(
CAD_PROD!D339-H339),"",CAD_PROD!D339-H339)</f>
        <v/>
      </c>
      <c r="M339" s="57" t="str">
        <f>IF(ISERROR(
L339/CAD_PROD!D339),"",L339/CAD_PROD!D339)</f>
        <v/>
      </c>
      <c r="N339" s="68" t="str">
        <f>IF(ISERROR(
(P339*CAD_PROD!D339)),"",(P339*CAD_PROD!D339))</f>
        <v/>
      </c>
      <c r="O339" s="68" t="str">
        <f>IF(ISERROR(PE_GERAL!$J$7*CAD_PROD!G339),"",PE_GERAL!$J$7*CAD_PROD!G339)</f>
        <v/>
      </c>
      <c r="P339" s="101" t="str">
        <f t="shared" si="17"/>
        <v/>
      </c>
      <c r="Q339" s="68" t="str">
        <f>IF(C339="","",IF(ISERROR(
CAD_PROD!E339*G339),"",CAD_PROD!E339*G339))</f>
        <v/>
      </c>
      <c r="R339" s="68" t="str">
        <f>IF(C339="","",IF(ISERROR(
CAD_PROD!E339*D339),"",CAD_PROD!E339*D339))</f>
        <v/>
      </c>
      <c r="S339" s="44" t="str">
        <f>IF(C339="","",IF(CAD_PROD!E339&gt;=P339,"Sim","Não"))</f>
        <v/>
      </c>
    </row>
    <row r="340" spans="1:19" ht="30" customHeight="1">
      <c r="A340" s="52">
        <f t="shared" si="15"/>
        <v>0</v>
      </c>
      <c r="B340" s="52">
        <f t="shared" si="16"/>
        <v>0</v>
      </c>
      <c r="C340" s="96" t="str">
        <f>IF(CAD_PROD!C340="","",CAD_PROD!C340)</f>
        <v/>
      </c>
      <c r="D340" s="75"/>
      <c r="E340" s="125"/>
      <c r="F340" s="125"/>
      <c r="G340" s="75"/>
      <c r="H340" s="75" t="str">
        <f>IF(C340="","",D340+CAD_PROD!D340*(E340+F340)+G340)</f>
        <v/>
      </c>
      <c r="I340" s="52">
        <v>9.9999999999999995E-7</v>
      </c>
      <c r="J340" s="68" t="str">
        <f>IF(ISERROR(
CAD_PROD!F340*E340),"",CAD_PROD!F340*E340)</f>
        <v/>
      </c>
      <c r="K340" s="68" t="str">
        <f>IF(ISERROR(
CAD_PROD!F340*F340),"",CAD_PROD!F340*F340)</f>
        <v/>
      </c>
      <c r="L340" s="68" t="str">
        <f>IF(ISERROR(
CAD_PROD!D340-H340),"",CAD_PROD!D340-H340)</f>
        <v/>
      </c>
      <c r="M340" s="57" t="str">
        <f>IF(ISERROR(
L340/CAD_PROD!D340),"",L340/CAD_PROD!D340)</f>
        <v/>
      </c>
      <c r="N340" s="68" t="str">
        <f>IF(ISERROR(
(P340*CAD_PROD!D340)),"",(P340*CAD_PROD!D340))</f>
        <v/>
      </c>
      <c r="O340" s="68" t="str">
        <f>IF(ISERROR(PE_GERAL!$J$7*CAD_PROD!G340),"",PE_GERAL!$J$7*CAD_PROD!G340)</f>
        <v/>
      </c>
      <c r="P340" s="101" t="str">
        <f t="shared" si="17"/>
        <v/>
      </c>
      <c r="Q340" s="68" t="str">
        <f>IF(C340="","",IF(ISERROR(
CAD_PROD!E340*G340),"",CAD_PROD!E340*G340))</f>
        <v/>
      </c>
      <c r="R340" s="68" t="str">
        <f>IF(C340="","",IF(ISERROR(
CAD_PROD!E340*D340),"",CAD_PROD!E340*D340))</f>
        <v/>
      </c>
      <c r="S340" s="44" t="str">
        <f>IF(C340="","",IF(CAD_PROD!E340&gt;=P340,"Sim","Não"))</f>
        <v/>
      </c>
    </row>
    <row r="341" spans="1:19" ht="30" customHeight="1">
      <c r="A341" s="52">
        <f t="shared" si="15"/>
        <v>0</v>
      </c>
      <c r="B341" s="52">
        <f t="shared" si="16"/>
        <v>0</v>
      </c>
      <c r="C341" s="96" t="str">
        <f>IF(CAD_PROD!C341="","",CAD_PROD!C341)</f>
        <v/>
      </c>
      <c r="D341" s="75"/>
      <c r="E341" s="125"/>
      <c r="F341" s="125"/>
      <c r="G341" s="75"/>
      <c r="H341" s="75" t="str">
        <f>IF(C341="","",D341+CAD_PROD!D341*(E341+F341)+G341)</f>
        <v/>
      </c>
      <c r="I341" s="52">
        <v>9.9999999999999995E-7</v>
      </c>
      <c r="J341" s="68" t="str">
        <f>IF(ISERROR(
CAD_PROD!F341*E341),"",CAD_PROD!F341*E341)</f>
        <v/>
      </c>
      <c r="K341" s="68" t="str">
        <f>IF(ISERROR(
CAD_PROD!F341*F341),"",CAD_PROD!F341*F341)</f>
        <v/>
      </c>
      <c r="L341" s="68" t="str">
        <f>IF(ISERROR(
CAD_PROD!D341-H341),"",CAD_PROD!D341-H341)</f>
        <v/>
      </c>
      <c r="M341" s="57" t="str">
        <f>IF(ISERROR(
L341/CAD_PROD!D341),"",L341/CAD_PROD!D341)</f>
        <v/>
      </c>
      <c r="N341" s="68" t="str">
        <f>IF(ISERROR(
(P341*CAD_PROD!D341)),"",(P341*CAD_PROD!D341))</f>
        <v/>
      </c>
      <c r="O341" s="68" t="str">
        <f>IF(ISERROR(PE_GERAL!$J$7*CAD_PROD!G341),"",PE_GERAL!$J$7*CAD_PROD!G341)</f>
        <v/>
      </c>
      <c r="P341" s="101" t="str">
        <f t="shared" si="17"/>
        <v/>
      </c>
      <c r="Q341" s="68" t="str">
        <f>IF(C341="","",IF(ISERROR(
CAD_PROD!E341*G341),"",CAD_PROD!E341*G341))</f>
        <v/>
      </c>
      <c r="R341" s="68" t="str">
        <f>IF(C341="","",IF(ISERROR(
CAD_PROD!E341*D341),"",CAD_PROD!E341*D341))</f>
        <v/>
      </c>
      <c r="S341" s="44" t="str">
        <f>IF(C341="","",IF(CAD_PROD!E341&gt;=P341,"Sim","Não"))</f>
        <v/>
      </c>
    </row>
    <row r="342" spans="1:19" ht="30" customHeight="1">
      <c r="A342" s="52">
        <f t="shared" si="15"/>
        <v>0</v>
      </c>
      <c r="B342" s="52">
        <f t="shared" si="16"/>
        <v>0</v>
      </c>
      <c r="C342" s="96" t="str">
        <f>IF(CAD_PROD!C342="","",CAD_PROD!C342)</f>
        <v/>
      </c>
      <c r="D342" s="75"/>
      <c r="E342" s="125"/>
      <c r="F342" s="125"/>
      <c r="G342" s="75"/>
      <c r="H342" s="75" t="str">
        <f>IF(C342="","",D342+CAD_PROD!D342*(E342+F342)+G342)</f>
        <v/>
      </c>
      <c r="I342" s="52">
        <v>9.9999999999999995E-7</v>
      </c>
      <c r="J342" s="68" t="str">
        <f>IF(ISERROR(
CAD_PROD!F342*E342),"",CAD_PROD!F342*E342)</f>
        <v/>
      </c>
      <c r="K342" s="68" t="str">
        <f>IF(ISERROR(
CAD_PROD!F342*F342),"",CAD_PROD!F342*F342)</f>
        <v/>
      </c>
      <c r="L342" s="68" t="str">
        <f>IF(ISERROR(
CAD_PROD!D342-H342),"",CAD_PROD!D342-H342)</f>
        <v/>
      </c>
      <c r="M342" s="57" t="str">
        <f>IF(ISERROR(
L342/CAD_PROD!D342),"",L342/CAD_PROD!D342)</f>
        <v/>
      </c>
      <c r="N342" s="68" t="str">
        <f>IF(ISERROR(
(P342*CAD_PROD!D342)),"",(P342*CAD_PROD!D342))</f>
        <v/>
      </c>
      <c r="O342" s="68" t="str">
        <f>IF(ISERROR(PE_GERAL!$J$7*CAD_PROD!G342),"",PE_GERAL!$J$7*CAD_PROD!G342)</f>
        <v/>
      </c>
      <c r="P342" s="101" t="str">
        <f t="shared" si="17"/>
        <v/>
      </c>
      <c r="Q342" s="68" t="str">
        <f>IF(C342="","",IF(ISERROR(
CAD_PROD!E342*G342),"",CAD_PROD!E342*G342))</f>
        <v/>
      </c>
      <c r="R342" s="68" t="str">
        <f>IF(C342="","",IF(ISERROR(
CAD_PROD!E342*D342),"",CAD_PROD!E342*D342))</f>
        <v/>
      </c>
      <c r="S342" s="44" t="str">
        <f>IF(C342="","",IF(CAD_PROD!E342&gt;=P342,"Sim","Não"))</f>
        <v/>
      </c>
    </row>
    <row r="343" spans="1:19" ht="30" customHeight="1">
      <c r="A343" s="52">
        <f t="shared" si="15"/>
        <v>0</v>
      </c>
      <c r="B343" s="52">
        <f t="shared" si="16"/>
        <v>0</v>
      </c>
      <c r="C343" s="96" t="str">
        <f>IF(CAD_PROD!C343="","",CAD_PROD!C343)</f>
        <v/>
      </c>
      <c r="D343" s="75"/>
      <c r="E343" s="125"/>
      <c r="F343" s="125"/>
      <c r="G343" s="75"/>
      <c r="H343" s="75" t="str">
        <f>IF(C343="","",D343+CAD_PROD!D343*(E343+F343)+G343)</f>
        <v/>
      </c>
      <c r="I343" s="52">
        <v>9.9999999999999995E-7</v>
      </c>
      <c r="J343" s="68" t="str">
        <f>IF(ISERROR(
CAD_PROD!F343*E343),"",CAD_PROD!F343*E343)</f>
        <v/>
      </c>
      <c r="K343" s="68" t="str">
        <f>IF(ISERROR(
CAD_PROD!F343*F343),"",CAD_PROD!F343*F343)</f>
        <v/>
      </c>
      <c r="L343" s="68" t="str">
        <f>IF(ISERROR(
CAD_PROD!D343-H343),"",CAD_PROD!D343-H343)</f>
        <v/>
      </c>
      <c r="M343" s="57" t="str">
        <f>IF(ISERROR(
L343/CAD_PROD!D343),"",L343/CAD_PROD!D343)</f>
        <v/>
      </c>
      <c r="N343" s="68" t="str">
        <f>IF(ISERROR(
(P343*CAD_PROD!D343)),"",(P343*CAD_PROD!D343))</f>
        <v/>
      </c>
      <c r="O343" s="68" t="str">
        <f>IF(ISERROR(PE_GERAL!$J$7*CAD_PROD!G343),"",PE_GERAL!$J$7*CAD_PROD!G343)</f>
        <v/>
      </c>
      <c r="P343" s="101" t="str">
        <f t="shared" si="17"/>
        <v/>
      </c>
      <c r="Q343" s="68" t="str">
        <f>IF(C343="","",IF(ISERROR(
CAD_PROD!E343*G343),"",CAD_PROD!E343*G343))</f>
        <v/>
      </c>
      <c r="R343" s="68" t="str">
        <f>IF(C343="","",IF(ISERROR(
CAD_PROD!E343*D343),"",CAD_PROD!E343*D343))</f>
        <v/>
      </c>
      <c r="S343" s="44" t="str">
        <f>IF(C343="","",IF(CAD_PROD!E343&gt;=P343,"Sim","Não"))</f>
        <v/>
      </c>
    </row>
    <row r="344" spans="1:19" ht="30" customHeight="1">
      <c r="A344" s="52">
        <f t="shared" si="15"/>
        <v>0</v>
      </c>
      <c r="B344" s="52">
        <f t="shared" si="16"/>
        <v>0</v>
      </c>
      <c r="C344" s="96" t="str">
        <f>IF(CAD_PROD!C344="","",CAD_PROD!C344)</f>
        <v/>
      </c>
      <c r="D344" s="75"/>
      <c r="E344" s="125"/>
      <c r="F344" s="125"/>
      <c r="G344" s="75"/>
      <c r="H344" s="75" t="str">
        <f>IF(C344="","",D344+CAD_PROD!D344*(E344+F344)+G344)</f>
        <v/>
      </c>
      <c r="I344" s="52">
        <v>9.9999999999999995E-7</v>
      </c>
      <c r="J344" s="68" t="str">
        <f>IF(ISERROR(
CAD_PROD!F344*E344),"",CAD_PROD!F344*E344)</f>
        <v/>
      </c>
      <c r="K344" s="68" t="str">
        <f>IF(ISERROR(
CAD_PROD!F344*F344),"",CAD_PROD!F344*F344)</f>
        <v/>
      </c>
      <c r="L344" s="68" t="str">
        <f>IF(ISERROR(
CAD_PROD!D344-H344),"",CAD_PROD!D344-H344)</f>
        <v/>
      </c>
      <c r="M344" s="57" t="str">
        <f>IF(ISERROR(
L344/CAD_PROD!D344),"",L344/CAD_PROD!D344)</f>
        <v/>
      </c>
      <c r="N344" s="68" t="str">
        <f>IF(ISERROR(
(P344*CAD_PROD!D344)),"",(P344*CAD_PROD!D344))</f>
        <v/>
      </c>
      <c r="O344" s="68" t="str">
        <f>IF(ISERROR(PE_GERAL!$J$7*CAD_PROD!G344),"",PE_GERAL!$J$7*CAD_PROD!G344)</f>
        <v/>
      </c>
      <c r="P344" s="101" t="str">
        <f t="shared" si="17"/>
        <v/>
      </c>
      <c r="Q344" s="68" t="str">
        <f>IF(C344="","",IF(ISERROR(
CAD_PROD!E344*G344),"",CAD_PROD!E344*G344))</f>
        <v/>
      </c>
      <c r="R344" s="68" t="str">
        <f>IF(C344="","",IF(ISERROR(
CAD_PROD!E344*D344),"",CAD_PROD!E344*D344))</f>
        <v/>
      </c>
      <c r="S344" s="44" t="str">
        <f>IF(C344="","",IF(CAD_PROD!E344&gt;=P344,"Sim","Não"))</f>
        <v/>
      </c>
    </row>
    <row r="345" spans="1:19" ht="30" customHeight="1">
      <c r="A345" s="52">
        <f t="shared" si="15"/>
        <v>0</v>
      </c>
      <c r="B345" s="52">
        <f t="shared" si="16"/>
        <v>0</v>
      </c>
      <c r="C345" s="96" t="str">
        <f>IF(CAD_PROD!C345="","",CAD_PROD!C345)</f>
        <v/>
      </c>
      <c r="D345" s="75"/>
      <c r="E345" s="125"/>
      <c r="F345" s="125"/>
      <c r="G345" s="75"/>
      <c r="H345" s="75" t="str">
        <f>IF(C345="","",D345+CAD_PROD!D345*(E345+F345)+G345)</f>
        <v/>
      </c>
      <c r="I345" s="52">
        <v>9.9999999999999995E-7</v>
      </c>
      <c r="J345" s="68" t="str">
        <f>IF(ISERROR(
CAD_PROD!F345*E345),"",CAD_PROD!F345*E345)</f>
        <v/>
      </c>
      <c r="K345" s="68" t="str">
        <f>IF(ISERROR(
CAD_PROD!F345*F345),"",CAD_PROD!F345*F345)</f>
        <v/>
      </c>
      <c r="L345" s="68" t="str">
        <f>IF(ISERROR(
CAD_PROD!D345-H345),"",CAD_PROD!D345-H345)</f>
        <v/>
      </c>
      <c r="M345" s="57" t="str">
        <f>IF(ISERROR(
L345/CAD_PROD!D345),"",L345/CAD_PROD!D345)</f>
        <v/>
      </c>
      <c r="N345" s="68" t="str">
        <f>IF(ISERROR(
(P345*CAD_PROD!D345)),"",(P345*CAD_PROD!D345))</f>
        <v/>
      </c>
      <c r="O345" s="68" t="str">
        <f>IF(ISERROR(PE_GERAL!$J$7*CAD_PROD!G345),"",PE_GERAL!$J$7*CAD_PROD!G345)</f>
        <v/>
      </c>
      <c r="P345" s="101" t="str">
        <f t="shared" si="17"/>
        <v/>
      </c>
      <c r="Q345" s="68" t="str">
        <f>IF(C345="","",IF(ISERROR(
CAD_PROD!E345*G345),"",CAD_PROD!E345*G345))</f>
        <v/>
      </c>
      <c r="R345" s="68" t="str">
        <f>IF(C345="","",IF(ISERROR(
CAD_PROD!E345*D345),"",CAD_PROD!E345*D345))</f>
        <v/>
      </c>
      <c r="S345" s="44" t="str">
        <f>IF(C345="","",IF(CAD_PROD!E345&gt;=P345,"Sim","Não"))</f>
        <v/>
      </c>
    </row>
    <row r="346" spans="1:19" ht="30" customHeight="1">
      <c r="A346" s="52">
        <f t="shared" si="15"/>
        <v>0</v>
      </c>
      <c r="B346" s="52">
        <f t="shared" si="16"/>
        <v>0</v>
      </c>
      <c r="C346" s="96" t="str">
        <f>IF(CAD_PROD!C346="","",CAD_PROD!C346)</f>
        <v/>
      </c>
      <c r="D346" s="75"/>
      <c r="E346" s="125"/>
      <c r="F346" s="125"/>
      <c r="G346" s="75"/>
      <c r="H346" s="75" t="str">
        <f>IF(C346="","",D346+CAD_PROD!D346*(E346+F346)+G346)</f>
        <v/>
      </c>
      <c r="I346" s="52">
        <v>9.9999999999999995E-7</v>
      </c>
      <c r="J346" s="68" t="str">
        <f>IF(ISERROR(
CAD_PROD!F346*E346),"",CAD_PROD!F346*E346)</f>
        <v/>
      </c>
      <c r="K346" s="68" t="str">
        <f>IF(ISERROR(
CAD_PROD!F346*F346),"",CAD_PROD!F346*F346)</f>
        <v/>
      </c>
      <c r="L346" s="68" t="str">
        <f>IF(ISERROR(
CAD_PROD!D346-H346),"",CAD_PROD!D346-H346)</f>
        <v/>
      </c>
      <c r="M346" s="57" t="str">
        <f>IF(ISERROR(
L346/CAD_PROD!D346),"",L346/CAD_PROD!D346)</f>
        <v/>
      </c>
      <c r="N346" s="68" t="str">
        <f>IF(ISERROR(
(P346*CAD_PROD!D346)),"",(P346*CAD_PROD!D346))</f>
        <v/>
      </c>
      <c r="O346" s="68" t="str">
        <f>IF(ISERROR(PE_GERAL!$J$7*CAD_PROD!G346),"",PE_GERAL!$J$7*CAD_PROD!G346)</f>
        <v/>
      </c>
      <c r="P346" s="101" t="str">
        <f t="shared" si="17"/>
        <v/>
      </c>
      <c r="Q346" s="68" t="str">
        <f>IF(C346="","",IF(ISERROR(
CAD_PROD!E346*G346),"",CAD_PROD!E346*G346))</f>
        <v/>
      </c>
      <c r="R346" s="68" t="str">
        <f>IF(C346="","",IF(ISERROR(
CAD_PROD!E346*D346),"",CAD_PROD!E346*D346))</f>
        <v/>
      </c>
      <c r="S346" s="44" t="str">
        <f>IF(C346="","",IF(CAD_PROD!E346&gt;=P346,"Sim","Não"))</f>
        <v/>
      </c>
    </row>
    <row r="347" spans="1:19" ht="30" customHeight="1">
      <c r="A347" s="52">
        <f t="shared" si="15"/>
        <v>0</v>
      </c>
      <c r="B347" s="52">
        <f t="shared" si="16"/>
        <v>0</v>
      </c>
      <c r="C347" s="96" t="str">
        <f>IF(CAD_PROD!C347="","",CAD_PROD!C347)</f>
        <v/>
      </c>
      <c r="D347" s="75"/>
      <c r="E347" s="125"/>
      <c r="F347" s="125"/>
      <c r="G347" s="75"/>
      <c r="H347" s="75" t="str">
        <f>IF(C347="","",D347+CAD_PROD!D347*(E347+F347)+G347)</f>
        <v/>
      </c>
      <c r="I347" s="52">
        <v>9.9999999999999995E-7</v>
      </c>
      <c r="J347" s="68" t="str">
        <f>IF(ISERROR(
CAD_PROD!F347*E347),"",CAD_PROD!F347*E347)</f>
        <v/>
      </c>
      <c r="K347" s="68" t="str">
        <f>IF(ISERROR(
CAD_PROD!F347*F347),"",CAD_PROD!F347*F347)</f>
        <v/>
      </c>
      <c r="L347" s="68" t="str">
        <f>IF(ISERROR(
CAD_PROD!D347-H347),"",CAD_PROD!D347-H347)</f>
        <v/>
      </c>
      <c r="M347" s="57" t="str">
        <f>IF(ISERROR(
L347/CAD_PROD!D347),"",L347/CAD_PROD!D347)</f>
        <v/>
      </c>
      <c r="N347" s="68" t="str">
        <f>IF(ISERROR(
(P347*CAD_PROD!D347)),"",(P347*CAD_PROD!D347))</f>
        <v/>
      </c>
      <c r="O347" s="68" t="str">
        <f>IF(ISERROR(PE_GERAL!$J$7*CAD_PROD!G347),"",PE_GERAL!$J$7*CAD_PROD!G347)</f>
        <v/>
      </c>
      <c r="P347" s="101" t="str">
        <f t="shared" si="17"/>
        <v/>
      </c>
      <c r="Q347" s="68" t="str">
        <f>IF(C347="","",IF(ISERROR(
CAD_PROD!E347*G347),"",CAD_PROD!E347*G347))</f>
        <v/>
      </c>
      <c r="R347" s="68" t="str">
        <f>IF(C347="","",IF(ISERROR(
CAD_PROD!E347*D347),"",CAD_PROD!E347*D347))</f>
        <v/>
      </c>
      <c r="S347" s="44" t="str">
        <f>IF(C347="","",IF(CAD_PROD!E347&gt;=P347,"Sim","Não"))</f>
        <v/>
      </c>
    </row>
    <row r="348" spans="1:19" ht="30" customHeight="1">
      <c r="A348" s="52">
        <f t="shared" si="15"/>
        <v>0</v>
      </c>
      <c r="B348" s="52">
        <f t="shared" si="16"/>
        <v>0</v>
      </c>
      <c r="C348" s="96" t="str">
        <f>IF(CAD_PROD!C348="","",CAD_PROD!C348)</f>
        <v/>
      </c>
      <c r="D348" s="75"/>
      <c r="E348" s="125"/>
      <c r="F348" s="125"/>
      <c r="G348" s="75"/>
      <c r="H348" s="75" t="str">
        <f>IF(C348="","",D348+CAD_PROD!D348*(E348+F348)+G348)</f>
        <v/>
      </c>
      <c r="I348" s="52">
        <v>9.9999999999999995E-7</v>
      </c>
      <c r="J348" s="68" t="str">
        <f>IF(ISERROR(
CAD_PROD!F348*E348),"",CAD_PROD!F348*E348)</f>
        <v/>
      </c>
      <c r="K348" s="68" t="str">
        <f>IF(ISERROR(
CAD_PROD!F348*F348),"",CAD_PROD!F348*F348)</f>
        <v/>
      </c>
      <c r="L348" s="68" t="str">
        <f>IF(ISERROR(
CAD_PROD!D348-H348),"",CAD_PROD!D348-H348)</f>
        <v/>
      </c>
      <c r="M348" s="57" t="str">
        <f>IF(ISERROR(
L348/CAD_PROD!D348),"",L348/CAD_PROD!D348)</f>
        <v/>
      </c>
      <c r="N348" s="68" t="str">
        <f>IF(ISERROR(
(P348*CAD_PROD!D348)),"",(P348*CAD_PROD!D348))</f>
        <v/>
      </c>
      <c r="O348" s="68" t="str">
        <f>IF(ISERROR(PE_GERAL!$J$7*CAD_PROD!G348),"",PE_GERAL!$J$7*CAD_PROD!G348)</f>
        <v/>
      </c>
      <c r="P348" s="101" t="str">
        <f t="shared" si="17"/>
        <v/>
      </c>
      <c r="Q348" s="68" t="str">
        <f>IF(C348="","",IF(ISERROR(
CAD_PROD!E348*G348),"",CAD_PROD!E348*G348))</f>
        <v/>
      </c>
      <c r="R348" s="68" t="str">
        <f>IF(C348="","",IF(ISERROR(
CAD_PROD!E348*D348),"",CAD_PROD!E348*D348))</f>
        <v/>
      </c>
      <c r="S348" s="44" t="str">
        <f>IF(C348="","",IF(CAD_PROD!E348&gt;=P348,"Sim","Não"))</f>
        <v/>
      </c>
    </row>
    <row r="349" spans="1:19" ht="30" customHeight="1">
      <c r="A349" s="52">
        <f t="shared" si="15"/>
        <v>0</v>
      </c>
      <c r="B349" s="52">
        <f t="shared" si="16"/>
        <v>0</v>
      </c>
      <c r="C349" s="96" t="str">
        <f>IF(CAD_PROD!C349="","",CAD_PROD!C349)</f>
        <v/>
      </c>
      <c r="D349" s="75"/>
      <c r="E349" s="125"/>
      <c r="F349" s="125"/>
      <c r="G349" s="75"/>
      <c r="H349" s="75" t="str">
        <f>IF(C349="","",D349+CAD_PROD!D349*(E349+F349)+G349)</f>
        <v/>
      </c>
      <c r="I349" s="52">
        <v>9.9999999999999995E-7</v>
      </c>
      <c r="J349" s="68" t="str">
        <f>IF(ISERROR(
CAD_PROD!F349*E349),"",CAD_PROD!F349*E349)</f>
        <v/>
      </c>
      <c r="K349" s="68" t="str">
        <f>IF(ISERROR(
CAD_PROD!F349*F349),"",CAD_PROD!F349*F349)</f>
        <v/>
      </c>
      <c r="L349" s="68" t="str">
        <f>IF(ISERROR(
CAD_PROD!D349-H349),"",CAD_PROD!D349-H349)</f>
        <v/>
      </c>
      <c r="M349" s="57" t="str">
        <f>IF(ISERROR(
L349/CAD_PROD!D349),"",L349/CAD_PROD!D349)</f>
        <v/>
      </c>
      <c r="N349" s="68" t="str">
        <f>IF(ISERROR(
(P349*CAD_PROD!D349)),"",(P349*CAD_PROD!D349))</f>
        <v/>
      </c>
      <c r="O349" s="68" t="str">
        <f>IF(ISERROR(PE_GERAL!$J$7*CAD_PROD!G349),"",PE_GERAL!$J$7*CAD_PROD!G349)</f>
        <v/>
      </c>
      <c r="P349" s="101" t="str">
        <f t="shared" si="17"/>
        <v/>
      </c>
      <c r="Q349" s="68" t="str">
        <f>IF(C349="","",IF(ISERROR(
CAD_PROD!E349*G349),"",CAD_PROD!E349*G349))</f>
        <v/>
      </c>
      <c r="R349" s="68" t="str">
        <f>IF(C349="","",IF(ISERROR(
CAD_PROD!E349*D349),"",CAD_PROD!E349*D349))</f>
        <v/>
      </c>
      <c r="S349" s="44" t="str">
        <f>IF(C349="","",IF(CAD_PROD!E349&gt;=P349,"Sim","Não"))</f>
        <v/>
      </c>
    </row>
    <row r="350" spans="1:19" ht="30" customHeight="1">
      <c r="A350" s="52">
        <f t="shared" si="15"/>
        <v>0</v>
      </c>
      <c r="B350" s="52">
        <f t="shared" si="16"/>
        <v>0</v>
      </c>
      <c r="C350" s="96" t="str">
        <f>IF(CAD_PROD!C350="","",CAD_PROD!C350)</f>
        <v/>
      </c>
      <c r="D350" s="75"/>
      <c r="E350" s="125"/>
      <c r="F350" s="125"/>
      <c r="G350" s="75"/>
      <c r="H350" s="75" t="str">
        <f>IF(C350="","",D350+CAD_PROD!D350*(E350+F350)+G350)</f>
        <v/>
      </c>
      <c r="I350" s="52">
        <v>9.9999999999999995E-7</v>
      </c>
      <c r="J350" s="68" t="str">
        <f>IF(ISERROR(
CAD_PROD!F350*E350),"",CAD_PROD!F350*E350)</f>
        <v/>
      </c>
      <c r="K350" s="68" t="str">
        <f>IF(ISERROR(
CAD_PROD!F350*F350),"",CAD_PROD!F350*F350)</f>
        <v/>
      </c>
      <c r="L350" s="68" t="str">
        <f>IF(ISERROR(
CAD_PROD!D350-H350),"",CAD_PROD!D350-H350)</f>
        <v/>
      </c>
      <c r="M350" s="57" t="str">
        <f>IF(ISERROR(
L350/CAD_PROD!D350),"",L350/CAD_PROD!D350)</f>
        <v/>
      </c>
      <c r="N350" s="68" t="str">
        <f>IF(ISERROR(
(P350*CAD_PROD!D350)),"",(P350*CAD_PROD!D350))</f>
        <v/>
      </c>
      <c r="O350" s="68" t="str">
        <f>IF(ISERROR(PE_GERAL!$J$7*CAD_PROD!G350),"",PE_GERAL!$J$7*CAD_PROD!G350)</f>
        <v/>
      </c>
      <c r="P350" s="101" t="str">
        <f t="shared" si="17"/>
        <v/>
      </c>
      <c r="Q350" s="68" t="str">
        <f>IF(C350="","",IF(ISERROR(
CAD_PROD!E350*G350),"",CAD_PROD!E350*G350))</f>
        <v/>
      </c>
      <c r="R350" s="68" t="str">
        <f>IF(C350="","",IF(ISERROR(
CAD_PROD!E350*D350),"",CAD_PROD!E350*D350))</f>
        <v/>
      </c>
      <c r="S350" s="44" t="str">
        <f>IF(C350="","",IF(CAD_PROD!E350&gt;=P350,"Sim","Não"))</f>
        <v/>
      </c>
    </row>
    <row r="351" spans="1:19" ht="30" customHeight="1">
      <c r="A351" s="52">
        <f t="shared" si="15"/>
        <v>0</v>
      </c>
      <c r="B351" s="52">
        <f t="shared" si="16"/>
        <v>0</v>
      </c>
      <c r="C351" s="96" t="str">
        <f>IF(CAD_PROD!C351="","",CAD_PROD!C351)</f>
        <v/>
      </c>
      <c r="D351" s="75"/>
      <c r="E351" s="125"/>
      <c r="F351" s="125"/>
      <c r="G351" s="75"/>
      <c r="H351" s="75" t="str">
        <f>IF(C351="","",D351+CAD_PROD!D351*(E351+F351)+G351)</f>
        <v/>
      </c>
      <c r="I351" s="52">
        <v>9.9999999999999995E-7</v>
      </c>
      <c r="J351" s="68" t="str">
        <f>IF(ISERROR(
CAD_PROD!F351*E351),"",CAD_PROD!F351*E351)</f>
        <v/>
      </c>
      <c r="K351" s="68" t="str">
        <f>IF(ISERROR(
CAD_PROD!F351*F351),"",CAD_PROD!F351*F351)</f>
        <v/>
      </c>
      <c r="L351" s="68" t="str">
        <f>IF(ISERROR(
CAD_PROD!D351-H351),"",CAD_PROD!D351-H351)</f>
        <v/>
      </c>
      <c r="M351" s="57" t="str">
        <f>IF(ISERROR(
L351/CAD_PROD!D351),"",L351/CAD_PROD!D351)</f>
        <v/>
      </c>
      <c r="N351" s="68" t="str">
        <f>IF(ISERROR(
(P351*CAD_PROD!D351)),"",(P351*CAD_PROD!D351))</f>
        <v/>
      </c>
      <c r="O351" s="68" t="str">
        <f>IF(ISERROR(PE_GERAL!$J$7*CAD_PROD!G351),"",PE_GERAL!$J$7*CAD_PROD!G351)</f>
        <v/>
      </c>
      <c r="P351" s="101" t="str">
        <f t="shared" si="17"/>
        <v/>
      </c>
      <c r="Q351" s="68" t="str">
        <f>IF(C351="","",IF(ISERROR(
CAD_PROD!E351*G351),"",CAD_PROD!E351*G351))</f>
        <v/>
      </c>
      <c r="R351" s="68" t="str">
        <f>IF(C351="","",IF(ISERROR(
CAD_PROD!E351*D351),"",CAD_PROD!E351*D351))</f>
        <v/>
      </c>
      <c r="S351" s="44" t="str">
        <f>IF(C351="","",IF(CAD_PROD!E351&gt;=P351,"Sim","Não"))</f>
        <v/>
      </c>
    </row>
    <row r="352" spans="1:19" ht="30" customHeight="1">
      <c r="A352" s="52">
        <f t="shared" si="15"/>
        <v>0</v>
      </c>
      <c r="B352" s="52">
        <f t="shared" si="16"/>
        <v>0</v>
      </c>
      <c r="C352" s="96" t="str">
        <f>IF(CAD_PROD!C352="","",CAD_PROD!C352)</f>
        <v/>
      </c>
      <c r="D352" s="75"/>
      <c r="E352" s="125"/>
      <c r="F352" s="125"/>
      <c r="G352" s="75"/>
      <c r="H352" s="75" t="str">
        <f>IF(C352="","",D352+CAD_PROD!D352*(E352+F352)+G352)</f>
        <v/>
      </c>
      <c r="I352" s="52">
        <v>9.9999999999999995E-7</v>
      </c>
      <c r="J352" s="68" t="str">
        <f>IF(ISERROR(
CAD_PROD!F352*E352),"",CAD_PROD!F352*E352)</f>
        <v/>
      </c>
      <c r="K352" s="68" t="str">
        <f>IF(ISERROR(
CAD_PROD!F352*F352),"",CAD_PROD!F352*F352)</f>
        <v/>
      </c>
      <c r="L352" s="68" t="str">
        <f>IF(ISERROR(
CAD_PROD!D352-H352),"",CAD_PROD!D352-H352)</f>
        <v/>
      </c>
      <c r="M352" s="57" t="str">
        <f>IF(ISERROR(
L352/CAD_PROD!D352),"",L352/CAD_PROD!D352)</f>
        <v/>
      </c>
      <c r="N352" s="68" t="str">
        <f>IF(ISERROR(
(P352*CAD_PROD!D352)),"",(P352*CAD_PROD!D352))</f>
        <v/>
      </c>
      <c r="O352" s="68" t="str">
        <f>IF(ISERROR(PE_GERAL!$J$7*CAD_PROD!G352),"",PE_GERAL!$J$7*CAD_PROD!G352)</f>
        <v/>
      </c>
      <c r="P352" s="101" t="str">
        <f t="shared" si="17"/>
        <v/>
      </c>
      <c r="Q352" s="68" t="str">
        <f>IF(C352="","",IF(ISERROR(
CAD_PROD!E352*G352),"",CAD_PROD!E352*G352))</f>
        <v/>
      </c>
      <c r="R352" s="68" t="str">
        <f>IF(C352="","",IF(ISERROR(
CAD_PROD!E352*D352),"",CAD_PROD!E352*D352))</f>
        <v/>
      </c>
      <c r="S352" s="44" t="str">
        <f>IF(C352="","",IF(CAD_PROD!E352&gt;=P352,"Sim","Não"))</f>
        <v/>
      </c>
    </row>
    <row r="353" spans="1:19" ht="30" customHeight="1">
      <c r="A353" s="52">
        <f t="shared" si="15"/>
        <v>0</v>
      </c>
      <c r="B353" s="52">
        <f t="shared" si="16"/>
        <v>0</v>
      </c>
      <c r="C353" s="96" t="str">
        <f>IF(CAD_PROD!C353="","",CAD_PROD!C353)</f>
        <v/>
      </c>
      <c r="D353" s="75"/>
      <c r="E353" s="125"/>
      <c r="F353" s="125"/>
      <c r="G353" s="75"/>
      <c r="H353" s="75" t="str">
        <f>IF(C353="","",D353+CAD_PROD!D353*(E353+F353)+G353)</f>
        <v/>
      </c>
      <c r="I353" s="52">
        <v>9.9999999999999995E-7</v>
      </c>
      <c r="J353" s="68" t="str">
        <f>IF(ISERROR(
CAD_PROD!F353*E353),"",CAD_PROD!F353*E353)</f>
        <v/>
      </c>
      <c r="K353" s="68" t="str">
        <f>IF(ISERROR(
CAD_PROD!F353*F353),"",CAD_PROD!F353*F353)</f>
        <v/>
      </c>
      <c r="L353" s="68" t="str">
        <f>IF(ISERROR(
CAD_PROD!D353-H353),"",CAD_PROD!D353-H353)</f>
        <v/>
      </c>
      <c r="M353" s="57" t="str">
        <f>IF(ISERROR(
L353/CAD_PROD!D353),"",L353/CAD_PROD!D353)</f>
        <v/>
      </c>
      <c r="N353" s="68" t="str">
        <f>IF(ISERROR(
(P353*CAD_PROD!D353)),"",(P353*CAD_PROD!D353))</f>
        <v/>
      </c>
      <c r="O353" s="68" t="str">
        <f>IF(ISERROR(PE_GERAL!$J$7*CAD_PROD!G353),"",PE_GERAL!$J$7*CAD_PROD!G353)</f>
        <v/>
      </c>
      <c r="P353" s="101" t="str">
        <f t="shared" si="17"/>
        <v/>
      </c>
      <c r="Q353" s="68" t="str">
        <f>IF(C353="","",IF(ISERROR(
CAD_PROD!E353*G353),"",CAD_PROD!E353*G353))</f>
        <v/>
      </c>
      <c r="R353" s="68" t="str">
        <f>IF(C353="","",IF(ISERROR(
CAD_PROD!E353*D353),"",CAD_PROD!E353*D353))</f>
        <v/>
      </c>
      <c r="S353" s="44" t="str">
        <f>IF(C353="","",IF(CAD_PROD!E353&gt;=P353,"Sim","Não"))</f>
        <v/>
      </c>
    </row>
    <row r="354" spans="1:19" ht="30" customHeight="1">
      <c r="A354" s="52">
        <f t="shared" si="15"/>
        <v>0</v>
      </c>
      <c r="B354" s="52">
        <f t="shared" si="16"/>
        <v>0</v>
      </c>
      <c r="C354" s="96" t="str">
        <f>IF(CAD_PROD!C354="","",CAD_PROD!C354)</f>
        <v/>
      </c>
      <c r="D354" s="75"/>
      <c r="E354" s="125"/>
      <c r="F354" s="125"/>
      <c r="G354" s="75"/>
      <c r="H354" s="75" t="str">
        <f>IF(C354="","",D354+CAD_PROD!D354*(E354+F354)+G354)</f>
        <v/>
      </c>
      <c r="I354" s="52">
        <v>9.9999999999999995E-7</v>
      </c>
      <c r="J354" s="68" t="str">
        <f>IF(ISERROR(
CAD_PROD!F354*E354),"",CAD_PROD!F354*E354)</f>
        <v/>
      </c>
      <c r="K354" s="68" t="str">
        <f>IF(ISERROR(
CAD_PROD!F354*F354),"",CAD_PROD!F354*F354)</f>
        <v/>
      </c>
      <c r="L354" s="68" t="str">
        <f>IF(ISERROR(
CAD_PROD!D354-H354),"",CAD_PROD!D354-H354)</f>
        <v/>
      </c>
      <c r="M354" s="57" t="str">
        <f>IF(ISERROR(
L354/CAD_PROD!D354),"",L354/CAD_PROD!D354)</f>
        <v/>
      </c>
      <c r="N354" s="68" t="str">
        <f>IF(ISERROR(
(P354*CAD_PROD!D354)),"",(P354*CAD_PROD!D354))</f>
        <v/>
      </c>
      <c r="O354" s="68" t="str">
        <f>IF(ISERROR(PE_GERAL!$J$7*CAD_PROD!G354),"",PE_GERAL!$J$7*CAD_PROD!G354)</f>
        <v/>
      </c>
      <c r="P354" s="101" t="str">
        <f t="shared" si="17"/>
        <v/>
      </c>
      <c r="Q354" s="68" t="str">
        <f>IF(C354="","",IF(ISERROR(
CAD_PROD!E354*G354),"",CAD_PROD!E354*G354))</f>
        <v/>
      </c>
      <c r="R354" s="68" t="str">
        <f>IF(C354="","",IF(ISERROR(
CAD_PROD!E354*D354),"",CAD_PROD!E354*D354))</f>
        <v/>
      </c>
      <c r="S354" s="44" t="str">
        <f>IF(C354="","",IF(CAD_PROD!E354&gt;=P354,"Sim","Não"))</f>
        <v/>
      </c>
    </row>
    <row r="355" spans="1:19" ht="30" customHeight="1">
      <c r="A355" s="52">
        <f t="shared" si="15"/>
        <v>0</v>
      </c>
      <c r="B355" s="52">
        <f t="shared" si="16"/>
        <v>0</v>
      </c>
      <c r="C355" s="96" t="str">
        <f>IF(CAD_PROD!C355="","",CAD_PROD!C355)</f>
        <v/>
      </c>
      <c r="D355" s="75"/>
      <c r="E355" s="125"/>
      <c r="F355" s="125"/>
      <c r="G355" s="75"/>
      <c r="H355" s="75" t="str">
        <f>IF(C355="","",D355+CAD_PROD!D355*(E355+F355)+G355)</f>
        <v/>
      </c>
      <c r="I355" s="52">
        <v>9.9999999999999995E-7</v>
      </c>
      <c r="J355" s="68" t="str">
        <f>IF(ISERROR(
CAD_PROD!F355*E355),"",CAD_PROD!F355*E355)</f>
        <v/>
      </c>
      <c r="K355" s="68" t="str">
        <f>IF(ISERROR(
CAD_PROD!F355*F355),"",CAD_PROD!F355*F355)</f>
        <v/>
      </c>
      <c r="L355" s="68" t="str">
        <f>IF(ISERROR(
CAD_PROD!D355-H355),"",CAD_PROD!D355-H355)</f>
        <v/>
      </c>
      <c r="M355" s="57" t="str">
        <f>IF(ISERROR(
L355/CAD_PROD!D355),"",L355/CAD_PROD!D355)</f>
        <v/>
      </c>
      <c r="N355" s="68" t="str">
        <f>IF(ISERROR(
(P355*CAD_PROD!D355)),"",(P355*CAD_PROD!D355))</f>
        <v/>
      </c>
      <c r="O355" s="68" t="str">
        <f>IF(ISERROR(PE_GERAL!$J$7*CAD_PROD!G355),"",PE_GERAL!$J$7*CAD_PROD!G355)</f>
        <v/>
      </c>
      <c r="P355" s="101" t="str">
        <f t="shared" si="17"/>
        <v/>
      </c>
      <c r="Q355" s="68" t="str">
        <f>IF(C355="","",IF(ISERROR(
CAD_PROD!E355*G355),"",CAD_PROD!E355*G355))</f>
        <v/>
      </c>
      <c r="R355" s="68" t="str">
        <f>IF(C355="","",IF(ISERROR(
CAD_PROD!E355*D355),"",CAD_PROD!E355*D355))</f>
        <v/>
      </c>
      <c r="S355" s="44" t="str">
        <f>IF(C355="","",IF(CAD_PROD!E355&gt;=P355,"Sim","Não"))</f>
        <v/>
      </c>
    </row>
    <row r="356" spans="1:19" ht="30" customHeight="1">
      <c r="A356" s="52">
        <f t="shared" si="15"/>
        <v>0</v>
      </c>
      <c r="B356" s="52">
        <f t="shared" si="16"/>
        <v>0</v>
      </c>
      <c r="C356" s="96" t="str">
        <f>IF(CAD_PROD!C356="","",CAD_PROD!C356)</f>
        <v/>
      </c>
      <c r="D356" s="75"/>
      <c r="E356" s="125"/>
      <c r="F356" s="125"/>
      <c r="G356" s="75"/>
      <c r="H356" s="75" t="str">
        <f>IF(C356="","",D356+CAD_PROD!D356*(E356+F356)+G356)</f>
        <v/>
      </c>
      <c r="I356" s="52">
        <v>9.9999999999999995E-7</v>
      </c>
      <c r="J356" s="68" t="str">
        <f>IF(ISERROR(
CAD_PROD!F356*E356),"",CAD_PROD!F356*E356)</f>
        <v/>
      </c>
      <c r="K356" s="68" t="str">
        <f>IF(ISERROR(
CAD_PROD!F356*F356),"",CAD_PROD!F356*F356)</f>
        <v/>
      </c>
      <c r="L356" s="68" t="str">
        <f>IF(ISERROR(
CAD_PROD!D356-H356),"",CAD_PROD!D356-H356)</f>
        <v/>
      </c>
      <c r="M356" s="57" t="str">
        <f>IF(ISERROR(
L356/CAD_PROD!D356),"",L356/CAD_PROD!D356)</f>
        <v/>
      </c>
      <c r="N356" s="68" t="str">
        <f>IF(ISERROR(
(P356*CAD_PROD!D356)),"",(P356*CAD_PROD!D356))</f>
        <v/>
      </c>
      <c r="O356" s="68" t="str">
        <f>IF(ISERROR(PE_GERAL!$J$7*CAD_PROD!G356),"",PE_GERAL!$J$7*CAD_PROD!G356)</f>
        <v/>
      </c>
      <c r="P356" s="101" t="str">
        <f t="shared" si="17"/>
        <v/>
      </c>
      <c r="Q356" s="68" t="str">
        <f>IF(C356="","",IF(ISERROR(
CAD_PROD!E356*G356),"",CAD_PROD!E356*G356))</f>
        <v/>
      </c>
      <c r="R356" s="68" t="str">
        <f>IF(C356="","",IF(ISERROR(
CAD_PROD!E356*D356),"",CAD_PROD!E356*D356))</f>
        <v/>
      </c>
      <c r="S356" s="44" t="str">
        <f>IF(C356="","",IF(CAD_PROD!E356&gt;=P356,"Sim","Não"))</f>
        <v/>
      </c>
    </row>
    <row r="357" spans="1:19" ht="30" customHeight="1">
      <c r="A357" s="52">
        <f t="shared" si="15"/>
        <v>0</v>
      </c>
      <c r="B357" s="52">
        <f t="shared" si="16"/>
        <v>0</v>
      </c>
      <c r="C357" s="96" t="str">
        <f>IF(CAD_PROD!C357="","",CAD_PROD!C357)</f>
        <v/>
      </c>
      <c r="D357" s="75"/>
      <c r="E357" s="125"/>
      <c r="F357" s="125"/>
      <c r="G357" s="75"/>
      <c r="H357" s="75" t="str">
        <f>IF(C357="","",D357+CAD_PROD!D357*(E357+F357)+G357)</f>
        <v/>
      </c>
      <c r="I357" s="52">
        <v>9.9999999999999995E-7</v>
      </c>
      <c r="J357" s="68" t="str">
        <f>IF(ISERROR(
CAD_PROD!F357*E357),"",CAD_PROD!F357*E357)</f>
        <v/>
      </c>
      <c r="K357" s="68" t="str">
        <f>IF(ISERROR(
CAD_PROD!F357*F357),"",CAD_PROD!F357*F357)</f>
        <v/>
      </c>
      <c r="L357" s="68" t="str">
        <f>IF(ISERROR(
CAD_PROD!D357-H357),"",CAD_PROD!D357-H357)</f>
        <v/>
      </c>
      <c r="M357" s="57" t="str">
        <f>IF(ISERROR(
L357/CAD_PROD!D357),"",L357/CAD_PROD!D357)</f>
        <v/>
      </c>
      <c r="N357" s="68" t="str">
        <f>IF(ISERROR(
(P357*CAD_PROD!D357)),"",(P357*CAD_PROD!D357))</f>
        <v/>
      </c>
      <c r="O357" s="68" t="str">
        <f>IF(ISERROR(PE_GERAL!$J$7*CAD_PROD!G357),"",PE_GERAL!$J$7*CAD_PROD!G357)</f>
        <v/>
      </c>
      <c r="P357" s="101" t="str">
        <f t="shared" si="17"/>
        <v/>
      </c>
      <c r="Q357" s="68" t="str">
        <f>IF(C357="","",IF(ISERROR(
CAD_PROD!E357*G357),"",CAD_PROD!E357*G357))</f>
        <v/>
      </c>
      <c r="R357" s="68" t="str">
        <f>IF(C357="","",IF(ISERROR(
CAD_PROD!E357*D357),"",CAD_PROD!E357*D357))</f>
        <v/>
      </c>
      <c r="S357" s="44" t="str">
        <f>IF(C357="","",IF(CAD_PROD!E357&gt;=P357,"Sim","Não"))</f>
        <v/>
      </c>
    </row>
    <row r="358" spans="1:19" ht="30" customHeight="1">
      <c r="A358" s="52">
        <f t="shared" si="15"/>
        <v>0</v>
      </c>
      <c r="B358" s="52">
        <f t="shared" si="16"/>
        <v>0</v>
      </c>
      <c r="C358" s="96" t="str">
        <f>IF(CAD_PROD!C358="","",CAD_PROD!C358)</f>
        <v/>
      </c>
      <c r="D358" s="75"/>
      <c r="E358" s="125"/>
      <c r="F358" s="125"/>
      <c r="G358" s="75"/>
      <c r="H358" s="75" t="str">
        <f>IF(C358="","",D358+CAD_PROD!D358*(E358+F358)+G358)</f>
        <v/>
      </c>
      <c r="I358" s="52">
        <v>9.9999999999999995E-7</v>
      </c>
      <c r="J358" s="68" t="str">
        <f>IF(ISERROR(
CAD_PROD!F358*E358),"",CAD_PROD!F358*E358)</f>
        <v/>
      </c>
      <c r="K358" s="68" t="str">
        <f>IF(ISERROR(
CAD_PROD!F358*F358),"",CAD_PROD!F358*F358)</f>
        <v/>
      </c>
      <c r="L358" s="68" t="str">
        <f>IF(ISERROR(
CAD_PROD!D358-H358),"",CAD_PROD!D358-H358)</f>
        <v/>
      </c>
      <c r="M358" s="57" t="str">
        <f>IF(ISERROR(
L358/CAD_PROD!D358),"",L358/CAD_PROD!D358)</f>
        <v/>
      </c>
      <c r="N358" s="68" t="str">
        <f>IF(ISERROR(
(P358*CAD_PROD!D358)),"",(P358*CAD_PROD!D358))</f>
        <v/>
      </c>
      <c r="O358" s="68" t="str">
        <f>IF(ISERROR(PE_GERAL!$J$7*CAD_PROD!G358),"",PE_GERAL!$J$7*CAD_PROD!G358)</f>
        <v/>
      </c>
      <c r="P358" s="101" t="str">
        <f t="shared" si="17"/>
        <v/>
      </c>
      <c r="Q358" s="68" t="str">
        <f>IF(C358="","",IF(ISERROR(
CAD_PROD!E358*G358),"",CAD_PROD!E358*G358))</f>
        <v/>
      </c>
      <c r="R358" s="68" t="str">
        <f>IF(C358="","",IF(ISERROR(
CAD_PROD!E358*D358),"",CAD_PROD!E358*D358))</f>
        <v/>
      </c>
      <c r="S358" s="44" t="str">
        <f>IF(C358="","",IF(CAD_PROD!E358&gt;=P358,"Sim","Não"))</f>
        <v/>
      </c>
    </row>
    <row r="359" spans="1:19" ht="30" customHeight="1">
      <c r="A359" s="52">
        <f t="shared" si="15"/>
        <v>0</v>
      </c>
      <c r="B359" s="52">
        <f t="shared" si="16"/>
        <v>0</v>
      </c>
      <c r="C359" s="96" t="str">
        <f>IF(CAD_PROD!C359="","",CAD_PROD!C359)</f>
        <v/>
      </c>
      <c r="D359" s="75"/>
      <c r="E359" s="125"/>
      <c r="F359" s="125"/>
      <c r="G359" s="75"/>
      <c r="H359" s="75" t="str">
        <f>IF(C359="","",D359+CAD_PROD!D359*(E359+F359)+G359)</f>
        <v/>
      </c>
      <c r="I359" s="52">
        <v>9.9999999999999995E-7</v>
      </c>
      <c r="J359" s="68" t="str">
        <f>IF(ISERROR(
CAD_PROD!F359*E359),"",CAD_PROD!F359*E359)</f>
        <v/>
      </c>
      <c r="K359" s="68" t="str">
        <f>IF(ISERROR(
CAD_PROD!F359*F359),"",CAD_PROD!F359*F359)</f>
        <v/>
      </c>
      <c r="L359" s="68" t="str">
        <f>IF(ISERROR(
CAD_PROD!D359-H359),"",CAD_PROD!D359-H359)</f>
        <v/>
      </c>
      <c r="M359" s="57" t="str">
        <f>IF(ISERROR(
L359/CAD_PROD!D359),"",L359/CAD_PROD!D359)</f>
        <v/>
      </c>
      <c r="N359" s="68" t="str">
        <f>IF(ISERROR(
(P359*CAD_PROD!D359)),"",(P359*CAD_PROD!D359))</f>
        <v/>
      </c>
      <c r="O359" s="68" t="str">
        <f>IF(ISERROR(PE_GERAL!$J$7*CAD_PROD!G359),"",PE_GERAL!$J$7*CAD_PROD!G359)</f>
        <v/>
      </c>
      <c r="P359" s="101" t="str">
        <f t="shared" si="17"/>
        <v/>
      </c>
      <c r="Q359" s="68" t="str">
        <f>IF(C359="","",IF(ISERROR(
CAD_PROD!E359*G359),"",CAD_PROD!E359*G359))</f>
        <v/>
      </c>
      <c r="R359" s="68" t="str">
        <f>IF(C359="","",IF(ISERROR(
CAD_PROD!E359*D359),"",CAD_PROD!E359*D359))</f>
        <v/>
      </c>
      <c r="S359" s="44" t="str">
        <f>IF(C359="","",IF(CAD_PROD!E359&gt;=P359,"Sim","Não"))</f>
        <v/>
      </c>
    </row>
    <row r="360" spans="1:19" ht="30" customHeight="1">
      <c r="A360" s="52">
        <f t="shared" si="15"/>
        <v>0</v>
      </c>
      <c r="B360" s="52">
        <f t="shared" si="16"/>
        <v>0</v>
      </c>
      <c r="C360" s="96" t="str">
        <f>IF(CAD_PROD!C360="","",CAD_PROD!C360)</f>
        <v/>
      </c>
      <c r="D360" s="75"/>
      <c r="E360" s="125"/>
      <c r="F360" s="125"/>
      <c r="G360" s="75"/>
      <c r="H360" s="75" t="str">
        <f>IF(C360="","",D360+CAD_PROD!D360*(E360+F360)+G360)</f>
        <v/>
      </c>
      <c r="I360" s="52">
        <v>9.9999999999999995E-7</v>
      </c>
      <c r="J360" s="68" t="str">
        <f>IF(ISERROR(
CAD_PROD!F360*E360),"",CAD_PROD!F360*E360)</f>
        <v/>
      </c>
      <c r="K360" s="68" t="str">
        <f>IF(ISERROR(
CAD_PROD!F360*F360),"",CAD_PROD!F360*F360)</f>
        <v/>
      </c>
      <c r="L360" s="68" t="str">
        <f>IF(ISERROR(
CAD_PROD!D360-H360),"",CAD_PROD!D360-H360)</f>
        <v/>
      </c>
      <c r="M360" s="57" t="str">
        <f>IF(ISERROR(
L360/CAD_PROD!D360),"",L360/CAD_PROD!D360)</f>
        <v/>
      </c>
      <c r="N360" s="68" t="str">
        <f>IF(ISERROR(
(P360*CAD_PROD!D360)),"",(P360*CAD_PROD!D360))</f>
        <v/>
      </c>
      <c r="O360" s="68" t="str">
        <f>IF(ISERROR(PE_GERAL!$J$7*CAD_PROD!G360),"",PE_GERAL!$J$7*CAD_PROD!G360)</f>
        <v/>
      </c>
      <c r="P360" s="101" t="str">
        <f t="shared" si="17"/>
        <v/>
      </c>
      <c r="Q360" s="68" t="str">
        <f>IF(C360="","",IF(ISERROR(
CAD_PROD!E360*G360),"",CAD_PROD!E360*G360))</f>
        <v/>
      </c>
      <c r="R360" s="68" t="str">
        <f>IF(C360="","",IF(ISERROR(
CAD_PROD!E360*D360),"",CAD_PROD!E360*D360))</f>
        <v/>
      </c>
      <c r="S360" s="44" t="str">
        <f>IF(C360="","",IF(CAD_PROD!E360&gt;=P360,"Sim","Não"))</f>
        <v/>
      </c>
    </row>
    <row r="361" spans="1:19" ht="30" customHeight="1">
      <c r="A361" s="52">
        <f t="shared" si="15"/>
        <v>0</v>
      </c>
      <c r="B361" s="52">
        <f t="shared" si="16"/>
        <v>0</v>
      </c>
      <c r="C361" s="96" t="str">
        <f>IF(CAD_PROD!C361="","",CAD_PROD!C361)</f>
        <v/>
      </c>
      <c r="D361" s="75"/>
      <c r="E361" s="125"/>
      <c r="F361" s="125"/>
      <c r="G361" s="75"/>
      <c r="H361" s="75" t="str">
        <f>IF(C361="","",D361+CAD_PROD!D361*(E361+F361)+G361)</f>
        <v/>
      </c>
      <c r="I361" s="52">
        <v>9.9999999999999995E-7</v>
      </c>
      <c r="J361" s="68" t="str">
        <f>IF(ISERROR(
CAD_PROD!F361*E361),"",CAD_PROD!F361*E361)</f>
        <v/>
      </c>
      <c r="K361" s="68" t="str">
        <f>IF(ISERROR(
CAD_PROD!F361*F361),"",CAD_PROD!F361*F361)</f>
        <v/>
      </c>
      <c r="L361" s="68" t="str">
        <f>IF(ISERROR(
CAD_PROD!D361-H361),"",CAD_PROD!D361-H361)</f>
        <v/>
      </c>
      <c r="M361" s="57" t="str">
        <f>IF(ISERROR(
L361/CAD_PROD!D361),"",L361/CAD_PROD!D361)</f>
        <v/>
      </c>
      <c r="N361" s="68" t="str">
        <f>IF(ISERROR(
(P361*CAD_PROD!D361)),"",(P361*CAD_PROD!D361))</f>
        <v/>
      </c>
      <c r="O361" s="68" t="str">
        <f>IF(ISERROR(PE_GERAL!$J$7*CAD_PROD!G361),"",PE_GERAL!$J$7*CAD_PROD!G361)</f>
        <v/>
      </c>
      <c r="P361" s="101" t="str">
        <f t="shared" si="17"/>
        <v/>
      </c>
      <c r="Q361" s="68" t="str">
        <f>IF(C361="","",IF(ISERROR(
CAD_PROD!E361*G361),"",CAD_PROD!E361*G361))</f>
        <v/>
      </c>
      <c r="R361" s="68" t="str">
        <f>IF(C361="","",IF(ISERROR(
CAD_PROD!E361*D361),"",CAD_PROD!E361*D361))</f>
        <v/>
      </c>
      <c r="S361" s="44" t="str">
        <f>IF(C361="","",IF(CAD_PROD!E361&gt;=P361,"Sim","Não"))</f>
        <v/>
      </c>
    </row>
    <row r="362" spans="1:19" ht="30" customHeight="1">
      <c r="A362" s="52">
        <f t="shared" si="15"/>
        <v>0</v>
      </c>
      <c r="B362" s="52">
        <f t="shared" si="16"/>
        <v>0</v>
      </c>
      <c r="C362" s="96" t="str">
        <f>IF(CAD_PROD!C362="","",CAD_PROD!C362)</f>
        <v/>
      </c>
      <c r="D362" s="75"/>
      <c r="E362" s="125"/>
      <c r="F362" s="125"/>
      <c r="G362" s="75"/>
      <c r="H362" s="75" t="str">
        <f>IF(C362="","",D362+CAD_PROD!D362*(E362+F362)+G362)</f>
        <v/>
      </c>
      <c r="I362" s="52">
        <v>9.9999999999999995E-7</v>
      </c>
      <c r="J362" s="68" t="str">
        <f>IF(ISERROR(
CAD_PROD!F362*E362),"",CAD_PROD!F362*E362)</f>
        <v/>
      </c>
      <c r="K362" s="68" t="str">
        <f>IF(ISERROR(
CAD_PROD!F362*F362),"",CAD_PROD!F362*F362)</f>
        <v/>
      </c>
      <c r="L362" s="68" t="str">
        <f>IF(ISERROR(
CAD_PROD!D362-H362),"",CAD_PROD!D362-H362)</f>
        <v/>
      </c>
      <c r="M362" s="57" t="str">
        <f>IF(ISERROR(
L362/CAD_PROD!D362),"",L362/CAD_PROD!D362)</f>
        <v/>
      </c>
      <c r="N362" s="68" t="str">
        <f>IF(ISERROR(
(P362*CAD_PROD!D362)),"",(P362*CAD_PROD!D362))</f>
        <v/>
      </c>
      <c r="O362" s="68" t="str">
        <f>IF(ISERROR(PE_GERAL!$J$7*CAD_PROD!G362),"",PE_GERAL!$J$7*CAD_PROD!G362)</f>
        <v/>
      </c>
      <c r="P362" s="101" t="str">
        <f t="shared" si="17"/>
        <v/>
      </c>
      <c r="Q362" s="68" t="str">
        <f>IF(C362="","",IF(ISERROR(
CAD_PROD!E362*G362),"",CAD_PROD!E362*G362))</f>
        <v/>
      </c>
      <c r="R362" s="68" t="str">
        <f>IF(C362="","",IF(ISERROR(
CAD_PROD!E362*D362),"",CAD_PROD!E362*D362))</f>
        <v/>
      </c>
      <c r="S362" s="44" t="str">
        <f>IF(C362="","",IF(CAD_PROD!E362&gt;=P362,"Sim","Não"))</f>
        <v/>
      </c>
    </row>
    <row r="363" spans="1:19" ht="30" customHeight="1">
      <c r="A363" s="52">
        <f t="shared" si="15"/>
        <v>0</v>
      </c>
      <c r="B363" s="52">
        <f t="shared" si="16"/>
        <v>0</v>
      </c>
      <c r="C363" s="96" t="str">
        <f>IF(CAD_PROD!C363="","",CAD_PROD!C363)</f>
        <v/>
      </c>
      <c r="D363" s="75"/>
      <c r="E363" s="125"/>
      <c r="F363" s="125"/>
      <c r="G363" s="75"/>
      <c r="H363" s="75" t="str">
        <f>IF(C363="","",D363+CAD_PROD!D363*(E363+F363)+G363)</f>
        <v/>
      </c>
      <c r="I363" s="52">
        <v>9.9999999999999995E-7</v>
      </c>
      <c r="J363" s="68" t="str">
        <f>IF(ISERROR(
CAD_PROD!F363*E363),"",CAD_PROD!F363*E363)</f>
        <v/>
      </c>
      <c r="K363" s="68" t="str">
        <f>IF(ISERROR(
CAD_PROD!F363*F363),"",CAD_PROD!F363*F363)</f>
        <v/>
      </c>
      <c r="L363" s="68" t="str">
        <f>IF(ISERROR(
CAD_PROD!D363-H363),"",CAD_PROD!D363-H363)</f>
        <v/>
      </c>
      <c r="M363" s="57" t="str">
        <f>IF(ISERROR(
L363/CAD_PROD!D363),"",L363/CAD_PROD!D363)</f>
        <v/>
      </c>
      <c r="N363" s="68" t="str">
        <f>IF(ISERROR(
(P363*CAD_PROD!D363)),"",(P363*CAD_PROD!D363))</f>
        <v/>
      </c>
      <c r="O363" s="68" t="str">
        <f>IF(ISERROR(PE_GERAL!$J$7*CAD_PROD!G363),"",PE_GERAL!$J$7*CAD_PROD!G363)</f>
        <v/>
      </c>
      <c r="P363" s="101" t="str">
        <f t="shared" si="17"/>
        <v/>
      </c>
      <c r="Q363" s="68" t="str">
        <f>IF(C363="","",IF(ISERROR(
CAD_PROD!E363*G363),"",CAD_PROD!E363*G363))</f>
        <v/>
      </c>
      <c r="R363" s="68" t="str">
        <f>IF(C363="","",IF(ISERROR(
CAD_PROD!E363*D363),"",CAD_PROD!E363*D363))</f>
        <v/>
      </c>
      <c r="S363" s="44" t="str">
        <f>IF(C363="","",IF(CAD_PROD!E363&gt;=P363,"Sim","Não"))</f>
        <v/>
      </c>
    </row>
    <row r="364" spans="1:19" ht="30" customHeight="1">
      <c r="A364" s="52">
        <f t="shared" si="15"/>
        <v>0</v>
      </c>
      <c r="B364" s="52">
        <f t="shared" si="16"/>
        <v>0</v>
      </c>
      <c r="C364" s="96" t="str">
        <f>IF(CAD_PROD!C364="","",CAD_PROD!C364)</f>
        <v/>
      </c>
      <c r="D364" s="75"/>
      <c r="E364" s="125"/>
      <c r="F364" s="125"/>
      <c r="G364" s="75"/>
      <c r="H364" s="75" t="str">
        <f>IF(C364="","",D364+CAD_PROD!D364*(E364+F364)+G364)</f>
        <v/>
      </c>
      <c r="I364" s="52">
        <v>9.9999999999999995E-7</v>
      </c>
      <c r="J364" s="68" t="str">
        <f>IF(ISERROR(
CAD_PROD!F364*E364),"",CAD_PROD!F364*E364)</f>
        <v/>
      </c>
      <c r="K364" s="68" t="str">
        <f>IF(ISERROR(
CAD_PROD!F364*F364),"",CAD_PROD!F364*F364)</f>
        <v/>
      </c>
      <c r="L364" s="68" t="str">
        <f>IF(ISERROR(
CAD_PROD!D364-H364),"",CAD_PROD!D364-H364)</f>
        <v/>
      </c>
      <c r="M364" s="57" t="str">
        <f>IF(ISERROR(
L364/CAD_PROD!D364),"",L364/CAD_PROD!D364)</f>
        <v/>
      </c>
      <c r="N364" s="68" t="str">
        <f>IF(ISERROR(
(P364*CAD_PROD!D364)),"",(P364*CAD_PROD!D364))</f>
        <v/>
      </c>
      <c r="O364" s="68" t="str">
        <f>IF(ISERROR(PE_GERAL!$J$7*CAD_PROD!G364),"",PE_GERAL!$J$7*CAD_PROD!G364)</f>
        <v/>
      </c>
      <c r="P364" s="101" t="str">
        <f t="shared" si="17"/>
        <v/>
      </c>
      <c r="Q364" s="68" t="str">
        <f>IF(C364="","",IF(ISERROR(
CAD_PROD!E364*G364),"",CAD_PROD!E364*G364))</f>
        <v/>
      </c>
      <c r="R364" s="68" t="str">
        <f>IF(C364="","",IF(ISERROR(
CAD_PROD!E364*D364),"",CAD_PROD!E364*D364))</f>
        <v/>
      </c>
      <c r="S364" s="44" t="str">
        <f>IF(C364="","",IF(CAD_PROD!E364&gt;=P364,"Sim","Não"))</f>
        <v/>
      </c>
    </row>
    <row r="365" spans="1:19" ht="30" customHeight="1">
      <c r="A365" s="52">
        <f t="shared" si="15"/>
        <v>0</v>
      </c>
      <c r="B365" s="52">
        <f t="shared" si="16"/>
        <v>0</v>
      </c>
      <c r="C365" s="96" t="str">
        <f>IF(CAD_PROD!C365="","",CAD_PROD!C365)</f>
        <v/>
      </c>
      <c r="D365" s="75"/>
      <c r="E365" s="125"/>
      <c r="F365" s="125"/>
      <c r="G365" s="75"/>
      <c r="H365" s="75" t="str">
        <f>IF(C365="","",D365+CAD_PROD!D365*(E365+F365)+G365)</f>
        <v/>
      </c>
      <c r="I365" s="52">
        <v>9.9999999999999995E-7</v>
      </c>
      <c r="J365" s="68" t="str">
        <f>IF(ISERROR(
CAD_PROD!F365*E365),"",CAD_PROD!F365*E365)</f>
        <v/>
      </c>
      <c r="K365" s="68" t="str">
        <f>IF(ISERROR(
CAD_PROD!F365*F365),"",CAD_PROD!F365*F365)</f>
        <v/>
      </c>
      <c r="L365" s="68" t="str">
        <f>IF(ISERROR(
CAD_PROD!D365-H365),"",CAD_PROD!D365-H365)</f>
        <v/>
      </c>
      <c r="M365" s="57" t="str">
        <f>IF(ISERROR(
L365/CAD_PROD!D365),"",L365/CAD_PROD!D365)</f>
        <v/>
      </c>
      <c r="N365" s="68" t="str">
        <f>IF(ISERROR(
(P365*CAD_PROD!D365)),"",(P365*CAD_PROD!D365))</f>
        <v/>
      </c>
      <c r="O365" s="68" t="str">
        <f>IF(ISERROR(PE_GERAL!$J$7*CAD_PROD!G365),"",PE_GERAL!$J$7*CAD_PROD!G365)</f>
        <v/>
      </c>
      <c r="P365" s="101" t="str">
        <f t="shared" si="17"/>
        <v/>
      </c>
      <c r="Q365" s="68" t="str">
        <f>IF(C365="","",IF(ISERROR(
CAD_PROD!E365*G365),"",CAD_PROD!E365*G365))</f>
        <v/>
      </c>
      <c r="R365" s="68" t="str">
        <f>IF(C365="","",IF(ISERROR(
CAD_PROD!E365*D365),"",CAD_PROD!E365*D365))</f>
        <v/>
      </c>
      <c r="S365" s="44" t="str">
        <f>IF(C365="","",IF(CAD_PROD!E365&gt;=P365,"Sim","Não"))</f>
        <v/>
      </c>
    </row>
    <row r="366" spans="1:19" ht="30" customHeight="1">
      <c r="A366" s="52">
        <f t="shared" si="15"/>
        <v>0</v>
      </c>
      <c r="B366" s="52">
        <f t="shared" si="16"/>
        <v>0</v>
      </c>
      <c r="C366" s="96" t="str">
        <f>IF(CAD_PROD!C366="","",CAD_PROD!C366)</f>
        <v/>
      </c>
      <c r="D366" s="75"/>
      <c r="E366" s="125"/>
      <c r="F366" s="125"/>
      <c r="G366" s="75"/>
      <c r="H366" s="75" t="str">
        <f>IF(C366="","",D366+CAD_PROD!D366*(E366+F366)+G366)</f>
        <v/>
      </c>
      <c r="I366" s="52">
        <v>9.9999999999999995E-7</v>
      </c>
      <c r="J366" s="68" t="str">
        <f>IF(ISERROR(
CAD_PROD!F366*E366),"",CAD_PROD!F366*E366)</f>
        <v/>
      </c>
      <c r="K366" s="68" t="str">
        <f>IF(ISERROR(
CAD_PROD!F366*F366),"",CAD_PROD!F366*F366)</f>
        <v/>
      </c>
      <c r="L366" s="68" t="str">
        <f>IF(ISERROR(
CAD_PROD!D366-H366),"",CAD_PROD!D366-H366)</f>
        <v/>
      </c>
      <c r="M366" s="57" t="str">
        <f>IF(ISERROR(
L366/CAD_PROD!D366),"",L366/CAD_PROD!D366)</f>
        <v/>
      </c>
      <c r="N366" s="68" t="str">
        <f>IF(ISERROR(
(P366*CAD_PROD!D366)),"",(P366*CAD_PROD!D366))</f>
        <v/>
      </c>
      <c r="O366" s="68" t="str">
        <f>IF(ISERROR(PE_GERAL!$J$7*CAD_PROD!G366),"",PE_GERAL!$J$7*CAD_PROD!G366)</f>
        <v/>
      </c>
      <c r="P366" s="101" t="str">
        <f t="shared" si="17"/>
        <v/>
      </c>
      <c r="Q366" s="68" t="str">
        <f>IF(C366="","",IF(ISERROR(
CAD_PROD!E366*G366),"",CAD_PROD!E366*G366))</f>
        <v/>
      </c>
      <c r="R366" s="68" t="str">
        <f>IF(C366="","",IF(ISERROR(
CAD_PROD!E366*D366),"",CAD_PROD!E366*D366))</f>
        <v/>
      </c>
      <c r="S366" s="44" t="str">
        <f>IF(C366="","",IF(CAD_PROD!E366&gt;=P366,"Sim","Não"))</f>
        <v/>
      </c>
    </row>
    <row r="367" spans="1:19" ht="30" customHeight="1">
      <c r="A367" s="52">
        <f t="shared" si="15"/>
        <v>0</v>
      </c>
      <c r="B367" s="52">
        <f t="shared" si="16"/>
        <v>0</v>
      </c>
      <c r="C367" s="96" t="str">
        <f>IF(CAD_PROD!C367="","",CAD_PROD!C367)</f>
        <v/>
      </c>
      <c r="D367" s="75"/>
      <c r="E367" s="125"/>
      <c r="F367" s="125"/>
      <c r="G367" s="75"/>
      <c r="H367" s="75" t="str">
        <f>IF(C367="","",D367+CAD_PROD!D367*(E367+F367)+G367)</f>
        <v/>
      </c>
      <c r="I367" s="52">
        <v>9.9999999999999995E-7</v>
      </c>
      <c r="J367" s="68" t="str">
        <f>IF(ISERROR(
CAD_PROD!F367*E367),"",CAD_PROD!F367*E367)</f>
        <v/>
      </c>
      <c r="K367" s="68" t="str">
        <f>IF(ISERROR(
CAD_PROD!F367*F367),"",CAD_PROD!F367*F367)</f>
        <v/>
      </c>
      <c r="L367" s="68" t="str">
        <f>IF(ISERROR(
CAD_PROD!D367-H367),"",CAD_PROD!D367-H367)</f>
        <v/>
      </c>
      <c r="M367" s="57" t="str">
        <f>IF(ISERROR(
L367/CAD_PROD!D367),"",L367/CAD_PROD!D367)</f>
        <v/>
      </c>
      <c r="N367" s="68" t="str">
        <f>IF(ISERROR(
(P367*CAD_PROD!D367)),"",(P367*CAD_PROD!D367))</f>
        <v/>
      </c>
      <c r="O367" s="68" t="str">
        <f>IF(ISERROR(PE_GERAL!$J$7*CAD_PROD!G367),"",PE_GERAL!$J$7*CAD_PROD!G367)</f>
        <v/>
      </c>
      <c r="P367" s="101" t="str">
        <f t="shared" si="17"/>
        <v/>
      </c>
      <c r="Q367" s="68" t="str">
        <f>IF(C367="","",IF(ISERROR(
CAD_PROD!E367*G367),"",CAD_PROD!E367*G367))</f>
        <v/>
      </c>
      <c r="R367" s="68" t="str">
        <f>IF(C367="","",IF(ISERROR(
CAD_PROD!E367*D367),"",CAD_PROD!E367*D367))</f>
        <v/>
      </c>
      <c r="S367" s="44" t="str">
        <f>IF(C367="","",IF(CAD_PROD!E367&gt;=P367,"Sim","Não"))</f>
        <v/>
      </c>
    </row>
    <row r="368" spans="1:19" ht="30" customHeight="1">
      <c r="A368" s="52">
        <f t="shared" si="15"/>
        <v>0</v>
      </c>
      <c r="B368" s="52">
        <f t="shared" si="16"/>
        <v>0</v>
      </c>
      <c r="C368" s="96" t="str">
        <f>IF(CAD_PROD!C368="","",CAD_PROD!C368)</f>
        <v/>
      </c>
      <c r="D368" s="75"/>
      <c r="E368" s="125"/>
      <c r="F368" s="125"/>
      <c r="G368" s="75"/>
      <c r="H368" s="75" t="str">
        <f>IF(C368="","",D368+CAD_PROD!D368*(E368+F368)+G368)</f>
        <v/>
      </c>
      <c r="I368" s="52">
        <v>9.9999999999999995E-7</v>
      </c>
      <c r="J368" s="68" t="str">
        <f>IF(ISERROR(
CAD_PROD!F368*E368),"",CAD_PROD!F368*E368)</f>
        <v/>
      </c>
      <c r="K368" s="68" t="str">
        <f>IF(ISERROR(
CAD_PROD!F368*F368),"",CAD_PROD!F368*F368)</f>
        <v/>
      </c>
      <c r="L368" s="68" t="str">
        <f>IF(ISERROR(
CAD_PROD!D368-H368),"",CAD_PROD!D368-H368)</f>
        <v/>
      </c>
      <c r="M368" s="57" t="str">
        <f>IF(ISERROR(
L368/CAD_PROD!D368),"",L368/CAD_PROD!D368)</f>
        <v/>
      </c>
      <c r="N368" s="68" t="str">
        <f>IF(ISERROR(
(P368*CAD_PROD!D368)),"",(P368*CAD_PROD!D368))</f>
        <v/>
      </c>
      <c r="O368" s="68" t="str">
        <f>IF(ISERROR(PE_GERAL!$J$7*CAD_PROD!G368),"",PE_GERAL!$J$7*CAD_PROD!G368)</f>
        <v/>
      </c>
      <c r="P368" s="101" t="str">
        <f t="shared" si="17"/>
        <v/>
      </c>
      <c r="Q368" s="68" t="str">
        <f>IF(C368="","",IF(ISERROR(
CAD_PROD!E368*G368),"",CAD_PROD!E368*G368))</f>
        <v/>
      </c>
      <c r="R368" s="68" t="str">
        <f>IF(C368="","",IF(ISERROR(
CAD_PROD!E368*D368),"",CAD_PROD!E368*D368))</f>
        <v/>
      </c>
      <c r="S368" s="44" t="str">
        <f>IF(C368="","",IF(CAD_PROD!E368&gt;=P368,"Sim","Não"))</f>
        <v/>
      </c>
    </row>
    <row r="369" spans="1:19" ht="30" customHeight="1">
      <c r="A369" s="52">
        <f t="shared" si="15"/>
        <v>0</v>
      </c>
      <c r="B369" s="52">
        <f t="shared" si="16"/>
        <v>0</v>
      </c>
      <c r="C369" s="96" t="str">
        <f>IF(CAD_PROD!C369="","",CAD_PROD!C369)</f>
        <v/>
      </c>
      <c r="D369" s="75"/>
      <c r="E369" s="125"/>
      <c r="F369" s="125"/>
      <c r="G369" s="75"/>
      <c r="H369" s="75" t="str">
        <f>IF(C369="","",D369+CAD_PROD!D369*(E369+F369)+G369)</f>
        <v/>
      </c>
      <c r="I369" s="52">
        <v>9.9999999999999995E-7</v>
      </c>
      <c r="J369" s="68" t="str">
        <f>IF(ISERROR(
CAD_PROD!F369*E369),"",CAD_PROD!F369*E369)</f>
        <v/>
      </c>
      <c r="K369" s="68" t="str">
        <f>IF(ISERROR(
CAD_PROD!F369*F369),"",CAD_PROD!F369*F369)</f>
        <v/>
      </c>
      <c r="L369" s="68" t="str">
        <f>IF(ISERROR(
CAD_PROD!D369-H369),"",CAD_PROD!D369-H369)</f>
        <v/>
      </c>
      <c r="M369" s="57" t="str">
        <f>IF(ISERROR(
L369/CAD_PROD!D369),"",L369/CAD_PROD!D369)</f>
        <v/>
      </c>
      <c r="N369" s="68" t="str">
        <f>IF(ISERROR(
(P369*CAD_PROD!D369)),"",(P369*CAD_PROD!D369))</f>
        <v/>
      </c>
      <c r="O369" s="68" t="str">
        <f>IF(ISERROR(PE_GERAL!$J$7*CAD_PROD!G369),"",PE_GERAL!$J$7*CAD_PROD!G369)</f>
        <v/>
      </c>
      <c r="P369" s="101" t="str">
        <f t="shared" si="17"/>
        <v/>
      </c>
      <c r="Q369" s="68" t="str">
        <f>IF(C369="","",IF(ISERROR(
CAD_PROD!E369*G369),"",CAD_PROD!E369*G369))</f>
        <v/>
      </c>
      <c r="R369" s="68" t="str">
        <f>IF(C369="","",IF(ISERROR(
CAD_PROD!E369*D369),"",CAD_PROD!E369*D369))</f>
        <v/>
      </c>
      <c r="S369" s="44" t="str">
        <f>IF(C369="","",IF(CAD_PROD!E369&gt;=P369,"Sim","Não"))</f>
        <v/>
      </c>
    </row>
    <row r="370" spans="1:19" ht="30" customHeight="1">
      <c r="A370" s="52">
        <f t="shared" si="15"/>
        <v>0</v>
      </c>
      <c r="B370" s="52">
        <f t="shared" si="16"/>
        <v>0</v>
      </c>
      <c r="C370" s="96" t="str">
        <f>IF(CAD_PROD!C370="","",CAD_PROD!C370)</f>
        <v/>
      </c>
      <c r="D370" s="75"/>
      <c r="E370" s="125"/>
      <c r="F370" s="125"/>
      <c r="G370" s="75"/>
      <c r="H370" s="75" t="str">
        <f>IF(C370="","",D370+CAD_PROD!D370*(E370+F370)+G370)</f>
        <v/>
      </c>
      <c r="I370" s="52">
        <v>9.9999999999999995E-7</v>
      </c>
      <c r="J370" s="68" t="str">
        <f>IF(ISERROR(
CAD_PROD!F370*E370),"",CAD_PROD!F370*E370)</f>
        <v/>
      </c>
      <c r="K370" s="68" t="str">
        <f>IF(ISERROR(
CAD_PROD!F370*F370),"",CAD_PROD!F370*F370)</f>
        <v/>
      </c>
      <c r="L370" s="68" t="str">
        <f>IF(ISERROR(
CAD_PROD!D370-H370),"",CAD_PROD!D370-H370)</f>
        <v/>
      </c>
      <c r="M370" s="57" t="str">
        <f>IF(ISERROR(
L370/CAD_PROD!D370),"",L370/CAD_PROD!D370)</f>
        <v/>
      </c>
      <c r="N370" s="68" t="str">
        <f>IF(ISERROR(
(P370*CAD_PROD!D370)),"",(P370*CAD_PROD!D370))</f>
        <v/>
      </c>
      <c r="O370" s="68" t="str">
        <f>IF(ISERROR(PE_GERAL!$J$7*CAD_PROD!G370),"",PE_GERAL!$J$7*CAD_PROD!G370)</f>
        <v/>
      </c>
      <c r="P370" s="101" t="str">
        <f t="shared" si="17"/>
        <v/>
      </c>
      <c r="Q370" s="68" t="str">
        <f>IF(C370="","",IF(ISERROR(
CAD_PROD!E370*G370),"",CAD_PROD!E370*G370))</f>
        <v/>
      </c>
      <c r="R370" s="68" t="str">
        <f>IF(C370="","",IF(ISERROR(
CAD_PROD!E370*D370),"",CAD_PROD!E370*D370))</f>
        <v/>
      </c>
      <c r="S370" s="44" t="str">
        <f>IF(C370="","",IF(CAD_PROD!E370&gt;=P370,"Sim","Não"))</f>
        <v/>
      </c>
    </row>
    <row r="371" spans="1:19" ht="30" customHeight="1">
      <c r="A371" s="52">
        <f t="shared" si="15"/>
        <v>0</v>
      </c>
      <c r="B371" s="52">
        <f t="shared" si="16"/>
        <v>0</v>
      </c>
      <c r="C371" s="96" t="str">
        <f>IF(CAD_PROD!C371="","",CAD_PROD!C371)</f>
        <v/>
      </c>
      <c r="D371" s="75"/>
      <c r="E371" s="125"/>
      <c r="F371" s="125"/>
      <c r="G371" s="75"/>
      <c r="H371" s="75" t="str">
        <f>IF(C371="","",D371+CAD_PROD!D371*(E371+F371)+G371)</f>
        <v/>
      </c>
      <c r="I371" s="52">
        <v>9.9999999999999995E-7</v>
      </c>
      <c r="J371" s="68" t="str">
        <f>IF(ISERROR(
CAD_PROD!F371*E371),"",CAD_PROD!F371*E371)</f>
        <v/>
      </c>
      <c r="K371" s="68" t="str">
        <f>IF(ISERROR(
CAD_PROD!F371*F371),"",CAD_PROD!F371*F371)</f>
        <v/>
      </c>
      <c r="L371" s="68" t="str">
        <f>IF(ISERROR(
CAD_PROD!D371-H371),"",CAD_PROD!D371-H371)</f>
        <v/>
      </c>
      <c r="M371" s="57" t="str">
        <f>IF(ISERROR(
L371/CAD_PROD!D371),"",L371/CAD_PROD!D371)</f>
        <v/>
      </c>
      <c r="N371" s="68" t="str">
        <f>IF(ISERROR(
(P371*CAD_PROD!D371)),"",(P371*CAD_PROD!D371))</f>
        <v/>
      </c>
      <c r="O371" s="68" t="str">
        <f>IF(ISERROR(PE_GERAL!$J$7*CAD_PROD!G371),"",PE_GERAL!$J$7*CAD_PROD!G371)</f>
        <v/>
      </c>
      <c r="P371" s="101" t="str">
        <f t="shared" si="17"/>
        <v/>
      </c>
      <c r="Q371" s="68" t="str">
        <f>IF(C371="","",IF(ISERROR(
CAD_PROD!E371*G371),"",CAD_PROD!E371*G371))</f>
        <v/>
      </c>
      <c r="R371" s="68" t="str">
        <f>IF(C371="","",IF(ISERROR(
CAD_PROD!E371*D371),"",CAD_PROD!E371*D371))</f>
        <v/>
      </c>
      <c r="S371" s="44" t="str">
        <f>IF(C371="","",IF(CAD_PROD!E371&gt;=P371,"Sim","Não"))</f>
        <v/>
      </c>
    </row>
    <row r="372" spans="1:19" ht="30" customHeight="1">
      <c r="A372" s="52">
        <f t="shared" si="15"/>
        <v>0</v>
      </c>
      <c r="B372" s="52">
        <f t="shared" si="16"/>
        <v>0</v>
      </c>
      <c r="C372" s="96" t="str">
        <f>IF(CAD_PROD!C372="","",CAD_PROD!C372)</f>
        <v/>
      </c>
      <c r="D372" s="75"/>
      <c r="E372" s="125"/>
      <c r="F372" s="125"/>
      <c r="G372" s="75"/>
      <c r="H372" s="75" t="str">
        <f>IF(C372="","",D372+CAD_PROD!D372*(E372+F372)+G372)</f>
        <v/>
      </c>
      <c r="I372" s="52">
        <v>9.9999999999999995E-7</v>
      </c>
      <c r="J372" s="68" t="str">
        <f>IF(ISERROR(
CAD_PROD!F372*E372),"",CAD_PROD!F372*E372)</f>
        <v/>
      </c>
      <c r="K372" s="68" t="str">
        <f>IF(ISERROR(
CAD_PROD!F372*F372),"",CAD_PROD!F372*F372)</f>
        <v/>
      </c>
      <c r="L372" s="68" t="str">
        <f>IF(ISERROR(
CAD_PROD!D372-H372),"",CAD_PROD!D372-H372)</f>
        <v/>
      </c>
      <c r="M372" s="57" t="str">
        <f>IF(ISERROR(
L372/CAD_PROD!D372),"",L372/CAD_PROD!D372)</f>
        <v/>
      </c>
      <c r="N372" s="68" t="str">
        <f>IF(ISERROR(
(P372*CAD_PROD!D372)),"",(P372*CAD_PROD!D372))</f>
        <v/>
      </c>
      <c r="O372" s="68" t="str">
        <f>IF(ISERROR(PE_GERAL!$J$7*CAD_PROD!G372),"",PE_GERAL!$J$7*CAD_PROD!G372)</f>
        <v/>
      </c>
      <c r="P372" s="101" t="str">
        <f t="shared" si="17"/>
        <v/>
      </c>
      <c r="Q372" s="68" t="str">
        <f>IF(C372="","",IF(ISERROR(
CAD_PROD!E372*G372),"",CAD_PROD!E372*G372))</f>
        <v/>
      </c>
      <c r="R372" s="68" t="str">
        <f>IF(C372="","",IF(ISERROR(
CAD_PROD!E372*D372),"",CAD_PROD!E372*D372))</f>
        <v/>
      </c>
      <c r="S372" s="44" t="str">
        <f>IF(C372="","",IF(CAD_PROD!E372&gt;=P372,"Sim","Não"))</f>
        <v/>
      </c>
    </row>
    <row r="373" spans="1:19" ht="30" customHeight="1">
      <c r="A373" s="52">
        <f t="shared" si="15"/>
        <v>0</v>
      </c>
      <c r="B373" s="52">
        <f t="shared" si="16"/>
        <v>0</v>
      </c>
      <c r="C373" s="96" t="str">
        <f>IF(CAD_PROD!C373="","",CAD_PROD!C373)</f>
        <v/>
      </c>
      <c r="D373" s="75"/>
      <c r="E373" s="125"/>
      <c r="F373" s="125"/>
      <c r="G373" s="75"/>
      <c r="H373" s="75" t="str">
        <f>IF(C373="","",D373+CAD_PROD!D373*(E373+F373)+G373)</f>
        <v/>
      </c>
      <c r="I373" s="52">
        <v>9.9999999999999995E-7</v>
      </c>
      <c r="J373" s="68" t="str">
        <f>IF(ISERROR(
CAD_PROD!F373*E373),"",CAD_PROD!F373*E373)</f>
        <v/>
      </c>
      <c r="K373" s="68" t="str">
        <f>IF(ISERROR(
CAD_PROD!F373*F373),"",CAD_PROD!F373*F373)</f>
        <v/>
      </c>
      <c r="L373" s="68" t="str">
        <f>IF(ISERROR(
CAD_PROD!D373-H373),"",CAD_PROD!D373-H373)</f>
        <v/>
      </c>
      <c r="M373" s="57" t="str">
        <f>IF(ISERROR(
L373/CAD_PROD!D373),"",L373/CAD_PROD!D373)</f>
        <v/>
      </c>
      <c r="N373" s="68" t="str">
        <f>IF(ISERROR(
(P373*CAD_PROD!D373)),"",(P373*CAD_PROD!D373))</f>
        <v/>
      </c>
      <c r="O373" s="68" t="str">
        <f>IF(ISERROR(PE_GERAL!$J$7*CAD_PROD!G373),"",PE_GERAL!$J$7*CAD_PROD!G373)</f>
        <v/>
      </c>
      <c r="P373" s="101" t="str">
        <f t="shared" si="17"/>
        <v/>
      </c>
      <c r="Q373" s="68" t="str">
        <f>IF(C373="","",IF(ISERROR(
CAD_PROD!E373*G373),"",CAD_PROD!E373*G373))</f>
        <v/>
      </c>
      <c r="R373" s="68" t="str">
        <f>IF(C373="","",IF(ISERROR(
CAD_PROD!E373*D373),"",CAD_PROD!E373*D373))</f>
        <v/>
      </c>
      <c r="S373" s="44" t="str">
        <f>IF(C373="","",IF(CAD_PROD!E373&gt;=P373,"Sim","Não"))</f>
        <v/>
      </c>
    </row>
    <row r="374" spans="1:19" ht="30" customHeight="1">
      <c r="A374" s="52">
        <f t="shared" si="15"/>
        <v>0</v>
      </c>
      <c r="B374" s="52">
        <f t="shared" si="16"/>
        <v>0</v>
      </c>
      <c r="C374" s="96" t="str">
        <f>IF(CAD_PROD!C374="","",CAD_PROD!C374)</f>
        <v/>
      </c>
      <c r="D374" s="75"/>
      <c r="E374" s="125"/>
      <c r="F374" s="125"/>
      <c r="G374" s="75"/>
      <c r="H374" s="75" t="str">
        <f>IF(C374="","",D374+CAD_PROD!D374*(E374+F374)+G374)</f>
        <v/>
      </c>
      <c r="I374" s="52">
        <v>9.9999999999999995E-7</v>
      </c>
      <c r="J374" s="68" t="str">
        <f>IF(ISERROR(
CAD_PROD!F374*E374),"",CAD_PROD!F374*E374)</f>
        <v/>
      </c>
      <c r="K374" s="68" t="str">
        <f>IF(ISERROR(
CAD_PROD!F374*F374),"",CAD_PROD!F374*F374)</f>
        <v/>
      </c>
      <c r="L374" s="68" t="str">
        <f>IF(ISERROR(
CAD_PROD!D374-H374),"",CAD_PROD!D374-H374)</f>
        <v/>
      </c>
      <c r="M374" s="57" t="str">
        <f>IF(ISERROR(
L374/CAD_PROD!D374),"",L374/CAD_PROD!D374)</f>
        <v/>
      </c>
      <c r="N374" s="68" t="str">
        <f>IF(ISERROR(
(P374*CAD_PROD!D374)),"",(P374*CAD_PROD!D374))</f>
        <v/>
      </c>
      <c r="O374" s="68" t="str">
        <f>IF(ISERROR(PE_GERAL!$J$7*CAD_PROD!G374),"",PE_GERAL!$J$7*CAD_PROD!G374)</f>
        <v/>
      </c>
      <c r="P374" s="101" t="str">
        <f t="shared" si="17"/>
        <v/>
      </c>
      <c r="Q374" s="68" t="str">
        <f>IF(C374="","",IF(ISERROR(
CAD_PROD!E374*G374),"",CAD_PROD!E374*G374))</f>
        <v/>
      </c>
      <c r="R374" s="68" t="str">
        <f>IF(C374="","",IF(ISERROR(
CAD_PROD!E374*D374),"",CAD_PROD!E374*D374))</f>
        <v/>
      </c>
      <c r="S374" s="44" t="str">
        <f>IF(C374="","",IF(CAD_PROD!E374&gt;=P374,"Sim","Não"))</f>
        <v/>
      </c>
    </row>
    <row r="375" spans="1:19" ht="30" customHeight="1">
      <c r="A375" s="52">
        <f t="shared" si="15"/>
        <v>0</v>
      </c>
      <c r="B375" s="52">
        <f t="shared" si="16"/>
        <v>0</v>
      </c>
      <c r="C375" s="96" t="str">
        <f>IF(CAD_PROD!C375="","",CAD_PROD!C375)</f>
        <v/>
      </c>
      <c r="D375" s="75"/>
      <c r="E375" s="125"/>
      <c r="F375" s="125"/>
      <c r="G375" s="75"/>
      <c r="H375" s="75" t="str">
        <f>IF(C375="","",D375+CAD_PROD!D375*(E375+F375)+G375)</f>
        <v/>
      </c>
      <c r="I375" s="52">
        <v>9.9999999999999995E-7</v>
      </c>
      <c r="J375" s="68" t="str">
        <f>IF(ISERROR(
CAD_PROD!F375*E375),"",CAD_PROD!F375*E375)</f>
        <v/>
      </c>
      <c r="K375" s="68" t="str">
        <f>IF(ISERROR(
CAD_PROD!F375*F375),"",CAD_PROD!F375*F375)</f>
        <v/>
      </c>
      <c r="L375" s="68" t="str">
        <f>IF(ISERROR(
CAD_PROD!D375-H375),"",CAD_PROD!D375-H375)</f>
        <v/>
      </c>
      <c r="M375" s="57" t="str">
        <f>IF(ISERROR(
L375/CAD_PROD!D375),"",L375/CAD_PROD!D375)</f>
        <v/>
      </c>
      <c r="N375" s="68" t="str">
        <f>IF(ISERROR(
(P375*CAD_PROD!D375)),"",(P375*CAD_PROD!D375))</f>
        <v/>
      </c>
      <c r="O375" s="68" t="str">
        <f>IF(ISERROR(PE_GERAL!$J$7*CAD_PROD!G375),"",PE_GERAL!$J$7*CAD_PROD!G375)</f>
        <v/>
      </c>
      <c r="P375" s="101" t="str">
        <f t="shared" si="17"/>
        <v/>
      </c>
      <c r="Q375" s="68" t="str">
        <f>IF(C375="","",IF(ISERROR(
CAD_PROD!E375*G375),"",CAD_PROD!E375*G375))</f>
        <v/>
      </c>
      <c r="R375" s="68" t="str">
        <f>IF(C375="","",IF(ISERROR(
CAD_PROD!E375*D375),"",CAD_PROD!E375*D375))</f>
        <v/>
      </c>
      <c r="S375" s="44" t="str">
        <f>IF(C375="","",IF(CAD_PROD!E375&gt;=P375,"Sim","Não"))</f>
        <v/>
      </c>
    </row>
    <row r="376" spans="1:19" ht="30" customHeight="1">
      <c r="A376" s="52">
        <f t="shared" si="15"/>
        <v>0</v>
      </c>
      <c r="B376" s="52">
        <f t="shared" si="16"/>
        <v>0</v>
      </c>
      <c r="C376" s="96" t="str">
        <f>IF(CAD_PROD!C376="","",CAD_PROD!C376)</f>
        <v/>
      </c>
      <c r="D376" s="75"/>
      <c r="E376" s="125"/>
      <c r="F376" s="125"/>
      <c r="G376" s="75"/>
      <c r="H376" s="75" t="str">
        <f>IF(C376="","",D376+CAD_PROD!D376*(E376+F376)+G376)</f>
        <v/>
      </c>
      <c r="I376" s="52">
        <v>9.9999999999999995E-7</v>
      </c>
      <c r="J376" s="68" t="str">
        <f>IF(ISERROR(
CAD_PROD!F376*E376),"",CAD_PROD!F376*E376)</f>
        <v/>
      </c>
      <c r="K376" s="68" t="str">
        <f>IF(ISERROR(
CAD_PROD!F376*F376),"",CAD_PROD!F376*F376)</f>
        <v/>
      </c>
      <c r="L376" s="68" t="str">
        <f>IF(ISERROR(
CAD_PROD!D376-H376),"",CAD_PROD!D376-H376)</f>
        <v/>
      </c>
      <c r="M376" s="57" t="str">
        <f>IF(ISERROR(
L376/CAD_PROD!D376),"",L376/CAD_PROD!D376)</f>
        <v/>
      </c>
      <c r="N376" s="68" t="str">
        <f>IF(ISERROR(
(P376*CAD_PROD!D376)),"",(P376*CAD_PROD!D376))</f>
        <v/>
      </c>
      <c r="O376" s="68" t="str">
        <f>IF(ISERROR(PE_GERAL!$J$7*CAD_PROD!G376),"",PE_GERAL!$J$7*CAD_PROD!G376)</f>
        <v/>
      </c>
      <c r="P376" s="101" t="str">
        <f t="shared" si="17"/>
        <v/>
      </c>
      <c r="Q376" s="68" t="str">
        <f>IF(C376="","",IF(ISERROR(
CAD_PROD!E376*G376),"",CAD_PROD!E376*G376))</f>
        <v/>
      </c>
      <c r="R376" s="68" t="str">
        <f>IF(C376="","",IF(ISERROR(
CAD_PROD!E376*D376),"",CAD_PROD!E376*D376))</f>
        <v/>
      </c>
      <c r="S376" s="44" t="str">
        <f>IF(C376="","",IF(CAD_PROD!E376&gt;=P376,"Sim","Não"))</f>
        <v/>
      </c>
    </row>
    <row r="377" spans="1:19" ht="30" customHeight="1">
      <c r="A377" s="52">
        <f t="shared" si="15"/>
        <v>0</v>
      </c>
      <c r="B377" s="52">
        <f t="shared" si="16"/>
        <v>0</v>
      </c>
      <c r="C377" s="96" t="str">
        <f>IF(CAD_PROD!C377="","",CAD_PROD!C377)</f>
        <v/>
      </c>
      <c r="D377" s="75"/>
      <c r="E377" s="125"/>
      <c r="F377" s="125"/>
      <c r="G377" s="75"/>
      <c r="H377" s="75" t="str">
        <f>IF(C377="","",D377+CAD_PROD!D377*(E377+F377)+G377)</f>
        <v/>
      </c>
      <c r="I377" s="52">
        <v>9.9999999999999995E-7</v>
      </c>
      <c r="J377" s="68" t="str">
        <f>IF(ISERROR(
CAD_PROD!F377*E377),"",CAD_PROD!F377*E377)</f>
        <v/>
      </c>
      <c r="K377" s="68" t="str">
        <f>IF(ISERROR(
CAD_PROD!F377*F377),"",CAD_PROD!F377*F377)</f>
        <v/>
      </c>
      <c r="L377" s="68" t="str">
        <f>IF(ISERROR(
CAD_PROD!D377-H377),"",CAD_PROD!D377-H377)</f>
        <v/>
      </c>
      <c r="M377" s="57" t="str">
        <f>IF(ISERROR(
L377/CAD_PROD!D377),"",L377/CAD_PROD!D377)</f>
        <v/>
      </c>
      <c r="N377" s="68" t="str">
        <f>IF(ISERROR(
(P377*CAD_PROD!D377)),"",(P377*CAD_PROD!D377))</f>
        <v/>
      </c>
      <c r="O377" s="68" t="str">
        <f>IF(ISERROR(PE_GERAL!$J$7*CAD_PROD!G377),"",PE_GERAL!$J$7*CAD_PROD!G377)</f>
        <v/>
      </c>
      <c r="P377" s="101" t="str">
        <f t="shared" si="17"/>
        <v/>
      </c>
      <c r="Q377" s="68" t="str">
        <f>IF(C377="","",IF(ISERROR(
CAD_PROD!E377*G377),"",CAD_PROD!E377*G377))</f>
        <v/>
      </c>
      <c r="R377" s="68" t="str">
        <f>IF(C377="","",IF(ISERROR(
CAD_PROD!E377*D377),"",CAD_PROD!E377*D377))</f>
        <v/>
      </c>
      <c r="S377" s="44" t="str">
        <f>IF(C377="","",IF(CAD_PROD!E377&gt;=P377,"Sim","Não"))</f>
        <v/>
      </c>
    </row>
    <row r="378" spans="1:19" ht="30" customHeight="1">
      <c r="A378" s="52">
        <f t="shared" si="15"/>
        <v>0</v>
      </c>
      <c r="B378" s="52">
        <f t="shared" si="16"/>
        <v>0</v>
      </c>
      <c r="C378" s="96" t="str">
        <f>IF(CAD_PROD!C378="","",CAD_PROD!C378)</f>
        <v/>
      </c>
      <c r="D378" s="75"/>
      <c r="E378" s="125"/>
      <c r="F378" s="125"/>
      <c r="G378" s="75"/>
      <c r="H378" s="75" t="str">
        <f>IF(C378="","",D378+CAD_PROD!D378*(E378+F378)+G378)</f>
        <v/>
      </c>
      <c r="I378" s="52">
        <v>9.9999999999999995E-7</v>
      </c>
      <c r="J378" s="68" t="str">
        <f>IF(ISERROR(
CAD_PROD!F378*E378),"",CAD_PROD!F378*E378)</f>
        <v/>
      </c>
      <c r="K378" s="68" t="str">
        <f>IF(ISERROR(
CAD_PROD!F378*F378),"",CAD_PROD!F378*F378)</f>
        <v/>
      </c>
      <c r="L378" s="68" t="str">
        <f>IF(ISERROR(
CAD_PROD!D378-H378),"",CAD_PROD!D378-H378)</f>
        <v/>
      </c>
      <c r="M378" s="57" t="str">
        <f>IF(ISERROR(
L378/CAD_PROD!D378),"",L378/CAD_PROD!D378)</f>
        <v/>
      </c>
      <c r="N378" s="68" t="str">
        <f>IF(ISERROR(
(P378*CAD_PROD!D378)),"",(P378*CAD_PROD!D378))</f>
        <v/>
      </c>
      <c r="O378" s="68" t="str">
        <f>IF(ISERROR(PE_GERAL!$J$7*CAD_PROD!G378),"",PE_GERAL!$J$7*CAD_PROD!G378)</f>
        <v/>
      </c>
      <c r="P378" s="101" t="str">
        <f t="shared" si="17"/>
        <v/>
      </c>
      <c r="Q378" s="68" t="str">
        <f>IF(C378="","",IF(ISERROR(
CAD_PROD!E378*G378),"",CAD_PROD!E378*G378))</f>
        <v/>
      </c>
      <c r="R378" s="68" t="str">
        <f>IF(C378="","",IF(ISERROR(
CAD_PROD!E378*D378),"",CAD_PROD!E378*D378))</f>
        <v/>
      </c>
      <c r="S378" s="44" t="str">
        <f>IF(C378="","",IF(CAD_PROD!E378&gt;=P378,"Sim","Não"))</f>
        <v/>
      </c>
    </row>
    <row r="379" spans="1:19" ht="30" customHeight="1">
      <c r="A379" s="52">
        <f t="shared" si="15"/>
        <v>0</v>
      </c>
      <c r="B379" s="52">
        <f t="shared" si="16"/>
        <v>0</v>
      </c>
      <c r="C379" s="96" t="str">
        <f>IF(CAD_PROD!C379="","",CAD_PROD!C379)</f>
        <v/>
      </c>
      <c r="D379" s="75"/>
      <c r="E379" s="125"/>
      <c r="F379" s="125"/>
      <c r="G379" s="75"/>
      <c r="H379" s="75" t="str">
        <f>IF(C379="","",D379+CAD_PROD!D379*(E379+F379)+G379)</f>
        <v/>
      </c>
      <c r="I379" s="52">
        <v>9.9999999999999995E-7</v>
      </c>
      <c r="J379" s="68" t="str">
        <f>IF(ISERROR(
CAD_PROD!F379*E379),"",CAD_PROD!F379*E379)</f>
        <v/>
      </c>
      <c r="K379" s="68" t="str">
        <f>IF(ISERROR(
CAD_PROD!F379*F379),"",CAD_PROD!F379*F379)</f>
        <v/>
      </c>
      <c r="L379" s="68" t="str">
        <f>IF(ISERROR(
CAD_PROD!D379-H379),"",CAD_PROD!D379-H379)</f>
        <v/>
      </c>
      <c r="M379" s="57" t="str">
        <f>IF(ISERROR(
L379/CAD_PROD!D379),"",L379/CAD_PROD!D379)</f>
        <v/>
      </c>
      <c r="N379" s="68" t="str">
        <f>IF(ISERROR(
(P379*CAD_PROD!D379)),"",(P379*CAD_PROD!D379))</f>
        <v/>
      </c>
      <c r="O379" s="68" t="str">
        <f>IF(ISERROR(PE_GERAL!$J$7*CAD_PROD!G379),"",PE_GERAL!$J$7*CAD_PROD!G379)</f>
        <v/>
      </c>
      <c r="P379" s="101" t="str">
        <f t="shared" si="17"/>
        <v/>
      </c>
      <c r="Q379" s="68" t="str">
        <f>IF(C379="","",IF(ISERROR(
CAD_PROD!E379*G379),"",CAD_PROD!E379*G379))</f>
        <v/>
      </c>
      <c r="R379" s="68" t="str">
        <f>IF(C379="","",IF(ISERROR(
CAD_PROD!E379*D379),"",CAD_PROD!E379*D379))</f>
        <v/>
      </c>
      <c r="S379" s="44" t="str">
        <f>IF(C379="","",IF(CAD_PROD!E379&gt;=P379,"Sim","Não"))</f>
        <v/>
      </c>
    </row>
    <row r="380" spans="1:19" ht="30" customHeight="1">
      <c r="A380" s="52">
        <f t="shared" si="15"/>
        <v>0</v>
      </c>
      <c r="B380" s="52">
        <f t="shared" si="16"/>
        <v>0</v>
      </c>
      <c r="C380" s="96" t="str">
        <f>IF(CAD_PROD!C380="","",CAD_PROD!C380)</f>
        <v/>
      </c>
      <c r="D380" s="75"/>
      <c r="E380" s="125"/>
      <c r="F380" s="125"/>
      <c r="G380" s="75"/>
      <c r="H380" s="75" t="str">
        <f>IF(C380="","",D380+CAD_PROD!D380*(E380+F380)+G380)</f>
        <v/>
      </c>
      <c r="I380" s="52">
        <v>9.9999999999999995E-7</v>
      </c>
      <c r="J380" s="68" t="str">
        <f>IF(ISERROR(
CAD_PROD!F380*E380),"",CAD_PROD!F380*E380)</f>
        <v/>
      </c>
      <c r="K380" s="68" t="str">
        <f>IF(ISERROR(
CAD_PROD!F380*F380),"",CAD_PROD!F380*F380)</f>
        <v/>
      </c>
      <c r="L380" s="68" t="str">
        <f>IF(ISERROR(
CAD_PROD!D380-H380),"",CAD_PROD!D380-H380)</f>
        <v/>
      </c>
      <c r="M380" s="57" t="str">
        <f>IF(ISERROR(
L380/CAD_PROD!D380),"",L380/CAD_PROD!D380)</f>
        <v/>
      </c>
      <c r="N380" s="68" t="str">
        <f>IF(ISERROR(
(P380*CAD_PROD!D380)),"",(P380*CAD_PROD!D380))</f>
        <v/>
      </c>
      <c r="O380" s="68" t="str">
        <f>IF(ISERROR(PE_GERAL!$J$7*CAD_PROD!G380),"",PE_GERAL!$J$7*CAD_PROD!G380)</f>
        <v/>
      </c>
      <c r="P380" s="101" t="str">
        <f t="shared" si="17"/>
        <v/>
      </c>
      <c r="Q380" s="68" t="str">
        <f>IF(C380="","",IF(ISERROR(
CAD_PROD!E380*G380),"",CAD_PROD!E380*G380))</f>
        <v/>
      </c>
      <c r="R380" s="68" t="str">
        <f>IF(C380="","",IF(ISERROR(
CAD_PROD!E380*D380),"",CAD_PROD!E380*D380))</f>
        <v/>
      </c>
      <c r="S380" s="44" t="str">
        <f>IF(C380="","",IF(CAD_PROD!E380&gt;=P380,"Sim","Não"))</f>
        <v/>
      </c>
    </row>
    <row r="381" spans="1:19" ht="30" customHeight="1">
      <c r="A381" s="52">
        <f t="shared" si="15"/>
        <v>0</v>
      </c>
      <c r="B381" s="52">
        <f t="shared" si="16"/>
        <v>0</v>
      </c>
      <c r="C381" s="96" t="str">
        <f>IF(CAD_PROD!C381="","",CAD_PROD!C381)</f>
        <v/>
      </c>
      <c r="D381" s="75"/>
      <c r="E381" s="125"/>
      <c r="F381" s="125"/>
      <c r="G381" s="75"/>
      <c r="H381" s="75" t="str">
        <f>IF(C381="","",D381+CAD_PROD!D381*(E381+F381)+G381)</f>
        <v/>
      </c>
      <c r="I381" s="52">
        <v>9.9999999999999995E-7</v>
      </c>
      <c r="J381" s="68" t="str">
        <f>IF(ISERROR(
CAD_PROD!F381*E381),"",CAD_PROD!F381*E381)</f>
        <v/>
      </c>
      <c r="K381" s="68" t="str">
        <f>IF(ISERROR(
CAD_PROD!F381*F381),"",CAD_PROD!F381*F381)</f>
        <v/>
      </c>
      <c r="L381" s="68" t="str">
        <f>IF(ISERROR(
CAD_PROD!D381-H381),"",CAD_PROD!D381-H381)</f>
        <v/>
      </c>
      <c r="M381" s="57" t="str">
        <f>IF(ISERROR(
L381/CAD_PROD!D381),"",L381/CAD_PROD!D381)</f>
        <v/>
      </c>
      <c r="N381" s="68" t="str">
        <f>IF(ISERROR(
(P381*CAD_PROD!D381)),"",(P381*CAD_PROD!D381))</f>
        <v/>
      </c>
      <c r="O381" s="68" t="str">
        <f>IF(ISERROR(PE_GERAL!$J$7*CAD_PROD!G381),"",PE_GERAL!$J$7*CAD_PROD!G381)</f>
        <v/>
      </c>
      <c r="P381" s="101" t="str">
        <f t="shared" si="17"/>
        <v/>
      </c>
      <c r="Q381" s="68" t="str">
        <f>IF(C381="","",IF(ISERROR(
CAD_PROD!E381*G381),"",CAD_PROD!E381*G381))</f>
        <v/>
      </c>
      <c r="R381" s="68" t="str">
        <f>IF(C381="","",IF(ISERROR(
CAD_PROD!E381*D381),"",CAD_PROD!E381*D381))</f>
        <v/>
      </c>
      <c r="S381" s="44" t="str">
        <f>IF(C381="","",IF(CAD_PROD!E381&gt;=P381,"Sim","Não"))</f>
        <v/>
      </c>
    </row>
    <row r="382" spans="1:19" ht="30" customHeight="1">
      <c r="A382" s="52">
        <f t="shared" si="15"/>
        <v>0</v>
      </c>
      <c r="B382" s="52">
        <f t="shared" si="16"/>
        <v>0</v>
      </c>
      <c r="C382" s="96" t="str">
        <f>IF(CAD_PROD!C382="","",CAD_PROD!C382)</f>
        <v/>
      </c>
      <c r="D382" s="75"/>
      <c r="E382" s="125"/>
      <c r="F382" s="125"/>
      <c r="G382" s="75"/>
      <c r="H382" s="75" t="str">
        <f>IF(C382="","",D382+CAD_PROD!D382*(E382+F382)+G382)</f>
        <v/>
      </c>
      <c r="I382" s="52">
        <v>9.9999999999999995E-7</v>
      </c>
      <c r="J382" s="68" t="str">
        <f>IF(ISERROR(
CAD_PROD!F382*E382),"",CAD_PROD!F382*E382)</f>
        <v/>
      </c>
      <c r="K382" s="68" t="str">
        <f>IF(ISERROR(
CAD_PROD!F382*F382),"",CAD_PROD!F382*F382)</f>
        <v/>
      </c>
      <c r="L382" s="68" t="str">
        <f>IF(ISERROR(
CAD_PROD!D382-H382),"",CAD_PROD!D382-H382)</f>
        <v/>
      </c>
      <c r="M382" s="57" t="str">
        <f>IF(ISERROR(
L382/CAD_PROD!D382),"",L382/CAD_PROD!D382)</f>
        <v/>
      </c>
      <c r="N382" s="68" t="str">
        <f>IF(ISERROR(
(P382*CAD_PROD!D382)),"",(P382*CAD_PROD!D382))</f>
        <v/>
      </c>
      <c r="O382" s="68" t="str">
        <f>IF(ISERROR(PE_GERAL!$J$7*CAD_PROD!G382),"",PE_GERAL!$J$7*CAD_PROD!G382)</f>
        <v/>
      </c>
      <c r="P382" s="101" t="str">
        <f t="shared" si="17"/>
        <v/>
      </c>
      <c r="Q382" s="68" t="str">
        <f>IF(C382="","",IF(ISERROR(
CAD_PROD!E382*G382),"",CAD_PROD!E382*G382))</f>
        <v/>
      </c>
      <c r="R382" s="68" t="str">
        <f>IF(C382="","",IF(ISERROR(
CAD_PROD!E382*D382),"",CAD_PROD!E382*D382))</f>
        <v/>
      </c>
      <c r="S382" s="44" t="str">
        <f>IF(C382="","",IF(CAD_PROD!E382&gt;=P382,"Sim","Não"))</f>
        <v/>
      </c>
    </row>
    <row r="383" spans="1:19" ht="30" customHeight="1">
      <c r="A383" s="52">
        <f t="shared" si="15"/>
        <v>0</v>
      </c>
      <c r="B383" s="52">
        <f t="shared" si="16"/>
        <v>0</v>
      </c>
      <c r="C383" s="96" t="str">
        <f>IF(CAD_PROD!C383="","",CAD_PROD!C383)</f>
        <v/>
      </c>
      <c r="D383" s="75"/>
      <c r="E383" s="125"/>
      <c r="F383" s="125"/>
      <c r="G383" s="75"/>
      <c r="H383" s="75" t="str">
        <f>IF(C383="","",D383+CAD_PROD!D383*(E383+F383)+G383)</f>
        <v/>
      </c>
      <c r="I383" s="52">
        <v>9.9999999999999995E-7</v>
      </c>
      <c r="J383" s="68" t="str">
        <f>IF(ISERROR(
CAD_PROD!F383*E383),"",CAD_PROD!F383*E383)</f>
        <v/>
      </c>
      <c r="K383" s="68" t="str">
        <f>IF(ISERROR(
CAD_PROD!F383*F383),"",CAD_PROD!F383*F383)</f>
        <v/>
      </c>
      <c r="L383" s="68" t="str">
        <f>IF(ISERROR(
CAD_PROD!D383-H383),"",CAD_PROD!D383-H383)</f>
        <v/>
      </c>
      <c r="M383" s="57" t="str">
        <f>IF(ISERROR(
L383/CAD_PROD!D383),"",L383/CAD_PROD!D383)</f>
        <v/>
      </c>
      <c r="N383" s="68" t="str">
        <f>IF(ISERROR(
(P383*CAD_PROD!D383)),"",(P383*CAD_PROD!D383))</f>
        <v/>
      </c>
      <c r="O383" s="68" t="str">
        <f>IF(ISERROR(PE_GERAL!$J$7*CAD_PROD!G383),"",PE_GERAL!$J$7*CAD_PROD!G383)</f>
        <v/>
      </c>
      <c r="P383" s="101" t="str">
        <f t="shared" si="17"/>
        <v/>
      </c>
      <c r="Q383" s="68" t="str">
        <f>IF(C383="","",IF(ISERROR(
CAD_PROD!E383*G383),"",CAD_PROD!E383*G383))</f>
        <v/>
      </c>
      <c r="R383" s="68" t="str">
        <f>IF(C383="","",IF(ISERROR(
CAD_PROD!E383*D383),"",CAD_PROD!E383*D383))</f>
        <v/>
      </c>
      <c r="S383" s="44" t="str">
        <f>IF(C383="","",IF(CAD_PROD!E383&gt;=P383,"Sim","Não"))</f>
        <v/>
      </c>
    </row>
    <row r="384" spans="1:19" ht="30" customHeight="1">
      <c r="A384" s="52">
        <f t="shared" si="15"/>
        <v>0</v>
      </c>
      <c r="B384" s="52">
        <f t="shared" si="16"/>
        <v>0</v>
      </c>
      <c r="C384" s="96" t="str">
        <f>IF(CAD_PROD!C384="","",CAD_PROD!C384)</f>
        <v/>
      </c>
      <c r="D384" s="75"/>
      <c r="E384" s="125"/>
      <c r="F384" s="125"/>
      <c r="G384" s="75"/>
      <c r="H384" s="75" t="str">
        <f>IF(C384="","",D384+CAD_PROD!D384*(E384+F384)+G384)</f>
        <v/>
      </c>
      <c r="I384" s="52">
        <v>9.9999999999999995E-7</v>
      </c>
      <c r="J384" s="68" t="str">
        <f>IF(ISERROR(
CAD_PROD!F384*E384),"",CAD_PROD!F384*E384)</f>
        <v/>
      </c>
      <c r="K384" s="68" t="str">
        <f>IF(ISERROR(
CAD_PROD!F384*F384),"",CAD_PROD!F384*F384)</f>
        <v/>
      </c>
      <c r="L384" s="68" t="str">
        <f>IF(ISERROR(
CAD_PROD!D384-H384),"",CAD_PROD!D384-H384)</f>
        <v/>
      </c>
      <c r="M384" s="57" t="str">
        <f>IF(ISERROR(
L384/CAD_PROD!D384),"",L384/CAD_PROD!D384)</f>
        <v/>
      </c>
      <c r="N384" s="68" t="str">
        <f>IF(ISERROR(
(P384*CAD_PROD!D384)),"",(P384*CAD_PROD!D384))</f>
        <v/>
      </c>
      <c r="O384" s="68" t="str">
        <f>IF(ISERROR(PE_GERAL!$J$7*CAD_PROD!G384),"",PE_GERAL!$J$7*CAD_PROD!G384)</f>
        <v/>
      </c>
      <c r="P384" s="101" t="str">
        <f t="shared" si="17"/>
        <v/>
      </c>
      <c r="Q384" s="68" t="str">
        <f>IF(C384="","",IF(ISERROR(
CAD_PROD!E384*G384),"",CAD_PROD!E384*G384))</f>
        <v/>
      </c>
      <c r="R384" s="68" t="str">
        <f>IF(C384="","",IF(ISERROR(
CAD_PROD!E384*D384),"",CAD_PROD!E384*D384))</f>
        <v/>
      </c>
      <c r="S384" s="44" t="str">
        <f>IF(C384="","",IF(CAD_PROD!E384&gt;=P384,"Sim","Não"))</f>
        <v/>
      </c>
    </row>
    <row r="385" spans="1:19" ht="30" customHeight="1">
      <c r="A385" s="52">
        <f t="shared" si="15"/>
        <v>0</v>
      </c>
      <c r="B385" s="52">
        <f t="shared" si="16"/>
        <v>0</v>
      </c>
      <c r="C385" s="96" t="str">
        <f>IF(CAD_PROD!C385="","",CAD_PROD!C385)</f>
        <v/>
      </c>
      <c r="D385" s="75"/>
      <c r="E385" s="125"/>
      <c r="F385" s="125"/>
      <c r="G385" s="75"/>
      <c r="H385" s="75" t="str">
        <f>IF(C385="","",D385+CAD_PROD!D385*(E385+F385)+G385)</f>
        <v/>
      </c>
      <c r="I385" s="52">
        <v>9.9999999999999995E-7</v>
      </c>
      <c r="J385" s="68" t="str">
        <f>IF(ISERROR(
CAD_PROD!F385*E385),"",CAD_PROD!F385*E385)</f>
        <v/>
      </c>
      <c r="K385" s="68" t="str">
        <f>IF(ISERROR(
CAD_PROD!F385*F385),"",CAD_PROD!F385*F385)</f>
        <v/>
      </c>
      <c r="L385" s="68" t="str">
        <f>IF(ISERROR(
CAD_PROD!D385-H385),"",CAD_PROD!D385-H385)</f>
        <v/>
      </c>
      <c r="M385" s="57" t="str">
        <f>IF(ISERROR(
L385/CAD_PROD!D385),"",L385/CAD_PROD!D385)</f>
        <v/>
      </c>
      <c r="N385" s="68" t="str">
        <f>IF(ISERROR(
(P385*CAD_PROD!D385)),"",(P385*CAD_PROD!D385))</f>
        <v/>
      </c>
      <c r="O385" s="68" t="str">
        <f>IF(ISERROR(PE_GERAL!$J$7*CAD_PROD!G385),"",PE_GERAL!$J$7*CAD_PROD!G385)</f>
        <v/>
      </c>
      <c r="P385" s="101" t="str">
        <f t="shared" si="17"/>
        <v/>
      </c>
      <c r="Q385" s="68" t="str">
        <f>IF(C385="","",IF(ISERROR(
CAD_PROD!E385*G385),"",CAD_PROD!E385*G385))</f>
        <v/>
      </c>
      <c r="R385" s="68" t="str">
        <f>IF(C385="","",IF(ISERROR(
CAD_PROD!E385*D385),"",CAD_PROD!E385*D385))</f>
        <v/>
      </c>
      <c r="S385" s="44" t="str">
        <f>IF(C385="","",IF(CAD_PROD!E385&gt;=P385,"Sim","Não"))</f>
        <v/>
      </c>
    </row>
    <row r="386" spans="1:19" ht="30" customHeight="1">
      <c r="A386" s="52">
        <f t="shared" si="15"/>
        <v>0</v>
      </c>
      <c r="B386" s="52">
        <f t="shared" si="16"/>
        <v>0</v>
      </c>
      <c r="C386" s="96" t="str">
        <f>IF(CAD_PROD!C386="","",CAD_PROD!C386)</f>
        <v/>
      </c>
      <c r="D386" s="75"/>
      <c r="E386" s="125"/>
      <c r="F386" s="125"/>
      <c r="G386" s="75"/>
      <c r="H386" s="75" t="str">
        <f>IF(C386="","",D386+CAD_PROD!D386*(E386+F386)+G386)</f>
        <v/>
      </c>
      <c r="I386" s="52">
        <v>9.9999999999999995E-7</v>
      </c>
      <c r="J386" s="68" t="str">
        <f>IF(ISERROR(
CAD_PROD!F386*E386),"",CAD_PROD!F386*E386)</f>
        <v/>
      </c>
      <c r="K386" s="68" t="str">
        <f>IF(ISERROR(
CAD_PROD!F386*F386),"",CAD_PROD!F386*F386)</f>
        <v/>
      </c>
      <c r="L386" s="68" t="str">
        <f>IF(ISERROR(
CAD_PROD!D386-H386),"",CAD_PROD!D386-H386)</f>
        <v/>
      </c>
      <c r="M386" s="57" t="str">
        <f>IF(ISERROR(
L386/CAD_PROD!D386),"",L386/CAD_PROD!D386)</f>
        <v/>
      </c>
      <c r="N386" s="68" t="str">
        <f>IF(ISERROR(
(P386*CAD_PROD!D386)),"",(P386*CAD_PROD!D386))</f>
        <v/>
      </c>
      <c r="O386" s="68" t="str">
        <f>IF(ISERROR(PE_GERAL!$J$7*CAD_PROD!G386),"",PE_GERAL!$J$7*CAD_PROD!G386)</f>
        <v/>
      </c>
      <c r="P386" s="101" t="str">
        <f t="shared" si="17"/>
        <v/>
      </c>
      <c r="Q386" s="68" t="str">
        <f>IF(C386="","",IF(ISERROR(
CAD_PROD!E386*G386),"",CAD_PROD!E386*G386))</f>
        <v/>
      </c>
      <c r="R386" s="68" t="str">
        <f>IF(C386="","",IF(ISERROR(
CAD_PROD!E386*D386),"",CAD_PROD!E386*D386))</f>
        <v/>
      </c>
      <c r="S386" s="44" t="str">
        <f>IF(C386="","",IF(CAD_PROD!E386&gt;=P386,"Sim","Não"))</f>
        <v/>
      </c>
    </row>
    <row r="387" spans="1:19" ht="30" customHeight="1">
      <c r="A387" s="52">
        <f t="shared" si="15"/>
        <v>0</v>
      </c>
      <c r="B387" s="52">
        <f t="shared" si="16"/>
        <v>0</v>
      </c>
      <c r="C387" s="96" t="str">
        <f>IF(CAD_PROD!C387="","",CAD_PROD!C387)</f>
        <v/>
      </c>
      <c r="D387" s="75"/>
      <c r="E387" s="125"/>
      <c r="F387" s="125"/>
      <c r="G387" s="75"/>
      <c r="H387" s="75" t="str">
        <f>IF(C387="","",D387+CAD_PROD!D387*(E387+F387)+G387)</f>
        <v/>
      </c>
      <c r="I387" s="52">
        <v>9.9999999999999995E-7</v>
      </c>
      <c r="J387" s="68" t="str">
        <f>IF(ISERROR(
CAD_PROD!F387*E387),"",CAD_PROD!F387*E387)</f>
        <v/>
      </c>
      <c r="K387" s="68" t="str">
        <f>IF(ISERROR(
CAD_PROD!F387*F387),"",CAD_PROD!F387*F387)</f>
        <v/>
      </c>
      <c r="L387" s="68" t="str">
        <f>IF(ISERROR(
CAD_PROD!D387-H387),"",CAD_PROD!D387-H387)</f>
        <v/>
      </c>
      <c r="M387" s="57" t="str">
        <f>IF(ISERROR(
L387/CAD_PROD!D387),"",L387/CAD_PROD!D387)</f>
        <v/>
      </c>
      <c r="N387" s="68" t="str">
        <f>IF(ISERROR(
(P387*CAD_PROD!D387)),"",(P387*CAD_PROD!D387))</f>
        <v/>
      </c>
      <c r="O387" s="68" t="str">
        <f>IF(ISERROR(PE_GERAL!$J$7*CAD_PROD!G387),"",PE_GERAL!$J$7*CAD_PROD!G387)</f>
        <v/>
      </c>
      <c r="P387" s="101" t="str">
        <f t="shared" si="17"/>
        <v/>
      </c>
      <c r="Q387" s="68" t="str">
        <f>IF(C387="","",IF(ISERROR(
CAD_PROD!E387*G387),"",CAD_PROD!E387*G387))</f>
        <v/>
      </c>
      <c r="R387" s="68" t="str">
        <f>IF(C387="","",IF(ISERROR(
CAD_PROD!E387*D387),"",CAD_PROD!E387*D387))</f>
        <v/>
      </c>
      <c r="S387" s="44" t="str">
        <f>IF(C387="","",IF(CAD_PROD!E387&gt;=P387,"Sim","Não"))</f>
        <v/>
      </c>
    </row>
    <row r="388" spans="1:19" ht="30" customHeight="1">
      <c r="A388" s="52">
        <f t="shared" si="15"/>
        <v>0</v>
      </c>
      <c r="B388" s="52">
        <f t="shared" si="16"/>
        <v>0</v>
      </c>
      <c r="C388" s="96" t="str">
        <f>IF(CAD_PROD!C388="","",CAD_PROD!C388)</f>
        <v/>
      </c>
      <c r="D388" s="75"/>
      <c r="E388" s="125"/>
      <c r="F388" s="125"/>
      <c r="G388" s="75"/>
      <c r="H388" s="75" t="str">
        <f>IF(C388="","",D388+CAD_PROD!D388*(E388+F388)+G388)</f>
        <v/>
      </c>
      <c r="I388" s="52">
        <v>9.9999999999999995E-7</v>
      </c>
      <c r="J388" s="68" t="str">
        <f>IF(ISERROR(
CAD_PROD!F388*E388),"",CAD_PROD!F388*E388)</f>
        <v/>
      </c>
      <c r="K388" s="68" t="str">
        <f>IF(ISERROR(
CAD_PROD!F388*F388),"",CAD_PROD!F388*F388)</f>
        <v/>
      </c>
      <c r="L388" s="68" t="str">
        <f>IF(ISERROR(
CAD_PROD!D388-H388),"",CAD_PROD!D388-H388)</f>
        <v/>
      </c>
      <c r="M388" s="57" t="str">
        <f>IF(ISERROR(
L388/CAD_PROD!D388),"",L388/CAD_PROD!D388)</f>
        <v/>
      </c>
      <c r="N388" s="68" t="str">
        <f>IF(ISERROR(
(P388*CAD_PROD!D388)),"",(P388*CAD_PROD!D388))</f>
        <v/>
      </c>
      <c r="O388" s="68" t="str">
        <f>IF(ISERROR(PE_GERAL!$J$7*CAD_PROD!G388),"",PE_GERAL!$J$7*CAD_PROD!G388)</f>
        <v/>
      </c>
      <c r="P388" s="101" t="str">
        <f t="shared" si="17"/>
        <v/>
      </c>
      <c r="Q388" s="68" t="str">
        <f>IF(C388="","",IF(ISERROR(
CAD_PROD!E388*G388),"",CAD_PROD!E388*G388))</f>
        <v/>
      </c>
      <c r="R388" s="68" t="str">
        <f>IF(C388="","",IF(ISERROR(
CAD_PROD!E388*D388),"",CAD_PROD!E388*D388))</f>
        <v/>
      </c>
      <c r="S388" s="44" t="str">
        <f>IF(C388="","",IF(CAD_PROD!E388&gt;=P388,"Sim","Não"))</f>
        <v/>
      </c>
    </row>
    <row r="389" spans="1:19" ht="30" customHeight="1">
      <c r="A389" s="52">
        <f t="shared" si="15"/>
        <v>0</v>
      </c>
      <c r="B389" s="52">
        <f t="shared" si="16"/>
        <v>0</v>
      </c>
      <c r="C389" s="96" t="str">
        <f>IF(CAD_PROD!C389="","",CAD_PROD!C389)</f>
        <v/>
      </c>
      <c r="D389" s="75"/>
      <c r="E389" s="125"/>
      <c r="F389" s="125"/>
      <c r="G389" s="75"/>
      <c r="H389" s="75" t="str">
        <f>IF(C389="","",D389+CAD_PROD!D389*(E389+F389)+G389)</f>
        <v/>
      </c>
      <c r="I389" s="52">
        <v>9.9999999999999995E-7</v>
      </c>
      <c r="J389" s="68" t="str">
        <f>IF(ISERROR(
CAD_PROD!F389*E389),"",CAD_PROD!F389*E389)</f>
        <v/>
      </c>
      <c r="K389" s="68" t="str">
        <f>IF(ISERROR(
CAD_PROD!F389*F389),"",CAD_PROD!F389*F389)</f>
        <v/>
      </c>
      <c r="L389" s="68" t="str">
        <f>IF(ISERROR(
CAD_PROD!D389-H389),"",CAD_PROD!D389-H389)</f>
        <v/>
      </c>
      <c r="M389" s="57" t="str">
        <f>IF(ISERROR(
L389/CAD_PROD!D389),"",L389/CAD_PROD!D389)</f>
        <v/>
      </c>
      <c r="N389" s="68" t="str">
        <f>IF(ISERROR(
(P389*CAD_PROD!D389)),"",(P389*CAD_PROD!D389))</f>
        <v/>
      </c>
      <c r="O389" s="68" t="str">
        <f>IF(ISERROR(PE_GERAL!$J$7*CAD_PROD!G389),"",PE_GERAL!$J$7*CAD_PROD!G389)</f>
        <v/>
      </c>
      <c r="P389" s="101" t="str">
        <f t="shared" si="17"/>
        <v/>
      </c>
      <c r="Q389" s="68" t="str">
        <f>IF(C389="","",IF(ISERROR(
CAD_PROD!E389*G389),"",CAD_PROD!E389*G389))</f>
        <v/>
      </c>
      <c r="R389" s="68" t="str">
        <f>IF(C389="","",IF(ISERROR(
CAD_PROD!E389*D389),"",CAD_PROD!E389*D389))</f>
        <v/>
      </c>
      <c r="S389" s="44" t="str">
        <f>IF(C389="","",IF(CAD_PROD!E389&gt;=P389,"Sim","Não"))</f>
        <v/>
      </c>
    </row>
    <row r="390" spans="1:19" ht="30" customHeight="1">
      <c r="A390" s="52">
        <f t="shared" si="15"/>
        <v>0</v>
      </c>
      <c r="B390" s="52">
        <f t="shared" si="16"/>
        <v>0</v>
      </c>
      <c r="C390" s="96" t="str">
        <f>IF(CAD_PROD!C390="","",CAD_PROD!C390)</f>
        <v/>
      </c>
      <c r="D390" s="75"/>
      <c r="E390" s="125"/>
      <c r="F390" s="125"/>
      <c r="G390" s="75"/>
      <c r="H390" s="75" t="str">
        <f>IF(C390="","",D390+CAD_PROD!D390*(E390+F390)+G390)</f>
        <v/>
      </c>
      <c r="I390" s="52">
        <v>9.9999999999999995E-7</v>
      </c>
      <c r="J390" s="68" t="str">
        <f>IF(ISERROR(
CAD_PROD!F390*E390),"",CAD_PROD!F390*E390)</f>
        <v/>
      </c>
      <c r="K390" s="68" t="str">
        <f>IF(ISERROR(
CAD_PROD!F390*F390),"",CAD_PROD!F390*F390)</f>
        <v/>
      </c>
      <c r="L390" s="68" t="str">
        <f>IF(ISERROR(
CAD_PROD!D390-H390),"",CAD_PROD!D390-H390)</f>
        <v/>
      </c>
      <c r="M390" s="57" t="str">
        <f>IF(ISERROR(
L390/CAD_PROD!D390),"",L390/CAD_PROD!D390)</f>
        <v/>
      </c>
      <c r="N390" s="68" t="str">
        <f>IF(ISERROR(
(P390*CAD_PROD!D390)),"",(P390*CAD_PROD!D390))</f>
        <v/>
      </c>
      <c r="O390" s="68" t="str">
        <f>IF(ISERROR(PE_GERAL!$J$7*CAD_PROD!G390),"",PE_GERAL!$J$7*CAD_PROD!G390)</f>
        <v/>
      </c>
      <c r="P390" s="101" t="str">
        <f t="shared" si="17"/>
        <v/>
      </c>
      <c r="Q390" s="68" t="str">
        <f>IF(C390="","",IF(ISERROR(
CAD_PROD!E390*G390),"",CAD_PROD!E390*G390))</f>
        <v/>
      </c>
      <c r="R390" s="68" t="str">
        <f>IF(C390="","",IF(ISERROR(
CAD_PROD!E390*D390),"",CAD_PROD!E390*D390))</f>
        <v/>
      </c>
      <c r="S390" s="44" t="str">
        <f>IF(C390="","",IF(CAD_PROD!E390&gt;=P390,"Sim","Não"))</f>
        <v/>
      </c>
    </row>
    <row r="391" spans="1:19" ht="30" customHeight="1">
      <c r="A391" s="52">
        <f t="shared" ref="A391:A454" si="18">IFERROR(L391+I391,0)</f>
        <v>0</v>
      </c>
      <c r="B391" s="52">
        <f t="shared" ref="B391:B454" si="19">IFERROR(H391+I391,0)</f>
        <v>0</v>
      </c>
      <c r="C391" s="96" t="str">
        <f>IF(CAD_PROD!C391="","",CAD_PROD!C391)</f>
        <v/>
      </c>
      <c r="D391" s="75"/>
      <c r="E391" s="125"/>
      <c r="F391" s="125"/>
      <c r="G391" s="75"/>
      <c r="H391" s="75" t="str">
        <f>IF(C391="","",D391+CAD_PROD!D391*(E391+F391)+G391)</f>
        <v/>
      </c>
      <c r="I391" s="52">
        <v>9.9999999999999995E-7</v>
      </c>
      <c r="J391" s="68" t="str">
        <f>IF(ISERROR(
CAD_PROD!F391*E391),"",CAD_PROD!F391*E391)</f>
        <v/>
      </c>
      <c r="K391" s="68" t="str">
        <f>IF(ISERROR(
CAD_PROD!F391*F391),"",CAD_PROD!F391*F391)</f>
        <v/>
      </c>
      <c r="L391" s="68" t="str">
        <f>IF(ISERROR(
CAD_PROD!D391-H391),"",CAD_PROD!D391-H391)</f>
        <v/>
      </c>
      <c r="M391" s="57" t="str">
        <f>IF(ISERROR(
L391/CAD_PROD!D391),"",L391/CAD_PROD!D391)</f>
        <v/>
      </c>
      <c r="N391" s="68" t="str">
        <f>IF(ISERROR(
(P391*CAD_PROD!D391)),"",(P391*CAD_PROD!D391))</f>
        <v/>
      </c>
      <c r="O391" s="68" t="str">
        <f>IF(ISERROR(PE_GERAL!$J$7*CAD_PROD!G391),"",PE_GERAL!$J$7*CAD_PROD!G391)</f>
        <v/>
      </c>
      <c r="P391" s="101" t="str">
        <f t="shared" ref="P391:P454" si="20">IF(ISERROR(ROUNDUP(O391/L391,0)),"",ROUNDUP(O391/L391,0))</f>
        <v/>
      </c>
      <c r="Q391" s="68" t="str">
        <f>IF(C391="","",IF(ISERROR(
CAD_PROD!E391*G391),"",CAD_PROD!E391*G391))</f>
        <v/>
      </c>
      <c r="R391" s="68" t="str">
        <f>IF(C391="","",IF(ISERROR(
CAD_PROD!E391*D391),"",CAD_PROD!E391*D391))</f>
        <v/>
      </c>
      <c r="S391" s="44" t="str">
        <f>IF(C391="","",IF(CAD_PROD!E391&gt;=P391,"Sim","Não"))</f>
        <v/>
      </c>
    </row>
    <row r="392" spans="1:19" ht="30" customHeight="1">
      <c r="A392" s="52">
        <f t="shared" si="18"/>
        <v>0</v>
      </c>
      <c r="B392" s="52">
        <f t="shared" si="19"/>
        <v>0</v>
      </c>
      <c r="C392" s="96" t="str">
        <f>IF(CAD_PROD!C392="","",CAD_PROD!C392)</f>
        <v/>
      </c>
      <c r="D392" s="75"/>
      <c r="E392" s="125"/>
      <c r="F392" s="125"/>
      <c r="G392" s="75"/>
      <c r="H392" s="75" t="str">
        <f>IF(C392="","",D392+CAD_PROD!D392*(E392+F392)+G392)</f>
        <v/>
      </c>
      <c r="I392" s="52">
        <v>9.9999999999999995E-7</v>
      </c>
      <c r="J392" s="68" t="str">
        <f>IF(ISERROR(
CAD_PROD!F392*E392),"",CAD_PROD!F392*E392)</f>
        <v/>
      </c>
      <c r="K392" s="68" t="str">
        <f>IF(ISERROR(
CAD_PROD!F392*F392),"",CAD_PROD!F392*F392)</f>
        <v/>
      </c>
      <c r="L392" s="68" t="str">
        <f>IF(ISERROR(
CAD_PROD!D392-H392),"",CAD_PROD!D392-H392)</f>
        <v/>
      </c>
      <c r="M392" s="57" t="str">
        <f>IF(ISERROR(
L392/CAD_PROD!D392),"",L392/CAD_PROD!D392)</f>
        <v/>
      </c>
      <c r="N392" s="68" t="str">
        <f>IF(ISERROR(
(P392*CAD_PROD!D392)),"",(P392*CAD_PROD!D392))</f>
        <v/>
      </c>
      <c r="O392" s="68" t="str">
        <f>IF(ISERROR(PE_GERAL!$J$7*CAD_PROD!G392),"",PE_GERAL!$J$7*CAD_PROD!G392)</f>
        <v/>
      </c>
      <c r="P392" s="101" t="str">
        <f t="shared" si="20"/>
        <v/>
      </c>
      <c r="Q392" s="68" t="str">
        <f>IF(C392="","",IF(ISERROR(
CAD_PROD!E392*G392),"",CAD_PROD!E392*G392))</f>
        <v/>
      </c>
      <c r="R392" s="68" t="str">
        <f>IF(C392="","",IF(ISERROR(
CAD_PROD!E392*D392),"",CAD_PROD!E392*D392))</f>
        <v/>
      </c>
      <c r="S392" s="44" t="str">
        <f>IF(C392="","",IF(CAD_PROD!E392&gt;=P392,"Sim","Não"))</f>
        <v/>
      </c>
    </row>
    <row r="393" spans="1:19" ht="30" customHeight="1">
      <c r="A393" s="52">
        <f t="shared" si="18"/>
        <v>0</v>
      </c>
      <c r="B393" s="52">
        <f t="shared" si="19"/>
        <v>0</v>
      </c>
      <c r="C393" s="96" t="str">
        <f>IF(CAD_PROD!C393="","",CAD_PROD!C393)</f>
        <v/>
      </c>
      <c r="D393" s="75"/>
      <c r="E393" s="125"/>
      <c r="F393" s="125"/>
      <c r="G393" s="75"/>
      <c r="H393" s="75" t="str">
        <f>IF(C393="","",D393+CAD_PROD!D393*(E393+F393)+G393)</f>
        <v/>
      </c>
      <c r="I393" s="52">
        <v>9.9999999999999995E-7</v>
      </c>
      <c r="J393" s="68" t="str">
        <f>IF(ISERROR(
CAD_PROD!F393*E393),"",CAD_PROD!F393*E393)</f>
        <v/>
      </c>
      <c r="K393" s="68" t="str">
        <f>IF(ISERROR(
CAD_PROD!F393*F393),"",CAD_PROD!F393*F393)</f>
        <v/>
      </c>
      <c r="L393" s="68" t="str">
        <f>IF(ISERROR(
CAD_PROD!D393-H393),"",CAD_PROD!D393-H393)</f>
        <v/>
      </c>
      <c r="M393" s="57" t="str">
        <f>IF(ISERROR(
L393/CAD_PROD!D393),"",L393/CAD_PROD!D393)</f>
        <v/>
      </c>
      <c r="N393" s="68" t="str">
        <f>IF(ISERROR(
(P393*CAD_PROD!D393)),"",(P393*CAD_PROD!D393))</f>
        <v/>
      </c>
      <c r="O393" s="68" t="str">
        <f>IF(ISERROR(PE_GERAL!$J$7*CAD_PROD!G393),"",PE_GERAL!$J$7*CAD_PROD!G393)</f>
        <v/>
      </c>
      <c r="P393" s="101" t="str">
        <f t="shared" si="20"/>
        <v/>
      </c>
      <c r="Q393" s="68" t="str">
        <f>IF(C393="","",IF(ISERROR(
CAD_PROD!E393*G393),"",CAD_PROD!E393*G393))</f>
        <v/>
      </c>
      <c r="R393" s="68" t="str">
        <f>IF(C393="","",IF(ISERROR(
CAD_PROD!E393*D393),"",CAD_PROD!E393*D393))</f>
        <v/>
      </c>
      <c r="S393" s="44" t="str">
        <f>IF(C393="","",IF(CAD_PROD!E393&gt;=P393,"Sim","Não"))</f>
        <v/>
      </c>
    </row>
    <row r="394" spans="1:19" ht="30" customHeight="1">
      <c r="A394" s="52">
        <f t="shared" si="18"/>
        <v>0</v>
      </c>
      <c r="B394" s="52">
        <f t="shared" si="19"/>
        <v>0</v>
      </c>
      <c r="C394" s="96" t="str">
        <f>IF(CAD_PROD!C394="","",CAD_PROD!C394)</f>
        <v/>
      </c>
      <c r="D394" s="75"/>
      <c r="E394" s="125"/>
      <c r="F394" s="125"/>
      <c r="G394" s="75"/>
      <c r="H394" s="75" t="str">
        <f>IF(C394="","",D394+CAD_PROD!D394*(E394+F394)+G394)</f>
        <v/>
      </c>
      <c r="I394" s="52">
        <v>9.9999999999999995E-7</v>
      </c>
      <c r="J394" s="68" t="str">
        <f>IF(ISERROR(
CAD_PROD!F394*E394),"",CAD_PROD!F394*E394)</f>
        <v/>
      </c>
      <c r="K394" s="68" t="str">
        <f>IF(ISERROR(
CAD_PROD!F394*F394),"",CAD_PROD!F394*F394)</f>
        <v/>
      </c>
      <c r="L394" s="68" t="str">
        <f>IF(ISERROR(
CAD_PROD!D394-H394),"",CAD_PROD!D394-H394)</f>
        <v/>
      </c>
      <c r="M394" s="57" t="str">
        <f>IF(ISERROR(
L394/CAD_PROD!D394),"",L394/CAD_PROD!D394)</f>
        <v/>
      </c>
      <c r="N394" s="68" t="str">
        <f>IF(ISERROR(
(P394*CAD_PROD!D394)),"",(P394*CAD_PROD!D394))</f>
        <v/>
      </c>
      <c r="O394" s="68" t="str">
        <f>IF(ISERROR(PE_GERAL!$J$7*CAD_PROD!G394),"",PE_GERAL!$J$7*CAD_PROD!G394)</f>
        <v/>
      </c>
      <c r="P394" s="101" t="str">
        <f t="shared" si="20"/>
        <v/>
      </c>
      <c r="Q394" s="68" t="str">
        <f>IF(C394="","",IF(ISERROR(
CAD_PROD!E394*G394),"",CAD_PROD!E394*G394))</f>
        <v/>
      </c>
      <c r="R394" s="68" t="str">
        <f>IF(C394="","",IF(ISERROR(
CAD_PROD!E394*D394),"",CAD_PROD!E394*D394))</f>
        <v/>
      </c>
      <c r="S394" s="44" t="str">
        <f>IF(C394="","",IF(CAD_PROD!E394&gt;=P394,"Sim","Não"))</f>
        <v/>
      </c>
    </row>
    <row r="395" spans="1:19" ht="30" customHeight="1">
      <c r="A395" s="52">
        <f t="shared" si="18"/>
        <v>0</v>
      </c>
      <c r="B395" s="52">
        <f t="shared" si="19"/>
        <v>0</v>
      </c>
      <c r="C395" s="96" t="str">
        <f>IF(CAD_PROD!C395="","",CAD_PROD!C395)</f>
        <v/>
      </c>
      <c r="D395" s="75"/>
      <c r="E395" s="125"/>
      <c r="F395" s="125"/>
      <c r="G395" s="75"/>
      <c r="H395" s="75" t="str">
        <f>IF(C395="","",D395+CAD_PROD!D395*(E395+F395)+G395)</f>
        <v/>
      </c>
      <c r="I395" s="52">
        <v>9.9999999999999995E-7</v>
      </c>
      <c r="J395" s="68" t="str">
        <f>IF(ISERROR(
CAD_PROD!F395*E395),"",CAD_PROD!F395*E395)</f>
        <v/>
      </c>
      <c r="K395" s="68" t="str">
        <f>IF(ISERROR(
CAD_PROD!F395*F395),"",CAD_PROD!F395*F395)</f>
        <v/>
      </c>
      <c r="L395" s="68" t="str">
        <f>IF(ISERROR(
CAD_PROD!D395-H395),"",CAD_PROD!D395-H395)</f>
        <v/>
      </c>
      <c r="M395" s="57" t="str">
        <f>IF(ISERROR(
L395/CAD_PROD!D395),"",L395/CAD_PROD!D395)</f>
        <v/>
      </c>
      <c r="N395" s="68" t="str">
        <f>IF(ISERROR(
(P395*CAD_PROD!D395)),"",(P395*CAD_PROD!D395))</f>
        <v/>
      </c>
      <c r="O395" s="68" t="str">
        <f>IF(ISERROR(PE_GERAL!$J$7*CAD_PROD!G395),"",PE_GERAL!$J$7*CAD_PROD!G395)</f>
        <v/>
      </c>
      <c r="P395" s="101" t="str">
        <f t="shared" si="20"/>
        <v/>
      </c>
      <c r="Q395" s="68" t="str">
        <f>IF(C395="","",IF(ISERROR(
CAD_PROD!E395*G395),"",CAD_PROD!E395*G395))</f>
        <v/>
      </c>
      <c r="R395" s="68" t="str">
        <f>IF(C395="","",IF(ISERROR(
CAD_PROD!E395*D395),"",CAD_PROD!E395*D395))</f>
        <v/>
      </c>
      <c r="S395" s="44" t="str">
        <f>IF(C395="","",IF(CAD_PROD!E395&gt;=P395,"Sim","Não"))</f>
        <v/>
      </c>
    </row>
    <row r="396" spans="1:19" ht="30" customHeight="1">
      <c r="A396" s="52">
        <f t="shared" si="18"/>
        <v>0</v>
      </c>
      <c r="B396" s="52">
        <f t="shared" si="19"/>
        <v>0</v>
      </c>
      <c r="C396" s="96" t="str">
        <f>IF(CAD_PROD!C396="","",CAD_PROD!C396)</f>
        <v/>
      </c>
      <c r="D396" s="75"/>
      <c r="E396" s="125"/>
      <c r="F396" s="125"/>
      <c r="G396" s="75"/>
      <c r="H396" s="75" t="str">
        <f>IF(C396="","",D396+CAD_PROD!D396*(E396+F396)+G396)</f>
        <v/>
      </c>
      <c r="I396" s="52">
        <v>9.9999999999999995E-7</v>
      </c>
      <c r="J396" s="68" t="str">
        <f>IF(ISERROR(
CAD_PROD!F396*E396),"",CAD_PROD!F396*E396)</f>
        <v/>
      </c>
      <c r="K396" s="68" t="str">
        <f>IF(ISERROR(
CAD_PROD!F396*F396),"",CAD_PROD!F396*F396)</f>
        <v/>
      </c>
      <c r="L396" s="68" t="str">
        <f>IF(ISERROR(
CAD_PROD!D396-H396),"",CAD_PROD!D396-H396)</f>
        <v/>
      </c>
      <c r="M396" s="57" t="str">
        <f>IF(ISERROR(
L396/CAD_PROD!D396),"",L396/CAD_PROD!D396)</f>
        <v/>
      </c>
      <c r="N396" s="68" t="str">
        <f>IF(ISERROR(
(P396*CAD_PROD!D396)),"",(P396*CAD_PROD!D396))</f>
        <v/>
      </c>
      <c r="O396" s="68" t="str">
        <f>IF(ISERROR(PE_GERAL!$J$7*CAD_PROD!G396),"",PE_GERAL!$J$7*CAD_PROD!G396)</f>
        <v/>
      </c>
      <c r="P396" s="101" t="str">
        <f t="shared" si="20"/>
        <v/>
      </c>
      <c r="Q396" s="68" t="str">
        <f>IF(C396="","",IF(ISERROR(
CAD_PROD!E396*G396),"",CAD_PROD!E396*G396))</f>
        <v/>
      </c>
      <c r="R396" s="68" t="str">
        <f>IF(C396="","",IF(ISERROR(
CAD_PROD!E396*D396),"",CAD_PROD!E396*D396))</f>
        <v/>
      </c>
      <c r="S396" s="44" t="str">
        <f>IF(C396="","",IF(CAD_PROD!E396&gt;=P396,"Sim","Não"))</f>
        <v/>
      </c>
    </row>
    <row r="397" spans="1:19" ht="30" customHeight="1">
      <c r="A397" s="52">
        <f t="shared" si="18"/>
        <v>0</v>
      </c>
      <c r="B397" s="52">
        <f t="shared" si="19"/>
        <v>0</v>
      </c>
      <c r="C397" s="96" t="str">
        <f>IF(CAD_PROD!C397="","",CAD_PROD!C397)</f>
        <v/>
      </c>
      <c r="D397" s="75"/>
      <c r="E397" s="125"/>
      <c r="F397" s="125"/>
      <c r="G397" s="75"/>
      <c r="H397" s="75" t="str">
        <f>IF(C397="","",D397+CAD_PROD!D397*(E397+F397)+G397)</f>
        <v/>
      </c>
      <c r="I397" s="52">
        <v>9.9999999999999995E-7</v>
      </c>
      <c r="J397" s="68" t="str">
        <f>IF(ISERROR(
CAD_PROD!F397*E397),"",CAD_PROD!F397*E397)</f>
        <v/>
      </c>
      <c r="K397" s="68" t="str">
        <f>IF(ISERROR(
CAD_PROD!F397*F397),"",CAD_PROD!F397*F397)</f>
        <v/>
      </c>
      <c r="L397" s="68" t="str">
        <f>IF(ISERROR(
CAD_PROD!D397-H397),"",CAD_PROD!D397-H397)</f>
        <v/>
      </c>
      <c r="M397" s="57" t="str">
        <f>IF(ISERROR(
L397/CAD_PROD!D397),"",L397/CAD_PROD!D397)</f>
        <v/>
      </c>
      <c r="N397" s="68" t="str">
        <f>IF(ISERROR(
(P397*CAD_PROD!D397)),"",(P397*CAD_PROD!D397))</f>
        <v/>
      </c>
      <c r="O397" s="68" t="str">
        <f>IF(ISERROR(PE_GERAL!$J$7*CAD_PROD!G397),"",PE_GERAL!$J$7*CAD_PROD!G397)</f>
        <v/>
      </c>
      <c r="P397" s="101" t="str">
        <f t="shared" si="20"/>
        <v/>
      </c>
      <c r="Q397" s="68" t="str">
        <f>IF(C397="","",IF(ISERROR(
CAD_PROD!E397*G397),"",CAD_PROD!E397*G397))</f>
        <v/>
      </c>
      <c r="R397" s="68" t="str">
        <f>IF(C397="","",IF(ISERROR(
CAD_PROD!E397*D397),"",CAD_PROD!E397*D397))</f>
        <v/>
      </c>
      <c r="S397" s="44" t="str">
        <f>IF(C397="","",IF(CAD_PROD!E397&gt;=P397,"Sim","Não"))</f>
        <v/>
      </c>
    </row>
    <row r="398" spans="1:19" ht="30" customHeight="1">
      <c r="A398" s="52">
        <f t="shared" si="18"/>
        <v>0</v>
      </c>
      <c r="B398" s="52">
        <f t="shared" si="19"/>
        <v>0</v>
      </c>
      <c r="C398" s="96" t="str">
        <f>IF(CAD_PROD!C398="","",CAD_PROD!C398)</f>
        <v/>
      </c>
      <c r="D398" s="75"/>
      <c r="E398" s="125"/>
      <c r="F398" s="125"/>
      <c r="G398" s="75"/>
      <c r="H398" s="75" t="str">
        <f>IF(C398="","",D398+CAD_PROD!D398*(E398+F398)+G398)</f>
        <v/>
      </c>
      <c r="I398" s="52">
        <v>9.9999999999999995E-7</v>
      </c>
      <c r="J398" s="68" t="str">
        <f>IF(ISERROR(
CAD_PROD!F398*E398),"",CAD_PROD!F398*E398)</f>
        <v/>
      </c>
      <c r="K398" s="68" t="str">
        <f>IF(ISERROR(
CAD_PROD!F398*F398),"",CAD_PROD!F398*F398)</f>
        <v/>
      </c>
      <c r="L398" s="68" t="str">
        <f>IF(ISERROR(
CAD_PROD!D398-H398),"",CAD_PROD!D398-H398)</f>
        <v/>
      </c>
      <c r="M398" s="57" t="str">
        <f>IF(ISERROR(
L398/CAD_PROD!D398),"",L398/CAD_PROD!D398)</f>
        <v/>
      </c>
      <c r="N398" s="68" t="str">
        <f>IF(ISERROR(
(P398*CAD_PROD!D398)),"",(P398*CAD_PROD!D398))</f>
        <v/>
      </c>
      <c r="O398" s="68" t="str">
        <f>IF(ISERROR(PE_GERAL!$J$7*CAD_PROD!G398),"",PE_GERAL!$J$7*CAD_PROD!G398)</f>
        <v/>
      </c>
      <c r="P398" s="101" t="str">
        <f t="shared" si="20"/>
        <v/>
      </c>
      <c r="Q398" s="68" t="str">
        <f>IF(C398="","",IF(ISERROR(
CAD_PROD!E398*G398),"",CAD_PROD!E398*G398))</f>
        <v/>
      </c>
      <c r="R398" s="68" t="str">
        <f>IF(C398="","",IF(ISERROR(
CAD_PROD!E398*D398),"",CAD_PROD!E398*D398))</f>
        <v/>
      </c>
      <c r="S398" s="44" t="str">
        <f>IF(C398="","",IF(CAD_PROD!E398&gt;=P398,"Sim","Não"))</f>
        <v/>
      </c>
    </row>
    <row r="399" spans="1:19" ht="30" customHeight="1">
      <c r="A399" s="52">
        <f t="shared" si="18"/>
        <v>0</v>
      </c>
      <c r="B399" s="52">
        <f t="shared" si="19"/>
        <v>0</v>
      </c>
      <c r="C399" s="96" t="str">
        <f>IF(CAD_PROD!C399="","",CAD_PROD!C399)</f>
        <v/>
      </c>
      <c r="D399" s="75"/>
      <c r="E399" s="125"/>
      <c r="F399" s="125"/>
      <c r="G399" s="75"/>
      <c r="H399" s="75" t="str">
        <f>IF(C399="","",D399+CAD_PROD!D399*(E399+F399)+G399)</f>
        <v/>
      </c>
      <c r="I399" s="52">
        <v>9.9999999999999995E-7</v>
      </c>
      <c r="J399" s="68" t="str">
        <f>IF(ISERROR(
CAD_PROD!F399*E399),"",CAD_PROD!F399*E399)</f>
        <v/>
      </c>
      <c r="K399" s="68" t="str">
        <f>IF(ISERROR(
CAD_PROD!F399*F399),"",CAD_PROD!F399*F399)</f>
        <v/>
      </c>
      <c r="L399" s="68" t="str">
        <f>IF(ISERROR(
CAD_PROD!D399-H399),"",CAD_PROD!D399-H399)</f>
        <v/>
      </c>
      <c r="M399" s="57" t="str">
        <f>IF(ISERROR(
L399/CAD_PROD!D399),"",L399/CAD_PROD!D399)</f>
        <v/>
      </c>
      <c r="N399" s="68" t="str">
        <f>IF(ISERROR(
(P399*CAD_PROD!D399)),"",(P399*CAD_PROD!D399))</f>
        <v/>
      </c>
      <c r="O399" s="68" t="str">
        <f>IF(ISERROR(PE_GERAL!$J$7*CAD_PROD!G399),"",PE_GERAL!$J$7*CAD_PROD!G399)</f>
        <v/>
      </c>
      <c r="P399" s="101" t="str">
        <f t="shared" si="20"/>
        <v/>
      </c>
      <c r="Q399" s="68" t="str">
        <f>IF(C399="","",IF(ISERROR(
CAD_PROD!E399*G399),"",CAD_PROD!E399*G399))</f>
        <v/>
      </c>
      <c r="R399" s="68" t="str">
        <f>IF(C399="","",IF(ISERROR(
CAD_PROD!E399*D399),"",CAD_PROD!E399*D399))</f>
        <v/>
      </c>
      <c r="S399" s="44" t="str">
        <f>IF(C399="","",IF(CAD_PROD!E399&gt;=P399,"Sim","Não"))</f>
        <v/>
      </c>
    </row>
    <row r="400" spans="1:19" ht="30" customHeight="1">
      <c r="A400" s="52">
        <f t="shared" si="18"/>
        <v>0</v>
      </c>
      <c r="B400" s="52">
        <f t="shared" si="19"/>
        <v>0</v>
      </c>
      <c r="C400" s="96" t="str">
        <f>IF(CAD_PROD!C400="","",CAD_PROD!C400)</f>
        <v/>
      </c>
      <c r="D400" s="75"/>
      <c r="E400" s="125"/>
      <c r="F400" s="125"/>
      <c r="G400" s="75"/>
      <c r="H400" s="75" t="str">
        <f>IF(C400="","",D400+CAD_PROD!D400*(E400+F400)+G400)</f>
        <v/>
      </c>
      <c r="I400" s="52">
        <v>9.9999999999999995E-7</v>
      </c>
      <c r="J400" s="68" t="str">
        <f>IF(ISERROR(
CAD_PROD!F400*E400),"",CAD_PROD!F400*E400)</f>
        <v/>
      </c>
      <c r="K400" s="68" t="str">
        <f>IF(ISERROR(
CAD_PROD!F400*F400),"",CAD_PROD!F400*F400)</f>
        <v/>
      </c>
      <c r="L400" s="68" t="str">
        <f>IF(ISERROR(
CAD_PROD!D400-H400),"",CAD_PROD!D400-H400)</f>
        <v/>
      </c>
      <c r="M400" s="57" t="str">
        <f>IF(ISERROR(
L400/CAD_PROD!D400),"",L400/CAD_PROD!D400)</f>
        <v/>
      </c>
      <c r="N400" s="68" t="str">
        <f>IF(ISERROR(
(P400*CAD_PROD!D400)),"",(P400*CAD_PROD!D400))</f>
        <v/>
      </c>
      <c r="O400" s="68" t="str">
        <f>IF(ISERROR(PE_GERAL!$J$7*CAD_PROD!G400),"",PE_GERAL!$J$7*CAD_PROD!G400)</f>
        <v/>
      </c>
      <c r="P400" s="101" t="str">
        <f t="shared" si="20"/>
        <v/>
      </c>
      <c r="Q400" s="68" t="str">
        <f>IF(C400="","",IF(ISERROR(
CAD_PROD!E400*G400),"",CAD_PROD!E400*G400))</f>
        <v/>
      </c>
      <c r="R400" s="68" t="str">
        <f>IF(C400="","",IF(ISERROR(
CAD_PROD!E400*D400),"",CAD_PROD!E400*D400))</f>
        <v/>
      </c>
      <c r="S400" s="44" t="str">
        <f>IF(C400="","",IF(CAD_PROD!E400&gt;=P400,"Sim","Não"))</f>
        <v/>
      </c>
    </row>
    <row r="401" spans="1:19" ht="30" customHeight="1">
      <c r="A401" s="52">
        <f t="shared" si="18"/>
        <v>0</v>
      </c>
      <c r="B401" s="52">
        <f t="shared" si="19"/>
        <v>0</v>
      </c>
      <c r="C401" s="96" t="str">
        <f>IF(CAD_PROD!C401="","",CAD_PROD!C401)</f>
        <v/>
      </c>
      <c r="D401" s="75"/>
      <c r="E401" s="125"/>
      <c r="F401" s="125"/>
      <c r="G401" s="75"/>
      <c r="H401" s="75" t="str">
        <f>IF(C401="","",D401+CAD_PROD!D401*(E401+F401)+G401)</f>
        <v/>
      </c>
      <c r="I401" s="52">
        <v>9.9999999999999995E-7</v>
      </c>
      <c r="J401" s="68" t="str">
        <f>IF(ISERROR(
CAD_PROD!F401*E401),"",CAD_PROD!F401*E401)</f>
        <v/>
      </c>
      <c r="K401" s="68" t="str">
        <f>IF(ISERROR(
CAD_PROD!F401*F401),"",CAD_PROD!F401*F401)</f>
        <v/>
      </c>
      <c r="L401" s="68" t="str">
        <f>IF(ISERROR(
CAD_PROD!D401-H401),"",CAD_PROD!D401-H401)</f>
        <v/>
      </c>
      <c r="M401" s="57" t="str">
        <f>IF(ISERROR(
L401/CAD_PROD!D401),"",L401/CAD_PROD!D401)</f>
        <v/>
      </c>
      <c r="N401" s="68" t="str">
        <f>IF(ISERROR(
(P401*CAD_PROD!D401)),"",(P401*CAD_PROD!D401))</f>
        <v/>
      </c>
      <c r="O401" s="68" t="str">
        <f>IF(ISERROR(PE_GERAL!$J$7*CAD_PROD!G401),"",PE_GERAL!$J$7*CAD_PROD!G401)</f>
        <v/>
      </c>
      <c r="P401" s="101" t="str">
        <f t="shared" si="20"/>
        <v/>
      </c>
      <c r="Q401" s="68" t="str">
        <f>IF(C401="","",IF(ISERROR(
CAD_PROD!E401*G401),"",CAD_PROD!E401*G401))</f>
        <v/>
      </c>
      <c r="R401" s="68" t="str">
        <f>IF(C401="","",IF(ISERROR(
CAD_PROD!E401*D401),"",CAD_PROD!E401*D401))</f>
        <v/>
      </c>
      <c r="S401" s="44" t="str">
        <f>IF(C401="","",IF(CAD_PROD!E401&gt;=P401,"Sim","Não"))</f>
        <v/>
      </c>
    </row>
    <row r="402" spans="1:19" ht="30" customHeight="1">
      <c r="A402" s="52">
        <f t="shared" si="18"/>
        <v>0</v>
      </c>
      <c r="B402" s="52">
        <f t="shared" si="19"/>
        <v>0</v>
      </c>
      <c r="C402" s="96" t="str">
        <f>IF(CAD_PROD!C402="","",CAD_PROD!C402)</f>
        <v/>
      </c>
      <c r="D402" s="75"/>
      <c r="E402" s="125"/>
      <c r="F402" s="125"/>
      <c r="G402" s="75"/>
      <c r="H402" s="75" t="str">
        <f>IF(C402="","",D402+CAD_PROD!D402*(E402+F402)+G402)</f>
        <v/>
      </c>
      <c r="I402" s="52">
        <v>9.9999999999999995E-7</v>
      </c>
      <c r="J402" s="68" t="str">
        <f>IF(ISERROR(
CAD_PROD!F402*E402),"",CAD_PROD!F402*E402)</f>
        <v/>
      </c>
      <c r="K402" s="68" t="str">
        <f>IF(ISERROR(
CAD_PROD!F402*F402),"",CAD_PROD!F402*F402)</f>
        <v/>
      </c>
      <c r="L402" s="68" t="str">
        <f>IF(ISERROR(
CAD_PROD!D402-H402),"",CAD_PROD!D402-H402)</f>
        <v/>
      </c>
      <c r="M402" s="57" t="str">
        <f>IF(ISERROR(
L402/CAD_PROD!D402),"",L402/CAD_PROD!D402)</f>
        <v/>
      </c>
      <c r="N402" s="68" t="str">
        <f>IF(ISERROR(
(P402*CAD_PROD!D402)),"",(P402*CAD_PROD!D402))</f>
        <v/>
      </c>
      <c r="O402" s="68" t="str">
        <f>IF(ISERROR(PE_GERAL!$J$7*CAD_PROD!G402),"",PE_GERAL!$J$7*CAD_PROD!G402)</f>
        <v/>
      </c>
      <c r="P402" s="101" t="str">
        <f t="shared" si="20"/>
        <v/>
      </c>
      <c r="Q402" s="68" t="str">
        <f>IF(C402="","",IF(ISERROR(
CAD_PROD!E402*G402),"",CAD_PROD!E402*G402))</f>
        <v/>
      </c>
      <c r="R402" s="68" t="str">
        <f>IF(C402="","",IF(ISERROR(
CAD_PROD!E402*D402),"",CAD_PROD!E402*D402))</f>
        <v/>
      </c>
      <c r="S402" s="44" t="str">
        <f>IF(C402="","",IF(CAD_PROD!E402&gt;=P402,"Sim","Não"))</f>
        <v/>
      </c>
    </row>
    <row r="403" spans="1:19" ht="30" customHeight="1">
      <c r="A403" s="52">
        <f t="shared" si="18"/>
        <v>0</v>
      </c>
      <c r="B403" s="52">
        <f t="shared" si="19"/>
        <v>0</v>
      </c>
      <c r="C403" s="96" t="str">
        <f>IF(CAD_PROD!C403="","",CAD_PROD!C403)</f>
        <v/>
      </c>
      <c r="D403" s="75"/>
      <c r="E403" s="125"/>
      <c r="F403" s="125"/>
      <c r="G403" s="75"/>
      <c r="H403" s="75" t="str">
        <f>IF(C403="","",D403+CAD_PROD!D403*(E403+F403)+G403)</f>
        <v/>
      </c>
      <c r="I403" s="52">
        <v>9.9999999999999995E-7</v>
      </c>
      <c r="J403" s="68" t="str">
        <f>IF(ISERROR(
CAD_PROD!F403*E403),"",CAD_PROD!F403*E403)</f>
        <v/>
      </c>
      <c r="K403" s="68" t="str">
        <f>IF(ISERROR(
CAD_PROD!F403*F403),"",CAD_PROD!F403*F403)</f>
        <v/>
      </c>
      <c r="L403" s="68" t="str">
        <f>IF(ISERROR(
CAD_PROD!D403-H403),"",CAD_PROD!D403-H403)</f>
        <v/>
      </c>
      <c r="M403" s="57" t="str">
        <f>IF(ISERROR(
L403/CAD_PROD!D403),"",L403/CAD_PROD!D403)</f>
        <v/>
      </c>
      <c r="N403" s="68" t="str">
        <f>IF(ISERROR(
(P403*CAD_PROD!D403)),"",(P403*CAD_PROD!D403))</f>
        <v/>
      </c>
      <c r="O403" s="68" t="str">
        <f>IF(ISERROR(PE_GERAL!$J$7*CAD_PROD!G403),"",PE_GERAL!$J$7*CAD_PROD!G403)</f>
        <v/>
      </c>
      <c r="P403" s="101" t="str">
        <f t="shared" si="20"/>
        <v/>
      </c>
      <c r="Q403" s="68" t="str">
        <f>IF(C403="","",IF(ISERROR(
CAD_PROD!E403*G403),"",CAD_PROD!E403*G403))</f>
        <v/>
      </c>
      <c r="R403" s="68" t="str">
        <f>IF(C403="","",IF(ISERROR(
CAD_PROD!E403*D403),"",CAD_PROD!E403*D403))</f>
        <v/>
      </c>
      <c r="S403" s="44" t="str">
        <f>IF(C403="","",IF(CAD_PROD!E403&gt;=P403,"Sim","Não"))</f>
        <v/>
      </c>
    </row>
    <row r="404" spans="1:19" ht="30" customHeight="1">
      <c r="A404" s="52">
        <f t="shared" si="18"/>
        <v>0</v>
      </c>
      <c r="B404" s="52">
        <f t="shared" si="19"/>
        <v>0</v>
      </c>
      <c r="C404" s="96" t="str">
        <f>IF(CAD_PROD!C404="","",CAD_PROD!C404)</f>
        <v/>
      </c>
      <c r="D404" s="75"/>
      <c r="E404" s="125"/>
      <c r="F404" s="125"/>
      <c r="G404" s="75"/>
      <c r="H404" s="75" t="str">
        <f>IF(C404="","",D404+CAD_PROD!D404*(E404+F404)+G404)</f>
        <v/>
      </c>
      <c r="I404" s="52">
        <v>9.9999999999999995E-7</v>
      </c>
      <c r="J404" s="68" t="str">
        <f>IF(ISERROR(
CAD_PROD!F404*E404),"",CAD_PROD!F404*E404)</f>
        <v/>
      </c>
      <c r="K404" s="68" t="str">
        <f>IF(ISERROR(
CAD_PROD!F404*F404),"",CAD_PROD!F404*F404)</f>
        <v/>
      </c>
      <c r="L404" s="68" t="str">
        <f>IF(ISERROR(
CAD_PROD!D404-H404),"",CAD_PROD!D404-H404)</f>
        <v/>
      </c>
      <c r="M404" s="57" t="str">
        <f>IF(ISERROR(
L404/CAD_PROD!D404),"",L404/CAD_PROD!D404)</f>
        <v/>
      </c>
      <c r="N404" s="68" t="str">
        <f>IF(ISERROR(
(P404*CAD_PROD!D404)),"",(P404*CAD_PROD!D404))</f>
        <v/>
      </c>
      <c r="O404" s="68" t="str">
        <f>IF(ISERROR(PE_GERAL!$J$7*CAD_PROD!G404),"",PE_GERAL!$J$7*CAD_PROD!G404)</f>
        <v/>
      </c>
      <c r="P404" s="101" t="str">
        <f t="shared" si="20"/>
        <v/>
      </c>
      <c r="Q404" s="68" t="str">
        <f>IF(C404="","",IF(ISERROR(
CAD_PROD!E404*G404),"",CAD_PROD!E404*G404))</f>
        <v/>
      </c>
      <c r="R404" s="68" t="str">
        <f>IF(C404="","",IF(ISERROR(
CAD_PROD!E404*D404),"",CAD_PROD!E404*D404))</f>
        <v/>
      </c>
      <c r="S404" s="44" t="str">
        <f>IF(C404="","",IF(CAD_PROD!E404&gt;=P404,"Sim","Não"))</f>
        <v/>
      </c>
    </row>
    <row r="405" spans="1:19" ht="30" customHeight="1">
      <c r="A405" s="52">
        <f t="shared" si="18"/>
        <v>0</v>
      </c>
      <c r="B405" s="52">
        <f t="shared" si="19"/>
        <v>0</v>
      </c>
      <c r="C405" s="96" t="str">
        <f>IF(CAD_PROD!C405="","",CAD_PROD!C405)</f>
        <v/>
      </c>
      <c r="D405" s="75"/>
      <c r="E405" s="125"/>
      <c r="F405" s="125"/>
      <c r="G405" s="75"/>
      <c r="H405" s="75" t="str">
        <f>IF(C405="","",D405+CAD_PROD!D405*(E405+F405)+G405)</f>
        <v/>
      </c>
      <c r="I405" s="52">
        <v>9.9999999999999995E-7</v>
      </c>
      <c r="J405" s="68" t="str">
        <f>IF(ISERROR(
CAD_PROD!F405*E405),"",CAD_PROD!F405*E405)</f>
        <v/>
      </c>
      <c r="K405" s="68" t="str">
        <f>IF(ISERROR(
CAD_PROD!F405*F405),"",CAD_PROD!F405*F405)</f>
        <v/>
      </c>
      <c r="L405" s="68" t="str">
        <f>IF(ISERROR(
CAD_PROD!D405-H405),"",CAD_PROD!D405-H405)</f>
        <v/>
      </c>
      <c r="M405" s="57" t="str">
        <f>IF(ISERROR(
L405/CAD_PROD!D405),"",L405/CAD_PROD!D405)</f>
        <v/>
      </c>
      <c r="N405" s="68" t="str">
        <f>IF(ISERROR(
(P405*CAD_PROD!D405)),"",(P405*CAD_PROD!D405))</f>
        <v/>
      </c>
      <c r="O405" s="68" t="str">
        <f>IF(ISERROR(PE_GERAL!$J$7*CAD_PROD!G405),"",PE_GERAL!$J$7*CAD_PROD!G405)</f>
        <v/>
      </c>
      <c r="P405" s="101" t="str">
        <f t="shared" si="20"/>
        <v/>
      </c>
      <c r="Q405" s="68" t="str">
        <f>IF(C405="","",IF(ISERROR(
CAD_PROD!E405*G405),"",CAD_PROD!E405*G405))</f>
        <v/>
      </c>
      <c r="R405" s="68" t="str">
        <f>IF(C405="","",IF(ISERROR(
CAD_PROD!E405*D405),"",CAD_PROD!E405*D405))</f>
        <v/>
      </c>
      <c r="S405" s="44" t="str">
        <f>IF(C405="","",IF(CAD_PROD!E405&gt;=P405,"Sim","Não"))</f>
        <v/>
      </c>
    </row>
    <row r="406" spans="1:19" ht="30" customHeight="1">
      <c r="A406" s="52">
        <f t="shared" si="18"/>
        <v>0</v>
      </c>
      <c r="B406" s="52">
        <f t="shared" si="19"/>
        <v>0</v>
      </c>
      <c r="C406" s="96" t="str">
        <f>IF(CAD_PROD!C406="","",CAD_PROD!C406)</f>
        <v/>
      </c>
      <c r="D406" s="75"/>
      <c r="E406" s="125"/>
      <c r="F406" s="125"/>
      <c r="G406" s="75"/>
      <c r="H406" s="75" t="str">
        <f>IF(C406="","",D406+CAD_PROD!D406*(E406+F406)+G406)</f>
        <v/>
      </c>
      <c r="I406" s="52">
        <v>9.9999999999999995E-7</v>
      </c>
      <c r="J406" s="68" t="str">
        <f>IF(ISERROR(
CAD_PROD!F406*E406),"",CAD_PROD!F406*E406)</f>
        <v/>
      </c>
      <c r="K406" s="68" t="str">
        <f>IF(ISERROR(
CAD_PROD!F406*F406),"",CAD_PROD!F406*F406)</f>
        <v/>
      </c>
      <c r="L406" s="68" t="str">
        <f>IF(ISERROR(
CAD_PROD!D406-H406),"",CAD_PROD!D406-H406)</f>
        <v/>
      </c>
      <c r="M406" s="57" t="str">
        <f>IF(ISERROR(
L406/CAD_PROD!D406),"",L406/CAD_PROD!D406)</f>
        <v/>
      </c>
      <c r="N406" s="68" t="str">
        <f>IF(ISERROR(
(P406*CAD_PROD!D406)),"",(P406*CAD_PROD!D406))</f>
        <v/>
      </c>
      <c r="O406" s="68" t="str">
        <f>IF(ISERROR(PE_GERAL!$J$7*CAD_PROD!G406),"",PE_GERAL!$J$7*CAD_PROD!G406)</f>
        <v/>
      </c>
      <c r="P406" s="101" t="str">
        <f t="shared" si="20"/>
        <v/>
      </c>
      <c r="Q406" s="68" t="str">
        <f>IF(C406="","",IF(ISERROR(
CAD_PROD!E406*G406),"",CAD_PROD!E406*G406))</f>
        <v/>
      </c>
      <c r="R406" s="68" t="str">
        <f>IF(C406="","",IF(ISERROR(
CAD_PROD!E406*D406),"",CAD_PROD!E406*D406))</f>
        <v/>
      </c>
      <c r="S406" s="44" t="str">
        <f>IF(C406="","",IF(CAD_PROD!E406&gt;=P406,"Sim","Não"))</f>
        <v/>
      </c>
    </row>
    <row r="407" spans="1:19" ht="30" customHeight="1">
      <c r="A407" s="52">
        <f t="shared" si="18"/>
        <v>0</v>
      </c>
      <c r="B407" s="52">
        <f t="shared" si="19"/>
        <v>0</v>
      </c>
      <c r="C407" s="96" t="str">
        <f>IF(CAD_PROD!C407="","",CAD_PROD!C407)</f>
        <v/>
      </c>
      <c r="D407" s="75"/>
      <c r="E407" s="125"/>
      <c r="F407" s="125"/>
      <c r="G407" s="75"/>
      <c r="H407" s="75" t="str">
        <f>IF(C407="","",D407+CAD_PROD!D407*(E407+F407)+G407)</f>
        <v/>
      </c>
      <c r="I407" s="52">
        <v>9.9999999999999995E-7</v>
      </c>
      <c r="J407" s="68" t="str">
        <f>IF(ISERROR(
CAD_PROD!F407*E407),"",CAD_PROD!F407*E407)</f>
        <v/>
      </c>
      <c r="K407" s="68" t="str">
        <f>IF(ISERROR(
CAD_PROD!F407*F407),"",CAD_PROD!F407*F407)</f>
        <v/>
      </c>
      <c r="L407" s="68" t="str">
        <f>IF(ISERROR(
CAD_PROD!D407-H407),"",CAD_PROD!D407-H407)</f>
        <v/>
      </c>
      <c r="M407" s="57" t="str">
        <f>IF(ISERROR(
L407/CAD_PROD!D407),"",L407/CAD_PROD!D407)</f>
        <v/>
      </c>
      <c r="N407" s="68" t="str">
        <f>IF(ISERROR(
(P407*CAD_PROD!D407)),"",(P407*CAD_PROD!D407))</f>
        <v/>
      </c>
      <c r="O407" s="68" t="str">
        <f>IF(ISERROR(PE_GERAL!$J$7*CAD_PROD!G407),"",PE_GERAL!$J$7*CAD_PROD!G407)</f>
        <v/>
      </c>
      <c r="P407" s="101" t="str">
        <f t="shared" si="20"/>
        <v/>
      </c>
      <c r="Q407" s="68" t="str">
        <f>IF(C407="","",IF(ISERROR(
CAD_PROD!E407*G407),"",CAD_PROD!E407*G407))</f>
        <v/>
      </c>
      <c r="R407" s="68" t="str">
        <f>IF(C407="","",IF(ISERROR(
CAD_PROD!E407*D407),"",CAD_PROD!E407*D407))</f>
        <v/>
      </c>
      <c r="S407" s="44" t="str">
        <f>IF(C407="","",IF(CAD_PROD!E407&gt;=P407,"Sim","Não"))</f>
        <v/>
      </c>
    </row>
    <row r="408" spans="1:19" ht="30" customHeight="1">
      <c r="A408" s="52">
        <f t="shared" si="18"/>
        <v>0</v>
      </c>
      <c r="B408" s="52">
        <f t="shared" si="19"/>
        <v>0</v>
      </c>
      <c r="C408" s="96" t="str">
        <f>IF(CAD_PROD!C408="","",CAD_PROD!C408)</f>
        <v/>
      </c>
      <c r="D408" s="75"/>
      <c r="E408" s="125"/>
      <c r="F408" s="125"/>
      <c r="G408" s="75"/>
      <c r="H408" s="75" t="str">
        <f>IF(C408="","",D408+CAD_PROD!D408*(E408+F408)+G408)</f>
        <v/>
      </c>
      <c r="I408" s="52">
        <v>9.9999999999999995E-7</v>
      </c>
      <c r="J408" s="68" t="str">
        <f>IF(ISERROR(
CAD_PROD!F408*E408),"",CAD_PROD!F408*E408)</f>
        <v/>
      </c>
      <c r="K408" s="68" t="str">
        <f>IF(ISERROR(
CAD_PROD!F408*F408),"",CAD_PROD!F408*F408)</f>
        <v/>
      </c>
      <c r="L408" s="68" t="str">
        <f>IF(ISERROR(
CAD_PROD!D408-H408),"",CAD_PROD!D408-H408)</f>
        <v/>
      </c>
      <c r="M408" s="57" t="str">
        <f>IF(ISERROR(
L408/CAD_PROD!D408),"",L408/CAD_PROD!D408)</f>
        <v/>
      </c>
      <c r="N408" s="68" t="str">
        <f>IF(ISERROR(
(P408*CAD_PROD!D408)),"",(P408*CAD_PROD!D408))</f>
        <v/>
      </c>
      <c r="O408" s="68" t="str">
        <f>IF(ISERROR(PE_GERAL!$J$7*CAD_PROD!G408),"",PE_GERAL!$J$7*CAD_PROD!G408)</f>
        <v/>
      </c>
      <c r="P408" s="101" t="str">
        <f t="shared" si="20"/>
        <v/>
      </c>
      <c r="Q408" s="68" t="str">
        <f>IF(C408="","",IF(ISERROR(
CAD_PROD!E408*G408),"",CAD_PROD!E408*G408))</f>
        <v/>
      </c>
      <c r="R408" s="68" t="str">
        <f>IF(C408="","",IF(ISERROR(
CAD_PROD!E408*D408),"",CAD_PROD!E408*D408))</f>
        <v/>
      </c>
      <c r="S408" s="44" t="str">
        <f>IF(C408="","",IF(CAD_PROD!E408&gt;=P408,"Sim","Não"))</f>
        <v/>
      </c>
    </row>
    <row r="409" spans="1:19" ht="30" customHeight="1">
      <c r="A409" s="52">
        <f t="shared" si="18"/>
        <v>0</v>
      </c>
      <c r="B409" s="52">
        <f t="shared" si="19"/>
        <v>0</v>
      </c>
      <c r="C409" s="96" t="str">
        <f>IF(CAD_PROD!C409="","",CAD_PROD!C409)</f>
        <v/>
      </c>
      <c r="D409" s="75"/>
      <c r="E409" s="125"/>
      <c r="F409" s="125"/>
      <c r="G409" s="75"/>
      <c r="H409" s="75" t="str">
        <f>IF(C409="","",D409+CAD_PROD!D409*(E409+F409)+G409)</f>
        <v/>
      </c>
      <c r="I409" s="52">
        <v>9.9999999999999995E-7</v>
      </c>
      <c r="J409" s="68" t="str">
        <f>IF(ISERROR(
CAD_PROD!F409*E409),"",CAD_PROD!F409*E409)</f>
        <v/>
      </c>
      <c r="K409" s="68" t="str">
        <f>IF(ISERROR(
CAD_PROD!F409*F409),"",CAD_PROD!F409*F409)</f>
        <v/>
      </c>
      <c r="L409" s="68" t="str">
        <f>IF(ISERROR(
CAD_PROD!D409-H409),"",CAD_PROD!D409-H409)</f>
        <v/>
      </c>
      <c r="M409" s="57" t="str">
        <f>IF(ISERROR(
L409/CAD_PROD!D409),"",L409/CAD_PROD!D409)</f>
        <v/>
      </c>
      <c r="N409" s="68" t="str">
        <f>IF(ISERROR(
(P409*CAD_PROD!D409)),"",(P409*CAD_PROD!D409))</f>
        <v/>
      </c>
      <c r="O409" s="68" t="str">
        <f>IF(ISERROR(PE_GERAL!$J$7*CAD_PROD!G409),"",PE_GERAL!$J$7*CAD_PROD!G409)</f>
        <v/>
      </c>
      <c r="P409" s="101" t="str">
        <f t="shared" si="20"/>
        <v/>
      </c>
      <c r="Q409" s="68" t="str">
        <f>IF(C409="","",IF(ISERROR(
CAD_PROD!E409*G409),"",CAD_PROD!E409*G409))</f>
        <v/>
      </c>
      <c r="R409" s="68" t="str">
        <f>IF(C409="","",IF(ISERROR(
CAD_PROD!E409*D409),"",CAD_PROD!E409*D409))</f>
        <v/>
      </c>
      <c r="S409" s="44" t="str">
        <f>IF(C409="","",IF(CAD_PROD!E409&gt;=P409,"Sim","Não"))</f>
        <v/>
      </c>
    </row>
    <row r="410" spans="1:19" ht="30" customHeight="1">
      <c r="A410" s="52">
        <f t="shared" si="18"/>
        <v>0</v>
      </c>
      <c r="B410" s="52">
        <f t="shared" si="19"/>
        <v>0</v>
      </c>
      <c r="C410" s="96" t="str">
        <f>IF(CAD_PROD!C410="","",CAD_PROD!C410)</f>
        <v/>
      </c>
      <c r="D410" s="75"/>
      <c r="E410" s="125"/>
      <c r="F410" s="125"/>
      <c r="G410" s="75"/>
      <c r="H410" s="75" t="str">
        <f>IF(C410="","",D410+CAD_PROD!D410*(E410+F410)+G410)</f>
        <v/>
      </c>
      <c r="I410" s="52">
        <v>9.9999999999999995E-7</v>
      </c>
      <c r="J410" s="68" t="str">
        <f>IF(ISERROR(
CAD_PROD!F410*E410),"",CAD_PROD!F410*E410)</f>
        <v/>
      </c>
      <c r="K410" s="68" t="str">
        <f>IF(ISERROR(
CAD_PROD!F410*F410),"",CAD_PROD!F410*F410)</f>
        <v/>
      </c>
      <c r="L410" s="68" t="str">
        <f>IF(ISERROR(
CAD_PROD!D410-H410),"",CAD_PROD!D410-H410)</f>
        <v/>
      </c>
      <c r="M410" s="57" t="str">
        <f>IF(ISERROR(
L410/CAD_PROD!D410),"",L410/CAD_PROD!D410)</f>
        <v/>
      </c>
      <c r="N410" s="68" t="str">
        <f>IF(ISERROR(
(P410*CAD_PROD!D410)),"",(P410*CAD_PROD!D410))</f>
        <v/>
      </c>
      <c r="O410" s="68" t="str">
        <f>IF(ISERROR(PE_GERAL!$J$7*CAD_PROD!G410),"",PE_GERAL!$J$7*CAD_PROD!G410)</f>
        <v/>
      </c>
      <c r="P410" s="101" t="str">
        <f t="shared" si="20"/>
        <v/>
      </c>
      <c r="Q410" s="68" t="str">
        <f>IF(C410="","",IF(ISERROR(
CAD_PROD!E410*G410),"",CAD_PROD!E410*G410))</f>
        <v/>
      </c>
      <c r="R410" s="68" t="str">
        <f>IF(C410="","",IF(ISERROR(
CAD_PROD!E410*D410),"",CAD_PROD!E410*D410))</f>
        <v/>
      </c>
      <c r="S410" s="44" t="str">
        <f>IF(C410="","",IF(CAD_PROD!E410&gt;=P410,"Sim","Não"))</f>
        <v/>
      </c>
    </row>
    <row r="411" spans="1:19" ht="30" customHeight="1">
      <c r="A411" s="52">
        <f t="shared" si="18"/>
        <v>0</v>
      </c>
      <c r="B411" s="52">
        <f t="shared" si="19"/>
        <v>0</v>
      </c>
      <c r="C411" s="96" t="str">
        <f>IF(CAD_PROD!C411="","",CAD_PROD!C411)</f>
        <v/>
      </c>
      <c r="D411" s="75"/>
      <c r="E411" s="125"/>
      <c r="F411" s="125"/>
      <c r="G411" s="75"/>
      <c r="H411" s="75" t="str">
        <f>IF(C411="","",D411+CAD_PROD!D411*(E411+F411)+G411)</f>
        <v/>
      </c>
      <c r="I411" s="52">
        <v>9.9999999999999995E-7</v>
      </c>
      <c r="J411" s="68" t="str">
        <f>IF(ISERROR(
CAD_PROD!F411*E411),"",CAD_PROD!F411*E411)</f>
        <v/>
      </c>
      <c r="K411" s="68" t="str">
        <f>IF(ISERROR(
CAD_PROD!F411*F411),"",CAD_PROD!F411*F411)</f>
        <v/>
      </c>
      <c r="L411" s="68" t="str">
        <f>IF(ISERROR(
CAD_PROD!D411-H411),"",CAD_PROD!D411-H411)</f>
        <v/>
      </c>
      <c r="M411" s="57" t="str">
        <f>IF(ISERROR(
L411/CAD_PROD!D411),"",L411/CAD_PROD!D411)</f>
        <v/>
      </c>
      <c r="N411" s="68" t="str">
        <f>IF(ISERROR(
(P411*CAD_PROD!D411)),"",(P411*CAD_PROD!D411))</f>
        <v/>
      </c>
      <c r="O411" s="68" t="str">
        <f>IF(ISERROR(PE_GERAL!$J$7*CAD_PROD!G411),"",PE_GERAL!$J$7*CAD_PROD!G411)</f>
        <v/>
      </c>
      <c r="P411" s="101" t="str">
        <f t="shared" si="20"/>
        <v/>
      </c>
      <c r="Q411" s="68" t="str">
        <f>IF(C411="","",IF(ISERROR(
CAD_PROD!E411*G411),"",CAD_PROD!E411*G411))</f>
        <v/>
      </c>
      <c r="R411" s="68" t="str">
        <f>IF(C411="","",IF(ISERROR(
CAD_PROD!E411*D411),"",CAD_PROD!E411*D411))</f>
        <v/>
      </c>
      <c r="S411" s="44" t="str">
        <f>IF(C411="","",IF(CAD_PROD!E411&gt;=P411,"Sim","Não"))</f>
        <v/>
      </c>
    </row>
    <row r="412" spans="1:19" ht="30" customHeight="1">
      <c r="A412" s="52">
        <f t="shared" si="18"/>
        <v>0</v>
      </c>
      <c r="B412" s="52">
        <f t="shared" si="19"/>
        <v>0</v>
      </c>
      <c r="C412" s="96" t="str">
        <f>IF(CAD_PROD!C412="","",CAD_PROD!C412)</f>
        <v/>
      </c>
      <c r="D412" s="75"/>
      <c r="E412" s="125"/>
      <c r="F412" s="125"/>
      <c r="G412" s="75"/>
      <c r="H412" s="75" t="str">
        <f>IF(C412="","",D412+CAD_PROD!D412*(E412+F412)+G412)</f>
        <v/>
      </c>
      <c r="I412" s="52">
        <v>9.9999999999999995E-7</v>
      </c>
      <c r="J412" s="68" t="str">
        <f>IF(ISERROR(
CAD_PROD!F412*E412),"",CAD_PROD!F412*E412)</f>
        <v/>
      </c>
      <c r="K412" s="68" t="str">
        <f>IF(ISERROR(
CAD_PROD!F412*F412),"",CAD_PROD!F412*F412)</f>
        <v/>
      </c>
      <c r="L412" s="68" t="str">
        <f>IF(ISERROR(
CAD_PROD!D412-H412),"",CAD_PROD!D412-H412)</f>
        <v/>
      </c>
      <c r="M412" s="57" t="str">
        <f>IF(ISERROR(
L412/CAD_PROD!D412),"",L412/CAD_PROD!D412)</f>
        <v/>
      </c>
      <c r="N412" s="68" t="str">
        <f>IF(ISERROR(
(P412*CAD_PROD!D412)),"",(P412*CAD_PROD!D412))</f>
        <v/>
      </c>
      <c r="O412" s="68" t="str">
        <f>IF(ISERROR(PE_GERAL!$J$7*CAD_PROD!G412),"",PE_GERAL!$J$7*CAD_PROD!G412)</f>
        <v/>
      </c>
      <c r="P412" s="101" t="str">
        <f t="shared" si="20"/>
        <v/>
      </c>
      <c r="Q412" s="68" t="str">
        <f>IF(C412="","",IF(ISERROR(
CAD_PROD!E412*G412),"",CAD_PROD!E412*G412))</f>
        <v/>
      </c>
      <c r="R412" s="68" t="str">
        <f>IF(C412="","",IF(ISERROR(
CAD_PROD!E412*D412),"",CAD_PROD!E412*D412))</f>
        <v/>
      </c>
      <c r="S412" s="44" t="str">
        <f>IF(C412="","",IF(CAD_PROD!E412&gt;=P412,"Sim","Não"))</f>
        <v/>
      </c>
    </row>
    <row r="413" spans="1:19" ht="30" customHeight="1">
      <c r="A413" s="52">
        <f t="shared" si="18"/>
        <v>0</v>
      </c>
      <c r="B413" s="52">
        <f t="shared" si="19"/>
        <v>0</v>
      </c>
      <c r="C413" s="96" t="str">
        <f>IF(CAD_PROD!C413="","",CAD_PROD!C413)</f>
        <v/>
      </c>
      <c r="D413" s="75"/>
      <c r="E413" s="125"/>
      <c r="F413" s="125"/>
      <c r="G413" s="75"/>
      <c r="H413" s="75" t="str">
        <f>IF(C413="","",D413+CAD_PROD!D413*(E413+F413)+G413)</f>
        <v/>
      </c>
      <c r="I413" s="52">
        <v>9.9999999999999995E-7</v>
      </c>
      <c r="J413" s="68" t="str">
        <f>IF(ISERROR(
CAD_PROD!F413*E413),"",CAD_PROD!F413*E413)</f>
        <v/>
      </c>
      <c r="K413" s="68" t="str">
        <f>IF(ISERROR(
CAD_PROD!F413*F413),"",CAD_PROD!F413*F413)</f>
        <v/>
      </c>
      <c r="L413" s="68" t="str">
        <f>IF(ISERROR(
CAD_PROD!D413-H413),"",CAD_PROD!D413-H413)</f>
        <v/>
      </c>
      <c r="M413" s="57" t="str">
        <f>IF(ISERROR(
L413/CAD_PROD!D413),"",L413/CAD_PROD!D413)</f>
        <v/>
      </c>
      <c r="N413" s="68" t="str">
        <f>IF(ISERROR(
(P413*CAD_PROD!D413)),"",(P413*CAD_PROD!D413))</f>
        <v/>
      </c>
      <c r="O413" s="68" t="str">
        <f>IF(ISERROR(PE_GERAL!$J$7*CAD_PROD!G413),"",PE_GERAL!$J$7*CAD_PROD!G413)</f>
        <v/>
      </c>
      <c r="P413" s="101" t="str">
        <f t="shared" si="20"/>
        <v/>
      </c>
      <c r="Q413" s="68" t="str">
        <f>IF(C413="","",IF(ISERROR(
CAD_PROD!E413*G413),"",CAD_PROD!E413*G413))</f>
        <v/>
      </c>
      <c r="R413" s="68" t="str">
        <f>IF(C413="","",IF(ISERROR(
CAD_PROD!E413*D413),"",CAD_PROD!E413*D413))</f>
        <v/>
      </c>
      <c r="S413" s="44" t="str">
        <f>IF(C413="","",IF(CAD_PROD!E413&gt;=P413,"Sim","Não"))</f>
        <v/>
      </c>
    </row>
    <row r="414" spans="1:19" ht="30" customHeight="1">
      <c r="A414" s="52">
        <f t="shared" si="18"/>
        <v>0</v>
      </c>
      <c r="B414" s="52">
        <f t="shared" si="19"/>
        <v>0</v>
      </c>
      <c r="C414" s="96" t="str">
        <f>IF(CAD_PROD!C414="","",CAD_PROD!C414)</f>
        <v/>
      </c>
      <c r="D414" s="75"/>
      <c r="E414" s="125"/>
      <c r="F414" s="125"/>
      <c r="G414" s="75"/>
      <c r="H414" s="75" t="str">
        <f>IF(C414="","",D414+CAD_PROD!D414*(E414+F414)+G414)</f>
        <v/>
      </c>
      <c r="I414" s="52">
        <v>9.9999999999999995E-7</v>
      </c>
      <c r="J414" s="68" t="str">
        <f>IF(ISERROR(
CAD_PROD!F414*E414),"",CAD_PROD!F414*E414)</f>
        <v/>
      </c>
      <c r="K414" s="68" t="str">
        <f>IF(ISERROR(
CAD_PROD!F414*F414),"",CAD_PROD!F414*F414)</f>
        <v/>
      </c>
      <c r="L414" s="68" t="str">
        <f>IF(ISERROR(
CAD_PROD!D414-H414),"",CAD_PROD!D414-H414)</f>
        <v/>
      </c>
      <c r="M414" s="57" t="str">
        <f>IF(ISERROR(
L414/CAD_PROD!D414),"",L414/CAD_PROD!D414)</f>
        <v/>
      </c>
      <c r="N414" s="68" t="str">
        <f>IF(ISERROR(
(P414*CAD_PROD!D414)),"",(P414*CAD_PROD!D414))</f>
        <v/>
      </c>
      <c r="O414" s="68" t="str">
        <f>IF(ISERROR(PE_GERAL!$J$7*CAD_PROD!G414),"",PE_GERAL!$J$7*CAD_PROD!G414)</f>
        <v/>
      </c>
      <c r="P414" s="101" t="str">
        <f t="shared" si="20"/>
        <v/>
      </c>
      <c r="Q414" s="68" t="str">
        <f>IF(C414="","",IF(ISERROR(
CAD_PROD!E414*G414),"",CAD_PROD!E414*G414))</f>
        <v/>
      </c>
      <c r="R414" s="68" t="str">
        <f>IF(C414="","",IF(ISERROR(
CAD_PROD!E414*D414),"",CAD_PROD!E414*D414))</f>
        <v/>
      </c>
      <c r="S414" s="44" t="str">
        <f>IF(C414="","",IF(CAD_PROD!E414&gt;=P414,"Sim","Não"))</f>
        <v/>
      </c>
    </row>
    <row r="415" spans="1:19" ht="30" customHeight="1">
      <c r="A415" s="52">
        <f t="shared" si="18"/>
        <v>0</v>
      </c>
      <c r="B415" s="52">
        <f t="shared" si="19"/>
        <v>0</v>
      </c>
      <c r="C415" s="96" t="str">
        <f>IF(CAD_PROD!C415="","",CAD_PROD!C415)</f>
        <v/>
      </c>
      <c r="D415" s="75"/>
      <c r="E415" s="125"/>
      <c r="F415" s="125"/>
      <c r="G415" s="75"/>
      <c r="H415" s="75" t="str">
        <f>IF(C415="","",D415+CAD_PROD!D415*(E415+F415)+G415)</f>
        <v/>
      </c>
      <c r="I415" s="52">
        <v>9.9999999999999995E-7</v>
      </c>
      <c r="J415" s="68" t="str">
        <f>IF(ISERROR(
CAD_PROD!F415*E415),"",CAD_PROD!F415*E415)</f>
        <v/>
      </c>
      <c r="K415" s="68" t="str">
        <f>IF(ISERROR(
CAD_PROD!F415*F415),"",CAD_PROD!F415*F415)</f>
        <v/>
      </c>
      <c r="L415" s="68" t="str">
        <f>IF(ISERROR(
CAD_PROD!D415-H415),"",CAD_PROD!D415-H415)</f>
        <v/>
      </c>
      <c r="M415" s="57" t="str">
        <f>IF(ISERROR(
L415/CAD_PROD!D415),"",L415/CAD_PROD!D415)</f>
        <v/>
      </c>
      <c r="N415" s="68" t="str">
        <f>IF(ISERROR(
(P415*CAD_PROD!D415)),"",(P415*CAD_PROD!D415))</f>
        <v/>
      </c>
      <c r="O415" s="68" t="str">
        <f>IF(ISERROR(PE_GERAL!$J$7*CAD_PROD!G415),"",PE_GERAL!$J$7*CAD_PROD!G415)</f>
        <v/>
      </c>
      <c r="P415" s="101" t="str">
        <f t="shared" si="20"/>
        <v/>
      </c>
      <c r="Q415" s="68" t="str">
        <f>IF(C415="","",IF(ISERROR(
CAD_PROD!E415*G415),"",CAD_PROD!E415*G415))</f>
        <v/>
      </c>
      <c r="R415" s="68" t="str">
        <f>IF(C415="","",IF(ISERROR(
CAD_PROD!E415*D415),"",CAD_PROD!E415*D415))</f>
        <v/>
      </c>
      <c r="S415" s="44" t="str">
        <f>IF(C415="","",IF(CAD_PROD!E415&gt;=P415,"Sim","Não"))</f>
        <v/>
      </c>
    </row>
    <row r="416" spans="1:19" ht="30" customHeight="1">
      <c r="A416" s="52">
        <f t="shared" si="18"/>
        <v>0</v>
      </c>
      <c r="B416" s="52">
        <f t="shared" si="19"/>
        <v>0</v>
      </c>
      <c r="C416" s="96" t="str">
        <f>IF(CAD_PROD!C416="","",CAD_PROD!C416)</f>
        <v/>
      </c>
      <c r="D416" s="75"/>
      <c r="E416" s="125"/>
      <c r="F416" s="125"/>
      <c r="G416" s="75"/>
      <c r="H416" s="75" t="str">
        <f>IF(C416="","",D416+CAD_PROD!D416*(E416+F416)+G416)</f>
        <v/>
      </c>
      <c r="I416" s="52">
        <v>9.9999999999999995E-7</v>
      </c>
      <c r="J416" s="68" t="str">
        <f>IF(ISERROR(
CAD_PROD!F416*E416),"",CAD_PROD!F416*E416)</f>
        <v/>
      </c>
      <c r="K416" s="68" t="str">
        <f>IF(ISERROR(
CAD_PROD!F416*F416),"",CAD_PROD!F416*F416)</f>
        <v/>
      </c>
      <c r="L416" s="68" t="str">
        <f>IF(ISERROR(
CAD_PROD!D416-H416),"",CAD_PROD!D416-H416)</f>
        <v/>
      </c>
      <c r="M416" s="57" t="str">
        <f>IF(ISERROR(
L416/CAD_PROD!D416),"",L416/CAD_PROD!D416)</f>
        <v/>
      </c>
      <c r="N416" s="68" t="str">
        <f>IF(ISERROR(
(P416*CAD_PROD!D416)),"",(P416*CAD_PROD!D416))</f>
        <v/>
      </c>
      <c r="O416" s="68" t="str">
        <f>IF(ISERROR(PE_GERAL!$J$7*CAD_PROD!G416),"",PE_GERAL!$J$7*CAD_PROD!G416)</f>
        <v/>
      </c>
      <c r="P416" s="101" t="str">
        <f t="shared" si="20"/>
        <v/>
      </c>
      <c r="Q416" s="68" t="str">
        <f>IF(C416="","",IF(ISERROR(
CAD_PROD!E416*G416),"",CAD_PROD!E416*G416))</f>
        <v/>
      </c>
      <c r="R416" s="68" t="str">
        <f>IF(C416="","",IF(ISERROR(
CAD_PROD!E416*D416),"",CAD_PROD!E416*D416))</f>
        <v/>
      </c>
      <c r="S416" s="44" t="str">
        <f>IF(C416="","",IF(CAD_PROD!E416&gt;=P416,"Sim","Não"))</f>
        <v/>
      </c>
    </row>
    <row r="417" spans="1:19" ht="30" customHeight="1">
      <c r="A417" s="52">
        <f t="shared" si="18"/>
        <v>0</v>
      </c>
      <c r="B417" s="52">
        <f t="shared" si="19"/>
        <v>0</v>
      </c>
      <c r="C417" s="96" t="str">
        <f>IF(CAD_PROD!C417="","",CAD_PROD!C417)</f>
        <v/>
      </c>
      <c r="D417" s="75"/>
      <c r="E417" s="125"/>
      <c r="F417" s="125"/>
      <c r="G417" s="75"/>
      <c r="H417" s="75" t="str">
        <f>IF(C417="","",D417+CAD_PROD!D417*(E417+F417)+G417)</f>
        <v/>
      </c>
      <c r="I417" s="52">
        <v>9.9999999999999995E-7</v>
      </c>
      <c r="J417" s="68" t="str">
        <f>IF(ISERROR(
CAD_PROD!F417*E417),"",CAD_PROD!F417*E417)</f>
        <v/>
      </c>
      <c r="K417" s="68" t="str">
        <f>IF(ISERROR(
CAD_PROD!F417*F417),"",CAD_PROD!F417*F417)</f>
        <v/>
      </c>
      <c r="L417" s="68" t="str">
        <f>IF(ISERROR(
CAD_PROD!D417-H417),"",CAD_PROD!D417-H417)</f>
        <v/>
      </c>
      <c r="M417" s="57" t="str">
        <f>IF(ISERROR(
L417/CAD_PROD!D417),"",L417/CAD_PROD!D417)</f>
        <v/>
      </c>
      <c r="N417" s="68" t="str">
        <f>IF(ISERROR(
(P417*CAD_PROD!D417)),"",(P417*CAD_PROD!D417))</f>
        <v/>
      </c>
      <c r="O417" s="68" t="str">
        <f>IF(ISERROR(PE_GERAL!$J$7*CAD_PROD!G417),"",PE_GERAL!$J$7*CAD_PROD!G417)</f>
        <v/>
      </c>
      <c r="P417" s="101" t="str">
        <f t="shared" si="20"/>
        <v/>
      </c>
      <c r="Q417" s="68" t="str">
        <f>IF(C417="","",IF(ISERROR(
CAD_PROD!E417*G417),"",CAD_PROD!E417*G417))</f>
        <v/>
      </c>
      <c r="R417" s="68" t="str">
        <f>IF(C417="","",IF(ISERROR(
CAD_PROD!E417*D417),"",CAD_PROD!E417*D417))</f>
        <v/>
      </c>
      <c r="S417" s="44" t="str">
        <f>IF(C417="","",IF(CAD_PROD!E417&gt;=P417,"Sim","Não"))</f>
        <v/>
      </c>
    </row>
    <row r="418" spans="1:19" ht="30" customHeight="1">
      <c r="A418" s="52">
        <f t="shared" si="18"/>
        <v>0</v>
      </c>
      <c r="B418" s="52">
        <f t="shared" si="19"/>
        <v>0</v>
      </c>
      <c r="C418" s="96" t="str">
        <f>IF(CAD_PROD!C418="","",CAD_PROD!C418)</f>
        <v/>
      </c>
      <c r="D418" s="75"/>
      <c r="E418" s="125"/>
      <c r="F418" s="125"/>
      <c r="G418" s="75"/>
      <c r="H418" s="75" t="str">
        <f>IF(C418="","",D418+CAD_PROD!D418*(E418+F418)+G418)</f>
        <v/>
      </c>
      <c r="I418" s="52">
        <v>9.9999999999999995E-7</v>
      </c>
      <c r="J418" s="68" t="str">
        <f>IF(ISERROR(
CAD_PROD!F418*E418),"",CAD_PROD!F418*E418)</f>
        <v/>
      </c>
      <c r="K418" s="68" t="str">
        <f>IF(ISERROR(
CAD_PROD!F418*F418),"",CAD_PROD!F418*F418)</f>
        <v/>
      </c>
      <c r="L418" s="68" t="str">
        <f>IF(ISERROR(
CAD_PROD!D418-H418),"",CAD_PROD!D418-H418)</f>
        <v/>
      </c>
      <c r="M418" s="57" t="str">
        <f>IF(ISERROR(
L418/CAD_PROD!D418),"",L418/CAD_PROD!D418)</f>
        <v/>
      </c>
      <c r="N418" s="68" t="str">
        <f>IF(ISERROR(
(P418*CAD_PROD!D418)),"",(P418*CAD_PROD!D418))</f>
        <v/>
      </c>
      <c r="O418" s="68" t="str">
        <f>IF(ISERROR(PE_GERAL!$J$7*CAD_PROD!G418),"",PE_GERAL!$J$7*CAD_PROD!G418)</f>
        <v/>
      </c>
      <c r="P418" s="101" t="str">
        <f t="shared" si="20"/>
        <v/>
      </c>
      <c r="Q418" s="68" t="str">
        <f>IF(C418="","",IF(ISERROR(
CAD_PROD!E418*G418),"",CAD_PROD!E418*G418))</f>
        <v/>
      </c>
      <c r="R418" s="68" t="str">
        <f>IF(C418="","",IF(ISERROR(
CAD_PROD!E418*D418),"",CAD_PROD!E418*D418))</f>
        <v/>
      </c>
      <c r="S418" s="44" t="str">
        <f>IF(C418="","",IF(CAD_PROD!E418&gt;=P418,"Sim","Não"))</f>
        <v/>
      </c>
    </row>
    <row r="419" spans="1:19" ht="30" customHeight="1">
      <c r="A419" s="52">
        <f t="shared" si="18"/>
        <v>0</v>
      </c>
      <c r="B419" s="52">
        <f t="shared" si="19"/>
        <v>0</v>
      </c>
      <c r="C419" s="96" t="str">
        <f>IF(CAD_PROD!C419="","",CAD_PROD!C419)</f>
        <v/>
      </c>
      <c r="D419" s="75"/>
      <c r="E419" s="125"/>
      <c r="F419" s="125"/>
      <c r="G419" s="75"/>
      <c r="H419" s="75" t="str">
        <f>IF(C419="","",D419+CAD_PROD!D419*(E419+F419)+G419)</f>
        <v/>
      </c>
      <c r="I419" s="52">
        <v>9.9999999999999995E-7</v>
      </c>
      <c r="J419" s="68" t="str">
        <f>IF(ISERROR(
CAD_PROD!F419*E419),"",CAD_PROD!F419*E419)</f>
        <v/>
      </c>
      <c r="K419" s="68" t="str">
        <f>IF(ISERROR(
CAD_PROD!F419*F419),"",CAD_PROD!F419*F419)</f>
        <v/>
      </c>
      <c r="L419" s="68" t="str">
        <f>IF(ISERROR(
CAD_PROD!D419-H419),"",CAD_PROD!D419-H419)</f>
        <v/>
      </c>
      <c r="M419" s="57" t="str">
        <f>IF(ISERROR(
L419/CAD_PROD!D419),"",L419/CAD_PROD!D419)</f>
        <v/>
      </c>
      <c r="N419" s="68" t="str">
        <f>IF(ISERROR(
(P419*CAD_PROD!D419)),"",(P419*CAD_PROD!D419))</f>
        <v/>
      </c>
      <c r="O419" s="68" t="str">
        <f>IF(ISERROR(PE_GERAL!$J$7*CAD_PROD!G419),"",PE_GERAL!$J$7*CAD_PROD!G419)</f>
        <v/>
      </c>
      <c r="P419" s="101" t="str">
        <f t="shared" si="20"/>
        <v/>
      </c>
      <c r="Q419" s="68" t="str">
        <f>IF(C419="","",IF(ISERROR(
CAD_PROD!E419*G419),"",CAD_PROD!E419*G419))</f>
        <v/>
      </c>
      <c r="R419" s="68" t="str">
        <f>IF(C419="","",IF(ISERROR(
CAD_PROD!E419*D419),"",CAD_PROD!E419*D419))</f>
        <v/>
      </c>
      <c r="S419" s="44" t="str">
        <f>IF(C419="","",IF(CAD_PROD!E419&gt;=P419,"Sim","Não"))</f>
        <v/>
      </c>
    </row>
    <row r="420" spans="1:19" ht="30" customHeight="1">
      <c r="A420" s="52">
        <f t="shared" si="18"/>
        <v>0</v>
      </c>
      <c r="B420" s="52">
        <f t="shared" si="19"/>
        <v>0</v>
      </c>
      <c r="C420" s="96" t="str">
        <f>IF(CAD_PROD!C420="","",CAD_PROD!C420)</f>
        <v/>
      </c>
      <c r="D420" s="75"/>
      <c r="E420" s="125"/>
      <c r="F420" s="125"/>
      <c r="G420" s="75"/>
      <c r="H420" s="75" t="str">
        <f>IF(C420="","",D420+CAD_PROD!D420*(E420+F420)+G420)</f>
        <v/>
      </c>
      <c r="I420" s="52">
        <v>9.9999999999999995E-7</v>
      </c>
      <c r="J420" s="68" t="str">
        <f>IF(ISERROR(
CAD_PROD!F420*E420),"",CAD_PROD!F420*E420)</f>
        <v/>
      </c>
      <c r="K420" s="68" t="str">
        <f>IF(ISERROR(
CAD_PROD!F420*F420),"",CAD_PROD!F420*F420)</f>
        <v/>
      </c>
      <c r="L420" s="68" t="str">
        <f>IF(ISERROR(
CAD_PROD!D420-H420),"",CAD_PROD!D420-H420)</f>
        <v/>
      </c>
      <c r="M420" s="57" t="str">
        <f>IF(ISERROR(
L420/CAD_PROD!D420),"",L420/CAD_PROD!D420)</f>
        <v/>
      </c>
      <c r="N420" s="68" t="str">
        <f>IF(ISERROR(
(P420*CAD_PROD!D420)),"",(P420*CAD_PROD!D420))</f>
        <v/>
      </c>
      <c r="O420" s="68" t="str">
        <f>IF(ISERROR(PE_GERAL!$J$7*CAD_PROD!G420),"",PE_GERAL!$J$7*CAD_PROD!G420)</f>
        <v/>
      </c>
      <c r="P420" s="101" t="str">
        <f t="shared" si="20"/>
        <v/>
      </c>
      <c r="Q420" s="68" t="str">
        <f>IF(C420="","",IF(ISERROR(
CAD_PROD!E420*G420),"",CAD_PROD!E420*G420))</f>
        <v/>
      </c>
      <c r="R420" s="68" t="str">
        <f>IF(C420="","",IF(ISERROR(
CAD_PROD!E420*D420),"",CAD_PROD!E420*D420))</f>
        <v/>
      </c>
      <c r="S420" s="44" t="str">
        <f>IF(C420="","",IF(CAD_PROD!E420&gt;=P420,"Sim","Não"))</f>
        <v/>
      </c>
    </row>
    <row r="421" spans="1:19" ht="30" customHeight="1">
      <c r="A421" s="52">
        <f t="shared" si="18"/>
        <v>0</v>
      </c>
      <c r="B421" s="52">
        <f t="shared" si="19"/>
        <v>0</v>
      </c>
      <c r="C421" s="96" t="str">
        <f>IF(CAD_PROD!C421="","",CAD_PROD!C421)</f>
        <v/>
      </c>
      <c r="D421" s="75"/>
      <c r="E421" s="125"/>
      <c r="F421" s="125"/>
      <c r="G421" s="75"/>
      <c r="H421" s="75" t="str">
        <f>IF(C421="","",D421+CAD_PROD!D421*(E421+F421)+G421)</f>
        <v/>
      </c>
      <c r="I421" s="52">
        <v>9.9999999999999995E-7</v>
      </c>
      <c r="J421" s="68" t="str">
        <f>IF(ISERROR(
CAD_PROD!F421*E421),"",CAD_PROD!F421*E421)</f>
        <v/>
      </c>
      <c r="K421" s="68" t="str">
        <f>IF(ISERROR(
CAD_PROD!F421*F421),"",CAD_PROD!F421*F421)</f>
        <v/>
      </c>
      <c r="L421" s="68" t="str">
        <f>IF(ISERROR(
CAD_PROD!D421-H421),"",CAD_PROD!D421-H421)</f>
        <v/>
      </c>
      <c r="M421" s="57" t="str">
        <f>IF(ISERROR(
L421/CAD_PROD!D421),"",L421/CAD_PROD!D421)</f>
        <v/>
      </c>
      <c r="N421" s="68" t="str">
        <f>IF(ISERROR(
(P421*CAD_PROD!D421)),"",(P421*CAD_PROD!D421))</f>
        <v/>
      </c>
      <c r="O421" s="68" t="str">
        <f>IF(ISERROR(PE_GERAL!$J$7*CAD_PROD!G421),"",PE_GERAL!$J$7*CAD_PROD!G421)</f>
        <v/>
      </c>
      <c r="P421" s="101" t="str">
        <f t="shared" si="20"/>
        <v/>
      </c>
      <c r="Q421" s="68" t="str">
        <f>IF(C421="","",IF(ISERROR(
CAD_PROD!E421*G421),"",CAD_PROD!E421*G421))</f>
        <v/>
      </c>
      <c r="R421" s="68" t="str">
        <f>IF(C421="","",IF(ISERROR(
CAD_PROD!E421*D421),"",CAD_PROD!E421*D421))</f>
        <v/>
      </c>
      <c r="S421" s="44" t="str">
        <f>IF(C421="","",IF(CAD_PROD!E421&gt;=P421,"Sim","Não"))</f>
        <v/>
      </c>
    </row>
    <row r="422" spans="1:19" ht="30" customHeight="1">
      <c r="A422" s="52">
        <f t="shared" si="18"/>
        <v>0</v>
      </c>
      <c r="B422" s="52">
        <f t="shared" si="19"/>
        <v>0</v>
      </c>
      <c r="C422" s="96" t="str">
        <f>IF(CAD_PROD!C422="","",CAD_PROD!C422)</f>
        <v/>
      </c>
      <c r="D422" s="75"/>
      <c r="E422" s="125"/>
      <c r="F422" s="125"/>
      <c r="G422" s="75"/>
      <c r="H422" s="75" t="str">
        <f>IF(C422="","",D422+CAD_PROD!D422*(E422+F422)+G422)</f>
        <v/>
      </c>
      <c r="I422" s="52">
        <v>9.9999999999999995E-7</v>
      </c>
      <c r="J422" s="68" t="str">
        <f>IF(ISERROR(
CAD_PROD!F422*E422),"",CAD_PROD!F422*E422)</f>
        <v/>
      </c>
      <c r="K422" s="68" t="str">
        <f>IF(ISERROR(
CAD_PROD!F422*F422),"",CAD_PROD!F422*F422)</f>
        <v/>
      </c>
      <c r="L422" s="68" t="str">
        <f>IF(ISERROR(
CAD_PROD!D422-H422),"",CAD_PROD!D422-H422)</f>
        <v/>
      </c>
      <c r="M422" s="57" t="str">
        <f>IF(ISERROR(
L422/CAD_PROD!D422),"",L422/CAD_PROD!D422)</f>
        <v/>
      </c>
      <c r="N422" s="68" t="str">
        <f>IF(ISERROR(
(P422*CAD_PROD!D422)),"",(P422*CAD_PROD!D422))</f>
        <v/>
      </c>
      <c r="O422" s="68" t="str">
        <f>IF(ISERROR(PE_GERAL!$J$7*CAD_PROD!G422),"",PE_GERAL!$J$7*CAD_PROD!G422)</f>
        <v/>
      </c>
      <c r="P422" s="101" t="str">
        <f t="shared" si="20"/>
        <v/>
      </c>
      <c r="Q422" s="68" t="str">
        <f>IF(C422="","",IF(ISERROR(
CAD_PROD!E422*G422),"",CAD_PROD!E422*G422))</f>
        <v/>
      </c>
      <c r="R422" s="68" t="str">
        <f>IF(C422="","",IF(ISERROR(
CAD_PROD!E422*D422),"",CAD_PROD!E422*D422))</f>
        <v/>
      </c>
      <c r="S422" s="44" t="str">
        <f>IF(C422="","",IF(CAD_PROD!E422&gt;=P422,"Sim","Não"))</f>
        <v/>
      </c>
    </row>
    <row r="423" spans="1:19" ht="30" customHeight="1">
      <c r="A423" s="52">
        <f t="shared" si="18"/>
        <v>0</v>
      </c>
      <c r="B423" s="52">
        <f t="shared" si="19"/>
        <v>0</v>
      </c>
      <c r="C423" s="96" t="str">
        <f>IF(CAD_PROD!C423="","",CAD_PROD!C423)</f>
        <v/>
      </c>
      <c r="D423" s="75"/>
      <c r="E423" s="125"/>
      <c r="F423" s="125"/>
      <c r="G423" s="75"/>
      <c r="H423" s="75" t="str">
        <f>IF(C423="","",D423+CAD_PROD!D423*(E423+F423)+G423)</f>
        <v/>
      </c>
      <c r="I423" s="52">
        <v>9.9999999999999995E-7</v>
      </c>
      <c r="J423" s="68" t="str">
        <f>IF(ISERROR(
CAD_PROD!F423*E423),"",CAD_PROD!F423*E423)</f>
        <v/>
      </c>
      <c r="K423" s="68" t="str">
        <f>IF(ISERROR(
CAD_PROD!F423*F423),"",CAD_PROD!F423*F423)</f>
        <v/>
      </c>
      <c r="L423" s="68" t="str">
        <f>IF(ISERROR(
CAD_PROD!D423-H423),"",CAD_PROD!D423-H423)</f>
        <v/>
      </c>
      <c r="M423" s="57" t="str">
        <f>IF(ISERROR(
L423/CAD_PROD!D423),"",L423/CAD_PROD!D423)</f>
        <v/>
      </c>
      <c r="N423" s="68" t="str">
        <f>IF(ISERROR(
(P423*CAD_PROD!D423)),"",(P423*CAD_PROD!D423))</f>
        <v/>
      </c>
      <c r="O423" s="68" t="str">
        <f>IF(ISERROR(PE_GERAL!$J$7*CAD_PROD!G423),"",PE_GERAL!$J$7*CAD_PROD!G423)</f>
        <v/>
      </c>
      <c r="P423" s="101" t="str">
        <f t="shared" si="20"/>
        <v/>
      </c>
      <c r="Q423" s="68" t="str">
        <f>IF(C423="","",IF(ISERROR(
CAD_PROD!E423*G423),"",CAD_PROD!E423*G423))</f>
        <v/>
      </c>
      <c r="R423" s="68" t="str">
        <f>IF(C423="","",IF(ISERROR(
CAD_PROD!E423*D423),"",CAD_PROD!E423*D423))</f>
        <v/>
      </c>
      <c r="S423" s="44" t="str">
        <f>IF(C423="","",IF(CAD_PROD!E423&gt;=P423,"Sim","Não"))</f>
        <v/>
      </c>
    </row>
    <row r="424" spans="1:19" ht="30" customHeight="1">
      <c r="A424" s="52">
        <f t="shared" si="18"/>
        <v>0</v>
      </c>
      <c r="B424" s="52">
        <f t="shared" si="19"/>
        <v>0</v>
      </c>
      <c r="C424" s="96" t="str">
        <f>IF(CAD_PROD!C424="","",CAD_PROD!C424)</f>
        <v/>
      </c>
      <c r="D424" s="75"/>
      <c r="E424" s="125"/>
      <c r="F424" s="125"/>
      <c r="G424" s="75"/>
      <c r="H424" s="75" t="str">
        <f>IF(C424="","",D424+CAD_PROD!D424*(E424+F424)+G424)</f>
        <v/>
      </c>
      <c r="I424" s="52">
        <v>9.9999999999999995E-7</v>
      </c>
      <c r="J424" s="68" t="str">
        <f>IF(ISERROR(
CAD_PROD!F424*E424),"",CAD_PROD!F424*E424)</f>
        <v/>
      </c>
      <c r="K424" s="68" t="str">
        <f>IF(ISERROR(
CAD_PROD!F424*F424),"",CAD_PROD!F424*F424)</f>
        <v/>
      </c>
      <c r="L424" s="68" t="str">
        <f>IF(ISERROR(
CAD_PROD!D424-H424),"",CAD_PROD!D424-H424)</f>
        <v/>
      </c>
      <c r="M424" s="57" t="str">
        <f>IF(ISERROR(
L424/CAD_PROD!D424),"",L424/CAD_PROD!D424)</f>
        <v/>
      </c>
      <c r="N424" s="68" t="str">
        <f>IF(ISERROR(
(P424*CAD_PROD!D424)),"",(P424*CAD_PROD!D424))</f>
        <v/>
      </c>
      <c r="O424" s="68" t="str">
        <f>IF(ISERROR(PE_GERAL!$J$7*CAD_PROD!G424),"",PE_GERAL!$J$7*CAD_PROD!G424)</f>
        <v/>
      </c>
      <c r="P424" s="101" t="str">
        <f t="shared" si="20"/>
        <v/>
      </c>
      <c r="Q424" s="68" t="str">
        <f>IF(C424="","",IF(ISERROR(
CAD_PROD!E424*G424),"",CAD_PROD!E424*G424))</f>
        <v/>
      </c>
      <c r="R424" s="68" t="str">
        <f>IF(C424="","",IF(ISERROR(
CAD_PROD!E424*D424),"",CAD_PROD!E424*D424))</f>
        <v/>
      </c>
      <c r="S424" s="44" t="str">
        <f>IF(C424="","",IF(CAD_PROD!E424&gt;=P424,"Sim","Não"))</f>
        <v/>
      </c>
    </row>
    <row r="425" spans="1:19" ht="30" customHeight="1">
      <c r="A425" s="52">
        <f t="shared" si="18"/>
        <v>0</v>
      </c>
      <c r="B425" s="52">
        <f t="shared" si="19"/>
        <v>0</v>
      </c>
      <c r="C425" s="96" t="str">
        <f>IF(CAD_PROD!C425="","",CAD_PROD!C425)</f>
        <v/>
      </c>
      <c r="D425" s="75"/>
      <c r="E425" s="125"/>
      <c r="F425" s="125"/>
      <c r="G425" s="75"/>
      <c r="H425" s="75" t="str">
        <f>IF(C425="","",D425+CAD_PROD!D425*(E425+F425)+G425)</f>
        <v/>
      </c>
      <c r="I425" s="52">
        <v>9.9999999999999995E-7</v>
      </c>
      <c r="J425" s="68" t="str">
        <f>IF(ISERROR(
CAD_PROD!F425*E425),"",CAD_PROD!F425*E425)</f>
        <v/>
      </c>
      <c r="K425" s="68" t="str">
        <f>IF(ISERROR(
CAD_PROD!F425*F425),"",CAD_PROD!F425*F425)</f>
        <v/>
      </c>
      <c r="L425" s="68" t="str">
        <f>IF(ISERROR(
CAD_PROD!D425-H425),"",CAD_PROD!D425-H425)</f>
        <v/>
      </c>
      <c r="M425" s="57" t="str">
        <f>IF(ISERROR(
L425/CAD_PROD!D425),"",L425/CAD_PROD!D425)</f>
        <v/>
      </c>
      <c r="N425" s="68" t="str">
        <f>IF(ISERROR(
(P425*CAD_PROD!D425)),"",(P425*CAD_PROD!D425))</f>
        <v/>
      </c>
      <c r="O425" s="68" t="str">
        <f>IF(ISERROR(PE_GERAL!$J$7*CAD_PROD!G425),"",PE_GERAL!$J$7*CAD_PROD!G425)</f>
        <v/>
      </c>
      <c r="P425" s="101" t="str">
        <f t="shared" si="20"/>
        <v/>
      </c>
      <c r="Q425" s="68" t="str">
        <f>IF(C425="","",IF(ISERROR(
CAD_PROD!E425*G425),"",CAD_PROD!E425*G425))</f>
        <v/>
      </c>
      <c r="R425" s="68" t="str">
        <f>IF(C425="","",IF(ISERROR(
CAD_PROD!E425*D425),"",CAD_PROD!E425*D425))</f>
        <v/>
      </c>
      <c r="S425" s="44" t="str">
        <f>IF(C425="","",IF(CAD_PROD!E425&gt;=P425,"Sim","Não"))</f>
        <v/>
      </c>
    </row>
    <row r="426" spans="1:19" ht="30" customHeight="1">
      <c r="A426" s="52">
        <f t="shared" si="18"/>
        <v>0</v>
      </c>
      <c r="B426" s="52">
        <f t="shared" si="19"/>
        <v>0</v>
      </c>
      <c r="C426" s="96" t="str">
        <f>IF(CAD_PROD!C426="","",CAD_PROD!C426)</f>
        <v/>
      </c>
      <c r="D426" s="75"/>
      <c r="E426" s="125"/>
      <c r="F426" s="125"/>
      <c r="G426" s="75"/>
      <c r="H426" s="75" t="str">
        <f>IF(C426="","",D426+CAD_PROD!D426*(E426+F426)+G426)</f>
        <v/>
      </c>
      <c r="I426" s="52">
        <v>9.9999999999999995E-7</v>
      </c>
      <c r="J426" s="68" t="str">
        <f>IF(ISERROR(
CAD_PROD!F426*E426),"",CAD_PROD!F426*E426)</f>
        <v/>
      </c>
      <c r="K426" s="68" t="str">
        <f>IF(ISERROR(
CAD_PROD!F426*F426),"",CAD_PROD!F426*F426)</f>
        <v/>
      </c>
      <c r="L426" s="68" t="str">
        <f>IF(ISERROR(
CAD_PROD!D426-H426),"",CAD_PROD!D426-H426)</f>
        <v/>
      </c>
      <c r="M426" s="57" t="str">
        <f>IF(ISERROR(
L426/CAD_PROD!D426),"",L426/CAD_PROD!D426)</f>
        <v/>
      </c>
      <c r="N426" s="68" t="str">
        <f>IF(ISERROR(
(P426*CAD_PROD!D426)),"",(P426*CAD_PROD!D426))</f>
        <v/>
      </c>
      <c r="O426" s="68" t="str">
        <f>IF(ISERROR(PE_GERAL!$J$7*CAD_PROD!G426),"",PE_GERAL!$J$7*CAD_PROD!G426)</f>
        <v/>
      </c>
      <c r="P426" s="101" t="str">
        <f t="shared" si="20"/>
        <v/>
      </c>
      <c r="Q426" s="68" t="str">
        <f>IF(C426="","",IF(ISERROR(
CAD_PROD!E426*G426),"",CAD_PROD!E426*G426))</f>
        <v/>
      </c>
      <c r="R426" s="68" t="str">
        <f>IF(C426="","",IF(ISERROR(
CAD_PROD!E426*D426),"",CAD_PROD!E426*D426))</f>
        <v/>
      </c>
      <c r="S426" s="44" t="str">
        <f>IF(C426="","",IF(CAD_PROD!E426&gt;=P426,"Sim","Não"))</f>
        <v/>
      </c>
    </row>
    <row r="427" spans="1:19" ht="30" customHeight="1">
      <c r="A427" s="52">
        <f t="shared" si="18"/>
        <v>0</v>
      </c>
      <c r="B427" s="52">
        <f t="shared" si="19"/>
        <v>0</v>
      </c>
      <c r="C427" s="96" t="str">
        <f>IF(CAD_PROD!C427="","",CAD_PROD!C427)</f>
        <v/>
      </c>
      <c r="D427" s="75"/>
      <c r="E427" s="125"/>
      <c r="F427" s="125"/>
      <c r="G427" s="75"/>
      <c r="H427" s="75" t="str">
        <f>IF(C427="","",D427+CAD_PROD!D427*(E427+F427)+G427)</f>
        <v/>
      </c>
      <c r="I427" s="52">
        <v>9.9999999999999995E-7</v>
      </c>
      <c r="J427" s="68" t="str">
        <f>IF(ISERROR(
CAD_PROD!F427*E427),"",CAD_PROD!F427*E427)</f>
        <v/>
      </c>
      <c r="K427" s="68" t="str">
        <f>IF(ISERROR(
CAD_PROD!F427*F427),"",CAD_PROD!F427*F427)</f>
        <v/>
      </c>
      <c r="L427" s="68" t="str">
        <f>IF(ISERROR(
CAD_PROD!D427-H427),"",CAD_PROD!D427-H427)</f>
        <v/>
      </c>
      <c r="M427" s="57" t="str">
        <f>IF(ISERROR(
L427/CAD_PROD!D427),"",L427/CAD_PROD!D427)</f>
        <v/>
      </c>
      <c r="N427" s="68" t="str">
        <f>IF(ISERROR(
(P427*CAD_PROD!D427)),"",(P427*CAD_PROD!D427))</f>
        <v/>
      </c>
      <c r="O427" s="68" t="str">
        <f>IF(ISERROR(PE_GERAL!$J$7*CAD_PROD!G427),"",PE_GERAL!$J$7*CAD_PROD!G427)</f>
        <v/>
      </c>
      <c r="P427" s="101" t="str">
        <f t="shared" si="20"/>
        <v/>
      </c>
      <c r="Q427" s="68" t="str">
        <f>IF(C427="","",IF(ISERROR(
CAD_PROD!E427*G427),"",CAD_PROD!E427*G427))</f>
        <v/>
      </c>
      <c r="R427" s="68" t="str">
        <f>IF(C427="","",IF(ISERROR(
CAD_PROD!E427*D427),"",CAD_PROD!E427*D427))</f>
        <v/>
      </c>
      <c r="S427" s="44" t="str">
        <f>IF(C427="","",IF(CAD_PROD!E427&gt;=P427,"Sim","Não"))</f>
        <v/>
      </c>
    </row>
    <row r="428" spans="1:19" ht="30" customHeight="1">
      <c r="A428" s="52">
        <f t="shared" si="18"/>
        <v>0</v>
      </c>
      <c r="B428" s="52">
        <f t="shared" si="19"/>
        <v>0</v>
      </c>
      <c r="C428" s="96" t="str">
        <f>IF(CAD_PROD!C428="","",CAD_PROD!C428)</f>
        <v/>
      </c>
      <c r="D428" s="75"/>
      <c r="E428" s="125"/>
      <c r="F428" s="125"/>
      <c r="G428" s="75"/>
      <c r="H428" s="75" t="str">
        <f>IF(C428="","",D428+CAD_PROD!D428*(E428+F428)+G428)</f>
        <v/>
      </c>
      <c r="I428" s="52">
        <v>9.9999999999999995E-7</v>
      </c>
      <c r="J428" s="68" t="str">
        <f>IF(ISERROR(
CAD_PROD!F428*E428),"",CAD_PROD!F428*E428)</f>
        <v/>
      </c>
      <c r="K428" s="68" t="str">
        <f>IF(ISERROR(
CAD_PROD!F428*F428),"",CAD_PROD!F428*F428)</f>
        <v/>
      </c>
      <c r="L428" s="68" t="str">
        <f>IF(ISERROR(
CAD_PROD!D428-H428),"",CAD_PROD!D428-H428)</f>
        <v/>
      </c>
      <c r="M428" s="57" t="str">
        <f>IF(ISERROR(
L428/CAD_PROD!D428),"",L428/CAD_PROD!D428)</f>
        <v/>
      </c>
      <c r="N428" s="68" t="str">
        <f>IF(ISERROR(
(P428*CAD_PROD!D428)),"",(P428*CAD_PROD!D428))</f>
        <v/>
      </c>
      <c r="O428" s="68" t="str">
        <f>IF(ISERROR(PE_GERAL!$J$7*CAD_PROD!G428),"",PE_GERAL!$J$7*CAD_PROD!G428)</f>
        <v/>
      </c>
      <c r="P428" s="101" t="str">
        <f t="shared" si="20"/>
        <v/>
      </c>
      <c r="Q428" s="68" t="str">
        <f>IF(C428="","",IF(ISERROR(
CAD_PROD!E428*G428),"",CAD_PROD!E428*G428))</f>
        <v/>
      </c>
      <c r="R428" s="68" t="str">
        <f>IF(C428="","",IF(ISERROR(
CAD_PROD!E428*D428),"",CAD_PROD!E428*D428))</f>
        <v/>
      </c>
      <c r="S428" s="44" t="str">
        <f>IF(C428="","",IF(CAD_PROD!E428&gt;=P428,"Sim","Não"))</f>
        <v/>
      </c>
    </row>
    <row r="429" spans="1:19" ht="30" customHeight="1">
      <c r="A429" s="52">
        <f t="shared" si="18"/>
        <v>0</v>
      </c>
      <c r="B429" s="52">
        <f t="shared" si="19"/>
        <v>0</v>
      </c>
      <c r="C429" s="96" t="str">
        <f>IF(CAD_PROD!C429="","",CAD_PROD!C429)</f>
        <v/>
      </c>
      <c r="D429" s="75"/>
      <c r="E429" s="125"/>
      <c r="F429" s="125"/>
      <c r="G429" s="75"/>
      <c r="H429" s="75" t="str">
        <f>IF(C429="","",D429+CAD_PROD!D429*(E429+F429)+G429)</f>
        <v/>
      </c>
      <c r="I429" s="52">
        <v>9.9999999999999995E-7</v>
      </c>
      <c r="J429" s="68" t="str">
        <f>IF(ISERROR(
CAD_PROD!F429*E429),"",CAD_PROD!F429*E429)</f>
        <v/>
      </c>
      <c r="K429" s="68" t="str">
        <f>IF(ISERROR(
CAD_PROD!F429*F429),"",CAD_PROD!F429*F429)</f>
        <v/>
      </c>
      <c r="L429" s="68" t="str">
        <f>IF(ISERROR(
CAD_PROD!D429-H429),"",CAD_PROD!D429-H429)</f>
        <v/>
      </c>
      <c r="M429" s="57" t="str">
        <f>IF(ISERROR(
L429/CAD_PROD!D429),"",L429/CAD_PROD!D429)</f>
        <v/>
      </c>
      <c r="N429" s="68" t="str">
        <f>IF(ISERROR(
(P429*CAD_PROD!D429)),"",(P429*CAD_PROD!D429))</f>
        <v/>
      </c>
      <c r="O429" s="68" t="str">
        <f>IF(ISERROR(PE_GERAL!$J$7*CAD_PROD!G429),"",PE_GERAL!$J$7*CAD_PROD!G429)</f>
        <v/>
      </c>
      <c r="P429" s="101" t="str">
        <f t="shared" si="20"/>
        <v/>
      </c>
      <c r="Q429" s="68" t="str">
        <f>IF(C429="","",IF(ISERROR(
CAD_PROD!E429*G429),"",CAD_PROD!E429*G429))</f>
        <v/>
      </c>
      <c r="R429" s="68" t="str">
        <f>IF(C429="","",IF(ISERROR(
CAD_PROD!E429*D429),"",CAD_PROD!E429*D429))</f>
        <v/>
      </c>
      <c r="S429" s="44" t="str">
        <f>IF(C429="","",IF(CAD_PROD!E429&gt;=P429,"Sim","Não"))</f>
        <v/>
      </c>
    </row>
    <row r="430" spans="1:19" ht="30" customHeight="1">
      <c r="A430" s="52">
        <f t="shared" si="18"/>
        <v>0</v>
      </c>
      <c r="B430" s="52">
        <f t="shared" si="19"/>
        <v>0</v>
      </c>
      <c r="C430" s="96" t="str">
        <f>IF(CAD_PROD!C430="","",CAD_PROD!C430)</f>
        <v/>
      </c>
      <c r="D430" s="75"/>
      <c r="E430" s="125"/>
      <c r="F430" s="125"/>
      <c r="G430" s="75"/>
      <c r="H430" s="75" t="str">
        <f>IF(C430="","",D430+CAD_PROD!D430*(E430+F430)+G430)</f>
        <v/>
      </c>
      <c r="I430" s="52">
        <v>9.9999999999999995E-7</v>
      </c>
      <c r="J430" s="68" t="str">
        <f>IF(ISERROR(
CAD_PROD!F430*E430),"",CAD_PROD!F430*E430)</f>
        <v/>
      </c>
      <c r="K430" s="68" t="str">
        <f>IF(ISERROR(
CAD_PROD!F430*F430),"",CAD_PROD!F430*F430)</f>
        <v/>
      </c>
      <c r="L430" s="68" t="str">
        <f>IF(ISERROR(
CAD_PROD!D430-H430),"",CAD_PROD!D430-H430)</f>
        <v/>
      </c>
      <c r="M430" s="57" t="str">
        <f>IF(ISERROR(
L430/CAD_PROD!D430),"",L430/CAD_PROD!D430)</f>
        <v/>
      </c>
      <c r="N430" s="68" t="str">
        <f>IF(ISERROR(
(P430*CAD_PROD!D430)),"",(P430*CAD_PROD!D430))</f>
        <v/>
      </c>
      <c r="O430" s="68" t="str">
        <f>IF(ISERROR(PE_GERAL!$J$7*CAD_PROD!G430),"",PE_GERAL!$J$7*CAD_PROD!G430)</f>
        <v/>
      </c>
      <c r="P430" s="101" t="str">
        <f t="shared" si="20"/>
        <v/>
      </c>
      <c r="Q430" s="68" t="str">
        <f>IF(C430="","",IF(ISERROR(
CAD_PROD!E430*G430),"",CAD_PROD!E430*G430))</f>
        <v/>
      </c>
      <c r="R430" s="68" t="str">
        <f>IF(C430="","",IF(ISERROR(
CAD_PROD!E430*D430),"",CAD_PROD!E430*D430))</f>
        <v/>
      </c>
      <c r="S430" s="44" t="str">
        <f>IF(C430="","",IF(CAD_PROD!E430&gt;=P430,"Sim","Não"))</f>
        <v/>
      </c>
    </row>
    <row r="431" spans="1:19" ht="30" customHeight="1">
      <c r="A431" s="52">
        <f t="shared" si="18"/>
        <v>0</v>
      </c>
      <c r="B431" s="52">
        <f t="shared" si="19"/>
        <v>0</v>
      </c>
      <c r="C431" s="96" t="str">
        <f>IF(CAD_PROD!C431="","",CAD_PROD!C431)</f>
        <v/>
      </c>
      <c r="D431" s="75"/>
      <c r="E431" s="125"/>
      <c r="F431" s="125"/>
      <c r="G431" s="75"/>
      <c r="H431" s="75" t="str">
        <f>IF(C431="","",D431+CAD_PROD!D431*(E431+F431)+G431)</f>
        <v/>
      </c>
      <c r="I431" s="52">
        <v>9.9999999999999995E-7</v>
      </c>
      <c r="J431" s="68" t="str">
        <f>IF(ISERROR(
CAD_PROD!F431*E431),"",CAD_PROD!F431*E431)</f>
        <v/>
      </c>
      <c r="K431" s="68" t="str">
        <f>IF(ISERROR(
CAD_PROD!F431*F431),"",CAD_PROD!F431*F431)</f>
        <v/>
      </c>
      <c r="L431" s="68" t="str">
        <f>IF(ISERROR(
CAD_PROD!D431-H431),"",CAD_PROD!D431-H431)</f>
        <v/>
      </c>
      <c r="M431" s="57" t="str">
        <f>IF(ISERROR(
L431/CAD_PROD!D431),"",L431/CAD_PROD!D431)</f>
        <v/>
      </c>
      <c r="N431" s="68" t="str">
        <f>IF(ISERROR(
(P431*CAD_PROD!D431)),"",(P431*CAD_PROD!D431))</f>
        <v/>
      </c>
      <c r="O431" s="68" t="str">
        <f>IF(ISERROR(PE_GERAL!$J$7*CAD_PROD!G431),"",PE_GERAL!$J$7*CAD_PROD!G431)</f>
        <v/>
      </c>
      <c r="P431" s="101" t="str">
        <f t="shared" si="20"/>
        <v/>
      </c>
      <c r="Q431" s="68" t="str">
        <f>IF(C431="","",IF(ISERROR(
CAD_PROD!E431*G431),"",CAD_PROD!E431*G431))</f>
        <v/>
      </c>
      <c r="R431" s="68" t="str">
        <f>IF(C431="","",IF(ISERROR(
CAD_PROD!E431*D431),"",CAD_PROD!E431*D431))</f>
        <v/>
      </c>
      <c r="S431" s="44" t="str">
        <f>IF(C431="","",IF(CAD_PROD!E431&gt;=P431,"Sim","Não"))</f>
        <v/>
      </c>
    </row>
    <row r="432" spans="1:19" ht="30" customHeight="1">
      <c r="A432" s="52">
        <f t="shared" si="18"/>
        <v>0</v>
      </c>
      <c r="B432" s="52">
        <f t="shared" si="19"/>
        <v>0</v>
      </c>
      <c r="C432" s="96" t="str">
        <f>IF(CAD_PROD!C432="","",CAD_PROD!C432)</f>
        <v/>
      </c>
      <c r="D432" s="75"/>
      <c r="E432" s="125"/>
      <c r="F432" s="125"/>
      <c r="G432" s="75"/>
      <c r="H432" s="75" t="str">
        <f>IF(C432="","",D432+CAD_PROD!D432*(E432+F432)+G432)</f>
        <v/>
      </c>
      <c r="I432" s="52">
        <v>9.9999999999999995E-7</v>
      </c>
      <c r="J432" s="68" t="str">
        <f>IF(ISERROR(
CAD_PROD!F432*E432),"",CAD_PROD!F432*E432)</f>
        <v/>
      </c>
      <c r="K432" s="68" t="str">
        <f>IF(ISERROR(
CAD_PROD!F432*F432),"",CAD_PROD!F432*F432)</f>
        <v/>
      </c>
      <c r="L432" s="68" t="str">
        <f>IF(ISERROR(
CAD_PROD!D432-H432),"",CAD_PROD!D432-H432)</f>
        <v/>
      </c>
      <c r="M432" s="57" t="str">
        <f>IF(ISERROR(
L432/CAD_PROD!D432),"",L432/CAD_PROD!D432)</f>
        <v/>
      </c>
      <c r="N432" s="68" t="str">
        <f>IF(ISERROR(
(P432*CAD_PROD!D432)),"",(P432*CAD_PROD!D432))</f>
        <v/>
      </c>
      <c r="O432" s="68" t="str">
        <f>IF(ISERROR(PE_GERAL!$J$7*CAD_PROD!G432),"",PE_GERAL!$J$7*CAD_PROD!G432)</f>
        <v/>
      </c>
      <c r="P432" s="101" t="str">
        <f t="shared" si="20"/>
        <v/>
      </c>
      <c r="Q432" s="68" t="str">
        <f>IF(C432="","",IF(ISERROR(
CAD_PROD!E432*G432),"",CAD_PROD!E432*G432))</f>
        <v/>
      </c>
      <c r="R432" s="68" t="str">
        <f>IF(C432="","",IF(ISERROR(
CAD_PROD!E432*D432),"",CAD_PROD!E432*D432))</f>
        <v/>
      </c>
      <c r="S432" s="44" t="str">
        <f>IF(C432="","",IF(CAD_PROD!E432&gt;=P432,"Sim","Não"))</f>
        <v/>
      </c>
    </row>
    <row r="433" spans="1:19" ht="30" customHeight="1">
      <c r="A433" s="52">
        <f t="shared" si="18"/>
        <v>0</v>
      </c>
      <c r="B433" s="52">
        <f t="shared" si="19"/>
        <v>0</v>
      </c>
      <c r="C433" s="96" t="str">
        <f>IF(CAD_PROD!C433="","",CAD_PROD!C433)</f>
        <v/>
      </c>
      <c r="D433" s="75"/>
      <c r="E433" s="125"/>
      <c r="F433" s="125"/>
      <c r="G433" s="75"/>
      <c r="H433" s="75" t="str">
        <f>IF(C433="","",D433+CAD_PROD!D433*(E433+F433)+G433)</f>
        <v/>
      </c>
      <c r="I433" s="52">
        <v>9.9999999999999995E-7</v>
      </c>
      <c r="J433" s="68" t="str">
        <f>IF(ISERROR(
CAD_PROD!F433*E433),"",CAD_PROD!F433*E433)</f>
        <v/>
      </c>
      <c r="K433" s="68" t="str">
        <f>IF(ISERROR(
CAD_PROD!F433*F433),"",CAD_PROD!F433*F433)</f>
        <v/>
      </c>
      <c r="L433" s="68" t="str">
        <f>IF(ISERROR(
CAD_PROD!D433-H433),"",CAD_PROD!D433-H433)</f>
        <v/>
      </c>
      <c r="M433" s="57" t="str">
        <f>IF(ISERROR(
L433/CAD_PROD!D433),"",L433/CAD_PROD!D433)</f>
        <v/>
      </c>
      <c r="N433" s="68" t="str">
        <f>IF(ISERROR(
(P433*CAD_PROD!D433)),"",(P433*CAD_PROD!D433))</f>
        <v/>
      </c>
      <c r="O433" s="68" t="str">
        <f>IF(ISERROR(PE_GERAL!$J$7*CAD_PROD!G433),"",PE_GERAL!$J$7*CAD_PROD!G433)</f>
        <v/>
      </c>
      <c r="P433" s="101" t="str">
        <f t="shared" si="20"/>
        <v/>
      </c>
      <c r="Q433" s="68" t="str">
        <f>IF(C433="","",IF(ISERROR(
CAD_PROD!E433*G433),"",CAD_PROD!E433*G433))</f>
        <v/>
      </c>
      <c r="R433" s="68" t="str">
        <f>IF(C433="","",IF(ISERROR(
CAD_PROD!E433*D433),"",CAD_PROD!E433*D433))</f>
        <v/>
      </c>
      <c r="S433" s="44" t="str">
        <f>IF(C433="","",IF(CAD_PROD!E433&gt;=P433,"Sim","Não"))</f>
        <v/>
      </c>
    </row>
    <row r="434" spans="1:19" ht="30" customHeight="1">
      <c r="A434" s="52">
        <f t="shared" si="18"/>
        <v>0</v>
      </c>
      <c r="B434" s="52">
        <f t="shared" si="19"/>
        <v>0</v>
      </c>
      <c r="C434" s="96" t="str">
        <f>IF(CAD_PROD!C434="","",CAD_PROD!C434)</f>
        <v/>
      </c>
      <c r="D434" s="75"/>
      <c r="E434" s="125"/>
      <c r="F434" s="125"/>
      <c r="G434" s="75"/>
      <c r="H434" s="75" t="str">
        <f>IF(C434="","",D434+CAD_PROD!D434*(E434+F434)+G434)</f>
        <v/>
      </c>
      <c r="I434" s="52">
        <v>9.9999999999999995E-7</v>
      </c>
      <c r="J434" s="68" t="str">
        <f>IF(ISERROR(
CAD_PROD!F434*E434),"",CAD_PROD!F434*E434)</f>
        <v/>
      </c>
      <c r="K434" s="68" t="str">
        <f>IF(ISERROR(
CAD_PROD!F434*F434),"",CAD_PROD!F434*F434)</f>
        <v/>
      </c>
      <c r="L434" s="68" t="str">
        <f>IF(ISERROR(
CAD_PROD!D434-H434),"",CAD_PROD!D434-H434)</f>
        <v/>
      </c>
      <c r="M434" s="57" t="str">
        <f>IF(ISERROR(
L434/CAD_PROD!D434),"",L434/CAD_PROD!D434)</f>
        <v/>
      </c>
      <c r="N434" s="68" t="str">
        <f>IF(ISERROR(
(P434*CAD_PROD!D434)),"",(P434*CAD_PROD!D434))</f>
        <v/>
      </c>
      <c r="O434" s="68" t="str">
        <f>IF(ISERROR(PE_GERAL!$J$7*CAD_PROD!G434),"",PE_GERAL!$J$7*CAD_PROD!G434)</f>
        <v/>
      </c>
      <c r="P434" s="101" t="str">
        <f t="shared" si="20"/>
        <v/>
      </c>
      <c r="Q434" s="68" t="str">
        <f>IF(C434="","",IF(ISERROR(
CAD_PROD!E434*G434),"",CAD_PROD!E434*G434))</f>
        <v/>
      </c>
      <c r="R434" s="68" t="str">
        <f>IF(C434="","",IF(ISERROR(
CAD_PROD!E434*D434),"",CAD_PROD!E434*D434))</f>
        <v/>
      </c>
      <c r="S434" s="44" t="str">
        <f>IF(C434="","",IF(CAD_PROD!E434&gt;=P434,"Sim","Não"))</f>
        <v/>
      </c>
    </row>
    <row r="435" spans="1:19" ht="30" customHeight="1">
      <c r="A435" s="52">
        <f t="shared" si="18"/>
        <v>0</v>
      </c>
      <c r="B435" s="52">
        <f t="shared" si="19"/>
        <v>0</v>
      </c>
      <c r="C435" s="96" t="str">
        <f>IF(CAD_PROD!C435="","",CAD_PROD!C435)</f>
        <v/>
      </c>
      <c r="D435" s="75"/>
      <c r="E435" s="125"/>
      <c r="F435" s="125"/>
      <c r="G435" s="75"/>
      <c r="H435" s="75" t="str">
        <f>IF(C435="","",D435+CAD_PROD!D435*(E435+F435)+G435)</f>
        <v/>
      </c>
      <c r="I435" s="52">
        <v>9.9999999999999995E-7</v>
      </c>
      <c r="J435" s="68" t="str">
        <f>IF(ISERROR(
CAD_PROD!F435*E435),"",CAD_PROD!F435*E435)</f>
        <v/>
      </c>
      <c r="K435" s="68" t="str">
        <f>IF(ISERROR(
CAD_PROD!F435*F435),"",CAD_PROD!F435*F435)</f>
        <v/>
      </c>
      <c r="L435" s="68" t="str">
        <f>IF(ISERROR(
CAD_PROD!D435-H435),"",CAD_PROD!D435-H435)</f>
        <v/>
      </c>
      <c r="M435" s="57" t="str">
        <f>IF(ISERROR(
L435/CAD_PROD!D435),"",L435/CAD_PROD!D435)</f>
        <v/>
      </c>
      <c r="N435" s="68" t="str">
        <f>IF(ISERROR(
(P435*CAD_PROD!D435)),"",(P435*CAD_PROD!D435))</f>
        <v/>
      </c>
      <c r="O435" s="68" t="str">
        <f>IF(ISERROR(PE_GERAL!$J$7*CAD_PROD!G435),"",PE_GERAL!$J$7*CAD_PROD!G435)</f>
        <v/>
      </c>
      <c r="P435" s="101" t="str">
        <f t="shared" si="20"/>
        <v/>
      </c>
      <c r="Q435" s="68" t="str">
        <f>IF(C435="","",IF(ISERROR(
CAD_PROD!E435*G435),"",CAD_PROD!E435*G435))</f>
        <v/>
      </c>
      <c r="R435" s="68" t="str">
        <f>IF(C435="","",IF(ISERROR(
CAD_PROD!E435*D435),"",CAD_PROD!E435*D435))</f>
        <v/>
      </c>
      <c r="S435" s="44" t="str">
        <f>IF(C435="","",IF(CAD_PROD!E435&gt;=P435,"Sim","Não"))</f>
        <v/>
      </c>
    </row>
    <row r="436" spans="1:19" ht="30" customHeight="1">
      <c r="A436" s="52">
        <f t="shared" si="18"/>
        <v>0</v>
      </c>
      <c r="B436" s="52">
        <f t="shared" si="19"/>
        <v>0</v>
      </c>
      <c r="C436" s="96" t="str">
        <f>IF(CAD_PROD!C436="","",CAD_PROD!C436)</f>
        <v/>
      </c>
      <c r="D436" s="75"/>
      <c r="E436" s="125"/>
      <c r="F436" s="125"/>
      <c r="G436" s="75"/>
      <c r="H436" s="75" t="str">
        <f>IF(C436="","",D436+CAD_PROD!D436*(E436+F436)+G436)</f>
        <v/>
      </c>
      <c r="I436" s="52">
        <v>9.9999999999999995E-7</v>
      </c>
      <c r="J436" s="68" t="str">
        <f>IF(ISERROR(
CAD_PROD!F436*E436),"",CAD_PROD!F436*E436)</f>
        <v/>
      </c>
      <c r="K436" s="68" t="str">
        <f>IF(ISERROR(
CAD_PROD!F436*F436),"",CAD_PROD!F436*F436)</f>
        <v/>
      </c>
      <c r="L436" s="68" t="str">
        <f>IF(ISERROR(
CAD_PROD!D436-H436),"",CAD_PROD!D436-H436)</f>
        <v/>
      </c>
      <c r="M436" s="57" t="str">
        <f>IF(ISERROR(
L436/CAD_PROD!D436),"",L436/CAD_PROD!D436)</f>
        <v/>
      </c>
      <c r="N436" s="68" t="str">
        <f>IF(ISERROR(
(P436*CAD_PROD!D436)),"",(P436*CAD_PROD!D436))</f>
        <v/>
      </c>
      <c r="O436" s="68" t="str">
        <f>IF(ISERROR(PE_GERAL!$J$7*CAD_PROD!G436),"",PE_GERAL!$J$7*CAD_PROD!G436)</f>
        <v/>
      </c>
      <c r="P436" s="101" t="str">
        <f t="shared" si="20"/>
        <v/>
      </c>
      <c r="Q436" s="68" t="str">
        <f>IF(C436="","",IF(ISERROR(
CAD_PROD!E436*G436),"",CAD_PROD!E436*G436))</f>
        <v/>
      </c>
      <c r="R436" s="68" t="str">
        <f>IF(C436="","",IF(ISERROR(
CAD_PROD!E436*D436),"",CAD_PROD!E436*D436))</f>
        <v/>
      </c>
      <c r="S436" s="44" t="str">
        <f>IF(C436="","",IF(CAD_PROD!E436&gt;=P436,"Sim","Não"))</f>
        <v/>
      </c>
    </row>
    <row r="437" spans="1:19" ht="30" customHeight="1">
      <c r="A437" s="52">
        <f t="shared" si="18"/>
        <v>0</v>
      </c>
      <c r="B437" s="52">
        <f t="shared" si="19"/>
        <v>0</v>
      </c>
      <c r="C437" s="96" t="str">
        <f>IF(CAD_PROD!C437="","",CAD_PROD!C437)</f>
        <v/>
      </c>
      <c r="D437" s="75"/>
      <c r="E437" s="125"/>
      <c r="F437" s="125"/>
      <c r="G437" s="75"/>
      <c r="H437" s="75" t="str">
        <f>IF(C437="","",D437+CAD_PROD!D437*(E437+F437)+G437)</f>
        <v/>
      </c>
      <c r="I437" s="52">
        <v>9.9999999999999995E-7</v>
      </c>
      <c r="J437" s="68" t="str">
        <f>IF(ISERROR(
CAD_PROD!F437*E437),"",CAD_PROD!F437*E437)</f>
        <v/>
      </c>
      <c r="K437" s="68" t="str">
        <f>IF(ISERROR(
CAD_PROD!F437*F437),"",CAD_PROD!F437*F437)</f>
        <v/>
      </c>
      <c r="L437" s="68" t="str">
        <f>IF(ISERROR(
CAD_PROD!D437-H437),"",CAD_PROD!D437-H437)</f>
        <v/>
      </c>
      <c r="M437" s="57" t="str">
        <f>IF(ISERROR(
L437/CAD_PROD!D437),"",L437/CAD_PROD!D437)</f>
        <v/>
      </c>
      <c r="N437" s="68" t="str">
        <f>IF(ISERROR(
(P437*CAD_PROD!D437)),"",(P437*CAD_PROD!D437))</f>
        <v/>
      </c>
      <c r="O437" s="68" t="str">
        <f>IF(ISERROR(PE_GERAL!$J$7*CAD_PROD!G437),"",PE_GERAL!$J$7*CAD_PROD!G437)</f>
        <v/>
      </c>
      <c r="P437" s="101" t="str">
        <f t="shared" si="20"/>
        <v/>
      </c>
      <c r="Q437" s="68" t="str">
        <f>IF(C437="","",IF(ISERROR(
CAD_PROD!E437*G437),"",CAD_PROD!E437*G437))</f>
        <v/>
      </c>
      <c r="R437" s="68" t="str">
        <f>IF(C437="","",IF(ISERROR(
CAD_PROD!E437*D437),"",CAD_PROD!E437*D437))</f>
        <v/>
      </c>
      <c r="S437" s="44" t="str">
        <f>IF(C437="","",IF(CAD_PROD!E437&gt;=P437,"Sim","Não"))</f>
        <v/>
      </c>
    </row>
    <row r="438" spans="1:19" ht="30" customHeight="1">
      <c r="A438" s="52">
        <f t="shared" si="18"/>
        <v>0</v>
      </c>
      <c r="B438" s="52">
        <f t="shared" si="19"/>
        <v>0</v>
      </c>
      <c r="C438" s="96" t="str">
        <f>IF(CAD_PROD!C438="","",CAD_PROD!C438)</f>
        <v/>
      </c>
      <c r="D438" s="75"/>
      <c r="E438" s="125"/>
      <c r="F438" s="125"/>
      <c r="G438" s="75"/>
      <c r="H438" s="75" t="str">
        <f>IF(C438="","",D438+CAD_PROD!D438*(E438+F438)+G438)</f>
        <v/>
      </c>
      <c r="I438" s="52">
        <v>9.9999999999999995E-7</v>
      </c>
      <c r="J438" s="68" t="str">
        <f>IF(ISERROR(
CAD_PROD!F438*E438),"",CAD_PROD!F438*E438)</f>
        <v/>
      </c>
      <c r="K438" s="68" t="str">
        <f>IF(ISERROR(
CAD_PROD!F438*F438),"",CAD_PROD!F438*F438)</f>
        <v/>
      </c>
      <c r="L438" s="68" t="str">
        <f>IF(ISERROR(
CAD_PROD!D438-H438),"",CAD_PROD!D438-H438)</f>
        <v/>
      </c>
      <c r="M438" s="57" t="str">
        <f>IF(ISERROR(
L438/CAD_PROD!D438),"",L438/CAD_PROD!D438)</f>
        <v/>
      </c>
      <c r="N438" s="68" t="str">
        <f>IF(ISERROR(
(P438*CAD_PROD!D438)),"",(P438*CAD_PROD!D438))</f>
        <v/>
      </c>
      <c r="O438" s="68" t="str">
        <f>IF(ISERROR(PE_GERAL!$J$7*CAD_PROD!G438),"",PE_GERAL!$J$7*CAD_PROD!G438)</f>
        <v/>
      </c>
      <c r="P438" s="101" t="str">
        <f t="shared" si="20"/>
        <v/>
      </c>
      <c r="Q438" s="68" t="str">
        <f>IF(C438="","",IF(ISERROR(
CAD_PROD!E438*G438),"",CAD_PROD!E438*G438))</f>
        <v/>
      </c>
      <c r="R438" s="68" t="str">
        <f>IF(C438="","",IF(ISERROR(
CAD_PROD!E438*D438),"",CAD_PROD!E438*D438))</f>
        <v/>
      </c>
      <c r="S438" s="44" t="str">
        <f>IF(C438="","",IF(CAD_PROD!E438&gt;=P438,"Sim","Não"))</f>
        <v/>
      </c>
    </row>
    <row r="439" spans="1:19" ht="30" customHeight="1">
      <c r="A439" s="52">
        <f t="shared" si="18"/>
        <v>0</v>
      </c>
      <c r="B439" s="52">
        <f t="shared" si="19"/>
        <v>0</v>
      </c>
      <c r="C439" s="96" t="str">
        <f>IF(CAD_PROD!C439="","",CAD_PROD!C439)</f>
        <v/>
      </c>
      <c r="D439" s="75"/>
      <c r="E439" s="125"/>
      <c r="F439" s="125"/>
      <c r="G439" s="75"/>
      <c r="H439" s="75" t="str">
        <f>IF(C439="","",D439+CAD_PROD!D439*(E439+F439)+G439)</f>
        <v/>
      </c>
      <c r="I439" s="52">
        <v>9.9999999999999995E-7</v>
      </c>
      <c r="J439" s="68" t="str">
        <f>IF(ISERROR(
CAD_PROD!F439*E439),"",CAD_PROD!F439*E439)</f>
        <v/>
      </c>
      <c r="K439" s="68" t="str">
        <f>IF(ISERROR(
CAD_PROD!F439*F439),"",CAD_PROD!F439*F439)</f>
        <v/>
      </c>
      <c r="L439" s="68" t="str">
        <f>IF(ISERROR(
CAD_PROD!D439-H439),"",CAD_PROD!D439-H439)</f>
        <v/>
      </c>
      <c r="M439" s="57" t="str">
        <f>IF(ISERROR(
L439/CAD_PROD!D439),"",L439/CAD_PROD!D439)</f>
        <v/>
      </c>
      <c r="N439" s="68" t="str">
        <f>IF(ISERROR(
(P439*CAD_PROD!D439)),"",(P439*CAD_PROD!D439))</f>
        <v/>
      </c>
      <c r="O439" s="68" t="str">
        <f>IF(ISERROR(PE_GERAL!$J$7*CAD_PROD!G439),"",PE_GERAL!$J$7*CAD_PROD!G439)</f>
        <v/>
      </c>
      <c r="P439" s="101" t="str">
        <f t="shared" si="20"/>
        <v/>
      </c>
      <c r="Q439" s="68" t="str">
        <f>IF(C439="","",IF(ISERROR(
CAD_PROD!E439*G439),"",CAD_PROD!E439*G439))</f>
        <v/>
      </c>
      <c r="R439" s="68" t="str">
        <f>IF(C439="","",IF(ISERROR(
CAD_PROD!E439*D439),"",CAD_PROD!E439*D439))</f>
        <v/>
      </c>
      <c r="S439" s="44" t="str">
        <f>IF(C439="","",IF(CAD_PROD!E439&gt;=P439,"Sim","Não"))</f>
        <v/>
      </c>
    </row>
    <row r="440" spans="1:19" ht="30" customHeight="1">
      <c r="A440" s="52">
        <f t="shared" si="18"/>
        <v>0</v>
      </c>
      <c r="B440" s="52">
        <f t="shared" si="19"/>
        <v>0</v>
      </c>
      <c r="C440" s="96" t="str">
        <f>IF(CAD_PROD!C440="","",CAD_PROD!C440)</f>
        <v/>
      </c>
      <c r="D440" s="75"/>
      <c r="E440" s="125"/>
      <c r="F440" s="125"/>
      <c r="G440" s="75"/>
      <c r="H440" s="75" t="str">
        <f>IF(C440="","",D440+CAD_PROD!D440*(E440+F440)+G440)</f>
        <v/>
      </c>
      <c r="I440" s="52">
        <v>9.9999999999999995E-7</v>
      </c>
      <c r="J440" s="68" t="str">
        <f>IF(ISERROR(
CAD_PROD!F440*E440),"",CAD_PROD!F440*E440)</f>
        <v/>
      </c>
      <c r="K440" s="68" t="str">
        <f>IF(ISERROR(
CAD_PROD!F440*F440),"",CAD_PROD!F440*F440)</f>
        <v/>
      </c>
      <c r="L440" s="68" t="str">
        <f>IF(ISERROR(
CAD_PROD!D440-H440),"",CAD_PROD!D440-H440)</f>
        <v/>
      </c>
      <c r="M440" s="57" t="str">
        <f>IF(ISERROR(
L440/CAD_PROD!D440),"",L440/CAD_PROD!D440)</f>
        <v/>
      </c>
      <c r="N440" s="68" t="str">
        <f>IF(ISERROR(
(P440*CAD_PROD!D440)),"",(P440*CAD_PROD!D440))</f>
        <v/>
      </c>
      <c r="O440" s="68" t="str">
        <f>IF(ISERROR(PE_GERAL!$J$7*CAD_PROD!G440),"",PE_GERAL!$J$7*CAD_PROD!G440)</f>
        <v/>
      </c>
      <c r="P440" s="101" t="str">
        <f t="shared" si="20"/>
        <v/>
      </c>
      <c r="Q440" s="68" t="str">
        <f>IF(C440="","",IF(ISERROR(
CAD_PROD!E440*G440),"",CAD_PROD!E440*G440))</f>
        <v/>
      </c>
      <c r="R440" s="68" t="str">
        <f>IF(C440="","",IF(ISERROR(
CAD_PROD!E440*D440),"",CAD_PROD!E440*D440))</f>
        <v/>
      </c>
      <c r="S440" s="44" t="str">
        <f>IF(C440="","",IF(CAD_PROD!E440&gt;=P440,"Sim","Não"))</f>
        <v/>
      </c>
    </row>
    <row r="441" spans="1:19" ht="30" customHeight="1">
      <c r="A441" s="52">
        <f t="shared" si="18"/>
        <v>0</v>
      </c>
      <c r="B441" s="52">
        <f t="shared" si="19"/>
        <v>0</v>
      </c>
      <c r="C441" s="96" t="str">
        <f>IF(CAD_PROD!C441="","",CAD_PROD!C441)</f>
        <v/>
      </c>
      <c r="D441" s="75"/>
      <c r="E441" s="125"/>
      <c r="F441" s="125"/>
      <c r="G441" s="75"/>
      <c r="H441" s="75" t="str">
        <f>IF(C441="","",D441+CAD_PROD!D441*(E441+F441)+G441)</f>
        <v/>
      </c>
      <c r="I441" s="52">
        <v>9.9999999999999995E-7</v>
      </c>
      <c r="J441" s="68" t="str">
        <f>IF(ISERROR(
CAD_PROD!F441*E441),"",CAD_PROD!F441*E441)</f>
        <v/>
      </c>
      <c r="K441" s="68" t="str">
        <f>IF(ISERROR(
CAD_PROD!F441*F441),"",CAD_PROD!F441*F441)</f>
        <v/>
      </c>
      <c r="L441" s="68" t="str">
        <f>IF(ISERROR(
CAD_PROD!D441-H441),"",CAD_PROD!D441-H441)</f>
        <v/>
      </c>
      <c r="M441" s="57" t="str">
        <f>IF(ISERROR(
L441/CAD_PROD!D441),"",L441/CAD_PROD!D441)</f>
        <v/>
      </c>
      <c r="N441" s="68" t="str">
        <f>IF(ISERROR(
(P441*CAD_PROD!D441)),"",(P441*CAD_PROD!D441))</f>
        <v/>
      </c>
      <c r="O441" s="68" t="str">
        <f>IF(ISERROR(PE_GERAL!$J$7*CAD_PROD!G441),"",PE_GERAL!$J$7*CAD_PROD!G441)</f>
        <v/>
      </c>
      <c r="P441" s="101" t="str">
        <f t="shared" si="20"/>
        <v/>
      </c>
      <c r="Q441" s="68" t="str">
        <f>IF(C441="","",IF(ISERROR(
CAD_PROD!E441*G441),"",CAD_PROD!E441*G441))</f>
        <v/>
      </c>
      <c r="R441" s="68" t="str">
        <f>IF(C441="","",IF(ISERROR(
CAD_PROD!E441*D441),"",CAD_PROD!E441*D441))</f>
        <v/>
      </c>
      <c r="S441" s="44" t="str">
        <f>IF(C441="","",IF(CAD_PROD!E441&gt;=P441,"Sim","Não"))</f>
        <v/>
      </c>
    </row>
    <row r="442" spans="1:19" ht="30" customHeight="1">
      <c r="A442" s="52">
        <f t="shared" si="18"/>
        <v>0</v>
      </c>
      <c r="B442" s="52">
        <f t="shared" si="19"/>
        <v>0</v>
      </c>
      <c r="C442" s="96" t="str">
        <f>IF(CAD_PROD!C442="","",CAD_PROD!C442)</f>
        <v/>
      </c>
      <c r="D442" s="75"/>
      <c r="E442" s="125"/>
      <c r="F442" s="125"/>
      <c r="G442" s="75"/>
      <c r="H442" s="75" t="str">
        <f>IF(C442="","",D442+CAD_PROD!D442*(E442+F442)+G442)</f>
        <v/>
      </c>
      <c r="I442" s="52">
        <v>9.9999999999999995E-7</v>
      </c>
      <c r="J442" s="68" t="str">
        <f>IF(ISERROR(
CAD_PROD!F442*E442),"",CAD_PROD!F442*E442)</f>
        <v/>
      </c>
      <c r="K442" s="68" t="str">
        <f>IF(ISERROR(
CAD_PROD!F442*F442),"",CAD_PROD!F442*F442)</f>
        <v/>
      </c>
      <c r="L442" s="68" t="str">
        <f>IF(ISERROR(
CAD_PROD!D442-H442),"",CAD_PROD!D442-H442)</f>
        <v/>
      </c>
      <c r="M442" s="57" t="str">
        <f>IF(ISERROR(
L442/CAD_PROD!D442),"",L442/CAD_PROD!D442)</f>
        <v/>
      </c>
      <c r="N442" s="68" t="str">
        <f>IF(ISERROR(
(P442*CAD_PROD!D442)),"",(P442*CAD_PROD!D442))</f>
        <v/>
      </c>
      <c r="O442" s="68" t="str">
        <f>IF(ISERROR(PE_GERAL!$J$7*CAD_PROD!G442),"",PE_GERAL!$J$7*CAD_PROD!G442)</f>
        <v/>
      </c>
      <c r="P442" s="101" t="str">
        <f t="shared" si="20"/>
        <v/>
      </c>
      <c r="Q442" s="68" t="str">
        <f>IF(C442="","",IF(ISERROR(
CAD_PROD!E442*G442),"",CAD_PROD!E442*G442))</f>
        <v/>
      </c>
      <c r="R442" s="68" t="str">
        <f>IF(C442="","",IF(ISERROR(
CAD_PROD!E442*D442),"",CAD_PROD!E442*D442))</f>
        <v/>
      </c>
      <c r="S442" s="44" t="str">
        <f>IF(C442="","",IF(CAD_PROD!E442&gt;=P442,"Sim","Não"))</f>
        <v/>
      </c>
    </row>
    <row r="443" spans="1:19" ht="30" customHeight="1">
      <c r="A443" s="52">
        <f t="shared" si="18"/>
        <v>0</v>
      </c>
      <c r="B443" s="52">
        <f t="shared" si="19"/>
        <v>0</v>
      </c>
      <c r="C443" s="96" t="str">
        <f>IF(CAD_PROD!C443="","",CAD_PROD!C443)</f>
        <v/>
      </c>
      <c r="D443" s="75"/>
      <c r="E443" s="125"/>
      <c r="F443" s="125"/>
      <c r="G443" s="75"/>
      <c r="H443" s="75" t="str">
        <f>IF(C443="","",D443+CAD_PROD!D443*(E443+F443)+G443)</f>
        <v/>
      </c>
      <c r="I443" s="52">
        <v>9.9999999999999995E-7</v>
      </c>
      <c r="J443" s="68" t="str">
        <f>IF(ISERROR(
CAD_PROD!F443*E443),"",CAD_PROD!F443*E443)</f>
        <v/>
      </c>
      <c r="K443" s="68" t="str">
        <f>IF(ISERROR(
CAD_PROD!F443*F443),"",CAD_PROD!F443*F443)</f>
        <v/>
      </c>
      <c r="L443" s="68" t="str">
        <f>IF(ISERROR(
CAD_PROD!D443-H443),"",CAD_PROD!D443-H443)</f>
        <v/>
      </c>
      <c r="M443" s="57" t="str">
        <f>IF(ISERROR(
L443/CAD_PROD!D443),"",L443/CAD_PROD!D443)</f>
        <v/>
      </c>
      <c r="N443" s="68" t="str">
        <f>IF(ISERROR(
(P443*CAD_PROD!D443)),"",(P443*CAD_PROD!D443))</f>
        <v/>
      </c>
      <c r="O443" s="68" t="str">
        <f>IF(ISERROR(PE_GERAL!$J$7*CAD_PROD!G443),"",PE_GERAL!$J$7*CAD_PROD!G443)</f>
        <v/>
      </c>
      <c r="P443" s="101" t="str">
        <f t="shared" si="20"/>
        <v/>
      </c>
      <c r="Q443" s="68" t="str">
        <f>IF(C443="","",IF(ISERROR(
CAD_PROD!E443*G443),"",CAD_PROD!E443*G443))</f>
        <v/>
      </c>
      <c r="R443" s="68" t="str">
        <f>IF(C443="","",IF(ISERROR(
CAD_PROD!E443*D443),"",CAD_PROD!E443*D443))</f>
        <v/>
      </c>
      <c r="S443" s="44" t="str">
        <f>IF(C443="","",IF(CAD_PROD!E443&gt;=P443,"Sim","Não"))</f>
        <v/>
      </c>
    </row>
    <row r="444" spans="1:19" ht="30" customHeight="1">
      <c r="A444" s="52">
        <f t="shared" si="18"/>
        <v>0</v>
      </c>
      <c r="B444" s="52">
        <f t="shared" si="19"/>
        <v>0</v>
      </c>
      <c r="C444" s="96" t="str">
        <f>IF(CAD_PROD!C444="","",CAD_PROD!C444)</f>
        <v/>
      </c>
      <c r="D444" s="75"/>
      <c r="E444" s="125"/>
      <c r="F444" s="125"/>
      <c r="G444" s="75"/>
      <c r="H444" s="75" t="str">
        <f>IF(C444="","",D444+CAD_PROD!D444*(E444+F444)+G444)</f>
        <v/>
      </c>
      <c r="I444" s="52">
        <v>9.9999999999999995E-7</v>
      </c>
      <c r="J444" s="68" t="str">
        <f>IF(ISERROR(
CAD_PROD!F444*E444),"",CAD_PROD!F444*E444)</f>
        <v/>
      </c>
      <c r="K444" s="68" t="str">
        <f>IF(ISERROR(
CAD_PROD!F444*F444),"",CAD_PROD!F444*F444)</f>
        <v/>
      </c>
      <c r="L444" s="68" t="str">
        <f>IF(ISERROR(
CAD_PROD!D444-H444),"",CAD_PROD!D444-H444)</f>
        <v/>
      </c>
      <c r="M444" s="57" t="str">
        <f>IF(ISERROR(
L444/CAD_PROD!D444),"",L444/CAD_PROD!D444)</f>
        <v/>
      </c>
      <c r="N444" s="68" t="str">
        <f>IF(ISERROR(
(P444*CAD_PROD!D444)),"",(P444*CAD_PROD!D444))</f>
        <v/>
      </c>
      <c r="O444" s="68" t="str">
        <f>IF(ISERROR(PE_GERAL!$J$7*CAD_PROD!G444),"",PE_GERAL!$J$7*CAD_PROD!G444)</f>
        <v/>
      </c>
      <c r="P444" s="101" t="str">
        <f t="shared" si="20"/>
        <v/>
      </c>
      <c r="Q444" s="68" t="str">
        <f>IF(C444="","",IF(ISERROR(
CAD_PROD!E444*G444),"",CAD_PROD!E444*G444))</f>
        <v/>
      </c>
      <c r="R444" s="68" t="str">
        <f>IF(C444="","",IF(ISERROR(
CAD_PROD!E444*D444),"",CAD_PROD!E444*D444))</f>
        <v/>
      </c>
      <c r="S444" s="44" t="str">
        <f>IF(C444="","",IF(CAD_PROD!E444&gt;=P444,"Sim","Não"))</f>
        <v/>
      </c>
    </row>
    <row r="445" spans="1:19" ht="30" customHeight="1">
      <c r="A445" s="52">
        <f t="shared" si="18"/>
        <v>0</v>
      </c>
      <c r="B445" s="52">
        <f t="shared" si="19"/>
        <v>0</v>
      </c>
      <c r="C445" s="96" t="str">
        <f>IF(CAD_PROD!C445="","",CAD_PROD!C445)</f>
        <v/>
      </c>
      <c r="D445" s="75"/>
      <c r="E445" s="125"/>
      <c r="F445" s="125"/>
      <c r="G445" s="75"/>
      <c r="H445" s="75" t="str">
        <f>IF(C445="","",D445+CAD_PROD!D445*(E445+F445)+G445)</f>
        <v/>
      </c>
      <c r="I445" s="52">
        <v>9.9999999999999995E-7</v>
      </c>
      <c r="J445" s="68" t="str">
        <f>IF(ISERROR(
CAD_PROD!F445*E445),"",CAD_PROD!F445*E445)</f>
        <v/>
      </c>
      <c r="K445" s="68" t="str">
        <f>IF(ISERROR(
CAD_PROD!F445*F445),"",CAD_PROD!F445*F445)</f>
        <v/>
      </c>
      <c r="L445" s="68" t="str">
        <f>IF(ISERROR(
CAD_PROD!D445-H445),"",CAD_PROD!D445-H445)</f>
        <v/>
      </c>
      <c r="M445" s="57" t="str">
        <f>IF(ISERROR(
L445/CAD_PROD!D445),"",L445/CAD_PROD!D445)</f>
        <v/>
      </c>
      <c r="N445" s="68" t="str">
        <f>IF(ISERROR(
(P445*CAD_PROD!D445)),"",(P445*CAD_PROD!D445))</f>
        <v/>
      </c>
      <c r="O445" s="68" t="str">
        <f>IF(ISERROR(PE_GERAL!$J$7*CAD_PROD!G445),"",PE_GERAL!$J$7*CAD_PROD!G445)</f>
        <v/>
      </c>
      <c r="P445" s="101" t="str">
        <f t="shared" si="20"/>
        <v/>
      </c>
      <c r="Q445" s="68" t="str">
        <f>IF(C445="","",IF(ISERROR(
CAD_PROD!E445*G445),"",CAD_PROD!E445*G445))</f>
        <v/>
      </c>
      <c r="R445" s="68" t="str">
        <f>IF(C445="","",IF(ISERROR(
CAD_PROD!E445*D445),"",CAD_PROD!E445*D445))</f>
        <v/>
      </c>
      <c r="S445" s="44" t="str">
        <f>IF(C445="","",IF(CAD_PROD!E445&gt;=P445,"Sim","Não"))</f>
        <v/>
      </c>
    </row>
    <row r="446" spans="1:19" ht="30" customHeight="1">
      <c r="A446" s="52">
        <f t="shared" si="18"/>
        <v>0</v>
      </c>
      <c r="B446" s="52">
        <f t="shared" si="19"/>
        <v>0</v>
      </c>
      <c r="C446" s="96" t="str">
        <f>IF(CAD_PROD!C446="","",CAD_PROD!C446)</f>
        <v/>
      </c>
      <c r="D446" s="75"/>
      <c r="E446" s="125"/>
      <c r="F446" s="125"/>
      <c r="G446" s="75"/>
      <c r="H446" s="75" t="str">
        <f>IF(C446="","",D446+CAD_PROD!D446*(E446+F446)+G446)</f>
        <v/>
      </c>
      <c r="I446" s="52">
        <v>9.9999999999999995E-7</v>
      </c>
      <c r="J446" s="68" t="str">
        <f>IF(ISERROR(
CAD_PROD!F446*E446),"",CAD_PROD!F446*E446)</f>
        <v/>
      </c>
      <c r="K446" s="68" t="str">
        <f>IF(ISERROR(
CAD_PROD!F446*F446),"",CAD_PROD!F446*F446)</f>
        <v/>
      </c>
      <c r="L446" s="68" t="str">
        <f>IF(ISERROR(
CAD_PROD!D446-H446),"",CAD_PROD!D446-H446)</f>
        <v/>
      </c>
      <c r="M446" s="57" t="str">
        <f>IF(ISERROR(
L446/CAD_PROD!D446),"",L446/CAD_PROD!D446)</f>
        <v/>
      </c>
      <c r="N446" s="68" t="str">
        <f>IF(ISERROR(
(P446*CAD_PROD!D446)),"",(P446*CAD_PROD!D446))</f>
        <v/>
      </c>
      <c r="O446" s="68" t="str">
        <f>IF(ISERROR(PE_GERAL!$J$7*CAD_PROD!G446),"",PE_GERAL!$J$7*CAD_PROD!G446)</f>
        <v/>
      </c>
      <c r="P446" s="101" t="str">
        <f t="shared" si="20"/>
        <v/>
      </c>
      <c r="Q446" s="68" t="str">
        <f>IF(C446="","",IF(ISERROR(
CAD_PROD!E446*G446),"",CAD_PROD!E446*G446))</f>
        <v/>
      </c>
      <c r="R446" s="68" t="str">
        <f>IF(C446="","",IF(ISERROR(
CAD_PROD!E446*D446),"",CAD_PROD!E446*D446))</f>
        <v/>
      </c>
      <c r="S446" s="44" t="str">
        <f>IF(C446="","",IF(CAD_PROD!E446&gt;=P446,"Sim","Não"))</f>
        <v/>
      </c>
    </row>
    <row r="447" spans="1:19" ht="30" customHeight="1">
      <c r="A447" s="52">
        <f t="shared" si="18"/>
        <v>0</v>
      </c>
      <c r="B447" s="52">
        <f t="shared" si="19"/>
        <v>0</v>
      </c>
      <c r="C447" s="96" t="str">
        <f>IF(CAD_PROD!C447="","",CAD_PROD!C447)</f>
        <v/>
      </c>
      <c r="D447" s="75"/>
      <c r="E447" s="125"/>
      <c r="F447" s="125"/>
      <c r="G447" s="75"/>
      <c r="H447" s="75" t="str">
        <f>IF(C447="","",D447+CAD_PROD!D447*(E447+F447)+G447)</f>
        <v/>
      </c>
      <c r="I447" s="52">
        <v>9.9999999999999995E-7</v>
      </c>
      <c r="J447" s="68" t="str">
        <f>IF(ISERROR(
CAD_PROD!F447*E447),"",CAD_PROD!F447*E447)</f>
        <v/>
      </c>
      <c r="K447" s="68" t="str">
        <f>IF(ISERROR(
CAD_PROD!F447*F447),"",CAD_PROD!F447*F447)</f>
        <v/>
      </c>
      <c r="L447" s="68" t="str">
        <f>IF(ISERROR(
CAD_PROD!D447-H447),"",CAD_PROD!D447-H447)</f>
        <v/>
      </c>
      <c r="M447" s="57" t="str">
        <f>IF(ISERROR(
L447/CAD_PROD!D447),"",L447/CAD_PROD!D447)</f>
        <v/>
      </c>
      <c r="N447" s="68" t="str">
        <f>IF(ISERROR(
(P447*CAD_PROD!D447)),"",(P447*CAD_PROD!D447))</f>
        <v/>
      </c>
      <c r="O447" s="68" t="str">
        <f>IF(ISERROR(PE_GERAL!$J$7*CAD_PROD!G447),"",PE_GERAL!$J$7*CAD_PROD!G447)</f>
        <v/>
      </c>
      <c r="P447" s="101" t="str">
        <f t="shared" si="20"/>
        <v/>
      </c>
      <c r="Q447" s="68" t="str">
        <f>IF(C447="","",IF(ISERROR(
CAD_PROD!E447*G447),"",CAD_PROD!E447*G447))</f>
        <v/>
      </c>
      <c r="R447" s="68" t="str">
        <f>IF(C447="","",IF(ISERROR(
CAD_PROD!E447*D447),"",CAD_PROD!E447*D447))</f>
        <v/>
      </c>
      <c r="S447" s="44" t="str">
        <f>IF(C447="","",IF(CAD_PROD!E447&gt;=P447,"Sim","Não"))</f>
        <v/>
      </c>
    </row>
    <row r="448" spans="1:19" ht="30" customHeight="1">
      <c r="A448" s="52">
        <f t="shared" si="18"/>
        <v>0</v>
      </c>
      <c r="B448" s="52">
        <f t="shared" si="19"/>
        <v>0</v>
      </c>
      <c r="C448" s="96" t="str">
        <f>IF(CAD_PROD!C448="","",CAD_PROD!C448)</f>
        <v/>
      </c>
      <c r="D448" s="75"/>
      <c r="E448" s="125"/>
      <c r="F448" s="125"/>
      <c r="G448" s="75"/>
      <c r="H448" s="75" t="str">
        <f>IF(C448="","",D448+CAD_PROD!D448*(E448+F448)+G448)</f>
        <v/>
      </c>
      <c r="I448" s="52">
        <v>9.9999999999999995E-7</v>
      </c>
      <c r="J448" s="68" t="str">
        <f>IF(ISERROR(
CAD_PROD!F448*E448),"",CAD_PROD!F448*E448)</f>
        <v/>
      </c>
      <c r="K448" s="68" t="str">
        <f>IF(ISERROR(
CAD_PROD!F448*F448),"",CAD_PROD!F448*F448)</f>
        <v/>
      </c>
      <c r="L448" s="68" t="str">
        <f>IF(ISERROR(
CAD_PROD!D448-H448),"",CAD_PROD!D448-H448)</f>
        <v/>
      </c>
      <c r="M448" s="57" t="str">
        <f>IF(ISERROR(
L448/CAD_PROD!D448),"",L448/CAD_PROD!D448)</f>
        <v/>
      </c>
      <c r="N448" s="68" t="str">
        <f>IF(ISERROR(
(P448*CAD_PROD!D448)),"",(P448*CAD_PROD!D448))</f>
        <v/>
      </c>
      <c r="O448" s="68" t="str">
        <f>IF(ISERROR(PE_GERAL!$J$7*CAD_PROD!G448),"",PE_GERAL!$J$7*CAD_PROD!G448)</f>
        <v/>
      </c>
      <c r="P448" s="101" t="str">
        <f t="shared" si="20"/>
        <v/>
      </c>
      <c r="Q448" s="68" t="str">
        <f>IF(C448="","",IF(ISERROR(
CAD_PROD!E448*G448),"",CAD_PROD!E448*G448))</f>
        <v/>
      </c>
      <c r="R448" s="68" t="str">
        <f>IF(C448="","",IF(ISERROR(
CAD_PROD!E448*D448),"",CAD_PROD!E448*D448))</f>
        <v/>
      </c>
      <c r="S448" s="44" t="str">
        <f>IF(C448="","",IF(CAD_PROD!E448&gt;=P448,"Sim","Não"))</f>
        <v/>
      </c>
    </row>
    <row r="449" spans="1:19" ht="30" customHeight="1">
      <c r="A449" s="52">
        <f t="shared" si="18"/>
        <v>0</v>
      </c>
      <c r="B449" s="52">
        <f t="shared" si="19"/>
        <v>0</v>
      </c>
      <c r="C449" s="96" t="str">
        <f>IF(CAD_PROD!C449="","",CAD_PROD!C449)</f>
        <v/>
      </c>
      <c r="D449" s="75"/>
      <c r="E449" s="125"/>
      <c r="F449" s="125"/>
      <c r="G449" s="75"/>
      <c r="H449" s="75" t="str">
        <f>IF(C449="","",D449+CAD_PROD!D449*(E449+F449)+G449)</f>
        <v/>
      </c>
      <c r="I449" s="52">
        <v>9.9999999999999995E-7</v>
      </c>
      <c r="J449" s="68" t="str">
        <f>IF(ISERROR(
CAD_PROD!F449*E449),"",CAD_PROD!F449*E449)</f>
        <v/>
      </c>
      <c r="K449" s="68" t="str">
        <f>IF(ISERROR(
CAD_PROD!F449*F449),"",CAD_PROD!F449*F449)</f>
        <v/>
      </c>
      <c r="L449" s="68" t="str">
        <f>IF(ISERROR(
CAD_PROD!D449-H449),"",CAD_PROD!D449-H449)</f>
        <v/>
      </c>
      <c r="M449" s="57" t="str">
        <f>IF(ISERROR(
L449/CAD_PROD!D449),"",L449/CAD_PROD!D449)</f>
        <v/>
      </c>
      <c r="N449" s="68" t="str">
        <f>IF(ISERROR(
(P449*CAD_PROD!D449)),"",(P449*CAD_PROD!D449))</f>
        <v/>
      </c>
      <c r="O449" s="68" t="str">
        <f>IF(ISERROR(PE_GERAL!$J$7*CAD_PROD!G449),"",PE_GERAL!$J$7*CAD_PROD!G449)</f>
        <v/>
      </c>
      <c r="P449" s="101" t="str">
        <f t="shared" si="20"/>
        <v/>
      </c>
      <c r="Q449" s="68" t="str">
        <f>IF(C449="","",IF(ISERROR(
CAD_PROD!E449*G449),"",CAD_PROD!E449*G449))</f>
        <v/>
      </c>
      <c r="R449" s="68" t="str">
        <f>IF(C449="","",IF(ISERROR(
CAD_PROD!E449*D449),"",CAD_PROD!E449*D449))</f>
        <v/>
      </c>
      <c r="S449" s="44" t="str">
        <f>IF(C449="","",IF(CAD_PROD!E449&gt;=P449,"Sim","Não"))</f>
        <v/>
      </c>
    </row>
    <row r="450" spans="1:19" ht="30" customHeight="1">
      <c r="A450" s="52">
        <f t="shared" si="18"/>
        <v>0</v>
      </c>
      <c r="B450" s="52">
        <f t="shared" si="19"/>
        <v>0</v>
      </c>
      <c r="C450" s="96" t="str">
        <f>IF(CAD_PROD!C450="","",CAD_PROD!C450)</f>
        <v/>
      </c>
      <c r="D450" s="75"/>
      <c r="E450" s="125"/>
      <c r="F450" s="125"/>
      <c r="G450" s="75"/>
      <c r="H450" s="75" t="str">
        <f>IF(C450="","",D450+CAD_PROD!D450*(E450+F450)+G450)</f>
        <v/>
      </c>
      <c r="I450" s="52">
        <v>9.9999999999999995E-7</v>
      </c>
      <c r="J450" s="68" t="str">
        <f>IF(ISERROR(
CAD_PROD!F450*E450),"",CAD_PROD!F450*E450)</f>
        <v/>
      </c>
      <c r="K450" s="68" t="str">
        <f>IF(ISERROR(
CAD_PROD!F450*F450),"",CAD_PROD!F450*F450)</f>
        <v/>
      </c>
      <c r="L450" s="68" t="str">
        <f>IF(ISERROR(
CAD_PROD!D450-H450),"",CAD_PROD!D450-H450)</f>
        <v/>
      </c>
      <c r="M450" s="57" t="str">
        <f>IF(ISERROR(
L450/CAD_PROD!D450),"",L450/CAD_PROD!D450)</f>
        <v/>
      </c>
      <c r="N450" s="68" t="str">
        <f>IF(ISERROR(
(P450*CAD_PROD!D450)),"",(P450*CAD_PROD!D450))</f>
        <v/>
      </c>
      <c r="O450" s="68" t="str">
        <f>IF(ISERROR(PE_GERAL!$J$7*CAD_PROD!G450),"",PE_GERAL!$J$7*CAD_PROD!G450)</f>
        <v/>
      </c>
      <c r="P450" s="101" t="str">
        <f t="shared" si="20"/>
        <v/>
      </c>
      <c r="Q450" s="68" t="str">
        <f>IF(C450="","",IF(ISERROR(
CAD_PROD!E450*G450),"",CAD_PROD!E450*G450))</f>
        <v/>
      </c>
      <c r="R450" s="68" t="str">
        <f>IF(C450="","",IF(ISERROR(
CAD_PROD!E450*D450),"",CAD_PROD!E450*D450))</f>
        <v/>
      </c>
      <c r="S450" s="44" t="str">
        <f>IF(C450="","",IF(CAD_PROD!E450&gt;=P450,"Sim","Não"))</f>
        <v/>
      </c>
    </row>
    <row r="451" spans="1:19" ht="30" customHeight="1">
      <c r="A451" s="52">
        <f t="shared" si="18"/>
        <v>0</v>
      </c>
      <c r="B451" s="52">
        <f t="shared" si="19"/>
        <v>0</v>
      </c>
      <c r="C451" s="96" t="str">
        <f>IF(CAD_PROD!C451="","",CAD_PROD!C451)</f>
        <v/>
      </c>
      <c r="D451" s="75"/>
      <c r="E451" s="125"/>
      <c r="F451" s="125"/>
      <c r="G451" s="75"/>
      <c r="H451" s="75" t="str">
        <f>IF(C451="","",D451+CAD_PROD!D451*(E451+F451)+G451)</f>
        <v/>
      </c>
      <c r="I451" s="52">
        <v>9.9999999999999995E-7</v>
      </c>
      <c r="J451" s="68" t="str">
        <f>IF(ISERROR(
CAD_PROD!F451*E451),"",CAD_PROD!F451*E451)</f>
        <v/>
      </c>
      <c r="K451" s="68" t="str">
        <f>IF(ISERROR(
CAD_PROD!F451*F451),"",CAD_PROD!F451*F451)</f>
        <v/>
      </c>
      <c r="L451" s="68" t="str">
        <f>IF(ISERROR(
CAD_PROD!D451-H451),"",CAD_PROD!D451-H451)</f>
        <v/>
      </c>
      <c r="M451" s="57" t="str">
        <f>IF(ISERROR(
L451/CAD_PROD!D451),"",L451/CAD_PROD!D451)</f>
        <v/>
      </c>
      <c r="N451" s="68" t="str">
        <f>IF(ISERROR(
(P451*CAD_PROD!D451)),"",(P451*CAD_PROD!D451))</f>
        <v/>
      </c>
      <c r="O451" s="68" t="str">
        <f>IF(ISERROR(PE_GERAL!$J$7*CAD_PROD!G451),"",PE_GERAL!$J$7*CAD_PROD!G451)</f>
        <v/>
      </c>
      <c r="P451" s="101" t="str">
        <f t="shared" si="20"/>
        <v/>
      </c>
      <c r="Q451" s="68" t="str">
        <f>IF(C451="","",IF(ISERROR(
CAD_PROD!E451*G451),"",CAD_PROD!E451*G451))</f>
        <v/>
      </c>
      <c r="R451" s="68" t="str">
        <f>IF(C451="","",IF(ISERROR(
CAD_PROD!E451*D451),"",CAD_PROD!E451*D451))</f>
        <v/>
      </c>
      <c r="S451" s="44" t="str">
        <f>IF(C451="","",IF(CAD_PROD!E451&gt;=P451,"Sim","Não"))</f>
        <v/>
      </c>
    </row>
    <row r="452" spans="1:19" ht="30" customHeight="1">
      <c r="A452" s="52">
        <f t="shared" si="18"/>
        <v>0</v>
      </c>
      <c r="B452" s="52">
        <f t="shared" si="19"/>
        <v>0</v>
      </c>
      <c r="C452" s="96" t="str">
        <f>IF(CAD_PROD!C452="","",CAD_PROD!C452)</f>
        <v/>
      </c>
      <c r="D452" s="75"/>
      <c r="E452" s="125"/>
      <c r="F452" s="125"/>
      <c r="G452" s="75"/>
      <c r="H452" s="75" t="str">
        <f>IF(C452="","",D452+CAD_PROD!D452*(E452+F452)+G452)</f>
        <v/>
      </c>
      <c r="I452" s="52">
        <v>9.9999999999999995E-7</v>
      </c>
      <c r="J452" s="68" t="str">
        <f>IF(ISERROR(
CAD_PROD!F452*E452),"",CAD_PROD!F452*E452)</f>
        <v/>
      </c>
      <c r="K452" s="68" t="str">
        <f>IF(ISERROR(
CAD_PROD!F452*F452),"",CAD_PROD!F452*F452)</f>
        <v/>
      </c>
      <c r="L452" s="68" t="str">
        <f>IF(ISERROR(
CAD_PROD!D452-H452),"",CAD_PROD!D452-H452)</f>
        <v/>
      </c>
      <c r="M452" s="57" t="str">
        <f>IF(ISERROR(
L452/CAD_PROD!D452),"",L452/CAD_PROD!D452)</f>
        <v/>
      </c>
      <c r="N452" s="68" t="str">
        <f>IF(ISERROR(
(P452*CAD_PROD!D452)),"",(P452*CAD_PROD!D452))</f>
        <v/>
      </c>
      <c r="O452" s="68" t="str">
        <f>IF(ISERROR(PE_GERAL!$J$7*CAD_PROD!G452),"",PE_GERAL!$J$7*CAD_PROD!G452)</f>
        <v/>
      </c>
      <c r="P452" s="101" t="str">
        <f t="shared" si="20"/>
        <v/>
      </c>
      <c r="Q452" s="68" t="str">
        <f>IF(C452="","",IF(ISERROR(
CAD_PROD!E452*G452),"",CAD_PROD!E452*G452))</f>
        <v/>
      </c>
      <c r="R452" s="68" t="str">
        <f>IF(C452="","",IF(ISERROR(
CAD_PROD!E452*D452),"",CAD_PROD!E452*D452))</f>
        <v/>
      </c>
      <c r="S452" s="44" t="str">
        <f>IF(C452="","",IF(CAD_PROD!E452&gt;=P452,"Sim","Não"))</f>
        <v/>
      </c>
    </row>
    <row r="453" spans="1:19" ht="30" customHeight="1">
      <c r="A453" s="52">
        <f t="shared" si="18"/>
        <v>0</v>
      </c>
      <c r="B453" s="52">
        <f t="shared" si="19"/>
        <v>0</v>
      </c>
      <c r="C453" s="96" t="str">
        <f>IF(CAD_PROD!C453="","",CAD_PROD!C453)</f>
        <v/>
      </c>
      <c r="D453" s="75"/>
      <c r="E453" s="125"/>
      <c r="F453" s="125"/>
      <c r="G453" s="75"/>
      <c r="H453" s="75" t="str">
        <f>IF(C453="","",D453+CAD_PROD!D453*(E453+F453)+G453)</f>
        <v/>
      </c>
      <c r="I453" s="52">
        <v>9.9999999999999995E-7</v>
      </c>
      <c r="J453" s="68" t="str">
        <f>IF(ISERROR(
CAD_PROD!F453*E453),"",CAD_PROD!F453*E453)</f>
        <v/>
      </c>
      <c r="K453" s="68" t="str">
        <f>IF(ISERROR(
CAD_PROD!F453*F453),"",CAD_PROD!F453*F453)</f>
        <v/>
      </c>
      <c r="L453" s="68" t="str">
        <f>IF(ISERROR(
CAD_PROD!D453-H453),"",CAD_PROD!D453-H453)</f>
        <v/>
      </c>
      <c r="M453" s="57" t="str">
        <f>IF(ISERROR(
L453/CAD_PROD!D453),"",L453/CAD_PROD!D453)</f>
        <v/>
      </c>
      <c r="N453" s="68" t="str">
        <f>IF(ISERROR(
(P453*CAD_PROD!D453)),"",(P453*CAD_PROD!D453))</f>
        <v/>
      </c>
      <c r="O453" s="68" t="str">
        <f>IF(ISERROR(PE_GERAL!$J$7*CAD_PROD!G453),"",PE_GERAL!$J$7*CAD_PROD!G453)</f>
        <v/>
      </c>
      <c r="P453" s="101" t="str">
        <f t="shared" si="20"/>
        <v/>
      </c>
      <c r="Q453" s="68" t="str">
        <f>IF(C453="","",IF(ISERROR(
CAD_PROD!E453*G453),"",CAD_PROD!E453*G453))</f>
        <v/>
      </c>
      <c r="R453" s="68" t="str">
        <f>IF(C453="","",IF(ISERROR(
CAD_PROD!E453*D453),"",CAD_PROD!E453*D453))</f>
        <v/>
      </c>
      <c r="S453" s="44" t="str">
        <f>IF(C453="","",IF(CAD_PROD!E453&gt;=P453,"Sim","Não"))</f>
        <v/>
      </c>
    </row>
    <row r="454" spans="1:19" ht="30" customHeight="1">
      <c r="A454" s="52">
        <f t="shared" si="18"/>
        <v>0</v>
      </c>
      <c r="B454" s="52">
        <f t="shared" si="19"/>
        <v>0</v>
      </c>
      <c r="C454" s="96" t="str">
        <f>IF(CAD_PROD!C454="","",CAD_PROD!C454)</f>
        <v/>
      </c>
      <c r="D454" s="75"/>
      <c r="E454" s="125"/>
      <c r="F454" s="125"/>
      <c r="G454" s="75"/>
      <c r="H454" s="75" t="str">
        <f>IF(C454="","",D454+CAD_PROD!D454*(E454+F454)+G454)</f>
        <v/>
      </c>
      <c r="I454" s="52">
        <v>9.9999999999999995E-7</v>
      </c>
      <c r="J454" s="68" t="str">
        <f>IF(ISERROR(
CAD_PROD!F454*E454),"",CAD_PROD!F454*E454)</f>
        <v/>
      </c>
      <c r="K454" s="68" t="str">
        <f>IF(ISERROR(
CAD_PROD!F454*F454),"",CAD_PROD!F454*F454)</f>
        <v/>
      </c>
      <c r="L454" s="68" t="str">
        <f>IF(ISERROR(
CAD_PROD!D454-H454),"",CAD_PROD!D454-H454)</f>
        <v/>
      </c>
      <c r="M454" s="57" t="str">
        <f>IF(ISERROR(
L454/CAD_PROD!D454),"",L454/CAD_PROD!D454)</f>
        <v/>
      </c>
      <c r="N454" s="68" t="str">
        <f>IF(ISERROR(
(P454*CAD_PROD!D454)),"",(P454*CAD_PROD!D454))</f>
        <v/>
      </c>
      <c r="O454" s="68" t="str">
        <f>IF(ISERROR(PE_GERAL!$J$7*CAD_PROD!G454),"",PE_GERAL!$J$7*CAD_PROD!G454)</f>
        <v/>
      </c>
      <c r="P454" s="101" t="str">
        <f t="shared" si="20"/>
        <v/>
      </c>
      <c r="Q454" s="68" t="str">
        <f>IF(C454="","",IF(ISERROR(
CAD_PROD!E454*G454),"",CAD_PROD!E454*G454))</f>
        <v/>
      </c>
      <c r="R454" s="68" t="str">
        <f>IF(C454="","",IF(ISERROR(
CAD_PROD!E454*D454),"",CAD_PROD!E454*D454))</f>
        <v/>
      </c>
      <c r="S454" s="44" t="str">
        <f>IF(C454="","",IF(CAD_PROD!E454&gt;=P454,"Sim","Não"))</f>
        <v/>
      </c>
    </row>
    <row r="455" spans="1:19" ht="30" customHeight="1">
      <c r="A455" s="52">
        <f t="shared" ref="A455:A505" si="21">IFERROR(L455+I455,0)</f>
        <v>0</v>
      </c>
      <c r="B455" s="52">
        <f t="shared" ref="B455:B505" si="22">IFERROR(H455+I455,0)</f>
        <v>0</v>
      </c>
      <c r="C455" s="96" t="str">
        <f>IF(CAD_PROD!C455="","",CAD_PROD!C455)</f>
        <v/>
      </c>
      <c r="D455" s="75"/>
      <c r="E455" s="125"/>
      <c r="F455" s="125"/>
      <c r="G455" s="75"/>
      <c r="H455" s="75" t="str">
        <f>IF(C455="","",D455+CAD_PROD!D455*(E455+F455)+G455)</f>
        <v/>
      </c>
      <c r="I455" s="52">
        <v>9.9999999999999995E-7</v>
      </c>
      <c r="J455" s="68" t="str">
        <f>IF(ISERROR(
CAD_PROD!F455*E455),"",CAD_PROD!F455*E455)</f>
        <v/>
      </c>
      <c r="K455" s="68" t="str">
        <f>IF(ISERROR(
CAD_PROD!F455*F455),"",CAD_PROD!F455*F455)</f>
        <v/>
      </c>
      <c r="L455" s="68" t="str">
        <f>IF(ISERROR(
CAD_PROD!D455-H455),"",CAD_PROD!D455-H455)</f>
        <v/>
      </c>
      <c r="M455" s="57" t="str">
        <f>IF(ISERROR(
L455/CAD_PROD!D455),"",L455/CAD_PROD!D455)</f>
        <v/>
      </c>
      <c r="N455" s="68" t="str">
        <f>IF(ISERROR(
(P455*CAD_PROD!D455)),"",(P455*CAD_PROD!D455))</f>
        <v/>
      </c>
      <c r="O455" s="68" t="str">
        <f>IF(ISERROR(PE_GERAL!$J$7*CAD_PROD!G455),"",PE_GERAL!$J$7*CAD_PROD!G455)</f>
        <v/>
      </c>
      <c r="P455" s="101" t="str">
        <f t="shared" ref="P455:P505" si="23">IF(ISERROR(ROUNDUP(O455/L455,0)),"",ROUNDUP(O455/L455,0))</f>
        <v/>
      </c>
      <c r="Q455" s="68" t="str">
        <f>IF(C455="","",IF(ISERROR(
CAD_PROD!E455*G455),"",CAD_PROD!E455*G455))</f>
        <v/>
      </c>
      <c r="R455" s="68" t="str">
        <f>IF(C455="","",IF(ISERROR(
CAD_PROD!E455*D455),"",CAD_PROD!E455*D455))</f>
        <v/>
      </c>
      <c r="S455" s="44" t="str">
        <f>IF(C455="","",IF(CAD_PROD!E455&gt;=P455,"Sim","Não"))</f>
        <v/>
      </c>
    </row>
    <row r="456" spans="1:19" ht="30" customHeight="1">
      <c r="A456" s="52">
        <f t="shared" si="21"/>
        <v>0</v>
      </c>
      <c r="B456" s="52">
        <f t="shared" si="22"/>
        <v>0</v>
      </c>
      <c r="C456" s="96" t="str">
        <f>IF(CAD_PROD!C456="","",CAD_PROD!C456)</f>
        <v/>
      </c>
      <c r="D456" s="75"/>
      <c r="E456" s="125"/>
      <c r="F456" s="125"/>
      <c r="G456" s="75"/>
      <c r="H456" s="75" t="str">
        <f>IF(C456="","",D456+CAD_PROD!D456*(E456+F456)+G456)</f>
        <v/>
      </c>
      <c r="I456" s="52">
        <v>9.9999999999999995E-7</v>
      </c>
      <c r="J456" s="68" t="str">
        <f>IF(ISERROR(
CAD_PROD!F456*E456),"",CAD_PROD!F456*E456)</f>
        <v/>
      </c>
      <c r="K456" s="68" t="str">
        <f>IF(ISERROR(
CAD_PROD!F456*F456),"",CAD_PROD!F456*F456)</f>
        <v/>
      </c>
      <c r="L456" s="68" t="str">
        <f>IF(ISERROR(
CAD_PROD!D456-H456),"",CAD_PROD!D456-H456)</f>
        <v/>
      </c>
      <c r="M456" s="57" t="str">
        <f>IF(ISERROR(
L456/CAD_PROD!D456),"",L456/CAD_PROD!D456)</f>
        <v/>
      </c>
      <c r="N456" s="68" t="str">
        <f>IF(ISERROR(
(P456*CAD_PROD!D456)),"",(P456*CAD_PROD!D456))</f>
        <v/>
      </c>
      <c r="O456" s="68" t="str">
        <f>IF(ISERROR(PE_GERAL!$J$7*CAD_PROD!G456),"",PE_GERAL!$J$7*CAD_PROD!G456)</f>
        <v/>
      </c>
      <c r="P456" s="101" t="str">
        <f t="shared" si="23"/>
        <v/>
      </c>
      <c r="Q456" s="68" t="str">
        <f>IF(C456="","",IF(ISERROR(
CAD_PROD!E456*G456),"",CAD_PROD!E456*G456))</f>
        <v/>
      </c>
      <c r="R456" s="68" t="str">
        <f>IF(C456="","",IF(ISERROR(
CAD_PROD!E456*D456),"",CAD_PROD!E456*D456))</f>
        <v/>
      </c>
      <c r="S456" s="44" t="str">
        <f>IF(C456="","",IF(CAD_PROD!E456&gt;=P456,"Sim","Não"))</f>
        <v/>
      </c>
    </row>
    <row r="457" spans="1:19" ht="30" customHeight="1">
      <c r="A457" s="52">
        <f t="shared" si="21"/>
        <v>0</v>
      </c>
      <c r="B457" s="52">
        <f t="shared" si="22"/>
        <v>0</v>
      </c>
      <c r="C457" s="96" t="str">
        <f>IF(CAD_PROD!C457="","",CAD_PROD!C457)</f>
        <v/>
      </c>
      <c r="D457" s="75"/>
      <c r="E457" s="125"/>
      <c r="F457" s="125"/>
      <c r="G457" s="75"/>
      <c r="H457" s="75" t="str">
        <f>IF(C457="","",D457+CAD_PROD!D457*(E457+F457)+G457)</f>
        <v/>
      </c>
      <c r="I457" s="52">
        <v>9.9999999999999995E-7</v>
      </c>
      <c r="J457" s="68" t="str">
        <f>IF(ISERROR(
CAD_PROD!F457*E457),"",CAD_PROD!F457*E457)</f>
        <v/>
      </c>
      <c r="K457" s="68" t="str">
        <f>IF(ISERROR(
CAD_PROD!F457*F457),"",CAD_PROD!F457*F457)</f>
        <v/>
      </c>
      <c r="L457" s="68" t="str">
        <f>IF(ISERROR(
CAD_PROD!D457-H457),"",CAD_PROD!D457-H457)</f>
        <v/>
      </c>
      <c r="M457" s="57" t="str">
        <f>IF(ISERROR(
L457/CAD_PROD!D457),"",L457/CAD_PROD!D457)</f>
        <v/>
      </c>
      <c r="N457" s="68" t="str">
        <f>IF(ISERROR(
(P457*CAD_PROD!D457)),"",(P457*CAD_PROD!D457))</f>
        <v/>
      </c>
      <c r="O457" s="68" t="str">
        <f>IF(ISERROR(PE_GERAL!$J$7*CAD_PROD!G457),"",PE_GERAL!$J$7*CAD_PROD!G457)</f>
        <v/>
      </c>
      <c r="P457" s="101" t="str">
        <f t="shared" si="23"/>
        <v/>
      </c>
      <c r="Q457" s="68" t="str">
        <f>IF(C457="","",IF(ISERROR(
CAD_PROD!E457*G457),"",CAD_PROD!E457*G457))</f>
        <v/>
      </c>
      <c r="R457" s="68" t="str">
        <f>IF(C457="","",IF(ISERROR(
CAD_PROD!E457*D457),"",CAD_PROD!E457*D457))</f>
        <v/>
      </c>
      <c r="S457" s="44" t="str">
        <f>IF(C457="","",IF(CAD_PROD!E457&gt;=P457,"Sim","Não"))</f>
        <v/>
      </c>
    </row>
    <row r="458" spans="1:19" ht="30" customHeight="1">
      <c r="A458" s="52">
        <f t="shared" si="21"/>
        <v>0</v>
      </c>
      <c r="B458" s="52">
        <f t="shared" si="22"/>
        <v>0</v>
      </c>
      <c r="C458" s="96" t="str">
        <f>IF(CAD_PROD!C458="","",CAD_PROD!C458)</f>
        <v/>
      </c>
      <c r="D458" s="75"/>
      <c r="E458" s="125"/>
      <c r="F458" s="125"/>
      <c r="G458" s="75"/>
      <c r="H458" s="75" t="str">
        <f>IF(C458="","",D458+CAD_PROD!D458*(E458+F458)+G458)</f>
        <v/>
      </c>
      <c r="I458" s="52">
        <v>9.9999999999999995E-7</v>
      </c>
      <c r="J458" s="68" t="str">
        <f>IF(ISERROR(
CAD_PROD!F458*E458),"",CAD_PROD!F458*E458)</f>
        <v/>
      </c>
      <c r="K458" s="68" t="str">
        <f>IF(ISERROR(
CAD_PROD!F458*F458),"",CAD_PROD!F458*F458)</f>
        <v/>
      </c>
      <c r="L458" s="68" t="str">
        <f>IF(ISERROR(
CAD_PROD!D458-H458),"",CAD_PROD!D458-H458)</f>
        <v/>
      </c>
      <c r="M458" s="57" t="str">
        <f>IF(ISERROR(
L458/CAD_PROD!D458),"",L458/CAD_PROD!D458)</f>
        <v/>
      </c>
      <c r="N458" s="68" t="str">
        <f>IF(ISERROR(
(P458*CAD_PROD!D458)),"",(P458*CAD_PROD!D458))</f>
        <v/>
      </c>
      <c r="O458" s="68" t="str">
        <f>IF(ISERROR(PE_GERAL!$J$7*CAD_PROD!G458),"",PE_GERAL!$J$7*CAD_PROD!G458)</f>
        <v/>
      </c>
      <c r="P458" s="101" t="str">
        <f t="shared" si="23"/>
        <v/>
      </c>
      <c r="Q458" s="68" t="str">
        <f>IF(C458="","",IF(ISERROR(
CAD_PROD!E458*G458),"",CAD_PROD!E458*G458))</f>
        <v/>
      </c>
      <c r="R458" s="68" t="str">
        <f>IF(C458="","",IF(ISERROR(
CAD_PROD!E458*D458),"",CAD_PROD!E458*D458))</f>
        <v/>
      </c>
      <c r="S458" s="44" t="str">
        <f>IF(C458="","",IF(CAD_PROD!E458&gt;=P458,"Sim","Não"))</f>
        <v/>
      </c>
    </row>
    <row r="459" spans="1:19" ht="30" customHeight="1">
      <c r="A459" s="52">
        <f t="shared" si="21"/>
        <v>0</v>
      </c>
      <c r="B459" s="52">
        <f t="shared" si="22"/>
        <v>0</v>
      </c>
      <c r="C459" s="96" t="str">
        <f>IF(CAD_PROD!C459="","",CAD_PROD!C459)</f>
        <v/>
      </c>
      <c r="D459" s="75"/>
      <c r="E459" s="125"/>
      <c r="F459" s="125"/>
      <c r="G459" s="75"/>
      <c r="H459" s="75" t="str">
        <f>IF(C459="","",D459+CAD_PROD!D459*(E459+F459)+G459)</f>
        <v/>
      </c>
      <c r="I459" s="52">
        <v>9.9999999999999995E-7</v>
      </c>
      <c r="J459" s="68" t="str">
        <f>IF(ISERROR(
CAD_PROD!F459*E459),"",CAD_PROD!F459*E459)</f>
        <v/>
      </c>
      <c r="K459" s="68" t="str">
        <f>IF(ISERROR(
CAD_PROD!F459*F459),"",CAD_PROD!F459*F459)</f>
        <v/>
      </c>
      <c r="L459" s="68" t="str">
        <f>IF(ISERROR(
CAD_PROD!D459-H459),"",CAD_PROD!D459-H459)</f>
        <v/>
      </c>
      <c r="M459" s="57" t="str">
        <f>IF(ISERROR(
L459/CAD_PROD!D459),"",L459/CAD_PROD!D459)</f>
        <v/>
      </c>
      <c r="N459" s="68" t="str">
        <f>IF(ISERROR(
(P459*CAD_PROD!D459)),"",(P459*CAD_PROD!D459))</f>
        <v/>
      </c>
      <c r="O459" s="68" t="str">
        <f>IF(ISERROR(PE_GERAL!$J$7*CAD_PROD!G459),"",PE_GERAL!$J$7*CAD_PROD!G459)</f>
        <v/>
      </c>
      <c r="P459" s="101" t="str">
        <f t="shared" si="23"/>
        <v/>
      </c>
      <c r="Q459" s="68" t="str">
        <f>IF(C459="","",IF(ISERROR(
CAD_PROD!E459*G459),"",CAD_PROD!E459*G459))</f>
        <v/>
      </c>
      <c r="R459" s="68" t="str">
        <f>IF(C459="","",IF(ISERROR(
CAD_PROD!E459*D459),"",CAD_PROD!E459*D459))</f>
        <v/>
      </c>
      <c r="S459" s="44" t="str">
        <f>IF(C459="","",IF(CAD_PROD!E459&gt;=P459,"Sim","Não"))</f>
        <v/>
      </c>
    </row>
    <row r="460" spans="1:19" ht="30" customHeight="1">
      <c r="A460" s="52">
        <f t="shared" si="21"/>
        <v>0</v>
      </c>
      <c r="B460" s="52">
        <f t="shared" si="22"/>
        <v>0</v>
      </c>
      <c r="C460" s="96" t="str">
        <f>IF(CAD_PROD!C460="","",CAD_PROD!C460)</f>
        <v/>
      </c>
      <c r="D460" s="75"/>
      <c r="E460" s="125"/>
      <c r="F460" s="125"/>
      <c r="G460" s="75"/>
      <c r="H460" s="75" t="str">
        <f>IF(C460="","",D460+CAD_PROD!D460*(E460+F460)+G460)</f>
        <v/>
      </c>
      <c r="I460" s="52">
        <v>9.9999999999999995E-7</v>
      </c>
      <c r="J460" s="68" t="str">
        <f>IF(ISERROR(
CAD_PROD!F460*E460),"",CAD_PROD!F460*E460)</f>
        <v/>
      </c>
      <c r="K460" s="68" t="str">
        <f>IF(ISERROR(
CAD_PROD!F460*F460),"",CAD_PROD!F460*F460)</f>
        <v/>
      </c>
      <c r="L460" s="68" t="str">
        <f>IF(ISERROR(
CAD_PROD!D460-H460),"",CAD_PROD!D460-H460)</f>
        <v/>
      </c>
      <c r="M460" s="57" t="str">
        <f>IF(ISERROR(
L460/CAD_PROD!D460),"",L460/CAD_PROD!D460)</f>
        <v/>
      </c>
      <c r="N460" s="68" t="str">
        <f>IF(ISERROR(
(P460*CAD_PROD!D460)),"",(P460*CAD_PROD!D460))</f>
        <v/>
      </c>
      <c r="O460" s="68" t="str">
        <f>IF(ISERROR(PE_GERAL!$J$7*CAD_PROD!G460),"",PE_GERAL!$J$7*CAD_PROD!G460)</f>
        <v/>
      </c>
      <c r="P460" s="101" t="str">
        <f t="shared" si="23"/>
        <v/>
      </c>
      <c r="Q460" s="68" t="str">
        <f>IF(C460="","",IF(ISERROR(
CAD_PROD!E460*G460),"",CAD_PROD!E460*G460))</f>
        <v/>
      </c>
      <c r="R460" s="68" t="str">
        <f>IF(C460="","",IF(ISERROR(
CAD_PROD!E460*D460),"",CAD_PROD!E460*D460))</f>
        <v/>
      </c>
      <c r="S460" s="44" t="str">
        <f>IF(C460="","",IF(CAD_PROD!E460&gt;=P460,"Sim","Não"))</f>
        <v/>
      </c>
    </row>
    <row r="461" spans="1:19" ht="30" customHeight="1">
      <c r="A461" s="52">
        <f t="shared" si="21"/>
        <v>0</v>
      </c>
      <c r="B461" s="52">
        <f t="shared" si="22"/>
        <v>0</v>
      </c>
      <c r="C461" s="96" t="str">
        <f>IF(CAD_PROD!C461="","",CAD_PROD!C461)</f>
        <v/>
      </c>
      <c r="D461" s="75"/>
      <c r="E461" s="125"/>
      <c r="F461" s="125"/>
      <c r="G461" s="75"/>
      <c r="H461" s="75" t="str">
        <f>IF(C461="","",D461+CAD_PROD!D461*(E461+F461)+G461)</f>
        <v/>
      </c>
      <c r="I461" s="52">
        <v>9.9999999999999995E-7</v>
      </c>
      <c r="J461" s="68" t="str">
        <f>IF(ISERROR(
CAD_PROD!F461*E461),"",CAD_PROD!F461*E461)</f>
        <v/>
      </c>
      <c r="K461" s="68" t="str">
        <f>IF(ISERROR(
CAD_PROD!F461*F461),"",CAD_PROD!F461*F461)</f>
        <v/>
      </c>
      <c r="L461" s="68" t="str">
        <f>IF(ISERROR(
CAD_PROD!D461-H461),"",CAD_PROD!D461-H461)</f>
        <v/>
      </c>
      <c r="M461" s="57" t="str">
        <f>IF(ISERROR(
L461/CAD_PROD!D461),"",L461/CAD_PROD!D461)</f>
        <v/>
      </c>
      <c r="N461" s="68" t="str">
        <f>IF(ISERROR(
(P461*CAD_PROD!D461)),"",(P461*CAD_PROD!D461))</f>
        <v/>
      </c>
      <c r="O461" s="68" t="str">
        <f>IF(ISERROR(PE_GERAL!$J$7*CAD_PROD!G461),"",PE_GERAL!$J$7*CAD_PROD!G461)</f>
        <v/>
      </c>
      <c r="P461" s="101" t="str">
        <f t="shared" si="23"/>
        <v/>
      </c>
      <c r="Q461" s="68" t="str">
        <f>IF(C461="","",IF(ISERROR(
CAD_PROD!E461*G461),"",CAD_PROD!E461*G461))</f>
        <v/>
      </c>
      <c r="R461" s="68" t="str">
        <f>IF(C461="","",IF(ISERROR(
CAD_PROD!E461*D461),"",CAD_PROD!E461*D461))</f>
        <v/>
      </c>
      <c r="S461" s="44" t="str">
        <f>IF(C461="","",IF(CAD_PROD!E461&gt;=P461,"Sim","Não"))</f>
        <v/>
      </c>
    </row>
    <row r="462" spans="1:19" ht="30" customHeight="1">
      <c r="A462" s="52">
        <f t="shared" si="21"/>
        <v>0</v>
      </c>
      <c r="B462" s="52">
        <f t="shared" si="22"/>
        <v>0</v>
      </c>
      <c r="C462" s="96" t="str">
        <f>IF(CAD_PROD!C462="","",CAD_PROD!C462)</f>
        <v/>
      </c>
      <c r="D462" s="75"/>
      <c r="E462" s="125"/>
      <c r="F462" s="125"/>
      <c r="G462" s="75"/>
      <c r="H462" s="75" t="str">
        <f>IF(C462="","",D462+CAD_PROD!D462*(E462+F462)+G462)</f>
        <v/>
      </c>
      <c r="I462" s="52">
        <v>9.9999999999999995E-7</v>
      </c>
      <c r="J462" s="68" t="str">
        <f>IF(ISERROR(
CAD_PROD!F462*E462),"",CAD_PROD!F462*E462)</f>
        <v/>
      </c>
      <c r="K462" s="68" t="str">
        <f>IF(ISERROR(
CAD_PROD!F462*F462),"",CAD_PROD!F462*F462)</f>
        <v/>
      </c>
      <c r="L462" s="68" t="str">
        <f>IF(ISERROR(
CAD_PROD!D462-H462),"",CAD_PROD!D462-H462)</f>
        <v/>
      </c>
      <c r="M462" s="57" t="str">
        <f>IF(ISERROR(
L462/CAD_PROD!D462),"",L462/CAD_PROD!D462)</f>
        <v/>
      </c>
      <c r="N462" s="68" t="str">
        <f>IF(ISERROR(
(P462*CAD_PROD!D462)),"",(P462*CAD_PROD!D462))</f>
        <v/>
      </c>
      <c r="O462" s="68" t="str">
        <f>IF(ISERROR(PE_GERAL!$J$7*CAD_PROD!G462),"",PE_GERAL!$J$7*CAD_PROD!G462)</f>
        <v/>
      </c>
      <c r="P462" s="101" t="str">
        <f t="shared" si="23"/>
        <v/>
      </c>
      <c r="Q462" s="68" t="str">
        <f>IF(C462="","",IF(ISERROR(
CAD_PROD!E462*G462),"",CAD_PROD!E462*G462))</f>
        <v/>
      </c>
      <c r="R462" s="68" t="str">
        <f>IF(C462="","",IF(ISERROR(
CAD_PROD!E462*D462),"",CAD_PROD!E462*D462))</f>
        <v/>
      </c>
      <c r="S462" s="44" t="str">
        <f>IF(C462="","",IF(CAD_PROD!E462&gt;=P462,"Sim","Não"))</f>
        <v/>
      </c>
    </row>
    <row r="463" spans="1:19" ht="30" customHeight="1">
      <c r="A463" s="52">
        <f t="shared" si="21"/>
        <v>0</v>
      </c>
      <c r="B463" s="52">
        <f t="shared" si="22"/>
        <v>0</v>
      </c>
      <c r="C463" s="96" t="str">
        <f>IF(CAD_PROD!C463="","",CAD_PROD!C463)</f>
        <v/>
      </c>
      <c r="D463" s="75"/>
      <c r="E463" s="125"/>
      <c r="F463" s="125"/>
      <c r="G463" s="75"/>
      <c r="H463" s="75" t="str">
        <f>IF(C463="","",D463+CAD_PROD!D463*(E463+F463)+G463)</f>
        <v/>
      </c>
      <c r="I463" s="52">
        <v>9.9999999999999995E-7</v>
      </c>
      <c r="J463" s="68" t="str">
        <f>IF(ISERROR(
CAD_PROD!F463*E463),"",CAD_PROD!F463*E463)</f>
        <v/>
      </c>
      <c r="K463" s="68" t="str">
        <f>IF(ISERROR(
CAD_PROD!F463*F463),"",CAD_PROD!F463*F463)</f>
        <v/>
      </c>
      <c r="L463" s="68" t="str">
        <f>IF(ISERROR(
CAD_PROD!D463-H463),"",CAD_PROD!D463-H463)</f>
        <v/>
      </c>
      <c r="M463" s="57" t="str">
        <f>IF(ISERROR(
L463/CAD_PROD!D463),"",L463/CAD_PROD!D463)</f>
        <v/>
      </c>
      <c r="N463" s="68" t="str">
        <f>IF(ISERROR(
(P463*CAD_PROD!D463)),"",(P463*CAD_PROD!D463))</f>
        <v/>
      </c>
      <c r="O463" s="68" t="str">
        <f>IF(ISERROR(PE_GERAL!$J$7*CAD_PROD!G463),"",PE_GERAL!$J$7*CAD_PROD!G463)</f>
        <v/>
      </c>
      <c r="P463" s="101" t="str">
        <f t="shared" si="23"/>
        <v/>
      </c>
      <c r="Q463" s="68" t="str">
        <f>IF(C463="","",IF(ISERROR(
CAD_PROD!E463*G463),"",CAD_PROD!E463*G463))</f>
        <v/>
      </c>
      <c r="R463" s="68" t="str">
        <f>IF(C463="","",IF(ISERROR(
CAD_PROD!E463*D463),"",CAD_PROD!E463*D463))</f>
        <v/>
      </c>
      <c r="S463" s="44" t="str">
        <f>IF(C463="","",IF(CAD_PROD!E463&gt;=P463,"Sim","Não"))</f>
        <v/>
      </c>
    </row>
    <row r="464" spans="1:19" ht="30" customHeight="1">
      <c r="A464" s="52">
        <f t="shared" si="21"/>
        <v>0</v>
      </c>
      <c r="B464" s="52">
        <f t="shared" si="22"/>
        <v>0</v>
      </c>
      <c r="C464" s="96" t="str">
        <f>IF(CAD_PROD!C464="","",CAD_PROD!C464)</f>
        <v/>
      </c>
      <c r="D464" s="75"/>
      <c r="E464" s="125"/>
      <c r="F464" s="125"/>
      <c r="G464" s="75"/>
      <c r="H464" s="75" t="str">
        <f>IF(C464="","",D464+CAD_PROD!D464*(E464+F464)+G464)</f>
        <v/>
      </c>
      <c r="I464" s="52">
        <v>9.9999999999999995E-7</v>
      </c>
      <c r="J464" s="68" t="str">
        <f>IF(ISERROR(
CAD_PROD!F464*E464),"",CAD_PROD!F464*E464)</f>
        <v/>
      </c>
      <c r="K464" s="68" t="str">
        <f>IF(ISERROR(
CAD_PROD!F464*F464),"",CAD_PROD!F464*F464)</f>
        <v/>
      </c>
      <c r="L464" s="68" t="str">
        <f>IF(ISERROR(
CAD_PROD!D464-H464),"",CAD_PROD!D464-H464)</f>
        <v/>
      </c>
      <c r="M464" s="57" t="str">
        <f>IF(ISERROR(
L464/CAD_PROD!D464),"",L464/CAD_PROD!D464)</f>
        <v/>
      </c>
      <c r="N464" s="68" t="str">
        <f>IF(ISERROR(
(P464*CAD_PROD!D464)),"",(P464*CAD_PROD!D464))</f>
        <v/>
      </c>
      <c r="O464" s="68" t="str">
        <f>IF(ISERROR(PE_GERAL!$J$7*CAD_PROD!G464),"",PE_GERAL!$J$7*CAD_PROD!G464)</f>
        <v/>
      </c>
      <c r="P464" s="101" t="str">
        <f t="shared" si="23"/>
        <v/>
      </c>
      <c r="Q464" s="68" t="str">
        <f>IF(C464="","",IF(ISERROR(
CAD_PROD!E464*G464),"",CAD_PROD!E464*G464))</f>
        <v/>
      </c>
      <c r="R464" s="68" t="str">
        <f>IF(C464="","",IF(ISERROR(
CAD_PROD!E464*D464),"",CAD_PROD!E464*D464))</f>
        <v/>
      </c>
      <c r="S464" s="44" t="str">
        <f>IF(C464="","",IF(CAD_PROD!E464&gt;=P464,"Sim","Não"))</f>
        <v/>
      </c>
    </row>
    <row r="465" spans="1:19" ht="30" customHeight="1">
      <c r="A465" s="52">
        <f t="shared" si="21"/>
        <v>0</v>
      </c>
      <c r="B465" s="52">
        <f t="shared" si="22"/>
        <v>0</v>
      </c>
      <c r="C465" s="96" t="str">
        <f>IF(CAD_PROD!C465="","",CAD_PROD!C465)</f>
        <v/>
      </c>
      <c r="D465" s="75"/>
      <c r="E465" s="125"/>
      <c r="F465" s="125"/>
      <c r="G465" s="75"/>
      <c r="H465" s="75" t="str">
        <f>IF(C465="","",D465+CAD_PROD!D465*(E465+F465)+G465)</f>
        <v/>
      </c>
      <c r="I465" s="52">
        <v>9.9999999999999995E-7</v>
      </c>
      <c r="J465" s="68" t="str">
        <f>IF(ISERROR(
CAD_PROD!F465*E465),"",CAD_PROD!F465*E465)</f>
        <v/>
      </c>
      <c r="K465" s="68" t="str">
        <f>IF(ISERROR(
CAD_PROD!F465*F465),"",CAD_PROD!F465*F465)</f>
        <v/>
      </c>
      <c r="L465" s="68" t="str">
        <f>IF(ISERROR(
CAD_PROD!D465-H465),"",CAD_PROD!D465-H465)</f>
        <v/>
      </c>
      <c r="M465" s="57" t="str">
        <f>IF(ISERROR(
L465/CAD_PROD!D465),"",L465/CAD_PROD!D465)</f>
        <v/>
      </c>
      <c r="N465" s="68" t="str">
        <f>IF(ISERROR(
(P465*CAD_PROD!D465)),"",(P465*CAD_PROD!D465))</f>
        <v/>
      </c>
      <c r="O465" s="68" t="str">
        <f>IF(ISERROR(PE_GERAL!$J$7*CAD_PROD!G465),"",PE_GERAL!$J$7*CAD_PROD!G465)</f>
        <v/>
      </c>
      <c r="P465" s="101" t="str">
        <f t="shared" si="23"/>
        <v/>
      </c>
      <c r="Q465" s="68" t="str">
        <f>IF(C465="","",IF(ISERROR(
CAD_PROD!E465*G465),"",CAD_PROD!E465*G465))</f>
        <v/>
      </c>
      <c r="R465" s="68" t="str">
        <f>IF(C465="","",IF(ISERROR(
CAD_PROD!E465*D465),"",CAD_PROD!E465*D465))</f>
        <v/>
      </c>
      <c r="S465" s="44" t="str">
        <f>IF(C465="","",IF(CAD_PROD!E465&gt;=P465,"Sim","Não"))</f>
        <v/>
      </c>
    </row>
    <row r="466" spans="1:19" ht="30" customHeight="1">
      <c r="A466" s="52">
        <f t="shared" si="21"/>
        <v>0</v>
      </c>
      <c r="B466" s="52">
        <f t="shared" si="22"/>
        <v>0</v>
      </c>
      <c r="C466" s="96" t="str">
        <f>IF(CAD_PROD!C466="","",CAD_PROD!C466)</f>
        <v/>
      </c>
      <c r="D466" s="75"/>
      <c r="E466" s="125"/>
      <c r="F466" s="125"/>
      <c r="G466" s="75"/>
      <c r="H466" s="75" t="str">
        <f>IF(C466="","",D466+CAD_PROD!D466*(E466+F466)+G466)</f>
        <v/>
      </c>
      <c r="I466" s="52">
        <v>9.9999999999999995E-7</v>
      </c>
      <c r="J466" s="68" t="str">
        <f>IF(ISERROR(
CAD_PROD!F466*E466),"",CAD_PROD!F466*E466)</f>
        <v/>
      </c>
      <c r="K466" s="68" t="str">
        <f>IF(ISERROR(
CAD_PROD!F466*F466),"",CAD_PROD!F466*F466)</f>
        <v/>
      </c>
      <c r="L466" s="68" t="str">
        <f>IF(ISERROR(
CAD_PROD!D466-H466),"",CAD_PROD!D466-H466)</f>
        <v/>
      </c>
      <c r="M466" s="57" t="str">
        <f>IF(ISERROR(
L466/CAD_PROD!D466),"",L466/CAD_PROD!D466)</f>
        <v/>
      </c>
      <c r="N466" s="68" t="str">
        <f>IF(ISERROR(
(P466*CAD_PROD!D466)),"",(P466*CAD_PROD!D466))</f>
        <v/>
      </c>
      <c r="O466" s="68" t="str">
        <f>IF(ISERROR(PE_GERAL!$J$7*CAD_PROD!G466),"",PE_GERAL!$J$7*CAD_PROD!G466)</f>
        <v/>
      </c>
      <c r="P466" s="101" t="str">
        <f t="shared" si="23"/>
        <v/>
      </c>
      <c r="Q466" s="68" t="str">
        <f>IF(C466="","",IF(ISERROR(
CAD_PROD!E466*G466),"",CAD_PROD!E466*G466))</f>
        <v/>
      </c>
      <c r="R466" s="68" t="str">
        <f>IF(C466="","",IF(ISERROR(
CAD_PROD!E466*D466),"",CAD_PROD!E466*D466))</f>
        <v/>
      </c>
      <c r="S466" s="44" t="str">
        <f>IF(C466="","",IF(CAD_PROD!E466&gt;=P466,"Sim","Não"))</f>
        <v/>
      </c>
    </row>
    <row r="467" spans="1:19" ht="30" customHeight="1">
      <c r="A467" s="52">
        <f t="shared" si="21"/>
        <v>0</v>
      </c>
      <c r="B467" s="52">
        <f t="shared" si="22"/>
        <v>0</v>
      </c>
      <c r="C467" s="96" t="str">
        <f>IF(CAD_PROD!C467="","",CAD_PROD!C467)</f>
        <v/>
      </c>
      <c r="D467" s="75"/>
      <c r="E467" s="125"/>
      <c r="F467" s="125"/>
      <c r="G467" s="75"/>
      <c r="H467" s="75" t="str">
        <f>IF(C467="","",D467+CAD_PROD!D467*(E467+F467)+G467)</f>
        <v/>
      </c>
      <c r="I467" s="52">
        <v>9.9999999999999995E-7</v>
      </c>
      <c r="J467" s="68" t="str">
        <f>IF(ISERROR(
CAD_PROD!F467*E467),"",CAD_PROD!F467*E467)</f>
        <v/>
      </c>
      <c r="K467" s="68" t="str">
        <f>IF(ISERROR(
CAD_PROD!F467*F467),"",CAD_PROD!F467*F467)</f>
        <v/>
      </c>
      <c r="L467" s="68" t="str">
        <f>IF(ISERROR(
CAD_PROD!D467-H467),"",CAD_PROD!D467-H467)</f>
        <v/>
      </c>
      <c r="M467" s="57" t="str">
        <f>IF(ISERROR(
L467/CAD_PROD!D467),"",L467/CAD_PROD!D467)</f>
        <v/>
      </c>
      <c r="N467" s="68" t="str">
        <f>IF(ISERROR(
(P467*CAD_PROD!D467)),"",(P467*CAD_PROD!D467))</f>
        <v/>
      </c>
      <c r="O467" s="68" t="str">
        <f>IF(ISERROR(PE_GERAL!$J$7*CAD_PROD!G467),"",PE_GERAL!$J$7*CAD_PROD!G467)</f>
        <v/>
      </c>
      <c r="P467" s="101" t="str">
        <f t="shared" si="23"/>
        <v/>
      </c>
      <c r="Q467" s="68" t="str">
        <f>IF(C467="","",IF(ISERROR(
CAD_PROD!E467*G467),"",CAD_PROD!E467*G467))</f>
        <v/>
      </c>
      <c r="R467" s="68" t="str">
        <f>IF(C467="","",IF(ISERROR(
CAD_PROD!E467*D467),"",CAD_PROD!E467*D467))</f>
        <v/>
      </c>
      <c r="S467" s="44" t="str">
        <f>IF(C467="","",IF(CAD_PROD!E467&gt;=P467,"Sim","Não"))</f>
        <v/>
      </c>
    </row>
    <row r="468" spans="1:19" ht="30" customHeight="1">
      <c r="A468" s="52">
        <f t="shared" si="21"/>
        <v>0</v>
      </c>
      <c r="B468" s="52">
        <f t="shared" si="22"/>
        <v>0</v>
      </c>
      <c r="C468" s="96" t="str">
        <f>IF(CAD_PROD!C468="","",CAD_PROD!C468)</f>
        <v/>
      </c>
      <c r="D468" s="75"/>
      <c r="E468" s="125"/>
      <c r="F468" s="125"/>
      <c r="G468" s="75"/>
      <c r="H468" s="75" t="str">
        <f>IF(C468="","",D468+CAD_PROD!D468*(E468+F468)+G468)</f>
        <v/>
      </c>
      <c r="I468" s="52">
        <v>9.9999999999999995E-7</v>
      </c>
      <c r="J468" s="68" t="str">
        <f>IF(ISERROR(
CAD_PROD!F468*E468),"",CAD_PROD!F468*E468)</f>
        <v/>
      </c>
      <c r="K468" s="68" t="str">
        <f>IF(ISERROR(
CAD_PROD!F468*F468),"",CAD_PROD!F468*F468)</f>
        <v/>
      </c>
      <c r="L468" s="68" t="str">
        <f>IF(ISERROR(
CAD_PROD!D468-H468),"",CAD_PROD!D468-H468)</f>
        <v/>
      </c>
      <c r="M468" s="57" t="str">
        <f>IF(ISERROR(
L468/CAD_PROD!D468),"",L468/CAD_PROD!D468)</f>
        <v/>
      </c>
      <c r="N468" s="68" t="str">
        <f>IF(ISERROR(
(P468*CAD_PROD!D468)),"",(P468*CAD_PROD!D468))</f>
        <v/>
      </c>
      <c r="O468" s="68" t="str">
        <f>IF(ISERROR(PE_GERAL!$J$7*CAD_PROD!G468),"",PE_GERAL!$J$7*CAD_PROD!G468)</f>
        <v/>
      </c>
      <c r="P468" s="101" t="str">
        <f t="shared" si="23"/>
        <v/>
      </c>
      <c r="Q468" s="68" t="str">
        <f>IF(C468="","",IF(ISERROR(
CAD_PROD!E468*G468),"",CAD_PROD!E468*G468))</f>
        <v/>
      </c>
      <c r="R468" s="68" t="str">
        <f>IF(C468="","",IF(ISERROR(
CAD_PROD!E468*D468),"",CAD_PROD!E468*D468))</f>
        <v/>
      </c>
      <c r="S468" s="44" t="str">
        <f>IF(C468="","",IF(CAD_PROD!E468&gt;=P468,"Sim","Não"))</f>
        <v/>
      </c>
    </row>
    <row r="469" spans="1:19" ht="30" customHeight="1">
      <c r="A469" s="52">
        <f t="shared" si="21"/>
        <v>0</v>
      </c>
      <c r="B469" s="52">
        <f t="shared" si="22"/>
        <v>0</v>
      </c>
      <c r="C469" s="96" t="str">
        <f>IF(CAD_PROD!C469="","",CAD_PROD!C469)</f>
        <v/>
      </c>
      <c r="D469" s="75"/>
      <c r="E469" s="125"/>
      <c r="F469" s="125"/>
      <c r="G469" s="75"/>
      <c r="H469" s="75" t="str">
        <f>IF(C469="","",D469+CAD_PROD!D469*(E469+F469)+G469)</f>
        <v/>
      </c>
      <c r="I469" s="52">
        <v>9.9999999999999995E-7</v>
      </c>
      <c r="J469" s="68" t="str">
        <f>IF(ISERROR(
CAD_PROD!F469*E469),"",CAD_PROD!F469*E469)</f>
        <v/>
      </c>
      <c r="K469" s="68" t="str">
        <f>IF(ISERROR(
CAD_PROD!F469*F469),"",CAD_PROD!F469*F469)</f>
        <v/>
      </c>
      <c r="L469" s="68" t="str">
        <f>IF(ISERROR(
CAD_PROD!D469-H469),"",CAD_PROD!D469-H469)</f>
        <v/>
      </c>
      <c r="M469" s="57" t="str">
        <f>IF(ISERROR(
L469/CAD_PROD!D469),"",L469/CAD_PROD!D469)</f>
        <v/>
      </c>
      <c r="N469" s="68" t="str">
        <f>IF(ISERROR(
(P469*CAD_PROD!D469)),"",(P469*CAD_PROD!D469))</f>
        <v/>
      </c>
      <c r="O469" s="68" t="str">
        <f>IF(ISERROR(PE_GERAL!$J$7*CAD_PROD!G469),"",PE_GERAL!$J$7*CAD_PROD!G469)</f>
        <v/>
      </c>
      <c r="P469" s="101" t="str">
        <f t="shared" si="23"/>
        <v/>
      </c>
      <c r="Q469" s="68" t="str">
        <f>IF(C469="","",IF(ISERROR(
CAD_PROD!E469*G469),"",CAD_PROD!E469*G469))</f>
        <v/>
      </c>
      <c r="R469" s="68" t="str">
        <f>IF(C469="","",IF(ISERROR(
CAD_PROD!E469*D469),"",CAD_PROD!E469*D469))</f>
        <v/>
      </c>
      <c r="S469" s="44" t="str">
        <f>IF(C469="","",IF(CAD_PROD!E469&gt;=P469,"Sim","Não"))</f>
        <v/>
      </c>
    </row>
    <row r="470" spans="1:19" ht="30" customHeight="1">
      <c r="A470" s="52">
        <f t="shared" si="21"/>
        <v>0</v>
      </c>
      <c r="B470" s="52">
        <f t="shared" si="22"/>
        <v>0</v>
      </c>
      <c r="C470" s="96" t="str">
        <f>IF(CAD_PROD!C470="","",CAD_PROD!C470)</f>
        <v/>
      </c>
      <c r="D470" s="75"/>
      <c r="E470" s="125"/>
      <c r="F470" s="125"/>
      <c r="G470" s="75"/>
      <c r="H470" s="75" t="str">
        <f>IF(C470="","",D470+CAD_PROD!D470*(E470+F470)+G470)</f>
        <v/>
      </c>
      <c r="I470" s="52">
        <v>9.9999999999999995E-7</v>
      </c>
      <c r="J470" s="68" t="str">
        <f>IF(ISERROR(
CAD_PROD!F470*E470),"",CAD_PROD!F470*E470)</f>
        <v/>
      </c>
      <c r="K470" s="68" t="str">
        <f>IF(ISERROR(
CAD_PROD!F470*F470),"",CAD_PROD!F470*F470)</f>
        <v/>
      </c>
      <c r="L470" s="68" t="str">
        <f>IF(ISERROR(
CAD_PROD!D470-H470),"",CAD_PROD!D470-H470)</f>
        <v/>
      </c>
      <c r="M470" s="57" t="str">
        <f>IF(ISERROR(
L470/CAD_PROD!D470),"",L470/CAD_PROD!D470)</f>
        <v/>
      </c>
      <c r="N470" s="68" t="str">
        <f>IF(ISERROR(
(P470*CAD_PROD!D470)),"",(P470*CAD_PROD!D470))</f>
        <v/>
      </c>
      <c r="O470" s="68" t="str">
        <f>IF(ISERROR(PE_GERAL!$J$7*CAD_PROD!G470),"",PE_GERAL!$J$7*CAD_PROD!G470)</f>
        <v/>
      </c>
      <c r="P470" s="101" t="str">
        <f t="shared" si="23"/>
        <v/>
      </c>
      <c r="Q470" s="68" t="str">
        <f>IF(C470="","",IF(ISERROR(
CAD_PROD!E470*G470),"",CAD_PROD!E470*G470))</f>
        <v/>
      </c>
      <c r="R470" s="68" t="str">
        <f>IF(C470="","",IF(ISERROR(
CAD_PROD!E470*D470),"",CAD_PROD!E470*D470))</f>
        <v/>
      </c>
      <c r="S470" s="44" t="str">
        <f>IF(C470="","",IF(CAD_PROD!E470&gt;=P470,"Sim","Não"))</f>
        <v/>
      </c>
    </row>
    <row r="471" spans="1:19" ht="30" customHeight="1">
      <c r="A471" s="52">
        <f t="shared" si="21"/>
        <v>0</v>
      </c>
      <c r="B471" s="52">
        <f t="shared" si="22"/>
        <v>0</v>
      </c>
      <c r="C471" s="96" t="str">
        <f>IF(CAD_PROD!C471="","",CAD_PROD!C471)</f>
        <v/>
      </c>
      <c r="D471" s="75"/>
      <c r="E471" s="125"/>
      <c r="F471" s="125"/>
      <c r="G471" s="75"/>
      <c r="H471" s="75" t="str">
        <f>IF(C471="","",D471+CAD_PROD!D471*(E471+F471)+G471)</f>
        <v/>
      </c>
      <c r="I471" s="52">
        <v>9.9999999999999995E-7</v>
      </c>
      <c r="J471" s="68" t="str">
        <f>IF(ISERROR(
CAD_PROD!F471*E471),"",CAD_PROD!F471*E471)</f>
        <v/>
      </c>
      <c r="K471" s="68" t="str">
        <f>IF(ISERROR(
CAD_PROD!F471*F471),"",CAD_PROD!F471*F471)</f>
        <v/>
      </c>
      <c r="L471" s="68" t="str">
        <f>IF(ISERROR(
CAD_PROD!D471-H471),"",CAD_PROD!D471-H471)</f>
        <v/>
      </c>
      <c r="M471" s="57" t="str">
        <f>IF(ISERROR(
L471/CAD_PROD!D471),"",L471/CAD_PROD!D471)</f>
        <v/>
      </c>
      <c r="N471" s="68" t="str">
        <f>IF(ISERROR(
(P471*CAD_PROD!D471)),"",(P471*CAD_PROD!D471))</f>
        <v/>
      </c>
      <c r="O471" s="68" t="str">
        <f>IF(ISERROR(PE_GERAL!$J$7*CAD_PROD!G471),"",PE_GERAL!$J$7*CAD_PROD!G471)</f>
        <v/>
      </c>
      <c r="P471" s="101" t="str">
        <f t="shared" si="23"/>
        <v/>
      </c>
      <c r="Q471" s="68" t="str">
        <f>IF(C471="","",IF(ISERROR(
CAD_PROD!E471*G471),"",CAD_PROD!E471*G471))</f>
        <v/>
      </c>
      <c r="R471" s="68" t="str">
        <f>IF(C471="","",IF(ISERROR(
CAD_PROD!E471*D471),"",CAD_PROD!E471*D471))</f>
        <v/>
      </c>
      <c r="S471" s="44" t="str">
        <f>IF(C471="","",IF(CAD_PROD!E471&gt;=P471,"Sim","Não"))</f>
        <v/>
      </c>
    </row>
    <row r="472" spans="1:19" ht="30" customHeight="1">
      <c r="A472" s="52">
        <f t="shared" si="21"/>
        <v>0</v>
      </c>
      <c r="B472" s="52">
        <f t="shared" si="22"/>
        <v>0</v>
      </c>
      <c r="C472" s="96" t="str">
        <f>IF(CAD_PROD!C472="","",CAD_PROD!C472)</f>
        <v/>
      </c>
      <c r="D472" s="75"/>
      <c r="E472" s="125"/>
      <c r="F472" s="125"/>
      <c r="G472" s="75"/>
      <c r="H472" s="75" t="str">
        <f>IF(C472="","",D472+CAD_PROD!D472*(E472+F472)+G472)</f>
        <v/>
      </c>
      <c r="I472" s="52">
        <v>9.9999999999999995E-7</v>
      </c>
      <c r="J472" s="68" t="str">
        <f>IF(ISERROR(
CAD_PROD!F472*E472),"",CAD_PROD!F472*E472)</f>
        <v/>
      </c>
      <c r="K472" s="68" t="str">
        <f>IF(ISERROR(
CAD_PROD!F472*F472),"",CAD_PROD!F472*F472)</f>
        <v/>
      </c>
      <c r="L472" s="68" t="str">
        <f>IF(ISERROR(
CAD_PROD!D472-H472),"",CAD_PROD!D472-H472)</f>
        <v/>
      </c>
      <c r="M472" s="57" t="str">
        <f>IF(ISERROR(
L472/CAD_PROD!D472),"",L472/CAD_PROD!D472)</f>
        <v/>
      </c>
      <c r="N472" s="68" t="str">
        <f>IF(ISERROR(
(P472*CAD_PROD!D472)),"",(P472*CAD_PROD!D472))</f>
        <v/>
      </c>
      <c r="O472" s="68" t="str">
        <f>IF(ISERROR(PE_GERAL!$J$7*CAD_PROD!G472),"",PE_GERAL!$J$7*CAD_PROD!G472)</f>
        <v/>
      </c>
      <c r="P472" s="101" t="str">
        <f t="shared" si="23"/>
        <v/>
      </c>
      <c r="Q472" s="68" t="str">
        <f>IF(C472="","",IF(ISERROR(
CAD_PROD!E472*G472),"",CAD_PROD!E472*G472))</f>
        <v/>
      </c>
      <c r="R472" s="68" t="str">
        <f>IF(C472="","",IF(ISERROR(
CAD_PROD!E472*D472),"",CAD_PROD!E472*D472))</f>
        <v/>
      </c>
      <c r="S472" s="44" t="str">
        <f>IF(C472="","",IF(CAD_PROD!E472&gt;=P472,"Sim","Não"))</f>
        <v/>
      </c>
    </row>
    <row r="473" spans="1:19" ht="30" customHeight="1">
      <c r="A473" s="52">
        <f t="shared" si="21"/>
        <v>0</v>
      </c>
      <c r="B473" s="52">
        <f t="shared" si="22"/>
        <v>0</v>
      </c>
      <c r="C473" s="96" t="str">
        <f>IF(CAD_PROD!C473="","",CAD_PROD!C473)</f>
        <v/>
      </c>
      <c r="D473" s="75"/>
      <c r="E473" s="125"/>
      <c r="F473" s="125"/>
      <c r="G473" s="75"/>
      <c r="H473" s="75" t="str">
        <f>IF(C473="","",D473+CAD_PROD!D473*(E473+F473)+G473)</f>
        <v/>
      </c>
      <c r="I473" s="52">
        <v>9.9999999999999995E-7</v>
      </c>
      <c r="J473" s="68" t="str">
        <f>IF(ISERROR(
CAD_PROD!F473*E473),"",CAD_PROD!F473*E473)</f>
        <v/>
      </c>
      <c r="K473" s="68" t="str">
        <f>IF(ISERROR(
CAD_PROD!F473*F473),"",CAD_PROD!F473*F473)</f>
        <v/>
      </c>
      <c r="L473" s="68" t="str">
        <f>IF(ISERROR(
CAD_PROD!D473-H473),"",CAD_PROD!D473-H473)</f>
        <v/>
      </c>
      <c r="M473" s="57" t="str">
        <f>IF(ISERROR(
L473/CAD_PROD!D473),"",L473/CAD_PROD!D473)</f>
        <v/>
      </c>
      <c r="N473" s="68" t="str">
        <f>IF(ISERROR(
(P473*CAD_PROD!D473)),"",(P473*CAD_PROD!D473))</f>
        <v/>
      </c>
      <c r="O473" s="68" t="str">
        <f>IF(ISERROR(PE_GERAL!$J$7*CAD_PROD!G473),"",PE_GERAL!$J$7*CAD_PROD!G473)</f>
        <v/>
      </c>
      <c r="P473" s="101" t="str">
        <f t="shared" si="23"/>
        <v/>
      </c>
      <c r="Q473" s="68" t="str">
        <f>IF(C473="","",IF(ISERROR(
CAD_PROD!E473*G473),"",CAD_PROD!E473*G473))</f>
        <v/>
      </c>
      <c r="R473" s="68" t="str">
        <f>IF(C473="","",IF(ISERROR(
CAD_PROD!E473*D473),"",CAD_PROD!E473*D473))</f>
        <v/>
      </c>
      <c r="S473" s="44" t="str">
        <f>IF(C473="","",IF(CAD_PROD!E473&gt;=P473,"Sim","Não"))</f>
        <v/>
      </c>
    </row>
    <row r="474" spans="1:19" ht="30" customHeight="1">
      <c r="A474" s="52">
        <f t="shared" si="21"/>
        <v>0</v>
      </c>
      <c r="B474" s="52">
        <f t="shared" si="22"/>
        <v>0</v>
      </c>
      <c r="C474" s="96" t="str">
        <f>IF(CAD_PROD!C474="","",CAD_PROD!C474)</f>
        <v/>
      </c>
      <c r="D474" s="75"/>
      <c r="E474" s="125"/>
      <c r="F474" s="125"/>
      <c r="G474" s="75"/>
      <c r="H474" s="75" t="str">
        <f>IF(C474="","",D474+CAD_PROD!D474*(E474+F474)+G474)</f>
        <v/>
      </c>
      <c r="I474" s="52">
        <v>9.9999999999999995E-7</v>
      </c>
      <c r="J474" s="68" t="str">
        <f>IF(ISERROR(
CAD_PROD!F474*E474),"",CAD_PROD!F474*E474)</f>
        <v/>
      </c>
      <c r="K474" s="68" t="str">
        <f>IF(ISERROR(
CAD_PROD!F474*F474),"",CAD_PROD!F474*F474)</f>
        <v/>
      </c>
      <c r="L474" s="68" t="str">
        <f>IF(ISERROR(
CAD_PROD!D474-H474),"",CAD_PROD!D474-H474)</f>
        <v/>
      </c>
      <c r="M474" s="57" t="str">
        <f>IF(ISERROR(
L474/CAD_PROD!D474),"",L474/CAD_PROD!D474)</f>
        <v/>
      </c>
      <c r="N474" s="68" t="str">
        <f>IF(ISERROR(
(P474*CAD_PROD!D474)),"",(P474*CAD_PROD!D474))</f>
        <v/>
      </c>
      <c r="O474" s="68" t="str">
        <f>IF(ISERROR(PE_GERAL!$J$7*CAD_PROD!G474),"",PE_GERAL!$J$7*CAD_PROD!G474)</f>
        <v/>
      </c>
      <c r="P474" s="101" t="str">
        <f t="shared" si="23"/>
        <v/>
      </c>
      <c r="Q474" s="68" t="str">
        <f>IF(C474="","",IF(ISERROR(
CAD_PROD!E474*G474),"",CAD_PROD!E474*G474))</f>
        <v/>
      </c>
      <c r="R474" s="68" t="str">
        <f>IF(C474="","",IF(ISERROR(
CAD_PROD!E474*D474),"",CAD_PROD!E474*D474))</f>
        <v/>
      </c>
      <c r="S474" s="44" t="str">
        <f>IF(C474="","",IF(CAD_PROD!E474&gt;=P474,"Sim","Não"))</f>
        <v/>
      </c>
    </row>
    <row r="475" spans="1:19" ht="30" customHeight="1">
      <c r="A475" s="52">
        <f t="shared" si="21"/>
        <v>0</v>
      </c>
      <c r="B475" s="52">
        <f t="shared" si="22"/>
        <v>0</v>
      </c>
      <c r="C475" s="96" t="str">
        <f>IF(CAD_PROD!C475="","",CAD_PROD!C475)</f>
        <v/>
      </c>
      <c r="D475" s="75"/>
      <c r="E475" s="125"/>
      <c r="F475" s="125"/>
      <c r="G475" s="75"/>
      <c r="H475" s="75" t="str">
        <f>IF(C475="","",D475+CAD_PROD!D475*(E475+F475)+G475)</f>
        <v/>
      </c>
      <c r="I475" s="52">
        <v>9.9999999999999995E-7</v>
      </c>
      <c r="J475" s="68" t="str">
        <f>IF(ISERROR(
CAD_PROD!F475*E475),"",CAD_PROD!F475*E475)</f>
        <v/>
      </c>
      <c r="K475" s="68" t="str">
        <f>IF(ISERROR(
CAD_PROD!F475*F475),"",CAD_PROD!F475*F475)</f>
        <v/>
      </c>
      <c r="L475" s="68" t="str">
        <f>IF(ISERROR(
CAD_PROD!D475-H475),"",CAD_PROD!D475-H475)</f>
        <v/>
      </c>
      <c r="M475" s="57" t="str">
        <f>IF(ISERROR(
L475/CAD_PROD!D475),"",L475/CAD_PROD!D475)</f>
        <v/>
      </c>
      <c r="N475" s="68" t="str">
        <f>IF(ISERROR(
(P475*CAD_PROD!D475)),"",(P475*CAD_PROD!D475))</f>
        <v/>
      </c>
      <c r="O475" s="68" t="str">
        <f>IF(ISERROR(PE_GERAL!$J$7*CAD_PROD!G475),"",PE_GERAL!$J$7*CAD_PROD!G475)</f>
        <v/>
      </c>
      <c r="P475" s="101" t="str">
        <f t="shared" si="23"/>
        <v/>
      </c>
      <c r="Q475" s="68" t="str">
        <f>IF(C475="","",IF(ISERROR(
CAD_PROD!E475*G475),"",CAD_PROD!E475*G475))</f>
        <v/>
      </c>
      <c r="R475" s="68" t="str">
        <f>IF(C475="","",IF(ISERROR(
CAD_PROD!E475*D475),"",CAD_PROD!E475*D475))</f>
        <v/>
      </c>
      <c r="S475" s="44" t="str">
        <f>IF(C475="","",IF(CAD_PROD!E475&gt;=P475,"Sim","Não"))</f>
        <v/>
      </c>
    </row>
    <row r="476" spans="1:19" ht="30" customHeight="1">
      <c r="A476" s="52">
        <f t="shared" si="21"/>
        <v>0</v>
      </c>
      <c r="B476" s="52">
        <f t="shared" si="22"/>
        <v>0</v>
      </c>
      <c r="C476" s="96" t="str">
        <f>IF(CAD_PROD!C476="","",CAD_PROD!C476)</f>
        <v/>
      </c>
      <c r="D476" s="75"/>
      <c r="E476" s="125"/>
      <c r="F476" s="125"/>
      <c r="G476" s="75"/>
      <c r="H476" s="75" t="str">
        <f>IF(C476="","",D476+CAD_PROD!D476*(E476+F476)+G476)</f>
        <v/>
      </c>
      <c r="I476" s="52">
        <v>9.9999999999999995E-7</v>
      </c>
      <c r="J476" s="68" t="str">
        <f>IF(ISERROR(
CAD_PROD!F476*E476),"",CAD_PROD!F476*E476)</f>
        <v/>
      </c>
      <c r="K476" s="68" t="str">
        <f>IF(ISERROR(
CAD_PROD!F476*F476),"",CAD_PROD!F476*F476)</f>
        <v/>
      </c>
      <c r="L476" s="68" t="str">
        <f>IF(ISERROR(
CAD_PROD!D476-H476),"",CAD_PROD!D476-H476)</f>
        <v/>
      </c>
      <c r="M476" s="57" t="str">
        <f>IF(ISERROR(
L476/CAD_PROD!D476),"",L476/CAD_PROD!D476)</f>
        <v/>
      </c>
      <c r="N476" s="68" t="str">
        <f>IF(ISERROR(
(P476*CAD_PROD!D476)),"",(P476*CAD_PROD!D476))</f>
        <v/>
      </c>
      <c r="O476" s="68" t="str">
        <f>IF(ISERROR(PE_GERAL!$J$7*CAD_PROD!G476),"",PE_GERAL!$J$7*CAD_PROD!G476)</f>
        <v/>
      </c>
      <c r="P476" s="101" t="str">
        <f t="shared" si="23"/>
        <v/>
      </c>
      <c r="Q476" s="68" t="str">
        <f>IF(C476="","",IF(ISERROR(
CAD_PROD!E476*G476),"",CAD_PROD!E476*G476))</f>
        <v/>
      </c>
      <c r="R476" s="68" t="str">
        <f>IF(C476="","",IF(ISERROR(
CAD_PROD!E476*D476),"",CAD_PROD!E476*D476))</f>
        <v/>
      </c>
      <c r="S476" s="44" t="str">
        <f>IF(C476="","",IF(CAD_PROD!E476&gt;=P476,"Sim","Não"))</f>
        <v/>
      </c>
    </row>
    <row r="477" spans="1:19" ht="30" customHeight="1">
      <c r="A477" s="52">
        <f t="shared" si="21"/>
        <v>0</v>
      </c>
      <c r="B477" s="52">
        <f t="shared" si="22"/>
        <v>0</v>
      </c>
      <c r="C477" s="96" t="str">
        <f>IF(CAD_PROD!C477="","",CAD_PROD!C477)</f>
        <v/>
      </c>
      <c r="D477" s="75"/>
      <c r="E477" s="125"/>
      <c r="F477" s="125"/>
      <c r="G477" s="75"/>
      <c r="H477" s="75" t="str">
        <f>IF(C477="","",D477+CAD_PROD!D477*(E477+F477)+G477)</f>
        <v/>
      </c>
      <c r="I477" s="52">
        <v>9.9999999999999995E-7</v>
      </c>
      <c r="J477" s="68" t="str">
        <f>IF(ISERROR(
CAD_PROD!F477*E477),"",CAD_PROD!F477*E477)</f>
        <v/>
      </c>
      <c r="K477" s="68" t="str">
        <f>IF(ISERROR(
CAD_PROD!F477*F477),"",CAD_PROD!F477*F477)</f>
        <v/>
      </c>
      <c r="L477" s="68" t="str">
        <f>IF(ISERROR(
CAD_PROD!D477-H477),"",CAD_PROD!D477-H477)</f>
        <v/>
      </c>
      <c r="M477" s="57" t="str">
        <f>IF(ISERROR(
L477/CAD_PROD!D477),"",L477/CAD_PROD!D477)</f>
        <v/>
      </c>
      <c r="N477" s="68" t="str">
        <f>IF(ISERROR(
(P477*CAD_PROD!D477)),"",(P477*CAD_PROD!D477))</f>
        <v/>
      </c>
      <c r="O477" s="68" t="str">
        <f>IF(ISERROR(PE_GERAL!$J$7*CAD_PROD!G477),"",PE_GERAL!$J$7*CAD_PROD!G477)</f>
        <v/>
      </c>
      <c r="P477" s="101" t="str">
        <f t="shared" si="23"/>
        <v/>
      </c>
      <c r="Q477" s="68" t="str">
        <f>IF(C477="","",IF(ISERROR(
CAD_PROD!E477*G477),"",CAD_PROD!E477*G477))</f>
        <v/>
      </c>
      <c r="R477" s="68" t="str">
        <f>IF(C477="","",IF(ISERROR(
CAD_PROD!E477*D477),"",CAD_PROD!E477*D477))</f>
        <v/>
      </c>
      <c r="S477" s="44" t="str">
        <f>IF(C477="","",IF(CAD_PROD!E477&gt;=P477,"Sim","Não"))</f>
        <v/>
      </c>
    </row>
    <row r="478" spans="1:19" ht="30" customHeight="1">
      <c r="A478" s="52">
        <f t="shared" si="21"/>
        <v>0</v>
      </c>
      <c r="B478" s="52">
        <f t="shared" si="22"/>
        <v>0</v>
      </c>
      <c r="C478" s="96" t="str">
        <f>IF(CAD_PROD!C478="","",CAD_PROD!C478)</f>
        <v/>
      </c>
      <c r="D478" s="75"/>
      <c r="E478" s="125"/>
      <c r="F478" s="125"/>
      <c r="G478" s="75"/>
      <c r="H478" s="75" t="str">
        <f>IF(C478="","",D478+CAD_PROD!D478*(E478+F478)+G478)</f>
        <v/>
      </c>
      <c r="I478" s="52">
        <v>9.9999999999999995E-7</v>
      </c>
      <c r="J478" s="68" t="str">
        <f>IF(ISERROR(
CAD_PROD!F478*E478),"",CAD_PROD!F478*E478)</f>
        <v/>
      </c>
      <c r="K478" s="68" t="str">
        <f>IF(ISERROR(
CAD_PROD!F478*F478),"",CAD_PROD!F478*F478)</f>
        <v/>
      </c>
      <c r="L478" s="68" t="str">
        <f>IF(ISERROR(
CAD_PROD!D478-H478),"",CAD_PROD!D478-H478)</f>
        <v/>
      </c>
      <c r="M478" s="57" t="str">
        <f>IF(ISERROR(
L478/CAD_PROD!D478),"",L478/CAD_PROD!D478)</f>
        <v/>
      </c>
      <c r="N478" s="68" t="str">
        <f>IF(ISERROR(
(P478*CAD_PROD!D478)),"",(P478*CAD_PROD!D478))</f>
        <v/>
      </c>
      <c r="O478" s="68" t="str">
        <f>IF(ISERROR(PE_GERAL!$J$7*CAD_PROD!G478),"",PE_GERAL!$J$7*CAD_PROD!G478)</f>
        <v/>
      </c>
      <c r="P478" s="101" t="str">
        <f t="shared" si="23"/>
        <v/>
      </c>
      <c r="Q478" s="68" t="str">
        <f>IF(C478="","",IF(ISERROR(
CAD_PROD!E478*G478),"",CAD_PROD!E478*G478))</f>
        <v/>
      </c>
      <c r="R478" s="68" t="str">
        <f>IF(C478="","",IF(ISERROR(
CAD_PROD!E478*D478),"",CAD_PROD!E478*D478))</f>
        <v/>
      </c>
      <c r="S478" s="44" t="str">
        <f>IF(C478="","",IF(CAD_PROD!E478&gt;=P478,"Sim","Não"))</f>
        <v/>
      </c>
    </row>
    <row r="479" spans="1:19" ht="30" customHeight="1">
      <c r="A479" s="52">
        <f t="shared" si="21"/>
        <v>0</v>
      </c>
      <c r="B479" s="52">
        <f t="shared" si="22"/>
        <v>0</v>
      </c>
      <c r="C479" s="96" t="str">
        <f>IF(CAD_PROD!C479="","",CAD_PROD!C479)</f>
        <v/>
      </c>
      <c r="D479" s="75"/>
      <c r="E479" s="125"/>
      <c r="F479" s="125"/>
      <c r="G479" s="75"/>
      <c r="H479" s="75" t="str">
        <f>IF(C479="","",D479+CAD_PROD!D479*(E479+F479)+G479)</f>
        <v/>
      </c>
      <c r="I479" s="52">
        <v>9.9999999999999995E-7</v>
      </c>
      <c r="J479" s="68" t="str">
        <f>IF(ISERROR(
CAD_PROD!F479*E479),"",CAD_PROD!F479*E479)</f>
        <v/>
      </c>
      <c r="K479" s="68" t="str">
        <f>IF(ISERROR(
CAD_PROD!F479*F479),"",CAD_PROD!F479*F479)</f>
        <v/>
      </c>
      <c r="L479" s="68" t="str">
        <f>IF(ISERROR(
CAD_PROD!D479-H479),"",CAD_PROD!D479-H479)</f>
        <v/>
      </c>
      <c r="M479" s="57" t="str">
        <f>IF(ISERROR(
L479/CAD_PROD!D479),"",L479/CAD_PROD!D479)</f>
        <v/>
      </c>
      <c r="N479" s="68" t="str">
        <f>IF(ISERROR(
(P479*CAD_PROD!D479)),"",(P479*CAD_PROD!D479))</f>
        <v/>
      </c>
      <c r="O479" s="68" t="str">
        <f>IF(ISERROR(PE_GERAL!$J$7*CAD_PROD!G479),"",PE_GERAL!$J$7*CAD_PROD!G479)</f>
        <v/>
      </c>
      <c r="P479" s="101" t="str">
        <f t="shared" si="23"/>
        <v/>
      </c>
      <c r="Q479" s="68" t="str">
        <f>IF(C479="","",IF(ISERROR(
CAD_PROD!E479*G479),"",CAD_PROD!E479*G479))</f>
        <v/>
      </c>
      <c r="R479" s="68" t="str">
        <f>IF(C479="","",IF(ISERROR(
CAD_PROD!E479*D479),"",CAD_PROD!E479*D479))</f>
        <v/>
      </c>
      <c r="S479" s="44" t="str">
        <f>IF(C479="","",IF(CAD_PROD!E479&gt;=P479,"Sim","Não"))</f>
        <v/>
      </c>
    </row>
    <row r="480" spans="1:19" ht="30" customHeight="1">
      <c r="A480" s="52">
        <f t="shared" si="21"/>
        <v>0</v>
      </c>
      <c r="B480" s="52">
        <f t="shared" si="22"/>
        <v>0</v>
      </c>
      <c r="C480" s="96" t="str">
        <f>IF(CAD_PROD!C480="","",CAD_PROD!C480)</f>
        <v/>
      </c>
      <c r="D480" s="75"/>
      <c r="E480" s="125"/>
      <c r="F480" s="125"/>
      <c r="G480" s="75"/>
      <c r="H480" s="75" t="str">
        <f>IF(C480="","",D480+CAD_PROD!D480*(E480+F480)+G480)</f>
        <v/>
      </c>
      <c r="I480" s="52">
        <v>9.9999999999999995E-7</v>
      </c>
      <c r="J480" s="68" t="str">
        <f>IF(ISERROR(
CAD_PROD!F480*E480),"",CAD_PROD!F480*E480)</f>
        <v/>
      </c>
      <c r="K480" s="68" t="str">
        <f>IF(ISERROR(
CAD_PROD!F480*F480),"",CAD_PROD!F480*F480)</f>
        <v/>
      </c>
      <c r="L480" s="68" t="str">
        <f>IF(ISERROR(
CAD_PROD!D480-H480),"",CAD_PROD!D480-H480)</f>
        <v/>
      </c>
      <c r="M480" s="57" t="str">
        <f>IF(ISERROR(
L480/CAD_PROD!D480),"",L480/CAD_PROD!D480)</f>
        <v/>
      </c>
      <c r="N480" s="68" t="str">
        <f>IF(ISERROR(
(P480*CAD_PROD!D480)),"",(P480*CAD_PROD!D480))</f>
        <v/>
      </c>
      <c r="O480" s="68" t="str">
        <f>IF(ISERROR(PE_GERAL!$J$7*CAD_PROD!G480),"",PE_GERAL!$J$7*CAD_PROD!G480)</f>
        <v/>
      </c>
      <c r="P480" s="101" t="str">
        <f t="shared" si="23"/>
        <v/>
      </c>
      <c r="Q480" s="68" t="str">
        <f>IF(C480="","",IF(ISERROR(
CAD_PROD!E480*G480),"",CAD_PROD!E480*G480))</f>
        <v/>
      </c>
      <c r="R480" s="68" t="str">
        <f>IF(C480="","",IF(ISERROR(
CAD_PROD!E480*D480),"",CAD_PROD!E480*D480))</f>
        <v/>
      </c>
      <c r="S480" s="44" t="str">
        <f>IF(C480="","",IF(CAD_PROD!E480&gt;=P480,"Sim","Não"))</f>
        <v/>
      </c>
    </row>
    <row r="481" spans="1:19" ht="30" customHeight="1">
      <c r="A481" s="52">
        <f t="shared" si="21"/>
        <v>0</v>
      </c>
      <c r="B481" s="52">
        <f t="shared" si="22"/>
        <v>0</v>
      </c>
      <c r="C481" s="96" t="str">
        <f>IF(CAD_PROD!C481="","",CAD_PROD!C481)</f>
        <v/>
      </c>
      <c r="D481" s="75"/>
      <c r="E481" s="125"/>
      <c r="F481" s="125"/>
      <c r="G481" s="75"/>
      <c r="H481" s="75" t="str">
        <f>IF(C481="","",D481+CAD_PROD!D481*(E481+F481)+G481)</f>
        <v/>
      </c>
      <c r="I481" s="52">
        <v>9.9999999999999995E-7</v>
      </c>
      <c r="J481" s="68" t="str">
        <f>IF(ISERROR(
CAD_PROD!F481*E481),"",CAD_PROD!F481*E481)</f>
        <v/>
      </c>
      <c r="K481" s="68" t="str">
        <f>IF(ISERROR(
CAD_PROD!F481*F481),"",CAD_PROD!F481*F481)</f>
        <v/>
      </c>
      <c r="L481" s="68" t="str">
        <f>IF(ISERROR(
CAD_PROD!D481-H481),"",CAD_PROD!D481-H481)</f>
        <v/>
      </c>
      <c r="M481" s="57" t="str">
        <f>IF(ISERROR(
L481/CAD_PROD!D481),"",L481/CAD_PROD!D481)</f>
        <v/>
      </c>
      <c r="N481" s="68" t="str">
        <f>IF(ISERROR(
(P481*CAD_PROD!D481)),"",(P481*CAD_PROD!D481))</f>
        <v/>
      </c>
      <c r="O481" s="68" t="str">
        <f>IF(ISERROR(PE_GERAL!$J$7*CAD_PROD!G481),"",PE_GERAL!$J$7*CAD_PROD!G481)</f>
        <v/>
      </c>
      <c r="P481" s="101" t="str">
        <f t="shared" si="23"/>
        <v/>
      </c>
      <c r="Q481" s="68" t="str">
        <f>IF(C481="","",IF(ISERROR(
CAD_PROD!E481*G481),"",CAD_PROD!E481*G481))</f>
        <v/>
      </c>
      <c r="R481" s="68" t="str">
        <f>IF(C481="","",IF(ISERROR(
CAD_PROD!E481*D481),"",CAD_PROD!E481*D481))</f>
        <v/>
      </c>
      <c r="S481" s="44" t="str">
        <f>IF(C481="","",IF(CAD_PROD!E481&gt;=P481,"Sim","Não"))</f>
        <v/>
      </c>
    </row>
    <row r="482" spans="1:19" ht="30" customHeight="1">
      <c r="A482" s="52">
        <f t="shared" si="21"/>
        <v>0</v>
      </c>
      <c r="B482" s="52">
        <f t="shared" si="22"/>
        <v>0</v>
      </c>
      <c r="C482" s="96" t="str">
        <f>IF(CAD_PROD!C482="","",CAD_PROD!C482)</f>
        <v/>
      </c>
      <c r="D482" s="75"/>
      <c r="E482" s="125"/>
      <c r="F482" s="125"/>
      <c r="G482" s="75"/>
      <c r="H482" s="75" t="str">
        <f>IF(C482="","",D482+CAD_PROD!D482*(E482+F482)+G482)</f>
        <v/>
      </c>
      <c r="I482" s="52">
        <v>9.9999999999999995E-7</v>
      </c>
      <c r="J482" s="68" t="str">
        <f>IF(ISERROR(
CAD_PROD!F482*E482),"",CAD_PROD!F482*E482)</f>
        <v/>
      </c>
      <c r="K482" s="68" t="str">
        <f>IF(ISERROR(
CAD_PROD!F482*F482),"",CAD_PROD!F482*F482)</f>
        <v/>
      </c>
      <c r="L482" s="68" t="str">
        <f>IF(ISERROR(
CAD_PROD!D482-H482),"",CAD_PROD!D482-H482)</f>
        <v/>
      </c>
      <c r="M482" s="57" t="str">
        <f>IF(ISERROR(
L482/CAD_PROD!D482),"",L482/CAD_PROD!D482)</f>
        <v/>
      </c>
      <c r="N482" s="68" t="str">
        <f>IF(ISERROR(
(P482*CAD_PROD!D482)),"",(P482*CAD_PROD!D482))</f>
        <v/>
      </c>
      <c r="O482" s="68" t="str">
        <f>IF(ISERROR(PE_GERAL!$J$7*CAD_PROD!G482),"",PE_GERAL!$J$7*CAD_PROD!G482)</f>
        <v/>
      </c>
      <c r="P482" s="101" t="str">
        <f t="shared" si="23"/>
        <v/>
      </c>
      <c r="Q482" s="68" t="str">
        <f>IF(C482="","",IF(ISERROR(
CAD_PROD!E482*G482),"",CAD_PROD!E482*G482))</f>
        <v/>
      </c>
      <c r="R482" s="68" t="str">
        <f>IF(C482="","",IF(ISERROR(
CAD_PROD!E482*D482),"",CAD_PROD!E482*D482))</f>
        <v/>
      </c>
      <c r="S482" s="44" t="str">
        <f>IF(C482="","",IF(CAD_PROD!E482&gt;=P482,"Sim","Não"))</f>
        <v/>
      </c>
    </row>
    <row r="483" spans="1:19" ht="30" customHeight="1">
      <c r="A483" s="52">
        <f t="shared" si="21"/>
        <v>0</v>
      </c>
      <c r="B483" s="52">
        <f t="shared" si="22"/>
        <v>0</v>
      </c>
      <c r="C483" s="96" t="str">
        <f>IF(CAD_PROD!C483="","",CAD_PROD!C483)</f>
        <v/>
      </c>
      <c r="D483" s="75"/>
      <c r="E483" s="125"/>
      <c r="F483" s="125"/>
      <c r="G483" s="75"/>
      <c r="H483" s="75" t="str">
        <f>IF(C483="","",D483+CAD_PROD!D483*(E483+F483)+G483)</f>
        <v/>
      </c>
      <c r="I483" s="52">
        <v>9.9999999999999995E-7</v>
      </c>
      <c r="J483" s="68" t="str">
        <f>IF(ISERROR(
CAD_PROD!F483*E483),"",CAD_PROD!F483*E483)</f>
        <v/>
      </c>
      <c r="K483" s="68" t="str">
        <f>IF(ISERROR(
CAD_PROD!F483*F483),"",CAD_PROD!F483*F483)</f>
        <v/>
      </c>
      <c r="L483" s="68" t="str">
        <f>IF(ISERROR(
CAD_PROD!D483-H483),"",CAD_PROD!D483-H483)</f>
        <v/>
      </c>
      <c r="M483" s="57" t="str">
        <f>IF(ISERROR(
L483/CAD_PROD!D483),"",L483/CAD_PROD!D483)</f>
        <v/>
      </c>
      <c r="N483" s="68" t="str">
        <f>IF(ISERROR(
(P483*CAD_PROD!D483)),"",(P483*CAD_PROD!D483))</f>
        <v/>
      </c>
      <c r="O483" s="68" t="str">
        <f>IF(ISERROR(PE_GERAL!$J$7*CAD_PROD!G483),"",PE_GERAL!$J$7*CAD_PROD!G483)</f>
        <v/>
      </c>
      <c r="P483" s="101" t="str">
        <f t="shared" si="23"/>
        <v/>
      </c>
      <c r="Q483" s="68" t="str">
        <f>IF(C483="","",IF(ISERROR(
CAD_PROD!E483*G483),"",CAD_PROD!E483*G483))</f>
        <v/>
      </c>
      <c r="R483" s="68" t="str">
        <f>IF(C483="","",IF(ISERROR(
CAD_PROD!E483*D483),"",CAD_PROD!E483*D483))</f>
        <v/>
      </c>
      <c r="S483" s="44" t="str">
        <f>IF(C483="","",IF(CAD_PROD!E483&gt;=P483,"Sim","Não"))</f>
        <v/>
      </c>
    </row>
    <row r="484" spans="1:19" ht="30" customHeight="1">
      <c r="A484" s="52">
        <f t="shared" si="21"/>
        <v>0</v>
      </c>
      <c r="B484" s="52">
        <f t="shared" si="22"/>
        <v>0</v>
      </c>
      <c r="C484" s="96" t="str">
        <f>IF(CAD_PROD!C484="","",CAD_PROD!C484)</f>
        <v/>
      </c>
      <c r="D484" s="75"/>
      <c r="E484" s="125"/>
      <c r="F484" s="125"/>
      <c r="G484" s="75"/>
      <c r="H484" s="75" t="str">
        <f>IF(C484="","",D484+CAD_PROD!D484*(E484+F484)+G484)</f>
        <v/>
      </c>
      <c r="I484" s="52">
        <v>9.9999999999999995E-7</v>
      </c>
      <c r="J484" s="68" t="str">
        <f>IF(ISERROR(
CAD_PROD!F484*E484),"",CAD_PROD!F484*E484)</f>
        <v/>
      </c>
      <c r="K484" s="68" t="str">
        <f>IF(ISERROR(
CAD_PROD!F484*F484),"",CAD_PROD!F484*F484)</f>
        <v/>
      </c>
      <c r="L484" s="68" t="str">
        <f>IF(ISERROR(
CAD_PROD!D484-H484),"",CAD_PROD!D484-H484)</f>
        <v/>
      </c>
      <c r="M484" s="57" t="str">
        <f>IF(ISERROR(
L484/CAD_PROD!D484),"",L484/CAD_PROD!D484)</f>
        <v/>
      </c>
      <c r="N484" s="68" t="str">
        <f>IF(ISERROR(
(P484*CAD_PROD!D484)),"",(P484*CAD_PROD!D484))</f>
        <v/>
      </c>
      <c r="O484" s="68" t="str">
        <f>IF(ISERROR(PE_GERAL!$J$7*CAD_PROD!G484),"",PE_GERAL!$J$7*CAD_PROD!G484)</f>
        <v/>
      </c>
      <c r="P484" s="101" t="str">
        <f t="shared" si="23"/>
        <v/>
      </c>
      <c r="Q484" s="68" t="str">
        <f>IF(C484="","",IF(ISERROR(
CAD_PROD!E484*G484),"",CAD_PROD!E484*G484))</f>
        <v/>
      </c>
      <c r="R484" s="68" t="str">
        <f>IF(C484="","",IF(ISERROR(
CAD_PROD!E484*D484),"",CAD_PROD!E484*D484))</f>
        <v/>
      </c>
      <c r="S484" s="44" t="str">
        <f>IF(C484="","",IF(CAD_PROD!E484&gt;=P484,"Sim","Não"))</f>
        <v/>
      </c>
    </row>
    <row r="485" spans="1:19" ht="30" customHeight="1">
      <c r="A485" s="52">
        <f t="shared" si="21"/>
        <v>0</v>
      </c>
      <c r="B485" s="52">
        <f t="shared" si="22"/>
        <v>0</v>
      </c>
      <c r="C485" s="96" t="str">
        <f>IF(CAD_PROD!C485="","",CAD_PROD!C485)</f>
        <v/>
      </c>
      <c r="D485" s="75"/>
      <c r="E485" s="125"/>
      <c r="F485" s="125"/>
      <c r="G485" s="75"/>
      <c r="H485" s="75" t="str">
        <f>IF(C485="","",D485+CAD_PROD!D485*(E485+F485)+G485)</f>
        <v/>
      </c>
      <c r="I485" s="52">
        <v>9.9999999999999995E-7</v>
      </c>
      <c r="J485" s="68" t="str">
        <f>IF(ISERROR(
CAD_PROD!F485*E485),"",CAD_PROD!F485*E485)</f>
        <v/>
      </c>
      <c r="K485" s="68" t="str">
        <f>IF(ISERROR(
CAD_PROD!F485*F485),"",CAD_PROD!F485*F485)</f>
        <v/>
      </c>
      <c r="L485" s="68" t="str">
        <f>IF(ISERROR(
CAD_PROD!D485-H485),"",CAD_PROD!D485-H485)</f>
        <v/>
      </c>
      <c r="M485" s="57" t="str">
        <f>IF(ISERROR(
L485/CAD_PROD!D485),"",L485/CAD_PROD!D485)</f>
        <v/>
      </c>
      <c r="N485" s="68" t="str">
        <f>IF(ISERROR(
(P485*CAD_PROD!D485)),"",(P485*CAD_PROD!D485))</f>
        <v/>
      </c>
      <c r="O485" s="68" t="str">
        <f>IF(ISERROR(PE_GERAL!$J$7*CAD_PROD!G485),"",PE_GERAL!$J$7*CAD_PROD!G485)</f>
        <v/>
      </c>
      <c r="P485" s="101" t="str">
        <f t="shared" si="23"/>
        <v/>
      </c>
      <c r="Q485" s="68" t="str">
        <f>IF(C485="","",IF(ISERROR(
CAD_PROD!E485*G485),"",CAD_PROD!E485*G485))</f>
        <v/>
      </c>
      <c r="R485" s="68" t="str">
        <f>IF(C485="","",IF(ISERROR(
CAD_PROD!E485*D485),"",CAD_PROD!E485*D485))</f>
        <v/>
      </c>
      <c r="S485" s="44" t="str">
        <f>IF(C485="","",IF(CAD_PROD!E485&gt;=P485,"Sim","Não"))</f>
        <v/>
      </c>
    </row>
    <row r="486" spans="1:19" ht="30" customHeight="1">
      <c r="A486" s="52">
        <f t="shared" si="21"/>
        <v>0</v>
      </c>
      <c r="B486" s="52">
        <f t="shared" si="22"/>
        <v>0</v>
      </c>
      <c r="C486" s="96" t="str">
        <f>IF(CAD_PROD!C486="","",CAD_PROD!C486)</f>
        <v/>
      </c>
      <c r="D486" s="75"/>
      <c r="E486" s="125"/>
      <c r="F486" s="125"/>
      <c r="G486" s="75"/>
      <c r="H486" s="75" t="str">
        <f>IF(C486="","",D486+CAD_PROD!D486*(E486+F486)+G486)</f>
        <v/>
      </c>
      <c r="I486" s="52">
        <v>9.9999999999999995E-7</v>
      </c>
      <c r="J486" s="68" t="str">
        <f>IF(ISERROR(
CAD_PROD!F486*E486),"",CAD_PROD!F486*E486)</f>
        <v/>
      </c>
      <c r="K486" s="68" t="str">
        <f>IF(ISERROR(
CAD_PROD!F486*F486),"",CAD_PROD!F486*F486)</f>
        <v/>
      </c>
      <c r="L486" s="68" t="str">
        <f>IF(ISERROR(
CAD_PROD!D486-H486),"",CAD_PROD!D486-H486)</f>
        <v/>
      </c>
      <c r="M486" s="57" t="str">
        <f>IF(ISERROR(
L486/CAD_PROD!D486),"",L486/CAD_PROD!D486)</f>
        <v/>
      </c>
      <c r="N486" s="68" t="str">
        <f>IF(ISERROR(
(P486*CAD_PROD!D486)),"",(P486*CAD_PROD!D486))</f>
        <v/>
      </c>
      <c r="O486" s="68" t="str">
        <f>IF(ISERROR(PE_GERAL!$J$7*CAD_PROD!G486),"",PE_GERAL!$J$7*CAD_PROD!G486)</f>
        <v/>
      </c>
      <c r="P486" s="101" t="str">
        <f t="shared" si="23"/>
        <v/>
      </c>
      <c r="Q486" s="68" t="str">
        <f>IF(C486="","",IF(ISERROR(
CAD_PROD!E486*G486),"",CAD_PROD!E486*G486))</f>
        <v/>
      </c>
      <c r="R486" s="68" t="str">
        <f>IF(C486="","",IF(ISERROR(
CAD_PROD!E486*D486),"",CAD_PROD!E486*D486))</f>
        <v/>
      </c>
      <c r="S486" s="44" t="str">
        <f>IF(C486="","",IF(CAD_PROD!E486&gt;=P486,"Sim","Não"))</f>
        <v/>
      </c>
    </row>
    <row r="487" spans="1:19" ht="30" customHeight="1">
      <c r="A487" s="52">
        <f t="shared" si="21"/>
        <v>0</v>
      </c>
      <c r="B487" s="52">
        <f t="shared" si="22"/>
        <v>0</v>
      </c>
      <c r="C487" s="96" t="str">
        <f>IF(CAD_PROD!C487="","",CAD_PROD!C487)</f>
        <v/>
      </c>
      <c r="D487" s="75"/>
      <c r="E487" s="125"/>
      <c r="F487" s="125"/>
      <c r="G487" s="75"/>
      <c r="H487" s="75" t="str">
        <f>IF(C487="","",D487+CAD_PROD!D487*(E487+F487)+G487)</f>
        <v/>
      </c>
      <c r="I487" s="52">
        <v>9.9999999999999995E-7</v>
      </c>
      <c r="J487" s="68" t="str">
        <f>IF(ISERROR(
CAD_PROD!F487*E487),"",CAD_PROD!F487*E487)</f>
        <v/>
      </c>
      <c r="K487" s="68" t="str">
        <f>IF(ISERROR(
CAD_PROD!F487*F487),"",CAD_PROD!F487*F487)</f>
        <v/>
      </c>
      <c r="L487" s="68" t="str">
        <f>IF(ISERROR(
CAD_PROD!D487-H487),"",CAD_PROD!D487-H487)</f>
        <v/>
      </c>
      <c r="M487" s="57" t="str">
        <f>IF(ISERROR(
L487/CAD_PROD!D487),"",L487/CAD_PROD!D487)</f>
        <v/>
      </c>
      <c r="N487" s="68" t="str">
        <f>IF(ISERROR(
(P487*CAD_PROD!D487)),"",(P487*CAD_PROD!D487))</f>
        <v/>
      </c>
      <c r="O487" s="68" t="str">
        <f>IF(ISERROR(PE_GERAL!$J$7*CAD_PROD!G487),"",PE_GERAL!$J$7*CAD_PROD!G487)</f>
        <v/>
      </c>
      <c r="P487" s="101" t="str">
        <f t="shared" si="23"/>
        <v/>
      </c>
      <c r="Q487" s="68" t="str">
        <f>IF(C487="","",IF(ISERROR(
CAD_PROD!E487*G487),"",CAD_PROD!E487*G487))</f>
        <v/>
      </c>
      <c r="R487" s="68" t="str">
        <f>IF(C487="","",IF(ISERROR(
CAD_PROD!E487*D487),"",CAD_PROD!E487*D487))</f>
        <v/>
      </c>
      <c r="S487" s="44" t="str">
        <f>IF(C487="","",IF(CAD_PROD!E487&gt;=P487,"Sim","Não"))</f>
        <v/>
      </c>
    </row>
    <row r="488" spans="1:19" ht="30" customHeight="1">
      <c r="A488" s="52">
        <f t="shared" si="21"/>
        <v>0</v>
      </c>
      <c r="B488" s="52">
        <f t="shared" si="22"/>
        <v>0</v>
      </c>
      <c r="C488" s="96" t="str">
        <f>IF(CAD_PROD!C488="","",CAD_PROD!C488)</f>
        <v/>
      </c>
      <c r="D488" s="75"/>
      <c r="E488" s="125"/>
      <c r="F488" s="125"/>
      <c r="G488" s="75"/>
      <c r="H488" s="75" t="str">
        <f>IF(C488="","",D488+CAD_PROD!D488*(E488+F488)+G488)</f>
        <v/>
      </c>
      <c r="I488" s="52">
        <v>9.9999999999999995E-7</v>
      </c>
      <c r="J488" s="68" t="str">
        <f>IF(ISERROR(
CAD_PROD!F488*E488),"",CAD_PROD!F488*E488)</f>
        <v/>
      </c>
      <c r="K488" s="68" t="str">
        <f>IF(ISERROR(
CAD_PROD!F488*F488),"",CAD_PROD!F488*F488)</f>
        <v/>
      </c>
      <c r="L488" s="68" t="str">
        <f>IF(ISERROR(
CAD_PROD!D488-H488),"",CAD_PROD!D488-H488)</f>
        <v/>
      </c>
      <c r="M488" s="57" t="str">
        <f>IF(ISERROR(
L488/CAD_PROD!D488),"",L488/CAD_PROD!D488)</f>
        <v/>
      </c>
      <c r="N488" s="68" t="str">
        <f>IF(ISERROR(
(P488*CAD_PROD!D488)),"",(P488*CAD_PROD!D488))</f>
        <v/>
      </c>
      <c r="O488" s="68" t="str">
        <f>IF(ISERROR(PE_GERAL!$J$7*CAD_PROD!G488),"",PE_GERAL!$J$7*CAD_PROD!G488)</f>
        <v/>
      </c>
      <c r="P488" s="101" t="str">
        <f t="shared" si="23"/>
        <v/>
      </c>
      <c r="Q488" s="68" t="str">
        <f>IF(C488="","",IF(ISERROR(
CAD_PROD!E488*G488),"",CAD_PROD!E488*G488))</f>
        <v/>
      </c>
      <c r="R488" s="68" t="str">
        <f>IF(C488="","",IF(ISERROR(
CAD_PROD!E488*D488),"",CAD_PROD!E488*D488))</f>
        <v/>
      </c>
      <c r="S488" s="44" t="str">
        <f>IF(C488="","",IF(CAD_PROD!E488&gt;=P488,"Sim","Não"))</f>
        <v/>
      </c>
    </row>
    <row r="489" spans="1:19" ht="30" customHeight="1">
      <c r="A489" s="52">
        <f t="shared" si="21"/>
        <v>0</v>
      </c>
      <c r="B489" s="52">
        <f t="shared" si="22"/>
        <v>0</v>
      </c>
      <c r="C489" s="96" t="str">
        <f>IF(CAD_PROD!C489="","",CAD_PROD!C489)</f>
        <v/>
      </c>
      <c r="D489" s="75"/>
      <c r="E489" s="125"/>
      <c r="F489" s="125"/>
      <c r="G489" s="75"/>
      <c r="H489" s="75" t="str">
        <f>IF(C489="","",D489+CAD_PROD!D489*(E489+F489)+G489)</f>
        <v/>
      </c>
      <c r="I489" s="52">
        <v>9.9999999999999995E-7</v>
      </c>
      <c r="J489" s="68" t="str">
        <f>IF(ISERROR(
CAD_PROD!F489*E489),"",CAD_PROD!F489*E489)</f>
        <v/>
      </c>
      <c r="K489" s="68" t="str">
        <f>IF(ISERROR(
CAD_PROD!F489*F489),"",CAD_PROD!F489*F489)</f>
        <v/>
      </c>
      <c r="L489" s="68" t="str">
        <f>IF(ISERROR(
CAD_PROD!D489-H489),"",CAD_PROD!D489-H489)</f>
        <v/>
      </c>
      <c r="M489" s="57" t="str">
        <f>IF(ISERROR(
L489/CAD_PROD!D489),"",L489/CAD_PROD!D489)</f>
        <v/>
      </c>
      <c r="N489" s="68" t="str">
        <f>IF(ISERROR(
(P489*CAD_PROD!D489)),"",(P489*CAD_PROD!D489))</f>
        <v/>
      </c>
      <c r="O489" s="68" t="str">
        <f>IF(ISERROR(PE_GERAL!$J$7*CAD_PROD!G489),"",PE_GERAL!$J$7*CAD_PROD!G489)</f>
        <v/>
      </c>
      <c r="P489" s="101" t="str">
        <f t="shared" si="23"/>
        <v/>
      </c>
      <c r="Q489" s="68" t="str">
        <f>IF(C489="","",IF(ISERROR(
CAD_PROD!E489*G489),"",CAD_PROD!E489*G489))</f>
        <v/>
      </c>
      <c r="R489" s="68" t="str">
        <f>IF(C489="","",IF(ISERROR(
CAD_PROD!E489*D489),"",CAD_PROD!E489*D489))</f>
        <v/>
      </c>
      <c r="S489" s="44" t="str">
        <f>IF(C489="","",IF(CAD_PROD!E489&gt;=P489,"Sim","Não"))</f>
        <v/>
      </c>
    </row>
    <row r="490" spans="1:19" ht="30" customHeight="1">
      <c r="A490" s="52">
        <f t="shared" si="21"/>
        <v>0</v>
      </c>
      <c r="B490" s="52">
        <f t="shared" si="22"/>
        <v>0</v>
      </c>
      <c r="C490" s="96" t="str">
        <f>IF(CAD_PROD!C490="","",CAD_PROD!C490)</f>
        <v/>
      </c>
      <c r="D490" s="75"/>
      <c r="E490" s="125"/>
      <c r="F490" s="125"/>
      <c r="G490" s="75"/>
      <c r="H490" s="75" t="str">
        <f>IF(C490="","",D490+CAD_PROD!D490*(E490+F490)+G490)</f>
        <v/>
      </c>
      <c r="I490" s="52">
        <v>9.9999999999999995E-7</v>
      </c>
      <c r="J490" s="68" t="str">
        <f>IF(ISERROR(
CAD_PROD!F490*E490),"",CAD_PROD!F490*E490)</f>
        <v/>
      </c>
      <c r="K490" s="68" t="str">
        <f>IF(ISERROR(
CAD_PROD!F490*F490),"",CAD_PROD!F490*F490)</f>
        <v/>
      </c>
      <c r="L490" s="68" t="str">
        <f>IF(ISERROR(
CAD_PROD!D490-H490),"",CAD_PROD!D490-H490)</f>
        <v/>
      </c>
      <c r="M490" s="57" t="str">
        <f>IF(ISERROR(
L490/CAD_PROD!D490),"",L490/CAD_PROD!D490)</f>
        <v/>
      </c>
      <c r="N490" s="68" t="str">
        <f>IF(ISERROR(
(P490*CAD_PROD!D490)),"",(P490*CAD_PROD!D490))</f>
        <v/>
      </c>
      <c r="O490" s="68" t="str">
        <f>IF(ISERROR(PE_GERAL!$J$7*CAD_PROD!G490),"",PE_GERAL!$J$7*CAD_PROD!G490)</f>
        <v/>
      </c>
      <c r="P490" s="101" t="str">
        <f t="shared" si="23"/>
        <v/>
      </c>
      <c r="Q490" s="68" t="str">
        <f>IF(C490="","",IF(ISERROR(
CAD_PROD!E490*G490),"",CAD_PROD!E490*G490))</f>
        <v/>
      </c>
      <c r="R490" s="68" t="str">
        <f>IF(C490="","",IF(ISERROR(
CAD_PROD!E490*D490),"",CAD_PROD!E490*D490))</f>
        <v/>
      </c>
      <c r="S490" s="44" t="str">
        <f>IF(C490="","",IF(CAD_PROD!E490&gt;=P490,"Sim","Não"))</f>
        <v/>
      </c>
    </row>
    <row r="491" spans="1:19" ht="30" customHeight="1">
      <c r="A491" s="52">
        <f t="shared" si="21"/>
        <v>0</v>
      </c>
      <c r="B491" s="52">
        <f t="shared" si="22"/>
        <v>0</v>
      </c>
      <c r="C491" s="96" t="str">
        <f>IF(CAD_PROD!C491="","",CAD_PROD!C491)</f>
        <v/>
      </c>
      <c r="D491" s="75"/>
      <c r="E491" s="125"/>
      <c r="F491" s="125"/>
      <c r="G491" s="75"/>
      <c r="H491" s="75" t="str">
        <f>IF(C491="","",D491+CAD_PROD!D491*(E491+F491)+G491)</f>
        <v/>
      </c>
      <c r="I491" s="52">
        <v>9.9999999999999995E-7</v>
      </c>
      <c r="J491" s="68" t="str">
        <f>IF(ISERROR(
CAD_PROD!F491*E491),"",CAD_PROD!F491*E491)</f>
        <v/>
      </c>
      <c r="K491" s="68" t="str">
        <f>IF(ISERROR(
CAD_PROD!F491*F491),"",CAD_PROD!F491*F491)</f>
        <v/>
      </c>
      <c r="L491" s="68" t="str">
        <f>IF(ISERROR(
CAD_PROD!D491-H491),"",CAD_PROD!D491-H491)</f>
        <v/>
      </c>
      <c r="M491" s="57" t="str">
        <f>IF(ISERROR(
L491/CAD_PROD!D491),"",L491/CAD_PROD!D491)</f>
        <v/>
      </c>
      <c r="N491" s="68" t="str">
        <f>IF(ISERROR(
(P491*CAD_PROD!D491)),"",(P491*CAD_PROD!D491))</f>
        <v/>
      </c>
      <c r="O491" s="68" t="str">
        <f>IF(ISERROR(PE_GERAL!$J$7*CAD_PROD!G491),"",PE_GERAL!$J$7*CAD_PROD!G491)</f>
        <v/>
      </c>
      <c r="P491" s="101" t="str">
        <f t="shared" si="23"/>
        <v/>
      </c>
      <c r="Q491" s="68" t="str">
        <f>IF(C491="","",IF(ISERROR(
CAD_PROD!E491*G491),"",CAD_PROD!E491*G491))</f>
        <v/>
      </c>
      <c r="R491" s="68" t="str">
        <f>IF(C491="","",IF(ISERROR(
CAD_PROD!E491*D491),"",CAD_PROD!E491*D491))</f>
        <v/>
      </c>
      <c r="S491" s="44" t="str">
        <f>IF(C491="","",IF(CAD_PROD!E491&gt;=P491,"Sim","Não"))</f>
        <v/>
      </c>
    </row>
    <row r="492" spans="1:19" ht="30" customHeight="1">
      <c r="A492" s="52">
        <f t="shared" si="21"/>
        <v>0</v>
      </c>
      <c r="B492" s="52">
        <f t="shared" si="22"/>
        <v>0</v>
      </c>
      <c r="C492" s="96" t="str">
        <f>IF(CAD_PROD!C492="","",CAD_PROD!C492)</f>
        <v/>
      </c>
      <c r="D492" s="75"/>
      <c r="E492" s="125"/>
      <c r="F492" s="125"/>
      <c r="G492" s="75"/>
      <c r="H492" s="75" t="str">
        <f>IF(C492="","",D492+CAD_PROD!D492*(E492+F492)+G492)</f>
        <v/>
      </c>
      <c r="I492" s="52">
        <v>9.9999999999999995E-7</v>
      </c>
      <c r="J492" s="68" t="str">
        <f>IF(ISERROR(
CAD_PROD!F492*E492),"",CAD_PROD!F492*E492)</f>
        <v/>
      </c>
      <c r="K492" s="68" t="str">
        <f>IF(ISERROR(
CAD_PROD!F492*F492),"",CAD_PROD!F492*F492)</f>
        <v/>
      </c>
      <c r="L492" s="68" t="str">
        <f>IF(ISERROR(
CAD_PROD!D492-H492),"",CAD_PROD!D492-H492)</f>
        <v/>
      </c>
      <c r="M492" s="57" t="str">
        <f>IF(ISERROR(
L492/CAD_PROD!D492),"",L492/CAD_PROD!D492)</f>
        <v/>
      </c>
      <c r="N492" s="68" t="str">
        <f>IF(ISERROR(
(P492*CAD_PROD!D492)),"",(P492*CAD_PROD!D492))</f>
        <v/>
      </c>
      <c r="O492" s="68" t="str">
        <f>IF(ISERROR(PE_GERAL!$J$7*CAD_PROD!G492),"",PE_GERAL!$J$7*CAD_PROD!G492)</f>
        <v/>
      </c>
      <c r="P492" s="101" t="str">
        <f t="shared" si="23"/>
        <v/>
      </c>
      <c r="Q492" s="68" t="str">
        <f>IF(C492="","",IF(ISERROR(
CAD_PROD!E492*G492),"",CAD_PROD!E492*G492))</f>
        <v/>
      </c>
      <c r="R492" s="68" t="str">
        <f>IF(C492="","",IF(ISERROR(
CAD_PROD!E492*D492),"",CAD_PROD!E492*D492))</f>
        <v/>
      </c>
      <c r="S492" s="44" t="str">
        <f>IF(C492="","",IF(CAD_PROD!E492&gt;=P492,"Sim","Não"))</f>
        <v/>
      </c>
    </row>
    <row r="493" spans="1:19" ht="30" customHeight="1">
      <c r="A493" s="52">
        <f t="shared" si="21"/>
        <v>0</v>
      </c>
      <c r="B493" s="52">
        <f t="shared" si="22"/>
        <v>0</v>
      </c>
      <c r="C493" s="96" t="str">
        <f>IF(CAD_PROD!C493="","",CAD_PROD!C493)</f>
        <v/>
      </c>
      <c r="D493" s="75"/>
      <c r="E493" s="125"/>
      <c r="F493" s="125"/>
      <c r="G493" s="75"/>
      <c r="H493" s="75" t="str">
        <f>IF(C493="","",D493+CAD_PROD!D493*(E493+F493)+G493)</f>
        <v/>
      </c>
      <c r="I493" s="52">
        <v>9.9999999999999995E-7</v>
      </c>
      <c r="J493" s="68" t="str">
        <f>IF(ISERROR(
CAD_PROD!F493*E493),"",CAD_PROD!F493*E493)</f>
        <v/>
      </c>
      <c r="K493" s="68" t="str">
        <f>IF(ISERROR(
CAD_PROD!F493*F493),"",CAD_PROD!F493*F493)</f>
        <v/>
      </c>
      <c r="L493" s="68" t="str">
        <f>IF(ISERROR(
CAD_PROD!D493-H493),"",CAD_PROD!D493-H493)</f>
        <v/>
      </c>
      <c r="M493" s="57" t="str">
        <f>IF(ISERROR(
L493/CAD_PROD!D493),"",L493/CAD_PROD!D493)</f>
        <v/>
      </c>
      <c r="N493" s="68" t="str">
        <f>IF(ISERROR(
(P493*CAD_PROD!D493)),"",(P493*CAD_PROD!D493))</f>
        <v/>
      </c>
      <c r="O493" s="68" t="str">
        <f>IF(ISERROR(PE_GERAL!$J$7*CAD_PROD!G493),"",PE_GERAL!$J$7*CAD_PROD!G493)</f>
        <v/>
      </c>
      <c r="P493" s="101" t="str">
        <f t="shared" si="23"/>
        <v/>
      </c>
      <c r="Q493" s="68" t="str">
        <f>IF(C493="","",IF(ISERROR(
CAD_PROD!E493*G493),"",CAD_PROD!E493*G493))</f>
        <v/>
      </c>
      <c r="R493" s="68" t="str">
        <f>IF(C493="","",IF(ISERROR(
CAD_PROD!E493*D493),"",CAD_PROD!E493*D493))</f>
        <v/>
      </c>
      <c r="S493" s="44" t="str">
        <f>IF(C493="","",IF(CAD_PROD!E493&gt;=P493,"Sim","Não"))</f>
        <v/>
      </c>
    </row>
    <row r="494" spans="1:19" ht="30" customHeight="1">
      <c r="A494" s="52">
        <f t="shared" si="21"/>
        <v>0</v>
      </c>
      <c r="B494" s="52">
        <f t="shared" si="22"/>
        <v>0</v>
      </c>
      <c r="C494" s="96" t="str">
        <f>IF(CAD_PROD!C494="","",CAD_PROD!C494)</f>
        <v/>
      </c>
      <c r="D494" s="75"/>
      <c r="E494" s="125"/>
      <c r="F494" s="125"/>
      <c r="G494" s="75"/>
      <c r="H494" s="75" t="str">
        <f>IF(C494="","",D494+CAD_PROD!D494*(E494+F494)+G494)</f>
        <v/>
      </c>
      <c r="I494" s="52">
        <v>9.9999999999999995E-7</v>
      </c>
      <c r="J494" s="68" t="str">
        <f>IF(ISERROR(
CAD_PROD!F494*E494),"",CAD_PROD!F494*E494)</f>
        <v/>
      </c>
      <c r="K494" s="68" t="str">
        <f>IF(ISERROR(
CAD_PROD!F494*F494),"",CAD_PROD!F494*F494)</f>
        <v/>
      </c>
      <c r="L494" s="68" t="str">
        <f>IF(ISERROR(
CAD_PROD!D494-H494),"",CAD_PROD!D494-H494)</f>
        <v/>
      </c>
      <c r="M494" s="57" t="str">
        <f>IF(ISERROR(
L494/CAD_PROD!D494),"",L494/CAD_PROD!D494)</f>
        <v/>
      </c>
      <c r="N494" s="68" t="str">
        <f>IF(ISERROR(
(P494*CAD_PROD!D494)),"",(P494*CAD_PROD!D494))</f>
        <v/>
      </c>
      <c r="O494" s="68" t="str">
        <f>IF(ISERROR(PE_GERAL!$J$7*CAD_PROD!G494),"",PE_GERAL!$J$7*CAD_PROD!G494)</f>
        <v/>
      </c>
      <c r="P494" s="101" t="str">
        <f t="shared" si="23"/>
        <v/>
      </c>
      <c r="Q494" s="68" t="str">
        <f>IF(C494="","",IF(ISERROR(
CAD_PROD!E494*G494),"",CAD_PROD!E494*G494))</f>
        <v/>
      </c>
      <c r="R494" s="68" t="str">
        <f>IF(C494="","",IF(ISERROR(
CAD_PROD!E494*D494),"",CAD_PROD!E494*D494))</f>
        <v/>
      </c>
      <c r="S494" s="44" t="str">
        <f>IF(C494="","",IF(CAD_PROD!E494&gt;=P494,"Sim","Não"))</f>
        <v/>
      </c>
    </row>
    <row r="495" spans="1:19" ht="30" customHeight="1">
      <c r="A495" s="52">
        <f t="shared" si="21"/>
        <v>0</v>
      </c>
      <c r="B495" s="52">
        <f t="shared" si="22"/>
        <v>0</v>
      </c>
      <c r="C495" s="96" t="str">
        <f>IF(CAD_PROD!C495="","",CAD_PROD!C495)</f>
        <v/>
      </c>
      <c r="D495" s="75"/>
      <c r="E495" s="125"/>
      <c r="F495" s="125"/>
      <c r="G495" s="75"/>
      <c r="H495" s="75" t="str">
        <f>IF(C495="","",D495+CAD_PROD!D495*(E495+F495)+G495)</f>
        <v/>
      </c>
      <c r="I495" s="52">
        <v>9.9999999999999995E-7</v>
      </c>
      <c r="J495" s="68" t="str">
        <f>IF(ISERROR(
CAD_PROD!F495*E495),"",CAD_PROD!F495*E495)</f>
        <v/>
      </c>
      <c r="K495" s="68" t="str">
        <f>IF(ISERROR(
CAD_PROD!F495*F495),"",CAD_PROD!F495*F495)</f>
        <v/>
      </c>
      <c r="L495" s="68" t="str">
        <f>IF(ISERROR(
CAD_PROD!D495-H495),"",CAD_PROD!D495-H495)</f>
        <v/>
      </c>
      <c r="M495" s="57" t="str">
        <f>IF(ISERROR(
L495/CAD_PROD!D495),"",L495/CAD_PROD!D495)</f>
        <v/>
      </c>
      <c r="N495" s="68" t="str">
        <f>IF(ISERROR(
(P495*CAD_PROD!D495)),"",(P495*CAD_PROD!D495))</f>
        <v/>
      </c>
      <c r="O495" s="68" t="str">
        <f>IF(ISERROR(PE_GERAL!$J$7*CAD_PROD!G495),"",PE_GERAL!$J$7*CAD_PROD!G495)</f>
        <v/>
      </c>
      <c r="P495" s="101" t="str">
        <f t="shared" si="23"/>
        <v/>
      </c>
      <c r="Q495" s="68" t="str">
        <f>IF(C495="","",IF(ISERROR(
CAD_PROD!E495*G495),"",CAD_PROD!E495*G495))</f>
        <v/>
      </c>
      <c r="R495" s="68" t="str">
        <f>IF(C495="","",IF(ISERROR(
CAD_PROD!E495*D495),"",CAD_PROD!E495*D495))</f>
        <v/>
      </c>
      <c r="S495" s="44" t="str">
        <f>IF(C495="","",IF(CAD_PROD!E495&gt;=P495,"Sim","Não"))</f>
        <v/>
      </c>
    </row>
    <row r="496" spans="1:19" ht="30" customHeight="1">
      <c r="A496" s="52">
        <f t="shared" si="21"/>
        <v>0</v>
      </c>
      <c r="B496" s="52">
        <f t="shared" si="22"/>
        <v>0</v>
      </c>
      <c r="C496" s="96" t="str">
        <f>IF(CAD_PROD!C496="","",CAD_PROD!C496)</f>
        <v/>
      </c>
      <c r="D496" s="75"/>
      <c r="E496" s="125"/>
      <c r="F496" s="125"/>
      <c r="G496" s="75"/>
      <c r="H496" s="75" t="str">
        <f>IF(C496="","",D496+CAD_PROD!D496*(E496+F496)+G496)</f>
        <v/>
      </c>
      <c r="I496" s="52">
        <v>9.9999999999999995E-7</v>
      </c>
      <c r="J496" s="68" t="str">
        <f>IF(ISERROR(
CAD_PROD!F496*E496),"",CAD_PROD!F496*E496)</f>
        <v/>
      </c>
      <c r="K496" s="68" t="str">
        <f>IF(ISERROR(
CAD_PROD!F496*F496),"",CAD_PROD!F496*F496)</f>
        <v/>
      </c>
      <c r="L496" s="68" t="str">
        <f>IF(ISERROR(
CAD_PROD!D496-H496),"",CAD_PROD!D496-H496)</f>
        <v/>
      </c>
      <c r="M496" s="57" t="str">
        <f>IF(ISERROR(
L496/CAD_PROD!D496),"",L496/CAD_PROD!D496)</f>
        <v/>
      </c>
      <c r="N496" s="68" t="str">
        <f>IF(ISERROR(
(P496*CAD_PROD!D496)),"",(P496*CAD_PROD!D496))</f>
        <v/>
      </c>
      <c r="O496" s="68" t="str">
        <f>IF(ISERROR(PE_GERAL!$J$7*CAD_PROD!G496),"",PE_GERAL!$J$7*CAD_PROD!G496)</f>
        <v/>
      </c>
      <c r="P496" s="101" t="str">
        <f t="shared" si="23"/>
        <v/>
      </c>
      <c r="Q496" s="68" t="str">
        <f>IF(C496="","",IF(ISERROR(
CAD_PROD!E496*G496),"",CAD_PROD!E496*G496))</f>
        <v/>
      </c>
      <c r="R496" s="68" t="str">
        <f>IF(C496="","",IF(ISERROR(
CAD_PROD!E496*D496),"",CAD_PROD!E496*D496))</f>
        <v/>
      </c>
      <c r="S496" s="44" t="str">
        <f>IF(C496="","",IF(CAD_PROD!E496&gt;=P496,"Sim","Não"))</f>
        <v/>
      </c>
    </row>
    <row r="497" spans="1:19" ht="30" customHeight="1">
      <c r="A497" s="52">
        <f t="shared" si="21"/>
        <v>0</v>
      </c>
      <c r="B497" s="52">
        <f t="shared" si="22"/>
        <v>0</v>
      </c>
      <c r="C497" s="96" t="str">
        <f>IF(CAD_PROD!C497="","",CAD_PROD!C497)</f>
        <v/>
      </c>
      <c r="D497" s="75"/>
      <c r="E497" s="125"/>
      <c r="F497" s="125"/>
      <c r="G497" s="75"/>
      <c r="H497" s="75" t="str">
        <f>IF(C497="","",D497+CAD_PROD!D497*(E497+F497)+G497)</f>
        <v/>
      </c>
      <c r="I497" s="52">
        <v>9.9999999999999995E-7</v>
      </c>
      <c r="J497" s="68" t="str">
        <f>IF(ISERROR(
CAD_PROD!F497*E497),"",CAD_PROD!F497*E497)</f>
        <v/>
      </c>
      <c r="K497" s="68" t="str">
        <f>IF(ISERROR(
CAD_PROD!F497*F497),"",CAD_PROD!F497*F497)</f>
        <v/>
      </c>
      <c r="L497" s="68" t="str">
        <f>IF(ISERROR(
CAD_PROD!D497-H497),"",CAD_PROD!D497-H497)</f>
        <v/>
      </c>
      <c r="M497" s="57" t="str">
        <f>IF(ISERROR(
L497/CAD_PROD!D497),"",L497/CAD_PROD!D497)</f>
        <v/>
      </c>
      <c r="N497" s="68" t="str">
        <f>IF(ISERROR(
(P497*CAD_PROD!D497)),"",(P497*CAD_PROD!D497))</f>
        <v/>
      </c>
      <c r="O497" s="68" t="str">
        <f>IF(ISERROR(PE_GERAL!$J$7*CAD_PROD!G497),"",PE_GERAL!$J$7*CAD_PROD!G497)</f>
        <v/>
      </c>
      <c r="P497" s="101" t="str">
        <f t="shared" si="23"/>
        <v/>
      </c>
      <c r="Q497" s="68" t="str">
        <f>IF(C497="","",IF(ISERROR(
CAD_PROD!E497*G497),"",CAD_PROD!E497*G497))</f>
        <v/>
      </c>
      <c r="R497" s="68" t="str">
        <f>IF(C497="","",IF(ISERROR(
CAD_PROD!E497*D497),"",CAD_PROD!E497*D497))</f>
        <v/>
      </c>
      <c r="S497" s="44" t="str">
        <f>IF(C497="","",IF(CAD_PROD!E497&gt;=P497,"Sim","Não"))</f>
        <v/>
      </c>
    </row>
    <row r="498" spans="1:19" ht="30" customHeight="1">
      <c r="A498" s="52">
        <f t="shared" si="21"/>
        <v>0</v>
      </c>
      <c r="B498" s="52">
        <f t="shared" si="22"/>
        <v>0</v>
      </c>
      <c r="C498" s="96" t="str">
        <f>IF(CAD_PROD!C498="","",CAD_PROD!C498)</f>
        <v/>
      </c>
      <c r="D498" s="75"/>
      <c r="E498" s="125"/>
      <c r="F498" s="125"/>
      <c r="G498" s="75"/>
      <c r="H498" s="75" t="str">
        <f>IF(C498="","",D498+CAD_PROD!D498*(E498+F498)+G498)</f>
        <v/>
      </c>
      <c r="I498" s="52">
        <v>9.9999999999999995E-7</v>
      </c>
      <c r="J498" s="68" t="str">
        <f>IF(ISERROR(
CAD_PROD!F498*E498),"",CAD_PROD!F498*E498)</f>
        <v/>
      </c>
      <c r="K498" s="68" t="str">
        <f>IF(ISERROR(
CAD_PROD!F498*F498),"",CAD_PROD!F498*F498)</f>
        <v/>
      </c>
      <c r="L498" s="68" t="str">
        <f>IF(ISERROR(
CAD_PROD!D498-H498),"",CAD_PROD!D498-H498)</f>
        <v/>
      </c>
      <c r="M498" s="57" t="str">
        <f>IF(ISERROR(
L498/CAD_PROD!D498),"",L498/CAD_PROD!D498)</f>
        <v/>
      </c>
      <c r="N498" s="68" t="str">
        <f>IF(ISERROR(
(P498*CAD_PROD!D498)),"",(P498*CAD_PROD!D498))</f>
        <v/>
      </c>
      <c r="O498" s="68" t="str">
        <f>IF(ISERROR(PE_GERAL!$J$7*CAD_PROD!G498),"",PE_GERAL!$J$7*CAD_PROD!G498)</f>
        <v/>
      </c>
      <c r="P498" s="101" t="str">
        <f t="shared" si="23"/>
        <v/>
      </c>
      <c r="Q498" s="68" t="str">
        <f>IF(C498="","",IF(ISERROR(
CAD_PROD!E498*G498),"",CAD_PROD!E498*G498))</f>
        <v/>
      </c>
      <c r="R498" s="68" t="str">
        <f>IF(C498="","",IF(ISERROR(
CAD_PROD!E498*D498),"",CAD_PROD!E498*D498))</f>
        <v/>
      </c>
      <c r="S498" s="44" t="str">
        <f>IF(C498="","",IF(CAD_PROD!E498&gt;=P498,"Sim","Não"))</f>
        <v/>
      </c>
    </row>
    <row r="499" spans="1:19" ht="30" customHeight="1">
      <c r="A499" s="52">
        <f t="shared" si="21"/>
        <v>0</v>
      </c>
      <c r="B499" s="52">
        <f t="shared" si="22"/>
        <v>0</v>
      </c>
      <c r="C499" s="96" t="str">
        <f>IF(CAD_PROD!C499="","",CAD_PROD!C499)</f>
        <v/>
      </c>
      <c r="D499" s="75"/>
      <c r="E499" s="125"/>
      <c r="F499" s="125"/>
      <c r="G499" s="75"/>
      <c r="H499" s="75" t="str">
        <f>IF(C499="","",D499+CAD_PROD!D499*(E499+F499)+G499)</f>
        <v/>
      </c>
      <c r="I499" s="52">
        <v>9.9999999999999995E-7</v>
      </c>
      <c r="J499" s="68" t="str">
        <f>IF(ISERROR(
CAD_PROD!F499*E499),"",CAD_PROD!F499*E499)</f>
        <v/>
      </c>
      <c r="K499" s="68" t="str">
        <f>IF(ISERROR(
CAD_PROD!F499*F499),"",CAD_PROD!F499*F499)</f>
        <v/>
      </c>
      <c r="L499" s="68" t="str">
        <f>IF(ISERROR(
CAD_PROD!D499-H499),"",CAD_PROD!D499-H499)</f>
        <v/>
      </c>
      <c r="M499" s="57" t="str">
        <f>IF(ISERROR(
L499/CAD_PROD!D499),"",L499/CAD_PROD!D499)</f>
        <v/>
      </c>
      <c r="N499" s="68" t="str">
        <f>IF(ISERROR(
(P499*CAD_PROD!D499)),"",(P499*CAD_PROD!D499))</f>
        <v/>
      </c>
      <c r="O499" s="68" t="str">
        <f>IF(ISERROR(PE_GERAL!$J$7*CAD_PROD!G499),"",PE_GERAL!$J$7*CAD_PROD!G499)</f>
        <v/>
      </c>
      <c r="P499" s="101" t="str">
        <f t="shared" si="23"/>
        <v/>
      </c>
      <c r="Q499" s="68" t="str">
        <f>IF(C499="","",IF(ISERROR(
CAD_PROD!E499*G499),"",CAD_PROD!E499*G499))</f>
        <v/>
      </c>
      <c r="R499" s="68" t="str">
        <f>IF(C499="","",IF(ISERROR(
CAD_PROD!E499*D499),"",CAD_PROD!E499*D499))</f>
        <v/>
      </c>
      <c r="S499" s="44" t="str">
        <f>IF(C499="","",IF(CAD_PROD!E499&gt;=P499,"Sim","Não"))</f>
        <v/>
      </c>
    </row>
    <row r="500" spans="1:19" ht="30" customHeight="1">
      <c r="A500" s="52">
        <f t="shared" si="21"/>
        <v>0</v>
      </c>
      <c r="B500" s="52">
        <f t="shared" si="22"/>
        <v>0</v>
      </c>
      <c r="C500" s="96" t="str">
        <f>IF(CAD_PROD!C500="","",CAD_PROD!C500)</f>
        <v/>
      </c>
      <c r="D500" s="75"/>
      <c r="E500" s="125"/>
      <c r="F500" s="125"/>
      <c r="G500" s="75"/>
      <c r="H500" s="75" t="str">
        <f>IF(C500="","",D500+CAD_PROD!D500*(E500+F500)+G500)</f>
        <v/>
      </c>
      <c r="I500" s="52">
        <v>9.9999999999999995E-7</v>
      </c>
      <c r="J500" s="68" t="str">
        <f>IF(ISERROR(
CAD_PROD!F500*E500),"",CAD_PROD!F500*E500)</f>
        <v/>
      </c>
      <c r="K500" s="68" t="str">
        <f>IF(ISERROR(
CAD_PROD!F500*F500),"",CAD_PROD!F500*F500)</f>
        <v/>
      </c>
      <c r="L500" s="68" t="str">
        <f>IF(ISERROR(
CAD_PROD!D500-H500),"",CAD_PROD!D500-H500)</f>
        <v/>
      </c>
      <c r="M500" s="57" t="str">
        <f>IF(ISERROR(
L500/CAD_PROD!D500),"",L500/CAD_PROD!D500)</f>
        <v/>
      </c>
      <c r="N500" s="68" t="str">
        <f>IF(ISERROR(
(P500*CAD_PROD!D500)),"",(P500*CAD_PROD!D500))</f>
        <v/>
      </c>
      <c r="O500" s="68" t="str">
        <f>IF(ISERROR(PE_GERAL!$J$7*CAD_PROD!G500),"",PE_GERAL!$J$7*CAD_PROD!G500)</f>
        <v/>
      </c>
      <c r="P500" s="101" t="str">
        <f t="shared" si="23"/>
        <v/>
      </c>
      <c r="Q500" s="68" t="str">
        <f>IF(C500="","",IF(ISERROR(
CAD_PROD!E500*G500),"",CAD_PROD!E500*G500))</f>
        <v/>
      </c>
      <c r="R500" s="68" t="str">
        <f>IF(C500="","",IF(ISERROR(
CAD_PROD!E500*D500),"",CAD_PROD!E500*D500))</f>
        <v/>
      </c>
      <c r="S500" s="44" t="str">
        <f>IF(C500="","",IF(CAD_PROD!E500&gt;=P500,"Sim","Não"))</f>
        <v/>
      </c>
    </row>
    <row r="501" spans="1:19" ht="30" customHeight="1">
      <c r="A501" s="52">
        <f t="shared" si="21"/>
        <v>0</v>
      </c>
      <c r="B501" s="52">
        <f t="shared" si="22"/>
        <v>0</v>
      </c>
      <c r="C501" s="96" t="str">
        <f>IF(CAD_PROD!C501="","",CAD_PROD!C501)</f>
        <v/>
      </c>
      <c r="D501" s="75"/>
      <c r="E501" s="125"/>
      <c r="F501" s="125"/>
      <c r="G501" s="75"/>
      <c r="H501" s="75" t="str">
        <f>IF(C501="","",D501+CAD_PROD!D501*(E501+F501)+G501)</f>
        <v/>
      </c>
      <c r="I501" s="52">
        <v>9.9999999999999995E-7</v>
      </c>
      <c r="J501" s="68" t="str">
        <f>IF(ISERROR(
CAD_PROD!F501*E501),"",CAD_PROD!F501*E501)</f>
        <v/>
      </c>
      <c r="K501" s="68" t="str">
        <f>IF(ISERROR(
CAD_PROD!F501*F501),"",CAD_PROD!F501*F501)</f>
        <v/>
      </c>
      <c r="L501" s="68" t="str">
        <f>IF(ISERROR(
CAD_PROD!D501-H501),"",CAD_PROD!D501-H501)</f>
        <v/>
      </c>
      <c r="M501" s="57" t="str">
        <f>IF(ISERROR(
L501/CAD_PROD!D501),"",L501/CAD_PROD!D501)</f>
        <v/>
      </c>
      <c r="N501" s="68" t="str">
        <f>IF(ISERROR(
(P501*CAD_PROD!D501)),"",(P501*CAD_PROD!D501))</f>
        <v/>
      </c>
      <c r="O501" s="68" t="str">
        <f>IF(ISERROR(PE_GERAL!$J$7*CAD_PROD!G501),"",PE_GERAL!$J$7*CAD_PROD!G501)</f>
        <v/>
      </c>
      <c r="P501" s="101" t="str">
        <f t="shared" si="23"/>
        <v/>
      </c>
      <c r="Q501" s="68" t="str">
        <f>IF(C501="","",IF(ISERROR(
CAD_PROD!E501*G501),"",CAD_PROD!E501*G501))</f>
        <v/>
      </c>
      <c r="R501" s="68" t="str">
        <f>IF(C501="","",IF(ISERROR(
CAD_PROD!E501*D501),"",CAD_PROD!E501*D501))</f>
        <v/>
      </c>
      <c r="S501" s="44" t="str">
        <f>IF(C501="","",IF(CAD_PROD!E501&gt;=P501,"Sim","Não"))</f>
        <v/>
      </c>
    </row>
    <row r="502" spans="1:19" ht="30" customHeight="1">
      <c r="A502" s="52">
        <f t="shared" si="21"/>
        <v>0</v>
      </c>
      <c r="B502" s="52">
        <f t="shared" si="22"/>
        <v>0</v>
      </c>
      <c r="C502" s="96" t="str">
        <f>IF(CAD_PROD!C502="","",CAD_PROD!C502)</f>
        <v/>
      </c>
      <c r="D502" s="75"/>
      <c r="E502" s="125"/>
      <c r="F502" s="125"/>
      <c r="G502" s="75"/>
      <c r="H502" s="75" t="str">
        <f>IF(C502="","",D502+CAD_PROD!D502*(E502+F502)+G502)</f>
        <v/>
      </c>
      <c r="I502" s="52">
        <v>9.9999999999999995E-7</v>
      </c>
      <c r="J502" s="68" t="str">
        <f>IF(ISERROR(
CAD_PROD!F502*E502),"",CAD_PROD!F502*E502)</f>
        <v/>
      </c>
      <c r="K502" s="68" t="str">
        <f>IF(ISERROR(
CAD_PROD!F502*F502),"",CAD_PROD!F502*F502)</f>
        <v/>
      </c>
      <c r="L502" s="68" t="str">
        <f>IF(ISERROR(
CAD_PROD!D502-H502),"",CAD_PROD!D502-H502)</f>
        <v/>
      </c>
      <c r="M502" s="57" t="str">
        <f>IF(ISERROR(
L502/CAD_PROD!D502),"",L502/CAD_PROD!D502)</f>
        <v/>
      </c>
      <c r="N502" s="68" t="str">
        <f>IF(ISERROR(
(P502*CAD_PROD!D502)),"",(P502*CAD_PROD!D502))</f>
        <v/>
      </c>
      <c r="O502" s="68" t="str">
        <f>IF(ISERROR(PE_GERAL!$J$7*CAD_PROD!G502),"",PE_GERAL!$J$7*CAD_PROD!G502)</f>
        <v/>
      </c>
      <c r="P502" s="101" t="str">
        <f t="shared" si="23"/>
        <v/>
      </c>
      <c r="Q502" s="68" t="str">
        <f>IF(C502="","",IF(ISERROR(
CAD_PROD!E502*G502),"",CAD_PROD!E502*G502))</f>
        <v/>
      </c>
      <c r="R502" s="68" t="str">
        <f>IF(C502="","",IF(ISERROR(
CAD_PROD!E502*D502),"",CAD_PROD!E502*D502))</f>
        <v/>
      </c>
      <c r="S502" s="44" t="str">
        <f>IF(C502="","",IF(CAD_PROD!E502&gt;=P502,"Sim","Não"))</f>
        <v/>
      </c>
    </row>
    <row r="503" spans="1:19" ht="30" customHeight="1">
      <c r="A503" s="52">
        <f t="shared" si="21"/>
        <v>0</v>
      </c>
      <c r="B503" s="52">
        <f t="shared" si="22"/>
        <v>0</v>
      </c>
      <c r="C503" s="96" t="str">
        <f>IF(CAD_PROD!C503="","",CAD_PROD!C503)</f>
        <v/>
      </c>
      <c r="D503" s="75"/>
      <c r="E503" s="125"/>
      <c r="F503" s="125"/>
      <c r="G503" s="75"/>
      <c r="H503" s="75" t="str">
        <f>IF(C503="","",D503+CAD_PROD!D503*(E503+F503)+G503)</f>
        <v/>
      </c>
      <c r="I503" s="52">
        <v>9.9999999999999995E-7</v>
      </c>
      <c r="J503" s="68" t="str">
        <f>IF(ISERROR(
CAD_PROD!F503*E503),"",CAD_PROD!F503*E503)</f>
        <v/>
      </c>
      <c r="K503" s="68" t="str">
        <f>IF(ISERROR(
CAD_PROD!F503*F503),"",CAD_PROD!F503*F503)</f>
        <v/>
      </c>
      <c r="L503" s="68" t="str">
        <f>IF(ISERROR(
CAD_PROD!D503-H503),"",CAD_PROD!D503-H503)</f>
        <v/>
      </c>
      <c r="M503" s="57" t="str">
        <f>IF(ISERROR(
L503/CAD_PROD!D503),"",L503/CAD_PROD!D503)</f>
        <v/>
      </c>
      <c r="N503" s="68" t="str">
        <f>IF(ISERROR(
(P503*CAD_PROD!D503)),"",(P503*CAD_PROD!D503))</f>
        <v/>
      </c>
      <c r="O503" s="68" t="str">
        <f>IF(ISERROR(PE_GERAL!$J$7*CAD_PROD!G503),"",PE_GERAL!$J$7*CAD_PROD!G503)</f>
        <v/>
      </c>
      <c r="P503" s="101" t="str">
        <f t="shared" si="23"/>
        <v/>
      </c>
      <c r="Q503" s="68" t="str">
        <f>IF(C503="","",IF(ISERROR(
CAD_PROD!E503*G503),"",CAD_PROD!E503*G503))</f>
        <v/>
      </c>
      <c r="R503" s="68" t="str">
        <f>IF(C503="","",IF(ISERROR(
CAD_PROD!E503*D503),"",CAD_PROD!E503*D503))</f>
        <v/>
      </c>
      <c r="S503" s="44" t="str">
        <f>IF(C503="","",IF(CAD_PROD!E503&gt;=P503,"Sim","Não"))</f>
        <v/>
      </c>
    </row>
    <row r="504" spans="1:19" ht="30" customHeight="1">
      <c r="A504" s="52">
        <f t="shared" si="21"/>
        <v>0</v>
      </c>
      <c r="B504" s="52">
        <f t="shared" si="22"/>
        <v>0</v>
      </c>
      <c r="C504" s="96" t="str">
        <f>IF(CAD_PROD!C504="","",CAD_PROD!C504)</f>
        <v/>
      </c>
      <c r="D504" s="75"/>
      <c r="E504" s="125"/>
      <c r="F504" s="125"/>
      <c r="G504" s="75"/>
      <c r="H504" s="75" t="str">
        <f>IF(C504="","",D504+CAD_PROD!D504*(E504+F504)+G504)</f>
        <v/>
      </c>
      <c r="I504" s="52">
        <v>9.9999999999999995E-7</v>
      </c>
      <c r="J504" s="68" t="str">
        <f>IF(ISERROR(
CAD_PROD!F504*E504),"",CAD_PROD!F504*E504)</f>
        <v/>
      </c>
      <c r="K504" s="68" t="str">
        <f>IF(ISERROR(
CAD_PROD!F504*F504),"",CAD_PROD!F504*F504)</f>
        <v/>
      </c>
      <c r="L504" s="68" t="str">
        <f>IF(ISERROR(
CAD_PROD!D504-H504),"",CAD_PROD!D504-H504)</f>
        <v/>
      </c>
      <c r="M504" s="57" t="str">
        <f>IF(ISERROR(
L504/CAD_PROD!D504),"",L504/CAD_PROD!D504)</f>
        <v/>
      </c>
      <c r="N504" s="68" t="str">
        <f>IF(ISERROR(
(P504*CAD_PROD!D504)),"",(P504*CAD_PROD!D504))</f>
        <v/>
      </c>
      <c r="O504" s="68" t="str">
        <f>IF(ISERROR(PE_GERAL!$J$7*CAD_PROD!G504),"",PE_GERAL!$J$7*CAD_PROD!G504)</f>
        <v/>
      </c>
      <c r="P504" s="101" t="str">
        <f t="shared" si="23"/>
        <v/>
      </c>
      <c r="Q504" s="68" t="str">
        <f>IF(C504="","",IF(ISERROR(
CAD_PROD!E504*G504),"",CAD_PROD!E504*G504))</f>
        <v/>
      </c>
      <c r="R504" s="68" t="str">
        <f>IF(C504="","",IF(ISERROR(
CAD_PROD!E504*D504),"",CAD_PROD!E504*D504))</f>
        <v/>
      </c>
      <c r="S504" s="44" t="str">
        <f>IF(C504="","",IF(CAD_PROD!E504&gt;=P504,"Sim","Não"))</f>
        <v/>
      </c>
    </row>
    <row r="505" spans="1:19" ht="30" customHeight="1">
      <c r="A505" s="52">
        <f t="shared" si="21"/>
        <v>0</v>
      </c>
      <c r="B505" s="52">
        <f t="shared" si="22"/>
        <v>0</v>
      </c>
      <c r="C505" s="96" t="str">
        <f>IF(CAD_PROD!C505="","",CAD_PROD!C505)</f>
        <v/>
      </c>
      <c r="D505" s="75"/>
      <c r="E505" s="125"/>
      <c r="F505" s="125"/>
      <c r="G505" s="75"/>
      <c r="H505" s="75" t="str">
        <f>IF(C505="","",D505+CAD_PROD!D505*(E505+F505)+G505)</f>
        <v/>
      </c>
      <c r="I505" s="52">
        <v>9.9999999999999995E-7</v>
      </c>
      <c r="J505" s="68" t="str">
        <f>IF(ISERROR(
CAD_PROD!F505*E505),"",CAD_PROD!F505*E505)</f>
        <v/>
      </c>
      <c r="K505" s="68" t="str">
        <f>IF(ISERROR(
CAD_PROD!F505*F505),"",CAD_PROD!F505*F505)</f>
        <v/>
      </c>
      <c r="L505" s="68" t="str">
        <f>IF(ISERROR(
CAD_PROD!D505-H505),"",CAD_PROD!D505-H505)</f>
        <v/>
      </c>
      <c r="M505" s="57" t="str">
        <f>IF(ISERROR(
L505/CAD_PROD!D505),"",L505/CAD_PROD!D505)</f>
        <v/>
      </c>
      <c r="N505" s="68" t="str">
        <f>IF(ISERROR(
(P505*CAD_PROD!D505)),"",(P505*CAD_PROD!D505))</f>
        <v/>
      </c>
      <c r="O505" s="68" t="str">
        <f>IF(ISERROR(PE_GERAL!$J$7*CAD_PROD!G505),"",PE_GERAL!$J$7*CAD_PROD!G505)</f>
        <v/>
      </c>
      <c r="P505" s="101" t="str">
        <f t="shared" si="23"/>
        <v/>
      </c>
      <c r="Q505" s="68" t="str">
        <f>IF(C505="","",IF(ISERROR(
CAD_PROD!E505*G505),"",CAD_PROD!E505*G505))</f>
        <v/>
      </c>
      <c r="R505" s="68" t="str">
        <f>IF(C505="","",IF(ISERROR(
CAD_PROD!E505*D505),"",CAD_PROD!E505*D505))</f>
        <v/>
      </c>
      <c r="S505" s="44" t="str">
        <f>IF(C505="","",IF(CAD_PROD!E505&gt;=P505,"Sim","Não"))</f>
        <v/>
      </c>
    </row>
    <row r="506" spans="1:19" ht="30" customHeight="1">
      <c r="N506" s="66"/>
      <c r="O506" s="66"/>
      <c r="P506" s="66"/>
    </row>
  </sheetData>
  <autoFilter ref="C5:H5" xr:uid="{55C80FB1-9BC5-4EE5-BAF8-62084690E3FA}"/>
  <pageMargins left="0.7" right="0.7" top="0.75" bottom="0.75" header="0.3" footer="0.3"/>
  <pageSetup paperSize="9" orientation="portrait" r:id="rId1"/>
  <ignoredErrors>
    <ignoredError sqref="C11:H505 C6 Q7:Q505 Q6 R6:R505 J6:M6 J7:N505 H6 C7:D7 G7:H7 C8:C10 H8:H10" unlockedFormula="1"/>
  </ignoredError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FD589"/>
  <sheetViews>
    <sheetView showGridLines="0" zoomScale="90" zoomScaleNormal="90" zoomScalePageLayoutView="80" workbookViewId="0">
      <pane ySplit="5" topLeftCell="A6" activePane="bottomLeft" state="frozen"/>
      <selection activeCell="A3" sqref="A3:XFD3"/>
      <selection pane="bottomLeft" activeCell="C3" sqref="C3"/>
    </sheetView>
  </sheetViews>
  <sheetFormatPr defaultColWidth="11" defaultRowHeight="15"/>
  <cols>
    <col min="1" max="1" width="2.125" style="47" customWidth="1"/>
    <col min="2" max="2" width="1.375" style="52" customWidth="1"/>
    <col min="3" max="3" width="26.875" style="123" customWidth="1"/>
    <col min="4" max="4" width="23.25" style="123" customWidth="1"/>
    <col min="5" max="5" width="1.25" style="47" customWidth="1"/>
    <col min="6" max="6" width="36.875" style="47" customWidth="1"/>
    <col min="7" max="7" width="23.25" style="47" customWidth="1"/>
    <col min="8" max="8" width="1.25" style="47" customWidth="1"/>
    <col min="9" max="9" width="31.125" style="47" customWidth="1"/>
    <col min="10" max="10" width="23.25" style="47" customWidth="1"/>
    <col min="11" max="16384" width="11" style="47"/>
  </cols>
  <sheetData>
    <row r="1" spans="1:16384" s="45" customFormat="1" ht="39" customHeight="1">
      <c r="B1" s="50"/>
    </row>
    <row r="2" spans="1:16384" s="46" customFormat="1" ht="30" customHeight="1">
      <c r="B2" s="51"/>
      <c r="C2" s="38"/>
      <c r="D2" s="39"/>
      <c r="E2" s="39"/>
      <c r="F2" s="39"/>
    </row>
    <row r="3" spans="1:16384" customFormat="1" ht="44.25" customHeight="1">
      <c r="A3" s="119"/>
      <c r="B3" s="120"/>
      <c r="C3" s="121"/>
      <c r="D3" s="120"/>
      <c r="E3" s="122"/>
      <c r="F3" s="122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0"/>
      <c r="CO3" s="120"/>
      <c r="CP3" s="120"/>
      <c r="CQ3" s="120"/>
      <c r="CR3" s="120"/>
      <c r="CS3" s="120"/>
      <c r="CT3" s="120"/>
      <c r="CU3" s="120"/>
      <c r="CV3" s="120"/>
      <c r="CW3" s="120"/>
      <c r="CX3" s="120"/>
      <c r="CY3" s="120"/>
      <c r="CZ3" s="120"/>
      <c r="DA3" s="120"/>
      <c r="DB3" s="120"/>
      <c r="DC3" s="120"/>
      <c r="DD3" s="120"/>
      <c r="DE3" s="120"/>
      <c r="DF3" s="120"/>
      <c r="DG3" s="120"/>
      <c r="DH3" s="120"/>
      <c r="DI3" s="120"/>
      <c r="DJ3" s="120"/>
      <c r="DK3" s="120"/>
      <c r="DL3" s="120"/>
      <c r="DM3" s="120"/>
      <c r="DN3" s="120"/>
      <c r="DO3" s="120"/>
      <c r="DP3" s="120"/>
      <c r="DQ3" s="120"/>
      <c r="DR3" s="120"/>
      <c r="DS3" s="120"/>
      <c r="DT3" s="120"/>
      <c r="DU3" s="120"/>
      <c r="DV3" s="120"/>
      <c r="DW3" s="120"/>
      <c r="DX3" s="120"/>
      <c r="DY3" s="120"/>
      <c r="DZ3" s="120"/>
      <c r="EA3" s="120"/>
      <c r="EB3" s="120"/>
      <c r="EC3" s="120"/>
      <c r="ED3" s="120"/>
      <c r="EE3" s="120"/>
      <c r="EF3" s="120"/>
      <c r="EG3" s="120"/>
      <c r="EH3" s="120"/>
      <c r="EI3" s="120"/>
      <c r="EJ3" s="120"/>
      <c r="EK3" s="120"/>
      <c r="EL3" s="120"/>
      <c r="EM3" s="120"/>
      <c r="EN3" s="120"/>
      <c r="EO3" s="120"/>
      <c r="EP3" s="120"/>
      <c r="EQ3" s="120"/>
      <c r="ER3" s="120"/>
      <c r="ES3" s="120"/>
      <c r="ET3" s="120"/>
      <c r="EU3" s="120"/>
      <c r="EV3" s="120"/>
      <c r="EW3" s="120"/>
      <c r="EX3" s="120"/>
      <c r="EY3" s="120"/>
      <c r="EZ3" s="120"/>
      <c r="FA3" s="120"/>
      <c r="FB3" s="120"/>
      <c r="FC3" s="120"/>
      <c r="FD3" s="120"/>
      <c r="FE3" s="120"/>
      <c r="FF3" s="120"/>
      <c r="FG3" s="120"/>
      <c r="FH3" s="120"/>
      <c r="FI3" s="120"/>
      <c r="FJ3" s="120"/>
      <c r="FK3" s="120"/>
      <c r="FL3" s="120"/>
      <c r="FM3" s="120"/>
      <c r="FN3" s="120"/>
      <c r="FO3" s="120"/>
      <c r="FP3" s="120"/>
      <c r="FQ3" s="120"/>
      <c r="FR3" s="120"/>
      <c r="FS3" s="120"/>
      <c r="FT3" s="120"/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0"/>
      <c r="GJ3" s="120"/>
      <c r="GK3" s="120"/>
      <c r="GL3" s="120"/>
      <c r="GM3" s="120"/>
      <c r="GN3" s="120"/>
      <c r="GO3" s="120"/>
      <c r="GP3" s="120"/>
      <c r="GQ3" s="120"/>
      <c r="GR3" s="120"/>
      <c r="GS3" s="120"/>
      <c r="GT3" s="120"/>
      <c r="GU3" s="120"/>
      <c r="GV3" s="120"/>
      <c r="GW3" s="120"/>
      <c r="GX3" s="120"/>
      <c r="GY3" s="120"/>
      <c r="GZ3" s="120"/>
      <c r="HA3" s="120"/>
      <c r="HB3" s="120"/>
      <c r="HC3" s="120"/>
      <c r="HD3" s="120"/>
      <c r="HE3" s="120"/>
      <c r="HF3" s="120"/>
      <c r="HG3" s="120"/>
      <c r="HH3" s="120"/>
      <c r="HI3" s="120"/>
      <c r="HJ3" s="120"/>
      <c r="HK3" s="120"/>
      <c r="HL3" s="120"/>
      <c r="HM3" s="120"/>
      <c r="HN3" s="120"/>
      <c r="HO3" s="120"/>
      <c r="HP3" s="120"/>
      <c r="HQ3" s="120"/>
      <c r="HR3" s="120"/>
      <c r="HS3" s="120"/>
      <c r="HT3" s="120"/>
      <c r="HU3" s="120"/>
      <c r="HV3" s="120"/>
      <c r="HW3" s="120"/>
      <c r="HX3" s="120"/>
      <c r="HY3" s="120"/>
      <c r="HZ3" s="120"/>
      <c r="IA3" s="120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P3" s="120"/>
      <c r="IQ3" s="120"/>
      <c r="IR3" s="120"/>
      <c r="IS3" s="120"/>
      <c r="IT3" s="120"/>
      <c r="IU3" s="120"/>
      <c r="IV3" s="120"/>
      <c r="IW3" s="120"/>
      <c r="IX3" s="120"/>
      <c r="IY3" s="120"/>
      <c r="IZ3" s="120"/>
      <c r="JA3" s="120"/>
      <c r="JB3" s="120"/>
      <c r="JC3" s="120"/>
      <c r="JD3" s="120"/>
      <c r="JE3" s="120"/>
      <c r="JF3" s="120"/>
      <c r="JG3" s="120"/>
      <c r="JH3" s="120"/>
      <c r="JI3" s="120"/>
      <c r="JJ3" s="120"/>
      <c r="JK3" s="120"/>
      <c r="JL3" s="120"/>
      <c r="JM3" s="120"/>
      <c r="JN3" s="120"/>
      <c r="JO3" s="120"/>
      <c r="JP3" s="120"/>
      <c r="JQ3" s="120"/>
      <c r="JR3" s="120"/>
      <c r="JS3" s="120"/>
      <c r="JT3" s="120"/>
      <c r="JU3" s="120"/>
      <c r="JV3" s="120"/>
      <c r="JW3" s="120"/>
      <c r="JX3" s="120"/>
      <c r="JY3" s="120"/>
      <c r="JZ3" s="120"/>
      <c r="KA3" s="120"/>
      <c r="KB3" s="120"/>
      <c r="KC3" s="120"/>
      <c r="KD3" s="120"/>
      <c r="KE3" s="120"/>
      <c r="KF3" s="120"/>
      <c r="KG3" s="120"/>
      <c r="KH3" s="120"/>
      <c r="KI3" s="120"/>
      <c r="KJ3" s="120"/>
      <c r="KK3" s="120"/>
      <c r="KL3" s="120"/>
      <c r="KM3" s="120"/>
      <c r="KN3" s="120"/>
      <c r="KO3" s="120"/>
      <c r="KP3" s="120"/>
      <c r="KQ3" s="120"/>
      <c r="KR3" s="120"/>
      <c r="KS3" s="120"/>
      <c r="KT3" s="120"/>
      <c r="KU3" s="120"/>
      <c r="KV3" s="120"/>
      <c r="KW3" s="120"/>
      <c r="KX3" s="120"/>
      <c r="KY3" s="120"/>
      <c r="KZ3" s="120"/>
      <c r="LA3" s="120"/>
      <c r="LB3" s="120"/>
      <c r="LC3" s="120"/>
      <c r="LD3" s="120"/>
      <c r="LE3" s="120"/>
      <c r="LF3" s="120"/>
      <c r="LG3" s="120"/>
      <c r="LH3" s="120"/>
      <c r="LI3" s="120"/>
      <c r="LJ3" s="120"/>
      <c r="LK3" s="120"/>
      <c r="LL3" s="120"/>
      <c r="LM3" s="120"/>
      <c r="LN3" s="120"/>
      <c r="LO3" s="120"/>
      <c r="LP3" s="120"/>
      <c r="LQ3" s="120"/>
      <c r="LR3" s="120"/>
      <c r="LS3" s="120"/>
      <c r="LT3" s="120"/>
      <c r="LU3" s="120"/>
      <c r="LV3" s="120"/>
      <c r="LW3" s="120"/>
      <c r="LX3" s="120"/>
      <c r="LY3" s="120"/>
      <c r="LZ3" s="120"/>
      <c r="MA3" s="120"/>
      <c r="MB3" s="120"/>
      <c r="MC3" s="120"/>
      <c r="MD3" s="120"/>
      <c r="ME3" s="120"/>
      <c r="MF3" s="120"/>
      <c r="MG3" s="120"/>
      <c r="MH3" s="120"/>
      <c r="MI3" s="120"/>
      <c r="MJ3" s="120"/>
      <c r="MK3" s="120"/>
      <c r="ML3" s="120"/>
      <c r="MM3" s="120"/>
      <c r="MN3" s="120"/>
      <c r="MO3" s="120"/>
      <c r="MP3" s="120"/>
      <c r="MQ3" s="120"/>
      <c r="MR3" s="120"/>
      <c r="MS3" s="120"/>
      <c r="MT3" s="120"/>
      <c r="MU3" s="120"/>
      <c r="MV3" s="120"/>
      <c r="MW3" s="120"/>
      <c r="MX3" s="120"/>
      <c r="MY3" s="120"/>
      <c r="MZ3" s="120"/>
      <c r="NA3" s="120"/>
      <c r="NB3" s="120"/>
      <c r="NC3" s="120"/>
      <c r="ND3" s="120"/>
      <c r="NE3" s="120"/>
      <c r="NF3" s="120"/>
      <c r="NG3" s="120"/>
      <c r="NH3" s="120"/>
      <c r="NI3" s="120"/>
      <c r="NJ3" s="120"/>
      <c r="NK3" s="120"/>
      <c r="NL3" s="120"/>
      <c r="NM3" s="120"/>
      <c r="NN3" s="120"/>
      <c r="NO3" s="120"/>
      <c r="NP3" s="120"/>
      <c r="NQ3" s="120"/>
      <c r="NR3" s="120"/>
      <c r="NS3" s="120"/>
      <c r="NT3" s="120"/>
      <c r="NU3" s="120"/>
      <c r="NV3" s="120"/>
      <c r="NW3" s="120"/>
      <c r="NX3" s="120"/>
      <c r="NY3" s="120"/>
      <c r="NZ3" s="120"/>
      <c r="OA3" s="120"/>
      <c r="OB3" s="120"/>
      <c r="OC3" s="120"/>
      <c r="OD3" s="120"/>
      <c r="OE3" s="120"/>
      <c r="OF3" s="120"/>
      <c r="OG3" s="120"/>
      <c r="OH3" s="120"/>
      <c r="OI3" s="120"/>
      <c r="OJ3" s="120"/>
      <c r="OK3" s="120"/>
      <c r="OL3" s="120"/>
      <c r="OM3" s="120"/>
      <c r="ON3" s="120"/>
      <c r="OO3" s="120"/>
      <c r="OP3" s="120"/>
      <c r="OQ3" s="120"/>
      <c r="OR3" s="120"/>
      <c r="OS3" s="120"/>
      <c r="OT3" s="120"/>
      <c r="OU3" s="120"/>
      <c r="OV3" s="120"/>
      <c r="OW3" s="120"/>
      <c r="OX3" s="120"/>
      <c r="OY3" s="120"/>
      <c r="OZ3" s="120"/>
      <c r="PA3" s="120"/>
      <c r="PB3" s="120"/>
      <c r="PC3" s="120"/>
      <c r="PD3" s="120"/>
      <c r="PE3" s="120"/>
      <c r="PF3" s="120"/>
      <c r="PG3" s="120"/>
      <c r="PH3" s="120"/>
      <c r="PI3" s="120"/>
      <c r="PJ3" s="120"/>
      <c r="PK3" s="120"/>
      <c r="PL3" s="120"/>
      <c r="PM3" s="120"/>
      <c r="PN3" s="120"/>
      <c r="PO3" s="120"/>
      <c r="PP3" s="120"/>
      <c r="PQ3" s="120"/>
      <c r="PR3" s="120"/>
      <c r="PS3" s="120"/>
      <c r="PT3" s="120"/>
      <c r="PU3" s="120"/>
      <c r="PV3" s="120"/>
      <c r="PW3" s="120"/>
      <c r="PX3" s="120"/>
      <c r="PY3" s="120"/>
      <c r="PZ3" s="120"/>
      <c r="QA3" s="120"/>
      <c r="QB3" s="120"/>
      <c r="QC3" s="120"/>
      <c r="QD3" s="120"/>
      <c r="QE3" s="120"/>
      <c r="QF3" s="120"/>
      <c r="QG3" s="120"/>
      <c r="QH3" s="120"/>
      <c r="QI3" s="120"/>
      <c r="QJ3" s="120"/>
      <c r="QK3" s="120"/>
      <c r="QL3" s="120"/>
      <c r="QM3" s="120"/>
      <c r="QN3" s="120"/>
      <c r="QO3" s="120"/>
      <c r="QP3" s="120"/>
      <c r="QQ3" s="120"/>
      <c r="QR3" s="120"/>
      <c r="QS3" s="120"/>
      <c r="QT3" s="120"/>
      <c r="QU3" s="120"/>
      <c r="QV3" s="120"/>
      <c r="QW3" s="120"/>
      <c r="QX3" s="120"/>
      <c r="QY3" s="120"/>
      <c r="QZ3" s="120"/>
      <c r="RA3" s="120"/>
      <c r="RB3" s="120"/>
      <c r="RC3" s="120"/>
      <c r="RD3" s="120"/>
      <c r="RE3" s="120"/>
      <c r="RF3" s="120"/>
      <c r="RG3" s="120"/>
      <c r="RH3" s="120"/>
      <c r="RI3" s="120"/>
      <c r="RJ3" s="120"/>
      <c r="RK3" s="120"/>
      <c r="RL3" s="120"/>
      <c r="RM3" s="120"/>
      <c r="RN3" s="120"/>
      <c r="RO3" s="120"/>
      <c r="RP3" s="120"/>
      <c r="RQ3" s="120"/>
      <c r="RR3" s="120"/>
      <c r="RS3" s="120"/>
      <c r="RT3" s="120"/>
      <c r="RU3" s="120"/>
      <c r="RV3" s="120"/>
      <c r="RW3" s="120"/>
      <c r="RX3" s="120"/>
      <c r="RY3" s="120"/>
      <c r="RZ3" s="120"/>
      <c r="SA3" s="120"/>
      <c r="SB3" s="120"/>
      <c r="SC3" s="120"/>
      <c r="SD3" s="120"/>
      <c r="SE3" s="120"/>
      <c r="SF3" s="120"/>
      <c r="SG3" s="120"/>
      <c r="SH3" s="120"/>
      <c r="SI3" s="120"/>
      <c r="SJ3" s="120"/>
      <c r="SK3" s="120"/>
      <c r="SL3" s="120"/>
      <c r="SM3" s="120"/>
      <c r="SN3" s="120"/>
      <c r="SO3" s="120"/>
      <c r="SP3" s="120"/>
      <c r="SQ3" s="120"/>
      <c r="SR3" s="120"/>
      <c r="SS3" s="120"/>
      <c r="ST3" s="120"/>
      <c r="SU3" s="120"/>
      <c r="SV3" s="120"/>
      <c r="SW3" s="120"/>
      <c r="SX3" s="120"/>
      <c r="SY3" s="120"/>
      <c r="SZ3" s="120"/>
      <c r="TA3" s="120"/>
      <c r="TB3" s="120"/>
      <c r="TC3" s="120"/>
      <c r="TD3" s="120"/>
      <c r="TE3" s="120"/>
      <c r="TF3" s="120"/>
      <c r="TG3" s="120"/>
      <c r="TH3" s="120"/>
      <c r="TI3" s="120"/>
      <c r="TJ3" s="120"/>
      <c r="TK3" s="120"/>
      <c r="TL3" s="120"/>
      <c r="TM3" s="120"/>
      <c r="TN3" s="120"/>
      <c r="TO3" s="120"/>
      <c r="TP3" s="120"/>
      <c r="TQ3" s="120"/>
      <c r="TR3" s="120"/>
      <c r="TS3" s="120"/>
      <c r="TT3" s="120"/>
      <c r="TU3" s="120"/>
      <c r="TV3" s="120"/>
      <c r="TW3" s="120"/>
      <c r="TX3" s="120"/>
      <c r="TY3" s="120"/>
      <c r="TZ3" s="120"/>
      <c r="UA3" s="120"/>
      <c r="UB3" s="120"/>
      <c r="UC3" s="120"/>
      <c r="UD3" s="120"/>
      <c r="UE3" s="120"/>
      <c r="UF3" s="120"/>
      <c r="UG3" s="120"/>
      <c r="UH3" s="120"/>
      <c r="UI3" s="120"/>
      <c r="UJ3" s="120"/>
      <c r="UK3" s="120"/>
      <c r="UL3" s="120"/>
      <c r="UM3" s="120"/>
      <c r="UN3" s="120"/>
      <c r="UO3" s="120"/>
      <c r="UP3" s="120"/>
      <c r="UQ3" s="120"/>
      <c r="UR3" s="120"/>
      <c r="US3" s="120"/>
      <c r="UT3" s="120"/>
      <c r="UU3" s="120"/>
      <c r="UV3" s="120"/>
      <c r="UW3" s="120"/>
      <c r="UX3" s="120"/>
      <c r="UY3" s="120"/>
      <c r="UZ3" s="120"/>
      <c r="VA3" s="120"/>
      <c r="VB3" s="120"/>
      <c r="VC3" s="120"/>
      <c r="VD3" s="120"/>
      <c r="VE3" s="120"/>
      <c r="VF3" s="120"/>
      <c r="VG3" s="120"/>
      <c r="VH3" s="120"/>
      <c r="VI3" s="120"/>
      <c r="VJ3" s="120"/>
      <c r="VK3" s="120"/>
      <c r="VL3" s="120"/>
      <c r="VM3" s="120"/>
      <c r="VN3" s="120"/>
      <c r="VO3" s="120"/>
      <c r="VP3" s="120"/>
      <c r="VQ3" s="120"/>
      <c r="VR3" s="120"/>
      <c r="VS3" s="120"/>
      <c r="VT3" s="120"/>
      <c r="VU3" s="120"/>
      <c r="VV3" s="120"/>
      <c r="VW3" s="120"/>
      <c r="VX3" s="120"/>
      <c r="VY3" s="120"/>
      <c r="VZ3" s="120"/>
      <c r="WA3" s="120"/>
      <c r="WB3" s="120"/>
      <c r="WC3" s="120"/>
      <c r="WD3" s="120"/>
      <c r="WE3" s="120"/>
      <c r="WF3" s="120"/>
      <c r="WG3" s="120"/>
      <c r="WH3" s="120"/>
      <c r="WI3" s="120"/>
      <c r="WJ3" s="120"/>
      <c r="WK3" s="120"/>
      <c r="WL3" s="120"/>
      <c r="WM3" s="120"/>
      <c r="WN3" s="120"/>
      <c r="WO3" s="120"/>
      <c r="WP3" s="120"/>
      <c r="WQ3" s="120"/>
      <c r="WR3" s="120"/>
      <c r="WS3" s="120"/>
      <c r="WT3" s="120"/>
      <c r="WU3" s="120"/>
      <c r="WV3" s="120"/>
      <c r="WW3" s="120"/>
      <c r="WX3" s="120"/>
      <c r="WY3" s="120"/>
      <c r="WZ3" s="120"/>
      <c r="XA3" s="120"/>
      <c r="XB3" s="120"/>
      <c r="XC3" s="120"/>
      <c r="XD3" s="120"/>
      <c r="XE3" s="120"/>
      <c r="XF3" s="120"/>
      <c r="XG3" s="120"/>
      <c r="XH3" s="120"/>
      <c r="XI3" s="120"/>
      <c r="XJ3" s="120"/>
      <c r="XK3" s="120"/>
      <c r="XL3" s="120"/>
      <c r="XM3" s="120"/>
      <c r="XN3" s="120"/>
      <c r="XO3" s="120"/>
      <c r="XP3" s="120"/>
      <c r="XQ3" s="120"/>
      <c r="XR3" s="120"/>
      <c r="XS3" s="120"/>
      <c r="XT3" s="120"/>
      <c r="XU3" s="120"/>
      <c r="XV3" s="120"/>
      <c r="XW3" s="120"/>
      <c r="XX3" s="120"/>
      <c r="XY3" s="120"/>
      <c r="XZ3" s="120"/>
      <c r="YA3" s="120"/>
      <c r="YB3" s="120"/>
      <c r="YC3" s="120"/>
      <c r="YD3" s="120"/>
      <c r="YE3" s="120"/>
      <c r="YF3" s="120"/>
      <c r="YG3" s="120"/>
      <c r="YH3" s="120"/>
      <c r="YI3" s="120"/>
      <c r="YJ3" s="120"/>
      <c r="YK3" s="120"/>
      <c r="YL3" s="120"/>
      <c r="YM3" s="120"/>
      <c r="YN3" s="120"/>
      <c r="YO3" s="120"/>
      <c r="YP3" s="120"/>
      <c r="YQ3" s="120"/>
      <c r="YR3" s="120"/>
      <c r="YS3" s="120"/>
      <c r="YT3" s="120"/>
      <c r="YU3" s="120"/>
      <c r="YV3" s="120"/>
      <c r="YW3" s="120"/>
      <c r="YX3" s="120"/>
      <c r="YY3" s="120"/>
      <c r="YZ3" s="120"/>
      <c r="ZA3" s="120"/>
      <c r="ZB3" s="120"/>
      <c r="ZC3" s="120"/>
      <c r="ZD3" s="120"/>
      <c r="ZE3" s="120"/>
      <c r="ZF3" s="120"/>
      <c r="ZG3" s="120"/>
      <c r="ZH3" s="120"/>
      <c r="ZI3" s="120"/>
      <c r="ZJ3" s="120"/>
      <c r="ZK3" s="120"/>
      <c r="ZL3" s="120"/>
      <c r="ZM3" s="120"/>
      <c r="ZN3" s="120"/>
      <c r="ZO3" s="120"/>
      <c r="ZP3" s="120"/>
      <c r="ZQ3" s="120"/>
      <c r="ZR3" s="120"/>
      <c r="ZS3" s="120"/>
      <c r="ZT3" s="120"/>
      <c r="ZU3" s="120"/>
      <c r="ZV3" s="120"/>
      <c r="ZW3" s="120"/>
      <c r="ZX3" s="120"/>
      <c r="ZY3" s="120"/>
      <c r="ZZ3" s="120"/>
      <c r="AAA3" s="120"/>
      <c r="AAB3" s="120"/>
      <c r="AAC3" s="120"/>
      <c r="AAD3" s="120"/>
      <c r="AAE3" s="120"/>
      <c r="AAF3" s="120"/>
      <c r="AAG3" s="120"/>
      <c r="AAH3" s="120"/>
      <c r="AAI3" s="120"/>
      <c r="AAJ3" s="120"/>
      <c r="AAK3" s="120"/>
      <c r="AAL3" s="120"/>
      <c r="AAM3" s="120"/>
      <c r="AAN3" s="120"/>
      <c r="AAO3" s="120"/>
      <c r="AAP3" s="120"/>
      <c r="AAQ3" s="120"/>
      <c r="AAR3" s="120"/>
      <c r="AAS3" s="120"/>
      <c r="AAT3" s="120"/>
      <c r="AAU3" s="120"/>
      <c r="AAV3" s="120"/>
      <c r="AAW3" s="120"/>
      <c r="AAX3" s="120"/>
      <c r="AAY3" s="120"/>
      <c r="AAZ3" s="120"/>
      <c r="ABA3" s="120"/>
      <c r="ABB3" s="120"/>
      <c r="ABC3" s="120"/>
      <c r="ABD3" s="120"/>
      <c r="ABE3" s="120"/>
      <c r="ABF3" s="120"/>
      <c r="ABG3" s="120"/>
      <c r="ABH3" s="120"/>
      <c r="ABI3" s="120"/>
      <c r="ABJ3" s="120"/>
      <c r="ABK3" s="120"/>
      <c r="ABL3" s="120"/>
      <c r="ABM3" s="120"/>
      <c r="ABN3" s="120"/>
      <c r="ABO3" s="120"/>
      <c r="ABP3" s="120"/>
      <c r="ABQ3" s="120"/>
      <c r="ABR3" s="120"/>
      <c r="ABS3" s="120"/>
      <c r="ABT3" s="120"/>
      <c r="ABU3" s="120"/>
      <c r="ABV3" s="120"/>
      <c r="ABW3" s="120"/>
      <c r="ABX3" s="120"/>
      <c r="ABY3" s="120"/>
      <c r="ABZ3" s="120"/>
      <c r="ACA3" s="120"/>
      <c r="ACB3" s="120"/>
      <c r="ACC3" s="120"/>
      <c r="ACD3" s="120"/>
      <c r="ACE3" s="120"/>
      <c r="ACF3" s="120"/>
      <c r="ACG3" s="120"/>
      <c r="ACH3" s="120"/>
      <c r="ACI3" s="120"/>
      <c r="ACJ3" s="120"/>
      <c r="ACK3" s="120"/>
      <c r="ACL3" s="120"/>
      <c r="ACM3" s="120"/>
      <c r="ACN3" s="120"/>
      <c r="ACO3" s="120"/>
      <c r="ACP3" s="120"/>
      <c r="ACQ3" s="120"/>
      <c r="ACR3" s="120"/>
      <c r="ACS3" s="120"/>
      <c r="ACT3" s="120"/>
      <c r="ACU3" s="120"/>
      <c r="ACV3" s="120"/>
      <c r="ACW3" s="120"/>
      <c r="ACX3" s="120"/>
      <c r="ACY3" s="120"/>
      <c r="ACZ3" s="120"/>
      <c r="ADA3" s="120"/>
      <c r="ADB3" s="120"/>
      <c r="ADC3" s="120"/>
      <c r="ADD3" s="120"/>
      <c r="ADE3" s="120"/>
      <c r="ADF3" s="120"/>
      <c r="ADG3" s="120"/>
      <c r="ADH3" s="120"/>
      <c r="ADI3" s="120"/>
      <c r="ADJ3" s="120"/>
      <c r="ADK3" s="120"/>
      <c r="ADL3" s="120"/>
      <c r="ADM3" s="120"/>
      <c r="ADN3" s="120"/>
      <c r="ADO3" s="120"/>
      <c r="ADP3" s="120"/>
      <c r="ADQ3" s="120"/>
      <c r="ADR3" s="120"/>
      <c r="ADS3" s="120"/>
      <c r="ADT3" s="120"/>
      <c r="ADU3" s="120"/>
      <c r="ADV3" s="120"/>
      <c r="ADW3" s="120"/>
      <c r="ADX3" s="120"/>
      <c r="ADY3" s="120"/>
      <c r="ADZ3" s="120"/>
      <c r="AEA3" s="120"/>
      <c r="AEB3" s="120"/>
      <c r="AEC3" s="120"/>
      <c r="AED3" s="120"/>
      <c r="AEE3" s="120"/>
      <c r="AEF3" s="120"/>
      <c r="AEG3" s="120"/>
      <c r="AEH3" s="120"/>
      <c r="AEI3" s="120"/>
      <c r="AEJ3" s="120"/>
      <c r="AEK3" s="120"/>
      <c r="AEL3" s="120"/>
      <c r="AEM3" s="120"/>
      <c r="AEN3" s="120"/>
      <c r="AEO3" s="120"/>
      <c r="AEP3" s="120"/>
      <c r="AEQ3" s="120"/>
      <c r="AER3" s="120"/>
      <c r="AES3" s="120"/>
      <c r="AET3" s="120"/>
      <c r="AEU3" s="120"/>
      <c r="AEV3" s="120"/>
      <c r="AEW3" s="120"/>
      <c r="AEX3" s="120"/>
      <c r="AEY3" s="120"/>
      <c r="AEZ3" s="120"/>
      <c r="AFA3" s="120"/>
      <c r="AFB3" s="120"/>
      <c r="AFC3" s="120"/>
      <c r="AFD3" s="120"/>
      <c r="AFE3" s="120"/>
      <c r="AFF3" s="120"/>
      <c r="AFG3" s="120"/>
      <c r="AFH3" s="120"/>
      <c r="AFI3" s="120"/>
      <c r="AFJ3" s="120"/>
      <c r="AFK3" s="120"/>
      <c r="AFL3" s="120"/>
      <c r="AFM3" s="120"/>
      <c r="AFN3" s="120"/>
      <c r="AFO3" s="120"/>
      <c r="AFP3" s="120"/>
      <c r="AFQ3" s="120"/>
      <c r="AFR3" s="120"/>
      <c r="AFS3" s="120"/>
      <c r="AFT3" s="120"/>
      <c r="AFU3" s="120"/>
      <c r="AFV3" s="120"/>
      <c r="AFW3" s="120"/>
      <c r="AFX3" s="120"/>
      <c r="AFY3" s="120"/>
      <c r="AFZ3" s="120"/>
      <c r="AGA3" s="120"/>
      <c r="AGB3" s="120"/>
      <c r="AGC3" s="120"/>
      <c r="AGD3" s="120"/>
      <c r="AGE3" s="120"/>
      <c r="AGF3" s="120"/>
      <c r="AGG3" s="120"/>
      <c r="AGH3" s="120"/>
      <c r="AGI3" s="120"/>
      <c r="AGJ3" s="120"/>
      <c r="AGK3" s="120"/>
      <c r="AGL3" s="120"/>
      <c r="AGM3" s="120"/>
      <c r="AGN3" s="120"/>
      <c r="AGO3" s="120"/>
      <c r="AGP3" s="120"/>
      <c r="AGQ3" s="120"/>
      <c r="AGR3" s="120"/>
      <c r="AGS3" s="120"/>
      <c r="AGT3" s="120"/>
      <c r="AGU3" s="120"/>
      <c r="AGV3" s="120"/>
      <c r="AGW3" s="120"/>
      <c r="AGX3" s="120"/>
      <c r="AGY3" s="120"/>
      <c r="AGZ3" s="120"/>
      <c r="AHA3" s="120"/>
      <c r="AHB3" s="120"/>
      <c r="AHC3" s="120"/>
      <c r="AHD3" s="120"/>
      <c r="AHE3" s="120"/>
      <c r="AHF3" s="120"/>
      <c r="AHG3" s="120"/>
      <c r="AHH3" s="120"/>
      <c r="AHI3" s="120"/>
      <c r="AHJ3" s="120"/>
      <c r="AHK3" s="120"/>
      <c r="AHL3" s="120"/>
      <c r="AHM3" s="120"/>
      <c r="AHN3" s="120"/>
      <c r="AHO3" s="120"/>
      <c r="AHP3" s="120"/>
      <c r="AHQ3" s="120"/>
      <c r="AHR3" s="120"/>
      <c r="AHS3" s="120"/>
      <c r="AHT3" s="120"/>
      <c r="AHU3" s="120"/>
      <c r="AHV3" s="120"/>
      <c r="AHW3" s="120"/>
      <c r="AHX3" s="120"/>
      <c r="AHY3" s="120"/>
      <c r="AHZ3" s="120"/>
      <c r="AIA3" s="120"/>
      <c r="AIB3" s="120"/>
      <c r="AIC3" s="120"/>
      <c r="AID3" s="120"/>
      <c r="AIE3" s="120"/>
      <c r="AIF3" s="120"/>
      <c r="AIG3" s="120"/>
      <c r="AIH3" s="120"/>
      <c r="AII3" s="120"/>
      <c r="AIJ3" s="120"/>
      <c r="AIK3" s="120"/>
      <c r="AIL3" s="120"/>
      <c r="AIM3" s="120"/>
      <c r="AIN3" s="120"/>
      <c r="AIO3" s="120"/>
      <c r="AIP3" s="120"/>
      <c r="AIQ3" s="120"/>
      <c r="AIR3" s="120"/>
      <c r="AIS3" s="120"/>
      <c r="AIT3" s="120"/>
      <c r="AIU3" s="120"/>
      <c r="AIV3" s="120"/>
      <c r="AIW3" s="120"/>
      <c r="AIX3" s="120"/>
      <c r="AIY3" s="120"/>
      <c r="AIZ3" s="120"/>
      <c r="AJA3" s="120"/>
      <c r="AJB3" s="120"/>
      <c r="AJC3" s="120"/>
      <c r="AJD3" s="120"/>
      <c r="AJE3" s="120"/>
      <c r="AJF3" s="120"/>
      <c r="AJG3" s="120"/>
      <c r="AJH3" s="120"/>
      <c r="AJI3" s="120"/>
      <c r="AJJ3" s="120"/>
      <c r="AJK3" s="120"/>
      <c r="AJL3" s="120"/>
      <c r="AJM3" s="120"/>
      <c r="AJN3" s="120"/>
      <c r="AJO3" s="120"/>
      <c r="AJP3" s="120"/>
      <c r="AJQ3" s="120"/>
      <c r="AJR3" s="120"/>
      <c r="AJS3" s="120"/>
      <c r="AJT3" s="120"/>
      <c r="AJU3" s="120"/>
      <c r="AJV3" s="120"/>
      <c r="AJW3" s="120"/>
      <c r="AJX3" s="120"/>
      <c r="AJY3" s="120"/>
      <c r="AJZ3" s="120"/>
      <c r="AKA3" s="120"/>
      <c r="AKB3" s="120"/>
      <c r="AKC3" s="120"/>
      <c r="AKD3" s="120"/>
      <c r="AKE3" s="120"/>
      <c r="AKF3" s="120"/>
      <c r="AKG3" s="120"/>
      <c r="AKH3" s="120"/>
      <c r="AKI3" s="120"/>
      <c r="AKJ3" s="120"/>
      <c r="AKK3" s="120"/>
      <c r="AKL3" s="120"/>
      <c r="AKM3" s="120"/>
      <c r="AKN3" s="120"/>
      <c r="AKO3" s="120"/>
      <c r="AKP3" s="120"/>
      <c r="AKQ3" s="120"/>
      <c r="AKR3" s="120"/>
      <c r="AKS3" s="120"/>
      <c r="AKT3" s="120"/>
      <c r="AKU3" s="120"/>
      <c r="AKV3" s="120"/>
      <c r="AKW3" s="120"/>
      <c r="AKX3" s="120"/>
      <c r="AKY3" s="120"/>
      <c r="AKZ3" s="120"/>
      <c r="ALA3" s="120"/>
      <c r="ALB3" s="120"/>
      <c r="ALC3" s="120"/>
      <c r="ALD3" s="120"/>
      <c r="ALE3" s="120"/>
      <c r="ALF3" s="120"/>
      <c r="ALG3" s="120"/>
      <c r="ALH3" s="120"/>
      <c r="ALI3" s="120"/>
      <c r="ALJ3" s="120"/>
      <c r="ALK3" s="120"/>
      <c r="ALL3" s="120"/>
      <c r="ALM3" s="120"/>
      <c r="ALN3" s="120"/>
      <c r="ALO3" s="120"/>
      <c r="ALP3" s="120"/>
      <c r="ALQ3" s="120"/>
      <c r="ALR3" s="120"/>
      <c r="ALS3" s="120"/>
      <c r="ALT3" s="120"/>
      <c r="ALU3" s="120"/>
      <c r="ALV3" s="120"/>
      <c r="ALW3" s="120"/>
      <c r="ALX3" s="120"/>
      <c r="ALY3" s="120"/>
      <c r="ALZ3" s="120"/>
      <c r="AMA3" s="120"/>
      <c r="AMB3" s="120"/>
      <c r="AMC3" s="120"/>
      <c r="AMD3" s="120"/>
      <c r="AME3" s="120"/>
      <c r="AMF3" s="120"/>
      <c r="AMG3" s="120"/>
      <c r="AMH3" s="120"/>
      <c r="AMI3" s="120"/>
      <c r="AMJ3" s="120"/>
      <c r="AMK3" s="120"/>
      <c r="AML3" s="120"/>
      <c r="AMM3" s="120"/>
      <c r="AMN3" s="120"/>
      <c r="AMO3" s="120"/>
      <c r="AMP3" s="120"/>
      <c r="AMQ3" s="120"/>
      <c r="AMR3" s="120"/>
      <c r="AMS3" s="120"/>
      <c r="AMT3" s="120"/>
      <c r="AMU3" s="120"/>
      <c r="AMV3" s="120"/>
      <c r="AMW3" s="120"/>
      <c r="AMX3" s="120"/>
      <c r="AMY3" s="120"/>
      <c r="AMZ3" s="120"/>
      <c r="ANA3" s="120"/>
      <c r="ANB3" s="120"/>
      <c r="ANC3" s="120"/>
      <c r="AND3" s="120"/>
      <c r="ANE3" s="120"/>
      <c r="ANF3" s="120"/>
      <c r="ANG3" s="120"/>
      <c r="ANH3" s="120"/>
      <c r="ANI3" s="120"/>
      <c r="ANJ3" s="120"/>
      <c r="ANK3" s="120"/>
      <c r="ANL3" s="120"/>
      <c r="ANM3" s="120"/>
      <c r="ANN3" s="120"/>
      <c r="ANO3" s="120"/>
      <c r="ANP3" s="120"/>
      <c r="ANQ3" s="120"/>
      <c r="ANR3" s="120"/>
      <c r="ANS3" s="120"/>
      <c r="ANT3" s="120"/>
      <c r="ANU3" s="120"/>
      <c r="ANV3" s="120"/>
      <c r="ANW3" s="120"/>
      <c r="ANX3" s="120"/>
      <c r="ANY3" s="120"/>
      <c r="ANZ3" s="120"/>
      <c r="AOA3" s="120"/>
      <c r="AOB3" s="120"/>
      <c r="AOC3" s="120"/>
      <c r="AOD3" s="120"/>
      <c r="AOE3" s="120"/>
      <c r="AOF3" s="120"/>
      <c r="AOG3" s="120"/>
      <c r="AOH3" s="120"/>
      <c r="AOI3" s="120"/>
      <c r="AOJ3" s="120"/>
      <c r="AOK3" s="120"/>
      <c r="AOL3" s="120"/>
      <c r="AOM3" s="120"/>
      <c r="AON3" s="120"/>
      <c r="AOO3" s="120"/>
      <c r="AOP3" s="120"/>
      <c r="AOQ3" s="120"/>
      <c r="AOR3" s="120"/>
      <c r="AOS3" s="120"/>
      <c r="AOT3" s="120"/>
      <c r="AOU3" s="120"/>
      <c r="AOV3" s="120"/>
      <c r="AOW3" s="120"/>
      <c r="AOX3" s="120"/>
      <c r="AOY3" s="120"/>
      <c r="AOZ3" s="120"/>
      <c r="APA3" s="120"/>
      <c r="APB3" s="120"/>
      <c r="APC3" s="120"/>
      <c r="APD3" s="120"/>
      <c r="APE3" s="120"/>
      <c r="APF3" s="120"/>
      <c r="APG3" s="120"/>
      <c r="APH3" s="120"/>
      <c r="API3" s="120"/>
      <c r="APJ3" s="120"/>
      <c r="APK3" s="120"/>
      <c r="APL3" s="120"/>
      <c r="APM3" s="120"/>
      <c r="APN3" s="120"/>
      <c r="APO3" s="120"/>
      <c r="APP3" s="120"/>
      <c r="APQ3" s="120"/>
      <c r="APR3" s="120"/>
      <c r="APS3" s="120"/>
      <c r="APT3" s="120"/>
      <c r="APU3" s="120"/>
      <c r="APV3" s="120"/>
      <c r="APW3" s="120"/>
      <c r="APX3" s="120"/>
      <c r="APY3" s="120"/>
      <c r="APZ3" s="120"/>
      <c r="AQA3" s="120"/>
      <c r="AQB3" s="120"/>
      <c r="AQC3" s="120"/>
      <c r="AQD3" s="120"/>
      <c r="AQE3" s="120"/>
      <c r="AQF3" s="120"/>
      <c r="AQG3" s="120"/>
      <c r="AQH3" s="120"/>
      <c r="AQI3" s="120"/>
      <c r="AQJ3" s="120"/>
      <c r="AQK3" s="120"/>
      <c r="AQL3" s="120"/>
      <c r="AQM3" s="120"/>
      <c r="AQN3" s="120"/>
      <c r="AQO3" s="120"/>
      <c r="AQP3" s="120"/>
      <c r="AQQ3" s="120"/>
      <c r="AQR3" s="120"/>
      <c r="AQS3" s="120"/>
      <c r="AQT3" s="120"/>
      <c r="AQU3" s="120"/>
      <c r="AQV3" s="120"/>
      <c r="AQW3" s="120"/>
      <c r="AQX3" s="120"/>
      <c r="AQY3" s="120"/>
      <c r="AQZ3" s="120"/>
      <c r="ARA3" s="120"/>
      <c r="ARB3" s="120"/>
      <c r="ARC3" s="120"/>
      <c r="ARD3" s="120"/>
      <c r="ARE3" s="120"/>
      <c r="ARF3" s="120"/>
      <c r="ARG3" s="120"/>
      <c r="ARH3" s="120"/>
      <c r="ARI3" s="120"/>
      <c r="ARJ3" s="120"/>
      <c r="ARK3" s="120"/>
      <c r="ARL3" s="120"/>
      <c r="ARM3" s="120"/>
      <c r="ARN3" s="120"/>
      <c r="ARO3" s="120"/>
      <c r="ARP3" s="120"/>
      <c r="ARQ3" s="120"/>
      <c r="ARR3" s="120"/>
      <c r="ARS3" s="120"/>
      <c r="ART3" s="120"/>
      <c r="ARU3" s="120"/>
      <c r="ARV3" s="120"/>
      <c r="ARW3" s="120"/>
      <c r="ARX3" s="120"/>
      <c r="ARY3" s="120"/>
      <c r="ARZ3" s="120"/>
      <c r="ASA3" s="120"/>
      <c r="ASB3" s="120"/>
      <c r="ASC3" s="120"/>
      <c r="ASD3" s="120"/>
      <c r="ASE3" s="120"/>
      <c r="ASF3" s="120"/>
      <c r="ASG3" s="120"/>
      <c r="ASH3" s="120"/>
      <c r="ASI3" s="120"/>
      <c r="ASJ3" s="120"/>
      <c r="ASK3" s="120"/>
      <c r="ASL3" s="120"/>
      <c r="ASM3" s="120"/>
      <c r="ASN3" s="120"/>
      <c r="ASO3" s="120"/>
      <c r="ASP3" s="120"/>
      <c r="ASQ3" s="120"/>
      <c r="ASR3" s="120"/>
      <c r="ASS3" s="120"/>
      <c r="AST3" s="120"/>
      <c r="ASU3" s="120"/>
      <c r="ASV3" s="120"/>
      <c r="ASW3" s="120"/>
      <c r="ASX3" s="120"/>
      <c r="ASY3" s="120"/>
      <c r="ASZ3" s="120"/>
      <c r="ATA3" s="120"/>
      <c r="ATB3" s="120"/>
      <c r="ATC3" s="120"/>
      <c r="ATD3" s="120"/>
      <c r="ATE3" s="120"/>
      <c r="ATF3" s="120"/>
      <c r="ATG3" s="120"/>
      <c r="ATH3" s="120"/>
      <c r="ATI3" s="120"/>
      <c r="ATJ3" s="120"/>
      <c r="ATK3" s="120"/>
      <c r="ATL3" s="120"/>
      <c r="ATM3" s="120"/>
      <c r="ATN3" s="120"/>
      <c r="ATO3" s="120"/>
      <c r="ATP3" s="120"/>
      <c r="ATQ3" s="120"/>
      <c r="ATR3" s="120"/>
      <c r="ATS3" s="120"/>
      <c r="ATT3" s="120"/>
      <c r="ATU3" s="120"/>
      <c r="ATV3" s="120"/>
      <c r="ATW3" s="120"/>
      <c r="ATX3" s="120"/>
      <c r="ATY3" s="120"/>
      <c r="ATZ3" s="120"/>
      <c r="AUA3" s="120"/>
      <c r="AUB3" s="120"/>
      <c r="AUC3" s="120"/>
      <c r="AUD3" s="120"/>
      <c r="AUE3" s="120"/>
      <c r="AUF3" s="120"/>
      <c r="AUG3" s="120"/>
      <c r="AUH3" s="120"/>
      <c r="AUI3" s="120"/>
      <c r="AUJ3" s="120"/>
      <c r="AUK3" s="120"/>
      <c r="AUL3" s="120"/>
      <c r="AUM3" s="120"/>
      <c r="AUN3" s="120"/>
      <c r="AUO3" s="120"/>
      <c r="AUP3" s="120"/>
      <c r="AUQ3" s="120"/>
      <c r="AUR3" s="120"/>
      <c r="AUS3" s="120"/>
      <c r="AUT3" s="120"/>
      <c r="AUU3" s="120"/>
      <c r="AUV3" s="120"/>
      <c r="AUW3" s="120"/>
      <c r="AUX3" s="120"/>
      <c r="AUY3" s="120"/>
      <c r="AUZ3" s="120"/>
      <c r="AVA3" s="120"/>
      <c r="AVB3" s="120"/>
      <c r="AVC3" s="120"/>
      <c r="AVD3" s="120"/>
      <c r="AVE3" s="120"/>
      <c r="AVF3" s="120"/>
      <c r="AVG3" s="120"/>
      <c r="AVH3" s="120"/>
      <c r="AVI3" s="120"/>
      <c r="AVJ3" s="120"/>
      <c r="AVK3" s="120"/>
      <c r="AVL3" s="120"/>
      <c r="AVM3" s="120"/>
      <c r="AVN3" s="120"/>
      <c r="AVO3" s="120"/>
      <c r="AVP3" s="120"/>
      <c r="AVQ3" s="120"/>
      <c r="AVR3" s="120"/>
      <c r="AVS3" s="120"/>
      <c r="AVT3" s="120"/>
      <c r="AVU3" s="120"/>
      <c r="AVV3" s="120"/>
      <c r="AVW3" s="120"/>
      <c r="AVX3" s="120"/>
      <c r="AVY3" s="120"/>
      <c r="AVZ3" s="120"/>
      <c r="AWA3" s="120"/>
      <c r="AWB3" s="120"/>
      <c r="AWC3" s="120"/>
      <c r="AWD3" s="120"/>
      <c r="AWE3" s="120"/>
      <c r="AWF3" s="120"/>
      <c r="AWG3" s="120"/>
      <c r="AWH3" s="120"/>
      <c r="AWI3" s="120"/>
      <c r="AWJ3" s="120"/>
      <c r="AWK3" s="120"/>
      <c r="AWL3" s="120"/>
      <c r="AWM3" s="120"/>
      <c r="AWN3" s="120"/>
      <c r="AWO3" s="120"/>
      <c r="AWP3" s="120"/>
      <c r="AWQ3" s="120"/>
      <c r="AWR3" s="120"/>
      <c r="AWS3" s="120"/>
      <c r="AWT3" s="120"/>
      <c r="AWU3" s="120"/>
      <c r="AWV3" s="120"/>
      <c r="AWW3" s="120"/>
      <c r="AWX3" s="120"/>
      <c r="AWY3" s="120"/>
      <c r="AWZ3" s="120"/>
      <c r="AXA3" s="120"/>
      <c r="AXB3" s="120"/>
      <c r="AXC3" s="120"/>
      <c r="AXD3" s="120"/>
      <c r="AXE3" s="120"/>
      <c r="AXF3" s="120"/>
      <c r="AXG3" s="120"/>
      <c r="AXH3" s="120"/>
      <c r="AXI3" s="120"/>
      <c r="AXJ3" s="120"/>
      <c r="AXK3" s="120"/>
      <c r="AXL3" s="120"/>
      <c r="AXM3" s="120"/>
      <c r="AXN3" s="120"/>
      <c r="AXO3" s="120"/>
      <c r="AXP3" s="120"/>
      <c r="AXQ3" s="120"/>
      <c r="AXR3" s="120"/>
      <c r="AXS3" s="120"/>
      <c r="AXT3" s="120"/>
      <c r="AXU3" s="120"/>
      <c r="AXV3" s="120"/>
      <c r="AXW3" s="120"/>
      <c r="AXX3" s="120"/>
      <c r="AXY3" s="120"/>
      <c r="AXZ3" s="120"/>
      <c r="AYA3" s="120"/>
      <c r="AYB3" s="120"/>
      <c r="AYC3" s="120"/>
      <c r="AYD3" s="120"/>
      <c r="AYE3" s="120"/>
      <c r="AYF3" s="120"/>
      <c r="AYG3" s="120"/>
      <c r="AYH3" s="120"/>
      <c r="AYI3" s="120"/>
      <c r="AYJ3" s="120"/>
      <c r="AYK3" s="120"/>
      <c r="AYL3" s="120"/>
      <c r="AYM3" s="120"/>
      <c r="AYN3" s="120"/>
      <c r="AYO3" s="120"/>
      <c r="AYP3" s="120"/>
      <c r="AYQ3" s="120"/>
      <c r="AYR3" s="120"/>
      <c r="AYS3" s="120"/>
      <c r="AYT3" s="120"/>
      <c r="AYU3" s="120"/>
      <c r="AYV3" s="120"/>
      <c r="AYW3" s="120"/>
      <c r="AYX3" s="120"/>
      <c r="AYY3" s="120"/>
      <c r="AYZ3" s="120"/>
      <c r="AZA3" s="120"/>
      <c r="AZB3" s="120"/>
      <c r="AZC3" s="120"/>
      <c r="AZD3" s="120"/>
      <c r="AZE3" s="120"/>
      <c r="AZF3" s="120"/>
      <c r="AZG3" s="120"/>
      <c r="AZH3" s="120"/>
      <c r="AZI3" s="120"/>
      <c r="AZJ3" s="120"/>
      <c r="AZK3" s="120"/>
      <c r="AZL3" s="120"/>
      <c r="AZM3" s="120"/>
      <c r="AZN3" s="120"/>
      <c r="AZO3" s="120"/>
      <c r="AZP3" s="120"/>
      <c r="AZQ3" s="120"/>
      <c r="AZR3" s="120"/>
      <c r="AZS3" s="120"/>
      <c r="AZT3" s="120"/>
      <c r="AZU3" s="120"/>
      <c r="AZV3" s="120"/>
      <c r="AZW3" s="120"/>
      <c r="AZX3" s="120"/>
      <c r="AZY3" s="120"/>
      <c r="AZZ3" s="120"/>
      <c r="BAA3" s="120"/>
      <c r="BAB3" s="120"/>
      <c r="BAC3" s="120"/>
      <c r="BAD3" s="120"/>
      <c r="BAE3" s="120"/>
      <c r="BAF3" s="120"/>
      <c r="BAG3" s="120"/>
      <c r="BAH3" s="120"/>
      <c r="BAI3" s="120"/>
      <c r="BAJ3" s="120"/>
      <c r="BAK3" s="120"/>
      <c r="BAL3" s="120"/>
      <c r="BAM3" s="120"/>
      <c r="BAN3" s="120"/>
      <c r="BAO3" s="120"/>
      <c r="BAP3" s="120"/>
      <c r="BAQ3" s="120"/>
      <c r="BAR3" s="120"/>
      <c r="BAS3" s="120"/>
      <c r="BAT3" s="120"/>
      <c r="BAU3" s="120"/>
      <c r="BAV3" s="120"/>
      <c r="BAW3" s="120"/>
      <c r="BAX3" s="120"/>
      <c r="BAY3" s="120"/>
      <c r="BAZ3" s="120"/>
      <c r="BBA3" s="120"/>
      <c r="BBB3" s="120"/>
      <c r="BBC3" s="120"/>
      <c r="BBD3" s="120"/>
      <c r="BBE3" s="120"/>
      <c r="BBF3" s="120"/>
      <c r="BBG3" s="120"/>
      <c r="BBH3" s="120"/>
      <c r="BBI3" s="120"/>
      <c r="BBJ3" s="120"/>
      <c r="BBK3" s="120"/>
      <c r="BBL3" s="120"/>
      <c r="BBM3" s="120"/>
      <c r="BBN3" s="120"/>
      <c r="BBO3" s="120"/>
      <c r="BBP3" s="120"/>
      <c r="BBQ3" s="120"/>
      <c r="BBR3" s="120"/>
      <c r="BBS3" s="120"/>
      <c r="BBT3" s="120"/>
      <c r="BBU3" s="120"/>
      <c r="BBV3" s="120"/>
      <c r="BBW3" s="120"/>
      <c r="BBX3" s="120"/>
      <c r="BBY3" s="120"/>
      <c r="BBZ3" s="120"/>
      <c r="BCA3" s="120"/>
      <c r="BCB3" s="120"/>
      <c r="BCC3" s="120"/>
      <c r="BCD3" s="120"/>
      <c r="BCE3" s="120"/>
      <c r="BCF3" s="120"/>
      <c r="BCG3" s="120"/>
      <c r="BCH3" s="120"/>
      <c r="BCI3" s="120"/>
      <c r="BCJ3" s="120"/>
      <c r="BCK3" s="120"/>
      <c r="BCL3" s="120"/>
      <c r="BCM3" s="120"/>
      <c r="BCN3" s="120"/>
      <c r="BCO3" s="120"/>
      <c r="BCP3" s="120"/>
      <c r="BCQ3" s="120"/>
      <c r="BCR3" s="120"/>
      <c r="BCS3" s="120"/>
      <c r="BCT3" s="120"/>
      <c r="BCU3" s="120"/>
      <c r="BCV3" s="120"/>
      <c r="BCW3" s="120"/>
      <c r="BCX3" s="120"/>
      <c r="BCY3" s="120"/>
      <c r="BCZ3" s="120"/>
      <c r="BDA3" s="120"/>
      <c r="BDB3" s="120"/>
      <c r="BDC3" s="120"/>
      <c r="BDD3" s="120"/>
      <c r="BDE3" s="120"/>
      <c r="BDF3" s="120"/>
      <c r="BDG3" s="120"/>
      <c r="BDH3" s="120"/>
      <c r="BDI3" s="120"/>
      <c r="BDJ3" s="120"/>
      <c r="BDK3" s="120"/>
      <c r="BDL3" s="120"/>
      <c r="BDM3" s="120"/>
      <c r="BDN3" s="120"/>
      <c r="BDO3" s="120"/>
      <c r="BDP3" s="120"/>
      <c r="BDQ3" s="120"/>
      <c r="BDR3" s="120"/>
      <c r="BDS3" s="120"/>
      <c r="BDT3" s="120"/>
      <c r="BDU3" s="120"/>
      <c r="BDV3" s="120"/>
      <c r="BDW3" s="120"/>
      <c r="BDX3" s="120"/>
      <c r="BDY3" s="120"/>
      <c r="BDZ3" s="120"/>
      <c r="BEA3" s="120"/>
      <c r="BEB3" s="120"/>
      <c r="BEC3" s="120"/>
      <c r="BED3" s="120"/>
      <c r="BEE3" s="120"/>
      <c r="BEF3" s="120"/>
      <c r="BEG3" s="120"/>
      <c r="BEH3" s="120"/>
      <c r="BEI3" s="120"/>
      <c r="BEJ3" s="120"/>
      <c r="BEK3" s="120"/>
      <c r="BEL3" s="120"/>
      <c r="BEM3" s="120"/>
      <c r="BEN3" s="120"/>
      <c r="BEO3" s="120"/>
      <c r="BEP3" s="120"/>
      <c r="BEQ3" s="120"/>
      <c r="BER3" s="120"/>
      <c r="BES3" s="120"/>
      <c r="BET3" s="120"/>
      <c r="BEU3" s="120"/>
      <c r="BEV3" s="120"/>
      <c r="BEW3" s="120"/>
      <c r="BEX3" s="120"/>
      <c r="BEY3" s="120"/>
      <c r="BEZ3" s="120"/>
      <c r="BFA3" s="120"/>
      <c r="BFB3" s="120"/>
      <c r="BFC3" s="120"/>
      <c r="BFD3" s="120"/>
      <c r="BFE3" s="120"/>
      <c r="BFF3" s="120"/>
      <c r="BFG3" s="120"/>
      <c r="BFH3" s="120"/>
      <c r="BFI3" s="120"/>
      <c r="BFJ3" s="120"/>
      <c r="BFK3" s="120"/>
      <c r="BFL3" s="120"/>
      <c r="BFM3" s="120"/>
      <c r="BFN3" s="120"/>
      <c r="BFO3" s="120"/>
      <c r="BFP3" s="120"/>
      <c r="BFQ3" s="120"/>
      <c r="BFR3" s="120"/>
      <c r="BFS3" s="120"/>
      <c r="BFT3" s="120"/>
      <c r="BFU3" s="120"/>
      <c r="BFV3" s="120"/>
      <c r="BFW3" s="120"/>
      <c r="BFX3" s="120"/>
      <c r="BFY3" s="120"/>
      <c r="BFZ3" s="120"/>
      <c r="BGA3" s="120"/>
      <c r="BGB3" s="120"/>
      <c r="BGC3" s="120"/>
      <c r="BGD3" s="120"/>
      <c r="BGE3" s="120"/>
      <c r="BGF3" s="120"/>
      <c r="BGG3" s="120"/>
      <c r="BGH3" s="120"/>
      <c r="BGI3" s="120"/>
      <c r="BGJ3" s="120"/>
      <c r="BGK3" s="120"/>
      <c r="BGL3" s="120"/>
      <c r="BGM3" s="120"/>
      <c r="BGN3" s="120"/>
      <c r="BGO3" s="120"/>
      <c r="BGP3" s="120"/>
      <c r="BGQ3" s="120"/>
      <c r="BGR3" s="120"/>
      <c r="BGS3" s="120"/>
      <c r="BGT3" s="120"/>
      <c r="BGU3" s="120"/>
      <c r="BGV3" s="120"/>
      <c r="BGW3" s="120"/>
      <c r="BGX3" s="120"/>
      <c r="BGY3" s="120"/>
      <c r="BGZ3" s="120"/>
      <c r="BHA3" s="120"/>
      <c r="BHB3" s="120"/>
      <c r="BHC3" s="120"/>
      <c r="BHD3" s="120"/>
      <c r="BHE3" s="120"/>
      <c r="BHF3" s="120"/>
      <c r="BHG3" s="120"/>
      <c r="BHH3" s="120"/>
      <c r="BHI3" s="120"/>
      <c r="BHJ3" s="120"/>
      <c r="BHK3" s="120"/>
      <c r="BHL3" s="120"/>
      <c r="BHM3" s="120"/>
      <c r="BHN3" s="120"/>
      <c r="BHO3" s="120"/>
      <c r="BHP3" s="120"/>
      <c r="BHQ3" s="120"/>
      <c r="BHR3" s="120"/>
      <c r="BHS3" s="120"/>
      <c r="BHT3" s="120"/>
      <c r="BHU3" s="120"/>
      <c r="BHV3" s="120"/>
      <c r="BHW3" s="120"/>
      <c r="BHX3" s="120"/>
      <c r="BHY3" s="120"/>
      <c r="BHZ3" s="120"/>
      <c r="BIA3" s="120"/>
      <c r="BIB3" s="120"/>
      <c r="BIC3" s="120"/>
      <c r="BID3" s="120"/>
      <c r="BIE3" s="120"/>
      <c r="BIF3" s="120"/>
      <c r="BIG3" s="120"/>
      <c r="BIH3" s="120"/>
      <c r="BII3" s="120"/>
      <c r="BIJ3" s="120"/>
      <c r="BIK3" s="120"/>
      <c r="BIL3" s="120"/>
      <c r="BIM3" s="120"/>
      <c r="BIN3" s="120"/>
      <c r="BIO3" s="120"/>
      <c r="BIP3" s="120"/>
      <c r="BIQ3" s="120"/>
      <c r="BIR3" s="120"/>
      <c r="BIS3" s="120"/>
      <c r="BIT3" s="120"/>
      <c r="BIU3" s="120"/>
      <c r="BIV3" s="120"/>
      <c r="BIW3" s="120"/>
      <c r="BIX3" s="120"/>
      <c r="BIY3" s="120"/>
      <c r="BIZ3" s="120"/>
      <c r="BJA3" s="120"/>
      <c r="BJB3" s="120"/>
      <c r="BJC3" s="120"/>
      <c r="BJD3" s="120"/>
      <c r="BJE3" s="120"/>
      <c r="BJF3" s="120"/>
      <c r="BJG3" s="120"/>
      <c r="BJH3" s="120"/>
      <c r="BJI3" s="120"/>
      <c r="BJJ3" s="120"/>
      <c r="BJK3" s="120"/>
      <c r="BJL3" s="120"/>
      <c r="BJM3" s="120"/>
      <c r="BJN3" s="120"/>
      <c r="BJO3" s="120"/>
      <c r="BJP3" s="120"/>
      <c r="BJQ3" s="120"/>
      <c r="BJR3" s="120"/>
      <c r="BJS3" s="120"/>
      <c r="BJT3" s="120"/>
      <c r="BJU3" s="120"/>
      <c r="BJV3" s="120"/>
      <c r="BJW3" s="120"/>
      <c r="BJX3" s="120"/>
      <c r="BJY3" s="120"/>
      <c r="BJZ3" s="120"/>
      <c r="BKA3" s="120"/>
      <c r="BKB3" s="120"/>
      <c r="BKC3" s="120"/>
      <c r="BKD3" s="120"/>
      <c r="BKE3" s="120"/>
      <c r="BKF3" s="120"/>
      <c r="BKG3" s="120"/>
      <c r="BKH3" s="120"/>
      <c r="BKI3" s="120"/>
      <c r="BKJ3" s="120"/>
      <c r="BKK3" s="120"/>
      <c r="BKL3" s="120"/>
      <c r="BKM3" s="120"/>
      <c r="BKN3" s="120"/>
      <c r="BKO3" s="120"/>
      <c r="BKP3" s="120"/>
      <c r="BKQ3" s="120"/>
      <c r="BKR3" s="120"/>
      <c r="BKS3" s="120"/>
      <c r="BKT3" s="120"/>
      <c r="BKU3" s="120"/>
      <c r="BKV3" s="120"/>
      <c r="BKW3" s="120"/>
      <c r="BKX3" s="120"/>
      <c r="BKY3" s="120"/>
      <c r="BKZ3" s="120"/>
      <c r="BLA3" s="120"/>
      <c r="BLB3" s="120"/>
      <c r="BLC3" s="120"/>
      <c r="BLD3" s="120"/>
      <c r="BLE3" s="120"/>
      <c r="BLF3" s="120"/>
      <c r="BLG3" s="120"/>
      <c r="BLH3" s="120"/>
      <c r="BLI3" s="120"/>
      <c r="BLJ3" s="120"/>
      <c r="BLK3" s="120"/>
      <c r="BLL3" s="120"/>
      <c r="BLM3" s="120"/>
      <c r="BLN3" s="120"/>
      <c r="BLO3" s="120"/>
      <c r="BLP3" s="120"/>
      <c r="BLQ3" s="120"/>
      <c r="BLR3" s="120"/>
      <c r="BLS3" s="120"/>
      <c r="BLT3" s="120"/>
      <c r="BLU3" s="120"/>
      <c r="BLV3" s="120"/>
      <c r="BLW3" s="120"/>
      <c r="BLX3" s="120"/>
      <c r="BLY3" s="120"/>
      <c r="BLZ3" s="120"/>
      <c r="BMA3" s="120"/>
      <c r="BMB3" s="120"/>
      <c r="BMC3" s="120"/>
      <c r="BMD3" s="120"/>
      <c r="BME3" s="120"/>
      <c r="BMF3" s="120"/>
      <c r="BMG3" s="120"/>
      <c r="BMH3" s="120"/>
      <c r="BMI3" s="120"/>
      <c r="BMJ3" s="120"/>
      <c r="BMK3" s="120"/>
      <c r="BML3" s="120"/>
      <c r="BMM3" s="120"/>
      <c r="BMN3" s="120"/>
      <c r="BMO3" s="120"/>
      <c r="BMP3" s="120"/>
      <c r="BMQ3" s="120"/>
      <c r="BMR3" s="120"/>
      <c r="BMS3" s="120"/>
      <c r="BMT3" s="120"/>
      <c r="BMU3" s="120"/>
      <c r="BMV3" s="120"/>
      <c r="BMW3" s="120"/>
      <c r="BMX3" s="120"/>
      <c r="BMY3" s="120"/>
      <c r="BMZ3" s="120"/>
      <c r="BNA3" s="120"/>
      <c r="BNB3" s="120"/>
      <c r="BNC3" s="120"/>
      <c r="BND3" s="120"/>
      <c r="BNE3" s="120"/>
      <c r="BNF3" s="120"/>
      <c r="BNG3" s="120"/>
      <c r="BNH3" s="120"/>
      <c r="BNI3" s="120"/>
      <c r="BNJ3" s="120"/>
      <c r="BNK3" s="120"/>
      <c r="BNL3" s="120"/>
      <c r="BNM3" s="120"/>
      <c r="BNN3" s="120"/>
      <c r="BNO3" s="120"/>
      <c r="BNP3" s="120"/>
      <c r="BNQ3" s="120"/>
      <c r="BNR3" s="120"/>
      <c r="BNS3" s="120"/>
      <c r="BNT3" s="120"/>
      <c r="BNU3" s="120"/>
      <c r="BNV3" s="120"/>
      <c r="BNW3" s="120"/>
      <c r="BNX3" s="120"/>
      <c r="BNY3" s="120"/>
      <c r="BNZ3" s="120"/>
      <c r="BOA3" s="120"/>
      <c r="BOB3" s="120"/>
      <c r="BOC3" s="120"/>
      <c r="BOD3" s="120"/>
      <c r="BOE3" s="120"/>
      <c r="BOF3" s="120"/>
      <c r="BOG3" s="120"/>
      <c r="BOH3" s="120"/>
      <c r="BOI3" s="120"/>
      <c r="BOJ3" s="120"/>
      <c r="BOK3" s="120"/>
      <c r="BOL3" s="120"/>
      <c r="BOM3" s="120"/>
      <c r="BON3" s="120"/>
      <c r="BOO3" s="120"/>
      <c r="BOP3" s="120"/>
      <c r="BOQ3" s="120"/>
      <c r="BOR3" s="120"/>
      <c r="BOS3" s="120"/>
      <c r="BOT3" s="120"/>
      <c r="BOU3" s="120"/>
      <c r="BOV3" s="120"/>
      <c r="BOW3" s="120"/>
      <c r="BOX3" s="120"/>
      <c r="BOY3" s="120"/>
      <c r="BOZ3" s="120"/>
      <c r="BPA3" s="120"/>
      <c r="BPB3" s="120"/>
      <c r="BPC3" s="120"/>
      <c r="BPD3" s="120"/>
      <c r="BPE3" s="120"/>
      <c r="BPF3" s="120"/>
      <c r="BPG3" s="120"/>
      <c r="BPH3" s="120"/>
      <c r="BPI3" s="120"/>
      <c r="BPJ3" s="120"/>
      <c r="BPK3" s="120"/>
      <c r="BPL3" s="120"/>
      <c r="BPM3" s="120"/>
      <c r="BPN3" s="120"/>
      <c r="BPO3" s="120"/>
      <c r="BPP3" s="120"/>
      <c r="BPQ3" s="120"/>
      <c r="BPR3" s="120"/>
      <c r="BPS3" s="120"/>
      <c r="BPT3" s="120"/>
      <c r="BPU3" s="120"/>
      <c r="BPV3" s="120"/>
      <c r="BPW3" s="120"/>
      <c r="BPX3" s="120"/>
      <c r="BPY3" s="120"/>
      <c r="BPZ3" s="120"/>
      <c r="BQA3" s="120"/>
      <c r="BQB3" s="120"/>
      <c r="BQC3" s="120"/>
      <c r="BQD3" s="120"/>
      <c r="BQE3" s="120"/>
      <c r="BQF3" s="120"/>
      <c r="BQG3" s="120"/>
      <c r="BQH3" s="120"/>
      <c r="BQI3" s="120"/>
      <c r="BQJ3" s="120"/>
      <c r="BQK3" s="120"/>
      <c r="BQL3" s="120"/>
      <c r="BQM3" s="120"/>
      <c r="BQN3" s="120"/>
      <c r="BQO3" s="120"/>
      <c r="BQP3" s="120"/>
      <c r="BQQ3" s="120"/>
      <c r="BQR3" s="120"/>
      <c r="BQS3" s="120"/>
      <c r="BQT3" s="120"/>
      <c r="BQU3" s="120"/>
      <c r="BQV3" s="120"/>
      <c r="BQW3" s="120"/>
      <c r="BQX3" s="120"/>
      <c r="BQY3" s="120"/>
      <c r="BQZ3" s="120"/>
      <c r="BRA3" s="120"/>
      <c r="BRB3" s="120"/>
      <c r="BRC3" s="120"/>
      <c r="BRD3" s="120"/>
      <c r="BRE3" s="120"/>
      <c r="BRF3" s="120"/>
      <c r="BRG3" s="120"/>
      <c r="BRH3" s="120"/>
      <c r="BRI3" s="120"/>
      <c r="BRJ3" s="120"/>
      <c r="BRK3" s="120"/>
      <c r="BRL3" s="120"/>
      <c r="BRM3" s="120"/>
      <c r="BRN3" s="120"/>
      <c r="BRO3" s="120"/>
      <c r="BRP3" s="120"/>
      <c r="BRQ3" s="120"/>
      <c r="BRR3" s="120"/>
      <c r="BRS3" s="120"/>
      <c r="BRT3" s="120"/>
      <c r="BRU3" s="120"/>
      <c r="BRV3" s="120"/>
      <c r="BRW3" s="120"/>
      <c r="BRX3" s="120"/>
      <c r="BRY3" s="120"/>
      <c r="BRZ3" s="120"/>
      <c r="BSA3" s="120"/>
      <c r="BSB3" s="120"/>
      <c r="BSC3" s="120"/>
      <c r="BSD3" s="120"/>
      <c r="BSE3" s="120"/>
      <c r="BSF3" s="120"/>
      <c r="BSG3" s="120"/>
      <c r="BSH3" s="120"/>
      <c r="BSI3" s="120"/>
      <c r="BSJ3" s="120"/>
      <c r="BSK3" s="120"/>
      <c r="BSL3" s="120"/>
      <c r="BSM3" s="120"/>
      <c r="BSN3" s="120"/>
      <c r="BSO3" s="120"/>
      <c r="BSP3" s="120"/>
      <c r="BSQ3" s="120"/>
      <c r="BSR3" s="120"/>
      <c r="BSS3" s="120"/>
      <c r="BST3" s="120"/>
      <c r="BSU3" s="120"/>
      <c r="BSV3" s="120"/>
      <c r="BSW3" s="120"/>
      <c r="BSX3" s="120"/>
      <c r="BSY3" s="120"/>
      <c r="BSZ3" s="120"/>
      <c r="BTA3" s="120"/>
      <c r="BTB3" s="120"/>
      <c r="BTC3" s="120"/>
      <c r="BTD3" s="120"/>
      <c r="BTE3" s="120"/>
      <c r="BTF3" s="120"/>
      <c r="BTG3" s="120"/>
      <c r="BTH3" s="120"/>
      <c r="BTI3" s="120"/>
      <c r="BTJ3" s="120"/>
      <c r="BTK3" s="120"/>
      <c r="BTL3" s="120"/>
      <c r="BTM3" s="120"/>
      <c r="BTN3" s="120"/>
      <c r="BTO3" s="120"/>
      <c r="BTP3" s="120"/>
      <c r="BTQ3" s="120"/>
      <c r="BTR3" s="120"/>
      <c r="BTS3" s="120"/>
      <c r="BTT3" s="120"/>
      <c r="BTU3" s="120"/>
      <c r="BTV3" s="120"/>
      <c r="BTW3" s="120"/>
      <c r="BTX3" s="120"/>
      <c r="BTY3" s="120"/>
      <c r="BTZ3" s="120"/>
      <c r="BUA3" s="120"/>
      <c r="BUB3" s="120"/>
      <c r="BUC3" s="120"/>
      <c r="BUD3" s="120"/>
      <c r="BUE3" s="120"/>
      <c r="BUF3" s="120"/>
      <c r="BUG3" s="120"/>
      <c r="BUH3" s="120"/>
      <c r="BUI3" s="120"/>
      <c r="BUJ3" s="120"/>
      <c r="BUK3" s="120"/>
      <c r="BUL3" s="120"/>
      <c r="BUM3" s="120"/>
      <c r="BUN3" s="120"/>
      <c r="BUO3" s="120"/>
      <c r="BUP3" s="120"/>
      <c r="BUQ3" s="120"/>
      <c r="BUR3" s="120"/>
      <c r="BUS3" s="120"/>
      <c r="BUT3" s="120"/>
      <c r="BUU3" s="120"/>
      <c r="BUV3" s="120"/>
      <c r="BUW3" s="120"/>
      <c r="BUX3" s="120"/>
      <c r="BUY3" s="120"/>
      <c r="BUZ3" s="120"/>
      <c r="BVA3" s="120"/>
      <c r="BVB3" s="120"/>
      <c r="BVC3" s="120"/>
      <c r="BVD3" s="120"/>
      <c r="BVE3" s="120"/>
      <c r="BVF3" s="120"/>
      <c r="BVG3" s="120"/>
      <c r="BVH3" s="120"/>
      <c r="BVI3" s="120"/>
      <c r="BVJ3" s="120"/>
      <c r="BVK3" s="120"/>
      <c r="BVL3" s="120"/>
      <c r="BVM3" s="120"/>
      <c r="BVN3" s="120"/>
      <c r="BVO3" s="120"/>
      <c r="BVP3" s="120"/>
      <c r="BVQ3" s="120"/>
      <c r="BVR3" s="120"/>
      <c r="BVS3" s="120"/>
      <c r="BVT3" s="120"/>
      <c r="BVU3" s="120"/>
      <c r="BVV3" s="120"/>
      <c r="BVW3" s="120"/>
      <c r="BVX3" s="120"/>
      <c r="BVY3" s="120"/>
      <c r="BVZ3" s="120"/>
      <c r="BWA3" s="120"/>
      <c r="BWB3" s="120"/>
      <c r="BWC3" s="120"/>
      <c r="BWD3" s="120"/>
      <c r="BWE3" s="120"/>
      <c r="BWF3" s="120"/>
      <c r="BWG3" s="120"/>
      <c r="BWH3" s="120"/>
      <c r="BWI3" s="120"/>
      <c r="BWJ3" s="120"/>
      <c r="BWK3" s="120"/>
      <c r="BWL3" s="120"/>
      <c r="BWM3" s="120"/>
      <c r="BWN3" s="120"/>
      <c r="BWO3" s="120"/>
      <c r="BWP3" s="120"/>
      <c r="BWQ3" s="120"/>
      <c r="BWR3" s="120"/>
      <c r="BWS3" s="120"/>
      <c r="BWT3" s="120"/>
      <c r="BWU3" s="120"/>
      <c r="BWV3" s="120"/>
      <c r="BWW3" s="120"/>
      <c r="BWX3" s="120"/>
      <c r="BWY3" s="120"/>
      <c r="BWZ3" s="120"/>
      <c r="BXA3" s="120"/>
      <c r="BXB3" s="120"/>
      <c r="BXC3" s="120"/>
      <c r="BXD3" s="120"/>
      <c r="BXE3" s="120"/>
      <c r="BXF3" s="120"/>
      <c r="BXG3" s="120"/>
      <c r="BXH3" s="120"/>
      <c r="BXI3" s="120"/>
      <c r="BXJ3" s="120"/>
      <c r="BXK3" s="120"/>
      <c r="BXL3" s="120"/>
      <c r="BXM3" s="120"/>
      <c r="BXN3" s="120"/>
      <c r="BXO3" s="120"/>
      <c r="BXP3" s="120"/>
      <c r="BXQ3" s="120"/>
      <c r="BXR3" s="120"/>
      <c r="BXS3" s="120"/>
      <c r="BXT3" s="120"/>
      <c r="BXU3" s="120"/>
      <c r="BXV3" s="120"/>
      <c r="BXW3" s="120"/>
      <c r="BXX3" s="120"/>
      <c r="BXY3" s="120"/>
      <c r="BXZ3" s="120"/>
      <c r="BYA3" s="120"/>
      <c r="BYB3" s="120"/>
      <c r="BYC3" s="120"/>
      <c r="BYD3" s="120"/>
      <c r="BYE3" s="120"/>
      <c r="BYF3" s="120"/>
      <c r="BYG3" s="120"/>
      <c r="BYH3" s="120"/>
      <c r="BYI3" s="120"/>
      <c r="BYJ3" s="120"/>
      <c r="BYK3" s="120"/>
      <c r="BYL3" s="120"/>
      <c r="BYM3" s="120"/>
      <c r="BYN3" s="120"/>
      <c r="BYO3" s="120"/>
      <c r="BYP3" s="120"/>
      <c r="BYQ3" s="120"/>
      <c r="BYR3" s="120"/>
      <c r="BYS3" s="120"/>
      <c r="BYT3" s="120"/>
      <c r="BYU3" s="120"/>
      <c r="BYV3" s="120"/>
      <c r="BYW3" s="120"/>
      <c r="BYX3" s="120"/>
      <c r="BYY3" s="120"/>
      <c r="BYZ3" s="120"/>
      <c r="BZA3" s="120"/>
      <c r="BZB3" s="120"/>
      <c r="BZC3" s="120"/>
      <c r="BZD3" s="120"/>
      <c r="BZE3" s="120"/>
      <c r="BZF3" s="120"/>
      <c r="BZG3" s="120"/>
      <c r="BZH3" s="120"/>
      <c r="BZI3" s="120"/>
      <c r="BZJ3" s="120"/>
      <c r="BZK3" s="120"/>
      <c r="BZL3" s="120"/>
      <c r="BZM3" s="120"/>
      <c r="BZN3" s="120"/>
      <c r="BZO3" s="120"/>
      <c r="BZP3" s="120"/>
      <c r="BZQ3" s="120"/>
      <c r="BZR3" s="120"/>
      <c r="BZS3" s="120"/>
      <c r="BZT3" s="120"/>
      <c r="BZU3" s="120"/>
      <c r="BZV3" s="120"/>
      <c r="BZW3" s="120"/>
      <c r="BZX3" s="120"/>
      <c r="BZY3" s="120"/>
      <c r="BZZ3" s="120"/>
      <c r="CAA3" s="120"/>
      <c r="CAB3" s="120"/>
      <c r="CAC3" s="120"/>
      <c r="CAD3" s="120"/>
      <c r="CAE3" s="120"/>
      <c r="CAF3" s="120"/>
      <c r="CAG3" s="120"/>
      <c r="CAH3" s="120"/>
      <c r="CAI3" s="120"/>
      <c r="CAJ3" s="120"/>
      <c r="CAK3" s="120"/>
      <c r="CAL3" s="120"/>
      <c r="CAM3" s="120"/>
      <c r="CAN3" s="120"/>
      <c r="CAO3" s="120"/>
      <c r="CAP3" s="120"/>
      <c r="CAQ3" s="120"/>
      <c r="CAR3" s="120"/>
      <c r="CAS3" s="120"/>
      <c r="CAT3" s="120"/>
      <c r="CAU3" s="120"/>
      <c r="CAV3" s="120"/>
      <c r="CAW3" s="120"/>
      <c r="CAX3" s="120"/>
      <c r="CAY3" s="120"/>
      <c r="CAZ3" s="120"/>
      <c r="CBA3" s="120"/>
      <c r="CBB3" s="120"/>
      <c r="CBC3" s="120"/>
      <c r="CBD3" s="120"/>
      <c r="CBE3" s="120"/>
      <c r="CBF3" s="120"/>
      <c r="CBG3" s="120"/>
      <c r="CBH3" s="120"/>
      <c r="CBI3" s="120"/>
      <c r="CBJ3" s="120"/>
      <c r="CBK3" s="120"/>
      <c r="CBL3" s="120"/>
      <c r="CBM3" s="120"/>
      <c r="CBN3" s="120"/>
      <c r="CBO3" s="120"/>
      <c r="CBP3" s="120"/>
      <c r="CBQ3" s="120"/>
      <c r="CBR3" s="120"/>
      <c r="CBS3" s="120"/>
      <c r="CBT3" s="120"/>
      <c r="CBU3" s="120"/>
      <c r="CBV3" s="120"/>
      <c r="CBW3" s="120"/>
      <c r="CBX3" s="120"/>
      <c r="CBY3" s="120"/>
      <c r="CBZ3" s="120"/>
      <c r="CCA3" s="120"/>
      <c r="CCB3" s="120"/>
      <c r="CCC3" s="120"/>
      <c r="CCD3" s="120"/>
      <c r="CCE3" s="120"/>
      <c r="CCF3" s="120"/>
      <c r="CCG3" s="120"/>
      <c r="CCH3" s="120"/>
      <c r="CCI3" s="120"/>
      <c r="CCJ3" s="120"/>
      <c r="CCK3" s="120"/>
      <c r="CCL3" s="120"/>
      <c r="CCM3" s="120"/>
      <c r="CCN3" s="120"/>
      <c r="CCO3" s="120"/>
      <c r="CCP3" s="120"/>
      <c r="CCQ3" s="120"/>
      <c r="CCR3" s="120"/>
      <c r="CCS3" s="120"/>
      <c r="CCT3" s="120"/>
      <c r="CCU3" s="120"/>
      <c r="CCV3" s="120"/>
      <c r="CCW3" s="120"/>
      <c r="CCX3" s="120"/>
      <c r="CCY3" s="120"/>
      <c r="CCZ3" s="120"/>
      <c r="CDA3" s="120"/>
      <c r="CDB3" s="120"/>
      <c r="CDC3" s="120"/>
      <c r="CDD3" s="120"/>
      <c r="CDE3" s="120"/>
      <c r="CDF3" s="120"/>
      <c r="CDG3" s="120"/>
      <c r="CDH3" s="120"/>
      <c r="CDI3" s="120"/>
      <c r="CDJ3" s="120"/>
      <c r="CDK3" s="120"/>
      <c r="CDL3" s="120"/>
      <c r="CDM3" s="120"/>
      <c r="CDN3" s="120"/>
      <c r="CDO3" s="120"/>
      <c r="CDP3" s="120"/>
      <c r="CDQ3" s="120"/>
      <c r="CDR3" s="120"/>
      <c r="CDS3" s="120"/>
      <c r="CDT3" s="120"/>
      <c r="CDU3" s="120"/>
      <c r="CDV3" s="120"/>
      <c r="CDW3" s="120"/>
      <c r="CDX3" s="120"/>
      <c r="CDY3" s="120"/>
      <c r="CDZ3" s="120"/>
      <c r="CEA3" s="120"/>
      <c r="CEB3" s="120"/>
      <c r="CEC3" s="120"/>
      <c r="CED3" s="120"/>
      <c r="CEE3" s="120"/>
      <c r="CEF3" s="120"/>
      <c r="CEG3" s="120"/>
      <c r="CEH3" s="120"/>
      <c r="CEI3" s="120"/>
      <c r="CEJ3" s="120"/>
      <c r="CEK3" s="120"/>
      <c r="CEL3" s="120"/>
      <c r="CEM3" s="120"/>
      <c r="CEN3" s="120"/>
      <c r="CEO3" s="120"/>
      <c r="CEP3" s="120"/>
      <c r="CEQ3" s="120"/>
      <c r="CER3" s="120"/>
      <c r="CES3" s="120"/>
      <c r="CET3" s="120"/>
      <c r="CEU3" s="120"/>
      <c r="CEV3" s="120"/>
      <c r="CEW3" s="120"/>
      <c r="CEX3" s="120"/>
      <c r="CEY3" s="120"/>
      <c r="CEZ3" s="120"/>
      <c r="CFA3" s="120"/>
      <c r="CFB3" s="120"/>
      <c r="CFC3" s="120"/>
      <c r="CFD3" s="120"/>
      <c r="CFE3" s="120"/>
      <c r="CFF3" s="120"/>
      <c r="CFG3" s="120"/>
      <c r="CFH3" s="120"/>
      <c r="CFI3" s="120"/>
      <c r="CFJ3" s="120"/>
      <c r="CFK3" s="120"/>
      <c r="CFL3" s="120"/>
      <c r="CFM3" s="120"/>
      <c r="CFN3" s="120"/>
      <c r="CFO3" s="120"/>
      <c r="CFP3" s="120"/>
      <c r="CFQ3" s="120"/>
      <c r="CFR3" s="120"/>
      <c r="CFS3" s="120"/>
      <c r="CFT3" s="120"/>
      <c r="CFU3" s="120"/>
      <c r="CFV3" s="120"/>
      <c r="CFW3" s="120"/>
      <c r="CFX3" s="120"/>
      <c r="CFY3" s="120"/>
      <c r="CFZ3" s="120"/>
      <c r="CGA3" s="120"/>
      <c r="CGB3" s="120"/>
      <c r="CGC3" s="120"/>
      <c r="CGD3" s="120"/>
      <c r="CGE3" s="120"/>
      <c r="CGF3" s="120"/>
      <c r="CGG3" s="120"/>
      <c r="CGH3" s="120"/>
      <c r="CGI3" s="120"/>
      <c r="CGJ3" s="120"/>
      <c r="CGK3" s="120"/>
      <c r="CGL3" s="120"/>
      <c r="CGM3" s="120"/>
      <c r="CGN3" s="120"/>
      <c r="CGO3" s="120"/>
      <c r="CGP3" s="120"/>
      <c r="CGQ3" s="120"/>
      <c r="CGR3" s="120"/>
      <c r="CGS3" s="120"/>
      <c r="CGT3" s="120"/>
      <c r="CGU3" s="120"/>
      <c r="CGV3" s="120"/>
      <c r="CGW3" s="120"/>
      <c r="CGX3" s="120"/>
      <c r="CGY3" s="120"/>
      <c r="CGZ3" s="120"/>
      <c r="CHA3" s="120"/>
      <c r="CHB3" s="120"/>
      <c r="CHC3" s="120"/>
      <c r="CHD3" s="120"/>
      <c r="CHE3" s="120"/>
      <c r="CHF3" s="120"/>
      <c r="CHG3" s="120"/>
      <c r="CHH3" s="120"/>
      <c r="CHI3" s="120"/>
      <c r="CHJ3" s="120"/>
      <c r="CHK3" s="120"/>
      <c r="CHL3" s="120"/>
      <c r="CHM3" s="120"/>
      <c r="CHN3" s="120"/>
      <c r="CHO3" s="120"/>
      <c r="CHP3" s="120"/>
      <c r="CHQ3" s="120"/>
      <c r="CHR3" s="120"/>
      <c r="CHS3" s="120"/>
      <c r="CHT3" s="120"/>
      <c r="CHU3" s="120"/>
      <c r="CHV3" s="120"/>
      <c r="CHW3" s="120"/>
      <c r="CHX3" s="120"/>
      <c r="CHY3" s="120"/>
      <c r="CHZ3" s="120"/>
      <c r="CIA3" s="120"/>
      <c r="CIB3" s="120"/>
      <c r="CIC3" s="120"/>
      <c r="CID3" s="120"/>
      <c r="CIE3" s="120"/>
      <c r="CIF3" s="120"/>
      <c r="CIG3" s="120"/>
      <c r="CIH3" s="120"/>
      <c r="CII3" s="120"/>
      <c r="CIJ3" s="120"/>
      <c r="CIK3" s="120"/>
      <c r="CIL3" s="120"/>
      <c r="CIM3" s="120"/>
      <c r="CIN3" s="120"/>
      <c r="CIO3" s="120"/>
      <c r="CIP3" s="120"/>
      <c r="CIQ3" s="120"/>
      <c r="CIR3" s="120"/>
      <c r="CIS3" s="120"/>
      <c r="CIT3" s="120"/>
      <c r="CIU3" s="120"/>
      <c r="CIV3" s="120"/>
      <c r="CIW3" s="120"/>
      <c r="CIX3" s="120"/>
      <c r="CIY3" s="120"/>
      <c r="CIZ3" s="120"/>
      <c r="CJA3" s="120"/>
      <c r="CJB3" s="120"/>
      <c r="CJC3" s="120"/>
      <c r="CJD3" s="120"/>
      <c r="CJE3" s="120"/>
      <c r="CJF3" s="120"/>
      <c r="CJG3" s="120"/>
      <c r="CJH3" s="120"/>
      <c r="CJI3" s="120"/>
      <c r="CJJ3" s="120"/>
      <c r="CJK3" s="120"/>
      <c r="CJL3" s="120"/>
      <c r="CJM3" s="120"/>
      <c r="CJN3" s="120"/>
      <c r="CJO3" s="120"/>
      <c r="CJP3" s="120"/>
      <c r="CJQ3" s="120"/>
      <c r="CJR3" s="120"/>
      <c r="CJS3" s="120"/>
      <c r="CJT3" s="120"/>
      <c r="CJU3" s="120"/>
      <c r="CJV3" s="120"/>
      <c r="CJW3" s="120"/>
      <c r="CJX3" s="120"/>
      <c r="CJY3" s="120"/>
      <c r="CJZ3" s="120"/>
      <c r="CKA3" s="120"/>
      <c r="CKB3" s="120"/>
      <c r="CKC3" s="120"/>
      <c r="CKD3" s="120"/>
      <c r="CKE3" s="120"/>
      <c r="CKF3" s="120"/>
      <c r="CKG3" s="120"/>
      <c r="CKH3" s="120"/>
      <c r="CKI3" s="120"/>
      <c r="CKJ3" s="120"/>
      <c r="CKK3" s="120"/>
      <c r="CKL3" s="120"/>
      <c r="CKM3" s="120"/>
      <c r="CKN3" s="120"/>
      <c r="CKO3" s="120"/>
      <c r="CKP3" s="120"/>
      <c r="CKQ3" s="120"/>
      <c r="CKR3" s="120"/>
      <c r="CKS3" s="120"/>
      <c r="CKT3" s="120"/>
      <c r="CKU3" s="120"/>
      <c r="CKV3" s="120"/>
      <c r="CKW3" s="120"/>
      <c r="CKX3" s="120"/>
      <c r="CKY3" s="120"/>
      <c r="CKZ3" s="120"/>
      <c r="CLA3" s="120"/>
      <c r="CLB3" s="120"/>
      <c r="CLC3" s="120"/>
      <c r="CLD3" s="120"/>
      <c r="CLE3" s="120"/>
      <c r="CLF3" s="120"/>
      <c r="CLG3" s="120"/>
      <c r="CLH3" s="120"/>
      <c r="CLI3" s="120"/>
      <c r="CLJ3" s="120"/>
      <c r="CLK3" s="120"/>
      <c r="CLL3" s="120"/>
      <c r="CLM3" s="120"/>
      <c r="CLN3" s="120"/>
      <c r="CLO3" s="120"/>
      <c r="CLP3" s="120"/>
      <c r="CLQ3" s="120"/>
      <c r="CLR3" s="120"/>
      <c r="CLS3" s="120"/>
      <c r="CLT3" s="120"/>
      <c r="CLU3" s="120"/>
      <c r="CLV3" s="120"/>
      <c r="CLW3" s="120"/>
      <c r="CLX3" s="120"/>
      <c r="CLY3" s="120"/>
      <c r="CLZ3" s="120"/>
      <c r="CMA3" s="120"/>
      <c r="CMB3" s="120"/>
      <c r="CMC3" s="120"/>
      <c r="CMD3" s="120"/>
      <c r="CME3" s="120"/>
      <c r="CMF3" s="120"/>
      <c r="CMG3" s="120"/>
      <c r="CMH3" s="120"/>
      <c r="CMI3" s="120"/>
      <c r="CMJ3" s="120"/>
      <c r="CMK3" s="120"/>
      <c r="CML3" s="120"/>
      <c r="CMM3" s="120"/>
      <c r="CMN3" s="120"/>
      <c r="CMO3" s="120"/>
      <c r="CMP3" s="120"/>
      <c r="CMQ3" s="120"/>
      <c r="CMR3" s="120"/>
      <c r="CMS3" s="120"/>
      <c r="CMT3" s="120"/>
      <c r="CMU3" s="120"/>
      <c r="CMV3" s="120"/>
      <c r="CMW3" s="120"/>
      <c r="CMX3" s="120"/>
      <c r="CMY3" s="120"/>
      <c r="CMZ3" s="120"/>
      <c r="CNA3" s="120"/>
      <c r="CNB3" s="120"/>
      <c r="CNC3" s="120"/>
      <c r="CND3" s="120"/>
      <c r="CNE3" s="120"/>
      <c r="CNF3" s="120"/>
      <c r="CNG3" s="120"/>
      <c r="CNH3" s="120"/>
      <c r="CNI3" s="120"/>
      <c r="CNJ3" s="120"/>
      <c r="CNK3" s="120"/>
      <c r="CNL3" s="120"/>
      <c r="CNM3" s="120"/>
      <c r="CNN3" s="120"/>
      <c r="CNO3" s="120"/>
      <c r="CNP3" s="120"/>
      <c r="CNQ3" s="120"/>
      <c r="CNR3" s="120"/>
      <c r="CNS3" s="120"/>
      <c r="CNT3" s="120"/>
      <c r="CNU3" s="120"/>
      <c r="CNV3" s="120"/>
      <c r="CNW3" s="120"/>
      <c r="CNX3" s="120"/>
      <c r="CNY3" s="120"/>
      <c r="CNZ3" s="120"/>
      <c r="COA3" s="120"/>
      <c r="COB3" s="120"/>
      <c r="COC3" s="120"/>
      <c r="COD3" s="120"/>
      <c r="COE3" s="120"/>
      <c r="COF3" s="120"/>
      <c r="COG3" s="120"/>
      <c r="COH3" s="120"/>
      <c r="COI3" s="120"/>
      <c r="COJ3" s="120"/>
      <c r="COK3" s="120"/>
      <c r="COL3" s="120"/>
      <c r="COM3" s="120"/>
      <c r="CON3" s="120"/>
      <c r="COO3" s="120"/>
      <c r="COP3" s="120"/>
      <c r="COQ3" s="120"/>
      <c r="COR3" s="120"/>
      <c r="COS3" s="120"/>
      <c r="COT3" s="120"/>
      <c r="COU3" s="120"/>
      <c r="COV3" s="120"/>
      <c r="COW3" s="120"/>
      <c r="COX3" s="120"/>
      <c r="COY3" s="120"/>
      <c r="COZ3" s="120"/>
      <c r="CPA3" s="120"/>
      <c r="CPB3" s="120"/>
      <c r="CPC3" s="120"/>
      <c r="CPD3" s="120"/>
      <c r="CPE3" s="120"/>
      <c r="CPF3" s="120"/>
      <c r="CPG3" s="120"/>
      <c r="CPH3" s="120"/>
      <c r="CPI3" s="120"/>
      <c r="CPJ3" s="120"/>
      <c r="CPK3" s="120"/>
      <c r="CPL3" s="120"/>
      <c r="CPM3" s="120"/>
      <c r="CPN3" s="120"/>
      <c r="CPO3" s="120"/>
      <c r="CPP3" s="120"/>
      <c r="CPQ3" s="120"/>
      <c r="CPR3" s="120"/>
      <c r="CPS3" s="120"/>
      <c r="CPT3" s="120"/>
      <c r="CPU3" s="120"/>
      <c r="CPV3" s="120"/>
      <c r="CPW3" s="120"/>
      <c r="CPX3" s="120"/>
      <c r="CPY3" s="120"/>
      <c r="CPZ3" s="120"/>
      <c r="CQA3" s="120"/>
      <c r="CQB3" s="120"/>
      <c r="CQC3" s="120"/>
      <c r="CQD3" s="120"/>
      <c r="CQE3" s="120"/>
      <c r="CQF3" s="120"/>
      <c r="CQG3" s="120"/>
      <c r="CQH3" s="120"/>
      <c r="CQI3" s="120"/>
      <c r="CQJ3" s="120"/>
      <c r="CQK3" s="120"/>
      <c r="CQL3" s="120"/>
      <c r="CQM3" s="120"/>
      <c r="CQN3" s="120"/>
      <c r="CQO3" s="120"/>
      <c r="CQP3" s="120"/>
      <c r="CQQ3" s="120"/>
      <c r="CQR3" s="120"/>
      <c r="CQS3" s="120"/>
      <c r="CQT3" s="120"/>
      <c r="CQU3" s="120"/>
      <c r="CQV3" s="120"/>
      <c r="CQW3" s="120"/>
      <c r="CQX3" s="120"/>
      <c r="CQY3" s="120"/>
      <c r="CQZ3" s="120"/>
      <c r="CRA3" s="120"/>
      <c r="CRB3" s="120"/>
      <c r="CRC3" s="120"/>
      <c r="CRD3" s="120"/>
      <c r="CRE3" s="120"/>
      <c r="CRF3" s="120"/>
      <c r="CRG3" s="120"/>
      <c r="CRH3" s="120"/>
      <c r="CRI3" s="120"/>
      <c r="CRJ3" s="120"/>
      <c r="CRK3" s="120"/>
      <c r="CRL3" s="120"/>
      <c r="CRM3" s="120"/>
      <c r="CRN3" s="120"/>
      <c r="CRO3" s="120"/>
      <c r="CRP3" s="120"/>
      <c r="CRQ3" s="120"/>
      <c r="CRR3" s="120"/>
      <c r="CRS3" s="120"/>
      <c r="CRT3" s="120"/>
      <c r="CRU3" s="120"/>
      <c r="CRV3" s="120"/>
      <c r="CRW3" s="120"/>
      <c r="CRX3" s="120"/>
      <c r="CRY3" s="120"/>
      <c r="CRZ3" s="120"/>
      <c r="CSA3" s="120"/>
      <c r="CSB3" s="120"/>
      <c r="CSC3" s="120"/>
      <c r="CSD3" s="120"/>
      <c r="CSE3" s="120"/>
      <c r="CSF3" s="120"/>
      <c r="CSG3" s="120"/>
      <c r="CSH3" s="120"/>
      <c r="CSI3" s="120"/>
      <c r="CSJ3" s="120"/>
      <c r="CSK3" s="120"/>
      <c r="CSL3" s="120"/>
      <c r="CSM3" s="120"/>
      <c r="CSN3" s="120"/>
      <c r="CSO3" s="120"/>
      <c r="CSP3" s="120"/>
      <c r="CSQ3" s="120"/>
      <c r="CSR3" s="120"/>
      <c r="CSS3" s="120"/>
      <c r="CST3" s="120"/>
      <c r="CSU3" s="120"/>
      <c r="CSV3" s="120"/>
      <c r="CSW3" s="120"/>
      <c r="CSX3" s="120"/>
      <c r="CSY3" s="120"/>
      <c r="CSZ3" s="120"/>
      <c r="CTA3" s="120"/>
      <c r="CTB3" s="120"/>
      <c r="CTC3" s="120"/>
      <c r="CTD3" s="120"/>
      <c r="CTE3" s="120"/>
      <c r="CTF3" s="120"/>
      <c r="CTG3" s="120"/>
      <c r="CTH3" s="120"/>
      <c r="CTI3" s="120"/>
      <c r="CTJ3" s="120"/>
      <c r="CTK3" s="120"/>
      <c r="CTL3" s="120"/>
      <c r="CTM3" s="120"/>
      <c r="CTN3" s="120"/>
      <c r="CTO3" s="120"/>
      <c r="CTP3" s="120"/>
      <c r="CTQ3" s="120"/>
      <c r="CTR3" s="120"/>
      <c r="CTS3" s="120"/>
      <c r="CTT3" s="120"/>
      <c r="CTU3" s="120"/>
      <c r="CTV3" s="120"/>
      <c r="CTW3" s="120"/>
      <c r="CTX3" s="120"/>
      <c r="CTY3" s="120"/>
      <c r="CTZ3" s="120"/>
      <c r="CUA3" s="120"/>
      <c r="CUB3" s="120"/>
      <c r="CUC3" s="120"/>
      <c r="CUD3" s="120"/>
      <c r="CUE3" s="120"/>
      <c r="CUF3" s="120"/>
      <c r="CUG3" s="120"/>
      <c r="CUH3" s="120"/>
      <c r="CUI3" s="120"/>
      <c r="CUJ3" s="120"/>
      <c r="CUK3" s="120"/>
      <c r="CUL3" s="120"/>
      <c r="CUM3" s="120"/>
      <c r="CUN3" s="120"/>
      <c r="CUO3" s="120"/>
      <c r="CUP3" s="120"/>
      <c r="CUQ3" s="120"/>
      <c r="CUR3" s="120"/>
      <c r="CUS3" s="120"/>
      <c r="CUT3" s="120"/>
      <c r="CUU3" s="120"/>
      <c r="CUV3" s="120"/>
      <c r="CUW3" s="120"/>
      <c r="CUX3" s="120"/>
      <c r="CUY3" s="120"/>
      <c r="CUZ3" s="120"/>
      <c r="CVA3" s="120"/>
      <c r="CVB3" s="120"/>
      <c r="CVC3" s="120"/>
      <c r="CVD3" s="120"/>
      <c r="CVE3" s="120"/>
      <c r="CVF3" s="120"/>
      <c r="CVG3" s="120"/>
      <c r="CVH3" s="120"/>
      <c r="CVI3" s="120"/>
      <c r="CVJ3" s="120"/>
      <c r="CVK3" s="120"/>
      <c r="CVL3" s="120"/>
      <c r="CVM3" s="120"/>
      <c r="CVN3" s="120"/>
      <c r="CVO3" s="120"/>
      <c r="CVP3" s="120"/>
      <c r="CVQ3" s="120"/>
      <c r="CVR3" s="120"/>
      <c r="CVS3" s="120"/>
      <c r="CVT3" s="120"/>
      <c r="CVU3" s="120"/>
      <c r="CVV3" s="120"/>
      <c r="CVW3" s="120"/>
      <c r="CVX3" s="120"/>
      <c r="CVY3" s="120"/>
      <c r="CVZ3" s="120"/>
      <c r="CWA3" s="120"/>
      <c r="CWB3" s="120"/>
      <c r="CWC3" s="120"/>
      <c r="CWD3" s="120"/>
      <c r="CWE3" s="120"/>
      <c r="CWF3" s="120"/>
      <c r="CWG3" s="120"/>
      <c r="CWH3" s="120"/>
      <c r="CWI3" s="120"/>
      <c r="CWJ3" s="120"/>
      <c r="CWK3" s="120"/>
      <c r="CWL3" s="120"/>
      <c r="CWM3" s="120"/>
      <c r="CWN3" s="120"/>
      <c r="CWO3" s="120"/>
      <c r="CWP3" s="120"/>
      <c r="CWQ3" s="120"/>
      <c r="CWR3" s="120"/>
      <c r="CWS3" s="120"/>
      <c r="CWT3" s="120"/>
      <c r="CWU3" s="120"/>
      <c r="CWV3" s="120"/>
      <c r="CWW3" s="120"/>
      <c r="CWX3" s="120"/>
      <c r="CWY3" s="120"/>
      <c r="CWZ3" s="120"/>
      <c r="CXA3" s="120"/>
      <c r="CXB3" s="120"/>
      <c r="CXC3" s="120"/>
      <c r="CXD3" s="120"/>
      <c r="CXE3" s="120"/>
      <c r="CXF3" s="120"/>
      <c r="CXG3" s="120"/>
      <c r="CXH3" s="120"/>
      <c r="CXI3" s="120"/>
      <c r="CXJ3" s="120"/>
      <c r="CXK3" s="120"/>
      <c r="CXL3" s="120"/>
      <c r="CXM3" s="120"/>
      <c r="CXN3" s="120"/>
      <c r="CXO3" s="120"/>
      <c r="CXP3" s="120"/>
      <c r="CXQ3" s="120"/>
      <c r="CXR3" s="120"/>
      <c r="CXS3" s="120"/>
      <c r="CXT3" s="120"/>
      <c r="CXU3" s="120"/>
      <c r="CXV3" s="120"/>
      <c r="CXW3" s="120"/>
      <c r="CXX3" s="120"/>
      <c r="CXY3" s="120"/>
      <c r="CXZ3" s="120"/>
      <c r="CYA3" s="120"/>
      <c r="CYB3" s="120"/>
      <c r="CYC3" s="120"/>
      <c r="CYD3" s="120"/>
      <c r="CYE3" s="120"/>
      <c r="CYF3" s="120"/>
      <c r="CYG3" s="120"/>
      <c r="CYH3" s="120"/>
      <c r="CYI3" s="120"/>
      <c r="CYJ3" s="120"/>
      <c r="CYK3" s="120"/>
      <c r="CYL3" s="120"/>
      <c r="CYM3" s="120"/>
      <c r="CYN3" s="120"/>
      <c r="CYO3" s="120"/>
      <c r="CYP3" s="120"/>
      <c r="CYQ3" s="120"/>
      <c r="CYR3" s="120"/>
      <c r="CYS3" s="120"/>
      <c r="CYT3" s="120"/>
      <c r="CYU3" s="120"/>
      <c r="CYV3" s="120"/>
      <c r="CYW3" s="120"/>
      <c r="CYX3" s="120"/>
      <c r="CYY3" s="120"/>
      <c r="CYZ3" s="120"/>
      <c r="CZA3" s="120"/>
      <c r="CZB3" s="120"/>
      <c r="CZC3" s="120"/>
      <c r="CZD3" s="120"/>
      <c r="CZE3" s="120"/>
      <c r="CZF3" s="120"/>
      <c r="CZG3" s="120"/>
      <c r="CZH3" s="120"/>
      <c r="CZI3" s="120"/>
      <c r="CZJ3" s="120"/>
      <c r="CZK3" s="120"/>
      <c r="CZL3" s="120"/>
      <c r="CZM3" s="120"/>
      <c r="CZN3" s="120"/>
      <c r="CZO3" s="120"/>
      <c r="CZP3" s="120"/>
      <c r="CZQ3" s="120"/>
      <c r="CZR3" s="120"/>
      <c r="CZS3" s="120"/>
      <c r="CZT3" s="120"/>
      <c r="CZU3" s="120"/>
      <c r="CZV3" s="120"/>
      <c r="CZW3" s="120"/>
      <c r="CZX3" s="120"/>
      <c r="CZY3" s="120"/>
      <c r="CZZ3" s="120"/>
      <c r="DAA3" s="120"/>
      <c r="DAB3" s="120"/>
      <c r="DAC3" s="120"/>
      <c r="DAD3" s="120"/>
      <c r="DAE3" s="120"/>
      <c r="DAF3" s="120"/>
      <c r="DAG3" s="120"/>
      <c r="DAH3" s="120"/>
      <c r="DAI3" s="120"/>
      <c r="DAJ3" s="120"/>
      <c r="DAK3" s="120"/>
      <c r="DAL3" s="120"/>
      <c r="DAM3" s="120"/>
      <c r="DAN3" s="120"/>
      <c r="DAO3" s="120"/>
      <c r="DAP3" s="120"/>
      <c r="DAQ3" s="120"/>
      <c r="DAR3" s="120"/>
      <c r="DAS3" s="120"/>
      <c r="DAT3" s="120"/>
      <c r="DAU3" s="120"/>
      <c r="DAV3" s="120"/>
      <c r="DAW3" s="120"/>
      <c r="DAX3" s="120"/>
      <c r="DAY3" s="120"/>
      <c r="DAZ3" s="120"/>
      <c r="DBA3" s="120"/>
      <c r="DBB3" s="120"/>
      <c r="DBC3" s="120"/>
      <c r="DBD3" s="120"/>
      <c r="DBE3" s="120"/>
      <c r="DBF3" s="120"/>
      <c r="DBG3" s="120"/>
      <c r="DBH3" s="120"/>
      <c r="DBI3" s="120"/>
      <c r="DBJ3" s="120"/>
      <c r="DBK3" s="120"/>
      <c r="DBL3" s="120"/>
      <c r="DBM3" s="120"/>
      <c r="DBN3" s="120"/>
      <c r="DBO3" s="120"/>
      <c r="DBP3" s="120"/>
      <c r="DBQ3" s="120"/>
      <c r="DBR3" s="120"/>
      <c r="DBS3" s="120"/>
      <c r="DBT3" s="120"/>
      <c r="DBU3" s="120"/>
      <c r="DBV3" s="120"/>
      <c r="DBW3" s="120"/>
      <c r="DBX3" s="120"/>
      <c r="DBY3" s="120"/>
      <c r="DBZ3" s="120"/>
      <c r="DCA3" s="120"/>
      <c r="DCB3" s="120"/>
      <c r="DCC3" s="120"/>
      <c r="DCD3" s="120"/>
      <c r="DCE3" s="120"/>
      <c r="DCF3" s="120"/>
      <c r="DCG3" s="120"/>
      <c r="DCH3" s="120"/>
      <c r="DCI3" s="120"/>
      <c r="DCJ3" s="120"/>
      <c r="DCK3" s="120"/>
      <c r="DCL3" s="120"/>
      <c r="DCM3" s="120"/>
      <c r="DCN3" s="120"/>
      <c r="DCO3" s="120"/>
      <c r="DCP3" s="120"/>
      <c r="DCQ3" s="120"/>
      <c r="DCR3" s="120"/>
      <c r="DCS3" s="120"/>
      <c r="DCT3" s="120"/>
      <c r="DCU3" s="120"/>
      <c r="DCV3" s="120"/>
      <c r="DCW3" s="120"/>
      <c r="DCX3" s="120"/>
      <c r="DCY3" s="120"/>
      <c r="DCZ3" s="120"/>
      <c r="DDA3" s="120"/>
      <c r="DDB3" s="120"/>
      <c r="DDC3" s="120"/>
      <c r="DDD3" s="120"/>
      <c r="DDE3" s="120"/>
      <c r="DDF3" s="120"/>
      <c r="DDG3" s="120"/>
      <c r="DDH3" s="120"/>
      <c r="DDI3" s="120"/>
      <c r="DDJ3" s="120"/>
      <c r="DDK3" s="120"/>
      <c r="DDL3" s="120"/>
      <c r="DDM3" s="120"/>
      <c r="DDN3" s="120"/>
      <c r="DDO3" s="120"/>
      <c r="DDP3" s="120"/>
      <c r="DDQ3" s="120"/>
      <c r="DDR3" s="120"/>
      <c r="DDS3" s="120"/>
      <c r="DDT3" s="120"/>
      <c r="DDU3" s="120"/>
      <c r="DDV3" s="120"/>
      <c r="DDW3" s="120"/>
      <c r="DDX3" s="120"/>
      <c r="DDY3" s="120"/>
      <c r="DDZ3" s="120"/>
      <c r="DEA3" s="120"/>
      <c r="DEB3" s="120"/>
      <c r="DEC3" s="120"/>
      <c r="DED3" s="120"/>
      <c r="DEE3" s="120"/>
      <c r="DEF3" s="120"/>
      <c r="DEG3" s="120"/>
      <c r="DEH3" s="120"/>
      <c r="DEI3" s="120"/>
      <c r="DEJ3" s="120"/>
      <c r="DEK3" s="120"/>
      <c r="DEL3" s="120"/>
      <c r="DEM3" s="120"/>
      <c r="DEN3" s="120"/>
      <c r="DEO3" s="120"/>
      <c r="DEP3" s="120"/>
      <c r="DEQ3" s="120"/>
      <c r="DER3" s="120"/>
      <c r="DES3" s="120"/>
      <c r="DET3" s="120"/>
      <c r="DEU3" s="120"/>
      <c r="DEV3" s="120"/>
      <c r="DEW3" s="120"/>
      <c r="DEX3" s="120"/>
      <c r="DEY3" s="120"/>
      <c r="DEZ3" s="120"/>
      <c r="DFA3" s="120"/>
      <c r="DFB3" s="120"/>
      <c r="DFC3" s="120"/>
      <c r="DFD3" s="120"/>
      <c r="DFE3" s="120"/>
      <c r="DFF3" s="120"/>
      <c r="DFG3" s="120"/>
      <c r="DFH3" s="120"/>
      <c r="DFI3" s="120"/>
      <c r="DFJ3" s="120"/>
      <c r="DFK3" s="120"/>
      <c r="DFL3" s="120"/>
      <c r="DFM3" s="120"/>
      <c r="DFN3" s="120"/>
      <c r="DFO3" s="120"/>
      <c r="DFP3" s="120"/>
      <c r="DFQ3" s="120"/>
      <c r="DFR3" s="120"/>
      <c r="DFS3" s="120"/>
      <c r="DFT3" s="120"/>
      <c r="DFU3" s="120"/>
      <c r="DFV3" s="120"/>
      <c r="DFW3" s="120"/>
      <c r="DFX3" s="120"/>
      <c r="DFY3" s="120"/>
      <c r="DFZ3" s="120"/>
      <c r="DGA3" s="120"/>
      <c r="DGB3" s="120"/>
      <c r="DGC3" s="120"/>
      <c r="DGD3" s="120"/>
      <c r="DGE3" s="120"/>
      <c r="DGF3" s="120"/>
      <c r="DGG3" s="120"/>
      <c r="DGH3" s="120"/>
      <c r="DGI3" s="120"/>
      <c r="DGJ3" s="120"/>
      <c r="DGK3" s="120"/>
      <c r="DGL3" s="120"/>
      <c r="DGM3" s="120"/>
      <c r="DGN3" s="120"/>
      <c r="DGO3" s="120"/>
      <c r="DGP3" s="120"/>
      <c r="DGQ3" s="120"/>
      <c r="DGR3" s="120"/>
      <c r="DGS3" s="120"/>
      <c r="DGT3" s="120"/>
      <c r="DGU3" s="120"/>
      <c r="DGV3" s="120"/>
      <c r="DGW3" s="120"/>
      <c r="DGX3" s="120"/>
      <c r="DGY3" s="120"/>
      <c r="DGZ3" s="120"/>
      <c r="DHA3" s="120"/>
      <c r="DHB3" s="120"/>
      <c r="DHC3" s="120"/>
      <c r="DHD3" s="120"/>
      <c r="DHE3" s="120"/>
      <c r="DHF3" s="120"/>
      <c r="DHG3" s="120"/>
      <c r="DHH3" s="120"/>
      <c r="DHI3" s="120"/>
      <c r="DHJ3" s="120"/>
      <c r="DHK3" s="120"/>
      <c r="DHL3" s="120"/>
      <c r="DHM3" s="120"/>
      <c r="DHN3" s="120"/>
      <c r="DHO3" s="120"/>
      <c r="DHP3" s="120"/>
      <c r="DHQ3" s="120"/>
      <c r="DHR3" s="120"/>
      <c r="DHS3" s="120"/>
      <c r="DHT3" s="120"/>
      <c r="DHU3" s="120"/>
      <c r="DHV3" s="120"/>
      <c r="DHW3" s="120"/>
      <c r="DHX3" s="120"/>
      <c r="DHY3" s="120"/>
      <c r="DHZ3" s="120"/>
      <c r="DIA3" s="120"/>
      <c r="DIB3" s="120"/>
      <c r="DIC3" s="120"/>
      <c r="DID3" s="120"/>
      <c r="DIE3" s="120"/>
      <c r="DIF3" s="120"/>
      <c r="DIG3" s="120"/>
      <c r="DIH3" s="120"/>
      <c r="DII3" s="120"/>
      <c r="DIJ3" s="120"/>
      <c r="DIK3" s="120"/>
      <c r="DIL3" s="120"/>
      <c r="DIM3" s="120"/>
      <c r="DIN3" s="120"/>
      <c r="DIO3" s="120"/>
      <c r="DIP3" s="120"/>
      <c r="DIQ3" s="120"/>
      <c r="DIR3" s="120"/>
      <c r="DIS3" s="120"/>
      <c r="DIT3" s="120"/>
      <c r="DIU3" s="120"/>
      <c r="DIV3" s="120"/>
      <c r="DIW3" s="120"/>
      <c r="DIX3" s="120"/>
      <c r="DIY3" s="120"/>
      <c r="DIZ3" s="120"/>
      <c r="DJA3" s="120"/>
      <c r="DJB3" s="120"/>
      <c r="DJC3" s="120"/>
      <c r="DJD3" s="120"/>
      <c r="DJE3" s="120"/>
      <c r="DJF3" s="120"/>
      <c r="DJG3" s="120"/>
      <c r="DJH3" s="120"/>
      <c r="DJI3" s="120"/>
      <c r="DJJ3" s="120"/>
      <c r="DJK3" s="120"/>
      <c r="DJL3" s="120"/>
      <c r="DJM3" s="120"/>
      <c r="DJN3" s="120"/>
      <c r="DJO3" s="120"/>
      <c r="DJP3" s="120"/>
      <c r="DJQ3" s="120"/>
      <c r="DJR3" s="120"/>
      <c r="DJS3" s="120"/>
      <c r="DJT3" s="120"/>
      <c r="DJU3" s="120"/>
      <c r="DJV3" s="120"/>
      <c r="DJW3" s="120"/>
      <c r="DJX3" s="120"/>
      <c r="DJY3" s="120"/>
      <c r="DJZ3" s="120"/>
      <c r="DKA3" s="120"/>
      <c r="DKB3" s="120"/>
      <c r="DKC3" s="120"/>
      <c r="DKD3" s="120"/>
      <c r="DKE3" s="120"/>
      <c r="DKF3" s="120"/>
      <c r="DKG3" s="120"/>
      <c r="DKH3" s="120"/>
      <c r="DKI3" s="120"/>
      <c r="DKJ3" s="120"/>
      <c r="DKK3" s="120"/>
      <c r="DKL3" s="120"/>
      <c r="DKM3" s="120"/>
      <c r="DKN3" s="120"/>
      <c r="DKO3" s="120"/>
      <c r="DKP3" s="120"/>
      <c r="DKQ3" s="120"/>
      <c r="DKR3" s="120"/>
      <c r="DKS3" s="120"/>
      <c r="DKT3" s="120"/>
      <c r="DKU3" s="120"/>
      <c r="DKV3" s="120"/>
      <c r="DKW3" s="120"/>
      <c r="DKX3" s="120"/>
      <c r="DKY3" s="120"/>
      <c r="DKZ3" s="120"/>
      <c r="DLA3" s="120"/>
      <c r="DLB3" s="120"/>
      <c r="DLC3" s="120"/>
      <c r="DLD3" s="120"/>
      <c r="DLE3" s="120"/>
      <c r="DLF3" s="120"/>
      <c r="DLG3" s="120"/>
      <c r="DLH3" s="120"/>
      <c r="DLI3" s="120"/>
      <c r="DLJ3" s="120"/>
      <c r="DLK3" s="120"/>
      <c r="DLL3" s="120"/>
      <c r="DLM3" s="120"/>
      <c r="DLN3" s="120"/>
      <c r="DLO3" s="120"/>
      <c r="DLP3" s="120"/>
      <c r="DLQ3" s="120"/>
      <c r="DLR3" s="120"/>
      <c r="DLS3" s="120"/>
      <c r="DLT3" s="120"/>
      <c r="DLU3" s="120"/>
      <c r="DLV3" s="120"/>
      <c r="DLW3" s="120"/>
      <c r="DLX3" s="120"/>
      <c r="DLY3" s="120"/>
      <c r="DLZ3" s="120"/>
      <c r="DMA3" s="120"/>
      <c r="DMB3" s="120"/>
      <c r="DMC3" s="120"/>
      <c r="DMD3" s="120"/>
      <c r="DME3" s="120"/>
      <c r="DMF3" s="120"/>
      <c r="DMG3" s="120"/>
      <c r="DMH3" s="120"/>
      <c r="DMI3" s="120"/>
      <c r="DMJ3" s="120"/>
      <c r="DMK3" s="120"/>
      <c r="DML3" s="120"/>
      <c r="DMM3" s="120"/>
      <c r="DMN3" s="120"/>
      <c r="DMO3" s="120"/>
      <c r="DMP3" s="120"/>
      <c r="DMQ3" s="120"/>
      <c r="DMR3" s="120"/>
      <c r="DMS3" s="120"/>
      <c r="DMT3" s="120"/>
      <c r="DMU3" s="120"/>
      <c r="DMV3" s="120"/>
      <c r="DMW3" s="120"/>
      <c r="DMX3" s="120"/>
      <c r="DMY3" s="120"/>
      <c r="DMZ3" s="120"/>
      <c r="DNA3" s="120"/>
      <c r="DNB3" s="120"/>
      <c r="DNC3" s="120"/>
      <c r="DND3" s="120"/>
      <c r="DNE3" s="120"/>
      <c r="DNF3" s="120"/>
      <c r="DNG3" s="120"/>
      <c r="DNH3" s="120"/>
      <c r="DNI3" s="120"/>
      <c r="DNJ3" s="120"/>
      <c r="DNK3" s="120"/>
      <c r="DNL3" s="120"/>
      <c r="DNM3" s="120"/>
      <c r="DNN3" s="120"/>
      <c r="DNO3" s="120"/>
      <c r="DNP3" s="120"/>
      <c r="DNQ3" s="120"/>
      <c r="DNR3" s="120"/>
      <c r="DNS3" s="120"/>
      <c r="DNT3" s="120"/>
      <c r="DNU3" s="120"/>
      <c r="DNV3" s="120"/>
      <c r="DNW3" s="120"/>
      <c r="DNX3" s="120"/>
      <c r="DNY3" s="120"/>
      <c r="DNZ3" s="120"/>
      <c r="DOA3" s="120"/>
      <c r="DOB3" s="120"/>
      <c r="DOC3" s="120"/>
      <c r="DOD3" s="120"/>
      <c r="DOE3" s="120"/>
      <c r="DOF3" s="120"/>
      <c r="DOG3" s="120"/>
      <c r="DOH3" s="120"/>
      <c r="DOI3" s="120"/>
      <c r="DOJ3" s="120"/>
      <c r="DOK3" s="120"/>
      <c r="DOL3" s="120"/>
      <c r="DOM3" s="120"/>
      <c r="DON3" s="120"/>
      <c r="DOO3" s="120"/>
      <c r="DOP3" s="120"/>
      <c r="DOQ3" s="120"/>
      <c r="DOR3" s="120"/>
      <c r="DOS3" s="120"/>
      <c r="DOT3" s="120"/>
      <c r="DOU3" s="120"/>
      <c r="DOV3" s="120"/>
      <c r="DOW3" s="120"/>
      <c r="DOX3" s="120"/>
      <c r="DOY3" s="120"/>
      <c r="DOZ3" s="120"/>
      <c r="DPA3" s="120"/>
      <c r="DPB3" s="120"/>
      <c r="DPC3" s="120"/>
      <c r="DPD3" s="120"/>
      <c r="DPE3" s="120"/>
      <c r="DPF3" s="120"/>
      <c r="DPG3" s="120"/>
      <c r="DPH3" s="120"/>
      <c r="DPI3" s="120"/>
      <c r="DPJ3" s="120"/>
      <c r="DPK3" s="120"/>
      <c r="DPL3" s="120"/>
      <c r="DPM3" s="120"/>
      <c r="DPN3" s="120"/>
      <c r="DPO3" s="120"/>
      <c r="DPP3" s="120"/>
      <c r="DPQ3" s="120"/>
      <c r="DPR3" s="120"/>
      <c r="DPS3" s="120"/>
      <c r="DPT3" s="120"/>
      <c r="DPU3" s="120"/>
      <c r="DPV3" s="120"/>
      <c r="DPW3" s="120"/>
      <c r="DPX3" s="120"/>
      <c r="DPY3" s="120"/>
      <c r="DPZ3" s="120"/>
      <c r="DQA3" s="120"/>
      <c r="DQB3" s="120"/>
      <c r="DQC3" s="120"/>
      <c r="DQD3" s="120"/>
      <c r="DQE3" s="120"/>
      <c r="DQF3" s="120"/>
      <c r="DQG3" s="120"/>
      <c r="DQH3" s="120"/>
      <c r="DQI3" s="120"/>
      <c r="DQJ3" s="120"/>
      <c r="DQK3" s="120"/>
      <c r="DQL3" s="120"/>
      <c r="DQM3" s="120"/>
      <c r="DQN3" s="120"/>
      <c r="DQO3" s="120"/>
      <c r="DQP3" s="120"/>
      <c r="DQQ3" s="120"/>
      <c r="DQR3" s="120"/>
      <c r="DQS3" s="120"/>
      <c r="DQT3" s="120"/>
      <c r="DQU3" s="120"/>
      <c r="DQV3" s="120"/>
      <c r="DQW3" s="120"/>
      <c r="DQX3" s="120"/>
      <c r="DQY3" s="120"/>
      <c r="DQZ3" s="120"/>
      <c r="DRA3" s="120"/>
      <c r="DRB3" s="120"/>
      <c r="DRC3" s="120"/>
      <c r="DRD3" s="120"/>
      <c r="DRE3" s="120"/>
      <c r="DRF3" s="120"/>
      <c r="DRG3" s="120"/>
      <c r="DRH3" s="120"/>
      <c r="DRI3" s="120"/>
      <c r="DRJ3" s="120"/>
      <c r="DRK3" s="120"/>
      <c r="DRL3" s="120"/>
      <c r="DRM3" s="120"/>
      <c r="DRN3" s="120"/>
      <c r="DRO3" s="120"/>
      <c r="DRP3" s="120"/>
      <c r="DRQ3" s="120"/>
      <c r="DRR3" s="120"/>
      <c r="DRS3" s="120"/>
      <c r="DRT3" s="120"/>
      <c r="DRU3" s="120"/>
      <c r="DRV3" s="120"/>
      <c r="DRW3" s="120"/>
      <c r="DRX3" s="120"/>
      <c r="DRY3" s="120"/>
      <c r="DRZ3" s="120"/>
      <c r="DSA3" s="120"/>
      <c r="DSB3" s="120"/>
      <c r="DSC3" s="120"/>
      <c r="DSD3" s="120"/>
      <c r="DSE3" s="120"/>
      <c r="DSF3" s="120"/>
      <c r="DSG3" s="120"/>
      <c r="DSH3" s="120"/>
      <c r="DSI3" s="120"/>
      <c r="DSJ3" s="120"/>
      <c r="DSK3" s="120"/>
      <c r="DSL3" s="120"/>
      <c r="DSM3" s="120"/>
      <c r="DSN3" s="120"/>
      <c r="DSO3" s="120"/>
      <c r="DSP3" s="120"/>
      <c r="DSQ3" s="120"/>
      <c r="DSR3" s="120"/>
      <c r="DSS3" s="120"/>
      <c r="DST3" s="120"/>
      <c r="DSU3" s="120"/>
      <c r="DSV3" s="120"/>
      <c r="DSW3" s="120"/>
      <c r="DSX3" s="120"/>
      <c r="DSY3" s="120"/>
      <c r="DSZ3" s="120"/>
      <c r="DTA3" s="120"/>
      <c r="DTB3" s="120"/>
      <c r="DTC3" s="120"/>
      <c r="DTD3" s="120"/>
      <c r="DTE3" s="120"/>
      <c r="DTF3" s="120"/>
      <c r="DTG3" s="120"/>
      <c r="DTH3" s="120"/>
      <c r="DTI3" s="120"/>
      <c r="DTJ3" s="120"/>
      <c r="DTK3" s="120"/>
      <c r="DTL3" s="120"/>
      <c r="DTM3" s="120"/>
      <c r="DTN3" s="120"/>
      <c r="DTO3" s="120"/>
      <c r="DTP3" s="120"/>
      <c r="DTQ3" s="120"/>
      <c r="DTR3" s="120"/>
      <c r="DTS3" s="120"/>
      <c r="DTT3" s="120"/>
      <c r="DTU3" s="120"/>
      <c r="DTV3" s="120"/>
      <c r="DTW3" s="120"/>
      <c r="DTX3" s="120"/>
      <c r="DTY3" s="120"/>
      <c r="DTZ3" s="120"/>
      <c r="DUA3" s="120"/>
      <c r="DUB3" s="120"/>
      <c r="DUC3" s="120"/>
      <c r="DUD3" s="120"/>
      <c r="DUE3" s="120"/>
      <c r="DUF3" s="120"/>
      <c r="DUG3" s="120"/>
      <c r="DUH3" s="120"/>
      <c r="DUI3" s="120"/>
      <c r="DUJ3" s="120"/>
      <c r="DUK3" s="120"/>
      <c r="DUL3" s="120"/>
      <c r="DUM3" s="120"/>
      <c r="DUN3" s="120"/>
      <c r="DUO3" s="120"/>
      <c r="DUP3" s="120"/>
      <c r="DUQ3" s="120"/>
      <c r="DUR3" s="120"/>
      <c r="DUS3" s="120"/>
      <c r="DUT3" s="120"/>
      <c r="DUU3" s="120"/>
      <c r="DUV3" s="120"/>
      <c r="DUW3" s="120"/>
      <c r="DUX3" s="120"/>
      <c r="DUY3" s="120"/>
      <c r="DUZ3" s="120"/>
      <c r="DVA3" s="120"/>
      <c r="DVB3" s="120"/>
      <c r="DVC3" s="120"/>
      <c r="DVD3" s="120"/>
      <c r="DVE3" s="120"/>
      <c r="DVF3" s="120"/>
      <c r="DVG3" s="120"/>
      <c r="DVH3" s="120"/>
      <c r="DVI3" s="120"/>
      <c r="DVJ3" s="120"/>
      <c r="DVK3" s="120"/>
      <c r="DVL3" s="120"/>
      <c r="DVM3" s="120"/>
      <c r="DVN3" s="120"/>
      <c r="DVO3" s="120"/>
      <c r="DVP3" s="120"/>
      <c r="DVQ3" s="120"/>
      <c r="DVR3" s="120"/>
      <c r="DVS3" s="120"/>
      <c r="DVT3" s="120"/>
      <c r="DVU3" s="120"/>
      <c r="DVV3" s="120"/>
      <c r="DVW3" s="120"/>
      <c r="DVX3" s="120"/>
      <c r="DVY3" s="120"/>
      <c r="DVZ3" s="120"/>
      <c r="DWA3" s="120"/>
      <c r="DWB3" s="120"/>
      <c r="DWC3" s="120"/>
      <c r="DWD3" s="120"/>
      <c r="DWE3" s="120"/>
      <c r="DWF3" s="120"/>
      <c r="DWG3" s="120"/>
      <c r="DWH3" s="120"/>
      <c r="DWI3" s="120"/>
      <c r="DWJ3" s="120"/>
      <c r="DWK3" s="120"/>
      <c r="DWL3" s="120"/>
      <c r="DWM3" s="120"/>
      <c r="DWN3" s="120"/>
      <c r="DWO3" s="120"/>
      <c r="DWP3" s="120"/>
      <c r="DWQ3" s="120"/>
      <c r="DWR3" s="120"/>
      <c r="DWS3" s="120"/>
      <c r="DWT3" s="120"/>
      <c r="DWU3" s="120"/>
      <c r="DWV3" s="120"/>
      <c r="DWW3" s="120"/>
      <c r="DWX3" s="120"/>
      <c r="DWY3" s="120"/>
      <c r="DWZ3" s="120"/>
      <c r="DXA3" s="120"/>
      <c r="DXB3" s="120"/>
      <c r="DXC3" s="120"/>
      <c r="DXD3" s="120"/>
      <c r="DXE3" s="120"/>
      <c r="DXF3" s="120"/>
      <c r="DXG3" s="120"/>
      <c r="DXH3" s="120"/>
      <c r="DXI3" s="120"/>
      <c r="DXJ3" s="120"/>
      <c r="DXK3" s="120"/>
      <c r="DXL3" s="120"/>
      <c r="DXM3" s="120"/>
      <c r="DXN3" s="120"/>
      <c r="DXO3" s="120"/>
      <c r="DXP3" s="120"/>
      <c r="DXQ3" s="120"/>
      <c r="DXR3" s="120"/>
      <c r="DXS3" s="120"/>
      <c r="DXT3" s="120"/>
      <c r="DXU3" s="120"/>
      <c r="DXV3" s="120"/>
      <c r="DXW3" s="120"/>
      <c r="DXX3" s="120"/>
      <c r="DXY3" s="120"/>
      <c r="DXZ3" s="120"/>
      <c r="DYA3" s="120"/>
      <c r="DYB3" s="120"/>
      <c r="DYC3" s="120"/>
      <c r="DYD3" s="120"/>
      <c r="DYE3" s="120"/>
      <c r="DYF3" s="120"/>
      <c r="DYG3" s="120"/>
      <c r="DYH3" s="120"/>
      <c r="DYI3" s="120"/>
      <c r="DYJ3" s="120"/>
      <c r="DYK3" s="120"/>
      <c r="DYL3" s="120"/>
      <c r="DYM3" s="120"/>
      <c r="DYN3" s="120"/>
      <c r="DYO3" s="120"/>
      <c r="DYP3" s="120"/>
      <c r="DYQ3" s="120"/>
      <c r="DYR3" s="120"/>
      <c r="DYS3" s="120"/>
      <c r="DYT3" s="120"/>
      <c r="DYU3" s="120"/>
      <c r="DYV3" s="120"/>
      <c r="DYW3" s="120"/>
      <c r="DYX3" s="120"/>
      <c r="DYY3" s="120"/>
      <c r="DYZ3" s="120"/>
      <c r="DZA3" s="120"/>
      <c r="DZB3" s="120"/>
      <c r="DZC3" s="120"/>
      <c r="DZD3" s="120"/>
      <c r="DZE3" s="120"/>
      <c r="DZF3" s="120"/>
      <c r="DZG3" s="120"/>
      <c r="DZH3" s="120"/>
      <c r="DZI3" s="120"/>
      <c r="DZJ3" s="120"/>
      <c r="DZK3" s="120"/>
      <c r="DZL3" s="120"/>
      <c r="DZM3" s="120"/>
      <c r="DZN3" s="120"/>
      <c r="DZO3" s="120"/>
      <c r="DZP3" s="120"/>
      <c r="DZQ3" s="120"/>
      <c r="DZR3" s="120"/>
      <c r="DZS3" s="120"/>
      <c r="DZT3" s="120"/>
      <c r="DZU3" s="120"/>
      <c r="DZV3" s="120"/>
      <c r="DZW3" s="120"/>
      <c r="DZX3" s="120"/>
      <c r="DZY3" s="120"/>
      <c r="DZZ3" s="120"/>
      <c r="EAA3" s="120"/>
      <c r="EAB3" s="120"/>
      <c r="EAC3" s="120"/>
      <c r="EAD3" s="120"/>
      <c r="EAE3" s="120"/>
      <c r="EAF3" s="120"/>
      <c r="EAG3" s="120"/>
      <c r="EAH3" s="120"/>
      <c r="EAI3" s="120"/>
      <c r="EAJ3" s="120"/>
      <c r="EAK3" s="120"/>
      <c r="EAL3" s="120"/>
      <c r="EAM3" s="120"/>
      <c r="EAN3" s="120"/>
      <c r="EAO3" s="120"/>
      <c r="EAP3" s="120"/>
      <c r="EAQ3" s="120"/>
      <c r="EAR3" s="120"/>
      <c r="EAS3" s="120"/>
      <c r="EAT3" s="120"/>
      <c r="EAU3" s="120"/>
      <c r="EAV3" s="120"/>
      <c r="EAW3" s="120"/>
      <c r="EAX3" s="120"/>
      <c r="EAY3" s="120"/>
      <c r="EAZ3" s="120"/>
      <c r="EBA3" s="120"/>
      <c r="EBB3" s="120"/>
      <c r="EBC3" s="120"/>
      <c r="EBD3" s="120"/>
      <c r="EBE3" s="120"/>
      <c r="EBF3" s="120"/>
      <c r="EBG3" s="120"/>
      <c r="EBH3" s="120"/>
      <c r="EBI3" s="120"/>
      <c r="EBJ3" s="120"/>
      <c r="EBK3" s="120"/>
      <c r="EBL3" s="120"/>
      <c r="EBM3" s="120"/>
      <c r="EBN3" s="120"/>
      <c r="EBO3" s="120"/>
      <c r="EBP3" s="120"/>
      <c r="EBQ3" s="120"/>
      <c r="EBR3" s="120"/>
      <c r="EBS3" s="120"/>
      <c r="EBT3" s="120"/>
      <c r="EBU3" s="120"/>
      <c r="EBV3" s="120"/>
      <c r="EBW3" s="120"/>
      <c r="EBX3" s="120"/>
      <c r="EBY3" s="120"/>
      <c r="EBZ3" s="120"/>
      <c r="ECA3" s="120"/>
      <c r="ECB3" s="120"/>
      <c r="ECC3" s="120"/>
      <c r="ECD3" s="120"/>
      <c r="ECE3" s="120"/>
      <c r="ECF3" s="120"/>
      <c r="ECG3" s="120"/>
      <c r="ECH3" s="120"/>
      <c r="ECI3" s="120"/>
      <c r="ECJ3" s="120"/>
      <c r="ECK3" s="120"/>
      <c r="ECL3" s="120"/>
      <c r="ECM3" s="120"/>
      <c r="ECN3" s="120"/>
      <c r="ECO3" s="120"/>
      <c r="ECP3" s="120"/>
      <c r="ECQ3" s="120"/>
      <c r="ECR3" s="120"/>
      <c r="ECS3" s="120"/>
      <c r="ECT3" s="120"/>
      <c r="ECU3" s="120"/>
      <c r="ECV3" s="120"/>
      <c r="ECW3" s="120"/>
      <c r="ECX3" s="120"/>
      <c r="ECY3" s="120"/>
      <c r="ECZ3" s="120"/>
      <c r="EDA3" s="120"/>
      <c r="EDB3" s="120"/>
      <c r="EDC3" s="120"/>
      <c r="EDD3" s="120"/>
      <c r="EDE3" s="120"/>
      <c r="EDF3" s="120"/>
      <c r="EDG3" s="120"/>
      <c r="EDH3" s="120"/>
      <c r="EDI3" s="120"/>
      <c r="EDJ3" s="120"/>
      <c r="EDK3" s="120"/>
      <c r="EDL3" s="120"/>
      <c r="EDM3" s="120"/>
      <c r="EDN3" s="120"/>
      <c r="EDO3" s="120"/>
      <c r="EDP3" s="120"/>
      <c r="EDQ3" s="120"/>
      <c r="EDR3" s="120"/>
      <c r="EDS3" s="120"/>
      <c r="EDT3" s="120"/>
      <c r="EDU3" s="120"/>
      <c r="EDV3" s="120"/>
      <c r="EDW3" s="120"/>
      <c r="EDX3" s="120"/>
      <c r="EDY3" s="120"/>
      <c r="EDZ3" s="120"/>
      <c r="EEA3" s="120"/>
      <c r="EEB3" s="120"/>
      <c r="EEC3" s="120"/>
      <c r="EED3" s="120"/>
      <c r="EEE3" s="120"/>
      <c r="EEF3" s="120"/>
      <c r="EEG3" s="120"/>
      <c r="EEH3" s="120"/>
      <c r="EEI3" s="120"/>
      <c r="EEJ3" s="120"/>
      <c r="EEK3" s="120"/>
      <c r="EEL3" s="120"/>
      <c r="EEM3" s="120"/>
      <c r="EEN3" s="120"/>
      <c r="EEO3" s="120"/>
      <c r="EEP3" s="120"/>
      <c r="EEQ3" s="120"/>
      <c r="EER3" s="120"/>
      <c r="EES3" s="120"/>
      <c r="EET3" s="120"/>
      <c r="EEU3" s="120"/>
      <c r="EEV3" s="120"/>
      <c r="EEW3" s="120"/>
      <c r="EEX3" s="120"/>
      <c r="EEY3" s="120"/>
      <c r="EEZ3" s="120"/>
      <c r="EFA3" s="120"/>
      <c r="EFB3" s="120"/>
      <c r="EFC3" s="120"/>
      <c r="EFD3" s="120"/>
      <c r="EFE3" s="120"/>
      <c r="EFF3" s="120"/>
      <c r="EFG3" s="120"/>
      <c r="EFH3" s="120"/>
      <c r="EFI3" s="120"/>
      <c r="EFJ3" s="120"/>
      <c r="EFK3" s="120"/>
      <c r="EFL3" s="120"/>
      <c r="EFM3" s="120"/>
      <c r="EFN3" s="120"/>
      <c r="EFO3" s="120"/>
      <c r="EFP3" s="120"/>
      <c r="EFQ3" s="120"/>
      <c r="EFR3" s="120"/>
      <c r="EFS3" s="120"/>
      <c r="EFT3" s="120"/>
      <c r="EFU3" s="120"/>
      <c r="EFV3" s="120"/>
      <c r="EFW3" s="120"/>
      <c r="EFX3" s="120"/>
      <c r="EFY3" s="120"/>
      <c r="EFZ3" s="120"/>
      <c r="EGA3" s="120"/>
      <c r="EGB3" s="120"/>
      <c r="EGC3" s="120"/>
      <c r="EGD3" s="120"/>
      <c r="EGE3" s="120"/>
      <c r="EGF3" s="120"/>
      <c r="EGG3" s="120"/>
      <c r="EGH3" s="120"/>
      <c r="EGI3" s="120"/>
      <c r="EGJ3" s="120"/>
      <c r="EGK3" s="120"/>
      <c r="EGL3" s="120"/>
      <c r="EGM3" s="120"/>
      <c r="EGN3" s="120"/>
      <c r="EGO3" s="120"/>
      <c r="EGP3" s="120"/>
      <c r="EGQ3" s="120"/>
      <c r="EGR3" s="120"/>
      <c r="EGS3" s="120"/>
      <c r="EGT3" s="120"/>
      <c r="EGU3" s="120"/>
      <c r="EGV3" s="120"/>
      <c r="EGW3" s="120"/>
      <c r="EGX3" s="120"/>
      <c r="EGY3" s="120"/>
      <c r="EGZ3" s="120"/>
      <c r="EHA3" s="120"/>
      <c r="EHB3" s="120"/>
      <c r="EHC3" s="120"/>
      <c r="EHD3" s="120"/>
      <c r="EHE3" s="120"/>
      <c r="EHF3" s="120"/>
      <c r="EHG3" s="120"/>
      <c r="EHH3" s="120"/>
      <c r="EHI3" s="120"/>
      <c r="EHJ3" s="120"/>
      <c r="EHK3" s="120"/>
      <c r="EHL3" s="120"/>
      <c r="EHM3" s="120"/>
      <c r="EHN3" s="120"/>
      <c r="EHO3" s="120"/>
      <c r="EHP3" s="120"/>
      <c r="EHQ3" s="120"/>
      <c r="EHR3" s="120"/>
      <c r="EHS3" s="120"/>
      <c r="EHT3" s="120"/>
      <c r="EHU3" s="120"/>
      <c r="EHV3" s="120"/>
      <c r="EHW3" s="120"/>
      <c r="EHX3" s="120"/>
      <c r="EHY3" s="120"/>
      <c r="EHZ3" s="120"/>
      <c r="EIA3" s="120"/>
      <c r="EIB3" s="120"/>
      <c r="EIC3" s="120"/>
      <c r="EID3" s="120"/>
      <c r="EIE3" s="120"/>
      <c r="EIF3" s="120"/>
      <c r="EIG3" s="120"/>
      <c r="EIH3" s="120"/>
      <c r="EII3" s="120"/>
      <c r="EIJ3" s="120"/>
      <c r="EIK3" s="120"/>
      <c r="EIL3" s="120"/>
      <c r="EIM3" s="120"/>
      <c r="EIN3" s="120"/>
      <c r="EIO3" s="120"/>
      <c r="EIP3" s="120"/>
      <c r="EIQ3" s="120"/>
      <c r="EIR3" s="120"/>
      <c r="EIS3" s="120"/>
      <c r="EIT3" s="120"/>
      <c r="EIU3" s="120"/>
      <c r="EIV3" s="120"/>
      <c r="EIW3" s="120"/>
      <c r="EIX3" s="120"/>
      <c r="EIY3" s="120"/>
      <c r="EIZ3" s="120"/>
      <c r="EJA3" s="120"/>
      <c r="EJB3" s="120"/>
      <c r="EJC3" s="120"/>
      <c r="EJD3" s="120"/>
      <c r="EJE3" s="120"/>
      <c r="EJF3" s="120"/>
      <c r="EJG3" s="120"/>
      <c r="EJH3" s="120"/>
      <c r="EJI3" s="120"/>
      <c r="EJJ3" s="120"/>
      <c r="EJK3" s="120"/>
      <c r="EJL3" s="120"/>
      <c r="EJM3" s="120"/>
      <c r="EJN3" s="120"/>
      <c r="EJO3" s="120"/>
      <c r="EJP3" s="120"/>
      <c r="EJQ3" s="120"/>
      <c r="EJR3" s="120"/>
      <c r="EJS3" s="120"/>
      <c r="EJT3" s="120"/>
      <c r="EJU3" s="120"/>
      <c r="EJV3" s="120"/>
      <c r="EJW3" s="120"/>
      <c r="EJX3" s="120"/>
      <c r="EJY3" s="120"/>
      <c r="EJZ3" s="120"/>
      <c r="EKA3" s="120"/>
      <c r="EKB3" s="120"/>
      <c r="EKC3" s="120"/>
      <c r="EKD3" s="120"/>
      <c r="EKE3" s="120"/>
      <c r="EKF3" s="120"/>
      <c r="EKG3" s="120"/>
      <c r="EKH3" s="120"/>
      <c r="EKI3" s="120"/>
      <c r="EKJ3" s="120"/>
      <c r="EKK3" s="120"/>
      <c r="EKL3" s="120"/>
      <c r="EKM3" s="120"/>
      <c r="EKN3" s="120"/>
      <c r="EKO3" s="120"/>
      <c r="EKP3" s="120"/>
      <c r="EKQ3" s="120"/>
      <c r="EKR3" s="120"/>
      <c r="EKS3" s="120"/>
      <c r="EKT3" s="120"/>
      <c r="EKU3" s="120"/>
      <c r="EKV3" s="120"/>
      <c r="EKW3" s="120"/>
      <c r="EKX3" s="120"/>
      <c r="EKY3" s="120"/>
      <c r="EKZ3" s="120"/>
      <c r="ELA3" s="120"/>
      <c r="ELB3" s="120"/>
      <c r="ELC3" s="120"/>
      <c r="ELD3" s="120"/>
      <c r="ELE3" s="120"/>
      <c r="ELF3" s="120"/>
      <c r="ELG3" s="120"/>
      <c r="ELH3" s="120"/>
      <c r="ELI3" s="120"/>
      <c r="ELJ3" s="120"/>
      <c r="ELK3" s="120"/>
      <c r="ELL3" s="120"/>
      <c r="ELM3" s="120"/>
      <c r="ELN3" s="120"/>
      <c r="ELO3" s="120"/>
      <c r="ELP3" s="120"/>
      <c r="ELQ3" s="120"/>
      <c r="ELR3" s="120"/>
      <c r="ELS3" s="120"/>
      <c r="ELT3" s="120"/>
      <c r="ELU3" s="120"/>
      <c r="ELV3" s="120"/>
      <c r="ELW3" s="120"/>
      <c r="ELX3" s="120"/>
      <c r="ELY3" s="120"/>
      <c r="ELZ3" s="120"/>
      <c r="EMA3" s="120"/>
      <c r="EMB3" s="120"/>
      <c r="EMC3" s="120"/>
      <c r="EMD3" s="120"/>
      <c r="EME3" s="120"/>
      <c r="EMF3" s="120"/>
      <c r="EMG3" s="120"/>
      <c r="EMH3" s="120"/>
      <c r="EMI3" s="120"/>
      <c r="EMJ3" s="120"/>
      <c r="EMK3" s="120"/>
      <c r="EML3" s="120"/>
      <c r="EMM3" s="120"/>
      <c r="EMN3" s="120"/>
      <c r="EMO3" s="120"/>
      <c r="EMP3" s="120"/>
      <c r="EMQ3" s="120"/>
      <c r="EMR3" s="120"/>
      <c r="EMS3" s="120"/>
      <c r="EMT3" s="120"/>
      <c r="EMU3" s="120"/>
      <c r="EMV3" s="120"/>
      <c r="EMW3" s="120"/>
      <c r="EMX3" s="120"/>
      <c r="EMY3" s="120"/>
      <c r="EMZ3" s="120"/>
      <c r="ENA3" s="120"/>
      <c r="ENB3" s="120"/>
      <c r="ENC3" s="120"/>
      <c r="END3" s="120"/>
      <c r="ENE3" s="120"/>
      <c r="ENF3" s="120"/>
      <c r="ENG3" s="120"/>
      <c r="ENH3" s="120"/>
      <c r="ENI3" s="120"/>
      <c r="ENJ3" s="120"/>
      <c r="ENK3" s="120"/>
      <c r="ENL3" s="120"/>
      <c r="ENM3" s="120"/>
      <c r="ENN3" s="120"/>
      <c r="ENO3" s="120"/>
      <c r="ENP3" s="120"/>
      <c r="ENQ3" s="120"/>
      <c r="ENR3" s="120"/>
      <c r="ENS3" s="120"/>
      <c r="ENT3" s="120"/>
      <c r="ENU3" s="120"/>
      <c r="ENV3" s="120"/>
      <c r="ENW3" s="120"/>
      <c r="ENX3" s="120"/>
      <c r="ENY3" s="120"/>
      <c r="ENZ3" s="120"/>
      <c r="EOA3" s="120"/>
      <c r="EOB3" s="120"/>
      <c r="EOC3" s="120"/>
      <c r="EOD3" s="120"/>
      <c r="EOE3" s="120"/>
      <c r="EOF3" s="120"/>
      <c r="EOG3" s="120"/>
      <c r="EOH3" s="120"/>
      <c r="EOI3" s="120"/>
      <c r="EOJ3" s="120"/>
      <c r="EOK3" s="120"/>
      <c r="EOL3" s="120"/>
      <c r="EOM3" s="120"/>
      <c r="EON3" s="120"/>
      <c r="EOO3" s="120"/>
      <c r="EOP3" s="120"/>
      <c r="EOQ3" s="120"/>
      <c r="EOR3" s="120"/>
      <c r="EOS3" s="120"/>
      <c r="EOT3" s="120"/>
      <c r="EOU3" s="120"/>
      <c r="EOV3" s="120"/>
      <c r="EOW3" s="120"/>
      <c r="EOX3" s="120"/>
      <c r="EOY3" s="120"/>
      <c r="EOZ3" s="120"/>
      <c r="EPA3" s="120"/>
      <c r="EPB3" s="120"/>
      <c r="EPC3" s="120"/>
      <c r="EPD3" s="120"/>
      <c r="EPE3" s="120"/>
      <c r="EPF3" s="120"/>
      <c r="EPG3" s="120"/>
      <c r="EPH3" s="120"/>
      <c r="EPI3" s="120"/>
      <c r="EPJ3" s="120"/>
      <c r="EPK3" s="120"/>
      <c r="EPL3" s="120"/>
      <c r="EPM3" s="120"/>
      <c r="EPN3" s="120"/>
      <c r="EPO3" s="120"/>
      <c r="EPP3" s="120"/>
      <c r="EPQ3" s="120"/>
      <c r="EPR3" s="120"/>
      <c r="EPS3" s="120"/>
      <c r="EPT3" s="120"/>
      <c r="EPU3" s="120"/>
      <c r="EPV3" s="120"/>
      <c r="EPW3" s="120"/>
      <c r="EPX3" s="120"/>
      <c r="EPY3" s="120"/>
      <c r="EPZ3" s="120"/>
      <c r="EQA3" s="120"/>
      <c r="EQB3" s="120"/>
      <c r="EQC3" s="120"/>
      <c r="EQD3" s="120"/>
      <c r="EQE3" s="120"/>
      <c r="EQF3" s="120"/>
      <c r="EQG3" s="120"/>
      <c r="EQH3" s="120"/>
      <c r="EQI3" s="120"/>
      <c r="EQJ3" s="120"/>
      <c r="EQK3" s="120"/>
      <c r="EQL3" s="120"/>
      <c r="EQM3" s="120"/>
      <c r="EQN3" s="120"/>
      <c r="EQO3" s="120"/>
      <c r="EQP3" s="120"/>
      <c r="EQQ3" s="120"/>
      <c r="EQR3" s="120"/>
      <c r="EQS3" s="120"/>
      <c r="EQT3" s="120"/>
      <c r="EQU3" s="120"/>
      <c r="EQV3" s="120"/>
      <c r="EQW3" s="120"/>
      <c r="EQX3" s="120"/>
      <c r="EQY3" s="120"/>
      <c r="EQZ3" s="120"/>
      <c r="ERA3" s="120"/>
      <c r="ERB3" s="120"/>
      <c r="ERC3" s="120"/>
      <c r="ERD3" s="120"/>
      <c r="ERE3" s="120"/>
      <c r="ERF3" s="120"/>
      <c r="ERG3" s="120"/>
      <c r="ERH3" s="120"/>
      <c r="ERI3" s="120"/>
      <c r="ERJ3" s="120"/>
      <c r="ERK3" s="120"/>
      <c r="ERL3" s="120"/>
      <c r="ERM3" s="120"/>
      <c r="ERN3" s="120"/>
      <c r="ERO3" s="120"/>
      <c r="ERP3" s="120"/>
      <c r="ERQ3" s="120"/>
      <c r="ERR3" s="120"/>
      <c r="ERS3" s="120"/>
      <c r="ERT3" s="120"/>
      <c r="ERU3" s="120"/>
      <c r="ERV3" s="120"/>
      <c r="ERW3" s="120"/>
      <c r="ERX3" s="120"/>
      <c r="ERY3" s="120"/>
      <c r="ERZ3" s="120"/>
      <c r="ESA3" s="120"/>
      <c r="ESB3" s="120"/>
      <c r="ESC3" s="120"/>
      <c r="ESD3" s="120"/>
      <c r="ESE3" s="120"/>
      <c r="ESF3" s="120"/>
      <c r="ESG3" s="120"/>
      <c r="ESH3" s="120"/>
      <c r="ESI3" s="120"/>
      <c r="ESJ3" s="120"/>
      <c r="ESK3" s="120"/>
      <c r="ESL3" s="120"/>
      <c r="ESM3" s="120"/>
      <c r="ESN3" s="120"/>
      <c r="ESO3" s="120"/>
      <c r="ESP3" s="120"/>
      <c r="ESQ3" s="120"/>
      <c r="ESR3" s="120"/>
      <c r="ESS3" s="120"/>
      <c r="EST3" s="120"/>
      <c r="ESU3" s="120"/>
      <c r="ESV3" s="120"/>
      <c r="ESW3" s="120"/>
      <c r="ESX3" s="120"/>
      <c r="ESY3" s="120"/>
      <c r="ESZ3" s="120"/>
      <c r="ETA3" s="120"/>
      <c r="ETB3" s="120"/>
      <c r="ETC3" s="120"/>
      <c r="ETD3" s="120"/>
      <c r="ETE3" s="120"/>
      <c r="ETF3" s="120"/>
      <c r="ETG3" s="120"/>
      <c r="ETH3" s="120"/>
      <c r="ETI3" s="120"/>
      <c r="ETJ3" s="120"/>
      <c r="ETK3" s="120"/>
      <c r="ETL3" s="120"/>
      <c r="ETM3" s="120"/>
      <c r="ETN3" s="120"/>
      <c r="ETO3" s="120"/>
      <c r="ETP3" s="120"/>
      <c r="ETQ3" s="120"/>
      <c r="ETR3" s="120"/>
      <c r="ETS3" s="120"/>
      <c r="ETT3" s="120"/>
      <c r="ETU3" s="120"/>
      <c r="ETV3" s="120"/>
      <c r="ETW3" s="120"/>
      <c r="ETX3" s="120"/>
      <c r="ETY3" s="120"/>
      <c r="ETZ3" s="120"/>
      <c r="EUA3" s="120"/>
      <c r="EUB3" s="120"/>
      <c r="EUC3" s="120"/>
      <c r="EUD3" s="120"/>
      <c r="EUE3" s="120"/>
      <c r="EUF3" s="120"/>
      <c r="EUG3" s="120"/>
      <c r="EUH3" s="120"/>
      <c r="EUI3" s="120"/>
      <c r="EUJ3" s="120"/>
      <c r="EUK3" s="120"/>
      <c r="EUL3" s="120"/>
      <c r="EUM3" s="120"/>
      <c r="EUN3" s="120"/>
      <c r="EUO3" s="120"/>
      <c r="EUP3" s="120"/>
      <c r="EUQ3" s="120"/>
      <c r="EUR3" s="120"/>
      <c r="EUS3" s="120"/>
      <c r="EUT3" s="120"/>
      <c r="EUU3" s="120"/>
      <c r="EUV3" s="120"/>
      <c r="EUW3" s="120"/>
      <c r="EUX3" s="120"/>
      <c r="EUY3" s="120"/>
      <c r="EUZ3" s="120"/>
      <c r="EVA3" s="120"/>
      <c r="EVB3" s="120"/>
      <c r="EVC3" s="120"/>
      <c r="EVD3" s="120"/>
      <c r="EVE3" s="120"/>
      <c r="EVF3" s="120"/>
      <c r="EVG3" s="120"/>
      <c r="EVH3" s="120"/>
      <c r="EVI3" s="120"/>
      <c r="EVJ3" s="120"/>
      <c r="EVK3" s="120"/>
      <c r="EVL3" s="120"/>
      <c r="EVM3" s="120"/>
      <c r="EVN3" s="120"/>
      <c r="EVO3" s="120"/>
      <c r="EVP3" s="120"/>
      <c r="EVQ3" s="120"/>
      <c r="EVR3" s="120"/>
      <c r="EVS3" s="120"/>
      <c r="EVT3" s="120"/>
      <c r="EVU3" s="120"/>
      <c r="EVV3" s="120"/>
      <c r="EVW3" s="120"/>
      <c r="EVX3" s="120"/>
      <c r="EVY3" s="120"/>
      <c r="EVZ3" s="120"/>
      <c r="EWA3" s="120"/>
      <c r="EWB3" s="120"/>
      <c r="EWC3" s="120"/>
      <c r="EWD3" s="120"/>
      <c r="EWE3" s="120"/>
      <c r="EWF3" s="120"/>
      <c r="EWG3" s="120"/>
      <c r="EWH3" s="120"/>
      <c r="EWI3" s="120"/>
      <c r="EWJ3" s="120"/>
      <c r="EWK3" s="120"/>
      <c r="EWL3" s="120"/>
      <c r="EWM3" s="120"/>
      <c r="EWN3" s="120"/>
      <c r="EWO3" s="120"/>
      <c r="EWP3" s="120"/>
      <c r="EWQ3" s="120"/>
      <c r="EWR3" s="120"/>
      <c r="EWS3" s="120"/>
      <c r="EWT3" s="120"/>
      <c r="EWU3" s="120"/>
      <c r="EWV3" s="120"/>
      <c r="EWW3" s="120"/>
      <c r="EWX3" s="120"/>
      <c r="EWY3" s="120"/>
      <c r="EWZ3" s="120"/>
      <c r="EXA3" s="120"/>
      <c r="EXB3" s="120"/>
      <c r="EXC3" s="120"/>
      <c r="EXD3" s="120"/>
      <c r="EXE3" s="120"/>
      <c r="EXF3" s="120"/>
      <c r="EXG3" s="120"/>
      <c r="EXH3" s="120"/>
      <c r="EXI3" s="120"/>
      <c r="EXJ3" s="120"/>
      <c r="EXK3" s="120"/>
      <c r="EXL3" s="120"/>
      <c r="EXM3" s="120"/>
      <c r="EXN3" s="120"/>
      <c r="EXO3" s="120"/>
      <c r="EXP3" s="120"/>
      <c r="EXQ3" s="120"/>
      <c r="EXR3" s="120"/>
      <c r="EXS3" s="120"/>
      <c r="EXT3" s="120"/>
      <c r="EXU3" s="120"/>
      <c r="EXV3" s="120"/>
      <c r="EXW3" s="120"/>
      <c r="EXX3" s="120"/>
      <c r="EXY3" s="120"/>
      <c r="EXZ3" s="120"/>
      <c r="EYA3" s="120"/>
      <c r="EYB3" s="120"/>
      <c r="EYC3" s="120"/>
      <c r="EYD3" s="120"/>
      <c r="EYE3" s="120"/>
      <c r="EYF3" s="120"/>
      <c r="EYG3" s="120"/>
      <c r="EYH3" s="120"/>
      <c r="EYI3" s="120"/>
      <c r="EYJ3" s="120"/>
      <c r="EYK3" s="120"/>
      <c r="EYL3" s="120"/>
      <c r="EYM3" s="120"/>
      <c r="EYN3" s="120"/>
      <c r="EYO3" s="120"/>
      <c r="EYP3" s="120"/>
      <c r="EYQ3" s="120"/>
      <c r="EYR3" s="120"/>
      <c r="EYS3" s="120"/>
      <c r="EYT3" s="120"/>
      <c r="EYU3" s="120"/>
      <c r="EYV3" s="120"/>
      <c r="EYW3" s="120"/>
      <c r="EYX3" s="120"/>
      <c r="EYY3" s="120"/>
      <c r="EYZ3" s="120"/>
      <c r="EZA3" s="120"/>
      <c r="EZB3" s="120"/>
      <c r="EZC3" s="120"/>
      <c r="EZD3" s="120"/>
      <c r="EZE3" s="120"/>
      <c r="EZF3" s="120"/>
      <c r="EZG3" s="120"/>
      <c r="EZH3" s="120"/>
      <c r="EZI3" s="120"/>
      <c r="EZJ3" s="120"/>
      <c r="EZK3" s="120"/>
      <c r="EZL3" s="120"/>
      <c r="EZM3" s="120"/>
      <c r="EZN3" s="120"/>
      <c r="EZO3" s="120"/>
      <c r="EZP3" s="120"/>
      <c r="EZQ3" s="120"/>
      <c r="EZR3" s="120"/>
      <c r="EZS3" s="120"/>
      <c r="EZT3" s="120"/>
      <c r="EZU3" s="120"/>
      <c r="EZV3" s="120"/>
      <c r="EZW3" s="120"/>
      <c r="EZX3" s="120"/>
      <c r="EZY3" s="120"/>
      <c r="EZZ3" s="120"/>
      <c r="FAA3" s="120"/>
      <c r="FAB3" s="120"/>
      <c r="FAC3" s="120"/>
      <c r="FAD3" s="120"/>
      <c r="FAE3" s="120"/>
      <c r="FAF3" s="120"/>
      <c r="FAG3" s="120"/>
      <c r="FAH3" s="120"/>
      <c r="FAI3" s="120"/>
      <c r="FAJ3" s="120"/>
      <c r="FAK3" s="120"/>
      <c r="FAL3" s="120"/>
      <c r="FAM3" s="120"/>
      <c r="FAN3" s="120"/>
      <c r="FAO3" s="120"/>
      <c r="FAP3" s="120"/>
      <c r="FAQ3" s="120"/>
      <c r="FAR3" s="120"/>
      <c r="FAS3" s="120"/>
      <c r="FAT3" s="120"/>
      <c r="FAU3" s="120"/>
      <c r="FAV3" s="120"/>
      <c r="FAW3" s="120"/>
      <c r="FAX3" s="120"/>
      <c r="FAY3" s="120"/>
      <c r="FAZ3" s="120"/>
      <c r="FBA3" s="120"/>
      <c r="FBB3" s="120"/>
      <c r="FBC3" s="120"/>
      <c r="FBD3" s="120"/>
      <c r="FBE3" s="120"/>
      <c r="FBF3" s="120"/>
      <c r="FBG3" s="120"/>
      <c r="FBH3" s="120"/>
      <c r="FBI3" s="120"/>
      <c r="FBJ3" s="120"/>
      <c r="FBK3" s="120"/>
      <c r="FBL3" s="120"/>
      <c r="FBM3" s="120"/>
      <c r="FBN3" s="120"/>
      <c r="FBO3" s="120"/>
      <c r="FBP3" s="120"/>
      <c r="FBQ3" s="120"/>
      <c r="FBR3" s="120"/>
      <c r="FBS3" s="120"/>
      <c r="FBT3" s="120"/>
      <c r="FBU3" s="120"/>
      <c r="FBV3" s="120"/>
      <c r="FBW3" s="120"/>
      <c r="FBX3" s="120"/>
      <c r="FBY3" s="120"/>
      <c r="FBZ3" s="120"/>
      <c r="FCA3" s="120"/>
      <c r="FCB3" s="120"/>
      <c r="FCC3" s="120"/>
      <c r="FCD3" s="120"/>
      <c r="FCE3" s="120"/>
      <c r="FCF3" s="120"/>
      <c r="FCG3" s="120"/>
      <c r="FCH3" s="120"/>
      <c r="FCI3" s="120"/>
      <c r="FCJ3" s="120"/>
      <c r="FCK3" s="120"/>
      <c r="FCL3" s="120"/>
      <c r="FCM3" s="120"/>
      <c r="FCN3" s="120"/>
      <c r="FCO3" s="120"/>
      <c r="FCP3" s="120"/>
      <c r="FCQ3" s="120"/>
      <c r="FCR3" s="120"/>
      <c r="FCS3" s="120"/>
      <c r="FCT3" s="120"/>
      <c r="FCU3" s="120"/>
      <c r="FCV3" s="120"/>
      <c r="FCW3" s="120"/>
      <c r="FCX3" s="120"/>
      <c r="FCY3" s="120"/>
      <c r="FCZ3" s="120"/>
      <c r="FDA3" s="120"/>
      <c r="FDB3" s="120"/>
      <c r="FDC3" s="120"/>
      <c r="FDD3" s="120"/>
      <c r="FDE3" s="120"/>
      <c r="FDF3" s="120"/>
      <c r="FDG3" s="120"/>
      <c r="FDH3" s="120"/>
      <c r="FDI3" s="120"/>
      <c r="FDJ3" s="120"/>
      <c r="FDK3" s="120"/>
      <c r="FDL3" s="120"/>
      <c r="FDM3" s="120"/>
      <c r="FDN3" s="120"/>
      <c r="FDO3" s="120"/>
      <c r="FDP3" s="120"/>
      <c r="FDQ3" s="120"/>
      <c r="FDR3" s="120"/>
      <c r="FDS3" s="120"/>
      <c r="FDT3" s="120"/>
      <c r="FDU3" s="120"/>
      <c r="FDV3" s="120"/>
      <c r="FDW3" s="120"/>
      <c r="FDX3" s="120"/>
      <c r="FDY3" s="120"/>
      <c r="FDZ3" s="120"/>
      <c r="FEA3" s="120"/>
      <c r="FEB3" s="120"/>
      <c r="FEC3" s="120"/>
      <c r="FED3" s="120"/>
      <c r="FEE3" s="120"/>
      <c r="FEF3" s="120"/>
      <c r="FEG3" s="120"/>
      <c r="FEH3" s="120"/>
      <c r="FEI3" s="120"/>
      <c r="FEJ3" s="120"/>
      <c r="FEK3" s="120"/>
      <c r="FEL3" s="120"/>
      <c r="FEM3" s="120"/>
      <c r="FEN3" s="120"/>
      <c r="FEO3" s="120"/>
      <c r="FEP3" s="120"/>
      <c r="FEQ3" s="120"/>
      <c r="FER3" s="120"/>
      <c r="FES3" s="120"/>
      <c r="FET3" s="120"/>
      <c r="FEU3" s="120"/>
      <c r="FEV3" s="120"/>
      <c r="FEW3" s="120"/>
      <c r="FEX3" s="120"/>
      <c r="FEY3" s="120"/>
      <c r="FEZ3" s="120"/>
      <c r="FFA3" s="120"/>
      <c r="FFB3" s="120"/>
      <c r="FFC3" s="120"/>
      <c r="FFD3" s="120"/>
      <c r="FFE3" s="120"/>
      <c r="FFF3" s="120"/>
      <c r="FFG3" s="120"/>
      <c r="FFH3" s="120"/>
      <c r="FFI3" s="120"/>
      <c r="FFJ3" s="120"/>
      <c r="FFK3" s="120"/>
      <c r="FFL3" s="120"/>
      <c r="FFM3" s="120"/>
      <c r="FFN3" s="120"/>
      <c r="FFO3" s="120"/>
      <c r="FFP3" s="120"/>
      <c r="FFQ3" s="120"/>
      <c r="FFR3" s="120"/>
      <c r="FFS3" s="120"/>
      <c r="FFT3" s="120"/>
      <c r="FFU3" s="120"/>
      <c r="FFV3" s="120"/>
      <c r="FFW3" s="120"/>
      <c r="FFX3" s="120"/>
      <c r="FFY3" s="120"/>
      <c r="FFZ3" s="120"/>
      <c r="FGA3" s="120"/>
      <c r="FGB3" s="120"/>
      <c r="FGC3" s="120"/>
      <c r="FGD3" s="120"/>
      <c r="FGE3" s="120"/>
      <c r="FGF3" s="120"/>
      <c r="FGG3" s="120"/>
      <c r="FGH3" s="120"/>
      <c r="FGI3" s="120"/>
      <c r="FGJ3" s="120"/>
      <c r="FGK3" s="120"/>
      <c r="FGL3" s="120"/>
      <c r="FGM3" s="120"/>
      <c r="FGN3" s="120"/>
      <c r="FGO3" s="120"/>
      <c r="FGP3" s="120"/>
      <c r="FGQ3" s="120"/>
      <c r="FGR3" s="120"/>
      <c r="FGS3" s="120"/>
      <c r="FGT3" s="120"/>
      <c r="FGU3" s="120"/>
      <c r="FGV3" s="120"/>
      <c r="FGW3" s="120"/>
      <c r="FGX3" s="120"/>
      <c r="FGY3" s="120"/>
      <c r="FGZ3" s="120"/>
      <c r="FHA3" s="120"/>
      <c r="FHB3" s="120"/>
      <c r="FHC3" s="120"/>
      <c r="FHD3" s="120"/>
      <c r="FHE3" s="120"/>
      <c r="FHF3" s="120"/>
      <c r="FHG3" s="120"/>
      <c r="FHH3" s="120"/>
      <c r="FHI3" s="120"/>
      <c r="FHJ3" s="120"/>
      <c r="FHK3" s="120"/>
      <c r="FHL3" s="120"/>
      <c r="FHM3" s="120"/>
      <c r="FHN3" s="120"/>
      <c r="FHO3" s="120"/>
      <c r="FHP3" s="120"/>
      <c r="FHQ3" s="120"/>
      <c r="FHR3" s="120"/>
      <c r="FHS3" s="120"/>
      <c r="FHT3" s="120"/>
      <c r="FHU3" s="120"/>
      <c r="FHV3" s="120"/>
      <c r="FHW3" s="120"/>
      <c r="FHX3" s="120"/>
      <c r="FHY3" s="120"/>
      <c r="FHZ3" s="120"/>
      <c r="FIA3" s="120"/>
      <c r="FIB3" s="120"/>
      <c r="FIC3" s="120"/>
      <c r="FID3" s="120"/>
      <c r="FIE3" s="120"/>
      <c r="FIF3" s="120"/>
      <c r="FIG3" s="120"/>
      <c r="FIH3" s="120"/>
      <c r="FII3" s="120"/>
      <c r="FIJ3" s="120"/>
      <c r="FIK3" s="120"/>
      <c r="FIL3" s="120"/>
      <c r="FIM3" s="120"/>
      <c r="FIN3" s="120"/>
      <c r="FIO3" s="120"/>
      <c r="FIP3" s="120"/>
      <c r="FIQ3" s="120"/>
      <c r="FIR3" s="120"/>
      <c r="FIS3" s="120"/>
      <c r="FIT3" s="120"/>
      <c r="FIU3" s="120"/>
      <c r="FIV3" s="120"/>
      <c r="FIW3" s="120"/>
      <c r="FIX3" s="120"/>
      <c r="FIY3" s="120"/>
      <c r="FIZ3" s="120"/>
      <c r="FJA3" s="120"/>
      <c r="FJB3" s="120"/>
      <c r="FJC3" s="120"/>
      <c r="FJD3" s="120"/>
      <c r="FJE3" s="120"/>
      <c r="FJF3" s="120"/>
      <c r="FJG3" s="120"/>
      <c r="FJH3" s="120"/>
      <c r="FJI3" s="120"/>
      <c r="FJJ3" s="120"/>
      <c r="FJK3" s="120"/>
      <c r="FJL3" s="120"/>
      <c r="FJM3" s="120"/>
      <c r="FJN3" s="120"/>
      <c r="FJO3" s="120"/>
      <c r="FJP3" s="120"/>
      <c r="FJQ3" s="120"/>
      <c r="FJR3" s="120"/>
      <c r="FJS3" s="120"/>
      <c r="FJT3" s="120"/>
      <c r="FJU3" s="120"/>
      <c r="FJV3" s="120"/>
      <c r="FJW3" s="120"/>
      <c r="FJX3" s="120"/>
      <c r="FJY3" s="120"/>
      <c r="FJZ3" s="120"/>
      <c r="FKA3" s="120"/>
      <c r="FKB3" s="120"/>
      <c r="FKC3" s="120"/>
      <c r="FKD3" s="120"/>
      <c r="FKE3" s="120"/>
      <c r="FKF3" s="120"/>
      <c r="FKG3" s="120"/>
      <c r="FKH3" s="120"/>
      <c r="FKI3" s="120"/>
      <c r="FKJ3" s="120"/>
      <c r="FKK3" s="120"/>
      <c r="FKL3" s="120"/>
      <c r="FKM3" s="120"/>
      <c r="FKN3" s="120"/>
      <c r="FKO3" s="120"/>
      <c r="FKP3" s="120"/>
      <c r="FKQ3" s="120"/>
      <c r="FKR3" s="120"/>
      <c r="FKS3" s="120"/>
      <c r="FKT3" s="120"/>
      <c r="FKU3" s="120"/>
      <c r="FKV3" s="120"/>
      <c r="FKW3" s="120"/>
      <c r="FKX3" s="120"/>
      <c r="FKY3" s="120"/>
      <c r="FKZ3" s="120"/>
      <c r="FLA3" s="120"/>
      <c r="FLB3" s="120"/>
      <c r="FLC3" s="120"/>
      <c r="FLD3" s="120"/>
      <c r="FLE3" s="120"/>
      <c r="FLF3" s="120"/>
      <c r="FLG3" s="120"/>
      <c r="FLH3" s="120"/>
      <c r="FLI3" s="120"/>
      <c r="FLJ3" s="120"/>
      <c r="FLK3" s="120"/>
      <c r="FLL3" s="120"/>
      <c r="FLM3" s="120"/>
      <c r="FLN3" s="120"/>
      <c r="FLO3" s="120"/>
      <c r="FLP3" s="120"/>
      <c r="FLQ3" s="120"/>
      <c r="FLR3" s="120"/>
      <c r="FLS3" s="120"/>
      <c r="FLT3" s="120"/>
      <c r="FLU3" s="120"/>
      <c r="FLV3" s="120"/>
      <c r="FLW3" s="120"/>
      <c r="FLX3" s="120"/>
      <c r="FLY3" s="120"/>
      <c r="FLZ3" s="120"/>
      <c r="FMA3" s="120"/>
      <c r="FMB3" s="120"/>
      <c r="FMC3" s="120"/>
      <c r="FMD3" s="120"/>
      <c r="FME3" s="120"/>
      <c r="FMF3" s="120"/>
      <c r="FMG3" s="120"/>
      <c r="FMH3" s="120"/>
      <c r="FMI3" s="120"/>
      <c r="FMJ3" s="120"/>
      <c r="FMK3" s="120"/>
      <c r="FML3" s="120"/>
      <c r="FMM3" s="120"/>
      <c r="FMN3" s="120"/>
      <c r="FMO3" s="120"/>
      <c r="FMP3" s="120"/>
      <c r="FMQ3" s="120"/>
      <c r="FMR3" s="120"/>
      <c r="FMS3" s="120"/>
      <c r="FMT3" s="120"/>
      <c r="FMU3" s="120"/>
      <c r="FMV3" s="120"/>
      <c r="FMW3" s="120"/>
      <c r="FMX3" s="120"/>
      <c r="FMY3" s="120"/>
      <c r="FMZ3" s="120"/>
      <c r="FNA3" s="120"/>
      <c r="FNB3" s="120"/>
      <c r="FNC3" s="120"/>
      <c r="FND3" s="120"/>
      <c r="FNE3" s="120"/>
      <c r="FNF3" s="120"/>
      <c r="FNG3" s="120"/>
      <c r="FNH3" s="120"/>
      <c r="FNI3" s="120"/>
      <c r="FNJ3" s="120"/>
      <c r="FNK3" s="120"/>
      <c r="FNL3" s="120"/>
      <c r="FNM3" s="120"/>
      <c r="FNN3" s="120"/>
      <c r="FNO3" s="120"/>
      <c r="FNP3" s="120"/>
      <c r="FNQ3" s="120"/>
      <c r="FNR3" s="120"/>
      <c r="FNS3" s="120"/>
      <c r="FNT3" s="120"/>
      <c r="FNU3" s="120"/>
      <c r="FNV3" s="120"/>
      <c r="FNW3" s="120"/>
      <c r="FNX3" s="120"/>
      <c r="FNY3" s="120"/>
      <c r="FNZ3" s="120"/>
      <c r="FOA3" s="120"/>
      <c r="FOB3" s="120"/>
      <c r="FOC3" s="120"/>
      <c r="FOD3" s="120"/>
      <c r="FOE3" s="120"/>
      <c r="FOF3" s="120"/>
      <c r="FOG3" s="120"/>
      <c r="FOH3" s="120"/>
      <c r="FOI3" s="120"/>
      <c r="FOJ3" s="120"/>
      <c r="FOK3" s="120"/>
      <c r="FOL3" s="120"/>
      <c r="FOM3" s="120"/>
      <c r="FON3" s="120"/>
      <c r="FOO3" s="120"/>
      <c r="FOP3" s="120"/>
      <c r="FOQ3" s="120"/>
      <c r="FOR3" s="120"/>
      <c r="FOS3" s="120"/>
      <c r="FOT3" s="120"/>
      <c r="FOU3" s="120"/>
      <c r="FOV3" s="120"/>
      <c r="FOW3" s="120"/>
      <c r="FOX3" s="120"/>
      <c r="FOY3" s="120"/>
      <c r="FOZ3" s="120"/>
      <c r="FPA3" s="120"/>
      <c r="FPB3" s="120"/>
      <c r="FPC3" s="120"/>
      <c r="FPD3" s="120"/>
      <c r="FPE3" s="120"/>
      <c r="FPF3" s="120"/>
      <c r="FPG3" s="120"/>
      <c r="FPH3" s="120"/>
      <c r="FPI3" s="120"/>
      <c r="FPJ3" s="120"/>
      <c r="FPK3" s="120"/>
      <c r="FPL3" s="120"/>
      <c r="FPM3" s="120"/>
      <c r="FPN3" s="120"/>
      <c r="FPO3" s="120"/>
      <c r="FPP3" s="120"/>
      <c r="FPQ3" s="120"/>
      <c r="FPR3" s="120"/>
      <c r="FPS3" s="120"/>
      <c r="FPT3" s="120"/>
      <c r="FPU3" s="120"/>
      <c r="FPV3" s="120"/>
      <c r="FPW3" s="120"/>
      <c r="FPX3" s="120"/>
      <c r="FPY3" s="120"/>
      <c r="FPZ3" s="120"/>
      <c r="FQA3" s="120"/>
      <c r="FQB3" s="120"/>
      <c r="FQC3" s="120"/>
      <c r="FQD3" s="120"/>
      <c r="FQE3" s="120"/>
      <c r="FQF3" s="120"/>
      <c r="FQG3" s="120"/>
      <c r="FQH3" s="120"/>
      <c r="FQI3" s="120"/>
      <c r="FQJ3" s="120"/>
      <c r="FQK3" s="120"/>
      <c r="FQL3" s="120"/>
      <c r="FQM3" s="120"/>
      <c r="FQN3" s="120"/>
      <c r="FQO3" s="120"/>
      <c r="FQP3" s="120"/>
      <c r="FQQ3" s="120"/>
      <c r="FQR3" s="120"/>
      <c r="FQS3" s="120"/>
      <c r="FQT3" s="120"/>
      <c r="FQU3" s="120"/>
      <c r="FQV3" s="120"/>
      <c r="FQW3" s="120"/>
      <c r="FQX3" s="120"/>
      <c r="FQY3" s="120"/>
      <c r="FQZ3" s="120"/>
      <c r="FRA3" s="120"/>
      <c r="FRB3" s="120"/>
      <c r="FRC3" s="120"/>
      <c r="FRD3" s="120"/>
      <c r="FRE3" s="120"/>
      <c r="FRF3" s="120"/>
      <c r="FRG3" s="120"/>
      <c r="FRH3" s="120"/>
      <c r="FRI3" s="120"/>
      <c r="FRJ3" s="120"/>
      <c r="FRK3" s="120"/>
      <c r="FRL3" s="120"/>
      <c r="FRM3" s="120"/>
      <c r="FRN3" s="120"/>
      <c r="FRO3" s="120"/>
      <c r="FRP3" s="120"/>
      <c r="FRQ3" s="120"/>
      <c r="FRR3" s="120"/>
      <c r="FRS3" s="120"/>
      <c r="FRT3" s="120"/>
      <c r="FRU3" s="120"/>
      <c r="FRV3" s="120"/>
      <c r="FRW3" s="120"/>
      <c r="FRX3" s="120"/>
      <c r="FRY3" s="120"/>
      <c r="FRZ3" s="120"/>
      <c r="FSA3" s="120"/>
      <c r="FSB3" s="120"/>
      <c r="FSC3" s="120"/>
      <c r="FSD3" s="120"/>
      <c r="FSE3" s="120"/>
      <c r="FSF3" s="120"/>
      <c r="FSG3" s="120"/>
      <c r="FSH3" s="120"/>
      <c r="FSI3" s="120"/>
      <c r="FSJ3" s="120"/>
      <c r="FSK3" s="120"/>
      <c r="FSL3" s="120"/>
      <c r="FSM3" s="120"/>
      <c r="FSN3" s="120"/>
      <c r="FSO3" s="120"/>
      <c r="FSP3" s="120"/>
      <c r="FSQ3" s="120"/>
      <c r="FSR3" s="120"/>
      <c r="FSS3" s="120"/>
      <c r="FST3" s="120"/>
      <c r="FSU3" s="120"/>
      <c r="FSV3" s="120"/>
      <c r="FSW3" s="120"/>
      <c r="FSX3" s="120"/>
      <c r="FSY3" s="120"/>
      <c r="FSZ3" s="120"/>
      <c r="FTA3" s="120"/>
      <c r="FTB3" s="120"/>
      <c r="FTC3" s="120"/>
      <c r="FTD3" s="120"/>
      <c r="FTE3" s="120"/>
      <c r="FTF3" s="120"/>
      <c r="FTG3" s="120"/>
      <c r="FTH3" s="120"/>
      <c r="FTI3" s="120"/>
      <c r="FTJ3" s="120"/>
      <c r="FTK3" s="120"/>
      <c r="FTL3" s="120"/>
      <c r="FTM3" s="120"/>
      <c r="FTN3" s="120"/>
      <c r="FTO3" s="120"/>
      <c r="FTP3" s="120"/>
      <c r="FTQ3" s="120"/>
      <c r="FTR3" s="120"/>
      <c r="FTS3" s="120"/>
      <c r="FTT3" s="120"/>
      <c r="FTU3" s="120"/>
      <c r="FTV3" s="120"/>
      <c r="FTW3" s="120"/>
      <c r="FTX3" s="120"/>
      <c r="FTY3" s="120"/>
      <c r="FTZ3" s="120"/>
      <c r="FUA3" s="120"/>
      <c r="FUB3" s="120"/>
      <c r="FUC3" s="120"/>
      <c r="FUD3" s="120"/>
      <c r="FUE3" s="120"/>
      <c r="FUF3" s="120"/>
      <c r="FUG3" s="120"/>
      <c r="FUH3" s="120"/>
      <c r="FUI3" s="120"/>
      <c r="FUJ3" s="120"/>
      <c r="FUK3" s="120"/>
      <c r="FUL3" s="120"/>
      <c r="FUM3" s="120"/>
      <c r="FUN3" s="120"/>
      <c r="FUO3" s="120"/>
      <c r="FUP3" s="120"/>
      <c r="FUQ3" s="120"/>
      <c r="FUR3" s="120"/>
      <c r="FUS3" s="120"/>
      <c r="FUT3" s="120"/>
      <c r="FUU3" s="120"/>
      <c r="FUV3" s="120"/>
      <c r="FUW3" s="120"/>
      <c r="FUX3" s="120"/>
      <c r="FUY3" s="120"/>
      <c r="FUZ3" s="120"/>
      <c r="FVA3" s="120"/>
      <c r="FVB3" s="120"/>
      <c r="FVC3" s="120"/>
      <c r="FVD3" s="120"/>
      <c r="FVE3" s="120"/>
      <c r="FVF3" s="120"/>
      <c r="FVG3" s="120"/>
      <c r="FVH3" s="120"/>
      <c r="FVI3" s="120"/>
      <c r="FVJ3" s="120"/>
      <c r="FVK3" s="120"/>
      <c r="FVL3" s="120"/>
      <c r="FVM3" s="120"/>
      <c r="FVN3" s="120"/>
      <c r="FVO3" s="120"/>
      <c r="FVP3" s="120"/>
      <c r="FVQ3" s="120"/>
      <c r="FVR3" s="120"/>
      <c r="FVS3" s="120"/>
      <c r="FVT3" s="120"/>
      <c r="FVU3" s="120"/>
      <c r="FVV3" s="120"/>
      <c r="FVW3" s="120"/>
      <c r="FVX3" s="120"/>
      <c r="FVY3" s="120"/>
      <c r="FVZ3" s="120"/>
      <c r="FWA3" s="120"/>
      <c r="FWB3" s="120"/>
      <c r="FWC3" s="120"/>
      <c r="FWD3" s="120"/>
      <c r="FWE3" s="120"/>
      <c r="FWF3" s="120"/>
      <c r="FWG3" s="120"/>
      <c r="FWH3" s="120"/>
      <c r="FWI3" s="120"/>
      <c r="FWJ3" s="120"/>
      <c r="FWK3" s="120"/>
      <c r="FWL3" s="120"/>
      <c r="FWM3" s="120"/>
      <c r="FWN3" s="120"/>
      <c r="FWO3" s="120"/>
      <c r="FWP3" s="120"/>
      <c r="FWQ3" s="120"/>
      <c r="FWR3" s="120"/>
      <c r="FWS3" s="120"/>
      <c r="FWT3" s="120"/>
      <c r="FWU3" s="120"/>
      <c r="FWV3" s="120"/>
      <c r="FWW3" s="120"/>
      <c r="FWX3" s="120"/>
      <c r="FWY3" s="120"/>
      <c r="FWZ3" s="120"/>
      <c r="FXA3" s="120"/>
      <c r="FXB3" s="120"/>
      <c r="FXC3" s="120"/>
      <c r="FXD3" s="120"/>
      <c r="FXE3" s="120"/>
      <c r="FXF3" s="120"/>
      <c r="FXG3" s="120"/>
      <c r="FXH3" s="120"/>
      <c r="FXI3" s="120"/>
      <c r="FXJ3" s="120"/>
      <c r="FXK3" s="120"/>
      <c r="FXL3" s="120"/>
      <c r="FXM3" s="120"/>
      <c r="FXN3" s="120"/>
      <c r="FXO3" s="120"/>
      <c r="FXP3" s="120"/>
      <c r="FXQ3" s="120"/>
      <c r="FXR3" s="120"/>
      <c r="FXS3" s="120"/>
      <c r="FXT3" s="120"/>
      <c r="FXU3" s="120"/>
      <c r="FXV3" s="120"/>
      <c r="FXW3" s="120"/>
      <c r="FXX3" s="120"/>
      <c r="FXY3" s="120"/>
      <c r="FXZ3" s="120"/>
      <c r="FYA3" s="120"/>
      <c r="FYB3" s="120"/>
      <c r="FYC3" s="120"/>
      <c r="FYD3" s="120"/>
      <c r="FYE3" s="120"/>
      <c r="FYF3" s="120"/>
      <c r="FYG3" s="120"/>
      <c r="FYH3" s="120"/>
      <c r="FYI3" s="120"/>
      <c r="FYJ3" s="120"/>
      <c r="FYK3" s="120"/>
      <c r="FYL3" s="120"/>
      <c r="FYM3" s="120"/>
      <c r="FYN3" s="120"/>
      <c r="FYO3" s="120"/>
      <c r="FYP3" s="120"/>
      <c r="FYQ3" s="120"/>
      <c r="FYR3" s="120"/>
      <c r="FYS3" s="120"/>
      <c r="FYT3" s="120"/>
      <c r="FYU3" s="120"/>
      <c r="FYV3" s="120"/>
      <c r="FYW3" s="120"/>
      <c r="FYX3" s="120"/>
      <c r="FYY3" s="120"/>
      <c r="FYZ3" s="120"/>
      <c r="FZA3" s="120"/>
      <c r="FZB3" s="120"/>
      <c r="FZC3" s="120"/>
      <c r="FZD3" s="120"/>
      <c r="FZE3" s="120"/>
      <c r="FZF3" s="120"/>
      <c r="FZG3" s="120"/>
      <c r="FZH3" s="120"/>
      <c r="FZI3" s="120"/>
      <c r="FZJ3" s="120"/>
      <c r="FZK3" s="120"/>
      <c r="FZL3" s="120"/>
      <c r="FZM3" s="120"/>
      <c r="FZN3" s="120"/>
      <c r="FZO3" s="120"/>
      <c r="FZP3" s="120"/>
      <c r="FZQ3" s="120"/>
      <c r="FZR3" s="120"/>
      <c r="FZS3" s="120"/>
      <c r="FZT3" s="120"/>
      <c r="FZU3" s="120"/>
      <c r="FZV3" s="120"/>
      <c r="FZW3" s="120"/>
      <c r="FZX3" s="120"/>
      <c r="FZY3" s="120"/>
      <c r="FZZ3" s="120"/>
      <c r="GAA3" s="120"/>
      <c r="GAB3" s="120"/>
      <c r="GAC3" s="120"/>
      <c r="GAD3" s="120"/>
      <c r="GAE3" s="120"/>
      <c r="GAF3" s="120"/>
      <c r="GAG3" s="120"/>
      <c r="GAH3" s="120"/>
      <c r="GAI3" s="120"/>
      <c r="GAJ3" s="120"/>
      <c r="GAK3" s="120"/>
      <c r="GAL3" s="120"/>
      <c r="GAM3" s="120"/>
      <c r="GAN3" s="120"/>
      <c r="GAO3" s="120"/>
      <c r="GAP3" s="120"/>
      <c r="GAQ3" s="120"/>
      <c r="GAR3" s="120"/>
      <c r="GAS3" s="120"/>
      <c r="GAT3" s="120"/>
      <c r="GAU3" s="120"/>
      <c r="GAV3" s="120"/>
      <c r="GAW3" s="120"/>
      <c r="GAX3" s="120"/>
      <c r="GAY3" s="120"/>
      <c r="GAZ3" s="120"/>
      <c r="GBA3" s="120"/>
      <c r="GBB3" s="120"/>
      <c r="GBC3" s="120"/>
      <c r="GBD3" s="120"/>
      <c r="GBE3" s="120"/>
      <c r="GBF3" s="120"/>
      <c r="GBG3" s="120"/>
      <c r="GBH3" s="120"/>
      <c r="GBI3" s="120"/>
      <c r="GBJ3" s="120"/>
      <c r="GBK3" s="120"/>
      <c r="GBL3" s="120"/>
      <c r="GBM3" s="120"/>
      <c r="GBN3" s="120"/>
      <c r="GBO3" s="120"/>
      <c r="GBP3" s="120"/>
      <c r="GBQ3" s="120"/>
      <c r="GBR3" s="120"/>
      <c r="GBS3" s="120"/>
      <c r="GBT3" s="120"/>
      <c r="GBU3" s="120"/>
      <c r="GBV3" s="120"/>
      <c r="GBW3" s="120"/>
      <c r="GBX3" s="120"/>
      <c r="GBY3" s="120"/>
      <c r="GBZ3" s="120"/>
      <c r="GCA3" s="120"/>
      <c r="GCB3" s="120"/>
      <c r="GCC3" s="120"/>
      <c r="GCD3" s="120"/>
      <c r="GCE3" s="120"/>
      <c r="GCF3" s="120"/>
      <c r="GCG3" s="120"/>
      <c r="GCH3" s="120"/>
      <c r="GCI3" s="120"/>
      <c r="GCJ3" s="120"/>
      <c r="GCK3" s="120"/>
      <c r="GCL3" s="120"/>
      <c r="GCM3" s="120"/>
      <c r="GCN3" s="120"/>
      <c r="GCO3" s="120"/>
      <c r="GCP3" s="120"/>
      <c r="GCQ3" s="120"/>
      <c r="GCR3" s="120"/>
      <c r="GCS3" s="120"/>
      <c r="GCT3" s="120"/>
      <c r="GCU3" s="120"/>
      <c r="GCV3" s="120"/>
      <c r="GCW3" s="120"/>
      <c r="GCX3" s="120"/>
      <c r="GCY3" s="120"/>
      <c r="GCZ3" s="120"/>
      <c r="GDA3" s="120"/>
      <c r="GDB3" s="120"/>
      <c r="GDC3" s="120"/>
      <c r="GDD3" s="120"/>
      <c r="GDE3" s="120"/>
      <c r="GDF3" s="120"/>
      <c r="GDG3" s="120"/>
      <c r="GDH3" s="120"/>
      <c r="GDI3" s="120"/>
      <c r="GDJ3" s="120"/>
      <c r="GDK3" s="120"/>
      <c r="GDL3" s="120"/>
      <c r="GDM3" s="120"/>
      <c r="GDN3" s="120"/>
      <c r="GDO3" s="120"/>
      <c r="GDP3" s="120"/>
      <c r="GDQ3" s="120"/>
      <c r="GDR3" s="120"/>
      <c r="GDS3" s="120"/>
      <c r="GDT3" s="120"/>
      <c r="GDU3" s="120"/>
      <c r="GDV3" s="120"/>
      <c r="GDW3" s="120"/>
      <c r="GDX3" s="120"/>
      <c r="GDY3" s="120"/>
      <c r="GDZ3" s="120"/>
      <c r="GEA3" s="120"/>
      <c r="GEB3" s="120"/>
      <c r="GEC3" s="120"/>
      <c r="GED3" s="120"/>
      <c r="GEE3" s="120"/>
      <c r="GEF3" s="120"/>
      <c r="GEG3" s="120"/>
      <c r="GEH3" s="120"/>
      <c r="GEI3" s="120"/>
      <c r="GEJ3" s="120"/>
      <c r="GEK3" s="120"/>
      <c r="GEL3" s="120"/>
      <c r="GEM3" s="120"/>
      <c r="GEN3" s="120"/>
      <c r="GEO3" s="120"/>
      <c r="GEP3" s="120"/>
      <c r="GEQ3" s="120"/>
      <c r="GER3" s="120"/>
      <c r="GES3" s="120"/>
      <c r="GET3" s="120"/>
      <c r="GEU3" s="120"/>
      <c r="GEV3" s="120"/>
      <c r="GEW3" s="120"/>
      <c r="GEX3" s="120"/>
      <c r="GEY3" s="120"/>
      <c r="GEZ3" s="120"/>
      <c r="GFA3" s="120"/>
      <c r="GFB3" s="120"/>
      <c r="GFC3" s="120"/>
      <c r="GFD3" s="120"/>
      <c r="GFE3" s="120"/>
      <c r="GFF3" s="120"/>
      <c r="GFG3" s="120"/>
      <c r="GFH3" s="120"/>
      <c r="GFI3" s="120"/>
      <c r="GFJ3" s="120"/>
      <c r="GFK3" s="120"/>
      <c r="GFL3" s="120"/>
      <c r="GFM3" s="120"/>
      <c r="GFN3" s="120"/>
      <c r="GFO3" s="120"/>
      <c r="GFP3" s="120"/>
      <c r="GFQ3" s="120"/>
      <c r="GFR3" s="120"/>
      <c r="GFS3" s="120"/>
      <c r="GFT3" s="120"/>
      <c r="GFU3" s="120"/>
      <c r="GFV3" s="120"/>
      <c r="GFW3" s="120"/>
      <c r="GFX3" s="120"/>
      <c r="GFY3" s="120"/>
      <c r="GFZ3" s="120"/>
      <c r="GGA3" s="120"/>
      <c r="GGB3" s="120"/>
      <c r="GGC3" s="120"/>
      <c r="GGD3" s="120"/>
      <c r="GGE3" s="120"/>
      <c r="GGF3" s="120"/>
      <c r="GGG3" s="120"/>
      <c r="GGH3" s="120"/>
      <c r="GGI3" s="120"/>
      <c r="GGJ3" s="120"/>
      <c r="GGK3" s="120"/>
      <c r="GGL3" s="120"/>
      <c r="GGM3" s="120"/>
      <c r="GGN3" s="120"/>
      <c r="GGO3" s="120"/>
      <c r="GGP3" s="120"/>
      <c r="GGQ3" s="120"/>
      <c r="GGR3" s="120"/>
      <c r="GGS3" s="120"/>
      <c r="GGT3" s="120"/>
      <c r="GGU3" s="120"/>
      <c r="GGV3" s="120"/>
      <c r="GGW3" s="120"/>
      <c r="GGX3" s="120"/>
      <c r="GGY3" s="120"/>
      <c r="GGZ3" s="120"/>
      <c r="GHA3" s="120"/>
      <c r="GHB3" s="120"/>
      <c r="GHC3" s="120"/>
      <c r="GHD3" s="120"/>
      <c r="GHE3" s="120"/>
      <c r="GHF3" s="120"/>
      <c r="GHG3" s="120"/>
      <c r="GHH3" s="120"/>
      <c r="GHI3" s="120"/>
      <c r="GHJ3" s="120"/>
      <c r="GHK3" s="120"/>
      <c r="GHL3" s="120"/>
      <c r="GHM3" s="120"/>
      <c r="GHN3" s="120"/>
      <c r="GHO3" s="120"/>
      <c r="GHP3" s="120"/>
      <c r="GHQ3" s="120"/>
      <c r="GHR3" s="120"/>
      <c r="GHS3" s="120"/>
      <c r="GHT3" s="120"/>
      <c r="GHU3" s="120"/>
      <c r="GHV3" s="120"/>
      <c r="GHW3" s="120"/>
      <c r="GHX3" s="120"/>
      <c r="GHY3" s="120"/>
      <c r="GHZ3" s="120"/>
      <c r="GIA3" s="120"/>
      <c r="GIB3" s="120"/>
      <c r="GIC3" s="120"/>
      <c r="GID3" s="120"/>
      <c r="GIE3" s="120"/>
      <c r="GIF3" s="120"/>
      <c r="GIG3" s="120"/>
      <c r="GIH3" s="120"/>
      <c r="GII3" s="120"/>
      <c r="GIJ3" s="120"/>
      <c r="GIK3" s="120"/>
      <c r="GIL3" s="120"/>
      <c r="GIM3" s="120"/>
      <c r="GIN3" s="120"/>
      <c r="GIO3" s="120"/>
      <c r="GIP3" s="120"/>
      <c r="GIQ3" s="120"/>
      <c r="GIR3" s="120"/>
      <c r="GIS3" s="120"/>
      <c r="GIT3" s="120"/>
      <c r="GIU3" s="120"/>
      <c r="GIV3" s="120"/>
      <c r="GIW3" s="120"/>
      <c r="GIX3" s="120"/>
      <c r="GIY3" s="120"/>
      <c r="GIZ3" s="120"/>
      <c r="GJA3" s="120"/>
      <c r="GJB3" s="120"/>
      <c r="GJC3" s="120"/>
      <c r="GJD3" s="120"/>
      <c r="GJE3" s="120"/>
      <c r="GJF3" s="120"/>
      <c r="GJG3" s="120"/>
      <c r="GJH3" s="120"/>
      <c r="GJI3" s="120"/>
      <c r="GJJ3" s="120"/>
      <c r="GJK3" s="120"/>
      <c r="GJL3" s="120"/>
      <c r="GJM3" s="120"/>
      <c r="GJN3" s="120"/>
      <c r="GJO3" s="120"/>
      <c r="GJP3" s="120"/>
      <c r="GJQ3" s="120"/>
      <c r="GJR3" s="120"/>
      <c r="GJS3" s="120"/>
      <c r="GJT3" s="120"/>
      <c r="GJU3" s="120"/>
      <c r="GJV3" s="120"/>
      <c r="GJW3" s="120"/>
      <c r="GJX3" s="120"/>
      <c r="GJY3" s="120"/>
      <c r="GJZ3" s="120"/>
      <c r="GKA3" s="120"/>
      <c r="GKB3" s="120"/>
      <c r="GKC3" s="120"/>
      <c r="GKD3" s="120"/>
      <c r="GKE3" s="120"/>
      <c r="GKF3" s="120"/>
      <c r="GKG3" s="120"/>
      <c r="GKH3" s="120"/>
      <c r="GKI3" s="120"/>
      <c r="GKJ3" s="120"/>
      <c r="GKK3" s="120"/>
      <c r="GKL3" s="120"/>
      <c r="GKM3" s="120"/>
      <c r="GKN3" s="120"/>
      <c r="GKO3" s="120"/>
      <c r="GKP3" s="120"/>
      <c r="GKQ3" s="120"/>
      <c r="GKR3" s="120"/>
      <c r="GKS3" s="120"/>
      <c r="GKT3" s="120"/>
      <c r="GKU3" s="120"/>
      <c r="GKV3" s="120"/>
      <c r="GKW3" s="120"/>
      <c r="GKX3" s="120"/>
      <c r="GKY3" s="120"/>
      <c r="GKZ3" s="120"/>
      <c r="GLA3" s="120"/>
      <c r="GLB3" s="120"/>
      <c r="GLC3" s="120"/>
      <c r="GLD3" s="120"/>
      <c r="GLE3" s="120"/>
      <c r="GLF3" s="120"/>
      <c r="GLG3" s="120"/>
      <c r="GLH3" s="120"/>
      <c r="GLI3" s="120"/>
      <c r="GLJ3" s="120"/>
      <c r="GLK3" s="120"/>
      <c r="GLL3" s="120"/>
      <c r="GLM3" s="120"/>
      <c r="GLN3" s="120"/>
      <c r="GLO3" s="120"/>
      <c r="GLP3" s="120"/>
      <c r="GLQ3" s="120"/>
      <c r="GLR3" s="120"/>
      <c r="GLS3" s="120"/>
      <c r="GLT3" s="120"/>
      <c r="GLU3" s="120"/>
      <c r="GLV3" s="120"/>
      <c r="GLW3" s="120"/>
      <c r="GLX3" s="120"/>
      <c r="GLY3" s="120"/>
      <c r="GLZ3" s="120"/>
      <c r="GMA3" s="120"/>
      <c r="GMB3" s="120"/>
      <c r="GMC3" s="120"/>
      <c r="GMD3" s="120"/>
      <c r="GME3" s="120"/>
      <c r="GMF3" s="120"/>
      <c r="GMG3" s="120"/>
      <c r="GMH3" s="120"/>
      <c r="GMI3" s="120"/>
      <c r="GMJ3" s="120"/>
      <c r="GMK3" s="120"/>
      <c r="GML3" s="120"/>
      <c r="GMM3" s="120"/>
      <c r="GMN3" s="120"/>
      <c r="GMO3" s="120"/>
      <c r="GMP3" s="120"/>
      <c r="GMQ3" s="120"/>
      <c r="GMR3" s="120"/>
      <c r="GMS3" s="120"/>
      <c r="GMT3" s="120"/>
      <c r="GMU3" s="120"/>
      <c r="GMV3" s="120"/>
      <c r="GMW3" s="120"/>
      <c r="GMX3" s="120"/>
      <c r="GMY3" s="120"/>
      <c r="GMZ3" s="120"/>
      <c r="GNA3" s="120"/>
      <c r="GNB3" s="120"/>
      <c r="GNC3" s="120"/>
      <c r="GND3" s="120"/>
      <c r="GNE3" s="120"/>
      <c r="GNF3" s="120"/>
      <c r="GNG3" s="120"/>
      <c r="GNH3" s="120"/>
      <c r="GNI3" s="120"/>
      <c r="GNJ3" s="120"/>
      <c r="GNK3" s="120"/>
      <c r="GNL3" s="120"/>
      <c r="GNM3" s="120"/>
      <c r="GNN3" s="120"/>
      <c r="GNO3" s="120"/>
      <c r="GNP3" s="120"/>
      <c r="GNQ3" s="120"/>
      <c r="GNR3" s="120"/>
      <c r="GNS3" s="120"/>
      <c r="GNT3" s="120"/>
      <c r="GNU3" s="120"/>
      <c r="GNV3" s="120"/>
      <c r="GNW3" s="120"/>
      <c r="GNX3" s="120"/>
      <c r="GNY3" s="120"/>
      <c r="GNZ3" s="120"/>
      <c r="GOA3" s="120"/>
      <c r="GOB3" s="120"/>
      <c r="GOC3" s="120"/>
      <c r="GOD3" s="120"/>
      <c r="GOE3" s="120"/>
      <c r="GOF3" s="120"/>
      <c r="GOG3" s="120"/>
      <c r="GOH3" s="120"/>
      <c r="GOI3" s="120"/>
      <c r="GOJ3" s="120"/>
      <c r="GOK3" s="120"/>
      <c r="GOL3" s="120"/>
      <c r="GOM3" s="120"/>
      <c r="GON3" s="120"/>
      <c r="GOO3" s="120"/>
      <c r="GOP3" s="120"/>
      <c r="GOQ3" s="120"/>
      <c r="GOR3" s="120"/>
      <c r="GOS3" s="120"/>
      <c r="GOT3" s="120"/>
      <c r="GOU3" s="120"/>
      <c r="GOV3" s="120"/>
      <c r="GOW3" s="120"/>
      <c r="GOX3" s="120"/>
      <c r="GOY3" s="120"/>
      <c r="GOZ3" s="120"/>
      <c r="GPA3" s="120"/>
      <c r="GPB3" s="120"/>
      <c r="GPC3" s="120"/>
      <c r="GPD3" s="120"/>
      <c r="GPE3" s="120"/>
      <c r="GPF3" s="120"/>
      <c r="GPG3" s="120"/>
      <c r="GPH3" s="120"/>
      <c r="GPI3" s="120"/>
      <c r="GPJ3" s="120"/>
      <c r="GPK3" s="120"/>
      <c r="GPL3" s="120"/>
      <c r="GPM3" s="120"/>
      <c r="GPN3" s="120"/>
      <c r="GPO3" s="120"/>
      <c r="GPP3" s="120"/>
      <c r="GPQ3" s="120"/>
      <c r="GPR3" s="120"/>
      <c r="GPS3" s="120"/>
      <c r="GPT3" s="120"/>
      <c r="GPU3" s="120"/>
      <c r="GPV3" s="120"/>
      <c r="GPW3" s="120"/>
      <c r="GPX3" s="120"/>
      <c r="GPY3" s="120"/>
      <c r="GPZ3" s="120"/>
      <c r="GQA3" s="120"/>
      <c r="GQB3" s="120"/>
      <c r="GQC3" s="120"/>
      <c r="GQD3" s="120"/>
      <c r="GQE3" s="120"/>
      <c r="GQF3" s="120"/>
      <c r="GQG3" s="120"/>
      <c r="GQH3" s="120"/>
      <c r="GQI3" s="120"/>
      <c r="GQJ3" s="120"/>
      <c r="GQK3" s="120"/>
      <c r="GQL3" s="120"/>
      <c r="GQM3" s="120"/>
      <c r="GQN3" s="120"/>
      <c r="GQO3" s="120"/>
      <c r="GQP3" s="120"/>
      <c r="GQQ3" s="120"/>
      <c r="GQR3" s="120"/>
      <c r="GQS3" s="120"/>
      <c r="GQT3" s="120"/>
      <c r="GQU3" s="120"/>
      <c r="GQV3" s="120"/>
      <c r="GQW3" s="120"/>
      <c r="GQX3" s="120"/>
      <c r="GQY3" s="120"/>
      <c r="GQZ3" s="120"/>
      <c r="GRA3" s="120"/>
      <c r="GRB3" s="120"/>
      <c r="GRC3" s="120"/>
      <c r="GRD3" s="120"/>
      <c r="GRE3" s="120"/>
      <c r="GRF3" s="120"/>
      <c r="GRG3" s="120"/>
      <c r="GRH3" s="120"/>
      <c r="GRI3" s="120"/>
      <c r="GRJ3" s="120"/>
      <c r="GRK3" s="120"/>
      <c r="GRL3" s="120"/>
      <c r="GRM3" s="120"/>
      <c r="GRN3" s="120"/>
      <c r="GRO3" s="120"/>
      <c r="GRP3" s="120"/>
      <c r="GRQ3" s="120"/>
      <c r="GRR3" s="120"/>
      <c r="GRS3" s="120"/>
      <c r="GRT3" s="120"/>
      <c r="GRU3" s="120"/>
      <c r="GRV3" s="120"/>
      <c r="GRW3" s="120"/>
      <c r="GRX3" s="120"/>
      <c r="GRY3" s="120"/>
      <c r="GRZ3" s="120"/>
      <c r="GSA3" s="120"/>
      <c r="GSB3" s="120"/>
      <c r="GSC3" s="120"/>
      <c r="GSD3" s="120"/>
      <c r="GSE3" s="120"/>
      <c r="GSF3" s="120"/>
      <c r="GSG3" s="120"/>
      <c r="GSH3" s="120"/>
      <c r="GSI3" s="120"/>
      <c r="GSJ3" s="120"/>
      <c r="GSK3" s="120"/>
      <c r="GSL3" s="120"/>
      <c r="GSM3" s="120"/>
      <c r="GSN3" s="120"/>
      <c r="GSO3" s="120"/>
      <c r="GSP3" s="120"/>
      <c r="GSQ3" s="120"/>
      <c r="GSR3" s="120"/>
      <c r="GSS3" s="120"/>
      <c r="GST3" s="120"/>
      <c r="GSU3" s="120"/>
      <c r="GSV3" s="120"/>
      <c r="GSW3" s="120"/>
      <c r="GSX3" s="120"/>
      <c r="GSY3" s="120"/>
      <c r="GSZ3" s="120"/>
      <c r="GTA3" s="120"/>
      <c r="GTB3" s="120"/>
      <c r="GTC3" s="120"/>
      <c r="GTD3" s="120"/>
      <c r="GTE3" s="120"/>
      <c r="GTF3" s="120"/>
      <c r="GTG3" s="120"/>
      <c r="GTH3" s="120"/>
      <c r="GTI3" s="120"/>
      <c r="GTJ3" s="120"/>
      <c r="GTK3" s="120"/>
      <c r="GTL3" s="120"/>
      <c r="GTM3" s="120"/>
      <c r="GTN3" s="120"/>
      <c r="GTO3" s="120"/>
      <c r="GTP3" s="120"/>
      <c r="GTQ3" s="120"/>
      <c r="GTR3" s="120"/>
      <c r="GTS3" s="120"/>
      <c r="GTT3" s="120"/>
      <c r="GTU3" s="120"/>
      <c r="GTV3" s="120"/>
      <c r="GTW3" s="120"/>
      <c r="GTX3" s="120"/>
      <c r="GTY3" s="120"/>
      <c r="GTZ3" s="120"/>
      <c r="GUA3" s="120"/>
      <c r="GUB3" s="120"/>
      <c r="GUC3" s="120"/>
      <c r="GUD3" s="120"/>
      <c r="GUE3" s="120"/>
      <c r="GUF3" s="120"/>
      <c r="GUG3" s="120"/>
      <c r="GUH3" s="120"/>
      <c r="GUI3" s="120"/>
      <c r="GUJ3" s="120"/>
      <c r="GUK3" s="120"/>
      <c r="GUL3" s="120"/>
      <c r="GUM3" s="120"/>
      <c r="GUN3" s="120"/>
      <c r="GUO3" s="120"/>
      <c r="GUP3" s="120"/>
      <c r="GUQ3" s="120"/>
      <c r="GUR3" s="120"/>
      <c r="GUS3" s="120"/>
      <c r="GUT3" s="120"/>
      <c r="GUU3" s="120"/>
      <c r="GUV3" s="120"/>
      <c r="GUW3" s="120"/>
      <c r="GUX3" s="120"/>
      <c r="GUY3" s="120"/>
      <c r="GUZ3" s="120"/>
      <c r="GVA3" s="120"/>
      <c r="GVB3" s="120"/>
      <c r="GVC3" s="120"/>
      <c r="GVD3" s="120"/>
      <c r="GVE3" s="120"/>
      <c r="GVF3" s="120"/>
      <c r="GVG3" s="120"/>
      <c r="GVH3" s="120"/>
      <c r="GVI3" s="120"/>
      <c r="GVJ3" s="120"/>
      <c r="GVK3" s="120"/>
      <c r="GVL3" s="120"/>
      <c r="GVM3" s="120"/>
      <c r="GVN3" s="120"/>
      <c r="GVO3" s="120"/>
      <c r="GVP3" s="120"/>
      <c r="GVQ3" s="120"/>
      <c r="GVR3" s="120"/>
      <c r="GVS3" s="120"/>
      <c r="GVT3" s="120"/>
      <c r="GVU3" s="120"/>
      <c r="GVV3" s="120"/>
      <c r="GVW3" s="120"/>
      <c r="GVX3" s="120"/>
      <c r="GVY3" s="120"/>
      <c r="GVZ3" s="120"/>
      <c r="GWA3" s="120"/>
      <c r="GWB3" s="120"/>
      <c r="GWC3" s="120"/>
      <c r="GWD3" s="120"/>
      <c r="GWE3" s="120"/>
      <c r="GWF3" s="120"/>
      <c r="GWG3" s="120"/>
      <c r="GWH3" s="120"/>
      <c r="GWI3" s="120"/>
      <c r="GWJ3" s="120"/>
      <c r="GWK3" s="120"/>
      <c r="GWL3" s="120"/>
      <c r="GWM3" s="120"/>
      <c r="GWN3" s="120"/>
      <c r="GWO3" s="120"/>
      <c r="GWP3" s="120"/>
      <c r="GWQ3" s="120"/>
      <c r="GWR3" s="120"/>
      <c r="GWS3" s="120"/>
      <c r="GWT3" s="120"/>
      <c r="GWU3" s="120"/>
      <c r="GWV3" s="120"/>
      <c r="GWW3" s="120"/>
      <c r="GWX3" s="120"/>
      <c r="GWY3" s="120"/>
      <c r="GWZ3" s="120"/>
      <c r="GXA3" s="120"/>
      <c r="GXB3" s="120"/>
      <c r="GXC3" s="120"/>
      <c r="GXD3" s="120"/>
      <c r="GXE3" s="120"/>
      <c r="GXF3" s="120"/>
      <c r="GXG3" s="120"/>
      <c r="GXH3" s="120"/>
      <c r="GXI3" s="120"/>
      <c r="GXJ3" s="120"/>
      <c r="GXK3" s="120"/>
      <c r="GXL3" s="120"/>
      <c r="GXM3" s="120"/>
      <c r="GXN3" s="120"/>
      <c r="GXO3" s="120"/>
      <c r="GXP3" s="120"/>
      <c r="GXQ3" s="120"/>
      <c r="GXR3" s="120"/>
      <c r="GXS3" s="120"/>
      <c r="GXT3" s="120"/>
      <c r="GXU3" s="120"/>
      <c r="GXV3" s="120"/>
      <c r="GXW3" s="120"/>
      <c r="GXX3" s="120"/>
      <c r="GXY3" s="120"/>
      <c r="GXZ3" s="120"/>
      <c r="GYA3" s="120"/>
      <c r="GYB3" s="120"/>
      <c r="GYC3" s="120"/>
      <c r="GYD3" s="120"/>
      <c r="GYE3" s="120"/>
      <c r="GYF3" s="120"/>
      <c r="GYG3" s="120"/>
      <c r="GYH3" s="120"/>
      <c r="GYI3" s="120"/>
      <c r="GYJ3" s="120"/>
      <c r="GYK3" s="120"/>
      <c r="GYL3" s="120"/>
      <c r="GYM3" s="120"/>
      <c r="GYN3" s="120"/>
      <c r="GYO3" s="120"/>
      <c r="GYP3" s="120"/>
      <c r="GYQ3" s="120"/>
      <c r="GYR3" s="120"/>
      <c r="GYS3" s="120"/>
      <c r="GYT3" s="120"/>
      <c r="GYU3" s="120"/>
      <c r="GYV3" s="120"/>
      <c r="GYW3" s="120"/>
      <c r="GYX3" s="120"/>
      <c r="GYY3" s="120"/>
      <c r="GYZ3" s="120"/>
      <c r="GZA3" s="120"/>
      <c r="GZB3" s="120"/>
      <c r="GZC3" s="120"/>
      <c r="GZD3" s="120"/>
      <c r="GZE3" s="120"/>
      <c r="GZF3" s="120"/>
      <c r="GZG3" s="120"/>
      <c r="GZH3" s="120"/>
      <c r="GZI3" s="120"/>
      <c r="GZJ3" s="120"/>
      <c r="GZK3" s="120"/>
      <c r="GZL3" s="120"/>
      <c r="GZM3" s="120"/>
      <c r="GZN3" s="120"/>
      <c r="GZO3" s="120"/>
      <c r="GZP3" s="120"/>
      <c r="GZQ3" s="120"/>
      <c r="GZR3" s="120"/>
      <c r="GZS3" s="120"/>
      <c r="GZT3" s="120"/>
      <c r="GZU3" s="120"/>
      <c r="GZV3" s="120"/>
      <c r="GZW3" s="120"/>
      <c r="GZX3" s="120"/>
      <c r="GZY3" s="120"/>
      <c r="GZZ3" s="120"/>
      <c r="HAA3" s="120"/>
      <c r="HAB3" s="120"/>
      <c r="HAC3" s="120"/>
      <c r="HAD3" s="120"/>
      <c r="HAE3" s="120"/>
      <c r="HAF3" s="120"/>
      <c r="HAG3" s="120"/>
      <c r="HAH3" s="120"/>
      <c r="HAI3" s="120"/>
      <c r="HAJ3" s="120"/>
      <c r="HAK3" s="120"/>
      <c r="HAL3" s="120"/>
      <c r="HAM3" s="120"/>
      <c r="HAN3" s="120"/>
      <c r="HAO3" s="120"/>
      <c r="HAP3" s="120"/>
      <c r="HAQ3" s="120"/>
      <c r="HAR3" s="120"/>
      <c r="HAS3" s="120"/>
      <c r="HAT3" s="120"/>
      <c r="HAU3" s="120"/>
      <c r="HAV3" s="120"/>
      <c r="HAW3" s="120"/>
      <c r="HAX3" s="120"/>
      <c r="HAY3" s="120"/>
      <c r="HAZ3" s="120"/>
      <c r="HBA3" s="120"/>
      <c r="HBB3" s="120"/>
      <c r="HBC3" s="120"/>
      <c r="HBD3" s="120"/>
      <c r="HBE3" s="120"/>
      <c r="HBF3" s="120"/>
      <c r="HBG3" s="120"/>
      <c r="HBH3" s="120"/>
      <c r="HBI3" s="120"/>
      <c r="HBJ3" s="120"/>
      <c r="HBK3" s="120"/>
      <c r="HBL3" s="120"/>
      <c r="HBM3" s="120"/>
      <c r="HBN3" s="120"/>
      <c r="HBO3" s="120"/>
      <c r="HBP3" s="120"/>
      <c r="HBQ3" s="120"/>
      <c r="HBR3" s="120"/>
      <c r="HBS3" s="120"/>
      <c r="HBT3" s="120"/>
      <c r="HBU3" s="120"/>
      <c r="HBV3" s="120"/>
      <c r="HBW3" s="120"/>
      <c r="HBX3" s="120"/>
      <c r="HBY3" s="120"/>
      <c r="HBZ3" s="120"/>
      <c r="HCA3" s="120"/>
      <c r="HCB3" s="120"/>
      <c r="HCC3" s="120"/>
      <c r="HCD3" s="120"/>
      <c r="HCE3" s="120"/>
      <c r="HCF3" s="120"/>
      <c r="HCG3" s="120"/>
      <c r="HCH3" s="120"/>
      <c r="HCI3" s="120"/>
      <c r="HCJ3" s="120"/>
      <c r="HCK3" s="120"/>
      <c r="HCL3" s="120"/>
      <c r="HCM3" s="120"/>
      <c r="HCN3" s="120"/>
      <c r="HCO3" s="120"/>
      <c r="HCP3" s="120"/>
      <c r="HCQ3" s="120"/>
      <c r="HCR3" s="120"/>
      <c r="HCS3" s="120"/>
      <c r="HCT3" s="120"/>
      <c r="HCU3" s="120"/>
      <c r="HCV3" s="120"/>
      <c r="HCW3" s="120"/>
      <c r="HCX3" s="120"/>
      <c r="HCY3" s="120"/>
      <c r="HCZ3" s="120"/>
      <c r="HDA3" s="120"/>
      <c r="HDB3" s="120"/>
      <c r="HDC3" s="120"/>
      <c r="HDD3" s="120"/>
      <c r="HDE3" s="120"/>
      <c r="HDF3" s="120"/>
      <c r="HDG3" s="120"/>
      <c r="HDH3" s="120"/>
      <c r="HDI3" s="120"/>
      <c r="HDJ3" s="120"/>
      <c r="HDK3" s="120"/>
      <c r="HDL3" s="120"/>
      <c r="HDM3" s="120"/>
      <c r="HDN3" s="120"/>
      <c r="HDO3" s="120"/>
      <c r="HDP3" s="120"/>
      <c r="HDQ3" s="120"/>
      <c r="HDR3" s="120"/>
      <c r="HDS3" s="120"/>
      <c r="HDT3" s="120"/>
      <c r="HDU3" s="120"/>
      <c r="HDV3" s="120"/>
      <c r="HDW3" s="120"/>
      <c r="HDX3" s="120"/>
      <c r="HDY3" s="120"/>
      <c r="HDZ3" s="120"/>
      <c r="HEA3" s="120"/>
      <c r="HEB3" s="120"/>
      <c r="HEC3" s="120"/>
      <c r="HED3" s="120"/>
      <c r="HEE3" s="120"/>
      <c r="HEF3" s="120"/>
      <c r="HEG3" s="120"/>
      <c r="HEH3" s="120"/>
      <c r="HEI3" s="120"/>
      <c r="HEJ3" s="120"/>
      <c r="HEK3" s="120"/>
      <c r="HEL3" s="120"/>
      <c r="HEM3" s="120"/>
      <c r="HEN3" s="120"/>
      <c r="HEO3" s="120"/>
      <c r="HEP3" s="120"/>
      <c r="HEQ3" s="120"/>
      <c r="HER3" s="120"/>
      <c r="HES3" s="120"/>
      <c r="HET3" s="120"/>
      <c r="HEU3" s="120"/>
      <c r="HEV3" s="120"/>
      <c r="HEW3" s="120"/>
      <c r="HEX3" s="120"/>
      <c r="HEY3" s="120"/>
      <c r="HEZ3" s="120"/>
      <c r="HFA3" s="120"/>
      <c r="HFB3" s="120"/>
      <c r="HFC3" s="120"/>
      <c r="HFD3" s="120"/>
      <c r="HFE3" s="120"/>
      <c r="HFF3" s="120"/>
      <c r="HFG3" s="120"/>
      <c r="HFH3" s="120"/>
      <c r="HFI3" s="120"/>
      <c r="HFJ3" s="120"/>
      <c r="HFK3" s="120"/>
      <c r="HFL3" s="120"/>
      <c r="HFM3" s="120"/>
      <c r="HFN3" s="120"/>
      <c r="HFO3" s="120"/>
      <c r="HFP3" s="120"/>
      <c r="HFQ3" s="120"/>
      <c r="HFR3" s="120"/>
      <c r="HFS3" s="120"/>
      <c r="HFT3" s="120"/>
      <c r="HFU3" s="120"/>
      <c r="HFV3" s="120"/>
      <c r="HFW3" s="120"/>
      <c r="HFX3" s="120"/>
      <c r="HFY3" s="120"/>
      <c r="HFZ3" s="120"/>
      <c r="HGA3" s="120"/>
      <c r="HGB3" s="120"/>
      <c r="HGC3" s="120"/>
      <c r="HGD3" s="120"/>
      <c r="HGE3" s="120"/>
      <c r="HGF3" s="120"/>
      <c r="HGG3" s="120"/>
      <c r="HGH3" s="120"/>
      <c r="HGI3" s="120"/>
      <c r="HGJ3" s="120"/>
      <c r="HGK3" s="120"/>
      <c r="HGL3" s="120"/>
      <c r="HGM3" s="120"/>
      <c r="HGN3" s="120"/>
      <c r="HGO3" s="120"/>
      <c r="HGP3" s="120"/>
      <c r="HGQ3" s="120"/>
      <c r="HGR3" s="120"/>
      <c r="HGS3" s="120"/>
      <c r="HGT3" s="120"/>
      <c r="HGU3" s="120"/>
      <c r="HGV3" s="120"/>
      <c r="HGW3" s="120"/>
      <c r="HGX3" s="120"/>
      <c r="HGY3" s="120"/>
      <c r="HGZ3" s="120"/>
      <c r="HHA3" s="120"/>
      <c r="HHB3" s="120"/>
      <c r="HHC3" s="120"/>
      <c r="HHD3" s="120"/>
      <c r="HHE3" s="120"/>
      <c r="HHF3" s="120"/>
      <c r="HHG3" s="120"/>
      <c r="HHH3" s="120"/>
      <c r="HHI3" s="120"/>
      <c r="HHJ3" s="120"/>
      <c r="HHK3" s="120"/>
      <c r="HHL3" s="120"/>
      <c r="HHM3" s="120"/>
      <c r="HHN3" s="120"/>
      <c r="HHO3" s="120"/>
      <c r="HHP3" s="120"/>
      <c r="HHQ3" s="120"/>
      <c r="HHR3" s="120"/>
      <c r="HHS3" s="120"/>
      <c r="HHT3" s="120"/>
      <c r="HHU3" s="120"/>
      <c r="HHV3" s="120"/>
      <c r="HHW3" s="120"/>
      <c r="HHX3" s="120"/>
      <c r="HHY3" s="120"/>
      <c r="HHZ3" s="120"/>
      <c r="HIA3" s="120"/>
      <c r="HIB3" s="120"/>
      <c r="HIC3" s="120"/>
      <c r="HID3" s="120"/>
      <c r="HIE3" s="120"/>
      <c r="HIF3" s="120"/>
      <c r="HIG3" s="120"/>
      <c r="HIH3" s="120"/>
      <c r="HII3" s="120"/>
      <c r="HIJ3" s="120"/>
      <c r="HIK3" s="120"/>
      <c r="HIL3" s="120"/>
      <c r="HIM3" s="120"/>
      <c r="HIN3" s="120"/>
      <c r="HIO3" s="120"/>
      <c r="HIP3" s="120"/>
      <c r="HIQ3" s="120"/>
      <c r="HIR3" s="120"/>
      <c r="HIS3" s="120"/>
      <c r="HIT3" s="120"/>
      <c r="HIU3" s="120"/>
      <c r="HIV3" s="120"/>
      <c r="HIW3" s="120"/>
      <c r="HIX3" s="120"/>
      <c r="HIY3" s="120"/>
      <c r="HIZ3" s="120"/>
      <c r="HJA3" s="120"/>
      <c r="HJB3" s="120"/>
      <c r="HJC3" s="120"/>
      <c r="HJD3" s="120"/>
      <c r="HJE3" s="120"/>
      <c r="HJF3" s="120"/>
      <c r="HJG3" s="120"/>
      <c r="HJH3" s="120"/>
      <c r="HJI3" s="120"/>
      <c r="HJJ3" s="120"/>
      <c r="HJK3" s="120"/>
      <c r="HJL3" s="120"/>
      <c r="HJM3" s="120"/>
      <c r="HJN3" s="120"/>
      <c r="HJO3" s="120"/>
      <c r="HJP3" s="120"/>
      <c r="HJQ3" s="120"/>
      <c r="HJR3" s="120"/>
      <c r="HJS3" s="120"/>
      <c r="HJT3" s="120"/>
      <c r="HJU3" s="120"/>
      <c r="HJV3" s="120"/>
      <c r="HJW3" s="120"/>
      <c r="HJX3" s="120"/>
      <c r="HJY3" s="120"/>
      <c r="HJZ3" s="120"/>
      <c r="HKA3" s="120"/>
      <c r="HKB3" s="120"/>
      <c r="HKC3" s="120"/>
      <c r="HKD3" s="120"/>
      <c r="HKE3" s="120"/>
      <c r="HKF3" s="120"/>
      <c r="HKG3" s="120"/>
      <c r="HKH3" s="120"/>
      <c r="HKI3" s="120"/>
      <c r="HKJ3" s="120"/>
      <c r="HKK3" s="120"/>
      <c r="HKL3" s="120"/>
      <c r="HKM3" s="120"/>
      <c r="HKN3" s="120"/>
      <c r="HKO3" s="120"/>
      <c r="HKP3" s="120"/>
      <c r="HKQ3" s="120"/>
      <c r="HKR3" s="120"/>
      <c r="HKS3" s="120"/>
      <c r="HKT3" s="120"/>
      <c r="HKU3" s="120"/>
      <c r="HKV3" s="120"/>
      <c r="HKW3" s="120"/>
      <c r="HKX3" s="120"/>
      <c r="HKY3" s="120"/>
      <c r="HKZ3" s="120"/>
      <c r="HLA3" s="120"/>
      <c r="HLB3" s="120"/>
      <c r="HLC3" s="120"/>
      <c r="HLD3" s="120"/>
      <c r="HLE3" s="120"/>
      <c r="HLF3" s="120"/>
      <c r="HLG3" s="120"/>
      <c r="HLH3" s="120"/>
      <c r="HLI3" s="120"/>
      <c r="HLJ3" s="120"/>
      <c r="HLK3" s="120"/>
      <c r="HLL3" s="120"/>
      <c r="HLM3" s="120"/>
      <c r="HLN3" s="120"/>
      <c r="HLO3" s="120"/>
      <c r="HLP3" s="120"/>
      <c r="HLQ3" s="120"/>
      <c r="HLR3" s="120"/>
      <c r="HLS3" s="120"/>
      <c r="HLT3" s="120"/>
      <c r="HLU3" s="120"/>
      <c r="HLV3" s="120"/>
      <c r="HLW3" s="120"/>
      <c r="HLX3" s="120"/>
      <c r="HLY3" s="120"/>
      <c r="HLZ3" s="120"/>
      <c r="HMA3" s="120"/>
      <c r="HMB3" s="120"/>
      <c r="HMC3" s="120"/>
      <c r="HMD3" s="120"/>
      <c r="HME3" s="120"/>
      <c r="HMF3" s="120"/>
      <c r="HMG3" s="120"/>
      <c r="HMH3" s="120"/>
      <c r="HMI3" s="120"/>
      <c r="HMJ3" s="120"/>
      <c r="HMK3" s="120"/>
      <c r="HML3" s="120"/>
      <c r="HMM3" s="120"/>
      <c r="HMN3" s="120"/>
      <c r="HMO3" s="120"/>
      <c r="HMP3" s="120"/>
      <c r="HMQ3" s="120"/>
      <c r="HMR3" s="120"/>
      <c r="HMS3" s="120"/>
      <c r="HMT3" s="120"/>
      <c r="HMU3" s="120"/>
      <c r="HMV3" s="120"/>
      <c r="HMW3" s="120"/>
      <c r="HMX3" s="120"/>
      <c r="HMY3" s="120"/>
      <c r="HMZ3" s="120"/>
      <c r="HNA3" s="120"/>
      <c r="HNB3" s="120"/>
      <c r="HNC3" s="120"/>
      <c r="HND3" s="120"/>
      <c r="HNE3" s="120"/>
      <c r="HNF3" s="120"/>
      <c r="HNG3" s="120"/>
      <c r="HNH3" s="120"/>
      <c r="HNI3" s="120"/>
      <c r="HNJ3" s="120"/>
      <c r="HNK3" s="120"/>
      <c r="HNL3" s="120"/>
      <c r="HNM3" s="120"/>
      <c r="HNN3" s="120"/>
      <c r="HNO3" s="120"/>
      <c r="HNP3" s="120"/>
      <c r="HNQ3" s="120"/>
      <c r="HNR3" s="120"/>
      <c r="HNS3" s="120"/>
      <c r="HNT3" s="120"/>
      <c r="HNU3" s="120"/>
      <c r="HNV3" s="120"/>
      <c r="HNW3" s="120"/>
      <c r="HNX3" s="120"/>
      <c r="HNY3" s="120"/>
      <c r="HNZ3" s="120"/>
      <c r="HOA3" s="120"/>
      <c r="HOB3" s="120"/>
      <c r="HOC3" s="120"/>
      <c r="HOD3" s="120"/>
      <c r="HOE3" s="120"/>
      <c r="HOF3" s="120"/>
      <c r="HOG3" s="120"/>
      <c r="HOH3" s="120"/>
      <c r="HOI3" s="120"/>
      <c r="HOJ3" s="120"/>
      <c r="HOK3" s="120"/>
      <c r="HOL3" s="120"/>
      <c r="HOM3" s="120"/>
      <c r="HON3" s="120"/>
      <c r="HOO3" s="120"/>
      <c r="HOP3" s="120"/>
      <c r="HOQ3" s="120"/>
      <c r="HOR3" s="120"/>
      <c r="HOS3" s="120"/>
      <c r="HOT3" s="120"/>
      <c r="HOU3" s="120"/>
      <c r="HOV3" s="120"/>
      <c r="HOW3" s="120"/>
      <c r="HOX3" s="120"/>
      <c r="HOY3" s="120"/>
      <c r="HOZ3" s="120"/>
      <c r="HPA3" s="120"/>
      <c r="HPB3" s="120"/>
      <c r="HPC3" s="120"/>
      <c r="HPD3" s="120"/>
      <c r="HPE3" s="120"/>
      <c r="HPF3" s="120"/>
      <c r="HPG3" s="120"/>
      <c r="HPH3" s="120"/>
      <c r="HPI3" s="120"/>
      <c r="HPJ3" s="120"/>
      <c r="HPK3" s="120"/>
      <c r="HPL3" s="120"/>
      <c r="HPM3" s="120"/>
      <c r="HPN3" s="120"/>
      <c r="HPO3" s="120"/>
      <c r="HPP3" s="120"/>
      <c r="HPQ3" s="120"/>
      <c r="HPR3" s="120"/>
      <c r="HPS3" s="120"/>
      <c r="HPT3" s="120"/>
      <c r="HPU3" s="120"/>
      <c r="HPV3" s="120"/>
      <c r="HPW3" s="120"/>
      <c r="HPX3" s="120"/>
      <c r="HPY3" s="120"/>
      <c r="HPZ3" s="120"/>
      <c r="HQA3" s="120"/>
      <c r="HQB3" s="120"/>
      <c r="HQC3" s="120"/>
      <c r="HQD3" s="120"/>
      <c r="HQE3" s="120"/>
      <c r="HQF3" s="120"/>
      <c r="HQG3" s="120"/>
      <c r="HQH3" s="120"/>
      <c r="HQI3" s="120"/>
      <c r="HQJ3" s="120"/>
      <c r="HQK3" s="120"/>
      <c r="HQL3" s="120"/>
      <c r="HQM3" s="120"/>
      <c r="HQN3" s="120"/>
      <c r="HQO3" s="120"/>
      <c r="HQP3" s="120"/>
      <c r="HQQ3" s="120"/>
      <c r="HQR3" s="120"/>
      <c r="HQS3" s="120"/>
      <c r="HQT3" s="120"/>
      <c r="HQU3" s="120"/>
      <c r="HQV3" s="120"/>
      <c r="HQW3" s="120"/>
      <c r="HQX3" s="120"/>
      <c r="HQY3" s="120"/>
      <c r="HQZ3" s="120"/>
      <c r="HRA3" s="120"/>
      <c r="HRB3" s="120"/>
      <c r="HRC3" s="120"/>
      <c r="HRD3" s="120"/>
      <c r="HRE3" s="120"/>
      <c r="HRF3" s="120"/>
      <c r="HRG3" s="120"/>
      <c r="HRH3" s="120"/>
      <c r="HRI3" s="120"/>
      <c r="HRJ3" s="120"/>
      <c r="HRK3" s="120"/>
      <c r="HRL3" s="120"/>
      <c r="HRM3" s="120"/>
      <c r="HRN3" s="120"/>
      <c r="HRO3" s="120"/>
      <c r="HRP3" s="120"/>
      <c r="HRQ3" s="120"/>
      <c r="HRR3" s="120"/>
      <c r="HRS3" s="120"/>
      <c r="HRT3" s="120"/>
      <c r="HRU3" s="120"/>
      <c r="HRV3" s="120"/>
      <c r="HRW3" s="120"/>
      <c r="HRX3" s="120"/>
      <c r="HRY3" s="120"/>
      <c r="HRZ3" s="120"/>
      <c r="HSA3" s="120"/>
      <c r="HSB3" s="120"/>
      <c r="HSC3" s="120"/>
      <c r="HSD3" s="120"/>
      <c r="HSE3" s="120"/>
      <c r="HSF3" s="120"/>
      <c r="HSG3" s="120"/>
      <c r="HSH3" s="120"/>
      <c r="HSI3" s="120"/>
      <c r="HSJ3" s="120"/>
      <c r="HSK3" s="120"/>
      <c r="HSL3" s="120"/>
      <c r="HSM3" s="120"/>
      <c r="HSN3" s="120"/>
      <c r="HSO3" s="120"/>
      <c r="HSP3" s="120"/>
      <c r="HSQ3" s="120"/>
      <c r="HSR3" s="120"/>
      <c r="HSS3" s="120"/>
      <c r="HST3" s="120"/>
      <c r="HSU3" s="120"/>
      <c r="HSV3" s="120"/>
      <c r="HSW3" s="120"/>
      <c r="HSX3" s="120"/>
      <c r="HSY3" s="120"/>
      <c r="HSZ3" s="120"/>
      <c r="HTA3" s="120"/>
      <c r="HTB3" s="120"/>
      <c r="HTC3" s="120"/>
      <c r="HTD3" s="120"/>
      <c r="HTE3" s="120"/>
      <c r="HTF3" s="120"/>
      <c r="HTG3" s="120"/>
      <c r="HTH3" s="120"/>
      <c r="HTI3" s="120"/>
      <c r="HTJ3" s="120"/>
      <c r="HTK3" s="120"/>
      <c r="HTL3" s="120"/>
      <c r="HTM3" s="120"/>
      <c r="HTN3" s="120"/>
      <c r="HTO3" s="120"/>
      <c r="HTP3" s="120"/>
      <c r="HTQ3" s="120"/>
      <c r="HTR3" s="120"/>
      <c r="HTS3" s="120"/>
      <c r="HTT3" s="120"/>
      <c r="HTU3" s="120"/>
      <c r="HTV3" s="120"/>
      <c r="HTW3" s="120"/>
      <c r="HTX3" s="120"/>
      <c r="HTY3" s="120"/>
      <c r="HTZ3" s="120"/>
      <c r="HUA3" s="120"/>
      <c r="HUB3" s="120"/>
      <c r="HUC3" s="120"/>
      <c r="HUD3" s="120"/>
      <c r="HUE3" s="120"/>
      <c r="HUF3" s="120"/>
      <c r="HUG3" s="120"/>
      <c r="HUH3" s="120"/>
      <c r="HUI3" s="120"/>
      <c r="HUJ3" s="120"/>
      <c r="HUK3" s="120"/>
      <c r="HUL3" s="120"/>
      <c r="HUM3" s="120"/>
      <c r="HUN3" s="120"/>
      <c r="HUO3" s="120"/>
      <c r="HUP3" s="120"/>
      <c r="HUQ3" s="120"/>
      <c r="HUR3" s="120"/>
      <c r="HUS3" s="120"/>
      <c r="HUT3" s="120"/>
      <c r="HUU3" s="120"/>
      <c r="HUV3" s="120"/>
      <c r="HUW3" s="120"/>
      <c r="HUX3" s="120"/>
      <c r="HUY3" s="120"/>
      <c r="HUZ3" s="120"/>
      <c r="HVA3" s="120"/>
      <c r="HVB3" s="120"/>
      <c r="HVC3" s="120"/>
      <c r="HVD3" s="120"/>
      <c r="HVE3" s="120"/>
      <c r="HVF3" s="120"/>
      <c r="HVG3" s="120"/>
      <c r="HVH3" s="120"/>
      <c r="HVI3" s="120"/>
      <c r="HVJ3" s="120"/>
      <c r="HVK3" s="120"/>
      <c r="HVL3" s="120"/>
      <c r="HVM3" s="120"/>
      <c r="HVN3" s="120"/>
      <c r="HVO3" s="120"/>
      <c r="HVP3" s="120"/>
      <c r="HVQ3" s="120"/>
      <c r="HVR3" s="120"/>
      <c r="HVS3" s="120"/>
      <c r="HVT3" s="120"/>
      <c r="HVU3" s="120"/>
      <c r="HVV3" s="120"/>
      <c r="HVW3" s="120"/>
      <c r="HVX3" s="120"/>
      <c r="HVY3" s="120"/>
      <c r="HVZ3" s="120"/>
      <c r="HWA3" s="120"/>
      <c r="HWB3" s="120"/>
      <c r="HWC3" s="120"/>
      <c r="HWD3" s="120"/>
      <c r="HWE3" s="120"/>
      <c r="HWF3" s="120"/>
      <c r="HWG3" s="120"/>
      <c r="HWH3" s="120"/>
      <c r="HWI3" s="120"/>
      <c r="HWJ3" s="120"/>
      <c r="HWK3" s="120"/>
      <c r="HWL3" s="120"/>
      <c r="HWM3" s="120"/>
      <c r="HWN3" s="120"/>
      <c r="HWO3" s="120"/>
      <c r="HWP3" s="120"/>
      <c r="HWQ3" s="120"/>
      <c r="HWR3" s="120"/>
      <c r="HWS3" s="120"/>
      <c r="HWT3" s="120"/>
      <c r="HWU3" s="120"/>
      <c r="HWV3" s="120"/>
      <c r="HWW3" s="120"/>
      <c r="HWX3" s="120"/>
      <c r="HWY3" s="120"/>
      <c r="HWZ3" s="120"/>
      <c r="HXA3" s="120"/>
      <c r="HXB3" s="120"/>
      <c r="HXC3" s="120"/>
      <c r="HXD3" s="120"/>
      <c r="HXE3" s="120"/>
      <c r="HXF3" s="120"/>
      <c r="HXG3" s="120"/>
      <c r="HXH3" s="120"/>
      <c r="HXI3" s="120"/>
      <c r="HXJ3" s="120"/>
      <c r="HXK3" s="120"/>
      <c r="HXL3" s="120"/>
      <c r="HXM3" s="120"/>
      <c r="HXN3" s="120"/>
      <c r="HXO3" s="120"/>
      <c r="HXP3" s="120"/>
      <c r="HXQ3" s="120"/>
      <c r="HXR3" s="120"/>
      <c r="HXS3" s="120"/>
      <c r="HXT3" s="120"/>
      <c r="HXU3" s="120"/>
      <c r="HXV3" s="120"/>
      <c r="HXW3" s="120"/>
      <c r="HXX3" s="120"/>
      <c r="HXY3" s="120"/>
      <c r="HXZ3" s="120"/>
      <c r="HYA3" s="120"/>
      <c r="HYB3" s="120"/>
      <c r="HYC3" s="120"/>
      <c r="HYD3" s="120"/>
      <c r="HYE3" s="120"/>
      <c r="HYF3" s="120"/>
      <c r="HYG3" s="120"/>
      <c r="HYH3" s="120"/>
      <c r="HYI3" s="120"/>
      <c r="HYJ3" s="120"/>
      <c r="HYK3" s="120"/>
      <c r="HYL3" s="120"/>
      <c r="HYM3" s="120"/>
      <c r="HYN3" s="120"/>
      <c r="HYO3" s="120"/>
      <c r="HYP3" s="120"/>
      <c r="HYQ3" s="120"/>
      <c r="HYR3" s="120"/>
      <c r="HYS3" s="120"/>
      <c r="HYT3" s="120"/>
      <c r="HYU3" s="120"/>
      <c r="HYV3" s="120"/>
      <c r="HYW3" s="120"/>
      <c r="HYX3" s="120"/>
      <c r="HYY3" s="120"/>
      <c r="HYZ3" s="120"/>
      <c r="HZA3" s="120"/>
      <c r="HZB3" s="120"/>
      <c r="HZC3" s="120"/>
      <c r="HZD3" s="120"/>
      <c r="HZE3" s="120"/>
      <c r="HZF3" s="120"/>
      <c r="HZG3" s="120"/>
      <c r="HZH3" s="120"/>
      <c r="HZI3" s="120"/>
      <c r="HZJ3" s="120"/>
      <c r="HZK3" s="120"/>
      <c r="HZL3" s="120"/>
      <c r="HZM3" s="120"/>
      <c r="HZN3" s="120"/>
      <c r="HZO3" s="120"/>
      <c r="HZP3" s="120"/>
      <c r="HZQ3" s="120"/>
      <c r="HZR3" s="120"/>
      <c r="HZS3" s="120"/>
      <c r="HZT3" s="120"/>
      <c r="HZU3" s="120"/>
      <c r="HZV3" s="120"/>
      <c r="HZW3" s="120"/>
      <c r="HZX3" s="120"/>
      <c r="HZY3" s="120"/>
      <c r="HZZ3" s="120"/>
      <c r="IAA3" s="120"/>
      <c r="IAB3" s="120"/>
      <c r="IAC3" s="120"/>
      <c r="IAD3" s="120"/>
      <c r="IAE3" s="120"/>
      <c r="IAF3" s="120"/>
      <c r="IAG3" s="120"/>
      <c r="IAH3" s="120"/>
      <c r="IAI3" s="120"/>
      <c r="IAJ3" s="120"/>
      <c r="IAK3" s="120"/>
      <c r="IAL3" s="120"/>
      <c r="IAM3" s="120"/>
      <c r="IAN3" s="120"/>
      <c r="IAO3" s="120"/>
      <c r="IAP3" s="120"/>
      <c r="IAQ3" s="120"/>
      <c r="IAR3" s="120"/>
      <c r="IAS3" s="120"/>
      <c r="IAT3" s="120"/>
      <c r="IAU3" s="120"/>
      <c r="IAV3" s="120"/>
      <c r="IAW3" s="120"/>
      <c r="IAX3" s="120"/>
      <c r="IAY3" s="120"/>
      <c r="IAZ3" s="120"/>
      <c r="IBA3" s="120"/>
      <c r="IBB3" s="120"/>
      <c r="IBC3" s="120"/>
      <c r="IBD3" s="120"/>
      <c r="IBE3" s="120"/>
      <c r="IBF3" s="120"/>
      <c r="IBG3" s="120"/>
      <c r="IBH3" s="120"/>
      <c r="IBI3" s="120"/>
      <c r="IBJ3" s="120"/>
      <c r="IBK3" s="120"/>
      <c r="IBL3" s="120"/>
      <c r="IBM3" s="120"/>
      <c r="IBN3" s="120"/>
      <c r="IBO3" s="120"/>
      <c r="IBP3" s="120"/>
      <c r="IBQ3" s="120"/>
      <c r="IBR3" s="120"/>
      <c r="IBS3" s="120"/>
      <c r="IBT3" s="120"/>
      <c r="IBU3" s="120"/>
      <c r="IBV3" s="120"/>
      <c r="IBW3" s="120"/>
      <c r="IBX3" s="120"/>
      <c r="IBY3" s="120"/>
      <c r="IBZ3" s="120"/>
      <c r="ICA3" s="120"/>
      <c r="ICB3" s="120"/>
      <c r="ICC3" s="120"/>
      <c r="ICD3" s="120"/>
      <c r="ICE3" s="120"/>
      <c r="ICF3" s="120"/>
      <c r="ICG3" s="120"/>
      <c r="ICH3" s="120"/>
      <c r="ICI3" s="120"/>
      <c r="ICJ3" s="120"/>
      <c r="ICK3" s="120"/>
      <c r="ICL3" s="120"/>
      <c r="ICM3" s="120"/>
      <c r="ICN3" s="120"/>
      <c r="ICO3" s="120"/>
      <c r="ICP3" s="120"/>
      <c r="ICQ3" s="120"/>
      <c r="ICR3" s="120"/>
      <c r="ICS3" s="120"/>
      <c r="ICT3" s="120"/>
      <c r="ICU3" s="120"/>
      <c r="ICV3" s="120"/>
      <c r="ICW3" s="120"/>
      <c r="ICX3" s="120"/>
      <c r="ICY3" s="120"/>
      <c r="ICZ3" s="120"/>
      <c r="IDA3" s="120"/>
      <c r="IDB3" s="120"/>
      <c r="IDC3" s="120"/>
      <c r="IDD3" s="120"/>
      <c r="IDE3" s="120"/>
      <c r="IDF3" s="120"/>
      <c r="IDG3" s="120"/>
      <c r="IDH3" s="120"/>
      <c r="IDI3" s="120"/>
      <c r="IDJ3" s="120"/>
      <c r="IDK3" s="120"/>
      <c r="IDL3" s="120"/>
      <c r="IDM3" s="120"/>
      <c r="IDN3" s="120"/>
      <c r="IDO3" s="120"/>
      <c r="IDP3" s="120"/>
      <c r="IDQ3" s="120"/>
      <c r="IDR3" s="120"/>
      <c r="IDS3" s="120"/>
      <c r="IDT3" s="120"/>
      <c r="IDU3" s="120"/>
      <c r="IDV3" s="120"/>
      <c r="IDW3" s="120"/>
      <c r="IDX3" s="120"/>
      <c r="IDY3" s="120"/>
      <c r="IDZ3" s="120"/>
      <c r="IEA3" s="120"/>
      <c r="IEB3" s="120"/>
      <c r="IEC3" s="120"/>
      <c r="IED3" s="120"/>
      <c r="IEE3" s="120"/>
      <c r="IEF3" s="120"/>
      <c r="IEG3" s="120"/>
      <c r="IEH3" s="120"/>
      <c r="IEI3" s="120"/>
      <c r="IEJ3" s="120"/>
      <c r="IEK3" s="120"/>
      <c r="IEL3" s="120"/>
      <c r="IEM3" s="120"/>
      <c r="IEN3" s="120"/>
      <c r="IEO3" s="120"/>
      <c r="IEP3" s="120"/>
      <c r="IEQ3" s="120"/>
      <c r="IER3" s="120"/>
      <c r="IES3" s="120"/>
      <c r="IET3" s="120"/>
      <c r="IEU3" s="120"/>
      <c r="IEV3" s="120"/>
      <c r="IEW3" s="120"/>
      <c r="IEX3" s="120"/>
      <c r="IEY3" s="120"/>
      <c r="IEZ3" s="120"/>
      <c r="IFA3" s="120"/>
      <c r="IFB3" s="120"/>
      <c r="IFC3" s="120"/>
      <c r="IFD3" s="120"/>
      <c r="IFE3" s="120"/>
      <c r="IFF3" s="120"/>
      <c r="IFG3" s="120"/>
      <c r="IFH3" s="120"/>
      <c r="IFI3" s="120"/>
      <c r="IFJ3" s="120"/>
      <c r="IFK3" s="120"/>
      <c r="IFL3" s="120"/>
      <c r="IFM3" s="120"/>
      <c r="IFN3" s="120"/>
      <c r="IFO3" s="120"/>
      <c r="IFP3" s="120"/>
      <c r="IFQ3" s="120"/>
      <c r="IFR3" s="120"/>
      <c r="IFS3" s="120"/>
      <c r="IFT3" s="120"/>
      <c r="IFU3" s="120"/>
      <c r="IFV3" s="120"/>
      <c r="IFW3" s="120"/>
      <c r="IFX3" s="120"/>
      <c r="IFY3" s="120"/>
      <c r="IFZ3" s="120"/>
      <c r="IGA3" s="120"/>
      <c r="IGB3" s="120"/>
      <c r="IGC3" s="120"/>
      <c r="IGD3" s="120"/>
      <c r="IGE3" s="120"/>
      <c r="IGF3" s="120"/>
      <c r="IGG3" s="120"/>
      <c r="IGH3" s="120"/>
      <c r="IGI3" s="120"/>
      <c r="IGJ3" s="120"/>
      <c r="IGK3" s="120"/>
      <c r="IGL3" s="120"/>
      <c r="IGM3" s="120"/>
      <c r="IGN3" s="120"/>
      <c r="IGO3" s="120"/>
      <c r="IGP3" s="120"/>
      <c r="IGQ3" s="120"/>
      <c r="IGR3" s="120"/>
      <c r="IGS3" s="120"/>
      <c r="IGT3" s="120"/>
      <c r="IGU3" s="120"/>
      <c r="IGV3" s="120"/>
      <c r="IGW3" s="120"/>
      <c r="IGX3" s="120"/>
      <c r="IGY3" s="120"/>
      <c r="IGZ3" s="120"/>
      <c r="IHA3" s="120"/>
      <c r="IHB3" s="120"/>
      <c r="IHC3" s="120"/>
      <c r="IHD3" s="120"/>
      <c r="IHE3" s="120"/>
      <c r="IHF3" s="120"/>
      <c r="IHG3" s="120"/>
      <c r="IHH3" s="120"/>
      <c r="IHI3" s="120"/>
      <c r="IHJ3" s="120"/>
      <c r="IHK3" s="120"/>
      <c r="IHL3" s="120"/>
      <c r="IHM3" s="120"/>
      <c r="IHN3" s="120"/>
      <c r="IHO3" s="120"/>
      <c r="IHP3" s="120"/>
      <c r="IHQ3" s="120"/>
      <c r="IHR3" s="120"/>
      <c r="IHS3" s="120"/>
      <c r="IHT3" s="120"/>
      <c r="IHU3" s="120"/>
      <c r="IHV3" s="120"/>
      <c r="IHW3" s="120"/>
      <c r="IHX3" s="120"/>
      <c r="IHY3" s="120"/>
      <c r="IHZ3" s="120"/>
      <c r="IIA3" s="120"/>
      <c r="IIB3" s="120"/>
      <c r="IIC3" s="120"/>
      <c r="IID3" s="120"/>
      <c r="IIE3" s="120"/>
      <c r="IIF3" s="120"/>
      <c r="IIG3" s="120"/>
      <c r="IIH3" s="120"/>
      <c r="III3" s="120"/>
      <c r="IIJ3" s="120"/>
      <c r="IIK3" s="120"/>
      <c r="IIL3" s="120"/>
      <c r="IIM3" s="120"/>
      <c r="IIN3" s="120"/>
      <c r="IIO3" s="120"/>
      <c r="IIP3" s="120"/>
      <c r="IIQ3" s="120"/>
      <c r="IIR3" s="120"/>
      <c r="IIS3" s="120"/>
      <c r="IIT3" s="120"/>
      <c r="IIU3" s="120"/>
      <c r="IIV3" s="120"/>
      <c r="IIW3" s="120"/>
      <c r="IIX3" s="120"/>
      <c r="IIY3" s="120"/>
      <c r="IIZ3" s="120"/>
      <c r="IJA3" s="120"/>
      <c r="IJB3" s="120"/>
      <c r="IJC3" s="120"/>
      <c r="IJD3" s="120"/>
      <c r="IJE3" s="120"/>
      <c r="IJF3" s="120"/>
      <c r="IJG3" s="120"/>
      <c r="IJH3" s="120"/>
      <c r="IJI3" s="120"/>
      <c r="IJJ3" s="120"/>
      <c r="IJK3" s="120"/>
      <c r="IJL3" s="120"/>
      <c r="IJM3" s="120"/>
      <c r="IJN3" s="120"/>
      <c r="IJO3" s="120"/>
      <c r="IJP3" s="120"/>
      <c r="IJQ3" s="120"/>
      <c r="IJR3" s="120"/>
      <c r="IJS3" s="120"/>
      <c r="IJT3" s="120"/>
      <c r="IJU3" s="120"/>
      <c r="IJV3" s="120"/>
      <c r="IJW3" s="120"/>
      <c r="IJX3" s="120"/>
      <c r="IJY3" s="120"/>
      <c r="IJZ3" s="120"/>
      <c r="IKA3" s="120"/>
      <c r="IKB3" s="120"/>
      <c r="IKC3" s="120"/>
      <c r="IKD3" s="120"/>
      <c r="IKE3" s="120"/>
      <c r="IKF3" s="120"/>
      <c r="IKG3" s="120"/>
      <c r="IKH3" s="120"/>
      <c r="IKI3" s="120"/>
      <c r="IKJ3" s="120"/>
      <c r="IKK3" s="120"/>
      <c r="IKL3" s="120"/>
      <c r="IKM3" s="120"/>
      <c r="IKN3" s="120"/>
      <c r="IKO3" s="120"/>
      <c r="IKP3" s="120"/>
      <c r="IKQ3" s="120"/>
      <c r="IKR3" s="120"/>
      <c r="IKS3" s="120"/>
      <c r="IKT3" s="120"/>
      <c r="IKU3" s="120"/>
      <c r="IKV3" s="120"/>
      <c r="IKW3" s="120"/>
      <c r="IKX3" s="120"/>
      <c r="IKY3" s="120"/>
      <c r="IKZ3" s="120"/>
      <c r="ILA3" s="120"/>
      <c r="ILB3" s="120"/>
      <c r="ILC3" s="120"/>
      <c r="ILD3" s="120"/>
      <c r="ILE3" s="120"/>
      <c r="ILF3" s="120"/>
      <c r="ILG3" s="120"/>
      <c r="ILH3" s="120"/>
      <c r="ILI3" s="120"/>
      <c r="ILJ3" s="120"/>
      <c r="ILK3" s="120"/>
      <c r="ILL3" s="120"/>
      <c r="ILM3" s="120"/>
      <c r="ILN3" s="120"/>
      <c r="ILO3" s="120"/>
      <c r="ILP3" s="120"/>
      <c r="ILQ3" s="120"/>
      <c r="ILR3" s="120"/>
      <c r="ILS3" s="120"/>
      <c r="ILT3" s="120"/>
      <c r="ILU3" s="120"/>
      <c r="ILV3" s="120"/>
      <c r="ILW3" s="120"/>
      <c r="ILX3" s="120"/>
      <c r="ILY3" s="120"/>
      <c r="ILZ3" s="120"/>
      <c r="IMA3" s="120"/>
      <c r="IMB3" s="120"/>
      <c r="IMC3" s="120"/>
      <c r="IMD3" s="120"/>
      <c r="IME3" s="120"/>
      <c r="IMF3" s="120"/>
      <c r="IMG3" s="120"/>
      <c r="IMH3" s="120"/>
      <c r="IMI3" s="120"/>
      <c r="IMJ3" s="120"/>
      <c r="IMK3" s="120"/>
      <c r="IML3" s="120"/>
      <c r="IMM3" s="120"/>
      <c r="IMN3" s="120"/>
      <c r="IMO3" s="120"/>
      <c r="IMP3" s="120"/>
      <c r="IMQ3" s="120"/>
      <c r="IMR3" s="120"/>
      <c r="IMS3" s="120"/>
      <c r="IMT3" s="120"/>
      <c r="IMU3" s="120"/>
      <c r="IMV3" s="120"/>
      <c r="IMW3" s="120"/>
      <c r="IMX3" s="120"/>
      <c r="IMY3" s="120"/>
      <c r="IMZ3" s="120"/>
      <c r="INA3" s="120"/>
      <c r="INB3" s="120"/>
      <c r="INC3" s="120"/>
      <c r="IND3" s="120"/>
      <c r="INE3" s="120"/>
      <c r="INF3" s="120"/>
      <c r="ING3" s="120"/>
      <c r="INH3" s="120"/>
      <c r="INI3" s="120"/>
      <c r="INJ3" s="120"/>
      <c r="INK3" s="120"/>
      <c r="INL3" s="120"/>
      <c r="INM3" s="120"/>
      <c r="INN3" s="120"/>
      <c r="INO3" s="120"/>
      <c r="INP3" s="120"/>
      <c r="INQ3" s="120"/>
      <c r="INR3" s="120"/>
      <c r="INS3" s="120"/>
      <c r="INT3" s="120"/>
      <c r="INU3" s="120"/>
      <c r="INV3" s="120"/>
      <c r="INW3" s="120"/>
      <c r="INX3" s="120"/>
      <c r="INY3" s="120"/>
      <c r="INZ3" s="120"/>
      <c r="IOA3" s="120"/>
      <c r="IOB3" s="120"/>
      <c r="IOC3" s="120"/>
      <c r="IOD3" s="120"/>
      <c r="IOE3" s="120"/>
      <c r="IOF3" s="120"/>
      <c r="IOG3" s="120"/>
      <c r="IOH3" s="120"/>
      <c r="IOI3" s="120"/>
      <c r="IOJ3" s="120"/>
      <c r="IOK3" s="120"/>
      <c r="IOL3" s="120"/>
      <c r="IOM3" s="120"/>
      <c r="ION3" s="120"/>
      <c r="IOO3" s="120"/>
      <c r="IOP3" s="120"/>
      <c r="IOQ3" s="120"/>
      <c r="IOR3" s="120"/>
      <c r="IOS3" s="120"/>
      <c r="IOT3" s="120"/>
      <c r="IOU3" s="120"/>
      <c r="IOV3" s="120"/>
      <c r="IOW3" s="120"/>
      <c r="IOX3" s="120"/>
      <c r="IOY3" s="120"/>
      <c r="IOZ3" s="120"/>
      <c r="IPA3" s="120"/>
      <c r="IPB3" s="120"/>
      <c r="IPC3" s="120"/>
      <c r="IPD3" s="120"/>
      <c r="IPE3" s="120"/>
      <c r="IPF3" s="120"/>
      <c r="IPG3" s="120"/>
      <c r="IPH3" s="120"/>
      <c r="IPI3" s="120"/>
      <c r="IPJ3" s="120"/>
      <c r="IPK3" s="120"/>
      <c r="IPL3" s="120"/>
      <c r="IPM3" s="120"/>
      <c r="IPN3" s="120"/>
      <c r="IPO3" s="120"/>
      <c r="IPP3" s="120"/>
      <c r="IPQ3" s="120"/>
      <c r="IPR3" s="120"/>
      <c r="IPS3" s="120"/>
      <c r="IPT3" s="120"/>
      <c r="IPU3" s="120"/>
      <c r="IPV3" s="120"/>
      <c r="IPW3" s="120"/>
      <c r="IPX3" s="120"/>
      <c r="IPY3" s="120"/>
      <c r="IPZ3" s="120"/>
      <c r="IQA3" s="120"/>
      <c r="IQB3" s="120"/>
      <c r="IQC3" s="120"/>
      <c r="IQD3" s="120"/>
      <c r="IQE3" s="120"/>
      <c r="IQF3" s="120"/>
      <c r="IQG3" s="120"/>
      <c r="IQH3" s="120"/>
      <c r="IQI3" s="120"/>
      <c r="IQJ3" s="120"/>
      <c r="IQK3" s="120"/>
      <c r="IQL3" s="120"/>
      <c r="IQM3" s="120"/>
      <c r="IQN3" s="120"/>
      <c r="IQO3" s="120"/>
      <c r="IQP3" s="120"/>
      <c r="IQQ3" s="120"/>
      <c r="IQR3" s="120"/>
      <c r="IQS3" s="120"/>
      <c r="IQT3" s="120"/>
      <c r="IQU3" s="120"/>
      <c r="IQV3" s="120"/>
      <c r="IQW3" s="120"/>
      <c r="IQX3" s="120"/>
      <c r="IQY3" s="120"/>
      <c r="IQZ3" s="120"/>
      <c r="IRA3" s="120"/>
      <c r="IRB3" s="120"/>
      <c r="IRC3" s="120"/>
      <c r="IRD3" s="120"/>
      <c r="IRE3" s="120"/>
      <c r="IRF3" s="120"/>
      <c r="IRG3" s="120"/>
      <c r="IRH3" s="120"/>
      <c r="IRI3" s="120"/>
      <c r="IRJ3" s="120"/>
      <c r="IRK3" s="120"/>
      <c r="IRL3" s="120"/>
      <c r="IRM3" s="120"/>
      <c r="IRN3" s="120"/>
      <c r="IRO3" s="120"/>
      <c r="IRP3" s="120"/>
      <c r="IRQ3" s="120"/>
      <c r="IRR3" s="120"/>
      <c r="IRS3" s="120"/>
      <c r="IRT3" s="120"/>
      <c r="IRU3" s="120"/>
      <c r="IRV3" s="120"/>
      <c r="IRW3" s="120"/>
      <c r="IRX3" s="120"/>
      <c r="IRY3" s="120"/>
      <c r="IRZ3" s="120"/>
      <c r="ISA3" s="120"/>
      <c r="ISB3" s="120"/>
      <c r="ISC3" s="120"/>
      <c r="ISD3" s="120"/>
      <c r="ISE3" s="120"/>
      <c r="ISF3" s="120"/>
      <c r="ISG3" s="120"/>
      <c r="ISH3" s="120"/>
      <c r="ISI3" s="120"/>
      <c r="ISJ3" s="120"/>
      <c r="ISK3" s="120"/>
      <c r="ISL3" s="120"/>
      <c r="ISM3" s="120"/>
      <c r="ISN3" s="120"/>
      <c r="ISO3" s="120"/>
      <c r="ISP3" s="120"/>
      <c r="ISQ3" s="120"/>
      <c r="ISR3" s="120"/>
      <c r="ISS3" s="120"/>
      <c r="IST3" s="120"/>
      <c r="ISU3" s="120"/>
      <c r="ISV3" s="120"/>
      <c r="ISW3" s="120"/>
      <c r="ISX3" s="120"/>
      <c r="ISY3" s="120"/>
      <c r="ISZ3" s="120"/>
      <c r="ITA3" s="120"/>
      <c r="ITB3" s="120"/>
      <c r="ITC3" s="120"/>
      <c r="ITD3" s="120"/>
      <c r="ITE3" s="120"/>
      <c r="ITF3" s="120"/>
      <c r="ITG3" s="120"/>
      <c r="ITH3" s="120"/>
      <c r="ITI3" s="120"/>
      <c r="ITJ3" s="120"/>
      <c r="ITK3" s="120"/>
      <c r="ITL3" s="120"/>
      <c r="ITM3" s="120"/>
      <c r="ITN3" s="120"/>
      <c r="ITO3" s="120"/>
      <c r="ITP3" s="120"/>
      <c r="ITQ3" s="120"/>
      <c r="ITR3" s="120"/>
      <c r="ITS3" s="120"/>
      <c r="ITT3" s="120"/>
      <c r="ITU3" s="120"/>
      <c r="ITV3" s="120"/>
      <c r="ITW3" s="120"/>
      <c r="ITX3" s="120"/>
      <c r="ITY3" s="120"/>
      <c r="ITZ3" s="120"/>
      <c r="IUA3" s="120"/>
      <c r="IUB3" s="120"/>
      <c r="IUC3" s="120"/>
      <c r="IUD3" s="120"/>
      <c r="IUE3" s="120"/>
      <c r="IUF3" s="120"/>
      <c r="IUG3" s="120"/>
      <c r="IUH3" s="120"/>
      <c r="IUI3" s="120"/>
      <c r="IUJ3" s="120"/>
      <c r="IUK3" s="120"/>
      <c r="IUL3" s="120"/>
      <c r="IUM3" s="120"/>
      <c r="IUN3" s="120"/>
      <c r="IUO3" s="120"/>
      <c r="IUP3" s="120"/>
      <c r="IUQ3" s="120"/>
      <c r="IUR3" s="120"/>
      <c r="IUS3" s="120"/>
      <c r="IUT3" s="120"/>
      <c r="IUU3" s="120"/>
      <c r="IUV3" s="120"/>
      <c r="IUW3" s="120"/>
      <c r="IUX3" s="120"/>
      <c r="IUY3" s="120"/>
      <c r="IUZ3" s="120"/>
      <c r="IVA3" s="120"/>
      <c r="IVB3" s="120"/>
      <c r="IVC3" s="120"/>
      <c r="IVD3" s="120"/>
      <c r="IVE3" s="120"/>
      <c r="IVF3" s="120"/>
      <c r="IVG3" s="120"/>
      <c r="IVH3" s="120"/>
      <c r="IVI3" s="120"/>
      <c r="IVJ3" s="120"/>
      <c r="IVK3" s="120"/>
      <c r="IVL3" s="120"/>
      <c r="IVM3" s="120"/>
      <c r="IVN3" s="120"/>
      <c r="IVO3" s="120"/>
      <c r="IVP3" s="120"/>
      <c r="IVQ3" s="120"/>
      <c r="IVR3" s="120"/>
      <c r="IVS3" s="120"/>
      <c r="IVT3" s="120"/>
      <c r="IVU3" s="120"/>
      <c r="IVV3" s="120"/>
      <c r="IVW3" s="120"/>
      <c r="IVX3" s="120"/>
      <c r="IVY3" s="120"/>
      <c r="IVZ3" s="120"/>
      <c r="IWA3" s="120"/>
      <c r="IWB3" s="120"/>
      <c r="IWC3" s="120"/>
      <c r="IWD3" s="120"/>
      <c r="IWE3" s="120"/>
      <c r="IWF3" s="120"/>
      <c r="IWG3" s="120"/>
      <c r="IWH3" s="120"/>
      <c r="IWI3" s="120"/>
      <c r="IWJ3" s="120"/>
      <c r="IWK3" s="120"/>
      <c r="IWL3" s="120"/>
      <c r="IWM3" s="120"/>
      <c r="IWN3" s="120"/>
      <c r="IWO3" s="120"/>
      <c r="IWP3" s="120"/>
      <c r="IWQ3" s="120"/>
      <c r="IWR3" s="120"/>
      <c r="IWS3" s="120"/>
      <c r="IWT3" s="120"/>
      <c r="IWU3" s="120"/>
      <c r="IWV3" s="120"/>
      <c r="IWW3" s="120"/>
      <c r="IWX3" s="120"/>
      <c r="IWY3" s="120"/>
      <c r="IWZ3" s="120"/>
      <c r="IXA3" s="120"/>
      <c r="IXB3" s="120"/>
      <c r="IXC3" s="120"/>
      <c r="IXD3" s="120"/>
      <c r="IXE3" s="120"/>
      <c r="IXF3" s="120"/>
      <c r="IXG3" s="120"/>
      <c r="IXH3" s="120"/>
      <c r="IXI3" s="120"/>
      <c r="IXJ3" s="120"/>
      <c r="IXK3" s="120"/>
      <c r="IXL3" s="120"/>
      <c r="IXM3" s="120"/>
      <c r="IXN3" s="120"/>
      <c r="IXO3" s="120"/>
      <c r="IXP3" s="120"/>
      <c r="IXQ3" s="120"/>
      <c r="IXR3" s="120"/>
      <c r="IXS3" s="120"/>
      <c r="IXT3" s="120"/>
      <c r="IXU3" s="120"/>
      <c r="IXV3" s="120"/>
      <c r="IXW3" s="120"/>
      <c r="IXX3" s="120"/>
      <c r="IXY3" s="120"/>
      <c r="IXZ3" s="120"/>
      <c r="IYA3" s="120"/>
      <c r="IYB3" s="120"/>
      <c r="IYC3" s="120"/>
      <c r="IYD3" s="120"/>
      <c r="IYE3" s="120"/>
      <c r="IYF3" s="120"/>
      <c r="IYG3" s="120"/>
      <c r="IYH3" s="120"/>
      <c r="IYI3" s="120"/>
      <c r="IYJ3" s="120"/>
      <c r="IYK3" s="120"/>
      <c r="IYL3" s="120"/>
      <c r="IYM3" s="120"/>
      <c r="IYN3" s="120"/>
      <c r="IYO3" s="120"/>
      <c r="IYP3" s="120"/>
      <c r="IYQ3" s="120"/>
      <c r="IYR3" s="120"/>
      <c r="IYS3" s="120"/>
      <c r="IYT3" s="120"/>
      <c r="IYU3" s="120"/>
      <c r="IYV3" s="120"/>
      <c r="IYW3" s="120"/>
      <c r="IYX3" s="120"/>
      <c r="IYY3" s="120"/>
      <c r="IYZ3" s="120"/>
      <c r="IZA3" s="120"/>
      <c r="IZB3" s="120"/>
      <c r="IZC3" s="120"/>
      <c r="IZD3" s="120"/>
      <c r="IZE3" s="120"/>
      <c r="IZF3" s="120"/>
      <c r="IZG3" s="120"/>
      <c r="IZH3" s="120"/>
      <c r="IZI3" s="120"/>
      <c r="IZJ3" s="120"/>
      <c r="IZK3" s="120"/>
      <c r="IZL3" s="120"/>
      <c r="IZM3" s="120"/>
      <c r="IZN3" s="120"/>
      <c r="IZO3" s="120"/>
      <c r="IZP3" s="120"/>
      <c r="IZQ3" s="120"/>
      <c r="IZR3" s="120"/>
      <c r="IZS3" s="120"/>
      <c r="IZT3" s="120"/>
      <c r="IZU3" s="120"/>
      <c r="IZV3" s="120"/>
      <c r="IZW3" s="120"/>
      <c r="IZX3" s="120"/>
      <c r="IZY3" s="120"/>
      <c r="IZZ3" s="120"/>
      <c r="JAA3" s="120"/>
      <c r="JAB3" s="120"/>
      <c r="JAC3" s="120"/>
      <c r="JAD3" s="120"/>
      <c r="JAE3" s="120"/>
      <c r="JAF3" s="120"/>
      <c r="JAG3" s="120"/>
      <c r="JAH3" s="120"/>
      <c r="JAI3" s="120"/>
      <c r="JAJ3" s="120"/>
      <c r="JAK3" s="120"/>
      <c r="JAL3" s="120"/>
      <c r="JAM3" s="120"/>
      <c r="JAN3" s="120"/>
      <c r="JAO3" s="120"/>
      <c r="JAP3" s="120"/>
      <c r="JAQ3" s="120"/>
      <c r="JAR3" s="120"/>
      <c r="JAS3" s="120"/>
      <c r="JAT3" s="120"/>
      <c r="JAU3" s="120"/>
      <c r="JAV3" s="120"/>
      <c r="JAW3" s="120"/>
      <c r="JAX3" s="120"/>
      <c r="JAY3" s="120"/>
      <c r="JAZ3" s="120"/>
      <c r="JBA3" s="120"/>
      <c r="JBB3" s="120"/>
      <c r="JBC3" s="120"/>
      <c r="JBD3" s="120"/>
      <c r="JBE3" s="120"/>
      <c r="JBF3" s="120"/>
      <c r="JBG3" s="120"/>
      <c r="JBH3" s="120"/>
      <c r="JBI3" s="120"/>
      <c r="JBJ3" s="120"/>
      <c r="JBK3" s="120"/>
      <c r="JBL3" s="120"/>
      <c r="JBM3" s="120"/>
      <c r="JBN3" s="120"/>
      <c r="JBO3" s="120"/>
      <c r="JBP3" s="120"/>
      <c r="JBQ3" s="120"/>
      <c r="JBR3" s="120"/>
      <c r="JBS3" s="120"/>
      <c r="JBT3" s="120"/>
      <c r="JBU3" s="120"/>
      <c r="JBV3" s="120"/>
      <c r="JBW3" s="120"/>
      <c r="JBX3" s="120"/>
      <c r="JBY3" s="120"/>
      <c r="JBZ3" s="120"/>
      <c r="JCA3" s="120"/>
      <c r="JCB3" s="120"/>
      <c r="JCC3" s="120"/>
      <c r="JCD3" s="120"/>
      <c r="JCE3" s="120"/>
      <c r="JCF3" s="120"/>
      <c r="JCG3" s="120"/>
      <c r="JCH3" s="120"/>
      <c r="JCI3" s="120"/>
      <c r="JCJ3" s="120"/>
      <c r="JCK3" s="120"/>
      <c r="JCL3" s="120"/>
      <c r="JCM3" s="120"/>
      <c r="JCN3" s="120"/>
      <c r="JCO3" s="120"/>
      <c r="JCP3" s="120"/>
      <c r="JCQ3" s="120"/>
      <c r="JCR3" s="120"/>
      <c r="JCS3" s="120"/>
      <c r="JCT3" s="120"/>
      <c r="JCU3" s="120"/>
      <c r="JCV3" s="120"/>
      <c r="JCW3" s="120"/>
      <c r="JCX3" s="120"/>
      <c r="JCY3" s="120"/>
      <c r="JCZ3" s="120"/>
      <c r="JDA3" s="120"/>
      <c r="JDB3" s="120"/>
      <c r="JDC3" s="120"/>
      <c r="JDD3" s="120"/>
      <c r="JDE3" s="120"/>
      <c r="JDF3" s="120"/>
      <c r="JDG3" s="120"/>
      <c r="JDH3" s="120"/>
      <c r="JDI3" s="120"/>
      <c r="JDJ3" s="120"/>
      <c r="JDK3" s="120"/>
      <c r="JDL3" s="120"/>
      <c r="JDM3" s="120"/>
      <c r="JDN3" s="120"/>
      <c r="JDO3" s="120"/>
      <c r="JDP3" s="120"/>
      <c r="JDQ3" s="120"/>
      <c r="JDR3" s="120"/>
      <c r="JDS3" s="120"/>
      <c r="JDT3" s="120"/>
      <c r="JDU3" s="120"/>
      <c r="JDV3" s="120"/>
      <c r="JDW3" s="120"/>
      <c r="JDX3" s="120"/>
      <c r="JDY3" s="120"/>
      <c r="JDZ3" s="120"/>
      <c r="JEA3" s="120"/>
      <c r="JEB3" s="120"/>
      <c r="JEC3" s="120"/>
      <c r="JED3" s="120"/>
      <c r="JEE3" s="120"/>
      <c r="JEF3" s="120"/>
      <c r="JEG3" s="120"/>
      <c r="JEH3" s="120"/>
      <c r="JEI3" s="120"/>
      <c r="JEJ3" s="120"/>
      <c r="JEK3" s="120"/>
      <c r="JEL3" s="120"/>
      <c r="JEM3" s="120"/>
      <c r="JEN3" s="120"/>
      <c r="JEO3" s="120"/>
      <c r="JEP3" s="120"/>
      <c r="JEQ3" s="120"/>
      <c r="JER3" s="120"/>
      <c r="JES3" s="120"/>
      <c r="JET3" s="120"/>
      <c r="JEU3" s="120"/>
      <c r="JEV3" s="120"/>
      <c r="JEW3" s="120"/>
      <c r="JEX3" s="120"/>
      <c r="JEY3" s="120"/>
      <c r="JEZ3" s="120"/>
      <c r="JFA3" s="120"/>
      <c r="JFB3" s="120"/>
      <c r="JFC3" s="120"/>
      <c r="JFD3" s="120"/>
      <c r="JFE3" s="120"/>
      <c r="JFF3" s="120"/>
      <c r="JFG3" s="120"/>
      <c r="JFH3" s="120"/>
      <c r="JFI3" s="120"/>
      <c r="JFJ3" s="120"/>
      <c r="JFK3" s="120"/>
      <c r="JFL3" s="120"/>
      <c r="JFM3" s="120"/>
      <c r="JFN3" s="120"/>
      <c r="JFO3" s="120"/>
      <c r="JFP3" s="120"/>
      <c r="JFQ3" s="120"/>
      <c r="JFR3" s="120"/>
      <c r="JFS3" s="120"/>
      <c r="JFT3" s="120"/>
      <c r="JFU3" s="120"/>
      <c r="JFV3" s="120"/>
      <c r="JFW3" s="120"/>
      <c r="JFX3" s="120"/>
      <c r="JFY3" s="120"/>
      <c r="JFZ3" s="120"/>
      <c r="JGA3" s="120"/>
      <c r="JGB3" s="120"/>
      <c r="JGC3" s="120"/>
      <c r="JGD3" s="120"/>
      <c r="JGE3" s="120"/>
      <c r="JGF3" s="120"/>
      <c r="JGG3" s="120"/>
      <c r="JGH3" s="120"/>
      <c r="JGI3" s="120"/>
      <c r="JGJ3" s="120"/>
      <c r="JGK3" s="120"/>
      <c r="JGL3" s="120"/>
      <c r="JGM3" s="120"/>
      <c r="JGN3" s="120"/>
      <c r="JGO3" s="120"/>
      <c r="JGP3" s="120"/>
      <c r="JGQ3" s="120"/>
      <c r="JGR3" s="120"/>
      <c r="JGS3" s="120"/>
      <c r="JGT3" s="120"/>
      <c r="JGU3" s="120"/>
      <c r="JGV3" s="120"/>
      <c r="JGW3" s="120"/>
      <c r="JGX3" s="120"/>
      <c r="JGY3" s="120"/>
      <c r="JGZ3" s="120"/>
      <c r="JHA3" s="120"/>
      <c r="JHB3" s="120"/>
      <c r="JHC3" s="120"/>
      <c r="JHD3" s="120"/>
      <c r="JHE3" s="120"/>
      <c r="JHF3" s="120"/>
      <c r="JHG3" s="120"/>
      <c r="JHH3" s="120"/>
      <c r="JHI3" s="120"/>
      <c r="JHJ3" s="120"/>
      <c r="JHK3" s="120"/>
      <c r="JHL3" s="120"/>
      <c r="JHM3" s="120"/>
      <c r="JHN3" s="120"/>
      <c r="JHO3" s="120"/>
      <c r="JHP3" s="120"/>
      <c r="JHQ3" s="120"/>
      <c r="JHR3" s="120"/>
      <c r="JHS3" s="120"/>
      <c r="JHT3" s="120"/>
      <c r="JHU3" s="120"/>
      <c r="JHV3" s="120"/>
      <c r="JHW3" s="120"/>
      <c r="JHX3" s="120"/>
      <c r="JHY3" s="120"/>
      <c r="JHZ3" s="120"/>
      <c r="JIA3" s="120"/>
      <c r="JIB3" s="120"/>
      <c r="JIC3" s="120"/>
      <c r="JID3" s="120"/>
      <c r="JIE3" s="120"/>
      <c r="JIF3" s="120"/>
      <c r="JIG3" s="120"/>
      <c r="JIH3" s="120"/>
      <c r="JII3" s="120"/>
      <c r="JIJ3" s="120"/>
      <c r="JIK3" s="120"/>
      <c r="JIL3" s="120"/>
      <c r="JIM3" s="120"/>
      <c r="JIN3" s="120"/>
      <c r="JIO3" s="120"/>
      <c r="JIP3" s="120"/>
      <c r="JIQ3" s="120"/>
      <c r="JIR3" s="120"/>
      <c r="JIS3" s="120"/>
      <c r="JIT3" s="120"/>
      <c r="JIU3" s="120"/>
      <c r="JIV3" s="120"/>
      <c r="JIW3" s="120"/>
      <c r="JIX3" s="120"/>
      <c r="JIY3" s="120"/>
      <c r="JIZ3" s="120"/>
      <c r="JJA3" s="120"/>
      <c r="JJB3" s="120"/>
      <c r="JJC3" s="120"/>
      <c r="JJD3" s="120"/>
      <c r="JJE3" s="120"/>
      <c r="JJF3" s="120"/>
      <c r="JJG3" s="120"/>
      <c r="JJH3" s="120"/>
      <c r="JJI3" s="120"/>
      <c r="JJJ3" s="120"/>
      <c r="JJK3" s="120"/>
      <c r="JJL3" s="120"/>
      <c r="JJM3" s="120"/>
      <c r="JJN3" s="120"/>
      <c r="JJO3" s="120"/>
      <c r="JJP3" s="120"/>
      <c r="JJQ3" s="120"/>
      <c r="JJR3" s="120"/>
      <c r="JJS3" s="120"/>
      <c r="JJT3" s="120"/>
      <c r="JJU3" s="120"/>
      <c r="JJV3" s="120"/>
      <c r="JJW3" s="120"/>
      <c r="JJX3" s="120"/>
      <c r="JJY3" s="120"/>
      <c r="JJZ3" s="120"/>
      <c r="JKA3" s="120"/>
      <c r="JKB3" s="120"/>
      <c r="JKC3" s="120"/>
      <c r="JKD3" s="120"/>
      <c r="JKE3" s="120"/>
      <c r="JKF3" s="120"/>
      <c r="JKG3" s="120"/>
      <c r="JKH3" s="120"/>
      <c r="JKI3" s="120"/>
      <c r="JKJ3" s="120"/>
      <c r="JKK3" s="120"/>
      <c r="JKL3" s="120"/>
      <c r="JKM3" s="120"/>
      <c r="JKN3" s="120"/>
      <c r="JKO3" s="120"/>
      <c r="JKP3" s="120"/>
      <c r="JKQ3" s="120"/>
      <c r="JKR3" s="120"/>
      <c r="JKS3" s="120"/>
      <c r="JKT3" s="120"/>
      <c r="JKU3" s="120"/>
      <c r="JKV3" s="120"/>
      <c r="JKW3" s="120"/>
      <c r="JKX3" s="120"/>
      <c r="JKY3" s="120"/>
      <c r="JKZ3" s="120"/>
      <c r="JLA3" s="120"/>
      <c r="JLB3" s="120"/>
      <c r="JLC3" s="120"/>
      <c r="JLD3" s="120"/>
      <c r="JLE3" s="120"/>
      <c r="JLF3" s="120"/>
      <c r="JLG3" s="120"/>
      <c r="JLH3" s="120"/>
      <c r="JLI3" s="120"/>
      <c r="JLJ3" s="120"/>
      <c r="JLK3" s="120"/>
      <c r="JLL3" s="120"/>
      <c r="JLM3" s="120"/>
      <c r="JLN3" s="120"/>
      <c r="JLO3" s="120"/>
      <c r="JLP3" s="120"/>
      <c r="JLQ3" s="120"/>
      <c r="JLR3" s="120"/>
      <c r="JLS3" s="120"/>
      <c r="JLT3" s="120"/>
      <c r="JLU3" s="120"/>
      <c r="JLV3" s="120"/>
      <c r="JLW3" s="120"/>
      <c r="JLX3" s="120"/>
      <c r="JLY3" s="120"/>
      <c r="JLZ3" s="120"/>
      <c r="JMA3" s="120"/>
      <c r="JMB3" s="120"/>
      <c r="JMC3" s="120"/>
      <c r="JMD3" s="120"/>
      <c r="JME3" s="120"/>
      <c r="JMF3" s="120"/>
      <c r="JMG3" s="120"/>
      <c r="JMH3" s="120"/>
      <c r="JMI3" s="120"/>
      <c r="JMJ3" s="120"/>
      <c r="JMK3" s="120"/>
      <c r="JML3" s="120"/>
      <c r="JMM3" s="120"/>
      <c r="JMN3" s="120"/>
      <c r="JMO3" s="120"/>
      <c r="JMP3" s="120"/>
      <c r="JMQ3" s="120"/>
      <c r="JMR3" s="120"/>
      <c r="JMS3" s="120"/>
      <c r="JMT3" s="120"/>
      <c r="JMU3" s="120"/>
      <c r="JMV3" s="120"/>
      <c r="JMW3" s="120"/>
      <c r="JMX3" s="120"/>
      <c r="JMY3" s="120"/>
      <c r="JMZ3" s="120"/>
      <c r="JNA3" s="120"/>
      <c r="JNB3" s="120"/>
      <c r="JNC3" s="120"/>
      <c r="JND3" s="120"/>
      <c r="JNE3" s="120"/>
      <c r="JNF3" s="120"/>
      <c r="JNG3" s="120"/>
      <c r="JNH3" s="120"/>
      <c r="JNI3" s="120"/>
      <c r="JNJ3" s="120"/>
      <c r="JNK3" s="120"/>
      <c r="JNL3" s="120"/>
      <c r="JNM3" s="120"/>
      <c r="JNN3" s="120"/>
      <c r="JNO3" s="120"/>
      <c r="JNP3" s="120"/>
      <c r="JNQ3" s="120"/>
      <c r="JNR3" s="120"/>
      <c r="JNS3" s="120"/>
      <c r="JNT3" s="120"/>
      <c r="JNU3" s="120"/>
      <c r="JNV3" s="120"/>
      <c r="JNW3" s="120"/>
      <c r="JNX3" s="120"/>
      <c r="JNY3" s="120"/>
      <c r="JNZ3" s="120"/>
      <c r="JOA3" s="120"/>
      <c r="JOB3" s="120"/>
      <c r="JOC3" s="120"/>
      <c r="JOD3" s="120"/>
      <c r="JOE3" s="120"/>
      <c r="JOF3" s="120"/>
      <c r="JOG3" s="120"/>
      <c r="JOH3" s="120"/>
      <c r="JOI3" s="120"/>
      <c r="JOJ3" s="120"/>
      <c r="JOK3" s="120"/>
      <c r="JOL3" s="120"/>
      <c r="JOM3" s="120"/>
      <c r="JON3" s="120"/>
      <c r="JOO3" s="120"/>
      <c r="JOP3" s="120"/>
      <c r="JOQ3" s="120"/>
      <c r="JOR3" s="120"/>
      <c r="JOS3" s="120"/>
      <c r="JOT3" s="120"/>
      <c r="JOU3" s="120"/>
      <c r="JOV3" s="120"/>
      <c r="JOW3" s="120"/>
      <c r="JOX3" s="120"/>
      <c r="JOY3" s="120"/>
      <c r="JOZ3" s="120"/>
      <c r="JPA3" s="120"/>
      <c r="JPB3" s="120"/>
      <c r="JPC3" s="120"/>
      <c r="JPD3" s="120"/>
      <c r="JPE3" s="120"/>
      <c r="JPF3" s="120"/>
      <c r="JPG3" s="120"/>
      <c r="JPH3" s="120"/>
      <c r="JPI3" s="120"/>
      <c r="JPJ3" s="120"/>
      <c r="JPK3" s="120"/>
      <c r="JPL3" s="120"/>
      <c r="JPM3" s="120"/>
      <c r="JPN3" s="120"/>
      <c r="JPO3" s="120"/>
      <c r="JPP3" s="120"/>
      <c r="JPQ3" s="120"/>
      <c r="JPR3" s="120"/>
      <c r="JPS3" s="120"/>
      <c r="JPT3" s="120"/>
      <c r="JPU3" s="120"/>
      <c r="JPV3" s="120"/>
      <c r="JPW3" s="120"/>
      <c r="JPX3" s="120"/>
      <c r="JPY3" s="120"/>
      <c r="JPZ3" s="120"/>
      <c r="JQA3" s="120"/>
      <c r="JQB3" s="120"/>
      <c r="JQC3" s="120"/>
      <c r="JQD3" s="120"/>
      <c r="JQE3" s="120"/>
      <c r="JQF3" s="120"/>
      <c r="JQG3" s="120"/>
      <c r="JQH3" s="120"/>
      <c r="JQI3" s="120"/>
      <c r="JQJ3" s="120"/>
      <c r="JQK3" s="120"/>
      <c r="JQL3" s="120"/>
      <c r="JQM3" s="120"/>
      <c r="JQN3" s="120"/>
      <c r="JQO3" s="120"/>
      <c r="JQP3" s="120"/>
      <c r="JQQ3" s="120"/>
      <c r="JQR3" s="120"/>
      <c r="JQS3" s="120"/>
      <c r="JQT3" s="120"/>
      <c r="JQU3" s="120"/>
      <c r="JQV3" s="120"/>
      <c r="JQW3" s="120"/>
      <c r="JQX3" s="120"/>
      <c r="JQY3" s="120"/>
      <c r="JQZ3" s="120"/>
      <c r="JRA3" s="120"/>
      <c r="JRB3" s="120"/>
      <c r="JRC3" s="120"/>
      <c r="JRD3" s="120"/>
      <c r="JRE3" s="120"/>
      <c r="JRF3" s="120"/>
      <c r="JRG3" s="120"/>
      <c r="JRH3" s="120"/>
      <c r="JRI3" s="120"/>
      <c r="JRJ3" s="120"/>
      <c r="JRK3" s="120"/>
      <c r="JRL3" s="120"/>
      <c r="JRM3" s="120"/>
      <c r="JRN3" s="120"/>
      <c r="JRO3" s="120"/>
      <c r="JRP3" s="120"/>
      <c r="JRQ3" s="120"/>
      <c r="JRR3" s="120"/>
      <c r="JRS3" s="120"/>
      <c r="JRT3" s="120"/>
      <c r="JRU3" s="120"/>
      <c r="JRV3" s="120"/>
      <c r="JRW3" s="120"/>
      <c r="JRX3" s="120"/>
      <c r="JRY3" s="120"/>
      <c r="JRZ3" s="120"/>
      <c r="JSA3" s="120"/>
      <c r="JSB3" s="120"/>
      <c r="JSC3" s="120"/>
      <c r="JSD3" s="120"/>
      <c r="JSE3" s="120"/>
      <c r="JSF3" s="120"/>
      <c r="JSG3" s="120"/>
      <c r="JSH3" s="120"/>
      <c r="JSI3" s="120"/>
      <c r="JSJ3" s="120"/>
      <c r="JSK3" s="120"/>
      <c r="JSL3" s="120"/>
      <c r="JSM3" s="120"/>
      <c r="JSN3" s="120"/>
      <c r="JSO3" s="120"/>
      <c r="JSP3" s="120"/>
      <c r="JSQ3" s="120"/>
      <c r="JSR3" s="120"/>
      <c r="JSS3" s="120"/>
      <c r="JST3" s="120"/>
      <c r="JSU3" s="120"/>
      <c r="JSV3" s="120"/>
      <c r="JSW3" s="120"/>
      <c r="JSX3" s="120"/>
      <c r="JSY3" s="120"/>
      <c r="JSZ3" s="120"/>
      <c r="JTA3" s="120"/>
      <c r="JTB3" s="120"/>
      <c r="JTC3" s="120"/>
      <c r="JTD3" s="120"/>
      <c r="JTE3" s="120"/>
      <c r="JTF3" s="120"/>
      <c r="JTG3" s="120"/>
      <c r="JTH3" s="120"/>
      <c r="JTI3" s="120"/>
      <c r="JTJ3" s="120"/>
      <c r="JTK3" s="120"/>
      <c r="JTL3" s="120"/>
      <c r="JTM3" s="120"/>
      <c r="JTN3" s="120"/>
      <c r="JTO3" s="120"/>
      <c r="JTP3" s="120"/>
      <c r="JTQ3" s="120"/>
      <c r="JTR3" s="120"/>
      <c r="JTS3" s="120"/>
      <c r="JTT3" s="120"/>
      <c r="JTU3" s="120"/>
      <c r="JTV3" s="120"/>
      <c r="JTW3" s="120"/>
      <c r="JTX3" s="120"/>
      <c r="JTY3" s="120"/>
      <c r="JTZ3" s="120"/>
      <c r="JUA3" s="120"/>
      <c r="JUB3" s="120"/>
      <c r="JUC3" s="120"/>
      <c r="JUD3" s="120"/>
      <c r="JUE3" s="120"/>
      <c r="JUF3" s="120"/>
      <c r="JUG3" s="120"/>
      <c r="JUH3" s="120"/>
      <c r="JUI3" s="120"/>
      <c r="JUJ3" s="120"/>
      <c r="JUK3" s="120"/>
      <c r="JUL3" s="120"/>
      <c r="JUM3" s="120"/>
      <c r="JUN3" s="120"/>
      <c r="JUO3" s="120"/>
      <c r="JUP3" s="120"/>
      <c r="JUQ3" s="120"/>
      <c r="JUR3" s="120"/>
      <c r="JUS3" s="120"/>
      <c r="JUT3" s="120"/>
      <c r="JUU3" s="120"/>
      <c r="JUV3" s="120"/>
      <c r="JUW3" s="120"/>
      <c r="JUX3" s="120"/>
      <c r="JUY3" s="120"/>
      <c r="JUZ3" s="120"/>
      <c r="JVA3" s="120"/>
      <c r="JVB3" s="120"/>
      <c r="JVC3" s="120"/>
      <c r="JVD3" s="120"/>
      <c r="JVE3" s="120"/>
      <c r="JVF3" s="120"/>
      <c r="JVG3" s="120"/>
      <c r="JVH3" s="120"/>
      <c r="JVI3" s="120"/>
      <c r="JVJ3" s="120"/>
      <c r="JVK3" s="120"/>
      <c r="JVL3" s="120"/>
      <c r="JVM3" s="120"/>
      <c r="JVN3" s="120"/>
      <c r="JVO3" s="120"/>
      <c r="JVP3" s="120"/>
      <c r="JVQ3" s="120"/>
      <c r="JVR3" s="120"/>
      <c r="JVS3" s="120"/>
      <c r="JVT3" s="120"/>
      <c r="JVU3" s="120"/>
      <c r="JVV3" s="120"/>
      <c r="JVW3" s="120"/>
      <c r="JVX3" s="120"/>
      <c r="JVY3" s="120"/>
      <c r="JVZ3" s="120"/>
      <c r="JWA3" s="120"/>
      <c r="JWB3" s="120"/>
      <c r="JWC3" s="120"/>
      <c r="JWD3" s="120"/>
      <c r="JWE3" s="120"/>
      <c r="JWF3" s="120"/>
      <c r="JWG3" s="120"/>
      <c r="JWH3" s="120"/>
      <c r="JWI3" s="120"/>
      <c r="JWJ3" s="120"/>
      <c r="JWK3" s="120"/>
      <c r="JWL3" s="120"/>
      <c r="JWM3" s="120"/>
      <c r="JWN3" s="120"/>
      <c r="JWO3" s="120"/>
      <c r="JWP3" s="120"/>
      <c r="JWQ3" s="120"/>
      <c r="JWR3" s="120"/>
      <c r="JWS3" s="120"/>
      <c r="JWT3" s="120"/>
      <c r="JWU3" s="120"/>
      <c r="JWV3" s="120"/>
      <c r="JWW3" s="120"/>
      <c r="JWX3" s="120"/>
      <c r="JWY3" s="120"/>
      <c r="JWZ3" s="120"/>
      <c r="JXA3" s="120"/>
      <c r="JXB3" s="120"/>
      <c r="JXC3" s="120"/>
      <c r="JXD3" s="120"/>
      <c r="JXE3" s="120"/>
      <c r="JXF3" s="120"/>
      <c r="JXG3" s="120"/>
      <c r="JXH3" s="120"/>
      <c r="JXI3" s="120"/>
      <c r="JXJ3" s="120"/>
      <c r="JXK3" s="120"/>
      <c r="JXL3" s="120"/>
      <c r="JXM3" s="120"/>
      <c r="JXN3" s="120"/>
      <c r="JXO3" s="120"/>
      <c r="JXP3" s="120"/>
      <c r="JXQ3" s="120"/>
      <c r="JXR3" s="120"/>
      <c r="JXS3" s="120"/>
      <c r="JXT3" s="120"/>
      <c r="JXU3" s="120"/>
      <c r="JXV3" s="120"/>
      <c r="JXW3" s="120"/>
      <c r="JXX3" s="120"/>
      <c r="JXY3" s="120"/>
      <c r="JXZ3" s="120"/>
      <c r="JYA3" s="120"/>
      <c r="JYB3" s="120"/>
      <c r="JYC3" s="120"/>
      <c r="JYD3" s="120"/>
      <c r="JYE3" s="120"/>
      <c r="JYF3" s="120"/>
      <c r="JYG3" s="120"/>
      <c r="JYH3" s="120"/>
      <c r="JYI3" s="120"/>
      <c r="JYJ3" s="120"/>
      <c r="JYK3" s="120"/>
      <c r="JYL3" s="120"/>
      <c r="JYM3" s="120"/>
      <c r="JYN3" s="120"/>
      <c r="JYO3" s="120"/>
      <c r="JYP3" s="120"/>
      <c r="JYQ3" s="120"/>
      <c r="JYR3" s="120"/>
      <c r="JYS3" s="120"/>
      <c r="JYT3" s="120"/>
      <c r="JYU3" s="120"/>
      <c r="JYV3" s="120"/>
      <c r="JYW3" s="120"/>
      <c r="JYX3" s="120"/>
      <c r="JYY3" s="120"/>
      <c r="JYZ3" s="120"/>
      <c r="JZA3" s="120"/>
      <c r="JZB3" s="120"/>
      <c r="JZC3" s="120"/>
      <c r="JZD3" s="120"/>
      <c r="JZE3" s="120"/>
      <c r="JZF3" s="120"/>
      <c r="JZG3" s="120"/>
      <c r="JZH3" s="120"/>
      <c r="JZI3" s="120"/>
      <c r="JZJ3" s="120"/>
      <c r="JZK3" s="120"/>
      <c r="JZL3" s="120"/>
      <c r="JZM3" s="120"/>
      <c r="JZN3" s="120"/>
      <c r="JZO3" s="120"/>
      <c r="JZP3" s="120"/>
      <c r="JZQ3" s="120"/>
      <c r="JZR3" s="120"/>
      <c r="JZS3" s="120"/>
      <c r="JZT3" s="120"/>
      <c r="JZU3" s="120"/>
      <c r="JZV3" s="120"/>
      <c r="JZW3" s="120"/>
      <c r="JZX3" s="120"/>
      <c r="JZY3" s="120"/>
      <c r="JZZ3" s="120"/>
      <c r="KAA3" s="120"/>
      <c r="KAB3" s="120"/>
      <c r="KAC3" s="120"/>
      <c r="KAD3" s="120"/>
      <c r="KAE3" s="120"/>
      <c r="KAF3" s="120"/>
      <c r="KAG3" s="120"/>
      <c r="KAH3" s="120"/>
      <c r="KAI3" s="120"/>
      <c r="KAJ3" s="120"/>
      <c r="KAK3" s="120"/>
      <c r="KAL3" s="120"/>
      <c r="KAM3" s="120"/>
      <c r="KAN3" s="120"/>
      <c r="KAO3" s="120"/>
      <c r="KAP3" s="120"/>
      <c r="KAQ3" s="120"/>
      <c r="KAR3" s="120"/>
      <c r="KAS3" s="120"/>
      <c r="KAT3" s="120"/>
      <c r="KAU3" s="120"/>
      <c r="KAV3" s="120"/>
      <c r="KAW3" s="120"/>
      <c r="KAX3" s="120"/>
      <c r="KAY3" s="120"/>
      <c r="KAZ3" s="120"/>
      <c r="KBA3" s="120"/>
      <c r="KBB3" s="120"/>
      <c r="KBC3" s="120"/>
      <c r="KBD3" s="120"/>
      <c r="KBE3" s="120"/>
      <c r="KBF3" s="120"/>
      <c r="KBG3" s="120"/>
      <c r="KBH3" s="120"/>
      <c r="KBI3" s="120"/>
      <c r="KBJ3" s="120"/>
      <c r="KBK3" s="120"/>
      <c r="KBL3" s="120"/>
      <c r="KBM3" s="120"/>
      <c r="KBN3" s="120"/>
      <c r="KBO3" s="120"/>
      <c r="KBP3" s="120"/>
      <c r="KBQ3" s="120"/>
      <c r="KBR3" s="120"/>
      <c r="KBS3" s="120"/>
      <c r="KBT3" s="120"/>
      <c r="KBU3" s="120"/>
      <c r="KBV3" s="120"/>
      <c r="KBW3" s="120"/>
      <c r="KBX3" s="120"/>
      <c r="KBY3" s="120"/>
      <c r="KBZ3" s="120"/>
      <c r="KCA3" s="120"/>
      <c r="KCB3" s="120"/>
      <c r="KCC3" s="120"/>
      <c r="KCD3" s="120"/>
      <c r="KCE3" s="120"/>
      <c r="KCF3" s="120"/>
      <c r="KCG3" s="120"/>
      <c r="KCH3" s="120"/>
      <c r="KCI3" s="120"/>
      <c r="KCJ3" s="120"/>
      <c r="KCK3" s="120"/>
      <c r="KCL3" s="120"/>
      <c r="KCM3" s="120"/>
      <c r="KCN3" s="120"/>
      <c r="KCO3" s="120"/>
      <c r="KCP3" s="120"/>
      <c r="KCQ3" s="120"/>
      <c r="KCR3" s="120"/>
      <c r="KCS3" s="120"/>
      <c r="KCT3" s="120"/>
      <c r="KCU3" s="120"/>
      <c r="KCV3" s="120"/>
      <c r="KCW3" s="120"/>
      <c r="KCX3" s="120"/>
      <c r="KCY3" s="120"/>
      <c r="KCZ3" s="120"/>
      <c r="KDA3" s="120"/>
      <c r="KDB3" s="120"/>
      <c r="KDC3" s="120"/>
      <c r="KDD3" s="120"/>
      <c r="KDE3" s="120"/>
      <c r="KDF3" s="120"/>
      <c r="KDG3" s="120"/>
      <c r="KDH3" s="120"/>
      <c r="KDI3" s="120"/>
      <c r="KDJ3" s="120"/>
      <c r="KDK3" s="120"/>
      <c r="KDL3" s="120"/>
      <c r="KDM3" s="120"/>
      <c r="KDN3" s="120"/>
      <c r="KDO3" s="120"/>
      <c r="KDP3" s="120"/>
      <c r="KDQ3" s="120"/>
      <c r="KDR3" s="120"/>
      <c r="KDS3" s="120"/>
      <c r="KDT3" s="120"/>
      <c r="KDU3" s="120"/>
      <c r="KDV3" s="120"/>
      <c r="KDW3" s="120"/>
      <c r="KDX3" s="120"/>
      <c r="KDY3" s="120"/>
      <c r="KDZ3" s="120"/>
      <c r="KEA3" s="120"/>
      <c r="KEB3" s="120"/>
      <c r="KEC3" s="120"/>
      <c r="KED3" s="120"/>
      <c r="KEE3" s="120"/>
      <c r="KEF3" s="120"/>
      <c r="KEG3" s="120"/>
      <c r="KEH3" s="120"/>
      <c r="KEI3" s="120"/>
      <c r="KEJ3" s="120"/>
      <c r="KEK3" s="120"/>
      <c r="KEL3" s="120"/>
      <c r="KEM3" s="120"/>
      <c r="KEN3" s="120"/>
      <c r="KEO3" s="120"/>
      <c r="KEP3" s="120"/>
      <c r="KEQ3" s="120"/>
      <c r="KER3" s="120"/>
      <c r="KES3" s="120"/>
      <c r="KET3" s="120"/>
      <c r="KEU3" s="120"/>
      <c r="KEV3" s="120"/>
      <c r="KEW3" s="120"/>
      <c r="KEX3" s="120"/>
      <c r="KEY3" s="120"/>
      <c r="KEZ3" s="120"/>
      <c r="KFA3" s="120"/>
      <c r="KFB3" s="120"/>
      <c r="KFC3" s="120"/>
      <c r="KFD3" s="120"/>
      <c r="KFE3" s="120"/>
      <c r="KFF3" s="120"/>
      <c r="KFG3" s="120"/>
      <c r="KFH3" s="120"/>
      <c r="KFI3" s="120"/>
      <c r="KFJ3" s="120"/>
      <c r="KFK3" s="120"/>
      <c r="KFL3" s="120"/>
      <c r="KFM3" s="120"/>
      <c r="KFN3" s="120"/>
      <c r="KFO3" s="120"/>
      <c r="KFP3" s="120"/>
      <c r="KFQ3" s="120"/>
      <c r="KFR3" s="120"/>
      <c r="KFS3" s="120"/>
      <c r="KFT3" s="120"/>
      <c r="KFU3" s="120"/>
      <c r="KFV3" s="120"/>
      <c r="KFW3" s="120"/>
      <c r="KFX3" s="120"/>
      <c r="KFY3" s="120"/>
      <c r="KFZ3" s="120"/>
      <c r="KGA3" s="120"/>
      <c r="KGB3" s="120"/>
      <c r="KGC3" s="120"/>
      <c r="KGD3" s="120"/>
      <c r="KGE3" s="120"/>
      <c r="KGF3" s="120"/>
      <c r="KGG3" s="120"/>
      <c r="KGH3" s="120"/>
      <c r="KGI3" s="120"/>
      <c r="KGJ3" s="120"/>
      <c r="KGK3" s="120"/>
      <c r="KGL3" s="120"/>
      <c r="KGM3" s="120"/>
      <c r="KGN3" s="120"/>
      <c r="KGO3" s="120"/>
      <c r="KGP3" s="120"/>
      <c r="KGQ3" s="120"/>
      <c r="KGR3" s="120"/>
      <c r="KGS3" s="120"/>
      <c r="KGT3" s="120"/>
      <c r="KGU3" s="120"/>
      <c r="KGV3" s="120"/>
      <c r="KGW3" s="120"/>
      <c r="KGX3" s="120"/>
      <c r="KGY3" s="120"/>
      <c r="KGZ3" s="120"/>
      <c r="KHA3" s="120"/>
      <c r="KHB3" s="120"/>
      <c r="KHC3" s="120"/>
      <c r="KHD3" s="120"/>
      <c r="KHE3" s="120"/>
      <c r="KHF3" s="120"/>
      <c r="KHG3" s="120"/>
      <c r="KHH3" s="120"/>
      <c r="KHI3" s="120"/>
      <c r="KHJ3" s="120"/>
      <c r="KHK3" s="120"/>
      <c r="KHL3" s="120"/>
      <c r="KHM3" s="120"/>
      <c r="KHN3" s="120"/>
      <c r="KHO3" s="120"/>
      <c r="KHP3" s="120"/>
      <c r="KHQ3" s="120"/>
      <c r="KHR3" s="120"/>
      <c r="KHS3" s="120"/>
      <c r="KHT3" s="120"/>
      <c r="KHU3" s="120"/>
      <c r="KHV3" s="120"/>
      <c r="KHW3" s="120"/>
      <c r="KHX3" s="120"/>
      <c r="KHY3" s="120"/>
      <c r="KHZ3" s="120"/>
      <c r="KIA3" s="120"/>
      <c r="KIB3" s="120"/>
      <c r="KIC3" s="120"/>
      <c r="KID3" s="120"/>
      <c r="KIE3" s="120"/>
      <c r="KIF3" s="120"/>
      <c r="KIG3" s="120"/>
      <c r="KIH3" s="120"/>
      <c r="KII3" s="120"/>
      <c r="KIJ3" s="120"/>
      <c r="KIK3" s="120"/>
      <c r="KIL3" s="120"/>
      <c r="KIM3" s="120"/>
      <c r="KIN3" s="120"/>
      <c r="KIO3" s="120"/>
      <c r="KIP3" s="120"/>
      <c r="KIQ3" s="120"/>
      <c r="KIR3" s="120"/>
      <c r="KIS3" s="120"/>
      <c r="KIT3" s="120"/>
      <c r="KIU3" s="120"/>
      <c r="KIV3" s="120"/>
      <c r="KIW3" s="120"/>
      <c r="KIX3" s="120"/>
      <c r="KIY3" s="120"/>
      <c r="KIZ3" s="120"/>
      <c r="KJA3" s="120"/>
      <c r="KJB3" s="120"/>
      <c r="KJC3" s="120"/>
      <c r="KJD3" s="120"/>
      <c r="KJE3" s="120"/>
      <c r="KJF3" s="120"/>
      <c r="KJG3" s="120"/>
      <c r="KJH3" s="120"/>
      <c r="KJI3" s="120"/>
      <c r="KJJ3" s="120"/>
      <c r="KJK3" s="120"/>
      <c r="KJL3" s="120"/>
      <c r="KJM3" s="120"/>
      <c r="KJN3" s="120"/>
      <c r="KJO3" s="120"/>
      <c r="KJP3" s="120"/>
      <c r="KJQ3" s="120"/>
      <c r="KJR3" s="120"/>
      <c r="KJS3" s="120"/>
      <c r="KJT3" s="120"/>
      <c r="KJU3" s="120"/>
      <c r="KJV3" s="120"/>
      <c r="KJW3" s="120"/>
      <c r="KJX3" s="120"/>
      <c r="KJY3" s="120"/>
      <c r="KJZ3" s="120"/>
      <c r="KKA3" s="120"/>
      <c r="KKB3" s="120"/>
      <c r="KKC3" s="120"/>
      <c r="KKD3" s="120"/>
      <c r="KKE3" s="120"/>
      <c r="KKF3" s="120"/>
      <c r="KKG3" s="120"/>
      <c r="KKH3" s="120"/>
      <c r="KKI3" s="120"/>
      <c r="KKJ3" s="120"/>
      <c r="KKK3" s="120"/>
      <c r="KKL3" s="120"/>
      <c r="KKM3" s="120"/>
      <c r="KKN3" s="120"/>
      <c r="KKO3" s="120"/>
      <c r="KKP3" s="120"/>
      <c r="KKQ3" s="120"/>
      <c r="KKR3" s="120"/>
      <c r="KKS3" s="120"/>
      <c r="KKT3" s="120"/>
      <c r="KKU3" s="120"/>
      <c r="KKV3" s="120"/>
      <c r="KKW3" s="120"/>
      <c r="KKX3" s="120"/>
      <c r="KKY3" s="120"/>
      <c r="KKZ3" s="120"/>
      <c r="KLA3" s="120"/>
      <c r="KLB3" s="120"/>
      <c r="KLC3" s="120"/>
      <c r="KLD3" s="120"/>
      <c r="KLE3" s="120"/>
      <c r="KLF3" s="120"/>
      <c r="KLG3" s="120"/>
      <c r="KLH3" s="120"/>
      <c r="KLI3" s="120"/>
      <c r="KLJ3" s="120"/>
      <c r="KLK3" s="120"/>
      <c r="KLL3" s="120"/>
      <c r="KLM3" s="120"/>
      <c r="KLN3" s="120"/>
      <c r="KLO3" s="120"/>
      <c r="KLP3" s="120"/>
      <c r="KLQ3" s="120"/>
      <c r="KLR3" s="120"/>
      <c r="KLS3" s="120"/>
      <c r="KLT3" s="120"/>
      <c r="KLU3" s="120"/>
      <c r="KLV3" s="120"/>
      <c r="KLW3" s="120"/>
      <c r="KLX3" s="120"/>
      <c r="KLY3" s="120"/>
      <c r="KLZ3" s="120"/>
      <c r="KMA3" s="120"/>
      <c r="KMB3" s="120"/>
      <c r="KMC3" s="120"/>
      <c r="KMD3" s="120"/>
      <c r="KME3" s="120"/>
      <c r="KMF3" s="120"/>
      <c r="KMG3" s="120"/>
      <c r="KMH3" s="120"/>
      <c r="KMI3" s="120"/>
      <c r="KMJ3" s="120"/>
      <c r="KMK3" s="120"/>
      <c r="KML3" s="120"/>
      <c r="KMM3" s="120"/>
      <c r="KMN3" s="120"/>
      <c r="KMO3" s="120"/>
      <c r="KMP3" s="120"/>
      <c r="KMQ3" s="120"/>
      <c r="KMR3" s="120"/>
      <c r="KMS3" s="120"/>
      <c r="KMT3" s="120"/>
      <c r="KMU3" s="120"/>
      <c r="KMV3" s="120"/>
      <c r="KMW3" s="120"/>
      <c r="KMX3" s="120"/>
      <c r="KMY3" s="120"/>
      <c r="KMZ3" s="120"/>
      <c r="KNA3" s="120"/>
      <c r="KNB3" s="120"/>
      <c r="KNC3" s="120"/>
      <c r="KND3" s="120"/>
      <c r="KNE3" s="120"/>
      <c r="KNF3" s="120"/>
      <c r="KNG3" s="120"/>
      <c r="KNH3" s="120"/>
      <c r="KNI3" s="120"/>
      <c r="KNJ3" s="120"/>
      <c r="KNK3" s="120"/>
      <c r="KNL3" s="120"/>
      <c r="KNM3" s="120"/>
      <c r="KNN3" s="120"/>
      <c r="KNO3" s="120"/>
      <c r="KNP3" s="120"/>
      <c r="KNQ3" s="120"/>
      <c r="KNR3" s="120"/>
      <c r="KNS3" s="120"/>
      <c r="KNT3" s="120"/>
      <c r="KNU3" s="120"/>
      <c r="KNV3" s="120"/>
      <c r="KNW3" s="120"/>
      <c r="KNX3" s="120"/>
      <c r="KNY3" s="120"/>
      <c r="KNZ3" s="120"/>
      <c r="KOA3" s="120"/>
      <c r="KOB3" s="120"/>
      <c r="KOC3" s="120"/>
      <c r="KOD3" s="120"/>
      <c r="KOE3" s="120"/>
      <c r="KOF3" s="120"/>
      <c r="KOG3" s="120"/>
      <c r="KOH3" s="120"/>
      <c r="KOI3" s="120"/>
      <c r="KOJ3" s="120"/>
      <c r="KOK3" s="120"/>
      <c r="KOL3" s="120"/>
      <c r="KOM3" s="120"/>
      <c r="KON3" s="120"/>
      <c r="KOO3" s="120"/>
      <c r="KOP3" s="120"/>
      <c r="KOQ3" s="120"/>
      <c r="KOR3" s="120"/>
      <c r="KOS3" s="120"/>
      <c r="KOT3" s="120"/>
      <c r="KOU3" s="120"/>
      <c r="KOV3" s="120"/>
      <c r="KOW3" s="120"/>
      <c r="KOX3" s="120"/>
      <c r="KOY3" s="120"/>
      <c r="KOZ3" s="120"/>
      <c r="KPA3" s="120"/>
      <c r="KPB3" s="120"/>
      <c r="KPC3" s="120"/>
      <c r="KPD3" s="120"/>
      <c r="KPE3" s="120"/>
      <c r="KPF3" s="120"/>
      <c r="KPG3" s="120"/>
      <c r="KPH3" s="120"/>
      <c r="KPI3" s="120"/>
      <c r="KPJ3" s="120"/>
      <c r="KPK3" s="120"/>
      <c r="KPL3" s="120"/>
      <c r="KPM3" s="120"/>
      <c r="KPN3" s="120"/>
      <c r="KPO3" s="120"/>
      <c r="KPP3" s="120"/>
      <c r="KPQ3" s="120"/>
      <c r="KPR3" s="120"/>
      <c r="KPS3" s="120"/>
      <c r="KPT3" s="120"/>
      <c r="KPU3" s="120"/>
      <c r="KPV3" s="120"/>
      <c r="KPW3" s="120"/>
      <c r="KPX3" s="120"/>
      <c r="KPY3" s="120"/>
      <c r="KPZ3" s="120"/>
      <c r="KQA3" s="120"/>
      <c r="KQB3" s="120"/>
      <c r="KQC3" s="120"/>
      <c r="KQD3" s="120"/>
      <c r="KQE3" s="120"/>
      <c r="KQF3" s="120"/>
      <c r="KQG3" s="120"/>
      <c r="KQH3" s="120"/>
      <c r="KQI3" s="120"/>
      <c r="KQJ3" s="120"/>
      <c r="KQK3" s="120"/>
      <c r="KQL3" s="120"/>
      <c r="KQM3" s="120"/>
      <c r="KQN3" s="120"/>
      <c r="KQO3" s="120"/>
      <c r="KQP3" s="120"/>
      <c r="KQQ3" s="120"/>
      <c r="KQR3" s="120"/>
      <c r="KQS3" s="120"/>
      <c r="KQT3" s="120"/>
      <c r="KQU3" s="120"/>
      <c r="KQV3" s="120"/>
      <c r="KQW3" s="120"/>
      <c r="KQX3" s="120"/>
      <c r="KQY3" s="120"/>
      <c r="KQZ3" s="120"/>
      <c r="KRA3" s="120"/>
      <c r="KRB3" s="120"/>
      <c r="KRC3" s="120"/>
      <c r="KRD3" s="120"/>
      <c r="KRE3" s="120"/>
      <c r="KRF3" s="120"/>
      <c r="KRG3" s="120"/>
      <c r="KRH3" s="120"/>
      <c r="KRI3" s="120"/>
      <c r="KRJ3" s="120"/>
      <c r="KRK3" s="120"/>
      <c r="KRL3" s="120"/>
      <c r="KRM3" s="120"/>
      <c r="KRN3" s="120"/>
      <c r="KRO3" s="120"/>
      <c r="KRP3" s="120"/>
      <c r="KRQ3" s="120"/>
      <c r="KRR3" s="120"/>
      <c r="KRS3" s="120"/>
      <c r="KRT3" s="120"/>
      <c r="KRU3" s="120"/>
      <c r="KRV3" s="120"/>
      <c r="KRW3" s="120"/>
      <c r="KRX3" s="120"/>
      <c r="KRY3" s="120"/>
      <c r="KRZ3" s="120"/>
      <c r="KSA3" s="120"/>
      <c r="KSB3" s="120"/>
      <c r="KSC3" s="120"/>
      <c r="KSD3" s="120"/>
      <c r="KSE3" s="120"/>
      <c r="KSF3" s="120"/>
      <c r="KSG3" s="120"/>
      <c r="KSH3" s="120"/>
      <c r="KSI3" s="120"/>
      <c r="KSJ3" s="120"/>
      <c r="KSK3" s="120"/>
      <c r="KSL3" s="120"/>
      <c r="KSM3" s="120"/>
      <c r="KSN3" s="120"/>
      <c r="KSO3" s="120"/>
      <c r="KSP3" s="120"/>
      <c r="KSQ3" s="120"/>
      <c r="KSR3" s="120"/>
      <c r="KSS3" s="120"/>
      <c r="KST3" s="120"/>
      <c r="KSU3" s="120"/>
      <c r="KSV3" s="120"/>
      <c r="KSW3" s="120"/>
      <c r="KSX3" s="120"/>
      <c r="KSY3" s="120"/>
      <c r="KSZ3" s="120"/>
      <c r="KTA3" s="120"/>
      <c r="KTB3" s="120"/>
      <c r="KTC3" s="120"/>
      <c r="KTD3" s="120"/>
      <c r="KTE3" s="120"/>
      <c r="KTF3" s="120"/>
      <c r="KTG3" s="120"/>
      <c r="KTH3" s="120"/>
      <c r="KTI3" s="120"/>
      <c r="KTJ3" s="120"/>
      <c r="KTK3" s="120"/>
      <c r="KTL3" s="120"/>
      <c r="KTM3" s="120"/>
      <c r="KTN3" s="120"/>
      <c r="KTO3" s="120"/>
      <c r="KTP3" s="120"/>
      <c r="KTQ3" s="120"/>
      <c r="KTR3" s="120"/>
      <c r="KTS3" s="120"/>
      <c r="KTT3" s="120"/>
      <c r="KTU3" s="120"/>
      <c r="KTV3" s="120"/>
      <c r="KTW3" s="120"/>
      <c r="KTX3" s="120"/>
      <c r="KTY3" s="120"/>
      <c r="KTZ3" s="120"/>
      <c r="KUA3" s="120"/>
      <c r="KUB3" s="120"/>
      <c r="KUC3" s="120"/>
      <c r="KUD3" s="120"/>
      <c r="KUE3" s="120"/>
      <c r="KUF3" s="120"/>
      <c r="KUG3" s="120"/>
      <c r="KUH3" s="120"/>
      <c r="KUI3" s="120"/>
      <c r="KUJ3" s="120"/>
      <c r="KUK3" s="120"/>
      <c r="KUL3" s="120"/>
      <c r="KUM3" s="120"/>
      <c r="KUN3" s="120"/>
      <c r="KUO3" s="120"/>
      <c r="KUP3" s="120"/>
      <c r="KUQ3" s="120"/>
      <c r="KUR3" s="120"/>
      <c r="KUS3" s="120"/>
      <c r="KUT3" s="120"/>
      <c r="KUU3" s="120"/>
      <c r="KUV3" s="120"/>
      <c r="KUW3" s="120"/>
      <c r="KUX3" s="120"/>
      <c r="KUY3" s="120"/>
      <c r="KUZ3" s="120"/>
      <c r="KVA3" s="120"/>
      <c r="KVB3" s="120"/>
      <c r="KVC3" s="120"/>
      <c r="KVD3" s="120"/>
      <c r="KVE3" s="120"/>
      <c r="KVF3" s="120"/>
      <c r="KVG3" s="120"/>
      <c r="KVH3" s="120"/>
      <c r="KVI3" s="120"/>
      <c r="KVJ3" s="120"/>
      <c r="KVK3" s="120"/>
      <c r="KVL3" s="120"/>
      <c r="KVM3" s="120"/>
      <c r="KVN3" s="120"/>
      <c r="KVO3" s="120"/>
      <c r="KVP3" s="120"/>
      <c r="KVQ3" s="120"/>
      <c r="KVR3" s="120"/>
      <c r="KVS3" s="120"/>
      <c r="KVT3" s="120"/>
      <c r="KVU3" s="120"/>
      <c r="KVV3" s="120"/>
      <c r="KVW3" s="120"/>
      <c r="KVX3" s="120"/>
      <c r="KVY3" s="120"/>
      <c r="KVZ3" s="120"/>
      <c r="KWA3" s="120"/>
      <c r="KWB3" s="120"/>
      <c r="KWC3" s="120"/>
      <c r="KWD3" s="120"/>
      <c r="KWE3" s="120"/>
      <c r="KWF3" s="120"/>
      <c r="KWG3" s="120"/>
      <c r="KWH3" s="120"/>
      <c r="KWI3" s="120"/>
      <c r="KWJ3" s="120"/>
      <c r="KWK3" s="120"/>
      <c r="KWL3" s="120"/>
      <c r="KWM3" s="120"/>
      <c r="KWN3" s="120"/>
      <c r="KWO3" s="120"/>
      <c r="KWP3" s="120"/>
      <c r="KWQ3" s="120"/>
      <c r="KWR3" s="120"/>
      <c r="KWS3" s="120"/>
      <c r="KWT3" s="120"/>
      <c r="KWU3" s="120"/>
      <c r="KWV3" s="120"/>
      <c r="KWW3" s="120"/>
      <c r="KWX3" s="120"/>
      <c r="KWY3" s="120"/>
      <c r="KWZ3" s="120"/>
      <c r="KXA3" s="120"/>
      <c r="KXB3" s="120"/>
      <c r="KXC3" s="120"/>
      <c r="KXD3" s="120"/>
      <c r="KXE3" s="120"/>
      <c r="KXF3" s="120"/>
      <c r="KXG3" s="120"/>
      <c r="KXH3" s="120"/>
      <c r="KXI3" s="120"/>
      <c r="KXJ3" s="120"/>
      <c r="KXK3" s="120"/>
      <c r="KXL3" s="120"/>
      <c r="KXM3" s="120"/>
      <c r="KXN3" s="120"/>
      <c r="KXO3" s="120"/>
      <c r="KXP3" s="120"/>
      <c r="KXQ3" s="120"/>
      <c r="KXR3" s="120"/>
      <c r="KXS3" s="120"/>
      <c r="KXT3" s="120"/>
      <c r="KXU3" s="120"/>
      <c r="KXV3" s="120"/>
      <c r="KXW3" s="120"/>
      <c r="KXX3" s="120"/>
      <c r="KXY3" s="120"/>
      <c r="KXZ3" s="120"/>
      <c r="KYA3" s="120"/>
      <c r="KYB3" s="120"/>
      <c r="KYC3" s="120"/>
      <c r="KYD3" s="120"/>
      <c r="KYE3" s="120"/>
      <c r="KYF3" s="120"/>
      <c r="KYG3" s="120"/>
      <c r="KYH3" s="120"/>
      <c r="KYI3" s="120"/>
      <c r="KYJ3" s="120"/>
      <c r="KYK3" s="120"/>
      <c r="KYL3" s="120"/>
      <c r="KYM3" s="120"/>
      <c r="KYN3" s="120"/>
      <c r="KYO3" s="120"/>
      <c r="KYP3" s="120"/>
      <c r="KYQ3" s="120"/>
      <c r="KYR3" s="120"/>
      <c r="KYS3" s="120"/>
      <c r="KYT3" s="120"/>
      <c r="KYU3" s="120"/>
      <c r="KYV3" s="120"/>
      <c r="KYW3" s="120"/>
      <c r="KYX3" s="120"/>
      <c r="KYY3" s="120"/>
      <c r="KYZ3" s="120"/>
      <c r="KZA3" s="120"/>
      <c r="KZB3" s="120"/>
      <c r="KZC3" s="120"/>
      <c r="KZD3" s="120"/>
      <c r="KZE3" s="120"/>
      <c r="KZF3" s="120"/>
      <c r="KZG3" s="120"/>
      <c r="KZH3" s="120"/>
      <c r="KZI3" s="120"/>
      <c r="KZJ3" s="120"/>
      <c r="KZK3" s="120"/>
      <c r="KZL3" s="120"/>
      <c r="KZM3" s="120"/>
      <c r="KZN3" s="120"/>
      <c r="KZO3" s="120"/>
      <c r="KZP3" s="120"/>
      <c r="KZQ3" s="120"/>
      <c r="KZR3" s="120"/>
      <c r="KZS3" s="120"/>
      <c r="KZT3" s="120"/>
      <c r="KZU3" s="120"/>
      <c r="KZV3" s="120"/>
      <c r="KZW3" s="120"/>
      <c r="KZX3" s="120"/>
      <c r="KZY3" s="120"/>
      <c r="KZZ3" s="120"/>
      <c r="LAA3" s="120"/>
      <c r="LAB3" s="120"/>
      <c r="LAC3" s="120"/>
      <c r="LAD3" s="120"/>
      <c r="LAE3" s="120"/>
      <c r="LAF3" s="120"/>
      <c r="LAG3" s="120"/>
      <c r="LAH3" s="120"/>
      <c r="LAI3" s="120"/>
      <c r="LAJ3" s="120"/>
      <c r="LAK3" s="120"/>
      <c r="LAL3" s="120"/>
      <c r="LAM3" s="120"/>
      <c r="LAN3" s="120"/>
      <c r="LAO3" s="120"/>
      <c r="LAP3" s="120"/>
      <c r="LAQ3" s="120"/>
      <c r="LAR3" s="120"/>
      <c r="LAS3" s="120"/>
      <c r="LAT3" s="120"/>
      <c r="LAU3" s="120"/>
      <c r="LAV3" s="120"/>
      <c r="LAW3" s="120"/>
      <c r="LAX3" s="120"/>
      <c r="LAY3" s="120"/>
      <c r="LAZ3" s="120"/>
      <c r="LBA3" s="120"/>
      <c r="LBB3" s="120"/>
      <c r="LBC3" s="120"/>
      <c r="LBD3" s="120"/>
      <c r="LBE3" s="120"/>
      <c r="LBF3" s="120"/>
      <c r="LBG3" s="120"/>
      <c r="LBH3" s="120"/>
      <c r="LBI3" s="120"/>
      <c r="LBJ3" s="120"/>
      <c r="LBK3" s="120"/>
      <c r="LBL3" s="120"/>
      <c r="LBM3" s="120"/>
      <c r="LBN3" s="120"/>
      <c r="LBO3" s="120"/>
      <c r="LBP3" s="120"/>
      <c r="LBQ3" s="120"/>
      <c r="LBR3" s="120"/>
      <c r="LBS3" s="120"/>
      <c r="LBT3" s="120"/>
      <c r="LBU3" s="120"/>
      <c r="LBV3" s="120"/>
      <c r="LBW3" s="120"/>
      <c r="LBX3" s="120"/>
      <c r="LBY3" s="120"/>
      <c r="LBZ3" s="120"/>
      <c r="LCA3" s="120"/>
      <c r="LCB3" s="120"/>
      <c r="LCC3" s="120"/>
      <c r="LCD3" s="120"/>
      <c r="LCE3" s="120"/>
      <c r="LCF3" s="120"/>
      <c r="LCG3" s="120"/>
      <c r="LCH3" s="120"/>
      <c r="LCI3" s="120"/>
      <c r="LCJ3" s="120"/>
      <c r="LCK3" s="120"/>
      <c r="LCL3" s="120"/>
      <c r="LCM3" s="120"/>
      <c r="LCN3" s="120"/>
      <c r="LCO3" s="120"/>
      <c r="LCP3" s="120"/>
      <c r="LCQ3" s="120"/>
      <c r="LCR3" s="120"/>
      <c r="LCS3" s="120"/>
      <c r="LCT3" s="120"/>
      <c r="LCU3" s="120"/>
      <c r="LCV3" s="120"/>
      <c r="LCW3" s="120"/>
      <c r="LCX3" s="120"/>
      <c r="LCY3" s="120"/>
      <c r="LCZ3" s="120"/>
      <c r="LDA3" s="120"/>
      <c r="LDB3" s="120"/>
      <c r="LDC3" s="120"/>
      <c r="LDD3" s="120"/>
      <c r="LDE3" s="120"/>
      <c r="LDF3" s="120"/>
      <c r="LDG3" s="120"/>
      <c r="LDH3" s="120"/>
      <c r="LDI3" s="120"/>
      <c r="LDJ3" s="120"/>
      <c r="LDK3" s="120"/>
      <c r="LDL3" s="120"/>
      <c r="LDM3" s="120"/>
      <c r="LDN3" s="120"/>
      <c r="LDO3" s="120"/>
      <c r="LDP3" s="120"/>
      <c r="LDQ3" s="120"/>
      <c r="LDR3" s="120"/>
      <c r="LDS3" s="120"/>
      <c r="LDT3" s="120"/>
      <c r="LDU3" s="120"/>
      <c r="LDV3" s="120"/>
      <c r="LDW3" s="120"/>
      <c r="LDX3" s="120"/>
      <c r="LDY3" s="120"/>
      <c r="LDZ3" s="120"/>
      <c r="LEA3" s="120"/>
      <c r="LEB3" s="120"/>
      <c r="LEC3" s="120"/>
      <c r="LED3" s="120"/>
      <c r="LEE3" s="120"/>
      <c r="LEF3" s="120"/>
      <c r="LEG3" s="120"/>
      <c r="LEH3" s="120"/>
      <c r="LEI3" s="120"/>
      <c r="LEJ3" s="120"/>
      <c r="LEK3" s="120"/>
      <c r="LEL3" s="120"/>
      <c r="LEM3" s="120"/>
      <c r="LEN3" s="120"/>
      <c r="LEO3" s="120"/>
      <c r="LEP3" s="120"/>
      <c r="LEQ3" s="120"/>
      <c r="LER3" s="120"/>
      <c r="LES3" s="120"/>
      <c r="LET3" s="120"/>
      <c r="LEU3" s="120"/>
      <c r="LEV3" s="120"/>
      <c r="LEW3" s="120"/>
      <c r="LEX3" s="120"/>
      <c r="LEY3" s="120"/>
      <c r="LEZ3" s="120"/>
      <c r="LFA3" s="120"/>
      <c r="LFB3" s="120"/>
      <c r="LFC3" s="120"/>
      <c r="LFD3" s="120"/>
      <c r="LFE3" s="120"/>
      <c r="LFF3" s="120"/>
      <c r="LFG3" s="120"/>
      <c r="LFH3" s="120"/>
      <c r="LFI3" s="120"/>
      <c r="LFJ3" s="120"/>
      <c r="LFK3" s="120"/>
      <c r="LFL3" s="120"/>
      <c r="LFM3" s="120"/>
      <c r="LFN3" s="120"/>
      <c r="LFO3" s="120"/>
      <c r="LFP3" s="120"/>
      <c r="LFQ3" s="120"/>
      <c r="LFR3" s="120"/>
      <c r="LFS3" s="120"/>
      <c r="LFT3" s="120"/>
      <c r="LFU3" s="120"/>
      <c r="LFV3" s="120"/>
      <c r="LFW3" s="120"/>
      <c r="LFX3" s="120"/>
      <c r="LFY3" s="120"/>
      <c r="LFZ3" s="120"/>
      <c r="LGA3" s="120"/>
      <c r="LGB3" s="120"/>
      <c r="LGC3" s="120"/>
      <c r="LGD3" s="120"/>
      <c r="LGE3" s="120"/>
      <c r="LGF3" s="120"/>
      <c r="LGG3" s="120"/>
      <c r="LGH3" s="120"/>
      <c r="LGI3" s="120"/>
      <c r="LGJ3" s="120"/>
      <c r="LGK3" s="120"/>
      <c r="LGL3" s="120"/>
      <c r="LGM3" s="120"/>
      <c r="LGN3" s="120"/>
      <c r="LGO3" s="120"/>
      <c r="LGP3" s="120"/>
      <c r="LGQ3" s="120"/>
      <c r="LGR3" s="120"/>
      <c r="LGS3" s="120"/>
      <c r="LGT3" s="120"/>
      <c r="LGU3" s="120"/>
      <c r="LGV3" s="120"/>
      <c r="LGW3" s="120"/>
      <c r="LGX3" s="120"/>
      <c r="LGY3" s="120"/>
      <c r="LGZ3" s="120"/>
      <c r="LHA3" s="120"/>
      <c r="LHB3" s="120"/>
      <c r="LHC3" s="120"/>
      <c r="LHD3" s="120"/>
      <c r="LHE3" s="120"/>
      <c r="LHF3" s="120"/>
      <c r="LHG3" s="120"/>
      <c r="LHH3" s="120"/>
      <c r="LHI3" s="120"/>
      <c r="LHJ3" s="120"/>
      <c r="LHK3" s="120"/>
      <c r="LHL3" s="120"/>
      <c r="LHM3" s="120"/>
      <c r="LHN3" s="120"/>
      <c r="LHO3" s="120"/>
      <c r="LHP3" s="120"/>
      <c r="LHQ3" s="120"/>
      <c r="LHR3" s="120"/>
      <c r="LHS3" s="120"/>
      <c r="LHT3" s="120"/>
      <c r="LHU3" s="120"/>
      <c r="LHV3" s="120"/>
      <c r="LHW3" s="120"/>
      <c r="LHX3" s="120"/>
      <c r="LHY3" s="120"/>
      <c r="LHZ3" s="120"/>
      <c r="LIA3" s="120"/>
      <c r="LIB3" s="120"/>
      <c r="LIC3" s="120"/>
      <c r="LID3" s="120"/>
      <c r="LIE3" s="120"/>
      <c r="LIF3" s="120"/>
      <c r="LIG3" s="120"/>
      <c r="LIH3" s="120"/>
      <c r="LII3" s="120"/>
      <c r="LIJ3" s="120"/>
      <c r="LIK3" s="120"/>
      <c r="LIL3" s="120"/>
      <c r="LIM3" s="120"/>
      <c r="LIN3" s="120"/>
      <c r="LIO3" s="120"/>
      <c r="LIP3" s="120"/>
      <c r="LIQ3" s="120"/>
      <c r="LIR3" s="120"/>
      <c r="LIS3" s="120"/>
      <c r="LIT3" s="120"/>
      <c r="LIU3" s="120"/>
      <c r="LIV3" s="120"/>
      <c r="LIW3" s="120"/>
      <c r="LIX3" s="120"/>
      <c r="LIY3" s="120"/>
      <c r="LIZ3" s="120"/>
      <c r="LJA3" s="120"/>
      <c r="LJB3" s="120"/>
      <c r="LJC3" s="120"/>
      <c r="LJD3" s="120"/>
      <c r="LJE3" s="120"/>
      <c r="LJF3" s="120"/>
      <c r="LJG3" s="120"/>
      <c r="LJH3" s="120"/>
      <c r="LJI3" s="120"/>
      <c r="LJJ3" s="120"/>
      <c r="LJK3" s="120"/>
      <c r="LJL3" s="120"/>
      <c r="LJM3" s="120"/>
      <c r="LJN3" s="120"/>
      <c r="LJO3" s="120"/>
      <c r="LJP3" s="120"/>
      <c r="LJQ3" s="120"/>
      <c r="LJR3" s="120"/>
      <c r="LJS3" s="120"/>
      <c r="LJT3" s="120"/>
      <c r="LJU3" s="120"/>
      <c r="LJV3" s="120"/>
      <c r="LJW3" s="120"/>
      <c r="LJX3" s="120"/>
      <c r="LJY3" s="120"/>
      <c r="LJZ3" s="120"/>
      <c r="LKA3" s="120"/>
      <c r="LKB3" s="120"/>
      <c r="LKC3" s="120"/>
      <c r="LKD3" s="120"/>
      <c r="LKE3" s="120"/>
      <c r="LKF3" s="120"/>
      <c r="LKG3" s="120"/>
      <c r="LKH3" s="120"/>
      <c r="LKI3" s="120"/>
      <c r="LKJ3" s="120"/>
      <c r="LKK3" s="120"/>
      <c r="LKL3" s="120"/>
      <c r="LKM3" s="120"/>
      <c r="LKN3" s="120"/>
      <c r="LKO3" s="120"/>
      <c r="LKP3" s="120"/>
      <c r="LKQ3" s="120"/>
      <c r="LKR3" s="120"/>
      <c r="LKS3" s="120"/>
      <c r="LKT3" s="120"/>
      <c r="LKU3" s="120"/>
      <c r="LKV3" s="120"/>
      <c r="LKW3" s="120"/>
      <c r="LKX3" s="120"/>
      <c r="LKY3" s="120"/>
      <c r="LKZ3" s="120"/>
      <c r="LLA3" s="120"/>
      <c r="LLB3" s="120"/>
      <c r="LLC3" s="120"/>
      <c r="LLD3" s="120"/>
      <c r="LLE3" s="120"/>
      <c r="LLF3" s="120"/>
      <c r="LLG3" s="120"/>
      <c r="LLH3" s="120"/>
      <c r="LLI3" s="120"/>
      <c r="LLJ3" s="120"/>
      <c r="LLK3" s="120"/>
      <c r="LLL3" s="120"/>
      <c r="LLM3" s="120"/>
      <c r="LLN3" s="120"/>
      <c r="LLO3" s="120"/>
      <c r="LLP3" s="120"/>
      <c r="LLQ3" s="120"/>
      <c r="LLR3" s="120"/>
      <c r="LLS3" s="120"/>
      <c r="LLT3" s="120"/>
      <c r="LLU3" s="120"/>
      <c r="LLV3" s="120"/>
      <c r="LLW3" s="120"/>
      <c r="LLX3" s="120"/>
      <c r="LLY3" s="120"/>
      <c r="LLZ3" s="120"/>
      <c r="LMA3" s="120"/>
      <c r="LMB3" s="120"/>
      <c r="LMC3" s="120"/>
      <c r="LMD3" s="120"/>
      <c r="LME3" s="120"/>
      <c r="LMF3" s="120"/>
      <c r="LMG3" s="120"/>
      <c r="LMH3" s="120"/>
      <c r="LMI3" s="120"/>
      <c r="LMJ3" s="120"/>
      <c r="LMK3" s="120"/>
      <c r="LML3" s="120"/>
      <c r="LMM3" s="120"/>
      <c r="LMN3" s="120"/>
      <c r="LMO3" s="120"/>
      <c r="LMP3" s="120"/>
      <c r="LMQ3" s="120"/>
      <c r="LMR3" s="120"/>
      <c r="LMS3" s="120"/>
      <c r="LMT3" s="120"/>
      <c r="LMU3" s="120"/>
      <c r="LMV3" s="120"/>
      <c r="LMW3" s="120"/>
      <c r="LMX3" s="120"/>
      <c r="LMY3" s="120"/>
      <c r="LMZ3" s="120"/>
      <c r="LNA3" s="120"/>
      <c r="LNB3" s="120"/>
      <c r="LNC3" s="120"/>
      <c r="LND3" s="120"/>
      <c r="LNE3" s="120"/>
      <c r="LNF3" s="120"/>
      <c r="LNG3" s="120"/>
      <c r="LNH3" s="120"/>
      <c r="LNI3" s="120"/>
      <c r="LNJ3" s="120"/>
      <c r="LNK3" s="120"/>
      <c r="LNL3" s="120"/>
      <c r="LNM3" s="120"/>
      <c r="LNN3" s="120"/>
      <c r="LNO3" s="120"/>
      <c r="LNP3" s="120"/>
      <c r="LNQ3" s="120"/>
      <c r="LNR3" s="120"/>
      <c r="LNS3" s="120"/>
      <c r="LNT3" s="120"/>
      <c r="LNU3" s="120"/>
      <c r="LNV3" s="120"/>
      <c r="LNW3" s="120"/>
      <c r="LNX3" s="120"/>
      <c r="LNY3" s="120"/>
      <c r="LNZ3" s="120"/>
      <c r="LOA3" s="120"/>
      <c r="LOB3" s="120"/>
      <c r="LOC3" s="120"/>
      <c r="LOD3" s="120"/>
      <c r="LOE3" s="120"/>
      <c r="LOF3" s="120"/>
      <c r="LOG3" s="120"/>
      <c r="LOH3" s="120"/>
      <c r="LOI3" s="120"/>
      <c r="LOJ3" s="120"/>
      <c r="LOK3" s="120"/>
      <c r="LOL3" s="120"/>
      <c r="LOM3" s="120"/>
      <c r="LON3" s="120"/>
      <c r="LOO3" s="120"/>
      <c r="LOP3" s="120"/>
      <c r="LOQ3" s="120"/>
      <c r="LOR3" s="120"/>
      <c r="LOS3" s="120"/>
      <c r="LOT3" s="120"/>
      <c r="LOU3" s="120"/>
      <c r="LOV3" s="120"/>
      <c r="LOW3" s="120"/>
      <c r="LOX3" s="120"/>
      <c r="LOY3" s="120"/>
      <c r="LOZ3" s="120"/>
      <c r="LPA3" s="120"/>
      <c r="LPB3" s="120"/>
      <c r="LPC3" s="120"/>
      <c r="LPD3" s="120"/>
      <c r="LPE3" s="120"/>
      <c r="LPF3" s="120"/>
      <c r="LPG3" s="120"/>
      <c r="LPH3" s="120"/>
      <c r="LPI3" s="120"/>
      <c r="LPJ3" s="120"/>
      <c r="LPK3" s="120"/>
      <c r="LPL3" s="120"/>
      <c r="LPM3" s="120"/>
      <c r="LPN3" s="120"/>
      <c r="LPO3" s="120"/>
      <c r="LPP3" s="120"/>
      <c r="LPQ3" s="120"/>
      <c r="LPR3" s="120"/>
      <c r="LPS3" s="120"/>
      <c r="LPT3" s="120"/>
      <c r="LPU3" s="120"/>
      <c r="LPV3" s="120"/>
      <c r="LPW3" s="120"/>
      <c r="LPX3" s="120"/>
      <c r="LPY3" s="120"/>
      <c r="LPZ3" s="120"/>
      <c r="LQA3" s="120"/>
      <c r="LQB3" s="120"/>
      <c r="LQC3" s="120"/>
      <c r="LQD3" s="120"/>
      <c r="LQE3" s="120"/>
      <c r="LQF3" s="120"/>
      <c r="LQG3" s="120"/>
      <c r="LQH3" s="120"/>
      <c r="LQI3" s="120"/>
      <c r="LQJ3" s="120"/>
      <c r="LQK3" s="120"/>
      <c r="LQL3" s="120"/>
      <c r="LQM3" s="120"/>
      <c r="LQN3" s="120"/>
      <c r="LQO3" s="120"/>
      <c r="LQP3" s="120"/>
      <c r="LQQ3" s="120"/>
      <c r="LQR3" s="120"/>
      <c r="LQS3" s="120"/>
      <c r="LQT3" s="120"/>
      <c r="LQU3" s="120"/>
      <c r="LQV3" s="120"/>
      <c r="LQW3" s="120"/>
      <c r="LQX3" s="120"/>
      <c r="LQY3" s="120"/>
      <c r="LQZ3" s="120"/>
      <c r="LRA3" s="120"/>
      <c r="LRB3" s="120"/>
      <c r="LRC3" s="120"/>
      <c r="LRD3" s="120"/>
      <c r="LRE3" s="120"/>
      <c r="LRF3" s="120"/>
      <c r="LRG3" s="120"/>
      <c r="LRH3" s="120"/>
      <c r="LRI3" s="120"/>
      <c r="LRJ3" s="120"/>
      <c r="LRK3" s="120"/>
      <c r="LRL3" s="120"/>
      <c r="LRM3" s="120"/>
      <c r="LRN3" s="120"/>
      <c r="LRO3" s="120"/>
      <c r="LRP3" s="120"/>
      <c r="LRQ3" s="120"/>
      <c r="LRR3" s="120"/>
      <c r="LRS3" s="120"/>
      <c r="LRT3" s="120"/>
      <c r="LRU3" s="120"/>
      <c r="LRV3" s="120"/>
      <c r="LRW3" s="120"/>
      <c r="LRX3" s="120"/>
      <c r="LRY3" s="120"/>
      <c r="LRZ3" s="120"/>
      <c r="LSA3" s="120"/>
      <c r="LSB3" s="120"/>
      <c r="LSC3" s="120"/>
      <c r="LSD3" s="120"/>
      <c r="LSE3" s="120"/>
      <c r="LSF3" s="120"/>
      <c r="LSG3" s="120"/>
      <c r="LSH3" s="120"/>
      <c r="LSI3" s="120"/>
      <c r="LSJ3" s="120"/>
      <c r="LSK3" s="120"/>
      <c r="LSL3" s="120"/>
      <c r="LSM3" s="120"/>
      <c r="LSN3" s="120"/>
      <c r="LSO3" s="120"/>
      <c r="LSP3" s="120"/>
      <c r="LSQ3" s="120"/>
      <c r="LSR3" s="120"/>
      <c r="LSS3" s="120"/>
      <c r="LST3" s="120"/>
      <c r="LSU3" s="120"/>
      <c r="LSV3" s="120"/>
      <c r="LSW3" s="120"/>
      <c r="LSX3" s="120"/>
      <c r="LSY3" s="120"/>
      <c r="LSZ3" s="120"/>
      <c r="LTA3" s="120"/>
      <c r="LTB3" s="120"/>
      <c r="LTC3" s="120"/>
      <c r="LTD3" s="120"/>
      <c r="LTE3" s="120"/>
      <c r="LTF3" s="120"/>
      <c r="LTG3" s="120"/>
      <c r="LTH3" s="120"/>
      <c r="LTI3" s="120"/>
      <c r="LTJ3" s="120"/>
      <c r="LTK3" s="120"/>
      <c r="LTL3" s="120"/>
      <c r="LTM3" s="120"/>
      <c r="LTN3" s="120"/>
      <c r="LTO3" s="120"/>
      <c r="LTP3" s="120"/>
      <c r="LTQ3" s="120"/>
      <c r="LTR3" s="120"/>
      <c r="LTS3" s="120"/>
      <c r="LTT3" s="120"/>
      <c r="LTU3" s="120"/>
      <c r="LTV3" s="120"/>
      <c r="LTW3" s="120"/>
      <c r="LTX3" s="120"/>
      <c r="LTY3" s="120"/>
      <c r="LTZ3" s="120"/>
      <c r="LUA3" s="120"/>
      <c r="LUB3" s="120"/>
      <c r="LUC3" s="120"/>
      <c r="LUD3" s="120"/>
      <c r="LUE3" s="120"/>
      <c r="LUF3" s="120"/>
      <c r="LUG3" s="120"/>
      <c r="LUH3" s="120"/>
      <c r="LUI3" s="120"/>
      <c r="LUJ3" s="120"/>
      <c r="LUK3" s="120"/>
      <c r="LUL3" s="120"/>
      <c r="LUM3" s="120"/>
      <c r="LUN3" s="120"/>
      <c r="LUO3" s="120"/>
      <c r="LUP3" s="120"/>
      <c r="LUQ3" s="120"/>
      <c r="LUR3" s="120"/>
      <c r="LUS3" s="120"/>
      <c r="LUT3" s="120"/>
      <c r="LUU3" s="120"/>
      <c r="LUV3" s="120"/>
      <c r="LUW3" s="120"/>
      <c r="LUX3" s="120"/>
      <c r="LUY3" s="120"/>
      <c r="LUZ3" s="120"/>
      <c r="LVA3" s="120"/>
      <c r="LVB3" s="120"/>
      <c r="LVC3" s="120"/>
      <c r="LVD3" s="120"/>
      <c r="LVE3" s="120"/>
      <c r="LVF3" s="120"/>
      <c r="LVG3" s="120"/>
      <c r="LVH3" s="120"/>
      <c r="LVI3" s="120"/>
      <c r="LVJ3" s="120"/>
      <c r="LVK3" s="120"/>
      <c r="LVL3" s="120"/>
      <c r="LVM3" s="120"/>
      <c r="LVN3" s="120"/>
      <c r="LVO3" s="120"/>
      <c r="LVP3" s="120"/>
      <c r="LVQ3" s="120"/>
      <c r="LVR3" s="120"/>
      <c r="LVS3" s="120"/>
      <c r="LVT3" s="120"/>
      <c r="LVU3" s="120"/>
      <c r="LVV3" s="120"/>
      <c r="LVW3" s="120"/>
      <c r="LVX3" s="120"/>
      <c r="LVY3" s="120"/>
      <c r="LVZ3" s="120"/>
      <c r="LWA3" s="120"/>
      <c r="LWB3" s="120"/>
      <c r="LWC3" s="120"/>
      <c r="LWD3" s="120"/>
      <c r="LWE3" s="120"/>
      <c r="LWF3" s="120"/>
      <c r="LWG3" s="120"/>
      <c r="LWH3" s="120"/>
      <c r="LWI3" s="120"/>
      <c r="LWJ3" s="120"/>
      <c r="LWK3" s="120"/>
      <c r="LWL3" s="120"/>
      <c r="LWM3" s="120"/>
      <c r="LWN3" s="120"/>
      <c r="LWO3" s="120"/>
      <c r="LWP3" s="120"/>
      <c r="LWQ3" s="120"/>
      <c r="LWR3" s="120"/>
      <c r="LWS3" s="120"/>
      <c r="LWT3" s="120"/>
      <c r="LWU3" s="120"/>
      <c r="LWV3" s="120"/>
      <c r="LWW3" s="120"/>
      <c r="LWX3" s="120"/>
      <c r="LWY3" s="120"/>
      <c r="LWZ3" s="120"/>
      <c r="LXA3" s="120"/>
      <c r="LXB3" s="120"/>
      <c r="LXC3" s="120"/>
      <c r="LXD3" s="120"/>
      <c r="LXE3" s="120"/>
      <c r="LXF3" s="120"/>
      <c r="LXG3" s="120"/>
      <c r="LXH3" s="120"/>
      <c r="LXI3" s="120"/>
      <c r="LXJ3" s="120"/>
      <c r="LXK3" s="120"/>
      <c r="LXL3" s="120"/>
      <c r="LXM3" s="120"/>
      <c r="LXN3" s="120"/>
      <c r="LXO3" s="120"/>
      <c r="LXP3" s="120"/>
      <c r="LXQ3" s="120"/>
      <c r="LXR3" s="120"/>
      <c r="LXS3" s="120"/>
      <c r="LXT3" s="120"/>
      <c r="LXU3" s="120"/>
      <c r="LXV3" s="120"/>
      <c r="LXW3" s="120"/>
      <c r="LXX3" s="120"/>
      <c r="LXY3" s="120"/>
      <c r="LXZ3" s="120"/>
      <c r="LYA3" s="120"/>
      <c r="LYB3" s="120"/>
      <c r="LYC3" s="120"/>
      <c r="LYD3" s="120"/>
      <c r="LYE3" s="120"/>
      <c r="LYF3" s="120"/>
      <c r="LYG3" s="120"/>
      <c r="LYH3" s="120"/>
      <c r="LYI3" s="120"/>
      <c r="LYJ3" s="120"/>
      <c r="LYK3" s="120"/>
      <c r="LYL3" s="120"/>
      <c r="LYM3" s="120"/>
      <c r="LYN3" s="120"/>
      <c r="LYO3" s="120"/>
      <c r="LYP3" s="120"/>
      <c r="LYQ3" s="120"/>
      <c r="LYR3" s="120"/>
      <c r="LYS3" s="120"/>
      <c r="LYT3" s="120"/>
      <c r="LYU3" s="120"/>
      <c r="LYV3" s="120"/>
      <c r="LYW3" s="120"/>
      <c r="LYX3" s="120"/>
      <c r="LYY3" s="120"/>
      <c r="LYZ3" s="120"/>
      <c r="LZA3" s="120"/>
      <c r="LZB3" s="120"/>
      <c r="LZC3" s="120"/>
      <c r="LZD3" s="120"/>
      <c r="LZE3" s="120"/>
      <c r="LZF3" s="120"/>
      <c r="LZG3" s="120"/>
      <c r="LZH3" s="120"/>
      <c r="LZI3" s="120"/>
      <c r="LZJ3" s="120"/>
      <c r="LZK3" s="120"/>
      <c r="LZL3" s="120"/>
      <c r="LZM3" s="120"/>
      <c r="LZN3" s="120"/>
      <c r="LZO3" s="120"/>
      <c r="LZP3" s="120"/>
      <c r="LZQ3" s="120"/>
      <c r="LZR3" s="120"/>
      <c r="LZS3" s="120"/>
      <c r="LZT3" s="120"/>
      <c r="LZU3" s="120"/>
      <c r="LZV3" s="120"/>
      <c r="LZW3" s="120"/>
      <c r="LZX3" s="120"/>
      <c r="LZY3" s="120"/>
      <c r="LZZ3" s="120"/>
      <c r="MAA3" s="120"/>
      <c r="MAB3" s="120"/>
      <c r="MAC3" s="120"/>
      <c r="MAD3" s="120"/>
      <c r="MAE3" s="120"/>
      <c r="MAF3" s="120"/>
      <c r="MAG3" s="120"/>
      <c r="MAH3" s="120"/>
      <c r="MAI3" s="120"/>
      <c r="MAJ3" s="120"/>
      <c r="MAK3" s="120"/>
      <c r="MAL3" s="120"/>
      <c r="MAM3" s="120"/>
      <c r="MAN3" s="120"/>
      <c r="MAO3" s="120"/>
      <c r="MAP3" s="120"/>
      <c r="MAQ3" s="120"/>
      <c r="MAR3" s="120"/>
      <c r="MAS3" s="120"/>
      <c r="MAT3" s="120"/>
      <c r="MAU3" s="120"/>
      <c r="MAV3" s="120"/>
      <c r="MAW3" s="120"/>
      <c r="MAX3" s="120"/>
      <c r="MAY3" s="120"/>
      <c r="MAZ3" s="120"/>
      <c r="MBA3" s="120"/>
      <c r="MBB3" s="120"/>
      <c r="MBC3" s="120"/>
      <c r="MBD3" s="120"/>
      <c r="MBE3" s="120"/>
      <c r="MBF3" s="120"/>
      <c r="MBG3" s="120"/>
      <c r="MBH3" s="120"/>
      <c r="MBI3" s="120"/>
      <c r="MBJ3" s="120"/>
      <c r="MBK3" s="120"/>
      <c r="MBL3" s="120"/>
      <c r="MBM3" s="120"/>
      <c r="MBN3" s="120"/>
      <c r="MBO3" s="120"/>
      <c r="MBP3" s="120"/>
      <c r="MBQ3" s="120"/>
      <c r="MBR3" s="120"/>
      <c r="MBS3" s="120"/>
      <c r="MBT3" s="120"/>
      <c r="MBU3" s="120"/>
      <c r="MBV3" s="120"/>
      <c r="MBW3" s="120"/>
      <c r="MBX3" s="120"/>
      <c r="MBY3" s="120"/>
      <c r="MBZ3" s="120"/>
      <c r="MCA3" s="120"/>
      <c r="MCB3" s="120"/>
      <c r="MCC3" s="120"/>
      <c r="MCD3" s="120"/>
      <c r="MCE3" s="120"/>
      <c r="MCF3" s="120"/>
      <c r="MCG3" s="120"/>
      <c r="MCH3" s="120"/>
      <c r="MCI3" s="120"/>
      <c r="MCJ3" s="120"/>
      <c r="MCK3" s="120"/>
      <c r="MCL3" s="120"/>
      <c r="MCM3" s="120"/>
      <c r="MCN3" s="120"/>
      <c r="MCO3" s="120"/>
      <c r="MCP3" s="120"/>
      <c r="MCQ3" s="120"/>
      <c r="MCR3" s="120"/>
      <c r="MCS3" s="120"/>
      <c r="MCT3" s="120"/>
      <c r="MCU3" s="120"/>
      <c r="MCV3" s="120"/>
      <c r="MCW3" s="120"/>
      <c r="MCX3" s="120"/>
      <c r="MCY3" s="120"/>
      <c r="MCZ3" s="120"/>
      <c r="MDA3" s="120"/>
      <c r="MDB3" s="120"/>
      <c r="MDC3" s="120"/>
      <c r="MDD3" s="120"/>
      <c r="MDE3" s="120"/>
      <c r="MDF3" s="120"/>
      <c r="MDG3" s="120"/>
      <c r="MDH3" s="120"/>
      <c r="MDI3" s="120"/>
      <c r="MDJ3" s="120"/>
      <c r="MDK3" s="120"/>
      <c r="MDL3" s="120"/>
      <c r="MDM3" s="120"/>
      <c r="MDN3" s="120"/>
      <c r="MDO3" s="120"/>
      <c r="MDP3" s="120"/>
      <c r="MDQ3" s="120"/>
      <c r="MDR3" s="120"/>
      <c r="MDS3" s="120"/>
      <c r="MDT3" s="120"/>
      <c r="MDU3" s="120"/>
      <c r="MDV3" s="120"/>
      <c r="MDW3" s="120"/>
      <c r="MDX3" s="120"/>
      <c r="MDY3" s="120"/>
      <c r="MDZ3" s="120"/>
      <c r="MEA3" s="120"/>
      <c r="MEB3" s="120"/>
      <c r="MEC3" s="120"/>
      <c r="MED3" s="120"/>
      <c r="MEE3" s="120"/>
      <c r="MEF3" s="120"/>
      <c r="MEG3" s="120"/>
      <c r="MEH3" s="120"/>
      <c r="MEI3" s="120"/>
      <c r="MEJ3" s="120"/>
      <c r="MEK3" s="120"/>
      <c r="MEL3" s="120"/>
      <c r="MEM3" s="120"/>
      <c r="MEN3" s="120"/>
      <c r="MEO3" s="120"/>
      <c r="MEP3" s="120"/>
      <c r="MEQ3" s="120"/>
      <c r="MER3" s="120"/>
      <c r="MES3" s="120"/>
      <c r="MET3" s="120"/>
      <c r="MEU3" s="120"/>
      <c r="MEV3" s="120"/>
      <c r="MEW3" s="120"/>
      <c r="MEX3" s="120"/>
      <c r="MEY3" s="120"/>
      <c r="MEZ3" s="120"/>
      <c r="MFA3" s="120"/>
      <c r="MFB3" s="120"/>
      <c r="MFC3" s="120"/>
      <c r="MFD3" s="120"/>
      <c r="MFE3" s="120"/>
      <c r="MFF3" s="120"/>
      <c r="MFG3" s="120"/>
      <c r="MFH3" s="120"/>
      <c r="MFI3" s="120"/>
      <c r="MFJ3" s="120"/>
      <c r="MFK3" s="120"/>
      <c r="MFL3" s="120"/>
      <c r="MFM3" s="120"/>
      <c r="MFN3" s="120"/>
      <c r="MFO3" s="120"/>
      <c r="MFP3" s="120"/>
      <c r="MFQ3" s="120"/>
      <c r="MFR3" s="120"/>
      <c r="MFS3" s="120"/>
      <c r="MFT3" s="120"/>
      <c r="MFU3" s="120"/>
      <c r="MFV3" s="120"/>
      <c r="MFW3" s="120"/>
      <c r="MFX3" s="120"/>
      <c r="MFY3" s="120"/>
      <c r="MFZ3" s="120"/>
      <c r="MGA3" s="120"/>
      <c r="MGB3" s="120"/>
      <c r="MGC3" s="120"/>
      <c r="MGD3" s="120"/>
      <c r="MGE3" s="120"/>
      <c r="MGF3" s="120"/>
      <c r="MGG3" s="120"/>
      <c r="MGH3" s="120"/>
      <c r="MGI3" s="120"/>
      <c r="MGJ3" s="120"/>
      <c r="MGK3" s="120"/>
      <c r="MGL3" s="120"/>
      <c r="MGM3" s="120"/>
      <c r="MGN3" s="120"/>
      <c r="MGO3" s="120"/>
      <c r="MGP3" s="120"/>
      <c r="MGQ3" s="120"/>
      <c r="MGR3" s="120"/>
      <c r="MGS3" s="120"/>
      <c r="MGT3" s="120"/>
      <c r="MGU3" s="120"/>
      <c r="MGV3" s="120"/>
      <c r="MGW3" s="120"/>
      <c r="MGX3" s="120"/>
      <c r="MGY3" s="120"/>
      <c r="MGZ3" s="120"/>
      <c r="MHA3" s="120"/>
      <c r="MHB3" s="120"/>
      <c r="MHC3" s="120"/>
      <c r="MHD3" s="120"/>
      <c r="MHE3" s="120"/>
      <c r="MHF3" s="120"/>
      <c r="MHG3" s="120"/>
      <c r="MHH3" s="120"/>
      <c r="MHI3" s="120"/>
      <c r="MHJ3" s="120"/>
      <c r="MHK3" s="120"/>
      <c r="MHL3" s="120"/>
      <c r="MHM3" s="120"/>
      <c r="MHN3" s="120"/>
      <c r="MHO3" s="120"/>
      <c r="MHP3" s="120"/>
      <c r="MHQ3" s="120"/>
      <c r="MHR3" s="120"/>
      <c r="MHS3" s="120"/>
      <c r="MHT3" s="120"/>
      <c r="MHU3" s="120"/>
      <c r="MHV3" s="120"/>
      <c r="MHW3" s="120"/>
      <c r="MHX3" s="120"/>
      <c r="MHY3" s="120"/>
      <c r="MHZ3" s="120"/>
      <c r="MIA3" s="120"/>
      <c r="MIB3" s="120"/>
      <c r="MIC3" s="120"/>
      <c r="MID3" s="120"/>
      <c r="MIE3" s="120"/>
      <c r="MIF3" s="120"/>
      <c r="MIG3" s="120"/>
      <c r="MIH3" s="120"/>
      <c r="MII3" s="120"/>
      <c r="MIJ3" s="120"/>
      <c r="MIK3" s="120"/>
      <c r="MIL3" s="120"/>
      <c r="MIM3" s="120"/>
      <c r="MIN3" s="120"/>
      <c r="MIO3" s="120"/>
      <c r="MIP3" s="120"/>
      <c r="MIQ3" s="120"/>
      <c r="MIR3" s="120"/>
      <c r="MIS3" s="120"/>
      <c r="MIT3" s="120"/>
      <c r="MIU3" s="120"/>
      <c r="MIV3" s="120"/>
      <c r="MIW3" s="120"/>
      <c r="MIX3" s="120"/>
      <c r="MIY3" s="120"/>
      <c r="MIZ3" s="120"/>
      <c r="MJA3" s="120"/>
      <c r="MJB3" s="120"/>
      <c r="MJC3" s="120"/>
      <c r="MJD3" s="120"/>
      <c r="MJE3" s="120"/>
      <c r="MJF3" s="120"/>
      <c r="MJG3" s="120"/>
      <c r="MJH3" s="120"/>
      <c r="MJI3" s="120"/>
      <c r="MJJ3" s="120"/>
      <c r="MJK3" s="120"/>
      <c r="MJL3" s="120"/>
      <c r="MJM3" s="120"/>
      <c r="MJN3" s="120"/>
      <c r="MJO3" s="120"/>
      <c r="MJP3" s="120"/>
      <c r="MJQ3" s="120"/>
      <c r="MJR3" s="120"/>
      <c r="MJS3" s="120"/>
      <c r="MJT3" s="120"/>
      <c r="MJU3" s="120"/>
      <c r="MJV3" s="120"/>
      <c r="MJW3" s="120"/>
      <c r="MJX3" s="120"/>
      <c r="MJY3" s="120"/>
      <c r="MJZ3" s="120"/>
      <c r="MKA3" s="120"/>
      <c r="MKB3" s="120"/>
      <c r="MKC3" s="120"/>
      <c r="MKD3" s="120"/>
      <c r="MKE3" s="120"/>
      <c r="MKF3" s="120"/>
      <c r="MKG3" s="120"/>
      <c r="MKH3" s="120"/>
      <c r="MKI3" s="120"/>
      <c r="MKJ3" s="120"/>
      <c r="MKK3" s="120"/>
      <c r="MKL3" s="120"/>
      <c r="MKM3" s="120"/>
      <c r="MKN3" s="120"/>
      <c r="MKO3" s="120"/>
      <c r="MKP3" s="120"/>
      <c r="MKQ3" s="120"/>
      <c r="MKR3" s="120"/>
      <c r="MKS3" s="120"/>
      <c r="MKT3" s="120"/>
      <c r="MKU3" s="120"/>
      <c r="MKV3" s="120"/>
      <c r="MKW3" s="120"/>
      <c r="MKX3" s="120"/>
      <c r="MKY3" s="120"/>
      <c r="MKZ3" s="120"/>
      <c r="MLA3" s="120"/>
      <c r="MLB3" s="120"/>
      <c r="MLC3" s="120"/>
      <c r="MLD3" s="120"/>
      <c r="MLE3" s="120"/>
      <c r="MLF3" s="120"/>
      <c r="MLG3" s="120"/>
      <c r="MLH3" s="120"/>
      <c r="MLI3" s="120"/>
      <c r="MLJ3" s="120"/>
      <c r="MLK3" s="120"/>
      <c r="MLL3" s="120"/>
      <c r="MLM3" s="120"/>
      <c r="MLN3" s="120"/>
      <c r="MLO3" s="120"/>
      <c r="MLP3" s="120"/>
      <c r="MLQ3" s="120"/>
      <c r="MLR3" s="120"/>
      <c r="MLS3" s="120"/>
      <c r="MLT3" s="120"/>
      <c r="MLU3" s="120"/>
      <c r="MLV3" s="120"/>
      <c r="MLW3" s="120"/>
      <c r="MLX3" s="120"/>
      <c r="MLY3" s="120"/>
      <c r="MLZ3" s="120"/>
      <c r="MMA3" s="120"/>
      <c r="MMB3" s="120"/>
      <c r="MMC3" s="120"/>
      <c r="MMD3" s="120"/>
      <c r="MME3" s="120"/>
      <c r="MMF3" s="120"/>
      <c r="MMG3" s="120"/>
      <c r="MMH3" s="120"/>
      <c r="MMI3" s="120"/>
      <c r="MMJ3" s="120"/>
      <c r="MMK3" s="120"/>
      <c r="MML3" s="120"/>
      <c r="MMM3" s="120"/>
      <c r="MMN3" s="120"/>
      <c r="MMO3" s="120"/>
      <c r="MMP3" s="120"/>
      <c r="MMQ3" s="120"/>
      <c r="MMR3" s="120"/>
      <c r="MMS3" s="120"/>
      <c r="MMT3" s="120"/>
      <c r="MMU3" s="120"/>
      <c r="MMV3" s="120"/>
      <c r="MMW3" s="120"/>
      <c r="MMX3" s="120"/>
      <c r="MMY3" s="120"/>
      <c r="MMZ3" s="120"/>
      <c r="MNA3" s="120"/>
      <c r="MNB3" s="120"/>
      <c r="MNC3" s="120"/>
      <c r="MND3" s="120"/>
      <c r="MNE3" s="120"/>
      <c r="MNF3" s="120"/>
      <c r="MNG3" s="120"/>
      <c r="MNH3" s="120"/>
      <c r="MNI3" s="120"/>
      <c r="MNJ3" s="120"/>
      <c r="MNK3" s="120"/>
      <c r="MNL3" s="120"/>
      <c r="MNM3" s="120"/>
      <c r="MNN3" s="120"/>
      <c r="MNO3" s="120"/>
      <c r="MNP3" s="120"/>
      <c r="MNQ3" s="120"/>
      <c r="MNR3" s="120"/>
      <c r="MNS3" s="120"/>
      <c r="MNT3" s="120"/>
      <c r="MNU3" s="120"/>
      <c r="MNV3" s="120"/>
      <c r="MNW3" s="120"/>
      <c r="MNX3" s="120"/>
      <c r="MNY3" s="120"/>
      <c r="MNZ3" s="120"/>
      <c r="MOA3" s="120"/>
      <c r="MOB3" s="120"/>
      <c r="MOC3" s="120"/>
      <c r="MOD3" s="120"/>
      <c r="MOE3" s="120"/>
      <c r="MOF3" s="120"/>
      <c r="MOG3" s="120"/>
      <c r="MOH3" s="120"/>
      <c r="MOI3" s="120"/>
      <c r="MOJ3" s="120"/>
      <c r="MOK3" s="120"/>
      <c r="MOL3" s="120"/>
      <c r="MOM3" s="120"/>
      <c r="MON3" s="120"/>
      <c r="MOO3" s="120"/>
      <c r="MOP3" s="120"/>
      <c r="MOQ3" s="120"/>
      <c r="MOR3" s="120"/>
      <c r="MOS3" s="120"/>
      <c r="MOT3" s="120"/>
      <c r="MOU3" s="120"/>
      <c r="MOV3" s="120"/>
      <c r="MOW3" s="120"/>
      <c r="MOX3" s="120"/>
      <c r="MOY3" s="120"/>
      <c r="MOZ3" s="120"/>
      <c r="MPA3" s="120"/>
      <c r="MPB3" s="120"/>
      <c r="MPC3" s="120"/>
      <c r="MPD3" s="120"/>
      <c r="MPE3" s="120"/>
      <c r="MPF3" s="120"/>
      <c r="MPG3" s="120"/>
      <c r="MPH3" s="120"/>
      <c r="MPI3" s="120"/>
      <c r="MPJ3" s="120"/>
      <c r="MPK3" s="120"/>
      <c r="MPL3" s="120"/>
      <c r="MPM3" s="120"/>
      <c r="MPN3" s="120"/>
      <c r="MPO3" s="120"/>
      <c r="MPP3" s="120"/>
      <c r="MPQ3" s="120"/>
      <c r="MPR3" s="120"/>
      <c r="MPS3" s="120"/>
      <c r="MPT3" s="120"/>
      <c r="MPU3" s="120"/>
      <c r="MPV3" s="120"/>
      <c r="MPW3" s="120"/>
      <c r="MPX3" s="120"/>
      <c r="MPY3" s="120"/>
      <c r="MPZ3" s="120"/>
      <c r="MQA3" s="120"/>
      <c r="MQB3" s="120"/>
      <c r="MQC3" s="120"/>
      <c r="MQD3" s="120"/>
      <c r="MQE3" s="120"/>
      <c r="MQF3" s="120"/>
      <c r="MQG3" s="120"/>
      <c r="MQH3" s="120"/>
      <c r="MQI3" s="120"/>
      <c r="MQJ3" s="120"/>
      <c r="MQK3" s="120"/>
      <c r="MQL3" s="120"/>
      <c r="MQM3" s="120"/>
      <c r="MQN3" s="120"/>
      <c r="MQO3" s="120"/>
      <c r="MQP3" s="120"/>
      <c r="MQQ3" s="120"/>
      <c r="MQR3" s="120"/>
      <c r="MQS3" s="120"/>
      <c r="MQT3" s="120"/>
      <c r="MQU3" s="120"/>
      <c r="MQV3" s="120"/>
      <c r="MQW3" s="120"/>
      <c r="MQX3" s="120"/>
      <c r="MQY3" s="120"/>
      <c r="MQZ3" s="120"/>
      <c r="MRA3" s="120"/>
      <c r="MRB3" s="120"/>
      <c r="MRC3" s="120"/>
      <c r="MRD3" s="120"/>
      <c r="MRE3" s="120"/>
      <c r="MRF3" s="120"/>
      <c r="MRG3" s="120"/>
      <c r="MRH3" s="120"/>
      <c r="MRI3" s="120"/>
      <c r="MRJ3" s="120"/>
      <c r="MRK3" s="120"/>
      <c r="MRL3" s="120"/>
      <c r="MRM3" s="120"/>
      <c r="MRN3" s="120"/>
      <c r="MRO3" s="120"/>
      <c r="MRP3" s="120"/>
      <c r="MRQ3" s="120"/>
      <c r="MRR3" s="120"/>
      <c r="MRS3" s="120"/>
      <c r="MRT3" s="120"/>
      <c r="MRU3" s="120"/>
      <c r="MRV3" s="120"/>
      <c r="MRW3" s="120"/>
      <c r="MRX3" s="120"/>
      <c r="MRY3" s="120"/>
      <c r="MRZ3" s="120"/>
      <c r="MSA3" s="120"/>
      <c r="MSB3" s="120"/>
      <c r="MSC3" s="120"/>
      <c r="MSD3" s="120"/>
      <c r="MSE3" s="120"/>
      <c r="MSF3" s="120"/>
      <c r="MSG3" s="120"/>
      <c r="MSH3" s="120"/>
      <c r="MSI3" s="120"/>
      <c r="MSJ3" s="120"/>
      <c r="MSK3" s="120"/>
      <c r="MSL3" s="120"/>
      <c r="MSM3" s="120"/>
      <c r="MSN3" s="120"/>
      <c r="MSO3" s="120"/>
      <c r="MSP3" s="120"/>
      <c r="MSQ3" s="120"/>
      <c r="MSR3" s="120"/>
      <c r="MSS3" s="120"/>
      <c r="MST3" s="120"/>
      <c r="MSU3" s="120"/>
      <c r="MSV3" s="120"/>
      <c r="MSW3" s="120"/>
      <c r="MSX3" s="120"/>
      <c r="MSY3" s="120"/>
      <c r="MSZ3" s="120"/>
      <c r="MTA3" s="120"/>
      <c r="MTB3" s="120"/>
      <c r="MTC3" s="120"/>
      <c r="MTD3" s="120"/>
      <c r="MTE3" s="120"/>
      <c r="MTF3" s="120"/>
      <c r="MTG3" s="120"/>
      <c r="MTH3" s="120"/>
      <c r="MTI3" s="120"/>
      <c r="MTJ3" s="120"/>
      <c r="MTK3" s="120"/>
      <c r="MTL3" s="120"/>
      <c r="MTM3" s="120"/>
      <c r="MTN3" s="120"/>
      <c r="MTO3" s="120"/>
      <c r="MTP3" s="120"/>
      <c r="MTQ3" s="120"/>
      <c r="MTR3" s="120"/>
      <c r="MTS3" s="120"/>
      <c r="MTT3" s="120"/>
      <c r="MTU3" s="120"/>
      <c r="MTV3" s="120"/>
      <c r="MTW3" s="120"/>
      <c r="MTX3" s="120"/>
      <c r="MTY3" s="120"/>
      <c r="MTZ3" s="120"/>
      <c r="MUA3" s="120"/>
      <c r="MUB3" s="120"/>
      <c r="MUC3" s="120"/>
      <c r="MUD3" s="120"/>
      <c r="MUE3" s="120"/>
      <c r="MUF3" s="120"/>
      <c r="MUG3" s="120"/>
      <c r="MUH3" s="120"/>
      <c r="MUI3" s="120"/>
      <c r="MUJ3" s="120"/>
      <c r="MUK3" s="120"/>
      <c r="MUL3" s="120"/>
      <c r="MUM3" s="120"/>
      <c r="MUN3" s="120"/>
      <c r="MUO3" s="120"/>
      <c r="MUP3" s="120"/>
      <c r="MUQ3" s="120"/>
      <c r="MUR3" s="120"/>
      <c r="MUS3" s="120"/>
      <c r="MUT3" s="120"/>
      <c r="MUU3" s="120"/>
      <c r="MUV3" s="120"/>
      <c r="MUW3" s="120"/>
      <c r="MUX3" s="120"/>
      <c r="MUY3" s="120"/>
      <c r="MUZ3" s="120"/>
      <c r="MVA3" s="120"/>
      <c r="MVB3" s="120"/>
      <c r="MVC3" s="120"/>
      <c r="MVD3" s="120"/>
      <c r="MVE3" s="120"/>
      <c r="MVF3" s="120"/>
      <c r="MVG3" s="120"/>
      <c r="MVH3" s="120"/>
      <c r="MVI3" s="120"/>
      <c r="MVJ3" s="120"/>
      <c r="MVK3" s="120"/>
      <c r="MVL3" s="120"/>
      <c r="MVM3" s="120"/>
      <c r="MVN3" s="120"/>
      <c r="MVO3" s="120"/>
      <c r="MVP3" s="120"/>
      <c r="MVQ3" s="120"/>
      <c r="MVR3" s="120"/>
      <c r="MVS3" s="120"/>
      <c r="MVT3" s="120"/>
      <c r="MVU3" s="120"/>
      <c r="MVV3" s="120"/>
      <c r="MVW3" s="120"/>
      <c r="MVX3" s="120"/>
      <c r="MVY3" s="120"/>
      <c r="MVZ3" s="120"/>
      <c r="MWA3" s="120"/>
      <c r="MWB3" s="120"/>
      <c r="MWC3" s="120"/>
      <c r="MWD3" s="120"/>
      <c r="MWE3" s="120"/>
      <c r="MWF3" s="120"/>
      <c r="MWG3" s="120"/>
      <c r="MWH3" s="120"/>
      <c r="MWI3" s="120"/>
      <c r="MWJ3" s="120"/>
      <c r="MWK3" s="120"/>
      <c r="MWL3" s="120"/>
      <c r="MWM3" s="120"/>
      <c r="MWN3" s="120"/>
      <c r="MWO3" s="120"/>
      <c r="MWP3" s="120"/>
      <c r="MWQ3" s="120"/>
      <c r="MWR3" s="120"/>
      <c r="MWS3" s="120"/>
      <c r="MWT3" s="120"/>
      <c r="MWU3" s="120"/>
      <c r="MWV3" s="120"/>
      <c r="MWW3" s="120"/>
      <c r="MWX3" s="120"/>
      <c r="MWY3" s="120"/>
      <c r="MWZ3" s="120"/>
      <c r="MXA3" s="120"/>
      <c r="MXB3" s="120"/>
      <c r="MXC3" s="120"/>
      <c r="MXD3" s="120"/>
      <c r="MXE3" s="120"/>
      <c r="MXF3" s="120"/>
      <c r="MXG3" s="120"/>
      <c r="MXH3" s="120"/>
      <c r="MXI3" s="120"/>
      <c r="MXJ3" s="120"/>
      <c r="MXK3" s="120"/>
      <c r="MXL3" s="120"/>
      <c r="MXM3" s="120"/>
      <c r="MXN3" s="120"/>
      <c r="MXO3" s="120"/>
      <c r="MXP3" s="120"/>
      <c r="MXQ3" s="120"/>
      <c r="MXR3" s="120"/>
      <c r="MXS3" s="120"/>
      <c r="MXT3" s="120"/>
      <c r="MXU3" s="120"/>
      <c r="MXV3" s="120"/>
      <c r="MXW3" s="120"/>
      <c r="MXX3" s="120"/>
      <c r="MXY3" s="120"/>
      <c r="MXZ3" s="120"/>
      <c r="MYA3" s="120"/>
      <c r="MYB3" s="120"/>
      <c r="MYC3" s="120"/>
      <c r="MYD3" s="120"/>
      <c r="MYE3" s="120"/>
      <c r="MYF3" s="120"/>
      <c r="MYG3" s="120"/>
      <c r="MYH3" s="120"/>
      <c r="MYI3" s="120"/>
      <c r="MYJ3" s="120"/>
      <c r="MYK3" s="120"/>
      <c r="MYL3" s="120"/>
      <c r="MYM3" s="120"/>
      <c r="MYN3" s="120"/>
      <c r="MYO3" s="120"/>
      <c r="MYP3" s="120"/>
      <c r="MYQ3" s="120"/>
      <c r="MYR3" s="120"/>
      <c r="MYS3" s="120"/>
      <c r="MYT3" s="120"/>
      <c r="MYU3" s="120"/>
      <c r="MYV3" s="120"/>
      <c r="MYW3" s="120"/>
      <c r="MYX3" s="120"/>
      <c r="MYY3" s="120"/>
      <c r="MYZ3" s="120"/>
      <c r="MZA3" s="120"/>
      <c r="MZB3" s="120"/>
      <c r="MZC3" s="120"/>
      <c r="MZD3" s="120"/>
      <c r="MZE3" s="120"/>
      <c r="MZF3" s="120"/>
      <c r="MZG3" s="120"/>
      <c r="MZH3" s="120"/>
      <c r="MZI3" s="120"/>
      <c r="MZJ3" s="120"/>
      <c r="MZK3" s="120"/>
      <c r="MZL3" s="120"/>
      <c r="MZM3" s="120"/>
      <c r="MZN3" s="120"/>
      <c r="MZO3" s="120"/>
      <c r="MZP3" s="120"/>
      <c r="MZQ3" s="120"/>
      <c r="MZR3" s="120"/>
      <c r="MZS3" s="120"/>
      <c r="MZT3" s="120"/>
      <c r="MZU3" s="120"/>
      <c r="MZV3" s="120"/>
      <c r="MZW3" s="120"/>
      <c r="MZX3" s="120"/>
      <c r="MZY3" s="120"/>
      <c r="MZZ3" s="120"/>
      <c r="NAA3" s="120"/>
      <c r="NAB3" s="120"/>
      <c r="NAC3" s="120"/>
      <c r="NAD3" s="120"/>
      <c r="NAE3" s="120"/>
      <c r="NAF3" s="120"/>
      <c r="NAG3" s="120"/>
      <c r="NAH3" s="120"/>
      <c r="NAI3" s="120"/>
      <c r="NAJ3" s="120"/>
      <c r="NAK3" s="120"/>
      <c r="NAL3" s="120"/>
      <c r="NAM3" s="120"/>
      <c r="NAN3" s="120"/>
      <c r="NAO3" s="120"/>
      <c r="NAP3" s="120"/>
      <c r="NAQ3" s="120"/>
      <c r="NAR3" s="120"/>
      <c r="NAS3" s="120"/>
      <c r="NAT3" s="120"/>
      <c r="NAU3" s="120"/>
      <c r="NAV3" s="120"/>
      <c r="NAW3" s="120"/>
      <c r="NAX3" s="120"/>
      <c r="NAY3" s="120"/>
      <c r="NAZ3" s="120"/>
      <c r="NBA3" s="120"/>
      <c r="NBB3" s="120"/>
      <c r="NBC3" s="120"/>
      <c r="NBD3" s="120"/>
      <c r="NBE3" s="120"/>
      <c r="NBF3" s="120"/>
      <c r="NBG3" s="120"/>
      <c r="NBH3" s="120"/>
      <c r="NBI3" s="120"/>
      <c r="NBJ3" s="120"/>
      <c r="NBK3" s="120"/>
      <c r="NBL3" s="120"/>
      <c r="NBM3" s="120"/>
      <c r="NBN3" s="120"/>
      <c r="NBO3" s="120"/>
      <c r="NBP3" s="120"/>
      <c r="NBQ3" s="120"/>
      <c r="NBR3" s="120"/>
      <c r="NBS3" s="120"/>
      <c r="NBT3" s="120"/>
      <c r="NBU3" s="120"/>
      <c r="NBV3" s="120"/>
      <c r="NBW3" s="120"/>
      <c r="NBX3" s="120"/>
      <c r="NBY3" s="120"/>
      <c r="NBZ3" s="120"/>
      <c r="NCA3" s="120"/>
      <c r="NCB3" s="120"/>
      <c r="NCC3" s="120"/>
      <c r="NCD3" s="120"/>
      <c r="NCE3" s="120"/>
      <c r="NCF3" s="120"/>
      <c r="NCG3" s="120"/>
      <c r="NCH3" s="120"/>
      <c r="NCI3" s="120"/>
      <c r="NCJ3" s="120"/>
      <c r="NCK3" s="120"/>
      <c r="NCL3" s="120"/>
      <c r="NCM3" s="120"/>
      <c r="NCN3" s="120"/>
      <c r="NCO3" s="120"/>
      <c r="NCP3" s="120"/>
      <c r="NCQ3" s="120"/>
      <c r="NCR3" s="120"/>
      <c r="NCS3" s="120"/>
      <c r="NCT3" s="120"/>
      <c r="NCU3" s="120"/>
      <c r="NCV3" s="120"/>
      <c r="NCW3" s="120"/>
      <c r="NCX3" s="120"/>
      <c r="NCY3" s="120"/>
      <c r="NCZ3" s="120"/>
      <c r="NDA3" s="120"/>
      <c r="NDB3" s="120"/>
      <c r="NDC3" s="120"/>
      <c r="NDD3" s="120"/>
      <c r="NDE3" s="120"/>
      <c r="NDF3" s="120"/>
      <c r="NDG3" s="120"/>
      <c r="NDH3" s="120"/>
      <c r="NDI3" s="120"/>
      <c r="NDJ3" s="120"/>
      <c r="NDK3" s="120"/>
      <c r="NDL3" s="120"/>
      <c r="NDM3" s="120"/>
      <c r="NDN3" s="120"/>
      <c r="NDO3" s="120"/>
      <c r="NDP3" s="120"/>
      <c r="NDQ3" s="120"/>
      <c r="NDR3" s="120"/>
      <c r="NDS3" s="120"/>
      <c r="NDT3" s="120"/>
      <c r="NDU3" s="120"/>
      <c r="NDV3" s="120"/>
      <c r="NDW3" s="120"/>
      <c r="NDX3" s="120"/>
      <c r="NDY3" s="120"/>
      <c r="NDZ3" s="120"/>
      <c r="NEA3" s="120"/>
      <c r="NEB3" s="120"/>
      <c r="NEC3" s="120"/>
      <c r="NED3" s="120"/>
      <c r="NEE3" s="120"/>
      <c r="NEF3" s="120"/>
      <c r="NEG3" s="120"/>
      <c r="NEH3" s="120"/>
      <c r="NEI3" s="120"/>
      <c r="NEJ3" s="120"/>
      <c r="NEK3" s="120"/>
      <c r="NEL3" s="120"/>
      <c r="NEM3" s="120"/>
      <c r="NEN3" s="120"/>
      <c r="NEO3" s="120"/>
      <c r="NEP3" s="120"/>
      <c r="NEQ3" s="120"/>
      <c r="NER3" s="120"/>
      <c r="NES3" s="120"/>
      <c r="NET3" s="120"/>
      <c r="NEU3" s="120"/>
      <c r="NEV3" s="120"/>
      <c r="NEW3" s="120"/>
      <c r="NEX3" s="120"/>
      <c r="NEY3" s="120"/>
      <c r="NEZ3" s="120"/>
      <c r="NFA3" s="120"/>
      <c r="NFB3" s="120"/>
      <c r="NFC3" s="120"/>
      <c r="NFD3" s="120"/>
      <c r="NFE3" s="120"/>
      <c r="NFF3" s="120"/>
      <c r="NFG3" s="120"/>
      <c r="NFH3" s="120"/>
      <c r="NFI3" s="120"/>
      <c r="NFJ3" s="120"/>
      <c r="NFK3" s="120"/>
      <c r="NFL3" s="120"/>
      <c r="NFM3" s="120"/>
      <c r="NFN3" s="120"/>
      <c r="NFO3" s="120"/>
      <c r="NFP3" s="120"/>
      <c r="NFQ3" s="120"/>
      <c r="NFR3" s="120"/>
      <c r="NFS3" s="120"/>
      <c r="NFT3" s="120"/>
      <c r="NFU3" s="120"/>
      <c r="NFV3" s="120"/>
      <c r="NFW3" s="120"/>
      <c r="NFX3" s="120"/>
      <c r="NFY3" s="120"/>
      <c r="NFZ3" s="120"/>
      <c r="NGA3" s="120"/>
      <c r="NGB3" s="120"/>
      <c r="NGC3" s="120"/>
      <c r="NGD3" s="120"/>
      <c r="NGE3" s="120"/>
      <c r="NGF3" s="120"/>
      <c r="NGG3" s="120"/>
      <c r="NGH3" s="120"/>
      <c r="NGI3" s="120"/>
      <c r="NGJ3" s="120"/>
      <c r="NGK3" s="120"/>
      <c r="NGL3" s="120"/>
      <c r="NGM3" s="120"/>
      <c r="NGN3" s="120"/>
      <c r="NGO3" s="120"/>
      <c r="NGP3" s="120"/>
      <c r="NGQ3" s="120"/>
      <c r="NGR3" s="120"/>
      <c r="NGS3" s="120"/>
      <c r="NGT3" s="120"/>
      <c r="NGU3" s="120"/>
      <c r="NGV3" s="120"/>
      <c r="NGW3" s="120"/>
      <c r="NGX3" s="120"/>
      <c r="NGY3" s="120"/>
      <c r="NGZ3" s="120"/>
      <c r="NHA3" s="120"/>
      <c r="NHB3" s="120"/>
      <c r="NHC3" s="120"/>
      <c r="NHD3" s="120"/>
      <c r="NHE3" s="120"/>
      <c r="NHF3" s="120"/>
      <c r="NHG3" s="120"/>
      <c r="NHH3" s="120"/>
      <c r="NHI3" s="120"/>
      <c r="NHJ3" s="120"/>
      <c r="NHK3" s="120"/>
      <c r="NHL3" s="120"/>
      <c r="NHM3" s="120"/>
      <c r="NHN3" s="120"/>
      <c r="NHO3" s="120"/>
      <c r="NHP3" s="120"/>
      <c r="NHQ3" s="120"/>
      <c r="NHR3" s="120"/>
      <c r="NHS3" s="120"/>
      <c r="NHT3" s="120"/>
      <c r="NHU3" s="120"/>
      <c r="NHV3" s="120"/>
      <c r="NHW3" s="120"/>
      <c r="NHX3" s="120"/>
      <c r="NHY3" s="120"/>
      <c r="NHZ3" s="120"/>
      <c r="NIA3" s="120"/>
      <c r="NIB3" s="120"/>
      <c r="NIC3" s="120"/>
      <c r="NID3" s="120"/>
      <c r="NIE3" s="120"/>
      <c r="NIF3" s="120"/>
      <c r="NIG3" s="120"/>
      <c r="NIH3" s="120"/>
      <c r="NII3" s="120"/>
      <c r="NIJ3" s="120"/>
      <c r="NIK3" s="120"/>
      <c r="NIL3" s="120"/>
      <c r="NIM3" s="120"/>
      <c r="NIN3" s="120"/>
      <c r="NIO3" s="120"/>
      <c r="NIP3" s="120"/>
      <c r="NIQ3" s="120"/>
      <c r="NIR3" s="120"/>
      <c r="NIS3" s="120"/>
      <c r="NIT3" s="120"/>
      <c r="NIU3" s="120"/>
      <c r="NIV3" s="120"/>
      <c r="NIW3" s="120"/>
      <c r="NIX3" s="120"/>
      <c r="NIY3" s="120"/>
      <c r="NIZ3" s="120"/>
      <c r="NJA3" s="120"/>
      <c r="NJB3" s="120"/>
      <c r="NJC3" s="120"/>
      <c r="NJD3" s="120"/>
      <c r="NJE3" s="120"/>
      <c r="NJF3" s="120"/>
      <c r="NJG3" s="120"/>
      <c r="NJH3" s="120"/>
      <c r="NJI3" s="120"/>
      <c r="NJJ3" s="120"/>
      <c r="NJK3" s="120"/>
      <c r="NJL3" s="120"/>
      <c r="NJM3" s="120"/>
      <c r="NJN3" s="120"/>
      <c r="NJO3" s="120"/>
      <c r="NJP3" s="120"/>
      <c r="NJQ3" s="120"/>
      <c r="NJR3" s="120"/>
      <c r="NJS3" s="120"/>
      <c r="NJT3" s="120"/>
      <c r="NJU3" s="120"/>
      <c r="NJV3" s="120"/>
      <c r="NJW3" s="120"/>
      <c r="NJX3" s="120"/>
      <c r="NJY3" s="120"/>
      <c r="NJZ3" s="120"/>
      <c r="NKA3" s="120"/>
      <c r="NKB3" s="120"/>
      <c r="NKC3" s="120"/>
      <c r="NKD3" s="120"/>
      <c r="NKE3" s="120"/>
      <c r="NKF3" s="120"/>
      <c r="NKG3" s="120"/>
      <c r="NKH3" s="120"/>
      <c r="NKI3" s="120"/>
      <c r="NKJ3" s="120"/>
      <c r="NKK3" s="120"/>
      <c r="NKL3" s="120"/>
      <c r="NKM3" s="120"/>
      <c r="NKN3" s="120"/>
      <c r="NKO3" s="120"/>
      <c r="NKP3" s="120"/>
      <c r="NKQ3" s="120"/>
      <c r="NKR3" s="120"/>
      <c r="NKS3" s="120"/>
      <c r="NKT3" s="120"/>
      <c r="NKU3" s="120"/>
      <c r="NKV3" s="120"/>
      <c r="NKW3" s="120"/>
      <c r="NKX3" s="120"/>
      <c r="NKY3" s="120"/>
      <c r="NKZ3" s="120"/>
      <c r="NLA3" s="120"/>
      <c r="NLB3" s="120"/>
      <c r="NLC3" s="120"/>
      <c r="NLD3" s="120"/>
      <c r="NLE3" s="120"/>
      <c r="NLF3" s="120"/>
      <c r="NLG3" s="120"/>
      <c r="NLH3" s="120"/>
      <c r="NLI3" s="120"/>
      <c r="NLJ3" s="120"/>
      <c r="NLK3" s="120"/>
      <c r="NLL3" s="120"/>
      <c r="NLM3" s="120"/>
      <c r="NLN3" s="120"/>
      <c r="NLO3" s="120"/>
      <c r="NLP3" s="120"/>
      <c r="NLQ3" s="120"/>
      <c r="NLR3" s="120"/>
      <c r="NLS3" s="120"/>
      <c r="NLT3" s="120"/>
      <c r="NLU3" s="120"/>
      <c r="NLV3" s="120"/>
      <c r="NLW3" s="120"/>
      <c r="NLX3" s="120"/>
      <c r="NLY3" s="120"/>
      <c r="NLZ3" s="120"/>
      <c r="NMA3" s="120"/>
      <c r="NMB3" s="120"/>
      <c r="NMC3" s="120"/>
      <c r="NMD3" s="120"/>
      <c r="NME3" s="120"/>
      <c r="NMF3" s="120"/>
      <c r="NMG3" s="120"/>
      <c r="NMH3" s="120"/>
      <c r="NMI3" s="120"/>
      <c r="NMJ3" s="120"/>
      <c r="NMK3" s="120"/>
      <c r="NML3" s="120"/>
      <c r="NMM3" s="120"/>
      <c r="NMN3" s="120"/>
      <c r="NMO3" s="120"/>
      <c r="NMP3" s="120"/>
      <c r="NMQ3" s="120"/>
      <c r="NMR3" s="120"/>
      <c r="NMS3" s="120"/>
      <c r="NMT3" s="120"/>
      <c r="NMU3" s="120"/>
      <c r="NMV3" s="120"/>
      <c r="NMW3" s="120"/>
      <c r="NMX3" s="120"/>
      <c r="NMY3" s="120"/>
      <c r="NMZ3" s="120"/>
      <c r="NNA3" s="120"/>
      <c r="NNB3" s="120"/>
      <c r="NNC3" s="120"/>
      <c r="NND3" s="120"/>
      <c r="NNE3" s="120"/>
      <c r="NNF3" s="120"/>
      <c r="NNG3" s="120"/>
      <c r="NNH3" s="120"/>
      <c r="NNI3" s="120"/>
      <c r="NNJ3" s="120"/>
      <c r="NNK3" s="120"/>
      <c r="NNL3" s="120"/>
      <c r="NNM3" s="120"/>
      <c r="NNN3" s="120"/>
      <c r="NNO3" s="120"/>
      <c r="NNP3" s="120"/>
      <c r="NNQ3" s="120"/>
      <c r="NNR3" s="120"/>
      <c r="NNS3" s="120"/>
      <c r="NNT3" s="120"/>
      <c r="NNU3" s="120"/>
      <c r="NNV3" s="120"/>
      <c r="NNW3" s="120"/>
      <c r="NNX3" s="120"/>
      <c r="NNY3" s="120"/>
      <c r="NNZ3" s="120"/>
      <c r="NOA3" s="120"/>
      <c r="NOB3" s="120"/>
      <c r="NOC3" s="120"/>
      <c r="NOD3" s="120"/>
      <c r="NOE3" s="120"/>
      <c r="NOF3" s="120"/>
      <c r="NOG3" s="120"/>
      <c r="NOH3" s="120"/>
      <c r="NOI3" s="120"/>
      <c r="NOJ3" s="120"/>
      <c r="NOK3" s="120"/>
      <c r="NOL3" s="120"/>
      <c r="NOM3" s="120"/>
      <c r="NON3" s="120"/>
      <c r="NOO3" s="120"/>
      <c r="NOP3" s="120"/>
      <c r="NOQ3" s="120"/>
      <c r="NOR3" s="120"/>
      <c r="NOS3" s="120"/>
      <c r="NOT3" s="120"/>
      <c r="NOU3" s="120"/>
      <c r="NOV3" s="120"/>
      <c r="NOW3" s="120"/>
      <c r="NOX3" s="120"/>
      <c r="NOY3" s="120"/>
      <c r="NOZ3" s="120"/>
      <c r="NPA3" s="120"/>
      <c r="NPB3" s="120"/>
      <c r="NPC3" s="120"/>
      <c r="NPD3" s="120"/>
      <c r="NPE3" s="120"/>
      <c r="NPF3" s="120"/>
      <c r="NPG3" s="120"/>
      <c r="NPH3" s="120"/>
      <c r="NPI3" s="120"/>
      <c r="NPJ3" s="120"/>
      <c r="NPK3" s="120"/>
      <c r="NPL3" s="120"/>
      <c r="NPM3" s="120"/>
      <c r="NPN3" s="120"/>
      <c r="NPO3" s="120"/>
      <c r="NPP3" s="120"/>
      <c r="NPQ3" s="120"/>
      <c r="NPR3" s="120"/>
      <c r="NPS3" s="120"/>
      <c r="NPT3" s="120"/>
      <c r="NPU3" s="120"/>
      <c r="NPV3" s="120"/>
      <c r="NPW3" s="120"/>
      <c r="NPX3" s="120"/>
      <c r="NPY3" s="120"/>
      <c r="NPZ3" s="120"/>
      <c r="NQA3" s="120"/>
      <c r="NQB3" s="120"/>
      <c r="NQC3" s="120"/>
      <c r="NQD3" s="120"/>
      <c r="NQE3" s="120"/>
      <c r="NQF3" s="120"/>
      <c r="NQG3" s="120"/>
      <c r="NQH3" s="120"/>
      <c r="NQI3" s="120"/>
      <c r="NQJ3" s="120"/>
      <c r="NQK3" s="120"/>
      <c r="NQL3" s="120"/>
      <c r="NQM3" s="120"/>
      <c r="NQN3" s="120"/>
      <c r="NQO3" s="120"/>
      <c r="NQP3" s="120"/>
      <c r="NQQ3" s="120"/>
      <c r="NQR3" s="120"/>
      <c r="NQS3" s="120"/>
      <c r="NQT3" s="120"/>
      <c r="NQU3" s="120"/>
      <c r="NQV3" s="120"/>
      <c r="NQW3" s="120"/>
      <c r="NQX3" s="120"/>
      <c r="NQY3" s="120"/>
      <c r="NQZ3" s="120"/>
      <c r="NRA3" s="120"/>
      <c r="NRB3" s="120"/>
      <c r="NRC3" s="120"/>
      <c r="NRD3" s="120"/>
      <c r="NRE3" s="120"/>
      <c r="NRF3" s="120"/>
      <c r="NRG3" s="120"/>
      <c r="NRH3" s="120"/>
      <c r="NRI3" s="120"/>
      <c r="NRJ3" s="120"/>
      <c r="NRK3" s="120"/>
      <c r="NRL3" s="120"/>
      <c r="NRM3" s="120"/>
      <c r="NRN3" s="120"/>
      <c r="NRO3" s="120"/>
      <c r="NRP3" s="120"/>
      <c r="NRQ3" s="120"/>
      <c r="NRR3" s="120"/>
      <c r="NRS3" s="120"/>
      <c r="NRT3" s="120"/>
      <c r="NRU3" s="120"/>
      <c r="NRV3" s="120"/>
      <c r="NRW3" s="120"/>
      <c r="NRX3" s="120"/>
      <c r="NRY3" s="120"/>
      <c r="NRZ3" s="120"/>
      <c r="NSA3" s="120"/>
      <c r="NSB3" s="120"/>
      <c r="NSC3" s="120"/>
      <c r="NSD3" s="120"/>
      <c r="NSE3" s="120"/>
      <c r="NSF3" s="120"/>
      <c r="NSG3" s="120"/>
      <c r="NSH3" s="120"/>
      <c r="NSI3" s="120"/>
      <c r="NSJ3" s="120"/>
      <c r="NSK3" s="120"/>
      <c r="NSL3" s="120"/>
      <c r="NSM3" s="120"/>
      <c r="NSN3" s="120"/>
      <c r="NSO3" s="120"/>
      <c r="NSP3" s="120"/>
      <c r="NSQ3" s="120"/>
      <c r="NSR3" s="120"/>
      <c r="NSS3" s="120"/>
      <c r="NST3" s="120"/>
      <c r="NSU3" s="120"/>
      <c r="NSV3" s="120"/>
      <c r="NSW3" s="120"/>
      <c r="NSX3" s="120"/>
      <c r="NSY3" s="120"/>
      <c r="NSZ3" s="120"/>
      <c r="NTA3" s="120"/>
      <c r="NTB3" s="120"/>
      <c r="NTC3" s="120"/>
      <c r="NTD3" s="120"/>
      <c r="NTE3" s="120"/>
      <c r="NTF3" s="120"/>
      <c r="NTG3" s="120"/>
      <c r="NTH3" s="120"/>
      <c r="NTI3" s="120"/>
      <c r="NTJ3" s="120"/>
      <c r="NTK3" s="120"/>
      <c r="NTL3" s="120"/>
      <c r="NTM3" s="120"/>
      <c r="NTN3" s="120"/>
      <c r="NTO3" s="120"/>
      <c r="NTP3" s="120"/>
      <c r="NTQ3" s="120"/>
      <c r="NTR3" s="120"/>
      <c r="NTS3" s="120"/>
      <c r="NTT3" s="120"/>
      <c r="NTU3" s="120"/>
      <c r="NTV3" s="120"/>
      <c r="NTW3" s="120"/>
      <c r="NTX3" s="120"/>
      <c r="NTY3" s="120"/>
      <c r="NTZ3" s="120"/>
      <c r="NUA3" s="120"/>
      <c r="NUB3" s="120"/>
      <c r="NUC3" s="120"/>
      <c r="NUD3" s="120"/>
      <c r="NUE3" s="120"/>
      <c r="NUF3" s="120"/>
      <c r="NUG3" s="120"/>
      <c r="NUH3" s="120"/>
      <c r="NUI3" s="120"/>
      <c r="NUJ3" s="120"/>
      <c r="NUK3" s="120"/>
      <c r="NUL3" s="120"/>
      <c r="NUM3" s="120"/>
      <c r="NUN3" s="120"/>
      <c r="NUO3" s="120"/>
      <c r="NUP3" s="120"/>
      <c r="NUQ3" s="120"/>
      <c r="NUR3" s="120"/>
      <c r="NUS3" s="120"/>
      <c r="NUT3" s="120"/>
      <c r="NUU3" s="120"/>
      <c r="NUV3" s="120"/>
      <c r="NUW3" s="120"/>
      <c r="NUX3" s="120"/>
      <c r="NUY3" s="120"/>
      <c r="NUZ3" s="120"/>
      <c r="NVA3" s="120"/>
      <c r="NVB3" s="120"/>
      <c r="NVC3" s="120"/>
      <c r="NVD3" s="120"/>
      <c r="NVE3" s="120"/>
      <c r="NVF3" s="120"/>
      <c r="NVG3" s="120"/>
      <c r="NVH3" s="120"/>
      <c r="NVI3" s="120"/>
      <c r="NVJ3" s="120"/>
      <c r="NVK3" s="120"/>
      <c r="NVL3" s="120"/>
      <c r="NVM3" s="120"/>
      <c r="NVN3" s="120"/>
      <c r="NVO3" s="120"/>
      <c r="NVP3" s="120"/>
      <c r="NVQ3" s="120"/>
      <c r="NVR3" s="120"/>
      <c r="NVS3" s="120"/>
      <c r="NVT3" s="120"/>
      <c r="NVU3" s="120"/>
      <c r="NVV3" s="120"/>
      <c r="NVW3" s="120"/>
      <c r="NVX3" s="120"/>
      <c r="NVY3" s="120"/>
      <c r="NVZ3" s="120"/>
      <c r="NWA3" s="120"/>
      <c r="NWB3" s="120"/>
      <c r="NWC3" s="120"/>
      <c r="NWD3" s="120"/>
      <c r="NWE3" s="120"/>
      <c r="NWF3" s="120"/>
      <c r="NWG3" s="120"/>
      <c r="NWH3" s="120"/>
      <c r="NWI3" s="120"/>
      <c r="NWJ3" s="120"/>
      <c r="NWK3" s="120"/>
      <c r="NWL3" s="120"/>
      <c r="NWM3" s="120"/>
      <c r="NWN3" s="120"/>
      <c r="NWO3" s="120"/>
      <c r="NWP3" s="120"/>
      <c r="NWQ3" s="120"/>
      <c r="NWR3" s="120"/>
      <c r="NWS3" s="120"/>
      <c r="NWT3" s="120"/>
      <c r="NWU3" s="120"/>
      <c r="NWV3" s="120"/>
      <c r="NWW3" s="120"/>
      <c r="NWX3" s="120"/>
      <c r="NWY3" s="120"/>
      <c r="NWZ3" s="120"/>
      <c r="NXA3" s="120"/>
      <c r="NXB3" s="120"/>
      <c r="NXC3" s="120"/>
      <c r="NXD3" s="120"/>
      <c r="NXE3" s="120"/>
      <c r="NXF3" s="120"/>
      <c r="NXG3" s="120"/>
      <c r="NXH3" s="120"/>
      <c r="NXI3" s="120"/>
      <c r="NXJ3" s="120"/>
      <c r="NXK3" s="120"/>
      <c r="NXL3" s="120"/>
      <c r="NXM3" s="120"/>
      <c r="NXN3" s="120"/>
      <c r="NXO3" s="120"/>
      <c r="NXP3" s="120"/>
      <c r="NXQ3" s="120"/>
      <c r="NXR3" s="120"/>
      <c r="NXS3" s="120"/>
      <c r="NXT3" s="120"/>
      <c r="NXU3" s="120"/>
      <c r="NXV3" s="120"/>
      <c r="NXW3" s="120"/>
      <c r="NXX3" s="120"/>
      <c r="NXY3" s="120"/>
      <c r="NXZ3" s="120"/>
      <c r="NYA3" s="120"/>
      <c r="NYB3" s="120"/>
      <c r="NYC3" s="120"/>
      <c r="NYD3" s="120"/>
      <c r="NYE3" s="120"/>
      <c r="NYF3" s="120"/>
      <c r="NYG3" s="120"/>
      <c r="NYH3" s="120"/>
      <c r="NYI3" s="120"/>
      <c r="NYJ3" s="120"/>
      <c r="NYK3" s="120"/>
      <c r="NYL3" s="120"/>
      <c r="NYM3" s="120"/>
      <c r="NYN3" s="120"/>
      <c r="NYO3" s="120"/>
      <c r="NYP3" s="120"/>
      <c r="NYQ3" s="120"/>
      <c r="NYR3" s="120"/>
      <c r="NYS3" s="120"/>
      <c r="NYT3" s="120"/>
      <c r="NYU3" s="120"/>
      <c r="NYV3" s="120"/>
      <c r="NYW3" s="120"/>
      <c r="NYX3" s="120"/>
      <c r="NYY3" s="120"/>
      <c r="NYZ3" s="120"/>
      <c r="NZA3" s="120"/>
      <c r="NZB3" s="120"/>
      <c r="NZC3" s="120"/>
      <c r="NZD3" s="120"/>
      <c r="NZE3" s="120"/>
      <c r="NZF3" s="120"/>
      <c r="NZG3" s="120"/>
      <c r="NZH3" s="120"/>
      <c r="NZI3" s="120"/>
      <c r="NZJ3" s="120"/>
      <c r="NZK3" s="120"/>
      <c r="NZL3" s="120"/>
      <c r="NZM3" s="120"/>
      <c r="NZN3" s="120"/>
      <c r="NZO3" s="120"/>
      <c r="NZP3" s="120"/>
      <c r="NZQ3" s="120"/>
      <c r="NZR3" s="120"/>
      <c r="NZS3" s="120"/>
      <c r="NZT3" s="120"/>
      <c r="NZU3" s="120"/>
      <c r="NZV3" s="120"/>
      <c r="NZW3" s="120"/>
      <c r="NZX3" s="120"/>
      <c r="NZY3" s="120"/>
      <c r="NZZ3" s="120"/>
      <c r="OAA3" s="120"/>
      <c r="OAB3" s="120"/>
      <c r="OAC3" s="120"/>
      <c r="OAD3" s="120"/>
      <c r="OAE3" s="120"/>
      <c r="OAF3" s="120"/>
      <c r="OAG3" s="120"/>
      <c r="OAH3" s="120"/>
      <c r="OAI3" s="120"/>
      <c r="OAJ3" s="120"/>
      <c r="OAK3" s="120"/>
      <c r="OAL3" s="120"/>
      <c r="OAM3" s="120"/>
      <c r="OAN3" s="120"/>
      <c r="OAO3" s="120"/>
      <c r="OAP3" s="120"/>
      <c r="OAQ3" s="120"/>
      <c r="OAR3" s="120"/>
      <c r="OAS3" s="120"/>
      <c r="OAT3" s="120"/>
      <c r="OAU3" s="120"/>
      <c r="OAV3" s="120"/>
      <c r="OAW3" s="120"/>
      <c r="OAX3" s="120"/>
      <c r="OAY3" s="120"/>
      <c r="OAZ3" s="120"/>
      <c r="OBA3" s="120"/>
      <c r="OBB3" s="120"/>
      <c r="OBC3" s="120"/>
      <c r="OBD3" s="120"/>
      <c r="OBE3" s="120"/>
      <c r="OBF3" s="120"/>
      <c r="OBG3" s="120"/>
      <c r="OBH3" s="120"/>
      <c r="OBI3" s="120"/>
      <c r="OBJ3" s="120"/>
      <c r="OBK3" s="120"/>
      <c r="OBL3" s="120"/>
      <c r="OBM3" s="120"/>
      <c r="OBN3" s="120"/>
      <c r="OBO3" s="120"/>
      <c r="OBP3" s="120"/>
      <c r="OBQ3" s="120"/>
      <c r="OBR3" s="120"/>
      <c r="OBS3" s="120"/>
      <c r="OBT3" s="120"/>
      <c r="OBU3" s="120"/>
      <c r="OBV3" s="120"/>
      <c r="OBW3" s="120"/>
      <c r="OBX3" s="120"/>
      <c r="OBY3" s="120"/>
      <c r="OBZ3" s="120"/>
      <c r="OCA3" s="120"/>
      <c r="OCB3" s="120"/>
      <c r="OCC3" s="120"/>
      <c r="OCD3" s="120"/>
      <c r="OCE3" s="120"/>
      <c r="OCF3" s="120"/>
      <c r="OCG3" s="120"/>
      <c r="OCH3" s="120"/>
      <c r="OCI3" s="120"/>
      <c r="OCJ3" s="120"/>
      <c r="OCK3" s="120"/>
      <c r="OCL3" s="120"/>
      <c r="OCM3" s="120"/>
      <c r="OCN3" s="120"/>
      <c r="OCO3" s="120"/>
      <c r="OCP3" s="120"/>
      <c r="OCQ3" s="120"/>
      <c r="OCR3" s="120"/>
      <c r="OCS3" s="120"/>
      <c r="OCT3" s="120"/>
      <c r="OCU3" s="120"/>
      <c r="OCV3" s="120"/>
      <c r="OCW3" s="120"/>
      <c r="OCX3" s="120"/>
      <c r="OCY3" s="120"/>
      <c r="OCZ3" s="120"/>
      <c r="ODA3" s="120"/>
      <c r="ODB3" s="120"/>
      <c r="ODC3" s="120"/>
      <c r="ODD3" s="120"/>
      <c r="ODE3" s="120"/>
      <c r="ODF3" s="120"/>
      <c r="ODG3" s="120"/>
      <c r="ODH3" s="120"/>
      <c r="ODI3" s="120"/>
      <c r="ODJ3" s="120"/>
      <c r="ODK3" s="120"/>
      <c r="ODL3" s="120"/>
      <c r="ODM3" s="120"/>
      <c r="ODN3" s="120"/>
      <c r="ODO3" s="120"/>
      <c r="ODP3" s="120"/>
      <c r="ODQ3" s="120"/>
      <c r="ODR3" s="120"/>
      <c r="ODS3" s="120"/>
      <c r="ODT3" s="120"/>
      <c r="ODU3" s="120"/>
      <c r="ODV3" s="120"/>
      <c r="ODW3" s="120"/>
      <c r="ODX3" s="120"/>
      <c r="ODY3" s="120"/>
      <c r="ODZ3" s="120"/>
      <c r="OEA3" s="120"/>
      <c r="OEB3" s="120"/>
      <c r="OEC3" s="120"/>
      <c r="OED3" s="120"/>
      <c r="OEE3" s="120"/>
      <c r="OEF3" s="120"/>
      <c r="OEG3" s="120"/>
      <c r="OEH3" s="120"/>
      <c r="OEI3" s="120"/>
      <c r="OEJ3" s="120"/>
      <c r="OEK3" s="120"/>
      <c r="OEL3" s="120"/>
      <c r="OEM3" s="120"/>
      <c r="OEN3" s="120"/>
      <c r="OEO3" s="120"/>
      <c r="OEP3" s="120"/>
      <c r="OEQ3" s="120"/>
      <c r="OER3" s="120"/>
      <c r="OES3" s="120"/>
      <c r="OET3" s="120"/>
      <c r="OEU3" s="120"/>
      <c r="OEV3" s="120"/>
      <c r="OEW3" s="120"/>
      <c r="OEX3" s="120"/>
      <c r="OEY3" s="120"/>
      <c r="OEZ3" s="120"/>
      <c r="OFA3" s="120"/>
      <c r="OFB3" s="120"/>
      <c r="OFC3" s="120"/>
      <c r="OFD3" s="120"/>
      <c r="OFE3" s="120"/>
      <c r="OFF3" s="120"/>
      <c r="OFG3" s="120"/>
      <c r="OFH3" s="120"/>
      <c r="OFI3" s="120"/>
      <c r="OFJ3" s="120"/>
      <c r="OFK3" s="120"/>
      <c r="OFL3" s="120"/>
      <c r="OFM3" s="120"/>
      <c r="OFN3" s="120"/>
      <c r="OFO3" s="120"/>
      <c r="OFP3" s="120"/>
      <c r="OFQ3" s="120"/>
      <c r="OFR3" s="120"/>
      <c r="OFS3" s="120"/>
      <c r="OFT3" s="120"/>
      <c r="OFU3" s="120"/>
      <c r="OFV3" s="120"/>
      <c r="OFW3" s="120"/>
      <c r="OFX3" s="120"/>
      <c r="OFY3" s="120"/>
      <c r="OFZ3" s="120"/>
      <c r="OGA3" s="120"/>
      <c r="OGB3" s="120"/>
      <c r="OGC3" s="120"/>
      <c r="OGD3" s="120"/>
      <c r="OGE3" s="120"/>
      <c r="OGF3" s="120"/>
      <c r="OGG3" s="120"/>
      <c r="OGH3" s="120"/>
      <c r="OGI3" s="120"/>
      <c r="OGJ3" s="120"/>
      <c r="OGK3" s="120"/>
      <c r="OGL3" s="120"/>
      <c r="OGM3" s="120"/>
      <c r="OGN3" s="120"/>
      <c r="OGO3" s="120"/>
      <c r="OGP3" s="120"/>
      <c r="OGQ3" s="120"/>
      <c r="OGR3" s="120"/>
      <c r="OGS3" s="120"/>
      <c r="OGT3" s="120"/>
      <c r="OGU3" s="120"/>
      <c r="OGV3" s="120"/>
      <c r="OGW3" s="120"/>
      <c r="OGX3" s="120"/>
      <c r="OGY3" s="120"/>
      <c r="OGZ3" s="120"/>
      <c r="OHA3" s="120"/>
      <c r="OHB3" s="120"/>
      <c r="OHC3" s="120"/>
      <c r="OHD3" s="120"/>
      <c r="OHE3" s="120"/>
      <c r="OHF3" s="120"/>
      <c r="OHG3" s="120"/>
      <c r="OHH3" s="120"/>
      <c r="OHI3" s="120"/>
      <c r="OHJ3" s="120"/>
      <c r="OHK3" s="120"/>
      <c r="OHL3" s="120"/>
      <c r="OHM3" s="120"/>
      <c r="OHN3" s="120"/>
      <c r="OHO3" s="120"/>
      <c r="OHP3" s="120"/>
      <c r="OHQ3" s="120"/>
      <c r="OHR3" s="120"/>
      <c r="OHS3" s="120"/>
      <c r="OHT3" s="120"/>
      <c r="OHU3" s="120"/>
      <c r="OHV3" s="120"/>
      <c r="OHW3" s="120"/>
      <c r="OHX3" s="120"/>
      <c r="OHY3" s="120"/>
      <c r="OHZ3" s="120"/>
      <c r="OIA3" s="120"/>
      <c r="OIB3" s="120"/>
      <c r="OIC3" s="120"/>
      <c r="OID3" s="120"/>
      <c r="OIE3" s="120"/>
      <c r="OIF3" s="120"/>
      <c r="OIG3" s="120"/>
      <c r="OIH3" s="120"/>
      <c r="OII3" s="120"/>
      <c r="OIJ3" s="120"/>
      <c r="OIK3" s="120"/>
      <c r="OIL3" s="120"/>
      <c r="OIM3" s="120"/>
      <c r="OIN3" s="120"/>
      <c r="OIO3" s="120"/>
      <c r="OIP3" s="120"/>
      <c r="OIQ3" s="120"/>
      <c r="OIR3" s="120"/>
      <c r="OIS3" s="120"/>
      <c r="OIT3" s="120"/>
      <c r="OIU3" s="120"/>
      <c r="OIV3" s="120"/>
      <c r="OIW3" s="120"/>
      <c r="OIX3" s="120"/>
      <c r="OIY3" s="120"/>
      <c r="OIZ3" s="120"/>
      <c r="OJA3" s="120"/>
      <c r="OJB3" s="120"/>
      <c r="OJC3" s="120"/>
      <c r="OJD3" s="120"/>
      <c r="OJE3" s="120"/>
      <c r="OJF3" s="120"/>
      <c r="OJG3" s="120"/>
      <c r="OJH3" s="120"/>
      <c r="OJI3" s="120"/>
      <c r="OJJ3" s="120"/>
      <c r="OJK3" s="120"/>
      <c r="OJL3" s="120"/>
      <c r="OJM3" s="120"/>
      <c r="OJN3" s="120"/>
      <c r="OJO3" s="120"/>
      <c r="OJP3" s="120"/>
      <c r="OJQ3" s="120"/>
      <c r="OJR3" s="120"/>
      <c r="OJS3" s="120"/>
      <c r="OJT3" s="120"/>
      <c r="OJU3" s="120"/>
      <c r="OJV3" s="120"/>
      <c r="OJW3" s="120"/>
      <c r="OJX3" s="120"/>
      <c r="OJY3" s="120"/>
      <c r="OJZ3" s="120"/>
      <c r="OKA3" s="120"/>
      <c r="OKB3" s="120"/>
      <c r="OKC3" s="120"/>
      <c r="OKD3" s="120"/>
      <c r="OKE3" s="120"/>
      <c r="OKF3" s="120"/>
      <c r="OKG3" s="120"/>
      <c r="OKH3" s="120"/>
      <c r="OKI3" s="120"/>
      <c r="OKJ3" s="120"/>
      <c r="OKK3" s="120"/>
      <c r="OKL3" s="120"/>
      <c r="OKM3" s="120"/>
      <c r="OKN3" s="120"/>
      <c r="OKO3" s="120"/>
      <c r="OKP3" s="120"/>
      <c r="OKQ3" s="120"/>
      <c r="OKR3" s="120"/>
      <c r="OKS3" s="120"/>
      <c r="OKT3" s="120"/>
      <c r="OKU3" s="120"/>
      <c r="OKV3" s="120"/>
      <c r="OKW3" s="120"/>
      <c r="OKX3" s="120"/>
      <c r="OKY3" s="120"/>
      <c r="OKZ3" s="120"/>
      <c r="OLA3" s="120"/>
      <c r="OLB3" s="120"/>
      <c r="OLC3" s="120"/>
      <c r="OLD3" s="120"/>
      <c r="OLE3" s="120"/>
      <c r="OLF3" s="120"/>
      <c r="OLG3" s="120"/>
      <c r="OLH3" s="120"/>
      <c r="OLI3" s="120"/>
      <c r="OLJ3" s="120"/>
      <c r="OLK3" s="120"/>
      <c r="OLL3" s="120"/>
      <c r="OLM3" s="120"/>
      <c r="OLN3" s="120"/>
      <c r="OLO3" s="120"/>
      <c r="OLP3" s="120"/>
      <c r="OLQ3" s="120"/>
      <c r="OLR3" s="120"/>
      <c r="OLS3" s="120"/>
      <c r="OLT3" s="120"/>
      <c r="OLU3" s="120"/>
      <c r="OLV3" s="120"/>
      <c r="OLW3" s="120"/>
      <c r="OLX3" s="120"/>
      <c r="OLY3" s="120"/>
      <c r="OLZ3" s="120"/>
      <c r="OMA3" s="120"/>
      <c r="OMB3" s="120"/>
      <c r="OMC3" s="120"/>
      <c r="OMD3" s="120"/>
      <c r="OME3" s="120"/>
      <c r="OMF3" s="120"/>
      <c r="OMG3" s="120"/>
      <c r="OMH3" s="120"/>
      <c r="OMI3" s="120"/>
      <c r="OMJ3" s="120"/>
      <c r="OMK3" s="120"/>
      <c r="OML3" s="120"/>
      <c r="OMM3" s="120"/>
      <c r="OMN3" s="120"/>
      <c r="OMO3" s="120"/>
      <c r="OMP3" s="120"/>
      <c r="OMQ3" s="120"/>
      <c r="OMR3" s="120"/>
      <c r="OMS3" s="120"/>
      <c r="OMT3" s="120"/>
      <c r="OMU3" s="120"/>
      <c r="OMV3" s="120"/>
      <c r="OMW3" s="120"/>
      <c r="OMX3" s="120"/>
      <c r="OMY3" s="120"/>
      <c r="OMZ3" s="120"/>
      <c r="ONA3" s="120"/>
      <c r="ONB3" s="120"/>
      <c r="ONC3" s="120"/>
      <c r="OND3" s="120"/>
      <c r="ONE3" s="120"/>
      <c r="ONF3" s="120"/>
      <c r="ONG3" s="120"/>
      <c r="ONH3" s="120"/>
      <c r="ONI3" s="120"/>
      <c r="ONJ3" s="120"/>
      <c r="ONK3" s="120"/>
      <c r="ONL3" s="120"/>
      <c r="ONM3" s="120"/>
      <c r="ONN3" s="120"/>
      <c r="ONO3" s="120"/>
      <c r="ONP3" s="120"/>
      <c r="ONQ3" s="120"/>
      <c r="ONR3" s="120"/>
      <c r="ONS3" s="120"/>
      <c r="ONT3" s="120"/>
      <c r="ONU3" s="120"/>
      <c r="ONV3" s="120"/>
      <c r="ONW3" s="120"/>
      <c r="ONX3" s="120"/>
      <c r="ONY3" s="120"/>
      <c r="ONZ3" s="120"/>
      <c r="OOA3" s="120"/>
      <c r="OOB3" s="120"/>
      <c r="OOC3" s="120"/>
      <c r="OOD3" s="120"/>
      <c r="OOE3" s="120"/>
      <c r="OOF3" s="120"/>
      <c r="OOG3" s="120"/>
      <c r="OOH3" s="120"/>
      <c r="OOI3" s="120"/>
      <c r="OOJ3" s="120"/>
      <c r="OOK3" s="120"/>
      <c r="OOL3" s="120"/>
      <c r="OOM3" s="120"/>
      <c r="OON3" s="120"/>
      <c r="OOO3" s="120"/>
      <c r="OOP3" s="120"/>
      <c r="OOQ3" s="120"/>
      <c r="OOR3" s="120"/>
      <c r="OOS3" s="120"/>
      <c r="OOT3" s="120"/>
      <c r="OOU3" s="120"/>
      <c r="OOV3" s="120"/>
      <c r="OOW3" s="120"/>
      <c r="OOX3" s="120"/>
      <c r="OOY3" s="120"/>
      <c r="OOZ3" s="120"/>
      <c r="OPA3" s="120"/>
      <c r="OPB3" s="120"/>
      <c r="OPC3" s="120"/>
      <c r="OPD3" s="120"/>
      <c r="OPE3" s="120"/>
      <c r="OPF3" s="120"/>
      <c r="OPG3" s="120"/>
      <c r="OPH3" s="120"/>
      <c r="OPI3" s="120"/>
      <c r="OPJ3" s="120"/>
      <c r="OPK3" s="120"/>
      <c r="OPL3" s="120"/>
      <c r="OPM3" s="120"/>
      <c r="OPN3" s="120"/>
      <c r="OPO3" s="120"/>
      <c r="OPP3" s="120"/>
      <c r="OPQ3" s="120"/>
      <c r="OPR3" s="120"/>
      <c r="OPS3" s="120"/>
      <c r="OPT3" s="120"/>
      <c r="OPU3" s="120"/>
      <c r="OPV3" s="120"/>
      <c r="OPW3" s="120"/>
      <c r="OPX3" s="120"/>
      <c r="OPY3" s="120"/>
      <c r="OPZ3" s="120"/>
      <c r="OQA3" s="120"/>
      <c r="OQB3" s="120"/>
      <c r="OQC3" s="120"/>
      <c r="OQD3" s="120"/>
      <c r="OQE3" s="120"/>
      <c r="OQF3" s="120"/>
      <c r="OQG3" s="120"/>
      <c r="OQH3" s="120"/>
      <c r="OQI3" s="120"/>
      <c r="OQJ3" s="120"/>
      <c r="OQK3" s="120"/>
      <c r="OQL3" s="120"/>
      <c r="OQM3" s="120"/>
      <c r="OQN3" s="120"/>
      <c r="OQO3" s="120"/>
      <c r="OQP3" s="120"/>
      <c r="OQQ3" s="120"/>
      <c r="OQR3" s="120"/>
      <c r="OQS3" s="120"/>
      <c r="OQT3" s="120"/>
      <c r="OQU3" s="120"/>
      <c r="OQV3" s="120"/>
      <c r="OQW3" s="120"/>
      <c r="OQX3" s="120"/>
      <c r="OQY3" s="120"/>
      <c r="OQZ3" s="120"/>
      <c r="ORA3" s="120"/>
      <c r="ORB3" s="120"/>
      <c r="ORC3" s="120"/>
      <c r="ORD3" s="120"/>
      <c r="ORE3" s="120"/>
      <c r="ORF3" s="120"/>
      <c r="ORG3" s="120"/>
      <c r="ORH3" s="120"/>
      <c r="ORI3" s="120"/>
      <c r="ORJ3" s="120"/>
      <c r="ORK3" s="120"/>
      <c r="ORL3" s="120"/>
      <c r="ORM3" s="120"/>
      <c r="ORN3" s="120"/>
      <c r="ORO3" s="120"/>
      <c r="ORP3" s="120"/>
      <c r="ORQ3" s="120"/>
      <c r="ORR3" s="120"/>
      <c r="ORS3" s="120"/>
      <c r="ORT3" s="120"/>
      <c r="ORU3" s="120"/>
      <c r="ORV3" s="120"/>
      <c r="ORW3" s="120"/>
      <c r="ORX3" s="120"/>
      <c r="ORY3" s="120"/>
      <c r="ORZ3" s="120"/>
      <c r="OSA3" s="120"/>
      <c r="OSB3" s="120"/>
      <c r="OSC3" s="120"/>
      <c r="OSD3" s="120"/>
      <c r="OSE3" s="120"/>
      <c r="OSF3" s="120"/>
      <c r="OSG3" s="120"/>
      <c r="OSH3" s="120"/>
      <c r="OSI3" s="120"/>
      <c r="OSJ3" s="120"/>
      <c r="OSK3" s="120"/>
      <c r="OSL3" s="120"/>
      <c r="OSM3" s="120"/>
      <c r="OSN3" s="120"/>
      <c r="OSO3" s="120"/>
      <c r="OSP3" s="120"/>
      <c r="OSQ3" s="120"/>
      <c r="OSR3" s="120"/>
      <c r="OSS3" s="120"/>
      <c r="OST3" s="120"/>
      <c r="OSU3" s="120"/>
      <c r="OSV3" s="120"/>
      <c r="OSW3" s="120"/>
      <c r="OSX3" s="120"/>
      <c r="OSY3" s="120"/>
      <c r="OSZ3" s="120"/>
      <c r="OTA3" s="120"/>
      <c r="OTB3" s="120"/>
      <c r="OTC3" s="120"/>
      <c r="OTD3" s="120"/>
      <c r="OTE3" s="120"/>
      <c r="OTF3" s="120"/>
      <c r="OTG3" s="120"/>
      <c r="OTH3" s="120"/>
      <c r="OTI3" s="120"/>
      <c r="OTJ3" s="120"/>
      <c r="OTK3" s="120"/>
      <c r="OTL3" s="120"/>
      <c r="OTM3" s="120"/>
      <c r="OTN3" s="120"/>
      <c r="OTO3" s="120"/>
      <c r="OTP3" s="120"/>
      <c r="OTQ3" s="120"/>
      <c r="OTR3" s="120"/>
      <c r="OTS3" s="120"/>
      <c r="OTT3" s="120"/>
      <c r="OTU3" s="120"/>
      <c r="OTV3" s="120"/>
      <c r="OTW3" s="120"/>
      <c r="OTX3" s="120"/>
      <c r="OTY3" s="120"/>
      <c r="OTZ3" s="120"/>
      <c r="OUA3" s="120"/>
      <c r="OUB3" s="120"/>
      <c r="OUC3" s="120"/>
      <c r="OUD3" s="120"/>
      <c r="OUE3" s="120"/>
      <c r="OUF3" s="120"/>
      <c r="OUG3" s="120"/>
      <c r="OUH3" s="120"/>
      <c r="OUI3" s="120"/>
      <c r="OUJ3" s="120"/>
      <c r="OUK3" s="120"/>
      <c r="OUL3" s="120"/>
      <c r="OUM3" s="120"/>
      <c r="OUN3" s="120"/>
      <c r="OUO3" s="120"/>
      <c r="OUP3" s="120"/>
      <c r="OUQ3" s="120"/>
      <c r="OUR3" s="120"/>
      <c r="OUS3" s="120"/>
      <c r="OUT3" s="120"/>
      <c r="OUU3" s="120"/>
      <c r="OUV3" s="120"/>
      <c r="OUW3" s="120"/>
      <c r="OUX3" s="120"/>
      <c r="OUY3" s="120"/>
      <c r="OUZ3" s="120"/>
      <c r="OVA3" s="120"/>
      <c r="OVB3" s="120"/>
      <c r="OVC3" s="120"/>
      <c r="OVD3" s="120"/>
      <c r="OVE3" s="120"/>
      <c r="OVF3" s="120"/>
      <c r="OVG3" s="120"/>
      <c r="OVH3" s="120"/>
      <c r="OVI3" s="120"/>
      <c r="OVJ3" s="120"/>
      <c r="OVK3" s="120"/>
      <c r="OVL3" s="120"/>
      <c r="OVM3" s="120"/>
      <c r="OVN3" s="120"/>
      <c r="OVO3" s="120"/>
      <c r="OVP3" s="120"/>
      <c r="OVQ3" s="120"/>
      <c r="OVR3" s="120"/>
      <c r="OVS3" s="120"/>
      <c r="OVT3" s="120"/>
      <c r="OVU3" s="120"/>
      <c r="OVV3" s="120"/>
      <c r="OVW3" s="120"/>
      <c r="OVX3" s="120"/>
      <c r="OVY3" s="120"/>
      <c r="OVZ3" s="120"/>
      <c r="OWA3" s="120"/>
      <c r="OWB3" s="120"/>
      <c r="OWC3" s="120"/>
      <c r="OWD3" s="120"/>
      <c r="OWE3" s="120"/>
      <c r="OWF3" s="120"/>
      <c r="OWG3" s="120"/>
      <c r="OWH3" s="120"/>
      <c r="OWI3" s="120"/>
      <c r="OWJ3" s="120"/>
      <c r="OWK3" s="120"/>
      <c r="OWL3" s="120"/>
      <c r="OWM3" s="120"/>
      <c r="OWN3" s="120"/>
      <c r="OWO3" s="120"/>
      <c r="OWP3" s="120"/>
      <c r="OWQ3" s="120"/>
      <c r="OWR3" s="120"/>
      <c r="OWS3" s="120"/>
      <c r="OWT3" s="120"/>
      <c r="OWU3" s="120"/>
      <c r="OWV3" s="120"/>
      <c r="OWW3" s="120"/>
      <c r="OWX3" s="120"/>
      <c r="OWY3" s="120"/>
      <c r="OWZ3" s="120"/>
      <c r="OXA3" s="120"/>
      <c r="OXB3" s="120"/>
      <c r="OXC3" s="120"/>
      <c r="OXD3" s="120"/>
      <c r="OXE3" s="120"/>
      <c r="OXF3" s="120"/>
      <c r="OXG3" s="120"/>
      <c r="OXH3" s="120"/>
      <c r="OXI3" s="120"/>
      <c r="OXJ3" s="120"/>
      <c r="OXK3" s="120"/>
      <c r="OXL3" s="120"/>
      <c r="OXM3" s="120"/>
      <c r="OXN3" s="120"/>
      <c r="OXO3" s="120"/>
      <c r="OXP3" s="120"/>
      <c r="OXQ3" s="120"/>
      <c r="OXR3" s="120"/>
      <c r="OXS3" s="120"/>
      <c r="OXT3" s="120"/>
      <c r="OXU3" s="120"/>
      <c r="OXV3" s="120"/>
      <c r="OXW3" s="120"/>
      <c r="OXX3" s="120"/>
      <c r="OXY3" s="120"/>
      <c r="OXZ3" s="120"/>
      <c r="OYA3" s="120"/>
      <c r="OYB3" s="120"/>
      <c r="OYC3" s="120"/>
      <c r="OYD3" s="120"/>
      <c r="OYE3" s="120"/>
      <c r="OYF3" s="120"/>
      <c r="OYG3" s="120"/>
      <c r="OYH3" s="120"/>
      <c r="OYI3" s="120"/>
      <c r="OYJ3" s="120"/>
      <c r="OYK3" s="120"/>
      <c r="OYL3" s="120"/>
      <c r="OYM3" s="120"/>
      <c r="OYN3" s="120"/>
      <c r="OYO3" s="120"/>
      <c r="OYP3" s="120"/>
      <c r="OYQ3" s="120"/>
      <c r="OYR3" s="120"/>
      <c r="OYS3" s="120"/>
      <c r="OYT3" s="120"/>
      <c r="OYU3" s="120"/>
      <c r="OYV3" s="120"/>
      <c r="OYW3" s="120"/>
      <c r="OYX3" s="120"/>
      <c r="OYY3" s="120"/>
      <c r="OYZ3" s="120"/>
      <c r="OZA3" s="120"/>
      <c r="OZB3" s="120"/>
      <c r="OZC3" s="120"/>
      <c r="OZD3" s="120"/>
      <c r="OZE3" s="120"/>
      <c r="OZF3" s="120"/>
      <c r="OZG3" s="120"/>
      <c r="OZH3" s="120"/>
      <c r="OZI3" s="120"/>
      <c r="OZJ3" s="120"/>
      <c r="OZK3" s="120"/>
      <c r="OZL3" s="120"/>
      <c r="OZM3" s="120"/>
      <c r="OZN3" s="120"/>
      <c r="OZO3" s="120"/>
      <c r="OZP3" s="120"/>
      <c r="OZQ3" s="120"/>
      <c r="OZR3" s="120"/>
      <c r="OZS3" s="120"/>
      <c r="OZT3" s="120"/>
      <c r="OZU3" s="120"/>
      <c r="OZV3" s="120"/>
      <c r="OZW3" s="120"/>
      <c r="OZX3" s="120"/>
      <c r="OZY3" s="120"/>
      <c r="OZZ3" s="120"/>
      <c r="PAA3" s="120"/>
      <c r="PAB3" s="120"/>
      <c r="PAC3" s="120"/>
      <c r="PAD3" s="120"/>
      <c r="PAE3" s="120"/>
      <c r="PAF3" s="120"/>
      <c r="PAG3" s="120"/>
      <c r="PAH3" s="120"/>
      <c r="PAI3" s="120"/>
      <c r="PAJ3" s="120"/>
      <c r="PAK3" s="120"/>
      <c r="PAL3" s="120"/>
      <c r="PAM3" s="120"/>
      <c r="PAN3" s="120"/>
      <c r="PAO3" s="120"/>
      <c r="PAP3" s="120"/>
      <c r="PAQ3" s="120"/>
      <c r="PAR3" s="120"/>
      <c r="PAS3" s="120"/>
      <c r="PAT3" s="120"/>
      <c r="PAU3" s="120"/>
      <c r="PAV3" s="120"/>
      <c r="PAW3" s="120"/>
      <c r="PAX3" s="120"/>
      <c r="PAY3" s="120"/>
      <c r="PAZ3" s="120"/>
      <c r="PBA3" s="120"/>
      <c r="PBB3" s="120"/>
      <c r="PBC3" s="120"/>
      <c r="PBD3" s="120"/>
      <c r="PBE3" s="120"/>
      <c r="PBF3" s="120"/>
      <c r="PBG3" s="120"/>
      <c r="PBH3" s="120"/>
      <c r="PBI3" s="120"/>
      <c r="PBJ3" s="120"/>
      <c r="PBK3" s="120"/>
      <c r="PBL3" s="120"/>
      <c r="PBM3" s="120"/>
      <c r="PBN3" s="120"/>
      <c r="PBO3" s="120"/>
      <c r="PBP3" s="120"/>
      <c r="PBQ3" s="120"/>
      <c r="PBR3" s="120"/>
      <c r="PBS3" s="120"/>
      <c r="PBT3" s="120"/>
      <c r="PBU3" s="120"/>
      <c r="PBV3" s="120"/>
      <c r="PBW3" s="120"/>
      <c r="PBX3" s="120"/>
      <c r="PBY3" s="120"/>
      <c r="PBZ3" s="120"/>
      <c r="PCA3" s="120"/>
      <c r="PCB3" s="120"/>
      <c r="PCC3" s="120"/>
      <c r="PCD3" s="120"/>
      <c r="PCE3" s="120"/>
      <c r="PCF3" s="120"/>
      <c r="PCG3" s="120"/>
      <c r="PCH3" s="120"/>
      <c r="PCI3" s="120"/>
      <c r="PCJ3" s="120"/>
      <c r="PCK3" s="120"/>
      <c r="PCL3" s="120"/>
      <c r="PCM3" s="120"/>
      <c r="PCN3" s="120"/>
      <c r="PCO3" s="120"/>
      <c r="PCP3" s="120"/>
      <c r="PCQ3" s="120"/>
      <c r="PCR3" s="120"/>
      <c r="PCS3" s="120"/>
      <c r="PCT3" s="120"/>
      <c r="PCU3" s="120"/>
      <c r="PCV3" s="120"/>
      <c r="PCW3" s="120"/>
      <c r="PCX3" s="120"/>
      <c r="PCY3" s="120"/>
      <c r="PCZ3" s="120"/>
      <c r="PDA3" s="120"/>
      <c r="PDB3" s="120"/>
      <c r="PDC3" s="120"/>
      <c r="PDD3" s="120"/>
      <c r="PDE3" s="120"/>
      <c r="PDF3" s="120"/>
      <c r="PDG3" s="120"/>
      <c r="PDH3" s="120"/>
      <c r="PDI3" s="120"/>
      <c r="PDJ3" s="120"/>
      <c r="PDK3" s="120"/>
      <c r="PDL3" s="120"/>
      <c r="PDM3" s="120"/>
      <c r="PDN3" s="120"/>
      <c r="PDO3" s="120"/>
      <c r="PDP3" s="120"/>
      <c r="PDQ3" s="120"/>
      <c r="PDR3" s="120"/>
      <c r="PDS3" s="120"/>
      <c r="PDT3" s="120"/>
      <c r="PDU3" s="120"/>
      <c r="PDV3" s="120"/>
      <c r="PDW3" s="120"/>
      <c r="PDX3" s="120"/>
      <c r="PDY3" s="120"/>
      <c r="PDZ3" s="120"/>
      <c r="PEA3" s="120"/>
      <c r="PEB3" s="120"/>
      <c r="PEC3" s="120"/>
      <c r="PED3" s="120"/>
      <c r="PEE3" s="120"/>
      <c r="PEF3" s="120"/>
      <c r="PEG3" s="120"/>
      <c r="PEH3" s="120"/>
      <c r="PEI3" s="120"/>
      <c r="PEJ3" s="120"/>
      <c r="PEK3" s="120"/>
      <c r="PEL3" s="120"/>
      <c r="PEM3" s="120"/>
      <c r="PEN3" s="120"/>
      <c r="PEO3" s="120"/>
      <c r="PEP3" s="120"/>
      <c r="PEQ3" s="120"/>
      <c r="PER3" s="120"/>
      <c r="PES3" s="120"/>
      <c r="PET3" s="120"/>
      <c r="PEU3" s="120"/>
      <c r="PEV3" s="120"/>
      <c r="PEW3" s="120"/>
      <c r="PEX3" s="120"/>
      <c r="PEY3" s="120"/>
      <c r="PEZ3" s="120"/>
      <c r="PFA3" s="120"/>
      <c r="PFB3" s="120"/>
      <c r="PFC3" s="120"/>
      <c r="PFD3" s="120"/>
      <c r="PFE3" s="120"/>
      <c r="PFF3" s="120"/>
      <c r="PFG3" s="120"/>
      <c r="PFH3" s="120"/>
      <c r="PFI3" s="120"/>
      <c r="PFJ3" s="120"/>
      <c r="PFK3" s="120"/>
      <c r="PFL3" s="120"/>
      <c r="PFM3" s="120"/>
      <c r="PFN3" s="120"/>
      <c r="PFO3" s="120"/>
      <c r="PFP3" s="120"/>
      <c r="PFQ3" s="120"/>
      <c r="PFR3" s="120"/>
      <c r="PFS3" s="120"/>
      <c r="PFT3" s="120"/>
      <c r="PFU3" s="120"/>
      <c r="PFV3" s="120"/>
      <c r="PFW3" s="120"/>
      <c r="PFX3" s="120"/>
      <c r="PFY3" s="120"/>
      <c r="PFZ3" s="120"/>
      <c r="PGA3" s="120"/>
      <c r="PGB3" s="120"/>
      <c r="PGC3" s="120"/>
      <c r="PGD3" s="120"/>
      <c r="PGE3" s="120"/>
      <c r="PGF3" s="120"/>
      <c r="PGG3" s="120"/>
      <c r="PGH3" s="120"/>
      <c r="PGI3" s="120"/>
      <c r="PGJ3" s="120"/>
      <c r="PGK3" s="120"/>
      <c r="PGL3" s="120"/>
      <c r="PGM3" s="120"/>
      <c r="PGN3" s="120"/>
      <c r="PGO3" s="120"/>
      <c r="PGP3" s="120"/>
      <c r="PGQ3" s="120"/>
      <c r="PGR3" s="120"/>
      <c r="PGS3" s="120"/>
      <c r="PGT3" s="120"/>
      <c r="PGU3" s="120"/>
      <c r="PGV3" s="120"/>
      <c r="PGW3" s="120"/>
      <c r="PGX3" s="120"/>
      <c r="PGY3" s="120"/>
      <c r="PGZ3" s="120"/>
      <c r="PHA3" s="120"/>
      <c r="PHB3" s="120"/>
      <c r="PHC3" s="120"/>
      <c r="PHD3" s="120"/>
      <c r="PHE3" s="120"/>
      <c r="PHF3" s="120"/>
      <c r="PHG3" s="120"/>
      <c r="PHH3" s="120"/>
      <c r="PHI3" s="120"/>
      <c r="PHJ3" s="120"/>
      <c r="PHK3" s="120"/>
      <c r="PHL3" s="120"/>
      <c r="PHM3" s="120"/>
      <c r="PHN3" s="120"/>
      <c r="PHO3" s="120"/>
      <c r="PHP3" s="120"/>
      <c r="PHQ3" s="120"/>
      <c r="PHR3" s="120"/>
      <c r="PHS3" s="120"/>
      <c r="PHT3" s="120"/>
      <c r="PHU3" s="120"/>
      <c r="PHV3" s="120"/>
      <c r="PHW3" s="120"/>
      <c r="PHX3" s="120"/>
      <c r="PHY3" s="120"/>
      <c r="PHZ3" s="120"/>
      <c r="PIA3" s="120"/>
      <c r="PIB3" s="120"/>
      <c r="PIC3" s="120"/>
      <c r="PID3" s="120"/>
      <c r="PIE3" s="120"/>
      <c r="PIF3" s="120"/>
      <c r="PIG3" s="120"/>
      <c r="PIH3" s="120"/>
      <c r="PII3" s="120"/>
      <c r="PIJ3" s="120"/>
      <c r="PIK3" s="120"/>
      <c r="PIL3" s="120"/>
      <c r="PIM3" s="120"/>
      <c r="PIN3" s="120"/>
      <c r="PIO3" s="120"/>
      <c r="PIP3" s="120"/>
      <c r="PIQ3" s="120"/>
      <c r="PIR3" s="120"/>
      <c r="PIS3" s="120"/>
      <c r="PIT3" s="120"/>
      <c r="PIU3" s="120"/>
      <c r="PIV3" s="120"/>
      <c r="PIW3" s="120"/>
      <c r="PIX3" s="120"/>
      <c r="PIY3" s="120"/>
      <c r="PIZ3" s="120"/>
      <c r="PJA3" s="120"/>
      <c r="PJB3" s="120"/>
      <c r="PJC3" s="120"/>
      <c r="PJD3" s="120"/>
      <c r="PJE3" s="120"/>
      <c r="PJF3" s="120"/>
      <c r="PJG3" s="120"/>
      <c r="PJH3" s="120"/>
      <c r="PJI3" s="120"/>
      <c r="PJJ3" s="120"/>
      <c r="PJK3" s="120"/>
      <c r="PJL3" s="120"/>
      <c r="PJM3" s="120"/>
      <c r="PJN3" s="120"/>
      <c r="PJO3" s="120"/>
      <c r="PJP3" s="120"/>
      <c r="PJQ3" s="120"/>
      <c r="PJR3" s="120"/>
      <c r="PJS3" s="120"/>
      <c r="PJT3" s="120"/>
      <c r="PJU3" s="120"/>
      <c r="PJV3" s="120"/>
      <c r="PJW3" s="120"/>
      <c r="PJX3" s="120"/>
      <c r="PJY3" s="120"/>
      <c r="PJZ3" s="120"/>
      <c r="PKA3" s="120"/>
      <c r="PKB3" s="120"/>
      <c r="PKC3" s="120"/>
      <c r="PKD3" s="120"/>
      <c r="PKE3" s="120"/>
      <c r="PKF3" s="120"/>
      <c r="PKG3" s="120"/>
      <c r="PKH3" s="120"/>
      <c r="PKI3" s="120"/>
      <c r="PKJ3" s="120"/>
      <c r="PKK3" s="120"/>
      <c r="PKL3" s="120"/>
      <c r="PKM3" s="120"/>
      <c r="PKN3" s="120"/>
      <c r="PKO3" s="120"/>
      <c r="PKP3" s="120"/>
      <c r="PKQ3" s="120"/>
      <c r="PKR3" s="120"/>
      <c r="PKS3" s="120"/>
      <c r="PKT3" s="120"/>
      <c r="PKU3" s="120"/>
      <c r="PKV3" s="120"/>
      <c r="PKW3" s="120"/>
      <c r="PKX3" s="120"/>
      <c r="PKY3" s="120"/>
      <c r="PKZ3" s="120"/>
      <c r="PLA3" s="120"/>
      <c r="PLB3" s="120"/>
      <c r="PLC3" s="120"/>
      <c r="PLD3" s="120"/>
      <c r="PLE3" s="120"/>
      <c r="PLF3" s="120"/>
      <c r="PLG3" s="120"/>
      <c r="PLH3" s="120"/>
      <c r="PLI3" s="120"/>
      <c r="PLJ3" s="120"/>
      <c r="PLK3" s="120"/>
      <c r="PLL3" s="120"/>
      <c r="PLM3" s="120"/>
      <c r="PLN3" s="120"/>
      <c r="PLO3" s="120"/>
      <c r="PLP3" s="120"/>
      <c r="PLQ3" s="120"/>
      <c r="PLR3" s="120"/>
      <c r="PLS3" s="120"/>
      <c r="PLT3" s="120"/>
      <c r="PLU3" s="120"/>
      <c r="PLV3" s="120"/>
      <c r="PLW3" s="120"/>
      <c r="PLX3" s="120"/>
      <c r="PLY3" s="120"/>
      <c r="PLZ3" s="120"/>
      <c r="PMA3" s="120"/>
      <c r="PMB3" s="120"/>
      <c r="PMC3" s="120"/>
      <c r="PMD3" s="120"/>
      <c r="PME3" s="120"/>
      <c r="PMF3" s="120"/>
      <c r="PMG3" s="120"/>
      <c r="PMH3" s="120"/>
      <c r="PMI3" s="120"/>
      <c r="PMJ3" s="120"/>
      <c r="PMK3" s="120"/>
      <c r="PML3" s="120"/>
      <c r="PMM3" s="120"/>
      <c r="PMN3" s="120"/>
      <c r="PMO3" s="120"/>
      <c r="PMP3" s="120"/>
      <c r="PMQ3" s="120"/>
      <c r="PMR3" s="120"/>
      <c r="PMS3" s="120"/>
      <c r="PMT3" s="120"/>
      <c r="PMU3" s="120"/>
      <c r="PMV3" s="120"/>
      <c r="PMW3" s="120"/>
      <c r="PMX3" s="120"/>
      <c r="PMY3" s="120"/>
      <c r="PMZ3" s="120"/>
      <c r="PNA3" s="120"/>
      <c r="PNB3" s="120"/>
      <c r="PNC3" s="120"/>
      <c r="PND3" s="120"/>
      <c r="PNE3" s="120"/>
      <c r="PNF3" s="120"/>
      <c r="PNG3" s="120"/>
      <c r="PNH3" s="120"/>
      <c r="PNI3" s="120"/>
      <c r="PNJ3" s="120"/>
      <c r="PNK3" s="120"/>
      <c r="PNL3" s="120"/>
      <c r="PNM3" s="120"/>
      <c r="PNN3" s="120"/>
      <c r="PNO3" s="120"/>
      <c r="PNP3" s="120"/>
      <c r="PNQ3" s="120"/>
      <c r="PNR3" s="120"/>
      <c r="PNS3" s="120"/>
      <c r="PNT3" s="120"/>
      <c r="PNU3" s="120"/>
      <c r="PNV3" s="120"/>
      <c r="PNW3" s="120"/>
      <c r="PNX3" s="120"/>
      <c r="PNY3" s="120"/>
      <c r="PNZ3" s="120"/>
      <c r="POA3" s="120"/>
      <c r="POB3" s="120"/>
      <c r="POC3" s="120"/>
      <c r="POD3" s="120"/>
      <c r="POE3" s="120"/>
      <c r="POF3" s="120"/>
      <c r="POG3" s="120"/>
      <c r="POH3" s="120"/>
      <c r="POI3" s="120"/>
      <c r="POJ3" s="120"/>
      <c r="POK3" s="120"/>
      <c r="POL3" s="120"/>
      <c r="POM3" s="120"/>
      <c r="PON3" s="120"/>
      <c r="POO3" s="120"/>
      <c r="POP3" s="120"/>
      <c r="POQ3" s="120"/>
      <c r="POR3" s="120"/>
      <c r="POS3" s="120"/>
      <c r="POT3" s="120"/>
      <c r="POU3" s="120"/>
      <c r="POV3" s="120"/>
      <c r="POW3" s="120"/>
      <c r="POX3" s="120"/>
      <c r="POY3" s="120"/>
      <c r="POZ3" s="120"/>
      <c r="PPA3" s="120"/>
      <c r="PPB3" s="120"/>
      <c r="PPC3" s="120"/>
      <c r="PPD3" s="120"/>
      <c r="PPE3" s="120"/>
      <c r="PPF3" s="120"/>
      <c r="PPG3" s="120"/>
      <c r="PPH3" s="120"/>
      <c r="PPI3" s="120"/>
      <c r="PPJ3" s="120"/>
      <c r="PPK3" s="120"/>
      <c r="PPL3" s="120"/>
      <c r="PPM3" s="120"/>
      <c r="PPN3" s="120"/>
      <c r="PPO3" s="120"/>
      <c r="PPP3" s="120"/>
      <c r="PPQ3" s="120"/>
      <c r="PPR3" s="120"/>
      <c r="PPS3" s="120"/>
      <c r="PPT3" s="120"/>
      <c r="PPU3" s="120"/>
      <c r="PPV3" s="120"/>
      <c r="PPW3" s="120"/>
      <c r="PPX3" s="120"/>
      <c r="PPY3" s="120"/>
      <c r="PPZ3" s="120"/>
      <c r="PQA3" s="120"/>
      <c r="PQB3" s="120"/>
      <c r="PQC3" s="120"/>
      <c r="PQD3" s="120"/>
      <c r="PQE3" s="120"/>
      <c r="PQF3" s="120"/>
      <c r="PQG3" s="120"/>
      <c r="PQH3" s="120"/>
      <c r="PQI3" s="120"/>
      <c r="PQJ3" s="120"/>
      <c r="PQK3" s="120"/>
      <c r="PQL3" s="120"/>
      <c r="PQM3" s="120"/>
      <c r="PQN3" s="120"/>
      <c r="PQO3" s="120"/>
      <c r="PQP3" s="120"/>
      <c r="PQQ3" s="120"/>
      <c r="PQR3" s="120"/>
      <c r="PQS3" s="120"/>
      <c r="PQT3" s="120"/>
      <c r="PQU3" s="120"/>
      <c r="PQV3" s="120"/>
      <c r="PQW3" s="120"/>
      <c r="PQX3" s="120"/>
      <c r="PQY3" s="120"/>
      <c r="PQZ3" s="120"/>
      <c r="PRA3" s="120"/>
      <c r="PRB3" s="120"/>
      <c r="PRC3" s="120"/>
      <c r="PRD3" s="120"/>
      <c r="PRE3" s="120"/>
      <c r="PRF3" s="120"/>
      <c r="PRG3" s="120"/>
      <c r="PRH3" s="120"/>
      <c r="PRI3" s="120"/>
      <c r="PRJ3" s="120"/>
      <c r="PRK3" s="120"/>
      <c r="PRL3" s="120"/>
      <c r="PRM3" s="120"/>
      <c r="PRN3" s="120"/>
      <c r="PRO3" s="120"/>
      <c r="PRP3" s="120"/>
      <c r="PRQ3" s="120"/>
      <c r="PRR3" s="120"/>
      <c r="PRS3" s="120"/>
      <c r="PRT3" s="120"/>
      <c r="PRU3" s="120"/>
      <c r="PRV3" s="120"/>
      <c r="PRW3" s="120"/>
      <c r="PRX3" s="120"/>
      <c r="PRY3" s="120"/>
      <c r="PRZ3" s="120"/>
      <c r="PSA3" s="120"/>
      <c r="PSB3" s="120"/>
      <c r="PSC3" s="120"/>
      <c r="PSD3" s="120"/>
      <c r="PSE3" s="120"/>
      <c r="PSF3" s="120"/>
      <c r="PSG3" s="120"/>
      <c r="PSH3" s="120"/>
      <c r="PSI3" s="120"/>
      <c r="PSJ3" s="120"/>
      <c r="PSK3" s="120"/>
      <c r="PSL3" s="120"/>
      <c r="PSM3" s="120"/>
      <c r="PSN3" s="120"/>
      <c r="PSO3" s="120"/>
      <c r="PSP3" s="120"/>
      <c r="PSQ3" s="120"/>
      <c r="PSR3" s="120"/>
      <c r="PSS3" s="120"/>
      <c r="PST3" s="120"/>
      <c r="PSU3" s="120"/>
      <c r="PSV3" s="120"/>
      <c r="PSW3" s="120"/>
      <c r="PSX3" s="120"/>
      <c r="PSY3" s="120"/>
      <c r="PSZ3" s="120"/>
      <c r="PTA3" s="120"/>
      <c r="PTB3" s="120"/>
      <c r="PTC3" s="120"/>
      <c r="PTD3" s="120"/>
      <c r="PTE3" s="120"/>
      <c r="PTF3" s="120"/>
      <c r="PTG3" s="120"/>
      <c r="PTH3" s="120"/>
      <c r="PTI3" s="120"/>
      <c r="PTJ3" s="120"/>
      <c r="PTK3" s="120"/>
      <c r="PTL3" s="120"/>
      <c r="PTM3" s="120"/>
      <c r="PTN3" s="120"/>
      <c r="PTO3" s="120"/>
      <c r="PTP3" s="120"/>
      <c r="PTQ3" s="120"/>
      <c r="PTR3" s="120"/>
      <c r="PTS3" s="120"/>
      <c r="PTT3" s="120"/>
      <c r="PTU3" s="120"/>
      <c r="PTV3" s="120"/>
      <c r="PTW3" s="120"/>
      <c r="PTX3" s="120"/>
      <c r="PTY3" s="120"/>
      <c r="PTZ3" s="120"/>
      <c r="PUA3" s="120"/>
      <c r="PUB3" s="120"/>
      <c r="PUC3" s="120"/>
      <c r="PUD3" s="120"/>
      <c r="PUE3" s="120"/>
      <c r="PUF3" s="120"/>
      <c r="PUG3" s="120"/>
      <c r="PUH3" s="120"/>
      <c r="PUI3" s="120"/>
      <c r="PUJ3" s="120"/>
      <c r="PUK3" s="120"/>
      <c r="PUL3" s="120"/>
      <c r="PUM3" s="120"/>
      <c r="PUN3" s="120"/>
      <c r="PUO3" s="120"/>
      <c r="PUP3" s="120"/>
      <c r="PUQ3" s="120"/>
      <c r="PUR3" s="120"/>
      <c r="PUS3" s="120"/>
      <c r="PUT3" s="120"/>
      <c r="PUU3" s="120"/>
      <c r="PUV3" s="120"/>
      <c r="PUW3" s="120"/>
      <c r="PUX3" s="120"/>
      <c r="PUY3" s="120"/>
      <c r="PUZ3" s="120"/>
      <c r="PVA3" s="120"/>
      <c r="PVB3" s="120"/>
      <c r="PVC3" s="120"/>
      <c r="PVD3" s="120"/>
      <c r="PVE3" s="120"/>
      <c r="PVF3" s="120"/>
      <c r="PVG3" s="120"/>
      <c r="PVH3" s="120"/>
      <c r="PVI3" s="120"/>
      <c r="PVJ3" s="120"/>
      <c r="PVK3" s="120"/>
      <c r="PVL3" s="120"/>
      <c r="PVM3" s="120"/>
      <c r="PVN3" s="120"/>
      <c r="PVO3" s="120"/>
      <c r="PVP3" s="120"/>
      <c r="PVQ3" s="120"/>
      <c r="PVR3" s="120"/>
      <c r="PVS3" s="120"/>
      <c r="PVT3" s="120"/>
      <c r="PVU3" s="120"/>
      <c r="PVV3" s="120"/>
      <c r="PVW3" s="120"/>
      <c r="PVX3" s="120"/>
      <c r="PVY3" s="120"/>
      <c r="PVZ3" s="120"/>
      <c r="PWA3" s="120"/>
      <c r="PWB3" s="120"/>
      <c r="PWC3" s="120"/>
      <c r="PWD3" s="120"/>
      <c r="PWE3" s="120"/>
      <c r="PWF3" s="120"/>
      <c r="PWG3" s="120"/>
      <c r="PWH3" s="120"/>
      <c r="PWI3" s="120"/>
      <c r="PWJ3" s="120"/>
      <c r="PWK3" s="120"/>
      <c r="PWL3" s="120"/>
      <c r="PWM3" s="120"/>
      <c r="PWN3" s="120"/>
      <c r="PWO3" s="120"/>
      <c r="PWP3" s="120"/>
      <c r="PWQ3" s="120"/>
      <c r="PWR3" s="120"/>
      <c r="PWS3" s="120"/>
      <c r="PWT3" s="120"/>
      <c r="PWU3" s="120"/>
      <c r="PWV3" s="120"/>
      <c r="PWW3" s="120"/>
      <c r="PWX3" s="120"/>
      <c r="PWY3" s="120"/>
      <c r="PWZ3" s="120"/>
      <c r="PXA3" s="120"/>
      <c r="PXB3" s="120"/>
      <c r="PXC3" s="120"/>
      <c r="PXD3" s="120"/>
      <c r="PXE3" s="120"/>
      <c r="PXF3" s="120"/>
      <c r="PXG3" s="120"/>
      <c r="PXH3" s="120"/>
      <c r="PXI3" s="120"/>
      <c r="PXJ3" s="120"/>
      <c r="PXK3" s="120"/>
      <c r="PXL3" s="120"/>
      <c r="PXM3" s="120"/>
      <c r="PXN3" s="120"/>
      <c r="PXO3" s="120"/>
      <c r="PXP3" s="120"/>
      <c r="PXQ3" s="120"/>
      <c r="PXR3" s="120"/>
      <c r="PXS3" s="120"/>
      <c r="PXT3" s="120"/>
      <c r="PXU3" s="120"/>
      <c r="PXV3" s="120"/>
      <c r="PXW3" s="120"/>
      <c r="PXX3" s="120"/>
      <c r="PXY3" s="120"/>
      <c r="PXZ3" s="120"/>
      <c r="PYA3" s="120"/>
      <c r="PYB3" s="120"/>
      <c r="PYC3" s="120"/>
      <c r="PYD3" s="120"/>
      <c r="PYE3" s="120"/>
      <c r="PYF3" s="120"/>
      <c r="PYG3" s="120"/>
      <c r="PYH3" s="120"/>
      <c r="PYI3" s="120"/>
      <c r="PYJ3" s="120"/>
      <c r="PYK3" s="120"/>
      <c r="PYL3" s="120"/>
      <c r="PYM3" s="120"/>
      <c r="PYN3" s="120"/>
      <c r="PYO3" s="120"/>
      <c r="PYP3" s="120"/>
      <c r="PYQ3" s="120"/>
      <c r="PYR3" s="120"/>
      <c r="PYS3" s="120"/>
      <c r="PYT3" s="120"/>
      <c r="PYU3" s="120"/>
      <c r="PYV3" s="120"/>
      <c r="PYW3" s="120"/>
      <c r="PYX3" s="120"/>
      <c r="PYY3" s="120"/>
      <c r="PYZ3" s="120"/>
      <c r="PZA3" s="120"/>
      <c r="PZB3" s="120"/>
      <c r="PZC3" s="120"/>
      <c r="PZD3" s="120"/>
      <c r="PZE3" s="120"/>
      <c r="PZF3" s="120"/>
      <c r="PZG3" s="120"/>
      <c r="PZH3" s="120"/>
      <c r="PZI3" s="120"/>
      <c r="PZJ3" s="120"/>
      <c r="PZK3" s="120"/>
      <c r="PZL3" s="120"/>
      <c r="PZM3" s="120"/>
      <c r="PZN3" s="120"/>
      <c r="PZO3" s="120"/>
      <c r="PZP3" s="120"/>
      <c r="PZQ3" s="120"/>
      <c r="PZR3" s="120"/>
      <c r="PZS3" s="120"/>
      <c r="PZT3" s="120"/>
      <c r="PZU3" s="120"/>
      <c r="PZV3" s="120"/>
      <c r="PZW3" s="120"/>
      <c r="PZX3" s="120"/>
      <c r="PZY3" s="120"/>
      <c r="PZZ3" s="120"/>
      <c r="QAA3" s="120"/>
      <c r="QAB3" s="120"/>
      <c r="QAC3" s="120"/>
      <c r="QAD3" s="120"/>
      <c r="QAE3" s="120"/>
      <c r="QAF3" s="120"/>
      <c r="QAG3" s="120"/>
      <c r="QAH3" s="120"/>
      <c r="QAI3" s="120"/>
      <c r="QAJ3" s="120"/>
      <c r="QAK3" s="120"/>
      <c r="QAL3" s="120"/>
      <c r="QAM3" s="120"/>
      <c r="QAN3" s="120"/>
      <c r="QAO3" s="120"/>
      <c r="QAP3" s="120"/>
      <c r="QAQ3" s="120"/>
      <c r="QAR3" s="120"/>
      <c r="QAS3" s="120"/>
      <c r="QAT3" s="120"/>
      <c r="QAU3" s="120"/>
      <c r="QAV3" s="120"/>
      <c r="QAW3" s="120"/>
      <c r="QAX3" s="120"/>
      <c r="QAY3" s="120"/>
      <c r="QAZ3" s="120"/>
      <c r="QBA3" s="120"/>
      <c r="QBB3" s="120"/>
      <c r="QBC3" s="120"/>
      <c r="QBD3" s="120"/>
      <c r="QBE3" s="120"/>
      <c r="QBF3" s="120"/>
      <c r="QBG3" s="120"/>
      <c r="QBH3" s="120"/>
      <c r="QBI3" s="120"/>
      <c r="QBJ3" s="120"/>
      <c r="QBK3" s="120"/>
      <c r="QBL3" s="120"/>
      <c r="QBM3" s="120"/>
      <c r="QBN3" s="120"/>
      <c r="QBO3" s="120"/>
      <c r="QBP3" s="120"/>
      <c r="QBQ3" s="120"/>
      <c r="QBR3" s="120"/>
      <c r="QBS3" s="120"/>
      <c r="QBT3" s="120"/>
      <c r="QBU3" s="120"/>
      <c r="QBV3" s="120"/>
      <c r="QBW3" s="120"/>
      <c r="QBX3" s="120"/>
      <c r="QBY3" s="120"/>
      <c r="QBZ3" s="120"/>
      <c r="QCA3" s="120"/>
      <c r="QCB3" s="120"/>
      <c r="QCC3" s="120"/>
      <c r="QCD3" s="120"/>
      <c r="QCE3" s="120"/>
      <c r="QCF3" s="120"/>
      <c r="QCG3" s="120"/>
      <c r="QCH3" s="120"/>
      <c r="QCI3" s="120"/>
      <c r="QCJ3" s="120"/>
      <c r="QCK3" s="120"/>
      <c r="QCL3" s="120"/>
      <c r="QCM3" s="120"/>
      <c r="QCN3" s="120"/>
      <c r="QCO3" s="120"/>
      <c r="QCP3" s="120"/>
      <c r="QCQ3" s="120"/>
      <c r="QCR3" s="120"/>
      <c r="QCS3" s="120"/>
      <c r="QCT3" s="120"/>
      <c r="QCU3" s="120"/>
      <c r="QCV3" s="120"/>
      <c r="QCW3" s="120"/>
      <c r="QCX3" s="120"/>
      <c r="QCY3" s="120"/>
      <c r="QCZ3" s="120"/>
      <c r="QDA3" s="120"/>
      <c r="QDB3" s="120"/>
      <c r="QDC3" s="120"/>
      <c r="QDD3" s="120"/>
      <c r="QDE3" s="120"/>
      <c r="QDF3" s="120"/>
      <c r="QDG3" s="120"/>
      <c r="QDH3" s="120"/>
      <c r="QDI3" s="120"/>
      <c r="QDJ3" s="120"/>
      <c r="QDK3" s="120"/>
      <c r="QDL3" s="120"/>
      <c r="QDM3" s="120"/>
      <c r="QDN3" s="120"/>
      <c r="QDO3" s="120"/>
      <c r="QDP3" s="120"/>
      <c r="QDQ3" s="120"/>
      <c r="QDR3" s="120"/>
      <c r="QDS3" s="120"/>
      <c r="QDT3" s="120"/>
      <c r="QDU3" s="120"/>
      <c r="QDV3" s="120"/>
      <c r="QDW3" s="120"/>
      <c r="QDX3" s="120"/>
      <c r="QDY3" s="120"/>
      <c r="QDZ3" s="120"/>
      <c r="QEA3" s="120"/>
      <c r="QEB3" s="120"/>
      <c r="QEC3" s="120"/>
      <c r="QED3" s="120"/>
      <c r="QEE3" s="120"/>
      <c r="QEF3" s="120"/>
      <c r="QEG3" s="120"/>
      <c r="QEH3" s="120"/>
      <c r="QEI3" s="120"/>
      <c r="QEJ3" s="120"/>
      <c r="QEK3" s="120"/>
      <c r="QEL3" s="120"/>
      <c r="QEM3" s="120"/>
      <c r="QEN3" s="120"/>
      <c r="QEO3" s="120"/>
      <c r="QEP3" s="120"/>
      <c r="QEQ3" s="120"/>
      <c r="QER3" s="120"/>
      <c r="QES3" s="120"/>
      <c r="QET3" s="120"/>
      <c r="QEU3" s="120"/>
      <c r="QEV3" s="120"/>
      <c r="QEW3" s="120"/>
      <c r="QEX3" s="120"/>
      <c r="QEY3" s="120"/>
      <c r="QEZ3" s="120"/>
      <c r="QFA3" s="120"/>
      <c r="QFB3" s="120"/>
      <c r="QFC3" s="120"/>
      <c r="QFD3" s="120"/>
      <c r="QFE3" s="120"/>
      <c r="QFF3" s="120"/>
      <c r="QFG3" s="120"/>
      <c r="QFH3" s="120"/>
      <c r="QFI3" s="120"/>
      <c r="QFJ3" s="120"/>
      <c r="QFK3" s="120"/>
      <c r="QFL3" s="120"/>
      <c r="QFM3" s="120"/>
      <c r="QFN3" s="120"/>
      <c r="QFO3" s="120"/>
      <c r="QFP3" s="120"/>
      <c r="QFQ3" s="120"/>
      <c r="QFR3" s="120"/>
      <c r="QFS3" s="120"/>
      <c r="QFT3" s="120"/>
      <c r="QFU3" s="120"/>
      <c r="QFV3" s="120"/>
      <c r="QFW3" s="120"/>
      <c r="QFX3" s="120"/>
      <c r="QFY3" s="120"/>
      <c r="QFZ3" s="120"/>
      <c r="QGA3" s="120"/>
      <c r="QGB3" s="120"/>
      <c r="QGC3" s="120"/>
      <c r="QGD3" s="120"/>
      <c r="QGE3" s="120"/>
      <c r="QGF3" s="120"/>
      <c r="QGG3" s="120"/>
      <c r="QGH3" s="120"/>
      <c r="QGI3" s="120"/>
      <c r="QGJ3" s="120"/>
      <c r="QGK3" s="120"/>
      <c r="QGL3" s="120"/>
      <c r="QGM3" s="120"/>
      <c r="QGN3" s="120"/>
      <c r="QGO3" s="120"/>
      <c r="QGP3" s="120"/>
      <c r="QGQ3" s="120"/>
      <c r="QGR3" s="120"/>
      <c r="QGS3" s="120"/>
      <c r="QGT3" s="120"/>
      <c r="QGU3" s="120"/>
      <c r="QGV3" s="120"/>
      <c r="QGW3" s="120"/>
      <c r="QGX3" s="120"/>
      <c r="QGY3" s="120"/>
      <c r="QGZ3" s="120"/>
      <c r="QHA3" s="120"/>
      <c r="QHB3" s="120"/>
      <c r="QHC3" s="120"/>
      <c r="QHD3" s="120"/>
      <c r="QHE3" s="120"/>
      <c r="QHF3" s="120"/>
      <c r="QHG3" s="120"/>
      <c r="QHH3" s="120"/>
      <c r="QHI3" s="120"/>
      <c r="QHJ3" s="120"/>
      <c r="QHK3" s="120"/>
      <c r="QHL3" s="120"/>
      <c r="QHM3" s="120"/>
      <c r="QHN3" s="120"/>
      <c r="QHO3" s="120"/>
      <c r="QHP3" s="120"/>
      <c r="QHQ3" s="120"/>
      <c r="QHR3" s="120"/>
      <c r="QHS3" s="120"/>
      <c r="QHT3" s="120"/>
      <c r="QHU3" s="120"/>
      <c r="QHV3" s="120"/>
      <c r="QHW3" s="120"/>
      <c r="QHX3" s="120"/>
      <c r="QHY3" s="120"/>
      <c r="QHZ3" s="120"/>
      <c r="QIA3" s="120"/>
      <c r="QIB3" s="120"/>
      <c r="QIC3" s="120"/>
      <c r="QID3" s="120"/>
      <c r="QIE3" s="120"/>
      <c r="QIF3" s="120"/>
      <c r="QIG3" s="120"/>
      <c r="QIH3" s="120"/>
      <c r="QII3" s="120"/>
      <c r="QIJ3" s="120"/>
      <c r="QIK3" s="120"/>
      <c r="QIL3" s="120"/>
      <c r="QIM3" s="120"/>
      <c r="QIN3" s="120"/>
      <c r="QIO3" s="120"/>
      <c r="QIP3" s="120"/>
      <c r="QIQ3" s="120"/>
      <c r="QIR3" s="120"/>
      <c r="QIS3" s="120"/>
      <c r="QIT3" s="120"/>
      <c r="QIU3" s="120"/>
      <c r="QIV3" s="120"/>
      <c r="QIW3" s="120"/>
      <c r="QIX3" s="120"/>
      <c r="QIY3" s="120"/>
      <c r="QIZ3" s="120"/>
      <c r="QJA3" s="120"/>
      <c r="QJB3" s="120"/>
      <c r="QJC3" s="120"/>
      <c r="QJD3" s="120"/>
      <c r="QJE3" s="120"/>
      <c r="QJF3" s="120"/>
      <c r="QJG3" s="120"/>
      <c r="QJH3" s="120"/>
      <c r="QJI3" s="120"/>
      <c r="QJJ3" s="120"/>
      <c r="QJK3" s="120"/>
      <c r="QJL3" s="120"/>
      <c r="QJM3" s="120"/>
      <c r="QJN3" s="120"/>
      <c r="QJO3" s="120"/>
      <c r="QJP3" s="120"/>
      <c r="QJQ3" s="120"/>
      <c r="QJR3" s="120"/>
      <c r="QJS3" s="120"/>
      <c r="QJT3" s="120"/>
      <c r="QJU3" s="120"/>
      <c r="QJV3" s="120"/>
      <c r="QJW3" s="120"/>
      <c r="QJX3" s="120"/>
      <c r="QJY3" s="120"/>
      <c r="QJZ3" s="120"/>
      <c r="QKA3" s="120"/>
      <c r="QKB3" s="120"/>
      <c r="QKC3" s="120"/>
      <c r="QKD3" s="120"/>
      <c r="QKE3" s="120"/>
      <c r="QKF3" s="120"/>
      <c r="QKG3" s="120"/>
      <c r="QKH3" s="120"/>
      <c r="QKI3" s="120"/>
      <c r="QKJ3" s="120"/>
      <c r="QKK3" s="120"/>
      <c r="QKL3" s="120"/>
      <c r="QKM3" s="120"/>
      <c r="QKN3" s="120"/>
      <c r="QKO3" s="120"/>
      <c r="QKP3" s="120"/>
      <c r="QKQ3" s="120"/>
      <c r="QKR3" s="120"/>
      <c r="QKS3" s="120"/>
      <c r="QKT3" s="120"/>
      <c r="QKU3" s="120"/>
      <c r="QKV3" s="120"/>
      <c r="QKW3" s="120"/>
      <c r="QKX3" s="120"/>
      <c r="QKY3" s="120"/>
      <c r="QKZ3" s="120"/>
      <c r="QLA3" s="120"/>
      <c r="QLB3" s="120"/>
      <c r="QLC3" s="120"/>
      <c r="QLD3" s="120"/>
      <c r="QLE3" s="120"/>
      <c r="QLF3" s="120"/>
      <c r="QLG3" s="120"/>
      <c r="QLH3" s="120"/>
      <c r="QLI3" s="120"/>
      <c r="QLJ3" s="120"/>
      <c r="QLK3" s="120"/>
      <c r="QLL3" s="120"/>
      <c r="QLM3" s="120"/>
      <c r="QLN3" s="120"/>
      <c r="QLO3" s="120"/>
      <c r="QLP3" s="120"/>
      <c r="QLQ3" s="120"/>
      <c r="QLR3" s="120"/>
      <c r="QLS3" s="120"/>
      <c r="QLT3" s="120"/>
      <c r="QLU3" s="120"/>
      <c r="QLV3" s="120"/>
      <c r="QLW3" s="120"/>
      <c r="QLX3" s="120"/>
      <c r="QLY3" s="120"/>
      <c r="QLZ3" s="120"/>
      <c r="QMA3" s="120"/>
      <c r="QMB3" s="120"/>
      <c r="QMC3" s="120"/>
      <c r="QMD3" s="120"/>
      <c r="QME3" s="120"/>
      <c r="QMF3" s="120"/>
      <c r="QMG3" s="120"/>
      <c r="QMH3" s="120"/>
      <c r="QMI3" s="120"/>
      <c r="QMJ3" s="120"/>
      <c r="QMK3" s="120"/>
      <c r="QML3" s="120"/>
      <c r="QMM3" s="120"/>
      <c r="QMN3" s="120"/>
      <c r="QMO3" s="120"/>
      <c r="QMP3" s="120"/>
      <c r="QMQ3" s="120"/>
      <c r="QMR3" s="120"/>
      <c r="QMS3" s="120"/>
      <c r="QMT3" s="120"/>
      <c r="QMU3" s="120"/>
      <c r="QMV3" s="120"/>
      <c r="QMW3" s="120"/>
      <c r="QMX3" s="120"/>
      <c r="QMY3" s="120"/>
      <c r="QMZ3" s="120"/>
      <c r="QNA3" s="120"/>
      <c r="QNB3" s="120"/>
      <c r="QNC3" s="120"/>
      <c r="QND3" s="120"/>
      <c r="QNE3" s="120"/>
      <c r="QNF3" s="120"/>
      <c r="QNG3" s="120"/>
      <c r="QNH3" s="120"/>
      <c r="QNI3" s="120"/>
      <c r="QNJ3" s="120"/>
      <c r="QNK3" s="120"/>
      <c r="QNL3" s="120"/>
      <c r="QNM3" s="120"/>
      <c r="QNN3" s="120"/>
      <c r="QNO3" s="120"/>
      <c r="QNP3" s="120"/>
      <c r="QNQ3" s="120"/>
      <c r="QNR3" s="120"/>
      <c r="QNS3" s="120"/>
      <c r="QNT3" s="120"/>
      <c r="QNU3" s="120"/>
      <c r="QNV3" s="120"/>
      <c r="QNW3" s="120"/>
      <c r="QNX3" s="120"/>
      <c r="QNY3" s="120"/>
      <c r="QNZ3" s="120"/>
      <c r="QOA3" s="120"/>
      <c r="QOB3" s="120"/>
      <c r="QOC3" s="120"/>
      <c r="QOD3" s="120"/>
      <c r="QOE3" s="120"/>
      <c r="QOF3" s="120"/>
      <c r="QOG3" s="120"/>
      <c r="QOH3" s="120"/>
      <c r="QOI3" s="120"/>
      <c r="QOJ3" s="120"/>
      <c r="QOK3" s="120"/>
      <c r="QOL3" s="120"/>
      <c r="QOM3" s="120"/>
      <c r="QON3" s="120"/>
      <c r="QOO3" s="120"/>
      <c r="QOP3" s="120"/>
      <c r="QOQ3" s="120"/>
      <c r="QOR3" s="120"/>
      <c r="QOS3" s="120"/>
      <c r="QOT3" s="120"/>
      <c r="QOU3" s="120"/>
      <c r="QOV3" s="120"/>
      <c r="QOW3" s="120"/>
      <c r="QOX3" s="120"/>
      <c r="QOY3" s="120"/>
      <c r="QOZ3" s="120"/>
      <c r="QPA3" s="120"/>
      <c r="QPB3" s="120"/>
      <c r="QPC3" s="120"/>
      <c r="QPD3" s="120"/>
      <c r="QPE3" s="120"/>
      <c r="QPF3" s="120"/>
      <c r="QPG3" s="120"/>
      <c r="QPH3" s="120"/>
      <c r="QPI3" s="120"/>
      <c r="QPJ3" s="120"/>
      <c r="QPK3" s="120"/>
      <c r="QPL3" s="120"/>
      <c r="QPM3" s="120"/>
      <c r="QPN3" s="120"/>
      <c r="QPO3" s="120"/>
      <c r="QPP3" s="120"/>
      <c r="QPQ3" s="120"/>
      <c r="QPR3" s="120"/>
      <c r="QPS3" s="120"/>
      <c r="QPT3" s="120"/>
      <c r="QPU3" s="120"/>
      <c r="QPV3" s="120"/>
      <c r="QPW3" s="120"/>
      <c r="QPX3" s="120"/>
      <c r="QPY3" s="120"/>
      <c r="QPZ3" s="120"/>
      <c r="QQA3" s="120"/>
      <c r="QQB3" s="120"/>
      <c r="QQC3" s="120"/>
      <c r="QQD3" s="120"/>
      <c r="QQE3" s="120"/>
      <c r="QQF3" s="120"/>
      <c r="QQG3" s="120"/>
      <c r="QQH3" s="120"/>
      <c r="QQI3" s="120"/>
      <c r="QQJ3" s="120"/>
      <c r="QQK3" s="120"/>
      <c r="QQL3" s="120"/>
      <c r="QQM3" s="120"/>
      <c r="QQN3" s="120"/>
      <c r="QQO3" s="120"/>
      <c r="QQP3" s="120"/>
      <c r="QQQ3" s="120"/>
      <c r="QQR3" s="120"/>
      <c r="QQS3" s="120"/>
      <c r="QQT3" s="120"/>
      <c r="QQU3" s="120"/>
      <c r="QQV3" s="120"/>
      <c r="QQW3" s="120"/>
      <c r="QQX3" s="120"/>
      <c r="QQY3" s="120"/>
      <c r="QQZ3" s="120"/>
      <c r="QRA3" s="120"/>
      <c r="QRB3" s="120"/>
      <c r="QRC3" s="120"/>
      <c r="QRD3" s="120"/>
      <c r="QRE3" s="120"/>
      <c r="QRF3" s="120"/>
      <c r="QRG3" s="120"/>
      <c r="QRH3" s="120"/>
      <c r="QRI3" s="120"/>
      <c r="QRJ3" s="120"/>
      <c r="QRK3" s="120"/>
      <c r="QRL3" s="120"/>
      <c r="QRM3" s="120"/>
      <c r="QRN3" s="120"/>
      <c r="QRO3" s="120"/>
      <c r="QRP3" s="120"/>
      <c r="QRQ3" s="120"/>
      <c r="QRR3" s="120"/>
      <c r="QRS3" s="120"/>
      <c r="QRT3" s="120"/>
      <c r="QRU3" s="120"/>
      <c r="QRV3" s="120"/>
      <c r="QRW3" s="120"/>
      <c r="QRX3" s="120"/>
      <c r="QRY3" s="120"/>
      <c r="QRZ3" s="120"/>
      <c r="QSA3" s="120"/>
      <c r="QSB3" s="120"/>
      <c r="QSC3" s="120"/>
      <c r="QSD3" s="120"/>
      <c r="QSE3" s="120"/>
      <c r="QSF3" s="120"/>
      <c r="QSG3" s="120"/>
      <c r="QSH3" s="120"/>
      <c r="QSI3" s="120"/>
      <c r="QSJ3" s="120"/>
      <c r="QSK3" s="120"/>
      <c r="QSL3" s="120"/>
      <c r="QSM3" s="120"/>
      <c r="QSN3" s="120"/>
      <c r="QSO3" s="120"/>
      <c r="QSP3" s="120"/>
      <c r="QSQ3" s="120"/>
      <c r="QSR3" s="120"/>
      <c r="QSS3" s="120"/>
      <c r="QST3" s="120"/>
      <c r="QSU3" s="120"/>
      <c r="QSV3" s="120"/>
      <c r="QSW3" s="120"/>
      <c r="QSX3" s="120"/>
      <c r="QSY3" s="120"/>
      <c r="QSZ3" s="120"/>
      <c r="QTA3" s="120"/>
      <c r="QTB3" s="120"/>
      <c r="QTC3" s="120"/>
      <c r="QTD3" s="120"/>
      <c r="QTE3" s="120"/>
      <c r="QTF3" s="120"/>
      <c r="QTG3" s="120"/>
      <c r="QTH3" s="120"/>
      <c r="QTI3" s="120"/>
      <c r="QTJ3" s="120"/>
      <c r="QTK3" s="120"/>
      <c r="QTL3" s="120"/>
      <c r="QTM3" s="120"/>
      <c r="QTN3" s="120"/>
      <c r="QTO3" s="120"/>
      <c r="QTP3" s="120"/>
      <c r="QTQ3" s="120"/>
      <c r="QTR3" s="120"/>
      <c r="QTS3" s="120"/>
      <c r="QTT3" s="120"/>
      <c r="QTU3" s="120"/>
      <c r="QTV3" s="120"/>
      <c r="QTW3" s="120"/>
      <c r="QTX3" s="120"/>
      <c r="QTY3" s="120"/>
      <c r="QTZ3" s="120"/>
      <c r="QUA3" s="120"/>
      <c r="QUB3" s="120"/>
      <c r="QUC3" s="120"/>
      <c r="QUD3" s="120"/>
      <c r="QUE3" s="120"/>
      <c r="QUF3" s="120"/>
      <c r="QUG3" s="120"/>
      <c r="QUH3" s="120"/>
      <c r="QUI3" s="120"/>
      <c r="QUJ3" s="120"/>
      <c r="QUK3" s="120"/>
      <c r="QUL3" s="120"/>
      <c r="QUM3" s="120"/>
      <c r="QUN3" s="120"/>
      <c r="QUO3" s="120"/>
      <c r="QUP3" s="120"/>
      <c r="QUQ3" s="120"/>
      <c r="QUR3" s="120"/>
      <c r="QUS3" s="120"/>
      <c r="QUT3" s="120"/>
      <c r="QUU3" s="120"/>
      <c r="QUV3" s="120"/>
      <c r="QUW3" s="120"/>
      <c r="QUX3" s="120"/>
      <c r="QUY3" s="120"/>
      <c r="QUZ3" s="120"/>
      <c r="QVA3" s="120"/>
      <c r="QVB3" s="120"/>
      <c r="QVC3" s="120"/>
      <c r="QVD3" s="120"/>
      <c r="QVE3" s="120"/>
      <c r="QVF3" s="120"/>
      <c r="QVG3" s="120"/>
      <c r="QVH3" s="120"/>
      <c r="QVI3" s="120"/>
      <c r="QVJ3" s="120"/>
      <c r="QVK3" s="120"/>
      <c r="QVL3" s="120"/>
      <c r="QVM3" s="120"/>
      <c r="QVN3" s="120"/>
      <c r="QVO3" s="120"/>
      <c r="QVP3" s="120"/>
      <c r="QVQ3" s="120"/>
      <c r="QVR3" s="120"/>
      <c r="QVS3" s="120"/>
      <c r="QVT3" s="120"/>
      <c r="QVU3" s="120"/>
      <c r="QVV3" s="120"/>
      <c r="QVW3" s="120"/>
      <c r="QVX3" s="120"/>
      <c r="QVY3" s="120"/>
      <c r="QVZ3" s="120"/>
      <c r="QWA3" s="120"/>
      <c r="QWB3" s="120"/>
      <c r="QWC3" s="120"/>
      <c r="QWD3" s="120"/>
      <c r="QWE3" s="120"/>
      <c r="QWF3" s="120"/>
      <c r="QWG3" s="120"/>
      <c r="QWH3" s="120"/>
      <c r="QWI3" s="120"/>
      <c r="QWJ3" s="120"/>
      <c r="QWK3" s="120"/>
      <c r="QWL3" s="120"/>
      <c r="QWM3" s="120"/>
      <c r="QWN3" s="120"/>
      <c r="QWO3" s="120"/>
      <c r="QWP3" s="120"/>
      <c r="QWQ3" s="120"/>
      <c r="QWR3" s="120"/>
      <c r="QWS3" s="120"/>
      <c r="QWT3" s="120"/>
      <c r="QWU3" s="120"/>
      <c r="QWV3" s="120"/>
      <c r="QWW3" s="120"/>
      <c r="QWX3" s="120"/>
      <c r="QWY3" s="120"/>
      <c r="QWZ3" s="120"/>
      <c r="QXA3" s="120"/>
      <c r="QXB3" s="120"/>
      <c r="QXC3" s="120"/>
      <c r="QXD3" s="120"/>
      <c r="QXE3" s="120"/>
      <c r="QXF3" s="120"/>
      <c r="QXG3" s="120"/>
      <c r="QXH3" s="120"/>
      <c r="QXI3" s="120"/>
      <c r="QXJ3" s="120"/>
      <c r="QXK3" s="120"/>
      <c r="QXL3" s="120"/>
      <c r="QXM3" s="120"/>
      <c r="QXN3" s="120"/>
      <c r="QXO3" s="120"/>
      <c r="QXP3" s="120"/>
      <c r="QXQ3" s="120"/>
      <c r="QXR3" s="120"/>
      <c r="QXS3" s="120"/>
      <c r="QXT3" s="120"/>
      <c r="QXU3" s="120"/>
      <c r="QXV3" s="120"/>
      <c r="QXW3" s="120"/>
      <c r="QXX3" s="120"/>
      <c r="QXY3" s="120"/>
      <c r="QXZ3" s="120"/>
      <c r="QYA3" s="120"/>
      <c r="QYB3" s="120"/>
      <c r="QYC3" s="120"/>
      <c r="QYD3" s="120"/>
      <c r="QYE3" s="120"/>
      <c r="QYF3" s="120"/>
      <c r="QYG3" s="120"/>
      <c r="QYH3" s="120"/>
      <c r="QYI3" s="120"/>
      <c r="QYJ3" s="120"/>
      <c r="QYK3" s="120"/>
      <c r="QYL3" s="120"/>
      <c r="QYM3" s="120"/>
      <c r="QYN3" s="120"/>
      <c r="QYO3" s="120"/>
      <c r="QYP3" s="120"/>
      <c r="QYQ3" s="120"/>
      <c r="QYR3" s="120"/>
      <c r="QYS3" s="120"/>
      <c r="QYT3" s="120"/>
      <c r="QYU3" s="120"/>
      <c r="QYV3" s="120"/>
      <c r="QYW3" s="120"/>
      <c r="QYX3" s="120"/>
      <c r="QYY3" s="120"/>
      <c r="QYZ3" s="120"/>
      <c r="QZA3" s="120"/>
      <c r="QZB3" s="120"/>
      <c r="QZC3" s="120"/>
      <c r="QZD3" s="120"/>
      <c r="QZE3" s="120"/>
      <c r="QZF3" s="120"/>
      <c r="QZG3" s="120"/>
      <c r="QZH3" s="120"/>
      <c r="QZI3" s="120"/>
      <c r="QZJ3" s="120"/>
      <c r="QZK3" s="120"/>
      <c r="QZL3" s="120"/>
      <c r="QZM3" s="120"/>
      <c r="QZN3" s="120"/>
      <c r="QZO3" s="120"/>
      <c r="QZP3" s="120"/>
      <c r="QZQ3" s="120"/>
      <c r="QZR3" s="120"/>
      <c r="QZS3" s="120"/>
      <c r="QZT3" s="120"/>
      <c r="QZU3" s="120"/>
      <c r="QZV3" s="120"/>
      <c r="QZW3" s="120"/>
      <c r="QZX3" s="120"/>
      <c r="QZY3" s="120"/>
      <c r="QZZ3" s="120"/>
      <c r="RAA3" s="120"/>
      <c r="RAB3" s="120"/>
      <c r="RAC3" s="120"/>
      <c r="RAD3" s="120"/>
      <c r="RAE3" s="120"/>
      <c r="RAF3" s="120"/>
      <c r="RAG3" s="120"/>
      <c r="RAH3" s="120"/>
      <c r="RAI3" s="120"/>
      <c r="RAJ3" s="120"/>
      <c r="RAK3" s="120"/>
      <c r="RAL3" s="120"/>
      <c r="RAM3" s="120"/>
      <c r="RAN3" s="120"/>
      <c r="RAO3" s="120"/>
      <c r="RAP3" s="120"/>
      <c r="RAQ3" s="120"/>
      <c r="RAR3" s="120"/>
      <c r="RAS3" s="120"/>
      <c r="RAT3" s="120"/>
      <c r="RAU3" s="120"/>
      <c r="RAV3" s="120"/>
      <c r="RAW3" s="120"/>
      <c r="RAX3" s="120"/>
      <c r="RAY3" s="120"/>
      <c r="RAZ3" s="120"/>
      <c r="RBA3" s="120"/>
      <c r="RBB3" s="120"/>
      <c r="RBC3" s="120"/>
      <c r="RBD3" s="120"/>
      <c r="RBE3" s="120"/>
      <c r="RBF3" s="120"/>
      <c r="RBG3" s="120"/>
      <c r="RBH3" s="120"/>
      <c r="RBI3" s="120"/>
      <c r="RBJ3" s="120"/>
      <c r="RBK3" s="120"/>
      <c r="RBL3" s="120"/>
      <c r="RBM3" s="120"/>
      <c r="RBN3" s="120"/>
      <c r="RBO3" s="120"/>
      <c r="RBP3" s="120"/>
      <c r="RBQ3" s="120"/>
      <c r="RBR3" s="120"/>
      <c r="RBS3" s="120"/>
      <c r="RBT3" s="120"/>
      <c r="RBU3" s="120"/>
      <c r="RBV3" s="120"/>
      <c r="RBW3" s="120"/>
      <c r="RBX3" s="120"/>
      <c r="RBY3" s="120"/>
      <c r="RBZ3" s="120"/>
      <c r="RCA3" s="120"/>
      <c r="RCB3" s="120"/>
      <c r="RCC3" s="120"/>
      <c r="RCD3" s="120"/>
      <c r="RCE3" s="120"/>
      <c r="RCF3" s="120"/>
      <c r="RCG3" s="120"/>
      <c r="RCH3" s="120"/>
      <c r="RCI3" s="120"/>
      <c r="RCJ3" s="120"/>
      <c r="RCK3" s="120"/>
      <c r="RCL3" s="120"/>
      <c r="RCM3" s="120"/>
      <c r="RCN3" s="120"/>
      <c r="RCO3" s="120"/>
      <c r="RCP3" s="120"/>
      <c r="RCQ3" s="120"/>
      <c r="RCR3" s="120"/>
      <c r="RCS3" s="120"/>
      <c r="RCT3" s="120"/>
      <c r="RCU3" s="120"/>
      <c r="RCV3" s="120"/>
      <c r="RCW3" s="120"/>
      <c r="RCX3" s="120"/>
      <c r="RCY3" s="120"/>
      <c r="RCZ3" s="120"/>
      <c r="RDA3" s="120"/>
      <c r="RDB3" s="120"/>
      <c r="RDC3" s="120"/>
      <c r="RDD3" s="120"/>
      <c r="RDE3" s="120"/>
      <c r="RDF3" s="120"/>
      <c r="RDG3" s="120"/>
      <c r="RDH3" s="120"/>
      <c r="RDI3" s="120"/>
      <c r="RDJ3" s="120"/>
      <c r="RDK3" s="120"/>
      <c r="RDL3" s="120"/>
      <c r="RDM3" s="120"/>
      <c r="RDN3" s="120"/>
      <c r="RDO3" s="120"/>
      <c r="RDP3" s="120"/>
      <c r="RDQ3" s="120"/>
      <c r="RDR3" s="120"/>
      <c r="RDS3" s="120"/>
      <c r="RDT3" s="120"/>
      <c r="RDU3" s="120"/>
      <c r="RDV3" s="120"/>
      <c r="RDW3" s="120"/>
      <c r="RDX3" s="120"/>
      <c r="RDY3" s="120"/>
      <c r="RDZ3" s="120"/>
      <c r="REA3" s="120"/>
      <c r="REB3" s="120"/>
      <c r="REC3" s="120"/>
      <c r="RED3" s="120"/>
      <c r="REE3" s="120"/>
      <c r="REF3" s="120"/>
      <c r="REG3" s="120"/>
      <c r="REH3" s="120"/>
      <c r="REI3" s="120"/>
      <c r="REJ3" s="120"/>
      <c r="REK3" s="120"/>
      <c r="REL3" s="120"/>
      <c r="REM3" s="120"/>
      <c r="REN3" s="120"/>
      <c r="REO3" s="120"/>
      <c r="REP3" s="120"/>
      <c r="REQ3" s="120"/>
      <c r="RER3" s="120"/>
      <c r="RES3" s="120"/>
      <c r="RET3" s="120"/>
      <c r="REU3" s="120"/>
      <c r="REV3" s="120"/>
      <c r="REW3" s="120"/>
      <c r="REX3" s="120"/>
      <c r="REY3" s="120"/>
      <c r="REZ3" s="120"/>
      <c r="RFA3" s="120"/>
      <c r="RFB3" s="120"/>
      <c r="RFC3" s="120"/>
      <c r="RFD3" s="120"/>
      <c r="RFE3" s="120"/>
      <c r="RFF3" s="120"/>
      <c r="RFG3" s="120"/>
      <c r="RFH3" s="120"/>
      <c r="RFI3" s="120"/>
      <c r="RFJ3" s="120"/>
      <c r="RFK3" s="120"/>
      <c r="RFL3" s="120"/>
      <c r="RFM3" s="120"/>
      <c r="RFN3" s="120"/>
      <c r="RFO3" s="120"/>
      <c r="RFP3" s="120"/>
      <c r="RFQ3" s="120"/>
      <c r="RFR3" s="120"/>
      <c r="RFS3" s="120"/>
      <c r="RFT3" s="120"/>
      <c r="RFU3" s="120"/>
      <c r="RFV3" s="120"/>
      <c r="RFW3" s="120"/>
      <c r="RFX3" s="120"/>
      <c r="RFY3" s="120"/>
      <c r="RFZ3" s="120"/>
      <c r="RGA3" s="120"/>
      <c r="RGB3" s="120"/>
      <c r="RGC3" s="120"/>
      <c r="RGD3" s="120"/>
      <c r="RGE3" s="120"/>
      <c r="RGF3" s="120"/>
      <c r="RGG3" s="120"/>
      <c r="RGH3" s="120"/>
      <c r="RGI3" s="120"/>
      <c r="RGJ3" s="120"/>
      <c r="RGK3" s="120"/>
      <c r="RGL3" s="120"/>
      <c r="RGM3" s="120"/>
      <c r="RGN3" s="120"/>
      <c r="RGO3" s="120"/>
      <c r="RGP3" s="120"/>
      <c r="RGQ3" s="120"/>
      <c r="RGR3" s="120"/>
      <c r="RGS3" s="120"/>
      <c r="RGT3" s="120"/>
      <c r="RGU3" s="120"/>
      <c r="RGV3" s="120"/>
      <c r="RGW3" s="120"/>
      <c r="RGX3" s="120"/>
      <c r="RGY3" s="120"/>
      <c r="RGZ3" s="120"/>
      <c r="RHA3" s="120"/>
      <c r="RHB3" s="120"/>
      <c r="RHC3" s="120"/>
      <c r="RHD3" s="120"/>
      <c r="RHE3" s="120"/>
      <c r="RHF3" s="120"/>
      <c r="RHG3" s="120"/>
      <c r="RHH3" s="120"/>
      <c r="RHI3" s="120"/>
      <c r="RHJ3" s="120"/>
      <c r="RHK3" s="120"/>
      <c r="RHL3" s="120"/>
      <c r="RHM3" s="120"/>
      <c r="RHN3" s="120"/>
      <c r="RHO3" s="120"/>
      <c r="RHP3" s="120"/>
      <c r="RHQ3" s="120"/>
      <c r="RHR3" s="120"/>
      <c r="RHS3" s="120"/>
      <c r="RHT3" s="120"/>
      <c r="RHU3" s="120"/>
      <c r="RHV3" s="120"/>
      <c r="RHW3" s="120"/>
      <c r="RHX3" s="120"/>
      <c r="RHY3" s="120"/>
      <c r="RHZ3" s="120"/>
      <c r="RIA3" s="120"/>
      <c r="RIB3" s="120"/>
      <c r="RIC3" s="120"/>
      <c r="RID3" s="120"/>
      <c r="RIE3" s="120"/>
      <c r="RIF3" s="120"/>
      <c r="RIG3" s="120"/>
      <c r="RIH3" s="120"/>
      <c r="RII3" s="120"/>
      <c r="RIJ3" s="120"/>
      <c r="RIK3" s="120"/>
      <c r="RIL3" s="120"/>
      <c r="RIM3" s="120"/>
      <c r="RIN3" s="120"/>
      <c r="RIO3" s="120"/>
      <c r="RIP3" s="120"/>
      <c r="RIQ3" s="120"/>
      <c r="RIR3" s="120"/>
      <c r="RIS3" s="120"/>
      <c r="RIT3" s="120"/>
      <c r="RIU3" s="120"/>
      <c r="RIV3" s="120"/>
      <c r="RIW3" s="120"/>
      <c r="RIX3" s="120"/>
      <c r="RIY3" s="120"/>
      <c r="RIZ3" s="120"/>
      <c r="RJA3" s="120"/>
      <c r="RJB3" s="120"/>
      <c r="RJC3" s="120"/>
      <c r="RJD3" s="120"/>
      <c r="RJE3" s="120"/>
      <c r="RJF3" s="120"/>
      <c r="RJG3" s="120"/>
      <c r="RJH3" s="120"/>
      <c r="RJI3" s="120"/>
      <c r="RJJ3" s="120"/>
      <c r="RJK3" s="120"/>
      <c r="RJL3" s="120"/>
      <c r="RJM3" s="120"/>
      <c r="RJN3" s="120"/>
      <c r="RJO3" s="120"/>
      <c r="RJP3" s="120"/>
      <c r="RJQ3" s="120"/>
      <c r="RJR3" s="120"/>
      <c r="RJS3" s="120"/>
      <c r="RJT3" s="120"/>
      <c r="RJU3" s="120"/>
      <c r="RJV3" s="120"/>
      <c r="RJW3" s="120"/>
      <c r="RJX3" s="120"/>
      <c r="RJY3" s="120"/>
      <c r="RJZ3" s="120"/>
      <c r="RKA3" s="120"/>
      <c r="RKB3" s="120"/>
      <c r="RKC3" s="120"/>
      <c r="RKD3" s="120"/>
      <c r="RKE3" s="120"/>
      <c r="RKF3" s="120"/>
      <c r="RKG3" s="120"/>
      <c r="RKH3" s="120"/>
      <c r="RKI3" s="120"/>
      <c r="RKJ3" s="120"/>
      <c r="RKK3" s="120"/>
      <c r="RKL3" s="120"/>
      <c r="RKM3" s="120"/>
      <c r="RKN3" s="120"/>
      <c r="RKO3" s="120"/>
      <c r="RKP3" s="120"/>
      <c r="RKQ3" s="120"/>
      <c r="RKR3" s="120"/>
      <c r="RKS3" s="120"/>
      <c r="RKT3" s="120"/>
      <c r="RKU3" s="120"/>
      <c r="RKV3" s="120"/>
      <c r="RKW3" s="120"/>
      <c r="RKX3" s="120"/>
      <c r="RKY3" s="120"/>
      <c r="RKZ3" s="120"/>
      <c r="RLA3" s="120"/>
      <c r="RLB3" s="120"/>
      <c r="RLC3" s="120"/>
      <c r="RLD3" s="120"/>
      <c r="RLE3" s="120"/>
      <c r="RLF3" s="120"/>
      <c r="RLG3" s="120"/>
      <c r="RLH3" s="120"/>
      <c r="RLI3" s="120"/>
      <c r="RLJ3" s="120"/>
      <c r="RLK3" s="120"/>
      <c r="RLL3" s="120"/>
      <c r="RLM3" s="120"/>
      <c r="RLN3" s="120"/>
      <c r="RLO3" s="120"/>
      <c r="RLP3" s="120"/>
      <c r="RLQ3" s="120"/>
      <c r="RLR3" s="120"/>
      <c r="RLS3" s="120"/>
      <c r="RLT3" s="120"/>
      <c r="RLU3" s="120"/>
      <c r="RLV3" s="120"/>
      <c r="RLW3" s="120"/>
      <c r="RLX3" s="120"/>
      <c r="RLY3" s="120"/>
      <c r="RLZ3" s="120"/>
      <c r="RMA3" s="120"/>
      <c r="RMB3" s="120"/>
      <c r="RMC3" s="120"/>
      <c r="RMD3" s="120"/>
      <c r="RME3" s="120"/>
      <c r="RMF3" s="120"/>
      <c r="RMG3" s="120"/>
      <c r="RMH3" s="120"/>
      <c r="RMI3" s="120"/>
      <c r="RMJ3" s="120"/>
      <c r="RMK3" s="120"/>
      <c r="RML3" s="120"/>
      <c r="RMM3" s="120"/>
      <c r="RMN3" s="120"/>
      <c r="RMO3" s="120"/>
      <c r="RMP3" s="120"/>
      <c r="RMQ3" s="120"/>
      <c r="RMR3" s="120"/>
      <c r="RMS3" s="120"/>
      <c r="RMT3" s="120"/>
      <c r="RMU3" s="120"/>
      <c r="RMV3" s="120"/>
      <c r="RMW3" s="120"/>
      <c r="RMX3" s="120"/>
      <c r="RMY3" s="120"/>
      <c r="RMZ3" s="120"/>
      <c r="RNA3" s="120"/>
      <c r="RNB3" s="120"/>
      <c r="RNC3" s="120"/>
      <c r="RND3" s="120"/>
      <c r="RNE3" s="120"/>
      <c r="RNF3" s="120"/>
      <c r="RNG3" s="120"/>
      <c r="RNH3" s="120"/>
      <c r="RNI3" s="120"/>
      <c r="RNJ3" s="120"/>
      <c r="RNK3" s="120"/>
      <c r="RNL3" s="120"/>
      <c r="RNM3" s="120"/>
      <c r="RNN3" s="120"/>
      <c r="RNO3" s="120"/>
      <c r="RNP3" s="120"/>
      <c r="RNQ3" s="120"/>
      <c r="RNR3" s="120"/>
      <c r="RNS3" s="120"/>
      <c r="RNT3" s="120"/>
      <c r="RNU3" s="120"/>
      <c r="RNV3" s="120"/>
      <c r="RNW3" s="120"/>
      <c r="RNX3" s="120"/>
      <c r="RNY3" s="120"/>
      <c r="RNZ3" s="120"/>
      <c r="ROA3" s="120"/>
      <c r="ROB3" s="120"/>
      <c r="ROC3" s="120"/>
      <c r="ROD3" s="120"/>
      <c r="ROE3" s="120"/>
      <c r="ROF3" s="120"/>
      <c r="ROG3" s="120"/>
      <c r="ROH3" s="120"/>
      <c r="ROI3" s="120"/>
      <c r="ROJ3" s="120"/>
      <c r="ROK3" s="120"/>
      <c r="ROL3" s="120"/>
      <c r="ROM3" s="120"/>
      <c r="RON3" s="120"/>
      <c r="ROO3" s="120"/>
      <c r="ROP3" s="120"/>
      <c r="ROQ3" s="120"/>
      <c r="ROR3" s="120"/>
      <c r="ROS3" s="120"/>
      <c r="ROT3" s="120"/>
      <c r="ROU3" s="120"/>
      <c r="ROV3" s="120"/>
      <c r="ROW3" s="120"/>
      <c r="ROX3" s="120"/>
      <c r="ROY3" s="120"/>
      <c r="ROZ3" s="120"/>
      <c r="RPA3" s="120"/>
      <c r="RPB3" s="120"/>
      <c r="RPC3" s="120"/>
      <c r="RPD3" s="120"/>
      <c r="RPE3" s="120"/>
      <c r="RPF3" s="120"/>
      <c r="RPG3" s="120"/>
      <c r="RPH3" s="120"/>
      <c r="RPI3" s="120"/>
      <c r="RPJ3" s="120"/>
      <c r="RPK3" s="120"/>
      <c r="RPL3" s="120"/>
      <c r="RPM3" s="120"/>
      <c r="RPN3" s="120"/>
      <c r="RPO3" s="120"/>
      <c r="RPP3" s="120"/>
      <c r="RPQ3" s="120"/>
      <c r="RPR3" s="120"/>
      <c r="RPS3" s="120"/>
      <c r="RPT3" s="120"/>
      <c r="RPU3" s="120"/>
      <c r="RPV3" s="120"/>
      <c r="RPW3" s="120"/>
      <c r="RPX3" s="120"/>
      <c r="RPY3" s="120"/>
      <c r="RPZ3" s="120"/>
      <c r="RQA3" s="120"/>
      <c r="RQB3" s="120"/>
      <c r="RQC3" s="120"/>
      <c r="RQD3" s="120"/>
      <c r="RQE3" s="120"/>
      <c r="RQF3" s="120"/>
      <c r="RQG3" s="120"/>
      <c r="RQH3" s="120"/>
      <c r="RQI3" s="120"/>
      <c r="RQJ3" s="120"/>
      <c r="RQK3" s="120"/>
      <c r="RQL3" s="120"/>
      <c r="RQM3" s="120"/>
      <c r="RQN3" s="120"/>
      <c r="RQO3" s="120"/>
      <c r="RQP3" s="120"/>
      <c r="RQQ3" s="120"/>
      <c r="RQR3" s="120"/>
      <c r="RQS3" s="120"/>
      <c r="RQT3" s="120"/>
      <c r="RQU3" s="120"/>
      <c r="RQV3" s="120"/>
      <c r="RQW3" s="120"/>
      <c r="RQX3" s="120"/>
      <c r="RQY3" s="120"/>
      <c r="RQZ3" s="120"/>
      <c r="RRA3" s="120"/>
      <c r="RRB3" s="120"/>
      <c r="RRC3" s="120"/>
      <c r="RRD3" s="120"/>
      <c r="RRE3" s="120"/>
      <c r="RRF3" s="120"/>
      <c r="RRG3" s="120"/>
      <c r="RRH3" s="120"/>
      <c r="RRI3" s="120"/>
      <c r="RRJ3" s="120"/>
      <c r="RRK3" s="120"/>
      <c r="RRL3" s="120"/>
      <c r="RRM3" s="120"/>
      <c r="RRN3" s="120"/>
      <c r="RRO3" s="120"/>
      <c r="RRP3" s="120"/>
      <c r="RRQ3" s="120"/>
      <c r="RRR3" s="120"/>
      <c r="RRS3" s="120"/>
      <c r="RRT3" s="120"/>
      <c r="RRU3" s="120"/>
      <c r="RRV3" s="120"/>
      <c r="RRW3" s="120"/>
      <c r="RRX3" s="120"/>
      <c r="RRY3" s="120"/>
      <c r="RRZ3" s="120"/>
      <c r="RSA3" s="120"/>
      <c r="RSB3" s="120"/>
      <c r="RSC3" s="120"/>
      <c r="RSD3" s="120"/>
      <c r="RSE3" s="120"/>
      <c r="RSF3" s="120"/>
      <c r="RSG3" s="120"/>
      <c r="RSH3" s="120"/>
      <c r="RSI3" s="120"/>
      <c r="RSJ3" s="120"/>
      <c r="RSK3" s="120"/>
      <c r="RSL3" s="120"/>
      <c r="RSM3" s="120"/>
      <c r="RSN3" s="120"/>
      <c r="RSO3" s="120"/>
      <c r="RSP3" s="120"/>
      <c r="RSQ3" s="120"/>
      <c r="RSR3" s="120"/>
      <c r="RSS3" s="120"/>
      <c r="RST3" s="120"/>
      <c r="RSU3" s="120"/>
      <c r="RSV3" s="120"/>
      <c r="RSW3" s="120"/>
      <c r="RSX3" s="120"/>
      <c r="RSY3" s="120"/>
      <c r="RSZ3" s="120"/>
      <c r="RTA3" s="120"/>
      <c r="RTB3" s="120"/>
      <c r="RTC3" s="120"/>
      <c r="RTD3" s="120"/>
      <c r="RTE3" s="120"/>
      <c r="RTF3" s="120"/>
      <c r="RTG3" s="120"/>
      <c r="RTH3" s="120"/>
      <c r="RTI3" s="120"/>
      <c r="RTJ3" s="120"/>
      <c r="RTK3" s="120"/>
      <c r="RTL3" s="120"/>
      <c r="RTM3" s="120"/>
      <c r="RTN3" s="120"/>
      <c r="RTO3" s="120"/>
      <c r="RTP3" s="120"/>
      <c r="RTQ3" s="120"/>
      <c r="RTR3" s="120"/>
      <c r="RTS3" s="120"/>
      <c r="RTT3" s="120"/>
      <c r="RTU3" s="120"/>
      <c r="RTV3" s="120"/>
      <c r="RTW3" s="120"/>
      <c r="RTX3" s="120"/>
      <c r="RTY3" s="120"/>
      <c r="RTZ3" s="120"/>
      <c r="RUA3" s="120"/>
      <c r="RUB3" s="120"/>
      <c r="RUC3" s="120"/>
      <c r="RUD3" s="120"/>
      <c r="RUE3" s="120"/>
      <c r="RUF3" s="120"/>
      <c r="RUG3" s="120"/>
      <c r="RUH3" s="120"/>
      <c r="RUI3" s="120"/>
      <c r="RUJ3" s="120"/>
      <c r="RUK3" s="120"/>
      <c r="RUL3" s="120"/>
      <c r="RUM3" s="120"/>
      <c r="RUN3" s="120"/>
      <c r="RUO3" s="120"/>
      <c r="RUP3" s="120"/>
      <c r="RUQ3" s="120"/>
      <c r="RUR3" s="120"/>
      <c r="RUS3" s="120"/>
      <c r="RUT3" s="120"/>
      <c r="RUU3" s="120"/>
      <c r="RUV3" s="120"/>
      <c r="RUW3" s="120"/>
      <c r="RUX3" s="120"/>
      <c r="RUY3" s="120"/>
      <c r="RUZ3" s="120"/>
      <c r="RVA3" s="120"/>
      <c r="RVB3" s="120"/>
      <c r="RVC3" s="120"/>
      <c r="RVD3" s="120"/>
      <c r="RVE3" s="120"/>
      <c r="RVF3" s="120"/>
      <c r="RVG3" s="120"/>
      <c r="RVH3" s="120"/>
      <c r="RVI3" s="120"/>
      <c r="RVJ3" s="120"/>
      <c r="RVK3" s="120"/>
      <c r="RVL3" s="120"/>
      <c r="RVM3" s="120"/>
      <c r="RVN3" s="120"/>
      <c r="RVO3" s="120"/>
      <c r="RVP3" s="120"/>
      <c r="RVQ3" s="120"/>
      <c r="RVR3" s="120"/>
      <c r="RVS3" s="120"/>
      <c r="RVT3" s="120"/>
      <c r="RVU3" s="120"/>
      <c r="RVV3" s="120"/>
      <c r="RVW3" s="120"/>
      <c r="RVX3" s="120"/>
      <c r="RVY3" s="120"/>
      <c r="RVZ3" s="120"/>
      <c r="RWA3" s="120"/>
      <c r="RWB3" s="120"/>
      <c r="RWC3" s="120"/>
      <c r="RWD3" s="120"/>
      <c r="RWE3" s="120"/>
      <c r="RWF3" s="120"/>
      <c r="RWG3" s="120"/>
      <c r="RWH3" s="120"/>
      <c r="RWI3" s="120"/>
      <c r="RWJ3" s="120"/>
      <c r="RWK3" s="120"/>
      <c r="RWL3" s="120"/>
      <c r="RWM3" s="120"/>
      <c r="RWN3" s="120"/>
      <c r="RWO3" s="120"/>
      <c r="RWP3" s="120"/>
      <c r="RWQ3" s="120"/>
      <c r="RWR3" s="120"/>
      <c r="RWS3" s="120"/>
      <c r="RWT3" s="120"/>
      <c r="RWU3" s="120"/>
      <c r="RWV3" s="120"/>
      <c r="RWW3" s="120"/>
      <c r="RWX3" s="120"/>
      <c r="RWY3" s="120"/>
      <c r="RWZ3" s="120"/>
      <c r="RXA3" s="120"/>
      <c r="RXB3" s="120"/>
      <c r="RXC3" s="120"/>
      <c r="RXD3" s="120"/>
      <c r="RXE3" s="120"/>
      <c r="RXF3" s="120"/>
      <c r="RXG3" s="120"/>
      <c r="RXH3" s="120"/>
      <c r="RXI3" s="120"/>
      <c r="RXJ3" s="120"/>
      <c r="RXK3" s="120"/>
      <c r="RXL3" s="120"/>
      <c r="RXM3" s="120"/>
      <c r="RXN3" s="120"/>
      <c r="RXO3" s="120"/>
      <c r="RXP3" s="120"/>
      <c r="RXQ3" s="120"/>
      <c r="RXR3" s="120"/>
      <c r="RXS3" s="120"/>
      <c r="RXT3" s="120"/>
      <c r="RXU3" s="120"/>
      <c r="RXV3" s="120"/>
      <c r="RXW3" s="120"/>
      <c r="RXX3" s="120"/>
      <c r="RXY3" s="120"/>
      <c r="RXZ3" s="120"/>
      <c r="RYA3" s="120"/>
      <c r="RYB3" s="120"/>
      <c r="RYC3" s="120"/>
      <c r="RYD3" s="120"/>
      <c r="RYE3" s="120"/>
      <c r="RYF3" s="120"/>
      <c r="RYG3" s="120"/>
      <c r="RYH3" s="120"/>
      <c r="RYI3" s="120"/>
      <c r="RYJ3" s="120"/>
      <c r="RYK3" s="120"/>
      <c r="RYL3" s="120"/>
      <c r="RYM3" s="120"/>
      <c r="RYN3" s="120"/>
      <c r="RYO3" s="120"/>
      <c r="RYP3" s="120"/>
      <c r="RYQ3" s="120"/>
      <c r="RYR3" s="120"/>
      <c r="RYS3" s="120"/>
      <c r="RYT3" s="120"/>
      <c r="RYU3" s="120"/>
      <c r="RYV3" s="120"/>
      <c r="RYW3" s="120"/>
      <c r="RYX3" s="120"/>
      <c r="RYY3" s="120"/>
      <c r="RYZ3" s="120"/>
      <c r="RZA3" s="120"/>
      <c r="RZB3" s="120"/>
      <c r="RZC3" s="120"/>
      <c r="RZD3" s="120"/>
      <c r="RZE3" s="120"/>
      <c r="RZF3" s="120"/>
      <c r="RZG3" s="120"/>
      <c r="RZH3" s="120"/>
      <c r="RZI3" s="120"/>
      <c r="RZJ3" s="120"/>
      <c r="RZK3" s="120"/>
      <c r="RZL3" s="120"/>
      <c r="RZM3" s="120"/>
      <c r="RZN3" s="120"/>
      <c r="RZO3" s="120"/>
      <c r="RZP3" s="120"/>
      <c r="RZQ3" s="120"/>
      <c r="RZR3" s="120"/>
      <c r="RZS3" s="120"/>
      <c r="RZT3" s="120"/>
      <c r="RZU3" s="120"/>
      <c r="RZV3" s="120"/>
      <c r="RZW3" s="120"/>
      <c r="RZX3" s="120"/>
      <c r="RZY3" s="120"/>
      <c r="RZZ3" s="120"/>
      <c r="SAA3" s="120"/>
      <c r="SAB3" s="120"/>
      <c r="SAC3" s="120"/>
      <c r="SAD3" s="120"/>
      <c r="SAE3" s="120"/>
      <c r="SAF3" s="120"/>
      <c r="SAG3" s="120"/>
      <c r="SAH3" s="120"/>
      <c r="SAI3" s="120"/>
      <c r="SAJ3" s="120"/>
      <c r="SAK3" s="120"/>
      <c r="SAL3" s="120"/>
      <c r="SAM3" s="120"/>
      <c r="SAN3" s="120"/>
      <c r="SAO3" s="120"/>
      <c r="SAP3" s="120"/>
      <c r="SAQ3" s="120"/>
      <c r="SAR3" s="120"/>
      <c r="SAS3" s="120"/>
      <c r="SAT3" s="120"/>
      <c r="SAU3" s="120"/>
      <c r="SAV3" s="120"/>
      <c r="SAW3" s="120"/>
      <c r="SAX3" s="120"/>
      <c r="SAY3" s="120"/>
      <c r="SAZ3" s="120"/>
      <c r="SBA3" s="120"/>
      <c r="SBB3" s="120"/>
      <c r="SBC3" s="120"/>
      <c r="SBD3" s="120"/>
      <c r="SBE3" s="120"/>
      <c r="SBF3" s="120"/>
      <c r="SBG3" s="120"/>
      <c r="SBH3" s="120"/>
      <c r="SBI3" s="120"/>
      <c r="SBJ3" s="120"/>
      <c r="SBK3" s="120"/>
      <c r="SBL3" s="120"/>
      <c r="SBM3" s="120"/>
      <c r="SBN3" s="120"/>
      <c r="SBO3" s="120"/>
      <c r="SBP3" s="120"/>
      <c r="SBQ3" s="120"/>
      <c r="SBR3" s="120"/>
      <c r="SBS3" s="120"/>
      <c r="SBT3" s="120"/>
      <c r="SBU3" s="120"/>
      <c r="SBV3" s="120"/>
      <c r="SBW3" s="120"/>
      <c r="SBX3" s="120"/>
      <c r="SBY3" s="120"/>
      <c r="SBZ3" s="120"/>
      <c r="SCA3" s="120"/>
      <c r="SCB3" s="120"/>
      <c r="SCC3" s="120"/>
      <c r="SCD3" s="120"/>
      <c r="SCE3" s="120"/>
      <c r="SCF3" s="120"/>
      <c r="SCG3" s="120"/>
      <c r="SCH3" s="120"/>
      <c r="SCI3" s="120"/>
      <c r="SCJ3" s="120"/>
      <c r="SCK3" s="120"/>
      <c r="SCL3" s="120"/>
      <c r="SCM3" s="120"/>
      <c r="SCN3" s="120"/>
      <c r="SCO3" s="120"/>
      <c r="SCP3" s="120"/>
      <c r="SCQ3" s="120"/>
      <c r="SCR3" s="120"/>
      <c r="SCS3" s="120"/>
      <c r="SCT3" s="120"/>
      <c r="SCU3" s="120"/>
      <c r="SCV3" s="120"/>
      <c r="SCW3" s="120"/>
      <c r="SCX3" s="120"/>
      <c r="SCY3" s="120"/>
      <c r="SCZ3" s="120"/>
      <c r="SDA3" s="120"/>
      <c r="SDB3" s="120"/>
      <c r="SDC3" s="120"/>
      <c r="SDD3" s="120"/>
      <c r="SDE3" s="120"/>
      <c r="SDF3" s="120"/>
      <c r="SDG3" s="120"/>
      <c r="SDH3" s="120"/>
      <c r="SDI3" s="120"/>
      <c r="SDJ3" s="120"/>
      <c r="SDK3" s="120"/>
      <c r="SDL3" s="120"/>
      <c r="SDM3" s="120"/>
      <c r="SDN3" s="120"/>
      <c r="SDO3" s="120"/>
      <c r="SDP3" s="120"/>
      <c r="SDQ3" s="120"/>
      <c r="SDR3" s="120"/>
      <c r="SDS3" s="120"/>
      <c r="SDT3" s="120"/>
      <c r="SDU3" s="120"/>
      <c r="SDV3" s="120"/>
      <c r="SDW3" s="120"/>
      <c r="SDX3" s="120"/>
      <c r="SDY3" s="120"/>
      <c r="SDZ3" s="120"/>
      <c r="SEA3" s="120"/>
      <c r="SEB3" s="120"/>
      <c r="SEC3" s="120"/>
      <c r="SED3" s="120"/>
      <c r="SEE3" s="120"/>
      <c r="SEF3" s="120"/>
      <c r="SEG3" s="120"/>
      <c r="SEH3" s="120"/>
      <c r="SEI3" s="120"/>
      <c r="SEJ3" s="120"/>
      <c r="SEK3" s="120"/>
      <c r="SEL3" s="120"/>
      <c r="SEM3" s="120"/>
      <c r="SEN3" s="120"/>
      <c r="SEO3" s="120"/>
      <c r="SEP3" s="120"/>
      <c r="SEQ3" s="120"/>
      <c r="SER3" s="120"/>
      <c r="SES3" s="120"/>
      <c r="SET3" s="120"/>
      <c r="SEU3" s="120"/>
      <c r="SEV3" s="120"/>
      <c r="SEW3" s="120"/>
      <c r="SEX3" s="120"/>
      <c r="SEY3" s="120"/>
      <c r="SEZ3" s="120"/>
      <c r="SFA3" s="120"/>
      <c r="SFB3" s="120"/>
      <c r="SFC3" s="120"/>
      <c r="SFD3" s="120"/>
      <c r="SFE3" s="120"/>
      <c r="SFF3" s="120"/>
      <c r="SFG3" s="120"/>
      <c r="SFH3" s="120"/>
      <c r="SFI3" s="120"/>
      <c r="SFJ3" s="120"/>
      <c r="SFK3" s="120"/>
      <c r="SFL3" s="120"/>
      <c r="SFM3" s="120"/>
      <c r="SFN3" s="120"/>
      <c r="SFO3" s="120"/>
      <c r="SFP3" s="120"/>
      <c r="SFQ3" s="120"/>
      <c r="SFR3" s="120"/>
      <c r="SFS3" s="120"/>
      <c r="SFT3" s="120"/>
      <c r="SFU3" s="120"/>
      <c r="SFV3" s="120"/>
      <c r="SFW3" s="120"/>
      <c r="SFX3" s="120"/>
      <c r="SFY3" s="120"/>
      <c r="SFZ3" s="120"/>
      <c r="SGA3" s="120"/>
      <c r="SGB3" s="120"/>
      <c r="SGC3" s="120"/>
      <c r="SGD3" s="120"/>
      <c r="SGE3" s="120"/>
      <c r="SGF3" s="120"/>
      <c r="SGG3" s="120"/>
      <c r="SGH3" s="120"/>
      <c r="SGI3" s="120"/>
      <c r="SGJ3" s="120"/>
      <c r="SGK3" s="120"/>
      <c r="SGL3" s="120"/>
      <c r="SGM3" s="120"/>
      <c r="SGN3" s="120"/>
      <c r="SGO3" s="120"/>
      <c r="SGP3" s="120"/>
      <c r="SGQ3" s="120"/>
      <c r="SGR3" s="120"/>
      <c r="SGS3" s="120"/>
      <c r="SGT3" s="120"/>
      <c r="SGU3" s="120"/>
      <c r="SGV3" s="120"/>
      <c r="SGW3" s="120"/>
      <c r="SGX3" s="120"/>
      <c r="SGY3" s="120"/>
      <c r="SGZ3" s="120"/>
      <c r="SHA3" s="120"/>
      <c r="SHB3" s="120"/>
      <c r="SHC3" s="120"/>
      <c r="SHD3" s="120"/>
      <c r="SHE3" s="120"/>
      <c r="SHF3" s="120"/>
      <c r="SHG3" s="120"/>
      <c r="SHH3" s="120"/>
      <c r="SHI3" s="120"/>
      <c r="SHJ3" s="120"/>
      <c r="SHK3" s="120"/>
      <c r="SHL3" s="120"/>
      <c r="SHM3" s="120"/>
      <c r="SHN3" s="120"/>
      <c r="SHO3" s="120"/>
      <c r="SHP3" s="120"/>
      <c r="SHQ3" s="120"/>
      <c r="SHR3" s="120"/>
      <c r="SHS3" s="120"/>
      <c r="SHT3" s="120"/>
      <c r="SHU3" s="120"/>
      <c r="SHV3" s="120"/>
      <c r="SHW3" s="120"/>
      <c r="SHX3" s="120"/>
      <c r="SHY3" s="120"/>
      <c r="SHZ3" s="120"/>
      <c r="SIA3" s="120"/>
      <c r="SIB3" s="120"/>
      <c r="SIC3" s="120"/>
      <c r="SID3" s="120"/>
      <c r="SIE3" s="120"/>
      <c r="SIF3" s="120"/>
      <c r="SIG3" s="120"/>
      <c r="SIH3" s="120"/>
      <c r="SII3" s="120"/>
      <c r="SIJ3" s="120"/>
      <c r="SIK3" s="120"/>
      <c r="SIL3" s="120"/>
      <c r="SIM3" s="120"/>
      <c r="SIN3" s="120"/>
      <c r="SIO3" s="120"/>
      <c r="SIP3" s="120"/>
      <c r="SIQ3" s="120"/>
      <c r="SIR3" s="120"/>
      <c r="SIS3" s="120"/>
      <c r="SIT3" s="120"/>
      <c r="SIU3" s="120"/>
      <c r="SIV3" s="120"/>
      <c r="SIW3" s="120"/>
      <c r="SIX3" s="120"/>
      <c r="SIY3" s="120"/>
      <c r="SIZ3" s="120"/>
      <c r="SJA3" s="120"/>
      <c r="SJB3" s="120"/>
      <c r="SJC3" s="120"/>
      <c r="SJD3" s="120"/>
      <c r="SJE3" s="120"/>
      <c r="SJF3" s="120"/>
      <c r="SJG3" s="120"/>
      <c r="SJH3" s="120"/>
      <c r="SJI3" s="120"/>
      <c r="SJJ3" s="120"/>
      <c r="SJK3" s="120"/>
      <c r="SJL3" s="120"/>
      <c r="SJM3" s="120"/>
      <c r="SJN3" s="120"/>
      <c r="SJO3" s="120"/>
      <c r="SJP3" s="120"/>
      <c r="SJQ3" s="120"/>
      <c r="SJR3" s="120"/>
      <c r="SJS3" s="120"/>
      <c r="SJT3" s="120"/>
      <c r="SJU3" s="120"/>
      <c r="SJV3" s="120"/>
      <c r="SJW3" s="120"/>
      <c r="SJX3" s="120"/>
      <c r="SJY3" s="120"/>
      <c r="SJZ3" s="120"/>
      <c r="SKA3" s="120"/>
      <c r="SKB3" s="120"/>
      <c r="SKC3" s="120"/>
      <c r="SKD3" s="120"/>
      <c r="SKE3" s="120"/>
      <c r="SKF3" s="120"/>
      <c r="SKG3" s="120"/>
      <c r="SKH3" s="120"/>
      <c r="SKI3" s="120"/>
      <c r="SKJ3" s="120"/>
      <c r="SKK3" s="120"/>
      <c r="SKL3" s="120"/>
      <c r="SKM3" s="120"/>
      <c r="SKN3" s="120"/>
      <c r="SKO3" s="120"/>
      <c r="SKP3" s="120"/>
      <c r="SKQ3" s="120"/>
      <c r="SKR3" s="120"/>
      <c r="SKS3" s="120"/>
      <c r="SKT3" s="120"/>
      <c r="SKU3" s="120"/>
      <c r="SKV3" s="120"/>
      <c r="SKW3" s="120"/>
      <c r="SKX3" s="120"/>
      <c r="SKY3" s="120"/>
      <c r="SKZ3" s="120"/>
      <c r="SLA3" s="120"/>
      <c r="SLB3" s="120"/>
      <c r="SLC3" s="120"/>
      <c r="SLD3" s="120"/>
      <c r="SLE3" s="120"/>
      <c r="SLF3" s="120"/>
      <c r="SLG3" s="120"/>
      <c r="SLH3" s="120"/>
      <c r="SLI3" s="120"/>
      <c r="SLJ3" s="120"/>
      <c r="SLK3" s="120"/>
      <c r="SLL3" s="120"/>
      <c r="SLM3" s="120"/>
      <c r="SLN3" s="120"/>
      <c r="SLO3" s="120"/>
      <c r="SLP3" s="120"/>
      <c r="SLQ3" s="120"/>
      <c r="SLR3" s="120"/>
      <c r="SLS3" s="120"/>
      <c r="SLT3" s="120"/>
      <c r="SLU3" s="120"/>
      <c r="SLV3" s="120"/>
      <c r="SLW3" s="120"/>
      <c r="SLX3" s="120"/>
      <c r="SLY3" s="120"/>
      <c r="SLZ3" s="120"/>
      <c r="SMA3" s="120"/>
      <c r="SMB3" s="120"/>
      <c r="SMC3" s="120"/>
      <c r="SMD3" s="120"/>
      <c r="SME3" s="120"/>
      <c r="SMF3" s="120"/>
      <c r="SMG3" s="120"/>
      <c r="SMH3" s="120"/>
      <c r="SMI3" s="120"/>
      <c r="SMJ3" s="120"/>
      <c r="SMK3" s="120"/>
      <c r="SML3" s="120"/>
      <c r="SMM3" s="120"/>
      <c r="SMN3" s="120"/>
      <c r="SMO3" s="120"/>
      <c r="SMP3" s="120"/>
      <c r="SMQ3" s="120"/>
      <c r="SMR3" s="120"/>
      <c r="SMS3" s="120"/>
      <c r="SMT3" s="120"/>
      <c r="SMU3" s="120"/>
      <c r="SMV3" s="120"/>
      <c r="SMW3" s="120"/>
      <c r="SMX3" s="120"/>
      <c r="SMY3" s="120"/>
      <c r="SMZ3" s="120"/>
      <c r="SNA3" s="120"/>
      <c r="SNB3" s="120"/>
      <c r="SNC3" s="120"/>
      <c r="SND3" s="120"/>
      <c r="SNE3" s="120"/>
      <c r="SNF3" s="120"/>
      <c r="SNG3" s="120"/>
      <c r="SNH3" s="120"/>
      <c r="SNI3" s="120"/>
      <c r="SNJ3" s="120"/>
      <c r="SNK3" s="120"/>
      <c r="SNL3" s="120"/>
      <c r="SNM3" s="120"/>
      <c r="SNN3" s="120"/>
      <c r="SNO3" s="120"/>
      <c r="SNP3" s="120"/>
      <c r="SNQ3" s="120"/>
      <c r="SNR3" s="120"/>
      <c r="SNS3" s="120"/>
      <c r="SNT3" s="120"/>
      <c r="SNU3" s="120"/>
      <c r="SNV3" s="120"/>
      <c r="SNW3" s="120"/>
      <c r="SNX3" s="120"/>
      <c r="SNY3" s="120"/>
      <c r="SNZ3" s="120"/>
      <c r="SOA3" s="120"/>
      <c r="SOB3" s="120"/>
      <c r="SOC3" s="120"/>
      <c r="SOD3" s="120"/>
      <c r="SOE3" s="120"/>
      <c r="SOF3" s="120"/>
      <c r="SOG3" s="120"/>
      <c r="SOH3" s="120"/>
      <c r="SOI3" s="120"/>
      <c r="SOJ3" s="120"/>
      <c r="SOK3" s="120"/>
      <c r="SOL3" s="120"/>
      <c r="SOM3" s="120"/>
      <c r="SON3" s="120"/>
      <c r="SOO3" s="120"/>
      <c r="SOP3" s="120"/>
      <c r="SOQ3" s="120"/>
      <c r="SOR3" s="120"/>
      <c r="SOS3" s="120"/>
      <c r="SOT3" s="120"/>
      <c r="SOU3" s="120"/>
      <c r="SOV3" s="120"/>
      <c r="SOW3" s="120"/>
      <c r="SOX3" s="120"/>
      <c r="SOY3" s="120"/>
      <c r="SOZ3" s="120"/>
      <c r="SPA3" s="120"/>
      <c r="SPB3" s="120"/>
      <c r="SPC3" s="120"/>
      <c r="SPD3" s="120"/>
      <c r="SPE3" s="120"/>
      <c r="SPF3" s="120"/>
      <c r="SPG3" s="120"/>
      <c r="SPH3" s="120"/>
      <c r="SPI3" s="120"/>
      <c r="SPJ3" s="120"/>
      <c r="SPK3" s="120"/>
      <c r="SPL3" s="120"/>
      <c r="SPM3" s="120"/>
      <c r="SPN3" s="120"/>
      <c r="SPO3" s="120"/>
      <c r="SPP3" s="120"/>
      <c r="SPQ3" s="120"/>
      <c r="SPR3" s="120"/>
      <c r="SPS3" s="120"/>
      <c r="SPT3" s="120"/>
      <c r="SPU3" s="120"/>
      <c r="SPV3" s="120"/>
      <c r="SPW3" s="120"/>
      <c r="SPX3" s="120"/>
      <c r="SPY3" s="120"/>
      <c r="SPZ3" s="120"/>
      <c r="SQA3" s="120"/>
      <c r="SQB3" s="120"/>
      <c r="SQC3" s="120"/>
      <c r="SQD3" s="120"/>
      <c r="SQE3" s="120"/>
      <c r="SQF3" s="120"/>
      <c r="SQG3" s="120"/>
      <c r="SQH3" s="120"/>
      <c r="SQI3" s="120"/>
      <c r="SQJ3" s="120"/>
      <c r="SQK3" s="120"/>
      <c r="SQL3" s="120"/>
      <c r="SQM3" s="120"/>
      <c r="SQN3" s="120"/>
      <c r="SQO3" s="120"/>
      <c r="SQP3" s="120"/>
      <c r="SQQ3" s="120"/>
      <c r="SQR3" s="120"/>
      <c r="SQS3" s="120"/>
      <c r="SQT3" s="120"/>
      <c r="SQU3" s="120"/>
      <c r="SQV3" s="120"/>
      <c r="SQW3" s="120"/>
      <c r="SQX3" s="120"/>
      <c r="SQY3" s="120"/>
      <c r="SQZ3" s="120"/>
      <c r="SRA3" s="120"/>
      <c r="SRB3" s="120"/>
      <c r="SRC3" s="120"/>
      <c r="SRD3" s="120"/>
      <c r="SRE3" s="120"/>
      <c r="SRF3" s="120"/>
      <c r="SRG3" s="120"/>
      <c r="SRH3" s="120"/>
      <c r="SRI3" s="120"/>
      <c r="SRJ3" s="120"/>
      <c r="SRK3" s="120"/>
      <c r="SRL3" s="120"/>
      <c r="SRM3" s="120"/>
      <c r="SRN3" s="120"/>
      <c r="SRO3" s="120"/>
      <c r="SRP3" s="120"/>
      <c r="SRQ3" s="120"/>
      <c r="SRR3" s="120"/>
      <c r="SRS3" s="120"/>
      <c r="SRT3" s="120"/>
      <c r="SRU3" s="120"/>
      <c r="SRV3" s="120"/>
      <c r="SRW3" s="120"/>
      <c r="SRX3" s="120"/>
      <c r="SRY3" s="120"/>
      <c r="SRZ3" s="120"/>
      <c r="SSA3" s="120"/>
      <c r="SSB3" s="120"/>
      <c r="SSC3" s="120"/>
      <c r="SSD3" s="120"/>
      <c r="SSE3" s="120"/>
      <c r="SSF3" s="120"/>
      <c r="SSG3" s="120"/>
      <c r="SSH3" s="120"/>
      <c r="SSI3" s="120"/>
      <c r="SSJ3" s="120"/>
      <c r="SSK3" s="120"/>
      <c r="SSL3" s="120"/>
      <c r="SSM3" s="120"/>
      <c r="SSN3" s="120"/>
      <c r="SSO3" s="120"/>
      <c r="SSP3" s="120"/>
      <c r="SSQ3" s="120"/>
      <c r="SSR3" s="120"/>
      <c r="SSS3" s="120"/>
      <c r="SST3" s="120"/>
      <c r="SSU3" s="120"/>
      <c r="SSV3" s="120"/>
      <c r="SSW3" s="120"/>
      <c r="SSX3" s="120"/>
      <c r="SSY3" s="120"/>
      <c r="SSZ3" s="120"/>
      <c r="STA3" s="120"/>
      <c r="STB3" s="120"/>
      <c r="STC3" s="120"/>
      <c r="STD3" s="120"/>
      <c r="STE3" s="120"/>
      <c r="STF3" s="120"/>
      <c r="STG3" s="120"/>
      <c r="STH3" s="120"/>
      <c r="STI3" s="120"/>
      <c r="STJ3" s="120"/>
      <c r="STK3" s="120"/>
      <c r="STL3" s="120"/>
      <c r="STM3" s="120"/>
      <c r="STN3" s="120"/>
      <c r="STO3" s="120"/>
      <c r="STP3" s="120"/>
      <c r="STQ3" s="120"/>
      <c r="STR3" s="120"/>
      <c r="STS3" s="120"/>
      <c r="STT3" s="120"/>
      <c r="STU3" s="120"/>
      <c r="STV3" s="120"/>
      <c r="STW3" s="120"/>
      <c r="STX3" s="120"/>
      <c r="STY3" s="120"/>
      <c r="STZ3" s="120"/>
      <c r="SUA3" s="120"/>
      <c r="SUB3" s="120"/>
      <c r="SUC3" s="120"/>
      <c r="SUD3" s="120"/>
      <c r="SUE3" s="120"/>
      <c r="SUF3" s="120"/>
      <c r="SUG3" s="120"/>
      <c r="SUH3" s="120"/>
      <c r="SUI3" s="120"/>
      <c r="SUJ3" s="120"/>
      <c r="SUK3" s="120"/>
      <c r="SUL3" s="120"/>
      <c r="SUM3" s="120"/>
      <c r="SUN3" s="120"/>
      <c r="SUO3" s="120"/>
      <c r="SUP3" s="120"/>
      <c r="SUQ3" s="120"/>
      <c r="SUR3" s="120"/>
      <c r="SUS3" s="120"/>
      <c r="SUT3" s="120"/>
      <c r="SUU3" s="120"/>
      <c r="SUV3" s="120"/>
      <c r="SUW3" s="120"/>
      <c r="SUX3" s="120"/>
      <c r="SUY3" s="120"/>
      <c r="SUZ3" s="120"/>
      <c r="SVA3" s="120"/>
      <c r="SVB3" s="120"/>
      <c r="SVC3" s="120"/>
      <c r="SVD3" s="120"/>
      <c r="SVE3" s="120"/>
      <c r="SVF3" s="120"/>
      <c r="SVG3" s="120"/>
      <c r="SVH3" s="120"/>
      <c r="SVI3" s="120"/>
      <c r="SVJ3" s="120"/>
      <c r="SVK3" s="120"/>
      <c r="SVL3" s="120"/>
      <c r="SVM3" s="120"/>
      <c r="SVN3" s="120"/>
      <c r="SVO3" s="120"/>
      <c r="SVP3" s="120"/>
      <c r="SVQ3" s="120"/>
      <c r="SVR3" s="120"/>
      <c r="SVS3" s="120"/>
      <c r="SVT3" s="120"/>
      <c r="SVU3" s="120"/>
      <c r="SVV3" s="120"/>
      <c r="SVW3" s="120"/>
      <c r="SVX3" s="120"/>
      <c r="SVY3" s="120"/>
      <c r="SVZ3" s="120"/>
      <c r="SWA3" s="120"/>
      <c r="SWB3" s="120"/>
      <c r="SWC3" s="120"/>
      <c r="SWD3" s="120"/>
      <c r="SWE3" s="120"/>
      <c r="SWF3" s="120"/>
      <c r="SWG3" s="120"/>
      <c r="SWH3" s="120"/>
      <c r="SWI3" s="120"/>
      <c r="SWJ3" s="120"/>
      <c r="SWK3" s="120"/>
      <c r="SWL3" s="120"/>
      <c r="SWM3" s="120"/>
      <c r="SWN3" s="120"/>
      <c r="SWO3" s="120"/>
      <c r="SWP3" s="120"/>
      <c r="SWQ3" s="120"/>
      <c r="SWR3" s="120"/>
      <c r="SWS3" s="120"/>
      <c r="SWT3" s="120"/>
      <c r="SWU3" s="120"/>
      <c r="SWV3" s="120"/>
      <c r="SWW3" s="120"/>
      <c r="SWX3" s="120"/>
      <c r="SWY3" s="120"/>
      <c r="SWZ3" s="120"/>
      <c r="SXA3" s="120"/>
      <c r="SXB3" s="120"/>
      <c r="SXC3" s="120"/>
      <c r="SXD3" s="120"/>
      <c r="SXE3" s="120"/>
      <c r="SXF3" s="120"/>
      <c r="SXG3" s="120"/>
      <c r="SXH3" s="120"/>
      <c r="SXI3" s="120"/>
      <c r="SXJ3" s="120"/>
      <c r="SXK3" s="120"/>
      <c r="SXL3" s="120"/>
      <c r="SXM3" s="120"/>
      <c r="SXN3" s="120"/>
      <c r="SXO3" s="120"/>
      <c r="SXP3" s="120"/>
      <c r="SXQ3" s="120"/>
      <c r="SXR3" s="120"/>
      <c r="SXS3" s="120"/>
      <c r="SXT3" s="120"/>
      <c r="SXU3" s="120"/>
      <c r="SXV3" s="120"/>
      <c r="SXW3" s="120"/>
      <c r="SXX3" s="120"/>
      <c r="SXY3" s="120"/>
      <c r="SXZ3" s="120"/>
      <c r="SYA3" s="120"/>
      <c r="SYB3" s="120"/>
      <c r="SYC3" s="120"/>
      <c r="SYD3" s="120"/>
      <c r="SYE3" s="120"/>
      <c r="SYF3" s="120"/>
      <c r="SYG3" s="120"/>
      <c r="SYH3" s="120"/>
      <c r="SYI3" s="120"/>
      <c r="SYJ3" s="120"/>
      <c r="SYK3" s="120"/>
      <c r="SYL3" s="120"/>
      <c r="SYM3" s="120"/>
      <c r="SYN3" s="120"/>
      <c r="SYO3" s="120"/>
      <c r="SYP3" s="120"/>
      <c r="SYQ3" s="120"/>
      <c r="SYR3" s="120"/>
      <c r="SYS3" s="120"/>
      <c r="SYT3" s="120"/>
      <c r="SYU3" s="120"/>
      <c r="SYV3" s="120"/>
      <c r="SYW3" s="120"/>
      <c r="SYX3" s="120"/>
      <c r="SYY3" s="120"/>
      <c r="SYZ3" s="120"/>
      <c r="SZA3" s="120"/>
      <c r="SZB3" s="120"/>
      <c r="SZC3" s="120"/>
      <c r="SZD3" s="120"/>
      <c r="SZE3" s="120"/>
      <c r="SZF3" s="120"/>
      <c r="SZG3" s="120"/>
      <c r="SZH3" s="120"/>
      <c r="SZI3" s="120"/>
      <c r="SZJ3" s="120"/>
      <c r="SZK3" s="120"/>
      <c r="SZL3" s="120"/>
      <c r="SZM3" s="120"/>
      <c r="SZN3" s="120"/>
      <c r="SZO3" s="120"/>
      <c r="SZP3" s="120"/>
      <c r="SZQ3" s="120"/>
      <c r="SZR3" s="120"/>
      <c r="SZS3" s="120"/>
      <c r="SZT3" s="120"/>
      <c r="SZU3" s="120"/>
      <c r="SZV3" s="120"/>
      <c r="SZW3" s="120"/>
      <c r="SZX3" s="120"/>
      <c r="SZY3" s="120"/>
      <c r="SZZ3" s="120"/>
      <c r="TAA3" s="120"/>
      <c r="TAB3" s="120"/>
      <c r="TAC3" s="120"/>
      <c r="TAD3" s="120"/>
      <c r="TAE3" s="120"/>
      <c r="TAF3" s="120"/>
      <c r="TAG3" s="120"/>
      <c r="TAH3" s="120"/>
      <c r="TAI3" s="120"/>
      <c r="TAJ3" s="120"/>
      <c r="TAK3" s="120"/>
      <c r="TAL3" s="120"/>
      <c r="TAM3" s="120"/>
      <c r="TAN3" s="120"/>
      <c r="TAO3" s="120"/>
      <c r="TAP3" s="120"/>
      <c r="TAQ3" s="120"/>
      <c r="TAR3" s="120"/>
      <c r="TAS3" s="120"/>
      <c r="TAT3" s="120"/>
      <c r="TAU3" s="120"/>
      <c r="TAV3" s="120"/>
      <c r="TAW3" s="120"/>
      <c r="TAX3" s="120"/>
      <c r="TAY3" s="120"/>
      <c r="TAZ3" s="120"/>
      <c r="TBA3" s="120"/>
      <c r="TBB3" s="120"/>
      <c r="TBC3" s="120"/>
      <c r="TBD3" s="120"/>
      <c r="TBE3" s="120"/>
      <c r="TBF3" s="120"/>
      <c r="TBG3" s="120"/>
      <c r="TBH3" s="120"/>
      <c r="TBI3" s="120"/>
      <c r="TBJ3" s="120"/>
      <c r="TBK3" s="120"/>
      <c r="TBL3" s="120"/>
      <c r="TBM3" s="120"/>
      <c r="TBN3" s="120"/>
      <c r="TBO3" s="120"/>
      <c r="TBP3" s="120"/>
      <c r="TBQ3" s="120"/>
      <c r="TBR3" s="120"/>
      <c r="TBS3" s="120"/>
      <c r="TBT3" s="120"/>
      <c r="TBU3" s="120"/>
      <c r="TBV3" s="120"/>
      <c r="TBW3" s="120"/>
      <c r="TBX3" s="120"/>
      <c r="TBY3" s="120"/>
      <c r="TBZ3" s="120"/>
      <c r="TCA3" s="120"/>
      <c r="TCB3" s="120"/>
      <c r="TCC3" s="120"/>
      <c r="TCD3" s="120"/>
      <c r="TCE3" s="120"/>
      <c r="TCF3" s="120"/>
      <c r="TCG3" s="120"/>
      <c r="TCH3" s="120"/>
      <c r="TCI3" s="120"/>
      <c r="TCJ3" s="120"/>
      <c r="TCK3" s="120"/>
      <c r="TCL3" s="120"/>
      <c r="TCM3" s="120"/>
      <c r="TCN3" s="120"/>
      <c r="TCO3" s="120"/>
      <c r="TCP3" s="120"/>
      <c r="TCQ3" s="120"/>
      <c r="TCR3" s="120"/>
      <c r="TCS3" s="120"/>
      <c r="TCT3" s="120"/>
      <c r="TCU3" s="120"/>
      <c r="TCV3" s="120"/>
      <c r="TCW3" s="120"/>
      <c r="TCX3" s="120"/>
      <c r="TCY3" s="120"/>
      <c r="TCZ3" s="120"/>
      <c r="TDA3" s="120"/>
      <c r="TDB3" s="120"/>
      <c r="TDC3" s="120"/>
      <c r="TDD3" s="120"/>
      <c r="TDE3" s="120"/>
      <c r="TDF3" s="120"/>
      <c r="TDG3" s="120"/>
      <c r="TDH3" s="120"/>
      <c r="TDI3" s="120"/>
      <c r="TDJ3" s="120"/>
      <c r="TDK3" s="120"/>
      <c r="TDL3" s="120"/>
      <c r="TDM3" s="120"/>
      <c r="TDN3" s="120"/>
      <c r="TDO3" s="120"/>
      <c r="TDP3" s="120"/>
      <c r="TDQ3" s="120"/>
      <c r="TDR3" s="120"/>
      <c r="TDS3" s="120"/>
      <c r="TDT3" s="120"/>
      <c r="TDU3" s="120"/>
      <c r="TDV3" s="120"/>
      <c r="TDW3" s="120"/>
      <c r="TDX3" s="120"/>
      <c r="TDY3" s="120"/>
      <c r="TDZ3" s="120"/>
      <c r="TEA3" s="120"/>
      <c r="TEB3" s="120"/>
      <c r="TEC3" s="120"/>
      <c r="TED3" s="120"/>
      <c r="TEE3" s="120"/>
      <c r="TEF3" s="120"/>
      <c r="TEG3" s="120"/>
      <c r="TEH3" s="120"/>
      <c r="TEI3" s="120"/>
      <c r="TEJ3" s="120"/>
      <c r="TEK3" s="120"/>
      <c r="TEL3" s="120"/>
      <c r="TEM3" s="120"/>
      <c r="TEN3" s="120"/>
      <c r="TEO3" s="120"/>
      <c r="TEP3" s="120"/>
      <c r="TEQ3" s="120"/>
      <c r="TER3" s="120"/>
      <c r="TES3" s="120"/>
      <c r="TET3" s="120"/>
      <c r="TEU3" s="120"/>
      <c r="TEV3" s="120"/>
      <c r="TEW3" s="120"/>
      <c r="TEX3" s="120"/>
      <c r="TEY3" s="120"/>
      <c r="TEZ3" s="120"/>
      <c r="TFA3" s="120"/>
      <c r="TFB3" s="120"/>
      <c r="TFC3" s="120"/>
      <c r="TFD3" s="120"/>
      <c r="TFE3" s="120"/>
      <c r="TFF3" s="120"/>
      <c r="TFG3" s="120"/>
      <c r="TFH3" s="120"/>
      <c r="TFI3" s="120"/>
      <c r="TFJ3" s="120"/>
      <c r="TFK3" s="120"/>
      <c r="TFL3" s="120"/>
      <c r="TFM3" s="120"/>
      <c r="TFN3" s="120"/>
      <c r="TFO3" s="120"/>
      <c r="TFP3" s="120"/>
      <c r="TFQ3" s="120"/>
      <c r="TFR3" s="120"/>
      <c r="TFS3" s="120"/>
      <c r="TFT3" s="120"/>
      <c r="TFU3" s="120"/>
      <c r="TFV3" s="120"/>
      <c r="TFW3" s="120"/>
      <c r="TFX3" s="120"/>
      <c r="TFY3" s="120"/>
      <c r="TFZ3" s="120"/>
      <c r="TGA3" s="120"/>
      <c r="TGB3" s="120"/>
      <c r="TGC3" s="120"/>
      <c r="TGD3" s="120"/>
      <c r="TGE3" s="120"/>
      <c r="TGF3" s="120"/>
      <c r="TGG3" s="120"/>
      <c r="TGH3" s="120"/>
      <c r="TGI3" s="120"/>
      <c r="TGJ3" s="120"/>
      <c r="TGK3" s="120"/>
      <c r="TGL3" s="120"/>
      <c r="TGM3" s="120"/>
      <c r="TGN3" s="120"/>
      <c r="TGO3" s="120"/>
      <c r="TGP3" s="120"/>
      <c r="TGQ3" s="120"/>
      <c r="TGR3" s="120"/>
      <c r="TGS3" s="120"/>
      <c r="TGT3" s="120"/>
      <c r="TGU3" s="120"/>
      <c r="TGV3" s="120"/>
      <c r="TGW3" s="120"/>
      <c r="TGX3" s="120"/>
      <c r="TGY3" s="120"/>
      <c r="TGZ3" s="120"/>
      <c r="THA3" s="120"/>
      <c r="THB3" s="120"/>
      <c r="THC3" s="120"/>
      <c r="THD3" s="120"/>
      <c r="THE3" s="120"/>
      <c r="THF3" s="120"/>
      <c r="THG3" s="120"/>
      <c r="THH3" s="120"/>
      <c r="THI3" s="120"/>
      <c r="THJ3" s="120"/>
      <c r="THK3" s="120"/>
      <c r="THL3" s="120"/>
      <c r="THM3" s="120"/>
      <c r="THN3" s="120"/>
      <c r="THO3" s="120"/>
      <c r="THP3" s="120"/>
      <c r="THQ3" s="120"/>
      <c r="THR3" s="120"/>
      <c r="THS3" s="120"/>
      <c r="THT3" s="120"/>
      <c r="THU3" s="120"/>
      <c r="THV3" s="120"/>
      <c r="THW3" s="120"/>
      <c r="THX3" s="120"/>
      <c r="THY3" s="120"/>
      <c r="THZ3" s="120"/>
      <c r="TIA3" s="120"/>
      <c r="TIB3" s="120"/>
      <c r="TIC3" s="120"/>
      <c r="TID3" s="120"/>
      <c r="TIE3" s="120"/>
      <c r="TIF3" s="120"/>
      <c r="TIG3" s="120"/>
      <c r="TIH3" s="120"/>
      <c r="TII3" s="120"/>
      <c r="TIJ3" s="120"/>
      <c r="TIK3" s="120"/>
      <c r="TIL3" s="120"/>
      <c r="TIM3" s="120"/>
      <c r="TIN3" s="120"/>
      <c r="TIO3" s="120"/>
      <c r="TIP3" s="120"/>
      <c r="TIQ3" s="120"/>
      <c r="TIR3" s="120"/>
      <c r="TIS3" s="120"/>
      <c r="TIT3" s="120"/>
      <c r="TIU3" s="120"/>
      <c r="TIV3" s="120"/>
      <c r="TIW3" s="120"/>
      <c r="TIX3" s="120"/>
      <c r="TIY3" s="120"/>
      <c r="TIZ3" s="120"/>
      <c r="TJA3" s="120"/>
      <c r="TJB3" s="120"/>
      <c r="TJC3" s="120"/>
      <c r="TJD3" s="120"/>
      <c r="TJE3" s="120"/>
      <c r="TJF3" s="120"/>
      <c r="TJG3" s="120"/>
      <c r="TJH3" s="120"/>
      <c r="TJI3" s="120"/>
      <c r="TJJ3" s="120"/>
      <c r="TJK3" s="120"/>
      <c r="TJL3" s="120"/>
      <c r="TJM3" s="120"/>
      <c r="TJN3" s="120"/>
      <c r="TJO3" s="120"/>
      <c r="TJP3" s="120"/>
      <c r="TJQ3" s="120"/>
      <c r="TJR3" s="120"/>
      <c r="TJS3" s="120"/>
      <c r="TJT3" s="120"/>
      <c r="TJU3" s="120"/>
      <c r="TJV3" s="120"/>
      <c r="TJW3" s="120"/>
      <c r="TJX3" s="120"/>
      <c r="TJY3" s="120"/>
      <c r="TJZ3" s="120"/>
      <c r="TKA3" s="120"/>
      <c r="TKB3" s="120"/>
      <c r="TKC3" s="120"/>
      <c r="TKD3" s="120"/>
      <c r="TKE3" s="120"/>
      <c r="TKF3" s="120"/>
      <c r="TKG3" s="120"/>
      <c r="TKH3" s="120"/>
      <c r="TKI3" s="120"/>
      <c r="TKJ3" s="120"/>
      <c r="TKK3" s="120"/>
      <c r="TKL3" s="120"/>
      <c r="TKM3" s="120"/>
      <c r="TKN3" s="120"/>
      <c r="TKO3" s="120"/>
      <c r="TKP3" s="120"/>
      <c r="TKQ3" s="120"/>
      <c r="TKR3" s="120"/>
      <c r="TKS3" s="120"/>
      <c r="TKT3" s="120"/>
      <c r="TKU3" s="120"/>
      <c r="TKV3" s="120"/>
      <c r="TKW3" s="120"/>
      <c r="TKX3" s="120"/>
      <c r="TKY3" s="120"/>
      <c r="TKZ3" s="120"/>
      <c r="TLA3" s="120"/>
      <c r="TLB3" s="120"/>
      <c r="TLC3" s="120"/>
      <c r="TLD3" s="120"/>
      <c r="TLE3" s="120"/>
      <c r="TLF3" s="120"/>
      <c r="TLG3" s="120"/>
      <c r="TLH3" s="120"/>
      <c r="TLI3" s="120"/>
      <c r="TLJ3" s="120"/>
      <c r="TLK3" s="120"/>
      <c r="TLL3" s="120"/>
      <c r="TLM3" s="120"/>
      <c r="TLN3" s="120"/>
      <c r="TLO3" s="120"/>
      <c r="TLP3" s="120"/>
      <c r="TLQ3" s="120"/>
      <c r="TLR3" s="120"/>
      <c r="TLS3" s="120"/>
      <c r="TLT3" s="120"/>
      <c r="TLU3" s="120"/>
      <c r="TLV3" s="120"/>
      <c r="TLW3" s="120"/>
      <c r="TLX3" s="120"/>
      <c r="TLY3" s="120"/>
      <c r="TLZ3" s="120"/>
      <c r="TMA3" s="120"/>
      <c r="TMB3" s="120"/>
      <c r="TMC3" s="120"/>
      <c r="TMD3" s="120"/>
      <c r="TME3" s="120"/>
      <c r="TMF3" s="120"/>
      <c r="TMG3" s="120"/>
      <c r="TMH3" s="120"/>
      <c r="TMI3" s="120"/>
      <c r="TMJ3" s="120"/>
      <c r="TMK3" s="120"/>
      <c r="TML3" s="120"/>
      <c r="TMM3" s="120"/>
      <c r="TMN3" s="120"/>
      <c r="TMO3" s="120"/>
      <c r="TMP3" s="120"/>
      <c r="TMQ3" s="120"/>
      <c r="TMR3" s="120"/>
      <c r="TMS3" s="120"/>
      <c r="TMT3" s="120"/>
      <c r="TMU3" s="120"/>
      <c r="TMV3" s="120"/>
      <c r="TMW3" s="120"/>
      <c r="TMX3" s="120"/>
      <c r="TMY3" s="120"/>
      <c r="TMZ3" s="120"/>
      <c r="TNA3" s="120"/>
      <c r="TNB3" s="120"/>
      <c r="TNC3" s="120"/>
      <c r="TND3" s="120"/>
      <c r="TNE3" s="120"/>
      <c r="TNF3" s="120"/>
      <c r="TNG3" s="120"/>
      <c r="TNH3" s="120"/>
      <c r="TNI3" s="120"/>
      <c r="TNJ3" s="120"/>
      <c r="TNK3" s="120"/>
      <c r="TNL3" s="120"/>
      <c r="TNM3" s="120"/>
      <c r="TNN3" s="120"/>
      <c r="TNO3" s="120"/>
      <c r="TNP3" s="120"/>
      <c r="TNQ3" s="120"/>
      <c r="TNR3" s="120"/>
      <c r="TNS3" s="120"/>
      <c r="TNT3" s="120"/>
      <c r="TNU3" s="120"/>
      <c r="TNV3" s="120"/>
      <c r="TNW3" s="120"/>
      <c r="TNX3" s="120"/>
      <c r="TNY3" s="120"/>
      <c r="TNZ3" s="120"/>
      <c r="TOA3" s="120"/>
      <c r="TOB3" s="120"/>
      <c r="TOC3" s="120"/>
      <c r="TOD3" s="120"/>
      <c r="TOE3" s="120"/>
      <c r="TOF3" s="120"/>
      <c r="TOG3" s="120"/>
      <c r="TOH3" s="120"/>
      <c r="TOI3" s="120"/>
      <c r="TOJ3" s="120"/>
      <c r="TOK3" s="120"/>
      <c r="TOL3" s="120"/>
      <c r="TOM3" s="120"/>
      <c r="TON3" s="120"/>
      <c r="TOO3" s="120"/>
      <c r="TOP3" s="120"/>
      <c r="TOQ3" s="120"/>
      <c r="TOR3" s="120"/>
      <c r="TOS3" s="120"/>
      <c r="TOT3" s="120"/>
      <c r="TOU3" s="120"/>
      <c r="TOV3" s="120"/>
      <c r="TOW3" s="120"/>
      <c r="TOX3" s="120"/>
      <c r="TOY3" s="120"/>
      <c r="TOZ3" s="120"/>
      <c r="TPA3" s="120"/>
      <c r="TPB3" s="120"/>
      <c r="TPC3" s="120"/>
      <c r="TPD3" s="120"/>
      <c r="TPE3" s="120"/>
      <c r="TPF3" s="120"/>
      <c r="TPG3" s="120"/>
      <c r="TPH3" s="120"/>
      <c r="TPI3" s="120"/>
      <c r="TPJ3" s="120"/>
      <c r="TPK3" s="120"/>
      <c r="TPL3" s="120"/>
      <c r="TPM3" s="120"/>
      <c r="TPN3" s="120"/>
      <c r="TPO3" s="120"/>
      <c r="TPP3" s="120"/>
      <c r="TPQ3" s="120"/>
      <c r="TPR3" s="120"/>
      <c r="TPS3" s="120"/>
      <c r="TPT3" s="120"/>
      <c r="TPU3" s="120"/>
      <c r="TPV3" s="120"/>
      <c r="TPW3" s="120"/>
      <c r="TPX3" s="120"/>
      <c r="TPY3" s="120"/>
      <c r="TPZ3" s="120"/>
      <c r="TQA3" s="120"/>
      <c r="TQB3" s="120"/>
      <c r="TQC3" s="120"/>
      <c r="TQD3" s="120"/>
      <c r="TQE3" s="120"/>
      <c r="TQF3" s="120"/>
      <c r="TQG3" s="120"/>
      <c r="TQH3" s="120"/>
      <c r="TQI3" s="120"/>
      <c r="TQJ3" s="120"/>
      <c r="TQK3" s="120"/>
      <c r="TQL3" s="120"/>
      <c r="TQM3" s="120"/>
      <c r="TQN3" s="120"/>
      <c r="TQO3" s="120"/>
      <c r="TQP3" s="120"/>
      <c r="TQQ3" s="120"/>
      <c r="TQR3" s="120"/>
      <c r="TQS3" s="120"/>
      <c r="TQT3" s="120"/>
      <c r="TQU3" s="120"/>
      <c r="TQV3" s="120"/>
      <c r="TQW3" s="120"/>
      <c r="TQX3" s="120"/>
      <c r="TQY3" s="120"/>
      <c r="TQZ3" s="120"/>
      <c r="TRA3" s="120"/>
      <c r="TRB3" s="120"/>
      <c r="TRC3" s="120"/>
      <c r="TRD3" s="120"/>
      <c r="TRE3" s="120"/>
      <c r="TRF3" s="120"/>
      <c r="TRG3" s="120"/>
      <c r="TRH3" s="120"/>
      <c r="TRI3" s="120"/>
      <c r="TRJ3" s="120"/>
      <c r="TRK3" s="120"/>
      <c r="TRL3" s="120"/>
      <c r="TRM3" s="120"/>
      <c r="TRN3" s="120"/>
      <c r="TRO3" s="120"/>
      <c r="TRP3" s="120"/>
      <c r="TRQ3" s="120"/>
      <c r="TRR3" s="120"/>
      <c r="TRS3" s="120"/>
      <c r="TRT3" s="120"/>
      <c r="TRU3" s="120"/>
      <c r="TRV3" s="120"/>
      <c r="TRW3" s="120"/>
      <c r="TRX3" s="120"/>
      <c r="TRY3" s="120"/>
      <c r="TRZ3" s="120"/>
      <c r="TSA3" s="120"/>
      <c r="TSB3" s="120"/>
      <c r="TSC3" s="120"/>
      <c r="TSD3" s="120"/>
      <c r="TSE3" s="120"/>
      <c r="TSF3" s="120"/>
      <c r="TSG3" s="120"/>
      <c r="TSH3" s="120"/>
      <c r="TSI3" s="120"/>
      <c r="TSJ3" s="120"/>
      <c r="TSK3" s="120"/>
      <c r="TSL3" s="120"/>
      <c r="TSM3" s="120"/>
      <c r="TSN3" s="120"/>
      <c r="TSO3" s="120"/>
      <c r="TSP3" s="120"/>
      <c r="TSQ3" s="120"/>
      <c r="TSR3" s="120"/>
      <c r="TSS3" s="120"/>
      <c r="TST3" s="120"/>
      <c r="TSU3" s="120"/>
      <c r="TSV3" s="120"/>
      <c r="TSW3" s="120"/>
      <c r="TSX3" s="120"/>
      <c r="TSY3" s="120"/>
      <c r="TSZ3" s="120"/>
      <c r="TTA3" s="120"/>
      <c r="TTB3" s="120"/>
      <c r="TTC3" s="120"/>
      <c r="TTD3" s="120"/>
      <c r="TTE3" s="120"/>
      <c r="TTF3" s="120"/>
      <c r="TTG3" s="120"/>
      <c r="TTH3" s="120"/>
      <c r="TTI3" s="120"/>
      <c r="TTJ3" s="120"/>
      <c r="TTK3" s="120"/>
      <c r="TTL3" s="120"/>
      <c r="TTM3" s="120"/>
      <c r="TTN3" s="120"/>
      <c r="TTO3" s="120"/>
      <c r="TTP3" s="120"/>
      <c r="TTQ3" s="120"/>
      <c r="TTR3" s="120"/>
      <c r="TTS3" s="120"/>
      <c r="TTT3" s="120"/>
      <c r="TTU3" s="120"/>
      <c r="TTV3" s="120"/>
      <c r="TTW3" s="120"/>
      <c r="TTX3" s="120"/>
      <c r="TTY3" s="120"/>
      <c r="TTZ3" s="120"/>
      <c r="TUA3" s="120"/>
      <c r="TUB3" s="120"/>
      <c r="TUC3" s="120"/>
      <c r="TUD3" s="120"/>
      <c r="TUE3" s="120"/>
      <c r="TUF3" s="120"/>
      <c r="TUG3" s="120"/>
      <c r="TUH3" s="120"/>
      <c r="TUI3" s="120"/>
      <c r="TUJ3" s="120"/>
      <c r="TUK3" s="120"/>
      <c r="TUL3" s="120"/>
      <c r="TUM3" s="120"/>
      <c r="TUN3" s="120"/>
      <c r="TUO3" s="120"/>
      <c r="TUP3" s="120"/>
      <c r="TUQ3" s="120"/>
      <c r="TUR3" s="120"/>
      <c r="TUS3" s="120"/>
      <c r="TUT3" s="120"/>
      <c r="TUU3" s="120"/>
      <c r="TUV3" s="120"/>
      <c r="TUW3" s="120"/>
      <c r="TUX3" s="120"/>
      <c r="TUY3" s="120"/>
      <c r="TUZ3" s="120"/>
      <c r="TVA3" s="120"/>
      <c r="TVB3" s="120"/>
      <c r="TVC3" s="120"/>
      <c r="TVD3" s="120"/>
      <c r="TVE3" s="120"/>
      <c r="TVF3" s="120"/>
      <c r="TVG3" s="120"/>
      <c r="TVH3" s="120"/>
      <c r="TVI3" s="120"/>
      <c r="TVJ3" s="120"/>
      <c r="TVK3" s="120"/>
      <c r="TVL3" s="120"/>
      <c r="TVM3" s="120"/>
      <c r="TVN3" s="120"/>
      <c r="TVO3" s="120"/>
      <c r="TVP3" s="120"/>
      <c r="TVQ3" s="120"/>
      <c r="TVR3" s="120"/>
      <c r="TVS3" s="120"/>
      <c r="TVT3" s="120"/>
      <c r="TVU3" s="120"/>
      <c r="TVV3" s="120"/>
      <c r="TVW3" s="120"/>
      <c r="TVX3" s="120"/>
      <c r="TVY3" s="120"/>
      <c r="TVZ3" s="120"/>
      <c r="TWA3" s="120"/>
      <c r="TWB3" s="120"/>
      <c r="TWC3" s="120"/>
      <c r="TWD3" s="120"/>
      <c r="TWE3" s="120"/>
      <c r="TWF3" s="120"/>
      <c r="TWG3" s="120"/>
      <c r="TWH3" s="120"/>
      <c r="TWI3" s="120"/>
      <c r="TWJ3" s="120"/>
      <c r="TWK3" s="120"/>
      <c r="TWL3" s="120"/>
      <c r="TWM3" s="120"/>
      <c r="TWN3" s="120"/>
      <c r="TWO3" s="120"/>
      <c r="TWP3" s="120"/>
      <c r="TWQ3" s="120"/>
      <c r="TWR3" s="120"/>
      <c r="TWS3" s="120"/>
      <c r="TWT3" s="120"/>
      <c r="TWU3" s="120"/>
      <c r="TWV3" s="120"/>
      <c r="TWW3" s="120"/>
      <c r="TWX3" s="120"/>
      <c r="TWY3" s="120"/>
      <c r="TWZ3" s="120"/>
      <c r="TXA3" s="120"/>
      <c r="TXB3" s="120"/>
      <c r="TXC3" s="120"/>
      <c r="TXD3" s="120"/>
      <c r="TXE3" s="120"/>
      <c r="TXF3" s="120"/>
      <c r="TXG3" s="120"/>
      <c r="TXH3" s="120"/>
      <c r="TXI3" s="120"/>
      <c r="TXJ3" s="120"/>
      <c r="TXK3" s="120"/>
      <c r="TXL3" s="120"/>
      <c r="TXM3" s="120"/>
      <c r="TXN3" s="120"/>
      <c r="TXO3" s="120"/>
      <c r="TXP3" s="120"/>
      <c r="TXQ3" s="120"/>
      <c r="TXR3" s="120"/>
      <c r="TXS3" s="120"/>
      <c r="TXT3" s="120"/>
      <c r="TXU3" s="120"/>
      <c r="TXV3" s="120"/>
      <c r="TXW3" s="120"/>
      <c r="TXX3" s="120"/>
      <c r="TXY3" s="120"/>
      <c r="TXZ3" s="120"/>
      <c r="TYA3" s="120"/>
      <c r="TYB3" s="120"/>
      <c r="TYC3" s="120"/>
      <c r="TYD3" s="120"/>
      <c r="TYE3" s="120"/>
      <c r="TYF3" s="120"/>
      <c r="TYG3" s="120"/>
      <c r="TYH3" s="120"/>
      <c r="TYI3" s="120"/>
      <c r="TYJ3" s="120"/>
      <c r="TYK3" s="120"/>
      <c r="TYL3" s="120"/>
      <c r="TYM3" s="120"/>
      <c r="TYN3" s="120"/>
      <c r="TYO3" s="120"/>
      <c r="TYP3" s="120"/>
      <c r="TYQ3" s="120"/>
      <c r="TYR3" s="120"/>
      <c r="TYS3" s="120"/>
      <c r="TYT3" s="120"/>
      <c r="TYU3" s="120"/>
      <c r="TYV3" s="120"/>
      <c r="TYW3" s="120"/>
      <c r="TYX3" s="120"/>
      <c r="TYY3" s="120"/>
      <c r="TYZ3" s="120"/>
      <c r="TZA3" s="120"/>
      <c r="TZB3" s="120"/>
      <c r="TZC3" s="120"/>
      <c r="TZD3" s="120"/>
      <c r="TZE3" s="120"/>
      <c r="TZF3" s="120"/>
      <c r="TZG3" s="120"/>
      <c r="TZH3" s="120"/>
      <c r="TZI3" s="120"/>
      <c r="TZJ3" s="120"/>
      <c r="TZK3" s="120"/>
      <c r="TZL3" s="120"/>
      <c r="TZM3" s="120"/>
      <c r="TZN3" s="120"/>
      <c r="TZO3" s="120"/>
      <c r="TZP3" s="120"/>
      <c r="TZQ3" s="120"/>
      <c r="TZR3" s="120"/>
      <c r="TZS3" s="120"/>
      <c r="TZT3" s="120"/>
      <c r="TZU3" s="120"/>
      <c r="TZV3" s="120"/>
      <c r="TZW3" s="120"/>
      <c r="TZX3" s="120"/>
      <c r="TZY3" s="120"/>
      <c r="TZZ3" s="120"/>
      <c r="UAA3" s="120"/>
      <c r="UAB3" s="120"/>
      <c r="UAC3" s="120"/>
      <c r="UAD3" s="120"/>
      <c r="UAE3" s="120"/>
      <c r="UAF3" s="120"/>
      <c r="UAG3" s="120"/>
      <c r="UAH3" s="120"/>
      <c r="UAI3" s="120"/>
      <c r="UAJ3" s="120"/>
      <c r="UAK3" s="120"/>
      <c r="UAL3" s="120"/>
      <c r="UAM3" s="120"/>
      <c r="UAN3" s="120"/>
      <c r="UAO3" s="120"/>
      <c r="UAP3" s="120"/>
      <c r="UAQ3" s="120"/>
      <c r="UAR3" s="120"/>
      <c r="UAS3" s="120"/>
      <c r="UAT3" s="120"/>
      <c r="UAU3" s="120"/>
      <c r="UAV3" s="120"/>
      <c r="UAW3" s="120"/>
      <c r="UAX3" s="120"/>
      <c r="UAY3" s="120"/>
      <c r="UAZ3" s="120"/>
      <c r="UBA3" s="120"/>
      <c r="UBB3" s="120"/>
      <c r="UBC3" s="120"/>
      <c r="UBD3" s="120"/>
      <c r="UBE3" s="120"/>
      <c r="UBF3" s="120"/>
      <c r="UBG3" s="120"/>
      <c r="UBH3" s="120"/>
      <c r="UBI3" s="120"/>
      <c r="UBJ3" s="120"/>
      <c r="UBK3" s="120"/>
      <c r="UBL3" s="120"/>
      <c r="UBM3" s="120"/>
      <c r="UBN3" s="120"/>
      <c r="UBO3" s="120"/>
      <c r="UBP3" s="120"/>
      <c r="UBQ3" s="120"/>
      <c r="UBR3" s="120"/>
      <c r="UBS3" s="120"/>
      <c r="UBT3" s="120"/>
      <c r="UBU3" s="120"/>
      <c r="UBV3" s="120"/>
      <c r="UBW3" s="120"/>
      <c r="UBX3" s="120"/>
      <c r="UBY3" s="120"/>
      <c r="UBZ3" s="120"/>
      <c r="UCA3" s="120"/>
      <c r="UCB3" s="120"/>
      <c r="UCC3" s="120"/>
      <c r="UCD3" s="120"/>
      <c r="UCE3" s="120"/>
      <c r="UCF3" s="120"/>
      <c r="UCG3" s="120"/>
      <c r="UCH3" s="120"/>
      <c r="UCI3" s="120"/>
      <c r="UCJ3" s="120"/>
      <c r="UCK3" s="120"/>
      <c r="UCL3" s="120"/>
      <c r="UCM3" s="120"/>
      <c r="UCN3" s="120"/>
      <c r="UCO3" s="120"/>
      <c r="UCP3" s="120"/>
      <c r="UCQ3" s="120"/>
      <c r="UCR3" s="120"/>
      <c r="UCS3" s="120"/>
      <c r="UCT3" s="120"/>
      <c r="UCU3" s="120"/>
      <c r="UCV3" s="120"/>
      <c r="UCW3" s="120"/>
      <c r="UCX3" s="120"/>
      <c r="UCY3" s="120"/>
      <c r="UCZ3" s="120"/>
      <c r="UDA3" s="120"/>
      <c r="UDB3" s="120"/>
      <c r="UDC3" s="120"/>
      <c r="UDD3" s="120"/>
      <c r="UDE3" s="120"/>
      <c r="UDF3" s="120"/>
      <c r="UDG3" s="120"/>
      <c r="UDH3" s="120"/>
      <c r="UDI3" s="120"/>
      <c r="UDJ3" s="120"/>
      <c r="UDK3" s="120"/>
      <c r="UDL3" s="120"/>
      <c r="UDM3" s="120"/>
      <c r="UDN3" s="120"/>
      <c r="UDO3" s="120"/>
      <c r="UDP3" s="120"/>
      <c r="UDQ3" s="120"/>
      <c r="UDR3" s="120"/>
      <c r="UDS3" s="120"/>
      <c r="UDT3" s="120"/>
      <c r="UDU3" s="120"/>
      <c r="UDV3" s="120"/>
      <c r="UDW3" s="120"/>
      <c r="UDX3" s="120"/>
      <c r="UDY3" s="120"/>
      <c r="UDZ3" s="120"/>
      <c r="UEA3" s="120"/>
      <c r="UEB3" s="120"/>
      <c r="UEC3" s="120"/>
      <c r="UED3" s="120"/>
      <c r="UEE3" s="120"/>
      <c r="UEF3" s="120"/>
      <c r="UEG3" s="120"/>
      <c r="UEH3" s="120"/>
      <c r="UEI3" s="120"/>
      <c r="UEJ3" s="120"/>
      <c r="UEK3" s="120"/>
      <c r="UEL3" s="120"/>
      <c r="UEM3" s="120"/>
      <c r="UEN3" s="120"/>
      <c r="UEO3" s="120"/>
      <c r="UEP3" s="120"/>
      <c r="UEQ3" s="120"/>
      <c r="UER3" s="120"/>
      <c r="UES3" s="120"/>
      <c r="UET3" s="120"/>
      <c r="UEU3" s="120"/>
      <c r="UEV3" s="120"/>
      <c r="UEW3" s="120"/>
      <c r="UEX3" s="120"/>
      <c r="UEY3" s="120"/>
      <c r="UEZ3" s="120"/>
      <c r="UFA3" s="120"/>
      <c r="UFB3" s="120"/>
      <c r="UFC3" s="120"/>
      <c r="UFD3" s="120"/>
      <c r="UFE3" s="120"/>
      <c r="UFF3" s="120"/>
      <c r="UFG3" s="120"/>
      <c r="UFH3" s="120"/>
      <c r="UFI3" s="120"/>
      <c r="UFJ3" s="120"/>
      <c r="UFK3" s="120"/>
      <c r="UFL3" s="120"/>
      <c r="UFM3" s="120"/>
      <c r="UFN3" s="120"/>
      <c r="UFO3" s="120"/>
      <c r="UFP3" s="120"/>
      <c r="UFQ3" s="120"/>
      <c r="UFR3" s="120"/>
      <c r="UFS3" s="120"/>
      <c r="UFT3" s="120"/>
      <c r="UFU3" s="120"/>
      <c r="UFV3" s="120"/>
      <c r="UFW3" s="120"/>
      <c r="UFX3" s="120"/>
      <c r="UFY3" s="120"/>
      <c r="UFZ3" s="120"/>
      <c r="UGA3" s="120"/>
      <c r="UGB3" s="120"/>
      <c r="UGC3" s="120"/>
      <c r="UGD3" s="120"/>
      <c r="UGE3" s="120"/>
      <c r="UGF3" s="120"/>
      <c r="UGG3" s="120"/>
      <c r="UGH3" s="120"/>
      <c r="UGI3" s="120"/>
      <c r="UGJ3" s="120"/>
      <c r="UGK3" s="120"/>
      <c r="UGL3" s="120"/>
      <c r="UGM3" s="120"/>
      <c r="UGN3" s="120"/>
      <c r="UGO3" s="120"/>
      <c r="UGP3" s="120"/>
      <c r="UGQ3" s="120"/>
      <c r="UGR3" s="120"/>
      <c r="UGS3" s="120"/>
      <c r="UGT3" s="120"/>
      <c r="UGU3" s="120"/>
      <c r="UGV3" s="120"/>
      <c r="UGW3" s="120"/>
      <c r="UGX3" s="120"/>
      <c r="UGY3" s="120"/>
      <c r="UGZ3" s="120"/>
      <c r="UHA3" s="120"/>
      <c r="UHB3" s="120"/>
      <c r="UHC3" s="120"/>
      <c r="UHD3" s="120"/>
      <c r="UHE3" s="120"/>
      <c r="UHF3" s="120"/>
      <c r="UHG3" s="120"/>
      <c r="UHH3" s="120"/>
      <c r="UHI3" s="120"/>
      <c r="UHJ3" s="120"/>
      <c r="UHK3" s="120"/>
      <c r="UHL3" s="120"/>
      <c r="UHM3" s="120"/>
      <c r="UHN3" s="120"/>
      <c r="UHO3" s="120"/>
      <c r="UHP3" s="120"/>
      <c r="UHQ3" s="120"/>
      <c r="UHR3" s="120"/>
      <c r="UHS3" s="120"/>
      <c r="UHT3" s="120"/>
      <c r="UHU3" s="120"/>
      <c r="UHV3" s="120"/>
      <c r="UHW3" s="120"/>
      <c r="UHX3" s="120"/>
      <c r="UHY3" s="120"/>
      <c r="UHZ3" s="120"/>
      <c r="UIA3" s="120"/>
      <c r="UIB3" s="120"/>
      <c r="UIC3" s="120"/>
      <c r="UID3" s="120"/>
      <c r="UIE3" s="120"/>
      <c r="UIF3" s="120"/>
      <c r="UIG3" s="120"/>
      <c r="UIH3" s="120"/>
      <c r="UII3" s="120"/>
      <c r="UIJ3" s="120"/>
      <c r="UIK3" s="120"/>
      <c r="UIL3" s="120"/>
      <c r="UIM3" s="120"/>
      <c r="UIN3" s="120"/>
      <c r="UIO3" s="120"/>
      <c r="UIP3" s="120"/>
      <c r="UIQ3" s="120"/>
      <c r="UIR3" s="120"/>
      <c r="UIS3" s="120"/>
      <c r="UIT3" s="120"/>
      <c r="UIU3" s="120"/>
      <c r="UIV3" s="120"/>
      <c r="UIW3" s="120"/>
      <c r="UIX3" s="120"/>
      <c r="UIY3" s="120"/>
      <c r="UIZ3" s="120"/>
      <c r="UJA3" s="120"/>
      <c r="UJB3" s="120"/>
      <c r="UJC3" s="120"/>
      <c r="UJD3" s="120"/>
      <c r="UJE3" s="120"/>
      <c r="UJF3" s="120"/>
      <c r="UJG3" s="120"/>
      <c r="UJH3" s="120"/>
      <c r="UJI3" s="120"/>
      <c r="UJJ3" s="120"/>
      <c r="UJK3" s="120"/>
      <c r="UJL3" s="120"/>
      <c r="UJM3" s="120"/>
      <c r="UJN3" s="120"/>
      <c r="UJO3" s="120"/>
      <c r="UJP3" s="120"/>
      <c r="UJQ3" s="120"/>
      <c r="UJR3" s="120"/>
      <c r="UJS3" s="120"/>
      <c r="UJT3" s="120"/>
      <c r="UJU3" s="120"/>
      <c r="UJV3" s="120"/>
      <c r="UJW3" s="120"/>
      <c r="UJX3" s="120"/>
      <c r="UJY3" s="120"/>
      <c r="UJZ3" s="120"/>
      <c r="UKA3" s="120"/>
      <c r="UKB3" s="120"/>
      <c r="UKC3" s="120"/>
      <c r="UKD3" s="120"/>
      <c r="UKE3" s="120"/>
      <c r="UKF3" s="120"/>
      <c r="UKG3" s="120"/>
      <c r="UKH3" s="120"/>
      <c r="UKI3" s="120"/>
      <c r="UKJ3" s="120"/>
      <c r="UKK3" s="120"/>
      <c r="UKL3" s="120"/>
      <c r="UKM3" s="120"/>
      <c r="UKN3" s="120"/>
      <c r="UKO3" s="120"/>
      <c r="UKP3" s="120"/>
      <c r="UKQ3" s="120"/>
      <c r="UKR3" s="120"/>
      <c r="UKS3" s="120"/>
      <c r="UKT3" s="120"/>
      <c r="UKU3" s="120"/>
      <c r="UKV3" s="120"/>
      <c r="UKW3" s="120"/>
      <c r="UKX3" s="120"/>
      <c r="UKY3" s="120"/>
      <c r="UKZ3" s="120"/>
      <c r="ULA3" s="120"/>
      <c r="ULB3" s="120"/>
      <c r="ULC3" s="120"/>
      <c r="ULD3" s="120"/>
      <c r="ULE3" s="120"/>
      <c r="ULF3" s="120"/>
      <c r="ULG3" s="120"/>
      <c r="ULH3" s="120"/>
      <c r="ULI3" s="120"/>
      <c r="ULJ3" s="120"/>
      <c r="ULK3" s="120"/>
      <c r="ULL3" s="120"/>
      <c r="ULM3" s="120"/>
      <c r="ULN3" s="120"/>
      <c r="ULO3" s="120"/>
      <c r="ULP3" s="120"/>
      <c r="ULQ3" s="120"/>
      <c r="ULR3" s="120"/>
      <c r="ULS3" s="120"/>
      <c r="ULT3" s="120"/>
      <c r="ULU3" s="120"/>
      <c r="ULV3" s="120"/>
      <c r="ULW3" s="120"/>
      <c r="ULX3" s="120"/>
      <c r="ULY3" s="120"/>
      <c r="ULZ3" s="120"/>
      <c r="UMA3" s="120"/>
      <c r="UMB3" s="120"/>
      <c r="UMC3" s="120"/>
      <c r="UMD3" s="120"/>
      <c r="UME3" s="120"/>
      <c r="UMF3" s="120"/>
      <c r="UMG3" s="120"/>
      <c r="UMH3" s="120"/>
      <c r="UMI3" s="120"/>
      <c r="UMJ3" s="120"/>
      <c r="UMK3" s="120"/>
      <c r="UML3" s="120"/>
      <c r="UMM3" s="120"/>
      <c r="UMN3" s="120"/>
      <c r="UMO3" s="120"/>
      <c r="UMP3" s="120"/>
      <c r="UMQ3" s="120"/>
      <c r="UMR3" s="120"/>
      <c r="UMS3" s="120"/>
      <c r="UMT3" s="120"/>
      <c r="UMU3" s="120"/>
      <c r="UMV3" s="120"/>
      <c r="UMW3" s="120"/>
      <c r="UMX3" s="120"/>
      <c r="UMY3" s="120"/>
      <c r="UMZ3" s="120"/>
      <c r="UNA3" s="120"/>
      <c r="UNB3" s="120"/>
      <c r="UNC3" s="120"/>
      <c r="UND3" s="120"/>
      <c r="UNE3" s="120"/>
      <c r="UNF3" s="120"/>
      <c r="UNG3" s="120"/>
      <c r="UNH3" s="120"/>
      <c r="UNI3" s="120"/>
      <c r="UNJ3" s="120"/>
      <c r="UNK3" s="120"/>
      <c r="UNL3" s="120"/>
      <c r="UNM3" s="120"/>
      <c r="UNN3" s="120"/>
      <c r="UNO3" s="120"/>
      <c r="UNP3" s="120"/>
      <c r="UNQ3" s="120"/>
      <c r="UNR3" s="120"/>
      <c r="UNS3" s="120"/>
      <c r="UNT3" s="120"/>
      <c r="UNU3" s="120"/>
      <c r="UNV3" s="120"/>
      <c r="UNW3" s="120"/>
      <c r="UNX3" s="120"/>
      <c r="UNY3" s="120"/>
      <c r="UNZ3" s="120"/>
      <c r="UOA3" s="120"/>
      <c r="UOB3" s="120"/>
      <c r="UOC3" s="120"/>
      <c r="UOD3" s="120"/>
      <c r="UOE3" s="120"/>
      <c r="UOF3" s="120"/>
      <c r="UOG3" s="120"/>
      <c r="UOH3" s="120"/>
      <c r="UOI3" s="120"/>
      <c r="UOJ3" s="120"/>
      <c r="UOK3" s="120"/>
      <c r="UOL3" s="120"/>
      <c r="UOM3" s="120"/>
      <c r="UON3" s="120"/>
      <c r="UOO3" s="120"/>
      <c r="UOP3" s="120"/>
      <c r="UOQ3" s="120"/>
      <c r="UOR3" s="120"/>
      <c r="UOS3" s="120"/>
      <c r="UOT3" s="120"/>
      <c r="UOU3" s="120"/>
      <c r="UOV3" s="120"/>
      <c r="UOW3" s="120"/>
      <c r="UOX3" s="120"/>
      <c r="UOY3" s="120"/>
      <c r="UOZ3" s="120"/>
      <c r="UPA3" s="120"/>
      <c r="UPB3" s="120"/>
      <c r="UPC3" s="120"/>
      <c r="UPD3" s="120"/>
      <c r="UPE3" s="120"/>
      <c r="UPF3" s="120"/>
      <c r="UPG3" s="120"/>
      <c r="UPH3" s="120"/>
      <c r="UPI3" s="120"/>
      <c r="UPJ3" s="120"/>
      <c r="UPK3" s="120"/>
      <c r="UPL3" s="120"/>
      <c r="UPM3" s="120"/>
      <c r="UPN3" s="120"/>
      <c r="UPO3" s="120"/>
      <c r="UPP3" s="120"/>
      <c r="UPQ3" s="120"/>
      <c r="UPR3" s="120"/>
      <c r="UPS3" s="120"/>
      <c r="UPT3" s="120"/>
      <c r="UPU3" s="120"/>
      <c r="UPV3" s="120"/>
      <c r="UPW3" s="120"/>
      <c r="UPX3" s="120"/>
      <c r="UPY3" s="120"/>
      <c r="UPZ3" s="120"/>
      <c r="UQA3" s="120"/>
      <c r="UQB3" s="120"/>
      <c r="UQC3" s="120"/>
      <c r="UQD3" s="120"/>
      <c r="UQE3" s="120"/>
      <c r="UQF3" s="120"/>
      <c r="UQG3" s="120"/>
      <c r="UQH3" s="120"/>
      <c r="UQI3" s="120"/>
      <c r="UQJ3" s="120"/>
      <c r="UQK3" s="120"/>
      <c r="UQL3" s="120"/>
      <c r="UQM3" s="120"/>
      <c r="UQN3" s="120"/>
      <c r="UQO3" s="120"/>
      <c r="UQP3" s="120"/>
      <c r="UQQ3" s="120"/>
      <c r="UQR3" s="120"/>
      <c r="UQS3" s="120"/>
      <c r="UQT3" s="120"/>
      <c r="UQU3" s="120"/>
      <c r="UQV3" s="120"/>
      <c r="UQW3" s="120"/>
      <c r="UQX3" s="120"/>
      <c r="UQY3" s="120"/>
      <c r="UQZ3" s="120"/>
      <c r="URA3" s="120"/>
      <c r="URB3" s="120"/>
      <c r="URC3" s="120"/>
      <c r="URD3" s="120"/>
      <c r="URE3" s="120"/>
      <c r="URF3" s="120"/>
      <c r="URG3" s="120"/>
      <c r="URH3" s="120"/>
      <c r="URI3" s="120"/>
      <c r="URJ3" s="120"/>
      <c r="URK3" s="120"/>
      <c r="URL3" s="120"/>
      <c r="URM3" s="120"/>
      <c r="URN3" s="120"/>
      <c r="URO3" s="120"/>
      <c r="URP3" s="120"/>
      <c r="URQ3" s="120"/>
      <c r="URR3" s="120"/>
      <c r="URS3" s="120"/>
      <c r="URT3" s="120"/>
      <c r="URU3" s="120"/>
      <c r="URV3" s="120"/>
      <c r="URW3" s="120"/>
      <c r="URX3" s="120"/>
      <c r="URY3" s="120"/>
      <c r="URZ3" s="120"/>
      <c r="USA3" s="120"/>
      <c r="USB3" s="120"/>
      <c r="USC3" s="120"/>
      <c r="USD3" s="120"/>
      <c r="USE3" s="120"/>
      <c r="USF3" s="120"/>
      <c r="USG3" s="120"/>
      <c r="USH3" s="120"/>
      <c r="USI3" s="120"/>
      <c r="USJ3" s="120"/>
      <c r="USK3" s="120"/>
      <c r="USL3" s="120"/>
      <c r="USM3" s="120"/>
      <c r="USN3" s="120"/>
      <c r="USO3" s="120"/>
      <c r="USP3" s="120"/>
      <c r="USQ3" s="120"/>
      <c r="USR3" s="120"/>
      <c r="USS3" s="120"/>
      <c r="UST3" s="120"/>
      <c r="USU3" s="120"/>
      <c r="USV3" s="120"/>
      <c r="USW3" s="120"/>
      <c r="USX3" s="120"/>
      <c r="USY3" s="120"/>
      <c r="USZ3" s="120"/>
      <c r="UTA3" s="120"/>
      <c r="UTB3" s="120"/>
      <c r="UTC3" s="120"/>
      <c r="UTD3" s="120"/>
      <c r="UTE3" s="120"/>
      <c r="UTF3" s="120"/>
      <c r="UTG3" s="120"/>
      <c r="UTH3" s="120"/>
      <c r="UTI3" s="120"/>
      <c r="UTJ3" s="120"/>
      <c r="UTK3" s="120"/>
      <c r="UTL3" s="120"/>
      <c r="UTM3" s="120"/>
      <c r="UTN3" s="120"/>
      <c r="UTO3" s="120"/>
      <c r="UTP3" s="120"/>
      <c r="UTQ3" s="120"/>
      <c r="UTR3" s="120"/>
      <c r="UTS3" s="120"/>
      <c r="UTT3" s="120"/>
      <c r="UTU3" s="120"/>
      <c r="UTV3" s="120"/>
      <c r="UTW3" s="120"/>
      <c r="UTX3" s="120"/>
      <c r="UTY3" s="120"/>
      <c r="UTZ3" s="120"/>
      <c r="UUA3" s="120"/>
      <c r="UUB3" s="120"/>
      <c r="UUC3" s="120"/>
      <c r="UUD3" s="120"/>
      <c r="UUE3" s="120"/>
      <c r="UUF3" s="120"/>
      <c r="UUG3" s="120"/>
      <c r="UUH3" s="120"/>
      <c r="UUI3" s="120"/>
      <c r="UUJ3" s="120"/>
      <c r="UUK3" s="120"/>
      <c r="UUL3" s="120"/>
      <c r="UUM3" s="120"/>
      <c r="UUN3" s="120"/>
      <c r="UUO3" s="120"/>
      <c r="UUP3" s="120"/>
      <c r="UUQ3" s="120"/>
      <c r="UUR3" s="120"/>
      <c r="UUS3" s="120"/>
      <c r="UUT3" s="120"/>
      <c r="UUU3" s="120"/>
      <c r="UUV3" s="120"/>
      <c r="UUW3" s="120"/>
      <c r="UUX3" s="120"/>
      <c r="UUY3" s="120"/>
      <c r="UUZ3" s="120"/>
      <c r="UVA3" s="120"/>
      <c r="UVB3" s="120"/>
      <c r="UVC3" s="120"/>
      <c r="UVD3" s="120"/>
      <c r="UVE3" s="120"/>
      <c r="UVF3" s="120"/>
      <c r="UVG3" s="120"/>
      <c r="UVH3" s="120"/>
      <c r="UVI3" s="120"/>
      <c r="UVJ3" s="120"/>
      <c r="UVK3" s="120"/>
      <c r="UVL3" s="120"/>
      <c r="UVM3" s="120"/>
      <c r="UVN3" s="120"/>
      <c r="UVO3" s="120"/>
      <c r="UVP3" s="120"/>
      <c r="UVQ3" s="120"/>
      <c r="UVR3" s="120"/>
      <c r="UVS3" s="120"/>
      <c r="UVT3" s="120"/>
      <c r="UVU3" s="120"/>
      <c r="UVV3" s="120"/>
      <c r="UVW3" s="120"/>
      <c r="UVX3" s="120"/>
      <c r="UVY3" s="120"/>
      <c r="UVZ3" s="120"/>
      <c r="UWA3" s="120"/>
      <c r="UWB3" s="120"/>
      <c r="UWC3" s="120"/>
      <c r="UWD3" s="120"/>
      <c r="UWE3" s="120"/>
      <c r="UWF3" s="120"/>
      <c r="UWG3" s="120"/>
      <c r="UWH3" s="120"/>
      <c r="UWI3" s="120"/>
      <c r="UWJ3" s="120"/>
      <c r="UWK3" s="120"/>
      <c r="UWL3" s="120"/>
      <c r="UWM3" s="120"/>
      <c r="UWN3" s="120"/>
      <c r="UWO3" s="120"/>
      <c r="UWP3" s="120"/>
      <c r="UWQ3" s="120"/>
      <c r="UWR3" s="120"/>
      <c r="UWS3" s="120"/>
      <c r="UWT3" s="120"/>
      <c r="UWU3" s="120"/>
      <c r="UWV3" s="120"/>
      <c r="UWW3" s="120"/>
      <c r="UWX3" s="120"/>
      <c r="UWY3" s="120"/>
      <c r="UWZ3" s="120"/>
      <c r="UXA3" s="120"/>
      <c r="UXB3" s="120"/>
      <c r="UXC3" s="120"/>
      <c r="UXD3" s="120"/>
      <c r="UXE3" s="120"/>
      <c r="UXF3" s="120"/>
      <c r="UXG3" s="120"/>
      <c r="UXH3" s="120"/>
      <c r="UXI3" s="120"/>
      <c r="UXJ3" s="120"/>
      <c r="UXK3" s="120"/>
      <c r="UXL3" s="120"/>
      <c r="UXM3" s="120"/>
      <c r="UXN3" s="120"/>
      <c r="UXO3" s="120"/>
      <c r="UXP3" s="120"/>
      <c r="UXQ3" s="120"/>
      <c r="UXR3" s="120"/>
      <c r="UXS3" s="120"/>
      <c r="UXT3" s="120"/>
      <c r="UXU3" s="120"/>
      <c r="UXV3" s="120"/>
      <c r="UXW3" s="120"/>
      <c r="UXX3" s="120"/>
      <c r="UXY3" s="120"/>
      <c r="UXZ3" s="120"/>
      <c r="UYA3" s="120"/>
      <c r="UYB3" s="120"/>
      <c r="UYC3" s="120"/>
      <c r="UYD3" s="120"/>
      <c r="UYE3" s="120"/>
      <c r="UYF3" s="120"/>
      <c r="UYG3" s="120"/>
      <c r="UYH3" s="120"/>
      <c r="UYI3" s="120"/>
      <c r="UYJ3" s="120"/>
      <c r="UYK3" s="120"/>
      <c r="UYL3" s="120"/>
      <c r="UYM3" s="120"/>
      <c r="UYN3" s="120"/>
      <c r="UYO3" s="120"/>
      <c r="UYP3" s="120"/>
      <c r="UYQ3" s="120"/>
      <c r="UYR3" s="120"/>
      <c r="UYS3" s="120"/>
      <c r="UYT3" s="120"/>
      <c r="UYU3" s="120"/>
      <c r="UYV3" s="120"/>
      <c r="UYW3" s="120"/>
      <c r="UYX3" s="120"/>
      <c r="UYY3" s="120"/>
      <c r="UYZ3" s="120"/>
      <c r="UZA3" s="120"/>
      <c r="UZB3" s="120"/>
      <c r="UZC3" s="120"/>
      <c r="UZD3" s="120"/>
      <c r="UZE3" s="120"/>
      <c r="UZF3" s="120"/>
      <c r="UZG3" s="120"/>
      <c r="UZH3" s="120"/>
      <c r="UZI3" s="120"/>
      <c r="UZJ3" s="120"/>
      <c r="UZK3" s="120"/>
      <c r="UZL3" s="120"/>
      <c r="UZM3" s="120"/>
      <c r="UZN3" s="120"/>
      <c r="UZO3" s="120"/>
      <c r="UZP3" s="120"/>
      <c r="UZQ3" s="120"/>
      <c r="UZR3" s="120"/>
      <c r="UZS3" s="120"/>
      <c r="UZT3" s="120"/>
      <c r="UZU3" s="120"/>
      <c r="UZV3" s="120"/>
      <c r="UZW3" s="120"/>
      <c r="UZX3" s="120"/>
      <c r="UZY3" s="120"/>
      <c r="UZZ3" s="120"/>
      <c r="VAA3" s="120"/>
      <c r="VAB3" s="120"/>
      <c r="VAC3" s="120"/>
      <c r="VAD3" s="120"/>
      <c r="VAE3" s="120"/>
      <c r="VAF3" s="120"/>
      <c r="VAG3" s="120"/>
      <c r="VAH3" s="120"/>
      <c r="VAI3" s="120"/>
      <c r="VAJ3" s="120"/>
      <c r="VAK3" s="120"/>
      <c r="VAL3" s="120"/>
      <c r="VAM3" s="120"/>
      <c r="VAN3" s="120"/>
      <c r="VAO3" s="120"/>
      <c r="VAP3" s="120"/>
      <c r="VAQ3" s="120"/>
      <c r="VAR3" s="120"/>
      <c r="VAS3" s="120"/>
      <c r="VAT3" s="120"/>
      <c r="VAU3" s="120"/>
      <c r="VAV3" s="120"/>
      <c r="VAW3" s="120"/>
      <c r="VAX3" s="120"/>
      <c r="VAY3" s="120"/>
      <c r="VAZ3" s="120"/>
      <c r="VBA3" s="120"/>
      <c r="VBB3" s="120"/>
      <c r="VBC3" s="120"/>
      <c r="VBD3" s="120"/>
      <c r="VBE3" s="120"/>
      <c r="VBF3" s="120"/>
      <c r="VBG3" s="120"/>
      <c r="VBH3" s="120"/>
      <c r="VBI3" s="120"/>
      <c r="VBJ3" s="120"/>
      <c r="VBK3" s="120"/>
      <c r="VBL3" s="120"/>
      <c r="VBM3" s="120"/>
      <c r="VBN3" s="120"/>
      <c r="VBO3" s="120"/>
      <c r="VBP3" s="120"/>
      <c r="VBQ3" s="120"/>
      <c r="VBR3" s="120"/>
      <c r="VBS3" s="120"/>
      <c r="VBT3" s="120"/>
      <c r="VBU3" s="120"/>
      <c r="VBV3" s="120"/>
      <c r="VBW3" s="120"/>
      <c r="VBX3" s="120"/>
      <c r="VBY3" s="120"/>
      <c r="VBZ3" s="120"/>
      <c r="VCA3" s="120"/>
      <c r="VCB3" s="120"/>
      <c r="VCC3" s="120"/>
      <c r="VCD3" s="120"/>
      <c r="VCE3" s="120"/>
      <c r="VCF3" s="120"/>
      <c r="VCG3" s="120"/>
      <c r="VCH3" s="120"/>
      <c r="VCI3" s="120"/>
      <c r="VCJ3" s="120"/>
      <c r="VCK3" s="120"/>
      <c r="VCL3" s="120"/>
      <c r="VCM3" s="120"/>
      <c r="VCN3" s="120"/>
      <c r="VCO3" s="120"/>
      <c r="VCP3" s="120"/>
      <c r="VCQ3" s="120"/>
      <c r="VCR3" s="120"/>
      <c r="VCS3" s="120"/>
      <c r="VCT3" s="120"/>
      <c r="VCU3" s="120"/>
      <c r="VCV3" s="120"/>
      <c r="VCW3" s="120"/>
      <c r="VCX3" s="120"/>
      <c r="VCY3" s="120"/>
      <c r="VCZ3" s="120"/>
      <c r="VDA3" s="120"/>
      <c r="VDB3" s="120"/>
      <c r="VDC3" s="120"/>
      <c r="VDD3" s="120"/>
      <c r="VDE3" s="120"/>
      <c r="VDF3" s="120"/>
      <c r="VDG3" s="120"/>
      <c r="VDH3" s="120"/>
      <c r="VDI3" s="120"/>
      <c r="VDJ3" s="120"/>
      <c r="VDK3" s="120"/>
      <c r="VDL3" s="120"/>
      <c r="VDM3" s="120"/>
      <c r="VDN3" s="120"/>
      <c r="VDO3" s="120"/>
      <c r="VDP3" s="120"/>
      <c r="VDQ3" s="120"/>
      <c r="VDR3" s="120"/>
      <c r="VDS3" s="120"/>
      <c r="VDT3" s="120"/>
      <c r="VDU3" s="120"/>
      <c r="VDV3" s="120"/>
      <c r="VDW3" s="120"/>
      <c r="VDX3" s="120"/>
      <c r="VDY3" s="120"/>
      <c r="VDZ3" s="120"/>
      <c r="VEA3" s="120"/>
      <c r="VEB3" s="120"/>
      <c r="VEC3" s="120"/>
      <c r="VED3" s="120"/>
      <c r="VEE3" s="120"/>
      <c r="VEF3" s="120"/>
      <c r="VEG3" s="120"/>
      <c r="VEH3" s="120"/>
      <c r="VEI3" s="120"/>
      <c r="VEJ3" s="120"/>
      <c r="VEK3" s="120"/>
      <c r="VEL3" s="120"/>
      <c r="VEM3" s="120"/>
      <c r="VEN3" s="120"/>
      <c r="VEO3" s="120"/>
      <c r="VEP3" s="120"/>
      <c r="VEQ3" s="120"/>
      <c r="VER3" s="120"/>
      <c r="VES3" s="120"/>
      <c r="VET3" s="120"/>
      <c r="VEU3" s="120"/>
      <c r="VEV3" s="120"/>
      <c r="VEW3" s="120"/>
      <c r="VEX3" s="120"/>
      <c r="VEY3" s="120"/>
      <c r="VEZ3" s="120"/>
      <c r="VFA3" s="120"/>
      <c r="VFB3" s="120"/>
      <c r="VFC3" s="120"/>
      <c r="VFD3" s="120"/>
      <c r="VFE3" s="120"/>
      <c r="VFF3" s="120"/>
      <c r="VFG3" s="120"/>
      <c r="VFH3" s="120"/>
      <c r="VFI3" s="120"/>
      <c r="VFJ3" s="120"/>
      <c r="VFK3" s="120"/>
      <c r="VFL3" s="120"/>
      <c r="VFM3" s="120"/>
      <c r="VFN3" s="120"/>
      <c r="VFO3" s="120"/>
      <c r="VFP3" s="120"/>
      <c r="VFQ3" s="120"/>
      <c r="VFR3" s="120"/>
      <c r="VFS3" s="120"/>
      <c r="VFT3" s="120"/>
      <c r="VFU3" s="120"/>
      <c r="VFV3" s="120"/>
      <c r="VFW3" s="120"/>
      <c r="VFX3" s="120"/>
      <c r="VFY3" s="120"/>
      <c r="VFZ3" s="120"/>
      <c r="VGA3" s="120"/>
      <c r="VGB3" s="120"/>
      <c r="VGC3" s="120"/>
      <c r="VGD3" s="120"/>
      <c r="VGE3" s="120"/>
      <c r="VGF3" s="120"/>
      <c r="VGG3" s="120"/>
      <c r="VGH3" s="120"/>
      <c r="VGI3" s="120"/>
      <c r="VGJ3" s="120"/>
      <c r="VGK3" s="120"/>
      <c r="VGL3" s="120"/>
      <c r="VGM3" s="120"/>
      <c r="VGN3" s="120"/>
      <c r="VGO3" s="120"/>
      <c r="VGP3" s="120"/>
      <c r="VGQ3" s="120"/>
      <c r="VGR3" s="120"/>
      <c r="VGS3" s="120"/>
      <c r="VGT3" s="120"/>
      <c r="VGU3" s="120"/>
      <c r="VGV3" s="120"/>
      <c r="VGW3" s="120"/>
      <c r="VGX3" s="120"/>
      <c r="VGY3" s="120"/>
      <c r="VGZ3" s="120"/>
      <c r="VHA3" s="120"/>
      <c r="VHB3" s="120"/>
      <c r="VHC3" s="120"/>
      <c r="VHD3" s="120"/>
      <c r="VHE3" s="120"/>
      <c r="VHF3" s="120"/>
      <c r="VHG3" s="120"/>
      <c r="VHH3" s="120"/>
      <c r="VHI3" s="120"/>
      <c r="VHJ3" s="120"/>
      <c r="VHK3" s="120"/>
      <c r="VHL3" s="120"/>
      <c r="VHM3" s="120"/>
      <c r="VHN3" s="120"/>
      <c r="VHO3" s="120"/>
      <c r="VHP3" s="120"/>
      <c r="VHQ3" s="120"/>
      <c r="VHR3" s="120"/>
      <c r="VHS3" s="120"/>
      <c r="VHT3" s="120"/>
      <c r="VHU3" s="120"/>
      <c r="VHV3" s="120"/>
      <c r="VHW3" s="120"/>
      <c r="VHX3" s="120"/>
      <c r="VHY3" s="120"/>
      <c r="VHZ3" s="120"/>
      <c r="VIA3" s="120"/>
      <c r="VIB3" s="120"/>
      <c r="VIC3" s="120"/>
      <c r="VID3" s="120"/>
      <c r="VIE3" s="120"/>
      <c r="VIF3" s="120"/>
      <c r="VIG3" s="120"/>
      <c r="VIH3" s="120"/>
      <c r="VII3" s="120"/>
      <c r="VIJ3" s="120"/>
      <c r="VIK3" s="120"/>
      <c r="VIL3" s="120"/>
      <c r="VIM3" s="120"/>
      <c r="VIN3" s="120"/>
      <c r="VIO3" s="120"/>
      <c r="VIP3" s="120"/>
      <c r="VIQ3" s="120"/>
      <c r="VIR3" s="120"/>
      <c r="VIS3" s="120"/>
      <c r="VIT3" s="120"/>
      <c r="VIU3" s="120"/>
      <c r="VIV3" s="120"/>
      <c r="VIW3" s="120"/>
      <c r="VIX3" s="120"/>
      <c r="VIY3" s="120"/>
      <c r="VIZ3" s="120"/>
      <c r="VJA3" s="120"/>
      <c r="VJB3" s="120"/>
      <c r="VJC3" s="120"/>
      <c r="VJD3" s="120"/>
      <c r="VJE3" s="120"/>
      <c r="VJF3" s="120"/>
      <c r="VJG3" s="120"/>
      <c r="VJH3" s="120"/>
      <c r="VJI3" s="120"/>
      <c r="VJJ3" s="120"/>
      <c r="VJK3" s="120"/>
      <c r="VJL3" s="120"/>
      <c r="VJM3" s="120"/>
      <c r="VJN3" s="120"/>
      <c r="VJO3" s="120"/>
      <c r="VJP3" s="120"/>
      <c r="VJQ3" s="120"/>
      <c r="VJR3" s="120"/>
      <c r="VJS3" s="120"/>
      <c r="VJT3" s="120"/>
      <c r="VJU3" s="120"/>
      <c r="VJV3" s="120"/>
      <c r="VJW3" s="120"/>
      <c r="VJX3" s="120"/>
      <c r="VJY3" s="120"/>
      <c r="VJZ3" s="120"/>
      <c r="VKA3" s="120"/>
      <c r="VKB3" s="120"/>
      <c r="VKC3" s="120"/>
      <c r="VKD3" s="120"/>
      <c r="VKE3" s="120"/>
      <c r="VKF3" s="120"/>
      <c r="VKG3" s="120"/>
      <c r="VKH3" s="120"/>
      <c r="VKI3" s="120"/>
      <c r="VKJ3" s="120"/>
      <c r="VKK3" s="120"/>
      <c r="VKL3" s="120"/>
      <c r="VKM3" s="120"/>
      <c r="VKN3" s="120"/>
      <c r="VKO3" s="120"/>
      <c r="VKP3" s="120"/>
      <c r="VKQ3" s="120"/>
      <c r="VKR3" s="120"/>
      <c r="VKS3" s="120"/>
      <c r="VKT3" s="120"/>
      <c r="VKU3" s="120"/>
      <c r="VKV3" s="120"/>
      <c r="VKW3" s="120"/>
      <c r="VKX3" s="120"/>
      <c r="VKY3" s="120"/>
      <c r="VKZ3" s="120"/>
      <c r="VLA3" s="120"/>
      <c r="VLB3" s="120"/>
      <c r="VLC3" s="120"/>
      <c r="VLD3" s="120"/>
      <c r="VLE3" s="120"/>
      <c r="VLF3" s="120"/>
      <c r="VLG3" s="120"/>
      <c r="VLH3" s="120"/>
      <c r="VLI3" s="120"/>
      <c r="VLJ3" s="120"/>
      <c r="VLK3" s="120"/>
      <c r="VLL3" s="120"/>
      <c r="VLM3" s="120"/>
      <c r="VLN3" s="120"/>
      <c r="VLO3" s="120"/>
      <c r="VLP3" s="120"/>
      <c r="VLQ3" s="120"/>
      <c r="VLR3" s="120"/>
      <c r="VLS3" s="120"/>
      <c r="VLT3" s="120"/>
      <c r="VLU3" s="120"/>
      <c r="VLV3" s="120"/>
      <c r="VLW3" s="120"/>
      <c r="VLX3" s="120"/>
      <c r="VLY3" s="120"/>
      <c r="VLZ3" s="120"/>
      <c r="VMA3" s="120"/>
      <c r="VMB3" s="120"/>
      <c r="VMC3" s="120"/>
      <c r="VMD3" s="120"/>
      <c r="VME3" s="120"/>
      <c r="VMF3" s="120"/>
      <c r="VMG3" s="120"/>
      <c r="VMH3" s="120"/>
      <c r="VMI3" s="120"/>
      <c r="VMJ3" s="120"/>
      <c r="VMK3" s="120"/>
      <c r="VML3" s="120"/>
      <c r="VMM3" s="120"/>
      <c r="VMN3" s="120"/>
      <c r="VMO3" s="120"/>
      <c r="VMP3" s="120"/>
      <c r="VMQ3" s="120"/>
      <c r="VMR3" s="120"/>
      <c r="VMS3" s="120"/>
      <c r="VMT3" s="120"/>
      <c r="VMU3" s="120"/>
      <c r="VMV3" s="120"/>
      <c r="VMW3" s="120"/>
      <c r="VMX3" s="120"/>
      <c r="VMY3" s="120"/>
      <c r="VMZ3" s="120"/>
      <c r="VNA3" s="120"/>
      <c r="VNB3" s="120"/>
      <c r="VNC3" s="120"/>
      <c r="VND3" s="120"/>
      <c r="VNE3" s="120"/>
      <c r="VNF3" s="120"/>
      <c r="VNG3" s="120"/>
      <c r="VNH3" s="120"/>
      <c r="VNI3" s="120"/>
      <c r="VNJ3" s="120"/>
      <c r="VNK3" s="120"/>
      <c r="VNL3" s="120"/>
      <c r="VNM3" s="120"/>
      <c r="VNN3" s="120"/>
      <c r="VNO3" s="120"/>
      <c r="VNP3" s="120"/>
      <c r="VNQ3" s="120"/>
      <c r="VNR3" s="120"/>
      <c r="VNS3" s="120"/>
      <c r="VNT3" s="120"/>
      <c r="VNU3" s="120"/>
      <c r="VNV3" s="120"/>
      <c r="VNW3" s="120"/>
      <c r="VNX3" s="120"/>
      <c r="VNY3" s="120"/>
      <c r="VNZ3" s="120"/>
      <c r="VOA3" s="120"/>
      <c r="VOB3" s="120"/>
      <c r="VOC3" s="120"/>
      <c r="VOD3" s="120"/>
      <c r="VOE3" s="120"/>
      <c r="VOF3" s="120"/>
      <c r="VOG3" s="120"/>
      <c r="VOH3" s="120"/>
      <c r="VOI3" s="120"/>
      <c r="VOJ3" s="120"/>
      <c r="VOK3" s="120"/>
      <c r="VOL3" s="120"/>
      <c r="VOM3" s="120"/>
      <c r="VON3" s="120"/>
      <c r="VOO3" s="120"/>
      <c r="VOP3" s="120"/>
      <c r="VOQ3" s="120"/>
      <c r="VOR3" s="120"/>
      <c r="VOS3" s="120"/>
      <c r="VOT3" s="120"/>
      <c r="VOU3" s="120"/>
      <c r="VOV3" s="120"/>
      <c r="VOW3" s="120"/>
      <c r="VOX3" s="120"/>
      <c r="VOY3" s="120"/>
      <c r="VOZ3" s="120"/>
      <c r="VPA3" s="120"/>
      <c r="VPB3" s="120"/>
      <c r="VPC3" s="120"/>
      <c r="VPD3" s="120"/>
      <c r="VPE3" s="120"/>
      <c r="VPF3" s="120"/>
      <c r="VPG3" s="120"/>
      <c r="VPH3" s="120"/>
      <c r="VPI3" s="120"/>
      <c r="VPJ3" s="120"/>
      <c r="VPK3" s="120"/>
      <c r="VPL3" s="120"/>
      <c r="VPM3" s="120"/>
      <c r="VPN3" s="120"/>
      <c r="VPO3" s="120"/>
      <c r="VPP3" s="120"/>
      <c r="VPQ3" s="120"/>
      <c r="VPR3" s="120"/>
      <c r="VPS3" s="120"/>
      <c r="VPT3" s="120"/>
      <c r="VPU3" s="120"/>
      <c r="VPV3" s="120"/>
      <c r="VPW3" s="120"/>
      <c r="VPX3" s="120"/>
      <c r="VPY3" s="120"/>
      <c r="VPZ3" s="120"/>
      <c r="VQA3" s="120"/>
      <c r="VQB3" s="120"/>
      <c r="VQC3" s="120"/>
      <c r="VQD3" s="120"/>
      <c r="VQE3" s="120"/>
      <c r="VQF3" s="120"/>
      <c r="VQG3" s="120"/>
      <c r="VQH3" s="120"/>
      <c r="VQI3" s="120"/>
      <c r="VQJ3" s="120"/>
      <c r="VQK3" s="120"/>
      <c r="VQL3" s="120"/>
      <c r="VQM3" s="120"/>
      <c r="VQN3" s="120"/>
      <c r="VQO3" s="120"/>
      <c r="VQP3" s="120"/>
      <c r="VQQ3" s="120"/>
      <c r="VQR3" s="120"/>
      <c r="VQS3" s="120"/>
      <c r="VQT3" s="120"/>
      <c r="VQU3" s="120"/>
      <c r="VQV3" s="120"/>
      <c r="VQW3" s="120"/>
      <c r="VQX3" s="120"/>
      <c r="VQY3" s="120"/>
      <c r="VQZ3" s="120"/>
      <c r="VRA3" s="120"/>
      <c r="VRB3" s="120"/>
      <c r="VRC3" s="120"/>
      <c r="VRD3" s="120"/>
      <c r="VRE3" s="120"/>
      <c r="VRF3" s="120"/>
      <c r="VRG3" s="120"/>
      <c r="VRH3" s="120"/>
      <c r="VRI3" s="120"/>
      <c r="VRJ3" s="120"/>
      <c r="VRK3" s="120"/>
      <c r="VRL3" s="120"/>
      <c r="VRM3" s="120"/>
      <c r="VRN3" s="120"/>
      <c r="VRO3" s="120"/>
      <c r="VRP3" s="120"/>
      <c r="VRQ3" s="120"/>
      <c r="VRR3" s="120"/>
      <c r="VRS3" s="120"/>
      <c r="VRT3" s="120"/>
      <c r="VRU3" s="120"/>
      <c r="VRV3" s="120"/>
      <c r="VRW3" s="120"/>
      <c r="VRX3" s="120"/>
      <c r="VRY3" s="120"/>
      <c r="VRZ3" s="120"/>
      <c r="VSA3" s="120"/>
      <c r="VSB3" s="120"/>
      <c r="VSC3" s="120"/>
      <c r="VSD3" s="120"/>
      <c r="VSE3" s="120"/>
      <c r="VSF3" s="120"/>
      <c r="VSG3" s="120"/>
      <c r="VSH3" s="120"/>
      <c r="VSI3" s="120"/>
      <c r="VSJ3" s="120"/>
      <c r="VSK3" s="120"/>
      <c r="VSL3" s="120"/>
      <c r="VSM3" s="120"/>
      <c r="VSN3" s="120"/>
      <c r="VSO3" s="120"/>
      <c r="VSP3" s="120"/>
      <c r="VSQ3" s="120"/>
      <c r="VSR3" s="120"/>
      <c r="VSS3" s="120"/>
      <c r="VST3" s="120"/>
      <c r="VSU3" s="120"/>
      <c r="VSV3" s="120"/>
      <c r="VSW3" s="120"/>
      <c r="VSX3" s="120"/>
      <c r="VSY3" s="120"/>
      <c r="VSZ3" s="120"/>
      <c r="VTA3" s="120"/>
      <c r="VTB3" s="120"/>
      <c r="VTC3" s="120"/>
      <c r="VTD3" s="120"/>
      <c r="VTE3" s="120"/>
      <c r="VTF3" s="120"/>
      <c r="VTG3" s="120"/>
      <c r="VTH3" s="120"/>
      <c r="VTI3" s="120"/>
      <c r="VTJ3" s="120"/>
      <c r="VTK3" s="120"/>
      <c r="VTL3" s="120"/>
      <c r="VTM3" s="120"/>
      <c r="VTN3" s="120"/>
      <c r="VTO3" s="120"/>
      <c r="VTP3" s="120"/>
      <c r="VTQ3" s="120"/>
      <c r="VTR3" s="120"/>
      <c r="VTS3" s="120"/>
      <c r="VTT3" s="120"/>
      <c r="VTU3" s="120"/>
      <c r="VTV3" s="120"/>
      <c r="VTW3" s="120"/>
      <c r="VTX3" s="120"/>
      <c r="VTY3" s="120"/>
      <c r="VTZ3" s="120"/>
      <c r="VUA3" s="120"/>
      <c r="VUB3" s="120"/>
      <c r="VUC3" s="120"/>
      <c r="VUD3" s="120"/>
      <c r="VUE3" s="120"/>
      <c r="VUF3" s="120"/>
      <c r="VUG3" s="120"/>
      <c r="VUH3" s="120"/>
      <c r="VUI3" s="120"/>
      <c r="VUJ3" s="120"/>
      <c r="VUK3" s="120"/>
      <c r="VUL3" s="120"/>
      <c r="VUM3" s="120"/>
      <c r="VUN3" s="120"/>
      <c r="VUO3" s="120"/>
      <c r="VUP3" s="120"/>
      <c r="VUQ3" s="120"/>
      <c r="VUR3" s="120"/>
      <c r="VUS3" s="120"/>
      <c r="VUT3" s="120"/>
      <c r="VUU3" s="120"/>
      <c r="VUV3" s="120"/>
      <c r="VUW3" s="120"/>
      <c r="VUX3" s="120"/>
      <c r="VUY3" s="120"/>
      <c r="VUZ3" s="120"/>
      <c r="VVA3" s="120"/>
      <c r="VVB3" s="120"/>
      <c r="VVC3" s="120"/>
      <c r="VVD3" s="120"/>
      <c r="VVE3" s="120"/>
      <c r="VVF3" s="120"/>
      <c r="VVG3" s="120"/>
      <c r="VVH3" s="120"/>
      <c r="VVI3" s="120"/>
      <c r="VVJ3" s="120"/>
      <c r="VVK3" s="120"/>
      <c r="VVL3" s="120"/>
      <c r="VVM3" s="120"/>
      <c r="VVN3" s="120"/>
      <c r="VVO3" s="120"/>
      <c r="VVP3" s="120"/>
      <c r="VVQ3" s="120"/>
      <c r="VVR3" s="120"/>
      <c r="VVS3" s="120"/>
      <c r="VVT3" s="120"/>
      <c r="VVU3" s="120"/>
      <c r="VVV3" s="120"/>
      <c r="VVW3" s="120"/>
      <c r="VVX3" s="120"/>
      <c r="VVY3" s="120"/>
      <c r="VVZ3" s="120"/>
      <c r="VWA3" s="120"/>
      <c r="VWB3" s="120"/>
      <c r="VWC3" s="120"/>
      <c r="VWD3" s="120"/>
      <c r="VWE3" s="120"/>
      <c r="VWF3" s="120"/>
      <c r="VWG3" s="120"/>
      <c r="VWH3" s="120"/>
      <c r="VWI3" s="120"/>
      <c r="VWJ3" s="120"/>
      <c r="VWK3" s="120"/>
      <c r="VWL3" s="120"/>
      <c r="VWM3" s="120"/>
      <c r="VWN3" s="120"/>
      <c r="VWO3" s="120"/>
      <c r="VWP3" s="120"/>
      <c r="VWQ3" s="120"/>
      <c r="VWR3" s="120"/>
      <c r="VWS3" s="120"/>
      <c r="VWT3" s="120"/>
      <c r="VWU3" s="120"/>
      <c r="VWV3" s="120"/>
      <c r="VWW3" s="120"/>
      <c r="VWX3" s="120"/>
      <c r="VWY3" s="120"/>
      <c r="VWZ3" s="120"/>
      <c r="VXA3" s="120"/>
      <c r="VXB3" s="120"/>
      <c r="VXC3" s="120"/>
      <c r="VXD3" s="120"/>
      <c r="VXE3" s="120"/>
      <c r="VXF3" s="120"/>
      <c r="VXG3" s="120"/>
      <c r="VXH3" s="120"/>
      <c r="VXI3" s="120"/>
      <c r="VXJ3" s="120"/>
      <c r="VXK3" s="120"/>
      <c r="VXL3" s="120"/>
      <c r="VXM3" s="120"/>
      <c r="VXN3" s="120"/>
      <c r="VXO3" s="120"/>
      <c r="VXP3" s="120"/>
      <c r="VXQ3" s="120"/>
      <c r="VXR3" s="120"/>
      <c r="VXS3" s="120"/>
      <c r="VXT3" s="120"/>
      <c r="VXU3" s="120"/>
      <c r="VXV3" s="120"/>
      <c r="VXW3" s="120"/>
      <c r="VXX3" s="120"/>
      <c r="VXY3" s="120"/>
      <c r="VXZ3" s="120"/>
      <c r="VYA3" s="120"/>
      <c r="VYB3" s="120"/>
      <c r="VYC3" s="120"/>
      <c r="VYD3" s="120"/>
      <c r="VYE3" s="120"/>
      <c r="VYF3" s="120"/>
      <c r="VYG3" s="120"/>
      <c r="VYH3" s="120"/>
      <c r="VYI3" s="120"/>
      <c r="VYJ3" s="120"/>
      <c r="VYK3" s="120"/>
      <c r="VYL3" s="120"/>
      <c r="VYM3" s="120"/>
      <c r="VYN3" s="120"/>
      <c r="VYO3" s="120"/>
      <c r="VYP3" s="120"/>
      <c r="VYQ3" s="120"/>
      <c r="VYR3" s="120"/>
      <c r="VYS3" s="120"/>
      <c r="VYT3" s="120"/>
      <c r="VYU3" s="120"/>
      <c r="VYV3" s="120"/>
      <c r="VYW3" s="120"/>
      <c r="VYX3" s="120"/>
      <c r="VYY3" s="120"/>
      <c r="VYZ3" s="120"/>
      <c r="VZA3" s="120"/>
      <c r="VZB3" s="120"/>
      <c r="VZC3" s="120"/>
      <c r="VZD3" s="120"/>
      <c r="VZE3" s="120"/>
      <c r="VZF3" s="120"/>
      <c r="VZG3" s="120"/>
      <c r="VZH3" s="120"/>
      <c r="VZI3" s="120"/>
      <c r="VZJ3" s="120"/>
      <c r="VZK3" s="120"/>
      <c r="VZL3" s="120"/>
      <c r="VZM3" s="120"/>
      <c r="VZN3" s="120"/>
      <c r="VZO3" s="120"/>
      <c r="VZP3" s="120"/>
      <c r="VZQ3" s="120"/>
      <c r="VZR3" s="120"/>
      <c r="VZS3" s="120"/>
      <c r="VZT3" s="120"/>
      <c r="VZU3" s="120"/>
      <c r="VZV3" s="120"/>
      <c r="VZW3" s="120"/>
      <c r="VZX3" s="120"/>
      <c r="VZY3" s="120"/>
      <c r="VZZ3" s="120"/>
      <c r="WAA3" s="120"/>
      <c r="WAB3" s="120"/>
      <c r="WAC3" s="120"/>
      <c r="WAD3" s="120"/>
      <c r="WAE3" s="120"/>
      <c r="WAF3" s="120"/>
      <c r="WAG3" s="120"/>
      <c r="WAH3" s="120"/>
      <c r="WAI3" s="120"/>
      <c r="WAJ3" s="120"/>
      <c r="WAK3" s="120"/>
      <c r="WAL3" s="120"/>
      <c r="WAM3" s="120"/>
      <c r="WAN3" s="120"/>
      <c r="WAO3" s="120"/>
      <c r="WAP3" s="120"/>
      <c r="WAQ3" s="120"/>
      <c r="WAR3" s="120"/>
      <c r="WAS3" s="120"/>
      <c r="WAT3" s="120"/>
      <c r="WAU3" s="120"/>
      <c r="WAV3" s="120"/>
      <c r="WAW3" s="120"/>
      <c r="WAX3" s="120"/>
      <c r="WAY3" s="120"/>
      <c r="WAZ3" s="120"/>
      <c r="WBA3" s="120"/>
      <c r="WBB3" s="120"/>
      <c r="WBC3" s="120"/>
      <c r="WBD3" s="120"/>
      <c r="WBE3" s="120"/>
      <c r="WBF3" s="120"/>
      <c r="WBG3" s="120"/>
      <c r="WBH3" s="120"/>
      <c r="WBI3" s="120"/>
      <c r="WBJ3" s="120"/>
      <c r="WBK3" s="120"/>
      <c r="WBL3" s="120"/>
      <c r="WBM3" s="120"/>
      <c r="WBN3" s="120"/>
      <c r="WBO3" s="120"/>
      <c r="WBP3" s="120"/>
      <c r="WBQ3" s="120"/>
      <c r="WBR3" s="120"/>
      <c r="WBS3" s="120"/>
      <c r="WBT3" s="120"/>
      <c r="WBU3" s="120"/>
      <c r="WBV3" s="120"/>
      <c r="WBW3" s="120"/>
      <c r="WBX3" s="120"/>
      <c r="WBY3" s="120"/>
      <c r="WBZ3" s="120"/>
      <c r="WCA3" s="120"/>
      <c r="WCB3" s="120"/>
      <c r="WCC3" s="120"/>
      <c r="WCD3" s="120"/>
      <c r="WCE3" s="120"/>
      <c r="WCF3" s="120"/>
      <c r="WCG3" s="120"/>
      <c r="WCH3" s="120"/>
      <c r="WCI3" s="120"/>
      <c r="WCJ3" s="120"/>
      <c r="WCK3" s="120"/>
      <c r="WCL3" s="120"/>
      <c r="WCM3" s="120"/>
      <c r="WCN3" s="120"/>
      <c r="WCO3" s="120"/>
      <c r="WCP3" s="120"/>
      <c r="WCQ3" s="120"/>
      <c r="WCR3" s="120"/>
      <c r="WCS3" s="120"/>
      <c r="WCT3" s="120"/>
      <c r="WCU3" s="120"/>
      <c r="WCV3" s="120"/>
      <c r="WCW3" s="120"/>
      <c r="WCX3" s="120"/>
      <c r="WCY3" s="120"/>
      <c r="WCZ3" s="120"/>
      <c r="WDA3" s="120"/>
      <c r="WDB3" s="120"/>
      <c r="WDC3" s="120"/>
      <c r="WDD3" s="120"/>
      <c r="WDE3" s="120"/>
      <c r="WDF3" s="120"/>
      <c r="WDG3" s="120"/>
      <c r="WDH3" s="120"/>
      <c r="WDI3" s="120"/>
      <c r="WDJ3" s="120"/>
      <c r="WDK3" s="120"/>
      <c r="WDL3" s="120"/>
      <c r="WDM3" s="120"/>
      <c r="WDN3" s="120"/>
      <c r="WDO3" s="120"/>
      <c r="WDP3" s="120"/>
      <c r="WDQ3" s="120"/>
      <c r="WDR3" s="120"/>
      <c r="WDS3" s="120"/>
      <c r="WDT3" s="120"/>
      <c r="WDU3" s="120"/>
      <c r="WDV3" s="120"/>
      <c r="WDW3" s="120"/>
      <c r="WDX3" s="120"/>
      <c r="WDY3" s="120"/>
      <c r="WDZ3" s="120"/>
      <c r="WEA3" s="120"/>
      <c r="WEB3" s="120"/>
      <c r="WEC3" s="120"/>
      <c r="WED3" s="120"/>
      <c r="WEE3" s="120"/>
      <c r="WEF3" s="120"/>
      <c r="WEG3" s="120"/>
      <c r="WEH3" s="120"/>
      <c r="WEI3" s="120"/>
      <c r="WEJ3" s="120"/>
      <c r="WEK3" s="120"/>
      <c r="WEL3" s="120"/>
      <c r="WEM3" s="120"/>
      <c r="WEN3" s="120"/>
      <c r="WEO3" s="120"/>
      <c r="WEP3" s="120"/>
      <c r="WEQ3" s="120"/>
      <c r="WER3" s="120"/>
      <c r="WES3" s="120"/>
      <c r="WET3" s="120"/>
      <c r="WEU3" s="120"/>
      <c r="WEV3" s="120"/>
      <c r="WEW3" s="120"/>
      <c r="WEX3" s="120"/>
      <c r="WEY3" s="120"/>
      <c r="WEZ3" s="120"/>
      <c r="WFA3" s="120"/>
      <c r="WFB3" s="120"/>
      <c r="WFC3" s="120"/>
      <c r="WFD3" s="120"/>
      <c r="WFE3" s="120"/>
      <c r="WFF3" s="120"/>
      <c r="WFG3" s="120"/>
      <c r="WFH3" s="120"/>
      <c r="WFI3" s="120"/>
      <c r="WFJ3" s="120"/>
      <c r="WFK3" s="120"/>
      <c r="WFL3" s="120"/>
      <c r="WFM3" s="120"/>
      <c r="WFN3" s="120"/>
      <c r="WFO3" s="120"/>
      <c r="WFP3" s="120"/>
      <c r="WFQ3" s="120"/>
      <c r="WFR3" s="120"/>
      <c r="WFS3" s="120"/>
      <c r="WFT3" s="120"/>
      <c r="WFU3" s="120"/>
      <c r="WFV3" s="120"/>
      <c r="WFW3" s="120"/>
      <c r="WFX3" s="120"/>
      <c r="WFY3" s="120"/>
      <c r="WFZ3" s="120"/>
      <c r="WGA3" s="120"/>
      <c r="WGB3" s="120"/>
      <c r="WGC3" s="120"/>
      <c r="WGD3" s="120"/>
      <c r="WGE3" s="120"/>
      <c r="WGF3" s="120"/>
      <c r="WGG3" s="120"/>
      <c r="WGH3" s="120"/>
      <c r="WGI3" s="120"/>
      <c r="WGJ3" s="120"/>
      <c r="WGK3" s="120"/>
      <c r="WGL3" s="120"/>
      <c r="WGM3" s="120"/>
      <c r="WGN3" s="120"/>
      <c r="WGO3" s="120"/>
      <c r="WGP3" s="120"/>
      <c r="WGQ3" s="120"/>
      <c r="WGR3" s="120"/>
      <c r="WGS3" s="120"/>
      <c r="WGT3" s="120"/>
      <c r="WGU3" s="120"/>
      <c r="WGV3" s="120"/>
      <c r="WGW3" s="120"/>
      <c r="WGX3" s="120"/>
      <c r="WGY3" s="120"/>
      <c r="WGZ3" s="120"/>
      <c r="WHA3" s="120"/>
      <c r="WHB3" s="120"/>
      <c r="WHC3" s="120"/>
      <c r="WHD3" s="120"/>
      <c r="WHE3" s="120"/>
      <c r="WHF3" s="120"/>
      <c r="WHG3" s="120"/>
      <c r="WHH3" s="120"/>
      <c r="WHI3" s="120"/>
      <c r="WHJ3" s="120"/>
      <c r="WHK3" s="120"/>
      <c r="WHL3" s="120"/>
      <c r="WHM3" s="120"/>
      <c r="WHN3" s="120"/>
      <c r="WHO3" s="120"/>
      <c r="WHP3" s="120"/>
      <c r="WHQ3" s="120"/>
      <c r="WHR3" s="120"/>
      <c r="WHS3" s="120"/>
      <c r="WHT3" s="120"/>
      <c r="WHU3" s="120"/>
      <c r="WHV3" s="120"/>
      <c r="WHW3" s="120"/>
      <c r="WHX3" s="120"/>
      <c r="WHY3" s="120"/>
      <c r="WHZ3" s="120"/>
      <c r="WIA3" s="120"/>
      <c r="WIB3" s="120"/>
      <c r="WIC3" s="120"/>
      <c r="WID3" s="120"/>
      <c r="WIE3" s="120"/>
      <c r="WIF3" s="120"/>
      <c r="WIG3" s="120"/>
      <c r="WIH3" s="120"/>
      <c r="WII3" s="120"/>
      <c r="WIJ3" s="120"/>
      <c r="WIK3" s="120"/>
      <c r="WIL3" s="120"/>
      <c r="WIM3" s="120"/>
      <c r="WIN3" s="120"/>
      <c r="WIO3" s="120"/>
      <c r="WIP3" s="120"/>
      <c r="WIQ3" s="120"/>
      <c r="WIR3" s="120"/>
      <c r="WIS3" s="120"/>
      <c r="WIT3" s="120"/>
      <c r="WIU3" s="120"/>
      <c r="WIV3" s="120"/>
      <c r="WIW3" s="120"/>
      <c r="WIX3" s="120"/>
      <c r="WIY3" s="120"/>
      <c r="WIZ3" s="120"/>
      <c r="WJA3" s="120"/>
      <c r="WJB3" s="120"/>
      <c r="WJC3" s="120"/>
      <c r="WJD3" s="120"/>
      <c r="WJE3" s="120"/>
      <c r="WJF3" s="120"/>
      <c r="WJG3" s="120"/>
      <c r="WJH3" s="120"/>
      <c r="WJI3" s="120"/>
      <c r="WJJ3" s="120"/>
      <c r="WJK3" s="120"/>
      <c r="WJL3" s="120"/>
      <c r="WJM3" s="120"/>
      <c r="WJN3" s="120"/>
      <c r="WJO3" s="120"/>
      <c r="WJP3" s="120"/>
      <c r="WJQ3" s="120"/>
      <c r="WJR3" s="120"/>
      <c r="WJS3" s="120"/>
      <c r="WJT3" s="120"/>
      <c r="WJU3" s="120"/>
      <c r="WJV3" s="120"/>
      <c r="WJW3" s="120"/>
      <c r="WJX3" s="120"/>
      <c r="WJY3" s="120"/>
      <c r="WJZ3" s="120"/>
      <c r="WKA3" s="120"/>
      <c r="WKB3" s="120"/>
      <c r="WKC3" s="120"/>
      <c r="WKD3" s="120"/>
      <c r="WKE3" s="120"/>
      <c r="WKF3" s="120"/>
      <c r="WKG3" s="120"/>
      <c r="WKH3" s="120"/>
      <c r="WKI3" s="120"/>
      <c r="WKJ3" s="120"/>
      <c r="WKK3" s="120"/>
      <c r="WKL3" s="120"/>
      <c r="WKM3" s="120"/>
      <c r="WKN3" s="120"/>
      <c r="WKO3" s="120"/>
      <c r="WKP3" s="120"/>
      <c r="WKQ3" s="120"/>
      <c r="WKR3" s="120"/>
      <c r="WKS3" s="120"/>
      <c r="WKT3" s="120"/>
      <c r="WKU3" s="120"/>
      <c r="WKV3" s="120"/>
      <c r="WKW3" s="120"/>
      <c r="WKX3" s="120"/>
      <c r="WKY3" s="120"/>
      <c r="WKZ3" s="120"/>
      <c r="WLA3" s="120"/>
      <c r="WLB3" s="120"/>
      <c r="WLC3" s="120"/>
      <c r="WLD3" s="120"/>
      <c r="WLE3" s="120"/>
      <c r="WLF3" s="120"/>
      <c r="WLG3" s="120"/>
      <c r="WLH3" s="120"/>
      <c r="WLI3" s="120"/>
      <c r="WLJ3" s="120"/>
      <c r="WLK3" s="120"/>
      <c r="WLL3" s="120"/>
      <c r="WLM3" s="120"/>
      <c r="WLN3" s="120"/>
      <c r="WLO3" s="120"/>
      <c r="WLP3" s="120"/>
      <c r="WLQ3" s="120"/>
      <c r="WLR3" s="120"/>
      <c r="WLS3" s="120"/>
      <c r="WLT3" s="120"/>
      <c r="WLU3" s="120"/>
      <c r="WLV3" s="120"/>
      <c r="WLW3" s="120"/>
      <c r="WLX3" s="120"/>
      <c r="WLY3" s="120"/>
      <c r="WLZ3" s="120"/>
      <c r="WMA3" s="120"/>
      <c r="WMB3" s="120"/>
      <c r="WMC3" s="120"/>
      <c r="WMD3" s="120"/>
      <c r="WME3" s="120"/>
      <c r="WMF3" s="120"/>
      <c r="WMG3" s="120"/>
      <c r="WMH3" s="120"/>
      <c r="WMI3" s="120"/>
      <c r="WMJ3" s="120"/>
      <c r="WMK3" s="120"/>
      <c r="WML3" s="120"/>
      <c r="WMM3" s="120"/>
      <c r="WMN3" s="120"/>
      <c r="WMO3" s="120"/>
      <c r="WMP3" s="120"/>
      <c r="WMQ3" s="120"/>
      <c r="WMR3" s="120"/>
      <c r="WMS3" s="120"/>
      <c r="WMT3" s="120"/>
      <c r="WMU3" s="120"/>
      <c r="WMV3" s="120"/>
      <c r="WMW3" s="120"/>
      <c r="WMX3" s="120"/>
      <c r="WMY3" s="120"/>
      <c r="WMZ3" s="120"/>
      <c r="WNA3" s="120"/>
      <c r="WNB3" s="120"/>
      <c r="WNC3" s="120"/>
      <c r="WND3" s="120"/>
      <c r="WNE3" s="120"/>
      <c r="WNF3" s="120"/>
      <c r="WNG3" s="120"/>
      <c r="WNH3" s="120"/>
      <c r="WNI3" s="120"/>
      <c r="WNJ3" s="120"/>
      <c r="WNK3" s="120"/>
      <c r="WNL3" s="120"/>
      <c r="WNM3" s="120"/>
      <c r="WNN3" s="120"/>
      <c r="WNO3" s="120"/>
      <c r="WNP3" s="120"/>
      <c r="WNQ3" s="120"/>
      <c r="WNR3" s="120"/>
      <c r="WNS3" s="120"/>
      <c r="WNT3" s="120"/>
      <c r="WNU3" s="120"/>
      <c r="WNV3" s="120"/>
      <c r="WNW3" s="120"/>
      <c r="WNX3" s="120"/>
      <c r="WNY3" s="120"/>
      <c r="WNZ3" s="120"/>
      <c r="WOA3" s="120"/>
      <c r="WOB3" s="120"/>
      <c r="WOC3" s="120"/>
      <c r="WOD3" s="120"/>
      <c r="WOE3" s="120"/>
      <c r="WOF3" s="120"/>
      <c r="WOG3" s="120"/>
      <c r="WOH3" s="120"/>
      <c r="WOI3" s="120"/>
      <c r="WOJ3" s="120"/>
      <c r="WOK3" s="120"/>
      <c r="WOL3" s="120"/>
      <c r="WOM3" s="120"/>
      <c r="WON3" s="120"/>
      <c r="WOO3" s="120"/>
      <c r="WOP3" s="120"/>
      <c r="WOQ3" s="120"/>
      <c r="WOR3" s="120"/>
      <c r="WOS3" s="120"/>
      <c r="WOT3" s="120"/>
      <c r="WOU3" s="120"/>
      <c r="WOV3" s="120"/>
      <c r="WOW3" s="120"/>
      <c r="WOX3" s="120"/>
      <c r="WOY3" s="120"/>
      <c r="WOZ3" s="120"/>
      <c r="WPA3" s="120"/>
      <c r="WPB3" s="120"/>
      <c r="WPC3" s="120"/>
      <c r="WPD3" s="120"/>
      <c r="WPE3" s="120"/>
      <c r="WPF3" s="120"/>
      <c r="WPG3" s="120"/>
      <c r="WPH3" s="120"/>
      <c r="WPI3" s="120"/>
      <c r="WPJ3" s="120"/>
      <c r="WPK3" s="120"/>
      <c r="WPL3" s="120"/>
      <c r="WPM3" s="120"/>
      <c r="WPN3" s="120"/>
      <c r="WPO3" s="120"/>
      <c r="WPP3" s="120"/>
      <c r="WPQ3" s="120"/>
      <c r="WPR3" s="120"/>
      <c r="WPS3" s="120"/>
      <c r="WPT3" s="120"/>
      <c r="WPU3" s="120"/>
      <c r="WPV3" s="120"/>
      <c r="WPW3" s="120"/>
      <c r="WPX3" s="120"/>
      <c r="WPY3" s="120"/>
      <c r="WPZ3" s="120"/>
      <c r="WQA3" s="120"/>
      <c r="WQB3" s="120"/>
      <c r="WQC3" s="120"/>
      <c r="WQD3" s="120"/>
      <c r="WQE3" s="120"/>
      <c r="WQF3" s="120"/>
      <c r="WQG3" s="120"/>
      <c r="WQH3" s="120"/>
      <c r="WQI3" s="120"/>
      <c r="WQJ3" s="120"/>
      <c r="WQK3" s="120"/>
      <c r="WQL3" s="120"/>
      <c r="WQM3" s="120"/>
      <c r="WQN3" s="120"/>
      <c r="WQO3" s="120"/>
      <c r="WQP3" s="120"/>
      <c r="WQQ3" s="120"/>
      <c r="WQR3" s="120"/>
      <c r="WQS3" s="120"/>
      <c r="WQT3" s="120"/>
      <c r="WQU3" s="120"/>
      <c r="WQV3" s="120"/>
      <c r="WQW3" s="120"/>
      <c r="WQX3" s="120"/>
      <c r="WQY3" s="120"/>
      <c r="WQZ3" s="120"/>
      <c r="WRA3" s="120"/>
      <c r="WRB3" s="120"/>
      <c r="WRC3" s="120"/>
      <c r="WRD3" s="120"/>
      <c r="WRE3" s="120"/>
      <c r="WRF3" s="120"/>
      <c r="WRG3" s="120"/>
      <c r="WRH3" s="120"/>
      <c r="WRI3" s="120"/>
      <c r="WRJ3" s="120"/>
      <c r="WRK3" s="120"/>
      <c r="WRL3" s="120"/>
      <c r="WRM3" s="120"/>
      <c r="WRN3" s="120"/>
      <c r="WRO3" s="120"/>
      <c r="WRP3" s="120"/>
      <c r="WRQ3" s="120"/>
      <c r="WRR3" s="120"/>
      <c r="WRS3" s="120"/>
      <c r="WRT3" s="120"/>
      <c r="WRU3" s="120"/>
      <c r="WRV3" s="120"/>
      <c r="WRW3" s="120"/>
      <c r="WRX3" s="120"/>
      <c r="WRY3" s="120"/>
      <c r="WRZ3" s="120"/>
      <c r="WSA3" s="120"/>
      <c r="WSB3" s="120"/>
      <c r="WSC3" s="120"/>
      <c r="WSD3" s="120"/>
      <c r="WSE3" s="120"/>
      <c r="WSF3" s="120"/>
      <c r="WSG3" s="120"/>
      <c r="WSH3" s="120"/>
      <c r="WSI3" s="120"/>
      <c r="WSJ3" s="120"/>
      <c r="WSK3" s="120"/>
      <c r="WSL3" s="120"/>
      <c r="WSM3" s="120"/>
      <c r="WSN3" s="120"/>
      <c r="WSO3" s="120"/>
      <c r="WSP3" s="120"/>
      <c r="WSQ3" s="120"/>
      <c r="WSR3" s="120"/>
      <c r="WSS3" s="120"/>
      <c r="WST3" s="120"/>
      <c r="WSU3" s="120"/>
      <c r="WSV3" s="120"/>
      <c r="WSW3" s="120"/>
      <c r="WSX3" s="120"/>
      <c r="WSY3" s="120"/>
      <c r="WSZ3" s="120"/>
      <c r="WTA3" s="120"/>
      <c r="WTB3" s="120"/>
      <c r="WTC3" s="120"/>
      <c r="WTD3" s="120"/>
      <c r="WTE3" s="120"/>
      <c r="WTF3" s="120"/>
      <c r="WTG3" s="120"/>
      <c r="WTH3" s="120"/>
      <c r="WTI3" s="120"/>
      <c r="WTJ3" s="120"/>
      <c r="WTK3" s="120"/>
      <c r="WTL3" s="120"/>
      <c r="WTM3" s="120"/>
      <c r="WTN3" s="120"/>
      <c r="WTO3" s="120"/>
      <c r="WTP3" s="120"/>
      <c r="WTQ3" s="120"/>
      <c r="WTR3" s="120"/>
      <c r="WTS3" s="120"/>
      <c r="WTT3" s="120"/>
      <c r="WTU3" s="120"/>
      <c r="WTV3" s="120"/>
      <c r="WTW3" s="120"/>
      <c r="WTX3" s="120"/>
      <c r="WTY3" s="120"/>
      <c r="WTZ3" s="120"/>
      <c r="WUA3" s="120"/>
      <c r="WUB3" s="120"/>
      <c r="WUC3" s="120"/>
      <c r="WUD3" s="120"/>
      <c r="WUE3" s="120"/>
      <c r="WUF3" s="120"/>
      <c r="WUG3" s="120"/>
      <c r="WUH3" s="120"/>
      <c r="WUI3" s="120"/>
      <c r="WUJ3" s="120"/>
      <c r="WUK3" s="120"/>
      <c r="WUL3" s="120"/>
      <c r="WUM3" s="120"/>
      <c r="WUN3" s="120"/>
      <c r="WUO3" s="120"/>
      <c r="WUP3" s="120"/>
      <c r="WUQ3" s="120"/>
      <c r="WUR3" s="120"/>
      <c r="WUS3" s="120"/>
      <c r="WUT3" s="120"/>
      <c r="WUU3" s="120"/>
      <c r="WUV3" s="120"/>
      <c r="WUW3" s="120"/>
      <c r="WUX3" s="120"/>
      <c r="WUY3" s="120"/>
      <c r="WUZ3" s="120"/>
      <c r="WVA3" s="120"/>
      <c r="WVB3" s="120"/>
      <c r="WVC3" s="120"/>
      <c r="WVD3" s="120"/>
      <c r="WVE3" s="120"/>
      <c r="WVF3" s="120"/>
      <c r="WVG3" s="120"/>
      <c r="WVH3" s="120"/>
      <c r="WVI3" s="120"/>
      <c r="WVJ3" s="120"/>
      <c r="WVK3" s="120"/>
      <c r="WVL3" s="120"/>
      <c r="WVM3" s="120"/>
      <c r="WVN3" s="120"/>
      <c r="WVO3" s="120"/>
      <c r="WVP3" s="120"/>
      <c r="WVQ3" s="120"/>
      <c r="WVR3" s="120"/>
      <c r="WVS3" s="120"/>
      <c r="WVT3" s="120"/>
      <c r="WVU3" s="120"/>
      <c r="WVV3" s="120"/>
      <c r="WVW3" s="120"/>
      <c r="WVX3" s="120"/>
      <c r="WVY3" s="120"/>
      <c r="WVZ3" s="120"/>
      <c r="WWA3" s="120"/>
      <c r="WWB3" s="120"/>
      <c r="WWC3" s="120"/>
      <c r="WWD3" s="120"/>
      <c r="WWE3" s="120"/>
      <c r="WWF3" s="120"/>
      <c r="WWG3" s="120"/>
      <c r="WWH3" s="120"/>
      <c r="WWI3" s="120"/>
      <c r="WWJ3" s="120"/>
      <c r="WWK3" s="120"/>
      <c r="WWL3" s="120"/>
      <c r="WWM3" s="120"/>
      <c r="WWN3" s="120"/>
      <c r="WWO3" s="120"/>
      <c r="WWP3" s="120"/>
      <c r="WWQ3" s="120"/>
      <c r="WWR3" s="120"/>
      <c r="WWS3" s="120"/>
      <c r="WWT3" s="120"/>
      <c r="WWU3" s="120"/>
      <c r="WWV3" s="120"/>
      <c r="WWW3" s="120"/>
      <c r="WWX3" s="120"/>
      <c r="WWY3" s="120"/>
      <c r="WWZ3" s="120"/>
      <c r="WXA3" s="120"/>
      <c r="WXB3" s="120"/>
      <c r="WXC3" s="120"/>
      <c r="WXD3" s="120"/>
      <c r="WXE3" s="120"/>
      <c r="WXF3" s="120"/>
      <c r="WXG3" s="120"/>
      <c r="WXH3" s="120"/>
      <c r="WXI3" s="120"/>
      <c r="WXJ3" s="120"/>
      <c r="WXK3" s="120"/>
      <c r="WXL3" s="120"/>
      <c r="WXM3" s="120"/>
      <c r="WXN3" s="120"/>
      <c r="WXO3" s="120"/>
      <c r="WXP3" s="120"/>
      <c r="WXQ3" s="120"/>
      <c r="WXR3" s="120"/>
      <c r="WXS3" s="120"/>
      <c r="WXT3" s="120"/>
      <c r="WXU3" s="120"/>
      <c r="WXV3" s="120"/>
      <c r="WXW3" s="120"/>
      <c r="WXX3" s="120"/>
      <c r="WXY3" s="120"/>
      <c r="WXZ3" s="120"/>
      <c r="WYA3" s="120"/>
      <c r="WYB3" s="120"/>
      <c r="WYC3" s="120"/>
      <c r="WYD3" s="120"/>
      <c r="WYE3" s="120"/>
      <c r="WYF3" s="120"/>
      <c r="WYG3" s="120"/>
      <c r="WYH3" s="120"/>
      <c r="WYI3" s="120"/>
      <c r="WYJ3" s="120"/>
      <c r="WYK3" s="120"/>
      <c r="WYL3" s="120"/>
      <c r="WYM3" s="120"/>
      <c r="WYN3" s="120"/>
      <c r="WYO3" s="120"/>
      <c r="WYP3" s="120"/>
      <c r="WYQ3" s="120"/>
      <c r="WYR3" s="120"/>
      <c r="WYS3" s="120"/>
      <c r="WYT3" s="120"/>
      <c r="WYU3" s="120"/>
      <c r="WYV3" s="120"/>
      <c r="WYW3" s="120"/>
      <c r="WYX3" s="120"/>
      <c r="WYY3" s="120"/>
      <c r="WYZ3" s="120"/>
      <c r="WZA3" s="120"/>
      <c r="WZB3" s="120"/>
      <c r="WZC3" s="120"/>
      <c r="WZD3" s="120"/>
      <c r="WZE3" s="120"/>
      <c r="WZF3" s="120"/>
      <c r="WZG3" s="120"/>
      <c r="WZH3" s="120"/>
      <c r="WZI3" s="120"/>
      <c r="WZJ3" s="120"/>
      <c r="WZK3" s="120"/>
      <c r="WZL3" s="120"/>
      <c r="WZM3" s="120"/>
      <c r="WZN3" s="120"/>
      <c r="WZO3" s="120"/>
      <c r="WZP3" s="120"/>
      <c r="WZQ3" s="120"/>
      <c r="WZR3" s="120"/>
      <c r="WZS3" s="120"/>
      <c r="WZT3" s="120"/>
      <c r="WZU3" s="120"/>
      <c r="WZV3" s="120"/>
      <c r="WZW3" s="120"/>
      <c r="WZX3" s="120"/>
      <c r="WZY3" s="120"/>
      <c r="WZZ3" s="120"/>
      <c r="XAA3" s="120"/>
      <c r="XAB3" s="120"/>
      <c r="XAC3" s="120"/>
      <c r="XAD3" s="120"/>
      <c r="XAE3" s="120"/>
      <c r="XAF3" s="120"/>
      <c r="XAG3" s="120"/>
      <c r="XAH3" s="120"/>
      <c r="XAI3" s="120"/>
      <c r="XAJ3" s="120"/>
      <c r="XAK3" s="120"/>
      <c r="XAL3" s="120"/>
      <c r="XAM3" s="120"/>
      <c r="XAN3" s="120"/>
      <c r="XAO3" s="120"/>
      <c r="XAP3" s="120"/>
      <c r="XAQ3" s="120"/>
      <c r="XAR3" s="120"/>
      <c r="XAS3" s="120"/>
      <c r="XAT3" s="120"/>
      <c r="XAU3" s="120"/>
      <c r="XAV3" s="120"/>
      <c r="XAW3" s="120"/>
      <c r="XAX3" s="120"/>
      <c r="XAY3" s="120"/>
      <c r="XAZ3" s="120"/>
      <c r="XBA3" s="120"/>
      <c r="XBB3" s="120"/>
      <c r="XBC3" s="120"/>
      <c r="XBD3" s="120"/>
      <c r="XBE3" s="120"/>
      <c r="XBF3" s="120"/>
      <c r="XBG3" s="120"/>
      <c r="XBH3" s="120"/>
      <c r="XBI3" s="120"/>
      <c r="XBJ3" s="120"/>
      <c r="XBK3" s="120"/>
      <c r="XBL3" s="120"/>
      <c r="XBM3" s="120"/>
      <c r="XBN3" s="120"/>
      <c r="XBO3" s="120"/>
      <c r="XBP3" s="120"/>
      <c r="XBQ3" s="120"/>
      <c r="XBR3" s="120"/>
      <c r="XBS3" s="120"/>
      <c r="XBT3" s="120"/>
      <c r="XBU3" s="120"/>
      <c r="XBV3" s="120"/>
      <c r="XBW3" s="120"/>
      <c r="XBX3" s="120"/>
      <c r="XBY3" s="120"/>
      <c r="XBZ3" s="120"/>
      <c r="XCA3" s="120"/>
      <c r="XCB3" s="120"/>
      <c r="XCC3" s="120"/>
      <c r="XCD3" s="120"/>
      <c r="XCE3" s="120"/>
      <c r="XCF3" s="120"/>
      <c r="XCG3" s="120"/>
      <c r="XCH3" s="120"/>
      <c r="XCI3" s="120"/>
      <c r="XCJ3" s="120"/>
      <c r="XCK3" s="120"/>
      <c r="XCL3" s="120"/>
      <c r="XCM3" s="120"/>
      <c r="XCN3" s="120"/>
      <c r="XCO3" s="120"/>
      <c r="XCP3" s="120"/>
      <c r="XCQ3" s="120"/>
      <c r="XCR3" s="120"/>
      <c r="XCS3" s="120"/>
      <c r="XCT3" s="120"/>
      <c r="XCU3" s="120"/>
      <c r="XCV3" s="120"/>
      <c r="XCW3" s="120"/>
      <c r="XCX3" s="120"/>
      <c r="XCY3" s="120"/>
      <c r="XCZ3" s="120"/>
      <c r="XDA3" s="120"/>
      <c r="XDB3" s="120"/>
      <c r="XDC3" s="120"/>
      <c r="XDD3" s="120"/>
      <c r="XDE3" s="120"/>
      <c r="XDF3" s="120"/>
      <c r="XDG3" s="120"/>
      <c r="XDH3" s="120"/>
      <c r="XDI3" s="120"/>
      <c r="XDJ3" s="120"/>
      <c r="XDK3" s="120"/>
      <c r="XDL3" s="120"/>
      <c r="XDM3" s="120"/>
      <c r="XDN3" s="120"/>
      <c r="XDO3" s="120"/>
      <c r="XDP3" s="120"/>
      <c r="XDQ3" s="120"/>
      <c r="XDR3" s="120"/>
      <c r="XDS3" s="120"/>
      <c r="XDT3" s="120"/>
      <c r="XDU3" s="120"/>
      <c r="XDV3" s="120"/>
      <c r="XDW3" s="120"/>
      <c r="XDX3" s="120"/>
      <c r="XDY3" s="120"/>
      <c r="XDZ3" s="120"/>
      <c r="XEA3" s="120"/>
      <c r="XEB3" s="120"/>
      <c r="XEC3" s="120"/>
      <c r="XED3" s="120"/>
      <c r="XEE3" s="120"/>
      <c r="XEF3" s="120"/>
      <c r="XEG3" s="120"/>
      <c r="XEH3" s="120"/>
      <c r="XEI3" s="120"/>
      <c r="XEJ3" s="120"/>
      <c r="XEK3" s="120"/>
      <c r="XEL3" s="120"/>
      <c r="XEM3" s="120"/>
      <c r="XEN3" s="120"/>
      <c r="XEO3" s="120"/>
      <c r="XEP3" s="120"/>
      <c r="XEQ3" s="120"/>
      <c r="XER3" s="120"/>
      <c r="XES3" s="120"/>
      <c r="XET3" s="120"/>
      <c r="XEU3" s="120"/>
      <c r="XEV3" s="120"/>
      <c r="XEW3" s="120"/>
      <c r="XEX3" s="120"/>
      <c r="XEY3" s="120"/>
      <c r="XEZ3" s="120"/>
      <c r="XFA3" s="120"/>
      <c r="XFB3" s="120"/>
      <c r="XFC3" s="120"/>
      <c r="XFD3" s="120"/>
    </row>
    <row r="4" spans="1:16384" ht="15" customHeight="1" thickBot="1">
      <c r="C4" s="41"/>
      <c r="D4" s="42"/>
      <c r="E4" s="42"/>
      <c r="F4" s="42"/>
    </row>
    <row r="5" spans="1:16384" ht="30" customHeight="1" thickTop="1" thickBot="1">
      <c r="C5" s="34" t="s">
        <v>35</v>
      </c>
      <c r="D5" s="34" t="s">
        <v>36</v>
      </c>
      <c r="F5" s="133" t="s">
        <v>43</v>
      </c>
      <c r="G5" s="134"/>
      <c r="I5" s="133" t="s">
        <v>49</v>
      </c>
      <c r="J5" s="134"/>
    </row>
    <row r="6" spans="1:16384" ht="30" customHeight="1" thickBot="1">
      <c r="B6" s="52">
        <f t="shared" ref="B6:B69" si="0">IF(C6="",0,D6+E6)</f>
        <v>10000.000001</v>
      </c>
      <c r="C6" s="35" t="s">
        <v>89</v>
      </c>
      <c r="D6" s="69">
        <v>10000</v>
      </c>
      <c r="E6" s="52">
        <v>9.9999999999999995E-7</v>
      </c>
      <c r="F6" s="80" t="s">
        <v>44</v>
      </c>
      <c r="G6" s="81" t="s">
        <v>45</v>
      </c>
      <c r="I6" s="80" t="s">
        <v>44</v>
      </c>
      <c r="J6" s="81" t="s">
        <v>45</v>
      </c>
    </row>
    <row r="7" spans="1:16384" ht="30" customHeight="1">
      <c r="B7" s="52">
        <f t="shared" si="0"/>
        <v>600.00000199999999</v>
      </c>
      <c r="C7" s="35" t="s">
        <v>90</v>
      </c>
      <c r="D7" s="69">
        <v>600</v>
      </c>
      <c r="E7" s="52">
        <v>1.9999999999999999E-6</v>
      </c>
      <c r="F7" s="135" t="s">
        <v>46</v>
      </c>
      <c r="G7" s="138">
        <f>IF(ISERROR(SUMPRODUCT(CAD_PROD!D6:D506,CAD_PROD!E6:E506)/SUM(CAD_PROD!E6:E506)),"",SUMPRODUCT(CAD_PROD!D6:D506,CAD_PROD!E6:E506)/SUM(CAD_PROD!E6:E506))</f>
        <v>77.1875</v>
      </c>
      <c r="I7" s="150" t="s">
        <v>95</v>
      </c>
      <c r="J7" s="147">
        <f>SUM(D6:D50)</f>
        <v>13000</v>
      </c>
    </row>
    <row r="8" spans="1:16384" ht="30" customHeight="1">
      <c r="B8" s="52">
        <f t="shared" si="0"/>
        <v>700.00000299999999</v>
      </c>
      <c r="C8" s="77" t="s">
        <v>91</v>
      </c>
      <c r="D8" s="75">
        <v>700</v>
      </c>
      <c r="E8" s="52">
        <v>3.0000000000000001E-6</v>
      </c>
      <c r="F8" s="136"/>
      <c r="G8" s="139"/>
      <c r="I8" s="151"/>
      <c r="J8" s="148"/>
    </row>
    <row r="9" spans="1:16384" ht="30" customHeight="1" thickBot="1">
      <c r="B9" s="52">
        <f t="shared" si="0"/>
        <v>800.00000399999999</v>
      </c>
      <c r="C9" s="77" t="s">
        <v>92</v>
      </c>
      <c r="D9" s="75">
        <v>800</v>
      </c>
      <c r="E9" s="52">
        <v>3.9999999999999998E-6</v>
      </c>
      <c r="F9" s="137"/>
      <c r="G9" s="140"/>
      <c r="I9" s="152"/>
      <c r="J9" s="149"/>
    </row>
    <row r="10" spans="1:16384" ht="30" customHeight="1">
      <c r="B10" s="52">
        <f t="shared" si="0"/>
        <v>900.00000499999999</v>
      </c>
      <c r="C10" s="77" t="s">
        <v>93</v>
      </c>
      <c r="D10" s="75">
        <v>900</v>
      </c>
      <c r="E10" s="52">
        <v>5.0000000000000004E-6</v>
      </c>
      <c r="F10" s="141" t="s">
        <v>47</v>
      </c>
      <c r="G10" s="144">
        <f>IF(ISERROR(SUMPRODUCT(CAD_CUST!L6:L505,CAD_PROD!E6:E505)/SUM(CAD_PROD!E6:E505)),"",SUMPRODUCT(CAD_CUST!L6:L505,CAD_PROD!E6:E505)/SUM(CAD_PROD!E6:E505))</f>
        <v>33.809375000000003</v>
      </c>
      <c r="I10" s="131" t="s">
        <v>96</v>
      </c>
      <c r="J10" s="154">
        <f>IF(ISERROR(J7/(G10/G7)),"",J7/(G10/G7))</f>
        <v>29679.267954524443</v>
      </c>
    </row>
    <row r="11" spans="1:16384" ht="30" customHeight="1">
      <c r="B11" s="52">
        <f t="shared" si="0"/>
        <v>0</v>
      </c>
      <c r="C11" s="77"/>
      <c r="D11" s="75"/>
      <c r="E11" s="52">
        <v>6.0000000000000002E-6</v>
      </c>
      <c r="F11" s="142"/>
      <c r="G11" s="145"/>
      <c r="I11" s="153"/>
      <c r="J11" s="155"/>
    </row>
    <row r="12" spans="1:16384" ht="30" customHeight="1" thickBot="1">
      <c r="B12" s="52">
        <f t="shared" si="0"/>
        <v>0</v>
      </c>
      <c r="C12" s="77"/>
      <c r="D12" s="75"/>
      <c r="E12" s="52">
        <v>6.9999999999999999E-6</v>
      </c>
      <c r="F12" s="143"/>
      <c r="G12" s="146"/>
      <c r="I12" s="132"/>
      <c r="J12" s="156"/>
    </row>
    <row r="13" spans="1:16384" ht="30" customHeight="1" thickBot="1">
      <c r="B13" s="52">
        <f t="shared" si="0"/>
        <v>0</v>
      </c>
      <c r="C13" s="77"/>
      <c r="D13" s="75"/>
      <c r="E13" s="52">
        <v>7.9999999999999996E-6</v>
      </c>
      <c r="F13" s="82" t="s">
        <v>94</v>
      </c>
      <c r="G13" s="48">
        <f>IF(ISERROR(SUMPRODUCT(CAD_CUST!$H$6:$H$505,CAD_PROD!E6:E505)),"",SUMPRODUCT(CAD_CUST!$H$6:$H$505,CAD_PROD!E6:E505))</f>
        <v>13881</v>
      </c>
      <c r="I13" s="131" t="s">
        <v>97</v>
      </c>
      <c r="J13" s="129">
        <f>IF(ISERROR(J10/G7),"",J10/G7)</f>
        <v>384.50873463351508</v>
      </c>
    </row>
    <row r="14" spans="1:16384" ht="30" customHeight="1" thickBot="1">
      <c r="B14" s="52">
        <f t="shared" si="0"/>
        <v>0</v>
      </c>
      <c r="C14" s="77"/>
      <c r="D14" s="75"/>
      <c r="E14" s="52">
        <v>9.0000000000000002E-6</v>
      </c>
      <c r="F14" s="82" t="s">
        <v>48</v>
      </c>
      <c r="G14" s="48">
        <f>G13/SUM(CAD_PROD!C6:E505)</f>
        <v>20.717910447761195</v>
      </c>
      <c r="I14" s="132"/>
      <c r="J14" s="130"/>
    </row>
    <row r="15" spans="1:16384" ht="30" customHeight="1">
      <c r="B15" s="52">
        <f t="shared" si="0"/>
        <v>0</v>
      </c>
      <c r="C15" s="77"/>
      <c r="D15" s="75"/>
      <c r="E15" s="52">
        <v>1.0000000000000001E-5</v>
      </c>
      <c r="F15" s="83"/>
      <c r="G15" s="83"/>
    </row>
    <row r="16" spans="1:16384" ht="30" customHeight="1">
      <c r="B16" s="52">
        <f t="shared" si="0"/>
        <v>0</v>
      </c>
      <c r="C16" s="77"/>
      <c r="D16" s="75"/>
      <c r="E16" s="52">
        <v>1.1E-5</v>
      </c>
    </row>
    <row r="17" spans="2:5" ht="30" customHeight="1">
      <c r="B17" s="52">
        <f t="shared" si="0"/>
        <v>0</v>
      </c>
      <c r="C17" s="77"/>
      <c r="D17" s="75"/>
      <c r="E17" s="52">
        <v>1.2E-5</v>
      </c>
    </row>
    <row r="18" spans="2:5" ht="30" customHeight="1">
      <c r="B18" s="52">
        <f t="shared" si="0"/>
        <v>0</v>
      </c>
      <c r="C18" s="77"/>
      <c r="D18" s="75"/>
      <c r="E18" s="52">
        <v>1.2999999999999999E-5</v>
      </c>
    </row>
    <row r="19" spans="2:5" ht="30" customHeight="1">
      <c r="B19" s="52">
        <f t="shared" si="0"/>
        <v>0</v>
      </c>
      <c r="C19" s="77"/>
      <c r="D19" s="75"/>
      <c r="E19" s="52">
        <v>1.4E-5</v>
      </c>
    </row>
    <row r="20" spans="2:5" ht="30" customHeight="1">
      <c r="B20" s="52">
        <f t="shared" si="0"/>
        <v>0</v>
      </c>
      <c r="C20" s="77"/>
      <c r="D20" s="75"/>
      <c r="E20" s="52">
        <v>1.5E-5</v>
      </c>
    </row>
    <row r="21" spans="2:5" ht="30" customHeight="1">
      <c r="B21" s="52">
        <f t="shared" si="0"/>
        <v>0</v>
      </c>
      <c r="C21" s="77"/>
      <c r="D21" s="75"/>
      <c r="E21" s="52">
        <v>1.5999999999999999E-5</v>
      </c>
    </row>
    <row r="22" spans="2:5" ht="30" customHeight="1">
      <c r="B22" s="52">
        <f t="shared" si="0"/>
        <v>0</v>
      </c>
      <c r="C22" s="77"/>
      <c r="D22" s="75"/>
      <c r="E22" s="52">
        <v>1.7E-5</v>
      </c>
    </row>
    <row r="23" spans="2:5" ht="30" customHeight="1">
      <c r="B23" s="52">
        <f t="shared" si="0"/>
        <v>0</v>
      </c>
      <c r="C23" s="77"/>
      <c r="D23" s="75"/>
      <c r="E23" s="52">
        <v>1.8E-5</v>
      </c>
    </row>
    <row r="24" spans="2:5" ht="30" customHeight="1">
      <c r="B24" s="52">
        <f t="shared" si="0"/>
        <v>0</v>
      </c>
      <c r="C24" s="77"/>
      <c r="D24" s="75"/>
      <c r="E24" s="52">
        <v>1.9000000000000001E-5</v>
      </c>
    </row>
    <row r="25" spans="2:5" ht="30" customHeight="1">
      <c r="B25" s="52">
        <f t="shared" si="0"/>
        <v>0</v>
      </c>
      <c r="C25" s="77"/>
      <c r="D25" s="75"/>
      <c r="E25" s="52">
        <v>2.0000000000000002E-5</v>
      </c>
    </row>
    <row r="26" spans="2:5" ht="30" customHeight="1">
      <c r="B26" s="52">
        <f t="shared" si="0"/>
        <v>0</v>
      </c>
      <c r="C26" s="77"/>
      <c r="D26" s="75"/>
      <c r="E26" s="52">
        <v>2.0999999999999999E-5</v>
      </c>
    </row>
    <row r="27" spans="2:5" ht="30" customHeight="1">
      <c r="B27" s="52">
        <f t="shared" si="0"/>
        <v>0</v>
      </c>
      <c r="C27" s="77"/>
      <c r="D27" s="75"/>
      <c r="E27" s="52">
        <v>2.1999999999999999E-5</v>
      </c>
    </row>
    <row r="28" spans="2:5" ht="30" customHeight="1">
      <c r="B28" s="52">
        <f t="shared" si="0"/>
        <v>0</v>
      </c>
      <c r="C28" s="77"/>
      <c r="D28" s="75"/>
      <c r="E28" s="52">
        <v>2.3E-5</v>
      </c>
    </row>
    <row r="29" spans="2:5" ht="30" customHeight="1">
      <c r="B29" s="52">
        <f t="shared" si="0"/>
        <v>0</v>
      </c>
      <c r="C29" s="77"/>
      <c r="D29" s="75"/>
      <c r="E29" s="52">
        <v>2.4000000000000001E-5</v>
      </c>
    </row>
    <row r="30" spans="2:5" ht="30" customHeight="1">
      <c r="B30" s="52">
        <f t="shared" si="0"/>
        <v>0</v>
      </c>
      <c r="C30" s="77"/>
      <c r="D30" s="75"/>
      <c r="E30" s="52">
        <v>2.5000000000000001E-5</v>
      </c>
    </row>
    <row r="31" spans="2:5" ht="30" customHeight="1">
      <c r="B31" s="52">
        <f t="shared" si="0"/>
        <v>0</v>
      </c>
      <c r="C31" s="77"/>
      <c r="D31" s="75"/>
      <c r="E31" s="52">
        <v>2.5999999999999998E-5</v>
      </c>
    </row>
    <row r="32" spans="2:5" ht="30" customHeight="1">
      <c r="B32" s="52">
        <f t="shared" si="0"/>
        <v>0</v>
      </c>
      <c r="C32" s="77"/>
      <c r="D32" s="75"/>
      <c r="E32" s="52">
        <v>2.6999999999999999E-5</v>
      </c>
    </row>
    <row r="33" spans="2:5" ht="30" customHeight="1">
      <c r="B33" s="52">
        <f t="shared" si="0"/>
        <v>0</v>
      </c>
      <c r="C33" s="77"/>
      <c r="D33" s="75"/>
      <c r="E33" s="52">
        <v>2.8E-5</v>
      </c>
    </row>
    <row r="34" spans="2:5" ht="30" customHeight="1">
      <c r="B34" s="52">
        <f t="shared" si="0"/>
        <v>0</v>
      </c>
      <c r="C34" s="77"/>
      <c r="D34" s="75"/>
      <c r="E34" s="52">
        <v>2.9E-5</v>
      </c>
    </row>
    <row r="35" spans="2:5" ht="30" customHeight="1">
      <c r="B35" s="52">
        <f t="shared" si="0"/>
        <v>0</v>
      </c>
      <c r="C35" s="77"/>
      <c r="D35" s="75"/>
      <c r="E35" s="52">
        <v>3.0000000000000001E-5</v>
      </c>
    </row>
    <row r="36" spans="2:5" ht="30" customHeight="1">
      <c r="B36" s="52">
        <f t="shared" si="0"/>
        <v>0</v>
      </c>
      <c r="C36" s="77"/>
      <c r="D36" s="75"/>
      <c r="E36" s="52">
        <v>3.1000000000000001E-5</v>
      </c>
    </row>
    <row r="37" spans="2:5" ht="30" customHeight="1">
      <c r="B37" s="52">
        <f t="shared" si="0"/>
        <v>0</v>
      </c>
      <c r="C37" s="77"/>
      <c r="D37" s="75"/>
      <c r="E37" s="52">
        <v>3.1999999999999999E-5</v>
      </c>
    </row>
    <row r="38" spans="2:5" ht="30" customHeight="1">
      <c r="B38" s="52">
        <f t="shared" si="0"/>
        <v>0</v>
      </c>
      <c r="C38" s="77"/>
      <c r="D38" s="75"/>
      <c r="E38" s="52">
        <v>3.3000000000000003E-5</v>
      </c>
    </row>
    <row r="39" spans="2:5" ht="30" customHeight="1">
      <c r="B39" s="52">
        <f t="shared" si="0"/>
        <v>0</v>
      </c>
      <c r="C39" s="77"/>
      <c r="D39" s="75"/>
      <c r="E39" s="52">
        <v>3.4E-5</v>
      </c>
    </row>
    <row r="40" spans="2:5" ht="30" customHeight="1">
      <c r="B40" s="52">
        <f t="shared" si="0"/>
        <v>0</v>
      </c>
      <c r="C40" s="77"/>
      <c r="D40" s="75"/>
      <c r="E40" s="52">
        <v>3.4999999999999997E-5</v>
      </c>
    </row>
    <row r="41" spans="2:5" ht="30" customHeight="1">
      <c r="B41" s="52">
        <f t="shared" si="0"/>
        <v>0</v>
      </c>
      <c r="C41" s="77"/>
      <c r="D41" s="75"/>
      <c r="E41" s="52">
        <v>3.6000000000000001E-5</v>
      </c>
    </row>
    <row r="42" spans="2:5" ht="30" customHeight="1">
      <c r="B42" s="52">
        <f t="shared" si="0"/>
        <v>0</v>
      </c>
      <c r="C42" s="77"/>
      <c r="D42" s="75"/>
      <c r="E42" s="52">
        <v>3.6999999999999998E-5</v>
      </c>
    </row>
    <row r="43" spans="2:5" ht="30" customHeight="1">
      <c r="B43" s="52">
        <f t="shared" si="0"/>
        <v>0</v>
      </c>
      <c r="C43" s="77"/>
      <c r="D43" s="75"/>
      <c r="E43" s="52">
        <v>3.8000000000000002E-5</v>
      </c>
    </row>
    <row r="44" spans="2:5" ht="30" customHeight="1">
      <c r="B44" s="52">
        <f t="shared" si="0"/>
        <v>0</v>
      </c>
      <c r="C44" s="77"/>
      <c r="D44" s="75"/>
      <c r="E44" s="52">
        <v>3.8999999999999999E-5</v>
      </c>
    </row>
    <row r="45" spans="2:5" ht="30" customHeight="1">
      <c r="B45" s="52">
        <f t="shared" si="0"/>
        <v>0</v>
      </c>
      <c r="C45" s="77"/>
      <c r="D45" s="75"/>
      <c r="E45" s="52">
        <v>4.0000000000000003E-5</v>
      </c>
    </row>
    <row r="46" spans="2:5" ht="30" customHeight="1">
      <c r="B46" s="52">
        <f t="shared" si="0"/>
        <v>0</v>
      </c>
      <c r="C46" s="77"/>
      <c r="D46" s="75"/>
      <c r="E46" s="52">
        <v>4.1E-5</v>
      </c>
    </row>
    <row r="47" spans="2:5" ht="30" customHeight="1">
      <c r="B47" s="52">
        <f t="shared" si="0"/>
        <v>0</v>
      </c>
      <c r="C47" s="77"/>
      <c r="D47" s="75"/>
      <c r="E47" s="52">
        <v>4.1999999999999998E-5</v>
      </c>
    </row>
    <row r="48" spans="2:5" ht="30" customHeight="1">
      <c r="B48" s="52">
        <f t="shared" si="0"/>
        <v>0</v>
      </c>
      <c r="C48" s="77"/>
      <c r="D48" s="75"/>
      <c r="E48" s="52">
        <v>4.3000000000000002E-5</v>
      </c>
    </row>
    <row r="49" spans="2:5" ht="30" customHeight="1">
      <c r="B49" s="52">
        <f t="shared" si="0"/>
        <v>0</v>
      </c>
      <c r="C49" s="77"/>
      <c r="D49" s="75"/>
      <c r="E49" s="52">
        <v>4.3999999999999999E-5</v>
      </c>
    </row>
    <row r="50" spans="2:5" ht="30" customHeight="1">
      <c r="B50" s="52">
        <f t="shared" si="0"/>
        <v>0</v>
      </c>
      <c r="C50" s="77"/>
      <c r="D50" s="75"/>
      <c r="E50" s="52">
        <v>4.5000000000000003E-5</v>
      </c>
    </row>
    <row r="51" spans="2:5" ht="30" customHeight="1">
      <c r="B51" s="52">
        <f t="shared" si="0"/>
        <v>0</v>
      </c>
      <c r="C51" s="77"/>
      <c r="D51" s="75"/>
      <c r="E51" s="52">
        <v>4.6E-5</v>
      </c>
    </row>
    <row r="52" spans="2:5" ht="30" customHeight="1">
      <c r="B52" s="52">
        <f t="shared" si="0"/>
        <v>0</v>
      </c>
      <c r="C52" s="77"/>
      <c r="D52" s="75"/>
      <c r="E52" s="52">
        <v>4.6999999999999997E-5</v>
      </c>
    </row>
    <row r="53" spans="2:5" ht="30" customHeight="1">
      <c r="B53" s="52">
        <f t="shared" si="0"/>
        <v>0</v>
      </c>
      <c r="C53" s="77"/>
      <c r="D53" s="75"/>
      <c r="E53" s="52">
        <v>4.8000000000000001E-5</v>
      </c>
    </row>
    <row r="54" spans="2:5" ht="30" customHeight="1">
      <c r="B54" s="52">
        <f t="shared" si="0"/>
        <v>0</v>
      </c>
      <c r="C54" s="77"/>
      <c r="D54" s="75"/>
      <c r="E54" s="52">
        <v>4.8999999999999998E-5</v>
      </c>
    </row>
    <row r="55" spans="2:5" ht="30" customHeight="1">
      <c r="B55" s="52">
        <f t="shared" si="0"/>
        <v>0</v>
      </c>
      <c r="C55" s="77"/>
      <c r="D55" s="75"/>
      <c r="E55" s="52">
        <v>5.0000000000000002E-5</v>
      </c>
    </row>
    <row r="56" spans="2:5" ht="30" customHeight="1">
      <c r="B56" s="52">
        <f t="shared" si="0"/>
        <v>0</v>
      </c>
      <c r="C56" s="77"/>
      <c r="D56" s="75"/>
      <c r="E56" s="52">
        <v>5.1E-5</v>
      </c>
    </row>
    <row r="57" spans="2:5" ht="30" customHeight="1">
      <c r="B57" s="52">
        <f t="shared" si="0"/>
        <v>0</v>
      </c>
      <c r="C57" s="77"/>
      <c r="D57" s="75"/>
      <c r="E57" s="52">
        <v>5.1999999999999997E-5</v>
      </c>
    </row>
    <row r="58" spans="2:5" ht="30" customHeight="1">
      <c r="B58" s="52">
        <f t="shared" si="0"/>
        <v>0</v>
      </c>
      <c r="C58" s="77"/>
      <c r="D58" s="75"/>
      <c r="E58" s="52">
        <v>5.3000000000000001E-5</v>
      </c>
    </row>
    <row r="59" spans="2:5" ht="30" customHeight="1">
      <c r="B59" s="52">
        <f t="shared" si="0"/>
        <v>0</v>
      </c>
      <c r="C59" s="77"/>
      <c r="D59" s="75"/>
      <c r="E59" s="52">
        <v>5.3999999999999998E-5</v>
      </c>
    </row>
    <row r="60" spans="2:5" ht="30" customHeight="1">
      <c r="B60" s="52">
        <f t="shared" si="0"/>
        <v>0</v>
      </c>
      <c r="C60" s="77"/>
      <c r="D60" s="75"/>
      <c r="E60" s="52">
        <v>5.5000000000000002E-5</v>
      </c>
    </row>
    <row r="61" spans="2:5" ht="30" customHeight="1">
      <c r="B61" s="52">
        <f t="shared" si="0"/>
        <v>0</v>
      </c>
      <c r="C61" s="77"/>
      <c r="D61" s="75"/>
      <c r="E61" s="52">
        <v>5.5999999999999999E-5</v>
      </c>
    </row>
    <row r="62" spans="2:5" ht="30" customHeight="1">
      <c r="B62" s="52">
        <f t="shared" si="0"/>
        <v>0</v>
      </c>
      <c r="C62" s="77"/>
      <c r="D62" s="75"/>
      <c r="E62" s="52">
        <v>5.7000000000000003E-5</v>
      </c>
    </row>
    <row r="63" spans="2:5" ht="30" customHeight="1">
      <c r="B63" s="52">
        <f t="shared" si="0"/>
        <v>0</v>
      </c>
      <c r="C63" s="77"/>
      <c r="D63" s="75"/>
      <c r="E63" s="52">
        <v>5.8E-5</v>
      </c>
    </row>
    <row r="64" spans="2:5" ht="30" customHeight="1">
      <c r="B64" s="52">
        <f t="shared" si="0"/>
        <v>0</v>
      </c>
      <c r="C64" s="77"/>
      <c r="D64" s="75"/>
      <c r="E64" s="52">
        <v>5.8999999999999998E-5</v>
      </c>
    </row>
    <row r="65" spans="2:5" ht="30" customHeight="1">
      <c r="B65" s="52">
        <f t="shared" si="0"/>
        <v>0</v>
      </c>
      <c r="C65" s="77"/>
      <c r="D65" s="75"/>
      <c r="E65" s="52">
        <v>6.0000000000000002E-5</v>
      </c>
    </row>
    <row r="66" spans="2:5" ht="30" customHeight="1">
      <c r="B66" s="52">
        <f t="shared" si="0"/>
        <v>0</v>
      </c>
      <c r="C66" s="77"/>
      <c r="D66" s="75"/>
      <c r="E66" s="52">
        <v>6.0999999999999999E-5</v>
      </c>
    </row>
    <row r="67" spans="2:5" ht="30" customHeight="1">
      <c r="B67" s="52">
        <f t="shared" si="0"/>
        <v>0</v>
      </c>
      <c r="C67" s="77"/>
      <c r="D67" s="75"/>
      <c r="E67" s="52">
        <v>6.2000000000000003E-5</v>
      </c>
    </row>
    <row r="68" spans="2:5" ht="30" customHeight="1">
      <c r="B68" s="52">
        <f t="shared" si="0"/>
        <v>0</v>
      </c>
      <c r="C68" s="77"/>
      <c r="D68" s="75"/>
      <c r="E68" s="52">
        <v>6.3E-5</v>
      </c>
    </row>
    <row r="69" spans="2:5" ht="30" customHeight="1">
      <c r="B69" s="52">
        <f t="shared" si="0"/>
        <v>0</v>
      </c>
      <c r="C69" s="77"/>
      <c r="D69" s="75"/>
      <c r="E69" s="52">
        <v>6.3999999999999997E-5</v>
      </c>
    </row>
    <row r="70" spans="2:5" ht="30" customHeight="1">
      <c r="B70" s="52">
        <f t="shared" ref="B70:B133" si="1">IF(C70="",0,D70+E70)</f>
        <v>0</v>
      </c>
      <c r="C70" s="77"/>
      <c r="D70" s="75"/>
      <c r="E70" s="52">
        <v>6.4999999999999994E-5</v>
      </c>
    </row>
    <row r="71" spans="2:5" ht="30" customHeight="1">
      <c r="B71" s="52">
        <f t="shared" si="1"/>
        <v>0</v>
      </c>
      <c r="C71" s="77"/>
      <c r="D71" s="75"/>
      <c r="E71" s="52">
        <v>6.6000000000000005E-5</v>
      </c>
    </row>
    <row r="72" spans="2:5" ht="30" customHeight="1">
      <c r="B72" s="52">
        <f t="shared" si="1"/>
        <v>0</v>
      </c>
      <c r="C72" s="77"/>
      <c r="D72" s="75"/>
      <c r="E72" s="52">
        <v>6.7000000000000002E-5</v>
      </c>
    </row>
    <row r="73" spans="2:5" ht="30" customHeight="1">
      <c r="B73" s="52">
        <f t="shared" si="1"/>
        <v>0</v>
      </c>
      <c r="C73" s="77"/>
      <c r="D73" s="75"/>
      <c r="E73" s="52">
        <v>6.7999999999999999E-5</v>
      </c>
    </row>
    <row r="74" spans="2:5" ht="30" customHeight="1">
      <c r="B74" s="52">
        <f t="shared" si="1"/>
        <v>0</v>
      </c>
      <c r="C74" s="77"/>
      <c r="D74" s="75"/>
      <c r="E74" s="52">
        <v>6.8999999999999997E-5</v>
      </c>
    </row>
    <row r="75" spans="2:5" ht="30" customHeight="1">
      <c r="B75" s="52">
        <f t="shared" si="1"/>
        <v>0</v>
      </c>
      <c r="C75" s="77"/>
      <c r="D75" s="75"/>
      <c r="E75" s="52">
        <v>6.9999999999999994E-5</v>
      </c>
    </row>
    <row r="76" spans="2:5" ht="30" customHeight="1">
      <c r="B76" s="52">
        <f t="shared" si="1"/>
        <v>0</v>
      </c>
      <c r="C76" s="77"/>
      <c r="D76" s="75"/>
      <c r="E76" s="52">
        <v>7.1000000000000005E-5</v>
      </c>
    </row>
    <row r="77" spans="2:5" ht="30" customHeight="1">
      <c r="B77" s="52">
        <f t="shared" si="1"/>
        <v>0</v>
      </c>
      <c r="C77" s="77"/>
      <c r="D77" s="75"/>
      <c r="E77" s="52">
        <v>7.2000000000000002E-5</v>
      </c>
    </row>
    <row r="78" spans="2:5" ht="30" customHeight="1">
      <c r="B78" s="52">
        <f t="shared" si="1"/>
        <v>0</v>
      </c>
      <c r="C78" s="77"/>
      <c r="D78" s="75"/>
      <c r="E78" s="52">
        <v>7.2999999999999999E-5</v>
      </c>
    </row>
    <row r="79" spans="2:5" ht="30" customHeight="1">
      <c r="B79" s="52">
        <f t="shared" si="1"/>
        <v>0</v>
      </c>
      <c r="C79" s="77"/>
      <c r="D79" s="75"/>
      <c r="E79" s="52">
        <v>7.3999999999999996E-5</v>
      </c>
    </row>
    <row r="80" spans="2:5" ht="30" customHeight="1">
      <c r="B80" s="52">
        <f t="shared" si="1"/>
        <v>0</v>
      </c>
      <c r="C80" s="77"/>
      <c r="D80" s="75"/>
      <c r="E80" s="52">
        <v>7.4999999999999993E-5</v>
      </c>
    </row>
    <row r="81" spans="2:5" ht="30" customHeight="1">
      <c r="B81" s="52">
        <f t="shared" si="1"/>
        <v>0</v>
      </c>
      <c r="C81" s="77"/>
      <c r="D81" s="75"/>
      <c r="E81" s="52">
        <v>7.6000000000000004E-5</v>
      </c>
    </row>
    <row r="82" spans="2:5" ht="30" customHeight="1">
      <c r="B82" s="52">
        <f t="shared" si="1"/>
        <v>0</v>
      </c>
      <c r="C82" s="77"/>
      <c r="D82" s="75"/>
      <c r="E82" s="52">
        <v>7.7000000000000001E-5</v>
      </c>
    </row>
    <row r="83" spans="2:5" ht="30" customHeight="1">
      <c r="B83" s="52">
        <f t="shared" si="1"/>
        <v>0</v>
      </c>
      <c r="C83" s="77"/>
      <c r="D83" s="75"/>
      <c r="E83" s="52">
        <v>7.7999999999999999E-5</v>
      </c>
    </row>
    <row r="84" spans="2:5" ht="30" customHeight="1">
      <c r="B84" s="52">
        <f t="shared" si="1"/>
        <v>0</v>
      </c>
      <c r="C84" s="77"/>
      <c r="D84" s="75"/>
      <c r="E84" s="52">
        <v>7.8999999999999996E-5</v>
      </c>
    </row>
    <row r="85" spans="2:5" ht="30" customHeight="1">
      <c r="B85" s="52">
        <f t="shared" si="1"/>
        <v>0</v>
      </c>
      <c r="C85" s="77"/>
      <c r="D85" s="75"/>
      <c r="E85" s="52">
        <v>8.0000000000000007E-5</v>
      </c>
    </row>
    <row r="86" spans="2:5" ht="30" customHeight="1">
      <c r="B86" s="52">
        <f t="shared" si="1"/>
        <v>0</v>
      </c>
      <c r="C86" s="77"/>
      <c r="D86" s="75"/>
      <c r="E86" s="52">
        <v>8.1000000000000004E-5</v>
      </c>
    </row>
    <row r="87" spans="2:5" ht="30" customHeight="1">
      <c r="B87" s="52">
        <f t="shared" si="1"/>
        <v>0</v>
      </c>
      <c r="C87" s="77"/>
      <c r="D87" s="75"/>
      <c r="E87" s="52">
        <v>8.2000000000000001E-5</v>
      </c>
    </row>
    <row r="88" spans="2:5" ht="30" customHeight="1">
      <c r="B88" s="52">
        <f t="shared" si="1"/>
        <v>0</v>
      </c>
      <c r="C88" s="77"/>
      <c r="D88" s="75"/>
      <c r="E88" s="52">
        <v>8.2999999999999998E-5</v>
      </c>
    </row>
    <row r="89" spans="2:5" ht="30" customHeight="1">
      <c r="B89" s="52">
        <f t="shared" si="1"/>
        <v>0</v>
      </c>
      <c r="C89" s="77"/>
      <c r="D89" s="75"/>
      <c r="E89" s="52">
        <v>8.3999999999999995E-5</v>
      </c>
    </row>
    <row r="90" spans="2:5" ht="30" customHeight="1">
      <c r="B90" s="52">
        <f t="shared" si="1"/>
        <v>0</v>
      </c>
      <c r="C90" s="77"/>
      <c r="D90" s="75"/>
      <c r="E90" s="52">
        <v>8.5000000000000006E-5</v>
      </c>
    </row>
    <row r="91" spans="2:5" ht="30" customHeight="1">
      <c r="B91" s="52">
        <f t="shared" si="1"/>
        <v>0</v>
      </c>
      <c r="C91" s="77"/>
      <c r="D91" s="75"/>
      <c r="E91" s="52">
        <v>8.6000000000000003E-5</v>
      </c>
    </row>
    <row r="92" spans="2:5" ht="30" customHeight="1">
      <c r="B92" s="52">
        <f t="shared" si="1"/>
        <v>0</v>
      </c>
      <c r="C92" s="77"/>
      <c r="D92" s="75"/>
      <c r="E92" s="52">
        <v>8.7000000000000001E-5</v>
      </c>
    </row>
    <row r="93" spans="2:5" ht="30" customHeight="1">
      <c r="B93" s="52">
        <f t="shared" si="1"/>
        <v>0</v>
      </c>
      <c r="C93" s="77"/>
      <c r="D93" s="75"/>
      <c r="E93" s="52">
        <v>8.7999999999999998E-5</v>
      </c>
    </row>
    <row r="94" spans="2:5" ht="30" customHeight="1">
      <c r="B94" s="52">
        <f t="shared" si="1"/>
        <v>0</v>
      </c>
      <c r="C94" s="77"/>
      <c r="D94" s="75"/>
      <c r="E94" s="52">
        <v>8.8999999999999995E-5</v>
      </c>
    </row>
    <row r="95" spans="2:5" ht="30" customHeight="1">
      <c r="B95" s="52">
        <f t="shared" si="1"/>
        <v>0</v>
      </c>
      <c r="C95" s="77"/>
      <c r="D95" s="75"/>
      <c r="E95" s="52">
        <v>9.0000000000000006E-5</v>
      </c>
    </row>
    <row r="96" spans="2:5" ht="30" customHeight="1">
      <c r="B96" s="52">
        <f t="shared" si="1"/>
        <v>0</v>
      </c>
      <c r="C96" s="77"/>
      <c r="D96" s="75"/>
      <c r="E96" s="52">
        <v>9.1000000000000003E-5</v>
      </c>
    </row>
    <row r="97" spans="2:5" ht="30" customHeight="1">
      <c r="B97" s="52">
        <f t="shared" si="1"/>
        <v>0</v>
      </c>
      <c r="C97" s="77"/>
      <c r="D97" s="75"/>
      <c r="E97" s="52">
        <v>9.2E-5</v>
      </c>
    </row>
    <row r="98" spans="2:5" ht="30" customHeight="1">
      <c r="B98" s="52">
        <f t="shared" si="1"/>
        <v>0</v>
      </c>
      <c r="C98" s="77"/>
      <c r="D98" s="75"/>
      <c r="E98" s="52">
        <v>9.2999999999999997E-5</v>
      </c>
    </row>
    <row r="99" spans="2:5" ht="30" customHeight="1">
      <c r="B99" s="52">
        <f t="shared" si="1"/>
        <v>0</v>
      </c>
      <c r="C99" s="77"/>
      <c r="D99" s="75"/>
      <c r="E99" s="52">
        <v>9.3999999999999994E-5</v>
      </c>
    </row>
    <row r="100" spans="2:5" ht="30" customHeight="1">
      <c r="B100" s="52">
        <f t="shared" si="1"/>
        <v>0</v>
      </c>
      <c r="C100" s="77"/>
      <c r="D100" s="75"/>
      <c r="E100" s="52">
        <v>9.5000000000000005E-5</v>
      </c>
    </row>
    <row r="101" spans="2:5" ht="30" customHeight="1">
      <c r="B101" s="52">
        <f t="shared" si="1"/>
        <v>0</v>
      </c>
      <c r="C101" s="77"/>
      <c r="D101" s="75"/>
      <c r="E101" s="52">
        <v>9.6000000000000002E-5</v>
      </c>
    </row>
    <row r="102" spans="2:5" ht="30" customHeight="1">
      <c r="B102" s="52">
        <f t="shared" si="1"/>
        <v>0</v>
      </c>
      <c r="C102" s="77"/>
      <c r="D102" s="75"/>
      <c r="E102" s="52">
        <v>9.7E-5</v>
      </c>
    </row>
    <row r="103" spans="2:5" ht="30" customHeight="1">
      <c r="B103" s="52">
        <f t="shared" si="1"/>
        <v>0</v>
      </c>
      <c r="C103" s="77"/>
      <c r="D103" s="75"/>
      <c r="E103" s="52">
        <v>9.7999999999999997E-5</v>
      </c>
    </row>
    <row r="104" spans="2:5" ht="30" customHeight="1">
      <c r="B104" s="52">
        <f t="shared" si="1"/>
        <v>0</v>
      </c>
      <c r="C104" s="77"/>
      <c r="D104" s="75"/>
      <c r="E104" s="52">
        <v>9.8999999999999994E-5</v>
      </c>
    </row>
    <row r="105" spans="2:5" ht="30" customHeight="1">
      <c r="B105" s="52">
        <f t="shared" si="1"/>
        <v>0</v>
      </c>
      <c r="C105" s="77"/>
      <c r="D105" s="75"/>
      <c r="E105" s="52">
        <v>1E-4</v>
      </c>
    </row>
    <row r="106" spans="2:5" ht="30" customHeight="1">
      <c r="B106" s="52">
        <f t="shared" si="1"/>
        <v>0</v>
      </c>
      <c r="C106" s="77"/>
      <c r="D106" s="75"/>
      <c r="E106" s="52">
        <v>1.01E-4</v>
      </c>
    </row>
    <row r="107" spans="2:5" ht="30" customHeight="1">
      <c r="B107" s="52">
        <f t="shared" si="1"/>
        <v>0</v>
      </c>
      <c r="C107" s="77"/>
      <c r="D107" s="75"/>
      <c r="E107" s="52">
        <v>1.02E-4</v>
      </c>
    </row>
    <row r="108" spans="2:5" ht="30" customHeight="1">
      <c r="B108" s="52">
        <f t="shared" si="1"/>
        <v>0</v>
      </c>
      <c r="C108" s="77"/>
      <c r="D108" s="75"/>
      <c r="E108" s="52">
        <v>1.03E-4</v>
      </c>
    </row>
    <row r="109" spans="2:5" ht="30" customHeight="1">
      <c r="B109" s="52">
        <f t="shared" si="1"/>
        <v>0</v>
      </c>
      <c r="C109" s="77"/>
      <c r="D109" s="75"/>
      <c r="E109" s="52">
        <v>1.0399999999999999E-4</v>
      </c>
    </row>
    <row r="110" spans="2:5" ht="30" customHeight="1">
      <c r="B110" s="52">
        <f t="shared" si="1"/>
        <v>0</v>
      </c>
      <c r="C110" s="77"/>
      <c r="D110" s="75"/>
      <c r="E110" s="52">
        <v>1.05E-4</v>
      </c>
    </row>
    <row r="111" spans="2:5" ht="30" customHeight="1">
      <c r="B111" s="52">
        <f t="shared" si="1"/>
        <v>0</v>
      </c>
      <c r="C111" s="77"/>
      <c r="D111" s="75"/>
      <c r="E111" s="52">
        <v>1.06E-4</v>
      </c>
    </row>
    <row r="112" spans="2:5" ht="30" customHeight="1">
      <c r="B112" s="52">
        <f t="shared" si="1"/>
        <v>0</v>
      </c>
      <c r="C112" s="77"/>
      <c r="D112" s="75"/>
      <c r="E112" s="52">
        <v>1.07E-4</v>
      </c>
    </row>
    <row r="113" spans="2:5" ht="30" customHeight="1">
      <c r="B113" s="52">
        <f t="shared" si="1"/>
        <v>0</v>
      </c>
      <c r="C113" s="77"/>
      <c r="D113" s="75"/>
      <c r="E113" s="52">
        <v>1.08E-4</v>
      </c>
    </row>
    <row r="114" spans="2:5" ht="30" customHeight="1">
      <c r="B114" s="52">
        <f t="shared" si="1"/>
        <v>0</v>
      </c>
      <c r="C114" s="77"/>
      <c r="D114" s="75"/>
      <c r="E114" s="52">
        <v>1.0900000000000001E-4</v>
      </c>
    </row>
    <row r="115" spans="2:5" ht="30" customHeight="1">
      <c r="B115" s="52">
        <f t="shared" si="1"/>
        <v>0</v>
      </c>
      <c r="C115" s="77"/>
      <c r="D115" s="75"/>
      <c r="E115" s="52">
        <v>1.1E-4</v>
      </c>
    </row>
    <row r="116" spans="2:5" ht="30" customHeight="1">
      <c r="B116" s="52">
        <f t="shared" si="1"/>
        <v>0</v>
      </c>
      <c r="C116" s="77"/>
      <c r="D116" s="75"/>
      <c r="E116" s="52">
        <v>1.11E-4</v>
      </c>
    </row>
    <row r="117" spans="2:5" ht="30" customHeight="1">
      <c r="B117" s="52">
        <f t="shared" si="1"/>
        <v>0</v>
      </c>
      <c r="C117" s="77"/>
      <c r="D117" s="75"/>
      <c r="E117" s="52">
        <v>1.12E-4</v>
      </c>
    </row>
    <row r="118" spans="2:5" ht="30" customHeight="1">
      <c r="B118" s="52">
        <f t="shared" si="1"/>
        <v>0</v>
      </c>
      <c r="C118" s="77"/>
      <c r="D118" s="75"/>
      <c r="E118" s="52">
        <v>1.13E-4</v>
      </c>
    </row>
    <row r="119" spans="2:5" ht="30" customHeight="1">
      <c r="B119" s="52">
        <f t="shared" si="1"/>
        <v>0</v>
      </c>
      <c r="C119" s="77"/>
      <c r="D119" s="75"/>
      <c r="E119" s="52">
        <v>1.1400000000000001E-4</v>
      </c>
    </row>
    <row r="120" spans="2:5" ht="30" customHeight="1">
      <c r="B120" s="52">
        <f t="shared" si="1"/>
        <v>0</v>
      </c>
      <c r="C120" s="77"/>
      <c r="D120" s="75"/>
      <c r="E120" s="52">
        <v>1.15E-4</v>
      </c>
    </row>
    <row r="121" spans="2:5" ht="30" customHeight="1">
      <c r="B121" s="52">
        <f t="shared" si="1"/>
        <v>0</v>
      </c>
      <c r="C121" s="77"/>
      <c r="D121" s="75"/>
      <c r="E121" s="52">
        <v>1.16E-4</v>
      </c>
    </row>
    <row r="122" spans="2:5" ht="30" customHeight="1">
      <c r="B122" s="52">
        <f t="shared" si="1"/>
        <v>0</v>
      </c>
      <c r="C122" s="77"/>
      <c r="D122" s="75"/>
      <c r="E122" s="52">
        <v>1.17E-4</v>
      </c>
    </row>
    <row r="123" spans="2:5" ht="30" customHeight="1">
      <c r="B123" s="52">
        <f t="shared" si="1"/>
        <v>0</v>
      </c>
      <c r="C123" s="77"/>
      <c r="D123" s="75"/>
      <c r="E123" s="52">
        <v>1.18E-4</v>
      </c>
    </row>
    <row r="124" spans="2:5" ht="30" customHeight="1">
      <c r="B124" s="52">
        <f t="shared" si="1"/>
        <v>0</v>
      </c>
      <c r="C124" s="77"/>
      <c r="D124" s="75"/>
      <c r="E124" s="52">
        <v>1.1900000000000001E-4</v>
      </c>
    </row>
    <row r="125" spans="2:5" ht="30" customHeight="1">
      <c r="B125" s="52">
        <f t="shared" si="1"/>
        <v>0</v>
      </c>
      <c r="C125" s="77"/>
      <c r="D125" s="75"/>
      <c r="E125" s="52">
        <v>1.2E-4</v>
      </c>
    </row>
    <row r="126" spans="2:5" ht="30" customHeight="1">
      <c r="B126" s="52">
        <f t="shared" si="1"/>
        <v>0</v>
      </c>
      <c r="C126" s="77"/>
      <c r="D126" s="75"/>
      <c r="E126" s="52">
        <v>1.21E-4</v>
      </c>
    </row>
    <row r="127" spans="2:5" ht="30" customHeight="1">
      <c r="B127" s="52">
        <f t="shared" si="1"/>
        <v>0</v>
      </c>
      <c r="C127" s="77"/>
      <c r="D127" s="75"/>
      <c r="E127" s="52">
        <v>1.22E-4</v>
      </c>
    </row>
    <row r="128" spans="2:5" ht="30" customHeight="1">
      <c r="B128" s="52">
        <f t="shared" si="1"/>
        <v>0</v>
      </c>
      <c r="C128" s="77"/>
      <c r="D128" s="75"/>
      <c r="E128" s="52">
        <v>1.2300000000000001E-4</v>
      </c>
    </row>
    <row r="129" spans="2:5" ht="30" customHeight="1">
      <c r="B129" s="52">
        <f t="shared" si="1"/>
        <v>0</v>
      </c>
      <c r="C129" s="77"/>
      <c r="D129" s="75"/>
      <c r="E129" s="52">
        <v>1.2400000000000001E-4</v>
      </c>
    </row>
    <row r="130" spans="2:5" ht="30" customHeight="1">
      <c r="B130" s="52">
        <f t="shared" si="1"/>
        <v>0</v>
      </c>
      <c r="C130" s="77"/>
      <c r="D130" s="75"/>
      <c r="E130" s="52">
        <v>1.25E-4</v>
      </c>
    </row>
    <row r="131" spans="2:5" ht="30" customHeight="1">
      <c r="B131" s="52">
        <f t="shared" si="1"/>
        <v>0</v>
      </c>
      <c r="C131" s="77"/>
      <c r="D131" s="75"/>
      <c r="E131" s="52">
        <v>1.26E-4</v>
      </c>
    </row>
    <row r="132" spans="2:5" ht="30" customHeight="1">
      <c r="B132" s="52">
        <f t="shared" si="1"/>
        <v>0</v>
      </c>
      <c r="C132" s="77"/>
      <c r="D132" s="75"/>
      <c r="E132" s="52">
        <v>1.27E-4</v>
      </c>
    </row>
    <row r="133" spans="2:5" ht="30" customHeight="1">
      <c r="B133" s="52">
        <f t="shared" si="1"/>
        <v>0</v>
      </c>
      <c r="C133" s="77"/>
      <c r="D133" s="75"/>
      <c r="E133" s="52">
        <v>1.2799999999999999E-4</v>
      </c>
    </row>
    <row r="134" spans="2:5" ht="30" customHeight="1">
      <c r="B134" s="52">
        <f t="shared" ref="B134:B197" si="2">IF(C134="",0,D134+E134)</f>
        <v>0</v>
      </c>
      <c r="C134" s="77"/>
      <c r="D134" s="75"/>
      <c r="E134" s="52">
        <v>1.2899999999999999E-4</v>
      </c>
    </row>
    <row r="135" spans="2:5" ht="30" customHeight="1">
      <c r="B135" s="52">
        <f t="shared" si="2"/>
        <v>0</v>
      </c>
      <c r="C135" s="77"/>
      <c r="D135" s="75"/>
      <c r="E135" s="52">
        <v>1.2999999999999999E-4</v>
      </c>
    </row>
    <row r="136" spans="2:5" ht="30" customHeight="1">
      <c r="B136" s="52">
        <f t="shared" si="2"/>
        <v>0</v>
      </c>
      <c r="C136" s="77"/>
      <c r="D136" s="75"/>
      <c r="E136" s="52">
        <v>1.3100000000000001E-4</v>
      </c>
    </row>
    <row r="137" spans="2:5" ht="30" customHeight="1">
      <c r="B137" s="52">
        <f t="shared" si="2"/>
        <v>0</v>
      </c>
      <c r="C137" s="77"/>
      <c r="D137" s="75"/>
      <c r="E137" s="52">
        <v>1.3200000000000001E-4</v>
      </c>
    </row>
    <row r="138" spans="2:5" ht="30" customHeight="1">
      <c r="B138" s="52">
        <f t="shared" si="2"/>
        <v>0</v>
      </c>
      <c r="C138" s="77"/>
      <c r="D138" s="75"/>
      <c r="E138" s="52">
        <v>1.3300000000000001E-4</v>
      </c>
    </row>
    <row r="139" spans="2:5" ht="30" customHeight="1">
      <c r="B139" s="52">
        <f t="shared" si="2"/>
        <v>0</v>
      </c>
      <c r="C139" s="77"/>
      <c r="D139" s="75"/>
      <c r="E139" s="52">
        <v>1.34E-4</v>
      </c>
    </row>
    <row r="140" spans="2:5" ht="30" customHeight="1">
      <c r="B140" s="52">
        <f t="shared" si="2"/>
        <v>0</v>
      </c>
      <c r="C140" s="77"/>
      <c r="D140" s="75"/>
      <c r="E140" s="52">
        <v>1.35E-4</v>
      </c>
    </row>
    <row r="141" spans="2:5" ht="30" customHeight="1">
      <c r="B141" s="52">
        <f t="shared" si="2"/>
        <v>0</v>
      </c>
      <c r="C141" s="77"/>
      <c r="D141" s="75"/>
      <c r="E141" s="52">
        <v>1.36E-4</v>
      </c>
    </row>
    <row r="142" spans="2:5" ht="30" customHeight="1">
      <c r="B142" s="52">
        <f t="shared" si="2"/>
        <v>0</v>
      </c>
      <c r="C142" s="77"/>
      <c r="D142" s="75"/>
      <c r="E142" s="52">
        <v>1.37E-4</v>
      </c>
    </row>
    <row r="143" spans="2:5" ht="30" customHeight="1">
      <c r="B143" s="52">
        <f t="shared" si="2"/>
        <v>0</v>
      </c>
      <c r="C143" s="77"/>
      <c r="D143" s="75"/>
      <c r="E143" s="52">
        <v>1.3799999999999999E-4</v>
      </c>
    </row>
    <row r="144" spans="2:5" ht="30" customHeight="1">
      <c r="B144" s="52">
        <f t="shared" si="2"/>
        <v>0</v>
      </c>
      <c r="C144" s="77"/>
      <c r="D144" s="75"/>
      <c r="E144" s="52">
        <v>1.3899999999999999E-4</v>
      </c>
    </row>
    <row r="145" spans="2:5" ht="30" customHeight="1">
      <c r="B145" s="52">
        <f t="shared" si="2"/>
        <v>0</v>
      </c>
      <c r="C145" s="77"/>
      <c r="D145" s="75"/>
      <c r="E145" s="52">
        <v>1.3999999999999999E-4</v>
      </c>
    </row>
    <row r="146" spans="2:5" ht="30" customHeight="1">
      <c r="B146" s="52">
        <f t="shared" si="2"/>
        <v>0</v>
      </c>
      <c r="C146" s="77"/>
      <c r="D146" s="75"/>
      <c r="E146" s="52">
        <v>1.4100000000000001E-4</v>
      </c>
    </row>
    <row r="147" spans="2:5" ht="30" customHeight="1">
      <c r="B147" s="52">
        <f t="shared" si="2"/>
        <v>0</v>
      </c>
      <c r="C147" s="77"/>
      <c r="D147" s="75"/>
      <c r="E147" s="52">
        <v>1.4200000000000001E-4</v>
      </c>
    </row>
    <row r="148" spans="2:5" ht="30" customHeight="1">
      <c r="B148" s="52">
        <f t="shared" si="2"/>
        <v>0</v>
      </c>
      <c r="C148" s="77"/>
      <c r="D148" s="75"/>
      <c r="E148" s="52">
        <v>1.4300000000000001E-4</v>
      </c>
    </row>
    <row r="149" spans="2:5" ht="30" customHeight="1">
      <c r="B149" s="52">
        <f t="shared" si="2"/>
        <v>0</v>
      </c>
      <c r="C149" s="77"/>
      <c r="D149" s="75"/>
      <c r="E149" s="52">
        <v>1.44E-4</v>
      </c>
    </row>
    <row r="150" spans="2:5" ht="30" customHeight="1">
      <c r="B150" s="52">
        <f t="shared" si="2"/>
        <v>0</v>
      </c>
      <c r="C150" s="77"/>
      <c r="D150" s="75"/>
      <c r="E150" s="52">
        <v>1.45E-4</v>
      </c>
    </row>
    <row r="151" spans="2:5" ht="30" customHeight="1">
      <c r="B151" s="52">
        <f t="shared" si="2"/>
        <v>0</v>
      </c>
      <c r="C151" s="77"/>
      <c r="D151" s="75"/>
      <c r="E151" s="52">
        <v>1.46E-4</v>
      </c>
    </row>
    <row r="152" spans="2:5" ht="30" customHeight="1">
      <c r="B152" s="52">
        <f t="shared" si="2"/>
        <v>0</v>
      </c>
      <c r="C152" s="77"/>
      <c r="D152" s="75"/>
      <c r="E152" s="52">
        <v>1.47E-4</v>
      </c>
    </row>
    <row r="153" spans="2:5" ht="30" customHeight="1">
      <c r="B153" s="52">
        <f t="shared" si="2"/>
        <v>0</v>
      </c>
      <c r="C153" s="77"/>
      <c r="D153" s="75"/>
      <c r="E153" s="52">
        <v>1.4799999999999999E-4</v>
      </c>
    </row>
    <row r="154" spans="2:5" ht="30" customHeight="1">
      <c r="B154" s="52">
        <f t="shared" si="2"/>
        <v>0</v>
      </c>
      <c r="C154" s="77"/>
      <c r="D154" s="75"/>
      <c r="E154" s="52">
        <v>1.4899999999999999E-4</v>
      </c>
    </row>
    <row r="155" spans="2:5" ht="30" customHeight="1">
      <c r="B155" s="52">
        <f t="shared" si="2"/>
        <v>0</v>
      </c>
      <c r="C155" s="77"/>
      <c r="D155" s="75"/>
      <c r="E155" s="52">
        <v>1.4999999999999999E-4</v>
      </c>
    </row>
    <row r="156" spans="2:5" ht="30" customHeight="1">
      <c r="B156" s="52">
        <f t="shared" si="2"/>
        <v>0</v>
      </c>
      <c r="C156" s="77"/>
      <c r="D156" s="75"/>
      <c r="E156" s="52">
        <v>1.5100000000000001E-4</v>
      </c>
    </row>
    <row r="157" spans="2:5" ht="30" customHeight="1">
      <c r="B157" s="52">
        <f t="shared" si="2"/>
        <v>0</v>
      </c>
      <c r="C157" s="77"/>
      <c r="D157" s="75"/>
      <c r="E157" s="52">
        <v>1.5200000000000001E-4</v>
      </c>
    </row>
    <row r="158" spans="2:5" ht="30" customHeight="1">
      <c r="B158" s="52">
        <f t="shared" si="2"/>
        <v>0</v>
      </c>
      <c r="C158" s="77"/>
      <c r="D158" s="75"/>
      <c r="E158" s="52">
        <v>1.5300000000000001E-4</v>
      </c>
    </row>
    <row r="159" spans="2:5" ht="30" customHeight="1">
      <c r="B159" s="52">
        <f t="shared" si="2"/>
        <v>0</v>
      </c>
      <c r="C159" s="77"/>
      <c r="D159" s="75"/>
      <c r="E159" s="52">
        <v>1.54E-4</v>
      </c>
    </row>
    <row r="160" spans="2:5" ht="30" customHeight="1">
      <c r="B160" s="52">
        <f t="shared" si="2"/>
        <v>0</v>
      </c>
      <c r="C160" s="77"/>
      <c r="D160" s="75"/>
      <c r="E160" s="52">
        <v>1.55E-4</v>
      </c>
    </row>
    <row r="161" spans="2:5" ht="30" customHeight="1">
      <c r="B161" s="52">
        <f t="shared" si="2"/>
        <v>0</v>
      </c>
      <c r="C161" s="77"/>
      <c r="D161" s="75"/>
      <c r="E161" s="52">
        <v>1.56E-4</v>
      </c>
    </row>
    <row r="162" spans="2:5" ht="30" customHeight="1">
      <c r="B162" s="52">
        <f t="shared" si="2"/>
        <v>0</v>
      </c>
      <c r="C162" s="77"/>
      <c r="D162" s="75"/>
      <c r="E162" s="52">
        <v>1.5699999999999999E-4</v>
      </c>
    </row>
    <row r="163" spans="2:5" ht="30" customHeight="1">
      <c r="B163" s="52">
        <f t="shared" si="2"/>
        <v>0</v>
      </c>
      <c r="C163" s="77"/>
      <c r="D163" s="75"/>
      <c r="E163" s="52">
        <v>1.5799999999999999E-4</v>
      </c>
    </row>
    <row r="164" spans="2:5" ht="30" customHeight="1">
      <c r="B164" s="52">
        <f t="shared" si="2"/>
        <v>0</v>
      </c>
      <c r="C164" s="77"/>
      <c r="D164" s="75"/>
      <c r="E164" s="52">
        <v>1.5899999999999999E-4</v>
      </c>
    </row>
    <row r="165" spans="2:5" ht="30" customHeight="1">
      <c r="B165" s="52">
        <f t="shared" si="2"/>
        <v>0</v>
      </c>
      <c r="C165" s="77"/>
      <c r="D165" s="75"/>
      <c r="E165" s="52">
        <v>1.6000000000000001E-4</v>
      </c>
    </row>
    <row r="166" spans="2:5" ht="30" customHeight="1">
      <c r="B166" s="52">
        <f t="shared" si="2"/>
        <v>0</v>
      </c>
      <c r="C166" s="77"/>
      <c r="D166" s="75"/>
      <c r="E166" s="52">
        <v>1.6100000000000001E-4</v>
      </c>
    </row>
    <row r="167" spans="2:5" ht="30" customHeight="1">
      <c r="B167" s="52">
        <f t="shared" si="2"/>
        <v>0</v>
      </c>
      <c r="C167" s="77"/>
      <c r="D167" s="75"/>
      <c r="E167" s="52">
        <v>1.6200000000000001E-4</v>
      </c>
    </row>
    <row r="168" spans="2:5" ht="30" customHeight="1">
      <c r="B168" s="52">
        <f t="shared" si="2"/>
        <v>0</v>
      </c>
      <c r="C168" s="77"/>
      <c r="D168" s="75"/>
      <c r="E168" s="52">
        <v>1.63E-4</v>
      </c>
    </row>
    <row r="169" spans="2:5" ht="30" customHeight="1">
      <c r="B169" s="52">
        <f t="shared" si="2"/>
        <v>0</v>
      </c>
      <c r="C169" s="77"/>
      <c r="D169" s="75"/>
      <c r="E169" s="52">
        <v>1.64E-4</v>
      </c>
    </row>
    <row r="170" spans="2:5" ht="30" customHeight="1">
      <c r="B170" s="52">
        <f t="shared" si="2"/>
        <v>0</v>
      </c>
      <c r="C170" s="77"/>
      <c r="D170" s="75"/>
      <c r="E170" s="52">
        <v>1.65E-4</v>
      </c>
    </row>
    <row r="171" spans="2:5" ht="30" customHeight="1">
      <c r="B171" s="52">
        <f t="shared" si="2"/>
        <v>0</v>
      </c>
      <c r="C171" s="77"/>
      <c r="D171" s="75"/>
      <c r="E171" s="52">
        <v>1.66E-4</v>
      </c>
    </row>
    <row r="172" spans="2:5" ht="30" customHeight="1">
      <c r="B172" s="52">
        <f t="shared" si="2"/>
        <v>0</v>
      </c>
      <c r="C172" s="77"/>
      <c r="D172" s="75"/>
      <c r="E172" s="52">
        <v>1.6699999999999999E-4</v>
      </c>
    </row>
    <row r="173" spans="2:5" ht="30" customHeight="1">
      <c r="B173" s="52">
        <f t="shared" si="2"/>
        <v>0</v>
      </c>
      <c r="C173" s="77"/>
      <c r="D173" s="75"/>
      <c r="E173" s="52">
        <v>1.6799999999999999E-4</v>
      </c>
    </row>
    <row r="174" spans="2:5" ht="30" customHeight="1">
      <c r="B174" s="52">
        <f t="shared" si="2"/>
        <v>0</v>
      </c>
      <c r="C174" s="77"/>
      <c r="D174" s="75"/>
      <c r="E174" s="52">
        <v>1.6899999999999999E-4</v>
      </c>
    </row>
    <row r="175" spans="2:5" ht="30" customHeight="1">
      <c r="B175" s="52">
        <f t="shared" si="2"/>
        <v>0</v>
      </c>
      <c r="C175" s="77"/>
      <c r="D175" s="75"/>
      <c r="E175" s="52">
        <v>1.7000000000000001E-4</v>
      </c>
    </row>
    <row r="176" spans="2:5" ht="30" customHeight="1">
      <c r="B176" s="52">
        <f t="shared" si="2"/>
        <v>0</v>
      </c>
      <c r="C176" s="77"/>
      <c r="D176" s="75"/>
      <c r="E176" s="52">
        <v>1.7100000000000001E-4</v>
      </c>
    </row>
    <row r="177" spans="2:5" ht="30" customHeight="1">
      <c r="B177" s="52">
        <f t="shared" si="2"/>
        <v>0</v>
      </c>
      <c r="C177" s="77"/>
      <c r="D177" s="75"/>
      <c r="E177" s="52">
        <v>1.7200000000000001E-4</v>
      </c>
    </row>
    <row r="178" spans="2:5" ht="30" customHeight="1">
      <c r="B178" s="52">
        <f t="shared" si="2"/>
        <v>0</v>
      </c>
      <c r="C178" s="77"/>
      <c r="D178" s="75"/>
      <c r="E178" s="52">
        <v>1.73E-4</v>
      </c>
    </row>
    <row r="179" spans="2:5" ht="30" customHeight="1">
      <c r="B179" s="52">
        <f t="shared" si="2"/>
        <v>0</v>
      </c>
      <c r="C179" s="77"/>
      <c r="D179" s="75"/>
      <c r="E179" s="52">
        <v>1.74E-4</v>
      </c>
    </row>
    <row r="180" spans="2:5" ht="30" customHeight="1">
      <c r="B180" s="52">
        <f t="shared" si="2"/>
        <v>0</v>
      </c>
      <c r="C180" s="77"/>
      <c r="D180" s="75"/>
      <c r="E180" s="52">
        <v>1.75E-4</v>
      </c>
    </row>
    <row r="181" spans="2:5" ht="30" customHeight="1">
      <c r="B181" s="52">
        <f t="shared" si="2"/>
        <v>0</v>
      </c>
      <c r="C181" s="77"/>
      <c r="D181" s="75"/>
      <c r="E181" s="52">
        <v>1.76E-4</v>
      </c>
    </row>
    <row r="182" spans="2:5" ht="30" customHeight="1">
      <c r="B182" s="52">
        <f t="shared" si="2"/>
        <v>0</v>
      </c>
      <c r="C182" s="77"/>
      <c r="D182" s="75"/>
      <c r="E182" s="52">
        <v>1.7699999999999999E-4</v>
      </c>
    </row>
    <row r="183" spans="2:5" ht="30" customHeight="1">
      <c r="B183" s="52">
        <f t="shared" si="2"/>
        <v>0</v>
      </c>
      <c r="C183" s="77"/>
      <c r="D183" s="75"/>
      <c r="E183" s="52">
        <v>1.7799999999999999E-4</v>
      </c>
    </row>
    <row r="184" spans="2:5" ht="30" customHeight="1">
      <c r="B184" s="52">
        <f t="shared" si="2"/>
        <v>0</v>
      </c>
      <c r="C184" s="77"/>
      <c r="D184" s="75"/>
      <c r="E184" s="52">
        <v>1.7899999999999999E-4</v>
      </c>
    </row>
    <row r="185" spans="2:5" ht="30" customHeight="1">
      <c r="B185" s="52">
        <f t="shared" si="2"/>
        <v>0</v>
      </c>
      <c r="C185" s="77"/>
      <c r="D185" s="75"/>
      <c r="E185" s="52">
        <v>1.8000000000000001E-4</v>
      </c>
    </row>
    <row r="186" spans="2:5" ht="30" customHeight="1">
      <c r="B186" s="52">
        <f t="shared" si="2"/>
        <v>0</v>
      </c>
      <c r="C186" s="77"/>
      <c r="D186" s="75"/>
      <c r="E186" s="52">
        <v>1.8100000000000001E-4</v>
      </c>
    </row>
    <row r="187" spans="2:5" ht="30" customHeight="1">
      <c r="B187" s="52">
        <f t="shared" si="2"/>
        <v>0</v>
      </c>
      <c r="C187" s="77"/>
      <c r="D187" s="75"/>
      <c r="E187" s="52">
        <v>1.8200000000000001E-4</v>
      </c>
    </row>
    <row r="188" spans="2:5" ht="30" customHeight="1">
      <c r="B188" s="52">
        <f t="shared" si="2"/>
        <v>0</v>
      </c>
      <c r="C188" s="77"/>
      <c r="D188" s="75"/>
      <c r="E188" s="52">
        <v>1.83E-4</v>
      </c>
    </row>
    <row r="189" spans="2:5" ht="30" customHeight="1">
      <c r="B189" s="52">
        <f t="shared" si="2"/>
        <v>0</v>
      </c>
      <c r="C189" s="77"/>
      <c r="D189" s="75"/>
      <c r="E189" s="52">
        <v>1.84E-4</v>
      </c>
    </row>
    <row r="190" spans="2:5" ht="30" customHeight="1">
      <c r="B190" s="52">
        <f t="shared" si="2"/>
        <v>0</v>
      </c>
      <c r="C190" s="77"/>
      <c r="D190" s="75"/>
      <c r="E190" s="52">
        <v>1.85E-4</v>
      </c>
    </row>
    <row r="191" spans="2:5" ht="30" customHeight="1">
      <c r="B191" s="52">
        <f t="shared" si="2"/>
        <v>0</v>
      </c>
      <c r="C191" s="77"/>
      <c r="D191" s="75"/>
      <c r="E191" s="52">
        <v>1.8599999999999999E-4</v>
      </c>
    </row>
    <row r="192" spans="2:5" ht="30" customHeight="1">
      <c r="B192" s="52">
        <f t="shared" si="2"/>
        <v>0</v>
      </c>
      <c r="C192" s="77"/>
      <c r="D192" s="75"/>
      <c r="E192" s="52">
        <v>1.8699999999999999E-4</v>
      </c>
    </row>
    <row r="193" spans="2:5" ht="30" customHeight="1">
      <c r="B193" s="52">
        <f t="shared" si="2"/>
        <v>0</v>
      </c>
      <c r="C193" s="77"/>
      <c r="D193" s="75"/>
      <c r="E193" s="52">
        <v>1.8799999999999999E-4</v>
      </c>
    </row>
    <row r="194" spans="2:5" ht="30" customHeight="1">
      <c r="B194" s="52">
        <f t="shared" si="2"/>
        <v>0</v>
      </c>
      <c r="C194" s="77"/>
      <c r="D194" s="75"/>
      <c r="E194" s="52">
        <v>1.8900000000000001E-4</v>
      </c>
    </row>
    <row r="195" spans="2:5" ht="30" customHeight="1">
      <c r="B195" s="52">
        <f t="shared" si="2"/>
        <v>0</v>
      </c>
      <c r="C195" s="77"/>
      <c r="D195" s="75"/>
      <c r="E195" s="52">
        <v>1.9000000000000001E-4</v>
      </c>
    </row>
    <row r="196" spans="2:5" ht="30" customHeight="1">
      <c r="B196" s="52">
        <f t="shared" si="2"/>
        <v>0</v>
      </c>
      <c r="C196" s="77"/>
      <c r="D196" s="75"/>
      <c r="E196" s="52">
        <v>1.9100000000000001E-4</v>
      </c>
    </row>
    <row r="197" spans="2:5" ht="30" customHeight="1">
      <c r="B197" s="52">
        <f t="shared" si="2"/>
        <v>0</v>
      </c>
      <c r="C197" s="77"/>
      <c r="D197" s="75"/>
      <c r="E197" s="52">
        <v>1.92E-4</v>
      </c>
    </row>
    <row r="198" spans="2:5" ht="30" customHeight="1">
      <c r="B198" s="52">
        <f t="shared" ref="B198:B261" si="3">IF(C198="",0,D198+E198)</f>
        <v>0</v>
      </c>
      <c r="C198" s="77"/>
      <c r="D198" s="75"/>
      <c r="E198" s="52">
        <v>1.93E-4</v>
      </c>
    </row>
    <row r="199" spans="2:5" ht="30" customHeight="1">
      <c r="B199" s="52">
        <f t="shared" si="3"/>
        <v>0</v>
      </c>
      <c r="C199" s="77"/>
      <c r="D199" s="75"/>
      <c r="E199" s="52">
        <v>1.94E-4</v>
      </c>
    </row>
    <row r="200" spans="2:5" ht="30" customHeight="1">
      <c r="B200" s="52">
        <f t="shared" si="3"/>
        <v>0</v>
      </c>
      <c r="C200" s="77"/>
      <c r="D200" s="75"/>
      <c r="E200" s="52">
        <v>1.95E-4</v>
      </c>
    </row>
    <row r="201" spans="2:5" ht="30" customHeight="1">
      <c r="B201" s="52">
        <f t="shared" si="3"/>
        <v>0</v>
      </c>
      <c r="C201" s="77"/>
      <c r="D201" s="75"/>
      <c r="E201" s="52">
        <v>1.9599999999999999E-4</v>
      </c>
    </row>
    <row r="202" spans="2:5" ht="30" customHeight="1">
      <c r="B202" s="52">
        <f t="shared" si="3"/>
        <v>0</v>
      </c>
      <c r="C202" s="77"/>
      <c r="D202" s="75"/>
      <c r="E202" s="52">
        <v>1.9699999999999999E-4</v>
      </c>
    </row>
    <row r="203" spans="2:5" ht="30" customHeight="1">
      <c r="B203" s="52">
        <f t="shared" si="3"/>
        <v>0</v>
      </c>
      <c r="C203" s="77"/>
      <c r="D203" s="75"/>
      <c r="E203" s="52">
        <v>1.9799999999999999E-4</v>
      </c>
    </row>
    <row r="204" spans="2:5" ht="30" customHeight="1">
      <c r="B204" s="52">
        <f t="shared" si="3"/>
        <v>0</v>
      </c>
      <c r="C204" s="77"/>
      <c r="D204" s="75"/>
      <c r="E204" s="52">
        <v>1.9900000000000001E-4</v>
      </c>
    </row>
    <row r="205" spans="2:5" ht="30" customHeight="1">
      <c r="B205" s="52">
        <f t="shared" si="3"/>
        <v>0</v>
      </c>
      <c r="C205" s="77"/>
      <c r="D205" s="75"/>
      <c r="E205" s="52">
        <v>2.0000000000000001E-4</v>
      </c>
    </row>
    <row r="206" spans="2:5" ht="30" customHeight="1">
      <c r="B206" s="52">
        <f t="shared" si="3"/>
        <v>0</v>
      </c>
      <c r="C206" s="77"/>
      <c r="D206" s="75"/>
      <c r="E206" s="52">
        <v>2.0100000000000001E-4</v>
      </c>
    </row>
    <row r="207" spans="2:5" ht="30" customHeight="1">
      <c r="B207" s="52">
        <f t="shared" si="3"/>
        <v>0</v>
      </c>
      <c r="C207" s="77"/>
      <c r="D207" s="75"/>
      <c r="E207" s="52">
        <v>2.02E-4</v>
      </c>
    </row>
    <row r="208" spans="2:5" ht="30" customHeight="1">
      <c r="B208" s="52">
        <f t="shared" si="3"/>
        <v>0</v>
      </c>
      <c r="C208" s="77"/>
      <c r="D208" s="75"/>
      <c r="E208" s="52">
        <v>2.03E-4</v>
      </c>
    </row>
    <row r="209" spans="2:5" ht="30" customHeight="1">
      <c r="B209" s="52">
        <f t="shared" si="3"/>
        <v>0</v>
      </c>
      <c r="C209" s="77"/>
      <c r="D209" s="75"/>
      <c r="E209" s="52">
        <v>2.04E-4</v>
      </c>
    </row>
    <row r="210" spans="2:5" ht="30" customHeight="1">
      <c r="B210" s="52">
        <f t="shared" si="3"/>
        <v>0</v>
      </c>
      <c r="C210" s="77"/>
      <c r="D210" s="75"/>
      <c r="E210" s="52">
        <v>2.05E-4</v>
      </c>
    </row>
    <row r="211" spans="2:5" ht="30" customHeight="1">
      <c r="B211" s="52">
        <f t="shared" si="3"/>
        <v>0</v>
      </c>
      <c r="C211" s="77"/>
      <c r="D211" s="75"/>
      <c r="E211" s="52">
        <v>2.0599999999999999E-4</v>
      </c>
    </row>
    <row r="212" spans="2:5" ht="30" customHeight="1">
      <c r="B212" s="52">
        <f t="shared" si="3"/>
        <v>0</v>
      </c>
      <c r="C212" s="77"/>
      <c r="D212" s="75"/>
      <c r="E212" s="52">
        <v>2.0699999999999999E-4</v>
      </c>
    </row>
    <row r="213" spans="2:5" ht="30" customHeight="1">
      <c r="B213" s="52">
        <f t="shared" si="3"/>
        <v>0</v>
      </c>
      <c r="C213" s="77"/>
      <c r="D213" s="75"/>
      <c r="E213" s="52">
        <v>2.0799999999999999E-4</v>
      </c>
    </row>
    <row r="214" spans="2:5" ht="30" customHeight="1">
      <c r="B214" s="52">
        <f t="shared" si="3"/>
        <v>0</v>
      </c>
      <c r="C214" s="77"/>
      <c r="D214" s="75"/>
      <c r="E214" s="52">
        <v>2.0900000000000001E-4</v>
      </c>
    </row>
    <row r="215" spans="2:5" ht="30" customHeight="1">
      <c r="B215" s="52">
        <f t="shared" si="3"/>
        <v>0</v>
      </c>
      <c r="C215" s="77"/>
      <c r="D215" s="75"/>
      <c r="E215" s="52">
        <v>2.1000000000000001E-4</v>
      </c>
    </row>
    <row r="216" spans="2:5" ht="30" customHeight="1">
      <c r="B216" s="52">
        <f t="shared" si="3"/>
        <v>0</v>
      </c>
      <c r="C216" s="77"/>
      <c r="D216" s="75"/>
      <c r="E216" s="52">
        <v>2.1100000000000001E-4</v>
      </c>
    </row>
    <row r="217" spans="2:5" ht="30" customHeight="1">
      <c r="B217" s="52">
        <f t="shared" si="3"/>
        <v>0</v>
      </c>
      <c r="C217" s="77"/>
      <c r="D217" s="75"/>
      <c r="E217" s="52">
        <v>2.12E-4</v>
      </c>
    </row>
    <row r="218" spans="2:5" ht="30" customHeight="1">
      <c r="B218" s="52">
        <f t="shared" si="3"/>
        <v>0</v>
      </c>
      <c r="C218" s="77"/>
      <c r="D218" s="75"/>
      <c r="E218" s="52">
        <v>2.13E-4</v>
      </c>
    </row>
    <row r="219" spans="2:5" ht="30" customHeight="1">
      <c r="B219" s="52">
        <f t="shared" si="3"/>
        <v>0</v>
      </c>
      <c r="C219" s="77"/>
      <c r="D219" s="75"/>
      <c r="E219" s="52">
        <v>2.14E-4</v>
      </c>
    </row>
    <row r="220" spans="2:5" ht="30" customHeight="1">
      <c r="B220" s="52">
        <f t="shared" si="3"/>
        <v>0</v>
      </c>
      <c r="C220" s="77"/>
      <c r="D220" s="75"/>
      <c r="E220" s="52">
        <v>2.1499999999999999E-4</v>
      </c>
    </row>
    <row r="221" spans="2:5" ht="30" customHeight="1">
      <c r="B221" s="52">
        <f t="shared" si="3"/>
        <v>0</v>
      </c>
      <c r="C221" s="77"/>
      <c r="D221" s="75"/>
      <c r="E221" s="52">
        <v>2.1599999999999999E-4</v>
      </c>
    </row>
    <row r="222" spans="2:5" ht="30" customHeight="1">
      <c r="B222" s="52">
        <f t="shared" si="3"/>
        <v>0</v>
      </c>
      <c r="C222" s="77"/>
      <c r="D222" s="75"/>
      <c r="E222" s="52">
        <v>2.1699999999999999E-4</v>
      </c>
    </row>
    <row r="223" spans="2:5" ht="30" customHeight="1">
      <c r="B223" s="52">
        <f t="shared" si="3"/>
        <v>0</v>
      </c>
      <c r="C223" s="77"/>
      <c r="D223" s="75"/>
      <c r="E223" s="52">
        <v>2.1800000000000001E-4</v>
      </c>
    </row>
    <row r="224" spans="2:5" ht="30" customHeight="1">
      <c r="B224" s="52">
        <f t="shared" si="3"/>
        <v>0</v>
      </c>
      <c r="C224" s="77"/>
      <c r="D224" s="75"/>
      <c r="E224" s="52">
        <v>2.1900000000000001E-4</v>
      </c>
    </row>
    <row r="225" spans="2:5" ht="30" customHeight="1">
      <c r="B225" s="52">
        <f t="shared" si="3"/>
        <v>0</v>
      </c>
      <c r="C225" s="77"/>
      <c r="D225" s="75"/>
      <c r="E225" s="52">
        <v>2.2000000000000001E-4</v>
      </c>
    </row>
    <row r="226" spans="2:5" ht="30" customHeight="1">
      <c r="B226" s="52">
        <f t="shared" si="3"/>
        <v>0</v>
      </c>
      <c r="C226" s="77"/>
      <c r="D226" s="75"/>
      <c r="E226" s="52">
        <v>2.2100000000000001E-4</v>
      </c>
    </row>
    <row r="227" spans="2:5" ht="30" customHeight="1">
      <c r="B227" s="52">
        <f t="shared" si="3"/>
        <v>0</v>
      </c>
      <c r="C227" s="77"/>
      <c r="D227" s="75"/>
      <c r="E227" s="52">
        <v>2.22E-4</v>
      </c>
    </row>
    <row r="228" spans="2:5" ht="30" customHeight="1">
      <c r="B228" s="52">
        <f t="shared" si="3"/>
        <v>0</v>
      </c>
      <c r="C228" s="77"/>
      <c r="D228" s="75"/>
      <c r="E228" s="52">
        <v>2.23E-4</v>
      </c>
    </row>
    <row r="229" spans="2:5" ht="30" customHeight="1">
      <c r="B229" s="52">
        <f t="shared" si="3"/>
        <v>0</v>
      </c>
      <c r="C229" s="77"/>
      <c r="D229" s="75"/>
      <c r="E229" s="52">
        <v>2.24E-4</v>
      </c>
    </row>
    <row r="230" spans="2:5" ht="30" customHeight="1">
      <c r="B230" s="52">
        <f t="shared" si="3"/>
        <v>0</v>
      </c>
      <c r="C230" s="77"/>
      <c r="D230" s="75"/>
      <c r="E230" s="52">
        <v>2.2499999999999999E-4</v>
      </c>
    </row>
    <row r="231" spans="2:5" ht="30" customHeight="1">
      <c r="B231" s="52">
        <f t="shared" si="3"/>
        <v>0</v>
      </c>
      <c r="C231" s="77"/>
      <c r="D231" s="75"/>
      <c r="E231" s="52">
        <v>2.2599999999999999E-4</v>
      </c>
    </row>
    <row r="232" spans="2:5" ht="30" customHeight="1">
      <c r="B232" s="52">
        <f t="shared" si="3"/>
        <v>0</v>
      </c>
      <c r="C232" s="77"/>
      <c r="D232" s="75"/>
      <c r="E232" s="52">
        <v>2.2699999999999999E-4</v>
      </c>
    </row>
    <row r="233" spans="2:5" ht="30" customHeight="1">
      <c r="B233" s="52">
        <f t="shared" si="3"/>
        <v>0</v>
      </c>
      <c r="C233" s="77"/>
      <c r="D233" s="75"/>
      <c r="E233" s="52">
        <v>2.2800000000000001E-4</v>
      </c>
    </row>
    <row r="234" spans="2:5" ht="30" customHeight="1">
      <c r="B234" s="52">
        <f t="shared" si="3"/>
        <v>0</v>
      </c>
      <c r="C234" s="77"/>
      <c r="D234" s="75"/>
      <c r="E234" s="52">
        <v>2.2900000000000001E-4</v>
      </c>
    </row>
    <row r="235" spans="2:5" ht="30" customHeight="1">
      <c r="B235" s="52">
        <f t="shared" si="3"/>
        <v>0</v>
      </c>
      <c r="C235" s="77"/>
      <c r="D235" s="75"/>
      <c r="E235" s="52">
        <v>2.3000000000000001E-4</v>
      </c>
    </row>
    <row r="236" spans="2:5" ht="30" customHeight="1">
      <c r="B236" s="52">
        <f t="shared" si="3"/>
        <v>0</v>
      </c>
      <c r="C236" s="77"/>
      <c r="D236" s="75"/>
      <c r="E236" s="52">
        <v>2.31E-4</v>
      </c>
    </row>
    <row r="237" spans="2:5" ht="30" customHeight="1">
      <c r="B237" s="52">
        <f t="shared" si="3"/>
        <v>0</v>
      </c>
      <c r="C237" s="77"/>
      <c r="D237" s="75"/>
      <c r="E237" s="52">
        <v>2.32E-4</v>
      </c>
    </row>
    <row r="238" spans="2:5" ht="30" customHeight="1">
      <c r="B238" s="52">
        <f t="shared" si="3"/>
        <v>0</v>
      </c>
      <c r="C238" s="77"/>
      <c r="D238" s="75"/>
      <c r="E238" s="52">
        <v>2.33E-4</v>
      </c>
    </row>
    <row r="239" spans="2:5" ht="30" customHeight="1">
      <c r="B239" s="52">
        <f t="shared" si="3"/>
        <v>0</v>
      </c>
      <c r="C239" s="77"/>
      <c r="D239" s="75"/>
      <c r="E239" s="52">
        <v>2.34E-4</v>
      </c>
    </row>
    <row r="240" spans="2:5" ht="30" customHeight="1">
      <c r="B240" s="52">
        <f t="shared" si="3"/>
        <v>0</v>
      </c>
      <c r="C240" s="77"/>
      <c r="D240" s="75"/>
      <c r="E240" s="52">
        <v>2.3499999999999999E-4</v>
      </c>
    </row>
    <row r="241" spans="2:5" ht="30" customHeight="1">
      <c r="B241" s="52">
        <f t="shared" si="3"/>
        <v>0</v>
      </c>
      <c r="C241" s="77"/>
      <c r="D241" s="75"/>
      <c r="E241" s="52">
        <v>2.3599999999999999E-4</v>
      </c>
    </row>
    <row r="242" spans="2:5" ht="30" customHeight="1">
      <c r="B242" s="52">
        <f t="shared" si="3"/>
        <v>0</v>
      </c>
      <c r="C242" s="77"/>
      <c r="D242" s="75"/>
      <c r="E242" s="52">
        <v>2.3699999999999999E-4</v>
      </c>
    </row>
    <row r="243" spans="2:5" ht="30" customHeight="1">
      <c r="B243" s="52">
        <f t="shared" si="3"/>
        <v>0</v>
      </c>
      <c r="C243" s="77"/>
      <c r="D243" s="75"/>
      <c r="E243" s="52">
        <v>2.3800000000000001E-4</v>
      </c>
    </row>
    <row r="244" spans="2:5" ht="30" customHeight="1">
      <c r="B244" s="52">
        <f t="shared" si="3"/>
        <v>0</v>
      </c>
      <c r="C244" s="77"/>
      <c r="D244" s="75"/>
      <c r="E244" s="52">
        <v>2.3900000000000001E-4</v>
      </c>
    </row>
    <row r="245" spans="2:5" ht="30" customHeight="1">
      <c r="B245" s="52">
        <f t="shared" si="3"/>
        <v>0</v>
      </c>
      <c r="C245" s="77"/>
      <c r="D245" s="75"/>
      <c r="E245" s="52">
        <v>2.4000000000000001E-4</v>
      </c>
    </row>
    <row r="246" spans="2:5" ht="30" customHeight="1">
      <c r="B246" s="52">
        <f t="shared" si="3"/>
        <v>0</v>
      </c>
      <c r="C246" s="77"/>
      <c r="D246" s="75"/>
      <c r="E246" s="52">
        <v>2.41E-4</v>
      </c>
    </row>
    <row r="247" spans="2:5" ht="30" customHeight="1">
      <c r="B247" s="52">
        <f t="shared" si="3"/>
        <v>0</v>
      </c>
      <c r="C247" s="77"/>
      <c r="D247" s="75"/>
      <c r="E247" s="52">
        <v>2.42E-4</v>
      </c>
    </row>
    <row r="248" spans="2:5" ht="30" customHeight="1">
      <c r="B248" s="52">
        <f t="shared" si="3"/>
        <v>0</v>
      </c>
      <c r="C248" s="77"/>
      <c r="D248" s="75"/>
      <c r="E248" s="52">
        <v>2.43E-4</v>
      </c>
    </row>
    <row r="249" spans="2:5" ht="30" customHeight="1">
      <c r="B249" s="52">
        <f t="shared" si="3"/>
        <v>0</v>
      </c>
      <c r="C249" s="77"/>
      <c r="D249" s="75"/>
      <c r="E249" s="52">
        <v>2.4399999999999999E-4</v>
      </c>
    </row>
    <row r="250" spans="2:5" ht="30" customHeight="1">
      <c r="B250" s="52">
        <f t="shared" si="3"/>
        <v>0</v>
      </c>
      <c r="C250" s="77"/>
      <c r="D250" s="75"/>
      <c r="E250" s="52">
        <v>2.4499999999999999E-4</v>
      </c>
    </row>
    <row r="251" spans="2:5" ht="30" customHeight="1">
      <c r="B251" s="52">
        <f t="shared" si="3"/>
        <v>0</v>
      </c>
      <c r="C251" s="77"/>
      <c r="D251" s="75"/>
      <c r="E251" s="52">
        <v>2.4600000000000002E-4</v>
      </c>
    </row>
    <row r="252" spans="2:5" ht="30" customHeight="1">
      <c r="B252" s="52">
        <f t="shared" si="3"/>
        <v>0</v>
      </c>
      <c r="C252" s="77"/>
      <c r="D252" s="75"/>
      <c r="E252" s="52">
        <v>2.4699999999999999E-4</v>
      </c>
    </row>
    <row r="253" spans="2:5" ht="30" customHeight="1">
      <c r="B253" s="52">
        <f t="shared" si="3"/>
        <v>0</v>
      </c>
      <c r="C253" s="77"/>
      <c r="D253" s="75"/>
      <c r="E253" s="52">
        <v>2.4800000000000001E-4</v>
      </c>
    </row>
    <row r="254" spans="2:5" ht="30" customHeight="1">
      <c r="B254" s="52">
        <f t="shared" si="3"/>
        <v>0</v>
      </c>
      <c r="C254" s="77"/>
      <c r="D254" s="75"/>
      <c r="E254" s="52">
        <v>2.4899999999999998E-4</v>
      </c>
    </row>
    <row r="255" spans="2:5" ht="30" customHeight="1">
      <c r="B255" s="52">
        <f t="shared" si="3"/>
        <v>0</v>
      </c>
      <c r="C255" s="77"/>
      <c r="D255" s="75"/>
      <c r="E255" s="52">
        <v>2.5000000000000001E-4</v>
      </c>
    </row>
    <row r="256" spans="2:5" ht="30" customHeight="1">
      <c r="B256" s="52">
        <f t="shared" si="3"/>
        <v>0</v>
      </c>
      <c r="C256" s="77"/>
      <c r="D256" s="75"/>
      <c r="E256" s="52">
        <v>2.5099999999999998E-4</v>
      </c>
    </row>
    <row r="257" spans="2:5" ht="30" customHeight="1">
      <c r="B257" s="52">
        <f t="shared" si="3"/>
        <v>0</v>
      </c>
      <c r="C257" s="77"/>
      <c r="D257" s="75"/>
      <c r="E257" s="52">
        <v>2.52E-4</v>
      </c>
    </row>
    <row r="258" spans="2:5" ht="30" customHeight="1">
      <c r="B258" s="52">
        <f t="shared" si="3"/>
        <v>0</v>
      </c>
      <c r="C258" s="77"/>
      <c r="D258" s="75"/>
      <c r="E258" s="52">
        <v>2.5300000000000002E-4</v>
      </c>
    </row>
    <row r="259" spans="2:5" ht="30" customHeight="1">
      <c r="B259" s="52">
        <f t="shared" si="3"/>
        <v>0</v>
      </c>
      <c r="C259" s="77"/>
      <c r="D259" s="75"/>
      <c r="E259" s="52">
        <v>2.5399999999999999E-4</v>
      </c>
    </row>
    <row r="260" spans="2:5" ht="30" customHeight="1">
      <c r="B260" s="52">
        <f t="shared" si="3"/>
        <v>0</v>
      </c>
      <c r="C260" s="77"/>
      <c r="D260" s="75"/>
      <c r="E260" s="52">
        <v>2.5500000000000002E-4</v>
      </c>
    </row>
    <row r="261" spans="2:5" ht="30" customHeight="1">
      <c r="B261" s="52">
        <f t="shared" si="3"/>
        <v>0</v>
      </c>
      <c r="C261" s="77"/>
      <c r="D261" s="75"/>
      <c r="E261" s="52">
        <v>2.5599999999999999E-4</v>
      </c>
    </row>
    <row r="262" spans="2:5" ht="30" customHeight="1">
      <c r="B262" s="52">
        <f t="shared" ref="B262:B325" si="4">IF(C262="",0,D262+E262)</f>
        <v>0</v>
      </c>
      <c r="C262" s="77"/>
      <c r="D262" s="75"/>
      <c r="E262" s="52">
        <v>2.5700000000000001E-4</v>
      </c>
    </row>
    <row r="263" spans="2:5" ht="30" customHeight="1">
      <c r="B263" s="52">
        <f t="shared" si="4"/>
        <v>0</v>
      </c>
      <c r="C263" s="77"/>
      <c r="D263" s="75"/>
      <c r="E263" s="52">
        <v>2.5799999999999998E-4</v>
      </c>
    </row>
    <row r="264" spans="2:5" ht="30" customHeight="1">
      <c r="B264" s="52">
        <f t="shared" si="4"/>
        <v>0</v>
      </c>
      <c r="C264" s="77"/>
      <c r="D264" s="75"/>
      <c r="E264" s="52">
        <v>2.5900000000000001E-4</v>
      </c>
    </row>
    <row r="265" spans="2:5" ht="30" customHeight="1">
      <c r="B265" s="52">
        <f t="shared" si="4"/>
        <v>0</v>
      </c>
      <c r="C265" s="77"/>
      <c r="D265" s="75"/>
      <c r="E265" s="52">
        <v>2.5999999999999998E-4</v>
      </c>
    </row>
    <row r="266" spans="2:5" ht="30" customHeight="1">
      <c r="B266" s="52">
        <f t="shared" si="4"/>
        <v>0</v>
      </c>
      <c r="C266" s="77"/>
      <c r="D266" s="75"/>
      <c r="E266" s="52">
        <v>2.61E-4</v>
      </c>
    </row>
    <row r="267" spans="2:5" ht="30" customHeight="1">
      <c r="B267" s="52">
        <f t="shared" si="4"/>
        <v>0</v>
      </c>
      <c r="C267" s="77"/>
      <c r="D267" s="75"/>
      <c r="E267" s="52">
        <v>2.6200000000000003E-4</v>
      </c>
    </row>
    <row r="268" spans="2:5" ht="30" customHeight="1">
      <c r="B268" s="52">
        <f t="shared" si="4"/>
        <v>0</v>
      </c>
      <c r="C268" s="77"/>
      <c r="D268" s="75"/>
      <c r="E268" s="52">
        <v>2.63E-4</v>
      </c>
    </row>
    <row r="269" spans="2:5" ht="30" customHeight="1">
      <c r="B269" s="52">
        <f t="shared" si="4"/>
        <v>0</v>
      </c>
      <c r="C269" s="77"/>
      <c r="D269" s="75"/>
      <c r="E269" s="52">
        <v>2.6400000000000002E-4</v>
      </c>
    </row>
    <row r="270" spans="2:5" ht="30" customHeight="1">
      <c r="B270" s="52">
        <f t="shared" si="4"/>
        <v>0</v>
      </c>
      <c r="C270" s="77"/>
      <c r="D270" s="75"/>
      <c r="E270" s="52">
        <v>2.6499999999999999E-4</v>
      </c>
    </row>
    <row r="271" spans="2:5" ht="30" customHeight="1">
      <c r="B271" s="52">
        <f t="shared" si="4"/>
        <v>0</v>
      </c>
      <c r="C271" s="77"/>
      <c r="D271" s="75"/>
      <c r="E271" s="52">
        <v>2.6600000000000001E-4</v>
      </c>
    </row>
    <row r="272" spans="2:5" ht="30" customHeight="1">
      <c r="B272" s="52">
        <f t="shared" si="4"/>
        <v>0</v>
      </c>
      <c r="C272" s="77"/>
      <c r="D272" s="75"/>
      <c r="E272" s="52">
        <v>2.6699999999999998E-4</v>
      </c>
    </row>
    <row r="273" spans="2:5" ht="30" customHeight="1">
      <c r="B273" s="52">
        <f t="shared" si="4"/>
        <v>0</v>
      </c>
      <c r="C273" s="77"/>
      <c r="D273" s="75"/>
      <c r="E273" s="52">
        <v>2.6800000000000001E-4</v>
      </c>
    </row>
    <row r="274" spans="2:5" ht="30" customHeight="1">
      <c r="B274" s="52">
        <f t="shared" si="4"/>
        <v>0</v>
      </c>
      <c r="C274" s="77"/>
      <c r="D274" s="75"/>
      <c r="E274" s="52">
        <v>2.6899999999999998E-4</v>
      </c>
    </row>
    <row r="275" spans="2:5" ht="30" customHeight="1">
      <c r="B275" s="52">
        <f t="shared" si="4"/>
        <v>0</v>
      </c>
      <c r="C275" s="77"/>
      <c r="D275" s="75"/>
      <c r="E275" s="52">
        <v>2.7E-4</v>
      </c>
    </row>
    <row r="276" spans="2:5" ht="30" customHeight="1">
      <c r="B276" s="52">
        <f t="shared" si="4"/>
        <v>0</v>
      </c>
      <c r="C276" s="77"/>
      <c r="D276" s="75"/>
      <c r="E276" s="52">
        <v>2.7099999999999997E-4</v>
      </c>
    </row>
    <row r="277" spans="2:5" ht="30" customHeight="1">
      <c r="B277" s="52">
        <f t="shared" si="4"/>
        <v>0</v>
      </c>
      <c r="C277" s="77"/>
      <c r="D277" s="75"/>
      <c r="E277" s="52">
        <v>2.72E-4</v>
      </c>
    </row>
    <row r="278" spans="2:5" ht="30" customHeight="1">
      <c r="B278" s="52">
        <f t="shared" si="4"/>
        <v>0</v>
      </c>
      <c r="C278" s="77"/>
      <c r="D278" s="75"/>
      <c r="E278" s="52">
        <v>2.7300000000000002E-4</v>
      </c>
    </row>
    <row r="279" spans="2:5" ht="30" customHeight="1">
      <c r="B279" s="52">
        <f t="shared" si="4"/>
        <v>0</v>
      </c>
      <c r="C279" s="77"/>
      <c r="D279" s="75"/>
      <c r="E279" s="52">
        <v>2.7399999999999999E-4</v>
      </c>
    </row>
    <row r="280" spans="2:5" ht="30" customHeight="1">
      <c r="B280" s="52">
        <f t="shared" si="4"/>
        <v>0</v>
      </c>
      <c r="C280" s="77"/>
      <c r="D280" s="75"/>
      <c r="E280" s="52">
        <v>2.7500000000000002E-4</v>
      </c>
    </row>
    <row r="281" spans="2:5" ht="30" customHeight="1">
      <c r="B281" s="52">
        <f t="shared" si="4"/>
        <v>0</v>
      </c>
      <c r="C281" s="77"/>
      <c r="D281" s="75"/>
      <c r="E281" s="52">
        <v>2.7599999999999999E-4</v>
      </c>
    </row>
    <row r="282" spans="2:5" ht="30" customHeight="1">
      <c r="B282" s="52">
        <f t="shared" si="4"/>
        <v>0</v>
      </c>
      <c r="C282" s="77"/>
      <c r="D282" s="75"/>
      <c r="E282" s="52">
        <v>2.7700000000000001E-4</v>
      </c>
    </row>
    <row r="283" spans="2:5" ht="30" customHeight="1">
      <c r="B283" s="52">
        <f t="shared" si="4"/>
        <v>0</v>
      </c>
      <c r="C283" s="77"/>
      <c r="D283" s="75"/>
      <c r="E283" s="52">
        <v>2.7799999999999998E-4</v>
      </c>
    </row>
    <row r="284" spans="2:5" ht="30" customHeight="1">
      <c r="B284" s="52">
        <f t="shared" si="4"/>
        <v>0</v>
      </c>
      <c r="C284" s="77"/>
      <c r="D284" s="75"/>
      <c r="E284" s="52">
        <v>2.7900000000000001E-4</v>
      </c>
    </row>
    <row r="285" spans="2:5" ht="30" customHeight="1">
      <c r="B285" s="52">
        <f t="shared" si="4"/>
        <v>0</v>
      </c>
      <c r="C285" s="77"/>
      <c r="D285" s="75"/>
      <c r="E285" s="52">
        <v>2.7999999999999998E-4</v>
      </c>
    </row>
    <row r="286" spans="2:5" ht="30" customHeight="1">
      <c r="B286" s="52">
        <f t="shared" si="4"/>
        <v>0</v>
      </c>
      <c r="C286" s="77"/>
      <c r="D286" s="75"/>
      <c r="E286" s="52">
        <v>2.81E-4</v>
      </c>
    </row>
    <row r="287" spans="2:5" ht="30" customHeight="1">
      <c r="B287" s="52">
        <f t="shared" si="4"/>
        <v>0</v>
      </c>
      <c r="C287" s="77"/>
      <c r="D287" s="75"/>
      <c r="E287" s="52">
        <v>2.8200000000000002E-4</v>
      </c>
    </row>
    <row r="288" spans="2:5" ht="30" customHeight="1">
      <c r="B288" s="52">
        <f t="shared" si="4"/>
        <v>0</v>
      </c>
      <c r="C288" s="77"/>
      <c r="D288" s="75"/>
      <c r="E288" s="52">
        <v>2.8299999999999999E-4</v>
      </c>
    </row>
    <row r="289" spans="2:5" ht="30" customHeight="1">
      <c r="B289" s="52">
        <f t="shared" si="4"/>
        <v>0</v>
      </c>
      <c r="C289" s="77"/>
      <c r="D289" s="75"/>
      <c r="E289" s="52">
        <v>2.8400000000000002E-4</v>
      </c>
    </row>
    <row r="290" spans="2:5" ht="30" customHeight="1">
      <c r="B290" s="52">
        <f t="shared" si="4"/>
        <v>0</v>
      </c>
      <c r="C290" s="77"/>
      <c r="D290" s="75"/>
      <c r="E290" s="52">
        <v>2.8499999999999999E-4</v>
      </c>
    </row>
    <row r="291" spans="2:5" ht="30" customHeight="1">
      <c r="B291" s="52">
        <f t="shared" si="4"/>
        <v>0</v>
      </c>
      <c r="C291" s="77"/>
      <c r="D291" s="75"/>
      <c r="E291" s="52">
        <v>2.8600000000000001E-4</v>
      </c>
    </row>
    <row r="292" spans="2:5" ht="30" customHeight="1">
      <c r="B292" s="52">
        <f t="shared" si="4"/>
        <v>0</v>
      </c>
      <c r="C292" s="77"/>
      <c r="D292" s="75"/>
      <c r="E292" s="52">
        <v>2.8699999999999998E-4</v>
      </c>
    </row>
    <row r="293" spans="2:5" ht="30" customHeight="1">
      <c r="B293" s="52">
        <f t="shared" si="4"/>
        <v>0</v>
      </c>
      <c r="C293" s="77"/>
      <c r="D293" s="75"/>
      <c r="E293" s="52">
        <v>2.8800000000000001E-4</v>
      </c>
    </row>
    <row r="294" spans="2:5" ht="30" customHeight="1">
      <c r="B294" s="52">
        <f t="shared" si="4"/>
        <v>0</v>
      </c>
      <c r="C294" s="77"/>
      <c r="D294" s="75"/>
      <c r="E294" s="52">
        <v>2.8899999999999998E-4</v>
      </c>
    </row>
    <row r="295" spans="2:5" ht="30" customHeight="1">
      <c r="B295" s="52">
        <f t="shared" si="4"/>
        <v>0</v>
      </c>
      <c r="C295" s="77"/>
      <c r="D295" s="75"/>
      <c r="E295" s="52">
        <v>2.9E-4</v>
      </c>
    </row>
    <row r="296" spans="2:5" ht="30" customHeight="1">
      <c r="B296" s="52">
        <f t="shared" si="4"/>
        <v>0</v>
      </c>
      <c r="C296" s="77"/>
      <c r="D296" s="75"/>
      <c r="E296" s="52">
        <v>2.9100000000000003E-4</v>
      </c>
    </row>
    <row r="297" spans="2:5" ht="30" customHeight="1">
      <c r="B297" s="52">
        <f t="shared" si="4"/>
        <v>0</v>
      </c>
      <c r="C297" s="77"/>
      <c r="D297" s="75"/>
      <c r="E297" s="52">
        <v>2.92E-4</v>
      </c>
    </row>
    <row r="298" spans="2:5" ht="30" customHeight="1">
      <c r="B298" s="52">
        <f t="shared" si="4"/>
        <v>0</v>
      </c>
      <c r="C298" s="77"/>
      <c r="D298" s="75"/>
      <c r="E298" s="52">
        <v>2.9300000000000002E-4</v>
      </c>
    </row>
    <row r="299" spans="2:5" ht="30" customHeight="1">
      <c r="B299" s="52">
        <f t="shared" si="4"/>
        <v>0</v>
      </c>
      <c r="C299" s="77"/>
      <c r="D299" s="75"/>
      <c r="E299" s="52">
        <v>2.9399999999999999E-4</v>
      </c>
    </row>
    <row r="300" spans="2:5" ht="30" customHeight="1">
      <c r="B300" s="52">
        <f t="shared" si="4"/>
        <v>0</v>
      </c>
      <c r="C300" s="77"/>
      <c r="D300" s="75"/>
      <c r="E300" s="52">
        <v>2.9500000000000001E-4</v>
      </c>
    </row>
    <row r="301" spans="2:5" ht="30" customHeight="1">
      <c r="B301" s="52">
        <f t="shared" si="4"/>
        <v>0</v>
      </c>
      <c r="C301" s="77"/>
      <c r="D301" s="75"/>
      <c r="E301" s="52">
        <v>2.9599999999999998E-4</v>
      </c>
    </row>
    <row r="302" spans="2:5" ht="30" customHeight="1">
      <c r="B302" s="52">
        <f t="shared" si="4"/>
        <v>0</v>
      </c>
      <c r="C302" s="77"/>
      <c r="D302" s="75"/>
      <c r="E302" s="52">
        <v>2.9700000000000001E-4</v>
      </c>
    </row>
    <row r="303" spans="2:5" ht="30" customHeight="1">
      <c r="B303" s="52">
        <f t="shared" si="4"/>
        <v>0</v>
      </c>
      <c r="C303" s="77"/>
      <c r="D303" s="75"/>
      <c r="E303" s="52">
        <v>2.9799999999999998E-4</v>
      </c>
    </row>
    <row r="304" spans="2:5" ht="30" customHeight="1">
      <c r="B304" s="52">
        <f t="shared" si="4"/>
        <v>0</v>
      </c>
      <c r="C304" s="77"/>
      <c r="D304" s="75"/>
      <c r="E304" s="52">
        <v>2.99E-4</v>
      </c>
    </row>
    <row r="305" spans="2:5" ht="30" customHeight="1">
      <c r="B305" s="52">
        <f t="shared" si="4"/>
        <v>0</v>
      </c>
      <c r="C305" s="77"/>
      <c r="D305" s="75"/>
      <c r="E305" s="52">
        <v>2.9999999999999997E-4</v>
      </c>
    </row>
    <row r="306" spans="2:5" ht="30" customHeight="1">
      <c r="B306" s="52">
        <f t="shared" si="4"/>
        <v>0</v>
      </c>
      <c r="C306" s="77"/>
      <c r="D306" s="75"/>
      <c r="E306" s="52">
        <v>3.01E-4</v>
      </c>
    </row>
    <row r="307" spans="2:5" ht="30" customHeight="1">
      <c r="B307" s="52">
        <f t="shared" si="4"/>
        <v>0</v>
      </c>
      <c r="C307" s="77"/>
      <c r="D307" s="75"/>
      <c r="E307" s="52">
        <v>3.0200000000000002E-4</v>
      </c>
    </row>
    <row r="308" spans="2:5" ht="30" customHeight="1">
      <c r="B308" s="52">
        <f t="shared" si="4"/>
        <v>0</v>
      </c>
      <c r="C308" s="77"/>
      <c r="D308" s="75"/>
      <c r="E308" s="52">
        <v>3.0299999999999999E-4</v>
      </c>
    </row>
    <row r="309" spans="2:5" ht="30" customHeight="1">
      <c r="B309" s="52">
        <f t="shared" si="4"/>
        <v>0</v>
      </c>
      <c r="C309" s="77"/>
      <c r="D309" s="75"/>
      <c r="E309" s="52">
        <v>3.0400000000000002E-4</v>
      </c>
    </row>
    <row r="310" spans="2:5" ht="30" customHeight="1">
      <c r="B310" s="52">
        <f t="shared" si="4"/>
        <v>0</v>
      </c>
      <c r="C310" s="77"/>
      <c r="D310" s="75"/>
      <c r="E310" s="52">
        <v>3.0499999999999999E-4</v>
      </c>
    </row>
    <row r="311" spans="2:5" ht="30" customHeight="1">
      <c r="B311" s="52">
        <f t="shared" si="4"/>
        <v>0</v>
      </c>
      <c r="C311" s="77"/>
      <c r="D311" s="75"/>
      <c r="E311" s="52">
        <v>3.0600000000000001E-4</v>
      </c>
    </row>
    <row r="312" spans="2:5" ht="30" customHeight="1">
      <c r="B312" s="52">
        <f t="shared" si="4"/>
        <v>0</v>
      </c>
      <c r="C312" s="77"/>
      <c r="D312" s="75"/>
      <c r="E312" s="52">
        <v>3.0699999999999998E-4</v>
      </c>
    </row>
    <row r="313" spans="2:5" ht="30" customHeight="1">
      <c r="B313" s="52">
        <f t="shared" si="4"/>
        <v>0</v>
      </c>
      <c r="C313" s="77"/>
      <c r="D313" s="75"/>
      <c r="E313" s="52">
        <v>3.0800000000000001E-4</v>
      </c>
    </row>
    <row r="314" spans="2:5" ht="30" customHeight="1">
      <c r="B314" s="52">
        <f t="shared" si="4"/>
        <v>0</v>
      </c>
      <c r="C314" s="77"/>
      <c r="D314" s="75"/>
      <c r="E314" s="52">
        <v>3.0899999999999998E-4</v>
      </c>
    </row>
    <row r="315" spans="2:5" ht="30" customHeight="1">
      <c r="B315" s="52">
        <f t="shared" si="4"/>
        <v>0</v>
      </c>
      <c r="C315" s="77"/>
      <c r="D315" s="75"/>
      <c r="E315" s="52">
        <v>3.1E-4</v>
      </c>
    </row>
    <row r="316" spans="2:5" ht="30" customHeight="1">
      <c r="B316" s="52">
        <f t="shared" si="4"/>
        <v>0</v>
      </c>
      <c r="C316" s="77"/>
      <c r="D316" s="75"/>
      <c r="E316" s="52">
        <v>3.1100000000000002E-4</v>
      </c>
    </row>
    <row r="317" spans="2:5" ht="30" customHeight="1">
      <c r="B317" s="52">
        <f t="shared" si="4"/>
        <v>0</v>
      </c>
      <c r="C317" s="77"/>
      <c r="D317" s="75"/>
      <c r="E317" s="52">
        <v>3.1199999999999999E-4</v>
      </c>
    </row>
    <row r="318" spans="2:5" ht="30" customHeight="1">
      <c r="B318" s="52">
        <f t="shared" si="4"/>
        <v>0</v>
      </c>
      <c r="C318" s="77"/>
      <c r="D318" s="75"/>
      <c r="E318" s="52">
        <v>3.1300000000000002E-4</v>
      </c>
    </row>
    <row r="319" spans="2:5" ht="30" customHeight="1">
      <c r="B319" s="52">
        <f t="shared" si="4"/>
        <v>0</v>
      </c>
      <c r="C319" s="77"/>
      <c r="D319" s="75"/>
      <c r="E319" s="52">
        <v>3.1399999999999999E-4</v>
      </c>
    </row>
    <row r="320" spans="2:5" ht="30" customHeight="1">
      <c r="B320" s="52">
        <f t="shared" si="4"/>
        <v>0</v>
      </c>
      <c r="C320" s="77"/>
      <c r="D320" s="75"/>
      <c r="E320" s="52">
        <v>3.1500000000000001E-4</v>
      </c>
    </row>
    <row r="321" spans="2:5" ht="30" customHeight="1">
      <c r="B321" s="52">
        <f t="shared" si="4"/>
        <v>0</v>
      </c>
      <c r="C321" s="77"/>
      <c r="D321" s="75"/>
      <c r="E321" s="52">
        <v>3.1599999999999998E-4</v>
      </c>
    </row>
    <row r="322" spans="2:5" ht="30" customHeight="1">
      <c r="B322" s="52">
        <f t="shared" si="4"/>
        <v>0</v>
      </c>
      <c r="C322" s="77"/>
      <c r="D322" s="75"/>
      <c r="E322" s="52">
        <v>3.1700000000000001E-4</v>
      </c>
    </row>
    <row r="323" spans="2:5" ht="30" customHeight="1">
      <c r="B323" s="52">
        <f t="shared" si="4"/>
        <v>0</v>
      </c>
      <c r="C323" s="77"/>
      <c r="D323" s="75"/>
      <c r="E323" s="52">
        <v>3.1799999999999998E-4</v>
      </c>
    </row>
    <row r="324" spans="2:5" ht="30" customHeight="1">
      <c r="B324" s="52">
        <f t="shared" si="4"/>
        <v>0</v>
      </c>
      <c r="C324" s="77"/>
      <c r="D324" s="75"/>
      <c r="E324" s="52">
        <v>3.19E-4</v>
      </c>
    </row>
    <row r="325" spans="2:5" ht="30" customHeight="1">
      <c r="B325" s="52">
        <f t="shared" si="4"/>
        <v>0</v>
      </c>
      <c r="C325" s="77"/>
      <c r="D325" s="75"/>
      <c r="E325" s="52">
        <v>3.2000000000000003E-4</v>
      </c>
    </row>
    <row r="326" spans="2:5" ht="30" customHeight="1">
      <c r="B326" s="52">
        <f t="shared" ref="B326:B389" si="5">IF(C326="",0,D326+E326)</f>
        <v>0</v>
      </c>
      <c r="C326" s="77"/>
      <c r="D326" s="75"/>
      <c r="E326" s="52">
        <v>3.21E-4</v>
      </c>
    </row>
    <row r="327" spans="2:5" ht="30" customHeight="1">
      <c r="B327" s="52">
        <f t="shared" si="5"/>
        <v>0</v>
      </c>
      <c r="C327" s="77"/>
      <c r="D327" s="75"/>
      <c r="E327" s="52">
        <v>3.2200000000000002E-4</v>
      </c>
    </row>
    <row r="328" spans="2:5" ht="30" customHeight="1">
      <c r="B328" s="52">
        <f t="shared" si="5"/>
        <v>0</v>
      </c>
      <c r="C328" s="77"/>
      <c r="D328" s="75"/>
      <c r="E328" s="52">
        <v>3.2299999999999999E-4</v>
      </c>
    </row>
    <row r="329" spans="2:5" ht="30" customHeight="1">
      <c r="B329" s="52">
        <f t="shared" si="5"/>
        <v>0</v>
      </c>
      <c r="C329" s="77"/>
      <c r="D329" s="75"/>
      <c r="E329" s="52">
        <v>3.2400000000000001E-4</v>
      </c>
    </row>
    <row r="330" spans="2:5" ht="30" customHeight="1">
      <c r="B330" s="52">
        <f t="shared" si="5"/>
        <v>0</v>
      </c>
      <c r="C330" s="77"/>
      <c r="D330" s="75"/>
      <c r="E330" s="52">
        <v>3.2499999999999999E-4</v>
      </c>
    </row>
    <row r="331" spans="2:5" ht="30" customHeight="1">
      <c r="B331" s="52">
        <f t="shared" si="5"/>
        <v>0</v>
      </c>
      <c r="C331" s="77"/>
      <c r="D331" s="75"/>
      <c r="E331" s="52">
        <v>3.2600000000000001E-4</v>
      </c>
    </row>
    <row r="332" spans="2:5" ht="30" customHeight="1">
      <c r="B332" s="52">
        <f t="shared" si="5"/>
        <v>0</v>
      </c>
      <c r="C332" s="77"/>
      <c r="D332" s="75"/>
      <c r="E332" s="52">
        <v>3.2699999999999998E-4</v>
      </c>
    </row>
    <row r="333" spans="2:5" ht="30" customHeight="1">
      <c r="B333" s="52">
        <f t="shared" si="5"/>
        <v>0</v>
      </c>
      <c r="C333" s="77"/>
      <c r="D333" s="75"/>
      <c r="E333" s="52">
        <v>3.28E-4</v>
      </c>
    </row>
    <row r="334" spans="2:5" ht="30" customHeight="1">
      <c r="B334" s="52">
        <f t="shared" si="5"/>
        <v>0</v>
      </c>
      <c r="C334" s="77"/>
      <c r="D334" s="75"/>
      <c r="E334" s="52">
        <v>3.2899999999999997E-4</v>
      </c>
    </row>
    <row r="335" spans="2:5" ht="30" customHeight="1">
      <c r="B335" s="52">
        <f t="shared" si="5"/>
        <v>0</v>
      </c>
      <c r="C335" s="77"/>
      <c r="D335" s="75"/>
      <c r="E335" s="52">
        <v>3.3E-4</v>
      </c>
    </row>
    <row r="336" spans="2:5" ht="30" customHeight="1">
      <c r="B336" s="52">
        <f t="shared" si="5"/>
        <v>0</v>
      </c>
      <c r="C336" s="77"/>
      <c r="D336" s="75"/>
      <c r="E336" s="52">
        <v>3.3100000000000002E-4</v>
      </c>
    </row>
    <row r="337" spans="2:5" ht="30" customHeight="1">
      <c r="B337" s="52">
        <f t="shared" si="5"/>
        <v>0</v>
      </c>
      <c r="C337" s="77"/>
      <c r="D337" s="75"/>
      <c r="E337" s="52">
        <v>3.3199999999999999E-4</v>
      </c>
    </row>
    <row r="338" spans="2:5" ht="30" customHeight="1">
      <c r="B338" s="52">
        <f t="shared" si="5"/>
        <v>0</v>
      </c>
      <c r="C338" s="77"/>
      <c r="D338" s="75"/>
      <c r="E338" s="52">
        <v>3.3300000000000002E-4</v>
      </c>
    </row>
    <row r="339" spans="2:5" ht="30" customHeight="1">
      <c r="B339" s="52">
        <f t="shared" si="5"/>
        <v>0</v>
      </c>
      <c r="C339" s="77"/>
      <c r="D339" s="75"/>
      <c r="E339" s="52">
        <v>3.3399999999999999E-4</v>
      </c>
    </row>
    <row r="340" spans="2:5" ht="30" customHeight="1">
      <c r="B340" s="52">
        <f t="shared" si="5"/>
        <v>0</v>
      </c>
      <c r="C340" s="77"/>
      <c r="D340" s="75"/>
      <c r="E340" s="52">
        <v>3.3500000000000001E-4</v>
      </c>
    </row>
    <row r="341" spans="2:5" ht="30" customHeight="1">
      <c r="B341" s="52">
        <f t="shared" si="5"/>
        <v>0</v>
      </c>
      <c r="C341" s="77"/>
      <c r="D341" s="75"/>
      <c r="E341" s="52">
        <v>3.3599999999999998E-4</v>
      </c>
    </row>
    <row r="342" spans="2:5" ht="30" customHeight="1">
      <c r="B342" s="52">
        <f t="shared" si="5"/>
        <v>0</v>
      </c>
      <c r="C342" s="77"/>
      <c r="D342" s="75"/>
      <c r="E342" s="52">
        <v>3.3700000000000001E-4</v>
      </c>
    </row>
    <row r="343" spans="2:5" ht="30" customHeight="1">
      <c r="B343" s="52">
        <f t="shared" si="5"/>
        <v>0</v>
      </c>
      <c r="C343" s="77"/>
      <c r="D343" s="75"/>
      <c r="E343" s="52">
        <v>3.3799999999999998E-4</v>
      </c>
    </row>
    <row r="344" spans="2:5" ht="30" customHeight="1">
      <c r="B344" s="52">
        <f t="shared" si="5"/>
        <v>0</v>
      </c>
      <c r="C344" s="77"/>
      <c r="D344" s="75"/>
      <c r="E344" s="52">
        <v>3.39E-4</v>
      </c>
    </row>
    <row r="345" spans="2:5" ht="30" customHeight="1">
      <c r="B345" s="52">
        <f t="shared" si="5"/>
        <v>0</v>
      </c>
      <c r="C345" s="77"/>
      <c r="D345" s="75"/>
      <c r="E345" s="52">
        <v>3.4000000000000002E-4</v>
      </c>
    </row>
    <row r="346" spans="2:5" ht="30" customHeight="1">
      <c r="B346" s="52">
        <f t="shared" si="5"/>
        <v>0</v>
      </c>
      <c r="C346" s="77"/>
      <c r="D346" s="75"/>
      <c r="E346" s="52">
        <v>3.4099999999999999E-4</v>
      </c>
    </row>
    <row r="347" spans="2:5" ht="30" customHeight="1">
      <c r="B347" s="52">
        <f t="shared" si="5"/>
        <v>0</v>
      </c>
      <c r="C347" s="77"/>
      <c r="D347" s="75"/>
      <c r="E347" s="52">
        <v>3.4200000000000002E-4</v>
      </c>
    </row>
    <row r="348" spans="2:5" ht="30" customHeight="1">
      <c r="B348" s="52">
        <f t="shared" si="5"/>
        <v>0</v>
      </c>
      <c r="C348" s="77"/>
      <c r="D348" s="75"/>
      <c r="E348" s="52">
        <v>3.4299999999999999E-4</v>
      </c>
    </row>
    <row r="349" spans="2:5" ht="30" customHeight="1">
      <c r="B349" s="52">
        <f t="shared" si="5"/>
        <v>0</v>
      </c>
      <c r="C349" s="77"/>
      <c r="D349" s="75"/>
      <c r="E349" s="52">
        <v>3.4400000000000001E-4</v>
      </c>
    </row>
    <row r="350" spans="2:5" ht="30" customHeight="1">
      <c r="B350" s="52">
        <f t="shared" si="5"/>
        <v>0</v>
      </c>
      <c r="C350" s="77"/>
      <c r="D350" s="75"/>
      <c r="E350" s="52">
        <v>3.4499999999999998E-4</v>
      </c>
    </row>
    <row r="351" spans="2:5" ht="30" customHeight="1">
      <c r="B351" s="52">
        <f t="shared" si="5"/>
        <v>0</v>
      </c>
      <c r="C351" s="77"/>
      <c r="D351" s="75"/>
      <c r="E351" s="52">
        <v>3.4600000000000001E-4</v>
      </c>
    </row>
    <row r="352" spans="2:5" ht="30" customHeight="1">
      <c r="B352" s="52">
        <f t="shared" si="5"/>
        <v>0</v>
      </c>
      <c r="C352" s="77"/>
      <c r="D352" s="75"/>
      <c r="E352" s="52">
        <v>3.4699999999999998E-4</v>
      </c>
    </row>
    <row r="353" spans="2:5" ht="30" customHeight="1">
      <c r="B353" s="52">
        <f t="shared" si="5"/>
        <v>0</v>
      </c>
      <c r="C353" s="77"/>
      <c r="D353" s="75"/>
      <c r="E353" s="52">
        <v>3.48E-4</v>
      </c>
    </row>
    <row r="354" spans="2:5" ht="30" customHeight="1">
      <c r="B354" s="52">
        <f t="shared" si="5"/>
        <v>0</v>
      </c>
      <c r="C354" s="77"/>
      <c r="D354" s="75"/>
      <c r="E354" s="52">
        <v>3.4900000000000003E-4</v>
      </c>
    </row>
    <row r="355" spans="2:5" ht="30" customHeight="1">
      <c r="B355" s="52">
        <f t="shared" si="5"/>
        <v>0</v>
      </c>
      <c r="C355" s="77"/>
      <c r="D355" s="75"/>
      <c r="E355" s="52">
        <v>3.5E-4</v>
      </c>
    </row>
    <row r="356" spans="2:5" ht="30" customHeight="1">
      <c r="B356" s="52">
        <f t="shared" si="5"/>
        <v>0</v>
      </c>
      <c r="C356" s="77"/>
      <c r="D356" s="75"/>
      <c r="E356" s="52">
        <v>3.5100000000000002E-4</v>
      </c>
    </row>
    <row r="357" spans="2:5" ht="30" customHeight="1">
      <c r="B357" s="52">
        <f t="shared" si="5"/>
        <v>0</v>
      </c>
      <c r="C357" s="77"/>
      <c r="D357" s="75"/>
      <c r="E357" s="52">
        <v>3.5199999999999999E-4</v>
      </c>
    </row>
    <row r="358" spans="2:5" ht="30" customHeight="1">
      <c r="B358" s="52">
        <f t="shared" si="5"/>
        <v>0</v>
      </c>
      <c r="C358" s="77"/>
      <c r="D358" s="75"/>
      <c r="E358" s="52">
        <v>3.5300000000000002E-4</v>
      </c>
    </row>
    <row r="359" spans="2:5" ht="30" customHeight="1">
      <c r="B359" s="52">
        <f t="shared" si="5"/>
        <v>0</v>
      </c>
      <c r="C359" s="77"/>
      <c r="D359" s="75"/>
      <c r="E359" s="52">
        <v>3.5399999999999999E-4</v>
      </c>
    </row>
    <row r="360" spans="2:5" ht="30" customHeight="1">
      <c r="B360" s="52">
        <f t="shared" si="5"/>
        <v>0</v>
      </c>
      <c r="C360" s="77"/>
      <c r="D360" s="75"/>
      <c r="E360" s="52">
        <v>3.5500000000000001E-4</v>
      </c>
    </row>
    <row r="361" spans="2:5" ht="30" customHeight="1">
      <c r="B361" s="52">
        <f t="shared" si="5"/>
        <v>0</v>
      </c>
      <c r="C361" s="77"/>
      <c r="D361" s="75"/>
      <c r="E361" s="52">
        <v>3.5599999999999998E-4</v>
      </c>
    </row>
    <row r="362" spans="2:5" ht="30" customHeight="1">
      <c r="B362" s="52">
        <f t="shared" si="5"/>
        <v>0</v>
      </c>
      <c r="C362" s="77"/>
      <c r="D362" s="75"/>
      <c r="E362" s="52">
        <v>3.57E-4</v>
      </c>
    </row>
    <row r="363" spans="2:5" ht="30" customHeight="1">
      <c r="B363" s="52">
        <f t="shared" si="5"/>
        <v>0</v>
      </c>
      <c r="C363" s="77"/>
      <c r="D363" s="75"/>
      <c r="E363" s="52">
        <v>3.5799999999999997E-4</v>
      </c>
    </row>
    <row r="364" spans="2:5" ht="30" customHeight="1">
      <c r="B364" s="52">
        <f t="shared" si="5"/>
        <v>0</v>
      </c>
      <c r="C364" s="77"/>
      <c r="D364" s="75"/>
      <c r="E364" s="52">
        <v>3.59E-4</v>
      </c>
    </row>
    <row r="365" spans="2:5" ht="30" customHeight="1">
      <c r="B365" s="52">
        <f t="shared" si="5"/>
        <v>0</v>
      </c>
      <c r="C365" s="77"/>
      <c r="D365" s="75"/>
      <c r="E365" s="52">
        <v>3.6000000000000002E-4</v>
      </c>
    </row>
    <row r="366" spans="2:5" ht="30" customHeight="1">
      <c r="B366" s="52">
        <f t="shared" si="5"/>
        <v>0</v>
      </c>
      <c r="C366" s="77"/>
      <c r="D366" s="75"/>
      <c r="E366" s="52">
        <v>3.6099999999999999E-4</v>
      </c>
    </row>
    <row r="367" spans="2:5" ht="30" customHeight="1">
      <c r="B367" s="52">
        <f t="shared" si="5"/>
        <v>0</v>
      </c>
      <c r="C367" s="77"/>
      <c r="D367" s="75"/>
      <c r="E367" s="52">
        <v>3.6200000000000002E-4</v>
      </c>
    </row>
    <row r="368" spans="2:5" ht="30" customHeight="1">
      <c r="B368" s="52">
        <f t="shared" si="5"/>
        <v>0</v>
      </c>
      <c r="C368" s="77"/>
      <c r="D368" s="75"/>
      <c r="E368" s="52">
        <v>3.6299999999999999E-4</v>
      </c>
    </row>
    <row r="369" spans="2:5" ht="30" customHeight="1">
      <c r="B369" s="52">
        <f t="shared" si="5"/>
        <v>0</v>
      </c>
      <c r="C369" s="77"/>
      <c r="D369" s="75"/>
      <c r="E369" s="52">
        <v>3.6400000000000001E-4</v>
      </c>
    </row>
    <row r="370" spans="2:5" ht="30" customHeight="1">
      <c r="B370" s="52">
        <f t="shared" si="5"/>
        <v>0</v>
      </c>
      <c r="C370" s="77"/>
      <c r="D370" s="75"/>
      <c r="E370" s="52">
        <v>3.6499999999999998E-4</v>
      </c>
    </row>
    <row r="371" spans="2:5" ht="30" customHeight="1">
      <c r="B371" s="52">
        <f t="shared" si="5"/>
        <v>0</v>
      </c>
      <c r="C371" s="77"/>
      <c r="D371" s="75"/>
      <c r="E371" s="52">
        <v>3.6600000000000001E-4</v>
      </c>
    </row>
    <row r="372" spans="2:5" ht="30" customHeight="1">
      <c r="B372" s="52">
        <f t="shared" si="5"/>
        <v>0</v>
      </c>
      <c r="C372" s="77"/>
      <c r="D372" s="75"/>
      <c r="E372" s="52">
        <v>3.6699999999999998E-4</v>
      </c>
    </row>
    <row r="373" spans="2:5" ht="30" customHeight="1">
      <c r="B373" s="52">
        <f t="shared" si="5"/>
        <v>0</v>
      </c>
      <c r="C373" s="77"/>
      <c r="D373" s="75"/>
      <c r="E373" s="52">
        <v>3.68E-4</v>
      </c>
    </row>
    <row r="374" spans="2:5" ht="30" customHeight="1">
      <c r="B374" s="52">
        <f t="shared" si="5"/>
        <v>0</v>
      </c>
      <c r="C374" s="77"/>
      <c r="D374" s="75"/>
      <c r="E374" s="52">
        <v>3.6900000000000002E-4</v>
      </c>
    </row>
    <row r="375" spans="2:5" ht="30" customHeight="1">
      <c r="B375" s="52">
        <f t="shared" si="5"/>
        <v>0</v>
      </c>
      <c r="C375" s="77"/>
      <c r="D375" s="75"/>
      <c r="E375" s="52">
        <v>3.6999999999999999E-4</v>
      </c>
    </row>
    <row r="376" spans="2:5" ht="30" customHeight="1">
      <c r="B376" s="52">
        <f t="shared" si="5"/>
        <v>0</v>
      </c>
      <c r="C376" s="77"/>
      <c r="D376" s="75"/>
      <c r="E376" s="52">
        <v>3.7100000000000002E-4</v>
      </c>
    </row>
    <row r="377" spans="2:5" ht="30" customHeight="1">
      <c r="B377" s="52">
        <f t="shared" si="5"/>
        <v>0</v>
      </c>
      <c r="C377" s="77"/>
      <c r="D377" s="75"/>
      <c r="E377" s="52">
        <v>3.7199999999999999E-4</v>
      </c>
    </row>
    <row r="378" spans="2:5" ht="30" customHeight="1">
      <c r="B378" s="52">
        <f t="shared" si="5"/>
        <v>0</v>
      </c>
      <c r="C378" s="77"/>
      <c r="D378" s="75"/>
      <c r="E378" s="52">
        <v>3.7300000000000001E-4</v>
      </c>
    </row>
    <row r="379" spans="2:5" ht="30" customHeight="1">
      <c r="B379" s="52">
        <f t="shared" si="5"/>
        <v>0</v>
      </c>
      <c r="C379" s="77"/>
      <c r="D379" s="75"/>
      <c r="E379" s="52">
        <v>3.7399999999999998E-4</v>
      </c>
    </row>
    <row r="380" spans="2:5" ht="30" customHeight="1">
      <c r="B380" s="52">
        <f t="shared" si="5"/>
        <v>0</v>
      </c>
      <c r="C380" s="77"/>
      <c r="D380" s="75"/>
      <c r="E380" s="52">
        <v>3.7500000000000001E-4</v>
      </c>
    </row>
    <row r="381" spans="2:5" ht="30" customHeight="1">
      <c r="B381" s="52">
        <f t="shared" si="5"/>
        <v>0</v>
      </c>
      <c r="C381" s="77"/>
      <c r="D381" s="75"/>
      <c r="E381" s="52">
        <v>3.7599999999999998E-4</v>
      </c>
    </row>
    <row r="382" spans="2:5" ht="30" customHeight="1">
      <c r="B382" s="52">
        <f t="shared" si="5"/>
        <v>0</v>
      </c>
      <c r="C382" s="77"/>
      <c r="D382" s="75"/>
      <c r="E382" s="52">
        <v>3.77E-4</v>
      </c>
    </row>
    <row r="383" spans="2:5" ht="30" customHeight="1">
      <c r="B383" s="52">
        <f t="shared" si="5"/>
        <v>0</v>
      </c>
      <c r="C383" s="77"/>
      <c r="D383" s="75"/>
      <c r="E383" s="52">
        <v>3.7800000000000003E-4</v>
      </c>
    </row>
    <row r="384" spans="2:5" ht="30" customHeight="1">
      <c r="B384" s="52">
        <f t="shared" si="5"/>
        <v>0</v>
      </c>
      <c r="C384" s="77"/>
      <c r="D384" s="75"/>
      <c r="E384" s="52">
        <v>3.79E-4</v>
      </c>
    </row>
    <row r="385" spans="2:5" ht="30" customHeight="1">
      <c r="B385" s="52">
        <f t="shared" si="5"/>
        <v>0</v>
      </c>
      <c r="C385" s="77"/>
      <c r="D385" s="75"/>
      <c r="E385" s="52">
        <v>3.8000000000000002E-4</v>
      </c>
    </row>
    <row r="386" spans="2:5" ht="30" customHeight="1">
      <c r="B386" s="52">
        <f t="shared" si="5"/>
        <v>0</v>
      </c>
      <c r="C386" s="77"/>
      <c r="D386" s="75"/>
      <c r="E386" s="52">
        <v>3.8099999999999999E-4</v>
      </c>
    </row>
    <row r="387" spans="2:5" ht="30" customHeight="1">
      <c r="B387" s="52">
        <f t="shared" si="5"/>
        <v>0</v>
      </c>
      <c r="C387" s="77"/>
      <c r="D387" s="75"/>
      <c r="E387" s="52">
        <v>3.8200000000000002E-4</v>
      </c>
    </row>
    <row r="388" spans="2:5" ht="30" customHeight="1">
      <c r="B388" s="52">
        <f t="shared" si="5"/>
        <v>0</v>
      </c>
      <c r="C388" s="77"/>
      <c r="D388" s="75"/>
      <c r="E388" s="52">
        <v>3.8299999999999999E-4</v>
      </c>
    </row>
    <row r="389" spans="2:5" ht="30" customHeight="1">
      <c r="B389" s="52">
        <f t="shared" si="5"/>
        <v>0</v>
      </c>
      <c r="C389" s="77"/>
      <c r="D389" s="75"/>
      <c r="E389" s="52">
        <v>3.8400000000000001E-4</v>
      </c>
    </row>
    <row r="390" spans="2:5" ht="30" customHeight="1">
      <c r="B390" s="52">
        <f t="shared" ref="B390:B453" si="6">IF(C390="",0,D390+E390)</f>
        <v>0</v>
      </c>
      <c r="C390" s="77"/>
      <c r="D390" s="75"/>
      <c r="E390" s="52">
        <v>3.8499999999999998E-4</v>
      </c>
    </row>
    <row r="391" spans="2:5" ht="30" customHeight="1">
      <c r="B391" s="52">
        <f t="shared" si="6"/>
        <v>0</v>
      </c>
      <c r="C391" s="77"/>
      <c r="D391" s="75"/>
      <c r="E391" s="52">
        <v>3.86E-4</v>
      </c>
    </row>
    <row r="392" spans="2:5" ht="30" customHeight="1">
      <c r="B392" s="52">
        <f t="shared" si="6"/>
        <v>0</v>
      </c>
      <c r="C392" s="77"/>
      <c r="D392" s="75"/>
      <c r="E392" s="52">
        <v>3.8699999999999997E-4</v>
      </c>
    </row>
    <row r="393" spans="2:5" ht="30" customHeight="1">
      <c r="B393" s="52">
        <f t="shared" si="6"/>
        <v>0</v>
      </c>
      <c r="C393" s="77"/>
      <c r="D393" s="75"/>
      <c r="E393" s="52">
        <v>3.88E-4</v>
      </c>
    </row>
    <row r="394" spans="2:5" ht="30" customHeight="1">
      <c r="B394" s="52">
        <f t="shared" si="6"/>
        <v>0</v>
      </c>
      <c r="C394" s="77"/>
      <c r="D394" s="75"/>
      <c r="E394" s="52">
        <v>3.8900000000000002E-4</v>
      </c>
    </row>
    <row r="395" spans="2:5" ht="30" customHeight="1">
      <c r="B395" s="52">
        <f t="shared" si="6"/>
        <v>0</v>
      </c>
      <c r="C395" s="77"/>
      <c r="D395" s="75"/>
      <c r="E395" s="52">
        <v>3.8999999999999999E-4</v>
      </c>
    </row>
    <row r="396" spans="2:5" ht="30" customHeight="1">
      <c r="B396" s="52">
        <f t="shared" si="6"/>
        <v>0</v>
      </c>
      <c r="C396" s="77"/>
      <c r="D396" s="75"/>
      <c r="E396" s="52">
        <v>3.9100000000000002E-4</v>
      </c>
    </row>
    <row r="397" spans="2:5" ht="30" customHeight="1">
      <c r="B397" s="52">
        <f t="shared" si="6"/>
        <v>0</v>
      </c>
      <c r="C397" s="77"/>
      <c r="D397" s="75"/>
      <c r="E397" s="52">
        <v>3.9199999999999999E-4</v>
      </c>
    </row>
    <row r="398" spans="2:5" ht="30" customHeight="1">
      <c r="B398" s="52">
        <f t="shared" si="6"/>
        <v>0</v>
      </c>
      <c r="C398" s="77"/>
      <c r="D398" s="75"/>
      <c r="E398" s="52">
        <v>3.9300000000000001E-4</v>
      </c>
    </row>
    <row r="399" spans="2:5" ht="30" customHeight="1">
      <c r="B399" s="52">
        <f t="shared" si="6"/>
        <v>0</v>
      </c>
      <c r="C399" s="77"/>
      <c r="D399" s="75"/>
      <c r="E399" s="52">
        <v>3.9399999999999998E-4</v>
      </c>
    </row>
    <row r="400" spans="2:5" ht="30" customHeight="1">
      <c r="B400" s="52">
        <f t="shared" si="6"/>
        <v>0</v>
      </c>
      <c r="C400" s="77"/>
      <c r="D400" s="75"/>
      <c r="E400" s="52">
        <v>3.9500000000000001E-4</v>
      </c>
    </row>
    <row r="401" spans="2:5" ht="30" customHeight="1">
      <c r="B401" s="52">
        <f t="shared" si="6"/>
        <v>0</v>
      </c>
      <c r="C401" s="77"/>
      <c r="D401" s="75"/>
      <c r="E401" s="52">
        <v>3.9599999999999998E-4</v>
      </c>
    </row>
    <row r="402" spans="2:5" ht="30" customHeight="1">
      <c r="B402" s="52">
        <f t="shared" si="6"/>
        <v>0</v>
      </c>
      <c r="C402" s="77"/>
      <c r="D402" s="75"/>
      <c r="E402" s="52">
        <v>3.97E-4</v>
      </c>
    </row>
    <row r="403" spans="2:5" ht="30" customHeight="1">
      <c r="B403" s="52">
        <f t="shared" si="6"/>
        <v>0</v>
      </c>
      <c r="C403" s="77"/>
      <c r="D403" s="75"/>
      <c r="E403" s="52">
        <v>3.9800000000000002E-4</v>
      </c>
    </row>
    <row r="404" spans="2:5" ht="30" customHeight="1">
      <c r="B404" s="52">
        <f t="shared" si="6"/>
        <v>0</v>
      </c>
      <c r="C404" s="77"/>
      <c r="D404" s="75"/>
      <c r="E404" s="52">
        <v>3.9899999999999999E-4</v>
      </c>
    </row>
    <row r="405" spans="2:5" ht="30" customHeight="1">
      <c r="B405" s="52">
        <f t="shared" si="6"/>
        <v>0</v>
      </c>
      <c r="C405" s="77"/>
      <c r="D405" s="75"/>
      <c r="E405" s="52">
        <v>4.0000000000000002E-4</v>
      </c>
    </row>
    <row r="406" spans="2:5" ht="30" customHeight="1">
      <c r="B406" s="52">
        <f t="shared" si="6"/>
        <v>0</v>
      </c>
      <c r="C406" s="77"/>
      <c r="D406" s="75"/>
      <c r="E406" s="52">
        <v>4.0099999999999999E-4</v>
      </c>
    </row>
    <row r="407" spans="2:5" ht="30" customHeight="1">
      <c r="B407" s="52">
        <f t="shared" si="6"/>
        <v>0</v>
      </c>
      <c r="C407" s="77"/>
      <c r="D407" s="75"/>
      <c r="E407" s="52">
        <v>4.0200000000000001E-4</v>
      </c>
    </row>
    <row r="408" spans="2:5" ht="30" customHeight="1">
      <c r="B408" s="52">
        <f t="shared" si="6"/>
        <v>0</v>
      </c>
      <c r="C408" s="77"/>
      <c r="D408" s="75"/>
      <c r="E408" s="52">
        <v>4.0299999999999998E-4</v>
      </c>
    </row>
    <row r="409" spans="2:5" ht="30" customHeight="1">
      <c r="B409" s="52">
        <f t="shared" si="6"/>
        <v>0</v>
      </c>
      <c r="C409" s="77"/>
      <c r="D409" s="75"/>
      <c r="E409" s="52">
        <v>4.0400000000000001E-4</v>
      </c>
    </row>
    <row r="410" spans="2:5" ht="30" customHeight="1">
      <c r="B410" s="52">
        <f t="shared" si="6"/>
        <v>0</v>
      </c>
      <c r="C410" s="77"/>
      <c r="D410" s="75"/>
      <c r="E410" s="52">
        <v>4.0499999999999998E-4</v>
      </c>
    </row>
    <row r="411" spans="2:5" ht="30" customHeight="1">
      <c r="B411" s="52">
        <f t="shared" si="6"/>
        <v>0</v>
      </c>
      <c r="C411" s="77"/>
      <c r="D411" s="75"/>
      <c r="E411" s="52">
        <v>4.06E-4</v>
      </c>
    </row>
    <row r="412" spans="2:5" ht="30" customHeight="1">
      <c r="B412" s="52">
        <f t="shared" si="6"/>
        <v>0</v>
      </c>
      <c r="C412" s="77"/>
      <c r="D412" s="75"/>
      <c r="E412" s="52">
        <v>4.0700000000000003E-4</v>
      </c>
    </row>
    <row r="413" spans="2:5" ht="30" customHeight="1">
      <c r="B413" s="52">
        <f t="shared" si="6"/>
        <v>0</v>
      </c>
      <c r="C413" s="77"/>
      <c r="D413" s="75"/>
      <c r="E413" s="52">
        <v>4.08E-4</v>
      </c>
    </row>
    <row r="414" spans="2:5" ht="30" customHeight="1">
      <c r="B414" s="52">
        <f t="shared" si="6"/>
        <v>0</v>
      </c>
      <c r="C414" s="77"/>
      <c r="D414" s="75"/>
      <c r="E414" s="52">
        <v>4.0900000000000002E-4</v>
      </c>
    </row>
    <row r="415" spans="2:5" ht="30" customHeight="1">
      <c r="B415" s="52">
        <f t="shared" si="6"/>
        <v>0</v>
      </c>
      <c r="C415" s="77"/>
      <c r="D415" s="75"/>
      <c r="E415" s="52">
        <v>4.0999999999999999E-4</v>
      </c>
    </row>
    <row r="416" spans="2:5" ht="30" customHeight="1">
      <c r="B416" s="52">
        <f t="shared" si="6"/>
        <v>0</v>
      </c>
      <c r="C416" s="77"/>
      <c r="D416" s="75"/>
      <c r="E416" s="52">
        <v>4.1100000000000002E-4</v>
      </c>
    </row>
    <row r="417" spans="2:5" ht="30" customHeight="1">
      <c r="B417" s="52">
        <f t="shared" si="6"/>
        <v>0</v>
      </c>
      <c r="C417" s="77"/>
      <c r="D417" s="75"/>
      <c r="E417" s="52">
        <v>4.1199999999999999E-4</v>
      </c>
    </row>
    <row r="418" spans="2:5" ht="30" customHeight="1">
      <c r="B418" s="52">
        <f t="shared" si="6"/>
        <v>0</v>
      </c>
      <c r="C418" s="77"/>
      <c r="D418" s="75"/>
      <c r="E418" s="52">
        <v>4.1300000000000001E-4</v>
      </c>
    </row>
    <row r="419" spans="2:5" ht="30" customHeight="1">
      <c r="B419" s="52">
        <f t="shared" si="6"/>
        <v>0</v>
      </c>
      <c r="C419" s="77"/>
      <c r="D419" s="75"/>
      <c r="E419" s="52">
        <v>4.1399999999999998E-4</v>
      </c>
    </row>
    <row r="420" spans="2:5" ht="30" customHeight="1">
      <c r="B420" s="52">
        <f t="shared" si="6"/>
        <v>0</v>
      </c>
      <c r="C420" s="77"/>
      <c r="D420" s="75"/>
      <c r="E420" s="52">
        <v>4.15E-4</v>
      </c>
    </row>
    <row r="421" spans="2:5" ht="30" customHeight="1">
      <c r="B421" s="52">
        <f t="shared" si="6"/>
        <v>0</v>
      </c>
      <c r="C421" s="77"/>
      <c r="D421" s="75"/>
      <c r="E421" s="52">
        <v>4.1599999999999997E-4</v>
      </c>
    </row>
    <row r="422" spans="2:5" ht="30" customHeight="1">
      <c r="B422" s="52">
        <f t="shared" si="6"/>
        <v>0</v>
      </c>
      <c r="C422" s="77"/>
      <c r="D422" s="75"/>
      <c r="E422" s="52">
        <v>4.17E-4</v>
      </c>
    </row>
    <row r="423" spans="2:5" ht="30" customHeight="1">
      <c r="B423" s="52">
        <f t="shared" si="6"/>
        <v>0</v>
      </c>
      <c r="C423" s="77"/>
      <c r="D423" s="75"/>
      <c r="E423" s="52">
        <v>4.1800000000000002E-4</v>
      </c>
    </row>
    <row r="424" spans="2:5" ht="30" customHeight="1">
      <c r="B424" s="52">
        <f t="shared" si="6"/>
        <v>0</v>
      </c>
      <c r="C424" s="77"/>
      <c r="D424" s="75"/>
      <c r="E424" s="52">
        <v>4.1899999999999999E-4</v>
      </c>
    </row>
    <row r="425" spans="2:5" ht="30" customHeight="1">
      <c r="B425" s="52">
        <f t="shared" si="6"/>
        <v>0</v>
      </c>
      <c r="C425" s="77"/>
      <c r="D425" s="75"/>
      <c r="E425" s="52">
        <v>4.2000000000000002E-4</v>
      </c>
    </row>
    <row r="426" spans="2:5" ht="30" customHeight="1">
      <c r="B426" s="52">
        <f t="shared" si="6"/>
        <v>0</v>
      </c>
      <c r="C426" s="77"/>
      <c r="D426" s="75"/>
      <c r="E426" s="52">
        <v>4.2099999999999999E-4</v>
      </c>
    </row>
    <row r="427" spans="2:5" ht="30" customHeight="1">
      <c r="B427" s="52">
        <f t="shared" si="6"/>
        <v>0</v>
      </c>
      <c r="C427" s="77"/>
      <c r="D427" s="75"/>
      <c r="E427" s="52">
        <v>4.2200000000000001E-4</v>
      </c>
    </row>
    <row r="428" spans="2:5" ht="30" customHeight="1">
      <c r="B428" s="52">
        <f t="shared" si="6"/>
        <v>0</v>
      </c>
      <c r="C428" s="77"/>
      <c r="D428" s="75"/>
      <c r="E428" s="52">
        <v>4.2299999999999998E-4</v>
      </c>
    </row>
    <row r="429" spans="2:5" ht="30" customHeight="1">
      <c r="B429" s="52">
        <f t="shared" si="6"/>
        <v>0</v>
      </c>
      <c r="C429" s="77"/>
      <c r="D429" s="75"/>
      <c r="E429" s="52">
        <v>4.2400000000000001E-4</v>
      </c>
    </row>
    <row r="430" spans="2:5" ht="30" customHeight="1">
      <c r="B430" s="52">
        <f t="shared" si="6"/>
        <v>0</v>
      </c>
      <c r="C430" s="77"/>
      <c r="D430" s="75"/>
      <c r="E430" s="52">
        <v>4.2499999999999998E-4</v>
      </c>
    </row>
    <row r="431" spans="2:5" ht="30" customHeight="1">
      <c r="B431" s="52">
        <f t="shared" si="6"/>
        <v>0</v>
      </c>
      <c r="C431" s="77"/>
      <c r="D431" s="75"/>
      <c r="E431" s="52">
        <v>4.26E-4</v>
      </c>
    </row>
    <row r="432" spans="2:5" ht="30" customHeight="1">
      <c r="B432" s="52">
        <f t="shared" si="6"/>
        <v>0</v>
      </c>
      <c r="C432" s="77"/>
      <c r="D432" s="75"/>
      <c r="E432" s="52">
        <v>4.2700000000000002E-4</v>
      </c>
    </row>
    <row r="433" spans="2:5" ht="30" customHeight="1">
      <c r="B433" s="52">
        <f t="shared" si="6"/>
        <v>0</v>
      </c>
      <c r="C433" s="77"/>
      <c r="D433" s="75"/>
      <c r="E433" s="52">
        <v>4.28E-4</v>
      </c>
    </row>
    <row r="434" spans="2:5" ht="30" customHeight="1">
      <c r="B434" s="52">
        <f t="shared" si="6"/>
        <v>0</v>
      </c>
      <c r="C434" s="77"/>
      <c r="D434" s="75"/>
      <c r="E434" s="52">
        <v>4.2900000000000002E-4</v>
      </c>
    </row>
    <row r="435" spans="2:5" ht="30" customHeight="1">
      <c r="B435" s="52">
        <f t="shared" si="6"/>
        <v>0</v>
      </c>
      <c r="C435" s="77"/>
      <c r="D435" s="75"/>
      <c r="E435" s="52">
        <v>4.2999999999999999E-4</v>
      </c>
    </row>
    <row r="436" spans="2:5" ht="30" customHeight="1">
      <c r="B436" s="52">
        <f t="shared" si="6"/>
        <v>0</v>
      </c>
      <c r="C436" s="77"/>
      <c r="D436" s="75"/>
      <c r="E436" s="52">
        <v>4.3100000000000001E-4</v>
      </c>
    </row>
    <row r="437" spans="2:5" ht="30" customHeight="1">
      <c r="B437" s="52">
        <f t="shared" si="6"/>
        <v>0</v>
      </c>
      <c r="C437" s="77"/>
      <c r="D437" s="75"/>
      <c r="E437" s="52">
        <v>4.3199999999999998E-4</v>
      </c>
    </row>
    <row r="438" spans="2:5" ht="30" customHeight="1">
      <c r="B438" s="52">
        <f t="shared" si="6"/>
        <v>0</v>
      </c>
      <c r="C438" s="77"/>
      <c r="D438" s="75"/>
      <c r="E438" s="52">
        <v>4.3300000000000001E-4</v>
      </c>
    </row>
    <row r="439" spans="2:5" ht="30" customHeight="1">
      <c r="B439" s="52">
        <f t="shared" si="6"/>
        <v>0</v>
      </c>
      <c r="C439" s="77"/>
      <c r="D439" s="75"/>
      <c r="E439" s="52">
        <v>4.3399999999999998E-4</v>
      </c>
    </row>
    <row r="440" spans="2:5" ht="30" customHeight="1">
      <c r="B440" s="52">
        <f t="shared" si="6"/>
        <v>0</v>
      </c>
      <c r="C440" s="77"/>
      <c r="D440" s="75"/>
      <c r="E440" s="52">
        <v>4.35E-4</v>
      </c>
    </row>
    <row r="441" spans="2:5" ht="30" customHeight="1">
      <c r="B441" s="52">
        <f t="shared" si="6"/>
        <v>0</v>
      </c>
      <c r="C441" s="77"/>
      <c r="D441" s="75"/>
      <c r="E441" s="52">
        <v>4.3600000000000003E-4</v>
      </c>
    </row>
    <row r="442" spans="2:5" ht="30" customHeight="1">
      <c r="B442" s="52">
        <f t="shared" si="6"/>
        <v>0</v>
      </c>
      <c r="C442" s="77"/>
      <c r="D442" s="75"/>
      <c r="E442" s="52">
        <v>4.37E-4</v>
      </c>
    </row>
    <row r="443" spans="2:5" ht="30" customHeight="1">
      <c r="B443" s="52">
        <f t="shared" si="6"/>
        <v>0</v>
      </c>
      <c r="C443" s="77"/>
      <c r="D443" s="75"/>
      <c r="E443" s="52">
        <v>4.3800000000000002E-4</v>
      </c>
    </row>
    <row r="444" spans="2:5" ht="30" customHeight="1">
      <c r="B444" s="52">
        <f t="shared" si="6"/>
        <v>0</v>
      </c>
      <c r="C444" s="77"/>
      <c r="D444" s="75"/>
      <c r="E444" s="52">
        <v>4.3899999999999999E-4</v>
      </c>
    </row>
    <row r="445" spans="2:5" ht="30" customHeight="1">
      <c r="B445" s="52">
        <f t="shared" si="6"/>
        <v>0</v>
      </c>
      <c r="C445" s="77"/>
      <c r="D445" s="75"/>
      <c r="E445" s="52">
        <v>4.4000000000000002E-4</v>
      </c>
    </row>
    <row r="446" spans="2:5" ht="30" customHeight="1">
      <c r="B446" s="52">
        <f t="shared" si="6"/>
        <v>0</v>
      </c>
      <c r="C446" s="77"/>
      <c r="D446" s="75"/>
      <c r="E446" s="52">
        <v>4.4099999999999999E-4</v>
      </c>
    </row>
    <row r="447" spans="2:5" ht="30" customHeight="1">
      <c r="B447" s="52">
        <f t="shared" si="6"/>
        <v>0</v>
      </c>
      <c r="C447" s="77"/>
      <c r="D447" s="75"/>
      <c r="E447" s="52">
        <v>4.4200000000000001E-4</v>
      </c>
    </row>
    <row r="448" spans="2:5" ht="30" customHeight="1">
      <c r="B448" s="52">
        <f t="shared" si="6"/>
        <v>0</v>
      </c>
      <c r="C448" s="77"/>
      <c r="D448" s="75"/>
      <c r="E448" s="52">
        <v>4.4299999999999998E-4</v>
      </c>
    </row>
    <row r="449" spans="2:5" ht="30" customHeight="1">
      <c r="B449" s="52">
        <f t="shared" si="6"/>
        <v>0</v>
      </c>
      <c r="C449" s="77"/>
      <c r="D449" s="75"/>
      <c r="E449" s="52">
        <v>4.44E-4</v>
      </c>
    </row>
    <row r="450" spans="2:5" ht="30" customHeight="1">
      <c r="B450" s="52">
        <f t="shared" si="6"/>
        <v>0</v>
      </c>
      <c r="C450" s="77"/>
      <c r="D450" s="75"/>
      <c r="E450" s="52">
        <v>4.4499999999999997E-4</v>
      </c>
    </row>
    <row r="451" spans="2:5" ht="30" customHeight="1">
      <c r="B451" s="52">
        <f t="shared" si="6"/>
        <v>0</v>
      </c>
      <c r="C451" s="77"/>
      <c r="D451" s="75"/>
      <c r="E451" s="52">
        <v>4.46E-4</v>
      </c>
    </row>
    <row r="452" spans="2:5" ht="30" customHeight="1">
      <c r="B452" s="52">
        <f t="shared" si="6"/>
        <v>0</v>
      </c>
      <c r="C452" s="77"/>
      <c r="D452" s="75"/>
      <c r="E452" s="52">
        <v>4.4700000000000002E-4</v>
      </c>
    </row>
    <row r="453" spans="2:5" ht="30" customHeight="1">
      <c r="B453" s="52">
        <f t="shared" si="6"/>
        <v>0</v>
      </c>
      <c r="C453" s="77"/>
      <c r="D453" s="75"/>
      <c r="E453" s="52">
        <v>4.4799999999999999E-4</v>
      </c>
    </row>
    <row r="454" spans="2:5" ht="30" customHeight="1">
      <c r="B454" s="52">
        <f t="shared" ref="B454:B505" si="7">IF(C454="",0,D454+E454)</f>
        <v>0</v>
      </c>
      <c r="C454" s="77"/>
      <c r="D454" s="75"/>
      <c r="E454" s="52">
        <v>4.4900000000000002E-4</v>
      </c>
    </row>
    <row r="455" spans="2:5" ht="30" customHeight="1">
      <c r="B455" s="52">
        <f t="shared" si="7"/>
        <v>0</v>
      </c>
      <c r="C455" s="77"/>
      <c r="D455" s="75"/>
      <c r="E455" s="52">
        <v>4.4999999999999999E-4</v>
      </c>
    </row>
    <row r="456" spans="2:5" ht="30" customHeight="1">
      <c r="B456" s="52">
        <f t="shared" si="7"/>
        <v>0</v>
      </c>
      <c r="C456" s="77"/>
      <c r="D456" s="75"/>
      <c r="E456" s="52">
        <v>4.5100000000000001E-4</v>
      </c>
    </row>
    <row r="457" spans="2:5" ht="30" customHeight="1">
      <c r="B457" s="52">
        <f t="shared" si="7"/>
        <v>0</v>
      </c>
      <c r="C457" s="77"/>
      <c r="D457" s="75"/>
      <c r="E457" s="52">
        <v>4.5199999999999998E-4</v>
      </c>
    </row>
    <row r="458" spans="2:5" ht="30" customHeight="1">
      <c r="B458" s="52">
        <f t="shared" si="7"/>
        <v>0</v>
      </c>
      <c r="C458" s="77"/>
      <c r="D458" s="75"/>
      <c r="E458" s="52">
        <v>4.5300000000000001E-4</v>
      </c>
    </row>
    <row r="459" spans="2:5" ht="30" customHeight="1">
      <c r="B459" s="52">
        <f t="shared" si="7"/>
        <v>0</v>
      </c>
      <c r="C459" s="77"/>
      <c r="D459" s="75"/>
      <c r="E459" s="52">
        <v>4.5399999999999998E-4</v>
      </c>
    </row>
    <row r="460" spans="2:5" ht="30" customHeight="1">
      <c r="B460" s="52">
        <f t="shared" si="7"/>
        <v>0</v>
      </c>
      <c r="C460" s="77"/>
      <c r="D460" s="75"/>
      <c r="E460" s="52">
        <v>4.55E-4</v>
      </c>
    </row>
    <row r="461" spans="2:5" ht="30" customHeight="1">
      <c r="B461" s="52">
        <f t="shared" si="7"/>
        <v>0</v>
      </c>
      <c r="C461" s="77"/>
      <c r="D461" s="75"/>
      <c r="E461" s="52">
        <v>4.5600000000000003E-4</v>
      </c>
    </row>
    <row r="462" spans="2:5" ht="30" customHeight="1">
      <c r="B462" s="52">
        <f t="shared" si="7"/>
        <v>0</v>
      </c>
      <c r="C462" s="77"/>
      <c r="D462" s="75"/>
      <c r="E462" s="52">
        <v>4.57E-4</v>
      </c>
    </row>
    <row r="463" spans="2:5" ht="30" customHeight="1">
      <c r="B463" s="52">
        <f t="shared" si="7"/>
        <v>0</v>
      </c>
      <c r="C463" s="77"/>
      <c r="D463" s="75"/>
      <c r="E463" s="52">
        <v>4.5800000000000002E-4</v>
      </c>
    </row>
    <row r="464" spans="2:5" ht="30" customHeight="1">
      <c r="B464" s="52">
        <f t="shared" si="7"/>
        <v>0</v>
      </c>
      <c r="C464" s="77"/>
      <c r="D464" s="75"/>
      <c r="E464" s="52">
        <v>4.5899999999999999E-4</v>
      </c>
    </row>
    <row r="465" spans="2:5" ht="30" customHeight="1">
      <c r="B465" s="52">
        <f t="shared" si="7"/>
        <v>0</v>
      </c>
      <c r="C465" s="77"/>
      <c r="D465" s="75"/>
      <c r="E465" s="52">
        <v>4.6000000000000001E-4</v>
      </c>
    </row>
    <row r="466" spans="2:5" ht="30" customHeight="1">
      <c r="B466" s="52">
        <f t="shared" si="7"/>
        <v>0</v>
      </c>
      <c r="C466" s="77"/>
      <c r="D466" s="75"/>
      <c r="E466" s="52">
        <v>4.6099999999999998E-4</v>
      </c>
    </row>
    <row r="467" spans="2:5" ht="30" customHeight="1">
      <c r="B467" s="52">
        <f t="shared" si="7"/>
        <v>0</v>
      </c>
      <c r="C467" s="77"/>
      <c r="D467" s="75"/>
      <c r="E467" s="52">
        <v>4.6200000000000001E-4</v>
      </c>
    </row>
    <row r="468" spans="2:5" ht="30" customHeight="1">
      <c r="B468" s="52">
        <f t="shared" si="7"/>
        <v>0</v>
      </c>
      <c r="C468" s="77"/>
      <c r="D468" s="75"/>
      <c r="E468" s="52">
        <v>4.6299999999999998E-4</v>
      </c>
    </row>
    <row r="469" spans="2:5" ht="30" customHeight="1">
      <c r="B469" s="52">
        <f t="shared" si="7"/>
        <v>0</v>
      </c>
      <c r="C469" s="77"/>
      <c r="D469" s="75"/>
      <c r="E469" s="52">
        <v>4.64E-4</v>
      </c>
    </row>
    <row r="470" spans="2:5" ht="30" customHeight="1">
      <c r="B470" s="52">
        <f t="shared" si="7"/>
        <v>0</v>
      </c>
      <c r="C470" s="77"/>
      <c r="D470" s="75"/>
      <c r="E470" s="52">
        <v>4.6500000000000003E-4</v>
      </c>
    </row>
    <row r="471" spans="2:5" ht="30" customHeight="1">
      <c r="B471" s="52">
        <f t="shared" si="7"/>
        <v>0</v>
      </c>
      <c r="C471" s="77"/>
      <c r="D471" s="75"/>
      <c r="E471" s="52">
        <v>4.66E-4</v>
      </c>
    </row>
    <row r="472" spans="2:5" ht="30" customHeight="1">
      <c r="B472" s="52">
        <f t="shared" si="7"/>
        <v>0</v>
      </c>
      <c r="C472" s="77"/>
      <c r="D472" s="75"/>
      <c r="E472" s="52">
        <v>4.6700000000000002E-4</v>
      </c>
    </row>
    <row r="473" spans="2:5" ht="30" customHeight="1">
      <c r="B473" s="52">
        <f t="shared" si="7"/>
        <v>0</v>
      </c>
      <c r="C473" s="77"/>
      <c r="D473" s="75"/>
      <c r="E473" s="52">
        <v>4.6799999999999999E-4</v>
      </c>
    </row>
    <row r="474" spans="2:5" ht="30" customHeight="1">
      <c r="B474" s="52">
        <f t="shared" si="7"/>
        <v>0</v>
      </c>
      <c r="C474" s="77"/>
      <c r="D474" s="75"/>
      <c r="E474" s="52">
        <v>4.6900000000000002E-4</v>
      </c>
    </row>
    <row r="475" spans="2:5" ht="30" customHeight="1">
      <c r="B475" s="52">
        <f t="shared" si="7"/>
        <v>0</v>
      </c>
      <c r="C475" s="77"/>
      <c r="D475" s="75"/>
      <c r="E475" s="52">
        <v>4.6999999999999999E-4</v>
      </c>
    </row>
    <row r="476" spans="2:5" ht="30" customHeight="1">
      <c r="B476" s="52">
        <f t="shared" si="7"/>
        <v>0</v>
      </c>
      <c r="C476" s="77"/>
      <c r="D476" s="75"/>
      <c r="E476" s="52">
        <v>4.7100000000000001E-4</v>
      </c>
    </row>
    <row r="477" spans="2:5" ht="30" customHeight="1">
      <c r="B477" s="52">
        <f t="shared" si="7"/>
        <v>0</v>
      </c>
      <c r="C477" s="77"/>
      <c r="D477" s="75"/>
      <c r="E477" s="52">
        <v>4.7199999999999998E-4</v>
      </c>
    </row>
    <row r="478" spans="2:5" ht="30" customHeight="1">
      <c r="B478" s="52">
        <f t="shared" si="7"/>
        <v>0</v>
      </c>
      <c r="C478" s="77"/>
      <c r="D478" s="75"/>
      <c r="E478" s="52">
        <v>4.73E-4</v>
      </c>
    </row>
    <row r="479" spans="2:5" ht="30" customHeight="1">
      <c r="B479" s="52">
        <f t="shared" si="7"/>
        <v>0</v>
      </c>
      <c r="C479" s="77"/>
      <c r="D479" s="75"/>
      <c r="E479" s="52">
        <v>4.7399999999999997E-4</v>
      </c>
    </row>
    <row r="480" spans="2:5" ht="30" customHeight="1">
      <c r="B480" s="52">
        <f t="shared" si="7"/>
        <v>0</v>
      </c>
      <c r="C480" s="77"/>
      <c r="D480" s="75"/>
      <c r="E480" s="52">
        <v>4.75E-4</v>
      </c>
    </row>
    <row r="481" spans="2:5" ht="30" customHeight="1">
      <c r="B481" s="52">
        <f t="shared" si="7"/>
        <v>0</v>
      </c>
      <c r="C481" s="77"/>
      <c r="D481" s="75"/>
      <c r="E481" s="52">
        <v>4.7600000000000002E-4</v>
      </c>
    </row>
    <row r="482" spans="2:5" ht="30" customHeight="1">
      <c r="B482" s="52">
        <f t="shared" si="7"/>
        <v>0</v>
      </c>
      <c r="C482" s="77"/>
      <c r="D482" s="75"/>
      <c r="E482" s="52">
        <v>4.7699999999999999E-4</v>
      </c>
    </row>
    <row r="483" spans="2:5" ht="30" customHeight="1">
      <c r="B483" s="52">
        <f t="shared" si="7"/>
        <v>0</v>
      </c>
      <c r="C483" s="77"/>
      <c r="D483" s="75"/>
      <c r="E483" s="52">
        <v>4.7800000000000002E-4</v>
      </c>
    </row>
    <row r="484" spans="2:5" ht="30" customHeight="1">
      <c r="B484" s="52">
        <f t="shared" si="7"/>
        <v>0</v>
      </c>
      <c r="C484" s="77"/>
      <c r="D484" s="75"/>
      <c r="E484" s="52">
        <v>4.7899999999999999E-4</v>
      </c>
    </row>
    <row r="485" spans="2:5" ht="30" customHeight="1">
      <c r="B485" s="52">
        <f t="shared" si="7"/>
        <v>0</v>
      </c>
      <c r="C485" s="77"/>
      <c r="D485" s="75"/>
      <c r="E485" s="52">
        <v>4.8000000000000001E-4</v>
      </c>
    </row>
    <row r="486" spans="2:5" ht="30" customHeight="1">
      <c r="B486" s="52">
        <f t="shared" si="7"/>
        <v>0</v>
      </c>
      <c r="C486" s="77"/>
      <c r="D486" s="75"/>
      <c r="E486" s="52">
        <v>4.8099999999999998E-4</v>
      </c>
    </row>
    <row r="487" spans="2:5" ht="30" customHeight="1">
      <c r="B487" s="52">
        <f t="shared" si="7"/>
        <v>0</v>
      </c>
      <c r="C487" s="77"/>
      <c r="D487" s="75"/>
      <c r="E487" s="52">
        <v>4.8200000000000001E-4</v>
      </c>
    </row>
    <row r="488" spans="2:5" ht="30" customHeight="1">
      <c r="B488" s="52">
        <f t="shared" si="7"/>
        <v>0</v>
      </c>
      <c r="C488" s="77"/>
      <c r="D488" s="75"/>
      <c r="E488" s="52">
        <v>4.8299999999999998E-4</v>
      </c>
    </row>
    <row r="489" spans="2:5" ht="30" customHeight="1">
      <c r="B489" s="52">
        <f t="shared" si="7"/>
        <v>0</v>
      </c>
      <c r="C489" s="77"/>
      <c r="D489" s="75"/>
      <c r="E489" s="52">
        <v>4.84E-4</v>
      </c>
    </row>
    <row r="490" spans="2:5" ht="30" customHeight="1">
      <c r="B490" s="52">
        <f t="shared" si="7"/>
        <v>0</v>
      </c>
      <c r="C490" s="77"/>
      <c r="D490" s="75"/>
      <c r="E490" s="52">
        <v>4.8500000000000003E-4</v>
      </c>
    </row>
    <row r="491" spans="2:5" ht="30" customHeight="1">
      <c r="B491" s="52">
        <f t="shared" si="7"/>
        <v>0</v>
      </c>
      <c r="C491" s="77"/>
      <c r="D491" s="75"/>
      <c r="E491" s="52">
        <v>4.86E-4</v>
      </c>
    </row>
    <row r="492" spans="2:5" ht="30" customHeight="1">
      <c r="B492" s="52">
        <f t="shared" si="7"/>
        <v>0</v>
      </c>
      <c r="C492" s="77"/>
      <c r="D492" s="75"/>
      <c r="E492" s="52">
        <v>4.8700000000000002E-4</v>
      </c>
    </row>
    <row r="493" spans="2:5" ht="30" customHeight="1">
      <c r="B493" s="52">
        <f t="shared" si="7"/>
        <v>0</v>
      </c>
      <c r="C493" s="77"/>
      <c r="D493" s="75"/>
      <c r="E493" s="52">
        <v>4.8799999999999999E-4</v>
      </c>
    </row>
    <row r="494" spans="2:5" ht="30" customHeight="1">
      <c r="B494" s="52">
        <f t="shared" si="7"/>
        <v>0</v>
      </c>
      <c r="C494" s="77"/>
      <c r="D494" s="75"/>
      <c r="E494" s="52">
        <v>4.8899999999999996E-4</v>
      </c>
    </row>
    <row r="495" spans="2:5" ht="30" customHeight="1">
      <c r="B495" s="52">
        <f t="shared" si="7"/>
        <v>0</v>
      </c>
      <c r="C495" s="77"/>
      <c r="D495" s="75"/>
      <c r="E495" s="52">
        <v>4.8999999999999998E-4</v>
      </c>
    </row>
    <row r="496" spans="2:5" ht="30" customHeight="1">
      <c r="B496" s="52">
        <f t="shared" si="7"/>
        <v>0</v>
      </c>
      <c r="C496" s="77"/>
      <c r="D496" s="75"/>
      <c r="E496" s="52">
        <v>4.9100000000000001E-4</v>
      </c>
    </row>
    <row r="497" spans="2:5" ht="30" customHeight="1">
      <c r="B497" s="52">
        <f t="shared" si="7"/>
        <v>0</v>
      </c>
      <c r="C497" s="77"/>
      <c r="D497" s="75"/>
      <c r="E497" s="52">
        <v>4.9200000000000003E-4</v>
      </c>
    </row>
    <row r="498" spans="2:5" ht="30" customHeight="1">
      <c r="B498" s="52">
        <f t="shared" si="7"/>
        <v>0</v>
      </c>
      <c r="C498" s="77"/>
      <c r="D498" s="75"/>
      <c r="E498" s="52">
        <v>4.9299999999999995E-4</v>
      </c>
    </row>
    <row r="499" spans="2:5" ht="30" customHeight="1">
      <c r="B499" s="52">
        <f t="shared" si="7"/>
        <v>0</v>
      </c>
      <c r="C499" s="77"/>
      <c r="D499" s="75"/>
      <c r="E499" s="52">
        <v>4.9399999999999997E-4</v>
      </c>
    </row>
    <row r="500" spans="2:5" ht="30" customHeight="1">
      <c r="B500" s="52">
        <f t="shared" si="7"/>
        <v>0</v>
      </c>
      <c r="C500" s="77"/>
      <c r="D500" s="75"/>
      <c r="E500" s="52">
        <v>4.95E-4</v>
      </c>
    </row>
    <row r="501" spans="2:5" ht="30" customHeight="1">
      <c r="B501" s="52">
        <f t="shared" si="7"/>
        <v>0</v>
      </c>
      <c r="C501" s="77"/>
      <c r="D501" s="75"/>
      <c r="E501" s="52">
        <v>4.9600000000000002E-4</v>
      </c>
    </row>
    <row r="502" spans="2:5" ht="30" customHeight="1">
      <c r="B502" s="52">
        <f t="shared" si="7"/>
        <v>0</v>
      </c>
      <c r="C502" s="77"/>
      <c r="D502" s="75"/>
      <c r="E502" s="52">
        <v>4.9700000000000005E-4</v>
      </c>
    </row>
    <row r="503" spans="2:5" ht="30" customHeight="1">
      <c r="B503" s="52">
        <f t="shared" si="7"/>
        <v>0</v>
      </c>
      <c r="C503" s="77"/>
      <c r="D503" s="75"/>
      <c r="E503" s="52">
        <v>4.9799999999999996E-4</v>
      </c>
    </row>
    <row r="504" spans="2:5" ht="30" customHeight="1">
      <c r="B504" s="52">
        <f t="shared" si="7"/>
        <v>0</v>
      </c>
      <c r="C504" s="77"/>
      <c r="D504" s="75"/>
      <c r="E504" s="52">
        <v>4.9899999999999999E-4</v>
      </c>
    </row>
    <row r="505" spans="2:5" ht="30" customHeight="1">
      <c r="B505" s="52">
        <f t="shared" si="7"/>
        <v>0</v>
      </c>
      <c r="C505" s="77"/>
      <c r="D505" s="75"/>
      <c r="E505" s="52">
        <v>5.0000000000000001E-4</v>
      </c>
    </row>
    <row r="506" spans="2:5" ht="30" customHeight="1"/>
    <row r="507" spans="2:5" ht="30" customHeight="1"/>
    <row r="508" spans="2:5" ht="30" customHeight="1"/>
    <row r="509" spans="2:5" ht="30" customHeight="1"/>
    <row r="510" spans="2:5" ht="30" customHeight="1"/>
    <row r="511" spans="2:5" ht="30" customHeight="1"/>
    <row r="512" spans="2:5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</sheetData>
  <mergeCells count="12">
    <mergeCell ref="J13:J14"/>
    <mergeCell ref="I13:I14"/>
    <mergeCell ref="I5:J5"/>
    <mergeCell ref="F5:G5"/>
    <mergeCell ref="F7:F9"/>
    <mergeCell ref="G7:G9"/>
    <mergeCell ref="F10:F12"/>
    <mergeCell ref="G10:G12"/>
    <mergeCell ref="J7:J9"/>
    <mergeCell ref="I7:I9"/>
    <mergeCell ref="I10:I12"/>
    <mergeCell ref="J10:J12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FD589"/>
  <sheetViews>
    <sheetView showGridLines="0" zoomScale="90" zoomScaleNormal="90" zoomScalePageLayoutView="80" workbookViewId="0">
      <pane ySplit="5" topLeftCell="A6" activePane="bottomLeft" state="frozen"/>
      <selection activeCell="A3" sqref="A3:XFD3"/>
      <selection pane="bottomLeft" activeCell="C3" sqref="C3"/>
    </sheetView>
  </sheetViews>
  <sheetFormatPr defaultColWidth="11" defaultRowHeight="15"/>
  <cols>
    <col min="1" max="1" width="2.125" style="47" customWidth="1"/>
    <col min="2" max="2" width="1.375" style="47" customWidth="1"/>
    <col min="3" max="3" width="29.75" style="47" customWidth="1"/>
    <col min="4" max="4" width="28" style="47" customWidth="1"/>
    <col min="5" max="5" width="3.5" style="47" customWidth="1"/>
    <col min="6" max="6" width="29.875" style="47" customWidth="1"/>
    <col min="7" max="7" width="28" style="47" customWidth="1"/>
    <col min="8" max="16384" width="11" style="47"/>
  </cols>
  <sheetData>
    <row r="1" spans="1:16384" s="45" customFormat="1" ht="39" customHeight="1"/>
    <row r="2" spans="1:16384" s="46" customFormat="1" ht="30" customHeight="1">
      <c r="C2" s="39"/>
    </row>
    <row r="3" spans="1:16384" customFormat="1" ht="44.25" customHeight="1">
      <c r="A3" s="119"/>
      <c r="B3" s="120"/>
      <c r="C3" s="121"/>
      <c r="D3" s="120"/>
      <c r="E3" s="122"/>
      <c r="F3" s="122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0"/>
      <c r="CO3" s="120"/>
      <c r="CP3" s="120"/>
      <c r="CQ3" s="120"/>
      <c r="CR3" s="120"/>
      <c r="CS3" s="120"/>
      <c r="CT3" s="120"/>
      <c r="CU3" s="120"/>
      <c r="CV3" s="120"/>
      <c r="CW3" s="120"/>
      <c r="CX3" s="120"/>
      <c r="CY3" s="120"/>
      <c r="CZ3" s="120"/>
      <c r="DA3" s="120"/>
      <c r="DB3" s="120"/>
      <c r="DC3" s="120"/>
      <c r="DD3" s="120"/>
      <c r="DE3" s="120"/>
      <c r="DF3" s="120"/>
      <c r="DG3" s="120"/>
      <c r="DH3" s="120"/>
      <c r="DI3" s="120"/>
      <c r="DJ3" s="120"/>
      <c r="DK3" s="120"/>
      <c r="DL3" s="120"/>
      <c r="DM3" s="120"/>
      <c r="DN3" s="120"/>
      <c r="DO3" s="120"/>
      <c r="DP3" s="120"/>
      <c r="DQ3" s="120"/>
      <c r="DR3" s="120"/>
      <c r="DS3" s="120"/>
      <c r="DT3" s="120"/>
      <c r="DU3" s="120"/>
      <c r="DV3" s="120"/>
      <c r="DW3" s="120"/>
      <c r="DX3" s="120"/>
      <c r="DY3" s="120"/>
      <c r="DZ3" s="120"/>
      <c r="EA3" s="120"/>
      <c r="EB3" s="120"/>
      <c r="EC3" s="120"/>
      <c r="ED3" s="120"/>
      <c r="EE3" s="120"/>
      <c r="EF3" s="120"/>
      <c r="EG3" s="120"/>
      <c r="EH3" s="120"/>
      <c r="EI3" s="120"/>
      <c r="EJ3" s="120"/>
      <c r="EK3" s="120"/>
      <c r="EL3" s="120"/>
      <c r="EM3" s="120"/>
      <c r="EN3" s="120"/>
      <c r="EO3" s="120"/>
      <c r="EP3" s="120"/>
      <c r="EQ3" s="120"/>
      <c r="ER3" s="120"/>
      <c r="ES3" s="120"/>
      <c r="ET3" s="120"/>
      <c r="EU3" s="120"/>
      <c r="EV3" s="120"/>
      <c r="EW3" s="120"/>
      <c r="EX3" s="120"/>
      <c r="EY3" s="120"/>
      <c r="EZ3" s="120"/>
      <c r="FA3" s="120"/>
      <c r="FB3" s="120"/>
      <c r="FC3" s="120"/>
      <c r="FD3" s="120"/>
      <c r="FE3" s="120"/>
      <c r="FF3" s="120"/>
      <c r="FG3" s="120"/>
      <c r="FH3" s="120"/>
      <c r="FI3" s="120"/>
      <c r="FJ3" s="120"/>
      <c r="FK3" s="120"/>
      <c r="FL3" s="120"/>
      <c r="FM3" s="120"/>
      <c r="FN3" s="120"/>
      <c r="FO3" s="120"/>
      <c r="FP3" s="120"/>
      <c r="FQ3" s="120"/>
      <c r="FR3" s="120"/>
      <c r="FS3" s="120"/>
      <c r="FT3" s="120"/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0"/>
      <c r="GJ3" s="120"/>
      <c r="GK3" s="120"/>
      <c r="GL3" s="120"/>
      <c r="GM3" s="120"/>
      <c r="GN3" s="120"/>
      <c r="GO3" s="120"/>
      <c r="GP3" s="120"/>
      <c r="GQ3" s="120"/>
      <c r="GR3" s="120"/>
      <c r="GS3" s="120"/>
      <c r="GT3" s="120"/>
      <c r="GU3" s="120"/>
      <c r="GV3" s="120"/>
      <c r="GW3" s="120"/>
      <c r="GX3" s="120"/>
      <c r="GY3" s="120"/>
      <c r="GZ3" s="120"/>
      <c r="HA3" s="120"/>
      <c r="HB3" s="120"/>
      <c r="HC3" s="120"/>
      <c r="HD3" s="120"/>
      <c r="HE3" s="120"/>
      <c r="HF3" s="120"/>
      <c r="HG3" s="120"/>
      <c r="HH3" s="120"/>
      <c r="HI3" s="120"/>
      <c r="HJ3" s="120"/>
      <c r="HK3" s="120"/>
      <c r="HL3" s="120"/>
      <c r="HM3" s="120"/>
      <c r="HN3" s="120"/>
      <c r="HO3" s="120"/>
      <c r="HP3" s="120"/>
      <c r="HQ3" s="120"/>
      <c r="HR3" s="120"/>
      <c r="HS3" s="120"/>
      <c r="HT3" s="120"/>
      <c r="HU3" s="120"/>
      <c r="HV3" s="120"/>
      <c r="HW3" s="120"/>
      <c r="HX3" s="120"/>
      <c r="HY3" s="120"/>
      <c r="HZ3" s="120"/>
      <c r="IA3" s="120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P3" s="120"/>
      <c r="IQ3" s="120"/>
      <c r="IR3" s="120"/>
      <c r="IS3" s="120"/>
      <c r="IT3" s="120"/>
      <c r="IU3" s="120"/>
      <c r="IV3" s="120"/>
      <c r="IW3" s="120"/>
      <c r="IX3" s="120"/>
      <c r="IY3" s="120"/>
      <c r="IZ3" s="120"/>
      <c r="JA3" s="120"/>
      <c r="JB3" s="120"/>
      <c r="JC3" s="120"/>
      <c r="JD3" s="120"/>
      <c r="JE3" s="120"/>
      <c r="JF3" s="120"/>
      <c r="JG3" s="120"/>
      <c r="JH3" s="120"/>
      <c r="JI3" s="120"/>
      <c r="JJ3" s="120"/>
      <c r="JK3" s="120"/>
      <c r="JL3" s="120"/>
      <c r="JM3" s="120"/>
      <c r="JN3" s="120"/>
      <c r="JO3" s="120"/>
      <c r="JP3" s="120"/>
      <c r="JQ3" s="120"/>
      <c r="JR3" s="120"/>
      <c r="JS3" s="120"/>
      <c r="JT3" s="120"/>
      <c r="JU3" s="120"/>
      <c r="JV3" s="120"/>
      <c r="JW3" s="120"/>
      <c r="JX3" s="120"/>
      <c r="JY3" s="120"/>
      <c r="JZ3" s="120"/>
      <c r="KA3" s="120"/>
      <c r="KB3" s="120"/>
      <c r="KC3" s="120"/>
      <c r="KD3" s="120"/>
      <c r="KE3" s="120"/>
      <c r="KF3" s="120"/>
      <c r="KG3" s="120"/>
      <c r="KH3" s="120"/>
      <c r="KI3" s="120"/>
      <c r="KJ3" s="120"/>
      <c r="KK3" s="120"/>
      <c r="KL3" s="120"/>
      <c r="KM3" s="120"/>
      <c r="KN3" s="120"/>
      <c r="KO3" s="120"/>
      <c r="KP3" s="120"/>
      <c r="KQ3" s="120"/>
      <c r="KR3" s="120"/>
      <c r="KS3" s="120"/>
      <c r="KT3" s="120"/>
      <c r="KU3" s="120"/>
      <c r="KV3" s="120"/>
      <c r="KW3" s="120"/>
      <c r="KX3" s="120"/>
      <c r="KY3" s="120"/>
      <c r="KZ3" s="120"/>
      <c r="LA3" s="120"/>
      <c r="LB3" s="120"/>
      <c r="LC3" s="120"/>
      <c r="LD3" s="120"/>
      <c r="LE3" s="120"/>
      <c r="LF3" s="120"/>
      <c r="LG3" s="120"/>
      <c r="LH3" s="120"/>
      <c r="LI3" s="120"/>
      <c r="LJ3" s="120"/>
      <c r="LK3" s="120"/>
      <c r="LL3" s="120"/>
      <c r="LM3" s="120"/>
      <c r="LN3" s="120"/>
      <c r="LO3" s="120"/>
      <c r="LP3" s="120"/>
      <c r="LQ3" s="120"/>
      <c r="LR3" s="120"/>
      <c r="LS3" s="120"/>
      <c r="LT3" s="120"/>
      <c r="LU3" s="120"/>
      <c r="LV3" s="120"/>
      <c r="LW3" s="120"/>
      <c r="LX3" s="120"/>
      <c r="LY3" s="120"/>
      <c r="LZ3" s="120"/>
      <c r="MA3" s="120"/>
      <c r="MB3" s="120"/>
      <c r="MC3" s="120"/>
      <c r="MD3" s="120"/>
      <c r="ME3" s="120"/>
      <c r="MF3" s="120"/>
      <c r="MG3" s="120"/>
      <c r="MH3" s="120"/>
      <c r="MI3" s="120"/>
      <c r="MJ3" s="120"/>
      <c r="MK3" s="120"/>
      <c r="ML3" s="120"/>
      <c r="MM3" s="120"/>
      <c r="MN3" s="120"/>
      <c r="MO3" s="120"/>
      <c r="MP3" s="120"/>
      <c r="MQ3" s="120"/>
      <c r="MR3" s="120"/>
      <c r="MS3" s="120"/>
      <c r="MT3" s="120"/>
      <c r="MU3" s="120"/>
      <c r="MV3" s="120"/>
      <c r="MW3" s="120"/>
      <c r="MX3" s="120"/>
      <c r="MY3" s="120"/>
      <c r="MZ3" s="120"/>
      <c r="NA3" s="120"/>
      <c r="NB3" s="120"/>
      <c r="NC3" s="120"/>
      <c r="ND3" s="120"/>
      <c r="NE3" s="120"/>
      <c r="NF3" s="120"/>
      <c r="NG3" s="120"/>
      <c r="NH3" s="120"/>
      <c r="NI3" s="120"/>
      <c r="NJ3" s="120"/>
      <c r="NK3" s="120"/>
      <c r="NL3" s="120"/>
      <c r="NM3" s="120"/>
      <c r="NN3" s="120"/>
      <c r="NO3" s="120"/>
      <c r="NP3" s="120"/>
      <c r="NQ3" s="120"/>
      <c r="NR3" s="120"/>
      <c r="NS3" s="120"/>
      <c r="NT3" s="120"/>
      <c r="NU3" s="120"/>
      <c r="NV3" s="120"/>
      <c r="NW3" s="120"/>
      <c r="NX3" s="120"/>
      <c r="NY3" s="120"/>
      <c r="NZ3" s="120"/>
      <c r="OA3" s="120"/>
      <c r="OB3" s="120"/>
      <c r="OC3" s="120"/>
      <c r="OD3" s="120"/>
      <c r="OE3" s="120"/>
      <c r="OF3" s="120"/>
      <c r="OG3" s="120"/>
      <c r="OH3" s="120"/>
      <c r="OI3" s="120"/>
      <c r="OJ3" s="120"/>
      <c r="OK3" s="120"/>
      <c r="OL3" s="120"/>
      <c r="OM3" s="120"/>
      <c r="ON3" s="120"/>
      <c r="OO3" s="120"/>
      <c r="OP3" s="120"/>
      <c r="OQ3" s="120"/>
      <c r="OR3" s="120"/>
      <c r="OS3" s="120"/>
      <c r="OT3" s="120"/>
      <c r="OU3" s="120"/>
      <c r="OV3" s="120"/>
      <c r="OW3" s="120"/>
      <c r="OX3" s="120"/>
      <c r="OY3" s="120"/>
      <c r="OZ3" s="120"/>
      <c r="PA3" s="120"/>
      <c r="PB3" s="120"/>
      <c r="PC3" s="120"/>
      <c r="PD3" s="120"/>
      <c r="PE3" s="120"/>
      <c r="PF3" s="120"/>
      <c r="PG3" s="120"/>
      <c r="PH3" s="120"/>
      <c r="PI3" s="120"/>
      <c r="PJ3" s="120"/>
      <c r="PK3" s="120"/>
      <c r="PL3" s="120"/>
      <c r="PM3" s="120"/>
      <c r="PN3" s="120"/>
      <c r="PO3" s="120"/>
      <c r="PP3" s="120"/>
      <c r="PQ3" s="120"/>
      <c r="PR3" s="120"/>
      <c r="PS3" s="120"/>
      <c r="PT3" s="120"/>
      <c r="PU3" s="120"/>
      <c r="PV3" s="120"/>
      <c r="PW3" s="120"/>
      <c r="PX3" s="120"/>
      <c r="PY3" s="120"/>
      <c r="PZ3" s="120"/>
      <c r="QA3" s="120"/>
      <c r="QB3" s="120"/>
      <c r="QC3" s="120"/>
      <c r="QD3" s="120"/>
      <c r="QE3" s="120"/>
      <c r="QF3" s="120"/>
      <c r="QG3" s="120"/>
      <c r="QH3" s="120"/>
      <c r="QI3" s="120"/>
      <c r="QJ3" s="120"/>
      <c r="QK3" s="120"/>
      <c r="QL3" s="120"/>
      <c r="QM3" s="120"/>
      <c r="QN3" s="120"/>
      <c r="QO3" s="120"/>
      <c r="QP3" s="120"/>
      <c r="QQ3" s="120"/>
      <c r="QR3" s="120"/>
      <c r="QS3" s="120"/>
      <c r="QT3" s="120"/>
      <c r="QU3" s="120"/>
      <c r="QV3" s="120"/>
      <c r="QW3" s="120"/>
      <c r="QX3" s="120"/>
      <c r="QY3" s="120"/>
      <c r="QZ3" s="120"/>
      <c r="RA3" s="120"/>
      <c r="RB3" s="120"/>
      <c r="RC3" s="120"/>
      <c r="RD3" s="120"/>
      <c r="RE3" s="120"/>
      <c r="RF3" s="120"/>
      <c r="RG3" s="120"/>
      <c r="RH3" s="120"/>
      <c r="RI3" s="120"/>
      <c r="RJ3" s="120"/>
      <c r="RK3" s="120"/>
      <c r="RL3" s="120"/>
      <c r="RM3" s="120"/>
      <c r="RN3" s="120"/>
      <c r="RO3" s="120"/>
      <c r="RP3" s="120"/>
      <c r="RQ3" s="120"/>
      <c r="RR3" s="120"/>
      <c r="RS3" s="120"/>
      <c r="RT3" s="120"/>
      <c r="RU3" s="120"/>
      <c r="RV3" s="120"/>
      <c r="RW3" s="120"/>
      <c r="RX3" s="120"/>
      <c r="RY3" s="120"/>
      <c r="RZ3" s="120"/>
      <c r="SA3" s="120"/>
      <c r="SB3" s="120"/>
      <c r="SC3" s="120"/>
      <c r="SD3" s="120"/>
      <c r="SE3" s="120"/>
      <c r="SF3" s="120"/>
      <c r="SG3" s="120"/>
      <c r="SH3" s="120"/>
      <c r="SI3" s="120"/>
      <c r="SJ3" s="120"/>
      <c r="SK3" s="120"/>
      <c r="SL3" s="120"/>
      <c r="SM3" s="120"/>
      <c r="SN3" s="120"/>
      <c r="SO3" s="120"/>
      <c r="SP3" s="120"/>
      <c r="SQ3" s="120"/>
      <c r="SR3" s="120"/>
      <c r="SS3" s="120"/>
      <c r="ST3" s="120"/>
      <c r="SU3" s="120"/>
      <c r="SV3" s="120"/>
      <c r="SW3" s="120"/>
      <c r="SX3" s="120"/>
      <c r="SY3" s="120"/>
      <c r="SZ3" s="120"/>
      <c r="TA3" s="120"/>
      <c r="TB3" s="120"/>
      <c r="TC3" s="120"/>
      <c r="TD3" s="120"/>
      <c r="TE3" s="120"/>
      <c r="TF3" s="120"/>
      <c r="TG3" s="120"/>
      <c r="TH3" s="120"/>
      <c r="TI3" s="120"/>
      <c r="TJ3" s="120"/>
      <c r="TK3" s="120"/>
      <c r="TL3" s="120"/>
      <c r="TM3" s="120"/>
      <c r="TN3" s="120"/>
      <c r="TO3" s="120"/>
      <c r="TP3" s="120"/>
      <c r="TQ3" s="120"/>
      <c r="TR3" s="120"/>
      <c r="TS3" s="120"/>
      <c r="TT3" s="120"/>
      <c r="TU3" s="120"/>
      <c r="TV3" s="120"/>
      <c r="TW3" s="120"/>
      <c r="TX3" s="120"/>
      <c r="TY3" s="120"/>
      <c r="TZ3" s="120"/>
      <c r="UA3" s="120"/>
      <c r="UB3" s="120"/>
      <c r="UC3" s="120"/>
      <c r="UD3" s="120"/>
      <c r="UE3" s="120"/>
      <c r="UF3" s="120"/>
      <c r="UG3" s="120"/>
      <c r="UH3" s="120"/>
      <c r="UI3" s="120"/>
      <c r="UJ3" s="120"/>
      <c r="UK3" s="120"/>
      <c r="UL3" s="120"/>
      <c r="UM3" s="120"/>
      <c r="UN3" s="120"/>
      <c r="UO3" s="120"/>
      <c r="UP3" s="120"/>
      <c r="UQ3" s="120"/>
      <c r="UR3" s="120"/>
      <c r="US3" s="120"/>
      <c r="UT3" s="120"/>
      <c r="UU3" s="120"/>
      <c r="UV3" s="120"/>
      <c r="UW3" s="120"/>
      <c r="UX3" s="120"/>
      <c r="UY3" s="120"/>
      <c r="UZ3" s="120"/>
      <c r="VA3" s="120"/>
      <c r="VB3" s="120"/>
      <c r="VC3" s="120"/>
      <c r="VD3" s="120"/>
      <c r="VE3" s="120"/>
      <c r="VF3" s="120"/>
      <c r="VG3" s="120"/>
      <c r="VH3" s="120"/>
      <c r="VI3" s="120"/>
      <c r="VJ3" s="120"/>
      <c r="VK3" s="120"/>
      <c r="VL3" s="120"/>
      <c r="VM3" s="120"/>
      <c r="VN3" s="120"/>
      <c r="VO3" s="120"/>
      <c r="VP3" s="120"/>
      <c r="VQ3" s="120"/>
      <c r="VR3" s="120"/>
      <c r="VS3" s="120"/>
      <c r="VT3" s="120"/>
      <c r="VU3" s="120"/>
      <c r="VV3" s="120"/>
      <c r="VW3" s="120"/>
      <c r="VX3" s="120"/>
      <c r="VY3" s="120"/>
      <c r="VZ3" s="120"/>
      <c r="WA3" s="120"/>
      <c r="WB3" s="120"/>
      <c r="WC3" s="120"/>
      <c r="WD3" s="120"/>
      <c r="WE3" s="120"/>
      <c r="WF3" s="120"/>
      <c r="WG3" s="120"/>
      <c r="WH3" s="120"/>
      <c r="WI3" s="120"/>
      <c r="WJ3" s="120"/>
      <c r="WK3" s="120"/>
      <c r="WL3" s="120"/>
      <c r="WM3" s="120"/>
      <c r="WN3" s="120"/>
      <c r="WO3" s="120"/>
      <c r="WP3" s="120"/>
      <c r="WQ3" s="120"/>
      <c r="WR3" s="120"/>
      <c r="WS3" s="120"/>
      <c r="WT3" s="120"/>
      <c r="WU3" s="120"/>
      <c r="WV3" s="120"/>
      <c r="WW3" s="120"/>
      <c r="WX3" s="120"/>
      <c r="WY3" s="120"/>
      <c r="WZ3" s="120"/>
      <c r="XA3" s="120"/>
      <c r="XB3" s="120"/>
      <c r="XC3" s="120"/>
      <c r="XD3" s="120"/>
      <c r="XE3" s="120"/>
      <c r="XF3" s="120"/>
      <c r="XG3" s="120"/>
      <c r="XH3" s="120"/>
      <c r="XI3" s="120"/>
      <c r="XJ3" s="120"/>
      <c r="XK3" s="120"/>
      <c r="XL3" s="120"/>
      <c r="XM3" s="120"/>
      <c r="XN3" s="120"/>
      <c r="XO3" s="120"/>
      <c r="XP3" s="120"/>
      <c r="XQ3" s="120"/>
      <c r="XR3" s="120"/>
      <c r="XS3" s="120"/>
      <c r="XT3" s="120"/>
      <c r="XU3" s="120"/>
      <c r="XV3" s="120"/>
      <c r="XW3" s="120"/>
      <c r="XX3" s="120"/>
      <c r="XY3" s="120"/>
      <c r="XZ3" s="120"/>
      <c r="YA3" s="120"/>
      <c r="YB3" s="120"/>
      <c r="YC3" s="120"/>
      <c r="YD3" s="120"/>
      <c r="YE3" s="120"/>
      <c r="YF3" s="120"/>
      <c r="YG3" s="120"/>
      <c r="YH3" s="120"/>
      <c r="YI3" s="120"/>
      <c r="YJ3" s="120"/>
      <c r="YK3" s="120"/>
      <c r="YL3" s="120"/>
      <c r="YM3" s="120"/>
      <c r="YN3" s="120"/>
      <c r="YO3" s="120"/>
      <c r="YP3" s="120"/>
      <c r="YQ3" s="120"/>
      <c r="YR3" s="120"/>
      <c r="YS3" s="120"/>
      <c r="YT3" s="120"/>
      <c r="YU3" s="120"/>
      <c r="YV3" s="120"/>
      <c r="YW3" s="120"/>
      <c r="YX3" s="120"/>
      <c r="YY3" s="120"/>
      <c r="YZ3" s="120"/>
      <c r="ZA3" s="120"/>
      <c r="ZB3" s="120"/>
      <c r="ZC3" s="120"/>
      <c r="ZD3" s="120"/>
      <c r="ZE3" s="120"/>
      <c r="ZF3" s="120"/>
      <c r="ZG3" s="120"/>
      <c r="ZH3" s="120"/>
      <c r="ZI3" s="120"/>
      <c r="ZJ3" s="120"/>
      <c r="ZK3" s="120"/>
      <c r="ZL3" s="120"/>
      <c r="ZM3" s="120"/>
      <c r="ZN3" s="120"/>
      <c r="ZO3" s="120"/>
      <c r="ZP3" s="120"/>
      <c r="ZQ3" s="120"/>
      <c r="ZR3" s="120"/>
      <c r="ZS3" s="120"/>
      <c r="ZT3" s="120"/>
      <c r="ZU3" s="120"/>
      <c r="ZV3" s="120"/>
      <c r="ZW3" s="120"/>
      <c r="ZX3" s="120"/>
      <c r="ZY3" s="120"/>
      <c r="ZZ3" s="120"/>
      <c r="AAA3" s="120"/>
      <c r="AAB3" s="120"/>
      <c r="AAC3" s="120"/>
      <c r="AAD3" s="120"/>
      <c r="AAE3" s="120"/>
      <c r="AAF3" s="120"/>
      <c r="AAG3" s="120"/>
      <c r="AAH3" s="120"/>
      <c r="AAI3" s="120"/>
      <c r="AAJ3" s="120"/>
      <c r="AAK3" s="120"/>
      <c r="AAL3" s="120"/>
      <c r="AAM3" s="120"/>
      <c r="AAN3" s="120"/>
      <c r="AAO3" s="120"/>
      <c r="AAP3" s="120"/>
      <c r="AAQ3" s="120"/>
      <c r="AAR3" s="120"/>
      <c r="AAS3" s="120"/>
      <c r="AAT3" s="120"/>
      <c r="AAU3" s="120"/>
      <c r="AAV3" s="120"/>
      <c r="AAW3" s="120"/>
      <c r="AAX3" s="120"/>
      <c r="AAY3" s="120"/>
      <c r="AAZ3" s="120"/>
      <c r="ABA3" s="120"/>
      <c r="ABB3" s="120"/>
      <c r="ABC3" s="120"/>
      <c r="ABD3" s="120"/>
      <c r="ABE3" s="120"/>
      <c r="ABF3" s="120"/>
      <c r="ABG3" s="120"/>
      <c r="ABH3" s="120"/>
      <c r="ABI3" s="120"/>
      <c r="ABJ3" s="120"/>
      <c r="ABK3" s="120"/>
      <c r="ABL3" s="120"/>
      <c r="ABM3" s="120"/>
      <c r="ABN3" s="120"/>
      <c r="ABO3" s="120"/>
      <c r="ABP3" s="120"/>
      <c r="ABQ3" s="120"/>
      <c r="ABR3" s="120"/>
      <c r="ABS3" s="120"/>
      <c r="ABT3" s="120"/>
      <c r="ABU3" s="120"/>
      <c r="ABV3" s="120"/>
      <c r="ABW3" s="120"/>
      <c r="ABX3" s="120"/>
      <c r="ABY3" s="120"/>
      <c r="ABZ3" s="120"/>
      <c r="ACA3" s="120"/>
      <c r="ACB3" s="120"/>
      <c r="ACC3" s="120"/>
      <c r="ACD3" s="120"/>
      <c r="ACE3" s="120"/>
      <c r="ACF3" s="120"/>
      <c r="ACG3" s="120"/>
      <c r="ACH3" s="120"/>
      <c r="ACI3" s="120"/>
      <c r="ACJ3" s="120"/>
      <c r="ACK3" s="120"/>
      <c r="ACL3" s="120"/>
      <c r="ACM3" s="120"/>
      <c r="ACN3" s="120"/>
      <c r="ACO3" s="120"/>
      <c r="ACP3" s="120"/>
      <c r="ACQ3" s="120"/>
      <c r="ACR3" s="120"/>
      <c r="ACS3" s="120"/>
      <c r="ACT3" s="120"/>
      <c r="ACU3" s="120"/>
      <c r="ACV3" s="120"/>
      <c r="ACW3" s="120"/>
      <c r="ACX3" s="120"/>
      <c r="ACY3" s="120"/>
      <c r="ACZ3" s="120"/>
      <c r="ADA3" s="120"/>
      <c r="ADB3" s="120"/>
      <c r="ADC3" s="120"/>
      <c r="ADD3" s="120"/>
      <c r="ADE3" s="120"/>
      <c r="ADF3" s="120"/>
      <c r="ADG3" s="120"/>
      <c r="ADH3" s="120"/>
      <c r="ADI3" s="120"/>
      <c r="ADJ3" s="120"/>
      <c r="ADK3" s="120"/>
      <c r="ADL3" s="120"/>
      <c r="ADM3" s="120"/>
      <c r="ADN3" s="120"/>
      <c r="ADO3" s="120"/>
      <c r="ADP3" s="120"/>
      <c r="ADQ3" s="120"/>
      <c r="ADR3" s="120"/>
      <c r="ADS3" s="120"/>
      <c r="ADT3" s="120"/>
      <c r="ADU3" s="120"/>
      <c r="ADV3" s="120"/>
      <c r="ADW3" s="120"/>
      <c r="ADX3" s="120"/>
      <c r="ADY3" s="120"/>
      <c r="ADZ3" s="120"/>
      <c r="AEA3" s="120"/>
      <c r="AEB3" s="120"/>
      <c r="AEC3" s="120"/>
      <c r="AED3" s="120"/>
      <c r="AEE3" s="120"/>
      <c r="AEF3" s="120"/>
      <c r="AEG3" s="120"/>
      <c r="AEH3" s="120"/>
      <c r="AEI3" s="120"/>
      <c r="AEJ3" s="120"/>
      <c r="AEK3" s="120"/>
      <c r="AEL3" s="120"/>
      <c r="AEM3" s="120"/>
      <c r="AEN3" s="120"/>
      <c r="AEO3" s="120"/>
      <c r="AEP3" s="120"/>
      <c r="AEQ3" s="120"/>
      <c r="AER3" s="120"/>
      <c r="AES3" s="120"/>
      <c r="AET3" s="120"/>
      <c r="AEU3" s="120"/>
      <c r="AEV3" s="120"/>
      <c r="AEW3" s="120"/>
      <c r="AEX3" s="120"/>
      <c r="AEY3" s="120"/>
      <c r="AEZ3" s="120"/>
      <c r="AFA3" s="120"/>
      <c r="AFB3" s="120"/>
      <c r="AFC3" s="120"/>
      <c r="AFD3" s="120"/>
      <c r="AFE3" s="120"/>
      <c r="AFF3" s="120"/>
      <c r="AFG3" s="120"/>
      <c r="AFH3" s="120"/>
      <c r="AFI3" s="120"/>
      <c r="AFJ3" s="120"/>
      <c r="AFK3" s="120"/>
      <c r="AFL3" s="120"/>
      <c r="AFM3" s="120"/>
      <c r="AFN3" s="120"/>
      <c r="AFO3" s="120"/>
      <c r="AFP3" s="120"/>
      <c r="AFQ3" s="120"/>
      <c r="AFR3" s="120"/>
      <c r="AFS3" s="120"/>
      <c r="AFT3" s="120"/>
      <c r="AFU3" s="120"/>
      <c r="AFV3" s="120"/>
      <c r="AFW3" s="120"/>
      <c r="AFX3" s="120"/>
      <c r="AFY3" s="120"/>
      <c r="AFZ3" s="120"/>
      <c r="AGA3" s="120"/>
      <c r="AGB3" s="120"/>
      <c r="AGC3" s="120"/>
      <c r="AGD3" s="120"/>
      <c r="AGE3" s="120"/>
      <c r="AGF3" s="120"/>
      <c r="AGG3" s="120"/>
      <c r="AGH3" s="120"/>
      <c r="AGI3" s="120"/>
      <c r="AGJ3" s="120"/>
      <c r="AGK3" s="120"/>
      <c r="AGL3" s="120"/>
      <c r="AGM3" s="120"/>
      <c r="AGN3" s="120"/>
      <c r="AGO3" s="120"/>
      <c r="AGP3" s="120"/>
      <c r="AGQ3" s="120"/>
      <c r="AGR3" s="120"/>
      <c r="AGS3" s="120"/>
      <c r="AGT3" s="120"/>
      <c r="AGU3" s="120"/>
      <c r="AGV3" s="120"/>
      <c r="AGW3" s="120"/>
      <c r="AGX3" s="120"/>
      <c r="AGY3" s="120"/>
      <c r="AGZ3" s="120"/>
      <c r="AHA3" s="120"/>
      <c r="AHB3" s="120"/>
      <c r="AHC3" s="120"/>
      <c r="AHD3" s="120"/>
      <c r="AHE3" s="120"/>
      <c r="AHF3" s="120"/>
      <c r="AHG3" s="120"/>
      <c r="AHH3" s="120"/>
      <c r="AHI3" s="120"/>
      <c r="AHJ3" s="120"/>
      <c r="AHK3" s="120"/>
      <c r="AHL3" s="120"/>
      <c r="AHM3" s="120"/>
      <c r="AHN3" s="120"/>
      <c r="AHO3" s="120"/>
      <c r="AHP3" s="120"/>
      <c r="AHQ3" s="120"/>
      <c r="AHR3" s="120"/>
      <c r="AHS3" s="120"/>
      <c r="AHT3" s="120"/>
      <c r="AHU3" s="120"/>
      <c r="AHV3" s="120"/>
      <c r="AHW3" s="120"/>
      <c r="AHX3" s="120"/>
      <c r="AHY3" s="120"/>
      <c r="AHZ3" s="120"/>
      <c r="AIA3" s="120"/>
      <c r="AIB3" s="120"/>
      <c r="AIC3" s="120"/>
      <c r="AID3" s="120"/>
      <c r="AIE3" s="120"/>
      <c r="AIF3" s="120"/>
      <c r="AIG3" s="120"/>
      <c r="AIH3" s="120"/>
      <c r="AII3" s="120"/>
      <c r="AIJ3" s="120"/>
      <c r="AIK3" s="120"/>
      <c r="AIL3" s="120"/>
      <c r="AIM3" s="120"/>
      <c r="AIN3" s="120"/>
      <c r="AIO3" s="120"/>
      <c r="AIP3" s="120"/>
      <c r="AIQ3" s="120"/>
      <c r="AIR3" s="120"/>
      <c r="AIS3" s="120"/>
      <c r="AIT3" s="120"/>
      <c r="AIU3" s="120"/>
      <c r="AIV3" s="120"/>
      <c r="AIW3" s="120"/>
      <c r="AIX3" s="120"/>
      <c r="AIY3" s="120"/>
      <c r="AIZ3" s="120"/>
      <c r="AJA3" s="120"/>
      <c r="AJB3" s="120"/>
      <c r="AJC3" s="120"/>
      <c r="AJD3" s="120"/>
      <c r="AJE3" s="120"/>
      <c r="AJF3" s="120"/>
      <c r="AJG3" s="120"/>
      <c r="AJH3" s="120"/>
      <c r="AJI3" s="120"/>
      <c r="AJJ3" s="120"/>
      <c r="AJK3" s="120"/>
      <c r="AJL3" s="120"/>
      <c r="AJM3" s="120"/>
      <c r="AJN3" s="120"/>
      <c r="AJO3" s="120"/>
      <c r="AJP3" s="120"/>
      <c r="AJQ3" s="120"/>
      <c r="AJR3" s="120"/>
      <c r="AJS3" s="120"/>
      <c r="AJT3" s="120"/>
      <c r="AJU3" s="120"/>
      <c r="AJV3" s="120"/>
      <c r="AJW3" s="120"/>
      <c r="AJX3" s="120"/>
      <c r="AJY3" s="120"/>
      <c r="AJZ3" s="120"/>
      <c r="AKA3" s="120"/>
      <c r="AKB3" s="120"/>
      <c r="AKC3" s="120"/>
      <c r="AKD3" s="120"/>
      <c r="AKE3" s="120"/>
      <c r="AKF3" s="120"/>
      <c r="AKG3" s="120"/>
      <c r="AKH3" s="120"/>
      <c r="AKI3" s="120"/>
      <c r="AKJ3" s="120"/>
      <c r="AKK3" s="120"/>
      <c r="AKL3" s="120"/>
      <c r="AKM3" s="120"/>
      <c r="AKN3" s="120"/>
      <c r="AKO3" s="120"/>
      <c r="AKP3" s="120"/>
      <c r="AKQ3" s="120"/>
      <c r="AKR3" s="120"/>
      <c r="AKS3" s="120"/>
      <c r="AKT3" s="120"/>
      <c r="AKU3" s="120"/>
      <c r="AKV3" s="120"/>
      <c r="AKW3" s="120"/>
      <c r="AKX3" s="120"/>
      <c r="AKY3" s="120"/>
      <c r="AKZ3" s="120"/>
      <c r="ALA3" s="120"/>
      <c r="ALB3" s="120"/>
      <c r="ALC3" s="120"/>
      <c r="ALD3" s="120"/>
      <c r="ALE3" s="120"/>
      <c r="ALF3" s="120"/>
      <c r="ALG3" s="120"/>
      <c r="ALH3" s="120"/>
      <c r="ALI3" s="120"/>
      <c r="ALJ3" s="120"/>
      <c r="ALK3" s="120"/>
      <c r="ALL3" s="120"/>
      <c r="ALM3" s="120"/>
      <c r="ALN3" s="120"/>
      <c r="ALO3" s="120"/>
      <c r="ALP3" s="120"/>
      <c r="ALQ3" s="120"/>
      <c r="ALR3" s="120"/>
      <c r="ALS3" s="120"/>
      <c r="ALT3" s="120"/>
      <c r="ALU3" s="120"/>
      <c r="ALV3" s="120"/>
      <c r="ALW3" s="120"/>
      <c r="ALX3" s="120"/>
      <c r="ALY3" s="120"/>
      <c r="ALZ3" s="120"/>
      <c r="AMA3" s="120"/>
      <c r="AMB3" s="120"/>
      <c r="AMC3" s="120"/>
      <c r="AMD3" s="120"/>
      <c r="AME3" s="120"/>
      <c r="AMF3" s="120"/>
      <c r="AMG3" s="120"/>
      <c r="AMH3" s="120"/>
      <c r="AMI3" s="120"/>
      <c r="AMJ3" s="120"/>
      <c r="AMK3" s="120"/>
      <c r="AML3" s="120"/>
      <c r="AMM3" s="120"/>
      <c r="AMN3" s="120"/>
      <c r="AMO3" s="120"/>
      <c r="AMP3" s="120"/>
      <c r="AMQ3" s="120"/>
      <c r="AMR3" s="120"/>
      <c r="AMS3" s="120"/>
      <c r="AMT3" s="120"/>
      <c r="AMU3" s="120"/>
      <c r="AMV3" s="120"/>
      <c r="AMW3" s="120"/>
      <c r="AMX3" s="120"/>
      <c r="AMY3" s="120"/>
      <c r="AMZ3" s="120"/>
      <c r="ANA3" s="120"/>
      <c r="ANB3" s="120"/>
      <c r="ANC3" s="120"/>
      <c r="AND3" s="120"/>
      <c r="ANE3" s="120"/>
      <c r="ANF3" s="120"/>
      <c r="ANG3" s="120"/>
      <c r="ANH3" s="120"/>
      <c r="ANI3" s="120"/>
      <c r="ANJ3" s="120"/>
      <c r="ANK3" s="120"/>
      <c r="ANL3" s="120"/>
      <c r="ANM3" s="120"/>
      <c r="ANN3" s="120"/>
      <c r="ANO3" s="120"/>
      <c r="ANP3" s="120"/>
      <c r="ANQ3" s="120"/>
      <c r="ANR3" s="120"/>
      <c r="ANS3" s="120"/>
      <c r="ANT3" s="120"/>
      <c r="ANU3" s="120"/>
      <c r="ANV3" s="120"/>
      <c r="ANW3" s="120"/>
      <c r="ANX3" s="120"/>
      <c r="ANY3" s="120"/>
      <c r="ANZ3" s="120"/>
      <c r="AOA3" s="120"/>
      <c r="AOB3" s="120"/>
      <c r="AOC3" s="120"/>
      <c r="AOD3" s="120"/>
      <c r="AOE3" s="120"/>
      <c r="AOF3" s="120"/>
      <c r="AOG3" s="120"/>
      <c r="AOH3" s="120"/>
      <c r="AOI3" s="120"/>
      <c r="AOJ3" s="120"/>
      <c r="AOK3" s="120"/>
      <c r="AOL3" s="120"/>
      <c r="AOM3" s="120"/>
      <c r="AON3" s="120"/>
      <c r="AOO3" s="120"/>
      <c r="AOP3" s="120"/>
      <c r="AOQ3" s="120"/>
      <c r="AOR3" s="120"/>
      <c r="AOS3" s="120"/>
      <c r="AOT3" s="120"/>
      <c r="AOU3" s="120"/>
      <c r="AOV3" s="120"/>
      <c r="AOW3" s="120"/>
      <c r="AOX3" s="120"/>
      <c r="AOY3" s="120"/>
      <c r="AOZ3" s="120"/>
      <c r="APA3" s="120"/>
      <c r="APB3" s="120"/>
      <c r="APC3" s="120"/>
      <c r="APD3" s="120"/>
      <c r="APE3" s="120"/>
      <c r="APF3" s="120"/>
      <c r="APG3" s="120"/>
      <c r="APH3" s="120"/>
      <c r="API3" s="120"/>
      <c r="APJ3" s="120"/>
      <c r="APK3" s="120"/>
      <c r="APL3" s="120"/>
      <c r="APM3" s="120"/>
      <c r="APN3" s="120"/>
      <c r="APO3" s="120"/>
      <c r="APP3" s="120"/>
      <c r="APQ3" s="120"/>
      <c r="APR3" s="120"/>
      <c r="APS3" s="120"/>
      <c r="APT3" s="120"/>
      <c r="APU3" s="120"/>
      <c r="APV3" s="120"/>
      <c r="APW3" s="120"/>
      <c r="APX3" s="120"/>
      <c r="APY3" s="120"/>
      <c r="APZ3" s="120"/>
      <c r="AQA3" s="120"/>
      <c r="AQB3" s="120"/>
      <c r="AQC3" s="120"/>
      <c r="AQD3" s="120"/>
      <c r="AQE3" s="120"/>
      <c r="AQF3" s="120"/>
      <c r="AQG3" s="120"/>
      <c r="AQH3" s="120"/>
      <c r="AQI3" s="120"/>
      <c r="AQJ3" s="120"/>
      <c r="AQK3" s="120"/>
      <c r="AQL3" s="120"/>
      <c r="AQM3" s="120"/>
      <c r="AQN3" s="120"/>
      <c r="AQO3" s="120"/>
      <c r="AQP3" s="120"/>
      <c r="AQQ3" s="120"/>
      <c r="AQR3" s="120"/>
      <c r="AQS3" s="120"/>
      <c r="AQT3" s="120"/>
      <c r="AQU3" s="120"/>
      <c r="AQV3" s="120"/>
      <c r="AQW3" s="120"/>
      <c r="AQX3" s="120"/>
      <c r="AQY3" s="120"/>
      <c r="AQZ3" s="120"/>
      <c r="ARA3" s="120"/>
      <c r="ARB3" s="120"/>
      <c r="ARC3" s="120"/>
      <c r="ARD3" s="120"/>
      <c r="ARE3" s="120"/>
      <c r="ARF3" s="120"/>
      <c r="ARG3" s="120"/>
      <c r="ARH3" s="120"/>
      <c r="ARI3" s="120"/>
      <c r="ARJ3" s="120"/>
      <c r="ARK3" s="120"/>
      <c r="ARL3" s="120"/>
      <c r="ARM3" s="120"/>
      <c r="ARN3" s="120"/>
      <c r="ARO3" s="120"/>
      <c r="ARP3" s="120"/>
      <c r="ARQ3" s="120"/>
      <c r="ARR3" s="120"/>
      <c r="ARS3" s="120"/>
      <c r="ART3" s="120"/>
      <c r="ARU3" s="120"/>
      <c r="ARV3" s="120"/>
      <c r="ARW3" s="120"/>
      <c r="ARX3" s="120"/>
      <c r="ARY3" s="120"/>
      <c r="ARZ3" s="120"/>
      <c r="ASA3" s="120"/>
      <c r="ASB3" s="120"/>
      <c r="ASC3" s="120"/>
      <c r="ASD3" s="120"/>
      <c r="ASE3" s="120"/>
      <c r="ASF3" s="120"/>
      <c r="ASG3" s="120"/>
      <c r="ASH3" s="120"/>
      <c r="ASI3" s="120"/>
      <c r="ASJ3" s="120"/>
      <c r="ASK3" s="120"/>
      <c r="ASL3" s="120"/>
      <c r="ASM3" s="120"/>
      <c r="ASN3" s="120"/>
      <c r="ASO3" s="120"/>
      <c r="ASP3" s="120"/>
      <c r="ASQ3" s="120"/>
      <c r="ASR3" s="120"/>
      <c r="ASS3" s="120"/>
      <c r="AST3" s="120"/>
      <c r="ASU3" s="120"/>
      <c r="ASV3" s="120"/>
      <c r="ASW3" s="120"/>
      <c r="ASX3" s="120"/>
      <c r="ASY3" s="120"/>
      <c r="ASZ3" s="120"/>
      <c r="ATA3" s="120"/>
      <c r="ATB3" s="120"/>
      <c r="ATC3" s="120"/>
      <c r="ATD3" s="120"/>
      <c r="ATE3" s="120"/>
      <c r="ATF3" s="120"/>
      <c r="ATG3" s="120"/>
      <c r="ATH3" s="120"/>
      <c r="ATI3" s="120"/>
      <c r="ATJ3" s="120"/>
      <c r="ATK3" s="120"/>
      <c r="ATL3" s="120"/>
      <c r="ATM3" s="120"/>
      <c r="ATN3" s="120"/>
      <c r="ATO3" s="120"/>
      <c r="ATP3" s="120"/>
      <c r="ATQ3" s="120"/>
      <c r="ATR3" s="120"/>
      <c r="ATS3" s="120"/>
      <c r="ATT3" s="120"/>
      <c r="ATU3" s="120"/>
      <c r="ATV3" s="120"/>
      <c r="ATW3" s="120"/>
      <c r="ATX3" s="120"/>
      <c r="ATY3" s="120"/>
      <c r="ATZ3" s="120"/>
      <c r="AUA3" s="120"/>
      <c r="AUB3" s="120"/>
      <c r="AUC3" s="120"/>
      <c r="AUD3" s="120"/>
      <c r="AUE3" s="120"/>
      <c r="AUF3" s="120"/>
      <c r="AUG3" s="120"/>
      <c r="AUH3" s="120"/>
      <c r="AUI3" s="120"/>
      <c r="AUJ3" s="120"/>
      <c r="AUK3" s="120"/>
      <c r="AUL3" s="120"/>
      <c r="AUM3" s="120"/>
      <c r="AUN3" s="120"/>
      <c r="AUO3" s="120"/>
      <c r="AUP3" s="120"/>
      <c r="AUQ3" s="120"/>
      <c r="AUR3" s="120"/>
      <c r="AUS3" s="120"/>
      <c r="AUT3" s="120"/>
      <c r="AUU3" s="120"/>
      <c r="AUV3" s="120"/>
      <c r="AUW3" s="120"/>
      <c r="AUX3" s="120"/>
      <c r="AUY3" s="120"/>
      <c r="AUZ3" s="120"/>
      <c r="AVA3" s="120"/>
      <c r="AVB3" s="120"/>
      <c r="AVC3" s="120"/>
      <c r="AVD3" s="120"/>
      <c r="AVE3" s="120"/>
      <c r="AVF3" s="120"/>
      <c r="AVG3" s="120"/>
      <c r="AVH3" s="120"/>
      <c r="AVI3" s="120"/>
      <c r="AVJ3" s="120"/>
      <c r="AVK3" s="120"/>
      <c r="AVL3" s="120"/>
      <c r="AVM3" s="120"/>
      <c r="AVN3" s="120"/>
      <c r="AVO3" s="120"/>
      <c r="AVP3" s="120"/>
      <c r="AVQ3" s="120"/>
      <c r="AVR3" s="120"/>
      <c r="AVS3" s="120"/>
      <c r="AVT3" s="120"/>
      <c r="AVU3" s="120"/>
      <c r="AVV3" s="120"/>
      <c r="AVW3" s="120"/>
      <c r="AVX3" s="120"/>
      <c r="AVY3" s="120"/>
      <c r="AVZ3" s="120"/>
      <c r="AWA3" s="120"/>
      <c r="AWB3" s="120"/>
      <c r="AWC3" s="120"/>
      <c r="AWD3" s="120"/>
      <c r="AWE3" s="120"/>
      <c r="AWF3" s="120"/>
      <c r="AWG3" s="120"/>
      <c r="AWH3" s="120"/>
      <c r="AWI3" s="120"/>
      <c r="AWJ3" s="120"/>
      <c r="AWK3" s="120"/>
      <c r="AWL3" s="120"/>
      <c r="AWM3" s="120"/>
      <c r="AWN3" s="120"/>
      <c r="AWO3" s="120"/>
      <c r="AWP3" s="120"/>
      <c r="AWQ3" s="120"/>
      <c r="AWR3" s="120"/>
      <c r="AWS3" s="120"/>
      <c r="AWT3" s="120"/>
      <c r="AWU3" s="120"/>
      <c r="AWV3" s="120"/>
      <c r="AWW3" s="120"/>
      <c r="AWX3" s="120"/>
      <c r="AWY3" s="120"/>
      <c r="AWZ3" s="120"/>
      <c r="AXA3" s="120"/>
      <c r="AXB3" s="120"/>
      <c r="AXC3" s="120"/>
      <c r="AXD3" s="120"/>
      <c r="AXE3" s="120"/>
      <c r="AXF3" s="120"/>
      <c r="AXG3" s="120"/>
      <c r="AXH3" s="120"/>
      <c r="AXI3" s="120"/>
      <c r="AXJ3" s="120"/>
      <c r="AXK3" s="120"/>
      <c r="AXL3" s="120"/>
      <c r="AXM3" s="120"/>
      <c r="AXN3" s="120"/>
      <c r="AXO3" s="120"/>
      <c r="AXP3" s="120"/>
      <c r="AXQ3" s="120"/>
      <c r="AXR3" s="120"/>
      <c r="AXS3" s="120"/>
      <c r="AXT3" s="120"/>
      <c r="AXU3" s="120"/>
      <c r="AXV3" s="120"/>
      <c r="AXW3" s="120"/>
      <c r="AXX3" s="120"/>
      <c r="AXY3" s="120"/>
      <c r="AXZ3" s="120"/>
      <c r="AYA3" s="120"/>
      <c r="AYB3" s="120"/>
      <c r="AYC3" s="120"/>
      <c r="AYD3" s="120"/>
      <c r="AYE3" s="120"/>
      <c r="AYF3" s="120"/>
      <c r="AYG3" s="120"/>
      <c r="AYH3" s="120"/>
      <c r="AYI3" s="120"/>
      <c r="AYJ3" s="120"/>
      <c r="AYK3" s="120"/>
      <c r="AYL3" s="120"/>
      <c r="AYM3" s="120"/>
      <c r="AYN3" s="120"/>
      <c r="AYO3" s="120"/>
      <c r="AYP3" s="120"/>
      <c r="AYQ3" s="120"/>
      <c r="AYR3" s="120"/>
      <c r="AYS3" s="120"/>
      <c r="AYT3" s="120"/>
      <c r="AYU3" s="120"/>
      <c r="AYV3" s="120"/>
      <c r="AYW3" s="120"/>
      <c r="AYX3" s="120"/>
      <c r="AYY3" s="120"/>
      <c r="AYZ3" s="120"/>
      <c r="AZA3" s="120"/>
      <c r="AZB3" s="120"/>
      <c r="AZC3" s="120"/>
      <c r="AZD3" s="120"/>
      <c r="AZE3" s="120"/>
      <c r="AZF3" s="120"/>
      <c r="AZG3" s="120"/>
      <c r="AZH3" s="120"/>
      <c r="AZI3" s="120"/>
      <c r="AZJ3" s="120"/>
      <c r="AZK3" s="120"/>
      <c r="AZL3" s="120"/>
      <c r="AZM3" s="120"/>
      <c r="AZN3" s="120"/>
      <c r="AZO3" s="120"/>
      <c r="AZP3" s="120"/>
      <c r="AZQ3" s="120"/>
      <c r="AZR3" s="120"/>
      <c r="AZS3" s="120"/>
      <c r="AZT3" s="120"/>
      <c r="AZU3" s="120"/>
      <c r="AZV3" s="120"/>
      <c r="AZW3" s="120"/>
      <c r="AZX3" s="120"/>
      <c r="AZY3" s="120"/>
      <c r="AZZ3" s="120"/>
      <c r="BAA3" s="120"/>
      <c r="BAB3" s="120"/>
      <c r="BAC3" s="120"/>
      <c r="BAD3" s="120"/>
      <c r="BAE3" s="120"/>
      <c r="BAF3" s="120"/>
      <c r="BAG3" s="120"/>
      <c r="BAH3" s="120"/>
      <c r="BAI3" s="120"/>
      <c r="BAJ3" s="120"/>
      <c r="BAK3" s="120"/>
      <c r="BAL3" s="120"/>
      <c r="BAM3" s="120"/>
      <c r="BAN3" s="120"/>
      <c r="BAO3" s="120"/>
      <c r="BAP3" s="120"/>
      <c r="BAQ3" s="120"/>
      <c r="BAR3" s="120"/>
      <c r="BAS3" s="120"/>
      <c r="BAT3" s="120"/>
      <c r="BAU3" s="120"/>
      <c r="BAV3" s="120"/>
      <c r="BAW3" s="120"/>
      <c r="BAX3" s="120"/>
      <c r="BAY3" s="120"/>
      <c r="BAZ3" s="120"/>
      <c r="BBA3" s="120"/>
      <c r="BBB3" s="120"/>
      <c r="BBC3" s="120"/>
      <c r="BBD3" s="120"/>
      <c r="BBE3" s="120"/>
      <c r="BBF3" s="120"/>
      <c r="BBG3" s="120"/>
      <c r="BBH3" s="120"/>
      <c r="BBI3" s="120"/>
      <c r="BBJ3" s="120"/>
      <c r="BBK3" s="120"/>
      <c r="BBL3" s="120"/>
      <c r="BBM3" s="120"/>
      <c r="BBN3" s="120"/>
      <c r="BBO3" s="120"/>
      <c r="BBP3" s="120"/>
      <c r="BBQ3" s="120"/>
      <c r="BBR3" s="120"/>
      <c r="BBS3" s="120"/>
      <c r="BBT3" s="120"/>
      <c r="BBU3" s="120"/>
      <c r="BBV3" s="120"/>
      <c r="BBW3" s="120"/>
      <c r="BBX3" s="120"/>
      <c r="BBY3" s="120"/>
      <c r="BBZ3" s="120"/>
      <c r="BCA3" s="120"/>
      <c r="BCB3" s="120"/>
      <c r="BCC3" s="120"/>
      <c r="BCD3" s="120"/>
      <c r="BCE3" s="120"/>
      <c r="BCF3" s="120"/>
      <c r="BCG3" s="120"/>
      <c r="BCH3" s="120"/>
      <c r="BCI3" s="120"/>
      <c r="BCJ3" s="120"/>
      <c r="BCK3" s="120"/>
      <c r="BCL3" s="120"/>
      <c r="BCM3" s="120"/>
      <c r="BCN3" s="120"/>
      <c r="BCO3" s="120"/>
      <c r="BCP3" s="120"/>
      <c r="BCQ3" s="120"/>
      <c r="BCR3" s="120"/>
      <c r="BCS3" s="120"/>
      <c r="BCT3" s="120"/>
      <c r="BCU3" s="120"/>
      <c r="BCV3" s="120"/>
      <c r="BCW3" s="120"/>
      <c r="BCX3" s="120"/>
      <c r="BCY3" s="120"/>
      <c r="BCZ3" s="120"/>
      <c r="BDA3" s="120"/>
      <c r="BDB3" s="120"/>
      <c r="BDC3" s="120"/>
      <c r="BDD3" s="120"/>
      <c r="BDE3" s="120"/>
      <c r="BDF3" s="120"/>
      <c r="BDG3" s="120"/>
      <c r="BDH3" s="120"/>
      <c r="BDI3" s="120"/>
      <c r="BDJ3" s="120"/>
      <c r="BDK3" s="120"/>
      <c r="BDL3" s="120"/>
      <c r="BDM3" s="120"/>
      <c r="BDN3" s="120"/>
      <c r="BDO3" s="120"/>
      <c r="BDP3" s="120"/>
      <c r="BDQ3" s="120"/>
      <c r="BDR3" s="120"/>
      <c r="BDS3" s="120"/>
      <c r="BDT3" s="120"/>
      <c r="BDU3" s="120"/>
      <c r="BDV3" s="120"/>
      <c r="BDW3" s="120"/>
      <c r="BDX3" s="120"/>
      <c r="BDY3" s="120"/>
      <c r="BDZ3" s="120"/>
      <c r="BEA3" s="120"/>
      <c r="BEB3" s="120"/>
      <c r="BEC3" s="120"/>
      <c r="BED3" s="120"/>
      <c r="BEE3" s="120"/>
      <c r="BEF3" s="120"/>
      <c r="BEG3" s="120"/>
      <c r="BEH3" s="120"/>
      <c r="BEI3" s="120"/>
      <c r="BEJ3" s="120"/>
      <c r="BEK3" s="120"/>
      <c r="BEL3" s="120"/>
      <c r="BEM3" s="120"/>
      <c r="BEN3" s="120"/>
      <c r="BEO3" s="120"/>
      <c r="BEP3" s="120"/>
      <c r="BEQ3" s="120"/>
      <c r="BER3" s="120"/>
      <c r="BES3" s="120"/>
      <c r="BET3" s="120"/>
      <c r="BEU3" s="120"/>
      <c r="BEV3" s="120"/>
      <c r="BEW3" s="120"/>
      <c r="BEX3" s="120"/>
      <c r="BEY3" s="120"/>
      <c r="BEZ3" s="120"/>
      <c r="BFA3" s="120"/>
      <c r="BFB3" s="120"/>
      <c r="BFC3" s="120"/>
      <c r="BFD3" s="120"/>
      <c r="BFE3" s="120"/>
      <c r="BFF3" s="120"/>
      <c r="BFG3" s="120"/>
      <c r="BFH3" s="120"/>
      <c r="BFI3" s="120"/>
      <c r="BFJ3" s="120"/>
      <c r="BFK3" s="120"/>
      <c r="BFL3" s="120"/>
      <c r="BFM3" s="120"/>
      <c r="BFN3" s="120"/>
      <c r="BFO3" s="120"/>
      <c r="BFP3" s="120"/>
      <c r="BFQ3" s="120"/>
      <c r="BFR3" s="120"/>
      <c r="BFS3" s="120"/>
      <c r="BFT3" s="120"/>
      <c r="BFU3" s="120"/>
      <c r="BFV3" s="120"/>
      <c r="BFW3" s="120"/>
      <c r="BFX3" s="120"/>
      <c r="BFY3" s="120"/>
      <c r="BFZ3" s="120"/>
      <c r="BGA3" s="120"/>
      <c r="BGB3" s="120"/>
      <c r="BGC3" s="120"/>
      <c r="BGD3" s="120"/>
      <c r="BGE3" s="120"/>
      <c r="BGF3" s="120"/>
      <c r="BGG3" s="120"/>
      <c r="BGH3" s="120"/>
      <c r="BGI3" s="120"/>
      <c r="BGJ3" s="120"/>
      <c r="BGK3" s="120"/>
      <c r="BGL3" s="120"/>
      <c r="BGM3" s="120"/>
      <c r="BGN3" s="120"/>
      <c r="BGO3" s="120"/>
      <c r="BGP3" s="120"/>
      <c r="BGQ3" s="120"/>
      <c r="BGR3" s="120"/>
      <c r="BGS3" s="120"/>
      <c r="BGT3" s="120"/>
      <c r="BGU3" s="120"/>
      <c r="BGV3" s="120"/>
      <c r="BGW3" s="120"/>
      <c r="BGX3" s="120"/>
      <c r="BGY3" s="120"/>
      <c r="BGZ3" s="120"/>
      <c r="BHA3" s="120"/>
      <c r="BHB3" s="120"/>
      <c r="BHC3" s="120"/>
      <c r="BHD3" s="120"/>
      <c r="BHE3" s="120"/>
      <c r="BHF3" s="120"/>
      <c r="BHG3" s="120"/>
      <c r="BHH3" s="120"/>
      <c r="BHI3" s="120"/>
      <c r="BHJ3" s="120"/>
      <c r="BHK3" s="120"/>
      <c r="BHL3" s="120"/>
      <c r="BHM3" s="120"/>
      <c r="BHN3" s="120"/>
      <c r="BHO3" s="120"/>
      <c r="BHP3" s="120"/>
      <c r="BHQ3" s="120"/>
      <c r="BHR3" s="120"/>
      <c r="BHS3" s="120"/>
      <c r="BHT3" s="120"/>
      <c r="BHU3" s="120"/>
      <c r="BHV3" s="120"/>
      <c r="BHW3" s="120"/>
      <c r="BHX3" s="120"/>
      <c r="BHY3" s="120"/>
      <c r="BHZ3" s="120"/>
      <c r="BIA3" s="120"/>
      <c r="BIB3" s="120"/>
      <c r="BIC3" s="120"/>
      <c r="BID3" s="120"/>
      <c r="BIE3" s="120"/>
      <c r="BIF3" s="120"/>
      <c r="BIG3" s="120"/>
      <c r="BIH3" s="120"/>
      <c r="BII3" s="120"/>
      <c r="BIJ3" s="120"/>
      <c r="BIK3" s="120"/>
      <c r="BIL3" s="120"/>
      <c r="BIM3" s="120"/>
      <c r="BIN3" s="120"/>
      <c r="BIO3" s="120"/>
      <c r="BIP3" s="120"/>
      <c r="BIQ3" s="120"/>
      <c r="BIR3" s="120"/>
      <c r="BIS3" s="120"/>
      <c r="BIT3" s="120"/>
      <c r="BIU3" s="120"/>
      <c r="BIV3" s="120"/>
      <c r="BIW3" s="120"/>
      <c r="BIX3" s="120"/>
      <c r="BIY3" s="120"/>
      <c r="BIZ3" s="120"/>
      <c r="BJA3" s="120"/>
      <c r="BJB3" s="120"/>
      <c r="BJC3" s="120"/>
      <c r="BJD3" s="120"/>
      <c r="BJE3" s="120"/>
      <c r="BJF3" s="120"/>
      <c r="BJG3" s="120"/>
      <c r="BJH3" s="120"/>
      <c r="BJI3" s="120"/>
      <c r="BJJ3" s="120"/>
      <c r="BJK3" s="120"/>
      <c r="BJL3" s="120"/>
      <c r="BJM3" s="120"/>
      <c r="BJN3" s="120"/>
      <c r="BJO3" s="120"/>
      <c r="BJP3" s="120"/>
      <c r="BJQ3" s="120"/>
      <c r="BJR3" s="120"/>
      <c r="BJS3" s="120"/>
      <c r="BJT3" s="120"/>
      <c r="BJU3" s="120"/>
      <c r="BJV3" s="120"/>
      <c r="BJW3" s="120"/>
      <c r="BJX3" s="120"/>
      <c r="BJY3" s="120"/>
      <c r="BJZ3" s="120"/>
      <c r="BKA3" s="120"/>
      <c r="BKB3" s="120"/>
      <c r="BKC3" s="120"/>
      <c r="BKD3" s="120"/>
      <c r="BKE3" s="120"/>
      <c r="BKF3" s="120"/>
      <c r="BKG3" s="120"/>
      <c r="BKH3" s="120"/>
      <c r="BKI3" s="120"/>
      <c r="BKJ3" s="120"/>
      <c r="BKK3" s="120"/>
      <c r="BKL3" s="120"/>
      <c r="BKM3" s="120"/>
      <c r="BKN3" s="120"/>
      <c r="BKO3" s="120"/>
      <c r="BKP3" s="120"/>
      <c r="BKQ3" s="120"/>
      <c r="BKR3" s="120"/>
      <c r="BKS3" s="120"/>
      <c r="BKT3" s="120"/>
      <c r="BKU3" s="120"/>
      <c r="BKV3" s="120"/>
      <c r="BKW3" s="120"/>
      <c r="BKX3" s="120"/>
      <c r="BKY3" s="120"/>
      <c r="BKZ3" s="120"/>
      <c r="BLA3" s="120"/>
      <c r="BLB3" s="120"/>
      <c r="BLC3" s="120"/>
      <c r="BLD3" s="120"/>
      <c r="BLE3" s="120"/>
      <c r="BLF3" s="120"/>
      <c r="BLG3" s="120"/>
      <c r="BLH3" s="120"/>
      <c r="BLI3" s="120"/>
      <c r="BLJ3" s="120"/>
      <c r="BLK3" s="120"/>
      <c r="BLL3" s="120"/>
      <c r="BLM3" s="120"/>
      <c r="BLN3" s="120"/>
      <c r="BLO3" s="120"/>
      <c r="BLP3" s="120"/>
      <c r="BLQ3" s="120"/>
      <c r="BLR3" s="120"/>
      <c r="BLS3" s="120"/>
      <c r="BLT3" s="120"/>
      <c r="BLU3" s="120"/>
      <c r="BLV3" s="120"/>
      <c r="BLW3" s="120"/>
      <c r="BLX3" s="120"/>
      <c r="BLY3" s="120"/>
      <c r="BLZ3" s="120"/>
      <c r="BMA3" s="120"/>
      <c r="BMB3" s="120"/>
      <c r="BMC3" s="120"/>
      <c r="BMD3" s="120"/>
      <c r="BME3" s="120"/>
      <c r="BMF3" s="120"/>
      <c r="BMG3" s="120"/>
      <c r="BMH3" s="120"/>
      <c r="BMI3" s="120"/>
      <c r="BMJ3" s="120"/>
      <c r="BMK3" s="120"/>
      <c r="BML3" s="120"/>
      <c r="BMM3" s="120"/>
      <c r="BMN3" s="120"/>
      <c r="BMO3" s="120"/>
      <c r="BMP3" s="120"/>
      <c r="BMQ3" s="120"/>
      <c r="BMR3" s="120"/>
      <c r="BMS3" s="120"/>
      <c r="BMT3" s="120"/>
      <c r="BMU3" s="120"/>
      <c r="BMV3" s="120"/>
      <c r="BMW3" s="120"/>
      <c r="BMX3" s="120"/>
      <c r="BMY3" s="120"/>
      <c r="BMZ3" s="120"/>
      <c r="BNA3" s="120"/>
      <c r="BNB3" s="120"/>
      <c r="BNC3" s="120"/>
      <c r="BND3" s="120"/>
      <c r="BNE3" s="120"/>
      <c r="BNF3" s="120"/>
      <c r="BNG3" s="120"/>
      <c r="BNH3" s="120"/>
      <c r="BNI3" s="120"/>
      <c r="BNJ3" s="120"/>
      <c r="BNK3" s="120"/>
      <c r="BNL3" s="120"/>
      <c r="BNM3" s="120"/>
      <c r="BNN3" s="120"/>
      <c r="BNO3" s="120"/>
      <c r="BNP3" s="120"/>
      <c r="BNQ3" s="120"/>
      <c r="BNR3" s="120"/>
      <c r="BNS3" s="120"/>
      <c r="BNT3" s="120"/>
      <c r="BNU3" s="120"/>
      <c r="BNV3" s="120"/>
      <c r="BNW3" s="120"/>
      <c r="BNX3" s="120"/>
      <c r="BNY3" s="120"/>
      <c r="BNZ3" s="120"/>
      <c r="BOA3" s="120"/>
      <c r="BOB3" s="120"/>
      <c r="BOC3" s="120"/>
      <c r="BOD3" s="120"/>
      <c r="BOE3" s="120"/>
      <c r="BOF3" s="120"/>
      <c r="BOG3" s="120"/>
      <c r="BOH3" s="120"/>
      <c r="BOI3" s="120"/>
      <c r="BOJ3" s="120"/>
      <c r="BOK3" s="120"/>
      <c r="BOL3" s="120"/>
      <c r="BOM3" s="120"/>
      <c r="BON3" s="120"/>
      <c r="BOO3" s="120"/>
      <c r="BOP3" s="120"/>
      <c r="BOQ3" s="120"/>
      <c r="BOR3" s="120"/>
      <c r="BOS3" s="120"/>
      <c r="BOT3" s="120"/>
      <c r="BOU3" s="120"/>
      <c r="BOV3" s="120"/>
      <c r="BOW3" s="120"/>
      <c r="BOX3" s="120"/>
      <c r="BOY3" s="120"/>
      <c r="BOZ3" s="120"/>
      <c r="BPA3" s="120"/>
      <c r="BPB3" s="120"/>
      <c r="BPC3" s="120"/>
      <c r="BPD3" s="120"/>
      <c r="BPE3" s="120"/>
      <c r="BPF3" s="120"/>
      <c r="BPG3" s="120"/>
      <c r="BPH3" s="120"/>
      <c r="BPI3" s="120"/>
      <c r="BPJ3" s="120"/>
      <c r="BPK3" s="120"/>
      <c r="BPL3" s="120"/>
      <c r="BPM3" s="120"/>
      <c r="BPN3" s="120"/>
      <c r="BPO3" s="120"/>
      <c r="BPP3" s="120"/>
      <c r="BPQ3" s="120"/>
      <c r="BPR3" s="120"/>
      <c r="BPS3" s="120"/>
      <c r="BPT3" s="120"/>
      <c r="BPU3" s="120"/>
      <c r="BPV3" s="120"/>
      <c r="BPW3" s="120"/>
      <c r="BPX3" s="120"/>
      <c r="BPY3" s="120"/>
      <c r="BPZ3" s="120"/>
      <c r="BQA3" s="120"/>
      <c r="BQB3" s="120"/>
      <c r="BQC3" s="120"/>
      <c r="BQD3" s="120"/>
      <c r="BQE3" s="120"/>
      <c r="BQF3" s="120"/>
      <c r="BQG3" s="120"/>
      <c r="BQH3" s="120"/>
      <c r="BQI3" s="120"/>
      <c r="BQJ3" s="120"/>
      <c r="BQK3" s="120"/>
      <c r="BQL3" s="120"/>
      <c r="BQM3" s="120"/>
      <c r="BQN3" s="120"/>
      <c r="BQO3" s="120"/>
      <c r="BQP3" s="120"/>
      <c r="BQQ3" s="120"/>
      <c r="BQR3" s="120"/>
      <c r="BQS3" s="120"/>
      <c r="BQT3" s="120"/>
      <c r="BQU3" s="120"/>
      <c r="BQV3" s="120"/>
      <c r="BQW3" s="120"/>
      <c r="BQX3" s="120"/>
      <c r="BQY3" s="120"/>
      <c r="BQZ3" s="120"/>
      <c r="BRA3" s="120"/>
      <c r="BRB3" s="120"/>
      <c r="BRC3" s="120"/>
      <c r="BRD3" s="120"/>
      <c r="BRE3" s="120"/>
      <c r="BRF3" s="120"/>
      <c r="BRG3" s="120"/>
      <c r="BRH3" s="120"/>
      <c r="BRI3" s="120"/>
      <c r="BRJ3" s="120"/>
      <c r="BRK3" s="120"/>
      <c r="BRL3" s="120"/>
      <c r="BRM3" s="120"/>
      <c r="BRN3" s="120"/>
      <c r="BRO3" s="120"/>
      <c r="BRP3" s="120"/>
      <c r="BRQ3" s="120"/>
      <c r="BRR3" s="120"/>
      <c r="BRS3" s="120"/>
      <c r="BRT3" s="120"/>
      <c r="BRU3" s="120"/>
      <c r="BRV3" s="120"/>
      <c r="BRW3" s="120"/>
      <c r="BRX3" s="120"/>
      <c r="BRY3" s="120"/>
      <c r="BRZ3" s="120"/>
      <c r="BSA3" s="120"/>
      <c r="BSB3" s="120"/>
      <c r="BSC3" s="120"/>
      <c r="BSD3" s="120"/>
      <c r="BSE3" s="120"/>
      <c r="BSF3" s="120"/>
      <c r="BSG3" s="120"/>
      <c r="BSH3" s="120"/>
      <c r="BSI3" s="120"/>
      <c r="BSJ3" s="120"/>
      <c r="BSK3" s="120"/>
      <c r="BSL3" s="120"/>
      <c r="BSM3" s="120"/>
      <c r="BSN3" s="120"/>
      <c r="BSO3" s="120"/>
      <c r="BSP3" s="120"/>
      <c r="BSQ3" s="120"/>
      <c r="BSR3" s="120"/>
      <c r="BSS3" s="120"/>
      <c r="BST3" s="120"/>
      <c r="BSU3" s="120"/>
      <c r="BSV3" s="120"/>
      <c r="BSW3" s="120"/>
      <c r="BSX3" s="120"/>
      <c r="BSY3" s="120"/>
      <c r="BSZ3" s="120"/>
      <c r="BTA3" s="120"/>
      <c r="BTB3" s="120"/>
      <c r="BTC3" s="120"/>
      <c r="BTD3" s="120"/>
      <c r="BTE3" s="120"/>
      <c r="BTF3" s="120"/>
      <c r="BTG3" s="120"/>
      <c r="BTH3" s="120"/>
      <c r="BTI3" s="120"/>
      <c r="BTJ3" s="120"/>
      <c r="BTK3" s="120"/>
      <c r="BTL3" s="120"/>
      <c r="BTM3" s="120"/>
      <c r="BTN3" s="120"/>
      <c r="BTO3" s="120"/>
      <c r="BTP3" s="120"/>
      <c r="BTQ3" s="120"/>
      <c r="BTR3" s="120"/>
      <c r="BTS3" s="120"/>
      <c r="BTT3" s="120"/>
      <c r="BTU3" s="120"/>
      <c r="BTV3" s="120"/>
      <c r="BTW3" s="120"/>
      <c r="BTX3" s="120"/>
      <c r="BTY3" s="120"/>
      <c r="BTZ3" s="120"/>
      <c r="BUA3" s="120"/>
      <c r="BUB3" s="120"/>
      <c r="BUC3" s="120"/>
      <c r="BUD3" s="120"/>
      <c r="BUE3" s="120"/>
      <c r="BUF3" s="120"/>
      <c r="BUG3" s="120"/>
      <c r="BUH3" s="120"/>
      <c r="BUI3" s="120"/>
      <c r="BUJ3" s="120"/>
      <c r="BUK3" s="120"/>
      <c r="BUL3" s="120"/>
      <c r="BUM3" s="120"/>
      <c r="BUN3" s="120"/>
      <c r="BUO3" s="120"/>
      <c r="BUP3" s="120"/>
      <c r="BUQ3" s="120"/>
      <c r="BUR3" s="120"/>
      <c r="BUS3" s="120"/>
      <c r="BUT3" s="120"/>
      <c r="BUU3" s="120"/>
      <c r="BUV3" s="120"/>
      <c r="BUW3" s="120"/>
      <c r="BUX3" s="120"/>
      <c r="BUY3" s="120"/>
      <c r="BUZ3" s="120"/>
      <c r="BVA3" s="120"/>
      <c r="BVB3" s="120"/>
      <c r="BVC3" s="120"/>
      <c r="BVD3" s="120"/>
      <c r="BVE3" s="120"/>
      <c r="BVF3" s="120"/>
      <c r="BVG3" s="120"/>
      <c r="BVH3" s="120"/>
      <c r="BVI3" s="120"/>
      <c r="BVJ3" s="120"/>
      <c r="BVK3" s="120"/>
      <c r="BVL3" s="120"/>
      <c r="BVM3" s="120"/>
      <c r="BVN3" s="120"/>
      <c r="BVO3" s="120"/>
      <c r="BVP3" s="120"/>
      <c r="BVQ3" s="120"/>
      <c r="BVR3" s="120"/>
      <c r="BVS3" s="120"/>
      <c r="BVT3" s="120"/>
      <c r="BVU3" s="120"/>
      <c r="BVV3" s="120"/>
      <c r="BVW3" s="120"/>
      <c r="BVX3" s="120"/>
      <c r="BVY3" s="120"/>
      <c r="BVZ3" s="120"/>
      <c r="BWA3" s="120"/>
      <c r="BWB3" s="120"/>
      <c r="BWC3" s="120"/>
      <c r="BWD3" s="120"/>
      <c r="BWE3" s="120"/>
      <c r="BWF3" s="120"/>
      <c r="BWG3" s="120"/>
      <c r="BWH3" s="120"/>
      <c r="BWI3" s="120"/>
      <c r="BWJ3" s="120"/>
      <c r="BWK3" s="120"/>
      <c r="BWL3" s="120"/>
      <c r="BWM3" s="120"/>
      <c r="BWN3" s="120"/>
      <c r="BWO3" s="120"/>
      <c r="BWP3" s="120"/>
      <c r="BWQ3" s="120"/>
      <c r="BWR3" s="120"/>
      <c r="BWS3" s="120"/>
      <c r="BWT3" s="120"/>
      <c r="BWU3" s="120"/>
      <c r="BWV3" s="120"/>
      <c r="BWW3" s="120"/>
      <c r="BWX3" s="120"/>
      <c r="BWY3" s="120"/>
      <c r="BWZ3" s="120"/>
      <c r="BXA3" s="120"/>
      <c r="BXB3" s="120"/>
      <c r="BXC3" s="120"/>
      <c r="BXD3" s="120"/>
      <c r="BXE3" s="120"/>
      <c r="BXF3" s="120"/>
      <c r="BXG3" s="120"/>
      <c r="BXH3" s="120"/>
      <c r="BXI3" s="120"/>
      <c r="BXJ3" s="120"/>
      <c r="BXK3" s="120"/>
      <c r="BXL3" s="120"/>
      <c r="BXM3" s="120"/>
      <c r="BXN3" s="120"/>
      <c r="BXO3" s="120"/>
      <c r="BXP3" s="120"/>
      <c r="BXQ3" s="120"/>
      <c r="BXR3" s="120"/>
      <c r="BXS3" s="120"/>
      <c r="BXT3" s="120"/>
      <c r="BXU3" s="120"/>
      <c r="BXV3" s="120"/>
      <c r="BXW3" s="120"/>
      <c r="BXX3" s="120"/>
      <c r="BXY3" s="120"/>
      <c r="BXZ3" s="120"/>
      <c r="BYA3" s="120"/>
      <c r="BYB3" s="120"/>
      <c r="BYC3" s="120"/>
      <c r="BYD3" s="120"/>
      <c r="BYE3" s="120"/>
      <c r="BYF3" s="120"/>
      <c r="BYG3" s="120"/>
      <c r="BYH3" s="120"/>
      <c r="BYI3" s="120"/>
      <c r="BYJ3" s="120"/>
      <c r="BYK3" s="120"/>
      <c r="BYL3" s="120"/>
      <c r="BYM3" s="120"/>
      <c r="BYN3" s="120"/>
      <c r="BYO3" s="120"/>
      <c r="BYP3" s="120"/>
      <c r="BYQ3" s="120"/>
      <c r="BYR3" s="120"/>
      <c r="BYS3" s="120"/>
      <c r="BYT3" s="120"/>
      <c r="BYU3" s="120"/>
      <c r="BYV3" s="120"/>
      <c r="BYW3" s="120"/>
      <c r="BYX3" s="120"/>
      <c r="BYY3" s="120"/>
      <c r="BYZ3" s="120"/>
      <c r="BZA3" s="120"/>
      <c r="BZB3" s="120"/>
      <c r="BZC3" s="120"/>
      <c r="BZD3" s="120"/>
      <c r="BZE3" s="120"/>
      <c r="BZF3" s="120"/>
      <c r="BZG3" s="120"/>
      <c r="BZH3" s="120"/>
      <c r="BZI3" s="120"/>
      <c r="BZJ3" s="120"/>
      <c r="BZK3" s="120"/>
      <c r="BZL3" s="120"/>
      <c r="BZM3" s="120"/>
      <c r="BZN3" s="120"/>
      <c r="BZO3" s="120"/>
      <c r="BZP3" s="120"/>
      <c r="BZQ3" s="120"/>
      <c r="BZR3" s="120"/>
      <c r="BZS3" s="120"/>
      <c r="BZT3" s="120"/>
      <c r="BZU3" s="120"/>
      <c r="BZV3" s="120"/>
      <c r="BZW3" s="120"/>
      <c r="BZX3" s="120"/>
      <c r="BZY3" s="120"/>
      <c r="BZZ3" s="120"/>
      <c r="CAA3" s="120"/>
      <c r="CAB3" s="120"/>
      <c r="CAC3" s="120"/>
      <c r="CAD3" s="120"/>
      <c r="CAE3" s="120"/>
      <c r="CAF3" s="120"/>
      <c r="CAG3" s="120"/>
      <c r="CAH3" s="120"/>
      <c r="CAI3" s="120"/>
      <c r="CAJ3" s="120"/>
      <c r="CAK3" s="120"/>
      <c r="CAL3" s="120"/>
      <c r="CAM3" s="120"/>
      <c r="CAN3" s="120"/>
      <c r="CAO3" s="120"/>
      <c r="CAP3" s="120"/>
      <c r="CAQ3" s="120"/>
      <c r="CAR3" s="120"/>
      <c r="CAS3" s="120"/>
      <c r="CAT3" s="120"/>
      <c r="CAU3" s="120"/>
      <c r="CAV3" s="120"/>
      <c r="CAW3" s="120"/>
      <c r="CAX3" s="120"/>
      <c r="CAY3" s="120"/>
      <c r="CAZ3" s="120"/>
      <c r="CBA3" s="120"/>
      <c r="CBB3" s="120"/>
      <c r="CBC3" s="120"/>
      <c r="CBD3" s="120"/>
      <c r="CBE3" s="120"/>
      <c r="CBF3" s="120"/>
      <c r="CBG3" s="120"/>
      <c r="CBH3" s="120"/>
      <c r="CBI3" s="120"/>
      <c r="CBJ3" s="120"/>
      <c r="CBK3" s="120"/>
      <c r="CBL3" s="120"/>
      <c r="CBM3" s="120"/>
      <c r="CBN3" s="120"/>
      <c r="CBO3" s="120"/>
      <c r="CBP3" s="120"/>
      <c r="CBQ3" s="120"/>
      <c r="CBR3" s="120"/>
      <c r="CBS3" s="120"/>
      <c r="CBT3" s="120"/>
      <c r="CBU3" s="120"/>
      <c r="CBV3" s="120"/>
      <c r="CBW3" s="120"/>
      <c r="CBX3" s="120"/>
      <c r="CBY3" s="120"/>
      <c r="CBZ3" s="120"/>
      <c r="CCA3" s="120"/>
      <c r="CCB3" s="120"/>
      <c r="CCC3" s="120"/>
      <c r="CCD3" s="120"/>
      <c r="CCE3" s="120"/>
      <c r="CCF3" s="120"/>
      <c r="CCG3" s="120"/>
      <c r="CCH3" s="120"/>
      <c r="CCI3" s="120"/>
      <c r="CCJ3" s="120"/>
      <c r="CCK3" s="120"/>
      <c r="CCL3" s="120"/>
      <c r="CCM3" s="120"/>
      <c r="CCN3" s="120"/>
      <c r="CCO3" s="120"/>
      <c r="CCP3" s="120"/>
      <c r="CCQ3" s="120"/>
      <c r="CCR3" s="120"/>
      <c r="CCS3" s="120"/>
      <c r="CCT3" s="120"/>
      <c r="CCU3" s="120"/>
      <c r="CCV3" s="120"/>
      <c r="CCW3" s="120"/>
      <c r="CCX3" s="120"/>
      <c r="CCY3" s="120"/>
      <c r="CCZ3" s="120"/>
      <c r="CDA3" s="120"/>
      <c r="CDB3" s="120"/>
      <c r="CDC3" s="120"/>
      <c r="CDD3" s="120"/>
      <c r="CDE3" s="120"/>
      <c r="CDF3" s="120"/>
      <c r="CDG3" s="120"/>
      <c r="CDH3" s="120"/>
      <c r="CDI3" s="120"/>
      <c r="CDJ3" s="120"/>
      <c r="CDK3" s="120"/>
      <c r="CDL3" s="120"/>
      <c r="CDM3" s="120"/>
      <c r="CDN3" s="120"/>
      <c r="CDO3" s="120"/>
      <c r="CDP3" s="120"/>
      <c r="CDQ3" s="120"/>
      <c r="CDR3" s="120"/>
      <c r="CDS3" s="120"/>
      <c r="CDT3" s="120"/>
      <c r="CDU3" s="120"/>
      <c r="CDV3" s="120"/>
      <c r="CDW3" s="120"/>
      <c r="CDX3" s="120"/>
      <c r="CDY3" s="120"/>
      <c r="CDZ3" s="120"/>
      <c r="CEA3" s="120"/>
      <c r="CEB3" s="120"/>
      <c r="CEC3" s="120"/>
      <c r="CED3" s="120"/>
      <c r="CEE3" s="120"/>
      <c r="CEF3" s="120"/>
      <c r="CEG3" s="120"/>
      <c r="CEH3" s="120"/>
      <c r="CEI3" s="120"/>
      <c r="CEJ3" s="120"/>
      <c r="CEK3" s="120"/>
      <c r="CEL3" s="120"/>
      <c r="CEM3" s="120"/>
      <c r="CEN3" s="120"/>
      <c r="CEO3" s="120"/>
      <c r="CEP3" s="120"/>
      <c r="CEQ3" s="120"/>
      <c r="CER3" s="120"/>
      <c r="CES3" s="120"/>
      <c r="CET3" s="120"/>
      <c r="CEU3" s="120"/>
      <c r="CEV3" s="120"/>
      <c r="CEW3" s="120"/>
      <c r="CEX3" s="120"/>
      <c r="CEY3" s="120"/>
      <c r="CEZ3" s="120"/>
      <c r="CFA3" s="120"/>
      <c r="CFB3" s="120"/>
      <c r="CFC3" s="120"/>
      <c r="CFD3" s="120"/>
      <c r="CFE3" s="120"/>
      <c r="CFF3" s="120"/>
      <c r="CFG3" s="120"/>
      <c r="CFH3" s="120"/>
      <c r="CFI3" s="120"/>
      <c r="CFJ3" s="120"/>
      <c r="CFK3" s="120"/>
      <c r="CFL3" s="120"/>
      <c r="CFM3" s="120"/>
      <c r="CFN3" s="120"/>
      <c r="CFO3" s="120"/>
      <c r="CFP3" s="120"/>
      <c r="CFQ3" s="120"/>
      <c r="CFR3" s="120"/>
      <c r="CFS3" s="120"/>
      <c r="CFT3" s="120"/>
      <c r="CFU3" s="120"/>
      <c r="CFV3" s="120"/>
      <c r="CFW3" s="120"/>
      <c r="CFX3" s="120"/>
      <c r="CFY3" s="120"/>
      <c r="CFZ3" s="120"/>
      <c r="CGA3" s="120"/>
      <c r="CGB3" s="120"/>
      <c r="CGC3" s="120"/>
      <c r="CGD3" s="120"/>
      <c r="CGE3" s="120"/>
      <c r="CGF3" s="120"/>
      <c r="CGG3" s="120"/>
      <c r="CGH3" s="120"/>
      <c r="CGI3" s="120"/>
      <c r="CGJ3" s="120"/>
      <c r="CGK3" s="120"/>
      <c r="CGL3" s="120"/>
      <c r="CGM3" s="120"/>
      <c r="CGN3" s="120"/>
      <c r="CGO3" s="120"/>
      <c r="CGP3" s="120"/>
      <c r="CGQ3" s="120"/>
      <c r="CGR3" s="120"/>
      <c r="CGS3" s="120"/>
      <c r="CGT3" s="120"/>
      <c r="CGU3" s="120"/>
      <c r="CGV3" s="120"/>
      <c r="CGW3" s="120"/>
      <c r="CGX3" s="120"/>
      <c r="CGY3" s="120"/>
      <c r="CGZ3" s="120"/>
      <c r="CHA3" s="120"/>
      <c r="CHB3" s="120"/>
      <c r="CHC3" s="120"/>
      <c r="CHD3" s="120"/>
      <c r="CHE3" s="120"/>
      <c r="CHF3" s="120"/>
      <c r="CHG3" s="120"/>
      <c r="CHH3" s="120"/>
      <c r="CHI3" s="120"/>
      <c r="CHJ3" s="120"/>
      <c r="CHK3" s="120"/>
      <c r="CHL3" s="120"/>
      <c r="CHM3" s="120"/>
      <c r="CHN3" s="120"/>
      <c r="CHO3" s="120"/>
      <c r="CHP3" s="120"/>
      <c r="CHQ3" s="120"/>
      <c r="CHR3" s="120"/>
      <c r="CHS3" s="120"/>
      <c r="CHT3" s="120"/>
      <c r="CHU3" s="120"/>
      <c r="CHV3" s="120"/>
      <c r="CHW3" s="120"/>
      <c r="CHX3" s="120"/>
      <c r="CHY3" s="120"/>
      <c r="CHZ3" s="120"/>
      <c r="CIA3" s="120"/>
      <c r="CIB3" s="120"/>
      <c r="CIC3" s="120"/>
      <c r="CID3" s="120"/>
      <c r="CIE3" s="120"/>
      <c r="CIF3" s="120"/>
      <c r="CIG3" s="120"/>
      <c r="CIH3" s="120"/>
      <c r="CII3" s="120"/>
      <c r="CIJ3" s="120"/>
      <c r="CIK3" s="120"/>
      <c r="CIL3" s="120"/>
      <c r="CIM3" s="120"/>
      <c r="CIN3" s="120"/>
      <c r="CIO3" s="120"/>
      <c r="CIP3" s="120"/>
      <c r="CIQ3" s="120"/>
      <c r="CIR3" s="120"/>
      <c r="CIS3" s="120"/>
      <c r="CIT3" s="120"/>
      <c r="CIU3" s="120"/>
      <c r="CIV3" s="120"/>
      <c r="CIW3" s="120"/>
      <c r="CIX3" s="120"/>
      <c r="CIY3" s="120"/>
      <c r="CIZ3" s="120"/>
      <c r="CJA3" s="120"/>
      <c r="CJB3" s="120"/>
      <c r="CJC3" s="120"/>
      <c r="CJD3" s="120"/>
      <c r="CJE3" s="120"/>
      <c r="CJF3" s="120"/>
      <c r="CJG3" s="120"/>
      <c r="CJH3" s="120"/>
      <c r="CJI3" s="120"/>
      <c r="CJJ3" s="120"/>
      <c r="CJK3" s="120"/>
      <c r="CJL3" s="120"/>
      <c r="CJM3" s="120"/>
      <c r="CJN3" s="120"/>
      <c r="CJO3" s="120"/>
      <c r="CJP3" s="120"/>
      <c r="CJQ3" s="120"/>
      <c r="CJR3" s="120"/>
      <c r="CJS3" s="120"/>
      <c r="CJT3" s="120"/>
      <c r="CJU3" s="120"/>
      <c r="CJV3" s="120"/>
      <c r="CJW3" s="120"/>
      <c r="CJX3" s="120"/>
      <c r="CJY3" s="120"/>
      <c r="CJZ3" s="120"/>
      <c r="CKA3" s="120"/>
      <c r="CKB3" s="120"/>
      <c r="CKC3" s="120"/>
      <c r="CKD3" s="120"/>
      <c r="CKE3" s="120"/>
      <c r="CKF3" s="120"/>
      <c r="CKG3" s="120"/>
      <c r="CKH3" s="120"/>
      <c r="CKI3" s="120"/>
      <c r="CKJ3" s="120"/>
      <c r="CKK3" s="120"/>
      <c r="CKL3" s="120"/>
      <c r="CKM3" s="120"/>
      <c r="CKN3" s="120"/>
      <c r="CKO3" s="120"/>
      <c r="CKP3" s="120"/>
      <c r="CKQ3" s="120"/>
      <c r="CKR3" s="120"/>
      <c r="CKS3" s="120"/>
      <c r="CKT3" s="120"/>
      <c r="CKU3" s="120"/>
      <c r="CKV3" s="120"/>
      <c r="CKW3" s="120"/>
      <c r="CKX3" s="120"/>
      <c r="CKY3" s="120"/>
      <c r="CKZ3" s="120"/>
      <c r="CLA3" s="120"/>
      <c r="CLB3" s="120"/>
      <c r="CLC3" s="120"/>
      <c r="CLD3" s="120"/>
      <c r="CLE3" s="120"/>
      <c r="CLF3" s="120"/>
      <c r="CLG3" s="120"/>
      <c r="CLH3" s="120"/>
      <c r="CLI3" s="120"/>
      <c r="CLJ3" s="120"/>
      <c r="CLK3" s="120"/>
      <c r="CLL3" s="120"/>
      <c r="CLM3" s="120"/>
      <c r="CLN3" s="120"/>
      <c r="CLO3" s="120"/>
      <c r="CLP3" s="120"/>
      <c r="CLQ3" s="120"/>
      <c r="CLR3" s="120"/>
      <c r="CLS3" s="120"/>
      <c r="CLT3" s="120"/>
      <c r="CLU3" s="120"/>
      <c r="CLV3" s="120"/>
      <c r="CLW3" s="120"/>
      <c r="CLX3" s="120"/>
      <c r="CLY3" s="120"/>
      <c r="CLZ3" s="120"/>
      <c r="CMA3" s="120"/>
      <c r="CMB3" s="120"/>
      <c r="CMC3" s="120"/>
      <c r="CMD3" s="120"/>
      <c r="CME3" s="120"/>
      <c r="CMF3" s="120"/>
      <c r="CMG3" s="120"/>
      <c r="CMH3" s="120"/>
      <c r="CMI3" s="120"/>
      <c r="CMJ3" s="120"/>
      <c r="CMK3" s="120"/>
      <c r="CML3" s="120"/>
      <c r="CMM3" s="120"/>
      <c r="CMN3" s="120"/>
      <c r="CMO3" s="120"/>
      <c r="CMP3" s="120"/>
      <c r="CMQ3" s="120"/>
      <c r="CMR3" s="120"/>
      <c r="CMS3" s="120"/>
      <c r="CMT3" s="120"/>
      <c r="CMU3" s="120"/>
      <c r="CMV3" s="120"/>
      <c r="CMW3" s="120"/>
      <c r="CMX3" s="120"/>
      <c r="CMY3" s="120"/>
      <c r="CMZ3" s="120"/>
      <c r="CNA3" s="120"/>
      <c r="CNB3" s="120"/>
      <c r="CNC3" s="120"/>
      <c r="CND3" s="120"/>
      <c r="CNE3" s="120"/>
      <c r="CNF3" s="120"/>
      <c r="CNG3" s="120"/>
      <c r="CNH3" s="120"/>
      <c r="CNI3" s="120"/>
      <c r="CNJ3" s="120"/>
      <c r="CNK3" s="120"/>
      <c r="CNL3" s="120"/>
      <c r="CNM3" s="120"/>
      <c r="CNN3" s="120"/>
      <c r="CNO3" s="120"/>
      <c r="CNP3" s="120"/>
      <c r="CNQ3" s="120"/>
      <c r="CNR3" s="120"/>
      <c r="CNS3" s="120"/>
      <c r="CNT3" s="120"/>
      <c r="CNU3" s="120"/>
      <c r="CNV3" s="120"/>
      <c r="CNW3" s="120"/>
      <c r="CNX3" s="120"/>
      <c r="CNY3" s="120"/>
      <c r="CNZ3" s="120"/>
      <c r="COA3" s="120"/>
      <c r="COB3" s="120"/>
      <c r="COC3" s="120"/>
      <c r="COD3" s="120"/>
      <c r="COE3" s="120"/>
      <c r="COF3" s="120"/>
      <c r="COG3" s="120"/>
      <c r="COH3" s="120"/>
      <c r="COI3" s="120"/>
      <c r="COJ3" s="120"/>
      <c r="COK3" s="120"/>
      <c r="COL3" s="120"/>
      <c r="COM3" s="120"/>
      <c r="CON3" s="120"/>
      <c r="COO3" s="120"/>
      <c r="COP3" s="120"/>
      <c r="COQ3" s="120"/>
      <c r="COR3" s="120"/>
      <c r="COS3" s="120"/>
      <c r="COT3" s="120"/>
      <c r="COU3" s="120"/>
      <c r="COV3" s="120"/>
      <c r="COW3" s="120"/>
      <c r="COX3" s="120"/>
      <c r="COY3" s="120"/>
      <c r="COZ3" s="120"/>
      <c r="CPA3" s="120"/>
      <c r="CPB3" s="120"/>
      <c r="CPC3" s="120"/>
      <c r="CPD3" s="120"/>
      <c r="CPE3" s="120"/>
      <c r="CPF3" s="120"/>
      <c r="CPG3" s="120"/>
      <c r="CPH3" s="120"/>
      <c r="CPI3" s="120"/>
      <c r="CPJ3" s="120"/>
      <c r="CPK3" s="120"/>
      <c r="CPL3" s="120"/>
      <c r="CPM3" s="120"/>
      <c r="CPN3" s="120"/>
      <c r="CPO3" s="120"/>
      <c r="CPP3" s="120"/>
      <c r="CPQ3" s="120"/>
      <c r="CPR3" s="120"/>
      <c r="CPS3" s="120"/>
      <c r="CPT3" s="120"/>
      <c r="CPU3" s="120"/>
      <c r="CPV3" s="120"/>
      <c r="CPW3" s="120"/>
      <c r="CPX3" s="120"/>
      <c r="CPY3" s="120"/>
      <c r="CPZ3" s="120"/>
      <c r="CQA3" s="120"/>
      <c r="CQB3" s="120"/>
      <c r="CQC3" s="120"/>
      <c r="CQD3" s="120"/>
      <c r="CQE3" s="120"/>
      <c r="CQF3" s="120"/>
      <c r="CQG3" s="120"/>
      <c r="CQH3" s="120"/>
      <c r="CQI3" s="120"/>
      <c r="CQJ3" s="120"/>
      <c r="CQK3" s="120"/>
      <c r="CQL3" s="120"/>
      <c r="CQM3" s="120"/>
      <c r="CQN3" s="120"/>
      <c r="CQO3" s="120"/>
      <c r="CQP3" s="120"/>
      <c r="CQQ3" s="120"/>
      <c r="CQR3" s="120"/>
      <c r="CQS3" s="120"/>
      <c r="CQT3" s="120"/>
      <c r="CQU3" s="120"/>
      <c r="CQV3" s="120"/>
      <c r="CQW3" s="120"/>
      <c r="CQX3" s="120"/>
      <c r="CQY3" s="120"/>
      <c r="CQZ3" s="120"/>
      <c r="CRA3" s="120"/>
      <c r="CRB3" s="120"/>
      <c r="CRC3" s="120"/>
      <c r="CRD3" s="120"/>
      <c r="CRE3" s="120"/>
      <c r="CRF3" s="120"/>
      <c r="CRG3" s="120"/>
      <c r="CRH3" s="120"/>
      <c r="CRI3" s="120"/>
      <c r="CRJ3" s="120"/>
      <c r="CRK3" s="120"/>
      <c r="CRL3" s="120"/>
      <c r="CRM3" s="120"/>
      <c r="CRN3" s="120"/>
      <c r="CRO3" s="120"/>
      <c r="CRP3" s="120"/>
      <c r="CRQ3" s="120"/>
      <c r="CRR3" s="120"/>
      <c r="CRS3" s="120"/>
      <c r="CRT3" s="120"/>
      <c r="CRU3" s="120"/>
      <c r="CRV3" s="120"/>
      <c r="CRW3" s="120"/>
      <c r="CRX3" s="120"/>
      <c r="CRY3" s="120"/>
      <c r="CRZ3" s="120"/>
      <c r="CSA3" s="120"/>
      <c r="CSB3" s="120"/>
      <c r="CSC3" s="120"/>
      <c r="CSD3" s="120"/>
      <c r="CSE3" s="120"/>
      <c r="CSF3" s="120"/>
      <c r="CSG3" s="120"/>
      <c r="CSH3" s="120"/>
      <c r="CSI3" s="120"/>
      <c r="CSJ3" s="120"/>
      <c r="CSK3" s="120"/>
      <c r="CSL3" s="120"/>
      <c r="CSM3" s="120"/>
      <c r="CSN3" s="120"/>
      <c r="CSO3" s="120"/>
      <c r="CSP3" s="120"/>
      <c r="CSQ3" s="120"/>
      <c r="CSR3" s="120"/>
      <c r="CSS3" s="120"/>
      <c r="CST3" s="120"/>
      <c r="CSU3" s="120"/>
      <c r="CSV3" s="120"/>
      <c r="CSW3" s="120"/>
      <c r="CSX3" s="120"/>
      <c r="CSY3" s="120"/>
      <c r="CSZ3" s="120"/>
      <c r="CTA3" s="120"/>
      <c r="CTB3" s="120"/>
      <c r="CTC3" s="120"/>
      <c r="CTD3" s="120"/>
      <c r="CTE3" s="120"/>
      <c r="CTF3" s="120"/>
      <c r="CTG3" s="120"/>
      <c r="CTH3" s="120"/>
      <c r="CTI3" s="120"/>
      <c r="CTJ3" s="120"/>
      <c r="CTK3" s="120"/>
      <c r="CTL3" s="120"/>
      <c r="CTM3" s="120"/>
      <c r="CTN3" s="120"/>
      <c r="CTO3" s="120"/>
      <c r="CTP3" s="120"/>
      <c r="CTQ3" s="120"/>
      <c r="CTR3" s="120"/>
      <c r="CTS3" s="120"/>
      <c r="CTT3" s="120"/>
      <c r="CTU3" s="120"/>
      <c r="CTV3" s="120"/>
      <c r="CTW3" s="120"/>
      <c r="CTX3" s="120"/>
      <c r="CTY3" s="120"/>
      <c r="CTZ3" s="120"/>
      <c r="CUA3" s="120"/>
      <c r="CUB3" s="120"/>
      <c r="CUC3" s="120"/>
      <c r="CUD3" s="120"/>
      <c r="CUE3" s="120"/>
      <c r="CUF3" s="120"/>
      <c r="CUG3" s="120"/>
      <c r="CUH3" s="120"/>
      <c r="CUI3" s="120"/>
      <c r="CUJ3" s="120"/>
      <c r="CUK3" s="120"/>
      <c r="CUL3" s="120"/>
      <c r="CUM3" s="120"/>
      <c r="CUN3" s="120"/>
      <c r="CUO3" s="120"/>
      <c r="CUP3" s="120"/>
      <c r="CUQ3" s="120"/>
      <c r="CUR3" s="120"/>
      <c r="CUS3" s="120"/>
      <c r="CUT3" s="120"/>
      <c r="CUU3" s="120"/>
      <c r="CUV3" s="120"/>
      <c r="CUW3" s="120"/>
      <c r="CUX3" s="120"/>
      <c r="CUY3" s="120"/>
      <c r="CUZ3" s="120"/>
      <c r="CVA3" s="120"/>
      <c r="CVB3" s="120"/>
      <c r="CVC3" s="120"/>
      <c r="CVD3" s="120"/>
      <c r="CVE3" s="120"/>
      <c r="CVF3" s="120"/>
      <c r="CVG3" s="120"/>
      <c r="CVH3" s="120"/>
      <c r="CVI3" s="120"/>
      <c r="CVJ3" s="120"/>
      <c r="CVK3" s="120"/>
      <c r="CVL3" s="120"/>
      <c r="CVM3" s="120"/>
      <c r="CVN3" s="120"/>
      <c r="CVO3" s="120"/>
      <c r="CVP3" s="120"/>
      <c r="CVQ3" s="120"/>
      <c r="CVR3" s="120"/>
      <c r="CVS3" s="120"/>
      <c r="CVT3" s="120"/>
      <c r="CVU3" s="120"/>
      <c r="CVV3" s="120"/>
      <c r="CVW3" s="120"/>
      <c r="CVX3" s="120"/>
      <c r="CVY3" s="120"/>
      <c r="CVZ3" s="120"/>
      <c r="CWA3" s="120"/>
      <c r="CWB3" s="120"/>
      <c r="CWC3" s="120"/>
      <c r="CWD3" s="120"/>
      <c r="CWE3" s="120"/>
      <c r="CWF3" s="120"/>
      <c r="CWG3" s="120"/>
      <c r="CWH3" s="120"/>
      <c r="CWI3" s="120"/>
      <c r="CWJ3" s="120"/>
      <c r="CWK3" s="120"/>
      <c r="CWL3" s="120"/>
      <c r="CWM3" s="120"/>
      <c r="CWN3" s="120"/>
      <c r="CWO3" s="120"/>
      <c r="CWP3" s="120"/>
      <c r="CWQ3" s="120"/>
      <c r="CWR3" s="120"/>
      <c r="CWS3" s="120"/>
      <c r="CWT3" s="120"/>
      <c r="CWU3" s="120"/>
      <c r="CWV3" s="120"/>
      <c r="CWW3" s="120"/>
      <c r="CWX3" s="120"/>
      <c r="CWY3" s="120"/>
      <c r="CWZ3" s="120"/>
      <c r="CXA3" s="120"/>
      <c r="CXB3" s="120"/>
      <c r="CXC3" s="120"/>
      <c r="CXD3" s="120"/>
      <c r="CXE3" s="120"/>
      <c r="CXF3" s="120"/>
      <c r="CXG3" s="120"/>
      <c r="CXH3" s="120"/>
      <c r="CXI3" s="120"/>
      <c r="CXJ3" s="120"/>
      <c r="CXK3" s="120"/>
      <c r="CXL3" s="120"/>
      <c r="CXM3" s="120"/>
      <c r="CXN3" s="120"/>
      <c r="CXO3" s="120"/>
      <c r="CXP3" s="120"/>
      <c r="CXQ3" s="120"/>
      <c r="CXR3" s="120"/>
      <c r="CXS3" s="120"/>
      <c r="CXT3" s="120"/>
      <c r="CXU3" s="120"/>
      <c r="CXV3" s="120"/>
      <c r="CXW3" s="120"/>
      <c r="CXX3" s="120"/>
      <c r="CXY3" s="120"/>
      <c r="CXZ3" s="120"/>
      <c r="CYA3" s="120"/>
      <c r="CYB3" s="120"/>
      <c r="CYC3" s="120"/>
      <c r="CYD3" s="120"/>
      <c r="CYE3" s="120"/>
      <c r="CYF3" s="120"/>
      <c r="CYG3" s="120"/>
      <c r="CYH3" s="120"/>
      <c r="CYI3" s="120"/>
      <c r="CYJ3" s="120"/>
      <c r="CYK3" s="120"/>
      <c r="CYL3" s="120"/>
      <c r="CYM3" s="120"/>
      <c r="CYN3" s="120"/>
      <c r="CYO3" s="120"/>
      <c r="CYP3" s="120"/>
      <c r="CYQ3" s="120"/>
      <c r="CYR3" s="120"/>
      <c r="CYS3" s="120"/>
      <c r="CYT3" s="120"/>
      <c r="CYU3" s="120"/>
      <c r="CYV3" s="120"/>
      <c r="CYW3" s="120"/>
      <c r="CYX3" s="120"/>
      <c r="CYY3" s="120"/>
      <c r="CYZ3" s="120"/>
      <c r="CZA3" s="120"/>
      <c r="CZB3" s="120"/>
      <c r="CZC3" s="120"/>
      <c r="CZD3" s="120"/>
      <c r="CZE3" s="120"/>
      <c r="CZF3" s="120"/>
      <c r="CZG3" s="120"/>
      <c r="CZH3" s="120"/>
      <c r="CZI3" s="120"/>
      <c r="CZJ3" s="120"/>
      <c r="CZK3" s="120"/>
      <c r="CZL3" s="120"/>
      <c r="CZM3" s="120"/>
      <c r="CZN3" s="120"/>
      <c r="CZO3" s="120"/>
      <c r="CZP3" s="120"/>
      <c r="CZQ3" s="120"/>
      <c r="CZR3" s="120"/>
      <c r="CZS3" s="120"/>
      <c r="CZT3" s="120"/>
      <c r="CZU3" s="120"/>
      <c r="CZV3" s="120"/>
      <c r="CZW3" s="120"/>
      <c r="CZX3" s="120"/>
      <c r="CZY3" s="120"/>
      <c r="CZZ3" s="120"/>
      <c r="DAA3" s="120"/>
      <c r="DAB3" s="120"/>
      <c r="DAC3" s="120"/>
      <c r="DAD3" s="120"/>
      <c r="DAE3" s="120"/>
      <c r="DAF3" s="120"/>
      <c r="DAG3" s="120"/>
      <c r="DAH3" s="120"/>
      <c r="DAI3" s="120"/>
      <c r="DAJ3" s="120"/>
      <c r="DAK3" s="120"/>
      <c r="DAL3" s="120"/>
      <c r="DAM3" s="120"/>
      <c r="DAN3" s="120"/>
      <c r="DAO3" s="120"/>
      <c r="DAP3" s="120"/>
      <c r="DAQ3" s="120"/>
      <c r="DAR3" s="120"/>
      <c r="DAS3" s="120"/>
      <c r="DAT3" s="120"/>
      <c r="DAU3" s="120"/>
      <c r="DAV3" s="120"/>
      <c r="DAW3" s="120"/>
      <c r="DAX3" s="120"/>
      <c r="DAY3" s="120"/>
      <c r="DAZ3" s="120"/>
      <c r="DBA3" s="120"/>
      <c r="DBB3" s="120"/>
      <c r="DBC3" s="120"/>
      <c r="DBD3" s="120"/>
      <c r="DBE3" s="120"/>
      <c r="DBF3" s="120"/>
      <c r="DBG3" s="120"/>
      <c r="DBH3" s="120"/>
      <c r="DBI3" s="120"/>
      <c r="DBJ3" s="120"/>
      <c r="DBK3" s="120"/>
      <c r="DBL3" s="120"/>
      <c r="DBM3" s="120"/>
      <c r="DBN3" s="120"/>
      <c r="DBO3" s="120"/>
      <c r="DBP3" s="120"/>
      <c r="DBQ3" s="120"/>
      <c r="DBR3" s="120"/>
      <c r="DBS3" s="120"/>
      <c r="DBT3" s="120"/>
      <c r="DBU3" s="120"/>
      <c r="DBV3" s="120"/>
      <c r="DBW3" s="120"/>
      <c r="DBX3" s="120"/>
      <c r="DBY3" s="120"/>
      <c r="DBZ3" s="120"/>
      <c r="DCA3" s="120"/>
      <c r="DCB3" s="120"/>
      <c r="DCC3" s="120"/>
      <c r="DCD3" s="120"/>
      <c r="DCE3" s="120"/>
      <c r="DCF3" s="120"/>
      <c r="DCG3" s="120"/>
      <c r="DCH3" s="120"/>
      <c r="DCI3" s="120"/>
      <c r="DCJ3" s="120"/>
      <c r="DCK3" s="120"/>
      <c r="DCL3" s="120"/>
      <c r="DCM3" s="120"/>
      <c r="DCN3" s="120"/>
      <c r="DCO3" s="120"/>
      <c r="DCP3" s="120"/>
      <c r="DCQ3" s="120"/>
      <c r="DCR3" s="120"/>
      <c r="DCS3" s="120"/>
      <c r="DCT3" s="120"/>
      <c r="DCU3" s="120"/>
      <c r="DCV3" s="120"/>
      <c r="DCW3" s="120"/>
      <c r="DCX3" s="120"/>
      <c r="DCY3" s="120"/>
      <c r="DCZ3" s="120"/>
      <c r="DDA3" s="120"/>
      <c r="DDB3" s="120"/>
      <c r="DDC3" s="120"/>
      <c r="DDD3" s="120"/>
      <c r="DDE3" s="120"/>
      <c r="DDF3" s="120"/>
      <c r="DDG3" s="120"/>
      <c r="DDH3" s="120"/>
      <c r="DDI3" s="120"/>
      <c r="DDJ3" s="120"/>
      <c r="DDK3" s="120"/>
      <c r="DDL3" s="120"/>
      <c r="DDM3" s="120"/>
      <c r="DDN3" s="120"/>
      <c r="DDO3" s="120"/>
      <c r="DDP3" s="120"/>
      <c r="DDQ3" s="120"/>
      <c r="DDR3" s="120"/>
      <c r="DDS3" s="120"/>
      <c r="DDT3" s="120"/>
      <c r="DDU3" s="120"/>
      <c r="DDV3" s="120"/>
      <c r="DDW3" s="120"/>
      <c r="DDX3" s="120"/>
      <c r="DDY3" s="120"/>
      <c r="DDZ3" s="120"/>
      <c r="DEA3" s="120"/>
      <c r="DEB3" s="120"/>
      <c r="DEC3" s="120"/>
      <c r="DED3" s="120"/>
      <c r="DEE3" s="120"/>
      <c r="DEF3" s="120"/>
      <c r="DEG3" s="120"/>
      <c r="DEH3" s="120"/>
      <c r="DEI3" s="120"/>
      <c r="DEJ3" s="120"/>
      <c r="DEK3" s="120"/>
      <c r="DEL3" s="120"/>
      <c r="DEM3" s="120"/>
      <c r="DEN3" s="120"/>
      <c r="DEO3" s="120"/>
      <c r="DEP3" s="120"/>
      <c r="DEQ3" s="120"/>
      <c r="DER3" s="120"/>
      <c r="DES3" s="120"/>
      <c r="DET3" s="120"/>
      <c r="DEU3" s="120"/>
      <c r="DEV3" s="120"/>
      <c r="DEW3" s="120"/>
      <c r="DEX3" s="120"/>
      <c r="DEY3" s="120"/>
      <c r="DEZ3" s="120"/>
      <c r="DFA3" s="120"/>
      <c r="DFB3" s="120"/>
      <c r="DFC3" s="120"/>
      <c r="DFD3" s="120"/>
      <c r="DFE3" s="120"/>
      <c r="DFF3" s="120"/>
      <c r="DFG3" s="120"/>
      <c r="DFH3" s="120"/>
      <c r="DFI3" s="120"/>
      <c r="DFJ3" s="120"/>
      <c r="DFK3" s="120"/>
      <c r="DFL3" s="120"/>
      <c r="DFM3" s="120"/>
      <c r="DFN3" s="120"/>
      <c r="DFO3" s="120"/>
      <c r="DFP3" s="120"/>
      <c r="DFQ3" s="120"/>
      <c r="DFR3" s="120"/>
      <c r="DFS3" s="120"/>
      <c r="DFT3" s="120"/>
      <c r="DFU3" s="120"/>
      <c r="DFV3" s="120"/>
      <c r="DFW3" s="120"/>
      <c r="DFX3" s="120"/>
      <c r="DFY3" s="120"/>
      <c r="DFZ3" s="120"/>
      <c r="DGA3" s="120"/>
      <c r="DGB3" s="120"/>
      <c r="DGC3" s="120"/>
      <c r="DGD3" s="120"/>
      <c r="DGE3" s="120"/>
      <c r="DGF3" s="120"/>
      <c r="DGG3" s="120"/>
      <c r="DGH3" s="120"/>
      <c r="DGI3" s="120"/>
      <c r="DGJ3" s="120"/>
      <c r="DGK3" s="120"/>
      <c r="DGL3" s="120"/>
      <c r="DGM3" s="120"/>
      <c r="DGN3" s="120"/>
      <c r="DGO3" s="120"/>
      <c r="DGP3" s="120"/>
      <c r="DGQ3" s="120"/>
      <c r="DGR3" s="120"/>
      <c r="DGS3" s="120"/>
      <c r="DGT3" s="120"/>
      <c r="DGU3" s="120"/>
      <c r="DGV3" s="120"/>
      <c r="DGW3" s="120"/>
      <c r="DGX3" s="120"/>
      <c r="DGY3" s="120"/>
      <c r="DGZ3" s="120"/>
      <c r="DHA3" s="120"/>
      <c r="DHB3" s="120"/>
      <c r="DHC3" s="120"/>
      <c r="DHD3" s="120"/>
      <c r="DHE3" s="120"/>
      <c r="DHF3" s="120"/>
      <c r="DHG3" s="120"/>
      <c r="DHH3" s="120"/>
      <c r="DHI3" s="120"/>
      <c r="DHJ3" s="120"/>
      <c r="DHK3" s="120"/>
      <c r="DHL3" s="120"/>
      <c r="DHM3" s="120"/>
      <c r="DHN3" s="120"/>
      <c r="DHO3" s="120"/>
      <c r="DHP3" s="120"/>
      <c r="DHQ3" s="120"/>
      <c r="DHR3" s="120"/>
      <c r="DHS3" s="120"/>
      <c r="DHT3" s="120"/>
      <c r="DHU3" s="120"/>
      <c r="DHV3" s="120"/>
      <c r="DHW3" s="120"/>
      <c r="DHX3" s="120"/>
      <c r="DHY3" s="120"/>
      <c r="DHZ3" s="120"/>
      <c r="DIA3" s="120"/>
      <c r="DIB3" s="120"/>
      <c r="DIC3" s="120"/>
      <c r="DID3" s="120"/>
      <c r="DIE3" s="120"/>
      <c r="DIF3" s="120"/>
      <c r="DIG3" s="120"/>
      <c r="DIH3" s="120"/>
      <c r="DII3" s="120"/>
      <c r="DIJ3" s="120"/>
      <c r="DIK3" s="120"/>
      <c r="DIL3" s="120"/>
      <c r="DIM3" s="120"/>
      <c r="DIN3" s="120"/>
      <c r="DIO3" s="120"/>
      <c r="DIP3" s="120"/>
      <c r="DIQ3" s="120"/>
      <c r="DIR3" s="120"/>
      <c r="DIS3" s="120"/>
      <c r="DIT3" s="120"/>
      <c r="DIU3" s="120"/>
      <c r="DIV3" s="120"/>
      <c r="DIW3" s="120"/>
      <c r="DIX3" s="120"/>
      <c r="DIY3" s="120"/>
      <c r="DIZ3" s="120"/>
      <c r="DJA3" s="120"/>
      <c r="DJB3" s="120"/>
      <c r="DJC3" s="120"/>
      <c r="DJD3" s="120"/>
      <c r="DJE3" s="120"/>
      <c r="DJF3" s="120"/>
      <c r="DJG3" s="120"/>
      <c r="DJH3" s="120"/>
      <c r="DJI3" s="120"/>
      <c r="DJJ3" s="120"/>
      <c r="DJK3" s="120"/>
      <c r="DJL3" s="120"/>
      <c r="DJM3" s="120"/>
      <c r="DJN3" s="120"/>
      <c r="DJO3" s="120"/>
      <c r="DJP3" s="120"/>
      <c r="DJQ3" s="120"/>
      <c r="DJR3" s="120"/>
      <c r="DJS3" s="120"/>
      <c r="DJT3" s="120"/>
      <c r="DJU3" s="120"/>
      <c r="DJV3" s="120"/>
      <c r="DJW3" s="120"/>
      <c r="DJX3" s="120"/>
      <c r="DJY3" s="120"/>
      <c r="DJZ3" s="120"/>
      <c r="DKA3" s="120"/>
      <c r="DKB3" s="120"/>
      <c r="DKC3" s="120"/>
      <c r="DKD3" s="120"/>
      <c r="DKE3" s="120"/>
      <c r="DKF3" s="120"/>
      <c r="DKG3" s="120"/>
      <c r="DKH3" s="120"/>
      <c r="DKI3" s="120"/>
      <c r="DKJ3" s="120"/>
      <c r="DKK3" s="120"/>
      <c r="DKL3" s="120"/>
      <c r="DKM3" s="120"/>
      <c r="DKN3" s="120"/>
      <c r="DKO3" s="120"/>
      <c r="DKP3" s="120"/>
      <c r="DKQ3" s="120"/>
      <c r="DKR3" s="120"/>
      <c r="DKS3" s="120"/>
      <c r="DKT3" s="120"/>
      <c r="DKU3" s="120"/>
      <c r="DKV3" s="120"/>
      <c r="DKW3" s="120"/>
      <c r="DKX3" s="120"/>
      <c r="DKY3" s="120"/>
      <c r="DKZ3" s="120"/>
      <c r="DLA3" s="120"/>
      <c r="DLB3" s="120"/>
      <c r="DLC3" s="120"/>
      <c r="DLD3" s="120"/>
      <c r="DLE3" s="120"/>
      <c r="DLF3" s="120"/>
      <c r="DLG3" s="120"/>
      <c r="DLH3" s="120"/>
      <c r="DLI3" s="120"/>
      <c r="DLJ3" s="120"/>
      <c r="DLK3" s="120"/>
      <c r="DLL3" s="120"/>
      <c r="DLM3" s="120"/>
      <c r="DLN3" s="120"/>
      <c r="DLO3" s="120"/>
      <c r="DLP3" s="120"/>
      <c r="DLQ3" s="120"/>
      <c r="DLR3" s="120"/>
      <c r="DLS3" s="120"/>
      <c r="DLT3" s="120"/>
      <c r="DLU3" s="120"/>
      <c r="DLV3" s="120"/>
      <c r="DLW3" s="120"/>
      <c r="DLX3" s="120"/>
      <c r="DLY3" s="120"/>
      <c r="DLZ3" s="120"/>
      <c r="DMA3" s="120"/>
      <c r="DMB3" s="120"/>
      <c r="DMC3" s="120"/>
      <c r="DMD3" s="120"/>
      <c r="DME3" s="120"/>
      <c r="DMF3" s="120"/>
      <c r="DMG3" s="120"/>
      <c r="DMH3" s="120"/>
      <c r="DMI3" s="120"/>
      <c r="DMJ3" s="120"/>
      <c r="DMK3" s="120"/>
      <c r="DML3" s="120"/>
      <c r="DMM3" s="120"/>
      <c r="DMN3" s="120"/>
      <c r="DMO3" s="120"/>
      <c r="DMP3" s="120"/>
      <c r="DMQ3" s="120"/>
      <c r="DMR3" s="120"/>
      <c r="DMS3" s="120"/>
      <c r="DMT3" s="120"/>
      <c r="DMU3" s="120"/>
      <c r="DMV3" s="120"/>
      <c r="DMW3" s="120"/>
      <c r="DMX3" s="120"/>
      <c r="DMY3" s="120"/>
      <c r="DMZ3" s="120"/>
      <c r="DNA3" s="120"/>
      <c r="DNB3" s="120"/>
      <c r="DNC3" s="120"/>
      <c r="DND3" s="120"/>
      <c r="DNE3" s="120"/>
      <c r="DNF3" s="120"/>
      <c r="DNG3" s="120"/>
      <c r="DNH3" s="120"/>
      <c r="DNI3" s="120"/>
      <c r="DNJ3" s="120"/>
      <c r="DNK3" s="120"/>
      <c r="DNL3" s="120"/>
      <c r="DNM3" s="120"/>
      <c r="DNN3" s="120"/>
      <c r="DNO3" s="120"/>
      <c r="DNP3" s="120"/>
      <c r="DNQ3" s="120"/>
      <c r="DNR3" s="120"/>
      <c r="DNS3" s="120"/>
      <c r="DNT3" s="120"/>
      <c r="DNU3" s="120"/>
      <c r="DNV3" s="120"/>
      <c r="DNW3" s="120"/>
      <c r="DNX3" s="120"/>
      <c r="DNY3" s="120"/>
      <c r="DNZ3" s="120"/>
      <c r="DOA3" s="120"/>
      <c r="DOB3" s="120"/>
      <c r="DOC3" s="120"/>
      <c r="DOD3" s="120"/>
      <c r="DOE3" s="120"/>
      <c r="DOF3" s="120"/>
      <c r="DOG3" s="120"/>
      <c r="DOH3" s="120"/>
      <c r="DOI3" s="120"/>
      <c r="DOJ3" s="120"/>
      <c r="DOK3" s="120"/>
      <c r="DOL3" s="120"/>
      <c r="DOM3" s="120"/>
      <c r="DON3" s="120"/>
      <c r="DOO3" s="120"/>
      <c r="DOP3" s="120"/>
      <c r="DOQ3" s="120"/>
      <c r="DOR3" s="120"/>
      <c r="DOS3" s="120"/>
      <c r="DOT3" s="120"/>
      <c r="DOU3" s="120"/>
      <c r="DOV3" s="120"/>
      <c r="DOW3" s="120"/>
      <c r="DOX3" s="120"/>
      <c r="DOY3" s="120"/>
      <c r="DOZ3" s="120"/>
      <c r="DPA3" s="120"/>
      <c r="DPB3" s="120"/>
      <c r="DPC3" s="120"/>
      <c r="DPD3" s="120"/>
      <c r="DPE3" s="120"/>
      <c r="DPF3" s="120"/>
      <c r="DPG3" s="120"/>
      <c r="DPH3" s="120"/>
      <c r="DPI3" s="120"/>
      <c r="DPJ3" s="120"/>
      <c r="DPK3" s="120"/>
      <c r="DPL3" s="120"/>
      <c r="DPM3" s="120"/>
      <c r="DPN3" s="120"/>
      <c r="DPO3" s="120"/>
      <c r="DPP3" s="120"/>
      <c r="DPQ3" s="120"/>
      <c r="DPR3" s="120"/>
      <c r="DPS3" s="120"/>
      <c r="DPT3" s="120"/>
      <c r="DPU3" s="120"/>
      <c r="DPV3" s="120"/>
      <c r="DPW3" s="120"/>
      <c r="DPX3" s="120"/>
      <c r="DPY3" s="120"/>
      <c r="DPZ3" s="120"/>
      <c r="DQA3" s="120"/>
      <c r="DQB3" s="120"/>
      <c r="DQC3" s="120"/>
      <c r="DQD3" s="120"/>
      <c r="DQE3" s="120"/>
      <c r="DQF3" s="120"/>
      <c r="DQG3" s="120"/>
      <c r="DQH3" s="120"/>
      <c r="DQI3" s="120"/>
      <c r="DQJ3" s="120"/>
      <c r="DQK3" s="120"/>
      <c r="DQL3" s="120"/>
      <c r="DQM3" s="120"/>
      <c r="DQN3" s="120"/>
      <c r="DQO3" s="120"/>
      <c r="DQP3" s="120"/>
      <c r="DQQ3" s="120"/>
      <c r="DQR3" s="120"/>
      <c r="DQS3" s="120"/>
      <c r="DQT3" s="120"/>
      <c r="DQU3" s="120"/>
      <c r="DQV3" s="120"/>
      <c r="DQW3" s="120"/>
      <c r="DQX3" s="120"/>
      <c r="DQY3" s="120"/>
      <c r="DQZ3" s="120"/>
      <c r="DRA3" s="120"/>
      <c r="DRB3" s="120"/>
      <c r="DRC3" s="120"/>
      <c r="DRD3" s="120"/>
      <c r="DRE3" s="120"/>
      <c r="DRF3" s="120"/>
      <c r="DRG3" s="120"/>
      <c r="DRH3" s="120"/>
      <c r="DRI3" s="120"/>
      <c r="DRJ3" s="120"/>
      <c r="DRK3" s="120"/>
      <c r="DRL3" s="120"/>
      <c r="DRM3" s="120"/>
      <c r="DRN3" s="120"/>
      <c r="DRO3" s="120"/>
      <c r="DRP3" s="120"/>
      <c r="DRQ3" s="120"/>
      <c r="DRR3" s="120"/>
      <c r="DRS3" s="120"/>
      <c r="DRT3" s="120"/>
      <c r="DRU3" s="120"/>
      <c r="DRV3" s="120"/>
      <c r="DRW3" s="120"/>
      <c r="DRX3" s="120"/>
      <c r="DRY3" s="120"/>
      <c r="DRZ3" s="120"/>
      <c r="DSA3" s="120"/>
      <c r="DSB3" s="120"/>
      <c r="DSC3" s="120"/>
      <c r="DSD3" s="120"/>
      <c r="DSE3" s="120"/>
      <c r="DSF3" s="120"/>
      <c r="DSG3" s="120"/>
      <c r="DSH3" s="120"/>
      <c r="DSI3" s="120"/>
      <c r="DSJ3" s="120"/>
      <c r="DSK3" s="120"/>
      <c r="DSL3" s="120"/>
      <c r="DSM3" s="120"/>
      <c r="DSN3" s="120"/>
      <c r="DSO3" s="120"/>
      <c r="DSP3" s="120"/>
      <c r="DSQ3" s="120"/>
      <c r="DSR3" s="120"/>
      <c r="DSS3" s="120"/>
      <c r="DST3" s="120"/>
      <c r="DSU3" s="120"/>
      <c r="DSV3" s="120"/>
      <c r="DSW3" s="120"/>
      <c r="DSX3" s="120"/>
      <c r="DSY3" s="120"/>
      <c r="DSZ3" s="120"/>
      <c r="DTA3" s="120"/>
      <c r="DTB3" s="120"/>
      <c r="DTC3" s="120"/>
      <c r="DTD3" s="120"/>
      <c r="DTE3" s="120"/>
      <c r="DTF3" s="120"/>
      <c r="DTG3" s="120"/>
      <c r="DTH3" s="120"/>
      <c r="DTI3" s="120"/>
      <c r="DTJ3" s="120"/>
      <c r="DTK3" s="120"/>
      <c r="DTL3" s="120"/>
      <c r="DTM3" s="120"/>
      <c r="DTN3" s="120"/>
      <c r="DTO3" s="120"/>
      <c r="DTP3" s="120"/>
      <c r="DTQ3" s="120"/>
      <c r="DTR3" s="120"/>
      <c r="DTS3" s="120"/>
      <c r="DTT3" s="120"/>
      <c r="DTU3" s="120"/>
      <c r="DTV3" s="120"/>
      <c r="DTW3" s="120"/>
      <c r="DTX3" s="120"/>
      <c r="DTY3" s="120"/>
      <c r="DTZ3" s="120"/>
      <c r="DUA3" s="120"/>
      <c r="DUB3" s="120"/>
      <c r="DUC3" s="120"/>
      <c r="DUD3" s="120"/>
      <c r="DUE3" s="120"/>
      <c r="DUF3" s="120"/>
      <c r="DUG3" s="120"/>
      <c r="DUH3" s="120"/>
      <c r="DUI3" s="120"/>
      <c r="DUJ3" s="120"/>
      <c r="DUK3" s="120"/>
      <c r="DUL3" s="120"/>
      <c r="DUM3" s="120"/>
      <c r="DUN3" s="120"/>
      <c r="DUO3" s="120"/>
      <c r="DUP3" s="120"/>
      <c r="DUQ3" s="120"/>
      <c r="DUR3" s="120"/>
      <c r="DUS3" s="120"/>
      <c r="DUT3" s="120"/>
      <c r="DUU3" s="120"/>
      <c r="DUV3" s="120"/>
      <c r="DUW3" s="120"/>
      <c r="DUX3" s="120"/>
      <c r="DUY3" s="120"/>
      <c r="DUZ3" s="120"/>
      <c r="DVA3" s="120"/>
      <c r="DVB3" s="120"/>
      <c r="DVC3" s="120"/>
      <c r="DVD3" s="120"/>
      <c r="DVE3" s="120"/>
      <c r="DVF3" s="120"/>
      <c r="DVG3" s="120"/>
      <c r="DVH3" s="120"/>
      <c r="DVI3" s="120"/>
      <c r="DVJ3" s="120"/>
      <c r="DVK3" s="120"/>
      <c r="DVL3" s="120"/>
      <c r="DVM3" s="120"/>
      <c r="DVN3" s="120"/>
      <c r="DVO3" s="120"/>
      <c r="DVP3" s="120"/>
      <c r="DVQ3" s="120"/>
      <c r="DVR3" s="120"/>
      <c r="DVS3" s="120"/>
      <c r="DVT3" s="120"/>
      <c r="DVU3" s="120"/>
      <c r="DVV3" s="120"/>
      <c r="DVW3" s="120"/>
      <c r="DVX3" s="120"/>
      <c r="DVY3" s="120"/>
      <c r="DVZ3" s="120"/>
      <c r="DWA3" s="120"/>
      <c r="DWB3" s="120"/>
      <c r="DWC3" s="120"/>
      <c r="DWD3" s="120"/>
      <c r="DWE3" s="120"/>
      <c r="DWF3" s="120"/>
      <c r="DWG3" s="120"/>
      <c r="DWH3" s="120"/>
      <c r="DWI3" s="120"/>
      <c r="DWJ3" s="120"/>
      <c r="DWK3" s="120"/>
      <c r="DWL3" s="120"/>
      <c r="DWM3" s="120"/>
      <c r="DWN3" s="120"/>
      <c r="DWO3" s="120"/>
      <c r="DWP3" s="120"/>
      <c r="DWQ3" s="120"/>
      <c r="DWR3" s="120"/>
      <c r="DWS3" s="120"/>
      <c r="DWT3" s="120"/>
      <c r="DWU3" s="120"/>
      <c r="DWV3" s="120"/>
      <c r="DWW3" s="120"/>
      <c r="DWX3" s="120"/>
      <c r="DWY3" s="120"/>
      <c r="DWZ3" s="120"/>
      <c r="DXA3" s="120"/>
      <c r="DXB3" s="120"/>
      <c r="DXC3" s="120"/>
      <c r="DXD3" s="120"/>
      <c r="DXE3" s="120"/>
      <c r="DXF3" s="120"/>
      <c r="DXG3" s="120"/>
      <c r="DXH3" s="120"/>
      <c r="DXI3" s="120"/>
      <c r="DXJ3" s="120"/>
      <c r="DXK3" s="120"/>
      <c r="DXL3" s="120"/>
      <c r="DXM3" s="120"/>
      <c r="DXN3" s="120"/>
      <c r="DXO3" s="120"/>
      <c r="DXP3" s="120"/>
      <c r="DXQ3" s="120"/>
      <c r="DXR3" s="120"/>
      <c r="DXS3" s="120"/>
      <c r="DXT3" s="120"/>
      <c r="DXU3" s="120"/>
      <c r="DXV3" s="120"/>
      <c r="DXW3" s="120"/>
      <c r="DXX3" s="120"/>
      <c r="DXY3" s="120"/>
      <c r="DXZ3" s="120"/>
      <c r="DYA3" s="120"/>
      <c r="DYB3" s="120"/>
      <c r="DYC3" s="120"/>
      <c r="DYD3" s="120"/>
      <c r="DYE3" s="120"/>
      <c r="DYF3" s="120"/>
      <c r="DYG3" s="120"/>
      <c r="DYH3" s="120"/>
      <c r="DYI3" s="120"/>
      <c r="DYJ3" s="120"/>
      <c r="DYK3" s="120"/>
      <c r="DYL3" s="120"/>
      <c r="DYM3" s="120"/>
      <c r="DYN3" s="120"/>
      <c r="DYO3" s="120"/>
      <c r="DYP3" s="120"/>
      <c r="DYQ3" s="120"/>
      <c r="DYR3" s="120"/>
      <c r="DYS3" s="120"/>
      <c r="DYT3" s="120"/>
      <c r="DYU3" s="120"/>
      <c r="DYV3" s="120"/>
      <c r="DYW3" s="120"/>
      <c r="DYX3" s="120"/>
      <c r="DYY3" s="120"/>
      <c r="DYZ3" s="120"/>
      <c r="DZA3" s="120"/>
      <c r="DZB3" s="120"/>
      <c r="DZC3" s="120"/>
      <c r="DZD3" s="120"/>
      <c r="DZE3" s="120"/>
      <c r="DZF3" s="120"/>
      <c r="DZG3" s="120"/>
      <c r="DZH3" s="120"/>
      <c r="DZI3" s="120"/>
      <c r="DZJ3" s="120"/>
      <c r="DZK3" s="120"/>
      <c r="DZL3" s="120"/>
      <c r="DZM3" s="120"/>
      <c r="DZN3" s="120"/>
      <c r="DZO3" s="120"/>
      <c r="DZP3" s="120"/>
      <c r="DZQ3" s="120"/>
      <c r="DZR3" s="120"/>
      <c r="DZS3" s="120"/>
      <c r="DZT3" s="120"/>
      <c r="DZU3" s="120"/>
      <c r="DZV3" s="120"/>
      <c r="DZW3" s="120"/>
      <c r="DZX3" s="120"/>
      <c r="DZY3" s="120"/>
      <c r="DZZ3" s="120"/>
      <c r="EAA3" s="120"/>
      <c r="EAB3" s="120"/>
      <c r="EAC3" s="120"/>
      <c r="EAD3" s="120"/>
      <c r="EAE3" s="120"/>
      <c r="EAF3" s="120"/>
      <c r="EAG3" s="120"/>
      <c r="EAH3" s="120"/>
      <c r="EAI3" s="120"/>
      <c r="EAJ3" s="120"/>
      <c r="EAK3" s="120"/>
      <c r="EAL3" s="120"/>
      <c r="EAM3" s="120"/>
      <c r="EAN3" s="120"/>
      <c r="EAO3" s="120"/>
      <c r="EAP3" s="120"/>
      <c r="EAQ3" s="120"/>
      <c r="EAR3" s="120"/>
      <c r="EAS3" s="120"/>
      <c r="EAT3" s="120"/>
      <c r="EAU3" s="120"/>
      <c r="EAV3" s="120"/>
      <c r="EAW3" s="120"/>
      <c r="EAX3" s="120"/>
      <c r="EAY3" s="120"/>
      <c r="EAZ3" s="120"/>
      <c r="EBA3" s="120"/>
      <c r="EBB3" s="120"/>
      <c r="EBC3" s="120"/>
      <c r="EBD3" s="120"/>
      <c r="EBE3" s="120"/>
      <c r="EBF3" s="120"/>
      <c r="EBG3" s="120"/>
      <c r="EBH3" s="120"/>
      <c r="EBI3" s="120"/>
      <c r="EBJ3" s="120"/>
      <c r="EBK3" s="120"/>
      <c r="EBL3" s="120"/>
      <c r="EBM3" s="120"/>
      <c r="EBN3" s="120"/>
      <c r="EBO3" s="120"/>
      <c r="EBP3" s="120"/>
      <c r="EBQ3" s="120"/>
      <c r="EBR3" s="120"/>
      <c r="EBS3" s="120"/>
      <c r="EBT3" s="120"/>
      <c r="EBU3" s="120"/>
      <c r="EBV3" s="120"/>
      <c r="EBW3" s="120"/>
      <c r="EBX3" s="120"/>
      <c r="EBY3" s="120"/>
      <c r="EBZ3" s="120"/>
      <c r="ECA3" s="120"/>
      <c r="ECB3" s="120"/>
      <c r="ECC3" s="120"/>
      <c r="ECD3" s="120"/>
      <c r="ECE3" s="120"/>
      <c r="ECF3" s="120"/>
      <c r="ECG3" s="120"/>
      <c r="ECH3" s="120"/>
      <c r="ECI3" s="120"/>
      <c r="ECJ3" s="120"/>
      <c r="ECK3" s="120"/>
      <c r="ECL3" s="120"/>
      <c r="ECM3" s="120"/>
      <c r="ECN3" s="120"/>
      <c r="ECO3" s="120"/>
      <c r="ECP3" s="120"/>
      <c r="ECQ3" s="120"/>
      <c r="ECR3" s="120"/>
      <c r="ECS3" s="120"/>
      <c r="ECT3" s="120"/>
      <c r="ECU3" s="120"/>
      <c r="ECV3" s="120"/>
      <c r="ECW3" s="120"/>
      <c r="ECX3" s="120"/>
      <c r="ECY3" s="120"/>
      <c r="ECZ3" s="120"/>
      <c r="EDA3" s="120"/>
      <c r="EDB3" s="120"/>
      <c r="EDC3" s="120"/>
      <c r="EDD3" s="120"/>
      <c r="EDE3" s="120"/>
      <c r="EDF3" s="120"/>
      <c r="EDG3" s="120"/>
      <c r="EDH3" s="120"/>
      <c r="EDI3" s="120"/>
      <c r="EDJ3" s="120"/>
      <c r="EDK3" s="120"/>
      <c r="EDL3" s="120"/>
      <c r="EDM3" s="120"/>
      <c r="EDN3" s="120"/>
      <c r="EDO3" s="120"/>
      <c r="EDP3" s="120"/>
      <c r="EDQ3" s="120"/>
      <c r="EDR3" s="120"/>
      <c r="EDS3" s="120"/>
      <c r="EDT3" s="120"/>
      <c r="EDU3" s="120"/>
      <c r="EDV3" s="120"/>
      <c r="EDW3" s="120"/>
      <c r="EDX3" s="120"/>
      <c r="EDY3" s="120"/>
      <c r="EDZ3" s="120"/>
      <c r="EEA3" s="120"/>
      <c r="EEB3" s="120"/>
      <c r="EEC3" s="120"/>
      <c r="EED3" s="120"/>
      <c r="EEE3" s="120"/>
      <c r="EEF3" s="120"/>
      <c r="EEG3" s="120"/>
      <c r="EEH3" s="120"/>
      <c r="EEI3" s="120"/>
      <c r="EEJ3" s="120"/>
      <c r="EEK3" s="120"/>
      <c r="EEL3" s="120"/>
      <c r="EEM3" s="120"/>
      <c r="EEN3" s="120"/>
      <c r="EEO3" s="120"/>
      <c r="EEP3" s="120"/>
      <c r="EEQ3" s="120"/>
      <c r="EER3" s="120"/>
      <c r="EES3" s="120"/>
      <c r="EET3" s="120"/>
      <c r="EEU3" s="120"/>
      <c r="EEV3" s="120"/>
      <c r="EEW3" s="120"/>
      <c r="EEX3" s="120"/>
      <c r="EEY3" s="120"/>
      <c r="EEZ3" s="120"/>
      <c r="EFA3" s="120"/>
      <c r="EFB3" s="120"/>
      <c r="EFC3" s="120"/>
      <c r="EFD3" s="120"/>
      <c r="EFE3" s="120"/>
      <c r="EFF3" s="120"/>
      <c r="EFG3" s="120"/>
      <c r="EFH3" s="120"/>
      <c r="EFI3" s="120"/>
      <c r="EFJ3" s="120"/>
      <c r="EFK3" s="120"/>
      <c r="EFL3" s="120"/>
      <c r="EFM3" s="120"/>
      <c r="EFN3" s="120"/>
      <c r="EFO3" s="120"/>
      <c r="EFP3" s="120"/>
      <c r="EFQ3" s="120"/>
      <c r="EFR3" s="120"/>
      <c r="EFS3" s="120"/>
      <c r="EFT3" s="120"/>
      <c r="EFU3" s="120"/>
      <c r="EFV3" s="120"/>
      <c r="EFW3" s="120"/>
      <c r="EFX3" s="120"/>
      <c r="EFY3" s="120"/>
      <c r="EFZ3" s="120"/>
      <c r="EGA3" s="120"/>
      <c r="EGB3" s="120"/>
      <c r="EGC3" s="120"/>
      <c r="EGD3" s="120"/>
      <c r="EGE3" s="120"/>
      <c r="EGF3" s="120"/>
      <c r="EGG3" s="120"/>
      <c r="EGH3" s="120"/>
      <c r="EGI3" s="120"/>
      <c r="EGJ3" s="120"/>
      <c r="EGK3" s="120"/>
      <c r="EGL3" s="120"/>
      <c r="EGM3" s="120"/>
      <c r="EGN3" s="120"/>
      <c r="EGO3" s="120"/>
      <c r="EGP3" s="120"/>
      <c r="EGQ3" s="120"/>
      <c r="EGR3" s="120"/>
      <c r="EGS3" s="120"/>
      <c r="EGT3" s="120"/>
      <c r="EGU3" s="120"/>
      <c r="EGV3" s="120"/>
      <c r="EGW3" s="120"/>
      <c r="EGX3" s="120"/>
      <c r="EGY3" s="120"/>
      <c r="EGZ3" s="120"/>
      <c r="EHA3" s="120"/>
      <c r="EHB3" s="120"/>
      <c r="EHC3" s="120"/>
      <c r="EHD3" s="120"/>
      <c r="EHE3" s="120"/>
      <c r="EHF3" s="120"/>
      <c r="EHG3" s="120"/>
      <c r="EHH3" s="120"/>
      <c r="EHI3" s="120"/>
      <c r="EHJ3" s="120"/>
      <c r="EHK3" s="120"/>
      <c r="EHL3" s="120"/>
      <c r="EHM3" s="120"/>
      <c r="EHN3" s="120"/>
      <c r="EHO3" s="120"/>
      <c r="EHP3" s="120"/>
      <c r="EHQ3" s="120"/>
      <c r="EHR3" s="120"/>
      <c r="EHS3" s="120"/>
      <c r="EHT3" s="120"/>
      <c r="EHU3" s="120"/>
      <c r="EHV3" s="120"/>
      <c r="EHW3" s="120"/>
      <c r="EHX3" s="120"/>
      <c r="EHY3" s="120"/>
      <c r="EHZ3" s="120"/>
      <c r="EIA3" s="120"/>
      <c r="EIB3" s="120"/>
      <c r="EIC3" s="120"/>
      <c r="EID3" s="120"/>
      <c r="EIE3" s="120"/>
      <c r="EIF3" s="120"/>
      <c r="EIG3" s="120"/>
      <c r="EIH3" s="120"/>
      <c r="EII3" s="120"/>
      <c r="EIJ3" s="120"/>
      <c r="EIK3" s="120"/>
      <c r="EIL3" s="120"/>
      <c r="EIM3" s="120"/>
      <c r="EIN3" s="120"/>
      <c r="EIO3" s="120"/>
      <c r="EIP3" s="120"/>
      <c r="EIQ3" s="120"/>
      <c r="EIR3" s="120"/>
      <c r="EIS3" s="120"/>
      <c r="EIT3" s="120"/>
      <c r="EIU3" s="120"/>
      <c r="EIV3" s="120"/>
      <c r="EIW3" s="120"/>
      <c r="EIX3" s="120"/>
      <c r="EIY3" s="120"/>
      <c r="EIZ3" s="120"/>
      <c r="EJA3" s="120"/>
      <c r="EJB3" s="120"/>
      <c r="EJC3" s="120"/>
      <c r="EJD3" s="120"/>
      <c r="EJE3" s="120"/>
      <c r="EJF3" s="120"/>
      <c r="EJG3" s="120"/>
      <c r="EJH3" s="120"/>
      <c r="EJI3" s="120"/>
      <c r="EJJ3" s="120"/>
      <c r="EJK3" s="120"/>
      <c r="EJL3" s="120"/>
      <c r="EJM3" s="120"/>
      <c r="EJN3" s="120"/>
      <c r="EJO3" s="120"/>
      <c r="EJP3" s="120"/>
      <c r="EJQ3" s="120"/>
      <c r="EJR3" s="120"/>
      <c r="EJS3" s="120"/>
      <c r="EJT3" s="120"/>
      <c r="EJU3" s="120"/>
      <c r="EJV3" s="120"/>
      <c r="EJW3" s="120"/>
      <c r="EJX3" s="120"/>
      <c r="EJY3" s="120"/>
      <c r="EJZ3" s="120"/>
      <c r="EKA3" s="120"/>
      <c r="EKB3" s="120"/>
      <c r="EKC3" s="120"/>
      <c r="EKD3" s="120"/>
      <c r="EKE3" s="120"/>
      <c r="EKF3" s="120"/>
      <c r="EKG3" s="120"/>
      <c r="EKH3" s="120"/>
      <c r="EKI3" s="120"/>
      <c r="EKJ3" s="120"/>
      <c r="EKK3" s="120"/>
      <c r="EKL3" s="120"/>
      <c r="EKM3" s="120"/>
      <c r="EKN3" s="120"/>
      <c r="EKO3" s="120"/>
      <c r="EKP3" s="120"/>
      <c r="EKQ3" s="120"/>
      <c r="EKR3" s="120"/>
      <c r="EKS3" s="120"/>
      <c r="EKT3" s="120"/>
      <c r="EKU3" s="120"/>
      <c r="EKV3" s="120"/>
      <c r="EKW3" s="120"/>
      <c r="EKX3" s="120"/>
      <c r="EKY3" s="120"/>
      <c r="EKZ3" s="120"/>
      <c r="ELA3" s="120"/>
      <c r="ELB3" s="120"/>
      <c r="ELC3" s="120"/>
      <c r="ELD3" s="120"/>
      <c r="ELE3" s="120"/>
      <c r="ELF3" s="120"/>
      <c r="ELG3" s="120"/>
      <c r="ELH3" s="120"/>
      <c r="ELI3" s="120"/>
      <c r="ELJ3" s="120"/>
      <c r="ELK3" s="120"/>
      <c r="ELL3" s="120"/>
      <c r="ELM3" s="120"/>
      <c r="ELN3" s="120"/>
      <c r="ELO3" s="120"/>
      <c r="ELP3" s="120"/>
      <c r="ELQ3" s="120"/>
      <c r="ELR3" s="120"/>
      <c r="ELS3" s="120"/>
      <c r="ELT3" s="120"/>
      <c r="ELU3" s="120"/>
      <c r="ELV3" s="120"/>
      <c r="ELW3" s="120"/>
      <c r="ELX3" s="120"/>
      <c r="ELY3" s="120"/>
      <c r="ELZ3" s="120"/>
      <c r="EMA3" s="120"/>
      <c r="EMB3" s="120"/>
      <c r="EMC3" s="120"/>
      <c r="EMD3" s="120"/>
      <c r="EME3" s="120"/>
      <c r="EMF3" s="120"/>
      <c r="EMG3" s="120"/>
      <c r="EMH3" s="120"/>
      <c r="EMI3" s="120"/>
      <c r="EMJ3" s="120"/>
      <c r="EMK3" s="120"/>
      <c r="EML3" s="120"/>
      <c r="EMM3" s="120"/>
      <c r="EMN3" s="120"/>
      <c r="EMO3" s="120"/>
      <c r="EMP3" s="120"/>
      <c r="EMQ3" s="120"/>
      <c r="EMR3" s="120"/>
      <c r="EMS3" s="120"/>
      <c r="EMT3" s="120"/>
      <c r="EMU3" s="120"/>
      <c r="EMV3" s="120"/>
      <c r="EMW3" s="120"/>
      <c r="EMX3" s="120"/>
      <c r="EMY3" s="120"/>
      <c r="EMZ3" s="120"/>
      <c r="ENA3" s="120"/>
      <c r="ENB3" s="120"/>
      <c r="ENC3" s="120"/>
      <c r="END3" s="120"/>
      <c r="ENE3" s="120"/>
      <c r="ENF3" s="120"/>
      <c r="ENG3" s="120"/>
      <c r="ENH3" s="120"/>
      <c r="ENI3" s="120"/>
      <c r="ENJ3" s="120"/>
      <c r="ENK3" s="120"/>
      <c r="ENL3" s="120"/>
      <c r="ENM3" s="120"/>
      <c r="ENN3" s="120"/>
      <c r="ENO3" s="120"/>
      <c r="ENP3" s="120"/>
      <c r="ENQ3" s="120"/>
      <c r="ENR3" s="120"/>
      <c r="ENS3" s="120"/>
      <c r="ENT3" s="120"/>
      <c r="ENU3" s="120"/>
      <c r="ENV3" s="120"/>
      <c r="ENW3" s="120"/>
      <c r="ENX3" s="120"/>
      <c r="ENY3" s="120"/>
      <c r="ENZ3" s="120"/>
      <c r="EOA3" s="120"/>
      <c r="EOB3" s="120"/>
      <c r="EOC3" s="120"/>
      <c r="EOD3" s="120"/>
      <c r="EOE3" s="120"/>
      <c r="EOF3" s="120"/>
      <c r="EOG3" s="120"/>
      <c r="EOH3" s="120"/>
      <c r="EOI3" s="120"/>
      <c r="EOJ3" s="120"/>
      <c r="EOK3" s="120"/>
      <c r="EOL3" s="120"/>
      <c r="EOM3" s="120"/>
      <c r="EON3" s="120"/>
      <c r="EOO3" s="120"/>
      <c r="EOP3" s="120"/>
      <c r="EOQ3" s="120"/>
      <c r="EOR3" s="120"/>
      <c r="EOS3" s="120"/>
      <c r="EOT3" s="120"/>
      <c r="EOU3" s="120"/>
      <c r="EOV3" s="120"/>
      <c r="EOW3" s="120"/>
      <c r="EOX3" s="120"/>
      <c r="EOY3" s="120"/>
      <c r="EOZ3" s="120"/>
      <c r="EPA3" s="120"/>
      <c r="EPB3" s="120"/>
      <c r="EPC3" s="120"/>
      <c r="EPD3" s="120"/>
      <c r="EPE3" s="120"/>
      <c r="EPF3" s="120"/>
      <c r="EPG3" s="120"/>
      <c r="EPH3" s="120"/>
      <c r="EPI3" s="120"/>
      <c r="EPJ3" s="120"/>
      <c r="EPK3" s="120"/>
      <c r="EPL3" s="120"/>
      <c r="EPM3" s="120"/>
      <c r="EPN3" s="120"/>
      <c r="EPO3" s="120"/>
      <c r="EPP3" s="120"/>
      <c r="EPQ3" s="120"/>
      <c r="EPR3" s="120"/>
      <c r="EPS3" s="120"/>
      <c r="EPT3" s="120"/>
      <c r="EPU3" s="120"/>
      <c r="EPV3" s="120"/>
      <c r="EPW3" s="120"/>
      <c r="EPX3" s="120"/>
      <c r="EPY3" s="120"/>
      <c r="EPZ3" s="120"/>
      <c r="EQA3" s="120"/>
      <c r="EQB3" s="120"/>
      <c r="EQC3" s="120"/>
      <c r="EQD3" s="120"/>
      <c r="EQE3" s="120"/>
      <c r="EQF3" s="120"/>
      <c r="EQG3" s="120"/>
      <c r="EQH3" s="120"/>
      <c r="EQI3" s="120"/>
      <c r="EQJ3" s="120"/>
      <c r="EQK3" s="120"/>
      <c r="EQL3" s="120"/>
      <c r="EQM3" s="120"/>
      <c r="EQN3" s="120"/>
      <c r="EQO3" s="120"/>
      <c r="EQP3" s="120"/>
      <c r="EQQ3" s="120"/>
      <c r="EQR3" s="120"/>
      <c r="EQS3" s="120"/>
      <c r="EQT3" s="120"/>
      <c r="EQU3" s="120"/>
      <c r="EQV3" s="120"/>
      <c r="EQW3" s="120"/>
      <c r="EQX3" s="120"/>
      <c r="EQY3" s="120"/>
      <c r="EQZ3" s="120"/>
      <c r="ERA3" s="120"/>
      <c r="ERB3" s="120"/>
      <c r="ERC3" s="120"/>
      <c r="ERD3" s="120"/>
      <c r="ERE3" s="120"/>
      <c r="ERF3" s="120"/>
      <c r="ERG3" s="120"/>
      <c r="ERH3" s="120"/>
      <c r="ERI3" s="120"/>
      <c r="ERJ3" s="120"/>
      <c r="ERK3" s="120"/>
      <c r="ERL3" s="120"/>
      <c r="ERM3" s="120"/>
      <c r="ERN3" s="120"/>
      <c r="ERO3" s="120"/>
      <c r="ERP3" s="120"/>
      <c r="ERQ3" s="120"/>
      <c r="ERR3" s="120"/>
      <c r="ERS3" s="120"/>
      <c r="ERT3" s="120"/>
      <c r="ERU3" s="120"/>
      <c r="ERV3" s="120"/>
      <c r="ERW3" s="120"/>
      <c r="ERX3" s="120"/>
      <c r="ERY3" s="120"/>
      <c r="ERZ3" s="120"/>
      <c r="ESA3" s="120"/>
      <c r="ESB3" s="120"/>
      <c r="ESC3" s="120"/>
      <c r="ESD3" s="120"/>
      <c r="ESE3" s="120"/>
      <c r="ESF3" s="120"/>
      <c r="ESG3" s="120"/>
      <c r="ESH3" s="120"/>
      <c r="ESI3" s="120"/>
      <c r="ESJ3" s="120"/>
      <c r="ESK3" s="120"/>
      <c r="ESL3" s="120"/>
      <c r="ESM3" s="120"/>
      <c r="ESN3" s="120"/>
      <c r="ESO3" s="120"/>
      <c r="ESP3" s="120"/>
      <c r="ESQ3" s="120"/>
      <c r="ESR3" s="120"/>
      <c r="ESS3" s="120"/>
      <c r="EST3" s="120"/>
      <c r="ESU3" s="120"/>
      <c r="ESV3" s="120"/>
      <c r="ESW3" s="120"/>
      <c r="ESX3" s="120"/>
      <c r="ESY3" s="120"/>
      <c r="ESZ3" s="120"/>
      <c r="ETA3" s="120"/>
      <c r="ETB3" s="120"/>
      <c r="ETC3" s="120"/>
      <c r="ETD3" s="120"/>
      <c r="ETE3" s="120"/>
      <c r="ETF3" s="120"/>
      <c r="ETG3" s="120"/>
      <c r="ETH3" s="120"/>
      <c r="ETI3" s="120"/>
      <c r="ETJ3" s="120"/>
      <c r="ETK3" s="120"/>
      <c r="ETL3" s="120"/>
      <c r="ETM3" s="120"/>
      <c r="ETN3" s="120"/>
      <c r="ETO3" s="120"/>
      <c r="ETP3" s="120"/>
      <c r="ETQ3" s="120"/>
      <c r="ETR3" s="120"/>
      <c r="ETS3" s="120"/>
      <c r="ETT3" s="120"/>
      <c r="ETU3" s="120"/>
      <c r="ETV3" s="120"/>
      <c r="ETW3" s="120"/>
      <c r="ETX3" s="120"/>
      <c r="ETY3" s="120"/>
      <c r="ETZ3" s="120"/>
      <c r="EUA3" s="120"/>
      <c r="EUB3" s="120"/>
      <c r="EUC3" s="120"/>
      <c r="EUD3" s="120"/>
      <c r="EUE3" s="120"/>
      <c r="EUF3" s="120"/>
      <c r="EUG3" s="120"/>
      <c r="EUH3" s="120"/>
      <c r="EUI3" s="120"/>
      <c r="EUJ3" s="120"/>
      <c r="EUK3" s="120"/>
      <c r="EUL3" s="120"/>
      <c r="EUM3" s="120"/>
      <c r="EUN3" s="120"/>
      <c r="EUO3" s="120"/>
      <c r="EUP3" s="120"/>
      <c r="EUQ3" s="120"/>
      <c r="EUR3" s="120"/>
      <c r="EUS3" s="120"/>
      <c r="EUT3" s="120"/>
      <c r="EUU3" s="120"/>
      <c r="EUV3" s="120"/>
      <c r="EUW3" s="120"/>
      <c r="EUX3" s="120"/>
      <c r="EUY3" s="120"/>
      <c r="EUZ3" s="120"/>
      <c r="EVA3" s="120"/>
      <c r="EVB3" s="120"/>
      <c r="EVC3" s="120"/>
      <c r="EVD3" s="120"/>
      <c r="EVE3" s="120"/>
      <c r="EVF3" s="120"/>
      <c r="EVG3" s="120"/>
      <c r="EVH3" s="120"/>
      <c r="EVI3" s="120"/>
      <c r="EVJ3" s="120"/>
      <c r="EVK3" s="120"/>
      <c r="EVL3" s="120"/>
      <c r="EVM3" s="120"/>
      <c r="EVN3" s="120"/>
      <c r="EVO3" s="120"/>
      <c r="EVP3" s="120"/>
      <c r="EVQ3" s="120"/>
      <c r="EVR3" s="120"/>
      <c r="EVS3" s="120"/>
      <c r="EVT3" s="120"/>
      <c r="EVU3" s="120"/>
      <c r="EVV3" s="120"/>
      <c r="EVW3" s="120"/>
      <c r="EVX3" s="120"/>
      <c r="EVY3" s="120"/>
      <c r="EVZ3" s="120"/>
      <c r="EWA3" s="120"/>
      <c r="EWB3" s="120"/>
      <c r="EWC3" s="120"/>
      <c r="EWD3" s="120"/>
      <c r="EWE3" s="120"/>
      <c r="EWF3" s="120"/>
      <c r="EWG3" s="120"/>
      <c r="EWH3" s="120"/>
      <c r="EWI3" s="120"/>
      <c r="EWJ3" s="120"/>
      <c r="EWK3" s="120"/>
      <c r="EWL3" s="120"/>
      <c r="EWM3" s="120"/>
      <c r="EWN3" s="120"/>
      <c r="EWO3" s="120"/>
      <c r="EWP3" s="120"/>
      <c r="EWQ3" s="120"/>
      <c r="EWR3" s="120"/>
      <c r="EWS3" s="120"/>
      <c r="EWT3" s="120"/>
      <c r="EWU3" s="120"/>
      <c r="EWV3" s="120"/>
      <c r="EWW3" s="120"/>
      <c r="EWX3" s="120"/>
      <c r="EWY3" s="120"/>
      <c r="EWZ3" s="120"/>
      <c r="EXA3" s="120"/>
      <c r="EXB3" s="120"/>
      <c r="EXC3" s="120"/>
      <c r="EXD3" s="120"/>
      <c r="EXE3" s="120"/>
      <c r="EXF3" s="120"/>
      <c r="EXG3" s="120"/>
      <c r="EXH3" s="120"/>
      <c r="EXI3" s="120"/>
      <c r="EXJ3" s="120"/>
      <c r="EXK3" s="120"/>
      <c r="EXL3" s="120"/>
      <c r="EXM3" s="120"/>
      <c r="EXN3" s="120"/>
      <c r="EXO3" s="120"/>
      <c r="EXP3" s="120"/>
      <c r="EXQ3" s="120"/>
      <c r="EXR3" s="120"/>
      <c r="EXS3" s="120"/>
      <c r="EXT3" s="120"/>
      <c r="EXU3" s="120"/>
      <c r="EXV3" s="120"/>
      <c r="EXW3" s="120"/>
      <c r="EXX3" s="120"/>
      <c r="EXY3" s="120"/>
      <c r="EXZ3" s="120"/>
      <c r="EYA3" s="120"/>
      <c r="EYB3" s="120"/>
      <c r="EYC3" s="120"/>
      <c r="EYD3" s="120"/>
      <c r="EYE3" s="120"/>
      <c r="EYF3" s="120"/>
      <c r="EYG3" s="120"/>
      <c r="EYH3" s="120"/>
      <c r="EYI3" s="120"/>
      <c r="EYJ3" s="120"/>
      <c r="EYK3" s="120"/>
      <c r="EYL3" s="120"/>
      <c r="EYM3" s="120"/>
      <c r="EYN3" s="120"/>
      <c r="EYO3" s="120"/>
      <c r="EYP3" s="120"/>
      <c r="EYQ3" s="120"/>
      <c r="EYR3" s="120"/>
      <c r="EYS3" s="120"/>
      <c r="EYT3" s="120"/>
      <c r="EYU3" s="120"/>
      <c r="EYV3" s="120"/>
      <c r="EYW3" s="120"/>
      <c r="EYX3" s="120"/>
      <c r="EYY3" s="120"/>
      <c r="EYZ3" s="120"/>
      <c r="EZA3" s="120"/>
      <c r="EZB3" s="120"/>
      <c r="EZC3" s="120"/>
      <c r="EZD3" s="120"/>
      <c r="EZE3" s="120"/>
      <c r="EZF3" s="120"/>
      <c r="EZG3" s="120"/>
      <c r="EZH3" s="120"/>
      <c r="EZI3" s="120"/>
      <c r="EZJ3" s="120"/>
      <c r="EZK3" s="120"/>
      <c r="EZL3" s="120"/>
      <c r="EZM3" s="120"/>
      <c r="EZN3" s="120"/>
      <c r="EZO3" s="120"/>
      <c r="EZP3" s="120"/>
      <c r="EZQ3" s="120"/>
      <c r="EZR3" s="120"/>
      <c r="EZS3" s="120"/>
      <c r="EZT3" s="120"/>
      <c r="EZU3" s="120"/>
      <c r="EZV3" s="120"/>
      <c r="EZW3" s="120"/>
      <c r="EZX3" s="120"/>
      <c r="EZY3" s="120"/>
      <c r="EZZ3" s="120"/>
      <c r="FAA3" s="120"/>
      <c r="FAB3" s="120"/>
      <c r="FAC3" s="120"/>
      <c r="FAD3" s="120"/>
      <c r="FAE3" s="120"/>
      <c r="FAF3" s="120"/>
      <c r="FAG3" s="120"/>
      <c r="FAH3" s="120"/>
      <c r="FAI3" s="120"/>
      <c r="FAJ3" s="120"/>
      <c r="FAK3" s="120"/>
      <c r="FAL3" s="120"/>
      <c r="FAM3" s="120"/>
      <c r="FAN3" s="120"/>
      <c r="FAO3" s="120"/>
      <c r="FAP3" s="120"/>
      <c r="FAQ3" s="120"/>
      <c r="FAR3" s="120"/>
      <c r="FAS3" s="120"/>
      <c r="FAT3" s="120"/>
      <c r="FAU3" s="120"/>
      <c r="FAV3" s="120"/>
      <c r="FAW3" s="120"/>
      <c r="FAX3" s="120"/>
      <c r="FAY3" s="120"/>
      <c r="FAZ3" s="120"/>
      <c r="FBA3" s="120"/>
      <c r="FBB3" s="120"/>
      <c r="FBC3" s="120"/>
      <c r="FBD3" s="120"/>
      <c r="FBE3" s="120"/>
      <c r="FBF3" s="120"/>
      <c r="FBG3" s="120"/>
      <c r="FBH3" s="120"/>
      <c r="FBI3" s="120"/>
      <c r="FBJ3" s="120"/>
      <c r="FBK3" s="120"/>
      <c r="FBL3" s="120"/>
      <c r="FBM3" s="120"/>
      <c r="FBN3" s="120"/>
      <c r="FBO3" s="120"/>
      <c r="FBP3" s="120"/>
      <c r="FBQ3" s="120"/>
      <c r="FBR3" s="120"/>
      <c r="FBS3" s="120"/>
      <c r="FBT3" s="120"/>
      <c r="FBU3" s="120"/>
      <c r="FBV3" s="120"/>
      <c r="FBW3" s="120"/>
      <c r="FBX3" s="120"/>
      <c r="FBY3" s="120"/>
      <c r="FBZ3" s="120"/>
      <c r="FCA3" s="120"/>
      <c r="FCB3" s="120"/>
      <c r="FCC3" s="120"/>
      <c r="FCD3" s="120"/>
      <c r="FCE3" s="120"/>
      <c r="FCF3" s="120"/>
      <c r="FCG3" s="120"/>
      <c r="FCH3" s="120"/>
      <c r="FCI3" s="120"/>
      <c r="FCJ3" s="120"/>
      <c r="FCK3" s="120"/>
      <c r="FCL3" s="120"/>
      <c r="FCM3" s="120"/>
      <c r="FCN3" s="120"/>
      <c r="FCO3" s="120"/>
      <c r="FCP3" s="120"/>
      <c r="FCQ3" s="120"/>
      <c r="FCR3" s="120"/>
      <c r="FCS3" s="120"/>
      <c r="FCT3" s="120"/>
      <c r="FCU3" s="120"/>
      <c r="FCV3" s="120"/>
      <c r="FCW3" s="120"/>
      <c r="FCX3" s="120"/>
      <c r="FCY3" s="120"/>
      <c r="FCZ3" s="120"/>
      <c r="FDA3" s="120"/>
      <c r="FDB3" s="120"/>
      <c r="FDC3" s="120"/>
      <c r="FDD3" s="120"/>
      <c r="FDE3" s="120"/>
      <c r="FDF3" s="120"/>
      <c r="FDG3" s="120"/>
      <c r="FDH3" s="120"/>
      <c r="FDI3" s="120"/>
      <c r="FDJ3" s="120"/>
      <c r="FDK3" s="120"/>
      <c r="FDL3" s="120"/>
      <c r="FDM3" s="120"/>
      <c r="FDN3" s="120"/>
      <c r="FDO3" s="120"/>
      <c r="FDP3" s="120"/>
      <c r="FDQ3" s="120"/>
      <c r="FDR3" s="120"/>
      <c r="FDS3" s="120"/>
      <c r="FDT3" s="120"/>
      <c r="FDU3" s="120"/>
      <c r="FDV3" s="120"/>
      <c r="FDW3" s="120"/>
      <c r="FDX3" s="120"/>
      <c r="FDY3" s="120"/>
      <c r="FDZ3" s="120"/>
      <c r="FEA3" s="120"/>
      <c r="FEB3" s="120"/>
      <c r="FEC3" s="120"/>
      <c r="FED3" s="120"/>
      <c r="FEE3" s="120"/>
      <c r="FEF3" s="120"/>
      <c r="FEG3" s="120"/>
      <c r="FEH3" s="120"/>
      <c r="FEI3" s="120"/>
      <c r="FEJ3" s="120"/>
      <c r="FEK3" s="120"/>
      <c r="FEL3" s="120"/>
      <c r="FEM3" s="120"/>
      <c r="FEN3" s="120"/>
      <c r="FEO3" s="120"/>
      <c r="FEP3" s="120"/>
      <c r="FEQ3" s="120"/>
      <c r="FER3" s="120"/>
      <c r="FES3" s="120"/>
      <c r="FET3" s="120"/>
      <c r="FEU3" s="120"/>
      <c r="FEV3" s="120"/>
      <c r="FEW3" s="120"/>
      <c r="FEX3" s="120"/>
      <c r="FEY3" s="120"/>
      <c r="FEZ3" s="120"/>
      <c r="FFA3" s="120"/>
      <c r="FFB3" s="120"/>
      <c r="FFC3" s="120"/>
      <c r="FFD3" s="120"/>
      <c r="FFE3" s="120"/>
      <c r="FFF3" s="120"/>
      <c r="FFG3" s="120"/>
      <c r="FFH3" s="120"/>
      <c r="FFI3" s="120"/>
      <c r="FFJ3" s="120"/>
      <c r="FFK3" s="120"/>
      <c r="FFL3" s="120"/>
      <c r="FFM3" s="120"/>
      <c r="FFN3" s="120"/>
      <c r="FFO3" s="120"/>
      <c r="FFP3" s="120"/>
      <c r="FFQ3" s="120"/>
      <c r="FFR3" s="120"/>
      <c r="FFS3" s="120"/>
      <c r="FFT3" s="120"/>
      <c r="FFU3" s="120"/>
      <c r="FFV3" s="120"/>
      <c r="FFW3" s="120"/>
      <c r="FFX3" s="120"/>
      <c r="FFY3" s="120"/>
      <c r="FFZ3" s="120"/>
      <c r="FGA3" s="120"/>
      <c r="FGB3" s="120"/>
      <c r="FGC3" s="120"/>
      <c r="FGD3" s="120"/>
      <c r="FGE3" s="120"/>
      <c r="FGF3" s="120"/>
      <c r="FGG3" s="120"/>
      <c r="FGH3" s="120"/>
      <c r="FGI3" s="120"/>
      <c r="FGJ3" s="120"/>
      <c r="FGK3" s="120"/>
      <c r="FGL3" s="120"/>
      <c r="FGM3" s="120"/>
      <c r="FGN3" s="120"/>
      <c r="FGO3" s="120"/>
      <c r="FGP3" s="120"/>
      <c r="FGQ3" s="120"/>
      <c r="FGR3" s="120"/>
      <c r="FGS3" s="120"/>
      <c r="FGT3" s="120"/>
      <c r="FGU3" s="120"/>
      <c r="FGV3" s="120"/>
      <c r="FGW3" s="120"/>
      <c r="FGX3" s="120"/>
      <c r="FGY3" s="120"/>
      <c r="FGZ3" s="120"/>
      <c r="FHA3" s="120"/>
      <c r="FHB3" s="120"/>
      <c r="FHC3" s="120"/>
      <c r="FHD3" s="120"/>
      <c r="FHE3" s="120"/>
      <c r="FHF3" s="120"/>
      <c r="FHG3" s="120"/>
      <c r="FHH3" s="120"/>
      <c r="FHI3" s="120"/>
      <c r="FHJ3" s="120"/>
      <c r="FHK3" s="120"/>
      <c r="FHL3" s="120"/>
      <c r="FHM3" s="120"/>
      <c r="FHN3" s="120"/>
      <c r="FHO3" s="120"/>
      <c r="FHP3" s="120"/>
      <c r="FHQ3" s="120"/>
      <c r="FHR3" s="120"/>
      <c r="FHS3" s="120"/>
      <c r="FHT3" s="120"/>
      <c r="FHU3" s="120"/>
      <c r="FHV3" s="120"/>
      <c r="FHW3" s="120"/>
      <c r="FHX3" s="120"/>
      <c r="FHY3" s="120"/>
      <c r="FHZ3" s="120"/>
      <c r="FIA3" s="120"/>
      <c r="FIB3" s="120"/>
      <c r="FIC3" s="120"/>
      <c r="FID3" s="120"/>
      <c r="FIE3" s="120"/>
      <c r="FIF3" s="120"/>
      <c r="FIG3" s="120"/>
      <c r="FIH3" s="120"/>
      <c r="FII3" s="120"/>
      <c r="FIJ3" s="120"/>
      <c r="FIK3" s="120"/>
      <c r="FIL3" s="120"/>
      <c r="FIM3" s="120"/>
      <c r="FIN3" s="120"/>
      <c r="FIO3" s="120"/>
      <c r="FIP3" s="120"/>
      <c r="FIQ3" s="120"/>
      <c r="FIR3" s="120"/>
      <c r="FIS3" s="120"/>
      <c r="FIT3" s="120"/>
      <c r="FIU3" s="120"/>
      <c r="FIV3" s="120"/>
      <c r="FIW3" s="120"/>
      <c r="FIX3" s="120"/>
      <c r="FIY3" s="120"/>
      <c r="FIZ3" s="120"/>
      <c r="FJA3" s="120"/>
      <c r="FJB3" s="120"/>
      <c r="FJC3" s="120"/>
      <c r="FJD3" s="120"/>
      <c r="FJE3" s="120"/>
      <c r="FJF3" s="120"/>
      <c r="FJG3" s="120"/>
      <c r="FJH3" s="120"/>
      <c r="FJI3" s="120"/>
      <c r="FJJ3" s="120"/>
      <c r="FJK3" s="120"/>
      <c r="FJL3" s="120"/>
      <c r="FJM3" s="120"/>
      <c r="FJN3" s="120"/>
      <c r="FJO3" s="120"/>
      <c r="FJP3" s="120"/>
      <c r="FJQ3" s="120"/>
      <c r="FJR3" s="120"/>
      <c r="FJS3" s="120"/>
      <c r="FJT3" s="120"/>
      <c r="FJU3" s="120"/>
      <c r="FJV3" s="120"/>
      <c r="FJW3" s="120"/>
      <c r="FJX3" s="120"/>
      <c r="FJY3" s="120"/>
      <c r="FJZ3" s="120"/>
      <c r="FKA3" s="120"/>
      <c r="FKB3" s="120"/>
      <c r="FKC3" s="120"/>
      <c r="FKD3" s="120"/>
      <c r="FKE3" s="120"/>
      <c r="FKF3" s="120"/>
      <c r="FKG3" s="120"/>
      <c r="FKH3" s="120"/>
      <c r="FKI3" s="120"/>
      <c r="FKJ3" s="120"/>
      <c r="FKK3" s="120"/>
      <c r="FKL3" s="120"/>
      <c r="FKM3" s="120"/>
      <c r="FKN3" s="120"/>
      <c r="FKO3" s="120"/>
      <c r="FKP3" s="120"/>
      <c r="FKQ3" s="120"/>
      <c r="FKR3" s="120"/>
      <c r="FKS3" s="120"/>
      <c r="FKT3" s="120"/>
      <c r="FKU3" s="120"/>
      <c r="FKV3" s="120"/>
      <c r="FKW3" s="120"/>
      <c r="FKX3" s="120"/>
      <c r="FKY3" s="120"/>
      <c r="FKZ3" s="120"/>
      <c r="FLA3" s="120"/>
      <c r="FLB3" s="120"/>
      <c r="FLC3" s="120"/>
      <c r="FLD3" s="120"/>
      <c r="FLE3" s="120"/>
      <c r="FLF3" s="120"/>
      <c r="FLG3" s="120"/>
      <c r="FLH3" s="120"/>
      <c r="FLI3" s="120"/>
      <c r="FLJ3" s="120"/>
      <c r="FLK3" s="120"/>
      <c r="FLL3" s="120"/>
      <c r="FLM3" s="120"/>
      <c r="FLN3" s="120"/>
      <c r="FLO3" s="120"/>
      <c r="FLP3" s="120"/>
      <c r="FLQ3" s="120"/>
      <c r="FLR3" s="120"/>
      <c r="FLS3" s="120"/>
      <c r="FLT3" s="120"/>
      <c r="FLU3" s="120"/>
      <c r="FLV3" s="120"/>
      <c r="FLW3" s="120"/>
      <c r="FLX3" s="120"/>
      <c r="FLY3" s="120"/>
      <c r="FLZ3" s="120"/>
      <c r="FMA3" s="120"/>
      <c r="FMB3" s="120"/>
      <c r="FMC3" s="120"/>
      <c r="FMD3" s="120"/>
      <c r="FME3" s="120"/>
      <c r="FMF3" s="120"/>
      <c r="FMG3" s="120"/>
      <c r="FMH3" s="120"/>
      <c r="FMI3" s="120"/>
      <c r="FMJ3" s="120"/>
      <c r="FMK3" s="120"/>
      <c r="FML3" s="120"/>
      <c r="FMM3" s="120"/>
      <c r="FMN3" s="120"/>
      <c r="FMO3" s="120"/>
      <c r="FMP3" s="120"/>
      <c r="FMQ3" s="120"/>
      <c r="FMR3" s="120"/>
      <c r="FMS3" s="120"/>
      <c r="FMT3" s="120"/>
      <c r="FMU3" s="120"/>
      <c r="FMV3" s="120"/>
      <c r="FMW3" s="120"/>
      <c r="FMX3" s="120"/>
      <c r="FMY3" s="120"/>
      <c r="FMZ3" s="120"/>
      <c r="FNA3" s="120"/>
      <c r="FNB3" s="120"/>
      <c r="FNC3" s="120"/>
      <c r="FND3" s="120"/>
      <c r="FNE3" s="120"/>
      <c r="FNF3" s="120"/>
      <c r="FNG3" s="120"/>
      <c r="FNH3" s="120"/>
      <c r="FNI3" s="120"/>
      <c r="FNJ3" s="120"/>
      <c r="FNK3" s="120"/>
      <c r="FNL3" s="120"/>
      <c r="FNM3" s="120"/>
      <c r="FNN3" s="120"/>
      <c r="FNO3" s="120"/>
      <c r="FNP3" s="120"/>
      <c r="FNQ3" s="120"/>
      <c r="FNR3" s="120"/>
      <c r="FNS3" s="120"/>
      <c r="FNT3" s="120"/>
      <c r="FNU3" s="120"/>
      <c r="FNV3" s="120"/>
      <c r="FNW3" s="120"/>
      <c r="FNX3" s="120"/>
      <c r="FNY3" s="120"/>
      <c r="FNZ3" s="120"/>
      <c r="FOA3" s="120"/>
      <c r="FOB3" s="120"/>
      <c r="FOC3" s="120"/>
      <c r="FOD3" s="120"/>
      <c r="FOE3" s="120"/>
      <c r="FOF3" s="120"/>
      <c r="FOG3" s="120"/>
      <c r="FOH3" s="120"/>
      <c r="FOI3" s="120"/>
      <c r="FOJ3" s="120"/>
      <c r="FOK3" s="120"/>
      <c r="FOL3" s="120"/>
      <c r="FOM3" s="120"/>
      <c r="FON3" s="120"/>
      <c r="FOO3" s="120"/>
      <c r="FOP3" s="120"/>
      <c r="FOQ3" s="120"/>
      <c r="FOR3" s="120"/>
      <c r="FOS3" s="120"/>
      <c r="FOT3" s="120"/>
      <c r="FOU3" s="120"/>
      <c r="FOV3" s="120"/>
      <c r="FOW3" s="120"/>
      <c r="FOX3" s="120"/>
      <c r="FOY3" s="120"/>
      <c r="FOZ3" s="120"/>
      <c r="FPA3" s="120"/>
      <c r="FPB3" s="120"/>
      <c r="FPC3" s="120"/>
      <c r="FPD3" s="120"/>
      <c r="FPE3" s="120"/>
      <c r="FPF3" s="120"/>
      <c r="FPG3" s="120"/>
      <c r="FPH3" s="120"/>
      <c r="FPI3" s="120"/>
      <c r="FPJ3" s="120"/>
      <c r="FPK3" s="120"/>
      <c r="FPL3" s="120"/>
      <c r="FPM3" s="120"/>
      <c r="FPN3" s="120"/>
      <c r="FPO3" s="120"/>
      <c r="FPP3" s="120"/>
      <c r="FPQ3" s="120"/>
      <c r="FPR3" s="120"/>
      <c r="FPS3" s="120"/>
      <c r="FPT3" s="120"/>
      <c r="FPU3" s="120"/>
      <c r="FPV3" s="120"/>
      <c r="FPW3" s="120"/>
      <c r="FPX3" s="120"/>
      <c r="FPY3" s="120"/>
      <c r="FPZ3" s="120"/>
      <c r="FQA3" s="120"/>
      <c r="FQB3" s="120"/>
      <c r="FQC3" s="120"/>
      <c r="FQD3" s="120"/>
      <c r="FQE3" s="120"/>
      <c r="FQF3" s="120"/>
      <c r="FQG3" s="120"/>
      <c r="FQH3" s="120"/>
      <c r="FQI3" s="120"/>
      <c r="FQJ3" s="120"/>
      <c r="FQK3" s="120"/>
      <c r="FQL3" s="120"/>
      <c r="FQM3" s="120"/>
      <c r="FQN3" s="120"/>
      <c r="FQO3" s="120"/>
      <c r="FQP3" s="120"/>
      <c r="FQQ3" s="120"/>
      <c r="FQR3" s="120"/>
      <c r="FQS3" s="120"/>
      <c r="FQT3" s="120"/>
      <c r="FQU3" s="120"/>
      <c r="FQV3" s="120"/>
      <c r="FQW3" s="120"/>
      <c r="FQX3" s="120"/>
      <c r="FQY3" s="120"/>
      <c r="FQZ3" s="120"/>
      <c r="FRA3" s="120"/>
      <c r="FRB3" s="120"/>
      <c r="FRC3" s="120"/>
      <c r="FRD3" s="120"/>
      <c r="FRE3" s="120"/>
      <c r="FRF3" s="120"/>
      <c r="FRG3" s="120"/>
      <c r="FRH3" s="120"/>
      <c r="FRI3" s="120"/>
      <c r="FRJ3" s="120"/>
      <c r="FRK3" s="120"/>
      <c r="FRL3" s="120"/>
      <c r="FRM3" s="120"/>
      <c r="FRN3" s="120"/>
      <c r="FRO3" s="120"/>
      <c r="FRP3" s="120"/>
      <c r="FRQ3" s="120"/>
      <c r="FRR3" s="120"/>
      <c r="FRS3" s="120"/>
      <c r="FRT3" s="120"/>
      <c r="FRU3" s="120"/>
      <c r="FRV3" s="120"/>
      <c r="FRW3" s="120"/>
      <c r="FRX3" s="120"/>
      <c r="FRY3" s="120"/>
      <c r="FRZ3" s="120"/>
      <c r="FSA3" s="120"/>
      <c r="FSB3" s="120"/>
      <c r="FSC3" s="120"/>
      <c r="FSD3" s="120"/>
      <c r="FSE3" s="120"/>
      <c r="FSF3" s="120"/>
      <c r="FSG3" s="120"/>
      <c r="FSH3" s="120"/>
      <c r="FSI3" s="120"/>
      <c r="FSJ3" s="120"/>
      <c r="FSK3" s="120"/>
      <c r="FSL3" s="120"/>
      <c r="FSM3" s="120"/>
      <c r="FSN3" s="120"/>
      <c r="FSO3" s="120"/>
      <c r="FSP3" s="120"/>
      <c r="FSQ3" s="120"/>
      <c r="FSR3" s="120"/>
      <c r="FSS3" s="120"/>
      <c r="FST3" s="120"/>
      <c r="FSU3" s="120"/>
      <c r="FSV3" s="120"/>
      <c r="FSW3" s="120"/>
      <c r="FSX3" s="120"/>
      <c r="FSY3" s="120"/>
      <c r="FSZ3" s="120"/>
      <c r="FTA3" s="120"/>
      <c r="FTB3" s="120"/>
      <c r="FTC3" s="120"/>
      <c r="FTD3" s="120"/>
      <c r="FTE3" s="120"/>
      <c r="FTF3" s="120"/>
      <c r="FTG3" s="120"/>
      <c r="FTH3" s="120"/>
      <c r="FTI3" s="120"/>
      <c r="FTJ3" s="120"/>
      <c r="FTK3" s="120"/>
      <c r="FTL3" s="120"/>
      <c r="FTM3" s="120"/>
      <c r="FTN3" s="120"/>
      <c r="FTO3" s="120"/>
      <c r="FTP3" s="120"/>
      <c r="FTQ3" s="120"/>
      <c r="FTR3" s="120"/>
      <c r="FTS3" s="120"/>
      <c r="FTT3" s="120"/>
      <c r="FTU3" s="120"/>
      <c r="FTV3" s="120"/>
      <c r="FTW3" s="120"/>
      <c r="FTX3" s="120"/>
      <c r="FTY3" s="120"/>
      <c r="FTZ3" s="120"/>
      <c r="FUA3" s="120"/>
      <c r="FUB3" s="120"/>
      <c r="FUC3" s="120"/>
      <c r="FUD3" s="120"/>
      <c r="FUE3" s="120"/>
      <c r="FUF3" s="120"/>
      <c r="FUG3" s="120"/>
      <c r="FUH3" s="120"/>
      <c r="FUI3" s="120"/>
      <c r="FUJ3" s="120"/>
      <c r="FUK3" s="120"/>
      <c r="FUL3" s="120"/>
      <c r="FUM3" s="120"/>
      <c r="FUN3" s="120"/>
      <c r="FUO3" s="120"/>
      <c r="FUP3" s="120"/>
      <c r="FUQ3" s="120"/>
      <c r="FUR3" s="120"/>
      <c r="FUS3" s="120"/>
      <c r="FUT3" s="120"/>
      <c r="FUU3" s="120"/>
      <c r="FUV3" s="120"/>
      <c r="FUW3" s="120"/>
      <c r="FUX3" s="120"/>
      <c r="FUY3" s="120"/>
      <c r="FUZ3" s="120"/>
      <c r="FVA3" s="120"/>
      <c r="FVB3" s="120"/>
      <c r="FVC3" s="120"/>
      <c r="FVD3" s="120"/>
      <c r="FVE3" s="120"/>
      <c r="FVF3" s="120"/>
      <c r="FVG3" s="120"/>
      <c r="FVH3" s="120"/>
      <c r="FVI3" s="120"/>
      <c r="FVJ3" s="120"/>
      <c r="FVK3" s="120"/>
      <c r="FVL3" s="120"/>
      <c r="FVM3" s="120"/>
      <c r="FVN3" s="120"/>
      <c r="FVO3" s="120"/>
      <c r="FVP3" s="120"/>
      <c r="FVQ3" s="120"/>
      <c r="FVR3" s="120"/>
      <c r="FVS3" s="120"/>
      <c r="FVT3" s="120"/>
      <c r="FVU3" s="120"/>
      <c r="FVV3" s="120"/>
      <c r="FVW3" s="120"/>
      <c r="FVX3" s="120"/>
      <c r="FVY3" s="120"/>
      <c r="FVZ3" s="120"/>
      <c r="FWA3" s="120"/>
      <c r="FWB3" s="120"/>
      <c r="FWC3" s="120"/>
      <c r="FWD3" s="120"/>
      <c r="FWE3" s="120"/>
      <c r="FWF3" s="120"/>
      <c r="FWG3" s="120"/>
      <c r="FWH3" s="120"/>
      <c r="FWI3" s="120"/>
      <c r="FWJ3" s="120"/>
      <c r="FWK3" s="120"/>
      <c r="FWL3" s="120"/>
      <c r="FWM3" s="120"/>
      <c r="FWN3" s="120"/>
      <c r="FWO3" s="120"/>
      <c r="FWP3" s="120"/>
      <c r="FWQ3" s="120"/>
      <c r="FWR3" s="120"/>
      <c r="FWS3" s="120"/>
      <c r="FWT3" s="120"/>
      <c r="FWU3" s="120"/>
      <c r="FWV3" s="120"/>
      <c r="FWW3" s="120"/>
      <c r="FWX3" s="120"/>
      <c r="FWY3" s="120"/>
      <c r="FWZ3" s="120"/>
      <c r="FXA3" s="120"/>
      <c r="FXB3" s="120"/>
      <c r="FXC3" s="120"/>
      <c r="FXD3" s="120"/>
      <c r="FXE3" s="120"/>
      <c r="FXF3" s="120"/>
      <c r="FXG3" s="120"/>
      <c r="FXH3" s="120"/>
      <c r="FXI3" s="120"/>
      <c r="FXJ3" s="120"/>
      <c r="FXK3" s="120"/>
      <c r="FXL3" s="120"/>
      <c r="FXM3" s="120"/>
      <c r="FXN3" s="120"/>
      <c r="FXO3" s="120"/>
      <c r="FXP3" s="120"/>
      <c r="FXQ3" s="120"/>
      <c r="FXR3" s="120"/>
      <c r="FXS3" s="120"/>
      <c r="FXT3" s="120"/>
      <c r="FXU3" s="120"/>
      <c r="FXV3" s="120"/>
      <c r="FXW3" s="120"/>
      <c r="FXX3" s="120"/>
      <c r="FXY3" s="120"/>
      <c r="FXZ3" s="120"/>
      <c r="FYA3" s="120"/>
      <c r="FYB3" s="120"/>
      <c r="FYC3" s="120"/>
      <c r="FYD3" s="120"/>
      <c r="FYE3" s="120"/>
      <c r="FYF3" s="120"/>
      <c r="FYG3" s="120"/>
      <c r="FYH3" s="120"/>
      <c r="FYI3" s="120"/>
      <c r="FYJ3" s="120"/>
      <c r="FYK3" s="120"/>
      <c r="FYL3" s="120"/>
      <c r="FYM3" s="120"/>
      <c r="FYN3" s="120"/>
      <c r="FYO3" s="120"/>
      <c r="FYP3" s="120"/>
      <c r="FYQ3" s="120"/>
      <c r="FYR3" s="120"/>
      <c r="FYS3" s="120"/>
      <c r="FYT3" s="120"/>
      <c r="FYU3" s="120"/>
      <c r="FYV3" s="120"/>
      <c r="FYW3" s="120"/>
      <c r="FYX3" s="120"/>
      <c r="FYY3" s="120"/>
      <c r="FYZ3" s="120"/>
      <c r="FZA3" s="120"/>
      <c r="FZB3" s="120"/>
      <c r="FZC3" s="120"/>
      <c r="FZD3" s="120"/>
      <c r="FZE3" s="120"/>
      <c r="FZF3" s="120"/>
      <c r="FZG3" s="120"/>
      <c r="FZH3" s="120"/>
      <c r="FZI3" s="120"/>
      <c r="FZJ3" s="120"/>
      <c r="FZK3" s="120"/>
      <c r="FZL3" s="120"/>
      <c r="FZM3" s="120"/>
      <c r="FZN3" s="120"/>
      <c r="FZO3" s="120"/>
      <c r="FZP3" s="120"/>
      <c r="FZQ3" s="120"/>
      <c r="FZR3" s="120"/>
      <c r="FZS3" s="120"/>
      <c r="FZT3" s="120"/>
      <c r="FZU3" s="120"/>
      <c r="FZV3" s="120"/>
      <c r="FZW3" s="120"/>
      <c r="FZX3" s="120"/>
      <c r="FZY3" s="120"/>
      <c r="FZZ3" s="120"/>
      <c r="GAA3" s="120"/>
      <c r="GAB3" s="120"/>
      <c r="GAC3" s="120"/>
      <c r="GAD3" s="120"/>
      <c r="GAE3" s="120"/>
      <c r="GAF3" s="120"/>
      <c r="GAG3" s="120"/>
      <c r="GAH3" s="120"/>
      <c r="GAI3" s="120"/>
      <c r="GAJ3" s="120"/>
      <c r="GAK3" s="120"/>
      <c r="GAL3" s="120"/>
      <c r="GAM3" s="120"/>
      <c r="GAN3" s="120"/>
      <c r="GAO3" s="120"/>
      <c r="GAP3" s="120"/>
      <c r="GAQ3" s="120"/>
      <c r="GAR3" s="120"/>
      <c r="GAS3" s="120"/>
      <c r="GAT3" s="120"/>
      <c r="GAU3" s="120"/>
      <c r="GAV3" s="120"/>
      <c r="GAW3" s="120"/>
      <c r="GAX3" s="120"/>
      <c r="GAY3" s="120"/>
      <c r="GAZ3" s="120"/>
      <c r="GBA3" s="120"/>
      <c r="GBB3" s="120"/>
      <c r="GBC3" s="120"/>
      <c r="GBD3" s="120"/>
      <c r="GBE3" s="120"/>
      <c r="GBF3" s="120"/>
      <c r="GBG3" s="120"/>
      <c r="GBH3" s="120"/>
      <c r="GBI3" s="120"/>
      <c r="GBJ3" s="120"/>
      <c r="GBK3" s="120"/>
      <c r="GBL3" s="120"/>
      <c r="GBM3" s="120"/>
      <c r="GBN3" s="120"/>
      <c r="GBO3" s="120"/>
      <c r="GBP3" s="120"/>
      <c r="GBQ3" s="120"/>
      <c r="GBR3" s="120"/>
      <c r="GBS3" s="120"/>
      <c r="GBT3" s="120"/>
      <c r="GBU3" s="120"/>
      <c r="GBV3" s="120"/>
      <c r="GBW3" s="120"/>
      <c r="GBX3" s="120"/>
      <c r="GBY3" s="120"/>
      <c r="GBZ3" s="120"/>
      <c r="GCA3" s="120"/>
      <c r="GCB3" s="120"/>
      <c r="GCC3" s="120"/>
      <c r="GCD3" s="120"/>
      <c r="GCE3" s="120"/>
      <c r="GCF3" s="120"/>
      <c r="GCG3" s="120"/>
      <c r="GCH3" s="120"/>
      <c r="GCI3" s="120"/>
      <c r="GCJ3" s="120"/>
      <c r="GCK3" s="120"/>
      <c r="GCL3" s="120"/>
      <c r="GCM3" s="120"/>
      <c r="GCN3" s="120"/>
      <c r="GCO3" s="120"/>
      <c r="GCP3" s="120"/>
      <c r="GCQ3" s="120"/>
      <c r="GCR3" s="120"/>
      <c r="GCS3" s="120"/>
      <c r="GCT3" s="120"/>
      <c r="GCU3" s="120"/>
      <c r="GCV3" s="120"/>
      <c r="GCW3" s="120"/>
      <c r="GCX3" s="120"/>
      <c r="GCY3" s="120"/>
      <c r="GCZ3" s="120"/>
      <c r="GDA3" s="120"/>
      <c r="GDB3" s="120"/>
      <c r="GDC3" s="120"/>
      <c r="GDD3" s="120"/>
      <c r="GDE3" s="120"/>
      <c r="GDF3" s="120"/>
      <c r="GDG3" s="120"/>
      <c r="GDH3" s="120"/>
      <c r="GDI3" s="120"/>
      <c r="GDJ3" s="120"/>
      <c r="GDK3" s="120"/>
      <c r="GDL3" s="120"/>
      <c r="GDM3" s="120"/>
      <c r="GDN3" s="120"/>
      <c r="GDO3" s="120"/>
      <c r="GDP3" s="120"/>
      <c r="GDQ3" s="120"/>
      <c r="GDR3" s="120"/>
      <c r="GDS3" s="120"/>
      <c r="GDT3" s="120"/>
      <c r="GDU3" s="120"/>
      <c r="GDV3" s="120"/>
      <c r="GDW3" s="120"/>
      <c r="GDX3" s="120"/>
      <c r="GDY3" s="120"/>
      <c r="GDZ3" s="120"/>
      <c r="GEA3" s="120"/>
      <c r="GEB3" s="120"/>
      <c r="GEC3" s="120"/>
      <c r="GED3" s="120"/>
      <c r="GEE3" s="120"/>
      <c r="GEF3" s="120"/>
      <c r="GEG3" s="120"/>
      <c r="GEH3" s="120"/>
      <c r="GEI3" s="120"/>
      <c r="GEJ3" s="120"/>
      <c r="GEK3" s="120"/>
      <c r="GEL3" s="120"/>
      <c r="GEM3" s="120"/>
      <c r="GEN3" s="120"/>
      <c r="GEO3" s="120"/>
      <c r="GEP3" s="120"/>
      <c r="GEQ3" s="120"/>
      <c r="GER3" s="120"/>
      <c r="GES3" s="120"/>
      <c r="GET3" s="120"/>
      <c r="GEU3" s="120"/>
      <c r="GEV3" s="120"/>
      <c r="GEW3" s="120"/>
      <c r="GEX3" s="120"/>
      <c r="GEY3" s="120"/>
      <c r="GEZ3" s="120"/>
      <c r="GFA3" s="120"/>
      <c r="GFB3" s="120"/>
      <c r="GFC3" s="120"/>
      <c r="GFD3" s="120"/>
      <c r="GFE3" s="120"/>
      <c r="GFF3" s="120"/>
      <c r="GFG3" s="120"/>
      <c r="GFH3" s="120"/>
      <c r="GFI3" s="120"/>
      <c r="GFJ3" s="120"/>
      <c r="GFK3" s="120"/>
      <c r="GFL3" s="120"/>
      <c r="GFM3" s="120"/>
      <c r="GFN3" s="120"/>
      <c r="GFO3" s="120"/>
      <c r="GFP3" s="120"/>
      <c r="GFQ3" s="120"/>
      <c r="GFR3" s="120"/>
      <c r="GFS3" s="120"/>
      <c r="GFT3" s="120"/>
      <c r="GFU3" s="120"/>
      <c r="GFV3" s="120"/>
      <c r="GFW3" s="120"/>
      <c r="GFX3" s="120"/>
      <c r="GFY3" s="120"/>
      <c r="GFZ3" s="120"/>
      <c r="GGA3" s="120"/>
      <c r="GGB3" s="120"/>
      <c r="GGC3" s="120"/>
      <c r="GGD3" s="120"/>
      <c r="GGE3" s="120"/>
      <c r="GGF3" s="120"/>
      <c r="GGG3" s="120"/>
      <c r="GGH3" s="120"/>
      <c r="GGI3" s="120"/>
      <c r="GGJ3" s="120"/>
      <c r="GGK3" s="120"/>
      <c r="GGL3" s="120"/>
      <c r="GGM3" s="120"/>
      <c r="GGN3" s="120"/>
      <c r="GGO3" s="120"/>
      <c r="GGP3" s="120"/>
      <c r="GGQ3" s="120"/>
      <c r="GGR3" s="120"/>
      <c r="GGS3" s="120"/>
      <c r="GGT3" s="120"/>
      <c r="GGU3" s="120"/>
      <c r="GGV3" s="120"/>
      <c r="GGW3" s="120"/>
      <c r="GGX3" s="120"/>
      <c r="GGY3" s="120"/>
      <c r="GGZ3" s="120"/>
      <c r="GHA3" s="120"/>
      <c r="GHB3" s="120"/>
      <c r="GHC3" s="120"/>
      <c r="GHD3" s="120"/>
      <c r="GHE3" s="120"/>
      <c r="GHF3" s="120"/>
      <c r="GHG3" s="120"/>
      <c r="GHH3" s="120"/>
      <c r="GHI3" s="120"/>
      <c r="GHJ3" s="120"/>
      <c r="GHK3" s="120"/>
      <c r="GHL3" s="120"/>
      <c r="GHM3" s="120"/>
      <c r="GHN3" s="120"/>
      <c r="GHO3" s="120"/>
      <c r="GHP3" s="120"/>
      <c r="GHQ3" s="120"/>
      <c r="GHR3" s="120"/>
      <c r="GHS3" s="120"/>
      <c r="GHT3" s="120"/>
      <c r="GHU3" s="120"/>
      <c r="GHV3" s="120"/>
      <c r="GHW3" s="120"/>
      <c r="GHX3" s="120"/>
      <c r="GHY3" s="120"/>
      <c r="GHZ3" s="120"/>
      <c r="GIA3" s="120"/>
      <c r="GIB3" s="120"/>
      <c r="GIC3" s="120"/>
      <c r="GID3" s="120"/>
      <c r="GIE3" s="120"/>
      <c r="GIF3" s="120"/>
      <c r="GIG3" s="120"/>
      <c r="GIH3" s="120"/>
      <c r="GII3" s="120"/>
      <c r="GIJ3" s="120"/>
      <c r="GIK3" s="120"/>
      <c r="GIL3" s="120"/>
      <c r="GIM3" s="120"/>
      <c r="GIN3" s="120"/>
      <c r="GIO3" s="120"/>
      <c r="GIP3" s="120"/>
      <c r="GIQ3" s="120"/>
      <c r="GIR3" s="120"/>
      <c r="GIS3" s="120"/>
      <c r="GIT3" s="120"/>
      <c r="GIU3" s="120"/>
      <c r="GIV3" s="120"/>
      <c r="GIW3" s="120"/>
      <c r="GIX3" s="120"/>
      <c r="GIY3" s="120"/>
      <c r="GIZ3" s="120"/>
      <c r="GJA3" s="120"/>
      <c r="GJB3" s="120"/>
      <c r="GJC3" s="120"/>
      <c r="GJD3" s="120"/>
      <c r="GJE3" s="120"/>
      <c r="GJF3" s="120"/>
      <c r="GJG3" s="120"/>
      <c r="GJH3" s="120"/>
      <c r="GJI3" s="120"/>
      <c r="GJJ3" s="120"/>
      <c r="GJK3" s="120"/>
      <c r="GJL3" s="120"/>
      <c r="GJM3" s="120"/>
      <c r="GJN3" s="120"/>
      <c r="GJO3" s="120"/>
      <c r="GJP3" s="120"/>
      <c r="GJQ3" s="120"/>
      <c r="GJR3" s="120"/>
      <c r="GJS3" s="120"/>
      <c r="GJT3" s="120"/>
      <c r="GJU3" s="120"/>
      <c r="GJV3" s="120"/>
      <c r="GJW3" s="120"/>
      <c r="GJX3" s="120"/>
      <c r="GJY3" s="120"/>
      <c r="GJZ3" s="120"/>
      <c r="GKA3" s="120"/>
      <c r="GKB3" s="120"/>
      <c r="GKC3" s="120"/>
      <c r="GKD3" s="120"/>
      <c r="GKE3" s="120"/>
      <c r="GKF3" s="120"/>
      <c r="GKG3" s="120"/>
      <c r="GKH3" s="120"/>
      <c r="GKI3" s="120"/>
      <c r="GKJ3" s="120"/>
      <c r="GKK3" s="120"/>
      <c r="GKL3" s="120"/>
      <c r="GKM3" s="120"/>
      <c r="GKN3" s="120"/>
      <c r="GKO3" s="120"/>
      <c r="GKP3" s="120"/>
      <c r="GKQ3" s="120"/>
      <c r="GKR3" s="120"/>
      <c r="GKS3" s="120"/>
      <c r="GKT3" s="120"/>
      <c r="GKU3" s="120"/>
      <c r="GKV3" s="120"/>
      <c r="GKW3" s="120"/>
      <c r="GKX3" s="120"/>
      <c r="GKY3" s="120"/>
      <c r="GKZ3" s="120"/>
      <c r="GLA3" s="120"/>
      <c r="GLB3" s="120"/>
      <c r="GLC3" s="120"/>
      <c r="GLD3" s="120"/>
      <c r="GLE3" s="120"/>
      <c r="GLF3" s="120"/>
      <c r="GLG3" s="120"/>
      <c r="GLH3" s="120"/>
      <c r="GLI3" s="120"/>
      <c r="GLJ3" s="120"/>
      <c r="GLK3" s="120"/>
      <c r="GLL3" s="120"/>
      <c r="GLM3" s="120"/>
      <c r="GLN3" s="120"/>
      <c r="GLO3" s="120"/>
      <c r="GLP3" s="120"/>
      <c r="GLQ3" s="120"/>
      <c r="GLR3" s="120"/>
      <c r="GLS3" s="120"/>
      <c r="GLT3" s="120"/>
      <c r="GLU3" s="120"/>
      <c r="GLV3" s="120"/>
      <c r="GLW3" s="120"/>
      <c r="GLX3" s="120"/>
      <c r="GLY3" s="120"/>
      <c r="GLZ3" s="120"/>
      <c r="GMA3" s="120"/>
      <c r="GMB3" s="120"/>
      <c r="GMC3" s="120"/>
      <c r="GMD3" s="120"/>
      <c r="GME3" s="120"/>
      <c r="GMF3" s="120"/>
      <c r="GMG3" s="120"/>
      <c r="GMH3" s="120"/>
      <c r="GMI3" s="120"/>
      <c r="GMJ3" s="120"/>
      <c r="GMK3" s="120"/>
      <c r="GML3" s="120"/>
      <c r="GMM3" s="120"/>
      <c r="GMN3" s="120"/>
      <c r="GMO3" s="120"/>
      <c r="GMP3" s="120"/>
      <c r="GMQ3" s="120"/>
      <c r="GMR3" s="120"/>
      <c r="GMS3" s="120"/>
      <c r="GMT3" s="120"/>
      <c r="GMU3" s="120"/>
      <c r="GMV3" s="120"/>
      <c r="GMW3" s="120"/>
      <c r="GMX3" s="120"/>
      <c r="GMY3" s="120"/>
      <c r="GMZ3" s="120"/>
      <c r="GNA3" s="120"/>
      <c r="GNB3" s="120"/>
      <c r="GNC3" s="120"/>
      <c r="GND3" s="120"/>
      <c r="GNE3" s="120"/>
      <c r="GNF3" s="120"/>
      <c r="GNG3" s="120"/>
      <c r="GNH3" s="120"/>
      <c r="GNI3" s="120"/>
      <c r="GNJ3" s="120"/>
      <c r="GNK3" s="120"/>
      <c r="GNL3" s="120"/>
      <c r="GNM3" s="120"/>
      <c r="GNN3" s="120"/>
      <c r="GNO3" s="120"/>
      <c r="GNP3" s="120"/>
      <c r="GNQ3" s="120"/>
      <c r="GNR3" s="120"/>
      <c r="GNS3" s="120"/>
      <c r="GNT3" s="120"/>
      <c r="GNU3" s="120"/>
      <c r="GNV3" s="120"/>
      <c r="GNW3" s="120"/>
      <c r="GNX3" s="120"/>
      <c r="GNY3" s="120"/>
      <c r="GNZ3" s="120"/>
      <c r="GOA3" s="120"/>
      <c r="GOB3" s="120"/>
      <c r="GOC3" s="120"/>
      <c r="GOD3" s="120"/>
      <c r="GOE3" s="120"/>
      <c r="GOF3" s="120"/>
      <c r="GOG3" s="120"/>
      <c r="GOH3" s="120"/>
      <c r="GOI3" s="120"/>
      <c r="GOJ3" s="120"/>
      <c r="GOK3" s="120"/>
      <c r="GOL3" s="120"/>
      <c r="GOM3" s="120"/>
      <c r="GON3" s="120"/>
      <c r="GOO3" s="120"/>
      <c r="GOP3" s="120"/>
      <c r="GOQ3" s="120"/>
      <c r="GOR3" s="120"/>
      <c r="GOS3" s="120"/>
      <c r="GOT3" s="120"/>
      <c r="GOU3" s="120"/>
      <c r="GOV3" s="120"/>
      <c r="GOW3" s="120"/>
      <c r="GOX3" s="120"/>
      <c r="GOY3" s="120"/>
      <c r="GOZ3" s="120"/>
      <c r="GPA3" s="120"/>
      <c r="GPB3" s="120"/>
      <c r="GPC3" s="120"/>
      <c r="GPD3" s="120"/>
      <c r="GPE3" s="120"/>
      <c r="GPF3" s="120"/>
      <c r="GPG3" s="120"/>
      <c r="GPH3" s="120"/>
      <c r="GPI3" s="120"/>
      <c r="GPJ3" s="120"/>
      <c r="GPK3" s="120"/>
      <c r="GPL3" s="120"/>
      <c r="GPM3" s="120"/>
      <c r="GPN3" s="120"/>
      <c r="GPO3" s="120"/>
      <c r="GPP3" s="120"/>
      <c r="GPQ3" s="120"/>
      <c r="GPR3" s="120"/>
      <c r="GPS3" s="120"/>
      <c r="GPT3" s="120"/>
      <c r="GPU3" s="120"/>
      <c r="GPV3" s="120"/>
      <c r="GPW3" s="120"/>
      <c r="GPX3" s="120"/>
      <c r="GPY3" s="120"/>
      <c r="GPZ3" s="120"/>
      <c r="GQA3" s="120"/>
      <c r="GQB3" s="120"/>
      <c r="GQC3" s="120"/>
      <c r="GQD3" s="120"/>
      <c r="GQE3" s="120"/>
      <c r="GQF3" s="120"/>
      <c r="GQG3" s="120"/>
      <c r="GQH3" s="120"/>
      <c r="GQI3" s="120"/>
      <c r="GQJ3" s="120"/>
      <c r="GQK3" s="120"/>
      <c r="GQL3" s="120"/>
      <c r="GQM3" s="120"/>
      <c r="GQN3" s="120"/>
      <c r="GQO3" s="120"/>
      <c r="GQP3" s="120"/>
      <c r="GQQ3" s="120"/>
      <c r="GQR3" s="120"/>
      <c r="GQS3" s="120"/>
      <c r="GQT3" s="120"/>
      <c r="GQU3" s="120"/>
      <c r="GQV3" s="120"/>
      <c r="GQW3" s="120"/>
      <c r="GQX3" s="120"/>
      <c r="GQY3" s="120"/>
      <c r="GQZ3" s="120"/>
      <c r="GRA3" s="120"/>
      <c r="GRB3" s="120"/>
      <c r="GRC3" s="120"/>
      <c r="GRD3" s="120"/>
      <c r="GRE3" s="120"/>
      <c r="GRF3" s="120"/>
      <c r="GRG3" s="120"/>
      <c r="GRH3" s="120"/>
      <c r="GRI3" s="120"/>
      <c r="GRJ3" s="120"/>
      <c r="GRK3" s="120"/>
      <c r="GRL3" s="120"/>
      <c r="GRM3" s="120"/>
      <c r="GRN3" s="120"/>
      <c r="GRO3" s="120"/>
      <c r="GRP3" s="120"/>
      <c r="GRQ3" s="120"/>
      <c r="GRR3" s="120"/>
      <c r="GRS3" s="120"/>
      <c r="GRT3" s="120"/>
      <c r="GRU3" s="120"/>
      <c r="GRV3" s="120"/>
      <c r="GRW3" s="120"/>
      <c r="GRX3" s="120"/>
      <c r="GRY3" s="120"/>
      <c r="GRZ3" s="120"/>
      <c r="GSA3" s="120"/>
      <c r="GSB3" s="120"/>
      <c r="GSC3" s="120"/>
      <c r="GSD3" s="120"/>
      <c r="GSE3" s="120"/>
      <c r="GSF3" s="120"/>
      <c r="GSG3" s="120"/>
      <c r="GSH3" s="120"/>
      <c r="GSI3" s="120"/>
      <c r="GSJ3" s="120"/>
      <c r="GSK3" s="120"/>
      <c r="GSL3" s="120"/>
      <c r="GSM3" s="120"/>
      <c r="GSN3" s="120"/>
      <c r="GSO3" s="120"/>
      <c r="GSP3" s="120"/>
      <c r="GSQ3" s="120"/>
      <c r="GSR3" s="120"/>
      <c r="GSS3" s="120"/>
      <c r="GST3" s="120"/>
      <c r="GSU3" s="120"/>
      <c r="GSV3" s="120"/>
      <c r="GSW3" s="120"/>
      <c r="GSX3" s="120"/>
      <c r="GSY3" s="120"/>
      <c r="GSZ3" s="120"/>
      <c r="GTA3" s="120"/>
      <c r="GTB3" s="120"/>
      <c r="GTC3" s="120"/>
      <c r="GTD3" s="120"/>
      <c r="GTE3" s="120"/>
      <c r="GTF3" s="120"/>
      <c r="GTG3" s="120"/>
      <c r="GTH3" s="120"/>
      <c r="GTI3" s="120"/>
      <c r="GTJ3" s="120"/>
      <c r="GTK3" s="120"/>
      <c r="GTL3" s="120"/>
      <c r="GTM3" s="120"/>
      <c r="GTN3" s="120"/>
      <c r="GTO3" s="120"/>
      <c r="GTP3" s="120"/>
      <c r="GTQ3" s="120"/>
      <c r="GTR3" s="120"/>
      <c r="GTS3" s="120"/>
      <c r="GTT3" s="120"/>
      <c r="GTU3" s="120"/>
      <c r="GTV3" s="120"/>
      <c r="GTW3" s="120"/>
      <c r="GTX3" s="120"/>
      <c r="GTY3" s="120"/>
      <c r="GTZ3" s="120"/>
      <c r="GUA3" s="120"/>
      <c r="GUB3" s="120"/>
      <c r="GUC3" s="120"/>
      <c r="GUD3" s="120"/>
      <c r="GUE3" s="120"/>
      <c r="GUF3" s="120"/>
      <c r="GUG3" s="120"/>
      <c r="GUH3" s="120"/>
      <c r="GUI3" s="120"/>
      <c r="GUJ3" s="120"/>
      <c r="GUK3" s="120"/>
      <c r="GUL3" s="120"/>
      <c r="GUM3" s="120"/>
      <c r="GUN3" s="120"/>
      <c r="GUO3" s="120"/>
      <c r="GUP3" s="120"/>
      <c r="GUQ3" s="120"/>
      <c r="GUR3" s="120"/>
      <c r="GUS3" s="120"/>
      <c r="GUT3" s="120"/>
      <c r="GUU3" s="120"/>
      <c r="GUV3" s="120"/>
      <c r="GUW3" s="120"/>
      <c r="GUX3" s="120"/>
      <c r="GUY3" s="120"/>
      <c r="GUZ3" s="120"/>
      <c r="GVA3" s="120"/>
      <c r="GVB3" s="120"/>
      <c r="GVC3" s="120"/>
      <c r="GVD3" s="120"/>
      <c r="GVE3" s="120"/>
      <c r="GVF3" s="120"/>
      <c r="GVG3" s="120"/>
      <c r="GVH3" s="120"/>
      <c r="GVI3" s="120"/>
      <c r="GVJ3" s="120"/>
      <c r="GVK3" s="120"/>
      <c r="GVL3" s="120"/>
      <c r="GVM3" s="120"/>
      <c r="GVN3" s="120"/>
      <c r="GVO3" s="120"/>
      <c r="GVP3" s="120"/>
      <c r="GVQ3" s="120"/>
      <c r="GVR3" s="120"/>
      <c r="GVS3" s="120"/>
      <c r="GVT3" s="120"/>
      <c r="GVU3" s="120"/>
      <c r="GVV3" s="120"/>
      <c r="GVW3" s="120"/>
      <c r="GVX3" s="120"/>
      <c r="GVY3" s="120"/>
      <c r="GVZ3" s="120"/>
      <c r="GWA3" s="120"/>
      <c r="GWB3" s="120"/>
      <c r="GWC3" s="120"/>
      <c r="GWD3" s="120"/>
      <c r="GWE3" s="120"/>
      <c r="GWF3" s="120"/>
      <c r="GWG3" s="120"/>
      <c r="GWH3" s="120"/>
      <c r="GWI3" s="120"/>
      <c r="GWJ3" s="120"/>
      <c r="GWK3" s="120"/>
      <c r="GWL3" s="120"/>
      <c r="GWM3" s="120"/>
      <c r="GWN3" s="120"/>
      <c r="GWO3" s="120"/>
      <c r="GWP3" s="120"/>
      <c r="GWQ3" s="120"/>
      <c r="GWR3" s="120"/>
      <c r="GWS3" s="120"/>
      <c r="GWT3" s="120"/>
      <c r="GWU3" s="120"/>
      <c r="GWV3" s="120"/>
      <c r="GWW3" s="120"/>
      <c r="GWX3" s="120"/>
      <c r="GWY3" s="120"/>
      <c r="GWZ3" s="120"/>
      <c r="GXA3" s="120"/>
      <c r="GXB3" s="120"/>
      <c r="GXC3" s="120"/>
      <c r="GXD3" s="120"/>
      <c r="GXE3" s="120"/>
      <c r="GXF3" s="120"/>
      <c r="GXG3" s="120"/>
      <c r="GXH3" s="120"/>
      <c r="GXI3" s="120"/>
      <c r="GXJ3" s="120"/>
      <c r="GXK3" s="120"/>
      <c r="GXL3" s="120"/>
      <c r="GXM3" s="120"/>
      <c r="GXN3" s="120"/>
      <c r="GXO3" s="120"/>
      <c r="GXP3" s="120"/>
      <c r="GXQ3" s="120"/>
      <c r="GXR3" s="120"/>
      <c r="GXS3" s="120"/>
      <c r="GXT3" s="120"/>
      <c r="GXU3" s="120"/>
      <c r="GXV3" s="120"/>
      <c r="GXW3" s="120"/>
      <c r="GXX3" s="120"/>
      <c r="GXY3" s="120"/>
      <c r="GXZ3" s="120"/>
      <c r="GYA3" s="120"/>
      <c r="GYB3" s="120"/>
      <c r="GYC3" s="120"/>
      <c r="GYD3" s="120"/>
      <c r="GYE3" s="120"/>
      <c r="GYF3" s="120"/>
      <c r="GYG3" s="120"/>
      <c r="GYH3" s="120"/>
      <c r="GYI3" s="120"/>
      <c r="GYJ3" s="120"/>
      <c r="GYK3" s="120"/>
      <c r="GYL3" s="120"/>
      <c r="GYM3" s="120"/>
      <c r="GYN3" s="120"/>
      <c r="GYO3" s="120"/>
      <c r="GYP3" s="120"/>
      <c r="GYQ3" s="120"/>
      <c r="GYR3" s="120"/>
      <c r="GYS3" s="120"/>
      <c r="GYT3" s="120"/>
      <c r="GYU3" s="120"/>
      <c r="GYV3" s="120"/>
      <c r="GYW3" s="120"/>
      <c r="GYX3" s="120"/>
      <c r="GYY3" s="120"/>
      <c r="GYZ3" s="120"/>
      <c r="GZA3" s="120"/>
      <c r="GZB3" s="120"/>
      <c r="GZC3" s="120"/>
      <c r="GZD3" s="120"/>
      <c r="GZE3" s="120"/>
      <c r="GZF3" s="120"/>
      <c r="GZG3" s="120"/>
      <c r="GZH3" s="120"/>
      <c r="GZI3" s="120"/>
      <c r="GZJ3" s="120"/>
      <c r="GZK3" s="120"/>
      <c r="GZL3" s="120"/>
      <c r="GZM3" s="120"/>
      <c r="GZN3" s="120"/>
      <c r="GZO3" s="120"/>
      <c r="GZP3" s="120"/>
      <c r="GZQ3" s="120"/>
      <c r="GZR3" s="120"/>
      <c r="GZS3" s="120"/>
      <c r="GZT3" s="120"/>
      <c r="GZU3" s="120"/>
      <c r="GZV3" s="120"/>
      <c r="GZW3" s="120"/>
      <c r="GZX3" s="120"/>
      <c r="GZY3" s="120"/>
      <c r="GZZ3" s="120"/>
      <c r="HAA3" s="120"/>
      <c r="HAB3" s="120"/>
      <c r="HAC3" s="120"/>
      <c r="HAD3" s="120"/>
      <c r="HAE3" s="120"/>
      <c r="HAF3" s="120"/>
      <c r="HAG3" s="120"/>
      <c r="HAH3" s="120"/>
      <c r="HAI3" s="120"/>
      <c r="HAJ3" s="120"/>
      <c r="HAK3" s="120"/>
      <c r="HAL3" s="120"/>
      <c r="HAM3" s="120"/>
      <c r="HAN3" s="120"/>
      <c r="HAO3" s="120"/>
      <c r="HAP3" s="120"/>
      <c r="HAQ3" s="120"/>
      <c r="HAR3" s="120"/>
      <c r="HAS3" s="120"/>
      <c r="HAT3" s="120"/>
      <c r="HAU3" s="120"/>
      <c r="HAV3" s="120"/>
      <c r="HAW3" s="120"/>
      <c r="HAX3" s="120"/>
      <c r="HAY3" s="120"/>
      <c r="HAZ3" s="120"/>
      <c r="HBA3" s="120"/>
      <c r="HBB3" s="120"/>
      <c r="HBC3" s="120"/>
      <c r="HBD3" s="120"/>
      <c r="HBE3" s="120"/>
      <c r="HBF3" s="120"/>
      <c r="HBG3" s="120"/>
      <c r="HBH3" s="120"/>
      <c r="HBI3" s="120"/>
      <c r="HBJ3" s="120"/>
      <c r="HBK3" s="120"/>
      <c r="HBL3" s="120"/>
      <c r="HBM3" s="120"/>
      <c r="HBN3" s="120"/>
      <c r="HBO3" s="120"/>
      <c r="HBP3" s="120"/>
      <c r="HBQ3" s="120"/>
      <c r="HBR3" s="120"/>
      <c r="HBS3" s="120"/>
      <c r="HBT3" s="120"/>
      <c r="HBU3" s="120"/>
      <c r="HBV3" s="120"/>
      <c r="HBW3" s="120"/>
      <c r="HBX3" s="120"/>
      <c r="HBY3" s="120"/>
      <c r="HBZ3" s="120"/>
      <c r="HCA3" s="120"/>
      <c r="HCB3" s="120"/>
      <c r="HCC3" s="120"/>
      <c r="HCD3" s="120"/>
      <c r="HCE3" s="120"/>
      <c r="HCF3" s="120"/>
      <c r="HCG3" s="120"/>
      <c r="HCH3" s="120"/>
      <c r="HCI3" s="120"/>
      <c r="HCJ3" s="120"/>
      <c r="HCK3" s="120"/>
      <c r="HCL3" s="120"/>
      <c r="HCM3" s="120"/>
      <c r="HCN3" s="120"/>
      <c r="HCO3" s="120"/>
      <c r="HCP3" s="120"/>
      <c r="HCQ3" s="120"/>
      <c r="HCR3" s="120"/>
      <c r="HCS3" s="120"/>
      <c r="HCT3" s="120"/>
      <c r="HCU3" s="120"/>
      <c r="HCV3" s="120"/>
      <c r="HCW3" s="120"/>
      <c r="HCX3" s="120"/>
      <c r="HCY3" s="120"/>
      <c r="HCZ3" s="120"/>
      <c r="HDA3" s="120"/>
      <c r="HDB3" s="120"/>
      <c r="HDC3" s="120"/>
      <c r="HDD3" s="120"/>
      <c r="HDE3" s="120"/>
      <c r="HDF3" s="120"/>
      <c r="HDG3" s="120"/>
      <c r="HDH3" s="120"/>
      <c r="HDI3" s="120"/>
      <c r="HDJ3" s="120"/>
      <c r="HDK3" s="120"/>
      <c r="HDL3" s="120"/>
      <c r="HDM3" s="120"/>
      <c r="HDN3" s="120"/>
      <c r="HDO3" s="120"/>
      <c r="HDP3" s="120"/>
      <c r="HDQ3" s="120"/>
      <c r="HDR3" s="120"/>
      <c r="HDS3" s="120"/>
      <c r="HDT3" s="120"/>
      <c r="HDU3" s="120"/>
      <c r="HDV3" s="120"/>
      <c r="HDW3" s="120"/>
      <c r="HDX3" s="120"/>
      <c r="HDY3" s="120"/>
      <c r="HDZ3" s="120"/>
      <c r="HEA3" s="120"/>
      <c r="HEB3" s="120"/>
      <c r="HEC3" s="120"/>
      <c r="HED3" s="120"/>
      <c r="HEE3" s="120"/>
      <c r="HEF3" s="120"/>
      <c r="HEG3" s="120"/>
      <c r="HEH3" s="120"/>
      <c r="HEI3" s="120"/>
      <c r="HEJ3" s="120"/>
      <c r="HEK3" s="120"/>
      <c r="HEL3" s="120"/>
      <c r="HEM3" s="120"/>
      <c r="HEN3" s="120"/>
      <c r="HEO3" s="120"/>
      <c r="HEP3" s="120"/>
      <c r="HEQ3" s="120"/>
      <c r="HER3" s="120"/>
      <c r="HES3" s="120"/>
      <c r="HET3" s="120"/>
      <c r="HEU3" s="120"/>
      <c r="HEV3" s="120"/>
      <c r="HEW3" s="120"/>
      <c r="HEX3" s="120"/>
      <c r="HEY3" s="120"/>
      <c r="HEZ3" s="120"/>
      <c r="HFA3" s="120"/>
      <c r="HFB3" s="120"/>
      <c r="HFC3" s="120"/>
      <c r="HFD3" s="120"/>
      <c r="HFE3" s="120"/>
      <c r="HFF3" s="120"/>
      <c r="HFG3" s="120"/>
      <c r="HFH3" s="120"/>
      <c r="HFI3" s="120"/>
      <c r="HFJ3" s="120"/>
      <c r="HFK3" s="120"/>
      <c r="HFL3" s="120"/>
      <c r="HFM3" s="120"/>
      <c r="HFN3" s="120"/>
      <c r="HFO3" s="120"/>
      <c r="HFP3" s="120"/>
      <c r="HFQ3" s="120"/>
      <c r="HFR3" s="120"/>
      <c r="HFS3" s="120"/>
      <c r="HFT3" s="120"/>
      <c r="HFU3" s="120"/>
      <c r="HFV3" s="120"/>
      <c r="HFW3" s="120"/>
      <c r="HFX3" s="120"/>
      <c r="HFY3" s="120"/>
      <c r="HFZ3" s="120"/>
      <c r="HGA3" s="120"/>
      <c r="HGB3" s="120"/>
      <c r="HGC3" s="120"/>
      <c r="HGD3" s="120"/>
      <c r="HGE3" s="120"/>
      <c r="HGF3" s="120"/>
      <c r="HGG3" s="120"/>
      <c r="HGH3" s="120"/>
      <c r="HGI3" s="120"/>
      <c r="HGJ3" s="120"/>
      <c r="HGK3" s="120"/>
      <c r="HGL3" s="120"/>
      <c r="HGM3" s="120"/>
      <c r="HGN3" s="120"/>
      <c r="HGO3" s="120"/>
      <c r="HGP3" s="120"/>
      <c r="HGQ3" s="120"/>
      <c r="HGR3" s="120"/>
      <c r="HGS3" s="120"/>
      <c r="HGT3" s="120"/>
      <c r="HGU3" s="120"/>
      <c r="HGV3" s="120"/>
      <c r="HGW3" s="120"/>
      <c r="HGX3" s="120"/>
      <c r="HGY3" s="120"/>
      <c r="HGZ3" s="120"/>
      <c r="HHA3" s="120"/>
      <c r="HHB3" s="120"/>
      <c r="HHC3" s="120"/>
      <c r="HHD3" s="120"/>
      <c r="HHE3" s="120"/>
      <c r="HHF3" s="120"/>
      <c r="HHG3" s="120"/>
      <c r="HHH3" s="120"/>
      <c r="HHI3" s="120"/>
      <c r="HHJ3" s="120"/>
      <c r="HHK3" s="120"/>
      <c r="HHL3" s="120"/>
      <c r="HHM3" s="120"/>
      <c r="HHN3" s="120"/>
      <c r="HHO3" s="120"/>
      <c r="HHP3" s="120"/>
      <c r="HHQ3" s="120"/>
      <c r="HHR3" s="120"/>
      <c r="HHS3" s="120"/>
      <c r="HHT3" s="120"/>
      <c r="HHU3" s="120"/>
      <c r="HHV3" s="120"/>
      <c r="HHW3" s="120"/>
      <c r="HHX3" s="120"/>
      <c r="HHY3" s="120"/>
      <c r="HHZ3" s="120"/>
      <c r="HIA3" s="120"/>
      <c r="HIB3" s="120"/>
      <c r="HIC3" s="120"/>
      <c r="HID3" s="120"/>
      <c r="HIE3" s="120"/>
      <c r="HIF3" s="120"/>
      <c r="HIG3" s="120"/>
      <c r="HIH3" s="120"/>
      <c r="HII3" s="120"/>
      <c r="HIJ3" s="120"/>
      <c r="HIK3" s="120"/>
      <c r="HIL3" s="120"/>
      <c r="HIM3" s="120"/>
      <c r="HIN3" s="120"/>
      <c r="HIO3" s="120"/>
      <c r="HIP3" s="120"/>
      <c r="HIQ3" s="120"/>
      <c r="HIR3" s="120"/>
      <c r="HIS3" s="120"/>
      <c r="HIT3" s="120"/>
      <c r="HIU3" s="120"/>
      <c r="HIV3" s="120"/>
      <c r="HIW3" s="120"/>
      <c r="HIX3" s="120"/>
      <c r="HIY3" s="120"/>
      <c r="HIZ3" s="120"/>
      <c r="HJA3" s="120"/>
      <c r="HJB3" s="120"/>
      <c r="HJC3" s="120"/>
      <c r="HJD3" s="120"/>
      <c r="HJE3" s="120"/>
      <c r="HJF3" s="120"/>
      <c r="HJG3" s="120"/>
      <c r="HJH3" s="120"/>
      <c r="HJI3" s="120"/>
      <c r="HJJ3" s="120"/>
      <c r="HJK3" s="120"/>
      <c r="HJL3" s="120"/>
      <c r="HJM3" s="120"/>
      <c r="HJN3" s="120"/>
      <c r="HJO3" s="120"/>
      <c r="HJP3" s="120"/>
      <c r="HJQ3" s="120"/>
      <c r="HJR3" s="120"/>
      <c r="HJS3" s="120"/>
      <c r="HJT3" s="120"/>
      <c r="HJU3" s="120"/>
      <c r="HJV3" s="120"/>
      <c r="HJW3" s="120"/>
      <c r="HJX3" s="120"/>
      <c r="HJY3" s="120"/>
      <c r="HJZ3" s="120"/>
      <c r="HKA3" s="120"/>
      <c r="HKB3" s="120"/>
      <c r="HKC3" s="120"/>
      <c r="HKD3" s="120"/>
      <c r="HKE3" s="120"/>
      <c r="HKF3" s="120"/>
      <c r="HKG3" s="120"/>
      <c r="HKH3" s="120"/>
      <c r="HKI3" s="120"/>
      <c r="HKJ3" s="120"/>
      <c r="HKK3" s="120"/>
      <c r="HKL3" s="120"/>
      <c r="HKM3" s="120"/>
      <c r="HKN3" s="120"/>
      <c r="HKO3" s="120"/>
      <c r="HKP3" s="120"/>
      <c r="HKQ3" s="120"/>
      <c r="HKR3" s="120"/>
      <c r="HKS3" s="120"/>
      <c r="HKT3" s="120"/>
      <c r="HKU3" s="120"/>
      <c r="HKV3" s="120"/>
      <c r="HKW3" s="120"/>
      <c r="HKX3" s="120"/>
      <c r="HKY3" s="120"/>
      <c r="HKZ3" s="120"/>
      <c r="HLA3" s="120"/>
      <c r="HLB3" s="120"/>
      <c r="HLC3" s="120"/>
      <c r="HLD3" s="120"/>
      <c r="HLE3" s="120"/>
      <c r="HLF3" s="120"/>
      <c r="HLG3" s="120"/>
      <c r="HLH3" s="120"/>
      <c r="HLI3" s="120"/>
      <c r="HLJ3" s="120"/>
      <c r="HLK3" s="120"/>
      <c r="HLL3" s="120"/>
      <c r="HLM3" s="120"/>
      <c r="HLN3" s="120"/>
      <c r="HLO3" s="120"/>
      <c r="HLP3" s="120"/>
      <c r="HLQ3" s="120"/>
      <c r="HLR3" s="120"/>
      <c r="HLS3" s="120"/>
      <c r="HLT3" s="120"/>
      <c r="HLU3" s="120"/>
      <c r="HLV3" s="120"/>
      <c r="HLW3" s="120"/>
      <c r="HLX3" s="120"/>
      <c r="HLY3" s="120"/>
      <c r="HLZ3" s="120"/>
      <c r="HMA3" s="120"/>
      <c r="HMB3" s="120"/>
      <c r="HMC3" s="120"/>
      <c r="HMD3" s="120"/>
      <c r="HME3" s="120"/>
      <c r="HMF3" s="120"/>
      <c r="HMG3" s="120"/>
      <c r="HMH3" s="120"/>
      <c r="HMI3" s="120"/>
      <c r="HMJ3" s="120"/>
      <c r="HMK3" s="120"/>
      <c r="HML3" s="120"/>
      <c r="HMM3" s="120"/>
      <c r="HMN3" s="120"/>
      <c r="HMO3" s="120"/>
      <c r="HMP3" s="120"/>
      <c r="HMQ3" s="120"/>
      <c r="HMR3" s="120"/>
      <c r="HMS3" s="120"/>
      <c r="HMT3" s="120"/>
      <c r="HMU3" s="120"/>
      <c r="HMV3" s="120"/>
      <c r="HMW3" s="120"/>
      <c r="HMX3" s="120"/>
      <c r="HMY3" s="120"/>
      <c r="HMZ3" s="120"/>
      <c r="HNA3" s="120"/>
      <c r="HNB3" s="120"/>
      <c r="HNC3" s="120"/>
      <c r="HND3" s="120"/>
      <c r="HNE3" s="120"/>
      <c r="HNF3" s="120"/>
      <c r="HNG3" s="120"/>
      <c r="HNH3" s="120"/>
      <c r="HNI3" s="120"/>
      <c r="HNJ3" s="120"/>
      <c r="HNK3" s="120"/>
      <c r="HNL3" s="120"/>
      <c r="HNM3" s="120"/>
      <c r="HNN3" s="120"/>
      <c r="HNO3" s="120"/>
      <c r="HNP3" s="120"/>
      <c r="HNQ3" s="120"/>
      <c r="HNR3" s="120"/>
      <c r="HNS3" s="120"/>
      <c r="HNT3" s="120"/>
      <c r="HNU3" s="120"/>
      <c r="HNV3" s="120"/>
      <c r="HNW3" s="120"/>
      <c r="HNX3" s="120"/>
      <c r="HNY3" s="120"/>
      <c r="HNZ3" s="120"/>
      <c r="HOA3" s="120"/>
      <c r="HOB3" s="120"/>
      <c r="HOC3" s="120"/>
      <c r="HOD3" s="120"/>
      <c r="HOE3" s="120"/>
      <c r="HOF3" s="120"/>
      <c r="HOG3" s="120"/>
      <c r="HOH3" s="120"/>
      <c r="HOI3" s="120"/>
      <c r="HOJ3" s="120"/>
      <c r="HOK3" s="120"/>
      <c r="HOL3" s="120"/>
      <c r="HOM3" s="120"/>
      <c r="HON3" s="120"/>
      <c r="HOO3" s="120"/>
      <c r="HOP3" s="120"/>
      <c r="HOQ3" s="120"/>
      <c r="HOR3" s="120"/>
      <c r="HOS3" s="120"/>
      <c r="HOT3" s="120"/>
      <c r="HOU3" s="120"/>
      <c r="HOV3" s="120"/>
      <c r="HOW3" s="120"/>
      <c r="HOX3" s="120"/>
      <c r="HOY3" s="120"/>
      <c r="HOZ3" s="120"/>
      <c r="HPA3" s="120"/>
      <c r="HPB3" s="120"/>
      <c r="HPC3" s="120"/>
      <c r="HPD3" s="120"/>
      <c r="HPE3" s="120"/>
      <c r="HPF3" s="120"/>
      <c r="HPG3" s="120"/>
      <c r="HPH3" s="120"/>
      <c r="HPI3" s="120"/>
      <c r="HPJ3" s="120"/>
      <c r="HPK3" s="120"/>
      <c r="HPL3" s="120"/>
      <c r="HPM3" s="120"/>
      <c r="HPN3" s="120"/>
      <c r="HPO3" s="120"/>
      <c r="HPP3" s="120"/>
      <c r="HPQ3" s="120"/>
      <c r="HPR3" s="120"/>
      <c r="HPS3" s="120"/>
      <c r="HPT3" s="120"/>
      <c r="HPU3" s="120"/>
      <c r="HPV3" s="120"/>
      <c r="HPW3" s="120"/>
      <c r="HPX3" s="120"/>
      <c r="HPY3" s="120"/>
      <c r="HPZ3" s="120"/>
      <c r="HQA3" s="120"/>
      <c r="HQB3" s="120"/>
      <c r="HQC3" s="120"/>
      <c r="HQD3" s="120"/>
      <c r="HQE3" s="120"/>
      <c r="HQF3" s="120"/>
      <c r="HQG3" s="120"/>
      <c r="HQH3" s="120"/>
      <c r="HQI3" s="120"/>
      <c r="HQJ3" s="120"/>
      <c r="HQK3" s="120"/>
      <c r="HQL3" s="120"/>
      <c r="HQM3" s="120"/>
      <c r="HQN3" s="120"/>
      <c r="HQO3" s="120"/>
      <c r="HQP3" s="120"/>
      <c r="HQQ3" s="120"/>
      <c r="HQR3" s="120"/>
      <c r="HQS3" s="120"/>
      <c r="HQT3" s="120"/>
      <c r="HQU3" s="120"/>
      <c r="HQV3" s="120"/>
      <c r="HQW3" s="120"/>
      <c r="HQX3" s="120"/>
      <c r="HQY3" s="120"/>
      <c r="HQZ3" s="120"/>
      <c r="HRA3" s="120"/>
      <c r="HRB3" s="120"/>
      <c r="HRC3" s="120"/>
      <c r="HRD3" s="120"/>
      <c r="HRE3" s="120"/>
      <c r="HRF3" s="120"/>
      <c r="HRG3" s="120"/>
      <c r="HRH3" s="120"/>
      <c r="HRI3" s="120"/>
      <c r="HRJ3" s="120"/>
      <c r="HRK3" s="120"/>
      <c r="HRL3" s="120"/>
      <c r="HRM3" s="120"/>
      <c r="HRN3" s="120"/>
      <c r="HRO3" s="120"/>
      <c r="HRP3" s="120"/>
      <c r="HRQ3" s="120"/>
      <c r="HRR3" s="120"/>
      <c r="HRS3" s="120"/>
      <c r="HRT3" s="120"/>
      <c r="HRU3" s="120"/>
      <c r="HRV3" s="120"/>
      <c r="HRW3" s="120"/>
      <c r="HRX3" s="120"/>
      <c r="HRY3" s="120"/>
      <c r="HRZ3" s="120"/>
      <c r="HSA3" s="120"/>
      <c r="HSB3" s="120"/>
      <c r="HSC3" s="120"/>
      <c r="HSD3" s="120"/>
      <c r="HSE3" s="120"/>
      <c r="HSF3" s="120"/>
      <c r="HSG3" s="120"/>
      <c r="HSH3" s="120"/>
      <c r="HSI3" s="120"/>
      <c r="HSJ3" s="120"/>
      <c r="HSK3" s="120"/>
      <c r="HSL3" s="120"/>
      <c r="HSM3" s="120"/>
      <c r="HSN3" s="120"/>
      <c r="HSO3" s="120"/>
      <c r="HSP3" s="120"/>
      <c r="HSQ3" s="120"/>
      <c r="HSR3" s="120"/>
      <c r="HSS3" s="120"/>
      <c r="HST3" s="120"/>
      <c r="HSU3" s="120"/>
      <c r="HSV3" s="120"/>
      <c r="HSW3" s="120"/>
      <c r="HSX3" s="120"/>
      <c r="HSY3" s="120"/>
      <c r="HSZ3" s="120"/>
      <c r="HTA3" s="120"/>
      <c r="HTB3" s="120"/>
      <c r="HTC3" s="120"/>
      <c r="HTD3" s="120"/>
      <c r="HTE3" s="120"/>
      <c r="HTF3" s="120"/>
      <c r="HTG3" s="120"/>
      <c r="HTH3" s="120"/>
      <c r="HTI3" s="120"/>
      <c r="HTJ3" s="120"/>
      <c r="HTK3" s="120"/>
      <c r="HTL3" s="120"/>
      <c r="HTM3" s="120"/>
      <c r="HTN3" s="120"/>
      <c r="HTO3" s="120"/>
      <c r="HTP3" s="120"/>
      <c r="HTQ3" s="120"/>
      <c r="HTR3" s="120"/>
      <c r="HTS3" s="120"/>
      <c r="HTT3" s="120"/>
      <c r="HTU3" s="120"/>
      <c r="HTV3" s="120"/>
      <c r="HTW3" s="120"/>
      <c r="HTX3" s="120"/>
      <c r="HTY3" s="120"/>
      <c r="HTZ3" s="120"/>
      <c r="HUA3" s="120"/>
      <c r="HUB3" s="120"/>
      <c r="HUC3" s="120"/>
      <c r="HUD3" s="120"/>
      <c r="HUE3" s="120"/>
      <c r="HUF3" s="120"/>
      <c r="HUG3" s="120"/>
      <c r="HUH3" s="120"/>
      <c r="HUI3" s="120"/>
      <c r="HUJ3" s="120"/>
      <c r="HUK3" s="120"/>
      <c r="HUL3" s="120"/>
      <c r="HUM3" s="120"/>
      <c r="HUN3" s="120"/>
      <c r="HUO3" s="120"/>
      <c r="HUP3" s="120"/>
      <c r="HUQ3" s="120"/>
      <c r="HUR3" s="120"/>
      <c r="HUS3" s="120"/>
      <c r="HUT3" s="120"/>
      <c r="HUU3" s="120"/>
      <c r="HUV3" s="120"/>
      <c r="HUW3" s="120"/>
      <c r="HUX3" s="120"/>
      <c r="HUY3" s="120"/>
      <c r="HUZ3" s="120"/>
      <c r="HVA3" s="120"/>
      <c r="HVB3" s="120"/>
      <c r="HVC3" s="120"/>
      <c r="HVD3" s="120"/>
      <c r="HVE3" s="120"/>
      <c r="HVF3" s="120"/>
      <c r="HVG3" s="120"/>
      <c r="HVH3" s="120"/>
      <c r="HVI3" s="120"/>
      <c r="HVJ3" s="120"/>
      <c r="HVK3" s="120"/>
      <c r="HVL3" s="120"/>
      <c r="HVM3" s="120"/>
      <c r="HVN3" s="120"/>
      <c r="HVO3" s="120"/>
      <c r="HVP3" s="120"/>
      <c r="HVQ3" s="120"/>
      <c r="HVR3" s="120"/>
      <c r="HVS3" s="120"/>
      <c r="HVT3" s="120"/>
      <c r="HVU3" s="120"/>
      <c r="HVV3" s="120"/>
      <c r="HVW3" s="120"/>
      <c r="HVX3" s="120"/>
      <c r="HVY3" s="120"/>
      <c r="HVZ3" s="120"/>
      <c r="HWA3" s="120"/>
      <c r="HWB3" s="120"/>
      <c r="HWC3" s="120"/>
      <c r="HWD3" s="120"/>
      <c r="HWE3" s="120"/>
      <c r="HWF3" s="120"/>
      <c r="HWG3" s="120"/>
      <c r="HWH3" s="120"/>
      <c r="HWI3" s="120"/>
      <c r="HWJ3" s="120"/>
      <c r="HWK3" s="120"/>
      <c r="HWL3" s="120"/>
      <c r="HWM3" s="120"/>
      <c r="HWN3" s="120"/>
      <c r="HWO3" s="120"/>
      <c r="HWP3" s="120"/>
      <c r="HWQ3" s="120"/>
      <c r="HWR3" s="120"/>
      <c r="HWS3" s="120"/>
      <c r="HWT3" s="120"/>
      <c r="HWU3" s="120"/>
      <c r="HWV3" s="120"/>
      <c r="HWW3" s="120"/>
      <c r="HWX3" s="120"/>
      <c r="HWY3" s="120"/>
      <c r="HWZ3" s="120"/>
      <c r="HXA3" s="120"/>
      <c r="HXB3" s="120"/>
      <c r="HXC3" s="120"/>
      <c r="HXD3" s="120"/>
      <c r="HXE3" s="120"/>
      <c r="HXF3" s="120"/>
      <c r="HXG3" s="120"/>
      <c r="HXH3" s="120"/>
      <c r="HXI3" s="120"/>
      <c r="HXJ3" s="120"/>
      <c r="HXK3" s="120"/>
      <c r="HXL3" s="120"/>
      <c r="HXM3" s="120"/>
      <c r="HXN3" s="120"/>
      <c r="HXO3" s="120"/>
      <c r="HXP3" s="120"/>
      <c r="HXQ3" s="120"/>
      <c r="HXR3" s="120"/>
      <c r="HXS3" s="120"/>
      <c r="HXT3" s="120"/>
      <c r="HXU3" s="120"/>
      <c r="HXV3" s="120"/>
      <c r="HXW3" s="120"/>
      <c r="HXX3" s="120"/>
      <c r="HXY3" s="120"/>
      <c r="HXZ3" s="120"/>
      <c r="HYA3" s="120"/>
      <c r="HYB3" s="120"/>
      <c r="HYC3" s="120"/>
      <c r="HYD3" s="120"/>
      <c r="HYE3" s="120"/>
      <c r="HYF3" s="120"/>
      <c r="HYG3" s="120"/>
      <c r="HYH3" s="120"/>
      <c r="HYI3" s="120"/>
      <c r="HYJ3" s="120"/>
      <c r="HYK3" s="120"/>
      <c r="HYL3" s="120"/>
      <c r="HYM3" s="120"/>
      <c r="HYN3" s="120"/>
      <c r="HYO3" s="120"/>
      <c r="HYP3" s="120"/>
      <c r="HYQ3" s="120"/>
      <c r="HYR3" s="120"/>
      <c r="HYS3" s="120"/>
      <c r="HYT3" s="120"/>
      <c r="HYU3" s="120"/>
      <c r="HYV3" s="120"/>
      <c r="HYW3" s="120"/>
      <c r="HYX3" s="120"/>
      <c r="HYY3" s="120"/>
      <c r="HYZ3" s="120"/>
      <c r="HZA3" s="120"/>
      <c r="HZB3" s="120"/>
      <c r="HZC3" s="120"/>
      <c r="HZD3" s="120"/>
      <c r="HZE3" s="120"/>
      <c r="HZF3" s="120"/>
      <c r="HZG3" s="120"/>
      <c r="HZH3" s="120"/>
      <c r="HZI3" s="120"/>
      <c r="HZJ3" s="120"/>
      <c r="HZK3" s="120"/>
      <c r="HZL3" s="120"/>
      <c r="HZM3" s="120"/>
      <c r="HZN3" s="120"/>
      <c r="HZO3" s="120"/>
      <c r="HZP3" s="120"/>
      <c r="HZQ3" s="120"/>
      <c r="HZR3" s="120"/>
      <c r="HZS3" s="120"/>
      <c r="HZT3" s="120"/>
      <c r="HZU3" s="120"/>
      <c r="HZV3" s="120"/>
      <c r="HZW3" s="120"/>
      <c r="HZX3" s="120"/>
      <c r="HZY3" s="120"/>
      <c r="HZZ3" s="120"/>
      <c r="IAA3" s="120"/>
      <c r="IAB3" s="120"/>
      <c r="IAC3" s="120"/>
      <c r="IAD3" s="120"/>
      <c r="IAE3" s="120"/>
      <c r="IAF3" s="120"/>
      <c r="IAG3" s="120"/>
      <c r="IAH3" s="120"/>
      <c r="IAI3" s="120"/>
      <c r="IAJ3" s="120"/>
      <c r="IAK3" s="120"/>
      <c r="IAL3" s="120"/>
      <c r="IAM3" s="120"/>
      <c r="IAN3" s="120"/>
      <c r="IAO3" s="120"/>
      <c r="IAP3" s="120"/>
      <c r="IAQ3" s="120"/>
      <c r="IAR3" s="120"/>
      <c r="IAS3" s="120"/>
      <c r="IAT3" s="120"/>
      <c r="IAU3" s="120"/>
      <c r="IAV3" s="120"/>
      <c r="IAW3" s="120"/>
      <c r="IAX3" s="120"/>
      <c r="IAY3" s="120"/>
      <c r="IAZ3" s="120"/>
      <c r="IBA3" s="120"/>
      <c r="IBB3" s="120"/>
      <c r="IBC3" s="120"/>
      <c r="IBD3" s="120"/>
      <c r="IBE3" s="120"/>
      <c r="IBF3" s="120"/>
      <c r="IBG3" s="120"/>
      <c r="IBH3" s="120"/>
      <c r="IBI3" s="120"/>
      <c r="IBJ3" s="120"/>
      <c r="IBK3" s="120"/>
      <c r="IBL3" s="120"/>
      <c r="IBM3" s="120"/>
      <c r="IBN3" s="120"/>
      <c r="IBO3" s="120"/>
      <c r="IBP3" s="120"/>
      <c r="IBQ3" s="120"/>
      <c r="IBR3" s="120"/>
      <c r="IBS3" s="120"/>
      <c r="IBT3" s="120"/>
      <c r="IBU3" s="120"/>
      <c r="IBV3" s="120"/>
      <c r="IBW3" s="120"/>
      <c r="IBX3" s="120"/>
      <c r="IBY3" s="120"/>
      <c r="IBZ3" s="120"/>
      <c r="ICA3" s="120"/>
      <c r="ICB3" s="120"/>
      <c r="ICC3" s="120"/>
      <c r="ICD3" s="120"/>
      <c r="ICE3" s="120"/>
      <c r="ICF3" s="120"/>
      <c r="ICG3" s="120"/>
      <c r="ICH3" s="120"/>
      <c r="ICI3" s="120"/>
      <c r="ICJ3" s="120"/>
      <c r="ICK3" s="120"/>
      <c r="ICL3" s="120"/>
      <c r="ICM3" s="120"/>
      <c r="ICN3" s="120"/>
      <c r="ICO3" s="120"/>
      <c r="ICP3" s="120"/>
      <c r="ICQ3" s="120"/>
      <c r="ICR3" s="120"/>
      <c r="ICS3" s="120"/>
      <c r="ICT3" s="120"/>
      <c r="ICU3" s="120"/>
      <c r="ICV3" s="120"/>
      <c r="ICW3" s="120"/>
      <c r="ICX3" s="120"/>
      <c r="ICY3" s="120"/>
      <c r="ICZ3" s="120"/>
      <c r="IDA3" s="120"/>
      <c r="IDB3" s="120"/>
      <c r="IDC3" s="120"/>
      <c r="IDD3" s="120"/>
      <c r="IDE3" s="120"/>
      <c r="IDF3" s="120"/>
      <c r="IDG3" s="120"/>
      <c r="IDH3" s="120"/>
      <c r="IDI3" s="120"/>
      <c r="IDJ3" s="120"/>
      <c r="IDK3" s="120"/>
      <c r="IDL3" s="120"/>
      <c r="IDM3" s="120"/>
      <c r="IDN3" s="120"/>
      <c r="IDO3" s="120"/>
      <c r="IDP3" s="120"/>
      <c r="IDQ3" s="120"/>
      <c r="IDR3" s="120"/>
      <c r="IDS3" s="120"/>
      <c r="IDT3" s="120"/>
      <c r="IDU3" s="120"/>
      <c r="IDV3" s="120"/>
      <c r="IDW3" s="120"/>
      <c r="IDX3" s="120"/>
      <c r="IDY3" s="120"/>
      <c r="IDZ3" s="120"/>
      <c r="IEA3" s="120"/>
      <c r="IEB3" s="120"/>
      <c r="IEC3" s="120"/>
      <c r="IED3" s="120"/>
      <c r="IEE3" s="120"/>
      <c r="IEF3" s="120"/>
      <c r="IEG3" s="120"/>
      <c r="IEH3" s="120"/>
      <c r="IEI3" s="120"/>
      <c r="IEJ3" s="120"/>
      <c r="IEK3" s="120"/>
      <c r="IEL3" s="120"/>
      <c r="IEM3" s="120"/>
      <c r="IEN3" s="120"/>
      <c r="IEO3" s="120"/>
      <c r="IEP3" s="120"/>
      <c r="IEQ3" s="120"/>
      <c r="IER3" s="120"/>
      <c r="IES3" s="120"/>
      <c r="IET3" s="120"/>
      <c r="IEU3" s="120"/>
      <c r="IEV3" s="120"/>
      <c r="IEW3" s="120"/>
      <c r="IEX3" s="120"/>
      <c r="IEY3" s="120"/>
      <c r="IEZ3" s="120"/>
      <c r="IFA3" s="120"/>
      <c r="IFB3" s="120"/>
      <c r="IFC3" s="120"/>
      <c r="IFD3" s="120"/>
      <c r="IFE3" s="120"/>
      <c r="IFF3" s="120"/>
      <c r="IFG3" s="120"/>
      <c r="IFH3" s="120"/>
      <c r="IFI3" s="120"/>
      <c r="IFJ3" s="120"/>
      <c r="IFK3" s="120"/>
      <c r="IFL3" s="120"/>
      <c r="IFM3" s="120"/>
      <c r="IFN3" s="120"/>
      <c r="IFO3" s="120"/>
      <c r="IFP3" s="120"/>
      <c r="IFQ3" s="120"/>
      <c r="IFR3" s="120"/>
      <c r="IFS3" s="120"/>
      <c r="IFT3" s="120"/>
      <c r="IFU3" s="120"/>
      <c r="IFV3" s="120"/>
      <c r="IFW3" s="120"/>
      <c r="IFX3" s="120"/>
      <c r="IFY3" s="120"/>
      <c r="IFZ3" s="120"/>
      <c r="IGA3" s="120"/>
      <c r="IGB3" s="120"/>
      <c r="IGC3" s="120"/>
      <c r="IGD3" s="120"/>
      <c r="IGE3" s="120"/>
      <c r="IGF3" s="120"/>
      <c r="IGG3" s="120"/>
      <c r="IGH3" s="120"/>
      <c r="IGI3" s="120"/>
      <c r="IGJ3" s="120"/>
      <c r="IGK3" s="120"/>
      <c r="IGL3" s="120"/>
      <c r="IGM3" s="120"/>
      <c r="IGN3" s="120"/>
      <c r="IGO3" s="120"/>
      <c r="IGP3" s="120"/>
      <c r="IGQ3" s="120"/>
      <c r="IGR3" s="120"/>
      <c r="IGS3" s="120"/>
      <c r="IGT3" s="120"/>
      <c r="IGU3" s="120"/>
      <c r="IGV3" s="120"/>
      <c r="IGW3" s="120"/>
      <c r="IGX3" s="120"/>
      <c r="IGY3" s="120"/>
      <c r="IGZ3" s="120"/>
      <c r="IHA3" s="120"/>
      <c r="IHB3" s="120"/>
      <c r="IHC3" s="120"/>
      <c r="IHD3" s="120"/>
      <c r="IHE3" s="120"/>
      <c r="IHF3" s="120"/>
      <c r="IHG3" s="120"/>
      <c r="IHH3" s="120"/>
      <c r="IHI3" s="120"/>
      <c r="IHJ3" s="120"/>
      <c r="IHK3" s="120"/>
      <c r="IHL3" s="120"/>
      <c r="IHM3" s="120"/>
      <c r="IHN3" s="120"/>
      <c r="IHO3" s="120"/>
      <c r="IHP3" s="120"/>
      <c r="IHQ3" s="120"/>
      <c r="IHR3" s="120"/>
      <c r="IHS3" s="120"/>
      <c r="IHT3" s="120"/>
      <c r="IHU3" s="120"/>
      <c r="IHV3" s="120"/>
      <c r="IHW3" s="120"/>
      <c r="IHX3" s="120"/>
      <c r="IHY3" s="120"/>
      <c r="IHZ3" s="120"/>
      <c r="IIA3" s="120"/>
      <c r="IIB3" s="120"/>
      <c r="IIC3" s="120"/>
      <c r="IID3" s="120"/>
      <c r="IIE3" s="120"/>
      <c r="IIF3" s="120"/>
      <c r="IIG3" s="120"/>
      <c r="IIH3" s="120"/>
      <c r="III3" s="120"/>
      <c r="IIJ3" s="120"/>
      <c r="IIK3" s="120"/>
      <c r="IIL3" s="120"/>
      <c r="IIM3" s="120"/>
      <c r="IIN3" s="120"/>
      <c r="IIO3" s="120"/>
      <c r="IIP3" s="120"/>
      <c r="IIQ3" s="120"/>
      <c r="IIR3" s="120"/>
      <c r="IIS3" s="120"/>
      <c r="IIT3" s="120"/>
      <c r="IIU3" s="120"/>
      <c r="IIV3" s="120"/>
      <c r="IIW3" s="120"/>
      <c r="IIX3" s="120"/>
      <c r="IIY3" s="120"/>
      <c r="IIZ3" s="120"/>
      <c r="IJA3" s="120"/>
      <c r="IJB3" s="120"/>
      <c r="IJC3" s="120"/>
      <c r="IJD3" s="120"/>
      <c r="IJE3" s="120"/>
      <c r="IJF3" s="120"/>
      <c r="IJG3" s="120"/>
      <c r="IJH3" s="120"/>
      <c r="IJI3" s="120"/>
      <c r="IJJ3" s="120"/>
      <c r="IJK3" s="120"/>
      <c r="IJL3" s="120"/>
      <c r="IJM3" s="120"/>
      <c r="IJN3" s="120"/>
      <c r="IJO3" s="120"/>
      <c r="IJP3" s="120"/>
      <c r="IJQ3" s="120"/>
      <c r="IJR3" s="120"/>
      <c r="IJS3" s="120"/>
      <c r="IJT3" s="120"/>
      <c r="IJU3" s="120"/>
      <c r="IJV3" s="120"/>
      <c r="IJW3" s="120"/>
      <c r="IJX3" s="120"/>
      <c r="IJY3" s="120"/>
      <c r="IJZ3" s="120"/>
      <c r="IKA3" s="120"/>
      <c r="IKB3" s="120"/>
      <c r="IKC3" s="120"/>
      <c r="IKD3" s="120"/>
      <c r="IKE3" s="120"/>
      <c r="IKF3" s="120"/>
      <c r="IKG3" s="120"/>
      <c r="IKH3" s="120"/>
      <c r="IKI3" s="120"/>
      <c r="IKJ3" s="120"/>
      <c r="IKK3" s="120"/>
      <c r="IKL3" s="120"/>
      <c r="IKM3" s="120"/>
      <c r="IKN3" s="120"/>
      <c r="IKO3" s="120"/>
      <c r="IKP3" s="120"/>
      <c r="IKQ3" s="120"/>
      <c r="IKR3" s="120"/>
      <c r="IKS3" s="120"/>
      <c r="IKT3" s="120"/>
      <c r="IKU3" s="120"/>
      <c r="IKV3" s="120"/>
      <c r="IKW3" s="120"/>
      <c r="IKX3" s="120"/>
      <c r="IKY3" s="120"/>
      <c r="IKZ3" s="120"/>
      <c r="ILA3" s="120"/>
      <c r="ILB3" s="120"/>
      <c r="ILC3" s="120"/>
      <c r="ILD3" s="120"/>
      <c r="ILE3" s="120"/>
      <c r="ILF3" s="120"/>
      <c r="ILG3" s="120"/>
      <c r="ILH3" s="120"/>
      <c r="ILI3" s="120"/>
      <c r="ILJ3" s="120"/>
      <c r="ILK3" s="120"/>
      <c r="ILL3" s="120"/>
      <c r="ILM3" s="120"/>
      <c r="ILN3" s="120"/>
      <c r="ILO3" s="120"/>
      <c r="ILP3" s="120"/>
      <c r="ILQ3" s="120"/>
      <c r="ILR3" s="120"/>
      <c r="ILS3" s="120"/>
      <c r="ILT3" s="120"/>
      <c r="ILU3" s="120"/>
      <c r="ILV3" s="120"/>
      <c r="ILW3" s="120"/>
      <c r="ILX3" s="120"/>
      <c r="ILY3" s="120"/>
      <c r="ILZ3" s="120"/>
      <c r="IMA3" s="120"/>
      <c r="IMB3" s="120"/>
      <c r="IMC3" s="120"/>
      <c r="IMD3" s="120"/>
      <c r="IME3" s="120"/>
      <c r="IMF3" s="120"/>
      <c r="IMG3" s="120"/>
      <c r="IMH3" s="120"/>
      <c r="IMI3" s="120"/>
      <c r="IMJ3" s="120"/>
      <c r="IMK3" s="120"/>
      <c r="IML3" s="120"/>
      <c r="IMM3" s="120"/>
      <c r="IMN3" s="120"/>
      <c r="IMO3" s="120"/>
      <c r="IMP3" s="120"/>
      <c r="IMQ3" s="120"/>
      <c r="IMR3" s="120"/>
      <c r="IMS3" s="120"/>
      <c r="IMT3" s="120"/>
      <c r="IMU3" s="120"/>
      <c r="IMV3" s="120"/>
      <c r="IMW3" s="120"/>
      <c r="IMX3" s="120"/>
      <c r="IMY3" s="120"/>
      <c r="IMZ3" s="120"/>
      <c r="INA3" s="120"/>
      <c r="INB3" s="120"/>
      <c r="INC3" s="120"/>
      <c r="IND3" s="120"/>
      <c r="INE3" s="120"/>
      <c r="INF3" s="120"/>
      <c r="ING3" s="120"/>
      <c r="INH3" s="120"/>
      <c r="INI3" s="120"/>
      <c r="INJ3" s="120"/>
      <c r="INK3" s="120"/>
      <c r="INL3" s="120"/>
      <c r="INM3" s="120"/>
      <c r="INN3" s="120"/>
      <c r="INO3" s="120"/>
      <c r="INP3" s="120"/>
      <c r="INQ3" s="120"/>
      <c r="INR3" s="120"/>
      <c r="INS3" s="120"/>
      <c r="INT3" s="120"/>
      <c r="INU3" s="120"/>
      <c r="INV3" s="120"/>
      <c r="INW3" s="120"/>
      <c r="INX3" s="120"/>
      <c r="INY3" s="120"/>
      <c r="INZ3" s="120"/>
      <c r="IOA3" s="120"/>
      <c r="IOB3" s="120"/>
      <c r="IOC3" s="120"/>
      <c r="IOD3" s="120"/>
      <c r="IOE3" s="120"/>
      <c r="IOF3" s="120"/>
      <c r="IOG3" s="120"/>
      <c r="IOH3" s="120"/>
      <c r="IOI3" s="120"/>
      <c r="IOJ3" s="120"/>
      <c r="IOK3" s="120"/>
      <c r="IOL3" s="120"/>
      <c r="IOM3" s="120"/>
      <c r="ION3" s="120"/>
      <c r="IOO3" s="120"/>
      <c r="IOP3" s="120"/>
      <c r="IOQ3" s="120"/>
      <c r="IOR3" s="120"/>
      <c r="IOS3" s="120"/>
      <c r="IOT3" s="120"/>
      <c r="IOU3" s="120"/>
      <c r="IOV3" s="120"/>
      <c r="IOW3" s="120"/>
      <c r="IOX3" s="120"/>
      <c r="IOY3" s="120"/>
      <c r="IOZ3" s="120"/>
      <c r="IPA3" s="120"/>
      <c r="IPB3" s="120"/>
      <c r="IPC3" s="120"/>
      <c r="IPD3" s="120"/>
      <c r="IPE3" s="120"/>
      <c r="IPF3" s="120"/>
      <c r="IPG3" s="120"/>
      <c r="IPH3" s="120"/>
      <c r="IPI3" s="120"/>
      <c r="IPJ3" s="120"/>
      <c r="IPK3" s="120"/>
      <c r="IPL3" s="120"/>
      <c r="IPM3" s="120"/>
      <c r="IPN3" s="120"/>
      <c r="IPO3" s="120"/>
      <c r="IPP3" s="120"/>
      <c r="IPQ3" s="120"/>
      <c r="IPR3" s="120"/>
      <c r="IPS3" s="120"/>
      <c r="IPT3" s="120"/>
      <c r="IPU3" s="120"/>
      <c r="IPV3" s="120"/>
      <c r="IPW3" s="120"/>
      <c r="IPX3" s="120"/>
      <c r="IPY3" s="120"/>
      <c r="IPZ3" s="120"/>
      <c r="IQA3" s="120"/>
      <c r="IQB3" s="120"/>
      <c r="IQC3" s="120"/>
      <c r="IQD3" s="120"/>
      <c r="IQE3" s="120"/>
      <c r="IQF3" s="120"/>
      <c r="IQG3" s="120"/>
      <c r="IQH3" s="120"/>
      <c r="IQI3" s="120"/>
      <c r="IQJ3" s="120"/>
      <c r="IQK3" s="120"/>
      <c r="IQL3" s="120"/>
      <c r="IQM3" s="120"/>
      <c r="IQN3" s="120"/>
      <c r="IQO3" s="120"/>
      <c r="IQP3" s="120"/>
      <c r="IQQ3" s="120"/>
      <c r="IQR3" s="120"/>
      <c r="IQS3" s="120"/>
      <c r="IQT3" s="120"/>
      <c r="IQU3" s="120"/>
      <c r="IQV3" s="120"/>
      <c r="IQW3" s="120"/>
      <c r="IQX3" s="120"/>
      <c r="IQY3" s="120"/>
      <c r="IQZ3" s="120"/>
      <c r="IRA3" s="120"/>
      <c r="IRB3" s="120"/>
      <c r="IRC3" s="120"/>
      <c r="IRD3" s="120"/>
      <c r="IRE3" s="120"/>
      <c r="IRF3" s="120"/>
      <c r="IRG3" s="120"/>
      <c r="IRH3" s="120"/>
      <c r="IRI3" s="120"/>
      <c r="IRJ3" s="120"/>
      <c r="IRK3" s="120"/>
      <c r="IRL3" s="120"/>
      <c r="IRM3" s="120"/>
      <c r="IRN3" s="120"/>
      <c r="IRO3" s="120"/>
      <c r="IRP3" s="120"/>
      <c r="IRQ3" s="120"/>
      <c r="IRR3" s="120"/>
      <c r="IRS3" s="120"/>
      <c r="IRT3" s="120"/>
      <c r="IRU3" s="120"/>
      <c r="IRV3" s="120"/>
      <c r="IRW3" s="120"/>
      <c r="IRX3" s="120"/>
      <c r="IRY3" s="120"/>
      <c r="IRZ3" s="120"/>
      <c r="ISA3" s="120"/>
      <c r="ISB3" s="120"/>
      <c r="ISC3" s="120"/>
      <c r="ISD3" s="120"/>
      <c r="ISE3" s="120"/>
      <c r="ISF3" s="120"/>
      <c r="ISG3" s="120"/>
      <c r="ISH3" s="120"/>
      <c r="ISI3" s="120"/>
      <c r="ISJ3" s="120"/>
      <c r="ISK3" s="120"/>
      <c r="ISL3" s="120"/>
      <c r="ISM3" s="120"/>
      <c r="ISN3" s="120"/>
      <c r="ISO3" s="120"/>
      <c r="ISP3" s="120"/>
      <c r="ISQ3" s="120"/>
      <c r="ISR3" s="120"/>
      <c r="ISS3" s="120"/>
      <c r="IST3" s="120"/>
      <c r="ISU3" s="120"/>
      <c r="ISV3" s="120"/>
      <c r="ISW3" s="120"/>
      <c r="ISX3" s="120"/>
      <c r="ISY3" s="120"/>
      <c r="ISZ3" s="120"/>
      <c r="ITA3" s="120"/>
      <c r="ITB3" s="120"/>
      <c r="ITC3" s="120"/>
      <c r="ITD3" s="120"/>
      <c r="ITE3" s="120"/>
      <c r="ITF3" s="120"/>
      <c r="ITG3" s="120"/>
      <c r="ITH3" s="120"/>
      <c r="ITI3" s="120"/>
      <c r="ITJ3" s="120"/>
      <c r="ITK3" s="120"/>
      <c r="ITL3" s="120"/>
      <c r="ITM3" s="120"/>
      <c r="ITN3" s="120"/>
      <c r="ITO3" s="120"/>
      <c r="ITP3" s="120"/>
      <c r="ITQ3" s="120"/>
      <c r="ITR3" s="120"/>
      <c r="ITS3" s="120"/>
      <c r="ITT3" s="120"/>
      <c r="ITU3" s="120"/>
      <c r="ITV3" s="120"/>
      <c r="ITW3" s="120"/>
      <c r="ITX3" s="120"/>
      <c r="ITY3" s="120"/>
      <c r="ITZ3" s="120"/>
      <c r="IUA3" s="120"/>
      <c r="IUB3" s="120"/>
      <c r="IUC3" s="120"/>
      <c r="IUD3" s="120"/>
      <c r="IUE3" s="120"/>
      <c r="IUF3" s="120"/>
      <c r="IUG3" s="120"/>
      <c r="IUH3" s="120"/>
      <c r="IUI3" s="120"/>
      <c r="IUJ3" s="120"/>
      <c r="IUK3" s="120"/>
      <c r="IUL3" s="120"/>
      <c r="IUM3" s="120"/>
      <c r="IUN3" s="120"/>
      <c r="IUO3" s="120"/>
      <c r="IUP3" s="120"/>
      <c r="IUQ3" s="120"/>
      <c r="IUR3" s="120"/>
      <c r="IUS3" s="120"/>
      <c r="IUT3" s="120"/>
      <c r="IUU3" s="120"/>
      <c r="IUV3" s="120"/>
      <c r="IUW3" s="120"/>
      <c r="IUX3" s="120"/>
      <c r="IUY3" s="120"/>
      <c r="IUZ3" s="120"/>
      <c r="IVA3" s="120"/>
      <c r="IVB3" s="120"/>
      <c r="IVC3" s="120"/>
      <c r="IVD3" s="120"/>
      <c r="IVE3" s="120"/>
      <c r="IVF3" s="120"/>
      <c r="IVG3" s="120"/>
      <c r="IVH3" s="120"/>
      <c r="IVI3" s="120"/>
      <c r="IVJ3" s="120"/>
      <c r="IVK3" s="120"/>
      <c r="IVL3" s="120"/>
      <c r="IVM3" s="120"/>
      <c r="IVN3" s="120"/>
      <c r="IVO3" s="120"/>
      <c r="IVP3" s="120"/>
      <c r="IVQ3" s="120"/>
      <c r="IVR3" s="120"/>
      <c r="IVS3" s="120"/>
      <c r="IVT3" s="120"/>
      <c r="IVU3" s="120"/>
      <c r="IVV3" s="120"/>
      <c r="IVW3" s="120"/>
      <c r="IVX3" s="120"/>
      <c r="IVY3" s="120"/>
      <c r="IVZ3" s="120"/>
      <c r="IWA3" s="120"/>
      <c r="IWB3" s="120"/>
      <c r="IWC3" s="120"/>
      <c r="IWD3" s="120"/>
      <c r="IWE3" s="120"/>
      <c r="IWF3" s="120"/>
      <c r="IWG3" s="120"/>
      <c r="IWH3" s="120"/>
      <c r="IWI3" s="120"/>
      <c r="IWJ3" s="120"/>
      <c r="IWK3" s="120"/>
      <c r="IWL3" s="120"/>
      <c r="IWM3" s="120"/>
      <c r="IWN3" s="120"/>
      <c r="IWO3" s="120"/>
      <c r="IWP3" s="120"/>
      <c r="IWQ3" s="120"/>
      <c r="IWR3" s="120"/>
      <c r="IWS3" s="120"/>
      <c r="IWT3" s="120"/>
      <c r="IWU3" s="120"/>
      <c r="IWV3" s="120"/>
      <c r="IWW3" s="120"/>
      <c r="IWX3" s="120"/>
      <c r="IWY3" s="120"/>
      <c r="IWZ3" s="120"/>
      <c r="IXA3" s="120"/>
      <c r="IXB3" s="120"/>
      <c r="IXC3" s="120"/>
      <c r="IXD3" s="120"/>
      <c r="IXE3" s="120"/>
      <c r="IXF3" s="120"/>
      <c r="IXG3" s="120"/>
      <c r="IXH3" s="120"/>
      <c r="IXI3" s="120"/>
      <c r="IXJ3" s="120"/>
      <c r="IXK3" s="120"/>
      <c r="IXL3" s="120"/>
      <c r="IXM3" s="120"/>
      <c r="IXN3" s="120"/>
      <c r="IXO3" s="120"/>
      <c r="IXP3" s="120"/>
      <c r="IXQ3" s="120"/>
      <c r="IXR3" s="120"/>
      <c r="IXS3" s="120"/>
      <c r="IXT3" s="120"/>
      <c r="IXU3" s="120"/>
      <c r="IXV3" s="120"/>
      <c r="IXW3" s="120"/>
      <c r="IXX3" s="120"/>
      <c r="IXY3" s="120"/>
      <c r="IXZ3" s="120"/>
      <c r="IYA3" s="120"/>
      <c r="IYB3" s="120"/>
      <c r="IYC3" s="120"/>
      <c r="IYD3" s="120"/>
      <c r="IYE3" s="120"/>
      <c r="IYF3" s="120"/>
      <c r="IYG3" s="120"/>
      <c r="IYH3" s="120"/>
      <c r="IYI3" s="120"/>
      <c r="IYJ3" s="120"/>
      <c r="IYK3" s="120"/>
      <c r="IYL3" s="120"/>
      <c r="IYM3" s="120"/>
      <c r="IYN3" s="120"/>
      <c r="IYO3" s="120"/>
      <c r="IYP3" s="120"/>
      <c r="IYQ3" s="120"/>
      <c r="IYR3" s="120"/>
      <c r="IYS3" s="120"/>
      <c r="IYT3" s="120"/>
      <c r="IYU3" s="120"/>
      <c r="IYV3" s="120"/>
      <c r="IYW3" s="120"/>
      <c r="IYX3" s="120"/>
      <c r="IYY3" s="120"/>
      <c r="IYZ3" s="120"/>
      <c r="IZA3" s="120"/>
      <c r="IZB3" s="120"/>
      <c r="IZC3" s="120"/>
      <c r="IZD3" s="120"/>
      <c r="IZE3" s="120"/>
      <c r="IZF3" s="120"/>
      <c r="IZG3" s="120"/>
      <c r="IZH3" s="120"/>
      <c r="IZI3" s="120"/>
      <c r="IZJ3" s="120"/>
      <c r="IZK3" s="120"/>
      <c r="IZL3" s="120"/>
      <c r="IZM3" s="120"/>
      <c r="IZN3" s="120"/>
      <c r="IZO3" s="120"/>
      <c r="IZP3" s="120"/>
      <c r="IZQ3" s="120"/>
      <c r="IZR3" s="120"/>
      <c r="IZS3" s="120"/>
      <c r="IZT3" s="120"/>
      <c r="IZU3" s="120"/>
      <c r="IZV3" s="120"/>
      <c r="IZW3" s="120"/>
      <c r="IZX3" s="120"/>
      <c r="IZY3" s="120"/>
      <c r="IZZ3" s="120"/>
      <c r="JAA3" s="120"/>
      <c r="JAB3" s="120"/>
      <c r="JAC3" s="120"/>
      <c r="JAD3" s="120"/>
      <c r="JAE3" s="120"/>
      <c r="JAF3" s="120"/>
      <c r="JAG3" s="120"/>
      <c r="JAH3" s="120"/>
      <c r="JAI3" s="120"/>
      <c r="JAJ3" s="120"/>
      <c r="JAK3" s="120"/>
      <c r="JAL3" s="120"/>
      <c r="JAM3" s="120"/>
      <c r="JAN3" s="120"/>
      <c r="JAO3" s="120"/>
      <c r="JAP3" s="120"/>
      <c r="JAQ3" s="120"/>
      <c r="JAR3" s="120"/>
      <c r="JAS3" s="120"/>
      <c r="JAT3" s="120"/>
      <c r="JAU3" s="120"/>
      <c r="JAV3" s="120"/>
      <c r="JAW3" s="120"/>
      <c r="JAX3" s="120"/>
      <c r="JAY3" s="120"/>
      <c r="JAZ3" s="120"/>
      <c r="JBA3" s="120"/>
      <c r="JBB3" s="120"/>
      <c r="JBC3" s="120"/>
      <c r="JBD3" s="120"/>
      <c r="JBE3" s="120"/>
      <c r="JBF3" s="120"/>
      <c r="JBG3" s="120"/>
      <c r="JBH3" s="120"/>
      <c r="JBI3" s="120"/>
      <c r="JBJ3" s="120"/>
      <c r="JBK3" s="120"/>
      <c r="JBL3" s="120"/>
      <c r="JBM3" s="120"/>
      <c r="JBN3" s="120"/>
      <c r="JBO3" s="120"/>
      <c r="JBP3" s="120"/>
      <c r="JBQ3" s="120"/>
      <c r="JBR3" s="120"/>
      <c r="JBS3" s="120"/>
      <c r="JBT3" s="120"/>
      <c r="JBU3" s="120"/>
      <c r="JBV3" s="120"/>
      <c r="JBW3" s="120"/>
      <c r="JBX3" s="120"/>
      <c r="JBY3" s="120"/>
      <c r="JBZ3" s="120"/>
      <c r="JCA3" s="120"/>
      <c r="JCB3" s="120"/>
      <c r="JCC3" s="120"/>
      <c r="JCD3" s="120"/>
      <c r="JCE3" s="120"/>
      <c r="JCF3" s="120"/>
      <c r="JCG3" s="120"/>
      <c r="JCH3" s="120"/>
      <c r="JCI3" s="120"/>
      <c r="JCJ3" s="120"/>
      <c r="JCK3" s="120"/>
      <c r="JCL3" s="120"/>
      <c r="JCM3" s="120"/>
      <c r="JCN3" s="120"/>
      <c r="JCO3" s="120"/>
      <c r="JCP3" s="120"/>
      <c r="JCQ3" s="120"/>
      <c r="JCR3" s="120"/>
      <c r="JCS3" s="120"/>
      <c r="JCT3" s="120"/>
      <c r="JCU3" s="120"/>
      <c r="JCV3" s="120"/>
      <c r="JCW3" s="120"/>
      <c r="JCX3" s="120"/>
      <c r="JCY3" s="120"/>
      <c r="JCZ3" s="120"/>
      <c r="JDA3" s="120"/>
      <c r="JDB3" s="120"/>
      <c r="JDC3" s="120"/>
      <c r="JDD3" s="120"/>
      <c r="JDE3" s="120"/>
      <c r="JDF3" s="120"/>
      <c r="JDG3" s="120"/>
      <c r="JDH3" s="120"/>
      <c r="JDI3" s="120"/>
      <c r="JDJ3" s="120"/>
      <c r="JDK3" s="120"/>
      <c r="JDL3" s="120"/>
      <c r="JDM3" s="120"/>
      <c r="JDN3" s="120"/>
      <c r="JDO3" s="120"/>
      <c r="JDP3" s="120"/>
      <c r="JDQ3" s="120"/>
      <c r="JDR3" s="120"/>
      <c r="JDS3" s="120"/>
      <c r="JDT3" s="120"/>
      <c r="JDU3" s="120"/>
      <c r="JDV3" s="120"/>
      <c r="JDW3" s="120"/>
      <c r="JDX3" s="120"/>
      <c r="JDY3" s="120"/>
      <c r="JDZ3" s="120"/>
      <c r="JEA3" s="120"/>
      <c r="JEB3" s="120"/>
      <c r="JEC3" s="120"/>
      <c r="JED3" s="120"/>
      <c r="JEE3" s="120"/>
      <c r="JEF3" s="120"/>
      <c r="JEG3" s="120"/>
      <c r="JEH3" s="120"/>
      <c r="JEI3" s="120"/>
      <c r="JEJ3" s="120"/>
      <c r="JEK3" s="120"/>
      <c r="JEL3" s="120"/>
      <c r="JEM3" s="120"/>
      <c r="JEN3" s="120"/>
      <c r="JEO3" s="120"/>
      <c r="JEP3" s="120"/>
      <c r="JEQ3" s="120"/>
      <c r="JER3" s="120"/>
      <c r="JES3" s="120"/>
      <c r="JET3" s="120"/>
      <c r="JEU3" s="120"/>
      <c r="JEV3" s="120"/>
      <c r="JEW3" s="120"/>
      <c r="JEX3" s="120"/>
      <c r="JEY3" s="120"/>
      <c r="JEZ3" s="120"/>
      <c r="JFA3" s="120"/>
      <c r="JFB3" s="120"/>
      <c r="JFC3" s="120"/>
      <c r="JFD3" s="120"/>
      <c r="JFE3" s="120"/>
      <c r="JFF3" s="120"/>
      <c r="JFG3" s="120"/>
      <c r="JFH3" s="120"/>
      <c r="JFI3" s="120"/>
      <c r="JFJ3" s="120"/>
      <c r="JFK3" s="120"/>
      <c r="JFL3" s="120"/>
      <c r="JFM3" s="120"/>
      <c r="JFN3" s="120"/>
      <c r="JFO3" s="120"/>
      <c r="JFP3" s="120"/>
      <c r="JFQ3" s="120"/>
      <c r="JFR3" s="120"/>
      <c r="JFS3" s="120"/>
      <c r="JFT3" s="120"/>
      <c r="JFU3" s="120"/>
      <c r="JFV3" s="120"/>
      <c r="JFW3" s="120"/>
      <c r="JFX3" s="120"/>
      <c r="JFY3" s="120"/>
      <c r="JFZ3" s="120"/>
      <c r="JGA3" s="120"/>
      <c r="JGB3" s="120"/>
      <c r="JGC3" s="120"/>
      <c r="JGD3" s="120"/>
      <c r="JGE3" s="120"/>
      <c r="JGF3" s="120"/>
      <c r="JGG3" s="120"/>
      <c r="JGH3" s="120"/>
      <c r="JGI3" s="120"/>
      <c r="JGJ3" s="120"/>
      <c r="JGK3" s="120"/>
      <c r="JGL3" s="120"/>
      <c r="JGM3" s="120"/>
      <c r="JGN3" s="120"/>
      <c r="JGO3" s="120"/>
      <c r="JGP3" s="120"/>
      <c r="JGQ3" s="120"/>
      <c r="JGR3" s="120"/>
      <c r="JGS3" s="120"/>
      <c r="JGT3" s="120"/>
      <c r="JGU3" s="120"/>
      <c r="JGV3" s="120"/>
      <c r="JGW3" s="120"/>
      <c r="JGX3" s="120"/>
      <c r="JGY3" s="120"/>
      <c r="JGZ3" s="120"/>
      <c r="JHA3" s="120"/>
      <c r="JHB3" s="120"/>
      <c r="JHC3" s="120"/>
      <c r="JHD3" s="120"/>
      <c r="JHE3" s="120"/>
      <c r="JHF3" s="120"/>
      <c r="JHG3" s="120"/>
      <c r="JHH3" s="120"/>
      <c r="JHI3" s="120"/>
      <c r="JHJ3" s="120"/>
      <c r="JHK3" s="120"/>
      <c r="JHL3" s="120"/>
      <c r="JHM3" s="120"/>
      <c r="JHN3" s="120"/>
      <c r="JHO3" s="120"/>
      <c r="JHP3" s="120"/>
      <c r="JHQ3" s="120"/>
      <c r="JHR3" s="120"/>
      <c r="JHS3" s="120"/>
      <c r="JHT3" s="120"/>
      <c r="JHU3" s="120"/>
      <c r="JHV3" s="120"/>
      <c r="JHW3" s="120"/>
      <c r="JHX3" s="120"/>
      <c r="JHY3" s="120"/>
      <c r="JHZ3" s="120"/>
      <c r="JIA3" s="120"/>
      <c r="JIB3" s="120"/>
      <c r="JIC3" s="120"/>
      <c r="JID3" s="120"/>
      <c r="JIE3" s="120"/>
      <c r="JIF3" s="120"/>
      <c r="JIG3" s="120"/>
      <c r="JIH3" s="120"/>
      <c r="JII3" s="120"/>
      <c r="JIJ3" s="120"/>
      <c r="JIK3" s="120"/>
      <c r="JIL3" s="120"/>
      <c r="JIM3" s="120"/>
      <c r="JIN3" s="120"/>
      <c r="JIO3" s="120"/>
      <c r="JIP3" s="120"/>
      <c r="JIQ3" s="120"/>
      <c r="JIR3" s="120"/>
      <c r="JIS3" s="120"/>
      <c r="JIT3" s="120"/>
      <c r="JIU3" s="120"/>
      <c r="JIV3" s="120"/>
      <c r="JIW3" s="120"/>
      <c r="JIX3" s="120"/>
      <c r="JIY3" s="120"/>
      <c r="JIZ3" s="120"/>
      <c r="JJA3" s="120"/>
      <c r="JJB3" s="120"/>
      <c r="JJC3" s="120"/>
      <c r="JJD3" s="120"/>
      <c r="JJE3" s="120"/>
      <c r="JJF3" s="120"/>
      <c r="JJG3" s="120"/>
      <c r="JJH3" s="120"/>
      <c r="JJI3" s="120"/>
      <c r="JJJ3" s="120"/>
      <c r="JJK3" s="120"/>
      <c r="JJL3" s="120"/>
      <c r="JJM3" s="120"/>
      <c r="JJN3" s="120"/>
      <c r="JJO3" s="120"/>
      <c r="JJP3" s="120"/>
      <c r="JJQ3" s="120"/>
      <c r="JJR3" s="120"/>
      <c r="JJS3" s="120"/>
      <c r="JJT3" s="120"/>
      <c r="JJU3" s="120"/>
      <c r="JJV3" s="120"/>
      <c r="JJW3" s="120"/>
      <c r="JJX3" s="120"/>
      <c r="JJY3" s="120"/>
      <c r="JJZ3" s="120"/>
      <c r="JKA3" s="120"/>
      <c r="JKB3" s="120"/>
      <c r="JKC3" s="120"/>
      <c r="JKD3" s="120"/>
      <c r="JKE3" s="120"/>
      <c r="JKF3" s="120"/>
      <c r="JKG3" s="120"/>
      <c r="JKH3" s="120"/>
      <c r="JKI3" s="120"/>
      <c r="JKJ3" s="120"/>
      <c r="JKK3" s="120"/>
      <c r="JKL3" s="120"/>
      <c r="JKM3" s="120"/>
      <c r="JKN3" s="120"/>
      <c r="JKO3" s="120"/>
      <c r="JKP3" s="120"/>
      <c r="JKQ3" s="120"/>
      <c r="JKR3" s="120"/>
      <c r="JKS3" s="120"/>
      <c r="JKT3" s="120"/>
      <c r="JKU3" s="120"/>
      <c r="JKV3" s="120"/>
      <c r="JKW3" s="120"/>
      <c r="JKX3" s="120"/>
      <c r="JKY3" s="120"/>
      <c r="JKZ3" s="120"/>
      <c r="JLA3" s="120"/>
      <c r="JLB3" s="120"/>
      <c r="JLC3" s="120"/>
      <c r="JLD3" s="120"/>
      <c r="JLE3" s="120"/>
      <c r="JLF3" s="120"/>
      <c r="JLG3" s="120"/>
      <c r="JLH3" s="120"/>
      <c r="JLI3" s="120"/>
      <c r="JLJ3" s="120"/>
      <c r="JLK3" s="120"/>
      <c r="JLL3" s="120"/>
      <c r="JLM3" s="120"/>
      <c r="JLN3" s="120"/>
      <c r="JLO3" s="120"/>
      <c r="JLP3" s="120"/>
      <c r="JLQ3" s="120"/>
      <c r="JLR3" s="120"/>
      <c r="JLS3" s="120"/>
      <c r="JLT3" s="120"/>
      <c r="JLU3" s="120"/>
      <c r="JLV3" s="120"/>
      <c r="JLW3" s="120"/>
      <c r="JLX3" s="120"/>
      <c r="JLY3" s="120"/>
      <c r="JLZ3" s="120"/>
      <c r="JMA3" s="120"/>
      <c r="JMB3" s="120"/>
      <c r="JMC3" s="120"/>
      <c r="JMD3" s="120"/>
      <c r="JME3" s="120"/>
      <c r="JMF3" s="120"/>
      <c r="JMG3" s="120"/>
      <c r="JMH3" s="120"/>
      <c r="JMI3" s="120"/>
      <c r="JMJ3" s="120"/>
      <c r="JMK3" s="120"/>
      <c r="JML3" s="120"/>
      <c r="JMM3" s="120"/>
      <c r="JMN3" s="120"/>
      <c r="JMO3" s="120"/>
      <c r="JMP3" s="120"/>
      <c r="JMQ3" s="120"/>
      <c r="JMR3" s="120"/>
      <c r="JMS3" s="120"/>
      <c r="JMT3" s="120"/>
      <c r="JMU3" s="120"/>
      <c r="JMV3" s="120"/>
      <c r="JMW3" s="120"/>
      <c r="JMX3" s="120"/>
      <c r="JMY3" s="120"/>
      <c r="JMZ3" s="120"/>
      <c r="JNA3" s="120"/>
      <c r="JNB3" s="120"/>
      <c r="JNC3" s="120"/>
      <c r="JND3" s="120"/>
      <c r="JNE3" s="120"/>
      <c r="JNF3" s="120"/>
      <c r="JNG3" s="120"/>
      <c r="JNH3" s="120"/>
      <c r="JNI3" s="120"/>
      <c r="JNJ3" s="120"/>
      <c r="JNK3" s="120"/>
      <c r="JNL3" s="120"/>
      <c r="JNM3" s="120"/>
      <c r="JNN3" s="120"/>
      <c r="JNO3" s="120"/>
      <c r="JNP3" s="120"/>
      <c r="JNQ3" s="120"/>
      <c r="JNR3" s="120"/>
      <c r="JNS3" s="120"/>
      <c r="JNT3" s="120"/>
      <c r="JNU3" s="120"/>
      <c r="JNV3" s="120"/>
      <c r="JNW3" s="120"/>
      <c r="JNX3" s="120"/>
      <c r="JNY3" s="120"/>
      <c r="JNZ3" s="120"/>
      <c r="JOA3" s="120"/>
      <c r="JOB3" s="120"/>
      <c r="JOC3" s="120"/>
      <c r="JOD3" s="120"/>
      <c r="JOE3" s="120"/>
      <c r="JOF3" s="120"/>
      <c r="JOG3" s="120"/>
      <c r="JOH3" s="120"/>
      <c r="JOI3" s="120"/>
      <c r="JOJ3" s="120"/>
      <c r="JOK3" s="120"/>
      <c r="JOL3" s="120"/>
      <c r="JOM3" s="120"/>
      <c r="JON3" s="120"/>
      <c r="JOO3" s="120"/>
      <c r="JOP3" s="120"/>
      <c r="JOQ3" s="120"/>
      <c r="JOR3" s="120"/>
      <c r="JOS3" s="120"/>
      <c r="JOT3" s="120"/>
      <c r="JOU3" s="120"/>
      <c r="JOV3" s="120"/>
      <c r="JOW3" s="120"/>
      <c r="JOX3" s="120"/>
      <c r="JOY3" s="120"/>
      <c r="JOZ3" s="120"/>
      <c r="JPA3" s="120"/>
      <c r="JPB3" s="120"/>
      <c r="JPC3" s="120"/>
      <c r="JPD3" s="120"/>
      <c r="JPE3" s="120"/>
      <c r="JPF3" s="120"/>
      <c r="JPG3" s="120"/>
      <c r="JPH3" s="120"/>
      <c r="JPI3" s="120"/>
      <c r="JPJ3" s="120"/>
      <c r="JPK3" s="120"/>
      <c r="JPL3" s="120"/>
      <c r="JPM3" s="120"/>
      <c r="JPN3" s="120"/>
      <c r="JPO3" s="120"/>
      <c r="JPP3" s="120"/>
      <c r="JPQ3" s="120"/>
      <c r="JPR3" s="120"/>
      <c r="JPS3" s="120"/>
      <c r="JPT3" s="120"/>
      <c r="JPU3" s="120"/>
      <c r="JPV3" s="120"/>
      <c r="JPW3" s="120"/>
      <c r="JPX3" s="120"/>
      <c r="JPY3" s="120"/>
      <c r="JPZ3" s="120"/>
      <c r="JQA3" s="120"/>
      <c r="JQB3" s="120"/>
      <c r="JQC3" s="120"/>
      <c r="JQD3" s="120"/>
      <c r="JQE3" s="120"/>
      <c r="JQF3" s="120"/>
      <c r="JQG3" s="120"/>
      <c r="JQH3" s="120"/>
      <c r="JQI3" s="120"/>
      <c r="JQJ3" s="120"/>
      <c r="JQK3" s="120"/>
      <c r="JQL3" s="120"/>
      <c r="JQM3" s="120"/>
      <c r="JQN3" s="120"/>
      <c r="JQO3" s="120"/>
      <c r="JQP3" s="120"/>
      <c r="JQQ3" s="120"/>
      <c r="JQR3" s="120"/>
      <c r="JQS3" s="120"/>
      <c r="JQT3" s="120"/>
      <c r="JQU3" s="120"/>
      <c r="JQV3" s="120"/>
      <c r="JQW3" s="120"/>
      <c r="JQX3" s="120"/>
      <c r="JQY3" s="120"/>
      <c r="JQZ3" s="120"/>
      <c r="JRA3" s="120"/>
      <c r="JRB3" s="120"/>
      <c r="JRC3" s="120"/>
      <c r="JRD3" s="120"/>
      <c r="JRE3" s="120"/>
      <c r="JRF3" s="120"/>
      <c r="JRG3" s="120"/>
      <c r="JRH3" s="120"/>
      <c r="JRI3" s="120"/>
      <c r="JRJ3" s="120"/>
      <c r="JRK3" s="120"/>
      <c r="JRL3" s="120"/>
      <c r="JRM3" s="120"/>
      <c r="JRN3" s="120"/>
      <c r="JRO3" s="120"/>
      <c r="JRP3" s="120"/>
      <c r="JRQ3" s="120"/>
      <c r="JRR3" s="120"/>
      <c r="JRS3" s="120"/>
      <c r="JRT3" s="120"/>
      <c r="JRU3" s="120"/>
      <c r="JRV3" s="120"/>
      <c r="JRW3" s="120"/>
      <c r="JRX3" s="120"/>
      <c r="JRY3" s="120"/>
      <c r="JRZ3" s="120"/>
      <c r="JSA3" s="120"/>
      <c r="JSB3" s="120"/>
      <c r="JSC3" s="120"/>
      <c r="JSD3" s="120"/>
      <c r="JSE3" s="120"/>
      <c r="JSF3" s="120"/>
      <c r="JSG3" s="120"/>
      <c r="JSH3" s="120"/>
      <c r="JSI3" s="120"/>
      <c r="JSJ3" s="120"/>
      <c r="JSK3" s="120"/>
      <c r="JSL3" s="120"/>
      <c r="JSM3" s="120"/>
      <c r="JSN3" s="120"/>
      <c r="JSO3" s="120"/>
      <c r="JSP3" s="120"/>
      <c r="JSQ3" s="120"/>
      <c r="JSR3" s="120"/>
      <c r="JSS3" s="120"/>
      <c r="JST3" s="120"/>
      <c r="JSU3" s="120"/>
      <c r="JSV3" s="120"/>
      <c r="JSW3" s="120"/>
      <c r="JSX3" s="120"/>
      <c r="JSY3" s="120"/>
      <c r="JSZ3" s="120"/>
      <c r="JTA3" s="120"/>
      <c r="JTB3" s="120"/>
      <c r="JTC3" s="120"/>
      <c r="JTD3" s="120"/>
      <c r="JTE3" s="120"/>
      <c r="JTF3" s="120"/>
      <c r="JTG3" s="120"/>
      <c r="JTH3" s="120"/>
      <c r="JTI3" s="120"/>
      <c r="JTJ3" s="120"/>
      <c r="JTK3" s="120"/>
      <c r="JTL3" s="120"/>
      <c r="JTM3" s="120"/>
      <c r="JTN3" s="120"/>
      <c r="JTO3" s="120"/>
      <c r="JTP3" s="120"/>
      <c r="JTQ3" s="120"/>
      <c r="JTR3" s="120"/>
      <c r="JTS3" s="120"/>
      <c r="JTT3" s="120"/>
      <c r="JTU3" s="120"/>
      <c r="JTV3" s="120"/>
      <c r="JTW3" s="120"/>
      <c r="JTX3" s="120"/>
      <c r="JTY3" s="120"/>
      <c r="JTZ3" s="120"/>
      <c r="JUA3" s="120"/>
      <c r="JUB3" s="120"/>
      <c r="JUC3" s="120"/>
      <c r="JUD3" s="120"/>
      <c r="JUE3" s="120"/>
      <c r="JUF3" s="120"/>
      <c r="JUG3" s="120"/>
      <c r="JUH3" s="120"/>
      <c r="JUI3" s="120"/>
      <c r="JUJ3" s="120"/>
      <c r="JUK3" s="120"/>
      <c r="JUL3" s="120"/>
      <c r="JUM3" s="120"/>
      <c r="JUN3" s="120"/>
      <c r="JUO3" s="120"/>
      <c r="JUP3" s="120"/>
      <c r="JUQ3" s="120"/>
      <c r="JUR3" s="120"/>
      <c r="JUS3" s="120"/>
      <c r="JUT3" s="120"/>
      <c r="JUU3" s="120"/>
      <c r="JUV3" s="120"/>
      <c r="JUW3" s="120"/>
      <c r="JUX3" s="120"/>
      <c r="JUY3" s="120"/>
      <c r="JUZ3" s="120"/>
      <c r="JVA3" s="120"/>
      <c r="JVB3" s="120"/>
      <c r="JVC3" s="120"/>
      <c r="JVD3" s="120"/>
      <c r="JVE3" s="120"/>
      <c r="JVF3" s="120"/>
      <c r="JVG3" s="120"/>
      <c r="JVH3" s="120"/>
      <c r="JVI3" s="120"/>
      <c r="JVJ3" s="120"/>
      <c r="JVK3" s="120"/>
      <c r="JVL3" s="120"/>
      <c r="JVM3" s="120"/>
      <c r="JVN3" s="120"/>
      <c r="JVO3" s="120"/>
      <c r="JVP3" s="120"/>
      <c r="JVQ3" s="120"/>
      <c r="JVR3" s="120"/>
      <c r="JVS3" s="120"/>
      <c r="JVT3" s="120"/>
      <c r="JVU3" s="120"/>
      <c r="JVV3" s="120"/>
      <c r="JVW3" s="120"/>
      <c r="JVX3" s="120"/>
      <c r="JVY3" s="120"/>
      <c r="JVZ3" s="120"/>
      <c r="JWA3" s="120"/>
      <c r="JWB3" s="120"/>
      <c r="JWC3" s="120"/>
      <c r="JWD3" s="120"/>
      <c r="JWE3" s="120"/>
      <c r="JWF3" s="120"/>
      <c r="JWG3" s="120"/>
      <c r="JWH3" s="120"/>
      <c r="JWI3" s="120"/>
      <c r="JWJ3" s="120"/>
      <c r="JWK3" s="120"/>
      <c r="JWL3" s="120"/>
      <c r="JWM3" s="120"/>
      <c r="JWN3" s="120"/>
      <c r="JWO3" s="120"/>
      <c r="JWP3" s="120"/>
      <c r="JWQ3" s="120"/>
      <c r="JWR3" s="120"/>
      <c r="JWS3" s="120"/>
      <c r="JWT3" s="120"/>
      <c r="JWU3" s="120"/>
      <c r="JWV3" s="120"/>
      <c r="JWW3" s="120"/>
      <c r="JWX3" s="120"/>
      <c r="JWY3" s="120"/>
      <c r="JWZ3" s="120"/>
      <c r="JXA3" s="120"/>
      <c r="JXB3" s="120"/>
      <c r="JXC3" s="120"/>
      <c r="JXD3" s="120"/>
      <c r="JXE3" s="120"/>
      <c r="JXF3" s="120"/>
      <c r="JXG3" s="120"/>
      <c r="JXH3" s="120"/>
      <c r="JXI3" s="120"/>
      <c r="JXJ3" s="120"/>
      <c r="JXK3" s="120"/>
      <c r="JXL3" s="120"/>
      <c r="JXM3" s="120"/>
      <c r="JXN3" s="120"/>
      <c r="JXO3" s="120"/>
      <c r="JXP3" s="120"/>
      <c r="JXQ3" s="120"/>
      <c r="JXR3" s="120"/>
      <c r="JXS3" s="120"/>
      <c r="JXT3" s="120"/>
      <c r="JXU3" s="120"/>
      <c r="JXV3" s="120"/>
      <c r="JXW3" s="120"/>
      <c r="JXX3" s="120"/>
      <c r="JXY3" s="120"/>
      <c r="JXZ3" s="120"/>
      <c r="JYA3" s="120"/>
      <c r="JYB3" s="120"/>
      <c r="JYC3" s="120"/>
      <c r="JYD3" s="120"/>
      <c r="JYE3" s="120"/>
      <c r="JYF3" s="120"/>
      <c r="JYG3" s="120"/>
      <c r="JYH3" s="120"/>
      <c r="JYI3" s="120"/>
      <c r="JYJ3" s="120"/>
      <c r="JYK3" s="120"/>
      <c r="JYL3" s="120"/>
      <c r="JYM3" s="120"/>
      <c r="JYN3" s="120"/>
      <c r="JYO3" s="120"/>
      <c r="JYP3" s="120"/>
      <c r="JYQ3" s="120"/>
      <c r="JYR3" s="120"/>
      <c r="JYS3" s="120"/>
      <c r="JYT3" s="120"/>
      <c r="JYU3" s="120"/>
      <c r="JYV3" s="120"/>
      <c r="JYW3" s="120"/>
      <c r="JYX3" s="120"/>
      <c r="JYY3" s="120"/>
      <c r="JYZ3" s="120"/>
      <c r="JZA3" s="120"/>
      <c r="JZB3" s="120"/>
      <c r="JZC3" s="120"/>
      <c r="JZD3" s="120"/>
      <c r="JZE3" s="120"/>
      <c r="JZF3" s="120"/>
      <c r="JZG3" s="120"/>
      <c r="JZH3" s="120"/>
      <c r="JZI3" s="120"/>
      <c r="JZJ3" s="120"/>
      <c r="JZK3" s="120"/>
      <c r="JZL3" s="120"/>
      <c r="JZM3" s="120"/>
      <c r="JZN3" s="120"/>
      <c r="JZO3" s="120"/>
      <c r="JZP3" s="120"/>
      <c r="JZQ3" s="120"/>
      <c r="JZR3" s="120"/>
      <c r="JZS3" s="120"/>
      <c r="JZT3" s="120"/>
      <c r="JZU3" s="120"/>
      <c r="JZV3" s="120"/>
      <c r="JZW3" s="120"/>
      <c r="JZX3" s="120"/>
      <c r="JZY3" s="120"/>
      <c r="JZZ3" s="120"/>
      <c r="KAA3" s="120"/>
      <c r="KAB3" s="120"/>
      <c r="KAC3" s="120"/>
      <c r="KAD3" s="120"/>
      <c r="KAE3" s="120"/>
      <c r="KAF3" s="120"/>
      <c r="KAG3" s="120"/>
      <c r="KAH3" s="120"/>
      <c r="KAI3" s="120"/>
      <c r="KAJ3" s="120"/>
      <c r="KAK3" s="120"/>
      <c r="KAL3" s="120"/>
      <c r="KAM3" s="120"/>
      <c r="KAN3" s="120"/>
      <c r="KAO3" s="120"/>
      <c r="KAP3" s="120"/>
      <c r="KAQ3" s="120"/>
      <c r="KAR3" s="120"/>
      <c r="KAS3" s="120"/>
      <c r="KAT3" s="120"/>
      <c r="KAU3" s="120"/>
      <c r="KAV3" s="120"/>
      <c r="KAW3" s="120"/>
      <c r="KAX3" s="120"/>
      <c r="KAY3" s="120"/>
      <c r="KAZ3" s="120"/>
      <c r="KBA3" s="120"/>
      <c r="KBB3" s="120"/>
      <c r="KBC3" s="120"/>
      <c r="KBD3" s="120"/>
      <c r="KBE3" s="120"/>
      <c r="KBF3" s="120"/>
      <c r="KBG3" s="120"/>
      <c r="KBH3" s="120"/>
      <c r="KBI3" s="120"/>
      <c r="KBJ3" s="120"/>
      <c r="KBK3" s="120"/>
      <c r="KBL3" s="120"/>
      <c r="KBM3" s="120"/>
      <c r="KBN3" s="120"/>
      <c r="KBO3" s="120"/>
      <c r="KBP3" s="120"/>
      <c r="KBQ3" s="120"/>
      <c r="KBR3" s="120"/>
      <c r="KBS3" s="120"/>
      <c r="KBT3" s="120"/>
      <c r="KBU3" s="120"/>
      <c r="KBV3" s="120"/>
      <c r="KBW3" s="120"/>
      <c r="KBX3" s="120"/>
      <c r="KBY3" s="120"/>
      <c r="KBZ3" s="120"/>
      <c r="KCA3" s="120"/>
      <c r="KCB3" s="120"/>
      <c r="KCC3" s="120"/>
      <c r="KCD3" s="120"/>
      <c r="KCE3" s="120"/>
      <c r="KCF3" s="120"/>
      <c r="KCG3" s="120"/>
      <c r="KCH3" s="120"/>
      <c r="KCI3" s="120"/>
      <c r="KCJ3" s="120"/>
      <c r="KCK3" s="120"/>
      <c r="KCL3" s="120"/>
      <c r="KCM3" s="120"/>
      <c r="KCN3" s="120"/>
      <c r="KCO3" s="120"/>
      <c r="KCP3" s="120"/>
      <c r="KCQ3" s="120"/>
      <c r="KCR3" s="120"/>
      <c r="KCS3" s="120"/>
      <c r="KCT3" s="120"/>
      <c r="KCU3" s="120"/>
      <c r="KCV3" s="120"/>
      <c r="KCW3" s="120"/>
      <c r="KCX3" s="120"/>
      <c r="KCY3" s="120"/>
      <c r="KCZ3" s="120"/>
      <c r="KDA3" s="120"/>
      <c r="KDB3" s="120"/>
      <c r="KDC3" s="120"/>
      <c r="KDD3" s="120"/>
      <c r="KDE3" s="120"/>
      <c r="KDF3" s="120"/>
      <c r="KDG3" s="120"/>
      <c r="KDH3" s="120"/>
      <c r="KDI3" s="120"/>
      <c r="KDJ3" s="120"/>
      <c r="KDK3" s="120"/>
      <c r="KDL3" s="120"/>
      <c r="KDM3" s="120"/>
      <c r="KDN3" s="120"/>
      <c r="KDO3" s="120"/>
      <c r="KDP3" s="120"/>
      <c r="KDQ3" s="120"/>
      <c r="KDR3" s="120"/>
      <c r="KDS3" s="120"/>
      <c r="KDT3" s="120"/>
      <c r="KDU3" s="120"/>
      <c r="KDV3" s="120"/>
      <c r="KDW3" s="120"/>
      <c r="KDX3" s="120"/>
      <c r="KDY3" s="120"/>
      <c r="KDZ3" s="120"/>
      <c r="KEA3" s="120"/>
      <c r="KEB3" s="120"/>
      <c r="KEC3" s="120"/>
      <c r="KED3" s="120"/>
      <c r="KEE3" s="120"/>
      <c r="KEF3" s="120"/>
      <c r="KEG3" s="120"/>
      <c r="KEH3" s="120"/>
      <c r="KEI3" s="120"/>
      <c r="KEJ3" s="120"/>
      <c r="KEK3" s="120"/>
      <c r="KEL3" s="120"/>
      <c r="KEM3" s="120"/>
      <c r="KEN3" s="120"/>
      <c r="KEO3" s="120"/>
      <c r="KEP3" s="120"/>
      <c r="KEQ3" s="120"/>
      <c r="KER3" s="120"/>
      <c r="KES3" s="120"/>
      <c r="KET3" s="120"/>
      <c r="KEU3" s="120"/>
      <c r="KEV3" s="120"/>
      <c r="KEW3" s="120"/>
      <c r="KEX3" s="120"/>
      <c r="KEY3" s="120"/>
      <c r="KEZ3" s="120"/>
      <c r="KFA3" s="120"/>
      <c r="KFB3" s="120"/>
      <c r="KFC3" s="120"/>
      <c r="KFD3" s="120"/>
      <c r="KFE3" s="120"/>
      <c r="KFF3" s="120"/>
      <c r="KFG3" s="120"/>
      <c r="KFH3" s="120"/>
      <c r="KFI3" s="120"/>
      <c r="KFJ3" s="120"/>
      <c r="KFK3" s="120"/>
      <c r="KFL3" s="120"/>
      <c r="KFM3" s="120"/>
      <c r="KFN3" s="120"/>
      <c r="KFO3" s="120"/>
      <c r="KFP3" s="120"/>
      <c r="KFQ3" s="120"/>
      <c r="KFR3" s="120"/>
      <c r="KFS3" s="120"/>
      <c r="KFT3" s="120"/>
      <c r="KFU3" s="120"/>
      <c r="KFV3" s="120"/>
      <c r="KFW3" s="120"/>
      <c r="KFX3" s="120"/>
      <c r="KFY3" s="120"/>
      <c r="KFZ3" s="120"/>
      <c r="KGA3" s="120"/>
      <c r="KGB3" s="120"/>
      <c r="KGC3" s="120"/>
      <c r="KGD3" s="120"/>
      <c r="KGE3" s="120"/>
      <c r="KGF3" s="120"/>
      <c r="KGG3" s="120"/>
      <c r="KGH3" s="120"/>
      <c r="KGI3" s="120"/>
      <c r="KGJ3" s="120"/>
      <c r="KGK3" s="120"/>
      <c r="KGL3" s="120"/>
      <c r="KGM3" s="120"/>
      <c r="KGN3" s="120"/>
      <c r="KGO3" s="120"/>
      <c r="KGP3" s="120"/>
      <c r="KGQ3" s="120"/>
      <c r="KGR3" s="120"/>
      <c r="KGS3" s="120"/>
      <c r="KGT3" s="120"/>
      <c r="KGU3" s="120"/>
      <c r="KGV3" s="120"/>
      <c r="KGW3" s="120"/>
      <c r="KGX3" s="120"/>
      <c r="KGY3" s="120"/>
      <c r="KGZ3" s="120"/>
      <c r="KHA3" s="120"/>
      <c r="KHB3" s="120"/>
      <c r="KHC3" s="120"/>
      <c r="KHD3" s="120"/>
      <c r="KHE3" s="120"/>
      <c r="KHF3" s="120"/>
      <c r="KHG3" s="120"/>
      <c r="KHH3" s="120"/>
      <c r="KHI3" s="120"/>
      <c r="KHJ3" s="120"/>
      <c r="KHK3" s="120"/>
      <c r="KHL3" s="120"/>
      <c r="KHM3" s="120"/>
      <c r="KHN3" s="120"/>
      <c r="KHO3" s="120"/>
      <c r="KHP3" s="120"/>
      <c r="KHQ3" s="120"/>
      <c r="KHR3" s="120"/>
      <c r="KHS3" s="120"/>
      <c r="KHT3" s="120"/>
      <c r="KHU3" s="120"/>
      <c r="KHV3" s="120"/>
      <c r="KHW3" s="120"/>
      <c r="KHX3" s="120"/>
      <c r="KHY3" s="120"/>
      <c r="KHZ3" s="120"/>
      <c r="KIA3" s="120"/>
      <c r="KIB3" s="120"/>
      <c r="KIC3" s="120"/>
      <c r="KID3" s="120"/>
      <c r="KIE3" s="120"/>
      <c r="KIF3" s="120"/>
      <c r="KIG3" s="120"/>
      <c r="KIH3" s="120"/>
      <c r="KII3" s="120"/>
      <c r="KIJ3" s="120"/>
      <c r="KIK3" s="120"/>
      <c r="KIL3" s="120"/>
      <c r="KIM3" s="120"/>
      <c r="KIN3" s="120"/>
      <c r="KIO3" s="120"/>
      <c r="KIP3" s="120"/>
      <c r="KIQ3" s="120"/>
      <c r="KIR3" s="120"/>
      <c r="KIS3" s="120"/>
      <c r="KIT3" s="120"/>
      <c r="KIU3" s="120"/>
      <c r="KIV3" s="120"/>
      <c r="KIW3" s="120"/>
      <c r="KIX3" s="120"/>
      <c r="KIY3" s="120"/>
      <c r="KIZ3" s="120"/>
      <c r="KJA3" s="120"/>
      <c r="KJB3" s="120"/>
      <c r="KJC3" s="120"/>
      <c r="KJD3" s="120"/>
      <c r="KJE3" s="120"/>
      <c r="KJF3" s="120"/>
      <c r="KJG3" s="120"/>
      <c r="KJH3" s="120"/>
      <c r="KJI3" s="120"/>
      <c r="KJJ3" s="120"/>
      <c r="KJK3" s="120"/>
      <c r="KJL3" s="120"/>
      <c r="KJM3" s="120"/>
      <c r="KJN3" s="120"/>
      <c r="KJO3" s="120"/>
      <c r="KJP3" s="120"/>
      <c r="KJQ3" s="120"/>
      <c r="KJR3" s="120"/>
      <c r="KJS3" s="120"/>
      <c r="KJT3" s="120"/>
      <c r="KJU3" s="120"/>
      <c r="KJV3" s="120"/>
      <c r="KJW3" s="120"/>
      <c r="KJX3" s="120"/>
      <c r="KJY3" s="120"/>
      <c r="KJZ3" s="120"/>
      <c r="KKA3" s="120"/>
      <c r="KKB3" s="120"/>
      <c r="KKC3" s="120"/>
      <c r="KKD3" s="120"/>
      <c r="KKE3" s="120"/>
      <c r="KKF3" s="120"/>
      <c r="KKG3" s="120"/>
      <c r="KKH3" s="120"/>
      <c r="KKI3" s="120"/>
      <c r="KKJ3" s="120"/>
      <c r="KKK3" s="120"/>
      <c r="KKL3" s="120"/>
      <c r="KKM3" s="120"/>
      <c r="KKN3" s="120"/>
      <c r="KKO3" s="120"/>
      <c r="KKP3" s="120"/>
      <c r="KKQ3" s="120"/>
      <c r="KKR3" s="120"/>
      <c r="KKS3" s="120"/>
      <c r="KKT3" s="120"/>
      <c r="KKU3" s="120"/>
      <c r="KKV3" s="120"/>
      <c r="KKW3" s="120"/>
      <c r="KKX3" s="120"/>
      <c r="KKY3" s="120"/>
      <c r="KKZ3" s="120"/>
      <c r="KLA3" s="120"/>
      <c r="KLB3" s="120"/>
      <c r="KLC3" s="120"/>
      <c r="KLD3" s="120"/>
      <c r="KLE3" s="120"/>
      <c r="KLF3" s="120"/>
      <c r="KLG3" s="120"/>
      <c r="KLH3" s="120"/>
      <c r="KLI3" s="120"/>
      <c r="KLJ3" s="120"/>
      <c r="KLK3" s="120"/>
      <c r="KLL3" s="120"/>
      <c r="KLM3" s="120"/>
      <c r="KLN3" s="120"/>
      <c r="KLO3" s="120"/>
      <c r="KLP3" s="120"/>
      <c r="KLQ3" s="120"/>
      <c r="KLR3" s="120"/>
      <c r="KLS3" s="120"/>
      <c r="KLT3" s="120"/>
      <c r="KLU3" s="120"/>
      <c r="KLV3" s="120"/>
      <c r="KLW3" s="120"/>
      <c r="KLX3" s="120"/>
      <c r="KLY3" s="120"/>
      <c r="KLZ3" s="120"/>
      <c r="KMA3" s="120"/>
      <c r="KMB3" s="120"/>
      <c r="KMC3" s="120"/>
      <c r="KMD3" s="120"/>
      <c r="KME3" s="120"/>
      <c r="KMF3" s="120"/>
      <c r="KMG3" s="120"/>
      <c r="KMH3" s="120"/>
      <c r="KMI3" s="120"/>
      <c r="KMJ3" s="120"/>
      <c r="KMK3" s="120"/>
      <c r="KML3" s="120"/>
      <c r="KMM3" s="120"/>
      <c r="KMN3" s="120"/>
      <c r="KMO3" s="120"/>
      <c r="KMP3" s="120"/>
      <c r="KMQ3" s="120"/>
      <c r="KMR3" s="120"/>
      <c r="KMS3" s="120"/>
      <c r="KMT3" s="120"/>
      <c r="KMU3" s="120"/>
      <c r="KMV3" s="120"/>
      <c r="KMW3" s="120"/>
      <c r="KMX3" s="120"/>
      <c r="KMY3" s="120"/>
      <c r="KMZ3" s="120"/>
      <c r="KNA3" s="120"/>
      <c r="KNB3" s="120"/>
      <c r="KNC3" s="120"/>
      <c r="KND3" s="120"/>
      <c r="KNE3" s="120"/>
      <c r="KNF3" s="120"/>
      <c r="KNG3" s="120"/>
      <c r="KNH3" s="120"/>
      <c r="KNI3" s="120"/>
      <c r="KNJ3" s="120"/>
      <c r="KNK3" s="120"/>
      <c r="KNL3" s="120"/>
      <c r="KNM3" s="120"/>
      <c r="KNN3" s="120"/>
      <c r="KNO3" s="120"/>
      <c r="KNP3" s="120"/>
      <c r="KNQ3" s="120"/>
      <c r="KNR3" s="120"/>
      <c r="KNS3" s="120"/>
      <c r="KNT3" s="120"/>
      <c r="KNU3" s="120"/>
      <c r="KNV3" s="120"/>
      <c r="KNW3" s="120"/>
      <c r="KNX3" s="120"/>
      <c r="KNY3" s="120"/>
      <c r="KNZ3" s="120"/>
      <c r="KOA3" s="120"/>
      <c r="KOB3" s="120"/>
      <c r="KOC3" s="120"/>
      <c r="KOD3" s="120"/>
      <c r="KOE3" s="120"/>
      <c r="KOF3" s="120"/>
      <c r="KOG3" s="120"/>
      <c r="KOH3" s="120"/>
      <c r="KOI3" s="120"/>
      <c r="KOJ3" s="120"/>
      <c r="KOK3" s="120"/>
      <c r="KOL3" s="120"/>
      <c r="KOM3" s="120"/>
      <c r="KON3" s="120"/>
      <c r="KOO3" s="120"/>
      <c r="KOP3" s="120"/>
      <c r="KOQ3" s="120"/>
      <c r="KOR3" s="120"/>
      <c r="KOS3" s="120"/>
      <c r="KOT3" s="120"/>
      <c r="KOU3" s="120"/>
      <c r="KOV3" s="120"/>
      <c r="KOW3" s="120"/>
      <c r="KOX3" s="120"/>
      <c r="KOY3" s="120"/>
      <c r="KOZ3" s="120"/>
      <c r="KPA3" s="120"/>
      <c r="KPB3" s="120"/>
      <c r="KPC3" s="120"/>
      <c r="KPD3" s="120"/>
      <c r="KPE3" s="120"/>
      <c r="KPF3" s="120"/>
      <c r="KPG3" s="120"/>
      <c r="KPH3" s="120"/>
      <c r="KPI3" s="120"/>
      <c r="KPJ3" s="120"/>
      <c r="KPK3" s="120"/>
      <c r="KPL3" s="120"/>
      <c r="KPM3" s="120"/>
      <c r="KPN3" s="120"/>
      <c r="KPO3" s="120"/>
      <c r="KPP3" s="120"/>
      <c r="KPQ3" s="120"/>
      <c r="KPR3" s="120"/>
      <c r="KPS3" s="120"/>
      <c r="KPT3" s="120"/>
      <c r="KPU3" s="120"/>
      <c r="KPV3" s="120"/>
      <c r="KPW3" s="120"/>
      <c r="KPX3" s="120"/>
      <c r="KPY3" s="120"/>
      <c r="KPZ3" s="120"/>
      <c r="KQA3" s="120"/>
      <c r="KQB3" s="120"/>
      <c r="KQC3" s="120"/>
      <c r="KQD3" s="120"/>
      <c r="KQE3" s="120"/>
      <c r="KQF3" s="120"/>
      <c r="KQG3" s="120"/>
      <c r="KQH3" s="120"/>
      <c r="KQI3" s="120"/>
      <c r="KQJ3" s="120"/>
      <c r="KQK3" s="120"/>
      <c r="KQL3" s="120"/>
      <c r="KQM3" s="120"/>
      <c r="KQN3" s="120"/>
      <c r="KQO3" s="120"/>
      <c r="KQP3" s="120"/>
      <c r="KQQ3" s="120"/>
      <c r="KQR3" s="120"/>
      <c r="KQS3" s="120"/>
      <c r="KQT3" s="120"/>
      <c r="KQU3" s="120"/>
      <c r="KQV3" s="120"/>
      <c r="KQW3" s="120"/>
      <c r="KQX3" s="120"/>
      <c r="KQY3" s="120"/>
      <c r="KQZ3" s="120"/>
      <c r="KRA3" s="120"/>
      <c r="KRB3" s="120"/>
      <c r="KRC3" s="120"/>
      <c r="KRD3" s="120"/>
      <c r="KRE3" s="120"/>
      <c r="KRF3" s="120"/>
      <c r="KRG3" s="120"/>
      <c r="KRH3" s="120"/>
      <c r="KRI3" s="120"/>
      <c r="KRJ3" s="120"/>
      <c r="KRK3" s="120"/>
      <c r="KRL3" s="120"/>
      <c r="KRM3" s="120"/>
      <c r="KRN3" s="120"/>
      <c r="KRO3" s="120"/>
      <c r="KRP3" s="120"/>
      <c r="KRQ3" s="120"/>
      <c r="KRR3" s="120"/>
      <c r="KRS3" s="120"/>
      <c r="KRT3" s="120"/>
      <c r="KRU3" s="120"/>
      <c r="KRV3" s="120"/>
      <c r="KRW3" s="120"/>
      <c r="KRX3" s="120"/>
      <c r="KRY3" s="120"/>
      <c r="KRZ3" s="120"/>
      <c r="KSA3" s="120"/>
      <c r="KSB3" s="120"/>
      <c r="KSC3" s="120"/>
      <c r="KSD3" s="120"/>
      <c r="KSE3" s="120"/>
      <c r="KSF3" s="120"/>
      <c r="KSG3" s="120"/>
      <c r="KSH3" s="120"/>
      <c r="KSI3" s="120"/>
      <c r="KSJ3" s="120"/>
      <c r="KSK3" s="120"/>
      <c r="KSL3" s="120"/>
      <c r="KSM3" s="120"/>
      <c r="KSN3" s="120"/>
      <c r="KSO3" s="120"/>
      <c r="KSP3" s="120"/>
      <c r="KSQ3" s="120"/>
      <c r="KSR3" s="120"/>
      <c r="KSS3" s="120"/>
      <c r="KST3" s="120"/>
      <c r="KSU3" s="120"/>
      <c r="KSV3" s="120"/>
      <c r="KSW3" s="120"/>
      <c r="KSX3" s="120"/>
      <c r="KSY3" s="120"/>
      <c r="KSZ3" s="120"/>
      <c r="KTA3" s="120"/>
      <c r="KTB3" s="120"/>
      <c r="KTC3" s="120"/>
      <c r="KTD3" s="120"/>
      <c r="KTE3" s="120"/>
      <c r="KTF3" s="120"/>
      <c r="KTG3" s="120"/>
      <c r="KTH3" s="120"/>
      <c r="KTI3" s="120"/>
      <c r="KTJ3" s="120"/>
      <c r="KTK3" s="120"/>
      <c r="KTL3" s="120"/>
      <c r="KTM3" s="120"/>
      <c r="KTN3" s="120"/>
      <c r="KTO3" s="120"/>
      <c r="KTP3" s="120"/>
      <c r="KTQ3" s="120"/>
      <c r="KTR3" s="120"/>
      <c r="KTS3" s="120"/>
      <c r="KTT3" s="120"/>
      <c r="KTU3" s="120"/>
      <c r="KTV3" s="120"/>
      <c r="KTW3" s="120"/>
      <c r="KTX3" s="120"/>
      <c r="KTY3" s="120"/>
      <c r="KTZ3" s="120"/>
      <c r="KUA3" s="120"/>
      <c r="KUB3" s="120"/>
      <c r="KUC3" s="120"/>
      <c r="KUD3" s="120"/>
      <c r="KUE3" s="120"/>
      <c r="KUF3" s="120"/>
      <c r="KUG3" s="120"/>
      <c r="KUH3" s="120"/>
      <c r="KUI3" s="120"/>
      <c r="KUJ3" s="120"/>
      <c r="KUK3" s="120"/>
      <c r="KUL3" s="120"/>
      <c r="KUM3" s="120"/>
      <c r="KUN3" s="120"/>
      <c r="KUO3" s="120"/>
      <c r="KUP3" s="120"/>
      <c r="KUQ3" s="120"/>
      <c r="KUR3" s="120"/>
      <c r="KUS3" s="120"/>
      <c r="KUT3" s="120"/>
      <c r="KUU3" s="120"/>
      <c r="KUV3" s="120"/>
      <c r="KUW3" s="120"/>
      <c r="KUX3" s="120"/>
      <c r="KUY3" s="120"/>
      <c r="KUZ3" s="120"/>
      <c r="KVA3" s="120"/>
      <c r="KVB3" s="120"/>
      <c r="KVC3" s="120"/>
      <c r="KVD3" s="120"/>
      <c r="KVE3" s="120"/>
      <c r="KVF3" s="120"/>
      <c r="KVG3" s="120"/>
      <c r="KVH3" s="120"/>
      <c r="KVI3" s="120"/>
      <c r="KVJ3" s="120"/>
      <c r="KVK3" s="120"/>
      <c r="KVL3" s="120"/>
      <c r="KVM3" s="120"/>
      <c r="KVN3" s="120"/>
      <c r="KVO3" s="120"/>
      <c r="KVP3" s="120"/>
      <c r="KVQ3" s="120"/>
      <c r="KVR3" s="120"/>
      <c r="KVS3" s="120"/>
      <c r="KVT3" s="120"/>
      <c r="KVU3" s="120"/>
      <c r="KVV3" s="120"/>
      <c r="KVW3" s="120"/>
      <c r="KVX3" s="120"/>
      <c r="KVY3" s="120"/>
      <c r="KVZ3" s="120"/>
      <c r="KWA3" s="120"/>
      <c r="KWB3" s="120"/>
      <c r="KWC3" s="120"/>
      <c r="KWD3" s="120"/>
      <c r="KWE3" s="120"/>
      <c r="KWF3" s="120"/>
      <c r="KWG3" s="120"/>
      <c r="KWH3" s="120"/>
      <c r="KWI3" s="120"/>
      <c r="KWJ3" s="120"/>
      <c r="KWK3" s="120"/>
      <c r="KWL3" s="120"/>
      <c r="KWM3" s="120"/>
      <c r="KWN3" s="120"/>
      <c r="KWO3" s="120"/>
      <c r="KWP3" s="120"/>
      <c r="KWQ3" s="120"/>
      <c r="KWR3" s="120"/>
      <c r="KWS3" s="120"/>
      <c r="KWT3" s="120"/>
      <c r="KWU3" s="120"/>
      <c r="KWV3" s="120"/>
      <c r="KWW3" s="120"/>
      <c r="KWX3" s="120"/>
      <c r="KWY3" s="120"/>
      <c r="KWZ3" s="120"/>
      <c r="KXA3" s="120"/>
      <c r="KXB3" s="120"/>
      <c r="KXC3" s="120"/>
      <c r="KXD3" s="120"/>
      <c r="KXE3" s="120"/>
      <c r="KXF3" s="120"/>
      <c r="KXG3" s="120"/>
      <c r="KXH3" s="120"/>
      <c r="KXI3" s="120"/>
      <c r="KXJ3" s="120"/>
      <c r="KXK3" s="120"/>
      <c r="KXL3" s="120"/>
      <c r="KXM3" s="120"/>
      <c r="KXN3" s="120"/>
      <c r="KXO3" s="120"/>
      <c r="KXP3" s="120"/>
      <c r="KXQ3" s="120"/>
      <c r="KXR3" s="120"/>
      <c r="KXS3" s="120"/>
      <c r="KXT3" s="120"/>
      <c r="KXU3" s="120"/>
      <c r="KXV3" s="120"/>
      <c r="KXW3" s="120"/>
      <c r="KXX3" s="120"/>
      <c r="KXY3" s="120"/>
      <c r="KXZ3" s="120"/>
      <c r="KYA3" s="120"/>
      <c r="KYB3" s="120"/>
      <c r="KYC3" s="120"/>
      <c r="KYD3" s="120"/>
      <c r="KYE3" s="120"/>
      <c r="KYF3" s="120"/>
      <c r="KYG3" s="120"/>
      <c r="KYH3" s="120"/>
      <c r="KYI3" s="120"/>
      <c r="KYJ3" s="120"/>
      <c r="KYK3" s="120"/>
      <c r="KYL3" s="120"/>
      <c r="KYM3" s="120"/>
      <c r="KYN3" s="120"/>
      <c r="KYO3" s="120"/>
      <c r="KYP3" s="120"/>
      <c r="KYQ3" s="120"/>
      <c r="KYR3" s="120"/>
      <c r="KYS3" s="120"/>
      <c r="KYT3" s="120"/>
      <c r="KYU3" s="120"/>
      <c r="KYV3" s="120"/>
      <c r="KYW3" s="120"/>
      <c r="KYX3" s="120"/>
      <c r="KYY3" s="120"/>
      <c r="KYZ3" s="120"/>
      <c r="KZA3" s="120"/>
      <c r="KZB3" s="120"/>
      <c r="KZC3" s="120"/>
      <c r="KZD3" s="120"/>
      <c r="KZE3" s="120"/>
      <c r="KZF3" s="120"/>
      <c r="KZG3" s="120"/>
      <c r="KZH3" s="120"/>
      <c r="KZI3" s="120"/>
      <c r="KZJ3" s="120"/>
      <c r="KZK3" s="120"/>
      <c r="KZL3" s="120"/>
      <c r="KZM3" s="120"/>
      <c r="KZN3" s="120"/>
      <c r="KZO3" s="120"/>
      <c r="KZP3" s="120"/>
      <c r="KZQ3" s="120"/>
      <c r="KZR3" s="120"/>
      <c r="KZS3" s="120"/>
      <c r="KZT3" s="120"/>
      <c r="KZU3" s="120"/>
      <c r="KZV3" s="120"/>
      <c r="KZW3" s="120"/>
      <c r="KZX3" s="120"/>
      <c r="KZY3" s="120"/>
      <c r="KZZ3" s="120"/>
      <c r="LAA3" s="120"/>
      <c r="LAB3" s="120"/>
      <c r="LAC3" s="120"/>
      <c r="LAD3" s="120"/>
      <c r="LAE3" s="120"/>
      <c r="LAF3" s="120"/>
      <c r="LAG3" s="120"/>
      <c r="LAH3" s="120"/>
      <c r="LAI3" s="120"/>
      <c r="LAJ3" s="120"/>
      <c r="LAK3" s="120"/>
      <c r="LAL3" s="120"/>
      <c r="LAM3" s="120"/>
      <c r="LAN3" s="120"/>
      <c r="LAO3" s="120"/>
      <c r="LAP3" s="120"/>
      <c r="LAQ3" s="120"/>
      <c r="LAR3" s="120"/>
      <c r="LAS3" s="120"/>
      <c r="LAT3" s="120"/>
      <c r="LAU3" s="120"/>
      <c r="LAV3" s="120"/>
      <c r="LAW3" s="120"/>
      <c r="LAX3" s="120"/>
      <c r="LAY3" s="120"/>
      <c r="LAZ3" s="120"/>
      <c r="LBA3" s="120"/>
      <c r="LBB3" s="120"/>
      <c r="LBC3" s="120"/>
      <c r="LBD3" s="120"/>
      <c r="LBE3" s="120"/>
      <c r="LBF3" s="120"/>
      <c r="LBG3" s="120"/>
      <c r="LBH3" s="120"/>
      <c r="LBI3" s="120"/>
      <c r="LBJ3" s="120"/>
      <c r="LBK3" s="120"/>
      <c r="LBL3" s="120"/>
      <c r="LBM3" s="120"/>
      <c r="LBN3" s="120"/>
      <c r="LBO3" s="120"/>
      <c r="LBP3" s="120"/>
      <c r="LBQ3" s="120"/>
      <c r="LBR3" s="120"/>
      <c r="LBS3" s="120"/>
      <c r="LBT3" s="120"/>
      <c r="LBU3" s="120"/>
      <c r="LBV3" s="120"/>
      <c r="LBW3" s="120"/>
      <c r="LBX3" s="120"/>
      <c r="LBY3" s="120"/>
      <c r="LBZ3" s="120"/>
      <c r="LCA3" s="120"/>
      <c r="LCB3" s="120"/>
      <c r="LCC3" s="120"/>
      <c r="LCD3" s="120"/>
      <c r="LCE3" s="120"/>
      <c r="LCF3" s="120"/>
      <c r="LCG3" s="120"/>
      <c r="LCH3" s="120"/>
      <c r="LCI3" s="120"/>
      <c r="LCJ3" s="120"/>
      <c r="LCK3" s="120"/>
      <c r="LCL3" s="120"/>
      <c r="LCM3" s="120"/>
      <c r="LCN3" s="120"/>
      <c r="LCO3" s="120"/>
      <c r="LCP3" s="120"/>
      <c r="LCQ3" s="120"/>
      <c r="LCR3" s="120"/>
      <c r="LCS3" s="120"/>
      <c r="LCT3" s="120"/>
      <c r="LCU3" s="120"/>
      <c r="LCV3" s="120"/>
      <c r="LCW3" s="120"/>
      <c r="LCX3" s="120"/>
      <c r="LCY3" s="120"/>
      <c r="LCZ3" s="120"/>
      <c r="LDA3" s="120"/>
      <c r="LDB3" s="120"/>
      <c r="LDC3" s="120"/>
      <c r="LDD3" s="120"/>
      <c r="LDE3" s="120"/>
      <c r="LDF3" s="120"/>
      <c r="LDG3" s="120"/>
      <c r="LDH3" s="120"/>
      <c r="LDI3" s="120"/>
      <c r="LDJ3" s="120"/>
      <c r="LDK3" s="120"/>
      <c r="LDL3" s="120"/>
      <c r="LDM3" s="120"/>
      <c r="LDN3" s="120"/>
      <c r="LDO3" s="120"/>
      <c r="LDP3" s="120"/>
      <c r="LDQ3" s="120"/>
      <c r="LDR3" s="120"/>
      <c r="LDS3" s="120"/>
      <c r="LDT3" s="120"/>
      <c r="LDU3" s="120"/>
      <c r="LDV3" s="120"/>
      <c r="LDW3" s="120"/>
      <c r="LDX3" s="120"/>
      <c r="LDY3" s="120"/>
      <c r="LDZ3" s="120"/>
      <c r="LEA3" s="120"/>
      <c r="LEB3" s="120"/>
      <c r="LEC3" s="120"/>
      <c r="LED3" s="120"/>
      <c r="LEE3" s="120"/>
      <c r="LEF3" s="120"/>
      <c r="LEG3" s="120"/>
      <c r="LEH3" s="120"/>
      <c r="LEI3" s="120"/>
      <c r="LEJ3" s="120"/>
      <c r="LEK3" s="120"/>
      <c r="LEL3" s="120"/>
      <c r="LEM3" s="120"/>
      <c r="LEN3" s="120"/>
      <c r="LEO3" s="120"/>
      <c r="LEP3" s="120"/>
      <c r="LEQ3" s="120"/>
      <c r="LER3" s="120"/>
      <c r="LES3" s="120"/>
      <c r="LET3" s="120"/>
      <c r="LEU3" s="120"/>
      <c r="LEV3" s="120"/>
      <c r="LEW3" s="120"/>
      <c r="LEX3" s="120"/>
      <c r="LEY3" s="120"/>
      <c r="LEZ3" s="120"/>
      <c r="LFA3" s="120"/>
      <c r="LFB3" s="120"/>
      <c r="LFC3" s="120"/>
      <c r="LFD3" s="120"/>
      <c r="LFE3" s="120"/>
      <c r="LFF3" s="120"/>
      <c r="LFG3" s="120"/>
      <c r="LFH3" s="120"/>
      <c r="LFI3" s="120"/>
      <c r="LFJ3" s="120"/>
      <c r="LFK3" s="120"/>
      <c r="LFL3" s="120"/>
      <c r="LFM3" s="120"/>
      <c r="LFN3" s="120"/>
      <c r="LFO3" s="120"/>
      <c r="LFP3" s="120"/>
      <c r="LFQ3" s="120"/>
      <c r="LFR3" s="120"/>
      <c r="LFS3" s="120"/>
      <c r="LFT3" s="120"/>
      <c r="LFU3" s="120"/>
      <c r="LFV3" s="120"/>
      <c r="LFW3" s="120"/>
      <c r="LFX3" s="120"/>
      <c r="LFY3" s="120"/>
      <c r="LFZ3" s="120"/>
      <c r="LGA3" s="120"/>
      <c r="LGB3" s="120"/>
      <c r="LGC3" s="120"/>
      <c r="LGD3" s="120"/>
      <c r="LGE3" s="120"/>
      <c r="LGF3" s="120"/>
      <c r="LGG3" s="120"/>
      <c r="LGH3" s="120"/>
      <c r="LGI3" s="120"/>
      <c r="LGJ3" s="120"/>
      <c r="LGK3" s="120"/>
      <c r="LGL3" s="120"/>
      <c r="LGM3" s="120"/>
      <c r="LGN3" s="120"/>
      <c r="LGO3" s="120"/>
      <c r="LGP3" s="120"/>
      <c r="LGQ3" s="120"/>
      <c r="LGR3" s="120"/>
      <c r="LGS3" s="120"/>
      <c r="LGT3" s="120"/>
      <c r="LGU3" s="120"/>
      <c r="LGV3" s="120"/>
      <c r="LGW3" s="120"/>
      <c r="LGX3" s="120"/>
      <c r="LGY3" s="120"/>
      <c r="LGZ3" s="120"/>
      <c r="LHA3" s="120"/>
      <c r="LHB3" s="120"/>
      <c r="LHC3" s="120"/>
      <c r="LHD3" s="120"/>
      <c r="LHE3" s="120"/>
      <c r="LHF3" s="120"/>
      <c r="LHG3" s="120"/>
      <c r="LHH3" s="120"/>
      <c r="LHI3" s="120"/>
      <c r="LHJ3" s="120"/>
      <c r="LHK3" s="120"/>
      <c r="LHL3" s="120"/>
      <c r="LHM3" s="120"/>
      <c r="LHN3" s="120"/>
      <c r="LHO3" s="120"/>
      <c r="LHP3" s="120"/>
      <c r="LHQ3" s="120"/>
      <c r="LHR3" s="120"/>
      <c r="LHS3" s="120"/>
      <c r="LHT3" s="120"/>
      <c r="LHU3" s="120"/>
      <c r="LHV3" s="120"/>
      <c r="LHW3" s="120"/>
      <c r="LHX3" s="120"/>
      <c r="LHY3" s="120"/>
      <c r="LHZ3" s="120"/>
      <c r="LIA3" s="120"/>
      <c r="LIB3" s="120"/>
      <c r="LIC3" s="120"/>
      <c r="LID3" s="120"/>
      <c r="LIE3" s="120"/>
      <c r="LIF3" s="120"/>
      <c r="LIG3" s="120"/>
      <c r="LIH3" s="120"/>
      <c r="LII3" s="120"/>
      <c r="LIJ3" s="120"/>
      <c r="LIK3" s="120"/>
      <c r="LIL3" s="120"/>
      <c r="LIM3" s="120"/>
      <c r="LIN3" s="120"/>
      <c r="LIO3" s="120"/>
      <c r="LIP3" s="120"/>
      <c r="LIQ3" s="120"/>
      <c r="LIR3" s="120"/>
      <c r="LIS3" s="120"/>
      <c r="LIT3" s="120"/>
      <c r="LIU3" s="120"/>
      <c r="LIV3" s="120"/>
      <c r="LIW3" s="120"/>
      <c r="LIX3" s="120"/>
      <c r="LIY3" s="120"/>
      <c r="LIZ3" s="120"/>
      <c r="LJA3" s="120"/>
      <c r="LJB3" s="120"/>
      <c r="LJC3" s="120"/>
      <c r="LJD3" s="120"/>
      <c r="LJE3" s="120"/>
      <c r="LJF3" s="120"/>
      <c r="LJG3" s="120"/>
      <c r="LJH3" s="120"/>
      <c r="LJI3" s="120"/>
      <c r="LJJ3" s="120"/>
      <c r="LJK3" s="120"/>
      <c r="LJL3" s="120"/>
      <c r="LJM3" s="120"/>
      <c r="LJN3" s="120"/>
      <c r="LJO3" s="120"/>
      <c r="LJP3" s="120"/>
      <c r="LJQ3" s="120"/>
      <c r="LJR3" s="120"/>
      <c r="LJS3" s="120"/>
      <c r="LJT3" s="120"/>
      <c r="LJU3" s="120"/>
      <c r="LJV3" s="120"/>
      <c r="LJW3" s="120"/>
      <c r="LJX3" s="120"/>
      <c r="LJY3" s="120"/>
      <c r="LJZ3" s="120"/>
      <c r="LKA3" s="120"/>
      <c r="LKB3" s="120"/>
      <c r="LKC3" s="120"/>
      <c r="LKD3" s="120"/>
      <c r="LKE3" s="120"/>
      <c r="LKF3" s="120"/>
      <c r="LKG3" s="120"/>
      <c r="LKH3" s="120"/>
      <c r="LKI3" s="120"/>
      <c r="LKJ3" s="120"/>
      <c r="LKK3" s="120"/>
      <c r="LKL3" s="120"/>
      <c r="LKM3" s="120"/>
      <c r="LKN3" s="120"/>
      <c r="LKO3" s="120"/>
      <c r="LKP3" s="120"/>
      <c r="LKQ3" s="120"/>
      <c r="LKR3" s="120"/>
      <c r="LKS3" s="120"/>
      <c r="LKT3" s="120"/>
      <c r="LKU3" s="120"/>
      <c r="LKV3" s="120"/>
      <c r="LKW3" s="120"/>
      <c r="LKX3" s="120"/>
      <c r="LKY3" s="120"/>
      <c r="LKZ3" s="120"/>
      <c r="LLA3" s="120"/>
      <c r="LLB3" s="120"/>
      <c r="LLC3" s="120"/>
      <c r="LLD3" s="120"/>
      <c r="LLE3" s="120"/>
      <c r="LLF3" s="120"/>
      <c r="LLG3" s="120"/>
      <c r="LLH3" s="120"/>
      <c r="LLI3" s="120"/>
      <c r="LLJ3" s="120"/>
      <c r="LLK3" s="120"/>
      <c r="LLL3" s="120"/>
      <c r="LLM3" s="120"/>
      <c r="LLN3" s="120"/>
      <c r="LLO3" s="120"/>
      <c r="LLP3" s="120"/>
      <c r="LLQ3" s="120"/>
      <c r="LLR3" s="120"/>
      <c r="LLS3" s="120"/>
      <c r="LLT3" s="120"/>
      <c r="LLU3" s="120"/>
      <c r="LLV3" s="120"/>
      <c r="LLW3" s="120"/>
      <c r="LLX3" s="120"/>
      <c r="LLY3" s="120"/>
      <c r="LLZ3" s="120"/>
      <c r="LMA3" s="120"/>
      <c r="LMB3" s="120"/>
      <c r="LMC3" s="120"/>
      <c r="LMD3" s="120"/>
      <c r="LME3" s="120"/>
      <c r="LMF3" s="120"/>
      <c r="LMG3" s="120"/>
      <c r="LMH3" s="120"/>
      <c r="LMI3" s="120"/>
      <c r="LMJ3" s="120"/>
      <c r="LMK3" s="120"/>
      <c r="LML3" s="120"/>
      <c r="LMM3" s="120"/>
      <c r="LMN3" s="120"/>
      <c r="LMO3" s="120"/>
      <c r="LMP3" s="120"/>
      <c r="LMQ3" s="120"/>
      <c r="LMR3" s="120"/>
      <c r="LMS3" s="120"/>
      <c r="LMT3" s="120"/>
      <c r="LMU3" s="120"/>
      <c r="LMV3" s="120"/>
      <c r="LMW3" s="120"/>
      <c r="LMX3" s="120"/>
      <c r="LMY3" s="120"/>
      <c r="LMZ3" s="120"/>
      <c r="LNA3" s="120"/>
      <c r="LNB3" s="120"/>
      <c r="LNC3" s="120"/>
      <c r="LND3" s="120"/>
      <c r="LNE3" s="120"/>
      <c r="LNF3" s="120"/>
      <c r="LNG3" s="120"/>
      <c r="LNH3" s="120"/>
      <c r="LNI3" s="120"/>
      <c r="LNJ3" s="120"/>
      <c r="LNK3" s="120"/>
      <c r="LNL3" s="120"/>
      <c r="LNM3" s="120"/>
      <c r="LNN3" s="120"/>
      <c r="LNO3" s="120"/>
      <c r="LNP3" s="120"/>
      <c r="LNQ3" s="120"/>
      <c r="LNR3" s="120"/>
      <c r="LNS3" s="120"/>
      <c r="LNT3" s="120"/>
      <c r="LNU3" s="120"/>
      <c r="LNV3" s="120"/>
      <c r="LNW3" s="120"/>
      <c r="LNX3" s="120"/>
      <c r="LNY3" s="120"/>
      <c r="LNZ3" s="120"/>
      <c r="LOA3" s="120"/>
      <c r="LOB3" s="120"/>
      <c r="LOC3" s="120"/>
      <c r="LOD3" s="120"/>
      <c r="LOE3" s="120"/>
      <c r="LOF3" s="120"/>
      <c r="LOG3" s="120"/>
      <c r="LOH3" s="120"/>
      <c r="LOI3" s="120"/>
      <c r="LOJ3" s="120"/>
      <c r="LOK3" s="120"/>
      <c r="LOL3" s="120"/>
      <c r="LOM3" s="120"/>
      <c r="LON3" s="120"/>
      <c r="LOO3" s="120"/>
      <c r="LOP3" s="120"/>
      <c r="LOQ3" s="120"/>
      <c r="LOR3" s="120"/>
      <c r="LOS3" s="120"/>
      <c r="LOT3" s="120"/>
      <c r="LOU3" s="120"/>
      <c r="LOV3" s="120"/>
      <c r="LOW3" s="120"/>
      <c r="LOX3" s="120"/>
      <c r="LOY3" s="120"/>
      <c r="LOZ3" s="120"/>
      <c r="LPA3" s="120"/>
      <c r="LPB3" s="120"/>
      <c r="LPC3" s="120"/>
      <c r="LPD3" s="120"/>
      <c r="LPE3" s="120"/>
      <c r="LPF3" s="120"/>
      <c r="LPG3" s="120"/>
      <c r="LPH3" s="120"/>
      <c r="LPI3" s="120"/>
      <c r="LPJ3" s="120"/>
      <c r="LPK3" s="120"/>
      <c r="LPL3" s="120"/>
      <c r="LPM3" s="120"/>
      <c r="LPN3" s="120"/>
      <c r="LPO3" s="120"/>
      <c r="LPP3" s="120"/>
      <c r="LPQ3" s="120"/>
      <c r="LPR3" s="120"/>
      <c r="LPS3" s="120"/>
      <c r="LPT3" s="120"/>
      <c r="LPU3" s="120"/>
      <c r="LPV3" s="120"/>
      <c r="LPW3" s="120"/>
      <c r="LPX3" s="120"/>
      <c r="LPY3" s="120"/>
      <c r="LPZ3" s="120"/>
      <c r="LQA3" s="120"/>
      <c r="LQB3" s="120"/>
      <c r="LQC3" s="120"/>
      <c r="LQD3" s="120"/>
      <c r="LQE3" s="120"/>
      <c r="LQF3" s="120"/>
      <c r="LQG3" s="120"/>
      <c r="LQH3" s="120"/>
      <c r="LQI3" s="120"/>
      <c r="LQJ3" s="120"/>
      <c r="LQK3" s="120"/>
      <c r="LQL3" s="120"/>
      <c r="LQM3" s="120"/>
      <c r="LQN3" s="120"/>
      <c r="LQO3" s="120"/>
      <c r="LQP3" s="120"/>
      <c r="LQQ3" s="120"/>
      <c r="LQR3" s="120"/>
      <c r="LQS3" s="120"/>
      <c r="LQT3" s="120"/>
      <c r="LQU3" s="120"/>
      <c r="LQV3" s="120"/>
      <c r="LQW3" s="120"/>
      <c r="LQX3" s="120"/>
      <c r="LQY3" s="120"/>
      <c r="LQZ3" s="120"/>
      <c r="LRA3" s="120"/>
      <c r="LRB3" s="120"/>
      <c r="LRC3" s="120"/>
      <c r="LRD3" s="120"/>
      <c r="LRE3" s="120"/>
      <c r="LRF3" s="120"/>
      <c r="LRG3" s="120"/>
      <c r="LRH3" s="120"/>
      <c r="LRI3" s="120"/>
      <c r="LRJ3" s="120"/>
      <c r="LRK3" s="120"/>
      <c r="LRL3" s="120"/>
      <c r="LRM3" s="120"/>
      <c r="LRN3" s="120"/>
      <c r="LRO3" s="120"/>
      <c r="LRP3" s="120"/>
      <c r="LRQ3" s="120"/>
      <c r="LRR3" s="120"/>
      <c r="LRS3" s="120"/>
      <c r="LRT3" s="120"/>
      <c r="LRU3" s="120"/>
      <c r="LRV3" s="120"/>
      <c r="LRW3" s="120"/>
      <c r="LRX3" s="120"/>
      <c r="LRY3" s="120"/>
      <c r="LRZ3" s="120"/>
      <c r="LSA3" s="120"/>
      <c r="LSB3" s="120"/>
      <c r="LSC3" s="120"/>
      <c r="LSD3" s="120"/>
      <c r="LSE3" s="120"/>
      <c r="LSF3" s="120"/>
      <c r="LSG3" s="120"/>
      <c r="LSH3" s="120"/>
      <c r="LSI3" s="120"/>
      <c r="LSJ3" s="120"/>
      <c r="LSK3" s="120"/>
      <c r="LSL3" s="120"/>
      <c r="LSM3" s="120"/>
      <c r="LSN3" s="120"/>
      <c r="LSO3" s="120"/>
      <c r="LSP3" s="120"/>
      <c r="LSQ3" s="120"/>
      <c r="LSR3" s="120"/>
      <c r="LSS3" s="120"/>
      <c r="LST3" s="120"/>
      <c r="LSU3" s="120"/>
      <c r="LSV3" s="120"/>
      <c r="LSW3" s="120"/>
      <c r="LSX3" s="120"/>
      <c r="LSY3" s="120"/>
      <c r="LSZ3" s="120"/>
      <c r="LTA3" s="120"/>
      <c r="LTB3" s="120"/>
      <c r="LTC3" s="120"/>
      <c r="LTD3" s="120"/>
      <c r="LTE3" s="120"/>
      <c r="LTF3" s="120"/>
      <c r="LTG3" s="120"/>
      <c r="LTH3" s="120"/>
      <c r="LTI3" s="120"/>
      <c r="LTJ3" s="120"/>
      <c r="LTK3" s="120"/>
      <c r="LTL3" s="120"/>
      <c r="LTM3" s="120"/>
      <c r="LTN3" s="120"/>
      <c r="LTO3" s="120"/>
      <c r="LTP3" s="120"/>
      <c r="LTQ3" s="120"/>
      <c r="LTR3" s="120"/>
      <c r="LTS3" s="120"/>
      <c r="LTT3" s="120"/>
      <c r="LTU3" s="120"/>
      <c r="LTV3" s="120"/>
      <c r="LTW3" s="120"/>
      <c r="LTX3" s="120"/>
      <c r="LTY3" s="120"/>
      <c r="LTZ3" s="120"/>
      <c r="LUA3" s="120"/>
      <c r="LUB3" s="120"/>
      <c r="LUC3" s="120"/>
      <c r="LUD3" s="120"/>
      <c r="LUE3" s="120"/>
      <c r="LUF3" s="120"/>
      <c r="LUG3" s="120"/>
      <c r="LUH3" s="120"/>
      <c r="LUI3" s="120"/>
      <c r="LUJ3" s="120"/>
      <c r="LUK3" s="120"/>
      <c r="LUL3" s="120"/>
      <c r="LUM3" s="120"/>
      <c r="LUN3" s="120"/>
      <c r="LUO3" s="120"/>
      <c r="LUP3" s="120"/>
      <c r="LUQ3" s="120"/>
      <c r="LUR3" s="120"/>
      <c r="LUS3" s="120"/>
      <c r="LUT3" s="120"/>
      <c r="LUU3" s="120"/>
      <c r="LUV3" s="120"/>
      <c r="LUW3" s="120"/>
      <c r="LUX3" s="120"/>
      <c r="LUY3" s="120"/>
      <c r="LUZ3" s="120"/>
      <c r="LVA3" s="120"/>
      <c r="LVB3" s="120"/>
      <c r="LVC3" s="120"/>
      <c r="LVD3" s="120"/>
      <c r="LVE3" s="120"/>
      <c r="LVF3" s="120"/>
      <c r="LVG3" s="120"/>
      <c r="LVH3" s="120"/>
      <c r="LVI3" s="120"/>
      <c r="LVJ3" s="120"/>
      <c r="LVK3" s="120"/>
      <c r="LVL3" s="120"/>
      <c r="LVM3" s="120"/>
      <c r="LVN3" s="120"/>
      <c r="LVO3" s="120"/>
      <c r="LVP3" s="120"/>
      <c r="LVQ3" s="120"/>
      <c r="LVR3" s="120"/>
      <c r="LVS3" s="120"/>
      <c r="LVT3" s="120"/>
      <c r="LVU3" s="120"/>
      <c r="LVV3" s="120"/>
      <c r="LVW3" s="120"/>
      <c r="LVX3" s="120"/>
      <c r="LVY3" s="120"/>
      <c r="LVZ3" s="120"/>
      <c r="LWA3" s="120"/>
      <c r="LWB3" s="120"/>
      <c r="LWC3" s="120"/>
      <c r="LWD3" s="120"/>
      <c r="LWE3" s="120"/>
      <c r="LWF3" s="120"/>
      <c r="LWG3" s="120"/>
      <c r="LWH3" s="120"/>
      <c r="LWI3" s="120"/>
      <c r="LWJ3" s="120"/>
      <c r="LWK3" s="120"/>
      <c r="LWL3" s="120"/>
      <c r="LWM3" s="120"/>
      <c r="LWN3" s="120"/>
      <c r="LWO3" s="120"/>
      <c r="LWP3" s="120"/>
      <c r="LWQ3" s="120"/>
      <c r="LWR3" s="120"/>
      <c r="LWS3" s="120"/>
      <c r="LWT3" s="120"/>
      <c r="LWU3" s="120"/>
      <c r="LWV3" s="120"/>
      <c r="LWW3" s="120"/>
      <c r="LWX3" s="120"/>
      <c r="LWY3" s="120"/>
      <c r="LWZ3" s="120"/>
      <c r="LXA3" s="120"/>
      <c r="LXB3" s="120"/>
      <c r="LXC3" s="120"/>
      <c r="LXD3" s="120"/>
      <c r="LXE3" s="120"/>
      <c r="LXF3" s="120"/>
      <c r="LXG3" s="120"/>
      <c r="LXH3" s="120"/>
      <c r="LXI3" s="120"/>
      <c r="LXJ3" s="120"/>
      <c r="LXK3" s="120"/>
      <c r="LXL3" s="120"/>
      <c r="LXM3" s="120"/>
      <c r="LXN3" s="120"/>
      <c r="LXO3" s="120"/>
      <c r="LXP3" s="120"/>
      <c r="LXQ3" s="120"/>
      <c r="LXR3" s="120"/>
      <c r="LXS3" s="120"/>
      <c r="LXT3" s="120"/>
      <c r="LXU3" s="120"/>
      <c r="LXV3" s="120"/>
      <c r="LXW3" s="120"/>
      <c r="LXX3" s="120"/>
      <c r="LXY3" s="120"/>
      <c r="LXZ3" s="120"/>
      <c r="LYA3" s="120"/>
      <c r="LYB3" s="120"/>
      <c r="LYC3" s="120"/>
      <c r="LYD3" s="120"/>
      <c r="LYE3" s="120"/>
      <c r="LYF3" s="120"/>
      <c r="LYG3" s="120"/>
      <c r="LYH3" s="120"/>
      <c r="LYI3" s="120"/>
      <c r="LYJ3" s="120"/>
      <c r="LYK3" s="120"/>
      <c r="LYL3" s="120"/>
      <c r="LYM3" s="120"/>
      <c r="LYN3" s="120"/>
      <c r="LYO3" s="120"/>
      <c r="LYP3" s="120"/>
      <c r="LYQ3" s="120"/>
      <c r="LYR3" s="120"/>
      <c r="LYS3" s="120"/>
      <c r="LYT3" s="120"/>
      <c r="LYU3" s="120"/>
      <c r="LYV3" s="120"/>
      <c r="LYW3" s="120"/>
      <c r="LYX3" s="120"/>
      <c r="LYY3" s="120"/>
      <c r="LYZ3" s="120"/>
      <c r="LZA3" s="120"/>
      <c r="LZB3" s="120"/>
      <c r="LZC3" s="120"/>
      <c r="LZD3" s="120"/>
      <c r="LZE3" s="120"/>
      <c r="LZF3" s="120"/>
      <c r="LZG3" s="120"/>
      <c r="LZH3" s="120"/>
      <c r="LZI3" s="120"/>
      <c r="LZJ3" s="120"/>
      <c r="LZK3" s="120"/>
      <c r="LZL3" s="120"/>
      <c r="LZM3" s="120"/>
      <c r="LZN3" s="120"/>
      <c r="LZO3" s="120"/>
      <c r="LZP3" s="120"/>
      <c r="LZQ3" s="120"/>
      <c r="LZR3" s="120"/>
      <c r="LZS3" s="120"/>
      <c r="LZT3" s="120"/>
      <c r="LZU3" s="120"/>
      <c r="LZV3" s="120"/>
      <c r="LZW3" s="120"/>
      <c r="LZX3" s="120"/>
      <c r="LZY3" s="120"/>
      <c r="LZZ3" s="120"/>
      <c r="MAA3" s="120"/>
      <c r="MAB3" s="120"/>
      <c r="MAC3" s="120"/>
      <c r="MAD3" s="120"/>
      <c r="MAE3" s="120"/>
      <c r="MAF3" s="120"/>
      <c r="MAG3" s="120"/>
      <c r="MAH3" s="120"/>
      <c r="MAI3" s="120"/>
      <c r="MAJ3" s="120"/>
      <c r="MAK3" s="120"/>
      <c r="MAL3" s="120"/>
      <c r="MAM3" s="120"/>
      <c r="MAN3" s="120"/>
      <c r="MAO3" s="120"/>
      <c r="MAP3" s="120"/>
      <c r="MAQ3" s="120"/>
      <c r="MAR3" s="120"/>
      <c r="MAS3" s="120"/>
      <c r="MAT3" s="120"/>
      <c r="MAU3" s="120"/>
      <c r="MAV3" s="120"/>
      <c r="MAW3" s="120"/>
      <c r="MAX3" s="120"/>
      <c r="MAY3" s="120"/>
      <c r="MAZ3" s="120"/>
      <c r="MBA3" s="120"/>
      <c r="MBB3" s="120"/>
      <c r="MBC3" s="120"/>
      <c r="MBD3" s="120"/>
      <c r="MBE3" s="120"/>
      <c r="MBF3" s="120"/>
      <c r="MBG3" s="120"/>
      <c r="MBH3" s="120"/>
      <c r="MBI3" s="120"/>
      <c r="MBJ3" s="120"/>
      <c r="MBK3" s="120"/>
      <c r="MBL3" s="120"/>
      <c r="MBM3" s="120"/>
      <c r="MBN3" s="120"/>
      <c r="MBO3" s="120"/>
      <c r="MBP3" s="120"/>
      <c r="MBQ3" s="120"/>
      <c r="MBR3" s="120"/>
      <c r="MBS3" s="120"/>
      <c r="MBT3" s="120"/>
      <c r="MBU3" s="120"/>
      <c r="MBV3" s="120"/>
      <c r="MBW3" s="120"/>
      <c r="MBX3" s="120"/>
      <c r="MBY3" s="120"/>
      <c r="MBZ3" s="120"/>
      <c r="MCA3" s="120"/>
      <c r="MCB3" s="120"/>
      <c r="MCC3" s="120"/>
      <c r="MCD3" s="120"/>
      <c r="MCE3" s="120"/>
      <c r="MCF3" s="120"/>
      <c r="MCG3" s="120"/>
      <c r="MCH3" s="120"/>
      <c r="MCI3" s="120"/>
      <c r="MCJ3" s="120"/>
      <c r="MCK3" s="120"/>
      <c r="MCL3" s="120"/>
      <c r="MCM3" s="120"/>
      <c r="MCN3" s="120"/>
      <c r="MCO3" s="120"/>
      <c r="MCP3" s="120"/>
      <c r="MCQ3" s="120"/>
      <c r="MCR3" s="120"/>
      <c r="MCS3" s="120"/>
      <c r="MCT3" s="120"/>
      <c r="MCU3" s="120"/>
      <c r="MCV3" s="120"/>
      <c r="MCW3" s="120"/>
      <c r="MCX3" s="120"/>
      <c r="MCY3" s="120"/>
      <c r="MCZ3" s="120"/>
      <c r="MDA3" s="120"/>
      <c r="MDB3" s="120"/>
      <c r="MDC3" s="120"/>
      <c r="MDD3" s="120"/>
      <c r="MDE3" s="120"/>
      <c r="MDF3" s="120"/>
      <c r="MDG3" s="120"/>
      <c r="MDH3" s="120"/>
      <c r="MDI3" s="120"/>
      <c r="MDJ3" s="120"/>
      <c r="MDK3" s="120"/>
      <c r="MDL3" s="120"/>
      <c r="MDM3" s="120"/>
      <c r="MDN3" s="120"/>
      <c r="MDO3" s="120"/>
      <c r="MDP3" s="120"/>
      <c r="MDQ3" s="120"/>
      <c r="MDR3" s="120"/>
      <c r="MDS3" s="120"/>
      <c r="MDT3" s="120"/>
      <c r="MDU3" s="120"/>
      <c r="MDV3" s="120"/>
      <c r="MDW3" s="120"/>
      <c r="MDX3" s="120"/>
      <c r="MDY3" s="120"/>
      <c r="MDZ3" s="120"/>
      <c r="MEA3" s="120"/>
      <c r="MEB3" s="120"/>
      <c r="MEC3" s="120"/>
      <c r="MED3" s="120"/>
      <c r="MEE3" s="120"/>
      <c r="MEF3" s="120"/>
      <c r="MEG3" s="120"/>
      <c r="MEH3" s="120"/>
      <c r="MEI3" s="120"/>
      <c r="MEJ3" s="120"/>
      <c r="MEK3" s="120"/>
      <c r="MEL3" s="120"/>
      <c r="MEM3" s="120"/>
      <c r="MEN3" s="120"/>
      <c r="MEO3" s="120"/>
      <c r="MEP3" s="120"/>
      <c r="MEQ3" s="120"/>
      <c r="MER3" s="120"/>
      <c r="MES3" s="120"/>
      <c r="MET3" s="120"/>
      <c r="MEU3" s="120"/>
      <c r="MEV3" s="120"/>
      <c r="MEW3" s="120"/>
      <c r="MEX3" s="120"/>
      <c r="MEY3" s="120"/>
      <c r="MEZ3" s="120"/>
      <c r="MFA3" s="120"/>
      <c r="MFB3" s="120"/>
      <c r="MFC3" s="120"/>
      <c r="MFD3" s="120"/>
      <c r="MFE3" s="120"/>
      <c r="MFF3" s="120"/>
      <c r="MFG3" s="120"/>
      <c r="MFH3" s="120"/>
      <c r="MFI3" s="120"/>
      <c r="MFJ3" s="120"/>
      <c r="MFK3" s="120"/>
      <c r="MFL3" s="120"/>
      <c r="MFM3" s="120"/>
      <c r="MFN3" s="120"/>
      <c r="MFO3" s="120"/>
      <c r="MFP3" s="120"/>
      <c r="MFQ3" s="120"/>
      <c r="MFR3" s="120"/>
      <c r="MFS3" s="120"/>
      <c r="MFT3" s="120"/>
      <c r="MFU3" s="120"/>
      <c r="MFV3" s="120"/>
      <c r="MFW3" s="120"/>
      <c r="MFX3" s="120"/>
      <c r="MFY3" s="120"/>
      <c r="MFZ3" s="120"/>
      <c r="MGA3" s="120"/>
      <c r="MGB3" s="120"/>
      <c r="MGC3" s="120"/>
      <c r="MGD3" s="120"/>
      <c r="MGE3" s="120"/>
      <c r="MGF3" s="120"/>
      <c r="MGG3" s="120"/>
      <c r="MGH3" s="120"/>
      <c r="MGI3" s="120"/>
      <c r="MGJ3" s="120"/>
      <c r="MGK3" s="120"/>
      <c r="MGL3" s="120"/>
      <c r="MGM3" s="120"/>
      <c r="MGN3" s="120"/>
      <c r="MGO3" s="120"/>
      <c r="MGP3" s="120"/>
      <c r="MGQ3" s="120"/>
      <c r="MGR3" s="120"/>
      <c r="MGS3" s="120"/>
      <c r="MGT3" s="120"/>
      <c r="MGU3" s="120"/>
      <c r="MGV3" s="120"/>
      <c r="MGW3" s="120"/>
      <c r="MGX3" s="120"/>
      <c r="MGY3" s="120"/>
      <c r="MGZ3" s="120"/>
      <c r="MHA3" s="120"/>
      <c r="MHB3" s="120"/>
      <c r="MHC3" s="120"/>
      <c r="MHD3" s="120"/>
      <c r="MHE3" s="120"/>
      <c r="MHF3" s="120"/>
      <c r="MHG3" s="120"/>
      <c r="MHH3" s="120"/>
      <c r="MHI3" s="120"/>
      <c r="MHJ3" s="120"/>
      <c r="MHK3" s="120"/>
      <c r="MHL3" s="120"/>
      <c r="MHM3" s="120"/>
      <c r="MHN3" s="120"/>
      <c r="MHO3" s="120"/>
      <c r="MHP3" s="120"/>
      <c r="MHQ3" s="120"/>
      <c r="MHR3" s="120"/>
      <c r="MHS3" s="120"/>
      <c r="MHT3" s="120"/>
      <c r="MHU3" s="120"/>
      <c r="MHV3" s="120"/>
      <c r="MHW3" s="120"/>
      <c r="MHX3" s="120"/>
      <c r="MHY3" s="120"/>
      <c r="MHZ3" s="120"/>
      <c r="MIA3" s="120"/>
      <c r="MIB3" s="120"/>
      <c r="MIC3" s="120"/>
      <c r="MID3" s="120"/>
      <c r="MIE3" s="120"/>
      <c r="MIF3" s="120"/>
      <c r="MIG3" s="120"/>
      <c r="MIH3" s="120"/>
      <c r="MII3" s="120"/>
      <c r="MIJ3" s="120"/>
      <c r="MIK3" s="120"/>
      <c r="MIL3" s="120"/>
      <c r="MIM3" s="120"/>
      <c r="MIN3" s="120"/>
      <c r="MIO3" s="120"/>
      <c r="MIP3" s="120"/>
      <c r="MIQ3" s="120"/>
      <c r="MIR3" s="120"/>
      <c r="MIS3" s="120"/>
      <c r="MIT3" s="120"/>
      <c r="MIU3" s="120"/>
      <c r="MIV3" s="120"/>
      <c r="MIW3" s="120"/>
      <c r="MIX3" s="120"/>
      <c r="MIY3" s="120"/>
      <c r="MIZ3" s="120"/>
      <c r="MJA3" s="120"/>
      <c r="MJB3" s="120"/>
      <c r="MJC3" s="120"/>
      <c r="MJD3" s="120"/>
      <c r="MJE3" s="120"/>
      <c r="MJF3" s="120"/>
      <c r="MJG3" s="120"/>
      <c r="MJH3" s="120"/>
      <c r="MJI3" s="120"/>
      <c r="MJJ3" s="120"/>
      <c r="MJK3" s="120"/>
      <c r="MJL3" s="120"/>
      <c r="MJM3" s="120"/>
      <c r="MJN3" s="120"/>
      <c r="MJO3" s="120"/>
      <c r="MJP3" s="120"/>
      <c r="MJQ3" s="120"/>
      <c r="MJR3" s="120"/>
      <c r="MJS3" s="120"/>
      <c r="MJT3" s="120"/>
      <c r="MJU3" s="120"/>
      <c r="MJV3" s="120"/>
      <c r="MJW3" s="120"/>
      <c r="MJX3" s="120"/>
      <c r="MJY3" s="120"/>
      <c r="MJZ3" s="120"/>
      <c r="MKA3" s="120"/>
      <c r="MKB3" s="120"/>
      <c r="MKC3" s="120"/>
      <c r="MKD3" s="120"/>
      <c r="MKE3" s="120"/>
      <c r="MKF3" s="120"/>
      <c r="MKG3" s="120"/>
      <c r="MKH3" s="120"/>
      <c r="MKI3" s="120"/>
      <c r="MKJ3" s="120"/>
      <c r="MKK3" s="120"/>
      <c r="MKL3" s="120"/>
      <c r="MKM3" s="120"/>
      <c r="MKN3" s="120"/>
      <c r="MKO3" s="120"/>
      <c r="MKP3" s="120"/>
      <c r="MKQ3" s="120"/>
      <c r="MKR3" s="120"/>
      <c r="MKS3" s="120"/>
      <c r="MKT3" s="120"/>
      <c r="MKU3" s="120"/>
      <c r="MKV3" s="120"/>
      <c r="MKW3" s="120"/>
      <c r="MKX3" s="120"/>
      <c r="MKY3" s="120"/>
      <c r="MKZ3" s="120"/>
      <c r="MLA3" s="120"/>
      <c r="MLB3" s="120"/>
      <c r="MLC3" s="120"/>
      <c r="MLD3" s="120"/>
      <c r="MLE3" s="120"/>
      <c r="MLF3" s="120"/>
      <c r="MLG3" s="120"/>
      <c r="MLH3" s="120"/>
      <c r="MLI3" s="120"/>
      <c r="MLJ3" s="120"/>
      <c r="MLK3" s="120"/>
      <c r="MLL3" s="120"/>
      <c r="MLM3" s="120"/>
      <c r="MLN3" s="120"/>
      <c r="MLO3" s="120"/>
      <c r="MLP3" s="120"/>
      <c r="MLQ3" s="120"/>
      <c r="MLR3" s="120"/>
      <c r="MLS3" s="120"/>
      <c r="MLT3" s="120"/>
      <c r="MLU3" s="120"/>
      <c r="MLV3" s="120"/>
      <c r="MLW3" s="120"/>
      <c r="MLX3" s="120"/>
      <c r="MLY3" s="120"/>
      <c r="MLZ3" s="120"/>
      <c r="MMA3" s="120"/>
      <c r="MMB3" s="120"/>
      <c r="MMC3" s="120"/>
      <c r="MMD3" s="120"/>
      <c r="MME3" s="120"/>
      <c r="MMF3" s="120"/>
      <c r="MMG3" s="120"/>
      <c r="MMH3" s="120"/>
      <c r="MMI3" s="120"/>
      <c r="MMJ3" s="120"/>
      <c r="MMK3" s="120"/>
      <c r="MML3" s="120"/>
      <c r="MMM3" s="120"/>
      <c r="MMN3" s="120"/>
      <c r="MMO3" s="120"/>
      <c r="MMP3" s="120"/>
      <c r="MMQ3" s="120"/>
      <c r="MMR3" s="120"/>
      <c r="MMS3" s="120"/>
      <c r="MMT3" s="120"/>
      <c r="MMU3" s="120"/>
      <c r="MMV3" s="120"/>
      <c r="MMW3" s="120"/>
      <c r="MMX3" s="120"/>
      <c r="MMY3" s="120"/>
      <c r="MMZ3" s="120"/>
      <c r="MNA3" s="120"/>
      <c r="MNB3" s="120"/>
      <c r="MNC3" s="120"/>
      <c r="MND3" s="120"/>
      <c r="MNE3" s="120"/>
      <c r="MNF3" s="120"/>
      <c r="MNG3" s="120"/>
      <c r="MNH3" s="120"/>
      <c r="MNI3" s="120"/>
      <c r="MNJ3" s="120"/>
      <c r="MNK3" s="120"/>
      <c r="MNL3" s="120"/>
      <c r="MNM3" s="120"/>
      <c r="MNN3" s="120"/>
      <c r="MNO3" s="120"/>
      <c r="MNP3" s="120"/>
      <c r="MNQ3" s="120"/>
      <c r="MNR3" s="120"/>
      <c r="MNS3" s="120"/>
      <c r="MNT3" s="120"/>
      <c r="MNU3" s="120"/>
      <c r="MNV3" s="120"/>
      <c r="MNW3" s="120"/>
      <c r="MNX3" s="120"/>
      <c r="MNY3" s="120"/>
      <c r="MNZ3" s="120"/>
      <c r="MOA3" s="120"/>
      <c r="MOB3" s="120"/>
      <c r="MOC3" s="120"/>
      <c r="MOD3" s="120"/>
      <c r="MOE3" s="120"/>
      <c r="MOF3" s="120"/>
      <c r="MOG3" s="120"/>
      <c r="MOH3" s="120"/>
      <c r="MOI3" s="120"/>
      <c r="MOJ3" s="120"/>
      <c r="MOK3" s="120"/>
      <c r="MOL3" s="120"/>
      <c r="MOM3" s="120"/>
      <c r="MON3" s="120"/>
      <c r="MOO3" s="120"/>
      <c r="MOP3" s="120"/>
      <c r="MOQ3" s="120"/>
      <c r="MOR3" s="120"/>
      <c r="MOS3" s="120"/>
      <c r="MOT3" s="120"/>
      <c r="MOU3" s="120"/>
      <c r="MOV3" s="120"/>
      <c r="MOW3" s="120"/>
      <c r="MOX3" s="120"/>
      <c r="MOY3" s="120"/>
      <c r="MOZ3" s="120"/>
      <c r="MPA3" s="120"/>
      <c r="MPB3" s="120"/>
      <c r="MPC3" s="120"/>
      <c r="MPD3" s="120"/>
      <c r="MPE3" s="120"/>
      <c r="MPF3" s="120"/>
      <c r="MPG3" s="120"/>
      <c r="MPH3" s="120"/>
      <c r="MPI3" s="120"/>
      <c r="MPJ3" s="120"/>
      <c r="MPK3" s="120"/>
      <c r="MPL3" s="120"/>
      <c r="MPM3" s="120"/>
      <c r="MPN3" s="120"/>
      <c r="MPO3" s="120"/>
      <c r="MPP3" s="120"/>
      <c r="MPQ3" s="120"/>
      <c r="MPR3" s="120"/>
      <c r="MPS3" s="120"/>
      <c r="MPT3" s="120"/>
      <c r="MPU3" s="120"/>
      <c r="MPV3" s="120"/>
      <c r="MPW3" s="120"/>
      <c r="MPX3" s="120"/>
      <c r="MPY3" s="120"/>
      <c r="MPZ3" s="120"/>
      <c r="MQA3" s="120"/>
      <c r="MQB3" s="120"/>
      <c r="MQC3" s="120"/>
      <c r="MQD3" s="120"/>
      <c r="MQE3" s="120"/>
      <c r="MQF3" s="120"/>
      <c r="MQG3" s="120"/>
      <c r="MQH3" s="120"/>
      <c r="MQI3" s="120"/>
      <c r="MQJ3" s="120"/>
      <c r="MQK3" s="120"/>
      <c r="MQL3" s="120"/>
      <c r="MQM3" s="120"/>
      <c r="MQN3" s="120"/>
      <c r="MQO3" s="120"/>
      <c r="MQP3" s="120"/>
      <c r="MQQ3" s="120"/>
      <c r="MQR3" s="120"/>
      <c r="MQS3" s="120"/>
      <c r="MQT3" s="120"/>
      <c r="MQU3" s="120"/>
      <c r="MQV3" s="120"/>
      <c r="MQW3" s="120"/>
      <c r="MQX3" s="120"/>
      <c r="MQY3" s="120"/>
      <c r="MQZ3" s="120"/>
      <c r="MRA3" s="120"/>
      <c r="MRB3" s="120"/>
      <c r="MRC3" s="120"/>
      <c r="MRD3" s="120"/>
      <c r="MRE3" s="120"/>
      <c r="MRF3" s="120"/>
      <c r="MRG3" s="120"/>
      <c r="MRH3" s="120"/>
      <c r="MRI3" s="120"/>
      <c r="MRJ3" s="120"/>
      <c r="MRK3" s="120"/>
      <c r="MRL3" s="120"/>
      <c r="MRM3" s="120"/>
      <c r="MRN3" s="120"/>
      <c r="MRO3" s="120"/>
      <c r="MRP3" s="120"/>
      <c r="MRQ3" s="120"/>
      <c r="MRR3" s="120"/>
      <c r="MRS3" s="120"/>
      <c r="MRT3" s="120"/>
      <c r="MRU3" s="120"/>
      <c r="MRV3" s="120"/>
      <c r="MRW3" s="120"/>
      <c r="MRX3" s="120"/>
      <c r="MRY3" s="120"/>
      <c r="MRZ3" s="120"/>
      <c r="MSA3" s="120"/>
      <c r="MSB3" s="120"/>
      <c r="MSC3" s="120"/>
      <c r="MSD3" s="120"/>
      <c r="MSE3" s="120"/>
      <c r="MSF3" s="120"/>
      <c r="MSG3" s="120"/>
      <c r="MSH3" s="120"/>
      <c r="MSI3" s="120"/>
      <c r="MSJ3" s="120"/>
      <c r="MSK3" s="120"/>
      <c r="MSL3" s="120"/>
      <c r="MSM3" s="120"/>
      <c r="MSN3" s="120"/>
      <c r="MSO3" s="120"/>
      <c r="MSP3" s="120"/>
      <c r="MSQ3" s="120"/>
      <c r="MSR3" s="120"/>
      <c r="MSS3" s="120"/>
      <c r="MST3" s="120"/>
      <c r="MSU3" s="120"/>
      <c r="MSV3" s="120"/>
      <c r="MSW3" s="120"/>
      <c r="MSX3" s="120"/>
      <c r="MSY3" s="120"/>
      <c r="MSZ3" s="120"/>
      <c r="MTA3" s="120"/>
      <c r="MTB3" s="120"/>
      <c r="MTC3" s="120"/>
      <c r="MTD3" s="120"/>
      <c r="MTE3" s="120"/>
      <c r="MTF3" s="120"/>
      <c r="MTG3" s="120"/>
      <c r="MTH3" s="120"/>
      <c r="MTI3" s="120"/>
      <c r="MTJ3" s="120"/>
      <c r="MTK3" s="120"/>
      <c r="MTL3" s="120"/>
      <c r="MTM3" s="120"/>
      <c r="MTN3" s="120"/>
      <c r="MTO3" s="120"/>
      <c r="MTP3" s="120"/>
      <c r="MTQ3" s="120"/>
      <c r="MTR3" s="120"/>
      <c r="MTS3" s="120"/>
      <c r="MTT3" s="120"/>
      <c r="MTU3" s="120"/>
      <c r="MTV3" s="120"/>
      <c r="MTW3" s="120"/>
      <c r="MTX3" s="120"/>
      <c r="MTY3" s="120"/>
      <c r="MTZ3" s="120"/>
      <c r="MUA3" s="120"/>
      <c r="MUB3" s="120"/>
      <c r="MUC3" s="120"/>
      <c r="MUD3" s="120"/>
      <c r="MUE3" s="120"/>
      <c r="MUF3" s="120"/>
      <c r="MUG3" s="120"/>
      <c r="MUH3" s="120"/>
      <c r="MUI3" s="120"/>
      <c r="MUJ3" s="120"/>
      <c r="MUK3" s="120"/>
      <c r="MUL3" s="120"/>
      <c r="MUM3" s="120"/>
      <c r="MUN3" s="120"/>
      <c r="MUO3" s="120"/>
      <c r="MUP3" s="120"/>
      <c r="MUQ3" s="120"/>
      <c r="MUR3" s="120"/>
      <c r="MUS3" s="120"/>
      <c r="MUT3" s="120"/>
      <c r="MUU3" s="120"/>
      <c r="MUV3" s="120"/>
      <c r="MUW3" s="120"/>
      <c r="MUX3" s="120"/>
      <c r="MUY3" s="120"/>
      <c r="MUZ3" s="120"/>
      <c r="MVA3" s="120"/>
      <c r="MVB3" s="120"/>
      <c r="MVC3" s="120"/>
      <c r="MVD3" s="120"/>
      <c r="MVE3" s="120"/>
      <c r="MVF3" s="120"/>
      <c r="MVG3" s="120"/>
      <c r="MVH3" s="120"/>
      <c r="MVI3" s="120"/>
      <c r="MVJ3" s="120"/>
      <c r="MVK3" s="120"/>
      <c r="MVL3" s="120"/>
      <c r="MVM3" s="120"/>
      <c r="MVN3" s="120"/>
      <c r="MVO3" s="120"/>
      <c r="MVP3" s="120"/>
      <c r="MVQ3" s="120"/>
      <c r="MVR3" s="120"/>
      <c r="MVS3" s="120"/>
      <c r="MVT3" s="120"/>
      <c r="MVU3" s="120"/>
      <c r="MVV3" s="120"/>
      <c r="MVW3" s="120"/>
      <c r="MVX3" s="120"/>
      <c r="MVY3" s="120"/>
      <c r="MVZ3" s="120"/>
      <c r="MWA3" s="120"/>
      <c r="MWB3" s="120"/>
      <c r="MWC3" s="120"/>
      <c r="MWD3" s="120"/>
      <c r="MWE3" s="120"/>
      <c r="MWF3" s="120"/>
      <c r="MWG3" s="120"/>
      <c r="MWH3" s="120"/>
      <c r="MWI3" s="120"/>
      <c r="MWJ3" s="120"/>
      <c r="MWK3" s="120"/>
      <c r="MWL3" s="120"/>
      <c r="MWM3" s="120"/>
      <c r="MWN3" s="120"/>
      <c r="MWO3" s="120"/>
      <c r="MWP3" s="120"/>
      <c r="MWQ3" s="120"/>
      <c r="MWR3" s="120"/>
      <c r="MWS3" s="120"/>
      <c r="MWT3" s="120"/>
      <c r="MWU3" s="120"/>
      <c r="MWV3" s="120"/>
      <c r="MWW3" s="120"/>
      <c r="MWX3" s="120"/>
      <c r="MWY3" s="120"/>
      <c r="MWZ3" s="120"/>
      <c r="MXA3" s="120"/>
      <c r="MXB3" s="120"/>
      <c r="MXC3" s="120"/>
      <c r="MXD3" s="120"/>
      <c r="MXE3" s="120"/>
      <c r="MXF3" s="120"/>
      <c r="MXG3" s="120"/>
      <c r="MXH3" s="120"/>
      <c r="MXI3" s="120"/>
      <c r="MXJ3" s="120"/>
      <c r="MXK3" s="120"/>
      <c r="MXL3" s="120"/>
      <c r="MXM3" s="120"/>
      <c r="MXN3" s="120"/>
      <c r="MXO3" s="120"/>
      <c r="MXP3" s="120"/>
      <c r="MXQ3" s="120"/>
      <c r="MXR3" s="120"/>
      <c r="MXS3" s="120"/>
      <c r="MXT3" s="120"/>
      <c r="MXU3" s="120"/>
      <c r="MXV3" s="120"/>
      <c r="MXW3" s="120"/>
      <c r="MXX3" s="120"/>
      <c r="MXY3" s="120"/>
      <c r="MXZ3" s="120"/>
      <c r="MYA3" s="120"/>
      <c r="MYB3" s="120"/>
      <c r="MYC3" s="120"/>
      <c r="MYD3" s="120"/>
      <c r="MYE3" s="120"/>
      <c r="MYF3" s="120"/>
      <c r="MYG3" s="120"/>
      <c r="MYH3" s="120"/>
      <c r="MYI3" s="120"/>
      <c r="MYJ3" s="120"/>
      <c r="MYK3" s="120"/>
      <c r="MYL3" s="120"/>
      <c r="MYM3" s="120"/>
      <c r="MYN3" s="120"/>
      <c r="MYO3" s="120"/>
      <c r="MYP3" s="120"/>
      <c r="MYQ3" s="120"/>
      <c r="MYR3" s="120"/>
      <c r="MYS3" s="120"/>
      <c r="MYT3" s="120"/>
      <c r="MYU3" s="120"/>
      <c r="MYV3" s="120"/>
      <c r="MYW3" s="120"/>
      <c r="MYX3" s="120"/>
      <c r="MYY3" s="120"/>
      <c r="MYZ3" s="120"/>
      <c r="MZA3" s="120"/>
      <c r="MZB3" s="120"/>
      <c r="MZC3" s="120"/>
      <c r="MZD3" s="120"/>
      <c r="MZE3" s="120"/>
      <c r="MZF3" s="120"/>
      <c r="MZG3" s="120"/>
      <c r="MZH3" s="120"/>
      <c r="MZI3" s="120"/>
      <c r="MZJ3" s="120"/>
      <c r="MZK3" s="120"/>
      <c r="MZL3" s="120"/>
      <c r="MZM3" s="120"/>
      <c r="MZN3" s="120"/>
      <c r="MZO3" s="120"/>
      <c r="MZP3" s="120"/>
      <c r="MZQ3" s="120"/>
      <c r="MZR3" s="120"/>
      <c r="MZS3" s="120"/>
      <c r="MZT3" s="120"/>
      <c r="MZU3" s="120"/>
      <c r="MZV3" s="120"/>
      <c r="MZW3" s="120"/>
      <c r="MZX3" s="120"/>
      <c r="MZY3" s="120"/>
      <c r="MZZ3" s="120"/>
      <c r="NAA3" s="120"/>
      <c r="NAB3" s="120"/>
      <c r="NAC3" s="120"/>
      <c r="NAD3" s="120"/>
      <c r="NAE3" s="120"/>
      <c r="NAF3" s="120"/>
      <c r="NAG3" s="120"/>
      <c r="NAH3" s="120"/>
      <c r="NAI3" s="120"/>
      <c r="NAJ3" s="120"/>
      <c r="NAK3" s="120"/>
      <c r="NAL3" s="120"/>
      <c r="NAM3" s="120"/>
      <c r="NAN3" s="120"/>
      <c r="NAO3" s="120"/>
      <c r="NAP3" s="120"/>
      <c r="NAQ3" s="120"/>
      <c r="NAR3" s="120"/>
      <c r="NAS3" s="120"/>
      <c r="NAT3" s="120"/>
      <c r="NAU3" s="120"/>
      <c r="NAV3" s="120"/>
      <c r="NAW3" s="120"/>
      <c r="NAX3" s="120"/>
      <c r="NAY3" s="120"/>
      <c r="NAZ3" s="120"/>
      <c r="NBA3" s="120"/>
      <c r="NBB3" s="120"/>
      <c r="NBC3" s="120"/>
      <c r="NBD3" s="120"/>
      <c r="NBE3" s="120"/>
      <c r="NBF3" s="120"/>
      <c r="NBG3" s="120"/>
      <c r="NBH3" s="120"/>
      <c r="NBI3" s="120"/>
      <c r="NBJ3" s="120"/>
      <c r="NBK3" s="120"/>
      <c r="NBL3" s="120"/>
      <c r="NBM3" s="120"/>
      <c r="NBN3" s="120"/>
      <c r="NBO3" s="120"/>
      <c r="NBP3" s="120"/>
      <c r="NBQ3" s="120"/>
      <c r="NBR3" s="120"/>
      <c r="NBS3" s="120"/>
      <c r="NBT3" s="120"/>
      <c r="NBU3" s="120"/>
      <c r="NBV3" s="120"/>
      <c r="NBW3" s="120"/>
      <c r="NBX3" s="120"/>
      <c r="NBY3" s="120"/>
      <c r="NBZ3" s="120"/>
      <c r="NCA3" s="120"/>
      <c r="NCB3" s="120"/>
      <c r="NCC3" s="120"/>
      <c r="NCD3" s="120"/>
      <c r="NCE3" s="120"/>
      <c r="NCF3" s="120"/>
      <c r="NCG3" s="120"/>
      <c r="NCH3" s="120"/>
      <c r="NCI3" s="120"/>
      <c r="NCJ3" s="120"/>
      <c r="NCK3" s="120"/>
      <c r="NCL3" s="120"/>
      <c r="NCM3" s="120"/>
      <c r="NCN3" s="120"/>
      <c r="NCO3" s="120"/>
      <c r="NCP3" s="120"/>
      <c r="NCQ3" s="120"/>
      <c r="NCR3" s="120"/>
      <c r="NCS3" s="120"/>
      <c r="NCT3" s="120"/>
      <c r="NCU3" s="120"/>
      <c r="NCV3" s="120"/>
      <c r="NCW3" s="120"/>
      <c r="NCX3" s="120"/>
      <c r="NCY3" s="120"/>
      <c r="NCZ3" s="120"/>
      <c r="NDA3" s="120"/>
      <c r="NDB3" s="120"/>
      <c r="NDC3" s="120"/>
      <c r="NDD3" s="120"/>
      <c r="NDE3" s="120"/>
      <c r="NDF3" s="120"/>
      <c r="NDG3" s="120"/>
      <c r="NDH3" s="120"/>
      <c r="NDI3" s="120"/>
      <c r="NDJ3" s="120"/>
      <c r="NDK3" s="120"/>
      <c r="NDL3" s="120"/>
      <c r="NDM3" s="120"/>
      <c r="NDN3" s="120"/>
      <c r="NDO3" s="120"/>
      <c r="NDP3" s="120"/>
      <c r="NDQ3" s="120"/>
      <c r="NDR3" s="120"/>
      <c r="NDS3" s="120"/>
      <c r="NDT3" s="120"/>
      <c r="NDU3" s="120"/>
      <c r="NDV3" s="120"/>
      <c r="NDW3" s="120"/>
      <c r="NDX3" s="120"/>
      <c r="NDY3" s="120"/>
      <c r="NDZ3" s="120"/>
      <c r="NEA3" s="120"/>
      <c r="NEB3" s="120"/>
      <c r="NEC3" s="120"/>
      <c r="NED3" s="120"/>
      <c r="NEE3" s="120"/>
      <c r="NEF3" s="120"/>
      <c r="NEG3" s="120"/>
      <c r="NEH3" s="120"/>
      <c r="NEI3" s="120"/>
      <c r="NEJ3" s="120"/>
      <c r="NEK3" s="120"/>
      <c r="NEL3" s="120"/>
      <c r="NEM3" s="120"/>
      <c r="NEN3" s="120"/>
      <c r="NEO3" s="120"/>
      <c r="NEP3" s="120"/>
      <c r="NEQ3" s="120"/>
      <c r="NER3" s="120"/>
      <c r="NES3" s="120"/>
      <c r="NET3" s="120"/>
      <c r="NEU3" s="120"/>
      <c r="NEV3" s="120"/>
      <c r="NEW3" s="120"/>
      <c r="NEX3" s="120"/>
      <c r="NEY3" s="120"/>
      <c r="NEZ3" s="120"/>
      <c r="NFA3" s="120"/>
      <c r="NFB3" s="120"/>
      <c r="NFC3" s="120"/>
      <c r="NFD3" s="120"/>
      <c r="NFE3" s="120"/>
      <c r="NFF3" s="120"/>
      <c r="NFG3" s="120"/>
      <c r="NFH3" s="120"/>
      <c r="NFI3" s="120"/>
      <c r="NFJ3" s="120"/>
      <c r="NFK3" s="120"/>
      <c r="NFL3" s="120"/>
      <c r="NFM3" s="120"/>
      <c r="NFN3" s="120"/>
      <c r="NFO3" s="120"/>
      <c r="NFP3" s="120"/>
      <c r="NFQ3" s="120"/>
      <c r="NFR3" s="120"/>
      <c r="NFS3" s="120"/>
      <c r="NFT3" s="120"/>
      <c r="NFU3" s="120"/>
      <c r="NFV3" s="120"/>
      <c r="NFW3" s="120"/>
      <c r="NFX3" s="120"/>
      <c r="NFY3" s="120"/>
      <c r="NFZ3" s="120"/>
      <c r="NGA3" s="120"/>
      <c r="NGB3" s="120"/>
      <c r="NGC3" s="120"/>
      <c r="NGD3" s="120"/>
      <c r="NGE3" s="120"/>
      <c r="NGF3" s="120"/>
      <c r="NGG3" s="120"/>
      <c r="NGH3" s="120"/>
      <c r="NGI3" s="120"/>
      <c r="NGJ3" s="120"/>
      <c r="NGK3" s="120"/>
      <c r="NGL3" s="120"/>
      <c r="NGM3" s="120"/>
      <c r="NGN3" s="120"/>
      <c r="NGO3" s="120"/>
      <c r="NGP3" s="120"/>
      <c r="NGQ3" s="120"/>
      <c r="NGR3" s="120"/>
      <c r="NGS3" s="120"/>
      <c r="NGT3" s="120"/>
      <c r="NGU3" s="120"/>
      <c r="NGV3" s="120"/>
      <c r="NGW3" s="120"/>
      <c r="NGX3" s="120"/>
      <c r="NGY3" s="120"/>
      <c r="NGZ3" s="120"/>
      <c r="NHA3" s="120"/>
      <c r="NHB3" s="120"/>
      <c r="NHC3" s="120"/>
      <c r="NHD3" s="120"/>
      <c r="NHE3" s="120"/>
      <c r="NHF3" s="120"/>
      <c r="NHG3" s="120"/>
      <c r="NHH3" s="120"/>
      <c r="NHI3" s="120"/>
      <c r="NHJ3" s="120"/>
      <c r="NHK3" s="120"/>
      <c r="NHL3" s="120"/>
      <c r="NHM3" s="120"/>
      <c r="NHN3" s="120"/>
      <c r="NHO3" s="120"/>
      <c r="NHP3" s="120"/>
      <c r="NHQ3" s="120"/>
      <c r="NHR3" s="120"/>
      <c r="NHS3" s="120"/>
      <c r="NHT3" s="120"/>
      <c r="NHU3" s="120"/>
      <c r="NHV3" s="120"/>
      <c r="NHW3" s="120"/>
      <c r="NHX3" s="120"/>
      <c r="NHY3" s="120"/>
      <c r="NHZ3" s="120"/>
      <c r="NIA3" s="120"/>
      <c r="NIB3" s="120"/>
      <c r="NIC3" s="120"/>
      <c r="NID3" s="120"/>
      <c r="NIE3" s="120"/>
      <c r="NIF3" s="120"/>
      <c r="NIG3" s="120"/>
      <c r="NIH3" s="120"/>
      <c r="NII3" s="120"/>
      <c r="NIJ3" s="120"/>
      <c r="NIK3" s="120"/>
      <c r="NIL3" s="120"/>
      <c r="NIM3" s="120"/>
      <c r="NIN3" s="120"/>
      <c r="NIO3" s="120"/>
      <c r="NIP3" s="120"/>
      <c r="NIQ3" s="120"/>
      <c r="NIR3" s="120"/>
      <c r="NIS3" s="120"/>
      <c r="NIT3" s="120"/>
      <c r="NIU3" s="120"/>
      <c r="NIV3" s="120"/>
      <c r="NIW3" s="120"/>
      <c r="NIX3" s="120"/>
      <c r="NIY3" s="120"/>
      <c r="NIZ3" s="120"/>
      <c r="NJA3" s="120"/>
      <c r="NJB3" s="120"/>
      <c r="NJC3" s="120"/>
      <c r="NJD3" s="120"/>
      <c r="NJE3" s="120"/>
      <c r="NJF3" s="120"/>
      <c r="NJG3" s="120"/>
      <c r="NJH3" s="120"/>
      <c r="NJI3" s="120"/>
      <c r="NJJ3" s="120"/>
      <c r="NJK3" s="120"/>
      <c r="NJL3" s="120"/>
      <c r="NJM3" s="120"/>
      <c r="NJN3" s="120"/>
      <c r="NJO3" s="120"/>
      <c r="NJP3" s="120"/>
      <c r="NJQ3" s="120"/>
      <c r="NJR3" s="120"/>
      <c r="NJS3" s="120"/>
      <c r="NJT3" s="120"/>
      <c r="NJU3" s="120"/>
      <c r="NJV3" s="120"/>
      <c r="NJW3" s="120"/>
      <c r="NJX3" s="120"/>
      <c r="NJY3" s="120"/>
      <c r="NJZ3" s="120"/>
      <c r="NKA3" s="120"/>
      <c r="NKB3" s="120"/>
      <c r="NKC3" s="120"/>
      <c r="NKD3" s="120"/>
      <c r="NKE3" s="120"/>
      <c r="NKF3" s="120"/>
      <c r="NKG3" s="120"/>
      <c r="NKH3" s="120"/>
      <c r="NKI3" s="120"/>
      <c r="NKJ3" s="120"/>
      <c r="NKK3" s="120"/>
      <c r="NKL3" s="120"/>
      <c r="NKM3" s="120"/>
      <c r="NKN3" s="120"/>
      <c r="NKO3" s="120"/>
      <c r="NKP3" s="120"/>
      <c r="NKQ3" s="120"/>
      <c r="NKR3" s="120"/>
      <c r="NKS3" s="120"/>
      <c r="NKT3" s="120"/>
      <c r="NKU3" s="120"/>
      <c r="NKV3" s="120"/>
      <c r="NKW3" s="120"/>
      <c r="NKX3" s="120"/>
      <c r="NKY3" s="120"/>
      <c r="NKZ3" s="120"/>
      <c r="NLA3" s="120"/>
      <c r="NLB3" s="120"/>
      <c r="NLC3" s="120"/>
      <c r="NLD3" s="120"/>
      <c r="NLE3" s="120"/>
      <c r="NLF3" s="120"/>
      <c r="NLG3" s="120"/>
      <c r="NLH3" s="120"/>
      <c r="NLI3" s="120"/>
      <c r="NLJ3" s="120"/>
      <c r="NLK3" s="120"/>
      <c r="NLL3" s="120"/>
      <c r="NLM3" s="120"/>
      <c r="NLN3" s="120"/>
      <c r="NLO3" s="120"/>
      <c r="NLP3" s="120"/>
      <c r="NLQ3" s="120"/>
      <c r="NLR3" s="120"/>
      <c r="NLS3" s="120"/>
      <c r="NLT3" s="120"/>
      <c r="NLU3" s="120"/>
      <c r="NLV3" s="120"/>
      <c r="NLW3" s="120"/>
      <c r="NLX3" s="120"/>
      <c r="NLY3" s="120"/>
      <c r="NLZ3" s="120"/>
      <c r="NMA3" s="120"/>
      <c r="NMB3" s="120"/>
      <c r="NMC3" s="120"/>
      <c r="NMD3" s="120"/>
      <c r="NME3" s="120"/>
      <c r="NMF3" s="120"/>
      <c r="NMG3" s="120"/>
      <c r="NMH3" s="120"/>
      <c r="NMI3" s="120"/>
      <c r="NMJ3" s="120"/>
      <c r="NMK3" s="120"/>
      <c r="NML3" s="120"/>
      <c r="NMM3" s="120"/>
      <c r="NMN3" s="120"/>
      <c r="NMO3" s="120"/>
      <c r="NMP3" s="120"/>
      <c r="NMQ3" s="120"/>
      <c r="NMR3" s="120"/>
      <c r="NMS3" s="120"/>
      <c r="NMT3" s="120"/>
      <c r="NMU3" s="120"/>
      <c r="NMV3" s="120"/>
      <c r="NMW3" s="120"/>
      <c r="NMX3" s="120"/>
      <c r="NMY3" s="120"/>
      <c r="NMZ3" s="120"/>
      <c r="NNA3" s="120"/>
      <c r="NNB3" s="120"/>
      <c r="NNC3" s="120"/>
      <c r="NND3" s="120"/>
      <c r="NNE3" s="120"/>
      <c r="NNF3" s="120"/>
      <c r="NNG3" s="120"/>
      <c r="NNH3" s="120"/>
      <c r="NNI3" s="120"/>
      <c r="NNJ3" s="120"/>
      <c r="NNK3" s="120"/>
      <c r="NNL3" s="120"/>
      <c r="NNM3" s="120"/>
      <c r="NNN3" s="120"/>
      <c r="NNO3" s="120"/>
      <c r="NNP3" s="120"/>
      <c r="NNQ3" s="120"/>
      <c r="NNR3" s="120"/>
      <c r="NNS3" s="120"/>
      <c r="NNT3" s="120"/>
      <c r="NNU3" s="120"/>
      <c r="NNV3" s="120"/>
      <c r="NNW3" s="120"/>
      <c r="NNX3" s="120"/>
      <c r="NNY3" s="120"/>
      <c r="NNZ3" s="120"/>
      <c r="NOA3" s="120"/>
      <c r="NOB3" s="120"/>
      <c r="NOC3" s="120"/>
      <c r="NOD3" s="120"/>
      <c r="NOE3" s="120"/>
      <c r="NOF3" s="120"/>
      <c r="NOG3" s="120"/>
      <c r="NOH3" s="120"/>
      <c r="NOI3" s="120"/>
      <c r="NOJ3" s="120"/>
      <c r="NOK3" s="120"/>
      <c r="NOL3" s="120"/>
      <c r="NOM3" s="120"/>
      <c r="NON3" s="120"/>
      <c r="NOO3" s="120"/>
      <c r="NOP3" s="120"/>
      <c r="NOQ3" s="120"/>
      <c r="NOR3" s="120"/>
      <c r="NOS3" s="120"/>
      <c r="NOT3" s="120"/>
      <c r="NOU3" s="120"/>
      <c r="NOV3" s="120"/>
      <c r="NOW3" s="120"/>
      <c r="NOX3" s="120"/>
      <c r="NOY3" s="120"/>
      <c r="NOZ3" s="120"/>
      <c r="NPA3" s="120"/>
      <c r="NPB3" s="120"/>
      <c r="NPC3" s="120"/>
      <c r="NPD3" s="120"/>
      <c r="NPE3" s="120"/>
      <c r="NPF3" s="120"/>
      <c r="NPG3" s="120"/>
      <c r="NPH3" s="120"/>
      <c r="NPI3" s="120"/>
      <c r="NPJ3" s="120"/>
      <c r="NPK3" s="120"/>
      <c r="NPL3" s="120"/>
      <c r="NPM3" s="120"/>
      <c r="NPN3" s="120"/>
      <c r="NPO3" s="120"/>
      <c r="NPP3" s="120"/>
      <c r="NPQ3" s="120"/>
      <c r="NPR3" s="120"/>
      <c r="NPS3" s="120"/>
      <c r="NPT3" s="120"/>
      <c r="NPU3" s="120"/>
      <c r="NPV3" s="120"/>
      <c r="NPW3" s="120"/>
      <c r="NPX3" s="120"/>
      <c r="NPY3" s="120"/>
      <c r="NPZ3" s="120"/>
      <c r="NQA3" s="120"/>
      <c r="NQB3" s="120"/>
      <c r="NQC3" s="120"/>
      <c r="NQD3" s="120"/>
      <c r="NQE3" s="120"/>
      <c r="NQF3" s="120"/>
      <c r="NQG3" s="120"/>
      <c r="NQH3" s="120"/>
      <c r="NQI3" s="120"/>
      <c r="NQJ3" s="120"/>
      <c r="NQK3" s="120"/>
      <c r="NQL3" s="120"/>
      <c r="NQM3" s="120"/>
      <c r="NQN3" s="120"/>
      <c r="NQO3" s="120"/>
      <c r="NQP3" s="120"/>
      <c r="NQQ3" s="120"/>
      <c r="NQR3" s="120"/>
      <c r="NQS3" s="120"/>
      <c r="NQT3" s="120"/>
      <c r="NQU3" s="120"/>
      <c r="NQV3" s="120"/>
      <c r="NQW3" s="120"/>
      <c r="NQX3" s="120"/>
      <c r="NQY3" s="120"/>
      <c r="NQZ3" s="120"/>
      <c r="NRA3" s="120"/>
      <c r="NRB3" s="120"/>
      <c r="NRC3" s="120"/>
      <c r="NRD3" s="120"/>
      <c r="NRE3" s="120"/>
      <c r="NRF3" s="120"/>
      <c r="NRG3" s="120"/>
      <c r="NRH3" s="120"/>
      <c r="NRI3" s="120"/>
      <c r="NRJ3" s="120"/>
      <c r="NRK3" s="120"/>
      <c r="NRL3" s="120"/>
      <c r="NRM3" s="120"/>
      <c r="NRN3" s="120"/>
      <c r="NRO3" s="120"/>
      <c r="NRP3" s="120"/>
      <c r="NRQ3" s="120"/>
      <c r="NRR3" s="120"/>
      <c r="NRS3" s="120"/>
      <c r="NRT3" s="120"/>
      <c r="NRU3" s="120"/>
      <c r="NRV3" s="120"/>
      <c r="NRW3" s="120"/>
      <c r="NRX3" s="120"/>
      <c r="NRY3" s="120"/>
      <c r="NRZ3" s="120"/>
      <c r="NSA3" s="120"/>
      <c r="NSB3" s="120"/>
      <c r="NSC3" s="120"/>
      <c r="NSD3" s="120"/>
      <c r="NSE3" s="120"/>
      <c r="NSF3" s="120"/>
      <c r="NSG3" s="120"/>
      <c r="NSH3" s="120"/>
      <c r="NSI3" s="120"/>
      <c r="NSJ3" s="120"/>
      <c r="NSK3" s="120"/>
      <c r="NSL3" s="120"/>
      <c r="NSM3" s="120"/>
      <c r="NSN3" s="120"/>
      <c r="NSO3" s="120"/>
      <c r="NSP3" s="120"/>
      <c r="NSQ3" s="120"/>
      <c r="NSR3" s="120"/>
      <c r="NSS3" s="120"/>
      <c r="NST3" s="120"/>
      <c r="NSU3" s="120"/>
      <c r="NSV3" s="120"/>
      <c r="NSW3" s="120"/>
      <c r="NSX3" s="120"/>
      <c r="NSY3" s="120"/>
      <c r="NSZ3" s="120"/>
      <c r="NTA3" s="120"/>
      <c r="NTB3" s="120"/>
      <c r="NTC3" s="120"/>
      <c r="NTD3" s="120"/>
      <c r="NTE3" s="120"/>
      <c r="NTF3" s="120"/>
      <c r="NTG3" s="120"/>
      <c r="NTH3" s="120"/>
      <c r="NTI3" s="120"/>
      <c r="NTJ3" s="120"/>
      <c r="NTK3" s="120"/>
      <c r="NTL3" s="120"/>
      <c r="NTM3" s="120"/>
      <c r="NTN3" s="120"/>
      <c r="NTO3" s="120"/>
      <c r="NTP3" s="120"/>
      <c r="NTQ3" s="120"/>
      <c r="NTR3" s="120"/>
      <c r="NTS3" s="120"/>
      <c r="NTT3" s="120"/>
      <c r="NTU3" s="120"/>
      <c r="NTV3" s="120"/>
      <c r="NTW3" s="120"/>
      <c r="NTX3" s="120"/>
      <c r="NTY3" s="120"/>
      <c r="NTZ3" s="120"/>
      <c r="NUA3" s="120"/>
      <c r="NUB3" s="120"/>
      <c r="NUC3" s="120"/>
      <c r="NUD3" s="120"/>
      <c r="NUE3" s="120"/>
      <c r="NUF3" s="120"/>
      <c r="NUG3" s="120"/>
      <c r="NUH3" s="120"/>
      <c r="NUI3" s="120"/>
      <c r="NUJ3" s="120"/>
      <c r="NUK3" s="120"/>
      <c r="NUL3" s="120"/>
      <c r="NUM3" s="120"/>
      <c r="NUN3" s="120"/>
      <c r="NUO3" s="120"/>
      <c r="NUP3" s="120"/>
      <c r="NUQ3" s="120"/>
      <c r="NUR3" s="120"/>
      <c r="NUS3" s="120"/>
      <c r="NUT3" s="120"/>
      <c r="NUU3" s="120"/>
      <c r="NUV3" s="120"/>
      <c r="NUW3" s="120"/>
      <c r="NUX3" s="120"/>
      <c r="NUY3" s="120"/>
      <c r="NUZ3" s="120"/>
      <c r="NVA3" s="120"/>
      <c r="NVB3" s="120"/>
      <c r="NVC3" s="120"/>
      <c r="NVD3" s="120"/>
      <c r="NVE3" s="120"/>
      <c r="NVF3" s="120"/>
      <c r="NVG3" s="120"/>
      <c r="NVH3" s="120"/>
      <c r="NVI3" s="120"/>
      <c r="NVJ3" s="120"/>
      <c r="NVK3" s="120"/>
      <c r="NVL3" s="120"/>
      <c r="NVM3" s="120"/>
      <c r="NVN3" s="120"/>
      <c r="NVO3" s="120"/>
      <c r="NVP3" s="120"/>
      <c r="NVQ3" s="120"/>
      <c r="NVR3" s="120"/>
      <c r="NVS3" s="120"/>
      <c r="NVT3" s="120"/>
      <c r="NVU3" s="120"/>
      <c r="NVV3" s="120"/>
      <c r="NVW3" s="120"/>
      <c r="NVX3" s="120"/>
      <c r="NVY3" s="120"/>
      <c r="NVZ3" s="120"/>
      <c r="NWA3" s="120"/>
      <c r="NWB3" s="120"/>
      <c r="NWC3" s="120"/>
      <c r="NWD3" s="120"/>
      <c r="NWE3" s="120"/>
      <c r="NWF3" s="120"/>
      <c r="NWG3" s="120"/>
      <c r="NWH3" s="120"/>
      <c r="NWI3" s="120"/>
      <c r="NWJ3" s="120"/>
      <c r="NWK3" s="120"/>
      <c r="NWL3" s="120"/>
      <c r="NWM3" s="120"/>
      <c r="NWN3" s="120"/>
      <c r="NWO3" s="120"/>
      <c r="NWP3" s="120"/>
      <c r="NWQ3" s="120"/>
      <c r="NWR3" s="120"/>
      <c r="NWS3" s="120"/>
      <c r="NWT3" s="120"/>
      <c r="NWU3" s="120"/>
      <c r="NWV3" s="120"/>
      <c r="NWW3" s="120"/>
      <c r="NWX3" s="120"/>
      <c r="NWY3" s="120"/>
      <c r="NWZ3" s="120"/>
      <c r="NXA3" s="120"/>
      <c r="NXB3" s="120"/>
      <c r="NXC3" s="120"/>
      <c r="NXD3" s="120"/>
      <c r="NXE3" s="120"/>
      <c r="NXF3" s="120"/>
      <c r="NXG3" s="120"/>
      <c r="NXH3" s="120"/>
      <c r="NXI3" s="120"/>
      <c r="NXJ3" s="120"/>
      <c r="NXK3" s="120"/>
      <c r="NXL3" s="120"/>
      <c r="NXM3" s="120"/>
      <c r="NXN3" s="120"/>
      <c r="NXO3" s="120"/>
      <c r="NXP3" s="120"/>
      <c r="NXQ3" s="120"/>
      <c r="NXR3" s="120"/>
      <c r="NXS3" s="120"/>
      <c r="NXT3" s="120"/>
      <c r="NXU3" s="120"/>
      <c r="NXV3" s="120"/>
      <c r="NXW3" s="120"/>
      <c r="NXX3" s="120"/>
      <c r="NXY3" s="120"/>
      <c r="NXZ3" s="120"/>
      <c r="NYA3" s="120"/>
      <c r="NYB3" s="120"/>
      <c r="NYC3" s="120"/>
      <c r="NYD3" s="120"/>
      <c r="NYE3" s="120"/>
      <c r="NYF3" s="120"/>
      <c r="NYG3" s="120"/>
      <c r="NYH3" s="120"/>
      <c r="NYI3" s="120"/>
      <c r="NYJ3" s="120"/>
      <c r="NYK3" s="120"/>
      <c r="NYL3" s="120"/>
      <c r="NYM3" s="120"/>
      <c r="NYN3" s="120"/>
      <c r="NYO3" s="120"/>
      <c r="NYP3" s="120"/>
      <c r="NYQ3" s="120"/>
      <c r="NYR3" s="120"/>
      <c r="NYS3" s="120"/>
      <c r="NYT3" s="120"/>
      <c r="NYU3" s="120"/>
      <c r="NYV3" s="120"/>
      <c r="NYW3" s="120"/>
      <c r="NYX3" s="120"/>
      <c r="NYY3" s="120"/>
      <c r="NYZ3" s="120"/>
      <c r="NZA3" s="120"/>
      <c r="NZB3" s="120"/>
      <c r="NZC3" s="120"/>
      <c r="NZD3" s="120"/>
      <c r="NZE3" s="120"/>
      <c r="NZF3" s="120"/>
      <c r="NZG3" s="120"/>
      <c r="NZH3" s="120"/>
      <c r="NZI3" s="120"/>
      <c r="NZJ3" s="120"/>
      <c r="NZK3" s="120"/>
      <c r="NZL3" s="120"/>
      <c r="NZM3" s="120"/>
      <c r="NZN3" s="120"/>
      <c r="NZO3" s="120"/>
      <c r="NZP3" s="120"/>
      <c r="NZQ3" s="120"/>
      <c r="NZR3" s="120"/>
      <c r="NZS3" s="120"/>
      <c r="NZT3" s="120"/>
      <c r="NZU3" s="120"/>
      <c r="NZV3" s="120"/>
      <c r="NZW3" s="120"/>
      <c r="NZX3" s="120"/>
      <c r="NZY3" s="120"/>
      <c r="NZZ3" s="120"/>
      <c r="OAA3" s="120"/>
      <c r="OAB3" s="120"/>
      <c r="OAC3" s="120"/>
      <c r="OAD3" s="120"/>
      <c r="OAE3" s="120"/>
      <c r="OAF3" s="120"/>
      <c r="OAG3" s="120"/>
      <c r="OAH3" s="120"/>
      <c r="OAI3" s="120"/>
      <c r="OAJ3" s="120"/>
      <c r="OAK3" s="120"/>
      <c r="OAL3" s="120"/>
      <c r="OAM3" s="120"/>
      <c r="OAN3" s="120"/>
      <c r="OAO3" s="120"/>
      <c r="OAP3" s="120"/>
      <c r="OAQ3" s="120"/>
      <c r="OAR3" s="120"/>
      <c r="OAS3" s="120"/>
      <c r="OAT3" s="120"/>
      <c r="OAU3" s="120"/>
      <c r="OAV3" s="120"/>
      <c r="OAW3" s="120"/>
      <c r="OAX3" s="120"/>
      <c r="OAY3" s="120"/>
      <c r="OAZ3" s="120"/>
      <c r="OBA3" s="120"/>
      <c r="OBB3" s="120"/>
      <c r="OBC3" s="120"/>
      <c r="OBD3" s="120"/>
      <c r="OBE3" s="120"/>
      <c r="OBF3" s="120"/>
      <c r="OBG3" s="120"/>
      <c r="OBH3" s="120"/>
      <c r="OBI3" s="120"/>
      <c r="OBJ3" s="120"/>
      <c r="OBK3" s="120"/>
      <c r="OBL3" s="120"/>
      <c r="OBM3" s="120"/>
      <c r="OBN3" s="120"/>
      <c r="OBO3" s="120"/>
      <c r="OBP3" s="120"/>
      <c r="OBQ3" s="120"/>
      <c r="OBR3" s="120"/>
      <c r="OBS3" s="120"/>
      <c r="OBT3" s="120"/>
      <c r="OBU3" s="120"/>
      <c r="OBV3" s="120"/>
      <c r="OBW3" s="120"/>
      <c r="OBX3" s="120"/>
      <c r="OBY3" s="120"/>
      <c r="OBZ3" s="120"/>
      <c r="OCA3" s="120"/>
      <c r="OCB3" s="120"/>
      <c r="OCC3" s="120"/>
      <c r="OCD3" s="120"/>
      <c r="OCE3" s="120"/>
      <c r="OCF3" s="120"/>
      <c r="OCG3" s="120"/>
      <c r="OCH3" s="120"/>
      <c r="OCI3" s="120"/>
      <c r="OCJ3" s="120"/>
      <c r="OCK3" s="120"/>
      <c r="OCL3" s="120"/>
      <c r="OCM3" s="120"/>
      <c r="OCN3" s="120"/>
      <c r="OCO3" s="120"/>
      <c r="OCP3" s="120"/>
      <c r="OCQ3" s="120"/>
      <c r="OCR3" s="120"/>
      <c r="OCS3" s="120"/>
      <c r="OCT3" s="120"/>
      <c r="OCU3" s="120"/>
      <c r="OCV3" s="120"/>
      <c r="OCW3" s="120"/>
      <c r="OCX3" s="120"/>
      <c r="OCY3" s="120"/>
      <c r="OCZ3" s="120"/>
      <c r="ODA3" s="120"/>
      <c r="ODB3" s="120"/>
      <c r="ODC3" s="120"/>
      <c r="ODD3" s="120"/>
      <c r="ODE3" s="120"/>
      <c r="ODF3" s="120"/>
      <c r="ODG3" s="120"/>
      <c r="ODH3" s="120"/>
      <c r="ODI3" s="120"/>
      <c r="ODJ3" s="120"/>
      <c r="ODK3" s="120"/>
      <c r="ODL3" s="120"/>
      <c r="ODM3" s="120"/>
      <c r="ODN3" s="120"/>
      <c r="ODO3" s="120"/>
      <c r="ODP3" s="120"/>
      <c r="ODQ3" s="120"/>
      <c r="ODR3" s="120"/>
      <c r="ODS3" s="120"/>
      <c r="ODT3" s="120"/>
      <c r="ODU3" s="120"/>
      <c r="ODV3" s="120"/>
      <c r="ODW3" s="120"/>
      <c r="ODX3" s="120"/>
      <c r="ODY3" s="120"/>
      <c r="ODZ3" s="120"/>
      <c r="OEA3" s="120"/>
      <c r="OEB3" s="120"/>
      <c r="OEC3" s="120"/>
      <c r="OED3" s="120"/>
      <c r="OEE3" s="120"/>
      <c r="OEF3" s="120"/>
      <c r="OEG3" s="120"/>
      <c r="OEH3" s="120"/>
      <c r="OEI3" s="120"/>
      <c r="OEJ3" s="120"/>
      <c r="OEK3" s="120"/>
      <c r="OEL3" s="120"/>
      <c r="OEM3" s="120"/>
      <c r="OEN3" s="120"/>
      <c r="OEO3" s="120"/>
      <c r="OEP3" s="120"/>
      <c r="OEQ3" s="120"/>
      <c r="OER3" s="120"/>
      <c r="OES3" s="120"/>
      <c r="OET3" s="120"/>
      <c r="OEU3" s="120"/>
      <c r="OEV3" s="120"/>
      <c r="OEW3" s="120"/>
      <c r="OEX3" s="120"/>
      <c r="OEY3" s="120"/>
      <c r="OEZ3" s="120"/>
      <c r="OFA3" s="120"/>
      <c r="OFB3" s="120"/>
      <c r="OFC3" s="120"/>
      <c r="OFD3" s="120"/>
      <c r="OFE3" s="120"/>
      <c r="OFF3" s="120"/>
      <c r="OFG3" s="120"/>
      <c r="OFH3" s="120"/>
      <c r="OFI3" s="120"/>
      <c r="OFJ3" s="120"/>
      <c r="OFK3" s="120"/>
      <c r="OFL3" s="120"/>
      <c r="OFM3" s="120"/>
      <c r="OFN3" s="120"/>
      <c r="OFO3" s="120"/>
      <c r="OFP3" s="120"/>
      <c r="OFQ3" s="120"/>
      <c r="OFR3" s="120"/>
      <c r="OFS3" s="120"/>
      <c r="OFT3" s="120"/>
      <c r="OFU3" s="120"/>
      <c r="OFV3" s="120"/>
      <c r="OFW3" s="120"/>
      <c r="OFX3" s="120"/>
      <c r="OFY3" s="120"/>
      <c r="OFZ3" s="120"/>
      <c r="OGA3" s="120"/>
      <c r="OGB3" s="120"/>
      <c r="OGC3" s="120"/>
      <c r="OGD3" s="120"/>
      <c r="OGE3" s="120"/>
      <c r="OGF3" s="120"/>
      <c r="OGG3" s="120"/>
      <c r="OGH3" s="120"/>
      <c r="OGI3" s="120"/>
      <c r="OGJ3" s="120"/>
      <c r="OGK3" s="120"/>
      <c r="OGL3" s="120"/>
      <c r="OGM3" s="120"/>
      <c r="OGN3" s="120"/>
      <c r="OGO3" s="120"/>
      <c r="OGP3" s="120"/>
      <c r="OGQ3" s="120"/>
      <c r="OGR3" s="120"/>
      <c r="OGS3" s="120"/>
      <c r="OGT3" s="120"/>
      <c r="OGU3" s="120"/>
      <c r="OGV3" s="120"/>
      <c r="OGW3" s="120"/>
      <c r="OGX3" s="120"/>
      <c r="OGY3" s="120"/>
      <c r="OGZ3" s="120"/>
      <c r="OHA3" s="120"/>
      <c r="OHB3" s="120"/>
      <c r="OHC3" s="120"/>
      <c r="OHD3" s="120"/>
      <c r="OHE3" s="120"/>
      <c r="OHF3" s="120"/>
      <c r="OHG3" s="120"/>
      <c r="OHH3" s="120"/>
      <c r="OHI3" s="120"/>
      <c r="OHJ3" s="120"/>
      <c r="OHK3" s="120"/>
      <c r="OHL3" s="120"/>
      <c r="OHM3" s="120"/>
      <c r="OHN3" s="120"/>
      <c r="OHO3" s="120"/>
      <c r="OHP3" s="120"/>
      <c r="OHQ3" s="120"/>
      <c r="OHR3" s="120"/>
      <c r="OHS3" s="120"/>
      <c r="OHT3" s="120"/>
      <c r="OHU3" s="120"/>
      <c r="OHV3" s="120"/>
      <c r="OHW3" s="120"/>
      <c r="OHX3" s="120"/>
      <c r="OHY3" s="120"/>
      <c r="OHZ3" s="120"/>
      <c r="OIA3" s="120"/>
      <c r="OIB3" s="120"/>
      <c r="OIC3" s="120"/>
      <c r="OID3" s="120"/>
      <c r="OIE3" s="120"/>
      <c r="OIF3" s="120"/>
      <c r="OIG3" s="120"/>
      <c r="OIH3" s="120"/>
      <c r="OII3" s="120"/>
      <c r="OIJ3" s="120"/>
      <c r="OIK3" s="120"/>
      <c r="OIL3" s="120"/>
      <c r="OIM3" s="120"/>
      <c r="OIN3" s="120"/>
      <c r="OIO3" s="120"/>
      <c r="OIP3" s="120"/>
      <c r="OIQ3" s="120"/>
      <c r="OIR3" s="120"/>
      <c r="OIS3" s="120"/>
      <c r="OIT3" s="120"/>
      <c r="OIU3" s="120"/>
      <c r="OIV3" s="120"/>
      <c r="OIW3" s="120"/>
      <c r="OIX3" s="120"/>
      <c r="OIY3" s="120"/>
      <c r="OIZ3" s="120"/>
      <c r="OJA3" s="120"/>
      <c r="OJB3" s="120"/>
      <c r="OJC3" s="120"/>
      <c r="OJD3" s="120"/>
      <c r="OJE3" s="120"/>
      <c r="OJF3" s="120"/>
      <c r="OJG3" s="120"/>
      <c r="OJH3" s="120"/>
      <c r="OJI3" s="120"/>
      <c r="OJJ3" s="120"/>
      <c r="OJK3" s="120"/>
      <c r="OJL3" s="120"/>
      <c r="OJM3" s="120"/>
      <c r="OJN3" s="120"/>
      <c r="OJO3" s="120"/>
      <c r="OJP3" s="120"/>
      <c r="OJQ3" s="120"/>
      <c r="OJR3" s="120"/>
      <c r="OJS3" s="120"/>
      <c r="OJT3" s="120"/>
      <c r="OJU3" s="120"/>
      <c r="OJV3" s="120"/>
      <c r="OJW3" s="120"/>
      <c r="OJX3" s="120"/>
      <c r="OJY3" s="120"/>
      <c r="OJZ3" s="120"/>
      <c r="OKA3" s="120"/>
      <c r="OKB3" s="120"/>
      <c r="OKC3" s="120"/>
      <c r="OKD3" s="120"/>
      <c r="OKE3" s="120"/>
      <c r="OKF3" s="120"/>
      <c r="OKG3" s="120"/>
      <c r="OKH3" s="120"/>
      <c r="OKI3" s="120"/>
      <c r="OKJ3" s="120"/>
      <c r="OKK3" s="120"/>
      <c r="OKL3" s="120"/>
      <c r="OKM3" s="120"/>
      <c r="OKN3" s="120"/>
      <c r="OKO3" s="120"/>
      <c r="OKP3" s="120"/>
      <c r="OKQ3" s="120"/>
      <c r="OKR3" s="120"/>
      <c r="OKS3" s="120"/>
      <c r="OKT3" s="120"/>
      <c r="OKU3" s="120"/>
      <c r="OKV3" s="120"/>
      <c r="OKW3" s="120"/>
      <c r="OKX3" s="120"/>
      <c r="OKY3" s="120"/>
      <c r="OKZ3" s="120"/>
      <c r="OLA3" s="120"/>
      <c r="OLB3" s="120"/>
      <c r="OLC3" s="120"/>
      <c r="OLD3" s="120"/>
      <c r="OLE3" s="120"/>
      <c r="OLF3" s="120"/>
      <c r="OLG3" s="120"/>
      <c r="OLH3" s="120"/>
      <c r="OLI3" s="120"/>
      <c r="OLJ3" s="120"/>
      <c r="OLK3" s="120"/>
      <c r="OLL3" s="120"/>
      <c r="OLM3" s="120"/>
      <c r="OLN3" s="120"/>
      <c r="OLO3" s="120"/>
      <c r="OLP3" s="120"/>
      <c r="OLQ3" s="120"/>
      <c r="OLR3" s="120"/>
      <c r="OLS3" s="120"/>
      <c r="OLT3" s="120"/>
      <c r="OLU3" s="120"/>
      <c r="OLV3" s="120"/>
      <c r="OLW3" s="120"/>
      <c r="OLX3" s="120"/>
      <c r="OLY3" s="120"/>
      <c r="OLZ3" s="120"/>
      <c r="OMA3" s="120"/>
      <c r="OMB3" s="120"/>
      <c r="OMC3" s="120"/>
      <c r="OMD3" s="120"/>
      <c r="OME3" s="120"/>
      <c r="OMF3" s="120"/>
      <c r="OMG3" s="120"/>
      <c r="OMH3" s="120"/>
      <c r="OMI3" s="120"/>
      <c r="OMJ3" s="120"/>
      <c r="OMK3" s="120"/>
      <c r="OML3" s="120"/>
      <c r="OMM3" s="120"/>
      <c r="OMN3" s="120"/>
      <c r="OMO3" s="120"/>
      <c r="OMP3" s="120"/>
      <c r="OMQ3" s="120"/>
      <c r="OMR3" s="120"/>
      <c r="OMS3" s="120"/>
      <c r="OMT3" s="120"/>
      <c r="OMU3" s="120"/>
      <c r="OMV3" s="120"/>
      <c r="OMW3" s="120"/>
      <c r="OMX3" s="120"/>
      <c r="OMY3" s="120"/>
      <c r="OMZ3" s="120"/>
      <c r="ONA3" s="120"/>
      <c r="ONB3" s="120"/>
      <c r="ONC3" s="120"/>
      <c r="OND3" s="120"/>
      <c r="ONE3" s="120"/>
      <c r="ONF3" s="120"/>
      <c r="ONG3" s="120"/>
      <c r="ONH3" s="120"/>
      <c r="ONI3" s="120"/>
      <c r="ONJ3" s="120"/>
      <c r="ONK3" s="120"/>
      <c r="ONL3" s="120"/>
      <c r="ONM3" s="120"/>
      <c r="ONN3" s="120"/>
      <c r="ONO3" s="120"/>
      <c r="ONP3" s="120"/>
      <c r="ONQ3" s="120"/>
      <c r="ONR3" s="120"/>
      <c r="ONS3" s="120"/>
      <c r="ONT3" s="120"/>
      <c r="ONU3" s="120"/>
      <c r="ONV3" s="120"/>
      <c r="ONW3" s="120"/>
      <c r="ONX3" s="120"/>
      <c r="ONY3" s="120"/>
      <c r="ONZ3" s="120"/>
      <c r="OOA3" s="120"/>
      <c r="OOB3" s="120"/>
      <c r="OOC3" s="120"/>
      <c r="OOD3" s="120"/>
      <c r="OOE3" s="120"/>
      <c r="OOF3" s="120"/>
      <c r="OOG3" s="120"/>
      <c r="OOH3" s="120"/>
      <c r="OOI3" s="120"/>
      <c r="OOJ3" s="120"/>
      <c r="OOK3" s="120"/>
      <c r="OOL3" s="120"/>
      <c r="OOM3" s="120"/>
      <c r="OON3" s="120"/>
      <c r="OOO3" s="120"/>
      <c r="OOP3" s="120"/>
      <c r="OOQ3" s="120"/>
      <c r="OOR3" s="120"/>
      <c r="OOS3" s="120"/>
      <c r="OOT3" s="120"/>
      <c r="OOU3" s="120"/>
      <c r="OOV3" s="120"/>
      <c r="OOW3" s="120"/>
      <c r="OOX3" s="120"/>
      <c r="OOY3" s="120"/>
      <c r="OOZ3" s="120"/>
      <c r="OPA3" s="120"/>
      <c r="OPB3" s="120"/>
      <c r="OPC3" s="120"/>
      <c r="OPD3" s="120"/>
      <c r="OPE3" s="120"/>
      <c r="OPF3" s="120"/>
      <c r="OPG3" s="120"/>
      <c r="OPH3" s="120"/>
      <c r="OPI3" s="120"/>
      <c r="OPJ3" s="120"/>
      <c r="OPK3" s="120"/>
      <c r="OPL3" s="120"/>
      <c r="OPM3" s="120"/>
      <c r="OPN3" s="120"/>
      <c r="OPO3" s="120"/>
      <c r="OPP3" s="120"/>
      <c r="OPQ3" s="120"/>
      <c r="OPR3" s="120"/>
      <c r="OPS3" s="120"/>
      <c r="OPT3" s="120"/>
      <c r="OPU3" s="120"/>
      <c r="OPV3" s="120"/>
      <c r="OPW3" s="120"/>
      <c r="OPX3" s="120"/>
      <c r="OPY3" s="120"/>
      <c r="OPZ3" s="120"/>
      <c r="OQA3" s="120"/>
      <c r="OQB3" s="120"/>
      <c r="OQC3" s="120"/>
      <c r="OQD3" s="120"/>
      <c r="OQE3" s="120"/>
      <c r="OQF3" s="120"/>
      <c r="OQG3" s="120"/>
      <c r="OQH3" s="120"/>
      <c r="OQI3" s="120"/>
      <c r="OQJ3" s="120"/>
      <c r="OQK3" s="120"/>
      <c r="OQL3" s="120"/>
      <c r="OQM3" s="120"/>
      <c r="OQN3" s="120"/>
      <c r="OQO3" s="120"/>
      <c r="OQP3" s="120"/>
      <c r="OQQ3" s="120"/>
      <c r="OQR3" s="120"/>
      <c r="OQS3" s="120"/>
      <c r="OQT3" s="120"/>
      <c r="OQU3" s="120"/>
      <c r="OQV3" s="120"/>
      <c r="OQW3" s="120"/>
      <c r="OQX3" s="120"/>
      <c r="OQY3" s="120"/>
      <c r="OQZ3" s="120"/>
      <c r="ORA3" s="120"/>
      <c r="ORB3" s="120"/>
      <c r="ORC3" s="120"/>
      <c r="ORD3" s="120"/>
      <c r="ORE3" s="120"/>
      <c r="ORF3" s="120"/>
      <c r="ORG3" s="120"/>
      <c r="ORH3" s="120"/>
      <c r="ORI3" s="120"/>
      <c r="ORJ3" s="120"/>
      <c r="ORK3" s="120"/>
      <c r="ORL3" s="120"/>
      <c r="ORM3" s="120"/>
      <c r="ORN3" s="120"/>
      <c r="ORO3" s="120"/>
      <c r="ORP3" s="120"/>
      <c r="ORQ3" s="120"/>
      <c r="ORR3" s="120"/>
      <c r="ORS3" s="120"/>
      <c r="ORT3" s="120"/>
      <c r="ORU3" s="120"/>
      <c r="ORV3" s="120"/>
      <c r="ORW3" s="120"/>
      <c r="ORX3" s="120"/>
      <c r="ORY3" s="120"/>
      <c r="ORZ3" s="120"/>
      <c r="OSA3" s="120"/>
      <c r="OSB3" s="120"/>
      <c r="OSC3" s="120"/>
      <c r="OSD3" s="120"/>
      <c r="OSE3" s="120"/>
      <c r="OSF3" s="120"/>
      <c r="OSG3" s="120"/>
      <c r="OSH3" s="120"/>
      <c r="OSI3" s="120"/>
      <c r="OSJ3" s="120"/>
      <c r="OSK3" s="120"/>
      <c r="OSL3" s="120"/>
      <c r="OSM3" s="120"/>
      <c r="OSN3" s="120"/>
      <c r="OSO3" s="120"/>
      <c r="OSP3" s="120"/>
      <c r="OSQ3" s="120"/>
      <c r="OSR3" s="120"/>
      <c r="OSS3" s="120"/>
      <c r="OST3" s="120"/>
      <c r="OSU3" s="120"/>
      <c r="OSV3" s="120"/>
      <c r="OSW3" s="120"/>
      <c r="OSX3" s="120"/>
      <c r="OSY3" s="120"/>
      <c r="OSZ3" s="120"/>
      <c r="OTA3" s="120"/>
      <c r="OTB3" s="120"/>
      <c r="OTC3" s="120"/>
      <c r="OTD3" s="120"/>
      <c r="OTE3" s="120"/>
      <c r="OTF3" s="120"/>
      <c r="OTG3" s="120"/>
      <c r="OTH3" s="120"/>
      <c r="OTI3" s="120"/>
      <c r="OTJ3" s="120"/>
      <c r="OTK3" s="120"/>
      <c r="OTL3" s="120"/>
      <c r="OTM3" s="120"/>
      <c r="OTN3" s="120"/>
      <c r="OTO3" s="120"/>
      <c r="OTP3" s="120"/>
      <c r="OTQ3" s="120"/>
      <c r="OTR3" s="120"/>
      <c r="OTS3" s="120"/>
      <c r="OTT3" s="120"/>
      <c r="OTU3" s="120"/>
      <c r="OTV3" s="120"/>
      <c r="OTW3" s="120"/>
      <c r="OTX3" s="120"/>
      <c r="OTY3" s="120"/>
      <c r="OTZ3" s="120"/>
      <c r="OUA3" s="120"/>
      <c r="OUB3" s="120"/>
      <c r="OUC3" s="120"/>
      <c r="OUD3" s="120"/>
      <c r="OUE3" s="120"/>
      <c r="OUF3" s="120"/>
      <c r="OUG3" s="120"/>
      <c r="OUH3" s="120"/>
      <c r="OUI3" s="120"/>
      <c r="OUJ3" s="120"/>
      <c r="OUK3" s="120"/>
      <c r="OUL3" s="120"/>
      <c r="OUM3" s="120"/>
      <c r="OUN3" s="120"/>
      <c r="OUO3" s="120"/>
      <c r="OUP3" s="120"/>
      <c r="OUQ3" s="120"/>
      <c r="OUR3" s="120"/>
      <c r="OUS3" s="120"/>
      <c r="OUT3" s="120"/>
      <c r="OUU3" s="120"/>
      <c r="OUV3" s="120"/>
      <c r="OUW3" s="120"/>
      <c r="OUX3" s="120"/>
      <c r="OUY3" s="120"/>
      <c r="OUZ3" s="120"/>
      <c r="OVA3" s="120"/>
      <c r="OVB3" s="120"/>
      <c r="OVC3" s="120"/>
      <c r="OVD3" s="120"/>
      <c r="OVE3" s="120"/>
      <c r="OVF3" s="120"/>
      <c r="OVG3" s="120"/>
      <c r="OVH3" s="120"/>
      <c r="OVI3" s="120"/>
      <c r="OVJ3" s="120"/>
      <c r="OVK3" s="120"/>
      <c r="OVL3" s="120"/>
      <c r="OVM3" s="120"/>
      <c r="OVN3" s="120"/>
      <c r="OVO3" s="120"/>
      <c r="OVP3" s="120"/>
      <c r="OVQ3" s="120"/>
      <c r="OVR3" s="120"/>
      <c r="OVS3" s="120"/>
      <c r="OVT3" s="120"/>
      <c r="OVU3" s="120"/>
      <c r="OVV3" s="120"/>
      <c r="OVW3" s="120"/>
      <c r="OVX3" s="120"/>
      <c r="OVY3" s="120"/>
      <c r="OVZ3" s="120"/>
      <c r="OWA3" s="120"/>
      <c r="OWB3" s="120"/>
      <c r="OWC3" s="120"/>
      <c r="OWD3" s="120"/>
      <c r="OWE3" s="120"/>
      <c r="OWF3" s="120"/>
      <c r="OWG3" s="120"/>
      <c r="OWH3" s="120"/>
      <c r="OWI3" s="120"/>
      <c r="OWJ3" s="120"/>
      <c r="OWK3" s="120"/>
      <c r="OWL3" s="120"/>
      <c r="OWM3" s="120"/>
      <c r="OWN3" s="120"/>
      <c r="OWO3" s="120"/>
      <c r="OWP3" s="120"/>
      <c r="OWQ3" s="120"/>
      <c r="OWR3" s="120"/>
      <c r="OWS3" s="120"/>
      <c r="OWT3" s="120"/>
      <c r="OWU3" s="120"/>
      <c r="OWV3" s="120"/>
      <c r="OWW3" s="120"/>
      <c r="OWX3" s="120"/>
      <c r="OWY3" s="120"/>
      <c r="OWZ3" s="120"/>
      <c r="OXA3" s="120"/>
      <c r="OXB3" s="120"/>
      <c r="OXC3" s="120"/>
      <c r="OXD3" s="120"/>
      <c r="OXE3" s="120"/>
      <c r="OXF3" s="120"/>
      <c r="OXG3" s="120"/>
      <c r="OXH3" s="120"/>
      <c r="OXI3" s="120"/>
      <c r="OXJ3" s="120"/>
      <c r="OXK3" s="120"/>
      <c r="OXL3" s="120"/>
      <c r="OXM3" s="120"/>
      <c r="OXN3" s="120"/>
      <c r="OXO3" s="120"/>
      <c r="OXP3" s="120"/>
      <c r="OXQ3" s="120"/>
      <c r="OXR3" s="120"/>
      <c r="OXS3" s="120"/>
      <c r="OXT3" s="120"/>
      <c r="OXU3" s="120"/>
      <c r="OXV3" s="120"/>
      <c r="OXW3" s="120"/>
      <c r="OXX3" s="120"/>
      <c r="OXY3" s="120"/>
      <c r="OXZ3" s="120"/>
      <c r="OYA3" s="120"/>
      <c r="OYB3" s="120"/>
      <c r="OYC3" s="120"/>
      <c r="OYD3" s="120"/>
      <c r="OYE3" s="120"/>
      <c r="OYF3" s="120"/>
      <c r="OYG3" s="120"/>
      <c r="OYH3" s="120"/>
      <c r="OYI3" s="120"/>
      <c r="OYJ3" s="120"/>
      <c r="OYK3" s="120"/>
      <c r="OYL3" s="120"/>
      <c r="OYM3" s="120"/>
      <c r="OYN3" s="120"/>
      <c r="OYO3" s="120"/>
      <c r="OYP3" s="120"/>
      <c r="OYQ3" s="120"/>
      <c r="OYR3" s="120"/>
      <c r="OYS3" s="120"/>
      <c r="OYT3" s="120"/>
      <c r="OYU3" s="120"/>
      <c r="OYV3" s="120"/>
      <c r="OYW3" s="120"/>
      <c r="OYX3" s="120"/>
      <c r="OYY3" s="120"/>
      <c r="OYZ3" s="120"/>
      <c r="OZA3" s="120"/>
      <c r="OZB3" s="120"/>
      <c r="OZC3" s="120"/>
      <c r="OZD3" s="120"/>
      <c r="OZE3" s="120"/>
      <c r="OZF3" s="120"/>
      <c r="OZG3" s="120"/>
      <c r="OZH3" s="120"/>
      <c r="OZI3" s="120"/>
      <c r="OZJ3" s="120"/>
      <c r="OZK3" s="120"/>
      <c r="OZL3" s="120"/>
      <c r="OZM3" s="120"/>
      <c r="OZN3" s="120"/>
      <c r="OZO3" s="120"/>
      <c r="OZP3" s="120"/>
      <c r="OZQ3" s="120"/>
      <c r="OZR3" s="120"/>
      <c r="OZS3" s="120"/>
      <c r="OZT3" s="120"/>
      <c r="OZU3" s="120"/>
      <c r="OZV3" s="120"/>
      <c r="OZW3" s="120"/>
      <c r="OZX3" s="120"/>
      <c r="OZY3" s="120"/>
      <c r="OZZ3" s="120"/>
      <c r="PAA3" s="120"/>
      <c r="PAB3" s="120"/>
      <c r="PAC3" s="120"/>
      <c r="PAD3" s="120"/>
      <c r="PAE3" s="120"/>
      <c r="PAF3" s="120"/>
      <c r="PAG3" s="120"/>
      <c r="PAH3" s="120"/>
      <c r="PAI3" s="120"/>
      <c r="PAJ3" s="120"/>
      <c r="PAK3" s="120"/>
      <c r="PAL3" s="120"/>
      <c r="PAM3" s="120"/>
      <c r="PAN3" s="120"/>
      <c r="PAO3" s="120"/>
      <c r="PAP3" s="120"/>
      <c r="PAQ3" s="120"/>
      <c r="PAR3" s="120"/>
      <c r="PAS3" s="120"/>
      <c r="PAT3" s="120"/>
      <c r="PAU3" s="120"/>
      <c r="PAV3" s="120"/>
      <c r="PAW3" s="120"/>
      <c r="PAX3" s="120"/>
      <c r="PAY3" s="120"/>
      <c r="PAZ3" s="120"/>
      <c r="PBA3" s="120"/>
      <c r="PBB3" s="120"/>
      <c r="PBC3" s="120"/>
      <c r="PBD3" s="120"/>
      <c r="PBE3" s="120"/>
      <c r="PBF3" s="120"/>
      <c r="PBG3" s="120"/>
      <c r="PBH3" s="120"/>
      <c r="PBI3" s="120"/>
      <c r="PBJ3" s="120"/>
      <c r="PBK3" s="120"/>
      <c r="PBL3" s="120"/>
      <c r="PBM3" s="120"/>
      <c r="PBN3" s="120"/>
      <c r="PBO3" s="120"/>
      <c r="PBP3" s="120"/>
      <c r="PBQ3" s="120"/>
      <c r="PBR3" s="120"/>
      <c r="PBS3" s="120"/>
      <c r="PBT3" s="120"/>
      <c r="PBU3" s="120"/>
      <c r="PBV3" s="120"/>
      <c r="PBW3" s="120"/>
      <c r="PBX3" s="120"/>
      <c r="PBY3" s="120"/>
      <c r="PBZ3" s="120"/>
      <c r="PCA3" s="120"/>
      <c r="PCB3" s="120"/>
      <c r="PCC3" s="120"/>
      <c r="PCD3" s="120"/>
      <c r="PCE3" s="120"/>
      <c r="PCF3" s="120"/>
      <c r="PCG3" s="120"/>
      <c r="PCH3" s="120"/>
      <c r="PCI3" s="120"/>
      <c r="PCJ3" s="120"/>
      <c r="PCK3" s="120"/>
      <c r="PCL3" s="120"/>
      <c r="PCM3" s="120"/>
      <c r="PCN3" s="120"/>
      <c r="PCO3" s="120"/>
      <c r="PCP3" s="120"/>
      <c r="PCQ3" s="120"/>
      <c r="PCR3" s="120"/>
      <c r="PCS3" s="120"/>
      <c r="PCT3" s="120"/>
      <c r="PCU3" s="120"/>
      <c r="PCV3" s="120"/>
      <c r="PCW3" s="120"/>
      <c r="PCX3" s="120"/>
      <c r="PCY3" s="120"/>
      <c r="PCZ3" s="120"/>
      <c r="PDA3" s="120"/>
      <c r="PDB3" s="120"/>
      <c r="PDC3" s="120"/>
      <c r="PDD3" s="120"/>
      <c r="PDE3" s="120"/>
      <c r="PDF3" s="120"/>
      <c r="PDG3" s="120"/>
      <c r="PDH3" s="120"/>
      <c r="PDI3" s="120"/>
      <c r="PDJ3" s="120"/>
      <c r="PDK3" s="120"/>
      <c r="PDL3" s="120"/>
      <c r="PDM3" s="120"/>
      <c r="PDN3" s="120"/>
      <c r="PDO3" s="120"/>
      <c r="PDP3" s="120"/>
      <c r="PDQ3" s="120"/>
      <c r="PDR3" s="120"/>
      <c r="PDS3" s="120"/>
      <c r="PDT3" s="120"/>
      <c r="PDU3" s="120"/>
      <c r="PDV3" s="120"/>
      <c r="PDW3" s="120"/>
      <c r="PDX3" s="120"/>
      <c r="PDY3" s="120"/>
      <c r="PDZ3" s="120"/>
      <c r="PEA3" s="120"/>
      <c r="PEB3" s="120"/>
      <c r="PEC3" s="120"/>
      <c r="PED3" s="120"/>
      <c r="PEE3" s="120"/>
      <c r="PEF3" s="120"/>
      <c r="PEG3" s="120"/>
      <c r="PEH3" s="120"/>
      <c r="PEI3" s="120"/>
      <c r="PEJ3" s="120"/>
      <c r="PEK3" s="120"/>
      <c r="PEL3" s="120"/>
      <c r="PEM3" s="120"/>
      <c r="PEN3" s="120"/>
      <c r="PEO3" s="120"/>
      <c r="PEP3" s="120"/>
      <c r="PEQ3" s="120"/>
      <c r="PER3" s="120"/>
      <c r="PES3" s="120"/>
      <c r="PET3" s="120"/>
      <c r="PEU3" s="120"/>
      <c r="PEV3" s="120"/>
      <c r="PEW3" s="120"/>
      <c r="PEX3" s="120"/>
      <c r="PEY3" s="120"/>
      <c r="PEZ3" s="120"/>
      <c r="PFA3" s="120"/>
      <c r="PFB3" s="120"/>
      <c r="PFC3" s="120"/>
      <c r="PFD3" s="120"/>
      <c r="PFE3" s="120"/>
      <c r="PFF3" s="120"/>
      <c r="PFG3" s="120"/>
      <c r="PFH3" s="120"/>
      <c r="PFI3" s="120"/>
      <c r="PFJ3" s="120"/>
      <c r="PFK3" s="120"/>
      <c r="PFL3" s="120"/>
      <c r="PFM3" s="120"/>
      <c r="PFN3" s="120"/>
      <c r="PFO3" s="120"/>
      <c r="PFP3" s="120"/>
      <c r="PFQ3" s="120"/>
      <c r="PFR3" s="120"/>
      <c r="PFS3" s="120"/>
      <c r="PFT3" s="120"/>
      <c r="PFU3" s="120"/>
      <c r="PFV3" s="120"/>
      <c r="PFW3" s="120"/>
      <c r="PFX3" s="120"/>
      <c r="PFY3" s="120"/>
      <c r="PFZ3" s="120"/>
      <c r="PGA3" s="120"/>
      <c r="PGB3" s="120"/>
      <c r="PGC3" s="120"/>
      <c r="PGD3" s="120"/>
      <c r="PGE3" s="120"/>
      <c r="PGF3" s="120"/>
      <c r="PGG3" s="120"/>
      <c r="PGH3" s="120"/>
      <c r="PGI3" s="120"/>
      <c r="PGJ3" s="120"/>
      <c r="PGK3" s="120"/>
      <c r="PGL3" s="120"/>
      <c r="PGM3" s="120"/>
      <c r="PGN3" s="120"/>
      <c r="PGO3" s="120"/>
      <c r="PGP3" s="120"/>
      <c r="PGQ3" s="120"/>
      <c r="PGR3" s="120"/>
      <c r="PGS3" s="120"/>
      <c r="PGT3" s="120"/>
      <c r="PGU3" s="120"/>
      <c r="PGV3" s="120"/>
      <c r="PGW3" s="120"/>
      <c r="PGX3" s="120"/>
      <c r="PGY3" s="120"/>
      <c r="PGZ3" s="120"/>
      <c r="PHA3" s="120"/>
      <c r="PHB3" s="120"/>
      <c r="PHC3" s="120"/>
      <c r="PHD3" s="120"/>
      <c r="PHE3" s="120"/>
      <c r="PHF3" s="120"/>
      <c r="PHG3" s="120"/>
      <c r="PHH3" s="120"/>
      <c r="PHI3" s="120"/>
      <c r="PHJ3" s="120"/>
      <c r="PHK3" s="120"/>
      <c r="PHL3" s="120"/>
      <c r="PHM3" s="120"/>
      <c r="PHN3" s="120"/>
      <c r="PHO3" s="120"/>
      <c r="PHP3" s="120"/>
      <c r="PHQ3" s="120"/>
      <c r="PHR3" s="120"/>
      <c r="PHS3" s="120"/>
      <c r="PHT3" s="120"/>
      <c r="PHU3" s="120"/>
      <c r="PHV3" s="120"/>
      <c r="PHW3" s="120"/>
      <c r="PHX3" s="120"/>
      <c r="PHY3" s="120"/>
      <c r="PHZ3" s="120"/>
      <c r="PIA3" s="120"/>
      <c r="PIB3" s="120"/>
      <c r="PIC3" s="120"/>
      <c r="PID3" s="120"/>
      <c r="PIE3" s="120"/>
      <c r="PIF3" s="120"/>
      <c r="PIG3" s="120"/>
      <c r="PIH3" s="120"/>
      <c r="PII3" s="120"/>
      <c r="PIJ3" s="120"/>
      <c r="PIK3" s="120"/>
      <c r="PIL3" s="120"/>
      <c r="PIM3" s="120"/>
      <c r="PIN3" s="120"/>
      <c r="PIO3" s="120"/>
      <c r="PIP3" s="120"/>
      <c r="PIQ3" s="120"/>
      <c r="PIR3" s="120"/>
      <c r="PIS3" s="120"/>
      <c r="PIT3" s="120"/>
      <c r="PIU3" s="120"/>
      <c r="PIV3" s="120"/>
      <c r="PIW3" s="120"/>
      <c r="PIX3" s="120"/>
      <c r="PIY3" s="120"/>
      <c r="PIZ3" s="120"/>
      <c r="PJA3" s="120"/>
      <c r="PJB3" s="120"/>
      <c r="PJC3" s="120"/>
      <c r="PJD3" s="120"/>
      <c r="PJE3" s="120"/>
      <c r="PJF3" s="120"/>
      <c r="PJG3" s="120"/>
      <c r="PJH3" s="120"/>
      <c r="PJI3" s="120"/>
      <c r="PJJ3" s="120"/>
      <c r="PJK3" s="120"/>
      <c r="PJL3" s="120"/>
      <c r="PJM3" s="120"/>
      <c r="PJN3" s="120"/>
      <c r="PJO3" s="120"/>
      <c r="PJP3" s="120"/>
      <c r="PJQ3" s="120"/>
      <c r="PJR3" s="120"/>
      <c r="PJS3" s="120"/>
      <c r="PJT3" s="120"/>
      <c r="PJU3" s="120"/>
      <c r="PJV3" s="120"/>
      <c r="PJW3" s="120"/>
      <c r="PJX3" s="120"/>
      <c r="PJY3" s="120"/>
      <c r="PJZ3" s="120"/>
      <c r="PKA3" s="120"/>
      <c r="PKB3" s="120"/>
      <c r="PKC3" s="120"/>
      <c r="PKD3" s="120"/>
      <c r="PKE3" s="120"/>
      <c r="PKF3" s="120"/>
      <c r="PKG3" s="120"/>
      <c r="PKH3" s="120"/>
      <c r="PKI3" s="120"/>
      <c r="PKJ3" s="120"/>
      <c r="PKK3" s="120"/>
      <c r="PKL3" s="120"/>
      <c r="PKM3" s="120"/>
      <c r="PKN3" s="120"/>
      <c r="PKO3" s="120"/>
      <c r="PKP3" s="120"/>
      <c r="PKQ3" s="120"/>
      <c r="PKR3" s="120"/>
      <c r="PKS3" s="120"/>
      <c r="PKT3" s="120"/>
      <c r="PKU3" s="120"/>
      <c r="PKV3" s="120"/>
      <c r="PKW3" s="120"/>
      <c r="PKX3" s="120"/>
      <c r="PKY3" s="120"/>
      <c r="PKZ3" s="120"/>
      <c r="PLA3" s="120"/>
      <c r="PLB3" s="120"/>
      <c r="PLC3" s="120"/>
      <c r="PLD3" s="120"/>
      <c r="PLE3" s="120"/>
      <c r="PLF3" s="120"/>
      <c r="PLG3" s="120"/>
      <c r="PLH3" s="120"/>
      <c r="PLI3" s="120"/>
      <c r="PLJ3" s="120"/>
      <c r="PLK3" s="120"/>
      <c r="PLL3" s="120"/>
      <c r="PLM3" s="120"/>
      <c r="PLN3" s="120"/>
      <c r="PLO3" s="120"/>
      <c r="PLP3" s="120"/>
      <c r="PLQ3" s="120"/>
      <c r="PLR3" s="120"/>
      <c r="PLS3" s="120"/>
      <c r="PLT3" s="120"/>
      <c r="PLU3" s="120"/>
      <c r="PLV3" s="120"/>
      <c r="PLW3" s="120"/>
      <c r="PLX3" s="120"/>
      <c r="PLY3" s="120"/>
      <c r="PLZ3" s="120"/>
      <c r="PMA3" s="120"/>
      <c r="PMB3" s="120"/>
      <c r="PMC3" s="120"/>
      <c r="PMD3" s="120"/>
      <c r="PME3" s="120"/>
      <c r="PMF3" s="120"/>
      <c r="PMG3" s="120"/>
      <c r="PMH3" s="120"/>
      <c r="PMI3" s="120"/>
      <c r="PMJ3" s="120"/>
      <c r="PMK3" s="120"/>
      <c r="PML3" s="120"/>
      <c r="PMM3" s="120"/>
      <c r="PMN3" s="120"/>
      <c r="PMO3" s="120"/>
      <c r="PMP3" s="120"/>
      <c r="PMQ3" s="120"/>
      <c r="PMR3" s="120"/>
      <c r="PMS3" s="120"/>
      <c r="PMT3" s="120"/>
      <c r="PMU3" s="120"/>
      <c r="PMV3" s="120"/>
      <c r="PMW3" s="120"/>
      <c r="PMX3" s="120"/>
      <c r="PMY3" s="120"/>
      <c r="PMZ3" s="120"/>
      <c r="PNA3" s="120"/>
      <c r="PNB3" s="120"/>
      <c r="PNC3" s="120"/>
      <c r="PND3" s="120"/>
      <c r="PNE3" s="120"/>
      <c r="PNF3" s="120"/>
      <c r="PNG3" s="120"/>
      <c r="PNH3" s="120"/>
      <c r="PNI3" s="120"/>
      <c r="PNJ3" s="120"/>
      <c r="PNK3" s="120"/>
      <c r="PNL3" s="120"/>
      <c r="PNM3" s="120"/>
      <c r="PNN3" s="120"/>
      <c r="PNO3" s="120"/>
      <c r="PNP3" s="120"/>
      <c r="PNQ3" s="120"/>
      <c r="PNR3" s="120"/>
      <c r="PNS3" s="120"/>
      <c r="PNT3" s="120"/>
      <c r="PNU3" s="120"/>
      <c r="PNV3" s="120"/>
      <c r="PNW3" s="120"/>
      <c r="PNX3" s="120"/>
      <c r="PNY3" s="120"/>
      <c r="PNZ3" s="120"/>
      <c r="POA3" s="120"/>
      <c r="POB3" s="120"/>
      <c r="POC3" s="120"/>
      <c r="POD3" s="120"/>
      <c r="POE3" s="120"/>
      <c r="POF3" s="120"/>
      <c r="POG3" s="120"/>
      <c r="POH3" s="120"/>
      <c r="POI3" s="120"/>
      <c r="POJ3" s="120"/>
      <c r="POK3" s="120"/>
      <c r="POL3" s="120"/>
      <c r="POM3" s="120"/>
      <c r="PON3" s="120"/>
      <c r="POO3" s="120"/>
      <c r="POP3" s="120"/>
      <c r="POQ3" s="120"/>
      <c r="POR3" s="120"/>
      <c r="POS3" s="120"/>
      <c r="POT3" s="120"/>
      <c r="POU3" s="120"/>
      <c r="POV3" s="120"/>
      <c r="POW3" s="120"/>
      <c r="POX3" s="120"/>
      <c r="POY3" s="120"/>
      <c r="POZ3" s="120"/>
      <c r="PPA3" s="120"/>
      <c r="PPB3" s="120"/>
      <c r="PPC3" s="120"/>
      <c r="PPD3" s="120"/>
      <c r="PPE3" s="120"/>
      <c r="PPF3" s="120"/>
      <c r="PPG3" s="120"/>
      <c r="PPH3" s="120"/>
      <c r="PPI3" s="120"/>
      <c r="PPJ3" s="120"/>
      <c r="PPK3" s="120"/>
      <c r="PPL3" s="120"/>
      <c r="PPM3" s="120"/>
      <c r="PPN3" s="120"/>
      <c r="PPO3" s="120"/>
      <c r="PPP3" s="120"/>
      <c r="PPQ3" s="120"/>
      <c r="PPR3" s="120"/>
      <c r="PPS3" s="120"/>
      <c r="PPT3" s="120"/>
      <c r="PPU3" s="120"/>
      <c r="PPV3" s="120"/>
      <c r="PPW3" s="120"/>
      <c r="PPX3" s="120"/>
      <c r="PPY3" s="120"/>
      <c r="PPZ3" s="120"/>
      <c r="PQA3" s="120"/>
      <c r="PQB3" s="120"/>
      <c r="PQC3" s="120"/>
      <c r="PQD3" s="120"/>
      <c r="PQE3" s="120"/>
      <c r="PQF3" s="120"/>
      <c r="PQG3" s="120"/>
      <c r="PQH3" s="120"/>
      <c r="PQI3" s="120"/>
      <c r="PQJ3" s="120"/>
      <c r="PQK3" s="120"/>
      <c r="PQL3" s="120"/>
      <c r="PQM3" s="120"/>
      <c r="PQN3" s="120"/>
      <c r="PQO3" s="120"/>
      <c r="PQP3" s="120"/>
      <c r="PQQ3" s="120"/>
      <c r="PQR3" s="120"/>
      <c r="PQS3" s="120"/>
      <c r="PQT3" s="120"/>
      <c r="PQU3" s="120"/>
      <c r="PQV3" s="120"/>
      <c r="PQW3" s="120"/>
      <c r="PQX3" s="120"/>
      <c r="PQY3" s="120"/>
      <c r="PQZ3" s="120"/>
      <c r="PRA3" s="120"/>
      <c r="PRB3" s="120"/>
      <c r="PRC3" s="120"/>
      <c r="PRD3" s="120"/>
      <c r="PRE3" s="120"/>
      <c r="PRF3" s="120"/>
      <c r="PRG3" s="120"/>
      <c r="PRH3" s="120"/>
      <c r="PRI3" s="120"/>
      <c r="PRJ3" s="120"/>
      <c r="PRK3" s="120"/>
      <c r="PRL3" s="120"/>
      <c r="PRM3" s="120"/>
      <c r="PRN3" s="120"/>
      <c r="PRO3" s="120"/>
      <c r="PRP3" s="120"/>
      <c r="PRQ3" s="120"/>
      <c r="PRR3" s="120"/>
      <c r="PRS3" s="120"/>
      <c r="PRT3" s="120"/>
      <c r="PRU3" s="120"/>
      <c r="PRV3" s="120"/>
      <c r="PRW3" s="120"/>
      <c r="PRX3" s="120"/>
      <c r="PRY3" s="120"/>
      <c r="PRZ3" s="120"/>
      <c r="PSA3" s="120"/>
      <c r="PSB3" s="120"/>
      <c r="PSC3" s="120"/>
      <c r="PSD3" s="120"/>
      <c r="PSE3" s="120"/>
      <c r="PSF3" s="120"/>
      <c r="PSG3" s="120"/>
      <c r="PSH3" s="120"/>
      <c r="PSI3" s="120"/>
      <c r="PSJ3" s="120"/>
      <c r="PSK3" s="120"/>
      <c r="PSL3" s="120"/>
      <c r="PSM3" s="120"/>
      <c r="PSN3" s="120"/>
      <c r="PSO3" s="120"/>
      <c r="PSP3" s="120"/>
      <c r="PSQ3" s="120"/>
      <c r="PSR3" s="120"/>
      <c r="PSS3" s="120"/>
      <c r="PST3" s="120"/>
      <c r="PSU3" s="120"/>
      <c r="PSV3" s="120"/>
      <c r="PSW3" s="120"/>
      <c r="PSX3" s="120"/>
      <c r="PSY3" s="120"/>
      <c r="PSZ3" s="120"/>
      <c r="PTA3" s="120"/>
      <c r="PTB3" s="120"/>
      <c r="PTC3" s="120"/>
      <c r="PTD3" s="120"/>
      <c r="PTE3" s="120"/>
      <c r="PTF3" s="120"/>
      <c r="PTG3" s="120"/>
      <c r="PTH3" s="120"/>
      <c r="PTI3" s="120"/>
      <c r="PTJ3" s="120"/>
      <c r="PTK3" s="120"/>
      <c r="PTL3" s="120"/>
      <c r="PTM3" s="120"/>
      <c r="PTN3" s="120"/>
      <c r="PTO3" s="120"/>
      <c r="PTP3" s="120"/>
      <c r="PTQ3" s="120"/>
      <c r="PTR3" s="120"/>
      <c r="PTS3" s="120"/>
      <c r="PTT3" s="120"/>
      <c r="PTU3" s="120"/>
      <c r="PTV3" s="120"/>
      <c r="PTW3" s="120"/>
      <c r="PTX3" s="120"/>
      <c r="PTY3" s="120"/>
      <c r="PTZ3" s="120"/>
      <c r="PUA3" s="120"/>
      <c r="PUB3" s="120"/>
      <c r="PUC3" s="120"/>
      <c r="PUD3" s="120"/>
      <c r="PUE3" s="120"/>
      <c r="PUF3" s="120"/>
      <c r="PUG3" s="120"/>
      <c r="PUH3" s="120"/>
      <c r="PUI3" s="120"/>
      <c r="PUJ3" s="120"/>
      <c r="PUK3" s="120"/>
      <c r="PUL3" s="120"/>
      <c r="PUM3" s="120"/>
      <c r="PUN3" s="120"/>
      <c r="PUO3" s="120"/>
      <c r="PUP3" s="120"/>
      <c r="PUQ3" s="120"/>
      <c r="PUR3" s="120"/>
      <c r="PUS3" s="120"/>
      <c r="PUT3" s="120"/>
      <c r="PUU3" s="120"/>
      <c r="PUV3" s="120"/>
      <c r="PUW3" s="120"/>
      <c r="PUX3" s="120"/>
      <c r="PUY3" s="120"/>
      <c r="PUZ3" s="120"/>
      <c r="PVA3" s="120"/>
      <c r="PVB3" s="120"/>
      <c r="PVC3" s="120"/>
      <c r="PVD3" s="120"/>
      <c r="PVE3" s="120"/>
      <c r="PVF3" s="120"/>
      <c r="PVG3" s="120"/>
      <c r="PVH3" s="120"/>
      <c r="PVI3" s="120"/>
      <c r="PVJ3" s="120"/>
      <c r="PVK3" s="120"/>
      <c r="PVL3" s="120"/>
      <c r="PVM3" s="120"/>
      <c r="PVN3" s="120"/>
      <c r="PVO3" s="120"/>
      <c r="PVP3" s="120"/>
      <c r="PVQ3" s="120"/>
      <c r="PVR3" s="120"/>
      <c r="PVS3" s="120"/>
      <c r="PVT3" s="120"/>
      <c r="PVU3" s="120"/>
      <c r="PVV3" s="120"/>
      <c r="PVW3" s="120"/>
      <c r="PVX3" s="120"/>
      <c r="PVY3" s="120"/>
      <c r="PVZ3" s="120"/>
      <c r="PWA3" s="120"/>
      <c r="PWB3" s="120"/>
      <c r="PWC3" s="120"/>
      <c r="PWD3" s="120"/>
      <c r="PWE3" s="120"/>
      <c r="PWF3" s="120"/>
      <c r="PWG3" s="120"/>
      <c r="PWH3" s="120"/>
      <c r="PWI3" s="120"/>
      <c r="PWJ3" s="120"/>
      <c r="PWK3" s="120"/>
      <c r="PWL3" s="120"/>
      <c r="PWM3" s="120"/>
      <c r="PWN3" s="120"/>
      <c r="PWO3" s="120"/>
      <c r="PWP3" s="120"/>
      <c r="PWQ3" s="120"/>
      <c r="PWR3" s="120"/>
      <c r="PWS3" s="120"/>
      <c r="PWT3" s="120"/>
      <c r="PWU3" s="120"/>
      <c r="PWV3" s="120"/>
      <c r="PWW3" s="120"/>
      <c r="PWX3" s="120"/>
      <c r="PWY3" s="120"/>
      <c r="PWZ3" s="120"/>
      <c r="PXA3" s="120"/>
      <c r="PXB3" s="120"/>
      <c r="PXC3" s="120"/>
      <c r="PXD3" s="120"/>
      <c r="PXE3" s="120"/>
      <c r="PXF3" s="120"/>
      <c r="PXG3" s="120"/>
      <c r="PXH3" s="120"/>
      <c r="PXI3" s="120"/>
      <c r="PXJ3" s="120"/>
      <c r="PXK3" s="120"/>
      <c r="PXL3" s="120"/>
      <c r="PXM3" s="120"/>
      <c r="PXN3" s="120"/>
      <c r="PXO3" s="120"/>
      <c r="PXP3" s="120"/>
      <c r="PXQ3" s="120"/>
      <c r="PXR3" s="120"/>
      <c r="PXS3" s="120"/>
      <c r="PXT3" s="120"/>
      <c r="PXU3" s="120"/>
      <c r="PXV3" s="120"/>
      <c r="PXW3" s="120"/>
      <c r="PXX3" s="120"/>
      <c r="PXY3" s="120"/>
      <c r="PXZ3" s="120"/>
      <c r="PYA3" s="120"/>
      <c r="PYB3" s="120"/>
      <c r="PYC3" s="120"/>
      <c r="PYD3" s="120"/>
      <c r="PYE3" s="120"/>
      <c r="PYF3" s="120"/>
      <c r="PYG3" s="120"/>
      <c r="PYH3" s="120"/>
      <c r="PYI3" s="120"/>
      <c r="PYJ3" s="120"/>
      <c r="PYK3" s="120"/>
      <c r="PYL3" s="120"/>
      <c r="PYM3" s="120"/>
      <c r="PYN3" s="120"/>
      <c r="PYO3" s="120"/>
      <c r="PYP3" s="120"/>
      <c r="PYQ3" s="120"/>
      <c r="PYR3" s="120"/>
      <c r="PYS3" s="120"/>
      <c r="PYT3" s="120"/>
      <c r="PYU3" s="120"/>
      <c r="PYV3" s="120"/>
      <c r="PYW3" s="120"/>
      <c r="PYX3" s="120"/>
      <c r="PYY3" s="120"/>
      <c r="PYZ3" s="120"/>
      <c r="PZA3" s="120"/>
      <c r="PZB3" s="120"/>
      <c r="PZC3" s="120"/>
      <c r="PZD3" s="120"/>
      <c r="PZE3" s="120"/>
      <c r="PZF3" s="120"/>
      <c r="PZG3" s="120"/>
      <c r="PZH3" s="120"/>
      <c r="PZI3" s="120"/>
      <c r="PZJ3" s="120"/>
      <c r="PZK3" s="120"/>
      <c r="PZL3" s="120"/>
      <c r="PZM3" s="120"/>
      <c r="PZN3" s="120"/>
      <c r="PZO3" s="120"/>
      <c r="PZP3" s="120"/>
      <c r="PZQ3" s="120"/>
      <c r="PZR3" s="120"/>
      <c r="PZS3" s="120"/>
      <c r="PZT3" s="120"/>
      <c r="PZU3" s="120"/>
      <c r="PZV3" s="120"/>
      <c r="PZW3" s="120"/>
      <c r="PZX3" s="120"/>
      <c r="PZY3" s="120"/>
      <c r="PZZ3" s="120"/>
      <c r="QAA3" s="120"/>
      <c r="QAB3" s="120"/>
      <c r="QAC3" s="120"/>
      <c r="QAD3" s="120"/>
      <c r="QAE3" s="120"/>
      <c r="QAF3" s="120"/>
      <c r="QAG3" s="120"/>
      <c r="QAH3" s="120"/>
      <c r="QAI3" s="120"/>
      <c r="QAJ3" s="120"/>
      <c r="QAK3" s="120"/>
      <c r="QAL3" s="120"/>
      <c r="QAM3" s="120"/>
      <c r="QAN3" s="120"/>
      <c r="QAO3" s="120"/>
      <c r="QAP3" s="120"/>
      <c r="QAQ3" s="120"/>
      <c r="QAR3" s="120"/>
      <c r="QAS3" s="120"/>
      <c r="QAT3" s="120"/>
      <c r="QAU3" s="120"/>
      <c r="QAV3" s="120"/>
      <c r="QAW3" s="120"/>
      <c r="QAX3" s="120"/>
      <c r="QAY3" s="120"/>
      <c r="QAZ3" s="120"/>
      <c r="QBA3" s="120"/>
      <c r="QBB3" s="120"/>
      <c r="QBC3" s="120"/>
      <c r="QBD3" s="120"/>
      <c r="QBE3" s="120"/>
      <c r="QBF3" s="120"/>
      <c r="QBG3" s="120"/>
      <c r="QBH3" s="120"/>
      <c r="QBI3" s="120"/>
      <c r="QBJ3" s="120"/>
      <c r="QBK3" s="120"/>
      <c r="QBL3" s="120"/>
      <c r="QBM3" s="120"/>
      <c r="QBN3" s="120"/>
      <c r="QBO3" s="120"/>
      <c r="QBP3" s="120"/>
      <c r="QBQ3" s="120"/>
      <c r="QBR3" s="120"/>
      <c r="QBS3" s="120"/>
      <c r="QBT3" s="120"/>
      <c r="QBU3" s="120"/>
      <c r="QBV3" s="120"/>
      <c r="QBW3" s="120"/>
      <c r="QBX3" s="120"/>
      <c r="QBY3" s="120"/>
      <c r="QBZ3" s="120"/>
      <c r="QCA3" s="120"/>
      <c r="QCB3" s="120"/>
      <c r="QCC3" s="120"/>
      <c r="QCD3" s="120"/>
      <c r="QCE3" s="120"/>
      <c r="QCF3" s="120"/>
      <c r="QCG3" s="120"/>
      <c r="QCH3" s="120"/>
      <c r="QCI3" s="120"/>
      <c r="QCJ3" s="120"/>
      <c r="QCK3" s="120"/>
      <c r="QCL3" s="120"/>
      <c r="QCM3" s="120"/>
      <c r="QCN3" s="120"/>
      <c r="QCO3" s="120"/>
      <c r="QCP3" s="120"/>
      <c r="QCQ3" s="120"/>
      <c r="QCR3" s="120"/>
      <c r="QCS3" s="120"/>
      <c r="QCT3" s="120"/>
      <c r="QCU3" s="120"/>
      <c r="QCV3" s="120"/>
      <c r="QCW3" s="120"/>
      <c r="QCX3" s="120"/>
      <c r="QCY3" s="120"/>
      <c r="QCZ3" s="120"/>
      <c r="QDA3" s="120"/>
      <c r="QDB3" s="120"/>
      <c r="QDC3" s="120"/>
      <c r="QDD3" s="120"/>
      <c r="QDE3" s="120"/>
      <c r="QDF3" s="120"/>
      <c r="QDG3" s="120"/>
      <c r="QDH3" s="120"/>
      <c r="QDI3" s="120"/>
      <c r="QDJ3" s="120"/>
      <c r="QDK3" s="120"/>
      <c r="QDL3" s="120"/>
      <c r="QDM3" s="120"/>
      <c r="QDN3" s="120"/>
      <c r="QDO3" s="120"/>
      <c r="QDP3" s="120"/>
      <c r="QDQ3" s="120"/>
      <c r="QDR3" s="120"/>
      <c r="QDS3" s="120"/>
      <c r="QDT3" s="120"/>
      <c r="QDU3" s="120"/>
      <c r="QDV3" s="120"/>
      <c r="QDW3" s="120"/>
      <c r="QDX3" s="120"/>
      <c r="QDY3" s="120"/>
      <c r="QDZ3" s="120"/>
      <c r="QEA3" s="120"/>
      <c r="QEB3" s="120"/>
      <c r="QEC3" s="120"/>
      <c r="QED3" s="120"/>
      <c r="QEE3" s="120"/>
      <c r="QEF3" s="120"/>
      <c r="QEG3" s="120"/>
      <c r="QEH3" s="120"/>
      <c r="QEI3" s="120"/>
      <c r="QEJ3" s="120"/>
      <c r="QEK3" s="120"/>
      <c r="QEL3" s="120"/>
      <c r="QEM3" s="120"/>
      <c r="QEN3" s="120"/>
      <c r="QEO3" s="120"/>
      <c r="QEP3" s="120"/>
      <c r="QEQ3" s="120"/>
      <c r="QER3" s="120"/>
      <c r="QES3" s="120"/>
      <c r="QET3" s="120"/>
      <c r="QEU3" s="120"/>
      <c r="QEV3" s="120"/>
      <c r="QEW3" s="120"/>
      <c r="QEX3" s="120"/>
      <c r="QEY3" s="120"/>
      <c r="QEZ3" s="120"/>
      <c r="QFA3" s="120"/>
      <c r="QFB3" s="120"/>
      <c r="QFC3" s="120"/>
      <c r="QFD3" s="120"/>
      <c r="QFE3" s="120"/>
      <c r="QFF3" s="120"/>
      <c r="QFG3" s="120"/>
      <c r="QFH3" s="120"/>
      <c r="QFI3" s="120"/>
      <c r="QFJ3" s="120"/>
      <c r="QFK3" s="120"/>
      <c r="QFL3" s="120"/>
      <c r="QFM3" s="120"/>
      <c r="QFN3" s="120"/>
      <c r="QFO3" s="120"/>
      <c r="QFP3" s="120"/>
      <c r="QFQ3" s="120"/>
      <c r="QFR3" s="120"/>
      <c r="QFS3" s="120"/>
      <c r="QFT3" s="120"/>
      <c r="QFU3" s="120"/>
      <c r="QFV3" s="120"/>
      <c r="QFW3" s="120"/>
      <c r="QFX3" s="120"/>
      <c r="QFY3" s="120"/>
      <c r="QFZ3" s="120"/>
      <c r="QGA3" s="120"/>
      <c r="QGB3" s="120"/>
      <c r="QGC3" s="120"/>
      <c r="QGD3" s="120"/>
      <c r="QGE3" s="120"/>
      <c r="QGF3" s="120"/>
      <c r="QGG3" s="120"/>
      <c r="QGH3" s="120"/>
      <c r="QGI3" s="120"/>
      <c r="QGJ3" s="120"/>
      <c r="QGK3" s="120"/>
      <c r="QGL3" s="120"/>
      <c r="QGM3" s="120"/>
      <c r="QGN3" s="120"/>
      <c r="QGO3" s="120"/>
      <c r="QGP3" s="120"/>
      <c r="QGQ3" s="120"/>
      <c r="QGR3" s="120"/>
      <c r="QGS3" s="120"/>
      <c r="QGT3" s="120"/>
      <c r="QGU3" s="120"/>
      <c r="QGV3" s="120"/>
      <c r="QGW3" s="120"/>
      <c r="QGX3" s="120"/>
      <c r="QGY3" s="120"/>
      <c r="QGZ3" s="120"/>
      <c r="QHA3" s="120"/>
      <c r="QHB3" s="120"/>
      <c r="QHC3" s="120"/>
      <c r="QHD3" s="120"/>
      <c r="QHE3" s="120"/>
      <c r="QHF3" s="120"/>
      <c r="QHG3" s="120"/>
      <c r="QHH3" s="120"/>
      <c r="QHI3" s="120"/>
      <c r="QHJ3" s="120"/>
      <c r="QHK3" s="120"/>
      <c r="QHL3" s="120"/>
      <c r="QHM3" s="120"/>
      <c r="QHN3" s="120"/>
      <c r="QHO3" s="120"/>
      <c r="QHP3" s="120"/>
      <c r="QHQ3" s="120"/>
      <c r="QHR3" s="120"/>
      <c r="QHS3" s="120"/>
      <c r="QHT3" s="120"/>
      <c r="QHU3" s="120"/>
      <c r="QHV3" s="120"/>
      <c r="QHW3" s="120"/>
      <c r="QHX3" s="120"/>
      <c r="QHY3" s="120"/>
      <c r="QHZ3" s="120"/>
      <c r="QIA3" s="120"/>
      <c r="QIB3" s="120"/>
      <c r="QIC3" s="120"/>
      <c r="QID3" s="120"/>
      <c r="QIE3" s="120"/>
      <c r="QIF3" s="120"/>
      <c r="QIG3" s="120"/>
      <c r="QIH3" s="120"/>
      <c r="QII3" s="120"/>
      <c r="QIJ3" s="120"/>
      <c r="QIK3" s="120"/>
      <c r="QIL3" s="120"/>
      <c r="QIM3" s="120"/>
      <c r="QIN3" s="120"/>
      <c r="QIO3" s="120"/>
      <c r="QIP3" s="120"/>
      <c r="QIQ3" s="120"/>
      <c r="QIR3" s="120"/>
      <c r="QIS3" s="120"/>
      <c r="QIT3" s="120"/>
      <c r="QIU3" s="120"/>
      <c r="QIV3" s="120"/>
      <c r="QIW3" s="120"/>
      <c r="QIX3" s="120"/>
      <c r="QIY3" s="120"/>
      <c r="QIZ3" s="120"/>
      <c r="QJA3" s="120"/>
      <c r="QJB3" s="120"/>
      <c r="QJC3" s="120"/>
      <c r="QJD3" s="120"/>
      <c r="QJE3" s="120"/>
      <c r="QJF3" s="120"/>
      <c r="QJG3" s="120"/>
      <c r="QJH3" s="120"/>
      <c r="QJI3" s="120"/>
      <c r="QJJ3" s="120"/>
      <c r="QJK3" s="120"/>
      <c r="QJL3" s="120"/>
      <c r="QJM3" s="120"/>
      <c r="QJN3" s="120"/>
      <c r="QJO3" s="120"/>
      <c r="QJP3" s="120"/>
      <c r="QJQ3" s="120"/>
      <c r="QJR3" s="120"/>
      <c r="QJS3" s="120"/>
      <c r="QJT3" s="120"/>
      <c r="QJU3" s="120"/>
      <c r="QJV3" s="120"/>
      <c r="QJW3" s="120"/>
      <c r="QJX3" s="120"/>
      <c r="QJY3" s="120"/>
      <c r="QJZ3" s="120"/>
      <c r="QKA3" s="120"/>
      <c r="QKB3" s="120"/>
      <c r="QKC3" s="120"/>
      <c r="QKD3" s="120"/>
      <c r="QKE3" s="120"/>
      <c r="QKF3" s="120"/>
      <c r="QKG3" s="120"/>
      <c r="QKH3" s="120"/>
      <c r="QKI3" s="120"/>
      <c r="QKJ3" s="120"/>
      <c r="QKK3" s="120"/>
      <c r="QKL3" s="120"/>
      <c r="QKM3" s="120"/>
      <c r="QKN3" s="120"/>
      <c r="QKO3" s="120"/>
      <c r="QKP3" s="120"/>
      <c r="QKQ3" s="120"/>
      <c r="QKR3" s="120"/>
      <c r="QKS3" s="120"/>
      <c r="QKT3" s="120"/>
      <c r="QKU3" s="120"/>
      <c r="QKV3" s="120"/>
      <c r="QKW3" s="120"/>
      <c r="QKX3" s="120"/>
      <c r="QKY3" s="120"/>
      <c r="QKZ3" s="120"/>
      <c r="QLA3" s="120"/>
      <c r="QLB3" s="120"/>
      <c r="QLC3" s="120"/>
      <c r="QLD3" s="120"/>
      <c r="QLE3" s="120"/>
      <c r="QLF3" s="120"/>
      <c r="QLG3" s="120"/>
      <c r="QLH3" s="120"/>
      <c r="QLI3" s="120"/>
      <c r="QLJ3" s="120"/>
      <c r="QLK3" s="120"/>
      <c r="QLL3" s="120"/>
      <c r="QLM3" s="120"/>
      <c r="QLN3" s="120"/>
      <c r="QLO3" s="120"/>
      <c r="QLP3" s="120"/>
      <c r="QLQ3" s="120"/>
      <c r="QLR3" s="120"/>
      <c r="QLS3" s="120"/>
      <c r="QLT3" s="120"/>
      <c r="QLU3" s="120"/>
      <c r="QLV3" s="120"/>
      <c r="QLW3" s="120"/>
      <c r="QLX3" s="120"/>
      <c r="QLY3" s="120"/>
      <c r="QLZ3" s="120"/>
      <c r="QMA3" s="120"/>
      <c r="QMB3" s="120"/>
      <c r="QMC3" s="120"/>
      <c r="QMD3" s="120"/>
      <c r="QME3" s="120"/>
      <c r="QMF3" s="120"/>
      <c r="QMG3" s="120"/>
      <c r="QMH3" s="120"/>
      <c r="QMI3" s="120"/>
      <c r="QMJ3" s="120"/>
      <c r="QMK3" s="120"/>
      <c r="QML3" s="120"/>
      <c r="QMM3" s="120"/>
      <c r="QMN3" s="120"/>
      <c r="QMO3" s="120"/>
      <c r="QMP3" s="120"/>
      <c r="QMQ3" s="120"/>
      <c r="QMR3" s="120"/>
      <c r="QMS3" s="120"/>
      <c r="QMT3" s="120"/>
      <c r="QMU3" s="120"/>
      <c r="QMV3" s="120"/>
      <c r="QMW3" s="120"/>
      <c r="QMX3" s="120"/>
      <c r="QMY3" s="120"/>
      <c r="QMZ3" s="120"/>
      <c r="QNA3" s="120"/>
      <c r="QNB3" s="120"/>
      <c r="QNC3" s="120"/>
      <c r="QND3" s="120"/>
      <c r="QNE3" s="120"/>
      <c r="QNF3" s="120"/>
      <c r="QNG3" s="120"/>
      <c r="QNH3" s="120"/>
      <c r="QNI3" s="120"/>
      <c r="QNJ3" s="120"/>
      <c r="QNK3" s="120"/>
      <c r="QNL3" s="120"/>
      <c r="QNM3" s="120"/>
      <c r="QNN3" s="120"/>
      <c r="QNO3" s="120"/>
      <c r="QNP3" s="120"/>
      <c r="QNQ3" s="120"/>
      <c r="QNR3" s="120"/>
      <c r="QNS3" s="120"/>
      <c r="QNT3" s="120"/>
      <c r="QNU3" s="120"/>
      <c r="QNV3" s="120"/>
      <c r="QNW3" s="120"/>
      <c r="QNX3" s="120"/>
      <c r="QNY3" s="120"/>
      <c r="QNZ3" s="120"/>
      <c r="QOA3" s="120"/>
      <c r="QOB3" s="120"/>
      <c r="QOC3" s="120"/>
      <c r="QOD3" s="120"/>
      <c r="QOE3" s="120"/>
      <c r="QOF3" s="120"/>
      <c r="QOG3" s="120"/>
      <c r="QOH3" s="120"/>
      <c r="QOI3" s="120"/>
      <c r="QOJ3" s="120"/>
      <c r="QOK3" s="120"/>
      <c r="QOL3" s="120"/>
      <c r="QOM3" s="120"/>
      <c r="QON3" s="120"/>
      <c r="QOO3" s="120"/>
      <c r="QOP3" s="120"/>
      <c r="QOQ3" s="120"/>
      <c r="QOR3" s="120"/>
      <c r="QOS3" s="120"/>
      <c r="QOT3" s="120"/>
      <c r="QOU3" s="120"/>
      <c r="QOV3" s="120"/>
      <c r="QOW3" s="120"/>
      <c r="QOX3" s="120"/>
      <c r="QOY3" s="120"/>
      <c r="QOZ3" s="120"/>
      <c r="QPA3" s="120"/>
      <c r="QPB3" s="120"/>
      <c r="QPC3" s="120"/>
      <c r="QPD3" s="120"/>
      <c r="QPE3" s="120"/>
      <c r="QPF3" s="120"/>
      <c r="QPG3" s="120"/>
      <c r="QPH3" s="120"/>
      <c r="QPI3" s="120"/>
      <c r="QPJ3" s="120"/>
      <c r="QPK3" s="120"/>
      <c r="QPL3" s="120"/>
      <c r="QPM3" s="120"/>
      <c r="QPN3" s="120"/>
      <c r="QPO3" s="120"/>
      <c r="QPP3" s="120"/>
      <c r="QPQ3" s="120"/>
      <c r="QPR3" s="120"/>
      <c r="QPS3" s="120"/>
      <c r="QPT3" s="120"/>
      <c r="QPU3" s="120"/>
      <c r="QPV3" s="120"/>
      <c r="QPW3" s="120"/>
      <c r="QPX3" s="120"/>
      <c r="QPY3" s="120"/>
      <c r="QPZ3" s="120"/>
      <c r="QQA3" s="120"/>
      <c r="QQB3" s="120"/>
      <c r="QQC3" s="120"/>
      <c r="QQD3" s="120"/>
      <c r="QQE3" s="120"/>
      <c r="QQF3" s="120"/>
      <c r="QQG3" s="120"/>
      <c r="QQH3" s="120"/>
      <c r="QQI3" s="120"/>
      <c r="QQJ3" s="120"/>
      <c r="QQK3" s="120"/>
      <c r="QQL3" s="120"/>
      <c r="QQM3" s="120"/>
      <c r="QQN3" s="120"/>
      <c r="QQO3" s="120"/>
      <c r="QQP3" s="120"/>
      <c r="QQQ3" s="120"/>
      <c r="QQR3" s="120"/>
      <c r="QQS3" s="120"/>
      <c r="QQT3" s="120"/>
      <c r="QQU3" s="120"/>
      <c r="QQV3" s="120"/>
      <c r="QQW3" s="120"/>
      <c r="QQX3" s="120"/>
      <c r="QQY3" s="120"/>
      <c r="QQZ3" s="120"/>
      <c r="QRA3" s="120"/>
      <c r="QRB3" s="120"/>
      <c r="QRC3" s="120"/>
      <c r="QRD3" s="120"/>
      <c r="QRE3" s="120"/>
      <c r="QRF3" s="120"/>
      <c r="QRG3" s="120"/>
      <c r="QRH3" s="120"/>
      <c r="QRI3" s="120"/>
      <c r="QRJ3" s="120"/>
      <c r="QRK3" s="120"/>
      <c r="QRL3" s="120"/>
      <c r="QRM3" s="120"/>
      <c r="QRN3" s="120"/>
      <c r="QRO3" s="120"/>
      <c r="QRP3" s="120"/>
      <c r="QRQ3" s="120"/>
      <c r="QRR3" s="120"/>
      <c r="QRS3" s="120"/>
      <c r="QRT3" s="120"/>
      <c r="QRU3" s="120"/>
      <c r="QRV3" s="120"/>
      <c r="QRW3" s="120"/>
      <c r="QRX3" s="120"/>
      <c r="QRY3" s="120"/>
      <c r="QRZ3" s="120"/>
      <c r="QSA3" s="120"/>
      <c r="QSB3" s="120"/>
      <c r="QSC3" s="120"/>
      <c r="QSD3" s="120"/>
      <c r="QSE3" s="120"/>
      <c r="QSF3" s="120"/>
      <c r="QSG3" s="120"/>
      <c r="QSH3" s="120"/>
      <c r="QSI3" s="120"/>
      <c r="QSJ3" s="120"/>
      <c r="QSK3" s="120"/>
      <c r="QSL3" s="120"/>
      <c r="QSM3" s="120"/>
      <c r="QSN3" s="120"/>
      <c r="QSO3" s="120"/>
      <c r="QSP3" s="120"/>
      <c r="QSQ3" s="120"/>
      <c r="QSR3" s="120"/>
      <c r="QSS3" s="120"/>
      <c r="QST3" s="120"/>
      <c r="QSU3" s="120"/>
      <c r="QSV3" s="120"/>
      <c r="QSW3" s="120"/>
      <c r="QSX3" s="120"/>
      <c r="QSY3" s="120"/>
      <c r="QSZ3" s="120"/>
      <c r="QTA3" s="120"/>
      <c r="QTB3" s="120"/>
      <c r="QTC3" s="120"/>
      <c r="QTD3" s="120"/>
      <c r="QTE3" s="120"/>
      <c r="QTF3" s="120"/>
      <c r="QTG3" s="120"/>
      <c r="QTH3" s="120"/>
      <c r="QTI3" s="120"/>
      <c r="QTJ3" s="120"/>
      <c r="QTK3" s="120"/>
      <c r="QTL3" s="120"/>
      <c r="QTM3" s="120"/>
      <c r="QTN3" s="120"/>
      <c r="QTO3" s="120"/>
      <c r="QTP3" s="120"/>
      <c r="QTQ3" s="120"/>
      <c r="QTR3" s="120"/>
      <c r="QTS3" s="120"/>
      <c r="QTT3" s="120"/>
      <c r="QTU3" s="120"/>
      <c r="QTV3" s="120"/>
      <c r="QTW3" s="120"/>
      <c r="QTX3" s="120"/>
      <c r="QTY3" s="120"/>
      <c r="QTZ3" s="120"/>
      <c r="QUA3" s="120"/>
      <c r="QUB3" s="120"/>
      <c r="QUC3" s="120"/>
      <c r="QUD3" s="120"/>
      <c r="QUE3" s="120"/>
      <c r="QUF3" s="120"/>
      <c r="QUG3" s="120"/>
      <c r="QUH3" s="120"/>
      <c r="QUI3" s="120"/>
      <c r="QUJ3" s="120"/>
      <c r="QUK3" s="120"/>
      <c r="QUL3" s="120"/>
      <c r="QUM3" s="120"/>
      <c r="QUN3" s="120"/>
      <c r="QUO3" s="120"/>
      <c r="QUP3" s="120"/>
      <c r="QUQ3" s="120"/>
      <c r="QUR3" s="120"/>
      <c r="QUS3" s="120"/>
      <c r="QUT3" s="120"/>
      <c r="QUU3" s="120"/>
      <c r="QUV3" s="120"/>
      <c r="QUW3" s="120"/>
      <c r="QUX3" s="120"/>
      <c r="QUY3" s="120"/>
      <c r="QUZ3" s="120"/>
      <c r="QVA3" s="120"/>
      <c r="QVB3" s="120"/>
      <c r="QVC3" s="120"/>
      <c r="QVD3" s="120"/>
      <c r="QVE3" s="120"/>
      <c r="QVF3" s="120"/>
      <c r="QVG3" s="120"/>
      <c r="QVH3" s="120"/>
      <c r="QVI3" s="120"/>
      <c r="QVJ3" s="120"/>
      <c r="QVK3" s="120"/>
      <c r="QVL3" s="120"/>
      <c r="QVM3" s="120"/>
      <c r="QVN3" s="120"/>
      <c r="QVO3" s="120"/>
      <c r="QVP3" s="120"/>
      <c r="QVQ3" s="120"/>
      <c r="QVR3" s="120"/>
      <c r="QVS3" s="120"/>
      <c r="QVT3" s="120"/>
      <c r="QVU3" s="120"/>
      <c r="QVV3" s="120"/>
      <c r="QVW3" s="120"/>
      <c r="QVX3" s="120"/>
      <c r="QVY3" s="120"/>
      <c r="QVZ3" s="120"/>
      <c r="QWA3" s="120"/>
      <c r="QWB3" s="120"/>
      <c r="QWC3" s="120"/>
      <c r="QWD3" s="120"/>
      <c r="QWE3" s="120"/>
      <c r="QWF3" s="120"/>
      <c r="QWG3" s="120"/>
      <c r="QWH3" s="120"/>
      <c r="QWI3" s="120"/>
      <c r="QWJ3" s="120"/>
      <c r="QWK3" s="120"/>
      <c r="QWL3" s="120"/>
      <c r="QWM3" s="120"/>
      <c r="QWN3" s="120"/>
      <c r="QWO3" s="120"/>
      <c r="QWP3" s="120"/>
      <c r="QWQ3" s="120"/>
      <c r="QWR3" s="120"/>
      <c r="QWS3" s="120"/>
      <c r="QWT3" s="120"/>
      <c r="QWU3" s="120"/>
      <c r="QWV3" s="120"/>
      <c r="QWW3" s="120"/>
      <c r="QWX3" s="120"/>
      <c r="QWY3" s="120"/>
      <c r="QWZ3" s="120"/>
      <c r="QXA3" s="120"/>
      <c r="QXB3" s="120"/>
      <c r="QXC3" s="120"/>
      <c r="QXD3" s="120"/>
      <c r="QXE3" s="120"/>
      <c r="QXF3" s="120"/>
      <c r="QXG3" s="120"/>
      <c r="QXH3" s="120"/>
      <c r="QXI3" s="120"/>
      <c r="QXJ3" s="120"/>
      <c r="QXK3" s="120"/>
      <c r="QXL3" s="120"/>
      <c r="QXM3" s="120"/>
      <c r="QXN3" s="120"/>
      <c r="QXO3" s="120"/>
      <c r="QXP3" s="120"/>
      <c r="QXQ3" s="120"/>
      <c r="QXR3" s="120"/>
      <c r="QXS3" s="120"/>
      <c r="QXT3" s="120"/>
      <c r="QXU3" s="120"/>
      <c r="QXV3" s="120"/>
      <c r="QXW3" s="120"/>
      <c r="QXX3" s="120"/>
      <c r="QXY3" s="120"/>
      <c r="QXZ3" s="120"/>
      <c r="QYA3" s="120"/>
      <c r="QYB3" s="120"/>
      <c r="QYC3" s="120"/>
      <c r="QYD3" s="120"/>
      <c r="QYE3" s="120"/>
      <c r="QYF3" s="120"/>
      <c r="QYG3" s="120"/>
      <c r="QYH3" s="120"/>
      <c r="QYI3" s="120"/>
      <c r="QYJ3" s="120"/>
      <c r="QYK3" s="120"/>
      <c r="QYL3" s="120"/>
      <c r="QYM3" s="120"/>
      <c r="QYN3" s="120"/>
      <c r="QYO3" s="120"/>
      <c r="QYP3" s="120"/>
      <c r="QYQ3" s="120"/>
      <c r="QYR3" s="120"/>
      <c r="QYS3" s="120"/>
      <c r="QYT3" s="120"/>
      <c r="QYU3" s="120"/>
      <c r="QYV3" s="120"/>
      <c r="QYW3" s="120"/>
      <c r="QYX3" s="120"/>
      <c r="QYY3" s="120"/>
      <c r="QYZ3" s="120"/>
      <c r="QZA3" s="120"/>
      <c r="QZB3" s="120"/>
      <c r="QZC3" s="120"/>
      <c r="QZD3" s="120"/>
      <c r="QZE3" s="120"/>
      <c r="QZF3" s="120"/>
      <c r="QZG3" s="120"/>
      <c r="QZH3" s="120"/>
      <c r="QZI3" s="120"/>
      <c r="QZJ3" s="120"/>
      <c r="QZK3" s="120"/>
      <c r="QZL3" s="120"/>
      <c r="QZM3" s="120"/>
      <c r="QZN3" s="120"/>
      <c r="QZO3" s="120"/>
      <c r="QZP3" s="120"/>
      <c r="QZQ3" s="120"/>
      <c r="QZR3" s="120"/>
      <c r="QZS3" s="120"/>
      <c r="QZT3" s="120"/>
      <c r="QZU3" s="120"/>
      <c r="QZV3" s="120"/>
      <c r="QZW3" s="120"/>
      <c r="QZX3" s="120"/>
      <c r="QZY3" s="120"/>
      <c r="QZZ3" s="120"/>
      <c r="RAA3" s="120"/>
      <c r="RAB3" s="120"/>
      <c r="RAC3" s="120"/>
      <c r="RAD3" s="120"/>
      <c r="RAE3" s="120"/>
      <c r="RAF3" s="120"/>
      <c r="RAG3" s="120"/>
      <c r="RAH3" s="120"/>
      <c r="RAI3" s="120"/>
      <c r="RAJ3" s="120"/>
      <c r="RAK3" s="120"/>
      <c r="RAL3" s="120"/>
      <c r="RAM3" s="120"/>
      <c r="RAN3" s="120"/>
      <c r="RAO3" s="120"/>
      <c r="RAP3" s="120"/>
      <c r="RAQ3" s="120"/>
      <c r="RAR3" s="120"/>
      <c r="RAS3" s="120"/>
      <c r="RAT3" s="120"/>
      <c r="RAU3" s="120"/>
      <c r="RAV3" s="120"/>
      <c r="RAW3" s="120"/>
      <c r="RAX3" s="120"/>
      <c r="RAY3" s="120"/>
      <c r="RAZ3" s="120"/>
      <c r="RBA3" s="120"/>
      <c r="RBB3" s="120"/>
      <c r="RBC3" s="120"/>
      <c r="RBD3" s="120"/>
      <c r="RBE3" s="120"/>
      <c r="RBF3" s="120"/>
      <c r="RBG3" s="120"/>
      <c r="RBH3" s="120"/>
      <c r="RBI3" s="120"/>
      <c r="RBJ3" s="120"/>
      <c r="RBK3" s="120"/>
      <c r="RBL3" s="120"/>
      <c r="RBM3" s="120"/>
      <c r="RBN3" s="120"/>
      <c r="RBO3" s="120"/>
      <c r="RBP3" s="120"/>
      <c r="RBQ3" s="120"/>
      <c r="RBR3" s="120"/>
      <c r="RBS3" s="120"/>
      <c r="RBT3" s="120"/>
      <c r="RBU3" s="120"/>
      <c r="RBV3" s="120"/>
      <c r="RBW3" s="120"/>
      <c r="RBX3" s="120"/>
      <c r="RBY3" s="120"/>
      <c r="RBZ3" s="120"/>
      <c r="RCA3" s="120"/>
      <c r="RCB3" s="120"/>
      <c r="RCC3" s="120"/>
      <c r="RCD3" s="120"/>
      <c r="RCE3" s="120"/>
      <c r="RCF3" s="120"/>
      <c r="RCG3" s="120"/>
      <c r="RCH3" s="120"/>
      <c r="RCI3" s="120"/>
      <c r="RCJ3" s="120"/>
      <c r="RCK3" s="120"/>
      <c r="RCL3" s="120"/>
      <c r="RCM3" s="120"/>
      <c r="RCN3" s="120"/>
      <c r="RCO3" s="120"/>
      <c r="RCP3" s="120"/>
      <c r="RCQ3" s="120"/>
      <c r="RCR3" s="120"/>
      <c r="RCS3" s="120"/>
      <c r="RCT3" s="120"/>
      <c r="RCU3" s="120"/>
      <c r="RCV3" s="120"/>
      <c r="RCW3" s="120"/>
      <c r="RCX3" s="120"/>
      <c r="RCY3" s="120"/>
      <c r="RCZ3" s="120"/>
      <c r="RDA3" s="120"/>
      <c r="RDB3" s="120"/>
      <c r="RDC3" s="120"/>
      <c r="RDD3" s="120"/>
      <c r="RDE3" s="120"/>
      <c r="RDF3" s="120"/>
      <c r="RDG3" s="120"/>
      <c r="RDH3" s="120"/>
      <c r="RDI3" s="120"/>
      <c r="RDJ3" s="120"/>
      <c r="RDK3" s="120"/>
      <c r="RDL3" s="120"/>
      <c r="RDM3" s="120"/>
      <c r="RDN3" s="120"/>
      <c r="RDO3" s="120"/>
      <c r="RDP3" s="120"/>
      <c r="RDQ3" s="120"/>
      <c r="RDR3" s="120"/>
      <c r="RDS3" s="120"/>
      <c r="RDT3" s="120"/>
      <c r="RDU3" s="120"/>
      <c r="RDV3" s="120"/>
      <c r="RDW3" s="120"/>
      <c r="RDX3" s="120"/>
      <c r="RDY3" s="120"/>
      <c r="RDZ3" s="120"/>
      <c r="REA3" s="120"/>
      <c r="REB3" s="120"/>
      <c r="REC3" s="120"/>
      <c r="RED3" s="120"/>
      <c r="REE3" s="120"/>
      <c r="REF3" s="120"/>
      <c r="REG3" s="120"/>
      <c r="REH3" s="120"/>
      <c r="REI3" s="120"/>
      <c r="REJ3" s="120"/>
      <c r="REK3" s="120"/>
      <c r="REL3" s="120"/>
      <c r="REM3" s="120"/>
      <c r="REN3" s="120"/>
      <c r="REO3" s="120"/>
      <c r="REP3" s="120"/>
      <c r="REQ3" s="120"/>
      <c r="RER3" s="120"/>
      <c r="RES3" s="120"/>
      <c r="RET3" s="120"/>
      <c r="REU3" s="120"/>
      <c r="REV3" s="120"/>
      <c r="REW3" s="120"/>
      <c r="REX3" s="120"/>
      <c r="REY3" s="120"/>
      <c r="REZ3" s="120"/>
      <c r="RFA3" s="120"/>
      <c r="RFB3" s="120"/>
      <c r="RFC3" s="120"/>
      <c r="RFD3" s="120"/>
      <c r="RFE3" s="120"/>
      <c r="RFF3" s="120"/>
      <c r="RFG3" s="120"/>
      <c r="RFH3" s="120"/>
      <c r="RFI3" s="120"/>
      <c r="RFJ3" s="120"/>
      <c r="RFK3" s="120"/>
      <c r="RFL3" s="120"/>
      <c r="RFM3" s="120"/>
      <c r="RFN3" s="120"/>
      <c r="RFO3" s="120"/>
      <c r="RFP3" s="120"/>
      <c r="RFQ3" s="120"/>
      <c r="RFR3" s="120"/>
      <c r="RFS3" s="120"/>
      <c r="RFT3" s="120"/>
      <c r="RFU3" s="120"/>
      <c r="RFV3" s="120"/>
      <c r="RFW3" s="120"/>
      <c r="RFX3" s="120"/>
      <c r="RFY3" s="120"/>
      <c r="RFZ3" s="120"/>
      <c r="RGA3" s="120"/>
      <c r="RGB3" s="120"/>
      <c r="RGC3" s="120"/>
      <c r="RGD3" s="120"/>
      <c r="RGE3" s="120"/>
      <c r="RGF3" s="120"/>
      <c r="RGG3" s="120"/>
      <c r="RGH3" s="120"/>
      <c r="RGI3" s="120"/>
      <c r="RGJ3" s="120"/>
      <c r="RGK3" s="120"/>
      <c r="RGL3" s="120"/>
      <c r="RGM3" s="120"/>
      <c r="RGN3" s="120"/>
      <c r="RGO3" s="120"/>
      <c r="RGP3" s="120"/>
      <c r="RGQ3" s="120"/>
      <c r="RGR3" s="120"/>
      <c r="RGS3" s="120"/>
      <c r="RGT3" s="120"/>
      <c r="RGU3" s="120"/>
      <c r="RGV3" s="120"/>
      <c r="RGW3" s="120"/>
      <c r="RGX3" s="120"/>
      <c r="RGY3" s="120"/>
      <c r="RGZ3" s="120"/>
      <c r="RHA3" s="120"/>
      <c r="RHB3" s="120"/>
      <c r="RHC3" s="120"/>
      <c r="RHD3" s="120"/>
      <c r="RHE3" s="120"/>
      <c r="RHF3" s="120"/>
      <c r="RHG3" s="120"/>
      <c r="RHH3" s="120"/>
      <c r="RHI3" s="120"/>
      <c r="RHJ3" s="120"/>
      <c r="RHK3" s="120"/>
      <c r="RHL3" s="120"/>
      <c r="RHM3" s="120"/>
      <c r="RHN3" s="120"/>
      <c r="RHO3" s="120"/>
      <c r="RHP3" s="120"/>
      <c r="RHQ3" s="120"/>
      <c r="RHR3" s="120"/>
      <c r="RHS3" s="120"/>
      <c r="RHT3" s="120"/>
      <c r="RHU3" s="120"/>
      <c r="RHV3" s="120"/>
      <c r="RHW3" s="120"/>
      <c r="RHX3" s="120"/>
      <c r="RHY3" s="120"/>
      <c r="RHZ3" s="120"/>
      <c r="RIA3" s="120"/>
      <c r="RIB3" s="120"/>
      <c r="RIC3" s="120"/>
      <c r="RID3" s="120"/>
      <c r="RIE3" s="120"/>
      <c r="RIF3" s="120"/>
      <c r="RIG3" s="120"/>
      <c r="RIH3" s="120"/>
      <c r="RII3" s="120"/>
      <c r="RIJ3" s="120"/>
      <c r="RIK3" s="120"/>
      <c r="RIL3" s="120"/>
      <c r="RIM3" s="120"/>
      <c r="RIN3" s="120"/>
      <c r="RIO3" s="120"/>
      <c r="RIP3" s="120"/>
      <c r="RIQ3" s="120"/>
      <c r="RIR3" s="120"/>
      <c r="RIS3" s="120"/>
      <c r="RIT3" s="120"/>
      <c r="RIU3" s="120"/>
      <c r="RIV3" s="120"/>
      <c r="RIW3" s="120"/>
      <c r="RIX3" s="120"/>
      <c r="RIY3" s="120"/>
      <c r="RIZ3" s="120"/>
      <c r="RJA3" s="120"/>
      <c r="RJB3" s="120"/>
      <c r="RJC3" s="120"/>
      <c r="RJD3" s="120"/>
      <c r="RJE3" s="120"/>
      <c r="RJF3" s="120"/>
      <c r="RJG3" s="120"/>
      <c r="RJH3" s="120"/>
      <c r="RJI3" s="120"/>
      <c r="RJJ3" s="120"/>
      <c r="RJK3" s="120"/>
      <c r="RJL3" s="120"/>
      <c r="RJM3" s="120"/>
      <c r="RJN3" s="120"/>
      <c r="RJO3" s="120"/>
      <c r="RJP3" s="120"/>
      <c r="RJQ3" s="120"/>
      <c r="RJR3" s="120"/>
      <c r="RJS3" s="120"/>
      <c r="RJT3" s="120"/>
      <c r="RJU3" s="120"/>
      <c r="RJV3" s="120"/>
      <c r="RJW3" s="120"/>
      <c r="RJX3" s="120"/>
      <c r="RJY3" s="120"/>
      <c r="RJZ3" s="120"/>
      <c r="RKA3" s="120"/>
      <c r="RKB3" s="120"/>
      <c r="RKC3" s="120"/>
      <c r="RKD3" s="120"/>
      <c r="RKE3" s="120"/>
      <c r="RKF3" s="120"/>
      <c r="RKG3" s="120"/>
      <c r="RKH3" s="120"/>
      <c r="RKI3" s="120"/>
      <c r="RKJ3" s="120"/>
      <c r="RKK3" s="120"/>
      <c r="RKL3" s="120"/>
      <c r="RKM3" s="120"/>
      <c r="RKN3" s="120"/>
      <c r="RKO3" s="120"/>
      <c r="RKP3" s="120"/>
      <c r="RKQ3" s="120"/>
      <c r="RKR3" s="120"/>
      <c r="RKS3" s="120"/>
      <c r="RKT3" s="120"/>
      <c r="RKU3" s="120"/>
      <c r="RKV3" s="120"/>
      <c r="RKW3" s="120"/>
      <c r="RKX3" s="120"/>
      <c r="RKY3" s="120"/>
      <c r="RKZ3" s="120"/>
      <c r="RLA3" s="120"/>
      <c r="RLB3" s="120"/>
      <c r="RLC3" s="120"/>
      <c r="RLD3" s="120"/>
      <c r="RLE3" s="120"/>
      <c r="RLF3" s="120"/>
      <c r="RLG3" s="120"/>
      <c r="RLH3" s="120"/>
      <c r="RLI3" s="120"/>
      <c r="RLJ3" s="120"/>
      <c r="RLK3" s="120"/>
      <c r="RLL3" s="120"/>
      <c r="RLM3" s="120"/>
      <c r="RLN3" s="120"/>
      <c r="RLO3" s="120"/>
      <c r="RLP3" s="120"/>
      <c r="RLQ3" s="120"/>
      <c r="RLR3" s="120"/>
      <c r="RLS3" s="120"/>
      <c r="RLT3" s="120"/>
      <c r="RLU3" s="120"/>
      <c r="RLV3" s="120"/>
      <c r="RLW3" s="120"/>
      <c r="RLX3" s="120"/>
      <c r="RLY3" s="120"/>
      <c r="RLZ3" s="120"/>
      <c r="RMA3" s="120"/>
      <c r="RMB3" s="120"/>
      <c r="RMC3" s="120"/>
      <c r="RMD3" s="120"/>
      <c r="RME3" s="120"/>
      <c r="RMF3" s="120"/>
      <c r="RMG3" s="120"/>
      <c r="RMH3" s="120"/>
      <c r="RMI3" s="120"/>
      <c r="RMJ3" s="120"/>
      <c r="RMK3" s="120"/>
      <c r="RML3" s="120"/>
      <c r="RMM3" s="120"/>
      <c r="RMN3" s="120"/>
      <c r="RMO3" s="120"/>
      <c r="RMP3" s="120"/>
      <c r="RMQ3" s="120"/>
      <c r="RMR3" s="120"/>
      <c r="RMS3" s="120"/>
      <c r="RMT3" s="120"/>
      <c r="RMU3" s="120"/>
      <c r="RMV3" s="120"/>
      <c r="RMW3" s="120"/>
      <c r="RMX3" s="120"/>
      <c r="RMY3" s="120"/>
      <c r="RMZ3" s="120"/>
      <c r="RNA3" s="120"/>
      <c r="RNB3" s="120"/>
      <c r="RNC3" s="120"/>
      <c r="RND3" s="120"/>
      <c r="RNE3" s="120"/>
      <c r="RNF3" s="120"/>
      <c r="RNG3" s="120"/>
      <c r="RNH3" s="120"/>
      <c r="RNI3" s="120"/>
      <c r="RNJ3" s="120"/>
      <c r="RNK3" s="120"/>
      <c r="RNL3" s="120"/>
      <c r="RNM3" s="120"/>
      <c r="RNN3" s="120"/>
      <c r="RNO3" s="120"/>
      <c r="RNP3" s="120"/>
      <c r="RNQ3" s="120"/>
      <c r="RNR3" s="120"/>
      <c r="RNS3" s="120"/>
      <c r="RNT3" s="120"/>
      <c r="RNU3" s="120"/>
      <c r="RNV3" s="120"/>
      <c r="RNW3" s="120"/>
      <c r="RNX3" s="120"/>
      <c r="RNY3" s="120"/>
      <c r="RNZ3" s="120"/>
      <c r="ROA3" s="120"/>
      <c r="ROB3" s="120"/>
      <c r="ROC3" s="120"/>
      <c r="ROD3" s="120"/>
      <c r="ROE3" s="120"/>
      <c r="ROF3" s="120"/>
      <c r="ROG3" s="120"/>
      <c r="ROH3" s="120"/>
      <c r="ROI3" s="120"/>
      <c r="ROJ3" s="120"/>
      <c r="ROK3" s="120"/>
      <c r="ROL3" s="120"/>
      <c r="ROM3" s="120"/>
      <c r="RON3" s="120"/>
      <c r="ROO3" s="120"/>
      <c r="ROP3" s="120"/>
      <c r="ROQ3" s="120"/>
      <c r="ROR3" s="120"/>
      <c r="ROS3" s="120"/>
      <c r="ROT3" s="120"/>
      <c r="ROU3" s="120"/>
      <c r="ROV3" s="120"/>
      <c r="ROW3" s="120"/>
      <c r="ROX3" s="120"/>
      <c r="ROY3" s="120"/>
      <c r="ROZ3" s="120"/>
      <c r="RPA3" s="120"/>
      <c r="RPB3" s="120"/>
      <c r="RPC3" s="120"/>
      <c r="RPD3" s="120"/>
      <c r="RPE3" s="120"/>
      <c r="RPF3" s="120"/>
      <c r="RPG3" s="120"/>
      <c r="RPH3" s="120"/>
      <c r="RPI3" s="120"/>
      <c r="RPJ3" s="120"/>
      <c r="RPK3" s="120"/>
      <c r="RPL3" s="120"/>
      <c r="RPM3" s="120"/>
      <c r="RPN3" s="120"/>
      <c r="RPO3" s="120"/>
      <c r="RPP3" s="120"/>
      <c r="RPQ3" s="120"/>
      <c r="RPR3" s="120"/>
      <c r="RPS3" s="120"/>
      <c r="RPT3" s="120"/>
      <c r="RPU3" s="120"/>
      <c r="RPV3" s="120"/>
      <c r="RPW3" s="120"/>
      <c r="RPX3" s="120"/>
      <c r="RPY3" s="120"/>
      <c r="RPZ3" s="120"/>
      <c r="RQA3" s="120"/>
      <c r="RQB3" s="120"/>
      <c r="RQC3" s="120"/>
      <c r="RQD3" s="120"/>
      <c r="RQE3" s="120"/>
      <c r="RQF3" s="120"/>
      <c r="RQG3" s="120"/>
      <c r="RQH3" s="120"/>
      <c r="RQI3" s="120"/>
      <c r="RQJ3" s="120"/>
      <c r="RQK3" s="120"/>
      <c r="RQL3" s="120"/>
      <c r="RQM3" s="120"/>
      <c r="RQN3" s="120"/>
      <c r="RQO3" s="120"/>
      <c r="RQP3" s="120"/>
      <c r="RQQ3" s="120"/>
      <c r="RQR3" s="120"/>
      <c r="RQS3" s="120"/>
      <c r="RQT3" s="120"/>
      <c r="RQU3" s="120"/>
      <c r="RQV3" s="120"/>
      <c r="RQW3" s="120"/>
      <c r="RQX3" s="120"/>
      <c r="RQY3" s="120"/>
      <c r="RQZ3" s="120"/>
      <c r="RRA3" s="120"/>
      <c r="RRB3" s="120"/>
      <c r="RRC3" s="120"/>
      <c r="RRD3" s="120"/>
      <c r="RRE3" s="120"/>
      <c r="RRF3" s="120"/>
      <c r="RRG3" s="120"/>
      <c r="RRH3" s="120"/>
      <c r="RRI3" s="120"/>
      <c r="RRJ3" s="120"/>
      <c r="RRK3" s="120"/>
      <c r="RRL3" s="120"/>
      <c r="RRM3" s="120"/>
      <c r="RRN3" s="120"/>
      <c r="RRO3" s="120"/>
      <c r="RRP3" s="120"/>
      <c r="RRQ3" s="120"/>
      <c r="RRR3" s="120"/>
      <c r="RRS3" s="120"/>
      <c r="RRT3" s="120"/>
      <c r="RRU3" s="120"/>
      <c r="RRV3" s="120"/>
      <c r="RRW3" s="120"/>
      <c r="RRX3" s="120"/>
      <c r="RRY3" s="120"/>
      <c r="RRZ3" s="120"/>
      <c r="RSA3" s="120"/>
      <c r="RSB3" s="120"/>
      <c r="RSC3" s="120"/>
      <c r="RSD3" s="120"/>
      <c r="RSE3" s="120"/>
      <c r="RSF3" s="120"/>
      <c r="RSG3" s="120"/>
      <c r="RSH3" s="120"/>
      <c r="RSI3" s="120"/>
      <c r="RSJ3" s="120"/>
      <c r="RSK3" s="120"/>
      <c r="RSL3" s="120"/>
      <c r="RSM3" s="120"/>
      <c r="RSN3" s="120"/>
      <c r="RSO3" s="120"/>
      <c r="RSP3" s="120"/>
      <c r="RSQ3" s="120"/>
      <c r="RSR3" s="120"/>
      <c r="RSS3" s="120"/>
      <c r="RST3" s="120"/>
      <c r="RSU3" s="120"/>
      <c r="RSV3" s="120"/>
      <c r="RSW3" s="120"/>
      <c r="RSX3" s="120"/>
      <c r="RSY3" s="120"/>
      <c r="RSZ3" s="120"/>
      <c r="RTA3" s="120"/>
      <c r="RTB3" s="120"/>
      <c r="RTC3" s="120"/>
      <c r="RTD3" s="120"/>
      <c r="RTE3" s="120"/>
      <c r="RTF3" s="120"/>
      <c r="RTG3" s="120"/>
      <c r="RTH3" s="120"/>
      <c r="RTI3" s="120"/>
      <c r="RTJ3" s="120"/>
      <c r="RTK3" s="120"/>
      <c r="RTL3" s="120"/>
      <c r="RTM3" s="120"/>
      <c r="RTN3" s="120"/>
      <c r="RTO3" s="120"/>
      <c r="RTP3" s="120"/>
      <c r="RTQ3" s="120"/>
      <c r="RTR3" s="120"/>
      <c r="RTS3" s="120"/>
      <c r="RTT3" s="120"/>
      <c r="RTU3" s="120"/>
      <c r="RTV3" s="120"/>
      <c r="RTW3" s="120"/>
      <c r="RTX3" s="120"/>
      <c r="RTY3" s="120"/>
      <c r="RTZ3" s="120"/>
      <c r="RUA3" s="120"/>
      <c r="RUB3" s="120"/>
      <c r="RUC3" s="120"/>
      <c r="RUD3" s="120"/>
      <c r="RUE3" s="120"/>
      <c r="RUF3" s="120"/>
      <c r="RUG3" s="120"/>
      <c r="RUH3" s="120"/>
      <c r="RUI3" s="120"/>
      <c r="RUJ3" s="120"/>
      <c r="RUK3" s="120"/>
      <c r="RUL3" s="120"/>
      <c r="RUM3" s="120"/>
      <c r="RUN3" s="120"/>
      <c r="RUO3" s="120"/>
      <c r="RUP3" s="120"/>
      <c r="RUQ3" s="120"/>
      <c r="RUR3" s="120"/>
      <c r="RUS3" s="120"/>
      <c r="RUT3" s="120"/>
      <c r="RUU3" s="120"/>
      <c r="RUV3" s="120"/>
      <c r="RUW3" s="120"/>
      <c r="RUX3" s="120"/>
      <c r="RUY3" s="120"/>
      <c r="RUZ3" s="120"/>
      <c r="RVA3" s="120"/>
      <c r="RVB3" s="120"/>
      <c r="RVC3" s="120"/>
      <c r="RVD3" s="120"/>
      <c r="RVE3" s="120"/>
      <c r="RVF3" s="120"/>
      <c r="RVG3" s="120"/>
      <c r="RVH3" s="120"/>
      <c r="RVI3" s="120"/>
      <c r="RVJ3" s="120"/>
      <c r="RVK3" s="120"/>
      <c r="RVL3" s="120"/>
      <c r="RVM3" s="120"/>
      <c r="RVN3" s="120"/>
      <c r="RVO3" s="120"/>
      <c r="RVP3" s="120"/>
      <c r="RVQ3" s="120"/>
      <c r="RVR3" s="120"/>
      <c r="RVS3" s="120"/>
      <c r="RVT3" s="120"/>
      <c r="RVU3" s="120"/>
      <c r="RVV3" s="120"/>
      <c r="RVW3" s="120"/>
      <c r="RVX3" s="120"/>
      <c r="RVY3" s="120"/>
      <c r="RVZ3" s="120"/>
      <c r="RWA3" s="120"/>
      <c r="RWB3" s="120"/>
      <c r="RWC3" s="120"/>
      <c r="RWD3" s="120"/>
      <c r="RWE3" s="120"/>
      <c r="RWF3" s="120"/>
      <c r="RWG3" s="120"/>
      <c r="RWH3" s="120"/>
      <c r="RWI3" s="120"/>
      <c r="RWJ3" s="120"/>
      <c r="RWK3" s="120"/>
      <c r="RWL3" s="120"/>
      <c r="RWM3" s="120"/>
      <c r="RWN3" s="120"/>
      <c r="RWO3" s="120"/>
      <c r="RWP3" s="120"/>
      <c r="RWQ3" s="120"/>
      <c r="RWR3" s="120"/>
      <c r="RWS3" s="120"/>
      <c r="RWT3" s="120"/>
      <c r="RWU3" s="120"/>
      <c r="RWV3" s="120"/>
      <c r="RWW3" s="120"/>
      <c r="RWX3" s="120"/>
      <c r="RWY3" s="120"/>
      <c r="RWZ3" s="120"/>
      <c r="RXA3" s="120"/>
      <c r="RXB3" s="120"/>
      <c r="RXC3" s="120"/>
      <c r="RXD3" s="120"/>
      <c r="RXE3" s="120"/>
      <c r="RXF3" s="120"/>
      <c r="RXG3" s="120"/>
      <c r="RXH3" s="120"/>
      <c r="RXI3" s="120"/>
      <c r="RXJ3" s="120"/>
      <c r="RXK3" s="120"/>
      <c r="RXL3" s="120"/>
      <c r="RXM3" s="120"/>
      <c r="RXN3" s="120"/>
      <c r="RXO3" s="120"/>
      <c r="RXP3" s="120"/>
      <c r="RXQ3" s="120"/>
      <c r="RXR3" s="120"/>
      <c r="RXS3" s="120"/>
      <c r="RXT3" s="120"/>
      <c r="RXU3" s="120"/>
      <c r="RXV3" s="120"/>
      <c r="RXW3" s="120"/>
      <c r="RXX3" s="120"/>
      <c r="RXY3" s="120"/>
      <c r="RXZ3" s="120"/>
      <c r="RYA3" s="120"/>
      <c r="RYB3" s="120"/>
      <c r="RYC3" s="120"/>
      <c r="RYD3" s="120"/>
      <c r="RYE3" s="120"/>
      <c r="RYF3" s="120"/>
      <c r="RYG3" s="120"/>
      <c r="RYH3" s="120"/>
      <c r="RYI3" s="120"/>
      <c r="RYJ3" s="120"/>
      <c r="RYK3" s="120"/>
      <c r="RYL3" s="120"/>
      <c r="RYM3" s="120"/>
      <c r="RYN3" s="120"/>
      <c r="RYO3" s="120"/>
      <c r="RYP3" s="120"/>
      <c r="RYQ3" s="120"/>
      <c r="RYR3" s="120"/>
      <c r="RYS3" s="120"/>
      <c r="RYT3" s="120"/>
      <c r="RYU3" s="120"/>
      <c r="RYV3" s="120"/>
      <c r="RYW3" s="120"/>
      <c r="RYX3" s="120"/>
      <c r="RYY3" s="120"/>
      <c r="RYZ3" s="120"/>
      <c r="RZA3" s="120"/>
      <c r="RZB3" s="120"/>
      <c r="RZC3" s="120"/>
      <c r="RZD3" s="120"/>
      <c r="RZE3" s="120"/>
      <c r="RZF3" s="120"/>
      <c r="RZG3" s="120"/>
      <c r="RZH3" s="120"/>
      <c r="RZI3" s="120"/>
      <c r="RZJ3" s="120"/>
      <c r="RZK3" s="120"/>
      <c r="RZL3" s="120"/>
      <c r="RZM3" s="120"/>
      <c r="RZN3" s="120"/>
      <c r="RZO3" s="120"/>
      <c r="RZP3" s="120"/>
      <c r="RZQ3" s="120"/>
      <c r="RZR3" s="120"/>
      <c r="RZS3" s="120"/>
      <c r="RZT3" s="120"/>
      <c r="RZU3" s="120"/>
      <c r="RZV3" s="120"/>
      <c r="RZW3" s="120"/>
      <c r="RZX3" s="120"/>
      <c r="RZY3" s="120"/>
      <c r="RZZ3" s="120"/>
      <c r="SAA3" s="120"/>
      <c r="SAB3" s="120"/>
      <c r="SAC3" s="120"/>
      <c r="SAD3" s="120"/>
      <c r="SAE3" s="120"/>
      <c r="SAF3" s="120"/>
      <c r="SAG3" s="120"/>
      <c r="SAH3" s="120"/>
      <c r="SAI3" s="120"/>
      <c r="SAJ3" s="120"/>
      <c r="SAK3" s="120"/>
      <c r="SAL3" s="120"/>
      <c r="SAM3" s="120"/>
      <c r="SAN3" s="120"/>
      <c r="SAO3" s="120"/>
      <c r="SAP3" s="120"/>
      <c r="SAQ3" s="120"/>
      <c r="SAR3" s="120"/>
      <c r="SAS3" s="120"/>
      <c r="SAT3" s="120"/>
      <c r="SAU3" s="120"/>
      <c r="SAV3" s="120"/>
      <c r="SAW3" s="120"/>
      <c r="SAX3" s="120"/>
      <c r="SAY3" s="120"/>
      <c r="SAZ3" s="120"/>
      <c r="SBA3" s="120"/>
      <c r="SBB3" s="120"/>
      <c r="SBC3" s="120"/>
      <c r="SBD3" s="120"/>
      <c r="SBE3" s="120"/>
      <c r="SBF3" s="120"/>
      <c r="SBG3" s="120"/>
      <c r="SBH3" s="120"/>
      <c r="SBI3" s="120"/>
      <c r="SBJ3" s="120"/>
      <c r="SBK3" s="120"/>
      <c r="SBL3" s="120"/>
      <c r="SBM3" s="120"/>
      <c r="SBN3" s="120"/>
      <c r="SBO3" s="120"/>
      <c r="SBP3" s="120"/>
      <c r="SBQ3" s="120"/>
      <c r="SBR3" s="120"/>
      <c r="SBS3" s="120"/>
      <c r="SBT3" s="120"/>
      <c r="SBU3" s="120"/>
      <c r="SBV3" s="120"/>
      <c r="SBW3" s="120"/>
      <c r="SBX3" s="120"/>
      <c r="SBY3" s="120"/>
      <c r="SBZ3" s="120"/>
      <c r="SCA3" s="120"/>
      <c r="SCB3" s="120"/>
      <c r="SCC3" s="120"/>
      <c r="SCD3" s="120"/>
      <c r="SCE3" s="120"/>
      <c r="SCF3" s="120"/>
      <c r="SCG3" s="120"/>
      <c r="SCH3" s="120"/>
      <c r="SCI3" s="120"/>
      <c r="SCJ3" s="120"/>
      <c r="SCK3" s="120"/>
      <c r="SCL3" s="120"/>
      <c r="SCM3" s="120"/>
      <c r="SCN3" s="120"/>
      <c r="SCO3" s="120"/>
      <c r="SCP3" s="120"/>
      <c r="SCQ3" s="120"/>
      <c r="SCR3" s="120"/>
      <c r="SCS3" s="120"/>
      <c r="SCT3" s="120"/>
      <c r="SCU3" s="120"/>
      <c r="SCV3" s="120"/>
      <c r="SCW3" s="120"/>
      <c r="SCX3" s="120"/>
      <c r="SCY3" s="120"/>
      <c r="SCZ3" s="120"/>
      <c r="SDA3" s="120"/>
      <c r="SDB3" s="120"/>
      <c r="SDC3" s="120"/>
      <c r="SDD3" s="120"/>
      <c r="SDE3" s="120"/>
      <c r="SDF3" s="120"/>
      <c r="SDG3" s="120"/>
      <c r="SDH3" s="120"/>
      <c r="SDI3" s="120"/>
      <c r="SDJ3" s="120"/>
      <c r="SDK3" s="120"/>
      <c r="SDL3" s="120"/>
      <c r="SDM3" s="120"/>
      <c r="SDN3" s="120"/>
      <c r="SDO3" s="120"/>
      <c r="SDP3" s="120"/>
      <c r="SDQ3" s="120"/>
      <c r="SDR3" s="120"/>
      <c r="SDS3" s="120"/>
      <c r="SDT3" s="120"/>
      <c r="SDU3" s="120"/>
      <c r="SDV3" s="120"/>
      <c r="SDW3" s="120"/>
      <c r="SDX3" s="120"/>
      <c r="SDY3" s="120"/>
      <c r="SDZ3" s="120"/>
      <c r="SEA3" s="120"/>
      <c r="SEB3" s="120"/>
      <c r="SEC3" s="120"/>
      <c r="SED3" s="120"/>
      <c r="SEE3" s="120"/>
      <c r="SEF3" s="120"/>
      <c r="SEG3" s="120"/>
      <c r="SEH3" s="120"/>
      <c r="SEI3" s="120"/>
      <c r="SEJ3" s="120"/>
      <c r="SEK3" s="120"/>
      <c r="SEL3" s="120"/>
      <c r="SEM3" s="120"/>
      <c r="SEN3" s="120"/>
      <c r="SEO3" s="120"/>
      <c r="SEP3" s="120"/>
      <c r="SEQ3" s="120"/>
      <c r="SER3" s="120"/>
      <c r="SES3" s="120"/>
      <c r="SET3" s="120"/>
      <c r="SEU3" s="120"/>
      <c r="SEV3" s="120"/>
      <c r="SEW3" s="120"/>
      <c r="SEX3" s="120"/>
      <c r="SEY3" s="120"/>
      <c r="SEZ3" s="120"/>
      <c r="SFA3" s="120"/>
      <c r="SFB3" s="120"/>
      <c r="SFC3" s="120"/>
      <c r="SFD3" s="120"/>
      <c r="SFE3" s="120"/>
      <c r="SFF3" s="120"/>
      <c r="SFG3" s="120"/>
      <c r="SFH3" s="120"/>
      <c r="SFI3" s="120"/>
      <c r="SFJ3" s="120"/>
      <c r="SFK3" s="120"/>
      <c r="SFL3" s="120"/>
      <c r="SFM3" s="120"/>
      <c r="SFN3" s="120"/>
      <c r="SFO3" s="120"/>
      <c r="SFP3" s="120"/>
      <c r="SFQ3" s="120"/>
      <c r="SFR3" s="120"/>
      <c r="SFS3" s="120"/>
      <c r="SFT3" s="120"/>
      <c r="SFU3" s="120"/>
      <c r="SFV3" s="120"/>
      <c r="SFW3" s="120"/>
      <c r="SFX3" s="120"/>
      <c r="SFY3" s="120"/>
      <c r="SFZ3" s="120"/>
      <c r="SGA3" s="120"/>
      <c r="SGB3" s="120"/>
      <c r="SGC3" s="120"/>
      <c r="SGD3" s="120"/>
      <c r="SGE3" s="120"/>
      <c r="SGF3" s="120"/>
      <c r="SGG3" s="120"/>
      <c r="SGH3" s="120"/>
      <c r="SGI3" s="120"/>
      <c r="SGJ3" s="120"/>
      <c r="SGK3" s="120"/>
      <c r="SGL3" s="120"/>
      <c r="SGM3" s="120"/>
      <c r="SGN3" s="120"/>
      <c r="SGO3" s="120"/>
      <c r="SGP3" s="120"/>
      <c r="SGQ3" s="120"/>
      <c r="SGR3" s="120"/>
      <c r="SGS3" s="120"/>
      <c r="SGT3" s="120"/>
      <c r="SGU3" s="120"/>
      <c r="SGV3" s="120"/>
      <c r="SGW3" s="120"/>
      <c r="SGX3" s="120"/>
      <c r="SGY3" s="120"/>
      <c r="SGZ3" s="120"/>
      <c r="SHA3" s="120"/>
      <c r="SHB3" s="120"/>
      <c r="SHC3" s="120"/>
      <c r="SHD3" s="120"/>
      <c r="SHE3" s="120"/>
      <c r="SHF3" s="120"/>
      <c r="SHG3" s="120"/>
      <c r="SHH3" s="120"/>
      <c r="SHI3" s="120"/>
      <c r="SHJ3" s="120"/>
      <c r="SHK3" s="120"/>
      <c r="SHL3" s="120"/>
      <c r="SHM3" s="120"/>
      <c r="SHN3" s="120"/>
      <c r="SHO3" s="120"/>
      <c r="SHP3" s="120"/>
      <c r="SHQ3" s="120"/>
      <c r="SHR3" s="120"/>
      <c r="SHS3" s="120"/>
      <c r="SHT3" s="120"/>
      <c r="SHU3" s="120"/>
      <c r="SHV3" s="120"/>
      <c r="SHW3" s="120"/>
      <c r="SHX3" s="120"/>
      <c r="SHY3" s="120"/>
      <c r="SHZ3" s="120"/>
      <c r="SIA3" s="120"/>
      <c r="SIB3" s="120"/>
      <c r="SIC3" s="120"/>
      <c r="SID3" s="120"/>
      <c r="SIE3" s="120"/>
      <c r="SIF3" s="120"/>
      <c r="SIG3" s="120"/>
      <c r="SIH3" s="120"/>
      <c r="SII3" s="120"/>
      <c r="SIJ3" s="120"/>
      <c r="SIK3" s="120"/>
      <c r="SIL3" s="120"/>
      <c r="SIM3" s="120"/>
      <c r="SIN3" s="120"/>
      <c r="SIO3" s="120"/>
      <c r="SIP3" s="120"/>
      <c r="SIQ3" s="120"/>
      <c r="SIR3" s="120"/>
      <c r="SIS3" s="120"/>
      <c r="SIT3" s="120"/>
      <c r="SIU3" s="120"/>
      <c r="SIV3" s="120"/>
      <c r="SIW3" s="120"/>
      <c r="SIX3" s="120"/>
      <c r="SIY3" s="120"/>
      <c r="SIZ3" s="120"/>
      <c r="SJA3" s="120"/>
      <c r="SJB3" s="120"/>
      <c r="SJC3" s="120"/>
      <c r="SJD3" s="120"/>
      <c r="SJE3" s="120"/>
      <c r="SJF3" s="120"/>
      <c r="SJG3" s="120"/>
      <c r="SJH3" s="120"/>
      <c r="SJI3" s="120"/>
      <c r="SJJ3" s="120"/>
      <c r="SJK3" s="120"/>
      <c r="SJL3" s="120"/>
      <c r="SJM3" s="120"/>
      <c r="SJN3" s="120"/>
      <c r="SJO3" s="120"/>
      <c r="SJP3" s="120"/>
      <c r="SJQ3" s="120"/>
      <c r="SJR3" s="120"/>
      <c r="SJS3" s="120"/>
      <c r="SJT3" s="120"/>
      <c r="SJU3" s="120"/>
      <c r="SJV3" s="120"/>
      <c r="SJW3" s="120"/>
      <c r="SJX3" s="120"/>
      <c r="SJY3" s="120"/>
      <c r="SJZ3" s="120"/>
      <c r="SKA3" s="120"/>
      <c r="SKB3" s="120"/>
      <c r="SKC3" s="120"/>
      <c r="SKD3" s="120"/>
      <c r="SKE3" s="120"/>
      <c r="SKF3" s="120"/>
      <c r="SKG3" s="120"/>
      <c r="SKH3" s="120"/>
      <c r="SKI3" s="120"/>
      <c r="SKJ3" s="120"/>
      <c r="SKK3" s="120"/>
      <c r="SKL3" s="120"/>
      <c r="SKM3" s="120"/>
      <c r="SKN3" s="120"/>
      <c r="SKO3" s="120"/>
      <c r="SKP3" s="120"/>
      <c r="SKQ3" s="120"/>
      <c r="SKR3" s="120"/>
      <c r="SKS3" s="120"/>
      <c r="SKT3" s="120"/>
      <c r="SKU3" s="120"/>
      <c r="SKV3" s="120"/>
      <c r="SKW3" s="120"/>
      <c r="SKX3" s="120"/>
      <c r="SKY3" s="120"/>
      <c r="SKZ3" s="120"/>
      <c r="SLA3" s="120"/>
      <c r="SLB3" s="120"/>
      <c r="SLC3" s="120"/>
      <c r="SLD3" s="120"/>
      <c r="SLE3" s="120"/>
      <c r="SLF3" s="120"/>
      <c r="SLG3" s="120"/>
      <c r="SLH3" s="120"/>
      <c r="SLI3" s="120"/>
      <c r="SLJ3" s="120"/>
      <c r="SLK3" s="120"/>
      <c r="SLL3" s="120"/>
      <c r="SLM3" s="120"/>
      <c r="SLN3" s="120"/>
      <c r="SLO3" s="120"/>
      <c r="SLP3" s="120"/>
      <c r="SLQ3" s="120"/>
      <c r="SLR3" s="120"/>
      <c r="SLS3" s="120"/>
      <c r="SLT3" s="120"/>
      <c r="SLU3" s="120"/>
      <c r="SLV3" s="120"/>
      <c r="SLW3" s="120"/>
      <c r="SLX3" s="120"/>
      <c r="SLY3" s="120"/>
      <c r="SLZ3" s="120"/>
      <c r="SMA3" s="120"/>
      <c r="SMB3" s="120"/>
      <c r="SMC3" s="120"/>
      <c r="SMD3" s="120"/>
      <c r="SME3" s="120"/>
      <c r="SMF3" s="120"/>
      <c r="SMG3" s="120"/>
      <c r="SMH3" s="120"/>
      <c r="SMI3" s="120"/>
      <c r="SMJ3" s="120"/>
      <c r="SMK3" s="120"/>
      <c r="SML3" s="120"/>
      <c r="SMM3" s="120"/>
      <c r="SMN3" s="120"/>
      <c r="SMO3" s="120"/>
      <c r="SMP3" s="120"/>
      <c r="SMQ3" s="120"/>
      <c r="SMR3" s="120"/>
      <c r="SMS3" s="120"/>
      <c r="SMT3" s="120"/>
      <c r="SMU3" s="120"/>
      <c r="SMV3" s="120"/>
      <c r="SMW3" s="120"/>
      <c r="SMX3" s="120"/>
      <c r="SMY3" s="120"/>
      <c r="SMZ3" s="120"/>
      <c r="SNA3" s="120"/>
      <c r="SNB3" s="120"/>
      <c r="SNC3" s="120"/>
      <c r="SND3" s="120"/>
      <c r="SNE3" s="120"/>
      <c r="SNF3" s="120"/>
      <c r="SNG3" s="120"/>
      <c r="SNH3" s="120"/>
      <c r="SNI3" s="120"/>
      <c r="SNJ3" s="120"/>
      <c r="SNK3" s="120"/>
      <c r="SNL3" s="120"/>
      <c r="SNM3" s="120"/>
      <c r="SNN3" s="120"/>
      <c r="SNO3" s="120"/>
      <c r="SNP3" s="120"/>
      <c r="SNQ3" s="120"/>
      <c r="SNR3" s="120"/>
      <c r="SNS3" s="120"/>
      <c r="SNT3" s="120"/>
      <c r="SNU3" s="120"/>
      <c r="SNV3" s="120"/>
      <c r="SNW3" s="120"/>
      <c r="SNX3" s="120"/>
      <c r="SNY3" s="120"/>
      <c r="SNZ3" s="120"/>
      <c r="SOA3" s="120"/>
      <c r="SOB3" s="120"/>
      <c r="SOC3" s="120"/>
      <c r="SOD3" s="120"/>
      <c r="SOE3" s="120"/>
      <c r="SOF3" s="120"/>
      <c r="SOG3" s="120"/>
      <c r="SOH3" s="120"/>
      <c r="SOI3" s="120"/>
      <c r="SOJ3" s="120"/>
      <c r="SOK3" s="120"/>
      <c r="SOL3" s="120"/>
      <c r="SOM3" s="120"/>
      <c r="SON3" s="120"/>
      <c r="SOO3" s="120"/>
      <c r="SOP3" s="120"/>
      <c r="SOQ3" s="120"/>
      <c r="SOR3" s="120"/>
      <c r="SOS3" s="120"/>
      <c r="SOT3" s="120"/>
      <c r="SOU3" s="120"/>
      <c r="SOV3" s="120"/>
      <c r="SOW3" s="120"/>
      <c r="SOX3" s="120"/>
      <c r="SOY3" s="120"/>
      <c r="SOZ3" s="120"/>
      <c r="SPA3" s="120"/>
      <c r="SPB3" s="120"/>
      <c r="SPC3" s="120"/>
      <c r="SPD3" s="120"/>
      <c r="SPE3" s="120"/>
      <c r="SPF3" s="120"/>
      <c r="SPG3" s="120"/>
      <c r="SPH3" s="120"/>
      <c r="SPI3" s="120"/>
      <c r="SPJ3" s="120"/>
      <c r="SPK3" s="120"/>
      <c r="SPL3" s="120"/>
      <c r="SPM3" s="120"/>
      <c r="SPN3" s="120"/>
      <c r="SPO3" s="120"/>
      <c r="SPP3" s="120"/>
      <c r="SPQ3" s="120"/>
      <c r="SPR3" s="120"/>
      <c r="SPS3" s="120"/>
      <c r="SPT3" s="120"/>
      <c r="SPU3" s="120"/>
      <c r="SPV3" s="120"/>
      <c r="SPW3" s="120"/>
      <c r="SPX3" s="120"/>
      <c r="SPY3" s="120"/>
      <c r="SPZ3" s="120"/>
      <c r="SQA3" s="120"/>
      <c r="SQB3" s="120"/>
      <c r="SQC3" s="120"/>
      <c r="SQD3" s="120"/>
      <c r="SQE3" s="120"/>
      <c r="SQF3" s="120"/>
      <c r="SQG3" s="120"/>
      <c r="SQH3" s="120"/>
      <c r="SQI3" s="120"/>
      <c r="SQJ3" s="120"/>
      <c r="SQK3" s="120"/>
      <c r="SQL3" s="120"/>
      <c r="SQM3" s="120"/>
      <c r="SQN3" s="120"/>
      <c r="SQO3" s="120"/>
      <c r="SQP3" s="120"/>
      <c r="SQQ3" s="120"/>
      <c r="SQR3" s="120"/>
      <c r="SQS3" s="120"/>
      <c r="SQT3" s="120"/>
      <c r="SQU3" s="120"/>
      <c r="SQV3" s="120"/>
      <c r="SQW3" s="120"/>
      <c r="SQX3" s="120"/>
      <c r="SQY3" s="120"/>
      <c r="SQZ3" s="120"/>
      <c r="SRA3" s="120"/>
      <c r="SRB3" s="120"/>
      <c r="SRC3" s="120"/>
      <c r="SRD3" s="120"/>
      <c r="SRE3" s="120"/>
      <c r="SRF3" s="120"/>
      <c r="SRG3" s="120"/>
      <c r="SRH3" s="120"/>
      <c r="SRI3" s="120"/>
      <c r="SRJ3" s="120"/>
      <c r="SRK3" s="120"/>
      <c r="SRL3" s="120"/>
      <c r="SRM3" s="120"/>
      <c r="SRN3" s="120"/>
      <c r="SRO3" s="120"/>
      <c r="SRP3" s="120"/>
      <c r="SRQ3" s="120"/>
      <c r="SRR3" s="120"/>
      <c r="SRS3" s="120"/>
      <c r="SRT3" s="120"/>
      <c r="SRU3" s="120"/>
      <c r="SRV3" s="120"/>
      <c r="SRW3" s="120"/>
      <c r="SRX3" s="120"/>
      <c r="SRY3" s="120"/>
      <c r="SRZ3" s="120"/>
      <c r="SSA3" s="120"/>
      <c r="SSB3" s="120"/>
      <c r="SSC3" s="120"/>
      <c r="SSD3" s="120"/>
      <c r="SSE3" s="120"/>
      <c r="SSF3" s="120"/>
      <c r="SSG3" s="120"/>
      <c r="SSH3" s="120"/>
      <c r="SSI3" s="120"/>
      <c r="SSJ3" s="120"/>
      <c r="SSK3" s="120"/>
      <c r="SSL3" s="120"/>
      <c r="SSM3" s="120"/>
      <c r="SSN3" s="120"/>
      <c r="SSO3" s="120"/>
      <c r="SSP3" s="120"/>
      <c r="SSQ3" s="120"/>
      <c r="SSR3" s="120"/>
      <c r="SSS3" s="120"/>
      <c r="SST3" s="120"/>
      <c r="SSU3" s="120"/>
      <c r="SSV3" s="120"/>
      <c r="SSW3" s="120"/>
      <c r="SSX3" s="120"/>
      <c r="SSY3" s="120"/>
      <c r="SSZ3" s="120"/>
      <c r="STA3" s="120"/>
      <c r="STB3" s="120"/>
      <c r="STC3" s="120"/>
      <c r="STD3" s="120"/>
      <c r="STE3" s="120"/>
      <c r="STF3" s="120"/>
      <c r="STG3" s="120"/>
      <c r="STH3" s="120"/>
      <c r="STI3" s="120"/>
      <c r="STJ3" s="120"/>
      <c r="STK3" s="120"/>
      <c r="STL3" s="120"/>
      <c r="STM3" s="120"/>
      <c r="STN3" s="120"/>
      <c r="STO3" s="120"/>
      <c r="STP3" s="120"/>
      <c r="STQ3" s="120"/>
      <c r="STR3" s="120"/>
      <c r="STS3" s="120"/>
      <c r="STT3" s="120"/>
      <c r="STU3" s="120"/>
      <c r="STV3" s="120"/>
      <c r="STW3" s="120"/>
      <c r="STX3" s="120"/>
      <c r="STY3" s="120"/>
      <c r="STZ3" s="120"/>
      <c r="SUA3" s="120"/>
      <c r="SUB3" s="120"/>
      <c r="SUC3" s="120"/>
      <c r="SUD3" s="120"/>
      <c r="SUE3" s="120"/>
      <c r="SUF3" s="120"/>
      <c r="SUG3" s="120"/>
      <c r="SUH3" s="120"/>
      <c r="SUI3" s="120"/>
      <c r="SUJ3" s="120"/>
      <c r="SUK3" s="120"/>
      <c r="SUL3" s="120"/>
      <c r="SUM3" s="120"/>
      <c r="SUN3" s="120"/>
      <c r="SUO3" s="120"/>
      <c r="SUP3" s="120"/>
      <c r="SUQ3" s="120"/>
      <c r="SUR3" s="120"/>
      <c r="SUS3" s="120"/>
      <c r="SUT3" s="120"/>
      <c r="SUU3" s="120"/>
      <c r="SUV3" s="120"/>
      <c r="SUW3" s="120"/>
      <c r="SUX3" s="120"/>
      <c r="SUY3" s="120"/>
      <c r="SUZ3" s="120"/>
      <c r="SVA3" s="120"/>
      <c r="SVB3" s="120"/>
      <c r="SVC3" s="120"/>
      <c r="SVD3" s="120"/>
      <c r="SVE3" s="120"/>
      <c r="SVF3" s="120"/>
      <c r="SVG3" s="120"/>
      <c r="SVH3" s="120"/>
      <c r="SVI3" s="120"/>
      <c r="SVJ3" s="120"/>
      <c r="SVK3" s="120"/>
      <c r="SVL3" s="120"/>
      <c r="SVM3" s="120"/>
      <c r="SVN3" s="120"/>
      <c r="SVO3" s="120"/>
      <c r="SVP3" s="120"/>
      <c r="SVQ3" s="120"/>
      <c r="SVR3" s="120"/>
      <c r="SVS3" s="120"/>
      <c r="SVT3" s="120"/>
      <c r="SVU3" s="120"/>
      <c r="SVV3" s="120"/>
      <c r="SVW3" s="120"/>
      <c r="SVX3" s="120"/>
      <c r="SVY3" s="120"/>
      <c r="SVZ3" s="120"/>
      <c r="SWA3" s="120"/>
      <c r="SWB3" s="120"/>
      <c r="SWC3" s="120"/>
      <c r="SWD3" s="120"/>
      <c r="SWE3" s="120"/>
      <c r="SWF3" s="120"/>
      <c r="SWG3" s="120"/>
      <c r="SWH3" s="120"/>
      <c r="SWI3" s="120"/>
      <c r="SWJ3" s="120"/>
      <c r="SWK3" s="120"/>
      <c r="SWL3" s="120"/>
      <c r="SWM3" s="120"/>
      <c r="SWN3" s="120"/>
      <c r="SWO3" s="120"/>
      <c r="SWP3" s="120"/>
      <c r="SWQ3" s="120"/>
      <c r="SWR3" s="120"/>
      <c r="SWS3" s="120"/>
      <c r="SWT3" s="120"/>
      <c r="SWU3" s="120"/>
      <c r="SWV3" s="120"/>
      <c r="SWW3" s="120"/>
      <c r="SWX3" s="120"/>
      <c r="SWY3" s="120"/>
      <c r="SWZ3" s="120"/>
      <c r="SXA3" s="120"/>
      <c r="SXB3" s="120"/>
      <c r="SXC3" s="120"/>
      <c r="SXD3" s="120"/>
      <c r="SXE3" s="120"/>
      <c r="SXF3" s="120"/>
      <c r="SXG3" s="120"/>
      <c r="SXH3" s="120"/>
      <c r="SXI3" s="120"/>
      <c r="SXJ3" s="120"/>
      <c r="SXK3" s="120"/>
      <c r="SXL3" s="120"/>
      <c r="SXM3" s="120"/>
      <c r="SXN3" s="120"/>
      <c r="SXO3" s="120"/>
      <c r="SXP3" s="120"/>
      <c r="SXQ3" s="120"/>
      <c r="SXR3" s="120"/>
      <c r="SXS3" s="120"/>
      <c r="SXT3" s="120"/>
      <c r="SXU3" s="120"/>
      <c r="SXV3" s="120"/>
      <c r="SXW3" s="120"/>
      <c r="SXX3" s="120"/>
      <c r="SXY3" s="120"/>
      <c r="SXZ3" s="120"/>
      <c r="SYA3" s="120"/>
      <c r="SYB3" s="120"/>
      <c r="SYC3" s="120"/>
      <c r="SYD3" s="120"/>
      <c r="SYE3" s="120"/>
      <c r="SYF3" s="120"/>
      <c r="SYG3" s="120"/>
      <c r="SYH3" s="120"/>
      <c r="SYI3" s="120"/>
      <c r="SYJ3" s="120"/>
      <c r="SYK3" s="120"/>
      <c r="SYL3" s="120"/>
      <c r="SYM3" s="120"/>
      <c r="SYN3" s="120"/>
      <c r="SYO3" s="120"/>
      <c r="SYP3" s="120"/>
      <c r="SYQ3" s="120"/>
      <c r="SYR3" s="120"/>
      <c r="SYS3" s="120"/>
      <c r="SYT3" s="120"/>
      <c r="SYU3" s="120"/>
      <c r="SYV3" s="120"/>
      <c r="SYW3" s="120"/>
      <c r="SYX3" s="120"/>
      <c r="SYY3" s="120"/>
      <c r="SYZ3" s="120"/>
      <c r="SZA3" s="120"/>
      <c r="SZB3" s="120"/>
      <c r="SZC3" s="120"/>
      <c r="SZD3" s="120"/>
      <c r="SZE3" s="120"/>
      <c r="SZF3" s="120"/>
      <c r="SZG3" s="120"/>
      <c r="SZH3" s="120"/>
      <c r="SZI3" s="120"/>
      <c r="SZJ3" s="120"/>
      <c r="SZK3" s="120"/>
      <c r="SZL3" s="120"/>
      <c r="SZM3" s="120"/>
      <c r="SZN3" s="120"/>
      <c r="SZO3" s="120"/>
      <c r="SZP3" s="120"/>
      <c r="SZQ3" s="120"/>
      <c r="SZR3" s="120"/>
      <c r="SZS3" s="120"/>
      <c r="SZT3" s="120"/>
      <c r="SZU3" s="120"/>
      <c r="SZV3" s="120"/>
      <c r="SZW3" s="120"/>
      <c r="SZX3" s="120"/>
      <c r="SZY3" s="120"/>
      <c r="SZZ3" s="120"/>
      <c r="TAA3" s="120"/>
      <c r="TAB3" s="120"/>
      <c r="TAC3" s="120"/>
      <c r="TAD3" s="120"/>
      <c r="TAE3" s="120"/>
      <c r="TAF3" s="120"/>
      <c r="TAG3" s="120"/>
      <c r="TAH3" s="120"/>
      <c r="TAI3" s="120"/>
      <c r="TAJ3" s="120"/>
      <c r="TAK3" s="120"/>
      <c r="TAL3" s="120"/>
      <c r="TAM3" s="120"/>
      <c r="TAN3" s="120"/>
      <c r="TAO3" s="120"/>
      <c r="TAP3" s="120"/>
      <c r="TAQ3" s="120"/>
      <c r="TAR3" s="120"/>
      <c r="TAS3" s="120"/>
      <c r="TAT3" s="120"/>
      <c r="TAU3" s="120"/>
      <c r="TAV3" s="120"/>
      <c r="TAW3" s="120"/>
      <c r="TAX3" s="120"/>
      <c r="TAY3" s="120"/>
      <c r="TAZ3" s="120"/>
      <c r="TBA3" s="120"/>
      <c r="TBB3" s="120"/>
      <c r="TBC3" s="120"/>
      <c r="TBD3" s="120"/>
      <c r="TBE3" s="120"/>
      <c r="TBF3" s="120"/>
      <c r="TBG3" s="120"/>
      <c r="TBH3" s="120"/>
      <c r="TBI3" s="120"/>
      <c r="TBJ3" s="120"/>
      <c r="TBK3" s="120"/>
      <c r="TBL3" s="120"/>
      <c r="TBM3" s="120"/>
      <c r="TBN3" s="120"/>
      <c r="TBO3" s="120"/>
      <c r="TBP3" s="120"/>
      <c r="TBQ3" s="120"/>
      <c r="TBR3" s="120"/>
      <c r="TBS3" s="120"/>
      <c r="TBT3" s="120"/>
      <c r="TBU3" s="120"/>
      <c r="TBV3" s="120"/>
      <c r="TBW3" s="120"/>
      <c r="TBX3" s="120"/>
      <c r="TBY3" s="120"/>
      <c r="TBZ3" s="120"/>
      <c r="TCA3" s="120"/>
      <c r="TCB3" s="120"/>
      <c r="TCC3" s="120"/>
      <c r="TCD3" s="120"/>
      <c r="TCE3" s="120"/>
      <c r="TCF3" s="120"/>
      <c r="TCG3" s="120"/>
      <c r="TCH3" s="120"/>
      <c r="TCI3" s="120"/>
      <c r="TCJ3" s="120"/>
      <c r="TCK3" s="120"/>
      <c r="TCL3" s="120"/>
      <c r="TCM3" s="120"/>
      <c r="TCN3" s="120"/>
      <c r="TCO3" s="120"/>
      <c r="TCP3" s="120"/>
      <c r="TCQ3" s="120"/>
      <c r="TCR3" s="120"/>
      <c r="TCS3" s="120"/>
      <c r="TCT3" s="120"/>
      <c r="TCU3" s="120"/>
      <c r="TCV3" s="120"/>
      <c r="TCW3" s="120"/>
      <c r="TCX3" s="120"/>
      <c r="TCY3" s="120"/>
      <c r="TCZ3" s="120"/>
      <c r="TDA3" s="120"/>
      <c r="TDB3" s="120"/>
      <c r="TDC3" s="120"/>
      <c r="TDD3" s="120"/>
      <c r="TDE3" s="120"/>
      <c r="TDF3" s="120"/>
      <c r="TDG3" s="120"/>
      <c r="TDH3" s="120"/>
      <c r="TDI3" s="120"/>
      <c r="TDJ3" s="120"/>
      <c r="TDK3" s="120"/>
      <c r="TDL3" s="120"/>
      <c r="TDM3" s="120"/>
      <c r="TDN3" s="120"/>
      <c r="TDO3" s="120"/>
      <c r="TDP3" s="120"/>
      <c r="TDQ3" s="120"/>
      <c r="TDR3" s="120"/>
      <c r="TDS3" s="120"/>
      <c r="TDT3" s="120"/>
      <c r="TDU3" s="120"/>
      <c r="TDV3" s="120"/>
      <c r="TDW3" s="120"/>
      <c r="TDX3" s="120"/>
      <c r="TDY3" s="120"/>
      <c r="TDZ3" s="120"/>
      <c r="TEA3" s="120"/>
      <c r="TEB3" s="120"/>
      <c r="TEC3" s="120"/>
      <c r="TED3" s="120"/>
      <c r="TEE3" s="120"/>
      <c r="TEF3" s="120"/>
      <c r="TEG3" s="120"/>
      <c r="TEH3" s="120"/>
      <c r="TEI3" s="120"/>
      <c r="TEJ3" s="120"/>
      <c r="TEK3" s="120"/>
      <c r="TEL3" s="120"/>
      <c r="TEM3" s="120"/>
      <c r="TEN3" s="120"/>
      <c r="TEO3" s="120"/>
      <c r="TEP3" s="120"/>
      <c r="TEQ3" s="120"/>
      <c r="TER3" s="120"/>
      <c r="TES3" s="120"/>
      <c r="TET3" s="120"/>
      <c r="TEU3" s="120"/>
      <c r="TEV3" s="120"/>
      <c r="TEW3" s="120"/>
      <c r="TEX3" s="120"/>
      <c r="TEY3" s="120"/>
      <c r="TEZ3" s="120"/>
      <c r="TFA3" s="120"/>
      <c r="TFB3" s="120"/>
      <c r="TFC3" s="120"/>
      <c r="TFD3" s="120"/>
      <c r="TFE3" s="120"/>
      <c r="TFF3" s="120"/>
      <c r="TFG3" s="120"/>
      <c r="TFH3" s="120"/>
      <c r="TFI3" s="120"/>
      <c r="TFJ3" s="120"/>
      <c r="TFK3" s="120"/>
      <c r="TFL3" s="120"/>
      <c r="TFM3" s="120"/>
      <c r="TFN3" s="120"/>
      <c r="TFO3" s="120"/>
      <c r="TFP3" s="120"/>
      <c r="TFQ3" s="120"/>
      <c r="TFR3" s="120"/>
      <c r="TFS3" s="120"/>
      <c r="TFT3" s="120"/>
      <c r="TFU3" s="120"/>
      <c r="TFV3" s="120"/>
      <c r="TFW3" s="120"/>
      <c r="TFX3" s="120"/>
      <c r="TFY3" s="120"/>
      <c r="TFZ3" s="120"/>
      <c r="TGA3" s="120"/>
      <c r="TGB3" s="120"/>
      <c r="TGC3" s="120"/>
      <c r="TGD3" s="120"/>
      <c r="TGE3" s="120"/>
      <c r="TGF3" s="120"/>
      <c r="TGG3" s="120"/>
      <c r="TGH3" s="120"/>
      <c r="TGI3" s="120"/>
      <c r="TGJ3" s="120"/>
      <c r="TGK3" s="120"/>
      <c r="TGL3" s="120"/>
      <c r="TGM3" s="120"/>
      <c r="TGN3" s="120"/>
      <c r="TGO3" s="120"/>
      <c r="TGP3" s="120"/>
      <c r="TGQ3" s="120"/>
      <c r="TGR3" s="120"/>
      <c r="TGS3" s="120"/>
      <c r="TGT3" s="120"/>
      <c r="TGU3" s="120"/>
      <c r="TGV3" s="120"/>
      <c r="TGW3" s="120"/>
      <c r="TGX3" s="120"/>
      <c r="TGY3" s="120"/>
      <c r="TGZ3" s="120"/>
      <c r="THA3" s="120"/>
      <c r="THB3" s="120"/>
      <c r="THC3" s="120"/>
      <c r="THD3" s="120"/>
      <c r="THE3" s="120"/>
      <c r="THF3" s="120"/>
      <c r="THG3" s="120"/>
      <c r="THH3" s="120"/>
      <c r="THI3" s="120"/>
      <c r="THJ3" s="120"/>
      <c r="THK3" s="120"/>
      <c r="THL3" s="120"/>
      <c r="THM3" s="120"/>
      <c r="THN3" s="120"/>
      <c r="THO3" s="120"/>
      <c r="THP3" s="120"/>
      <c r="THQ3" s="120"/>
      <c r="THR3" s="120"/>
      <c r="THS3" s="120"/>
      <c r="THT3" s="120"/>
      <c r="THU3" s="120"/>
      <c r="THV3" s="120"/>
      <c r="THW3" s="120"/>
      <c r="THX3" s="120"/>
      <c r="THY3" s="120"/>
      <c r="THZ3" s="120"/>
      <c r="TIA3" s="120"/>
      <c r="TIB3" s="120"/>
      <c r="TIC3" s="120"/>
      <c r="TID3" s="120"/>
      <c r="TIE3" s="120"/>
      <c r="TIF3" s="120"/>
      <c r="TIG3" s="120"/>
      <c r="TIH3" s="120"/>
      <c r="TII3" s="120"/>
      <c r="TIJ3" s="120"/>
      <c r="TIK3" s="120"/>
      <c r="TIL3" s="120"/>
      <c r="TIM3" s="120"/>
      <c r="TIN3" s="120"/>
      <c r="TIO3" s="120"/>
      <c r="TIP3" s="120"/>
      <c r="TIQ3" s="120"/>
      <c r="TIR3" s="120"/>
      <c r="TIS3" s="120"/>
      <c r="TIT3" s="120"/>
      <c r="TIU3" s="120"/>
      <c r="TIV3" s="120"/>
      <c r="TIW3" s="120"/>
      <c r="TIX3" s="120"/>
      <c r="TIY3" s="120"/>
      <c r="TIZ3" s="120"/>
      <c r="TJA3" s="120"/>
      <c r="TJB3" s="120"/>
      <c r="TJC3" s="120"/>
      <c r="TJD3" s="120"/>
      <c r="TJE3" s="120"/>
      <c r="TJF3" s="120"/>
      <c r="TJG3" s="120"/>
      <c r="TJH3" s="120"/>
      <c r="TJI3" s="120"/>
      <c r="TJJ3" s="120"/>
      <c r="TJK3" s="120"/>
      <c r="TJL3" s="120"/>
      <c r="TJM3" s="120"/>
      <c r="TJN3" s="120"/>
      <c r="TJO3" s="120"/>
      <c r="TJP3" s="120"/>
      <c r="TJQ3" s="120"/>
      <c r="TJR3" s="120"/>
      <c r="TJS3" s="120"/>
      <c r="TJT3" s="120"/>
      <c r="TJU3" s="120"/>
      <c r="TJV3" s="120"/>
      <c r="TJW3" s="120"/>
      <c r="TJX3" s="120"/>
      <c r="TJY3" s="120"/>
      <c r="TJZ3" s="120"/>
      <c r="TKA3" s="120"/>
      <c r="TKB3" s="120"/>
      <c r="TKC3" s="120"/>
      <c r="TKD3" s="120"/>
      <c r="TKE3" s="120"/>
      <c r="TKF3" s="120"/>
      <c r="TKG3" s="120"/>
      <c r="TKH3" s="120"/>
      <c r="TKI3" s="120"/>
      <c r="TKJ3" s="120"/>
      <c r="TKK3" s="120"/>
      <c r="TKL3" s="120"/>
      <c r="TKM3" s="120"/>
      <c r="TKN3" s="120"/>
      <c r="TKO3" s="120"/>
      <c r="TKP3" s="120"/>
      <c r="TKQ3" s="120"/>
      <c r="TKR3" s="120"/>
      <c r="TKS3" s="120"/>
      <c r="TKT3" s="120"/>
      <c r="TKU3" s="120"/>
      <c r="TKV3" s="120"/>
      <c r="TKW3" s="120"/>
      <c r="TKX3" s="120"/>
      <c r="TKY3" s="120"/>
      <c r="TKZ3" s="120"/>
      <c r="TLA3" s="120"/>
      <c r="TLB3" s="120"/>
      <c r="TLC3" s="120"/>
      <c r="TLD3" s="120"/>
      <c r="TLE3" s="120"/>
      <c r="TLF3" s="120"/>
      <c r="TLG3" s="120"/>
      <c r="TLH3" s="120"/>
      <c r="TLI3" s="120"/>
      <c r="TLJ3" s="120"/>
      <c r="TLK3" s="120"/>
      <c r="TLL3" s="120"/>
      <c r="TLM3" s="120"/>
      <c r="TLN3" s="120"/>
      <c r="TLO3" s="120"/>
      <c r="TLP3" s="120"/>
      <c r="TLQ3" s="120"/>
      <c r="TLR3" s="120"/>
      <c r="TLS3" s="120"/>
      <c r="TLT3" s="120"/>
      <c r="TLU3" s="120"/>
      <c r="TLV3" s="120"/>
      <c r="TLW3" s="120"/>
      <c r="TLX3" s="120"/>
      <c r="TLY3" s="120"/>
      <c r="TLZ3" s="120"/>
      <c r="TMA3" s="120"/>
      <c r="TMB3" s="120"/>
      <c r="TMC3" s="120"/>
      <c r="TMD3" s="120"/>
      <c r="TME3" s="120"/>
      <c r="TMF3" s="120"/>
      <c r="TMG3" s="120"/>
      <c r="TMH3" s="120"/>
      <c r="TMI3" s="120"/>
      <c r="TMJ3" s="120"/>
      <c r="TMK3" s="120"/>
      <c r="TML3" s="120"/>
      <c r="TMM3" s="120"/>
      <c r="TMN3" s="120"/>
      <c r="TMO3" s="120"/>
      <c r="TMP3" s="120"/>
      <c r="TMQ3" s="120"/>
      <c r="TMR3" s="120"/>
      <c r="TMS3" s="120"/>
      <c r="TMT3" s="120"/>
      <c r="TMU3" s="120"/>
      <c r="TMV3" s="120"/>
      <c r="TMW3" s="120"/>
      <c r="TMX3" s="120"/>
      <c r="TMY3" s="120"/>
      <c r="TMZ3" s="120"/>
      <c r="TNA3" s="120"/>
      <c r="TNB3" s="120"/>
      <c r="TNC3" s="120"/>
      <c r="TND3" s="120"/>
      <c r="TNE3" s="120"/>
      <c r="TNF3" s="120"/>
      <c r="TNG3" s="120"/>
      <c r="TNH3" s="120"/>
      <c r="TNI3" s="120"/>
      <c r="TNJ3" s="120"/>
      <c r="TNK3" s="120"/>
      <c r="TNL3" s="120"/>
      <c r="TNM3" s="120"/>
      <c r="TNN3" s="120"/>
      <c r="TNO3" s="120"/>
      <c r="TNP3" s="120"/>
      <c r="TNQ3" s="120"/>
      <c r="TNR3" s="120"/>
      <c r="TNS3" s="120"/>
      <c r="TNT3" s="120"/>
      <c r="TNU3" s="120"/>
      <c r="TNV3" s="120"/>
      <c r="TNW3" s="120"/>
      <c r="TNX3" s="120"/>
      <c r="TNY3" s="120"/>
      <c r="TNZ3" s="120"/>
      <c r="TOA3" s="120"/>
      <c r="TOB3" s="120"/>
      <c r="TOC3" s="120"/>
      <c r="TOD3" s="120"/>
      <c r="TOE3" s="120"/>
      <c r="TOF3" s="120"/>
      <c r="TOG3" s="120"/>
      <c r="TOH3" s="120"/>
      <c r="TOI3" s="120"/>
      <c r="TOJ3" s="120"/>
      <c r="TOK3" s="120"/>
      <c r="TOL3" s="120"/>
      <c r="TOM3" s="120"/>
      <c r="TON3" s="120"/>
      <c r="TOO3" s="120"/>
      <c r="TOP3" s="120"/>
      <c r="TOQ3" s="120"/>
      <c r="TOR3" s="120"/>
      <c r="TOS3" s="120"/>
      <c r="TOT3" s="120"/>
      <c r="TOU3" s="120"/>
      <c r="TOV3" s="120"/>
      <c r="TOW3" s="120"/>
      <c r="TOX3" s="120"/>
      <c r="TOY3" s="120"/>
      <c r="TOZ3" s="120"/>
      <c r="TPA3" s="120"/>
      <c r="TPB3" s="120"/>
      <c r="TPC3" s="120"/>
      <c r="TPD3" s="120"/>
      <c r="TPE3" s="120"/>
      <c r="TPF3" s="120"/>
      <c r="TPG3" s="120"/>
      <c r="TPH3" s="120"/>
      <c r="TPI3" s="120"/>
      <c r="TPJ3" s="120"/>
      <c r="TPK3" s="120"/>
      <c r="TPL3" s="120"/>
      <c r="TPM3" s="120"/>
      <c r="TPN3" s="120"/>
      <c r="TPO3" s="120"/>
      <c r="TPP3" s="120"/>
      <c r="TPQ3" s="120"/>
      <c r="TPR3" s="120"/>
      <c r="TPS3" s="120"/>
      <c r="TPT3" s="120"/>
      <c r="TPU3" s="120"/>
      <c r="TPV3" s="120"/>
      <c r="TPW3" s="120"/>
      <c r="TPX3" s="120"/>
      <c r="TPY3" s="120"/>
      <c r="TPZ3" s="120"/>
      <c r="TQA3" s="120"/>
      <c r="TQB3" s="120"/>
      <c r="TQC3" s="120"/>
      <c r="TQD3" s="120"/>
      <c r="TQE3" s="120"/>
      <c r="TQF3" s="120"/>
      <c r="TQG3" s="120"/>
      <c r="TQH3" s="120"/>
      <c r="TQI3" s="120"/>
      <c r="TQJ3" s="120"/>
      <c r="TQK3" s="120"/>
      <c r="TQL3" s="120"/>
      <c r="TQM3" s="120"/>
      <c r="TQN3" s="120"/>
      <c r="TQO3" s="120"/>
      <c r="TQP3" s="120"/>
      <c r="TQQ3" s="120"/>
      <c r="TQR3" s="120"/>
      <c r="TQS3" s="120"/>
      <c r="TQT3" s="120"/>
      <c r="TQU3" s="120"/>
      <c r="TQV3" s="120"/>
      <c r="TQW3" s="120"/>
      <c r="TQX3" s="120"/>
      <c r="TQY3" s="120"/>
      <c r="TQZ3" s="120"/>
      <c r="TRA3" s="120"/>
      <c r="TRB3" s="120"/>
      <c r="TRC3" s="120"/>
      <c r="TRD3" s="120"/>
      <c r="TRE3" s="120"/>
      <c r="TRF3" s="120"/>
      <c r="TRG3" s="120"/>
      <c r="TRH3" s="120"/>
      <c r="TRI3" s="120"/>
      <c r="TRJ3" s="120"/>
      <c r="TRK3" s="120"/>
      <c r="TRL3" s="120"/>
      <c r="TRM3" s="120"/>
      <c r="TRN3" s="120"/>
      <c r="TRO3" s="120"/>
      <c r="TRP3" s="120"/>
      <c r="TRQ3" s="120"/>
      <c r="TRR3" s="120"/>
      <c r="TRS3" s="120"/>
      <c r="TRT3" s="120"/>
      <c r="TRU3" s="120"/>
      <c r="TRV3" s="120"/>
      <c r="TRW3" s="120"/>
      <c r="TRX3" s="120"/>
      <c r="TRY3" s="120"/>
      <c r="TRZ3" s="120"/>
      <c r="TSA3" s="120"/>
      <c r="TSB3" s="120"/>
      <c r="TSC3" s="120"/>
      <c r="TSD3" s="120"/>
      <c r="TSE3" s="120"/>
      <c r="TSF3" s="120"/>
      <c r="TSG3" s="120"/>
      <c r="TSH3" s="120"/>
      <c r="TSI3" s="120"/>
      <c r="TSJ3" s="120"/>
      <c r="TSK3" s="120"/>
      <c r="TSL3" s="120"/>
      <c r="TSM3" s="120"/>
      <c r="TSN3" s="120"/>
      <c r="TSO3" s="120"/>
      <c r="TSP3" s="120"/>
      <c r="TSQ3" s="120"/>
      <c r="TSR3" s="120"/>
      <c r="TSS3" s="120"/>
      <c r="TST3" s="120"/>
      <c r="TSU3" s="120"/>
      <c r="TSV3" s="120"/>
      <c r="TSW3" s="120"/>
      <c r="TSX3" s="120"/>
      <c r="TSY3" s="120"/>
      <c r="TSZ3" s="120"/>
      <c r="TTA3" s="120"/>
      <c r="TTB3" s="120"/>
      <c r="TTC3" s="120"/>
      <c r="TTD3" s="120"/>
      <c r="TTE3" s="120"/>
      <c r="TTF3" s="120"/>
      <c r="TTG3" s="120"/>
      <c r="TTH3" s="120"/>
      <c r="TTI3" s="120"/>
      <c r="TTJ3" s="120"/>
      <c r="TTK3" s="120"/>
      <c r="TTL3" s="120"/>
      <c r="TTM3" s="120"/>
      <c r="TTN3" s="120"/>
      <c r="TTO3" s="120"/>
      <c r="TTP3" s="120"/>
      <c r="TTQ3" s="120"/>
      <c r="TTR3" s="120"/>
      <c r="TTS3" s="120"/>
      <c r="TTT3" s="120"/>
      <c r="TTU3" s="120"/>
      <c r="TTV3" s="120"/>
      <c r="TTW3" s="120"/>
      <c r="TTX3" s="120"/>
      <c r="TTY3" s="120"/>
      <c r="TTZ3" s="120"/>
      <c r="TUA3" s="120"/>
      <c r="TUB3" s="120"/>
      <c r="TUC3" s="120"/>
      <c r="TUD3" s="120"/>
      <c r="TUE3" s="120"/>
      <c r="TUF3" s="120"/>
      <c r="TUG3" s="120"/>
      <c r="TUH3" s="120"/>
      <c r="TUI3" s="120"/>
      <c r="TUJ3" s="120"/>
      <c r="TUK3" s="120"/>
      <c r="TUL3" s="120"/>
      <c r="TUM3" s="120"/>
      <c r="TUN3" s="120"/>
      <c r="TUO3" s="120"/>
      <c r="TUP3" s="120"/>
      <c r="TUQ3" s="120"/>
      <c r="TUR3" s="120"/>
      <c r="TUS3" s="120"/>
      <c r="TUT3" s="120"/>
      <c r="TUU3" s="120"/>
      <c r="TUV3" s="120"/>
      <c r="TUW3" s="120"/>
      <c r="TUX3" s="120"/>
      <c r="TUY3" s="120"/>
      <c r="TUZ3" s="120"/>
      <c r="TVA3" s="120"/>
      <c r="TVB3" s="120"/>
      <c r="TVC3" s="120"/>
      <c r="TVD3" s="120"/>
      <c r="TVE3" s="120"/>
      <c r="TVF3" s="120"/>
      <c r="TVG3" s="120"/>
      <c r="TVH3" s="120"/>
      <c r="TVI3" s="120"/>
      <c r="TVJ3" s="120"/>
      <c r="TVK3" s="120"/>
      <c r="TVL3" s="120"/>
      <c r="TVM3" s="120"/>
      <c r="TVN3" s="120"/>
      <c r="TVO3" s="120"/>
      <c r="TVP3" s="120"/>
      <c r="TVQ3" s="120"/>
      <c r="TVR3" s="120"/>
      <c r="TVS3" s="120"/>
      <c r="TVT3" s="120"/>
      <c r="TVU3" s="120"/>
      <c r="TVV3" s="120"/>
      <c r="TVW3" s="120"/>
      <c r="TVX3" s="120"/>
      <c r="TVY3" s="120"/>
      <c r="TVZ3" s="120"/>
      <c r="TWA3" s="120"/>
      <c r="TWB3" s="120"/>
      <c r="TWC3" s="120"/>
      <c r="TWD3" s="120"/>
      <c r="TWE3" s="120"/>
      <c r="TWF3" s="120"/>
      <c r="TWG3" s="120"/>
      <c r="TWH3" s="120"/>
      <c r="TWI3" s="120"/>
      <c r="TWJ3" s="120"/>
      <c r="TWK3" s="120"/>
      <c r="TWL3" s="120"/>
      <c r="TWM3" s="120"/>
      <c r="TWN3" s="120"/>
      <c r="TWO3" s="120"/>
      <c r="TWP3" s="120"/>
      <c r="TWQ3" s="120"/>
      <c r="TWR3" s="120"/>
      <c r="TWS3" s="120"/>
      <c r="TWT3" s="120"/>
      <c r="TWU3" s="120"/>
      <c r="TWV3" s="120"/>
      <c r="TWW3" s="120"/>
      <c r="TWX3" s="120"/>
      <c r="TWY3" s="120"/>
      <c r="TWZ3" s="120"/>
      <c r="TXA3" s="120"/>
      <c r="TXB3" s="120"/>
      <c r="TXC3" s="120"/>
      <c r="TXD3" s="120"/>
      <c r="TXE3" s="120"/>
      <c r="TXF3" s="120"/>
      <c r="TXG3" s="120"/>
      <c r="TXH3" s="120"/>
      <c r="TXI3" s="120"/>
      <c r="TXJ3" s="120"/>
      <c r="TXK3" s="120"/>
      <c r="TXL3" s="120"/>
      <c r="TXM3" s="120"/>
      <c r="TXN3" s="120"/>
      <c r="TXO3" s="120"/>
      <c r="TXP3" s="120"/>
      <c r="TXQ3" s="120"/>
      <c r="TXR3" s="120"/>
      <c r="TXS3" s="120"/>
      <c r="TXT3" s="120"/>
      <c r="TXU3" s="120"/>
      <c r="TXV3" s="120"/>
      <c r="TXW3" s="120"/>
      <c r="TXX3" s="120"/>
      <c r="TXY3" s="120"/>
      <c r="TXZ3" s="120"/>
      <c r="TYA3" s="120"/>
      <c r="TYB3" s="120"/>
      <c r="TYC3" s="120"/>
      <c r="TYD3" s="120"/>
      <c r="TYE3" s="120"/>
      <c r="TYF3" s="120"/>
      <c r="TYG3" s="120"/>
      <c r="TYH3" s="120"/>
      <c r="TYI3" s="120"/>
      <c r="TYJ3" s="120"/>
      <c r="TYK3" s="120"/>
      <c r="TYL3" s="120"/>
      <c r="TYM3" s="120"/>
      <c r="TYN3" s="120"/>
      <c r="TYO3" s="120"/>
      <c r="TYP3" s="120"/>
      <c r="TYQ3" s="120"/>
      <c r="TYR3" s="120"/>
      <c r="TYS3" s="120"/>
      <c r="TYT3" s="120"/>
      <c r="TYU3" s="120"/>
      <c r="TYV3" s="120"/>
      <c r="TYW3" s="120"/>
      <c r="TYX3" s="120"/>
      <c r="TYY3" s="120"/>
      <c r="TYZ3" s="120"/>
      <c r="TZA3" s="120"/>
      <c r="TZB3" s="120"/>
      <c r="TZC3" s="120"/>
      <c r="TZD3" s="120"/>
      <c r="TZE3" s="120"/>
      <c r="TZF3" s="120"/>
      <c r="TZG3" s="120"/>
      <c r="TZH3" s="120"/>
      <c r="TZI3" s="120"/>
      <c r="TZJ3" s="120"/>
      <c r="TZK3" s="120"/>
      <c r="TZL3" s="120"/>
      <c r="TZM3" s="120"/>
      <c r="TZN3" s="120"/>
      <c r="TZO3" s="120"/>
      <c r="TZP3" s="120"/>
      <c r="TZQ3" s="120"/>
      <c r="TZR3" s="120"/>
      <c r="TZS3" s="120"/>
      <c r="TZT3" s="120"/>
      <c r="TZU3" s="120"/>
      <c r="TZV3" s="120"/>
      <c r="TZW3" s="120"/>
      <c r="TZX3" s="120"/>
      <c r="TZY3" s="120"/>
      <c r="TZZ3" s="120"/>
      <c r="UAA3" s="120"/>
      <c r="UAB3" s="120"/>
      <c r="UAC3" s="120"/>
      <c r="UAD3" s="120"/>
      <c r="UAE3" s="120"/>
      <c r="UAF3" s="120"/>
      <c r="UAG3" s="120"/>
      <c r="UAH3" s="120"/>
      <c r="UAI3" s="120"/>
      <c r="UAJ3" s="120"/>
      <c r="UAK3" s="120"/>
      <c r="UAL3" s="120"/>
      <c r="UAM3" s="120"/>
      <c r="UAN3" s="120"/>
      <c r="UAO3" s="120"/>
      <c r="UAP3" s="120"/>
      <c r="UAQ3" s="120"/>
      <c r="UAR3" s="120"/>
      <c r="UAS3" s="120"/>
      <c r="UAT3" s="120"/>
      <c r="UAU3" s="120"/>
      <c r="UAV3" s="120"/>
      <c r="UAW3" s="120"/>
      <c r="UAX3" s="120"/>
      <c r="UAY3" s="120"/>
      <c r="UAZ3" s="120"/>
      <c r="UBA3" s="120"/>
      <c r="UBB3" s="120"/>
      <c r="UBC3" s="120"/>
      <c r="UBD3" s="120"/>
      <c r="UBE3" s="120"/>
      <c r="UBF3" s="120"/>
      <c r="UBG3" s="120"/>
      <c r="UBH3" s="120"/>
      <c r="UBI3" s="120"/>
      <c r="UBJ3" s="120"/>
      <c r="UBK3" s="120"/>
      <c r="UBL3" s="120"/>
      <c r="UBM3" s="120"/>
      <c r="UBN3" s="120"/>
      <c r="UBO3" s="120"/>
      <c r="UBP3" s="120"/>
      <c r="UBQ3" s="120"/>
      <c r="UBR3" s="120"/>
      <c r="UBS3" s="120"/>
      <c r="UBT3" s="120"/>
      <c r="UBU3" s="120"/>
      <c r="UBV3" s="120"/>
      <c r="UBW3" s="120"/>
      <c r="UBX3" s="120"/>
      <c r="UBY3" s="120"/>
      <c r="UBZ3" s="120"/>
      <c r="UCA3" s="120"/>
      <c r="UCB3" s="120"/>
      <c r="UCC3" s="120"/>
      <c r="UCD3" s="120"/>
      <c r="UCE3" s="120"/>
      <c r="UCF3" s="120"/>
      <c r="UCG3" s="120"/>
      <c r="UCH3" s="120"/>
      <c r="UCI3" s="120"/>
      <c r="UCJ3" s="120"/>
      <c r="UCK3" s="120"/>
      <c r="UCL3" s="120"/>
      <c r="UCM3" s="120"/>
      <c r="UCN3" s="120"/>
      <c r="UCO3" s="120"/>
      <c r="UCP3" s="120"/>
      <c r="UCQ3" s="120"/>
      <c r="UCR3" s="120"/>
      <c r="UCS3" s="120"/>
      <c r="UCT3" s="120"/>
      <c r="UCU3" s="120"/>
      <c r="UCV3" s="120"/>
      <c r="UCW3" s="120"/>
      <c r="UCX3" s="120"/>
      <c r="UCY3" s="120"/>
      <c r="UCZ3" s="120"/>
      <c r="UDA3" s="120"/>
      <c r="UDB3" s="120"/>
      <c r="UDC3" s="120"/>
      <c r="UDD3" s="120"/>
      <c r="UDE3" s="120"/>
      <c r="UDF3" s="120"/>
      <c r="UDG3" s="120"/>
      <c r="UDH3" s="120"/>
      <c r="UDI3" s="120"/>
      <c r="UDJ3" s="120"/>
      <c r="UDK3" s="120"/>
      <c r="UDL3" s="120"/>
      <c r="UDM3" s="120"/>
      <c r="UDN3" s="120"/>
      <c r="UDO3" s="120"/>
      <c r="UDP3" s="120"/>
      <c r="UDQ3" s="120"/>
      <c r="UDR3" s="120"/>
      <c r="UDS3" s="120"/>
      <c r="UDT3" s="120"/>
      <c r="UDU3" s="120"/>
      <c r="UDV3" s="120"/>
      <c r="UDW3" s="120"/>
      <c r="UDX3" s="120"/>
      <c r="UDY3" s="120"/>
      <c r="UDZ3" s="120"/>
      <c r="UEA3" s="120"/>
      <c r="UEB3" s="120"/>
      <c r="UEC3" s="120"/>
      <c r="UED3" s="120"/>
      <c r="UEE3" s="120"/>
      <c r="UEF3" s="120"/>
      <c r="UEG3" s="120"/>
      <c r="UEH3" s="120"/>
      <c r="UEI3" s="120"/>
      <c r="UEJ3" s="120"/>
      <c r="UEK3" s="120"/>
      <c r="UEL3" s="120"/>
      <c r="UEM3" s="120"/>
      <c r="UEN3" s="120"/>
      <c r="UEO3" s="120"/>
      <c r="UEP3" s="120"/>
      <c r="UEQ3" s="120"/>
      <c r="UER3" s="120"/>
      <c r="UES3" s="120"/>
      <c r="UET3" s="120"/>
      <c r="UEU3" s="120"/>
      <c r="UEV3" s="120"/>
      <c r="UEW3" s="120"/>
      <c r="UEX3" s="120"/>
      <c r="UEY3" s="120"/>
      <c r="UEZ3" s="120"/>
      <c r="UFA3" s="120"/>
      <c r="UFB3" s="120"/>
      <c r="UFC3" s="120"/>
      <c r="UFD3" s="120"/>
      <c r="UFE3" s="120"/>
      <c r="UFF3" s="120"/>
      <c r="UFG3" s="120"/>
      <c r="UFH3" s="120"/>
      <c r="UFI3" s="120"/>
      <c r="UFJ3" s="120"/>
      <c r="UFK3" s="120"/>
      <c r="UFL3" s="120"/>
      <c r="UFM3" s="120"/>
      <c r="UFN3" s="120"/>
      <c r="UFO3" s="120"/>
      <c r="UFP3" s="120"/>
      <c r="UFQ3" s="120"/>
      <c r="UFR3" s="120"/>
      <c r="UFS3" s="120"/>
      <c r="UFT3" s="120"/>
      <c r="UFU3" s="120"/>
      <c r="UFV3" s="120"/>
      <c r="UFW3" s="120"/>
      <c r="UFX3" s="120"/>
      <c r="UFY3" s="120"/>
      <c r="UFZ3" s="120"/>
      <c r="UGA3" s="120"/>
      <c r="UGB3" s="120"/>
      <c r="UGC3" s="120"/>
      <c r="UGD3" s="120"/>
      <c r="UGE3" s="120"/>
      <c r="UGF3" s="120"/>
      <c r="UGG3" s="120"/>
      <c r="UGH3" s="120"/>
      <c r="UGI3" s="120"/>
      <c r="UGJ3" s="120"/>
      <c r="UGK3" s="120"/>
      <c r="UGL3" s="120"/>
      <c r="UGM3" s="120"/>
      <c r="UGN3" s="120"/>
      <c r="UGO3" s="120"/>
      <c r="UGP3" s="120"/>
      <c r="UGQ3" s="120"/>
      <c r="UGR3" s="120"/>
      <c r="UGS3" s="120"/>
      <c r="UGT3" s="120"/>
      <c r="UGU3" s="120"/>
      <c r="UGV3" s="120"/>
      <c r="UGW3" s="120"/>
      <c r="UGX3" s="120"/>
      <c r="UGY3" s="120"/>
      <c r="UGZ3" s="120"/>
      <c r="UHA3" s="120"/>
      <c r="UHB3" s="120"/>
      <c r="UHC3" s="120"/>
      <c r="UHD3" s="120"/>
      <c r="UHE3" s="120"/>
      <c r="UHF3" s="120"/>
      <c r="UHG3" s="120"/>
      <c r="UHH3" s="120"/>
      <c r="UHI3" s="120"/>
      <c r="UHJ3" s="120"/>
      <c r="UHK3" s="120"/>
      <c r="UHL3" s="120"/>
      <c r="UHM3" s="120"/>
      <c r="UHN3" s="120"/>
      <c r="UHO3" s="120"/>
      <c r="UHP3" s="120"/>
      <c r="UHQ3" s="120"/>
      <c r="UHR3" s="120"/>
      <c r="UHS3" s="120"/>
      <c r="UHT3" s="120"/>
      <c r="UHU3" s="120"/>
      <c r="UHV3" s="120"/>
      <c r="UHW3" s="120"/>
      <c r="UHX3" s="120"/>
      <c r="UHY3" s="120"/>
      <c r="UHZ3" s="120"/>
      <c r="UIA3" s="120"/>
      <c r="UIB3" s="120"/>
      <c r="UIC3" s="120"/>
      <c r="UID3" s="120"/>
      <c r="UIE3" s="120"/>
      <c r="UIF3" s="120"/>
      <c r="UIG3" s="120"/>
      <c r="UIH3" s="120"/>
      <c r="UII3" s="120"/>
      <c r="UIJ3" s="120"/>
      <c r="UIK3" s="120"/>
      <c r="UIL3" s="120"/>
      <c r="UIM3" s="120"/>
      <c r="UIN3" s="120"/>
      <c r="UIO3" s="120"/>
      <c r="UIP3" s="120"/>
      <c r="UIQ3" s="120"/>
      <c r="UIR3" s="120"/>
      <c r="UIS3" s="120"/>
      <c r="UIT3" s="120"/>
      <c r="UIU3" s="120"/>
      <c r="UIV3" s="120"/>
      <c r="UIW3" s="120"/>
      <c r="UIX3" s="120"/>
      <c r="UIY3" s="120"/>
      <c r="UIZ3" s="120"/>
      <c r="UJA3" s="120"/>
      <c r="UJB3" s="120"/>
      <c r="UJC3" s="120"/>
      <c r="UJD3" s="120"/>
      <c r="UJE3" s="120"/>
      <c r="UJF3" s="120"/>
      <c r="UJG3" s="120"/>
      <c r="UJH3" s="120"/>
      <c r="UJI3" s="120"/>
      <c r="UJJ3" s="120"/>
      <c r="UJK3" s="120"/>
      <c r="UJL3" s="120"/>
      <c r="UJM3" s="120"/>
      <c r="UJN3" s="120"/>
      <c r="UJO3" s="120"/>
      <c r="UJP3" s="120"/>
      <c r="UJQ3" s="120"/>
      <c r="UJR3" s="120"/>
      <c r="UJS3" s="120"/>
      <c r="UJT3" s="120"/>
      <c r="UJU3" s="120"/>
      <c r="UJV3" s="120"/>
      <c r="UJW3" s="120"/>
      <c r="UJX3" s="120"/>
      <c r="UJY3" s="120"/>
      <c r="UJZ3" s="120"/>
      <c r="UKA3" s="120"/>
      <c r="UKB3" s="120"/>
      <c r="UKC3" s="120"/>
      <c r="UKD3" s="120"/>
      <c r="UKE3" s="120"/>
      <c r="UKF3" s="120"/>
      <c r="UKG3" s="120"/>
      <c r="UKH3" s="120"/>
      <c r="UKI3" s="120"/>
      <c r="UKJ3" s="120"/>
      <c r="UKK3" s="120"/>
      <c r="UKL3" s="120"/>
      <c r="UKM3" s="120"/>
      <c r="UKN3" s="120"/>
      <c r="UKO3" s="120"/>
      <c r="UKP3" s="120"/>
      <c r="UKQ3" s="120"/>
      <c r="UKR3" s="120"/>
      <c r="UKS3" s="120"/>
      <c r="UKT3" s="120"/>
      <c r="UKU3" s="120"/>
      <c r="UKV3" s="120"/>
      <c r="UKW3" s="120"/>
      <c r="UKX3" s="120"/>
      <c r="UKY3" s="120"/>
      <c r="UKZ3" s="120"/>
      <c r="ULA3" s="120"/>
      <c r="ULB3" s="120"/>
      <c r="ULC3" s="120"/>
      <c r="ULD3" s="120"/>
      <c r="ULE3" s="120"/>
      <c r="ULF3" s="120"/>
      <c r="ULG3" s="120"/>
      <c r="ULH3" s="120"/>
      <c r="ULI3" s="120"/>
      <c r="ULJ3" s="120"/>
      <c r="ULK3" s="120"/>
      <c r="ULL3" s="120"/>
      <c r="ULM3" s="120"/>
      <c r="ULN3" s="120"/>
      <c r="ULO3" s="120"/>
      <c r="ULP3" s="120"/>
      <c r="ULQ3" s="120"/>
      <c r="ULR3" s="120"/>
      <c r="ULS3" s="120"/>
      <c r="ULT3" s="120"/>
      <c r="ULU3" s="120"/>
      <c r="ULV3" s="120"/>
      <c r="ULW3" s="120"/>
      <c r="ULX3" s="120"/>
      <c r="ULY3" s="120"/>
      <c r="ULZ3" s="120"/>
      <c r="UMA3" s="120"/>
      <c r="UMB3" s="120"/>
      <c r="UMC3" s="120"/>
      <c r="UMD3" s="120"/>
      <c r="UME3" s="120"/>
      <c r="UMF3" s="120"/>
      <c r="UMG3" s="120"/>
      <c r="UMH3" s="120"/>
      <c r="UMI3" s="120"/>
      <c r="UMJ3" s="120"/>
      <c r="UMK3" s="120"/>
      <c r="UML3" s="120"/>
      <c r="UMM3" s="120"/>
      <c r="UMN3" s="120"/>
      <c r="UMO3" s="120"/>
      <c r="UMP3" s="120"/>
      <c r="UMQ3" s="120"/>
      <c r="UMR3" s="120"/>
      <c r="UMS3" s="120"/>
      <c r="UMT3" s="120"/>
      <c r="UMU3" s="120"/>
      <c r="UMV3" s="120"/>
      <c r="UMW3" s="120"/>
      <c r="UMX3" s="120"/>
      <c r="UMY3" s="120"/>
      <c r="UMZ3" s="120"/>
      <c r="UNA3" s="120"/>
      <c r="UNB3" s="120"/>
      <c r="UNC3" s="120"/>
      <c r="UND3" s="120"/>
      <c r="UNE3" s="120"/>
      <c r="UNF3" s="120"/>
      <c r="UNG3" s="120"/>
      <c r="UNH3" s="120"/>
      <c r="UNI3" s="120"/>
      <c r="UNJ3" s="120"/>
      <c r="UNK3" s="120"/>
      <c r="UNL3" s="120"/>
      <c r="UNM3" s="120"/>
      <c r="UNN3" s="120"/>
      <c r="UNO3" s="120"/>
      <c r="UNP3" s="120"/>
      <c r="UNQ3" s="120"/>
      <c r="UNR3" s="120"/>
      <c r="UNS3" s="120"/>
      <c r="UNT3" s="120"/>
      <c r="UNU3" s="120"/>
      <c r="UNV3" s="120"/>
      <c r="UNW3" s="120"/>
      <c r="UNX3" s="120"/>
      <c r="UNY3" s="120"/>
      <c r="UNZ3" s="120"/>
      <c r="UOA3" s="120"/>
      <c r="UOB3" s="120"/>
      <c r="UOC3" s="120"/>
      <c r="UOD3" s="120"/>
      <c r="UOE3" s="120"/>
      <c r="UOF3" s="120"/>
      <c r="UOG3" s="120"/>
      <c r="UOH3" s="120"/>
      <c r="UOI3" s="120"/>
      <c r="UOJ3" s="120"/>
      <c r="UOK3" s="120"/>
      <c r="UOL3" s="120"/>
      <c r="UOM3" s="120"/>
      <c r="UON3" s="120"/>
      <c r="UOO3" s="120"/>
      <c r="UOP3" s="120"/>
      <c r="UOQ3" s="120"/>
      <c r="UOR3" s="120"/>
      <c r="UOS3" s="120"/>
      <c r="UOT3" s="120"/>
      <c r="UOU3" s="120"/>
      <c r="UOV3" s="120"/>
      <c r="UOW3" s="120"/>
      <c r="UOX3" s="120"/>
      <c r="UOY3" s="120"/>
      <c r="UOZ3" s="120"/>
      <c r="UPA3" s="120"/>
      <c r="UPB3" s="120"/>
      <c r="UPC3" s="120"/>
      <c r="UPD3" s="120"/>
      <c r="UPE3" s="120"/>
      <c r="UPF3" s="120"/>
      <c r="UPG3" s="120"/>
      <c r="UPH3" s="120"/>
      <c r="UPI3" s="120"/>
      <c r="UPJ3" s="120"/>
      <c r="UPK3" s="120"/>
      <c r="UPL3" s="120"/>
      <c r="UPM3" s="120"/>
      <c r="UPN3" s="120"/>
      <c r="UPO3" s="120"/>
      <c r="UPP3" s="120"/>
      <c r="UPQ3" s="120"/>
      <c r="UPR3" s="120"/>
      <c r="UPS3" s="120"/>
      <c r="UPT3" s="120"/>
      <c r="UPU3" s="120"/>
      <c r="UPV3" s="120"/>
      <c r="UPW3" s="120"/>
      <c r="UPX3" s="120"/>
      <c r="UPY3" s="120"/>
      <c r="UPZ3" s="120"/>
      <c r="UQA3" s="120"/>
      <c r="UQB3" s="120"/>
      <c r="UQC3" s="120"/>
      <c r="UQD3" s="120"/>
      <c r="UQE3" s="120"/>
      <c r="UQF3" s="120"/>
      <c r="UQG3" s="120"/>
      <c r="UQH3" s="120"/>
      <c r="UQI3" s="120"/>
      <c r="UQJ3" s="120"/>
      <c r="UQK3" s="120"/>
      <c r="UQL3" s="120"/>
      <c r="UQM3" s="120"/>
      <c r="UQN3" s="120"/>
      <c r="UQO3" s="120"/>
      <c r="UQP3" s="120"/>
      <c r="UQQ3" s="120"/>
      <c r="UQR3" s="120"/>
      <c r="UQS3" s="120"/>
      <c r="UQT3" s="120"/>
      <c r="UQU3" s="120"/>
      <c r="UQV3" s="120"/>
      <c r="UQW3" s="120"/>
      <c r="UQX3" s="120"/>
      <c r="UQY3" s="120"/>
      <c r="UQZ3" s="120"/>
      <c r="URA3" s="120"/>
      <c r="URB3" s="120"/>
      <c r="URC3" s="120"/>
      <c r="URD3" s="120"/>
      <c r="URE3" s="120"/>
      <c r="URF3" s="120"/>
      <c r="URG3" s="120"/>
      <c r="URH3" s="120"/>
      <c r="URI3" s="120"/>
      <c r="URJ3" s="120"/>
      <c r="URK3" s="120"/>
      <c r="URL3" s="120"/>
      <c r="URM3" s="120"/>
      <c r="URN3" s="120"/>
      <c r="URO3" s="120"/>
      <c r="URP3" s="120"/>
      <c r="URQ3" s="120"/>
      <c r="URR3" s="120"/>
      <c r="URS3" s="120"/>
      <c r="URT3" s="120"/>
      <c r="URU3" s="120"/>
      <c r="URV3" s="120"/>
      <c r="URW3" s="120"/>
      <c r="URX3" s="120"/>
      <c r="URY3" s="120"/>
      <c r="URZ3" s="120"/>
      <c r="USA3" s="120"/>
      <c r="USB3" s="120"/>
      <c r="USC3" s="120"/>
      <c r="USD3" s="120"/>
      <c r="USE3" s="120"/>
      <c r="USF3" s="120"/>
      <c r="USG3" s="120"/>
      <c r="USH3" s="120"/>
      <c r="USI3" s="120"/>
      <c r="USJ3" s="120"/>
      <c r="USK3" s="120"/>
      <c r="USL3" s="120"/>
      <c r="USM3" s="120"/>
      <c r="USN3" s="120"/>
      <c r="USO3" s="120"/>
      <c r="USP3" s="120"/>
      <c r="USQ3" s="120"/>
      <c r="USR3" s="120"/>
      <c r="USS3" s="120"/>
      <c r="UST3" s="120"/>
      <c r="USU3" s="120"/>
      <c r="USV3" s="120"/>
      <c r="USW3" s="120"/>
      <c r="USX3" s="120"/>
      <c r="USY3" s="120"/>
      <c r="USZ3" s="120"/>
      <c r="UTA3" s="120"/>
      <c r="UTB3" s="120"/>
      <c r="UTC3" s="120"/>
      <c r="UTD3" s="120"/>
      <c r="UTE3" s="120"/>
      <c r="UTF3" s="120"/>
      <c r="UTG3" s="120"/>
      <c r="UTH3" s="120"/>
      <c r="UTI3" s="120"/>
      <c r="UTJ3" s="120"/>
      <c r="UTK3" s="120"/>
      <c r="UTL3" s="120"/>
      <c r="UTM3" s="120"/>
      <c r="UTN3" s="120"/>
      <c r="UTO3" s="120"/>
      <c r="UTP3" s="120"/>
      <c r="UTQ3" s="120"/>
      <c r="UTR3" s="120"/>
      <c r="UTS3" s="120"/>
      <c r="UTT3" s="120"/>
      <c r="UTU3" s="120"/>
      <c r="UTV3" s="120"/>
      <c r="UTW3" s="120"/>
      <c r="UTX3" s="120"/>
      <c r="UTY3" s="120"/>
      <c r="UTZ3" s="120"/>
      <c r="UUA3" s="120"/>
      <c r="UUB3" s="120"/>
      <c r="UUC3" s="120"/>
      <c r="UUD3" s="120"/>
      <c r="UUE3" s="120"/>
      <c r="UUF3" s="120"/>
      <c r="UUG3" s="120"/>
      <c r="UUH3" s="120"/>
      <c r="UUI3" s="120"/>
      <c r="UUJ3" s="120"/>
      <c r="UUK3" s="120"/>
      <c r="UUL3" s="120"/>
      <c r="UUM3" s="120"/>
      <c r="UUN3" s="120"/>
      <c r="UUO3" s="120"/>
      <c r="UUP3" s="120"/>
      <c r="UUQ3" s="120"/>
      <c r="UUR3" s="120"/>
      <c r="UUS3" s="120"/>
      <c r="UUT3" s="120"/>
      <c r="UUU3" s="120"/>
      <c r="UUV3" s="120"/>
      <c r="UUW3" s="120"/>
      <c r="UUX3" s="120"/>
      <c r="UUY3" s="120"/>
      <c r="UUZ3" s="120"/>
      <c r="UVA3" s="120"/>
      <c r="UVB3" s="120"/>
      <c r="UVC3" s="120"/>
      <c r="UVD3" s="120"/>
      <c r="UVE3" s="120"/>
      <c r="UVF3" s="120"/>
      <c r="UVG3" s="120"/>
      <c r="UVH3" s="120"/>
      <c r="UVI3" s="120"/>
      <c r="UVJ3" s="120"/>
      <c r="UVK3" s="120"/>
      <c r="UVL3" s="120"/>
      <c r="UVM3" s="120"/>
      <c r="UVN3" s="120"/>
      <c r="UVO3" s="120"/>
      <c r="UVP3" s="120"/>
      <c r="UVQ3" s="120"/>
      <c r="UVR3" s="120"/>
      <c r="UVS3" s="120"/>
      <c r="UVT3" s="120"/>
      <c r="UVU3" s="120"/>
      <c r="UVV3" s="120"/>
      <c r="UVW3" s="120"/>
      <c r="UVX3" s="120"/>
      <c r="UVY3" s="120"/>
      <c r="UVZ3" s="120"/>
      <c r="UWA3" s="120"/>
      <c r="UWB3" s="120"/>
      <c r="UWC3" s="120"/>
      <c r="UWD3" s="120"/>
      <c r="UWE3" s="120"/>
      <c r="UWF3" s="120"/>
      <c r="UWG3" s="120"/>
      <c r="UWH3" s="120"/>
      <c r="UWI3" s="120"/>
      <c r="UWJ3" s="120"/>
      <c r="UWK3" s="120"/>
      <c r="UWL3" s="120"/>
      <c r="UWM3" s="120"/>
      <c r="UWN3" s="120"/>
      <c r="UWO3" s="120"/>
      <c r="UWP3" s="120"/>
      <c r="UWQ3" s="120"/>
      <c r="UWR3" s="120"/>
      <c r="UWS3" s="120"/>
      <c r="UWT3" s="120"/>
      <c r="UWU3" s="120"/>
      <c r="UWV3" s="120"/>
      <c r="UWW3" s="120"/>
      <c r="UWX3" s="120"/>
      <c r="UWY3" s="120"/>
      <c r="UWZ3" s="120"/>
      <c r="UXA3" s="120"/>
      <c r="UXB3" s="120"/>
      <c r="UXC3" s="120"/>
      <c r="UXD3" s="120"/>
      <c r="UXE3" s="120"/>
      <c r="UXF3" s="120"/>
      <c r="UXG3" s="120"/>
      <c r="UXH3" s="120"/>
      <c r="UXI3" s="120"/>
      <c r="UXJ3" s="120"/>
      <c r="UXK3" s="120"/>
      <c r="UXL3" s="120"/>
      <c r="UXM3" s="120"/>
      <c r="UXN3" s="120"/>
      <c r="UXO3" s="120"/>
      <c r="UXP3" s="120"/>
      <c r="UXQ3" s="120"/>
      <c r="UXR3" s="120"/>
      <c r="UXS3" s="120"/>
      <c r="UXT3" s="120"/>
      <c r="UXU3" s="120"/>
      <c r="UXV3" s="120"/>
      <c r="UXW3" s="120"/>
      <c r="UXX3" s="120"/>
      <c r="UXY3" s="120"/>
      <c r="UXZ3" s="120"/>
      <c r="UYA3" s="120"/>
      <c r="UYB3" s="120"/>
      <c r="UYC3" s="120"/>
      <c r="UYD3" s="120"/>
      <c r="UYE3" s="120"/>
      <c r="UYF3" s="120"/>
      <c r="UYG3" s="120"/>
      <c r="UYH3" s="120"/>
      <c r="UYI3" s="120"/>
      <c r="UYJ3" s="120"/>
      <c r="UYK3" s="120"/>
      <c r="UYL3" s="120"/>
      <c r="UYM3" s="120"/>
      <c r="UYN3" s="120"/>
      <c r="UYO3" s="120"/>
      <c r="UYP3" s="120"/>
      <c r="UYQ3" s="120"/>
      <c r="UYR3" s="120"/>
      <c r="UYS3" s="120"/>
      <c r="UYT3" s="120"/>
      <c r="UYU3" s="120"/>
      <c r="UYV3" s="120"/>
      <c r="UYW3" s="120"/>
      <c r="UYX3" s="120"/>
      <c r="UYY3" s="120"/>
      <c r="UYZ3" s="120"/>
      <c r="UZA3" s="120"/>
      <c r="UZB3" s="120"/>
      <c r="UZC3" s="120"/>
      <c r="UZD3" s="120"/>
      <c r="UZE3" s="120"/>
      <c r="UZF3" s="120"/>
      <c r="UZG3" s="120"/>
      <c r="UZH3" s="120"/>
      <c r="UZI3" s="120"/>
      <c r="UZJ3" s="120"/>
      <c r="UZK3" s="120"/>
      <c r="UZL3" s="120"/>
      <c r="UZM3" s="120"/>
      <c r="UZN3" s="120"/>
      <c r="UZO3" s="120"/>
      <c r="UZP3" s="120"/>
      <c r="UZQ3" s="120"/>
      <c r="UZR3" s="120"/>
      <c r="UZS3" s="120"/>
      <c r="UZT3" s="120"/>
      <c r="UZU3" s="120"/>
      <c r="UZV3" s="120"/>
      <c r="UZW3" s="120"/>
      <c r="UZX3" s="120"/>
      <c r="UZY3" s="120"/>
      <c r="UZZ3" s="120"/>
      <c r="VAA3" s="120"/>
      <c r="VAB3" s="120"/>
      <c r="VAC3" s="120"/>
      <c r="VAD3" s="120"/>
      <c r="VAE3" s="120"/>
      <c r="VAF3" s="120"/>
      <c r="VAG3" s="120"/>
      <c r="VAH3" s="120"/>
      <c r="VAI3" s="120"/>
      <c r="VAJ3" s="120"/>
      <c r="VAK3" s="120"/>
      <c r="VAL3" s="120"/>
      <c r="VAM3" s="120"/>
      <c r="VAN3" s="120"/>
      <c r="VAO3" s="120"/>
      <c r="VAP3" s="120"/>
      <c r="VAQ3" s="120"/>
      <c r="VAR3" s="120"/>
      <c r="VAS3" s="120"/>
      <c r="VAT3" s="120"/>
      <c r="VAU3" s="120"/>
      <c r="VAV3" s="120"/>
      <c r="VAW3" s="120"/>
      <c r="VAX3" s="120"/>
      <c r="VAY3" s="120"/>
      <c r="VAZ3" s="120"/>
      <c r="VBA3" s="120"/>
      <c r="VBB3" s="120"/>
      <c r="VBC3" s="120"/>
      <c r="VBD3" s="120"/>
      <c r="VBE3" s="120"/>
      <c r="VBF3" s="120"/>
      <c r="VBG3" s="120"/>
      <c r="VBH3" s="120"/>
      <c r="VBI3" s="120"/>
      <c r="VBJ3" s="120"/>
      <c r="VBK3" s="120"/>
      <c r="VBL3" s="120"/>
      <c r="VBM3" s="120"/>
      <c r="VBN3" s="120"/>
      <c r="VBO3" s="120"/>
      <c r="VBP3" s="120"/>
      <c r="VBQ3" s="120"/>
      <c r="VBR3" s="120"/>
      <c r="VBS3" s="120"/>
      <c r="VBT3" s="120"/>
      <c r="VBU3" s="120"/>
      <c r="VBV3" s="120"/>
      <c r="VBW3" s="120"/>
      <c r="VBX3" s="120"/>
      <c r="VBY3" s="120"/>
      <c r="VBZ3" s="120"/>
      <c r="VCA3" s="120"/>
      <c r="VCB3" s="120"/>
      <c r="VCC3" s="120"/>
      <c r="VCD3" s="120"/>
      <c r="VCE3" s="120"/>
      <c r="VCF3" s="120"/>
      <c r="VCG3" s="120"/>
      <c r="VCH3" s="120"/>
      <c r="VCI3" s="120"/>
      <c r="VCJ3" s="120"/>
      <c r="VCK3" s="120"/>
      <c r="VCL3" s="120"/>
      <c r="VCM3" s="120"/>
      <c r="VCN3" s="120"/>
      <c r="VCO3" s="120"/>
      <c r="VCP3" s="120"/>
      <c r="VCQ3" s="120"/>
      <c r="VCR3" s="120"/>
      <c r="VCS3" s="120"/>
      <c r="VCT3" s="120"/>
      <c r="VCU3" s="120"/>
      <c r="VCV3" s="120"/>
      <c r="VCW3" s="120"/>
      <c r="VCX3" s="120"/>
      <c r="VCY3" s="120"/>
      <c r="VCZ3" s="120"/>
      <c r="VDA3" s="120"/>
      <c r="VDB3" s="120"/>
      <c r="VDC3" s="120"/>
      <c r="VDD3" s="120"/>
      <c r="VDE3" s="120"/>
      <c r="VDF3" s="120"/>
      <c r="VDG3" s="120"/>
      <c r="VDH3" s="120"/>
      <c r="VDI3" s="120"/>
      <c r="VDJ3" s="120"/>
      <c r="VDK3" s="120"/>
      <c r="VDL3" s="120"/>
      <c r="VDM3" s="120"/>
      <c r="VDN3" s="120"/>
      <c r="VDO3" s="120"/>
      <c r="VDP3" s="120"/>
      <c r="VDQ3" s="120"/>
      <c r="VDR3" s="120"/>
      <c r="VDS3" s="120"/>
      <c r="VDT3" s="120"/>
      <c r="VDU3" s="120"/>
      <c r="VDV3" s="120"/>
      <c r="VDW3" s="120"/>
      <c r="VDX3" s="120"/>
      <c r="VDY3" s="120"/>
      <c r="VDZ3" s="120"/>
      <c r="VEA3" s="120"/>
      <c r="VEB3" s="120"/>
      <c r="VEC3" s="120"/>
      <c r="VED3" s="120"/>
      <c r="VEE3" s="120"/>
      <c r="VEF3" s="120"/>
      <c r="VEG3" s="120"/>
      <c r="VEH3" s="120"/>
      <c r="VEI3" s="120"/>
      <c r="VEJ3" s="120"/>
      <c r="VEK3" s="120"/>
      <c r="VEL3" s="120"/>
      <c r="VEM3" s="120"/>
      <c r="VEN3" s="120"/>
      <c r="VEO3" s="120"/>
      <c r="VEP3" s="120"/>
      <c r="VEQ3" s="120"/>
      <c r="VER3" s="120"/>
      <c r="VES3" s="120"/>
      <c r="VET3" s="120"/>
      <c r="VEU3" s="120"/>
      <c r="VEV3" s="120"/>
      <c r="VEW3" s="120"/>
      <c r="VEX3" s="120"/>
      <c r="VEY3" s="120"/>
      <c r="VEZ3" s="120"/>
      <c r="VFA3" s="120"/>
      <c r="VFB3" s="120"/>
      <c r="VFC3" s="120"/>
      <c r="VFD3" s="120"/>
      <c r="VFE3" s="120"/>
      <c r="VFF3" s="120"/>
      <c r="VFG3" s="120"/>
      <c r="VFH3" s="120"/>
      <c r="VFI3" s="120"/>
      <c r="VFJ3" s="120"/>
      <c r="VFK3" s="120"/>
      <c r="VFL3" s="120"/>
      <c r="VFM3" s="120"/>
      <c r="VFN3" s="120"/>
      <c r="VFO3" s="120"/>
      <c r="VFP3" s="120"/>
      <c r="VFQ3" s="120"/>
      <c r="VFR3" s="120"/>
      <c r="VFS3" s="120"/>
      <c r="VFT3" s="120"/>
      <c r="VFU3" s="120"/>
      <c r="VFV3" s="120"/>
      <c r="VFW3" s="120"/>
      <c r="VFX3" s="120"/>
      <c r="VFY3" s="120"/>
      <c r="VFZ3" s="120"/>
      <c r="VGA3" s="120"/>
      <c r="VGB3" s="120"/>
      <c r="VGC3" s="120"/>
      <c r="VGD3" s="120"/>
      <c r="VGE3" s="120"/>
      <c r="VGF3" s="120"/>
      <c r="VGG3" s="120"/>
      <c r="VGH3" s="120"/>
      <c r="VGI3" s="120"/>
      <c r="VGJ3" s="120"/>
      <c r="VGK3" s="120"/>
      <c r="VGL3" s="120"/>
      <c r="VGM3" s="120"/>
      <c r="VGN3" s="120"/>
      <c r="VGO3" s="120"/>
      <c r="VGP3" s="120"/>
      <c r="VGQ3" s="120"/>
      <c r="VGR3" s="120"/>
      <c r="VGS3" s="120"/>
      <c r="VGT3" s="120"/>
      <c r="VGU3" s="120"/>
      <c r="VGV3" s="120"/>
      <c r="VGW3" s="120"/>
      <c r="VGX3" s="120"/>
      <c r="VGY3" s="120"/>
      <c r="VGZ3" s="120"/>
      <c r="VHA3" s="120"/>
      <c r="VHB3" s="120"/>
      <c r="VHC3" s="120"/>
      <c r="VHD3" s="120"/>
      <c r="VHE3" s="120"/>
      <c r="VHF3" s="120"/>
      <c r="VHG3" s="120"/>
      <c r="VHH3" s="120"/>
      <c r="VHI3" s="120"/>
      <c r="VHJ3" s="120"/>
      <c r="VHK3" s="120"/>
      <c r="VHL3" s="120"/>
      <c r="VHM3" s="120"/>
      <c r="VHN3" s="120"/>
      <c r="VHO3" s="120"/>
      <c r="VHP3" s="120"/>
      <c r="VHQ3" s="120"/>
      <c r="VHR3" s="120"/>
      <c r="VHS3" s="120"/>
      <c r="VHT3" s="120"/>
      <c r="VHU3" s="120"/>
      <c r="VHV3" s="120"/>
      <c r="VHW3" s="120"/>
      <c r="VHX3" s="120"/>
      <c r="VHY3" s="120"/>
      <c r="VHZ3" s="120"/>
      <c r="VIA3" s="120"/>
      <c r="VIB3" s="120"/>
      <c r="VIC3" s="120"/>
      <c r="VID3" s="120"/>
      <c r="VIE3" s="120"/>
      <c r="VIF3" s="120"/>
      <c r="VIG3" s="120"/>
      <c r="VIH3" s="120"/>
      <c r="VII3" s="120"/>
      <c r="VIJ3" s="120"/>
      <c r="VIK3" s="120"/>
      <c r="VIL3" s="120"/>
      <c r="VIM3" s="120"/>
      <c r="VIN3" s="120"/>
      <c r="VIO3" s="120"/>
      <c r="VIP3" s="120"/>
      <c r="VIQ3" s="120"/>
      <c r="VIR3" s="120"/>
      <c r="VIS3" s="120"/>
      <c r="VIT3" s="120"/>
      <c r="VIU3" s="120"/>
      <c r="VIV3" s="120"/>
      <c r="VIW3" s="120"/>
      <c r="VIX3" s="120"/>
      <c r="VIY3" s="120"/>
      <c r="VIZ3" s="120"/>
      <c r="VJA3" s="120"/>
      <c r="VJB3" s="120"/>
      <c r="VJC3" s="120"/>
      <c r="VJD3" s="120"/>
      <c r="VJE3" s="120"/>
      <c r="VJF3" s="120"/>
      <c r="VJG3" s="120"/>
      <c r="VJH3" s="120"/>
      <c r="VJI3" s="120"/>
      <c r="VJJ3" s="120"/>
      <c r="VJK3" s="120"/>
      <c r="VJL3" s="120"/>
      <c r="VJM3" s="120"/>
      <c r="VJN3" s="120"/>
      <c r="VJO3" s="120"/>
      <c r="VJP3" s="120"/>
      <c r="VJQ3" s="120"/>
      <c r="VJR3" s="120"/>
      <c r="VJS3" s="120"/>
      <c r="VJT3" s="120"/>
      <c r="VJU3" s="120"/>
      <c r="VJV3" s="120"/>
      <c r="VJW3" s="120"/>
      <c r="VJX3" s="120"/>
      <c r="VJY3" s="120"/>
      <c r="VJZ3" s="120"/>
      <c r="VKA3" s="120"/>
      <c r="VKB3" s="120"/>
      <c r="VKC3" s="120"/>
      <c r="VKD3" s="120"/>
      <c r="VKE3" s="120"/>
      <c r="VKF3" s="120"/>
      <c r="VKG3" s="120"/>
      <c r="VKH3" s="120"/>
      <c r="VKI3" s="120"/>
      <c r="VKJ3" s="120"/>
      <c r="VKK3" s="120"/>
      <c r="VKL3" s="120"/>
      <c r="VKM3" s="120"/>
      <c r="VKN3" s="120"/>
      <c r="VKO3" s="120"/>
      <c r="VKP3" s="120"/>
      <c r="VKQ3" s="120"/>
      <c r="VKR3" s="120"/>
      <c r="VKS3" s="120"/>
      <c r="VKT3" s="120"/>
      <c r="VKU3" s="120"/>
      <c r="VKV3" s="120"/>
      <c r="VKW3" s="120"/>
      <c r="VKX3" s="120"/>
      <c r="VKY3" s="120"/>
      <c r="VKZ3" s="120"/>
      <c r="VLA3" s="120"/>
      <c r="VLB3" s="120"/>
      <c r="VLC3" s="120"/>
      <c r="VLD3" s="120"/>
      <c r="VLE3" s="120"/>
      <c r="VLF3" s="120"/>
      <c r="VLG3" s="120"/>
      <c r="VLH3" s="120"/>
      <c r="VLI3" s="120"/>
      <c r="VLJ3" s="120"/>
      <c r="VLK3" s="120"/>
      <c r="VLL3" s="120"/>
      <c r="VLM3" s="120"/>
      <c r="VLN3" s="120"/>
      <c r="VLO3" s="120"/>
      <c r="VLP3" s="120"/>
      <c r="VLQ3" s="120"/>
      <c r="VLR3" s="120"/>
      <c r="VLS3" s="120"/>
      <c r="VLT3" s="120"/>
      <c r="VLU3" s="120"/>
      <c r="VLV3" s="120"/>
      <c r="VLW3" s="120"/>
      <c r="VLX3" s="120"/>
      <c r="VLY3" s="120"/>
      <c r="VLZ3" s="120"/>
      <c r="VMA3" s="120"/>
      <c r="VMB3" s="120"/>
      <c r="VMC3" s="120"/>
      <c r="VMD3" s="120"/>
      <c r="VME3" s="120"/>
      <c r="VMF3" s="120"/>
      <c r="VMG3" s="120"/>
      <c r="VMH3" s="120"/>
      <c r="VMI3" s="120"/>
      <c r="VMJ3" s="120"/>
      <c r="VMK3" s="120"/>
      <c r="VML3" s="120"/>
      <c r="VMM3" s="120"/>
      <c r="VMN3" s="120"/>
      <c r="VMO3" s="120"/>
      <c r="VMP3" s="120"/>
      <c r="VMQ3" s="120"/>
      <c r="VMR3" s="120"/>
      <c r="VMS3" s="120"/>
      <c r="VMT3" s="120"/>
      <c r="VMU3" s="120"/>
      <c r="VMV3" s="120"/>
      <c r="VMW3" s="120"/>
      <c r="VMX3" s="120"/>
      <c r="VMY3" s="120"/>
      <c r="VMZ3" s="120"/>
      <c r="VNA3" s="120"/>
      <c r="VNB3" s="120"/>
      <c r="VNC3" s="120"/>
      <c r="VND3" s="120"/>
      <c r="VNE3" s="120"/>
      <c r="VNF3" s="120"/>
      <c r="VNG3" s="120"/>
      <c r="VNH3" s="120"/>
      <c r="VNI3" s="120"/>
      <c r="VNJ3" s="120"/>
      <c r="VNK3" s="120"/>
      <c r="VNL3" s="120"/>
      <c r="VNM3" s="120"/>
      <c r="VNN3" s="120"/>
      <c r="VNO3" s="120"/>
      <c r="VNP3" s="120"/>
      <c r="VNQ3" s="120"/>
      <c r="VNR3" s="120"/>
      <c r="VNS3" s="120"/>
      <c r="VNT3" s="120"/>
      <c r="VNU3" s="120"/>
      <c r="VNV3" s="120"/>
      <c r="VNW3" s="120"/>
      <c r="VNX3" s="120"/>
      <c r="VNY3" s="120"/>
      <c r="VNZ3" s="120"/>
      <c r="VOA3" s="120"/>
      <c r="VOB3" s="120"/>
      <c r="VOC3" s="120"/>
      <c r="VOD3" s="120"/>
      <c r="VOE3" s="120"/>
      <c r="VOF3" s="120"/>
      <c r="VOG3" s="120"/>
      <c r="VOH3" s="120"/>
      <c r="VOI3" s="120"/>
      <c r="VOJ3" s="120"/>
      <c r="VOK3" s="120"/>
      <c r="VOL3" s="120"/>
      <c r="VOM3" s="120"/>
      <c r="VON3" s="120"/>
      <c r="VOO3" s="120"/>
      <c r="VOP3" s="120"/>
      <c r="VOQ3" s="120"/>
      <c r="VOR3" s="120"/>
      <c r="VOS3" s="120"/>
      <c r="VOT3" s="120"/>
      <c r="VOU3" s="120"/>
      <c r="VOV3" s="120"/>
      <c r="VOW3" s="120"/>
      <c r="VOX3" s="120"/>
      <c r="VOY3" s="120"/>
      <c r="VOZ3" s="120"/>
      <c r="VPA3" s="120"/>
      <c r="VPB3" s="120"/>
      <c r="VPC3" s="120"/>
      <c r="VPD3" s="120"/>
      <c r="VPE3" s="120"/>
      <c r="VPF3" s="120"/>
      <c r="VPG3" s="120"/>
      <c r="VPH3" s="120"/>
      <c r="VPI3" s="120"/>
      <c r="VPJ3" s="120"/>
      <c r="VPK3" s="120"/>
      <c r="VPL3" s="120"/>
      <c r="VPM3" s="120"/>
      <c r="VPN3" s="120"/>
      <c r="VPO3" s="120"/>
      <c r="VPP3" s="120"/>
      <c r="VPQ3" s="120"/>
      <c r="VPR3" s="120"/>
      <c r="VPS3" s="120"/>
      <c r="VPT3" s="120"/>
      <c r="VPU3" s="120"/>
      <c r="VPV3" s="120"/>
      <c r="VPW3" s="120"/>
      <c r="VPX3" s="120"/>
      <c r="VPY3" s="120"/>
      <c r="VPZ3" s="120"/>
      <c r="VQA3" s="120"/>
      <c r="VQB3" s="120"/>
      <c r="VQC3" s="120"/>
      <c r="VQD3" s="120"/>
      <c r="VQE3" s="120"/>
      <c r="VQF3" s="120"/>
      <c r="VQG3" s="120"/>
      <c r="VQH3" s="120"/>
      <c r="VQI3" s="120"/>
      <c r="VQJ3" s="120"/>
      <c r="VQK3" s="120"/>
      <c r="VQL3" s="120"/>
      <c r="VQM3" s="120"/>
      <c r="VQN3" s="120"/>
      <c r="VQO3" s="120"/>
      <c r="VQP3" s="120"/>
      <c r="VQQ3" s="120"/>
      <c r="VQR3" s="120"/>
      <c r="VQS3" s="120"/>
      <c r="VQT3" s="120"/>
      <c r="VQU3" s="120"/>
      <c r="VQV3" s="120"/>
      <c r="VQW3" s="120"/>
      <c r="VQX3" s="120"/>
      <c r="VQY3" s="120"/>
      <c r="VQZ3" s="120"/>
      <c r="VRA3" s="120"/>
      <c r="VRB3" s="120"/>
      <c r="VRC3" s="120"/>
      <c r="VRD3" s="120"/>
      <c r="VRE3" s="120"/>
      <c r="VRF3" s="120"/>
      <c r="VRG3" s="120"/>
      <c r="VRH3" s="120"/>
      <c r="VRI3" s="120"/>
      <c r="VRJ3" s="120"/>
      <c r="VRK3" s="120"/>
      <c r="VRL3" s="120"/>
      <c r="VRM3" s="120"/>
      <c r="VRN3" s="120"/>
      <c r="VRO3" s="120"/>
      <c r="VRP3" s="120"/>
      <c r="VRQ3" s="120"/>
      <c r="VRR3" s="120"/>
      <c r="VRS3" s="120"/>
      <c r="VRT3" s="120"/>
      <c r="VRU3" s="120"/>
      <c r="VRV3" s="120"/>
      <c r="VRW3" s="120"/>
      <c r="VRX3" s="120"/>
      <c r="VRY3" s="120"/>
      <c r="VRZ3" s="120"/>
      <c r="VSA3" s="120"/>
      <c r="VSB3" s="120"/>
      <c r="VSC3" s="120"/>
      <c r="VSD3" s="120"/>
      <c r="VSE3" s="120"/>
      <c r="VSF3" s="120"/>
      <c r="VSG3" s="120"/>
      <c r="VSH3" s="120"/>
      <c r="VSI3" s="120"/>
      <c r="VSJ3" s="120"/>
      <c r="VSK3" s="120"/>
      <c r="VSL3" s="120"/>
      <c r="VSM3" s="120"/>
      <c r="VSN3" s="120"/>
      <c r="VSO3" s="120"/>
      <c r="VSP3" s="120"/>
      <c r="VSQ3" s="120"/>
      <c r="VSR3" s="120"/>
      <c r="VSS3" s="120"/>
      <c r="VST3" s="120"/>
      <c r="VSU3" s="120"/>
      <c r="VSV3" s="120"/>
      <c r="VSW3" s="120"/>
      <c r="VSX3" s="120"/>
      <c r="VSY3" s="120"/>
      <c r="VSZ3" s="120"/>
      <c r="VTA3" s="120"/>
      <c r="VTB3" s="120"/>
      <c r="VTC3" s="120"/>
      <c r="VTD3" s="120"/>
      <c r="VTE3" s="120"/>
      <c r="VTF3" s="120"/>
      <c r="VTG3" s="120"/>
      <c r="VTH3" s="120"/>
      <c r="VTI3" s="120"/>
      <c r="VTJ3" s="120"/>
      <c r="VTK3" s="120"/>
      <c r="VTL3" s="120"/>
      <c r="VTM3" s="120"/>
      <c r="VTN3" s="120"/>
      <c r="VTO3" s="120"/>
      <c r="VTP3" s="120"/>
      <c r="VTQ3" s="120"/>
      <c r="VTR3" s="120"/>
      <c r="VTS3" s="120"/>
      <c r="VTT3" s="120"/>
      <c r="VTU3" s="120"/>
      <c r="VTV3" s="120"/>
      <c r="VTW3" s="120"/>
      <c r="VTX3" s="120"/>
      <c r="VTY3" s="120"/>
      <c r="VTZ3" s="120"/>
      <c r="VUA3" s="120"/>
      <c r="VUB3" s="120"/>
      <c r="VUC3" s="120"/>
      <c r="VUD3" s="120"/>
      <c r="VUE3" s="120"/>
      <c r="VUF3" s="120"/>
      <c r="VUG3" s="120"/>
      <c r="VUH3" s="120"/>
      <c r="VUI3" s="120"/>
      <c r="VUJ3" s="120"/>
      <c r="VUK3" s="120"/>
      <c r="VUL3" s="120"/>
      <c r="VUM3" s="120"/>
      <c r="VUN3" s="120"/>
      <c r="VUO3" s="120"/>
      <c r="VUP3" s="120"/>
      <c r="VUQ3" s="120"/>
      <c r="VUR3" s="120"/>
      <c r="VUS3" s="120"/>
      <c r="VUT3" s="120"/>
      <c r="VUU3" s="120"/>
      <c r="VUV3" s="120"/>
      <c r="VUW3" s="120"/>
      <c r="VUX3" s="120"/>
      <c r="VUY3" s="120"/>
      <c r="VUZ3" s="120"/>
      <c r="VVA3" s="120"/>
      <c r="VVB3" s="120"/>
      <c r="VVC3" s="120"/>
      <c r="VVD3" s="120"/>
      <c r="VVE3" s="120"/>
      <c r="VVF3" s="120"/>
      <c r="VVG3" s="120"/>
      <c r="VVH3" s="120"/>
      <c r="VVI3" s="120"/>
      <c r="VVJ3" s="120"/>
      <c r="VVK3" s="120"/>
      <c r="VVL3" s="120"/>
      <c r="VVM3" s="120"/>
      <c r="VVN3" s="120"/>
      <c r="VVO3" s="120"/>
      <c r="VVP3" s="120"/>
      <c r="VVQ3" s="120"/>
      <c r="VVR3" s="120"/>
      <c r="VVS3" s="120"/>
      <c r="VVT3" s="120"/>
      <c r="VVU3" s="120"/>
      <c r="VVV3" s="120"/>
      <c r="VVW3" s="120"/>
      <c r="VVX3" s="120"/>
      <c r="VVY3" s="120"/>
      <c r="VVZ3" s="120"/>
      <c r="VWA3" s="120"/>
      <c r="VWB3" s="120"/>
      <c r="VWC3" s="120"/>
      <c r="VWD3" s="120"/>
      <c r="VWE3" s="120"/>
      <c r="VWF3" s="120"/>
      <c r="VWG3" s="120"/>
      <c r="VWH3" s="120"/>
      <c r="VWI3" s="120"/>
      <c r="VWJ3" s="120"/>
      <c r="VWK3" s="120"/>
      <c r="VWL3" s="120"/>
      <c r="VWM3" s="120"/>
      <c r="VWN3" s="120"/>
      <c r="VWO3" s="120"/>
      <c r="VWP3" s="120"/>
      <c r="VWQ3" s="120"/>
      <c r="VWR3" s="120"/>
      <c r="VWS3" s="120"/>
      <c r="VWT3" s="120"/>
      <c r="VWU3" s="120"/>
      <c r="VWV3" s="120"/>
      <c r="VWW3" s="120"/>
      <c r="VWX3" s="120"/>
      <c r="VWY3" s="120"/>
      <c r="VWZ3" s="120"/>
      <c r="VXA3" s="120"/>
      <c r="VXB3" s="120"/>
      <c r="VXC3" s="120"/>
      <c r="VXD3" s="120"/>
      <c r="VXE3" s="120"/>
      <c r="VXF3" s="120"/>
      <c r="VXG3" s="120"/>
      <c r="VXH3" s="120"/>
      <c r="VXI3" s="120"/>
      <c r="VXJ3" s="120"/>
      <c r="VXK3" s="120"/>
      <c r="VXL3" s="120"/>
      <c r="VXM3" s="120"/>
      <c r="VXN3" s="120"/>
      <c r="VXO3" s="120"/>
      <c r="VXP3" s="120"/>
      <c r="VXQ3" s="120"/>
      <c r="VXR3" s="120"/>
      <c r="VXS3" s="120"/>
      <c r="VXT3" s="120"/>
      <c r="VXU3" s="120"/>
      <c r="VXV3" s="120"/>
      <c r="VXW3" s="120"/>
      <c r="VXX3" s="120"/>
      <c r="VXY3" s="120"/>
      <c r="VXZ3" s="120"/>
      <c r="VYA3" s="120"/>
      <c r="VYB3" s="120"/>
      <c r="VYC3" s="120"/>
      <c r="VYD3" s="120"/>
      <c r="VYE3" s="120"/>
      <c r="VYF3" s="120"/>
      <c r="VYG3" s="120"/>
      <c r="VYH3" s="120"/>
      <c r="VYI3" s="120"/>
      <c r="VYJ3" s="120"/>
      <c r="VYK3" s="120"/>
      <c r="VYL3" s="120"/>
      <c r="VYM3" s="120"/>
      <c r="VYN3" s="120"/>
      <c r="VYO3" s="120"/>
      <c r="VYP3" s="120"/>
      <c r="VYQ3" s="120"/>
      <c r="VYR3" s="120"/>
      <c r="VYS3" s="120"/>
      <c r="VYT3" s="120"/>
      <c r="VYU3" s="120"/>
      <c r="VYV3" s="120"/>
      <c r="VYW3" s="120"/>
      <c r="VYX3" s="120"/>
      <c r="VYY3" s="120"/>
      <c r="VYZ3" s="120"/>
      <c r="VZA3" s="120"/>
      <c r="VZB3" s="120"/>
      <c r="VZC3" s="120"/>
      <c r="VZD3" s="120"/>
      <c r="VZE3" s="120"/>
      <c r="VZF3" s="120"/>
      <c r="VZG3" s="120"/>
      <c r="VZH3" s="120"/>
      <c r="VZI3" s="120"/>
      <c r="VZJ3" s="120"/>
      <c r="VZK3" s="120"/>
      <c r="VZL3" s="120"/>
      <c r="VZM3" s="120"/>
      <c r="VZN3" s="120"/>
      <c r="VZO3" s="120"/>
      <c r="VZP3" s="120"/>
      <c r="VZQ3" s="120"/>
      <c r="VZR3" s="120"/>
      <c r="VZS3" s="120"/>
      <c r="VZT3" s="120"/>
      <c r="VZU3" s="120"/>
      <c r="VZV3" s="120"/>
      <c r="VZW3" s="120"/>
      <c r="VZX3" s="120"/>
      <c r="VZY3" s="120"/>
      <c r="VZZ3" s="120"/>
      <c r="WAA3" s="120"/>
      <c r="WAB3" s="120"/>
      <c r="WAC3" s="120"/>
      <c r="WAD3" s="120"/>
      <c r="WAE3" s="120"/>
      <c r="WAF3" s="120"/>
      <c r="WAG3" s="120"/>
      <c r="WAH3" s="120"/>
      <c r="WAI3" s="120"/>
      <c r="WAJ3" s="120"/>
      <c r="WAK3" s="120"/>
      <c r="WAL3" s="120"/>
      <c r="WAM3" s="120"/>
      <c r="WAN3" s="120"/>
      <c r="WAO3" s="120"/>
      <c r="WAP3" s="120"/>
      <c r="WAQ3" s="120"/>
      <c r="WAR3" s="120"/>
      <c r="WAS3" s="120"/>
      <c r="WAT3" s="120"/>
      <c r="WAU3" s="120"/>
      <c r="WAV3" s="120"/>
      <c r="WAW3" s="120"/>
      <c r="WAX3" s="120"/>
      <c r="WAY3" s="120"/>
      <c r="WAZ3" s="120"/>
      <c r="WBA3" s="120"/>
      <c r="WBB3" s="120"/>
      <c r="WBC3" s="120"/>
      <c r="WBD3" s="120"/>
      <c r="WBE3" s="120"/>
      <c r="WBF3" s="120"/>
      <c r="WBG3" s="120"/>
      <c r="WBH3" s="120"/>
      <c r="WBI3" s="120"/>
      <c r="WBJ3" s="120"/>
      <c r="WBK3" s="120"/>
      <c r="WBL3" s="120"/>
      <c r="WBM3" s="120"/>
      <c r="WBN3" s="120"/>
      <c r="WBO3" s="120"/>
      <c r="WBP3" s="120"/>
      <c r="WBQ3" s="120"/>
      <c r="WBR3" s="120"/>
      <c r="WBS3" s="120"/>
      <c r="WBT3" s="120"/>
      <c r="WBU3" s="120"/>
      <c r="WBV3" s="120"/>
      <c r="WBW3" s="120"/>
      <c r="WBX3" s="120"/>
      <c r="WBY3" s="120"/>
      <c r="WBZ3" s="120"/>
      <c r="WCA3" s="120"/>
      <c r="WCB3" s="120"/>
      <c r="WCC3" s="120"/>
      <c r="WCD3" s="120"/>
      <c r="WCE3" s="120"/>
      <c r="WCF3" s="120"/>
      <c r="WCG3" s="120"/>
      <c r="WCH3" s="120"/>
      <c r="WCI3" s="120"/>
      <c r="WCJ3" s="120"/>
      <c r="WCK3" s="120"/>
      <c r="WCL3" s="120"/>
      <c r="WCM3" s="120"/>
      <c r="WCN3" s="120"/>
      <c r="WCO3" s="120"/>
      <c r="WCP3" s="120"/>
      <c r="WCQ3" s="120"/>
      <c r="WCR3" s="120"/>
      <c r="WCS3" s="120"/>
      <c r="WCT3" s="120"/>
      <c r="WCU3" s="120"/>
      <c r="WCV3" s="120"/>
      <c r="WCW3" s="120"/>
      <c r="WCX3" s="120"/>
      <c r="WCY3" s="120"/>
      <c r="WCZ3" s="120"/>
      <c r="WDA3" s="120"/>
      <c r="WDB3" s="120"/>
      <c r="WDC3" s="120"/>
      <c r="WDD3" s="120"/>
      <c r="WDE3" s="120"/>
      <c r="WDF3" s="120"/>
      <c r="WDG3" s="120"/>
      <c r="WDH3" s="120"/>
      <c r="WDI3" s="120"/>
      <c r="WDJ3" s="120"/>
      <c r="WDK3" s="120"/>
      <c r="WDL3" s="120"/>
      <c r="WDM3" s="120"/>
      <c r="WDN3" s="120"/>
      <c r="WDO3" s="120"/>
      <c r="WDP3" s="120"/>
      <c r="WDQ3" s="120"/>
      <c r="WDR3" s="120"/>
      <c r="WDS3" s="120"/>
      <c r="WDT3" s="120"/>
      <c r="WDU3" s="120"/>
      <c r="WDV3" s="120"/>
      <c r="WDW3" s="120"/>
      <c r="WDX3" s="120"/>
      <c r="WDY3" s="120"/>
      <c r="WDZ3" s="120"/>
      <c r="WEA3" s="120"/>
      <c r="WEB3" s="120"/>
      <c r="WEC3" s="120"/>
      <c r="WED3" s="120"/>
      <c r="WEE3" s="120"/>
      <c r="WEF3" s="120"/>
      <c r="WEG3" s="120"/>
      <c r="WEH3" s="120"/>
      <c r="WEI3" s="120"/>
      <c r="WEJ3" s="120"/>
      <c r="WEK3" s="120"/>
      <c r="WEL3" s="120"/>
      <c r="WEM3" s="120"/>
      <c r="WEN3" s="120"/>
      <c r="WEO3" s="120"/>
      <c r="WEP3" s="120"/>
      <c r="WEQ3" s="120"/>
      <c r="WER3" s="120"/>
      <c r="WES3" s="120"/>
      <c r="WET3" s="120"/>
      <c r="WEU3" s="120"/>
      <c r="WEV3" s="120"/>
      <c r="WEW3" s="120"/>
      <c r="WEX3" s="120"/>
      <c r="WEY3" s="120"/>
      <c r="WEZ3" s="120"/>
      <c r="WFA3" s="120"/>
      <c r="WFB3" s="120"/>
      <c r="WFC3" s="120"/>
      <c r="WFD3" s="120"/>
      <c r="WFE3" s="120"/>
      <c r="WFF3" s="120"/>
      <c r="WFG3" s="120"/>
      <c r="WFH3" s="120"/>
      <c r="WFI3" s="120"/>
      <c r="WFJ3" s="120"/>
      <c r="WFK3" s="120"/>
      <c r="WFL3" s="120"/>
      <c r="WFM3" s="120"/>
      <c r="WFN3" s="120"/>
      <c r="WFO3" s="120"/>
      <c r="WFP3" s="120"/>
      <c r="WFQ3" s="120"/>
      <c r="WFR3" s="120"/>
      <c r="WFS3" s="120"/>
      <c r="WFT3" s="120"/>
      <c r="WFU3" s="120"/>
      <c r="WFV3" s="120"/>
      <c r="WFW3" s="120"/>
      <c r="WFX3" s="120"/>
      <c r="WFY3" s="120"/>
      <c r="WFZ3" s="120"/>
      <c r="WGA3" s="120"/>
      <c r="WGB3" s="120"/>
      <c r="WGC3" s="120"/>
      <c r="WGD3" s="120"/>
      <c r="WGE3" s="120"/>
      <c r="WGF3" s="120"/>
      <c r="WGG3" s="120"/>
      <c r="WGH3" s="120"/>
      <c r="WGI3" s="120"/>
      <c r="WGJ3" s="120"/>
      <c r="WGK3" s="120"/>
      <c r="WGL3" s="120"/>
      <c r="WGM3" s="120"/>
      <c r="WGN3" s="120"/>
      <c r="WGO3" s="120"/>
      <c r="WGP3" s="120"/>
      <c r="WGQ3" s="120"/>
      <c r="WGR3" s="120"/>
      <c r="WGS3" s="120"/>
      <c r="WGT3" s="120"/>
      <c r="WGU3" s="120"/>
      <c r="WGV3" s="120"/>
      <c r="WGW3" s="120"/>
      <c r="WGX3" s="120"/>
      <c r="WGY3" s="120"/>
      <c r="WGZ3" s="120"/>
      <c r="WHA3" s="120"/>
      <c r="WHB3" s="120"/>
      <c r="WHC3" s="120"/>
      <c r="WHD3" s="120"/>
      <c r="WHE3" s="120"/>
      <c r="WHF3" s="120"/>
      <c r="WHG3" s="120"/>
      <c r="WHH3" s="120"/>
      <c r="WHI3" s="120"/>
      <c r="WHJ3" s="120"/>
      <c r="WHK3" s="120"/>
      <c r="WHL3" s="120"/>
      <c r="WHM3" s="120"/>
      <c r="WHN3" s="120"/>
      <c r="WHO3" s="120"/>
      <c r="WHP3" s="120"/>
      <c r="WHQ3" s="120"/>
      <c r="WHR3" s="120"/>
      <c r="WHS3" s="120"/>
      <c r="WHT3" s="120"/>
      <c r="WHU3" s="120"/>
      <c r="WHV3" s="120"/>
      <c r="WHW3" s="120"/>
      <c r="WHX3" s="120"/>
      <c r="WHY3" s="120"/>
      <c r="WHZ3" s="120"/>
      <c r="WIA3" s="120"/>
      <c r="WIB3" s="120"/>
      <c r="WIC3" s="120"/>
      <c r="WID3" s="120"/>
      <c r="WIE3" s="120"/>
      <c r="WIF3" s="120"/>
      <c r="WIG3" s="120"/>
      <c r="WIH3" s="120"/>
      <c r="WII3" s="120"/>
      <c r="WIJ3" s="120"/>
      <c r="WIK3" s="120"/>
      <c r="WIL3" s="120"/>
      <c r="WIM3" s="120"/>
      <c r="WIN3" s="120"/>
      <c r="WIO3" s="120"/>
      <c r="WIP3" s="120"/>
      <c r="WIQ3" s="120"/>
      <c r="WIR3" s="120"/>
      <c r="WIS3" s="120"/>
      <c r="WIT3" s="120"/>
      <c r="WIU3" s="120"/>
      <c r="WIV3" s="120"/>
      <c r="WIW3" s="120"/>
      <c r="WIX3" s="120"/>
      <c r="WIY3" s="120"/>
      <c r="WIZ3" s="120"/>
      <c r="WJA3" s="120"/>
      <c r="WJB3" s="120"/>
      <c r="WJC3" s="120"/>
      <c r="WJD3" s="120"/>
      <c r="WJE3" s="120"/>
      <c r="WJF3" s="120"/>
      <c r="WJG3" s="120"/>
      <c r="WJH3" s="120"/>
      <c r="WJI3" s="120"/>
      <c r="WJJ3" s="120"/>
      <c r="WJK3" s="120"/>
      <c r="WJL3" s="120"/>
      <c r="WJM3" s="120"/>
      <c r="WJN3" s="120"/>
      <c r="WJO3" s="120"/>
      <c r="WJP3" s="120"/>
      <c r="WJQ3" s="120"/>
      <c r="WJR3" s="120"/>
      <c r="WJS3" s="120"/>
      <c r="WJT3" s="120"/>
      <c r="WJU3" s="120"/>
      <c r="WJV3" s="120"/>
      <c r="WJW3" s="120"/>
      <c r="WJX3" s="120"/>
      <c r="WJY3" s="120"/>
      <c r="WJZ3" s="120"/>
      <c r="WKA3" s="120"/>
      <c r="WKB3" s="120"/>
      <c r="WKC3" s="120"/>
      <c r="WKD3" s="120"/>
      <c r="WKE3" s="120"/>
      <c r="WKF3" s="120"/>
      <c r="WKG3" s="120"/>
      <c r="WKH3" s="120"/>
      <c r="WKI3" s="120"/>
      <c r="WKJ3" s="120"/>
      <c r="WKK3" s="120"/>
      <c r="WKL3" s="120"/>
      <c r="WKM3" s="120"/>
      <c r="WKN3" s="120"/>
      <c r="WKO3" s="120"/>
      <c r="WKP3" s="120"/>
      <c r="WKQ3" s="120"/>
      <c r="WKR3" s="120"/>
      <c r="WKS3" s="120"/>
      <c r="WKT3" s="120"/>
      <c r="WKU3" s="120"/>
      <c r="WKV3" s="120"/>
      <c r="WKW3" s="120"/>
      <c r="WKX3" s="120"/>
      <c r="WKY3" s="120"/>
      <c r="WKZ3" s="120"/>
      <c r="WLA3" s="120"/>
      <c r="WLB3" s="120"/>
      <c r="WLC3" s="120"/>
      <c r="WLD3" s="120"/>
      <c r="WLE3" s="120"/>
      <c r="WLF3" s="120"/>
      <c r="WLG3" s="120"/>
      <c r="WLH3" s="120"/>
      <c r="WLI3" s="120"/>
      <c r="WLJ3" s="120"/>
      <c r="WLK3" s="120"/>
      <c r="WLL3" s="120"/>
      <c r="WLM3" s="120"/>
      <c r="WLN3" s="120"/>
      <c r="WLO3" s="120"/>
      <c r="WLP3" s="120"/>
      <c r="WLQ3" s="120"/>
      <c r="WLR3" s="120"/>
      <c r="WLS3" s="120"/>
      <c r="WLT3" s="120"/>
      <c r="WLU3" s="120"/>
      <c r="WLV3" s="120"/>
      <c r="WLW3" s="120"/>
      <c r="WLX3" s="120"/>
      <c r="WLY3" s="120"/>
      <c r="WLZ3" s="120"/>
      <c r="WMA3" s="120"/>
      <c r="WMB3" s="120"/>
      <c r="WMC3" s="120"/>
      <c r="WMD3" s="120"/>
      <c r="WME3" s="120"/>
      <c r="WMF3" s="120"/>
      <c r="WMG3" s="120"/>
      <c r="WMH3" s="120"/>
      <c r="WMI3" s="120"/>
      <c r="WMJ3" s="120"/>
      <c r="WMK3" s="120"/>
      <c r="WML3" s="120"/>
      <c r="WMM3" s="120"/>
      <c r="WMN3" s="120"/>
      <c r="WMO3" s="120"/>
      <c r="WMP3" s="120"/>
      <c r="WMQ3" s="120"/>
      <c r="WMR3" s="120"/>
      <c r="WMS3" s="120"/>
      <c r="WMT3" s="120"/>
      <c r="WMU3" s="120"/>
      <c r="WMV3" s="120"/>
      <c r="WMW3" s="120"/>
      <c r="WMX3" s="120"/>
      <c r="WMY3" s="120"/>
      <c r="WMZ3" s="120"/>
      <c r="WNA3" s="120"/>
      <c r="WNB3" s="120"/>
      <c r="WNC3" s="120"/>
      <c r="WND3" s="120"/>
      <c r="WNE3" s="120"/>
      <c r="WNF3" s="120"/>
      <c r="WNG3" s="120"/>
      <c r="WNH3" s="120"/>
      <c r="WNI3" s="120"/>
      <c r="WNJ3" s="120"/>
      <c r="WNK3" s="120"/>
      <c r="WNL3" s="120"/>
      <c r="WNM3" s="120"/>
      <c r="WNN3" s="120"/>
      <c r="WNO3" s="120"/>
      <c r="WNP3" s="120"/>
      <c r="WNQ3" s="120"/>
      <c r="WNR3" s="120"/>
      <c r="WNS3" s="120"/>
      <c r="WNT3" s="120"/>
      <c r="WNU3" s="120"/>
      <c r="WNV3" s="120"/>
      <c r="WNW3" s="120"/>
      <c r="WNX3" s="120"/>
      <c r="WNY3" s="120"/>
      <c r="WNZ3" s="120"/>
      <c r="WOA3" s="120"/>
      <c r="WOB3" s="120"/>
      <c r="WOC3" s="120"/>
      <c r="WOD3" s="120"/>
      <c r="WOE3" s="120"/>
      <c r="WOF3" s="120"/>
      <c r="WOG3" s="120"/>
      <c r="WOH3" s="120"/>
      <c r="WOI3" s="120"/>
      <c r="WOJ3" s="120"/>
      <c r="WOK3" s="120"/>
      <c r="WOL3" s="120"/>
      <c r="WOM3" s="120"/>
      <c r="WON3" s="120"/>
      <c r="WOO3" s="120"/>
      <c r="WOP3" s="120"/>
      <c r="WOQ3" s="120"/>
      <c r="WOR3" s="120"/>
      <c r="WOS3" s="120"/>
      <c r="WOT3" s="120"/>
      <c r="WOU3" s="120"/>
      <c r="WOV3" s="120"/>
      <c r="WOW3" s="120"/>
      <c r="WOX3" s="120"/>
      <c r="WOY3" s="120"/>
      <c r="WOZ3" s="120"/>
      <c r="WPA3" s="120"/>
      <c r="WPB3" s="120"/>
      <c r="WPC3" s="120"/>
      <c r="WPD3" s="120"/>
      <c r="WPE3" s="120"/>
      <c r="WPF3" s="120"/>
      <c r="WPG3" s="120"/>
      <c r="WPH3" s="120"/>
      <c r="WPI3" s="120"/>
      <c r="WPJ3" s="120"/>
      <c r="WPK3" s="120"/>
      <c r="WPL3" s="120"/>
      <c r="WPM3" s="120"/>
      <c r="WPN3" s="120"/>
      <c r="WPO3" s="120"/>
      <c r="WPP3" s="120"/>
      <c r="WPQ3" s="120"/>
      <c r="WPR3" s="120"/>
      <c r="WPS3" s="120"/>
      <c r="WPT3" s="120"/>
      <c r="WPU3" s="120"/>
      <c r="WPV3" s="120"/>
      <c r="WPW3" s="120"/>
      <c r="WPX3" s="120"/>
      <c r="WPY3" s="120"/>
      <c r="WPZ3" s="120"/>
      <c r="WQA3" s="120"/>
      <c r="WQB3" s="120"/>
      <c r="WQC3" s="120"/>
      <c r="WQD3" s="120"/>
      <c r="WQE3" s="120"/>
      <c r="WQF3" s="120"/>
      <c r="WQG3" s="120"/>
      <c r="WQH3" s="120"/>
      <c r="WQI3" s="120"/>
      <c r="WQJ3" s="120"/>
      <c r="WQK3" s="120"/>
      <c r="WQL3" s="120"/>
      <c r="WQM3" s="120"/>
      <c r="WQN3" s="120"/>
      <c r="WQO3" s="120"/>
      <c r="WQP3" s="120"/>
      <c r="WQQ3" s="120"/>
      <c r="WQR3" s="120"/>
      <c r="WQS3" s="120"/>
      <c r="WQT3" s="120"/>
      <c r="WQU3" s="120"/>
      <c r="WQV3" s="120"/>
      <c r="WQW3" s="120"/>
      <c r="WQX3" s="120"/>
      <c r="WQY3" s="120"/>
      <c r="WQZ3" s="120"/>
      <c r="WRA3" s="120"/>
      <c r="WRB3" s="120"/>
      <c r="WRC3" s="120"/>
      <c r="WRD3" s="120"/>
      <c r="WRE3" s="120"/>
      <c r="WRF3" s="120"/>
      <c r="WRG3" s="120"/>
      <c r="WRH3" s="120"/>
      <c r="WRI3" s="120"/>
      <c r="WRJ3" s="120"/>
      <c r="WRK3" s="120"/>
      <c r="WRL3" s="120"/>
      <c r="WRM3" s="120"/>
      <c r="WRN3" s="120"/>
      <c r="WRO3" s="120"/>
      <c r="WRP3" s="120"/>
      <c r="WRQ3" s="120"/>
      <c r="WRR3" s="120"/>
      <c r="WRS3" s="120"/>
      <c r="WRT3" s="120"/>
      <c r="WRU3" s="120"/>
      <c r="WRV3" s="120"/>
      <c r="WRW3" s="120"/>
      <c r="WRX3" s="120"/>
      <c r="WRY3" s="120"/>
      <c r="WRZ3" s="120"/>
      <c r="WSA3" s="120"/>
      <c r="WSB3" s="120"/>
      <c r="WSC3" s="120"/>
      <c r="WSD3" s="120"/>
      <c r="WSE3" s="120"/>
      <c r="WSF3" s="120"/>
      <c r="WSG3" s="120"/>
      <c r="WSH3" s="120"/>
      <c r="WSI3" s="120"/>
      <c r="WSJ3" s="120"/>
      <c r="WSK3" s="120"/>
      <c r="WSL3" s="120"/>
      <c r="WSM3" s="120"/>
      <c r="WSN3" s="120"/>
      <c r="WSO3" s="120"/>
      <c r="WSP3" s="120"/>
      <c r="WSQ3" s="120"/>
      <c r="WSR3" s="120"/>
      <c r="WSS3" s="120"/>
      <c r="WST3" s="120"/>
      <c r="WSU3" s="120"/>
      <c r="WSV3" s="120"/>
      <c r="WSW3" s="120"/>
      <c r="WSX3" s="120"/>
      <c r="WSY3" s="120"/>
      <c r="WSZ3" s="120"/>
      <c r="WTA3" s="120"/>
      <c r="WTB3" s="120"/>
      <c r="WTC3" s="120"/>
      <c r="WTD3" s="120"/>
      <c r="WTE3" s="120"/>
      <c r="WTF3" s="120"/>
      <c r="WTG3" s="120"/>
      <c r="WTH3" s="120"/>
      <c r="WTI3" s="120"/>
      <c r="WTJ3" s="120"/>
      <c r="WTK3" s="120"/>
      <c r="WTL3" s="120"/>
      <c r="WTM3" s="120"/>
      <c r="WTN3" s="120"/>
      <c r="WTO3" s="120"/>
      <c r="WTP3" s="120"/>
      <c r="WTQ3" s="120"/>
      <c r="WTR3" s="120"/>
      <c r="WTS3" s="120"/>
      <c r="WTT3" s="120"/>
      <c r="WTU3" s="120"/>
      <c r="WTV3" s="120"/>
      <c r="WTW3" s="120"/>
      <c r="WTX3" s="120"/>
      <c r="WTY3" s="120"/>
      <c r="WTZ3" s="120"/>
      <c r="WUA3" s="120"/>
      <c r="WUB3" s="120"/>
      <c r="WUC3" s="120"/>
      <c r="WUD3" s="120"/>
      <c r="WUE3" s="120"/>
      <c r="WUF3" s="120"/>
      <c r="WUG3" s="120"/>
      <c r="WUH3" s="120"/>
      <c r="WUI3" s="120"/>
      <c r="WUJ3" s="120"/>
      <c r="WUK3" s="120"/>
      <c r="WUL3" s="120"/>
      <c r="WUM3" s="120"/>
      <c r="WUN3" s="120"/>
      <c r="WUO3" s="120"/>
      <c r="WUP3" s="120"/>
      <c r="WUQ3" s="120"/>
      <c r="WUR3" s="120"/>
      <c r="WUS3" s="120"/>
      <c r="WUT3" s="120"/>
      <c r="WUU3" s="120"/>
      <c r="WUV3" s="120"/>
      <c r="WUW3" s="120"/>
      <c r="WUX3" s="120"/>
      <c r="WUY3" s="120"/>
      <c r="WUZ3" s="120"/>
      <c r="WVA3" s="120"/>
      <c r="WVB3" s="120"/>
      <c r="WVC3" s="120"/>
      <c r="WVD3" s="120"/>
      <c r="WVE3" s="120"/>
      <c r="WVF3" s="120"/>
      <c r="WVG3" s="120"/>
      <c r="WVH3" s="120"/>
      <c r="WVI3" s="120"/>
      <c r="WVJ3" s="120"/>
      <c r="WVK3" s="120"/>
      <c r="WVL3" s="120"/>
      <c r="WVM3" s="120"/>
      <c r="WVN3" s="120"/>
      <c r="WVO3" s="120"/>
      <c r="WVP3" s="120"/>
      <c r="WVQ3" s="120"/>
      <c r="WVR3" s="120"/>
      <c r="WVS3" s="120"/>
      <c r="WVT3" s="120"/>
      <c r="WVU3" s="120"/>
      <c r="WVV3" s="120"/>
      <c r="WVW3" s="120"/>
      <c r="WVX3" s="120"/>
      <c r="WVY3" s="120"/>
      <c r="WVZ3" s="120"/>
      <c r="WWA3" s="120"/>
      <c r="WWB3" s="120"/>
      <c r="WWC3" s="120"/>
      <c r="WWD3" s="120"/>
      <c r="WWE3" s="120"/>
      <c r="WWF3" s="120"/>
      <c r="WWG3" s="120"/>
      <c r="WWH3" s="120"/>
      <c r="WWI3" s="120"/>
      <c r="WWJ3" s="120"/>
      <c r="WWK3" s="120"/>
      <c r="WWL3" s="120"/>
      <c r="WWM3" s="120"/>
      <c r="WWN3" s="120"/>
      <c r="WWO3" s="120"/>
      <c r="WWP3" s="120"/>
      <c r="WWQ3" s="120"/>
      <c r="WWR3" s="120"/>
      <c r="WWS3" s="120"/>
      <c r="WWT3" s="120"/>
      <c r="WWU3" s="120"/>
      <c r="WWV3" s="120"/>
      <c r="WWW3" s="120"/>
      <c r="WWX3" s="120"/>
      <c r="WWY3" s="120"/>
      <c r="WWZ3" s="120"/>
      <c r="WXA3" s="120"/>
      <c r="WXB3" s="120"/>
      <c r="WXC3" s="120"/>
      <c r="WXD3" s="120"/>
      <c r="WXE3" s="120"/>
      <c r="WXF3" s="120"/>
      <c r="WXG3" s="120"/>
      <c r="WXH3" s="120"/>
      <c r="WXI3" s="120"/>
      <c r="WXJ3" s="120"/>
      <c r="WXK3" s="120"/>
      <c r="WXL3" s="120"/>
      <c r="WXM3" s="120"/>
      <c r="WXN3" s="120"/>
      <c r="WXO3" s="120"/>
      <c r="WXP3" s="120"/>
      <c r="WXQ3" s="120"/>
      <c r="WXR3" s="120"/>
      <c r="WXS3" s="120"/>
      <c r="WXT3" s="120"/>
      <c r="WXU3" s="120"/>
      <c r="WXV3" s="120"/>
      <c r="WXW3" s="120"/>
      <c r="WXX3" s="120"/>
      <c r="WXY3" s="120"/>
      <c r="WXZ3" s="120"/>
      <c r="WYA3" s="120"/>
      <c r="WYB3" s="120"/>
      <c r="WYC3" s="120"/>
      <c r="WYD3" s="120"/>
      <c r="WYE3" s="120"/>
      <c r="WYF3" s="120"/>
      <c r="WYG3" s="120"/>
      <c r="WYH3" s="120"/>
      <c r="WYI3" s="120"/>
      <c r="WYJ3" s="120"/>
      <c r="WYK3" s="120"/>
      <c r="WYL3" s="120"/>
      <c r="WYM3" s="120"/>
      <c r="WYN3" s="120"/>
      <c r="WYO3" s="120"/>
      <c r="WYP3" s="120"/>
      <c r="WYQ3" s="120"/>
      <c r="WYR3" s="120"/>
      <c r="WYS3" s="120"/>
      <c r="WYT3" s="120"/>
      <c r="WYU3" s="120"/>
      <c r="WYV3" s="120"/>
      <c r="WYW3" s="120"/>
      <c r="WYX3" s="120"/>
      <c r="WYY3" s="120"/>
      <c r="WYZ3" s="120"/>
      <c r="WZA3" s="120"/>
      <c r="WZB3" s="120"/>
      <c r="WZC3" s="120"/>
      <c r="WZD3" s="120"/>
      <c r="WZE3" s="120"/>
      <c r="WZF3" s="120"/>
      <c r="WZG3" s="120"/>
      <c r="WZH3" s="120"/>
      <c r="WZI3" s="120"/>
      <c r="WZJ3" s="120"/>
      <c r="WZK3" s="120"/>
      <c r="WZL3" s="120"/>
      <c r="WZM3" s="120"/>
      <c r="WZN3" s="120"/>
      <c r="WZO3" s="120"/>
      <c r="WZP3" s="120"/>
      <c r="WZQ3" s="120"/>
      <c r="WZR3" s="120"/>
      <c r="WZS3" s="120"/>
      <c r="WZT3" s="120"/>
      <c r="WZU3" s="120"/>
      <c r="WZV3" s="120"/>
      <c r="WZW3" s="120"/>
      <c r="WZX3" s="120"/>
      <c r="WZY3" s="120"/>
      <c r="WZZ3" s="120"/>
      <c r="XAA3" s="120"/>
      <c r="XAB3" s="120"/>
      <c r="XAC3" s="120"/>
      <c r="XAD3" s="120"/>
      <c r="XAE3" s="120"/>
      <c r="XAF3" s="120"/>
      <c r="XAG3" s="120"/>
      <c r="XAH3" s="120"/>
      <c r="XAI3" s="120"/>
      <c r="XAJ3" s="120"/>
      <c r="XAK3" s="120"/>
      <c r="XAL3" s="120"/>
      <c r="XAM3" s="120"/>
      <c r="XAN3" s="120"/>
      <c r="XAO3" s="120"/>
      <c r="XAP3" s="120"/>
      <c r="XAQ3" s="120"/>
      <c r="XAR3" s="120"/>
      <c r="XAS3" s="120"/>
      <c r="XAT3" s="120"/>
      <c r="XAU3" s="120"/>
      <c r="XAV3" s="120"/>
      <c r="XAW3" s="120"/>
      <c r="XAX3" s="120"/>
      <c r="XAY3" s="120"/>
      <c r="XAZ3" s="120"/>
      <c r="XBA3" s="120"/>
      <c r="XBB3" s="120"/>
      <c r="XBC3" s="120"/>
      <c r="XBD3" s="120"/>
      <c r="XBE3" s="120"/>
      <c r="XBF3" s="120"/>
      <c r="XBG3" s="120"/>
      <c r="XBH3" s="120"/>
      <c r="XBI3" s="120"/>
      <c r="XBJ3" s="120"/>
      <c r="XBK3" s="120"/>
      <c r="XBL3" s="120"/>
      <c r="XBM3" s="120"/>
      <c r="XBN3" s="120"/>
      <c r="XBO3" s="120"/>
      <c r="XBP3" s="120"/>
      <c r="XBQ3" s="120"/>
      <c r="XBR3" s="120"/>
      <c r="XBS3" s="120"/>
      <c r="XBT3" s="120"/>
      <c r="XBU3" s="120"/>
      <c r="XBV3" s="120"/>
      <c r="XBW3" s="120"/>
      <c r="XBX3" s="120"/>
      <c r="XBY3" s="120"/>
      <c r="XBZ3" s="120"/>
      <c r="XCA3" s="120"/>
      <c r="XCB3" s="120"/>
      <c r="XCC3" s="120"/>
      <c r="XCD3" s="120"/>
      <c r="XCE3" s="120"/>
      <c r="XCF3" s="120"/>
      <c r="XCG3" s="120"/>
      <c r="XCH3" s="120"/>
      <c r="XCI3" s="120"/>
      <c r="XCJ3" s="120"/>
      <c r="XCK3" s="120"/>
      <c r="XCL3" s="120"/>
      <c r="XCM3" s="120"/>
      <c r="XCN3" s="120"/>
      <c r="XCO3" s="120"/>
      <c r="XCP3" s="120"/>
      <c r="XCQ3" s="120"/>
      <c r="XCR3" s="120"/>
      <c r="XCS3" s="120"/>
      <c r="XCT3" s="120"/>
      <c r="XCU3" s="120"/>
      <c r="XCV3" s="120"/>
      <c r="XCW3" s="120"/>
      <c r="XCX3" s="120"/>
      <c r="XCY3" s="120"/>
      <c r="XCZ3" s="120"/>
      <c r="XDA3" s="120"/>
      <c r="XDB3" s="120"/>
      <c r="XDC3" s="120"/>
      <c r="XDD3" s="120"/>
      <c r="XDE3" s="120"/>
      <c r="XDF3" s="120"/>
      <c r="XDG3" s="120"/>
      <c r="XDH3" s="120"/>
      <c r="XDI3" s="120"/>
      <c r="XDJ3" s="120"/>
      <c r="XDK3" s="120"/>
      <c r="XDL3" s="120"/>
      <c r="XDM3" s="120"/>
      <c r="XDN3" s="120"/>
      <c r="XDO3" s="120"/>
      <c r="XDP3" s="120"/>
      <c r="XDQ3" s="120"/>
      <c r="XDR3" s="120"/>
      <c r="XDS3" s="120"/>
      <c r="XDT3" s="120"/>
      <c r="XDU3" s="120"/>
      <c r="XDV3" s="120"/>
      <c r="XDW3" s="120"/>
      <c r="XDX3" s="120"/>
      <c r="XDY3" s="120"/>
      <c r="XDZ3" s="120"/>
      <c r="XEA3" s="120"/>
      <c r="XEB3" s="120"/>
      <c r="XEC3" s="120"/>
      <c r="XED3" s="120"/>
      <c r="XEE3" s="120"/>
      <c r="XEF3" s="120"/>
      <c r="XEG3" s="120"/>
      <c r="XEH3" s="120"/>
      <c r="XEI3" s="120"/>
      <c r="XEJ3" s="120"/>
      <c r="XEK3" s="120"/>
      <c r="XEL3" s="120"/>
      <c r="XEM3" s="120"/>
      <c r="XEN3" s="120"/>
      <c r="XEO3" s="120"/>
      <c r="XEP3" s="120"/>
      <c r="XEQ3" s="120"/>
      <c r="XER3" s="120"/>
      <c r="XES3" s="120"/>
      <c r="XET3" s="120"/>
      <c r="XEU3" s="120"/>
      <c r="XEV3" s="120"/>
      <c r="XEW3" s="120"/>
      <c r="XEX3" s="120"/>
      <c r="XEY3" s="120"/>
      <c r="XEZ3" s="120"/>
      <c r="XFA3" s="120"/>
      <c r="XFB3" s="120"/>
      <c r="XFC3" s="120"/>
      <c r="XFD3" s="120"/>
    </row>
    <row r="4" spans="1:16384" ht="15" customHeight="1" thickBot="1">
      <c r="C4" s="42"/>
    </row>
    <row r="5" spans="1:16384" ht="30" customHeight="1" thickBot="1">
      <c r="C5" s="84" t="s">
        <v>50</v>
      </c>
      <c r="D5" s="128" t="s">
        <v>84</v>
      </c>
    </row>
    <row r="6" spans="1:16384" ht="30" customHeight="1" thickBot="1">
      <c r="C6" s="83"/>
      <c r="D6" s="83"/>
    </row>
    <row r="7" spans="1:16384" ht="54.75" customHeight="1" thickBot="1">
      <c r="C7" s="99" t="s">
        <v>26</v>
      </c>
      <c r="D7" s="100">
        <f>IFERROR(VLOOKUP(D5,CAD_PROD!$C$6:$O$505,2,FALSE),"")</f>
        <v>50</v>
      </c>
      <c r="F7" s="85" t="s">
        <v>101</v>
      </c>
      <c r="G7" s="86">
        <f>IFERROR(D10/D9,"")</f>
        <v>8.6281276962899049</v>
      </c>
    </row>
    <row r="8" spans="1:16384" ht="54.75" customHeight="1" thickBot="1">
      <c r="C8" s="97" t="s">
        <v>100</v>
      </c>
      <c r="D8" s="98">
        <f>IFERROR(VLOOKUP(D5,CAD_CUST!$C$6:$P$505,6,FALSE),"")</f>
        <v>19.5</v>
      </c>
      <c r="F8" s="99" t="s">
        <v>103</v>
      </c>
      <c r="G8" s="100">
        <f>IFERROR(G7*D7,"")</f>
        <v>431.40638481449525</v>
      </c>
    </row>
    <row r="9" spans="1:16384" ht="54.75" customHeight="1" thickBot="1">
      <c r="C9" s="102" t="s">
        <v>99</v>
      </c>
      <c r="D9" s="103">
        <f>IF(ISERROR(
VLOOKUP(D5,CAD_CUST!$C$6:$L$505,10,0)),"",VLOOKUP(D5,CAD_CUST!$C$6:$L$505,10,0))</f>
        <v>30.5</v>
      </c>
      <c r="F9" s="85" t="s">
        <v>105</v>
      </c>
      <c r="G9" s="86">
        <f>IFERROR(VLOOKUP(D5,CAD_PROD!$C$6:$O$505,3,FALSE),"")</f>
        <v>10</v>
      </c>
    </row>
    <row r="10" spans="1:16384" ht="54.75" customHeight="1" thickBot="1">
      <c r="C10" s="97" t="s">
        <v>98</v>
      </c>
      <c r="D10" s="104">
        <f>IFERROR(VLOOKUP(D5,CAD_CUST!$C$6:$P$505,13,FALSE),"")</f>
        <v>263.15789473684208</v>
      </c>
      <c r="F10" s="85" t="s">
        <v>104</v>
      </c>
      <c r="G10" s="48" t="str">
        <f>IFERROR(VLOOKUP(D5,CAD_CUST!$C$6:$S$505,17,FALSE),"")</f>
        <v>Sim</v>
      </c>
    </row>
    <row r="11" spans="1:16384" ht="45.75" customHeight="1"/>
    <row r="12" spans="1:16384" ht="30" customHeight="1"/>
    <row r="13" spans="1:16384" ht="30" customHeight="1"/>
    <row r="14" spans="1:16384" ht="30" customHeight="1"/>
    <row r="15" spans="1:16384" ht="30" customHeight="1"/>
    <row r="16" spans="1:16384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</sheetData>
  <conditionalFormatting sqref="G10">
    <cfRule type="cellIs" dxfId="20" priority="1" operator="equal">
      <formula>"Não"</formula>
    </cfRule>
    <cfRule type="cellIs" dxfId="19" priority="2" operator="equal">
      <formula>"Sim"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0000000}">
          <x14:formula1>
            <xm:f>OFFSET(CAD_PROD!$C$6,,,COUNTA(CAD_PROD!$C$6:$C$505),1)</xm:f>
          </x14:formula1>
          <xm:sqref>D5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FD589"/>
  <sheetViews>
    <sheetView showGridLines="0" zoomScale="90" zoomScaleNormal="90" zoomScalePageLayoutView="80" workbookViewId="0">
      <pane ySplit="5" topLeftCell="A6" activePane="bottomLeft" state="frozen"/>
      <selection activeCell="A3" sqref="A3:XFD3"/>
      <selection pane="bottomLeft" activeCell="E3" sqref="E3"/>
    </sheetView>
  </sheetViews>
  <sheetFormatPr defaultColWidth="11" defaultRowHeight="15"/>
  <cols>
    <col min="1" max="1" width="2.125" style="47" customWidth="1"/>
    <col min="2" max="2" width="1.375" style="47" customWidth="1"/>
    <col min="3" max="3" width="22.25" style="123" customWidth="1"/>
    <col min="4" max="4" width="19.375" style="123" customWidth="1"/>
    <col min="5" max="5" width="22.375" style="123" customWidth="1"/>
    <col min="6" max="6" width="16.75" style="126" customWidth="1"/>
    <col min="7" max="7" width="16.75" style="108" customWidth="1"/>
    <col min="8" max="8" width="76.875" style="47" customWidth="1"/>
    <col min="9" max="16384" width="11" style="47"/>
  </cols>
  <sheetData>
    <row r="1" spans="1:16384" s="45" customFormat="1" ht="39" customHeight="1">
      <c r="F1" s="106"/>
      <c r="G1" s="106"/>
    </row>
    <row r="2" spans="1:16384" s="46" customFormat="1" ht="30" customHeight="1">
      <c r="F2" s="107"/>
      <c r="G2" s="107"/>
    </row>
    <row r="3" spans="1:16384" customFormat="1" ht="44.25" customHeight="1">
      <c r="A3" s="119"/>
      <c r="B3" s="120"/>
      <c r="C3" s="121"/>
      <c r="D3" s="120"/>
      <c r="E3" s="122"/>
      <c r="F3" s="122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0"/>
      <c r="CO3" s="120"/>
      <c r="CP3" s="120"/>
      <c r="CQ3" s="120"/>
      <c r="CR3" s="120"/>
      <c r="CS3" s="120"/>
      <c r="CT3" s="120"/>
      <c r="CU3" s="120"/>
      <c r="CV3" s="120"/>
      <c r="CW3" s="120"/>
      <c r="CX3" s="120"/>
      <c r="CY3" s="120"/>
      <c r="CZ3" s="120"/>
      <c r="DA3" s="120"/>
      <c r="DB3" s="120"/>
      <c r="DC3" s="120"/>
      <c r="DD3" s="120"/>
      <c r="DE3" s="120"/>
      <c r="DF3" s="120"/>
      <c r="DG3" s="120"/>
      <c r="DH3" s="120"/>
      <c r="DI3" s="120"/>
      <c r="DJ3" s="120"/>
      <c r="DK3" s="120"/>
      <c r="DL3" s="120"/>
      <c r="DM3" s="120"/>
      <c r="DN3" s="120"/>
      <c r="DO3" s="120"/>
      <c r="DP3" s="120"/>
      <c r="DQ3" s="120"/>
      <c r="DR3" s="120"/>
      <c r="DS3" s="120"/>
      <c r="DT3" s="120"/>
      <c r="DU3" s="120"/>
      <c r="DV3" s="120"/>
      <c r="DW3" s="120"/>
      <c r="DX3" s="120"/>
      <c r="DY3" s="120"/>
      <c r="DZ3" s="120"/>
      <c r="EA3" s="120"/>
      <c r="EB3" s="120"/>
      <c r="EC3" s="120"/>
      <c r="ED3" s="120"/>
      <c r="EE3" s="120"/>
      <c r="EF3" s="120"/>
      <c r="EG3" s="120"/>
      <c r="EH3" s="120"/>
      <c r="EI3" s="120"/>
      <c r="EJ3" s="120"/>
      <c r="EK3" s="120"/>
      <c r="EL3" s="120"/>
      <c r="EM3" s="120"/>
      <c r="EN3" s="120"/>
      <c r="EO3" s="120"/>
      <c r="EP3" s="120"/>
      <c r="EQ3" s="120"/>
      <c r="ER3" s="120"/>
      <c r="ES3" s="120"/>
      <c r="ET3" s="120"/>
      <c r="EU3" s="120"/>
      <c r="EV3" s="120"/>
      <c r="EW3" s="120"/>
      <c r="EX3" s="120"/>
      <c r="EY3" s="120"/>
      <c r="EZ3" s="120"/>
      <c r="FA3" s="120"/>
      <c r="FB3" s="120"/>
      <c r="FC3" s="120"/>
      <c r="FD3" s="120"/>
      <c r="FE3" s="120"/>
      <c r="FF3" s="120"/>
      <c r="FG3" s="120"/>
      <c r="FH3" s="120"/>
      <c r="FI3" s="120"/>
      <c r="FJ3" s="120"/>
      <c r="FK3" s="120"/>
      <c r="FL3" s="120"/>
      <c r="FM3" s="120"/>
      <c r="FN3" s="120"/>
      <c r="FO3" s="120"/>
      <c r="FP3" s="120"/>
      <c r="FQ3" s="120"/>
      <c r="FR3" s="120"/>
      <c r="FS3" s="120"/>
      <c r="FT3" s="120"/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0"/>
      <c r="GJ3" s="120"/>
      <c r="GK3" s="120"/>
      <c r="GL3" s="120"/>
      <c r="GM3" s="120"/>
      <c r="GN3" s="120"/>
      <c r="GO3" s="120"/>
      <c r="GP3" s="120"/>
      <c r="GQ3" s="120"/>
      <c r="GR3" s="120"/>
      <c r="GS3" s="120"/>
      <c r="GT3" s="120"/>
      <c r="GU3" s="120"/>
      <c r="GV3" s="120"/>
      <c r="GW3" s="120"/>
      <c r="GX3" s="120"/>
      <c r="GY3" s="120"/>
      <c r="GZ3" s="120"/>
      <c r="HA3" s="120"/>
      <c r="HB3" s="120"/>
      <c r="HC3" s="120"/>
      <c r="HD3" s="120"/>
      <c r="HE3" s="120"/>
      <c r="HF3" s="120"/>
      <c r="HG3" s="120"/>
      <c r="HH3" s="120"/>
      <c r="HI3" s="120"/>
      <c r="HJ3" s="120"/>
      <c r="HK3" s="120"/>
      <c r="HL3" s="120"/>
      <c r="HM3" s="120"/>
      <c r="HN3" s="120"/>
      <c r="HO3" s="120"/>
      <c r="HP3" s="120"/>
      <c r="HQ3" s="120"/>
      <c r="HR3" s="120"/>
      <c r="HS3" s="120"/>
      <c r="HT3" s="120"/>
      <c r="HU3" s="120"/>
      <c r="HV3" s="120"/>
      <c r="HW3" s="120"/>
      <c r="HX3" s="120"/>
      <c r="HY3" s="120"/>
      <c r="HZ3" s="120"/>
      <c r="IA3" s="120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P3" s="120"/>
      <c r="IQ3" s="120"/>
      <c r="IR3" s="120"/>
      <c r="IS3" s="120"/>
      <c r="IT3" s="120"/>
      <c r="IU3" s="120"/>
      <c r="IV3" s="120"/>
      <c r="IW3" s="120"/>
      <c r="IX3" s="120"/>
      <c r="IY3" s="120"/>
      <c r="IZ3" s="120"/>
      <c r="JA3" s="120"/>
      <c r="JB3" s="120"/>
      <c r="JC3" s="120"/>
      <c r="JD3" s="120"/>
      <c r="JE3" s="120"/>
      <c r="JF3" s="120"/>
      <c r="JG3" s="120"/>
      <c r="JH3" s="120"/>
      <c r="JI3" s="120"/>
      <c r="JJ3" s="120"/>
      <c r="JK3" s="120"/>
      <c r="JL3" s="120"/>
      <c r="JM3" s="120"/>
      <c r="JN3" s="120"/>
      <c r="JO3" s="120"/>
      <c r="JP3" s="120"/>
      <c r="JQ3" s="120"/>
      <c r="JR3" s="120"/>
      <c r="JS3" s="120"/>
      <c r="JT3" s="120"/>
      <c r="JU3" s="120"/>
      <c r="JV3" s="120"/>
      <c r="JW3" s="120"/>
      <c r="JX3" s="120"/>
      <c r="JY3" s="120"/>
      <c r="JZ3" s="120"/>
      <c r="KA3" s="120"/>
      <c r="KB3" s="120"/>
      <c r="KC3" s="120"/>
      <c r="KD3" s="120"/>
      <c r="KE3" s="120"/>
      <c r="KF3" s="120"/>
      <c r="KG3" s="120"/>
      <c r="KH3" s="120"/>
      <c r="KI3" s="120"/>
      <c r="KJ3" s="120"/>
      <c r="KK3" s="120"/>
      <c r="KL3" s="120"/>
      <c r="KM3" s="120"/>
      <c r="KN3" s="120"/>
      <c r="KO3" s="120"/>
      <c r="KP3" s="120"/>
      <c r="KQ3" s="120"/>
      <c r="KR3" s="120"/>
      <c r="KS3" s="120"/>
      <c r="KT3" s="120"/>
      <c r="KU3" s="120"/>
      <c r="KV3" s="120"/>
      <c r="KW3" s="120"/>
      <c r="KX3" s="120"/>
      <c r="KY3" s="120"/>
      <c r="KZ3" s="120"/>
      <c r="LA3" s="120"/>
      <c r="LB3" s="120"/>
      <c r="LC3" s="120"/>
      <c r="LD3" s="120"/>
      <c r="LE3" s="120"/>
      <c r="LF3" s="120"/>
      <c r="LG3" s="120"/>
      <c r="LH3" s="120"/>
      <c r="LI3" s="120"/>
      <c r="LJ3" s="120"/>
      <c r="LK3" s="120"/>
      <c r="LL3" s="120"/>
      <c r="LM3" s="120"/>
      <c r="LN3" s="120"/>
      <c r="LO3" s="120"/>
      <c r="LP3" s="120"/>
      <c r="LQ3" s="120"/>
      <c r="LR3" s="120"/>
      <c r="LS3" s="120"/>
      <c r="LT3" s="120"/>
      <c r="LU3" s="120"/>
      <c r="LV3" s="120"/>
      <c r="LW3" s="120"/>
      <c r="LX3" s="120"/>
      <c r="LY3" s="120"/>
      <c r="LZ3" s="120"/>
      <c r="MA3" s="120"/>
      <c r="MB3" s="120"/>
      <c r="MC3" s="120"/>
      <c r="MD3" s="120"/>
      <c r="ME3" s="120"/>
      <c r="MF3" s="120"/>
      <c r="MG3" s="120"/>
      <c r="MH3" s="120"/>
      <c r="MI3" s="120"/>
      <c r="MJ3" s="120"/>
      <c r="MK3" s="120"/>
      <c r="ML3" s="120"/>
      <c r="MM3" s="120"/>
      <c r="MN3" s="120"/>
      <c r="MO3" s="120"/>
      <c r="MP3" s="120"/>
      <c r="MQ3" s="120"/>
      <c r="MR3" s="120"/>
      <c r="MS3" s="120"/>
      <c r="MT3" s="120"/>
      <c r="MU3" s="120"/>
      <c r="MV3" s="120"/>
      <c r="MW3" s="120"/>
      <c r="MX3" s="120"/>
      <c r="MY3" s="120"/>
      <c r="MZ3" s="120"/>
      <c r="NA3" s="120"/>
      <c r="NB3" s="120"/>
      <c r="NC3" s="120"/>
      <c r="ND3" s="120"/>
      <c r="NE3" s="120"/>
      <c r="NF3" s="120"/>
      <c r="NG3" s="120"/>
      <c r="NH3" s="120"/>
      <c r="NI3" s="120"/>
      <c r="NJ3" s="120"/>
      <c r="NK3" s="120"/>
      <c r="NL3" s="120"/>
      <c r="NM3" s="120"/>
      <c r="NN3" s="120"/>
      <c r="NO3" s="120"/>
      <c r="NP3" s="120"/>
      <c r="NQ3" s="120"/>
      <c r="NR3" s="120"/>
      <c r="NS3" s="120"/>
      <c r="NT3" s="120"/>
      <c r="NU3" s="120"/>
      <c r="NV3" s="120"/>
      <c r="NW3" s="120"/>
      <c r="NX3" s="120"/>
      <c r="NY3" s="120"/>
      <c r="NZ3" s="120"/>
      <c r="OA3" s="120"/>
      <c r="OB3" s="120"/>
      <c r="OC3" s="120"/>
      <c r="OD3" s="120"/>
      <c r="OE3" s="120"/>
      <c r="OF3" s="120"/>
      <c r="OG3" s="120"/>
      <c r="OH3" s="120"/>
      <c r="OI3" s="120"/>
      <c r="OJ3" s="120"/>
      <c r="OK3" s="120"/>
      <c r="OL3" s="120"/>
      <c r="OM3" s="120"/>
      <c r="ON3" s="120"/>
      <c r="OO3" s="120"/>
      <c r="OP3" s="120"/>
      <c r="OQ3" s="120"/>
      <c r="OR3" s="120"/>
      <c r="OS3" s="120"/>
      <c r="OT3" s="120"/>
      <c r="OU3" s="120"/>
      <c r="OV3" s="120"/>
      <c r="OW3" s="120"/>
      <c r="OX3" s="120"/>
      <c r="OY3" s="120"/>
      <c r="OZ3" s="120"/>
      <c r="PA3" s="120"/>
      <c r="PB3" s="120"/>
      <c r="PC3" s="120"/>
      <c r="PD3" s="120"/>
      <c r="PE3" s="120"/>
      <c r="PF3" s="120"/>
      <c r="PG3" s="120"/>
      <c r="PH3" s="120"/>
      <c r="PI3" s="120"/>
      <c r="PJ3" s="120"/>
      <c r="PK3" s="120"/>
      <c r="PL3" s="120"/>
      <c r="PM3" s="120"/>
      <c r="PN3" s="120"/>
      <c r="PO3" s="120"/>
      <c r="PP3" s="120"/>
      <c r="PQ3" s="120"/>
      <c r="PR3" s="120"/>
      <c r="PS3" s="120"/>
      <c r="PT3" s="120"/>
      <c r="PU3" s="120"/>
      <c r="PV3" s="120"/>
      <c r="PW3" s="120"/>
      <c r="PX3" s="120"/>
      <c r="PY3" s="120"/>
      <c r="PZ3" s="120"/>
      <c r="QA3" s="120"/>
      <c r="QB3" s="120"/>
      <c r="QC3" s="120"/>
      <c r="QD3" s="120"/>
      <c r="QE3" s="120"/>
      <c r="QF3" s="120"/>
      <c r="QG3" s="120"/>
      <c r="QH3" s="120"/>
      <c r="QI3" s="120"/>
      <c r="QJ3" s="120"/>
      <c r="QK3" s="120"/>
      <c r="QL3" s="120"/>
      <c r="QM3" s="120"/>
      <c r="QN3" s="120"/>
      <c r="QO3" s="120"/>
      <c r="QP3" s="120"/>
      <c r="QQ3" s="120"/>
      <c r="QR3" s="120"/>
      <c r="QS3" s="120"/>
      <c r="QT3" s="120"/>
      <c r="QU3" s="120"/>
      <c r="QV3" s="120"/>
      <c r="QW3" s="120"/>
      <c r="QX3" s="120"/>
      <c r="QY3" s="120"/>
      <c r="QZ3" s="120"/>
      <c r="RA3" s="120"/>
      <c r="RB3" s="120"/>
      <c r="RC3" s="120"/>
      <c r="RD3" s="120"/>
      <c r="RE3" s="120"/>
      <c r="RF3" s="120"/>
      <c r="RG3" s="120"/>
      <c r="RH3" s="120"/>
      <c r="RI3" s="120"/>
      <c r="RJ3" s="120"/>
      <c r="RK3" s="120"/>
      <c r="RL3" s="120"/>
      <c r="RM3" s="120"/>
      <c r="RN3" s="120"/>
      <c r="RO3" s="120"/>
      <c r="RP3" s="120"/>
      <c r="RQ3" s="120"/>
      <c r="RR3" s="120"/>
      <c r="RS3" s="120"/>
      <c r="RT3" s="120"/>
      <c r="RU3" s="120"/>
      <c r="RV3" s="120"/>
      <c r="RW3" s="120"/>
      <c r="RX3" s="120"/>
      <c r="RY3" s="120"/>
      <c r="RZ3" s="120"/>
      <c r="SA3" s="120"/>
      <c r="SB3" s="120"/>
      <c r="SC3" s="120"/>
      <c r="SD3" s="120"/>
      <c r="SE3" s="120"/>
      <c r="SF3" s="120"/>
      <c r="SG3" s="120"/>
      <c r="SH3" s="120"/>
      <c r="SI3" s="120"/>
      <c r="SJ3" s="120"/>
      <c r="SK3" s="120"/>
      <c r="SL3" s="120"/>
      <c r="SM3" s="120"/>
      <c r="SN3" s="120"/>
      <c r="SO3" s="120"/>
      <c r="SP3" s="120"/>
      <c r="SQ3" s="120"/>
      <c r="SR3" s="120"/>
      <c r="SS3" s="120"/>
      <c r="ST3" s="120"/>
      <c r="SU3" s="120"/>
      <c r="SV3" s="120"/>
      <c r="SW3" s="120"/>
      <c r="SX3" s="120"/>
      <c r="SY3" s="120"/>
      <c r="SZ3" s="120"/>
      <c r="TA3" s="120"/>
      <c r="TB3" s="120"/>
      <c r="TC3" s="120"/>
      <c r="TD3" s="120"/>
      <c r="TE3" s="120"/>
      <c r="TF3" s="120"/>
      <c r="TG3" s="120"/>
      <c r="TH3" s="120"/>
      <c r="TI3" s="120"/>
      <c r="TJ3" s="120"/>
      <c r="TK3" s="120"/>
      <c r="TL3" s="120"/>
      <c r="TM3" s="120"/>
      <c r="TN3" s="120"/>
      <c r="TO3" s="120"/>
      <c r="TP3" s="120"/>
      <c r="TQ3" s="120"/>
      <c r="TR3" s="120"/>
      <c r="TS3" s="120"/>
      <c r="TT3" s="120"/>
      <c r="TU3" s="120"/>
      <c r="TV3" s="120"/>
      <c r="TW3" s="120"/>
      <c r="TX3" s="120"/>
      <c r="TY3" s="120"/>
      <c r="TZ3" s="120"/>
      <c r="UA3" s="120"/>
      <c r="UB3" s="120"/>
      <c r="UC3" s="120"/>
      <c r="UD3" s="120"/>
      <c r="UE3" s="120"/>
      <c r="UF3" s="120"/>
      <c r="UG3" s="120"/>
      <c r="UH3" s="120"/>
      <c r="UI3" s="120"/>
      <c r="UJ3" s="120"/>
      <c r="UK3" s="120"/>
      <c r="UL3" s="120"/>
      <c r="UM3" s="120"/>
      <c r="UN3" s="120"/>
      <c r="UO3" s="120"/>
      <c r="UP3" s="120"/>
      <c r="UQ3" s="120"/>
      <c r="UR3" s="120"/>
      <c r="US3" s="120"/>
      <c r="UT3" s="120"/>
      <c r="UU3" s="120"/>
      <c r="UV3" s="120"/>
      <c r="UW3" s="120"/>
      <c r="UX3" s="120"/>
      <c r="UY3" s="120"/>
      <c r="UZ3" s="120"/>
      <c r="VA3" s="120"/>
      <c r="VB3" s="120"/>
      <c r="VC3" s="120"/>
      <c r="VD3" s="120"/>
      <c r="VE3" s="120"/>
      <c r="VF3" s="120"/>
      <c r="VG3" s="120"/>
      <c r="VH3" s="120"/>
      <c r="VI3" s="120"/>
      <c r="VJ3" s="120"/>
      <c r="VK3" s="120"/>
      <c r="VL3" s="120"/>
      <c r="VM3" s="120"/>
      <c r="VN3" s="120"/>
      <c r="VO3" s="120"/>
      <c r="VP3" s="120"/>
      <c r="VQ3" s="120"/>
      <c r="VR3" s="120"/>
      <c r="VS3" s="120"/>
      <c r="VT3" s="120"/>
      <c r="VU3" s="120"/>
      <c r="VV3" s="120"/>
      <c r="VW3" s="120"/>
      <c r="VX3" s="120"/>
      <c r="VY3" s="120"/>
      <c r="VZ3" s="120"/>
      <c r="WA3" s="120"/>
      <c r="WB3" s="120"/>
      <c r="WC3" s="120"/>
      <c r="WD3" s="120"/>
      <c r="WE3" s="120"/>
      <c r="WF3" s="120"/>
      <c r="WG3" s="120"/>
      <c r="WH3" s="120"/>
      <c r="WI3" s="120"/>
      <c r="WJ3" s="120"/>
      <c r="WK3" s="120"/>
      <c r="WL3" s="120"/>
      <c r="WM3" s="120"/>
      <c r="WN3" s="120"/>
      <c r="WO3" s="120"/>
      <c r="WP3" s="120"/>
      <c r="WQ3" s="120"/>
      <c r="WR3" s="120"/>
      <c r="WS3" s="120"/>
      <c r="WT3" s="120"/>
      <c r="WU3" s="120"/>
      <c r="WV3" s="120"/>
      <c r="WW3" s="120"/>
      <c r="WX3" s="120"/>
      <c r="WY3" s="120"/>
      <c r="WZ3" s="120"/>
      <c r="XA3" s="120"/>
      <c r="XB3" s="120"/>
      <c r="XC3" s="120"/>
      <c r="XD3" s="120"/>
      <c r="XE3" s="120"/>
      <c r="XF3" s="120"/>
      <c r="XG3" s="120"/>
      <c r="XH3" s="120"/>
      <c r="XI3" s="120"/>
      <c r="XJ3" s="120"/>
      <c r="XK3" s="120"/>
      <c r="XL3" s="120"/>
      <c r="XM3" s="120"/>
      <c r="XN3" s="120"/>
      <c r="XO3" s="120"/>
      <c r="XP3" s="120"/>
      <c r="XQ3" s="120"/>
      <c r="XR3" s="120"/>
      <c r="XS3" s="120"/>
      <c r="XT3" s="120"/>
      <c r="XU3" s="120"/>
      <c r="XV3" s="120"/>
      <c r="XW3" s="120"/>
      <c r="XX3" s="120"/>
      <c r="XY3" s="120"/>
      <c r="XZ3" s="120"/>
      <c r="YA3" s="120"/>
      <c r="YB3" s="120"/>
      <c r="YC3" s="120"/>
      <c r="YD3" s="120"/>
      <c r="YE3" s="120"/>
      <c r="YF3" s="120"/>
      <c r="YG3" s="120"/>
      <c r="YH3" s="120"/>
      <c r="YI3" s="120"/>
      <c r="YJ3" s="120"/>
      <c r="YK3" s="120"/>
      <c r="YL3" s="120"/>
      <c r="YM3" s="120"/>
      <c r="YN3" s="120"/>
      <c r="YO3" s="120"/>
      <c r="YP3" s="120"/>
      <c r="YQ3" s="120"/>
      <c r="YR3" s="120"/>
      <c r="YS3" s="120"/>
      <c r="YT3" s="120"/>
      <c r="YU3" s="120"/>
      <c r="YV3" s="120"/>
      <c r="YW3" s="120"/>
      <c r="YX3" s="120"/>
      <c r="YY3" s="120"/>
      <c r="YZ3" s="120"/>
      <c r="ZA3" s="120"/>
      <c r="ZB3" s="120"/>
      <c r="ZC3" s="120"/>
      <c r="ZD3" s="120"/>
      <c r="ZE3" s="120"/>
      <c r="ZF3" s="120"/>
      <c r="ZG3" s="120"/>
      <c r="ZH3" s="120"/>
      <c r="ZI3" s="120"/>
      <c r="ZJ3" s="120"/>
      <c r="ZK3" s="120"/>
      <c r="ZL3" s="120"/>
      <c r="ZM3" s="120"/>
      <c r="ZN3" s="120"/>
      <c r="ZO3" s="120"/>
      <c r="ZP3" s="120"/>
      <c r="ZQ3" s="120"/>
      <c r="ZR3" s="120"/>
      <c r="ZS3" s="120"/>
      <c r="ZT3" s="120"/>
      <c r="ZU3" s="120"/>
      <c r="ZV3" s="120"/>
      <c r="ZW3" s="120"/>
      <c r="ZX3" s="120"/>
      <c r="ZY3" s="120"/>
      <c r="ZZ3" s="120"/>
      <c r="AAA3" s="120"/>
      <c r="AAB3" s="120"/>
      <c r="AAC3" s="120"/>
      <c r="AAD3" s="120"/>
      <c r="AAE3" s="120"/>
      <c r="AAF3" s="120"/>
      <c r="AAG3" s="120"/>
      <c r="AAH3" s="120"/>
      <c r="AAI3" s="120"/>
      <c r="AAJ3" s="120"/>
      <c r="AAK3" s="120"/>
      <c r="AAL3" s="120"/>
      <c r="AAM3" s="120"/>
      <c r="AAN3" s="120"/>
      <c r="AAO3" s="120"/>
      <c r="AAP3" s="120"/>
      <c r="AAQ3" s="120"/>
      <c r="AAR3" s="120"/>
      <c r="AAS3" s="120"/>
      <c r="AAT3" s="120"/>
      <c r="AAU3" s="120"/>
      <c r="AAV3" s="120"/>
      <c r="AAW3" s="120"/>
      <c r="AAX3" s="120"/>
      <c r="AAY3" s="120"/>
      <c r="AAZ3" s="120"/>
      <c r="ABA3" s="120"/>
      <c r="ABB3" s="120"/>
      <c r="ABC3" s="120"/>
      <c r="ABD3" s="120"/>
      <c r="ABE3" s="120"/>
      <c r="ABF3" s="120"/>
      <c r="ABG3" s="120"/>
      <c r="ABH3" s="120"/>
      <c r="ABI3" s="120"/>
      <c r="ABJ3" s="120"/>
      <c r="ABK3" s="120"/>
      <c r="ABL3" s="120"/>
      <c r="ABM3" s="120"/>
      <c r="ABN3" s="120"/>
      <c r="ABO3" s="120"/>
      <c r="ABP3" s="120"/>
      <c r="ABQ3" s="120"/>
      <c r="ABR3" s="120"/>
      <c r="ABS3" s="120"/>
      <c r="ABT3" s="120"/>
      <c r="ABU3" s="120"/>
      <c r="ABV3" s="120"/>
      <c r="ABW3" s="120"/>
      <c r="ABX3" s="120"/>
      <c r="ABY3" s="120"/>
      <c r="ABZ3" s="120"/>
      <c r="ACA3" s="120"/>
      <c r="ACB3" s="120"/>
      <c r="ACC3" s="120"/>
      <c r="ACD3" s="120"/>
      <c r="ACE3" s="120"/>
      <c r="ACF3" s="120"/>
      <c r="ACG3" s="120"/>
      <c r="ACH3" s="120"/>
      <c r="ACI3" s="120"/>
      <c r="ACJ3" s="120"/>
      <c r="ACK3" s="120"/>
      <c r="ACL3" s="120"/>
      <c r="ACM3" s="120"/>
      <c r="ACN3" s="120"/>
      <c r="ACO3" s="120"/>
      <c r="ACP3" s="120"/>
      <c r="ACQ3" s="120"/>
      <c r="ACR3" s="120"/>
      <c r="ACS3" s="120"/>
      <c r="ACT3" s="120"/>
      <c r="ACU3" s="120"/>
      <c r="ACV3" s="120"/>
      <c r="ACW3" s="120"/>
      <c r="ACX3" s="120"/>
      <c r="ACY3" s="120"/>
      <c r="ACZ3" s="120"/>
      <c r="ADA3" s="120"/>
      <c r="ADB3" s="120"/>
      <c r="ADC3" s="120"/>
      <c r="ADD3" s="120"/>
      <c r="ADE3" s="120"/>
      <c r="ADF3" s="120"/>
      <c r="ADG3" s="120"/>
      <c r="ADH3" s="120"/>
      <c r="ADI3" s="120"/>
      <c r="ADJ3" s="120"/>
      <c r="ADK3" s="120"/>
      <c r="ADL3" s="120"/>
      <c r="ADM3" s="120"/>
      <c r="ADN3" s="120"/>
      <c r="ADO3" s="120"/>
      <c r="ADP3" s="120"/>
      <c r="ADQ3" s="120"/>
      <c r="ADR3" s="120"/>
      <c r="ADS3" s="120"/>
      <c r="ADT3" s="120"/>
      <c r="ADU3" s="120"/>
      <c r="ADV3" s="120"/>
      <c r="ADW3" s="120"/>
      <c r="ADX3" s="120"/>
      <c r="ADY3" s="120"/>
      <c r="ADZ3" s="120"/>
      <c r="AEA3" s="120"/>
      <c r="AEB3" s="120"/>
      <c r="AEC3" s="120"/>
      <c r="AED3" s="120"/>
      <c r="AEE3" s="120"/>
      <c r="AEF3" s="120"/>
      <c r="AEG3" s="120"/>
      <c r="AEH3" s="120"/>
      <c r="AEI3" s="120"/>
      <c r="AEJ3" s="120"/>
      <c r="AEK3" s="120"/>
      <c r="AEL3" s="120"/>
      <c r="AEM3" s="120"/>
      <c r="AEN3" s="120"/>
      <c r="AEO3" s="120"/>
      <c r="AEP3" s="120"/>
      <c r="AEQ3" s="120"/>
      <c r="AER3" s="120"/>
      <c r="AES3" s="120"/>
      <c r="AET3" s="120"/>
      <c r="AEU3" s="120"/>
      <c r="AEV3" s="120"/>
      <c r="AEW3" s="120"/>
      <c r="AEX3" s="120"/>
      <c r="AEY3" s="120"/>
      <c r="AEZ3" s="120"/>
      <c r="AFA3" s="120"/>
      <c r="AFB3" s="120"/>
      <c r="AFC3" s="120"/>
      <c r="AFD3" s="120"/>
      <c r="AFE3" s="120"/>
      <c r="AFF3" s="120"/>
      <c r="AFG3" s="120"/>
      <c r="AFH3" s="120"/>
      <c r="AFI3" s="120"/>
      <c r="AFJ3" s="120"/>
      <c r="AFK3" s="120"/>
      <c r="AFL3" s="120"/>
      <c r="AFM3" s="120"/>
      <c r="AFN3" s="120"/>
      <c r="AFO3" s="120"/>
      <c r="AFP3" s="120"/>
      <c r="AFQ3" s="120"/>
      <c r="AFR3" s="120"/>
      <c r="AFS3" s="120"/>
      <c r="AFT3" s="120"/>
      <c r="AFU3" s="120"/>
      <c r="AFV3" s="120"/>
      <c r="AFW3" s="120"/>
      <c r="AFX3" s="120"/>
      <c r="AFY3" s="120"/>
      <c r="AFZ3" s="120"/>
      <c r="AGA3" s="120"/>
      <c r="AGB3" s="120"/>
      <c r="AGC3" s="120"/>
      <c r="AGD3" s="120"/>
      <c r="AGE3" s="120"/>
      <c r="AGF3" s="120"/>
      <c r="AGG3" s="120"/>
      <c r="AGH3" s="120"/>
      <c r="AGI3" s="120"/>
      <c r="AGJ3" s="120"/>
      <c r="AGK3" s="120"/>
      <c r="AGL3" s="120"/>
      <c r="AGM3" s="120"/>
      <c r="AGN3" s="120"/>
      <c r="AGO3" s="120"/>
      <c r="AGP3" s="120"/>
      <c r="AGQ3" s="120"/>
      <c r="AGR3" s="120"/>
      <c r="AGS3" s="120"/>
      <c r="AGT3" s="120"/>
      <c r="AGU3" s="120"/>
      <c r="AGV3" s="120"/>
      <c r="AGW3" s="120"/>
      <c r="AGX3" s="120"/>
      <c r="AGY3" s="120"/>
      <c r="AGZ3" s="120"/>
      <c r="AHA3" s="120"/>
      <c r="AHB3" s="120"/>
      <c r="AHC3" s="120"/>
      <c r="AHD3" s="120"/>
      <c r="AHE3" s="120"/>
      <c r="AHF3" s="120"/>
      <c r="AHG3" s="120"/>
      <c r="AHH3" s="120"/>
      <c r="AHI3" s="120"/>
      <c r="AHJ3" s="120"/>
      <c r="AHK3" s="120"/>
      <c r="AHL3" s="120"/>
      <c r="AHM3" s="120"/>
      <c r="AHN3" s="120"/>
      <c r="AHO3" s="120"/>
      <c r="AHP3" s="120"/>
      <c r="AHQ3" s="120"/>
      <c r="AHR3" s="120"/>
      <c r="AHS3" s="120"/>
      <c r="AHT3" s="120"/>
      <c r="AHU3" s="120"/>
      <c r="AHV3" s="120"/>
      <c r="AHW3" s="120"/>
      <c r="AHX3" s="120"/>
      <c r="AHY3" s="120"/>
      <c r="AHZ3" s="120"/>
      <c r="AIA3" s="120"/>
      <c r="AIB3" s="120"/>
      <c r="AIC3" s="120"/>
      <c r="AID3" s="120"/>
      <c r="AIE3" s="120"/>
      <c r="AIF3" s="120"/>
      <c r="AIG3" s="120"/>
      <c r="AIH3" s="120"/>
      <c r="AII3" s="120"/>
      <c r="AIJ3" s="120"/>
      <c r="AIK3" s="120"/>
      <c r="AIL3" s="120"/>
      <c r="AIM3" s="120"/>
      <c r="AIN3" s="120"/>
      <c r="AIO3" s="120"/>
      <c r="AIP3" s="120"/>
      <c r="AIQ3" s="120"/>
      <c r="AIR3" s="120"/>
      <c r="AIS3" s="120"/>
      <c r="AIT3" s="120"/>
      <c r="AIU3" s="120"/>
      <c r="AIV3" s="120"/>
      <c r="AIW3" s="120"/>
      <c r="AIX3" s="120"/>
      <c r="AIY3" s="120"/>
      <c r="AIZ3" s="120"/>
      <c r="AJA3" s="120"/>
      <c r="AJB3" s="120"/>
      <c r="AJC3" s="120"/>
      <c r="AJD3" s="120"/>
      <c r="AJE3" s="120"/>
      <c r="AJF3" s="120"/>
      <c r="AJG3" s="120"/>
      <c r="AJH3" s="120"/>
      <c r="AJI3" s="120"/>
      <c r="AJJ3" s="120"/>
      <c r="AJK3" s="120"/>
      <c r="AJL3" s="120"/>
      <c r="AJM3" s="120"/>
      <c r="AJN3" s="120"/>
      <c r="AJO3" s="120"/>
      <c r="AJP3" s="120"/>
      <c r="AJQ3" s="120"/>
      <c r="AJR3" s="120"/>
      <c r="AJS3" s="120"/>
      <c r="AJT3" s="120"/>
      <c r="AJU3" s="120"/>
      <c r="AJV3" s="120"/>
      <c r="AJW3" s="120"/>
      <c r="AJX3" s="120"/>
      <c r="AJY3" s="120"/>
      <c r="AJZ3" s="120"/>
      <c r="AKA3" s="120"/>
      <c r="AKB3" s="120"/>
      <c r="AKC3" s="120"/>
      <c r="AKD3" s="120"/>
      <c r="AKE3" s="120"/>
      <c r="AKF3" s="120"/>
      <c r="AKG3" s="120"/>
      <c r="AKH3" s="120"/>
      <c r="AKI3" s="120"/>
      <c r="AKJ3" s="120"/>
      <c r="AKK3" s="120"/>
      <c r="AKL3" s="120"/>
      <c r="AKM3" s="120"/>
      <c r="AKN3" s="120"/>
      <c r="AKO3" s="120"/>
      <c r="AKP3" s="120"/>
      <c r="AKQ3" s="120"/>
      <c r="AKR3" s="120"/>
      <c r="AKS3" s="120"/>
      <c r="AKT3" s="120"/>
      <c r="AKU3" s="120"/>
      <c r="AKV3" s="120"/>
      <c r="AKW3" s="120"/>
      <c r="AKX3" s="120"/>
      <c r="AKY3" s="120"/>
      <c r="AKZ3" s="120"/>
      <c r="ALA3" s="120"/>
      <c r="ALB3" s="120"/>
      <c r="ALC3" s="120"/>
      <c r="ALD3" s="120"/>
      <c r="ALE3" s="120"/>
      <c r="ALF3" s="120"/>
      <c r="ALG3" s="120"/>
      <c r="ALH3" s="120"/>
      <c r="ALI3" s="120"/>
      <c r="ALJ3" s="120"/>
      <c r="ALK3" s="120"/>
      <c r="ALL3" s="120"/>
      <c r="ALM3" s="120"/>
      <c r="ALN3" s="120"/>
      <c r="ALO3" s="120"/>
      <c r="ALP3" s="120"/>
      <c r="ALQ3" s="120"/>
      <c r="ALR3" s="120"/>
      <c r="ALS3" s="120"/>
      <c r="ALT3" s="120"/>
      <c r="ALU3" s="120"/>
      <c r="ALV3" s="120"/>
      <c r="ALW3" s="120"/>
      <c r="ALX3" s="120"/>
      <c r="ALY3" s="120"/>
      <c r="ALZ3" s="120"/>
      <c r="AMA3" s="120"/>
      <c r="AMB3" s="120"/>
      <c r="AMC3" s="120"/>
      <c r="AMD3" s="120"/>
      <c r="AME3" s="120"/>
      <c r="AMF3" s="120"/>
      <c r="AMG3" s="120"/>
      <c r="AMH3" s="120"/>
      <c r="AMI3" s="120"/>
      <c r="AMJ3" s="120"/>
      <c r="AMK3" s="120"/>
      <c r="AML3" s="120"/>
      <c r="AMM3" s="120"/>
      <c r="AMN3" s="120"/>
      <c r="AMO3" s="120"/>
      <c r="AMP3" s="120"/>
      <c r="AMQ3" s="120"/>
      <c r="AMR3" s="120"/>
      <c r="AMS3" s="120"/>
      <c r="AMT3" s="120"/>
      <c r="AMU3" s="120"/>
      <c r="AMV3" s="120"/>
      <c r="AMW3" s="120"/>
      <c r="AMX3" s="120"/>
      <c r="AMY3" s="120"/>
      <c r="AMZ3" s="120"/>
      <c r="ANA3" s="120"/>
      <c r="ANB3" s="120"/>
      <c r="ANC3" s="120"/>
      <c r="AND3" s="120"/>
      <c r="ANE3" s="120"/>
      <c r="ANF3" s="120"/>
      <c r="ANG3" s="120"/>
      <c r="ANH3" s="120"/>
      <c r="ANI3" s="120"/>
      <c r="ANJ3" s="120"/>
      <c r="ANK3" s="120"/>
      <c r="ANL3" s="120"/>
      <c r="ANM3" s="120"/>
      <c r="ANN3" s="120"/>
      <c r="ANO3" s="120"/>
      <c r="ANP3" s="120"/>
      <c r="ANQ3" s="120"/>
      <c r="ANR3" s="120"/>
      <c r="ANS3" s="120"/>
      <c r="ANT3" s="120"/>
      <c r="ANU3" s="120"/>
      <c r="ANV3" s="120"/>
      <c r="ANW3" s="120"/>
      <c r="ANX3" s="120"/>
      <c r="ANY3" s="120"/>
      <c r="ANZ3" s="120"/>
      <c r="AOA3" s="120"/>
      <c r="AOB3" s="120"/>
      <c r="AOC3" s="120"/>
      <c r="AOD3" s="120"/>
      <c r="AOE3" s="120"/>
      <c r="AOF3" s="120"/>
      <c r="AOG3" s="120"/>
      <c r="AOH3" s="120"/>
      <c r="AOI3" s="120"/>
      <c r="AOJ3" s="120"/>
      <c r="AOK3" s="120"/>
      <c r="AOL3" s="120"/>
      <c r="AOM3" s="120"/>
      <c r="AON3" s="120"/>
      <c r="AOO3" s="120"/>
      <c r="AOP3" s="120"/>
      <c r="AOQ3" s="120"/>
      <c r="AOR3" s="120"/>
      <c r="AOS3" s="120"/>
      <c r="AOT3" s="120"/>
      <c r="AOU3" s="120"/>
      <c r="AOV3" s="120"/>
      <c r="AOW3" s="120"/>
      <c r="AOX3" s="120"/>
      <c r="AOY3" s="120"/>
      <c r="AOZ3" s="120"/>
      <c r="APA3" s="120"/>
      <c r="APB3" s="120"/>
      <c r="APC3" s="120"/>
      <c r="APD3" s="120"/>
      <c r="APE3" s="120"/>
      <c r="APF3" s="120"/>
      <c r="APG3" s="120"/>
      <c r="APH3" s="120"/>
      <c r="API3" s="120"/>
      <c r="APJ3" s="120"/>
      <c r="APK3" s="120"/>
      <c r="APL3" s="120"/>
      <c r="APM3" s="120"/>
      <c r="APN3" s="120"/>
      <c r="APO3" s="120"/>
      <c r="APP3" s="120"/>
      <c r="APQ3" s="120"/>
      <c r="APR3" s="120"/>
      <c r="APS3" s="120"/>
      <c r="APT3" s="120"/>
      <c r="APU3" s="120"/>
      <c r="APV3" s="120"/>
      <c r="APW3" s="120"/>
      <c r="APX3" s="120"/>
      <c r="APY3" s="120"/>
      <c r="APZ3" s="120"/>
      <c r="AQA3" s="120"/>
      <c r="AQB3" s="120"/>
      <c r="AQC3" s="120"/>
      <c r="AQD3" s="120"/>
      <c r="AQE3" s="120"/>
      <c r="AQF3" s="120"/>
      <c r="AQG3" s="120"/>
      <c r="AQH3" s="120"/>
      <c r="AQI3" s="120"/>
      <c r="AQJ3" s="120"/>
      <c r="AQK3" s="120"/>
      <c r="AQL3" s="120"/>
      <c r="AQM3" s="120"/>
      <c r="AQN3" s="120"/>
      <c r="AQO3" s="120"/>
      <c r="AQP3" s="120"/>
      <c r="AQQ3" s="120"/>
      <c r="AQR3" s="120"/>
      <c r="AQS3" s="120"/>
      <c r="AQT3" s="120"/>
      <c r="AQU3" s="120"/>
      <c r="AQV3" s="120"/>
      <c r="AQW3" s="120"/>
      <c r="AQX3" s="120"/>
      <c r="AQY3" s="120"/>
      <c r="AQZ3" s="120"/>
      <c r="ARA3" s="120"/>
      <c r="ARB3" s="120"/>
      <c r="ARC3" s="120"/>
      <c r="ARD3" s="120"/>
      <c r="ARE3" s="120"/>
      <c r="ARF3" s="120"/>
      <c r="ARG3" s="120"/>
      <c r="ARH3" s="120"/>
      <c r="ARI3" s="120"/>
      <c r="ARJ3" s="120"/>
      <c r="ARK3" s="120"/>
      <c r="ARL3" s="120"/>
      <c r="ARM3" s="120"/>
      <c r="ARN3" s="120"/>
      <c r="ARO3" s="120"/>
      <c r="ARP3" s="120"/>
      <c r="ARQ3" s="120"/>
      <c r="ARR3" s="120"/>
      <c r="ARS3" s="120"/>
      <c r="ART3" s="120"/>
      <c r="ARU3" s="120"/>
      <c r="ARV3" s="120"/>
      <c r="ARW3" s="120"/>
      <c r="ARX3" s="120"/>
      <c r="ARY3" s="120"/>
      <c r="ARZ3" s="120"/>
      <c r="ASA3" s="120"/>
      <c r="ASB3" s="120"/>
      <c r="ASC3" s="120"/>
      <c r="ASD3" s="120"/>
      <c r="ASE3" s="120"/>
      <c r="ASF3" s="120"/>
      <c r="ASG3" s="120"/>
      <c r="ASH3" s="120"/>
      <c r="ASI3" s="120"/>
      <c r="ASJ3" s="120"/>
      <c r="ASK3" s="120"/>
      <c r="ASL3" s="120"/>
      <c r="ASM3" s="120"/>
      <c r="ASN3" s="120"/>
      <c r="ASO3" s="120"/>
      <c r="ASP3" s="120"/>
      <c r="ASQ3" s="120"/>
      <c r="ASR3" s="120"/>
      <c r="ASS3" s="120"/>
      <c r="AST3" s="120"/>
      <c r="ASU3" s="120"/>
      <c r="ASV3" s="120"/>
      <c r="ASW3" s="120"/>
      <c r="ASX3" s="120"/>
      <c r="ASY3" s="120"/>
      <c r="ASZ3" s="120"/>
      <c r="ATA3" s="120"/>
      <c r="ATB3" s="120"/>
      <c r="ATC3" s="120"/>
      <c r="ATD3" s="120"/>
      <c r="ATE3" s="120"/>
      <c r="ATF3" s="120"/>
      <c r="ATG3" s="120"/>
      <c r="ATH3" s="120"/>
      <c r="ATI3" s="120"/>
      <c r="ATJ3" s="120"/>
      <c r="ATK3" s="120"/>
      <c r="ATL3" s="120"/>
      <c r="ATM3" s="120"/>
      <c r="ATN3" s="120"/>
      <c r="ATO3" s="120"/>
      <c r="ATP3" s="120"/>
      <c r="ATQ3" s="120"/>
      <c r="ATR3" s="120"/>
      <c r="ATS3" s="120"/>
      <c r="ATT3" s="120"/>
      <c r="ATU3" s="120"/>
      <c r="ATV3" s="120"/>
      <c r="ATW3" s="120"/>
      <c r="ATX3" s="120"/>
      <c r="ATY3" s="120"/>
      <c r="ATZ3" s="120"/>
      <c r="AUA3" s="120"/>
      <c r="AUB3" s="120"/>
      <c r="AUC3" s="120"/>
      <c r="AUD3" s="120"/>
      <c r="AUE3" s="120"/>
      <c r="AUF3" s="120"/>
      <c r="AUG3" s="120"/>
      <c r="AUH3" s="120"/>
      <c r="AUI3" s="120"/>
      <c r="AUJ3" s="120"/>
      <c r="AUK3" s="120"/>
      <c r="AUL3" s="120"/>
      <c r="AUM3" s="120"/>
      <c r="AUN3" s="120"/>
      <c r="AUO3" s="120"/>
      <c r="AUP3" s="120"/>
      <c r="AUQ3" s="120"/>
      <c r="AUR3" s="120"/>
      <c r="AUS3" s="120"/>
      <c r="AUT3" s="120"/>
      <c r="AUU3" s="120"/>
      <c r="AUV3" s="120"/>
      <c r="AUW3" s="120"/>
      <c r="AUX3" s="120"/>
      <c r="AUY3" s="120"/>
      <c r="AUZ3" s="120"/>
      <c r="AVA3" s="120"/>
      <c r="AVB3" s="120"/>
      <c r="AVC3" s="120"/>
      <c r="AVD3" s="120"/>
      <c r="AVE3" s="120"/>
      <c r="AVF3" s="120"/>
      <c r="AVG3" s="120"/>
      <c r="AVH3" s="120"/>
      <c r="AVI3" s="120"/>
      <c r="AVJ3" s="120"/>
      <c r="AVK3" s="120"/>
      <c r="AVL3" s="120"/>
      <c r="AVM3" s="120"/>
      <c r="AVN3" s="120"/>
      <c r="AVO3" s="120"/>
      <c r="AVP3" s="120"/>
      <c r="AVQ3" s="120"/>
      <c r="AVR3" s="120"/>
      <c r="AVS3" s="120"/>
      <c r="AVT3" s="120"/>
      <c r="AVU3" s="120"/>
      <c r="AVV3" s="120"/>
      <c r="AVW3" s="120"/>
      <c r="AVX3" s="120"/>
      <c r="AVY3" s="120"/>
      <c r="AVZ3" s="120"/>
      <c r="AWA3" s="120"/>
      <c r="AWB3" s="120"/>
      <c r="AWC3" s="120"/>
      <c r="AWD3" s="120"/>
      <c r="AWE3" s="120"/>
      <c r="AWF3" s="120"/>
      <c r="AWG3" s="120"/>
      <c r="AWH3" s="120"/>
      <c r="AWI3" s="120"/>
      <c r="AWJ3" s="120"/>
      <c r="AWK3" s="120"/>
      <c r="AWL3" s="120"/>
      <c r="AWM3" s="120"/>
      <c r="AWN3" s="120"/>
      <c r="AWO3" s="120"/>
      <c r="AWP3" s="120"/>
      <c r="AWQ3" s="120"/>
      <c r="AWR3" s="120"/>
      <c r="AWS3" s="120"/>
      <c r="AWT3" s="120"/>
      <c r="AWU3" s="120"/>
      <c r="AWV3" s="120"/>
      <c r="AWW3" s="120"/>
      <c r="AWX3" s="120"/>
      <c r="AWY3" s="120"/>
      <c r="AWZ3" s="120"/>
      <c r="AXA3" s="120"/>
      <c r="AXB3" s="120"/>
      <c r="AXC3" s="120"/>
      <c r="AXD3" s="120"/>
      <c r="AXE3" s="120"/>
      <c r="AXF3" s="120"/>
      <c r="AXG3" s="120"/>
      <c r="AXH3" s="120"/>
      <c r="AXI3" s="120"/>
      <c r="AXJ3" s="120"/>
      <c r="AXK3" s="120"/>
      <c r="AXL3" s="120"/>
      <c r="AXM3" s="120"/>
      <c r="AXN3" s="120"/>
      <c r="AXO3" s="120"/>
      <c r="AXP3" s="120"/>
      <c r="AXQ3" s="120"/>
      <c r="AXR3" s="120"/>
      <c r="AXS3" s="120"/>
      <c r="AXT3" s="120"/>
      <c r="AXU3" s="120"/>
      <c r="AXV3" s="120"/>
      <c r="AXW3" s="120"/>
      <c r="AXX3" s="120"/>
      <c r="AXY3" s="120"/>
      <c r="AXZ3" s="120"/>
      <c r="AYA3" s="120"/>
      <c r="AYB3" s="120"/>
      <c r="AYC3" s="120"/>
      <c r="AYD3" s="120"/>
      <c r="AYE3" s="120"/>
      <c r="AYF3" s="120"/>
      <c r="AYG3" s="120"/>
      <c r="AYH3" s="120"/>
      <c r="AYI3" s="120"/>
      <c r="AYJ3" s="120"/>
      <c r="AYK3" s="120"/>
      <c r="AYL3" s="120"/>
      <c r="AYM3" s="120"/>
      <c r="AYN3" s="120"/>
      <c r="AYO3" s="120"/>
      <c r="AYP3" s="120"/>
      <c r="AYQ3" s="120"/>
      <c r="AYR3" s="120"/>
      <c r="AYS3" s="120"/>
      <c r="AYT3" s="120"/>
      <c r="AYU3" s="120"/>
      <c r="AYV3" s="120"/>
      <c r="AYW3" s="120"/>
      <c r="AYX3" s="120"/>
      <c r="AYY3" s="120"/>
      <c r="AYZ3" s="120"/>
      <c r="AZA3" s="120"/>
      <c r="AZB3" s="120"/>
      <c r="AZC3" s="120"/>
      <c r="AZD3" s="120"/>
      <c r="AZE3" s="120"/>
      <c r="AZF3" s="120"/>
      <c r="AZG3" s="120"/>
      <c r="AZH3" s="120"/>
      <c r="AZI3" s="120"/>
      <c r="AZJ3" s="120"/>
      <c r="AZK3" s="120"/>
      <c r="AZL3" s="120"/>
      <c r="AZM3" s="120"/>
      <c r="AZN3" s="120"/>
      <c r="AZO3" s="120"/>
      <c r="AZP3" s="120"/>
      <c r="AZQ3" s="120"/>
      <c r="AZR3" s="120"/>
      <c r="AZS3" s="120"/>
      <c r="AZT3" s="120"/>
      <c r="AZU3" s="120"/>
      <c r="AZV3" s="120"/>
      <c r="AZW3" s="120"/>
      <c r="AZX3" s="120"/>
      <c r="AZY3" s="120"/>
      <c r="AZZ3" s="120"/>
      <c r="BAA3" s="120"/>
      <c r="BAB3" s="120"/>
      <c r="BAC3" s="120"/>
      <c r="BAD3" s="120"/>
      <c r="BAE3" s="120"/>
      <c r="BAF3" s="120"/>
      <c r="BAG3" s="120"/>
      <c r="BAH3" s="120"/>
      <c r="BAI3" s="120"/>
      <c r="BAJ3" s="120"/>
      <c r="BAK3" s="120"/>
      <c r="BAL3" s="120"/>
      <c r="BAM3" s="120"/>
      <c r="BAN3" s="120"/>
      <c r="BAO3" s="120"/>
      <c r="BAP3" s="120"/>
      <c r="BAQ3" s="120"/>
      <c r="BAR3" s="120"/>
      <c r="BAS3" s="120"/>
      <c r="BAT3" s="120"/>
      <c r="BAU3" s="120"/>
      <c r="BAV3" s="120"/>
      <c r="BAW3" s="120"/>
      <c r="BAX3" s="120"/>
      <c r="BAY3" s="120"/>
      <c r="BAZ3" s="120"/>
      <c r="BBA3" s="120"/>
      <c r="BBB3" s="120"/>
      <c r="BBC3" s="120"/>
      <c r="BBD3" s="120"/>
      <c r="BBE3" s="120"/>
      <c r="BBF3" s="120"/>
      <c r="BBG3" s="120"/>
      <c r="BBH3" s="120"/>
      <c r="BBI3" s="120"/>
      <c r="BBJ3" s="120"/>
      <c r="BBK3" s="120"/>
      <c r="BBL3" s="120"/>
      <c r="BBM3" s="120"/>
      <c r="BBN3" s="120"/>
      <c r="BBO3" s="120"/>
      <c r="BBP3" s="120"/>
      <c r="BBQ3" s="120"/>
      <c r="BBR3" s="120"/>
      <c r="BBS3" s="120"/>
      <c r="BBT3" s="120"/>
      <c r="BBU3" s="120"/>
      <c r="BBV3" s="120"/>
      <c r="BBW3" s="120"/>
      <c r="BBX3" s="120"/>
      <c r="BBY3" s="120"/>
      <c r="BBZ3" s="120"/>
      <c r="BCA3" s="120"/>
      <c r="BCB3" s="120"/>
      <c r="BCC3" s="120"/>
      <c r="BCD3" s="120"/>
      <c r="BCE3" s="120"/>
      <c r="BCF3" s="120"/>
      <c r="BCG3" s="120"/>
      <c r="BCH3" s="120"/>
      <c r="BCI3" s="120"/>
      <c r="BCJ3" s="120"/>
      <c r="BCK3" s="120"/>
      <c r="BCL3" s="120"/>
      <c r="BCM3" s="120"/>
      <c r="BCN3" s="120"/>
      <c r="BCO3" s="120"/>
      <c r="BCP3" s="120"/>
      <c r="BCQ3" s="120"/>
      <c r="BCR3" s="120"/>
      <c r="BCS3" s="120"/>
      <c r="BCT3" s="120"/>
      <c r="BCU3" s="120"/>
      <c r="BCV3" s="120"/>
      <c r="BCW3" s="120"/>
      <c r="BCX3" s="120"/>
      <c r="BCY3" s="120"/>
      <c r="BCZ3" s="120"/>
      <c r="BDA3" s="120"/>
      <c r="BDB3" s="120"/>
      <c r="BDC3" s="120"/>
      <c r="BDD3" s="120"/>
      <c r="BDE3" s="120"/>
      <c r="BDF3" s="120"/>
      <c r="BDG3" s="120"/>
      <c r="BDH3" s="120"/>
      <c r="BDI3" s="120"/>
      <c r="BDJ3" s="120"/>
      <c r="BDK3" s="120"/>
      <c r="BDL3" s="120"/>
      <c r="BDM3" s="120"/>
      <c r="BDN3" s="120"/>
      <c r="BDO3" s="120"/>
      <c r="BDP3" s="120"/>
      <c r="BDQ3" s="120"/>
      <c r="BDR3" s="120"/>
      <c r="BDS3" s="120"/>
      <c r="BDT3" s="120"/>
      <c r="BDU3" s="120"/>
      <c r="BDV3" s="120"/>
      <c r="BDW3" s="120"/>
      <c r="BDX3" s="120"/>
      <c r="BDY3" s="120"/>
      <c r="BDZ3" s="120"/>
      <c r="BEA3" s="120"/>
      <c r="BEB3" s="120"/>
      <c r="BEC3" s="120"/>
      <c r="BED3" s="120"/>
      <c r="BEE3" s="120"/>
      <c r="BEF3" s="120"/>
      <c r="BEG3" s="120"/>
      <c r="BEH3" s="120"/>
      <c r="BEI3" s="120"/>
      <c r="BEJ3" s="120"/>
      <c r="BEK3" s="120"/>
      <c r="BEL3" s="120"/>
      <c r="BEM3" s="120"/>
      <c r="BEN3" s="120"/>
      <c r="BEO3" s="120"/>
      <c r="BEP3" s="120"/>
      <c r="BEQ3" s="120"/>
      <c r="BER3" s="120"/>
      <c r="BES3" s="120"/>
      <c r="BET3" s="120"/>
      <c r="BEU3" s="120"/>
      <c r="BEV3" s="120"/>
      <c r="BEW3" s="120"/>
      <c r="BEX3" s="120"/>
      <c r="BEY3" s="120"/>
      <c r="BEZ3" s="120"/>
      <c r="BFA3" s="120"/>
      <c r="BFB3" s="120"/>
      <c r="BFC3" s="120"/>
      <c r="BFD3" s="120"/>
      <c r="BFE3" s="120"/>
      <c r="BFF3" s="120"/>
      <c r="BFG3" s="120"/>
      <c r="BFH3" s="120"/>
      <c r="BFI3" s="120"/>
      <c r="BFJ3" s="120"/>
      <c r="BFK3" s="120"/>
      <c r="BFL3" s="120"/>
      <c r="BFM3" s="120"/>
      <c r="BFN3" s="120"/>
      <c r="BFO3" s="120"/>
      <c r="BFP3" s="120"/>
      <c r="BFQ3" s="120"/>
      <c r="BFR3" s="120"/>
      <c r="BFS3" s="120"/>
      <c r="BFT3" s="120"/>
      <c r="BFU3" s="120"/>
      <c r="BFV3" s="120"/>
      <c r="BFW3" s="120"/>
      <c r="BFX3" s="120"/>
      <c r="BFY3" s="120"/>
      <c r="BFZ3" s="120"/>
      <c r="BGA3" s="120"/>
      <c r="BGB3" s="120"/>
      <c r="BGC3" s="120"/>
      <c r="BGD3" s="120"/>
      <c r="BGE3" s="120"/>
      <c r="BGF3" s="120"/>
      <c r="BGG3" s="120"/>
      <c r="BGH3" s="120"/>
      <c r="BGI3" s="120"/>
      <c r="BGJ3" s="120"/>
      <c r="BGK3" s="120"/>
      <c r="BGL3" s="120"/>
      <c r="BGM3" s="120"/>
      <c r="BGN3" s="120"/>
      <c r="BGO3" s="120"/>
      <c r="BGP3" s="120"/>
      <c r="BGQ3" s="120"/>
      <c r="BGR3" s="120"/>
      <c r="BGS3" s="120"/>
      <c r="BGT3" s="120"/>
      <c r="BGU3" s="120"/>
      <c r="BGV3" s="120"/>
      <c r="BGW3" s="120"/>
      <c r="BGX3" s="120"/>
      <c r="BGY3" s="120"/>
      <c r="BGZ3" s="120"/>
      <c r="BHA3" s="120"/>
      <c r="BHB3" s="120"/>
      <c r="BHC3" s="120"/>
      <c r="BHD3" s="120"/>
      <c r="BHE3" s="120"/>
      <c r="BHF3" s="120"/>
      <c r="BHG3" s="120"/>
      <c r="BHH3" s="120"/>
      <c r="BHI3" s="120"/>
      <c r="BHJ3" s="120"/>
      <c r="BHK3" s="120"/>
      <c r="BHL3" s="120"/>
      <c r="BHM3" s="120"/>
      <c r="BHN3" s="120"/>
      <c r="BHO3" s="120"/>
      <c r="BHP3" s="120"/>
      <c r="BHQ3" s="120"/>
      <c r="BHR3" s="120"/>
      <c r="BHS3" s="120"/>
      <c r="BHT3" s="120"/>
      <c r="BHU3" s="120"/>
      <c r="BHV3" s="120"/>
      <c r="BHW3" s="120"/>
      <c r="BHX3" s="120"/>
      <c r="BHY3" s="120"/>
      <c r="BHZ3" s="120"/>
      <c r="BIA3" s="120"/>
      <c r="BIB3" s="120"/>
      <c r="BIC3" s="120"/>
      <c r="BID3" s="120"/>
      <c r="BIE3" s="120"/>
      <c r="BIF3" s="120"/>
      <c r="BIG3" s="120"/>
      <c r="BIH3" s="120"/>
      <c r="BII3" s="120"/>
      <c r="BIJ3" s="120"/>
      <c r="BIK3" s="120"/>
      <c r="BIL3" s="120"/>
      <c r="BIM3" s="120"/>
      <c r="BIN3" s="120"/>
      <c r="BIO3" s="120"/>
      <c r="BIP3" s="120"/>
      <c r="BIQ3" s="120"/>
      <c r="BIR3" s="120"/>
      <c r="BIS3" s="120"/>
      <c r="BIT3" s="120"/>
      <c r="BIU3" s="120"/>
      <c r="BIV3" s="120"/>
      <c r="BIW3" s="120"/>
      <c r="BIX3" s="120"/>
      <c r="BIY3" s="120"/>
      <c r="BIZ3" s="120"/>
      <c r="BJA3" s="120"/>
      <c r="BJB3" s="120"/>
      <c r="BJC3" s="120"/>
      <c r="BJD3" s="120"/>
      <c r="BJE3" s="120"/>
      <c r="BJF3" s="120"/>
      <c r="BJG3" s="120"/>
      <c r="BJH3" s="120"/>
      <c r="BJI3" s="120"/>
      <c r="BJJ3" s="120"/>
      <c r="BJK3" s="120"/>
      <c r="BJL3" s="120"/>
      <c r="BJM3" s="120"/>
      <c r="BJN3" s="120"/>
      <c r="BJO3" s="120"/>
      <c r="BJP3" s="120"/>
      <c r="BJQ3" s="120"/>
      <c r="BJR3" s="120"/>
      <c r="BJS3" s="120"/>
      <c r="BJT3" s="120"/>
      <c r="BJU3" s="120"/>
      <c r="BJV3" s="120"/>
      <c r="BJW3" s="120"/>
      <c r="BJX3" s="120"/>
      <c r="BJY3" s="120"/>
      <c r="BJZ3" s="120"/>
      <c r="BKA3" s="120"/>
      <c r="BKB3" s="120"/>
      <c r="BKC3" s="120"/>
      <c r="BKD3" s="120"/>
      <c r="BKE3" s="120"/>
      <c r="BKF3" s="120"/>
      <c r="BKG3" s="120"/>
      <c r="BKH3" s="120"/>
      <c r="BKI3" s="120"/>
      <c r="BKJ3" s="120"/>
      <c r="BKK3" s="120"/>
      <c r="BKL3" s="120"/>
      <c r="BKM3" s="120"/>
      <c r="BKN3" s="120"/>
      <c r="BKO3" s="120"/>
      <c r="BKP3" s="120"/>
      <c r="BKQ3" s="120"/>
      <c r="BKR3" s="120"/>
      <c r="BKS3" s="120"/>
      <c r="BKT3" s="120"/>
      <c r="BKU3" s="120"/>
      <c r="BKV3" s="120"/>
      <c r="BKW3" s="120"/>
      <c r="BKX3" s="120"/>
      <c r="BKY3" s="120"/>
      <c r="BKZ3" s="120"/>
      <c r="BLA3" s="120"/>
      <c r="BLB3" s="120"/>
      <c r="BLC3" s="120"/>
      <c r="BLD3" s="120"/>
      <c r="BLE3" s="120"/>
      <c r="BLF3" s="120"/>
      <c r="BLG3" s="120"/>
      <c r="BLH3" s="120"/>
      <c r="BLI3" s="120"/>
      <c r="BLJ3" s="120"/>
      <c r="BLK3" s="120"/>
      <c r="BLL3" s="120"/>
      <c r="BLM3" s="120"/>
      <c r="BLN3" s="120"/>
      <c r="BLO3" s="120"/>
      <c r="BLP3" s="120"/>
      <c r="BLQ3" s="120"/>
      <c r="BLR3" s="120"/>
      <c r="BLS3" s="120"/>
      <c r="BLT3" s="120"/>
      <c r="BLU3" s="120"/>
      <c r="BLV3" s="120"/>
      <c r="BLW3" s="120"/>
      <c r="BLX3" s="120"/>
      <c r="BLY3" s="120"/>
      <c r="BLZ3" s="120"/>
      <c r="BMA3" s="120"/>
      <c r="BMB3" s="120"/>
      <c r="BMC3" s="120"/>
      <c r="BMD3" s="120"/>
      <c r="BME3" s="120"/>
      <c r="BMF3" s="120"/>
      <c r="BMG3" s="120"/>
      <c r="BMH3" s="120"/>
      <c r="BMI3" s="120"/>
      <c r="BMJ3" s="120"/>
      <c r="BMK3" s="120"/>
      <c r="BML3" s="120"/>
      <c r="BMM3" s="120"/>
      <c r="BMN3" s="120"/>
      <c r="BMO3" s="120"/>
      <c r="BMP3" s="120"/>
      <c r="BMQ3" s="120"/>
      <c r="BMR3" s="120"/>
      <c r="BMS3" s="120"/>
      <c r="BMT3" s="120"/>
      <c r="BMU3" s="120"/>
      <c r="BMV3" s="120"/>
      <c r="BMW3" s="120"/>
      <c r="BMX3" s="120"/>
      <c r="BMY3" s="120"/>
      <c r="BMZ3" s="120"/>
      <c r="BNA3" s="120"/>
      <c r="BNB3" s="120"/>
      <c r="BNC3" s="120"/>
      <c r="BND3" s="120"/>
      <c r="BNE3" s="120"/>
      <c r="BNF3" s="120"/>
      <c r="BNG3" s="120"/>
      <c r="BNH3" s="120"/>
      <c r="BNI3" s="120"/>
      <c r="BNJ3" s="120"/>
      <c r="BNK3" s="120"/>
      <c r="BNL3" s="120"/>
      <c r="BNM3" s="120"/>
      <c r="BNN3" s="120"/>
      <c r="BNO3" s="120"/>
      <c r="BNP3" s="120"/>
      <c r="BNQ3" s="120"/>
      <c r="BNR3" s="120"/>
      <c r="BNS3" s="120"/>
      <c r="BNT3" s="120"/>
      <c r="BNU3" s="120"/>
      <c r="BNV3" s="120"/>
      <c r="BNW3" s="120"/>
      <c r="BNX3" s="120"/>
      <c r="BNY3" s="120"/>
      <c r="BNZ3" s="120"/>
      <c r="BOA3" s="120"/>
      <c r="BOB3" s="120"/>
      <c r="BOC3" s="120"/>
      <c r="BOD3" s="120"/>
      <c r="BOE3" s="120"/>
      <c r="BOF3" s="120"/>
      <c r="BOG3" s="120"/>
      <c r="BOH3" s="120"/>
      <c r="BOI3" s="120"/>
      <c r="BOJ3" s="120"/>
      <c r="BOK3" s="120"/>
      <c r="BOL3" s="120"/>
      <c r="BOM3" s="120"/>
      <c r="BON3" s="120"/>
      <c r="BOO3" s="120"/>
      <c r="BOP3" s="120"/>
      <c r="BOQ3" s="120"/>
      <c r="BOR3" s="120"/>
      <c r="BOS3" s="120"/>
      <c r="BOT3" s="120"/>
      <c r="BOU3" s="120"/>
      <c r="BOV3" s="120"/>
      <c r="BOW3" s="120"/>
      <c r="BOX3" s="120"/>
      <c r="BOY3" s="120"/>
      <c r="BOZ3" s="120"/>
      <c r="BPA3" s="120"/>
      <c r="BPB3" s="120"/>
      <c r="BPC3" s="120"/>
      <c r="BPD3" s="120"/>
      <c r="BPE3" s="120"/>
      <c r="BPF3" s="120"/>
      <c r="BPG3" s="120"/>
      <c r="BPH3" s="120"/>
      <c r="BPI3" s="120"/>
      <c r="BPJ3" s="120"/>
      <c r="BPK3" s="120"/>
      <c r="BPL3" s="120"/>
      <c r="BPM3" s="120"/>
      <c r="BPN3" s="120"/>
      <c r="BPO3" s="120"/>
      <c r="BPP3" s="120"/>
      <c r="BPQ3" s="120"/>
      <c r="BPR3" s="120"/>
      <c r="BPS3" s="120"/>
      <c r="BPT3" s="120"/>
      <c r="BPU3" s="120"/>
      <c r="BPV3" s="120"/>
      <c r="BPW3" s="120"/>
      <c r="BPX3" s="120"/>
      <c r="BPY3" s="120"/>
      <c r="BPZ3" s="120"/>
      <c r="BQA3" s="120"/>
      <c r="BQB3" s="120"/>
      <c r="BQC3" s="120"/>
      <c r="BQD3" s="120"/>
      <c r="BQE3" s="120"/>
      <c r="BQF3" s="120"/>
      <c r="BQG3" s="120"/>
      <c r="BQH3" s="120"/>
      <c r="BQI3" s="120"/>
      <c r="BQJ3" s="120"/>
      <c r="BQK3" s="120"/>
      <c r="BQL3" s="120"/>
      <c r="BQM3" s="120"/>
      <c r="BQN3" s="120"/>
      <c r="BQO3" s="120"/>
      <c r="BQP3" s="120"/>
      <c r="BQQ3" s="120"/>
      <c r="BQR3" s="120"/>
      <c r="BQS3" s="120"/>
      <c r="BQT3" s="120"/>
      <c r="BQU3" s="120"/>
      <c r="BQV3" s="120"/>
      <c r="BQW3" s="120"/>
      <c r="BQX3" s="120"/>
      <c r="BQY3" s="120"/>
      <c r="BQZ3" s="120"/>
      <c r="BRA3" s="120"/>
      <c r="BRB3" s="120"/>
      <c r="BRC3" s="120"/>
      <c r="BRD3" s="120"/>
      <c r="BRE3" s="120"/>
      <c r="BRF3" s="120"/>
      <c r="BRG3" s="120"/>
      <c r="BRH3" s="120"/>
      <c r="BRI3" s="120"/>
      <c r="BRJ3" s="120"/>
      <c r="BRK3" s="120"/>
      <c r="BRL3" s="120"/>
      <c r="BRM3" s="120"/>
      <c r="BRN3" s="120"/>
      <c r="BRO3" s="120"/>
      <c r="BRP3" s="120"/>
      <c r="BRQ3" s="120"/>
      <c r="BRR3" s="120"/>
      <c r="BRS3" s="120"/>
      <c r="BRT3" s="120"/>
      <c r="BRU3" s="120"/>
      <c r="BRV3" s="120"/>
      <c r="BRW3" s="120"/>
      <c r="BRX3" s="120"/>
      <c r="BRY3" s="120"/>
      <c r="BRZ3" s="120"/>
      <c r="BSA3" s="120"/>
      <c r="BSB3" s="120"/>
      <c r="BSC3" s="120"/>
      <c r="BSD3" s="120"/>
      <c r="BSE3" s="120"/>
      <c r="BSF3" s="120"/>
      <c r="BSG3" s="120"/>
      <c r="BSH3" s="120"/>
      <c r="BSI3" s="120"/>
      <c r="BSJ3" s="120"/>
      <c r="BSK3" s="120"/>
      <c r="BSL3" s="120"/>
      <c r="BSM3" s="120"/>
      <c r="BSN3" s="120"/>
      <c r="BSO3" s="120"/>
      <c r="BSP3" s="120"/>
      <c r="BSQ3" s="120"/>
      <c r="BSR3" s="120"/>
      <c r="BSS3" s="120"/>
      <c r="BST3" s="120"/>
      <c r="BSU3" s="120"/>
      <c r="BSV3" s="120"/>
      <c r="BSW3" s="120"/>
      <c r="BSX3" s="120"/>
      <c r="BSY3" s="120"/>
      <c r="BSZ3" s="120"/>
      <c r="BTA3" s="120"/>
      <c r="BTB3" s="120"/>
      <c r="BTC3" s="120"/>
      <c r="BTD3" s="120"/>
      <c r="BTE3" s="120"/>
      <c r="BTF3" s="120"/>
      <c r="BTG3" s="120"/>
      <c r="BTH3" s="120"/>
      <c r="BTI3" s="120"/>
      <c r="BTJ3" s="120"/>
      <c r="BTK3" s="120"/>
      <c r="BTL3" s="120"/>
      <c r="BTM3" s="120"/>
      <c r="BTN3" s="120"/>
      <c r="BTO3" s="120"/>
      <c r="BTP3" s="120"/>
      <c r="BTQ3" s="120"/>
      <c r="BTR3" s="120"/>
      <c r="BTS3" s="120"/>
      <c r="BTT3" s="120"/>
      <c r="BTU3" s="120"/>
      <c r="BTV3" s="120"/>
      <c r="BTW3" s="120"/>
      <c r="BTX3" s="120"/>
      <c r="BTY3" s="120"/>
      <c r="BTZ3" s="120"/>
      <c r="BUA3" s="120"/>
      <c r="BUB3" s="120"/>
      <c r="BUC3" s="120"/>
      <c r="BUD3" s="120"/>
      <c r="BUE3" s="120"/>
      <c r="BUF3" s="120"/>
      <c r="BUG3" s="120"/>
      <c r="BUH3" s="120"/>
      <c r="BUI3" s="120"/>
      <c r="BUJ3" s="120"/>
      <c r="BUK3" s="120"/>
      <c r="BUL3" s="120"/>
      <c r="BUM3" s="120"/>
      <c r="BUN3" s="120"/>
      <c r="BUO3" s="120"/>
      <c r="BUP3" s="120"/>
      <c r="BUQ3" s="120"/>
      <c r="BUR3" s="120"/>
      <c r="BUS3" s="120"/>
      <c r="BUT3" s="120"/>
      <c r="BUU3" s="120"/>
      <c r="BUV3" s="120"/>
      <c r="BUW3" s="120"/>
      <c r="BUX3" s="120"/>
      <c r="BUY3" s="120"/>
      <c r="BUZ3" s="120"/>
      <c r="BVA3" s="120"/>
      <c r="BVB3" s="120"/>
      <c r="BVC3" s="120"/>
      <c r="BVD3" s="120"/>
      <c r="BVE3" s="120"/>
      <c r="BVF3" s="120"/>
      <c r="BVG3" s="120"/>
      <c r="BVH3" s="120"/>
      <c r="BVI3" s="120"/>
      <c r="BVJ3" s="120"/>
      <c r="BVK3" s="120"/>
      <c r="BVL3" s="120"/>
      <c r="BVM3" s="120"/>
      <c r="BVN3" s="120"/>
      <c r="BVO3" s="120"/>
      <c r="BVP3" s="120"/>
      <c r="BVQ3" s="120"/>
      <c r="BVR3" s="120"/>
      <c r="BVS3" s="120"/>
      <c r="BVT3" s="120"/>
      <c r="BVU3" s="120"/>
      <c r="BVV3" s="120"/>
      <c r="BVW3" s="120"/>
      <c r="BVX3" s="120"/>
      <c r="BVY3" s="120"/>
      <c r="BVZ3" s="120"/>
      <c r="BWA3" s="120"/>
      <c r="BWB3" s="120"/>
      <c r="BWC3" s="120"/>
      <c r="BWD3" s="120"/>
      <c r="BWE3" s="120"/>
      <c r="BWF3" s="120"/>
      <c r="BWG3" s="120"/>
      <c r="BWH3" s="120"/>
      <c r="BWI3" s="120"/>
      <c r="BWJ3" s="120"/>
      <c r="BWK3" s="120"/>
      <c r="BWL3" s="120"/>
      <c r="BWM3" s="120"/>
      <c r="BWN3" s="120"/>
      <c r="BWO3" s="120"/>
      <c r="BWP3" s="120"/>
      <c r="BWQ3" s="120"/>
      <c r="BWR3" s="120"/>
      <c r="BWS3" s="120"/>
      <c r="BWT3" s="120"/>
      <c r="BWU3" s="120"/>
      <c r="BWV3" s="120"/>
      <c r="BWW3" s="120"/>
      <c r="BWX3" s="120"/>
      <c r="BWY3" s="120"/>
      <c r="BWZ3" s="120"/>
      <c r="BXA3" s="120"/>
      <c r="BXB3" s="120"/>
      <c r="BXC3" s="120"/>
      <c r="BXD3" s="120"/>
      <c r="BXE3" s="120"/>
      <c r="BXF3" s="120"/>
      <c r="BXG3" s="120"/>
      <c r="BXH3" s="120"/>
      <c r="BXI3" s="120"/>
      <c r="BXJ3" s="120"/>
      <c r="BXK3" s="120"/>
      <c r="BXL3" s="120"/>
      <c r="BXM3" s="120"/>
      <c r="BXN3" s="120"/>
      <c r="BXO3" s="120"/>
      <c r="BXP3" s="120"/>
      <c r="BXQ3" s="120"/>
      <c r="BXR3" s="120"/>
      <c r="BXS3" s="120"/>
      <c r="BXT3" s="120"/>
      <c r="BXU3" s="120"/>
      <c r="BXV3" s="120"/>
      <c r="BXW3" s="120"/>
      <c r="BXX3" s="120"/>
      <c r="BXY3" s="120"/>
      <c r="BXZ3" s="120"/>
      <c r="BYA3" s="120"/>
      <c r="BYB3" s="120"/>
      <c r="BYC3" s="120"/>
      <c r="BYD3" s="120"/>
      <c r="BYE3" s="120"/>
      <c r="BYF3" s="120"/>
      <c r="BYG3" s="120"/>
      <c r="BYH3" s="120"/>
      <c r="BYI3" s="120"/>
      <c r="BYJ3" s="120"/>
      <c r="BYK3" s="120"/>
      <c r="BYL3" s="120"/>
      <c r="BYM3" s="120"/>
      <c r="BYN3" s="120"/>
      <c r="BYO3" s="120"/>
      <c r="BYP3" s="120"/>
      <c r="BYQ3" s="120"/>
      <c r="BYR3" s="120"/>
      <c r="BYS3" s="120"/>
      <c r="BYT3" s="120"/>
      <c r="BYU3" s="120"/>
      <c r="BYV3" s="120"/>
      <c r="BYW3" s="120"/>
      <c r="BYX3" s="120"/>
      <c r="BYY3" s="120"/>
      <c r="BYZ3" s="120"/>
      <c r="BZA3" s="120"/>
      <c r="BZB3" s="120"/>
      <c r="BZC3" s="120"/>
      <c r="BZD3" s="120"/>
      <c r="BZE3" s="120"/>
      <c r="BZF3" s="120"/>
      <c r="BZG3" s="120"/>
      <c r="BZH3" s="120"/>
      <c r="BZI3" s="120"/>
      <c r="BZJ3" s="120"/>
      <c r="BZK3" s="120"/>
      <c r="BZL3" s="120"/>
      <c r="BZM3" s="120"/>
      <c r="BZN3" s="120"/>
      <c r="BZO3" s="120"/>
      <c r="BZP3" s="120"/>
      <c r="BZQ3" s="120"/>
      <c r="BZR3" s="120"/>
      <c r="BZS3" s="120"/>
      <c r="BZT3" s="120"/>
      <c r="BZU3" s="120"/>
      <c r="BZV3" s="120"/>
      <c r="BZW3" s="120"/>
      <c r="BZX3" s="120"/>
      <c r="BZY3" s="120"/>
      <c r="BZZ3" s="120"/>
      <c r="CAA3" s="120"/>
      <c r="CAB3" s="120"/>
      <c r="CAC3" s="120"/>
      <c r="CAD3" s="120"/>
      <c r="CAE3" s="120"/>
      <c r="CAF3" s="120"/>
      <c r="CAG3" s="120"/>
      <c r="CAH3" s="120"/>
      <c r="CAI3" s="120"/>
      <c r="CAJ3" s="120"/>
      <c r="CAK3" s="120"/>
      <c r="CAL3" s="120"/>
      <c r="CAM3" s="120"/>
      <c r="CAN3" s="120"/>
      <c r="CAO3" s="120"/>
      <c r="CAP3" s="120"/>
      <c r="CAQ3" s="120"/>
      <c r="CAR3" s="120"/>
      <c r="CAS3" s="120"/>
      <c r="CAT3" s="120"/>
      <c r="CAU3" s="120"/>
      <c r="CAV3" s="120"/>
      <c r="CAW3" s="120"/>
      <c r="CAX3" s="120"/>
      <c r="CAY3" s="120"/>
      <c r="CAZ3" s="120"/>
      <c r="CBA3" s="120"/>
      <c r="CBB3" s="120"/>
      <c r="CBC3" s="120"/>
      <c r="CBD3" s="120"/>
      <c r="CBE3" s="120"/>
      <c r="CBF3" s="120"/>
      <c r="CBG3" s="120"/>
      <c r="CBH3" s="120"/>
      <c r="CBI3" s="120"/>
      <c r="CBJ3" s="120"/>
      <c r="CBK3" s="120"/>
      <c r="CBL3" s="120"/>
      <c r="CBM3" s="120"/>
      <c r="CBN3" s="120"/>
      <c r="CBO3" s="120"/>
      <c r="CBP3" s="120"/>
      <c r="CBQ3" s="120"/>
      <c r="CBR3" s="120"/>
      <c r="CBS3" s="120"/>
      <c r="CBT3" s="120"/>
      <c r="CBU3" s="120"/>
      <c r="CBV3" s="120"/>
      <c r="CBW3" s="120"/>
      <c r="CBX3" s="120"/>
      <c r="CBY3" s="120"/>
      <c r="CBZ3" s="120"/>
      <c r="CCA3" s="120"/>
      <c r="CCB3" s="120"/>
      <c r="CCC3" s="120"/>
      <c r="CCD3" s="120"/>
      <c r="CCE3" s="120"/>
      <c r="CCF3" s="120"/>
      <c r="CCG3" s="120"/>
      <c r="CCH3" s="120"/>
      <c r="CCI3" s="120"/>
      <c r="CCJ3" s="120"/>
      <c r="CCK3" s="120"/>
      <c r="CCL3" s="120"/>
      <c r="CCM3" s="120"/>
      <c r="CCN3" s="120"/>
      <c r="CCO3" s="120"/>
      <c r="CCP3" s="120"/>
      <c r="CCQ3" s="120"/>
      <c r="CCR3" s="120"/>
      <c r="CCS3" s="120"/>
      <c r="CCT3" s="120"/>
      <c r="CCU3" s="120"/>
      <c r="CCV3" s="120"/>
      <c r="CCW3" s="120"/>
      <c r="CCX3" s="120"/>
      <c r="CCY3" s="120"/>
      <c r="CCZ3" s="120"/>
      <c r="CDA3" s="120"/>
      <c r="CDB3" s="120"/>
      <c r="CDC3" s="120"/>
      <c r="CDD3" s="120"/>
      <c r="CDE3" s="120"/>
      <c r="CDF3" s="120"/>
      <c r="CDG3" s="120"/>
      <c r="CDH3" s="120"/>
      <c r="CDI3" s="120"/>
      <c r="CDJ3" s="120"/>
      <c r="CDK3" s="120"/>
      <c r="CDL3" s="120"/>
      <c r="CDM3" s="120"/>
      <c r="CDN3" s="120"/>
      <c r="CDO3" s="120"/>
      <c r="CDP3" s="120"/>
      <c r="CDQ3" s="120"/>
      <c r="CDR3" s="120"/>
      <c r="CDS3" s="120"/>
      <c r="CDT3" s="120"/>
      <c r="CDU3" s="120"/>
      <c r="CDV3" s="120"/>
      <c r="CDW3" s="120"/>
      <c r="CDX3" s="120"/>
      <c r="CDY3" s="120"/>
      <c r="CDZ3" s="120"/>
      <c r="CEA3" s="120"/>
      <c r="CEB3" s="120"/>
      <c r="CEC3" s="120"/>
      <c r="CED3" s="120"/>
      <c r="CEE3" s="120"/>
      <c r="CEF3" s="120"/>
      <c r="CEG3" s="120"/>
      <c r="CEH3" s="120"/>
      <c r="CEI3" s="120"/>
      <c r="CEJ3" s="120"/>
      <c r="CEK3" s="120"/>
      <c r="CEL3" s="120"/>
      <c r="CEM3" s="120"/>
      <c r="CEN3" s="120"/>
      <c r="CEO3" s="120"/>
      <c r="CEP3" s="120"/>
      <c r="CEQ3" s="120"/>
      <c r="CER3" s="120"/>
      <c r="CES3" s="120"/>
      <c r="CET3" s="120"/>
      <c r="CEU3" s="120"/>
      <c r="CEV3" s="120"/>
      <c r="CEW3" s="120"/>
      <c r="CEX3" s="120"/>
      <c r="CEY3" s="120"/>
      <c r="CEZ3" s="120"/>
      <c r="CFA3" s="120"/>
      <c r="CFB3" s="120"/>
      <c r="CFC3" s="120"/>
      <c r="CFD3" s="120"/>
      <c r="CFE3" s="120"/>
      <c r="CFF3" s="120"/>
      <c r="CFG3" s="120"/>
      <c r="CFH3" s="120"/>
      <c r="CFI3" s="120"/>
      <c r="CFJ3" s="120"/>
      <c r="CFK3" s="120"/>
      <c r="CFL3" s="120"/>
      <c r="CFM3" s="120"/>
      <c r="CFN3" s="120"/>
      <c r="CFO3" s="120"/>
      <c r="CFP3" s="120"/>
      <c r="CFQ3" s="120"/>
      <c r="CFR3" s="120"/>
      <c r="CFS3" s="120"/>
      <c r="CFT3" s="120"/>
      <c r="CFU3" s="120"/>
      <c r="CFV3" s="120"/>
      <c r="CFW3" s="120"/>
      <c r="CFX3" s="120"/>
      <c r="CFY3" s="120"/>
      <c r="CFZ3" s="120"/>
      <c r="CGA3" s="120"/>
      <c r="CGB3" s="120"/>
      <c r="CGC3" s="120"/>
      <c r="CGD3" s="120"/>
      <c r="CGE3" s="120"/>
      <c r="CGF3" s="120"/>
      <c r="CGG3" s="120"/>
      <c r="CGH3" s="120"/>
      <c r="CGI3" s="120"/>
      <c r="CGJ3" s="120"/>
      <c r="CGK3" s="120"/>
      <c r="CGL3" s="120"/>
      <c r="CGM3" s="120"/>
      <c r="CGN3" s="120"/>
      <c r="CGO3" s="120"/>
      <c r="CGP3" s="120"/>
      <c r="CGQ3" s="120"/>
      <c r="CGR3" s="120"/>
      <c r="CGS3" s="120"/>
      <c r="CGT3" s="120"/>
      <c r="CGU3" s="120"/>
      <c r="CGV3" s="120"/>
      <c r="CGW3" s="120"/>
      <c r="CGX3" s="120"/>
      <c r="CGY3" s="120"/>
      <c r="CGZ3" s="120"/>
      <c r="CHA3" s="120"/>
      <c r="CHB3" s="120"/>
      <c r="CHC3" s="120"/>
      <c r="CHD3" s="120"/>
      <c r="CHE3" s="120"/>
      <c r="CHF3" s="120"/>
      <c r="CHG3" s="120"/>
      <c r="CHH3" s="120"/>
      <c r="CHI3" s="120"/>
      <c r="CHJ3" s="120"/>
      <c r="CHK3" s="120"/>
      <c r="CHL3" s="120"/>
      <c r="CHM3" s="120"/>
      <c r="CHN3" s="120"/>
      <c r="CHO3" s="120"/>
      <c r="CHP3" s="120"/>
      <c r="CHQ3" s="120"/>
      <c r="CHR3" s="120"/>
      <c r="CHS3" s="120"/>
      <c r="CHT3" s="120"/>
      <c r="CHU3" s="120"/>
      <c r="CHV3" s="120"/>
      <c r="CHW3" s="120"/>
      <c r="CHX3" s="120"/>
      <c r="CHY3" s="120"/>
      <c r="CHZ3" s="120"/>
      <c r="CIA3" s="120"/>
      <c r="CIB3" s="120"/>
      <c r="CIC3" s="120"/>
      <c r="CID3" s="120"/>
      <c r="CIE3" s="120"/>
      <c r="CIF3" s="120"/>
      <c r="CIG3" s="120"/>
      <c r="CIH3" s="120"/>
      <c r="CII3" s="120"/>
      <c r="CIJ3" s="120"/>
      <c r="CIK3" s="120"/>
      <c r="CIL3" s="120"/>
      <c r="CIM3" s="120"/>
      <c r="CIN3" s="120"/>
      <c r="CIO3" s="120"/>
      <c r="CIP3" s="120"/>
      <c r="CIQ3" s="120"/>
      <c r="CIR3" s="120"/>
      <c r="CIS3" s="120"/>
      <c r="CIT3" s="120"/>
      <c r="CIU3" s="120"/>
      <c r="CIV3" s="120"/>
      <c r="CIW3" s="120"/>
      <c r="CIX3" s="120"/>
      <c r="CIY3" s="120"/>
      <c r="CIZ3" s="120"/>
      <c r="CJA3" s="120"/>
      <c r="CJB3" s="120"/>
      <c r="CJC3" s="120"/>
      <c r="CJD3" s="120"/>
      <c r="CJE3" s="120"/>
      <c r="CJF3" s="120"/>
      <c r="CJG3" s="120"/>
      <c r="CJH3" s="120"/>
      <c r="CJI3" s="120"/>
      <c r="CJJ3" s="120"/>
      <c r="CJK3" s="120"/>
      <c r="CJL3" s="120"/>
      <c r="CJM3" s="120"/>
      <c r="CJN3" s="120"/>
      <c r="CJO3" s="120"/>
      <c r="CJP3" s="120"/>
      <c r="CJQ3" s="120"/>
      <c r="CJR3" s="120"/>
      <c r="CJS3" s="120"/>
      <c r="CJT3" s="120"/>
      <c r="CJU3" s="120"/>
      <c r="CJV3" s="120"/>
      <c r="CJW3" s="120"/>
      <c r="CJX3" s="120"/>
      <c r="CJY3" s="120"/>
      <c r="CJZ3" s="120"/>
      <c r="CKA3" s="120"/>
      <c r="CKB3" s="120"/>
      <c r="CKC3" s="120"/>
      <c r="CKD3" s="120"/>
      <c r="CKE3" s="120"/>
      <c r="CKF3" s="120"/>
      <c r="CKG3" s="120"/>
      <c r="CKH3" s="120"/>
      <c r="CKI3" s="120"/>
      <c r="CKJ3" s="120"/>
      <c r="CKK3" s="120"/>
      <c r="CKL3" s="120"/>
      <c r="CKM3" s="120"/>
      <c r="CKN3" s="120"/>
      <c r="CKO3" s="120"/>
      <c r="CKP3" s="120"/>
      <c r="CKQ3" s="120"/>
      <c r="CKR3" s="120"/>
      <c r="CKS3" s="120"/>
      <c r="CKT3" s="120"/>
      <c r="CKU3" s="120"/>
      <c r="CKV3" s="120"/>
      <c r="CKW3" s="120"/>
      <c r="CKX3" s="120"/>
      <c r="CKY3" s="120"/>
      <c r="CKZ3" s="120"/>
      <c r="CLA3" s="120"/>
      <c r="CLB3" s="120"/>
      <c r="CLC3" s="120"/>
      <c r="CLD3" s="120"/>
      <c r="CLE3" s="120"/>
      <c r="CLF3" s="120"/>
      <c r="CLG3" s="120"/>
      <c r="CLH3" s="120"/>
      <c r="CLI3" s="120"/>
      <c r="CLJ3" s="120"/>
      <c r="CLK3" s="120"/>
      <c r="CLL3" s="120"/>
      <c r="CLM3" s="120"/>
      <c r="CLN3" s="120"/>
      <c r="CLO3" s="120"/>
      <c r="CLP3" s="120"/>
      <c r="CLQ3" s="120"/>
      <c r="CLR3" s="120"/>
      <c r="CLS3" s="120"/>
      <c r="CLT3" s="120"/>
      <c r="CLU3" s="120"/>
      <c r="CLV3" s="120"/>
      <c r="CLW3" s="120"/>
      <c r="CLX3" s="120"/>
      <c r="CLY3" s="120"/>
      <c r="CLZ3" s="120"/>
      <c r="CMA3" s="120"/>
      <c r="CMB3" s="120"/>
      <c r="CMC3" s="120"/>
      <c r="CMD3" s="120"/>
      <c r="CME3" s="120"/>
      <c r="CMF3" s="120"/>
      <c r="CMG3" s="120"/>
      <c r="CMH3" s="120"/>
      <c r="CMI3" s="120"/>
      <c r="CMJ3" s="120"/>
      <c r="CMK3" s="120"/>
      <c r="CML3" s="120"/>
      <c r="CMM3" s="120"/>
      <c r="CMN3" s="120"/>
      <c r="CMO3" s="120"/>
      <c r="CMP3" s="120"/>
      <c r="CMQ3" s="120"/>
      <c r="CMR3" s="120"/>
      <c r="CMS3" s="120"/>
      <c r="CMT3" s="120"/>
      <c r="CMU3" s="120"/>
      <c r="CMV3" s="120"/>
      <c r="CMW3" s="120"/>
      <c r="CMX3" s="120"/>
      <c r="CMY3" s="120"/>
      <c r="CMZ3" s="120"/>
      <c r="CNA3" s="120"/>
      <c r="CNB3" s="120"/>
      <c r="CNC3" s="120"/>
      <c r="CND3" s="120"/>
      <c r="CNE3" s="120"/>
      <c r="CNF3" s="120"/>
      <c r="CNG3" s="120"/>
      <c r="CNH3" s="120"/>
      <c r="CNI3" s="120"/>
      <c r="CNJ3" s="120"/>
      <c r="CNK3" s="120"/>
      <c r="CNL3" s="120"/>
      <c r="CNM3" s="120"/>
      <c r="CNN3" s="120"/>
      <c r="CNO3" s="120"/>
      <c r="CNP3" s="120"/>
      <c r="CNQ3" s="120"/>
      <c r="CNR3" s="120"/>
      <c r="CNS3" s="120"/>
      <c r="CNT3" s="120"/>
      <c r="CNU3" s="120"/>
      <c r="CNV3" s="120"/>
      <c r="CNW3" s="120"/>
      <c r="CNX3" s="120"/>
      <c r="CNY3" s="120"/>
      <c r="CNZ3" s="120"/>
      <c r="COA3" s="120"/>
      <c r="COB3" s="120"/>
      <c r="COC3" s="120"/>
      <c r="COD3" s="120"/>
      <c r="COE3" s="120"/>
      <c r="COF3" s="120"/>
      <c r="COG3" s="120"/>
      <c r="COH3" s="120"/>
      <c r="COI3" s="120"/>
      <c r="COJ3" s="120"/>
      <c r="COK3" s="120"/>
      <c r="COL3" s="120"/>
      <c r="COM3" s="120"/>
      <c r="CON3" s="120"/>
      <c r="COO3" s="120"/>
      <c r="COP3" s="120"/>
      <c r="COQ3" s="120"/>
      <c r="COR3" s="120"/>
      <c r="COS3" s="120"/>
      <c r="COT3" s="120"/>
      <c r="COU3" s="120"/>
      <c r="COV3" s="120"/>
      <c r="COW3" s="120"/>
      <c r="COX3" s="120"/>
      <c r="COY3" s="120"/>
      <c r="COZ3" s="120"/>
      <c r="CPA3" s="120"/>
      <c r="CPB3" s="120"/>
      <c r="CPC3" s="120"/>
      <c r="CPD3" s="120"/>
      <c r="CPE3" s="120"/>
      <c r="CPF3" s="120"/>
      <c r="CPG3" s="120"/>
      <c r="CPH3" s="120"/>
      <c r="CPI3" s="120"/>
      <c r="CPJ3" s="120"/>
      <c r="CPK3" s="120"/>
      <c r="CPL3" s="120"/>
      <c r="CPM3" s="120"/>
      <c r="CPN3" s="120"/>
      <c r="CPO3" s="120"/>
      <c r="CPP3" s="120"/>
      <c r="CPQ3" s="120"/>
      <c r="CPR3" s="120"/>
      <c r="CPS3" s="120"/>
      <c r="CPT3" s="120"/>
      <c r="CPU3" s="120"/>
      <c r="CPV3" s="120"/>
      <c r="CPW3" s="120"/>
      <c r="CPX3" s="120"/>
      <c r="CPY3" s="120"/>
      <c r="CPZ3" s="120"/>
      <c r="CQA3" s="120"/>
      <c r="CQB3" s="120"/>
      <c r="CQC3" s="120"/>
      <c r="CQD3" s="120"/>
      <c r="CQE3" s="120"/>
      <c r="CQF3" s="120"/>
      <c r="CQG3" s="120"/>
      <c r="CQH3" s="120"/>
      <c r="CQI3" s="120"/>
      <c r="CQJ3" s="120"/>
      <c r="CQK3" s="120"/>
      <c r="CQL3" s="120"/>
      <c r="CQM3" s="120"/>
      <c r="CQN3" s="120"/>
      <c r="CQO3" s="120"/>
      <c r="CQP3" s="120"/>
      <c r="CQQ3" s="120"/>
      <c r="CQR3" s="120"/>
      <c r="CQS3" s="120"/>
      <c r="CQT3" s="120"/>
      <c r="CQU3" s="120"/>
      <c r="CQV3" s="120"/>
      <c r="CQW3" s="120"/>
      <c r="CQX3" s="120"/>
      <c r="CQY3" s="120"/>
      <c r="CQZ3" s="120"/>
      <c r="CRA3" s="120"/>
      <c r="CRB3" s="120"/>
      <c r="CRC3" s="120"/>
      <c r="CRD3" s="120"/>
      <c r="CRE3" s="120"/>
      <c r="CRF3" s="120"/>
      <c r="CRG3" s="120"/>
      <c r="CRH3" s="120"/>
      <c r="CRI3" s="120"/>
      <c r="CRJ3" s="120"/>
      <c r="CRK3" s="120"/>
      <c r="CRL3" s="120"/>
      <c r="CRM3" s="120"/>
      <c r="CRN3" s="120"/>
      <c r="CRO3" s="120"/>
      <c r="CRP3" s="120"/>
      <c r="CRQ3" s="120"/>
      <c r="CRR3" s="120"/>
      <c r="CRS3" s="120"/>
      <c r="CRT3" s="120"/>
      <c r="CRU3" s="120"/>
      <c r="CRV3" s="120"/>
      <c r="CRW3" s="120"/>
      <c r="CRX3" s="120"/>
      <c r="CRY3" s="120"/>
      <c r="CRZ3" s="120"/>
      <c r="CSA3" s="120"/>
      <c r="CSB3" s="120"/>
      <c r="CSC3" s="120"/>
      <c r="CSD3" s="120"/>
      <c r="CSE3" s="120"/>
      <c r="CSF3" s="120"/>
      <c r="CSG3" s="120"/>
      <c r="CSH3" s="120"/>
      <c r="CSI3" s="120"/>
      <c r="CSJ3" s="120"/>
      <c r="CSK3" s="120"/>
      <c r="CSL3" s="120"/>
      <c r="CSM3" s="120"/>
      <c r="CSN3" s="120"/>
      <c r="CSO3" s="120"/>
      <c r="CSP3" s="120"/>
      <c r="CSQ3" s="120"/>
      <c r="CSR3" s="120"/>
      <c r="CSS3" s="120"/>
      <c r="CST3" s="120"/>
      <c r="CSU3" s="120"/>
      <c r="CSV3" s="120"/>
      <c r="CSW3" s="120"/>
      <c r="CSX3" s="120"/>
      <c r="CSY3" s="120"/>
      <c r="CSZ3" s="120"/>
      <c r="CTA3" s="120"/>
      <c r="CTB3" s="120"/>
      <c r="CTC3" s="120"/>
      <c r="CTD3" s="120"/>
      <c r="CTE3" s="120"/>
      <c r="CTF3" s="120"/>
      <c r="CTG3" s="120"/>
      <c r="CTH3" s="120"/>
      <c r="CTI3" s="120"/>
      <c r="CTJ3" s="120"/>
      <c r="CTK3" s="120"/>
      <c r="CTL3" s="120"/>
      <c r="CTM3" s="120"/>
      <c r="CTN3" s="120"/>
      <c r="CTO3" s="120"/>
      <c r="CTP3" s="120"/>
      <c r="CTQ3" s="120"/>
      <c r="CTR3" s="120"/>
      <c r="CTS3" s="120"/>
      <c r="CTT3" s="120"/>
      <c r="CTU3" s="120"/>
      <c r="CTV3" s="120"/>
      <c r="CTW3" s="120"/>
      <c r="CTX3" s="120"/>
      <c r="CTY3" s="120"/>
      <c r="CTZ3" s="120"/>
      <c r="CUA3" s="120"/>
      <c r="CUB3" s="120"/>
      <c r="CUC3" s="120"/>
      <c r="CUD3" s="120"/>
      <c r="CUE3" s="120"/>
      <c r="CUF3" s="120"/>
      <c r="CUG3" s="120"/>
      <c r="CUH3" s="120"/>
      <c r="CUI3" s="120"/>
      <c r="CUJ3" s="120"/>
      <c r="CUK3" s="120"/>
      <c r="CUL3" s="120"/>
      <c r="CUM3" s="120"/>
      <c r="CUN3" s="120"/>
      <c r="CUO3" s="120"/>
      <c r="CUP3" s="120"/>
      <c r="CUQ3" s="120"/>
      <c r="CUR3" s="120"/>
      <c r="CUS3" s="120"/>
      <c r="CUT3" s="120"/>
      <c r="CUU3" s="120"/>
      <c r="CUV3" s="120"/>
      <c r="CUW3" s="120"/>
      <c r="CUX3" s="120"/>
      <c r="CUY3" s="120"/>
      <c r="CUZ3" s="120"/>
      <c r="CVA3" s="120"/>
      <c r="CVB3" s="120"/>
      <c r="CVC3" s="120"/>
      <c r="CVD3" s="120"/>
      <c r="CVE3" s="120"/>
      <c r="CVF3" s="120"/>
      <c r="CVG3" s="120"/>
      <c r="CVH3" s="120"/>
      <c r="CVI3" s="120"/>
      <c r="CVJ3" s="120"/>
      <c r="CVK3" s="120"/>
      <c r="CVL3" s="120"/>
      <c r="CVM3" s="120"/>
      <c r="CVN3" s="120"/>
      <c r="CVO3" s="120"/>
      <c r="CVP3" s="120"/>
      <c r="CVQ3" s="120"/>
      <c r="CVR3" s="120"/>
      <c r="CVS3" s="120"/>
      <c r="CVT3" s="120"/>
      <c r="CVU3" s="120"/>
      <c r="CVV3" s="120"/>
      <c r="CVW3" s="120"/>
      <c r="CVX3" s="120"/>
      <c r="CVY3" s="120"/>
      <c r="CVZ3" s="120"/>
      <c r="CWA3" s="120"/>
      <c r="CWB3" s="120"/>
      <c r="CWC3" s="120"/>
      <c r="CWD3" s="120"/>
      <c r="CWE3" s="120"/>
      <c r="CWF3" s="120"/>
      <c r="CWG3" s="120"/>
      <c r="CWH3" s="120"/>
      <c r="CWI3" s="120"/>
      <c r="CWJ3" s="120"/>
      <c r="CWK3" s="120"/>
      <c r="CWL3" s="120"/>
      <c r="CWM3" s="120"/>
      <c r="CWN3" s="120"/>
      <c r="CWO3" s="120"/>
      <c r="CWP3" s="120"/>
      <c r="CWQ3" s="120"/>
      <c r="CWR3" s="120"/>
      <c r="CWS3" s="120"/>
      <c r="CWT3" s="120"/>
      <c r="CWU3" s="120"/>
      <c r="CWV3" s="120"/>
      <c r="CWW3" s="120"/>
      <c r="CWX3" s="120"/>
      <c r="CWY3" s="120"/>
      <c r="CWZ3" s="120"/>
      <c r="CXA3" s="120"/>
      <c r="CXB3" s="120"/>
      <c r="CXC3" s="120"/>
      <c r="CXD3" s="120"/>
      <c r="CXE3" s="120"/>
      <c r="CXF3" s="120"/>
      <c r="CXG3" s="120"/>
      <c r="CXH3" s="120"/>
      <c r="CXI3" s="120"/>
      <c r="CXJ3" s="120"/>
      <c r="CXK3" s="120"/>
      <c r="CXL3" s="120"/>
      <c r="CXM3" s="120"/>
      <c r="CXN3" s="120"/>
      <c r="CXO3" s="120"/>
      <c r="CXP3" s="120"/>
      <c r="CXQ3" s="120"/>
      <c r="CXR3" s="120"/>
      <c r="CXS3" s="120"/>
      <c r="CXT3" s="120"/>
      <c r="CXU3" s="120"/>
      <c r="CXV3" s="120"/>
      <c r="CXW3" s="120"/>
      <c r="CXX3" s="120"/>
      <c r="CXY3" s="120"/>
      <c r="CXZ3" s="120"/>
      <c r="CYA3" s="120"/>
      <c r="CYB3" s="120"/>
      <c r="CYC3" s="120"/>
      <c r="CYD3" s="120"/>
      <c r="CYE3" s="120"/>
      <c r="CYF3" s="120"/>
      <c r="CYG3" s="120"/>
      <c r="CYH3" s="120"/>
      <c r="CYI3" s="120"/>
      <c r="CYJ3" s="120"/>
      <c r="CYK3" s="120"/>
      <c r="CYL3" s="120"/>
      <c r="CYM3" s="120"/>
      <c r="CYN3" s="120"/>
      <c r="CYO3" s="120"/>
      <c r="CYP3" s="120"/>
      <c r="CYQ3" s="120"/>
      <c r="CYR3" s="120"/>
      <c r="CYS3" s="120"/>
      <c r="CYT3" s="120"/>
      <c r="CYU3" s="120"/>
      <c r="CYV3" s="120"/>
      <c r="CYW3" s="120"/>
      <c r="CYX3" s="120"/>
      <c r="CYY3" s="120"/>
      <c r="CYZ3" s="120"/>
      <c r="CZA3" s="120"/>
      <c r="CZB3" s="120"/>
      <c r="CZC3" s="120"/>
      <c r="CZD3" s="120"/>
      <c r="CZE3" s="120"/>
      <c r="CZF3" s="120"/>
      <c r="CZG3" s="120"/>
      <c r="CZH3" s="120"/>
      <c r="CZI3" s="120"/>
      <c r="CZJ3" s="120"/>
      <c r="CZK3" s="120"/>
      <c r="CZL3" s="120"/>
      <c r="CZM3" s="120"/>
      <c r="CZN3" s="120"/>
      <c r="CZO3" s="120"/>
      <c r="CZP3" s="120"/>
      <c r="CZQ3" s="120"/>
      <c r="CZR3" s="120"/>
      <c r="CZS3" s="120"/>
      <c r="CZT3" s="120"/>
      <c r="CZU3" s="120"/>
      <c r="CZV3" s="120"/>
      <c r="CZW3" s="120"/>
      <c r="CZX3" s="120"/>
      <c r="CZY3" s="120"/>
      <c r="CZZ3" s="120"/>
      <c r="DAA3" s="120"/>
      <c r="DAB3" s="120"/>
      <c r="DAC3" s="120"/>
      <c r="DAD3" s="120"/>
      <c r="DAE3" s="120"/>
      <c r="DAF3" s="120"/>
      <c r="DAG3" s="120"/>
      <c r="DAH3" s="120"/>
      <c r="DAI3" s="120"/>
      <c r="DAJ3" s="120"/>
      <c r="DAK3" s="120"/>
      <c r="DAL3" s="120"/>
      <c r="DAM3" s="120"/>
      <c r="DAN3" s="120"/>
      <c r="DAO3" s="120"/>
      <c r="DAP3" s="120"/>
      <c r="DAQ3" s="120"/>
      <c r="DAR3" s="120"/>
      <c r="DAS3" s="120"/>
      <c r="DAT3" s="120"/>
      <c r="DAU3" s="120"/>
      <c r="DAV3" s="120"/>
      <c r="DAW3" s="120"/>
      <c r="DAX3" s="120"/>
      <c r="DAY3" s="120"/>
      <c r="DAZ3" s="120"/>
      <c r="DBA3" s="120"/>
      <c r="DBB3" s="120"/>
      <c r="DBC3" s="120"/>
      <c r="DBD3" s="120"/>
      <c r="DBE3" s="120"/>
      <c r="DBF3" s="120"/>
      <c r="DBG3" s="120"/>
      <c r="DBH3" s="120"/>
      <c r="DBI3" s="120"/>
      <c r="DBJ3" s="120"/>
      <c r="DBK3" s="120"/>
      <c r="DBL3" s="120"/>
      <c r="DBM3" s="120"/>
      <c r="DBN3" s="120"/>
      <c r="DBO3" s="120"/>
      <c r="DBP3" s="120"/>
      <c r="DBQ3" s="120"/>
      <c r="DBR3" s="120"/>
      <c r="DBS3" s="120"/>
      <c r="DBT3" s="120"/>
      <c r="DBU3" s="120"/>
      <c r="DBV3" s="120"/>
      <c r="DBW3" s="120"/>
      <c r="DBX3" s="120"/>
      <c r="DBY3" s="120"/>
      <c r="DBZ3" s="120"/>
      <c r="DCA3" s="120"/>
      <c r="DCB3" s="120"/>
      <c r="DCC3" s="120"/>
      <c r="DCD3" s="120"/>
      <c r="DCE3" s="120"/>
      <c r="DCF3" s="120"/>
      <c r="DCG3" s="120"/>
      <c r="DCH3" s="120"/>
      <c r="DCI3" s="120"/>
      <c r="DCJ3" s="120"/>
      <c r="DCK3" s="120"/>
      <c r="DCL3" s="120"/>
      <c r="DCM3" s="120"/>
      <c r="DCN3" s="120"/>
      <c r="DCO3" s="120"/>
      <c r="DCP3" s="120"/>
      <c r="DCQ3" s="120"/>
      <c r="DCR3" s="120"/>
      <c r="DCS3" s="120"/>
      <c r="DCT3" s="120"/>
      <c r="DCU3" s="120"/>
      <c r="DCV3" s="120"/>
      <c r="DCW3" s="120"/>
      <c r="DCX3" s="120"/>
      <c r="DCY3" s="120"/>
      <c r="DCZ3" s="120"/>
      <c r="DDA3" s="120"/>
      <c r="DDB3" s="120"/>
      <c r="DDC3" s="120"/>
      <c r="DDD3" s="120"/>
      <c r="DDE3" s="120"/>
      <c r="DDF3" s="120"/>
      <c r="DDG3" s="120"/>
      <c r="DDH3" s="120"/>
      <c r="DDI3" s="120"/>
      <c r="DDJ3" s="120"/>
      <c r="DDK3" s="120"/>
      <c r="DDL3" s="120"/>
      <c r="DDM3" s="120"/>
      <c r="DDN3" s="120"/>
      <c r="DDO3" s="120"/>
      <c r="DDP3" s="120"/>
      <c r="DDQ3" s="120"/>
      <c r="DDR3" s="120"/>
      <c r="DDS3" s="120"/>
      <c r="DDT3" s="120"/>
      <c r="DDU3" s="120"/>
      <c r="DDV3" s="120"/>
      <c r="DDW3" s="120"/>
      <c r="DDX3" s="120"/>
      <c r="DDY3" s="120"/>
      <c r="DDZ3" s="120"/>
      <c r="DEA3" s="120"/>
      <c r="DEB3" s="120"/>
      <c r="DEC3" s="120"/>
      <c r="DED3" s="120"/>
      <c r="DEE3" s="120"/>
      <c r="DEF3" s="120"/>
      <c r="DEG3" s="120"/>
      <c r="DEH3" s="120"/>
      <c r="DEI3" s="120"/>
      <c r="DEJ3" s="120"/>
      <c r="DEK3" s="120"/>
      <c r="DEL3" s="120"/>
      <c r="DEM3" s="120"/>
      <c r="DEN3" s="120"/>
      <c r="DEO3" s="120"/>
      <c r="DEP3" s="120"/>
      <c r="DEQ3" s="120"/>
      <c r="DER3" s="120"/>
      <c r="DES3" s="120"/>
      <c r="DET3" s="120"/>
      <c r="DEU3" s="120"/>
      <c r="DEV3" s="120"/>
      <c r="DEW3" s="120"/>
      <c r="DEX3" s="120"/>
      <c r="DEY3" s="120"/>
      <c r="DEZ3" s="120"/>
      <c r="DFA3" s="120"/>
      <c r="DFB3" s="120"/>
      <c r="DFC3" s="120"/>
      <c r="DFD3" s="120"/>
      <c r="DFE3" s="120"/>
      <c r="DFF3" s="120"/>
      <c r="DFG3" s="120"/>
      <c r="DFH3" s="120"/>
      <c r="DFI3" s="120"/>
      <c r="DFJ3" s="120"/>
      <c r="DFK3" s="120"/>
      <c r="DFL3" s="120"/>
      <c r="DFM3" s="120"/>
      <c r="DFN3" s="120"/>
      <c r="DFO3" s="120"/>
      <c r="DFP3" s="120"/>
      <c r="DFQ3" s="120"/>
      <c r="DFR3" s="120"/>
      <c r="DFS3" s="120"/>
      <c r="DFT3" s="120"/>
      <c r="DFU3" s="120"/>
      <c r="DFV3" s="120"/>
      <c r="DFW3" s="120"/>
      <c r="DFX3" s="120"/>
      <c r="DFY3" s="120"/>
      <c r="DFZ3" s="120"/>
      <c r="DGA3" s="120"/>
      <c r="DGB3" s="120"/>
      <c r="DGC3" s="120"/>
      <c r="DGD3" s="120"/>
      <c r="DGE3" s="120"/>
      <c r="DGF3" s="120"/>
      <c r="DGG3" s="120"/>
      <c r="DGH3" s="120"/>
      <c r="DGI3" s="120"/>
      <c r="DGJ3" s="120"/>
      <c r="DGK3" s="120"/>
      <c r="DGL3" s="120"/>
      <c r="DGM3" s="120"/>
      <c r="DGN3" s="120"/>
      <c r="DGO3" s="120"/>
      <c r="DGP3" s="120"/>
      <c r="DGQ3" s="120"/>
      <c r="DGR3" s="120"/>
      <c r="DGS3" s="120"/>
      <c r="DGT3" s="120"/>
      <c r="DGU3" s="120"/>
      <c r="DGV3" s="120"/>
      <c r="DGW3" s="120"/>
      <c r="DGX3" s="120"/>
      <c r="DGY3" s="120"/>
      <c r="DGZ3" s="120"/>
      <c r="DHA3" s="120"/>
      <c r="DHB3" s="120"/>
      <c r="DHC3" s="120"/>
      <c r="DHD3" s="120"/>
      <c r="DHE3" s="120"/>
      <c r="DHF3" s="120"/>
      <c r="DHG3" s="120"/>
      <c r="DHH3" s="120"/>
      <c r="DHI3" s="120"/>
      <c r="DHJ3" s="120"/>
      <c r="DHK3" s="120"/>
      <c r="DHL3" s="120"/>
      <c r="DHM3" s="120"/>
      <c r="DHN3" s="120"/>
      <c r="DHO3" s="120"/>
      <c r="DHP3" s="120"/>
      <c r="DHQ3" s="120"/>
      <c r="DHR3" s="120"/>
      <c r="DHS3" s="120"/>
      <c r="DHT3" s="120"/>
      <c r="DHU3" s="120"/>
      <c r="DHV3" s="120"/>
      <c r="DHW3" s="120"/>
      <c r="DHX3" s="120"/>
      <c r="DHY3" s="120"/>
      <c r="DHZ3" s="120"/>
      <c r="DIA3" s="120"/>
      <c r="DIB3" s="120"/>
      <c r="DIC3" s="120"/>
      <c r="DID3" s="120"/>
      <c r="DIE3" s="120"/>
      <c r="DIF3" s="120"/>
      <c r="DIG3" s="120"/>
      <c r="DIH3" s="120"/>
      <c r="DII3" s="120"/>
      <c r="DIJ3" s="120"/>
      <c r="DIK3" s="120"/>
      <c r="DIL3" s="120"/>
      <c r="DIM3" s="120"/>
      <c r="DIN3" s="120"/>
      <c r="DIO3" s="120"/>
      <c r="DIP3" s="120"/>
      <c r="DIQ3" s="120"/>
      <c r="DIR3" s="120"/>
      <c r="DIS3" s="120"/>
      <c r="DIT3" s="120"/>
      <c r="DIU3" s="120"/>
      <c r="DIV3" s="120"/>
      <c r="DIW3" s="120"/>
      <c r="DIX3" s="120"/>
      <c r="DIY3" s="120"/>
      <c r="DIZ3" s="120"/>
      <c r="DJA3" s="120"/>
      <c r="DJB3" s="120"/>
      <c r="DJC3" s="120"/>
      <c r="DJD3" s="120"/>
      <c r="DJE3" s="120"/>
      <c r="DJF3" s="120"/>
      <c r="DJG3" s="120"/>
      <c r="DJH3" s="120"/>
      <c r="DJI3" s="120"/>
      <c r="DJJ3" s="120"/>
      <c r="DJK3" s="120"/>
      <c r="DJL3" s="120"/>
      <c r="DJM3" s="120"/>
      <c r="DJN3" s="120"/>
      <c r="DJO3" s="120"/>
      <c r="DJP3" s="120"/>
      <c r="DJQ3" s="120"/>
      <c r="DJR3" s="120"/>
      <c r="DJS3" s="120"/>
      <c r="DJT3" s="120"/>
      <c r="DJU3" s="120"/>
      <c r="DJV3" s="120"/>
      <c r="DJW3" s="120"/>
      <c r="DJX3" s="120"/>
      <c r="DJY3" s="120"/>
      <c r="DJZ3" s="120"/>
      <c r="DKA3" s="120"/>
      <c r="DKB3" s="120"/>
      <c r="DKC3" s="120"/>
      <c r="DKD3" s="120"/>
      <c r="DKE3" s="120"/>
      <c r="DKF3" s="120"/>
      <c r="DKG3" s="120"/>
      <c r="DKH3" s="120"/>
      <c r="DKI3" s="120"/>
      <c r="DKJ3" s="120"/>
      <c r="DKK3" s="120"/>
      <c r="DKL3" s="120"/>
      <c r="DKM3" s="120"/>
      <c r="DKN3" s="120"/>
      <c r="DKO3" s="120"/>
      <c r="DKP3" s="120"/>
      <c r="DKQ3" s="120"/>
      <c r="DKR3" s="120"/>
      <c r="DKS3" s="120"/>
      <c r="DKT3" s="120"/>
      <c r="DKU3" s="120"/>
      <c r="DKV3" s="120"/>
      <c r="DKW3" s="120"/>
      <c r="DKX3" s="120"/>
      <c r="DKY3" s="120"/>
      <c r="DKZ3" s="120"/>
      <c r="DLA3" s="120"/>
      <c r="DLB3" s="120"/>
      <c r="DLC3" s="120"/>
      <c r="DLD3" s="120"/>
      <c r="DLE3" s="120"/>
      <c r="DLF3" s="120"/>
      <c r="DLG3" s="120"/>
      <c r="DLH3" s="120"/>
      <c r="DLI3" s="120"/>
      <c r="DLJ3" s="120"/>
      <c r="DLK3" s="120"/>
      <c r="DLL3" s="120"/>
      <c r="DLM3" s="120"/>
      <c r="DLN3" s="120"/>
      <c r="DLO3" s="120"/>
      <c r="DLP3" s="120"/>
      <c r="DLQ3" s="120"/>
      <c r="DLR3" s="120"/>
      <c r="DLS3" s="120"/>
      <c r="DLT3" s="120"/>
      <c r="DLU3" s="120"/>
      <c r="DLV3" s="120"/>
      <c r="DLW3" s="120"/>
      <c r="DLX3" s="120"/>
      <c r="DLY3" s="120"/>
      <c r="DLZ3" s="120"/>
      <c r="DMA3" s="120"/>
      <c r="DMB3" s="120"/>
      <c r="DMC3" s="120"/>
      <c r="DMD3" s="120"/>
      <c r="DME3" s="120"/>
      <c r="DMF3" s="120"/>
      <c r="DMG3" s="120"/>
      <c r="DMH3" s="120"/>
      <c r="DMI3" s="120"/>
      <c r="DMJ3" s="120"/>
      <c r="DMK3" s="120"/>
      <c r="DML3" s="120"/>
      <c r="DMM3" s="120"/>
      <c r="DMN3" s="120"/>
      <c r="DMO3" s="120"/>
      <c r="DMP3" s="120"/>
      <c r="DMQ3" s="120"/>
      <c r="DMR3" s="120"/>
      <c r="DMS3" s="120"/>
      <c r="DMT3" s="120"/>
      <c r="DMU3" s="120"/>
      <c r="DMV3" s="120"/>
      <c r="DMW3" s="120"/>
      <c r="DMX3" s="120"/>
      <c r="DMY3" s="120"/>
      <c r="DMZ3" s="120"/>
      <c r="DNA3" s="120"/>
      <c r="DNB3" s="120"/>
      <c r="DNC3" s="120"/>
      <c r="DND3" s="120"/>
      <c r="DNE3" s="120"/>
      <c r="DNF3" s="120"/>
      <c r="DNG3" s="120"/>
      <c r="DNH3" s="120"/>
      <c r="DNI3" s="120"/>
      <c r="DNJ3" s="120"/>
      <c r="DNK3" s="120"/>
      <c r="DNL3" s="120"/>
      <c r="DNM3" s="120"/>
      <c r="DNN3" s="120"/>
      <c r="DNO3" s="120"/>
      <c r="DNP3" s="120"/>
      <c r="DNQ3" s="120"/>
      <c r="DNR3" s="120"/>
      <c r="DNS3" s="120"/>
      <c r="DNT3" s="120"/>
      <c r="DNU3" s="120"/>
      <c r="DNV3" s="120"/>
      <c r="DNW3" s="120"/>
      <c r="DNX3" s="120"/>
      <c r="DNY3" s="120"/>
      <c r="DNZ3" s="120"/>
      <c r="DOA3" s="120"/>
      <c r="DOB3" s="120"/>
      <c r="DOC3" s="120"/>
      <c r="DOD3" s="120"/>
      <c r="DOE3" s="120"/>
      <c r="DOF3" s="120"/>
      <c r="DOG3" s="120"/>
      <c r="DOH3" s="120"/>
      <c r="DOI3" s="120"/>
      <c r="DOJ3" s="120"/>
      <c r="DOK3" s="120"/>
      <c r="DOL3" s="120"/>
      <c r="DOM3" s="120"/>
      <c r="DON3" s="120"/>
      <c r="DOO3" s="120"/>
      <c r="DOP3" s="120"/>
      <c r="DOQ3" s="120"/>
      <c r="DOR3" s="120"/>
      <c r="DOS3" s="120"/>
      <c r="DOT3" s="120"/>
      <c r="DOU3" s="120"/>
      <c r="DOV3" s="120"/>
      <c r="DOW3" s="120"/>
      <c r="DOX3" s="120"/>
      <c r="DOY3" s="120"/>
      <c r="DOZ3" s="120"/>
      <c r="DPA3" s="120"/>
      <c r="DPB3" s="120"/>
      <c r="DPC3" s="120"/>
      <c r="DPD3" s="120"/>
      <c r="DPE3" s="120"/>
      <c r="DPF3" s="120"/>
      <c r="DPG3" s="120"/>
      <c r="DPH3" s="120"/>
      <c r="DPI3" s="120"/>
      <c r="DPJ3" s="120"/>
      <c r="DPK3" s="120"/>
      <c r="DPL3" s="120"/>
      <c r="DPM3" s="120"/>
      <c r="DPN3" s="120"/>
      <c r="DPO3" s="120"/>
      <c r="DPP3" s="120"/>
      <c r="DPQ3" s="120"/>
      <c r="DPR3" s="120"/>
      <c r="DPS3" s="120"/>
      <c r="DPT3" s="120"/>
      <c r="DPU3" s="120"/>
      <c r="DPV3" s="120"/>
      <c r="DPW3" s="120"/>
      <c r="DPX3" s="120"/>
      <c r="DPY3" s="120"/>
      <c r="DPZ3" s="120"/>
      <c r="DQA3" s="120"/>
      <c r="DQB3" s="120"/>
      <c r="DQC3" s="120"/>
      <c r="DQD3" s="120"/>
      <c r="DQE3" s="120"/>
      <c r="DQF3" s="120"/>
      <c r="DQG3" s="120"/>
      <c r="DQH3" s="120"/>
      <c r="DQI3" s="120"/>
      <c r="DQJ3" s="120"/>
      <c r="DQK3" s="120"/>
      <c r="DQL3" s="120"/>
      <c r="DQM3" s="120"/>
      <c r="DQN3" s="120"/>
      <c r="DQO3" s="120"/>
      <c r="DQP3" s="120"/>
      <c r="DQQ3" s="120"/>
      <c r="DQR3" s="120"/>
      <c r="DQS3" s="120"/>
      <c r="DQT3" s="120"/>
      <c r="DQU3" s="120"/>
      <c r="DQV3" s="120"/>
      <c r="DQW3" s="120"/>
      <c r="DQX3" s="120"/>
      <c r="DQY3" s="120"/>
      <c r="DQZ3" s="120"/>
      <c r="DRA3" s="120"/>
      <c r="DRB3" s="120"/>
      <c r="DRC3" s="120"/>
      <c r="DRD3" s="120"/>
      <c r="DRE3" s="120"/>
      <c r="DRF3" s="120"/>
      <c r="DRG3" s="120"/>
      <c r="DRH3" s="120"/>
      <c r="DRI3" s="120"/>
      <c r="DRJ3" s="120"/>
      <c r="DRK3" s="120"/>
      <c r="DRL3" s="120"/>
      <c r="DRM3" s="120"/>
      <c r="DRN3" s="120"/>
      <c r="DRO3" s="120"/>
      <c r="DRP3" s="120"/>
      <c r="DRQ3" s="120"/>
      <c r="DRR3" s="120"/>
      <c r="DRS3" s="120"/>
      <c r="DRT3" s="120"/>
      <c r="DRU3" s="120"/>
      <c r="DRV3" s="120"/>
      <c r="DRW3" s="120"/>
      <c r="DRX3" s="120"/>
      <c r="DRY3" s="120"/>
      <c r="DRZ3" s="120"/>
      <c r="DSA3" s="120"/>
      <c r="DSB3" s="120"/>
      <c r="DSC3" s="120"/>
      <c r="DSD3" s="120"/>
      <c r="DSE3" s="120"/>
      <c r="DSF3" s="120"/>
      <c r="DSG3" s="120"/>
      <c r="DSH3" s="120"/>
      <c r="DSI3" s="120"/>
      <c r="DSJ3" s="120"/>
      <c r="DSK3" s="120"/>
      <c r="DSL3" s="120"/>
      <c r="DSM3" s="120"/>
      <c r="DSN3" s="120"/>
      <c r="DSO3" s="120"/>
      <c r="DSP3" s="120"/>
      <c r="DSQ3" s="120"/>
      <c r="DSR3" s="120"/>
      <c r="DSS3" s="120"/>
      <c r="DST3" s="120"/>
      <c r="DSU3" s="120"/>
      <c r="DSV3" s="120"/>
      <c r="DSW3" s="120"/>
      <c r="DSX3" s="120"/>
      <c r="DSY3" s="120"/>
      <c r="DSZ3" s="120"/>
      <c r="DTA3" s="120"/>
      <c r="DTB3" s="120"/>
      <c r="DTC3" s="120"/>
      <c r="DTD3" s="120"/>
      <c r="DTE3" s="120"/>
      <c r="DTF3" s="120"/>
      <c r="DTG3" s="120"/>
      <c r="DTH3" s="120"/>
      <c r="DTI3" s="120"/>
      <c r="DTJ3" s="120"/>
      <c r="DTK3" s="120"/>
      <c r="DTL3" s="120"/>
      <c r="DTM3" s="120"/>
      <c r="DTN3" s="120"/>
      <c r="DTO3" s="120"/>
      <c r="DTP3" s="120"/>
      <c r="DTQ3" s="120"/>
      <c r="DTR3" s="120"/>
      <c r="DTS3" s="120"/>
      <c r="DTT3" s="120"/>
      <c r="DTU3" s="120"/>
      <c r="DTV3" s="120"/>
      <c r="DTW3" s="120"/>
      <c r="DTX3" s="120"/>
      <c r="DTY3" s="120"/>
      <c r="DTZ3" s="120"/>
      <c r="DUA3" s="120"/>
      <c r="DUB3" s="120"/>
      <c r="DUC3" s="120"/>
      <c r="DUD3" s="120"/>
      <c r="DUE3" s="120"/>
      <c r="DUF3" s="120"/>
      <c r="DUG3" s="120"/>
      <c r="DUH3" s="120"/>
      <c r="DUI3" s="120"/>
      <c r="DUJ3" s="120"/>
      <c r="DUK3" s="120"/>
      <c r="DUL3" s="120"/>
      <c r="DUM3" s="120"/>
      <c r="DUN3" s="120"/>
      <c r="DUO3" s="120"/>
      <c r="DUP3" s="120"/>
      <c r="DUQ3" s="120"/>
      <c r="DUR3" s="120"/>
      <c r="DUS3" s="120"/>
      <c r="DUT3" s="120"/>
      <c r="DUU3" s="120"/>
      <c r="DUV3" s="120"/>
      <c r="DUW3" s="120"/>
      <c r="DUX3" s="120"/>
      <c r="DUY3" s="120"/>
      <c r="DUZ3" s="120"/>
      <c r="DVA3" s="120"/>
      <c r="DVB3" s="120"/>
      <c r="DVC3" s="120"/>
      <c r="DVD3" s="120"/>
      <c r="DVE3" s="120"/>
      <c r="DVF3" s="120"/>
      <c r="DVG3" s="120"/>
      <c r="DVH3" s="120"/>
      <c r="DVI3" s="120"/>
      <c r="DVJ3" s="120"/>
      <c r="DVK3" s="120"/>
      <c r="DVL3" s="120"/>
      <c r="DVM3" s="120"/>
      <c r="DVN3" s="120"/>
      <c r="DVO3" s="120"/>
      <c r="DVP3" s="120"/>
      <c r="DVQ3" s="120"/>
      <c r="DVR3" s="120"/>
      <c r="DVS3" s="120"/>
      <c r="DVT3" s="120"/>
      <c r="DVU3" s="120"/>
      <c r="DVV3" s="120"/>
      <c r="DVW3" s="120"/>
      <c r="DVX3" s="120"/>
      <c r="DVY3" s="120"/>
      <c r="DVZ3" s="120"/>
      <c r="DWA3" s="120"/>
      <c r="DWB3" s="120"/>
      <c r="DWC3" s="120"/>
      <c r="DWD3" s="120"/>
      <c r="DWE3" s="120"/>
      <c r="DWF3" s="120"/>
      <c r="DWG3" s="120"/>
      <c r="DWH3" s="120"/>
      <c r="DWI3" s="120"/>
      <c r="DWJ3" s="120"/>
      <c r="DWK3" s="120"/>
      <c r="DWL3" s="120"/>
      <c r="DWM3" s="120"/>
      <c r="DWN3" s="120"/>
      <c r="DWO3" s="120"/>
      <c r="DWP3" s="120"/>
      <c r="DWQ3" s="120"/>
      <c r="DWR3" s="120"/>
      <c r="DWS3" s="120"/>
      <c r="DWT3" s="120"/>
      <c r="DWU3" s="120"/>
      <c r="DWV3" s="120"/>
      <c r="DWW3" s="120"/>
      <c r="DWX3" s="120"/>
      <c r="DWY3" s="120"/>
      <c r="DWZ3" s="120"/>
      <c r="DXA3" s="120"/>
      <c r="DXB3" s="120"/>
      <c r="DXC3" s="120"/>
      <c r="DXD3" s="120"/>
      <c r="DXE3" s="120"/>
      <c r="DXF3" s="120"/>
      <c r="DXG3" s="120"/>
      <c r="DXH3" s="120"/>
      <c r="DXI3" s="120"/>
      <c r="DXJ3" s="120"/>
      <c r="DXK3" s="120"/>
      <c r="DXL3" s="120"/>
      <c r="DXM3" s="120"/>
      <c r="DXN3" s="120"/>
      <c r="DXO3" s="120"/>
      <c r="DXP3" s="120"/>
      <c r="DXQ3" s="120"/>
      <c r="DXR3" s="120"/>
      <c r="DXS3" s="120"/>
      <c r="DXT3" s="120"/>
      <c r="DXU3" s="120"/>
      <c r="DXV3" s="120"/>
      <c r="DXW3" s="120"/>
      <c r="DXX3" s="120"/>
      <c r="DXY3" s="120"/>
      <c r="DXZ3" s="120"/>
      <c r="DYA3" s="120"/>
      <c r="DYB3" s="120"/>
      <c r="DYC3" s="120"/>
      <c r="DYD3" s="120"/>
      <c r="DYE3" s="120"/>
      <c r="DYF3" s="120"/>
      <c r="DYG3" s="120"/>
      <c r="DYH3" s="120"/>
      <c r="DYI3" s="120"/>
      <c r="DYJ3" s="120"/>
      <c r="DYK3" s="120"/>
      <c r="DYL3" s="120"/>
      <c r="DYM3" s="120"/>
      <c r="DYN3" s="120"/>
      <c r="DYO3" s="120"/>
      <c r="DYP3" s="120"/>
      <c r="DYQ3" s="120"/>
      <c r="DYR3" s="120"/>
      <c r="DYS3" s="120"/>
      <c r="DYT3" s="120"/>
      <c r="DYU3" s="120"/>
      <c r="DYV3" s="120"/>
      <c r="DYW3" s="120"/>
      <c r="DYX3" s="120"/>
      <c r="DYY3" s="120"/>
      <c r="DYZ3" s="120"/>
      <c r="DZA3" s="120"/>
      <c r="DZB3" s="120"/>
      <c r="DZC3" s="120"/>
      <c r="DZD3" s="120"/>
      <c r="DZE3" s="120"/>
      <c r="DZF3" s="120"/>
      <c r="DZG3" s="120"/>
      <c r="DZH3" s="120"/>
      <c r="DZI3" s="120"/>
      <c r="DZJ3" s="120"/>
      <c r="DZK3" s="120"/>
      <c r="DZL3" s="120"/>
      <c r="DZM3" s="120"/>
      <c r="DZN3" s="120"/>
      <c r="DZO3" s="120"/>
      <c r="DZP3" s="120"/>
      <c r="DZQ3" s="120"/>
      <c r="DZR3" s="120"/>
      <c r="DZS3" s="120"/>
      <c r="DZT3" s="120"/>
      <c r="DZU3" s="120"/>
      <c r="DZV3" s="120"/>
      <c r="DZW3" s="120"/>
      <c r="DZX3" s="120"/>
      <c r="DZY3" s="120"/>
      <c r="DZZ3" s="120"/>
      <c r="EAA3" s="120"/>
      <c r="EAB3" s="120"/>
      <c r="EAC3" s="120"/>
      <c r="EAD3" s="120"/>
      <c r="EAE3" s="120"/>
      <c r="EAF3" s="120"/>
      <c r="EAG3" s="120"/>
      <c r="EAH3" s="120"/>
      <c r="EAI3" s="120"/>
      <c r="EAJ3" s="120"/>
      <c r="EAK3" s="120"/>
      <c r="EAL3" s="120"/>
      <c r="EAM3" s="120"/>
      <c r="EAN3" s="120"/>
      <c r="EAO3" s="120"/>
      <c r="EAP3" s="120"/>
      <c r="EAQ3" s="120"/>
      <c r="EAR3" s="120"/>
      <c r="EAS3" s="120"/>
      <c r="EAT3" s="120"/>
      <c r="EAU3" s="120"/>
      <c r="EAV3" s="120"/>
      <c r="EAW3" s="120"/>
      <c r="EAX3" s="120"/>
      <c r="EAY3" s="120"/>
      <c r="EAZ3" s="120"/>
      <c r="EBA3" s="120"/>
      <c r="EBB3" s="120"/>
      <c r="EBC3" s="120"/>
      <c r="EBD3" s="120"/>
      <c r="EBE3" s="120"/>
      <c r="EBF3" s="120"/>
      <c r="EBG3" s="120"/>
      <c r="EBH3" s="120"/>
      <c r="EBI3" s="120"/>
      <c r="EBJ3" s="120"/>
      <c r="EBK3" s="120"/>
      <c r="EBL3" s="120"/>
      <c r="EBM3" s="120"/>
      <c r="EBN3" s="120"/>
      <c r="EBO3" s="120"/>
      <c r="EBP3" s="120"/>
      <c r="EBQ3" s="120"/>
      <c r="EBR3" s="120"/>
      <c r="EBS3" s="120"/>
      <c r="EBT3" s="120"/>
      <c r="EBU3" s="120"/>
      <c r="EBV3" s="120"/>
      <c r="EBW3" s="120"/>
      <c r="EBX3" s="120"/>
      <c r="EBY3" s="120"/>
      <c r="EBZ3" s="120"/>
      <c r="ECA3" s="120"/>
      <c r="ECB3" s="120"/>
      <c r="ECC3" s="120"/>
      <c r="ECD3" s="120"/>
      <c r="ECE3" s="120"/>
      <c r="ECF3" s="120"/>
      <c r="ECG3" s="120"/>
      <c r="ECH3" s="120"/>
      <c r="ECI3" s="120"/>
      <c r="ECJ3" s="120"/>
      <c r="ECK3" s="120"/>
      <c r="ECL3" s="120"/>
      <c r="ECM3" s="120"/>
      <c r="ECN3" s="120"/>
      <c r="ECO3" s="120"/>
      <c r="ECP3" s="120"/>
      <c r="ECQ3" s="120"/>
      <c r="ECR3" s="120"/>
      <c r="ECS3" s="120"/>
      <c r="ECT3" s="120"/>
      <c r="ECU3" s="120"/>
      <c r="ECV3" s="120"/>
      <c r="ECW3" s="120"/>
      <c r="ECX3" s="120"/>
      <c r="ECY3" s="120"/>
      <c r="ECZ3" s="120"/>
      <c r="EDA3" s="120"/>
      <c r="EDB3" s="120"/>
      <c r="EDC3" s="120"/>
      <c r="EDD3" s="120"/>
      <c r="EDE3" s="120"/>
      <c r="EDF3" s="120"/>
      <c r="EDG3" s="120"/>
      <c r="EDH3" s="120"/>
      <c r="EDI3" s="120"/>
      <c r="EDJ3" s="120"/>
      <c r="EDK3" s="120"/>
      <c r="EDL3" s="120"/>
      <c r="EDM3" s="120"/>
      <c r="EDN3" s="120"/>
      <c r="EDO3" s="120"/>
      <c r="EDP3" s="120"/>
      <c r="EDQ3" s="120"/>
      <c r="EDR3" s="120"/>
      <c r="EDS3" s="120"/>
      <c r="EDT3" s="120"/>
      <c r="EDU3" s="120"/>
      <c r="EDV3" s="120"/>
      <c r="EDW3" s="120"/>
      <c r="EDX3" s="120"/>
      <c r="EDY3" s="120"/>
      <c r="EDZ3" s="120"/>
      <c r="EEA3" s="120"/>
      <c r="EEB3" s="120"/>
      <c r="EEC3" s="120"/>
      <c r="EED3" s="120"/>
      <c r="EEE3" s="120"/>
      <c r="EEF3" s="120"/>
      <c r="EEG3" s="120"/>
      <c r="EEH3" s="120"/>
      <c r="EEI3" s="120"/>
      <c r="EEJ3" s="120"/>
      <c r="EEK3" s="120"/>
      <c r="EEL3" s="120"/>
      <c r="EEM3" s="120"/>
      <c r="EEN3" s="120"/>
      <c r="EEO3" s="120"/>
      <c r="EEP3" s="120"/>
      <c r="EEQ3" s="120"/>
      <c r="EER3" s="120"/>
      <c r="EES3" s="120"/>
      <c r="EET3" s="120"/>
      <c r="EEU3" s="120"/>
      <c r="EEV3" s="120"/>
      <c r="EEW3" s="120"/>
      <c r="EEX3" s="120"/>
      <c r="EEY3" s="120"/>
      <c r="EEZ3" s="120"/>
      <c r="EFA3" s="120"/>
      <c r="EFB3" s="120"/>
      <c r="EFC3" s="120"/>
      <c r="EFD3" s="120"/>
      <c r="EFE3" s="120"/>
      <c r="EFF3" s="120"/>
      <c r="EFG3" s="120"/>
      <c r="EFH3" s="120"/>
      <c r="EFI3" s="120"/>
      <c r="EFJ3" s="120"/>
      <c r="EFK3" s="120"/>
      <c r="EFL3" s="120"/>
      <c r="EFM3" s="120"/>
      <c r="EFN3" s="120"/>
      <c r="EFO3" s="120"/>
      <c r="EFP3" s="120"/>
      <c r="EFQ3" s="120"/>
      <c r="EFR3" s="120"/>
      <c r="EFS3" s="120"/>
      <c r="EFT3" s="120"/>
      <c r="EFU3" s="120"/>
      <c r="EFV3" s="120"/>
      <c r="EFW3" s="120"/>
      <c r="EFX3" s="120"/>
      <c r="EFY3" s="120"/>
      <c r="EFZ3" s="120"/>
      <c r="EGA3" s="120"/>
      <c r="EGB3" s="120"/>
      <c r="EGC3" s="120"/>
      <c r="EGD3" s="120"/>
      <c r="EGE3" s="120"/>
      <c r="EGF3" s="120"/>
      <c r="EGG3" s="120"/>
      <c r="EGH3" s="120"/>
      <c r="EGI3" s="120"/>
      <c r="EGJ3" s="120"/>
      <c r="EGK3" s="120"/>
      <c r="EGL3" s="120"/>
      <c r="EGM3" s="120"/>
      <c r="EGN3" s="120"/>
      <c r="EGO3" s="120"/>
      <c r="EGP3" s="120"/>
      <c r="EGQ3" s="120"/>
      <c r="EGR3" s="120"/>
      <c r="EGS3" s="120"/>
      <c r="EGT3" s="120"/>
      <c r="EGU3" s="120"/>
      <c r="EGV3" s="120"/>
      <c r="EGW3" s="120"/>
      <c r="EGX3" s="120"/>
      <c r="EGY3" s="120"/>
      <c r="EGZ3" s="120"/>
      <c r="EHA3" s="120"/>
      <c r="EHB3" s="120"/>
      <c r="EHC3" s="120"/>
      <c r="EHD3" s="120"/>
      <c r="EHE3" s="120"/>
      <c r="EHF3" s="120"/>
      <c r="EHG3" s="120"/>
      <c r="EHH3" s="120"/>
      <c r="EHI3" s="120"/>
      <c r="EHJ3" s="120"/>
      <c r="EHK3" s="120"/>
      <c r="EHL3" s="120"/>
      <c r="EHM3" s="120"/>
      <c r="EHN3" s="120"/>
      <c r="EHO3" s="120"/>
      <c r="EHP3" s="120"/>
      <c r="EHQ3" s="120"/>
      <c r="EHR3" s="120"/>
      <c r="EHS3" s="120"/>
      <c r="EHT3" s="120"/>
      <c r="EHU3" s="120"/>
      <c r="EHV3" s="120"/>
      <c r="EHW3" s="120"/>
      <c r="EHX3" s="120"/>
      <c r="EHY3" s="120"/>
      <c r="EHZ3" s="120"/>
      <c r="EIA3" s="120"/>
      <c r="EIB3" s="120"/>
      <c r="EIC3" s="120"/>
      <c r="EID3" s="120"/>
      <c r="EIE3" s="120"/>
      <c r="EIF3" s="120"/>
      <c r="EIG3" s="120"/>
      <c r="EIH3" s="120"/>
      <c r="EII3" s="120"/>
      <c r="EIJ3" s="120"/>
      <c r="EIK3" s="120"/>
      <c r="EIL3" s="120"/>
      <c r="EIM3" s="120"/>
      <c r="EIN3" s="120"/>
      <c r="EIO3" s="120"/>
      <c r="EIP3" s="120"/>
      <c r="EIQ3" s="120"/>
      <c r="EIR3" s="120"/>
      <c r="EIS3" s="120"/>
      <c r="EIT3" s="120"/>
      <c r="EIU3" s="120"/>
      <c r="EIV3" s="120"/>
      <c r="EIW3" s="120"/>
      <c r="EIX3" s="120"/>
      <c r="EIY3" s="120"/>
      <c r="EIZ3" s="120"/>
      <c r="EJA3" s="120"/>
      <c r="EJB3" s="120"/>
      <c r="EJC3" s="120"/>
      <c r="EJD3" s="120"/>
      <c r="EJE3" s="120"/>
      <c r="EJF3" s="120"/>
      <c r="EJG3" s="120"/>
      <c r="EJH3" s="120"/>
      <c r="EJI3" s="120"/>
      <c r="EJJ3" s="120"/>
      <c r="EJK3" s="120"/>
      <c r="EJL3" s="120"/>
      <c r="EJM3" s="120"/>
      <c r="EJN3" s="120"/>
      <c r="EJO3" s="120"/>
      <c r="EJP3" s="120"/>
      <c r="EJQ3" s="120"/>
      <c r="EJR3" s="120"/>
      <c r="EJS3" s="120"/>
      <c r="EJT3" s="120"/>
      <c r="EJU3" s="120"/>
      <c r="EJV3" s="120"/>
      <c r="EJW3" s="120"/>
      <c r="EJX3" s="120"/>
      <c r="EJY3" s="120"/>
      <c r="EJZ3" s="120"/>
      <c r="EKA3" s="120"/>
      <c r="EKB3" s="120"/>
      <c r="EKC3" s="120"/>
      <c r="EKD3" s="120"/>
      <c r="EKE3" s="120"/>
      <c r="EKF3" s="120"/>
      <c r="EKG3" s="120"/>
      <c r="EKH3" s="120"/>
      <c r="EKI3" s="120"/>
      <c r="EKJ3" s="120"/>
      <c r="EKK3" s="120"/>
      <c r="EKL3" s="120"/>
      <c r="EKM3" s="120"/>
      <c r="EKN3" s="120"/>
      <c r="EKO3" s="120"/>
      <c r="EKP3" s="120"/>
      <c r="EKQ3" s="120"/>
      <c r="EKR3" s="120"/>
      <c r="EKS3" s="120"/>
      <c r="EKT3" s="120"/>
      <c r="EKU3" s="120"/>
      <c r="EKV3" s="120"/>
      <c r="EKW3" s="120"/>
      <c r="EKX3" s="120"/>
      <c r="EKY3" s="120"/>
      <c r="EKZ3" s="120"/>
      <c r="ELA3" s="120"/>
      <c r="ELB3" s="120"/>
      <c r="ELC3" s="120"/>
      <c r="ELD3" s="120"/>
      <c r="ELE3" s="120"/>
      <c r="ELF3" s="120"/>
      <c r="ELG3" s="120"/>
      <c r="ELH3" s="120"/>
      <c r="ELI3" s="120"/>
      <c r="ELJ3" s="120"/>
      <c r="ELK3" s="120"/>
      <c r="ELL3" s="120"/>
      <c r="ELM3" s="120"/>
      <c r="ELN3" s="120"/>
      <c r="ELO3" s="120"/>
      <c r="ELP3" s="120"/>
      <c r="ELQ3" s="120"/>
      <c r="ELR3" s="120"/>
      <c r="ELS3" s="120"/>
      <c r="ELT3" s="120"/>
      <c r="ELU3" s="120"/>
      <c r="ELV3" s="120"/>
      <c r="ELW3" s="120"/>
      <c r="ELX3" s="120"/>
      <c r="ELY3" s="120"/>
      <c r="ELZ3" s="120"/>
      <c r="EMA3" s="120"/>
      <c r="EMB3" s="120"/>
      <c r="EMC3" s="120"/>
      <c r="EMD3" s="120"/>
      <c r="EME3" s="120"/>
      <c r="EMF3" s="120"/>
      <c r="EMG3" s="120"/>
      <c r="EMH3" s="120"/>
      <c r="EMI3" s="120"/>
      <c r="EMJ3" s="120"/>
      <c r="EMK3" s="120"/>
      <c r="EML3" s="120"/>
      <c r="EMM3" s="120"/>
      <c r="EMN3" s="120"/>
      <c r="EMO3" s="120"/>
      <c r="EMP3" s="120"/>
      <c r="EMQ3" s="120"/>
      <c r="EMR3" s="120"/>
      <c r="EMS3" s="120"/>
      <c r="EMT3" s="120"/>
      <c r="EMU3" s="120"/>
      <c r="EMV3" s="120"/>
      <c r="EMW3" s="120"/>
      <c r="EMX3" s="120"/>
      <c r="EMY3" s="120"/>
      <c r="EMZ3" s="120"/>
      <c r="ENA3" s="120"/>
      <c r="ENB3" s="120"/>
      <c r="ENC3" s="120"/>
      <c r="END3" s="120"/>
      <c r="ENE3" s="120"/>
      <c r="ENF3" s="120"/>
      <c r="ENG3" s="120"/>
      <c r="ENH3" s="120"/>
      <c r="ENI3" s="120"/>
      <c r="ENJ3" s="120"/>
      <c r="ENK3" s="120"/>
      <c r="ENL3" s="120"/>
      <c r="ENM3" s="120"/>
      <c r="ENN3" s="120"/>
      <c r="ENO3" s="120"/>
      <c r="ENP3" s="120"/>
      <c r="ENQ3" s="120"/>
      <c r="ENR3" s="120"/>
      <c r="ENS3" s="120"/>
      <c r="ENT3" s="120"/>
      <c r="ENU3" s="120"/>
      <c r="ENV3" s="120"/>
      <c r="ENW3" s="120"/>
      <c r="ENX3" s="120"/>
      <c r="ENY3" s="120"/>
      <c r="ENZ3" s="120"/>
      <c r="EOA3" s="120"/>
      <c r="EOB3" s="120"/>
      <c r="EOC3" s="120"/>
      <c r="EOD3" s="120"/>
      <c r="EOE3" s="120"/>
      <c r="EOF3" s="120"/>
      <c r="EOG3" s="120"/>
      <c r="EOH3" s="120"/>
      <c r="EOI3" s="120"/>
      <c r="EOJ3" s="120"/>
      <c r="EOK3" s="120"/>
      <c r="EOL3" s="120"/>
      <c r="EOM3" s="120"/>
      <c r="EON3" s="120"/>
      <c r="EOO3" s="120"/>
      <c r="EOP3" s="120"/>
      <c r="EOQ3" s="120"/>
      <c r="EOR3" s="120"/>
      <c r="EOS3" s="120"/>
      <c r="EOT3" s="120"/>
      <c r="EOU3" s="120"/>
      <c r="EOV3" s="120"/>
      <c r="EOW3" s="120"/>
      <c r="EOX3" s="120"/>
      <c r="EOY3" s="120"/>
      <c r="EOZ3" s="120"/>
      <c r="EPA3" s="120"/>
      <c r="EPB3" s="120"/>
      <c r="EPC3" s="120"/>
      <c r="EPD3" s="120"/>
      <c r="EPE3" s="120"/>
      <c r="EPF3" s="120"/>
      <c r="EPG3" s="120"/>
      <c r="EPH3" s="120"/>
      <c r="EPI3" s="120"/>
      <c r="EPJ3" s="120"/>
      <c r="EPK3" s="120"/>
      <c r="EPL3" s="120"/>
      <c r="EPM3" s="120"/>
      <c r="EPN3" s="120"/>
      <c r="EPO3" s="120"/>
      <c r="EPP3" s="120"/>
      <c r="EPQ3" s="120"/>
      <c r="EPR3" s="120"/>
      <c r="EPS3" s="120"/>
      <c r="EPT3" s="120"/>
      <c r="EPU3" s="120"/>
      <c r="EPV3" s="120"/>
      <c r="EPW3" s="120"/>
      <c r="EPX3" s="120"/>
      <c r="EPY3" s="120"/>
      <c r="EPZ3" s="120"/>
      <c r="EQA3" s="120"/>
      <c r="EQB3" s="120"/>
      <c r="EQC3" s="120"/>
      <c r="EQD3" s="120"/>
      <c r="EQE3" s="120"/>
      <c r="EQF3" s="120"/>
      <c r="EQG3" s="120"/>
      <c r="EQH3" s="120"/>
      <c r="EQI3" s="120"/>
      <c r="EQJ3" s="120"/>
      <c r="EQK3" s="120"/>
      <c r="EQL3" s="120"/>
      <c r="EQM3" s="120"/>
      <c r="EQN3" s="120"/>
      <c r="EQO3" s="120"/>
      <c r="EQP3" s="120"/>
      <c r="EQQ3" s="120"/>
      <c r="EQR3" s="120"/>
      <c r="EQS3" s="120"/>
      <c r="EQT3" s="120"/>
      <c r="EQU3" s="120"/>
      <c r="EQV3" s="120"/>
      <c r="EQW3" s="120"/>
      <c r="EQX3" s="120"/>
      <c r="EQY3" s="120"/>
      <c r="EQZ3" s="120"/>
      <c r="ERA3" s="120"/>
      <c r="ERB3" s="120"/>
      <c r="ERC3" s="120"/>
      <c r="ERD3" s="120"/>
      <c r="ERE3" s="120"/>
      <c r="ERF3" s="120"/>
      <c r="ERG3" s="120"/>
      <c r="ERH3" s="120"/>
      <c r="ERI3" s="120"/>
      <c r="ERJ3" s="120"/>
      <c r="ERK3" s="120"/>
      <c r="ERL3" s="120"/>
      <c r="ERM3" s="120"/>
      <c r="ERN3" s="120"/>
      <c r="ERO3" s="120"/>
      <c r="ERP3" s="120"/>
      <c r="ERQ3" s="120"/>
      <c r="ERR3" s="120"/>
      <c r="ERS3" s="120"/>
      <c r="ERT3" s="120"/>
      <c r="ERU3" s="120"/>
      <c r="ERV3" s="120"/>
      <c r="ERW3" s="120"/>
      <c r="ERX3" s="120"/>
      <c r="ERY3" s="120"/>
      <c r="ERZ3" s="120"/>
      <c r="ESA3" s="120"/>
      <c r="ESB3" s="120"/>
      <c r="ESC3" s="120"/>
      <c r="ESD3" s="120"/>
      <c r="ESE3" s="120"/>
      <c r="ESF3" s="120"/>
      <c r="ESG3" s="120"/>
      <c r="ESH3" s="120"/>
      <c r="ESI3" s="120"/>
      <c r="ESJ3" s="120"/>
      <c r="ESK3" s="120"/>
      <c r="ESL3" s="120"/>
      <c r="ESM3" s="120"/>
      <c r="ESN3" s="120"/>
      <c r="ESO3" s="120"/>
      <c r="ESP3" s="120"/>
      <c r="ESQ3" s="120"/>
      <c r="ESR3" s="120"/>
      <c r="ESS3" s="120"/>
      <c r="EST3" s="120"/>
      <c r="ESU3" s="120"/>
      <c r="ESV3" s="120"/>
      <c r="ESW3" s="120"/>
      <c r="ESX3" s="120"/>
      <c r="ESY3" s="120"/>
      <c r="ESZ3" s="120"/>
      <c r="ETA3" s="120"/>
      <c r="ETB3" s="120"/>
      <c r="ETC3" s="120"/>
      <c r="ETD3" s="120"/>
      <c r="ETE3" s="120"/>
      <c r="ETF3" s="120"/>
      <c r="ETG3" s="120"/>
      <c r="ETH3" s="120"/>
      <c r="ETI3" s="120"/>
      <c r="ETJ3" s="120"/>
      <c r="ETK3" s="120"/>
      <c r="ETL3" s="120"/>
      <c r="ETM3" s="120"/>
      <c r="ETN3" s="120"/>
      <c r="ETO3" s="120"/>
      <c r="ETP3" s="120"/>
      <c r="ETQ3" s="120"/>
      <c r="ETR3" s="120"/>
      <c r="ETS3" s="120"/>
      <c r="ETT3" s="120"/>
      <c r="ETU3" s="120"/>
      <c r="ETV3" s="120"/>
      <c r="ETW3" s="120"/>
      <c r="ETX3" s="120"/>
      <c r="ETY3" s="120"/>
      <c r="ETZ3" s="120"/>
      <c r="EUA3" s="120"/>
      <c r="EUB3" s="120"/>
      <c r="EUC3" s="120"/>
      <c r="EUD3" s="120"/>
      <c r="EUE3" s="120"/>
      <c r="EUF3" s="120"/>
      <c r="EUG3" s="120"/>
      <c r="EUH3" s="120"/>
      <c r="EUI3" s="120"/>
      <c r="EUJ3" s="120"/>
      <c r="EUK3" s="120"/>
      <c r="EUL3" s="120"/>
      <c r="EUM3" s="120"/>
      <c r="EUN3" s="120"/>
      <c r="EUO3" s="120"/>
      <c r="EUP3" s="120"/>
      <c r="EUQ3" s="120"/>
      <c r="EUR3" s="120"/>
      <c r="EUS3" s="120"/>
      <c r="EUT3" s="120"/>
      <c r="EUU3" s="120"/>
      <c r="EUV3" s="120"/>
      <c r="EUW3" s="120"/>
      <c r="EUX3" s="120"/>
      <c r="EUY3" s="120"/>
      <c r="EUZ3" s="120"/>
      <c r="EVA3" s="120"/>
      <c r="EVB3" s="120"/>
      <c r="EVC3" s="120"/>
      <c r="EVD3" s="120"/>
      <c r="EVE3" s="120"/>
      <c r="EVF3" s="120"/>
      <c r="EVG3" s="120"/>
      <c r="EVH3" s="120"/>
      <c r="EVI3" s="120"/>
      <c r="EVJ3" s="120"/>
      <c r="EVK3" s="120"/>
      <c r="EVL3" s="120"/>
      <c r="EVM3" s="120"/>
      <c r="EVN3" s="120"/>
      <c r="EVO3" s="120"/>
      <c r="EVP3" s="120"/>
      <c r="EVQ3" s="120"/>
      <c r="EVR3" s="120"/>
      <c r="EVS3" s="120"/>
      <c r="EVT3" s="120"/>
      <c r="EVU3" s="120"/>
      <c r="EVV3" s="120"/>
      <c r="EVW3" s="120"/>
      <c r="EVX3" s="120"/>
      <c r="EVY3" s="120"/>
      <c r="EVZ3" s="120"/>
      <c r="EWA3" s="120"/>
      <c r="EWB3" s="120"/>
      <c r="EWC3" s="120"/>
      <c r="EWD3" s="120"/>
      <c r="EWE3" s="120"/>
      <c r="EWF3" s="120"/>
      <c r="EWG3" s="120"/>
      <c r="EWH3" s="120"/>
      <c r="EWI3" s="120"/>
      <c r="EWJ3" s="120"/>
      <c r="EWK3" s="120"/>
      <c r="EWL3" s="120"/>
      <c r="EWM3" s="120"/>
      <c r="EWN3" s="120"/>
      <c r="EWO3" s="120"/>
      <c r="EWP3" s="120"/>
      <c r="EWQ3" s="120"/>
      <c r="EWR3" s="120"/>
      <c r="EWS3" s="120"/>
      <c r="EWT3" s="120"/>
      <c r="EWU3" s="120"/>
      <c r="EWV3" s="120"/>
      <c r="EWW3" s="120"/>
      <c r="EWX3" s="120"/>
      <c r="EWY3" s="120"/>
      <c r="EWZ3" s="120"/>
      <c r="EXA3" s="120"/>
      <c r="EXB3" s="120"/>
      <c r="EXC3" s="120"/>
      <c r="EXD3" s="120"/>
      <c r="EXE3" s="120"/>
      <c r="EXF3" s="120"/>
      <c r="EXG3" s="120"/>
      <c r="EXH3" s="120"/>
      <c r="EXI3" s="120"/>
      <c r="EXJ3" s="120"/>
      <c r="EXK3" s="120"/>
      <c r="EXL3" s="120"/>
      <c r="EXM3" s="120"/>
      <c r="EXN3" s="120"/>
      <c r="EXO3" s="120"/>
      <c r="EXP3" s="120"/>
      <c r="EXQ3" s="120"/>
      <c r="EXR3" s="120"/>
      <c r="EXS3" s="120"/>
      <c r="EXT3" s="120"/>
      <c r="EXU3" s="120"/>
      <c r="EXV3" s="120"/>
      <c r="EXW3" s="120"/>
      <c r="EXX3" s="120"/>
      <c r="EXY3" s="120"/>
      <c r="EXZ3" s="120"/>
      <c r="EYA3" s="120"/>
      <c r="EYB3" s="120"/>
      <c r="EYC3" s="120"/>
      <c r="EYD3" s="120"/>
      <c r="EYE3" s="120"/>
      <c r="EYF3" s="120"/>
      <c r="EYG3" s="120"/>
      <c r="EYH3" s="120"/>
      <c r="EYI3" s="120"/>
      <c r="EYJ3" s="120"/>
      <c r="EYK3" s="120"/>
      <c r="EYL3" s="120"/>
      <c r="EYM3" s="120"/>
      <c r="EYN3" s="120"/>
      <c r="EYO3" s="120"/>
      <c r="EYP3" s="120"/>
      <c r="EYQ3" s="120"/>
      <c r="EYR3" s="120"/>
      <c r="EYS3" s="120"/>
      <c r="EYT3" s="120"/>
      <c r="EYU3" s="120"/>
      <c r="EYV3" s="120"/>
      <c r="EYW3" s="120"/>
      <c r="EYX3" s="120"/>
      <c r="EYY3" s="120"/>
      <c r="EYZ3" s="120"/>
      <c r="EZA3" s="120"/>
      <c r="EZB3" s="120"/>
      <c r="EZC3" s="120"/>
      <c r="EZD3" s="120"/>
      <c r="EZE3" s="120"/>
      <c r="EZF3" s="120"/>
      <c r="EZG3" s="120"/>
      <c r="EZH3" s="120"/>
      <c r="EZI3" s="120"/>
      <c r="EZJ3" s="120"/>
      <c r="EZK3" s="120"/>
      <c r="EZL3" s="120"/>
      <c r="EZM3" s="120"/>
      <c r="EZN3" s="120"/>
      <c r="EZO3" s="120"/>
      <c r="EZP3" s="120"/>
      <c r="EZQ3" s="120"/>
      <c r="EZR3" s="120"/>
      <c r="EZS3" s="120"/>
      <c r="EZT3" s="120"/>
      <c r="EZU3" s="120"/>
      <c r="EZV3" s="120"/>
      <c r="EZW3" s="120"/>
      <c r="EZX3" s="120"/>
      <c r="EZY3" s="120"/>
      <c r="EZZ3" s="120"/>
      <c r="FAA3" s="120"/>
      <c r="FAB3" s="120"/>
      <c r="FAC3" s="120"/>
      <c r="FAD3" s="120"/>
      <c r="FAE3" s="120"/>
      <c r="FAF3" s="120"/>
      <c r="FAG3" s="120"/>
      <c r="FAH3" s="120"/>
      <c r="FAI3" s="120"/>
      <c r="FAJ3" s="120"/>
      <c r="FAK3" s="120"/>
      <c r="FAL3" s="120"/>
      <c r="FAM3" s="120"/>
      <c r="FAN3" s="120"/>
      <c r="FAO3" s="120"/>
      <c r="FAP3" s="120"/>
      <c r="FAQ3" s="120"/>
      <c r="FAR3" s="120"/>
      <c r="FAS3" s="120"/>
      <c r="FAT3" s="120"/>
      <c r="FAU3" s="120"/>
      <c r="FAV3" s="120"/>
      <c r="FAW3" s="120"/>
      <c r="FAX3" s="120"/>
      <c r="FAY3" s="120"/>
      <c r="FAZ3" s="120"/>
      <c r="FBA3" s="120"/>
      <c r="FBB3" s="120"/>
      <c r="FBC3" s="120"/>
      <c r="FBD3" s="120"/>
      <c r="FBE3" s="120"/>
      <c r="FBF3" s="120"/>
      <c r="FBG3" s="120"/>
      <c r="FBH3" s="120"/>
      <c r="FBI3" s="120"/>
      <c r="FBJ3" s="120"/>
      <c r="FBK3" s="120"/>
      <c r="FBL3" s="120"/>
      <c r="FBM3" s="120"/>
      <c r="FBN3" s="120"/>
      <c r="FBO3" s="120"/>
      <c r="FBP3" s="120"/>
      <c r="FBQ3" s="120"/>
      <c r="FBR3" s="120"/>
      <c r="FBS3" s="120"/>
      <c r="FBT3" s="120"/>
      <c r="FBU3" s="120"/>
      <c r="FBV3" s="120"/>
      <c r="FBW3" s="120"/>
      <c r="FBX3" s="120"/>
      <c r="FBY3" s="120"/>
      <c r="FBZ3" s="120"/>
      <c r="FCA3" s="120"/>
      <c r="FCB3" s="120"/>
      <c r="FCC3" s="120"/>
      <c r="FCD3" s="120"/>
      <c r="FCE3" s="120"/>
      <c r="FCF3" s="120"/>
      <c r="FCG3" s="120"/>
      <c r="FCH3" s="120"/>
      <c r="FCI3" s="120"/>
      <c r="FCJ3" s="120"/>
      <c r="FCK3" s="120"/>
      <c r="FCL3" s="120"/>
      <c r="FCM3" s="120"/>
      <c r="FCN3" s="120"/>
      <c r="FCO3" s="120"/>
      <c r="FCP3" s="120"/>
      <c r="FCQ3" s="120"/>
      <c r="FCR3" s="120"/>
      <c r="FCS3" s="120"/>
      <c r="FCT3" s="120"/>
      <c r="FCU3" s="120"/>
      <c r="FCV3" s="120"/>
      <c r="FCW3" s="120"/>
      <c r="FCX3" s="120"/>
      <c r="FCY3" s="120"/>
      <c r="FCZ3" s="120"/>
      <c r="FDA3" s="120"/>
      <c r="FDB3" s="120"/>
      <c r="FDC3" s="120"/>
      <c r="FDD3" s="120"/>
      <c r="FDE3" s="120"/>
      <c r="FDF3" s="120"/>
      <c r="FDG3" s="120"/>
      <c r="FDH3" s="120"/>
      <c r="FDI3" s="120"/>
      <c r="FDJ3" s="120"/>
      <c r="FDK3" s="120"/>
      <c r="FDL3" s="120"/>
      <c r="FDM3" s="120"/>
      <c r="FDN3" s="120"/>
      <c r="FDO3" s="120"/>
      <c r="FDP3" s="120"/>
      <c r="FDQ3" s="120"/>
      <c r="FDR3" s="120"/>
      <c r="FDS3" s="120"/>
      <c r="FDT3" s="120"/>
      <c r="FDU3" s="120"/>
      <c r="FDV3" s="120"/>
      <c r="FDW3" s="120"/>
      <c r="FDX3" s="120"/>
      <c r="FDY3" s="120"/>
      <c r="FDZ3" s="120"/>
      <c r="FEA3" s="120"/>
      <c r="FEB3" s="120"/>
      <c r="FEC3" s="120"/>
      <c r="FED3" s="120"/>
      <c r="FEE3" s="120"/>
      <c r="FEF3" s="120"/>
      <c r="FEG3" s="120"/>
      <c r="FEH3" s="120"/>
      <c r="FEI3" s="120"/>
      <c r="FEJ3" s="120"/>
      <c r="FEK3" s="120"/>
      <c r="FEL3" s="120"/>
      <c r="FEM3" s="120"/>
      <c r="FEN3" s="120"/>
      <c r="FEO3" s="120"/>
      <c r="FEP3" s="120"/>
      <c r="FEQ3" s="120"/>
      <c r="FER3" s="120"/>
      <c r="FES3" s="120"/>
      <c r="FET3" s="120"/>
      <c r="FEU3" s="120"/>
      <c r="FEV3" s="120"/>
      <c r="FEW3" s="120"/>
      <c r="FEX3" s="120"/>
      <c r="FEY3" s="120"/>
      <c r="FEZ3" s="120"/>
      <c r="FFA3" s="120"/>
      <c r="FFB3" s="120"/>
      <c r="FFC3" s="120"/>
      <c r="FFD3" s="120"/>
      <c r="FFE3" s="120"/>
      <c r="FFF3" s="120"/>
      <c r="FFG3" s="120"/>
      <c r="FFH3" s="120"/>
      <c r="FFI3" s="120"/>
      <c r="FFJ3" s="120"/>
      <c r="FFK3" s="120"/>
      <c r="FFL3" s="120"/>
      <c r="FFM3" s="120"/>
      <c r="FFN3" s="120"/>
      <c r="FFO3" s="120"/>
      <c r="FFP3" s="120"/>
      <c r="FFQ3" s="120"/>
      <c r="FFR3" s="120"/>
      <c r="FFS3" s="120"/>
      <c r="FFT3" s="120"/>
      <c r="FFU3" s="120"/>
      <c r="FFV3" s="120"/>
      <c r="FFW3" s="120"/>
      <c r="FFX3" s="120"/>
      <c r="FFY3" s="120"/>
      <c r="FFZ3" s="120"/>
      <c r="FGA3" s="120"/>
      <c r="FGB3" s="120"/>
      <c r="FGC3" s="120"/>
      <c r="FGD3" s="120"/>
      <c r="FGE3" s="120"/>
      <c r="FGF3" s="120"/>
      <c r="FGG3" s="120"/>
      <c r="FGH3" s="120"/>
      <c r="FGI3" s="120"/>
      <c r="FGJ3" s="120"/>
      <c r="FGK3" s="120"/>
      <c r="FGL3" s="120"/>
      <c r="FGM3" s="120"/>
      <c r="FGN3" s="120"/>
      <c r="FGO3" s="120"/>
      <c r="FGP3" s="120"/>
      <c r="FGQ3" s="120"/>
      <c r="FGR3" s="120"/>
      <c r="FGS3" s="120"/>
      <c r="FGT3" s="120"/>
      <c r="FGU3" s="120"/>
      <c r="FGV3" s="120"/>
      <c r="FGW3" s="120"/>
      <c r="FGX3" s="120"/>
      <c r="FGY3" s="120"/>
      <c r="FGZ3" s="120"/>
      <c r="FHA3" s="120"/>
      <c r="FHB3" s="120"/>
      <c r="FHC3" s="120"/>
      <c r="FHD3" s="120"/>
      <c r="FHE3" s="120"/>
      <c r="FHF3" s="120"/>
      <c r="FHG3" s="120"/>
      <c r="FHH3" s="120"/>
      <c r="FHI3" s="120"/>
      <c r="FHJ3" s="120"/>
      <c r="FHK3" s="120"/>
      <c r="FHL3" s="120"/>
      <c r="FHM3" s="120"/>
      <c r="FHN3" s="120"/>
      <c r="FHO3" s="120"/>
      <c r="FHP3" s="120"/>
      <c r="FHQ3" s="120"/>
      <c r="FHR3" s="120"/>
      <c r="FHS3" s="120"/>
      <c r="FHT3" s="120"/>
      <c r="FHU3" s="120"/>
      <c r="FHV3" s="120"/>
      <c r="FHW3" s="120"/>
      <c r="FHX3" s="120"/>
      <c r="FHY3" s="120"/>
      <c r="FHZ3" s="120"/>
      <c r="FIA3" s="120"/>
      <c r="FIB3" s="120"/>
      <c r="FIC3" s="120"/>
      <c r="FID3" s="120"/>
      <c r="FIE3" s="120"/>
      <c r="FIF3" s="120"/>
      <c r="FIG3" s="120"/>
      <c r="FIH3" s="120"/>
      <c r="FII3" s="120"/>
      <c r="FIJ3" s="120"/>
      <c r="FIK3" s="120"/>
      <c r="FIL3" s="120"/>
      <c r="FIM3" s="120"/>
      <c r="FIN3" s="120"/>
      <c r="FIO3" s="120"/>
      <c r="FIP3" s="120"/>
      <c r="FIQ3" s="120"/>
      <c r="FIR3" s="120"/>
      <c r="FIS3" s="120"/>
      <c r="FIT3" s="120"/>
      <c r="FIU3" s="120"/>
      <c r="FIV3" s="120"/>
      <c r="FIW3" s="120"/>
      <c r="FIX3" s="120"/>
      <c r="FIY3" s="120"/>
      <c r="FIZ3" s="120"/>
      <c r="FJA3" s="120"/>
      <c r="FJB3" s="120"/>
      <c r="FJC3" s="120"/>
      <c r="FJD3" s="120"/>
      <c r="FJE3" s="120"/>
      <c r="FJF3" s="120"/>
      <c r="FJG3" s="120"/>
      <c r="FJH3" s="120"/>
      <c r="FJI3" s="120"/>
      <c r="FJJ3" s="120"/>
      <c r="FJK3" s="120"/>
      <c r="FJL3" s="120"/>
      <c r="FJM3" s="120"/>
      <c r="FJN3" s="120"/>
      <c r="FJO3" s="120"/>
      <c r="FJP3" s="120"/>
      <c r="FJQ3" s="120"/>
      <c r="FJR3" s="120"/>
      <c r="FJS3" s="120"/>
      <c r="FJT3" s="120"/>
      <c r="FJU3" s="120"/>
      <c r="FJV3" s="120"/>
      <c r="FJW3" s="120"/>
      <c r="FJX3" s="120"/>
      <c r="FJY3" s="120"/>
      <c r="FJZ3" s="120"/>
      <c r="FKA3" s="120"/>
      <c r="FKB3" s="120"/>
      <c r="FKC3" s="120"/>
      <c r="FKD3" s="120"/>
      <c r="FKE3" s="120"/>
      <c r="FKF3" s="120"/>
      <c r="FKG3" s="120"/>
      <c r="FKH3" s="120"/>
      <c r="FKI3" s="120"/>
      <c r="FKJ3" s="120"/>
      <c r="FKK3" s="120"/>
      <c r="FKL3" s="120"/>
      <c r="FKM3" s="120"/>
      <c r="FKN3" s="120"/>
      <c r="FKO3" s="120"/>
      <c r="FKP3" s="120"/>
      <c r="FKQ3" s="120"/>
      <c r="FKR3" s="120"/>
      <c r="FKS3" s="120"/>
      <c r="FKT3" s="120"/>
      <c r="FKU3" s="120"/>
      <c r="FKV3" s="120"/>
      <c r="FKW3" s="120"/>
      <c r="FKX3" s="120"/>
      <c r="FKY3" s="120"/>
      <c r="FKZ3" s="120"/>
      <c r="FLA3" s="120"/>
      <c r="FLB3" s="120"/>
      <c r="FLC3" s="120"/>
      <c r="FLD3" s="120"/>
      <c r="FLE3" s="120"/>
      <c r="FLF3" s="120"/>
      <c r="FLG3" s="120"/>
      <c r="FLH3" s="120"/>
      <c r="FLI3" s="120"/>
      <c r="FLJ3" s="120"/>
      <c r="FLK3" s="120"/>
      <c r="FLL3" s="120"/>
      <c r="FLM3" s="120"/>
      <c r="FLN3" s="120"/>
      <c r="FLO3" s="120"/>
      <c r="FLP3" s="120"/>
      <c r="FLQ3" s="120"/>
      <c r="FLR3" s="120"/>
      <c r="FLS3" s="120"/>
      <c r="FLT3" s="120"/>
      <c r="FLU3" s="120"/>
      <c r="FLV3" s="120"/>
      <c r="FLW3" s="120"/>
      <c r="FLX3" s="120"/>
      <c r="FLY3" s="120"/>
      <c r="FLZ3" s="120"/>
      <c r="FMA3" s="120"/>
      <c r="FMB3" s="120"/>
      <c r="FMC3" s="120"/>
      <c r="FMD3" s="120"/>
      <c r="FME3" s="120"/>
      <c r="FMF3" s="120"/>
      <c r="FMG3" s="120"/>
      <c r="FMH3" s="120"/>
      <c r="FMI3" s="120"/>
      <c r="FMJ3" s="120"/>
      <c r="FMK3" s="120"/>
      <c r="FML3" s="120"/>
      <c r="FMM3" s="120"/>
      <c r="FMN3" s="120"/>
      <c r="FMO3" s="120"/>
      <c r="FMP3" s="120"/>
      <c r="FMQ3" s="120"/>
      <c r="FMR3" s="120"/>
      <c r="FMS3" s="120"/>
      <c r="FMT3" s="120"/>
      <c r="FMU3" s="120"/>
      <c r="FMV3" s="120"/>
      <c r="FMW3" s="120"/>
      <c r="FMX3" s="120"/>
      <c r="FMY3" s="120"/>
      <c r="FMZ3" s="120"/>
      <c r="FNA3" s="120"/>
      <c r="FNB3" s="120"/>
      <c r="FNC3" s="120"/>
      <c r="FND3" s="120"/>
      <c r="FNE3" s="120"/>
      <c r="FNF3" s="120"/>
      <c r="FNG3" s="120"/>
      <c r="FNH3" s="120"/>
      <c r="FNI3" s="120"/>
      <c r="FNJ3" s="120"/>
      <c r="FNK3" s="120"/>
      <c r="FNL3" s="120"/>
      <c r="FNM3" s="120"/>
      <c r="FNN3" s="120"/>
      <c r="FNO3" s="120"/>
      <c r="FNP3" s="120"/>
      <c r="FNQ3" s="120"/>
      <c r="FNR3" s="120"/>
      <c r="FNS3" s="120"/>
      <c r="FNT3" s="120"/>
      <c r="FNU3" s="120"/>
      <c r="FNV3" s="120"/>
      <c r="FNW3" s="120"/>
      <c r="FNX3" s="120"/>
      <c r="FNY3" s="120"/>
      <c r="FNZ3" s="120"/>
      <c r="FOA3" s="120"/>
      <c r="FOB3" s="120"/>
      <c r="FOC3" s="120"/>
      <c r="FOD3" s="120"/>
      <c r="FOE3" s="120"/>
      <c r="FOF3" s="120"/>
      <c r="FOG3" s="120"/>
      <c r="FOH3" s="120"/>
      <c r="FOI3" s="120"/>
      <c r="FOJ3" s="120"/>
      <c r="FOK3" s="120"/>
      <c r="FOL3" s="120"/>
      <c r="FOM3" s="120"/>
      <c r="FON3" s="120"/>
      <c r="FOO3" s="120"/>
      <c r="FOP3" s="120"/>
      <c r="FOQ3" s="120"/>
      <c r="FOR3" s="120"/>
      <c r="FOS3" s="120"/>
      <c r="FOT3" s="120"/>
      <c r="FOU3" s="120"/>
      <c r="FOV3" s="120"/>
      <c r="FOW3" s="120"/>
      <c r="FOX3" s="120"/>
      <c r="FOY3" s="120"/>
      <c r="FOZ3" s="120"/>
      <c r="FPA3" s="120"/>
      <c r="FPB3" s="120"/>
      <c r="FPC3" s="120"/>
      <c r="FPD3" s="120"/>
      <c r="FPE3" s="120"/>
      <c r="FPF3" s="120"/>
      <c r="FPG3" s="120"/>
      <c r="FPH3" s="120"/>
      <c r="FPI3" s="120"/>
      <c r="FPJ3" s="120"/>
      <c r="FPK3" s="120"/>
      <c r="FPL3" s="120"/>
      <c r="FPM3" s="120"/>
      <c r="FPN3" s="120"/>
      <c r="FPO3" s="120"/>
      <c r="FPP3" s="120"/>
      <c r="FPQ3" s="120"/>
      <c r="FPR3" s="120"/>
      <c r="FPS3" s="120"/>
      <c r="FPT3" s="120"/>
      <c r="FPU3" s="120"/>
      <c r="FPV3" s="120"/>
      <c r="FPW3" s="120"/>
      <c r="FPX3" s="120"/>
      <c r="FPY3" s="120"/>
      <c r="FPZ3" s="120"/>
      <c r="FQA3" s="120"/>
      <c r="FQB3" s="120"/>
      <c r="FQC3" s="120"/>
      <c r="FQD3" s="120"/>
      <c r="FQE3" s="120"/>
      <c r="FQF3" s="120"/>
      <c r="FQG3" s="120"/>
      <c r="FQH3" s="120"/>
      <c r="FQI3" s="120"/>
      <c r="FQJ3" s="120"/>
      <c r="FQK3" s="120"/>
      <c r="FQL3" s="120"/>
      <c r="FQM3" s="120"/>
      <c r="FQN3" s="120"/>
      <c r="FQO3" s="120"/>
      <c r="FQP3" s="120"/>
      <c r="FQQ3" s="120"/>
      <c r="FQR3" s="120"/>
      <c r="FQS3" s="120"/>
      <c r="FQT3" s="120"/>
      <c r="FQU3" s="120"/>
      <c r="FQV3" s="120"/>
      <c r="FQW3" s="120"/>
      <c r="FQX3" s="120"/>
      <c r="FQY3" s="120"/>
      <c r="FQZ3" s="120"/>
      <c r="FRA3" s="120"/>
      <c r="FRB3" s="120"/>
      <c r="FRC3" s="120"/>
      <c r="FRD3" s="120"/>
      <c r="FRE3" s="120"/>
      <c r="FRF3" s="120"/>
      <c r="FRG3" s="120"/>
      <c r="FRH3" s="120"/>
      <c r="FRI3" s="120"/>
      <c r="FRJ3" s="120"/>
      <c r="FRK3" s="120"/>
      <c r="FRL3" s="120"/>
      <c r="FRM3" s="120"/>
      <c r="FRN3" s="120"/>
      <c r="FRO3" s="120"/>
      <c r="FRP3" s="120"/>
      <c r="FRQ3" s="120"/>
      <c r="FRR3" s="120"/>
      <c r="FRS3" s="120"/>
      <c r="FRT3" s="120"/>
      <c r="FRU3" s="120"/>
      <c r="FRV3" s="120"/>
      <c r="FRW3" s="120"/>
      <c r="FRX3" s="120"/>
      <c r="FRY3" s="120"/>
      <c r="FRZ3" s="120"/>
      <c r="FSA3" s="120"/>
      <c r="FSB3" s="120"/>
      <c r="FSC3" s="120"/>
      <c r="FSD3" s="120"/>
      <c r="FSE3" s="120"/>
      <c r="FSF3" s="120"/>
      <c r="FSG3" s="120"/>
      <c r="FSH3" s="120"/>
      <c r="FSI3" s="120"/>
      <c r="FSJ3" s="120"/>
      <c r="FSK3" s="120"/>
      <c r="FSL3" s="120"/>
      <c r="FSM3" s="120"/>
      <c r="FSN3" s="120"/>
      <c r="FSO3" s="120"/>
      <c r="FSP3" s="120"/>
      <c r="FSQ3" s="120"/>
      <c r="FSR3" s="120"/>
      <c r="FSS3" s="120"/>
      <c r="FST3" s="120"/>
      <c r="FSU3" s="120"/>
      <c r="FSV3" s="120"/>
      <c r="FSW3" s="120"/>
      <c r="FSX3" s="120"/>
      <c r="FSY3" s="120"/>
      <c r="FSZ3" s="120"/>
      <c r="FTA3" s="120"/>
      <c r="FTB3" s="120"/>
      <c r="FTC3" s="120"/>
      <c r="FTD3" s="120"/>
      <c r="FTE3" s="120"/>
      <c r="FTF3" s="120"/>
      <c r="FTG3" s="120"/>
      <c r="FTH3" s="120"/>
      <c r="FTI3" s="120"/>
      <c r="FTJ3" s="120"/>
      <c r="FTK3" s="120"/>
      <c r="FTL3" s="120"/>
      <c r="FTM3" s="120"/>
      <c r="FTN3" s="120"/>
      <c r="FTO3" s="120"/>
      <c r="FTP3" s="120"/>
      <c r="FTQ3" s="120"/>
      <c r="FTR3" s="120"/>
      <c r="FTS3" s="120"/>
      <c r="FTT3" s="120"/>
      <c r="FTU3" s="120"/>
      <c r="FTV3" s="120"/>
      <c r="FTW3" s="120"/>
      <c r="FTX3" s="120"/>
      <c r="FTY3" s="120"/>
      <c r="FTZ3" s="120"/>
      <c r="FUA3" s="120"/>
      <c r="FUB3" s="120"/>
      <c r="FUC3" s="120"/>
      <c r="FUD3" s="120"/>
      <c r="FUE3" s="120"/>
      <c r="FUF3" s="120"/>
      <c r="FUG3" s="120"/>
      <c r="FUH3" s="120"/>
      <c r="FUI3" s="120"/>
      <c r="FUJ3" s="120"/>
      <c r="FUK3" s="120"/>
      <c r="FUL3" s="120"/>
      <c r="FUM3" s="120"/>
      <c r="FUN3" s="120"/>
      <c r="FUO3" s="120"/>
      <c r="FUP3" s="120"/>
      <c r="FUQ3" s="120"/>
      <c r="FUR3" s="120"/>
      <c r="FUS3" s="120"/>
      <c r="FUT3" s="120"/>
      <c r="FUU3" s="120"/>
      <c r="FUV3" s="120"/>
      <c r="FUW3" s="120"/>
      <c r="FUX3" s="120"/>
      <c r="FUY3" s="120"/>
      <c r="FUZ3" s="120"/>
      <c r="FVA3" s="120"/>
      <c r="FVB3" s="120"/>
      <c r="FVC3" s="120"/>
      <c r="FVD3" s="120"/>
      <c r="FVE3" s="120"/>
      <c r="FVF3" s="120"/>
      <c r="FVG3" s="120"/>
      <c r="FVH3" s="120"/>
      <c r="FVI3" s="120"/>
      <c r="FVJ3" s="120"/>
      <c r="FVK3" s="120"/>
      <c r="FVL3" s="120"/>
      <c r="FVM3" s="120"/>
      <c r="FVN3" s="120"/>
      <c r="FVO3" s="120"/>
      <c r="FVP3" s="120"/>
      <c r="FVQ3" s="120"/>
      <c r="FVR3" s="120"/>
      <c r="FVS3" s="120"/>
      <c r="FVT3" s="120"/>
      <c r="FVU3" s="120"/>
      <c r="FVV3" s="120"/>
      <c r="FVW3" s="120"/>
      <c r="FVX3" s="120"/>
      <c r="FVY3" s="120"/>
      <c r="FVZ3" s="120"/>
      <c r="FWA3" s="120"/>
      <c r="FWB3" s="120"/>
      <c r="FWC3" s="120"/>
      <c r="FWD3" s="120"/>
      <c r="FWE3" s="120"/>
      <c r="FWF3" s="120"/>
      <c r="FWG3" s="120"/>
      <c r="FWH3" s="120"/>
      <c r="FWI3" s="120"/>
      <c r="FWJ3" s="120"/>
      <c r="FWK3" s="120"/>
      <c r="FWL3" s="120"/>
      <c r="FWM3" s="120"/>
      <c r="FWN3" s="120"/>
      <c r="FWO3" s="120"/>
      <c r="FWP3" s="120"/>
      <c r="FWQ3" s="120"/>
      <c r="FWR3" s="120"/>
      <c r="FWS3" s="120"/>
      <c r="FWT3" s="120"/>
      <c r="FWU3" s="120"/>
      <c r="FWV3" s="120"/>
      <c r="FWW3" s="120"/>
      <c r="FWX3" s="120"/>
      <c r="FWY3" s="120"/>
      <c r="FWZ3" s="120"/>
      <c r="FXA3" s="120"/>
      <c r="FXB3" s="120"/>
      <c r="FXC3" s="120"/>
      <c r="FXD3" s="120"/>
      <c r="FXE3" s="120"/>
      <c r="FXF3" s="120"/>
      <c r="FXG3" s="120"/>
      <c r="FXH3" s="120"/>
      <c r="FXI3" s="120"/>
      <c r="FXJ3" s="120"/>
      <c r="FXK3" s="120"/>
      <c r="FXL3" s="120"/>
      <c r="FXM3" s="120"/>
      <c r="FXN3" s="120"/>
      <c r="FXO3" s="120"/>
      <c r="FXP3" s="120"/>
      <c r="FXQ3" s="120"/>
      <c r="FXR3" s="120"/>
      <c r="FXS3" s="120"/>
      <c r="FXT3" s="120"/>
      <c r="FXU3" s="120"/>
      <c r="FXV3" s="120"/>
      <c r="FXW3" s="120"/>
      <c r="FXX3" s="120"/>
      <c r="FXY3" s="120"/>
      <c r="FXZ3" s="120"/>
      <c r="FYA3" s="120"/>
      <c r="FYB3" s="120"/>
      <c r="FYC3" s="120"/>
      <c r="FYD3" s="120"/>
      <c r="FYE3" s="120"/>
      <c r="FYF3" s="120"/>
      <c r="FYG3" s="120"/>
      <c r="FYH3" s="120"/>
      <c r="FYI3" s="120"/>
      <c r="FYJ3" s="120"/>
      <c r="FYK3" s="120"/>
      <c r="FYL3" s="120"/>
      <c r="FYM3" s="120"/>
      <c r="FYN3" s="120"/>
      <c r="FYO3" s="120"/>
      <c r="FYP3" s="120"/>
      <c r="FYQ3" s="120"/>
      <c r="FYR3" s="120"/>
      <c r="FYS3" s="120"/>
      <c r="FYT3" s="120"/>
      <c r="FYU3" s="120"/>
      <c r="FYV3" s="120"/>
      <c r="FYW3" s="120"/>
      <c r="FYX3" s="120"/>
      <c r="FYY3" s="120"/>
      <c r="FYZ3" s="120"/>
      <c r="FZA3" s="120"/>
      <c r="FZB3" s="120"/>
      <c r="FZC3" s="120"/>
      <c r="FZD3" s="120"/>
      <c r="FZE3" s="120"/>
      <c r="FZF3" s="120"/>
      <c r="FZG3" s="120"/>
      <c r="FZH3" s="120"/>
      <c r="FZI3" s="120"/>
      <c r="FZJ3" s="120"/>
      <c r="FZK3" s="120"/>
      <c r="FZL3" s="120"/>
      <c r="FZM3" s="120"/>
      <c r="FZN3" s="120"/>
      <c r="FZO3" s="120"/>
      <c r="FZP3" s="120"/>
      <c r="FZQ3" s="120"/>
      <c r="FZR3" s="120"/>
      <c r="FZS3" s="120"/>
      <c r="FZT3" s="120"/>
      <c r="FZU3" s="120"/>
      <c r="FZV3" s="120"/>
      <c r="FZW3" s="120"/>
      <c r="FZX3" s="120"/>
      <c r="FZY3" s="120"/>
      <c r="FZZ3" s="120"/>
      <c r="GAA3" s="120"/>
      <c r="GAB3" s="120"/>
      <c r="GAC3" s="120"/>
      <c r="GAD3" s="120"/>
      <c r="GAE3" s="120"/>
      <c r="GAF3" s="120"/>
      <c r="GAG3" s="120"/>
      <c r="GAH3" s="120"/>
      <c r="GAI3" s="120"/>
      <c r="GAJ3" s="120"/>
      <c r="GAK3" s="120"/>
      <c r="GAL3" s="120"/>
      <c r="GAM3" s="120"/>
      <c r="GAN3" s="120"/>
      <c r="GAO3" s="120"/>
      <c r="GAP3" s="120"/>
      <c r="GAQ3" s="120"/>
      <c r="GAR3" s="120"/>
      <c r="GAS3" s="120"/>
      <c r="GAT3" s="120"/>
      <c r="GAU3" s="120"/>
      <c r="GAV3" s="120"/>
      <c r="GAW3" s="120"/>
      <c r="GAX3" s="120"/>
      <c r="GAY3" s="120"/>
      <c r="GAZ3" s="120"/>
      <c r="GBA3" s="120"/>
      <c r="GBB3" s="120"/>
      <c r="GBC3" s="120"/>
      <c r="GBD3" s="120"/>
      <c r="GBE3" s="120"/>
      <c r="GBF3" s="120"/>
      <c r="GBG3" s="120"/>
      <c r="GBH3" s="120"/>
      <c r="GBI3" s="120"/>
      <c r="GBJ3" s="120"/>
      <c r="GBK3" s="120"/>
      <c r="GBL3" s="120"/>
      <c r="GBM3" s="120"/>
      <c r="GBN3" s="120"/>
      <c r="GBO3" s="120"/>
      <c r="GBP3" s="120"/>
      <c r="GBQ3" s="120"/>
      <c r="GBR3" s="120"/>
      <c r="GBS3" s="120"/>
      <c r="GBT3" s="120"/>
      <c r="GBU3" s="120"/>
      <c r="GBV3" s="120"/>
      <c r="GBW3" s="120"/>
      <c r="GBX3" s="120"/>
      <c r="GBY3" s="120"/>
      <c r="GBZ3" s="120"/>
      <c r="GCA3" s="120"/>
      <c r="GCB3" s="120"/>
      <c r="GCC3" s="120"/>
      <c r="GCD3" s="120"/>
      <c r="GCE3" s="120"/>
      <c r="GCF3" s="120"/>
      <c r="GCG3" s="120"/>
      <c r="GCH3" s="120"/>
      <c r="GCI3" s="120"/>
      <c r="GCJ3" s="120"/>
      <c r="GCK3" s="120"/>
      <c r="GCL3" s="120"/>
      <c r="GCM3" s="120"/>
      <c r="GCN3" s="120"/>
      <c r="GCO3" s="120"/>
      <c r="GCP3" s="120"/>
      <c r="GCQ3" s="120"/>
      <c r="GCR3" s="120"/>
      <c r="GCS3" s="120"/>
      <c r="GCT3" s="120"/>
      <c r="GCU3" s="120"/>
      <c r="GCV3" s="120"/>
      <c r="GCW3" s="120"/>
      <c r="GCX3" s="120"/>
      <c r="GCY3" s="120"/>
      <c r="GCZ3" s="120"/>
      <c r="GDA3" s="120"/>
      <c r="GDB3" s="120"/>
      <c r="GDC3" s="120"/>
      <c r="GDD3" s="120"/>
      <c r="GDE3" s="120"/>
      <c r="GDF3" s="120"/>
      <c r="GDG3" s="120"/>
      <c r="GDH3" s="120"/>
      <c r="GDI3" s="120"/>
      <c r="GDJ3" s="120"/>
      <c r="GDK3" s="120"/>
      <c r="GDL3" s="120"/>
      <c r="GDM3" s="120"/>
      <c r="GDN3" s="120"/>
      <c r="GDO3" s="120"/>
      <c r="GDP3" s="120"/>
      <c r="GDQ3" s="120"/>
      <c r="GDR3" s="120"/>
      <c r="GDS3" s="120"/>
      <c r="GDT3" s="120"/>
      <c r="GDU3" s="120"/>
      <c r="GDV3" s="120"/>
      <c r="GDW3" s="120"/>
      <c r="GDX3" s="120"/>
      <c r="GDY3" s="120"/>
      <c r="GDZ3" s="120"/>
      <c r="GEA3" s="120"/>
      <c r="GEB3" s="120"/>
      <c r="GEC3" s="120"/>
      <c r="GED3" s="120"/>
      <c r="GEE3" s="120"/>
      <c r="GEF3" s="120"/>
      <c r="GEG3" s="120"/>
      <c r="GEH3" s="120"/>
      <c r="GEI3" s="120"/>
      <c r="GEJ3" s="120"/>
      <c r="GEK3" s="120"/>
      <c r="GEL3" s="120"/>
      <c r="GEM3" s="120"/>
      <c r="GEN3" s="120"/>
      <c r="GEO3" s="120"/>
      <c r="GEP3" s="120"/>
      <c r="GEQ3" s="120"/>
      <c r="GER3" s="120"/>
      <c r="GES3" s="120"/>
      <c r="GET3" s="120"/>
      <c r="GEU3" s="120"/>
      <c r="GEV3" s="120"/>
      <c r="GEW3" s="120"/>
      <c r="GEX3" s="120"/>
      <c r="GEY3" s="120"/>
      <c r="GEZ3" s="120"/>
      <c r="GFA3" s="120"/>
      <c r="GFB3" s="120"/>
      <c r="GFC3" s="120"/>
      <c r="GFD3" s="120"/>
      <c r="GFE3" s="120"/>
      <c r="GFF3" s="120"/>
      <c r="GFG3" s="120"/>
      <c r="GFH3" s="120"/>
      <c r="GFI3" s="120"/>
      <c r="GFJ3" s="120"/>
      <c r="GFK3" s="120"/>
      <c r="GFL3" s="120"/>
      <c r="GFM3" s="120"/>
      <c r="GFN3" s="120"/>
      <c r="GFO3" s="120"/>
      <c r="GFP3" s="120"/>
      <c r="GFQ3" s="120"/>
      <c r="GFR3" s="120"/>
      <c r="GFS3" s="120"/>
      <c r="GFT3" s="120"/>
      <c r="GFU3" s="120"/>
      <c r="GFV3" s="120"/>
      <c r="GFW3" s="120"/>
      <c r="GFX3" s="120"/>
      <c r="GFY3" s="120"/>
      <c r="GFZ3" s="120"/>
      <c r="GGA3" s="120"/>
      <c r="GGB3" s="120"/>
      <c r="GGC3" s="120"/>
      <c r="GGD3" s="120"/>
      <c r="GGE3" s="120"/>
      <c r="GGF3" s="120"/>
      <c r="GGG3" s="120"/>
      <c r="GGH3" s="120"/>
      <c r="GGI3" s="120"/>
      <c r="GGJ3" s="120"/>
      <c r="GGK3" s="120"/>
      <c r="GGL3" s="120"/>
      <c r="GGM3" s="120"/>
      <c r="GGN3" s="120"/>
      <c r="GGO3" s="120"/>
      <c r="GGP3" s="120"/>
      <c r="GGQ3" s="120"/>
      <c r="GGR3" s="120"/>
      <c r="GGS3" s="120"/>
      <c r="GGT3" s="120"/>
      <c r="GGU3" s="120"/>
      <c r="GGV3" s="120"/>
      <c r="GGW3" s="120"/>
      <c r="GGX3" s="120"/>
      <c r="GGY3" s="120"/>
      <c r="GGZ3" s="120"/>
      <c r="GHA3" s="120"/>
      <c r="GHB3" s="120"/>
      <c r="GHC3" s="120"/>
      <c r="GHD3" s="120"/>
      <c r="GHE3" s="120"/>
      <c r="GHF3" s="120"/>
      <c r="GHG3" s="120"/>
      <c r="GHH3" s="120"/>
      <c r="GHI3" s="120"/>
      <c r="GHJ3" s="120"/>
      <c r="GHK3" s="120"/>
      <c r="GHL3" s="120"/>
      <c r="GHM3" s="120"/>
      <c r="GHN3" s="120"/>
      <c r="GHO3" s="120"/>
      <c r="GHP3" s="120"/>
      <c r="GHQ3" s="120"/>
      <c r="GHR3" s="120"/>
      <c r="GHS3" s="120"/>
      <c r="GHT3" s="120"/>
      <c r="GHU3" s="120"/>
      <c r="GHV3" s="120"/>
      <c r="GHW3" s="120"/>
      <c r="GHX3" s="120"/>
      <c r="GHY3" s="120"/>
      <c r="GHZ3" s="120"/>
      <c r="GIA3" s="120"/>
      <c r="GIB3" s="120"/>
      <c r="GIC3" s="120"/>
      <c r="GID3" s="120"/>
      <c r="GIE3" s="120"/>
      <c r="GIF3" s="120"/>
      <c r="GIG3" s="120"/>
      <c r="GIH3" s="120"/>
      <c r="GII3" s="120"/>
      <c r="GIJ3" s="120"/>
      <c r="GIK3" s="120"/>
      <c r="GIL3" s="120"/>
      <c r="GIM3" s="120"/>
      <c r="GIN3" s="120"/>
      <c r="GIO3" s="120"/>
      <c r="GIP3" s="120"/>
      <c r="GIQ3" s="120"/>
      <c r="GIR3" s="120"/>
      <c r="GIS3" s="120"/>
      <c r="GIT3" s="120"/>
      <c r="GIU3" s="120"/>
      <c r="GIV3" s="120"/>
      <c r="GIW3" s="120"/>
      <c r="GIX3" s="120"/>
      <c r="GIY3" s="120"/>
      <c r="GIZ3" s="120"/>
      <c r="GJA3" s="120"/>
      <c r="GJB3" s="120"/>
      <c r="GJC3" s="120"/>
      <c r="GJD3" s="120"/>
      <c r="GJE3" s="120"/>
      <c r="GJF3" s="120"/>
      <c r="GJG3" s="120"/>
      <c r="GJH3" s="120"/>
      <c r="GJI3" s="120"/>
      <c r="GJJ3" s="120"/>
      <c r="GJK3" s="120"/>
      <c r="GJL3" s="120"/>
      <c r="GJM3" s="120"/>
      <c r="GJN3" s="120"/>
      <c r="GJO3" s="120"/>
      <c r="GJP3" s="120"/>
      <c r="GJQ3" s="120"/>
      <c r="GJR3" s="120"/>
      <c r="GJS3" s="120"/>
      <c r="GJT3" s="120"/>
      <c r="GJU3" s="120"/>
      <c r="GJV3" s="120"/>
      <c r="GJW3" s="120"/>
      <c r="GJX3" s="120"/>
      <c r="GJY3" s="120"/>
      <c r="GJZ3" s="120"/>
      <c r="GKA3" s="120"/>
      <c r="GKB3" s="120"/>
      <c r="GKC3" s="120"/>
      <c r="GKD3" s="120"/>
      <c r="GKE3" s="120"/>
      <c r="GKF3" s="120"/>
      <c r="GKG3" s="120"/>
      <c r="GKH3" s="120"/>
      <c r="GKI3" s="120"/>
      <c r="GKJ3" s="120"/>
      <c r="GKK3" s="120"/>
      <c r="GKL3" s="120"/>
      <c r="GKM3" s="120"/>
      <c r="GKN3" s="120"/>
      <c r="GKO3" s="120"/>
      <c r="GKP3" s="120"/>
      <c r="GKQ3" s="120"/>
      <c r="GKR3" s="120"/>
      <c r="GKS3" s="120"/>
      <c r="GKT3" s="120"/>
      <c r="GKU3" s="120"/>
      <c r="GKV3" s="120"/>
      <c r="GKW3" s="120"/>
      <c r="GKX3" s="120"/>
      <c r="GKY3" s="120"/>
      <c r="GKZ3" s="120"/>
      <c r="GLA3" s="120"/>
      <c r="GLB3" s="120"/>
      <c r="GLC3" s="120"/>
      <c r="GLD3" s="120"/>
      <c r="GLE3" s="120"/>
      <c r="GLF3" s="120"/>
      <c r="GLG3" s="120"/>
      <c r="GLH3" s="120"/>
      <c r="GLI3" s="120"/>
      <c r="GLJ3" s="120"/>
      <c r="GLK3" s="120"/>
      <c r="GLL3" s="120"/>
      <c r="GLM3" s="120"/>
      <c r="GLN3" s="120"/>
      <c r="GLO3" s="120"/>
      <c r="GLP3" s="120"/>
      <c r="GLQ3" s="120"/>
      <c r="GLR3" s="120"/>
      <c r="GLS3" s="120"/>
      <c r="GLT3" s="120"/>
      <c r="GLU3" s="120"/>
      <c r="GLV3" s="120"/>
      <c r="GLW3" s="120"/>
      <c r="GLX3" s="120"/>
      <c r="GLY3" s="120"/>
      <c r="GLZ3" s="120"/>
      <c r="GMA3" s="120"/>
      <c r="GMB3" s="120"/>
      <c r="GMC3" s="120"/>
      <c r="GMD3" s="120"/>
      <c r="GME3" s="120"/>
      <c r="GMF3" s="120"/>
      <c r="GMG3" s="120"/>
      <c r="GMH3" s="120"/>
      <c r="GMI3" s="120"/>
      <c r="GMJ3" s="120"/>
      <c r="GMK3" s="120"/>
      <c r="GML3" s="120"/>
      <c r="GMM3" s="120"/>
      <c r="GMN3" s="120"/>
      <c r="GMO3" s="120"/>
      <c r="GMP3" s="120"/>
      <c r="GMQ3" s="120"/>
      <c r="GMR3" s="120"/>
      <c r="GMS3" s="120"/>
      <c r="GMT3" s="120"/>
      <c r="GMU3" s="120"/>
      <c r="GMV3" s="120"/>
      <c r="GMW3" s="120"/>
      <c r="GMX3" s="120"/>
      <c r="GMY3" s="120"/>
      <c r="GMZ3" s="120"/>
      <c r="GNA3" s="120"/>
      <c r="GNB3" s="120"/>
      <c r="GNC3" s="120"/>
      <c r="GND3" s="120"/>
      <c r="GNE3" s="120"/>
      <c r="GNF3" s="120"/>
      <c r="GNG3" s="120"/>
      <c r="GNH3" s="120"/>
      <c r="GNI3" s="120"/>
      <c r="GNJ3" s="120"/>
      <c r="GNK3" s="120"/>
      <c r="GNL3" s="120"/>
      <c r="GNM3" s="120"/>
      <c r="GNN3" s="120"/>
      <c r="GNO3" s="120"/>
      <c r="GNP3" s="120"/>
      <c r="GNQ3" s="120"/>
      <c r="GNR3" s="120"/>
      <c r="GNS3" s="120"/>
      <c r="GNT3" s="120"/>
      <c r="GNU3" s="120"/>
      <c r="GNV3" s="120"/>
      <c r="GNW3" s="120"/>
      <c r="GNX3" s="120"/>
      <c r="GNY3" s="120"/>
      <c r="GNZ3" s="120"/>
      <c r="GOA3" s="120"/>
      <c r="GOB3" s="120"/>
      <c r="GOC3" s="120"/>
      <c r="GOD3" s="120"/>
      <c r="GOE3" s="120"/>
      <c r="GOF3" s="120"/>
      <c r="GOG3" s="120"/>
      <c r="GOH3" s="120"/>
      <c r="GOI3" s="120"/>
      <c r="GOJ3" s="120"/>
      <c r="GOK3" s="120"/>
      <c r="GOL3" s="120"/>
      <c r="GOM3" s="120"/>
      <c r="GON3" s="120"/>
      <c r="GOO3" s="120"/>
      <c r="GOP3" s="120"/>
      <c r="GOQ3" s="120"/>
      <c r="GOR3" s="120"/>
      <c r="GOS3" s="120"/>
      <c r="GOT3" s="120"/>
      <c r="GOU3" s="120"/>
      <c r="GOV3" s="120"/>
      <c r="GOW3" s="120"/>
      <c r="GOX3" s="120"/>
      <c r="GOY3" s="120"/>
      <c r="GOZ3" s="120"/>
      <c r="GPA3" s="120"/>
      <c r="GPB3" s="120"/>
      <c r="GPC3" s="120"/>
      <c r="GPD3" s="120"/>
      <c r="GPE3" s="120"/>
      <c r="GPF3" s="120"/>
      <c r="GPG3" s="120"/>
      <c r="GPH3" s="120"/>
      <c r="GPI3" s="120"/>
      <c r="GPJ3" s="120"/>
      <c r="GPK3" s="120"/>
      <c r="GPL3" s="120"/>
      <c r="GPM3" s="120"/>
      <c r="GPN3" s="120"/>
      <c r="GPO3" s="120"/>
      <c r="GPP3" s="120"/>
      <c r="GPQ3" s="120"/>
      <c r="GPR3" s="120"/>
      <c r="GPS3" s="120"/>
      <c r="GPT3" s="120"/>
      <c r="GPU3" s="120"/>
      <c r="GPV3" s="120"/>
      <c r="GPW3" s="120"/>
      <c r="GPX3" s="120"/>
      <c r="GPY3" s="120"/>
      <c r="GPZ3" s="120"/>
      <c r="GQA3" s="120"/>
      <c r="GQB3" s="120"/>
      <c r="GQC3" s="120"/>
      <c r="GQD3" s="120"/>
      <c r="GQE3" s="120"/>
      <c r="GQF3" s="120"/>
      <c r="GQG3" s="120"/>
      <c r="GQH3" s="120"/>
      <c r="GQI3" s="120"/>
      <c r="GQJ3" s="120"/>
      <c r="GQK3" s="120"/>
      <c r="GQL3" s="120"/>
      <c r="GQM3" s="120"/>
      <c r="GQN3" s="120"/>
      <c r="GQO3" s="120"/>
      <c r="GQP3" s="120"/>
      <c r="GQQ3" s="120"/>
      <c r="GQR3" s="120"/>
      <c r="GQS3" s="120"/>
      <c r="GQT3" s="120"/>
      <c r="GQU3" s="120"/>
      <c r="GQV3" s="120"/>
      <c r="GQW3" s="120"/>
      <c r="GQX3" s="120"/>
      <c r="GQY3" s="120"/>
      <c r="GQZ3" s="120"/>
      <c r="GRA3" s="120"/>
      <c r="GRB3" s="120"/>
      <c r="GRC3" s="120"/>
      <c r="GRD3" s="120"/>
      <c r="GRE3" s="120"/>
      <c r="GRF3" s="120"/>
      <c r="GRG3" s="120"/>
      <c r="GRH3" s="120"/>
      <c r="GRI3" s="120"/>
      <c r="GRJ3" s="120"/>
      <c r="GRK3" s="120"/>
      <c r="GRL3" s="120"/>
      <c r="GRM3" s="120"/>
      <c r="GRN3" s="120"/>
      <c r="GRO3" s="120"/>
      <c r="GRP3" s="120"/>
      <c r="GRQ3" s="120"/>
      <c r="GRR3" s="120"/>
      <c r="GRS3" s="120"/>
      <c r="GRT3" s="120"/>
      <c r="GRU3" s="120"/>
      <c r="GRV3" s="120"/>
      <c r="GRW3" s="120"/>
      <c r="GRX3" s="120"/>
      <c r="GRY3" s="120"/>
      <c r="GRZ3" s="120"/>
      <c r="GSA3" s="120"/>
      <c r="GSB3" s="120"/>
      <c r="GSC3" s="120"/>
      <c r="GSD3" s="120"/>
      <c r="GSE3" s="120"/>
      <c r="GSF3" s="120"/>
      <c r="GSG3" s="120"/>
      <c r="GSH3" s="120"/>
      <c r="GSI3" s="120"/>
      <c r="GSJ3" s="120"/>
      <c r="GSK3" s="120"/>
      <c r="GSL3" s="120"/>
      <c r="GSM3" s="120"/>
      <c r="GSN3" s="120"/>
      <c r="GSO3" s="120"/>
      <c r="GSP3" s="120"/>
      <c r="GSQ3" s="120"/>
      <c r="GSR3" s="120"/>
      <c r="GSS3" s="120"/>
      <c r="GST3" s="120"/>
      <c r="GSU3" s="120"/>
      <c r="GSV3" s="120"/>
      <c r="GSW3" s="120"/>
      <c r="GSX3" s="120"/>
      <c r="GSY3" s="120"/>
      <c r="GSZ3" s="120"/>
      <c r="GTA3" s="120"/>
      <c r="GTB3" s="120"/>
      <c r="GTC3" s="120"/>
      <c r="GTD3" s="120"/>
      <c r="GTE3" s="120"/>
      <c r="GTF3" s="120"/>
      <c r="GTG3" s="120"/>
      <c r="GTH3" s="120"/>
      <c r="GTI3" s="120"/>
      <c r="GTJ3" s="120"/>
      <c r="GTK3" s="120"/>
      <c r="GTL3" s="120"/>
      <c r="GTM3" s="120"/>
      <c r="GTN3" s="120"/>
      <c r="GTO3" s="120"/>
      <c r="GTP3" s="120"/>
      <c r="GTQ3" s="120"/>
      <c r="GTR3" s="120"/>
      <c r="GTS3" s="120"/>
      <c r="GTT3" s="120"/>
      <c r="GTU3" s="120"/>
      <c r="GTV3" s="120"/>
      <c r="GTW3" s="120"/>
      <c r="GTX3" s="120"/>
      <c r="GTY3" s="120"/>
      <c r="GTZ3" s="120"/>
      <c r="GUA3" s="120"/>
      <c r="GUB3" s="120"/>
      <c r="GUC3" s="120"/>
      <c r="GUD3" s="120"/>
      <c r="GUE3" s="120"/>
      <c r="GUF3" s="120"/>
      <c r="GUG3" s="120"/>
      <c r="GUH3" s="120"/>
      <c r="GUI3" s="120"/>
      <c r="GUJ3" s="120"/>
      <c r="GUK3" s="120"/>
      <c r="GUL3" s="120"/>
      <c r="GUM3" s="120"/>
      <c r="GUN3" s="120"/>
      <c r="GUO3" s="120"/>
      <c r="GUP3" s="120"/>
      <c r="GUQ3" s="120"/>
      <c r="GUR3" s="120"/>
      <c r="GUS3" s="120"/>
      <c r="GUT3" s="120"/>
      <c r="GUU3" s="120"/>
      <c r="GUV3" s="120"/>
      <c r="GUW3" s="120"/>
      <c r="GUX3" s="120"/>
      <c r="GUY3" s="120"/>
      <c r="GUZ3" s="120"/>
      <c r="GVA3" s="120"/>
      <c r="GVB3" s="120"/>
      <c r="GVC3" s="120"/>
      <c r="GVD3" s="120"/>
      <c r="GVE3" s="120"/>
      <c r="GVF3" s="120"/>
      <c r="GVG3" s="120"/>
      <c r="GVH3" s="120"/>
      <c r="GVI3" s="120"/>
      <c r="GVJ3" s="120"/>
      <c r="GVK3" s="120"/>
      <c r="GVL3" s="120"/>
      <c r="GVM3" s="120"/>
      <c r="GVN3" s="120"/>
      <c r="GVO3" s="120"/>
      <c r="GVP3" s="120"/>
      <c r="GVQ3" s="120"/>
      <c r="GVR3" s="120"/>
      <c r="GVS3" s="120"/>
      <c r="GVT3" s="120"/>
      <c r="GVU3" s="120"/>
      <c r="GVV3" s="120"/>
      <c r="GVW3" s="120"/>
      <c r="GVX3" s="120"/>
      <c r="GVY3" s="120"/>
      <c r="GVZ3" s="120"/>
      <c r="GWA3" s="120"/>
      <c r="GWB3" s="120"/>
      <c r="GWC3" s="120"/>
      <c r="GWD3" s="120"/>
      <c r="GWE3" s="120"/>
      <c r="GWF3" s="120"/>
      <c r="GWG3" s="120"/>
      <c r="GWH3" s="120"/>
      <c r="GWI3" s="120"/>
      <c r="GWJ3" s="120"/>
      <c r="GWK3" s="120"/>
      <c r="GWL3" s="120"/>
      <c r="GWM3" s="120"/>
      <c r="GWN3" s="120"/>
      <c r="GWO3" s="120"/>
      <c r="GWP3" s="120"/>
      <c r="GWQ3" s="120"/>
      <c r="GWR3" s="120"/>
      <c r="GWS3" s="120"/>
      <c r="GWT3" s="120"/>
      <c r="GWU3" s="120"/>
      <c r="GWV3" s="120"/>
      <c r="GWW3" s="120"/>
      <c r="GWX3" s="120"/>
      <c r="GWY3" s="120"/>
      <c r="GWZ3" s="120"/>
      <c r="GXA3" s="120"/>
      <c r="GXB3" s="120"/>
      <c r="GXC3" s="120"/>
      <c r="GXD3" s="120"/>
      <c r="GXE3" s="120"/>
      <c r="GXF3" s="120"/>
      <c r="GXG3" s="120"/>
      <c r="GXH3" s="120"/>
      <c r="GXI3" s="120"/>
      <c r="GXJ3" s="120"/>
      <c r="GXK3" s="120"/>
      <c r="GXL3" s="120"/>
      <c r="GXM3" s="120"/>
      <c r="GXN3" s="120"/>
      <c r="GXO3" s="120"/>
      <c r="GXP3" s="120"/>
      <c r="GXQ3" s="120"/>
      <c r="GXR3" s="120"/>
      <c r="GXS3" s="120"/>
      <c r="GXT3" s="120"/>
      <c r="GXU3" s="120"/>
      <c r="GXV3" s="120"/>
      <c r="GXW3" s="120"/>
      <c r="GXX3" s="120"/>
      <c r="GXY3" s="120"/>
      <c r="GXZ3" s="120"/>
      <c r="GYA3" s="120"/>
      <c r="GYB3" s="120"/>
      <c r="GYC3" s="120"/>
      <c r="GYD3" s="120"/>
      <c r="GYE3" s="120"/>
      <c r="GYF3" s="120"/>
      <c r="GYG3" s="120"/>
      <c r="GYH3" s="120"/>
      <c r="GYI3" s="120"/>
      <c r="GYJ3" s="120"/>
      <c r="GYK3" s="120"/>
      <c r="GYL3" s="120"/>
      <c r="GYM3" s="120"/>
      <c r="GYN3" s="120"/>
      <c r="GYO3" s="120"/>
      <c r="GYP3" s="120"/>
      <c r="GYQ3" s="120"/>
      <c r="GYR3" s="120"/>
      <c r="GYS3" s="120"/>
      <c r="GYT3" s="120"/>
      <c r="GYU3" s="120"/>
      <c r="GYV3" s="120"/>
      <c r="GYW3" s="120"/>
      <c r="GYX3" s="120"/>
      <c r="GYY3" s="120"/>
      <c r="GYZ3" s="120"/>
      <c r="GZA3" s="120"/>
      <c r="GZB3" s="120"/>
      <c r="GZC3" s="120"/>
      <c r="GZD3" s="120"/>
      <c r="GZE3" s="120"/>
      <c r="GZF3" s="120"/>
      <c r="GZG3" s="120"/>
      <c r="GZH3" s="120"/>
      <c r="GZI3" s="120"/>
      <c r="GZJ3" s="120"/>
      <c r="GZK3" s="120"/>
      <c r="GZL3" s="120"/>
      <c r="GZM3" s="120"/>
      <c r="GZN3" s="120"/>
      <c r="GZO3" s="120"/>
      <c r="GZP3" s="120"/>
      <c r="GZQ3" s="120"/>
      <c r="GZR3" s="120"/>
      <c r="GZS3" s="120"/>
      <c r="GZT3" s="120"/>
      <c r="GZU3" s="120"/>
      <c r="GZV3" s="120"/>
      <c r="GZW3" s="120"/>
      <c r="GZX3" s="120"/>
      <c r="GZY3" s="120"/>
      <c r="GZZ3" s="120"/>
      <c r="HAA3" s="120"/>
      <c r="HAB3" s="120"/>
      <c r="HAC3" s="120"/>
      <c r="HAD3" s="120"/>
      <c r="HAE3" s="120"/>
      <c r="HAF3" s="120"/>
      <c r="HAG3" s="120"/>
      <c r="HAH3" s="120"/>
      <c r="HAI3" s="120"/>
      <c r="HAJ3" s="120"/>
      <c r="HAK3" s="120"/>
      <c r="HAL3" s="120"/>
      <c r="HAM3" s="120"/>
      <c r="HAN3" s="120"/>
      <c r="HAO3" s="120"/>
      <c r="HAP3" s="120"/>
      <c r="HAQ3" s="120"/>
      <c r="HAR3" s="120"/>
      <c r="HAS3" s="120"/>
      <c r="HAT3" s="120"/>
      <c r="HAU3" s="120"/>
      <c r="HAV3" s="120"/>
      <c r="HAW3" s="120"/>
      <c r="HAX3" s="120"/>
      <c r="HAY3" s="120"/>
      <c r="HAZ3" s="120"/>
      <c r="HBA3" s="120"/>
      <c r="HBB3" s="120"/>
      <c r="HBC3" s="120"/>
      <c r="HBD3" s="120"/>
      <c r="HBE3" s="120"/>
      <c r="HBF3" s="120"/>
      <c r="HBG3" s="120"/>
      <c r="HBH3" s="120"/>
      <c r="HBI3" s="120"/>
      <c r="HBJ3" s="120"/>
      <c r="HBK3" s="120"/>
      <c r="HBL3" s="120"/>
      <c r="HBM3" s="120"/>
      <c r="HBN3" s="120"/>
      <c r="HBO3" s="120"/>
      <c r="HBP3" s="120"/>
      <c r="HBQ3" s="120"/>
      <c r="HBR3" s="120"/>
      <c r="HBS3" s="120"/>
      <c r="HBT3" s="120"/>
      <c r="HBU3" s="120"/>
      <c r="HBV3" s="120"/>
      <c r="HBW3" s="120"/>
      <c r="HBX3" s="120"/>
      <c r="HBY3" s="120"/>
      <c r="HBZ3" s="120"/>
      <c r="HCA3" s="120"/>
      <c r="HCB3" s="120"/>
      <c r="HCC3" s="120"/>
      <c r="HCD3" s="120"/>
      <c r="HCE3" s="120"/>
      <c r="HCF3" s="120"/>
      <c r="HCG3" s="120"/>
      <c r="HCH3" s="120"/>
      <c r="HCI3" s="120"/>
      <c r="HCJ3" s="120"/>
      <c r="HCK3" s="120"/>
      <c r="HCL3" s="120"/>
      <c r="HCM3" s="120"/>
      <c r="HCN3" s="120"/>
      <c r="HCO3" s="120"/>
      <c r="HCP3" s="120"/>
      <c r="HCQ3" s="120"/>
      <c r="HCR3" s="120"/>
      <c r="HCS3" s="120"/>
      <c r="HCT3" s="120"/>
      <c r="HCU3" s="120"/>
      <c r="HCV3" s="120"/>
      <c r="HCW3" s="120"/>
      <c r="HCX3" s="120"/>
      <c r="HCY3" s="120"/>
      <c r="HCZ3" s="120"/>
      <c r="HDA3" s="120"/>
      <c r="HDB3" s="120"/>
      <c r="HDC3" s="120"/>
      <c r="HDD3" s="120"/>
      <c r="HDE3" s="120"/>
      <c r="HDF3" s="120"/>
      <c r="HDG3" s="120"/>
      <c r="HDH3" s="120"/>
      <c r="HDI3" s="120"/>
      <c r="HDJ3" s="120"/>
      <c r="HDK3" s="120"/>
      <c r="HDL3" s="120"/>
      <c r="HDM3" s="120"/>
      <c r="HDN3" s="120"/>
      <c r="HDO3" s="120"/>
      <c r="HDP3" s="120"/>
      <c r="HDQ3" s="120"/>
      <c r="HDR3" s="120"/>
      <c r="HDS3" s="120"/>
      <c r="HDT3" s="120"/>
      <c r="HDU3" s="120"/>
      <c r="HDV3" s="120"/>
      <c r="HDW3" s="120"/>
      <c r="HDX3" s="120"/>
      <c r="HDY3" s="120"/>
      <c r="HDZ3" s="120"/>
      <c r="HEA3" s="120"/>
      <c r="HEB3" s="120"/>
      <c r="HEC3" s="120"/>
      <c r="HED3" s="120"/>
      <c r="HEE3" s="120"/>
      <c r="HEF3" s="120"/>
      <c r="HEG3" s="120"/>
      <c r="HEH3" s="120"/>
      <c r="HEI3" s="120"/>
      <c r="HEJ3" s="120"/>
      <c r="HEK3" s="120"/>
      <c r="HEL3" s="120"/>
      <c r="HEM3" s="120"/>
      <c r="HEN3" s="120"/>
      <c r="HEO3" s="120"/>
      <c r="HEP3" s="120"/>
      <c r="HEQ3" s="120"/>
      <c r="HER3" s="120"/>
      <c r="HES3" s="120"/>
      <c r="HET3" s="120"/>
      <c r="HEU3" s="120"/>
      <c r="HEV3" s="120"/>
      <c r="HEW3" s="120"/>
      <c r="HEX3" s="120"/>
      <c r="HEY3" s="120"/>
      <c r="HEZ3" s="120"/>
      <c r="HFA3" s="120"/>
      <c r="HFB3" s="120"/>
      <c r="HFC3" s="120"/>
      <c r="HFD3" s="120"/>
      <c r="HFE3" s="120"/>
      <c r="HFF3" s="120"/>
      <c r="HFG3" s="120"/>
      <c r="HFH3" s="120"/>
      <c r="HFI3" s="120"/>
      <c r="HFJ3" s="120"/>
      <c r="HFK3" s="120"/>
      <c r="HFL3" s="120"/>
      <c r="HFM3" s="120"/>
      <c r="HFN3" s="120"/>
      <c r="HFO3" s="120"/>
      <c r="HFP3" s="120"/>
      <c r="HFQ3" s="120"/>
      <c r="HFR3" s="120"/>
      <c r="HFS3" s="120"/>
      <c r="HFT3" s="120"/>
      <c r="HFU3" s="120"/>
      <c r="HFV3" s="120"/>
      <c r="HFW3" s="120"/>
      <c r="HFX3" s="120"/>
      <c r="HFY3" s="120"/>
      <c r="HFZ3" s="120"/>
      <c r="HGA3" s="120"/>
      <c r="HGB3" s="120"/>
      <c r="HGC3" s="120"/>
      <c r="HGD3" s="120"/>
      <c r="HGE3" s="120"/>
      <c r="HGF3" s="120"/>
      <c r="HGG3" s="120"/>
      <c r="HGH3" s="120"/>
      <c r="HGI3" s="120"/>
      <c r="HGJ3" s="120"/>
      <c r="HGK3" s="120"/>
      <c r="HGL3" s="120"/>
      <c r="HGM3" s="120"/>
      <c r="HGN3" s="120"/>
      <c r="HGO3" s="120"/>
      <c r="HGP3" s="120"/>
      <c r="HGQ3" s="120"/>
      <c r="HGR3" s="120"/>
      <c r="HGS3" s="120"/>
      <c r="HGT3" s="120"/>
      <c r="HGU3" s="120"/>
      <c r="HGV3" s="120"/>
      <c r="HGW3" s="120"/>
      <c r="HGX3" s="120"/>
      <c r="HGY3" s="120"/>
      <c r="HGZ3" s="120"/>
      <c r="HHA3" s="120"/>
      <c r="HHB3" s="120"/>
      <c r="HHC3" s="120"/>
      <c r="HHD3" s="120"/>
      <c r="HHE3" s="120"/>
      <c r="HHF3" s="120"/>
      <c r="HHG3" s="120"/>
      <c r="HHH3" s="120"/>
      <c r="HHI3" s="120"/>
      <c r="HHJ3" s="120"/>
      <c r="HHK3" s="120"/>
      <c r="HHL3" s="120"/>
      <c r="HHM3" s="120"/>
      <c r="HHN3" s="120"/>
      <c r="HHO3" s="120"/>
      <c r="HHP3" s="120"/>
      <c r="HHQ3" s="120"/>
      <c r="HHR3" s="120"/>
      <c r="HHS3" s="120"/>
      <c r="HHT3" s="120"/>
      <c r="HHU3" s="120"/>
      <c r="HHV3" s="120"/>
      <c r="HHW3" s="120"/>
      <c r="HHX3" s="120"/>
      <c r="HHY3" s="120"/>
      <c r="HHZ3" s="120"/>
      <c r="HIA3" s="120"/>
      <c r="HIB3" s="120"/>
      <c r="HIC3" s="120"/>
      <c r="HID3" s="120"/>
      <c r="HIE3" s="120"/>
      <c r="HIF3" s="120"/>
      <c r="HIG3" s="120"/>
      <c r="HIH3" s="120"/>
      <c r="HII3" s="120"/>
      <c r="HIJ3" s="120"/>
      <c r="HIK3" s="120"/>
      <c r="HIL3" s="120"/>
      <c r="HIM3" s="120"/>
      <c r="HIN3" s="120"/>
      <c r="HIO3" s="120"/>
      <c r="HIP3" s="120"/>
      <c r="HIQ3" s="120"/>
      <c r="HIR3" s="120"/>
      <c r="HIS3" s="120"/>
      <c r="HIT3" s="120"/>
      <c r="HIU3" s="120"/>
      <c r="HIV3" s="120"/>
      <c r="HIW3" s="120"/>
      <c r="HIX3" s="120"/>
      <c r="HIY3" s="120"/>
      <c r="HIZ3" s="120"/>
      <c r="HJA3" s="120"/>
      <c r="HJB3" s="120"/>
      <c r="HJC3" s="120"/>
      <c r="HJD3" s="120"/>
      <c r="HJE3" s="120"/>
      <c r="HJF3" s="120"/>
      <c r="HJG3" s="120"/>
      <c r="HJH3" s="120"/>
      <c r="HJI3" s="120"/>
      <c r="HJJ3" s="120"/>
      <c r="HJK3" s="120"/>
      <c r="HJL3" s="120"/>
      <c r="HJM3" s="120"/>
      <c r="HJN3" s="120"/>
      <c r="HJO3" s="120"/>
      <c r="HJP3" s="120"/>
      <c r="HJQ3" s="120"/>
      <c r="HJR3" s="120"/>
      <c r="HJS3" s="120"/>
      <c r="HJT3" s="120"/>
      <c r="HJU3" s="120"/>
      <c r="HJV3" s="120"/>
      <c r="HJW3" s="120"/>
      <c r="HJX3" s="120"/>
      <c r="HJY3" s="120"/>
      <c r="HJZ3" s="120"/>
      <c r="HKA3" s="120"/>
      <c r="HKB3" s="120"/>
      <c r="HKC3" s="120"/>
      <c r="HKD3" s="120"/>
      <c r="HKE3" s="120"/>
      <c r="HKF3" s="120"/>
      <c r="HKG3" s="120"/>
      <c r="HKH3" s="120"/>
      <c r="HKI3" s="120"/>
      <c r="HKJ3" s="120"/>
      <c r="HKK3" s="120"/>
      <c r="HKL3" s="120"/>
      <c r="HKM3" s="120"/>
      <c r="HKN3" s="120"/>
      <c r="HKO3" s="120"/>
      <c r="HKP3" s="120"/>
      <c r="HKQ3" s="120"/>
      <c r="HKR3" s="120"/>
      <c r="HKS3" s="120"/>
      <c r="HKT3" s="120"/>
      <c r="HKU3" s="120"/>
      <c r="HKV3" s="120"/>
      <c r="HKW3" s="120"/>
      <c r="HKX3" s="120"/>
      <c r="HKY3" s="120"/>
      <c r="HKZ3" s="120"/>
      <c r="HLA3" s="120"/>
      <c r="HLB3" s="120"/>
      <c r="HLC3" s="120"/>
      <c r="HLD3" s="120"/>
      <c r="HLE3" s="120"/>
      <c r="HLF3" s="120"/>
      <c r="HLG3" s="120"/>
      <c r="HLH3" s="120"/>
      <c r="HLI3" s="120"/>
      <c r="HLJ3" s="120"/>
      <c r="HLK3" s="120"/>
      <c r="HLL3" s="120"/>
      <c r="HLM3" s="120"/>
      <c r="HLN3" s="120"/>
      <c r="HLO3" s="120"/>
      <c r="HLP3" s="120"/>
      <c r="HLQ3" s="120"/>
      <c r="HLR3" s="120"/>
      <c r="HLS3" s="120"/>
      <c r="HLT3" s="120"/>
      <c r="HLU3" s="120"/>
      <c r="HLV3" s="120"/>
      <c r="HLW3" s="120"/>
      <c r="HLX3" s="120"/>
      <c r="HLY3" s="120"/>
      <c r="HLZ3" s="120"/>
      <c r="HMA3" s="120"/>
      <c r="HMB3" s="120"/>
      <c r="HMC3" s="120"/>
      <c r="HMD3" s="120"/>
      <c r="HME3" s="120"/>
      <c r="HMF3" s="120"/>
      <c r="HMG3" s="120"/>
      <c r="HMH3" s="120"/>
      <c r="HMI3" s="120"/>
      <c r="HMJ3" s="120"/>
      <c r="HMK3" s="120"/>
      <c r="HML3" s="120"/>
      <c r="HMM3" s="120"/>
      <c r="HMN3" s="120"/>
      <c r="HMO3" s="120"/>
      <c r="HMP3" s="120"/>
      <c r="HMQ3" s="120"/>
      <c r="HMR3" s="120"/>
      <c r="HMS3" s="120"/>
      <c r="HMT3" s="120"/>
      <c r="HMU3" s="120"/>
      <c r="HMV3" s="120"/>
      <c r="HMW3" s="120"/>
      <c r="HMX3" s="120"/>
      <c r="HMY3" s="120"/>
      <c r="HMZ3" s="120"/>
      <c r="HNA3" s="120"/>
      <c r="HNB3" s="120"/>
      <c r="HNC3" s="120"/>
      <c r="HND3" s="120"/>
      <c r="HNE3" s="120"/>
      <c r="HNF3" s="120"/>
      <c r="HNG3" s="120"/>
      <c r="HNH3" s="120"/>
      <c r="HNI3" s="120"/>
      <c r="HNJ3" s="120"/>
      <c r="HNK3" s="120"/>
      <c r="HNL3" s="120"/>
      <c r="HNM3" s="120"/>
      <c r="HNN3" s="120"/>
      <c r="HNO3" s="120"/>
      <c r="HNP3" s="120"/>
      <c r="HNQ3" s="120"/>
      <c r="HNR3" s="120"/>
      <c r="HNS3" s="120"/>
      <c r="HNT3" s="120"/>
      <c r="HNU3" s="120"/>
      <c r="HNV3" s="120"/>
      <c r="HNW3" s="120"/>
      <c r="HNX3" s="120"/>
      <c r="HNY3" s="120"/>
      <c r="HNZ3" s="120"/>
      <c r="HOA3" s="120"/>
      <c r="HOB3" s="120"/>
      <c r="HOC3" s="120"/>
      <c r="HOD3" s="120"/>
      <c r="HOE3" s="120"/>
      <c r="HOF3" s="120"/>
      <c r="HOG3" s="120"/>
      <c r="HOH3" s="120"/>
      <c r="HOI3" s="120"/>
      <c r="HOJ3" s="120"/>
      <c r="HOK3" s="120"/>
      <c r="HOL3" s="120"/>
      <c r="HOM3" s="120"/>
      <c r="HON3" s="120"/>
      <c r="HOO3" s="120"/>
      <c r="HOP3" s="120"/>
      <c r="HOQ3" s="120"/>
      <c r="HOR3" s="120"/>
      <c r="HOS3" s="120"/>
      <c r="HOT3" s="120"/>
      <c r="HOU3" s="120"/>
      <c r="HOV3" s="120"/>
      <c r="HOW3" s="120"/>
      <c r="HOX3" s="120"/>
      <c r="HOY3" s="120"/>
      <c r="HOZ3" s="120"/>
      <c r="HPA3" s="120"/>
      <c r="HPB3" s="120"/>
      <c r="HPC3" s="120"/>
      <c r="HPD3" s="120"/>
      <c r="HPE3" s="120"/>
      <c r="HPF3" s="120"/>
      <c r="HPG3" s="120"/>
      <c r="HPH3" s="120"/>
      <c r="HPI3" s="120"/>
      <c r="HPJ3" s="120"/>
      <c r="HPK3" s="120"/>
      <c r="HPL3" s="120"/>
      <c r="HPM3" s="120"/>
      <c r="HPN3" s="120"/>
      <c r="HPO3" s="120"/>
      <c r="HPP3" s="120"/>
      <c r="HPQ3" s="120"/>
      <c r="HPR3" s="120"/>
      <c r="HPS3" s="120"/>
      <c r="HPT3" s="120"/>
      <c r="HPU3" s="120"/>
      <c r="HPV3" s="120"/>
      <c r="HPW3" s="120"/>
      <c r="HPX3" s="120"/>
      <c r="HPY3" s="120"/>
      <c r="HPZ3" s="120"/>
      <c r="HQA3" s="120"/>
      <c r="HQB3" s="120"/>
      <c r="HQC3" s="120"/>
      <c r="HQD3" s="120"/>
      <c r="HQE3" s="120"/>
      <c r="HQF3" s="120"/>
      <c r="HQG3" s="120"/>
      <c r="HQH3" s="120"/>
      <c r="HQI3" s="120"/>
      <c r="HQJ3" s="120"/>
      <c r="HQK3" s="120"/>
      <c r="HQL3" s="120"/>
      <c r="HQM3" s="120"/>
      <c r="HQN3" s="120"/>
      <c r="HQO3" s="120"/>
      <c r="HQP3" s="120"/>
      <c r="HQQ3" s="120"/>
      <c r="HQR3" s="120"/>
      <c r="HQS3" s="120"/>
      <c r="HQT3" s="120"/>
      <c r="HQU3" s="120"/>
      <c r="HQV3" s="120"/>
      <c r="HQW3" s="120"/>
      <c r="HQX3" s="120"/>
      <c r="HQY3" s="120"/>
      <c r="HQZ3" s="120"/>
      <c r="HRA3" s="120"/>
      <c r="HRB3" s="120"/>
      <c r="HRC3" s="120"/>
      <c r="HRD3" s="120"/>
      <c r="HRE3" s="120"/>
      <c r="HRF3" s="120"/>
      <c r="HRG3" s="120"/>
      <c r="HRH3" s="120"/>
      <c r="HRI3" s="120"/>
      <c r="HRJ3" s="120"/>
      <c r="HRK3" s="120"/>
      <c r="HRL3" s="120"/>
      <c r="HRM3" s="120"/>
      <c r="HRN3" s="120"/>
      <c r="HRO3" s="120"/>
      <c r="HRP3" s="120"/>
      <c r="HRQ3" s="120"/>
      <c r="HRR3" s="120"/>
      <c r="HRS3" s="120"/>
      <c r="HRT3" s="120"/>
      <c r="HRU3" s="120"/>
      <c r="HRV3" s="120"/>
      <c r="HRW3" s="120"/>
      <c r="HRX3" s="120"/>
      <c r="HRY3" s="120"/>
      <c r="HRZ3" s="120"/>
      <c r="HSA3" s="120"/>
      <c r="HSB3" s="120"/>
      <c r="HSC3" s="120"/>
      <c r="HSD3" s="120"/>
      <c r="HSE3" s="120"/>
      <c r="HSF3" s="120"/>
      <c r="HSG3" s="120"/>
      <c r="HSH3" s="120"/>
      <c r="HSI3" s="120"/>
      <c r="HSJ3" s="120"/>
      <c r="HSK3" s="120"/>
      <c r="HSL3" s="120"/>
      <c r="HSM3" s="120"/>
      <c r="HSN3" s="120"/>
      <c r="HSO3" s="120"/>
      <c r="HSP3" s="120"/>
      <c r="HSQ3" s="120"/>
      <c r="HSR3" s="120"/>
      <c r="HSS3" s="120"/>
      <c r="HST3" s="120"/>
      <c r="HSU3" s="120"/>
      <c r="HSV3" s="120"/>
      <c r="HSW3" s="120"/>
      <c r="HSX3" s="120"/>
      <c r="HSY3" s="120"/>
      <c r="HSZ3" s="120"/>
      <c r="HTA3" s="120"/>
      <c r="HTB3" s="120"/>
      <c r="HTC3" s="120"/>
      <c r="HTD3" s="120"/>
      <c r="HTE3" s="120"/>
      <c r="HTF3" s="120"/>
      <c r="HTG3" s="120"/>
      <c r="HTH3" s="120"/>
      <c r="HTI3" s="120"/>
      <c r="HTJ3" s="120"/>
      <c r="HTK3" s="120"/>
      <c r="HTL3" s="120"/>
      <c r="HTM3" s="120"/>
      <c r="HTN3" s="120"/>
      <c r="HTO3" s="120"/>
      <c r="HTP3" s="120"/>
      <c r="HTQ3" s="120"/>
      <c r="HTR3" s="120"/>
      <c r="HTS3" s="120"/>
      <c r="HTT3" s="120"/>
      <c r="HTU3" s="120"/>
      <c r="HTV3" s="120"/>
      <c r="HTW3" s="120"/>
      <c r="HTX3" s="120"/>
      <c r="HTY3" s="120"/>
      <c r="HTZ3" s="120"/>
      <c r="HUA3" s="120"/>
      <c r="HUB3" s="120"/>
      <c r="HUC3" s="120"/>
      <c r="HUD3" s="120"/>
      <c r="HUE3" s="120"/>
      <c r="HUF3" s="120"/>
      <c r="HUG3" s="120"/>
      <c r="HUH3" s="120"/>
      <c r="HUI3" s="120"/>
      <c r="HUJ3" s="120"/>
      <c r="HUK3" s="120"/>
      <c r="HUL3" s="120"/>
      <c r="HUM3" s="120"/>
      <c r="HUN3" s="120"/>
      <c r="HUO3" s="120"/>
      <c r="HUP3" s="120"/>
      <c r="HUQ3" s="120"/>
      <c r="HUR3" s="120"/>
      <c r="HUS3" s="120"/>
      <c r="HUT3" s="120"/>
      <c r="HUU3" s="120"/>
      <c r="HUV3" s="120"/>
      <c r="HUW3" s="120"/>
      <c r="HUX3" s="120"/>
      <c r="HUY3" s="120"/>
      <c r="HUZ3" s="120"/>
      <c r="HVA3" s="120"/>
      <c r="HVB3" s="120"/>
      <c r="HVC3" s="120"/>
      <c r="HVD3" s="120"/>
      <c r="HVE3" s="120"/>
      <c r="HVF3" s="120"/>
      <c r="HVG3" s="120"/>
      <c r="HVH3" s="120"/>
      <c r="HVI3" s="120"/>
      <c r="HVJ3" s="120"/>
      <c r="HVK3" s="120"/>
      <c r="HVL3" s="120"/>
      <c r="HVM3" s="120"/>
      <c r="HVN3" s="120"/>
      <c r="HVO3" s="120"/>
      <c r="HVP3" s="120"/>
      <c r="HVQ3" s="120"/>
      <c r="HVR3" s="120"/>
      <c r="HVS3" s="120"/>
      <c r="HVT3" s="120"/>
      <c r="HVU3" s="120"/>
      <c r="HVV3" s="120"/>
      <c r="HVW3" s="120"/>
      <c r="HVX3" s="120"/>
      <c r="HVY3" s="120"/>
      <c r="HVZ3" s="120"/>
      <c r="HWA3" s="120"/>
      <c r="HWB3" s="120"/>
      <c r="HWC3" s="120"/>
      <c r="HWD3" s="120"/>
      <c r="HWE3" s="120"/>
      <c r="HWF3" s="120"/>
      <c r="HWG3" s="120"/>
      <c r="HWH3" s="120"/>
      <c r="HWI3" s="120"/>
      <c r="HWJ3" s="120"/>
      <c r="HWK3" s="120"/>
      <c r="HWL3" s="120"/>
      <c r="HWM3" s="120"/>
      <c r="HWN3" s="120"/>
      <c r="HWO3" s="120"/>
      <c r="HWP3" s="120"/>
      <c r="HWQ3" s="120"/>
      <c r="HWR3" s="120"/>
      <c r="HWS3" s="120"/>
      <c r="HWT3" s="120"/>
      <c r="HWU3" s="120"/>
      <c r="HWV3" s="120"/>
      <c r="HWW3" s="120"/>
      <c r="HWX3" s="120"/>
      <c r="HWY3" s="120"/>
      <c r="HWZ3" s="120"/>
      <c r="HXA3" s="120"/>
      <c r="HXB3" s="120"/>
      <c r="HXC3" s="120"/>
      <c r="HXD3" s="120"/>
      <c r="HXE3" s="120"/>
      <c r="HXF3" s="120"/>
      <c r="HXG3" s="120"/>
      <c r="HXH3" s="120"/>
      <c r="HXI3" s="120"/>
      <c r="HXJ3" s="120"/>
      <c r="HXK3" s="120"/>
      <c r="HXL3" s="120"/>
      <c r="HXM3" s="120"/>
      <c r="HXN3" s="120"/>
      <c r="HXO3" s="120"/>
      <c r="HXP3" s="120"/>
      <c r="HXQ3" s="120"/>
      <c r="HXR3" s="120"/>
      <c r="HXS3" s="120"/>
      <c r="HXT3" s="120"/>
      <c r="HXU3" s="120"/>
      <c r="HXV3" s="120"/>
      <c r="HXW3" s="120"/>
      <c r="HXX3" s="120"/>
      <c r="HXY3" s="120"/>
      <c r="HXZ3" s="120"/>
      <c r="HYA3" s="120"/>
      <c r="HYB3" s="120"/>
      <c r="HYC3" s="120"/>
      <c r="HYD3" s="120"/>
      <c r="HYE3" s="120"/>
      <c r="HYF3" s="120"/>
      <c r="HYG3" s="120"/>
      <c r="HYH3" s="120"/>
      <c r="HYI3" s="120"/>
      <c r="HYJ3" s="120"/>
      <c r="HYK3" s="120"/>
      <c r="HYL3" s="120"/>
      <c r="HYM3" s="120"/>
      <c r="HYN3" s="120"/>
      <c r="HYO3" s="120"/>
      <c r="HYP3" s="120"/>
      <c r="HYQ3" s="120"/>
      <c r="HYR3" s="120"/>
      <c r="HYS3" s="120"/>
      <c r="HYT3" s="120"/>
      <c r="HYU3" s="120"/>
      <c r="HYV3" s="120"/>
      <c r="HYW3" s="120"/>
      <c r="HYX3" s="120"/>
      <c r="HYY3" s="120"/>
      <c r="HYZ3" s="120"/>
      <c r="HZA3" s="120"/>
      <c r="HZB3" s="120"/>
      <c r="HZC3" s="120"/>
      <c r="HZD3" s="120"/>
      <c r="HZE3" s="120"/>
      <c r="HZF3" s="120"/>
      <c r="HZG3" s="120"/>
      <c r="HZH3" s="120"/>
      <c r="HZI3" s="120"/>
      <c r="HZJ3" s="120"/>
      <c r="HZK3" s="120"/>
      <c r="HZL3" s="120"/>
      <c r="HZM3" s="120"/>
      <c r="HZN3" s="120"/>
      <c r="HZO3" s="120"/>
      <c r="HZP3" s="120"/>
      <c r="HZQ3" s="120"/>
      <c r="HZR3" s="120"/>
      <c r="HZS3" s="120"/>
      <c r="HZT3" s="120"/>
      <c r="HZU3" s="120"/>
      <c r="HZV3" s="120"/>
      <c r="HZW3" s="120"/>
      <c r="HZX3" s="120"/>
      <c r="HZY3" s="120"/>
      <c r="HZZ3" s="120"/>
      <c r="IAA3" s="120"/>
      <c r="IAB3" s="120"/>
      <c r="IAC3" s="120"/>
      <c r="IAD3" s="120"/>
      <c r="IAE3" s="120"/>
      <c r="IAF3" s="120"/>
      <c r="IAG3" s="120"/>
      <c r="IAH3" s="120"/>
      <c r="IAI3" s="120"/>
      <c r="IAJ3" s="120"/>
      <c r="IAK3" s="120"/>
      <c r="IAL3" s="120"/>
      <c r="IAM3" s="120"/>
      <c r="IAN3" s="120"/>
      <c r="IAO3" s="120"/>
      <c r="IAP3" s="120"/>
      <c r="IAQ3" s="120"/>
      <c r="IAR3" s="120"/>
      <c r="IAS3" s="120"/>
      <c r="IAT3" s="120"/>
      <c r="IAU3" s="120"/>
      <c r="IAV3" s="120"/>
      <c r="IAW3" s="120"/>
      <c r="IAX3" s="120"/>
      <c r="IAY3" s="120"/>
      <c r="IAZ3" s="120"/>
      <c r="IBA3" s="120"/>
      <c r="IBB3" s="120"/>
      <c r="IBC3" s="120"/>
      <c r="IBD3" s="120"/>
      <c r="IBE3" s="120"/>
      <c r="IBF3" s="120"/>
      <c r="IBG3" s="120"/>
      <c r="IBH3" s="120"/>
      <c r="IBI3" s="120"/>
      <c r="IBJ3" s="120"/>
      <c r="IBK3" s="120"/>
      <c r="IBL3" s="120"/>
      <c r="IBM3" s="120"/>
      <c r="IBN3" s="120"/>
      <c r="IBO3" s="120"/>
      <c r="IBP3" s="120"/>
      <c r="IBQ3" s="120"/>
      <c r="IBR3" s="120"/>
      <c r="IBS3" s="120"/>
      <c r="IBT3" s="120"/>
      <c r="IBU3" s="120"/>
      <c r="IBV3" s="120"/>
      <c r="IBW3" s="120"/>
      <c r="IBX3" s="120"/>
      <c r="IBY3" s="120"/>
      <c r="IBZ3" s="120"/>
      <c r="ICA3" s="120"/>
      <c r="ICB3" s="120"/>
      <c r="ICC3" s="120"/>
      <c r="ICD3" s="120"/>
      <c r="ICE3" s="120"/>
      <c r="ICF3" s="120"/>
      <c r="ICG3" s="120"/>
      <c r="ICH3" s="120"/>
      <c r="ICI3" s="120"/>
      <c r="ICJ3" s="120"/>
      <c r="ICK3" s="120"/>
      <c r="ICL3" s="120"/>
      <c r="ICM3" s="120"/>
      <c r="ICN3" s="120"/>
      <c r="ICO3" s="120"/>
      <c r="ICP3" s="120"/>
      <c r="ICQ3" s="120"/>
      <c r="ICR3" s="120"/>
      <c r="ICS3" s="120"/>
      <c r="ICT3" s="120"/>
      <c r="ICU3" s="120"/>
      <c r="ICV3" s="120"/>
      <c r="ICW3" s="120"/>
      <c r="ICX3" s="120"/>
      <c r="ICY3" s="120"/>
      <c r="ICZ3" s="120"/>
      <c r="IDA3" s="120"/>
      <c r="IDB3" s="120"/>
      <c r="IDC3" s="120"/>
      <c r="IDD3" s="120"/>
      <c r="IDE3" s="120"/>
      <c r="IDF3" s="120"/>
      <c r="IDG3" s="120"/>
      <c r="IDH3" s="120"/>
      <c r="IDI3" s="120"/>
      <c r="IDJ3" s="120"/>
      <c r="IDK3" s="120"/>
      <c r="IDL3" s="120"/>
      <c r="IDM3" s="120"/>
      <c r="IDN3" s="120"/>
      <c r="IDO3" s="120"/>
      <c r="IDP3" s="120"/>
      <c r="IDQ3" s="120"/>
      <c r="IDR3" s="120"/>
      <c r="IDS3" s="120"/>
      <c r="IDT3" s="120"/>
      <c r="IDU3" s="120"/>
      <c r="IDV3" s="120"/>
      <c r="IDW3" s="120"/>
      <c r="IDX3" s="120"/>
      <c r="IDY3" s="120"/>
      <c r="IDZ3" s="120"/>
      <c r="IEA3" s="120"/>
      <c r="IEB3" s="120"/>
      <c r="IEC3" s="120"/>
      <c r="IED3" s="120"/>
      <c r="IEE3" s="120"/>
      <c r="IEF3" s="120"/>
      <c r="IEG3" s="120"/>
      <c r="IEH3" s="120"/>
      <c r="IEI3" s="120"/>
      <c r="IEJ3" s="120"/>
      <c r="IEK3" s="120"/>
      <c r="IEL3" s="120"/>
      <c r="IEM3" s="120"/>
      <c r="IEN3" s="120"/>
      <c r="IEO3" s="120"/>
      <c r="IEP3" s="120"/>
      <c r="IEQ3" s="120"/>
      <c r="IER3" s="120"/>
      <c r="IES3" s="120"/>
      <c r="IET3" s="120"/>
      <c r="IEU3" s="120"/>
      <c r="IEV3" s="120"/>
      <c r="IEW3" s="120"/>
      <c r="IEX3" s="120"/>
      <c r="IEY3" s="120"/>
      <c r="IEZ3" s="120"/>
      <c r="IFA3" s="120"/>
      <c r="IFB3" s="120"/>
      <c r="IFC3" s="120"/>
      <c r="IFD3" s="120"/>
      <c r="IFE3" s="120"/>
      <c r="IFF3" s="120"/>
      <c r="IFG3" s="120"/>
      <c r="IFH3" s="120"/>
      <c r="IFI3" s="120"/>
      <c r="IFJ3" s="120"/>
      <c r="IFK3" s="120"/>
      <c r="IFL3" s="120"/>
      <c r="IFM3" s="120"/>
      <c r="IFN3" s="120"/>
      <c r="IFO3" s="120"/>
      <c r="IFP3" s="120"/>
      <c r="IFQ3" s="120"/>
      <c r="IFR3" s="120"/>
      <c r="IFS3" s="120"/>
      <c r="IFT3" s="120"/>
      <c r="IFU3" s="120"/>
      <c r="IFV3" s="120"/>
      <c r="IFW3" s="120"/>
      <c r="IFX3" s="120"/>
      <c r="IFY3" s="120"/>
      <c r="IFZ3" s="120"/>
      <c r="IGA3" s="120"/>
      <c r="IGB3" s="120"/>
      <c r="IGC3" s="120"/>
      <c r="IGD3" s="120"/>
      <c r="IGE3" s="120"/>
      <c r="IGF3" s="120"/>
      <c r="IGG3" s="120"/>
      <c r="IGH3" s="120"/>
      <c r="IGI3" s="120"/>
      <c r="IGJ3" s="120"/>
      <c r="IGK3" s="120"/>
      <c r="IGL3" s="120"/>
      <c r="IGM3" s="120"/>
      <c r="IGN3" s="120"/>
      <c r="IGO3" s="120"/>
      <c r="IGP3" s="120"/>
      <c r="IGQ3" s="120"/>
      <c r="IGR3" s="120"/>
      <c r="IGS3" s="120"/>
      <c r="IGT3" s="120"/>
      <c r="IGU3" s="120"/>
      <c r="IGV3" s="120"/>
      <c r="IGW3" s="120"/>
      <c r="IGX3" s="120"/>
      <c r="IGY3" s="120"/>
      <c r="IGZ3" s="120"/>
      <c r="IHA3" s="120"/>
      <c r="IHB3" s="120"/>
      <c r="IHC3" s="120"/>
      <c r="IHD3" s="120"/>
      <c r="IHE3" s="120"/>
      <c r="IHF3" s="120"/>
      <c r="IHG3" s="120"/>
      <c r="IHH3" s="120"/>
      <c r="IHI3" s="120"/>
      <c r="IHJ3" s="120"/>
      <c r="IHK3" s="120"/>
      <c r="IHL3" s="120"/>
      <c r="IHM3" s="120"/>
      <c r="IHN3" s="120"/>
      <c r="IHO3" s="120"/>
      <c r="IHP3" s="120"/>
      <c r="IHQ3" s="120"/>
      <c r="IHR3" s="120"/>
      <c r="IHS3" s="120"/>
      <c r="IHT3" s="120"/>
      <c r="IHU3" s="120"/>
      <c r="IHV3" s="120"/>
      <c r="IHW3" s="120"/>
      <c r="IHX3" s="120"/>
      <c r="IHY3" s="120"/>
      <c r="IHZ3" s="120"/>
      <c r="IIA3" s="120"/>
      <c r="IIB3" s="120"/>
      <c r="IIC3" s="120"/>
      <c r="IID3" s="120"/>
      <c r="IIE3" s="120"/>
      <c r="IIF3" s="120"/>
      <c r="IIG3" s="120"/>
      <c r="IIH3" s="120"/>
      <c r="III3" s="120"/>
      <c r="IIJ3" s="120"/>
      <c r="IIK3" s="120"/>
      <c r="IIL3" s="120"/>
      <c r="IIM3" s="120"/>
      <c r="IIN3" s="120"/>
      <c r="IIO3" s="120"/>
      <c r="IIP3" s="120"/>
      <c r="IIQ3" s="120"/>
      <c r="IIR3" s="120"/>
      <c r="IIS3" s="120"/>
      <c r="IIT3" s="120"/>
      <c r="IIU3" s="120"/>
      <c r="IIV3" s="120"/>
      <c r="IIW3" s="120"/>
      <c r="IIX3" s="120"/>
      <c r="IIY3" s="120"/>
      <c r="IIZ3" s="120"/>
      <c r="IJA3" s="120"/>
      <c r="IJB3" s="120"/>
      <c r="IJC3" s="120"/>
      <c r="IJD3" s="120"/>
      <c r="IJE3" s="120"/>
      <c r="IJF3" s="120"/>
      <c r="IJG3" s="120"/>
      <c r="IJH3" s="120"/>
      <c r="IJI3" s="120"/>
      <c r="IJJ3" s="120"/>
      <c r="IJK3" s="120"/>
      <c r="IJL3" s="120"/>
      <c r="IJM3" s="120"/>
      <c r="IJN3" s="120"/>
      <c r="IJO3" s="120"/>
      <c r="IJP3" s="120"/>
      <c r="IJQ3" s="120"/>
      <c r="IJR3" s="120"/>
      <c r="IJS3" s="120"/>
      <c r="IJT3" s="120"/>
      <c r="IJU3" s="120"/>
      <c r="IJV3" s="120"/>
      <c r="IJW3" s="120"/>
      <c r="IJX3" s="120"/>
      <c r="IJY3" s="120"/>
      <c r="IJZ3" s="120"/>
      <c r="IKA3" s="120"/>
      <c r="IKB3" s="120"/>
      <c r="IKC3" s="120"/>
      <c r="IKD3" s="120"/>
      <c r="IKE3" s="120"/>
      <c r="IKF3" s="120"/>
      <c r="IKG3" s="120"/>
      <c r="IKH3" s="120"/>
      <c r="IKI3" s="120"/>
      <c r="IKJ3" s="120"/>
      <c r="IKK3" s="120"/>
      <c r="IKL3" s="120"/>
      <c r="IKM3" s="120"/>
      <c r="IKN3" s="120"/>
      <c r="IKO3" s="120"/>
      <c r="IKP3" s="120"/>
      <c r="IKQ3" s="120"/>
      <c r="IKR3" s="120"/>
      <c r="IKS3" s="120"/>
      <c r="IKT3" s="120"/>
      <c r="IKU3" s="120"/>
      <c r="IKV3" s="120"/>
      <c r="IKW3" s="120"/>
      <c r="IKX3" s="120"/>
      <c r="IKY3" s="120"/>
      <c r="IKZ3" s="120"/>
      <c r="ILA3" s="120"/>
      <c r="ILB3" s="120"/>
      <c r="ILC3" s="120"/>
      <c r="ILD3" s="120"/>
      <c r="ILE3" s="120"/>
      <c r="ILF3" s="120"/>
      <c r="ILG3" s="120"/>
      <c r="ILH3" s="120"/>
      <c r="ILI3" s="120"/>
      <c r="ILJ3" s="120"/>
      <c r="ILK3" s="120"/>
      <c r="ILL3" s="120"/>
      <c r="ILM3" s="120"/>
      <c r="ILN3" s="120"/>
      <c r="ILO3" s="120"/>
      <c r="ILP3" s="120"/>
      <c r="ILQ3" s="120"/>
      <c r="ILR3" s="120"/>
      <c r="ILS3" s="120"/>
      <c r="ILT3" s="120"/>
      <c r="ILU3" s="120"/>
      <c r="ILV3" s="120"/>
      <c r="ILW3" s="120"/>
      <c r="ILX3" s="120"/>
      <c r="ILY3" s="120"/>
      <c r="ILZ3" s="120"/>
      <c r="IMA3" s="120"/>
      <c r="IMB3" s="120"/>
      <c r="IMC3" s="120"/>
      <c r="IMD3" s="120"/>
      <c r="IME3" s="120"/>
      <c r="IMF3" s="120"/>
      <c r="IMG3" s="120"/>
      <c r="IMH3" s="120"/>
      <c r="IMI3" s="120"/>
      <c r="IMJ3" s="120"/>
      <c r="IMK3" s="120"/>
      <c r="IML3" s="120"/>
      <c r="IMM3" s="120"/>
      <c r="IMN3" s="120"/>
      <c r="IMO3" s="120"/>
      <c r="IMP3" s="120"/>
      <c r="IMQ3" s="120"/>
      <c r="IMR3" s="120"/>
      <c r="IMS3" s="120"/>
      <c r="IMT3" s="120"/>
      <c r="IMU3" s="120"/>
      <c r="IMV3" s="120"/>
      <c r="IMW3" s="120"/>
      <c r="IMX3" s="120"/>
      <c r="IMY3" s="120"/>
      <c r="IMZ3" s="120"/>
      <c r="INA3" s="120"/>
      <c r="INB3" s="120"/>
      <c r="INC3" s="120"/>
      <c r="IND3" s="120"/>
      <c r="INE3" s="120"/>
      <c r="INF3" s="120"/>
      <c r="ING3" s="120"/>
      <c r="INH3" s="120"/>
      <c r="INI3" s="120"/>
      <c r="INJ3" s="120"/>
      <c r="INK3" s="120"/>
      <c r="INL3" s="120"/>
      <c r="INM3" s="120"/>
      <c r="INN3" s="120"/>
      <c r="INO3" s="120"/>
      <c r="INP3" s="120"/>
      <c r="INQ3" s="120"/>
      <c r="INR3" s="120"/>
      <c r="INS3" s="120"/>
      <c r="INT3" s="120"/>
      <c r="INU3" s="120"/>
      <c r="INV3" s="120"/>
      <c r="INW3" s="120"/>
      <c r="INX3" s="120"/>
      <c r="INY3" s="120"/>
      <c r="INZ3" s="120"/>
      <c r="IOA3" s="120"/>
      <c r="IOB3" s="120"/>
      <c r="IOC3" s="120"/>
      <c r="IOD3" s="120"/>
      <c r="IOE3" s="120"/>
      <c r="IOF3" s="120"/>
      <c r="IOG3" s="120"/>
      <c r="IOH3" s="120"/>
      <c r="IOI3" s="120"/>
      <c r="IOJ3" s="120"/>
      <c r="IOK3" s="120"/>
      <c r="IOL3" s="120"/>
      <c r="IOM3" s="120"/>
      <c r="ION3" s="120"/>
      <c r="IOO3" s="120"/>
      <c r="IOP3" s="120"/>
      <c r="IOQ3" s="120"/>
      <c r="IOR3" s="120"/>
      <c r="IOS3" s="120"/>
      <c r="IOT3" s="120"/>
      <c r="IOU3" s="120"/>
      <c r="IOV3" s="120"/>
      <c r="IOW3" s="120"/>
      <c r="IOX3" s="120"/>
      <c r="IOY3" s="120"/>
      <c r="IOZ3" s="120"/>
      <c r="IPA3" s="120"/>
      <c r="IPB3" s="120"/>
      <c r="IPC3" s="120"/>
      <c r="IPD3" s="120"/>
      <c r="IPE3" s="120"/>
      <c r="IPF3" s="120"/>
      <c r="IPG3" s="120"/>
      <c r="IPH3" s="120"/>
      <c r="IPI3" s="120"/>
      <c r="IPJ3" s="120"/>
      <c r="IPK3" s="120"/>
      <c r="IPL3" s="120"/>
      <c r="IPM3" s="120"/>
      <c r="IPN3" s="120"/>
      <c r="IPO3" s="120"/>
      <c r="IPP3" s="120"/>
      <c r="IPQ3" s="120"/>
      <c r="IPR3" s="120"/>
      <c r="IPS3" s="120"/>
      <c r="IPT3" s="120"/>
      <c r="IPU3" s="120"/>
      <c r="IPV3" s="120"/>
      <c r="IPW3" s="120"/>
      <c r="IPX3" s="120"/>
      <c r="IPY3" s="120"/>
      <c r="IPZ3" s="120"/>
      <c r="IQA3" s="120"/>
      <c r="IQB3" s="120"/>
      <c r="IQC3" s="120"/>
      <c r="IQD3" s="120"/>
      <c r="IQE3" s="120"/>
      <c r="IQF3" s="120"/>
      <c r="IQG3" s="120"/>
      <c r="IQH3" s="120"/>
      <c r="IQI3" s="120"/>
      <c r="IQJ3" s="120"/>
      <c r="IQK3" s="120"/>
      <c r="IQL3" s="120"/>
      <c r="IQM3" s="120"/>
      <c r="IQN3" s="120"/>
      <c r="IQO3" s="120"/>
      <c r="IQP3" s="120"/>
      <c r="IQQ3" s="120"/>
      <c r="IQR3" s="120"/>
      <c r="IQS3" s="120"/>
      <c r="IQT3" s="120"/>
      <c r="IQU3" s="120"/>
      <c r="IQV3" s="120"/>
      <c r="IQW3" s="120"/>
      <c r="IQX3" s="120"/>
      <c r="IQY3" s="120"/>
      <c r="IQZ3" s="120"/>
      <c r="IRA3" s="120"/>
      <c r="IRB3" s="120"/>
      <c r="IRC3" s="120"/>
      <c r="IRD3" s="120"/>
      <c r="IRE3" s="120"/>
      <c r="IRF3" s="120"/>
      <c r="IRG3" s="120"/>
      <c r="IRH3" s="120"/>
      <c r="IRI3" s="120"/>
      <c r="IRJ3" s="120"/>
      <c r="IRK3" s="120"/>
      <c r="IRL3" s="120"/>
      <c r="IRM3" s="120"/>
      <c r="IRN3" s="120"/>
      <c r="IRO3" s="120"/>
      <c r="IRP3" s="120"/>
      <c r="IRQ3" s="120"/>
      <c r="IRR3" s="120"/>
      <c r="IRS3" s="120"/>
      <c r="IRT3" s="120"/>
      <c r="IRU3" s="120"/>
      <c r="IRV3" s="120"/>
      <c r="IRW3" s="120"/>
      <c r="IRX3" s="120"/>
      <c r="IRY3" s="120"/>
      <c r="IRZ3" s="120"/>
      <c r="ISA3" s="120"/>
      <c r="ISB3" s="120"/>
      <c r="ISC3" s="120"/>
      <c r="ISD3" s="120"/>
      <c r="ISE3" s="120"/>
      <c r="ISF3" s="120"/>
      <c r="ISG3" s="120"/>
      <c r="ISH3" s="120"/>
      <c r="ISI3" s="120"/>
      <c r="ISJ3" s="120"/>
      <c r="ISK3" s="120"/>
      <c r="ISL3" s="120"/>
      <c r="ISM3" s="120"/>
      <c r="ISN3" s="120"/>
      <c r="ISO3" s="120"/>
      <c r="ISP3" s="120"/>
      <c r="ISQ3" s="120"/>
      <c r="ISR3" s="120"/>
      <c r="ISS3" s="120"/>
      <c r="IST3" s="120"/>
      <c r="ISU3" s="120"/>
      <c r="ISV3" s="120"/>
      <c r="ISW3" s="120"/>
      <c r="ISX3" s="120"/>
      <c r="ISY3" s="120"/>
      <c r="ISZ3" s="120"/>
      <c r="ITA3" s="120"/>
      <c r="ITB3" s="120"/>
      <c r="ITC3" s="120"/>
      <c r="ITD3" s="120"/>
      <c r="ITE3" s="120"/>
      <c r="ITF3" s="120"/>
      <c r="ITG3" s="120"/>
      <c r="ITH3" s="120"/>
      <c r="ITI3" s="120"/>
      <c r="ITJ3" s="120"/>
      <c r="ITK3" s="120"/>
      <c r="ITL3" s="120"/>
      <c r="ITM3" s="120"/>
      <c r="ITN3" s="120"/>
      <c r="ITO3" s="120"/>
      <c r="ITP3" s="120"/>
      <c r="ITQ3" s="120"/>
      <c r="ITR3" s="120"/>
      <c r="ITS3" s="120"/>
      <c r="ITT3" s="120"/>
      <c r="ITU3" s="120"/>
      <c r="ITV3" s="120"/>
      <c r="ITW3" s="120"/>
      <c r="ITX3" s="120"/>
      <c r="ITY3" s="120"/>
      <c r="ITZ3" s="120"/>
      <c r="IUA3" s="120"/>
      <c r="IUB3" s="120"/>
      <c r="IUC3" s="120"/>
      <c r="IUD3" s="120"/>
      <c r="IUE3" s="120"/>
      <c r="IUF3" s="120"/>
      <c r="IUG3" s="120"/>
      <c r="IUH3" s="120"/>
      <c r="IUI3" s="120"/>
      <c r="IUJ3" s="120"/>
      <c r="IUK3" s="120"/>
      <c r="IUL3" s="120"/>
      <c r="IUM3" s="120"/>
      <c r="IUN3" s="120"/>
      <c r="IUO3" s="120"/>
      <c r="IUP3" s="120"/>
      <c r="IUQ3" s="120"/>
      <c r="IUR3" s="120"/>
      <c r="IUS3" s="120"/>
      <c r="IUT3" s="120"/>
      <c r="IUU3" s="120"/>
      <c r="IUV3" s="120"/>
      <c r="IUW3" s="120"/>
      <c r="IUX3" s="120"/>
      <c r="IUY3" s="120"/>
      <c r="IUZ3" s="120"/>
      <c r="IVA3" s="120"/>
      <c r="IVB3" s="120"/>
      <c r="IVC3" s="120"/>
      <c r="IVD3" s="120"/>
      <c r="IVE3" s="120"/>
      <c r="IVF3" s="120"/>
      <c r="IVG3" s="120"/>
      <c r="IVH3" s="120"/>
      <c r="IVI3" s="120"/>
      <c r="IVJ3" s="120"/>
      <c r="IVK3" s="120"/>
      <c r="IVL3" s="120"/>
      <c r="IVM3" s="120"/>
      <c r="IVN3" s="120"/>
      <c r="IVO3" s="120"/>
      <c r="IVP3" s="120"/>
      <c r="IVQ3" s="120"/>
      <c r="IVR3" s="120"/>
      <c r="IVS3" s="120"/>
      <c r="IVT3" s="120"/>
      <c r="IVU3" s="120"/>
      <c r="IVV3" s="120"/>
      <c r="IVW3" s="120"/>
      <c r="IVX3" s="120"/>
      <c r="IVY3" s="120"/>
      <c r="IVZ3" s="120"/>
      <c r="IWA3" s="120"/>
      <c r="IWB3" s="120"/>
      <c r="IWC3" s="120"/>
      <c r="IWD3" s="120"/>
      <c r="IWE3" s="120"/>
      <c r="IWF3" s="120"/>
      <c r="IWG3" s="120"/>
      <c r="IWH3" s="120"/>
      <c r="IWI3" s="120"/>
      <c r="IWJ3" s="120"/>
      <c r="IWK3" s="120"/>
      <c r="IWL3" s="120"/>
      <c r="IWM3" s="120"/>
      <c r="IWN3" s="120"/>
      <c r="IWO3" s="120"/>
      <c r="IWP3" s="120"/>
      <c r="IWQ3" s="120"/>
      <c r="IWR3" s="120"/>
      <c r="IWS3" s="120"/>
      <c r="IWT3" s="120"/>
      <c r="IWU3" s="120"/>
      <c r="IWV3" s="120"/>
      <c r="IWW3" s="120"/>
      <c r="IWX3" s="120"/>
      <c r="IWY3" s="120"/>
      <c r="IWZ3" s="120"/>
      <c r="IXA3" s="120"/>
      <c r="IXB3" s="120"/>
      <c r="IXC3" s="120"/>
      <c r="IXD3" s="120"/>
      <c r="IXE3" s="120"/>
      <c r="IXF3" s="120"/>
      <c r="IXG3" s="120"/>
      <c r="IXH3" s="120"/>
      <c r="IXI3" s="120"/>
      <c r="IXJ3" s="120"/>
      <c r="IXK3" s="120"/>
      <c r="IXL3" s="120"/>
      <c r="IXM3" s="120"/>
      <c r="IXN3" s="120"/>
      <c r="IXO3" s="120"/>
      <c r="IXP3" s="120"/>
      <c r="IXQ3" s="120"/>
      <c r="IXR3" s="120"/>
      <c r="IXS3" s="120"/>
      <c r="IXT3" s="120"/>
      <c r="IXU3" s="120"/>
      <c r="IXV3" s="120"/>
      <c r="IXW3" s="120"/>
      <c r="IXX3" s="120"/>
      <c r="IXY3" s="120"/>
      <c r="IXZ3" s="120"/>
      <c r="IYA3" s="120"/>
      <c r="IYB3" s="120"/>
      <c r="IYC3" s="120"/>
      <c r="IYD3" s="120"/>
      <c r="IYE3" s="120"/>
      <c r="IYF3" s="120"/>
      <c r="IYG3" s="120"/>
      <c r="IYH3" s="120"/>
      <c r="IYI3" s="120"/>
      <c r="IYJ3" s="120"/>
      <c r="IYK3" s="120"/>
      <c r="IYL3" s="120"/>
      <c r="IYM3" s="120"/>
      <c r="IYN3" s="120"/>
      <c r="IYO3" s="120"/>
      <c r="IYP3" s="120"/>
      <c r="IYQ3" s="120"/>
      <c r="IYR3" s="120"/>
      <c r="IYS3" s="120"/>
      <c r="IYT3" s="120"/>
      <c r="IYU3" s="120"/>
      <c r="IYV3" s="120"/>
      <c r="IYW3" s="120"/>
      <c r="IYX3" s="120"/>
      <c r="IYY3" s="120"/>
      <c r="IYZ3" s="120"/>
      <c r="IZA3" s="120"/>
      <c r="IZB3" s="120"/>
      <c r="IZC3" s="120"/>
      <c r="IZD3" s="120"/>
      <c r="IZE3" s="120"/>
      <c r="IZF3" s="120"/>
      <c r="IZG3" s="120"/>
      <c r="IZH3" s="120"/>
      <c r="IZI3" s="120"/>
      <c r="IZJ3" s="120"/>
      <c r="IZK3" s="120"/>
      <c r="IZL3" s="120"/>
      <c r="IZM3" s="120"/>
      <c r="IZN3" s="120"/>
      <c r="IZO3" s="120"/>
      <c r="IZP3" s="120"/>
      <c r="IZQ3" s="120"/>
      <c r="IZR3" s="120"/>
      <c r="IZS3" s="120"/>
      <c r="IZT3" s="120"/>
      <c r="IZU3" s="120"/>
      <c r="IZV3" s="120"/>
      <c r="IZW3" s="120"/>
      <c r="IZX3" s="120"/>
      <c r="IZY3" s="120"/>
      <c r="IZZ3" s="120"/>
      <c r="JAA3" s="120"/>
      <c r="JAB3" s="120"/>
      <c r="JAC3" s="120"/>
      <c r="JAD3" s="120"/>
      <c r="JAE3" s="120"/>
      <c r="JAF3" s="120"/>
      <c r="JAG3" s="120"/>
      <c r="JAH3" s="120"/>
      <c r="JAI3" s="120"/>
      <c r="JAJ3" s="120"/>
      <c r="JAK3" s="120"/>
      <c r="JAL3" s="120"/>
      <c r="JAM3" s="120"/>
      <c r="JAN3" s="120"/>
      <c r="JAO3" s="120"/>
      <c r="JAP3" s="120"/>
      <c r="JAQ3" s="120"/>
      <c r="JAR3" s="120"/>
      <c r="JAS3" s="120"/>
      <c r="JAT3" s="120"/>
      <c r="JAU3" s="120"/>
      <c r="JAV3" s="120"/>
      <c r="JAW3" s="120"/>
      <c r="JAX3" s="120"/>
      <c r="JAY3" s="120"/>
      <c r="JAZ3" s="120"/>
      <c r="JBA3" s="120"/>
      <c r="JBB3" s="120"/>
      <c r="JBC3" s="120"/>
      <c r="JBD3" s="120"/>
      <c r="JBE3" s="120"/>
      <c r="JBF3" s="120"/>
      <c r="JBG3" s="120"/>
      <c r="JBH3" s="120"/>
      <c r="JBI3" s="120"/>
      <c r="JBJ3" s="120"/>
      <c r="JBK3" s="120"/>
      <c r="JBL3" s="120"/>
      <c r="JBM3" s="120"/>
      <c r="JBN3" s="120"/>
      <c r="JBO3" s="120"/>
      <c r="JBP3" s="120"/>
      <c r="JBQ3" s="120"/>
      <c r="JBR3" s="120"/>
      <c r="JBS3" s="120"/>
      <c r="JBT3" s="120"/>
      <c r="JBU3" s="120"/>
      <c r="JBV3" s="120"/>
      <c r="JBW3" s="120"/>
      <c r="JBX3" s="120"/>
      <c r="JBY3" s="120"/>
      <c r="JBZ3" s="120"/>
      <c r="JCA3" s="120"/>
      <c r="JCB3" s="120"/>
      <c r="JCC3" s="120"/>
      <c r="JCD3" s="120"/>
      <c r="JCE3" s="120"/>
      <c r="JCF3" s="120"/>
      <c r="JCG3" s="120"/>
      <c r="JCH3" s="120"/>
      <c r="JCI3" s="120"/>
      <c r="JCJ3" s="120"/>
      <c r="JCK3" s="120"/>
      <c r="JCL3" s="120"/>
      <c r="JCM3" s="120"/>
      <c r="JCN3" s="120"/>
      <c r="JCO3" s="120"/>
      <c r="JCP3" s="120"/>
      <c r="JCQ3" s="120"/>
      <c r="JCR3" s="120"/>
      <c r="JCS3" s="120"/>
      <c r="JCT3" s="120"/>
      <c r="JCU3" s="120"/>
      <c r="JCV3" s="120"/>
      <c r="JCW3" s="120"/>
      <c r="JCX3" s="120"/>
      <c r="JCY3" s="120"/>
      <c r="JCZ3" s="120"/>
      <c r="JDA3" s="120"/>
      <c r="JDB3" s="120"/>
      <c r="JDC3" s="120"/>
      <c r="JDD3" s="120"/>
      <c r="JDE3" s="120"/>
      <c r="JDF3" s="120"/>
      <c r="JDG3" s="120"/>
      <c r="JDH3" s="120"/>
      <c r="JDI3" s="120"/>
      <c r="JDJ3" s="120"/>
      <c r="JDK3" s="120"/>
      <c r="JDL3" s="120"/>
      <c r="JDM3" s="120"/>
      <c r="JDN3" s="120"/>
      <c r="JDO3" s="120"/>
      <c r="JDP3" s="120"/>
      <c r="JDQ3" s="120"/>
      <c r="JDR3" s="120"/>
      <c r="JDS3" s="120"/>
      <c r="JDT3" s="120"/>
      <c r="JDU3" s="120"/>
      <c r="JDV3" s="120"/>
      <c r="JDW3" s="120"/>
      <c r="JDX3" s="120"/>
      <c r="JDY3" s="120"/>
      <c r="JDZ3" s="120"/>
      <c r="JEA3" s="120"/>
      <c r="JEB3" s="120"/>
      <c r="JEC3" s="120"/>
      <c r="JED3" s="120"/>
      <c r="JEE3" s="120"/>
      <c r="JEF3" s="120"/>
      <c r="JEG3" s="120"/>
      <c r="JEH3" s="120"/>
      <c r="JEI3" s="120"/>
      <c r="JEJ3" s="120"/>
      <c r="JEK3" s="120"/>
      <c r="JEL3" s="120"/>
      <c r="JEM3" s="120"/>
      <c r="JEN3" s="120"/>
      <c r="JEO3" s="120"/>
      <c r="JEP3" s="120"/>
      <c r="JEQ3" s="120"/>
      <c r="JER3" s="120"/>
      <c r="JES3" s="120"/>
      <c r="JET3" s="120"/>
      <c r="JEU3" s="120"/>
      <c r="JEV3" s="120"/>
      <c r="JEW3" s="120"/>
      <c r="JEX3" s="120"/>
      <c r="JEY3" s="120"/>
      <c r="JEZ3" s="120"/>
      <c r="JFA3" s="120"/>
      <c r="JFB3" s="120"/>
      <c r="JFC3" s="120"/>
      <c r="JFD3" s="120"/>
      <c r="JFE3" s="120"/>
      <c r="JFF3" s="120"/>
      <c r="JFG3" s="120"/>
      <c r="JFH3" s="120"/>
      <c r="JFI3" s="120"/>
      <c r="JFJ3" s="120"/>
      <c r="JFK3" s="120"/>
      <c r="JFL3" s="120"/>
      <c r="JFM3" s="120"/>
      <c r="JFN3" s="120"/>
      <c r="JFO3" s="120"/>
      <c r="JFP3" s="120"/>
      <c r="JFQ3" s="120"/>
      <c r="JFR3" s="120"/>
      <c r="JFS3" s="120"/>
      <c r="JFT3" s="120"/>
      <c r="JFU3" s="120"/>
      <c r="JFV3" s="120"/>
      <c r="JFW3" s="120"/>
      <c r="JFX3" s="120"/>
      <c r="JFY3" s="120"/>
      <c r="JFZ3" s="120"/>
      <c r="JGA3" s="120"/>
      <c r="JGB3" s="120"/>
      <c r="JGC3" s="120"/>
      <c r="JGD3" s="120"/>
      <c r="JGE3" s="120"/>
      <c r="JGF3" s="120"/>
      <c r="JGG3" s="120"/>
      <c r="JGH3" s="120"/>
      <c r="JGI3" s="120"/>
      <c r="JGJ3" s="120"/>
      <c r="JGK3" s="120"/>
      <c r="JGL3" s="120"/>
      <c r="JGM3" s="120"/>
      <c r="JGN3" s="120"/>
      <c r="JGO3" s="120"/>
      <c r="JGP3" s="120"/>
      <c r="JGQ3" s="120"/>
      <c r="JGR3" s="120"/>
      <c r="JGS3" s="120"/>
      <c r="JGT3" s="120"/>
      <c r="JGU3" s="120"/>
      <c r="JGV3" s="120"/>
      <c r="JGW3" s="120"/>
      <c r="JGX3" s="120"/>
      <c r="JGY3" s="120"/>
      <c r="JGZ3" s="120"/>
      <c r="JHA3" s="120"/>
      <c r="JHB3" s="120"/>
      <c r="JHC3" s="120"/>
      <c r="JHD3" s="120"/>
      <c r="JHE3" s="120"/>
      <c r="JHF3" s="120"/>
      <c r="JHG3" s="120"/>
      <c r="JHH3" s="120"/>
      <c r="JHI3" s="120"/>
      <c r="JHJ3" s="120"/>
      <c r="JHK3" s="120"/>
      <c r="JHL3" s="120"/>
      <c r="JHM3" s="120"/>
      <c r="JHN3" s="120"/>
      <c r="JHO3" s="120"/>
      <c r="JHP3" s="120"/>
      <c r="JHQ3" s="120"/>
      <c r="JHR3" s="120"/>
      <c r="JHS3" s="120"/>
      <c r="JHT3" s="120"/>
      <c r="JHU3" s="120"/>
      <c r="JHV3" s="120"/>
      <c r="JHW3" s="120"/>
      <c r="JHX3" s="120"/>
      <c r="JHY3" s="120"/>
      <c r="JHZ3" s="120"/>
      <c r="JIA3" s="120"/>
      <c r="JIB3" s="120"/>
      <c r="JIC3" s="120"/>
      <c r="JID3" s="120"/>
      <c r="JIE3" s="120"/>
      <c r="JIF3" s="120"/>
      <c r="JIG3" s="120"/>
      <c r="JIH3" s="120"/>
      <c r="JII3" s="120"/>
      <c r="JIJ3" s="120"/>
      <c r="JIK3" s="120"/>
      <c r="JIL3" s="120"/>
      <c r="JIM3" s="120"/>
      <c r="JIN3" s="120"/>
      <c r="JIO3" s="120"/>
      <c r="JIP3" s="120"/>
      <c r="JIQ3" s="120"/>
      <c r="JIR3" s="120"/>
      <c r="JIS3" s="120"/>
      <c r="JIT3" s="120"/>
      <c r="JIU3" s="120"/>
      <c r="JIV3" s="120"/>
      <c r="JIW3" s="120"/>
      <c r="JIX3" s="120"/>
      <c r="JIY3" s="120"/>
      <c r="JIZ3" s="120"/>
      <c r="JJA3" s="120"/>
      <c r="JJB3" s="120"/>
      <c r="JJC3" s="120"/>
      <c r="JJD3" s="120"/>
      <c r="JJE3" s="120"/>
      <c r="JJF3" s="120"/>
      <c r="JJG3" s="120"/>
      <c r="JJH3" s="120"/>
      <c r="JJI3" s="120"/>
      <c r="JJJ3" s="120"/>
      <c r="JJK3" s="120"/>
      <c r="JJL3" s="120"/>
      <c r="JJM3" s="120"/>
      <c r="JJN3" s="120"/>
      <c r="JJO3" s="120"/>
      <c r="JJP3" s="120"/>
      <c r="JJQ3" s="120"/>
      <c r="JJR3" s="120"/>
      <c r="JJS3" s="120"/>
      <c r="JJT3" s="120"/>
      <c r="JJU3" s="120"/>
      <c r="JJV3" s="120"/>
      <c r="JJW3" s="120"/>
      <c r="JJX3" s="120"/>
      <c r="JJY3" s="120"/>
      <c r="JJZ3" s="120"/>
      <c r="JKA3" s="120"/>
      <c r="JKB3" s="120"/>
      <c r="JKC3" s="120"/>
      <c r="JKD3" s="120"/>
      <c r="JKE3" s="120"/>
      <c r="JKF3" s="120"/>
      <c r="JKG3" s="120"/>
      <c r="JKH3" s="120"/>
      <c r="JKI3" s="120"/>
      <c r="JKJ3" s="120"/>
      <c r="JKK3" s="120"/>
      <c r="JKL3" s="120"/>
      <c r="JKM3" s="120"/>
      <c r="JKN3" s="120"/>
      <c r="JKO3" s="120"/>
      <c r="JKP3" s="120"/>
      <c r="JKQ3" s="120"/>
      <c r="JKR3" s="120"/>
      <c r="JKS3" s="120"/>
      <c r="JKT3" s="120"/>
      <c r="JKU3" s="120"/>
      <c r="JKV3" s="120"/>
      <c r="JKW3" s="120"/>
      <c r="JKX3" s="120"/>
      <c r="JKY3" s="120"/>
      <c r="JKZ3" s="120"/>
      <c r="JLA3" s="120"/>
      <c r="JLB3" s="120"/>
      <c r="JLC3" s="120"/>
      <c r="JLD3" s="120"/>
      <c r="JLE3" s="120"/>
      <c r="JLF3" s="120"/>
      <c r="JLG3" s="120"/>
      <c r="JLH3" s="120"/>
      <c r="JLI3" s="120"/>
      <c r="JLJ3" s="120"/>
      <c r="JLK3" s="120"/>
      <c r="JLL3" s="120"/>
      <c r="JLM3" s="120"/>
      <c r="JLN3" s="120"/>
      <c r="JLO3" s="120"/>
      <c r="JLP3" s="120"/>
      <c r="JLQ3" s="120"/>
      <c r="JLR3" s="120"/>
      <c r="JLS3" s="120"/>
      <c r="JLT3" s="120"/>
      <c r="JLU3" s="120"/>
      <c r="JLV3" s="120"/>
      <c r="JLW3" s="120"/>
      <c r="JLX3" s="120"/>
      <c r="JLY3" s="120"/>
      <c r="JLZ3" s="120"/>
      <c r="JMA3" s="120"/>
      <c r="JMB3" s="120"/>
      <c r="JMC3" s="120"/>
      <c r="JMD3" s="120"/>
      <c r="JME3" s="120"/>
      <c r="JMF3" s="120"/>
      <c r="JMG3" s="120"/>
      <c r="JMH3" s="120"/>
      <c r="JMI3" s="120"/>
      <c r="JMJ3" s="120"/>
      <c r="JMK3" s="120"/>
      <c r="JML3" s="120"/>
      <c r="JMM3" s="120"/>
      <c r="JMN3" s="120"/>
      <c r="JMO3" s="120"/>
      <c r="JMP3" s="120"/>
      <c r="JMQ3" s="120"/>
      <c r="JMR3" s="120"/>
      <c r="JMS3" s="120"/>
      <c r="JMT3" s="120"/>
      <c r="JMU3" s="120"/>
      <c r="JMV3" s="120"/>
      <c r="JMW3" s="120"/>
      <c r="JMX3" s="120"/>
      <c r="JMY3" s="120"/>
      <c r="JMZ3" s="120"/>
      <c r="JNA3" s="120"/>
      <c r="JNB3" s="120"/>
      <c r="JNC3" s="120"/>
      <c r="JND3" s="120"/>
      <c r="JNE3" s="120"/>
      <c r="JNF3" s="120"/>
      <c r="JNG3" s="120"/>
      <c r="JNH3" s="120"/>
      <c r="JNI3" s="120"/>
      <c r="JNJ3" s="120"/>
      <c r="JNK3" s="120"/>
      <c r="JNL3" s="120"/>
      <c r="JNM3" s="120"/>
      <c r="JNN3" s="120"/>
      <c r="JNO3" s="120"/>
      <c r="JNP3" s="120"/>
      <c r="JNQ3" s="120"/>
      <c r="JNR3" s="120"/>
      <c r="JNS3" s="120"/>
      <c r="JNT3" s="120"/>
      <c r="JNU3" s="120"/>
      <c r="JNV3" s="120"/>
      <c r="JNW3" s="120"/>
      <c r="JNX3" s="120"/>
      <c r="JNY3" s="120"/>
      <c r="JNZ3" s="120"/>
      <c r="JOA3" s="120"/>
      <c r="JOB3" s="120"/>
      <c r="JOC3" s="120"/>
      <c r="JOD3" s="120"/>
      <c r="JOE3" s="120"/>
      <c r="JOF3" s="120"/>
      <c r="JOG3" s="120"/>
      <c r="JOH3" s="120"/>
      <c r="JOI3" s="120"/>
      <c r="JOJ3" s="120"/>
      <c r="JOK3" s="120"/>
      <c r="JOL3" s="120"/>
      <c r="JOM3" s="120"/>
      <c r="JON3" s="120"/>
      <c r="JOO3" s="120"/>
      <c r="JOP3" s="120"/>
      <c r="JOQ3" s="120"/>
      <c r="JOR3" s="120"/>
      <c r="JOS3" s="120"/>
      <c r="JOT3" s="120"/>
      <c r="JOU3" s="120"/>
      <c r="JOV3" s="120"/>
      <c r="JOW3" s="120"/>
      <c r="JOX3" s="120"/>
      <c r="JOY3" s="120"/>
      <c r="JOZ3" s="120"/>
      <c r="JPA3" s="120"/>
      <c r="JPB3" s="120"/>
      <c r="JPC3" s="120"/>
      <c r="JPD3" s="120"/>
      <c r="JPE3" s="120"/>
      <c r="JPF3" s="120"/>
      <c r="JPG3" s="120"/>
      <c r="JPH3" s="120"/>
      <c r="JPI3" s="120"/>
      <c r="JPJ3" s="120"/>
      <c r="JPK3" s="120"/>
      <c r="JPL3" s="120"/>
      <c r="JPM3" s="120"/>
      <c r="JPN3" s="120"/>
      <c r="JPO3" s="120"/>
      <c r="JPP3" s="120"/>
      <c r="JPQ3" s="120"/>
      <c r="JPR3" s="120"/>
      <c r="JPS3" s="120"/>
      <c r="JPT3" s="120"/>
      <c r="JPU3" s="120"/>
      <c r="JPV3" s="120"/>
      <c r="JPW3" s="120"/>
      <c r="JPX3" s="120"/>
      <c r="JPY3" s="120"/>
      <c r="JPZ3" s="120"/>
      <c r="JQA3" s="120"/>
      <c r="JQB3" s="120"/>
      <c r="JQC3" s="120"/>
      <c r="JQD3" s="120"/>
      <c r="JQE3" s="120"/>
      <c r="JQF3" s="120"/>
      <c r="JQG3" s="120"/>
      <c r="JQH3" s="120"/>
      <c r="JQI3" s="120"/>
      <c r="JQJ3" s="120"/>
      <c r="JQK3" s="120"/>
      <c r="JQL3" s="120"/>
      <c r="JQM3" s="120"/>
      <c r="JQN3" s="120"/>
      <c r="JQO3" s="120"/>
      <c r="JQP3" s="120"/>
      <c r="JQQ3" s="120"/>
      <c r="JQR3" s="120"/>
      <c r="JQS3" s="120"/>
      <c r="JQT3" s="120"/>
      <c r="JQU3" s="120"/>
      <c r="JQV3" s="120"/>
      <c r="JQW3" s="120"/>
      <c r="JQX3" s="120"/>
      <c r="JQY3" s="120"/>
      <c r="JQZ3" s="120"/>
      <c r="JRA3" s="120"/>
      <c r="JRB3" s="120"/>
      <c r="JRC3" s="120"/>
      <c r="JRD3" s="120"/>
      <c r="JRE3" s="120"/>
      <c r="JRF3" s="120"/>
      <c r="JRG3" s="120"/>
      <c r="JRH3" s="120"/>
      <c r="JRI3" s="120"/>
      <c r="JRJ3" s="120"/>
      <c r="JRK3" s="120"/>
      <c r="JRL3" s="120"/>
      <c r="JRM3" s="120"/>
      <c r="JRN3" s="120"/>
      <c r="JRO3" s="120"/>
      <c r="JRP3" s="120"/>
      <c r="JRQ3" s="120"/>
      <c r="JRR3" s="120"/>
      <c r="JRS3" s="120"/>
      <c r="JRT3" s="120"/>
      <c r="JRU3" s="120"/>
      <c r="JRV3" s="120"/>
      <c r="JRW3" s="120"/>
      <c r="JRX3" s="120"/>
      <c r="JRY3" s="120"/>
      <c r="JRZ3" s="120"/>
      <c r="JSA3" s="120"/>
      <c r="JSB3" s="120"/>
      <c r="JSC3" s="120"/>
      <c r="JSD3" s="120"/>
      <c r="JSE3" s="120"/>
      <c r="JSF3" s="120"/>
      <c r="JSG3" s="120"/>
      <c r="JSH3" s="120"/>
      <c r="JSI3" s="120"/>
      <c r="JSJ3" s="120"/>
      <c r="JSK3" s="120"/>
      <c r="JSL3" s="120"/>
      <c r="JSM3" s="120"/>
      <c r="JSN3" s="120"/>
      <c r="JSO3" s="120"/>
      <c r="JSP3" s="120"/>
      <c r="JSQ3" s="120"/>
      <c r="JSR3" s="120"/>
      <c r="JSS3" s="120"/>
      <c r="JST3" s="120"/>
      <c r="JSU3" s="120"/>
      <c r="JSV3" s="120"/>
      <c r="JSW3" s="120"/>
      <c r="JSX3" s="120"/>
      <c r="JSY3" s="120"/>
      <c r="JSZ3" s="120"/>
      <c r="JTA3" s="120"/>
      <c r="JTB3" s="120"/>
      <c r="JTC3" s="120"/>
      <c r="JTD3" s="120"/>
      <c r="JTE3" s="120"/>
      <c r="JTF3" s="120"/>
      <c r="JTG3" s="120"/>
      <c r="JTH3" s="120"/>
      <c r="JTI3" s="120"/>
      <c r="JTJ3" s="120"/>
      <c r="JTK3" s="120"/>
      <c r="JTL3" s="120"/>
      <c r="JTM3" s="120"/>
      <c r="JTN3" s="120"/>
      <c r="JTO3" s="120"/>
      <c r="JTP3" s="120"/>
      <c r="JTQ3" s="120"/>
      <c r="JTR3" s="120"/>
      <c r="JTS3" s="120"/>
      <c r="JTT3" s="120"/>
      <c r="JTU3" s="120"/>
      <c r="JTV3" s="120"/>
      <c r="JTW3" s="120"/>
      <c r="JTX3" s="120"/>
      <c r="JTY3" s="120"/>
      <c r="JTZ3" s="120"/>
      <c r="JUA3" s="120"/>
      <c r="JUB3" s="120"/>
      <c r="JUC3" s="120"/>
      <c r="JUD3" s="120"/>
      <c r="JUE3" s="120"/>
      <c r="JUF3" s="120"/>
      <c r="JUG3" s="120"/>
      <c r="JUH3" s="120"/>
      <c r="JUI3" s="120"/>
      <c r="JUJ3" s="120"/>
      <c r="JUK3" s="120"/>
      <c r="JUL3" s="120"/>
      <c r="JUM3" s="120"/>
      <c r="JUN3" s="120"/>
      <c r="JUO3" s="120"/>
      <c r="JUP3" s="120"/>
      <c r="JUQ3" s="120"/>
      <c r="JUR3" s="120"/>
      <c r="JUS3" s="120"/>
      <c r="JUT3" s="120"/>
      <c r="JUU3" s="120"/>
      <c r="JUV3" s="120"/>
      <c r="JUW3" s="120"/>
      <c r="JUX3" s="120"/>
      <c r="JUY3" s="120"/>
      <c r="JUZ3" s="120"/>
      <c r="JVA3" s="120"/>
      <c r="JVB3" s="120"/>
      <c r="JVC3" s="120"/>
      <c r="JVD3" s="120"/>
      <c r="JVE3" s="120"/>
      <c r="JVF3" s="120"/>
      <c r="JVG3" s="120"/>
      <c r="JVH3" s="120"/>
      <c r="JVI3" s="120"/>
      <c r="JVJ3" s="120"/>
      <c r="JVK3" s="120"/>
      <c r="JVL3" s="120"/>
      <c r="JVM3" s="120"/>
      <c r="JVN3" s="120"/>
      <c r="JVO3" s="120"/>
      <c r="JVP3" s="120"/>
      <c r="JVQ3" s="120"/>
      <c r="JVR3" s="120"/>
      <c r="JVS3" s="120"/>
      <c r="JVT3" s="120"/>
      <c r="JVU3" s="120"/>
      <c r="JVV3" s="120"/>
      <c r="JVW3" s="120"/>
      <c r="JVX3" s="120"/>
      <c r="JVY3" s="120"/>
      <c r="JVZ3" s="120"/>
      <c r="JWA3" s="120"/>
      <c r="JWB3" s="120"/>
      <c r="JWC3" s="120"/>
      <c r="JWD3" s="120"/>
      <c r="JWE3" s="120"/>
      <c r="JWF3" s="120"/>
      <c r="JWG3" s="120"/>
      <c r="JWH3" s="120"/>
      <c r="JWI3" s="120"/>
      <c r="JWJ3" s="120"/>
      <c r="JWK3" s="120"/>
      <c r="JWL3" s="120"/>
      <c r="JWM3" s="120"/>
      <c r="JWN3" s="120"/>
      <c r="JWO3" s="120"/>
      <c r="JWP3" s="120"/>
      <c r="JWQ3" s="120"/>
      <c r="JWR3" s="120"/>
      <c r="JWS3" s="120"/>
      <c r="JWT3" s="120"/>
      <c r="JWU3" s="120"/>
      <c r="JWV3" s="120"/>
      <c r="JWW3" s="120"/>
      <c r="JWX3" s="120"/>
      <c r="JWY3" s="120"/>
      <c r="JWZ3" s="120"/>
      <c r="JXA3" s="120"/>
      <c r="JXB3" s="120"/>
      <c r="JXC3" s="120"/>
      <c r="JXD3" s="120"/>
      <c r="JXE3" s="120"/>
      <c r="JXF3" s="120"/>
      <c r="JXG3" s="120"/>
      <c r="JXH3" s="120"/>
      <c r="JXI3" s="120"/>
      <c r="JXJ3" s="120"/>
      <c r="JXK3" s="120"/>
      <c r="JXL3" s="120"/>
      <c r="JXM3" s="120"/>
      <c r="JXN3" s="120"/>
      <c r="JXO3" s="120"/>
      <c r="JXP3" s="120"/>
      <c r="JXQ3" s="120"/>
      <c r="JXR3" s="120"/>
      <c r="JXS3" s="120"/>
      <c r="JXT3" s="120"/>
      <c r="JXU3" s="120"/>
      <c r="JXV3" s="120"/>
      <c r="JXW3" s="120"/>
      <c r="JXX3" s="120"/>
      <c r="JXY3" s="120"/>
      <c r="JXZ3" s="120"/>
      <c r="JYA3" s="120"/>
      <c r="JYB3" s="120"/>
      <c r="JYC3" s="120"/>
      <c r="JYD3" s="120"/>
      <c r="JYE3" s="120"/>
      <c r="JYF3" s="120"/>
      <c r="JYG3" s="120"/>
      <c r="JYH3" s="120"/>
      <c r="JYI3" s="120"/>
      <c r="JYJ3" s="120"/>
      <c r="JYK3" s="120"/>
      <c r="JYL3" s="120"/>
      <c r="JYM3" s="120"/>
      <c r="JYN3" s="120"/>
      <c r="JYO3" s="120"/>
      <c r="JYP3" s="120"/>
      <c r="JYQ3" s="120"/>
      <c r="JYR3" s="120"/>
      <c r="JYS3" s="120"/>
      <c r="JYT3" s="120"/>
      <c r="JYU3" s="120"/>
      <c r="JYV3" s="120"/>
      <c r="JYW3" s="120"/>
      <c r="JYX3" s="120"/>
      <c r="JYY3" s="120"/>
      <c r="JYZ3" s="120"/>
      <c r="JZA3" s="120"/>
      <c r="JZB3" s="120"/>
      <c r="JZC3" s="120"/>
      <c r="JZD3" s="120"/>
      <c r="JZE3" s="120"/>
      <c r="JZF3" s="120"/>
      <c r="JZG3" s="120"/>
      <c r="JZH3" s="120"/>
      <c r="JZI3" s="120"/>
      <c r="JZJ3" s="120"/>
      <c r="JZK3" s="120"/>
      <c r="JZL3" s="120"/>
      <c r="JZM3" s="120"/>
      <c r="JZN3" s="120"/>
      <c r="JZO3" s="120"/>
      <c r="JZP3" s="120"/>
      <c r="JZQ3" s="120"/>
      <c r="JZR3" s="120"/>
      <c r="JZS3" s="120"/>
      <c r="JZT3" s="120"/>
      <c r="JZU3" s="120"/>
      <c r="JZV3" s="120"/>
      <c r="JZW3" s="120"/>
      <c r="JZX3" s="120"/>
      <c r="JZY3" s="120"/>
      <c r="JZZ3" s="120"/>
      <c r="KAA3" s="120"/>
      <c r="KAB3" s="120"/>
      <c r="KAC3" s="120"/>
      <c r="KAD3" s="120"/>
      <c r="KAE3" s="120"/>
      <c r="KAF3" s="120"/>
      <c r="KAG3" s="120"/>
      <c r="KAH3" s="120"/>
      <c r="KAI3" s="120"/>
      <c r="KAJ3" s="120"/>
      <c r="KAK3" s="120"/>
      <c r="KAL3" s="120"/>
      <c r="KAM3" s="120"/>
      <c r="KAN3" s="120"/>
      <c r="KAO3" s="120"/>
      <c r="KAP3" s="120"/>
      <c r="KAQ3" s="120"/>
      <c r="KAR3" s="120"/>
      <c r="KAS3" s="120"/>
      <c r="KAT3" s="120"/>
      <c r="KAU3" s="120"/>
      <c r="KAV3" s="120"/>
      <c r="KAW3" s="120"/>
      <c r="KAX3" s="120"/>
      <c r="KAY3" s="120"/>
      <c r="KAZ3" s="120"/>
      <c r="KBA3" s="120"/>
      <c r="KBB3" s="120"/>
      <c r="KBC3" s="120"/>
      <c r="KBD3" s="120"/>
      <c r="KBE3" s="120"/>
      <c r="KBF3" s="120"/>
      <c r="KBG3" s="120"/>
      <c r="KBH3" s="120"/>
      <c r="KBI3" s="120"/>
      <c r="KBJ3" s="120"/>
      <c r="KBK3" s="120"/>
      <c r="KBL3" s="120"/>
      <c r="KBM3" s="120"/>
      <c r="KBN3" s="120"/>
      <c r="KBO3" s="120"/>
      <c r="KBP3" s="120"/>
      <c r="KBQ3" s="120"/>
      <c r="KBR3" s="120"/>
      <c r="KBS3" s="120"/>
      <c r="KBT3" s="120"/>
      <c r="KBU3" s="120"/>
      <c r="KBV3" s="120"/>
      <c r="KBW3" s="120"/>
      <c r="KBX3" s="120"/>
      <c r="KBY3" s="120"/>
      <c r="KBZ3" s="120"/>
      <c r="KCA3" s="120"/>
      <c r="KCB3" s="120"/>
      <c r="KCC3" s="120"/>
      <c r="KCD3" s="120"/>
      <c r="KCE3" s="120"/>
      <c r="KCF3" s="120"/>
      <c r="KCG3" s="120"/>
      <c r="KCH3" s="120"/>
      <c r="KCI3" s="120"/>
      <c r="KCJ3" s="120"/>
      <c r="KCK3" s="120"/>
      <c r="KCL3" s="120"/>
      <c r="KCM3" s="120"/>
      <c r="KCN3" s="120"/>
      <c r="KCO3" s="120"/>
      <c r="KCP3" s="120"/>
      <c r="KCQ3" s="120"/>
      <c r="KCR3" s="120"/>
      <c r="KCS3" s="120"/>
      <c r="KCT3" s="120"/>
      <c r="KCU3" s="120"/>
      <c r="KCV3" s="120"/>
      <c r="KCW3" s="120"/>
      <c r="KCX3" s="120"/>
      <c r="KCY3" s="120"/>
      <c r="KCZ3" s="120"/>
      <c r="KDA3" s="120"/>
      <c r="KDB3" s="120"/>
      <c r="KDC3" s="120"/>
      <c r="KDD3" s="120"/>
      <c r="KDE3" s="120"/>
      <c r="KDF3" s="120"/>
      <c r="KDG3" s="120"/>
      <c r="KDH3" s="120"/>
      <c r="KDI3" s="120"/>
      <c r="KDJ3" s="120"/>
      <c r="KDK3" s="120"/>
      <c r="KDL3" s="120"/>
      <c r="KDM3" s="120"/>
      <c r="KDN3" s="120"/>
      <c r="KDO3" s="120"/>
      <c r="KDP3" s="120"/>
      <c r="KDQ3" s="120"/>
      <c r="KDR3" s="120"/>
      <c r="KDS3" s="120"/>
      <c r="KDT3" s="120"/>
      <c r="KDU3" s="120"/>
      <c r="KDV3" s="120"/>
      <c r="KDW3" s="120"/>
      <c r="KDX3" s="120"/>
      <c r="KDY3" s="120"/>
      <c r="KDZ3" s="120"/>
      <c r="KEA3" s="120"/>
      <c r="KEB3" s="120"/>
      <c r="KEC3" s="120"/>
      <c r="KED3" s="120"/>
      <c r="KEE3" s="120"/>
      <c r="KEF3" s="120"/>
      <c r="KEG3" s="120"/>
      <c r="KEH3" s="120"/>
      <c r="KEI3" s="120"/>
      <c r="KEJ3" s="120"/>
      <c r="KEK3" s="120"/>
      <c r="KEL3" s="120"/>
      <c r="KEM3" s="120"/>
      <c r="KEN3" s="120"/>
      <c r="KEO3" s="120"/>
      <c r="KEP3" s="120"/>
      <c r="KEQ3" s="120"/>
      <c r="KER3" s="120"/>
      <c r="KES3" s="120"/>
      <c r="KET3" s="120"/>
      <c r="KEU3" s="120"/>
      <c r="KEV3" s="120"/>
      <c r="KEW3" s="120"/>
      <c r="KEX3" s="120"/>
      <c r="KEY3" s="120"/>
      <c r="KEZ3" s="120"/>
      <c r="KFA3" s="120"/>
      <c r="KFB3" s="120"/>
      <c r="KFC3" s="120"/>
      <c r="KFD3" s="120"/>
      <c r="KFE3" s="120"/>
      <c r="KFF3" s="120"/>
      <c r="KFG3" s="120"/>
      <c r="KFH3" s="120"/>
      <c r="KFI3" s="120"/>
      <c r="KFJ3" s="120"/>
      <c r="KFK3" s="120"/>
      <c r="KFL3" s="120"/>
      <c r="KFM3" s="120"/>
      <c r="KFN3" s="120"/>
      <c r="KFO3" s="120"/>
      <c r="KFP3" s="120"/>
      <c r="KFQ3" s="120"/>
      <c r="KFR3" s="120"/>
      <c r="KFS3" s="120"/>
      <c r="KFT3" s="120"/>
      <c r="KFU3" s="120"/>
      <c r="KFV3" s="120"/>
      <c r="KFW3" s="120"/>
      <c r="KFX3" s="120"/>
      <c r="KFY3" s="120"/>
      <c r="KFZ3" s="120"/>
      <c r="KGA3" s="120"/>
      <c r="KGB3" s="120"/>
      <c r="KGC3" s="120"/>
      <c r="KGD3" s="120"/>
      <c r="KGE3" s="120"/>
      <c r="KGF3" s="120"/>
      <c r="KGG3" s="120"/>
      <c r="KGH3" s="120"/>
      <c r="KGI3" s="120"/>
      <c r="KGJ3" s="120"/>
      <c r="KGK3" s="120"/>
      <c r="KGL3" s="120"/>
      <c r="KGM3" s="120"/>
      <c r="KGN3" s="120"/>
      <c r="KGO3" s="120"/>
      <c r="KGP3" s="120"/>
      <c r="KGQ3" s="120"/>
      <c r="KGR3" s="120"/>
      <c r="KGS3" s="120"/>
      <c r="KGT3" s="120"/>
      <c r="KGU3" s="120"/>
      <c r="KGV3" s="120"/>
      <c r="KGW3" s="120"/>
      <c r="KGX3" s="120"/>
      <c r="KGY3" s="120"/>
      <c r="KGZ3" s="120"/>
      <c r="KHA3" s="120"/>
      <c r="KHB3" s="120"/>
      <c r="KHC3" s="120"/>
      <c r="KHD3" s="120"/>
      <c r="KHE3" s="120"/>
      <c r="KHF3" s="120"/>
      <c r="KHG3" s="120"/>
      <c r="KHH3" s="120"/>
      <c r="KHI3" s="120"/>
      <c r="KHJ3" s="120"/>
      <c r="KHK3" s="120"/>
      <c r="KHL3" s="120"/>
      <c r="KHM3" s="120"/>
      <c r="KHN3" s="120"/>
      <c r="KHO3" s="120"/>
      <c r="KHP3" s="120"/>
      <c r="KHQ3" s="120"/>
      <c r="KHR3" s="120"/>
      <c r="KHS3" s="120"/>
      <c r="KHT3" s="120"/>
      <c r="KHU3" s="120"/>
      <c r="KHV3" s="120"/>
      <c r="KHW3" s="120"/>
      <c r="KHX3" s="120"/>
      <c r="KHY3" s="120"/>
      <c r="KHZ3" s="120"/>
      <c r="KIA3" s="120"/>
      <c r="KIB3" s="120"/>
      <c r="KIC3" s="120"/>
      <c r="KID3" s="120"/>
      <c r="KIE3" s="120"/>
      <c r="KIF3" s="120"/>
      <c r="KIG3" s="120"/>
      <c r="KIH3" s="120"/>
      <c r="KII3" s="120"/>
      <c r="KIJ3" s="120"/>
      <c r="KIK3" s="120"/>
      <c r="KIL3" s="120"/>
      <c r="KIM3" s="120"/>
      <c r="KIN3" s="120"/>
      <c r="KIO3" s="120"/>
      <c r="KIP3" s="120"/>
      <c r="KIQ3" s="120"/>
      <c r="KIR3" s="120"/>
      <c r="KIS3" s="120"/>
      <c r="KIT3" s="120"/>
      <c r="KIU3" s="120"/>
      <c r="KIV3" s="120"/>
      <c r="KIW3" s="120"/>
      <c r="KIX3" s="120"/>
      <c r="KIY3" s="120"/>
      <c r="KIZ3" s="120"/>
      <c r="KJA3" s="120"/>
      <c r="KJB3" s="120"/>
      <c r="KJC3" s="120"/>
      <c r="KJD3" s="120"/>
      <c r="KJE3" s="120"/>
      <c r="KJF3" s="120"/>
      <c r="KJG3" s="120"/>
      <c r="KJH3" s="120"/>
      <c r="KJI3" s="120"/>
      <c r="KJJ3" s="120"/>
      <c r="KJK3" s="120"/>
      <c r="KJL3" s="120"/>
      <c r="KJM3" s="120"/>
      <c r="KJN3" s="120"/>
      <c r="KJO3" s="120"/>
      <c r="KJP3" s="120"/>
      <c r="KJQ3" s="120"/>
      <c r="KJR3" s="120"/>
      <c r="KJS3" s="120"/>
      <c r="KJT3" s="120"/>
      <c r="KJU3" s="120"/>
      <c r="KJV3" s="120"/>
      <c r="KJW3" s="120"/>
      <c r="KJX3" s="120"/>
      <c r="KJY3" s="120"/>
      <c r="KJZ3" s="120"/>
      <c r="KKA3" s="120"/>
      <c r="KKB3" s="120"/>
      <c r="KKC3" s="120"/>
      <c r="KKD3" s="120"/>
      <c r="KKE3" s="120"/>
      <c r="KKF3" s="120"/>
      <c r="KKG3" s="120"/>
      <c r="KKH3" s="120"/>
      <c r="KKI3" s="120"/>
      <c r="KKJ3" s="120"/>
      <c r="KKK3" s="120"/>
      <c r="KKL3" s="120"/>
      <c r="KKM3" s="120"/>
      <c r="KKN3" s="120"/>
      <c r="KKO3" s="120"/>
      <c r="KKP3" s="120"/>
      <c r="KKQ3" s="120"/>
      <c r="KKR3" s="120"/>
      <c r="KKS3" s="120"/>
      <c r="KKT3" s="120"/>
      <c r="KKU3" s="120"/>
      <c r="KKV3" s="120"/>
      <c r="KKW3" s="120"/>
      <c r="KKX3" s="120"/>
      <c r="KKY3" s="120"/>
      <c r="KKZ3" s="120"/>
      <c r="KLA3" s="120"/>
      <c r="KLB3" s="120"/>
      <c r="KLC3" s="120"/>
      <c r="KLD3" s="120"/>
      <c r="KLE3" s="120"/>
      <c r="KLF3" s="120"/>
      <c r="KLG3" s="120"/>
      <c r="KLH3" s="120"/>
      <c r="KLI3" s="120"/>
      <c r="KLJ3" s="120"/>
      <c r="KLK3" s="120"/>
      <c r="KLL3" s="120"/>
      <c r="KLM3" s="120"/>
      <c r="KLN3" s="120"/>
      <c r="KLO3" s="120"/>
      <c r="KLP3" s="120"/>
      <c r="KLQ3" s="120"/>
      <c r="KLR3" s="120"/>
      <c r="KLS3" s="120"/>
      <c r="KLT3" s="120"/>
      <c r="KLU3" s="120"/>
      <c r="KLV3" s="120"/>
      <c r="KLW3" s="120"/>
      <c r="KLX3" s="120"/>
      <c r="KLY3" s="120"/>
      <c r="KLZ3" s="120"/>
      <c r="KMA3" s="120"/>
      <c r="KMB3" s="120"/>
      <c r="KMC3" s="120"/>
      <c r="KMD3" s="120"/>
      <c r="KME3" s="120"/>
      <c r="KMF3" s="120"/>
      <c r="KMG3" s="120"/>
      <c r="KMH3" s="120"/>
      <c r="KMI3" s="120"/>
      <c r="KMJ3" s="120"/>
      <c r="KMK3" s="120"/>
      <c r="KML3" s="120"/>
      <c r="KMM3" s="120"/>
      <c r="KMN3" s="120"/>
      <c r="KMO3" s="120"/>
      <c r="KMP3" s="120"/>
      <c r="KMQ3" s="120"/>
      <c r="KMR3" s="120"/>
      <c r="KMS3" s="120"/>
      <c r="KMT3" s="120"/>
      <c r="KMU3" s="120"/>
      <c r="KMV3" s="120"/>
      <c r="KMW3" s="120"/>
      <c r="KMX3" s="120"/>
      <c r="KMY3" s="120"/>
      <c r="KMZ3" s="120"/>
      <c r="KNA3" s="120"/>
      <c r="KNB3" s="120"/>
      <c r="KNC3" s="120"/>
      <c r="KND3" s="120"/>
      <c r="KNE3" s="120"/>
      <c r="KNF3" s="120"/>
      <c r="KNG3" s="120"/>
      <c r="KNH3" s="120"/>
      <c r="KNI3" s="120"/>
      <c r="KNJ3" s="120"/>
      <c r="KNK3" s="120"/>
      <c r="KNL3" s="120"/>
      <c r="KNM3" s="120"/>
      <c r="KNN3" s="120"/>
      <c r="KNO3" s="120"/>
      <c r="KNP3" s="120"/>
      <c r="KNQ3" s="120"/>
      <c r="KNR3" s="120"/>
      <c r="KNS3" s="120"/>
      <c r="KNT3" s="120"/>
      <c r="KNU3" s="120"/>
      <c r="KNV3" s="120"/>
      <c r="KNW3" s="120"/>
      <c r="KNX3" s="120"/>
      <c r="KNY3" s="120"/>
      <c r="KNZ3" s="120"/>
      <c r="KOA3" s="120"/>
      <c r="KOB3" s="120"/>
      <c r="KOC3" s="120"/>
      <c r="KOD3" s="120"/>
      <c r="KOE3" s="120"/>
      <c r="KOF3" s="120"/>
      <c r="KOG3" s="120"/>
      <c r="KOH3" s="120"/>
      <c r="KOI3" s="120"/>
      <c r="KOJ3" s="120"/>
      <c r="KOK3" s="120"/>
      <c r="KOL3" s="120"/>
      <c r="KOM3" s="120"/>
      <c r="KON3" s="120"/>
      <c r="KOO3" s="120"/>
      <c r="KOP3" s="120"/>
      <c r="KOQ3" s="120"/>
      <c r="KOR3" s="120"/>
      <c r="KOS3" s="120"/>
      <c r="KOT3" s="120"/>
      <c r="KOU3" s="120"/>
      <c r="KOV3" s="120"/>
      <c r="KOW3" s="120"/>
      <c r="KOX3" s="120"/>
      <c r="KOY3" s="120"/>
      <c r="KOZ3" s="120"/>
      <c r="KPA3" s="120"/>
      <c r="KPB3" s="120"/>
      <c r="KPC3" s="120"/>
      <c r="KPD3" s="120"/>
      <c r="KPE3" s="120"/>
      <c r="KPF3" s="120"/>
      <c r="KPG3" s="120"/>
      <c r="KPH3" s="120"/>
      <c r="KPI3" s="120"/>
      <c r="KPJ3" s="120"/>
      <c r="KPK3" s="120"/>
      <c r="KPL3" s="120"/>
      <c r="KPM3" s="120"/>
      <c r="KPN3" s="120"/>
      <c r="KPO3" s="120"/>
      <c r="KPP3" s="120"/>
      <c r="KPQ3" s="120"/>
      <c r="KPR3" s="120"/>
      <c r="KPS3" s="120"/>
      <c r="KPT3" s="120"/>
      <c r="KPU3" s="120"/>
      <c r="KPV3" s="120"/>
      <c r="KPW3" s="120"/>
      <c r="KPX3" s="120"/>
      <c r="KPY3" s="120"/>
      <c r="KPZ3" s="120"/>
      <c r="KQA3" s="120"/>
      <c r="KQB3" s="120"/>
      <c r="KQC3" s="120"/>
      <c r="KQD3" s="120"/>
      <c r="KQE3" s="120"/>
      <c r="KQF3" s="120"/>
      <c r="KQG3" s="120"/>
      <c r="KQH3" s="120"/>
      <c r="KQI3" s="120"/>
      <c r="KQJ3" s="120"/>
      <c r="KQK3" s="120"/>
      <c r="KQL3" s="120"/>
      <c r="KQM3" s="120"/>
      <c r="KQN3" s="120"/>
      <c r="KQO3" s="120"/>
      <c r="KQP3" s="120"/>
      <c r="KQQ3" s="120"/>
      <c r="KQR3" s="120"/>
      <c r="KQS3" s="120"/>
      <c r="KQT3" s="120"/>
      <c r="KQU3" s="120"/>
      <c r="KQV3" s="120"/>
      <c r="KQW3" s="120"/>
      <c r="KQX3" s="120"/>
      <c r="KQY3" s="120"/>
      <c r="KQZ3" s="120"/>
      <c r="KRA3" s="120"/>
      <c r="KRB3" s="120"/>
      <c r="KRC3" s="120"/>
      <c r="KRD3" s="120"/>
      <c r="KRE3" s="120"/>
      <c r="KRF3" s="120"/>
      <c r="KRG3" s="120"/>
      <c r="KRH3" s="120"/>
      <c r="KRI3" s="120"/>
      <c r="KRJ3" s="120"/>
      <c r="KRK3" s="120"/>
      <c r="KRL3" s="120"/>
      <c r="KRM3" s="120"/>
      <c r="KRN3" s="120"/>
      <c r="KRO3" s="120"/>
      <c r="KRP3" s="120"/>
      <c r="KRQ3" s="120"/>
      <c r="KRR3" s="120"/>
      <c r="KRS3" s="120"/>
      <c r="KRT3" s="120"/>
      <c r="KRU3" s="120"/>
      <c r="KRV3" s="120"/>
      <c r="KRW3" s="120"/>
      <c r="KRX3" s="120"/>
      <c r="KRY3" s="120"/>
      <c r="KRZ3" s="120"/>
      <c r="KSA3" s="120"/>
      <c r="KSB3" s="120"/>
      <c r="KSC3" s="120"/>
      <c r="KSD3" s="120"/>
      <c r="KSE3" s="120"/>
      <c r="KSF3" s="120"/>
      <c r="KSG3" s="120"/>
      <c r="KSH3" s="120"/>
      <c r="KSI3" s="120"/>
      <c r="KSJ3" s="120"/>
      <c r="KSK3" s="120"/>
      <c r="KSL3" s="120"/>
      <c r="KSM3" s="120"/>
      <c r="KSN3" s="120"/>
      <c r="KSO3" s="120"/>
      <c r="KSP3" s="120"/>
      <c r="KSQ3" s="120"/>
      <c r="KSR3" s="120"/>
      <c r="KSS3" s="120"/>
      <c r="KST3" s="120"/>
      <c r="KSU3" s="120"/>
      <c r="KSV3" s="120"/>
      <c r="KSW3" s="120"/>
      <c r="KSX3" s="120"/>
      <c r="KSY3" s="120"/>
      <c r="KSZ3" s="120"/>
      <c r="KTA3" s="120"/>
      <c r="KTB3" s="120"/>
      <c r="KTC3" s="120"/>
      <c r="KTD3" s="120"/>
      <c r="KTE3" s="120"/>
      <c r="KTF3" s="120"/>
      <c r="KTG3" s="120"/>
      <c r="KTH3" s="120"/>
      <c r="KTI3" s="120"/>
      <c r="KTJ3" s="120"/>
      <c r="KTK3" s="120"/>
      <c r="KTL3" s="120"/>
      <c r="KTM3" s="120"/>
      <c r="KTN3" s="120"/>
      <c r="KTO3" s="120"/>
      <c r="KTP3" s="120"/>
      <c r="KTQ3" s="120"/>
      <c r="KTR3" s="120"/>
      <c r="KTS3" s="120"/>
      <c r="KTT3" s="120"/>
      <c r="KTU3" s="120"/>
      <c r="KTV3" s="120"/>
      <c r="KTW3" s="120"/>
      <c r="KTX3" s="120"/>
      <c r="KTY3" s="120"/>
      <c r="KTZ3" s="120"/>
      <c r="KUA3" s="120"/>
      <c r="KUB3" s="120"/>
      <c r="KUC3" s="120"/>
      <c r="KUD3" s="120"/>
      <c r="KUE3" s="120"/>
      <c r="KUF3" s="120"/>
      <c r="KUG3" s="120"/>
      <c r="KUH3" s="120"/>
      <c r="KUI3" s="120"/>
      <c r="KUJ3" s="120"/>
      <c r="KUK3" s="120"/>
      <c r="KUL3" s="120"/>
      <c r="KUM3" s="120"/>
      <c r="KUN3" s="120"/>
      <c r="KUO3" s="120"/>
      <c r="KUP3" s="120"/>
      <c r="KUQ3" s="120"/>
      <c r="KUR3" s="120"/>
      <c r="KUS3" s="120"/>
      <c r="KUT3" s="120"/>
      <c r="KUU3" s="120"/>
      <c r="KUV3" s="120"/>
      <c r="KUW3" s="120"/>
      <c r="KUX3" s="120"/>
      <c r="KUY3" s="120"/>
      <c r="KUZ3" s="120"/>
      <c r="KVA3" s="120"/>
      <c r="KVB3" s="120"/>
      <c r="KVC3" s="120"/>
      <c r="KVD3" s="120"/>
      <c r="KVE3" s="120"/>
      <c r="KVF3" s="120"/>
      <c r="KVG3" s="120"/>
      <c r="KVH3" s="120"/>
      <c r="KVI3" s="120"/>
      <c r="KVJ3" s="120"/>
      <c r="KVK3" s="120"/>
      <c r="KVL3" s="120"/>
      <c r="KVM3" s="120"/>
      <c r="KVN3" s="120"/>
      <c r="KVO3" s="120"/>
      <c r="KVP3" s="120"/>
      <c r="KVQ3" s="120"/>
      <c r="KVR3" s="120"/>
      <c r="KVS3" s="120"/>
      <c r="KVT3" s="120"/>
      <c r="KVU3" s="120"/>
      <c r="KVV3" s="120"/>
      <c r="KVW3" s="120"/>
      <c r="KVX3" s="120"/>
      <c r="KVY3" s="120"/>
      <c r="KVZ3" s="120"/>
      <c r="KWA3" s="120"/>
      <c r="KWB3" s="120"/>
      <c r="KWC3" s="120"/>
      <c r="KWD3" s="120"/>
      <c r="KWE3" s="120"/>
      <c r="KWF3" s="120"/>
      <c r="KWG3" s="120"/>
      <c r="KWH3" s="120"/>
      <c r="KWI3" s="120"/>
      <c r="KWJ3" s="120"/>
      <c r="KWK3" s="120"/>
      <c r="KWL3" s="120"/>
      <c r="KWM3" s="120"/>
      <c r="KWN3" s="120"/>
      <c r="KWO3" s="120"/>
      <c r="KWP3" s="120"/>
      <c r="KWQ3" s="120"/>
      <c r="KWR3" s="120"/>
      <c r="KWS3" s="120"/>
      <c r="KWT3" s="120"/>
      <c r="KWU3" s="120"/>
      <c r="KWV3" s="120"/>
      <c r="KWW3" s="120"/>
      <c r="KWX3" s="120"/>
      <c r="KWY3" s="120"/>
      <c r="KWZ3" s="120"/>
      <c r="KXA3" s="120"/>
      <c r="KXB3" s="120"/>
      <c r="KXC3" s="120"/>
      <c r="KXD3" s="120"/>
      <c r="KXE3" s="120"/>
      <c r="KXF3" s="120"/>
      <c r="KXG3" s="120"/>
      <c r="KXH3" s="120"/>
      <c r="KXI3" s="120"/>
      <c r="KXJ3" s="120"/>
      <c r="KXK3" s="120"/>
      <c r="KXL3" s="120"/>
      <c r="KXM3" s="120"/>
      <c r="KXN3" s="120"/>
      <c r="KXO3" s="120"/>
      <c r="KXP3" s="120"/>
      <c r="KXQ3" s="120"/>
      <c r="KXR3" s="120"/>
      <c r="KXS3" s="120"/>
      <c r="KXT3" s="120"/>
      <c r="KXU3" s="120"/>
      <c r="KXV3" s="120"/>
      <c r="KXW3" s="120"/>
      <c r="KXX3" s="120"/>
      <c r="KXY3" s="120"/>
      <c r="KXZ3" s="120"/>
      <c r="KYA3" s="120"/>
      <c r="KYB3" s="120"/>
      <c r="KYC3" s="120"/>
      <c r="KYD3" s="120"/>
      <c r="KYE3" s="120"/>
      <c r="KYF3" s="120"/>
      <c r="KYG3" s="120"/>
      <c r="KYH3" s="120"/>
      <c r="KYI3" s="120"/>
      <c r="KYJ3" s="120"/>
      <c r="KYK3" s="120"/>
      <c r="KYL3" s="120"/>
      <c r="KYM3" s="120"/>
      <c r="KYN3" s="120"/>
      <c r="KYO3" s="120"/>
      <c r="KYP3" s="120"/>
      <c r="KYQ3" s="120"/>
      <c r="KYR3" s="120"/>
      <c r="KYS3" s="120"/>
      <c r="KYT3" s="120"/>
      <c r="KYU3" s="120"/>
      <c r="KYV3" s="120"/>
      <c r="KYW3" s="120"/>
      <c r="KYX3" s="120"/>
      <c r="KYY3" s="120"/>
      <c r="KYZ3" s="120"/>
      <c r="KZA3" s="120"/>
      <c r="KZB3" s="120"/>
      <c r="KZC3" s="120"/>
      <c r="KZD3" s="120"/>
      <c r="KZE3" s="120"/>
      <c r="KZF3" s="120"/>
      <c r="KZG3" s="120"/>
      <c r="KZH3" s="120"/>
      <c r="KZI3" s="120"/>
      <c r="KZJ3" s="120"/>
      <c r="KZK3" s="120"/>
      <c r="KZL3" s="120"/>
      <c r="KZM3" s="120"/>
      <c r="KZN3" s="120"/>
      <c r="KZO3" s="120"/>
      <c r="KZP3" s="120"/>
      <c r="KZQ3" s="120"/>
      <c r="KZR3" s="120"/>
      <c r="KZS3" s="120"/>
      <c r="KZT3" s="120"/>
      <c r="KZU3" s="120"/>
      <c r="KZV3" s="120"/>
      <c r="KZW3" s="120"/>
      <c r="KZX3" s="120"/>
      <c r="KZY3" s="120"/>
      <c r="KZZ3" s="120"/>
      <c r="LAA3" s="120"/>
      <c r="LAB3" s="120"/>
      <c r="LAC3" s="120"/>
      <c r="LAD3" s="120"/>
      <c r="LAE3" s="120"/>
      <c r="LAF3" s="120"/>
      <c r="LAG3" s="120"/>
      <c r="LAH3" s="120"/>
      <c r="LAI3" s="120"/>
      <c r="LAJ3" s="120"/>
      <c r="LAK3" s="120"/>
      <c r="LAL3" s="120"/>
      <c r="LAM3" s="120"/>
      <c r="LAN3" s="120"/>
      <c r="LAO3" s="120"/>
      <c r="LAP3" s="120"/>
      <c r="LAQ3" s="120"/>
      <c r="LAR3" s="120"/>
      <c r="LAS3" s="120"/>
      <c r="LAT3" s="120"/>
      <c r="LAU3" s="120"/>
      <c r="LAV3" s="120"/>
      <c r="LAW3" s="120"/>
      <c r="LAX3" s="120"/>
      <c r="LAY3" s="120"/>
      <c r="LAZ3" s="120"/>
      <c r="LBA3" s="120"/>
      <c r="LBB3" s="120"/>
      <c r="LBC3" s="120"/>
      <c r="LBD3" s="120"/>
      <c r="LBE3" s="120"/>
      <c r="LBF3" s="120"/>
      <c r="LBG3" s="120"/>
      <c r="LBH3" s="120"/>
      <c r="LBI3" s="120"/>
      <c r="LBJ3" s="120"/>
      <c r="LBK3" s="120"/>
      <c r="LBL3" s="120"/>
      <c r="LBM3" s="120"/>
      <c r="LBN3" s="120"/>
      <c r="LBO3" s="120"/>
      <c r="LBP3" s="120"/>
      <c r="LBQ3" s="120"/>
      <c r="LBR3" s="120"/>
      <c r="LBS3" s="120"/>
      <c r="LBT3" s="120"/>
      <c r="LBU3" s="120"/>
      <c r="LBV3" s="120"/>
      <c r="LBW3" s="120"/>
      <c r="LBX3" s="120"/>
      <c r="LBY3" s="120"/>
      <c r="LBZ3" s="120"/>
      <c r="LCA3" s="120"/>
      <c r="LCB3" s="120"/>
      <c r="LCC3" s="120"/>
      <c r="LCD3" s="120"/>
      <c r="LCE3" s="120"/>
      <c r="LCF3" s="120"/>
      <c r="LCG3" s="120"/>
      <c r="LCH3" s="120"/>
      <c r="LCI3" s="120"/>
      <c r="LCJ3" s="120"/>
      <c r="LCK3" s="120"/>
      <c r="LCL3" s="120"/>
      <c r="LCM3" s="120"/>
      <c r="LCN3" s="120"/>
      <c r="LCO3" s="120"/>
      <c r="LCP3" s="120"/>
      <c r="LCQ3" s="120"/>
      <c r="LCR3" s="120"/>
      <c r="LCS3" s="120"/>
      <c r="LCT3" s="120"/>
      <c r="LCU3" s="120"/>
      <c r="LCV3" s="120"/>
      <c r="LCW3" s="120"/>
      <c r="LCX3" s="120"/>
      <c r="LCY3" s="120"/>
      <c r="LCZ3" s="120"/>
      <c r="LDA3" s="120"/>
      <c r="LDB3" s="120"/>
      <c r="LDC3" s="120"/>
      <c r="LDD3" s="120"/>
      <c r="LDE3" s="120"/>
      <c r="LDF3" s="120"/>
      <c r="LDG3" s="120"/>
      <c r="LDH3" s="120"/>
      <c r="LDI3" s="120"/>
      <c r="LDJ3" s="120"/>
      <c r="LDK3" s="120"/>
      <c r="LDL3" s="120"/>
      <c r="LDM3" s="120"/>
      <c r="LDN3" s="120"/>
      <c r="LDO3" s="120"/>
      <c r="LDP3" s="120"/>
      <c r="LDQ3" s="120"/>
      <c r="LDR3" s="120"/>
      <c r="LDS3" s="120"/>
      <c r="LDT3" s="120"/>
      <c r="LDU3" s="120"/>
      <c r="LDV3" s="120"/>
      <c r="LDW3" s="120"/>
      <c r="LDX3" s="120"/>
      <c r="LDY3" s="120"/>
      <c r="LDZ3" s="120"/>
      <c r="LEA3" s="120"/>
      <c r="LEB3" s="120"/>
      <c r="LEC3" s="120"/>
      <c r="LED3" s="120"/>
      <c r="LEE3" s="120"/>
      <c r="LEF3" s="120"/>
      <c r="LEG3" s="120"/>
      <c r="LEH3" s="120"/>
      <c r="LEI3" s="120"/>
      <c r="LEJ3" s="120"/>
      <c r="LEK3" s="120"/>
      <c r="LEL3" s="120"/>
      <c r="LEM3" s="120"/>
      <c r="LEN3" s="120"/>
      <c r="LEO3" s="120"/>
      <c r="LEP3" s="120"/>
      <c r="LEQ3" s="120"/>
      <c r="LER3" s="120"/>
      <c r="LES3" s="120"/>
      <c r="LET3" s="120"/>
      <c r="LEU3" s="120"/>
      <c r="LEV3" s="120"/>
      <c r="LEW3" s="120"/>
      <c r="LEX3" s="120"/>
      <c r="LEY3" s="120"/>
      <c r="LEZ3" s="120"/>
      <c r="LFA3" s="120"/>
      <c r="LFB3" s="120"/>
      <c r="LFC3" s="120"/>
      <c r="LFD3" s="120"/>
      <c r="LFE3" s="120"/>
      <c r="LFF3" s="120"/>
      <c r="LFG3" s="120"/>
      <c r="LFH3" s="120"/>
      <c r="LFI3" s="120"/>
      <c r="LFJ3" s="120"/>
      <c r="LFK3" s="120"/>
      <c r="LFL3" s="120"/>
      <c r="LFM3" s="120"/>
      <c r="LFN3" s="120"/>
      <c r="LFO3" s="120"/>
      <c r="LFP3" s="120"/>
      <c r="LFQ3" s="120"/>
      <c r="LFR3" s="120"/>
      <c r="LFS3" s="120"/>
      <c r="LFT3" s="120"/>
      <c r="LFU3" s="120"/>
      <c r="LFV3" s="120"/>
      <c r="LFW3" s="120"/>
      <c r="LFX3" s="120"/>
      <c r="LFY3" s="120"/>
      <c r="LFZ3" s="120"/>
      <c r="LGA3" s="120"/>
      <c r="LGB3" s="120"/>
      <c r="LGC3" s="120"/>
      <c r="LGD3" s="120"/>
      <c r="LGE3" s="120"/>
      <c r="LGF3" s="120"/>
      <c r="LGG3" s="120"/>
      <c r="LGH3" s="120"/>
      <c r="LGI3" s="120"/>
      <c r="LGJ3" s="120"/>
      <c r="LGK3" s="120"/>
      <c r="LGL3" s="120"/>
      <c r="LGM3" s="120"/>
      <c r="LGN3" s="120"/>
      <c r="LGO3" s="120"/>
      <c r="LGP3" s="120"/>
      <c r="LGQ3" s="120"/>
      <c r="LGR3" s="120"/>
      <c r="LGS3" s="120"/>
      <c r="LGT3" s="120"/>
      <c r="LGU3" s="120"/>
      <c r="LGV3" s="120"/>
      <c r="LGW3" s="120"/>
      <c r="LGX3" s="120"/>
      <c r="LGY3" s="120"/>
      <c r="LGZ3" s="120"/>
      <c r="LHA3" s="120"/>
      <c r="LHB3" s="120"/>
      <c r="LHC3" s="120"/>
      <c r="LHD3" s="120"/>
      <c r="LHE3" s="120"/>
      <c r="LHF3" s="120"/>
      <c r="LHG3" s="120"/>
      <c r="LHH3" s="120"/>
      <c r="LHI3" s="120"/>
      <c r="LHJ3" s="120"/>
      <c r="LHK3" s="120"/>
      <c r="LHL3" s="120"/>
      <c r="LHM3" s="120"/>
      <c r="LHN3" s="120"/>
      <c r="LHO3" s="120"/>
      <c r="LHP3" s="120"/>
      <c r="LHQ3" s="120"/>
      <c r="LHR3" s="120"/>
      <c r="LHS3" s="120"/>
      <c r="LHT3" s="120"/>
      <c r="LHU3" s="120"/>
      <c r="LHV3" s="120"/>
      <c r="LHW3" s="120"/>
      <c r="LHX3" s="120"/>
      <c r="LHY3" s="120"/>
      <c r="LHZ3" s="120"/>
      <c r="LIA3" s="120"/>
      <c r="LIB3" s="120"/>
      <c r="LIC3" s="120"/>
      <c r="LID3" s="120"/>
      <c r="LIE3" s="120"/>
      <c r="LIF3" s="120"/>
      <c r="LIG3" s="120"/>
      <c r="LIH3" s="120"/>
      <c r="LII3" s="120"/>
      <c r="LIJ3" s="120"/>
      <c r="LIK3" s="120"/>
      <c r="LIL3" s="120"/>
      <c r="LIM3" s="120"/>
      <c r="LIN3" s="120"/>
      <c r="LIO3" s="120"/>
      <c r="LIP3" s="120"/>
      <c r="LIQ3" s="120"/>
      <c r="LIR3" s="120"/>
      <c r="LIS3" s="120"/>
      <c r="LIT3" s="120"/>
      <c r="LIU3" s="120"/>
      <c r="LIV3" s="120"/>
      <c r="LIW3" s="120"/>
      <c r="LIX3" s="120"/>
      <c r="LIY3" s="120"/>
      <c r="LIZ3" s="120"/>
      <c r="LJA3" s="120"/>
      <c r="LJB3" s="120"/>
      <c r="LJC3" s="120"/>
      <c r="LJD3" s="120"/>
      <c r="LJE3" s="120"/>
      <c r="LJF3" s="120"/>
      <c r="LJG3" s="120"/>
      <c r="LJH3" s="120"/>
      <c r="LJI3" s="120"/>
      <c r="LJJ3" s="120"/>
      <c r="LJK3" s="120"/>
      <c r="LJL3" s="120"/>
      <c r="LJM3" s="120"/>
      <c r="LJN3" s="120"/>
      <c r="LJO3" s="120"/>
      <c r="LJP3" s="120"/>
      <c r="LJQ3" s="120"/>
      <c r="LJR3" s="120"/>
      <c r="LJS3" s="120"/>
      <c r="LJT3" s="120"/>
      <c r="LJU3" s="120"/>
      <c r="LJV3" s="120"/>
      <c r="LJW3" s="120"/>
      <c r="LJX3" s="120"/>
      <c r="LJY3" s="120"/>
      <c r="LJZ3" s="120"/>
      <c r="LKA3" s="120"/>
      <c r="LKB3" s="120"/>
      <c r="LKC3" s="120"/>
      <c r="LKD3" s="120"/>
      <c r="LKE3" s="120"/>
      <c r="LKF3" s="120"/>
      <c r="LKG3" s="120"/>
      <c r="LKH3" s="120"/>
      <c r="LKI3" s="120"/>
      <c r="LKJ3" s="120"/>
      <c r="LKK3" s="120"/>
      <c r="LKL3" s="120"/>
      <c r="LKM3" s="120"/>
      <c r="LKN3" s="120"/>
      <c r="LKO3" s="120"/>
      <c r="LKP3" s="120"/>
      <c r="LKQ3" s="120"/>
      <c r="LKR3" s="120"/>
      <c r="LKS3" s="120"/>
      <c r="LKT3" s="120"/>
      <c r="LKU3" s="120"/>
      <c r="LKV3" s="120"/>
      <c r="LKW3" s="120"/>
      <c r="LKX3" s="120"/>
      <c r="LKY3" s="120"/>
      <c r="LKZ3" s="120"/>
      <c r="LLA3" s="120"/>
      <c r="LLB3" s="120"/>
      <c r="LLC3" s="120"/>
      <c r="LLD3" s="120"/>
      <c r="LLE3" s="120"/>
      <c r="LLF3" s="120"/>
      <c r="LLG3" s="120"/>
      <c r="LLH3" s="120"/>
      <c r="LLI3" s="120"/>
      <c r="LLJ3" s="120"/>
      <c r="LLK3" s="120"/>
      <c r="LLL3" s="120"/>
      <c r="LLM3" s="120"/>
      <c r="LLN3" s="120"/>
      <c r="LLO3" s="120"/>
      <c r="LLP3" s="120"/>
      <c r="LLQ3" s="120"/>
      <c r="LLR3" s="120"/>
      <c r="LLS3" s="120"/>
      <c r="LLT3" s="120"/>
      <c r="LLU3" s="120"/>
      <c r="LLV3" s="120"/>
      <c r="LLW3" s="120"/>
      <c r="LLX3" s="120"/>
      <c r="LLY3" s="120"/>
      <c r="LLZ3" s="120"/>
      <c r="LMA3" s="120"/>
      <c r="LMB3" s="120"/>
      <c r="LMC3" s="120"/>
      <c r="LMD3" s="120"/>
      <c r="LME3" s="120"/>
      <c r="LMF3" s="120"/>
      <c r="LMG3" s="120"/>
      <c r="LMH3" s="120"/>
      <c r="LMI3" s="120"/>
      <c r="LMJ3" s="120"/>
      <c r="LMK3" s="120"/>
      <c r="LML3" s="120"/>
      <c r="LMM3" s="120"/>
      <c r="LMN3" s="120"/>
      <c r="LMO3" s="120"/>
      <c r="LMP3" s="120"/>
      <c r="LMQ3" s="120"/>
      <c r="LMR3" s="120"/>
      <c r="LMS3" s="120"/>
      <c r="LMT3" s="120"/>
      <c r="LMU3" s="120"/>
      <c r="LMV3" s="120"/>
      <c r="LMW3" s="120"/>
      <c r="LMX3" s="120"/>
      <c r="LMY3" s="120"/>
      <c r="LMZ3" s="120"/>
      <c r="LNA3" s="120"/>
      <c r="LNB3" s="120"/>
      <c r="LNC3" s="120"/>
      <c r="LND3" s="120"/>
      <c r="LNE3" s="120"/>
      <c r="LNF3" s="120"/>
      <c r="LNG3" s="120"/>
      <c r="LNH3" s="120"/>
      <c r="LNI3" s="120"/>
      <c r="LNJ3" s="120"/>
      <c r="LNK3" s="120"/>
      <c r="LNL3" s="120"/>
      <c r="LNM3" s="120"/>
      <c r="LNN3" s="120"/>
      <c r="LNO3" s="120"/>
      <c r="LNP3" s="120"/>
      <c r="LNQ3" s="120"/>
      <c r="LNR3" s="120"/>
      <c r="LNS3" s="120"/>
      <c r="LNT3" s="120"/>
      <c r="LNU3" s="120"/>
      <c r="LNV3" s="120"/>
      <c r="LNW3" s="120"/>
      <c r="LNX3" s="120"/>
      <c r="LNY3" s="120"/>
      <c r="LNZ3" s="120"/>
      <c r="LOA3" s="120"/>
      <c r="LOB3" s="120"/>
      <c r="LOC3" s="120"/>
      <c r="LOD3" s="120"/>
      <c r="LOE3" s="120"/>
      <c r="LOF3" s="120"/>
      <c r="LOG3" s="120"/>
      <c r="LOH3" s="120"/>
      <c r="LOI3" s="120"/>
      <c r="LOJ3" s="120"/>
      <c r="LOK3" s="120"/>
      <c r="LOL3" s="120"/>
      <c r="LOM3" s="120"/>
      <c r="LON3" s="120"/>
      <c r="LOO3" s="120"/>
      <c r="LOP3" s="120"/>
      <c r="LOQ3" s="120"/>
      <c r="LOR3" s="120"/>
      <c r="LOS3" s="120"/>
      <c r="LOT3" s="120"/>
      <c r="LOU3" s="120"/>
      <c r="LOV3" s="120"/>
      <c r="LOW3" s="120"/>
      <c r="LOX3" s="120"/>
      <c r="LOY3" s="120"/>
      <c r="LOZ3" s="120"/>
      <c r="LPA3" s="120"/>
      <c r="LPB3" s="120"/>
      <c r="LPC3" s="120"/>
      <c r="LPD3" s="120"/>
      <c r="LPE3" s="120"/>
      <c r="LPF3" s="120"/>
      <c r="LPG3" s="120"/>
      <c r="LPH3" s="120"/>
      <c r="LPI3" s="120"/>
      <c r="LPJ3" s="120"/>
      <c r="LPK3" s="120"/>
      <c r="LPL3" s="120"/>
      <c r="LPM3" s="120"/>
      <c r="LPN3" s="120"/>
      <c r="LPO3" s="120"/>
      <c r="LPP3" s="120"/>
      <c r="LPQ3" s="120"/>
      <c r="LPR3" s="120"/>
      <c r="LPS3" s="120"/>
      <c r="LPT3" s="120"/>
      <c r="LPU3" s="120"/>
      <c r="LPV3" s="120"/>
      <c r="LPW3" s="120"/>
      <c r="LPX3" s="120"/>
      <c r="LPY3" s="120"/>
      <c r="LPZ3" s="120"/>
      <c r="LQA3" s="120"/>
      <c r="LQB3" s="120"/>
      <c r="LQC3" s="120"/>
      <c r="LQD3" s="120"/>
      <c r="LQE3" s="120"/>
      <c r="LQF3" s="120"/>
      <c r="LQG3" s="120"/>
      <c r="LQH3" s="120"/>
      <c r="LQI3" s="120"/>
      <c r="LQJ3" s="120"/>
      <c r="LQK3" s="120"/>
      <c r="LQL3" s="120"/>
      <c r="LQM3" s="120"/>
      <c r="LQN3" s="120"/>
      <c r="LQO3" s="120"/>
      <c r="LQP3" s="120"/>
      <c r="LQQ3" s="120"/>
      <c r="LQR3" s="120"/>
      <c r="LQS3" s="120"/>
      <c r="LQT3" s="120"/>
      <c r="LQU3" s="120"/>
      <c r="LQV3" s="120"/>
      <c r="LQW3" s="120"/>
      <c r="LQX3" s="120"/>
      <c r="LQY3" s="120"/>
      <c r="LQZ3" s="120"/>
      <c r="LRA3" s="120"/>
      <c r="LRB3" s="120"/>
      <c r="LRC3" s="120"/>
      <c r="LRD3" s="120"/>
      <c r="LRE3" s="120"/>
      <c r="LRF3" s="120"/>
      <c r="LRG3" s="120"/>
      <c r="LRH3" s="120"/>
      <c r="LRI3" s="120"/>
      <c r="LRJ3" s="120"/>
      <c r="LRK3" s="120"/>
      <c r="LRL3" s="120"/>
      <c r="LRM3" s="120"/>
      <c r="LRN3" s="120"/>
      <c r="LRO3" s="120"/>
      <c r="LRP3" s="120"/>
      <c r="LRQ3" s="120"/>
      <c r="LRR3" s="120"/>
      <c r="LRS3" s="120"/>
      <c r="LRT3" s="120"/>
      <c r="LRU3" s="120"/>
      <c r="LRV3" s="120"/>
      <c r="LRW3" s="120"/>
      <c r="LRX3" s="120"/>
      <c r="LRY3" s="120"/>
      <c r="LRZ3" s="120"/>
      <c r="LSA3" s="120"/>
      <c r="LSB3" s="120"/>
      <c r="LSC3" s="120"/>
      <c r="LSD3" s="120"/>
      <c r="LSE3" s="120"/>
      <c r="LSF3" s="120"/>
      <c r="LSG3" s="120"/>
      <c r="LSH3" s="120"/>
      <c r="LSI3" s="120"/>
      <c r="LSJ3" s="120"/>
      <c r="LSK3" s="120"/>
      <c r="LSL3" s="120"/>
      <c r="LSM3" s="120"/>
      <c r="LSN3" s="120"/>
      <c r="LSO3" s="120"/>
      <c r="LSP3" s="120"/>
      <c r="LSQ3" s="120"/>
      <c r="LSR3" s="120"/>
      <c r="LSS3" s="120"/>
      <c r="LST3" s="120"/>
      <c r="LSU3" s="120"/>
      <c r="LSV3" s="120"/>
      <c r="LSW3" s="120"/>
      <c r="LSX3" s="120"/>
      <c r="LSY3" s="120"/>
      <c r="LSZ3" s="120"/>
      <c r="LTA3" s="120"/>
      <c r="LTB3" s="120"/>
      <c r="LTC3" s="120"/>
      <c r="LTD3" s="120"/>
      <c r="LTE3" s="120"/>
      <c r="LTF3" s="120"/>
      <c r="LTG3" s="120"/>
      <c r="LTH3" s="120"/>
      <c r="LTI3" s="120"/>
      <c r="LTJ3" s="120"/>
      <c r="LTK3" s="120"/>
      <c r="LTL3" s="120"/>
      <c r="LTM3" s="120"/>
      <c r="LTN3" s="120"/>
      <c r="LTO3" s="120"/>
      <c r="LTP3" s="120"/>
      <c r="LTQ3" s="120"/>
      <c r="LTR3" s="120"/>
      <c r="LTS3" s="120"/>
      <c r="LTT3" s="120"/>
      <c r="LTU3" s="120"/>
      <c r="LTV3" s="120"/>
      <c r="LTW3" s="120"/>
      <c r="LTX3" s="120"/>
      <c r="LTY3" s="120"/>
      <c r="LTZ3" s="120"/>
      <c r="LUA3" s="120"/>
      <c r="LUB3" s="120"/>
      <c r="LUC3" s="120"/>
      <c r="LUD3" s="120"/>
      <c r="LUE3" s="120"/>
      <c r="LUF3" s="120"/>
      <c r="LUG3" s="120"/>
      <c r="LUH3" s="120"/>
      <c r="LUI3" s="120"/>
      <c r="LUJ3" s="120"/>
      <c r="LUK3" s="120"/>
      <c r="LUL3" s="120"/>
      <c r="LUM3" s="120"/>
      <c r="LUN3" s="120"/>
      <c r="LUO3" s="120"/>
      <c r="LUP3" s="120"/>
      <c r="LUQ3" s="120"/>
      <c r="LUR3" s="120"/>
      <c r="LUS3" s="120"/>
      <c r="LUT3" s="120"/>
      <c r="LUU3" s="120"/>
      <c r="LUV3" s="120"/>
      <c r="LUW3" s="120"/>
      <c r="LUX3" s="120"/>
      <c r="LUY3" s="120"/>
      <c r="LUZ3" s="120"/>
      <c r="LVA3" s="120"/>
      <c r="LVB3" s="120"/>
      <c r="LVC3" s="120"/>
      <c r="LVD3" s="120"/>
      <c r="LVE3" s="120"/>
      <c r="LVF3" s="120"/>
      <c r="LVG3" s="120"/>
      <c r="LVH3" s="120"/>
      <c r="LVI3" s="120"/>
      <c r="LVJ3" s="120"/>
      <c r="LVK3" s="120"/>
      <c r="LVL3" s="120"/>
      <c r="LVM3" s="120"/>
      <c r="LVN3" s="120"/>
      <c r="LVO3" s="120"/>
      <c r="LVP3" s="120"/>
      <c r="LVQ3" s="120"/>
      <c r="LVR3" s="120"/>
      <c r="LVS3" s="120"/>
      <c r="LVT3" s="120"/>
      <c r="LVU3" s="120"/>
      <c r="LVV3" s="120"/>
      <c r="LVW3" s="120"/>
      <c r="LVX3" s="120"/>
      <c r="LVY3" s="120"/>
      <c r="LVZ3" s="120"/>
      <c r="LWA3" s="120"/>
      <c r="LWB3" s="120"/>
      <c r="LWC3" s="120"/>
      <c r="LWD3" s="120"/>
      <c r="LWE3" s="120"/>
      <c r="LWF3" s="120"/>
      <c r="LWG3" s="120"/>
      <c r="LWH3" s="120"/>
      <c r="LWI3" s="120"/>
      <c r="LWJ3" s="120"/>
      <c r="LWK3" s="120"/>
      <c r="LWL3" s="120"/>
      <c r="LWM3" s="120"/>
      <c r="LWN3" s="120"/>
      <c r="LWO3" s="120"/>
      <c r="LWP3" s="120"/>
      <c r="LWQ3" s="120"/>
      <c r="LWR3" s="120"/>
      <c r="LWS3" s="120"/>
      <c r="LWT3" s="120"/>
      <c r="LWU3" s="120"/>
      <c r="LWV3" s="120"/>
      <c r="LWW3" s="120"/>
      <c r="LWX3" s="120"/>
      <c r="LWY3" s="120"/>
      <c r="LWZ3" s="120"/>
      <c r="LXA3" s="120"/>
      <c r="LXB3" s="120"/>
      <c r="LXC3" s="120"/>
      <c r="LXD3" s="120"/>
      <c r="LXE3" s="120"/>
      <c r="LXF3" s="120"/>
      <c r="LXG3" s="120"/>
      <c r="LXH3" s="120"/>
      <c r="LXI3" s="120"/>
      <c r="LXJ3" s="120"/>
      <c r="LXK3" s="120"/>
      <c r="LXL3" s="120"/>
      <c r="LXM3" s="120"/>
      <c r="LXN3" s="120"/>
      <c r="LXO3" s="120"/>
      <c r="LXP3" s="120"/>
      <c r="LXQ3" s="120"/>
      <c r="LXR3" s="120"/>
      <c r="LXS3" s="120"/>
      <c r="LXT3" s="120"/>
      <c r="LXU3" s="120"/>
      <c r="LXV3" s="120"/>
      <c r="LXW3" s="120"/>
      <c r="LXX3" s="120"/>
      <c r="LXY3" s="120"/>
      <c r="LXZ3" s="120"/>
      <c r="LYA3" s="120"/>
      <c r="LYB3" s="120"/>
      <c r="LYC3" s="120"/>
      <c r="LYD3" s="120"/>
      <c r="LYE3" s="120"/>
      <c r="LYF3" s="120"/>
      <c r="LYG3" s="120"/>
      <c r="LYH3" s="120"/>
      <c r="LYI3" s="120"/>
      <c r="LYJ3" s="120"/>
      <c r="LYK3" s="120"/>
      <c r="LYL3" s="120"/>
      <c r="LYM3" s="120"/>
      <c r="LYN3" s="120"/>
      <c r="LYO3" s="120"/>
      <c r="LYP3" s="120"/>
      <c r="LYQ3" s="120"/>
      <c r="LYR3" s="120"/>
      <c r="LYS3" s="120"/>
      <c r="LYT3" s="120"/>
      <c r="LYU3" s="120"/>
      <c r="LYV3" s="120"/>
      <c r="LYW3" s="120"/>
      <c r="LYX3" s="120"/>
      <c r="LYY3" s="120"/>
      <c r="LYZ3" s="120"/>
      <c r="LZA3" s="120"/>
      <c r="LZB3" s="120"/>
      <c r="LZC3" s="120"/>
      <c r="LZD3" s="120"/>
      <c r="LZE3" s="120"/>
      <c r="LZF3" s="120"/>
      <c r="LZG3" s="120"/>
      <c r="LZH3" s="120"/>
      <c r="LZI3" s="120"/>
      <c r="LZJ3" s="120"/>
      <c r="LZK3" s="120"/>
      <c r="LZL3" s="120"/>
      <c r="LZM3" s="120"/>
      <c r="LZN3" s="120"/>
      <c r="LZO3" s="120"/>
      <c r="LZP3" s="120"/>
      <c r="LZQ3" s="120"/>
      <c r="LZR3" s="120"/>
      <c r="LZS3" s="120"/>
      <c r="LZT3" s="120"/>
      <c r="LZU3" s="120"/>
      <c r="LZV3" s="120"/>
      <c r="LZW3" s="120"/>
      <c r="LZX3" s="120"/>
      <c r="LZY3" s="120"/>
      <c r="LZZ3" s="120"/>
      <c r="MAA3" s="120"/>
      <c r="MAB3" s="120"/>
      <c r="MAC3" s="120"/>
      <c r="MAD3" s="120"/>
      <c r="MAE3" s="120"/>
      <c r="MAF3" s="120"/>
      <c r="MAG3" s="120"/>
      <c r="MAH3" s="120"/>
      <c r="MAI3" s="120"/>
      <c r="MAJ3" s="120"/>
      <c r="MAK3" s="120"/>
      <c r="MAL3" s="120"/>
      <c r="MAM3" s="120"/>
      <c r="MAN3" s="120"/>
      <c r="MAO3" s="120"/>
      <c r="MAP3" s="120"/>
      <c r="MAQ3" s="120"/>
      <c r="MAR3" s="120"/>
      <c r="MAS3" s="120"/>
      <c r="MAT3" s="120"/>
      <c r="MAU3" s="120"/>
      <c r="MAV3" s="120"/>
      <c r="MAW3" s="120"/>
      <c r="MAX3" s="120"/>
      <c r="MAY3" s="120"/>
      <c r="MAZ3" s="120"/>
      <c r="MBA3" s="120"/>
      <c r="MBB3" s="120"/>
      <c r="MBC3" s="120"/>
      <c r="MBD3" s="120"/>
      <c r="MBE3" s="120"/>
      <c r="MBF3" s="120"/>
      <c r="MBG3" s="120"/>
      <c r="MBH3" s="120"/>
      <c r="MBI3" s="120"/>
      <c r="MBJ3" s="120"/>
      <c r="MBK3" s="120"/>
      <c r="MBL3" s="120"/>
      <c r="MBM3" s="120"/>
      <c r="MBN3" s="120"/>
      <c r="MBO3" s="120"/>
      <c r="MBP3" s="120"/>
      <c r="MBQ3" s="120"/>
      <c r="MBR3" s="120"/>
      <c r="MBS3" s="120"/>
      <c r="MBT3" s="120"/>
      <c r="MBU3" s="120"/>
      <c r="MBV3" s="120"/>
      <c r="MBW3" s="120"/>
      <c r="MBX3" s="120"/>
      <c r="MBY3" s="120"/>
      <c r="MBZ3" s="120"/>
      <c r="MCA3" s="120"/>
      <c r="MCB3" s="120"/>
      <c r="MCC3" s="120"/>
      <c r="MCD3" s="120"/>
      <c r="MCE3" s="120"/>
      <c r="MCF3" s="120"/>
      <c r="MCG3" s="120"/>
      <c r="MCH3" s="120"/>
      <c r="MCI3" s="120"/>
      <c r="MCJ3" s="120"/>
      <c r="MCK3" s="120"/>
      <c r="MCL3" s="120"/>
      <c r="MCM3" s="120"/>
      <c r="MCN3" s="120"/>
      <c r="MCO3" s="120"/>
      <c r="MCP3" s="120"/>
      <c r="MCQ3" s="120"/>
      <c r="MCR3" s="120"/>
      <c r="MCS3" s="120"/>
      <c r="MCT3" s="120"/>
      <c r="MCU3" s="120"/>
      <c r="MCV3" s="120"/>
      <c r="MCW3" s="120"/>
      <c r="MCX3" s="120"/>
      <c r="MCY3" s="120"/>
      <c r="MCZ3" s="120"/>
      <c r="MDA3" s="120"/>
      <c r="MDB3" s="120"/>
      <c r="MDC3" s="120"/>
      <c r="MDD3" s="120"/>
      <c r="MDE3" s="120"/>
      <c r="MDF3" s="120"/>
      <c r="MDG3" s="120"/>
      <c r="MDH3" s="120"/>
      <c r="MDI3" s="120"/>
      <c r="MDJ3" s="120"/>
      <c r="MDK3" s="120"/>
      <c r="MDL3" s="120"/>
      <c r="MDM3" s="120"/>
      <c r="MDN3" s="120"/>
      <c r="MDO3" s="120"/>
      <c r="MDP3" s="120"/>
      <c r="MDQ3" s="120"/>
      <c r="MDR3" s="120"/>
      <c r="MDS3" s="120"/>
      <c r="MDT3" s="120"/>
      <c r="MDU3" s="120"/>
      <c r="MDV3" s="120"/>
      <c r="MDW3" s="120"/>
      <c r="MDX3" s="120"/>
      <c r="MDY3" s="120"/>
      <c r="MDZ3" s="120"/>
      <c r="MEA3" s="120"/>
      <c r="MEB3" s="120"/>
      <c r="MEC3" s="120"/>
      <c r="MED3" s="120"/>
      <c r="MEE3" s="120"/>
      <c r="MEF3" s="120"/>
      <c r="MEG3" s="120"/>
      <c r="MEH3" s="120"/>
      <c r="MEI3" s="120"/>
      <c r="MEJ3" s="120"/>
      <c r="MEK3" s="120"/>
      <c r="MEL3" s="120"/>
      <c r="MEM3" s="120"/>
      <c r="MEN3" s="120"/>
      <c r="MEO3" s="120"/>
      <c r="MEP3" s="120"/>
      <c r="MEQ3" s="120"/>
      <c r="MER3" s="120"/>
      <c r="MES3" s="120"/>
      <c r="MET3" s="120"/>
      <c r="MEU3" s="120"/>
      <c r="MEV3" s="120"/>
      <c r="MEW3" s="120"/>
      <c r="MEX3" s="120"/>
      <c r="MEY3" s="120"/>
      <c r="MEZ3" s="120"/>
      <c r="MFA3" s="120"/>
      <c r="MFB3" s="120"/>
      <c r="MFC3" s="120"/>
      <c r="MFD3" s="120"/>
      <c r="MFE3" s="120"/>
      <c r="MFF3" s="120"/>
      <c r="MFG3" s="120"/>
      <c r="MFH3" s="120"/>
      <c r="MFI3" s="120"/>
      <c r="MFJ3" s="120"/>
      <c r="MFK3" s="120"/>
      <c r="MFL3" s="120"/>
      <c r="MFM3" s="120"/>
      <c r="MFN3" s="120"/>
      <c r="MFO3" s="120"/>
      <c r="MFP3" s="120"/>
      <c r="MFQ3" s="120"/>
      <c r="MFR3" s="120"/>
      <c r="MFS3" s="120"/>
      <c r="MFT3" s="120"/>
      <c r="MFU3" s="120"/>
      <c r="MFV3" s="120"/>
      <c r="MFW3" s="120"/>
      <c r="MFX3" s="120"/>
      <c r="MFY3" s="120"/>
      <c r="MFZ3" s="120"/>
      <c r="MGA3" s="120"/>
      <c r="MGB3" s="120"/>
      <c r="MGC3" s="120"/>
      <c r="MGD3" s="120"/>
      <c r="MGE3" s="120"/>
      <c r="MGF3" s="120"/>
      <c r="MGG3" s="120"/>
      <c r="MGH3" s="120"/>
      <c r="MGI3" s="120"/>
      <c r="MGJ3" s="120"/>
      <c r="MGK3" s="120"/>
      <c r="MGL3" s="120"/>
      <c r="MGM3" s="120"/>
      <c r="MGN3" s="120"/>
      <c r="MGO3" s="120"/>
      <c r="MGP3" s="120"/>
      <c r="MGQ3" s="120"/>
      <c r="MGR3" s="120"/>
      <c r="MGS3" s="120"/>
      <c r="MGT3" s="120"/>
      <c r="MGU3" s="120"/>
      <c r="MGV3" s="120"/>
      <c r="MGW3" s="120"/>
      <c r="MGX3" s="120"/>
      <c r="MGY3" s="120"/>
      <c r="MGZ3" s="120"/>
      <c r="MHA3" s="120"/>
      <c r="MHB3" s="120"/>
      <c r="MHC3" s="120"/>
      <c r="MHD3" s="120"/>
      <c r="MHE3" s="120"/>
      <c r="MHF3" s="120"/>
      <c r="MHG3" s="120"/>
      <c r="MHH3" s="120"/>
      <c r="MHI3" s="120"/>
      <c r="MHJ3" s="120"/>
      <c r="MHK3" s="120"/>
      <c r="MHL3" s="120"/>
      <c r="MHM3" s="120"/>
      <c r="MHN3" s="120"/>
      <c r="MHO3" s="120"/>
      <c r="MHP3" s="120"/>
      <c r="MHQ3" s="120"/>
      <c r="MHR3" s="120"/>
      <c r="MHS3" s="120"/>
      <c r="MHT3" s="120"/>
      <c r="MHU3" s="120"/>
      <c r="MHV3" s="120"/>
      <c r="MHW3" s="120"/>
      <c r="MHX3" s="120"/>
      <c r="MHY3" s="120"/>
      <c r="MHZ3" s="120"/>
      <c r="MIA3" s="120"/>
      <c r="MIB3" s="120"/>
      <c r="MIC3" s="120"/>
      <c r="MID3" s="120"/>
      <c r="MIE3" s="120"/>
      <c r="MIF3" s="120"/>
      <c r="MIG3" s="120"/>
      <c r="MIH3" s="120"/>
      <c r="MII3" s="120"/>
      <c r="MIJ3" s="120"/>
      <c r="MIK3" s="120"/>
      <c r="MIL3" s="120"/>
      <c r="MIM3" s="120"/>
      <c r="MIN3" s="120"/>
      <c r="MIO3" s="120"/>
      <c r="MIP3" s="120"/>
      <c r="MIQ3" s="120"/>
      <c r="MIR3" s="120"/>
      <c r="MIS3" s="120"/>
      <c r="MIT3" s="120"/>
      <c r="MIU3" s="120"/>
      <c r="MIV3" s="120"/>
      <c r="MIW3" s="120"/>
      <c r="MIX3" s="120"/>
      <c r="MIY3" s="120"/>
      <c r="MIZ3" s="120"/>
      <c r="MJA3" s="120"/>
      <c r="MJB3" s="120"/>
      <c r="MJC3" s="120"/>
      <c r="MJD3" s="120"/>
      <c r="MJE3" s="120"/>
      <c r="MJF3" s="120"/>
      <c r="MJG3" s="120"/>
      <c r="MJH3" s="120"/>
      <c r="MJI3" s="120"/>
      <c r="MJJ3" s="120"/>
      <c r="MJK3" s="120"/>
      <c r="MJL3" s="120"/>
      <c r="MJM3" s="120"/>
      <c r="MJN3" s="120"/>
      <c r="MJO3" s="120"/>
      <c r="MJP3" s="120"/>
      <c r="MJQ3" s="120"/>
      <c r="MJR3" s="120"/>
      <c r="MJS3" s="120"/>
      <c r="MJT3" s="120"/>
      <c r="MJU3" s="120"/>
      <c r="MJV3" s="120"/>
      <c r="MJW3" s="120"/>
      <c r="MJX3" s="120"/>
      <c r="MJY3" s="120"/>
      <c r="MJZ3" s="120"/>
      <c r="MKA3" s="120"/>
      <c r="MKB3" s="120"/>
      <c r="MKC3" s="120"/>
      <c r="MKD3" s="120"/>
      <c r="MKE3" s="120"/>
      <c r="MKF3" s="120"/>
      <c r="MKG3" s="120"/>
      <c r="MKH3" s="120"/>
      <c r="MKI3" s="120"/>
      <c r="MKJ3" s="120"/>
      <c r="MKK3" s="120"/>
      <c r="MKL3" s="120"/>
      <c r="MKM3" s="120"/>
      <c r="MKN3" s="120"/>
      <c r="MKO3" s="120"/>
      <c r="MKP3" s="120"/>
      <c r="MKQ3" s="120"/>
      <c r="MKR3" s="120"/>
      <c r="MKS3" s="120"/>
      <c r="MKT3" s="120"/>
      <c r="MKU3" s="120"/>
      <c r="MKV3" s="120"/>
      <c r="MKW3" s="120"/>
      <c r="MKX3" s="120"/>
      <c r="MKY3" s="120"/>
      <c r="MKZ3" s="120"/>
      <c r="MLA3" s="120"/>
      <c r="MLB3" s="120"/>
      <c r="MLC3" s="120"/>
      <c r="MLD3" s="120"/>
      <c r="MLE3" s="120"/>
      <c r="MLF3" s="120"/>
      <c r="MLG3" s="120"/>
      <c r="MLH3" s="120"/>
      <c r="MLI3" s="120"/>
      <c r="MLJ3" s="120"/>
      <c r="MLK3" s="120"/>
      <c r="MLL3" s="120"/>
      <c r="MLM3" s="120"/>
      <c r="MLN3" s="120"/>
      <c r="MLO3" s="120"/>
      <c r="MLP3" s="120"/>
      <c r="MLQ3" s="120"/>
      <c r="MLR3" s="120"/>
      <c r="MLS3" s="120"/>
      <c r="MLT3" s="120"/>
      <c r="MLU3" s="120"/>
      <c r="MLV3" s="120"/>
      <c r="MLW3" s="120"/>
      <c r="MLX3" s="120"/>
      <c r="MLY3" s="120"/>
      <c r="MLZ3" s="120"/>
      <c r="MMA3" s="120"/>
      <c r="MMB3" s="120"/>
      <c r="MMC3" s="120"/>
      <c r="MMD3" s="120"/>
      <c r="MME3" s="120"/>
      <c r="MMF3" s="120"/>
      <c r="MMG3" s="120"/>
      <c r="MMH3" s="120"/>
      <c r="MMI3" s="120"/>
      <c r="MMJ3" s="120"/>
      <c r="MMK3" s="120"/>
      <c r="MML3" s="120"/>
      <c r="MMM3" s="120"/>
      <c r="MMN3" s="120"/>
      <c r="MMO3" s="120"/>
      <c r="MMP3" s="120"/>
      <c r="MMQ3" s="120"/>
      <c r="MMR3" s="120"/>
      <c r="MMS3" s="120"/>
      <c r="MMT3" s="120"/>
      <c r="MMU3" s="120"/>
      <c r="MMV3" s="120"/>
      <c r="MMW3" s="120"/>
      <c r="MMX3" s="120"/>
      <c r="MMY3" s="120"/>
      <c r="MMZ3" s="120"/>
      <c r="MNA3" s="120"/>
      <c r="MNB3" s="120"/>
      <c r="MNC3" s="120"/>
      <c r="MND3" s="120"/>
      <c r="MNE3" s="120"/>
      <c r="MNF3" s="120"/>
      <c r="MNG3" s="120"/>
      <c r="MNH3" s="120"/>
      <c r="MNI3" s="120"/>
      <c r="MNJ3" s="120"/>
      <c r="MNK3" s="120"/>
      <c r="MNL3" s="120"/>
      <c r="MNM3" s="120"/>
      <c r="MNN3" s="120"/>
      <c r="MNO3" s="120"/>
      <c r="MNP3" s="120"/>
      <c r="MNQ3" s="120"/>
      <c r="MNR3" s="120"/>
      <c r="MNS3" s="120"/>
      <c r="MNT3" s="120"/>
      <c r="MNU3" s="120"/>
      <c r="MNV3" s="120"/>
      <c r="MNW3" s="120"/>
      <c r="MNX3" s="120"/>
      <c r="MNY3" s="120"/>
      <c r="MNZ3" s="120"/>
      <c r="MOA3" s="120"/>
      <c r="MOB3" s="120"/>
      <c r="MOC3" s="120"/>
      <c r="MOD3" s="120"/>
      <c r="MOE3" s="120"/>
      <c r="MOF3" s="120"/>
      <c r="MOG3" s="120"/>
      <c r="MOH3" s="120"/>
      <c r="MOI3" s="120"/>
      <c r="MOJ3" s="120"/>
      <c r="MOK3" s="120"/>
      <c r="MOL3" s="120"/>
      <c r="MOM3" s="120"/>
      <c r="MON3" s="120"/>
      <c r="MOO3" s="120"/>
      <c r="MOP3" s="120"/>
      <c r="MOQ3" s="120"/>
      <c r="MOR3" s="120"/>
      <c r="MOS3" s="120"/>
      <c r="MOT3" s="120"/>
      <c r="MOU3" s="120"/>
      <c r="MOV3" s="120"/>
      <c r="MOW3" s="120"/>
      <c r="MOX3" s="120"/>
      <c r="MOY3" s="120"/>
      <c r="MOZ3" s="120"/>
      <c r="MPA3" s="120"/>
      <c r="MPB3" s="120"/>
      <c r="MPC3" s="120"/>
      <c r="MPD3" s="120"/>
      <c r="MPE3" s="120"/>
      <c r="MPF3" s="120"/>
      <c r="MPG3" s="120"/>
      <c r="MPH3" s="120"/>
      <c r="MPI3" s="120"/>
      <c r="MPJ3" s="120"/>
      <c r="MPK3" s="120"/>
      <c r="MPL3" s="120"/>
      <c r="MPM3" s="120"/>
      <c r="MPN3" s="120"/>
      <c r="MPO3" s="120"/>
      <c r="MPP3" s="120"/>
      <c r="MPQ3" s="120"/>
      <c r="MPR3" s="120"/>
      <c r="MPS3" s="120"/>
      <c r="MPT3" s="120"/>
      <c r="MPU3" s="120"/>
      <c r="MPV3" s="120"/>
      <c r="MPW3" s="120"/>
      <c r="MPX3" s="120"/>
      <c r="MPY3" s="120"/>
      <c r="MPZ3" s="120"/>
      <c r="MQA3" s="120"/>
      <c r="MQB3" s="120"/>
      <c r="MQC3" s="120"/>
      <c r="MQD3" s="120"/>
      <c r="MQE3" s="120"/>
      <c r="MQF3" s="120"/>
      <c r="MQG3" s="120"/>
      <c r="MQH3" s="120"/>
      <c r="MQI3" s="120"/>
      <c r="MQJ3" s="120"/>
      <c r="MQK3" s="120"/>
      <c r="MQL3" s="120"/>
      <c r="MQM3" s="120"/>
      <c r="MQN3" s="120"/>
      <c r="MQO3" s="120"/>
      <c r="MQP3" s="120"/>
      <c r="MQQ3" s="120"/>
      <c r="MQR3" s="120"/>
      <c r="MQS3" s="120"/>
      <c r="MQT3" s="120"/>
      <c r="MQU3" s="120"/>
      <c r="MQV3" s="120"/>
      <c r="MQW3" s="120"/>
      <c r="MQX3" s="120"/>
      <c r="MQY3" s="120"/>
      <c r="MQZ3" s="120"/>
      <c r="MRA3" s="120"/>
      <c r="MRB3" s="120"/>
      <c r="MRC3" s="120"/>
      <c r="MRD3" s="120"/>
      <c r="MRE3" s="120"/>
      <c r="MRF3" s="120"/>
      <c r="MRG3" s="120"/>
      <c r="MRH3" s="120"/>
      <c r="MRI3" s="120"/>
      <c r="MRJ3" s="120"/>
      <c r="MRK3" s="120"/>
      <c r="MRL3" s="120"/>
      <c r="MRM3" s="120"/>
      <c r="MRN3" s="120"/>
      <c r="MRO3" s="120"/>
      <c r="MRP3" s="120"/>
      <c r="MRQ3" s="120"/>
      <c r="MRR3" s="120"/>
      <c r="MRS3" s="120"/>
      <c r="MRT3" s="120"/>
      <c r="MRU3" s="120"/>
      <c r="MRV3" s="120"/>
      <c r="MRW3" s="120"/>
      <c r="MRX3" s="120"/>
      <c r="MRY3" s="120"/>
      <c r="MRZ3" s="120"/>
      <c r="MSA3" s="120"/>
      <c r="MSB3" s="120"/>
      <c r="MSC3" s="120"/>
      <c r="MSD3" s="120"/>
      <c r="MSE3" s="120"/>
      <c r="MSF3" s="120"/>
      <c r="MSG3" s="120"/>
      <c r="MSH3" s="120"/>
      <c r="MSI3" s="120"/>
      <c r="MSJ3" s="120"/>
      <c r="MSK3" s="120"/>
      <c r="MSL3" s="120"/>
      <c r="MSM3" s="120"/>
      <c r="MSN3" s="120"/>
      <c r="MSO3" s="120"/>
      <c r="MSP3" s="120"/>
      <c r="MSQ3" s="120"/>
      <c r="MSR3" s="120"/>
      <c r="MSS3" s="120"/>
      <c r="MST3" s="120"/>
      <c r="MSU3" s="120"/>
      <c r="MSV3" s="120"/>
      <c r="MSW3" s="120"/>
      <c r="MSX3" s="120"/>
      <c r="MSY3" s="120"/>
      <c r="MSZ3" s="120"/>
      <c r="MTA3" s="120"/>
      <c r="MTB3" s="120"/>
      <c r="MTC3" s="120"/>
      <c r="MTD3" s="120"/>
      <c r="MTE3" s="120"/>
      <c r="MTF3" s="120"/>
      <c r="MTG3" s="120"/>
      <c r="MTH3" s="120"/>
      <c r="MTI3" s="120"/>
      <c r="MTJ3" s="120"/>
      <c r="MTK3" s="120"/>
      <c r="MTL3" s="120"/>
      <c r="MTM3" s="120"/>
      <c r="MTN3" s="120"/>
      <c r="MTO3" s="120"/>
      <c r="MTP3" s="120"/>
      <c r="MTQ3" s="120"/>
      <c r="MTR3" s="120"/>
      <c r="MTS3" s="120"/>
      <c r="MTT3" s="120"/>
      <c r="MTU3" s="120"/>
      <c r="MTV3" s="120"/>
      <c r="MTW3" s="120"/>
      <c r="MTX3" s="120"/>
      <c r="MTY3" s="120"/>
      <c r="MTZ3" s="120"/>
      <c r="MUA3" s="120"/>
      <c r="MUB3" s="120"/>
      <c r="MUC3" s="120"/>
      <c r="MUD3" s="120"/>
      <c r="MUE3" s="120"/>
      <c r="MUF3" s="120"/>
      <c r="MUG3" s="120"/>
      <c r="MUH3" s="120"/>
      <c r="MUI3" s="120"/>
      <c r="MUJ3" s="120"/>
      <c r="MUK3" s="120"/>
      <c r="MUL3" s="120"/>
      <c r="MUM3" s="120"/>
      <c r="MUN3" s="120"/>
      <c r="MUO3" s="120"/>
      <c r="MUP3" s="120"/>
      <c r="MUQ3" s="120"/>
      <c r="MUR3" s="120"/>
      <c r="MUS3" s="120"/>
      <c r="MUT3" s="120"/>
      <c r="MUU3" s="120"/>
      <c r="MUV3" s="120"/>
      <c r="MUW3" s="120"/>
      <c r="MUX3" s="120"/>
      <c r="MUY3" s="120"/>
      <c r="MUZ3" s="120"/>
      <c r="MVA3" s="120"/>
      <c r="MVB3" s="120"/>
      <c r="MVC3" s="120"/>
      <c r="MVD3" s="120"/>
      <c r="MVE3" s="120"/>
      <c r="MVF3" s="120"/>
      <c r="MVG3" s="120"/>
      <c r="MVH3" s="120"/>
      <c r="MVI3" s="120"/>
      <c r="MVJ3" s="120"/>
      <c r="MVK3" s="120"/>
      <c r="MVL3" s="120"/>
      <c r="MVM3" s="120"/>
      <c r="MVN3" s="120"/>
      <c r="MVO3" s="120"/>
      <c r="MVP3" s="120"/>
      <c r="MVQ3" s="120"/>
      <c r="MVR3" s="120"/>
      <c r="MVS3" s="120"/>
      <c r="MVT3" s="120"/>
      <c r="MVU3" s="120"/>
      <c r="MVV3" s="120"/>
      <c r="MVW3" s="120"/>
      <c r="MVX3" s="120"/>
      <c r="MVY3" s="120"/>
      <c r="MVZ3" s="120"/>
      <c r="MWA3" s="120"/>
      <c r="MWB3" s="120"/>
      <c r="MWC3" s="120"/>
      <c r="MWD3" s="120"/>
      <c r="MWE3" s="120"/>
      <c r="MWF3" s="120"/>
      <c r="MWG3" s="120"/>
      <c r="MWH3" s="120"/>
      <c r="MWI3" s="120"/>
      <c r="MWJ3" s="120"/>
      <c r="MWK3" s="120"/>
      <c r="MWL3" s="120"/>
      <c r="MWM3" s="120"/>
      <c r="MWN3" s="120"/>
      <c r="MWO3" s="120"/>
      <c r="MWP3" s="120"/>
      <c r="MWQ3" s="120"/>
      <c r="MWR3" s="120"/>
      <c r="MWS3" s="120"/>
      <c r="MWT3" s="120"/>
      <c r="MWU3" s="120"/>
      <c r="MWV3" s="120"/>
      <c r="MWW3" s="120"/>
      <c r="MWX3" s="120"/>
      <c r="MWY3" s="120"/>
      <c r="MWZ3" s="120"/>
      <c r="MXA3" s="120"/>
      <c r="MXB3" s="120"/>
      <c r="MXC3" s="120"/>
      <c r="MXD3" s="120"/>
      <c r="MXE3" s="120"/>
      <c r="MXF3" s="120"/>
      <c r="MXG3" s="120"/>
      <c r="MXH3" s="120"/>
      <c r="MXI3" s="120"/>
      <c r="MXJ3" s="120"/>
      <c r="MXK3" s="120"/>
      <c r="MXL3" s="120"/>
      <c r="MXM3" s="120"/>
      <c r="MXN3" s="120"/>
      <c r="MXO3" s="120"/>
      <c r="MXP3" s="120"/>
      <c r="MXQ3" s="120"/>
      <c r="MXR3" s="120"/>
      <c r="MXS3" s="120"/>
      <c r="MXT3" s="120"/>
      <c r="MXU3" s="120"/>
      <c r="MXV3" s="120"/>
      <c r="MXW3" s="120"/>
      <c r="MXX3" s="120"/>
      <c r="MXY3" s="120"/>
      <c r="MXZ3" s="120"/>
      <c r="MYA3" s="120"/>
      <c r="MYB3" s="120"/>
      <c r="MYC3" s="120"/>
      <c r="MYD3" s="120"/>
      <c r="MYE3" s="120"/>
      <c r="MYF3" s="120"/>
      <c r="MYG3" s="120"/>
      <c r="MYH3" s="120"/>
      <c r="MYI3" s="120"/>
      <c r="MYJ3" s="120"/>
      <c r="MYK3" s="120"/>
      <c r="MYL3" s="120"/>
      <c r="MYM3" s="120"/>
      <c r="MYN3" s="120"/>
      <c r="MYO3" s="120"/>
      <c r="MYP3" s="120"/>
      <c r="MYQ3" s="120"/>
      <c r="MYR3" s="120"/>
      <c r="MYS3" s="120"/>
      <c r="MYT3" s="120"/>
      <c r="MYU3" s="120"/>
      <c r="MYV3" s="120"/>
      <c r="MYW3" s="120"/>
      <c r="MYX3" s="120"/>
      <c r="MYY3" s="120"/>
      <c r="MYZ3" s="120"/>
      <c r="MZA3" s="120"/>
      <c r="MZB3" s="120"/>
      <c r="MZC3" s="120"/>
      <c r="MZD3" s="120"/>
      <c r="MZE3" s="120"/>
      <c r="MZF3" s="120"/>
      <c r="MZG3" s="120"/>
      <c r="MZH3" s="120"/>
      <c r="MZI3" s="120"/>
      <c r="MZJ3" s="120"/>
      <c r="MZK3" s="120"/>
      <c r="MZL3" s="120"/>
      <c r="MZM3" s="120"/>
      <c r="MZN3" s="120"/>
      <c r="MZO3" s="120"/>
      <c r="MZP3" s="120"/>
      <c r="MZQ3" s="120"/>
      <c r="MZR3" s="120"/>
      <c r="MZS3" s="120"/>
      <c r="MZT3" s="120"/>
      <c r="MZU3" s="120"/>
      <c r="MZV3" s="120"/>
      <c r="MZW3" s="120"/>
      <c r="MZX3" s="120"/>
      <c r="MZY3" s="120"/>
      <c r="MZZ3" s="120"/>
      <c r="NAA3" s="120"/>
      <c r="NAB3" s="120"/>
      <c r="NAC3" s="120"/>
      <c r="NAD3" s="120"/>
      <c r="NAE3" s="120"/>
      <c r="NAF3" s="120"/>
      <c r="NAG3" s="120"/>
      <c r="NAH3" s="120"/>
      <c r="NAI3" s="120"/>
      <c r="NAJ3" s="120"/>
      <c r="NAK3" s="120"/>
      <c r="NAL3" s="120"/>
      <c r="NAM3" s="120"/>
      <c r="NAN3" s="120"/>
      <c r="NAO3" s="120"/>
      <c r="NAP3" s="120"/>
      <c r="NAQ3" s="120"/>
      <c r="NAR3" s="120"/>
      <c r="NAS3" s="120"/>
      <c r="NAT3" s="120"/>
      <c r="NAU3" s="120"/>
      <c r="NAV3" s="120"/>
      <c r="NAW3" s="120"/>
      <c r="NAX3" s="120"/>
      <c r="NAY3" s="120"/>
      <c r="NAZ3" s="120"/>
      <c r="NBA3" s="120"/>
      <c r="NBB3" s="120"/>
      <c r="NBC3" s="120"/>
      <c r="NBD3" s="120"/>
      <c r="NBE3" s="120"/>
      <c r="NBF3" s="120"/>
      <c r="NBG3" s="120"/>
      <c r="NBH3" s="120"/>
      <c r="NBI3" s="120"/>
      <c r="NBJ3" s="120"/>
      <c r="NBK3" s="120"/>
      <c r="NBL3" s="120"/>
      <c r="NBM3" s="120"/>
      <c r="NBN3" s="120"/>
      <c r="NBO3" s="120"/>
      <c r="NBP3" s="120"/>
      <c r="NBQ3" s="120"/>
      <c r="NBR3" s="120"/>
      <c r="NBS3" s="120"/>
      <c r="NBT3" s="120"/>
      <c r="NBU3" s="120"/>
      <c r="NBV3" s="120"/>
      <c r="NBW3" s="120"/>
      <c r="NBX3" s="120"/>
      <c r="NBY3" s="120"/>
      <c r="NBZ3" s="120"/>
      <c r="NCA3" s="120"/>
      <c r="NCB3" s="120"/>
      <c r="NCC3" s="120"/>
      <c r="NCD3" s="120"/>
      <c r="NCE3" s="120"/>
      <c r="NCF3" s="120"/>
      <c r="NCG3" s="120"/>
      <c r="NCH3" s="120"/>
      <c r="NCI3" s="120"/>
      <c r="NCJ3" s="120"/>
      <c r="NCK3" s="120"/>
      <c r="NCL3" s="120"/>
      <c r="NCM3" s="120"/>
      <c r="NCN3" s="120"/>
      <c r="NCO3" s="120"/>
      <c r="NCP3" s="120"/>
      <c r="NCQ3" s="120"/>
      <c r="NCR3" s="120"/>
      <c r="NCS3" s="120"/>
      <c r="NCT3" s="120"/>
      <c r="NCU3" s="120"/>
      <c r="NCV3" s="120"/>
      <c r="NCW3" s="120"/>
      <c r="NCX3" s="120"/>
      <c r="NCY3" s="120"/>
      <c r="NCZ3" s="120"/>
      <c r="NDA3" s="120"/>
      <c r="NDB3" s="120"/>
      <c r="NDC3" s="120"/>
      <c r="NDD3" s="120"/>
      <c r="NDE3" s="120"/>
      <c r="NDF3" s="120"/>
      <c r="NDG3" s="120"/>
      <c r="NDH3" s="120"/>
      <c r="NDI3" s="120"/>
      <c r="NDJ3" s="120"/>
      <c r="NDK3" s="120"/>
      <c r="NDL3" s="120"/>
      <c r="NDM3" s="120"/>
      <c r="NDN3" s="120"/>
      <c r="NDO3" s="120"/>
      <c r="NDP3" s="120"/>
      <c r="NDQ3" s="120"/>
      <c r="NDR3" s="120"/>
      <c r="NDS3" s="120"/>
      <c r="NDT3" s="120"/>
      <c r="NDU3" s="120"/>
      <c r="NDV3" s="120"/>
      <c r="NDW3" s="120"/>
      <c r="NDX3" s="120"/>
      <c r="NDY3" s="120"/>
      <c r="NDZ3" s="120"/>
      <c r="NEA3" s="120"/>
      <c r="NEB3" s="120"/>
      <c r="NEC3" s="120"/>
      <c r="NED3" s="120"/>
      <c r="NEE3" s="120"/>
      <c r="NEF3" s="120"/>
      <c r="NEG3" s="120"/>
      <c r="NEH3" s="120"/>
      <c r="NEI3" s="120"/>
      <c r="NEJ3" s="120"/>
      <c r="NEK3" s="120"/>
      <c r="NEL3" s="120"/>
      <c r="NEM3" s="120"/>
      <c r="NEN3" s="120"/>
      <c r="NEO3" s="120"/>
      <c r="NEP3" s="120"/>
      <c r="NEQ3" s="120"/>
      <c r="NER3" s="120"/>
      <c r="NES3" s="120"/>
      <c r="NET3" s="120"/>
      <c r="NEU3" s="120"/>
      <c r="NEV3" s="120"/>
      <c r="NEW3" s="120"/>
      <c r="NEX3" s="120"/>
      <c r="NEY3" s="120"/>
      <c r="NEZ3" s="120"/>
      <c r="NFA3" s="120"/>
      <c r="NFB3" s="120"/>
      <c r="NFC3" s="120"/>
      <c r="NFD3" s="120"/>
      <c r="NFE3" s="120"/>
      <c r="NFF3" s="120"/>
      <c r="NFG3" s="120"/>
      <c r="NFH3" s="120"/>
      <c r="NFI3" s="120"/>
      <c r="NFJ3" s="120"/>
      <c r="NFK3" s="120"/>
      <c r="NFL3" s="120"/>
      <c r="NFM3" s="120"/>
      <c r="NFN3" s="120"/>
      <c r="NFO3" s="120"/>
      <c r="NFP3" s="120"/>
      <c r="NFQ3" s="120"/>
      <c r="NFR3" s="120"/>
      <c r="NFS3" s="120"/>
      <c r="NFT3" s="120"/>
      <c r="NFU3" s="120"/>
      <c r="NFV3" s="120"/>
      <c r="NFW3" s="120"/>
      <c r="NFX3" s="120"/>
      <c r="NFY3" s="120"/>
      <c r="NFZ3" s="120"/>
      <c r="NGA3" s="120"/>
      <c r="NGB3" s="120"/>
      <c r="NGC3" s="120"/>
      <c r="NGD3" s="120"/>
      <c r="NGE3" s="120"/>
      <c r="NGF3" s="120"/>
      <c r="NGG3" s="120"/>
      <c r="NGH3" s="120"/>
      <c r="NGI3" s="120"/>
      <c r="NGJ3" s="120"/>
      <c r="NGK3" s="120"/>
      <c r="NGL3" s="120"/>
      <c r="NGM3" s="120"/>
      <c r="NGN3" s="120"/>
      <c r="NGO3" s="120"/>
      <c r="NGP3" s="120"/>
      <c r="NGQ3" s="120"/>
      <c r="NGR3" s="120"/>
      <c r="NGS3" s="120"/>
      <c r="NGT3" s="120"/>
      <c r="NGU3" s="120"/>
      <c r="NGV3" s="120"/>
      <c r="NGW3" s="120"/>
      <c r="NGX3" s="120"/>
      <c r="NGY3" s="120"/>
      <c r="NGZ3" s="120"/>
      <c r="NHA3" s="120"/>
      <c r="NHB3" s="120"/>
      <c r="NHC3" s="120"/>
      <c r="NHD3" s="120"/>
      <c r="NHE3" s="120"/>
      <c r="NHF3" s="120"/>
      <c r="NHG3" s="120"/>
      <c r="NHH3" s="120"/>
      <c r="NHI3" s="120"/>
      <c r="NHJ3" s="120"/>
      <c r="NHK3" s="120"/>
      <c r="NHL3" s="120"/>
      <c r="NHM3" s="120"/>
      <c r="NHN3" s="120"/>
      <c r="NHO3" s="120"/>
      <c r="NHP3" s="120"/>
      <c r="NHQ3" s="120"/>
      <c r="NHR3" s="120"/>
      <c r="NHS3" s="120"/>
      <c r="NHT3" s="120"/>
      <c r="NHU3" s="120"/>
      <c r="NHV3" s="120"/>
      <c r="NHW3" s="120"/>
      <c r="NHX3" s="120"/>
      <c r="NHY3" s="120"/>
      <c r="NHZ3" s="120"/>
      <c r="NIA3" s="120"/>
      <c r="NIB3" s="120"/>
      <c r="NIC3" s="120"/>
      <c r="NID3" s="120"/>
      <c r="NIE3" s="120"/>
      <c r="NIF3" s="120"/>
      <c r="NIG3" s="120"/>
      <c r="NIH3" s="120"/>
      <c r="NII3" s="120"/>
      <c r="NIJ3" s="120"/>
      <c r="NIK3" s="120"/>
      <c r="NIL3" s="120"/>
      <c r="NIM3" s="120"/>
      <c r="NIN3" s="120"/>
      <c r="NIO3" s="120"/>
      <c r="NIP3" s="120"/>
      <c r="NIQ3" s="120"/>
      <c r="NIR3" s="120"/>
      <c r="NIS3" s="120"/>
      <c r="NIT3" s="120"/>
      <c r="NIU3" s="120"/>
      <c r="NIV3" s="120"/>
      <c r="NIW3" s="120"/>
      <c r="NIX3" s="120"/>
      <c r="NIY3" s="120"/>
      <c r="NIZ3" s="120"/>
      <c r="NJA3" s="120"/>
      <c r="NJB3" s="120"/>
      <c r="NJC3" s="120"/>
      <c r="NJD3" s="120"/>
      <c r="NJE3" s="120"/>
      <c r="NJF3" s="120"/>
      <c r="NJG3" s="120"/>
      <c r="NJH3" s="120"/>
      <c r="NJI3" s="120"/>
      <c r="NJJ3" s="120"/>
      <c r="NJK3" s="120"/>
      <c r="NJL3" s="120"/>
      <c r="NJM3" s="120"/>
      <c r="NJN3" s="120"/>
      <c r="NJO3" s="120"/>
      <c r="NJP3" s="120"/>
      <c r="NJQ3" s="120"/>
      <c r="NJR3" s="120"/>
      <c r="NJS3" s="120"/>
      <c r="NJT3" s="120"/>
      <c r="NJU3" s="120"/>
      <c r="NJV3" s="120"/>
      <c r="NJW3" s="120"/>
      <c r="NJX3" s="120"/>
      <c r="NJY3" s="120"/>
      <c r="NJZ3" s="120"/>
      <c r="NKA3" s="120"/>
      <c r="NKB3" s="120"/>
      <c r="NKC3" s="120"/>
      <c r="NKD3" s="120"/>
      <c r="NKE3" s="120"/>
      <c r="NKF3" s="120"/>
      <c r="NKG3" s="120"/>
      <c r="NKH3" s="120"/>
      <c r="NKI3" s="120"/>
      <c r="NKJ3" s="120"/>
      <c r="NKK3" s="120"/>
      <c r="NKL3" s="120"/>
      <c r="NKM3" s="120"/>
      <c r="NKN3" s="120"/>
      <c r="NKO3" s="120"/>
      <c r="NKP3" s="120"/>
      <c r="NKQ3" s="120"/>
      <c r="NKR3" s="120"/>
      <c r="NKS3" s="120"/>
      <c r="NKT3" s="120"/>
      <c r="NKU3" s="120"/>
      <c r="NKV3" s="120"/>
      <c r="NKW3" s="120"/>
      <c r="NKX3" s="120"/>
      <c r="NKY3" s="120"/>
      <c r="NKZ3" s="120"/>
      <c r="NLA3" s="120"/>
      <c r="NLB3" s="120"/>
      <c r="NLC3" s="120"/>
      <c r="NLD3" s="120"/>
      <c r="NLE3" s="120"/>
      <c r="NLF3" s="120"/>
      <c r="NLG3" s="120"/>
      <c r="NLH3" s="120"/>
      <c r="NLI3" s="120"/>
      <c r="NLJ3" s="120"/>
      <c r="NLK3" s="120"/>
      <c r="NLL3" s="120"/>
      <c r="NLM3" s="120"/>
      <c r="NLN3" s="120"/>
      <c r="NLO3" s="120"/>
      <c r="NLP3" s="120"/>
      <c r="NLQ3" s="120"/>
      <c r="NLR3" s="120"/>
      <c r="NLS3" s="120"/>
      <c r="NLT3" s="120"/>
      <c r="NLU3" s="120"/>
      <c r="NLV3" s="120"/>
      <c r="NLW3" s="120"/>
      <c r="NLX3" s="120"/>
      <c r="NLY3" s="120"/>
      <c r="NLZ3" s="120"/>
      <c r="NMA3" s="120"/>
      <c r="NMB3" s="120"/>
      <c r="NMC3" s="120"/>
      <c r="NMD3" s="120"/>
      <c r="NME3" s="120"/>
      <c r="NMF3" s="120"/>
      <c r="NMG3" s="120"/>
      <c r="NMH3" s="120"/>
      <c r="NMI3" s="120"/>
      <c r="NMJ3" s="120"/>
      <c r="NMK3" s="120"/>
      <c r="NML3" s="120"/>
      <c r="NMM3" s="120"/>
      <c r="NMN3" s="120"/>
      <c r="NMO3" s="120"/>
      <c r="NMP3" s="120"/>
      <c r="NMQ3" s="120"/>
      <c r="NMR3" s="120"/>
      <c r="NMS3" s="120"/>
      <c r="NMT3" s="120"/>
      <c r="NMU3" s="120"/>
      <c r="NMV3" s="120"/>
      <c r="NMW3" s="120"/>
      <c r="NMX3" s="120"/>
      <c r="NMY3" s="120"/>
      <c r="NMZ3" s="120"/>
      <c r="NNA3" s="120"/>
      <c r="NNB3" s="120"/>
      <c r="NNC3" s="120"/>
      <c r="NND3" s="120"/>
      <c r="NNE3" s="120"/>
      <c r="NNF3" s="120"/>
      <c r="NNG3" s="120"/>
      <c r="NNH3" s="120"/>
      <c r="NNI3" s="120"/>
      <c r="NNJ3" s="120"/>
      <c r="NNK3" s="120"/>
      <c r="NNL3" s="120"/>
      <c r="NNM3" s="120"/>
      <c r="NNN3" s="120"/>
      <c r="NNO3" s="120"/>
      <c r="NNP3" s="120"/>
      <c r="NNQ3" s="120"/>
      <c r="NNR3" s="120"/>
      <c r="NNS3" s="120"/>
      <c r="NNT3" s="120"/>
      <c r="NNU3" s="120"/>
      <c r="NNV3" s="120"/>
      <c r="NNW3" s="120"/>
      <c r="NNX3" s="120"/>
      <c r="NNY3" s="120"/>
      <c r="NNZ3" s="120"/>
      <c r="NOA3" s="120"/>
      <c r="NOB3" s="120"/>
      <c r="NOC3" s="120"/>
      <c r="NOD3" s="120"/>
      <c r="NOE3" s="120"/>
      <c r="NOF3" s="120"/>
      <c r="NOG3" s="120"/>
      <c r="NOH3" s="120"/>
      <c r="NOI3" s="120"/>
      <c r="NOJ3" s="120"/>
      <c r="NOK3" s="120"/>
      <c r="NOL3" s="120"/>
      <c r="NOM3" s="120"/>
      <c r="NON3" s="120"/>
      <c r="NOO3" s="120"/>
      <c r="NOP3" s="120"/>
      <c r="NOQ3" s="120"/>
      <c r="NOR3" s="120"/>
      <c r="NOS3" s="120"/>
      <c r="NOT3" s="120"/>
      <c r="NOU3" s="120"/>
      <c r="NOV3" s="120"/>
      <c r="NOW3" s="120"/>
      <c r="NOX3" s="120"/>
      <c r="NOY3" s="120"/>
      <c r="NOZ3" s="120"/>
      <c r="NPA3" s="120"/>
      <c r="NPB3" s="120"/>
      <c r="NPC3" s="120"/>
      <c r="NPD3" s="120"/>
      <c r="NPE3" s="120"/>
      <c r="NPF3" s="120"/>
      <c r="NPG3" s="120"/>
      <c r="NPH3" s="120"/>
      <c r="NPI3" s="120"/>
      <c r="NPJ3" s="120"/>
      <c r="NPK3" s="120"/>
      <c r="NPL3" s="120"/>
      <c r="NPM3" s="120"/>
      <c r="NPN3" s="120"/>
      <c r="NPO3" s="120"/>
      <c r="NPP3" s="120"/>
      <c r="NPQ3" s="120"/>
      <c r="NPR3" s="120"/>
      <c r="NPS3" s="120"/>
      <c r="NPT3" s="120"/>
      <c r="NPU3" s="120"/>
      <c r="NPV3" s="120"/>
      <c r="NPW3" s="120"/>
      <c r="NPX3" s="120"/>
      <c r="NPY3" s="120"/>
      <c r="NPZ3" s="120"/>
      <c r="NQA3" s="120"/>
      <c r="NQB3" s="120"/>
      <c r="NQC3" s="120"/>
      <c r="NQD3" s="120"/>
      <c r="NQE3" s="120"/>
      <c r="NQF3" s="120"/>
      <c r="NQG3" s="120"/>
      <c r="NQH3" s="120"/>
      <c r="NQI3" s="120"/>
      <c r="NQJ3" s="120"/>
      <c r="NQK3" s="120"/>
      <c r="NQL3" s="120"/>
      <c r="NQM3" s="120"/>
      <c r="NQN3" s="120"/>
      <c r="NQO3" s="120"/>
      <c r="NQP3" s="120"/>
      <c r="NQQ3" s="120"/>
      <c r="NQR3" s="120"/>
      <c r="NQS3" s="120"/>
      <c r="NQT3" s="120"/>
      <c r="NQU3" s="120"/>
      <c r="NQV3" s="120"/>
      <c r="NQW3" s="120"/>
      <c r="NQX3" s="120"/>
      <c r="NQY3" s="120"/>
      <c r="NQZ3" s="120"/>
      <c r="NRA3" s="120"/>
      <c r="NRB3" s="120"/>
      <c r="NRC3" s="120"/>
      <c r="NRD3" s="120"/>
      <c r="NRE3" s="120"/>
      <c r="NRF3" s="120"/>
      <c r="NRG3" s="120"/>
      <c r="NRH3" s="120"/>
      <c r="NRI3" s="120"/>
      <c r="NRJ3" s="120"/>
      <c r="NRK3" s="120"/>
      <c r="NRL3" s="120"/>
      <c r="NRM3" s="120"/>
      <c r="NRN3" s="120"/>
      <c r="NRO3" s="120"/>
      <c r="NRP3" s="120"/>
      <c r="NRQ3" s="120"/>
      <c r="NRR3" s="120"/>
      <c r="NRS3" s="120"/>
      <c r="NRT3" s="120"/>
      <c r="NRU3" s="120"/>
      <c r="NRV3" s="120"/>
      <c r="NRW3" s="120"/>
      <c r="NRX3" s="120"/>
      <c r="NRY3" s="120"/>
      <c r="NRZ3" s="120"/>
      <c r="NSA3" s="120"/>
      <c r="NSB3" s="120"/>
      <c r="NSC3" s="120"/>
      <c r="NSD3" s="120"/>
      <c r="NSE3" s="120"/>
      <c r="NSF3" s="120"/>
      <c r="NSG3" s="120"/>
      <c r="NSH3" s="120"/>
      <c r="NSI3" s="120"/>
      <c r="NSJ3" s="120"/>
      <c r="NSK3" s="120"/>
      <c r="NSL3" s="120"/>
      <c r="NSM3" s="120"/>
      <c r="NSN3" s="120"/>
      <c r="NSO3" s="120"/>
      <c r="NSP3" s="120"/>
      <c r="NSQ3" s="120"/>
      <c r="NSR3" s="120"/>
      <c r="NSS3" s="120"/>
      <c r="NST3" s="120"/>
      <c r="NSU3" s="120"/>
      <c r="NSV3" s="120"/>
      <c r="NSW3" s="120"/>
      <c r="NSX3" s="120"/>
      <c r="NSY3" s="120"/>
      <c r="NSZ3" s="120"/>
      <c r="NTA3" s="120"/>
      <c r="NTB3" s="120"/>
      <c r="NTC3" s="120"/>
      <c r="NTD3" s="120"/>
      <c r="NTE3" s="120"/>
      <c r="NTF3" s="120"/>
      <c r="NTG3" s="120"/>
      <c r="NTH3" s="120"/>
      <c r="NTI3" s="120"/>
      <c r="NTJ3" s="120"/>
      <c r="NTK3" s="120"/>
      <c r="NTL3" s="120"/>
      <c r="NTM3" s="120"/>
      <c r="NTN3" s="120"/>
      <c r="NTO3" s="120"/>
      <c r="NTP3" s="120"/>
      <c r="NTQ3" s="120"/>
      <c r="NTR3" s="120"/>
      <c r="NTS3" s="120"/>
      <c r="NTT3" s="120"/>
      <c r="NTU3" s="120"/>
      <c r="NTV3" s="120"/>
      <c r="NTW3" s="120"/>
      <c r="NTX3" s="120"/>
      <c r="NTY3" s="120"/>
      <c r="NTZ3" s="120"/>
      <c r="NUA3" s="120"/>
      <c r="NUB3" s="120"/>
      <c r="NUC3" s="120"/>
      <c r="NUD3" s="120"/>
      <c r="NUE3" s="120"/>
      <c r="NUF3" s="120"/>
      <c r="NUG3" s="120"/>
      <c r="NUH3" s="120"/>
      <c r="NUI3" s="120"/>
      <c r="NUJ3" s="120"/>
      <c r="NUK3" s="120"/>
      <c r="NUL3" s="120"/>
      <c r="NUM3" s="120"/>
      <c r="NUN3" s="120"/>
      <c r="NUO3" s="120"/>
      <c r="NUP3" s="120"/>
      <c r="NUQ3" s="120"/>
      <c r="NUR3" s="120"/>
      <c r="NUS3" s="120"/>
      <c r="NUT3" s="120"/>
      <c r="NUU3" s="120"/>
      <c r="NUV3" s="120"/>
      <c r="NUW3" s="120"/>
      <c r="NUX3" s="120"/>
      <c r="NUY3" s="120"/>
      <c r="NUZ3" s="120"/>
      <c r="NVA3" s="120"/>
      <c r="NVB3" s="120"/>
      <c r="NVC3" s="120"/>
      <c r="NVD3" s="120"/>
      <c r="NVE3" s="120"/>
      <c r="NVF3" s="120"/>
      <c r="NVG3" s="120"/>
      <c r="NVH3" s="120"/>
      <c r="NVI3" s="120"/>
      <c r="NVJ3" s="120"/>
      <c r="NVK3" s="120"/>
      <c r="NVL3" s="120"/>
      <c r="NVM3" s="120"/>
      <c r="NVN3" s="120"/>
      <c r="NVO3" s="120"/>
      <c r="NVP3" s="120"/>
      <c r="NVQ3" s="120"/>
      <c r="NVR3" s="120"/>
      <c r="NVS3" s="120"/>
      <c r="NVT3" s="120"/>
      <c r="NVU3" s="120"/>
      <c r="NVV3" s="120"/>
      <c r="NVW3" s="120"/>
      <c r="NVX3" s="120"/>
      <c r="NVY3" s="120"/>
      <c r="NVZ3" s="120"/>
      <c r="NWA3" s="120"/>
      <c r="NWB3" s="120"/>
      <c r="NWC3" s="120"/>
      <c r="NWD3" s="120"/>
      <c r="NWE3" s="120"/>
      <c r="NWF3" s="120"/>
      <c r="NWG3" s="120"/>
      <c r="NWH3" s="120"/>
      <c r="NWI3" s="120"/>
      <c r="NWJ3" s="120"/>
      <c r="NWK3" s="120"/>
      <c r="NWL3" s="120"/>
      <c r="NWM3" s="120"/>
      <c r="NWN3" s="120"/>
      <c r="NWO3" s="120"/>
      <c r="NWP3" s="120"/>
      <c r="NWQ3" s="120"/>
      <c r="NWR3" s="120"/>
      <c r="NWS3" s="120"/>
      <c r="NWT3" s="120"/>
      <c r="NWU3" s="120"/>
      <c r="NWV3" s="120"/>
      <c r="NWW3" s="120"/>
      <c r="NWX3" s="120"/>
      <c r="NWY3" s="120"/>
      <c r="NWZ3" s="120"/>
      <c r="NXA3" s="120"/>
      <c r="NXB3" s="120"/>
      <c r="NXC3" s="120"/>
      <c r="NXD3" s="120"/>
      <c r="NXE3" s="120"/>
      <c r="NXF3" s="120"/>
      <c r="NXG3" s="120"/>
      <c r="NXH3" s="120"/>
      <c r="NXI3" s="120"/>
      <c r="NXJ3" s="120"/>
      <c r="NXK3" s="120"/>
      <c r="NXL3" s="120"/>
      <c r="NXM3" s="120"/>
      <c r="NXN3" s="120"/>
      <c r="NXO3" s="120"/>
      <c r="NXP3" s="120"/>
      <c r="NXQ3" s="120"/>
      <c r="NXR3" s="120"/>
      <c r="NXS3" s="120"/>
      <c r="NXT3" s="120"/>
      <c r="NXU3" s="120"/>
      <c r="NXV3" s="120"/>
      <c r="NXW3" s="120"/>
      <c r="NXX3" s="120"/>
      <c r="NXY3" s="120"/>
      <c r="NXZ3" s="120"/>
      <c r="NYA3" s="120"/>
      <c r="NYB3" s="120"/>
      <c r="NYC3" s="120"/>
      <c r="NYD3" s="120"/>
      <c r="NYE3" s="120"/>
      <c r="NYF3" s="120"/>
      <c r="NYG3" s="120"/>
      <c r="NYH3" s="120"/>
      <c r="NYI3" s="120"/>
      <c r="NYJ3" s="120"/>
      <c r="NYK3" s="120"/>
      <c r="NYL3" s="120"/>
      <c r="NYM3" s="120"/>
      <c r="NYN3" s="120"/>
      <c r="NYO3" s="120"/>
      <c r="NYP3" s="120"/>
      <c r="NYQ3" s="120"/>
      <c r="NYR3" s="120"/>
      <c r="NYS3" s="120"/>
      <c r="NYT3" s="120"/>
      <c r="NYU3" s="120"/>
      <c r="NYV3" s="120"/>
      <c r="NYW3" s="120"/>
      <c r="NYX3" s="120"/>
      <c r="NYY3" s="120"/>
      <c r="NYZ3" s="120"/>
      <c r="NZA3" s="120"/>
      <c r="NZB3" s="120"/>
      <c r="NZC3" s="120"/>
      <c r="NZD3" s="120"/>
      <c r="NZE3" s="120"/>
      <c r="NZF3" s="120"/>
      <c r="NZG3" s="120"/>
      <c r="NZH3" s="120"/>
      <c r="NZI3" s="120"/>
      <c r="NZJ3" s="120"/>
      <c r="NZK3" s="120"/>
      <c r="NZL3" s="120"/>
      <c r="NZM3" s="120"/>
      <c r="NZN3" s="120"/>
      <c r="NZO3" s="120"/>
      <c r="NZP3" s="120"/>
      <c r="NZQ3" s="120"/>
      <c r="NZR3" s="120"/>
      <c r="NZS3" s="120"/>
      <c r="NZT3" s="120"/>
      <c r="NZU3" s="120"/>
      <c r="NZV3" s="120"/>
      <c r="NZW3" s="120"/>
      <c r="NZX3" s="120"/>
      <c r="NZY3" s="120"/>
      <c r="NZZ3" s="120"/>
      <c r="OAA3" s="120"/>
      <c r="OAB3" s="120"/>
      <c r="OAC3" s="120"/>
      <c r="OAD3" s="120"/>
      <c r="OAE3" s="120"/>
      <c r="OAF3" s="120"/>
      <c r="OAG3" s="120"/>
      <c r="OAH3" s="120"/>
      <c r="OAI3" s="120"/>
      <c r="OAJ3" s="120"/>
      <c r="OAK3" s="120"/>
      <c r="OAL3" s="120"/>
      <c r="OAM3" s="120"/>
      <c r="OAN3" s="120"/>
      <c r="OAO3" s="120"/>
      <c r="OAP3" s="120"/>
      <c r="OAQ3" s="120"/>
      <c r="OAR3" s="120"/>
      <c r="OAS3" s="120"/>
      <c r="OAT3" s="120"/>
      <c r="OAU3" s="120"/>
      <c r="OAV3" s="120"/>
      <c r="OAW3" s="120"/>
      <c r="OAX3" s="120"/>
      <c r="OAY3" s="120"/>
      <c r="OAZ3" s="120"/>
      <c r="OBA3" s="120"/>
      <c r="OBB3" s="120"/>
      <c r="OBC3" s="120"/>
      <c r="OBD3" s="120"/>
      <c r="OBE3" s="120"/>
      <c r="OBF3" s="120"/>
      <c r="OBG3" s="120"/>
      <c r="OBH3" s="120"/>
      <c r="OBI3" s="120"/>
      <c r="OBJ3" s="120"/>
      <c r="OBK3" s="120"/>
      <c r="OBL3" s="120"/>
      <c r="OBM3" s="120"/>
      <c r="OBN3" s="120"/>
      <c r="OBO3" s="120"/>
      <c r="OBP3" s="120"/>
      <c r="OBQ3" s="120"/>
      <c r="OBR3" s="120"/>
      <c r="OBS3" s="120"/>
      <c r="OBT3" s="120"/>
      <c r="OBU3" s="120"/>
      <c r="OBV3" s="120"/>
      <c r="OBW3" s="120"/>
      <c r="OBX3" s="120"/>
      <c r="OBY3" s="120"/>
      <c r="OBZ3" s="120"/>
      <c r="OCA3" s="120"/>
      <c r="OCB3" s="120"/>
      <c r="OCC3" s="120"/>
      <c r="OCD3" s="120"/>
      <c r="OCE3" s="120"/>
      <c r="OCF3" s="120"/>
      <c r="OCG3" s="120"/>
      <c r="OCH3" s="120"/>
      <c r="OCI3" s="120"/>
      <c r="OCJ3" s="120"/>
      <c r="OCK3" s="120"/>
      <c r="OCL3" s="120"/>
      <c r="OCM3" s="120"/>
      <c r="OCN3" s="120"/>
      <c r="OCO3" s="120"/>
      <c r="OCP3" s="120"/>
      <c r="OCQ3" s="120"/>
      <c r="OCR3" s="120"/>
      <c r="OCS3" s="120"/>
      <c r="OCT3" s="120"/>
      <c r="OCU3" s="120"/>
      <c r="OCV3" s="120"/>
      <c r="OCW3" s="120"/>
      <c r="OCX3" s="120"/>
      <c r="OCY3" s="120"/>
      <c r="OCZ3" s="120"/>
      <c r="ODA3" s="120"/>
      <c r="ODB3" s="120"/>
      <c r="ODC3" s="120"/>
      <c r="ODD3" s="120"/>
      <c r="ODE3" s="120"/>
      <c r="ODF3" s="120"/>
      <c r="ODG3" s="120"/>
      <c r="ODH3" s="120"/>
      <c r="ODI3" s="120"/>
      <c r="ODJ3" s="120"/>
      <c r="ODK3" s="120"/>
      <c r="ODL3" s="120"/>
      <c r="ODM3" s="120"/>
      <c r="ODN3" s="120"/>
      <c r="ODO3" s="120"/>
      <c r="ODP3" s="120"/>
      <c r="ODQ3" s="120"/>
      <c r="ODR3" s="120"/>
      <c r="ODS3" s="120"/>
      <c r="ODT3" s="120"/>
      <c r="ODU3" s="120"/>
      <c r="ODV3" s="120"/>
      <c r="ODW3" s="120"/>
      <c r="ODX3" s="120"/>
      <c r="ODY3" s="120"/>
      <c r="ODZ3" s="120"/>
      <c r="OEA3" s="120"/>
      <c r="OEB3" s="120"/>
      <c r="OEC3" s="120"/>
      <c r="OED3" s="120"/>
      <c r="OEE3" s="120"/>
      <c r="OEF3" s="120"/>
      <c r="OEG3" s="120"/>
      <c r="OEH3" s="120"/>
      <c r="OEI3" s="120"/>
      <c r="OEJ3" s="120"/>
      <c r="OEK3" s="120"/>
      <c r="OEL3" s="120"/>
      <c r="OEM3" s="120"/>
      <c r="OEN3" s="120"/>
      <c r="OEO3" s="120"/>
      <c r="OEP3" s="120"/>
      <c r="OEQ3" s="120"/>
      <c r="OER3" s="120"/>
      <c r="OES3" s="120"/>
      <c r="OET3" s="120"/>
      <c r="OEU3" s="120"/>
      <c r="OEV3" s="120"/>
      <c r="OEW3" s="120"/>
      <c r="OEX3" s="120"/>
      <c r="OEY3" s="120"/>
      <c r="OEZ3" s="120"/>
      <c r="OFA3" s="120"/>
      <c r="OFB3" s="120"/>
      <c r="OFC3" s="120"/>
      <c r="OFD3" s="120"/>
      <c r="OFE3" s="120"/>
      <c r="OFF3" s="120"/>
      <c r="OFG3" s="120"/>
      <c r="OFH3" s="120"/>
      <c r="OFI3" s="120"/>
      <c r="OFJ3" s="120"/>
      <c r="OFK3" s="120"/>
      <c r="OFL3" s="120"/>
      <c r="OFM3" s="120"/>
      <c r="OFN3" s="120"/>
      <c r="OFO3" s="120"/>
      <c r="OFP3" s="120"/>
      <c r="OFQ3" s="120"/>
      <c r="OFR3" s="120"/>
      <c r="OFS3" s="120"/>
      <c r="OFT3" s="120"/>
      <c r="OFU3" s="120"/>
      <c r="OFV3" s="120"/>
      <c r="OFW3" s="120"/>
      <c r="OFX3" s="120"/>
      <c r="OFY3" s="120"/>
      <c r="OFZ3" s="120"/>
      <c r="OGA3" s="120"/>
      <c r="OGB3" s="120"/>
      <c r="OGC3" s="120"/>
      <c r="OGD3" s="120"/>
      <c r="OGE3" s="120"/>
      <c r="OGF3" s="120"/>
      <c r="OGG3" s="120"/>
      <c r="OGH3" s="120"/>
      <c r="OGI3" s="120"/>
      <c r="OGJ3" s="120"/>
      <c r="OGK3" s="120"/>
      <c r="OGL3" s="120"/>
      <c r="OGM3" s="120"/>
      <c r="OGN3" s="120"/>
      <c r="OGO3" s="120"/>
      <c r="OGP3" s="120"/>
      <c r="OGQ3" s="120"/>
      <c r="OGR3" s="120"/>
      <c r="OGS3" s="120"/>
      <c r="OGT3" s="120"/>
      <c r="OGU3" s="120"/>
      <c r="OGV3" s="120"/>
      <c r="OGW3" s="120"/>
      <c r="OGX3" s="120"/>
      <c r="OGY3" s="120"/>
      <c r="OGZ3" s="120"/>
      <c r="OHA3" s="120"/>
      <c r="OHB3" s="120"/>
      <c r="OHC3" s="120"/>
      <c r="OHD3" s="120"/>
      <c r="OHE3" s="120"/>
      <c r="OHF3" s="120"/>
      <c r="OHG3" s="120"/>
      <c r="OHH3" s="120"/>
      <c r="OHI3" s="120"/>
      <c r="OHJ3" s="120"/>
      <c r="OHK3" s="120"/>
      <c r="OHL3" s="120"/>
      <c r="OHM3" s="120"/>
      <c r="OHN3" s="120"/>
      <c r="OHO3" s="120"/>
      <c r="OHP3" s="120"/>
      <c r="OHQ3" s="120"/>
      <c r="OHR3" s="120"/>
      <c r="OHS3" s="120"/>
      <c r="OHT3" s="120"/>
      <c r="OHU3" s="120"/>
      <c r="OHV3" s="120"/>
      <c r="OHW3" s="120"/>
      <c r="OHX3" s="120"/>
      <c r="OHY3" s="120"/>
      <c r="OHZ3" s="120"/>
      <c r="OIA3" s="120"/>
      <c r="OIB3" s="120"/>
      <c r="OIC3" s="120"/>
      <c r="OID3" s="120"/>
      <c r="OIE3" s="120"/>
      <c r="OIF3" s="120"/>
      <c r="OIG3" s="120"/>
      <c r="OIH3" s="120"/>
      <c r="OII3" s="120"/>
      <c r="OIJ3" s="120"/>
      <c r="OIK3" s="120"/>
      <c r="OIL3" s="120"/>
      <c r="OIM3" s="120"/>
      <c r="OIN3" s="120"/>
      <c r="OIO3" s="120"/>
      <c r="OIP3" s="120"/>
      <c r="OIQ3" s="120"/>
      <c r="OIR3" s="120"/>
      <c r="OIS3" s="120"/>
      <c r="OIT3" s="120"/>
      <c r="OIU3" s="120"/>
      <c r="OIV3" s="120"/>
      <c r="OIW3" s="120"/>
      <c r="OIX3" s="120"/>
      <c r="OIY3" s="120"/>
      <c r="OIZ3" s="120"/>
      <c r="OJA3" s="120"/>
      <c r="OJB3" s="120"/>
      <c r="OJC3" s="120"/>
      <c r="OJD3" s="120"/>
      <c r="OJE3" s="120"/>
      <c r="OJF3" s="120"/>
      <c r="OJG3" s="120"/>
      <c r="OJH3" s="120"/>
      <c r="OJI3" s="120"/>
      <c r="OJJ3" s="120"/>
      <c r="OJK3" s="120"/>
      <c r="OJL3" s="120"/>
      <c r="OJM3" s="120"/>
      <c r="OJN3" s="120"/>
      <c r="OJO3" s="120"/>
      <c r="OJP3" s="120"/>
      <c r="OJQ3" s="120"/>
      <c r="OJR3" s="120"/>
      <c r="OJS3" s="120"/>
      <c r="OJT3" s="120"/>
      <c r="OJU3" s="120"/>
      <c r="OJV3" s="120"/>
      <c r="OJW3" s="120"/>
      <c r="OJX3" s="120"/>
      <c r="OJY3" s="120"/>
      <c r="OJZ3" s="120"/>
      <c r="OKA3" s="120"/>
      <c r="OKB3" s="120"/>
      <c r="OKC3" s="120"/>
      <c r="OKD3" s="120"/>
      <c r="OKE3" s="120"/>
      <c r="OKF3" s="120"/>
      <c r="OKG3" s="120"/>
      <c r="OKH3" s="120"/>
      <c r="OKI3" s="120"/>
      <c r="OKJ3" s="120"/>
      <c r="OKK3" s="120"/>
      <c r="OKL3" s="120"/>
      <c r="OKM3" s="120"/>
      <c r="OKN3" s="120"/>
      <c r="OKO3" s="120"/>
      <c r="OKP3" s="120"/>
      <c r="OKQ3" s="120"/>
      <c r="OKR3" s="120"/>
      <c r="OKS3" s="120"/>
      <c r="OKT3" s="120"/>
      <c r="OKU3" s="120"/>
      <c r="OKV3" s="120"/>
      <c r="OKW3" s="120"/>
      <c r="OKX3" s="120"/>
      <c r="OKY3" s="120"/>
      <c r="OKZ3" s="120"/>
      <c r="OLA3" s="120"/>
      <c r="OLB3" s="120"/>
      <c r="OLC3" s="120"/>
      <c r="OLD3" s="120"/>
      <c r="OLE3" s="120"/>
      <c r="OLF3" s="120"/>
      <c r="OLG3" s="120"/>
      <c r="OLH3" s="120"/>
      <c r="OLI3" s="120"/>
      <c r="OLJ3" s="120"/>
      <c r="OLK3" s="120"/>
      <c r="OLL3" s="120"/>
      <c r="OLM3" s="120"/>
      <c r="OLN3" s="120"/>
      <c r="OLO3" s="120"/>
      <c r="OLP3" s="120"/>
      <c r="OLQ3" s="120"/>
      <c r="OLR3" s="120"/>
      <c r="OLS3" s="120"/>
      <c r="OLT3" s="120"/>
      <c r="OLU3" s="120"/>
      <c r="OLV3" s="120"/>
      <c r="OLW3" s="120"/>
      <c r="OLX3" s="120"/>
      <c r="OLY3" s="120"/>
      <c r="OLZ3" s="120"/>
      <c r="OMA3" s="120"/>
      <c r="OMB3" s="120"/>
      <c r="OMC3" s="120"/>
      <c r="OMD3" s="120"/>
      <c r="OME3" s="120"/>
      <c r="OMF3" s="120"/>
      <c r="OMG3" s="120"/>
      <c r="OMH3" s="120"/>
      <c r="OMI3" s="120"/>
      <c r="OMJ3" s="120"/>
      <c r="OMK3" s="120"/>
      <c r="OML3" s="120"/>
      <c r="OMM3" s="120"/>
      <c r="OMN3" s="120"/>
      <c r="OMO3" s="120"/>
      <c r="OMP3" s="120"/>
      <c r="OMQ3" s="120"/>
      <c r="OMR3" s="120"/>
      <c r="OMS3" s="120"/>
      <c r="OMT3" s="120"/>
      <c r="OMU3" s="120"/>
      <c r="OMV3" s="120"/>
      <c r="OMW3" s="120"/>
      <c r="OMX3" s="120"/>
      <c r="OMY3" s="120"/>
      <c r="OMZ3" s="120"/>
      <c r="ONA3" s="120"/>
      <c r="ONB3" s="120"/>
      <c r="ONC3" s="120"/>
      <c r="OND3" s="120"/>
      <c r="ONE3" s="120"/>
      <c r="ONF3" s="120"/>
      <c r="ONG3" s="120"/>
      <c r="ONH3" s="120"/>
      <c r="ONI3" s="120"/>
      <c r="ONJ3" s="120"/>
      <c r="ONK3" s="120"/>
      <c r="ONL3" s="120"/>
      <c r="ONM3" s="120"/>
      <c r="ONN3" s="120"/>
      <c r="ONO3" s="120"/>
      <c r="ONP3" s="120"/>
      <c r="ONQ3" s="120"/>
      <c r="ONR3" s="120"/>
      <c r="ONS3" s="120"/>
      <c r="ONT3" s="120"/>
      <c r="ONU3" s="120"/>
      <c r="ONV3" s="120"/>
      <c r="ONW3" s="120"/>
      <c r="ONX3" s="120"/>
      <c r="ONY3" s="120"/>
      <c r="ONZ3" s="120"/>
      <c r="OOA3" s="120"/>
      <c r="OOB3" s="120"/>
      <c r="OOC3" s="120"/>
      <c r="OOD3" s="120"/>
      <c r="OOE3" s="120"/>
      <c r="OOF3" s="120"/>
      <c r="OOG3" s="120"/>
      <c r="OOH3" s="120"/>
      <c r="OOI3" s="120"/>
      <c r="OOJ3" s="120"/>
      <c r="OOK3" s="120"/>
      <c r="OOL3" s="120"/>
      <c r="OOM3" s="120"/>
      <c r="OON3" s="120"/>
      <c r="OOO3" s="120"/>
      <c r="OOP3" s="120"/>
      <c r="OOQ3" s="120"/>
      <c r="OOR3" s="120"/>
      <c r="OOS3" s="120"/>
      <c r="OOT3" s="120"/>
      <c r="OOU3" s="120"/>
      <c r="OOV3" s="120"/>
      <c r="OOW3" s="120"/>
      <c r="OOX3" s="120"/>
      <c r="OOY3" s="120"/>
      <c r="OOZ3" s="120"/>
      <c r="OPA3" s="120"/>
      <c r="OPB3" s="120"/>
      <c r="OPC3" s="120"/>
      <c r="OPD3" s="120"/>
      <c r="OPE3" s="120"/>
      <c r="OPF3" s="120"/>
      <c r="OPG3" s="120"/>
      <c r="OPH3" s="120"/>
      <c r="OPI3" s="120"/>
      <c r="OPJ3" s="120"/>
      <c r="OPK3" s="120"/>
      <c r="OPL3" s="120"/>
      <c r="OPM3" s="120"/>
      <c r="OPN3" s="120"/>
      <c r="OPO3" s="120"/>
      <c r="OPP3" s="120"/>
      <c r="OPQ3" s="120"/>
      <c r="OPR3" s="120"/>
      <c r="OPS3" s="120"/>
      <c r="OPT3" s="120"/>
      <c r="OPU3" s="120"/>
      <c r="OPV3" s="120"/>
      <c r="OPW3" s="120"/>
      <c r="OPX3" s="120"/>
      <c r="OPY3" s="120"/>
      <c r="OPZ3" s="120"/>
      <c r="OQA3" s="120"/>
      <c r="OQB3" s="120"/>
      <c r="OQC3" s="120"/>
      <c r="OQD3" s="120"/>
      <c r="OQE3" s="120"/>
      <c r="OQF3" s="120"/>
      <c r="OQG3" s="120"/>
      <c r="OQH3" s="120"/>
      <c r="OQI3" s="120"/>
      <c r="OQJ3" s="120"/>
      <c r="OQK3" s="120"/>
      <c r="OQL3" s="120"/>
      <c r="OQM3" s="120"/>
      <c r="OQN3" s="120"/>
      <c r="OQO3" s="120"/>
      <c r="OQP3" s="120"/>
      <c r="OQQ3" s="120"/>
      <c r="OQR3" s="120"/>
      <c r="OQS3" s="120"/>
      <c r="OQT3" s="120"/>
      <c r="OQU3" s="120"/>
      <c r="OQV3" s="120"/>
      <c r="OQW3" s="120"/>
      <c r="OQX3" s="120"/>
      <c r="OQY3" s="120"/>
      <c r="OQZ3" s="120"/>
      <c r="ORA3" s="120"/>
      <c r="ORB3" s="120"/>
      <c r="ORC3" s="120"/>
      <c r="ORD3" s="120"/>
      <c r="ORE3" s="120"/>
      <c r="ORF3" s="120"/>
      <c r="ORG3" s="120"/>
      <c r="ORH3" s="120"/>
      <c r="ORI3" s="120"/>
      <c r="ORJ3" s="120"/>
      <c r="ORK3" s="120"/>
      <c r="ORL3" s="120"/>
      <c r="ORM3" s="120"/>
      <c r="ORN3" s="120"/>
      <c r="ORO3" s="120"/>
      <c r="ORP3" s="120"/>
      <c r="ORQ3" s="120"/>
      <c r="ORR3" s="120"/>
      <c r="ORS3" s="120"/>
      <c r="ORT3" s="120"/>
      <c r="ORU3" s="120"/>
      <c r="ORV3" s="120"/>
      <c r="ORW3" s="120"/>
      <c r="ORX3" s="120"/>
      <c r="ORY3" s="120"/>
      <c r="ORZ3" s="120"/>
      <c r="OSA3" s="120"/>
      <c r="OSB3" s="120"/>
      <c r="OSC3" s="120"/>
      <c r="OSD3" s="120"/>
      <c r="OSE3" s="120"/>
      <c r="OSF3" s="120"/>
      <c r="OSG3" s="120"/>
      <c r="OSH3" s="120"/>
      <c r="OSI3" s="120"/>
      <c r="OSJ3" s="120"/>
      <c r="OSK3" s="120"/>
      <c r="OSL3" s="120"/>
      <c r="OSM3" s="120"/>
      <c r="OSN3" s="120"/>
      <c r="OSO3" s="120"/>
      <c r="OSP3" s="120"/>
      <c r="OSQ3" s="120"/>
      <c r="OSR3" s="120"/>
      <c r="OSS3" s="120"/>
      <c r="OST3" s="120"/>
      <c r="OSU3" s="120"/>
      <c r="OSV3" s="120"/>
      <c r="OSW3" s="120"/>
      <c r="OSX3" s="120"/>
      <c r="OSY3" s="120"/>
      <c r="OSZ3" s="120"/>
      <c r="OTA3" s="120"/>
      <c r="OTB3" s="120"/>
      <c r="OTC3" s="120"/>
      <c r="OTD3" s="120"/>
      <c r="OTE3" s="120"/>
      <c r="OTF3" s="120"/>
      <c r="OTG3" s="120"/>
      <c r="OTH3" s="120"/>
      <c r="OTI3" s="120"/>
      <c r="OTJ3" s="120"/>
      <c r="OTK3" s="120"/>
      <c r="OTL3" s="120"/>
      <c r="OTM3" s="120"/>
      <c r="OTN3" s="120"/>
      <c r="OTO3" s="120"/>
      <c r="OTP3" s="120"/>
      <c r="OTQ3" s="120"/>
      <c r="OTR3" s="120"/>
      <c r="OTS3" s="120"/>
      <c r="OTT3" s="120"/>
      <c r="OTU3" s="120"/>
      <c r="OTV3" s="120"/>
      <c r="OTW3" s="120"/>
      <c r="OTX3" s="120"/>
      <c r="OTY3" s="120"/>
      <c r="OTZ3" s="120"/>
      <c r="OUA3" s="120"/>
      <c r="OUB3" s="120"/>
      <c r="OUC3" s="120"/>
      <c r="OUD3" s="120"/>
      <c r="OUE3" s="120"/>
      <c r="OUF3" s="120"/>
      <c r="OUG3" s="120"/>
      <c r="OUH3" s="120"/>
      <c r="OUI3" s="120"/>
      <c r="OUJ3" s="120"/>
      <c r="OUK3" s="120"/>
      <c r="OUL3" s="120"/>
      <c r="OUM3" s="120"/>
      <c r="OUN3" s="120"/>
      <c r="OUO3" s="120"/>
      <c r="OUP3" s="120"/>
      <c r="OUQ3" s="120"/>
      <c r="OUR3" s="120"/>
      <c r="OUS3" s="120"/>
      <c r="OUT3" s="120"/>
      <c r="OUU3" s="120"/>
      <c r="OUV3" s="120"/>
      <c r="OUW3" s="120"/>
      <c r="OUX3" s="120"/>
      <c r="OUY3" s="120"/>
      <c r="OUZ3" s="120"/>
      <c r="OVA3" s="120"/>
      <c r="OVB3" s="120"/>
      <c r="OVC3" s="120"/>
      <c r="OVD3" s="120"/>
      <c r="OVE3" s="120"/>
      <c r="OVF3" s="120"/>
      <c r="OVG3" s="120"/>
      <c r="OVH3" s="120"/>
      <c r="OVI3" s="120"/>
      <c r="OVJ3" s="120"/>
      <c r="OVK3" s="120"/>
      <c r="OVL3" s="120"/>
      <c r="OVM3" s="120"/>
      <c r="OVN3" s="120"/>
      <c r="OVO3" s="120"/>
      <c r="OVP3" s="120"/>
      <c r="OVQ3" s="120"/>
      <c r="OVR3" s="120"/>
      <c r="OVS3" s="120"/>
      <c r="OVT3" s="120"/>
      <c r="OVU3" s="120"/>
      <c r="OVV3" s="120"/>
      <c r="OVW3" s="120"/>
      <c r="OVX3" s="120"/>
      <c r="OVY3" s="120"/>
      <c r="OVZ3" s="120"/>
      <c r="OWA3" s="120"/>
      <c r="OWB3" s="120"/>
      <c r="OWC3" s="120"/>
      <c r="OWD3" s="120"/>
      <c r="OWE3" s="120"/>
      <c r="OWF3" s="120"/>
      <c r="OWG3" s="120"/>
      <c r="OWH3" s="120"/>
      <c r="OWI3" s="120"/>
      <c r="OWJ3" s="120"/>
      <c r="OWK3" s="120"/>
      <c r="OWL3" s="120"/>
      <c r="OWM3" s="120"/>
      <c r="OWN3" s="120"/>
      <c r="OWO3" s="120"/>
      <c r="OWP3" s="120"/>
      <c r="OWQ3" s="120"/>
      <c r="OWR3" s="120"/>
      <c r="OWS3" s="120"/>
      <c r="OWT3" s="120"/>
      <c r="OWU3" s="120"/>
      <c r="OWV3" s="120"/>
      <c r="OWW3" s="120"/>
      <c r="OWX3" s="120"/>
      <c r="OWY3" s="120"/>
      <c r="OWZ3" s="120"/>
      <c r="OXA3" s="120"/>
      <c r="OXB3" s="120"/>
      <c r="OXC3" s="120"/>
      <c r="OXD3" s="120"/>
      <c r="OXE3" s="120"/>
      <c r="OXF3" s="120"/>
      <c r="OXG3" s="120"/>
      <c r="OXH3" s="120"/>
      <c r="OXI3" s="120"/>
      <c r="OXJ3" s="120"/>
      <c r="OXK3" s="120"/>
      <c r="OXL3" s="120"/>
      <c r="OXM3" s="120"/>
      <c r="OXN3" s="120"/>
      <c r="OXO3" s="120"/>
      <c r="OXP3" s="120"/>
      <c r="OXQ3" s="120"/>
      <c r="OXR3" s="120"/>
      <c r="OXS3" s="120"/>
      <c r="OXT3" s="120"/>
      <c r="OXU3" s="120"/>
      <c r="OXV3" s="120"/>
      <c r="OXW3" s="120"/>
      <c r="OXX3" s="120"/>
      <c r="OXY3" s="120"/>
      <c r="OXZ3" s="120"/>
      <c r="OYA3" s="120"/>
      <c r="OYB3" s="120"/>
      <c r="OYC3" s="120"/>
      <c r="OYD3" s="120"/>
      <c r="OYE3" s="120"/>
      <c r="OYF3" s="120"/>
      <c r="OYG3" s="120"/>
      <c r="OYH3" s="120"/>
      <c r="OYI3" s="120"/>
      <c r="OYJ3" s="120"/>
      <c r="OYK3" s="120"/>
      <c r="OYL3" s="120"/>
      <c r="OYM3" s="120"/>
      <c r="OYN3" s="120"/>
      <c r="OYO3" s="120"/>
      <c r="OYP3" s="120"/>
      <c r="OYQ3" s="120"/>
      <c r="OYR3" s="120"/>
      <c r="OYS3" s="120"/>
      <c r="OYT3" s="120"/>
      <c r="OYU3" s="120"/>
      <c r="OYV3" s="120"/>
      <c r="OYW3" s="120"/>
      <c r="OYX3" s="120"/>
      <c r="OYY3" s="120"/>
      <c r="OYZ3" s="120"/>
      <c r="OZA3" s="120"/>
      <c r="OZB3" s="120"/>
      <c r="OZC3" s="120"/>
      <c r="OZD3" s="120"/>
      <c r="OZE3" s="120"/>
      <c r="OZF3" s="120"/>
      <c r="OZG3" s="120"/>
      <c r="OZH3" s="120"/>
      <c r="OZI3" s="120"/>
      <c r="OZJ3" s="120"/>
      <c r="OZK3" s="120"/>
      <c r="OZL3" s="120"/>
      <c r="OZM3" s="120"/>
      <c r="OZN3" s="120"/>
      <c r="OZO3" s="120"/>
      <c r="OZP3" s="120"/>
      <c r="OZQ3" s="120"/>
      <c r="OZR3" s="120"/>
      <c r="OZS3" s="120"/>
      <c r="OZT3" s="120"/>
      <c r="OZU3" s="120"/>
      <c r="OZV3" s="120"/>
      <c r="OZW3" s="120"/>
      <c r="OZX3" s="120"/>
      <c r="OZY3" s="120"/>
      <c r="OZZ3" s="120"/>
      <c r="PAA3" s="120"/>
      <c r="PAB3" s="120"/>
      <c r="PAC3" s="120"/>
      <c r="PAD3" s="120"/>
      <c r="PAE3" s="120"/>
      <c r="PAF3" s="120"/>
      <c r="PAG3" s="120"/>
      <c r="PAH3" s="120"/>
      <c r="PAI3" s="120"/>
      <c r="PAJ3" s="120"/>
      <c r="PAK3" s="120"/>
      <c r="PAL3" s="120"/>
      <c r="PAM3" s="120"/>
      <c r="PAN3" s="120"/>
      <c r="PAO3" s="120"/>
      <c r="PAP3" s="120"/>
      <c r="PAQ3" s="120"/>
      <c r="PAR3" s="120"/>
      <c r="PAS3" s="120"/>
      <c r="PAT3" s="120"/>
      <c r="PAU3" s="120"/>
      <c r="PAV3" s="120"/>
      <c r="PAW3" s="120"/>
      <c r="PAX3" s="120"/>
      <c r="PAY3" s="120"/>
      <c r="PAZ3" s="120"/>
      <c r="PBA3" s="120"/>
      <c r="PBB3" s="120"/>
      <c r="PBC3" s="120"/>
      <c r="PBD3" s="120"/>
      <c r="PBE3" s="120"/>
      <c r="PBF3" s="120"/>
      <c r="PBG3" s="120"/>
      <c r="PBH3" s="120"/>
      <c r="PBI3" s="120"/>
      <c r="PBJ3" s="120"/>
      <c r="PBK3" s="120"/>
      <c r="PBL3" s="120"/>
      <c r="PBM3" s="120"/>
      <c r="PBN3" s="120"/>
      <c r="PBO3" s="120"/>
      <c r="PBP3" s="120"/>
      <c r="PBQ3" s="120"/>
      <c r="PBR3" s="120"/>
      <c r="PBS3" s="120"/>
      <c r="PBT3" s="120"/>
      <c r="PBU3" s="120"/>
      <c r="PBV3" s="120"/>
      <c r="PBW3" s="120"/>
      <c r="PBX3" s="120"/>
      <c r="PBY3" s="120"/>
      <c r="PBZ3" s="120"/>
      <c r="PCA3" s="120"/>
      <c r="PCB3" s="120"/>
      <c r="PCC3" s="120"/>
      <c r="PCD3" s="120"/>
      <c r="PCE3" s="120"/>
      <c r="PCF3" s="120"/>
      <c r="PCG3" s="120"/>
      <c r="PCH3" s="120"/>
      <c r="PCI3" s="120"/>
      <c r="PCJ3" s="120"/>
      <c r="PCK3" s="120"/>
      <c r="PCL3" s="120"/>
      <c r="PCM3" s="120"/>
      <c r="PCN3" s="120"/>
      <c r="PCO3" s="120"/>
      <c r="PCP3" s="120"/>
      <c r="PCQ3" s="120"/>
      <c r="PCR3" s="120"/>
      <c r="PCS3" s="120"/>
      <c r="PCT3" s="120"/>
      <c r="PCU3" s="120"/>
      <c r="PCV3" s="120"/>
      <c r="PCW3" s="120"/>
      <c r="PCX3" s="120"/>
      <c r="PCY3" s="120"/>
      <c r="PCZ3" s="120"/>
      <c r="PDA3" s="120"/>
      <c r="PDB3" s="120"/>
      <c r="PDC3" s="120"/>
      <c r="PDD3" s="120"/>
      <c r="PDE3" s="120"/>
      <c r="PDF3" s="120"/>
      <c r="PDG3" s="120"/>
      <c r="PDH3" s="120"/>
      <c r="PDI3" s="120"/>
      <c r="PDJ3" s="120"/>
      <c r="PDK3" s="120"/>
      <c r="PDL3" s="120"/>
      <c r="PDM3" s="120"/>
      <c r="PDN3" s="120"/>
      <c r="PDO3" s="120"/>
      <c r="PDP3" s="120"/>
      <c r="PDQ3" s="120"/>
      <c r="PDR3" s="120"/>
      <c r="PDS3" s="120"/>
      <c r="PDT3" s="120"/>
      <c r="PDU3" s="120"/>
      <c r="PDV3" s="120"/>
      <c r="PDW3" s="120"/>
      <c r="PDX3" s="120"/>
      <c r="PDY3" s="120"/>
      <c r="PDZ3" s="120"/>
      <c r="PEA3" s="120"/>
      <c r="PEB3" s="120"/>
      <c r="PEC3" s="120"/>
      <c r="PED3" s="120"/>
      <c r="PEE3" s="120"/>
      <c r="PEF3" s="120"/>
      <c r="PEG3" s="120"/>
      <c r="PEH3" s="120"/>
      <c r="PEI3" s="120"/>
      <c r="PEJ3" s="120"/>
      <c r="PEK3" s="120"/>
      <c r="PEL3" s="120"/>
      <c r="PEM3" s="120"/>
      <c r="PEN3" s="120"/>
      <c r="PEO3" s="120"/>
      <c r="PEP3" s="120"/>
      <c r="PEQ3" s="120"/>
      <c r="PER3" s="120"/>
      <c r="PES3" s="120"/>
      <c r="PET3" s="120"/>
      <c r="PEU3" s="120"/>
      <c r="PEV3" s="120"/>
      <c r="PEW3" s="120"/>
      <c r="PEX3" s="120"/>
      <c r="PEY3" s="120"/>
      <c r="PEZ3" s="120"/>
      <c r="PFA3" s="120"/>
      <c r="PFB3" s="120"/>
      <c r="PFC3" s="120"/>
      <c r="PFD3" s="120"/>
      <c r="PFE3" s="120"/>
      <c r="PFF3" s="120"/>
      <c r="PFG3" s="120"/>
      <c r="PFH3" s="120"/>
      <c r="PFI3" s="120"/>
      <c r="PFJ3" s="120"/>
      <c r="PFK3" s="120"/>
      <c r="PFL3" s="120"/>
      <c r="PFM3" s="120"/>
      <c r="PFN3" s="120"/>
      <c r="PFO3" s="120"/>
      <c r="PFP3" s="120"/>
      <c r="PFQ3" s="120"/>
      <c r="PFR3" s="120"/>
      <c r="PFS3" s="120"/>
      <c r="PFT3" s="120"/>
      <c r="PFU3" s="120"/>
      <c r="PFV3" s="120"/>
      <c r="PFW3" s="120"/>
      <c r="PFX3" s="120"/>
      <c r="PFY3" s="120"/>
      <c r="PFZ3" s="120"/>
      <c r="PGA3" s="120"/>
      <c r="PGB3" s="120"/>
      <c r="PGC3" s="120"/>
      <c r="PGD3" s="120"/>
      <c r="PGE3" s="120"/>
      <c r="PGF3" s="120"/>
      <c r="PGG3" s="120"/>
      <c r="PGH3" s="120"/>
      <c r="PGI3" s="120"/>
      <c r="PGJ3" s="120"/>
      <c r="PGK3" s="120"/>
      <c r="PGL3" s="120"/>
      <c r="PGM3" s="120"/>
      <c r="PGN3" s="120"/>
      <c r="PGO3" s="120"/>
      <c r="PGP3" s="120"/>
      <c r="PGQ3" s="120"/>
      <c r="PGR3" s="120"/>
      <c r="PGS3" s="120"/>
      <c r="PGT3" s="120"/>
      <c r="PGU3" s="120"/>
      <c r="PGV3" s="120"/>
      <c r="PGW3" s="120"/>
      <c r="PGX3" s="120"/>
      <c r="PGY3" s="120"/>
      <c r="PGZ3" s="120"/>
      <c r="PHA3" s="120"/>
      <c r="PHB3" s="120"/>
      <c r="PHC3" s="120"/>
      <c r="PHD3" s="120"/>
      <c r="PHE3" s="120"/>
      <c r="PHF3" s="120"/>
      <c r="PHG3" s="120"/>
      <c r="PHH3" s="120"/>
      <c r="PHI3" s="120"/>
      <c r="PHJ3" s="120"/>
      <c r="PHK3" s="120"/>
      <c r="PHL3" s="120"/>
      <c r="PHM3" s="120"/>
      <c r="PHN3" s="120"/>
      <c r="PHO3" s="120"/>
      <c r="PHP3" s="120"/>
      <c r="PHQ3" s="120"/>
      <c r="PHR3" s="120"/>
      <c r="PHS3" s="120"/>
      <c r="PHT3" s="120"/>
      <c r="PHU3" s="120"/>
      <c r="PHV3" s="120"/>
      <c r="PHW3" s="120"/>
      <c r="PHX3" s="120"/>
      <c r="PHY3" s="120"/>
      <c r="PHZ3" s="120"/>
      <c r="PIA3" s="120"/>
      <c r="PIB3" s="120"/>
      <c r="PIC3" s="120"/>
      <c r="PID3" s="120"/>
      <c r="PIE3" s="120"/>
      <c r="PIF3" s="120"/>
      <c r="PIG3" s="120"/>
      <c r="PIH3" s="120"/>
      <c r="PII3" s="120"/>
      <c r="PIJ3" s="120"/>
      <c r="PIK3" s="120"/>
      <c r="PIL3" s="120"/>
      <c r="PIM3" s="120"/>
      <c r="PIN3" s="120"/>
      <c r="PIO3" s="120"/>
      <c r="PIP3" s="120"/>
      <c r="PIQ3" s="120"/>
      <c r="PIR3" s="120"/>
      <c r="PIS3" s="120"/>
      <c r="PIT3" s="120"/>
      <c r="PIU3" s="120"/>
      <c r="PIV3" s="120"/>
      <c r="PIW3" s="120"/>
      <c r="PIX3" s="120"/>
      <c r="PIY3" s="120"/>
      <c r="PIZ3" s="120"/>
      <c r="PJA3" s="120"/>
      <c r="PJB3" s="120"/>
      <c r="PJC3" s="120"/>
      <c r="PJD3" s="120"/>
      <c r="PJE3" s="120"/>
      <c r="PJF3" s="120"/>
      <c r="PJG3" s="120"/>
      <c r="PJH3" s="120"/>
      <c r="PJI3" s="120"/>
      <c r="PJJ3" s="120"/>
      <c r="PJK3" s="120"/>
      <c r="PJL3" s="120"/>
      <c r="PJM3" s="120"/>
      <c r="PJN3" s="120"/>
      <c r="PJO3" s="120"/>
      <c r="PJP3" s="120"/>
      <c r="PJQ3" s="120"/>
      <c r="PJR3" s="120"/>
      <c r="PJS3" s="120"/>
      <c r="PJT3" s="120"/>
      <c r="PJU3" s="120"/>
      <c r="PJV3" s="120"/>
      <c r="PJW3" s="120"/>
      <c r="PJX3" s="120"/>
      <c r="PJY3" s="120"/>
      <c r="PJZ3" s="120"/>
      <c r="PKA3" s="120"/>
      <c r="PKB3" s="120"/>
      <c r="PKC3" s="120"/>
      <c r="PKD3" s="120"/>
      <c r="PKE3" s="120"/>
      <c r="PKF3" s="120"/>
      <c r="PKG3" s="120"/>
      <c r="PKH3" s="120"/>
      <c r="PKI3" s="120"/>
      <c r="PKJ3" s="120"/>
      <c r="PKK3" s="120"/>
      <c r="PKL3" s="120"/>
      <c r="PKM3" s="120"/>
      <c r="PKN3" s="120"/>
      <c r="PKO3" s="120"/>
      <c r="PKP3" s="120"/>
      <c r="PKQ3" s="120"/>
      <c r="PKR3" s="120"/>
      <c r="PKS3" s="120"/>
      <c r="PKT3" s="120"/>
      <c r="PKU3" s="120"/>
      <c r="PKV3" s="120"/>
      <c r="PKW3" s="120"/>
      <c r="PKX3" s="120"/>
      <c r="PKY3" s="120"/>
      <c r="PKZ3" s="120"/>
      <c r="PLA3" s="120"/>
      <c r="PLB3" s="120"/>
      <c r="PLC3" s="120"/>
      <c r="PLD3" s="120"/>
      <c r="PLE3" s="120"/>
      <c r="PLF3" s="120"/>
      <c r="PLG3" s="120"/>
      <c r="PLH3" s="120"/>
      <c r="PLI3" s="120"/>
      <c r="PLJ3" s="120"/>
      <c r="PLK3" s="120"/>
      <c r="PLL3" s="120"/>
      <c r="PLM3" s="120"/>
      <c r="PLN3" s="120"/>
      <c r="PLO3" s="120"/>
      <c r="PLP3" s="120"/>
      <c r="PLQ3" s="120"/>
      <c r="PLR3" s="120"/>
      <c r="PLS3" s="120"/>
      <c r="PLT3" s="120"/>
      <c r="PLU3" s="120"/>
      <c r="PLV3" s="120"/>
      <c r="PLW3" s="120"/>
      <c r="PLX3" s="120"/>
      <c r="PLY3" s="120"/>
      <c r="PLZ3" s="120"/>
      <c r="PMA3" s="120"/>
      <c r="PMB3" s="120"/>
      <c r="PMC3" s="120"/>
      <c r="PMD3" s="120"/>
      <c r="PME3" s="120"/>
      <c r="PMF3" s="120"/>
      <c r="PMG3" s="120"/>
      <c r="PMH3" s="120"/>
      <c r="PMI3" s="120"/>
      <c r="PMJ3" s="120"/>
      <c r="PMK3" s="120"/>
      <c r="PML3" s="120"/>
      <c r="PMM3" s="120"/>
      <c r="PMN3" s="120"/>
      <c r="PMO3" s="120"/>
      <c r="PMP3" s="120"/>
      <c r="PMQ3" s="120"/>
      <c r="PMR3" s="120"/>
      <c r="PMS3" s="120"/>
      <c r="PMT3" s="120"/>
      <c r="PMU3" s="120"/>
      <c r="PMV3" s="120"/>
      <c r="PMW3" s="120"/>
      <c r="PMX3" s="120"/>
      <c r="PMY3" s="120"/>
      <c r="PMZ3" s="120"/>
      <c r="PNA3" s="120"/>
      <c r="PNB3" s="120"/>
      <c r="PNC3" s="120"/>
      <c r="PND3" s="120"/>
      <c r="PNE3" s="120"/>
      <c r="PNF3" s="120"/>
      <c r="PNG3" s="120"/>
      <c r="PNH3" s="120"/>
      <c r="PNI3" s="120"/>
      <c r="PNJ3" s="120"/>
      <c r="PNK3" s="120"/>
      <c r="PNL3" s="120"/>
      <c r="PNM3" s="120"/>
      <c r="PNN3" s="120"/>
      <c r="PNO3" s="120"/>
      <c r="PNP3" s="120"/>
      <c r="PNQ3" s="120"/>
      <c r="PNR3" s="120"/>
      <c r="PNS3" s="120"/>
      <c r="PNT3" s="120"/>
      <c r="PNU3" s="120"/>
      <c r="PNV3" s="120"/>
      <c r="PNW3" s="120"/>
      <c r="PNX3" s="120"/>
      <c r="PNY3" s="120"/>
      <c r="PNZ3" s="120"/>
      <c r="POA3" s="120"/>
      <c r="POB3" s="120"/>
      <c r="POC3" s="120"/>
      <c r="POD3" s="120"/>
      <c r="POE3" s="120"/>
      <c r="POF3" s="120"/>
      <c r="POG3" s="120"/>
      <c r="POH3" s="120"/>
      <c r="POI3" s="120"/>
      <c r="POJ3" s="120"/>
      <c r="POK3" s="120"/>
      <c r="POL3" s="120"/>
      <c r="POM3" s="120"/>
      <c r="PON3" s="120"/>
      <c r="POO3" s="120"/>
      <c r="POP3" s="120"/>
      <c r="POQ3" s="120"/>
      <c r="POR3" s="120"/>
      <c r="POS3" s="120"/>
      <c r="POT3" s="120"/>
      <c r="POU3" s="120"/>
      <c r="POV3" s="120"/>
      <c r="POW3" s="120"/>
      <c r="POX3" s="120"/>
      <c r="POY3" s="120"/>
      <c r="POZ3" s="120"/>
      <c r="PPA3" s="120"/>
      <c r="PPB3" s="120"/>
      <c r="PPC3" s="120"/>
      <c r="PPD3" s="120"/>
      <c r="PPE3" s="120"/>
      <c r="PPF3" s="120"/>
      <c r="PPG3" s="120"/>
      <c r="PPH3" s="120"/>
      <c r="PPI3" s="120"/>
      <c r="PPJ3" s="120"/>
      <c r="PPK3" s="120"/>
      <c r="PPL3" s="120"/>
      <c r="PPM3" s="120"/>
      <c r="PPN3" s="120"/>
      <c r="PPO3" s="120"/>
      <c r="PPP3" s="120"/>
      <c r="PPQ3" s="120"/>
      <c r="PPR3" s="120"/>
      <c r="PPS3" s="120"/>
      <c r="PPT3" s="120"/>
      <c r="PPU3" s="120"/>
      <c r="PPV3" s="120"/>
      <c r="PPW3" s="120"/>
      <c r="PPX3" s="120"/>
      <c r="PPY3" s="120"/>
      <c r="PPZ3" s="120"/>
      <c r="PQA3" s="120"/>
      <c r="PQB3" s="120"/>
      <c r="PQC3" s="120"/>
      <c r="PQD3" s="120"/>
      <c r="PQE3" s="120"/>
      <c r="PQF3" s="120"/>
      <c r="PQG3" s="120"/>
      <c r="PQH3" s="120"/>
      <c r="PQI3" s="120"/>
      <c r="PQJ3" s="120"/>
      <c r="PQK3" s="120"/>
      <c r="PQL3" s="120"/>
      <c r="PQM3" s="120"/>
      <c r="PQN3" s="120"/>
      <c r="PQO3" s="120"/>
      <c r="PQP3" s="120"/>
      <c r="PQQ3" s="120"/>
      <c r="PQR3" s="120"/>
      <c r="PQS3" s="120"/>
      <c r="PQT3" s="120"/>
      <c r="PQU3" s="120"/>
      <c r="PQV3" s="120"/>
      <c r="PQW3" s="120"/>
      <c r="PQX3" s="120"/>
      <c r="PQY3" s="120"/>
      <c r="PQZ3" s="120"/>
      <c r="PRA3" s="120"/>
      <c r="PRB3" s="120"/>
      <c r="PRC3" s="120"/>
      <c r="PRD3" s="120"/>
      <c r="PRE3" s="120"/>
      <c r="PRF3" s="120"/>
      <c r="PRG3" s="120"/>
      <c r="PRH3" s="120"/>
      <c r="PRI3" s="120"/>
      <c r="PRJ3" s="120"/>
      <c r="PRK3" s="120"/>
      <c r="PRL3" s="120"/>
      <c r="PRM3" s="120"/>
      <c r="PRN3" s="120"/>
      <c r="PRO3" s="120"/>
      <c r="PRP3" s="120"/>
      <c r="PRQ3" s="120"/>
      <c r="PRR3" s="120"/>
      <c r="PRS3" s="120"/>
      <c r="PRT3" s="120"/>
      <c r="PRU3" s="120"/>
      <c r="PRV3" s="120"/>
      <c r="PRW3" s="120"/>
      <c r="PRX3" s="120"/>
      <c r="PRY3" s="120"/>
      <c r="PRZ3" s="120"/>
      <c r="PSA3" s="120"/>
      <c r="PSB3" s="120"/>
      <c r="PSC3" s="120"/>
      <c r="PSD3" s="120"/>
      <c r="PSE3" s="120"/>
      <c r="PSF3" s="120"/>
      <c r="PSG3" s="120"/>
      <c r="PSH3" s="120"/>
      <c r="PSI3" s="120"/>
      <c r="PSJ3" s="120"/>
      <c r="PSK3" s="120"/>
      <c r="PSL3" s="120"/>
      <c r="PSM3" s="120"/>
      <c r="PSN3" s="120"/>
      <c r="PSO3" s="120"/>
      <c r="PSP3" s="120"/>
      <c r="PSQ3" s="120"/>
      <c r="PSR3" s="120"/>
      <c r="PSS3" s="120"/>
      <c r="PST3" s="120"/>
      <c r="PSU3" s="120"/>
      <c r="PSV3" s="120"/>
      <c r="PSW3" s="120"/>
      <c r="PSX3" s="120"/>
      <c r="PSY3" s="120"/>
      <c r="PSZ3" s="120"/>
      <c r="PTA3" s="120"/>
      <c r="PTB3" s="120"/>
      <c r="PTC3" s="120"/>
      <c r="PTD3" s="120"/>
      <c r="PTE3" s="120"/>
      <c r="PTF3" s="120"/>
      <c r="PTG3" s="120"/>
      <c r="PTH3" s="120"/>
      <c r="PTI3" s="120"/>
      <c r="PTJ3" s="120"/>
      <c r="PTK3" s="120"/>
      <c r="PTL3" s="120"/>
      <c r="PTM3" s="120"/>
      <c r="PTN3" s="120"/>
      <c r="PTO3" s="120"/>
      <c r="PTP3" s="120"/>
      <c r="PTQ3" s="120"/>
      <c r="PTR3" s="120"/>
      <c r="PTS3" s="120"/>
      <c r="PTT3" s="120"/>
      <c r="PTU3" s="120"/>
      <c r="PTV3" s="120"/>
      <c r="PTW3" s="120"/>
      <c r="PTX3" s="120"/>
      <c r="PTY3" s="120"/>
      <c r="PTZ3" s="120"/>
      <c r="PUA3" s="120"/>
      <c r="PUB3" s="120"/>
      <c r="PUC3" s="120"/>
      <c r="PUD3" s="120"/>
      <c r="PUE3" s="120"/>
      <c r="PUF3" s="120"/>
      <c r="PUG3" s="120"/>
      <c r="PUH3" s="120"/>
      <c r="PUI3" s="120"/>
      <c r="PUJ3" s="120"/>
      <c r="PUK3" s="120"/>
      <c r="PUL3" s="120"/>
      <c r="PUM3" s="120"/>
      <c r="PUN3" s="120"/>
      <c r="PUO3" s="120"/>
      <c r="PUP3" s="120"/>
      <c r="PUQ3" s="120"/>
      <c r="PUR3" s="120"/>
      <c r="PUS3" s="120"/>
      <c r="PUT3" s="120"/>
      <c r="PUU3" s="120"/>
      <c r="PUV3" s="120"/>
      <c r="PUW3" s="120"/>
      <c r="PUX3" s="120"/>
      <c r="PUY3" s="120"/>
      <c r="PUZ3" s="120"/>
      <c r="PVA3" s="120"/>
      <c r="PVB3" s="120"/>
      <c r="PVC3" s="120"/>
      <c r="PVD3" s="120"/>
      <c r="PVE3" s="120"/>
      <c r="PVF3" s="120"/>
      <c r="PVG3" s="120"/>
      <c r="PVH3" s="120"/>
      <c r="PVI3" s="120"/>
      <c r="PVJ3" s="120"/>
      <c r="PVK3" s="120"/>
      <c r="PVL3" s="120"/>
      <c r="PVM3" s="120"/>
      <c r="PVN3" s="120"/>
      <c r="PVO3" s="120"/>
      <c r="PVP3" s="120"/>
      <c r="PVQ3" s="120"/>
      <c r="PVR3" s="120"/>
      <c r="PVS3" s="120"/>
      <c r="PVT3" s="120"/>
      <c r="PVU3" s="120"/>
      <c r="PVV3" s="120"/>
      <c r="PVW3" s="120"/>
      <c r="PVX3" s="120"/>
      <c r="PVY3" s="120"/>
      <c r="PVZ3" s="120"/>
      <c r="PWA3" s="120"/>
      <c r="PWB3" s="120"/>
      <c r="PWC3" s="120"/>
      <c r="PWD3" s="120"/>
      <c r="PWE3" s="120"/>
      <c r="PWF3" s="120"/>
      <c r="PWG3" s="120"/>
      <c r="PWH3" s="120"/>
      <c r="PWI3" s="120"/>
      <c r="PWJ3" s="120"/>
      <c r="PWK3" s="120"/>
      <c r="PWL3" s="120"/>
      <c r="PWM3" s="120"/>
      <c r="PWN3" s="120"/>
      <c r="PWO3" s="120"/>
      <c r="PWP3" s="120"/>
      <c r="PWQ3" s="120"/>
      <c r="PWR3" s="120"/>
      <c r="PWS3" s="120"/>
      <c r="PWT3" s="120"/>
      <c r="PWU3" s="120"/>
      <c r="PWV3" s="120"/>
      <c r="PWW3" s="120"/>
      <c r="PWX3" s="120"/>
      <c r="PWY3" s="120"/>
      <c r="PWZ3" s="120"/>
      <c r="PXA3" s="120"/>
      <c r="PXB3" s="120"/>
      <c r="PXC3" s="120"/>
      <c r="PXD3" s="120"/>
      <c r="PXE3" s="120"/>
      <c r="PXF3" s="120"/>
      <c r="PXG3" s="120"/>
      <c r="PXH3" s="120"/>
      <c r="PXI3" s="120"/>
      <c r="PXJ3" s="120"/>
      <c r="PXK3" s="120"/>
      <c r="PXL3" s="120"/>
      <c r="PXM3" s="120"/>
      <c r="PXN3" s="120"/>
      <c r="PXO3" s="120"/>
      <c r="PXP3" s="120"/>
      <c r="PXQ3" s="120"/>
      <c r="PXR3" s="120"/>
      <c r="PXS3" s="120"/>
      <c r="PXT3" s="120"/>
      <c r="PXU3" s="120"/>
      <c r="PXV3" s="120"/>
      <c r="PXW3" s="120"/>
      <c r="PXX3" s="120"/>
      <c r="PXY3" s="120"/>
      <c r="PXZ3" s="120"/>
      <c r="PYA3" s="120"/>
      <c r="PYB3" s="120"/>
      <c r="PYC3" s="120"/>
      <c r="PYD3" s="120"/>
      <c r="PYE3" s="120"/>
      <c r="PYF3" s="120"/>
      <c r="PYG3" s="120"/>
      <c r="PYH3" s="120"/>
      <c r="PYI3" s="120"/>
      <c r="PYJ3" s="120"/>
      <c r="PYK3" s="120"/>
      <c r="PYL3" s="120"/>
      <c r="PYM3" s="120"/>
      <c r="PYN3" s="120"/>
      <c r="PYO3" s="120"/>
      <c r="PYP3" s="120"/>
      <c r="PYQ3" s="120"/>
      <c r="PYR3" s="120"/>
      <c r="PYS3" s="120"/>
      <c r="PYT3" s="120"/>
      <c r="PYU3" s="120"/>
      <c r="PYV3" s="120"/>
      <c r="PYW3" s="120"/>
      <c r="PYX3" s="120"/>
      <c r="PYY3" s="120"/>
      <c r="PYZ3" s="120"/>
      <c r="PZA3" s="120"/>
      <c r="PZB3" s="120"/>
      <c r="PZC3" s="120"/>
      <c r="PZD3" s="120"/>
      <c r="PZE3" s="120"/>
      <c r="PZF3" s="120"/>
      <c r="PZG3" s="120"/>
      <c r="PZH3" s="120"/>
      <c r="PZI3" s="120"/>
      <c r="PZJ3" s="120"/>
      <c r="PZK3" s="120"/>
      <c r="PZL3" s="120"/>
      <c r="PZM3" s="120"/>
      <c r="PZN3" s="120"/>
      <c r="PZO3" s="120"/>
      <c r="PZP3" s="120"/>
      <c r="PZQ3" s="120"/>
      <c r="PZR3" s="120"/>
      <c r="PZS3" s="120"/>
      <c r="PZT3" s="120"/>
      <c r="PZU3" s="120"/>
      <c r="PZV3" s="120"/>
      <c r="PZW3" s="120"/>
      <c r="PZX3" s="120"/>
      <c r="PZY3" s="120"/>
      <c r="PZZ3" s="120"/>
      <c r="QAA3" s="120"/>
      <c r="QAB3" s="120"/>
      <c r="QAC3" s="120"/>
      <c r="QAD3" s="120"/>
      <c r="QAE3" s="120"/>
      <c r="QAF3" s="120"/>
      <c r="QAG3" s="120"/>
      <c r="QAH3" s="120"/>
      <c r="QAI3" s="120"/>
      <c r="QAJ3" s="120"/>
      <c r="QAK3" s="120"/>
      <c r="QAL3" s="120"/>
      <c r="QAM3" s="120"/>
      <c r="QAN3" s="120"/>
      <c r="QAO3" s="120"/>
      <c r="QAP3" s="120"/>
      <c r="QAQ3" s="120"/>
      <c r="QAR3" s="120"/>
      <c r="QAS3" s="120"/>
      <c r="QAT3" s="120"/>
      <c r="QAU3" s="120"/>
      <c r="QAV3" s="120"/>
      <c r="QAW3" s="120"/>
      <c r="QAX3" s="120"/>
      <c r="QAY3" s="120"/>
      <c r="QAZ3" s="120"/>
      <c r="QBA3" s="120"/>
      <c r="QBB3" s="120"/>
      <c r="QBC3" s="120"/>
      <c r="QBD3" s="120"/>
      <c r="QBE3" s="120"/>
      <c r="QBF3" s="120"/>
      <c r="QBG3" s="120"/>
      <c r="QBH3" s="120"/>
      <c r="QBI3" s="120"/>
      <c r="QBJ3" s="120"/>
      <c r="QBK3" s="120"/>
      <c r="QBL3" s="120"/>
      <c r="QBM3" s="120"/>
      <c r="QBN3" s="120"/>
      <c r="QBO3" s="120"/>
      <c r="QBP3" s="120"/>
      <c r="QBQ3" s="120"/>
      <c r="QBR3" s="120"/>
      <c r="QBS3" s="120"/>
      <c r="QBT3" s="120"/>
      <c r="QBU3" s="120"/>
      <c r="QBV3" s="120"/>
      <c r="QBW3" s="120"/>
      <c r="QBX3" s="120"/>
      <c r="QBY3" s="120"/>
      <c r="QBZ3" s="120"/>
      <c r="QCA3" s="120"/>
      <c r="QCB3" s="120"/>
      <c r="QCC3" s="120"/>
      <c r="QCD3" s="120"/>
      <c r="QCE3" s="120"/>
      <c r="QCF3" s="120"/>
      <c r="QCG3" s="120"/>
      <c r="QCH3" s="120"/>
      <c r="QCI3" s="120"/>
      <c r="QCJ3" s="120"/>
      <c r="QCK3" s="120"/>
      <c r="QCL3" s="120"/>
      <c r="QCM3" s="120"/>
      <c r="QCN3" s="120"/>
      <c r="QCO3" s="120"/>
      <c r="QCP3" s="120"/>
      <c r="QCQ3" s="120"/>
      <c r="QCR3" s="120"/>
      <c r="QCS3" s="120"/>
      <c r="QCT3" s="120"/>
      <c r="QCU3" s="120"/>
      <c r="QCV3" s="120"/>
      <c r="QCW3" s="120"/>
      <c r="QCX3" s="120"/>
      <c r="QCY3" s="120"/>
      <c r="QCZ3" s="120"/>
      <c r="QDA3" s="120"/>
      <c r="QDB3" s="120"/>
      <c r="QDC3" s="120"/>
      <c r="QDD3" s="120"/>
      <c r="QDE3" s="120"/>
      <c r="QDF3" s="120"/>
      <c r="QDG3" s="120"/>
      <c r="QDH3" s="120"/>
      <c r="QDI3" s="120"/>
      <c r="QDJ3" s="120"/>
      <c r="QDK3" s="120"/>
      <c r="QDL3" s="120"/>
      <c r="QDM3" s="120"/>
      <c r="QDN3" s="120"/>
      <c r="QDO3" s="120"/>
      <c r="QDP3" s="120"/>
      <c r="QDQ3" s="120"/>
      <c r="QDR3" s="120"/>
      <c r="QDS3" s="120"/>
      <c r="QDT3" s="120"/>
      <c r="QDU3" s="120"/>
      <c r="QDV3" s="120"/>
      <c r="QDW3" s="120"/>
      <c r="QDX3" s="120"/>
      <c r="QDY3" s="120"/>
      <c r="QDZ3" s="120"/>
      <c r="QEA3" s="120"/>
      <c r="QEB3" s="120"/>
      <c r="QEC3" s="120"/>
      <c r="QED3" s="120"/>
      <c r="QEE3" s="120"/>
      <c r="QEF3" s="120"/>
      <c r="QEG3" s="120"/>
      <c r="QEH3" s="120"/>
      <c r="QEI3" s="120"/>
      <c r="QEJ3" s="120"/>
      <c r="QEK3" s="120"/>
      <c r="QEL3" s="120"/>
      <c r="QEM3" s="120"/>
      <c r="QEN3" s="120"/>
      <c r="QEO3" s="120"/>
      <c r="QEP3" s="120"/>
      <c r="QEQ3" s="120"/>
      <c r="QER3" s="120"/>
      <c r="QES3" s="120"/>
      <c r="QET3" s="120"/>
      <c r="QEU3" s="120"/>
      <c r="QEV3" s="120"/>
      <c r="QEW3" s="120"/>
      <c r="QEX3" s="120"/>
      <c r="QEY3" s="120"/>
      <c r="QEZ3" s="120"/>
      <c r="QFA3" s="120"/>
      <c r="QFB3" s="120"/>
      <c r="QFC3" s="120"/>
      <c r="QFD3" s="120"/>
      <c r="QFE3" s="120"/>
      <c r="QFF3" s="120"/>
      <c r="QFG3" s="120"/>
      <c r="QFH3" s="120"/>
      <c r="QFI3" s="120"/>
      <c r="QFJ3" s="120"/>
      <c r="QFK3" s="120"/>
      <c r="QFL3" s="120"/>
      <c r="QFM3" s="120"/>
      <c r="QFN3" s="120"/>
      <c r="QFO3" s="120"/>
      <c r="QFP3" s="120"/>
      <c r="QFQ3" s="120"/>
      <c r="QFR3" s="120"/>
      <c r="QFS3" s="120"/>
      <c r="QFT3" s="120"/>
      <c r="QFU3" s="120"/>
      <c r="QFV3" s="120"/>
      <c r="QFW3" s="120"/>
      <c r="QFX3" s="120"/>
      <c r="QFY3" s="120"/>
      <c r="QFZ3" s="120"/>
      <c r="QGA3" s="120"/>
      <c r="QGB3" s="120"/>
      <c r="QGC3" s="120"/>
      <c r="QGD3" s="120"/>
      <c r="QGE3" s="120"/>
      <c r="QGF3" s="120"/>
      <c r="QGG3" s="120"/>
      <c r="QGH3" s="120"/>
      <c r="QGI3" s="120"/>
      <c r="QGJ3" s="120"/>
      <c r="QGK3" s="120"/>
      <c r="QGL3" s="120"/>
      <c r="QGM3" s="120"/>
      <c r="QGN3" s="120"/>
      <c r="QGO3" s="120"/>
      <c r="QGP3" s="120"/>
      <c r="QGQ3" s="120"/>
      <c r="QGR3" s="120"/>
      <c r="QGS3" s="120"/>
      <c r="QGT3" s="120"/>
      <c r="QGU3" s="120"/>
      <c r="QGV3" s="120"/>
      <c r="QGW3" s="120"/>
      <c r="QGX3" s="120"/>
      <c r="QGY3" s="120"/>
      <c r="QGZ3" s="120"/>
      <c r="QHA3" s="120"/>
      <c r="QHB3" s="120"/>
      <c r="QHC3" s="120"/>
      <c r="QHD3" s="120"/>
      <c r="QHE3" s="120"/>
      <c r="QHF3" s="120"/>
      <c r="QHG3" s="120"/>
      <c r="QHH3" s="120"/>
      <c r="QHI3" s="120"/>
      <c r="QHJ3" s="120"/>
      <c r="QHK3" s="120"/>
      <c r="QHL3" s="120"/>
      <c r="QHM3" s="120"/>
      <c r="QHN3" s="120"/>
      <c r="QHO3" s="120"/>
      <c r="QHP3" s="120"/>
      <c r="QHQ3" s="120"/>
      <c r="QHR3" s="120"/>
      <c r="QHS3" s="120"/>
      <c r="QHT3" s="120"/>
      <c r="QHU3" s="120"/>
      <c r="QHV3" s="120"/>
      <c r="QHW3" s="120"/>
      <c r="QHX3" s="120"/>
      <c r="QHY3" s="120"/>
      <c r="QHZ3" s="120"/>
      <c r="QIA3" s="120"/>
      <c r="QIB3" s="120"/>
      <c r="QIC3" s="120"/>
      <c r="QID3" s="120"/>
      <c r="QIE3" s="120"/>
      <c r="QIF3" s="120"/>
      <c r="QIG3" s="120"/>
      <c r="QIH3" s="120"/>
      <c r="QII3" s="120"/>
      <c r="QIJ3" s="120"/>
      <c r="QIK3" s="120"/>
      <c r="QIL3" s="120"/>
      <c r="QIM3" s="120"/>
      <c r="QIN3" s="120"/>
      <c r="QIO3" s="120"/>
      <c r="QIP3" s="120"/>
      <c r="QIQ3" s="120"/>
      <c r="QIR3" s="120"/>
      <c r="QIS3" s="120"/>
      <c r="QIT3" s="120"/>
      <c r="QIU3" s="120"/>
      <c r="QIV3" s="120"/>
      <c r="QIW3" s="120"/>
      <c r="QIX3" s="120"/>
      <c r="QIY3" s="120"/>
      <c r="QIZ3" s="120"/>
      <c r="QJA3" s="120"/>
      <c r="QJB3" s="120"/>
      <c r="QJC3" s="120"/>
      <c r="QJD3" s="120"/>
      <c r="QJE3" s="120"/>
      <c r="QJF3" s="120"/>
      <c r="QJG3" s="120"/>
      <c r="QJH3" s="120"/>
      <c r="QJI3" s="120"/>
      <c r="QJJ3" s="120"/>
      <c r="QJK3" s="120"/>
      <c r="QJL3" s="120"/>
      <c r="QJM3" s="120"/>
      <c r="QJN3" s="120"/>
      <c r="QJO3" s="120"/>
      <c r="QJP3" s="120"/>
      <c r="QJQ3" s="120"/>
      <c r="QJR3" s="120"/>
      <c r="QJS3" s="120"/>
      <c r="QJT3" s="120"/>
      <c r="QJU3" s="120"/>
      <c r="QJV3" s="120"/>
      <c r="QJW3" s="120"/>
      <c r="QJX3" s="120"/>
      <c r="QJY3" s="120"/>
      <c r="QJZ3" s="120"/>
      <c r="QKA3" s="120"/>
      <c r="QKB3" s="120"/>
      <c r="QKC3" s="120"/>
      <c r="QKD3" s="120"/>
      <c r="QKE3" s="120"/>
      <c r="QKF3" s="120"/>
      <c r="QKG3" s="120"/>
      <c r="QKH3" s="120"/>
      <c r="QKI3" s="120"/>
      <c r="QKJ3" s="120"/>
      <c r="QKK3" s="120"/>
      <c r="QKL3" s="120"/>
      <c r="QKM3" s="120"/>
      <c r="QKN3" s="120"/>
      <c r="QKO3" s="120"/>
      <c r="QKP3" s="120"/>
      <c r="QKQ3" s="120"/>
      <c r="QKR3" s="120"/>
      <c r="QKS3" s="120"/>
      <c r="QKT3" s="120"/>
      <c r="QKU3" s="120"/>
      <c r="QKV3" s="120"/>
      <c r="QKW3" s="120"/>
      <c r="QKX3" s="120"/>
      <c r="QKY3" s="120"/>
      <c r="QKZ3" s="120"/>
      <c r="QLA3" s="120"/>
      <c r="QLB3" s="120"/>
      <c r="QLC3" s="120"/>
      <c r="QLD3" s="120"/>
      <c r="QLE3" s="120"/>
      <c r="QLF3" s="120"/>
      <c r="QLG3" s="120"/>
      <c r="QLH3" s="120"/>
      <c r="QLI3" s="120"/>
      <c r="QLJ3" s="120"/>
      <c r="QLK3" s="120"/>
      <c r="QLL3" s="120"/>
      <c r="QLM3" s="120"/>
      <c r="QLN3" s="120"/>
      <c r="QLO3" s="120"/>
      <c r="QLP3" s="120"/>
      <c r="QLQ3" s="120"/>
      <c r="QLR3" s="120"/>
      <c r="QLS3" s="120"/>
      <c r="QLT3" s="120"/>
      <c r="QLU3" s="120"/>
      <c r="QLV3" s="120"/>
      <c r="QLW3" s="120"/>
      <c r="QLX3" s="120"/>
      <c r="QLY3" s="120"/>
      <c r="QLZ3" s="120"/>
      <c r="QMA3" s="120"/>
      <c r="QMB3" s="120"/>
      <c r="QMC3" s="120"/>
      <c r="QMD3" s="120"/>
      <c r="QME3" s="120"/>
      <c r="QMF3" s="120"/>
      <c r="QMG3" s="120"/>
      <c r="QMH3" s="120"/>
      <c r="QMI3" s="120"/>
      <c r="QMJ3" s="120"/>
      <c r="QMK3" s="120"/>
      <c r="QML3" s="120"/>
      <c r="QMM3" s="120"/>
      <c r="QMN3" s="120"/>
      <c r="QMO3" s="120"/>
      <c r="QMP3" s="120"/>
      <c r="QMQ3" s="120"/>
      <c r="QMR3" s="120"/>
      <c r="QMS3" s="120"/>
      <c r="QMT3" s="120"/>
      <c r="QMU3" s="120"/>
      <c r="QMV3" s="120"/>
      <c r="QMW3" s="120"/>
      <c r="QMX3" s="120"/>
      <c r="QMY3" s="120"/>
      <c r="QMZ3" s="120"/>
      <c r="QNA3" s="120"/>
      <c r="QNB3" s="120"/>
      <c r="QNC3" s="120"/>
      <c r="QND3" s="120"/>
      <c r="QNE3" s="120"/>
      <c r="QNF3" s="120"/>
      <c r="QNG3" s="120"/>
      <c r="QNH3" s="120"/>
      <c r="QNI3" s="120"/>
      <c r="QNJ3" s="120"/>
      <c r="QNK3" s="120"/>
      <c r="QNL3" s="120"/>
      <c r="QNM3" s="120"/>
      <c r="QNN3" s="120"/>
      <c r="QNO3" s="120"/>
      <c r="QNP3" s="120"/>
      <c r="QNQ3" s="120"/>
      <c r="QNR3" s="120"/>
      <c r="QNS3" s="120"/>
      <c r="QNT3" s="120"/>
      <c r="QNU3" s="120"/>
      <c r="QNV3" s="120"/>
      <c r="QNW3" s="120"/>
      <c r="QNX3" s="120"/>
      <c r="QNY3" s="120"/>
      <c r="QNZ3" s="120"/>
      <c r="QOA3" s="120"/>
      <c r="QOB3" s="120"/>
      <c r="QOC3" s="120"/>
      <c r="QOD3" s="120"/>
      <c r="QOE3" s="120"/>
      <c r="QOF3" s="120"/>
      <c r="QOG3" s="120"/>
      <c r="QOH3" s="120"/>
      <c r="QOI3" s="120"/>
      <c r="QOJ3" s="120"/>
      <c r="QOK3" s="120"/>
      <c r="QOL3" s="120"/>
      <c r="QOM3" s="120"/>
      <c r="QON3" s="120"/>
      <c r="QOO3" s="120"/>
      <c r="QOP3" s="120"/>
      <c r="QOQ3" s="120"/>
      <c r="QOR3" s="120"/>
      <c r="QOS3" s="120"/>
      <c r="QOT3" s="120"/>
      <c r="QOU3" s="120"/>
      <c r="QOV3" s="120"/>
      <c r="QOW3" s="120"/>
      <c r="QOX3" s="120"/>
      <c r="QOY3" s="120"/>
      <c r="QOZ3" s="120"/>
      <c r="QPA3" s="120"/>
      <c r="QPB3" s="120"/>
      <c r="QPC3" s="120"/>
      <c r="QPD3" s="120"/>
      <c r="QPE3" s="120"/>
      <c r="QPF3" s="120"/>
      <c r="QPG3" s="120"/>
      <c r="QPH3" s="120"/>
      <c r="QPI3" s="120"/>
      <c r="QPJ3" s="120"/>
      <c r="QPK3" s="120"/>
      <c r="QPL3" s="120"/>
      <c r="QPM3" s="120"/>
      <c r="QPN3" s="120"/>
      <c r="QPO3" s="120"/>
      <c r="QPP3" s="120"/>
      <c r="QPQ3" s="120"/>
      <c r="QPR3" s="120"/>
      <c r="QPS3" s="120"/>
      <c r="QPT3" s="120"/>
      <c r="QPU3" s="120"/>
      <c r="QPV3" s="120"/>
      <c r="QPW3" s="120"/>
      <c r="QPX3" s="120"/>
      <c r="QPY3" s="120"/>
      <c r="QPZ3" s="120"/>
      <c r="QQA3" s="120"/>
      <c r="QQB3" s="120"/>
      <c r="QQC3" s="120"/>
      <c r="QQD3" s="120"/>
      <c r="QQE3" s="120"/>
      <c r="QQF3" s="120"/>
      <c r="QQG3" s="120"/>
      <c r="QQH3" s="120"/>
      <c r="QQI3" s="120"/>
      <c r="QQJ3" s="120"/>
      <c r="QQK3" s="120"/>
      <c r="QQL3" s="120"/>
      <c r="QQM3" s="120"/>
      <c r="QQN3" s="120"/>
      <c r="QQO3" s="120"/>
      <c r="QQP3" s="120"/>
      <c r="QQQ3" s="120"/>
      <c r="QQR3" s="120"/>
      <c r="QQS3" s="120"/>
      <c r="QQT3" s="120"/>
      <c r="QQU3" s="120"/>
      <c r="QQV3" s="120"/>
      <c r="QQW3" s="120"/>
      <c r="QQX3" s="120"/>
      <c r="QQY3" s="120"/>
      <c r="QQZ3" s="120"/>
      <c r="QRA3" s="120"/>
      <c r="QRB3" s="120"/>
      <c r="QRC3" s="120"/>
      <c r="QRD3" s="120"/>
      <c r="QRE3" s="120"/>
      <c r="QRF3" s="120"/>
      <c r="QRG3" s="120"/>
      <c r="QRH3" s="120"/>
      <c r="QRI3" s="120"/>
      <c r="QRJ3" s="120"/>
      <c r="QRK3" s="120"/>
      <c r="QRL3" s="120"/>
      <c r="QRM3" s="120"/>
      <c r="QRN3" s="120"/>
      <c r="QRO3" s="120"/>
      <c r="QRP3" s="120"/>
      <c r="QRQ3" s="120"/>
      <c r="QRR3" s="120"/>
      <c r="QRS3" s="120"/>
      <c r="QRT3" s="120"/>
      <c r="QRU3" s="120"/>
      <c r="QRV3" s="120"/>
      <c r="QRW3" s="120"/>
      <c r="QRX3" s="120"/>
      <c r="QRY3" s="120"/>
      <c r="QRZ3" s="120"/>
      <c r="QSA3" s="120"/>
      <c r="QSB3" s="120"/>
      <c r="QSC3" s="120"/>
      <c r="QSD3" s="120"/>
      <c r="QSE3" s="120"/>
      <c r="QSF3" s="120"/>
      <c r="QSG3" s="120"/>
      <c r="QSH3" s="120"/>
      <c r="QSI3" s="120"/>
      <c r="QSJ3" s="120"/>
      <c r="QSK3" s="120"/>
      <c r="QSL3" s="120"/>
      <c r="QSM3" s="120"/>
      <c r="QSN3" s="120"/>
      <c r="QSO3" s="120"/>
      <c r="QSP3" s="120"/>
      <c r="QSQ3" s="120"/>
      <c r="QSR3" s="120"/>
      <c r="QSS3" s="120"/>
      <c r="QST3" s="120"/>
      <c r="QSU3" s="120"/>
      <c r="QSV3" s="120"/>
      <c r="QSW3" s="120"/>
      <c r="QSX3" s="120"/>
      <c r="QSY3" s="120"/>
      <c r="QSZ3" s="120"/>
      <c r="QTA3" s="120"/>
      <c r="QTB3" s="120"/>
      <c r="QTC3" s="120"/>
      <c r="QTD3" s="120"/>
      <c r="QTE3" s="120"/>
      <c r="QTF3" s="120"/>
      <c r="QTG3" s="120"/>
      <c r="QTH3" s="120"/>
      <c r="QTI3" s="120"/>
      <c r="QTJ3" s="120"/>
      <c r="QTK3" s="120"/>
      <c r="QTL3" s="120"/>
      <c r="QTM3" s="120"/>
      <c r="QTN3" s="120"/>
      <c r="QTO3" s="120"/>
      <c r="QTP3" s="120"/>
      <c r="QTQ3" s="120"/>
      <c r="QTR3" s="120"/>
      <c r="QTS3" s="120"/>
      <c r="QTT3" s="120"/>
      <c r="QTU3" s="120"/>
      <c r="QTV3" s="120"/>
      <c r="QTW3" s="120"/>
      <c r="QTX3" s="120"/>
      <c r="QTY3" s="120"/>
      <c r="QTZ3" s="120"/>
      <c r="QUA3" s="120"/>
      <c r="QUB3" s="120"/>
      <c r="QUC3" s="120"/>
      <c r="QUD3" s="120"/>
      <c r="QUE3" s="120"/>
      <c r="QUF3" s="120"/>
      <c r="QUG3" s="120"/>
      <c r="QUH3" s="120"/>
      <c r="QUI3" s="120"/>
      <c r="QUJ3" s="120"/>
      <c r="QUK3" s="120"/>
      <c r="QUL3" s="120"/>
      <c r="QUM3" s="120"/>
      <c r="QUN3" s="120"/>
      <c r="QUO3" s="120"/>
      <c r="QUP3" s="120"/>
      <c r="QUQ3" s="120"/>
      <c r="QUR3" s="120"/>
      <c r="QUS3" s="120"/>
      <c r="QUT3" s="120"/>
      <c r="QUU3" s="120"/>
      <c r="QUV3" s="120"/>
      <c r="QUW3" s="120"/>
      <c r="QUX3" s="120"/>
      <c r="QUY3" s="120"/>
      <c r="QUZ3" s="120"/>
      <c r="QVA3" s="120"/>
      <c r="QVB3" s="120"/>
      <c r="QVC3" s="120"/>
      <c r="QVD3" s="120"/>
      <c r="QVE3" s="120"/>
      <c r="QVF3" s="120"/>
      <c r="QVG3" s="120"/>
      <c r="QVH3" s="120"/>
      <c r="QVI3" s="120"/>
      <c r="QVJ3" s="120"/>
      <c r="QVK3" s="120"/>
      <c r="QVL3" s="120"/>
      <c r="QVM3" s="120"/>
      <c r="QVN3" s="120"/>
      <c r="QVO3" s="120"/>
      <c r="QVP3" s="120"/>
      <c r="QVQ3" s="120"/>
      <c r="QVR3" s="120"/>
      <c r="QVS3" s="120"/>
      <c r="QVT3" s="120"/>
      <c r="QVU3" s="120"/>
      <c r="QVV3" s="120"/>
      <c r="QVW3" s="120"/>
      <c r="QVX3" s="120"/>
      <c r="QVY3" s="120"/>
      <c r="QVZ3" s="120"/>
      <c r="QWA3" s="120"/>
      <c r="QWB3" s="120"/>
      <c r="QWC3" s="120"/>
      <c r="QWD3" s="120"/>
      <c r="QWE3" s="120"/>
      <c r="QWF3" s="120"/>
      <c r="QWG3" s="120"/>
      <c r="QWH3" s="120"/>
      <c r="QWI3" s="120"/>
      <c r="QWJ3" s="120"/>
      <c r="QWK3" s="120"/>
      <c r="QWL3" s="120"/>
      <c r="QWM3" s="120"/>
      <c r="QWN3" s="120"/>
      <c r="QWO3" s="120"/>
      <c r="QWP3" s="120"/>
      <c r="QWQ3" s="120"/>
      <c r="QWR3" s="120"/>
      <c r="QWS3" s="120"/>
      <c r="QWT3" s="120"/>
      <c r="QWU3" s="120"/>
      <c r="QWV3" s="120"/>
      <c r="QWW3" s="120"/>
      <c r="QWX3" s="120"/>
      <c r="QWY3" s="120"/>
      <c r="QWZ3" s="120"/>
      <c r="QXA3" s="120"/>
      <c r="QXB3" s="120"/>
      <c r="QXC3" s="120"/>
      <c r="QXD3" s="120"/>
      <c r="QXE3" s="120"/>
      <c r="QXF3" s="120"/>
      <c r="QXG3" s="120"/>
      <c r="QXH3" s="120"/>
      <c r="QXI3" s="120"/>
      <c r="QXJ3" s="120"/>
      <c r="QXK3" s="120"/>
      <c r="QXL3" s="120"/>
      <c r="QXM3" s="120"/>
      <c r="QXN3" s="120"/>
      <c r="QXO3" s="120"/>
      <c r="QXP3" s="120"/>
      <c r="QXQ3" s="120"/>
      <c r="QXR3" s="120"/>
      <c r="QXS3" s="120"/>
      <c r="QXT3" s="120"/>
      <c r="QXU3" s="120"/>
      <c r="QXV3" s="120"/>
      <c r="QXW3" s="120"/>
      <c r="QXX3" s="120"/>
      <c r="QXY3" s="120"/>
      <c r="QXZ3" s="120"/>
      <c r="QYA3" s="120"/>
      <c r="QYB3" s="120"/>
      <c r="QYC3" s="120"/>
      <c r="QYD3" s="120"/>
      <c r="QYE3" s="120"/>
      <c r="QYF3" s="120"/>
      <c r="QYG3" s="120"/>
      <c r="QYH3" s="120"/>
      <c r="QYI3" s="120"/>
      <c r="QYJ3" s="120"/>
      <c r="QYK3" s="120"/>
      <c r="QYL3" s="120"/>
      <c r="QYM3" s="120"/>
      <c r="QYN3" s="120"/>
      <c r="QYO3" s="120"/>
      <c r="QYP3" s="120"/>
      <c r="QYQ3" s="120"/>
      <c r="QYR3" s="120"/>
      <c r="QYS3" s="120"/>
      <c r="QYT3" s="120"/>
      <c r="QYU3" s="120"/>
      <c r="QYV3" s="120"/>
      <c r="QYW3" s="120"/>
      <c r="QYX3" s="120"/>
      <c r="QYY3" s="120"/>
      <c r="QYZ3" s="120"/>
      <c r="QZA3" s="120"/>
      <c r="QZB3" s="120"/>
      <c r="QZC3" s="120"/>
      <c r="QZD3" s="120"/>
      <c r="QZE3" s="120"/>
      <c r="QZF3" s="120"/>
      <c r="QZG3" s="120"/>
      <c r="QZH3" s="120"/>
      <c r="QZI3" s="120"/>
      <c r="QZJ3" s="120"/>
      <c r="QZK3" s="120"/>
      <c r="QZL3" s="120"/>
      <c r="QZM3" s="120"/>
      <c r="QZN3" s="120"/>
      <c r="QZO3" s="120"/>
      <c r="QZP3" s="120"/>
      <c r="QZQ3" s="120"/>
      <c r="QZR3" s="120"/>
      <c r="QZS3" s="120"/>
      <c r="QZT3" s="120"/>
      <c r="QZU3" s="120"/>
      <c r="QZV3" s="120"/>
      <c r="QZW3" s="120"/>
      <c r="QZX3" s="120"/>
      <c r="QZY3" s="120"/>
      <c r="QZZ3" s="120"/>
      <c r="RAA3" s="120"/>
      <c r="RAB3" s="120"/>
      <c r="RAC3" s="120"/>
      <c r="RAD3" s="120"/>
      <c r="RAE3" s="120"/>
      <c r="RAF3" s="120"/>
      <c r="RAG3" s="120"/>
      <c r="RAH3" s="120"/>
      <c r="RAI3" s="120"/>
      <c r="RAJ3" s="120"/>
      <c r="RAK3" s="120"/>
      <c r="RAL3" s="120"/>
      <c r="RAM3" s="120"/>
      <c r="RAN3" s="120"/>
      <c r="RAO3" s="120"/>
      <c r="RAP3" s="120"/>
      <c r="RAQ3" s="120"/>
      <c r="RAR3" s="120"/>
      <c r="RAS3" s="120"/>
      <c r="RAT3" s="120"/>
      <c r="RAU3" s="120"/>
      <c r="RAV3" s="120"/>
      <c r="RAW3" s="120"/>
      <c r="RAX3" s="120"/>
      <c r="RAY3" s="120"/>
      <c r="RAZ3" s="120"/>
      <c r="RBA3" s="120"/>
      <c r="RBB3" s="120"/>
      <c r="RBC3" s="120"/>
      <c r="RBD3" s="120"/>
      <c r="RBE3" s="120"/>
      <c r="RBF3" s="120"/>
      <c r="RBG3" s="120"/>
      <c r="RBH3" s="120"/>
      <c r="RBI3" s="120"/>
      <c r="RBJ3" s="120"/>
      <c r="RBK3" s="120"/>
      <c r="RBL3" s="120"/>
      <c r="RBM3" s="120"/>
      <c r="RBN3" s="120"/>
      <c r="RBO3" s="120"/>
      <c r="RBP3" s="120"/>
      <c r="RBQ3" s="120"/>
      <c r="RBR3" s="120"/>
      <c r="RBS3" s="120"/>
      <c r="RBT3" s="120"/>
      <c r="RBU3" s="120"/>
      <c r="RBV3" s="120"/>
      <c r="RBW3" s="120"/>
      <c r="RBX3" s="120"/>
      <c r="RBY3" s="120"/>
      <c r="RBZ3" s="120"/>
      <c r="RCA3" s="120"/>
      <c r="RCB3" s="120"/>
      <c r="RCC3" s="120"/>
      <c r="RCD3" s="120"/>
      <c r="RCE3" s="120"/>
      <c r="RCF3" s="120"/>
      <c r="RCG3" s="120"/>
      <c r="RCH3" s="120"/>
      <c r="RCI3" s="120"/>
      <c r="RCJ3" s="120"/>
      <c r="RCK3" s="120"/>
      <c r="RCL3" s="120"/>
      <c r="RCM3" s="120"/>
      <c r="RCN3" s="120"/>
      <c r="RCO3" s="120"/>
      <c r="RCP3" s="120"/>
      <c r="RCQ3" s="120"/>
      <c r="RCR3" s="120"/>
      <c r="RCS3" s="120"/>
      <c r="RCT3" s="120"/>
      <c r="RCU3" s="120"/>
      <c r="RCV3" s="120"/>
      <c r="RCW3" s="120"/>
      <c r="RCX3" s="120"/>
      <c r="RCY3" s="120"/>
      <c r="RCZ3" s="120"/>
      <c r="RDA3" s="120"/>
      <c r="RDB3" s="120"/>
      <c r="RDC3" s="120"/>
      <c r="RDD3" s="120"/>
      <c r="RDE3" s="120"/>
      <c r="RDF3" s="120"/>
      <c r="RDG3" s="120"/>
      <c r="RDH3" s="120"/>
      <c r="RDI3" s="120"/>
      <c r="RDJ3" s="120"/>
      <c r="RDK3" s="120"/>
      <c r="RDL3" s="120"/>
      <c r="RDM3" s="120"/>
      <c r="RDN3" s="120"/>
      <c r="RDO3" s="120"/>
      <c r="RDP3" s="120"/>
      <c r="RDQ3" s="120"/>
      <c r="RDR3" s="120"/>
      <c r="RDS3" s="120"/>
      <c r="RDT3" s="120"/>
      <c r="RDU3" s="120"/>
      <c r="RDV3" s="120"/>
      <c r="RDW3" s="120"/>
      <c r="RDX3" s="120"/>
      <c r="RDY3" s="120"/>
      <c r="RDZ3" s="120"/>
      <c r="REA3" s="120"/>
      <c r="REB3" s="120"/>
      <c r="REC3" s="120"/>
      <c r="RED3" s="120"/>
      <c r="REE3" s="120"/>
      <c r="REF3" s="120"/>
      <c r="REG3" s="120"/>
      <c r="REH3" s="120"/>
      <c r="REI3" s="120"/>
      <c r="REJ3" s="120"/>
      <c r="REK3" s="120"/>
      <c r="REL3" s="120"/>
      <c r="REM3" s="120"/>
      <c r="REN3" s="120"/>
      <c r="REO3" s="120"/>
      <c r="REP3" s="120"/>
      <c r="REQ3" s="120"/>
      <c r="RER3" s="120"/>
      <c r="RES3" s="120"/>
      <c r="RET3" s="120"/>
      <c r="REU3" s="120"/>
      <c r="REV3" s="120"/>
      <c r="REW3" s="120"/>
      <c r="REX3" s="120"/>
      <c r="REY3" s="120"/>
      <c r="REZ3" s="120"/>
      <c r="RFA3" s="120"/>
      <c r="RFB3" s="120"/>
      <c r="RFC3" s="120"/>
      <c r="RFD3" s="120"/>
      <c r="RFE3" s="120"/>
      <c r="RFF3" s="120"/>
      <c r="RFG3" s="120"/>
      <c r="RFH3" s="120"/>
      <c r="RFI3" s="120"/>
      <c r="RFJ3" s="120"/>
      <c r="RFK3" s="120"/>
      <c r="RFL3" s="120"/>
      <c r="RFM3" s="120"/>
      <c r="RFN3" s="120"/>
      <c r="RFO3" s="120"/>
      <c r="RFP3" s="120"/>
      <c r="RFQ3" s="120"/>
      <c r="RFR3" s="120"/>
      <c r="RFS3" s="120"/>
      <c r="RFT3" s="120"/>
      <c r="RFU3" s="120"/>
      <c r="RFV3" s="120"/>
      <c r="RFW3" s="120"/>
      <c r="RFX3" s="120"/>
      <c r="RFY3" s="120"/>
      <c r="RFZ3" s="120"/>
      <c r="RGA3" s="120"/>
      <c r="RGB3" s="120"/>
      <c r="RGC3" s="120"/>
      <c r="RGD3" s="120"/>
      <c r="RGE3" s="120"/>
      <c r="RGF3" s="120"/>
      <c r="RGG3" s="120"/>
      <c r="RGH3" s="120"/>
      <c r="RGI3" s="120"/>
      <c r="RGJ3" s="120"/>
      <c r="RGK3" s="120"/>
      <c r="RGL3" s="120"/>
      <c r="RGM3" s="120"/>
      <c r="RGN3" s="120"/>
      <c r="RGO3" s="120"/>
      <c r="RGP3" s="120"/>
      <c r="RGQ3" s="120"/>
      <c r="RGR3" s="120"/>
      <c r="RGS3" s="120"/>
      <c r="RGT3" s="120"/>
      <c r="RGU3" s="120"/>
      <c r="RGV3" s="120"/>
      <c r="RGW3" s="120"/>
      <c r="RGX3" s="120"/>
      <c r="RGY3" s="120"/>
      <c r="RGZ3" s="120"/>
      <c r="RHA3" s="120"/>
      <c r="RHB3" s="120"/>
      <c r="RHC3" s="120"/>
      <c r="RHD3" s="120"/>
      <c r="RHE3" s="120"/>
      <c r="RHF3" s="120"/>
      <c r="RHG3" s="120"/>
      <c r="RHH3" s="120"/>
      <c r="RHI3" s="120"/>
      <c r="RHJ3" s="120"/>
      <c r="RHK3" s="120"/>
      <c r="RHL3" s="120"/>
      <c r="RHM3" s="120"/>
      <c r="RHN3" s="120"/>
      <c r="RHO3" s="120"/>
      <c r="RHP3" s="120"/>
      <c r="RHQ3" s="120"/>
      <c r="RHR3" s="120"/>
      <c r="RHS3" s="120"/>
      <c r="RHT3" s="120"/>
      <c r="RHU3" s="120"/>
      <c r="RHV3" s="120"/>
      <c r="RHW3" s="120"/>
      <c r="RHX3" s="120"/>
      <c r="RHY3" s="120"/>
      <c r="RHZ3" s="120"/>
      <c r="RIA3" s="120"/>
      <c r="RIB3" s="120"/>
      <c r="RIC3" s="120"/>
      <c r="RID3" s="120"/>
      <c r="RIE3" s="120"/>
      <c r="RIF3" s="120"/>
      <c r="RIG3" s="120"/>
      <c r="RIH3" s="120"/>
      <c r="RII3" s="120"/>
      <c r="RIJ3" s="120"/>
      <c r="RIK3" s="120"/>
      <c r="RIL3" s="120"/>
      <c r="RIM3" s="120"/>
      <c r="RIN3" s="120"/>
      <c r="RIO3" s="120"/>
      <c r="RIP3" s="120"/>
      <c r="RIQ3" s="120"/>
      <c r="RIR3" s="120"/>
      <c r="RIS3" s="120"/>
      <c r="RIT3" s="120"/>
      <c r="RIU3" s="120"/>
      <c r="RIV3" s="120"/>
      <c r="RIW3" s="120"/>
      <c r="RIX3" s="120"/>
      <c r="RIY3" s="120"/>
      <c r="RIZ3" s="120"/>
      <c r="RJA3" s="120"/>
      <c r="RJB3" s="120"/>
      <c r="RJC3" s="120"/>
      <c r="RJD3" s="120"/>
      <c r="RJE3" s="120"/>
      <c r="RJF3" s="120"/>
      <c r="RJG3" s="120"/>
      <c r="RJH3" s="120"/>
      <c r="RJI3" s="120"/>
      <c r="RJJ3" s="120"/>
      <c r="RJK3" s="120"/>
      <c r="RJL3" s="120"/>
      <c r="RJM3" s="120"/>
      <c r="RJN3" s="120"/>
      <c r="RJO3" s="120"/>
      <c r="RJP3" s="120"/>
      <c r="RJQ3" s="120"/>
      <c r="RJR3" s="120"/>
      <c r="RJS3" s="120"/>
      <c r="RJT3" s="120"/>
      <c r="RJU3" s="120"/>
      <c r="RJV3" s="120"/>
      <c r="RJW3" s="120"/>
      <c r="RJX3" s="120"/>
      <c r="RJY3" s="120"/>
      <c r="RJZ3" s="120"/>
      <c r="RKA3" s="120"/>
      <c r="RKB3" s="120"/>
      <c r="RKC3" s="120"/>
      <c r="RKD3" s="120"/>
      <c r="RKE3" s="120"/>
      <c r="RKF3" s="120"/>
      <c r="RKG3" s="120"/>
      <c r="RKH3" s="120"/>
      <c r="RKI3" s="120"/>
      <c r="RKJ3" s="120"/>
      <c r="RKK3" s="120"/>
      <c r="RKL3" s="120"/>
      <c r="RKM3" s="120"/>
      <c r="RKN3" s="120"/>
      <c r="RKO3" s="120"/>
      <c r="RKP3" s="120"/>
      <c r="RKQ3" s="120"/>
      <c r="RKR3" s="120"/>
      <c r="RKS3" s="120"/>
      <c r="RKT3" s="120"/>
      <c r="RKU3" s="120"/>
      <c r="RKV3" s="120"/>
      <c r="RKW3" s="120"/>
      <c r="RKX3" s="120"/>
      <c r="RKY3" s="120"/>
      <c r="RKZ3" s="120"/>
      <c r="RLA3" s="120"/>
      <c r="RLB3" s="120"/>
      <c r="RLC3" s="120"/>
      <c r="RLD3" s="120"/>
      <c r="RLE3" s="120"/>
      <c r="RLF3" s="120"/>
      <c r="RLG3" s="120"/>
      <c r="RLH3" s="120"/>
      <c r="RLI3" s="120"/>
      <c r="RLJ3" s="120"/>
      <c r="RLK3" s="120"/>
      <c r="RLL3" s="120"/>
      <c r="RLM3" s="120"/>
      <c r="RLN3" s="120"/>
      <c r="RLO3" s="120"/>
      <c r="RLP3" s="120"/>
      <c r="RLQ3" s="120"/>
      <c r="RLR3" s="120"/>
      <c r="RLS3" s="120"/>
      <c r="RLT3" s="120"/>
      <c r="RLU3" s="120"/>
      <c r="RLV3" s="120"/>
      <c r="RLW3" s="120"/>
      <c r="RLX3" s="120"/>
      <c r="RLY3" s="120"/>
      <c r="RLZ3" s="120"/>
      <c r="RMA3" s="120"/>
      <c r="RMB3" s="120"/>
      <c r="RMC3" s="120"/>
      <c r="RMD3" s="120"/>
      <c r="RME3" s="120"/>
      <c r="RMF3" s="120"/>
      <c r="RMG3" s="120"/>
      <c r="RMH3" s="120"/>
      <c r="RMI3" s="120"/>
      <c r="RMJ3" s="120"/>
      <c r="RMK3" s="120"/>
      <c r="RML3" s="120"/>
      <c r="RMM3" s="120"/>
      <c r="RMN3" s="120"/>
      <c r="RMO3" s="120"/>
      <c r="RMP3" s="120"/>
      <c r="RMQ3" s="120"/>
      <c r="RMR3" s="120"/>
      <c r="RMS3" s="120"/>
      <c r="RMT3" s="120"/>
      <c r="RMU3" s="120"/>
      <c r="RMV3" s="120"/>
      <c r="RMW3" s="120"/>
      <c r="RMX3" s="120"/>
      <c r="RMY3" s="120"/>
      <c r="RMZ3" s="120"/>
      <c r="RNA3" s="120"/>
      <c r="RNB3" s="120"/>
      <c r="RNC3" s="120"/>
      <c r="RND3" s="120"/>
      <c r="RNE3" s="120"/>
      <c r="RNF3" s="120"/>
      <c r="RNG3" s="120"/>
      <c r="RNH3" s="120"/>
      <c r="RNI3" s="120"/>
      <c r="RNJ3" s="120"/>
      <c r="RNK3" s="120"/>
      <c r="RNL3" s="120"/>
      <c r="RNM3" s="120"/>
      <c r="RNN3" s="120"/>
      <c r="RNO3" s="120"/>
      <c r="RNP3" s="120"/>
      <c r="RNQ3" s="120"/>
      <c r="RNR3" s="120"/>
      <c r="RNS3" s="120"/>
      <c r="RNT3" s="120"/>
      <c r="RNU3" s="120"/>
      <c r="RNV3" s="120"/>
      <c r="RNW3" s="120"/>
      <c r="RNX3" s="120"/>
      <c r="RNY3" s="120"/>
      <c r="RNZ3" s="120"/>
      <c r="ROA3" s="120"/>
      <c r="ROB3" s="120"/>
      <c r="ROC3" s="120"/>
      <c r="ROD3" s="120"/>
      <c r="ROE3" s="120"/>
      <c r="ROF3" s="120"/>
      <c r="ROG3" s="120"/>
      <c r="ROH3" s="120"/>
      <c r="ROI3" s="120"/>
      <c r="ROJ3" s="120"/>
      <c r="ROK3" s="120"/>
      <c r="ROL3" s="120"/>
      <c r="ROM3" s="120"/>
      <c r="RON3" s="120"/>
      <c r="ROO3" s="120"/>
      <c r="ROP3" s="120"/>
      <c r="ROQ3" s="120"/>
      <c r="ROR3" s="120"/>
      <c r="ROS3" s="120"/>
      <c r="ROT3" s="120"/>
      <c r="ROU3" s="120"/>
      <c r="ROV3" s="120"/>
      <c r="ROW3" s="120"/>
      <c r="ROX3" s="120"/>
      <c r="ROY3" s="120"/>
      <c r="ROZ3" s="120"/>
      <c r="RPA3" s="120"/>
      <c r="RPB3" s="120"/>
      <c r="RPC3" s="120"/>
      <c r="RPD3" s="120"/>
      <c r="RPE3" s="120"/>
      <c r="RPF3" s="120"/>
      <c r="RPG3" s="120"/>
      <c r="RPH3" s="120"/>
      <c r="RPI3" s="120"/>
      <c r="RPJ3" s="120"/>
      <c r="RPK3" s="120"/>
      <c r="RPL3" s="120"/>
      <c r="RPM3" s="120"/>
      <c r="RPN3" s="120"/>
      <c r="RPO3" s="120"/>
      <c r="RPP3" s="120"/>
      <c r="RPQ3" s="120"/>
      <c r="RPR3" s="120"/>
      <c r="RPS3" s="120"/>
      <c r="RPT3" s="120"/>
      <c r="RPU3" s="120"/>
      <c r="RPV3" s="120"/>
      <c r="RPW3" s="120"/>
      <c r="RPX3" s="120"/>
      <c r="RPY3" s="120"/>
      <c r="RPZ3" s="120"/>
      <c r="RQA3" s="120"/>
      <c r="RQB3" s="120"/>
      <c r="RQC3" s="120"/>
      <c r="RQD3" s="120"/>
      <c r="RQE3" s="120"/>
      <c r="RQF3" s="120"/>
      <c r="RQG3" s="120"/>
      <c r="RQH3" s="120"/>
      <c r="RQI3" s="120"/>
      <c r="RQJ3" s="120"/>
      <c r="RQK3" s="120"/>
      <c r="RQL3" s="120"/>
      <c r="RQM3" s="120"/>
      <c r="RQN3" s="120"/>
      <c r="RQO3" s="120"/>
      <c r="RQP3" s="120"/>
      <c r="RQQ3" s="120"/>
      <c r="RQR3" s="120"/>
      <c r="RQS3" s="120"/>
      <c r="RQT3" s="120"/>
      <c r="RQU3" s="120"/>
      <c r="RQV3" s="120"/>
      <c r="RQW3" s="120"/>
      <c r="RQX3" s="120"/>
      <c r="RQY3" s="120"/>
      <c r="RQZ3" s="120"/>
      <c r="RRA3" s="120"/>
      <c r="RRB3" s="120"/>
      <c r="RRC3" s="120"/>
      <c r="RRD3" s="120"/>
      <c r="RRE3" s="120"/>
      <c r="RRF3" s="120"/>
      <c r="RRG3" s="120"/>
      <c r="RRH3" s="120"/>
      <c r="RRI3" s="120"/>
      <c r="RRJ3" s="120"/>
      <c r="RRK3" s="120"/>
      <c r="RRL3" s="120"/>
      <c r="RRM3" s="120"/>
      <c r="RRN3" s="120"/>
      <c r="RRO3" s="120"/>
      <c r="RRP3" s="120"/>
      <c r="RRQ3" s="120"/>
      <c r="RRR3" s="120"/>
      <c r="RRS3" s="120"/>
      <c r="RRT3" s="120"/>
      <c r="RRU3" s="120"/>
      <c r="RRV3" s="120"/>
      <c r="RRW3" s="120"/>
      <c r="RRX3" s="120"/>
      <c r="RRY3" s="120"/>
      <c r="RRZ3" s="120"/>
      <c r="RSA3" s="120"/>
      <c r="RSB3" s="120"/>
      <c r="RSC3" s="120"/>
      <c r="RSD3" s="120"/>
      <c r="RSE3" s="120"/>
      <c r="RSF3" s="120"/>
      <c r="RSG3" s="120"/>
      <c r="RSH3" s="120"/>
      <c r="RSI3" s="120"/>
      <c r="RSJ3" s="120"/>
      <c r="RSK3" s="120"/>
      <c r="RSL3" s="120"/>
      <c r="RSM3" s="120"/>
      <c r="RSN3" s="120"/>
      <c r="RSO3" s="120"/>
      <c r="RSP3" s="120"/>
      <c r="RSQ3" s="120"/>
      <c r="RSR3" s="120"/>
      <c r="RSS3" s="120"/>
      <c r="RST3" s="120"/>
      <c r="RSU3" s="120"/>
      <c r="RSV3" s="120"/>
      <c r="RSW3" s="120"/>
      <c r="RSX3" s="120"/>
      <c r="RSY3" s="120"/>
      <c r="RSZ3" s="120"/>
      <c r="RTA3" s="120"/>
      <c r="RTB3" s="120"/>
      <c r="RTC3" s="120"/>
      <c r="RTD3" s="120"/>
      <c r="RTE3" s="120"/>
      <c r="RTF3" s="120"/>
      <c r="RTG3" s="120"/>
      <c r="RTH3" s="120"/>
      <c r="RTI3" s="120"/>
      <c r="RTJ3" s="120"/>
      <c r="RTK3" s="120"/>
      <c r="RTL3" s="120"/>
      <c r="RTM3" s="120"/>
      <c r="RTN3" s="120"/>
      <c r="RTO3" s="120"/>
      <c r="RTP3" s="120"/>
      <c r="RTQ3" s="120"/>
      <c r="RTR3" s="120"/>
      <c r="RTS3" s="120"/>
      <c r="RTT3" s="120"/>
      <c r="RTU3" s="120"/>
      <c r="RTV3" s="120"/>
      <c r="RTW3" s="120"/>
      <c r="RTX3" s="120"/>
      <c r="RTY3" s="120"/>
      <c r="RTZ3" s="120"/>
      <c r="RUA3" s="120"/>
      <c r="RUB3" s="120"/>
      <c r="RUC3" s="120"/>
      <c r="RUD3" s="120"/>
      <c r="RUE3" s="120"/>
      <c r="RUF3" s="120"/>
      <c r="RUG3" s="120"/>
      <c r="RUH3" s="120"/>
      <c r="RUI3" s="120"/>
      <c r="RUJ3" s="120"/>
      <c r="RUK3" s="120"/>
      <c r="RUL3" s="120"/>
      <c r="RUM3" s="120"/>
      <c r="RUN3" s="120"/>
      <c r="RUO3" s="120"/>
      <c r="RUP3" s="120"/>
      <c r="RUQ3" s="120"/>
      <c r="RUR3" s="120"/>
      <c r="RUS3" s="120"/>
      <c r="RUT3" s="120"/>
      <c r="RUU3" s="120"/>
      <c r="RUV3" s="120"/>
      <c r="RUW3" s="120"/>
      <c r="RUX3" s="120"/>
      <c r="RUY3" s="120"/>
      <c r="RUZ3" s="120"/>
      <c r="RVA3" s="120"/>
      <c r="RVB3" s="120"/>
      <c r="RVC3" s="120"/>
      <c r="RVD3" s="120"/>
      <c r="RVE3" s="120"/>
      <c r="RVF3" s="120"/>
      <c r="RVG3" s="120"/>
      <c r="RVH3" s="120"/>
      <c r="RVI3" s="120"/>
      <c r="RVJ3" s="120"/>
      <c r="RVK3" s="120"/>
      <c r="RVL3" s="120"/>
      <c r="RVM3" s="120"/>
      <c r="RVN3" s="120"/>
      <c r="RVO3" s="120"/>
      <c r="RVP3" s="120"/>
      <c r="RVQ3" s="120"/>
      <c r="RVR3" s="120"/>
      <c r="RVS3" s="120"/>
      <c r="RVT3" s="120"/>
      <c r="RVU3" s="120"/>
      <c r="RVV3" s="120"/>
      <c r="RVW3" s="120"/>
      <c r="RVX3" s="120"/>
      <c r="RVY3" s="120"/>
      <c r="RVZ3" s="120"/>
      <c r="RWA3" s="120"/>
      <c r="RWB3" s="120"/>
      <c r="RWC3" s="120"/>
      <c r="RWD3" s="120"/>
      <c r="RWE3" s="120"/>
      <c r="RWF3" s="120"/>
      <c r="RWG3" s="120"/>
      <c r="RWH3" s="120"/>
      <c r="RWI3" s="120"/>
      <c r="RWJ3" s="120"/>
      <c r="RWK3" s="120"/>
      <c r="RWL3" s="120"/>
      <c r="RWM3" s="120"/>
      <c r="RWN3" s="120"/>
      <c r="RWO3" s="120"/>
      <c r="RWP3" s="120"/>
      <c r="RWQ3" s="120"/>
      <c r="RWR3" s="120"/>
      <c r="RWS3" s="120"/>
      <c r="RWT3" s="120"/>
      <c r="RWU3" s="120"/>
      <c r="RWV3" s="120"/>
      <c r="RWW3" s="120"/>
      <c r="RWX3" s="120"/>
      <c r="RWY3" s="120"/>
      <c r="RWZ3" s="120"/>
      <c r="RXA3" s="120"/>
      <c r="RXB3" s="120"/>
      <c r="RXC3" s="120"/>
      <c r="RXD3" s="120"/>
      <c r="RXE3" s="120"/>
      <c r="RXF3" s="120"/>
      <c r="RXG3" s="120"/>
      <c r="RXH3" s="120"/>
      <c r="RXI3" s="120"/>
      <c r="RXJ3" s="120"/>
      <c r="RXK3" s="120"/>
      <c r="RXL3" s="120"/>
      <c r="RXM3" s="120"/>
      <c r="RXN3" s="120"/>
      <c r="RXO3" s="120"/>
      <c r="RXP3" s="120"/>
      <c r="RXQ3" s="120"/>
      <c r="RXR3" s="120"/>
      <c r="RXS3" s="120"/>
      <c r="RXT3" s="120"/>
      <c r="RXU3" s="120"/>
      <c r="RXV3" s="120"/>
      <c r="RXW3" s="120"/>
      <c r="RXX3" s="120"/>
      <c r="RXY3" s="120"/>
      <c r="RXZ3" s="120"/>
      <c r="RYA3" s="120"/>
      <c r="RYB3" s="120"/>
      <c r="RYC3" s="120"/>
      <c r="RYD3" s="120"/>
      <c r="RYE3" s="120"/>
      <c r="RYF3" s="120"/>
      <c r="RYG3" s="120"/>
      <c r="RYH3" s="120"/>
      <c r="RYI3" s="120"/>
      <c r="RYJ3" s="120"/>
      <c r="RYK3" s="120"/>
      <c r="RYL3" s="120"/>
      <c r="RYM3" s="120"/>
      <c r="RYN3" s="120"/>
      <c r="RYO3" s="120"/>
      <c r="RYP3" s="120"/>
      <c r="RYQ3" s="120"/>
      <c r="RYR3" s="120"/>
      <c r="RYS3" s="120"/>
      <c r="RYT3" s="120"/>
      <c r="RYU3" s="120"/>
      <c r="RYV3" s="120"/>
      <c r="RYW3" s="120"/>
      <c r="RYX3" s="120"/>
      <c r="RYY3" s="120"/>
      <c r="RYZ3" s="120"/>
      <c r="RZA3" s="120"/>
      <c r="RZB3" s="120"/>
      <c r="RZC3" s="120"/>
      <c r="RZD3" s="120"/>
      <c r="RZE3" s="120"/>
      <c r="RZF3" s="120"/>
      <c r="RZG3" s="120"/>
      <c r="RZH3" s="120"/>
      <c r="RZI3" s="120"/>
      <c r="RZJ3" s="120"/>
      <c r="RZK3" s="120"/>
      <c r="RZL3" s="120"/>
      <c r="RZM3" s="120"/>
      <c r="RZN3" s="120"/>
      <c r="RZO3" s="120"/>
      <c r="RZP3" s="120"/>
      <c r="RZQ3" s="120"/>
      <c r="RZR3" s="120"/>
      <c r="RZS3" s="120"/>
      <c r="RZT3" s="120"/>
      <c r="RZU3" s="120"/>
      <c r="RZV3" s="120"/>
      <c r="RZW3" s="120"/>
      <c r="RZX3" s="120"/>
      <c r="RZY3" s="120"/>
      <c r="RZZ3" s="120"/>
      <c r="SAA3" s="120"/>
      <c r="SAB3" s="120"/>
      <c r="SAC3" s="120"/>
      <c r="SAD3" s="120"/>
      <c r="SAE3" s="120"/>
      <c r="SAF3" s="120"/>
      <c r="SAG3" s="120"/>
      <c r="SAH3" s="120"/>
      <c r="SAI3" s="120"/>
      <c r="SAJ3" s="120"/>
      <c r="SAK3" s="120"/>
      <c r="SAL3" s="120"/>
      <c r="SAM3" s="120"/>
      <c r="SAN3" s="120"/>
      <c r="SAO3" s="120"/>
      <c r="SAP3" s="120"/>
      <c r="SAQ3" s="120"/>
      <c r="SAR3" s="120"/>
      <c r="SAS3" s="120"/>
      <c r="SAT3" s="120"/>
      <c r="SAU3" s="120"/>
      <c r="SAV3" s="120"/>
      <c r="SAW3" s="120"/>
      <c r="SAX3" s="120"/>
      <c r="SAY3" s="120"/>
      <c r="SAZ3" s="120"/>
      <c r="SBA3" s="120"/>
      <c r="SBB3" s="120"/>
      <c r="SBC3" s="120"/>
      <c r="SBD3" s="120"/>
      <c r="SBE3" s="120"/>
      <c r="SBF3" s="120"/>
      <c r="SBG3" s="120"/>
      <c r="SBH3" s="120"/>
      <c r="SBI3" s="120"/>
      <c r="SBJ3" s="120"/>
      <c r="SBK3" s="120"/>
      <c r="SBL3" s="120"/>
      <c r="SBM3" s="120"/>
      <c r="SBN3" s="120"/>
      <c r="SBO3" s="120"/>
      <c r="SBP3" s="120"/>
      <c r="SBQ3" s="120"/>
      <c r="SBR3" s="120"/>
      <c r="SBS3" s="120"/>
      <c r="SBT3" s="120"/>
      <c r="SBU3" s="120"/>
      <c r="SBV3" s="120"/>
      <c r="SBW3" s="120"/>
      <c r="SBX3" s="120"/>
      <c r="SBY3" s="120"/>
      <c r="SBZ3" s="120"/>
      <c r="SCA3" s="120"/>
      <c r="SCB3" s="120"/>
      <c r="SCC3" s="120"/>
      <c r="SCD3" s="120"/>
      <c r="SCE3" s="120"/>
      <c r="SCF3" s="120"/>
      <c r="SCG3" s="120"/>
      <c r="SCH3" s="120"/>
      <c r="SCI3" s="120"/>
      <c r="SCJ3" s="120"/>
      <c r="SCK3" s="120"/>
      <c r="SCL3" s="120"/>
      <c r="SCM3" s="120"/>
      <c r="SCN3" s="120"/>
      <c r="SCO3" s="120"/>
      <c r="SCP3" s="120"/>
      <c r="SCQ3" s="120"/>
      <c r="SCR3" s="120"/>
      <c r="SCS3" s="120"/>
      <c r="SCT3" s="120"/>
      <c r="SCU3" s="120"/>
      <c r="SCV3" s="120"/>
      <c r="SCW3" s="120"/>
      <c r="SCX3" s="120"/>
      <c r="SCY3" s="120"/>
      <c r="SCZ3" s="120"/>
      <c r="SDA3" s="120"/>
      <c r="SDB3" s="120"/>
      <c r="SDC3" s="120"/>
      <c r="SDD3" s="120"/>
      <c r="SDE3" s="120"/>
      <c r="SDF3" s="120"/>
      <c r="SDG3" s="120"/>
      <c r="SDH3" s="120"/>
      <c r="SDI3" s="120"/>
      <c r="SDJ3" s="120"/>
      <c r="SDK3" s="120"/>
      <c r="SDL3" s="120"/>
      <c r="SDM3" s="120"/>
      <c r="SDN3" s="120"/>
      <c r="SDO3" s="120"/>
      <c r="SDP3" s="120"/>
      <c r="SDQ3" s="120"/>
      <c r="SDR3" s="120"/>
      <c r="SDS3" s="120"/>
      <c r="SDT3" s="120"/>
      <c r="SDU3" s="120"/>
      <c r="SDV3" s="120"/>
      <c r="SDW3" s="120"/>
      <c r="SDX3" s="120"/>
      <c r="SDY3" s="120"/>
      <c r="SDZ3" s="120"/>
      <c r="SEA3" s="120"/>
      <c r="SEB3" s="120"/>
      <c r="SEC3" s="120"/>
      <c r="SED3" s="120"/>
      <c r="SEE3" s="120"/>
      <c r="SEF3" s="120"/>
      <c r="SEG3" s="120"/>
      <c r="SEH3" s="120"/>
      <c r="SEI3" s="120"/>
      <c r="SEJ3" s="120"/>
      <c r="SEK3" s="120"/>
      <c r="SEL3" s="120"/>
      <c r="SEM3" s="120"/>
      <c r="SEN3" s="120"/>
      <c r="SEO3" s="120"/>
      <c r="SEP3" s="120"/>
      <c r="SEQ3" s="120"/>
      <c r="SER3" s="120"/>
      <c r="SES3" s="120"/>
      <c r="SET3" s="120"/>
      <c r="SEU3" s="120"/>
      <c r="SEV3" s="120"/>
      <c r="SEW3" s="120"/>
      <c r="SEX3" s="120"/>
      <c r="SEY3" s="120"/>
      <c r="SEZ3" s="120"/>
      <c r="SFA3" s="120"/>
      <c r="SFB3" s="120"/>
      <c r="SFC3" s="120"/>
      <c r="SFD3" s="120"/>
      <c r="SFE3" s="120"/>
      <c r="SFF3" s="120"/>
      <c r="SFG3" s="120"/>
      <c r="SFH3" s="120"/>
      <c r="SFI3" s="120"/>
      <c r="SFJ3" s="120"/>
      <c r="SFK3" s="120"/>
      <c r="SFL3" s="120"/>
      <c r="SFM3" s="120"/>
      <c r="SFN3" s="120"/>
      <c r="SFO3" s="120"/>
      <c r="SFP3" s="120"/>
      <c r="SFQ3" s="120"/>
      <c r="SFR3" s="120"/>
      <c r="SFS3" s="120"/>
      <c r="SFT3" s="120"/>
      <c r="SFU3" s="120"/>
      <c r="SFV3" s="120"/>
      <c r="SFW3" s="120"/>
      <c r="SFX3" s="120"/>
      <c r="SFY3" s="120"/>
      <c r="SFZ3" s="120"/>
      <c r="SGA3" s="120"/>
      <c r="SGB3" s="120"/>
      <c r="SGC3" s="120"/>
      <c r="SGD3" s="120"/>
      <c r="SGE3" s="120"/>
      <c r="SGF3" s="120"/>
      <c r="SGG3" s="120"/>
      <c r="SGH3" s="120"/>
      <c r="SGI3" s="120"/>
      <c r="SGJ3" s="120"/>
      <c r="SGK3" s="120"/>
      <c r="SGL3" s="120"/>
      <c r="SGM3" s="120"/>
      <c r="SGN3" s="120"/>
      <c r="SGO3" s="120"/>
      <c r="SGP3" s="120"/>
      <c r="SGQ3" s="120"/>
      <c r="SGR3" s="120"/>
      <c r="SGS3" s="120"/>
      <c r="SGT3" s="120"/>
      <c r="SGU3" s="120"/>
      <c r="SGV3" s="120"/>
      <c r="SGW3" s="120"/>
      <c r="SGX3" s="120"/>
      <c r="SGY3" s="120"/>
      <c r="SGZ3" s="120"/>
      <c r="SHA3" s="120"/>
      <c r="SHB3" s="120"/>
      <c r="SHC3" s="120"/>
      <c r="SHD3" s="120"/>
      <c r="SHE3" s="120"/>
      <c r="SHF3" s="120"/>
      <c r="SHG3" s="120"/>
      <c r="SHH3" s="120"/>
      <c r="SHI3" s="120"/>
      <c r="SHJ3" s="120"/>
      <c r="SHK3" s="120"/>
      <c r="SHL3" s="120"/>
      <c r="SHM3" s="120"/>
      <c r="SHN3" s="120"/>
      <c r="SHO3" s="120"/>
      <c r="SHP3" s="120"/>
      <c r="SHQ3" s="120"/>
      <c r="SHR3" s="120"/>
      <c r="SHS3" s="120"/>
      <c r="SHT3" s="120"/>
      <c r="SHU3" s="120"/>
      <c r="SHV3" s="120"/>
      <c r="SHW3" s="120"/>
      <c r="SHX3" s="120"/>
      <c r="SHY3" s="120"/>
      <c r="SHZ3" s="120"/>
      <c r="SIA3" s="120"/>
      <c r="SIB3" s="120"/>
      <c r="SIC3" s="120"/>
      <c r="SID3" s="120"/>
      <c r="SIE3" s="120"/>
      <c r="SIF3" s="120"/>
      <c r="SIG3" s="120"/>
      <c r="SIH3" s="120"/>
      <c r="SII3" s="120"/>
      <c r="SIJ3" s="120"/>
      <c r="SIK3" s="120"/>
      <c r="SIL3" s="120"/>
      <c r="SIM3" s="120"/>
      <c r="SIN3" s="120"/>
      <c r="SIO3" s="120"/>
      <c r="SIP3" s="120"/>
      <c r="SIQ3" s="120"/>
      <c r="SIR3" s="120"/>
      <c r="SIS3" s="120"/>
      <c r="SIT3" s="120"/>
      <c r="SIU3" s="120"/>
      <c r="SIV3" s="120"/>
      <c r="SIW3" s="120"/>
      <c r="SIX3" s="120"/>
      <c r="SIY3" s="120"/>
      <c r="SIZ3" s="120"/>
      <c r="SJA3" s="120"/>
      <c r="SJB3" s="120"/>
      <c r="SJC3" s="120"/>
      <c r="SJD3" s="120"/>
      <c r="SJE3" s="120"/>
      <c r="SJF3" s="120"/>
      <c r="SJG3" s="120"/>
      <c r="SJH3" s="120"/>
      <c r="SJI3" s="120"/>
      <c r="SJJ3" s="120"/>
      <c r="SJK3" s="120"/>
      <c r="SJL3" s="120"/>
      <c r="SJM3" s="120"/>
      <c r="SJN3" s="120"/>
      <c r="SJO3" s="120"/>
      <c r="SJP3" s="120"/>
      <c r="SJQ3" s="120"/>
      <c r="SJR3" s="120"/>
      <c r="SJS3" s="120"/>
      <c r="SJT3" s="120"/>
      <c r="SJU3" s="120"/>
      <c r="SJV3" s="120"/>
      <c r="SJW3" s="120"/>
      <c r="SJX3" s="120"/>
      <c r="SJY3" s="120"/>
      <c r="SJZ3" s="120"/>
      <c r="SKA3" s="120"/>
      <c r="SKB3" s="120"/>
      <c r="SKC3" s="120"/>
      <c r="SKD3" s="120"/>
      <c r="SKE3" s="120"/>
      <c r="SKF3" s="120"/>
      <c r="SKG3" s="120"/>
      <c r="SKH3" s="120"/>
      <c r="SKI3" s="120"/>
      <c r="SKJ3" s="120"/>
      <c r="SKK3" s="120"/>
      <c r="SKL3" s="120"/>
      <c r="SKM3" s="120"/>
      <c r="SKN3" s="120"/>
      <c r="SKO3" s="120"/>
      <c r="SKP3" s="120"/>
      <c r="SKQ3" s="120"/>
      <c r="SKR3" s="120"/>
      <c r="SKS3" s="120"/>
      <c r="SKT3" s="120"/>
      <c r="SKU3" s="120"/>
      <c r="SKV3" s="120"/>
      <c r="SKW3" s="120"/>
      <c r="SKX3" s="120"/>
      <c r="SKY3" s="120"/>
      <c r="SKZ3" s="120"/>
      <c r="SLA3" s="120"/>
      <c r="SLB3" s="120"/>
      <c r="SLC3" s="120"/>
      <c r="SLD3" s="120"/>
      <c r="SLE3" s="120"/>
      <c r="SLF3" s="120"/>
      <c r="SLG3" s="120"/>
      <c r="SLH3" s="120"/>
      <c r="SLI3" s="120"/>
      <c r="SLJ3" s="120"/>
      <c r="SLK3" s="120"/>
      <c r="SLL3" s="120"/>
      <c r="SLM3" s="120"/>
      <c r="SLN3" s="120"/>
      <c r="SLO3" s="120"/>
      <c r="SLP3" s="120"/>
      <c r="SLQ3" s="120"/>
      <c r="SLR3" s="120"/>
      <c r="SLS3" s="120"/>
      <c r="SLT3" s="120"/>
      <c r="SLU3" s="120"/>
      <c r="SLV3" s="120"/>
      <c r="SLW3" s="120"/>
      <c r="SLX3" s="120"/>
      <c r="SLY3" s="120"/>
      <c r="SLZ3" s="120"/>
      <c r="SMA3" s="120"/>
      <c r="SMB3" s="120"/>
      <c r="SMC3" s="120"/>
      <c r="SMD3" s="120"/>
      <c r="SME3" s="120"/>
      <c r="SMF3" s="120"/>
      <c r="SMG3" s="120"/>
      <c r="SMH3" s="120"/>
      <c r="SMI3" s="120"/>
      <c r="SMJ3" s="120"/>
      <c r="SMK3" s="120"/>
      <c r="SML3" s="120"/>
      <c r="SMM3" s="120"/>
      <c r="SMN3" s="120"/>
      <c r="SMO3" s="120"/>
      <c r="SMP3" s="120"/>
      <c r="SMQ3" s="120"/>
      <c r="SMR3" s="120"/>
      <c r="SMS3" s="120"/>
      <c r="SMT3" s="120"/>
      <c r="SMU3" s="120"/>
      <c r="SMV3" s="120"/>
      <c r="SMW3" s="120"/>
      <c r="SMX3" s="120"/>
      <c r="SMY3" s="120"/>
      <c r="SMZ3" s="120"/>
      <c r="SNA3" s="120"/>
      <c r="SNB3" s="120"/>
      <c r="SNC3" s="120"/>
      <c r="SND3" s="120"/>
      <c r="SNE3" s="120"/>
      <c r="SNF3" s="120"/>
      <c r="SNG3" s="120"/>
      <c r="SNH3" s="120"/>
      <c r="SNI3" s="120"/>
      <c r="SNJ3" s="120"/>
      <c r="SNK3" s="120"/>
      <c r="SNL3" s="120"/>
      <c r="SNM3" s="120"/>
      <c r="SNN3" s="120"/>
      <c r="SNO3" s="120"/>
      <c r="SNP3" s="120"/>
      <c r="SNQ3" s="120"/>
      <c r="SNR3" s="120"/>
      <c r="SNS3" s="120"/>
      <c r="SNT3" s="120"/>
      <c r="SNU3" s="120"/>
      <c r="SNV3" s="120"/>
      <c r="SNW3" s="120"/>
      <c r="SNX3" s="120"/>
      <c r="SNY3" s="120"/>
      <c r="SNZ3" s="120"/>
      <c r="SOA3" s="120"/>
      <c r="SOB3" s="120"/>
      <c r="SOC3" s="120"/>
      <c r="SOD3" s="120"/>
      <c r="SOE3" s="120"/>
      <c r="SOF3" s="120"/>
      <c r="SOG3" s="120"/>
      <c r="SOH3" s="120"/>
      <c r="SOI3" s="120"/>
      <c r="SOJ3" s="120"/>
      <c r="SOK3" s="120"/>
      <c r="SOL3" s="120"/>
      <c r="SOM3" s="120"/>
      <c r="SON3" s="120"/>
      <c r="SOO3" s="120"/>
      <c r="SOP3" s="120"/>
      <c r="SOQ3" s="120"/>
      <c r="SOR3" s="120"/>
      <c r="SOS3" s="120"/>
      <c r="SOT3" s="120"/>
      <c r="SOU3" s="120"/>
      <c r="SOV3" s="120"/>
      <c r="SOW3" s="120"/>
      <c r="SOX3" s="120"/>
      <c r="SOY3" s="120"/>
      <c r="SOZ3" s="120"/>
      <c r="SPA3" s="120"/>
      <c r="SPB3" s="120"/>
      <c r="SPC3" s="120"/>
      <c r="SPD3" s="120"/>
      <c r="SPE3" s="120"/>
      <c r="SPF3" s="120"/>
      <c r="SPG3" s="120"/>
      <c r="SPH3" s="120"/>
      <c r="SPI3" s="120"/>
      <c r="SPJ3" s="120"/>
      <c r="SPK3" s="120"/>
      <c r="SPL3" s="120"/>
      <c r="SPM3" s="120"/>
      <c r="SPN3" s="120"/>
      <c r="SPO3" s="120"/>
      <c r="SPP3" s="120"/>
      <c r="SPQ3" s="120"/>
      <c r="SPR3" s="120"/>
      <c r="SPS3" s="120"/>
      <c r="SPT3" s="120"/>
      <c r="SPU3" s="120"/>
      <c r="SPV3" s="120"/>
      <c r="SPW3" s="120"/>
      <c r="SPX3" s="120"/>
      <c r="SPY3" s="120"/>
      <c r="SPZ3" s="120"/>
      <c r="SQA3" s="120"/>
      <c r="SQB3" s="120"/>
      <c r="SQC3" s="120"/>
      <c r="SQD3" s="120"/>
      <c r="SQE3" s="120"/>
      <c r="SQF3" s="120"/>
      <c r="SQG3" s="120"/>
      <c r="SQH3" s="120"/>
      <c r="SQI3" s="120"/>
      <c r="SQJ3" s="120"/>
      <c r="SQK3" s="120"/>
      <c r="SQL3" s="120"/>
      <c r="SQM3" s="120"/>
      <c r="SQN3" s="120"/>
      <c r="SQO3" s="120"/>
      <c r="SQP3" s="120"/>
      <c r="SQQ3" s="120"/>
      <c r="SQR3" s="120"/>
      <c r="SQS3" s="120"/>
      <c r="SQT3" s="120"/>
      <c r="SQU3" s="120"/>
      <c r="SQV3" s="120"/>
      <c r="SQW3" s="120"/>
      <c r="SQX3" s="120"/>
      <c r="SQY3" s="120"/>
      <c r="SQZ3" s="120"/>
      <c r="SRA3" s="120"/>
      <c r="SRB3" s="120"/>
      <c r="SRC3" s="120"/>
      <c r="SRD3" s="120"/>
      <c r="SRE3" s="120"/>
      <c r="SRF3" s="120"/>
      <c r="SRG3" s="120"/>
      <c r="SRH3" s="120"/>
      <c r="SRI3" s="120"/>
      <c r="SRJ3" s="120"/>
      <c r="SRK3" s="120"/>
      <c r="SRL3" s="120"/>
      <c r="SRM3" s="120"/>
      <c r="SRN3" s="120"/>
      <c r="SRO3" s="120"/>
      <c r="SRP3" s="120"/>
      <c r="SRQ3" s="120"/>
      <c r="SRR3" s="120"/>
      <c r="SRS3" s="120"/>
      <c r="SRT3" s="120"/>
      <c r="SRU3" s="120"/>
      <c r="SRV3" s="120"/>
      <c r="SRW3" s="120"/>
      <c r="SRX3" s="120"/>
      <c r="SRY3" s="120"/>
      <c r="SRZ3" s="120"/>
      <c r="SSA3" s="120"/>
      <c r="SSB3" s="120"/>
      <c r="SSC3" s="120"/>
      <c r="SSD3" s="120"/>
      <c r="SSE3" s="120"/>
      <c r="SSF3" s="120"/>
      <c r="SSG3" s="120"/>
      <c r="SSH3" s="120"/>
      <c r="SSI3" s="120"/>
      <c r="SSJ3" s="120"/>
      <c r="SSK3" s="120"/>
      <c r="SSL3" s="120"/>
      <c r="SSM3" s="120"/>
      <c r="SSN3" s="120"/>
      <c r="SSO3" s="120"/>
      <c r="SSP3" s="120"/>
      <c r="SSQ3" s="120"/>
      <c r="SSR3" s="120"/>
      <c r="SSS3" s="120"/>
      <c r="SST3" s="120"/>
      <c r="SSU3" s="120"/>
      <c r="SSV3" s="120"/>
      <c r="SSW3" s="120"/>
      <c r="SSX3" s="120"/>
      <c r="SSY3" s="120"/>
      <c r="SSZ3" s="120"/>
      <c r="STA3" s="120"/>
      <c r="STB3" s="120"/>
      <c r="STC3" s="120"/>
      <c r="STD3" s="120"/>
      <c r="STE3" s="120"/>
      <c r="STF3" s="120"/>
      <c r="STG3" s="120"/>
      <c r="STH3" s="120"/>
      <c r="STI3" s="120"/>
      <c r="STJ3" s="120"/>
      <c r="STK3" s="120"/>
      <c r="STL3" s="120"/>
      <c r="STM3" s="120"/>
      <c r="STN3" s="120"/>
      <c r="STO3" s="120"/>
      <c r="STP3" s="120"/>
      <c r="STQ3" s="120"/>
      <c r="STR3" s="120"/>
      <c r="STS3" s="120"/>
      <c r="STT3" s="120"/>
      <c r="STU3" s="120"/>
      <c r="STV3" s="120"/>
      <c r="STW3" s="120"/>
      <c r="STX3" s="120"/>
      <c r="STY3" s="120"/>
      <c r="STZ3" s="120"/>
      <c r="SUA3" s="120"/>
      <c r="SUB3" s="120"/>
      <c r="SUC3" s="120"/>
      <c r="SUD3" s="120"/>
      <c r="SUE3" s="120"/>
      <c r="SUF3" s="120"/>
      <c r="SUG3" s="120"/>
      <c r="SUH3" s="120"/>
      <c r="SUI3" s="120"/>
      <c r="SUJ3" s="120"/>
      <c r="SUK3" s="120"/>
      <c r="SUL3" s="120"/>
      <c r="SUM3" s="120"/>
      <c r="SUN3" s="120"/>
      <c r="SUO3" s="120"/>
      <c r="SUP3" s="120"/>
      <c r="SUQ3" s="120"/>
      <c r="SUR3" s="120"/>
      <c r="SUS3" s="120"/>
      <c r="SUT3" s="120"/>
      <c r="SUU3" s="120"/>
      <c r="SUV3" s="120"/>
      <c r="SUW3" s="120"/>
      <c r="SUX3" s="120"/>
      <c r="SUY3" s="120"/>
      <c r="SUZ3" s="120"/>
      <c r="SVA3" s="120"/>
      <c r="SVB3" s="120"/>
      <c r="SVC3" s="120"/>
      <c r="SVD3" s="120"/>
      <c r="SVE3" s="120"/>
      <c r="SVF3" s="120"/>
      <c r="SVG3" s="120"/>
      <c r="SVH3" s="120"/>
      <c r="SVI3" s="120"/>
      <c r="SVJ3" s="120"/>
      <c r="SVK3" s="120"/>
      <c r="SVL3" s="120"/>
      <c r="SVM3" s="120"/>
      <c r="SVN3" s="120"/>
      <c r="SVO3" s="120"/>
      <c r="SVP3" s="120"/>
      <c r="SVQ3" s="120"/>
      <c r="SVR3" s="120"/>
      <c r="SVS3" s="120"/>
      <c r="SVT3" s="120"/>
      <c r="SVU3" s="120"/>
      <c r="SVV3" s="120"/>
      <c r="SVW3" s="120"/>
      <c r="SVX3" s="120"/>
      <c r="SVY3" s="120"/>
      <c r="SVZ3" s="120"/>
      <c r="SWA3" s="120"/>
      <c r="SWB3" s="120"/>
      <c r="SWC3" s="120"/>
      <c r="SWD3" s="120"/>
      <c r="SWE3" s="120"/>
      <c r="SWF3" s="120"/>
      <c r="SWG3" s="120"/>
      <c r="SWH3" s="120"/>
      <c r="SWI3" s="120"/>
      <c r="SWJ3" s="120"/>
      <c r="SWK3" s="120"/>
      <c r="SWL3" s="120"/>
      <c r="SWM3" s="120"/>
      <c r="SWN3" s="120"/>
      <c r="SWO3" s="120"/>
      <c r="SWP3" s="120"/>
      <c r="SWQ3" s="120"/>
      <c r="SWR3" s="120"/>
      <c r="SWS3" s="120"/>
      <c r="SWT3" s="120"/>
      <c r="SWU3" s="120"/>
      <c r="SWV3" s="120"/>
      <c r="SWW3" s="120"/>
      <c r="SWX3" s="120"/>
      <c r="SWY3" s="120"/>
      <c r="SWZ3" s="120"/>
      <c r="SXA3" s="120"/>
      <c r="SXB3" s="120"/>
      <c r="SXC3" s="120"/>
      <c r="SXD3" s="120"/>
      <c r="SXE3" s="120"/>
      <c r="SXF3" s="120"/>
      <c r="SXG3" s="120"/>
      <c r="SXH3" s="120"/>
      <c r="SXI3" s="120"/>
      <c r="SXJ3" s="120"/>
      <c r="SXK3" s="120"/>
      <c r="SXL3" s="120"/>
      <c r="SXM3" s="120"/>
      <c r="SXN3" s="120"/>
      <c r="SXO3" s="120"/>
      <c r="SXP3" s="120"/>
      <c r="SXQ3" s="120"/>
      <c r="SXR3" s="120"/>
      <c r="SXS3" s="120"/>
      <c r="SXT3" s="120"/>
      <c r="SXU3" s="120"/>
      <c r="SXV3" s="120"/>
      <c r="SXW3" s="120"/>
      <c r="SXX3" s="120"/>
      <c r="SXY3" s="120"/>
      <c r="SXZ3" s="120"/>
      <c r="SYA3" s="120"/>
      <c r="SYB3" s="120"/>
      <c r="SYC3" s="120"/>
      <c r="SYD3" s="120"/>
      <c r="SYE3" s="120"/>
      <c r="SYF3" s="120"/>
      <c r="SYG3" s="120"/>
      <c r="SYH3" s="120"/>
      <c r="SYI3" s="120"/>
      <c r="SYJ3" s="120"/>
      <c r="SYK3" s="120"/>
      <c r="SYL3" s="120"/>
      <c r="SYM3" s="120"/>
      <c r="SYN3" s="120"/>
      <c r="SYO3" s="120"/>
      <c r="SYP3" s="120"/>
      <c r="SYQ3" s="120"/>
      <c r="SYR3" s="120"/>
      <c r="SYS3" s="120"/>
      <c r="SYT3" s="120"/>
      <c r="SYU3" s="120"/>
      <c r="SYV3" s="120"/>
      <c r="SYW3" s="120"/>
      <c r="SYX3" s="120"/>
      <c r="SYY3" s="120"/>
      <c r="SYZ3" s="120"/>
      <c r="SZA3" s="120"/>
      <c r="SZB3" s="120"/>
      <c r="SZC3" s="120"/>
      <c r="SZD3" s="120"/>
      <c r="SZE3" s="120"/>
      <c r="SZF3" s="120"/>
      <c r="SZG3" s="120"/>
      <c r="SZH3" s="120"/>
      <c r="SZI3" s="120"/>
      <c r="SZJ3" s="120"/>
      <c r="SZK3" s="120"/>
      <c r="SZL3" s="120"/>
      <c r="SZM3" s="120"/>
      <c r="SZN3" s="120"/>
      <c r="SZO3" s="120"/>
      <c r="SZP3" s="120"/>
      <c r="SZQ3" s="120"/>
      <c r="SZR3" s="120"/>
      <c r="SZS3" s="120"/>
      <c r="SZT3" s="120"/>
      <c r="SZU3" s="120"/>
      <c r="SZV3" s="120"/>
      <c r="SZW3" s="120"/>
      <c r="SZX3" s="120"/>
      <c r="SZY3" s="120"/>
      <c r="SZZ3" s="120"/>
      <c r="TAA3" s="120"/>
      <c r="TAB3" s="120"/>
      <c r="TAC3" s="120"/>
      <c r="TAD3" s="120"/>
      <c r="TAE3" s="120"/>
      <c r="TAF3" s="120"/>
      <c r="TAG3" s="120"/>
      <c r="TAH3" s="120"/>
      <c r="TAI3" s="120"/>
      <c r="TAJ3" s="120"/>
      <c r="TAK3" s="120"/>
      <c r="TAL3" s="120"/>
      <c r="TAM3" s="120"/>
      <c r="TAN3" s="120"/>
      <c r="TAO3" s="120"/>
      <c r="TAP3" s="120"/>
      <c r="TAQ3" s="120"/>
      <c r="TAR3" s="120"/>
      <c r="TAS3" s="120"/>
      <c r="TAT3" s="120"/>
      <c r="TAU3" s="120"/>
      <c r="TAV3" s="120"/>
      <c r="TAW3" s="120"/>
      <c r="TAX3" s="120"/>
      <c r="TAY3" s="120"/>
      <c r="TAZ3" s="120"/>
      <c r="TBA3" s="120"/>
      <c r="TBB3" s="120"/>
      <c r="TBC3" s="120"/>
      <c r="TBD3" s="120"/>
      <c r="TBE3" s="120"/>
      <c r="TBF3" s="120"/>
      <c r="TBG3" s="120"/>
      <c r="TBH3" s="120"/>
      <c r="TBI3" s="120"/>
      <c r="TBJ3" s="120"/>
      <c r="TBK3" s="120"/>
      <c r="TBL3" s="120"/>
      <c r="TBM3" s="120"/>
      <c r="TBN3" s="120"/>
      <c r="TBO3" s="120"/>
      <c r="TBP3" s="120"/>
      <c r="TBQ3" s="120"/>
      <c r="TBR3" s="120"/>
      <c r="TBS3" s="120"/>
      <c r="TBT3" s="120"/>
      <c r="TBU3" s="120"/>
      <c r="TBV3" s="120"/>
      <c r="TBW3" s="120"/>
      <c r="TBX3" s="120"/>
      <c r="TBY3" s="120"/>
      <c r="TBZ3" s="120"/>
      <c r="TCA3" s="120"/>
      <c r="TCB3" s="120"/>
      <c r="TCC3" s="120"/>
      <c r="TCD3" s="120"/>
      <c r="TCE3" s="120"/>
      <c r="TCF3" s="120"/>
      <c r="TCG3" s="120"/>
      <c r="TCH3" s="120"/>
      <c r="TCI3" s="120"/>
      <c r="TCJ3" s="120"/>
      <c r="TCK3" s="120"/>
      <c r="TCL3" s="120"/>
      <c r="TCM3" s="120"/>
      <c r="TCN3" s="120"/>
      <c r="TCO3" s="120"/>
      <c r="TCP3" s="120"/>
      <c r="TCQ3" s="120"/>
      <c r="TCR3" s="120"/>
      <c r="TCS3" s="120"/>
      <c r="TCT3" s="120"/>
      <c r="TCU3" s="120"/>
      <c r="TCV3" s="120"/>
      <c r="TCW3" s="120"/>
      <c r="TCX3" s="120"/>
      <c r="TCY3" s="120"/>
      <c r="TCZ3" s="120"/>
      <c r="TDA3" s="120"/>
      <c r="TDB3" s="120"/>
      <c r="TDC3" s="120"/>
      <c r="TDD3" s="120"/>
      <c r="TDE3" s="120"/>
      <c r="TDF3" s="120"/>
      <c r="TDG3" s="120"/>
      <c r="TDH3" s="120"/>
      <c r="TDI3" s="120"/>
      <c r="TDJ3" s="120"/>
      <c r="TDK3" s="120"/>
      <c r="TDL3" s="120"/>
      <c r="TDM3" s="120"/>
      <c r="TDN3" s="120"/>
      <c r="TDO3" s="120"/>
      <c r="TDP3" s="120"/>
      <c r="TDQ3" s="120"/>
      <c r="TDR3" s="120"/>
      <c r="TDS3" s="120"/>
      <c r="TDT3" s="120"/>
      <c r="TDU3" s="120"/>
      <c r="TDV3" s="120"/>
      <c r="TDW3" s="120"/>
      <c r="TDX3" s="120"/>
      <c r="TDY3" s="120"/>
      <c r="TDZ3" s="120"/>
      <c r="TEA3" s="120"/>
      <c r="TEB3" s="120"/>
      <c r="TEC3" s="120"/>
      <c r="TED3" s="120"/>
      <c r="TEE3" s="120"/>
      <c r="TEF3" s="120"/>
      <c r="TEG3" s="120"/>
      <c r="TEH3" s="120"/>
      <c r="TEI3" s="120"/>
      <c r="TEJ3" s="120"/>
      <c r="TEK3" s="120"/>
      <c r="TEL3" s="120"/>
      <c r="TEM3" s="120"/>
      <c r="TEN3" s="120"/>
      <c r="TEO3" s="120"/>
      <c r="TEP3" s="120"/>
      <c r="TEQ3" s="120"/>
      <c r="TER3" s="120"/>
      <c r="TES3" s="120"/>
      <c r="TET3" s="120"/>
      <c r="TEU3" s="120"/>
      <c r="TEV3" s="120"/>
      <c r="TEW3" s="120"/>
      <c r="TEX3" s="120"/>
      <c r="TEY3" s="120"/>
      <c r="TEZ3" s="120"/>
      <c r="TFA3" s="120"/>
      <c r="TFB3" s="120"/>
      <c r="TFC3" s="120"/>
      <c r="TFD3" s="120"/>
      <c r="TFE3" s="120"/>
      <c r="TFF3" s="120"/>
      <c r="TFG3" s="120"/>
      <c r="TFH3" s="120"/>
      <c r="TFI3" s="120"/>
      <c r="TFJ3" s="120"/>
      <c r="TFK3" s="120"/>
      <c r="TFL3" s="120"/>
      <c r="TFM3" s="120"/>
      <c r="TFN3" s="120"/>
      <c r="TFO3" s="120"/>
      <c r="TFP3" s="120"/>
      <c r="TFQ3" s="120"/>
      <c r="TFR3" s="120"/>
      <c r="TFS3" s="120"/>
      <c r="TFT3" s="120"/>
      <c r="TFU3" s="120"/>
      <c r="TFV3" s="120"/>
      <c r="TFW3" s="120"/>
      <c r="TFX3" s="120"/>
      <c r="TFY3" s="120"/>
      <c r="TFZ3" s="120"/>
      <c r="TGA3" s="120"/>
      <c r="TGB3" s="120"/>
      <c r="TGC3" s="120"/>
      <c r="TGD3" s="120"/>
      <c r="TGE3" s="120"/>
      <c r="TGF3" s="120"/>
      <c r="TGG3" s="120"/>
      <c r="TGH3" s="120"/>
      <c r="TGI3" s="120"/>
      <c r="TGJ3" s="120"/>
      <c r="TGK3" s="120"/>
      <c r="TGL3" s="120"/>
      <c r="TGM3" s="120"/>
      <c r="TGN3" s="120"/>
      <c r="TGO3" s="120"/>
      <c r="TGP3" s="120"/>
      <c r="TGQ3" s="120"/>
      <c r="TGR3" s="120"/>
      <c r="TGS3" s="120"/>
      <c r="TGT3" s="120"/>
      <c r="TGU3" s="120"/>
      <c r="TGV3" s="120"/>
      <c r="TGW3" s="120"/>
      <c r="TGX3" s="120"/>
      <c r="TGY3" s="120"/>
      <c r="TGZ3" s="120"/>
      <c r="THA3" s="120"/>
      <c r="THB3" s="120"/>
      <c r="THC3" s="120"/>
      <c r="THD3" s="120"/>
      <c r="THE3" s="120"/>
      <c r="THF3" s="120"/>
      <c r="THG3" s="120"/>
      <c r="THH3" s="120"/>
      <c r="THI3" s="120"/>
      <c r="THJ3" s="120"/>
      <c r="THK3" s="120"/>
      <c r="THL3" s="120"/>
      <c r="THM3" s="120"/>
      <c r="THN3" s="120"/>
      <c r="THO3" s="120"/>
      <c r="THP3" s="120"/>
      <c r="THQ3" s="120"/>
      <c r="THR3" s="120"/>
      <c r="THS3" s="120"/>
      <c r="THT3" s="120"/>
      <c r="THU3" s="120"/>
      <c r="THV3" s="120"/>
      <c r="THW3" s="120"/>
      <c r="THX3" s="120"/>
      <c r="THY3" s="120"/>
      <c r="THZ3" s="120"/>
      <c r="TIA3" s="120"/>
      <c r="TIB3" s="120"/>
      <c r="TIC3" s="120"/>
      <c r="TID3" s="120"/>
      <c r="TIE3" s="120"/>
      <c r="TIF3" s="120"/>
      <c r="TIG3" s="120"/>
      <c r="TIH3" s="120"/>
      <c r="TII3" s="120"/>
      <c r="TIJ3" s="120"/>
      <c r="TIK3" s="120"/>
      <c r="TIL3" s="120"/>
      <c r="TIM3" s="120"/>
      <c r="TIN3" s="120"/>
      <c r="TIO3" s="120"/>
      <c r="TIP3" s="120"/>
      <c r="TIQ3" s="120"/>
      <c r="TIR3" s="120"/>
      <c r="TIS3" s="120"/>
      <c r="TIT3" s="120"/>
      <c r="TIU3" s="120"/>
      <c r="TIV3" s="120"/>
      <c r="TIW3" s="120"/>
      <c r="TIX3" s="120"/>
      <c r="TIY3" s="120"/>
      <c r="TIZ3" s="120"/>
      <c r="TJA3" s="120"/>
      <c r="TJB3" s="120"/>
      <c r="TJC3" s="120"/>
      <c r="TJD3" s="120"/>
      <c r="TJE3" s="120"/>
      <c r="TJF3" s="120"/>
      <c r="TJG3" s="120"/>
      <c r="TJH3" s="120"/>
      <c r="TJI3" s="120"/>
      <c r="TJJ3" s="120"/>
      <c r="TJK3" s="120"/>
      <c r="TJL3" s="120"/>
      <c r="TJM3" s="120"/>
      <c r="TJN3" s="120"/>
      <c r="TJO3" s="120"/>
      <c r="TJP3" s="120"/>
      <c r="TJQ3" s="120"/>
      <c r="TJR3" s="120"/>
      <c r="TJS3" s="120"/>
      <c r="TJT3" s="120"/>
      <c r="TJU3" s="120"/>
      <c r="TJV3" s="120"/>
      <c r="TJW3" s="120"/>
      <c r="TJX3" s="120"/>
      <c r="TJY3" s="120"/>
      <c r="TJZ3" s="120"/>
      <c r="TKA3" s="120"/>
      <c r="TKB3" s="120"/>
      <c r="TKC3" s="120"/>
      <c r="TKD3" s="120"/>
      <c r="TKE3" s="120"/>
      <c r="TKF3" s="120"/>
      <c r="TKG3" s="120"/>
      <c r="TKH3" s="120"/>
      <c r="TKI3" s="120"/>
      <c r="TKJ3" s="120"/>
      <c r="TKK3" s="120"/>
      <c r="TKL3" s="120"/>
      <c r="TKM3" s="120"/>
      <c r="TKN3" s="120"/>
      <c r="TKO3" s="120"/>
      <c r="TKP3" s="120"/>
      <c r="TKQ3" s="120"/>
      <c r="TKR3" s="120"/>
      <c r="TKS3" s="120"/>
      <c r="TKT3" s="120"/>
      <c r="TKU3" s="120"/>
      <c r="TKV3" s="120"/>
      <c r="TKW3" s="120"/>
      <c r="TKX3" s="120"/>
      <c r="TKY3" s="120"/>
      <c r="TKZ3" s="120"/>
      <c r="TLA3" s="120"/>
      <c r="TLB3" s="120"/>
      <c r="TLC3" s="120"/>
      <c r="TLD3" s="120"/>
      <c r="TLE3" s="120"/>
      <c r="TLF3" s="120"/>
      <c r="TLG3" s="120"/>
      <c r="TLH3" s="120"/>
      <c r="TLI3" s="120"/>
      <c r="TLJ3" s="120"/>
      <c r="TLK3" s="120"/>
      <c r="TLL3" s="120"/>
      <c r="TLM3" s="120"/>
      <c r="TLN3" s="120"/>
      <c r="TLO3" s="120"/>
      <c r="TLP3" s="120"/>
      <c r="TLQ3" s="120"/>
      <c r="TLR3" s="120"/>
      <c r="TLS3" s="120"/>
      <c r="TLT3" s="120"/>
      <c r="TLU3" s="120"/>
      <c r="TLV3" s="120"/>
      <c r="TLW3" s="120"/>
      <c r="TLX3" s="120"/>
      <c r="TLY3" s="120"/>
      <c r="TLZ3" s="120"/>
      <c r="TMA3" s="120"/>
      <c r="TMB3" s="120"/>
      <c r="TMC3" s="120"/>
      <c r="TMD3" s="120"/>
      <c r="TME3" s="120"/>
      <c r="TMF3" s="120"/>
      <c r="TMG3" s="120"/>
      <c r="TMH3" s="120"/>
      <c r="TMI3" s="120"/>
      <c r="TMJ3" s="120"/>
      <c r="TMK3" s="120"/>
      <c r="TML3" s="120"/>
      <c r="TMM3" s="120"/>
      <c r="TMN3" s="120"/>
      <c r="TMO3" s="120"/>
      <c r="TMP3" s="120"/>
      <c r="TMQ3" s="120"/>
      <c r="TMR3" s="120"/>
      <c r="TMS3" s="120"/>
      <c r="TMT3" s="120"/>
      <c r="TMU3" s="120"/>
      <c r="TMV3" s="120"/>
      <c r="TMW3" s="120"/>
      <c r="TMX3" s="120"/>
      <c r="TMY3" s="120"/>
      <c r="TMZ3" s="120"/>
      <c r="TNA3" s="120"/>
      <c r="TNB3" s="120"/>
      <c r="TNC3" s="120"/>
      <c r="TND3" s="120"/>
      <c r="TNE3" s="120"/>
      <c r="TNF3" s="120"/>
      <c r="TNG3" s="120"/>
      <c r="TNH3" s="120"/>
      <c r="TNI3" s="120"/>
      <c r="TNJ3" s="120"/>
      <c r="TNK3" s="120"/>
      <c r="TNL3" s="120"/>
      <c r="TNM3" s="120"/>
      <c r="TNN3" s="120"/>
      <c r="TNO3" s="120"/>
      <c r="TNP3" s="120"/>
      <c r="TNQ3" s="120"/>
      <c r="TNR3" s="120"/>
      <c r="TNS3" s="120"/>
      <c r="TNT3" s="120"/>
      <c r="TNU3" s="120"/>
      <c r="TNV3" s="120"/>
      <c r="TNW3" s="120"/>
      <c r="TNX3" s="120"/>
      <c r="TNY3" s="120"/>
      <c r="TNZ3" s="120"/>
      <c r="TOA3" s="120"/>
      <c r="TOB3" s="120"/>
      <c r="TOC3" s="120"/>
      <c r="TOD3" s="120"/>
      <c r="TOE3" s="120"/>
      <c r="TOF3" s="120"/>
      <c r="TOG3" s="120"/>
      <c r="TOH3" s="120"/>
      <c r="TOI3" s="120"/>
      <c r="TOJ3" s="120"/>
      <c r="TOK3" s="120"/>
      <c r="TOL3" s="120"/>
      <c r="TOM3" s="120"/>
      <c r="TON3" s="120"/>
      <c r="TOO3" s="120"/>
      <c r="TOP3" s="120"/>
      <c r="TOQ3" s="120"/>
      <c r="TOR3" s="120"/>
      <c r="TOS3" s="120"/>
      <c r="TOT3" s="120"/>
      <c r="TOU3" s="120"/>
      <c r="TOV3" s="120"/>
      <c r="TOW3" s="120"/>
      <c r="TOX3" s="120"/>
      <c r="TOY3" s="120"/>
      <c r="TOZ3" s="120"/>
      <c r="TPA3" s="120"/>
      <c r="TPB3" s="120"/>
      <c r="TPC3" s="120"/>
      <c r="TPD3" s="120"/>
      <c r="TPE3" s="120"/>
      <c r="TPF3" s="120"/>
      <c r="TPG3" s="120"/>
      <c r="TPH3" s="120"/>
      <c r="TPI3" s="120"/>
      <c r="TPJ3" s="120"/>
      <c r="TPK3" s="120"/>
      <c r="TPL3" s="120"/>
      <c r="TPM3" s="120"/>
      <c r="TPN3" s="120"/>
      <c r="TPO3" s="120"/>
      <c r="TPP3" s="120"/>
      <c r="TPQ3" s="120"/>
      <c r="TPR3" s="120"/>
      <c r="TPS3" s="120"/>
      <c r="TPT3" s="120"/>
      <c r="TPU3" s="120"/>
      <c r="TPV3" s="120"/>
      <c r="TPW3" s="120"/>
      <c r="TPX3" s="120"/>
      <c r="TPY3" s="120"/>
      <c r="TPZ3" s="120"/>
      <c r="TQA3" s="120"/>
      <c r="TQB3" s="120"/>
      <c r="TQC3" s="120"/>
      <c r="TQD3" s="120"/>
      <c r="TQE3" s="120"/>
      <c r="TQF3" s="120"/>
      <c r="TQG3" s="120"/>
      <c r="TQH3" s="120"/>
      <c r="TQI3" s="120"/>
      <c r="TQJ3" s="120"/>
      <c r="TQK3" s="120"/>
      <c r="TQL3" s="120"/>
      <c r="TQM3" s="120"/>
      <c r="TQN3" s="120"/>
      <c r="TQO3" s="120"/>
      <c r="TQP3" s="120"/>
      <c r="TQQ3" s="120"/>
      <c r="TQR3" s="120"/>
      <c r="TQS3" s="120"/>
      <c r="TQT3" s="120"/>
      <c r="TQU3" s="120"/>
      <c r="TQV3" s="120"/>
      <c r="TQW3" s="120"/>
      <c r="TQX3" s="120"/>
      <c r="TQY3" s="120"/>
      <c r="TQZ3" s="120"/>
      <c r="TRA3" s="120"/>
      <c r="TRB3" s="120"/>
      <c r="TRC3" s="120"/>
      <c r="TRD3" s="120"/>
      <c r="TRE3" s="120"/>
      <c r="TRF3" s="120"/>
      <c r="TRG3" s="120"/>
      <c r="TRH3" s="120"/>
      <c r="TRI3" s="120"/>
      <c r="TRJ3" s="120"/>
      <c r="TRK3" s="120"/>
      <c r="TRL3" s="120"/>
      <c r="TRM3" s="120"/>
      <c r="TRN3" s="120"/>
      <c r="TRO3" s="120"/>
      <c r="TRP3" s="120"/>
      <c r="TRQ3" s="120"/>
      <c r="TRR3" s="120"/>
      <c r="TRS3" s="120"/>
      <c r="TRT3" s="120"/>
      <c r="TRU3" s="120"/>
      <c r="TRV3" s="120"/>
      <c r="TRW3" s="120"/>
      <c r="TRX3" s="120"/>
      <c r="TRY3" s="120"/>
      <c r="TRZ3" s="120"/>
      <c r="TSA3" s="120"/>
      <c r="TSB3" s="120"/>
      <c r="TSC3" s="120"/>
      <c r="TSD3" s="120"/>
      <c r="TSE3" s="120"/>
      <c r="TSF3" s="120"/>
      <c r="TSG3" s="120"/>
      <c r="TSH3" s="120"/>
      <c r="TSI3" s="120"/>
      <c r="TSJ3" s="120"/>
      <c r="TSK3" s="120"/>
      <c r="TSL3" s="120"/>
      <c r="TSM3" s="120"/>
      <c r="TSN3" s="120"/>
      <c r="TSO3" s="120"/>
      <c r="TSP3" s="120"/>
      <c r="TSQ3" s="120"/>
      <c r="TSR3" s="120"/>
      <c r="TSS3" s="120"/>
      <c r="TST3" s="120"/>
      <c r="TSU3" s="120"/>
      <c r="TSV3" s="120"/>
      <c r="TSW3" s="120"/>
      <c r="TSX3" s="120"/>
      <c r="TSY3" s="120"/>
      <c r="TSZ3" s="120"/>
      <c r="TTA3" s="120"/>
      <c r="TTB3" s="120"/>
      <c r="TTC3" s="120"/>
      <c r="TTD3" s="120"/>
      <c r="TTE3" s="120"/>
      <c r="TTF3" s="120"/>
      <c r="TTG3" s="120"/>
      <c r="TTH3" s="120"/>
      <c r="TTI3" s="120"/>
      <c r="TTJ3" s="120"/>
      <c r="TTK3" s="120"/>
      <c r="TTL3" s="120"/>
      <c r="TTM3" s="120"/>
      <c r="TTN3" s="120"/>
      <c r="TTO3" s="120"/>
      <c r="TTP3" s="120"/>
      <c r="TTQ3" s="120"/>
      <c r="TTR3" s="120"/>
      <c r="TTS3" s="120"/>
      <c r="TTT3" s="120"/>
      <c r="TTU3" s="120"/>
      <c r="TTV3" s="120"/>
      <c r="TTW3" s="120"/>
      <c r="TTX3" s="120"/>
      <c r="TTY3" s="120"/>
      <c r="TTZ3" s="120"/>
      <c r="TUA3" s="120"/>
      <c r="TUB3" s="120"/>
      <c r="TUC3" s="120"/>
      <c r="TUD3" s="120"/>
      <c r="TUE3" s="120"/>
      <c r="TUF3" s="120"/>
      <c r="TUG3" s="120"/>
      <c r="TUH3" s="120"/>
      <c r="TUI3" s="120"/>
      <c r="TUJ3" s="120"/>
      <c r="TUK3" s="120"/>
      <c r="TUL3" s="120"/>
      <c r="TUM3" s="120"/>
      <c r="TUN3" s="120"/>
      <c r="TUO3" s="120"/>
      <c r="TUP3" s="120"/>
      <c r="TUQ3" s="120"/>
      <c r="TUR3" s="120"/>
      <c r="TUS3" s="120"/>
      <c r="TUT3" s="120"/>
      <c r="TUU3" s="120"/>
      <c r="TUV3" s="120"/>
      <c r="TUW3" s="120"/>
      <c r="TUX3" s="120"/>
      <c r="TUY3" s="120"/>
      <c r="TUZ3" s="120"/>
      <c r="TVA3" s="120"/>
      <c r="TVB3" s="120"/>
      <c r="TVC3" s="120"/>
      <c r="TVD3" s="120"/>
      <c r="TVE3" s="120"/>
      <c r="TVF3" s="120"/>
      <c r="TVG3" s="120"/>
      <c r="TVH3" s="120"/>
      <c r="TVI3" s="120"/>
      <c r="TVJ3" s="120"/>
      <c r="TVK3" s="120"/>
      <c r="TVL3" s="120"/>
      <c r="TVM3" s="120"/>
      <c r="TVN3" s="120"/>
      <c r="TVO3" s="120"/>
      <c r="TVP3" s="120"/>
      <c r="TVQ3" s="120"/>
      <c r="TVR3" s="120"/>
      <c r="TVS3" s="120"/>
      <c r="TVT3" s="120"/>
      <c r="TVU3" s="120"/>
      <c r="TVV3" s="120"/>
      <c r="TVW3" s="120"/>
      <c r="TVX3" s="120"/>
      <c r="TVY3" s="120"/>
      <c r="TVZ3" s="120"/>
      <c r="TWA3" s="120"/>
      <c r="TWB3" s="120"/>
      <c r="TWC3" s="120"/>
      <c r="TWD3" s="120"/>
      <c r="TWE3" s="120"/>
      <c r="TWF3" s="120"/>
      <c r="TWG3" s="120"/>
      <c r="TWH3" s="120"/>
      <c r="TWI3" s="120"/>
      <c r="TWJ3" s="120"/>
      <c r="TWK3" s="120"/>
      <c r="TWL3" s="120"/>
      <c r="TWM3" s="120"/>
      <c r="TWN3" s="120"/>
      <c r="TWO3" s="120"/>
      <c r="TWP3" s="120"/>
      <c r="TWQ3" s="120"/>
      <c r="TWR3" s="120"/>
      <c r="TWS3" s="120"/>
      <c r="TWT3" s="120"/>
      <c r="TWU3" s="120"/>
      <c r="TWV3" s="120"/>
      <c r="TWW3" s="120"/>
      <c r="TWX3" s="120"/>
      <c r="TWY3" s="120"/>
      <c r="TWZ3" s="120"/>
      <c r="TXA3" s="120"/>
      <c r="TXB3" s="120"/>
      <c r="TXC3" s="120"/>
      <c r="TXD3" s="120"/>
      <c r="TXE3" s="120"/>
      <c r="TXF3" s="120"/>
      <c r="TXG3" s="120"/>
      <c r="TXH3" s="120"/>
      <c r="TXI3" s="120"/>
      <c r="TXJ3" s="120"/>
      <c r="TXK3" s="120"/>
      <c r="TXL3" s="120"/>
      <c r="TXM3" s="120"/>
      <c r="TXN3" s="120"/>
      <c r="TXO3" s="120"/>
      <c r="TXP3" s="120"/>
      <c r="TXQ3" s="120"/>
      <c r="TXR3" s="120"/>
      <c r="TXS3" s="120"/>
      <c r="TXT3" s="120"/>
      <c r="TXU3" s="120"/>
      <c r="TXV3" s="120"/>
      <c r="TXW3" s="120"/>
      <c r="TXX3" s="120"/>
      <c r="TXY3" s="120"/>
      <c r="TXZ3" s="120"/>
      <c r="TYA3" s="120"/>
      <c r="TYB3" s="120"/>
      <c r="TYC3" s="120"/>
      <c r="TYD3" s="120"/>
      <c r="TYE3" s="120"/>
      <c r="TYF3" s="120"/>
      <c r="TYG3" s="120"/>
      <c r="TYH3" s="120"/>
      <c r="TYI3" s="120"/>
      <c r="TYJ3" s="120"/>
      <c r="TYK3" s="120"/>
      <c r="TYL3" s="120"/>
      <c r="TYM3" s="120"/>
      <c r="TYN3" s="120"/>
      <c r="TYO3" s="120"/>
      <c r="TYP3" s="120"/>
      <c r="TYQ3" s="120"/>
      <c r="TYR3" s="120"/>
      <c r="TYS3" s="120"/>
      <c r="TYT3" s="120"/>
      <c r="TYU3" s="120"/>
      <c r="TYV3" s="120"/>
      <c r="TYW3" s="120"/>
      <c r="TYX3" s="120"/>
      <c r="TYY3" s="120"/>
      <c r="TYZ3" s="120"/>
      <c r="TZA3" s="120"/>
      <c r="TZB3" s="120"/>
      <c r="TZC3" s="120"/>
      <c r="TZD3" s="120"/>
      <c r="TZE3" s="120"/>
      <c r="TZF3" s="120"/>
      <c r="TZG3" s="120"/>
      <c r="TZH3" s="120"/>
      <c r="TZI3" s="120"/>
      <c r="TZJ3" s="120"/>
      <c r="TZK3" s="120"/>
      <c r="TZL3" s="120"/>
      <c r="TZM3" s="120"/>
      <c r="TZN3" s="120"/>
      <c r="TZO3" s="120"/>
      <c r="TZP3" s="120"/>
      <c r="TZQ3" s="120"/>
      <c r="TZR3" s="120"/>
      <c r="TZS3" s="120"/>
      <c r="TZT3" s="120"/>
      <c r="TZU3" s="120"/>
      <c r="TZV3" s="120"/>
      <c r="TZW3" s="120"/>
      <c r="TZX3" s="120"/>
      <c r="TZY3" s="120"/>
      <c r="TZZ3" s="120"/>
      <c r="UAA3" s="120"/>
      <c r="UAB3" s="120"/>
      <c r="UAC3" s="120"/>
      <c r="UAD3" s="120"/>
      <c r="UAE3" s="120"/>
      <c r="UAF3" s="120"/>
      <c r="UAG3" s="120"/>
      <c r="UAH3" s="120"/>
      <c r="UAI3" s="120"/>
      <c r="UAJ3" s="120"/>
      <c r="UAK3" s="120"/>
      <c r="UAL3" s="120"/>
      <c r="UAM3" s="120"/>
      <c r="UAN3" s="120"/>
      <c r="UAO3" s="120"/>
      <c r="UAP3" s="120"/>
      <c r="UAQ3" s="120"/>
      <c r="UAR3" s="120"/>
      <c r="UAS3" s="120"/>
      <c r="UAT3" s="120"/>
      <c r="UAU3" s="120"/>
      <c r="UAV3" s="120"/>
      <c r="UAW3" s="120"/>
      <c r="UAX3" s="120"/>
      <c r="UAY3" s="120"/>
      <c r="UAZ3" s="120"/>
      <c r="UBA3" s="120"/>
      <c r="UBB3" s="120"/>
      <c r="UBC3" s="120"/>
      <c r="UBD3" s="120"/>
      <c r="UBE3" s="120"/>
      <c r="UBF3" s="120"/>
      <c r="UBG3" s="120"/>
      <c r="UBH3" s="120"/>
      <c r="UBI3" s="120"/>
      <c r="UBJ3" s="120"/>
      <c r="UBK3" s="120"/>
      <c r="UBL3" s="120"/>
      <c r="UBM3" s="120"/>
      <c r="UBN3" s="120"/>
      <c r="UBO3" s="120"/>
      <c r="UBP3" s="120"/>
      <c r="UBQ3" s="120"/>
      <c r="UBR3" s="120"/>
      <c r="UBS3" s="120"/>
      <c r="UBT3" s="120"/>
      <c r="UBU3" s="120"/>
      <c r="UBV3" s="120"/>
      <c r="UBW3" s="120"/>
      <c r="UBX3" s="120"/>
      <c r="UBY3" s="120"/>
      <c r="UBZ3" s="120"/>
      <c r="UCA3" s="120"/>
      <c r="UCB3" s="120"/>
      <c r="UCC3" s="120"/>
      <c r="UCD3" s="120"/>
      <c r="UCE3" s="120"/>
      <c r="UCF3" s="120"/>
      <c r="UCG3" s="120"/>
      <c r="UCH3" s="120"/>
      <c r="UCI3" s="120"/>
      <c r="UCJ3" s="120"/>
      <c r="UCK3" s="120"/>
      <c r="UCL3" s="120"/>
      <c r="UCM3" s="120"/>
      <c r="UCN3" s="120"/>
      <c r="UCO3" s="120"/>
      <c r="UCP3" s="120"/>
      <c r="UCQ3" s="120"/>
      <c r="UCR3" s="120"/>
      <c r="UCS3" s="120"/>
      <c r="UCT3" s="120"/>
      <c r="UCU3" s="120"/>
      <c r="UCV3" s="120"/>
      <c r="UCW3" s="120"/>
      <c r="UCX3" s="120"/>
      <c r="UCY3" s="120"/>
      <c r="UCZ3" s="120"/>
      <c r="UDA3" s="120"/>
      <c r="UDB3" s="120"/>
      <c r="UDC3" s="120"/>
      <c r="UDD3" s="120"/>
      <c r="UDE3" s="120"/>
      <c r="UDF3" s="120"/>
      <c r="UDG3" s="120"/>
      <c r="UDH3" s="120"/>
      <c r="UDI3" s="120"/>
      <c r="UDJ3" s="120"/>
      <c r="UDK3" s="120"/>
      <c r="UDL3" s="120"/>
      <c r="UDM3" s="120"/>
      <c r="UDN3" s="120"/>
      <c r="UDO3" s="120"/>
      <c r="UDP3" s="120"/>
      <c r="UDQ3" s="120"/>
      <c r="UDR3" s="120"/>
      <c r="UDS3" s="120"/>
      <c r="UDT3" s="120"/>
      <c r="UDU3" s="120"/>
      <c r="UDV3" s="120"/>
      <c r="UDW3" s="120"/>
      <c r="UDX3" s="120"/>
      <c r="UDY3" s="120"/>
      <c r="UDZ3" s="120"/>
      <c r="UEA3" s="120"/>
      <c r="UEB3" s="120"/>
      <c r="UEC3" s="120"/>
      <c r="UED3" s="120"/>
      <c r="UEE3" s="120"/>
      <c r="UEF3" s="120"/>
      <c r="UEG3" s="120"/>
      <c r="UEH3" s="120"/>
      <c r="UEI3" s="120"/>
      <c r="UEJ3" s="120"/>
      <c r="UEK3" s="120"/>
      <c r="UEL3" s="120"/>
      <c r="UEM3" s="120"/>
      <c r="UEN3" s="120"/>
      <c r="UEO3" s="120"/>
      <c r="UEP3" s="120"/>
      <c r="UEQ3" s="120"/>
      <c r="UER3" s="120"/>
      <c r="UES3" s="120"/>
      <c r="UET3" s="120"/>
      <c r="UEU3" s="120"/>
      <c r="UEV3" s="120"/>
      <c r="UEW3" s="120"/>
      <c r="UEX3" s="120"/>
      <c r="UEY3" s="120"/>
      <c r="UEZ3" s="120"/>
      <c r="UFA3" s="120"/>
      <c r="UFB3" s="120"/>
      <c r="UFC3" s="120"/>
      <c r="UFD3" s="120"/>
      <c r="UFE3" s="120"/>
      <c r="UFF3" s="120"/>
      <c r="UFG3" s="120"/>
      <c r="UFH3" s="120"/>
      <c r="UFI3" s="120"/>
      <c r="UFJ3" s="120"/>
      <c r="UFK3" s="120"/>
      <c r="UFL3" s="120"/>
      <c r="UFM3" s="120"/>
      <c r="UFN3" s="120"/>
      <c r="UFO3" s="120"/>
      <c r="UFP3" s="120"/>
      <c r="UFQ3" s="120"/>
      <c r="UFR3" s="120"/>
      <c r="UFS3" s="120"/>
      <c r="UFT3" s="120"/>
      <c r="UFU3" s="120"/>
      <c r="UFV3" s="120"/>
      <c r="UFW3" s="120"/>
      <c r="UFX3" s="120"/>
      <c r="UFY3" s="120"/>
      <c r="UFZ3" s="120"/>
      <c r="UGA3" s="120"/>
      <c r="UGB3" s="120"/>
      <c r="UGC3" s="120"/>
      <c r="UGD3" s="120"/>
      <c r="UGE3" s="120"/>
      <c r="UGF3" s="120"/>
      <c r="UGG3" s="120"/>
      <c r="UGH3" s="120"/>
      <c r="UGI3" s="120"/>
      <c r="UGJ3" s="120"/>
      <c r="UGK3" s="120"/>
      <c r="UGL3" s="120"/>
      <c r="UGM3" s="120"/>
      <c r="UGN3" s="120"/>
      <c r="UGO3" s="120"/>
      <c r="UGP3" s="120"/>
      <c r="UGQ3" s="120"/>
      <c r="UGR3" s="120"/>
      <c r="UGS3" s="120"/>
      <c r="UGT3" s="120"/>
      <c r="UGU3" s="120"/>
      <c r="UGV3" s="120"/>
      <c r="UGW3" s="120"/>
      <c r="UGX3" s="120"/>
      <c r="UGY3" s="120"/>
      <c r="UGZ3" s="120"/>
      <c r="UHA3" s="120"/>
      <c r="UHB3" s="120"/>
      <c r="UHC3" s="120"/>
      <c r="UHD3" s="120"/>
      <c r="UHE3" s="120"/>
      <c r="UHF3" s="120"/>
      <c r="UHG3" s="120"/>
      <c r="UHH3" s="120"/>
      <c r="UHI3" s="120"/>
      <c r="UHJ3" s="120"/>
      <c r="UHK3" s="120"/>
      <c r="UHL3" s="120"/>
      <c r="UHM3" s="120"/>
      <c r="UHN3" s="120"/>
      <c r="UHO3" s="120"/>
      <c r="UHP3" s="120"/>
      <c r="UHQ3" s="120"/>
      <c r="UHR3" s="120"/>
      <c r="UHS3" s="120"/>
      <c r="UHT3" s="120"/>
      <c r="UHU3" s="120"/>
      <c r="UHV3" s="120"/>
      <c r="UHW3" s="120"/>
      <c r="UHX3" s="120"/>
      <c r="UHY3" s="120"/>
      <c r="UHZ3" s="120"/>
      <c r="UIA3" s="120"/>
      <c r="UIB3" s="120"/>
      <c r="UIC3" s="120"/>
      <c r="UID3" s="120"/>
      <c r="UIE3" s="120"/>
      <c r="UIF3" s="120"/>
      <c r="UIG3" s="120"/>
      <c r="UIH3" s="120"/>
      <c r="UII3" s="120"/>
      <c r="UIJ3" s="120"/>
      <c r="UIK3" s="120"/>
      <c r="UIL3" s="120"/>
      <c r="UIM3" s="120"/>
      <c r="UIN3" s="120"/>
      <c r="UIO3" s="120"/>
      <c r="UIP3" s="120"/>
      <c r="UIQ3" s="120"/>
      <c r="UIR3" s="120"/>
      <c r="UIS3" s="120"/>
      <c r="UIT3" s="120"/>
      <c r="UIU3" s="120"/>
      <c r="UIV3" s="120"/>
      <c r="UIW3" s="120"/>
      <c r="UIX3" s="120"/>
      <c r="UIY3" s="120"/>
      <c r="UIZ3" s="120"/>
      <c r="UJA3" s="120"/>
      <c r="UJB3" s="120"/>
      <c r="UJC3" s="120"/>
      <c r="UJD3" s="120"/>
      <c r="UJE3" s="120"/>
      <c r="UJF3" s="120"/>
      <c r="UJG3" s="120"/>
      <c r="UJH3" s="120"/>
      <c r="UJI3" s="120"/>
      <c r="UJJ3" s="120"/>
      <c r="UJK3" s="120"/>
      <c r="UJL3" s="120"/>
      <c r="UJM3" s="120"/>
      <c r="UJN3" s="120"/>
      <c r="UJO3" s="120"/>
      <c r="UJP3" s="120"/>
      <c r="UJQ3" s="120"/>
      <c r="UJR3" s="120"/>
      <c r="UJS3" s="120"/>
      <c r="UJT3" s="120"/>
      <c r="UJU3" s="120"/>
      <c r="UJV3" s="120"/>
      <c r="UJW3" s="120"/>
      <c r="UJX3" s="120"/>
      <c r="UJY3" s="120"/>
      <c r="UJZ3" s="120"/>
      <c r="UKA3" s="120"/>
      <c r="UKB3" s="120"/>
      <c r="UKC3" s="120"/>
      <c r="UKD3" s="120"/>
      <c r="UKE3" s="120"/>
      <c r="UKF3" s="120"/>
      <c r="UKG3" s="120"/>
      <c r="UKH3" s="120"/>
      <c r="UKI3" s="120"/>
      <c r="UKJ3" s="120"/>
      <c r="UKK3" s="120"/>
      <c r="UKL3" s="120"/>
      <c r="UKM3" s="120"/>
      <c r="UKN3" s="120"/>
      <c r="UKO3" s="120"/>
      <c r="UKP3" s="120"/>
      <c r="UKQ3" s="120"/>
      <c r="UKR3" s="120"/>
      <c r="UKS3" s="120"/>
      <c r="UKT3" s="120"/>
      <c r="UKU3" s="120"/>
      <c r="UKV3" s="120"/>
      <c r="UKW3" s="120"/>
      <c r="UKX3" s="120"/>
      <c r="UKY3" s="120"/>
      <c r="UKZ3" s="120"/>
      <c r="ULA3" s="120"/>
      <c r="ULB3" s="120"/>
      <c r="ULC3" s="120"/>
      <c r="ULD3" s="120"/>
      <c r="ULE3" s="120"/>
      <c r="ULF3" s="120"/>
      <c r="ULG3" s="120"/>
      <c r="ULH3" s="120"/>
      <c r="ULI3" s="120"/>
      <c r="ULJ3" s="120"/>
      <c r="ULK3" s="120"/>
      <c r="ULL3" s="120"/>
      <c r="ULM3" s="120"/>
      <c r="ULN3" s="120"/>
      <c r="ULO3" s="120"/>
      <c r="ULP3" s="120"/>
      <c r="ULQ3" s="120"/>
      <c r="ULR3" s="120"/>
      <c r="ULS3" s="120"/>
      <c r="ULT3" s="120"/>
      <c r="ULU3" s="120"/>
      <c r="ULV3" s="120"/>
      <c r="ULW3" s="120"/>
      <c r="ULX3" s="120"/>
      <c r="ULY3" s="120"/>
      <c r="ULZ3" s="120"/>
      <c r="UMA3" s="120"/>
      <c r="UMB3" s="120"/>
      <c r="UMC3" s="120"/>
      <c r="UMD3" s="120"/>
      <c r="UME3" s="120"/>
      <c r="UMF3" s="120"/>
      <c r="UMG3" s="120"/>
      <c r="UMH3" s="120"/>
      <c r="UMI3" s="120"/>
      <c r="UMJ3" s="120"/>
      <c r="UMK3" s="120"/>
      <c r="UML3" s="120"/>
      <c r="UMM3" s="120"/>
      <c r="UMN3" s="120"/>
      <c r="UMO3" s="120"/>
      <c r="UMP3" s="120"/>
      <c r="UMQ3" s="120"/>
      <c r="UMR3" s="120"/>
      <c r="UMS3" s="120"/>
      <c r="UMT3" s="120"/>
      <c r="UMU3" s="120"/>
      <c r="UMV3" s="120"/>
      <c r="UMW3" s="120"/>
      <c r="UMX3" s="120"/>
      <c r="UMY3" s="120"/>
      <c r="UMZ3" s="120"/>
      <c r="UNA3" s="120"/>
      <c r="UNB3" s="120"/>
      <c r="UNC3" s="120"/>
      <c r="UND3" s="120"/>
      <c r="UNE3" s="120"/>
      <c r="UNF3" s="120"/>
      <c r="UNG3" s="120"/>
      <c r="UNH3" s="120"/>
      <c r="UNI3" s="120"/>
      <c r="UNJ3" s="120"/>
      <c r="UNK3" s="120"/>
      <c r="UNL3" s="120"/>
      <c r="UNM3" s="120"/>
      <c r="UNN3" s="120"/>
      <c r="UNO3" s="120"/>
      <c r="UNP3" s="120"/>
      <c r="UNQ3" s="120"/>
      <c r="UNR3" s="120"/>
      <c r="UNS3" s="120"/>
      <c r="UNT3" s="120"/>
      <c r="UNU3" s="120"/>
      <c r="UNV3" s="120"/>
      <c r="UNW3" s="120"/>
      <c r="UNX3" s="120"/>
      <c r="UNY3" s="120"/>
      <c r="UNZ3" s="120"/>
      <c r="UOA3" s="120"/>
      <c r="UOB3" s="120"/>
      <c r="UOC3" s="120"/>
      <c r="UOD3" s="120"/>
      <c r="UOE3" s="120"/>
      <c r="UOF3" s="120"/>
      <c r="UOG3" s="120"/>
      <c r="UOH3" s="120"/>
      <c r="UOI3" s="120"/>
      <c r="UOJ3" s="120"/>
      <c r="UOK3" s="120"/>
      <c r="UOL3" s="120"/>
      <c r="UOM3" s="120"/>
      <c r="UON3" s="120"/>
      <c r="UOO3" s="120"/>
      <c r="UOP3" s="120"/>
      <c r="UOQ3" s="120"/>
      <c r="UOR3" s="120"/>
      <c r="UOS3" s="120"/>
      <c r="UOT3" s="120"/>
      <c r="UOU3" s="120"/>
      <c r="UOV3" s="120"/>
      <c r="UOW3" s="120"/>
      <c r="UOX3" s="120"/>
      <c r="UOY3" s="120"/>
      <c r="UOZ3" s="120"/>
      <c r="UPA3" s="120"/>
      <c r="UPB3" s="120"/>
      <c r="UPC3" s="120"/>
      <c r="UPD3" s="120"/>
      <c r="UPE3" s="120"/>
      <c r="UPF3" s="120"/>
      <c r="UPG3" s="120"/>
      <c r="UPH3" s="120"/>
      <c r="UPI3" s="120"/>
      <c r="UPJ3" s="120"/>
      <c r="UPK3" s="120"/>
      <c r="UPL3" s="120"/>
      <c r="UPM3" s="120"/>
      <c r="UPN3" s="120"/>
      <c r="UPO3" s="120"/>
      <c r="UPP3" s="120"/>
      <c r="UPQ3" s="120"/>
      <c r="UPR3" s="120"/>
      <c r="UPS3" s="120"/>
      <c r="UPT3" s="120"/>
      <c r="UPU3" s="120"/>
      <c r="UPV3" s="120"/>
      <c r="UPW3" s="120"/>
      <c r="UPX3" s="120"/>
      <c r="UPY3" s="120"/>
      <c r="UPZ3" s="120"/>
      <c r="UQA3" s="120"/>
      <c r="UQB3" s="120"/>
      <c r="UQC3" s="120"/>
      <c r="UQD3" s="120"/>
      <c r="UQE3" s="120"/>
      <c r="UQF3" s="120"/>
      <c r="UQG3" s="120"/>
      <c r="UQH3" s="120"/>
      <c r="UQI3" s="120"/>
      <c r="UQJ3" s="120"/>
      <c r="UQK3" s="120"/>
      <c r="UQL3" s="120"/>
      <c r="UQM3" s="120"/>
      <c r="UQN3" s="120"/>
      <c r="UQO3" s="120"/>
      <c r="UQP3" s="120"/>
      <c r="UQQ3" s="120"/>
      <c r="UQR3" s="120"/>
      <c r="UQS3" s="120"/>
      <c r="UQT3" s="120"/>
      <c r="UQU3" s="120"/>
      <c r="UQV3" s="120"/>
      <c r="UQW3" s="120"/>
      <c r="UQX3" s="120"/>
      <c r="UQY3" s="120"/>
      <c r="UQZ3" s="120"/>
      <c r="URA3" s="120"/>
      <c r="URB3" s="120"/>
      <c r="URC3" s="120"/>
      <c r="URD3" s="120"/>
      <c r="URE3" s="120"/>
      <c r="URF3" s="120"/>
      <c r="URG3" s="120"/>
      <c r="URH3" s="120"/>
      <c r="URI3" s="120"/>
      <c r="URJ3" s="120"/>
      <c r="URK3" s="120"/>
      <c r="URL3" s="120"/>
      <c r="URM3" s="120"/>
      <c r="URN3" s="120"/>
      <c r="URO3" s="120"/>
      <c r="URP3" s="120"/>
      <c r="URQ3" s="120"/>
      <c r="URR3" s="120"/>
      <c r="URS3" s="120"/>
      <c r="URT3" s="120"/>
      <c r="URU3" s="120"/>
      <c r="URV3" s="120"/>
      <c r="URW3" s="120"/>
      <c r="URX3" s="120"/>
      <c r="URY3" s="120"/>
      <c r="URZ3" s="120"/>
      <c r="USA3" s="120"/>
      <c r="USB3" s="120"/>
      <c r="USC3" s="120"/>
      <c r="USD3" s="120"/>
      <c r="USE3" s="120"/>
      <c r="USF3" s="120"/>
      <c r="USG3" s="120"/>
      <c r="USH3" s="120"/>
      <c r="USI3" s="120"/>
      <c r="USJ3" s="120"/>
      <c r="USK3" s="120"/>
      <c r="USL3" s="120"/>
      <c r="USM3" s="120"/>
      <c r="USN3" s="120"/>
      <c r="USO3" s="120"/>
      <c r="USP3" s="120"/>
      <c r="USQ3" s="120"/>
      <c r="USR3" s="120"/>
      <c r="USS3" s="120"/>
      <c r="UST3" s="120"/>
      <c r="USU3" s="120"/>
      <c r="USV3" s="120"/>
      <c r="USW3" s="120"/>
      <c r="USX3" s="120"/>
      <c r="USY3" s="120"/>
      <c r="USZ3" s="120"/>
      <c r="UTA3" s="120"/>
      <c r="UTB3" s="120"/>
      <c r="UTC3" s="120"/>
      <c r="UTD3" s="120"/>
      <c r="UTE3" s="120"/>
      <c r="UTF3" s="120"/>
      <c r="UTG3" s="120"/>
      <c r="UTH3" s="120"/>
      <c r="UTI3" s="120"/>
      <c r="UTJ3" s="120"/>
      <c r="UTK3" s="120"/>
      <c r="UTL3" s="120"/>
      <c r="UTM3" s="120"/>
      <c r="UTN3" s="120"/>
      <c r="UTO3" s="120"/>
      <c r="UTP3" s="120"/>
      <c r="UTQ3" s="120"/>
      <c r="UTR3" s="120"/>
      <c r="UTS3" s="120"/>
      <c r="UTT3" s="120"/>
      <c r="UTU3" s="120"/>
      <c r="UTV3" s="120"/>
      <c r="UTW3" s="120"/>
      <c r="UTX3" s="120"/>
      <c r="UTY3" s="120"/>
      <c r="UTZ3" s="120"/>
      <c r="UUA3" s="120"/>
      <c r="UUB3" s="120"/>
      <c r="UUC3" s="120"/>
      <c r="UUD3" s="120"/>
      <c r="UUE3" s="120"/>
      <c r="UUF3" s="120"/>
      <c r="UUG3" s="120"/>
      <c r="UUH3" s="120"/>
      <c r="UUI3" s="120"/>
      <c r="UUJ3" s="120"/>
      <c r="UUK3" s="120"/>
      <c r="UUL3" s="120"/>
      <c r="UUM3" s="120"/>
      <c r="UUN3" s="120"/>
      <c r="UUO3" s="120"/>
      <c r="UUP3" s="120"/>
      <c r="UUQ3" s="120"/>
      <c r="UUR3" s="120"/>
      <c r="UUS3" s="120"/>
      <c r="UUT3" s="120"/>
      <c r="UUU3" s="120"/>
      <c r="UUV3" s="120"/>
      <c r="UUW3" s="120"/>
      <c r="UUX3" s="120"/>
      <c r="UUY3" s="120"/>
      <c r="UUZ3" s="120"/>
      <c r="UVA3" s="120"/>
      <c r="UVB3" s="120"/>
      <c r="UVC3" s="120"/>
      <c r="UVD3" s="120"/>
      <c r="UVE3" s="120"/>
      <c r="UVF3" s="120"/>
      <c r="UVG3" s="120"/>
      <c r="UVH3" s="120"/>
      <c r="UVI3" s="120"/>
      <c r="UVJ3" s="120"/>
      <c r="UVK3" s="120"/>
      <c r="UVL3" s="120"/>
      <c r="UVM3" s="120"/>
      <c r="UVN3" s="120"/>
      <c r="UVO3" s="120"/>
      <c r="UVP3" s="120"/>
      <c r="UVQ3" s="120"/>
      <c r="UVR3" s="120"/>
      <c r="UVS3" s="120"/>
      <c r="UVT3" s="120"/>
      <c r="UVU3" s="120"/>
      <c r="UVV3" s="120"/>
      <c r="UVW3" s="120"/>
      <c r="UVX3" s="120"/>
      <c r="UVY3" s="120"/>
      <c r="UVZ3" s="120"/>
      <c r="UWA3" s="120"/>
      <c r="UWB3" s="120"/>
      <c r="UWC3" s="120"/>
      <c r="UWD3" s="120"/>
      <c r="UWE3" s="120"/>
      <c r="UWF3" s="120"/>
      <c r="UWG3" s="120"/>
      <c r="UWH3" s="120"/>
      <c r="UWI3" s="120"/>
      <c r="UWJ3" s="120"/>
      <c r="UWK3" s="120"/>
      <c r="UWL3" s="120"/>
      <c r="UWM3" s="120"/>
      <c r="UWN3" s="120"/>
      <c r="UWO3" s="120"/>
      <c r="UWP3" s="120"/>
      <c r="UWQ3" s="120"/>
      <c r="UWR3" s="120"/>
      <c r="UWS3" s="120"/>
      <c r="UWT3" s="120"/>
      <c r="UWU3" s="120"/>
      <c r="UWV3" s="120"/>
      <c r="UWW3" s="120"/>
      <c r="UWX3" s="120"/>
      <c r="UWY3" s="120"/>
      <c r="UWZ3" s="120"/>
      <c r="UXA3" s="120"/>
      <c r="UXB3" s="120"/>
      <c r="UXC3" s="120"/>
      <c r="UXD3" s="120"/>
      <c r="UXE3" s="120"/>
      <c r="UXF3" s="120"/>
      <c r="UXG3" s="120"/>
      <c r="UXH3" s="120"/>
      <c r="UXI3" s="120"/>
      <c r="UXJ3" s="120"/>
      <c r="UXK3" s="120"/>
      <c r="UXL3" s="120"/>
      <c r="UXM3" s="120"/>
      <c r="UXN3" s="120"/>
      <c r="UXO3" s="120"/>
      <c r="UXP3" s="120"/>
      <c r="UXQ3" s="120"/>
      <c r="UXR3" s="120"/>
      <c r="UXS3" s="120"/>
      <c r="UXT3" s="120"/>
      <c r="UXU3" s="120"/>
      <c r="UXV3" s="120"/>
      <c r="UXW3" s="120"/>
      <c r="UXX3" s="120"/>
      <c r="UXY3" s="120"/>
      <c r="UXZ3" s="120"/>
      <c r="UYA3" s="120"/>
      <c r="UYB3" s="120"/>
      <c r="UYC3" s="120"/>
      <c r="UYD3" s="120"/>
      <c r="UYE3" s="120"/>
      <c r="UYF3" s="120"/>
      <c r="UYG3" s="120"/>
      <c r="UYH3" s="120"/>
      <c r="UYI3" s="120"/>
      <c r="UYJ3" s="120"/>
      <c r="UYK3" s="120"/>
      <c r="UYL3" s="120"/>
      <c r="UYM3" s="120"/>
      <c r="UYN3" s="120"/>
      <c r="UYO3" s="120"/>
      <c r="UYP3" s="120"/>
      <c r="UYQ3" s="120"/>
      <c r="UYR3" s="120"/>
      <c r="UYS3" s="120"/>
      <c r="UYT3" s="120"/>
      <c r="UYU3" s="120"/>
      <c r="UYV3" s="120"/>
      <c r="UYW3" s="120"/>
      <c r="UYX3" s="120"/>
      <c r="UYY3" s="120"/>
      <c r="UYZ3" s="120"/>
      <c r="UZA3" s="120"/>
      <c r="UZB3" s="120"/>
      <c r="UZC3" s="120"/>
      <c r="UZD3" s="120"/>
      <c r="UZE3" s="120"/>
      <c r="UZF3" s="120"/>
      <c r="UZG3" s="120"/>
      <c r="UZH3" s="120"/>
      <c r="UZI3" s="120"/>
      <c r="UZJ3" s="120"/>
      <c r="UZK3" s="120"/>
      <c r="UZL3" s="120"/>
      <c r="UZM3" s="120"/>
      <c r="UZN3" s="120"/>
      <c r="UZO3" s="120"/>
      <c r="UZP3" s="120"/>
      <c r="UZQ3" s="120"/>
      <c r="UZR3" s="120"/>
      <c r="UZS3" s="120"/>
      <c r="UZT3" s="120"/>
      <c r="UZU3" s="120"/>
      <c r="UZV3" s="120"/>
      <c r="UZW3" s="120"/>
      <c r="UZX3" s="120"/>
      <c r="UZY3" s="120"/>
      <c r="UZZ3" s="120"/>
      <c r="VAA3" s="120"/>
      <c r="VAB3" s="120"/>
      <c r="VAC3" s="120"/>
      <c r="VAD3" s="120"/>
      <c r="VAE3" s="120"/>
      <c r="VAF3" s="120"/>
      <c r="VAG3" s="120"/>
      <c r="VAH3" s="120"/>
      <c r="VAI3" s="120"/>
      <c r="VAJ3" s="120"/>
      <c r="VAK3" s="120"/>
      <c r="VAL3" s="120"/>
      <c r="VAM3" s="120"/>
      <c r="VAN3" s="120"/>
      <c r="VAO3" s="120"/>
      <c r="VAP3" s="120"/>
      <c r="VAQ3" s="120"/>
      <c r="VAR3" s="120"/>
      <c r="VAS3" s="120"/>
      <c r="VAT3" s="120"/>
      <c r="VAU3" s="120"/>
      <c r="VAV3" s="120"/>
      <c r="VAW3" s="120"/>
      <c r="VAX3" s="120"/>
      <c r="VAY3" s="120"/>
      <c r="VAZ3" s="120"/>
      <c r="VBA3" s="120"/>
      <c r="VBB3" s="120"/>
      <c r="VBC3" s="120"/>
      <c r="VBD3" s="120"/>
      <c r="VBE3" s="120"/>
      <c r="VBF3" s="120"/>
      <c r="VBG3" s="120"/>
      <c r="VBH3" s="120"/>
      <c r="VBI3" s="120"/>
      <c r="VBJ3" s="120"/>
      <c r="VBK3" s="120"/>
      <c r="VBL3" s="120"/>
      <c r="VBM3" s="120"/>
      <c r="VBN3" s="120"/>
      <c r="VBO3" s="120"/>
      <c r="VBP3" s="120"/>
      <c r="VBQ3" s="120"/>
      <c r="VBR3" s="120"/>
      <c r="VBS3" s="120"/>
      <c r="VBT3" s="120"/>
      <c r="VBU3" s="120"/>
      <c r="VBV3" s="120"/>
      <c r="VBW3" s="120"/>
      <c r="VBX3" s="120"/>
      <c r="VBY3" s="120"/>
      <c r="VBZ3" s="120"/>
      <c r="VCA3" s="120"/>
      <c r="VCB3" s="120"/>
      <c r="VCC3" s="120"/>
      <c r="VCD3" s="120"/>
      <c r="VCE3" s="120"/>
      <c r="VCF3" s="120"/>
      <c r="VCG3" s="120"/>
      <c r="VCH3" s="120"/>
      <c r="VCI3" s="120"/>
      <c r="VCJ3" s="120"/>
      <c r="VCK3" s="120"/>
      <c r="VCL3" s="120"/>
      <c r="VCM3" s="120"/>
      <c r="VCN3" s="120"/>
      <c r="VCO3" s="120"/>
      <c r="VCP3" s="120"/>
      <c r="VCQ3" s="120"/>
      <c r="VCR3" s="120"/>
      <c r="VCS3" s="120"/>
      <c r="VCT3" s="120"/>
      <c r="VCU3" s="120"/>
      <c r="VCV3" s="120"/>
      <c r="VCW3" s="120"/>
      <c r="VCX3" s="120"/>
      <c r="VCY3" s="120"/>
      <c r="VCZ3" s="120"/>
      <c r="VDA3" s="120"/>
      <c r="VDB3" s="120"/>
      <c r="VDC3" s="120"/>
      <c r="VDD3" s="120"/>
      <c r="VDE3" s="120"/>
      <c r="VDF3" s="120"/>
      <c r="VDG3" s="120"/>
      <c r="VDH3" s="120"/>
      <c r="VDI3" s="120"/>
      <c r="VDJ3" s="120"/>
      <c r="VDK3" s="120"/>
      <c r="VDL3" s="120"/>
      <c r="VDM3" s="120"/>
      <c r="VDN3" s="120"/>
      <c r="VDO3" s="120"/>
      <c r="VDP3" s="120"/>
      <c r="VDQ3" s="120"/>
      <c r="VDR3" s="120"/>
      <c r="VDS3" s="120"/>
      <c r="VDT3" s="120"/>
      <c r="VDU3" s="120"/>
      <c r="VDV3" s="120"/>
      <c r="VDW3" s="120"/>
      <c r="VDX3" s="120"/>
      <c r="VDY3" s="120"/>
      <c r="VDZ3" s="120"/>
      <c r="VEA3" s="120"/>
      <c r="VEB3" s="120"/>
      <c r="VEC3" s="120"/>
      <c r="VED3" s="120"/>
      <c r="VEE3" s="120"/>
      <c r="VEF3" s="120"/>
      <c r="VEG3" s="120"/>
      <c r="VEH3" s="120"/>
      <c r="VEI3" s="120"/>
      <c r="VEJ3" s="120"/>
      <c r="VEK3" s="120"/>
      <c r="VEL3" s="120"/>
      <c r="VEM3" s="120"/>
      <c r="VEN3" s="120"/>
      <c r="VEO3" s="120"/>
      <c r="VEP3" s="120"/>
      <c r="VEQ3" s="120"/>
      <c r="VER3" s="120"/>
      <c r="VES3" s="120"/>
      <c r="VET3" s="120"/>
      <c r="VEU3" s="120"/>
      <c r="VEV3" s="120"/>
      <c r="VEW3" s="120"/>
      <c r="VEX3" s="120"/>
      <c r="VEY3" s="120"/>
      <c r="VEZ3" s="120"/>
      <c r="VFA3" s="120"/>
      <c r="VFB3" s="120"/>
      <c r="VFC3" s="120"/>
      <c r="VFD3" s="120"/>
      <c r="VFE3" s="120"/>
      <c r="VFF3" s="120"/>
      <c r="VFG3" s="120"/>
      <c r="VFH3" s="120"/>
      <c r="VFI3" s="120"/>
      <c r="VFJ3" s="120"/>
      <c r="VFK3" s="120"/>
      <c r="VFL3" s="120"/>
      <c r="VFM3" s="120"/>
      <c r="VFN3" s="120"/>
      <c r="VFO3" s="120"/>
      <c r="VFP3" s="120"/>
      <c r="VFQ3" s="120"/>
      <c r="VFR3" s="120"/>
      <c r="VFS3" s="120"/>
      <c r="VFT3" s="120"/>
      <c r="VFU3" s="120"/>
      <c r="VFV3" s="120"/>
      <c r="VFW3" s="120"/>
      <c r="VFX3" s="120"/>
      <c r="VFY3" s="120"/>
      <c r="VFZ3" s="120"/>
      <c r="VGA3" s="120"/>
      <c r="VGB3" s="120"/>
      <c r="VGC3" s="120"/>
      <c r="VGD3" s="120"/>
      <c r="VGE3" s="120"/>
      <c r="VGF3" s="120"/>
      <c r="VGG3" s="120"/>
      <c r="VGH3" s="120"/>
      <c r="VGI3" s="120"/>
      <c r="VGJ3" s="120"/>
      <c r="VGK3" s="120"/>
      <c r="VGL3" s="120"/>
      <c r="VGM3" s="120"/>
      <c r="VGN3" s="120"/>
      <c r="VGO3" s="120"/>
      <c r="VGP3" s="120"/>
      <c r="VGQ3" s="120"/>
      <c r="VGR3" s="120"/>
      <c r="VGS3" s="120"/>
      <c r="VGT3" s="120"/>
      <c r="VGU3" s="120"/>
      <c r="VGV3" s="120"/>
      <c r="VGW3" s="120"/>
      <c r="VGX3" s="120"/>
      <c r="VGY3" s="120"/>
      <c r="VGZ3" s="120"/>
      <c r="VHA3" s="120"/>
      <c r="VHB3" s="120"/>
      <c r="VHC3" s="120"/>
      <c r="VHD3" s="120"/>
      <c r="VHE3" s="120"/>
      <c r="VHF3" s="120"/>
      <c r="VHG3" s="120"/>
      <c r="VHH3" s="120"/>
      <c r="VHI3" s="120"/>
      <c r="VHJ3" s="120"/>
      <c r="VHK3" s="120"/>
      <c r="VHL3" s="120"/>
      <c r="VHM3" s="120"/>
      <c r="VHN3" s="120"/>
      <c r="VHO3" s="120"/>
      <c r="VHP3" s="120"/>
      <c r="VHQ3" s="120"/>
      <c r="VHR3" s="120"/>
      <c r="VHS3" s="120"/>
      <c r="VHT3" s="120"/>
      <c r="VHU3" s="120"/>
      <c r="VHV3" s="120"/>
      <c r="VHW3" s="120"/>
      <c r="VHX3" s="120"/>
      <c r="VHY3" s="120"/>
      <c r="VHZ3" s="120"/>
      <c r="VIA3" s="120"/>
      <c r="VIB3" s="120"/>
      <c r="VIC3" s="120"/>
      <c r="VID3" s="120"/>
      <c r="VIE3" s="120"/>
      <c r="VIF3" s="120"/>
      <c r="VIG3" s="120"/>
      <c r="VIH3" s="120"/>
      <c r="VII3" s="120"/>
      <c r="VIJ3" s="120"/>
      <c r="VIK3" s="120"/>
      <c r="VIL3" s="120"/>
      <c r="VIM3" s="120"/>
      <c r="VIN3" s="120"/>
      <c r="VIO3" s="120"/>
      <c r="VIP3" s="120"/>
      <c r="VIQ3" s="120"/>
      <c r="VIR3" s="120"/>
      <c r="VIS3" s="120"/>
      <c r="VIT3" s="120"/>
      <c r="VIU3" s="120"/>
      <c r="VIV3" s="120"/>
      <c r="VIW3" s="120"/>
      <c r="VIX3" s="120"/>
      <c r="VIY3" s="120"/>
      <c r="VIZ3" s="120"/>
      <c r="VJA3" s="120"/>
      <c r="VJB3" s="120"/>
      <c r="VJC3" s="120"/>
      <c r="VJD3" s="120"/>
      <c r="VJE3" s="120"/>
      <c r="VJF3" s="120"/>
      <c r="VJG3" s="120"/>
      <c r="VJH3" s="120"/>
      <c r="VJI3" s="120"/>
      <c r="VJJ3" s="120"/>
      <c r="VJK3" s="120"/>
      <c r="VJL3" s="120"/>
      <c r="VJM3" s="120"/>
      <c r="VJN3" s="120"/>
      <c r="VJO3" s="120"/>
      <c r="VJP3" s="120"/>
      <c r="VJQ3" s="120"/>
      <c r="VJR3" s="120"/>
      <c r="VJS3" s="120"/>
      <c r="VJT3" s="120"/>
      <c r="VJU3" s="120"/>
      <c r="VJV3" s="120"/>
      <c r="VJW3" s="120"/>
      <c r="VJX3" s="120"/>
      <c r="VJY3" s="120"/>
      <c r="VJZ3" s="120"/>
      <c r="VKA3" s="120"/>
      <c r="VKB3" s="120"/>
      <c r="VKC3" s="120"/>
      <c r="VKD3" s="120"/>
      <c r="VKE3" s="120"/>
      <c r="VKF3" s="120"/>
      <c r="VKG3" s="120"/>
      <c r="VKH3" s="120"/>
      <c r="VKI3" s="120"/>
      <c r="VKJ3" s="120"/>
      <c r="VKK3" s="120"/>
      <c r="VKL3" s="120"/>
      <c r="VKM3" s="120"/>
      <c r="VKN3" s="120"/>
      <c r="VKO3" s="120"/>
      <c r="VKP3" s="120"/>
      <c r="VKQ3" s="120"/>
      <c r="VKR3" s="120"/>
      <c r="VKS3" s="120"/>
      <c r="VKT3" s="120"/>
      <c r="VKU3" s="120"/>
      <c r="VKV3" s="120"/>
      <c r="VKW3" s="120"/>
      <c r="VKX3" s="120"/>
      <c r="VKY3" s="120"/>
      <c r="VKZ3" s="120"/>
      <c r="VLA3" s="120"/>
      <c r="VLB3" s="120"/>
      <c r="VLC3" s="120"/>
      <c r="VLD3" s="120"/>
      <c r="VLE3" s="120"/>
      <c r="VLF3" s="120"/>
      <c r="VLG3" s="120"/>
      <c r="VLH3" s="120"/>
      <c r="VLI3" s="120"/>
      <c r="VLJ3" s="120"/>
      <c r="VLK3" s="120"/>
      <c r="VLL3" s="120"/>
      <c r="VLM3" s="120"/>
      <c r="VLN3" s="120"/>
      <c r="VLO3" s="120"/>
      <c r="VLP3" s="120"/>
      <c r="VLQ3" s="120"/>
      <c r="VLR3" s="120"/>
      <c r="VLS3" s="120"/>
      <c r="VLT3" s="120"/>
      <c r="VLU3" s="120"/>
      <c r="VLV3" s="120"/>
      <c r="VLW3" s="120"/>
      <c r="VLX3" s="120"/>
      <c r="VLY3" s="120"/>
      <c r="VLZ3" s="120"/>
      <c r="VMA3" s="120"/>
      <c r="VMB3" s="120"/>
      <c r="VMC3" s="120"/>
      <c r="VMD3" s="120"/>
      <c r="VME3" s="120"/>
      <c r="VMF3" s="120"/>
      <c r="VMG3" s="120"/>
      <c r="VMH3" s="120"/>
      <c r="VMI3" s="120"/>
      <c r="VMJ3" s="120"/>
      <c r="VMK3" s="120"/>
      <c r="VML3" s="120"/>
      <c r="VMM3" s="120"/>
      <c r="VMN3" s="120"/>
      <c r="VMO3" s="120"/>
      <c r="VMP3" s="120"/>
      <c r="VMQ3" s="120"/>
      <c r="VMR3" s="120"/>
      <c r="VMS3" s="120"/>
      <c r="VMT3" s="120"/>
      <c r="VMU3" s="120"/>
      <c r="VMV3" s="120"/>
      <c r="VMW3" s="120"/>
      <c r="VMX3" s="120"/>
      <c r="VMY3" s="120"/>
      <c r="VMZ3" s="120"/>
      <c r="VNA3" s="120"/>
      <c r="VNB3" s="120"/>
      <c r="VNC3" s="120"/>
      <c r="VND3" s="120"/>
      <c r="VNE3" s="120"/>
      <c r="VNF3" s="120"/>
      <c r="VNG3" s="120"/>
      <c r="VNH3" s="120"/>
      <c r="VNI3" s="120"/>
      <c r="VNJ3" s="120"/>
      <c r="VNK3" s="120"/>
      <c r="VNL3" s="120"/>
      <c r="VNM3" s="120"/>
      <c r="VNN3" s="120"/>
      <c r="VNO3" s="120"/>
      <c r="VNP3" s="120"/>
      <c r="VNQ3" s="120"/>
      <c r="VNR3" s="120"/>
      <c r="VNS3" s="120"/>
      <c r="VNT3" s="120"/>
      <c r="VNU3" s="120"/>
      <c r="VNV3" s="120"/>
      <c r="VNW3" s="120"/>
      <c r="VNX3" s="120"/>
      <c r="VNY3" s="120"/>
      <c r="VNZ3" s="120"/>
      <c r="VOA3" s="120"/>
      <c r="VOB3" s="120"/>
      <c r="VOC3" s="120"/>
      <c r="VOD3" s="120"/>
      <c r="VOE3" s="120"/>
      <c r="VOF3" s="120"/>
      <c r="VOG3" s="120"/>
      <c r="VOH3" s="120"/>
      <c r="VOI3" s="120"/>
      <c r="VOJ3" s="120"/>
      <c r="VOK3" s="120"/>
      <c r="VOL3" s="120"/>
      <c r="VOM3" s="120"/>
      <c r="VON3" s="120"/>
      <c r="VOO3" s="120"/>
      <c r="VOP3" s="120"/>
      <c r="VOQ3" s="120"/>
      <c r="VOR3" s="120"/>
      <c r="VOS3" s="120"/>
      <c r="VOT3" s="120"/>
      <c r="VOU3" s="120"/>
      <c r="VOV3" s="120"/>
      <c r="VOW3" s="120"/>
      <c r="VOX3" s="120"/>
      <c r="VOY3" s="120"/>
      <c r="VOZ3" s="120"/>
      <c r="VPA3" s="120"/>
      <c r="VPB3" s="120"/>
      <c r="VPC3" s="120"/>
      <c r="VPD3" s="120"/>
      <c r="VPE3" s="120"/>
      <c r="VPF3" s="120"/>
      <c r="VPG3" s="120"/>
      <c r="VPH3" s="120"/>
      <c r="VPI3" s="120"/>
      <c r="VPJ3" s="120"/>
      <c r="VPK3" s="120"/>
      <c r="VPL3" s="120"/>
      <c r="VPM3" s="120"/>
      <c r="VPN3" s="120"/>
      <c r="VPO3" s="120"/>
      <c r="VPP3" s="120"/>
      <c r="VPQ3" s="120"/>
      <c r="VPR3" s="120"/>
      <c r="VPS3" s="120"/>
      <c r="VPT3" s="120"/>
      <c r="VPU3" s="120"/>
      <c r="VPV3" s="120"/>
      <c r="VPW3" s="120"/>
      <c r="VPX3" s="120"/>
      <c r="VPY3" s="120"/>
      <c r="VPZ3" s="120"/>
      <c r="VQA3" s="120"/>
      <c r="VQB3" s="120"/>
      <c r="VQC3" s="120"/>
      <c r="VQD3" s="120"/>
      <c r="VQE3" s="120"/>
      <c r="VQF3" s="120"/>
      <c r="VQG3" s="120"/>
      <c r="VQH3" s="120"/>
      <c r="VQI3" s="120"/>
      <c r="VQJ3" s="120"/>
      <c r="VQK3" s="120"/>
      <c r="VQL3" s="120"/>
      <c r="VQM3" s="120"/>
      <c r="VQN3" s="120"/>
      <c r="VQO3" s="120"/>
      <c r="VQP3" s="120"/>
      <c r="VQQ3" s="120"/>
      <c r="VQR3" s="120"/>
      <c r="VQS3" s="120"/>
      <c r="VQT3" s="120"/>
      <c r="VQU3" s="120"/>
      <c r="VQV3" s="120"/>
      <c r="VQW3" s="120"/>
      <c r="VQX3" s="120"/>
      <c r="VQY3" s="120"/>
      <c r="VQZ3" s="120"/>
      <c r="VRA3" s="120"/>
      <c r="VRB3" s="120"/>
      <c r="VRC3" s="120"/>
      <c r="VRD3" s="120"/>
      <c r="VRE3" s="120"/>
      <c r="VRF3" s="120"/>
      <c r="VRG3" s="120"/>
      <c r="VRH3" s="120"/>
      <c r="VRI3" s="120"/>
      <c r="VRJ3" s="120"/>
      <c r="VRK3" s="120"/>
      <c r="VRL3" s="120"/>
      <c r="VRM3" s="120"/>
      <c r="VRN3" s="120"/>
      <c r="VRO3" s="120"/>
      <c r="VRP3" s="120"/>
      <c r="VRQ3" s="120"/>
      <c r="VRR3" s="120"/>
      <c r="VRS3" s="120"/>
      <c r="VRT3" s="120"/>
      <c r="VRU3" s="120"/>
      <c r="VRV3" s="120"/>
      <c r="VRW3" s="120"/>
      <c r="VRX3" s="120"/>
      <c r="VRY3" s="120"/>
      <c r="VRZ3" s="120"/>
      <c r="VSA3" s="120"/>
      <c r="VSB3" s="120"/>
      <c r="VSC3" s="120"/>
      <c r="VSD3" s="120"/>
      <c r="VSE3" s="120"/>
      <c r="VSF3" s="120"/>
      <c r="VSG3" s="120"/>
      <c r="VSH3" s="120"/>
      <c r="VSI3" s="120"/>
      <c r="VSJ3" s="120"/>
      <c r="VSK3" s="120"/>
      <c r="VSL3" s="120"/>
      <c r="VSM3" s="120"/>
      <c r="VSN3" s="120"/>
      <c r="VSO3" s="120"/>
      <c r="VSP3" s="120"/>
      <c r="VSQ3" s="120"/>
      <c r="VSR3" s="120"/>
      <c r="VSS3" s="120"/>
      <c r="VST3" s="120"/>
      <c r="VSU3" s="120"/>
      <c r="VSV3" s="120"/>
      <c r="VSW3" s="120"/>
      <c r="VSX3" s="120"/>
      <c r="VSY3" s="120"/>
      <c r="VSZ3" s="120"/>
      <c r="VTA3" s="120"/>
      <c r="VTB3" s="120"/>
      <c r="VTC3" s="120"/>
      <c r="VTD3" s="120"/>
      <c r="VTE3" s="120"/>
      <c r="VTF3" s="120"/>
      <c r="VTG3" s="120"/>
      <c r="VTH3" s="120"/>
      <c r="VTI3" s="120"/>
      <c r="VTJ3" s="120"/>
      <c r="VTK3" s="120"/>
      <c r="VTL3" s="120"/>
      <c r="VTM3" s="120"/>
      <c r="VTN3" s="120"/>
      <c r="VTO3" s="120"/>
      <c r="VTP3" s="120"/>
      <c r="VTQ3" s="120"/>
      <c r="VTR3" s="120"/>
      <c r="VTS3" s="120"/>
      <c r="VTT3" s="120"/>
      <c r="VTU3" s="120"/>
      <c r="VTV3" s="120"/>
      <c r="VTW3" s="120"/>
      <c r="VTX3" s="120"/>
      <c r="VTY3" s="120"/>
      <c r="VTZ3" s="120"/>
      <c r="VUA3" s="120"/>
      <c r="VUB3" s="120"/>
      <c r="VUC3" s="120"/>
      <c r="VUD3" s="120"/>
      <c r="VUE3" s="120"/>
      <c r="VUF3" s="120"/>
      <c r="VUG3" s="120"/>
      <c r="VUH3" s="120"/>
      <c r="VUI3" s="120"/>
      <c r="VUJ3" s="120"/>
      <c r="VUK3" s="120"/>
      <c r="VUL3" s="120"/>
      <c r="VUM3" s="120"/>
      <c r="VUN3" s="120"/>
      <c r="VUO3" s="120"/>
      <c r="VUP3" s="120"/>
      <c r="VUQ3" s="120"/>
      <c r="VUR3" s="120"/>
      <c r="VUS3" s="120"/>
      <c r="VUT3" s="120"/>
      <c r="VUU3" s="120"/>
      <c r="VUV3" s="120"/>
      <c r="VUW3" s="120"/>
      <c r="VUX3" s="120"/>
      <c r="VUY3" s="120"/>
      <c r="VUZ3" s="120"/>
      <c r="VVA3" s="120"/>
      <c r="VVB3" s="120"/>
      <c r="VVC3" s="120"/>
      <c r="VVD3" s="120"/>
      <c r="VVE3" s="120"/>
      <c r="VVF3" s="120"/>
      <c r="VVG3" s="120"/>
      <c r="VVH3" s="120"/>
      <c r="VVI3" s="120"/>
      <c r="VVJ3" s="120"/>
      <c r="VVK3" s="120"/>
      <c r="VVL3" s="120"/>
      <c r="VVM3" s="120"/>
      <c r="VVN3" s="120"/>
      <c r="VVO3" s="120"/>
      <c r="VVP3" s="120"/>
      <c r="VVQ3" s="120"/>
      <c r="VVR3" s="120"/>
      <c r="VVS3" s="120"/>
      <c r="VVT3" s="120"/>
      <c r="VVU3" s="120"/>
      <c r="VVV3" s="120"/>
      <c r="VVW3" s="120"/>
      <c r="VVX3" s="120"/>
      <c r="VVY3" s="120"/>
      <c r="VVZ3" s="120"/>
      <c r="VWA3" s="120"/>
      <c r="VWB3" s="120"/>
      <c r="VWC3" s="120"/>
      <c r="VWD3" s="120"/>
      <c r="VWE3" s="120"/>
      <c r="VWF3" s="120"/>
      <c r="VWG3" s="120"/>
      <c r="VWH3" s="120"/>
      <c r="VWI3" s="120"/>
      <c r="VWJ3" s="120"/>
      <c r="VWK3" s="120"/>
      <c r="VWL3" s="120"/>
      <c r="VWM3" s="120"/>
      <c r="VWN3" s="120"/>
      <c r="VWO3" s="120"/>
      <c r="VWP3" s="120"/>
      <c r="VWQ3" s="120"/>
      <c r="VWR3" s="120"/>
      <c r="VWS3" s="120"/>
      <c r="VWT3" s="120"/>
      <c r="VWU3" s="120"/>
      <c r="VWV3" s="120"/>
      <c r="VWW3" s="120"/>
      <c r="VWX3" s="120"/>
      <c r="VWY3" s="120"/>
      <c r="VWZ3" s="120"/>
      <c r="VXA3" s="120"/>
      <c r="VXB3" s="120"/>
      <c r="VXC3" s="120"/>
      <c r="VXD3" s="120"/>
      <c r="VXE3" s="120"/>
      <c r="VXF3" s="120"/>
      <c r="VXG3" s="120"/>
      <c r="VXH3" s="120"/>
      <c r="VXI3" s="120"/>
      <c r="VXJ3" s="120"/>
      <c r="VXK3" s="120"/>
      <c r="VXL3" s="120"/>
      <c r="VXM3" s="120"/>
      <c r="VXN3" s="120"/>
      <c r="VXO3" s="120"/>
      <c r="VXP3" s="120"/>
      <c r="VXQ3" s="120"/>
      <c r="VXR3" s="120"/>
      <c r="VXS3" s="120"/>
      <c r="VXT3" s="120"/>
      <c r="VXU3" s="120"/>
      <c r="VXV3" s="120"/>
      <c r="VXW3" s="120"/>
      <c r="VXX3" s="120"/>
      <c r="VXY3" s="120"/>
      <c r="VXZ3" s="120"/>
      <c r="VYA3" s="120"/>
      <c r="VYB3" s="120"/>
      <c r="VYC3" s="120"/>
      <c r="VYD3" s="120"/>
      <c r="VYE3" s="120"/>
      <c r="VYF3" s="120"/>
      <c r="VYG3" s="120"/>
      <c r="VYH3" s="120"/>
      <c r="VYI3" s="120"/>
      <c r="VYJ3" s="120"/>
      <c r="VYK3" s="120"/>
      <c r="VYL3" s="120"/>
      <c r="VYM3" s="120"/>
      <c r="VYN3" s="120"/>
      <c r="VYO3" s="120"/>
      <c r="VYP3" s="120"/>
      <c r="VYQ3" s="120"/>
      <c r="VYR3" s="120"/>
      <c r="VYS3" s="120"/>
      <c r="VYT3" s="120"/>
      <c r="VYU3" s="120"/>
      <c r="VYV3" s="120"/>
      <c r="VYW3" s="120"/>
      <c r="VYX3" s="120"/>
      <c r="VYY3" s="120"/>
      <c r="VYZ3" s="120"/>
      <c r="VZA3" s="120"/>
      <c r="VZB3" s="120"/>
      <c r="VZC3" s="120"/>
      <c r="VZD3" s="120"/>
      <c r="VZE3" s="120"/>
      <c r="VZF3" s="120"/>
      <c r="VZG3" s="120"/>
      <c r="VZH3" s="120"/>
      <c r="VZI3" s="120"/>
      <c r="VZJ3" s="120"/>
      <c r="VZK3" s="120"/>
      <c r="VZL3" s="120"/>
      <c r="VZM3" s="120"/>
      <c r="VZN3" s="120"/>
      <c r="VZO3" s="120"/>
      <c r="VZP3" s="120"/>
      <c r="VZQ3" s="120"/>
      <c r="VZR3" s="120"/>
      <c r="VZS3" s="120"/>
      <c r="VZT3" s="120"/>
      <c r="VZU3" s="120"/>
      <c r="VZV3" s="120"/>
      <c r="VZW3" s="120"/>
      <c r="VZX3" s="120"/>
      <c r="VZY3" s="120"/>
      <c r="VZZ3" s="120"/>
      <c r="WAA3" s="120"/>
      <c r="WAB3" s="120"/>
      <c r="WAC3" s="120"/>
      <c r="WAD3" s="120"/>
      <c r="WAE3" s="120"/>
      <c r="WAF3" s="120"/>
      <c r="WAG3" s="120"/>
      <c r="WAH3" s="120"/>
      <c r="WAI3" s="120"/>
      <c r="WAJ3" s="120"/>
      <c r="WAK3" s="120"/>
      <c r="WAL3" s="120"/>
      <c r="WAM3" s="120"/>
      <c r="WAN3" s="120"/>
      <c r="WAO3" s="120"/>
      <c r="WAP3" s="120"/>
      <c r="WAQ3" s="120"/>
      <c r="WAR3" s="120"/>
      <c r="WAS3" s="120"/>
      <c r="WAT3" s="120"/>
      <c r="WAU3" s="120"/>
      <c r="WAV3" s="120"/>
      <c r="WAW3" s="120"/>
      <c r="WAX3" s="120"/>
      <c r="WAY3" s="120"/>
      <c r="WAZ3" s="120"/>
      <c r="WBA3" s="120"/>
      <c r="WBB3" s="120"/>
      <c r="WBC3" s="120"/>
      <c r="WBD3" s="120"/>
      <c r="WBE3" s="120"/>
      <c r="WBF3" s="120"/>
      <c r="WBG3" s="120"/>
      <c r="WBH3" s="120"/>
      <c r="WBI3" s="120"/>
      <c r="WBJ3" s="120"/>
      <c r="WBK3" s="120"/>
      <c r="WBL3" s="120"/>
      <c r="WBM3" s="120"/>
      <c r="WBN3" s="120"/>
      <c r="WBO3" s="120"/>
      <c r="WBP3" s="120"/>
      <c r="WBQ3" s="120"/>
      <c r="WBR3" s="120"/>
      <c r="WBS3" s="120"/>
      <c r="WBT3" s="120"/>
      <c r="WBU3" s="120"/>
      <c r="WBV3" s="120"/>
      <c r="WBW3" s="120"/>
      <c r="WBX3" s="120"/>
      <c r="WBY3" s="120"/>
      <c r="WBZ3" s="120"/>
      <c r="WCA3" s="120"/>
      <c r="WCB3" s="120"/>
      <c r="WCC3" s="120"/>
      <c r="WCD3" s="120"/>
      <c r="WCE3" s="120"/>
      <c r="WCF3" s="120"/>
      <c r="WCG3" s="120"/>
      <c r="WCH3" s="120"/>
      <c r="WCI3" s="120"/>
      <c r="WCJ3" s="120"/>
      <c r="WCK3" s="120"/>
      <c r="WCL3" s="120"/>
      <c r="WCM3" s="120"/>
      <c r="WCN3" s="120"/>
      <c r="WCO3" s="120"/>
      <c r="WCP3" s="120"/>
      <c r="WCQ3" s="120"/>
      <c r="WCR3" s="120"/>
      <c r="WCS3" s="120"/>
      <c r="WCT3" s="120"/>
      <c r="WCU3" s="120"/>
      <c r="WCV3" s="120"/>
      <c r="WCW3" s="120"/>
      <c r="WCX3" s="120"/>
      <c r="WCY3" s="120"/>
      <c r="WCZ3" s="120"/>
      <c r="WDA3" s="120"/>
      <c r="WDB3" s="120"/>
      <c r="WDC3" s="120"/>
      <c r="WDD3" s="120"/>
      <c r="WDE3" s="120"/>
      <c r="WDF3" s="120"/>
      <c r="WDG3" s="120"/>
      <c r="WDH3" s="120"/>
      <c r="WDI3" s="120"/>
      <c r="WDJ3" s="120"/>
      <c r="WDK3" s="120"/>
      <c r="WDL3" s="120"/>
      <c r="WDM3" s="120"/>
      <c r="WDN3" s="120"/>
      <c r="WDO3" s="120"/>
      <c r="WDP3" s="120"/>
      <c r="WDQ3" s="120"/>
      <c r="WDR3" s="120"/>
      <c r="WDS3" s="120"/>
      <c r="WDT3" s="120"/>
      <c r="WDU3" s="120"/>
      <c r="WDV3" s="120"/>
      <c r="WDW3" s="120"/>
      <c r="WDX3" s="120"/>
      <c r="WDY3" s="120"/>
      <c r="WDZ3" s="120"/>
      <c r="WEA3" s="120"/>
      <c r="WEB3" s="120"/>
      <c r="WEC3" s="120"/>
      <c r="WED3" s="120"/>
      <c r="WEE3" s="120"/>
      <c r="WEF3" s="120"/>
      <c r="WEG3" s="120"/>
      <c r="WEH3" s="120"/>
      <c r="WEI3" s="120"/>
      <c r="WEJ3" s="120"/>
      <c r="WEK3" s="120"/>
      <c r="WEL3" s="120"/>
      <c r="WEM3" s="120"/>
      <c r="WEN3" s="120"/>
      <c r="WEO3" s="120"/>
      <c r="WEP3" s="120"/>
      <c r="WEQ3" s="120"/>
      <c r="WER3" s="120"/>
      <c r="WES3" s="120"/>
      <c r="WET3" s="120"/>
      <c r="WEU3" s="120"/>
      <c r="WEV3" s="120"/>
      <c r="WEW3" s="120"/>
      <c r="WEX3" s="120"/>
      <c r="WEY3" s="120"/>
      <c r="WEZ3" s="120"/>
      <c r="WFA3" s="120"/>
      <c r="WFB3" s="120"/>
      <c r="WFC3" s="120"/>
      <c r="WFD3" s="120"/>
      <c r="WFE3" s="120"/>
      <c r="WFF3" s="120"/>
      <c r="WFG3" s="120"/>
      <c r="WFH3" s="120"/>
      <c r="WFI3" s="120"/>
      <c r="WFJ3" s="120"/>
      <c r="WFK3" s="120"/>
      <c r="WFL3" s="120"/>
      <c r="WFM3" s="120"/>
      <c r="WFN3" s="120"/>
      <c r="WFO3" s="120"/>
      <c r="WFP3" s="120"/>
      <c r="WFQ3" s="120"/>
      <c r="WFR3" s="120"/>
      <c r="WFS3" s="120"/>
      <c r="WFT3" s="120"/>
      <c r="WFU3" s="120"/>
      <c r="WFV3" s="120"/>
      <c r="WFW3" s="120"/>
      <c r="WFX3" s="120"/>
      <c r="WFY3" s="120"/>
      <c r="WFZ3" s="120"/>
      <c r="WGA3" s="120"/>
      <c r="WGB3" s="120"/>
      <c r="WGC3" s="120"/>
      <c r="WGD3" s="120"/>
      <c r="WGE3" s="120"/>
      <c r="WGF3" s="120"/>
      <c r="WGG3" s="120"/>
      <c r="WGH3" s="120"/>
      <c r="WGI3" s="120"/>
      <c r="WGJ3" s="120"/>
      <c r="WGK3" s="120"/>
      <c r="WGL3" s="120"/>
      <c r="WGM3" s="120"/>
      <c r="WGN3" s="120"/>
      <c r="WGO3" s="120"/>
      <c r="WGP3" s="120"/>
      <c r="WGQ3" s="120"/>
      <c r="WGR3" s="120"/>
      <c r="WGS3" s="120"/>
      <c r="WGT3" s="120"/>
      <c r="WGU3" s="120"/>
      <c r="WGV3" s="120"/>
      <c r="WGW3" s="120"/>
      <c r="WGX3" s="120"/>
      <c r="WGY3" s="120"/>
      <c r="WGZ3" s="120"/>
      <c r="WHA3" s="120"/>
      <c r="WHB3" s="120"/>
      <c r="WHC3" s="120"/>
      <c r="WHD3" s="120"/>
      <c r="WHE3" s="120"/>
      <c r="WHF3" s="120"/>
      <c r="WHG3" s="120"/>
      <c r="WHH3" s="120"/>
      <c r="WHI3" s="120"/>
      <c r="WHJ3" s="120"/>
      <c r="WHK3" s="120"/>
      <c r="WHL3" s="120"/>
      <c r="WHM3" s="120"/>
      <c r="WHN3" s="120"/>
      <c r="WHO3" s="120"/>
      <c r="WHP3" s="120"/>
      <c r="WHQ3" s="120"/>
      <c r="WHR3" s="120"/>
      <c r="WHS3" s="120"/>
      <c r="WHT3" s="120"/>
      <c r="WHU3" s="120"/>
      <c r="WHV3" s="120"/>
      <c r="WHW3" s="120"/>
      <c r="WHX3" s="120"/>
      <c r="WHY3" s="120"/>
      <c r="WHZ3" s="120"/>
      <c r="WIA3" s="120"/>
      <c r="WIB3" s="120"/>
      <c r="WIC3" s="120"/>
      <c r="WID3" s="120"/>
      <c r="WIE3" s="120"/>
      <c r="WIF3" s="120"/>
      <c r="WIG3" s="120"/>
      <c r="WIH3" s="120"/>
      <c r="WII3" s="120"/>
      <c r="WIJ3" s="120"/>
      <c r="WIK3" s="120"/>
      <c r="WIL3" s="120"/>
      <c r="WIM3" s="120"/>
      <c r="WIN3" s="120"/>
      <c r="WIO3" s="120"/>
      <c r="WIP3" s="120"/>
      <c r="WIQ3" s="120"/>
      <c r="WIR3" s="120"/>
      <c r="WIS3" s="120"/>
      <c r="WIT3" s="120"/>
      <c r="WIU3" s="120"/>
      <c r="WIV3" s="120"/>
      <c r="WIW3" s="120"/>
      <c r="WIX3" s="120"/>
      <c r="WIY3" s="120"/>
      <c r="WIZ3" s="120"/>
      <c r="WJA3" s="120"/>
      <c r="WJB3" s="120"/>
      <c r="WJC3" s="120"/>
      <c r="WJD3" s="120"/>
      <c r="WJE3" s="120"/>
      <c r="WJF3" s="120"/>
      <c r="WJG3" s="120"/>
      <c r="WJH3" s="120"/>
      <c r="WJI3" s="120"/>
      <c r="WJJ3" s="120"/>
      <c r="WJK3" s="120"/>
      <c r="WJL3" s="120"/>
      <c r="WJM3" s="120"/>
      <c r="WJN3" s="120"/>
      <c r="WJO3" s="120"/>
      <c r="WJP3" s="120"/>
      <c r="WJQ3" s="120"/>
      <c r="WJR3" s="120"/>
      <c r="WJS3" s="120"/>
      <c r="WJT3" s="120"/>
      <c r="WJU3" s="120"/>
      <c r="WJV3" s="120"/>
      <c r="WJW3" s="120"/>
      <c r="WJX3" s="120"/>
      <c r="WJY3" s="120"/>
      <c r="WJZ3" s="120"/>
      <c r="WKA3" s="120"/>
      <c r="WKB3" s="120"/>
      <c r="WKC3" s="120"/>
      <c r="WKD3" s="120"/>
      <c r="WKE3" s="120"/>
      <c r="WKF3" s="120"/>
      <c r="WKG3" s="120"/>
      <c r="WKH3" s="120"/>
      <c r="WKI3" s="120"/>
      <c r="WKJ3" s="120"/>
      <c r="WKK3" s="120"/>
      <c r="WKL3" s="120"/>
      <c r="WKM3" s="120"/>
      <c r="WKN3" s="120"/>
      <c r="WKO3" s="120"/>
      <c r="WKP3" s="120"/>
      <c r="WKQ3" s="120"/>
      <c r="WKR3" s="120"/>
      <c r="WKS3" s="120"/>
      <c r="WKT3" s="120"/>
      <c r="WKU3" s="120"/>
      <c r="WKV3" s="120"/>
      <c r="WKW3" s="120"/>
      <c r="WKX3" s="120"/>
      <c r="WKY3" s="120"/>
      <c r="WKZ3" s="120"/>
      <c r="WLA3" s="120"/>
      <c r="WLB3" s="120"/>
      <c r="WLC3" s="120"/>
      <c r="WLD3" s="120"/>
      <c r="WLE3" s="120"/>
      <c r="WLF3" s="120"/>
      <c r="WLG3" s="120"/>
      <c r="WLH3" s="120"/>
      <c r="WLI3" s="120"/>
      <c r="WLJ3" s="120"/>
      <c r="WLK3" s="120"/>
      <c r="WLL3" s="120"/>
      <c r="WLM3" s="120"/>
      <c r="WLN3" s="120"/>
      <c r="WLO3" s="120"/>
      <c r="WLP3" s="120"/>
      <c r="WLQ3" s="120"/>
      <c r="WLR3" s="120"/>
      <c r="WLS3" s="120"/>
      <c r="WLT3" s="120"/>
      <c r="WLU3" s="120"/>
      <c r="WLV3" s="120"/>
      <c r="WLW3" s="120"/>
      <c r="WLX3" s="120"/>
      <c r="WLY3" s="120"/>
      <c r="WLZ3" s="120"/>
      <c r="WMA3" s="120"/>
      <c r="WMB3" s="120"/>
      <c r="WMC3" s="120"/>
      <c r="WMD3" s="120"/>
      <c r="WME3" s="120"/>
      <c r="WMF3" s="120"/>
      <c r="WMG3" s="120"/>
      <c r="WMH3" s="120"/>
      <c r="WMI3" s="120"/>
      <c r="WMJ3" s="120"/>
      <c r="WMK3" s="120"/>
      <c r="WML3" s="120"/>
      <c r="WMM3" s="120"/>
      <c r="WMN3" s="120"/>
      <c r="WMO3" s="120"/>
      <c r="WMP3" s="120"/>
      <c r="WMQ3" s="120"/>
      <c r="WMR3" s="120"/>
      <c r="WMS3" s="120"/>
      <c r="WMT3" s="120"/>
      <c r="WMU3" s="120"/>
      <c r="WMV3" s="120"/>
      <c r="WMW3" s="120"/>
      <c r="WMX3" s="120"/>
      <c r="WMY3" s="120"/>
      <c r="WMZ3" s="120"/>
      <c r="WNA3" s="120"/>
      <c r="WNB3" s="120"/>
      <c r="WNC3" s="120"/>
      <c r="WND3" s="120"/>
      <c r="WNE3" s="120"/>
      <c r="WNF3" s="120"/>
      <c r="WNG3" s="120"/>
      <c r="WNH3" s="120"/>
      <c r="WNI3" s="120"/>
      <c r="WNJ3" s="120"/>
      <c r="WNK3" s="120"/>
      <c r="WNL3" s="120"/>
      <c r="WNM3" s="120"/>
      <c r="WNN3" s="120"/>
      <c r="WNO3" s="120"/>
      <c r="WNP3" s="120"/>
      <c r="WNQ3" s="120"/>
      <c r="WNR3" s="120"/>
      <c r="WNS3" s="120"/>
      <c r="WNT3" s="120"/>
      <c r="WNU3" s="120"/>
      <c r="WNV3" s="120"/>
      <c r="WNW3" s="120"/>
      <c r="WNX3" s="120"/>
      <c r="WNY3" s="120"/>
      <c r="WNZ3" s="120"/>
      <c r="WOA3" s="120"/>
      <c r="WOB3" s="120"/>
      <c r="WOC3" s="120"/>
      <c r="WOD3" s="120"/>
      <c r="WOE3" s="120"/>
      <c r="WOF3" s="120"/>
      <c r="WOG3" s="120"/>
      <c r="WOH3" s="120"/>
      <c r="WOI3" s="120"/>
      <c r="WOJ3" s="120"/>
      <c r="WOK3" s="120"/>
      <c r="WOL3" s="120"/>
      <c r="WOM3" s="120"/>
      <c r="WON3" s="120"/>
      <c r="WOO3" s="120"/>
      <c r="WOP3" s="120"/>
      <c r="WOQ3" s="120"/>
      <c r="WOR3" s="120"/>
      <c r="WOS3" s="120"/>
      <c r="WOT3" s="120"/>
      <c r="WOU3" s="120"/>
      <c r="WOV3" s="120"/>
      <c r="WOW3" s="120"/>
      <c r="WOX3" s="120"/>
      <c r="WOY3" s="120"/>
      <c r="WOZ3" s="120"/>
      <c r="WPA3" s="120"/>
      <c r="WPB3" s="120"/>
      <c r="WPC3" s="120"/>
      <c r="WPD3" s="120"/>
      <c r="WPE3" s="120"/>
      <c r="WPF3" s="120"/>
      <c r="WPG3" s="120"/>
      <c r="WPH3" s="120"/>
      <c r="WPI3" s="120"/>
      <c r="WPJ3" s="120"/>
      <c r="WPK3" s="120"/>
      <c r="WPL3" s="120"/>
      <c r="WPM3" s="120"/>
      <c r="WPN3" s="120"/>
      <c r="WPO3" s="120"/>
      <c r="WPP3" s="120"/>
      <c r="WPQ3" s="120"/>
      <c r="WPR3" s="120"/>
      <c r="WPS3" s="120"/>
      <c r="WPT3" s="120"/>
      <c r="WPU3" s="120"/>
      <c r="WPV3" s="120"/>
      <c r="WPW3" s="120"/>
      <c r="WPX3" s="120"/>
      <c r="WPY3" s="120"/>
      <c r="WPZ3" s="120"/>
      <c r="WQA3" s="120"/>
      <c r="WQB3" s="120"/>
      <c r="WQC3" s="120"/>
      <c r="WQD3" s="120"/>
      <c r="WQE3" s="120"/>
      <c r="WQF3" s="120"/>
      <c r="WQG3" s="120"/>
      <c r="WQH3" s="120"/>
      <c r="WQI3" s="120"/>
      <c r="WQJ3" s="120"/>
      <c r="WQK3" s="120"/>
      <c r="WQL3" s="120"/>
      <c r="WQM3" s="120"/>
      <c r="WQN3" s="120"/>
      <c r="WQO3" s="120"/>
      <c r="WQP3" s="120"/>
      <c r="WQQ3" s="120"/>
      <c r="WQR3" s="120"/>
      <c r="WQS3" s="120"/>
      <c r="WQT3" s="120"/>
      <c r="WQU3" s="120"/>
      <c r="WQV3" s="120"/>
      <c r="WQW3" s="120"/>
      <c r="WQX3" s="120"/>
      <c r="WQY3" s="120"/>
      <c r="WQZ3" s="120"/>
      <c r="WRA3" s="120"/>
      <c r="WRB3" s="120"/>
      <c r="WRC3" s="120"/>
      <c r="WRD3" s="120"/>
      <c r="WRE3" s="120"/>
      <c r="WRF3" s="120"/>
      <c r="WRG3" s="120"/>
      <c r="WRH3" s="120"/>
      <c r="WRI3" s="120"/>
      <c r="WRJ3" s="120"/>
      <c r="WRK3" s="120"/>
      <c r="WRL3" s="120"/>
      <c r="WRM3" s="120"/>
      <c r="WRN3" s="120"/>
      <c r="WRO3" s="120"/>
      <c r="WRP3" s="120"/>
      <c r="WRQ3" s="120"/>
      <c r="WRR3" s="120"/>
      <c r="WRS3" s="120"/>
      <c r="WRT3" s="120"/>
      <c r="WRU3" s="120"/>
      <c r="WRV3" s="120"/>
      <c r="WRW3" s="120"/>
      <c r="WRX3" s="120"/>
      <c r="WRY3" s="120"/>
      <c r="WRZ3" s="120"/>
      <c r="WSA3" s="120"/>
      <c r="WSB3" s="120"/>
      <c r="WSC3" s="120"/>
      <c r="WSD3" s="120"/>
      <c r="WSE3" s="120"/>
      <c r="WSF3" s="120"/>
      <c r="WSG3" s="120"/>
      <c r="WSH3" s="120"/>
      <c r="WSI3" s="120"/>
      <c r="WSJ3" s="120"/>
      <c r="WSK3" s="120"/>
      <c r="WSL3" s="120"/>
      <c r="WSM3" s="120"/>
      <c r="WSN3" s="120"/>
      <c r="WSO3" s="120"/>
      <c r="WSP3" s="120"/>
      <c r="WSQ3" s="120"/>
      <c r="WSR3" s="120"/>
      <c r="WSS3" s="120"/>
      <c r="WST3" s="120"/>
      <c r="WSU3" s="120"/>
      <c r="WSV3" s="120"/>
      <c r="WSW3" s="120"/>
      <c r="WSX3" s="120"/>
      <c r="WSY3" s="120"/>
      <c r="WSZ3" s="120"/>
      <c r="WTA3" s="120"/>
      <c r="WTB3" s="120"/>
      <c r="WTC3" s="120"/>
      <c r="WTD3" s="120"/>
      <c r="WTE3" s="120"/>
      <c r="WTF3" s="120"/>
      <c r="WTG3" s="120"/>
      <c r="WTH3" s="120"/>
      <c r="WTI3" s="120"/>
      <c r="WTJ3" s="120"/>
      <c r="WTK3" s="120"/>
      <c r="WTL3" s="120"/>
      <c r="WTM3" s="120"/>
      <c r="WTN3" s="120"/>
      <c r="WTO3" s="120"/>
      <c r="WTP3" s="120"/>
      <c r="WTQ3" s="120"/>
      <c r="WTR3" s="120"/>
      <c r="WTS3" s="120"/>
      <c r="WTT3" s="120"/>
      <c r="WTU3" s="120"/>
      <c r="WTV3" s="120"/>
      <c r="WTW3" s="120"/>
      <c r="WTX3" s="120"/>
      <c r="WTY3" s="120"/>
      <c r="WTZ3" s="120"/>
      <c r="WUA3" s="120"/>
      <c r="WUB3" s="120"/>
      <c r="WUC3" s="120"/>
      <c r="WUD3" s="120"/>
      <c r="WUE3" s="120"/>
      <c r="WUF3" s="120"/>
      <c r="WUG3" s="120"/>
      <c r="WUH3" s="120"/>
      <c r="WUI3" s="120"/>
      <c r="WUJ3" s="120"/>
      <c r="WUK3" s="120"/>
      <c r="WUL3" s="120"/>
      <c r="WUM3" s="120"/>
      <c r="WUN3" s="120"/>
      <c r="WUO3" s="120"/>
      <c r="WUP3" s="120"/>
      <c r="WUQ3" s="120"/>
      <c r="WUR3" s="120"/>
      <c r="WUS3" s="120"/>
      <c r="WUT3" s="120"/>
      <c r="WUU3" s="120"/>
      <c r="WUV3" s="120"/>
      <c r="WUW3" s="120"/>
      <c r="WUX3" s="120"/>
      <c r="WUY3" s="120"/>
      <c r="WUZ3" s="120"/>
      <c r="WVA3" s="120"/>
      <c r="WVB3" s="120"/>
      <c r="WVC3" s="120"/>
      <c r="WVD3" s="120"/>
      <c r="WVE3" s="120"/>
      <c r="WVF3" s="120"/>
      <c r="WVG3" s="120"/>
      <c r="WVH3" s="120"/>
      <c r="WVI3" s="120"/>
      <c r="WVJ3" s="120"/>
      <c r="WVK3" s="120"/>
      <c r="WVL3" s="120"/>
      <c r="WVM3" s="120"/>
      <c r="WVN3" s="120"/>
      <c r="WVO3" s="120"/>
      <c r="WVP3" s="120"/>
      <c r="WVQ3" s="120"/>
      <c r="WVR3" s="120"/>
      <c r="WVS3" s="120"/>
      <c r="WVT3" s="120"/>
      <c r="WVU3" s="120"/>
      <c r="WVV3" s="120"/>
      <c r="WVW3" s="120"/>
      <c r="WVX3" s="120"/>
      <c r="WVY3" s="120"/>
      <c r="WVZ3" s="120"/>
      <c r="WWA3" s="120"/>
      <c r="WWB3" s="120"/>
      <c r="WWC3" s="120"/>
      <c r="WWD3" s="120"/>
      <c r="WWE3" s="120"/>
      <c r="WWF3" s="120"/>
      <c r="WWG3" s="120"/>
      <c r="WWH3" s="120"/>
      <c r="WWI3" s="120"/>
      <c r="WWJ3" s="120"/>
      <c r="WWK3" s="120"/>
      <c r="WWL3" s="120"/>
      <c r="WWM3" s="120"/>
      <c r="WWN3" s="120"/>
      <c r="WWO3" s="120"/>
      <c r="WWP3" s="120"/>
      <c r="WWQ3" s="120"/>
      <c r="WWR3" s="120"/>
      <c r="WWS3" s="120"/>
      <c r="WWT3" s="120"/>
      <c r="WWU3" s="120"/>
      <c r="WWV3" s="120"/>
      <c r="WWW3" s="120"/>
      <c r="WWX3" s="120"/>
      <c r="WWY3" s="120"/>
      <c r="WWZ3" s="120"/>
      <c r="WXA3" s="120"/>
      <c r="WXB3" s="120"/>
      <c r="WXC3" s="120"/>
      <c r="WXD3" s="120"/>
      <c r="WXE3" s="120"/>
      <c r="WXF3" s="120"/>
      <c r="WXG3" s="120"/>
      <c r="WXH3" s="120"/>
      <c r="WXI3" s="120"/>
      <c r="WXJ3" s="120"/>
      <c r="WXK3" s="120"/>
      <c r="WXL3" s="120"/>
      <c r="WXM3" s="120"/>
      <c r="WXN3" s="120"/>
      <c r="WXO3" s="120"/>
      <c r="WXP3" s="120"/>
      <c r="WXQ3" s="120"/>
      <c r="WXR3" s="120"/>
      <c r="WXS3" s="120"/>
      <c r="WXT3" s="120"/>
      <c r="WXU3" s="120"/>
      <c r="WXV3" s="120"/>
      <c r="WXW3" s="120"/>
      <c r="WXX3" s="120"/>
      <c r="WXY3" s="120"/>
      <c r="WXZ3" s="120"/>
      <c r="WYA3" s="120"/>
      <c r="WYB3" s="120"/>
      <c r="WYC3" s="120"/>
      <c r="WYD3" s="120"/>
      <c r="WYE3" s="120"/>
      <c r="WYF3" s="120"/>
      <c r="WYG3" s="120"/>
      <c r="WYH3" s="120"/>
      <c r="WYI3" s="120"/>
      <c r="WYJ3" s="120"/>
      <c r="WYK3" s="120"/>
      <c r="WYL3" s="120"/>
      <c r="WYM3" s="120"/>
      <c r="WYN3" s="120"/>
      <c r="WYO3" s="120"/>
      <c r="WYP3" s="120"/>
      <c r="WYQ3" s="120"/>
      <c r="WYR3" s="120"/>
      <c r="WYS3" s="120"/>
      <c r="WYT3" s="120"/>
      <c r="WYU3" s="120"/>
      <c r="WYV3" s="120"/>
      <c r="WYW3" s="120"/>
      <c r="WYX3" s="120"/>
      <c r="WYY3" s="120"/>
      <c r="WYZ3" s="120"/>
      <c r="WZA3" s="120"/>
      <c r="WZB3" s="120"/>
      <c r="WZC3" s="120"/>
      <c r="WZD3" s="120"/>
      <c r="WZE3" s="120"/>
      <c r="WZF3" s="120"/>
      <c r="WZG3" s="120"/>
      <c r="WZH3" s="120"/>
      <c r="WZI3" s="120"/>
      <c r="WZJ3" s="120"/>
      <c r="WZK3" s="120"/>
      <c r="WZL3" s="120"/>
      <c r="WZM3" s="120"/>
      <c r="WZN3" s="120"/>
      <c r="WZO3" s="120"/>
      <c r="WZP3" s="120"/>
      <c r="WZQ3" s="120"/>
      <c r="WZR3" s="120"/>
      <c r="WZS3" s="120"/>
      <c r="WZT3" s="120"/>
      <c r="WZU3" s="120"/>
      <c r="WZV3" s="120"/>
      <c r="WZW3" s="120"/>
      <c r="WZX3" s="120"/>
      <c r="WZY3" s="120"/>
      <c r="WZZ3" s="120"/>
      <c r="XAA3" s="120"/>
      <c r="XAB3" s="120"/>
      <c r="XAC3" s="120"/>
      <c r="XAD3" s="120"/>
      <c r="XAE3" s="120"/>
      <c r="XAF3" s="120"/>
      <c r="XAG3" s="120"/>
      <c r="XAH3" s="120"/>
      <c r="XAI3" s="120"/>
      <c r="XAJ3" s="120"/>
      <c r="XAK3" s="120"/>
      <c r="XAL3" s="120"/>
      <c r="XAM3" s="120"/>
      <c r="XAN3" s="120"/>
      <c r="XAO3" s="120"/>
      <c r="XAP3" s="120"/>
      <c r="XAQ3" s="120"/>
      <c r="XAR3" s="120"/>
      <c r="XAS3" s="120"/>
      <c r="XAT3" s="120"/>
      <c r="XAU3" s="120"/>
      <c r="XAV3" s="120"/>
      <c r="XAW3" s="120"/>
      <c r="XAX3" s="120"/>
      <c r="XAY3" s="120"/>
      <c r="XAZ3" s="120"/>
      <c r="XBA3" s="120"/>
      <c r="XBB3" s="120"/>
      <c r="XBC3" s="120"/>
      <c r="XBD3" s="120"/>
      <c r="XBE3" s="120"/>
      <c r="XBF3" s="120"/>
      <c r="XBG3" s="120"/>
      <c r="XBH3" s="120"/>
      <c r="XBI3" s="120"/>
      <c r="XBJ3" s="120"/>
      <c r="XBK3" s="120"/>
      <c r="XBL3" s="120"/>
      <c r="XBM3" s="120"/>
      <c r="XBN3" s="120"/>
      <c r="XBO3" s="120"/>
      <c r="XBP3" s="120"/>
      <c r="XBQ3" s="120"/>
      <c r="XBR3" s="120"/>
      <c r="XBS3" s="120"/>
      <c r="XBT3" s="120"/>
      <c r="XBU3" s="120"/>
      <c r="XBV3" s="120"/>
      <c r="XBW3" s="120"/>
      <c r="XBX3" s="120"/>
      <c r="XBY3" s="120"/>
      <c r="XBZ3" s="120"/>
      <c r="XCA3" s="120"/>
      <c r="XCB3" s="120"/>
      <c r="XCC3" s="120"/>
      <c r="XCD3" s="120"/>
      <c r="XCE3" s="120"/>
      <c r="XCF3" s="120"/>
      <c r="XCG3" s="120"/>
      <c r="XCH3" s="120"/>
      <c r="XCI3" s="120"/>
      <c r="XCJ3" s="120"/>
      <c r="XCK3" s="120"/>
      <c r="XCL3" s="120"/>
      <c r="XCM3" s="120"/>
      <c r="XCN3" s="120"/>
      <c r="XCO3" s="120"/>
      <c r="XCP3" s="120"/>
      <c r="XCQ3" s="120"/>
      <c r="XCR3" s="120"/>
      <c r="XCS3" s="120"/>
      <c r="XCT3" s="120"/>
      <c r="XCU3" s="120"/>
      <c r="XCV3" s="120"/>
      <c r="XCW3" s="120"/>
      <c r="XCX3" s="120"/>
      <c r="XCY3" s="120"/>
      <c r="XCZ3" s="120"/>
      <c r="XDA3" s="120"/>
      <c r="XDB3" s="120"/>
      <c r="XDC3" s="120"/>
      <c r="XDD3" s="120"/>
      <c r="XDE3" s="120"/>
      <c r="XDF3" s="120"/>
      <c r="XDG3" s="120"/>
      <c r="XDH3" s="120"/>
      <c r="XDI3" s="120"/>
      <c r="XDJ3" s="120"/>
      <c r="XDK3" s="120"/>
      <c r="XDL3" s="120"/>
      <c r="XDM3" s="120"/>
      <c r="XDN3" s="120"/>
      <c r="XDO3" s="120"/>
      <c r="XDP3" s="120"/>
      <c r="XDQ3" s="120"/>
      <c r="XDR3" s="120"/>
      <c r="XDS3" s="120"/>
      <c r="XDT3" s="120"/>
      <c r="XDU3" s="120"/>
      <c r="XDV3" s="120"/>
      <c r="XDW3" s="120"/>
      <c r="XDX3" s="120"/>
      <c r="XDY3" s="120"/>
      <c r="XDZ3" s="120"/>
      <c r="XEA3" s="120"/>
      <c r="XEB3" s="120"/>
      <c r="XEC3" s="120"/>
      <c r="XED3" s="120"/>
      <c r="XEE3" s="120"/>
      <c r="XEF3" s="120"/>
      <c r="XEG3" s="120"/>
      <c r="XEH3" s="120"/>
      <c r="XEI3" s="120"/>
      <c r="XEJ3" s="120"/>
      <c r="XEK3" s="120"/>
      <c r="XEL3" s="120"/>
      <c r="XEM3" s="120"/>
      <c r="XEN3" s="120"/>
      <c r="XEO3" s="120"/>
      <c r="XEP3" s="120"/>
      <c r="XEQ3" s="120"/>
      <c r="XER3" s="120"/>
      <c r="XES3" s="120"/>
      <c r="XET3" s="120"/>
      <c r="XEU3" s="120"/>
      <c r="XEV3" s="120"/>
      <c r="XEW3" s="120"/>
      <c r="XEX3" s="120"/>
      <c r="XEY3" s="120"/>
      <c r="XEZ3" s="120"/>
      <c r="XFA3" s="120"/>
      <c r="XFB3" s="120"/>
      <c r="XFC3" s="120"/>
      <c r="XFD3" s="120"/>
    </row>
    <row r="4" spans="1:16384" ht="15" customHeight="1" thickBot="1">
      <c r="C4" s="47"/>
      <c r="D4" s="47"/>
      <c r="E4" s="47"/>
      <c r="F4" s="108"/>
    </row>
    <row r="5" spans="1:16384" ht="30" customHeight="1" thickBot="1">
      <c r="B5" s="52">
        <v>0</v>
      </c>
      <c r="C5" s="84" t="s">
        <v>51</v>
      </c>
      <c r="D5" s="84" t="s">
        <v>52</v>
      </c>
      <c r="E5" s="84" t="s">
        <v>25</v>
      </c>
      <c r="F5" s="84" t="s">
        <v>53</v>
      </c>
      <c r="G5" s="84" t="s">
        <v>54</v>
      </c>
      <c r="H5" s="93" t="s">
        <v>55</v>
      </c>
    </row>
    <row r="6" spans="1:16384" ht="36" customHeight="1">
      <c r="B6" s="52">
        <f>IF(E6=TOP_CONC!$D$5,B5+1,B5)</f>
        <v>0</v>
      </c>
      <c r="C6" s="105" t="s">
        <v>106</v>
      </c>
      <c r="D6" s="54" t="s">
        <v>56</v>
      </c>
      <c r="E6" s="54" t="s">
        <v>84</v>
      </c>
      <c r="F6" s="109">
        <v>60</v>
      </c>
      <c r="G6" s="110">
        <f>IF(ISERROR(
IF(C6="","",IFERROR(VLOOKUP(E6,CAD_PROD!$C$6:$D$506,2,0),""))),"",IF(C6="","",IFERROR(VLOOKUP(E6,CAD_PROD!$C$6:$D$506,2,0),"")))</f>
        <v>50</v>
      </c>
      <c r="H6" s="94" t="str">
        <f>IF(ISERROR(
IF(C6="","",
IF(F6&lt;G6,"Seu preço está acima do seu concorrente. Você precisa encontrar meios como qualidade, localização, etc, para justificar esta diferença.",IF(F6&gt;G6,"Seu preço está abaixo do seu concorrente. Mas ele se posiciona pelo(a) "&amp;D6&amp;". Fique atento sobre este detalhe, pois preço baixo não é garantia de sucesso.","Seu preço está igual ao do seu concorrente. Ele se posiciona pela "&amp;D6&amp;". Se você conseguir se posicionar melhor que ele nesse atributo, poderá estar em vantagem.")))),"",
IF(C6="","",
IF(F6&lt;G6,"Seu preço está acima do seu concorrente. Você precisa encontrar meios como qualidade, localização, etc, para justificar esta diferença.",IF(F6&gt;G6,"Seu preço está abaixo do seu concorrente. Mas ele se posiciona pelo(a) "&amp;D6&amp;". Fique atento sobre este detalhe, pois preço baixo não é garantia de sucesso.","Seu preço está igual ao do seu concorrente. Ele se posiciona pela "&amp;D6&amp;". Se você conseguir se posicionar melhor que ele nesse atributo, poderá estar em vantagem."))))</f>
        <v>Seu preço está abaixo do seu concorrente. Mas ele se posiciona pelo(a) Qualidade. Fique atento sobre este detalhe, pois preço baixo não é garantia de sucesso.</v>
      </c>
    </row>
    <row r="7" spans="1:16384" ht="36" customHeight="1">
      <c r="B7" s="52">
        <f>IF(E7=TOP_CONC!$D$5,B6+1,B6)</f>
        <v>1</v>
      </c>
      <c r="C7" s="127" t="s">
        <v>107</v>
      </c>
      <c r="D7" s="92" t="s">
        <v>56</v>
      </c>
      <c r="E7" s="92" t="s">
        <v>85</v>
      </c>
      <c r="F7" s="111">
        <v>70</v>
      </c>
      <c r="G7" s="110">
        <f>IF(ISERROR(
IF(C7="","",IFERROR(VLOOKUP(E7,CAD_PROD!$C$6:$D$506,2,0),""))),"",IF(C7="","",IFERROR(VLOOKUP(E7,CAD_PROD!$C$6:$D$506,2,0),"")))</f>
        <v>60</v>
      </c>
      <c r="H7" s="94" t="str">
        <f t="shared" ref="H7:H70" si="0">IF(ISERROR(
IF(C7="","",
IF(F7&lt;G7,"Seu preço está acima do seu concorrente. Você precisa encontrar meios como qualidade, localização, etc, para justificar esta diferença.",IF(F7&gt;G7,"Seu preço está abaixo do seu concorrente. Mas ele se posiciona pelo(a) "&amp;D7&amp;". Fique atento sobre este detalhe, pois preço baixo não é garantia de sucesso.","Seu preço está igual ao do seu concorrente. Ele se posiciona pela "&amp;D7&amp;". Se você conseguir se posicionar melhor que ele nesse atributo, poderá estar em vantagem.")))),"",
IF(C7="","",
IF(F7&lt;G7,"Seu preço está acima do seu concorrente. Você precisa encontrar meios como qualidade, localização, etc, para justificar esta diferença.",IF(F7&gt;G7,"Seu preço está abaixo do seu concorrente. Mas ele se posiciona pelo(a) "&amp;D7&amp;". Fique atento sobre este detalhe, pois preço baixo não é garantia de sucesso.","Seu preço está igual ao do seu concorrente. Ele se posiciona pela "&amp;D7&amp;". Se você conseguir se posicionar melhor que ele nesse atributo, poderá estar em vantagem."))))</f>
        <v>Seu preço está abaixo do seu concorrente. Mas ele se posiciona pelo(a) Qualidade. Fique atento sobre este detalhe, pois preço baixo não é garantia de sucesso.</v>
      </c>
    </row>
    <row r="8" spans="1:16384" ht="36" customHeight="1">
      <c r="B8" s="52">
        <f>IF(E8=TOP_CONC!$D$5,B7+1,B7)</f>
        <v>1</v>
      </c>
      <c r="C8" s="127" t="s">
        <v>108</v>
      </c>
      <c r="D8" s="92" t="s">
        <v>56</v>
      </c>
      <c r="E8" s="92" t="s">
        <v>86</v>
      </c>
      <c r="F8" s="111">
        <v>60</v>
      </c>
      <c r="G8" s="110">
        <f>IF(ISERROR(
IF(C8="","",IFERROR(VLOOKUP(E8,CAD_PROD!$C$6:$D$506,2,0),""))),"",IF(C8="","",IFERROR(VLOOKUP(E8,CAD_PROD!$C$6:$D$506,2,0),"")))</f>
        <v>70</v>
      </c>
      <c r="H8" s="94" t="str">
        <f t="shared" si="0"/>
        <v>Seu preço está acima do seu concorrente. Você precisa encontrar meios como qualidade, localização, etc, para justificar esta diferença.</v>
      </c>
    </row>
    <row r="9" spans="1:16384" ht="36" customHeight="1">
      <c r="B9" s="52">
        <f>IF(E9=TOP_CONC!$D$5,B8+1,B8)</f>
        <v>1</v>
      </c>
      <c r="C9" s="127" t="s">
        <v>109</v>
      </c>
      <c r="D9" s="92" t="s">
        <v>56</v>
      </c>
      <c r="E9" s="92" t="s">
        <v>87</v>
      </c>
      <c r="F9" s="111">
        <v>80</v>
      </c>
      <c r="G9" s="110">
        <f>IF(ISERROR(
IF(C9="","",IFERROR(VLOOKUP(E9,CAD_PROD!$C$6:$D$506,2,0),""))),"",IF(C9="","",IFERROR(VLOOKUP(E9,CAD_PROD!$C$6:$D$506,2,0),"")))</f>
        <v>80</v>
      </c>
      <c r="H9" s="94" t="str">
        <f t="shared" si="0"/>
        <v>Seu preço está igual ao do seu concorrente. Ele se posiciona pela Qualidade. Se você conseguir se posicionar melhor que ele nesse atributo, poderá estar em vantagem.</v>
      </c>
    </row>
    <row r="10" spans="1:16384" ht="36" customHeight="1">
      <c r="B10" s="52">
        <f>IF(E10=TOP_CONC!$D$5,B9+1,B9)</f>
        <v>1</v>
      </c>
      <c r="C10" s="127" t="s">
        <v>110</v>
      </c>
      <c r="D10" s="92" t="s">
        <v>56</v>
      </c>
      <c r="E10" s="92" t="s">
        <v>88</v>
      </c>
      <c r="F10" s="111">
        <v>20</v>
      </c>
      <c r="G10" s="110">
        <f>IF(ISERROR(
IF(C10="","",IFERROR(VLOOKUP(E10,CAD_PROD!$C$6:$D$506,2,0),""))),"",IF(C10="","",IFERROR(VLOOKUP(E10,CAD_PROD!$C$6:$D$506,2,0),"")))</f>
        <v>90</v>
      </c>
      <c r="H10" s="94" t="str">
        <f t="shared" si="0"/>
        <v>Seu preço está acima do seu concorrente. Você precisa encontrar meios como qualidade, localização, etc, para justificar esta diferença.</v>
      </c>
    </row>
    <row r="11" spans="1:16384" ht="36" customHeight="1">
      <c r="B11" s="52">
        <f>IF(E11=TOP_CONC!$D$5,B10+1,B10)</f>
        <v>2</v>
      </c>
      <c r="C11" s="127" t="s">
        <v>111</v>
      </c>
      <c r="D11" s="92" t="s">
        <v>66</v>
      </c>
      <c r="E11" s="92" t="s">
        <v>85</v>
      </c>
      <c r="F11" s="111">
        <v>40</v>
      </c>
      <c r="G11" s="110">
        <f>IF(ISERROR(
IF(C11="","",IFERROR(VLOOKUP(E11,CAD_PROD!$C$6:$D$506,2,0),""))),"",IF(C11="","",IFERROR(VLOOKUP(E11,CAD_PROD!$C$6:$D$506,2,0),"")))</f>
        <v>60</v>
      </c>
      <c r="H11" s="94" t="str">
        <f t="shared" si="0"/>
        <v>Seu preço está acima do seu concorrente. Você precisa encontrar meios como qualidade, localização, etc, para justificar esta diferença.</v>
      </c>
    </row>
    <row r="12" spans="1:16384" ht="36" customHeight="1">
      <c r="B12" s="52">
        <f>IF(E12=TOP_CONC!$D$5,B11+1,B11)</f>
        <v>2</v>
      </c>
      <c r="C12" s="92"/>
      <c r="D12" s="92"/>
      <c r="E12" s="92"/>
      <c r="F12" s="111"/>
      <c r="G12" s="110" t="str">
        <f>IF(ISERROR(
IF(C12="","",IFERROR(VLOOKUP(E12,CAD_PROD!$C$6:$D$506,2,0),""))),"",IF(C12="","",IFERROR(VLOOKUP(E12,CAD_PROD!$C$6:$D$506,2,0),"")))</f>
        <v/>
      </c>
      <c r="H12" s="94" t="str">
        <f t="shared" si="0"/>
        <v/>
      </c>
    </row>
    <row r="13" spans="1:16384" ht="36" customHeight="1">
      <c r="B13" s="52">
        <f>IF(E13=TOP_CONC!$D$5,B12+1,B12)</f>
        <v>2</v>
      </c>
      <c r="C13" s="92"/>
      <c r="D13" s="92"/>
      <c r="E13" s="92"/>
      <c r="F13" s="111"/>
      <c r="G13" s="110" t="str">
        <f>IF(ISERROR(
IF(C13="","",IFERROR(VLOOKUP(E13,CAD_PROD!$C$6:$D$506,2,0),""))),"",IF(C13="","",IFERROR(VLOOKUP(E13,CAD_PROD!$C$6:$D$506,2,0),"")))</f>
        <v/>
      </c>
      <c r="H13" s="94" t="str">
        <f t="shared" si="0"/>
        <v/>
      </c>
    </row>
    <row r="14" spans="1:16384" ht="36" customHeight="1">
      <c r="B14" s="52">
        <f>IF(E14=TOP_CONC!$D$5,B13+1,B13)</f>
        <v>2</v>
      </c>
      <c r="C14" s="92"/>
      <c r="D14" s="92"/>
      <c r="E14" s="92"/>
      <c r="F14" s="111"/>
      <c r="G14" s="110" t="str">
        <f>IF(ISERROR(
IF(C14="","",IFERROR(VLOOKUP(E14,CAD_PROD!$C$6:$D$506,2,0),""))),"",IF(C14="","",IFERROR(VLOOKUP(E14,CAD_PROD!$C$6:$D$506,2,0),"")))</f>
        <v/>
      </c>
      <c r="H14" s="94" t="str">
        <f t="shared" si="0"/>
        <v/>
      </c>
    </row>
    <row r="15" spans="1:16384" ht="36" customHeight="1">
      <c r="B15" s="52">
        <f>IF(E15=TOP_CONC!$D$5,B14+1,B14)</f>
        <v>2</v>
      </c>
      <c r="C15" s="92"/>
      <c r="D15" s="92"/>
      <c r="E15" s="92"/>
      <c r="F15" s="111"/>
      <c r="G15" s="110" t="str">
        <f>IF(ISERROR(
IF(C15="","",IFERROR(VLOOKUP(E15,CAD_PROD!$C$6:$D$506,2,0),""))),"",IF(C15="","",IFERROR(VLOOKUP(E15,CAD_PROD!$C$6:$D$506,2,0),"")))</f>
        <v/>
      </c>
      <c r="H15" s="94" t="str">
        <f t="shared" si="0"/>
        <v/>
      </c>
    </row>
    <row r="16" spans="1:16384" ht="36" customHeight="1">
      <c r="B16" s="52">
        <f>IF(E16=TOP_CONC!$D$5,B15+1,B15)</f>
        <v>2</v>
      </c>
      <c r="C16" s="92"/>
      <c r="D16" s="92"/>
      <c r="E16" s="92"/>
      <c r="F16" s="111"/>
      <c r="G16" s="110" t="str">
        <f>IF(ISERROR(
IF(C16="","",IFERROR(VLOOKUP(E16,CAD_PROD!$C$6:$D$506,2,0),""))),"",IF(C16="","",IFERROR(VLOOKUP(E16,CAD_PROD!$C$6:$D$506,2,0),"")))</f>
        <v/>
      </c>
      <c r="H16" s="94" t="str">
        <f t="shared" si="0"/>
        <v/>
      </c>
    </row>
    <row r="17" spans="2:8" ht="36" customHeight="1">
      <c r="B17" s="52">
        <f>IF(E17=TOP_CONC!$D$5,B16+1,B16)</f>
        <v>2</v>
      </c>
      <c r="C17" s="92"/>
      <c r="D17" s="92"/>
      <c r="E17" s="92"/>
      <c r="F17" s="111"/>
      <c r="G17" s="110" t="str">
        <f>IF(ISERROR(
IF(C17="","",IFERROR(VLOOKUP(E17,CAD_PROD!$C$6:$D$506,2,0),""))),"",IF(C17="","",IFERROR(VLOOKUP(E17,CAD_PROD!$C$6:$D$506,2,0),"")))</f>
        <v/>
      </c>
      <c r="H17" s="94" t="str">
        <f t="shared" si="0"/>
        <v/>
      </c>
    </row>
    <row r="18" spans="2:8" ht="36" customHeight="1">
      <c r="B18" s="52">
        <f>IF(E18=TOP_CONC!$D$5,B17+1,B17)</f>
        <v>2</v>
      </c>
      <c r="C18" s="92"/>
      <c r="D18" s="92"/>
      <c r="E18" s="92"/>
      <c r="F18" s="111"/>
      <c r="G18" s="110" t="str">
        <f>IF(ISERROR(
IF(C18="","",IFERROR(VLOOKUP(E18,CAD_PROD!$C$6:$D$506,2,0),""))),"",IF(C18="","",IFERROR(VLOOKUP(E18,CAD_PROD!$C$6:$D$506,2,0),"")))</f>
        <v/>
      </c>
      <c r="H18" s="94" t="str">
        <f t="shared" si="0"/>
        <v/>
      </c>
    </row>
    <row r="19" spans="2:8" ht="36" customHeight="1">
      <c r="B19" s="52">
        <f>IF(E19=TOP_CONC!$D$5,B18+1,B18)</f>
        <v>2</v>
      </c>
      <c r="C19" s="92"/>
      <c r="D19" s="92"/>
      <c r="E19" s="92"/>
      <c r="F19" s="111"/>
      <c r="G19" s="110" t="str">
        <f>IF(ISERROR(
IF(C19="","",IFERROR(VLOOKUP(E19,CAD_PROD!$C$6:$D$506,2,0),""))),"",IF(C19="","",IFERROR(VLOOKUP(E19,CAD_PROD!$C$6:$D$506,2,0),"")))</f>
        <v/>
      </c>
      <c r="H19" s="94" t="str">
        <f t="shared" si="0"/>
        <v/>
      </c>
    </row>
    <row r="20" spans="2:8" ht="36" customHeight="1">
      <c r="B20" s="52">
        <f>IF(E20=TOP_CONC!$D$5,B19+1,B19)</f>
        <v>2</v>
      </c>
      <c r="C20" s="92"/>
      <c r="D20" s="92"/>
      <c r="E20" s="92"/>
      <c r="F20" s="111"/>
      <c r="G20" s="110" t="str">
        <f>IF(ISERROR(
IF(C20="","",IFERROR(VLOOKUP(E20,CAD_PROD!$C$6:$D$506,2,0),""))),"",IF(C20="","",IFERROR(VLOOKUP(E20,CAD_PROD!$C$6:$D$506,2,0),"")))</f>
        <v/>
      </c>
      <c r="H20" s="94" t="str">
        <f t="shared" si="0"/>
        <v/>
      </c>
    </row>
    <row r="21" spans="2:8" ht="36" customHeight="1">
      <c r="B21" s="52">
        <f>IF(E21=TOP_CONC!$D$5,B20+1,B20)</f>
        <v>2</v>
      </c>
      <c r="C21" s="92"/>
      <c r="D21" s="92"/>
      <c r="E21" s="92"/>
      <c r="F21" s="111"/>
      <c r="G21" s="110" t="str">
        <f>IF(ISERROR(
IF(C21="","",IFERROR(VLOOKUP(E21,CAD_PROD!$C$6:$D$506,2,0),""))),"",IF(C21="","",IFERROR(VLOOKUP(E21,CAD_PROD!$C$6:$D$506,2,0),"")))</f>
        <v/>
      </c>
      <c r="H21" s="94" t="str">
        <f t="shared" si="0"/>
        <v/>
      </c>
    </row>
    <row r="22" spans="2:8" ht="36" customHeight="1">
      <c r="B22" s="52">
        <f>IF(E22=TOP_CONC!$D$5,B21+1,B21)</f>
        <v>2</v>
      </c>
      <c r="C22" s="92"/>
      <c r="D22" s="92"/>
      <c r="E22" s="92"/>
      <c r="F22" s="111"/>
      <c r="G22" s="110" t="str">
        <f>IF(ISERROR(
IF(C22="","",IFERROR(VLOOKUP(E22,CAD_PROD!$C$6:$D$506,2,0),""))),"",IF(C22="","",IFERROR(VLOOKUP(E22,CAD_PROD!$C$6:$D$506,2,0),"")))</f>
        <v/>
      </c>
      <c r="H22" s="94" t="str">
        <f t="shared" si="0"/>
        <v/>
      </c>
    </row>
    <row r="23" spans="2:8" ht="36" customHeight="1">
      <c r="B23" s="52">
        <f>IF(E23=TOP_CONC!$D$5,B22+1,B22)</f>
        <v>2</v>
      </c>
      <c r="C23" s="92"/>
      <c r="D23" s="92"/>
      <c r="E23" s="92"/>
      <c r="F23" s="111"/>
      <c r="G23" s="110" t="str">
        <f>IF(ISERROR(
IF(C23="","",IFERROR(VLOOKUP(E23,CAD_PROD!$C$6:$D$506,2,0),""))),"",IF(C23="","",IFERROR(VLOOKUP(E23,CAD_PROD!$C$6:$D$506,2,0),"")))</f>
        <v/>
      </c>
      <c r="H23" s="94" t="str">
        <f t="shared" si="0"/>
        <v/>
      </c>
    </row>
    <row r="24" spans="2:8" ht="36" customHeight="1">
      <c r="B24" s="52">
        <f>IF(E24=TOP_CONC!$D$5,B23+1,B23)</f>
        <v>2</v>
      </c>
      <c r="C24" s="92"/>
      <c r="D24" s="92"/>
      <c r="E24" s="92"/>
      <c r="F24" s="111"/>
      <c r="G24" s="110" t="str">
        <f>IF(ISERROR(
IF(C24="","",IFERROR(VLOOKUP(E24,CAD_PROD!$C$6:$D$506,2,0),""))),"",IF(C24="","",IFERROR(VLOOKUP(E24,CAD_PROD!$C$6:$D$506,2,0),"")))</f>
        <v/>
      </c>
      <c r="H24" s="94" t="str">
        <f t="shared" si="0"/>
        <v/>
      </c>
    </row>
    <row r="25" spans="2:8" ht="36" customHeight="1">
      <c r="B25" s="52">
        <f>IF(E25=TOP_CONC!$D$5,B24+1,B24)</f>
        <v>2</v>
      </c>
      <c r="C25" s="92"/>
      <c r="D25" s="92"/>
      <c r="E25" s="92"/>
      <c r="F25" s="111"/>
      <c r="G25" s="110" t="str">
        <f>IF(ISERROR(
IF(C25="","",IFERROR(VLOOKUP(E25,CAD_PROD!$C$6:$D$506,2,0),""))),"",IF(C25="","",IFERROR(VLOOKUP(E25,CAD_PROD!$C$6:$D$506,2,0),"")))</f>
        <v/>
      </c>
      <c r="H25" s="94" t="str">
        <f t="shared" si="0"/>
        <v/>
      </c>
    </row>
    <row r="26" spans="2:8" ht="36" customHeight="1">
      <c r="B26" s="52">
        <f>IF(E26=TOP_CONC!$D$5,B25+1,B25)</f>
        <v>2</v>
      </c>
      <c r="C26" s="92"/>
      <c r="D26" s="92"/>
      <c r="E26" s="92"/>
      <c r="F26" s="111"/>
      <c r="G26" s="110" t="str">
        <f>IF(ISERROR(
IF(C26="","",IFERROR(VLOOKUP(E26,CAD_PROD!$C$6:$D$506,2,0),""))),"",IF(C26="","",IFERROR(VLOOKUP(E26,CAD_PROD!$C$6:$D$506,2,0),"")))</f>
        <v/>
      </c>
      <c r="H26" s="94" t="str">
        <f t="shared" si="0"/>
        <v/>
      </c>
    </row>
    <row r="27" spans="2:8" ht="36" customHeight="1">
      <c r="B27" s="52">
        <f>IF(E27=TOP_CONC!$D$5,B26+1,B26)</f>
        <v>2</v>
      </c>
      <c r="C27" s="92"/>
      <c r="D27" s="92"/>
      <c r="E27" s="92"/>
      <c r="F27" s="111"/>
      <c r="G27" s="110" t="str">
        <f>IF(ISERROR(
IF(C27="","",IFERROR(VLOOKUP(E27,CAD_PROD!$C$6:$D$506,2,0),""))),"",IF(C27="","",IFERROR(VLOOKUP(E27,CAD_PROD!$C$6:$D$506,2,0),"")))</f>
        <v/>
      </c>
      <c r="H27" s="94" t="str">
        <f t="shared" si="0"/>
        <v/>
      </c>
    </row>
    <row r="28" spans="2:8" ht="36" customHeight="1">
      <c r="B28" s="52">
        <f>IF(E28=TOP_CONC!$D$5,B27+1,B27)</f>
        <v>2</v>
      </c>
      <c r="C28" s="92"/>
      <c r="D28" s="92"/>
      <c r="E28" s="92"/>
      <c r="F28" s="111"/>
      <c r="G28" s="110" t="str">
        <f>IF(ISERROR(
IF(C28="","",IFERROR(VLOOKUP(E28,CAD_PROD!$C$6:$D$506,2,0),""))),"",IF(C28="","",IFERROR(VLOOKUP(E28,CAD_PROD!$C$6:$D$506,2,0),"")))</f>
        <v/>
      </c>
      <c r="H28" s="94" t="str">
        <f t="shared" si="0"/>
        <v/>
      </c>
    </row>
    <row r="29" spans="2:8" ht="36" customHeight="1">
      <c r="B29" s="52">
        <f>IF(E29=TOP_CONC!$D$5,B28+1,B28)</f>
        <v>2</v>
      </c>
      <c r="C29" s="92"/>
      <c r="D29" s="92"/>
      <c r="E29" s="92"/>
      <c r="F29" s="111"/>
      <c r="G29" s="110" t="str">
        <f>IF(ISERROR(
IF(C29="","",IFERROR(VLOOKUP(E29,CAD_PROD!$C$6:$D$506,2,0),""))),"",IF(C29="","",IFERROR(VLOOKUP(E29,CAD_PROD!$C$6:$D$506,2,0),"")))</f>
        <v/>
      </c>
      <c r="H29" s="94" t="str">
        <f t="shared" si="0"/>
        <v/>
      </c>
    </row>
    <row r="30" spans="2:8" ht="36" customHeight="1">
      <c r="B30" s="52">
        <f>IF(E30=TOP_CONC!$D$5,B29+1,B29)</f>
        <v>2</v>
      </c>
      <c r="C30" s="92"/>
      <c r="D30" s="92"/>
      <c r="E30" s="92"/>
      <c r="F30" s="111"/>
      <c r="G30" s="110" t="str">
        <f>IF(ISERROR(
IF(C30="","",IFERROR(VLOOKUP(E30,CAD_PROD!$C$6:$D$506,2,0),""))),"",IF(C30="","",IFERROR(VLOOKUP(E30,CAD_PROD!$C$6:$D$506,2,0),"")))</f>
        <v/>
      </c>
      <c r="H30" s="94" t="str">
        <f t="shared" si="0"/>
        <v/>
      </c>
    </row>
    <row r="31" spans="2:8" ht="36" customHeight="1">
      <c r="B31" s="52">
        <f>IF(E31=TOP_CONC!$D$5,B30+1,B30)</f>
        <v>2</v>
      </c>
      <c r="C31" s="92"/>
      <c r="D31" s="92"/>
      <c r="E31" s="92"/>
      <c r="F31" s="111"/>
      <c r="G31" s="110" t="str">
        <f>IF(ISERROR(
IF(C31="","",IFERROR(VLOOKUP(E31,CAD_PROD!$C$6:$D$506,2,0),""))),"",IF(C31="","",IFERROR(VLOOKUP(E31,CAD_PROD!$C$6:$D$506,2,0),"")))</f>
        <v/>
      </c>
      <c r="H31" s="94" t="str">
        <f t="shared" si="0"/>
        <v/>
      </c>
    </row>
    <row r="32" spans="2:8" ht="36" customHeight="1">
      <c r="B32" s="52">
        <f>IF(E32=TOP_CONC!$D$5,B31+1,B31)</f>
        <v>2</v>
      </c>
      <c r="C32" s="92"/>
      <c r="D32" s="92"/>
      <c r="E32" s="92"/>
      <c r="F32" s="111"/>
      <c r="G32" s="110" t="str">
        <f>IF(ISERROR(
IF(C32="","",IFERROR(VLOOKUP(E32,CAD_PROD!$C$6:$D$506,2,0),""))),"",IF(C32="","",IFERROR(VLOOKUP(E32,CAD_PROD!$C$6:$D$506,2,0),"")))</f>
        <v/>
      </c>
      <c r="H32" s="94" t="str">
        <f t="shared" si="0"/>
        <v/>
      </c>
    </row>
    <row r="33" spans="2:8" ht="36" customHeight="1">
      <c r="B33" s="52">
        <f>IF(E33=TOP_CONC!$D$5,B32+1,B32)</f>
        <v>2</v>
      </c>
      <c r="C33" s="92"/>
      <c r="D33" s="92"/>
      <c r="E33" s="92"/>
      <c r="F33" s="111"/>
      <c r="G33" s="110" t="str">
        <f>IF(ISERROR(
IF(C33="","",IFERROR(VLOOKUP(E33,CAD_PROD!$C$6:$D$506,2,0),""))),"",IF(C33="","",IFERROR(VLOOKUP(E33,CAD_PROD!$C$6:$D$506,2,0),"")))</f>
        <v/>
      </c>
      <c r="H33" s="94" t="str">
        <f t="shared" si="0"/>
        <v/>
      </c>
    </row>
    <row r="34" spans="2:8" ht="36" customHeight="1">
      <c r="B34" s="52">
        <f>IF(E34=TOP_CONC!$D$5,B33+1,B33)</f>
        <v>2</v>
      </c>
      <c r="C34" s="92"/>
      <c r="D34" s="92"/>
      <c r="E34" s="92"/>
      <c r="F34" s="111"/>
      <c r="G34" s="110" t="str">
        <f>IF(ISERROR(
IF(C34="","",IFERROR(VLOOKUP(E34,CAD_PROD!$C$6:$D$506,2,0),""))),"",IF(C34="","",IFERROR(VLOOKUP(E34,CAD_PROD!$C$6:$D$506,2,0),"")))</f>
        <v/>
      </c>
      <c r="H34" s="94" t="str">
        <f t="shared" si="0"/>
        <v/>
      </c>
    </row>
    <row r="35" spans="2:8" ht="36" customHeight="1">
      <c r="B35" s="52">
        <f>IF(E35=TOP_CONC!$D$5,B34+1,B34)</f>
        <v>2</v>
      </c>
      <c r="C35" s="92"/>
      <c r="D35" s="92"/>
      <c r="E35" s="92"/>
      <c r="F35" s="111"/>
      <c r="G35" s="110" t="str">
        <f>IF(ISERROR(
IF(C35="","",IFERROR(VLOOKUP(E35,CAD_PROD!$C$6:$D$506,2,0),""))),"",IF(C35="","",IFERROR(VLOOKUP(E35,CAD_PROD!$C$6:$D$506,2,0),"")))</f>
        <v/>
      </c>
      <c r="H35" s="94" t="str">
        <f t="shared" si="0"/>
        <v/>
      </c>
    </row>
    <row r="36" spans="2:8" ht="36" customHeight="1">
      <c r="B36" s="52">
        <f>IF(E36=TOP_CONC!$D$5,B35+1,B35)</f>
        <v>2</v>
      </c>
      <c r="C36" s="92"/>
      <c r="D36" s="92"/>
      <c r="E36" s="92"/>
      <c r="F36" s="111"/>
      <c r="G36" s="110" t="str">
        <f>IF(ISERROR(
IF(C36="","",IFERROR(VLOOKUP(E36,CAD_PROD!$C$6:$D$506,2,0),""))),"",IF(C36="","",IFERROR(VLOOKUP(E36,CAD_PROD!$C$6:$D$506,2,0),"")))</f>
        <v/>
      </c>
      <c r="H36" s="94" t="str">
        <f t="shared" si="0"/>
        <v/>
      </c>
    </row>
    <row r="37" spans="2:8" ht="36" customHeight="1">
      <c r="B37" s="52">
        <f>IF(E37=TOP_CONC!$D$5,B36+1,B36)</f>
        <v>2</v>
      </c>
      <c r="C37" s="92"/>
      <c r="D37" s="92"/>
      <c r="E37" s="92"/>
      <c r="F37" s="111"/>
      <c r="G37" s="110" t="str">
        <f>IF(ISERROR(
IF(C37="","",IFERROR(VLOOKUP(E37,CAD_PROD!$C$6:$D$506,2,0),""))),"",IF(C37="","",IFERROR(VLOOKUP(E37,CAD_PROD!$C$6:$D$506,2,0),"")))</f>
        <v/>
      </c>
      <c r="H37" s="94" t="str">
        <f t="shared" si="0"/>
        <v/>
      </c>
    </row>
    <row r="38" spans="2:8" ht="36" customHeight="1">
      <c r="B38" s="52">
        <f>IF(E38=TOP_CONC!$D$5,B37+1,B37)</f>
        <v>2</v>
      </c>
      <c r="C38" s="92"/>
      <c r="D38" s="92"/>
      <c r="E38" s="92"/>
      <c r="F38" s="111"/>
      <c r="G38" s="110" t="str">
        <f>IF(ISERROR(
IF(C38="","",IFERROR(VLOOKUP(E38,CAD_PROD!$C$6:$D$506,2,0),""))),"",IF(C38="","",IFERROR(VLOOKUP(E38,CAD_PROD!$C$6:$D$506,2,0),"")))</f>
        <v/>
      </c>
      <c r="H38" s="94" t="str">
        <f t="shared" si="0"/>
        <v/>
      </c>
    </row>
    <row r="39" spans="2:8" ht="36" customHeight="1">
      <c r="B39" s="52">
        <f>IF(E39=TOP_CONC!$D$5,B38+1,B38)</f>
        <v>2</v>
      </c>
      <c r="C39" s="92"/>
      <c r="D39" s="92"/>
      <c r="E39" s="92"/>
      <c r="F39" s="111"/>
      <c r="G39" s="110" t="str">
        <f>IF(ISERROR(
IF(C39="","",IFERROR(VLOOKUP(E39,CAD_PROD!$C$6:$D$506,2,0),""))),"",IF(C39="","",IFERROR(VLOOKUP(E39,CAD_PROD!$C$6:$D$506,2,0),"")))</f>
        <v/>
      </c>
      <c r="H39" s="94" t="str">
        <f t="shared" si="0"/>
        <v/>
      </c>
    </row>
    <row r="40" spans="2:8" ht="36" customHeight="1">
      <c r="B40" s="52">
        <f>IF(E40=TOP_CONC!$D$5,B39+1,B39)</f>
        <v>2</v>
      </c>
      <c r="C40" s="92"/>
      <c r="D40" s="92"/>
      <c r="E40" s="92"/>
      <c r="F40" s="111"/>
      <c r="G40" s="110" t="str">
        <f>IF(ISERROR(
IF(C40="","",IFERROR(VLOOKUP(E40,CAD_PROD!$C$6:$D$506,2,0),""))),"",IF(C40="","",IFERROR(VLOOKUP(E40,CAD_PROD!$C$6:$D$506,2,0),"")))</f>
        <v/>
      </c>
      <c r="H40" s="94" t="str">
        <f t="shared" si="0"/>
        <v/>
      </c>
    </row>
    <row r="41" spans="2:8" ht="36" customHeight="1">
      <c r="B41" s="52">
        <f>IF(E41=TOP_CONC!$D$5,B40+1,B40)</f>
        <v>2</v>
      </c>
      <c r="C41" s="92"/>
      <c r="D41" s="92"/>
      <c r="E41" s="92"/>
      <c r="F41" s="111"/>
      <c r="G41" s="110" t="str">
        <f>IF(ISERROR(
IF(C41="","",IFERROR(VLOOKUP(E41,CAD_PROD!$C$6:$D$506,2,0),""))),"",IF(C41="","",IFERROR(VLOOKUP(E41,CAD_PROD!$C$6:$D$506,2,0),"")))</f>
        <v/>
      </c>
      <c r="H41" s="94" t="str">
        <f t="shared" si="0"/>
        <v/>
      </c>
    </row>
    <row r="42" spans="2:8" ht="36" customHeight="1">
      <c r="B42" s="52">
        <f>IF(E42=TOP_CONC!$D$5,B41+1,B41)</f>
        <v>2</v>
      </c>
      <c r="C42" s="92"/>
      <c r="D42" s="92"/>
      <c r="E42" s="92"/>
      <c r="F42" s="111"/>
      <c r="G42" s="110" t="str">
        <f>IF(ISERROR(
IF(C42="","",IFERROR(VLOOKUP(E42,CAD_PROD!$C$6:$D$506,2,0),""))),"",IF(C42="","",IFERROR(VLOOKUP(E42,CAD_PROD!$C$6:$D$506,2,0),"")))</f>
        <v/>
      </c>
      <c r="H42" s="94" t="str">
        <f t="shared" si="0"/>
        <v/>
      </c>
    </row>
    <row r="43" spans="2:8" ht="36" customHeight="1">
      <c r="B43" s="52">
        <f>IF(E43=TOP_CONC!$D$5,B42+1,B42)</f>
        <v>2</v>
      </c>
      <c r="C43" s="92"/>
      <c r="D43" s="92"/>
      <c r="E43" s="92"/>
      <c r="F43" s="111"/>
      <c r="G43" s="110" t="str">
        <f>IF(ISERROR(
IF(C43="","",IFERROR(VLOOKUP(E43,CAD_PROD!$C$6:$D$506,2,0),""))),"",IF(C43="","",IFERROR(VLOOKUP(E43,CAD_PROD!$C$6:$D$506,2,0),"")))</f>
        <v/>
      </c>
      <c r="H43" s="94" t="str">
        <f t="shared" si="0"/>
        <v/>
      </c>
    </row>
    <row r="44" spans="2:8" ht="36" customHeight="1">
      <c r="B44" s="52">
        <f>IF(E44=TOP_CONC!$D$5,B43+1,B43)</f>
        <v>2</v>
      </c>
      <c r="C44" s="92"/>
      <c r="D44" s="92"/>
      <c r="E44" s="92"/>
      <c r="F44" s="111"/>
      <c r="G44" s="110" t="str">
        <f>IF(ISERROR(
IF(C44="","",IFERROR(VLOOKUP(E44,CAD_PROD!$C$6:$D$506,2,0),""))),"",IF(C44="","",IFERROR(VLOOKUP(E44,CAD_PROD!$C$6:$D$506,2,0),"")))</f>
        <v/>
      </c>
      <c r="H44" s="94" t="str">
        <f t="shared" si="0"/>
        <v/>
      </c>
    </row>
    <row r="45" spans="2:8" ht="36" customHeight="1">
      <c r="B45" s="52">
        <f>IF(E45=TOP_CONC!$D$5,B44+1,B44)</f>
        <v>2</v>
      </c>
      <c r="C45" s="92"/>
      <c r="D45" s="92"/>
      <c r="E45" s="92"/>
      <c r="F45" s="111"/>
      <c r="G45" s="110" t="str">
        <f>IF(ISERROR(
IF(C45="","",IFERROR(VLOOKUP(E45,CAD_PROD!$C$6:$D$506,2,0),""))),"",IF(C45="","",IFERROR(VLOOKUP(E45,CAD_PROD!$C$6:$D$506,2,0),"")))</f>
        <v/>
      </c>
      <c r="H45" s="94" t="str">
        <f t="shared" si="0"/>
        <v/>
      </c>
    </row>
    <row r="46" spans="2:8" ht="36" customHeight="1">
      <c r="B46" s="52">
        <f>IF(E46=TOP_CONC!$D$5,B45+1,B45)</f>
        <v>2</v>
      </c>
      <c r="C46" s="92"/>
      <c r="D46" s="92"/>
      <c r="E46" s="92"/>
      <c r="F46" s="111"/>
      <c r="G46" s="110" t="str">
        <f>IF(ISERROR(
IF(C46="","",IFERROR(VLOOKUP(E46,CAD_PROD!$C$6:$D$506,2,0),""))),"",IF(C46="","",IFERROR(VLOOKUP(E46,CAD_PROD!$C$6:$D$506,2,0),"")))</f>
        <v/>
      </c>
      <c r="H46" s="94" t="str">
        <f t="shared" si="0"/>
        <v/>
      </c>
    </row>
    <row r="47" spans="2:8" ht="36" customHeight="1">
      <c r="B47" s="52">
        <f>IF(E47=TOP_CONC!$D$5,B46+1,B46)</f>
        <v>2</v>
      </c>
      <c r="C47" s="92"/>
      <c r="D47" s="92"/>
      <c r="E47" s="92"/>
      <c r="F47" s="111"/>
      <c r="G47" s="110" t="str">
        <f>IF(ISERROR(
IF(C47="","",IFERROR(VLOOKUP(E47,CAD_PROD!$C$6:$D$506,2,0),""))),"",IF(C47="","",IFERROR(VLOOKUP(E47,CAD_PROD!$C$6:$D$506,2,0),"")))</f>
        <v/>
      </c>
      <c r="H47" s="94" t="str">
        <f t="shared" si="0"/>
        <v/>
      </c>
    </row>
    <row r="48" spans="2:8" ht="36" customHeight="1">
      <c r="B48" s="52">
        <f>IF(E48=TOP_CONC!$D$5,B47+1,B47)</f>
        <v>2</v>
      </c>
      <c r="C48" s="92"/>
      <c r="D48" s="92"/>
      <c r="E48" s="92"/>
      <c r="F48" s="111"/>
      <c r="G48" s="110" t="str">
        <f>IF(ISERROR(
IF(C48="","",IFERROR(VLOOKUP(E48,CAD_PROD!$C$6:$D$506,2,0),""))),"",IF(C48="","",IFERROR(VLOOKUP(E48,CAD_PROD!$C$6:$D$506,2,0),"")))</f>
        <v/>
      </c>
      <c r="H48" s="94" t="str">
        <f t="shared" si="0"/>
        <v/>
      </c>
    </row>
    <row r="49" spans="2:8" ht="36" customHeight="1">
      <c r="B49" s="52">
        <f>IF(E49=TOP_CONC!$D$5,B48+1,B48)</f>
        <v>2</v>
      </c>
      <c r="C49" s="92"/>
      <c r="D49" s="92"/>
      <c r="E49" s="92"/>
      <c r="F49" s="111"/>
      <c r="G49" s="110" t="str">
        <f>IF(ISERROR(
IF(C49="","",IFERROR(VLOOKUP(E49,CAD_PROD!$C$6:$D$506,2,0),""))),"",IF(C49="","",IFERROR(VLOOKUP(E49,CAD_PROD!$C$6:$D$506,2,0),"")))</f>
        <v/>
      </c>
      <c r="H49" s="94" t="str">
        <f t="shared" si="0"/>
        <v/>
      </c>
    </row>
    <row r="50" spans="2:8" ht="36" customHeight="1">
      <c r="B50" s="52">
        <f>IF(E50=TOP_CONC!$D$5,B49+1,B49)</f>
        <v>2</v>
      </c>
      <c r="C50" s="92"/>
      <c r="D50" s="92"/>
      <c r="E50" s="92"/>
      <c r="F50" s="111"/>
      <c r="G50" s="110" t="str">
        <f>IF(ISERROR(
IF(C50="","",IFERROR(VLOOKUP(E50,CAD_PROD!$C$6:$D$506,2,0),""))),"",IF(C50="","",IFERROR(VLOOKUP(E50,CAD_PROD!$C$6:$D$506,2,0),"")))</f>
        <v/>
      </c>
      <c r="H50" s="94" t="str">
        <f t="shared" si="0"/>
        <v/>
      </c>
    </row>
    <row r="51" spans="2:8" ht="36" customHeight="1">
      <c r="B51" s="52">
        <f>IF(E51=TOP_CONC!$D$5,B50+1,B50)</f>
        <v>2</v>
      </c>
      <c r="C51" s="92"/>
      <c r="D51" s="92"/>
      <c r="E51" s="92"/>
      <c r="F51" s="111"/>
      <c r="G51" s="110" t="str">
        <f>IF(ISERROR(
IF(C51="","",IFERROR(VLOOKUP(E51,CAD_PROD!$C$6:$D$506,2,0),""))),"",IF(C51="","",IFERROR(VLOOKUP(E51,CAD_PROD!$C$6:$D$506,2,0),"")))</f>
        <v/>
      </c>
      <c r="H51" s="94" t="str">
        <f t="shared" si="0"/>
        <v/>
      </c>
    </row>
    <row r="52" spans="2:8" ht="36" customHeight="1">
      <c r="B52" s="52">
        <f>IF(E52=TOP_CONC!$D$5,B51+1,B51)</f>
        <v>2</v>
      </c>
      <c r="C52" s="92"/>
      <c r="D52" s="92"/>
      <c r="E52" s="92"/>
      <c r="F52" s="111"/>
      <c r="G52" s="110" t="str">
        <f>IF(ISERROR(
IF(C52="","",IFERROR(VLOOKUP(E52,CAD_PROD!$C$6:$D$506,2,0),""))),"",IF(C52="","",IFERROR(VLOOKUP(E52,CAD_PROD!$C$6:$D$506,2,0),"")))</f>
        <v/>
      </c>
      <c r="H52" s="94" t="str">
        <f t="shared" si="0"/>
        <v/>
      </c>
    </row>
    <row r="53" spans="2:8" ht="36" customHeight="1">
      <c r="B53" s="52">
        <f>IF(E53=TOP_CONC!$D$5,B52+1,B52)</f>
        <v>2</v>
      </c>
      <c r="C53" s="92"/>
      <c r="D53" s="92"/>
      <c r="E53" s="92"/>
      <c r="F53" s="111"/>
      <c r="G53" s="110" t="str">
        <f>IF(ISERROR(
IF(C53="","",IFERROR(VLOOKUP(E53,CAD_PROD!$C$6:$D$506,2,0),""))),"",IF(C53="","",IFERROR(VLOOKUP(E53,CAD_PROD!$C$6:$D$506,2,0),"")))</f>
        <v/>
      </c>
      <c r="H53" s="94" t="str">
        <f t="shared" si="0"/>
        <v/>
      </c>
    </row>
    <row r="54" spans="2:8" ht="36" customHeight="1">
      <c r="B54" s="52">
        <f>IF(E54=TOP_CONC!$D$5,B53+1,B53)</f>
        <v>2</v>
      </c>
      <c r="C54" s="92"/>
      <c r="D54" s="92"/>
      <c r="E54" s="92"/>
      <c r="F54" s="111"/>
      <c r="G54" s="110" t="str">
        <f>IF(ISERROR(
IF(C54="","",IFERROR(VLOOKUP(E54,CAD_PROD!$C$6:$D$506,2,0),""))),"",IF(C54="","",IFERROR(VLOOKUP(E54,CAD_PROD!$C$6:$D$506,2,0),"")))</f>
        <v/>
      </c>
      <c r="H54" s="94" t="str">
        <f t="shared" si="0"/>
        <v/>
      </c>
    </row>
    <row r="55" spans="2:8" ht="36" customHeight="1">
      <c r="B55" s="52">
        <f>IF(E55=TOP_CONC!$D$5,B54+1,B54)</f>
        <v>2</v>
      </c>
      <c r="C55" s="92"/>
      <c r="D55" s="92"/>
      <c r="E55" s="92"/>
      <c r="F55" s="111"/>
      <c r="G55" s="110" t="str">
        <f>IF(ISERROR(
IF(C55="","",IFERROR(VLOOKUP(E55,CAD_PROD!$C$6:$D$506,2,0),""))),"",IF(C55="","",IFERROR(VLOOKUP(E55,CAD_PROD!$C$6:$D$506,2,0),"")))</f>
        <v/>
      </c>
      <c r="H55" s="94" t="str">
        <f t="shared" si="0"/>
        <v/>
      </c>
    </row>
    <row r="56" spans="2:8" ht="36" customHeight="1">
      <c r="B56" s="52">
        <f>IF(E56=TOP_CONC!$D$5,B55+1,B55)</f>
        <v>2</v>
      </c>
      <c r="C56" s="92"/>
      <c r="D56" s="92"/>
      <c r="E56" s="92"/>
      <c r="F56" s="111"/>
      <c r="G56" s="110" t="str">
        <f>IF(ISERROR(
IF(C56="","",IFERROR(VLOOKUP(E56,CAD_PROD!$C$6:$D$506,2,0),""))),"",IF(C56="","",IFERROR(VLOOKUP(E56,CAD_PROD!$C$6:$D$506,2,0),"")))</f>
        <v/>
      </c>
      <c r="H56" s="94" t="str">
        <f t="shared" si="0"/>
        <v/>
      </c>
    </row>
    <row r="57" spans="2:8" ht="36" customHeight="1">
      <c r="B57" s="52">
        <f>IF(E57=TOP_CONC!$D$5,B56+1,B56)</f>
        <v>2</v>
      </c>
      <c r="C57" s="92"/>
      <c r="D57" s="92"/>
      <c r="E57" s="92"/>
      <c r="F57" s="111"/>
      <c r="G57" s="110" t="str">
        <f>IF(ISERROR(
IF(C57="","",IFERROR(VLOOKUP(E57,CAD_PROD!$C$6:$D$506,2,0),""))),"",IF(C57="","",IFERROR(VLOOKUP(E57,CAD_PROD!$C$6:$D$506,2,0),"")))</f>
        <v/>
      </c>
      <c r="H57" s="94" t="str">
        <f t="shared" si="0"/>
        <v/>
      </c>
    </row>
    <row r="58" spans="2:8" ht="36" customHeight="1">
      <c r="B58" s="52">
        <f>IF(E58=TOP_CONC!$D$5,B57+1,B57)</f>
        <v>2</v>
      </c>
      <c r="C58" s="92"/>
      <c r="D58" s="92"/>
      <c r="E58" s="92"/>
      <c r="F58" s="111"/>
      <c r="G58" s="110" t="str">
        <f>IF(ISERROR(
IF(C58="","",IFERROR(VLOOKUP(E58,CAD_PROD!$C$6:$D$506,2,0),""))),"",IF(C58="","",IFERROR(VLOOKUP(E58,CAD_PROD!$C$6:$D$506,2,0),"")))</f>
        <v/>
      </c>
      <c r="H58" s="94" t="str">
        <f t="shared" si="0"/>
        <v/>
      </c>
    </row>
    <row r="59" spans="2:8" ht="36" customHeight="1">
      <c r="B59" s="52">
        <f>IF(E59=TOP_CONC!$D$5,B58+1,B58)</f>
        <v>2</v>
      </c>
      <c r="C59" s="92"/>
      <c r="D59" s="92"/>
      <c r="E59" s="92"/>
      <c r="F59" s="111"/>
      <c r="G59" s="110" t="str">
        <f>IF(ISERROR(
IF(C59="","",IFERROR(VLOOKUP(E59,CAD_PROD!$C$6:$D$506,2,0),""))),"",IF(C59="","",IFERROR(VLOOKUP(E59,CAD_PROD!$C$6:$D$506,2,0),"")))</f>
        <v/>
      </c>
      <c r="H59" s="94" t="str">
        <f t="shared" si="0"/>
        <v/>
      </c>
    </row>
    <row r="60" spans="2:8" ht="36" customHeight="1">
      <c r="B60" s="52">
        <f>IF(E60=TOP_CONC!$D$5,B59+1,B59)</f>
        <v>2</v>
      </c>
      <c r="C60" s="92"/>
      <c r="D60" s="92"/>
      <c r="E60" s="92"/>
      <c r="F60" s="111"/>
      <c r="G60" s="110" t="str">
        <f>IF(ISERROR(
IF(C60="","",IFERROR(VLOOKUP(E60,CAD_PROD!$C$6:$D$506,2,0),""))),"",IF(C60="","",IFERROR(VLOOKUP(E60,CAD_PROD!$C$6:$D$506,2,0),"")))</f>
        <v/>
      </c>
      <c r="H60" s="94" t="str">
        <f t="shared" si="0"/>
        <v/>
      </c>
    </row>
    <row r="61" spans="2:8" ht="36" customHeight="1">
      <c r="B61" s="52">
        <f>IF(E61=TOP_CONC!$D$5,B60+1,B60)</f>
        <v>2</v>
      </c>
      <c r="C61" s="92"/>
      <c r="D61" s="92"/>
      <c r="E61" s="92"/>
      <c r="F61" s="111"/>
      <c r="G61" s="110" t="str">
        <f>IF(ISERROR(
IF(C61="","",IFERROR(VLOOKUP(E61,CAD_PROD!$C$6:$D$506,2,0),""))),"",IF(C61="","",IFERROR(VLOOKUP(E61,CAD_PROD!$C$6:$D$506,2,0),"")))</f>
        <v/>
      </c>
      <c r="H61" s="94" t="str">
        <f t="shared" si="0"/>
        <v/>
      </c>
    </row>
    <row r="62" spans="2:8" ht="36" customHeight="1">
      <c r="B62" s="52">
        <f>IF(E62=TOP_CONC!$D$5,B61+1,B61)</f>
        <v>2</v>
      </c>
      <c r="C62" s="92"/>
      <c r="D62" s="92"/>
      <c r="E62" s="92"/>
      <c r="F62" s="111"/>
      <c r="G62" s="110" t="str">
        <f>IF(ISERROR(
IF(C62="","",IFERROR(VLOOKUP(E62,CAD_PROD!$C$6:$D$506,2,0),""))),"",IF(C62="","",IFERROR(VLOOKUP(E62,CAD_PROD!$C$6:$D$506,2,0),"")))</f>
        <v/>
      </c>
      <c r="H62" s="94" t="str">
        <f t="shared" si="0"/>
        <v/>
      </c>
    </row>
    <row r="63" spans="2:8" ht="36" customHeight="1">
      <c r="B63" s="52">
        <f>IF(E63=TOP_CONC!$D$5,B62+1,B62)</f>
        <v>2</v>
      </c>
      <c r="C63" s="92"/>
      <c r="D63" s="92"/>
      <c r="E63" s="92"/>
      <c r="F63" s="111"/>
      <c r="G63" s="110" t="str">
        <f>IF(ISERROR(
IF(C63="","",IFERROR(VLOOKUP(E63,CAD_PROD!$C$6:$D$506,2,0),""))),"",IF(C63="","",IFERROR(VLOOKUP(E63,CAD_PROD!$C$6:$D$506,2,0),"")))</f>
        <v/>
      </c>
      <c r="H63" s="94" t="str">
        <f t="shared" si="0"/>
        <v/>
      </c>
    </row>
    <row r="64" spans="2:8" ht="36" customHeight="1">
      <c r="B64" s="52">
        <f>IF(E64=TOP_CONC!$D$5,B63+1,B63)</f>
        <v>2</v>
      </c>
      <c r="C64" s="92"/>
      <c r="D64" s="92"/>
      <c r="E64" s="92"/>
      <c r="F64" s="111"/>
      <c r="G64" s="110" t="str">
        <f>IF(ISERROR(
IF(C64="","",IFERROR(VLOOKUP(E64,CAD_PROD!$C$6:$D$506,2,0),""))),"",IF(C64="","",IFERROR(VLOOKUP(E64,CAD_PROD!$C$6:$D$506,2,0),"")))</f>
        <v/>
      </c>
      <c r="H64" s="94" t="str">
        <f t="shared" si="0"/>
        <v/>
      </c>
    </row>
    <row r="65" spans="2:8" ht="36" customHeight="1">
      <c r="B65" s="52">
        <f>IF(E65=TOP_CONC!$D$5,B64+1,B64)</f>
        <v>2</v>
      </c>
      <c r="C65" s="92"/>
      <c r="D65" s="92"/>
      <c r="E65" s="92"/>
      <c r="F65" s="111"/>
      <c r="G65" s="110" t="str">
        <f>IF(ISERROR(
IF(C65="","",IFERROR(VLOOKUP(E65,CAD_PROD!$C$6:$D$506,2,0),""))),"",IF(C65="","",IFERROR(VLOOKUP(E65,CAD_PROD!$C$6:$D$506,2,0),"")))</f>
        <v/>
      </c>
      <c r="H65" s="94" t="str">
        <f t="shared" si="0"/>
        <v/>
      </c>
    </row>
    <row r="66" spans="2:8" ht="36" customHeight="1">
      <c r="B66" s="52">
        <f>IF(E66=TOP_CONC!$D$5,B65+1,B65)</f>
        <v>2</v>
      </c>
      <c r="C66" s="92"/>
      <c r="D66" s="92"/>
      <c r="E66" s="92"/>
      <c r="F66" s="111"/>
      <c r="G66" s="110" t="str">
        <f>IF(ISERROR(
IF(C66="","",IFERROR(VLOOKUP(E66,CAD_PROD!$C$6:$D$506,2,0),""))),"",IF(C66="","",IFERROR(VLOOKUP(E66,CAD_PROD!$C$6:$D$506,2,0),"")))</f>
        <v/>
      </c>
      <c r="H66" s="94" t="str">
        <f t="shared" si="0"/>
        <v/>
      </c>
    </row>
    <row r="67" spans="2:8" ht="36" customHeight="1">
      <c r="B67" s="52">
        <f>IF(E67=TOP_CONC!$D$5,B66+1,B66)</f>
        <v>2</v>
      </c>
      <c r="C67" s="92"/>
      <c r="D67" s="92"/>
      <c r="E67" s="92"/>
      <c r="F67" s="111"/>
      <c r="G67" s="110" t="str">
        <f>IF(ISERROR(
IF(C67="","",IFERROR(VLOOKUP(E67,CAD_PROD!$C$6:$D$506,2,0),""))),"",IF(C67="","",IFERROR(VLOOKUP(E67,CAD_PROD!$C$6:$D$506,2,0),"")))</f>
        <v/>
      </c>
      <c r="H67" s="94" t="str">
        <f t="shared" si="0"/>
        <v/>
      </c>
    </row>
    <row r="68" spans="2:8" ht="36" customHeight="1">
      <c r="B68" s="52">
        <f>IF(E68=TOP_CONC!$D$5,B67+1,B67)</f>
        <v>2</v>
      </c>
      <c r="C68" s="92"/>
      <c r="D68" s="92"/>
      <c r="E68" s="92"/>
      <c r="F68" s="111"/>
      <c r="G68" s="110" t="str">
        <f>IF(ISERROR(
IF(C68="","",IFERROR(VLOOKUP(E68,CAD_PROD!$C$6:$D$506,2,0),""))),"",IF(C68="","",IFERROR(VLOOKUP(E68,CAD_PROD!$C$6:$D$506,2,0),"")))</f>
        <v/>
      </c>
      <c r="H68" s="94" t="str">
        <f t="shared" si="0"/>
        <v/>
      </c>
    </row>
    <row r="69" spans="2:8" ht="36" customHeight="1">
      <c r="B69" s="52">
        <f>IF(E69=TOP_CONC!$D$5,B68+1,B68)</f>
        <v>2</v>
      </c>
      <c r="C69" s="92"/>
      <c r="D69" s="92"/>
      <c r="E69" s="92"/>
      <c r="F69" s="111"/>
      <c r="G69" s="110" t="str">
        <f>IF(ISERROR(
IF(C69="","",IFERROR(VLOOKUP(E69,CAD_PROD!$C$6:$D$506,2,0),""))),"",IF(C69="","",IFERROR(VLOOKUP(E69,CAD_PROD!$C$6:$D$506,2,0),"")))</f>
        <v/>
      </c>
      <c r="H69" s="94" t="str">
        <f t="shared" si="0"/>
        <v/>
      </c>
    </row>
    <row r="70" spans="2:8" ht="36" customHeight="1">
      <c r="B70" s="52">
        <f>IF(E70=TOP_CONC!$D$5,B69+1,B69)</f>
        <v>2</v>
      </c>
      <c r="C70" s="92"/>
      <c r="D70" s="92"/>
      <c r="E70" s="92"/>
      <c r="F70" s="111"/>
      <c r="G70" s="110" t="str">
        <f>IF(ISERROR(
IF(C70="","",IFERROR(VLOOKUP(E70,CAD_PROD!$C$6:$D$506,2,0),""))),"",IF(C70="","",IFERROR(VLOOKUP(E70,CAD_PROD!$C$6:$D$506,2,0),"")))</f>
        <v/>
      </c>
      <c r="H70" s="94" t="str">
        <f t="shared" si="0"/>
        <v/>
      </c>
    </row>
    <row r="71" spans="2:8" ht="36" customHeight="1">
      <c r="B71" s="52">
        <f>IF(E71=TOP_CONC!$D$5,B70+1,B70)</f>
        <v>2</v>
      </c>
      <c r="C71" s="92"/>
      <c r="D71" s="92"/>
      <c r="E71" s="92"/>
      <c r="F71" s="111"/>
      <c r="G71" s="110" t="str">
        <f>IF(ISERROR(
IF(C71="","",IFERROR(VLOOKUP(E71,CAD_PROD!$C$6:$D$506,2,0),""))),"",IF(C71="","",IFERROR(VLOOKUP(E71,CAD_PROD!$C$6:$D$506,2,0),"")))</f>
        <v/>
      </c>
      <c r="H71" s="94" t="str">
        <f t="shared" ref="H71:H134" si="1">IF(ISERROR(
IF(C71="","",
IF(F71&lt;G71,"Seu preço está acima do seu concorrente. Você precisa encontrar meios como qualidade, localização, etc, para justificar esta diferença.",IF(F71&gt;G71,"Seu preço está abaixo do seu concorrente. Mas ele se posiciona pelo(a) "&amp;D71&amp;". Fique atento sobre este detalhe, pois preço baixo não é garantia de sucesso.","Seu preço está igual ao do seu concorrente. Ele se posiciona pela "&amp;D71&amp;". Se você conseguir se posicionar melhor que ele nesse atributo, poderá estar em vantagem.")))),"",
IF(C71="","",
IF(F71&lt;G71,"Seu preço está acima do seu concorrente. Você precisa encontrar meios como qualidade, localização, etc, para justificar esta diferença.",IF(F71&gt;G71,"Seu preço está abaixo do seu concorrente. Mas ele se posiciona pelo(a) "&amp;D71&amp;". Fique atento sobre este detalhe, pois preço baixo não é garantia de sucesso.","Seu preço está igual ao do seu concorrente. Ele se posiciona pela "&amp;D71&amp;". Se você conseguir se posicionar melhor que ele nesse atributo, poderá estar em vantagem."))))</f>
        <v/>
      </c>
    </row>
    <row r="72" spans="2:8" ht="36" customHeight="1">
      <c r="B72" s="52">
        <f>IF(E72=TOP_CONC!$D$5,B71+1,B71)</f>
        <v>2</v>
      </c>
      <c r="C72" s="92"/>
      <c r="D72" s="92"/>
      <c r="E72" s="92"/>
      <c r="F72" s="111"/>
      <c r="G72" s="110" t="str">
        <f>IF(ISERROR(
IF(C72="","",IFERROR(VLOOKUP(E72,CAD_PROD!$C$6:$D$506,2,0),""))),"",IF(C72="","",IFERROR(VLOOKUP(E72,CAD_PROD!$C$6:$D$506,2,0),"")))</f>
        <v/>
      </c>
      <c r="H72" s="94" t="str">
        <f t="shared" si="1"/>
        <v/>
      </c>
    </row>
    <row r="73" spans="2:8" ht="36" customHeight="1">
      <c r="B73" s="52">
        <f>IF(E73=TOP_CONC!$D$5,B72+1,B72)</f>
        <v>2</v>
      </c>
      <c r="C73" s="92"/>
      <c r="D73" s="92"/>
      <c r="E73" s="92"/>
      <c r="F73" s="111"/>
      <c r="G73" s="110" t="str">
        <f>IF(ISERROR(
IF(C73="","",IFERROR(VLOOKUP(E73,CAD_PROD!$C$6:$D$506,2,0),""))),"",IF(C73="","",IFERROR(VLOOKUP(E73,CAD_PROD!$C$6:$D$506,2,0),"")))</f>
        <v/>
      </c>
      <c r="H73" s="94" t="str">
        <f t="shared" si="1"/>
        <v/>
      </c>
    </row>
    <row r="74" spans="2:8" ht="36" customHeight="1">
      <c r="B74" s="52">
        <f>IF(E74=TOP_CONC!$D$5,B73+1,B73)</f>
        <v>2</v>
      </c>
      <c r="C74" s="92"/>
      <c r="D74" s="92"/>
      <c r="E74" s="92"/>
      <c r="F74" s="111"/>
      <c r="G74" s="110" t="str">
        <f>IF(ISERROR(
IF(C74="","",IFERROR(VLOOKUP(E74,CAD_PROD!$C$6:$D$506,2,0),""))),"",IF(C74="","",IFERROR(VLOOKUP(E74,CAD_PROD!$C$6:$D$506,2,0),"")))</f>
        <v/>
      </c>
      <c r="H74" s="94" t="str">
        <f t="shared" si="1"/>
        <v/>
      </c>
    </row>
    <row r="75" spans="2:8" ht="36" customHeight="1">
      <c r="B75" s="52">
        <f>IF(E75=TOP_CONC!$D$5,B74+1,B74)</f>
        <v>2</v>
      </c>
      <c r="C75" s="92"/>
      <c r="D75" s="92"/>
      <c r="E75" s="92"/>
      <c r="F75" s="111"/>
      <c r="G75" s="110" t="str">
        <f>IF(ISERROR(
IF(C75="","",IFERROR(VLOOKUP(E75,CAD_PROD!$C$6:$D$506,2,0),""))),"",IF(C75="","",IFERROR(VLOOKUP(E75,CAD_PROD!$C$6:$D$506,2,0),"")))</f>
        <v/>
      </c>
      <c r="H75" s="94" t="str">
        <f t="shared" si="1"/>
        <v/>
      </c>
    </row>
    <row r="76" spans="2:8" ht="36" customHeight="1">
      <c r="B76" s="52">
        <f>IF(E76=TOP_CONC!$D$5,B75+1,B75)</f>
        <v>2</v>
      </c>
      <c r="C76" s="92"/>
      <c r="D76" s="92"/>
      <c r="E76" s="92"/>
      <c r="F76" s="111"/>
      <c r="G76" s="110" t="str">
        <f>IF(ISERROR(
IF(C76="","",IFERROR(VLOOKUP(E76,CAD_PROD!$C$6:$D$506,2,0),""))),"",IF(C76="","",IFERROR(VLOOKUP(E76,CAD_PROD!$C$6:$D$506,2,0),"")))</f>
        <v/>
      </c>
      <c r="H76" s="94" t="str">
        <f t="shared" si="1"/>
        <v/>
      </c>
    </row>
    <row r="77" spans="2:8" ht="36" customHeight="1">
      <c r="B77" s="52">
        <f>IF(E77=TOP_CONC!$D$5,B76+1,B76)</f>
        <v>2</v>
      </c>
      <c r="C77" s="92"/>
      <c r="D77" s="92"/>
      <c r="E77" s="92"/>
      <c r="F77" s="111"/>
      <c r="G77" s="110" t="str">
        <f>IF(ISERROR(
IF(C77="","",IFERROR(VLOOKUP(E77,CAD_PROD!$C$6:$D$506,2,0),""))),"",IF(C77="","",IFERROR(VLOOKUP(E77,CAD_PROD!$C$6:$D$506,2,0),"")))</f>
        <v/>
      </c>
      <c r="H77" s="94" t="str">
        <f t="shared" si="1"/>
        <v/>
      </c>
    </row>
    <row r="78" spans="2:8" ht="36" customHeight="1">
      <c r="B78" s="52">
        <f>IF(E78=TOP_CONC!$D$5,B77+1,B77)</f>
        <v>2</v>
      </c>
      <c r="C78" s="92"/>
      <c r="D78" s="92"/>
      <c r="E78" s="92"/>
      <c r="F78" s="111"/>
      <c r="G78" s="110" t="str">
        <f>IF(ISERROR(
IF(C78="","",IFERROR(VLOOKUP(E78,CAD_PROD!$C$6:$D$506,2,0),""))),"",IF(C78="","",IFERROR(VLOOKUP(E78,CAD_PROD!$C$6:$D$506,2,0),"")))</f>
        <v/>
      </c>
      <c r="H78" s="94" t="str">
        <f t="shared" si="1"/>
        <v/>
      </c>
    </row>
    <row r="79" spans="2:8" ht="36" customHeight="1">
      <c r="B79" s="52">
        <f>IF(E79=TOP_CONC!$D$5,B78+1,B78)</f>
        <v>2</v>
      </c>
      <c r="C79" s="92"/>
      <c r="D79" s="92"/>
      <c r="E79" s="92"/>
      <c r="F79" s="111"/>
      <c r="G79" s="110" t="str">
        <f>IF(ISERROR(
IF(C79="","",IFERROR(VLOOKUP(E79,CAD_PROD!$C$6:$D$506,2,0),""))),"",IF(C79="","",IFERROR(VLOOKUP(E79,CAD_PROD!$C$6:$D$506,2,0),"")))</f>
        <v/>
      </c>
      <c r="H79" s="94" t="str">
        <f t="shared" si="1"/>
        <v/>
      </c>
    </row>
    <row r="80" spans="2:8" ht="36" customHeight="1">
      <c r="B80" s="52">
        <f>IF(E80=TOP_CONC!$D$5,B79+1,B79)</f>
        <v>2</v>
      </c>
      <c r="C80" s="92"/>
      <c r="D80" s="92"/>
      <c r="E80" s="92"/>
      <c r="F80" s="111"/>
      <c r="G80" s="110" t="str">
        <f>IF(ISERROR(
IF(C80="","",IFERROR(VLOOKUP(E80,CAD_PROD!$C$6:$D$506,2,0),""))),"",IF(C80="","",IFERROR(VLOOKUP(E80,CAD_PROD!$C$6:$D$506,2,0),"")))</f>
        <v/>
      </c>
      <c r="H80" s="94" t="str">
        <f t="shared" si="1"/>
        <v/>
      </c>
    </row>
    <row r="81" spans="2:8" ht="36" customHeight="1">
      <c r="B81" s="52">
        <f>IF(E81=TOP_CONC!$D$5,B80+1,B80)</f>
        <v>2</v>
      </c>
      <c r="C81" s="92"/>
      <c r="D81" s="92"/>
      <c r="E81" s="92"/>
      <c r="F81" s="111"/>
      <c r="G81" s="110" t="str">
        <f>IF(ISERROR(
IF(C81="","",IFERROR(VLOOKUP(E81,CAD_PROD!$C$6:$D$506,2,0),""))),"",IF(C81="","",IFERROR(VLOOKUP(E81,CAD_PROD!$C$6:$D$506,2,0),"")))</f>
        <v/>
      </c>
      <c r="H81" s="94" t="str">
        <f t="shared" si="1"/>
        <v/>
      </c>
    </row>
    <row r="82" spans="2:8" ht="36" customHeight="1">
      <c r="B82" s="52">
        <f>IF(E82=TOP_CONC!$D$5,B81+1,B81)</f>
        <v>2</v>
      </c>
      <c r="C82" s="92"/>
      <c r="D82" s="92"/>
      <c r="E82" s="92"/>
      <c r="F82" s="111"/>
      <c r="G82" s="110" t="str">
        <f>IF(ISERROR(
IF(C82="","",IFERROR(VLOOKUP(E82,CAD_PROD!$C$6:$D$506,2,0),""))),"",IF(C82="","",IFERROR(VLOOKUP(E82,CAD_PROD!$C$6:$D$506,2,0),"")))</f>
        <v/>
      </c>
      <c r="H82" s="94" t="str">
        <f t="shared" si="1"/>
        <v/>
      </c>
    </row>
    <row r="83" spans="2:8" ht="36" customHeight="1">
      <c r="B83" s="52">
        <f>IF(E83=TOP_CONC!$D$5,B82+1,B82)</f>
        <v>2</v>
      </c>
      <c r="C83" s="92"/>
      <c r="D83" s="92"/>
      <c r="E83" s="92"/>
      <c r="F83" s="111"/>
      <c r="G83" s="110" t="str">
        <f>IF(ISERROR(
IF(C83="","",IFERROR(VLOOKUP(E83,CAD_PROD!$C$6:$D$506,2,0),""))),"",IF(C83="","",IFERROR(VLOOKUP(E83,CAD_PROD!$C$6:$D$506,2,0),"")))</f>
        <v/>
      </c>
      <c r="H83" s="94" t="str">
        <f t="shared" si="1"/>
        <v/>
      </c>
    </row>
    <row r="84" spans="2:8" ht="36" customHeight="1">
      <c r="B84" s="52">
        <f>IF(E84=TOP_CONC!$D$5,B83+1,B83)</f>
        <v>2</v>
      </c>
      <c r="C84" s="92"/>
      <c r="D84" s="92"/>
      <c r="E84" s="92"/>
      <c r="F84" s="111"/>
      <c r="G84" s="110" t="str">
        <f>IF(ISERROR(
IF(C84="","",IFERROR(VLOOKUP(E84,CAD_PROD!$C$6:$D$506,2,0),""))),"",IF(C84="","",IFERROR(VLOOKUP(E84,CAD_PROD!$C$6:$D$506,2,0),"")))</f>
        <v/>
      </c>
      <c r="H84" s="94" t="str">
        <f t="shared" si="1"/>
        <v/>
      </c>
    </row>
    <row r="85" spans="2:8" ht="36" customHeight="1">
      <c r="B85" s="52">
        <f>IF(E85=TOP_CONC!$D$5,B84+1,B84)</f>
        <v>2</v>
      </c>
      <c r="C85" s="92"/>
      <c r="D85" s="92"/>
      <c r="E85" s="92"/>
      <c r="F85" s="111"/>
      <c r="G85" s="110" t="str">
        <f>IF(ISERROR(
IF(C85="","",IFERROR(VLOOKUP(E85,CAD_PROD!$C$6:$D$506,2,0),""))),"",IF(C85="","",IFERROR(VLOOKUP(E85,CAD_PROD!$C$6:$D$506,2,0),"")))</f>
        <v/>
      </c>
      <c r="H85" s="94" t="str">
        <f t="shared" si="1"/>
        <v/>
      </c>
    </row>
    <row r="86" spans="2:8" ht="36" customHeight="1">
      <c r="B86" s="52">
        <f>IF(E86=TOP_CONC!$D$5,B85+1,B85)</f>
        <v>2</v>
      </c>
      <c r="C86" s="92"/>
      <c r="D86" s="92"/>
      <c r="E86" s="92"/>
      <c r="F86" s="111"/>
      <c r="G86" s="110" t="str">
        <f>IF(ISERROR(
IF(C86="","",IFERROR(VLOOKUP(E86,CAD_PROD!$C$6:$D$506,2,0),""))),"",IF(C86="","",IFERROR(VLOOKUP(E86,CAD_PROD!$C$6:$D$506,2,0),"")))</f>
        <v/>
      </c>
      <c r="H86" s="94" t="str">
        <f t="shared" si="1"/>
        <v/>
      </c>
    </row>
    <row r="87" spans="2:8" ht="36" customHeight="1">
      <c r="B87" s="52">
        <f>IF(E87=TOP_CONC!$D$5,B86+1,B86)</f>
        <v>2</v>
      </c>
      <c r="C87" s="92"/>
      <c r="D87" s="92"/>
      <c r="E87" s="92"/>
      <c r="F87" s="111"/>
      <c r="G87" s="110" t="str">
        <f>IF(ISERROR(
IF(C87="","",IFERROR(VLOOKUP(E87,CAD_PROD!$C$6:$D$506,2,0),""))),"",IF(C87="","",IFERROR(VLOOKUP(E87,CAD_PROD!$C$6:$D$506,2,0),"")))</f>
        <v/>
      </c>
      <c r="H87" s="94" t="str">
        <f t="shared" si="1"/>
        <v/>
      </c>
    </row>
    <row r="88" spans="2:8" ht="36" customHeight="1">
      <c r="B88" s="52">
        <f>IF(E88=TOP_CONC!$D$5,B87+1,B87)</f>
        <v>2</v>
      </c>
      <c r="C88" s="92"/>
      <c r="D88" s="92"/>
      <c r="E88" s="92"/>
      <c r="F88" s="111"/>
      <c r="G88" s="110" t="str">
        <f>IF(ISERROR(
IF(C88="","",IFERROR(VLOOKUP(E88,CAD_PROD!$C$6:$D$506,2,0),""))),"",IF(C88="","",IFERROR(VLOOKUP(E88,CAD_PROD!$C$6:$D$506,2,0),"")))</f>
        <v/>
      </c>
      <c r="H88" s="94" t="str">
        <f t="shared" si="1"/>
        <v/>
      </c>
    </row>
    <row r="89" spans="2:8" ht="36" customHeight="1">
      <c r="B89" s="52">
        <f>IF(E89=TOP_CONC!$D$5,B88+1,B88)</f>
        <v>2</v>
      </c>
      <c r="C89" s="92"/>
      <c r="D89" s="92"/>
      <c r="E89" s="92"/>
      <c r="F89" s="111"/>
      <c r="G89" s="110" t="str">
        <f>IF(ISERROR(
IF(C89="","",IFERROR(VLOOKUP(E89,CAD_PROD!$C$6:$D$506,2,0),""))),"",IF(C89="","",IFERROR(VLOOKUP(E89,CAD_PROD!$C$6:$D$506,2,0),"")))</f>
        <v/>
      </c>
      <c r="H89" s="94" t="str">
        <f t="shared" si="1"/>
        <v/>
      </c>
    </row>
    <row r="90" spans="2:8" ht="36" customHeight="1">
      <c r="B90" s="52">
        <f>IF(E90=TOP_CONC!$D$5,B89+1,B89)</f>
        <v>2</v>
      </c>
      <c r="C90" s="92"/>
      <c r="D90" s="92"/>
      <c r="E90" s="92"/>
      <c r="F90" s="111"/>
      <c r="G90" s="110" t="str">
        <f>IF(ISERROR(
IF(C90="","",IFERROR(VLOOKUP(E90,CAD_PROD!$C$6:$D$506,2,0),""))),"",IF(C90="","",IFERROR(VLOOKUP(E90,CAD_PROD!$C$6:$D$506,2,0),"")))</f>
        <v/>
      </c>
      <c r="H90" s="94" t="str">
        <f t="shared" si="1"/>
        <v/>
      </c>
    </row>
    <row r="91" spans="2:8" ht="36" customHeight="1">
      <c r="B91" s="52">
        <f>IF(E91=TOP_CONC!$D$5,B90+1,B90)</f>
        <v>2</v>
      </c>
      <c r="C91" s="92"/>
      <c r="D91" s="92"/>
      <c r="E91" s="92"/>
      <c r="F91" s="111"/>
      <c r="G91" s="110" t="str">
        <f>IF(ISERROR(
IF(C91="","",IFERROR(VLOOKUP(E91,CAD_PROD!$C$6:$D$506,2,0),""))),"",IF(C91="","",IFERROR(VLOOKUP(E91,CAD_PROD!$C$6:$D$506,2,0),"")))</f>
        <v/>
      </c>
      <c r="H91" s="94" t="str">
        <f t="shared" si="1"/>
        <v/>
      </c>
    </row>
    <row r="92" spans="2:8" ht="36" customHeight="1">
      <c r="B92" s="52">
        <f>IF(E92=TOP_CONC!$D$5,B91+1,B91)</f>
        <v>2</v>
      </c>
      <c r="C92" s="92"/>
      <c r="D92" s="92"/>
      <c r="E92" s="92"/>
      <c r="F92" s="111"/>
      <c r="G92" s="110" t="str">
        <f>IF(ISERROR(
IF(C92="","",IFERROR(VLOOKUP(E92,CAD_PROD!$C$6:$D$506,2,0),""))),"",IF(C92="","",IFERROR(VLOOKUP(E92,CAD_PROD!$C$6:$D$506,2,0),"")))</f>
        <v/>
      </c>
      <c r="H92" s="94" t="str">
        <f t="shared" si="1"/>
        <v/>
      </c>
    </row>
    <row r="93" spans="2:8" ht="36" customHeight="1">
      <c r="B93" s="52">
        <f>IF(E93=TOP_CONC!$D$5,B92+1,B92)</f>
        <v>2</v>
      </c>
      <c r="C93" s="92"/>
      <c r="D93" s="92"/>
      <c r="E93" s="92"/>
      <c r="F93" s="111"/>
      <c r="G93" s="110" t="str">
        <f>IF(ISERROR(
IF(C93="","",IFERROR(VLOOKUP(E93,CAD_PROD!$C$6:$D$506,2,0),""))),"",IF(C93="","",IFERROR(VLOOKUP(E93,CAD_PROD!$C$6:$D$506,2,0),"")))</f>
        <v/>
      </c>
      <c r="H93" s="94" t="str">
        <f t="shared" si="1"/>
        <v/>
      </c>
    </row>
    <row r="94" spans="2:8" ht="36" customHeight="1">
      <c r="B94" s="52">
        <f>IF(E94=TOP_CONC!$D$5,B93+1,B93)</f>
        <v>2</v>
      </c>
      <c r="C94" s="92"/>
      <c r="D94" s="92"/>
      <c r="E94" s="92"/>
      <c r="F94" s="111"/>
      <c r="G94" s="110" t="str">
        <f>IF(ISERROR(
IF(C94="","",IFERROR(VLOOKUP(E94,CAD_PROD!$C$6:$D$506,2,0),""))),"",IF(C94="","",IFERROR(VLOOKUP(E94,CAD_PROD!$C$6:$D$506,2,0),"")))</f>
        <v/>
      </c>
      <c r="H94" s="94" t="str">
        <f t="shared" si="1"/>
        <v/>
      </c>
    </row>
    <row r="95" spans="2:8" ht="36" customHeight="1">
      <c r="B95" s="52">
        <f>IF(E95=TOP_CONC!$D$5,B94+1,B94)</f>
        <v>2</v>
      </c>
      <c r="C95" s="92"/>
      <c r="D95" s="92"/>
      <c r="E95" s="92"/>
      <c r="F95" s="111"/>
      <c r="G95" s="110" t="str">
        <f>IF(ISERROR(
IF(C95="","",IFERROR(VLOOKUP(E95,CAD_PROD!$C$6:$D$506,2,0),""))),"",IF(C95="","",IFERROR(VLOOKUP(E95,CAD_PROD!$C$6:$D$506,2,0),"")))</f>
        <v/>
      </c>
      <c r="H95" s="94" t="str">
        <f t="shared" si="1"/>
        <v/>
      </c>
    </row>
    <row r="96" spans="2:8" ht="36" customHeight="1">
      <c r="B96" s="52">
        <f>IF(E96=TOP_CONC!$D$5,B95+1,B95)</f>
        <v>2</v>
      </c>
      <c r="C96" s="92"/>
      <c r="D96" s="92"/>
      <c r="E96" s="92"/>
      <c r="F96" s="111"/>
      <c r="G96" s="110" t="str">
        <f>IF(ISERROR(
IF(C96="","",IFERROR(VLOOKUP(E96,CAD_PROD!$C$6:$D$506,2,0),""))),"",IF(C96="","",IFERROR(VLOOKUP(E96,CAD_PROD!$C$6:$D$506,2,0),"")))</f>
        <v/>
      </c>
      <c r="H96" s="94" t="str">
        <f t="shared" si="1"/>
        <v/>
      </c>
    </row>
    <row r="97" spans="2:8" ht="36" customHeight="1">
      <c r="B97" s="52">
        <f>IF(E97=TOP_CONC!$D$5,B96+1,B96)</f>
        <v>2</v>
      </c>
      <c r="C97" s="92"/>
      <c r="D97" s="92"/>
      <c r="E97" s="92"/>
      <c r="F97" s="111"/>
      <c r="G97" s="110" t="str">
        <f>IF(ISERROR(
IF(C97="","",IFERROR(VLOOKUP(E97,CAD_PROD!$C$6:$D$506,2,0),""))),"",IF(C97="","",IFERROR(VLOOKUP(E97,CAD_PROD!$C$6:$D$506,2,0),"")))</f>
        <v/>
      </c>
      <c r="H97" s="94" t="str">
        <f t="shared" si="1"/>
        <v/>
      </c>
    </row>
    <row r="98" spans="2:8" ht="36" customHeight="1">
      <c r="B98" s="52">
        <f>IF(E98=TOP_CONC!$D$5,B97+1,B97)</f>
        <v>2</v>
      </c>
      <c r="C98" s="92"/>
      <c r="D98" s="92"/>
      <c r="E98" s="92"/>
      <c r="F98" s="111"/>
      <c r="G98" s="110" t="str">
        <f>IF(ISERROR(
IF(C98="","",IFERROR(VLOOKUP(E98,CAD_PROD!$C$6:$D$506,2,0),""))),"",IF(C98="","",IFERROR(VLOOKUP(E98,CAD_PROD!$C$6:$D$506,2,0),"")))</f>
        <v/>
      </c>
      <c r="H98" s="94" t="str">
        <f t="shared" si="1"/>
        <v/>
      </c>
    </row>
    <row r="99" spans="2:8" ht="36" customHeight="1">
      <c r="B99" s="52">
        <f>IF(E99=TOP_CONC!$D$5,B98+1,B98)</f>
        <v>2</v>
      </c>
      <c r="C99" s="92"/>
      <c r="D99" s="92"/>
      <c r="E99" s="92"/>
      <c r="F99" s="111"/>
      <c r="G99" s="110" t="str">
        <f>IF(ISERROR(
IF(C99="","",IFERROR(VLOOKUP(E99,CAD_PROD!$C$6:$D$506,2,0),""))),"",IF(C99="","",IFERROR(VLOOKUP(E99,CAD_PROD!$C$6:$D$506,2,0),"")))</f>
        <v/>
      </c>
      <c r="H99" s="94" t="str">
        <f t="shared" si="1"/>
        <v/>
      </c>
    </row>
    <row r="100" spans="2:8" ht="36" customHeight="1">
      <c r="B100" s="52">
        <f>IF(E100=TOP_CONC!$D$5,B99+1,B99)</f>
        <v>2</v>
      </c>
      <c r="C100" s="92"/>
      <c r="D100" s="92"/>
      <c r="E100" s="92"/>
      <c r="F100" s="111"/>
      <c r="G100" s="110" t="str">
        <f>IF(ISERROR(
IF(C100="","",IFERROR(VLOOKUP(E100,CAD_PROD!$C$6:$D$506,2,0),""))),"",IF(C100="","",IFERROR(VLOOKUP(E100,CAD_PROD!$C$6:$D$506,2,0),"")))</f>
        <v/>
      </c>
      <c r="H100" s="94" t="str">
        <f t="shared" si="1"/>
        <v/>
      </c>
    </row>
    <row r="101" spans="2:8" ht="36" customHeight="1">
      <c r="B101" s="52">
        <f>IF(E101=TOP_CONC!$D$5,B100+1,B100)</f>
        <v>2</v>
      </c>
      <c r="C101" s="92"/>
      <c r="D101" s="92"/>
      <c r="E101" s="92"/>
      <c r="F101" s="111"/>
      <c r="G101" s="110" t="str">
        <f>IF(ISERROR(
IF(C101="","",IFERROR(VLOOKUP(E101,CAD_PROD!$C$6:$D$506,2,0),""))),"",IF(C101="","",IFERROR(VLOOKUP(E101,CAD_PROD!$C$6:$D$506,2,0),"")))</f>
        <v/>
      </c>
      <c r="H101" s="94" t="str">
        <f t="shared" si="1"/>
        <v/>
      </c>
    </row>
    <row r="102" spans="2:8" ht="36" customHeight="1">
      <c r="B102" s="52">
        <f>IF(E102=TOP_CONC!$D$5,B101+1,B101)</f>
        <v>2</v>
      </c>
      <c r="C102" s="92"/>
      <c r="D102" s="92"/>
      <c r="E102" s="92"/>
      <c r="F102" s="111"/>
      <c r="G102" s="110" t="str">
        <f>IF(ISERROR(
IF(C102="","",IFERROR(VLOOKUP(E102,CAD_PROD!$C$6:$D$506,2,0),""))),"",IF(C102="","",IFERROR(VLOOKUP(E102,CAD_PROD!$C$6:$D$506,2,0),"")))</f>
        <v/>
      </c>
      <c r="H102" s="94" t="str">
        <f t="shared" si="1"/>
        <v/>
      </c>
    </row>
    <row r="103" spans="2:8" ht="36" customHeight="1">
      <c r="B103" s="52">
        <f>IF(E103=TOP_CONC!$D$5,B102+1,B102)</f>
        <v>2</v>
      </c>
      <c r="C103" s="92"/>
      <c r="D103" s="92"/>
      <c r="E103" s="92"/>
      <c r="F103" s="111"/>
      <c r="G103" s="110" t="str">
        <f>IF(ISERROR(
IF(C103="","",IFERROR(VLOOKUP(E103,CAD_PROD!$C$6:$D$506,2,0),""))),"",IF(C103="","",IFERROR(VLOOKUP(E103,CAD_PROD!$C$6:$D$506,2,0),"")))</f>
        <v/>
      </c>
      <c r="H103" s="94" t="str">
        <f t="shared" si="1"/>
        <v/>
      </c>
    </row>
    <row r="104" spans="2:8" ht="36" customHeight="1">
      <c r="B104" s="52">
        <f>IF(E104=TOP_CONC!$D$5,B103+1,B103)</f>
        <v>2</v>
      </c>
      <c r="C104" s="92"/>
      <c r="D104" s="92"/>
      <c r="E104" s="92"/>
      <c r="F104" s="111"/>
      <c r="G104" s="110" t="str">
        <f>IF(ISERROR(
IF(C104="","",IFERROR(VLOOKUP(E104,CAD_PROD!$C$6:$D$506,2,0),""))),"",IF(C104="","",IFERROR(VLOOKUP(E104,CAD_PROD!$C$6:$D$506,2,0),"")))</f>
        <v/>
      </c>
      <c r="H104" s="94" t="str">
        <f t="shared" si="1"/>
        <v/>
      </c>
    </row>
    <row r="105" spans="2:8" ht="36" customHeight="1">
      <c r="B105" s="52">
        <f>IF(E105=TOP_CONC!$D$5,B104+1,B104)</f>
        <v>2</v>
      </c>
      <c r="C105" s="92"/>
      <c r="D105" s="92"/>
      <c r="E105" s="92"/>
      <c r="F105" s="111"/>
      <c r="G105" s="110" t="str">
        <f>IF(ISERROR(
IF(C105="","",IFERROR(VLOOKUP(E105,CAD_PROD!$C$6:$D$506,2,0),""))),"",IF(C105="","",IFERROR(VLOOKUP(E105,CAD_PROD!$C$6:$D$506,2,0),"")))</f>
        <v/>
      </c>
      <c r="H105" s="94" t="str">
        <f t="shared" si="1"/>
        <v/>
      </c>
    </row>
    <row r="106" spans="2:8" ht="36" customHeight="1">
      <c r="B106" s="52">
        <f>IF(E106=TOP_CONC!$D$5,B105+1,B105)</f>
        <v>2</v>
      </c>
      <c r="C106" s="92"/>
      <c r="D106" s="92"/>
      <c r="E106" s="92"/>
      <c r="F106" s="111"/>
      <c r="G106" s="110" t="str">
        <f>IF(ISERROR(
IF(C106="","",IFERROR(VLOOKUP(E106,CAD_PROD!$C$6:$D$506,2,0),""))),"",IF(C106="","",IFERROR(VLOOKUP(E106,CAD_PROD!$C$6:$D$506,2,0),"")))</f>
        <v/>
      </c>
      <c r="H106" s="94" t="str">
        <f t="shared" si="1"/>
        <v/>
      </c>
    </row>
    <row r="107" spans="2:8" ht="36" customHeight="1">
      <c r="B107" s="52">
        <f>IF(E107=TOP_CONC!$D$5,B106+1,B106)</f>
        <v>2</v>
      </c>
      <c r="C107" s="92"/>
      <c r="D107" s="92"/>
      <c r="E107" s="92"/>
      <c r="F107" s="111"/>
      <c r="G107" s="110" t="str">
        <f>IF(ISERROR(
IF(C107="","",IFERROR(VLOOKUP(E107,CAD_PROD!$C$6:$D$506,2,0),""))),"",IF(C107="","",IFERROR(VLOOKUP(E107,CAD_PROD!$C$6:$D$506,2,0),"")))</f>
        <v/>
      </c>
      <c r="H107" s="94" t="str">
        <f t="shared" si="1"/>
        <v/>
      </c>
    </row>
    <row r="108" spans="2:8" ht="36" customHeight="1">
      <c r="B108" s="52">
        <f>IF(E108=TOP_CONC!$D$5,B107+1,B107)</f>
        <v>2</v>
      </c>
      <c r="C108" s="92"/>
      <c r="D108" s="92"/>
      <c r="E108" s="92"/>
      <c r="F108" s="111"/>
      <c r="G108" s="110" t="str">
        <f>IF(ISERROR(
IF(C108="","",IFERROR(VLOOKUP(E108,CAD_PROD!$C$6:$D$506,2,0),""))),"",IF(C108="","",IFERROR(VLOOKUP(E108,CAD_PROD!$C$6:$D$506,2,0),"")))</f>
        <v/>
      </c>
      <c r="H108" s="94" t="str">
        <f t="shared" si="1"/>
        <v/>
      </c>
    </row>
    <row r="109" spans="2:8" ht="36" customHeight="1">
      <c r="B109" s="52">
        <f>IF(E109=TOP_CONC!$D$5,B108+1,B108)</f>
        <v>2</v>
      </c>
      <c r="C109" s="92"/>
      <c r="D109" s="92"/>
      <c r="E109" s="92"/>
      <c r="F109" s="111"/>
      <c r="G109" s="110" t="str">
        <f>IF(ISERROR(
IF(C109="","",IFERROR(VLOOKUP(E109,CAD_PROD!$C$6:$D$506,2,0),""))),"",IF(C109="","",IFERROR(VLOOKUP(E109,CAD_PROD!$C$6:$D$506,2,0),"")))</f>
        <v/>
      </c>
      <c r="H109" s="94" t="str">
        <f t="shared" si="1"/>
        <v/>
      </c>
    </row>
    <row r="110" spans="2:8" ht="36" customHeight="1">
      <c r="B110" s="52">
        <f>IF(E110=TOP_CONC!$D$5,B109+1,B109)</f>
        <v>2</v>
      </c>
      <c r="C110" s="92"/>
      <c r="D110" s="92"/>
      <c r="E110" s="92"/>
      <c r="F110" s="111"/>
      <c r="G110" s="110" t="str">
        <f>IF(ISERROR(
IF(C110="","",IFERROR(VLOOKUP(E110,CAD_PROD!$C$6:$D$506,2,0),""))),"",IF(C110="","",IFERROR(VLOOKUP(E110,CAD_PROD!$C$6:$D$506,2,0),"")))</f>
        <v/>
      </c>
      <c r="H110" s="94" t="str">
        <f t="shared" si="1"/>
        <v/>
      </c>
    </row>
    <row r="111" spans="2:8" ht="36" customHeight="1">
      <c r="B111" s="52">
        <f>IF(E111=TOP_CONC!$D$5,B110+1,B110)</f>
        <v>2</v>
      </c>
      <c r="C111" s="92"/>
      <c r="D111" s="92"/>
      <c r="E111" s="92"/>
      <c r="F111" s="111"/>
      <c r="G111" s="110" t="str">
        <f>IF(ISERROR(
IF(C111="","",IFERROR(VLOOKUP(E111,CAD_PROD!$C$6:$D$506,2,0),""))),"",IF(C111="","",IFERROR(VLOOKUP(E111,CAD_PROD!$C$6:$D$506,2,0),"")))</f>
        <v/>
      </c>
      <c r="H111" s="94" t="str">
        <f t="shared" si="1"/>
        <v/>
      </c>
    </row>
    <row r="112" spans="2:8" ht="36" customHeight="1">
      <c r="B112" s="52">
        <f>IF(E112=TOP_CONC!$D$5,B111+1,B111)</f>
        <v>2</v>
      </c>
      <c r="C112" s="92"/>
      <c r="D112" s="92"/>
      <c r="E112" s="92"/>
      <c r="F112" s="111"/>
      <c r="G112" s="110" t="str">
        <f>IF(ISERROR(
IF(C112="","",IFERROR(VLOOKUP(E112,CAD_PROD!$C$6:$D$506,2,0),""))),"",IF(C112="","",IFERROR(VLOOKUP(E112,CAD_PROD!$C$6:$D$506,2,0),"")))</f>
        <v/>
      </c>
      <c r="H112" s="94" t="str">
        <f t="shared" si="1"/>
        <v/>
      </c>
    </row>
    <row r="113" spans="2:8" ht="36" customHeight="1">
      <c r="B113" s="52">
        <f>IF(E113=TOP_CONC!$D$5,B112+1,B112)</f>
        <v>2</v>
      </c>
      <c r="C113" s="92"/>
      <c r="D113" s="92"/>
      <c r="E113" s="92"/>
      <c r="F113" s="111"/>
      <c r="G113" s="110" t="str">
        <f>IF(ISERROR(
IF(C113="","",IFERROR(VLOOKUP(E113,CAD_PROD!$C$6:$D$506,2,0),""))),"",IF(C113="","",IFERROR(VLOOKUP(E113,CAD_PROD!$C$6:$D$506,2,0),"")))</f>
        <v/>
      </c>
      <c r="H113" s="94" t="str">
        <f t="shared" si="1"/>
        <v/>
      </c>
    </row>
    <row r="114" spans="2:8" ht="36" customHeight="1">
      <c r="B114" s="52">
        <f>IF(E114=TOP_CONC!$D$5,B113+1,B113)</f>
        <v>2</v>
      </c>
      <c r="C114" s="92"/>
      <c r="D114" s="92"/>
      <c r="E114" s="92"/>
      <c r="F114" s="111"/>
      <c r="G114" s="110" t="str">
        <f>IF(ISERROR(
IF(C114="","",IFERROR(VLOOKUP(E114,CAD_PROD!$C$6:$D$506,2,0),""))),"",IF(C114="","",IFERROR(VLOOKUP(E114,CAD_PROD!$C$6:$D$506,2,0),"")))</f>
        <v/>
      </c>
      <c r="H114" s="94" t="str">
        <f t="shared" si="1"/>
        <v/>
      </c>
    </row>
    <row r="115" spans="2:8" ht="36" customHeight="1">
      <c r="B115" s="52">
        <f>IF(E115=TOP_CONC!$D$5,B114+1,B114)</f>
        <v>2</v>
      </c>
      <c r="C115" s="92"/>
      <c r="D115" s="92"/>
      <c r="E115" s="92"/>
      <c r="F115" s="111"/>
      <c r="G115" s="110" t="str">
        <f>IF(ISERROR(
IF(C115="","",IFERROR(VLOOKUP(E115,CAD_PROD!$C$6:$D$506,2,0),""))),"",IF(C115="","",IFERROR(VLOOKUP(E115,CAD_PROD!$C$6:$D$506,2,0),"")))</f>
        <v/>
      </c>
      <c r="H115" s="94" t="str">
        <f t="shared" si="1"/>
        <v/>
      </c>
    </row>
    <row r="116" spans="2:8" ht="36" customHeight="1">
      <c r="B116" s="52">
        <f>IF(E116=TOP_CONC!$D$5,B115+1,B115)</f>
        <v>2</v>
      </c>
      <c r="C116" s="92"/>
      <c r="D116" s="92"/>
      <c r="E116" s="92"/>
      <c r="F116" s="111"/>
      <c r="G116" s="110" t="str">
        <f>IF(ISERROR(
IF(C116="","",IFERROR(VLOOKUP(E116,CAD_PROD!$C$6:$D$506,2,0),""))),"",IF(C116="","",IFERROR(VLOOKUP(E116,CAD_PROD!$C$6:$D$506,2,0),"")))</f>
        <v/>
      </c>
      <c r="H116" s="94" t="str">
        <f t="shared" si="1"/>
        <v/>
      </c>
    </row>
    <row r="117" spans="2:8" ht="36" customHeight="1">
      <c r="B117" s="52">
        <f>IF(E117=TOP_CONC!$D$5,B116+1,B116)</f>
        <v>2</v>
      </c>
      <c r="C117" s="92"/>
      <c r="D117" s="92"/>
      <c r="E117" s="92"/>
      <c r="F117" s="111"/>
      <c r="G117" s="110" t="str">
        <f>IF(ISERROR(
IF(C117="","",IFERROR(VLOOKUP(E117,CAD_PROD!$C$6:$D$506,2,0),""))),"",IF(C117="","",IFERROR(VLOOKUP(E117,CAD_PROD!$C$6:$D$506,2,0),"")))</f>
        <v/>
      </c>
      <c r="H117" s="94" t="str">
        <f t="shared" si="1"/>
        <v/>
      </c>
    </row>
    <row r="118" spans="2:8" ht="36" customHeight="1">
      <c r="B118" s="52">
        <f>IF(E118=TOP_CONC!$D$5,B117+1,B117)</f>
        <v>2</v>
      </c>
      <c r="C118" s="92"/>
      <c r="D118" s="92"/>
      <c r="E118" s="92"/>
      <c r="F118" s="111"/>
      <c r="G118" s="110" t="str">
        <f>IF(ISERROR(
IF(C118="","",IFERROR(VLOOKUP(E118,CAD_PROD!$C$6:$D$506,2,0),""))),"",IF(C118="","",IFERROR(VLOOKUP(E118,CAD_PROD!$C$6:$D$506,2,0),"")))</f>
        <v/>
      </c>
      <c r="H118" s="94" t="str">
        <f t="shared" si="1"/>
        <v/>
      </c>
    </row>
    <row r="119" spans="2:8" ht="36" customHeight="1">
      <c r="B119" s="52">
        <f>IF(E119=TOP_CONC!$D$5,B118+1,B118)</f>
        <v>2</v>
      </c>
      <c r="C119" s="92"/>
      <c r="D119" s="92"/>
      <c r="E119" s="92"/>
      <c r="F119" s="111"/>
      <c r="G119" s="110" t="str">
        <f>IF(ISERROR(
IF(C119="","",IFERROR(VLOOKUP(E119,CAD_PROD!$C$6:$D$506,2,0),""))),"",IF(C119="","",IFERROR(VLOOKUP(E119,CAD_PROD!$C$6:$D$506,2,0),"")))</f>
        <v/>
      </c>
      <c r="H119" s="94" t="str">
        <f t="shared" si="1"/>
        <v/>
      </c>
    </row>
    <row r="120" spans="2:8" ht="36" customHeight="1">
      <c r="B120" s="52">
        <f>IF(E120=TOP_CONC!$D$5,B119+1,B119)</f>
        <v>2</v>
      </c>
      <c r="C120" s="92"/>
      <c r="D120" s="92"/>
      <c r="E120" s="92"/>
      <c r="F120" s="111"/>
      <c r="G120" s="110" t="str">
        <f>IF(ISERROR(
IF(C120="","",IFERROR(VLOOKUP(E120,CAD_PROD!$C$6:$D$506,2,0),""))),"",IF(C120="","",IFERROR(VLOOKUP(E120,CAD_PROD!$C$6:$D$506,2,0),"")))</f>
        <v/>
      </c>
      <c r="H120" s="94" t="str">
        <f t="shared" si="1"/>
        <v/>
      </c>
    </row>
    <row r="121" spans="2:8" ht="36" customHeight="1">
      <c r="B121" s="52">
        <f>IF(E121=TOP_CONC!$D$5,B120+1,B120)</f>
        <v>2</v>
      </c>
      <c r="C121" s="92"/>
      <c r="D121" s="92"/>
      <c r="E121" s="92"/>
      <c r="F121" s="111"/>
      <c r="G121" s="110" t="str">
        <f>IF(ISERROR(
IF(C121="","",IFERROR(VLOOKUP(E121,CAD_PROD!$C$6:$D$506,2,0),""))),"",IF(C121="","",IFERROR(VLOOKUP(E121,CAD_PROD!$C$6:$D$506,2,0),"")))</f>
        <v/>
      </c>
      <c r="H121" s="94" t="str">
        <f t="shared" si="1"/>
        <v/>
      </c>
    </row>
    <row r="122" spans="2:8" ht="36" customHeight="1">
      <c r="B122" s="52">
        <f>IF(E122=TOP_CONC!$D$5,B121+1,B121)</f>
        <v>2</v>
      </c>
      <c r="C122" s="92"/>
      <c r="D122" s="92"/>
      <c r="E122" s="92"/>
      <c r="F122" s="111"/>
      <c r="G122" s="110" t="str">
        <f>IF(ISERROR(
IF(C122="","",IFERROR(VLOOKUP(E122,CAD_PROD!$C$6:$D$506,2,0),""))),"",IF(C122="","",IFERROR(VLOOKUP(E122,CAD_PROD!$C$6:$D$506,2,0),"")))</f>
        <v/>
      </c>
      <c r="H122" s="94" t="str">
        <f t="shared" si="1"/>
        <v/>
      </c>
    </row>
    <row r="123" spans="2:8" ht="36" customHeight="1">
      <c r="B123" s="52">
        <f>IF(E123=TOP_CONC!$D$5,B122+1,B122)</f>
        <v>2</v>
      </c>
      <c r="C123" s="92"/>
      <c r="D123" s="92"/>
      <c r="E123" s="92"/>
      <c r="F123" s="111"/>
      <c r="G123" s="110" t="str">
        <f>IF(ISERROR(
IF(C123="","",IFERROR(VLOOKUP(E123,CAD_PROD!$C$6:$D$506,2,0),""))),"",IF(C123="","",IFERROR(VLOOKUP(E123,CAD_PROD!$C$6:$D$506,2,0),"")))</f>
        <v/>
      </c>
      <c r="H123" s="94" t="str">
        <f t="shared" si="1"/>
        <v/>
      </c>
    </row>
    <row r="124" spans="2:8" ht="36" customHeight="1">
      <c r="B124" s="52">
        <f>IF(E124=TOP_CONC!$D$5,B123+1,B123)</f>
        <v>2</v>
      </c>
      <c r="C124" s="92"/>
      <c r="D124" s="92"/>
      <c r="E124" s="92"/>
      <c r="F124" s="111"/>
      <c r="G124" s="110" t="str">
        <f>IF(ISERROR(
IF(C124="","",IFERROR(VLOOKUP(E124,CAD_PROD!$C$6:$D$506,2,0),""))),"",IF(C124="","",IFERROR(VLOOKUP(E124,CAD_PROD!$C$6:$D$506,2,0),"")))</f>
        <v/>
      </c>
      <c r="H124" s="94" t="str">
        <f t="shared" si="1"/>
        <v/>
      </c>
    </row>
    <row r="125" spans="2:8" ht="36" customHeight="1">
      <c r="B125" s="52">
        <f>IF(E125=TOP_CONC!$D$5,B124+1,B124)</f>
        <v>2</v>
      </c>
      <c r="C125" s="92"/>
      <c r="D125" s="92"/>
      <c r="E125" s="92"/>
      <c r="F125" s="111"/>
      <c r="G125" s="110" t="str">
        <f>IF(ISERROR(
IF(C125="","",IFERROR(VLOOKUP(E125,CAD_PROD!$C$6:$D$506,2,0),""))),"",IF(C125="","",IFERROR(VLOOKUP(E125,CAD_PROD!$C$6:$D$506,2,0),"")))</f>
        <v/>
      </c>
      <c r="H125" s="94" t="str">
        <f t="shared" si="1"/>
        <v/>
      </c>
    </row>
    <row r="126" spans="2:8" ht="36" customHeight="1">
      <c r="B126" s="52">
        <f>IF(E126=TOP_CONC!$D$5,B125+1,B125)</f>
        <v>2</v>
      </c>
      <c r="C126" s="92"/>
      <c r="D126" s="92"/>
      <c r="E126" s="92"/>
      <c r="F126" s="111"/>
      <c r="G126" s="110" t="str">
        <f>IF(ISERROR(
IF(C126="","",IFERROR(VLOOKUP(E126,CAD_PROD!$C$6:$D$506,2,0),""))),"",IF(C126="","",IFERROR(VLOOKUP(E126,CAD_PROD!$C$6:$D$506,2,0),"")))</f>
        <v/>
      </c>
      <c r="H126" s="94" t="str">
        <f t="shared" si="1"/>
        <v/>
      </c>
    </row>
    <row r="127" spans="2:8" ht="36" customHeight="1">
      <c r="B127" s="52">
        <f>IF(E127=TOP_CONC!$D$5,B126+1,B126)</f>
        <v>2</v>
      </c>
      <c r="C127" s="92"/>
      <c r="D127" s="92"/>
      <c r="E127" s="92"/>
      <c r="F127" s="111"/>
      <c r="G127" s="110" t="str">
        <f>IF(ISERROR(
IF(C127="","",IFERROR(VLOOKUP(E127,CAD_PROD!$C$6:$D$506,2,0),""))),"",IF(C127="","",IFERROR(VLOOKUP(E127,CAD_PROD!$C$6:$D$506,2,0),"")))</f>
        <v/>
      </c>
      <c r="H127" s="94" t="str">
        <f t="shared" si="1"/>
        <v/>
      </c>
    </row>
    <row r="128" spans="2:8" ht="36" customHeight="1">
      <c r="B128" s="52">
        <f>IF(E128=TOP_CONC!$D$5,B127+1,B127)</f>
        <v>2</v>
      </c>
      <c r="C128" s="92"/>
      <c r="D128" s="92"/>
      <c r="E128" s="92"/>
      <c r="F128" s="111"/>
      <c r="G128" s="110" t="str">
        <f>IF(ISERROR(
IF(C128="","",IFERROR(VLOOKUP(E128,CAD_PROD!$C$6:$D$506,2,0),""))),"",IF(C128="","",IFERROR(VLOOKUP(E128,CAD_PROD!$C$6:$D$506,2,0),"")))</f>
        <v/>
      </c>
      <c r="H128" s="94" t="str">
        <f t="shared" si="1"/>
        <v/>
      </c>
    </row>
    <row r="129" spans="2:8" ht="36" customHeight="1">
      <c r="B129" s="52">
        <f>IF(E129=TOP_CONC!$D$5,B128+1,B128)</f>
        <v>2</v>
      </c>
      <c r="C129" s="92"/>
      <c r="D129" s="92"/>
      <c r="E129" s="92"/>
      <c r="F129" s="111"/>
      <c r="G129" s="110" t="str">
        <f>IF(ISERROR(
IF(C129="","",IFERROR(VLOOKUP(E129,CAD_PROD!$C$6:$D$506,2,0),""))),"",IF(C129="","",IFERROR(VLOOKUP(E129,CAD_PROD!$C$6:$D$506,2,0),"")))</f>
        <v/>
      </c>
      <c r="H129" s="94" t="str">
        <f t="shared" si="1"/>
        <v/>
      </c>
    </row>
    <row r="130" spans="2:8" ht="36" customHeight="1">
      <c r="B130" s="52">
        <f>IF(E130=TOP_CONC!$D$5,B129+1,B129)</f>
        <v>2</v>
      </c>
      <c r="C130" s="92"/>
      <c r="D130" s="92"/>
      <c r="E130" s="92"/>
      <c r="F130" s="111"/>
      <c r="G130" s="110" t="str">
        <f>IF(ISERROR(
IF(C130="","",IFERROR(VLOOKUP(E130,CAD_PROD!$C$6:$D$506,2,0),""))),"",IF(C130="","",IFERROR(VLOOKUP(E130,CAD_PROD!$C$6:$D$506,2,0),"")))</f>
        <v/>
      </c>
      <c r="H130" s="94" t="str">
        <f t="shared" si="1"/>
        <v/>
      </c>
    </row>
    <row r="131" spans="2:8" ht="36" customHeight="1">
      <c r="B131" s="52">
        <f>IF(E131=TOP_CONC!$D$5,B130+1,B130)</f>
        <v>2</v>
      </c>
      <c r="C131" s="92"/>
      <c r="D131" s="92"/>
      <c r="E131" s="92"/>
      <c r="F131" s="111"/>
      <c r="G131" s="110" t="str">
        <f>IF(ISERROR(
IF(C131="","",IFERROR(VLOOKUP(E131,CAD_PROD!$C$6:$D$506,2,0),""))),"",IF(C131="","",IFERROR(VLOOKUP(E131,CAD_PROD!$C$6:$D$506,2,0),"")))</f>
        <v/>
      </c>
      <c r="H131" s="94" t="str">
        <f t="shared" si="1"/>
        <v/>
      </c>
    </row>
    <row r="132" spans="2:8" ht="36" customHeight="1">
      <c r="B132" s="52">
        <f>IF(E132=TOP_CONC!$D$5,B131+1,B131)</f>
        <v>2</v>
      </c>
      <c r="C132" s="92"/>
      <c r="D132" s="92"/>
      <c r="E132" s="92"/>
      <c r="F132" s="111"/>
      <c r="G132" s="110" t="str">
        <f>IF(ISERROR(
IF(C132="","",IFERROR(VLOOKUP(E132,CAD_PROD!$C$6:$D$506,2,0),""))),"",IF(C132="","",IFERROR(VLOOKUP(E132,CAD_PROD!$C$6:$D$506,2,0),"")))</f>
        <v/>
      </c>
      <c r="H132" s="94" t="str">
        <f t="shared" si="1"/>
        <v/>
      </c>
    </row>
    <row r="133" spans="2:8" ht="36" customHeight="1">
      <c r="B133" s="52">
        <f>IF(E133=TOP_CONC!$D$5,B132+1,B132)</f>
        <v>2</v>
      </c>
      <c r="C133" s="92"/>
      <c r="D133" s="92"/>
      <c r="E133" s="92"/>
      <c r="F133" s="111"/>
      <c r="G133" s="110" t="str">
        <f>IF(ISERROR(
IF(C133="","",IFERROR(VLOOKUP(E133,CAD_PROD!$C$6:$D$506,2,0),""))),"",IF(C133="","",IFERROR(VLOOKUP(E133,CAD_PROD!$C$6:$D$506,2,0),"")))</f>
        <v/>
      </c>
      <c r="H133" s="94" t="str">
        <f t="shared" si="1"/>
        <v/>
      </c>
    </row>
    <row r="134" spans="2:8" ht="36" customHeight="1">
      <c r="B134" s="52">
        <f>IF(E134=TOP_CONC!$D$5,B133+1,B133)</f>
        <v>2</v>
      </c>
      <c r="C134" s="92"/>
      <c r="D134" s="92"/>
      <c r="E134" s="92"/>
      <c r="F134" s="111"/>
      <c r="G134" s="110" t="str">
        <f>IF(ISERROR(
IF(C134="","",IFERROR(VLOOKUP(E134,CAD_PROD!$C$6:$D$506,2,0),""))),"",IF(C134="","",IFERROR(VLOOKUP(E134,CAD_PROD!$C$6:$D$506,2,0),"")))</f>
        <v/>
      </c>
      <c r="H134" s="94" t="str">
        <f t="shared" si="1"/>
        <v/>
      </c>
    </row>
    <row r="135" spans="2:8" ht="36" customHeight="1">
      <c r="B135" s="52">
        <f>IF(E135=TOP_CONC!$D$5,B134+1,B134)</f>
        <v>2</v>
      </c>
      <c r="C135" s="92"/>
      <c r="D135" s="92"/>
      <c r="E135" s="92"/>
      <c r="F135" s="111"/>
      <c r="G135" s="110" t="str">
        <f>IF(ISERROR(
IF(C135="","",IFERROR(VLOOKUP(E135,CAD_PROD!$C$6:$D$506,2,0),""))),"",IF(C135="","",IFERROR(VLOOKUP(E135,CAD_PROD!$C$6:$D$506,2,0),"")))</f>
        <v/>
      </c>
      <c r="H135" s="94" t="str">
        <f t="shared" ref="H135:H198" si="2">IF(ISERROR(
IF(C135="","",
IF(F135&lt;G135,"Seu preço está acima do seu concorrente. Você precisa encontrar meios como qualidade, localização, etc, para justificar esta diferença.",IF(F135&gt;G135,"Seu preço está abaixo do seu concorrente. Mas ele se posiciona pelo(a) "&amp;D135&amp;". Fique atento sobre este detalhe, pois preço baixo não é garantia de sucesso.","Seu preço está igual ao do seu concorrente. Ele se posiciona pela "&amp;D135&amp;". Se você conseguir se posicionar melhor que ele nesse atributo, poderá estar em vantagem.")))),"",
IF(C135="","",
IF(F135&lt;G135,"Seu preço está acima do seu concorrente. Você precisa encontrar meios como qualidade, localização, etc, para justificar esta diferença.",IF(F135&gt;G135,"Seu preço está abaixo do seu concorrente. Mas ele se posiciona pelo(a) "&amp;D135&amp;". Fique atento sobre este detalhe, pois preço baixo não é garantia de sucesso.","Seu preço está igual ao do seu concorrente. Ele se posiciona pela "&amp;D135&amp;". Se você conseguir se posicionar melhor que ele nesse atributo, poderá estar em vantagem."))))</f>
        <v/>
      </c>
    </row>
    <row r="136" spans="2:8" ht="36" customHeight="1">
      <c r="B136" s="52">
        <f>IF(E136=TOP_CONC!$D$5,B135+1,B135)</f>
        <v>2</v>
      </c>
      <c r="C136" s="92"/>
      <c r="D136" s="92"/>
      <c r="E136" s="92"/>
      <c r="F136" s="111"/>
      <c r="G136" s="110" t="str">
        <f>IF(ISERROR(
IF(C136="","",IFERROR(VLOOKUP(E136,CAD_PROD!$C$6:$D$506,2,0),""))),"",IF(C136="","",IFERROR(VLOOKUP(E136,CAD_PROD!$C$6:$D$506,2,0),"")))</f>
        <v/>
      </c>
      <c r="H136" s="94" t="str">
        <f t="shared" si="2"/>
        <v/>
      </c>
    </row>
    <row r="137" spans="2:8" ht="36" customHeight="1">
      <c r="B137" s="52">
        <f>IF(E137=TOP_CONC!$D$5,B136+1,B136)</f>
        <v>2</v>
      </c>
      <c r="C137" s="92"/>
      <c r="D137" s="92"/>
      <c r="E137" s="92"/>
      <c r="F137" s="111"/>
      <c r="G137" s="110" t="str">
        <f>IF(ISERROR(
IF(C137="","",IFERROR(VLOOKUP(E137,CAD_PROD!$C$6:$D$506,2,0),""))),"",IF(C137="","",IFERROR(VLOOKUP(E137,CAD_PROD!$C$6:$D$506,2,0),"")))</f>
        <v/>
      </c>
      <c r="H137" s="94" t="str">
        <f t="shared" si="2"/>
        <v/>
      </c>
    </row>
    <row r="138" spans="2:8" ht="36" customHeight="1">
      <c r="B138" s="52">
        <f>IF(E138=TOP_CONC!$D$5,B137+1,B137)</f>
        <v>2</v>
      </c>
      <c r="C138" s="92"/>
      <c r="D138" s="92"/>
      <c r="E138" s="92"/>
      <c r="F138" s="111"/>
      <c r="G138" s="110" t="str">
        <f>IF(ISERROR(
IF(C138="","",IFERROR(VLOOKUP(E138,CAD_PROD!$C$6:$D$506,2,0),""))),"",IF(C138="","",IFERROR(VLOOKUP(E138,CAD_PROD!$C$6:$D$506,2,0),"")))</f>
        <v/>
      </c>
      <c r="H138" s="94" t="str">
        <f t="shared" si="2"/>
        <v/>
      </c>
    </row>
    <row r="139" spans="2:8" ht="36" customHeight="1">
      <c r="B139" s="52">
        <f>IF(E139=TOP_CONC!$D$5,B138+1,B138)</f>
        <v>2</v>
      </c>
      <c r="C139" s="92"/>
      <c r="D139" s="92"/>
      <c r="E139" s="92"/>
      <c r="F139" s="111"/>
      <c r="G139" s="110" t="str">
        <f>IF(ISERROR(
IF(C139="","",IFERROR(VLOOKUP(E139,CAD_PROD!$C$6:$D$506,2,0),""))),"",IF(C139="","",IFERROR(VLOOKUP(E139,CAD_PROD!$C$6:$D$506,2,0),"")))</f>
        <v/>
      </c>
      <c r="H139" s="94" t="str">
        <f t="shared" si="2"/>
        <v/>
      </c>
    </row>
    <row r="140" spans="2:8" ht="36" customHeight="1">
      <c r="B140" s="52">
        <f>IF(E140=TOP_CONC!$D$5,B139+1,B139)</f>
        <v>2</v>
      </c>
      <c r="C140" s="92"/>
      <c r="D140" s="92"/>
      <c r="E140" s="92"/>
      <c r="F140" s="111"/>
      <c r="G140" s="110" t="str">
        <f>IF(ISERROR(
IF(C140="","",IFERROR(VLOOKUP(E140,CAD_PROD!$C$6:$D$506,2,0),""))),"",IF(C140="","",IFERROR(VLOOKUP(E140,CAD_PROD!$C$6:$D$506,2,0),"")))</f>
        <v/>
      </c>
      <c r="H140" s="94" t="str">
        <f t="shared" si="2"/>
        <v/>
      </c>
    </row>
    <row r="141" spans="2:8" ht="36" customHeight="1">
      <c r="B141" s="52">
        <f>IF(E141=TOP_CONC!$D$5,B140+1,B140)</f>
        <v>2</v>
      </c>
      <c r="C141" s="92"/>
      <c r="D141" s="92"/>
      <c r="E141" s="92"/>
      <c r="F141" s="111"/>
      <c r="G141" s="110" t="str">
        <f>IF(ISERROR(
IF(C141="","",IFERROR(VLOOKUP(E141,CAD_PROD!$C$6:$D$506,2,0),""))),"",IF(C141="","",IFERROR(VLOOKUP(E141,CAD_PROD!$C$6:$D$506,2,0),"")))</f>
        <v/>
      </c>
      <c r="H141" s="94" t="str">
        <f t="shared" si="2"/>
        <v/>
      </c>
    </row>
    <row r="142" spans="2:8" ht="36" customHeight="1">
      <c r="B142" s="52">
        <f>IF(E142=TOP_CONC!$D$5,B141+1,B141)</f>
        <v>2</v>
      </c>
      <c r="C142" s="92"/>
      <c r="D142" s="92"/>
      <c r="E142" s="92"/>
      <c r="F142" s="111"/>
      <c r="G142" s="110" t="str">
        <f>IF(ISERROR(
IF(C142="","",IFERROR(VLOOKUP(E142,CAD_PROD!$C$6:$D$506,2,0),""))),"",IF(C142="","",IFERROR(VLOOKUP(E142,CAD_PROD!$C$6:$D$506,2,0),"")))</f>
        <v/>
      </c>
      <c r="H142" s="94" t="str">
        <f t="shared" si="2"/>
        <v/>
      </c>
    </row>
    <row r="143" spans="2:8" ht="36" customHeight="1">
      <c r="B143" s="52">
        <f>IF(E143=TOP_CONC!$D$5,B142+1,B142)</f>
        <v>2</v>
      </c>
      <c r="C143" s="92"/>
      <c r="D143" s="92"/>
      <c r="E143" s="92"/>
      <c r="F143" s="111"/>
      <c r="G143" s="110" t="str">
        <f>IF(ISERROR(
IF(C143="","",IFERROR(VLOOKUP(E143,CAD_PROD!$C$6:$D$506,2,0),""))),"",IF(C143="","",IFERROR(VLOOKUP(E143,CAD_PROD!$C$6:$D$506,2,0),"")))</f>
        <v/>
      </c>
      <c r="H143" s="94" t="str">
        <f t="shared" si="2"/>
        <v/>
      </c>
    </row>
    <row r="144" spans="2:8" ht="36" customHeight="1">
      <c r="B144" s="52">
        <f>IF(E144=TOP_CONC!$D$5,B143+1,B143)</f>
        <v>2</v>
      </c>
      <c r="C144" s="92"/>
      <c r="D144" s="92"/>
      <c r="E144" s="92"/>
      <c r="F144" s="111"/>
      <c r="G144" s="110" t="str">
        <f>IF(ISERROR(
IF(C144="","",IFERROR(VLOOKUP(E144,CAD_PROD!$C$6:$D$506,2,0),""))),"",IF(C144="","",IFERROR(VLOOKUP(E144,CAD_PROD!$C$6:$D$506,2,0),"")))</f>
        <v/>
      </c>
      <c r="H144" s="94" t="str">
        <f t="shared" si="2"/>
        <v/>
      </c>
    </row>
    <row r="145" spans="2:8" ht="36" customHeight="1">
      <c r="B145" s="52">
        <f>IF(E145=TOP_CONC!$D$5,B144+1,B144)</f>
        <v>2</v>
      </c>
      <c r="C145" s="92"/>
      <c r="D145" s="92"/>
      <c r="E145" s="92"/>
      <c r="F145" s="111"/>
      <c r="G145" s="110" t="str">
        <f>IF(ISERROR(
IF(C145="","",IFERROR(VLOOKUP(E145,CAD_PROD!$C$6:$D$506,2,0),""))),"",IF(C145="","",IFERROR(VLOOKUP(E145,CAD_PROD!$C$6:$D$506,2,0),"")))</f>
        <v/>
      </c>
      <c r="H145" s="94" t="str">
        <f t="shared" si="2"/>
        <v/>
      </c>
    </row>
    <row r="146" spans="2:8" ht="36" customHeight="1">
      <c r="B146" s="52">
        <f>IF(E146=TOP_CONC!$D$5,B145+1,B145)</f>
        <v>2</v>
      </c>
      <c r="C146" s="92"/>
      <c r="D146" s="92"/>
      <c r="E146" s="92"/>
      <c r="F146" s="111"/>
      <c r="G146" s="110" t="str">
        <f>IF(ISERROR(
IF(C146="","",IFERROR(VLOOKUP(E146,CAD_PROD!$C$6:$D$506,2,0),""))),"",IF(C146="","",IFERROR(VLOOKUP(E146,CAD_PROD!$C$6:$D$506,2,0),"")))</f>
        <v/>
      </c>
      <c r="H146" s="94" t="str">
        <f t="shared" si="2"/>
        <v/>
      </c>
    </row>
    <row r="147" spans="2:8" ht="36" customHeight="1">
      <c r="B147" s="52">
        <f>IF(E147=TOP_CONC!$D$5,B146+1,B146)</f>
        <v>2</v>
      </c>
      <c r="C147" s="92"/>
      <c r="D147" s="92"/>
      <c r="E147" s="92"/>
      <c r="F147" s="111"/>
      <c r="G147" s="110" t="str">
        <f>IF(ISERROR(
IF(C147="","",IFERROR(VLOOKUP(E147,CAD_PROD!$C$6:$D$506,2,0),""))),"",IF(C147="","",IFERROR(VLOOKUP(E147,CAD_PROD!$C$6:$D$506,2,0),"")))</f>
        <v/>
      </c>
      <c r="H147" s="94" t="str">
        <f t="shared" si="2"/>
        <v/>
      </c>
    </row>
    <row r="148" spans="2:8" ht="36" customHeight="1">
      <c r="B148" s="52">
        <f>IF(E148=TOP_CONC!$D$5,B147+1,B147)</f>
        <v>2</v>
      </c>
      <c r="C148" s="92"/>
      <c r="D148" s="92"/>
      <c r="E148" s="92"/>
      <c r="F148" s="111"/>
      <c r="G148" s="110" t="str">
        <f>IF(ISERROR(
IF(C148="","",IFERROR(VLOOKUP(E148,CAD_PROD!$C$6:$D$506,2,0),""))),"",IF(C148="","",IFERROR(VLOOKUP(E148,CAD_PROD!$C$6:$D$506,2,0),"")))</f>
        <v/>
      </c>
      <c r="H148" s="94" t="str">
        <f t="shared" si="2"/>
        <v/>
      </c>
    </row>
    <row r="149" spans="2:8" ht="36" customHeight="1">
      <c r="B149" s="52">
        <f>IF(E149=TOP_CONC!$D$5,B148+1,B148)</f>
        <v>2</v>
      </c>
      <c r="C149" s="92"/>
      <c r="D149" s="92"/>
      <c r="E149" s="92"/>
      <c r="F149" s="111"/>
      <c r="G149" s="110" t="str">
        <f>IF(ISERROR(
IF(C149="","",IFERROR(VLOOKUP(E149,CAD_PROD!$C$6:$D$506,2,0),""))),"",IF(C149="","",IFERROR(VLOOKUP(E149,CAD_PROD!$C$6:$D$506,2,0),"")))</f>
        <v/>
      </c>
      <c r="H149" s="94" t="str">
        <f t="shared" si="2"/>
        <v/>
      </c>
    </row>
    <row r="150" spans="2:8" ht="36" customHeight="1">
      <c r="B150" s="52">
        <f>IF(E150=TOP_CONC!$D$5,B149+1,B149)</f>
        <v>2</v>
      </c>
      <c r="C150" s="92"/>
      <c r="D150" s="92"/>
      <c r="E150" s="92"/>
      <c r="F150" s="111"/>
      <c r="G150" s="110" t="str">
        <f>IF(ISERROR(
IF(C150="","",IFERROR(VLOOKUP(E150,CAD_PROD!$C$6:$D$506,2,0),""))),"",IF(C150="","",IFERROR(VLOOKUP(E150,CAD_PROD!$C$6:$D$506,2,0),"")))</f>
        <v/>
      </c>
      <c r="H150" s="94" t="str">
        <f t="shared" si="2"/>
        <v/>
      </c>
    </row>
    <row r="151" spans="2:8" ht="36" customHeight="1">
      <c r="B151" s="52">
        <f>IF(E151=TOP_CONC!$D$5,B150+1,B150)</f>
        <v>2</v>
      </c>
      <c r="C151" s="92"/>
      <c r="D151" s="92"/>
      <c r="E151" s="92"/>
      <c r="F151" s="111"/>
      <c r="G151" s="110" t="str">
        <f>IF(ISERROR(
IF(C151="","",IFERROR(VLOOKUP(E151,CAD_PROD!$C$6:$D$506,2,0),""))),"",IF(C151="","",IFERROR(VLOOKUP(E151,CAD_PROD!$C$6:$D$506,2,0),"")))</f>
        <v/>
      </c>
      <c r="H151" s="94" t="str">
        <f t="shared" si="2"/>
        <v/>
      </c>
    </row>
    <row r="152" spans="2:8" ht="36" customHeight="1">
      <c r="B152" s="52">
        <f>IF(E152=TOP_CONC!$D$5,B151+1,B151)</f>
        <v>2</v>
      </c>
      <c r="C152" s="92"/>
      <c r="D152" s="92"/>
      <c r="E152" s="92"/>
      <c r="F152" s="111"/>
      <c r="G152" s="110" t="str">
        <f>IF(ISERROR(
IF(C152="","",IFERROR(VLOOKUP(E152,CAD_PROD!$C$6:$D$506,2,0),""))),"",IF(C152="","",IFERROR(VLOOKUP(E152,CAD_PROD!$C$6:$D$506,2,0),"")))</f>
        <v/>
      </c>
      <c r="H152" s="94" t="str">
        <f t="shared" si="2"/>
        <v/>
      </c>
    </row>
    <row r="153" spans="2:8" ht="36" customHeight="1">
      <c r="B153" s="52">
        <f>IF(E153=TOP_CONC!$D$5,B152+1,B152)</f>
        <v>2</v>
      </c>
      <c r="C153" s="92"/>
      <c r="D153" s="92"/>
      <c r="E153" s="92"/>
      <c r="F153" s="111"/>
      <c r="G153" s="110" t="str">
        <f>IF(ISERROR(
IF(C153="","",IFERROR(VLOOKUP(E153,CAD_PROD!$C$6:$D$506,2,0),""))),"",IF(C153="","",IFERROR(VLOOKUP(E153,CAD_PROD!$C$6:$D$506,2,0),"")))</f>
        <v/>
      </c>
      <c r="H153" s="94" t="str">
        <f t="shared" si="2"/>
        <v/>
      </c>
    </row>
    <row r="154" spans="2:8" ht="36" customHeight="1">
      <c r="B154" s="52">
        <f>IF(E154=TOP_CONC!$D$5,B153+1,B153)</f>
        <v>2</v>
      </c>
      <c r="C154" s="92"/>
      <c r="D154" s="92"/>
      <c r="E154" s="92"/>
      <c r="F154" s="111"/>
      <c r="G154" s="110" t="str">
        <f>IF(ISERROR(
IF(C154="","",IFERROR(VLOOKUP(E154,CAD_PROD!$C$6:$D$506,2,0),""))),"",IF(C154="","",IFERROR(VLOOKUP(E154,CAD_PROD!$C$6:$D$506,2,0),"")))</f>
        <v/>
      </c>
      <c r="H154" s="94" t="str">
        <f t="shared" si="2"/>
        <v/>
      </c>
    </row>
    <row r="155" spans="2:8" ht="36" customHeight="1">
      <c r="B155" s="52">
        <f>IF(E155=TOP_CONC!$D$5,B154+1,B154)</f>
        <v>2</v>
      </c>
      <c r="C155" s="92"/>
      <c r="D155" s="92"/>
      <c r="E155" s="92"/>
      <c r="F155" s="111"/>
      <c r="G155" s="110" t="str">
        <f>IF(ISERROR(
IF(C155="","",IFERROR(VLOOKUP(E155,CAD_PROD!$C$6:$D$506,2,0),""))),"",IF(C155="","",IFERROR(VLOOKUP(E155,CAD_PROD!$C$6:$D$506,2,0),"")))</f>
        <v/>
      </c>
      <c r="H155" s="94" t="str">
        <f t="shared" si="2"/>
        <v/>
      </c>
    </row>
    <row r="156" spans="2:8" ht="36" customHeight="1">
      <c r="B156" s="52">
        <f>IF(E156=TOP_CONC!$D$5,B155+1,B155)</f>
        <v>2</v>
      </c>
      <c r="C156" s="92"/>
      <c r="D156" s="92"/>
      <c r="E156" s="92"/>
      <c r="F156" s="111"/>
      <c r="G156" s="110" t="str">
        <f>IF(ISERROR(
IF(C156="","",IFERROR(VLOOKUP(E156,CAD_PROD!$C$6:$D$506,2,0),""))),"",IF(C156="","",IFERROR(VLOOKUP(E156,CAD_PROD!$C$6:$D$506,2,0),"")))</f>
        <v/>
      </c>
      <c r="H156" s="94" t="str">
        <f t="shared" si="2"/>
        <v/>
      </c>
    </row>
    <row r="157" spans="2:8" ht="36" customHeight="1">
      <c r="B157" s="52">
        <f>IF(E157=TOP_CONC!$D$5,B156+1,B156)</f>
        <v>2</v>
      </c>
      <c r="C157" s="92"/>
      <c r="D157" s="92"/>
      <c r="E157" s="92"/>
      <c r="F157" s="111"/>
      <c r="G157" s="110" t="str">
        <f>IF(ISERROR(
IF(C157="","",IFERROR(VLOOKUP(E157,CAD_PROD!$C$6:$D$506,2,0),""))),"",IF(C157="","",IFERROR(VLOOKUP(E157,CAD_PROD!$C$6:$D$506,2,0),"")))</f>
        <v/>
      </c>
      <c r="H157" s="94" t="str">
        <f t="shared" si="2"/>
        <v/>
      </c>
    </row>
    <row r="158" spans="2:8" ht="36" customHeight="1">
      <c r="B158" s="52">
        <f>IF(E158=TOP_CONC!$D$5,B157+1,B157)</f>
        <v>2</v>
      </c>
      <c r="C158" s="92"/>
      <c r="D158" s="92"/>
      <c r="E158" s="92"/>
      <c r="F158" s="111"/>
      <c r="G158" s="110" t="str">
        <f>IF(ISERROR(
IF(C158="","",IFERROR(VLOOKUP(E158,CAD_PROD!$C$6:$D$506,2,0),""))),"",IF(C158="","",IFERROR(VLOOKUP(E158,CAD_PROD!$C$6:$D$506,2,0),"")))</f>
        <v/>
      </c>
      <c r="H158" s="94" t="str">
        <f t="shared" si="2"/>
        <v/>
      </c>
    </row>
    <row r="159" spans="2:8" ht="36" customHeight="1">
      <c r="B159" s="52">
        <f>IF(E159=TOP_CONC!$D$5,B158+1,B158)</f>
        <v>2</v>
      </c>
      <c r="C159" s="92"/>
      <c r="D159" s="92"/>
      <c r="E159" s="92"/>
      <c r="F159" s="111"/>
      <c r="G159" s="110" t="str">
        <f>IF(ISERROR(
IF(C159="","",IFERROR(VLOOKUP(E159,CAD_PROD!$C$6:$D$506,2,0),""))),"",IF(C159="","",IFERROR(VLOOKUP(E159,CAD_PROD!$C$6:$D$506,2,0),"")))</f>
        <v/>
      </c>
      <c r="H159" s="94" t="str">
        <f t="shared" si="2"/>
        <v/>
      </c>
    </row>
    <row r="160" spans="2:8" ht="36" customHeight="1">
      <c r="B160" s="52">
        <f>IF(E160=TOP_CONC!$D$5,B159+1,B159)</f>
        <v>2</v>
      </c>
      <c r="C160" s="92"/>
      <c r="D160" s="92"/>
      <c r="E160" s="92"/>
      <c r="F160" s="111"/>
      <c r="G160" s="110" t="str">
        <f>IF(ISERROR(
IF(C160="","",IFERROR(VLOOKUP(E160,CAD_PROD!$C$6:$D$506,2,0),""))),"",IF(C160="","",IFERROR(VLOOKUP(E160,CAD_PROD!$C$6:$D$506,2,0),"")))</f>
        <v/>
      </c>
      <c r="H160" s="94" t="str">
        <f t="shared" si="2"/>
        <v/>
      </c>
    </row>
    <row r="161" spans="2:8" ht="36" customHeight="1">
      <c r="B161" s="52">
        <f>IF(E161=TOP_CONC!$D$5,B160+1,B160)</f>
        <v>2</v>
      </c>
      <c r="C161" s="92"/>
      <c r="D161" s="92"/>
      <c r="E161" s="92"/>
      <c r="F161" s="111"/>
      <c r="G161" s="110" t="str">
        <f>IF(ISERROR(
IF(C161="","",IFERROR(VLOOKUP(E161,CAD_PROD!$C$6:$D$506,2,0),""))),"",IF(C161="","",IFERROR(VLOOKUP(E161,CAD_PROD!$C$6:$D$506,2,0),"")))</f>
        <v/>
      </c>
      <c r="H161" s="94" t="str">
        <f t="shared" si="2"/>
        <v/>
      </c>
    </row>
    <row r="162" spans="2:8" ht="36" customHeight="1">
      <c r="B162" s="52">
        <f>IF(E162=TOP_CONC!$D$5,B161+1,B161)</f>
        <v>2</v>
      </c>
      <c r="C162" s="92"/>
      <c r="D162" s="92"/>
      <c r="E162" s="92"/>
      <c r="F162" s="111"/>
      <c r="G162" s="110" t="str">
        <f>IF(ISERROR(
IF(C162="","",IFERROR(VLOOKUP(E162,CAD_PROD!$C$6:$D$506,2,0),""))),"",IF(C162="","",IFERROR(VLOOKUP(E162,CAD_PROD!$C$6:$D$506,2,0),"")))</f>
        <v/>
      </c>
      <c r="H162" s="94" t="str">
        <f t="shared" si="2"/>
        <v/>
      </c>
    </row>
    <row r="163" spans="2:8" ht="36" customHeight="1">
      <c r="B163" s="52">
        <f>IF(E163=TOP_CONC!$D$5,B162+1,B162)</f>
        <v>2</v>
      </c>
      <c r="C163" s="92"/>
      <c r="D163" s="92"/>
      <c r="E163" s="92"/>
      <c r="F163" s="111"/>
      <c r="G163" s="110" t="str">
        <f>IF(ISERROR(
IF(C163="","",IFERROR(VLOOKUP(E163,CAD_PROD!$C$6:$D$506,2,0),""))),"",IF(C163="","",IFERROR(VLOOKUP(E163,CAD_PROD!$C$6:$D$506,2,0),"")))</f>
        <v/>
      </c>
      <c r="H163" s="94" t="str">
        <f t="shared" si="2"/>
        <v/>
      </c>
    </row>
    <row r="164" spans="2:8" ht="36" customHeight="1">
      <c r="B164" s="52">
        <f>IF(E164=TOP_CONC!$D$5,B163+1,B163)</f>
        <v>2</v>
      </c>
      <c r="C164" s="92"/>
      <c r="D164" s="92"/>
      <c r="E164" s="92"/>
      <c r="F164" s="111"/>
      <c r="G164" s="110" t="str">
        <f>IF(ISERROR(
IF(C164="","",IFERROR(VLOOKUP(E164,CAD_PROD!$C$6:$D$506,2,0),""))),"",IF(C164="","",IFERROR(VLOOKUP(E164,CAD_PROD!$C$6:$D$506,2,0),"")))</f>
        <v/>
      </c>
      <c r="H164" s="94" t="str">
        <f t="shared" si="2"/>
        <v/>
      </c>
    </row>
    <row r="165" spans="2:8" ht="36" customHeight="1">
      <c r="B165" s="52">
        <f>IF(E165=TOP_CONC!$D$5,B164+1,B164)</f>
        <v>2</v>
      </c>
      <c r="C165" s="92"/>
      <c r="D165" s="92"/>
      <c r="E165" s="92"/>
      <c r="F165" s="111"/>
      <c r="G165" s="110" t="str">
        <f>IF(ISERROR(
IF(C165="","",IFERROR(VLOOKUP(E165,CAD_PROD!$C$6:$D$506,2,0),""))),"",IF(C165="","",IFERROR(VLOOKUP(E165,CAD_PROD!$C$6:$D$506,2,0),"")))</f>
        <v/>
      </c>
      <c r="H165" s="94" t="str">
        <f t="shared" si="2"/>
        <v/>
      </c>
    </row>
    <row r="166" spans="2:8" ht="36" customHeight="1">
      <c r="B166" s="52">
        <f>IF(E166=TOP_CONC!$D$5,B165+1,B165)</f>
        <v>2</v>
      </c>
      <c r="C166" s="92"/>
      <c r="D166" s="92"/>
      <c r="E166" s="92"/>
      <c r="F166" s="111"/>
      <c r="G166" s="110" t="str">
        <f>IF(ISERROR(
IF(C166="","",IFERROR(VLOOKUP(E166,CAD_PROD!$C$6:$D$506,2,0),""))),"",IF(C166="","",IFERROR(VLOOKUP(E166,CAD_PROD!$C$6:$D$506,2,0),"")))</f>
        <v/>
      </c>
      <c r="H166" s="94" t="str">
        <f t="shared" si="2"/>
        <v/>
      </c>
    </row>
    <row r="167" spans="2:8" ht="36" customHeight="1">
      <c r="B167" s="52">
        <f>IF(E167=TOP_CONC!$D$5,B166+1,B166)</f>
        <v>2</v>
      </c>
      <c r="C167" s="92"/>
      <c r="D167" s="92"/>
      <c r="E167" s="92"/>
      <c r="F167" s="111"/>
      <c r="G167" s="110" t="str">
        <f>IF(ISERROR(
IF(C167="","",IFERROR(VLOOKUP(E167,CAD_PROD!$C$6:$D$506,2,0),""))),"",IF(C167="","",IFERROR(VLOOKUP(E167,CAD_PROD!$C$6:$D$506,2,0),"")))</f>
        <v/>
      </c>
      <c r="H167" s="94" t="str">
        <f t="shared" si="2"/>
        <v/>
      </c>
    </row>
    <row r="168" spans="2:8" ht="36" customHeight="1">
      <c r="B168" s="52">
        <f>IF(E168=TOP_CONC!$D$5,B167+1,B167)</f>
        <v>2</v>
      </c>
      <c r="C168" s="92"/>
      <c r="D168" s="92"/>
      <c r="E168" s="92"/>
      <c r="F168" s="111"/>
      <c r="G168" s="110" t="str">
        <f>IF(ISERROR(
IF(C168="","",IFERROR(VLOOKUP(E168,CAD_PROD!$C$6:$D$506,2,0),""))),"",IF(C168="","",IFERROR(VLOOKUP(E168,CAD_PROD!$C$6:$D$506,2,0),"")))</f>
        <v/>
      </c>
      <c r="H168" s="94" t="str">
        <f t="shared" si="2"/>
        <v/>
      </c>
    </row>
    <row r="169" spans="2:8" ht="36" customHeight="1">
      <c r="B169" s="52">
        <f>IF(E169=TOP_CONC!$D$5,B168+1,B168)</f>
        <v>2</v>
      </c>
      <c r="C169" s="92"/>
      <c r="D169" s="92"/>
      <c r="E169" s="92"/>
      <c r="F169" s="111"/>
      <c r="G169" s="110" t="str">
        <f>IF(ISERROR(
IF(C169="","",IFERROR(VLOOKUP(E169,CAD_PROD!$C$6:$D$506,2,0),""))),"",IF(C169="","",IFERROR(VLOOKUP(E169,CAD_PROD!$C$6:$D$506,2,0),"")))</f>
        <v/>
      </c>
      <c r="H169" s="94" t="str">
        <f t="shared" si="2"/>
        <v/>
      </c>
    </row>
    <row r="170" spans="2:8" ht="36" customHeight="1">
      <c r="B170" s="52">
        <f>IF(E170=TOP_CONC!$D$5,B169+1,B169)</f>
        <v>2</v>
      </c>
      <c r="C170" s="92"/>
      <c r="D170" s="92"/>
      <c r="E170" s="92"/>
      <c r="F170" s="111"/>
      <c r="G170" s="110" t="str">
        <f>IF(ISERROR(
IF(C170="","",IFERROR(VLOOKUP(E170,CAD_PROD!$C$6:$D$506,2,0),""))),"",IF(C170="","",IFERROR(VLOOKUP(E170,CAD_PROD!$C$6:$D$506,2,0),"")))</f>
        <v/>
      </c>
      <c r="H170" s="94" t="str">
        <f t="shared" si="2"/>
        <v/>
      </c>
    </row>
    <row r="171" spans="2:8" ht="36" customHeight="1">
      <c r="B171" s="52">
        <f>IF(E171=TOP_CONC!$D$5,B170+1,B170)</f>
        <v>2</v>
      </c>
      <c r="C171" s="92"/>
      <c r="D171" s="92"/>
      <c r="E171" s="92"/>
      <c r="F171" s="111"/>
      <c r="G171" s="110" t="str">
        <f>IF(ISERROR(
IF(C171="","",IFERROR(VLOOKUP(E171,CAD_PROD!$C$6:$D$506,2,0),""))),"",IF(C171="","",IFERROR(VLOOKUP(E171,CAD_PROD!$C$6:$D$506,2,0),"")))</f>
        <v/>
      </c>
      <c r="H171" s="94" t="str">
        <f t="shared" si="2"/>
        <v/>
      </c>
    </row>
    <row r="172" spans="2:8" ht="36" customHeight="1">
      <c r="B172" s="52">
        <f>IF(E172=TOP_CONC!$D$5,B171+1,B171)</f>
        <v>2</v>
      </c>
      <c r="C172" s="92"/>
      <c r="D172" s="92"/>
      <c r="E172" s="92"/>
      <c r="F172" s="111"/>
      <c r="G172" s="110" t="str">
        <f>IF(ISERROR(
IF(C172="","",IFERROR(VLOOKUP(E172,CAD_PROD!$C$6:$D$506,2,0),""))),"",IF(C172="","",IFERROR(VLOOKUP(E172,CAD_PROD!$C$6:$D$506,2,0),"")))</f>
        <v/>
      </c>
      <c r="H172" s="94" t="str">
        <f t="shared" si="2"/>
        <v/>
      </c>
    </row>
    <row r="173" spans="2:8" ht="36" customHeight="1">
      <c r="B173" s="52">
        <f>IF(E173=TOP_CONC!$D$5,B172+1,B172)</f>
        <v>2</v>
      </c>
      <c r="C173" s="92"/>
      <c r="D173" s="92"/>
      <c r="E173" s="92"/>
      <c r="F173" s="111"/>
      <c r="G173" s="110" t="str">
        <f>IF(ISERROR(
IF(C173="","",IFERROR(VLOOKUP(E173,CAD_PROD!$C$6:$D$506,2,0),""))),"",IF(C173="","",IFERROR(VLOOKUP(E173,CAD_PROD!$C$6:$D$506,2,0),"")))</f>
        <v/>
      </c>
      <c r="H173" s="94" t="str">
        <f t="shared" si="2"/>
        <v/>
      </c>
    </row>
    <row r="174" spans="2:8" ht="36" customHeight="1">
      <c r="B174" s="52">
        <f>IF(E174=TOP_CONC!$D$5,B173+1,B173)</f>
        <v>2</v>
      </c>
      <c r="C174" s="92"/>
      <c r="D174" s="92"/>
      <c r="E174" s="92"/>
      <c r="F174" s="111"/>
      <c r="G174" s="110" t="str">
        <f>IF(ISERROR(
IF(C174="","",IFERROR(VLOOKUP(E174,CAD_PROD!$C$6:$D$506,2,0),""))),"",IF(C174="","",IFERROR(VLOOKUP(E174,CAD_PROD!$C$6:$D$506,2,0),"")))</f>
        <v/>
      </c>
      <c r="H174" s="94" t="str">
        <f t="shared" si="2"/>
        <v/>
      </c>
    </row>
    <row r="175" spans="2:8" ht="36" customHeight="1">
      <c r="B175" s="52">
        <f>IF(E175=TOP_CONC!$D$5,B174+1,B174)</f>
        <v>2</v>
      </c>
      <c r="C175" s="92"/>
      <c r="D175" s="92"/>
      <c r="E175" s="92"/>
      <c r="F175" s="111"/>
      <c r="G175" s="110" t="str">
        <f>IF(ISERROR(
IF(C175="","",IFERROR(VLOOKUP(E175,CAD_PROD!$C$6:$D$506,2,0),""))),"",IF(C175="","",IFERROR(VLOOKUP(E175,CAD_PROD!$C$6:$D$506,2,0),"")))</f>
        <v/>
      </c>
      <c r="H175" s="94" t="str">
        <f t="shared" si="2"/>
        <v/>
      </c>
    </row>
    <row r="176" spans="2:8" ht="36" customHeight="1">
      <c r="B176" s="52">
        <f>IF(E176=TOP_CONC!$D$5,B175+1,B175)</f>
        <v>2</v>
      </c>
      <c r="C176" s="92"/>
      <c r="D176" s="92"/>
      <c r="E176" s="92"/>
      <c r="F176" s="111"/>
      <c r="G176" s="110" t="str">
        <f>IF(ISERROR(
IF(C176="","",IFERROR(VLOOKUP(E176,CAD_PROD!$C$6:$D$506,2,0),""))),"",IF(C176="","",IFERROR(VLOOKUP(E176,CAD_PROD!$C$6:$D$506,2,0),"")))</f>
        <v/>
      </c>
      <c r="H176" s="94" t="str">
        <f t="shared" si="2"/>
        <v/>
      </c>
    </row>
    <row r="177" spans="2:8" ht="36" customHeight="1">
      <c r="B177" s="52">
        <f>IF(E177=TOP_CONC!$D$5,B176+1,B176)</f>
        <v>2</v>
      </c>
      <c r="C177" s="92"/>
      <c r="D177" s="92"/>
      <c r="E177" s="92"/>
      <c r="F177" s="111"/>
      <c r="G177" s="110" t="str">
        <f>IF(ISERROR(
IF(C177="","",IFERROR(VLOOKUP(E177,CAD_PROD!$C$6:$D$506,2,0),""))),"",IF(C177="","",IFERROR(VLOOKUP(E177,CAD_PROD!$C$6:$D$506,2,0),"")))</f>
        <v/>
      </c>
      <c r="H177" s="94" t="str">
        <f t="shared" si="2"/>
        <v/>
      </c>
    </row>
    <row r="178" spans="2:8" ht="36" customHeight="1">
      <c r="B178" s="52">
        <f>IF(E178=TOP_CONC!$D$5,B177+1,B177)</f>
        <v>2</v>
      </c>
      <c r="C178" s="92"/>
      <c r="D178" s="92"/>
      <c r="E178" s="92"/>
      <c r="F178" s="111"/>
      <c r="G178" s="110" t="str">
        <f>IF(ISERROR(
IF(C178="","",IFERROR(VLOOKUP(E178,CAD_PROD!$C$6:$D$506,2,0),""))),"",IF(C178="","",IFERROR(VLOOKUP(E178,CAD_PROD!$C$6:$D$506,2,0),"")))</f>
        <v/>
      </c>
      <c r="H178" s="94" t="str">
        <f t="shared" si="2"/>
        <v/>
      </c>
    </row>
    <row r="179" spans="2:8" ht="36" customHeight="1">
      <c r="B179" s="52">
        <f>IF(E179=TOP_CONC!$D$5,B178+1,B178)</f>
        <v>2</v>
      </c>
      <c r="C179" s="92"/>
      <c r="D179" s="92"/>
      <c r="E179" s="92"/>
      <c r="F179" s="111"/>
      <c r="G179" s="110" t="str">
        <f>IF(ISERROR(
IF(C179="","",IFERROR(VLOOKUP(E179,CAD_PROD!$C$6:$D$506,2,0),""))),"",IF(C179="","",IFERROR(VLOOKUP(E179,CAD_PROD!$C$6:$D$506,2,0),"")))</f>
        <v/>
      </c>
      <c r="H179" s="94" t="str">
        <f t="shared" si="2"/>
        <v/>
      </c>
    </row>
    <row r="180" spans="2:8" ht="36" customHeight="1">
      <c r="B180" s="52">
        <f>IF(E180=TOP_CONC!$D$5,B179+1,B179)</f>
        <v>2</v>
      </c>
      <c r="C180" s="92"/>
      <c r="D180" s="92"/>
      <c r="E180" s="92"/>
      <c r="F180" s="111"/>
      <c r="G180" s="110" t="str">
        <f>IF(ISERROR(
IF(C180="","",IFERROR(VLOOKUP(E180,CAD_PROD!$C$6:$D$506,2,0),""))),"",IF(C180="","",IFERROR(VLOOKUP(E180,CAD_PROD!$C$6:$D$506,2,0),"")))</f>
        <v/>
      </c>
      <c r="H180" s="94" t="str">
        <f t="shared" si="2"/>
        <v/>
      </c>
    </row>
    <row r="181" spans="2:8" ht="36" customHeight="1">
      <c r="B181" s="52">
        <f>IF(E181=TOP_CONC!$D$5,B180+1,B180)</f>
        <v>2</v>
      </c>
      <c r="C181" s="92"/>
      <c r="D181" s="92"/>
      <c r="E181" s="92"/>
      <c r="F181" s="111"/>
      <c r="G181" s="110" t="str">
        <f>IF(ISERROR(
IF(C181="","",IFERROR(VLOOKUP(E181,CAD_PROD!$C$6:$D$506,2,0),""))),"",IF(C181="","",IFERROR(VLOOKUP(E181,CAD_PROD!$C$6:$D$506,2,0),"")))</f>
        <v/>
      </c>
      <c r="H181" s="94" t="str">
        <f t="shared" si="2"/>
        <v/>
      </c>
    </row>
    <row r="182" spans="2:8" ht="36" customHeight="1">
      <c r="B182" s="52">
        <f>IF(E182=TOP_CONC!$D$5,B181+1,B181)</f>
        <v>2</v>
      </c>
      <c r="C182" s="92"/>
      <c r="D182" s="92"/>
      <c r="E182" s="92"/>
      <c r="F182" s="111"/>
      <c r="G182" s="110" t="str">
        <f>IF(ISERROR(
IF(C182="","",IFERROR(VLOOKUP(E182,CAD_PROD!$C$6:$D$506,2,0),""))),"",IF(C182="","",IFERROR(VLOOKUP(E182,CAD_PROD!$C$6:$D$506,2,0),"")))</f>
        <v/>
      </c>
      <c r="H182" s="94" t="str">
        <f t="shared" si="2"/>
        <v/>
      </c>
    </row>
    <row r="183" spans="2:8" ht="36" customHeight="1">
      <c r="B183" s="52">
        <f>IF(E183=TOP_CONC!$D$5,B182+1,B182)</f>
        <v>2</v>
      </c>
      <c r="C183" s="92"/>
      <c r="D183" s="92"/>
      <c r="E183" s="92"/>
      <c r="F183" s="111"/>
      <c r="G183" s="110" t="str">
        <f>IF(ISERROR(
IF(C183="","",IFERROR(VLOOKUP(E183,CAD_PROD!$C$6:$D$506,2,0),""))),"",IF(C183="","",IFERROR(VLOOKUP(E183,CAD_PROD!$C$6:$D$506,2,0),"")))</f>
        <v/>
      </c>
      <c r="H183" s="94" t="str">
        <f t="shared" si="2"/>
        <v/>
      </c>
    </row>
    <row r="184" spans="2:8" ht="36" customHeight="1">
      <c r="B184" s="52">
        <f>IF(E184=TOP_CONC!$D$5,B183+1,B183)</f>
        <v>2</v>
      </c>
      <c r="C184" s="92"/>
      <c r="D184" s="92"/>
      <c r="E184" s="92"/>
      <c r="F184" s="111"/>
      <c r="G184" s="110" t="str">
        <f>IF(ISERROR(
IF(C184="","",IFERROR(VLOOKUP(E184,CAD_PROD!$C$6:$D$506,2,0),""))),"",IF(C184="","",IFERROR(VLOOKUP(E184,CAD_PROD!$C$6:$D$506,2,0),"")))</f>
        <v/>
      </c>
      <c r="H184" s="94" t="str">
        <f t="shared" si="2"/>
        <v/>
      </c>
    </row>
    <row r="185" spans="2:8" ht="36" customHeight="1">
      <c r="B185" s="52">
        <f>IF(E185=TOP_CONC!$D$5,B184+1,B184)</f>
        <v>2</v>
      </c>
      <c r="C185" s="92"/>
      <c r="D185" s="92"/>
      <c r="E185" s="92"/>
      <c r="F185" s="111"/>
      <c r="G185" s="110" t="str">
        <f>IF(ISERROR(
IF(C185="","",IFERROR(VLOOKUP(E185,CAD_PROD!$C$6:$D$506,2,0),""))),"",IF(C185="","",IFERROR(VLOOKUP(E185,CAD_PROD!$C$6:$D$506,2,0),"")))</f>
        <v/>
      </c>
      <c r="H185" s="94" t="str">
        <f t="shared" si="2"/>
        <v/>
      </c>
    </row>
    <row r="186" spans="2:8" ht="36" customHeight="1">
      <c r="B186" s="52">
        <f>IF(E186=TOP_CONC!$D$5,B185+1,B185)</f>
        <v>2</v>
      </c>
      <c r="C186" s="92"/>
      <c r="D186" s="92"/>
      <c r="E186" s="92"/>
      <c r="F186" s="111"/>
      <c r="G186" s="110" t="str">
        <f>IF(ISERROR(
IF(C186="","",IFERROR(VLOOKUP(E186,CAD_PROD!$C$6:$D$506,2,0),""))),"",IF(C186="","",IFERROR(VLOOKUP(E186,CAD_PROD!$C$6:$D$506,2,0),"")))</f>
        <v/>
      </c>
      <c r="H186" s="94" t="str">
        <f t="shared" si="2"/>
        <v/>
      </c>
    </row>
    <row r="187" spans="2:8" ht="36" customHeight="1">
      <c r="B187" s="52">
        <f>IF(E187=TOP_CONC!$D$5,B186+1,B186)</f>
        <v>2</v>
      </c>
      <c r="C187" s="92"/>
      <c r="D187" s="92"/>
      <c r="E187" s="92"/>
      <c r="F187" s="111"/>
      <c r="G187" s="110" t="str">
        <f>IF(ISERROR(
IF(C187="","",IFERROR(VLOOKUP(E187,CAD_PROD!$C$6:$D$506,2,0),""))),"",IF(C187="","",IFERROR(VLOOKUP(E187,CAD_PROD!$C$6:$D$506,2,0),"")))</f>
        <v/>
      </c>
      <c r="H187" s="94" t="str">
        <f t="shared" si="2"/>
        <v/>
      </c>
    </row>
    <row r="188" spans="2:8" ht="36" customHeight="1">
      <c r="B188" s="52">
        <f>IF(E188=TOP_CONC!$D$5,B187+1,B187)</f>
        <v>2</v>
      </c>
      <c r="C188" s="92"/>
      <c r="D188" s="92"/>
      <c r="E188" s="92"/>
      <c r="F188" s="111"/>
      <c r="G188" s="110" t="str">
        <f>IF(ISERROR(
IF(C188="","",IFERROR(VLOOKUP(E188,CAD_PROD!$C$6:$D$506,2,0),""))),"",IF(C188="","",IFERROR(VLOOKUP(E188,CAD_PROD!$C$6:$D$506,2,0),"")))</f>
        <v/>
      </c>
      <c r="H188" s="94" t="str">
        <f t="shared" si="2"/>
        <v/>
      </c>
    </row>
    <row r="189" spans="2:8" ht="36" customHeight="1">
      <c r="B189" s="52">
        <f>IF(E189=TOP_CONC!$D$5,B188+1,B188)</f>
        <v>2</v>
      </c>
      <c r="C189" s="92"/>
      <c r="D189" s="92"/>
      <c r="E189" s="92"/>
      <c r="F189" s="111"/>
      <c r="G189" s="110" t="str">
        <f>IF(ISERROR(
IF(C189="","",IFERROR(VLOOKUP(E189,CAD_PROD!$C$6:$D$506,2,0),""))),"",IF(C189="","",IFERROR(VLOOKUP(E189,CAD_PROD!$C$6:$D$506,2,0),"")))</f>
        <v/>
      </c>
      <c r="H189" s="94" t="str">
        <f t="shared" si="2"/>
        <v/>
      </c>
    </row>
    <row r="190" spans="2:8" ht="36" customHeight="1">
      <c r="B190" s="52">
        <f>IF(E190=TOP_CONC!$D$5,B189+1,B189)</f>
        <v>2</v>
      </c>
      <c r="C190" s="92"/>
      <c r="D190" s="92"/>
      <c r="E190" s="92"/>
      <c r="F190" s="111"/>
      <c r="G190" s="110" t="str">
        <f>IF(ISERROR(
IF(C190="","",IFERROR(VLOOKUP(E190,CAD_PROD!$C$6:$D$506,2,0),""))),"",IF(C190="","",IFERROR(VLOOKUP(E190,CAD_PROD!$C$6:$D$506,2,0),"")))</f>
        <v/>
      </c>
      <c r="H190" s="94" t="str">
        <f t="shared" si="2"/>
        <v/>
      </c>
    </row>
    <row r="191" spans="2:8" ht="36" customHeight="1">
      <c r="B191" s="52">
        <f>IF(E191=TOP_CONC!$D$5,B190+1,B190)</f>
        <v>2</v>
      </c>
      <c r="C191" s="92"/>
      <c r="D191" s="92"/>
      <c r="E191" s="92"/>
      <c r="F191" s="111"/>
      <c r="G191" s="110" t="str">
        <f>IF(ISERROR(
IF(C191="","",IFERROR(VLOOKUP(E191,CAD_PROD!$C$6:$D$506,2,0),""))),"",IF(C191="","",IFERROR(VLOOKUP(E191,CAD_PROD!$C$6:$D$506,2,0),"")))</f>
        <v/>
      </c>
      <c r="H191" s="94" t="str">
        <f t="shared" si="2"/>
        <v/>
      </c>
    </row>
    <row r="192" spans="2:8" ht="36" customHeight="1">
      <c r="B192" s="52">
        <f>IF(E192=TOP_CONC!$D$5,B191+1,B191)</f>
        <v>2</v>
      </c>
      <c r="C192" s="92"/>
      <c r="D192" s="92"/>
      <c r="E192" s="92"/>
      <c r="F192" s="111"/>
      <c r="G192" s="110" t="str">
        <f>IF(ISERROR(
IF(C192="","",IFERROR(VLOOKUP(E192,CAD_PROD!$C$6:$D$506,2,0),""))),"",IF(C192="","",IFERROR(VLOOKUP(E192,CAD_PROD!$C$6:$D$506,2,0),"")))</f>
        <v/>
      </c>
      <c r="H192" s="94" t="str">
        <f t="shared" si="2"/>
        <v/>
      </c>
    </row>
    <row r="193" spans="2:8" ht="36" customHeight="1">
      <c r="B193" s="52">
        <f>IF(E193=TOP_CONC!$D$5,B192+1,B192)</f>
        <v>2</v>
      </c>
      <c r="C193" s="92"/>
      <c r="D193" s="92"/>
      <c r="E193" s="92"/>
      <c r="F193" s="111"/>
      <c r="G193" s="110" t="str">
        <f>IF(ISERROR(
IF(C193="","",IFERROR(VLOOKUP(E193,CAD_PROD!$C$6:$D$506,2,0),""))),"",IF(C193="","",IFERROR(VLOOKUP(E193,CAD_PROD!$C$6:$D$506,2,0),"")))</f>
        <v/>
      </c>
      <c r="H193" s="94" t="str">
        <f t="shared" si="2"/>
        <v/>
      </c>
    </row>
    <row r="194" spans="2:8" ht="36" customHeight="1">
      <c r="B194" s="52">
        <f>IF(E194=TOP_CONC!$D$5,B193+1,B193)</f>
        <v>2</v>
      </c>
      <c r="C194" s="92"/>
      <c r="D194" s="92"/>
      <c r="E194" s="92"/>
      <c r="F194" s="111"/>
      <c r="G194" s="110" t="str">
        <f>IF(ISERROR(
IF(C194="","",IFERROR(VLOOKUP(E194,CAD_PROD!$C$6:$D$506,2,0),""))),"",IF(C194="","",IFERROR(VLOOKUP(E194,CAD_PROD!$C$6:$D$506,2,0),"")))</f>
        <v/>
      </c>
      <c r="H194" s="94" t="str">
        <f t="shared" si="2"/>
        <v/>
      </c>
    </row>
    <row r="195" spans="2:8" ht="36" customHeight="1">
      <c r="B195" s="52">
        <f>IF(E195=TOP_CONC!$D$5,B194+1,B194)</f>
        <v>2</v>
      </c>
      <c r="C195" s="92"/>
      <c r="D195" s="92"/>
      <c r="E195" s="92"/>
      <c r="F195" s="111"/>
      <c r="G195" s="110" t="str">
        <f>IF(ISERROR(
IF(C195="","",IFERROR(VLOOKUP(E195,CAD_PROD!$C$6:$D$506,2,0),""))),"",IF(C195="","",IFERROR(VLOOKUP(E195,CAD_PROD!$C$6:$D$506,2,0),"")))</f>
        <v/>
      </c>
      <c r="H195" s="94" t="str">
        <f t="shared" si="2"/>
        <v/>
      </c>
    </row>
    <row r="196" spans="2:8" ht="36" customHeight="1">
      <c r="B196" s="52">
        <f>IF(E196=TOP_CONC!$D$5,B195+1,B195)</f>
        <v>2</v>
      </c>
      <c r="C196" s="92"/>
      <c r="D196" s="92"/>
      <c r="E196" s="92"/>
      <c r="F196" s="111"/>
      <c r="G196" s="110" t="str">
        <f>IF(ISERROR(
IF(C196="","",IFERROR(VLOOKUP(E196,CAD_PROD!$C$6:$D$506,2,0),""))),"",IF(C196="","",IFERROR(VLOOKUP(E196,CAD_PROD!$C$6:$D$506,2,0),"")))</f>
        <v/>
      </c>
      <c r="H196" s="94" t="str">
        <f t="shared" si="2"/>
        <v/>
      </c>
    </row>
    <row r="197" spans="2:8" ht="36" customHeight="1">
      <c r="B197" s="52">
        <f>IF(E197=TOP_CONC!$D$5,B196+1,B196)</f>
        <v>2</v>
      </c>
      <c r="C197" s="92"/>
      <c r="D197" s="92"/>
      <c r="E197" s="92"/>
      <c r="F197" s="111"/>
      <c r="G197" s="110" t="str">
        <f>IF(ISERROR(
IF(C197="","",IFERROR(VLOOKUP(E197,CAD_PROD!$C$6:$D$506,2,0),""))),"",IF(C197="","",IFERROR(VLOOKUP(E197,CAD_PROD!$C$6:$D$506,2,0),"")))</f>
        <v/>
      </c>
      <c r="H197" s="94" t="str">
        <f t="shared" si="2"/>
        <v/>
      </c>
    </row>
    <row r="198" spans="2:8" ht="36" customHeight="1">
      <c r="B198" s="52">
        <f>IF(E198=TOP_CONC!$D$5,B197+1,B197)</f>
        <v>2</v>
      </c>
      <c r="C198" s="92"/>
      <c r="D198" s="92"/>
      <c r="E198" s="92"/>
      <c r="F198" s="111"/>
      <c r="G198" s="110" t="str">
        <f>IF(ISERROR(
IF(C198="","",IFERROR(VLOOKUP(E198,CAD_PROD!$C$6:$D$506,2,0),""))),"",IF(C198="","",IFERROR(VLOOKUP(E198,CAD_PROD!$C$6:$D$506,2,0),"")))</f>
        <v/>
      </c>
      <c r="H198" s="94" t="str">
        <f t="shared" si="2"/>
        <v/>
      </c>
    </row>
    <row r="199" spans="2:8" ht="36" customHeight="1">
      <c r="B199" s="52">
        <f>IF(E199=TOP_CONC!$D$5,B198+1,B198)</f>
        <v>2</v>
      </c>
      <c r="C199" s="92"/>
      <c r="D199" s="92"/>
      <c r="E199" s="92"/>
      <c r="F199" s="111"/>
      <c r="G199" s="110" t="str">
        <f>IF(ISERROR(
IF(C199="","",IFERROR(VLOOKUP(E199,CAD_PROD!$C$6:$D$506,2,0),""))),"",IF(C199="","",IFERROR(VLOOKUP(E199,CAD_PROD!$C$6:$D$506,2,0),"")))</f>
        <v/>
      </c>
      <c r="H199" s="94" t="str">
        <f t="shared" ref="H199:H262" si="3">IF(ISERROR(
IF(C199="","",
IF(F199&lt;G199,"Seu preço está acima do seu concorrente. Você precisa encontrar meios como qualidade, localização, etc, para justificar esta diferença.",IF(F199&gt;G199,"Seu preço está abaixo do seu concorrente. Mas ele se posiciona pelo(a) "&amp;D199&amp;". Fique atento sobre este detalhe, pois preço baixo não é garantia de sucesso.","Seu preço está igual ao do seu concorrente. Ele se posiciona pela "&amp;D199&amp;". Se você conseguir se posicionar melhor que ele nesse atributo, poderá estar em vantagem.")))),"",
IF(C199="","",
IF(F199&lt;G199,"Seu preço está acima do seu concorrente. Você precisa encontrar meios como qualidade, localização, etc, para justificar esta diferença.",IF(F199&gt;G199,"Seu preço está abaixo do seu concorrente. Mas ele se posiciona pelo(a) "&amp;D199&amp;". Fique atento sobre este detalhe, pois preço baixo não é garantia de sucesso.","Seu preço está igual ao do seu concorrente. Ele se posiciona pela "&amp;D199&amp;". Se você conseguir se posicionar melhor que ele nesse atributo, poderá estar em vantagem."))))</f>
        <v/>
      </c>
    </row>
    <row r="200" spans="2:8" ht="36" customHeight="1">
      <c r="B200" s="52">
        <f>IF(E200=TOP_CONC!$D$5,B199+1,B199)</f>
        <v>2</v>
      </c>
      <c r="C200" s="92"/>
      <c r="D200" s="92"/>
      <c r="E200" s="92"/>
      <c r="F200" s="111"/>
      <c r="G200" s="110" t="str">
        <f>IF(ISERROR(
IF(C200="","",IFERROR(VLOOKUP(E200,CAD_PROD!$C$6:$D$506,2,0),""))),"",IF(C200="","",IFERROR(VLOOKUP(E200,CAD_PROD!$C$6:$D$506,2,0),"")))</f>
        <v/>
      </c>
      <c r="H200" s="94" t="str">
        <f t="shared" si="3"/>
        <v/>
      </c>
    </row>
    <row r="201" spans="2:8" ht="36" customHeight="1">
      <c r="B201" s="52">
        <f>IF(E201=TOP_CONC!$D$5,B200+1,B200)</f>
        <v>2</v>
      </c>
      <c r="C201" s="92"/>
      <c r="D201" s="92"/>
      <c r="E201" s="92"/>
      <c r="F201" s="111"/>
      <c r="G201" s="110" t="str">
        <f>IF(ISERROR(
IF(C201="","",IFERROR(VLOOKUP(E201,CAD_PROD!$C$6:$D$506,2,0),""))),"",IF(C201="","",IFERROR(VLOOKUP(E201,CAD_PROD!$C$6:$D$506,2,0),"")))</f>
        <v/>
      </c>
      <c r="H201" s="94" t="str">
        <f t="shared" si="3"/>
        <v/>
      </c>
    </row>
    <row r="202" spans="2:8" ht="36" customHeight="1">
      <c r="B202" s="52">
        <f>IF(E202=TOP_CONC!$D$5,B201+1,B201)</f>
        <v>2</v>
      </c>
      <c r="C202" s="92"/>
      <c r="D202" s="92"/>
      <c r="E202" s="92"/>
      <c r="F202" s="111"/>
      <c r="G202" s="110" t="str">
        <f>IF(ISERROR(
IF(C202="","",IFERROR(VLOOKUP(E202,CAD_PROD!$C$6:$D$506,2,0),""))),"",IF(C202="","",IFERROR(VLOOKUP(E202,CAD_PROD!$C$6:$D$506,2,0),"")))</f>
        <v/>
      </c>
      <c r="H202" s="94" t="str">
        <f t="shared" si="3"/>
        <v/>
      </c>
    </row>
    <row r="203" spans="2:8" ht="36" customHeight="1">
      <c r="B203" s="52">
        <f>IF(E203=TOP_CONC!$D$5,B202+1,B202)</f>
        <v>2</v>
      </c>
      <c r="C203" s="92"/>
      <c r="D203" s="92"/>
      <c r="E203" s="92"/>
      <c r="F203" s="111"/>
      <c r="G203" s="110" t="str">
        <f>IF(ISERROR(
IF(C203="","",IFERROR(VLOOKUP(E203,CAD_PROD!$C$6:$D$506,2,0),""))),"",IF(C203="","",IFERROR(VLOOKUP(E203,CAD_PROD!$C$6:$D$506,2,0),"")))</f>
        <v/>
      </c>
      <c r="H203" s="94" t="str">
        <f t="shared" si="3"/>
        <v/>
      </c>
    </row>
    <row r="204" spans="2:8" ht="36" customHeight="1">
      <c r="B204" s="52">
        <f>IF(E204=TOP_CONC!$D$5,B203+1,B203)</f>
        <v>2</v>
      </c>
      <c r="C204" s="92"/>
      <c r="D204" s="92"/>
      <c r="E204" s="92"/>
      <c r="F204" s="111"/>
      <c r="G204" s="110" t="str">
        <f>IF(ISERROR(
IF(C204="","",IFERROR(VLOOKUP(E204,CAD_PROD!$C$6:$D$506,2,0),""))),"",IF(C204="","",IFERROR(VLOOKUP(E204,CAD_PROD!$C$6:$D$506,2,0),"")))</f>
        <v/>
      </c>
      <c r="H204" s="94" t="str">
        <f t="shared" si="3"/>
        <v/>
      </c>
    </row>
    <row r="205" spans="2:8" ht="36" customHeight="1">
      <c r="B205" s="52">
        <f>IF(E205=TOP_CONC!$D$5,B204+1,B204)</f>
        <v>2</v>
      </c>
      <c r="C205" s="92"/>
      <c r="D205" s="92"/>
      <c r="E205" s="92"/>
      <c r="F205" s="111"/>
      <c r="G205" s="110" t="str">
        <f>IF(ISERROR(
IF(C205="","",IFERROR(VLOOKUP(E205,CAD_PROD!$C$6:$D$506,2,0),""))),"",IF(C205="","",IFERROR(VLOOKUP(E205,CAD_PROD!$C$6:$D$506,2,0),"")))</f>
        <v/>
      </c>
      <c r="H205" s="94" t="str">
        <f t="shared" si="3"/>
        <v/>
      </c>
    </row>
    <row r="206" spans="2:8" ht="36" customHeight="1">
      <c r="B206" s="52">
        <f>IF(E206=TOP_CONC!$D$5,B205+1,B205)</f>
        <v>2</v>
      </c>
      <c r="C206" s="92"/>
      <c r="D206" s="92"/>
      <c r="E206" s="92"/>
      <c r="F206" s="111"/>
      <c r="G206" s="110" t="str">
        <f>IF(ISERROR(
IF(C206="","",IFERROR(VLOOKUP(E206,CAD_PROD!$C$6:$D$506,2,0),""))),"",IF(C206="","",IFERROR(VLOOKUP(E206,CAD_PROD!$C$6:$D$506,2,0),"")))</f>
        <v/>
      </c>
      <c r="H206" s="94" t="str">
        <f t="shared" si="3"/>
        <v/>
      </c>
    </row>
    <row r="207" spans="2:8" ht="36" customHeight="1">
      <c r="B207" s="52">
        <f>IF(E207=TOP_CONC!$D$5,B206+1,B206)</f>
        <v>2</v>
      </c>
      <c r="C207" s="92"/>
      <c r="D207" s="92"/>
      <c r="E207" s="92"/>
      <c r="F207" s="111"/>
      <c r="G207" s="110" t="str">
        <f>IF(ISERROR(
IF(C207="","",IFERROR(VLOOKUP(E207,CAD_PROD!$C$6:$D$506,2,0),""))),"",IF(C207="","",IFERROR(VLOOKUP(E207,CAD_PROD!$C$6:$D$506,2,0),"")))</f>
        <v/>
      </c>
      <c r="H207" s="94" t="str">
        <f t="shared" si="3"/>
        <v/>
      </c>
    </row>
    <row r="208" spans="2:8" ht="36" customHeight="1">
      <c r="B208" s="52">
        <f>IF(E208=TOP_CONC!$D$5,B207+1,B207)</f>
        <v>2</v>
      </c>
      <c r="C208" s="92"/>
      <c r="D208" s="92"/>
      <c r="E208" s="92"/>
      <c r="F208" s="111"/>
      <c r="G208" s="110" t="str">
        <f>IF(ISERROR(
IF(C208="","",IFERROR(VLOOKUP(E208,CAD_PROD!$C$6:$D$506,2,0),""))),"",IF(C208="","",IFERROR(VLOOKUP(E208,CAD_PROD!$C$6:$D$506,2,0),"")))</f>
        <v/>
      </c>
      <c r="H208" s="94" t="str">
        <f t="shared" si="3"/>
        <v/>
      </c>
    </row>
    <row r="209" spans="2:8" ht="36" customHeight="1">
      <c r="B209" s="52">
        <f>IF(E209=TOP_CONC!$D$5,B208+1,B208)</f>
        <v>2</v>
      </c>
      <c r="C209" s="92"/>
      <c r="D209" s="92"/>
      <c r="E209" s="92"/>
      <c r="F209" s="111"/>
      <c r="G209" s="110" t="str">
        <f>IF(ISERROR(
IF(C209="","",IFERROR(VLOOKUP(E209,CAD_PROD!$C$6:$D$506,2,0),""))),"",IF(C209="","",IFERROR(VLOOKUP(E209,CAD_PROD!$C$6:$D$506,2,0),"")))</f>
        <v/>
      </c>
      <c r="H209" s="94" t="str">
        <f t="shared" si="3"/>
        <v/>
      </c>
    </row>
    <row r="210" spans="2:8" ht="36" customHeight="1">
      <c r="B210" s="52">
        <f>IF(E210=TOP_CONC!$D$5,B209+1,B209)</f>
        <v>2</v>
      </c>
      <c r="C210" s="92"/>
      <c r="D210" s="92"/>
      <c r="E210" s="92"/>
      <c r="F210" s="111"/>
      <c r="G210" s="110" t="str">
        <f>IF(ISERROR(
IF(C210="","",IFERROR(VLOOKUP(E210,CAD_PROD!$C$6:$D$506,2,0),""))),"",IF(C210="","",IFERROR(VLOOKUP(E210,CAD_PROD!$C$6:$D$506,2,0),"")))</f>
        <v/>
      </c>
      <c r="H210" s="94" t="str">
        <f t="shared" si="3"/>
        <v/>
      </c>
    </row>
    <row r="211" spans="2:8" ht="36" customHeight="1">
      <c r="B211" s="52">
        <f>IF(E211=TOP_CONC!$D$5,B210+1,B210)</f>
        <v>2</v>
      </c>
      <c r="C211" s="92"/>
      <c r="D211" s="92"/>
      <c r="E211" s="92"/>
      <c r="F211" s="111"/>
      <c r="G211" s="110" t="str">
        <f>IF(ISERROR(
IF(C211="","",IFERROR(VLOOKUP(E211,CAD_PROD!$C$6:$D$506,2,0),""))),"",IF(C211="","",IFERROR(VLOOKUP(E211,CAD_PROD!$C$6:$D$506,2,0),"")))</f>
        <v/>
      </c>
      <c r="H211" s="94" t="str">
        <f t="shared" si="3"/>
        <v/>
      </c>
    </row>
    <row r="212" spans="2:8" ht="36" customHeight="1">
      <c r="B212" s="52">
        <f>IF(E212=TOP_CONC!$D$5,B211+1,B211)</f>
        <v>2</v>
      </c>
      <c r="C212" s="92"/>
      <c r="D212" s="92"/>
      <c r="E212" s="92"/>
      <c r="F212" s="111"/>
      <c r="G212" s="110" t="str">
        <f>IF(ISERROR(
IF(C212="","",IFERROR(VLOOKUP(E212,CAD_PROD!$C$6:$D$506,2,0),""))),"",IF(C212="","",IFERROR(VLOOKUP(E212,CAD_PROD!$C$6:$D$506,2,0),"")))</f>
        <v/>
      </c>
      <c r="H212" s="94" t="str">
        <f t="shared" si="3"/>
        <v/>
      </c>
    </row>
    <row r="213" spans="2:8" ht="36" customHeight="1">
      <c r="B213" s="52">
        <f>IF(E213=TOP_CONC!$D$5,B212+1,B212)</f>
        <v>2</v>
      </c>
      <c r="C213" s="92"/>
      <c r="D213" s="92"/>
      <c r="E213" s="92"/>
      <c r="F213" s="111"/>
      <c r="G213" s="110" t="str">
        <f>IF(ISERROR(
IF(C213="","",IFERROR(VLOOKUP(E213,CAD_PROD!$C$6:$D$506,2,0),""))),"",IF(C213="","",IFERROR(VLOOKUP(E213,CAD_PROD!$C$6:$D$506,2,0),"")))</f>
        <v/>
      </c>
      <c r="H213" s="94" t="str">
        <f t="shared" si="3"/>
        <v/>
      </c>
    </row>
    <row r="214" spans="2:8" ht="36" customHeight="1">
      <c r="B214" s="52">
        <f>IF(E214=TOP_CONC!$D$5,B213+1,B213)</f>
        <v>2</v>
      </c>
      <c r="C214" s="92"/>
      <c r="D214" s="92"/>
      <c r="E214" s="92"/>
      <c r="F214" s="111"/>
      <c r="G214" s="110" t="str">
        <f>IF(ISERROR(
IF(C214="","",IFERROR(VLOOKUP(E214,CAD_PROD!$C$6:$D$506,2,0),""))),"",IF(C214="","",IFERROR(VLOOKUP(E214,CAD_PROD!$C$6:$D$506,2,0),"")))</f>
        <v/>
      </c>
      <c r="H214" s="94" t="str">
        <f t="shared" si="3"/>
        <v/>
      </c>
    </row>
    <row r="215" spans="2:8" ht="36" customHeight="1">
      <c r="B215" s="52">
        <f>IF(E215=TOP_CONC!$D$5,B214+1,B214)</f>
        <v>2</v>
      </c>
      <c r="C215" s="92"/>
      <c r="D215" s="92"/>
      <c r="E215" s="92"/>
      <c r="F215" s="111"/>
      <c r="G215" s="110" t="str">
        <f>IF(ISERROR(
IF(C215="","",IFERROR(VLOOKUP(E215,CAD_PROD!$C$6:$D$506,2,0),""))),"",IF(C215="","",IFERROR(VLOOKUP(E215,CAD_PROD!$C$6:$D$506,2,0),"")))</f>
        <v/>
      </c>
      <c r="H215" s="94" t="str">
        <f t="shared" si="3"/>
        <v/>
      </c>
    </row>
    <row r="216" spans="2:8" ht="36" customHeight="1">
      <c r="B216" s="52">
        <f>IF(E216=TOP_CONC!$D$5,B215+1,B215)</f>
        <v>2</v>
      </c>
      <c r="C216" s="92"/>
      <c r="D216" s="92"/>
      <c r="E216" s="92"/>
      <c r="F216" s="111"/>
      <c r="G216" s="110" t="str">
        <f>IF(ISERROR(
IF(C216="","",IFERROR(VLOOKUP(E216,CAD_PROD!$C$6:$D$506,2,0),""))),"",IF(C216="","",IFERROR(VLOOKUP(E216,CAD_PROD!$C$6:$D$506,2,0),"")))</f>
        <v/>
      </c>
      <c r="H216" s="94" t="str">
        <f t="shared" si="3"/>
        <v/>
      </c>
    </row>
    <row r="217" spans="2:8" ht="36" customHeight="1">
      <c r="B217" s="52">
        <f>IF(E217=TOP_CONC!$D$5,B216+1,B216)</f>
        <v>2</v>
      </c>
      <c r="C217" s="92"/>
      <c r="D217" s="92"/>
      <c r="E217" s="92"/>
      <c r="F217" s="111"/>
      <c r="G217" s="110" t="str">
        <f>IF(ISERROR(
IF(C217="","",IFERROR(VLOOKUP(E217,CAD_PROD!$C$6:$D$506,2,0),""))),"",IF(C217="","",IFERROR(VLOOKUP(E217,CAD_PROD!$C$6:$D$506,2,0),"")))</f>
        <v/>
      </c>
      <c r="H217" s="94" t="str">
        <f t="shared" si="3"/>
        <v/>
      </c>
    </row>
    <row r="218" spans="2:8" ht="36" customHeight="1">
      <c r="B218" s="52">
        <f>IF(E218=TOP_CONC!$D$5,B217+1,B217)</f>
        <v>2</v>
      </c>
      <c r="C218" s="92"/>
      <c r="D218" s="92"/>
      <c r="E218" s="92"/>
      <c r="F218" s="111"/>
      <c r="G218" s="110" t="str">
        <f>IF(ISERROR(
IF(C218="","",IFERROR(VLOOKUP(E218,CAD_PROD!$C$6:$D$506,2,0),""))),"",IF(C218="","",IFERROR(VLOOKUP(E218,CAD_PROD!$C$6:$D$506,2,0),"")))</f>
        <v/>
      </c>
      <c r="H218" s="94" t="str">
        <f t="shared" si="3"/>
        <v/>
      </c>
    </row>
    <row r="219" spans="2:8" ht="36" customHeight="1">
      <c r="B219" s="52">
        <f>IF(E219=TOP_CONC!$D$5,B218+1,B218)</f>
        <v>2</v>
      </c>
      <c r="C219" s="92"/>
      <c r="D219" s="92"/>
      <c r="E219" s="92"/>
      <c r="F219" s="111"/>
      <c r="G219" s="110" t="str">
        <f>IF(ISERROR(
IF(C219="","",IFERROR(VLOOKUP(E219,CAD_PROD!$C$6:$D$506,2,0),""))),"",IF(C219="","",IFERROR(VLOOKUP(E219,CAD_PROD!$C$6:$D$506,2,0),"")))</f>
        <v/>
      </c>
      <c r="H219" s="94" t="str">
        <f t="shared" si="3"/>
        <v/>
      </c>
    </row>
    <row r="220" spans="2:8" ht="36" customHeight="1">
      <c r="B220" s="52">
        <f>IF(E220=TOP_CONC!$D$5,B219+1,B219)</f>
        <v>2</v>
      </c>
      <c r="C220" s="92"/>
      <c r="D220" s="92"/>
      <c r="E220" s="92"/>
      <c r="F220" s="111"/>
      <c r="G220" s="110" t="str">
        <f>IF(ISERROR(
IF(C220="","",IFERROR(VLOOKUP(E220,CAD_PROD!$C$6:$D$506,2,0),""))),"",IF(C220="","",IFERROR(VLOOKUP(E220,CAD_PROD!$C$6:$D$506,2,0),"")))</f>
        <v/>
      </c>
      <c r="H220" s="94" t="str">
        <f t="shared" si="3"/>
        <v/>
      </c>
    </row>
    <row r="221" spans="2:8" ht="36" customHeight="1">
      <c r="B221" s="52">
        <f>IF(E221=TOP_CONC!$D$5,B220+1,B220)</f>
        <v>2</v>
      </c>
      <c r="C221" s="92"/>
      <c r="D221" s="92"/>
      <c r="E221" s="92"/>
      <c r="F221" s="111"/>
      <c r="G221" s="110" t="str">
        <f>IF(ISERROR(
IF(C221="","",IFERROR(VLOOKUP(E221,CAD_PROD!$C$6:$D$506,2,0),""))),"",IF(C221="","",IFERROR(VLOOKUP(E221,CAD_PROD!$C$6:$D$506,2,0),"")))</f>
        <v/>
      </c>
      <c r="H221" s="94" t="str">
        <f t="shared" si="3"/>
        <v/>
      </c>
    </row>
    <row r="222" spans="2:8" ht="36" customHeight="1">
      <c r="B222" s="52">
        <f>IF(E222=TOP_CONC!$D$5,B221+1,B221)</f>
        <v>2</v>
      </c>
      <c r="C222" s="92"/>
      <c r="D222" s="92"/>
      <c r="E222" s="92"/>
      <c r="F222" s="111"/>
      <c r="G222" s="110" t="str">
        <f>IF(ISERROR(
IF(C222="","",IFERROR(VLOOKUP(E222,CAD_PROD!$C$6:$D$506,2,0),""))),"",IF(C222="","",IFERROR(VLOOKUP(E222,CAD_PROD!$C$6:$D$506,2,0),"")))</f>
        <v/>
      </c>
      <c r="H222" s="94" t="str">
        <f t="shared" si="3"/>
        <v/>
      </c>
    </row>
    <row r="223" spans="2:8" ht="36" customHeight="1">
      <c r="B223" s="52">
        <f>IF(E223=TOP_CONC!$D$5,B222+1,B222)</f>
        <v>2</v>
      </c>
      <c r="C223" s="92"/>
      <c r="D223" s="92"/>
      <c r="E223" s="92"/>
      <c r="F223" s="111"/>
      <c r="G223" s="110" t="str">
        <f>IF(ISERROR(
IF(C223="","",IFERROR(VLOOKUP(E223,CAD_PROD!$C$6:$D$506,2,0),""))),"",IF(C223="","",IFERROR(VLOOKUP(E223,CAD_PROD!$C$6:$D$506,2,0),"")))</f>
        <v/>
      </c>
      <c r="H223" s="94" t="str">
        <f t="shared" si="3"/>
        <v/>
      </c>
    </row>
    <row r="224" spans="2:8" ht="36" customHeight="1">
      <c r="B224" s="52">
        <f>IF(E224=TOP_CONC!$D$5,B223+1,B223)</f>
        <v>2</v>
      </c>
      <c r="C224" s="92"/>
      <c r="D224" s="92"/>
      <c r="E224" s="92"/>
      <c r="F224" s="111"/>
      <c r="G224" s="110" t="str">
        <f>IF(ISERROR(
IF(C224="","",IFERROR(VLOOKUP(E224,CAD_PROD!$C$6:$D$506,2,0),""))),"",IF(C224="","",IFERROR(VLOOKUP(E224,CAD_PROD!$C$6:$D$506,2,0),"")))</f>
        <v/>
      </c>
      <c r="H224" s="94" t="str">
        <f t="shared" si="3"/>
        <v/>
      </c>
    </row>
    <row r="225" spans="2:8" ht="36" customHeight="1">
      <c r="B225" s="52">
        <f>IF(E225=TOP_CONC!$D$5,B224+1,B224)</f>
        <v>2</v>
      </c>
      <c r="C225" s="92"/>
      <c r="D225" s="92"/>
      <c r="E225" s="92"/>
      <c r="F225" s="111"/>
      <c r="G225" s="110" t="str">
        <f>IF(ISERROR(
IF(C225="","",IFERROR(VLOOKUP(E225,CAD_PROD!$C$6:$D$506,2,0),""))),"",IF(C225="","",IFERROR(VLOOKUP(E225,CAD_PROD!$C$6:$D$506,2,0),"")))</f>
        <v/>
      </c>
      <c r="H225" s="94" t="str">
        <f t="shared" si="3"/>
        <v/>
      </c>
    </row>
    <row r="226" spans="2:8" ht="36" customHeight="1">
      <c r="B226" s="52">
        <f>IF(E226=TOP_CONC!$D$5,B225+1,B225)</f>
        <v>2</v>
      </c>
      <c r="C226" s="92"/>
      <c r="D226" s="92"/>
      <c r="E226" s="92"/>
      <c r="F226" s="111"/>
      <c r="G226" s="110" t="str">
        <f>IF(ISERROR(
IF(C226="","",IFERROR(VLOOKUP(E226,CAD_PROD!$C$6:$D$506,2,0),""))),"",IF(C226="","",IFERROR(VLOOKUP(E226,CAD_PROD!$C$6:$D$506,2,0),"")))</f>
        <v/>
      </c>
      <c r="H226" s="94" t="str">
        <f t="shared" si="3"/>
        <v/>
      </c>
    </row>
    <row r="227" spans="2:8" ht="36" customHeight="1">
      <c r="B227" s="52">
        <f>IF(E227=TOP_CONC!$D$5,B226+1,B226)</f>
        <v>2</v>
      </c>
      <c r="C227" s="92"/>
      <c r="D227" s="92"/>
      <c r="E227" s="92"/>
      <c r="F227" s="111"/>
      <c r="G227" s="110" t="str">
        <f>IF(ISERROR(
IF(C227="","",IFERROR(VLOOKUP(E227,CAD_PROD!$C$6:$D$506,2,0),""))),"",IF(C227="","",IFERROR(VLOOKUP(E227,CAD_PROD!$C$6:$D$506,2,0),"")))</f>
        <v/>
      </c>
      <c r="H227" s="94" t="str">
        <f t="shared" si="3"/>
        <v/>
      </c>
    </row>
    <row r="228" spans="2:8" ht="36" customHeight="1">
      <c r="B228" s="52">
        <f>IF(E228=TOP_CONC!$D$5,B227+1,B227)</f>
        <v>2</v>
      </c>
      <c r="C228" s="92"/>
      <c r="D228" s="92"/>
      <c r="E228" s="92"/>
      <c r="F228" s="111"/>
      <c r="G228" s="110" t="str">
        <f>IF(ISERROR(
IF(C228="","",IFERROR(VLOOKUP(E228,CAD_PROD!$C$6:$D$506,2,0),""))),"",IF(C228="","",IFERROR(VLOOKUP(E228,CAD_PROD!$C$6:$D$506,2,0),"")))</f>
        <v/>
      </c>
      <c r="H228" s="94" t="str">
        <f t="shared" si="3"/>
        <v/>
      </c>
    </row>
    <row r="229" spans="2:8" ht="36" customHeight="1">
      <c r="B229" s="52">
        <f>IF(E229=TOP_CONC!$D$5,B228+1,B228)</f>
        <v>2</v>
      </c>
      <c r="C229" s="92"/>
      <c r="D229" s="92"/>
      <c r="E229" s="92"/>
      <c r="F229" s="111"/>
      <c r="G229" s="110" t="str">
        <f>IF(ISERROR(
IF(C229="","",IFERROR(VLOOKUP(E229,CAD_PROD!$C$6:$D$506,2,0),""))),"",IF(C229="","",IFERROR(VLOOKUP(E229,CAD_PROD!$C$6:$D$506,2,0),"")))</f>
        <v/>
      </c>
      <c r="H229" s="94" t="str">
        <f t="shared" si="3"/>
        <v/>
      </c>
    </row>
    <row r="230" spans="2:8" ht="36" customHeight="1">
      <c r="B230" s="52">
        <f>IF(E230=TOP_CONC!$D$5,B229+1,B229)</f>
        <v>2</v>
      </c>
      <c r="C230" s="92"/>
      <c r="D230" s="92"/>
      <c r="E230" s="92"/>
      <c r="F230" s="111"/>
      <c r="G230" s="110" t="str">
        <f>IF(ISERROR(
IF(C230="","",IFERROR(VLOOKUP(E230,CAD_PROD!$C$6:$D$506,2,0),""))),"",IF(C230="","",IFERROR(VLOOKUP(E230,CAD_PROD!$C$6:$D$506,2,0),"")))</f>
        <v/>
      </c>
      <c r="H230" s="94" t="str">
        <f t="shared" si="3"/>
        <v/>
      </c>
    </row>
    <row r="231" spans="2:8" ht="36" customHeight="1">
      <c r="B231" s="52">
        <f>IF(E231=TOP_CONC!$D$5,B230+1,B230)</f>
        <v>2</v>
      </c>
      <c r="C231" s="92"/>
      <c r="D231" s="92"/>
      <c r="E231" s="92"/>
      <c r="F231" s="111"/>
      <c r="G231" s="110" t="str">
        <f>IF(ISERROR(
IF(C231="","",IFERROR(VLOOKUP(E231,CAD_PROD!$C$6:$D$506,2,0),""))),"",IF(C231="","",IFERROR(VLOOKUP(E231,CAD_PROD!$C$6:$D$506,2,0),"")))</f>
        <v/>
      </c>
      <c r="H231" s="94" t="str">
        <f t="shared" si="3"/>
        <v/>
      </c>
    </row>
    <row r="232" spans="2:8" ht="36" customHeight="1">
      <c r="B232" s="52">
        <f>IF(E232=TOP_CONC!$D$5,B231+1,B231)</f>
        <v>2</v>
      </c>
      <c r="C232" s="92"/>
      <c r="D232" s="92"/>
      <c r="E232" s="92"/>
      <c r="F232" s="111"/>
      <c r="G232" s="110" t="str">
        <f>IF(ISERROR(
IF(C232="","",IFERROR(VLOOKUP(E232,CAD_PROD!$C$6:$D$506,2,0),""))),"",IF(C232="","",IFERROR(VLOOKUP(E232,CAD_PROD!$C$6:$D$506,2,0),"")))</f>
        <v/>
      </c>
      <c r="H232" s="94" t="str">
        <f t="shared" si="3"/>
        <v/>
      </c>
    </row>
    <row r="233" spans="2:8" ht="36" customHeight="1">
      <c r="B233" s="52">
        <f>IF(E233=TOP_CONC!$D$5,B232+1,B232)</f>
        <v>2</v>
      </c>
      <c r="C233" s="92"/>
      <c r="D233" s="92"/>
      <c r="E233" s="92"/>
      <c r="F233" s="111"/>
      <c r="G233" s="110" t="str">
        <f>IF(ISERROR(
IF(C233="","",IFERROR(VLOOKUP(E233,CAD_PROD!$C$6:$D$506,2,0),""))),"",IF(C233="","",IFERROR(VLOOKUP(E233,CAD_PROD!$C$6:$D$506,2,0),"")))</f>
        <v/>
      </c>
      <c r="H233" s="94" t="str">
        <f t="shared" si="3"/>
        <v/>
      </c>
    </row>
    <row r="234" spans="2:8" ht="36" customHeight="1">
      <c r="B234" s="52">
        <f>IF(E234=TOP_CONC!$D$5,B233+1,B233)</f>
        <v>2</v>
      </c>
      <c r="C234" s="92"/>
      <c r="D234" s="92"/>
      <c r="E234" s="92"/>
      <c r="F234" s="111"/>
      <c r="G234" s="110" t="str">
        <f>IF(ISERROR(
IF(C234="","",IFERROR(VLOOKUP(E234,CAD_PROD!$C$6:$D$506,2,0),""))),"",IF(C234="","",IFERROR(VLOOKUP(E234,CAD_PROD!$C$6:$D$506,2,0),"")))</f>
        <v/>
      </c>
      <c r="H234" s="94" t="str">
        <f t="shared" si="3"/>
        <v/>
      </c>
    </row>
    <row r="235" spans="2:8" ht="36" customHeight="1">
      <c r="B235" s="52">
        <f>IF(E235=TOP_CONC!$D$5,B234+1,B234)</f>
        <v>2</v>
      </c>
      <c r="C235" s="92"/>
      <c r="D235" s="92"/>
      <c r="E235" s="92"/>
      <c r="F235" s="111"/>
      <c r="G235" s="110" t="str">
        <f>IF(ISERROR(
IF(C235="","",IFERROR(VLOOKUP(E235,CAD_PROD!$C$6:$D$506,2,0),""))),"",IF(C235="","",IFERROR(VLOOKUP(E235,CAD_PROD!$C$6:$D$506,2,0),"")))</f>
        <v/>
      </c>
      <c r="H235" s="94" t="str">
        <f t="shared" si="3"/>
        <v/>
      </c>
    </row>
    <row r="236" spans="2:8" ht="36" customHeight="1">
      <c r="B236" s="52">
        <f>IF(E236=TOP_CONC!$D$5,B235+1,B235)</f>
        <v>2</v>
      </c>
      <c r="C236" s="92"/>
      <c r="D236" s="92"/>
      <c r="E236" s="92"/>
      <c r="F236" s="111"/>
      <c r="G236" s="110" t="str">
        <f>IF(ISERROR(
IF(C236="","",IFERROR(VLOOKUP(E236,CAD_PROD!$C$6:$D$506,2,0),""))),"",IF(C236="","",IFERROR(VLOOKUP(E236,CAD_PROD!$C$6:$D$506,2,0),"")))</f>
        <v/>
      </c>
      <c r="H236" s="94" t="str">
        <f t="shared" si="3"/>
        <v/>
      </c>
    </row>
    <row r="237" spans="2:8" ht="36" customHeight="1">
      <c r="B237" s="52">
        <f>IF(E237=TOP_CONC!$D$5,B236+1,B236)</f>
        <v>2</v>
      </c>
      <c r="C237" s="92"/>
      <c r="D237" s="92"/>
      <c r="E237" s="92"/>
      <c r="F237" s="111"/>
      <c r="G237" s="110" t="str">
        <f>IF(ISERROR(
IF(C237="","",IFERROR(VLOOKUP(E237,CAD_PROD!$C$6:$D$506,2,0),""))),"",IF(C237="","",IFERROR(VLOOKUP(E237,CAD_PROD!$C$6:$D$506,2,0),"")))</f>
        <v/>
      </c>
      <c r="H237" s="94" t="str">
        <f t="shared" si="3"/>
        <v/>
      </c>
    </row>
    <row r="238" spans="2:8" ht="36" customHeight="1">
      <c r="B238" s="52">
        <f>IF(E238=TOP_CONC!$D$5,B237+1,B237)</f>
        <v>2</v>
      </c>
      <c r="C238" s="92"/>
      <c r="D238" s="92"/>
      <c r="E238" s="92"/>
      <c r="F238" s="111"/>
      <c r="G238" s="110" t="str">
        <f>IF(ISERROR(
IF(C238="","",IFERROR(VLOOKUP(E238,CAD_PROD!$C$6:$D$506,2,0),""))),"",IF(C238="","",IFERROR(VLOOKUP(E238,CAD_PROD!$C$6:$D$506,2,0),"")))</f>
        <v/>
      </c>
      <c r="H238" s="94" t="str">
        <f t="shared" si="3"/>
        <v/>
      </c>
    </row>
    <row r="239" spans="2:8" ht="36" customHeight="1">
      <c r="B239" s="52">
        <f>IF(E239=TOP_CONC!$D$5,B238+1,B238)</f>
        <v>2</v>
      </c>
      <c r="C239" s="92"/>
      <c r="D239" s="92"/>
      <c r="E239" s="92"/>
      <c r="F239" s="111"/>
      <c r="G239" s="110" t="str">
        <f>IF(ISERROR(
IF(C239="","",IFERROR(VLOOKUP(E239,CAD_PROD!$C$6:$D$506,2,0),""))),"",IF(C239="","",IFERROR(VLOOKUP(E239,CAD_PROD!$C$6:$D$506,2,0),"")))</f>
        <v/>
      </c>
      <c r="H239" s="94" t="str">
        <f t="shared" si="3"/>
        <v/>
      </c>
    </row>
    <row r="240" spans="2:8" ht="36" customHeight="1">
      <c r="B240" s="52">
        <f>IF(E240=TOP_CONC!$D$5,B239+1,B239)</f>
        <v>2</v>
      </c>
      <c r="C240" s="92"/>
      <c r="D240" s="92"/>
      <c r="E240" s="92"/>
      <c r="F240" s="111"/>
      <c r="G240" s="110" t="str">
        <f>IF(ISERROR(
IF(C240="","",IFERROR(VLOOKUP(E240,CAD_PROD!$C$6:$D$506,2,0),""))),"",IF(C240="","",IFERROR(VLOOKUP(E240,CAD_PROD!$C$6:$D$506,2,0),"")))</f>
        <v/>
      </c>
      <c r="H240" s="94" t="str">
        <f t="shared" si="3"/>
        <v/>
      </c>
    </row>
    <row r="241" spans="2:8" ht="36" customHeight="1">
      <c r="B241" s="52">
        <f>IF(E241=TOP_CONC!$D$5,B240+1,B240)</f>
        <v>2</v>
      </c>
      <c r="C241" s="92"/>
      <c r="D241" s="92"/>
      <c r="E241" s="92"/>
      <c r="F241" s="111"/>
      <c r="G241" s="110" t="str">
        <f>IF(ISERROR(
IF(C241="","",IFERROR(VLOOKUP(E241,CAD_PROD!$C$6:$D$506,2,0),""))),"",IF(C241="","",IFERROR(VLOOKUP(E241,CAD_PROD!$C$6:$D$506,2,0),"")))</f>
        <v/>
      </c>
      <c r="H241" s="94" t="str">
        <f t="shared" si="3"/>
        <v/>
      </c>
    </row>
    <row r="242" spans="2:8" ht="36" customHeight="1">
      <c r="B242" s="52">
        <f>IF(E242=TOP_CONC!$D$5,B241+1,B241)</f>
        <v>2</v>
      </c>
      <c r="C242" s="92"/>
      <c r="D242" s="92"/>
      <c r="E242" s="92"/>
      <c r="F242" s="111"/>
      <c r="G242" s="110" t="str">
        <f>IF(ISERROR(
IF(C242="","",IFERROR(VLOOKUP(E242,CAD_PROD!$C$6:$D$506,2,0),""))),"",IF(C242="","",IFERROR(VLOOKUP(E242,CAD_PROD!$C$6:$D$506,2,0),"")))</f>
        <v/>
      </c>
      <c r="H242" s="94" t="str">
        <f t="shared" si="3"/>
        <v/>
      </c>
    </row>
    <row r="243" spans="2:8" ht="36" customHeight="1">
      <c r="B243" s="52">
        <f>IF(E243=TOP_CONC!$D$5,B242+1,B242)</f>
        <v>2</v>
      </c>
      <c r="C243" s="92"/>
      <c r="D243" s="92"/>
      <c r="E243" s="92"/>
      <c r="F243" s="111"/>
      <c r="G243" s="110" t="str">
        <f>IF(ISERROR(
IF(C243="","",IFERROR(VLOOKUP(E243,CAD_PROD!$C$6:$D$506,2,0),""))),"",IF(C243="","",IFERROR(VLOOKUP(E243,CAD_PROD!$C$6:$D$506,2,0),"")))</f>
        <v/>
      </c>
      <c r="H243" s="94" t="str">
        <f t="shared" si="3"/>
        <v/>
      </c>
    </row>
    <row r="244" spans="2:8" ht="36" customHeight="1">
      <c r="B244" s="52">
        <f>IF(E244=TOP_CONC!$D$5,B243+1,B243)</f>
        <v>2</v>
      </c>
      <c r="C244" s="92"/>
      <c r="D244" s="92"/>
      <c r="E244" s="92"/>
      <c r="F244" s="111"/>
      <c r="G244" s="110" t="str">
        <f>IF(ISERROR(
IF(C244="","",IFERROR(VLOOKUP(E244,CAD_PROD!$C$6:$D$506,2,0),""))),"",IF(C244="","",IFERROR(VLOOKUP(E244,CAD_PROD!$C$6:$D$506,2,0),"")))</f>
        <v/>
      </c>
      <c r="H244" s="94" t="str">
        <f t="shared" si="3"/>
        <v/>
      </c>
    </row>
    <row r="245" spans="2:8" ht="36" customHeight="1">
      <c r="B245" s="52">
        <f>IF(E245=TOP_CONC!$D$5,B244+1,B244)</f>
        <v>2</v>
      </c>
      <c r="C245" s="92"/>
      <c r="D245" s="92"/>
      <c r="E245" s="92"/>
      <c r="F245" s="111"/>
      <c r="G245" s="110" t="str">
        <f>IF(ISERROR(
IF(C245="","",IFERROR(VLOOKUP(E245,CAD_PROD!$C$6:$D$506,2,0),""))),"",IF(C245="","",IFERROR(VLOOKUP(E245,CAD_PROD!$C$6:$D$506,2,0),"")))</f>
        <v/>
      </c>
      <c r="H245" s="94" t="str">
        <f t="shared" si="3"/>
        <v/>
      </c>
    </row>
    <row r="246" spans="2:8" ht="36" customHeight="1">
      <c r="B246" s="52">
        <f>IF(E246=TOP_CONC!$D$5,B245+1,B245)</f>
        <v>2</v>
      </c>
      <c r="C246" s="92"/>
      <c r="D246" s="92"/>
      <c r="E246" s="92"/>
      <c r="F246" s="111"/>
      <c r="G246" s="110" t="str">
        <f>IF(ISERROR(
IF(C246="","",IFERROR(VLOOKUP(E246,CAD_PROD!$C$6:$D$506,2,0),""))),"",IF(C246="","",IFERROR(VLOOKUP(E246,CAD_PROD!$C$6:$D$506,2,0),"")))</f>
        <v/>
      </c>
      <c r="H246" s="94" t="str">
        <f t="shared" si="3"/>
        <v/>
      </c>
    </row>
    <row r="247" spans="2:8" ht="36" customHeight="1">
      <c r="B247" s="52">
        <f>IF(E247=TOP_CONC!$D$5,B246+1,B246)</f>
        <v>2</v>
      </c>
      <c r="C247" s="92"/>
      <c r="D247" s="92"/>
      <c r="E247" s="92"/>
      <c r="F247" s="111"/>
      <c r="G247" s="110" t="str">
        <f>IF(ISERROR(
IF(C247="","",IFERROR(VLOOKUP(E247,CAD_PROD!$C$6:$D$506,2,0),""))),"",IF(C247="","",IFERROR(VLOOKUP(E247,CAD_PROD!$C$6:$D$506,2,0),"")))</f>
        <v/>
      </c>
      <c r="H247" s="94" t="str">
        <f t="shared" si="3"/>
        <v/>
      </c>
    </row>
    <row r="248" spans="2:8" ht="36" customHeight="1">
      <c r="B248" s="52">
        <f>IF(E248=TOP_CONC!$D$5,B247+1,B247)</f>
        <v>2</v>
      </c>
      <c r="C248" s="92"/>
      <c r="D248" s="92"/>
      <c r="E248" s="92"/>
      <c r="F248" s="111"/>
      <c r="G248" s="110" t="str">
        <f>IF(ISERROR(
IF(C248="","",IFERROR(VLOOKUP(E248,CAD_PROD!$C$6:$D$506,2,0),""))),"",IF(C248="","",IFERROR(VLOOKUP(E248,CAD_PROD!$C$6:$D$506,2,0),"")))</f>
        <v/>
      </c>
      <c r="H248" s="94" t="str">
        <f t="shared" si="3"/>
        <v/>
      </c>
    </row>
    <row r="249" spans="2:8" ht="36" customHeight="1">
      <c r="B249" s="52">
        <f>IF(E249=TOP_CONC!$D$5,B248+1,B248)</f>
        <v>2</v>
      </c>
      <c r="C249" s="92"/>
      <c r="D249" s="92"/>
      <c r="E249" s="92"/>
      <c r="F249" s="111"/>
      <c r="G249" s="110" t="str">
        <f>IF(ISERROR(
IF(C249="","",IFERROR(VLOOKUP(E249,CAD_PROD!$C$6:$D$506,2,0),""))),"",IF(C249="","",IFERROR(VLOOKUP(E249,CAD_PROD!$C$6:$D$506,2,0),"")))</f>
        <v/>
      </c>
      <c r="H249" s="94" t="str">
        <f t="shared" si="3"/>
        <v/>
      </c>
    </row>
    <row r="250" spans="2:8" ht="36" customHeight="1">
      <c r="B250" s="52">
        <f>IF(E250=TOP_CONC!$D$5,B249+1,B249)</f>
        <v>2</v>
      </c>
      <c r="C250" s="92"/>
      <c r="D250" s="92"/>
      <c r="E250" s="92"/>
      <c r="F250" s="111"/>
      <c r="G250" s="110" t="str">
        <f>IF(ISERROR(
IF(C250="","",IFERROR(VLOOKUP(E250,CAD_PROD!$C$6:$D$506,2,0),""))),"",IF(C250="","",IFERROR(VLOOKUP(E250,CAD_PROD!$C$6:$D$506,2,0),"")))</f>
        <v/>
      </c>
      <c r="H250" s="94" t="str">
        <f t="shared" si="3"/>
        <v/>
      </c>
    </row>
    <row r="251" spans="2:8" ht="36" customHeight="1">
      <c r="B251" s="52">
        <f>IF(E251=TOP_CONC!$D$5,B250+1,B250)</f>
        <v>2</v>
      </c>
      <c r="C251" s="92"/>
      <c r="D251" s="92"/>
      <c r="E251" s="92"/>
      <c r="F251" s="111"/>
      <c r="G251" s="110" t="str">
        <f>IF(ISERROR(
IF(C251="","",IFERROR(VLOOKUP(E251,CAD_PROD!$C$6:$D$506,2,0),""))),"",IF(C251="","",IFERROR(VLOOKUP(E251,CAD_PROD!$C$6:$D$506,2,0),"")))</f>
        <v/>
      </c>
      <c r="H251" s="94" t="str">
        <f t="shared" si="3"/>
        <v/>
      </c>
    </row>
    <row r="252" spans="2:8" ht="36" customHeight="1">
      <c r="B252" s="52">
        <f>IF(E252=TOP_CONC!$D$5,B251+1,B251)</f>
        <v>2</v>
      </c>
      <c r="C252" s="92"/>
      <c r="D252" s="92"/>
      <c r="E252" s="92"/>
      <c r="F252" s="111"/>
      <c r="G252" s="110" t="str">
        <f>IF(ISERROR(
IF(C252="","",IFERROR(VLOOKUP(E252,CAD_PROD!$C$6:$D$506,2,0),""))),"",IF(C252="","",IFERROR(VLOOKUP(E252,CAD_PROD!$C$6:$D$506,2,0),"")))</f>
        <v/>
      </c>
      <c r="H252" s="94" t="str">
        <f t="shared" si="3"/>
        <v/>
      </c>
    </row>
    <row r="253" spans="2:8" ht="36" customHeight="1">
      <c r="B253" s="52">
        <f>IF(E253=TOP_CONC!$D$5,B252+1,B252)</f>
        <v>2</v>
      </c>
      <c r="C253" s="92"/>
      <c r="D253" s="92"/>
      <c r="E253" s="92"/>
      <c r="F253" s="111"/>
      <c r="G253" s="110" t="str">
        <f>IF(ISERROR(
IF(C253="","",IFERROR(VLOOKUP(E253,CAD_PROD!$C$6:$D$506,2,0),""))),"",IF(C253="","",IFERROR(VLOOKUP(E253,CAD_PROD!$C$6:$D$506,2,0),"")))</f>
        <v/>
      </c>
      <c r="H253" s="94" t="str">
        <f t="shared" si="3"/>
        <v/>
      </c>
    </row>
    <row r="254" spans="2:8" ht="36" customHeight="1">
      <c r="B254" s="52">
        <f>IF(E254=TOP_CONC!$D$5,B253+1,B253)</f>
        <v>2</v>
      </c>
      <c r="C254" s="92"/>
      <c r="D254" s="92"/>
      <c r="E254" s="92"/>
      <c r="F254" s="111"/>
      <c r="G254" s="110" t="str">
        <f>IF(ISERROR(
IF(C254="","",IFERROR(VLOOKUP(E254,CAD_PROD!$C$6:$D$506,2,0),""))),"",IF(C254="","",IFERROR(VLOOKUP(E254,CAD_PROD!$C$6:$D$506,2,0),"")))</f>
        <v/>
      </c>
      <c r="H254" s="94" t="str">
        <f t="shared" si="3"/>
        <v/>
      </c>
    </row>
    <row r="255" spans="2:8" ht="36" customHeight="1">
      <c r="B255" s="52">
        <f>IF(E255=TOP_CONC!$D$5,B254+1,B254)</f>
        <v>2</v>
      </c>
      <c r="C255" s="92"/>
      <c r="D255" s="92"/>
      <c r="E255" s="92"/>
      <c r="F255" s="111"/>
      <c r="G255" s="110" t="str">
        <f>IF(ISERROR(
IF(C255="","",IFERROR(VLOOKUP(E255,CAD_PROD!$C$6:$D$506,2,0),""))),"",IF(C255="","",IFERROR(VLOOKUP(E255,CAD_PROD!$C$6:$D$506,2,0),"")))</f>
        <v/>
      </c>
      <c r="H255" s="94" t="str">
        <f t="shared" si="3"/>
        <v/>
      </c>
    </row>
    <row r="256" spans="2:8" ht="36" customHeight="1">
      <c r="B256" s="52">
        <f>IF(E256=TOP_CONC!$D$5,B255+1,B255)</f>
        <v>2</v>
      </c>
      <c r="C256" s="92"/>
      <c r="D256" s="92"/>
      <c r="E256" s="92"/>
      <c r="F256" s="111"/>
      <c r="G256" s="110" t="str">
        <f>IF(ISERROR(
IF(C256="","",IFERROR(VLOOKUP(E256,CAD_PROD!$C$6:$D$506,2,0),""))),"",IF(C256="","",IFERROR(VLOOKUP(E256,CAD_PROD!$C$6:$D$506,2,0),"")))</f>
        <v/>
      </c>
      <c r="H256" s="94" t="str">
        <f t="shared" si="3"/>
        <v/>
      </c>
    </row>
    <row r="257" spans="2:8" ht="36" customHeight="1">
      <c r="B257" s="52">
        <f>IF(E257=TOP_CONC!$D$5,B256+1,B256)</f>
        <v>2</v>
      </c>
      <c r="C257" s="92"/>
      <c r="D257" s="92"/>
      <c r="E257" s="92"/>
      <c r="F257" s="111"/>
      <c r="G257" s="110" t="str">
        <f>IF(ISERROR(
IF(C257="","",IFERROR(VLOOKUP(E257,CAD_PROD!$C$6:$D$506,2,0),""))),"",IF(C257="","",IFERROR(VLOOKUP(E257,CAD_PROD!$C$6:$D$506,2,0),"")))</f>
        <v/>
      </c>
      <c r="H257" s="94" t="str">
        <f t="shared" si="3"/>
        <v/>
      </c>
    </row>
    <row r="258" spans="2:8" ht="36" customHeight="1">
      <c r="B258" s="52">
        <f>IF(E258=TOP_CONC!$D$5,B257+1,B257)</f>
        <v>2</v>
      </c>
      <c r="C258" s="92"/>
      <c r="D258" s="92"/>
      <c r="E258" s="92"/>
      <c r="F258" s="111"/>
      <c r="G258" s="110" t="str">
        <f>IF(ISERROR(
IF(C258="","",IFERROR(VLOOKUP(E258,CAD_PROD!$C$6:$D$506,2,0),""))),"",IF(C258="","",IFERROR(VLOOKUP(E258,CAD_PROD!$C$6:$D$506,2,0),"")))</f>
        <v/>
      </c>
      <c r="H258" s="94" t="str">
        <f t="shared" si="3"/>
        <v/>
      </c>
    </row>
    <row r="259" spans="2:8" ht="36" customHeight="1">
      <c r="B259" s="52">
        <f>IF(E259=TOP_CONC!$D$5,B258+1,B258)</f>
        <v>2</v>
      </c>
      <c r="C259" s="92"/>
      <c r="D259" s="92"/>
      <c r="E259" s="92"/>
      <c r="F259" s="111"/>
      <c r="G259" s="110" t="str">
        <f>IF(ISERROR(
IF(C259="","",IFERROR(VLOOKUP(E259,CAD_PROD!$C$6:$D$506,2,0),""))),"",IF(C259="","",IFERROR(VLOOKUP(E259,CAD_PROD!$C$6:$D$506,2,0),"")))</f>
        <v/>
      </c>
      <c r="H259" s="94" t="str">
        <f t="shared" si="3"/>
        <v/>
      </c>
    </row>
    <row r="260" spans="2:8" ht="36" customHeight="1">
      <c r="B260" s="52">
        <f>IF(E260=TOP_CONC!$D$5,B259+1,B259)</f>
        <v>2</v>
      </c>
      <c r="C260" s="92"/>
      <c r="D260" s="92"/>
      <c r="E260" s="92"/>
      <c r="F260" s="111"/>
      <c r="G260" s="110" t="str">
        <f>IF(ISERROR(
IF(C260="","",IFERROR(VLOOKUP(E260,CAD_PROD!$C$6:$D$506,2,0),""))),"",IF(C260="","",IFERROR(VLOOKUP(E260,CAD_PROD!$C$6:$D$506,2,0),"")))</f>
        <v/>
      </c>
      <c r="H260" s="94" t="str">
        <f t="shared" si="3"/>
        <v/>
      </c>
    </row>
    <row r="261" spans="2:8" ht="36" customHeight="1">
      <c r="B261" s="52">
        <f>IF(E261=TOP_CONC!$D$5,B260+1,B260)</f>
        <v>2</v>
      </c>
      <c r="C261" s="92"/>
      <c r="D261" s="92"/>
      <c r="E261" s="92"/>
      <c r="F261" s="111"/>
      <c r="G261" s="110" t="str">
        <f>IF(ISERROR(
IF(C261="","",IFERROR(VLOOKUP(E261,CAD_PROD!$C$6:$D$506,2,0),""))),"",IF(C261="","",IFERROR(VLOOKUP(E261,CAD_PROD!$C$6:$D$506,2,0),"")))</f>
        <v/>
      </c>
      <c r="H261" s="94" t="str">
        <f t="shared" si="3"/>
        <v/>
      </c>
    </row>
    <row r="262" spans="2:8" ht="36" customHeight="1">
      <c r="B262" s="52">
        <f>IF(E262=TOP_CONC!$D$5,B261+1,B261)</f>
        <v>2</v>
      </c>
      <c r="C262" s="92"/>
      <c r="D262" s="92"/>
      <c r="E262" s="92"/>
      <c r="F262" s="111"/>
      <c r="G262" s="110" t="str">
        <f>IF(ISERROR(
IF(C262="","",IFERROR(VLOOKUP(E262,CAD_PROD!$C$6:$D$506,2,0),""))),"",IF(C262="","",IFERROR(VLOOKUP(E262,CAD_PROD!$C$6:$D$506,2,0),"")))</f>
        <v/>
      </c>
      <c r="H262" s="94" t="str">
        <f t="shared" si="3"/>
        <v/>
      </c>
    </row>
    <row r="263" spans="2:8" ht="36" customHeight="1">
      <c r="B263" s="52">
        <f>IF(E263=TOP_CONC!$D$5,B262+1,B262)</f>
        <v>2</v>
      </c>
      <c r="C263" s="92"/>
      <c r="D263" s="92"/>
      <c r="E263" s="92"/>
      <c r="F263" s="111"/>
      <c r="G263" s="110" t="str">
        <f>IF(ISERROR(
IF(C263="","",IFERROR(VLOOKUP(E263,CAD_PROD!$C$6:$D$506,2,0),""))),"",IF(C263="","",IFERROR(VLOOKUP(E263,CAD_PROD!$C$6:$D$506,2,0),"")))</f>
        <v/>
      </c>
      <c r="H263" s="94" t="str">
        <f t="shared" ref="H263:H326" si="4">IF(ISERROR(
IF(C263="","",
IF(F263&lt;G263,"Seu preço está acima do seu concorrente. Você precisa encontrar meios como qualidade, localização, etc, para justificar esta diferença.",IF(F263&gt;G263,"Seu preço está abaixo do seu concorrente. Mas ele se posiciona pelo(a) "&amp;D263&amp;". Fique atento sobre este detalhe, pois preço baixo não é garantia de sucesso.","Seu preço está igual ao do seu concorrente. Ele se posiciona pela "&amp;D263&amp;". Se você conseguir se posicionar melhor que ele nesse atributo, poderá estar em vantagem.")))),"",
IF(C263="","",
IF(F263&lt;G263,"Seu preço está acima do seu concorrente. Você precisa encontrar meios como qualidade, localização, etc, para justificar esta diferença.",IF(F263&gt;G263,"Seu preço está abaixo do seu concorrente. Mas ele se posiciona pelo(a) "&amp;D263&amp;". Fique atento sobre este detalhe, pois preço baixo não é garantia de sucesso.","Seu preço está igual ao do seu concorrente. Ele se posiciona pela "&amp;D263&amp;". Se você conseguir se posicionar melhor que ele nesse atributo, poderá estar em vantagem."))))</f>
        <v/>
      </c>
    </row>
    <row r="264" spans="2:8" ht="36" customHeight="1">
      <c r="B264" s="52">
        <f>IF(E264=TOP_CONC!$D$5,B263+1,B263)</f>
        <v>2</v>
      </c>
      <c r="C264" s="92"/>
      <c r="D264" s="92"/>
      <c r="E264" s="92"/>
      <c r="F264" s="111"/>
      <c r="G264" s="110" t="str">
        <f>IF(ISERROR(
IF(C264="","",IFERROR(VLOOKUP(E264,CAD_PROD!$C$6:$D$506,2,0),""))),"",IF(C264="","",IFERROR(VLOOKUP(E264,CAD_PROD!$C$6:$D$506,2,0),"")))</f>
        <v/>
      </c>
      <c r="H264" s="94" t="str">
        <f t="shared" si="4"/>
        <v/>
      </c>
    </row>
    <row r="265" spans="2:8" ht="36" customHeight="1">
      <c r="B265" s="52">
        <f>IF(E265=TOP_CONC!$D$5,B264+1,B264)</f>
        <v>2</v>
      </c>
      <c r="C265" s="92"/>
      <c r="D265" s="92"/>
      <c r="E265" s="92"/>
      <c r="F265" s="111"/>
      <c r="G265" s="110" t="str">
        <f>IF(ISERROR(
IF(C265="","",IFERROR(VLOOKUP(E265,CAD_PROD!$C$6:$D$506,2,0),""))),"",IF(C265="","",IFERROR(VLOOKUP(E265,CAD_PROD!$C$6:$D$506,2,0),"")))</f>
        <v/>
      </c>
      <c r="H265" s="94" t="str">
        <f t="shared" si="4"/>
        <v/>
      </c>
    </row>
    <row r="266" spans="2:8" ht="36" customHeight="1">
      <c r="B266" s="52">
        <f>IF(E266=TOP_CONC!$D$5,B265+1,B265)</f>
        <v>2</v>
      </c>
      <c r="C266" s="92"/>
      <c r="D266" s="92"/>
      <c r="E266" s="92"/>
      <c r="F266" s="111"/>
      <c r="G266" s="110" t="str">
        <f>IF(ISERROR(
IF(C266="","",IFERROR(VLOOKUP(E266,CAD_PROD!$C$6:$D$506,2,0),""))),"",IF(C266="","",IFERROR(VLOOKUP(E266,CAD_PROD!$C$6:$D$506,2,0),"")))</f>
        <v/>
      </c>
      <c r="H266" s="94" t="str">
        <f t="shared" si="4"/>
        <v/>
      </c>
    </row>
    <row r="267" spans="2:8" ht="36" customHeight="1">
      <c r="B267" s="52">
        <f>IF(E267=TOP_CONC!$D$5,B266+1,B266)</f>
        <v>2</v>
      </c>
      <c r="C267" s="92"/>
      <c r="D267" s="92"/>
      <c r="E267" s="92"/>
      <c r="F267" s="111"/>
      <c r="G267" s="110" t="str">
        <f>IF(ISERROR(
IF(C267="","",IFERROR(VLOOKUP(E267,CAD_PROD!$C$6:$D$506,2,0),""))),"",IF(C267="","",IFERROR(VLOOKUP(E267,CAD_PROD!$C$6:$D$506,2,0),"")))</f>
        <v/>
      </c>
      <c r="H267" s="94" t="str">
        <f t="shared" si="4"/>
        <v/>
      </c>
    </row>
    <row r="268" spans="2:8" ht="36" customHeight="1">
      <c r="B268" s="52">
        <f>IF(E268=TOP_CONC!$D$5,B267+1,B267)</f>
        <v>2</v>
      </c>
      <c r="C268" s="92"/>
      <c r="D268" s="92"/>
      <c r="E268" s="92"/>
      <c r="F268" s="111"/>
      <c r="G268" s="110" t="str">
        <f>IF(ISERROR(
IF(C268="","",IFERROR(VLOOKUP(E268,CAD_PROD!$C$6:$D$506,2,0),""))),"",IF(C268="","",IFERROR(VLOOKUP(E268,CAD_PROD!$C$6:$D$506,2,0),"")))</f>
        <v/>
      </c>
      <c r="H268" s="94" t="str">
        <f t="shared" si="4"/>
        <v/>
      </c>
    </row>
    <row r="269" spans="2:8" ht="36" customHeight="1">
      <c r="B269" s="52">
        <f>IF(E269=TOP_CONC!$D$5,B268+1,B268)</f>
        <v>2</v>
      </c>
      <c r="C269" s="92"/>
      <c r="D269" s="92"/>
      <c r="E269" s="92"/>
      <c r="F269" s="111"/>
      <c r="G269" s="110" t="str">
        <f>IF(ISERROR(
IF(C269="","",IFERROR(VLOOKUP(E269,CAD_PROD!$C$6:$D$506,2,0),""))),"",IF(C269="","",IFERROR(VLOOKUP(E269,CAD_PROD!$C$6:$D$506,2,0),"")))</f>
        <v/>
      </c>
      <c r="H269" s="94" t="str">
        <f t="shared" si="4"/>
        <v/>
      </c>
    </row>
    <row r="270" spans="2:8" ht="36" customHeight="1">
      <c r="B270" s="52">
        <f>IF(E270=TOP_CONC!$D$5,B269+1,B269)</f>
        <v>2</v>
      </c>
      <c r="C270" s="92"/>
      <c r="D270" s="92"/>
      <c r="E270" s="92"/>
      <c r="F270" s="111"/>
      <c r="G270" s="110" t="str">
        <f>IF(ISERROR(
IF(C270="","",IFERROR(VLOOKUP(E270,CAD_PROD!$C$6:$D$506,2,0),""))),"",IF(C270="","",IFERROR(VLOOKUP(E270,CAD_PROD!$C$6:$D$506,2,0),"")))</f>
        <v/>
      </c>
      <c r="H270" s="94" t="str">
        <f t="shared" si="4"/>
        <v/>
      </c>
    </row>
    <row r="271" spans="2:8" ht="36" customHeight="1">
      <c r="B271" s="52">
        <f>IF(E271=TOP_CONC!$D$5,B270+1,B270)</f>
        <v>2</v>
      </c>
      <c r="C271" s="92"/>
      <c r="D271" s="92"/>
      <c r="E271" s="92"/>
      <c r="F271" s="111"/>
      <c r="G271" s="110" t="str">
        <f>IF(ISERROR(
IF(C271="","",IFERROR(VLOOKUP(E271,CAD_PROD!$C$6:$D$506,2,0),""))),"",IF(C271="","",IFERROR(VLOOKUP(E271,CAD_PROD!$C$6:$D$506,2,0),"")))</f>
        <v/>
      </c>
      <c r="H271" s="94" t="str">
        <f t="shared" si="4"/>
        <v/>
      </c>
    </row>
    <row r="272" spans="2:8" ht="36" customHeight="1">
      <c r="B272" s="52">
        <f>IF(E272=TOP_CONC!$D$5,B271+1,B271)</f>
        <v>2</v>
      </c>
      <c r="C272" s="92"/>
      <c r="D272" s="92"/>
      <c r="E272" s="92"/>
      <c r="F272" s="111"/>
      <c r="G272" s="110" t="str">
        <f>IF(ISERROR(
IF(C272="","",IFERROR(VLOOKUP(E272,CAD_PROD!$C$6:$D$506,2,0),""))),"",IF(C272="","",IFERROR(VLOOKUP(E272,CAD_PROD!$C$6:$D$506,2,0),"")))</f>
        <v/>
      </c>
      <c r="H272" s="94" t="str">
        <f t="shared" si="4"/>
        <v/>
      </c>
    </row>
    <row r="273" spans="2:8" ht="36" customHeight="1">
      <c r="B273" s="52">
        <f>IF(E273=TOP_CONC!$D$5,B272+1,B272)</f>
        <v>2</v>
      </c>
      <c r="C273" s="92"/>
      <c r="D273" s="92"/>
      <c r="E273" s="92"/>
      <c r="F273" s="111"/>
      <c r="G273" s="110" t="str">
        <f>IF(ISERROR(
IF(C273="","",IFERROR(VLOOKUP(E273,CAD_PROD!$C$6:$D$506,2,0),""))),"",IF(C273="","",IFERROR(VLOOKUP(E273,CAD_PROD!$C$6:$D$506,2,0),"")))</f>
        <v/>
      </c>
      <c r="H273" s="94" t="str">
        <f t="shared" si="4"/>
        <v/>
      </c>
    </row>
    <row r="274" spans="2:8" ht="36" customHeight="1">
      <c r="B274" s="52">
        <f>IF(E274=TOP_CONC!$D$5,B273+1,B273)</f>
        <v>2</v>
      </c>
      <c r="C274" s="92"/>
      <c r="D274" s="92"/>
      <c r="E274" s="92"/>
      <c r="F274" s="111"/>
      <c r="G274" s="110" t="str">
        <f>IF(ISERROR(
IF(C274="","",IFERROR(VLOOKUP(E274,CAD_PROD!$C$6:$D$506,2,0),""))),"",IF(C274="","",IFERROR(VLOOKUP(E274,CAD_PROD!$C$6:$D$506,2,0),"")))</f>
        <v/>
      </c>
      <c r="H274" s="94" t="str">
        <f t="shared" si="4"/>
        <v/>
      </c>
    </row>
    <row r="275" spans="2:8" ht="36" customHeight="1">
      <c r="B275" s="52">
        <f>IF(E275=TOP_CONC!$D$5,B274+1,B274)</f>
        <v>2</v>
      </c>
      <c r="C275" s="92"/>
      <c r="D275" s="92"/>
      <c r="E275" s="92"/>
      <c r="F275" s="111"/>
      <c r="G275" s="110" t="str">
        <f>IF(ISERROR(
IF(C275="","",IFERROR(VLOOKUP(E275,CAD_PROD!$C$6:$D$506,2,0),""))),"",IF(C275="","",IFERROR(VLOOKUP(E275,CAD_PROD!$C$6:$D$506,2,0),"")))</f>
        <v/>
      </c>
      <c r="H275" s="94" t="str">
        <f t="shared" si="4"/>
        <v/>
      </c>
    </row>
    <row r="276" spans="2:8" ht="36" customHeight="1">
      <c r="B276" s="52">
        <f>IF(E276=TOP_CONC!$D$5,B275+1,B275)</f>
        <v>2</v>
      </c>
      <c r="C276" s="92"/>
      <c r="D276" s="92"/>
      <c r="E276" s="92"/>
      <c r="F276" s="111"/>
      <c r="G276" s="110" t="str">
        <f>IF(ISERROR(
IF(C276="","",IFERROR(VLOOKUP(E276,CAD_PROD!$C$6:$D$506,2,0),""))),"",IF(C276="","",IFERROR(VLOOKUP(E276,CAD_PROD!$C$6:$D$506,2,0),"")))</f>
        <v/>
      </c>
      <c r="H276" s="94" t="str">
        <f t="shared" si="4"/>
        <v/>
      </c>
    </row>
    <row r="277" spans="2:8" ht="36" customHeight="1">
      <c r="B277" s="52">
        <f>IF(E277=TOP_CONC!$D$5,B276+1,B276)</f>
        <v>2</v>
      </c>
      <c r="C277" s="92"/>
      <c r="D277" s="92"/>
      <c r="E277" s="92"/>
      <c r="F277" s="111"/>
      <c r="G277" s="110" t="str">
        <f>IF(ISERROR(
IF(C277="","",IFERROR(VLOOKUP(E277,CAD_PROD!$C$6:$D$506,2,0),""))),"",IF(C277="","",IFERROR(VLOOKUP(E277,CAD_PROD!$C$6:$D$506,2,0),"")))</f>
        <v/>
      </c>
      <c r="H277" s="94" t="str">
        <f t="shared" si="4"/>
        <v/>
      </c>
    </row>
    <row r="278" spans="2:8" ht="36" customHeight="1">
      <c r="B278" s="52">
        <f>IF(E278=TOP_CONC!$D$5,B277+1,B277)</f>
        <v>2</v>
      </c>
      <c r="C278" s="92"/>
      <c r="D278" s="92"/>
      <c r="E278" s="92"/>
      <c r="F278" s="111"/>
      <c r="G278" s="110" t="str">
        <f>IF(ISERROR(
IF(C278="","",IFERROR(VLOOKUP(E278,CAD_PROD!$C$6:$D$506,2,0),""))),"",IF(C278="","",IFERROR(VLOOKUP(E278,CAD_PROD!$C$6:$D$506,2,0),"")))</f>
        <v/>
      </c>
      <c r="H278" s="94" t="str">
        <f t="shared" si="4"/>
        <v/>
      </c>
    </row>
    <row r="279" spans="2:8" ht="36" customHeight="1">
      <c r="B279" s="52">
        <f>IF(E279=TOP_CONC!$D$5,B278+1,B278)</f>
        <v>2</v>
      </c>
      <c r="C279" s="92"/>
      <c r="D279" s="92"/>
      <c r="E279" s="92"/>
      <c r="F279" s="111"/>
      <c r="G279" s="110" t="str">
        <f>IF(ISERROR(
IF(C279="","",IFERROR(VLOOKUP(E279,CAD_PROD!$C$6:$D$506,2,0),""))),"",IF(C279="","",IFERROR(VLOOKUP(E279,CAD_PROD!$C$6:$D$506,2,0),"")))</f>
        <v/>
      </c>
      <c r="H279" s="94" t="str">
        <f t="shared" si="4"/>
        <v/>
      </c>
    </row>
    <row r="280" spans="2:8" ht="36" customHeight="1">
      <c r="B280" s="52">
        <f>IF(E280=TOP_CONC!$D$5,B279+1,B279)</f>
        <v>2</v>
      </c>
      <c r="C280" s="92"/>
      <c r="D280" s="92"/>
      <c r="E280" s="92"/>
      <c r="F280" s="111"/>
      <c r="G280" s="110" t="str">
        <f>IF(ISERROR(
IF(C280="","",IFERROR(VLOOKUP(E280,CAD_PROD!$C$6:$D$506,2,0),""))),"",IF(C280="","",IFERROR(VLOOKUP(E280,CAD_PROD!$C$6:$D$506,2,0),"")))</f>
        <v/>
      </c>
      <c r="H280" s="94" t="str">
        <f t="shared" si="4"/>
        <v/>
      </c>
    </row>
    <row r="281" spans="2:8" ht="36" customHeight="1">
      <c r="B281" s="52">
        <f>IF(E281=TOP_CONC!$D$5,B280+1,B280)</f>
        <v>2</v>
      </c>
      <c r="C281" s="92"/>
      <c r="D281" s="92"/>
      <c r="E281" s="92"/>
      <c r="F281" s="111"/>
      <c r="G281" s="110" t="str">
        <f>IF(ISERROR(
IF(C281="","",IFERROR(VLOOKUP(E281,CAD_PROD!$C$6:$D$506,2,0),""))),"",IF(C281="","",IFERROR(VLOOKUP(E281,CAD_PROD!$C$6:$D$506,2,0),"")))</f>
        <v/>
      </c>
      <c r="H281" s="94" t="str">
        <f t="shared" si="4"/>
        <v/>
      </c>
    </row>
    <row r="282" spans="2:8" ht="36" customHeight="1">
      <c r="B282" s="52">
        <f>IF(E282=TOP_CONC!$D$5,B281+1,B281)</f>
        <v>2</v>
      </c>
      <c r="C282" s="92"/>
      <c r="D282" s="92"/>
      <c r="E282" s="92"/>
      <c r="F282" s="111"/>
      <c r="G282" s="110" t="str">
        <f>IF(ISERROR(
IF(C282="","",IFERROR(VLOOKUP(E282,CAD_PROD!$C$6:$D$506,2,0),""))),"",IF(C282="","",IFERROR(VLOOKUP(E282,CAD_PROD!$C$6:$D$506,2,0),"")))</f>
        <v/>
      </c>
      <c r="H282" s="94" t="str">
        <f t="shared" si="4"/>
        <v/>
      </c>
    </row>
    <row r="283" spans="2:8" ht="36" customHeight="1">
      <c r="B283" s="52">
        <f>IF(E283=TOP_CONC!$D$5,B282+1,B282)</f>
        <v>2</v>
      </c>
      <c r="C283" s="92"/>
      <c r="D283" s="92"/>
      <c r="E283" s="92"/>
      <c r="F283" s="111"/>
      <c r="G283" s="110" t="str">
        <f>IF(ISERROR(
IF(C283="","",IFERROR(VLOOKUP(E283,CAD_PROD!$C$6:$D$506,2,0),""))),"",IF(C283="","",IFERROR(VLOOKUP(E283,CAD_PROD!$C$6:$D$506,2,0),"")))</f>
        <v/>
      </c>
      <c r="H283" s="94" t="str">
        <f t="shared" si="4"/>
        <v/>
      </c>
    </row>
    <row r="284" spans="2:8" ht="36" customHeight="1">
      <c r="B284" s="52">
        <f>IF(E284=TOP_CONC!$D$5,B283+1,B283)</f>
        <v>2</v>
      </c>
      <c r="C284" s="92"/>
      <c r="D284" s="92"/>
      <c r="E284" s="92"/>
      <c r="F284" s="111"/>
      <c r="G284" s="110" t="str">
        <f>IF(ISERROR(
IF(C284="","",IFERROR(VLOOKUP(E284,CAD_PROD!$C$6:$D$506,2,0),""))),"",IF(C284="","",IFERROR(VLOOKUP(E284,CAD_PROD!$C$6:$D$506,2,0),"")))</f>
        <v/>
      </c>
      <c r="H284" s="94" t="str">
        <f t="shared" si="4"/>
        <v/>
      </c>
    </row>
    <row r="285" spans="2:8" ht="36" customHeight="1">
      <c r="B285" s="52">
        <f>IF(E285=TOP_CONC!$D$5,B284+1,B284)</f>
        <v>2</v>
      </c>
      <c r="C285" s="92"/>
      <c r="D285" s="92"/>
      <c r="E285" s="92"/>
      <c r="F285" s="111"/>
      <c r="G285" s="110" t="str">
        <f>IF(ISERROR(
IF(C285="","",IFERROR(VLOOKUP(E285,CAD_PROD!$C$6:$D$506,2,0),""))),"",IF(C285="","",IFERROR(VLOOKUP(E285,CAD_PROD!$C$6:$D$506,2,0),"")))</f>
        <v/>
      </c>
      <c r="H285" s="94" t="str">
        <f t="shared" si="4"/>
        <v/>
      </c>
    </row>
    <row r="286" spans="2:8" ht="36" customHeight="1">
      <c r="B286" s="52">
        <f>IF(E286=TOP_CONC!$D$5,B285+1,B285)</f>
        <v>2</v>
      </c>
      <c r="C286" s="92"/>
      <c r="D286" s="92"/>
      <c r="E286" s="92"/>
      <c r="F286" s="111"/>
      <c r="G286" s="110" t="str">
        <f>IF(ISERROR(
IF(C286="","",IFERROR(VLOOKUP(E286,CAD_PROD!$C$6:$D$506,2,0),""))),"",IF(C286="","",IFERROR(VLOOKUP(E286,CAD_PROD!$C$6:$D$506,2,0),"")))</f>
        <v/>
      </c>
      <c r="H286" s="94" t="str">
        <f t="shared" si="4"/>
        <v/>
      </c>
    </row>
    <row r="287" spans="2:8" ht="36" customHeight="1">
      <c r="B287" s="52">
        <f>IF(E287=TOP_CONC!$D$5,B286+1,B286)</f>
        <v>2</v>
      </c>
      <c r="C287" s="92"/>
      <c r="D287" s="92"/>
      <c r="E287" s="92"/>
      <c r="F287" s="111"/>
      <c r="G287" s="110" t="str">
        <f>IF(ISERROR(
IF(C287="","",IFERROR(VLOOKUP(E287,CAD_PROD!$C$6:$D$506,2,0),""))),"",IF(C287="","",IFERROR(VLOOKUP(E287,CAD_PROD!$C$6:$D$506,2,0),"")))</f>
        <v/>
      </c>
      <c r="H287" s="94" t="str">
        <f t="shared" si="4"/>
        <v/>
      </c>
    </row>
    <row r="288" spans="2:8" ht="36" customHeight="1">
      <c r="B288" s="52">
        <f>IF(E288=TOP_CONC!$D$5,B287+1,B287)</f>
        <v>2</v>
      </c>
      <c r="C288" s="92"/>
      <c r="D288" s="92"/>
      <c r="E288" s="92"/>
      <c r="F288" s="111"/>
      <c r="G288" s="110" t="str">
        <f>IF(ISERROR(
IF(C288="","",IFERROR(VLOOKUP(E288,CAD_PROD!$C$6:$D$506,2,0),""))),"",IF(C288="","",IFERROR(VLOOKUP(E288,CAD_PROD!$C$6:$D$506,2,0),"")))</f>
        <v/>
      </c>
      <c r="H288" s="94" t="str">
        <f t="shared" si="4"/>
        <v/>
      </c>
    </row>
    <row r="289" spans="2:8" ht="36" customHeight="1">
      <c r="B289" s="52">
        <f>IF(E289=TOP_CONC!$D$5,B288+1,B288)</f>
        <v>2</v>
      </c>
      <c r="C289" s="92"/>
      <c r="D289" s="92"/>
      <c r="E289" s="92"/>
      <c r="F289" s="111"/>
      <c r="G289" s="110" t="str">
        <f>IF(ISERROR(
IF(C289="","",IFERROR(VLOOKUP(E289,CAD_PROD!$C$6:$D$506,2,0),""))),"",IF(C289="","",IFERROR(VLOOKUP(E289,CAD_PROD!$C$6:$D$506,2,0),"")))</f>
        <v/>
      </c>
      <c r="H289" s="94" t="str">
        <f t="shared" si="4"/>
        <v/>
      </c>
    </row>
    <row r="290" spans="2:8" ht="36" customHeight="1">
      <c r="B290" s="52">
        <f>IF(E290=TOP_CONC!$D$5,B289+1,B289)</f>
        <v>2</v>
      </c>
      <c r="C290" s="92"/>
      <c r="D290" s="92"/>
      <c r="E290" s="92"/>
      <c r="F290" s="111"/>
      <c r="G290" s="110" t="str">
        <f>IF(ISERROR(
IF(C290="","",IFERROR(VLOOKUP(E290,CAD_PROD!$C$6:$D$506,2,0),""))),"",IF(C290="","",IFERROR(VLOOKUP(E290,CAD_PROD!$C$6:$D$506,2,0),"")))</f>
        <v/>
      </c>
      <c r="H290" s="94" t="str">
        <f t="shared" si="4"/>
        <v/>
      </c>
    </row>
    <row r="291" spans="2:8" ht="36" customHeight="1">
      <c r="B291" s="52">
        <f>IF(E291=TOP_CONC!$D$5,B290+1,B290)</f>
        <v>2</v>
      </c>
      <c r="C291" s="92"/>
      <c r="D291" s="92"/>
      <c r="E291" s="92"/>
      <c r="F291" s="111"/>
      <c r="G291" s="110" t="str">
        <f>IF(ISERROR(
IF(C291="","",IFERROR(VLOOKUP(E291,CAD_PROD!$C$6:$D$506,2,0),""))),"",IF(C291="","",IFERROR(VLOOKUP(E291,CAD_PROD!$C$6:$D$506,2,0),"")))</f>
        <v/>
      </c>
      <c r="H291" s="94" t="str">
        <f t="shared" si="4"/>
        <v/>
      </c>
    </row>
    <row r="292" spans="2:8" ht="36" customHeight="1">
      <c r="B292" s="52">
        <f>IF(E292=TOP_CONC!$D$5,B291+1,B291)</f>
        <v>2</v>
      </c>
      <c r="C292" s="92"/>
      <c r="D292" s="92"/>
      <c r="E292" s="92"/>
      <c r="F292" s="111"/>
      <c r="G292" s="110" t="str">
        <f>IF(ISERROR(
IF(C292="","",IFERROR(VLOOKUP(E292,CAD_PROD!$C$6:$D$506,2,0),""))),"",IF(C292="","",IFERROR(VLOOKUP(E292,CAD_PROD!$C$6:$D$506,2,0),"")))</f>
        <v/>
      </c>
      <c r="H292" s="94" t="str">
        <f t="shared" si="4"/>
        <v/>
      </c>
    </row>
    <row r="293" spans="2:8" ht="36" customHeight="1">
      <c r="B293" s="52">
        <f>IF(E293=TOP_CONC!$D$5,B292+1,B292)</f>
        <v>2</v>
      </c>
      <c r="C293" s="92"/>
      <c r="D293" s="92"/>
      <c r="E293" s="92"/>
      <c r="F293" s="111"/>
      <c r="G293" s="110" t="str">
        <f>IF(ISERROR(
IF(C293="","",IFERROR(VLOOKUP(E293,CAD_PROD!$C$6:$D$506,2,0),""))),"",IF(C293="","",IFERROR(VLOOKUP(E293,CAD_PROD!$C$6:$D$506,2,0),"")))</f>
        <v/>
      </c>
      <c r="H293" s="94" t="str">
        <f t="shared" si="4"/>
        <v/>
      </c>
    </row>
    <row r="294" spans="2:8" ht="36" customHeight="1">
      <c r="B294" s="52">
        <f>IF(E294=TOP_CONC!$D$5,B293+1,B293)</f>
        <v>2</v>
      </c>
      <c r="C294" s="92"/>
      <c r="D294" s="92"/>
      <c r="E294" s="92"/>
      <c r="F294" s="111"/>
      <c r="G294" s="110" t="str">
        <f>IF(ISERROR(
IF(C294="","",IFERROR(VLOOKUP(E294,CAD_PROD!$C$6:$D$506,2,0),""))),"",IF(C294="","",IFERROR(VLOOKUP(E294,CAD_PROD!$C$6:$D$506,2,0),"")))</f>
        <v/>
      </c>
      <c r="H294" s="94" t="str">
        <f t="shared" si="4"/>
        <v/>
      </c>
    </row>
    <row r="295" spans="2:8" ht="36" customHeight="1">
      <c r="B295" s="52">
        <f>IF(E295=TOP_CONC!$D$5,B294+1,B294)</f>
        <v>2</v>
      </c>
      <c r="C295" s="92"/>
      <c r="D295" s="92"/>
      <c r="E295" s="92"/>
      <c r="F295" s="111"/>
      <c r="G295" s="110" t="str">
        <f>IF(ISERROR(
IF(C295="","",IFERROR(VLOOKUP(E295,CAD_PROD!$C$6:$D$506,2,0),""))),"",IF(C295="","",IFERROR(VLOOKUP(E295,CAD_PROD!$C$6:$D$506,2,0),"")))</f>
        <v/>
      </c>
      <c r="H295" s="94" t="str">
        <f t="shared" si="4"/>
        <v/>
      </c>
    </row>
    <row r="296" spans="2:8" ht="36" customHeight="1">
      <c r="B296" s="52">
        <f>IF(E296=TOP_CONC!$D$5,B295+1,B295)</f>
        <v>2</v>
      </c>
      <c r="C296" s="92"/>
      <c r="D296" s="92"/>
      <c r="E296" s="92"/>
      <c r="F296" s="111"/>
      <c r="G296" s="110" t="str">
        <f>IF(ISERROR(
IF(C296="","",IFERROR(VLOOKUP(E296,CAD_PROD!$C$6:$D$506,2,0),""))),"",IF(C296="","",IFERROR(VLOOKUP(E296,CAD_PROD!$C$6:$D$506,2,0),"")))</f>
        <v/>
      </c>
      <c r="H296" s="94" t="str">
        <f t="shared" si="4"/>
        <v/>
      </c>
    </row>
    <row r="297" spans="2:8" ht="36" customHeight="1">
      <c r="B297" s="52">
        <f>IF(E297=TOP_CONC!$D$5,B296+1,B296)</f>
        <v>2</v>
      </c>
      <c r="C297" s="92"/>
      <c r="D297" s="92"/>
      <c r="E297" s="92"/>
      <c r="F297" s="111"/>
      <c r="G297" s="110" t="str">
        <f>IF(ISERROR(
IF(C297="","",IFERROR(VLOOKUP(E297,CAD_PROD!$C$6:$D$506,2,0),""))),"",IF(C297="","",IFERROR(VLOOKUP(E297,CAD_PROD!$C$6:$D$506,2,0),"")))</f>
        <v/>
      </c>
      <c r="H297" s="94" t="str">
        <f t="shared" si="4"/>
        <v/>
      </c>
    </row>
    <row r="298" spans="2:8" ht="36" customHeight="1">
      <c r="B298" s="52">
        <f>IF(E298=TOP_CONC!$D$5,B297+1,B297)</f>
        <v>2</v>
      </c>
      <c r="C298" s="92"/>
      <c r="D298" s="92"/>
      <c r="E298" s="92"/>
      <c r="F298" s="111"/>
      <c r="G298" s="110" t="str">
        <f>IF(ISERROR(
IF(C298="","",IFERROR(VLOOKUP(E298,CAD_PROD!$C$6:$D$506,2,0),""))),"",IF(C298="","",IFERROR(VLOOKUP(E298,CAD_PROD!$C$6:$D$506,2,0),"")))</f>
        <v/>
      </c>
      <c r="H298" s="94" t="str">
        <f t="shared" si="4"/>
        <v/>
      </c>
    </row>
    <row r="299" spans="2:8" ht="36" customHeight="1">
      <c r="B299" s="52">
        <f>IF(E299=TOP_CONC!$D$5,B298+1,B298)</f>
        <v>2</v>
      </c>
      <c r="C299" s="92"/>
      <c r="D299" s="92"/>
      <c r="E299" s="92"/>
      <c r="F299" s="111"/>
      <c r="G299" s="110" t="str">
        <f>IF(ISERROR(
IF(C299="","",IFERROR(VLOOKUP(E299,CAD_PROD!$C$6:$D$506,2,0),""))),"",IF(C299="","",IFERROR(VLOOKUP(E299,CAD_PROD!$C$6:$D$506,2,0),"")))</f>
        <v/>
      </c>
      <c r="H299" s="94" t="str">
        <f t="shared" si="4"/>
        <v/>
      </c>
    </row>
    <row r="300" spans="2:8" ht="36" customHeight="1">
      <c r="B300" s="52">
        <f>IF(E300=TOP_CONC!$D$5,B299+1,B299)</f>
        <v>2</v>
      </c>
      <c r="C300" s="92"/>
      <c r="D300" s="92"/>
      <c r="E300" s="92"/>
      <c r="F300" s="111"/>
      <c r="G300" s="110" t="str">
        <f>IF(ISERROR(
IF(C300="","",IFERROR(VLOOKUP(E300,CAD_PROD!$C$6:$D$506,2,0),""))),"",IF(C300="","",IFERROR(VLOOKUP(E300,CAD_PROD!$C$6:$D$506,2,0),"")))</f>
        <v/>
      </c>
      <c r="H300" s="94" t="str">
        <f t="shared" si="4"/>
        <v/>
      </c>
    </row>
    <row r="301" spans="2:8" ht="36" customHeight="1">
      <c r="B301" s="52">
        <f>IF(E301=TOP_CONC!$D$5,B300+1,B300)</f>
        <v>2</v>
      </c>
      <c r="C301" s="92"/>
      <c r="D301" s="92"/>
      <c r="E301" s="92"/>
      <c r="F301" s="111"/>
      <c r="G301" s="110" t="str">
        <f>IF(ISERROR(
IF(C301="","",IFERROR(VLOOKUP(E301,CAD_PROD!$C$6:$D$506,2,0),""))),"",IF(C301="","",IFERROR(VLOOKUP(E301,CAD_PROD!$C$6:$D$506,2,0),"")))</f>
        <v/>
      </c>
      <c r="H301" s="94" t="str">
        <f t="shared" si="4"/>
        <v/>
      </c>
    </row>
    <row r="302" spans="2:8" ht="36" customHeight="1">
      <c r="B302" s="52">
        <f>IF(E302=TOP_CONC!$D$5,B301+1,B301)</f>
        <v>2</v>
      </c>
      <c r="C302" s="92"/>
      <c r="D302" s="92"/>
      <c r="E302" s="92"/>
      <c r="F302" s="111"/>
      <c r="G302" s="110" t="str">
        <f>IF(ISERROR(
IF(C302="","",IFERROR(VLOOKUP(E302,CAD_PROD!$C$6:$D$506,2,0),""))),"",IF(C302="","",IFERROR(VLOOKUP(E302,CAD_PROD!$C$6:$D$506,2,0),"")))</f>
        <v/>
      </c>
      <c r="H302" s="94" t="str">
        <f t="shared" si="4"/>
        <v/>
      </c>
    </row>
    <row r="303" spans="2:8" ht="36" customHeight="1">
      <c r="B303" s="52">
        <f>IF(E303=TOP_CONC!$D$5,B302+1,B302)</f>
        <v>2</v>
      </c>
      <c r="C303" s="92"/>
      <c r="D303" s="92"/>
      <c r="E303" s="92"/>
      <c r="F303" s="111"/>
      <c r="G303" s="110" t="str">
        <f>IF(ISERROR(
IF(C303="","",IFERROR(VLOOKUP(E303,CAD_PROD!$C$6:$D$506,2,0),""))),"",IF(C303="","",IFERROR(VLOOKUP(E303,CAD_PROD!$C$6:$D$506,2,0),"")))</f>
        <v/>
      </c>
      <c r="H303" s="94" t="str">
        <f t="shared" si="4"/>
        <v/>
      </c>
    </row>
    <row r="304" spans="2:8" ht="36" customHeight="1">
      <c r="B304" s="52">
        <f>IF(E304=TOP_CONC!$D$5,B303+1,B303)</f>
        <v>2</v>
      </c>
      <c r="C304" s="92"/>
      <c r="D304" s="92"/>
      <c r="E304" s="92"/>
      <c r="F304" s="111"/>
      <c r="G304" s="110" t="str">
        <f>IF(ISERROR(
IF(C304="","",IFERROR(VLOOKUP(E304,CAD_PROD!$C$6:$D$506,2,0),""))),"",IF(C304="","",IFERROR(VLOOKUP(E304,CAD_PROD!$C$6:$D$506,2,0),"")))</f>
        <v/>
      </c>
      <c r="H304" s="94" t="str">
        <f t="shared" si="4"/>
        <v/>
      </c>
    </row>
    <row r="305" spans="2:8" ht="36" customHeight="1">
      <c r="B305" s="52">
        <f>IF(E305=TOP_CONC!$D$5,B304+1,B304)</f>
        <v>2</v>
      </c>
      <c r="C305" s="92"/>
      <c r="D305" s="92"/>
      <c r="E305" s="92"/>
      <c r="F305" s="111"/>
      <c r="G305" s="110" t="str">
        <f>IF(ISERROR(
IF(C305="","",IFERROR(VLOOKUP(E305,CAD_PROD!$C$6:$D$506,2,0),""))),"",IF(C305="","",IFERROR(VLOOKUP(E305,CAD_PROD!$C$6:$D$506,2,0),"")))</f>
        <v/>
      </c>
      <c r="H305" s="94" t="str">
        <f t="shared" si="4"/>
        <v/>
      </c>
    </row>
    <row r="306" spans="2:8" ht="36" customHeight="1">
      <c r="B306" s="52">
        <f>IF(E306=TOP_CONC!$D$5,B305+1,B305)</f>
        <v>2</v>
      </c>
      <c r="C306" s="92"/>
      <c r="D306" s="92"/>
      <c r="E306" s="92"/>
      <c r="F306" s="111"/>
      <c r="G306" s="110" t="str">
        <f>IF(ISERROR(
IF(C306="","",IFERROR(VLOOKUP(E306,CAD_PROD!$C$6:$D$506,2,0),""))),"",IF(C306="","",IFERROR(VLOOKUP(E306,CAD_PROD!$C$6:$D$506,2,0),"")))</f>
        <v/>
      </c>
      <c r="H306" s="94" t="str">
        <f t="shared" si="4"/>
        <v/>
      </c>
    </row>
    <row r="307" spans="2:8" ht="36" customHeight="1">
      <c r="B307" s="52">
        <f>IF(E307=TOP_CONC!$D$5,B306+1,B306)</f>
        <v>2</v>
      </c>
      <c r="C307" s="92"/>
      <c r="D307" s="92"/>
      <c r="E307" s="92"/>
      <c r="F307" s="111"/>
      <c r="G307" s="110" t="str">
        <f>IF(ISERROR(
IF(C307="","",IFERROR(VLOOKUP(E307,CAD_PROD!$C$6:$D$506,2,0),""))),"",IF(C307="","",IFERROR(VLOOKUP(E307,CAD_PROD!$C$6:$D$506,2,0),"")))</f>
        <v/>
      </c>
      <c r="H307" s="94" t="str">
        <f t="shared" si="4"/>
        <v/>
      </c>
    </row>
    <row r="308" spans="2:8" ht="36" customHeight="1">
      <c r="B308" s="52">
        <f>IF(E308=TOP_CONC!$D$5,B307+1,B307)</f>
        <v>2</v>
      </c>
      <c r="C308" s="92"/>
      <c r="D308" s="92"/>
      <c r="E308" s="92"/>
      <c r="F308" s="111"/>
      <c r="G308" s="110" t="str">
        <f>IF(ISERROR(
IF(C308="","",IFERROR(VLOOKUP(E308,CAD_PROD!$C$6:$D$506,2,0),""))),"",IF(C308="","",IFERROR(VLOOKUP(E308,CAD_PROD!$C$6:$D$506,2,0),"")))</f>
        <v/>
      </c>
      <c r="H308" s="94" t="str">
        <f t="shared" si="4"/>
        <v/>
      </c>
    </row>
    <row r="309" spans="2:8" ht="36" customHeight="1">
      <c r="B309" s="52">
        <f>IF(E309=TOP_CONC!$D$5,B308+1,B308)</f>
        <v>2</v>
      </c>
      <c r="C309" s="92"/>
      <c r="D309" s="92"/>
      <c r="E309" s="92"/>
      <c r="F309" s="111"/>
      <c r="G309" s="110" t="str">
        <f>IF(ISERROR(
IF(C309="","",IFERROR(VLOOKUP(E309,CAD_PROD!$C$6:$D$506,2,0),""))),"",IF(C309="","",IFERROR(VLOOKUP(E309,CAD_PROD!$C$6:$D$506,2,0),"")))</f>
        <v/>
      </c>
      <c r="H309" s="94" t="str">
        <f t="shared" si="4"/>
        <v/>
      </c>
    </row>
    <row r="310" spans="2:8" ht="36" customHeight="1">
      <c r="B310" s="52">
        <f>IF(E310=TOP_CONC!$D$5,B309+1,B309)</f>
        <v>2</v>
      </c>
      <c r="C310" s="92"/>
      <c r="D310" s="92"/>
      <c r="E310" s="92"/>
      <c r="F310" s="111"/>
      <c r="G310" s="110" t="str">
        <f>IF(ISERROR(
IF(C310="","",IFERROR(VLOOKUP(E310,CAD_PROD!$C$6:$D$506,2,0),""))),"",IF(C310="","",IFERROR(VLOOKUP(E310,CAD_PROD!$C$6:$D$506,2,0),"")))</f>
        <v/>
      </c>
      <c r="H310" s="94" t="str">
        <f t="shared" si="4"/>
        <v/>
      </c>
    </row>
    <row r="311" spans="2:8" ht="36" customHeight="1">
      <c r="B311" s="52">
        <f>IF(E311=TOP_CONC!$D$5,B310+1,B310)</f>
        <v>2</v>
      </c>
      <c r="C311" s="92"/>
      <c r="D311" s="92"/>
      <c r="E311" s="92"/>
      <c r="F311" s="111"/>
      <c r="G311" s="110" t="str">
        <f>IF(ISERROR(
IF(C311="","",IFERROR(VLOOKUP(E311,CAD_PROD!$C$6:$D$506,2,0),""))),"",IF(C311="","",IFERROR(VLOOKUP(E311,CAD_PROD!$C$6:$D$506,2,0),"")))</f>
        <v/>
      </c>
      <c r="H311" s="94" t="str">
        <f t="shared" si="4"/>
        <v/>
      </c>
    </row>
    <row r="312" spans="2:8" ht="36" customHeight="1">
      <c r="B312" s="52">
        <f>IF(E312=TOP_CONC!$D$5,B311+1,B311)</f>
        <v>2</v>
      </c>
      <c r="C312" s="92"/>
      <c r="D312" s="92"/>
      <c r="E312" s="92"/>
      <c r="F312" s="111"/>
      <c r="G312" s="110" t="str">
        <f>IF(ISERROR(
IF(C312="","",IFERROR(VLOOKUP(E312,CAD_PROD!$C$6:$D$506,2,0),""))),"",IF(C312="","",IFERROR(VLOOKUP(E312,CAD_PROD!$C$6:$D$506,2,0),"")))</f>
        <v/>
      </c>
      <c r="H312" s="94" t="str">
        <f t="shared" si="4"/>
        <v/>
      </c>
    </row>
    <row r="313" spans="2:8" ht="36" customHeight="1">
      <c r="B313" s="52">
        <f>IF(E313=TOP_CONC!$D$5,B312+1,B312)</f>
        <v>2</v>
      </c>
      <c r="C313" s="92"/>
      <c r="D313" s="92"/>
      <c r="E313" s="92"/>
      <c r="F313" s="111"/>
      <c r="G313" s="110" t="str">
        <f>IF(ISERROR(
IF(C313="","",IFERROR(VLOOKUP(E313,CAD_PROD!$C$6:$D$506,2,0),""))),"",IF(C313="","",IFERROR(VLOOKUP(E313,CAD_PROD!$C$6:$D$506,2,0),"")))</f>
        <v/>
      </c>
      <c r="H313" s="94" t="str">
        <f t="shared" si="4"/>
        <v/>
      </c>
    </row>
    <row r="314" spans="2:8" ht="36" customHeight="1">
      <c r="B314" s="52">
        <f>IF(E314=TOP_CONC!$D$5,B313+1,B313)</f>
        <v>2</v>
      </c>
      <c r="C314" s="92"/>
      <c r="D314" s="92"/>
      <c r="E314" s="92"/>
      <c r="F314" s="111"/>
      <c r="G314" s="110" t="str">
        <f>IF(ISERROR(
IF(C314="","",IFERROR(VLOOKUP(E314,CAD_PROD!$C$6:$D$506,2,0),""))),"",IF(C314="","",IFERROR(VLOOKUP(E314,CAD_PROD!$C$6:$D$506,2,0),"")))</f>
        <v/>
      </c>
      <c r="H314" s="94" t="str">
        <f t="shared" si="4"/>
        <v/>
      </c>
    </row>
    <row r="315" spans="2:8" ht="36" customHeight="1">
      <c r="B315" s="52">
        <f>IF(E315=TOP_CONC!$D$5,B314+1,B314)</f>
        <v>2</v>
      </c>
      <c r="C315" s="92"/>
      <c r="D315" s="92"/>
      <c r="E315" s="92"/>
      <c r="F315" s="111"/>
      <c r="G315" s="110" t="str">
        <f>IF(ISERROR(
IF(C315="","",IFERROR(VLOOKUP(E315,CAD_PROD!$C$6:$D$506,2,0),""))),"",IF(C315="","",IFERROR(VLOOKUP(E315,CAD_PROD!$C$6:$D$506,2,0),"")))</f>
        <v/>
      </c>
      <c r="H315" s="94" t="str">
        <f t="shared" si="4"/>
        <v/>
      </c>
    </row>
    <row r="316" spans="2:8" ht="36" customHeight="1">
      <c r="B316" s="52">
        <f>IF(E316=TOP_CONC!$D$5,B315+1,B315)</f>
        <v>2</v>
      </c>
      <c r="C316" s="92"/>
      <c r="D316" s="92"/>
      <c r="E316" s="92"/>
      <c r="F316" s="111"/>
      <c r="G316" s="110" t="str">
        <f>IF(ISERROR(
IF(C316="","",IFERROR(VLOOKUP(E316,CAD_PROD!$C$6:$D$506,2,0),""))),"",IF(C316="","",IFERROR(VLOOKUP(E316,CAD_PROD!$C$6:$D$506,2,0),"")))</f>
        <v/>
      </c>
      <c r="H316" s="94" t="str">
        <f t="shared" si="4"/>
        <v/>
      </c>
    </row>
    <row r="317" spans="2:8" ht="36" customHeight="1">
      <c r="B317" s="52">
        <f>IF(E317=TOP_CONC!$D$5,B316+1,B316)</f>
        <v>2</v>
      </c>
      <c r="C317" s="92"/>
      <c r="D317" s="92"/>
      <c r="E317" s="92"/>
      <c r="F317" s="111"/>
      <c r="G317" s="110" t="str">
        <f>IF(ISERROR(
IF(C317="","",IFERROR(VLOOKUP(E317,CAD_PROD!$C$6:$D$506,2,0),""))),"",IF(C317="","",IFERROR(VLOOKUP(E317,CAD_PROD!$C$6:$D$506,2,0),"")))</f>
        <v/>
      </c>
      <c r="H317" s="94" t="str">
        <f t="shared" si="4"/>
        <v/>
      </c>
    </row>
    <row r="318" spans="2:8" ht="36" customHeight="1">
      <c r="B318" s="52">
        <f>IF(E318=TOP_CONC!$D$5,B317+1,B317)</f>
        <v>2</v>
      </c>
      <c r="C318" s="92"/>
      <c r="D318" s="92"/>
      <c r="E318" s="92"/>
      <c r="F318" s="111"/>
      <c r="G318" s="110" t="str">
        <f>IF(ISERROR(
IF(C318="","",IFERROR(VLOOKUP(E318,CAD_PROD!$C$6:$D$506,2,0),""))),"",IF(C318="","",IFERROR(VLOOKUP(E318,CAD_PROD!$C$6:$D$506,2,0),"")))</f>
        <v/>
      </c>
      <c r="H318" s="94" t="str">
        <f t="shared" si="4"/>
        <v/>
      </c>
    </row>
    <row r="319" spans="2:8" ht="36" customHeight="1">
      <c r="B319" s="52">
        <f>IF(E319=TOP_CONC!$D$5,B318+1,B318)</f>
        <v>2</v>
      </c>
      <c r="C319" s="92"/>
      <c r="D319" s="92"/>
      <c r="E319" s="92"/>
      <c r="F319" s="111"/>
      <c r="G319" s="110" t="str">
        <f>IF(ISERROR(
IF(C319="","",IFERROR(VLOOKUP(E319,CAD_PROD!$C$6:$D$506,2,0),""))),"",IF(C319="","",IFERROR(VLOOKUP(E319,CAD_PROD!$C$6:$D$506,2,0),"")))</f>
        <v/>
      </c>
      <c r="H319" s="94" t="str">
        <f t="shared" si="4"/>
        <v/>
      </c>
    </row>
    <row r="320" spans="2:8" ht="36" customHeight="1">
      <c r="B320" s="52">
        <f>IF(E320=TOP_CONC!$D$5,B319+1,B319)</f>
        <v>2</v>
      </c>
      <c r="C320" s="92"/>
      <c r="D320" s="92"/>
      <c r="E320" s="92"/>
      <c r="F320" s="111"/>
      <c r="G320" s="110" t="str">
        <f>IF(ISERROR(
IF(C320="","",IFERROR(VLOOKUP(E320,CAD_PROD!$C$6:$D$506,2,0),""))),"",IF(C320="","",IFERROR(VLOOKUP(E320,CAD_PROD!$C$6:$D$506,2,0),"")))</f>
        <v/>
      </c>
      <c r="H320" s="94" t="str">
        <f t="shared" si="4"/>
        <v/>
      </c>
    </row>
    <row r="321" spans="2:8" ht="36" customHeight="1">
      <c r="B321" s="52">
        <f>IF(E321=TOP_CONC!$D$5,B320+1,B320)</f>
        <v>2</v>
      </c>
      <c r="C321" s="92"/>
      <c r="D321" s="92"/>
      <c r="E321" s="92"/>
      <c r="F321" s="111"/>
      <c r="G321" s="110" t="str">
        <f>IF(ISERROR(
IF(C321="","",IFERROR(VLOOKUP(E321,CAD_PROD!$C$6:$D$506,2,0),""))),"",IF(C321="","",IFERROR(VLOOKUP(E321,CAD_PROD!$C$6:$D$506,2,0),"")))</f>
        <v/>
      </c>
      <c r="H321" s="94" t="str">
        <f t="shared" si="4"/>
        <v/>
      </c>
    </row>
    <row r="322" spans="2:8" ht="36" customHeight="1">
      <c r="B322" s="52">
        <f>IF(E322=TOP_CONC!$D$5,B321+1,B321)</f>
        <v>2</v>
      </c>
      <c r="C322" s="92"/>
      <c r="D322" s="92"/>
      <c r="E322" s="92"/>
      <c r="F322" s="111"/>
      <c r="G322" s="110" t="str">
        <f>IF(ISERROR(
IF(C322="","",IFERROR(VLOOKUP(E322,CAD_PROD!$C$6:$D$506,2,0),""))),"",IF(C322="","",IFERROR(VLOOKUP(E322,CAD_PROD!$C$6:$D$506,2,0),"")))</f>
        <v/>
      </c>
      <c r="H322" s="94" t="str">
        <f t="shared" si="4"/>
        <v/>
      </c>
    </row>
    <row r="323" spans="2:8" ht="36" customHeight="1">
      <c r="B323" s="52">
        <f>IF(E323=TOP_CONC!$D$5,B322+1,B322)</f>
        <v>2</v>
      </c>
      <c r="C323" s="92"/>
      <c r="D323" s="92"/>
      <c r="E323" s="92"/>
      <c r="F323" s="111"/>
      <c r="G323" s="110" t="str">
        <f>IF(ISERROR(
IF(C323="","",IFERROR(VLOOKUP(E323,CAD_PROD!$C$6:$D$506,2,0),""))),"",IF(C323="","",IFERROR(VLOOKUP(E323,CAD_PROD!$C$6:$D$506,2,0),"")))</f>
        <v/>
      </c>
      <c r="H323" s="94" t="str">
        <f t="shared" si="4"/>
        <v/>
      </c>
    </row>
    <row r="324" spans="2:8" ht="36" customHeight="1">
      <c r="B324" s="52">
        <f>IF(E324=TOP_CONC!$D$5,B323+1,B323)</f>
        <v>2</v>
      </c>
      <c r="C324" s="92"/>
      <c r="D324" s="92"/>
      <c r="E324" s="92"/>
      <c r="F324" s="111"/>
      <c r="G324" s="110" t="str">
        <f>IF(ISERROR(
IF(C324="","",IFERROR(VLOOKUP(E324,CAD_PROD!$C$6:$D$506,2,0),""))),"",IF(C324="","",IFERROR(VLOOKUP(E324,CAD_PROD!$C$6:$D$506,2,0),"")))</f>
        <v/>
      </c>
      <c r="H324" s="94" t="str">
        <f t="shared" si="4"/>
        <v/>
      </c>
    </row>
    <row r="325" spans="2:8" ht="36" customHeight="1">
      <c r="B325" s="52">
        <f>IF(E325=TOP_CONC!$D$5,B324+1,B324)</f>
        <v>2</v>
      </c>
      <c r="C325" s="92"/>
      <c r="D325" s="92"/>
      <c r="E325" s="92"/>
      <c r="F325" s="111"/>
      <c r="G325" s="110" t="str">
        <f>IF(ISERROR(
IF(C325="","",IFERROR(VLOOKUP(E325,CAD_PROD!$C$6:$D$506,2,0),""))),"",IF(C325="","",IFERROR(VLOOKUP(E325,CAD_PROD!$C$6:$D$506,2,0),"")))</f>
        <v/>
      </c>
      <c r="H325" s="94" t="str">
        <f t="shared" si="4"/>
        <v/>
      </c>
    </row>
    <row r="326" spans="2:8" ht="36" customHeight="1">
      <c r="B326" s="52">
        <f>IF(E326=TOP_CONC!$D$5,B325+1,B325)</f>
        <v>2</v>
      </c>
      <c r="C326" s="92"/>
      <c r="D326" s="92"/>
      <c r="E326" s="92"/>
      <c r="F326" s="111"/>
      <c r="G326" s="110" t="str">
        <f>IF(ISERROR(
IF(C326="","",IFERROR(VLOOKUP(E326,CAD_PROD!$C$6:$D$506,2,0),""))),"",IF(C326="","",IFERROR(VLOOKUP(E326,CAD_PROD!$C$6:$D$506,2,0),"")))</f>
        <v/>
      </c>
      <c r="H326" s="94" t="str">
        <f t="shared" si="4"/>
        <v/>
      </c>
    </row>
    <row r="327" spans="2:8" ht="36" customHeight="1">
      <c r="B327" s="52">
        <f>IF(E327=TOP_CONC!$D$5,B326+1,B326)</f>
        <v>2</v>
      </c>
      <c r="C327" s="92"/>
      <c r="D327" s="92"/>
      <c r="E327" s="92"/>
      <c r="F327" s="111"/>
      <c r="G327" s="110" t="str">
        <f>IF(ISERROR(
IF(C327="","",IFERROR(VLOOKUP(E327,CAD_PROD!$C$6:$D$506,2,0),""))),"",IF(C327="","",IFERROR(VLOOKUP(E327,CAD_PROD!$C$6:$D$506,2,0),"")))</f>
        <v/>
      </c>
      <c r="H327" s="94" t="str">
        <f t="shared" ref="H327:H390" si="5">IF(ISERROR(
IF(C327="","",
IF(F327&lt;G327,"Seu preço está acima do seu concorrente. Você precisa encontrar meios como qualidade, localização, etc, para justificar esta diferença.",IF(F327&gt;G327,"Seu preço está abaixo do seu concorrente. Mas ele se posiciona pelo(a) "&amp;D327&amp;". Fique atento sobre este detalhe, pois preço baixo não é garantia de sucesso.","Seu preço está igual ao do seu concorrente. Ele se posiciona pela "&amp;D327&amp;". Se você conseguir se posicionar melhor que ele nesse atributo, poderá estar em vantagem.")))),"",
IF(C327="","",
IF(F327&lt;G327,"Seu preço está acima do seu concorrente. Você precisa encontrar meios como qualidade, localização, etc, para justificar esta diferença.",IF(F327&gt;G327,"Seu preço está abaixo do seu concorrente. Mas ele se posiciona pelo(a) "&amp;D327&amp;". Fique atento sobre este detalhe, pois preço baixo não é garantia de sucesso.","Seu preço está igual ao do seu concorrente. Ele se posiciona pela "&amp;D327&amp;". Se você conseguir se posicionar melhor que ele nesse atributo, poderá estar em vantagem."))))</f>
        <v/>
      </c>
    </row>
    <row r="328" spans="2:8" ht="36" customHeight="1">
      <c r="B328" s="52">
        <f>IF(E328=TOP_CONC!$D$5,B327+1,B327)</f>
        <v>2</v>
      </c>
      <c r="C328" s="92"/>
      <c r="D328" s="92"/>
      <c r="E328" s="92"/>
      <c r="F328" s="111"/>
      <c r="G328" s="110" t="str">
        <f>IF(ISERROR(
IF(C328="","",IFERROR(VLOOKUP(E328,CAD_PROD!$C$6:$D$506,2,0),""))),"",IF(C328="","",IFERROR(VLOOKUP(E328,CAD_PROD!$C$6:$D$506,2,0),"")))</f>
        <v/>
      </c>
      <c r="H328" s="94" t="str">
        <f t="shared" si="5"/>
        <v/>
      </c>
    </row>
    <row r="329" spans="2:8" ht="36" customHeight="1">
      <c r="B329" s="52">
        <f>IF(E329=TOP_CONC!$D$5,B328+1,B328)</f>
        <v>2</v>
      </c>
      <c r="C329" s="92"/>
      <c r="D329" s="92"/>
      <c r="E329" s="92"/>
      <c r="F329" s="111"/>
      <c r="G329" s="110" t="str">
        <f>IF(ISERROR(
IF(C329="","",IFERROR(VLOOKUP(E329,CAD_PROD!$C$6:$D$506,2,0),""))),"",IF(C329="","",IFERROR(VLOOKUP(E329,CAD_PROD!$C$6:$D$506,2,0),"")))</f>
        <v/>
      </c>
      <c r="H329" s="94" t="str">
        <f t="shared" si="5"/>
        <v/>
      </c>
    </row>
    <row r="330" spans="2:8" ht="36" customHeight="1">
      <c r="B330" s="52">
        <f>IF(E330=TOP_CONC!$D$5,B329+1,B329)</f>
        <v>2</v>
      </c>
      <c r="C330" s="92"/>
      <c r="D330" s="92"/>
      <c r="E330" s="92"/>
      <c r="F330" s="111"/>
      <c r="G330" s="110" t="str">
        <f>IF(ISERROR(
IF(C330="","",IFERROR(VLOOKUP(E330,CAD_PROD!$C$6:$D$506,2,0),""))),"",IF(C330="","",IFERROR(VLOOKUP(E330,CAD_PROD!$C$6:$D$506,2,0),"")))</f>
        <v/>
      </c>
      <c r="H330" s="94" t="str">
        <f t="shared" si="5"/>
        <v/>
      </c>
    </row>
    <row r="331" spans="2:8" ht="36" customHeight="1">
      <c r="B331" s="52">
        <f>IF(E331=TOP_CONC!$D$5,B330+1,B330)</f>
        <v>2</v>
      </c>
      <c r="C331" s="92"/>
      <c r="D331" s="92"/>
      <c r="E331" s="92"/>
      <c r="F331" s="111"/>
      <c r="G331" s="110" t="str">
        <f>IF(ISERROR(
IF(C331="","",IFERROR(VLOOKUP(E331,CAD_PROD!$C$6:$D$506,2,0),""))),"",IF(C331="","",IFERROR(VLOOKUP(E331,CAD_PROD!$C$6:$D$506,2,0),"")))</f>
        <v/>
      </c>
      <c r="H331" s="94" t="str">
        <f t="shared" si="5"/>
        <v/>
      </c>
    </row>
    <row r="332" spans="2:8" ht="36" customHeight="1">
      <c r="B332" s="52">
        <f>IF(E332=TOP_CONC!$D$5,B331+1,B331)</f>
        <v>2</v>
      </c>
      <c r="C332" s="92"/>
      <c r="D332" s="92"/>
      <c r="E332" s="92"/>
      <c r="F332" s="111"/>
      <c r="G332" s="110" t="str">
        <f>IF(ISERROR(
IF(C332="","",IFERROR(VLOOKUP(E332,CAD_PROD!$C$6:$D$506,2,0),""))),"",IF(C332="","",IFERROR(VLOOKUP(E332,CAD_PROD!$C$6:$D$506,2,0),"")))</f>
        <v/>
      </c>
      <c r="H332" s="94" t="str">
        <f t="shared" si="5"/>
        <v/>
      </c>
    </row>
    <row r="333" spans="2:8" ht="36" customHeight="1">
      <c r="B333" s="52">
        <f>IF(E333=TOP_CONC!$D$5,B332+1,B332)</f>
        <v>2</v>
      </c>
      <c r="C333" s="92"/>
      <c r="D333" s="92"/>
      <c r="E333" s="92"/>
      <c r="F333" s="111"/>
      <c r="G333" s="110" t="str">
        <f>IF(ISERROR(
IF(C333="","",IFERROR(VLOOKUP(E333,CAD_PROD!$C$6:$D$506,2,0),""))),"",IF(C333="","",IFERROR(VLOOKUP(E333,CAD_PROD!$C$6:$D$506,2,0),"")))</f>
        <v/>
      </c>
      <c r="H333" s="94" t="str">
        <f t="shared" si="5"/>
        <v/>
      </c>
    </row>
    <row r="334" spans="2:8" ht="36" customHeight="1">
      <c r="B334" s="52">
        <f>IF(E334=TOP_CONC!$D$5,B333+1,B333)</f>
        <v>2</v>
      </c>
      <c r="C334" s="92"/>
      <c r="D334" s="92"/>
      <c r="E334" s="92"/>
      <c r="F334" s="111"/>
      <c r="G334" s="110" t="str">
        <f>IF(ISERROR(
IF(C334="","",IFERROR(VLOOKUP(E334,CAD_PROD!$C$6:$D$506,2,0),""))),"",IF(C334="","",IFERROR(VLOOKUP(E334,CAD_PROD!$C$6:$D$506,2,0),"")))</f>
        <v/>
      </c>
      <c r="H334" s="94" t="str">
        <f t="shared" si="5"/>
        <v/>
      </c>
    </row>
    <row r="335" spans="2:8" ht="36" customHeight="1">
      <c r="B335" s="52">
        <f>IF(E335=TOP_CONC!$D$5,B334+1,B334)</f>
        <v>2</v>
      </c>
      <c r="C335" s="92"/>
      <c r="D335" s="92"/>
      <c r="E335" s="92"/>
      <c r="F335" s="111"/>
      <c r="G335" s="110" t="str">
        <f>IF(ISERROR(
IF(C335="","",IFERROR(VLOOKUP(E335,CAD_PROD!$C$6:$D$506,2,0),""))),"",IF(C335="","",IFERROR(VLOOKUP(E335,CAD_PROD!$C$6:$D$506,2,0),"")))</f>
        <v/>
      </c>
      <c r="H335" s="94" t="str">
        <f t="shared" si="5"/>
        <v/>
      </c>
    </row>
    <row r="336" spans="2:8" ht="36" customHeight="1">
      <c r="B336" s="52">
        <f>IF(E336=TOP_CONC!$D$5,B335+1,B335)</f>
        <v>2</v>
      </c>
      <c r="C336" s="92"/>
      <c r="D336" s="92"/>
      <c r="E336" s="92"/>
      <c r="F336" s="111"/>
      <c r="G336" s="110" t="str">
        <f>IF(ISERROR(
IF(C336="","",IFERROR(VLOOKUP(E336,CAD_PROD!$C$6:$D$506,2,0),""))),"",IF(C336="","",IFERROR(VLOOKUP(E336,CAD_PROD!$C$6:$D$506,2,0),"")))</f>
        <v/>
      </c>
      <c r="H336" s="94" t="str">
        <f t="shared" si="5"/>
        <v/>
      </c>
    </row>
    <row r="337" spans="2:8" ht="36" customHeight="1">
      <c r="B337" s="52">
        <f>IF(E337=TOP_CONC!$D$5,B336+1,B336)</f>
        <v>2</v>
      </c>
      <c r="C337" s="92"/>
      <c r="D337" s="92"/>
      <c r="E337" s="92"/>
      <c r="F337" s="111"/>
      <c r="G337" s="110" t="str">
        <f>IF(ISERROR(
IF(C337="","",IFERROR(VLOOKUP(E337,CAD_PROD!$C$6:$D$506,2,0),""))),"",IF(C337="","",IFERROR(VLOOKUP(E337,CAD_PROD!$C$6:$D$506,2,0),"")))</f>
        <v/>
      </c>
      <c r="H337" s="94" t="str">
        <f t="shared" si="5"/>
        <v/>
      </c>
    </row>
    <row r="338" spans="2:8" ht="36" customHeight="1">
      <c r="B338" s="52">
        <f>IF(E338=TOP_CONC!$D$5,B337+1,B337)</f>
        <v>2</v>
      </c>
      <c r="C338" s="92"/>
      <c r="D338" s="92"/>
      <c r="E338" s="92"/>
      <c r="F338" s="111"/>
      <c r="G338" s="110" t="str">
        <f>IF(ISERROR(
IF(C338="","",IFERROR(VLOOKUP(E338,CAD_PROD!$C$6:$D$506,2,0),""))),"",IF(C338="","",IFERROR(VLOOKUP(E338,CAD_PROD!$C$6:$D$506,2,0),"")))</f>
        <v/>
      </c>
      <c r="H338" s="94" t="str">
        <f t="shared" si="5"/>
        <v/>
      </c>
    </row>
    <row r="339" spans="2:8" ht="36" customHeight="1">
      <c r="B339" s="52">
        <f>IF(E339=TOP_CONC!$D$5,B338+1,B338)</f>
        <v>2</v>
      </c>
      <c r="C339" s="92"/>
      <c r="D339" s="92"/>
      <c r="E339" s="92"/>
      <c r="F339" s="111"/>
      <c r="G339" s="110" t="str">
        <f>IF(ISERROR(
IF(C339="","",IFERROR(VLOOKUP(E339,CAD_PROD!$C$6:$D$506,2,0),""))),"",IF(C339="","",IFERROR(VLOOKUP(E339,CAD_PROD!$C$6:$D$506,2,0),"")))</f>
        <v/>
      </c>
      <c r="H339" s="94" t="str">
        <f t="shared" si="5"/>
        <v/>
      </c>
    </row>
    <row r="340" spans="2:8" ht="36" customHeight="1">
      <c r="B340" s="52">
        <f>IF(E340=TOP_CONC!$D$5,B339+1,B339)</f>
        <v>2</v>
      </c>
      <c r="C340" s="92"/>
      <c r="D340" s="92"/>
      <c r="E340" s="92"/>
      <c r="F340" s="111"/>
      <c r="G340" s="110" t="str">
        <f>IF(ISERROR(
IF(C340="","",IFERROR(VLOOKUP(E340,CAD_PROD!$C$6:$D$506,2,0),""))),"",IF(C340="","",IFERROR(VLOOKUP(E340,CAD_PROD!$C$6:$D$506,2,0),"")))</f>
        <v/>
      </c>
      <c r="H340" s="94" t="str">
        <f t="shared" si="5"/>
        <v/>
      </c>
    </row>
    <row r="341" spans="2:8" ht="36" customHeight="1">
      <c r="B341" s="52">
        <f>IF(E341=TOP_CONC!$D$5,B340+1,B340)</f>
        <v>2</v>
      </c>
      <c r="C341" s="92"/>
      <c r="D341" s="92"/>
      <c r="E341" s="92"/>
      <c r="F341" s="111"/>
      <c r="G341" s="110" t="str">
        <f>IF(ISERROR(
IF(C341="","",IFERROR(VLOOKUP(E341,CAD_PROD!$C$6:$D$506,2,0),""))),"",IF(C341="","",IFERROR(VLOOKUP(E341,CAD_PROD!$C$6:$D$506,2,0),"")))</f>
        <v/>
      </c>
      <c r="H341" s="94" t="str">
        <f t="shared" si="5"/>
        <v/>
      </c>
    </row>
    <row r="342" spans="2:8" ht="36" customHeight="1">
      <c r="B342" s="52">
        <f>IF(E342=TOP_CONC!$D$5,B341+1,B341)</f>
        <v>2</v>
      </c>
      <c r="C342" s="92"/>
      <c r="D342" s="92"/>
      <c r="E342" s="92"/>
      <c r="F342" s="111"/>
      <c r="G342" s="110" t="str">
        <f>IF(ISERROR(
IF(C342="","",IFERROR(VLOOKUP(E342,CAD_PROD!$C$6:$D$506,2,0),""))),"",IF(C342="","",IFERROR(VLOOKUP(E342,CAD_PROD!$C$6:$D$506,2,0),"")))</f>
        <v/>
      </c>
      <c r="H342" s="94" t="str">
        <f t="shared" si="5"/>
        <v/>
      </c>
    </row>
    <row r="343" spans="2:8" ht="36" customHeight="1">
      <c r="B343" s="52">
        <f>IF(E343=TOP_CONC!$D$5,B342+1,B342)</f>
        <v>2</v>
      </c>
      <c r="C343" s="92"/>
      <c r="D343" s="92"/>
      <c r="E343" s="92"/>
      <c r="F343" s="111"/>
      <c r="G343" s="110" t="str">
        <f>IF(ISERROR(
IF(C343="","",IFERROR(VLOOKUP(E343,CAD_PROD!$C$6:$D$506,2,0),""))),"",IF(C343="","",IFERROR(VLOOKUP(E343,CAD_PROD!$C$6:$D$506,2,0),"")))</f>
        <v/>
      </c>
      <c r="H343" s="94" t="str">
        <f t="shared" si="5"/>
        <v/>
      </c>
    </row>
    <row r="344" spans="2:8" ht="36" customHeight="1">
      <c r="B344" s="52">
        <f>IF(E344=TOP_CONC!$D$5,B343+1,B343)</f>
        <v>2</v>
      </c>
      <c r="C344" s="92"/>
      <c r="D344" s="92"/>
      <c r="E344" s="92"/>
      <c r="F344" s="111"/>
      <c r="G344" s="110" t="str">
        <f>IF(ISERROR(
IF(C344="","",IFERROR(VLOOKUP(E344,CAD_PROD!$C$6:$D$506,2,0),""))),"",IF(C344="","",IFERROR(VLOOKUP(E344,CAD_PROD!$C$6:$D$506,2,0),"")))</f>
        <v/>
      </c>
      <c r="H344" s="94" t="str">
        <f t="shared" si="5"/>
        <v/>
      </c>
    </row>
    <row r="345" spans="2:8" ht="36" customHeight="1">
      <c r="B345" s="52">
        <f>IF(E345=TOP_CONC!$D$5,B344+1,B344)</f>
        <v>2</v>
      </c>
      <c r="C345" s="92"/>
      <c r="D345" s="92"/>
      <c r="E345" s="92"/>
      <c r="F345" s="111"/>
      <c r="G345" s="110" t="str">
        <f>IF(ISERROR(
IF(C345="","",IFERROR(VLOOKUP(E345,CAD_PROD!$C$6:$D$506,2,0),""))),"",IF(C345="","",IFERROR(VLOOKUP(E345,CAD_PROD!$C$6:$D$506,2,0),"")))</f>
        <v/>
      </c>
      <c r="H345" s="94" t="str">
        <f t="shared" si="5"/>
        <v/>
      </c>
    </row>
    <row r="346" spans="2:8" ht="36" customHeight="1">
      <c r="B346" s="52">
        <f>IF(E346=TOP_CONC!$D$5,B345+1,B345)</f>
        <v>2</v>
      </c>
      <c r="C346" s="92"/>
      <c r="D346" s="92"/>
      <c r="E346" s="92"/>
      <c r="F346" s="111"/>
      <c r="G346" s="110" t="str">
        <f>IF(ISERROR(
IF(C346="","",IFERROR(VLOOKUP(E346,CAD_PROD!$C$6:$D$506,2,0),""))),"",IF(C346="","",IFERROR(VLOOKUP(E346,CAD_PROD!$C$6:$D$506,2,0),"")))</f>
        <v/>
      </c>
      <c r="H346" s="94" t="str">
        <f t="shared" si="5"/>
        <v/>
      </c>
    </row>
    <row r="347" spans="2:8" ht="36" customHeight="1">
      <c r="B347" s="52">
        <f>IF(E347=TOP_CONC!$D$5,B346+1,B346)</f>
        <v>2</v>
      </c>
      <c r="C347" s="92"/>
      <c r="D347" s="92"/>
      <c r="E347" s="92"/>
      <c r="F347" s="111"/>
      <c r="G347" s="110" t="str">
        <f>IF(ISERROR(
IF(C347="","",IFERROR(VLOOKUP(E347,CAD_PROD!$C$6:$D$506,2,0),""))),"",IF(C347="","",IFERROR(VLOOKUP(E347,CAD_PROD!$C$6:$D$506,2,0),"")))</f>
        <v/>
      </c>
      <c r="H347" s="94" t="str">
        <f t="shared" si="5"/>
        <v/>
      </c>
    </row>
    <row r="348" spans="2:8" ht="36" customHeight="1">
      <c r="B348" s="52">
        <f>IF(E348=TOP_CONC!$D$5,B347+1,B347)</f>
        <v>2</v>
      </c>
      <c r="C348" s="92"/>
      <c r="D348" s="92"/>
      <c r="E348" s="92"/>
      <c r="F348" s="111"/>
      <c r="G348" s="110" t="str">
        <f>IF(ISERROR(
IF(C348="","",IFERROR(VLOOKUP(E348,CAD_PROD!$C$6:$D$506,2,0),""))),"",IF(C348="","",IFERROR(VLOOKUP(E348,CAD_PROD!$C$6:$D$506,2,0),"")))</f>
        <v/>
      </c>
      <c r="H348" s="94" t="str">
        <f t="shared" si="5"/>
        <v/>
      </c>
    </row>
    <row r="349" spans="2:8" ht="36" customHeight="1">
      <c r="B349" s="52">
        <f>IF(E349=TOP_CONC!$D$5,B348+1,B348)</f>
        <v>2</v>
      </c>
      <c r="C349" s="92"/>
      <c r="D349" s="92"/>
      <c r="E349" s="92"/>
      <c r="F349" s="111"/>
      <c r="G349" s="110" t="str">
        <f>IF(ISERROR(
IF(C349="","",IFERROR(VLOOKUP(E349,CAD_PROD!$C$6:$D$506,2,0),""))),"",IF(C349="","",IFERROR(VLOOKUP(E349,CAD_PROD!$C$6:$D$506,2,0),"")))</f>
        <v/>
      </c>
      <c r="H349" s="94" t="str">
        <f t="shared" si="5"/>
        <v/>
      </c>
    </row>
    <row r="350" spans="2:8" ht="36" customHeight="1">
      <c r="B350" s="52">
        <f>IF(E350=TOP_CONC!$D$5,B349+1,B349)</f>
        <v>2</v>
      </c>
      <c r="C350" s="92"/>
      <c r="D350" s="92"/>
      <c r="E350" s="92"/>
      <c r="F350" s="111"/>
      <c r="G350" s="110" t="str">
        <f>IF(ISERROR(
IF(C350="","",IFERROR(VLOOKUP(E350,CAD_PROD!$C$6:$D$506,2,0),""))),"",IF(C350="","",IFERROR(VLOOKUP(E350,CAD_PROD!$C$6:$D$506,2,0),"")))</f>
        <v/>
      </c>
      <c r="H350" s="94" t="str">
        <f t="shared" si="5"/>
        <v/>
      </c>
    </row>
    <row r="351" spans="2:8" ht="36" customHeight="1">
      <c r="B351" s="52">
        <f>IF(E351=TOP_CONC!$D$5,B350+1,B350)</f>
        <v>2</v>
      </c>
      <c r="C351" s="92"/>
      <c r="D351" s="92"/>
      <c r="E351" s="92"/>
      <c r="F351" s="111"/>
      <c r="G351" s="110" t="str">
        <f>IF(ISERROR(
IF(C351="","",IFERROR(VLOOKUP(E351,CAD_PROD!$C$6:$D$506,2,0),""))),"",IF(C351="","",IFERROR(VLOOKUP(E351,CAD_PROD!$C$6:$D$506,2,0),"")))</f>
        <v/>
      </c>
      <c r="H351" s="94" t="str">
        <f t="shared" si="5"/>
        <v/>
      </c>
    </row>
    <row r="352" spans="2:8" ht="36" customHeight="1">
      <c r="B352" s="52">
        <f>IF(E352=TOP_CONC!$D$5,B351+1,B351)</f>
        <v>2</v>
      </c>
      <c r="C352" s="92"/>
      <c r="D352" s="92"/>
      <c r="E352" s="92"/>
      <c r="F352" s="111"/>
      <c r="G352" s="110" t="str">
        <f>IF(ISERROR(
IF(C352="","",IFERROR(VLOOKUP(E352,CAD_PROD!$C$6:$D$506,2,0),""))),"",IF(C352="","",IFERROR(VLOOKUP(E352,CAD_PROD!$C$6:$D$506,2,0),"")))</f>
        <v/>
      </c>
      <c r="H352" s="94" t="str">
        <f t="shared" si="5"/>
        <v/>
      </c>
    </row>
    <row r="353" spans="2:8" ht="36" customHeight="1">
      <c r="B353" s="52">
        <f>IF(E353=TOP_CONC!$D$5,B352+1,B352)</f>
        <v>2</v>
      </c>
      <c r="C353" s="92"/>
      <c r="D353" s="92"/>
      <c r="E353" s="92"/>
      <c r="F353" s="111"/>
      <c r="G353" s="110" t="str">
        <f>IF(ISERROR(
IF(C353="","",IFERROR(VLOOKUP(E353,CAD_PROD!$C$6:$D$506,2,0),""))),"",IF(C353="","",IFERROR(VLOOKUP(E353,CAD_PROD!$C$6:$D$506,2,0),"")))</f>
        <v/>
      </c>
      <c r="H353" s="94" t="str">
        <f t="shared" si="5"/>
        <v/>
      </c>
    </row>
    <row r="354" spans="2:8" ht="36" customHeight="1">
      <c r="B354" s="52">
        <f>IF(E354=TOP_CONC!$D$5,B353+1,B353)</f>
        <v>2</v>
      </c>
      <c r="C354" s="92"/>
      <c r="D354" s="92"/>
      <c r="E354" s="92"/>
      <c r="F354" s="111"/>
      <c r="G354" s="110" t="str">
        <f>IF(ISERROR(
IF(C354="","",IFERROR(VLOOKUP(E354,CAD_PROD!$C$6:$D$506,2,0),""))),"",IF(C354="","",IFERROR(VLOOKUP(E354,CAD_PROD!$C$6:$D$506,2,0),"")))</f>
        <v/>
      </c>
      <c r="H354" s="94" t="str">
        <f t="shared" si="5"/>
        <v/>
      </c>
    </row>
    <row r="355" spans="2:8" ht="36" customHeight="1">
      <c r="B355" s="52">
        <f>IF(E355=TOP_CONC!$D$5,B354+1,B354)</f>
        <v>2</v>
      </c>
      <c r="C355" s="92"/>
      <c r="D355" s="92"/>
      <c r="E355" s="92"/>
      <c r="F355" s="111"/>
      <c r="G355" s="110" t="str">
        <f>IF(ISERROR(
IF(C355="","",IFERROR(VLOOKUP(E355,CAD_PROD!$C$6:$D$506,2,0),""))),"",IF(C355="","",IFERROR(VLOOKUP(E355,CAD_PROD!$C$6:$D$506,2,0),"")))</f>
        <v/>
      </c>
      <c r="H355" s="94" t="str">
        <f t="shared" si="5"/>
        <v/>
      </c>
    </row>
    <row r="356" spans="2:8" ht="36" customHeight="1">
      <c r="B356" s="52">
        <f>IF(E356=TOP_CONC!$D$5,B355+1,B355)</f>
        <v>2</v>
      </c>
      <c r="C356" s="92"/>
      <c r="D356" s="92"/>
      <c r="E356" s="92"/>
      <c r="F356" s="111"/>
      <c r="G356" s="110" t="str">
        <f>IF(ISERROR(
IF(C356="","",IFERROR(VLOOKUP(E356,CAD_PROD!$C$6:$D$506,2,0),""))),"",IF(C356="","",IFERROR(VLOOKUP(E356,CAD_PROD!$C$6:$D$506,2,0),"")))</f>
        <v/>
      </c>
      <c r="H356" s="94" t="str">
        <f t="shared" si="5"/>
        <v/>
      </c>
    </row>
    <row r="357" spans="2:8" ht="36" customHeight="1">
      <c r="B357" s="52">
        <f>IF(E357=TOP_CONC!$D$5,B356+1,B356)</f>
        <v>2</v>
      </c>
      <c r="C357" s="92"/>
      <c r="D357" s="92"/>
      <c r="E357" s="92"/>
      <c r="F357" s="111"/>
      <c r="G357" s="110" t="str">
        <f>IF(ISERROR(
IF(C357="","",IFERROR(VLOOKUP(E357,CAD_PROD!$C$6:$D$506,2,0),""))),"",IF(C357="","",IFERROR(VLOOKUP(E357,CAD_PROD!$C$6:$D$506,2,0),"")))</f>
        <v/>
      </c>
      <c r="H357" s="94" t="str">
        <f t="shared" si="5"/>
        <v/>
      </c>
    </row>
    <row r="358" spans="2:8" ht="36" customHeight="1">
      <c r="B358" s="52">
        <f>IF(E358=TOP_CONC!$D$5,B357+1,B357)</f>
        <v>2</v>
      </c>
      <c r="C358" s="92"/>
      <c r="D358" s="92"/>
      <c r="E358" s="92"/>
      <c r="F358" s="111"/>
      <c r="G358" s="110" t="str">
        <f>IF(ISERROR(
IF(C358="","",IFERROR(VLOOKUP(E358,CAD_PROD!$C$6:$D$506,2,0),""))),"",IF(C358="","",IFERROR(VLOOKUP(E358,CAD_PROD!$C$6:$D$506,2,0),"")))</f>
        <v/>
      </c>
      <c r="H358" s="94" t="str">
        <f t="shared" si="5"/>
        <v/>
      </c>
    </row>
    <row r="359" spans="2:8" ht="36" customHeight="1">
      <c r="B359" s="52">
        <f>IF(E359=TOP_CONC!$D$5,B358+1,B358)</f>
        <v>2</v>
      </c>
      <c r="C359" s="92"/>
      <c r="D359" s="92"/>
      <c r="E359" s="92"/>
      <c r="F359" s="111"/>
      <c r="G359" s="110" t="str">
        <f>IF(ISERROR(
IF(C359="","",IFERROR(VLOOKUP(E359,CAD_PROD!$C$6:$D$506,2,0),""))),"",IF(C359="","",IFERROR(VLOOKUP(E359,CAD_PROD!$C$6:$D$506,2,0),"")))</f>
        <v/>
      </c>
      <c r="H359" s="94" t="str">
        <f t="shared" si="5"/>
        <v/>
      </c>
    </row>
    <row r="360" spans="2:8" ht="36" customHeight="1">
      <c r="B360" s="52">
        <f>IF(E360=TOP_CONC!$D$5,B359+1,B359)</f>
        <v>2</v>
      </c>
      <c r="C360" s="92"/>
      <c r="D360" s="92"/>
      <c r="E360" s="92"/>
      <c r="F360" s="111"/>
      <c r="G360" s="110" t="str">
        <f>IF(ISERROR(
IF(C360="","",IFERROR(VLOOKUP(E360,CAD_PROD!$C$6:$D$506,2,0),""))),"",IF(C360="","",IFERROR(VLOOKUP(E360,CAD_PROD!$C$6:$D$506,2,0),"")))</f>
        <v/>
      </c>
      <c r="H360" s="94" t="str">
        <f t="shared" si="5"/>
        <v/>
      </c>
    </row>
    <row r="361" spans="2:8" ht="36" customHeight="1">
      <c r="B361" s="52">
        <f>IF(E361=TOP_CONC!$D$5,B360+1,B360)</f>
        <v>2</v>
      </c>
      <c r="C361" s="92"/>
      <c r="D361" s="92"/>
      <c r="E361" s="92"/>
      <c r="F361" s="111"/>
      <c r="G361" s="110" t="str">
        <f>IF(ISERROR(
IF(C361="","",IFERROR(VLOOKUP(E361,CAD_PROD!$C$6:$D$506,2,0),""))),"",IF(C361="","",IFERROR(VLOOKUP(E361,CAD_PROD!$C$6:$D$506,2,0),"")))</f>
        <v/>
      </c>
      <c r="H361" s="94" t="str">
        <f t="shared" si="5"/>
        <v/>
      </c>
    </row>
    <row r="362" spans="2:8" ht="36" customHeight="1">
      <c r="B362" s="52">
        <f>IF(E362=TOP_CONC!$D$5,B361+1,B361)</f>
        <v>2</v>
      </c>
      <c r="C362" s="92"/>
      <c r="D362" s="92"/>
      <c r="E362" s="92"/>
      <c r="F362" s="111"/>
      <c r="G362" s="110" t="str">
        <f>IF(ISERROR(
IF(C362="","",IFERROR(VLOOKUP(E362,CAD_PROD!$C$6:$D$506,2,0),""))),"",IF(C362="","",IFERROR(VLOOKUP(E362,CAD_PROD!$C$6:$D$506,2,0),"")))</f>
        <v/>
      </c>
      <c r="H362" s="94" t="str">
        <f t="shared" si="5"/>
        <v/>
      </c>
    </row>
    <row r="363" spans="2:8" ht="36" customHeight="1">
      <c r="B363" s="52">
        <f>IF(E363=TOP_CONC!$D$5,B362+1,B362)</f>
        <v>2</v>
      </c>
      <c r="C363" s="92"/>
      <c r="D363" s="92"/>
      <c r="E363" s="92"/>
      <c r="F363" s="111"/>
      <c r="G363" s="110" t="str">
        <f>IF(ISERROR(
IF(C363="","",IFERROR(VLOOKUP(E363,CAD_PROD!$C$6:$D$506,2,0),""))),"",IF(C363="","",IFERROR(VLOOKUP(E363,CAD_PROD!$C$6:$D$506,2,0),"")))</f>
        <v/>
      </c>
      <c r="H363" s="94" t="str">
        <f t="shared" si="5"/>
        <v/>
      </c>
    </row>
    <row r="364" spans="2:8" ht="36" customHeight="1">
      <c r="B364" s="52">
        <f>IF(E364=TOP_CONC!$D$5,B363+1,B363)</f>
        <v>2</v>
      </c>
      <c r="C364" s="92"/>
      <c r="D364" s="92"/>
      <c r="E364" s="92"/>
      <c r="F364" s="111"/>
      <c r="G364" s="110" t="str">
        <f>IF(ISERROR(
IF(C364="","",IFERROR(VLOOKUP(E364,CAD_PROD!$C$6:$D$506,2,0),""))),"",IF(C364="","",IFERROR(VLOOKUP(E364,CAD_PROD!$C$6:$D$506,2,0),"")))</f>
        <v/>
      </c>
      <c r="H364" s="94" t="str">
        <f t="shared" si="5"/>
        <v/>
      </c>
    </row>
    <row r="365" spans="2:8" ht="36" customHeight="1">
      <c r="B365" s="52">
        <f>IF(E365=TOP_CONC!$D$5,B364+1,B364)</f>
        <v>2</v>
      </c>
      <c r="C365" s="92"/>
      <c r="D365" s="92"/>
      <c r="E365" s="92"/>
      <c r="F365" s="111"/>
      <c r="G365" s="110" t="str">
        <f>IF(ISERROR(
IF(C365="","",IFERROR(VLOOKUP(E365,CAD_PROD!$C$6:$D$506,2,0),""))),"",IF(C365="","",IFERROR(VLOOKUP(E365,CAD_PROD!$C$6:$D$506,2,0),"")))</f>
        <v/>
      </c>
      <c r="H365" s="94" t="str">
        <f t="shared" si="5"/>
        <v/>
      </c>
    </row>
    <row r="366" spans="2:8" ht="36" customHeight="1">
      <c r="B366" s="52">
        <f>IF(E366=TOP_CONC!$D$5,B365+1,B365)</f>
        <v>2</v>
      </c>
      <c r="C366" s="92"/>
      <c r="D366" s="92"/>
      <c r="E366" s="92"/>
      <c r="F366" s="111"/>
      <c r="G366" s="110" t="str">
        <f>IF(ISERROR(
IF(C366="","",IFERROR(VLOOKUP(E366,CAD_PROD!$C$6:$D$506,2,0),""))),"",IF(C366="","",IFERROR(VLOOKUP(E366,CAD_PROD!$C$6:$D$506,2,0),"")))</f>
        <v/>
      </c>
      <c r="H366" s="94" t="str">
        <f t="shared" si="5"/>
        <v/>
      </c>
    </row>
    <row r="367" spans="2:8" ht="36" customHeight="1">
      <c r="B367" s="52">
        <f>IF(E367=TOP_CONC!$D$5,B366+1,B366)</f>
        <v>2</v>
      </c>
      <c r="C367" s="92"/>
      <c r="D367" s="92"/>
      <c r="E367" s="92"/>
      <c r="F367" s="111"/>
      <c r="G367" s="110" t="str">
        <f>IF(ISERROR(
IF(C367="","",IFERROR(VLOOKUP(E367,CAD_PROD!$C$6:$D$506,2,0),""))),"",IF(C367="","",IFERROR(VLOOKUP(E367,CAD_PROD!$C$6:$D$506,2,0),"")))</f>
        <v/>
      </c>
      <c r="H367" s="94" t="str">
        <f t="shared" si="5"/>
        <v/>
      </c>
    </row>
    <row r="368" spans="2:8" ht="36" customHeight="1">
      <c r="B368" s="52">
        <f>IF(E368=TOP_CONC!$D$5,B367+1,B367)</f>
        <v>2</v>
      </c>
      <c r="C368" s="92"/>
      <c r="D368" s="92"/>
      <c r="E368" s="92"/>
      <c r="F368" s="111"/>
      <c r="G368" s="110" t="str">
        <f>IF(ISERROR(
IF(C368="","",IFERROR(VLOOKUP(E368,CAD_PROD!$C$6:$D$506,2,0),""))),"",IF(C368="","",IFERROR(VLOOKUP(E368,CAD_PROD!$C$6:$D$506,2,0),"")))</f>
        <v/>
      </c>
      <c r="H368" s="94" t="str">
        <f t="shared" si="5"/>
        <v/>
      </c>
    </row>
    <row r="369" spans="2:8" ht="36" customHeight="1">
      <c r="B369" s="52">
        <f>IF(E369=TOP_CONC!$D$5,B368+1,B368)</f>
        <v>2</v>
      </c>
      <c r="C369" s="92"/>
      <c r="D369" s="92"/>
      <c r="E369" s="92"/>
      <c r="F369" s="111"/>
      <c r="G369" s="110" t="str">
        <f>IF(ISERROR(
IF(C369="","",IFERROR(VLOOKUP(E369,CAD_PROD!$C$6:$D$506,2,0),""))),"",IF(C369="","",IFERROR(VLOOKUP(E369,CAD_PROD!$C$6:$D$506,2,0),"")))</f>
        <v/>
      </c>
      <c r="H369" s="94" t="str">
        <f t="shared" si="5"/>
        <v/>
      </c>
    </row>
    <row r="370" spans="2:8" ht="36" customHeight="1">
      <c r="B370" s="52">
        <f>IF(E370=TOP_CONC!$D$5,B369+1,B369)</f>
        <v>2</v>
      </c>
      <c r="C370" s="92"/>
      <c r="D370" s="92"/>
      <c r="E370" s="92"/>
      <c r="F370" s="111"/>
      <c r="G370" s="110" t="str">
        <f>IF(ISERROR(
IF(C370="","",IFERROR(VLOOKUP(E370,CAD_PROD!$C$6:$D$506,2,0),""))),"",IF(C370="","",IFERROR(VLOOKUP(E370,CAD_PROD!$C$6:$D$506,2,0),"")))</f>
        <v/>
      </c>
      <c r="H370" s="94" t="str">
        <f t="shared" si="5"/>
        <v/>
      </c>
    </row>
    <row r="371" spans="2:8" ht="36" customHeight="1">
      <c r="B371" s="52">
        <f>IF(E371=TOP_CONC!$D$5,B370+1,B370)</f>
        <v>2</v>
      </c>
      <c r="C371" s="92"/>
      <c r="D371" s="92"/>
      <c r="E371" s="92"/>
      <c r="F371" s="111"/>
      <c r="G371" s="110" t="str">
        <f>IF(ISERROR(
IF(C371="","",IFERROR(VLOOKUP(E371,CAD_PROD!$C$6:$D$506,2,0),""))),"",IF(C371="","",IFERROR(VLOOKUP(E371,CAD_PROD!$C$6:$D$506,2,0),"")))</f>
        <v/>
      </c>
      <c r="H371" s="94" t="str">
        <f t="shared" si="5"/>
        <v/>
      </c>
    </row>
    <row r="372" spans="2:8" ht="36" customHeight="1">
      <c r="B372" s="52">
        <f>IF(E372=TOP_CONC!$D$5,B371+1,B371)</f>
        <v>2</v>
      </c>
      <c r="C372" s="92"/>
      <c r="D372" s="92"/>
      <c r="E372" s="92"/>
      <c r="F372" s="111"/>
      <c r="G372" s="110" t="str">
        <f>IF(ISERROR(
IF(C372="","",IFERROR(VLOOKUP(E372,CAD_PROD!$C$6:$D$506,2,0),""))),"",IF(C372="","",IFERROR(VLOOKUP(E372,CAD_PROD!$C$6:$D$506,2,0),"")))</f>
        <v/>
      </c>
      <c r="H372" s="94" t="str">
        <f t="shared" si="5"/>
        <v/>
      </c>
    </row>
    <row r="373" spans="2:8" ht="36" customHeight="1">
      <c r="B373" s="52">
        <f>IF(E373=TOP_CONC!$D$5,B372+1,B372)</f>
        <v>2</v>
      </c>
      <c r="C373" s="92"/>
      <c r="D373" s="92"/>
      <c r="E373" s="92"/>
      <c r="F373" s="111"/>
      <c r="G373" s="110" t="str">
        <f>IF(ISERROR(
IF(C373="","",IFERROR(VLOOKUP(E373,CAD_PROD!$C$6:$D$506,2,0),""))),"",IF(C373="","",IFERROR(VLOOKUP(E373,CAD_PROD!$C$6:$D$506,2,0),"")))</f>
        <v/>
      </c>
      <c r="H373" s="94" t="str">
        <f t="shared" si="5"/>
        <v/>
      </c>
    </row>
    <row r="374" spans="2:8" ht="36" customHeight="1">
      <c r="B374" s="52">
        <f>IF(E374=TOP_CONC!$D$5,B373+1,B373)</f>
        <v>2</v>
      </c>
      <c r="C374" s="92"/>
      <c r="D374" s="92"/>
      <c r="E374" s="92"/>
      <c r="F374" s="111"/>
      <c r="G374" s="110" t="str">
        <f>IF(ISERROR(
IF(C374="","",IFERROR(VLOOKUP(E374,CAD_PROD!$C$6:$D$506,2,0),""))),"",IF(C374="","",IFERROR(VLOOKUP(E374,CAD_PROD!$C$6:$D$506,2,0),"")))</f>
        <v/>
      </c>
      <c r="H374" s="94" t="str">
        <f t="shared" si="5"/>
        <v/>
      </c>
    </row>
    <row r="375" spans="2:8" ht="36" customHeight="1">
      <c r="B375" s="52">
        <f>IF(E375=TOP_CONC!$D$5,B374+1,B374)</f>
        <v>2</v>
      </c>
      <c r="C375" s="92"/>
      <c r="D375" s="92"/>
      <c r="E375" s="92"/>
      <c r="F375" s="111"/>
      <c r="G375" s="110" t="str">
        <f>IF(ISERROR(
IF(C375="","",IFERROR(VLOOKUP(E375,CAD_PROD!$C$6:$D$506,2,0),""))),"",IF(C375="","",IFERROR(VLOOKUP(E375,CAD_PROD!$C$6:$D$506,2,0),"")))</f>
        <v/>
      </c>
      <c r="H375" s="94" t="str">
        <f t="shared" si="5"/>
        <v/>
      </c>
    </row>
    <row r="376" spans="2:8" ht="36" customHeight="1">
      <c r="B376" s="52">
        <f>IF(E376=TOP_CONC!$D$5,B375+1,B375)</f>
        <v>2</v>
      </c>
      <c r="C376" s="92"/>
      <c r="D376" s="92"/>
      <c r="E376" s="92"/>
      <c r="F376" s="111"/>
      <c r="G376" s="110" t="str">
        <f>IF(ISERROR(
IF(C376="","",IFERROR(VLOOKUP(E376,CAD_PROD!$C$6:$D$506,2,0),""))),"",IF(C376="","",IFERROR(VLOOKUP(E376,CAD_PROD!$C$6:$D$506,2,0),"")))</f>
        <v/>
      </c>
      <c r="H376" s="94" t="str">
        <f t="shared" si="5"/>
        <v/>
      </c>
    </row>
    <row r="377" spans="2:8" ht="36" customHeight="1">
      <c r="B377" s="52">
        <f>IF(E377=TOP_CONC!$D$5,B376+1,B376)</f>
        <v>2</v>
      </c>
      <c r="C377" s="92"/>
      <c r="D377" s="92"/>
      <c r="E377" s="92"/>
      <c r="F377" s="111"/>
      <c r="G377" s="110" t="str">
        <f>IF(ISERROR(
IF(C377="","",IFERROR(VLOOKUP(E377,CAD_PROD!$C$6:$D$506,2,0),""))),"",IF(C377="","",IFERROR(VLOOKUP(E377,CAD_PROD!$C$6:$D$506,2,0),"")))</f>
        <v/>
      </c>
      <c r="H377" s="94" t="str">
        <f t="shared" si="5"/>
        <v/>
      </c>
    </row>
    <row r="378" spans="2:8" ht="36" customHeight="1">
      <c r="B378" s="52">
        <f>IF(E378=TOP_CONC!$D$5,B377+1,B377)</f>
        <v>2</v>
      </c>
      <c r="C378" s="92"/>
      <c r="D378" s="92"/>
      <c r="E378" s="92"/>
      <c r="F378" s="111"/>
      <c r="G378" s="110" t="str">
        <f>IF(ISERROR(
IF(C378="","",IFERROR(VLOOKUP(E378,CAD_PROD!$C$6:$D$506,2,0),""))),"",IF(C378="","",IFERROR(VLOOKUP(E378,CAD_PROD!$C$6:$D$506,2,0),"")))</f>
        <v/>
      </c>
      <c r="H378" s="94" t="str">
        <f t="shared" si="5"/>
        <v/>
      </c>
    </row>
    <row r="379" spans="2:8" ht="36" customHeight="1">
      <c r="B379" s="52">
        <f>IF(E379=TOP_CONC!$D$5,B378+1,B378)</f>
        <v>2</v>
      </c>
      <c r="C379" s="92"/>
      <c r="D379" s="92"/>
      <c r="E379" s="92"/>
      <c r="F379" s="111"/>
      <c r="G379" s="110" t="str">
        <f>IF(ISERROR(
IF(C379="","",IFERROR(VLOOKUP(E379,CAD_PROD!$C$6:$D$506,2,0),""))),"",IF(C379="","",IFERROR(VLOOKUP(E379,CAD_PROD!$C$6:$D$506,2,0),"")))</f>
        <v/>
      </c>
      <c r="H379" s="94" t="str">
        <f t="shared" si="5"/>
        <v/>
      </c>
    </row>
    <row r="380" spans="2:8" ht="36" customHeight="1">
      <c r="B380" s="52">
        <f>IF(E380=TOP_CONC!$D$5,B379+1,B379)</f>
        <v>2</v>
      </c>
      <c r="C380" s="92"/>
      <c r="D380" s="92"/>
      <c r="E380" s="92"/>
      <c r="F380" s="111"/>
      <c r="G380" s="110" t="str">
        <f>IF(ISERROR(
IF(C380="","",IFERROR(VLOOKUP(E380,CAD_PROD!$C$6:$D$506,2,0),""))),"",IF(C380="","",IFERROR(VLOOKUP(E380,CAD_PROD!$C$6:$D$506,2,0),"")))</f>
        <v/>
      </c>
      <c r="H380" s="94" t="str">
        <f t="shared" si="5"/>
        <v/>
      </c>
    </row>
    <row r="381" spans="2:8" ht="36" customHeight="1">
      <c r="B381" s="52">
        <f>IF(E381=TOP_CONC!$D$5,B380+1,B380)</f>
        <v>2</v>
      </c>
      <c r="C381" s="92"/>
      <c r="D381" s="92"/>
      <c r="E381" s="92"/>
      <c r="F381" s="111"/>
      <c r="G381" s="110" t="str">
        <f>IF(ISERROR(
IF(C381="","",IFERROR(VLOOKUP(E381,CAD_PROD!$C$6:$D$506,2,0),""))),"",IF(C381="","",IFERROR(VLOOKUP(E381,CAD_PROD!$C$6:$D$506,2,0),"")))</f>
        <v/>
      </c>
      <c r="H381" s="94" t="str">
        <f t="shared" si="5"/>
        <v/>
      </c>
    </row>
    <row r="382" spans="2:8" ht="36" customHeight="1">
      <c r="B382" s="52">
        <f>IF(E382=TOP_CONC!$D$5,B381+1,B381)</f>
        <v>2</v>
      </c>
      <c r="C382" s="92"/>
      <c r="D382" s="92"/>
      <c r="E382" s="92"/>
      <c r="F382" s="111"/>
      <c r="G382" s="110" t="str">
        <f>IF(ISERROR(
IF(C382="","",IFERROR(VLOOKUP(E382,CAD_PROD!$C$6:$D$506,2,0),""))),"",IF(C382="","",IFERROR(VLOOKUP(E382,CAD_PROD!$C$6:$D$506,2,0),"")))</f>
        <v/>
      </c>
      <c r="H382" s="94" t="str">
        <f t="shared" si="5"/>
        <v/>
      </c>
    </row>
    <row r="383" spans="2:8" ht="36" customHeight="1">
      <c r="B383" s="52">
        <f>IF(E383=TOP_CONC!$D$5,B382+1,B382)</f>
        <v>2</v>
      </c>
      <c r="C383" s="92"/>
      <c r="D383" s="92"/>
      <c r="E383" s="92"/>
      <c r="F383" s="111"/>
      <c r="G383" s="110" t="str">
        <f>IF(ISERROR(
IF(C383="","",IFERROR(VLOOKUP(E383,CAD_PROD!$C$6:$D$506,2,0),""))),"",IF(C383="","",IFERROR(VLOOKUP(E383,CAD_PROD!$C$6:$D$506,2,0),"")))</f>
        <v/>
      </c>
      <c r="H383" s="94" t="str">
        <f t="shared" si="5"/>
        <v/>
      </c>
    </row>
    <row r="384" spans="2:8" ht="36" customHeight="1">
      <c r="B384" s="52">
        <f>IF(E384=TOP_CONC!$D$5,B383+1,B383)</f>
        <v>2</v>
      </c>
      <c r="C384" s="92"/>
      <c r="D384" s="92"/>
      <c r="E384" s="92"/>
      <c r="F384" s="111"/>
      <c r="G384" s="110" t="str">
        <f>IF(ISERROR(
IF(C384="","",IFERROR(VLOOKUP(E384,CAD_PROD!$C$6:$D$506,2,0),""))),"",IF(C384="","",IFERROR(VLOOKUP(E384,CAD_PROD!$C$6:$D$506,2,0),"")))</f>
        <v/>
      </c>
      <c r="H384" s="94" t="str">
        <f t="shared" si="5"/>
        <v/>
      </c>
    </row>
    <row r="385" spans="2:8" ht="36" customHeight="1">
      <c r="B385" s="52">
        <f>IF(E385=TOP_CONC!$D$5,B384+1,B384)</f>
        <v>2</v>
      </c>
      <c r="C385" s="92"/>
      <c r="D385" s="92"/>
      <c r="E385" s="92"/>
      <c r="F385" s="111"/>
      <c r="G385" s="110" t="str">
        <f>IF(ISERROR(
IF(C385="","",IFERROR(VLOOKUP(E385,CAD_PROD!$C$6:$D$506,2,0),""))),"",IF(C385="","",IFERROR(VLOOKUP(E385,CAD_PROD!$C$6:$D$506,2,0),"")))</f>
        <v/>
      </c>
      <c r="H385" s="94" t="str">
        <f t="shared" si="5"/>
        <v/>
      </c>
    </row>
    <row r="386" spans="2:8" ht="36" customHeight="1">
      <c r="B386" s="52">
        <f>IF(E386=TOP_CONC!$D$5,B385+1,B385)</f>
        <v>2</v>
      </c>
      <c r="C386" s="92"/>
      <c r="D386" s="92"/>
      <c r="E386" s="92"/>
      <c r="F386" s="111"/>
      <c r="G386" s="110" t="str">
        <f>IF(ISERROR(
IF(C386="","",IFERROR(VLOOKUP(E386,CAD_PROD!$C$6:$D$506,2,0),""))),"",IF(C386="","",IFERROR(VLOOKUP(E386,CAD_PROD!$C$6:$D$506,2,0),"")))</f>
        <v/>
      </c>
      <c r="H386" s="94" t="str">
        <f t="shared" si="5"/>
        <v/>
      </c>
    </row>
    <row r="387" spans="2:8" ht="36" customHeight="1">
      <c r="B387" s="52">
        <f>IF(E387=TOP_CONC!$D$5,B386+1,B386)</f>
        <v>2</v>
      </c>
      <c r="C387" s="92"/>
      <c r="D387" s="92"/>
      <c r="E387" s="92"/>
      <c r="F387" s="111"/>
      <c r="G387" s="110" t="str">
        <f>IF(ISERROR(
IF(C387="","",IFERROR(VLOOKUP(E387,CAD_PROD!$C$6:$D$506,2,0),""))),"",IF(C387="","",IFERROR(VLOOKUP(E387,CAD_PROD!$C$6:$D$506,2,0),"")))</f>
        <v/>
      </c>
      <c r="H387" s="94" t="str">
        <f t="shared" si="5"/>
        <v/>
      </c>
    </row>
    <row r="388" spans="2:8" ht="36" customHeight="1">
      <c r="B388" s="52">
        <f>IF(E388=TOP_CONC!$D$5,B387+1,B387)</f>
        <v>2</v>
      </c>
      <c r="C388" s="92"/>
      <c r="D388" s="92"/>
      <c r="E388" s="92"/>
      <c r="F388" s="111"/>
      <c r="G388" s="110" t="str">
        <f>IF(ISERROR(
IF(C388="","",IFERROR(VLOOKUP(E388,CAD_PROD!$C$6:$D$506,2,0),""))),"",IF(C388="","",IFERROR(VLOOKUP(E388,CAD_PROD!$C$6:$D$506,2,0),"")))</f>
        <v/>
      </c>
      <c r="H388" s="94" t="str">
        <f t="shared" si="5"/>
        <v/>
      </c>
    </row>
    <row r="389" spans="2:8" ht="36" customHeight="1">
      <c r="B389" s="52">
        <f>IF(E389=TOP_CONC!$D$5,B388+1,B388)</f>
        <v>2</v>
      </c>
      <c r="C389" s="92"/>
      <c r="D389" s="92"/>
      <c r="E389" s="92"/>
      <c r="F389" s="111"/>
      <c r="G389" s="110" t="str">
        <f>IF(ISERROR(
IF(C389="","",IFERROR(VLOOKUP(E389,CAD_PROD!$C$6:$D$506,2,0),""))),"",IF(C389="","",IFERROR(VLOOKUP(E389,CAD_PROD!$C$6:$D$506,2,0),"")))</f>
        <v/>
      </c>
      <c r="H389" s="94" t="str">
        <f t="shared" si="5"/>
        <v/>
      </c>
    </row>
    <row r="390" spans="2:8" ht="36" customHeight="1">
      <c r="B390" s="52">
        <f>IF(E390=TOP_CONC!$D$5,B389+1,B389)</f>
        <v>2</v>
      </c>
      <c r="C390" s="92"/>
      <c r="D390" s="92"/>
      <c r="E390" s="92"/>
      <c r="F390" s="111"/>
      <c r="G390" s="110" t="str">
        <f>IF(ISERROR(
IF(C390="","",IFERROR(VLOOKUP(E390,CAD_PROD!$C$6:$D$506,2,0),""))),"",IF(C390="","",IFERROR(VLOOKUP(E390,CAD_PROD!$C$6:$D$506,2,0),"")))</f>
        <v/>
      </c>
      <c r="H390" s="94" t="str">
        <f t="shared" si="5"/>
        <v/>
      </c>
    </row>
    <row r="391" spans="2:8" ht="36" customHeight="1">
      <c r="B391" s="52">
        <f>IF(E391=TOP_CONC!$D$5,B390+1,B390)</f>
        <v>2</v>
      </c>
      <c r="C391" s="92"/>
      <c r="D391" s="92"/>
      <c r="E391" s="92"/>
      <c r="F391" s="111"/>
      <c r="G391" s="110" t="str">
        <f>IF(ISERROR(
IF(C391="","",IFERROR(VLOOKUP(E391,CAD_PROD!$C$6:$D$506,2,0),""))),"",IF(C391="","",IFERROR(VLOOKUP(E391,CAD_PROD!$C$6:$D$506,2,0),"")))</f>
        <v/>
      </c>
      <c r="H391" s="94" t="str">
        <f t="shared" ref="H391:H454" si="6">IF(ISERROR(
IF(C391="","",
IF(F391&lt;G391,"Seu preço está acima do seu concorrente. Você precisa encontrar meios como qualidade, localização, etc, para justificar esta diferença.",IF(F391&gt;G391,"Seu preço está abaixo do seu concorrente. Mas ele se posiciona pelo(a) "&amp;D391&amp;". Fique atento sobre este detalhe, pois preço baixo não é garantia de sucesso.","Seu preço está igual ao do seu concorrente. Ele se posiciona pela "&amp;D391&amp;". Se você conseguir se posicionar melhor que ele nesse atributo, poderá estar em vantagem.")))),"",
IF(C391="","",
IF(F391&lt;G391,"Seu preço está acima do seu concorrente. Você precisa encontrar meios como qualidade, localização, etc, para justificar esta diferença.",IF(F391&gt;G391,"Seu preço está abaixo do seu concorrente. Mas ele se posiciona pelo(a) "&amp;D391&amp;". Fique atento sobre este detalhe, pois preço baixo não é garantia de sucesso.","Seu preço está igual ao do seu concorrente. Ele se posiciona pela "&amp;D391&amp;". Se você conseguir se posicionar melhor que ele nesse atributo, poderá estar em vantagem."))))</f>
        <v/>
      </c>
    </row>
    <row r="392" spans="2:8" ht="36" customHeight="1">
      <c r="B392" s="52">
        <f>IF(E392=TOP_CONC!$D$5,B391+1,B391)</f>
        <v>2</v>
      </c>
      <c r="C392" s="92"/>
      <c r="D392" s="92"/>
      <c r="E392" s="92"/>
      <c r="F392" s="111"/>
      <c r="G392" s="110" t="str">
        <f>IF(ISERROR(
IF(C392="","",IFERROR(VLOOKUP(E392,CAD_PROD!$C$6:$D$506,2,0),""))),"",IF(C392="","",IFERROR(VLOOKUP(E392,CAD_PROD!$C$6:$D$506,2,0),"")))</f>
        <v/>
      </c>
      <c r="H392" s="94" t="str">
        <f t="shared" si="6"/>
        <v/>
      </c>
    </row>
    <row r="393" spans="2:8" ht="36" customHeight="1">
      <c r="B393" s="52">
        <f>IF(E393=TOP_CONC!$D$5,B392+1,B392)</f>
        <v>2</v>
      </c>
      <c r="C393" s="92"/>
      <c r="D393" s="92"/>
      <c r="E393" s="92"/>
      <c r="F393" s="111"/>
      <c r="G393" s="110" t="str">
        <f>IF(ISERROR(
IF(C393="","",IFERROR(VLOOKUP(E393,CAD_PROD!$C$6:$D$506,2,0),""))),"",IF(C393="","",IFERROR(VLOOKUP(E393,CAD_PROD!$C$6:$D$506,2,0),"")))</f>
        <v/>
      </c>
      <c r="H393" s="94" t="str">
        <f t="shared" si="6"/>
        <v/>
      </c>
    </row>
    <row r="394" spans="2:8" ht="36" customHeight="1">
      <c r="B394" s="52">
        <f>IF(E394=TOP_CONC!$D$5,B393+1,B393)</f>
        <v>2</v>
      </c>
      <c r="C394" s="92"/>
      <c r="D394" s="92"/>
      <c r="E394" s="92"/>
      <c r="F394" s="111"/>
      <c r="G394" s="110" t="str">
        <f>IF(ISERROR(
IF(C394="","",IFERROR(VLOOKUP(E394,CAD_PROD!$C$6:$D$506,2,0),""))),"",IF(C394="","",IFERROR(VLOOKUP(E394,CAD_PROD!$C$6:$D$506,2,0),"")))</f>
        <v/>
      </c>
      <c r="H394" s="94" t="str">
        <f t="shared" si="6"/>
        <v/>
      </c>
    </row>
    <row r="395" spans="2:8" ht="36" customHeight="1">
      <c r="B395" s="52">
        <f>IF(E395=TOP_CONC!$D$5,B394+1,B394)</f>
        <v>2</v>
      </c>
      <c r="C395" s="92"/>
      <c r="D395" s="92"/>
      <c r="E395" s="92"/>
      <c r="F395" s="111"/>
      <c r="G395" s="110" t="str">
        <f>IF(ISERROR(
IF(C395="","",IFERROR(VLOOKUP(E395,CAD_PROD!$C$6:$D$506,2,0),""))),"",IF(C395="","",IFERROR(VLOOKUP(E395,CAD_PROD!$C$6:$D$506,2,0),"")))</f>
        <v/>
      </c>
      <c r="H395" s="94" t="str">
        <f t="shared" si="6"/>
        <v/>
      </c>
    </row>
    <row r="396" spans="2:8" ht="36" customHeight="1">
      <c r="B396" s="52">
        <f>IF(E396=TOP_CONC!$D$5,B395+1,B395)</f>
        <v>2</v>
      </c>
      <c r="C396" s="92"/>
      <c r="D396" s="92"/>
      <c r="E396" s="92"/>
      <c r="F396" s="111"/>
      <c r="G396" s="110" t="str">
        <f>IF(ISERROR(
IF(C396="","",IFERROR(VLOOKUP(E396,CAD_PROD!$C$6:$D$506,2,0),""))),"",IF(C396="","",IFERROR(VLOOKUP(E396,CAD_PROD!$C$6:$D$506,2,0),"")))</f>
        <v/>
      </c>
      <c r="H396" s="94" t="str">
        <f t="shared" si="6"/>
        <v/>
      </c>
    </row>
    <row r="397" spans="2:8" ht="36" customHeight="1">
      <c r="B397" s="52">
        <f>IF(E397=TOP_CONC!$D$5,B396+1,B396)</f>
        <v>2</v>
      </c>
      <c r="C397" s="92"/>
      <c r="D397" s="92"/>
      <c r="E397" s="92"/>
      <c r="F397" s="111"/>
      <c r="G397" s="110" t="str">
        <f>IF(ISERROR(
IF(C397="","",IFERROR(VLOOKUP(E397,CAD_PROD!$C$6:$D$506,2,0),""))),"",IF(C397="","",IFERROR(VLOOKUP(E397,CAD_PROD!$C$6:$D$506,2,0),"")))</f>
        <v/>
      </c>
      <c r="H397" s="94" t="str">
        <f t="shared" si="6"/>
        <v/>
      </c>
    </row>
    <row r="398" spans="2:8" ht="36" customHeight="1">
      <c r="B398" s="52">
        <f>IF(E398=TOP_CONC!$D$5,B397+1,B397)</f>
        <v>2</v>
      </c>
      <c r="C398" s="92"/>
      <c r="D398" s="92"/>
      <c r="E398" s="92"/>
      <c r="F398" s="111"/>
      <c r="G398" s="110" t="str">
        <f>IF(ISERROR(
IF(C398="","",IFERROR(VLOOKUP(E398,CAD_PROD!$C$6:$D$506,2,0),""))),"",IF(C398="","",IFERROR(VLOOKUP(E398,CAD_PROD!$C$6:$D$506,2,0),"")))</f>
        <v/>
      </c>
      <c r="H398" s="94" t="str">
        <f t="shared" si="6"/>
        <v/>
      </c>
    </row>
    <row r="399" spans="2:8" ht="36" customHeight="1">
      <c r="B399" s="52">
        <f>IF(E399=TOP_CONC!$D$5,B398+1,B398)</f>
        <v>2</v>
      </c>
      <c r="C399" s="92"/>
      <c r="D399" s="92"/>
      <c r="E399" s="92"/>
      <c r="F399" s="111"/>
      <c r="G399" s="110" t="str">
        <f>IF(ISERROR(
IF(C399="","",IFERROR(VLOOKUP(E399,CAD_PROD!$C$6:$D$506,2,0),""))),"",IF(C399="","",IFERROR(VLOOKUP(E399,CAD_PROD!$C$6:$D$506,2,0),"")))</f>
        <v/>
      </c>
      <c r="H399" s="94" t="str">
        <f t="shared" si="6"/>
        <v/>
      </c>
    </row>
    <row r="400" spans="2:8" ht="36" customHeight="1">
      <c r="B400" s="52">
        <f>IF(E400=TOP_CONC!$D$5,B399+1,B399)</f>
        <v>2</v>
      </c>
      <c r="C400" s="92"/>
      <c r="D400" s="92"/>
      <c r="E400" s="92"/>
      <c r="F400" s="111"/>
      <c r="G400" s="110" t="str">
        <f>IF(ISERROR(
IF(C400="","",IFERROR(VLOOKUP(E400,CAD_PROD!$C$6:$D$506,2,0),""))),"",IF(C400="","",IFERROR(VLOOKUP(E400,CAD_PROD!$C$6:$D$506,2,0),"")))</f>
        <v/>
      </c>
      <c r="H400" s="94" t="str">
        <f t="shared" si="6"/>
        <v/>
      </c>
    </row>
    <row r="401" spans="2:8" ht="36" customHeight="1">
      <c r="B401" s="52">
        <f>IF(E401=TOP_CONC!$D$5,B400+1,B400)</f>
        <v>2</v>
      </c>
      <c r="C401" s="92"/>
      <c r="D401" s="92"/>
      <c r="E401" s="92"/>
      <c r="F401" s="111"/>
      <c r="G401" s="110" t="str">
        <f>IF(ISERROR(
IF(C401="","",IFERROR(VLOOKUP(E401,CAD_PROD!$C$6:$D$506,2,0),""))),"",IF(C401="","",IFERROR(VLOOKUP(E401,CAD_PROD!$C$6:$D$506,2,0),"")))</f>
        <v/>
      </c>
      <c r="H401" s="94" t="str">
        <f t="shared" si="6"/>
        <v/>
      </c>
    </row>
    <row r="402" spans="2:8" ht="36" customHeight="1">
      <c r="B402" s="52">
        <f>IF(E402=TOP_CONC!$D$5,B401+1,B401)</f>
        <v>2</v>
      </c>
      <c r="C402" s="92"/>
      <c r="D402" s="92"/>
      <c r="E402" s="92"/>
      <c r="F402" s="111"/>
      <c r="G402" s="110" t="str">
        <f>IF(ISERROR(
IF(C402="","",IFERROR(VLOOKUP(E402,CAD_PROD!$C$6:$D$506,2,0),""))),"",IF(C402="","",IFERROR(VLOOKUP(E402,CAD_PROD!$C$6:$D$506,2,0),"")))</f>
        <v/>
      </c>
      <c r="H402" s="94" t="str">
        <f t="shared" si="6"/>
        <v/>
      </c>
    </row>
    <row r="403" spans="2:8" ht="36" customHeight="1">
      <c r="B403" s="52">
        <f>IF(E403=TOP_CONC!$D$5,B402+1,B402)</f>
        <v>2</v>
      </c>
      <c r="C403" s="92"/>
      <c r="D403" s="92"/>
      <c r="E403" s="92"/>
      <c r="F403" s="111"/>
      <c r="G403" s="110" t="str">
        <f>IF(ISERROR(
IF(C403="","",IFERROR(VLOOKUP(E403,CAD_PROD!$C$6:$D$506,2,0),""))),"",IF(C403="","",IFERROR(VLOOKUP(E403,CAD_PROD!$C$6:$D$506,2,0),"")))</f>
        <v/>
      </c>
      <c r="H403" s="94" t="str">
        <f t="shared" si="6"/>
        <v/>
      </c>
    </row>
    <row r="404" spans="2:8" ht="36" customHeight="1">
      <c r="B404" s="52">
        <f>IF(E404=TOP_CONC!$D$5,B403+1,B403)</f>
        <v>2</v>
      </c>
      <c r="C404" s="92"/>
      <c r="D404" s="92"/>
      <c r="E404" s="92"/>
      <c r="F404" s="111"/>
      <c r="G404" s="110" t="str">
        <f>IF(ISERROR(
IF(C404="","",IFERROR(VLOOKUP(E404,CAD_PROD!$C$6:$D$506,2,0),""))),"",IF(C404="","",IFERROR(VLOOKUP(E404,CAD_PROD!$C$6:$D$506,2,0),"")))</f>
        <v/>
      </c>
      <c r="H404" s="94" t="str">
        <f t="shared" si="6"/>
        <v/>
      </c>
    </row>
    <row r="405" spans="2:8" ht="36" customHeight="1">
      <c r="B405" s="52">
        <f>IF(E405=TOP_CONC!$D$5,B404+1,B404)</f>
        <v>2</v>
      </c>
      <c r="C405" s="92"/>
      <c r="D405" s="92"/>
      <c r="E405" s="92"/>
      <c r="F405" s="111"/>
      <c r="G405" s="110" t="str">
        <f>IF(ISERROR(
IF(C405="","",IFERROR(VLOOKUP(E405,CAD_PROD!$C$6:$D$506,2,0),""))),"",IF(C405="","",IFERROR(VLOOKUP(E405,CAD_PROD!$C$6:$D$506,2,0),"")))</f>
        <v/>
      </c>
      <c r="H405" s="94" t="str">
        <f t="shared" si="6"/>
        <v/>
      </c>
    </row>
    <row r="406" spans="2:8" ht="36" customHeight="1">
      <c r="B406" s="52">
        <f>IF(E406=TOP_CONC!$D$5,B405+1,B405)</f>
        <v>2</v>
      </c>
      <c r="C406" s="92"/>
      <c r="D406" s="92"/>
      <c r="E406" s="92"/>
      <c r="F406" s="111"/>
      <c r="G406" s="110" t="str">
        <f>IF(ISERROR(
IF(C406="","",IFERROR(VLOOKUP(E406,CAD_PROD!$C$6:$D$506,2,0),""))),"",IF(C406="","",IFERROR(VLOOKUP(E406,CAD_PROD!$C$6:$D$506,2,0),"")))</f>
        <v/>
      </c>
      <c r="H406" s="94" t="str">
        <f t="shared" si="6"/>
        <v/>
      </c>
    </row>
    <row r="407" spans="2:8" ht="36" customHeight="1">
      <c r="B407" s="52">
        <f>IF(E407=TOP_CONC!$D$5,B406+1,B406)</f>
        <v>2</v>
      </c>
      <c r="C407" s="92"/>
      <c r="D407" s="92"/>
      <c r="E407" s="92"/>
      <c r="F407" s="111"/>
      <c r="G407" s="110" t="str">
        <f>IF(ISERROR(
IF(C407="","",IFERROR(VLOOKUP(E407,CAD_PROD!$C$6:$D$506,2,0),""))),"",IF(C407="","",IFERROR(VLOOKUP(E407,CAD_PROD!$C$6:$D$506,2,0),"")))</f>
        <v/>
      </c>
      <c r="H407" s="94" t="str">
        <f t="shared" si="6"/>
        <v/>
      </c>
    </row>
    <row r="408" spans="2:8" ht="36" customHeight="1">
      <c r="B408" s="52">
        <f>IF(E408=TOP_CONC!$D$5,B407+1,B407)</f>
        <v>2</v>
      </c>
      <c r="C408" s="92"/>
      <c r="D408" s="92"/>
      <c r="E408" s="92"/>
      <c r="F408" s="111"/>
      <c r="G408" s="110" t="str">
        <f>IF(ISERROR(
IF(C408="","",IFERROR(VLOOKUP(E408,CAD_PROD!$C$6:$D$506,2,0),""))),"",IF(C408="","",IFERROR(VLOOKUP(E408,CAD_PROD!$C$6:$D$506,2,0),"")))</f>
        <v/>
      </c>
      <c r="H408" s="94" t="str">
        <f t="shared" si="6"/>
        <v/>
      </c>
    </row>
    <row r="409" spans="2:8" ht="36" customHeight="1">
      <c r="B409" s="52">
        <f>IF(E409=TOP_CONC!$D$5,B408+1,B408)</f>
        <v>2</v>
      </c>
      <c r="C409" s="92"/>
      <c r="D409" s="92"/>
      <c r="E409" s="92"/>
      <c r="F409" s="111"/>
      <c r="G409" s="110" t="str">
        <f>IF(ISERROR(
IF(C409="","",IFERROR(VLOOKUP(E409,CAD_PROD!$C$6:$D$506,2,0),""))),"",IF(C409="","",IFERROR(VLOOKUP(E409,CAD_PROD!$C$6:$D$506,2,0),"")))</f>
        <v/>
      </c>
      <c r="H409" s="94" t="str">
        <f t="shared" si="6"/>
        <v/>
      </c>
    </row>
    <row r="410" spans="2:8" ht="36" customHeight="1">
      <c r="B410" s="52">
        <f>IF(E410=TOP_CONC!$D$5,B409+1,B409)</f>
        <v>2</v>
      </c>
      <c r="C410" s="92"/>
      <c r="D410" s="92"/>
      <c r="E410" s="92"/>
      <c r="F410" s="111"/>
      <c r="G410" s="110" t="str">
        <f>IF(ISERROR(
IF(C410="","",IFERROR(VLOOKUP(E410,CAD_PROD!$C$6:$D$506,2,0),""))),"",IF(C410="","",IFERROR(VLOOKUP(E410,CAD_PROD!$C$6:$D$506,2,0),"")))</f>
        <v/>
      </c>
      <c r="H410" s="94" t="str">
        <f t="shared" si="6"/>
        <v/>
      </c>
    </row>
    <row r="411" spans="2:8" ht="36" customHeight="1">
      <c r="B411" s="52">
        <f>IF(E411=TOP_CONC!$D$5,B410+1,B410)</f>
        <v>2</v>
      </c>
      <c r="C411" s="92"/>
      <c r="D411" s="92"/>
      <c r="E411" s="92"/>
      <c r="F411" s="111"/>
      <c r="G411" s="110" t="str">
        <f>IF(ISERROR(
IF(C411="","",IFERROR(VLOOKUP(E411,CAD_PROD!$C$6:$D$506,2,0),""))),"",IF(C411="","",IFERROR(VLOOKUP(E411,CAD_PROD!$C$6:$D$506,2,0),"")))</f>
        <v/>
      </c>
      <c r="H411" s="94" t="str">
        <f t="shared" si="6"/>
        <v/>
      </c>
    </row>
    <row r="412" spans="2:8" ht="36" customHeight="1">
      <c r="B412" s="52">
        <f>IF(E412=TOP_CONC!$D$5,B411+1,B411)</f>
        <v>2</v>
      </c>
      <c r="C412" s="92"/>
      <c r="D412" s="92"/>
      <c r="E412" s="92"/>
      <c r="F412" s="111"/>
      <c r="G412" s="110" t="str">
        <f>IF(ISERROR(
IF(C412="","",IFERROR(VLOOKUP(E412,CAD_PROD!$C$6:$D$506,2,0),""))),"",IF(C412="","",IFERROR(VLOOKUP(E412,CAD_PROD!$C$6:$D$506,2,0),"")))</f>
        <v/>
      </c>
      <c r="H412" s="94" t="str">
        <f t="shared" si="6"/>
        <v/>
      </c>
    </row>
    <row r="413" spans="2:8" ht="36" customHeight="1">
      <c r="B413" s="52">
        <f>IF(E413=TOP_CONC!$D$5,B412+1,B412)</f>
        <v>2</v>
      </c>
      <c r="C413" s="92"/>
      <c r="D413" s="92"/>
      <c r="E413" s="92"/>
      <c r="F413" s="111"/>
      <c r="G413" s="110" t="str">
        <f>IF(ISERROR(
IF(C413="","",IFERROR(VLOOKUP(E413,CAD_PROD!$C$6:$D$506,2,0),""))),"",IF(C413="","",IFERROR(VLOOKUP(E413,CAD_PROD!$C$6:$D$506,2,0),"")))</f>
        <v/>
      </c>
      <c r="H413" s="94" t="str">
        <f t="shared" si="6"/>
        <v/>
      </c>
    </row>
    <row r="414" spans="2:8" ht="36" customHeight="1">
      <c r="B414" s="52">
        <f>IF(E414=TOP_CONC!$D$5,B413+1,B413)</f>
        <v>2</v>
      </c>
      <c r="C414" s="92"/>
      <c r="D414" s="92"/>
      <c r="E414" s="92"/>
      <c r="F414" s="111"/>
      <c r="G414" s="110" t="str">
        <f>IF(ISERROR(
IF(C414="","",IFERROR(VLOOKUP(E414,CAD_PROD!$C$6:$D$506,2,0),""))),"",IF(C414="","",IFERROR(VLOOKUP(E414,CAD_PROD!$C$6:$D$506,2,0),"")))</f>
        <v/>
      </c>
      <c r="H414" s="94" t="str">
        <f t="shared" si="6"/>
        <v/>
      </c>
    </row>
    <row r="415" spans="2:8" ht="36" customHeight="1">
      <c r="B415" s="52">
        <f>IF(E415=TOP_CONC!$D$5,B414+1,B414)</f>
        <v>2</v>
      </c>
      <c r="C415" s="92"/>
      <c r="D415" s="92"/>
      <c r="E415" s="92"/>
      <c r="F415" s="111"/>
      <c r="G415" s="110" t="str">
        <f>IF(ISERROR(
IF(C415="","",IFERROR(VLOOKUP(E415,CAD_PROD!$C$6:$D$506,2,0),""))),"",IF(C415="","",IFERROR(VLOOKUP(E415,CAD_PROD!$C$6:$D$506,2,0),"")))</f>
        <v/>
      </c>
      <c r="H415" s="94" t="str">
        <f t="shared" si="6"/>
        <v/>
      </c>
    </row>
    <row r="416" spans="2:8" ht="36" customHeight="1">
      <c r="B416" s="52">
        <f>IF(E416=TOP_CONC!$D$5,B415+1,B415)</f>
        <v>2</v>
      </c>
      <c r="C416" s="92"/>
      <c r="D416" s="92"/>
      <c r="E416" s="92"/>
      <c r="F416" s="111"/>
      <c r="G416" s="110" t="str">
        <f>IF(ISERROR(
IF(C416="","",IFERROR(VLOOKUP(E416,CAD_PROD!$C$6:$D$506,2,0),""))),"",IF(C416="","",IFERROR(VLOOKUP(E416,CAD_PROD!$C$6:$D$506,2,0),"")))</f>
        <v/>
      </c>
      <c r="H416" s="94" t="str">
        <f t="shared" si="6"/>
        <v/>
      </c>
    </row>
    <row r="417" spans="2:8" ht="36" customHeight="1">
      <c r="B417" s="52">
        <f>IF(E417=TOP_CONC!$D$5,B416+1,B416)</f>
        <v>2</v>
      </c>
      <c r="C417" s="92"/>
      <c r="D417" s="92"/>
      <c r="E417" s="92"/>
      <c r="F417" s="111"/>
      <c r="G417" s="110" t="str">
        <f>IF(ISERROR(
IF(C417="","",IFERROR(VLOOKUP(E417,CAD_PROD!$C$6:$D$506,2,0),""))),"",IF(C417="","",IFERROR(VLOOKUP(E417,CAD_PROD!$C$6:$D$506,2,0),"")))</f>
        <v/>
      </c>
      <c r="H417" s="94" t="str">
        <f t="shared" si="6"/>
        <v/>
      </c>
    </row>
    <row r="418" spans="2:8" ht="36" customHeight="1">
      <c r="B418" s="52">
        <f>IF(E418=TOP_CONC!$D$5,B417+1,B417)</f>
        <v>2</v>
      </c>
      <c r="C418" s="92"/>
      <c r="D418" s="92"/>
      <c r="E418" s="92"/>
      <c r="F418" s="111"/>
      <c r="G418" s="110" t="str">
        <f>IF(ISERROR(
IF(C418="","",IFERROR(VLOOKUP(E418,CAD_PROD!$C$6:$D$506,2,0),""))),"",IF(C418="","",IFERROR(VLOOKUP(E418,CAD_PROD!$C$6:$D$506,2,0),"")))</f>
        <v/>
      </c>
      <c r="H418" s="94" t="str">
        <f t="shared" si="6"/>
        <v/>
      </c>
    </row>
    <row r="419" spans="2:8" ht="36" customHeight="1">
      <c r="B419" s="52">
        <f>IF(E419=TOP_CONC!$D$5,B418+1,B418)</f>
        <v>2</v>
      </c>
      <c r="C419" s="92"/>
      <c r="D419" s="92"/>
      <c r="E419" s="92"/>
      <c r="F419" s="111"/>
      <c r="G419" s="110" t="str">
        <f>IF(ISERROR(
IF(C419="","",IFERROR(VLOOKUP(E419,CAD_PROD!$C$6:$D$506,2,0),""))),"",IF(C419="","",IFERROR(VLOOKUP(E419,CAD_PROD!$C$6:$D$506,2,0),"")))</f>
        <v/>
      </c>
      <c r="H419" s="94" t="str">
        <f t="shared" si="6"/>
        <v/>
      </c>
    </row>
    <row r="420" spans="2:8" ht="36" customHeight="1">
      <c r="B420" s="52">
        <f>IF(E420=TOP_CONC!$D$5,B419+1,B419)</f>
        <v>2</v>
      </c>
      <c r="C420" s="92"/>
      <c r="D420" s="92"/>
      <c r="E420" s="92"/>
      <c r="F420" s="111"/>
      <c r="G420" s="110" t="str">
        <f>IF(ISERROR(
IF(C420="","",IFERROR(VLOOKUP(E420,CAD_PROD!$C$6:$D$506,2,0),""))),"",IF(C420="","",IFERROR(VLOOKUP(E420,CAD_PROD!$C$6:$D$506,2,0),"")))</f>
        <v/>
      </c>
      <c r="H420" s="94" t="str">
        <f t="shared" si="6"/>
        <v/>
      </c>
    </row>
    <row r="421" spans="2:8" ht="36" customHeight="1">
      <c r="B421" s="52">
        <f>IF(E421=TOP_CONC!$D$5,B420+1,B420)</f>
        <v>2</v>
      </c>
      <c r="C421" s="92"/>
      <c r="D421" s="92"/>
      <c r="E421" s="92"/>
      <c r="F421" s="111"/>
      <c r="G421" s="110" t="str">
        <f>IF(ISERROR(
IF(C421="","",IFERROR(VLOOKUP(E421,CAD_PROD!$C$6:$D$506,2,0),""))),"",IF(C421="","",IFERROR(VLOOKUP(E421,CAD_PROD!$C$6:$D$506,2,0),"")))</f>
        <v/>
      </c>
      <c r="H421" s="94" t="str">
        <f t="shared" si="6"/>
        <v/>
      </c>
    </row>
    <row r="422" spans="2:8" ht="36" customHeight="1">
      <c r="B422" s="52">
        <f>IF(E422=TOP_CONC!$D$5,B421+1,B421)</f>
        <v>2</v>
      </c>
      <c r="C422" s="92"/>
      <c r="D422" s="92"/>
      <c r="E422" s="92"/>
      <c r="F422" s="111"/>
      <c r="G422" s="110" t="str">
        <f>IF(ISERROR(
IF(C422="","",IFERROR(VLOOKUP(E422,CAD_PROD!$C$6:$D$506,2,0),""))),"",IF(C422="","",IFERROR(VLOOKUP(E422,CAD_PROD!$C$6:$D$506,2,0),"")))</f>
        <v/>
      </c>
      <c r="H422" s="94" t="str">
        <f t="shared" si="6"/>
        <v/>
      </c>
    </row>
    <row r="423" spans="2:8" ht="36" customHeight="1">
      <c r="B423" s="52">
        <f>IF(E423=TOP_CONC!$D$5,B422+1,B422)</f>
        <v>2</v>
      </c>
      <c r="C423" s="92"/>
      <c r="D423" s="92"/>
      <c r="E423" s="92"/>
      <c r="F423" s="111"/>
      <c r="G423" s="110" t="str">
        <f>IF(ISERROR(
IF(C423="","",IFERROR(VLOOKUP(E423,CAD_PROD!$C$6:$D$506,2,0),""))),"",IF(C423="","",IFERROR(VLOOKUP(E423,CAD_PROD!$C$6:$D$506,2,0),"")))</f>
        <v/>
      </c>
      <c r="H423" s="94" t="str">
        <f t="shared" si="6"/>
        <v/>
      </c>
    </row>
    <row r="424" spans="2:8" ht="36" customHeight="1">
      <c r="B424" s="52">
        <f>IF(E424=TOP_CONC!$D$5,B423+1,B423)</f>
        <v>2</v>
      </c>
      <c r="C424" s="92"/>
      <c r="D424" s="92"/>
      <c r="E424" s="92"/>
      <c r="F424" s="111"/>
      <c r="G424" s="110" t="str">
        <f>IF(ISERROR(
IF(C424="","",IFERROR(VLOOKUP(E424,CAD_PROD!$C$6:$D$506,2,0),""))),"",IF(C424="","",IFERROR(VLOOKUP(E424,CAD_PROD!$C$6:$D$506,2,0),"")))</f>
        <v/>
      </c>
      <c r="H424" s="94" t="str">
        <f t="shared" si="6"/>
        <v/>
      </c>
    </row>
    <row r="425" spans="2:8" ht="36" customHeight="1">
      <c r="B425" s="52">
        <f>IF(E425=TOP_CONC!$D$5,B424+1,B424)</f>
        <v>2</v>
      </c>
      <c r="C425" s="92"/>
      <c r="D425" s="92"/>
      <c r="E425" s="92"/>
      <c r="F425" s="111"/>
      <c r="G425" s="110" t="str">
        <f>IF(ISERROR(
IF(C425="","",IFERROR(VLOOKUP(E425,CAD_PROD!$C$6:$D$506,2,0),""))),"",IF(C425="","",IFERROR(VLOOKUP(E425,CAD_PROD!$C$6:$D$506,2,0),"")))</f>
        <v/>
      </c>
      <c r="H425" s="94" t="str">
        <f t="shared" si="6"/>
        <v/>
      </c>
    </row>
    <row r="426" spans="2:8" ht="36" customHeight="1">
      <c r="B426" s="52">
        <f>IF(E426=TOP_CONC!$D$5,B425+1,B425)</f>
        <v>2</v>
      </c>
      <c r="C426" s="92"/>
      <c r="D426" s="92"/>
      <c r="E426" s="92"/>
      <c r="F426" s="111"/>
      <c r="G426" s="110" t="str">
        <f>IF(ISERROR(
IF(C426="","",IFERROR(VLOOKUP(E426,CAD_PROD!$C$6:$D$506,2,0),""))),"",IF(C426="","",IFERROR(VLOOKUP(E426,CAD_PROD!$C$6:$D$506,2,0),"")))</f>
        <v/>
      </c>
      <c r="H426" s="94" t="str">
        <f t="shared" si="6"/>
        <v/>
      </c>
    </row>
    <row r="427" spans="2:8" ht="36" customHeight="1">
      <c r="B427" s="52">
        <f>IF(E427=TOP_CONC!$D$5,B426+1,B426)</f>
        <v>2</v>
      </c>
      <c r="C427" s="92"/>
      <c r="D427" s="92"/>
      <c r="E427" s="92"/>
      <c r="F427" s="111"/>
      <c r="G427" s="110" t="str">
        <f>IF(ISERROR(
IF(C427="","",IFERROR(VLOOKUP(E427,CAD_PROD!$C$6:$D$506,2,0),""))),"",IF(C427="","",IFERROR(VLOOKUP(E427,CAD_PROD!$C$6:$D$506,2,0),"")))</f>
        <v/>
      </c>
      <c r="H427" s="94" t="str">
        <f t="shared" si="6"/>
        <v/>
      </c>
    </row>
    <row r="428" spans="2:8" ht="36" customHeight="1">
      <c r="B428" s="52">
        <f>IF(E428=TOP_CONC!$D$5,B427+1,B427)</f>
        <v>2</v>
      </c>
      <c r="C428" s="92"/>
      <c r="D428" s="92"/>
      <c r="E428" s="92"/>
      <c r="F428" s="111"/>
      <c r="G428" s="110" t="str">
        <f>IF(ISERROR(
IF(C428="","",IFERROR(VLOOKUP(E428,CAD_PROD!$C$6:$D$506,2,0),""))),"",IF(C428="","",IFERROR(VLOOKUP(E428,CAD_PROD!$C$6:$D$506,2,0),"")))</f>
        <v/>
      </c>
      <c r="H428" s="94" t="str">
        <f t="shared" si="6"/>
        <v/>
      </c>
    </row>
    <row r="429" spans="2:8" ht="36" customHeight="1">
      <c r="B429" s="52">
        <f>IF(E429=TOP_CONC!$D$5,B428+1,B428)</f>
        <v>2</v>
      </c>
      <c r="C429" s="92"/>
      <c r="D429" s="92"/>
      <c r="E429" s="92"/>
      <c r="F429" s="111"/>
      <c r="G429" s="110" t="str">
        <f>IF(ISERROR(
IF(C429="","",IFERROR(VLOOKUP(E429,CAD_PROD!$C$6:$D$506,2,0),""))),"",IF(C429="","",IFERROR(VLOOKUP(E429,CAD_PROD!$C$6:$D$506,2,0),"")))</f>
        <v/>
      </c>
      <c r="H429" s="94" t="str">
        <f t="shared" si="6"/>
        <v/>
      </c>
    </row>
    <row r="430" spans="2:8" ht="36" customHeight="1">
      <c r="B430" s="52">
        <f>IF(E430=TOP_CONC!$D$5,B429+1,B429)</f>
        <v>2</v>
      </c>
      <c r="C430" s="92"/>
      <c r="D430" s="92"/>
      <c r="E430" s="92"/>
      <c r="F430" s="111"/>
      <c r="G430" s="110" t="str">
        <f>IF(ISERROR(
IF(C430="","",IFERROR(VLOOKUP(E430,CAD_PROD!$C$6:$D$506,2,0),""))),"",IF(C430="","",IFERROR(VLOOKUP(E430,CAD_PROD!$C$6:$D$506,2,0),"")))</f>
        <v/>
      </c>
      <c r="H430" s="94" t="str">
        <f t="shared" si="6"/>
        <v/>
      </c>
    </row>
    <row r="431" spans="2:8" ht="36" customHeight="1">
      <c r="B431" s="52">
        <f>IF(E431=TOP_CONC!$D$5,B430+1,B430)</f>
        <v>2</v>
      </c>
      <c r="C431" s="92"/>
      <c r="D431" s="92"/>
      <c r="E431" s="92"/>
      <c r="F431" s="111"/>
      <c r="G431" s="110" t="str">
        <f>IF(ISERROR(
IF(C431="","",IFERROR(VLOOKUP(E431,CAD_PROD!$C$6:$D$506,2,0),""))),"",IF(C431="","",IFERROR(VLOOKUP(E431,CAD_PROD!$C$6:$D$506,2,0),"")))</f>
        <v/>
      </c>
      <c r="H431" s="94" t="str">
        <f t="shared" si="6"/>
        <v/>
      </c>
    </row>
    <row r="432" spans="2:8" ht="36" customHeight="1">
      <c r="B432" s="52">
        <f>IF(E432=TOP_CONC!$D$5,B431+1,B431)</f>
        <v>2</v>
      </c>
      <c r="C432" s="92"/>
      <c r="D432" s="92"/>
      <c r="E432" s="92"/>
      <c r="F432" s="111"/>
      <c r="G432" s="110" t="str">
        <f>IF(ISERROR(
IF(C432="","",IFERROR(VLOOKUP(E432,CAD_PROD!$C$6:$D$506,2,0),""))),"",IF(C432="","",IFERROR(VLOOKUP(E432,CAD_PROD!$C$6:$D$506,2,0),"")))</f>
        <v/>
      </c>
      <c r="H432" s="94" t="str">
        <f t="shared" si="6"/>
        <v/>
      </c>
    </row>
    <row r="433" spans="2:8" ht="36" customHeight="1">
      <c r="B433" s="52">
        <f>IF(E433=TOP_CONC!$D$5,B432+1,B432)</f>
        <v>2</v>
      </c>
      <c r="C433" s="92"/>
      <c r="D433" s="92"/>
      <c r="E433" s="92"/>
      <c r="F433" s="111"/>
      <c r="G433" s="110" t="str">
        <f>IF(ISERROR(
IF(C433="","",IFERROR(VLOOKUP(E433,CAD_PROD!$C$6:$D$506,2,0),""))),"",IF(C433="","",IFERROR(VLOOKUP(E433,CAD_PROD!$C$6:$D$506,2,0),"")))</f>
        <v/>
      </c>
      <c r="H433" s="94" t="str">
        <f t="shared" si="6"/>
        <v/>
      </c>
    </row>
    <row r="434" spans="2:8" ht="36" customHeight="1">
      <c r="B434" s="52">
        <f>IF(E434=TOP_CONC!$D$5,B433+1,B433)</f>
        <v>2</v>
      </c>
      <c r="C434" s="92"/>
      <c r="D434" s="92"/>
      <c r="E434" s="92"/>
      <c r="F434" s="111"/>
      <c r="G434" s="110" t="str">
        <f>IF(ISERROR(
IF(C434="","",IFERROR(VLOOKUP(E434,CAD_PROD!$C$6:$D$506,2,0),""))),"",IF(C434="","",IFERROR(VLOOKUP(E434,CAD_PROD!$C$6:$D$506,2,0),"")))</f>
        <v/>
      </c>
      <c r="H434" s="94" t="str">
        <f t="shared" si="6"/>
        <v/>
      </c>
    </row>
    <row r="435" spans="2:8" ht="36" customHeight="1">
      <c r="B435" s="52">
        <f>IF(E435=TOP_CONC!$D$5,B434+1,B434)</f>
        <v>2</v>
      </c>
      <c r="C435" s="92"/>
      <c r="D435" s="92"/>
      <c r="E435" s="92"/>
      <c r="F435" s="111"/>
      <c r="G435" s="110" t="str">
        <f>IF(ISERROR(
IF(C435="","",IFERROR(VLOOKUP(E435,CAD_PROD!$C$6:$D$506,2,0),""))),"",IF(C435="","",IFERROR(VLOOKUP(E435,CAD_PROD!$C$6:$D$506,2,0),"")))</f>
        <v/>
      </c>
      <c r="H435" s="94" t="str">
        <f t="shared" si="6"/>
        <v/>
      </c>
    </row>
    <row r="436" spans="2:8" ht="36" customHeight="1">
      <c r="B436" s="52">
        <f>IF(E436=TOP_CONC!$D$5,B435+1,B435)</f>
        <v>2</v>
      </c>
      <c r="C436" s="92"/>
      <c r="D436" s="92"/>
      <c r="E436" s="92"/>
      <c r="F436" s="111"/>
      <c r="G436" s="110" t="str">
        <f>IF(ISERROR(
IF(C436="","",IFERROR(VLOOKUP(E436,CAD_PROD!$C$6:$D$506,2,0),""))),"",IF(C436="","",IFERROR(VLOOKUP(E436,CAD_PROD!$C$6:$D$506,2,0),"")))</f>
        <v/>
      </c>
      <c r="H436" s="94" t="str">
        <f t="shared" si="6"/>
        <v/>
      </c>
    </row>
    <row r="437" spans="2:8" ht="36" customHeight="1">
      <c r="B437" s="52">
        <f>IF(E437=TOP_CONC!$D$5,B436+1,B436)</f>
        <v>2</v>
      </c>
      <c r="C437" s="92"/>
      <c r="D437" s="92"/>
      <c r="E437" s="92"/>
      <c r="F437" s="111"/>
      <c r="G437" s="110" t="str">
        <f>IF(ISERROR(
IF(C437="","",IFERROR(VLOOKUP(E437,CAD_PROD!$C$6:$D$506,2,0),""))),"",IF(C437="","",IFERROR(VLOOKUP(E437,CAD_PROD!$C$6:$D$506,2,0),"")))</f>
        <v/>
      </c>
      <c r="H437" s="94" t="str">
        <f t="shared" si="6"/>
        <v/>
      </c>
    </row>
    <row r="438" spans="2:8" ht="36" customHeight="1">
      <c r="B438" s="52">
        <f>IF(E438=TOP_CONC!$D$5,B437+1,B437)</f>
        <v>2</v>
      </c>
      <c r="C438" s="92"/>
      <c r="D438" s="92"/>
      <c r="E438" s="92"/>
      <c r="F438" s="111"/>
      <c r="G438" s="110" t="str">
        <f>IF(ISERROR(
IF(C438="","",IFERROR(VLOOKUP(E438,CAD_PROD!$C$6:$D$506,2,0),""))),"",IF(C438="","",IFERROR(VLOOKUP(E438,CAD_PROD!$C$6:$D$506,2,0),"")))</f>
        <v/>
      </c>
      <c r="H438" s="94" t="str">
        <f t="shared" si="6"/>
        <v/>
      </c>
    </row>
    <row r="439" spans="2:8" ht="36" customHeight="1">
      <c r="B439" s="52">
        <f>IF(E439=TOP_CONC!$D$5,B438+1,B438)</f>
        <v>2</v>
      </c>
      <c r="C439" s="92"/>
      <c r="D439" s="92"/>
      <c r="E439" s="92"/>
      <c r="F439" s="111"/>
      <c r="G439" s="110" t="str">
        <f>IF(ISERROR(
IF(C439="","",IFERROR(VLOOKUP(E439,CAD_PROD!$C$6:$D$506,2,0),""))),"",IF(C439="","",IFERROR(VLOOKUP(E439,CAD_PROD!$C$6:$D$506,2,0),"")))</f>
        <v/>
      </c>
      <c r="H439" s="94" t="str">
        <f t="shared" si="6"/>
        <v/>
      </c>
    </row>
    <row r="440" spans="2:8" ht="36" customHeight="1">
      <c r="B440" s="52">
        <f>IF(E440=TOP_CONC!$D$5,B439+1,B439)</f>
        <v>2</v>
      </c>
      <c r="C440" s="92"/>
      <c r="D440" s="92"/>
      <c r="E440" s="92"/>
      <c r="F440" s="111"/>
      <c r="G440" s="110" t="str">
        <f>IF(ISERROR(
IF(C440="","",IFERROR(VLOOKUP(E440,CAD_PROD!$C$6:$D$506,2,0),""))),"",IF(C440="","",IFERROR(VLOOKUP(E440,CAD_PROD!$C$6:$D$506,2,0),"")))</f>
        <v/>
      </c>
      <c r="H440" s="94" t="str">
        <f t="shared" si="6"/>
        <v/>
      </c>
    </row>
    <row r="441" spans="2:8" ht="36" customHeight="1">
      <c r="B441" s="52">
        <f>IF(E441=TOP_CONC!$D$5,B440+1,B440)</f>
        <v>2</v>
      </c>
      <c r="C441" s="92"/>
      <c r="D441" s="92"/>
      <c r="E441" s="92"/>
      <c r="F441" s="111"/>
      <c r="G441" s="110" t="str">
        <f>IF(ISERROR(
IF(C441="","",IFERROR(VLOOKUP(E441,CAD_PROD!$C$6:$D$506,2,0),""))),"",IF(C441="","",IFERROR(VLOOKUP(E441,CAD_PROD!$C$6:$D$506,2,0),"")))</f>
        <v/>
      </c>
      <c r="H441" s="94" t="str">
        <f t="shared" si="6"/>
        <v/>
      </c>
    </row>
    <row r="442" spans="2:8" ht="36" customHeight="1">
      <c r="B442" s="52">
        <f>IF(E442=TOP_CONC!$D$5,B441+1,B441)</f>
        <v>2</v>
      </c>
      <c r="C442" s="92"/>
      <c r="D442" s="92"/>
      <c r="E442" s="92"/>
      <c r="F442" s="111"/>
      <c r="G442" s="110" t="str">
        <f>IF(ISERROR(
IF(C442="","",IFERROR(VLOOKUP(E442,CAD_PROD!$C$6:$D$506,2,0),""))),"",IF(C442="","",IFERROR(VLOOKUP(E442,CAD_PROD!$C$6:$D$506,2,0),"")))</f>
        <v/>
      </c>
      <c r="H442" s="94" t="str">
        <f t="shared" si="6"/>
        <v/>
      </c>
    </row>
    <row r="443" spans="2:8" ht="36" customHeight="1">
      <c r="B443" s="52">
        <f>IF(E443=TOP_CONC!$D$5,B442+1,B442)</f>
        <v>2</v>
      </c>
      <c r="C443" s="92"/>
      <c r="D443" s="92"/>
      <c r="E443" s="92"/>
      <c r="F443" s="111"/>
      <c r="G443" s="110" t="str">
        <f>IF(ISERROR(
IF(C443="","",IFERROR(VLOOKUP(E443,CAD_PROD!$C$6:$D$506,2,0),""))),"",IF(C443="","",IFERROR(VLOOKUP(E443,CAD_PROD!$C$6:$D$506,2,0),"")))</f>
        <v/>
      </c>
      <c r="H443" s="94" t="str">
        <f t="shared" si="6"/>
        <v/>
      </c>
    </row>
    <row r="444" spans="2:8" ht="36" customHeight="1">
      <c r="B444" s="52">
        <f>IF(E444=TOP_CONC!$D$5,B443+1,B443)</f>
        <v>2</v>
      </c>
      <c r="C444" s="92"/>
      <c r="D444" s="92"/>
      <c r="E444" s="92"/>
      <c r="F444" s="111"/>
      <c r="G444" s="110" t="str">
        <f>IF(ISERROR(
IF(C444="","",IFERROR(VLOOKUP(E444,CAD_PROD!$C$6:$D$506,2,0),""))),"",IF(C444="","",IFERROR(VLOOKUP(E444,CAD_PROD!$C$6:$D$506,2,0),"")))</f>
        <v/>
      </c>
      <c r="H444" s="94" t="str">
        <f t="shared" si="6"/>
        <v/>
      </c>
    </row>
    <row r="445" spans="2:8" ht="36" customHeight="1">
      <c r="B445" s="52">
        <f>IF(E445=TOP_CONC!$D$5,B444+1,B444)</f>
        <v>2</v>
      </c>
      <c r="C445" s="92"/>
      <c r="D445" s="92"/>
      <c r="E445" s="92"/>
      <c r="F445" s="111"/>
      <c r="G445" s="110" t="str">
        <f>IF(ISERROR(
IF(C445="","",IFERROR(VLOOKUP(E445,CAD_PROD!$C$6:$D$506,2,0),""))),"",IF(C445="","",IFERROR(VLOOKUP(E445,CAD_PROD!$C$6:$D$506,2,0),"")))</f>
        <v/>
      </c>
      <c r="H445" s="94" t="str">
        <f t="shared" si="6"/>
        <v/>
      </c>
    </row>
    <row r="446" spans="2:8" ht="36" customHeight="1">
      <c r="B446" s="52">
        <f>IF(E446=TOP_CONC!$D$5,B445+1,B445)</f>
        <v>2</v>
      </c>
      <c r="C446" s="92"/>
      <c r="D446" s="92"/>
      <c r="E446" s="92"/>
      <c r="F446" s="111"/>
      <c r="G446" s="110" t="str">
        <f>IF(ISERROR(
IF(C446="","",IFERROR(VLOOKUP(E446,CAD_PROD!$C$6:$D$506,2,0),""))),"",IF(C446="","",IFERROR(VLOOKUP(E446,CAD_PROD!$C$6:$D$506,2,0),"")))</f>
        <v/>
      </c>
      <c r="H446" s="94" t="str">
        <f t="shared" si="6"/>
        <v/>
      </c>
    </row>
    <row r="447" spans="2:8" ht="36" customHeight="1">
      <c r="B447" s="52">
        <f>IF(E447=TOP_CONC!$D$5,B446+1,B446)</f>
        <v>2</v>
      </c>
      <c r="C447" s="92"/>
      <c r="D447" s="92"/>
      <c r="E447" s="92"/>
      <c r="F447" s="111"/>
      <c r="G447" s="110" t="str">
        <f>IF(ISERROR(
IF(C447="","",IFERROR(VLOOKUP(E447,CAD_PROD!$C$6:$D$506,2,0),""))),"",IF(C447="","",IFERROR(VLOOKUP(E447,CAD_PROD!$C$6:$D$506,2,0),"")))</f>
        <v/>
      </c>
      <c r="H447" s="94" t="str">
        <f t="shared" si="6"/>
        <v/>
      </c>
    </row>
    <row r="448" spans="2:8" ht="36" customHeight="1">
      <c r="B448" s="52">
        <f>IF(E448=TOP_CONC!$D$5,B447+1,B447)</f>
        <v>2</v>
      </c>
      <c r="C448" s="92"/>
      <c r="D448" s="92"/>
      <c r="E448" s="92"/>
      <c r="F448" s="111"/>
      <c r="G448" s="110" t="str">
        <f>IF(ISERROR(
IF(C448="","",IFERROR(VLOOKUP(E448,CAD_PROD!$C$6:$D$506,2,0),""))),"",IF(C448="","",IFERROR(VLOOKUP(E448,CAD_PROD!$C$6:$D$506,2,0),"")))</f>
        <v/>
      </c>
      <c r="H448" s="94" t="str">
        <f t="shared" si="6"/>
        <v/>
      </c>
    </row>
    <row r="449" spans="2:8" ht="36" customHeight="1">
      <c r="B449" s="52">
        <f>IF(E449=TOP_CONC!$D$5,B448+1,B448)</f>
        <v>2</v>
      </c>
      <c r="C449" s="92"/>
      <c r="D449" s="92"/>
      <c r="E449" s="92"/>
      <c r="F449" s="111"/>
      <c r="G449" s="110" t="str">
        <f>IF(ISERROR(
IF(C449="","",IFERROR(VLOOKUP(E449,CAD_PROD!$C$6:$D$506,2,0),""))),"",IF(C449="","",IFERROR(VLOOKUP(E449,CAD_PROD!$C$6:$D$506,2,0),"")))</f>
        <v/>
      </c>
      <c r="H449" s="94" t="str">
        <f t="shared" si="6"/>
        <v/>
      </c>
    </row>
    <row r="450" spans="2:8" ht="36" customHeight="1">
      <c r="B450" s="52">
        <f>IF(E450=TOP_CONC!$D$5,B449+1,B449)</f>
        <v>2</v>
      </c>
      <c r="C450" s="92"/>
      <c r="D450" s="92"/>
      <c r="E450" s="92"/>
      <c r="F450" s="111"/>
      <c r="G450" s="110" t="str">
        <f>IF(ISERROR(
IF(C450="","",IFERROR(VLOOKUP(E450,CAD_PROD!$C$6:$D$506,2,0),""))),"",IF(C450="","",IFERROR(VLOOKUP(E450,CAD_PROD!$C$6:$D$506,2,0),"")))</f>
        <v/>
      </c>
      <c r="H450" s="94" t="str">
        <f t="shared" si="6"/>
        <v/>
      </c>
    </row>
    <row r="451" spans="2:8" ht="36" customHeight="1">
      <c r="B451" s="52">
        <f>IF(E451=TOP_CONC!$D$5,B450+1,B450)</f>
        <v>2</v>
      </c>
      <c r="C451" s="92"/>
      <c r="D451" s="92"/>
      <c r="E451" s="92"/>
      <c r="F451" s="111"/>
      <c r="G451" s="110" t="str">
        <f>IF(ISERROR(
IF(C451="","",IFERROR(VLOOKUP(E451,CAD_PROD!$C$6:$D$506,2,0),""))),"",IF(C451="","",IFERROR(VLOOKUP(E451,CAD_PROD!$C$6:$D$506,2,0),"")))</f>
        <v/>
      </c>
      <c r="H451" s="94" t="str">
        <f t="shared" si="6"/>
        <v/>
      </c>
    </row>
    <row r="452" spans="2:8" ht="36" customHeight="1">
      <c r="B452" s="52">
        <f>IF(E452=TOP_CONC!$D$5,B451+1,B451)</f>
        <v>2</v>
      </c>
      <c r="C452" s="92"/>
      <c r="D452" s="92"/>
      <c r="E452" s="92"/>
      <c r="F452" s="111"/>
      <c r="G452" s="110" t="str">
        <f>IF(ISERROR(
IF(C452="","",IFERROR(VLOOKUP(E452,CAD_PROD!$C$6:$D$506,2,0),""))),"",IF(C452="","",IFERROR(VLOOKUP(E452,CAD_PROD!$C$6:$D$506,2,0),"")))</f>
        <v/>
      </c>
      <c r="H452" s="94" t="str">
        <f t="shared" si="6"/>
        <v/>
      </c>
    </row>
    <row r="453" spans="2:8" ht="36" customHeight="1">
      <c r="B453" s="52">
        <f>IF(E453=TOP_CONC!$D$5,B452+1,B452)</f>
        <v>2</v>
      </c>
      <c r="C453" s="92"/>
      <c r="D453" s="92"/>
      <c r="E453" s="92"/>
      <c r="F453" s="111"/>
      <c r="G453" s="110" t="str">
        <f>IF(ISERROR(
IF(C453="","",IFERROR(VLOOKUP(E453,CAD_PROD!$C$6:$D$506,2,0),""))),"",IF(C453="","",IFERROR(VLOOKUP(E453,CAD_PROD!$C$6:$D$506,2,0),"")))</f>
        <v/>
      </c>
      <c r="H453" s="94" t="str">
        <f t="shared" si="6"/>
        <v/>
      </c>
    </row>
    <row r="454" spans="2:8" ht="36" customHeight="1">
      <c r="B454" s="52">
        <f>IF(E454=TOP_CONC!$D$5,B453+1,B453)</f>
        <v>2</v>
      </c>
      <c r="C454" s="92"/>
      <c r="D454" s="92"/>
      <c r="E454" s="92"/>
      <c r="F454" s="111"/>
      <c r="G454" s="110" t="str">
        <f>IF(ISERROR(
IF(C454="","",IFERROR(VLOOKUP(E454,CAD_PROD!$C$6:$D$506,2,0),""))),"",IF(C454="","",IFERROR(VLOOKUP(E454,CAD_PROD!$C$6:$D$506,2,0),"")))</f>
        <v/>
      </c>
      <c r="H454" s="94" t="str">
        <f t="shared" si="6"/>
        <v/>
      </c>
    </row>
    <row r="455" spans="2:8" ht="36" customHeight="1">
      <c r="B455" s="52">
        <f>IF(E455=TOP_CONC!$D$5,B454+1,B454)</f>
        <v>2</v>
      </c>
      <c r="C455" s="92"/>
      <c r="D455" s="92"/>
      <c r="E455" s="92"/>
      <c r="F455" s="111"/>
      <c r="G455" s="110" t="str">
        <f>IF(ISERROR(
IF(C455="","",IFERROR(VLOOKUP(E455,CAD_PROD!$C$6:$D$506,2,0),""))),"",IF(C455="","",IFERROR(VLOOKUP(E455,CAD_PROD!$C$6:$D$506,2,0),"")))</f>
        <v/>
      </c>
      <c r="H455" s="94" t="str">
        <f t="shared" ref="H455:H505" si="7">IF(ISERROR(
IF(C455="","",
IF(F455&lt;G455,"Seu preço está acima do seu concorrente. Você precisa encontrar meios como qualidade, localização, etc, para justificar esta diferença.",IF(F455&gt;G455,"Seu preço está abaixo do seu concorrente. Mas ele se posiciona pelo(a) "&amp;D455&amp;". Fique atento sobre este detalhe, pois preço baixo não é garantia de sucesso.","Seu preço está igual ao do seu concorrente. Ele se posiciona pela "&amp;D455&amp;". Se você conseguir se posicionar melhor que ele nesse atributo, poderá estar em vantagem.")))),"",
IF(C455="","",
IF(F455&lt;G455,"Seu preço está acima do seu concorrente. Você precisa encontrar meios como qualidade, localização, etc, para justificar esta diferença.",IF(F455&gt;G455,"Seu preço está abaixo do seu concorrente. Mas ele se posiciona pelo(a) "&amp;D455&amp;". Fique atento sobre este detalhe, pois preço baixo não é garantia de sucesso.","Seu preço está igual ao do seu concorrente. Ele se posiciona pela "&amp;D455&amp;". Se você conseguir se posicionar melhor que ele nesse atributo, poderá estar em vantagem."))))</f>
        <v/>
      </c>
    </row>
    <row r="456" spans="2:8" ht="36" customHeight="1">
      <c r="B456" s="52">
        <f>IF(E456=TOP_CONC!$D$5,B455+1,B455)</f>
        <v>2</v>
      </c>
      <c r="C456" s="92"/>
      <c r="D456" s="92"/>
      <c r="E456" s="92"/>
      <c r="F456" s="111"/>
      <c r="G456" s="110" t="str">
        <f>IF(ISERROR(
IF(C456="","",IFERROR(VLOOKUP(E456,CAD_PROD!$C$6:$D$506,2,0),""))),"",IF(C456="","",IFERROR(VLOOKUP(E456,CAD_PROD!$C$6:$D$506,2,0),"")))</f>
        <v/>
      </c>
      <c r="H456" s="94" t="str">
        <f t="shared" si="7"/>
        <v/>
      </c>
    </row>
    <row r="457" spans="2:8" ht="36" customHeight="1">
      <c r="B457" s="52">
        <f>IF(E457=TOP_CONC!$D$5,B456+1,B456)</f>
        <v>2</v>
      </c>
      <c r="C457" s="92"/>
      <c r="D457" s="92"/>
      <c r="E457" s="92"/>
      <c r="F457" s="111"/>
      <c r="G457" s="110" t="str">
        <f>IF(ISERROR(
IF(C457="","",IFERROR(VLOOKUP(E457,CAD_PROD!$C$6:$D$506,2,0),""))),"",IF(C457="","",IFERROR(VLOOKUP(E457,CAD_PROD!$C$6:$D$506,2,0),"")))</f>
        <v/>
      </c>
      <c r="H457" s="94" t="str">
        <f t="shared" si="7"/>
        <v/>
      </c>
    </row>
    <row r="458" spans="2:8" ht="36" customHeight="1">
      <c r="B458" s="52">
        <f>IF(E458=TOP_CONC!$D$5,B457+1,B457)</f>
        <v>2</v>
      </c>
      <c r="C458" s="92"/>
      <c r="D458" s="92"/>
      <c r="E458" s="92"/>
      <c r="F458" s="111"/>
      <c r="G458" s="110" t="str">
        <f>IF(ISERROR(
IF(C458="","",IFERROR(VLOOKUP(E458,CAD_PROD!$C$6:$D$506,2,0),""))),"",IF(C458="","",IFERROR(VLOOKUP(E458,CAD_PROD!$C$6:$D$506,2,0),"")))</f>
        <v/>
      </c>
      <c r="H458" s="94" t="str">
        <f t="shared" si="7"/>
        <v/>
      </c>
    </row>
    <row r="459" spans="2:8" ht="36" customHeight="1">
      <c r="B459" s="52">
        <f>IF(E459=TOP_CONC!$D$5,B458+1,B458)</f>
        <v>2</v>
      </c>
      <c r="C459" s="92"/>
      <c r="D459" s="92"/>
      <c r="E459" s="92"/>
      <c r="F459" s="111"/>
      <c r="G459" s="110" t="str">
        <f>IF(ISERROR(
IF(C459="","",IFERROR(VLOOKUP(E459,CAD_PROD!$C$6:$D$506,2,0),""))),"",IF(C459="","",IFERROR(VLOOKUP(E459,CAD_PROD!$C$6:$D$506,2,0),"")))</f>
        <v/>
      </c>
      <c r="H459" s="94" t="str">
        <f t="shared" si="7"/>
        <v/>
      </c>
    </row>
    <row r="460" spans="2:8" ht="36" customHeight="1">
      <c r="B460" s="52">
        <f>IF(E460=TOP_CONC!$D$5,B459+1,B459)</f>
        <v>2</v>
      </c>
      <c r="C460" s="92"/>
      <c r="D460" s="92"/>
      <c r="E460" s="92"/>
      <c r="F460" s="111"/>
      <c r="G460" s="110" t="str">
        <f>IF(ISERROR(
IF(C460="","",IFERROR(VLOOKUP(E460,CAD_PROD!$C$6:$D$506,2,0),""))),"",IF(C460="","",IFERROR(VLOOKUP(E460,CAD_PROD!$C$6:$D$506,2,0),"")))</f>
        <v/>
      </c>
      <c r="H460" s="94" t="str">
        <f t="shared" si="7"/>
        <v/>
      </c>
    </row>
    <row r="461" spans="2:8" ht="36" customHeight="1">
      <c r="B461" s="52">
        <f>IF(E461=TOP_CONC!$D$5,B460+1,B460)</f>
        <v>2</v>
      </c>
      <c r="C461" s="92"/>
      <c r="D461" s="92"/>
      <c r="E461" s="92"/>
      <c r="F461" s="111"/>
      <c r="G461" s="110" t="str">
        <f>IF(ISERROR(
IF(C461="","",IFERROR(VLOOKUP(E461,CAD_PROD!$C$6:$D$506,2,0),""))),"",IF(C461="","",IFERROR(VLOOKUP(E461,CAD_PROD!$C$6:$D$506,2,0),"")))</f>
        <v/>
      </c>
      <c r="H461" s="94" t="str">
        <f t="shared" si="7"/>
        <v/>
      </c>
    </row>
    <row r="462" spans="2:8" ht="36" customHeight="1">
      <c r="B462" s="52">
        <f>IF(E462=TOP_CONC!$D$5,B461+1,B461)</f>
        <v>2</v>
      </c>
      <c r="C462" s="92"/>
      <c r="D462" s="92"/>
      <c r="E462" s="92"/>
      <c r="F462" s="111"/>
      <c r="G462" s="110" t="str">
        <f>IF(ISERROR(
IF(C462="","",IFERROR(VLOOKUP(E462,CAD_PROD!$C$6:$D$506,2,0),""))),"",IF(C462="","",IFERROR(VLOOKUP(E462,CAD_PROD!$C$6:$D$506,2,0),"")))</f>
        <v/>
      </c>
      <c r="H462" s="94" t="str">
        <f t="shared" si="7"/>
        <v/>
      </c>
    </row>
    <row r="463" spans="2:8" ht="36" customHeight="1">
      <c r="B463" s="52">
        <f>IF(E463=TOP_CONC!$D$5,B462+1,B462)</f>
        <v>2</v>
      </c>
      <c r="C463" s="92"/>
      <c r="D463" s="92"/>
      <c r="E463" s="92"/>
      <c r="F463" s="111"/>
      <c r="G463" s="110" t="str">
        <f>IF(ISERROR(
IF(C463="","",IFERROR(VLOOKUP(E463,CAD_PROD!$C$6:$D$506,2,0),""))),"",IF(C463="","",IFERROR(VLOOKUP(E463,CAD_PROD!$C$6:$D$506,2,0),"")))</f>
        <v/>
      </c>
      <c r="H463" s="94" t="str">
        <f t="shared" si="7"/>
        <v/>
      </c>
    </row>
    <row r="464" spans="2:8" ht="36" customHeight="1">
      <c r="B464" s="52">
        <f>IF(E464=TOP_CONC!$D$5,B463+1,B463)</f>
        <v>2</v>
      </c>
      <c r="C464" s="92"/>
      <c r="D464" s="92"/>
      <c r="E464" s="92"/>
      <c r="F464" s="111"/>
      <c r="G464" s="110" t="str">
        <f>IF(ISERROR(
IF(C464="","",IFERROR(VLOOKUP(E464,CAD_PROD!$C$6:$D$506,2,0),""))),"",IF(C464="","",IFERROR(VLOOKUP(E464,CAD_PROD!$C$6:$D$506,2,0),"")))</f>
        <v/>
      </c>
      <c r="H464" s="94" t="str">
        <f t="shared" si="7"/>
        <v/>
      </c>
    </row>
    <row r="465" spans="2:8" ht="36" customHeight="1">
      <c r="B465" s="52">
        <f>IF(E465=TOP_CONC!$D$5,B464+1,B464)</f>
        <v>2</v>
      </c>
      <c r="C465" s="92"/>
      <c r="D465" s="92"/>
      <c r="E465" s="92"/>
      <c r="F465" s="111"/>
      <c r="G465" s="110" t="str">
        <f>IF(ISERROR(
IF(C465="","",IFERROR(VLOOKUP(E465,CAD_PROD!$C$6:$D$506,2,0),""))),"",IF(C465="","",IFERROR(VLOOKUP(E465,CAD_PROD!$C$6:$D$506,2,0),"")))</f>
        <v/>
      </c>
      <c r="H465" s="94" t="str">
        <f t="shared" si="7"/>
        <v/>
      </c>
    </row>
    <row r="466" spans="2:8" ht="36" customHeight="1">
      <c r="B466" s="52">
        <f>IF(E466=TOP_CONC!$D$5,B465+1,B465)</f>
        <v>2</v>
      </c>
      <c r="C466" s="92"/>
      <c r="D466" s="92"/>
      <c r="E466" s="92"/>
      <c r="F466" s="111"/>
      <c r="G466" s="110" t="str">
        <f>IF(ISERROR(
IF(C466="","",IFERROR(VLOOKUP(E466,CAD_PROD!$C$6:$D$506,2,0),""))),"",IF(C466="","",IFERROR(VLOOKUP(E466,CAD_PROD!$C$6:$D$506,2,0),"")))</f>
        <v/>
      </c>
      <c r="H466" s="94" t="str">
        <f t="shared" si="7"/>
        <v/>
      </c>
    </row>
    <row r="467" spans="2:8" ht="36" customHeight="1">
      <c r="B467" s="52">
        <f>IF(E467=TOP_CONC!$D$5,B466+1,B466)</f>
        <v>2</v>
      </c>
      <c r="C467" s="92"/>
      <c r="D467" s="92"/>
      <c r="E467" s="92"/>
      <c r="F467" s="111"/>
      <c r="G467" s="110" t="str">
        <f>IF(ISERROR(
IF(C467="","",IFERROR(VLOOKUP(E467,CAD_PROD!$C$6:$D$506,2,0),""))),"",IF(C467="","",IFERROR(VLOOKUP(E467,CAD_PROD!$C$6:$D$506,2,0),"")))</f>
        <v/>
      </c>
      <c r="H467" s="94" t="str">
        <f t="shared" si="7"/>
        <v/>
      </c>
    </row>
    <row r="468" spans="2:8" ht="36" customHeight="1">
      <c r="B468" s="52">
        <f>IF(E468=TOP_CONC!$D$5,B467+1,B467)</f>
        <v>2</v>
      </c>
      <c r="C468" s="92"/>
      <c r="D468" s="92"/>
      <c r="E468" s="92"/>
      <c r="F468" s="111"/>
      <c r="G468" s="110" t="str">
        <f>IF(ISERROR(
IF(C468="","",IFERROR(VLOOKUP(E468,CAD_PROD!$C$6:$D$506,2,0),""))),"",IF(C468="","",IFERROR(VLOOKUP(E468,CAD_PROD!$C$6:$D$506,2,0),"")))</f>
        <v/>
      </c>
      <c r="H468" s="94" t="str">
        <f t="shared" si="7"/>
        <v/>
      </c>
    </row>
    <row r="469" spans="2:8" ht="36" customHeight="1">
      <c r="B469" s="52">
        <f>IF(E469=TOP_CONC!$D$5,B468+1,B468)</f>
        <v>2</v>
      </c>
      <c r="C469" s="92"/>
      <c r="D469" s="92"/>
      <c r="E469" s="92"/>
      <c r="F469" s="111"/>
      <c r="G469" s="110" t="str">
        <f>IF(ISERROR(
IF(C469="","",IFERROR(VLOOKUP(E469,CAD_PROD!$C$6:$D$506,2,0),""))),"",IF(C469="","",IFERROR(VLOOKUP(E469,CAD_PROD!$C$6:$D$506,2,0),"")))</f>
        <v/>
      </c>
      <c r="H469" s="94" t="str">
        <f t="shared" si="7"/>
        <v/>
      </c>
    </row>
    <row r="470" spans="2:8" ht="36" customHeight="1">
      <c r="B470" s="52">
        <f>IF(E470=TOP_CONC!$D$5,B469+1,B469)</f>
        <v>2</v>
      </c>
      <c r="C470" s="92"/>
      <c r="D470" s="92"/>
      <c r="E470" s="92"/>
      <c r="F470" s="111"/>
      <c r="G470" s="110" t="str">
        <f>IF(ISERROR(
IF(C470="","",IFERROR(VLOOKUP(E470,CAD_PROD!$C$6:$D$506,2,0),""))),"",IF(C470="","",IFERROR(VLOOKUP(E470,CAD_PROD!$C$6:$D$506,2,0),"")))</f>
        <v/>
      </c>
      <c r="H470" s="94" t="str">
        <f t="shared" si="7"/>
        <v/>
      </c>
    </row>
    <row r="471" spans="2:8" ht="36" customHeight="1">
      <c r="B471" s="52">
        <f>IF(E471=TOP_CONC!$D$5,B470+1,B470)</f>
        <v>2</v>
      </c>
      <c r="C471" s="92"/>
      <c r="D471" s="92"/>
      <c r="E471" s="92"/>
      <c r="F471" s="111"/>
      <c r="G471" s="110" t="str">
        <f>IF(ISERROR(
IF(C471="","",IFERROR(VLOOKUP(E471,CAD_PROD!$C$6:$D$506,2,0),""))),"",IF(C471="","",IFERROR(VLOOKUP(E471,CAD_PROD!$C$6:$D$506,2,0),"")))</f>
        <v/>
      </c>
      <c r="H471" s="94" t="str">
        <f t="shared" si="7"/>
        <v/>
      </c>
    </row>
    <row r="472" spans="2:8" ht="36" customHeight="1">
      <c r="B472" s="52">
        <f>IF(E472=TOP_CONC!$D$5,B471+1,B471)</f>
        <v>2</v>
      </c>
      <c r="C472" s="92"/>
      <c r="D472" s="92"/>
      <c r="E472" s="92"/>
      <c r="F472" s="111"/>
      <c r="G472" s="110" t="str">
        <f>IF(ISERROR(
IF(C472="","",IFERROR(VLOOKUP(E472,CAD_PROD!$C$6:$D$506,2,0),""))),"",IF(C472="","",IFERROR(VLOOKUP(E472,CAD_PROD!$C$6:$D$506,2,0),"")))</f>
        <v/>
      </c>
      <c r="H472" s="94" t="str">
        <f t="shared" si="7"/>
        <v/>
      </c>
    </row>
    <row r="473" spans="2:8" ht="36" customHeight="1">
      <c r="B473" s="52">
        <f>IF(E473=TOP_CONC!$D$5,B472+1,B472)</f>
        <v>2</v>
      </c>
      <c r="C473" s="92"/>
      <c r="D473" s="92"/>
      <c r="E473" s="92"/>
      <c r="F473" s="111"/>
      <c r="G473" s="110" t="str">
        <f>IF(ISERROR(
IF(C473="","",IFERROR(VLOOKUP(E473,CAD_PROD!$C$6:$D$506,2,0),""))),"",IF(C473="","",IFERROR(VLOOKUP(E473,CAD_PROD!$C$6:$D$506,2,0),"")))</f>
        <v/>
      </c>
      <c r="H473" s="94" t="str">
        <f t="shared" si="7"/>
        <v/>
      </c>
    </row>
    <row r="474" spans="2:8" ht="36" customHeight="1">
      <c r="B474" s="52">
        <f>IF(E474=TOP_CONC!$D$5,B473+1,B473)</f>
        <v>2</v>
      </c>
      <c r="C474" s="92"/>
      <c r="D474" s="92"/>
      <c r="E474" s="92"/>
      <c r="F474" s="111"/>
      <c r="G474" s="110" t="str">
        <f>IF(ISERROR(
IF(C474="","",IFERROR(VLOOKUP(E474,CAD_PROD!$C$6:$D$506,2,0),""))),"",IF(C474="","",IFERROR(VLOOKUP(E474,CAD_PROD!$C$6:$D$506,2,0),"")))</f>
        <v/>
      </c>
      <c r="H474" s="94" t="str">
        <f t="shared" si="7"/>
        <v/>
      </c>
    </row>
    <row r="475" spans="2:8" ht="36" customHeight="1">
      <c r="B475" s="52">
        <f>IF(E475=TOP_CONC!$D$5,B474+1,B474)</f>
        <v>2</v>
      </c>
      <c r="C475" s="92"/>
      <c r="D475" s="92"/>
      <c r="E475" s="92"/>
      <c r="F475" s="111"/>
      <c r="G475" s="110" t="str">
        <f>IF(ISERROR(
IF(C475="","",IFERROR(VLOOKUP(E475,CAD_PROD!$C$6:$D$506,2,0),""))),"",IF(C475="","",IFERROR(VLOOKUP(E475,CAD_PROD!$C$6:$D$506,2,0),"")))</f>
        <v/>
      </c>
      <c r="H475" s="94" t="str">
        <f t="shared" si="7"/>
        <v/>
      </c>
    </row>
    <row r="476" spans="2:8" ht="36" customHeight="1">
      <c r="B476" s="52">
        <f>IF(E476=TOP_CONC!$D$5,B475+1,B475)</f>
        <v>2</v>
      </c>
      <c r="C476" s="92"/>
      <c r="D476" s="92"/>
      <c r="E476" s="92"/>
      <c r="F476" s="111"/>
      <c r="G476" s="110" t="str">
        <f>IF(ISERROR(
IF(C476="","",IFERROR(VLOOKUP(E476,CAD_PROD!$C$6:$D$506,2,0),""))),"",IF(C476="","",IFERROR(VLOOKUP(E476,CAD_PROD!$C$6:$D$506,2,0),"")))</f>
        <v/>
      </c>
      <c r="H476" s="94" t="str">
        <f t="shared" si="7"/>
        <v/>
      </c>
    </row>
    <row r="477" spans="2:8" ht="36" customHeight="1">
      <c r="B477" s="52">
        <f>IF(E477=TOP_CONC!$D$5,B476+1,B476)</f>
        <v>2</v>
      </c>
      <c r="C477" s="92"/>
      <c r="D477" s="92"/>
      <c r="E477" s="92"/>
      <c r="F477" s="111"/>
      <c r="G477" s="110" t="str">
        <f>IF(ISERROR(
IF(C477="","",IFERROR(VLOOKUP(E477,CAD_PROD!$C$6:$D$506,2,0),""))),"",IF(C477="","",IFERROR(VLOOKUP(E477,CAD_PROD!$C$6:$D$506,2,0),"")))</f>
        <v/>
      </c>
      <c r="H477" s="94" t="str">
        <f t="shared" si="7"/>
        <v/>
      </c>
    </row>
    <row r="478" spans="2:8" ht="36" customHeight="1">
      <c r="B478" s="52">
        <f>IF(E478=TOP_CONC!$D$5,B477+1,B477)</f>
        <v>2</v>
      </c>
      <c r="C478" s="92"/>
      <c r="D478" s="92"/>
      <c r="E478" s="92"/>
      <c r="F478" s="111"/>
      <c r="G478" s="110" t="str">
        <f>IF(ISERROR(
IF(C478="","",IFERROR(VLOOKUP(E478,CAD_PROD!$C$6:$D$506,2,0),""))),"",IF(C478="","",IFERROR(VLOOKUP(E478,CAD_PROD!$C$6:$D$506,2,0),"")))</f>
        <v/>
      </c>
      <c r="H478" s="94" t="str">
        <f t="shared" si="7"/>
        <v/>
      </c>
    </row>
    <row r="479" spans="2:8" ht="36" customHeight="1">
      <c r="B479" s="52">
        <f>IF(E479=TOP_CONC!$D$5,B478+1,B478)</f>
        <v>2</v>
      </c>
      <c r="C479" s="92"/>
      <c r="D479" s="92"/>
      <c r="E479" s="92"/>
      <c r="F479" s="111"/>
      <c r="G479" s="110" t="str">
        <f>IF(ISERROR(
IF(C479="","",IFERROR(VLOOKUP(E479,CAD_PROD!$C$6:$D$506,2,0),""))),"",IF(C479="","",IFERROR(VLOOKUP(E479,CAD_PROD!$C$6:$D$506,2,0),"")))</f>
        <v/>
      </c>
      <c r="H479" s="94" t="str">
        <f t="shared" si="7"/>
        <v/>
      </c>
    </row>
    <row r="480" spans="2:8" ht="36" customHeight="1">
      <c r="B480" s="52">
        <f>IF(E480=TOP_CONC!$D$5,B479+1,B479)</f>
        <v>2</v>
      </c>
      <c r="C480" s="92"/>
      <c r="D480" s="92"/>
      <c r="E480" s="92"/>
      <c r="F480" s="111"/>
      <c r="G480" s="110" t="str">
        <f>IF(ISERROR(
IF(C480="","",IFERROR(VLOOKUP(E480,CAD_PROD!$C$6:$D$506,2,0),""))),"",IF(C480="","",IFERROR(VLOOKUP(E480,CAD_PROD!$C$6:$D$506,2,0),"")))</f>
        <v/>
      </c>
      <c r="H480" s="94" t="str">
        <f t="shared" si="7"/>
        <v/>
      </c>
    </row>
    <row r="481" spans="2:8" ht="36" customHeight="1">
      <c r="B481" s="52">
        <f>IF(E481=TOP_CONC!$D$5,B480+1,B480)</f>
        <v>2</v>
      </c>
      <c r="C481" s="92"/>
      <c r="D481" s="92"/>
      <c r="E481" s="92"/>
      <c r="F481" s="111"/>
      <c r="G481" s="110" t="str">
        <f>IF(ISERROR(
IF(C481="","",IFERROR(VLOOKUP(E481,CAD_PROD!$C$6:$D$506,2,0),""))),"",IF(C481="","",IFERROR(VLOOKUP(E481,CAD_PROD!$C$6:$D$506,2,0),"")))</f>
        <v/>
      </c>
      <c r="H481" s="94" t="str">
        <f t="shared" si="7"/>
        <v/>
      </c>
    </row>
    <row r="482" spans="2:8" ht="36" customHeight="1">
      <c r="B482" s="52">
        <f>IF(E482=TOP_CONC!$D$5,B481+1,B481)</f>
        <v>2</v>
      </c>
      <c r="C482" s="92"/>
      <c r="D482" s="92"/>
      <c r="E482" s="92"/>
      <c r="F482" s="111"/>
      <c r="G482" s="110" t="str">
        <f>IF(ISERROR(
IF(C482="","",IFERROR(VLOOKUP(E482,CAD_PROD!$C$6:$D$506,2,0),""))),"",IF(C482="","",IFERROR(VLOOKUP(E482,CAD_PROD!$C$6:$D$506,2,0),"")))</f>
        <v/>
      </c>
      <c r="H482" s="94" t="str">
        <f t="shared" si="7"/>
        <v/>
      </c>
    </row>
    <row r="483" spans="2:8" ht="36" customHeight="1">
      <c r="B483" s="52">
        <f>IF(E483=TOP_CONC!$D$5,B482+1,B482)</f>
        <v>2</v>
      </c>
      <c r="C483" s="92"/>
      <c r="D483" s="92"/>
      <c r="E483" s="92"/>
      <c r="F483" s="111"/>
      <c r="G483" s="110" t="str">
        <f>IF(ISERROR(
IF(C483="","",IFERROR(VLOOKUP(E483,CAD_PROD!$C$6:$D$506,2,0),""))),"",IF(C483="","",IFERROR(VLOOKUP(E483,CAD_PROD!$C$6:$D$506,2,0),"")))</f>
        <v/>
      </c>
      <c r="H483" s="94" t="str">
        <f t="shared" si="7"/>
        <v/>
      </c>
    </row>
    <row r="484" spans="2:8" ht="36" customHeight="1">
      <c r="B484" s="52">
        <f>IF(E484=TOP_CONC!$D$5,B483+1,B483)</f>
        <v>2</v>
      </c>
      <c r="C484" s="92"/>
      <c r="D484" s="92"/>
      <c r="E484" s="92"/>
      <c r="F484" s="111"/>
      <c r="G484" s="110" t="str">
        <f>IF(ISERROR(
IF(C484="","",IFERROR(VLOOKUP(E484,CAD_PROD!$C$6:$D$506,2,0),""))),"",IF(C484="","",IFERROR(VLOOKUP(E484,CAD_PROD!$C$6:$D$506,2,0),"")))</f>
        <v/>
      </c>
      <c r="H484" s="94" t="str">
        <f t="shared" si="7"/>
        <v/>
      </c>
    </row>
    <row r="485" spans="2:8" ht="36" customHeight="1">
      <c r="B485" s="52">
        <f>IF(E485=TOP_CONC!$D$5,B484+1,B484)</f>
        <v>2</v>
      </c>
      <c r="C485" s="92"/>
      <c r="D485" s="92"/>
      <c r="E485" s="92"/>
      <c r="F485" s="111"/>
      <c r="G485" s="110" t="str">
        <f>IF(ISERROR(
IF(C485="","",IFERROR(VLOOKUP(E485,CAD_PROD!$C$6:$D$506,2,0),""))),"",IF(C485="","",IFERROR(VLOOKUP(E485,CAD_PROD!$C$6:$D$506,2,0),"")))</f>
        <v/>
      </c>
      <c r="H485" s="94" t="str">
        <f t="shared" si="7"/>
        <v/>
      </c>
    </row>
    <row r="486" spans="2:8" ht="36" customHeight="1">
      <c r="B486" s="52">
        <f>IF(E486=TOP_CONC!$D$5,B485+1,B485)</f>
        <v>2</v>
      </c>
      <c r="C486" s="92"/>
      <c r="D486" s="92"/>
      <c r="E486" s="92"/>
      <c r="F486" s="111"/>
      <c r="G486" s="110" t="str">
        <f>IF(ISERROR(
IF(C486="","",IFERROR(VLOOKUP(E486,CAD_PROD!$C$6:$D$506,2,0),""))),"",IF(C486="","",IFERROR(VLOOKUP(E486,CAD_PROD!$C$6:$D$506,2,0),"")))</f>
        <v/>
      </c>
      <c r="H486" s="94" t="str">
        <f t="shared" si="7"/>
        <v/>
      </c>
    </row>
    <row r="487" spans="2:8" ht="36" customHeight="1">
      <c r="B487" s="52">
        <f>IF(E487=TOP_CONC!$D$5,B486+1,B486)</f>
        <v>2</v>
      </c>
      <c r="C487" s="92"/>
      <c r="D487" s="92"/>
      <c r="E487" s="92"/>
      <c r="F487" s="111"/>
      <c r="G487" s="110" t="str">
        <f>IF(ISERROR(
IF(C487="","",IFERROR(VLOOKUP(E487,CAD_PROD!$C$6:$D$506,2,0),""))),"",IF(C487="","",IFERROR(VLOOKUP(E487,CAD_PROD!$C$6:$D$506,2,0),"")))</f>
        <v/>
      </c>
      <c r="H487" s="94" t="str">
        <f t="shared" si="7"/>
        <v/>
      </c>
    </row>
    <row r="488" spans="2:8" ht="36" customHeight="1">
      <c r="B488" s="52">
        <f>IF(E488=TOP_CONC!$D$5,B487+1,B487)</f>
        <v>2</v>
      </c>
      <c r="C488" s="92"/>
      <c r="D488" s="92"/>
      <c r="E488" s="92"/>
      <c r="F488" s="111"/>
      <c r="G488" s="110" t="str">
        <f>IF(ISERROR(
IF(C488="","",IFERROR(VLOOKUP(E488,CAD_PROD!$C$6:$D$506,2,0),""))),"",IF(C488="","",IFERROR(VLOOKUP(E488,CAD_PROD!$C$6:$D$506,2,0),"")))</f>
        <v/>
      </c>
      <c r="H488" s="94" t="str">
        <f t="shared" si="7"/>
        <v/>
      </c>
    </row>
    <row r="489" spans="2:8" ht="36" customHeight="1">
      <c r="B489" s="52">
        <f>IF(E489=TOP_CONC!$D$5,B488+1,B488)</f>
        <v>2</v>
      </c>
      <c r="C489" s="92"/>
      <c r="D489" s="92"/>
      <c r="E489" s="92"/>
      <c r="F489" s="111"/>
      <c r="G489" s="110" t="str">
        <f>IF(ISERROR(
IF(C489="","",IFERROR(VLOOKUP(E489,CAD_PROD!$C$6:$D$506,2,0),""))),"",IF(C489="","",IFERROR(VLOOKUP(E489,CAD_PROD!$C$6:$D$506,2,0),"")))</f>
        <v/>
      </c>
      <c r="H489" s="94" t="str">
        <f t="shared" si="7"/>
        <v/>
      </c>
    </row>
    <row r="490" spans="2:8" ht="36" customHeight="1">
      <c r="B490" s="52">
        <f>IF(E490=TOP_CONC!$D$5,B489+1,B489)</f>
        <v>2</v>
      </c>
      <c r="C490" s="92"/>
      <c r="D490" s="92"/>
      <c r="E490" s="92"/>
      <c r="F490" s="111"/>
      <c r="G490" s="110" t="str">
        <f>IF(ISERROR(
IF(C490="","",IFERROR(VLOOKUP(E490,CAD_PROD!$C$6:$D$506,2,0),""))),"",IF(C490="","",IFERROR(VLOOKUP(E490,CAD_PROD!$C$6:$D$506,2,0),"")))</f>
        <v/>
      </c>
      <c r="H490" s="94" t="str">
        <f t="shared" si="7"/>
        <v/>
      </c>
    </row>
    <row r="491" spans="2:8" ht="36" customHeight="1">
      <c r="B491" s="52">
        <f>IF(E491=TOP_CONC!$D$5,B490+1,B490)</f>
        <v>2</v>
      </c>
      <c r="C491" s="92"/>
      <c r="D491" s="92"/>
      <c r="E491" s="92"/>
      <c r="F491" s="111"/>
      <c r="G491" s="110" t="str">
        <f>IF(ISERROR(
IF(C491="","",IFERROR(VLOOKUP(E491,CAD_PROD!$C$6:$D$506,2,0),""))),"",IF(C491="","",IFERROR(VLOOKUP(E491,CAD_PROD!$C$6:$D$506,2,0),"")))</f>
        <v/>
      </c>
      <c r="H491" s="94" t="str">
        <f t="shared" si="7"/>
        <v/>
      </c>
    </row>
    <row r="492" spans="2:8" ht="36" customHeight="1">
      <c r="B492" s="52">
        <f>IF(E492=TOP_CONC!$D$5,B491+1,B491)</f>
        <v>2</v>
      </c>
      <c r="C492" s="92"/>
      <c r="D492" s="92"/>
      <c r="E492" s="92"/>
      <c r="F492" s="111"/>
      <c r="G492" s="110" t="str">
        <f>IF(ISERROR(
IF(C492="","",IFERROR(VLOOKUP(E492,CAD_PROD!$C$6:$D$506,2,0),""))),"",IF(C492="","",IFERROR(VLOOKUP(E492,CAD_PROD!$C$6:$D$506,2,0),"")))</f>
        <v/>
      </c>
      <c r="H492" s="94" t="str">
        <f t="shared" si="7"/>
        <v/>
      </c>
    </row>
    <row r="493" spans="2:8" ht="36" customHeight="1">
      <c r="B493" s="52">
        <f>IF(E493=TOP_CONC!$D$5,B492+1,B492)</f>
        <v>2</v>
      </c>
      <c r="C493" s="92"/>
      <c r="D493" s="92"/>
      <c r="E493" s="92"/>
      <c r="F493" s="111"/>
      <c r="G493" s="110" t="str">
        <f>IF(ISERROR(
IF(C493="","",IFERROR(VLOOKUP(E493,CAD_PROD!$C$6:$D$506,2,0),""))),"",IF(C493="","",IFERROR(VLOOKUP(E493,CAD_PROD!$C$6:$D$506,2,0),"")))</f>
        <v/>
      </c>
      <c r="H493" s="94" t="str">
        <f t="shared" si="7"/>
        <v/>
      </c>
    </row>
    <row r="494" spans="2:8" ht="36" customHeight="1">
      <c r="B494" s="52">
        <f>IF(E494=TOP_CONC!$D$5,B493+1,B493)</f>
        <v>2</v>
      </c>
      <c r="C494" s="92"/>
      <c r="D494" s="92"/>
      <c r="E494" s="92"/>
      <c r="F494" s="111"/>
      <c r="G494" s="110" t="str">
        <f>IF(ISERROR(
IF(C494="","",IFERROR(VLOOKUP(E494,CAD_PROD!$C$6:$D$506,2,0),""))),"",IF(C494="","",IFERROR(VLOOKUP(E494,CAD_PROD!$C$6:$D$506,2,0),"")))</f>
        <v/>
      </c>
      <c r="H494" s="94" t="str">
        <f t="shared" si="7"/>
        <v/>
      </c>
    </row>
    <row r="495" spans="2:8" ht="36" customHeight="1">
      <c r="B495" s="52">
        <f>IF(E495=TOP_CONC!$D$5,B494+1,B494)</f>
        <v>2</v>
      </c>
      <c r="C495" s="92"/>
      <c r="D495" s="92"/>
      <c r="E495" s="92"/>
      <c r="F495" s="111"/>
      <c r="G495" s="110" t="str">
        <f>IF(ISERROR(
IF(C495="","",IFERROR(VLOOKUP(E495,CAD_PROD!$C$6:$D$506,2,0),""))),"",IF(C495="","",IFERROR(VLOOKUP(E495,CAD_PROD!$C$6:$D$506,2,0),"")))</f>
        <v/>
      </c>
      <c r="H495" s="94" t="str">
        <f t="shared" si="7"/>
        <v/>
      </c>
    </row>
    <row r="496" spans="2:8" ht="36" customHeight="1">
      <c r="B496" s="52">
        <f>IF(E496=TOP_CONC!$D$5,B495+1,B495)</f>
        <v>2</v>
      </c>
      <c r="C496" s="92"/>
      <c r="D496" s="92"/>
      <c r="E496" s="92"/>
      <c r="F496" s="111"/>
      <c r="G496" s="110" t="str">
        <f>IF(ISERROR(
IF(C496="","",IFERROR(VLOOKUP(E496,CAD_PROD!$C$6:$D$506,2,0),""))),"",IF(C496="","",IFERROR(VLOOKUP(E496,CAD_PROD!$C$6:$D$506,2,0),"")))</f>
        <v/>
      </c>
      <c r="H496" s="94" t="str">
        <f t="shared" si="7"/>
        <v/>
      </c>
    </row>
    <row r="497" spans="2:8" ht="36" customHeight="1">
      <c r="B497" s="52">
        <f>IF(E497=TOP_CONC!$D$5,B496+1,B496)</f>
        <v>2</v>
      </c>
      <c r="C497" s="92"/>
      <c r="D497" s="92"/>
      <c r="E497" s="92"/>
      <c r="F497" s="111"/>
      <c r="G497" s="110" t="str">
        <f>IF(ISERROR(
IF(C497="","",IFERROR(VLOOKUP(E497,CAD_PROD!$C$6:$D$506,2,0),""))),"",IF(C497="","",IFERROR(VLOOKUP(E497,CAD_PROD!$C$6:$D$506,2,0),"")))</f>
        <v/>
      </c>
      <c r="H497" s="94" t="str">
        <f t="shared" si="7"/>
        <v/>
      </c>
    </row>
    <row r="498" spans="2:8" ht="36" customHeight="1">
      <c r="B498" s="52">
        <f>IF(E498=TOP_CONC!$D$5,B497+1,B497)</f>
        <v>2</v>
      </c>
      <c r="C498" s="92"/>
      <c r="D498" s="92"/>
      <c r="E498" s="92"/>
      <c r="F498" s="111"/>
      <c r="G498" s="110" t="str">
        <f>IF(ISERROR(
IF(C498="","",IFERROR(VLOOKUP(E498,CAD_PROD!$C$6:$D$506,2,0),""))),"",IF(C498="","",IFERROR(VLOOKUP(E498,CAD_PROD!$C$6:$D$506,2,0),"")))</f>
        <v/>
      </c>
      <c r="H498" s="94" t="str">
        <f t="shared" si="7"/>
        <v/>
      </c>
    </row>
    <row r="499" spans="2:8" ht="36" customHeight="1">
      <c r="B499" s="52">
        <f>IF(E499=TOP_CONC!$D$5,B498+1,B498)</f>
        <v>2</v>
      </c>
      <c r="C499" s="92"/>
      <c r="D499" s="92"/>
      <c r="E499" s="92"/>
      <c r="F499" s="111"/>
      <c r="G499" s="110" t="str">
        <f>IF(ISERROR(
IF(C499="","",IFERROR(VLOOKUP(E499,CAD_PROD!$C$6:$D$506,2,0),""))),"",IF(C499="","",IFERROR(VLOOKUP(E499,CAD_PROD!$C$6:$D$506,2,0),"")))</f>
        <v/>
      </c>
      <c r="H499" s="94" t="str">
        <f t="shared" si="7"/>
        <v/>
      </c>
    </row>
    <row r="500" spans="2:8" ht="36" customHeight="1">
      <c r="B500" s="52">
        <f>IF(E500=TOP_CONC!$D$5,B499+1,B499)</f>
        <v>2</v>
      </c>
      <c r="C500" s="92"/>
      <c r="D500" s="92"/>
      <c r="E500" s="92"/>
      <c r="F500" s="111"/>
      <c r="G500" s="110" t="str">
        <f>IF(ISERROR(
IF(C500="","",IFERROR(VLOOKUP(E500,CAD_PROD!$C$6:$D$506,2,0),""))),"",IF(C500="","",IFERROR(VLOOKUP(E500,CAD_PROD!$C$6:$D$506,2,0),"")))</f>
        <v/>
      </c>
      <c r="H500" s="94" t="str">
        <f t="shared" si="7"/>
        <v/>
      </c>
    </row>
    <row r="501" spans="2:8" ht="36" customHeight="1">
      <c r="B501" s="52">
        <f>IF(E501=TOP_CONC!$D$5,B500+1,B500)</f>
        <v>2</v>
      </c>
      <c r="C501" s="92"/>
      <c r="D501" s="92"/>
      <c r="E501" s="92"/>
      <c r="F501" s="111"/>
      <c r="G501" s="110" t="str">
        <f>IF(ISERROR(
IF(C501="","",IFERROR(VLOOKUP(E501,CAD_PROD!$C$6:$D$506,2,0),""))),"",IF(C501="","",IFERROR(VLOOKUP(E501,CAD_PROD!$C$6:$D$506,2,0),"")))</f>
        <v/>
      </c>
      <c r="H501" s="94" t="str">
        <f t="shared" si="7"/>
        <v/>
      </c>
    </row>
    <row r="502" spans="2:8" ht="36" customHeight="1">
      <c r="B502" s="52">
        <f>IF(E502=TOP_CONC!$D$5,B501+1,B501)</f>
        <v>2</v>
      </c>
      <c r="C502" s="92"/>
      <c r="D502" s="92"/>
      <c r="E502" s="92"/>
      <c r="F502" s="111"/>
      <c r="G502" s="110" t="str">
        <f>IF(ISERROR(
IF(C502="","",IFERROR(VLOOKUP(E502,CAD_PROD!$C$6:$D$506,2,0),""))),"",IF(C502="","",IFERROR(VLOOKUP(E502,CAD_PROD!$C$6:$D$506,2,0),"")))</f>
        <v/>
      </c>
      <c r="H502" s="94" t="str">
        <f t="shared" si="7"/>
        <v/>
      </c>
    </row>
    <row r="503" spans="2:8" ht="36" customHeight="1">
      <c r="B503" s="52">
        <f>IF(E503=TOP_CONC!$D$5,B502+1,B502)</f>
        <v>2</v>
      </c>
      <c r="C503" s="92"/>
      <c r="D503" s="92"/>
      <c r="E503" s="92"/>
      <c r="F503" s="111"/>
      <c r="G503" s="110" t="str">
        <f>IF(ISERROR(
IF(C503="","",IFERROR(VLOOKUP(E503,CAD_PROD!$C$6:$D$506,2,0),""))),"",IF(C503="","",IFERROR(VLOOKUP(E503,CAD_PROD!$C$6:$D$506,2,0),"")))</f>
        <v/>
      </c>
      <c r="H503" s="94" t="str">
        <f t="shared" si="7"/>
        <v/>
      </c>
    </row>
    <row r="504" spans="2:8" ht="36" customHeight="1">
      <c r="B504" s="52">
        <f>IF(E504=TOP_CONC!$D$5,B503+1,B503)</f>
        <v>2</v>
      </c>
      <c r="C504" s="92"/>
      <c r="D504" s="92"/>
      <c r="E504" s="92"/>
      <c r="F504" s="111"/>
      <c r="G504" s="110" t="str">
        <f>IF(ISERROR(
IF(C504="","",IFERROR(VLOOKUP(E504,CAD_PROD!$C$6:$D$506,2,0),""))),"",IF(C504="","",IFERROR(VLOOKUP(E504,CAD_PROD!$C$6:$D$506,2,0),"")))</f>
        <v/>
      </c>
      <c r="H504" s="94" t="str">
        <f t="shared" si="7"/>
        <v/>
      </c>
    </row>
    <row r="505" spans="2:8" ht="36" customHeight="1">
      <c r="B505" s="52">
        <f>IF(E505=TOP_CONC!$D$5,B504+1,B504)</f>
        <v>2</v>
      </c>
      <c r="C505" s="92"/>
      <c r="D505" s="92"/>
      <c r="E505" s="92"/>
      <c r="F505" s="111"/>
      <c r="G505" s="110" t="str">
        <f>IF(ISERROR(
IF(C505="","",IFERROR(VLOOKUP(E505,CAD_PROD!$C$6:$D$506,2,0),""))),"",IF(C505="","",IFERROR(VLOOKUP(E505,CAD_PROD!$C$6:$D$506,2,0),"")))</f>
        <v/>
      </c>
      <c r="H505" s="94" t="str">
        <f t="shared" si="7"/>
        <v/>
      </c>
    </row>
    <row r="506" spans="2:8" ht="30" customHeight="1"/>
    <row r="507" spans="2:8" ht="30" customHeight="1"/>
    <row r="508" spans="2:8" ht="30" customHeight="1"/>
    <row r="509" spans="2:8" ht="30" customHeight="1"/>
    <row r="510" spans="2:8" ht="30" customHeight="1"/>
    <row r="511" spans="2:8" ht="30" customHeight="1"/>
    <row r="512" spans="2:8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  <row r="582" ht="30" customHeight="1"/>
    <row r="583" ht="30" customHeight="1"/>
    <row r="584" ht="30" customHeight="1"/>
    <row r="585" ht="30" customHeight="1"/>
    <row r="586" ht="30" customHeight="1"/>
    <row r="587" ht="30" customHeight="1"/>
    <row r="588" ht="30" customHeight="1"/>
    <row r="589" ht="30" customHeight="1"/>
  </sheetData>
  <conditionalFormatting sqref="H6:H505">
    <cfRule type="expression" dxfId="18" priority="3">
      <formula>$G6&lt;$F6</formula>
    </cfRule>
    <cfRule type="expression" dxfId="17" priority="4">
      <formula>$G6&gt;$F6</formula>
    </cfRule>
  </conditionalFormatting>
  <conditionalFormatting sqref="H6:H505">
    <cfRule type="expression" dxfId="16" priority="1">
      <formula>$F6=""</formula>
    </cfRule>
  </conditionalFormatting>
  <conditionalFormatting sqref="H6:H505">
    <cfRule type="expression" dxfId="15" priority="2">
      <formula>$G6=$F6</formula>
    </cfRule>
  </conditionalFormatting>
  <dataValidations count="1">
    <dataValidation type="list" allowBlank="1" showInputMessage="1" showErrorMessage="1" sqref="D6:D505" xr:uid="{00000000-0002-0000-0400-000000000000}">
      <formula1>"Preço, Qualidade, Localização Geográfica, Posicionamento no mercado"</formula1>
    </dataValidation>
  </dataValidations>
  <pageMargins left="0.7" right="0.7" top="0.75" bottom="0.75" header="0.3" footer="0.3"/>
  <pageSetup paperSize="9" orientation="portrait" r:id="rId1"/>
  <ignoredErrors>
    <ignoredError sqref="G11 G12:G25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1000000}">
          <x14:formula1>
            <xm:f>OFFSET(CAD_PROD!$C$6,,,COUNTA(CAD_PROD!$C$6:$C$505),1)</xm:f>
          </x14:formula1>
          <xm:sqref>E6:E505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FD99"/>
  <sheetViews>
    <sheetView showGridLines="0" zoomScale="90" zoomScaleNormal="90" zoomScalePageLayoutView="80" workbookViewId="0">
      <pane ySplit="5" topLeftCell="A6" activePane="bottomLeft" state="frozen"/>
      <selection activeCell="A3" sqref="A3:XFD3"/>
      <selection pane="bottomLeft" activeCell="C3" sqref="C3"/>
    </sheetView>
  </sheetViews>
  <sheetFormatPr defaultColWidth="11" defaultRowHeight="15"/>
  <cols>
    <col min="1" max="1" width="2.125" style="43" customWidth="1"/>
    <col min="2" max="2" width="1.375" style="52" customWidth="1"/>
    <col min="3" max="9" width="22.375" style="43" customWidth="1"/>
    <col min="10" max="16384" width="11" style="43"/>
  </cols>
  <sheetData>
    <row r="1" spans="1:16384" s="36" customFormat="1" ht="39" customHeight="1">
      <c r="B1" s="50"/>
      <c r="E1" s="37"/>
      <c r="F1" s="37"/>
      <c r="G1" s="37"/>
      <c r="H1" s="37"/>
      <c r="I1" s="37"/>
    </row>
    <row r="2" spans="1:16384" s="40" customFormat="1" ht="30" customHeight="1">
      <c r="B2" s="51"/>
      <c r="C2" s="38"/>
      <c r="D2" s="39"/>
      <c r="E2" s="39"/>
      <c r="F2" s="39"/>
      <c r="G2" s="39"/>
      <c r="H2" s="39"/>
      <c r="I2" s="39"/>
    </row>
    <row r="3" spans="1:16384" customFormat="1" ht="44.25" customHeight="1">
      <c r="A3" s="119"/>
      <c r="B3" s="120"/>
      <c r="C3" s="121"/>
      <c r="D3" s="120"/>
      <c r="E3" s="122"/>
      <c r="F3" s="122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0"/>
      <c r="CO3" s="120"/>
      <c r="CP3" s="120"/>
      <c r="CQ3" s="120"/>
      <c r="CR3" s="120"/>
      <c r="CS3" s="120"/>
      <c r="CT3" s="120"/>
      <c r="CU3" s="120"/>
      <c r="CV3" s="120"/>
      <c r="CW3" s="120"/>
      <c r="CX3" s="120"/>
      <c r="CY3" s="120"/>
      <c r="CZ3" s="120"/>
      <c r="DA3" s="120"/>
      <c r="DB3" s="120"/>
      <c r="DC3" s="120"/>
      <c r="DD3" s="120"/>
      <c r="DE3" s="120"/>
      <c r="DF3" s="120"/>
      <c r="DG3" s="120"/>
      <c r="DH3" s="120"/>
      <c r="DI3" s="120"/>
      <c r="DJ3" s="120"/>
      <c r="DK3" s="120"/>
      <c r="DL3" s="120"/>
      <c r="DM3" s="120"/>
      <c r="DN3" s="120"/>
      <c r="DO3" s="120"/>
      <c r="DP3" s="120"/>
      <c r="DQ3" s="120"/>
      <c r="DR3" s="120"/>
      <c r="DS3" s="120"/>
      <c r="DT3" s="120"/>
      <c r="DU3" s="120"/>
      <c r="DV3" s="120"/>
      <c r="DW3" s="120"/>
      <c r="DX3" s="120"/>
      <c r="DY3" s="120"/>
      <c r="DZ3" s="120"/>
      <c r="EA3" s="120"/>
      <c r="EB3" s="120"/>
      <c r="EC3" s="120"/>
      <c r="ED3" s="120"/>
      <c r="EE3" s="120"/>
      <c r="EF3" s="120"/>
      <c r="EG3" s="120"/>
      <c r="EH3" s="120"/>
      <c r="EI3" s="120"/>
      <c r="EJ3" s="120"/>
      <c r="EK3" s="120"/>
      <c r="EL3" s="120"/>
      <c r="EM3" s="120"/>
      <c r="EN3" s="120"/>
      <c r="EO3" s="120"/>
      <c r="EP3" s="120"/>
      <c r="EQ3" s="120"/>
      <c r="ER3" s="120"/>
      <c r="ES3" s="120"/>
      <c r="ET3" s="120"/>
      <c r="EU3" s="120"/>
      <c r="EV3" s="120"/>
      <c r="EW3" s="120"/>
      <c r="EX3" s="120"/>
      <c r="EY3" s="120"/>
      <c r="EZ3" s="120"/>
      <c r="FA3" s="120"/>
      <c r="FB3" s="120"/>
      <c r="FC3" s="120"/>
      <c r="FD3" s="120"/>
      <c r="FE3" s="120"/>
      <c r="FF3" s="120"/>
      <c r="FG3" s="120"/>
      <c r="FH3" s="120"/>
      <c r="FI3" s="120"/>
      <c r="FJ3" s="120"/>
      <c r="FK3" s="120"/>
      <c r="FL3" s="120"/>
      <c r="FM3" s="120"/>
      <c r="FN3" s="120"/>
      <c r="FO3" s="120"/>
      <c r="FP3" s="120"/>
      <c r="FQ3" s="120"/>
      <c r="FR3" s="120"/>
      <c r="FS3" s="120"/>
      <c r="FT3" s="120"/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0"/>
      <c r="GJ3" s="120"/>
      <c r="GK3" s="120"/>
      <c r="GL3" s="120"/>
      <c r="GM3" s="120"/>
      <c r="GN3" s="120"/>
      <c r="GO3" s="120"/>
      <c r="GP3" s="120"/>
      <c r="GQ3" s="120"/>
      <c r="GR3" s="120"/>
      <c r="GS3" s="120"/>
      <c r="GT3" s="120"/>
      <c r="GU3" s="120"/>
      <c r="GV3" s="120"/>
      <c r="GW3" s="120"/>
      <c r="GX3" s="120"/>
      <c r="GY3" s="120"/>
      <c r="GZ3" s="120"/>
      <c r="HA3" s="120"/>
      <c r="HB3" s="120"/>
      <c r="HC3" s="120"/>
      <c r="HD3" s="120"/>
      <c r="HE3" s="120"/>
      <c r="HF3" s="120"/>
      <c r="HG3" s="120"/>
      <c r="HH3" s="120"/>
      <c r="HI3" s="120"/>
      <c r="HJ3" s="120"/>
      <c r="HK3" s="120"/>
      <c r="HL3" s="120"/>
      <c r="HM3" s="120"/>
      <c r="HN3" s="120"/>
      <c r="HO3" s="120"/>
      <c r="HP3" s="120"/>
      <c r="HQ3" s="120"/>
      <c r="HR3" s="120"/>
      <c r="HS3" s="120"/>
      <c r="HT3" s="120"/>
      <c r="HU3" s="120"/>
      <c r="HV3" s="120"/>
      <c r="HW3" s="120"/>
      <c r="HX3" s="120"/>
      <c r="HY3" s="120"/>
      <c r="HZ3" s="120"/>
      <c r="IA3" s="120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P3" s="120"/>
      <c r="IQ3" s="120"/>
      <c r="IR3" s="120"/>
      <c r="IS3" s="120"/>
      <c r="IT3" s="120"/>
      <c r="IU3" s="120"/>
      <c r="IV3" s="120"/>
      <c r="IW3" s="120"/>
      <c r="IX3" s="120"/>
      <c r="IY3" s="120"/>
      <c r="IZ3" s="120"/>
      <c r="JA3" s="120"/>
      <c r="JB3" s="120"/>
      <c r="JC3" s="120"/>
      <c r="JD3" s="120"/>
      <c r="JE3" s="120"/>
      <c r="JF3" s="120"/>
      <c r="JG3" s="120"/>
      <c r="JH3" s="120"/>
      <c r="JI3" s="120"/>
      <c r="JJ3" s="120"/>
      <c r="JK3" s="120"/>
      <c r="JL3" s="120"/>
      <c r="JM3" s="120"/>
      <c r="JN3" s="120"/>
      <c r="JO3" s="120"/>
      <c r="JP3" s="120"/>
      <c r="JQ3" s="120"/>
      <c r="JR3" s="120"/>
      <c r="JS3" s="120"/>
      <c r="JT3" s="120"/>
      <c r="JU3" s="120"/>
      <c r="JV3" s="120"/>
      <c r="JW3" s="120"/>
      <c r="JX3" s="120"/>
      <c r="JY3" s="120"/>
      <c r="JZ3" s="120"/>
      <c r="KA3" s="120"/>
      <c r="KB3" s="120"/>
      <c r="KC3" s="120"/>
      <c r="KD3" s="120"/>
      <c r="KE3" s="120"/>
      <c r="KF3" s="120"/>
      <c r="KG3" s="120"/>
      <c r="KH3" s="120"/>
      <c r="KI3" s="120"/>
      <c r="KJ3" s="120"/>
      <c r="KK3" s="120"/>
      <c r="KL3" s="120"/>
      <c r="KM3" s="120"/>
      <c r="KN3" s="120"/>
      <c r="KO3" s="120"/>
      <c r="KP3" s="120"/>
      <c r="KQ3" s="120"/>
      <c r="KR3" s="120"/>
      <c r="KS3" s="120"/>
      <c r="KT3" s="120"/>
      <c r="KU3" s="120"/>
      <c r="KV3" s="120"/>
      <c r="KW3" s="120"/>
      <c r="KX3" s="120"/>
      <c r="KY3" s="120"/>
      <c r="KZ3" s="120"/>
      <c r="LA3" s="120"/>
      <c r="LB3" s="120"/>
      <c r="LC3" s="120"/>
      <c r="LD3" s="120"/>
      <c r="LE3" s="120"/>
      <c r="LF3" s="120"/>
      <c r="LG3" s="120"/>
      <c r="LH3" s="120"/>
      <c r="LI3" s="120"/>
      <c r="LJ3" s="120"/>
      <c r="LK3" s="120"/>
      <c r="LL3" s="120"/>
      <c r="LM3" s="120"/>
      <c r="LN3" s="120"/>
      <c r="LO3" s="120"/>
      <c r="LP3" s="120"/>
      <c r="LQ3" s="120"/>
      <c r="LR3" s="120"/>
      <c r="LS3" s="120"/>
      <c r="LT3" s="120"/>
      <c r="LU3" s="120"/>
      <c r="LV3" s="120"/>
      <c r="LW3" s="120"/>
      <c r="LX3" s="120"/>
      <c r="LY3" s="120"/>
      <c r="LZ3" s="120"/>
      <c r="MA3" s="120"/>
      <c r="MB3" s="120"/>
      <c r="MC3" s="120"/>
      <c r="MD3" s="120"/>
      <c r="ME3" s="120"/>
      <c r="MF3" s="120"/>
      <c r="MG3" s="120"/>
      <c r="MH3" s="120"/>
      <c r="MI3" s="120"/>
      <c r="MJ3" s="120"/>
      <c r="MK3" s="120"/>
      <c r="ML3" s="120"/>
      <c r="MM3" s="120"/>
      <c r="MN3" s="120"/>
      <c r="MO3" s="120"/>
      <c r="MP3" s="120"/>
      <c r="MQ3" s="120"/>
      <c r="MR3" s="120"/>
      <c r="MS3" s="120"/>
      <c r="MT3" s="120"/>
      <c r="MU3" s="120"/>
      <c r="MV3" s="120"/>
      <c r="MW3" s="120"/>
      <c r="MX3" s="120"/>
      <c r="MY3" s="120"/>
      <c r="MZ3" s="120"/>
      <c r="NA3" s="120"/>
      <c r="NB3" s="120"/>
      <c r="NC3" s="120"/>
      <c r="ND3" s="120"/>
      <c r="NE3" s="120"/>
      <c r="NF3" s="120"/>
      <c r="NG3" s="120"/>
      <c r="NH3" s="120"/>
      <c r="NI3" s="120"/>
      <c r="NJ3" s="120"/>
      <c r="NK3" s="120"/>
      <c r="NL3" s="120"/>
      <c r="NM3" s="120"/>
      <c r="NN3" s="120"/>
      <c r="NO3" s="120"/>
      <c r="NP3" s="120"/>
      <c r="NQ3" s="120"/>
      <c r="NR3" s="120"/>
      <c r="NS3" s="120"/>
      <c r="NT3" s="120"/>
      <c r="NU3" s="120"/>
      <c r="NV3" s="120"/>
      <c r="NW3" s="120"/>
      <c r="NX3" s="120"/>
      <c r="NY3" s="120"/>
      <c r="NZ3" s="120"/>
      <c r="OA3" s="120"/>
      <c r="OB3" s="120"/>
      <c r="OC3" s="120"/>
      <c r="OD3" s="120"/>
      <c r="OE3" s="120"/>
      <c r="OF3" s="120"/>
      <c r="OG3" s="120"/>
      <c r="OH3" s="120"/>
      <c r="OI3" s="120"/>
      <c r="OJ3" s="120"/>
      <c r="OK3" s="120"/>
      <c r="OL3" s="120"/>
      <c r="OM3" s="120"/>
      <c r="ON3" s="120"/>
      <c r="OO3" s="120"/>
      <c r="OP3" s="120"/>
      <c r="OQ3" s="120"/>
      <c r="OR3" s="120"/>
      <c r="OS3" s="120"/>
      <c r="OT3" s="120"/>
      <c r="OU3" s="120"/>
      <c r="OV3" s="120"/>
      <c r="OW3" s="120"/>
      <c r="OX3" s="120"/>
      <c r="OY3" s="120"/>
      <c r="OZ3" s="120"/>
      <c r="PA3" s="120"/>
      <c r="PB3" s="120"/>
      <c r="PC3" s="120"/>
      <c r="PD3" s="120"/>
      <c r="PE3" s="120"/>
      <c r="PF3" s="120"/>
      <c r="PG3" s="120"/>
      <c r="PH3" s="120"/>
      <c r="PI3" s="120"/>
      <c r="PJ3" s="120"/>
      <c r="PK3" s="120"/>
      <c r="PL3" s="120"/>
      <c r="PM3" s="120"/>
      <c r="PN3" s="120"/>
      <c r="PO3" s="120"/>
      <c r="PP3" s="120"/>
      <c r="PQ3" s="120"/>
      <c r="PR3" s="120"/>
      <c r="PS3" s="120"/>
      <c r="PT3" s="120"/>
      <c r="PU3" s="120"/>
      <c r="PV3" s="120"/>
      <c r="PW3" s="120"/>
      <c r="PX3" s="120"/>
      <c r="PY3" s="120"/>
      <c r="PZ3" s="120"/>
      <c r="QA3" s="120"/>
      <c r="QB3" s="120"/>
      <c r="QC3" s="120"/>
      <c r="QD3" s="120"/>
      <c r="QE3" s="120"/>
      <c r="QF3" s="120"/>
      <c r="QG3" s="120"/>
      <c r="QH3" s="120"/>
      <c r="QI3" s="120"/>
      <c r="QJ3" s="120"/>
      <c r="QK3" s="120"/>
      <c r="QL3" s="120"/>
      <c r="QM3" s="120"/>
      <c r="QN3" s="120"/>
      <c r="QO3" s="120"/>
      <c r="QP3" s="120"/>
      <c r="QQ3" s="120"/>
      <c r="QR3" s="120"/>
      <c r="QS3" s="120"/>
      <c r="QT3" s="120"/>
      <c r="QU3" s="120"/>
      <c r="QV3" s="120"/>
      <c r="QW3" s="120"/>
      <c r="QX3" s="120"/>
      <c r="QY3" s="120"/>
      <c r="QZ3" s="120"/>
      <c r="RA3" s="120"/>
      <c r="RB3" s="120"/>
      <c r="RC3" s="120"/>
      <c r="RD3" s="120"/>
      <c r="RE3" s="120"/>
      <c r="RF3" s="120"/>
      <c r="RG3" s="120"/>
      <c r="RH3" s="120"/>
      <c r="RI3" s="120"/>
      <c r="RJ3" s="120"/>
      <c r="RK3" s="120"/>
      <c r="RL3" s="120"/>
      <c r="RM3" s="120"/>
      <c r="RN3" s="120"/>
      <c r="RO3" s="120"/>
      <c r="RP3" s="120"/>
      <c r="RQ3" s="120"/>
      <c r="RR3" s="120"/>
      <c r="RS3" s="120"/>
      <c r="RT3" s="120"/>
      <c r="RU3" s="120"/>
      <c r="RV3" s="120"/>
      <c r="RW3" s="120"/>
      <c r="RX3" s="120"/>
      <c r="RY3" s="120"/>
      <c r="RZ3" s="120"/>
      <c r="SA3" s="120"/>
      <c r="SB3" s="120"/>
      <c r="SC3" s="120"/>
      <c r="SD3" s="120"/>
      <c r="SE3" s="120"/>
      <c r="SF3" s="120"/>
      <c r="SG3" s="120"/>
      <c r="SH3" s="120"/>
      <c r="SI3" s="120"/>
      <c r="SJ3" s="120"/>
      <c r="SK3" s="120"/>
      <c r="SL3" s="120"/>
      <c r="SM3" s="120"/>
      <c r="SN3" s="120"/>
      <c r="SO3" s="120"/>
      <c r="SP3" s="120"/>
      <c r="SQ3" s="120"/>
      <c r="SR3" s="120"/>
      <c r="SS3" s="120"/>
      <c r="ST3" s="120"/>
      <c r="SU3" s="120"/>
      <c r="SV3" s="120"/>
      <c r="SW3" s="120"/>
      <c r="SX3" s="120"/>
      <c r="SY3" s="120"/>
      <c r="SZ3" s="120"/>
      <c r="TA3" s="120"/>
      <c r="TB3" s="120"/>
      <c r="TC3" s="120"/>
      <c r="TD3" s="120"/>
      <c r="TE3" s="120"/>
      <c r="TF3" s="120"/>
      <c r="TG3" s="120"/>
      <c r="TH3" s="120"/>
      <c r="TI3" s="120"/>
      <c r="TJ3" s="120"/>
      <c r="TK3" s="120"/>
      <c r="TL3" s="120"/>
      <c r="TM3" s="120"/>
      <c r="TN3" s="120"/>
      <c r="TO3" s="120"/>
      <c r="TP3" s="120"/>
      <c r="TQ3" s="120"/>
      <c r="TR3" s="120"/>
      <c r="TS3" s="120"/>
      <c r="TT3" s="120"/>
      <c r="TU3" s="120"/>
      <c r="TV3" s="120"/>
      <c r="TW3" s="120"/>
      <c r="TX3" s="120"/>
      <c r="TY3" s="120"/>
      <c r="TZ3" s="120"/>
      <c r="UA3" s="120"/>
      <c r="UB3" s="120"/>
      <c r="UC3" s="120"/>
      <c r="UD3" s="120"/>
      <c r="UE3" s="120"/>
      <c r="UF3" s="120"/>
      <c r="UG3" s="120"/>
      <c r="UH3" s="120"/>
      <c r="UI3" s="120"/>
      <c r="UJ3" s="120"/>
      <c r="UK3" s="120"/>
      <c r="UL3" s="120"/>
      <c r="UM3" s="120"/>
      <c r="UN3" s="120"/>
      <c r="UO3" s="120"/>
      <c r="UP3" s="120"/>
      <c r="UQ3" s="120"/>
      <c r="UR3" s="120"/>
      <c r="US3" s="120"/>
      <c r="UT3" s="120"/>
      <c r="UU3" s="120"/>
      <c r="UV3" s="120"/>
      <c r="UW3" s="120"/>
      <c r="UX3" s="120"/>
      <c r="UY3" s="120"/>
      <c r="UZ3" s="120"/>
      <c r="VA3" s="120"/>
      <c r="VB3" s="120"/>
      <c r="VC3" s="120"/>
      <c r="VD3" s="120"/>
      <c r="VE3" s="120"/>
      <c r="VF3" s="120"/>
      <c r="VG3" s="120"/>
      <c r="VH3" s="120"/>
      <c r="VI3" s="120"/>
      <c r="VJ3" s="120"/>
      <c r="VK3" s="120"/>
      <c r="VL3" s="120"/>
      <c r="VM3" s="120"/>
      <c r="VN3" s="120"/>
      <c r="VO3" s="120"/>
      <c r="VP3" s="120"/>
      <c r="VQ3" s="120"/>
      <c r="VR3" s="120"/>
      <c r="VS3" s="120"/>
      <c r="VT3" s="120"/>
      <c r="VU3" s="120"/>
      <c r="VV3" s="120"/>
      <c r="VW3" s="120"/>
      <c r="VX3" s="120"/>
      <c r="VY3" s="120"/>
      <c r="VZ3" s="120"/>
      <c r="WA3" s="120"/>
      <c r="WB3" s="120"/>
      <c r="WC3" s="120"/>
      <c r="WD3" s="120"/>
      <c r="WE3" s="120"/>
      <c r="WF3" s="120"/>
      <c r="WG3" s="120"/>
      <c r="WH3" s="120"/>
      <c r="WI3" s="120"/>
      <c r="WJ3" s="120"/>
      <c r="WK3" s="120"/>
      <c r="WL3" s="120"/>
      <c r="WM3" s="120"/>
      <c r="WN3" s="120"/>
      <c r="WO3" s="120"/>
      <c r="WP3" s="120"/>
      <c r="WQ3" s="120"/>
      <c r="WR3" s="120"/>
      <c r="WS3" s="120"/>
      <c r="WT3" s="120"/>
      <c r="WU3" s="120"/>
      <c r="WV3" s="120"/>
      <c r="WW3" s="120"/>
      <c r="WX3" s="120"/>
      <c r="WY3" s="120"/>
      <c r="WZ3" s="120"/>
      <c r="XA3" s="120"/>
      <c r="XB3" s="120"/>
      <c r="XC3" s="120"/>
      <c r="XD3" s="120"/>
      <c r="XE3" s="120"/>
      <c r="XF3" s="120"/>
      <c r="XG3" s="120"/>
      <c r="XH3" s="120"/>
      <c r="XI3" s="120"/>
      <c r="XJ3" s="120"/>
      <c r="XK3" s="120"/>
      <c r="XL3" s="120"/>
      <c r="XM3" s="120"/>
      <c r="XN3" s="120"/>
      <c r="XO3" s="120"/>
      <c r="XP3" s="120"/>
      <c r="XQ3" s="120"/>
      <c r="XR3" s="120"/>
      <c r="XS3" s="120"/>
      <c r="XT3" s="120"/>
      <c r="XU3" s="120"/>
      <c r="XV3" s="120"/>
      <c r="XW3" s="120"/>
      <c r="XX3" s="120"/>
      <c r="XY3" s="120"/>
      <c r="XZ3" s="120"/>
      <c r="YA3" s="120"/>
      <c r="YB3" s="120"/>
      <c r="YC3" s="120"/>
      <c r="YD3" s="120"/>
      <c r="YE3" s="120"/>
      <c r="YF3" s="120"/>
      <c r="YG3" s="120"/>
      <c r="YH3" s="120"/>
      <c r="YI3" s="120"/>
      <c r="YJ3" s="120"/>
      <c r="YK3" s="120"/>
      <c r="YL3" s="120"/>
      <c r="YM3" s="120"/>
      <c r="YN3" s="120"/>
      <c r="YO3" s="120"/>
      <c r="YP3" s="120"/>
      <c r="YQ3" s="120"/>
      <c r="YR3" s="120"/>
      <c r="YS3" s="120"/>
      <c r="YT3" s="120"/>
      <c r="YU3" s="120"/>
      <c r="YV3" s="120"/>
      <c r="YW3" s="120"/>
      <c r="YX3" s="120"/>
      <c r="YY3" s="120"/>
      <c r="YZ3" s="120"/>
      <c r="ZA3" s="120"/>
      <c r="ZB3" s="120"/>
      <c r="ZC3" s="120"/>
      <c r="ZD3" s="120"/>
      <c r="ZE3" s="120"/>
      <c r="ZF3" s="120"/>
      <c r="ZG3" s="120"/>
      <c r="ZH3" s="120"/>
      <c r="ZI3" s="120"/>
      <c r="ZJ3" s="120"/>
      <c r="ZK3" s="120"/>
      <c r="ZL3" s="120"/>
      <c r="ZM3" s="120"/>
      <c r="ZN3" s="120"/>
      <c r="ZO3" s="120"/>
      <c r="ZP3" s="120"/>
      <c r="ZQ3" s="120"/>
      <c r="ZR3" s="120"/>
      <c r="ZS3" s="120"/>
      <c r="ZT3" s="120"/>
      <c r="ZU3" s="120"/>
      <c r="ZV3" s="120"/>
      <c r="ZW3" s="120"/>
      <c r="ZX3" s="120"/>
      <c r="ZY3" s="120"/>
      <c r="ZZ3" s="120"/>
      <c r="AAA3" s="120"/>
      <c r="AAB3" s="120"/>
      <c r="AAC3" s="120"/>
      <c r="AAD3" s="120"/>
      <c r="AAE3" s="120"/>
      <c r="AAF3" s="120"/>
      <c r="AAG3" s="120"/>
      <c r="AAH3" s="120"/>
      <c r="AAI3" s="120"/>
      <c r="AAJ3" s="120"/>
      <c r="AAK3" s="120"/>
      <c r="AAL3" s="120"/>
      <c r="AAM3" s="120"/>
      <c r="AAN3" s="120"/>
      <c r="AAO3" s="120"/>
      <c r="AAP3" s="120"/>
      <c r="AAQ3" s="120"/>
      <c r="AAR3" s="120"/>
      <c r="AAS3" s="120"/>
      <c r="AAT3" s="120"/>
      <c r="AAU3" s="120"/>
      <c r="AAV3" s="120"/>
      <c r="AAW3" s="120"/>
      <c r="AAX3" s="120"/>
      <c r="AAY3" s="120"/>
      <c r="AAZ3" s="120"/>
      <c r="ABA3" s="120"/>
      <c r="ABB3" s="120"/>
      <c r="ABC3" s="120"/>
      <c r="ABD3" s="120"/>
      <c r="ABE3" s="120"/>
      <c r="ABF3" s="120"/>
      <c r="ABG3" s="120"/>
      <c r="ABH3" s="120"/>
      <c r="ABI3" s="120"/>
      <c r="ABJ3" s="120"/>
      <c r="ABK3" s="120"/>
      <c r="ABL3" s="120"/>
      <c r="ABM3" s="120"/>
      <c r="ABN3" s="120"/>
      <c r="ABO3" s="120"/>
      <c r="ABP3" s="120"/>
      <c r="ABQ3" s="120"/>
      <c r="ABR3" s="120"/>
      <c r="ABS3" s="120"/>
      <c r="ABT3" s="120"/>
      <c r="ABU3" s="120"/>
      <c r="ABV3" s="120"/>
      <c r="ABW3" s="120"/>
      <c r="ABX3" s="120"/>
      <c r="ABY3" s="120"/>
      <c r="ABZ3" s="120"/>
      <c r="ACA3" s="120"/>
      <c r="ACB3" s="120"/>
      <c r="ACC3" s="120"/>
      <c r="ACD3" s="120"/>
      <c r="ACE3" s="120"/>
      <c r="ACF3" s="120"/>
      <c r="ACG3" s="120"/>
      <c r="ACH3" s="120"/>
      <c r="ACI3" s="120"/>
      <c r="ACJ3" s="120"/>
      <c r="ACK3" s="120"/>
      <c r="ACL3" s="120"/>
      <c r="ACM3" s="120"/>
      <c r="ACN3" s="120"/>
      <c r="ACO3" s="120"/>
      <c r="ACP3" s="120"/>
      <c r="ACQ3" s="120"/>
      <c r="ACR3" s="120"/>
      <c r="ACS3" s="120"/>
      <c r="ACT3" s="120"/>
      <c r="ACU3" s="120"/>
      <c r="ACV3" s="120"/>
      <c r="ACW3" s="120"/>
      <c r="ACX3" s="120"/>
      <c r="ACY3" s="120"/>
      <c r="ACZ3" s="120"/>
      <c r="ADA3" s="120"/>
      <c r="ADB3" s="120"/>
      <c r="ADC3" s="120"/>
      <c r="ADD3" s="120"/>
      <c r="ADE3" s="120"/>
      <c r="ADF3" s="120"/>
      <c r="ADG3" s="120"/>
      <c r="ADH3" s="120"/>
      <c r="ADI3" s="120"/>
      <c r="ADJ3" s="120"/>
      <c r="ADK3" s="120"/>
      <c r="ADL3" s="120"/>
      <c r="ADM3" s="120"/>
      <c r="ADN3" s="120"/>
      <c r="ADO3" s="120"/>
      <c r="ADP3" s="120"/>
      <c r="ADQ3" s="120"/>
      <c r="ADR3" s="120"/>
      <c r="ADS3" s="120"/>
      <c r="ADT3" s="120"/>
      <c r="ADU3" s="120"/>
      <c r="ADV3" s="120"/>
      <c r="ADW3" s="120"/>
      <c r="ADX3" s="120"/>
      <c r="ADY3" s="120"/>
      <c r="ADZ3" s="120"/>
      <c r="AEA3" s="120"/>
      <c r="AEB3" s="120"/>
      <c r="AEC3" s="120"/>
      <c r="AED3" s="120"/>
      <c r="AEE3" s="120"/>
      <c r="AEF3" s="120"/>
      <c r="AEG3" s="120"/>
      <c r="AEH3" s="120"/>
      <c r="AEI3" s="120"/>
      <c r="AEJ3" s="120"/>
      <c r="AEK3" s="120"/>
      <c r="AEL3" s="120"/>
      <c r="AEM3" s="120"/>
      <c r="AEN3" s="120"/>
      <c r="AEO3" s="120"/>
      <c r="AEP3" s="120"/>
      <c r="AEQ3" s="120"/>
      <c r="AER3" s="120"/>
      <c r="AES3" s="120"/>
      <c r="AET3" s="120"/>
      <c r="AEU3" s="120"/>
      <c r="AEV3" s="120"/>
      <c r="AEW3" s="120"/>
      <c r="AEX3" s="120"/>
      <c r="AEY3" s="120"/>
      <c r="AEZ3" s="120"/>
      <c r="AFA3" s="120"/>
      <c r="AFB3" s="120"/>
      <c r="AFC3" s="120"/>
      <c r="AFD3" s="120"/>
      <c r="AFE3" s="120"/>
      <c r="AFF3" s="120"/>
      <c r="AFG3" s="120"/>
      <c r="AFH3" s="120"/>
      <c r="AFI3" s="120"/>
      <c r="AFJ3" s="120"/>
      <c r="AFK3" s="120"/>
      <c r="AFL3" s="120"/>
      <c r="AFM3" s="120"/>
      <c r="AFN3" s="120"/>
      <c r="AFO3" s="120"/>
      <c r="AFP3" s="120"/>
      <c r="AFQ3" s="120"/>
      <c r="AFR3" s="120"/>
      <c r="AFS3" s="120"/>
      <c r="AFT3" s="120"/>
      <c r="AFU3" s="120"/>
      <c r="AFV3" s="120"/>
      <c r="AFW3" s="120"/>
      <c r="AFX3" s="120"/>
      <c r="AFY3" s="120"/>
      <c r="AFZ3" s="120"/>
      <c r="AGA3" s="120"/>
      <c r="AGB3" s="120"/>
      <c r="AGC3" s="120"/>
      <c r="AGD3" s="120"/>
      <c r="AGE3" s="120"/>
      <c r="AGF3" s="120"/>
      <c r="AGG3" s="120"/>
      <c r="AGH3" s="120"/>
      <c r="AGI3" s="120"/>
      <c r="AGJ3" s="120"/>
      <c r="AGK3" s="120"/>
      <c r="AGL3" s="120"/>
      <c r="AGM3" s="120"/>
      <c r="AGN3" s="120"/>
      <c r="AGO3" s="120"/>
      <c r="AGP3" s="120"/>
      <c r="AGQ3" s="120"/>
      <c r="AGR3" s="120"/>
      <c r="AGS3" s="120"/>
      <c r="AGT3" s="120"/>
      <c r="AGU3" s="120"/>
      <c r="AGV3" s="120"/>
      <c r="AGW3" s="120"/>
      <c r="AGX3" s="120"/>
      <c r="AGY3" s="120"/>
      <c r="AGZ3" s="120"/>
      <c r="AHA3" s="120"/>
      <c r="AHB3" s="120"/>
      <c r="AHC3" s="120"/>
      <c r="AHD3" s="120"/>
      <c r="AHE3" s="120"/>
      <c r="AHF3" s="120"/>
      <c r="AHG3" s="120"/>
      <c r="AHH3" s="120"/>
      <c r="AHI3" s="120"/>
      <c r="AHJ3" s="120"/>
      <c r="AHK3" s="120"/>
      <c r="AHL3" s="120"/>
      <c r="AHM3" s="120"/>
      <c r="AHN3" s="120"/>
      <c r="AHO3" s="120"/>
      <c r="AHP3" s="120"/>
      <c r="AHQ3" s="120"/>
      <c r="AHR3" s="120"/>
      <c r="AHS3" s="120"/>
      <c r="AHT3" s="120"/>
      <c r="AHU3" s="120"/>
      <c r="AHV3" s="120"/>
      <c r="AHW3" s="120"/>
      <c r="AHX3" s="120"/>
      <c r="AHY3" s="120"/>
      <c r="AHZ3" s="120"/>
      <c r="AIA3" s="120"/>
      <c r="AIB3" s="120"/>
      <c r="AIC3" s="120"/>
      <c r="AID3" s="120"/>
      <c r="AIE3" s="120"/>
      <c r="AIF3" s="120"/>
      <c r="AIG3" s="120"/>
      <c r="AIH3" s="120"/>
      <c r="AII3" s="120"/>
      <c r="AIJ3" s="120"/>
      <c r="AIK3" s="120"/>
      <c r="AIL3" s="120"/>
      <c r="AIM3" s="120"/>
      <c r="AIN3" s="120"/>
      <c r="AIO3" s="120"/>
      <c r="AIP3" s="120"/>
      <c r="AIQ3" s="120"/>
      <c r="AIR3" s="120"/>
      <c r="AIS3" s="120"/>
      <c r="AIT3" s="120"/>
      <c r="AIU3" s="120"/>
      <c r="AIV3" s="120"/>
      <c r="AIW3" s="120"/>
      <c r="AIX3" s="120"/>
      <c r="AIY3" s="120"/>
      <c r="AIZ3" s="120"/>
      <c r="AJA3" s="120"/>
      <c r="AJB3" s="120"/>
      <c r="AJC3" s="120"/>
      <c r="AJD3" s="120"/>
      <c r="AJE3" s="120"/>
      <c r="AJF3" s="120"/>
      <c r="AJG3" s="120"/>
      <c r="AJH3" s="120"/>
      <c r="AJI3" s="120"/>
      <c r="AJJ3" s="120"/>
      <c r="AJK3" s="120"/>
      <c r="AJL3" s="120"/>
      <c r="AJM3" s="120"/>
      <c r="AJN3" s="120"/>
      <c r="AJO3" s="120"/>
      <c r="AJP3" s="120"/>
      <c r="AJQ3" s="120"/>
      <c r="AJR3" s="120"/>
      <c r="AJS3" s="120"/>
      <c r="AJT3" s="120"/>
      <c r="AJU3" s="120"/>
      <c r="AJV3" s="120"/>
      <c r="AJW3" s="120"/>
      <c r="AJX3" s="120"/>
      <c r="AJY3" s="120"/>
      <c r="AJZ3" s="120"/>
      <c r="AKA3" s="120"/>
      <c r="AKB3" s="120"/>
      <c r="AKC3" s="120"/>
      <c r="AKD3" s="120"/>
      <c r="AKE3" s="120"/>
      <c r="AKF3" s="120"/>
      <c r="AKG3" s="120"/>
      <c r="AKH3" s="120"/>
      <c r="AKI3" s="120"/>
      <c r="AKJ3" s="120"/>
      <c r="AKK3" s="120"/>
      <c r="AKL3" s="120"/>
      <c r="AKM3" s="120"/>
      <c r="AKN3" s="120"/>
      <c r="AKO3" s="120"/>
      <c r="AKP3" s="120"/>
      <c r="AKQ3" s="120"/>
      <c r="AKR3" s="120"/>
      <c r="AKS3" s="120"/>
      <c r="AKT3" s="120"/>
      <c r="AKU3" s="120"/>
      <c r="AKV3" s="120"/>
      <c r="AKW3" s="120"/>
      <c r="AKX3" s="120"/>
      <c r="AKY3" s="120"/>
      <c r="AKZ3" s="120"/>
      <c r="ALA3" s="120"/>
      <c r="ALB3" s="120"/>
      <c r="ALC3" s="120"/>
      <c r="ALD3" s="120"/>
      <c r="ALE3" s="120"/>
      <c r="ALF3" s="120"/>
      <c r="ALG3" s="120"/>
      <c r="ALH3" s="120"/>
      <c r="ALI3" s="120"/>
      <c r="ALJ3" s="120"/>
      <c r="ALK3" s="120"/>
      <c r="ALL3" s="120"/>
      <c r="ALM3" s="120"/>
      <c r="ALN3" s="120"/>
      <c r="ALO3" s="120"/>
      <c r="ALP3" s="120"/>
      <c r="ALQ3" s="120"/>
      <c r="ALR3" s="120"/>
      <c r="ALS3" s="120"/>
      <c r="ALT3" s="120"/>
      <c r="ALU3" s="120"/>
      <c r="ALV3" s="120"/>
      <c r="ALW3" s="120"/>
      <c r="ALX3" s="120"/>
      <c r="ALY3" s="120"/>
      <c r="ALZ3" s="120"/>
      <c r="AMA3" s="120"/>
      <c r="AMB3" s="120"/>
      <c r="AMC3" s="120"/>
      <c r="AMD3" s="120"/>
      <c r="AME3" s="120"/>
      <c r="AMF3" s="120"/>
      <c r="AMG3" s="120"/>
      <c r="AMH3" s="120"/>
      <c r="AMI3" s="120"/>
      <c r="AMJ3" s="120"/>
      <c r="AMK3" s="120"/>
      <c r="AML3" s="120"/>
      <c r="AMM3" s="120"/>
      <c r="AMN3" s="120"/>
      <c r="AMO3" s="120"/>
      <c r="AMP3" s="120"/>
      <c r="AMQ3" s="120"/>
      <c r="AMR3" s="120"/>
      <c r="AMS3" s="120"/>
      <c r="AMT3" s="120"/>
      <c r="AMU3" s="120"/>
      <c r="AMV3" s="120"/>
      <c r="AMW3" s="120"/>
      <c r="AMX3" s="120"/>
      <c r="AMY3" s="120"/>
      <c r="AMZ3" s="120"/>
      <c r="ANA3" s="120"/>
      <c r="ANB3" s="120"/>
      <c r="ANC3" s="120"/>
      <c r="AND3" s="120"/>
      <c r="ANE3" s="120"/>
      <c r="ANF3" s="120"/>
      <c r="ANG3" s="120"/>
      <c r="ANH3" s="120"/>
      <c r="ANI3" s="120"/>
      <c r="ANJ3" s="120"/>
      <c r="ANK3" s="120"/>
      <c r="ANL3" s="120"/>
      <c r="ANM3" s="120"/>
      <c r="ANN3" s="120"/>
      <c r="ANO3" s="120"/>
      <c r="ANP3" s="120"/>
      <c r="ANQ3" s="120"/>
      <c r="ANR3" s="120"/>
      <c r="ANS3" s="120"/>
      <c r="ANT3" s="120"/>
      <c r="ANU3" s="120"/>
      <c r="ANV3" s="120"/>
      <c r="ANW3" s="120"/>
      <c r="ANX3" s="120"/>
      <c r="ANY3" s="120"/>
      <c r="ANZ3" s="120"/>
      <c r="AOA3" s="120"/>
      <c r="AOB3" s="120"/>
      <c r="AOC3" s="120"/>
      <c r="AOD3" s="120"/>
      <c r="AOE3" s="120"/>
      <c r="AOF3" s="120"/>
      <c r="AOG3" s="120"/>
      <c r="AOH3" s="120"/>
      <c r="AOI3" s="120"/>
      <c r="AOJ3" s="120"/>
      <c r="AOK3" s="120"/>
      <c r="AOL3" s="120"/>
      <c r="AOM3" s="120"/>
      <c r="AON3" s="120"/>
      <c r="AOO3" s="120"/>
      <c r="AOP3" s="120"/>
      <c r="AOQ3" s="120"/>
      <c r="AOR3" s="120"/>
      <c r="AOS3" s="120"/>
      <c r="AOT3" s="120"/>
      <c r="AOU3" s="120"/>
      <c r="AOV3" s="120"/>
      <c r="AOW3" s="120"/>
      <c r="AOX3" s="120"/>
      <c r="AOY3" s="120"/>
      <c r="AOZ3" s="120"/>
      <c r="APA3" s="120"/>
      <c r="APB3" s="120"/>
      <c r="APC3" s="120"/>
      <c r="APD3" s="120"/>
      <c r="APE3" s="120"/>
      <c r="APF3" s="120"/>
      <c r="APG3" s="120"/>
      <c r="APH3" s="120"/>
      <c r="API3" s="120"/>
      <c r="APJ3" s="120"/>
      <c r="APK3" s="120"/>
      <c r="APL3" s="120"/>
      <c r="APM3" s="120"/>
      <c r="APN3" s="120"/>
      <c r="APO3" s="120"/>
      <c r="APP3" s="120"/>
      <c r="APQ3" s="120"/>
      <c r="APR3" s="120"/>
      <c r="APS3" s="120"/>
      <c r="APT3" s="120"/>
      <c r="APU3" s="120"/>
      <c r="APV3" s="120"/>
      <c r="APW3" s="120"/>
      <c r="APX3" s="120"/>
      <c r="APY3" s="120"/>
      <c r="APZ3" s="120"/>
      <c r="AQA3" s="120"/>
      <c r="AQB3" s="120"/>
      <c r="AQC3" s="120"/>
      <c r="AQD3" s="120"/>
      <c r="AQE3" s="120"/>
      <c r="AQF3" s="120"/>
      <c r="AQG3" s="120"/>
      <c r="AQH3" s="120"/>
      <c r="AQI3" s="120"/>
      <c r="AQJ3" s="120"/>
      <c r="AQK3" s="120"/>
      <c r="AQL3" s="120"/>
      <c r="AQM3" s="120"/>
      <c r="AQN3" s="120"/>
      <c r="AQO3" s="120"/>
      <c r="AQP3" s="120"/>
      <c r="AQQ3" s="120"/>
      <c r="AQR3" s="120"/>
      <c r="AQS3" s="120"/>
      <c r="AQT3" s="120"/>
      <c r="AQU3" s="120"/>
      <c r="AQV3" s="120"/>
      <c r="AQW3" s="120"/>
      <c r="AQX3" s="120"/>
      <c r="AQY3" s="120"/>
      <c r="AQZ3" s="120"/>
      <c r="ARA3" s="120"/>
      <c r="ARB3" s="120"/>
      <c r="ARC3" s="120"/>
      <c r="ARD3" s="120"/>
      <c r="ARE3" s="120"/>
      <c r="ARF3" s="120"/>
      <c r="ARG3" s="120"/>
      <c r="ARH3" s="120"/>
      <c r="ARI3" s="120"/>
      <c r="ARJ3" s="120"/>
      <c r="ARK3" s="120"/>
      <c r="ARL3" s="120"/>
      <c r="ARM3" s="120"/>
      <c r="ARN3" s="120"/>
      <c r="ARO3" s="120"/>
      <c r="ARP3" s="120"/>
      <c r="ARQ3" s="120"/>
      <c r="ARR3" s="120"/>
      <c r="ARS3" s="120"/>
      <c r="ART3" s="120"/>
      <c r="ARU3" s="120"/>
      <c r="ARV3" s="120"/>
      <c r="ARW3" s="120"/>
      <c r="ARX3" s="120"/>
      <c r="ARY3" s="120"/>
      <c r="ARZ3" s="120"/>
      <c r="ASA3" s="120"/>
      <c r="ASB3" s="120"/>
      <c r="ASC3" s="120"/>
      <c r="ASD3" s="120"/>
      <c r="ASE3" s="120"/>
      <c r="ASF3" s="120"/>
      <c r="ASG3" s="120"/>
      <c r="ASH3" s="120"/>
      <c r="ASI3" s="120"/>
      <c r="ASJ3" s="120"/>
      <c r="ASK3" s="120"/>
      <c r="ASL3" s="120"/>
      <c r="ASM3" s="120"/>
      <c r="ASN3" s="120"/>
      <c r="ASO3" s="120"/>
      <c r="ASP3" s="120"/>
      <c r="ASQ3" s="120"/>
      <c r="ASR3" s="120"/>
      <c r="ASS3" s="120"/>
      <c r="AST3" s="120"/>
      <c r="ASU3" s="120"/>
      <c r="ASV3" s="120"/>
      <c r="ASW3" s="120"/>
      <c r="ASX3" s="120"/>
      <c r="ASY3" s="120"/>
      <c r="ASZ3" s="120"/>
      <c r="ATA3" s="120"/>
      <c r="ATB3" s="120"/>
      <c r="ATC3" s="120"/>
      <c r="ATD3" s="120"/>
      <c r="ATE3" s="120"/>
      <c r="ATF3" s="120"/>
      <c r="ATG3" s="120"/>
      <c r="ATH3" s="120"/>
      <c r="ATI3" s="120"/>
      <c r="ATJ3" s="120"/>
      <c r="ATK3" s="120"/>
      <c r="ATL3" s="120"/>
      <c r="ATM3" s="120"/>
      <c r="ATN3" s="120"/>
      <c r="ATO3" s="120"/>
      <c r="ATP3" s="120"/>
      <c r="ATQ3" s="120"/>
      <c r="ATR3" s="120"/>
      <c r="ATS3" s="120"/>
      <c r="ATT3" s="120"/>
      <c r="ATU3" s="120"/>
      <c r="ATV3" s="120"/>
      <c r="ATW3" s="120"/>
      <c r="ATX3" s="120"/>
      <c r="ATY3" s="120"/>
      <c r="ATZ3" s="120"/>
      <c r="AUA3" s="120"/>
      <c r="AUB3" s="120"/>
      <c r="AUC3" s="120"/>
      <c r="AUD3" s="120"/>
      <c r="AUE3" s="120"/>
      <c r="AUF3" s="120"/>
      <c r="AUG3" s="120"/>
      <c r="AUH3" s="120"/>
      <c r="AUI3" s="120"/>
      <c r="AUJ3" s="120"/>
      <c r="AUK3" s="120"/>
      <c r="AUL3" s="120"/>
      <c r="AUM3" s="120"/>
      <c r="AUN3" s="120"/>
      <c r="AUO3" s="120"/>
      <c r="AUP3" s="120"/>
      <c r="AUQ3" s="120"/>
      <c r="AUR3" s="120"/>
      <c r="AUS3" s="120"/>
      <c r="AUT3" s="120"/>
      <c r="AUU3" s="120"/>
      <c r="AUV3" s="120"/>
      <c r="AUW3" s="120"/>
      <c r="AUX3" s="120"/>
      <c r="AUY3" s="120"/>
      <c r="AUZ3" s="120"/>
      <c r="AVA3" s="120"/>
      <c r="AVB3" s="120"/>
      <c r="AVC3" s="120"/>
      <c r="AVD3" s="120"/>
      <c r="AVE3" s="120"/>
      <c r="AVF3" s="120"/>
      <c r="AVG3" s="120"/>
      <c r="AVH3" s="120"/>
      <c r="AVI3" s="120"/>
      <c r="AVJ3" s="120"/>
      <c r="AVK3" s="120"/>
      <c r="AVL3" s="120"/>
      <c r="AVM3" s="120"/>
      <c r="AVN3" s="120"/>
      <c r="AVO3" s="120"/>
      <c r="AVP3" s="120"/>
      <c r="AVQ3" s="120"/>
      <c r="AVR3" s="120"/>
      <c r="AVS3" s="120"/>
      <c r="AVT3" s="120"/>
      <c r="AVU3" s="120"/>
      <c r="AVV3" s="120"/>
      <c r="AVW3" s="120"/>
      <c r="AVX3" s="120"/>
      <c r="AVY3" s="120"/>
      <c r="AVZ3" s="120"/>
      <c r="AWA3" s="120"/>
      <c r="AWB3" s="120"/>
      <c r="AWC3" s="120"/>
      <c r="AWD3" s="120"/>
      <c r="AWE3" s="120"/>
      <c r="AWF3" s="120"/>
      <c r="AWG3" s="120"/>
      <c r="AWH3" s="120"/>
      <c r="AWI3" s="120"/>
      <c r="AWJ3" s="120"/>
      <c r="AWK3" s="120"/>
      <c r="AWL3" s="120"/>
      <c r="AWM3" s="120"/>
      <c r="AWN3" s="120"/>
      <c r="AWO3" s="120"/>
      <c r="AWP3" s="120"/>
      <c r="AWQ3" s="120"/>
      <c r="AWR3" s="120"/>
      <c r="AWS3" s="120"/>
      <c r="AWT3" s="120"/>
      <c r="AWU3" s="120"/>
      <c r="AWV3" s="120"/>
      <c r="AWW3" s="120"/>
      <c r="AWX3" s="120"/>
      <c r="AWY3" s="120"/>
      <c r="AWZ3" s="120"/>
      <c r="AXA3" s="120"/>
      <c r="AXB3" s="120"/>
      <c r="AXC3" s="120"/>
      <c r="AXD3" s="120"/>
      <c r="AXE3" s="120"/>
      <c r="AXF3" s="120"/>
      <c r="AXG3" s="120"/>
      <c r="AXH3" s="120"/>
      <c r="AXI3" s="120"/>
      <c r="AXJ3" s="120"/>
      <c r="AXK3" s="120"/>
      <c r="AXL3" s="120"/>
      <c r="AXM3" s="120"/>
      <c r="AXN3" s="120"/>
      <c r="AXO3" s="120"/>
      <c r="AXP3" s="120"/>
      <c r="AXQ3" s="120"/>
      <c r="AXR3" s="120"/>
      <c r="AXS3" s="120"/>
      <c r="AXT3" s="120"/>
      <c r="AXU3" s="120"/>
      <c r="AXV3" s="120"/>
      <c r="AXW3" s="120"/>
      <c r="AXX3" s="120"/>
      <c r="AXY3" s="120"/>
      <c r="AXZ3" s="120"/>
      <c r="AYA3" s="120"/>
      <c r="AYB3" s="120"/>
      <c r="AYC3" s="120"/>
      <c r="AYD3" s="120"/>
      <c r="AYE3" s="120"/>
      <c r="AYF3" s="120"/>
      <c r="AYG3" s="120"/>
      <c r="AYH3" s="120"/>
      <c r="AYI3" s="120"/>
      <c r="AYJ3" s="120"/>
      <c r="AYK3" s="120"/>
      <c r="AYL3" s="120"/>
      <c r="AYM3" s="120"/>
      <c r="AYN3" s="120"/>
      <c r="AYO3" s="120"/>
      <c r="AYP3" s="120"/>
      <c r="AYQ3" s="120"/>
      <c r="AYR3" s="120"/>
      <c r="AYS3" s="120"/>
      <c r="AYT3" s="120"/>
      <c r="AYU3" s="120"/>
      <c r="AYV3" s="120"/>
      <c r="AYW3" s="120"/>
      <c r="AYX3" s="120"/>
      <c r="AYY3" s="120"/>
      <c r="AYZ3" s="120"/>
      <c r="AZA3" s="120"/>
      <c r="AZB3" s="120"/>
      <c r="AZC3" s="120"/>
      <c r="AZD3" s="120"/>
      <c r="AZE3" s="120"/>
      <c r="AZF3" s="120"/>
      <c r="AZG3" s="120"/>
      <c r="AZH3" s="120"/>
      <c r="AZI3" s="120"/>
      <c r="AZJ3" s="120"/>
      <c r="AZK3" s="120"/>
      <c r="AZL3" s="120"/>
      <c r="AZM3" s="120"/>
      <c r="AZN3" s="120"/>
      <c r="AZO3" s="120"/>
      <c r="AZP3" s="120"/>
      <c r="AZQ3" s="120"/>
      <c r="AZR3" s="120"/>
      <c r="AZS3" s="120"/>
      <c r="AZT3" s="120"/>
      <c r="AZU3" s="120"/>
      <c r="AZV3" s="120"/>
      <c r="AZW3" s="120"/>
      <c r="AZX3" s="120"/>
      <c r="AZY3" s="120"/>
      <c r="AZZ3" s="120"/>
      <c r="BAA3" s="120"/>
      <c r="BAB3" s="120"/>
      <c r="BAC3" s="120"/>
      <c r="BAD3" s="120"/>
      <c r="BAE3" s="120"/>
      <c r="BAF3" s="120"/>
      <c r="BAG3" s="120"/>
      <c r="BAH3" s="120"/>
      <c r="BAI3" s="120"/>
      <c r="BAJ3" s="120"/>
      <c r="BAK3" s="120"/>
      <c r="BAL3" s="120"/>
      <c r="BAM3" s="120"/>
      <c r="BAN3" s="120"/>
      <c r="BAO3" s="120"/>
      <c r="BAP3" s="120"/>
      <c r="BAQ3" s="120"/>
      <c r="BAR3" s="120"/>
      <c r="BAS3" s="120"/>
      <c r="BAT3" s="120"/>
      <c r="BAU3" s="120"/>
      <c r="BAV3" s="120"/>
      <c r="BAW3" s="120"/>
      <c r="BAX3" s="120"/>
      <c r="BAY3" s="120"/>
      <c r="BAZ3" s="120"/>
      <c r="BBA3" s="120"/>
      <c r="BBB3" s="120"/>
      <c r="BBC3" s="120"/>
      <c r="BBD3" s="120"/>
      <c r="BBE3" s="120"/>
      <c r="BBF3" s="120"/>
      <c r="BBG3" s="120"/>
      <c r="BBH3" s="120"/>
      <c r="BBI3" s="120"/>
      <c r="BBJ3" s="120"/>
      <c r="BBK3" s="120"/>
      <c r="BBL3" s="120"/>
      <c r="BBM3" s="120"/>
      <c r="BBN3" s="120"/>
      <c r="BBO3" s="120"/>
      <c r="BBP3" s="120"/>
      <c r="BBQ3" s="120"/>
      <c r="BBR3" s="120"/>
      <c r="BBS3" s="120"/>
      <c r="BBT3" s="120"/>
      <c r="BBU3" s="120"/>
      <c r="BBV3" s="120"/>
      <c r="BBW3" s="120"/>
      <c r="BBX3" s="120"/>
      <c r="BBY3" s="120"/>
      <c r="BBZ3" s="120"/>
      <c r="BCA3" s="120"/>
      <c r="BCB3" s="120"/>
      <c r="BCC3" s="120"/>
      <c r="BCD3" s="120"/>
      <c r="BCE3" s="120"/>
      <c r="BCF3" s="120"/>
      <c r="BCG3" s="120"/>
      <c r="BCH3" s="120"/>
      <c r="BCI3" s="120"/>
      <c r="BCJ3" s="120"/>
      <c r="BCK3" s="120"/>
      <c r="BCL3" s="120"/>
      <c r="BCM3" s="120"/>
      <c r="BCN3" s="120"/>
      <c r="BCO3" s="120"/>
      <c r="BCP3" s="120"/>
      <c r="BCQ3" s="120"/>
      <c r="BCR3" s="120"/>
      <c r="BCS3" s="120"/>
      <c r="BCT3" s="120"/>
      <c r="BCU3" s="120"/>
      <c r="BCV3" s="120"/>
      <c r="BCW3" s="120"/>
      <c r="BCX3" s="120"/>
      <c r="BCY3" s="120"/>
      <c r="BCZ3" s="120"/>
      <c r="BDA3" s="120"/>
      <c r="BDB3" s="120"/>
      <c r="BDC3" s="120"/>
      <c r="BDD3" s="120"/>
      <c r="BDE3" s="120"/>
      <c r="BDF3" s="120"/>
      <c r="BDG3" s="120"/>
      <c r="BDH3" s="120"/>
      <c r="BDI3" s="120"/>
      <c r="BDJ3" s="120"/>
      <c r="BDK3" s="120"/>
      <c r="BDL3" s="120"/>
      <c r="BDM3" s="120"/>
      <c r="BDN3" s="120"/>
      <c r="BDO3" s="120"/>
      <c r="BDP3" s="120"/>
      <c r="BDQ3" s="120"/>
      <c r="BDR3" s="120"/>
      <c r="BDS3" s="120"/>
      <c r="BDT3" s="120"/>
      <c r="BDU3" s="120"/>
      <c r="BDV3" s="120"/>
      <c r="BDW3" s="120"/>
      <c r="BDX3" s="120"/>
      <c r="BDY3" s="120"/>
      <c r="BDZ3" s="120"/>
      <c r="BEA3" s="120"/>
      <c r="BEB3" s="120"/>
      <c r="BEC3" s="120"/>
      <c r="BED3" s="120"/>
      <c r="BEE3" s="120"/>
      <c r="BEF3" s="120"/>
      <c r="BEG3" s="120"/>
      <c r="BEH3" s="120"/>
      <c r="BEI3" s="120"/>
      <c r="BEJ3" s="120"/>
      <c r="BEK3" s="120"/>
      <c r="BEL3" s="120"/>
      <c r="BEM3" s="120"/>
      <c r="BEN3" s="120"/>
      <c r="BEO3" s="120"/>
      <c r="BEP3" s="120"/>
      <c r="BEQ3" s="120"/>
      <c r="BER3" s="120"/>
      <c r="BES3" s="120"/>
      <c r="BET3" s="120"/>
      <c r="BEU3" s="120"/>
      <c r="BEV3" s="120"/>
      <c r="BEW3" s="120"/>
      <c r="BEX3" s="120"/>
      <c r="BEY3" s="120"/>
      <c r="BEZ3" s="120"/>
      <c r="BFA3" s="120"/>
      <c r="BFB3" s="120"/>
      <c r="BFC3" s="120"/>
      <c r="BFD3" s="120"/>
      <c r="BFE3" s="120"/>
      <c r="BFF3" s="120"/>
      <c r="BFG3" s="120"/>
      <c r="BFH3" s="120"/>
      <c r="BFI3" s="120"/>
      <c r="BFJ3" s="120"/>
      <c r="BFK3" s="120"/>
      <c r="BFL3" s="120"/>
      <c r="BFM3" s="120"/>
      <c r="BFN3" s="120"/>
      <c r="BFO3" s="120"/>
      <c r="BFP3" s="120"/>
      <c r="BFQ3" s="120"/>
      <c r="BFR3" s="120"/>
      <c r="BFS3" s="120"/>
      <c r="BFT3" s="120"/>
      <c r="BFU3" s="120"/>
      <c r="BFV3" s="120"/>
      <c r="BFW3" s="120"/>
      <c r="BFX3" s="120"/>
      <c r="BFY3" s="120"/>
      <c r="BFZ3" s="120"/>
      <c r="BGA3" s="120"/>
      <c r="BGB3" s="120"/>
      <c r="BGC3" s="120"/>
      <c r="BGD3" s="120"/>
      <c r="BGE3" s="120"/>
      <c r="BGF3" s="120"/>
      <c r="BGG3" s="120"/>
      <c r="BGH3" s="120"/>
      <c r="BGI3" s="120"/>
      <c r="BGJ3" s="120"/>
      <c r="BGK3" s="120"/>
      <c r="BGL3" s="120"/>
      <c r="BGM3" s="120"/>
      <c r="BGN3" s="120"/>
      <c r="BGO3" s="120"/>
      <c r="BGP3" s="120"/>
      <c r="BGQ3" s="120"/>
      <c r="BGR3" s="120"/>
      <c r="BGS3" s="120"/>
      <c r="BGT3" s="120"/>
      <c r="BGU3" s="120"/>
      <c r="BGV3" s="120"/>
      <c r="BGW3" s="120"/>
      <c r="BGX3" s="120"/>
      <c r="BGY3" s="120"/>
      <c r="BGZ3" s="120"/>
      <c r="BHA3" s="120"/>
      <c r="BHB3" s="120"/>
      <c r="BHC3" s="120"/>
      <c r="BHD3" s="120"/>
      <c r="BHE3" s="120"/>
      <c r="BHF3" s="120"/>
      <c r="BHG3" s="120"/>
      <c r="BHH3" s="120"/>
      <c r="BHI3" s="120"/>
      <c r="BHJ3" s="120"/>
      <c r="BHK3" s="120"/>
      <c r="BHL3" s="120"/>
      <c r="BHM3" s="120"/>
      <c r="BHN3" s="120"/>
      <c r="BHO3" s="120"/>
      <c r="BHP3" s="120"/>
      <c r="BHQ3" s="120"/>
      <c r="BHR3" s="120"/>
      <c r="BHS3" s="120"/>
      <c r="BHT3" s="120"/>
      <c r="BHU3" s="120"/>
      <c r="BHV3" s="120"/>
      <c r="BHW3" s="120"/>
      <c r="BHX3" s="120"/>
      <c r="BHY3" s="120"/>
      <c r="BHZ3" s="120"/>
      <c r="BIA3" s="120"/>
      <c r="BIB3" s="120"/>
      <c r="BIC3" s="120"/>
      <c r="BID3" s="120"/>
      <c r="BIE3" s="120"/>
      <c r="BIF3" s="120"/>
      <c r="BIG3" s="120"/>
      <c r="BIH3" s="120"/>
      <c r="BII3" s="120"/>
      <c r="BIJ3" s="120"/>
      <c r="BIK3" s="120"/>
      <c r="BIL3" s="120"/>
      <c r="BIM3" s="120"/>
      <c r="BIN3" s="120"/>
      <c r="BIO3" s="120"/>
      <c r="BIP3" s="120"/>
      <c r="BIQ3" s="120"/>
      <c r="BIR3" s="120"/>
      <c r="BIS3" s="120"/>
      <c r="BIT3" s="120"/>
      <c r="BIU3" s="120"/>
      <c r="BIV3" s="120"/>
      <c r="BIW3" s="120"/>
      <c r="BIX3" s="120"/>
      <c r="BIY3" s="120"/>
      <c r="BIZ3" s="120"/>
      <c r="BJA3" s="120"/>
      <c r="BJB3" s="120"/>
      <c r="BJC3" s="120"/>
      <c r="BJD3" s="120"/>
      <c r="BJE3" s="120"/>
      <c r="BJF3" s="120"/>
      <c r="BJG3" s="120"/>
      <c r="BJH3" s="120"/>
      <c r="BJI3" s="120"/>
      <c r="BJJ3" s="120"/>
      <c r="BJK3" s="120"/>
      <c r="BJL3" s="120"/>
      <c r="BJM3" s="120"/>
      <c r="BJN3" s="120"/>
      <c r="BJO3" s="120"/>
      <c r="BJP3" s="120"/>
      <c r="BJQ3" s="120"/>
      <c r="BJR3" s="120"/>
      <c r="BJS3" s="120"/>
      <c r="BJT3" s="120"/>
      <c r="BJU3" s="120"/>
      <c r="BJV3" s="120"/>
      <c r="BJW3" s="120"/>
      <c r="BJX3" s="120"/>
      <c r="BJY3" s="120"/>
      <c r="BJZ3" s="120"/>
      <c r="BKA3" s="120"/>
      <c r="BKB3" s="120"/>
      <c r="BKC3" s="120"/>
      <c r="BKD3" s="120"/>
      <c r="BKE3" s="120"/>
      <c r="BKF3" s="120"/>
      <c r="BKG3" s="120"/>
      <c r="BKH3" s="120"/>
      <c r="BKI3" s="120"/>
      <c r="BKJ3" s="120"/>
      <c r="BKK3" s="120"/>
      <c r="BKL3" s="120"/>
      <c r="BKM3" s="120"/>
      <c r="BKN3" s="120"/>
      <c r="BKO3" s="120"/>
      <c r="BKP3" s="120"/>
      <c r="BKQ3" s="120"/>
      <c r="BKR3" s="120"/>
      <c r="BKS3" s="120"/>
      <c r="BKT3" s="120"/>
      <c r="BKU3" s="120"/>
      <c r="BKV3" s="120"/>
      <c r="BKW3" s="120"/>
      <c r="BKX3" s="120"/>
      <c r="BKY3" s="120"/>
      <c r="BKZ3" s="120"/>
      <c r="BLA3" s="120"/>
      <c r="BLB3" s="120"/>
      <c r="BLC3" s="120"/>
      <c r="BLD3" s="120"/>
      <c r="BLE3" s="120"/>
      <c r="BLF3" s="120"/>
      <c r="BLG3" s="120"/>
      <c r="BLH3" s="120"/>
      <c r="BLI3" s="120"/>
      <c r="BLJ3" s="120"/>
      <c r="BLK3" s="120"/>
      <c r="BLL3" s="120"/>
      <c r="BLM3" s="120"/>
      <c r="BLN3" s="120"/>
      <c r="BLO3" s="120"/>
      <c r="BLP3" s="120"/>
      <c r="BLQ3" s="120"/>
      <c r="BLR3" s="120"/>
      <c r="BLS3" s="120"/>
      <c r="BLT3" s="120"/>
      <c r="BLU3" s="120"/>
      <c r="BLV3" s="120"/>
      <c r="BLW3" s="120"/>
      <c r="BLX3" s="120"/>
      <c r="BLY3" s="120"/>
      <c r="BLZ3" s="120"/>
      <c r="BMA3" s="120"/>
      <c r="BMB3" s="120"/>
      <c r="BMC3" s="120"/>
      <c r="BMD3" s="120"/>
      <c r="BME3" s="120"/>
      <c r="BMF3" s="120"/>
      <c r="BMG3" s="120"/>
      <c r="BMH3" s="120"/>
      <c r="BMI3" s="120"/>
      <c r="BMJ3" s="120"/>
      <c r="BMK3" s="120"/>
      <c r="BML3" s="120"/>
      <c r="BMM3" s="120"/>
      <c r="BMN3" s="120"/>
      <c r="BMO3" s="120"/>
      <c r="BMP3" s="120"/>
      <c r="BMQ3" s="120"/>
      <c r="BMR3" s="120"/>
      <c r="BMS3" s="120"/>
      <c r="BMT3" s="120"/>
      <c r="BMU3" s="120"/>
      <c r="BMV3" s="120"/>
      <c r="BMW3" s="120"/>
      <c r="BMX3" s="120"/>
      <c r="BMY3" s="120"/>
      <c r="BMZ3" s="120"/>
      <c r="BNA3" s="120"/>
      <c r="BNB3" s="120"/>
      <c r="BNC3" s="120"/>
      <c r="BND3" s="120"/>
      <c r="BNE3" s="120"/>
      <c r="BNF3" s="120"/>
      <c r="BNG3" s="120"/>
      <c r="BNH3" s="120"/>
      <c r="BNI3" s="120"/>
      <c r="BNJ3" s="120"/>
      <c r="BNK3" s="120"/>
      <c r="BNL3" s="120"/>
      <c r="BNM3" s="120"/>
      <c r="BNN3" s="120"/>
      <c r="BNO3" s="120"/>
      <c r="BNP3" s="120"/>
      <c r="BNQ3" s="120"/>
      <c r="BNR3" s="120"/>
      <c r="BNS3" s="120"/>
      <c r="BNT3" s="120"/>
      <c r="BNU3" s="120"/>
      <c r="BNV3" s="120"/>
      <c r="BNW3" s="120"/>
      <c r="BNX3" s="120"/>
      <c r="BNY3" s="120"/>
      <c r="BNZ3" s="120"/>
      <c r="BOA3" s="120"/>
      <c r="BOB3" s="120"/>
      <c r="BOC3" s="120"/>
      <c r="BOD3" s="120"/>
      <c r="BOE3" s="120"/>
      <c r="BOF3" s="120"/>
      <c r="BOG3" s="120"/>
      <c r="BOH3" s="120"/>
      <c r="BOI3" s="120"/>
      <c r="BOJ3" s="120"/>
      <c r="BOK3" s="120"/>
      <c r="BOL3" s="120"/>
      <c r="BOM3" s="120"/>
      <c r="BON3" s="120"/>
      <c r="BOO3" s="120"/>
      <c r="BOP3" s="120"/>
      <c r="BOQ3" s="120"/>
      <c r="BOR3" s="120"/>
      <c r="BOS3" s="120"/>
      <c r="BOT3" s="120"/>
      <c r="BOU3" s="120"/>
      <c r="BOV3" s="120"/>
      <c r="BOW3" s="120"/>
      <c r="BOX3" s="120"/>
      <c r="BOY3" s="120"/>
      <c r="BOZ3" s="120"/>
      <c r="BPA3" s="120"/>
      <c r="BPB3" s="120"/>
      <c r="BPC3" s="120"/>
      <c r="BPD3" s="120"/>
      <c r="BPE3" s="120"/>
      <c r="BPF3" s="120"/>
      <c r="BPG3" s="120"/>
      <c r="BPH3" s="120"/>
      <c r="BPI3" s="120"/>
      <c r="BPJ3" s="120"/>
      <c r="BPK3" s="120"/>
      <c r="BPL3" s="120"/>
      <c r="BPM3" s="120"/>
      <c r="BPN3" s="120"/>
      <c r="BPO3" s="120"/>
      <c r="BPP3" s="120"/>
      <c r="BPQ3" s="120"/>
      <c r="BPR3" s="120"/>
      <c r="BPS3" s="120"/>
      <c r="BPT3" s="120"/>
      <c r="BPU3" s="120"/>
      <c r="BPV3" s="120"/>
      <c r="BPW3" s="120"/>
      <c r="BPX3" s="120"/>
      <c r="BPY3" s="120"/>
      <c r="BPZ3" s="120"/>
      <c r="BQA3" s="120"/>
      <c r="BQB3" s="120"/>
      <c r="BQC3" s="120"/>
      <c r="BQD3" s="120"/>
      <c r="BQE3" s="120"/>
      <c r="BQF3" s="120"/>
      <c r="BQG3" s="120"/>
      <c r="BQH3" s="120"/>
      <c r="BQI3" s="120"/>
      <c r="BQJ3" s="120"/>
      <c r="BQK3" s="120"/>
      <c r="BQL3" s="120"/>
      <c r="BQM3" s="120"/>
      <c r="BQN3" s="120"/>
      <c r="BQO3" s="120"/>
      <c r="BQP3" s="120"/>
      <c r="BQQ3" s="120"/>
      <c r="BQR3" s="120"/>
      <c r="BQS3" s="120"/>
      <c r="BQT3" s="120"/>
      <c r="BQU3" s="120"/>
      <c r="BQV3" s="120"/>
      <c r="BQW3" s="120"/>
      <c r="BQX3" s="120"/>
      <c r="BQY3" s="120"/>
      <c r="BQZ3" s="120"/>
      <c r="BRA3" s="120"/>
      <c r="BRB3" s="120"/>
      <c r="BRC3" s="120"/>
      <c r="BRD3" s="120"/>
      <c r="BRE3" s="120"/>
      <c r="BRF3" s="120"/>
      <c r="BRG3" s="120"/>
      <c r="BRH3" s="120"/>
      <c r="BRI3" s="120"/>
      <c r="BRJ3" s="120"/>
      <c r="BRK3" s="120"/>
      <c r="BRL3" s="120"/>
      <c r="BRM3" s="120"/>
      <c r="BRN3" s="120"/>
      <c r="BRO3" s="120"/>
      <c r="BRP3" s="120"/>
      <c r="BRQ3" s="120"/>
      <c r="BRR3" s="120"/>
      <c r="BRS3" s="120"/>
      <c r="BRT3" s="120"/>
      <c r="BRU3" s="120"/>
      <c r="BRV3" s="120"/>
      <c r="BRW3" s="120"/>
      <c r="BRX3" s="120"/>
      <c r="BRY3" s="120"/>
      <c r="BRZ3" s="120"/>
      <c r="BSA3" s="120"/>
      <c r="BSB3" s="120"/>
      <c r="BSC3" s="120"/>
      <c r="BSD3" s="120"/>
      <c r="BSE3" s="120"/>
      <c r="BSF3" s="120"/>
      <c r="BSG3" s="120"/>
      <c r="BSH3" s="120"/>
      <c r="BSI3" s="120"/>
      <c r="BSJ3" s="120"/>
      <c r="BSK3" s="120"/>
      <c r="BSL3" s="120"/>
      <c r="BSM3" s="120"/>
      <c r="BSN3" s="120"/>
      <c r="BSO3" s="120"/>
      <c r="BSP3" s="120"/>
      <c r="BSQ3" s="120"/>
      <c r="BSR3" s="120"/>
      <c r="BSS3" s="120"/>
      <c r="BST3" s="120"/>
      <c r="BSU3" s="120"/>
      <c r="BSV3" s="120"/>
      <c r="BSW3" s="120"/>
      <c r="BSX3" s="120"/>
      <c r="BSY3" s="120"/>
      <c r="BSZ3" s="120"/>
      <c r="BTA3" s="120"/>
      <c r="BTB3" s="120"/>
      <c r="BTC3" s="120"/>
      <c r="BTD3" s="120"/>
      <c r="BTE3" s="120"/>
      <c r="BTF3" s="120"/>
      <c r="BTG3" s="120"/>
      <c r="BTH3" s="120"/>
      <c r="BTI3" s="120"/>
      <c r="BTJ3" s="120"/>
      <c r="BTK3" s="120"/>
      <c r="BTL3" s="120"/>
      <c r="BTM3" s="120"/>
      <c r="BTN3" s="120"/>
      <c r="BTO3" s="120"/>
      <c r="BTP3" s="120"/>
      <c r="BTQ3" s="120"/>
      <c r="BTR3" s="120"/>
      <c r="BTS3" s="120"/>
      <c r="BTT3" s="120"/>
      <c r="BTU3" s="120"/>
      <c r="BTV3" s="120"/>
      <c r="BTW3" s="120"/>
      <c r="BTX3" s="120"/>
      <c r="BTY3" s="120"/>
      <c r="BTZ3" s="120"/>
      <c r="BUA3" s="120"/>
      <c r="BUB3" s="120"/>
      <c r="BUC3" s="120"/>
      <c r="BUD3" s="120"/>
      <c r="BUE3" s="120"/>
      <c r="BUF3" s="120"/>
      <c r="BUG3" s="120"/>
      <c r="BUH3" s="120"/>
      <c r="BUI3" s="120"/>
      <c r="BUJ3" s="120"/>
      <c r="BUK3" s="120"/>
      <c r="BUL3" s="120"/>
      <c r="BUM3" s="120"/>
      <c r="BUN3" s="120"/>
      <c r="BUO3" s="120"/>
      <c r="BUP3" s="120"/>
      <c r="BUQ3" s="120"/>
      <c r="BUR3" s="120"/>
      <c r="BUS3" s="120"/>
      <c r="BUT3" s="120"/>
      <c r="BUU3" s="120"/>
      <c r="BUV3" s="120"/>
      <c r="BUW3" s="120"/>
      <c r="BUX3" s="120"/>
      <c r="BUY3" s="120"/>
      <c r="BUZ3" s="120"/>
      <c r="BVA3" s="120"/>
      <c r="BVB3" s="120"/>
      <c r="BVC3" s="120"/>
      <c r="BVD3" s="120"/>
      <c r="BVE3" s="120"/>
      <c r="BVF3" s="120"/>
      <c r="BVG3" s="120"/>
      <c r="BVH3" s="120"/>
      <c r="BVI3" s="120"/>
      <c r="BVJ3" s="120"/>
      <c r="BVK3" s="120"/>
      <c r="BVL3" s="120"/>
      <c r="BVM3" s="120"/>
      <c r="BVN3" s="120"/>
      <c r="BVO3" s="120"/>
      <c r="BVP3" s="120"/>
      <c r="BVQ3" s="120"/>
      <c r="BVR3" s="120"/>
      <c r="BVS3" s="120"/>
      <c r="BVT3" s="120"/>
      <c r="BVU3" s="120"/>
      <c r="BVV3" s="120"/>
      <c r="BVW3" s="120"/>
      <c r="BVX3" s="120"/>
      <c r="BVY3" s="120"/>
      <c r="BVZ3" s="120"/>
      <c r="BWA3" s="120"/>
      <c r="BWB3" s="120"/>
      <c r="BWC3" s="120"/>
      <c r="BWD3" s="120"/>
      <c r="BWE3" s="120"/>
      <c r="BWF3" s="120"/>
      <c r="BWG3" s="120"/>
      <c r="BWH3" s="120"/>
      <c r="BWI3" s="120"/>
      <c r="BWJ3" s="120"/>
      <c r="BWK3" s="120"/>
      <c r="BWL3" s="120"/>
      <c r="BWM3" s="120"/>
      <c r="BWN3" s="120"/>
      <c r="BWO3" s="120"/>
      <c r="BWP3" s="120"/>
      <c r="BWQ3" s="120"/>
      <c r="BWR3" s="120"/>
      <c r="BWS3" s="120"/>
      <c r="BWT3" s="120"/>
      <c r="BWU3" s="120"/>
      <c r="BWV3" s="120"/>
      <c r="BWW3" s="120"/>
      <c r="BWX3" s="120"/>
      <c r="BWY3" s="120"/>
      <c r="BWZ3" s="120"/>
      <c r="BXA3" s="120"/>
      <c r="BXB3" s="120"/>
      <c r="BXC3" s="120"/>
      <c r="BXD3" s="120"/>
      <c r="BXE3" s="120"/>
      <c r="BXF3" s="120"/>
      <c r="BXG3" s="120"/>
      <c r="BXH3" s="120"/>
      <c r="BXI3" s="120"/>
      <c r="BXJ3" s="120"/>
      <c r="BXK3" s="120"/>
      <c r="BXL3" s="120"/>
      <c r="BXM3" s="120"/>
      <c r="BXN3" s="120"/>
      <c r="BXO3" s="120"/>
      <c r="BXP3" s="120"/>
      <c r="BXQ3" s="120"/>
      <c r="BXR3" s="120"/>
      <c r="BXS3" s="120"/>
      <c r="BXT3" s="120"/>
      <c r="BXU3" s="120"/>
      <c r="BXV3" s="120"/>
      <c r="BXW3" s="120"/>
      <c r="BXX3" s="120"/>
      <c r="BXY3" s="120"/>
      <c r="BXZ3" s="120"/>
      <c r="BYA3" s="120"/>
      <c r="BYB3" s="120"/>
      <c r="BYC3" s="120"/>
      <c r="BYD3" s="120"/>
      <c r="BYE3" s="120"/>
      <c r="BYF3" s="120"/>
      <c r="BYG3" s="120"/>
      <c r="BYH3" s="120"/>
      <c r="BYI3" s="120"/>
      <c r="BYJ3" s="120"/>
      <c r="BYK3" s="120"/>
      <c r="BYL3" s="120"/>
      <c r="BYM3" s="120"/>
      <c r="BYN3" s="120"/>
      <c r="BYO3" s="120"/>
      <c r="BYP3" s="120"/>
      <c r="BYQ3" s="120"/>
      <c r="BYR3" s="120"/>
      <c r="BYS3" s="120"/>
      <c r="BYT3" s="120"/>
      <c r="BYU3" s="120"/>
      <c r="BYV3" s="120"/>
      <c r="BYW3" s="120"/>
      <c r="BYX3" s="120"/>
      <c r="BYY3" s="120"/>
      <c r="BYZ3" s="120"/>
      <c r="BZA3" s="120"/>
      <c r="BZB3" s="120"/>
      <c r="BZC3" s="120"/>
      <c r="BZD3" s="120"/>
      <c r="BZE3" s="120"/>
      <c r="BZF3" s="120"/>
      <c r="BZG3" s="120"/>
      <c r="BZH3" s="120"/>
      <c r="BZI3" s="120"/>
      <c r="BZJ3" s="120"/>
      <c r="BZK3" s="120"/>
      <c r="BZL3" s="120"/>
      <c r="BZM3" s="120"/>
      <c r="BZN3" s="120"/>
      <c r="BZO3" s="120"/>
      <c r="BZP3" s="120"/>
      <c r="BZQ3" s="120"/>
      <c r="BZR3" s="120"/>
      <c r="BZS3" s="120"/>
      <c r="BZT3" s="120"/>
      <c r="BZU3" s="120"/>
      <c r="BZV3" s="120"/>
      <c r="BZW3" s="120"/>
      <c r="BZX3" s="120"/>
      <c r="BZY3" s="120"/>
      <c r="BZZ3" s="120"/>
      <c r="CAA3" s="120"/>
      <c r="CAB3" s="120"/>
      <c r="CAC3" s="120"/>
      <c r="CAD3" s="120"/>
      <c r="CAE3" s="120"/>
      <c r="CAF3" s="120"/>
      <c r="CAG3" s="120"/>
      <c r="CAH3" s="120"/>
      <c r="CAI3" s="120"/>
      <c r="CAJ3" s="120"/>
      <c r="CAK3" s="120"/>
      <c r="CAL3" s="120"/>
      <c r="CAM3" s="120"/>
      <c r="CAN3" s="120"/>
      <c r="CAO3" s="120"/>
      <c r="CAP3" s="120"/>
      <c r="CAQ3" s="120"/>
      <c r="CAR3" s="120"/>
      <c r="CAS3" s="120"/>
      <c r="CAT3" s="120"/>
      <c r="CAU3" s="120"/>
      <c r="CAV3" s="120"/>
      <c r="CAW3" s="120"/>
      <c r="CAX3" s="120"/>
      <c r="CAY3" s="120"/>
      <c r="CAZ3" s="120"/>
      <c r="CBA3" s="120"/>
      <c r="CBB3" s="120"/>
      <c r="CBC3" s="120"/>
      <c r="CBD3" s="120"/>
      <c r="CBE3" s="120"/>
      <c r="CBF3" s="120"/>
      <c r="CBG3" s="120"/>
      <c r="CBH3" s="120"/>
      <c r="CBI3" s="120"/>
      <c r="CBJ3" s="120"/>
      <c r="CBK3" s="120"/>
      <c r="CBL3" s="120"/>
      <c r="CBM3" s="120"/>
      <c r="CBN3" s="120"/>
      <c r="CBO3" s="120"/>
      <c r="CBP3" s="120"/>
      <c r="CBQ3" s="120"/>
      <c r="CBR3" s="120"/>
      <c r="CBS3" s="120"/>
      <c r="CBT3" s="120"/>
      <c r="CBU3" s="120"/>
      <c r="CBV3" s="120"/>
      <c r="CBW3" s="120"/>
      <c r="CBX3" s="120"/>
      <c r="CBY3" s="120"/>
      <c r="CBZ3" s="120"/>
      <c r="CCA3" s="120"/>
      <c r="CCB3" s="120"/>
      <c r="CCC3" s="120"/>
      <c r="CCD3" s="120"/>
      <c r="CCE3" s="120"/>
      <c r="CCF3" s="120"/>
      <c r="CCG3" s="120"/>
      <c r="CCH3" s="120"/>
      <c r="CCI3" s="120"/>
      <c r="CCJ3" s="120"/>
      <c r="CCK3" s="120"/>
      <c r="CCL3" s="120"/>
      <c r="CCM3" s="120"/>
      <c r="CCN3" s="120"/>
      <c r="CCO3" s="120"/>
      <c r="CCP3" s="120"/>
      <c r="CCQ3" s="120"/>
      <c r="CCR3" s="120"/>
      <c r="CCS3" s="120"/>
      <c r="CCT3" s="120"/>
      <c r="CCU3" s="120"/>
      <c r="CCV3" s="120"/>
      <c r="CCW3" s="120"/>
      <c r="CCX3" s="120"/>
      <c r="CCY3" s="120"/>
      <c r="CCZ3" s="120"/>
      <c r="CDA3" s="120"/>
      <c r="CDB3" s="120"/>
      <c r="CDC3" s="120"/>
      <c r="CDD3" s="120"/>
      <c r="CDE3" s="120"/>
      <c r="CDF3" s="120"/>
      <c r="CDG3" s="120"/>
      <c r="CDH3" s="120"/>
      <c r="CDI3" s="120"/>
      <c r="CDJ3" s="120"/>
      <c r="CDK3" s="120"/>
      <c r="CDL3" s="120"/>
      <c r="CDM3" s="120"/>
      <c r="CDN3" s="120"/>
      <c r="CDO3" s="120"/>
      <c r="CDP3" s="120"/>
      <c r="CDQ3" s="120"/>
      <c r="CDR3" s="120"/>
      <c r="CDS3" s="120"/>
      <c r="CDT3" s="120"/>
      <c r="CDU3" s="120"/>
      <c r="CDV3" s="120"/>
      <c r="CDW3" s="120"/>
      <c r="CDX3" s="120"/>
      <c r="CDY3" s="120"/>
      <c r="CDZ3" s="120"/>
      <c r="CEA3" s="120"/>
      <c r="CEB3" s="120"/>
      <c r="CEC3" s="120"/>
      <c r="CED3" s="120"/>
      <c r="CEE3" s="120"/>
      <c r="CEF3" s="120"/>
      <c r="CEG3" s="120"/>
      <c r="CEH3" s="120"/>
      <c r="CEI3" s="120"/>
      <c r="CEJ3" s="120"/>
      <c r="CEK3" s="120"/>
      <c r="CEL3" s="120"/>
      <c r="CEM3" s="120"/>
      <c r="CEN3" s="120"/>
      <c r="CEO3" s="120"/>
      <c r="CEP3" s="120"/>
      <c r="CEQ3" s="120"/>
      <c r="CER3" s="120"/>
      <c r="CES3" s="120"/>
      <c r="CET3" s="120"/>
      <c r="CEU3" s="120"/>
      <c r="CEV3" s="120"/>
      <c r="CEW3" s="120"/>
      <c r="CEX3" s="120"/>
      <c r="CEY3" s="120"/>
      <c r="CEZ3" s="120"/>
      <c r="CFA3" s="120"/>
      <c r="CFB3" s="120"/>
      <c r="CFC3" s="120"/>
      <c r="CFD3" s="120"/>
      <c r="CFE3" s="120"/>
      <c r="CFF3" s="120"/>
      <c r="CFG3" s="120"/>
      <c r="CFH3" s="120"/>
      <c r="CFI3" s="120"/>
      <c r="CFJ3" s="120"/>
      <c r="CFK3" s="120"/>
      <c r="CFL3" s="120"/>
      <c r="CFM3" s="120"/>
      <c r="CFN3" s="120"/>
      <c r="CFO3" s="120"/>
      <c r="CFP3" s="120"/>
      <c r="CFQ3" s="120"/>
      <c r="CFR3" s="120"/>
      <c r="CFS3" s="120"/>
      <c r="CFT3" s="120"/>
      <c r="CFU3" s="120"/>
      <c r="CFV3" s="120"/>
      <c r="CFW3" s="120"/>
      <c r="CFX3" s="120"/>
      <c r="CFY3" s="120"/>
      <c r="CFZ3" s="120"/>
      <c r="CGA3" s="120"/>
      <c r="CGB3" s="120"/>
      <c r="CGC3" s="120"/>
      <c r="CGD3" s="120"/>
      <c r="CGE3" s="120"/>
      <c r="CGF3" s="120"/>
      <c r="CGG3" s="120"/>
      <c r="CGH3" s="120"/>
      <c r="CGI3" s="120"/>
      <c r="CGJ3" s="120"/>
      <c r="CGK3" s="120"/>
      <c r="CGL3" s="120"/>
      <c r="CGM3" s="120"/>
      <c r="CGN3" s="120"/>
      <c r="CGO3" s="120"/>
      <c r="CGP3" s="120"/>
      <c r="CGQ3" s="120"/>
      <c r="CGR3" s="120"/>
      <c r="CGS3" s="120"/>
      <c r="CGT3" s="120"/>
      <c r="CGU3" s="120"/>
      <c r="CGV3" s="120"/>
      <c r="CGW3" s="120"/>
      <c r="CGX3" s="120"/>
      <c r="CGY3" s="120"/>
      <c r="CGZ3" s="120"/>
      <c r="CHA3" s="120"/>
      <c r="CHB3" s="120"/>
      <c r="CHC3" s="120"/>
      <c r="CHD3" s="120"/>
      <c r="CHE3" s="120"/>
      <c r="CHF3" s="120"/>
      <c r="CHG3" s="120"/>
      <c r="CHH3" s="120"/>
      <c r="CHI3" s="120"/>
      <c r="CHJ3" s="120"/>
      <c r="CHK3" s="120"/>
      <c r="CHL3" s="120"/>
      <c r="CHM3" s="120"/>
      <c r="CHN3" s="120"/>
      <c r="CHO3" s="120"/>
      <c r="CHP3" s="120"/>
      <c r="CHQ3" s="120"/>
      <c r="CHR3" s="120"/>
      <c r="CHS3" s="120"/>
      <c r="CHT3" s="120"/>
      <c r="CHU3" s="120"/>
      <c r="CHV3" s="120"/>
      <c r="CHW3" s="120"/>
      <c r="CHX3" s="120"/>
      <c r="CHY3" s="120"/>
      <c r="CHZ3" s="120"/>
      <c r="CIA3" s="120"/>
      <c r="CIB3" s="120"/>
      <c r="CIC3" s="120"/>
      <c r="CID3" s="120"/>
      <c r="CIE3" s="120"/>
      <c r="CIF3" s="120"/>
      <c r="CIG3" s="120"/>
      <c r="CIH3" s="120"/>
      <c r="CII3" s="120"/>
      <c r="CIJ3" s="120"/>
      <c r="CIK3" s="120"/>
      <c r="CIL3" s="120"/>
      <c r="CIM3" s="120"/>
      <c r="CIN3" s="120"/>
      <c r="CIO3" s="120"/>
      <c r="CIP3" s="120"/>
      <c r="CIQ3" s="120"/>
      <c r="CIR3" s="120"/>
      <c r="CIS3" s="120"/>
      <c r="CIT3" s="120"/>
      <c r="CIU3" s="120"/>
      <c r="CIV3" s="120"/>
      <c r="CIW3" s="120"/>
      <c r="CIX3" s="120"/>
      <c r="CIY3" s="120"/>
      <c r="CIZ3" s="120"/>
      <c r="CJA3" s="120"/>
      <c r="CJB3" s="120"/>
      <c r="CJC3" s="120"/>
      <c r="CJD3" s="120"/>
      <c r="CJE3" s="120"/>
      <c r="CJF3" s="120"/>
      <c r="CJG3" s="120"/>
      <c r="CJH3" s="120"/>
      <c r="CJI3" s="120"/>
      <c r="CJJ3" s="120"/>
      <c r="CJK3" s="120"/>
      <c r="CJL3" s="120"/>
      <c r="CJM3" s="120"/>
      <c r="CJN3" s="120"/>
      <c r="CJO3" s="120"/>
      <c r="CJP3" s="120"/>
      <c r="CJQ3" s="120"/>
      <c r="CJR3" s="120"/>
      <c r="CJS3" s="120"/>
      <c r="CJT3" s="120"/>
      <c r="CJU3" s="120"/>
      <c r="CJV3" s="120"/>
      <c r="CJW3" s="120"/>
      <c r="CJX3" s="120"/>
      <c r="CJY3" s="120"/>
      <c r="CJZ3" s="120"/>
      <c r="CKA3" s="120"/>
      <c r="CKB3" s="120"/>
      <c r="CKC3" s="120"/>
      <c r="CKD3" s="120"/>
      <c r="CKE3" s="120"/>
      <c r="CKF3" s="120"/>
      <c r="CKG3" s="120"/>
      <c r="CKH3" s="120"/>
      <c r="CKI3" s="120"/>
      <c r="CKJ3" s="120"/>
      <c r="CKK3" s="120"/>
      <c r="CKL3" s="120"/>
      <c r="CKM3" s="120"/>
      <c r="CKN3" s="120"/>
      <c r="CKO3" s="120"/>
      <c r="CKP3" s="120"/>
      <c r="CKQ3" s="120"/>
      <c r="CKR3" s="120"/>
      <c r="CKS3" s="120"/>
      <c r="CKT3" s="120"/>
      <c r="CKU3" s="120"/>
      <c r="CKV3" s="120"/>
      <c r="CKW3" s="120"/>
      <c r="CKX3" s="120"/>
      <c r="CKY3" s="120"/>
      <c r="CKZ3" s="120"/>
      <c r="CLA3" s="120"/>
      <c r="CLB3" s="120"/>
      <c r="CLC3" s="120"/>
      <c r="CLD3" s="120"/>
      <c r="CLE3" s="120"/>
      <c r="CLF3" s="120"/>
      <c r="CLG3" s="120"/>
      <c r="CLH3" s="120"/>
      <c r="CLI3" s="120"/>
      <c r="CLJ3" s="120"/>
      <c r="CLK3" s="120"/>
      <c r="CLL3" s="120"/>
      <c r="CLM3" s="120"/>
      <c r="CLN3" s="120"/>
      <c r="CLO3" s="120"/>
      <c r="CLP3" s="120"/>
      <c r="CLQ3" s="120"/>
      <c r="CLR3" s="120"/>
      <c r="CLS3" s="120"/>
      <c r="CLT3" s="120"/>
      <c r="CLU3" s="120"/>
      <c r="CLV3" s="120"/>
      <c r="CLW3" s="120"/>
      <c r="CLX3" s="120"/>
      <c r="CLY3" s="120"/>
      <c r="CLZ3" s="120"/>
      <c r="CMA3" s="120"/>
      <c r="CMB3" s="120"/>
      <c r="CMC3" s="120"/>
      <c r="CMD3" s="120"/>
      <c r="CME3" s="120"/>
      <c r="CMF3" s="120"/>
      <c r="CMG3" s="120"/>
      <c r="CMH3" s="120"/>
      <c r="CMI3" s="120"/>
      <c r="CMJ3" s="120"/>
      <c r="CMK3" s="120"/>
      <c r="CML3" s="120"/>
      <c r="CMM3" s="120"/>
      <c r="CMN3" s="120"/>
      <c r="CMO3" s="120"/>
      <c r="CMP3" s="120"/>
      <c r="CMQ3" s="120"/>
      <c r="CMR3" s="120"/>
      <c r="CMS3" s="120"/>
      <c r="CMT3" s="120"/>
      <c r="CMU3" s="120"/>
      <c r="CMV3" s="120"/>
      <c r="CMW3" s="120"/>
      <c r="CMX3" s="120"/>
      <c r="CMY3" s="120"/>
      <c r="CMZ3" s="120"/>
      <c r="CNA3" s="120"/>
      <c r="CNB3" s="120"/>
      <c r="CNC3" s="120"/>
      <c r="CND3" s="120"/>
      <c r="CNE3" s="120"/>
      <c r="CNF3" s="120"/>
      <c r="CNG3" s="120"/>
      <c r="CNH3" s="120"/>
      <c r="CNI3" s="120"/>
      <c r="CNJ3" s="120"/>
      <c r="CNK3" s="120"/>
      <c r="CNL3" s="120"/>
      <c r="CNM3" s="120"/>
      <c r="CNN3" s="120"/>
      <c r="CNO3" s="120"/>
      <c r="CNP3" s="120"/>
      <c r="CNQ3" s="120"/>
      <c r="CNR3" s="120"/>
      <c r="CNS3" s="120"/>
      <c r="CNT3" s="120"/>
      <c r="CNU3" s="120"/>
      <c r="CNV3" s="120"/>
      <c r="CNW3" s="120"/>
      <c r="CNX3" s="120"/>
      <c r="CNY3" s="120"/>
      <c r="CNZ3" s="120"/>
      <c r="COA3" s="120"/>
      <c r="COB3" s="120"/>
      <c r="COC3" s="120"/>
      <c r="COD3" s="120"/>
      <c r="COE3" s="120"/>
      <c r="COF3" s="120"/>
      <c r="COG3" s="120"/>
      <c r="COH3" s="120"/>
      <c r="COI3" s="120"/>
      <c r="COJ3" s="120"/>
      <c r="COK3" s="120"/>
      <c r="COL3" s="120"/>
      <c r="COM3" s="120"/>
      <c r="CON3" s="120"/>
      <c r="COO3" s="120"/>
      <c r="COP3" s="120"/>
      <c r="COQ3" s="120"/>
      <c r="COR3" s="120"/>
      <c r="COS3" s="120"/>
      <c r="COT3" s="120"/>
      <c r="COU3" s="120"/>
      <c r="COV3" s="120"/>
      <c r="COW3" s="120"/>
      <c r="COX3" s="120"/>
      <c r="COY3" s="120"/>
      <c r="COZ3" s="120"/>
      <c r="CPA3" s="120"/>
      <c r="CPB3" s="120"/>
      <c r="CPC3" s="120"/>
      <c r="CPD3" s="120"/>
      <c r="CPE3" s="120"/>
      <c r="CPF3" s="120"/>
      <c r="CPG3" s="120"/>
      <c r="CPH3" s="120"/>
      <c r="CPI3" s="120"/>
      <c r="CPJ3" s="120"/>
      <c r="CPK3" s="120"/>
      <c r="CPL3" s="120"/>
      <c r="CPM3" s="120"/>
      <c r="CPN3" s="120"/>
      <c r="CPO3" s="120"/>
      <c r="CPP3" s="120"/>
      <c r="CPQ3" s="120"/>
      <c r="CPR3" s="120"/>
      <c r="CPS3" s="120"/>
      <c r="CPT3" s="120"/>
      <c r="CPU3" s="120"/>
      <c r="CPV3" s="120"/>
      <c r="CPW3" s="120"/>
      <c r="CPX3" s="120"/>
      <c r="CPY3" s="120"/>
      <c r="CPZ3" s="120"/>
      <c r="CQA3" s="120"/>
      <c r="CQB3" s="120"/>
      <c r="CQC3" s="120"/>
      <c r="CQD3" s="120"/>
      <c r="CQE3" s="120"/>
      <c r="CQF3" s="120"/>
      <c r="CQG3" s="120"/>
      <c r="CQH3" s="120"/>
      <c r="CQI3" s="120"/>
      <c r="CQJ3" s="120"/>
      <c r="CQK3" s="120"/>
      <c r="CQL3" s="120"/>
      <c r="CQM3" s="120"/>
      <c r="CQN3" s="120"/>
      <c r="CQO3" s="120"/>
      <c r="CQP3" s="120"/>
      <c r="CQQ3" s="120"/>
      <c r="CQR3" s="120"/>
      <c r="CQS3" s="120"/>
      <c r="CQT3" s="120"/>
      <c r="CQU3" s="120"/>
      <c r="CQV3" s="120"/>
      <c r="CQW3" s="120"/>
      <c r="CQX3" s="120"/>
      <c r="CQY3" s="120"/>
      <c r="CQZ3" s="120"/>
      <c r="CRA3" s="120"/>
      <c r="CRB3" s="120"/>
      <c r="CRC3" s="120"/>
      <c r="CRD3" s="120"/>
      <c r="CRE3" s="120"/>
      <c r="CRF3" s="120"/>
      <c r="CRG3" s="120"/>
      <c r="CRH3" s="120"/>
      <c r="CRI3" s="120"/>
      <c r="CRJ3" s="120"/>
      <c r="CRK3" s="120"/>
      <c r="CRL3" s="120"/>
      <c r="CRM3" s="120"/>
      <c r="CRN3" s="120"/>
      <c r="CRO3" s="120"/>
      <c r="CRP3" s="120"/>
      <c r="CRQ3" s="120"/>
      <c r="CRR3" s="120"/>
      <c r="CRS3" s="120"/>
      <c r="CRT3" s="120"/>
      <c r="CRU3" s="120"/>
      <c r="CRV3" s="120"/>
      <c r="CRW3" s="120"/>
      <c r="CRX3" s="120"/>
      <c r="CRY3" s="120"/>
      <c r="CRZ3" s="120"/>
      <c r="CSA3" s="120"/>
      <c r="CSB3" s="120"/>
      <c r="CSC3" s="120"/>
      <c r="CSD3" s="120"/>
      <c r="CSE3" s="120"/>
      <c r="CSF3" s="120"/>
      <c r="CSG3" s="120"/>
      <c r="CSH3" s="120"/>
      <c r="CSI3" s="120"/>
      <c r="CSJ3" s="120"/>
      <c r="CSK3" s="120"/>
      <c r="CSL3" s="120"/>
      <c r="CSM3" s="120"/>
      <c r="CSN3" s="120"/>
      <c r="CSO3" s="120"/>
      <c r="CSP3" s="120"/>
      <c r="CSQ3" s="120"/>
      <c r="CSR3" s="120"/>
      <c r="CSS3" s="120"/>
      <c r="CST3" s="120"/>
      <c r="CSU3" s="120"/>
      <c r="CSV3" s="120"/>
      <c r="CSW3" s="120"/>
      <c r="CSX3" s="120"/>
      <c r="CSY3" s="120"/>
      <c r="CSZ3" s="120"/>
      <c r="CTA3" s="120"/>
      <c r="CTB3" s="120"/>
      <c r="CTC3" s="120"/>
      <c r="CTD3" s="120"/>
      <c r="CTE3" s="120"/>
      <c r="CTF3" s="120"/>
      <c r="CTG3" s="120"/>
      <c r="CTH3" s="120"/>
      <c r="CTI3" s="120"/>
      <c r="CTJ3" s="120"/>
      <c r="CTK3" s="120"/>
      <c r="CTL3" s="120"/>
      <c r="CTM3" s="120"/>
      <c r="CTN3" s="120"/>
      <c r="CTO3" s="120"/>
      <c r="CTP3" s="120"/>
      <c r="CTQ3" s="120"/>
      <c r="CTR3" s="120"/>
      <c r="CTS3" s="120"/>
      <c r="CTT3" s="120"/>
      <c r="CTU3" s="120"/>
      <c r="CTV3" s="120"/>
      <c r="CTW3" s="120"/>
      <c r="CTX3" s="120"/>
      <c r="CTY3" s="120"/>
      <c r="CTZ3" s="120"/>
      <c r="CUA3" s="120"/>
      <c r="CUB3" s="120"/>
      <c r="CUC3" s="120"/>
      <c r="CUD3" s="120"/>
      <c r="CUE3" s="120"/>
      <c r="CUF3" s="120"/>
      <c r="CUG3" s="120"/>
      <c r="CUH3" s="120"/>
      <c r="CUI3" s="120"/>
      <c r="CUJ3" s="120"/>
      <c r="CUK3" s="120"/>
      <c r="CUL3" s="120"/>
      <c r="CUM3" s="120"/>
      <c r="CUN3" s="120"/>
      <c r="CUO3" s="120"/>
      <c r="CUP3" s="120"/>
      <c r="CUQ3" s="120"/>
      <c r="CUR3" s="120"/>
      <c r="CUS3" s="120"/>
      <c r="CUT3" s="120"/>
      <c r="CUU3" s="120"/>
      <c r="CUV3" s="120"/>
      <c r="CUW3" s="120"/>
      <c r="CUX3" s="120"/>
      <c r="CUY3" s="120"/>
      <c r="CUZ3" s="120"/>
      <c r="CVA3" s="120"/>
      <c r="CVB3" s="120"/>
      <c r="CVC3" s="120"/>
      <c r="CVD3" s="120"/>
      <c r="CVE3" s="120"/>
      <c r="CVF3" s="120"/>
      <c r="CVG3" s="120"/>
      <c r="CVH3" s="120"/>
      <c r="CVI3" s="120"/>
      <c r="CVJ3" s="120"/>
      <c r="CVK3" s="120"/>
      <c r="CVL3" s="120"/>
      <c r="CVM3" s="120"/>
      <c r="CVN3" s="120"/>
      <c r="CVO3" s="120"/>
      <c r="CVP3" s="120"/>
      <c r="CVQ3" s="120"/>
      <c r="CVR3" s="120"/>
      <c r="CVS3" s="120"/>
      <c r="CVT3" s="120"/>
      <c r="CVU3" s="120"/>
      <c r="CVV3" s="120"/>
      <c r="CVW3" s="120"/>
      <c r="CVX3" s="120"/>
      <c r="CVY3" s="120"/>
      <c r="CVZ3" s="120"/>
      <c r="CWA3" s="120"/>
      <c r="CWB3" s="120"/>
      <c r="CWC3" s="120"/>
      <c r="CWD3" s="120"/>
      <c r="CWE3" s="120"/>
      <c r="CWF3" s="120"/>
      <c r="CWG3" s="120"/>
      <c r="CWH3" s="120"/>
      <c r="CWI3" s="120"/>
      <c r="CWJ3" s="120"/>
      <c r="CWK3" s="120"/>
      <c r="CWL3" s="120"/>
      <c r="CWM3" s="120"/>
      <c r="CWN3" s="120"/>
      <c r="CWO3" s="120"/>
      <c r="CWP3" s="120"/>
      <c r="CWQ3" s="120"/>
      <c r="CWR3" s="120"/>
      <c r="CWS3" s="120"/>
      <c r="CWT3" s="120"/>
      <c r="CWU3" s="120"/>
      <c r="CWV3" s="120"/>
      <c r="CWW3" s="120"/>
      <c r="CWX3" s="120"/>
      <c r="CWY3" s="120"/>
      <c r="CWZ3" s="120"/>
      <c r="CXA3" s="120"/>
      <c r="CXB3" s="120"/>
      <c r="CXC3" s="120"/>
      <c r="CXD3" s="120"/>
      <c r="CXE3" s="120"/>
      <c r="CXF3" s="120"/>
      <c r="CXG3" s="120"/>
      <c r="CXH3" s="120"/>
      <c r="CXI3" s="120"/>
      <c r="CXJ3" s="120"/>
      <c r="CXK3" s="120"/>
      <c r="CXL3" s="120"/>
      <c r="CXM3" s="120"/>
      <c r="CXN3" s="120"/>
      <c r="CXO3" s="120"/>
      <c r="CXP3" s="120"/>
      <c r="CXQ3" s="120"/>
      <c r="CXR3" s="120"/>
      <c r="CXS3" s="120"/>
      <c r="CXT3" s="120"/>
      <c r="CXU3" s="120"/>
      <c r="CXV3" s="120"/>
      <c r="CXW3" s="120"/>
      <c r="CXX3" s="120"/>
      <c r="CXY3" s="120"/>
      <c r="CXZ3" s="120"/>
      <c r="CYA3" s="120"/>
      <c r="CYB3" s="120"/>
      <c r="CYC3" s="120"/>
      <c r="CYD3" s="120"/>
      <c r="CYE3" s="120"/>
      <c r="CYF3" s="120"/>
      <c r="CYG3" s="120"/>
      <c r="CYH3" s="120"/>
      <c r="CYI3" s="120"/>
      <c r="CYJ3" s="120"/>
      <c r="CYK3" s="120"/>
      <c r="CYL3" s="120"/>
      <c r="CYM3" s="120"/>
      <c r="CYN3" s="120"/>
      <c r="CYO3" s="120"/>
      <c r="CYP3" s="120"/>
      <c r="CYQ3" s="120"/>
      <c r="CYR3" s="120"/>
      <c r="CYS3" s="120"/>
      <c r="CYT3" s="120"/>
      <c r="CYU3" s="120"/>
      <c r="CYV3" s="120"/>
      <c r="CYW3" s="120"/>
      <c r="CYX3" s="120"/>
      <c r="CYY3" s="120"/>
      <c r="CYZ3" s="120"/>
      <c r="CZA3" s="120"/>
      <c r="CZB3" s="120"/>
      <c r="CZC3" s="120"/>
      <c r="CZD3" s="120"/>
      <c r="CZE3" s="120"/>
      <c r="CZF3" s="120"/>
      <c r="CZG3" s="120"/>
      <c r="CZH3" s="120"/>
      <c r="CZI3" s="120"/>
      <c r="CZJ3" s="120"/>
      <c r="CZK3" s="120"/>
      <c r="CZL3" s="120"/>
      <c r="CZM3" s="120"/>
      <c r="CZN3" s="120"/>
      <c r="CZO3" s="120"/>
      <c r="CZP3" s="120"/>
      <c r="CZQ3" s="120"/>
      <c r="CZR3" s="120"/>
      <c r="CZS3" s="120"/>
      <c r="CZT3" s="120"/>
      <c r="CZU3" s="120"/>
      <c r="CZV3" s="120"/>
      <c r="CZW3" s="120"/>
      <c r="CZX3" s="120"/>
      <c r="CZY3" s="120"/>
      <c r="CZZ3" s="120"/>
      <c r="DAA3" s="120"/>
      <c r="DAB3" s="120"/>
      <c r="DAC3" s="120"/>
      <c r="DAD3" s="120"/>
      <c r="DAE3" s="120"/>
      <c r="DAF3" s="120"/>
      <c r="DAG3" s="120"/>
      <c r="DAH3" s="120"/>
      <c r="DAI3" s="120"/>
      <c r="DAJ3" s="120"/>
      <c r="DAK3" s="120"/>
      <c r="DAL3" s="120"/>
      <c r="DAM3" s="120"/>
      <c r="DAN3" s="120"/>
      <c r="DAO3" s="120"/>
      <c r="DAP3" s="120"/>
      <c r="DAQ3" s="120"/>
      <c r="DAR3" s="120"/>
      <c r="DAS3" s="120"/>
      <c r="DAT3" s="120"/>
      <c r="DAU3" s="120"/>
      <c r="DAV3" s="120"/>
      <c r="DAW3" s="120"/>
      <c r="DAX3" s="120"/>
      <c r="DAY3" s="120"/>
      <c r="DAZ3" s="120"/>
      <c r="DBA3" s="120"/>
      <c r="DBB3" s="120"/>
      <c r="DBC3" s="120"/>
      <c r="DBD3" s="120"/>
      <c r="DBE3" s="120"/>
      <c r="DBF3" s="120"/>
      <c r="DBG3" s="120"/>
      <c r="DBH3" s="120"/>
      <c r="DBI3" s="120"/>
      <c r="DBJ3" s="120"/>
      <c r="DBK3" s="120"/>
      <c r="DBL3" s="120"/>
      <c r="DBM3" s="120"/>
      <c r="DBN3" s="120"/>
      <c r="DBO3" s="120"/>
      <c r="DBP3" s="120"/>
      <c r="DBQ3" s="120"/>
      <c r="DBR3" s="120"/>
      <c r="DBS3" s="120"/>
      <c r="DBT3" s="120"/>
      <c r="DBU3" s="120"/>
      <c r="DBV3" s="120"/>
      <c r="DBW3" s="120"/>
      <c r="DBX3" s="120"/>
      <c r="DBY3" s="120"/>
      <c r="DBZ3" s="120"/>
      <c r="DCA3" s="120"/>
      <c r="DCB3" s="120"/>
      <c r="DCC3" s="120"/>
      <c r="DCD3" s="120"/>
      <c r="DCE3" s="120"/>
      <c r="DCF3" s="120"/>
      <c r="DCG3" s="120"/>
      <c r="DCH3" s="120"/>
      <c r="DCI3" s="120"/>
      <c r="DCJ3" s="120"/>
      <c r="DCK3" s="120"/>
      <c r="DCL3" s="120"/>
      <c r="DCM3" s="120"/>
      <c r="DCN3" s="120"/>
      <c r="DCO3" s="120"/>
      <c r="DCP3" s="120"/>
      <c r="DCQ3" s="120"/>
      <c r="DCR3" s="120"/>
      <c r="DCS3" s="120"/>
      <c r="DCT3" s="120"/>
      <c r="DCU3" s="120"/>
      <c r="DCV3" s="120"/>
      <c r="DCW3" s="120"/>
      <c r="DCX3" s="120"/>
      <c r="DCY3" s="120"/>
      <c r="DCZ3" s="120"/>
      <c r="DDA3" s="120"/>
      <c r="DDB3" s="120"/>
      <c r="DDC3" s="120"/>
      <c r="DDD3" s="120"/>
      <c r="DDE3" s="120"/>
      <c r="DDF3" s="120"/>
      <c r="DDG3" s="120"/>
      <c r="DDH3" s="120"/>
      <c r="DDI3" s="120"/>
      <c r="DDJ3" s="120"/>
      <c r="DDK3" s="120"/>
      <c r="DDL3" s="120"/>
      <c r="DDM3" s="120"/>
      <c r="DDN3" s="120"/>
      <c r="DDO3" s="120"/>
      <c r="DDP3" s="120"/>
      <c r="DDQ3" s="120"/>
      <c r="DDR3" s="120"/>
      <c r="DDS3" s="120"/>
      <c r="DDT3" s="120"/>
      <c r="DDU3" s="120"/>
      <c r="DDV3" s="120"/>
      <c r="DDW3" s="120"/>
      <c r="DDX3" s="120"/>
      <c r="DDY3" s="120"/>
      <c r="DDZ3" s="120"/>
      <c r="DEA3" s="120"/>
      <c r="DEB3" s="120"/>
      <c r="DEC3" s="120"/>
      <c r="DED3" s="120"/>
      <c r="DEE3" s="120"/>
      <c r="DEF3" s="120"/>
      <c r="DEG3" s="120"/>
      <c r="DEH3" s="120"/>
      <c r="DEI3" s="120"/>
      <c r="DEJ3" s="120"/>
      <c r="DEK3" s="120"/>
      <c r="DEL3" s="120"/>
      <c r="DEM3" s="120"/>
      <c r="DEN3" s="120"/>
      <c r="DEO3" s="120"/>
      <c r="DEP3" s="120"/>
      <c r="DEQ3" s="120"/>
      <c r="DER3" s="120"/>
      <c r="DES3" s="120"/>
      <c r="DET3" s="120"/>
      <c r="DEU3" s="120"/>
      <c r="DEV3" s="120"/>
      <c r="DEW3" s="120"/>
      <c r="DEX3" s="120"/>
      <c r="DEY3" s="120"/>
      <c r="DEZ3" s="120"/>
      <c r="DFA3" s="120"/>
      <c r="DFB3" s="120"/>
      <c r="DFC3" s="120"/>
      <c r="DFD3" s="120"/>
      <c r="DFE3" s="120"/>
      <c r="DFF3" s="120"/>
      <c r="DFG3" s="120"/>
      <c r="DFH3" s="120"/>
      <c r="DFI3" s="120"/>
      <c r="DFJ3" s="120"/>
      <c r="DFK3" s="120"/>
      <c r="DFL3" s="120"/>
      <c r="DFM3" s="120"/>
      <c r="DFN3" s="120"/>
      <c r="DFO3" s="120"/>
      <c r="DFP3" s="120"/>
      <c r="DFQ3" s="120"/>
      <c r="DFR3" s="120"/>
      <c r="DFS3" s="120"/>
      <c r="DFT3" s="120"/>
      <c r="DFU3" s="120"/>
      <c r="DFV3" s="120"/>
      <c r="DFW3" s="120"/>
      <c r="DFX3" s="120"/>
      <c r="DFY3" s="120"/>
      <c r="DFZ3" s="120"/>
      <c r="DGA3" s="120"/>
      <c r="DGB3" s="120"/>
      <c r="DGC3" s="120"/>
      <c r="DGD3" s="120"/>
      <c r="DGE3" s="120"/>
      <c r="DGF3" s="120"/>
      <c r="DGG3" s="120"/>
      <c r="DGH3" s="120"/>
      <c r="DGI3" s="120"/>
      <c r="DGJ3" s="120"/>
      <c r="DGK3" s="120"/>
      <c r="DGL3" s="120"/>
      <c r="DGM3" s="120"/>
      <c r="DGN3" s="120"/>
      <c r="DGO3" s="120"/>
      <c r="DGP3" s="120"/>
      <c r="DGQ3" s="120"/>
      <c r="DGR3" s="120"/>
      <c r="DGS3" s="120"/>
      <c r="DGT3" s="120"/>
      <c r="DGU3" s="120"/>
      <c r="DGV3" s="120"/>
      <c r="DGW3" s="120"/>
      <c r="DGX3" s="120"/>
      <c r="DGY3" s="120"/>
      <c r="DGZ3" s="120"/>
      <c r="DHA3" s="120"/>
      <c r="DHB3" s="120"/>
      <c r="DHC3" s="120"/>
      <c r="DHD3" s="120"/>
      <c r="DHE3" s="120"/>
      <c r="DHF3" s="120"/>
      <c r="DHG3" s="120"/>
      <c r="DHH3" s="120"/>
      <c r="DHI3" s="120"/>
      <c r="DHJ3" s="120"/>
      <c r="DHK3" s="120"/>
      <c r="DHL3" s="120"/>
      <c r="DHM3" s="120"/>
      <c r="DHN3" s="120"/>
      <c r="DHO3" s="120"/>
      <c r="DHP3" s="120"/>
      <c r="DHQ3" s="120"/>
      <c r="DHR3" s="120"/>
      <c r="DHS3" s="120"/>
      <c r="DHT3" s="120"/>
      <c r="DHU3" s="120"/>
      <c r="DHV3" s="120"/>
      <c r="DHW3" s="120"/>
      <c r="DHX3" s="120"/>
      <c r="DHY3" s="120"/>
      <c r="DHZ3" s="120"/>
      <c r="DIA3" s="120"/>
      <c r="DIB3" s="120"/>
      <c r="DIC3" s="120"/>
      <c r="DID3" s="120"/>
      <c r="DIE3" s="120"/>
      <c r="DIF3" s="120"/>
      <c r="DIG3" s="120"/>
      <c r="DIH3" s="120"/>
      <c r="DII3" s="120"/>
      <c r="DIJ3" s="120"/>
      <c r="DIK3" s="120"/>
      <c r="DIL3" s="120"/>
      <c r="DIM3" s="120"/>
      <c r="DIN3" s="120"/>
      <c r="DIO3" s="120"/>
      <c r="DIP3" s="120"/>
      <c r="DIQ3" s="120"/>
      <c r="DIR3" s="120"/>
      <c r="DIS3" s="120"/>
      <c r="DIT3" s="120"/>
      <c r="DIU3" s="120"/>
      <c r="DIV3" s="120"/>
      <c r="DIW3" s="120"/>
      <c r="DIX3" s="120"/>
      <c r="DIY3" s="120"/>
      <c r="DIZ3" s="120"/>
      <c r="DJA3" s="120"/>
      <c r="DJB3" s="120"/>
      <c r="DJC3" s="120"/>
      <c r="DJD3" s="120"/>
      <c r="DJE3" s="120"/>
      <c r="DJF3" s="120"/>
      <c r="DJG3" s="120"/>
      <c r="DJH3" s="120"/>
      <c r="DJI3" s="120"/>
      <c r="DJJ3" s="120"/>
      <c r="DJK3" s="120"/>
      <c r="DJL3" s="120"/>
      <c r="DJM3" s="120"/>
      <c r="DJN3" s="120"/>
      <c r="DJO3" s="120"/>
      <c r="DJP3" s="120"/>
      <c r="DJQ3" s="120"/>
      <c r="DJR3" s="120"/>
      <c r="DJS3" s="120"/>
      <c r="DJT3" s="120"/>
      <c r="DJU3" s="120"/>
      <c r="DJV3" s="120"/>
      <c r="DJW3" s="120"/>
      <c r="DJX3" s="120"/>
      <c r="DJY3" s="120"/>
      <c r="DJZ3" s="120"/>
      <c r="DKA3" s="120"/>
      <c r="DKB3" s="120"/>
      <c r="DKC3" s="120"/>
      <c r="DKD3" s="120"/>
      <c r="DKE3" s="120"/>
      <c r="DKF3" s="120"/>
      <c r="DKG3" s="120"/>
      <c r="DKH3" s="120"/>
      <c r="DKI3" s="120"/>
      <c r="DKJ3" s="120"/>
      <c r="DKK3" s="120"/>
      <c r="DKL3" s="120"/>
      <c r="DKM3" s="120"/>
      <c r="DKN3" s="120"/>
      <c r="DKO3" s="120"/>
      <c r="DKP3" s="120"/>
      <c r="DKQ3" s="120"/>
      <c r="DKR3" s="120"/>
      <c r="DKS3" s="120"/>
      <c r="DKT3" s="120"/>
      <c r="DKU3" s="120"/>
      <c r="DKV3" s="120"/>
      <c r="DKW3" s="120"/>
      <c r="DKX3" s="120"/>
      <c r="DKY3" s="120"/>
      <c r="DKZ3" s="120"/>
      <c r="DLA3" s="120"/>
      <c r="DLB3" s="120"/>
      <c r="DLC3" s="120"/>
      <c r="DLD3" s="120"/>
      <c r="DLE3" s="120"/>
      <c r="DLF3" s="120"/>
      <c r="DLG3" s="120"/>
      <c r="DLH3" s="120"/>
      <c r="DLI3" s="120"/>
      <c r="DLJ3" s="120"/>
      <c r="DLK3" s="120"/>
      <c r="DLL3" s="120"/>
      <c r="DLM3" s="120"/>
      <c r="DLN3" s="120"/>
      <c r="DLO3" s="120"/>
      <c r="DLP3" s="120"/>
      <c r="DLQ3" s="120"/>
      <c r="DLR3" s="120"/>
      <c r="DLS3" s="120"/>
      <c r="DLT3" s="120"/>
      <c r="DLU3" s="120"/>
      <c r="DLV3" s="120"/>
      <c r="DLW3" s="120"/>
      <c r="DLX3" s="120"/>
      <c r="DLY3" s="120"/>
      <c r="DLZ3" s="120"/>
      <c r="DMA3" s="120"/>
      <c r="DMB3" s="120"/>
      <c r="DMC3" s="120"/>
      <c r="DMD3" s="120"/>
      <c r="DME3" s="120"/>
      <c r="DMF3" s="120"/>
      <c r="DMG3" s="120"/>
      <c r="DMH3" s="120"/>
      <c r="DMI3" s="120"/>
      <c r="DMJ3" s="120"/>
      <c r="DMK3" s="120"/>
      <c r="DML3" s="120"/>
      <c r="DMM3" s="120"/>
      <c r="DMN3" s="120"/>
      <c r="DMO3" s="120"/>
      <c r="DMP3" s="120"/>
      <c r="DMQ3" s="120"/>
      <c r="DMR3" s="120"/>
      <c r="DMS3" s="120"/>
      <c r="DMT3" s="120"/>
      <c r="DMU3" s="120"/>
      <c r="DMV3" s="120"/>
      <c r="DMW3" s="120"/>
      <c r="DMX3" s="120"/>
      <c r="DMY3" s="120"/>
      <c r="DMZ3" s="120"/>
      <c r="DNA3" s="120"/>
      <c r="DNB3" s="120"/>
      <c r="DNC3" s="120"/>
      <c r="DND3" s="120"/>
      <c r="DNE3" s="120"/>
      <c r="DNF3" s="120"/>
      <c r="DNG3" s="120"/>
      <c r="DNH3" s="120"/>
      <c r="DNI3" s="120"/>
      <c r="DNJ3" s="120"/>
      <c r="DNK3" s="120"/>
      <c r="DNL3" s="120"/>
      <c r="DNM3" s="120"/>
      <c r="DNN3" s="120"/>
      <c r="DNO3" s="120"/>
      <c r="DNP3" s="120"/>
      <c r="DNQ3" s="120"/>
      <c r="DNR3" s="120"/>
      <c r="DNS3" s="120"/>
      <c r="DNT3" s="120"/>
      <c r="DNU3" s="120"/>
      <c r="DNV3" s="120"/>
      <c r="DNW3" s="120"/>
      <c r="DNX3" s="120"/>
      <c r="DNY3" s="120"/>
      <c r="DNZ3" s="120"/>
      <c r="DOA3" s="120"/>
      <c r="DOB3" s="120"/>
      <c r="DOC3" s="120"/>
      <c r="DOD3" s="120"/>
      <c r="DOE3" s="120"/>
      <c r="DOF3" s="120"/>
      <c r="DOG3" s="120"/>
      <c r="DOH3" s="120"/>
      <c r="DOI3" s="120"/>
      <c r="DOJ3" s="120"/>
      <c r="DOK3" s="120"/>
      <c r="DOL3" s="120"/>
      <c r="DOM3" s="120"/>
      <c r="DON3" s="120"/>
      <c r="DOO3" s="120"/>
      <c r="DOP3" s="120"/>
      <c r="DOQ3" s="120"/>
      <c r="DOR3" s="120"/>
      <c r="DOS3" s="120"/>
      <c r="DOT3" s="120"/>
      <c r="DOU3" s="120"/>
      <c r="DOV3" s="120"/>
      <c r="DOW3" s="120"/>
      <c r="DOX3" s="120"/>
      <c r="DOY3" s="120"/>
      <c r="DOZ3" s="120"/>
      <c r="DPA3" s="120"/>
      <c r="DPB3" s="120"/>
      <c r="DPC3" s="120"/>
      <c r="DPD3" s="120"/>
      <c r="DPE3" s="120"/>
      <c r="DPF3" s="120"/>
      <c r="DPG3" s="120"/>
      <c r="DPH3" s="120"/>
      <c r="DPI3" s="120"/>
      <c r="DPJ3" s="120"/>
      <c r="DPK3" s="120"/>
      <c r="DPL3" s="120"/>
      <c r="DPM3" s="120"/>
      <c r="DPN3" s="120"/>
      <c r="DPO3" s="120"/>
      <c r="DPP3" s="120"/>
      <c r="DPQ3" s="120"/>
      <c r="DPR3" s="120"/>
      <c r="DPS3" s="120"/>
      <c r="DPT3" s="120"/>
      <c r="DPU3" s="120"/>
      <c r="DPV3" s="120"/>
      <c r="DPW3" s="120"/>
      <c r="DPX3" s="120"/>
      <c r="DPY3" s="120"/>
      <c r="DPZ3" s="120"/>
      <c r="DQA3" s="120"/>
      <c r="DQB3" s="120"/>
      <c r="DQC3" s="120"/>
      <c r="DQD3" s="120"/>
      <c r="DQE3" s="120"/>
      <c r="DQF3" s="120"/>
      <c r="DQG3" s="120"/>
      <c r="DQH3" s="120"/>
      <c r="DQI3" s="120"/>
      <c r="DQJ3" s="120"/>
      <c r="DQK3" s="120"/>
      <c r="DQL3" s="120"/>
      <c r="DQM3" s="120"/>
      <c r="DQN3" s="120"/>
      <c r="DQO3" s="120"/>
      <c r="DQP3" s="120"/>
      <c r="DQQ3" s="120"/>
      <c r="DQR3" s="120"/>
      <c r="DQS3" s="120"/>
      <c r="DQT3" s="120"/>
      <c r="DQU3" s="120"/>
      <c r="DQV3" s="120"/>
      <c r="DQW3" s="120"/>
      <c r="DQX3" s="120"/>
      <c r="DQY3" s="120"/>
      <c r="DQZ3" s="120"/>
      <c r="DRA3" s="120"/>
      <c r="DRB3" s="120"/>
      <c r="DRC3" s="120"/>
      <c r="DRD3" s="120"/>
      <c r="DRE3" s="120"/>
      <c r="DRF3" s="120"/>
      <c r="DRG3" s="120"/>
      <c r="DRH3" s="120"/>
      <c r="DRI3" s="120"/>
      <c r="DRJ3" s="120"/>
      <c r="DRK3" s="120"/>
      <c r="DRL3" s="120"/>
      <c r="DRM3" s="120"/>
      <c r="DRN3" s="120"/>
      <c r="DRO3" s="120"/>
      <c r="DRP3" s="120"/>
      <c r="DRQ3" s="120"/>
      <c r="DRR3" s="120"/>
      <c r="DRS3" s="120"/>
      <c r="DRT3" s="120"/>
      <c r="DRU3" s="120"/>
      <c r="DRV3" s="120"/>
      <c r="DRW3" s="120"/>
      <c r="DRX3" s="120"/>
      <c r="DRY3" s="120"/>
      <c r="DRZ3" s="120"/>
      <c r="DSA3" s="120"/>
      <c r="DSB3" s="120"/>
      <c r="DSC3" s="120"/>
      <c r="DSD3" s="120"/>
      <c r="DSE3" s="120"/>
      <c r="DSF3" s="120"/>
      <c r="DSG3" s="120"/>
      <c r="DSH3" s="120"/>
      <c r="DSI3" s="120"/>
      <c r="DSJ3" s="120"/>
      <c r="DSK3" s="120"/>
      <c r="DSL3" s="120"/>
      <c r="DSM3" s="120"/>
      <c r="DSN3" s="120"/>
      <c r="DSO3" s="120"/>
      <c r="DSP3" s="120"/>
      <c r="DSQ3" s="120"/>
      <c r="DSR3" s="120"/>
      <c r="DSS3" s="120"/>
      <c r="DST3" s="120"/>
      <c r="DSU3" s="120"/>
      <c r="DSV3" s="120"/>
      <c r="DSW3" s="120"/>
      <c r="DSX3" s="120"/>
      <c r="DSY3" s="120"/>
      <c r="DSZ3" s="120"/>
      <c r="DTA3" s="120"/>
      <c r="DTB3" s="120"/>
      <c r="DTC3" s="120"/>
      <c r="DTD3" s="120"/>
      <c r="DTE3" s="120"/>
      <c r="DTF3" s="120"/>
      <c r="DTG3" s="120"/>
      <c r="DTH3" s="120"/>
      <c r="DTI3" s="120"/>
      <c r="DTJ3" s="120"/>
      <c r="DTK3" s="120"/>
      <c r="DTL3" s="120"/>
      <c r="DTM3" s="120"/>
      <c r="DTN3" s="120"/>
      <c r="DTO3" s="120"/>
      <c r="DTP3" s="120"/>
      <c r="DTQ3" s="120"/>
      <c r="DTR3" s="120"/>
      <c r="DTS3" s="120"/>
      <c r="DTT3" s="120"/>
      <c r="DTU3" s="120"/>
      <c r="DTV3" s="120"/>
      <c r="DTW3" s="120"/>
      <c r="DTX3" s="120"/>
      <c r="DTY3" s="120"/>
      <c r="DTZ3" s="120"/>
      <c r="DUA3" s="120"/>
      <c r="DUB3" s="120"/>
      <c r="DUC3" s="120"/>
      <c r="DUD3" s="120"/>
      <c r="DUE3" s="120"/>
      <c r="DUF3" s="120"/>
      <c r="DUG3" s="120"/>
      <c r="DUH3" s="120"/>
      <c r="DUI3" s="120"/>
      <c r="DUJ3" s="120"/>
      <c r="DUK3" s="120"/>
      <c r="DUL3" s="120"/>
      <c r="DUM3" s="120"/>
      <c r="DUN3" s="120"/>
      <c r="DUO3" s="120"/>
      <c r="DUP3" s="120"/>
      <c r="DUQ3" s="120"/>
      <c r="DUR3" s="120"/>
      <c r="DUS3" s="120"/>
      <c r="DUT3" s="120"/>
      <c r="DUU3" s="120"/>
      <c r="DUV3" s="120"/>
      <c r="DUW3" s="120"/>
      <c r="DUX3" s="120"/>
      <c r="DUY3" s="120"/>
      <c r="DUZ3" s="120"/>
      <c r="DVA3" s="120"/>
      <c r="DVB3" s="120"/>
      <c r="DVC3" s="120"/>
      <c r="DVD3" s="120"/>
      <c r="DVE3" s="120"/>
      <c r="DVF3" s="120"/>
      <c r="DVG3" s="120"/>
      <c r="DVH3" s="120"/>
      <c r="DVI3" s="120"/>
      <c r="DVJ3" s="120"/>
      <c r="DVK3" s="120"/>
      <c r="DVL3" s="120"/>
      <c r="DVM3" s="120"/>
      <c r="DVN3" s="120"/>
      <c r="DVO3" s="120"/>
      <c r="DVP3" s="120"/>
      <c r="DVQ3" s="120"/>
      <c r="DVR3" s="120"/>
      <c r="DVS3" s="120"/>
      <c r="DVT3" s="120"/>
      <c r="DVU3" s="120"/>
      <c r="DVV3" s="120"/>
      <c r="DVW3" s="120"/>
      <c r="DVX3" s="120"/>
      <c r="DVY3" s="120"/>
      <c r="DVZ3" s="120"/>
      <c r="DWA3" s="120"/>
      <c r="DWB3" s="120"/>
      <c r="DWC3" s="120"/>
      <c r="DWD3" s="120"/>
      <c r="DWE3" s="120"/>
      <c r="DWF3" s="120"/>
      <c r="DWG3" s="120"/>
      <c r="DWH3" s="120"/>
      <c r="DWI3" s="120"/>
      <c r="DWJ3" s="120"/>
      <c r="DWK3" s="120"/>
      <c r="DWL3" s="120"/>
      <c r="DWM3" s="120"/>
      <c r="DWN3" s="120"/>
      <c r="DWO3" s="120"/>
      <c r="DWP3" s="120"/>
      <c r="DWQ3" s="120"/>
      <c r="DWR3" s="120"/>
      <c r="DWS3" s="120"/>
      <c r="DWT3" s="120"/>
      <c r="DWU3" s="120"/>
      <c r="DWV3" s="120"/>
      <c r="DWW3" s="120"/>
      <c r="DWX3" s="120"/>
      <c r="DWY3" s="120"/>
      <c r="DWZ3" s="120"/>
      <c r="DXA3" s="120"/>
      <c r="DXB3" s="120"/>
      <c r="DXC3" s="120"/>
      <c r="DXD3" s="120"/>
      <c r="DXE3" s="120"/>
      <c r="DXF3" s="120"/>
      <c r="DXG3" s="120"/>
      <c r="DXH3" s="120"/>
      <c r="DXI3" s="120"/>
      <c r="DXJ3" s="120"/>
      <c r="DXK3" s="120"/>
      <c r="DXL3" s="120"/>
      <c r="DXM3" s="120"/>
      <c r="DXN3" s="120"/>
      <c r="DXO3" s="120"/>
      <c r="DXP3" s="120"/>
      <c r="DXQ3" s="120"/>
      <c r="DXR3" s="120"/>
      <c r="DXS3" s="120"/>
      <c r="DXT3" s="120"/>
      <c r="DXU3" s="120"/>
      <c r="DXV3" s="120"/>
      <c r="DXW3" s="120"/>
      <c r="DXX3" s="120"/>
      <c r="DXY3" s="120"/>
      <c r="DXZ3" s="120"/>
      <c r="DYA3" s="120"/>
      <c r="DYB3" s="120"/>
      <c r="DYC3" s="120"/>
      <c r="DYD3" s="120"/>
      <c r="DYE3" s="120"/>
      <c r="DYF3" s="120"/>
      <c r="DYG3" s="120"/>
      <c r="DYH3" s="120"/>
      <c r="DYI3" s="120"/>
      <c r="DYJ3" s="120"/>
      <c r="DYK3" s="120"/>
      <c r="DYL3" s="120"/>
      <c r="DYM3" s="120"/>
      <c r="DYN3" s="120"/>
      <c r="DYO3" s="120"/>
      <c r="DYP3" s="120"/>
      <c r="DYQ3" s="120"/>
      <c r="DYR3" s="120"/>
      <c r="DYS3" s="120"/>
      <c r="DYT3" s="120"/>
      <c r="DYU3" s="120"/>
      <c r="DYV3" s="120"/>
      <c r="DYW3" s="120"/>
      <c r="DYX3" s="120"/>
      <c r="DYY3" s="120"/>
      <c r="DYZ3" s="120"/>
      <c r="DZA3" s="120"/>
      <c r="DZB3" s="120"/>
      <c r="DZC3" s="120"/>
      <c r="DZD3" s="120"/>
      <c r="DZE3" s="120"/>
      <c r="DZF3" s="120"/>
      <c r="DZG3" s="120"/>
      <c r="DZH3" s="120"/>
      <c r="DZI3" s="120"/>
      <c r="DZJ3" s="120"/>
      <c r="DZK3" s="120"/>
      <c r="DZL3" s="120"/>
      <c r="DZM3" s="120"/>
      <c r="DZN3" s="120"/>
      <c r="DZO3" s="120"/>
      <c r="DZP3" s="120"/>
      <c r="DZQ3" s="120"/>
      <c r="DZR3" s="120"/>
      <c r="DZS3" s="120"/>
      <c r="DZT3" s="120"/>
      <c r="DZU3" s="120"/>
      <c r="DZV3" s="120"/>
      <c r="DZW3" s="120"/>
      <c r="DZX3" s="120"/>
      <c r="DZY3" s="120"/>
      <c r="DZZ3" s="120"/>
      <c r="EAA3" s="120"/>
      <c r="EAB3" s="120"/>
      <c r="EAC3" s="120"/>
      <c r="EAD3" s="120"/>
      <c r="EAE3" s="120"/>
      <c r="EAF3" s="120"/>
      <c r="EAG3" s="120"/>
      <c r="EAH3" s="120"/>
      <c r="EAI3" s="120"/>
      <c r="EAJ3" s="120"/>
      <c r="EAK3" s="120"/>
      <c r="EAL3" s="120"/>
      <c r="EAM3" s="120"/>
      <c r="EAN3" s="120"/>
      <c r="EAO3" s="120"/>
      <c r="EAP3" s="120"/>
      <c r="EAQ3" s="120"/>
      <c r="EAR3" s="120"/>
      <c r="EAS3" s="120"/>
      <c r="EAT3" s="120"/>
      <c r="EAU3" s="120"/>
      <c r="EAV3" s="120"/>
      <c r="EAW3" s="120"/>
      <c r="EAX3" s="120"/>
      <c r="EAY3" s="120"/>
      <c r="EAZ3" s="120"/>
      <c r="EBA3" s="120"/>
      <c r="EBB3" s="120"/>
      <c r="EBC3" s="120"/>
      <c r="EBD3" s="120"/>
      <c r="EBE3" s="120"/>
      <c r="EBF3" s="120"/>
      <c r="EBG3" s="120"/>
      <c r="EBH3" s="120"/>
      <c r="EBI3" s="120"/>
      <c r="EBJ3" s="120"/>
      <c r="EBK3" s="120"/>
      <c r="EBL3" s="120"/>
      <c r="EBM3" s="120"/>
      <c r="EBN3" s="120"/>
      <c r="EBO3" s="120"/>
      <c r="EBP3" s="120"/>
      <c r="EBQ3" s="120"/>
      <c r="EBR3" s="120"/>
      <c r="EBS3" s="120"/>
      <c r="EBT3" s="120"/>
      <c r="EBU3" s="120"/>
      <c r="EBV3" s="120"/>
      <c r="EBW3" s="120"/>
      <c r="EBX3" s="120"/>
      <c r="EBY3" s="120"/>
      <c r="EBZ3" s="120"/>
      <c r="ECA3" s="120"/>
      <c r="ECB3" s="120"/>
      <c r="ECC3" s="120"/>
      <c r="ECD3" s="120"/>
      <c r="ECE3" s="120"/>
      <c r="ECF3" s="120"/>
      <c r="ECG3" s="120"/>
      <c r="ECH3" s="120"/>
      <c r="ECI3" s="120"/>
      <c r="ECJ3" s="120"/>
      <c r="ECK3" s="120"/>
      <c r="ECL3" s="120"/>
      <c r="ECM3" s="120"/>
      <c r="ECN3" s="120"/>
      <c r="ECO3" s="120"/>
      <c r="ECP3" s="120"/>
      <c r="ECQ3" s="120"/>
      <c r="ECR3" s="120"/>
      <c r="ECS3" s="120"/>
      <c r="ECT3" s="120"/>
      <c r="ECU3" s="120"/>
      <c r="ECV3" s="120"/>
      <c r="ECW3" s="120"/>
      <c r="ECX3" s="120"/>
      <c r="ECY3" s="120"/>
      <c r="ECZ3" s="120"/>
      <c r="EDA3" s="120"/>
      <c r="EDB3" s="120"/>
      <c r="EDC3" s="120"/>
      <c r="EDD3" s="120"/>
      <c r="EDE3" s="120"/>
      <c r="EDF3" s="120"/>
      <c r="EDG3" s="120"/>
      <c r="EDH3" s="120"/>
      <c r="EDI3" s="120"/>
      <c r="EDJ3" s="120"/>
      <c r="EDK3" s="120"/>
      <c r="EDL3" s="120"/>
      <c r="EDM3" s="120"/>
      <c r="EDN3" s="120"/>
      <c r="EDO3" s="120"/>
      <c r="EDP3" s="120"/>
      <c r="EDQ3" s="120"/>
      <c r="EDR3" s="120"/>
      <c r="EDS3" s="120"/>
      <c r="EDT3" s="120"/>
      <c r="EDU3" s="120"/>
      <c r="EDV3" s="120"/>
      <c r="EDW3" s="120"/>
      <c r="EDX3" s="120"/>
      <c r="EDY3" s="120"/>
      <c r="EDZ3" s="120"/>
      <c r="EEA3" s="120"/>
      <c r="EEB3" s="120"/>
      <c r="EEC3" s="120"/>
      <c r="EED3" s="120"/>
      <c r="EEE3" s="120"/>
      <c r="EEF3" s="120"/>
      <c r="EEG3" s="120"/>
      <c r="EEH3" s="120"/>
      <c r="EEI3" s="120"/>
      <c r="EEJ3" s="120"/>
      <c r="EEK3" s="120"/>
      <c r="EEL3" s="120"/>
      <c r="EEM3" s="120"/>
      <c r="EEN3" s="120"/>
      <c r="EEO3" s="120"/>
      <c r="EEP3" s="120"/>
      <c r="EEQ3" s="120"/>
      <c r="EER3" s="120"/>
      <c r="EES3" s="120"/>
      <c r="EET3" s="120"/>
      <c r="EEU3" s="120"/>
      <c r="EEV3" s="120"/>
      <c r="EEW3" s="120"/>
      <c r="EEX3" s="120"/>
      <c r="EEY3" s="120"/>
      <c r="EEZ3" s="120"/>
      <c r="EFA3" s="120"/>
      <c r="EFB3" s="120"/>
      <c r="EFC3" s="120"/>
      <c r="EFD3" s="120"/>
      <c r="EFE3" s="120"/>
      <c r="EFF3" s="120"/>
      <c r="EFG3" s="120"/>
      <c r="EFH3" s="120"/>
      <c r="EFI3" s="120"/>
      <c r="EFJ3" s="120"/>
      <c r="EFK3" s="120"/>
      <c r="EFL3" s="120"/>
      <c r="EFM3" s="120"/>
      <c r="EFN3" s="120"/>
      <c r="EFO3" s="120"/>
      <c r="EFP3" s="120"/>
      <c r="EFQ3" s="120"/>
      <c r="EFR3" s="120"/>
      <c r="EFS3" s="120"/>
      <c r="EFT3" s="120"/>
      <c r="EFU3" s="120"/>
      <c r="EFV3" s="120"/>
      <c r="EFW3" s="120"/>
      <c r="EFX3" s="120"/>
      <c r="EFY3" s="120"/>
      <c r="EFZ3" s="120"/>
      <c r="EGA3" s="120"/>
      <c r="EGB3" s="120"/>
      <c r="EGC3" s="120"/>
      <c r="EGD3" s="120"/>
      <c r="EGE3" s="120"/>
      <c r="EGF3" s="120"/>
      <c r="EGG3" s="120"/>
      <c r="EGH3" s="120"/>
      <c r="EGI3" s="120"/>
      <c r="EGJ3" s="120"/>
      <c r="EGK3" s="120"/>
      <c r="EGL3" s="120"/>
      <c r="EGM3" s="120"/>
      <c r="EGN3" s="120"/>
      <c r="EGO3" s="120"/>
      <c r="EGP3" s="120"/>
      <c r="EGQ3" s="120"/>
      <c r="EGR3" s="120"/>
      <c r="EGS3" s="120"/>
      <c r="EGT3" s="120"/>
      <c r="EGU3" s="120"/>
      <c r="EGV3" s="120"/>
      <c r="EGW3" s="120"/>
      <c r="EGX3" s="120"/>
      <c r="EGY3" s="120"/>
      <c r="EGZ3" s="120"/>
      <c r="EHA3" s="120"/>
      <c r="EHB3" s="120"/>
      <c r="EHC3" s="120"/>
      <c r="EHD3" s="120"/>
      <c r="EHE3" s="120"/>
      <c r="EHF3" s="120"/>
      <c r="EHG3" s="120"/>
      <c r="EHH3" s="120"/>
      <c r="EHI3" s="120"/>
      <c r="EHJ3" s="120"/>
      <c r="EHK3" s="120"/>
      <c r="EHL3" s="120"/>
      <c r="EHM3" s="120"/>
      <c r="EHN3" s="120"/>
      <c r="EHO3" s="120"/>
      <c r="EHP3" s="120"/>
      <c r="EHQ3" s="120"/>
      <c r="EHR3" s="120"/>
      <c r="EHS3" s="120"/>
      <c r="EHT3" s="120"/>
      <c r="EHU3" s="120"/>
      <c r="EHV3" s="120"/>
      <c r="EHW3" s="120"/>
      <c r="EHX3" s="120"/>
      <c r="EHY3" s="120"/>
      <c r="EHZ3" s="120"/>
      <c r="EIA3" s="120"/>
      <c r="EIB3" s="120"/>
      <c r="EIC3" s="120"/>
      <c r="EID3" s="120"/>
      <c r="EIE3" s="120"/>
      <c r="EIF3" s="120"/>
      <c r="EIG3" s="120"/>
      <c r="EIH3" s="120"/>
      <c r="EII3" s="120"/>
      <c r="EIJ3" s="120"/>
      <c r="EIK3" s="120"/>
      <c r="EIL3" s="120"/>
      <c r="EIM3" s="120"/>
      <c r="EIN3" s="120"/>
      <c r="EIO3" s="120"/>
      <c r="EIP3" s="120"/>
      <c r="EIQ3" s="120"/>
      <c r="EIR3" s="120"/>
      <c r="EIS3" s="120"/>
      <c r="EIT3" s="120"/>
      <c r="EIU3" s="120"/>
      <c r="EIV3" s="120"/>
      <c r="EIW3" s="120"/>
      <c r="EIX3" s="120"/>
      <c r="EIY3" s="120"/>
      <c r="EIZ3" s="120"/>
      <c r="EJA3" s="120"/>
      <c r="EJB3" s="120"/>
      <c r="EJC3" s="120"/>
      <c r="EJD3" s="120"/>
      <c r="EJE3" s="120"/>
      <c r="EJF3" s="120"/>
      <c r="EJG3" s="120"/>
      <c r="EJH3" s="120"/>
      <c r="EJI3" s="120"/>
      <c r="EJJ3" s="120"/>
      <c r="EJK3" s="120"/>
      <c r="EJL3" s="120"/>
      <c r="EJM3" s="120"/>
      <c r="EJN3" s="120"/>
      <c r="EJO3" s="120"/>
      <c r="EJP3" s="120"/>
      <c r="EJQ3" s="120"/>
      <c r="EJR3" s="120"/>
      <c r="EJS3" s="120"/>
      <c r="EJT3" s="120"/>
      <c r="EJU3" s="120"/>
      <c r="EJV3" s="120"/>
      <c r="EJW3" s="120"/>
      <c r="EJX3" s="120"/>
      <c r="EJY3" s="120"/>
      <c r="EJZ3" s="120"/>
      <c r="EKA3" s="120"/>
      <c r="EKB3" s="120"/>
      <c r="EKC3" s="120"/>
      <c r="EKD3" s="120"/>
      <c r="EKE3" s="120"/>
      <c r="EKF3" s="120"/>
      <c r="EKG3" s="120"/>
      <c r="EKH3" s="120"/>
      <c r="EKI3" s="120"/>
      <c r="EKJ3" s="120"/>
      <c r="EKK3" s="120"/>
      <c r="EKL3" s="120"/>
      <c r="EKM3" s="120"/>
      <c r="EKN3" s="120"/>
      <c r="EKO3" s="120"/>
      <c r="EKP3" s="120"/>
      <c r="EKQ3" s="120"/>
      <c r="EKR3" s="120"/>
      <c r="EKS3" s="120"/>
      <c r="EKT3" s="120"/>
      <c r="EKU3" s="120"/>
      <c r="EKV3" s="120"/>
      <c r="EKW3" s="120"/>
      <c r="EKX3" s="120"/>
      <c r="EKY3" s="120"/>
      <c r="EKZ3" s="120"/>
      <c r="ELA3" s="120"/>
      <c r="ELB3" s="120"/>
      <c r="ELC3" s="120"/>
      <c r="ELD3" s="120"/>
      <c r="ELE3" s="120"/>
      <c r="ELF3" s="120"/>
      <c r="ELG3" s="120"/>
      <c r="ELH3" s="120"/>
      <c r="ELI3" s="120"/>
      <c r="ELJ3" s="120"/>
      <c r="ELK3" s="120"/>
      <c r="ELL3" s="120"/>
      <c r="ELM3" s="120"/>
      <c r="ELN3" s="120"/>
      <c r="ELO3" s="120"/>
      <c r="ELP3" s="120"/>
      <c r="ELQ3" s="120"/>
      <c r="ELR3" s="120"/>
      <c r="ELS3" s="120"/>
      <c r="ELT3" s="120"/>
      <c r="ELU3" s="120"/>
      <c r="ELV3" s="120"/>
      <c r="ELW3" s="120"/>
      <c r="ELX3" s="120"/>
      <c r="ELY3" s="120"/>
      <c r="ELZ3" s="120"/>
      <c r="EMA3" s="120"/>
      <c r="EMB3" s="120"/>
      <c r="EMC3" s="120"/>
      <c r="EMD3" s="120"/>
      <c r="EME3" s="120"/>
      <c r="EMF3" s="120"/>
      <c r="EMG3" s="120"/>
      <c r="EMH3" s="120"/>
      <c r="EMI3" s="120"/>
      <c r="EMJ3" s="120"/>
      <c r="EMK3" s="120"/>
      <c r="EML3" s="120"/>
      <c r="EMM3" s="120"/>
      <c r="EMN3" s="120"/>
      <c r="EMO3" s="120"/>
      <c r="EMP3" s="120"/>
      <c r="EMQ3" s="120"/>
      <c r="EMR3" s="120"/>
      <c r="EMS3" s="120"/>
      <c r="EMT3" s="120"/>
      <c r="EMU3" s="120"/>
      <c r="EMV3" s="120"/>
      <c r="EMW3" s="120"/>
      <c r="EMX3" s="120"/>
      <c r="EMY3" s="120"/>
      <c r="EMZ3" s="120"/>
      <c r="ENA3" s="120"/>
      <c r="ENB3" s="120"/>
      <c r="ENC3" s="120"/>
      <c r="END3" s="120"/>
      <c r="ENE3" s="120"/>
      <c r="ENF3" s="120"/>
      <c r="ENG3" s="120"/>
      <c r="ENH3" s="120"/>
      <c r="ENI3" s="120"/>
      <c r="ENJ3" s="120"/>
      <c r="ENK3" s="120"/>
      <c r="ENL3" s="120"/>
      <c r="ENM3" s="120"/>
      <c r="ENN3" s="120"/>
      <c r="ENO3" s="120"/>
      <c r="ENP3" s="120"/>
      <c r="ENQ3" s="120"/>
      <c r="ENR3" s="120"/>
      <c r="ENS3" s="120"/>
      <c r="ENT3" s="120"/>
      <c r="ENU3" s="120"/>
      <c r="ENV3" s="120"/>
      <c r="ENW3" s="120"/>
      <c r="ENX3" s="120"/>
      <c r="ENY3" s="120"/>
      <c r="ENZ3" s="120"/>
      <c r="EOA3" s="120"/>
      <c r="EOB3" s="120"/>
      <c r="EOC3" s="120"/>
      <c r="EOD3" s="120"/>
      <c r="EOE3" s="120"/>
      <c r="EOF3" s="120"/>
      <c r="EOG3" s="120"/>
      <c r="EOH3" s="120"/>
      <c r="EOI3" s="120"/>
      <c r="EOJ3" s="120"/>
      <c r="EOK3" s="120"/>
      <c r="EOL3" s="120"/>
      <c r="EOM3" s="120"/>
      <c r="EON3" s="120"/>
      <c r="EOO3" s="120"/>
      <c r="EOP3" s="120"/>
      <c r="EOQ3" s="120"/>
      <c r="EOR3" s="120"/>
      <c r="EOS3" s="120"/>
      <c r="EOT3" s="120"/>
      <c r="EOU3" s="120"/>
      <c r="EOV3" s="120"/>
      <c r="EOW3" s="120"/>
      <c r="EOX3" s="120"/>
      <c r="EOY3" s="120"/>
      <c r="EOZ3" s="120"/>
      <c r="EPA3" s="120"/>
      <c r="EPB3" s="120"/>
      <c r="EPC3" s="120"/>
      <c r="EPD3" s="120"/>
      <c r="EPE3" s="120"/>
      <c r="EPF3" s="120"/>
      <c r="EPG3" s="120"/>
      <c r="EPH3" s="120"/>
      <c r="EPI3" s="120"/>
      <c r="EPJ3" s="120"/>
      <c r="EPK3" s="120"/>
      <c r="EPL3" s="120"/>
      <c r="EPM3" s="120"/>
      <c r="EPN3" s="120"/>
      <c r="EPO3" s="120"/>
      <c r="EPP3" s="120"/>
      <c r="EPQ3" s="120"/>
      <c r="EPR3" s="120"/>
      <c r="EPS3" s="120"/>
      <c r="EPT3" s="120"/>
      <c r="EPU3" s="120"/>
      <c r="EPV3" s="120"/>
      <c r="EPW3" s="120"/>
      <c r="EPX3" s="120"/>
      <c r="EPY3" s="120"/>
      <c r="EPZ3" s="120"/>
      <c r="EQA3" s="120"/>
      <c r="EQB3" s="120"/>
      <c r="EQC3" s="120"/>
      <c r="EQD3" s="120"/>
      <c r="EQE3" s="120"/>
      <c r="EQF3" s="120"/>
      <c r="EQG3" s="120"/>
      <c r="EQH3" s="120"/>
      <c r="EQI3" s="120"/>
      <c r="EQJ3" s="120"/>
      <c r="EQK3" s="120"/>
      <c r="EQL3" s="120"/>
      <c r="EQM3" s="120"/>
      <c r="EQN3" s="120"/>
      <c r="EQO3" s="120"/>
      <c r="EQP3" s="120"/>
      <c r="EQQ3" s="120"/>
      <c r="EQR3" s="120"/>
      <c r="EQS3" s="120"/>
      <c r="EQT3" s="120"/>
      <c r="EQU3" s="120"/>
      <c r="EQV3" s="120"/>
      <c r="EQW3" s="120"/>
      <c r="EQX3" s="120"/>
      <c r="EQY3" s="120"/>
      <c r="EQZ3" s="120"/>
      <c r="ERA3" s="120"/>
      <c r="ERB3" s="120"/>
      <c r="ERC3" s="120"/>
      <c r="ERD3" s="120"/>
      <c r="ERE3" s="120"/>
      <c r="ERF3" s="120"/>
      <c r="ERG3" s="120"/>
      <c r="ERH3" s="120"/>
      <c r="ERI3" s="120"/>
      <c r="ERJ3" s="120"/>
      <c r="ERK3" s="120"/>
      <c r="ERL3" s="120"/>
      <c r="ERM3" s="120"/>
      <c r="ERN3" s="120"/>
      <c r="ERO3" s="120"/>
      <c r="ERP3" s="120"/>
      <c r="ERQ3" s="120"/>
      <c r="ERR3" s="120"/>
      <c r="ERS3" s="120"/>
      <c r="ERT3" s="120"/>
      <c r="ERU3" s="120"/>
      <c r="ERV3" s="120"/>
      <c r="ERW3" s="120"/>
      <c r="ERX3" s="120"/>
      <c r="ERY3" s="120"/>
      <c r="ERZ3" s="120"/>
      <c r="ESA3" s="120"/>
      <c r="ESB3" s="120"/>
      <c r="ESC3" s="120"/>
      <c r="ESD3" s="120"/>
      <c r="ESE3" s="120"/>
      <c r="ESF3" s="120"/>
      <c r="ESG3" s="120"/>
      <c r="ESH3" s="120"/>
      <c r="ESI3" s="120"/>
      <c r="ESJ3" s="120"/>
      <c r="ESK3" s="120"/>
      <c r="ESL3" s="120"/>
      <c r="ESM3" s="120"/>
      <c r="ESN3" s="120"/>
      <c r="ESO3" s="120"/>
      <c r="ESP3" s="120"/>
      <c r="ESQ3" s="120"/>
      <c r="ESR3" s="120"/>
      <c r="ESS3" s="120"/>
      <c r="EST3" s="120"/>
      <c r="ESU3" s="120"/>
      <c r="ESV3" s="120"/>
      <c r="ESW3" s="120"/>
      <c r="ESX3" s="120"/>
      <c r="ESY3" s="120"/>
      <c r="ESZ3" s="120"/>
      <c r="ETA3" s="120"/>
      <c r="ETB3" s="120"/>
      <c r="ETC3" s="120"/>
      <c r="ETD3" s="120"/>
      <c r="ETE3" s="120"/>
      <c r="ETF3" s="120"/>
      <c r="ETG3" s="120"/>
      <c r="ETH3" s="120"/>
      <c r="ETI3" s="120"/>
      <c r="ETJ3" s="120"/>
      <c r="ETK3" s="120"/>
      <c r="ETL3" s="120"/>
      <c r="ETM3" s="120"/>
      <c r="ETN3" s="120"/>
      <c r="ETO3" s="120"/>
      <c r="ETP3" s="120"/>
      <c r="ETQ3" s="120"/>
      <c r="ETR3" s="120"/>
      <c r="ETS3" s="120"/>
      <c r="ETT3" s="120"/>
      <c r="ETU3" s="120"/>
      <c r="ETV3" s="120"/>
      <c r="ETW3" s="120"/>
      <c r="ETX3" s="120"/>
      <c r="ETY3" s="120"/>
      <c r="ETZ3" s="120"/>
      <c r="EUA3" s="120"/>
      <c r="EUB3" s="120"/>
      <c r="EUC3" s="120"/>
      <c r="EUD3" s="120"/>
      <c r="EUE3" s="120"/>
      <c r="EUF3" s="120"/>
      <c r="EUG3" s="120"/>
      <c r="EUH3" s="120"/>
      <c r="EUI3" s="120"/>
      <c r="EUJ3" s="120"/>
      <c r="EUK3" s="120"/>
      <c r="EUL3" s="120"/>
      <c r="EUM3" s="120"/>
      <c r="EUN3" s="120"/>
      <c r="EUO3" s="120"/>
      <c r="EUP3" s="120"/>
      <c r="EUQ3" s="120"/>
      <c r="EUR3" s="120"/>
      <c r="EUS3" s="120"/>
      <c r="EUT3" s="120"/>
      <c r="EUU3" s="120"/>
      <c r="EUV3" s="120"/>
      <c r="EUW3" s="120"/>
      <c r="EUX3" s="120"/>
      <c r="EUY3" s="120"/>
      <c r="EUZ3" s="120"/>
      <c r="EVA3" s="120"/>
      <c r="EVB3" s="120"/>
      <c r="EVC3" s="120"/>
      <c r="EVD3" s="120"/>
      <c r="EVE3" s="120"/>
      <c r="EVF3" s="120"/>
      <c r="EVG3" s="120"/>
      <c r="EVH3" s="120"/>
      <c r="EVI3" s="120"/>
      <c r="EVJ3" s="120"/>
      <c r="EVK3" s="120"/>
      <c r="EVL3" s="120"/>
      <c r="EVM3" s="120"/>
      <c r="EVN3" s="120"/>
      <c r="EVO3" s="120"/>
      <c r="EVP3" s="120"/>
      <c r="EVQ3" s="120"/>
      <c r="EVR3" s="120"/>
      <c r="EVS3" s="120"/>
      <c r="EVT3" s="120"/>
      <c r="EVU3" s="120"/>
      <c r="EVV3" s="120"/>
      <c r="EVW3" s="120"/>
      <c r="EVX3" s="120"/>
      <c r="EVY3" s="120"/>
      <c r="EVZ3" s="120"/>
      <c r="EWA3" s="120"/>
      <c r="EWB3" s="120"/>
      <c r="EWC3" s="120"/>
      <c r="EWD3" s="120"/>
      <c r="EWE3" s="120"/>
      <c r="EWF3" s="120"/>
      <c r="EWG3" s="120"/>
      <c r="EWH3" s="120"/>
      <c r="EWI3" s="120"/>
      <c r="EWJ3" s="120"/>
      <c r="EWK3" s="120"/>
      <c r="EWL3" s="120"/>
      <c r="EWM3" s="120"/>
      <c r="EWN3" s="120"/>
      <c r="EWO3" s="120"/>
      <c r="EWP3" s="120"/>
      <c r="EWQ3" s="120"/>
      <c r="EWR3" s="120"/>
      <c r="EWS3" s="120"/>
      <c r="EWT3" s="120"/>
      <c r="EWU3" s="120"/>
      <c r="EWV3" s="120"/>
      <c r="EWW3" s="120"/>
      <c r="EWX3" s="120"/>
      <c r="EWY3" s="120"/>
      <c r="EWZ3" s="120"/>
      <c r="EXA3" s="120"/>
      <c r="EXB3" s="120"/>
      <c r="EXC3" s="120"/>
      <c r="EXD3" s="120"/>
      <c r="EXE3" s="120"/>
      <c r="EXF3" s="120"/>
      <c r="EXG3" s="120"/>
      <c r="EXH3" s="120"/>
      <c r="EXI3" s="120"/>
      <c r="EXJ3" s="120"/>
      <c r="EXK3" s="120"/>
      <c r="EXL3" s="120"/>
      <c r="EXM3" s="120"/>
      <c r="EXN3" s="120"/>
      <c r="EXO3" s="120"/>
      <c r="EXP3" s="120"/>
      <c r="EXQ3" s="120"/>
      <c r="EXR3" s="120"/>
      <c r="EXS3" s="120"/>
      <c r="EXT3" s="120"/>
      <c r="EXU3" s="120"/>
      <c r="EXV3" s="120"/>
      <c r="EXW3" s="120"/>
      <c r="EXX3" s="120"/>
      <c r="EXY3" s="120"/>
      <c r="EXZ3" s="120"/>
      <c r="EYA3" s="120"/>
      <c r="EYB3" s="120"/>
      <c r="EYC3" s="120"/>
      <c r="EYD3" s="120"/>
      <c r="EYE3" s="120"/>
      <c r="EYF3" s="120"/>
      <c r="EYG3" s="120"/>
      <c r="EYH3" s="120"/>
      <c r="EYI3" s="120"/>
      <c r="EYJ3" s="120"/>
      <c r="EYK3" s="120"/>
      <c r="EYL3" s="120"/>
      <c r="EYM3" s="120"/>
      <c r="EYN3" s="120"/>
      <c r="EYO3" s="120"/>
      <c r="EYP3" s="120"/>
      <c r="EYQ3" s="120"/>
      <c r="EYR3" s="120"/>
      <c r="EYS3" s="120"/>
      <c r="EYT3" s="120"/>
      <c r="EYU3" s="120"/>
      <c r="EYV3" s="120"/>
      <c r="EYW3" s="120"/>
      <c r="EYX3" s="120"/>
      <c r="EYY3" s="120"/>
      <c r="EYZ3" s="120"/>
      <c r="EZA3" s="120"/>
      <c r="EZB3" s="120"/>
      <c r="EZC3" s="120"/>
      <c r="EZD3" s="120"/>
      <c r="EZE3" s="120"/>
      <c r="EZF3" s="120"/>
      <c r="EZG3" s="120"/>
      <c r="EZH3" s="120"/>
      <c r="EZI3" s="120"/>
      <c r="EZJ3" s="120"/>
      <c r="EZK3" s="120"/>
      <c r="EZL3" s="120"/>
      <c r="EZM3" s="120"/>
      <c r="EZN3" s="120"/>
      <c r="EZO3" s="120"/>
      <c r="EZP3" s="120"/>
      <c r="EZQ3" s="120"/>
      <c r="EZR3" s="120"/>
      <c r="EZS3" s="120"/>
      <c r="EZT3" s="120"/>
      <c r="EZU3" s="120"/>
      <c r="EZV3" s="120"/>
      <c r="EZW3" s="120"/>
      <c r="EZX3" s="120"/>
      <c r="EZY3" s="120"/>
      <c r="EZZ3" s="120"/>
      <c r="FAA3" s="120"/>
      <c r="FAB3" s="120"/>
      <c r="FAC3" s="120"/>
      <c r="FAD3" s="120"/>
      <c r="FAE3" s="120"/>
      <c r="FAF3" s="120"/>
      <c r="FAG3" s="120"/>
      <c r="FAH3" s="120"/>
      <c r="FAI3" s="120"/>
      <c r="FAJ3" s="120"/>
      <c r="FAK3" s="120"/>
      <c r="FAL3" s="120"/>
      <c r="FAM3" s="120"/>
      <c r="FAN3" s="120"/>
      <c r="FAO3" s="120"/>
      <c r="FAP3" s="120"/>
      <c r="FAQ3" s="120"/>
      <c r="FAR3" s="120"/>
      <c r="FAS3" s="120"/>
      <c r="FAT3" s="120"/>
      <c r="FAU3" s="120"/>
      <c r="FAV3" s="120"/>
      <c r="FAW3" s="120"/>
      <c r="FAX3" s="120"/>
      <c r="FAY3" s="120"/>
      <c r="FAZ3" s="120"/>
      <c r="FBA3" s="120"/>
      <c r="FBB3" s="120"/>
      <c r="FBC3" s="120"/>
      <c r="FBD3" s="120"/>
      <c r="FBE3" s="120"/>
      <c r="FBF3" s="120"/>
      <c r="FBG3" s="120"/>
      <c r="FBH3" s="120"/>
      <c r="FBI3" s="120"/>
      <c r="FBJ3" s="120"/>
      <c r="FBK3" s="120"/>
      <c r="FBL3" s="120"/>
      <c r="FBM3" s="120"/>
      <c r="FBN3" s="120"/>
      <c r="FBO3" s="120"/>
      <c r="FBP3" s="120"/>
      <c r="FBQ3" s="120"/>
      <c r="FBR3" s="120"/>
      <c r="FBS3" s="120"/>
      <c r="FBT3" s="120"/>
      <c r="FBU3" s="120"/>
      <c r="FBV3" s="120"/>
      <c r="FBW3" s="120"/>
      <c r="FBX3" s="120"/>
      <c r="FBY3" s="120"/>
      <c r="FBZ3" s="120"/>
      <c r="FCA3" s="120"/>
      <c r="FCB3" s="120"/>
      <c r="FCC3" s="120"/>
      <c r="FCD3" s="120"/>
      <c r="FCE3" s="120"/>
      <c r="FCF3" s="120"/>
      <c r="FCG3" s="120"/>
      <c r="FCH3" s="120"/>
      <c r="FCI3" s="120"/>
      <c r="FCJ3" s="120"/>
      <c r="FCK3" s="120"/>
      <c r="FCL3" s="120"/>
      <c r="FCM3" s="120"/>
      <c r="FCN3" s="120"/>
      <c r="FCO3" s="120"/>
      <c r="FCP3" s="120"/>
      <c r="FCQ3" s="120"/>
      <c r="FCR3" s="120"/>
      <c r="FCS3" s="120"/>
      <c r="FCT3" s="120"/>
      <c r="FCU3" s="120"/>
      <c r="FCV3" s="120"/>
      <c r="FCW3" s="120"/>
      <c r="FCX3" s="120"/>
      <c r="FCY3" s="120"/>
      <c r="FCZ3" s="120"/>
      <c r="FDA3" s="120"/>
      <c r="FDB3" s="120"/>
      <c r="FDC3" s="120"/>
      <c r="FDD3" s="120"/>
      <c r="FDE3" s="120"/>
      <c r="FDF3" s="120"/>
      <c r="FDG3" s="120"/>
      <c r="FDH3" s="120"/>
      <c r="FDI3" s="120"/>
      <c r="FDJ3" s="120"/>
      <c r="FDK3" s="120"/>
      <c r="FDL3" s="120"/>
      <c r="FDM3" s="120"/>
      <c r="FDN3" s="120"/>
      <c r="FDO3" s="120"/>
      <c r="FDP3" s="120"/>
      <c r="FDQ3" s="120"/>
      <c r="FDR3" s="120"/>
      <c r="FDS3" s="120"/>
      <c r="FDT3" s="120"/>
      <c r="FDU3" s="120"/>
      <c r="FDV3" s="120"/>
      <c r="FDW3" s="120"/>
      <c r="FDX3" s="120"/>
      <c r="FDY3" s="120"/>
      <c r="FDZ3" s="120"/>
      <c r="FEA3" s="120"/>
      <c r="FEB3" s="120"/>
      <c r="FEC3" s="120"/>
      <c r="FED3" s="120"/>
      <c r="FEE3" s="120"/>
      <c r="FEF3" s="120"/>
      <c r="FEG3" s="120"/>
      <c r="FEH3" s="120"/>
      <c r="FEI3" s="120"/>
      <c r="FEJ3" s="120"/>
      <c r="FEK3" s="120"/>
      <c r="FEL3" s="120"/>
      <c r="FEM3" s="120"/>
      <c r="FEN3" s="120"/>
      <c r="FEO3" s="120"/>
      <c r="FEP3" s="120"/>
      <c r="FEQ3" s="120"/>
      <c r="FER3" s="120"/>
      <c r="FES3" s="120"/>
      <c r="FET3" s="120"/>
      <c r="FEU3" s="120"/>
      <c r="FEV3" s="120"/>
      <c r="FEW3" s="120"/>
      <c r="FEX3" s="120"/>
      <c r="FEY3" s="120"/>
      <c r="FEZ3" s="120"/>
      <c r="FFA3" s="120"/>
      <c r="FFB3" s="120"/>
      <c r="FFC3" s="120"/>
      <c r="FFD3" s="120"/>
      <c r="FFE3" s="120"/>
      <c r="FFF3" s="120"/>
      <c r="FFG3" s="120"/>
      <c r="FFH3" s="120"/>
      <c r="FFI3" s="120"/>
      <c r="FFJ3" s="120"/>
      <c r="FFK3" s="120"/>
      <c r="FFL3" s="120"/>
      <c r="FFM3" s="120"/>
      <c r="FFN3" s="120"/>
      <c r="FFO3" s="120"/>
      <c r="FFP3" s="120"/>
      <c r="FFQ3" s="120"/>
      <c r="FFR3" s="120"/>
      <c r="FFS3" s="120"/>
      <c r="FFT3" s="120"/>
      <c r="FFU3" s="120"/>
      <c r="FFV3" s="120"/>
      <c r="FFW3" s="120"/>
      <c r="FFX3" s="120"/>
      <c r="FFY3" s="120"/>
      <c r="FFZ3" s="120"/>
      <c r="FGA3" s="120"/>
      <c r="FGB3" s="120"/>
      <c r="FGC3" s="120"/>
      <c r="FGD3" s="120"/>
      <c r="FGE3" s="120"/>
      <c r="FGF3" s="120"/>
      <c r="FGG3" s="120"/>
      <c r="FGH3" s="120"/>
      <c r="FGI3" s="120"/>
      <c r="FGJ3" s="120"/>
      <c r="FGK3" s="120"/>
      <c r="FGL3" s="120"/>
      <c r="FGM3" s="120"/>
      <c r="FGN3" s="120"/>
      <c r="FGO3" s="120"/>
      <c r="FGP3" s="120"/>
      <c r="FGQ3" s="120"/>
      <c r="FGR3" s="120"/>
      <c r="FGS3" s="120"/>
      <c r="FGT3" s="120"/>
      <c r="FGU3" s="120"/>
      <c r="FGV3" s="120"/>
      <c r="FGW3" s="120"/>
      <c r="FGX3" s="120"/>
      <c r="FGY3" s="120"/>
      <c r="FGZ3" s="120"/>
      <c r="FHA3" s="120"/>
      <c r="FHB3" s="120"/>
      <c r="FHC3" s="120"/>
      <c r="FHD3" s="120"/>
      <c r="FHE3" s="120"/>
      <c r="FHF3" s="120"/>
      <c r="FHG3" s="120"/>
      <c r="FHH3" s="120"/>
      <c r="FHI3" s="120"/>
      <c r="FHJ3" s="120"/>
      <c r="FHK3" s="120"/>
      <c r="FHL3" s="120"/>
      <c r="FHM3" s="120"/>
      <c r="FHN3" s="120"/>
      <c r="FHO3" s="120"/>
      <c r="FHP3" s="120"/>
      <c r="FHQ3" s="120"/>
      <c r="FHR3" s="120"/>
      <c r="FHS3" s="120"/>
      <c r="FHT3" s="120"/>
      <c r="FHU3" s="120"/>
      <c r="FHV3" s="120"/>
      <c r="FHW3" s="120"/>
      <c r="FHX3" s="120"/>
      <c r="FHY3" s="120"/>
      <c r="FHZ3" s="120"/>
      <c r="FIA3" s="120"/>
      <c r="FIB3" s="120"/>
      <c r="FIC3" s="120"/>
      <c r="FID3" s="120"/>
      <c r="FIE3" s="120"/>
      <c r="FIF3" s="120"/>
      <c r="FIG3" s="120"/>
      <c r="FIH3" s="120"/>
      <c r="FII3" s="120"/>
      <c r="FIJ3" s="120"/>
      <c r="FIK3" s="120"/>
      <c r="FIL3" s="120"/>
      <c r="FIM3" s="120"/>
      <c r="FIN3" s="120"/>
      <c r="FIO3" s="120"/>
      <c r="FIP3" s="120"/>
      <c r="FIQ3" s="120"/>
      <c r="FIR3" s="120"/>
      <c r="FIS3" s="120"/>
      <c r="FIT3" s="120"/>
      <c r="FIU3" s="120"/>
      <c r="FIV3" s="120"/>
      <c r="FIW3" s="120"/>
      <c r="FIX3" s="120"/>
      <c r="FIY3" s="120"/>
      <c r="FIZ3" s="120"/>
      <c r="FJA3" s="120"/>
      <c r="FJB3" s="120"/>
      <c r="FJC3" s="120"/>
      <c r="FJD3" s="120"/>
      <c r="FJE3" s="120"/>
      <c r="FJF3" s="120"/>
      <c r="FJG3" s="120"/>
      <c r="FJH3" s="120"/>
      <c r="FJI3" s="120"/>
      <c r="FJJ3" s="120"/>
      <c r="FJK3" s="120"/>
      <c r="FJL3" s="120"/>
      <c r="FJM3" s="120"/>
      <c r="FJN3" s="120"/>
      <c r="FJO3" s="120"/>
      <c r="FJP3" s="120"/>
      <c r="FJQ3" s="120"/>
      <c r="FJR3" s="120"/>
      <c r="FJS3" s="120"/>
      <c r="FJT3" s="120"/>
      <c r="FJU3" s="120"/>
      <c r="FJV3" s="120"/>
      <c r="FJW3" s="120"/>
      <c r="FJX3" s="120"/>
      <c r="FJY3" s="120"/>
      <c r="FJZ3" s="120"/>
      <c r="FKA3" s="120"/>
      <c r="FKB3" s="120"/>
      <c r="FKC3" s="120"/>
      <c r="FKD3" s="120"/>
      <c r="FKE3" s="120"/>
      <c r="FKF3" s="120"/>
      <c r="FKG3" s="120"/>
      <c r="FKH3" s="120"/>
      <c r="FKI3" s="120"/>
      <c r="FKJ3" s="120"/>
      <c r="FKK3" s="120"/>
      <c r="FKL3" s="120"/>
      <c r="FKM3" s="120"/>
      <c r="FKN3" s="120"/>
      <c r="FKO3" s="120"/>
      <c r="FKP3" s="120"/>
      <c r="FKQ3" s="120"/>
      <c r="FKR3" s="120"/>
      <c r="FKS3" s="120"/>
      <c r="FKT3" s="120"/>
      <c r="FKU3" s="120"/>
      <c r="FKV3" s="120"/>
      <c r="FKW3" s="120"/>
      <c r="FKX3" s="120"/>
      <c r="FKY3" s="120"/>
      <c r="FKZ3" s="120"/>
      <c r="FLA3" s="120"/>
      <c r="FLB3" s="120"/>
      <c r="FLC3" s="120"/>
      <c r="FLD3" s="120"/>
      <c r="FLE3" s="120"/>
      <c r="FLF3" s="120"/>
      <c r="FLG3" s="120"/>
      <c r="FLH3" s="120"/>
      <c r="FLI3" s="120"/>
      <c r="FLJ3" s="120"/>
      <c r="FLK3" s="120"/>
      <c r="FLL3" s="120"/>
      <c r="FLM3" s="120"/>
      <c r="FLN3" s="120"/>
      <c r="FLO3" s="120"/>
      <c r="FLP3" s="120"/>
      <c r="FLQ3" s="120"/>
      <c r="FLR3" s="120"/>
      <c r="FLS3" s="120"/>
      <c r="FLT3" s="120"/>
      <c r="FLU3" s="120"/>
      <c r="FLV3" s="120"/>
      <c r="FLW3" s="120"/>
      <c r="FLX3" s="120"/>
      <c r="FLY3" s="120"/>
      <c r="FLZ3" s="120"/>
      <c r="FMA3" s="120"/>
      <c r="FMB3" s="120"/>
      <c r="FMC3" s="120"/>
      <c r="FMD3" s="120"/>
      <c r="FME3" s="120"/>
      <c r="FMF3" s="120"/>
      <c r="FMG3" s="120"/>
      <c r="FMH3" s="120"/>
      <c r="FMI3" s="120"/>
      <c r="FMJ3" s="120"/>
      <c r="FMK3" s="120"/>
      <c r="FML3" s="120"/>
      <c r="FMM3" s="120"/>
      <c r="FMN3" s="120"/>
      <c r="FMO3" s="120"/>
      <c r="FMP3" s="120"/>
      <c r="FMQ3" s="120"/>
      <c r="FMR3" s="120"/>
      <c r="FMS3" s="120"/>
      <c r="FMT3" s="120"/>
      <c r="FMU3" s="120"/>
      <c r="FMV3" s="120"/>
      <c r="FMW3" s="120"/>
      <c r="FMX3" s="120"/>
      <c r="FMY3" s="120"/>
      <c r="FMZ3" s="120"/>
      <c r="FNA3" s="120"/>
      <c r="FNB3" s="120"/>
      <c r="FNC3" s="120"/>
      <c r="FND3" s="120"/>
      <c r="FNE3" s="120"/>
      <c r="FNF3" s="120"/>
      <c r="FNG3" s="120"/>
      <c r="FNH3" s="120"/>
      <c r="FNI3" s="120"/>
      <c r="FNJ3" s="120"/>
      <c r="FNK3" s="120"/>
      <c r="FNL3" s="120"/>
      <c r="FNM3" s="120"/>
      <c r="FNN3" s="120"/>
      <c r="FNO3" s="120"/>
      <c r="FNP3" s="120"/>
      <c r="FNQ3" s="120"/>
      <c r="FNR3" s="120"/>
      <c r="FNS3" s="120"/>
      <c r="FNT3" s="120"/>
      <c r="FNU3" s="120"/>
      <c r="FNV3" s="120"/>
      <c r="FNW3" s="120"/>
      <c r="FNX3" s="120"/>
      <c r="FNY3" s="120"/>
      <c r="FNZ3" s="120"/>
      <c r="FOA3" s="120"/>
      <c r="FOB3" s="120"/>
      <c r="FOC3" s="120"/>
      <c r="FOD3" s="120"/>
      <c r="FOE3" s="120"/>
      <c r="FOF3" s="120"/>
      <c r="FOG3" s="120"/>
      <c r="FOH3" s="120"/>
      <c r="FOI3" s="120"/>
      <c r="FOJ3" s="120"/>
      <c r="FOK3" s="120"/>
      <c r="FOL3" s="120"/>
      <c r="FOM3" s="120"/>
      <c r="FON3" s="120"/>
      <c r="FOO3" s="120"/>
      <c r="FOP3" s="120"/>
      <c r="FOQ3" s="120"/>
      <c r="FOR3" s="120"/>
      <c r="FOS3" s="120"/>
      <c r="FOT3" s="120"/>
      <c r="FOU3" s="120"/>
      <c r="FOV3" s="120"/>
      <c r="FOW3" s="120"/>
      <c r="FOX3" s="120"/>
      <c r="FOY3" s="120"/>
      <c r="FOZ3" s="120"/>
      <c r="FPA3" s="120"/>
      <c r="FPB3" s="120"/>
      <c r="FPC3" s="120"/>
      <c r="FPD3" s="120"/>
      <c r="FPE3" s="120"/>
      <c r="FPF3" s="120"/>
      <c r="FPG3" s="120"/>
      <c r="FPH3" s="120"/>
      <c r="FPI3" s="120"/>
      <c r="FPJ3" s="120"/>
      <c r="FPK3" s="120"/>
      <c r="FPL3" s="120"/>
      <c r="FPM3" s="120"/>
      <c r="FPN3" s="120"/>
      <c r="FPO3" s="120"/>
      <c r="FPP3" s="120"/>
      <c r="FPQ3" s="120"/>
      <c r="FPR3" s="120"/>
      <c r="FPS3" s="120"/>
      <c r="FPT3" s="120"/>
      <c r="FPU3" s="120"/>
      <c r="FPV3" s="120"/>
      <c r="FPW3" s="120"/>
      <c r="FPX3" s="120"/>
      <c r="FPY3" s="120"/>
      <c r="FPZ3" s="120"/>
      <c r="FQA3" s="120"/>
      <c r="FQB3" s="120"/>
      <c r="FQC3" s="120"/>
      <c r="FQD3" s="120"/>
      <c r="FQE3" s="120"/>
      <c r="FQF3" s="120"/>
      <c r="FQG3" s="120"/>
      <c r="FQH3" s="120"/>
      <c r="FQI3" s="120"/>
      <c r="FQJ3" s="120"/>
      <c r="FQK3" s="120"/>
      <c r="FQL3" s="120"/>
      <c r="FQM3" s="120"/>
      <c r="FQN3" s="120"/>
      <c r="FQO3" s="120"/>
      <c r="FQP3" s="120"/>
      <c r="FQQ3" s="120"/>
      <c r="FQR3" s="120"/>
      <c r="FQS3" s="120"/>
      <c r="FQT3" s="120"/>
      <c r="FQU3" s="120"/>
      <c r="FQV3" s="120"/>
      <c r="FQW3" s="120"/>
      <c r="FQX3" s="120"/>
      <c r="FQY3" s="120"/>
      <c r="FQZ3" s="120"/>
      <c r="FRA3" s="120"/>
      <c r="FRB3" s="120"/>
      <c r="FRC3" s="120"/>
      <c r="FRD3" s="120"/>
      <c r="FRE3" s="120"/>
      <c r="FRF3" s="120"/>
      <c r="FRG3" s="120"/>
      <c r="FRH3" s="120"/>
      <c r="FRI3" s="120"/>
      <c r="FRJ3" s="120"/>
      <c r="FRK3" s="120"/>
      <c r="FRL3" s="120"/>
      <c r="FRM3" s="120"/>
      <c r="FRN3" s="120"/>
      <c r="FRO3" s="120"/>
      <c r="FRP3" s="120"/>
      <c r="FRQ3" s="120"/>
      <c r="FRR3" s="120"/>
      <c r="FRS3" s="120"/>
      <c r="FRT3" s="120"/>
      <c r="FRU3" s="120"/>
      <c r="FRV3" s="120"/>
      <c r="FRW3" s="120"/>
      <c r="FRX3" s="120"/>
      <c r="FRY3" s="120"/>
      <c r="FRZ3" s="120"/>
      <c r="FSA3" s="120"/>
      <c r="FSB3" s="120"/>
      <c r="FSC3" s="120"/>
      <c r="FSD3" s="120"/>
      <c r="FSE3" s="120"/>
      <c r="FSF3" s="120"/>
      <c r="FSG3" s="120"/>
      <c r="FSH3" s="120"/>
      <c r="FSI3" s="120"/>
      <c r="FSJ3" s="120"/>
      <c r="FSK3" s="120"/>
      <c r="FSL3" s="120"/>
      <c r="FSM3" s="120"/>
      <c r="FSN3" s="120"/>
      <c r="FSO3" s="120"/>
      <c r="FSP3" s="120"/>
      <c r="FSQ3" s="120"/>
      <c r="FSR3" s="120"/>
      <c r="FSS3" s="120"/>
      <c r="FST3" s="120"/>
      <c r="FSU3" s="120"/>
      <c r="FSV3" s="120"/>
      <c r="FSW3" s="120"/>
      <c r="FSX3" s="120"/>
      <c r="FSY3" s="120"/>
      <c r="FSZ3" s="120"/>
      <c r="FTA3" s="120"/>
      <c r="FTB3" s="120"/>
      <c r="FTC3" s="120"/>
      <c r="FTD3" s="120"/>
      <c r="FTE3" s="120"/>
      <c r="FTF3" s="120"/>
      <c r="FTG3" s="120"/>
      <c r="FTH3" s="120"/>
      <c r="FTI3" s="120"/>
      <c r="FTJ3" s="120"/>
      <c r="FTK3" s="120"/>
      <c r="FTL3" s="120"/>
      <c r="FTM3" s="120"/>
      <c r="FTN3" s="120"/>
      <c r="FTO3" s="120"/>
      <c r="FTP3" s="120"/>
      <c r="FTQ3" s="120"/>
      <c r="FTR3" s="120"/>
      <c r="FTS3" s="120"/>
      <c r="FTT3" s="120"/>
      <c r="FTU3" s="120"/>
      <c r="FTV3" s="120"/>
      <c r="FTW3" s="120"/>
      <c r="FTX3" s="120"/>
      <c r="FTY3" s="120"/>
      <c r="FTZ3" s="120"/>
      <c r="FUA3" s="120"/>
      <c r="FUB3" s="120"/>
      <c r="FUC3" s="120"/>
      <c r="FUD3" s="120"/>
      <c r="FUE3" s="120"/>
      <c r="FUF3" s="120"/>
      <c r="FUG3" s="120"/>
      <c r="FUH3" s="120"/>
      <c r="FUI3" s="120"/>
      <c r="FUJ3" s="120"/>
      <c r="FUK3" s="120"/>
      <c r="FUL3" s="120"/>
      <c r="FUM3" s="120"/>
      <c r="FUN3" s="120"/>
      <c r="FUO3" s="120"/>
      <c r="FUP3" s="120"/>
      <c r="FUQ3" s="120"/>
      <c r="FUR3" s="120"/>
      <c r="FUS3" s="120"/>
      <c r="FUT3" s="120"/>
      <c r="FUU3" s="120"/>
      <c r="FUV3" s="120"/>
      <c r="FUW3" s="120"/>
      <c r="FUX3" s="120"/>
      <c r="FUY3" s="120"/>
      <c r="FUZ3" s="120"/>
      <c r="FVA3" s="120"/>
      <c r="FVB3" s="120"/>
      <c r="FVC3" s="120"/>
      <c r="FVD3" s="120"/>
      <c r="FVE3" s="120"/>
      <c r="FVF3" s="120"/>
      <c r="FVG3" s="120"/>
      <c r="FVH3" s="120"/>
      <c r="FVI3" s="120"/>
      <c r="FVJ3" s="120"/>
      <c r="FVK3" s="120"/>
      <c r="FVL3" s="120"/>
      <c r="FVM3" s="120"/>
      <c r="FVN3" s="120"/>
      <c r="FVO3" s="120"/>
      <c r="FVP3" s="120"/>
      <c r="FVQ3" s="120"/>
      <c r="FVR3" s="120"/>
      <c r="FVS3" s="120"/>
      <c r="FVT3" s="120"/>
      <c r="FVU3" s="120"/>
      <c r="FVV3" s="120"/>
      <c r="FVW3" s="120"/>
      <c r="FVX3" s="120"/>
      <c r="FVY3" s="120"/>
      <c r="FVZ3" s="120"/>
      <c r="FWA3" s="120"/>
      <c r="FWB3" s="120"/>
      <c r="FWC3" s="120"/>
      <c r="FWD3" s="120"/>
      <c r="FWE3" s="120"/>
      <c r="FWF3" s="120"/>
      <c r="FWG3" s="120"/>
      <c r="FWH3" s="120"/>
      <c r="FWI3" s="120"/>
      <c r="FWJ3" s="120"/>
      <c r="FWK3" s="120"/>
      <c r="FWL3" s="120"/>
      <c r="FWM3" s="120"/>
      <c r="FWN3" s="120"/>
      <c r="FWO3" s="120"/>
      <c r="FWP3" s="120"/>
      <c r="FWQ3" s="120"/>
      <c r="FWR3" s="120"/>
      <c r="FWS3" s="120"/>
      <c r="FWT3" s="120"/>
      <c r="FWU3" s="120"/>
      <c r="FWV3" s="120"/>
      <c r="FWW3" s="120"/>
      <c r="FWX3" s="120"/>
      <c r="FWY3" s="120"/>
      <c r="FWZ3" s="120"/>
      <c r="FXA3" s="120"/>
      <c r="FXB3" s="120"/>
      <c r="FXC3" s="120"/>
      <c r="FXD3" s="120"/>
      <c r="FXE3" s="120"/>
      <c r="FXF3" s="120"/>
      <c r="FXG3" s="120"/>
      <c r="FXH3" s="120"/>
      <c r="FXI3" s="120"/>
      <c r="FXJ3" s="120"/>
      <c r="FXK3" s="120"/>
      <c r="FXL3" s="120"/>
      <c r="FXM3" s="120"/>
      <c r="FXN3" s="120"/>
      <c r="FXO3" s="120"/>
      <c r="FXP3" s="120"/>
      <c r="FXQ3" s="120"/>
      <c r="FXR3" s="120"/>
      <c r="FXS3" s="120"/>
      <c r="FXT3" s="120"/>
      <c r="FXU3" s="120"/>
      <c r="FXV3" s="120"/>
      <c r="FXW3" s="120"/>
      <c r="FXX3" s="120"/>
      <c r="FXY3" s="120"/>
      <c r="FXZ3" s="120"/>
      <c r="FYA3" s="120"/>
      <c r="FYB3" s="120"/>
      <c r="FYC3" s="120"/>
      <c r="FYD3" s="120"/>
      <c r="FYE3" s="120"/>
      <c r="FYF3" s="120"/>
      <c r="FYG3" s="120"/>
      <c r="FYH3" s="120"/>
      <c r="FYI3" s="120"/>
      <c r="FYJ3" s="120"/>
      <c r="FYK3" s="120"/>
      <c r="FYL3" s="120"/>
      <c r="FYM3" s="120"/>
      <c r="FYN3" s="120"/>
      <c r="FYO3" s="120"/>
      <c r="FYP3" s="120"/>
      <c r="FYQ3" s="120"/>
      <c r="FYR3" s="120"/>
      <c r="FYS3" s="120"/>
      <c r="FYT3" s="120"/>
      <c r="FYU3" s="120"/>
      <c r="FYV3" s="120"/>
      <c r="FYW3" s="120"/>
      <c r="FYX3" s="120"/>
      <c r="FYY3" s="120"/>
      <c r="FYZ3" s="120"/>
      <c r="FZA3" s="120"/>
      <c r="FZB3" s="120"/>
      <c r="FZC3" s="120"/>
      <c r="FZD3" s="120"/>
      <c r="FZE3" s="120"/>
      <c r="FZF3" s="120"/>
      <c r="FZG3" s="120"/>
      <c r="FZH3" s="120"/>
      <c r="FZI3" s="120"/>
      <c r="FZJ3" s="120"/>
      <c r="FZK3" s="120"/>
      <c r="FZL3" s="120"/>
      <c r="FZM3" s="120"/>
      <c r="FZN3" s="120"/>
      <c r="FZO3" s="120"/>
      <c r="FZP3" s="120"/>
      <c r="FZQ3" s="120"/>
      <c r="FZR3" s="120"/>
      <c r="FZS3" s="120"/>
      <c r="FZT3" s="120"/>
      <c r="FZU3" s="120"/>
      <c r="FZV3" s="120"/>
      <c r="FZW3" s="120"/>
      <c r="FZX3" s="120"/>
      <c r="FZY3" s="120"/>
      <c r="FZZ3" s="120"/>
      <c r="GAA3" s="120"/>
      <c r="GAB3" s="120"/>
      <c r="GAC3" s="120"/>
      <c r="GAD3" s="120"/>
      <c r="GAE3" s="120"/>
      <c r="GAF3" s="120"/>
      <c r="GAG3" s="120"/>
      <c r="GAH3" s="120"/>
      <c r="GAI3" s="120"/>
      <c r="GAJ3" s="120"/>
      <c r="GAK3" s="120"/>
      <c r="GAL3" s="120"/>
      <c r="GAM3" s="120"/>
      <c r="GAN3" s="120"/>
      <c r="GAO3" s="120"/>
      <c r="GAP3" s="120"/>
      <c r="GAQ3" s="120"/>
      <c r="GAR3" s="120"/>
      <c r="GAS3" s="120"/>
      <c r="GAT3" s="120"/>
      <c r="GAU3" s="120"/>
      <c r="GAV3" s="120"/>
      <c r="GAW3" s="120"/>
      <c r="GAX3" s="120"/>
      <c r="GAY3" s="120"/>
      <c r="GAZ3" s="120"/>
      <c r="GBA3" s="120"/>
      <c r="GBB3" s="120"/>
      <c r="GBC3" s="120"/>
      <c r="GBD3" s="120"/>
      <c r="GBE3" s="120"/>
      <c r="GBF3" s="120"/>
      <c r="GBG3" s="120"/>
      <c r="GBH3" s="120"/>
      <c r="GBI3" s="120"/>
      <c r="GBJ3" s="120"/>
      <c r="GBK3" s="120"/>
      <c r="GBL3" s="120"/>
      <c r="GBM3" s="120"/>
      <c r="GBN3" s="120"/>
      <c r="GBO3" s="120"/>
      <c r="GBP3" s="120"/>
      <c r="GBQ3" s="120"/>
      <c r="GBR3" s="120"/>
      <c r="GBS3" s="120"/>
      <c r="GBT3" s="120"/>
      <c r="GBU3" s="120"/>
      <c r="GBV3" s="120"/>
      <c r="GBW3" s="120"/>
      <c r="GBX3" s="120"/>
      <c r="GBY3" s="120"/>
      <c r="GBZ3" s="120"/>
      <c r="GCA3" s="120"/>
      <c r="GCB3" s="120"/>
      <c r="GCC3" s="120"/>
      <c r="GCD3" s="120"/>
      <c r="GCE3" s="120"/>
      <c r="GCF3" s="120"/>
      <c r="GCG3" s="120"/>
      <c r="GCH3" s="120"/>
      <c r="GCI3" s="120"/>
      <c r="GCJ3" s="120"/>
      <c r="GCK3" s="120"/>
      <c r="GCL3" s="120"/>
      <c r="GCM3" s="120"/>
      <c r="GCN3" s="120"/>
      <c r="GCO3" s="120"/>
      <c r="GCP3" s="120"/>
      <c r="GCQ3" s="120"/>
      <c r="GCR3" s="120"/>
      <c r="GCS3" s="120"/>
      <c r="GCT3" s="120"/>
      <c r="GCU3" s="120"/>
      <c r="GCV3" s="120"/>
      <c r="GCW3" s="120"/>
      <c r="GCX3" s="120"/>
      <c r="GCY3" s="120"/>
      <c r="GCZ3" s="120"/>
      <c r="GDA3" s="120"/>
      <c r="GDB3" s="120"/>
      <c r="GDC3" s="120"/>
      <c r="GDD3" s="120"/>
      <c r="GDE3" s="120"/>
      <c r="GDF3" s="120"/>
      <c r="GDG3" s="120"/>
      <c r="GDH3" s="120"/>
      <c r="GDI3" s="120"/>
      <c r="GDJ3" s="120"/>
      <c r="GDK3" s="120"/>
      <c r="GDL3" s="120"/>
      <c r="GDM3" s="120"/>
      <c r="GDN3" s="120"/>
      <c r="GDO3" s="120"/>
      <c r="GDP3" s="120"/>
      <c r="GDQ3" s="120"/>
      <c r="GDR3" s="120"/>
      <c r="GDS3" s="120"/>
      <c r="GDT3" s="120"/>
      <c r="GDU3" s="120"/>
      <c r="GDV3" s="120"/>
      <c r="GDW3" s="120"/>
      <c r="GDX3" s="120"/>
      <c r="GDY3" s="120"/>
      <c r="GDZ3" s="120"/>
      <c r="GEA3" s="120"/>
      <c r="GEB3" s="120"/>
      <c r="GEC3" s="120"/>
      <c r="GED3" s="120"/>
      <c r="GEE3" s="120"/>
      <c r="GEF3" s="120"/>
      <c r="GEG3" s="120"/>
      <c r="GEH3" s="120"/>
      <c r="GEI3" s="120"/>
      <c r="GEJ3" s="120"/>
      <c r="GEK3" s="120"/>
      <c r="GEL3" s="120"/>
      <c r="GEM3" s="120"/>
      <c r="GEN3" s="120"/>
      <c r="GEO3" s="120"/>
      <c r="GEP3" s="120"/>
      <c r="GEQ3" s="120"/>
      <c r="GER3" s="120"/>
      <c r="GES3" s="120"/>
      <c r="GET3" s="120"/>
      <c r="GEU3" s="120"/>
      <c r="GEV3" s="120"/>
      <c r="GEW3" s="120"/>
      <c r="GEX3" s="120"/>
      <c r="GEY3" s="120"/>
      <c r="GEZ3" s="120"/>
      <c r="GFA3" s="120"/>
      <c r="GFB3" s="120"/>
      <c r="GFC3" s="120"/>
      <c r="GFD3" s="120"/>
      <c r="GFE3" s="120"/>
      <c r="GFF3" s="120"/>
      <c r="GFG3" s="120"/>
      <c r="GFH3" s="120"/>
      <c r="GFI3" s="120"/>
      <c r="GFJ3" s="120"/>
      <c r="GFK3" s="120"/>
      <c r="GFL3" s="120"/>
      <c r="GFM3" s="120"/>
      <c r="GFN3" s="120"/>
      <c r="GFO3" s="120"/>
      <c r="GFP3" s="120"/>
      <c r="GFQ3" s="120"/>
      <c r="GFR3" s="120"/>
      <c r="GFS3" s="120"/>
      <c r="GFT3" s="120"/>
      <c r="GFU3" s="120"/>
      <c r="GFV3" s="120"/>
      <c r="GFW3" s="120"/>
      <c r="GFX3" s="120"/>
      <c r="GFY3" s="120"/>
      <c r="GFZ3" s="120"/>
      <c r="GGA3" s="120"/>
      <c r="GGB3" s="120"/>
      <c r="GGC3" s="120"/>
      <c r="GGD3" s="120"/>
      <c r="GGE3" s="120"/>
      <c r="GGF3" s="120"/>
      <c r="GGG3" s="120"/>
      <c r="GGH3" s="120"/>
      <c r="GGI3" s="120"/>
      <c r="GGJ3" s="120"/>
      <c r="GGK3" s="120"/>
      <c r="GGL3" s="120"/>
      <c r="GGM3" s="120"/>
      <c r="GGN3" s="120"/>
      <c r="GGO3" s="120"/>
      <c r="GGP3" s="120"/>
      <c r="GGQ3" s="120"/>
      <c r="GGR3" s="120"/>
      <c r="GGS3" s="120"/>
      <c r="GGT3" s="120"/>
      <c r="GGU3" s="120"/>
      <c r="GGV3" s="120"/>
      <c r="GGW3" s="120"/>
      <c r="GGX3" s="120"/>
      <c r="GGY3" s="120"/>
      <c r="GGZ3" s="120"/>
      <c r="GHA3" s="120"/>
      <c r="GHB3" s="120"/>
      <c r="GHC3" s="120"/>
      <c r="GHD3" s="120"/>
      <c r="GHE3" s="120"/>
      <c r="GHF3" s="120"/>
      <c r="GHG3" s="120"/>
      <c r="GHH3" s="120"/>
      <c r="GHI3" s="120"/>
      <c r="GHJ3" s="120"/>
      <c r="GHK3" s="120"/>
      <c r="GHL3" s="120"/>
      <c r="GHM3" s="120"/>
      <c r="GHN3" s="120"/>
      <c r="GHO3" s="120"/>
      <c r="GHP3" s="120"/>
      <c r="GHQ3" s="120"/>
      <c r="GHR3" s="120"/>
      <c r="GHS3" s="120"/>
      <c r="GHT3" s="120"/>
      <c r="GHU3" s="120"/>
      <c r="GHV3" s="120"/>
      <c r="GHW3" s="120"/>
      <c r="GHX3" s="120"/>
      <c r="GHY3" s="120"/>
      <c r="GHZ3" s="120"/>
      <c r="GIA3" s="120"/>
      <c r="GIB3" s="120"/>
      <c r="GIC3" s="120"/>
      <c r="GID3" s="120"/>
      <c r="GIE3" s="120"/>
      <c r="GIF3" s="120"/>
      <c r="GIG3" s="120"/>
      <c r="GIH3" s="120"/>
      <c r="GII3" s="120"/>
      <c r="GIJ3" s="120"/>
      <c r="GIK3" s="120"/>
      <c r="GIL3" s="120"/>
      <c r="GIM3" s="120"/>
      <c r="GIN3" s="120"/>
      <c r="GIO3" s="120"/>
      <c r="GIP3" s="120"/>
      <c r="GIQ3" s="120"/>
      <c r="GIR3" s="120"/>
      <c r="GIS3" s="120"/>
      <c r="GIT3" s="120"/>
      <c r="GIU3" s="120"/>
      <c r="GIV3" s="120"/>
      <c r="GIW3" s="120"/>
      <c r="GIX3" s="120"/>
      <c r="GIY3" s="120"/>
      <c r="GIZ3" s="120"/>
      <c r="GJA3" s="120"/>
      <c r="GJB3" s="120"/>
      <c r="GJC3" s="120"/>
      <c r="GJD3" s="120"/>
      <c r="GJE3" s="120"/>
      <c r="GJF3" s="120"/>
      <c r="GJG3" s="120"/>
      <c r="GJH3" s="120"/>
      <c r="GJI3" s="120"/>
      <c r="GJJ3" s="120"/>
      <c r="GJK3" s="120"/>
      <c r="GJL3" s="120"/>
      <c r="GJM3" s="120"/>
      <c r="GJN3" s="120"/>
      <c r="GJO3" s="120"/>
      <c r="GJP3" s="120"/>
      <c r="GJQ3" s="120"/>
      <c r="GJR3" s="120"/>
      <c r="GJS3" s="120"/>
      <c r="GJT3" s="120"/>
      <c r="GJU3" s="120"/>
      <c r="GJV3" s="120"/>
      <c r="GJW3" s="120"/>
      <c r="GJX3" s="120"/>
      <c r="GJY3" s="120"/>
      <c r="GJZ3" s="120"/>
      <c r="GKA3" s="120"/>
      <c r="GKB3" s="120"/>
      <c r="GKC3" s="120"/>
      <c r="GKD3" s="120"/>
      <c r="GKE3" s="120"/>
      <c r="GKF3" s="120"/>
      <c r="GKG3" s="120"/>
      <c r="GKH3" s="120"/>
      <c r="GKI3" s="120"/>
      <c r="GKJ3" s="120"/>
      <c r="GKK3" s="120"/>
      <c r="GKL3" s="120"/>
      <c r="GKM3" s="120"/>
      <c r="GKN3" s="120"/>
      <c r="GKO3" s="120"/>
      <c r="GKP3" s="120"/>
      <c r="GKQ3" s="120"/>
      <c r="GKR3" s="120"/>
      <c r="GKS3" s="120"/>
      <c r="GKT3" s="120"/>
      <c r="GKU3" s="120"/>
      <c r="GKV3" s="120"/>
      <c r="GKW3" s="120"/>
      <c r="GKX3" s="120"/>
      <c r="GKY3" s="120"/>
      <c r="GKZ3" s="120"/>
      <c r="GLA3" s="120"/>
      <c r="GLB3" s="120"/>
      <c r="GLC3" s="120"/>
      <c r="GLD3" s="120"/>
      <c r="GLE3" s="120"/>
      <c r="GLF3" s="120"/>
      <c r="GLG3" s="120"/>
      <c r="GLH3" s="120"/>
      <c r="GLI3" s="120"/>
      <c r="GLJ3" s="120"/>
      <c r="GLK3" s="120"/>
      <c r="GLL3" s="120"/>
      <c r="GLM3" s="120"/>
      <c r="GLN3" s="120"/>
      <c r="GLO3" s="120"/>
      <c r="GLP3" s="120"/>
      <c r="GLQ3" s="120"/>
      <c r="GLR3" s="120"/>
      <c r="GLS3" s="120"/>
      <c r="GLT3" s="120"/>
      <c r="GLU3" s="120"/>
      <c r="GLV3" s="120"/>
      <c r="GLW3" s="120"/>
      <c r="GLX3" s="120"/>
      <c r="GLY3" s="120"/>
      <c r="GLZ3" s="120"/>
      <c r="GMA3" s="120"/>
      <c r="GMB3" s="120"/>
      <c r="GMC3" s="120"/>
      <c r="GMD3" s="120"/>
      <c r="GME3" s="120"/>
      <c r="GMF3" s="120"/>
      <c r="GMG3" s="120"/>
      <c r="GMH3" s="120"/>
      <c r="GMI3" s="120"/>
      <c r="GMJ3" s="120"/>
      <c r="GMK3" s="120"/>
      <c r="GML3" s="120"/>
      <c r="GMM3" s="120"/>
      <c r="GMN3" s="120"/>
      <c r="GMO3" s="120"/>
      <c r="GMP3" s="120"/>
      <c r="GMQ3" s="120"/>
      <c r="GMR3" s="120"/>
      <c r="GMS3" s="120"/>
      <c r="GMT3" s="120"/>
      <c r="GMU3" s="120"/>
      <c r="GMV3" s="120"/>
      <c r="GMW3" s="120"/>
      <c r="GMX3" s="120"/>
      <c r="GMY3" s="120"/>
      <c r="GMZ3" s="120"/>
      <c r="GNA3" s="120"/>
      <c r="GNB3" s="120"/>
      <c r="GNC3" s="120"/>
      <c r="GND3" s="120"/>
      <c r="GNE3" s="120"/>
      <c r="GNF3" s="120"/>
      <c r="GNG3" s="120"/>
      <c r="GNH3" s="120"/>
      <c r="GNI3" s="120"/>
      <c r="GNJ3" s="120"/>
      <c r="GNK3" s="120"/>
      <c r="GNL3" s="120"/>
      <c r="GNM3" s="120"/>
      <c r="GNN3" s="120"/>
      <c r="GNO3" s="120"/>
      <c r="GNP3" s="120"/>
      <c r="GNQ3" s="120"/>
      <c r="GNR3" s="120"/>
      <c r="GNS3" s="120"/>
      <c r="GNT3" s="120"/>
      <c r="GNU3" s="120"/>
      <c r="GNV3" s="120"/>
      <c r="GNW3" s="120"/>
      <c r="GNX3" s="120"/>
      <c r="GNY3" s="120"/>
      <c r="GNZ3" s="120"/>
      <c r="GOA3" s="120"/>
      <c r="GOB3" s="120"/>
      <c r="GOC3" s="120"/>
      <c r="GOD3" s="120"/>
      <c r="GOE3" s="120"/>
      <c r="GOF3" s="120"/>
      <c r="GOG3" s="120"/>
      <c r="GOH3" s="120"/>
      <c r="GOI3" s="120"/>
      <c r="GOJ3" s="120"/>
      <c r="GOK3" s="120"/>
      <c r="GOL3" s="120"/>
      <c r="GOM3" s="120"/>
      <c r="GON3" s="120"/>
      <c r="GOO3" s="120"/>
      <c r="GOP3" s="120"/>
      <c r="GOQ3" s="120"/>
      <c r="GOR3" s="120"/>
      <c r="GOS3" s="120"/>
      <c r="GOT3" s="120"/>
      <c r="GOU3" s="120"/>
      <c r="GOV3" s="120"/>
      <c r="GOW3" s="120"/>
      <c r="GOX3" s="120"/>
      <c r="GOY3" s="120"/>
      <c r="GOZ3" s="120"/>
      <c r="GPA3" s="120"/>
      <c r="GPB3" s="120"/>
      <c r="GPC3" s="120"/>
      <c r="GPD3" s="120"/>
      <c r="GPE3" s="120"/>
      <c r="GPF3" s="120"/>
      <c r="GPG3" s="120"/>
      <c r="GPH3" s="120"/>
      <c r="GPI3" s="120"/>
      <c r="GPJ3" s="120"/>
      <c r="GPK3" s="120"/>
      <c r="GPL3" s="120"/>
      <c r="GPM3" s="120"/>
      <c r="GPN3" s="120"/>
      <c r="GPO3" s="120"/>
      <c r="GPP3" s="120"/>
      <c r="GPQ3" s="120"/>
      <c r="GPR3" s="120"/>
      <c r="GPS3" s="120"/>
      <c r="GPT3" s="120"/>
      <c r="GPU3" s="120"/>
      <c r="GPV3" s="120"/>
      <c r="GPW3" s="120"/>
      <c r="GPX3" s="120"/>
      <c r="GPY3" s="120"/>
      <c r="GPZ3" s="120"/>
      <c r="GQA3" s="120"/>
      <c r="GQB3" s="120"/>
      <c r="GQC3" s="120"/>
      <c r="GQD3" s="120"/>
      <c r="GQE3" s="120"/>
      <c r="GQF3" s="120"/>
      <c r="GQG3" s="120"/>
      <c r="GQH3" s="120"/>
      <c r="GQI3" s="120"/>
      <c r="GQJ3" s="120"/>
      <c r="GQK3" s="120"/>
      <c r="GQL3" s="120"/>
      <c r="GQM3" s="120"/>
      <c r="GQN3" s="120"/>
      <c r="GQO3" s="120"/>
      <c r="GQP3" s="120"/>
      <c r="GQQ3" s="120"/>
      <c r="GQR3" s="120"/>
      <c r="GQS3" s="120"/>
      <c r="GQT3" s="120"/>
      <c r="GQU3" s="120"/>
      <c r="GQV3" s="120"/>
      <c r="GQW3" s="120"/>
      <c r="GQX3" s="120"/>
      <c r="GQY3" s="120"/>
      <c r="GQZ3" s="120"/>
      <c r="GRA3" s="120"/>
      <c r="GRB3" s="120"/>
      <c r="GRC3" s="120"/>
      <c r="GRD3" s="120"/>
      <c r="GRE3" s="120"/>
      <c r="GRF3" s="120"/>
      <c r="GRG3" s="120"/>
      <c r="GRH3" s="120"/>
      <c r="GRI3" s="120"/>
      <c r="GRJ3" s="120"/>
      <c r="GRK3" s="120"/>
      <c r="GRL3" s="120"/>
      <c r="GRM3" s="120"/>
      <c r="GRN3" s="120"/>
      <c r="GRO3" s="120"/>
      <c r="GRP3" s="120"/>
      <c r="GRQ3" s="120"/>
      <c r="GRR3" s="120"/>
      <c r="GRS3" s="120"/>
      <c r="GRT3" s="120"/>
      <c r="GRU3" s="120"/>
      <c r="GRV3" s="120"/>
      <c r="GRW3" s="120"/>
      <c r="GRX3" s="120"/>
      <c r="GRY3" s="120"/>
      <c r="GRZ3" s="120"/>
      <c r="GSA3" s="120"/>
      <c r="GSB3" s="120"/>
      <c r="GSC3" s="120"/>
      <c r="GSD3" s="120"/>
      <c r="GSE3" s="120"/>
      <c r="GSF3" s="120"/>
      <c r="GSG3" s="120"/>
      <c r="GSH3" s="120"/>
      <c r="GSI3" s="120"/>
      <c r="GSJ3" s="120"/>
      <c r="GSK3" s="120"/>
      <c r="GSL3" s="120"/>
      <c r="GSM3" s="120"/>
      <c r="GSN3" s="120"/>
      <c r="GSO3" s="120"/>
      <c r="GSP3" s="120"/>
      <c r="GSQ3" s="120"/>
      <c r="GSR3" s="120"/>
      <c r="GSS3" s="120"/>
      <c r="GST3" s="120"/>
      <c r="GSU3" s="120"/>
      <c r="GSV3" s="120"/>
      <c r="GSW3" s="120"/>
      <c r="GSX3" s="120"/>
      <c r="GSY3" s="120"/>
      <c r="GSZ3" s="120"/>
      <c r="GTA3" s="120"/>
      <c r="GTB3" s="120"/>
      <c r="GTC3" s="120"/>
      <c r="GTD3" s="120"/>
      <c r="GTE3" s="120"/>
      <c r="GTF3" s="120"/>
      <c r="GTG3" s="120"/>
      <c r="GTH3" s="120"/>
      <c r="GTI3" s="120"/>
      <c r="GTJ3" s="120"/>
      <c r="GTK3" s="120"/>
      <c r="GTL3" s="120"/>
      <c r="GTM3" s="120"/>
      <c r="GTN3" s="120"/>
      <c r="GTO3" s="120"/>
      <c r="GTP3" s="120"/>
      <c r="GTQ3" s="120"/>
      <c r="GTR3" s="120"/>
      <c r="GTS3" s="120"/>
      <c r="GTT3" s="120"/>
      <c r="GTU3" s="120"/>
      <c r="GTV3" s="120"/>
      <c r="GTW3" s="120"/>
      <c r="GTX3" s="120"/>
      <c r="GTY3" s="120"/>
      <c r="GTZ3" s="120"/>
      <c r="GUA3" s="120"/>
      <c r="GUB3" s="120"/>
      <c r="GUC3" s="120"/>
      <c r="GUD3" s="120"/>
      <c r="GUE3" s="120"/>
      <c r="GUF3" s="120"/>
      <c r="GUG3" s="120"/>
      <c r="GUH3" s="120"/>
      <c r="GUI3" s="120"/>
      <c r="GUJ3" s="120"/>
      <c r="GUK3" s="120"/>
      <c r="GUL3" s="120"/>
      <c r="GUM3" s="120"/>
      <c r="GUN3" s="120"/>
      <c r="GUO3" s="120"/>
      <c r="GUP3" s="120"/>
      <c r="GUQ3" s="120"/>
      <c r="GUR3" s="120"/>
      <c r="GUS3" s="120"/>
      <c r="GUT3" s="120"/>
      <c r="GUU3" s="120"/>
      <c r="GUV3" s="120"/>
      <c r="GUW3" s="120"/>
      <c r="GUX3" s="120"/>
      <c r="GUY3" s="120"/>
      <c r="GUZ3" s="120"/>
      <c r="GVA3" s="120"/>
      <c r="GVB3" s="120"/>
      <c r="GVC3" s="120"/>
      <c r="GVD3" s="120"/>
      <c r="GVE3" s="120"/>
      <c r="GVF3" s="120"/>
      <c r="GVG3" s="120"/>
      <c r="GVH3" s="120"/>
      <c r="GVI3" s="120"/>
      <c r="GVJ3" s="120"/>
      <c r="GVK3" s="120"/>
      <c r="GVL3" s="120"/>
      <c r="GVM3" s="120"/>
      <c r="GVN3" s="120"/>
      <c r="GVO3" s="120"/>
      <c r="GVP3" s="120"/>
      <c r="GVQ3" s="120"/>
      <c r="GVR3" s="120"/>
      <c r="GVS3" s="120"/>
      <c r="GVT3" s="120"/>
      <c r="GVU3" s="120"/>
      <c r="GVV3" s="120"/>
      <c r="GVW3" s="120"/>
      <c r="GVX3" s="120"/>
      <c r="GVY3" s="120"/>
      <c r="GVZ3" s="120"/>
      <c r="GWA3" s="120"/>
      <c r="GWB3" s="120"/>
      <c r="GWC3" s="120"/>
      <c r="GWD3" s="120"/>
      <c r="GWE3" s="120"/>
      <c r="GWF3" s="120"/>
      <c r="GWG3" s="120"/>
      <c r="GWH3" s="120"/>
      <c r="GWI3" s="120"/>
      <c r="GWJ3" s="120"/>
      <c r="GWK3" s="120"/>
      <c r="GWL3" s="120"/>
      <c r="GWM3" s="120"/>
      <c r="GWN3" s="120"/>
      <c r="GWO3" s="120"/>
      <c r="GWP3" s="120"/>
      <c r="GWQ3" s="120"/>
      <c r="GWR3" s="120"/>
      <c r="GWS3" s="120"/>
      <c r="GWT3" s="120"/>
      <c r="GWU3" s="120"/>
      <c r="GWV3" s="120"/>
      <c r="GWW3" s="120"/>
      <c r="GWX3" s="120"/>
      <c r="GWY3" s="120"/>
      <c r="GWZ3" s="120"/>
      <c r="GXA3" s="120"/>
      <c r="GXB3" s="120"/>
      <c r="GXC3" s="120"/>
      <c r="GXD3" s="120"/>
      <c r="GXE3" s="120"/>
      <c r="GXF3" s="120"/>
      <c r="GXG3" s="120"/>
      <c r="GXH3" s="120"/>
      <c r="GXI3" s="120"/>
      <c r="GXJ3" s="120"/>
      <c r="GXK3" s="120"/>
      <c r="GXL3" s="120"/>
      <c r="GXM3" s="120"/>
      <c r="GXN3" s="120"/>
      <c r="GXO3" s="120"/>
      <c r="GXP3" s="120"/>
      <c r="GXQ3" s="120"/>
      <c r="GXR3" s="120"/>
      <c r="GXS3" s="120"/>
      <c r="GXT3" s="120"/>
      <c r="GXU3" s="120"/>
      <c r="GXV3" s="120"/>
      <c r="GXW3" s="120"/>
      <c r="GXX3" s="120"/>
      <c r="GXY3" s="120"/>
      <c r="GXZ3" s="120"/>
      <c r="GYA3" s="120"/>
      <c r="GYB3" s="120"/>
      <c r="GYC3" s="120"/>
      <c r="GYD3" s="120"/>
      <c r="GYE3" s="120"/>
      <c r="GYF3" s="120"/>
      <c r="GYG3" s="120"/>
      <c r="GYH3" s="120"/>
      <c r="GYI3" s="120"/>
      <c r="GYJ3" s="120"/>
      <c r="GYK3" s="120"/>
      <c r="GYL3" s="120"/>
      <c r="GYM3" s="120"/>
      <c r="GYN3" s="120"/>
      <c r="GYO3" s="120"/>
      <c r="GYP3" s="120"/>
      <c r="GYQ3" s="120"/>
      <c r="GYR3" s="120"/>
      <c r="GYS3" s="120"/>
      <c r="GYT3" s="120"/>
      <c r="GYU3" s="120"/>
      <c r="GYV3" s="120"/>
      <c r="GYW3" s="120"/>
      <c r="GYX3" s="120"/>
      <c r="GYY3" s="120"/>
      <c r="GYZ3" s="120"/>
      <c r="GZA3" s="120"/>
      <c r="GZB3" s="120"/>
      <c r="GZC3" s="120"/>
      <c r="GZD3" s="120"/>
      <c r="GZE3" s="120"/>
      <c r="GZF3" s="120"/>
      <c r="GZG3" s="120"/>
      <c r="GZH3" s="120"/>
      <c r="GZI3" s="120"/>
      <c r="GZJ3" s="120"/>
      <c r="GZK3" s="120"/>
      <c r="GZL3" s="120"/>
      <c r="GZM3" s="120"/>
      <c r="GZN3" s="120"/>
      <c r="GZO3" s="120"/>
      <c r="GZP3" s="120"/>
      <c r="GZQ3" s="120"/>
      <c r="GZR3" s="120"/>
      <c r="GZS3" s="120"/>
      <c r="GZT3" s="120"/>
      <c r="GZU3" s="120"/>
      <c r="GZV3" s="120"/>
      <c r="GZW3" s="120"/>
      <c r="GZX3" s="120"/>
      <c r="GZY3" s="120"/>
      <c r="GZZ3" s="120"/>
      <c r="HAA3" s="120"/>
      <c r="HAB3" s="120"/>
      <c r="HAC3" s="120"/>
      <c r="HAD3" s="120"/>
      <c r="HAE3" s="120"/>
      <c r="HAF3" s="120"/>
      <c r="HAG3" s="120"/>
      <c r="HAH3" s="120"/>
      <c r="HAI3" s="120"/>
      <c r="HAJ3" s="120"/>
      <c r="HAK3" s="120"/>
      <c r="HAL3" s="120"/>
      <c r="HAM3" s="120"/>
      <c r="HAN3" s="120"/>
      <c r="HAO3" s="120"/>
      <c r="HAP3" s="120"/>
      <c r="HAQ3" s="120"/>
      <c r="HAR3" s="120"/>
      <c r="HAS3" s="120"/>
      <c r="HAT3" s="120"/>
      <c r="HAU3" s="120"/>
      <c r="HAV3" s="120"/>
      <c r="HAW3" s="120"/>
      <c r="HAX3" s="120"/>
      <c r="HAY3" s="120"/>
      <c r="HAZ3" s="120"/>
      <c r="HBA3" s="120"/>
      <c r="HBB3" s="120"/>
      <c r="HBC3" s="120"/>
      <c r="HBD3" s="120"/>
      <c r="HBE3" s="120"/>
      <c r="HBF3" s="120"/>
      <c r="HBG3" s="120"/>
      <c r="HBH3" s="120"/>
      <c r="HBI3" s="120"/>
      <c r="HBJ3" s="120"/>
      <c r="HBK3" s="120"/>
      <c r="HBL3" s="120"/>
      <c r="HBM3" s="120"/>
      <c r="HBN3" s="120"/>
      <c r="HBO3" s="120"/>
      <c r="HBP3" s="120"/>
      <c r="HBQ3" s="120"/>
      <c r="HBR3" s="120"/>
      <c r="HBS3" s="120"/>
      <c r="HBT3" s="120"/>
      <c r="HBU3" s="120"/>
      <c r="HBV3" s="120"/>
      <c r="HBW3" s="120"/>
      <c r="HBX3" s="120"/>
      <c r="HBY3" s="120"/>
      <c r="HBZ3" s="120"/>
      <c r="HCA3" s="120"/>
      <c r="HCB3" s="120"/>
      <c r="HCC3" s="120"/>
      <c r="HCD3" s="120"/>
      <c r="HCE3" s="120"/>
      <c r="HCF3" s="120"/>
      <c r="HCG3" s="120"/>
      <c r="HCH3" s="120"/>
      <c r="HCI3" s="120"/>
      <c r="HCJ3" s="120"/>
      <c r="HCK3" s="120"/>
      <c r="HCL3" s="120"/>
      <c r="HCM3" s="120"/>
      <c r="HCN3" s="120"/>
      <c r="HCO3" s="120"/>
      <c r="HCP3" s="120"/>
      <c r="HCQ3" s="120"/>
      <c r="HCR3" s="120"/>
      <c r="HCS3" s="120"/>
      <c r="HCT3" s="120"/>
      <c r="HCU3" s="120"/>
      <c r="HCV3" s="120"/>
      <c r="HCW3" s="120"/>
      <c r="HCX3" s="120"/>
      <c r="HCY3" s="120"/>
      <c r="HCZ3" s="120"/>
      <c r="HDA3" s="120"/>
      <c r="HDB3" s="120"/>
      <c r="HDC3" s="120"/>
      <c r="HDD3" s="120"/>
      <c r="HDE3" s="120"/>
      <c r="HDF3" s="120"/>
      <c r="HDG3" s="120"/>
      <c r="HDH3" s="120"/>
      <c r="HDI3" s="120"/>
      <c r="HDJ3" s="120"/>
      <c r="HDK3" s="120"/>
      <c r="HDL3" s="120"/>
      <c r="HDM3" s="120"/>
      <c r="HDN3" s="120"/>
      <c r="HDO3" s="120"/>
      <c r="HDP3" s="120"/>
      <c r="HDQ3" s="120"/>
      <c r="HDR3" s="120"/>
      <c r="HDS3" s="120"/>
      <c r="HDT3" s="120"/>
      <c r="HDU3" s="120"/>
      <c r="HDV3" s="120"/>
      <c r="HDW3" s="120"/>
      <c r="HDX3" s="120"/>
      <c r="HDY3" s="120"/>
      <c r="HDZ3" s="120"/>
      <c r="HEA3" s="120"/>
      <c r="HEB3" s="120"/>
      <c r="HEC3" s="120"/>
      <c r="HED3" s="120"/>
      <c r="HEE3" s="120"/>
      <c r="HEF3" s="120"/>
      <c r="HEG3" s="120"/>
      <c r="HEH3" s="120"/>
      <c r="HEI3" s="120"/>
      <c r="HEJ3" s="120"/>
      <c r="HEK3" s="120"/>
      <c r="HEL3" s="120"/>
      <c r="HEM3" s="120"/>
      <c r="HEN3" s="120"/>
      <c r="HEO3" s="120"/>
      <c r="HEP3" s="120"/>
      <c r="HEQ3" s="120"/>
      <c r="HER3" s="120"/>
      <c r="HES3" s="120"/>
      <c r="HET3" s="120"/>
      <c r="HEU3" s="120"/>
      <c r="HEV3" s="120"/>
      <c r="HEW3" s="120"/>
      <c r="HEX3" s="120"/>
      <c r="HEY3" s="120"/>
      <c r="HEZ3" s="120"/>
      <c r="HFA3" s="120"/>
      <c r="HFB3" s="120"/>
      <c r="HFC3" s="120"/>
      <c r="HFD3" s="120"/>
      <c r="HFE3" s="120"/>
      <c r="HFF3" s="120"/>
      <c r="HFG3" s="120"/>
      <c r="HFH3" s="120"/>
      <c r="HFI3" s="120"/>
      <c r="HFJ3" s="120"/>
      <c r="HFK3" s="120"/>
      <c r="HFL3" s="120"/>
      <c r="HFM3" s="120"/>
      <c r="HFN3" s="120"/>
      <c r="HFO3" s="120"/>
      <c r="HFP3" s="120"/>
      <c r="HFQ3" s="120"/>
      <c r="HFR3" s="120"/>
      <c r="HFS3" s="120"/>
      <c r="HFT3" s="120"/>
      <c r="HFU3" s="120"/>
      <c r="HFV3" s="120"/>
      <c r="HFW3" s="120"/>
      <c r="HFX3" s="120"/>
      <c r="HFY3" s="120"/>
      <c r="HFZ3" s="120"/>
      <c r="HGA3" s="120"/>
      <c r="HGB3" s="120"/>
      <c r="HGC3" s="120"/>
      <c r="HGD3" s="120"/>
      <c r="HGE3" s="120"/>
      <c r="HGF3" s="120"/>
      <c r="HGG3" s="120"/>
      <c r="HGH3" s="120"/>
      <c r="HGI3" s="120"/>
      <c r="HGJ3" s="120"/>
      <c r="HGK3" s="120"/>
      <c r="HGL3" s="120"/>
      <c r="HGM3" s="120"/>
      <c r="HGN3" s="120"/>
      <c r="HGO3" s="120"/>
      <c r="HGP3" s="120"/>
      <c r="HGQ3" s="120"/>
      <c r="HGR3" s="120"/>
      <c r="HGS3" s="120"/>
      <c r="HGT3" s="120"/>
      <c r="HGU3" s="120"/>
      <c r="HGV3" s="120"/>
      <c r="HGW3" s="120"/>
      <c r="HGX3" s="120"/>
      <c r="HGY3" s="120"/>
      <c r="HGZ3" s="120"/>
      <c r="HHA3" s="120"/>
      <c r="HHB3" s="120"/>
      <c r="HHC3" s="120"/>
      <c r="HHD3" s="120"/>
      <c r="HHE3" s="120"/>
      <c r="HHF3" s="120"/>
      <c r="HHG3" s="120"/>
      <c r="HHH3" s="120"/>
      <c r="HHI3" s="120"/>
      <c r="HHJ3" s="120"/>
      <c r="HHK3" s="120"/>
      <c r="HHL3" s="120"/>
      <c r="HHM3" s="120"/>
      <c r="HHN3" s="120"/>
      <c r="HHO3" s="120"/>
      <c r="HHP3" s="120"/>
      <c r="HHQ3" s="120"/>
      <c r="HHR3" s="120"/>
      <c r="HHS3" s="120"/>
      <c r="HHT3" s="120"/>
      <c r="HHU3" s="120"/>
      <c r="HHV3" s="120"/>
      <c r="HHW3" s="120"/>
      <c r="HHX3" s="120"/>
      <c r="HHY3" s="120"/>
      <c r="HHZ3" s="120"/>
      <c r="HIA3" s="120"/>
      <c r="HIB3" s="120"/>
      <c r="HIC3" s="120"/>
      <c r="HID3" s="120"/>
      <c r="HIE3" s="120"/>
      <c r="HIF3" s="120"/>
      <c r="HIG3" s="120"/>
      <c r="HIH3" s="120"/>
      <c r="HII3" s="120"/>
      <c r="HIJ3" s="120"/>
      <c r="HIK3" s="120"/>
      <c r="HIL3" s="120"/>
      <c r="HIM3" s="120"/>
      <c r="HIN3" s="120"/>
      <c r="HIO3" s="120"/>
      <c r="HIP3" s="120"/>
      <c r="HIQ3" s="120"/>
      <c r="HIR3" s="120"/>
      <c r="HIS3" s="120"/>
      <c r="HIT3" s="120"/>
      <c r="HIU3" s="120"/>
      <c r="HIV3" s="120"/>
      <c r="HIW3" s="120"/>
      <c r="HIX3" s="120"/>
      <c r="HIY3" s="120"/>
      <c r="HIZ3" s="120"/>
      <c r="HJA3" s="120"/>
      <c r="HJB3" s="120"/>
      <c r="HJC3" s="120"/>
      <c r="HJD3" s="120"/>
      <c r="HJE3" s="120"/>
      <c r="HJF3" s="120"/>
      <c r="HJG3" s="120"/>
      <c r="HJH3" s="120"/>
      <c r="HJI3" s="120"/>
      <c r="HJJ3" s="120"/>
      <c r="HJK3" s="120"/>
      <c r="HJL3" s="120"/>
      <c r="HJM3" s="120"/>
      <c r="HJN3" s="120"/>
      <c r="HJO3" s="120"/>
      <c r="HJP3" s="120"/>
      <c r="HJQ3" s="120"/>
      <c r="HJR3" s="120"/>
      <c r="HJS3" s="120"/>
      <c r="HJT3" s="120"/>
      <c r="HJU3" s="120"/>
      <c r="HJV3" s="120"/>
      <c r="HJW3" s="120"/>
      <c r="HJX3" s="120"/>
      <c r="HJY3" s="120"/>
      <c r="HJZ3" s="120"/>
      <c r="HKA3" s="120"/>
      <c r="HKB3" s="120"/>
      <c r="HKC3" s="120"/>
      <c r="HKD3" s="120"/>
      <c r="HKE3" s="120"/>
      <c r="HKF3" s="120"/>
      <c r="HKG3" s="120"/>
      <c r="HKH3" s="120"/>
      <c r="HKI3" s="120"/>
      <c r="HKJ3" s="120"/>
      <c r="HKK3" s="120"/>
      <c r="HKL3" s="120"/>
      <c r="HKM3" s="120"/>
      <c r="HKN3" s="120"/>
      <c r="HKO3" s="120"/>
      <c r="HKP3" s="120"/>
      <c r="HKQ3" s="120"/>
      <c r="HKR3" s="120"/>
      <c r="HKS3" s="120"/>
      <c r="HKT3" s="120"/>
      <c r="HKU3" s="120"/>
      <c r="HKV3" s="120"/>
      <c r="HKW3" s="120"/>
      <c r="HKX3" s="120"/>
      <c r="HKY3" s="120"/>
      <c r="HKZ3" s="120"/>
      <c r="HLA3" s="120"/>
      <c r="HLB3" s="120"/>
      <c r="HLC3" s="120"/>
      <c r="HLD3" s="120"/>
      <c r="HLE3" s="120"/>
      <c r="HLF3" s="120"/>
      <c r="HLG3" s="120"/>
      <c r="HLH3" s="120"/>
      <c r="HLI3" s="120"/>
      <c r="HLJ3" s="120"/>
      <c r="HLK3" s="120"/>
      <c r="HLL3" s="120"/>
      <c r="HLM3" s="120"/>
      <c r="HLN3" s="120"/>
      <c r="HLO3" s="120"/>
      <c r="HLP3" s="120"/>
      <c r="HLQ3" s="120"/>
      <c r="HLR3" s="120"/>
      <c r="HLS3" s="120"/>
      <c r="HLT3" s="120"/>
      <c r="HLU3" s="120"/>
      <c r="HLV3" s="120"/>
      <c r="HLW3" s="120"/>
      <c r="HLX3" s="120"/>
      <c r="HLY3" s="120"/>
      <c r="HLZ3" s="120"/>
      <c r="HMA3" s="120"/>
      <c r="HMB3" s="120"/>
      <c r="HMC3" s="120"/>
      <c r="HMD3" s="120"/>
      <c r="HME3" s="120"/>
      <c r="HMF3" s="120"/>
      <c r="HMG3" s="120"/>
      <c r="HMH3" s="120"/>
      <c r="HMI3" s="120"/>
      <c r="HMJ3" s="120"/>
      <c r="HMK3" s="120"/>
      <c r="HML3" s="120"/>
      <c r="HMM3" s="120"/>
      <c r="HMN3" s="120"/>
      <c r="HMO3" s="120"/>
      <c r="HMP3" s="120"/>
      <c r="HMQ3" s="120"/>
      <c r="HMR3" s="120"/>
      <c r="HMS3" s="120"/>
      <c r="HMT3" s="120"/>
      <c r="HMU3" s="120"/>
      <c r="HMV3" s="120"/>
      <c r="HMW3" s="120"/>
      <c r="HMX3" s="120"/>
      <c r="HMY3" s="120"/>
      <c r="HMZ3" s="120"/>
      <c r="HNA3" s="120"/>
      <c r="HNB3" s="120"/>
      <c r="HNC3" s="120"/>
      <c r="HND3" s="120"/>
      <c r="HNE3" s="120"/>
      <c r="HNF3" s="120"/>
      <c r="HNG3" s="120"/>
      <c r="HNH3" s="120"/>
      <c r="HNI3" s="120"/>
      <c r="HNJ3" s="120"/>
      <c r="HNK3" s="120"/>
      <c r="HNL3" s="120"/>
      <c r="HNM3" s="120"/>
      <c r="HNN3" s="120"/>
      <c r="HNO3" s="120"/>
      <c r="HNP3" s="120"/>
      <c r="HNQ3" s="120"/>
      <c r="HNR3" s="120"/>
      <c r="HNS3" s="120"/>
      <c r="HNT3" s="120"/>
      <c r="HNU3" s="120"/>
      <c r="HNV3" s="120"/>
      <c r="HNW3" s="120"/>
      <c r="HNX3" s="120"/>
      <c r="HNY3" s="120"/>
      <c r="HNZ3" s="120"/>
      <c r="HOA3" s="120"/>
      <c r="HOB3" s="120"/>
      <c r="HOC3" s="120"/>
      <c r="HOD3" s="120"/>
      <c r="HOE3" s="120"/>
      <c r="HOF3" s="120"/>
      <c r="HOG3" s="120"/>
      <c r="HOH3" s="120"/>
      <c r="HOI3" s="120"/>
      <c r="HOJ3" s="120"/>
      <c r="HOK3" s="120"/>
      <c r="HOL3" s="120"/>
      <c r="HOM3" s="120"/>
      <c r="HON3" s="120"/>
      <c r="HOO3" s="120"/>
      <c r="HOP3" s="120"/>
      <c r="HOQ3" s="120"/>
      <c r="HOR3" s="120"/>
      <c r="HOS3" s="120"/>
      <c r="HOT3" s="120"/>
      <c r="HOU3" s="120"/>
      <c r="HOV3" s="120"/>
      <c r="HOW3" s="120"/>
      <c r="HOX3" s="120"/>
      <c r="HOY3" s="120"/>
      <c r="HOZ3" s="120"/>
      <c r="HPA3" s="120"/>
      <c r="HPB3" s="120"/>
      <c r="HPC3" s="120"/>
      <c r="HPD3" s="120"/>
      <c r="HPE3" s="120"/>
      <c r="HPF3" s="120"/>
      <c r="HPG3" s="120"/>
      <c r="HPH3" s="120"/>
      <c r="HPI3" s="120"/>
      <c r="HPJ3" s="120"/>
      <c r="HPK3" s="120"/>
      <c r="HPL3" s="120"/>
      <c r="HPM3" s="120"/>
      <c r="HPN3" s="120"/>
      <c r="HPO3" s="120"/>
      <c r="HPP3" s="120"/>
      <c r="HPQ3" s="120"/>
      <c r="HPR3" s="120"/>
      <c r="HPS3" s="120"/>
      <c r="HPT3" s="120"/>
      <c r="HPU3" s="120"/>
      <c r="HPV3" s="120"/>
      <c r="HPW3" s="120"/>
      <c r="HPX3" s="120"/>
      <c r="HPY3" s="120"/>
      <c r="HPZ3" s="120"/>
      <c r="HQA3" s="120"/>
      <c r="HQB3" s="120"/>
      <c r="HQC3" s="120"/>
      <c r="HQD3" s="120"/>
      <c r="HQE3" s="120"/>
      <c r="HQF3" s="120"/>
      <c r="HQG3" s="120"/>
      <c r="HQH3" s="120"/>
      <c r="HQI3" s="120"/>
      <c r="HQJ3" s="120"/>
      <c r="HQK3" s="120"/>
      <c r="HQL3" s="120"/>
      <c r="HQM3" s="120"/>
      <c r="HQN3" s="120"/>
      <c r="HQO3" s="120"/>
      <c r="HQP3" s="120"/>
      <c r="HQQ3" s="120"/>
      <c r="HQR3" s="120"/>
      <c r="HQS3" s="120"/>
      <c r="HQT3" s="120"/>
      <c r="HQU3" s="120"/>
      <c r="HQV3" s="120"/>
      <c r="HQW3" s="120"/>
      <c r="HQX3" s="120"/>
      <c r="HQY3" s="120"/>
      <c r="HQZ3" s="120"/>
      <c r="HRA3" s="120"/>
      <c r="HRB3" s="120"/>
      <c r="HRC3" s="120"/>
      <c r="HRD3" s="120"/>
      <c r="HRE3" s="120"/>
      <c r="HRF3" s="120"/>
      <c r="HRG3" s="120"/>
      <c r="HRH3" s="120"/>
      <c r="HRI3" s="120"/>
      <c r="HRJ3" s="120"/>
      <c r="HRK3" s="120"/>
      <c r="HRL3" s="120"/>
      <c r="HRM3" s="120"/>
      <c r="HRN3" s="120"/>
      <c r="HRO3" s="120"/>
      <c r="HRP3" s="120"/>
      <c r="HRQ3" s="120"/>
      <c r="HRR3" s="120"/>
      <c r="HRS3" s="120"/>
      <c r="HRT3" s="120"/>
      <c r="HRU3" s="120"/>
      <c r="HRV3" s="120"/>
      <c r="HRW3" s="120"/>
      <c r="HRX3" s="120"/>
      <c r="HRY3" s="120"/>
      <c r="HRZ3" s="120"/>
      <c r="HSA3" s="120"/>
      <c r="HSB3" s="120"/>
      <c r="HSC3" s="120"/>
      <c r="HSD3" s="120"/>
      <c r="HSE3" s="120"/>
      <c r="HSF3" s="120"/>
      <c r="HSG3" s="120"/>
      <c r="HSH3" s="120"/>
      <c r="HSI3" s="120"/>
      <c r="HSJ3" s="120"/>
      <c r="HSK3" s="120"/>
      <c r="HSL3" s="120"/>
      <c r="HSM3" s="120"/>
      <c r="HSN3" s="120"/>
      <c r="HSO3" s="120"/>
      <c r="HSP3" s="120"/>
      <c r="HSQ3" s="120"/>
      <c r="HSR3" s="120"/>
      <c r="HSS3" s="120"/>
      <c r="HST3" s="120"/>
      <c r="HSU3" s="120"/>
      <c r="HSV3" s="120"/>
      <c r="HSW3" s="120"/>
      <c r="HSX3" s="120"/>
      <c r="HSY3" s="120"/>
      <c r="HSZ3" s="120"/>
      <c r="HTA3" s="120"/>
      <c r="HTB3" s="120"/>
      <c r="HTC3" s="120"/>
      <c r="HTD3" s="120"/>
      <c r="HTE3" s="120"/>
      <c r="HTF3" s="120"/>
      <c r="HTG3" s="120"/>
      <c r="HTH3" s="120"/>
      <c r="HTI3" s="120"/>
      <c r="HTJ3" s="120"/>
      <c r="HTK3" s="120"/>
      <c r="HTL3" s="120"/>
      <c r="HTM3" s="120"/>
      <c r="HTN3" s="120"/>
      <c r="HTO3" s="120"/>
      <c r="HTP3" s="120"/>
      <c r="HTQ3" s="120"/>
      <c r="HTR3" s="120"/>
      <c r="HTS3" s="120"/>
      <c r="HTT3" s="120"/>
      <c r="HTU3" s="120"/>
      <c r="HTV3" s="120"/>
      <c r="HTW3" s="120"/>
      <c r="HTX3" s="120"/>
      <c r="HTY3" s="120"/>
      <c r="HTZ3" s="120"/>
      <c r="HUA3" s="120"/>
      <c r="HUB3" s="120"/>
      <c r="HUC3" s="120"/>
      <c r="HUD3" s="120"/>
      <c r="HUE3" s="120"/>
      <c r="HUF3" s="120"/>
      <c r="HUG3" s="120"/>
      <c r="HUH3" s="120"/>
      <c r="HUI3" s="120"/>
      <c r="HUJ3" s="120"/>
      <c r="HUK3" s="120"/>
      <c r="HUL3" s="120"/>
      <c r="HUM3" s="120"/>
      <c r="HUN3" s="120"/>
      <c r="HUO3" s="120"/>
      <c r="HUP3" s="120"/>
      <c r="HUQ3" s="120"/>
      <c r="HUR3" s="120"/>
      <c r="HUS3" s="120"/>
      <c r="HUT3" s="120"/>
      <c r="HUU3" s="120"/>
      <c r="HUV3" s="120"/>
      <c r="HUW3" s="120"/>
      <c r="HUX3" s="120"/>
      <c r="HUY3" s="120"/>
      <c r="HUZ3" s="120"/>
      <c r="HVA3" s="120"/>
      <c r="HVB3" s="120"/>
      <c r="HVC3" s="120"/>
      <c r="HVD3" s="120"/>
      <c r="HVE3" s="120"/>
      <c r="HVF3" s="120"/>
      <c r="HVG3" s="120"/>
      <c r="HVH3" s="120"/>
      <c r="HVI3" s="120"/>
      <c r="HVJ3" s="120"/>
      <c r="HVK3" s="120"/>
      <c r="HVL3" s="120"/>
      <c r="HVM3" s="120"/>
      <c r="HVN3" s="120"/>
      <c r="HVO3" s="120"/>
      <c r="HVP3" s="120"/>
      <c r="HVQ3" s="120"/>
      <c r="HVR3" s="120"/>
      <c r="HVS3" s="120"/>
      <c r="HVT3" s="120"/>
      <c r="HVU3" s="120"/>
      <c r="HVV3" s="120"/>
      <c r="HVW3" s="120"/>
      <c r="HVX3" s="120"/>
      <c r="HVY3" s="120"/>
      <c r="HVZ3" s="120"/>
      <c r="HWA3" s="120"/>
      <c r="HWB3" s="120"/>
      <c r="HWC3" s="120"/>
      <c r="HWD3" s="120"/>
      <c r="HWE3" s="120"/>
      <c r="HWF3" s="120"/>
      <c r="HWG3" s="120"/>
      <c r="HWH3" s="120"/>
      <c r="HWI3" s="120"/>
      <c r="HWJ3" s="120"/>
      <c r="HWK3" s="120"/>
      <c r="HWL3" s="120"/>
      <c r="HWM3" s="120"/>
      <c r="HWN3" s="120"/>
      <c r="HWO3" s="120"/>
      <c r="HWP3" s="120"/>
      <c r="HWQ3" s="120"/>
      <c r="HWR3" s="120"/>
      <c r="HWS3" s="120"/>
      <c r="HWT3" s="120"/>
      <c r="HWU3" s="120"/>
      <c r="HWV3" s="120"/>
      <c r="HWW3" s="120"/>
      <c r="HWX3" s="120"/>
      <c r="HWY3" s="120"/>
      <c r="HWZ3" s="120"/>
      <c r="HXA3" s="120"/>
      <c r="HXB3" s="120"/>
      <c r="HXC3" s="120"/>
      <c r="HXD3" s="120"/>
      <c r="HXE3" s="120"/>
      <c r="HXF3" s="120"/>
      <c r="HXG3" s="120"/>
      <c r="HXH3" s="120"/>
      <c r="HXI3" s="120"/>
      <c r="HXJ3" s="120"/>
      <c r="HXK3" s="120"/>
      <c r="HXL3" s="120"/>
      <c r="HXM3" s="120"/>
      <c r="HXN3" s="120"/>
      <c r="HXO3" s="120"/>
      <c r="HXP3" s="120"/>
      <c r="HXQ3" s="120"/>
      <c r="HXR3" s="120"/>
      <c r="HXS3" s="120"/>
      <c r="HXT3" s="120"/>
      <c r="HXU3" s="120"/>
      <c r="HXV3" s="120"/>
      <c r="HXW3" s="120"/>
      <c r="HXX3" s="120"/>
      <c r="HXY3" s="120"/>
      <c r="HXZ3" s="120"/>
      <c r="HYA3" s="120"/>
      <c r="HYB3" s="120"/>
      <c r="HYC3" s="120"/>
      <c r="HYD3" s="120"/>
      <c r="HYE3" s="120"/>
      <c r="HYF3" s="120"/>
      <c r="HYG3" s="120"/>
      <c r="HYH3" s="120"/>
      <c r="HYI3" s="120"/>
      <c r="HYJ3" s="120"/>
      <c r="HYK3" s="120"/>
      <c r="HYL3" s="120"/>
      <c r="HYM3" s="120"/>
      <c r="HYN3" s="120"/>
      <c r="HYO3" s="120"/>
      <c r="HYP3" s="120"/>
      <c r="HYQ3" s="120"/>
      <c r="HYR3" s="120"/>
      <c r="HYS3" s="120"/>
      <c r="HYT3" s="120"/>
      <c r="HYU3" s="120"/>
      <c r="HYV3" s="120"/>
      <c r="HYW3" s="120"/>
      <c r="HYX3" s="120"/>
      <c r="HYY3" s="120"/>
      <c r="HYZ3" s="120"/>
      <c r="HZA3" s="120"/>
      <c r="HZB3" s="120"/>
      <c r="HZC3" s="120"/>
      <c r="HZD3" s="120"/>
      <c r="HZE3" s="120"/>
      <c r="HZF3" s="120"/>
      <c r="HZG3" s="120"/>
      <c r="HZH3" s="120"/>
      <c r="HZI3" s="120"/>
      <c r="HZJ3" s="120"/>
      <c r="HZK3" s="120"/>
      <c r="HZL3" s="120"/>
      <c r="HZM3" s="120"/>
      <c r="HZN3" s="120"/>
      <c r="HZO3" s="120"/>
      <c r="HZP3" s="120"/>
      <c r="HZQ3" s="120"/>
      <c r="HZR3" s="120"/>
      <c r="HZS3" s="120"/>
      <c r="HZT3" s="120"/>
      <c r="HZU3" s="120"/>
      <c r="HZV3" s="120"/>
      <c r="HZW3" s="120"/>
      <c r="HZX3" s="120"/>
      <c r="HZY3" s="120"/>
      <c r="HZZ3" s="120"/>
      <c r="IAA3" s="120"/>
      <c r="IAB3" s="120"/>
      <c r="IAC3" s="120"/>
      <c r="IAD3" s="120"/>
      <c r="IAE3" s="120"/>
      <c r="IAF3" s="120"/>
      <c r="IAG3" s="120"/>
      <c r="IAH3" s="120"/>
      <c r="IAI3" s="120"/>
      <c r="IAJ3" s="120"/>
      <c r="IAK3" s="120"/>
      <c r="IAL3" s="120"/>
      <c r="IAM3" s="120"/>
      <c r="IAN3" s="120"/>
      <c r="IAO3" s="120"/>
      <c r="IAP3" s="120"/>
      <c r="IAQ3" s="120"/>
      <c r="IAR3" s="120"/>
      <c r="IAS3" s="120"/>
      <c r="IAT3" s="120"/>
      <c r="IAU3" s="120"/>
      <c r="IAV3" s="120"/>
      <c r="IAW3" s="120"/>
      <c r="IAX3" s="120"/>
      <c r="IAY3" s="120"/>
      <c r="IAZ3" s="120"/>
      <c r="IBA3" s="120"/>
      <c r="IBB3" s="120"/>
      <c r="IBC3" s="120"/>
      <c r="IBD3" s="120"/>
      <c r="IBE3" s="120"/>
      <c r="IBF3" s="120"/>
      <c r="IBG3" s="120"/>
      <c r="IBH3" s="120"/>
      <c r="IBI3" s="120"/>
      <c r="IBJ3" s="120"/>
      <c r="IBK3" s="120"/>
      <c r="IBL3" s="120"/>
      <c r="IBM3" s="120"/>
      <c r="IBN3" s="120"/>
      <c r="IBO3" s="120"/>
      <c r="IBP3" s="120"/>
      <c r="IBQ3" s="120"/>
      <c r="IBR3" s="120"/>
      <c r="IBS3" s="120"/>
      <c r="IBT3" s="120"/>
      <c r="IBU3" s="120"/>
      <c r="IBV3" s="120"/>
      <c r="IBW3" s="120"/>
      <c r="IBX3" s="120"/>
      <c r="IBY3" s="120"/>
      <c r="IBZ3" s="120"/>
      <c r="ICA3" s="120"/>
      <c r="ICB3" s="120"/>
      <c r="ICC3" s="120"/>
      <c r="ICD3" s="120"/>
      <c r="ICE3" s="120"/>
      <c r="ICF3" s="120"/>
      <c r="ICG3" s="120"/>
      <c r="ICH3" s="120"/>
      <c r="ICI3" s="120"/>
      <c r="ICJ3" s="120"/>
      <c r="ICK3" s="120"/>
      <c r="ICL3" s="120"/>
      <c r="ICM3" s="120"/>
      <c r="ICN3" s="120"/>
      <c r="ICO3" s="120"/>
      <c r="ICP3" s="120"/>
      <c r="ICQ3" s="120"/>
      <c r="ICR3" s="120"/>
      <c r="ICS3" s="120"/>
      <c r="ICT3" s="120"/>
      <c r="ICU3" s="120"/>
      <c r="ICV3" s="120"/>
      <c r="ICW3" s="120"/>
      <c r="ICX3" s="120"/>
      <c r="ICY3" s="120"/>
      <c r="ICZ3" s="120"/>
      <c r="IDA3" s="120"/>
      <c r="IDB3" s="120"/>
      <c r="IDC3" s="120"/>
      <c r="IDD3" s="120"/>
      <c r="IDE3" s="120"/>
      <c r="IDF3" s="120"/>
      <c r="IDG3" s="120"/>
      <c r="IDH3" s="120"/>
      <c r="IDI3" s="120"/>
      <c r="IDJ3" s="120"/>
      <c r="IDK3" s="120"/>
      <c r="IDL3" s="120"/>
      <c r="IDM3" s="120"/>
      <c r="IDN3" s="120"/>
      <c r="IDO3" s="120"/>
      <c r="IDP3" s="120"/>
      <c r="IDQ3" s="120"/>
      <c r="IDR3" s="120"/>
      <c r="IDS3" s="120"/>
      <c r="IDT3" s="120"/>
      <c r="IDU3" s="120"/>
      <c r="IDV3" s="120"/>
      <c r="IDW3" s="120"/>
      <c r="IDX3" s="120"/>
      <c r="IDY3" s="120"/>
      <c r="IDZ3" s="120"/>
      <c r="IEA3" s="120"/>
      <c r="IEB3" s="120"/>
      <c r="IEC3" s="120"/>
      <c r="IED3" s="120"/>
      <c r="IEE3" s="120"/>
      <c r="IEF3" s="120"/>
      <c r="IEG3" s="120"/>
      <c r="IEH3" s="120"/>
      <c r="IEI3" s="120"/>
      <c r="IEJ3" s="120"/>
      <c r="IEK3" s="120"/>
      <c r="IEL3" s="120"/>
      <c r="IEM3" s="120"/>
      <c r="IEN3" s="120"/>
      <c r="IEO3" s="120"/>
      <c r="IEP3" s="120"/>
      <c r="IEQ3" s="120"/>
      <c r="IER3" s="120"/>
      <c r="IES3" s="120"/>
      <c r="IET3" s="120"/>
      <c r="IEU3" s="120"/>
      <c r="IEV3" s="120"/>
      <c r="IEW3" s="120"/>
      <c r="IEX3" s="120"/>
      <c r="IEY3" s="120"/>
      <c r="IEZ3" s="120"/>
      <c r="IFA3" s="120"/>
      <c r="IFB3" s="120"/>
      <c r="IFC3" s="120"/>
      <c r="IFD3" s="120"/>
      <c r="IFE3" s="120"/>
      <c r="IFF3" s="120"/>
      <c r="IFG3" s="120"/>
      <c r="IFH3" s="120"/>
      <c r="IFI3" s="120"/>
      <c r="IFJ3" s="120"/>
      <c r="IFK3" s="120"/>
      <c r="IFL3" s="120"/>
      <c r="IFM3" s="120"/>
      <c r="IFN3" s="120"/>
      <c r="IFO3" s="120"/>
      <c r="IFP3" s="120"/>
      <c r="IFQ3" s="120"/>
      <c r="IFR3" s="120"/>
      <c r="IFS3" s="120"/>
      <c r="IFT3" s="120"/>
      <c r="IFU3" s="120"/>
      <c r="IFV3" s="120"/>
      <c r="IFW3" s="120"/>
      <c r="IFX3" s="120"/>
      <c r="IFY3" s="120"/>
      <c r="IFZ3" s="120"/>
      <c r="IGA3" s="120"/>
      <c r="IGB3" s="120"/>
      <c r="IGC3" s="120"/>
      <c r="IGD3" s="120"/>
      <c r="IGE3" s="120"/>
      <c r="IGF3" s="120"/>
      <c r="IGG3" s="120"/>
      <c r="IGH3" s="120"/>
      <c r="IGI3" s="120"/>
      <c r="IGJ3" s="120"/>
      <c r="IGK3" s="120"/>
      <c r="IGL3" s="120"/>
      <c r="IGM3" s="120"/>
      <c r="IGN3" s="120"/>
      <c r="IGO3" s="120"/>
      <c r="IGP3" s="120"/>
      <c r="IGQ3" s="120"/>
      <c r="IGR3" s="120"/>
      <c r="IGS3" s="120"/>
      <c r="IGT3" s="120"/>
      <c r="IGU3" s="120"/>
      <c r="IGV3" s="120"/>
      <c r="IGW3" s="120"/>
      <c r="IGX3" s="120"/>
      <c r="IGY3" s="120"/>
      <c r="IGZ3" s="120"/>
      <c r="IHA3" s="120"/>
      <c r="IHB3" s="120"/>
      <c r="IHC3" s="120"/>
      <c r="IHD3" s="120"/>
      <c r="IHE3" s="120"/>
      <c r="IHF3" s="120"/>
      <c r="IHG3" s="120"/>
      <c r="IHH3" s="120"/>
      <c r="IHI3" s="120"/>
      <c r="IHJ3" s="120"/>
      <c r="IHK3" s="120"/>
      <c r="IHL3" s="120"/>
      <c r="IHM3" s="120"/>
      <c r="IHN3" s="120"/>
      <c r="IHO3" s="120"/>
      <c r="IHP3" s="120"/>
      <c r="IHQ3" s="120"/>
      <c r="IHR3" s="120"/>
      <c r="IHS3" s="120"/>
      <c r="IHT3" s="120"/>
      <c r="IHU3" s="120"/>
      <c r="IHV3" s="120"/>
      <c r="IHW3" s="120"/>
      <c r="IHX3" s="120"/>
      <c r="IHY3" s="120"/>
      <c r="IHZ3" s="120"/>
      <c r="IIA3" s="120"/>
      <c r="IIB3" s="120"/>
      <c r="IIC3" s="120"/>
      <c r="IID3" s="120"/>
      <c r="IIE3" s="120"/>
      <c r="IIF3" s="120"/>
      <c r="IIG3" s="120"/>
      <c r="IIH3" s="120"/>
      <c r="III3" s="120"/>
      <c r="IIJ3" s="120"/>
      <c r="IIK3" s="120"/>
      <c r="IIL3" s="120"/>
      <c r="IIM3" s="120"/>
      <c r="IIN3" s="120"/>
      <c r="IIO3" s="120"/>
      <c r="IIP3" s="120"/>
      <c r="IIQ3" s="120"/>
      <c r="IIR3" s="120"/>
      <c r="IIS3" s="120"/>
      <c r="IIT3" s="120"/>
      <c r="IIU3" s="120"/>
      <c r="IIV3" s="120"/>
      <c r="IIW3" s="120"/>
      <c r="IIX3" s="120"/>
      <c r="IIY3" s="120"/>
      <c r="IIZ3" s="120"/>
      <c r="IJA3" s="120"/>
      <c r="IJB3" s="120"/>
      <c r="IJC3" s="120"/>
      <c r="IJD3" s="120"/>
      <c r="IJE3" s="120"/>
      <c r="IJF3" s="120"/>
      <c r="IJG3" s="120"/>
      <c r="IJH3" s="120"/>
      <c r="IJI3" s="120"/>
      <c r="IJJ3" s="120"/>
      <c r="IJK3" s="120"/>
      <c r="IJL3" s="120"/>
      <c r="IJM3" s="120"/>
      <c r="IJN3" s="120"/>
      <c r="IJO3" s="120"/>
      <c r="IJP3" s="120"/>
      <c r="IJQ3" s="120"/>
      <c r="IJR3" s="120"/>
      <c r="IJS3" s="120"/>
      <c r="IJT3" s="120"/>
      <c r="IJU3" s="120"/>
      <c r="IJV3" s="120"/>
      <c r="IJW3" s="120"/>
      <c r="IJX3" s="120"/>
      <c r="IJY3" s="120"/>
      <c r="IJZ3" s="120"/>
      <c r="IKA3" s="120"/>
      <c r="IKB3" s="120"/>
      <c r="IKC3" s="120"/>
      <c r="IKD3" s="120"/>
      <c r="IKE3" s="120"/>
      <c r="IKF3" s="120"/>
      <c r="IKG3" s="120"/>
      <c r="IKH3" s="120"/>
      <c r="IKI3" s="120"/>
      <c r="IKJ3" s="120"/>
      <c r="IKK3" s="120"/>
      <c r="IKL3" s="120"/>
      <c r="IKM3" s="120"/>
      <c r="IKN3" s="120"/>
      <c r="IKO3" s="120"/>
      <c r="IKP3" s="120"/>
      <c r="IKQ3" s="120"/>
      <c r="IKR3" s="120"/>
      <c r="IKS3" s="120"/>
      <c r="IKT3" s="120"/>
      <c r="IKU3" s="120"/>
      <c r="IKV3" s="120"/>
      <c r="IKW3" s="120"/>
      <c r="IKX3" s="120"/>
      <c r="IKY3" s="120"/>
      <c r="IKZ3" s="120"/>
      <c r="ILA3" s="120"/>
      <c r="ILB3" s="120"/>
      <c r="ILC3" s="120"/>
      <c r="ILD3" s="120"/>
      <c r="ILE3" s="120"/>
      <c r="ILF3" s="120"/>
      <c r="ILG3" s="120"/>
      <c r="ILH3" s="120"/>
      <c r="ILI3" s="120"/>
      <c r="ILJ3" s="120"/>
      <c r="ILK3" s="120"/>
      <c r="ILL3" s="120"/>
      <c r="ILM3" s="120"/>
      <c r="ILN3" s="120"/>
      <c r="ILO3" s="120"/>
      <c r="ILP3" s="120"/>
      <c r="ILQ3" s="120"/>
      <c r="ILR3" s="120"/>
      <c r="ILS3" s="120"/>
      <c r="ILT3" s="120"/>
      <c r="ILU3" s="120"/>
      <c r="ILV3" s="120"/>
      <c r="ILW3" s="120"/>
      <c r="ILX3" s="120"/>
      <c r="ILY3" s="120"/>
      <c r="ILZ3" s="120"/>
      <c r="IMA3" s="120"/>
      <c r="IMB3" s="120"/>
      <c r="IMC3" s="120"/>
      <c r="IMD3" s="120"/>
      <c r="IME3" s="120"/>
      <c r="IMF3" s="120"/>
      <c r="IMG3" s="120"/>
      <c r="IMH3" s="120"/>
      <c r="IMI3" s="120"/>
      <c r="IMJ3" s="120"/>
      <c r="IMK3" s="120"/>
      <c r="IML3" s="120"/>
      <c r="IMM3" s="120"/>
      <c r="IMN3" s="120"/>
      <c r="IMO3" s="120"/>
      <c r="IMP3" s="120"/>
      <c r="IMQ3" s="120"/>
      <c r="IMR3" s="120"/>
      <c r="IMS3" s="120"/>
      <c r="IMT3" s="120"/>
      <c r="IMU3" s="120"/>
      <c r="IMV3" s="120"/>
      <c r="IMW3" s="120"/>
      <c r="IMX3" s="120"/>
      <c r="IMY3" s="120"/>
      <c r="IMZ3" s="120"/>
      <c r="INA3" s="120"/>
      <c r="INB3" s="120"/>
      <c r="INC3" s="120"/>
      <c r="IND3" s="120"/>
      <c r="INE3" s="120"/>
      <c r="INF3" s="120"/>
      <c r="ING3" s="120"/>
      <c r="INH3" s="120"/>
      <c r="INI3" s="120"/>
      <c r="INJ3" s="120"/>
      <c r="INK3" s="120"/>
      <c r="INL3" s="120"/>
      <c r="INM3" s="120"/>
      <c r="INN3" s="120"/>
      <c r="INO3" s="120"/>
      <c r="INP3" s="120"/>
      <c r="INQ3" s="120"/>
      <c r="INR3" s="120"/>
      <c r="INS3" s="120"/>
      <c r="INT3" s="120"/>
      <c r="INU3" s="120"/>
      <c r="INV3" s="120"/>
      <c r="INW3" s="120"/>
      <c r="INX3" s="120"/>
      <c r="INY3" s="120"/>
      <c r="INZ3" s="120"/>
      <c r="IOA3" s="120"/>
      <c r="IOB3" s="120"/>
      <c r="IOC3" s="120"/>
      <c r="IOD3" s="120"/>
      <c r="IOE3" s="120"/>
      <c r="IOF3" s="120"/>
      <c r="IOG3" s="120"/>
      <c r="IOH3" s="120"/>
      <c r="IOI3" s="120"/>
      <c r="IOJ3" s="120"/>
      <c r="IOK3" s="120"/>
      <c r="IOL3" s="120"/>
      <c r="IOM3" s="120"/>
      <c r="ION3" s="120"/>
      <c r="IOO3" s="120"/>
      <c r="IOP3" s="120"/>
      <c r="IOQ3" s="120"/>
      <c r="IOR3" s="120"/>
      <c r="IOS3" s="120"/>
      <c r="IOT3" s="120"/>
      <c r="IOU3" s="120"/>
      <c r="IOV3" s="120"/>
      <c r="IOW3" s="120"/>
      <c r="IOX3" s="120"/>
      <c r="IOY3" s="120"/>
      <c r="IOZ3" s="120"/>
      <c r="IPA3" s="120"/>
      <c r="IPB3" s="120"/>
      <c r="IPC3" s="120"/>
      <c r="IPD3" s="120"/>
      <c r="IPE3" s="120"/>
      <c r="IPF3" s="120"/>
      <c r="IPG3" s="120"/>
      <c r="IPH3" s="120"/>
      <c r="IPI3" s="120"/>
      <c r="IPJ3" s="120"/>
      <c r="IPK3" s="120"/>
      <c r="IPL3" s="120"/>
      <c r="IPM3" s="120"/>
      <c r="IPN3" s="120"/>
      <c r="IPO3" s="120"/>
      <c r="IPP3" s="120"/>
      <c r="IPQ3" s="120"/>
      <c r="IPR3" s="120"/>
      <c r="IPS3" s="120"/>
      <c r="IPT3" s="120"/>
      <c r="IPU3" s="120"/>
      <c r="IPV3" s="120"/>
      <c r="IPW3" s="120"/>
      <c r="IPX3" s="120"/>
      <c r="IPY3" s="120"/>
      <c r="IPZ3" s="120"/>
      <c r="IQA3" s="120"/>
      <c r="IQB3" s="120"/>
      <c r="IQC3" s="120"/>
      <c r="IQD3" s="120"/>
      <c r="IQE3" s="120"/>
      <c r="IQF3" s="120"/>
      <c r="IQG3" s="120"/>
      <c r="IQH3" s="120"/>
      <c r="IQI3" s="120"/>
      <c r="IQJ3" s="120"/>
      <c r="IQK3" s="120"/>
      <c r="IQL3" s="120"/>
      <c r="IQM3" s="120"/>
      <c r="IQN3" s="120"/>
      <c r="IQO3" s="120"/>
      <c r="IQP3" s="120"/>
      <c r="IQQ3" s="120"/>
      <c r="IQR3" s="120"/>
      <c r="IQS3" s="120"/>
      <c r="IQT3" s="120"/>
      <c r="IQU3" s="120"/>
      <c r="IQV3" s="120"/>
      <c r="IQW3" s="120"/>
      <c r="IQX3" s="120"/>
      <c r="IQY3" s="120"/>
      <c r="IQZ3" s="120"/>
      <c r="IRA3" s="120"/>
      <c r="IRB3" s="120"/>
      <c r="IRC3" s="120"/>
      <c r="IRD3" s="120"/>
      <c r="IRE3" s="120"/>
      <c r="IRF3" s="120"/>
      <c r="IRG3" s="120"/>
      <c r="IRH3" s="120"/>
      <c r="IRI3" s="120"/>
      <c r="IRJ3" s="120"/>
      <c r="IRK3" s="120"/>
      <c r="IRL3" s="120"/>
      <c r="IRM3" s="120"/>
      <c r="IRN3" s="120"/>
      <c r="IRO3" s="120"/>
      <c r="IRP3" s="120"/>
      <c r="IRQ3" s="120"/>
      <c r="IRR3" s="120"/>
      <c r="IRS3" s="120"/>
      <c r="IRT3" s="120"/>
      <c r="IRU3" s="120"/>
      <c r="IRV3" s="120"/>
      <c r="IRW3" s="120"/>
      <c r="IRX3" s="120"/>
      <c r="IRY3" s="120"/>
      <c r="IRZ3" s="120"/>
      <c r="ISA3" s="120"/>
      <c r="ISB3" s="120"/>
      <c r="ISC3" s="120"/>
      <c r="ISD3" s="120"/>
      <c r="ISE3" s="120"/>
      <c r="ISF3" s="120"/>
      <c r="ISG3" s="120"/>
      <c r="ISH3" s="120"/>
      <c r="ISI3" s="120"/>
      <c r="ISJ3" s="120"/>
      <c r="ISK3" s="120"/>
      <c r="ISL3" s="120"/>
      <c r="ISM3" s="120"/>
      <c r="ISN3" s="120"/>
      <c r="ISO3" s="120"/>
      <c r="ISP3" s="120"/>
      <c r="ISQ3" s="120"/>
      <c r="ISR3" s="120"/>
      <c r="ISS3" s="120"/>
      <c r="IST3" s="120"/>
      <c r="ISU3" s="120"/>
      <c r="ISV3" s="120"/>
      <c r="ISW3" s="120"/>
      <c r="ISX3" s="120"/>
      <c r="ISY3" s="120"/>
      <c r="ISZ3" s="120"/>
      <c r="ITA3" s="120"/>
      <c r="ITB3" s="120"/>
      <c r="ITC3" s="120"/>
      <c r="ITD3" s="120"/>
      <c r="ITE3" s="120"/>
      <c r="ITF3" s="120"/>
      <c r="ITG3" s="120"/>
      <c r="ITH3" s="120"/>
      <c r="ITI3" s="120"/>
      <c r="ITJ3" s="120"/>
      <c r="ITK3" s="120"/>
      <c r="ITL3" s="120"/>
      <c r="ITM3" s="120"/>
      <c r="ITN3" s="120"/>
      <c r="ITO3" s="120"/>
      <c r="ITP3" s="120"/>
      <c r="ITQ3" s="120"/>
      <c r="ITR3" s="120"/>
      <c r="ITS3" s="120"/>
      <c r="ITT3" s="120"/>
      <c r="ITU3" s="120"/>
      <c r="ITV3" s="120"/>
      <c r="ITW3" s="120"/>
      <c r="ITX3" s="120"/>
      <c r="ITY3" s="120"/>
      <c r="ITZ3" s="120"/>
      <c r="IUA3" s="120"/>
      <c r="IUB3" s="120"/>
      <c r="IUC3" s="120"/>
      <c r="IUD3" s="120"/>
      <c r="IUE3" s="120"/>
      <c r="IUF3" s="120"/>
      <c r="IUG3" s="120"/>
      <c r="IUH3" s="120"/>
      <c r="IUI3" s="120"/>
      <c r="IUJ3" s="120"/>
      <c r="IUK3" s="120"/>
      <c r="IUL3" s="120"/>
      <c r="IUM3" s="120"/>
      <c r="IUN3" s="120"/>
      <c r="IUO3" s="120"/>
      <c r="IUP3" s="120"/>
      <c r="IUQ3" s="120"/>
      <c r="IUR3" s="120"/>
      <c r="IUS3" s="120"/>
      <c r="IUT3" s="120"/>
      <c r="IUU3" s="120"/>
      <c r="IUV3" s="120"/>
      <c r="IUW3" s="120"/>
      <c r="IUX3" s="120"/>
      <c r="IUY3" s="120"/>
      <c r="IUZ3" s="120"/>
      <c r="IVA3" s="120"/>
      <c r="IVB3" s="120"/>
      <c r="IVC3" s="120"/>
      <c r="IVD3" s="120"/>
      <c r="IVE3" s="120"/>
      <c r="IVF3" s="120"/>
      <c r="IVG3" s="120"/>
      <c r="IVH3" s="120"/>
      <c r="IVI3" s="120"/>
      <c r="IVJ3" s="120"/>
      <c r="IVK3" s="120"/>
      <c r="IVL3" s="120"/>
      <c r="IVM3" s="120"/>
      <c r="IVN3" s="120"/>
      <c r="IVO3" s="120"/>
      <c r="IVP3" s="120"/>
      <c r="IVQ3" s="120"/>
      <c r="IVR3" s="120"/>
      <c r="IVS3" s="120"/>
      <c r="IVT3" s="120"/>
      <c r="IVU3" s="120"/>
      <c r="IVV3" s="120"/>
      <c r="IVW3" s="120"/>
      <c r="IVX3" s="120"/>
      <c r="IVY3" s="120"/>
      <c r="IVZ3" s="120"/>
      <c r="IWA3" s="120"/>
      <c r="IWB3" s="120"/>
      <c r="IWC3" s="120"/>
      <c r="IWD3" s="120"/>
      <c r="IWE3" s="120"/>
      <c r="IWF3" s="120"/>
      <c r="IWG3" s="120"/>
      <c r="IWH3" s="120"/>
      <c r="IWI3" s="120"/>
      <c r="IWJ3" s="120"/>
      <c r="IWK3" s="120"/>
      <c r="IWL3" s="120"/>
      <c r="IWM3" s="120"/>
      <c r="IWN3" s="120"/>
      <c r="IWO3" s="120"/>
      <c r="IWP3" s="120"/>
      <c r="IWQ3" s="120"/>
      <c r="IWR3" s="120"/>
      <c r="IWS3" s="120"/>
      <c r="IWT3" s="120"/>
      <c r="IWU3" s="120"/>
      <c r="IWV3" s="120"/>
      <c r="IWW3" s="120"/>
      <c r="IWX3" s="120"/>
      <c r="IWY3" s="120"/>
      <c r="IWZ3" s="120"/>
      <c r="IXA3" s="120"/>
      <c r="IXB3" s="120"/>
      <c r="IXC3" s="120"/>
      <c r="IXD3" s="120"/>
      <c r="IXE3" s="120"/>
      <c r="IXF3" s="120"/>
      <c r="IXG3" s="120"/>
      <c r="IXH3" s="120"/>
      <c r="IXI3" s="120"/>
      <c r="IXJ3" s="120"/>
      <c r="IXK3" s="120"/>
      <c r="IXL3" s="120"/>
      <c r="IXM3" s="120"/>
      <c r="IXN3" s="120"/>
      <c r="IXO3" s="120"/>
      <c r="IXP3" s="120"/>
      <c r="IXQ3" s="120"/>
      <c r="IXR3" s="120"/>
      <c r="IXS3" s="120"/>
      <c r="IXT3" s="120"/>
      <c r="IXU3" s="120"/>
      <c r="IXV3" s="120"/>
      <c r="IXW3" s="120"/>
      <c r="IXX3" s="120"/>
      <c r="IXY3" s="120"/>
      <c r="IXZ3" s="120"/>
      <c r="IYA3" s="120"/>
      <c r="IYB3" s="120"/>
      <c r="IYC3" s="120"/>
      <c r="IYD3" s="120"/>
      <c r="IYE3" s="120"/>
      <c r="IYF3" s="120"/>
      <c r="IYG3" s="120"/>
      <c r="IYH3" s="120"/>
      <c r="IYI3" s="120"/>
      <c r="IYJ3" s="120"/>
      <c r="IYK3" s="120"/>
      <c r="IYL3" s="120"/>
      <c r="IYM3" s="120"/>
      <c r="IYN3" s="120"/>
      <c r="IYO3" s="120"/>
      <c r="IYP3" s="120"/>
      <c r="IYQ3" s="120"/>
      <c r="IYR3" s="120"/>
      <c r="IYS3" s="120"/>
      <c r="IYT3" s="120"/>
      <c r="IYU3" s="120"/>
      <c r="IYV3" s="120"/>
      <c r="IYW3" s="120"/>
      <c r="IYX3" s="120"/>
      <c r="IYY3" s="120"/>
      <c r="IYZ3" s="120"/>
      <c r="IZA3" s="120"/>
      <c r="IZB3" s="120"/>
      <c r="IZC3" s="120"/>
      <c r="IZD3" s="120"/>
      <c r="IZE3" s="120"/>
      <c r="IZF3" s="120"/>
      <c r="IZG3" s="120"/>
      <c r="IZH3" s="120"/>
      <c r="IZI3" s="120"/>
      <c r="IZJ3" s="120"/>
      <c r="IZK3" s="120"/>
      <c r="IZL3" s="120"/>
      <c r="IZM3" s="120"/>
      <c r="IZN3" s="120"/>
      <c r="IZO3" s="120"/>
      <c r="IZP3" s="120"/>
      <c r="IZQ3" s="120"/>
      <c r="IZR3" s="120"/>
      <c r="IZS3" s="120"/>
      <c r="IZT3" s="120"/>
      <c r="IZU3" s="120"/>
      <c r="IZV3" s="120"/>
      <c r="IZW3" s="120"/>
      <c r="IZX3" s="120"/>
      <c r="IZY3" s="120"/>
      <c r="IZZ3" s="120"/>
      <c r="JAA3" s="120"/>
      <c r="JAB3" s="120"/>
      <c r="JAC3" s="120"/>
      <c r="JAD3" s="120"/>
      <c r="JAE3" s="120"/>
      <c r="JAF3" s="120"/>
      <c r="JAG3" s="120"/>
      <c r="JAH3" s="120"/>
      <c r="JAI3" s="120"/>
      <c r="JAJ3" s="120"/>
      <c r="JAK3" s="120"/>
      <c r="JAL3" s="120"/>
      <c r="JAM3" s="120"/>
      <c r="JAN3" s="120"/>
      <c r="JAO3" s="120"/>
      <c r="JAP3" s="120"/>
      <c r="JAQ3" s="120"/>
      <c r="JAR3" s="120"/>
      <c r="JAS3" s="120"/>
      <c r="JAT3" s="120"/>
      <c r="JAU3" s="120"/>
      <c r="JAV3" s="120"/>
      <c r="JAW3" s="120"/>
      <c r="JAX3" s="120"/>
      <c r="JAY3" s="120"/>
      <c r="JAZ3" s="120"/>
      <c r="JBA3" s="120"/>
      <c r="JBB3" s="120"/>
      <c r="JBC3" s="120"/>
      <c r="JBD3" s="120"/>
      <c r="JBE3" s="120"/>
      <c r="JBF3" s="120"/>
      <c r="JBG3" s="120"/>
      <c r="JBH3" s="120"/>
      <c r="JBI3" s="120"/>
      <c r="JBJ3" s="120"/>
      <c r="JBK3" s="120"/>
      <c r="JBL3" s="120"/>
      <c r="JBM3" s="120"/>
      <c r="JBN3" s="120"/>
      <c r="JBO3" s="120"/>
      <c r="JBP3" s="120"/>
      <c r="JBQ3" s="120"/>
      <c r="JBR3" s="120"/>
      <c r="JBS3" s="120"/>
      <c r="JBT3" s="120"/>
      <c r="JBU3" s="120"/>
      <c r="JBV3" s="120"/>
      <c r="JBW3" s="120"/>
      <c r="JBX3" s="120"/>
      <c r="JBY3" s="120"/>
      <c r="JBZ3" s="120"/>
      <c r="JCA3" s="120"/>
      <c r="JCB3" s="120"/>
      <c r="JCC3" s="120"/>
      <c r="JCD3" s="120"/>
      <c r="JCE3" s="120"/>
      <c r="JCF3" s="120"/>
      <c r="JCG3" s="120"/>
      <c r="JCH3" s="120"/>
      <c r="JCI3" s="120"/>
      <c r="JCJ3" s="120"/>
      <c r="JCK3" s="120"/>
      <c r="JCL3" s="120"/>
      <c r="JCM3" s="120"/>
      <c r="JCN3" s="120"/>
      <c r="JCO3" s="120"/>
      <c r="JCP3" s="120"/>
      <c r="JCQ3" s="120"/>
      <c r="JCR3" s="120"/>
      <c r="JCS3" s="120"/>
      <c r="JCT3" s="120"/>
      <c r="JCU3" s="120"/>
      <c r="JCV3" s="120"/>
      <c r="JCW3" s="120"/>
      <c r="JCX3" s="120"/>
      <c r="JCY3" s="120"/>
      <c r="JCZ3" s="120"/>
      <c r="JDA3" s="120"/>
      <c r="JDB3" s="120"/>
      <c r="JDC3" s="120"/>
      <c r="JDD3" s="120"/>
      <c r="JDE3" s="120"/>
      <c r="JDF3" s="120"/>
      <c r="JDG3" s="120"/>
      <c r="JDH3" s="120"/>
      <c r="JDI3" s="120"/>
      <c r="JDJ3" s="120"/>
      <c r="JDK3" s="120"/>
      <c r="JDL3" s="120"/>
      <c r="JDM3" s="120"/>
      <c r="JDN3" s="120"/>
      <c r="JDO3" s="120"/>
      <c r="JDP3" s="120"/>
      <c r="JDQ3" s="120"/>
      <c r="JDR3" s="120"/>
      <c r="JDS3" s="120"/>
      <c r="JDT3" s="120"/>
      <c r="JDU3" s="120"/>
      <c r="JDV3" s="120"/>
      <c r="JDW3" s="120"/>
      <c r="JDX3" s="120"/>
      <c r="JDY3" s="120"/>
      <c r="JDZ3" s="120"/>
      <c r="JEA3" s="120"/>
      <c r="JEB3" s="120"/>
      <c r="JEC3" s="120"/>
      <c r="JED3" s="120"/>
      <c r="JEE3" s="120"/>
      <c r="JEF3" s="120"/>
      <c r="JEG3" s="120"/>
      <c r="JEH3" s="120"/>
      <c r="JEI3" s="120"/>
      <c r="JEJ3" s="120"/>
      <c r="JEK3" s="120"/>
      <c r="JEL3" s="120"/>
      <c r="JEM3" s="120"/>
      <c r="JEN3" s="120"/>
      <c r="JEO3" s="120"/>
      <c r="JEP3" s="120"/>
      <c r="JEQ3" s="120"/>
      <c r="JER3" s="120"/>
      <c r="JES3" s="120"/>
      <c r="JET3" s="120"/>
      <c r="JEU3" s="120"/>
      <c r="JEV3" s="120"/>
      <c r="JEW3" s="120"/>
      <c r="JEX3" s="120"/>
      <c r="JEY3" s="120"/>
      <c r="JEZ3" s="120"/>
      <c r="JFA3" s="120"/>
      <c r="JFB3" s="120"/>
      <c r="JFC3" s="120"/>
      <c r="JFD3" s="120"/>
      <c r="JFE3" s="120"/>
      <c r="JFF3" s="120"/>
      <c r="JFG3" s="120"/>
      <c r="JFH3" s="120"/>
      <c r="JFI3" s="120"/>
      <c r="JFJ3" s="120"/>
      <c r="JFK3" s="120"/>
      <c r="JFL3" s="120"/>
      <c r="JFM3" s="120"/>
      <c r="JFN3" s="120"/>
      <c r="JFO3" s="120"/>
      <c r="JFP3" s="120"/>
      <c r="JFQ3" s="120"/>
      <c r="JFR3" s="120"/>
      <c r="JFS3" s="120"/>
      <c r="JFT3" s="120"/>
      <c r="JFU3" s="120"/>
      <c r="JFV3" s="120"/>
      <c r="JFW3" s="120"/>
      <c r="JFX3" s="120"/>
      <c r="JFY3" s="120"/>
      <c r="JFZ3" s="120"/>
      <c r="JGA3" s="120"/>
      <c r="JGB3" s="120"/>
      <c r="JGC3" s="120"/>
      <c r="JGD3" s="120"/>
      <c r="JGE3" s="120"/>
      <c r="JGF3" s="120"/>
      <c r="JGG3" s="120"/>
      <c r="JGH3" s="120"/>
      <c r="JGI3" s="120"/>
      <c r="JGJ3" s="120"/>
      <c r="JGK3" s="120"/>
      <c r="JGL3" s="120"/>
      <c r="JGM3" s="120"/>
      <c r="JGN3" s="120"/>
      <c r="JGO3" s="120"/>
      <c r="JGP3" s="120"/>
      <c r="JGQ3" s="120"/>
      <c r="JGR3" s="120"/>
      <c r="JGS3" s="120"/>
      <c r="JGT3" s="120"/>
      <c r="JGU3" s="120"/>
      <c r="JGV3" s="120"/>
      <c r="JGW3" s="120"/>
      <c r="JGX3" s="120"/>
      <c r="JGY3" s="120"/>
      <c r="JGZ3" s="120"/>
      <c r="JHA3" s="120"/>
      <c r="JHB3" s="120"/>
      <c r="JHC3" s="120"/>
      <c r="JHD3" s="120"/>
      <c r="JHE3" s="120"/>
      <c r="JHF3" s="120"/>
      <c r="JHG3" s="120"/>
      <c r="JHH3" s="120"/>
      <c r="JHI3" s="120"/>
      <c r="JHJ3" s="120"/>
      <c r="JHK3" s="120"/>
      <c r="JHL3" s="120"/>
      <c r="JHM3" s="120"/>
      <c r="JHN3" s="120"/>
      <c r="JHO3" s="120"/>
      <c r="JHP3" s="120"/>
      <c r="JHQ3" s="120"/>
      <c r="JHR3" s="120"/>
      <c r="JHS3" s="120"/>
      <c r="JHT3" s="120"/>
      <c r="JHU3" s="120"/>
      <c r="JHV3" s="120"/>
      <c r="JHW3" s="120"/>
      <c r="JHX3" s="120"/>
      <c r="JHY3" s="120"/>
      <c r="JHZ3" s="120"/>
      <c r="JIA3" s="120"/>
      <c r="JIB3" s="120"/>
      <c r="JIC3" s="120"/>
      <c r="JID3" s="120"/>
      <c r="JIE3" s="120"/>
      <c r="JIF3" s="120"/>
      <c r="JIG3" s="120"/>
      <c r="JIH3" s="120"/>
      <c r="JII3" s="120"/>
      <c r="JIJ3" s="120"/>
      <c r="JIK3" s="120"/>
      <c r="JIL3" s="120"/>
      <c r="JIM3" s="120"/>
      <c r="JIN3" s="120"/>
      <c r="JIO3" s="120"/>
      <c r="JIP3" s="120"/>
      <c r="JIQ3" s="120"/>
      <c r="JIR3" s="120"/>
      <c r="JIS3" s="120"/>
      <c r="JIT3" s="120"/>
      <c r="JIU3" s="120"/>
      <c r="JIV3" s="120"/>
      <c r="JIW3" s="120"/>
      <c r="JIX3" s="120"/>
      <c r="JIY3" s="120"/>
      <c r="JIZ3" s="120"/>
      <c r="JJA3" s="120"/>
      <c r="JJB3" s="120"/>
      <c r="JJC3" s="120"/>
      <c r="JJD3" s="120"/>
      <c r="JJE3" s="120"/>
      <c r="JJF3" s="120"/>
      <c r="JJG3" s="120"/>
      <c r="JJH3" s="120"/>
      <c r="JJI3" s="120"/>
      <c r="JJJ3" s="120"/>
      <c r="JJK3" s="120"/>
      <c r="JJL3" s="120"/>
      <c r="JJM3" s="120"/>
      <c r="JJN3" s="120"/>
      <c r="JJO3" s="120"/>
      <c r="JJP3" s="120"/>
      <c r="JJQ3" s="120"/>
      <c r="JJR3" s="120"/>
      <c r="JJS3" s="120"/>
      <c r="JJT3" s="120"/>
      <c r="JJU3" s="120"/>
      <c r="JJV3" s="120"/>
      <c r="JJW3" s="120"/>
      <c r="JJX3" s="120"/>
      <c r="JJY3" s="120"/>
      <c r="JJZ3" s="120"/>
      <c r="JKA3" s="120"/>
      <c r="JKB3" s="120"/>
      <c r="JKC3" s="120"/>
      <c r="JKD3" s="120"/>
      <c r="JKE3" s="120"/>
      <c r="JKF3" s="120"/>
      <c r="JKG3" s="120"/>
      <c r="JKH3" s="120"/>
      <c r="JKI3" s="120"/>
      <c r="JKJ3" s="120"/>
      <c r="JKK3" s="120"/>
      <c r="JKL3" s="120"/>
      <c r="JKM3" s="120"/>
      <c r="JKN3" s="120"/>
      <c r="JKO3" s="120"/>
      <c r="JKP3" s="120"/>
      <c r="JKQ3" s="120"/>
      <c r="JKR3" s="120"/>
      <c r="JKS3" s="120"/>
      <c r="JKT3" s="120"/>
      <c r="JKU3" s="120"/>
      <c r="JKV3" s="120"/>
      <c r="JKW3" s="120"/>
      <c r="JKX3" s="120"/>
      <c r="JKY3" s="120"/>
      <c r="JKZ3" s="120"/>
      <c r="JLA3" s="120"/>
      <c r="JLB3" s="120"/>
      <c r="JLC3" s="120"/>
      <c r="JLD3" s="120"/>
      <c r="JLE3" s="120"/>
      <c r="JLF3" s="120"/>
      <c r="JLG3" s="120"/>
      <c r="JLH3" s="120"/>
      <c r="JLI3" s="120"/>
      <c r="JLJ3" s="120"/>
      <c r="JLK3" s="120"/>
      <c r="JLL3" s="120"/>
      <c r="JLM3" s="120"/>
      <c r="JLN3" s="120"/>
      <c r="JLO3" s="120"/>
      <c r="JLP3" s="120"/>
      <c r="JLQ3" s="120"/>
      <c r="JLR3" s="120"/>
      <c r="JLS3" s="120"/>
      <c r="JLT3" s="120"/>
      <c r="JLU3" s="120"/>
      <c r="JLV3" s="120"/>
      <c r="JLW3" s="120"/>
      <c r="JLX3" s="120"/>
      <c r="JLY3" s="120"/>
      <c r="JLZ3" s="120"/>
      <c r="JMA3" s="120"/>
      <c r="JMB3" s="120"/>
      <c r="JMC3" s="120"/>
      <c r="JMD3" s="120"/>
      <c r="JME3" s="120"/>
      <c r="JMF3" s="120"/>
      <c r="JMG3" s="120"/>
      <c r="JMH3" s="120"/>
      <c r="JMI3" s="120"/>
      <c r="JMJ3" s="120"/>
      <c r="JMK3" s="120"/>
      <c r="JML3" s="120"/>
      <c r="JMM3" s="120"/>
      <c r="JMN3" s="120"/>
      <c r="JMO3" s="120"/>
      <c r="JMP3" s="120"/>
      <c r="JMQ3" s="120"/>
      <c r="JMR3" s="120"/>
      <c r="JMS3" s="120"/>
      <c r="JMT3" s="120"/>
      <c r="JMU3" s="120"/>
      <c r="JMV3" s="120"/>
      <c r="JMW3" s="120"/>
      <c r="JMX3" s="120"/>
      <c r="JMY3" s="120"/>
      <c r="JMZ3" s="120"/>
      <c r="JNA3" s="120"/>
      <c r="JNB3" s="120"/>
      <c r="JNC3" s="120"/>
      <c r="JND3" s="120"/>
      <c r="JNE3" s="120"/>
      <c r="JNF3" s="120"/>
      <c r="JNG3" s="120"/>
      <c r="JNH3" s="120"/>
      <c r="JNI3" s="120"/>
      <c r="JNJ3" s="120"/>
      <c r="JNK3" s="120"/>
      <c r="JNL3" s="120"/>
      <c r="JNM3" s="120"/>
      <c r="JNN3" s="120"/>
      <c r="JNO3" s="120"/>
      <c r="JNP3" s="120"/>
      <c r="JNQ3" s="120"/>
      <c r="JNR3" s="120"/>
      <c r="JNS3" s="120"/>
      <c r="JNT3" s="120"/>
      <c r="JNU3" s="120"/>
      <c r="JNV3" s="120"/>
      <c r="JNW3" s="120"/>
      <c r="JNX3" s="120"/>
      <c r="JNY3" s="120"/>
      <c r="JNZ3" s="120"/>
      <c r="JOA3" s="120"/>
      <c r="JOB3" s="120"/>
      <c r="JOC3" s="120"/>
      <c r="JOD3" s="120"/>
      <c r="JOE3" s="120"/>
      <c r="JOF3" s="120"/>
      <c r="JOG3" s="120"/>
      <c r="JOH3" s="120"/>
      <c r="JOI3" s="120"/>
      <c r="JOJ3" s="120"/>
      <c r="JOK3" s="120"/>
      <c r="JOL3" s="120"/>
      <c r="JOM3" s="120"/>
      <c r="JON3" s="120"/>
      <c r="JOO3" s="120"/>
      <c r="JOP3" s="120"/>
      <c r="JOQ3" s="120"/>
      <c r="JOR3" s="120"/>
      <c r="JOS3" s="120"/>
      <c r="JOT3" s="120"/>
      <c r="JOU3" s="120"/>
      <c r="JOV3" s="120"/>
      <c r="JOW3" s="120"/>
      <c r="JOX3" s="120"/>
      <c r="JOY3" s="120"/>
      <c r="JOZ3" s="120"/>
      <c r="JPA3" s="120"/>
      <c r="JPB3" s="120"/>
      <c r="JPC3" s="120"/>
      <c r="JPD3" s="120"/>
      <c r="JPE3" s="120"/>
      <c r="JPF3" s="120"/>
      <c r="JPG3" s="120"/>
      <c r="JPH3" s="120"/>
      <c r="JPI3" s="120"/>
      <c r="JPJ3" s="120"/>
      <c r="JPK3" s="120"/>
      <c r="JPL3" s="120"/>
      <c r="JPM3" s="120"/>
      <c r="JPN3" s="120"/>
      <c r="JPO3" s="120"/>
      <c r="JPP3" s="120"/>
      <c r="JPQ3" s="120"/>
      <c r="JPR3" s="120"/>
      <c r="JPS3" s="120"/>
      <c r="JPT3" s="120"/>
      <c r="JPU3" s="120"/>
      <c r="JPV3" s="120"/>
      <c r="JPW3" s="120"/>
      <c r="JPX3" s="120"/>
      <c r="JPY3" s="120"/>
      <c r="JPZ3" s="120"/>
      <c r="JQA3" s="120"/>
      <c r="JQB3" s="120"/>
      <c r="JQC3" s="120"/>
      <c r="JQD3" s="120"/>
      <c r="JQE3" s="120"/>
      <c r="JQF3" s="120"/>
      <c r="JQG3" s="120"/>
      <c r="JQH3" s="120"/>
      <c r="JQI3" s="120"/>
      <c r="JQJ3" s="120"/>
      <c r="JQK3" s="120"/>
      <c r="JQL3" s="120"/>
      <c r="JQM3" s="120"/>
      <c r="JQN3" s="120"/>
      <c r="JQO3" s="120"/>
      <c r="JQP3" s="120"/>
      <c r="JQQ3" s="120"/>
      <c r="JQR3" s="120"/>
      <c r="JQS3" s="120"/>
      <c r="JQT3" s="120"/>
      <c r="JQU3" s="120"/>
      <c r="JQV3" s="120"/>
      <c r="JQW3" s="120"/>
      <c r="JQX3" s="120"/>
      <c r="JQY3" s="120"/>
      <c r="JQZ3" s="120"/>
      <c r="JRA3" s="120"/>
      <c r="JRB3" s="120"/>
      <c r="JRC3" s="120"/>
      <c r="JRD3" s="120"/>
      <c r="JRE3" s="120"/>
      <c r="JRF3" s="120"/>
      <c r="JRG3" s="120"/>
      <c r="JRH3" s="120"/>
      <c r="JRI3" s="120"/>
      <c r="JRJ3" s="120"/>
      <c r="JRK3" s="120"/>
      <c r="JRL3" s="120"/>
      <c r="JRM3" s="120"/>
      <c r="JRN3" s="120"/>
      <c r="JRO3" s="120"/>
      <c r="JRP3" s="120"/>
      <c r="JRQ3" s="120"/>
      <c r="JRR3" s="120"/>
      <c r="JRS3" s="120"/>
      <c r="JRT3" s="120"/>
      <c r="JRU3" s="120"/>
      <c r="JRV3" s="120"/>
      <c r="JRW3" s="120"/>
      <c r="JRX3" s="120"/>
      <c r="JRY3" s="120"/>
      <c r="JRZ3" s="120"/>
      <c r="JSA3" s="120"/>
      <c r="JSB3" s="120"/>
      <c r="JSC3" s="120"/>
      <c r="JSD3" s="120"/>
      <c r="JSE3" s="120"/>
      <c r="JSF3" s="120"/>
      <c r="JSG3" s="120"/>
      <c r="JSH3" s="120"/>
      <c r="JSI3" s="120"/>
      <c r="JSJ3" s="120"/>
      <c r="JSK3" s="120"/>
      <c r="JSL3" s="120"/>
      <c r="JSM3" s="120"/>
      <c r="JSN3" s="120"/>
      <c r="JSO3" s="120"/>
      <c r="JSP3" s="120"/>
      <c r="JSQ3" s="120"/>
      <c r="JSR3" s="120"/>
      <c r="JSS3" s="120"/>
      <c r="JST3" s="120"/>
      <c r="JSU3" s="120"/>
      <c r="JSV3" s="120"/>
      <c r="JSW3" s="120"/>
      <c r="JSX3" s="120"/>
      <c r="JSY3" s="120"/>
      <c r="JSZ3" s="120"/>
      <c r="JTA3" s="120"/>
      <c r="JTB3" s="120"/>
      <c r="JTC3" s="120"/>
      <c r="JTD3" s="120"/>
      <c r="JTE3" s="120"/>
      <c r="JTF3" s="120"/>
      <c r="JTG3" s="120"/>
      <c r="JTH3" s="120"/>
      <c r="JTI3" s="120"/>
      <c r="JTJ3" s="120"/>
      <c r="JTK3" s="120"/>
      <c r="JTL3" s="120"/>
      <c r="JTM3" s="120"/>
      <c r="JTN3" s="120"/>
      <c r="JTO3" s="120"/>
      <c r="JTP3" s="120"/>
      <c r="JTQ3" s="120"/>
      <c r="JTR3" s="120"/>
      <c r="JTS3" s="120"/>
      <c r="JTT3" s="120"/>
      <c r="JTU3" s="120"/>
      <c r="JTV3" s="120"/>
      <c r="JTW3" s="120"/>
      <c r="JTX3" s="120"/>
      <c r="JTY3" s="120"/>
      <c r="JTZ3" s="120"/>
      <c r="JUA3" s="120"/>
      <c r="JUB3" s="120"/>
      <c r="JUC3" s="120"/>
      <c r="JUD3" s="120"/>
      <c r="JUE3" s="120"/>
      <c r="JUF3" s="120"/>
      <c r="JUG3" s="120"/>
      <c r="JUH3" s="120"/>
      <c r="JUI3" s="120"/>
      <c r="JUJ3" s="120"/>
      <c r="JUK3" s="120"/>
      <c r="JUL3" s="120"/>
      <c r="JUM3" s="120"/>
      <c r="JUN3" s="120"/>
      <c r="JUO3" s="120"/>
      <c r="JUP3" s="120"/>
      <c r="JUQ3" s="120"/>
      <c r="JUR3" s="120"/>
      <c r="JUS3" s="120"/>
      <c r="JUT3" s="120"/>
      <c r="JUU3" s="120"/>
      <c r="JUV3" s="120"/>
      <c r="JUW3" s="120"/>
      <c r="JUX3" s="120"/>
      <c r="JUY3" s="120"/>
      <c r="JUZ3" s="120"/>
      <c r="JVA3" s="120"/>
      <c r="JVB3" s="120"/>
      <c r="JVC3" s="120"/>
      <c r="JVD3" s="120"/>
      <c r="JVE3" s="120"/>
      <c r="JVF3" s="120"/>
      <c r="JVG3" s="120"/>
      <c r="JVH3" s="120"/>
      <c r="JVI3" s="120"/>
      <c r="JVJ3" s="120"/>
      <c r="JVK3" s="120"/>
      <c r="JVL3" s="120"/>
      <c r="JVM3" s="120"/>
      <c r="JVN3" s="120"/>
      <c r="JVO3" s="120"/>
      <c r="JVP3" s="120"/>
      <c r="JVQ3" s="120"/>
      <c r="JVR3" s="120"/>
      <c r="JVS3" s="120"/>
      <c r="JVT3" s="120"/>
      <c r="JVU3" s="120"/>
      <c r="JVV3" s="120"/>
      <c r="JVW3" s="120"/>
      <c r="JVX3" s="120"/>
      <c r="JVY3" s="120"/>
      <c r="JVZ3" s="120"/>
      <c r="JWA3" s="120"/>
      <c r="JWB3" s="120"/>
      <c r="JWC3" s="120"/>
      <c r="JWD3" s="120"/>
      <c r="JWE3" s="120"/>
      <c r="JWF3" s="120"/>
      <c r="JWG3" s="120"/>
      <c r="JWH3" s="120"/>
      <c r="JWI3" s="120"/>
      <c r="JWJ3" s="120"/>
      <c r="JWK3" s="120"/>
      <c r="JWL3" s="120"/>
      <c r="JWM3" s="120"/>
      <c r="JWN3" s="120"/>
      <c r="JWO3" s="120"/>
      <c r="JWP3" s="120"/>
      <c r="JWQ3" s="120"/>
      <c r="JWR3" s="120"/>
      <c r="JWS3" s="120"/>
      <c r="JWT3" s="120"/>
      <c r="JWU3" s="120"/>
      <c r="JWV3" s="120"/>
      <c r="JWW3" s="120"/>
      <c r="JWX3" s="120"/>
      <c r="JWY3" s="120"/>
      <c r="JWZ3" s="120"/>
      <c r="JXA3" s="120"/>
      <c r="JXB3" s="120"/>
      <c r="JXC3" s="120"/>
      <c r="JXD3" s="120"/>
      <c r="JXE3" s="120"/>
      <c r="JXF3" s="120"/>
      <c r="JXG3" s="120"/>
      <c r="JXH3" s="120"/>
      <c r="JXI3" s="120"/>
      <c r="JXJ3" s="120"/>
      <c r="JXK3" s="120"/>
      <c r="JXL3" s="120"/>
      <c r="JXM3" s="120"/>
      <c r="JXN3" s="120"/>
      <c r="JXO3" s="120"/>
      <c r="JXP3" s="120"/>
      <c r="JXQ3" s="120"/>
      <c r="JXR3" s="120"/>
      <c r="JXS3" s="120"/>
      <c r="JXT3" s="120"/>
      <c r="JXU3" s="120"/>
      <c r="JXV3" s="120"/>
      <c r="JXW3" s="120"/>
      <c r="JXX3" s="120"/>
      <c r="JXY3" s="120"/>
      <c r="JXZ3" s="120"/>
      <c r="JYA3" s="120"/>
      <c r="JYB3" s="120"/>
      <c r="JYC3" s="120"/>
      <c r="JYD3" s="120"/>
      <c r="JYE3" s="120"/>
      <c r="JYF3" s="120"/>
      <c r="JYG3" s="120"/>
      <c r="JYH3" s="120"/>
      <c r="JYI3" s="120"/>
      <c r="JYJ3" s="120"/>
      <c r="JYK3" s="120"/>
      <c r="JYL3" s="120"/>
      <c r="JYM3" s="120"/>
      <c r="JYN3" s="120"/>
      <c r="JYO3" s="120"/>
      <c r="JYP3" s="120"/>
      <c r="JYQ3" s="120"/>
      <c r="JYR3" s="120"/>
      <c r="JYS3" s="120"/>
      <c r="JYT3" s="120"/>
      <c r="JYU3" s="120"/>
      <c r="JYV3" s="120"/>
      <c r="JYW3" s="120"/>
      <c r="JYX3" s="120"/>
      <c r="JYY3" s="120"/>
      <c r="JYZ3" s="120"/>
      <c r="JZA3" s="120"/>
      <c r="JZB3" s="120"/>
      <c r="JZC3" s="120"/>
      <c r="JZD3" s="120"/>
      <c r="JZE3" s="120"/>
      <c r="JZF3" s="120"/>
      <c r="JZG3" s="120"/>
      <c r="JZH3" s="120"/>
      <c r="JZI3" s="120"/>
      <c r="JZJ3" s="120"/>
      <c r="JZK3" s="120"/>
      <c r="JZL3" s="120"/>
      <c r="JZM3" s="120"/>
      <c r="JZN3" s="120"/>
      <c r="JZO3" s="120"/>
      <c r="JZP3" s="120"/>
      <c r="JZQ3" s="120"/>
      <c r="JZR3" s="120"/>
      <c r="JZS3" s="120"/>
      <c r="JZT3" s="120"/>
      <c r="JZU3" s="120"/>
      <c r="JZV3" s="120"/>
      <c r="JZW3" s="120"/>
      <c r="JZX3" s="120"/>
      <c r="JZY3" s="120"/>
      <c r="JZZ3" s="120"/>
      <c r="KAA3" s="120"/>
      <c r="KAB3" s="120"/>
      <c r="KAC3" s="120"/>
      <c r="KAD3" s="120"/>
      <c r="KAE3" s="120"/>
      <c r="KAF3" s="120"/>
      <c r="KAG3" s="120"/>
      <c r="KAH3" s="120"/>
      <c r="KAI3" s="120"/>
      <c r="KAJ3" s="120"/>
      <c r="KAK3" s="120"/>
      <c r="KAL3" s="120"/>
      <c r="KAM3" s="120"/>
      <c r="KAN3" s="120"/>
      <c r="KAO3" s="120"/>
      <c r="KAP3" s="120"/>
      <c r="KAQ3" s="120"/>
      <c r="KAR3" s="120"/>
      <c r="KAS3" s="120"/>
      <c r="KAT3" s="120"/>
      <c r="KAU3" s="120"/>
      <c r="KAV3" s="120"/>
      <c r="KAW3" s="120"/>
      <c r="KAX3" s="120"/>
      <c r="KAY3" s="120"/>
      <c r="KAZ3" s="120"/>
      <c r="KBA3" s="120"/>
      <c r="KBB3" s="120"/>
      <c r="KBC3" s="120"/>
      <c r="KBD3" s="120"/>
      <c r="KBE3" s="120"/>
      <c r="KBF3" s="120"/>
      <c r="KBG3" s="120"/>
      <c r="KBH3" s="120"/>
      <c r="KBI3" s="120"/>
      <c r="KBJ3" s="120"/>
      <c r="KBK3" s="120"/>
      <c r="KBL3" s="120"/>
      <c r="KBM3" s="120"/>
      <c r="KBN3" s="120"/>
      <c r="KBO3" s="120"/>
      <c r="KBP3" s="120"/>
      <c r="KBQ3" s="120"/>
      <c r="KBR3" s="120"/>
      <c r="KBS3" s="120"/>
      <c r="KBT3" s="120"/>
      <c r="KBU3" s="120"/>
      <c r="KBV3" s="120"/>
      <c r="KBW3" s="120"/>
      <c r="KBX3" s="120"/>
      <c r="KBY3" s="120"/>
      <c r="KBZ3" s="120"/>
      <c r="KCA3" s="120"/>
      <c r="KCB3" s="120"/>
      <c r="KCC3" s="120"/>
      <c r="KCD3" s="120"/>
      <c r="KCE3" s="120"/>
      <c r="KCF3" s="120"/>
      <c r="KCG3" s="120"/>
      <c r="KCH3" s="120"/>
      <c r="KCI3" s="120"/>
      <c r="KCJ3" s="120"/>
      <c r="KCK3" s="120"/>
      <c r="KCL3" s="120"/>
      <c r="KCM3" s="120"/>
      <c r="KCN3" s="120"/>
      <c r="KCO3" s="120"/>
      <c r="KCP3" s="120"/>
      <c r="KCQ3" s="120"/>
      <c r="KCR3" s="120"/>
      <c r="KCS3" s="120"/>
      <c r="KCT3" s="120"/>
      <c r="KCU3" s="120"/>
      <c r="KCV3" s="120"/>
      <c r="KCW3" s="120"/>
      <c r="KCX3" s="120"/>
      <c r="KCY3" s="120"/>
      <c r="KCZ3" s="120"/>
      <c r="KDA3" s="120"/>
      <c r="KDB3" s="120"/>
      <c r="KDC3" s="120"/>
      <c r="KDD3" s="120"/>
      <c r="KDE3" s="120"/>
      <c r="KDF3" s="120"/>
      <c r="KDG3" s="120"/>
      <c r="KDH3" s="120"/>
      <c r="KDI3" s="120"/>
      <c r="KDJ3" s="120"/>
      <c r="KDK3" s="120"/>
      <c r="KDL3" s="120"/>
      <c r="KDM3" s="120"/>
      <c r="KDN3" s="120"/>
      <c r="KDO3" s="120"/>
      <c r="KDP3" s="120"/>
      <c r="KDQ3" s="120"/>
      <c r="KDR3" s="120"/>
      <c r="KDS3" s="120"/>
      <c r="KDT3" s="120"/>
      <c r="KDU3" s="120"/>
      <c r="KDV3" s="120"/>
      <c r="KDW3" s="120"/>
      <c r="KDX3" s="120"/>
      <c r="KDY3" s="120"/>
      <c r="KDZ3" s="120"/>
      <c r="KEA3" s="120"/>
      <c r="KEB3" s="120"/>
      <c r="KEC3" s="120"/>
      <c r="KED3" s="120"/>
      <c r="KEE3" s="120"/>
      <c r="KEF3" s="120"/>
      <c r="KEG3" s="120"/>
      <c r="KEH3" s="120"/>
      <c r="KEI3" s="120"/>
      <c r="KEJ3" s="120"/>
      <c r="KEK3" s="120"/>
      <c r="KEL3" s="120"/>
      <c r="KEM3" s="120"/>
      <c r="KEN3" s="120"/>
      <c r="KEO3" s="120"/>
      <c r="KEP3" s="120"/>
      <c r="KEQ3" s="120"/>
      <c r="KER3" s="120"/>
      <c r="KES3" s="120"/>
      <c r="KET3" s="120"/>
      <c r="KEU3" s="120"/>
      <c r="KEV3" s="120"/>
      <c r="KEW3" s="120"/>
      <c r="KEX3" s="120"/>
      <c r="KEY3" s="120"/>
      <c r="KEZ3" s="120"/>
      <c r="KFA3" s="120"/>
      <c r="KFB3" s="120"/>
      <c r="KFC3" s="120"/>
      <c r="KFD3" s="120"/>
      <c r="KFE3" s="120"/>
      <c r="KFF3" s="120"/>
      <c r="KFG3" s="120"/>
      <c r="KFH3" s="120"/>
      <c r="KFI3" s="120"/>
      <c r="KFJ3" s="120"/>
      <c r="KFK3" s="120"/>
      <c r="KFL3" s="120"/>
      <c r="KFM3" s="120"/>
      <c r="KFN3" s="120"/>
      <c r="KFO3" s="120"/>
      <c r="KFP3" s="120"/>
      <c r="KFQ3" s="120"/>
      <c r="KFR3" s="120"/>
      <c r="KFS3" s="120"/>
      <c r="KFT3" s="120"/>
      <c r="KFU3" s="120"/>
      <c r="KFV3" s="120"/>
      <c r="KFW3" s="120"/>
      <c r="KFX3" s="120"/>
      <c r="KFY3" s="120"/>
      <c r="KFZ3" s="120"/>
      <c r="KGA3" s="120"/>
      <c r="KGB3" s="120"/>
      <c r="KGC3" s="120"/>
      <c r="KGD3" s="120"/>
      <c r="KGE3" s="120"/>
      <c r="KGF3" s="120"/>
      <c r="KGG3" s="120"/>
      <c r="KGH3" s="120"/>
      <c r="KGI3" s="120"/>
      <c r="KGJ3" s="120"/>
      <c r="KGK3" s="120"/>
      <c r="KGL3" s="120"/>
      <c r="KGM3" s="120"/>
      <c r="KGN3" s="120"/>
      <c r="KGO3" s="120"/>
      <c r="KGP3" s="120"/>
      <c r="KGQ3" s="120"/>
      <c r="KGR3" s="120"/>
      <c r="KGS3" s="120"/>
      <c r="KGT3" s="120"/>
      <c r="KGU3" s="120"/>
      <c r="KGV3" s="120"/>
      <c r="KGW3" s="120"/>
      <c r="KGX3" s="120"/>
      <c r="KGY3" s="120"/>
      <c r="KGZ3" s="120"/>
      <c r="KHA3" s="120"/>
      <c r="KHB3" s="120"/>
      <c r="KHC3" s="120"/>
      <c r="KHD3" s="120"/>
      <c r="KHE3" s="120"/>
      <c r="KHF3" s="120"/>
      <c r="KHG3" s="120"/>
      <c r="KHH3" s="120"/>
      <c r="KHI3" s="120"/>
      <c r="KHJ3" s="120"/>
      <c r="KHK3" s="120"/>
      <c r="KHL3" s="120"/>
      <c r="KHM3" s="120"/>
      <c r="KHN3" s="120"/>
      <c r="KHO3" s="120"/>
      <c r="KHP3" s="120"/>
      <c r="KHQ3" s="120"/>
      <c r="KHR3" s="120"/>
      <c r="KHS3" s="120"/>
      <c r="KHT3" s="120"/>
      <c r="KHU3" s="120"/>
      <c r="KHV3" s="120"/>
      <c r="KHW3" s="120"/>
      <c r="KHX3" s="120"/>
      <c r="KHY3" s="120"/>
      <c r="KHZ3" s="120"/>
      <c r="KIA3" s="120"/>
      <c r="KIB3" s="120"/>
      <c r="KIC3" s="120"/>
      <c r="KID3" s="120"/>
      <c r="KIE3" s="120"/>
      <c r="KIF3" s="120"/>
      <c r="KIG3" s="120"/>
      <c r="KIH3" s="120"/>
      <c r="KII3" s="120"/>
      <c r="KIJ3" s="120"/>
      <c r="KIK3" s="120"/>
      <c r="KIL3" s="120"/>
      <c r="KIM3" s="120"/>
      <c r="KIN3" s="120"/>
      <c r="KIO3" s="120"/>
      <c r="KIP3" s="120"/>
      <c r="KIQ3" s="120"/>
      <c r="KIR3" s="120"/>
      <c r="KIS3" s="120"/>
      <c r="KIT3" s="120"/>
      <c r="KIU3" s="120"/>
      <c r="KIV3" s="120"/>
      <c r="KIW3" s="120"/>
      <c r="KIX3" s="120"/>
      <c r="KIY3" s="120"/>
      <c r="KIZ3" s="120"/>
      <c r="KJA3" s="120"/>
      <c r="KJB3" s="120"/>
      <c r="KJC3" s="120"/>
      <c r="KJD3" s="120"/>
      <c r="KJE3" s="120"/>
      <c r="KJF3" s="120"/>
      <c r="KJG3" s="120"/>
      <c r="KJH3" s="120"/>
      <c r="KJI3" s="120"/>
      <c r="KJJ3" s="120"/>
      <c r="KJK3" s="120"/>
      <c r="KJL3" s="120"/>
      <c r="KJM3" s="120"/>
      <c r="KJN3" s="120"/>
      <c r="KJO3" s="120"/>
      <c r="KJP3" s="120"/>
      <c r="KJQ3" s="120"/>
      <c r="KJR3" s="120"/>
      <c r="KJS3" s="120"/>
      <c r="KJT3" s="120"/>
      <c r="KJU3" s="120"/>
      <c r="KJV3" s="120"/>
      <c r="KJW3" s="120"/>
      <c r="KJX3" s="120"/>
      <c r="KJY3" s="120"/>
      <c r="KJZ3" s="120"/>
      <c r="KKA3" s="120"/>
      <c r="KKB3" s="120"/>
      <c r="KKC3" s="120"/>
      <c r="KKD3" s="120"/>
      <c r="KKE3" s="120"/>
      <c r="KKF3" s="120"/>
      <c r="KKG3" s="120"/>
      <c r="KKH3" s="120"/>
      <c r="KKI3" s="120"/>
      <c r="KKJ3" s="120"/>
      <c r="KKK3" s="120"/>
      <c r="KKL3" s="120"/>
      <c r="KKM3" s="120"/>
      <c r="KKN3" s="120"/>
      <c r="KKO3" s="120"/>
      <c r="KKP3" s="120"/>
      <c r="KKQ3" s="120"/>
      <c r="KKR3" s="120"/>
      <c r="KKS3" s="120"/>
      <c r="KKT3" s="120"/>
      <c r="KKU3" s="120"/>
      <c r="KKV3" s="120"/>
      <c r="KKW3" s="120"/>
      <c r="KKX3" s="120"/>
      <c r="KKY3" s="120"/>
      <c r="KKZ3" s="120"/>
      <c r="KLA3" s="120"/>
      <c r="KLB3" s="120"/>
      <c r="KLC3" s="120"/>
      <c r="KLD3" s="120"/>
      <c r="KLE3" s="120"/>
      <c r="KLF3" s="120"/>
      <c r="KLG3" s="120"/>
      <c r="KLH3" s="120"/>
      <c r="KLI3" s="120"/>
      <c r="KLJ3" s="120"/>
      <c r="KLK3" s="120"/>
      <c r="KLL3" s="120"/>
      <c r="KLM3" s="120"/>
      <c r="KLN3" s="120"/>
      <c r="KLO3" s="120"/>
      <c r="KLP3" s="120"/>
      <c r="KLQ3" s="120"/>
      <c r="KLR3" s="120"/>
      <c r="KLS3" s="120"/>
      <c r="KLT3" s="120"/>
      <c r="KLU3" s="120"/>
      <c r="KLV3" s="120"/>
      <c r="KLW3" s="120"/>
      <c r="KLX3" s="120"/>
      <c r="KLY3" s="120"/>
      <c r="KLZ3" s="120"/>
      <c r="KMA3" s="120"/>
      <c r="KMB3" s="120"/>
      <c r="KMC3" s="120"/>
      <c r="KMD3" s="120"/>
      <c r="KME3" s="120"/>
      <c r="KMF3" s="120"/>
      <c r="KMG3" s="120"/>
      <c r="KMH3" s="120"/>
      <c r="KMI3" s="120"/>
      <c r="KMJ3" s="120"/>
      <c r="KMK3" s="120"/>
      <c r="KML3" s="120"/>
      <c r="KMM3" s="120"/>
      <c r="KMN3" s="120"/>
      <c r="KMO3" s="120"/>
      <c r="KMP3" s="120"/>
      <c r="KMQ3" s="120"/>
      <c r="KMR3" s="120"/>
      <c r="KMS3" s="120"/>
      <c r="KMT3" s="120"/>
      <c r="KMU3" s="120"/>
      <c r="KMV3" s="120"/>
      <c r="KMW3" s="120"/>
      <c r="KMX3" s="120"/>
      <c r="KMY3" s="120"/>
      <c r="KMZ3" s="120"/>
      <c r="KNA3" s="120"/>
      <c r="KNB3" s="120"/>
      <c r="KNC3" s="120"/>
      <c r="KND3" s="120"/>
      <c r="KNE3" s="120"/>
      <c r="KNF3" s="120"/>
      <c r="KNG3" s="120"/>
      <c r="KNH3" s="120"/>
      <c r="KNI3" s="120"/>
      <c r="KNJ3" s="120"/>
      <c r="KNK3" s="120"/>
      <c r="KNL3" s="120"/>
      <c r="KNM3" s="120"/>
      <c r="KNN3" s="120"/>
      <c r="KNO3" s="120"/>
      <c r="KNP3" s="120"/>
      <c r="KNQ3" s="120"/>
      <c r="KNR3" s="120"/>
      <c r="KNS3" s="120"/>
      <c r="KNT3" s="120"/>
      <c r="KNU3" s="120"/>
      <c r="KNV3" s="120"/>
      <c r="KNW3" s="120"/>
      <c r="KNX3" s="120"/>
      <c r="KNY3" s="120"/>
      <c r="KNZ3" s="120"/>
      <c r="KOA3" s="120"/>
      <c r="KOB3" s="120"/>
      <c r="KOC3" s="120"/>
      <c r="KOD3" s="120"/>
      <c r="KOE3" s="120"/>
      <c r="KOF3" s="120"/>
      <c r="KOG3" s="120"/>
      <c r="KOH3" s="120"/>
      <c r="KOI3" s="120"/>
      <c r="KOJ3" s="120"/>
      <c r="KOK3" s="120"/>
      <c r="KOL3" s="120"/>
      <c r="KOM3" s="120"/>
      <c r="KON3" s="120"/>
      <c r="KOO3" s="120"/>
      <c r="KOP3" s="120"/>
      <c r="KOQ3" s="120"/>
      <c r="KOR3" s="120"/>
      <c r="KOS3" s="120"/>
      <c r="KOT3" s="120"/>
      <c r="KOU3" s="120"/>
      <c r="KOV3" s="120"/>
      <c r="KOW3" s="120"/>
      <c r="KOX3" s="120"/>
      <c r="KOY3" s="120"/>
      <c r="KOZ3" s="120"/>
      <c r="KPA3" s="120"/>
      <c r="KPB3" s="120"/>
      <c r="KPC3" s="120"/>
      <c r="KPD3" s="120"/>
      <c r="KPE3" s="120"/>
      <c r="KPF3" s="120"/>
      <c r="KPG3" s="120"/>
      <c r="KPH3" s="120"/>
      <c r="KPI3" s="120"/>
      <c r="KPJ3" s="120"/>
      <c r="KPK3" s="120"/>
      <c r="KPL3" s="120"/>
      <c r="KPM3" s="120"/>
      <c r="KPN3" s="120"/>
      <c r="KPO3" s="120"/>
      <c r="KPP3" s="120"/>
      <c r="KPQ3" s="120"/>
      <c r="KPR3" s="120"/>
      <c r="KPS3" s="120"/>
      <c r="KPT3" s="120"/>
      <c r="KPU3" s="120"/>
      <c r="KPV3" s="120"/>
      <c r="KPW3" s="120"/>
      <c r="KPX3" s="120"/>
      <c r="KPY3" s="120"/>
      <c r="KPZ3" s="120"/>
      <c r="KQA3" s="120"/>
      <c r="KQB3" s="120"/>
      <c r="KQC3" s="120"/>
      <c r="KQD3" s="120"/>
      <c r="KQE3" s="120"/>
      <c r="KQF3" s="120"/>
      <c r="KQG3" s="120"/>
      <c r="KQH3" s="120"/>
      <c r="KQI3" s="120"/>
      <c r="KQJ3" s="120"/>
      <c r="KQK3" s="120"/>
      <c r="KQL3" s="120"/>
      <c r="KQM3" s="120"/>
      <c r="KQN3" s="120"/>
      <c r="KQO3" s="120"/>
      <c r="KQP3" s="120"/>
      <c r="KQQ3" s="120"/>
      <c r="KQR3" s="120"/>
      <c r="KQS3" s="120"/>
      <c r="KQT3" s="120"/>
      <c r="KQU3" s="120"/>
      <c r="KQV3" s="120"/>
      <c r="KQW3" s="120"/>
      <c r="KQX3" s="120"/>
      <c r="KQY3" s="120"/>
      <c r="KQZ3" s="120"/>
      <c r="KRA3" s="120"/>
      <c r="KRB3" s="120"/>
      <c r="KRC3" s="120"/>
      <c r="KRD3" s="120"/>
      <c r="KRE3" s="120"/>
      <c r="KRF3" s="120"/>
      <c r="KRG3" s="120"/>
      <c r="KRH3" s="120"/>
      <c r="KRI3" s="120"/>
      <c r="KRJ3" s="120"/>
      <c r="KRK3" s="120"/>
      <c r="KRL3" s="120"/>
      <c r="KRM3" s="120"/>
      <c r="KRN3" s="120"/>
      <c r="KRO3" s="120"/>
      <c r="KRP3" s="120"/>
      <c r="KRQ3" s="120"/>
      <c r="KRR3" s="120"/>
      <c r="KRS3" s="120"/>
      <c r="KRT3" s="120"/>
      <c r="KRU3" s="120"/>
      <c r="KRV3" s="120"/>
      <c r="KRW3" s="120"/>
      <c r="KRX3" s="120"/>
      <c r="KRY3" s="120"/>
      <c r="KRZ3" s="120"/>
      <c r="KSA3" s="120"/>
      <c r="KSB3" s="120"/>
      <c r="KSC3" s="120"/>
      <c r="KSD3" s="120"/>
      <c r="KSE3" s="120"/>
      <c r="KSF3" s="120"/>
      <c r="KSG3" s="120"/>
      <c r="KSH3" s="120"/>
      <c r="KSI3" s="120"/>
      <c r="KSJ3" s="120"/>
      <c r="KSK3" s="120"/>
      <c r="KSL3" s="120"/>
      <c r="KSM3" s="120"/>
      <c r="KSN3" s="120"/>
      <c r="KSO3" s="120"/>
      <c r="KSP3" s="120"/>
      <c r="KSQ3" s="120"/>
      <c r="KSR3" s="120"/>
      <c r="KSS3" s="120"/>
      <c r="KST3" s="120"/>
      <c r="KSU3" s="120"/>
      <c r="KSV3" s="120"/>
      <c r="KSW3" s="120"/>
      <c r="KSX3" s="120"/>
      <c r="KSY3" s="120"/>
      <c r="KSZ3" s="120"/>
      <c r="KTA3" s="120"/>
      <c r="KTB3" s="120"/>
      <c r="KTC3" s="120"/>
      <c r="KTD3" s="120"/>
      <c r="KTE3" s="120"/>
      <c r="KTF3" s="120"/>
      <c r="KTG3" s="120"/>
      <c r="KTH3" s="120"/>
      <c r="KTI3" s="120"/>
      <c r="KTJ3" s="120"/>
      <c r="KTK3" s="120"/>
      <c r="KTL3" s="120"/>
      <c r="KTM3" s="120"/>
      <c r="KTN3" s="120"/>
      <c r="KTO3" s="120"/>
      <c r="KTP3" s="120"/>
      <c r="KTQ3" s="120"/>
      <c r="KTR3" s="120"/>
      <c r="KTS3" s="120"/>
      <c r="KTT3" s="120"/>
      <c r="KTU3" s="120"/>
      <c r="KTV3" s="120"/>
      <c r="KTW3" s="120"/>
      <c r="KTX3" s="120"/>
      <c r="KTY3" s="120"/>
      <c r="KTZ3" s="120"/>
      <c r="KUA3" s="120"/>
      <c r="KUB3" s="120"/>
      <c r="KUC3" s="120"/>
      <c r="KUD3" s="120"/>
      <c r="KUE3" s="120"/>
      <c r="KUF3" s="120"/>
      <c r="KUG3" s="120"/>
      <c r="KUH3" s="120"/>
      <c r="KUI3" s="120"/>
      <c r="KUJ3" s="120"/>
      <c r="KUK3" s="120"/>
      <c r="KUL3" s="120"/>
      <c r="KUM3" s="120"/>
      <c r="KUN3" s="120"/>
      <c r="KUO3" s="120"/>
      <c r="KUP3" s="120"/>
      <c r="KUQ3" s="120"/>
      <c r="KUR3" s="120"/>
      <c r="KUS3" s="120"/>
      <c r="KUT3" s="120"/>
      <c r="KUU3" s="120"/>
      <c r="KUV3" s="120"/>
      <c r="KUW3" s="120"/>
      <c r="KUX3" s="120"/>
      <c r="KUY3" s="120"/>
      <c r="KUZ3" s="120"/>
      <c r="KVA3" s="120"/>
      <c r="KVB3" s="120"/>
      <c r="KVC3" s="120"/>
      <c r="KVD3" s="120"/>
      <c r="KVE3" s="120"/>
      <c r="KVF3" s="120"/>
      <c r="KVG3" s="120"/>
      <c r="KVH3" s="120"/>
      <c r="KVI3" s="120"/>
      <c r="KVJ3" s="120"/>
      <c r="KVK3" s="120"/>
      <c r="KVL3" s="120"/>
      <c r="KVM3" s="120"/>
      <c r="KVN3" s="120"/>
      <c r="KVO3" s="120"/>
      <c r="KVP3" s="120"/>
      <c r="KVQ3" s="120"/>
      <c r="KVR3" s="120"/>
      <c r="KVS3" s="120"/>
      <c r="KVT3" s="120"/>
      <c r="KVU3" s="120"/>
      <c r="KVV3" s="120"/>
      <c r="KVW3" s="120"/>
      <c r="KVX3" s="120"/>
      <c r="KVY3" s="120"/>
      <c r="KVZ3" s="120"/>
      <c r="KWA3" s="120"/>
      <c r="KWB3" s="120"/>
      <c r="KWC3" s="120"/>
      <c r="KWD3" s="120"/>
      <c r="KWE3" s="120"/>
      <c r="KWF3" s="120"/>
      <c r="KWG3" s="120"/>
      <c r="KWH3" s="120"/>
      <c r="KWI3" s="120"/>
      <c r="KWJ3" s="120"/>
      <c r="KWK3" s="120"/>
      <c r="KWL3" s="120"/>
      <c r="KWM3" s="120"/>
      <c r="KWN3" s="120"/>
      <c r="KWO3" s="120"/>
      <c r="KWP3" s="120"/>
      <c r="KWQ3" s="120"/>
      <c r="KWR3" s="120"/>
      <c r="KWS3" s="120"/>
      <c r="KWT3" s="120"/>
      <c r="KWU3" s="120"/>
      <c r="KWV3" s="120"/>
      <c r="KWW3" s="120"/>
      <c r="KWX3" s="120"/>
      <c r="KWY3" s="120"/>
      <c r="KWZ3" s="120"/>
      <c r="KXA3" s="120"/>
      <c r="KXB3" s="120"/>
      <c r="KXC3" s="120"/>
      <c r="KXD3" s="120"/>
      <c r="KXE3" s="120"/>
      <c r="KXF3" s="120"/>
      <c r="KXG3" s="120"/>
      <c r="KXH3" s="120"/>
      <c r="KXI3" s="120"/>
      <c r="KXJ3" s="120"/>
      <c r="KXK3" s="120"/>
      <c r="KXL3" s="120"/>
      <c r="KXM3" s="120"/>
      <c r="KXN3" s="120"/>
      <c r="KXO3" s="120"/>
      <c r="KXP3" s="120"/>
      <c r="KXQ3" s="120"/>
      <c r="KXR3" s="120"/>
      <c r="KXS3" s="120"/>
      <c r="KXT3" s="120"/>
      <c r="KXU3" s="120"/>
      <c r="KXV3" s="120"/>
      <c r="KXW3" s="120"/>
      <c r="KXX3" s="120"/>
      <c r="KXY3" s="120"/>
      <c r="KXZ3" s="120"/>
      <c r="KYA3" s="120"/>
      <c r="KYB3" s="120"/>
      <c r="KYC3" s="120"/>
      <c r="KYD3" s="120"/>
      <c r="KYE3" s="120"/>
      <c r="KYF3" s="120"/>
      <c r="KYG3" s="120"/>
      <c r="KYH3" s="120"/>
      <c r="KYI3" s="120"/>
      <c r="KYJ3" s="120"/>
      <c r="KYK3" s="120"/>
      <c r="KYL3" s="120"/>
      <c r="KYM3" s="120"/>
      <c r="KYN3" s="120"/>
      <c r="KYO3" s="120"/>
      <c r="KYP3" s="120"/>
      <c r="KYQ3" s="120"/>
      <c r="KYR3" s="120"/>
      <c r="KYS3" s="120"/>
      <c r="KYT3" s="120"/>
      <c r="KYU3" s="120"/>
      <c r="KYV3" s="120"/>
      <c r="KYW3" s="120"/>
      <c r="KYX3" s="120"/>
      <c r="KYY3" s="120"/>
      <c r="KYZ3" s="120"/>
      <c r="KZA3" s="120"/>
      <c r="KZB3" s="120"/>
      <c r="KZC3" s="120"/>
      <c r="KZD3" s="120"/>
      <c r="KZE3" s="120"/>
      <c r="KZF3" s="120"/>
      <c r="KZG3" s="120"/>
      <c r="KZH3" s="120"/>
      <c r="KZI3" s="120"/>
      <c r="KZJ3" s="120"/>
      <c r="KZK3" s="120"/>
      <c r="KZL3" s="120"/>
      <c r="KZM3" s="120"/>
      <c r="KZN3" s="120"/>
      <c r="KZO3" s="120"/>
      <c r="KZP3" s="120"/>
      <c r="KZQ3" s="120"/>
      <c r="KZR3" s="120"/>
      <c r="KZS3" s="120"/>
      <c r="KZT3" s="120"/>
      <c r="KZU3" s="120"/>
      <c r="KZV3" s="120"/>
      <c r="KZW3" s="120"/>
      <c r="KZX3" s="120"/>
      <c r="KZY3" s="120"/>
      <c r="KZZ3" s="120"/>
      <c r="LAA3" s="120"/>
      <c r="LAB3" s="120"/>
      <c r="LAC3" s="120"/>
      <c r="LAD3" s="120"/>
      <c r="LAE3" s="120"/>
      <c r="LAF3" s="120"/>
      <c r="LAG3" s="120"/>
      <c r="LAH3" s="120"/>
      <c r="LAI3" s="120"/>
      <c r="LAJ3" s="120"/>
      <c r="LAK3" s="120"/>
      <c r="LAL3" s="120"/>
      <c r="LAM3" s="120"/>
      <c r="LAN3" s="120"/>
      <c r="LAO3" s="120"/>
      <c r="LAP3" s="120"/>
      <c r="LAQ3" s="120"/>
      <c r="LAR3" s="120"/>
      <c r="LAS3" s="120"/>
      <c r="LAT3" s="120"/>
      <c r="LAU3" s="120"/>
      <c r="LAV3" s="120"/>
      <c r="LAW3" s="120"/>
      <c r="LAX3" s="120"/>
      <c r="LAY3" s="120"/>
      <c r="LAZ3" s="120"/>
      <c r="LBA3" s="120"/>
      <c r="LBB3" s="120"/>
      <c r="LBC3" s="120"/>
      <c r="LBD3" s="120"/>
      <c r="LBE3" s="120"/>
      <c r="LBF3" s="120"/>
      <c r="LBG3" s="120"/>
      <c r="LBH3" s="120"/>
      <c r="LBI3" s="120"/>
      <c r="LBJ3" s="120"/>
      <c r="LBK3" s="120"/>
      <c r="LBL3" s="120"/>
      <c r="LBM3" s="120"/>
      <c r="LBN3" s="120"/>
      <c r="LBO3" s="120"/>
      <c r="LBP3" s="120"/>
      <c r="LBQ3" s="120"/>
      <c r="LBR3" s="120"/>
      <c r="LBS3" s="120"/>
      <c r="LBT3" s="120"/>
      <c r="LBU3" s="120"/>
      <c r="LBV3" s="120"/>
      <c r="LBW3" s="120"/>
      <c r="LBX3" s="120"/>
      <c r="LBY3" s="120"/>
      <c r="LBZ3" s="120"/>
      <c r="LCA3" s="120"/>
      <c r="LCB3" s="120"/>
      <c r="LCC3" s="120"/>
      <c r="LCD3" s="120"/>
      <c r="LCE3" s="120"/>
      <c r="LCF3" s="120"/>
      <c r="LCG3" s="120"/>
      <c r="LCH3" s="120"/>
      <c r="LCI3" s="120"/>
      <c r="LCJ3" s="120"/>
      <c r="LCK3" s="120"/>
      <c r="LCL3" s="120"/>
      <c r="LCM3" s="120"/>
      <c r="LCN3" s="120"/>
      <c r="LCO3" s="120"/>
      <c r="LCP3" s="120"/>
      <c r="LCQ3" s="120"/>
      <c r="LCR3" s="120"/>
      <c r="LCS3" s="120"/>
      <c r="LCT3" s="120"/>
      <c r="LCU3" s="120"/>
      <c r="LCV3" s="120"/>
      <c r="LCW3" s="120"/>
      <c r="LCX3" s="120"/>
      <c r="LCY3" s="120"/>
      <c r="LCZ3" s="120"/>
      <c r="LDA3" s="120"/>
      <c r="LDB3" s="120"/>
      <c r="LDC3" s="120"/>
      <c r="LDD3" s="120"/>
      <c r="LDE3" s="120"/>
      <c r="LDF3" s="120"/>
      <c r="LDG3" s="120"/>
      <c r="LDH3" s="120"/>
      <c r="LDI3" s="120"/>
      <c r="LDJ3" s="120"/>
      <c r="LDK3" s="120"/>
      <c r="LDL3" s="120"/>
      <c r="LDM3" s="120"/>
      <c r="LDN3" s="120"/>
      <c r="LDO3" s="120"/>
      <c r="LDP3" s="120"/>
      <c r="LDQ3" s="120"/>
      <c r="LDR3" s="120"/>
      <c r="LDS3" s="120"/>
      <c r="LDT3" s="120"/>
      <c r="LDU3" s="120"/>
      <c r="LDV3" s="120"/>
      <c r="LDW3" s="120"/>
      <c r="LDX3" s="120"/>
      <c r="LDY3" s="120"/>
      <c r="LDZ3" s="120"/>
      <c r="LEA3" s="120"/>
      <c r="LEB3" s="120"/>
      <c r="LEC3" s="120"/>
      <c r="LED3" s="120"/>
      <c r="LEE3" s="120"/>
      <c r="LEF3" s="120"/>
      <c r="LEG3" s="120"/>
      <c r="LEH3" s="120"/>
      <c r="LEI3" s="120"/>
      <c r="LEJ3" s="120"/>
      <c r="LEK3" s="120"/>
      <c r="LEL3" s="120"/>
      <c r="LEM3" s="120"/>
      <c r="LEN3" s="120"/>
      <c r="LEO3" s="120"/>
      <c r="LEP3" s="120"/>
      <c r="LEQ3" s="120"/>
      <c r="LER3" s="120"/>
      <c r="LES3" s="120"/>
      <c r="LET3" s="120"/>
      <c r="LEU3" s="120"/>
      <c r="LEV3" s="120"/>
      <c r="LEW3" s="120"/>
      <c r="LEX3" s="120"/>
      <c r="LEY3" s="120"/>
      <c r="LEZ3" s="120"/>
      <c r="LFA3" s="120"/>
      <c r="LFB3" s="120"/>
      <c r="LFC3" s="120"/>
      <c r="LFD3" s="120"/>
      <c r="LFE3" s="120"/>
      <c r="LFF3" s="120"/>
      <c r="LFG3" s="120"/>
      <c r="LFH3" s="120"/>
      <c r="LFI3" s="120"/>
      <c r="LFJ3" s="120"/>
      <c r="LFK3" s="120"/>
      <c r="LFL3" s="120"/>
      <c r="LFM3" s="120"/>
      <c r="LFN3" s="120"/>
      <c r="LFO3" s="120"/>
      <c r="LFP3" s="120"/>
      <c r="LFQ3" s="120"/>
      <c r="LFR3" s="120"/>
      <c r="LFS3" s="120"/>
      <c r="LFT3" s="120"/>
      <c r="LFU3" s="120"/>
      <c r="LFV3" s="120"/>
      <c r="LFW3" s="120"/>
      <c r="LFX3" s="120"/>
      <c r="LFY3" s="120"/>
      <c r="LFZ3" s="120"/>
      <c r="LGA3" s="120"/>
      <c r="LGB3" s="120"/>
      <c r="LGC3" s="120"/>
      <c r="LGD3" s="120"/>
      <c r="LGE3" s="120"/>
      <c r="LGF3" s="120"/>
      <c r="LGG3" s="120"/>
      <c r="LGH3" s="120"/>
      <c r="LGI3" s="120"/>
      <c r="LGJ3" s="120"/>
      <c r="LGK3" s="120"/>
      <c r="LGL3" s="120"/>
      <c r="LGM3" s="120"/>
      <c r="LGN3" s="120"/>
      <c r="LGO3" s="120"/>
      <c r="LGP3" s="120"/>
      <c r="LGQ3" s="120"/>
      <c r="LGR3" s="120"/>
      <c r="LGS3" s="120"/>
      <c r="LGT3" s="120"/>
      <c r="LGU3" s="120"/>
      <c r="LGV3" s="120"/>
      <c r="LGW3" s="120"/>
      <c r="LGX3" s="120"/>
      <c r="LGY3" s="120"/>
      <c r="LGZ3" s="120"/>
      <c r="LHA3" s="120"/>
      <c r="LHB3" s="120"/>
      <c r="LHC3" s="120"/>
      <c r="LHD3" s="120"/>
      <c r="LHE3" s="120"/>
      <c r="LHF3" s="120"/>
      <c r="LHG3" s="120"/>
      <c r="LHH3" s="120"/>
      <c r="LHI3" s="120"/>
      <c r="LHJ3" s="120"/>
      <c r="LHK3" s="120"/>
      <c r="LHL3" s="120"/>
      <c r="LHM3" s="120"/>
      <c r="LHN3" s="120"/>
      <c r="LHO3" s="120"/>
      <c r="LHP3" s="120"/>
      <c r="LHQ3" s="120"/>
      <c r="LHR3" s="120"/>
      <c r="LHS3" s="120"/>
      <c r="LHT3" s="120"/>
      <c r="LHU3" s="120"/>
      <c r="LHV3" s="120"/>
      <c r="LHW3" s="120"/>
      <c r="LHX3" s="120"/>
      <c r="LHY3" s="120"/>
      <c r="LHZ3" s="120"/>
      <c r="LIA3" s="120"/>
      <c r="LIB3" s="120"/>
      <c r="LIC3" s="120"/>
      <c r="LID3" s="120"/>
      <c r="LIE3" s="120"/>
      <c r="LIF3" s="120"/>
      <c r="LIG3" s="120"/>
      <c r="LIH3" s="120"/>
      <c r="LII3" s="120"/>
      <c r="LIJ3" s="120"/>
      <c r="LIK3" s="120"/>
      <c r="LIL3" s="120"/>
      <c r="LIM3" s="120"/>
      <c r="LIN3" s="120"/>
      <c r="LIO3" s="120"/>
      <c r="LIP3" s="120"/>
      <c r="LIQ3" s="120"/>
      <c r="LIR3" s="120"/>
      <c r="LIS3" s="120"/>
      <c r="LIT3" s="120"/>
      <c r="LIU3" s="120"/>
      <c r="LIV3" s="120"/>
      <c r="LIW3" s="120"/>
      <c r="LIX3" s="120"/>
      <c r="LIY3" s="120"/>
      <c r="LIZ3" s="120"/>
      <c r="LJA3" s="120"/>
      <c r="LJB3" s="120"/>
      <c r="LJC3" s="120"/>
      <c r="LJD3" s="120"/>
      <c r="LJE3" s="120"/>
      <c r="LJF3" s="120"/>
      <c r="LJG3" s="120"/>
      <c r="LJH3" s="120"/>
      <c r="LJI3" s="120"/>
      <c r="LJJ3" s="120"/>
      <c r="LJK3" s="120"/>
      <c r="LJL3" s="120"/>
      <c r="LJM3" s="120"/>
      <c r="LJN3" s="120"/>
      <c r="LJO3" s="120"/>
      <c r="LJP3" s="120"/>
      <c r="LJQ3" s="120"/>
      <c r="LJR3" s="120"/>
      <c r="LJS3" s="120"/>
      <c r="LJT3" s="120"/>
      <c r="LJU3" s="120"/>
      <c r="LJV3" s="120"/>
      <c r="LJW3" s="120"/>
      <c r="LJX3" s="120"/>
      <c r="LJY3" s="120"/>
      <c r="LJZ3" s="120"/>
      <c r="LKA3" s="120"/>
      <c r="LKB3" s="120"/>
      <c r="LKC3" s="120"/>
      <c r="LKD3" s="120"/>
      <c r="LKE3" s="120"/>
      <c r="LKF3" s="120"/>
      <c r="LKG3" s="120"/>
      <c r="LKH3" s="120"/>
      <c r="LKI3" s="120"/>
      <c r="LKJ3" s="120"/>
      <c r="LKK3" s="120"/>
      <c r="LKL3" s="120"/>
      <c r="LKM3" s="120"/>
      <c r="LKN3" s="120"/>
      <c r="LKO3" s="120"/>
      <c r="LKP3" s="120"/>
      <c r="LKQ3" s="120"/>
      <c r="LKR3" s="120"/>
      <c r="LKS3" s="120"/>
      <c r="LKT3" s="120"/>
      <c r="LKU3" s="120"/>
      <c r="LKV3" s="120"/>
      <c r="LKW3" s="120"/>
      <c r="LKX3" s="120"/>
      <c r="LKY3" s="120"/>
      <c r="LKZ3" s="120"/>
      <c r="LLA3" s="120"/>
      <c r="LLB3" s="120"/>
      <c r="LLC3" s="120"/>
      <c r="LLD3" s="120"/>
      <c r="LLE3" s="120"/>
      <c r="LLF3" s="120"/>
      <c r="LLG3" s="120"/>
      <c r="LLH3" s="120"/>
      <c r="LLI3" s="120"/>
      <c r="LLJ3" s="120"/>
      <c r="LLK3" s="120"/>
      <c r="LLL3" s="120"/>
      <c r="LLM3" s="120"/>
      <c r="LLN3" s="120"/>
      <c r="LLO3" s="120"/>
      <c r="LLP3" s="120"/>
      <c r="LLQ3" s="120"/>
      <c r="LLR3" s="120"/>
      <c r="LLS3" s="120"/>
      <c r="LLT3" s="120"/>
      <c r="LLU3" s="120"/>
      <c r="LLV3" s="120"/>
      <c r="LLW3" s="120"/>
      <c r="LLX3" s="120"/>
      <c r="LLY3" s="120"/>
      <c r="LLZ3" s="120"/>
      <c r="LMA3" s="120"/>
      <c r="LMB3" s="120"/>
      <c r="LMC3" s="120"/>
      <c r="LMD3" s="120"/>
      <c r="LME3" s="120"/>
      <c r="LMF3" s="120"/>
      <c r="LMG3" s="120"/>
      <c r="LMH3" s="120"/>
      <c r="LMI3" s="120"/>
      <c r="LMJ3" s="120"/>
      <c r="LMK3" s="120"/>
      <c r="LML3" s="120"/>
      <c r="LMM3" s="120"/>
      <c r="LMN3" s="120"/>
      <c r="LMO3" s="120"/>
      <c r="LMP3" s="120"/>
      <c r="LMQ3" s="120"/>
      <c r="LMR3" s="120"/>
      <c r="LMS3" s="120"/>
      <c r="LMT3" s="120"/>
      <c r="LMU3" s="120"/>
      <c r="LMV3" s="120"/>
      <c r="LMW3" s="120"/>
      <c r="LMX3" s="120"/>
      <c r="LMY3" s="120"/>
      <c r="LMZ3" s="120"/>
      <c r="LNA3" s="120"/>
      <c r="LNB3" s="120"/>
      <c r="LNC3" s="120"/>
      <c r="LND3" s="120"/>
      <c r="LNE3" s="120"/>
      <c r="LNF3" s="120"/>
      <c r="LNG3" s="120"/>
      <c r="LNH3" s="120"/>
      <c r="LNI3" s="120"/>
      <c r="LNJ3" s="120"/>
      <c r="LNK3" s="120"/>
      <c r="LNL3" s="120"/>
      <c r="LNM3" s="120"/>
      <c r="LNN3" s="120"/>
      <c r="LNO3" s="120"/>
      <c r="LNP3" s="120"/>
      <c r="LNQ3" s="120"/>
      <c r="LNR3" s="120"/>
      <c r="LNS3" s="120"/>
      <c r="LNT3" s="120"/>
      <c r="LNU3" s="120"/>
      <c r="LNV3" s="120"/>
      <c r="LNW3" s="120"/>
      <c r="LNX3" s="120"/>
      <c r="LNY3" s="120"/>
      <c r="LNZ3" s="120"/>
      <c r="LOA3" s="120"/>
      <c r="LOB3" s="120"/>
      <c r="LOC3" s="120"/>
      <c r="LOD3" s="120"/>
      <c r="LOE3" s="120"/>
      <c r="LOF3" s="120"/>
      <c r="LOG3" s="120"/>
      <c r="LOH3" s="120"/>
      <c r="LOI3" s="120"/>
      <c r="LOJ3" s="120"/>
      <c r="LOK3" s="120"/>
      <c r="LOL3" s="120"/>
      <c r="LOM3" s="120"/>
      <c r="LON3" s="120"/>
      <c r="LOO3" s="120"/>
      <c r="LOP3" s="120"/>
      <c r="LOQ3" s="120"/>
      <c r="LOR3" s="120"/>
      <c r="LOS3" s="120"/>
      <c r="LOT3" s="120"/>
      <c r="LOU3" s="120"/>
      <c r="LOV3" s="120"/>
      <c r="LOW3" s="120"/>
      <c r="LOX3" s="120"/>
      <c r="LOY3" s="120"/>
      <c r="LOZ3" s="120"/>
      <c r="LPA3" s="120"/>
      <c r="LPB3" s="120"/>
      <c r="LPC3" s="120"/>
      <c r="LPD3" s="120"/>
      <c r="LPE3" s="120"/>
      <c r="LPF3" s="120"/>
      <c r="LPG3" s="120"/>
      <c r="LPH3" s="120"/>
      <c r="LPI3" s="120"/>
      <c r="LPJ3" s="120"/>
      <c r="LPK3" s="120"/>
      <c r="LPL3" s="120"/>
      <c r="LPM3" s="120"/>
      <c r="LPN3" s="120"/>
      <c r="LPO3" s="120"/>
      <c r="LPP3" s="120"/>
      <c r="LPQ3" s="120"/>
      <c r="LPR3" s="120"/>
      <c r="LPS3" s="120"/>
      <c r="LPT3" s="120"/>
      <c r="LPU3" s="120"/>
      <c r="LPV3" s="120"/>
      <c r="LPW3" s="120"/>
      <c r="LPX3" s="120"/>
      <c r="LPY3" s="120"/>
      <c r="LPZ3" s="120"/>
      <c r="LQA3" s="120"/>
      <c r="LQB3" s="120"/>
      <c r="LQC3" s="120"/>
      <c r="LQD3" s="120"/>
      <c r="LQE3" s="120"/>
      <c r="LQF3" s="120"/>
      <c r="LQG3" s="120"/>
      <c r="LQH3" s="120"/>
      <c r="LQI3" s="120"/>
      <c r="LQJ3" s="120"/>
      <c r="LQK3" s="120"/>
      <c r="LQL3" s="120"/>
      <c r="LQM3" s="120"/>
      <c r="LQN3" s="120"/>
      <c r="LQO3" s="120"/>
      <c r="LQP3" s="120"/>
      <c r="LQQ3" s="120"/>
      <c r="LQR3" s="120"/>
      <c r="LQS3" s="120"/>
      <c r="LQT3" s="120"/>
      <c r="LQU3" s="120"/>
      <c r="LQV3" s="120"/>
      <c r="LQW3" s="120"/>
      <c r="LQX3" s="120"/>
      <c r="LQY3" s="120"/>
      <c r="LQZ3" s="120"/>
      <c r="LRA3" s="120"/>
      <c r="LRB3" s="120"/>
      <c r="LRC3" s="120"/>
      <c r="LRD3" s="120"/>
      <c r="LRE3" s="120"/>
      <c r="LRF3" s="120"/>
      <c r="LRG3" s="120"/>
      <c r="LRH3" s="120"/>
      <c r="LRI3" s="120"/>
      <c r="LRJ3" s="120"/>
      <c r="LRK3" s="120"/>
      <c r="LRL3" s="120"/>
      <c r="LRM3" s="120"/>
      <c r="LRN3" s="120"/>
      <c r="LRO3" s="120"/>
      <c r="LRP3" s="120"/>
      <c r="LRQ3" s="120"/>
      <c r="LRR3" s="120"/>
      <c r="LRS3" s="120"/>
      <c r="LRT3" s="120"/>
      <c r="LRU3" s="120"/>
      <c r="LRV3" s="120"/>
      <c r="LRW3" s="120"/>
      <c r="LRX3" s="120"/>
      <c r="LRY3" s="120"/>
      <c r="LRZ3" s="120"/>
      <c r="LSA3" s="120"/>
      <c r="LSB3" s="120"/>
      <c r="LSC3" s="120"/>
      <c r="LSD3" s="120"/>
      <c r="LSE3" s="120"/>
      <c r="LSF3" s="120"/>
      <c r="LSG3" s="120"/>
      <c r="LSH3" s="120"/>
      <c r="LSI3" s="120"/>
      <c r="LSJ3" s="120"/>
      <c r="LSK3" s="120"/>
      <c r="LSL3" s="120"/>
      <c r="LSM3" s="120"/>
      <c r="LSN3" s="120"/>
      <c r="LSO3" s="120"/>
      <c r="LSP3" s="120"/>
      <c r="LSQ3" s="120"/>
      <c r="LSR3" s="120"/>
      <c r="LSS3" s="120"/>
      <c r="LST3" s="120"/>
      <c r="LSU3" s="120"/>
      <c r="LSV3" s="120"/>
      <c r="LSW3" s="120"/>
      <c r="LSX3" s="120"/>
      <c r="LSY3" s="120"/>
      <c r="LSZ3" s="120"/>
      <c r="LTA3" s="120"/>
      <c r="LTB3" s="120"/>
      <c r="LTC3" s="120"/>
      <c r="LTD3" s="120"/>
      <c r="LTE3" s="120"/>
      <c r="LTF3" s="120"/>
      <c r="LTG3" s="120"/>
      <c r="LTH3" s="120"/>
      <c r="LTI3" s="120"/>
      <c r="LTJ3" s="120"/>
      <c r="LTK3" s="120"/>
      <c r="LTL3" s="120"/>
      <c r="LTM3" s="120"/>
      <c r="LTN3" s="120"/>
      <c r="LTO3" s="120"/>
      <c r="LTP3" s="120"/>
      <c r="LTQ3" s="120"/>
      <c r="LTR3" s="120"/>
      <c r="LTS3" s="120"/>
      <c r="LTT3" s="120"/>
      <c r="LTU3" s="120"/>
      <c r="LTV3" s="120"/>
      <c r="LTW3" s="120"/>
      <c r="LTX3" s="120"/>
      <c r="LTY3" s="120"/>
      <c r="LTZ3" s="120"/>
      <c r="LUA3" s="120"/>
      <c r="LUB3" s="120"/>
      <c r="LUC3" s="120"/>
      <c r="LUD3" s="120"/>
      <c r="LUE3" s="120"/>
      <c r="LUF3" s="120"/>
      <c r="LUG3" s="120"/>
      <c r="LUH3" s="120"/>
      <c r="LUI3" s="120"/>
      <c r="LUJ3" s="120"/>
      <c r="LUK3" s="120"/>
      <c r="LUL3" s="120"/>
      <c r="LUM3" s="120"/>
      <c r="LUN3" s="120"/>
      <c r="LUO3" s="120"/>
      <c r="LUP3" s="120"/>
      <c r="LUQ3" s="120"/>
      <c r="LUR3" s="120"/>
      <c r="LUS3" s="120"/>
      <c r="LUT3" s="120"/>
      <c r="LUU3" s="120"/>
      <c r="LUV3" s="120"/>
      <c r="LUW3" s="120"/>
      <c r="LUX3" s="120"/>
      <c r="LUY3" s="120"/>
      <c r="LUZ3" s="120"/>
      <c r="LVA3" s="120"/>
      <c r="LVB3" s="120"/>
      <c r="LVC3" s="120"/>
      <c r="LVD3" s="120"/>
      <c r="LVE3" s="120"/>
      <c r="LVF3" s="120"/>
      <c r="LVG3" s="120"/>
      <c r="LVH3" s="120"/>
      <c r="LVI3" s="120"/>
      <c r="LVJ3" s="120"/>
      <c r="LVK3" s="120"/>
      <c r="LVL3" s="120"/>
      <c r="LVM3" s="120"/>
      <c r="LVN3" s="120"/>
      <c r="LVO3" s="120"/>
      <c r="LVP3" s="120"/>
      <c r="LVQ3" s="120"/>
      <c r="LVR3" s="120"/>
      <c r="LVS3" s="120"/>
      <c r="LVT3" s="120"/>
      <c r="LVU3" s="120"/>
      <c r="LVV3" s="120"/>
      <c r="LVW3" s="120"/>
      <c r="LVX3" s="120"/>
      <c r="LVY3" s="120"/>
      <c r="LVZ3" s="120"/>
      <c r="LWA3" s="120"/>
      <c r="LWB3" s="120"/>
      <c r="LWC3" s="120"/>
      <c r="LWD3" s="120"/>
      <c r="LWE3" s="120"/>
      <c r="LWF3" s="120"/>
      <c r="LWG3" s="120"/>
      <c r="LWH3" s="120"/>
      <c r="LWI3" s="120"/>
      <c r="LWJ3" s="120"/>
      <c r="LWK3" s="120"/>
      <c r="LWL3" s="120"/>
      <c r="LWM3" s="120"/>
      <c r="LWN3" s="120"/>
      <c r="LWO3" s="120"/>
      <c r="LWP3" s="120"/>
      <c r="LWQ3" s="120"/>
      <c r="LWR3" s="120"/>
      <c r="LWS3" s="120"/>
      <c r="LWT3" s="120"/>
      <c r="LWU3" s="120"/>
      <c r="LWV3" s="120"/>
      <c r="LWW3" s="120"/>
      <c r="LWX3" s="120"/>
      <c r="LWY3" s="120"/>
      <c r="LWZ3" s="120"/>
      <c r="LXA3" s="120"/>
      <c r="LXB3" s="120"/>
      <c r="LXC3" s="120"/>
      <c r="LXD3" s="120"/>
      <c r="LXE3" s="120"/>
      <c r="LXF3" s="120"/>
      <c r="LXG3" s="120"/>
      <c r="LXH3" s="120"/>
      <c r="LXI3" s="120"/>
      <c r="LXJ3" s="120"/>
      <c r="LXK3" s="120"/>
      <c r="LXL3" s="120"/>
      <c r="LXM3" s="120"/>
      <c r="LXN3" s="120"/>
      <c r="LXO3" s="120"/>
      <c r="LXP3" s="120"/>
      <c r="LXQ3" s="120"/>
      <c r="LXR3" s="120"/>
      <c r="LXS3" s="120"/>
      <c r="LXT3" s="120"/>
      <c r="LXU3" s="120"/>
      <c r="LXV3" s="120"/>
      <c r="LXW3" s="120"/>
      <c r="LXX3" s="120"/>
      <c r="LXY3" s="120"/>
      <c r="LXZ3" s="120"/>
      <c r="LYA3" s="120"/>
      <c r="LYB3" s="120"/>
      <c r="LYC3" s="120"/>
      <c r="LYD3" s="120"/>
      <c r="LYE3" s="120"/>
      <c r="LYF3" s="120"/>
      <c r="LYG3" s="120"/>
      <c r="LYH3" s="120"/>
      <c r="LYI3" s="120"/>
      <c r="LYJ3" s="120"/>
      <c r="LYK3" s="120"/>
      <c r="LYL3" s="120"/>
      <c r="LYM3" s="120"/>
      <c r="LYN3" s="120"/>
      <c r="LYO3" s="120"/>
      <c r="LYP3" s="120"/>
      <c r="LYQ3" s="120"/>
      <c r="LYR3" s="120"/>
      <c r="LYS3" s="120"/>
      <c r="LYT3" s="120"/>
      <c r="LYU3" s="120"/>
      <c r="LYV3" s="120"/>
      <c r="LYW3" s="120"/>
      <c r="LYX3" s="120"/>
      <c r="LYY3" s="120"/>
      <c r="LYZ3" s="120"/>
      <c r="LZA3" s="120"/>
      <c r="LZB3" s="120"/>
      <c r="LZC3" s="120"/>
      <c r="LZD3" s="120"/>
      <c r="LZE3" s="120"/>
      <c r="LZF3" s="120"/>
      <c r="LZG3" s="120"/>
      <c r="LZH3" s="120"/>
      <c r="LZI3" s="120"/>
      <c r="LZJ3" s="120"/>
      <c r="LZK3" s="120"/>
      <c r="LZL3" s="120"/>
      <c r="LZM3" s="120"/>
      <c r="LZN3" s="120"/>
      <c r="LZO3" s="120"/>
      <c r="LZP3" s="120"/>
      <c r="LZQ3" s="120"/>
      <c r="LZR3" s="120"/>
      <c r="LZS3" s="120"/>
      <c r="LZT3" s="120"/>
      <c r="LZU3" s="120"/>
      <c r="LZV3" s="120"/>
      <c r="LZW3" s="120"/>
      <c r="LZX3" s="120"/>
      <c r="LZY3" s="120"/>
      <c r="LZZ3" s="120"/>
      <c r="MAA3" s="120"/>
      <c r="MAB3" s="120"/>
      <c r="MAC3" s="120"/>
      <c r="MAD3" s="120"/>
      <c r="MAE3" s="120"/>
      <c r="MAF3" s="120"/>
      <c r="MAG3" s="120"/>
      <c r="MAH3" s="120"/>
      <c r="MAI3" s="120"/>
      <c r="MAJ3" s="120"/>
      <c r="MAK3" s="120"/>
      <c r="MAL3" s="120"/>
      <c r="MAM3" s="120"/>
      <c r="MAN3" s="120"/>
      <c r="MAO3" s="120"/>
      <c r="MAP3" s="120"/>
      <c r="MAQ3" s="120"/>
      <c r="MAR3" s="120"/>
      <c r="MAS3" s="120"/>
      <c r="MAT3" s="120"/>
      <c r="MAU3" s="120"/>
      <c r="MAV3" s="120"/>
      <c r="MAW3" s="120"/>
      <c r="MAX3" s="120"/>
      <c r="MAY3" s="120"/>
      <c r="MAZ3" s="120"/>
      <c r="MBA3" s="120"/>
      <c r="MBB3" s="120"/>
      <c r="MBC3" s="120"/>
      <c r="MBD3" s="120"/>
      <c r="MBE3" s="120"/>
      <c r="MBF3" s="120"/>
      <c r="MBG3" s="120"/>
      <c r="MBH3" s="120"/>
      <c r="MBI3" s="120"/>
      <c r="MBJ3" s="120"/>
      <c r="MBK3" s="120"/>
      <c r="MBL3" s="120"/>
      <c r="MBM3" s="120"/>
      <c r="MBN3" s="120"/>
      <c r="MBO3" s="120"/>
      <c r="MBP3" s="120"/>
      <c r="MBQ3" s="120"/>
      <c r="MBR3" s="120"/>
      <c r="MBS3" s="120"/>
      <c r="MBT3" s="120"/>
      <c r="MBU3" s="120"/>
      <c r="MBV3" s="120"/>
      <c r="MBW3" s="120"/>
      <c r="MBX3" s="120"/>
      <c r="MBY3" s="120"/>
      <c r="MBZ3" s="120"/>
      <c r="MCA3" s="120"/>
      <c r="MCB3" s="120"/>
      <c r="MCC3" s="120"/>
      <c r="MCD3" s="120"/>
      <c r="MCE3" s="120"/>
      <c r="MCF3" s="120"/>
      <c r="MCG3" s="120"/>
      <c r="MCH3" s="120"/>
      <c r="MCI3" s="120"/>
      <c r="MCJ3" s="120"/>
      <c r="MCK3" s="120"/>
      <c r="MCL3" s="120"/>
      <c r="MCM3" s="120"/>
      <c r="MCN3" s="120"/>
      <c r="MCO3" s="120"/>
      <c r="MCP3" s="120"/>
      <c r="MCQ3" s="120"/>
      <c r="MCR3" s="120"/>
      <c r="MCS3" s="120"/>
      <c r="MCT3" s="120"/>
      <c r="MCU3" s="120"/>
      <c r="MCV3" s="120"/>
      <c r="MCW3" s="120"/>
      <c r="MCX3" s="120"/>
      <c r="MCY3" s="120"/>
      <c r="MCZ3" s="120"/>
      <c r="MDA3" s="120"/>
      <c r="MDB3" s="120"/>
      <c r="MDC3" s="120"/>
      <c r="MDD3" s="120"/>
      <c r="MDE3" s="120"/>
      <c r="MDF3" s="120"/>
      <c r="MDG3" s="120"/>
      <c r="MDH3" s="120"/>
      <c r="MDI3" s="120"/>
      <c r="MDJ3" s="120"/>
      <c r="MDK3" s="120"/>
      <c r="MDL3" s="120"/>
      <c r="MDM3" s="120"/>
      <c r="MDN3" s="120"/>
      <c r="MDO3" s="120"/>
      <c r="MDP3" s="120"/>
      <c r="MDQ3" s="120"/>
      <c r="MDR3" s="120"/>
      <c r="MDS3" s="120"/>
      <c r="MDT3" s="120"/>
      <c r="MDU3" s="120"/>
      <c r="MDV3" s="120"/>
      <c r="MDW3" s="120"/>
      <c r="MDX3" s="120"/>
      <c r="MDY3" s="120"/>
      <c r="MDZ3" s="120"/>
      <c r="MEA3" s="120"/>
      <c r="MEB3" s="120"/>
      <c r="MEC3" s="120"/>
      <c r="MED3" s="120"/>
      <c r="MEE3" s="120"/>
      <c r="MEF3" s="120"/>
      <c r="MEG3" s="120"/>
      <c r="MEH3" s="120"/>
      <c r="MEI3" s="120"/>
      <c r="MEJ3" s="120"/>
      <c r="MEK3" s="120"/>
      <c r="MEL3" s="120"/>
      <c r="MEM3" s="120"/>
      <c r="MEN3" s="120"/>
      <c r="MEO3" s="120"/>
      <c r="MEP3" s="120"/>
      <c r="MEQ3" s="120"/>
      <c r="MER3" s="120"/>
      <c r="MES3" s="120"/>
      <c r="MET3" s="120"/>
      <c r="MEU3" s="120"/>
      <c r="MEV3" s="120"/>
      <c r="MEW3" s="120"/>
      <c r="MEX3" s="120"/>
      <c r="MEY3" s="120"/>
      <c r="MEZ3" s="120"/>
      <c r="MFA3" s="120"/>
      <c r="MFB3" s="120"/>
      <c r="MFC3" s="120"/>
      <c r="MFD3" s="120"/>
      <c r="MFE3" s="120"/>
      <c r="MFF3" s="120"/>
      <c r="MFG3" s="120"/>
      <c r="MFH3" s="120"/>
      <c r="MFI3" s="120"/>
      <c r="MFJ3" s="120"/>
      <c r="MFK3" s="120"/>
      <c r="MFL3" s="120"/>
      <c r="MFM3" s="120"/>
      <c r="MFN3" s="120"/>
      <c r="MFO3" s="120"/>
      <c r="MFP3" s="120"/>
      <c r="MFQ3" s="120"/>
      <c r="MFR3" s="120"/>
      <c r="MFS3" s="120"/>
      <c r="MFT3" s="120"/>
      <c r="MFU3" s="120"/>
      <c r="MFV3" s="120"/>
      <c r="MFW3" s="120"/>
      <c r="MFX3" s="120"/>
      <c r="MFY3" s="120"/>
      <c r="MFZ3" s="120"/>
      <c r="MGA3" s="120"/>
      <c r="MGB3" s="120"/>
      <c r="MGC3" s="120"/>
      <c r="MGD3" s="120"/>
      <c r="MGE3" s="120"/>
      <c r="MGF3" s="120"/>
      <c r="MGG3" s="120"/>
      <c r="MGH3" s="120"/>
      <c r="MGI3" s="120"/>
      <c r="MGJ3" s="120"/>
      <c r="MGK3" s="120"/>
      <c r="MGL3" s="120"/>
      <c r="MGM3" s="120"/>
      <c r="MGN3" s="120"/>
      <c r="MGO3" s="120"/>
      <c r="MGP3" s="120"/>
      <c r="MGQ3" s="120"/>
      <c r="MGR3" s="120"/>
      <c r="MGS3" s="120"/>
      <c r="MGT3" s="120"/>
      <c r="MGU3" s="120"/>
      <c r="MGV3" s="120"/>
      <c r="MGW3" s="120"/>
      <c r="MGX3" s="120"/>
      <c r="MGY3" s="120"/>
      <c r="MGZ3" s="120"/>
      <c r="MHA3" s="120"/>
      <c r="MHB3" s="120"/>
      <c r="MHC3" s="120"/>
      <c r="MHD3" s="120"/>
      <c r="MHE3" s="120"/>
      <c r="MHF3" s="120"/>
      <c r="MHG3" s="120"/>
      <c r="MHH3" s="120"/>
      <c r="MHI3" s="120"/>
      <c r="MHJ3" s="120"/>
      <c r="MHK3" s="120"/>
      <c r="MHL3" s="120"/>
      <c r="MHM3" s="120"/>
      <c r="MHN3" s="120"/>
      <c r="MHO3" s="120"/>
      <c r="MHP3" s="120"/>
      <c r="MHQ3" s="120"/>
      <c r="MHR3" s="120"/>
      <c r="MHS3" s="120"/>
      <c r="MHT3" s="120"/>
      <c r="MHU3" s="120"/>
      <c r="MHV3" s="120"/>
      <c r="MHW3" s="120"/>
      <c r="MHX3" s="120"/>
      <c r="MHY3" s="120"/>
      <c r="MHZ3" s="120"/>
      <c r="MIA3" s="120"/>
      <c r="MIB3" s="120"/>
      <c r="MIC3" s="120"/>
      <c r="MID3" s="120"/>
      <c r="MIE3" s="120"/>
      <c r="MIF3" s="120"/>
      <c r="MIG3" s="120"/>
      <c r="MIH3" s="120"/>
      <c r="MII3" s="120"/>
      <c r="MIJ3" s="120"/>
      <c r="MIK3" s="120"/>
      <c r="MIL3" s="120"/>
      <c r="MIM3" s="120"/>
      <c r="MIN3" s="120"/>
      <c r="MIO3" s="120"/>
      <c r="MIP3" s="120"/>
      <c r="MIQ3" s="120"/>
      <c r="MIR3" s="120"/>
      <c r="MIS3" s="120"/>
      <c r="MIT3" s="120"/>
      <c r="MIU3" s="120"/>
      <c r="MIV3" s="120"/>
      <c r="MIW3" s="120"/>
      <c r="MIX3" s="120"/>
      <c r="MIY3" s="120"/>
      <c r="MIZ3" s="120"/>
      <c r="MJA3" s="120"/>
      <c r="MJB3" s="120"/>
      <c r="MJC3" s="120"/>
      <c r="MJD3" s="120"/>
      <c r="MJE3" s="120"/>
      <c r="MJF3" s="120"/>
      <c r="MJG3" s="120"/>
      <c r="MJH3" s="120"/>
      <c r="MJI3" s="120"/>
      <c r="MJJ3" s="120"/>
      <c r="MJK3" s="120"/>
      <c r="MJL3" s="120"/>
      <c r="MJM3" s="120"/>
      <c r="MJN3" s="120"/>
      <c r="MJO3" s="120"/>
      <c r="MJP3" s="120"/>
      <c r="MJQ3" s="120"/>
      <c r="MJR3" s="120"/>
      <c r="MJS3" s="120"/>
      <c r="MJT3" s="120"/>
      <c r="MJU3" s="120"/>
      <c r="MJV3" s="120"/>
      <c r="MJW3" s="120"/>
      <c r="MJX3" s="120"/>
      <c r="MJY3" s="120"/>
      <c r="MJZ3" s="120"/>
      <c r="MKA3" s="120"/>
      <c r="MKB3" s="120"/>
      <c r="MKC3" s="120"/>
      <c r="MKD3" s="120"/>
      <c r="MKE3" s="120"/>
      <c r="MKF3" s="120"/>
      <c r="MKG3" s="120"/>
      <c r="MKH3" s="120"/>
      <c r="MKI3" s="120"/>
      <c r="MKJ3" s="120"/>
      <c r="MKK3" s="120"/>
      <c r="MKL3" s="120"/>
      <c r="MKM3" s="120"/>
      <c r="MKN3" s="120"/>
      <c r="MKO3" s="120"/>
      <c r="MKP3" s="120"/>
      <c r="MKQ3" s="120"/>
      <c r="MKR3" s="120"/>
      <c r="MKS3" s="120"/>
      <c r="MKT3" s="120"/>
      <c r="MKU3" s="120"/>
      <c r="MKV3" s="120"/>
      <c r="MKW3" s="120"/>
      <c r="MKX3" s="120"/>
      <c r="MKY3" s="120"/>
      <c r="MKZ3" s="120"/>
      <c r="MLA3" s="120"/>
      <c r="MLB3" s="120"/>
      <c r="MLC3" s="120"/>
      <c r="MLD3" s="120"/>
      <c r="MLE3" s="120"/>
      <c r="MLF3" s="120"/>
      <c r="MLG3" s="120"/>
      <c r="MLH3" s="120"/>
      <c r="MLI3" s="120"/>
      <c r="MLJ3" s="120"/>
      <c r="MLK3" s="120"/>
      <c r="MLL3" s="120"/>
      <c r="MLM3" s="120"/>
      <c r="MLN3" s="120"/>
      <c r="MLO3" s="120"/>
      <c r="MLP3" s="120"/>
      <c r="MLQ3" s="120"/>
      <c r="MLR3" s="120"/>
      <c r="MLS3" s="120"/>
      <c r="MLT3" s="120"/>
      <c r="MLU3" s="120"/>
      <c r="MLV3" s="120"/>
      <c r="MLW3" s="120"/>
      <c r="MLX3" s="120"/>
      <c r="MLY3" s="120"/>
      <c r="MLZ3" s="120"/>
      <c r="MMA3" s="120"/>
      <c r="MMB3" s="120"/>
      <c r="MMC3" s="120"/>
      <c r="MMD3" s="120"/>
      <c r="MME3" s="120"/>
      <c r="MMF3" s="120"/>
      <c r="MMG3" s="120"/>
      <c r="MMH3" s="120"/>
      <c r="MMI3" s="120"/>
      <c r="MMJ3" s="120"/>
      <c r="MMK3" s="120"/>
      <c r="MML3" s="120"/>
      <c r="MMM3" s="120"/>
      <c r="MMN3" s="120"/>
      <c r="MMO3" s="120"/>
      <c r="MMP3" s="120"/>
      <c r="MMQ3" s="120"/>
      <c r="MMR3" s="120"/>
      <c r="MMS3" s="120"/>
      <c r="MMT3" s="120"/>
      <c r="MMU3" s="120"/>
      <c r="MMV3" s="120"/>
      <c r="MMW3" s="120"/>
      <c r="MMX3" s="120"/>
      <c r="MMY3" s="120"/>
      <c r="MMZ3" s="120"/>
      <c r="MNA3" s="120"/>
      <c r="MNB3" s="120"/>
      <c r="MNC3" s="120"/>
      <c r="MND3" s="120"/>
      <c r="MNE3" s="120"/>
      <c r="MNF3" s="120"/>
      <c r="MNG3" s="120"/>
      <c r="MNH3" s="120"/>
      <c r="MNI3" s="120"/>
      <c r="MNJ3" s="120"/>
      <c r="MNK3" s="120"/>
      <c r="MNL3" s="120"/>
      <c r="MNM3" s="120"/>
      <c r="MNN3" s="120"/>
      <c r="MNO3" s="120"/>
      <c r="MNP3" s="120"/>
      <c r="MNQ3" s="120"/>
      <c r="MNR3" s="120"/>
      <c r="MNS3" s="120"/>
      <c r="MNT3" s="120"/>
      <c r="MNU3" s="120"/>
      <c r="MNV3" s="120"/>
      <c r="MNW3" s="120"/>
      <c r="MNX3" s="120"/>
      <c r="MNY3" s="120"/>
      <c r="MNZ3" s="120"/>
      <c r="MOA3" s="120"/>
      <c r="MOB3" s="120"/>
      <c r="MOC3" s="120"/>
      <c r="MOD3" s="120"/>
      <c r="MOE3" s="120"/>
      <c r="MOF3" s="120"/>
      <c r="MOG3" s="120"/>
      <c r="MOH3" s="120"/>
      <c r="MOI3" s="120"/>
      <c r="MOJ3" s="120"/>
      <c r="MOK3" s="120"/>
      <c r="MOL3" s="120"/>
      <c r="MOM3" s="120"/>
      <c r="MON3" s="120"/>
      <c r="MOO3" s="120"/>
      <c r="MOP3" s="120"/>
      <c r="MOQ3" s="120"/>
      <c r="MOR3" s="120"/>
      <c r="MOS3" s="120"/>
      <c r="MOT3" s="120"/>
      <c r="MOU3" s="120"/>
      <c r="MOV3" s="120"/>
      <c r="MOW3" s="120"/>
      <c r="MOX3" s="120"/>
      <c r="MOY3" s="120"/>
      <c r="MOZ3" s="120"/>
      <c r="MPA3" s="120"/>
      <c r="MPB3" s="120"/>
      <c r="MPC3" s="120"/>
      <c r="MPD3" s="120"/>
      <c r="MPE3" s="120"/>
      <c r="MPF3" s="120"/>
      <c r="MPG3" s="120"/>
      <c r="MPH3" s="120"/>
      <c r="MPI3" s="120"/>
      <c r="MPJ3" s="120"/>
      <c r="MPK3" s="120"/>
      <c r="MPL3" s="120"/>
      <c r="MPM3" s="120"/>
      <c r="MPN3" s="120"/>
      <c r="MPO3" s="120"/>
      <c r="MPP3" s="120"/>
      <c r="MPQ3" s="120"/>
      <c r="MPR3" s="120"/>
      <c r="MPS3" s="120"/>
      <c r="MPT3" s="120"/>
      <c r="MPU3" s="120"/>
      <c r="MPV3" s="120"/>
      <c r="MPW3" s="120"/>
      <c r="MPX3" s="120"/>
      <c r="MPY3" s="120"/>
      <c r="MPZ3" s="120"/>
      <c r="MQA3" s="120"/>
      <c r="MQB3" s="120"/>
      <c r="MQC3" s="120"/>
      <c r="MQD3" s="120"/>
      <c r="MQE3" s="120"/>
      <c r="MQF3" s="120"/>
      <c r="MQG3" s="120"/>
      <c r="MQH3" s="120"/>
      <c r="MQI3" s="120"/>
      <c r="MQJ3" s="120"/>
      <c r="MQK3" s="120"/>
      <c r="MQL3" s="120"/>
      <c r="MQM3" s="120"/>
      <c r="MQN3" s="120"/>
      <c r="MQO3" s="120"/>
      <c r="MQP3" s="120"/>
      <c r="MQQ3" s="120"/>
      <c r="MQR3" s="120"/>
      <c r="MQS3" s="120"/>
      <c r="MQT3" s="120"/>
      <c r="MQU3" s="120"/>
      <c r="MQV3" s="120"/>
      <c r="MQW3" s="120"/>
      <c r="MQX3" s="120"/>
      <c r="MQY3" s="120"/>
      <c r="MQZ3" s="120"/>
      <c r="MRA3" s="120"/>
      <c r="MRB3" s="120"/>
      <c r="MRC3" s="120"/>
      <c r="MRD3" s="120"/>
      <c r="MRE3" s="120"/>
      <c r="MRF3" s="120"/>
      <c r="MRG3" s="120"/>
      <c r="MRH3" s="120"/>
      <c r="MRI3" s="120"/>
      <c r="MRJ3" s="120"/>
      <c r="MRK3" s="120"/>
      <c r="MRL3" s="120"/>
      <c r="MRM3" s="120"/>
      <c r="MRN3" s="120"/>
      <c r="MRO3" s="120"/>
      <c r="MRP3" s="120"/>
      <c r="MRQ3" s="120"/>
      <c r="MRR3" s="120"/>
      <c r="MRS3" s="120"/>
      <c r="MRT3" s="120"/>
      <c r="MRU3" s="120"/>
      <c r="MRV3" s="120"/>
      <c r="MRW3" s="120"/>
      <c r="MRX3" s="120"/>
      <c r="MRY3" s="120"/>
      <c r="MRZ3" s="120"/>
      <c r="MSA3" s="120"/>
      <c r="MSB3" s="120"/>
      <c r="MSC3" s="120"/>
      <c r="MSD3" s="120"/>
      <c r="MSE3" s="120"/>
      <c r="MSF3" s="120"/>
      <c r="MSG3" s="120"/>
      <c r="MSH3" s="120"/>
      <c r="MSI3" s="120"/>
      <c r="MSJ3" s="120"/>
      <c r="MSK3" s="120"/>
      <c r="MSL3" s="120"/>
      <c r="MSM3" s="120"/>
      <c r="MSN3" s="120"/>
      <c r="MSO3" s="120"/>
      <c r="MSP3" s="120"/>
      <c r="MSQ3" s="120"/>
      <c r="MSR3" s="120"/>
      <c r="MSS3" s="120"/>
      <c r="MST3" s="120"/>
      <c r="MSU3" s="120"/>
      <c r="MSV3" s="120"/>
      <c r="MSW3" s="120"/>
      <c r="MSX3" s="120"/>
      <c r="MSY3" s="120"/>
      <c r="MSZ3" s="120"/>
      <c r="MTA3" s="120"/>
      <c r="MTB3" s="120"/>
      <c r="MTC3" s="120"/>
      <c r="MTD3" s="120"/>
      <c r="MTE3" s="120"/>
      <c r="MTF3" s="120"/>
      <c r="MTG3" s="120"/>
      <c r="MTH3" s="120"/>
      <c r="MTI3" s="120"/>
      <c r="MTJ3" s="120"/>
      <c r="MTK3" s="120"/>
      <c r="MTL3" s="120"/>
      <c r="MTM3" s="120"/>
      <c r="MTN3" s="120"/>
      <c r="MTO3" s="120"/>
      <c r="MTP3" s="120"/>
      <c r="MTQ3" s="120"/>
      <c r="MTR3" s="120"/>
      <c r="MTS3" s="120"/>
      <c r="MTT3" s="120"/>
      <c r="MTU3" s="120"/>
      <c r="MTV3" s="120"/>
      <c r="MTW3" s="120"/>
      <c r="MTX3" s="120"/>
      <c r="MTY3" s="120"/>
      <c r="MTZ3" s="120"/>
      <c r="MUA3" s="120"/>
      <c r="MUB3" s="120"/>
      <c r="MUC3" s="120"/>
      <c r="MUD3" s="120"/>
      <c r="MUE3" s="120"/>
      <c r="MUF3" s="120"/>
      <c r="MUG3" s="120"/>
      <c r="MUH3" s="120"/>
      <c r="MUI3" s="120"/>
      <c r="MUJ3" s="120"/>
      <c r="MUK3" s="120"/>
      <c r="MUL3" s="120"/>
      <c r="MUM3" s="120"/>
      <c r="MUN3" s="120"/>
      <c r="MUO3" s="120"/>
      <c r="MUP3" s="120"/>
      <c r="MUQ3" s="120"/>
      <c r="MUR3" s="120"/>
      <c r="MUS3" s="120"/>
      <c r="MUT3" s="120"/>
      <c r="MUU3" s="120"/>
      <c r="MUV3" s="120"/>
      <c r="MUW3" s="120"/>
      <c r="MUX3" s="120"/>
      <c r="MUY3" s="120"/>
      <c r="MUZ3" s="120"/>
      <c r="MVA3" s="120"/>
      <c r="MVB3" s="120"/>
      <c r="MVC3" s="120"/>
      <c r="MVD3" s="120"/>
      <c r="MVE3" s="120"/>
      <c r="MVF3" s="120"/>
      <c r="MVG3" s="120"/>
      <c r="MVH3" s="120"/>
      <c r="MVI3" s="120"/>
      <c r="MVJ3" s="120"/>
      <c r="MVK3" s="120"/>
      <c r="MVL3" s="120"/>
      <c r="MVM3" s="120"/>
      <c r="MVN3" s="120"/>
      <c r="MVO3" s="120"/>
      <c r="MVP3" s="120"/>
      <c r="MVQ3" s="120"/>
      <c r="MVR3" s="120"/>
      <c r="MVS3" s="120"/>
      <c r="MVT3" s="120"/>
      <c r="MVU3" s="120"/>
      <c r="MVV3" s="120"/>
      <c r="MVW3" s="120"/>
      <c r="MVX3" s="120"/>
      <c r="MVY3" s="120"/>
      <c r="MVZ3" s="120"/>
      <c r="MWA3" s="120"/>
      <c r="MWB3" s="120"/>
      <c r="MWC3" s="120"/>
      <c r="MWD3" s="120"/>
      <c r="MWE3" s="120"/>
      <c r="MWF3" s="120"/>
      <c r="MWG3" s="120"/>
      <c r="MWH3" s="120"/>
      <c r="MWI3" s="120"/>
      <c r="MWJ3" s="120"/>
      <c r="MWK3" s="120"/>
      <c r="MWL3" s="120"/>
      <c r="MWM3" s="120"/>
      <c r="MWN3" s="120"/>
      <c r="MWO3" s="120"/>
      <c r="MWP3" s="120"/>
      <c r="MWQ3" s="120"/>
      <c r="MWR3" s="120"/>
      <c r="MWS3" s="120"/>
      <c r="MWT3" s="120"/>
      <c r="MWU3" s="120"/>
      <c r="MWV3" s="120"/>
      <c r="MWW3" s="120"/>
      <c r="MWX3" s="120"/>
      <c r="MWY3" s="120"/>
      <c r="MWZ3" s="120"/>
      <c r="MXA3" s="120"/>
      <c r="MXB3" s="120"/>
      <c r="MXC3" s="120"/>
      <c r="MXD3" s="120"/>
      <c r="MXE3" s="120"/>
      <c r="MXF3" s="120"/>
      <c r="MXG3" s="120"/>
      <c r="MXH3" s="120"/>
      <c r="MXI3" s="120"/>
      <c r="MXJ3" s="120"/>
      <c r="MXK3" s="120"/>
      <c r="MXL3" s="120"/>
      <c r="MXM3" s="120"/>
      <c r="MXN3" s="120"/>
      <c r="MXO3" s="120"/>
      <c r="MXP3" s="120"/>
      <c r="MXQ3" s="120"/>
      <c r="MXR3" s="120"/>
      <c r="MXS3" s="120"/>
      <c r="MXT3" s="120"/>
      <c r="MXU3" s="120"/>
      <c r="MXV3" s="120"/>
      <c r="MXW3" s="120"/>
      <c r="MXX3" s="120"/>
      <c r="MXY3" s="120"/>
      <c r="MXZ3" s="120"/>
      <c r="MYA3" s="120"/>
      <c r="MYB3" s="120"/>
      <c r="MYC3" s="120"/>
      <c r="MYD3" s="120"/>
      <c r="MYE3" s="120"/>
      <c r="MYF3" s="120"/>
      <c r="MYG3" s="120"/>
      <c r="MYH3" s="120"/>
      <c r="MYI3" s="120"/>
      <c r="MYJ3" s="120"/>
      <c r="MYK3" s="120"/>
      <c r="MYL3" s="120"/>
      <c r="MYM3" s="120"/>
      <c r="MYN3" s="120"/>
      <c r="MYO3" s="120"/>
      <c r="MYP3" s="120"/>
      <c r="MYQ3" s="120"/>
      <c r="MYR3" s="120"/>
      <c r="MYS3" s="120"/>
      <c r="MYT3" s="120"/>
      <c r="MYU3" s="120"/>
      <c r="MYV3" s="120"/>
      <c r="MYW3" s="120"/>
      <c r="MYX3" s="120"/>
      <c r="MYY3" s="120"/>
      <c r="MYZ3" s="120"/>
      <c r="MZA3" s="120"/>
      <c r="MZB3" s="120"/>
      <c r="MZC3" s="120"/>
      <c r="MZD3" s="120"/>
      <c r="MZE3" s="120"/>
      <c r="MZF3" s="120"/>
      <c r="MZG3" s="120"/>
      <c r="MZH3" s="120"/>
      <c r="MZI3" s="120"/>
      <c r="MZJ3" s="120"/>
      <c r="MZK3" s="120"/>
      <c r="MZL3" s="120"/>
      <c r="MZM3" s="120"/>
      <c r="MZN3" s="120"/>
      <c r="MZO3" s="120"/>
      <c r="MZP3" s="120"/>
      <c r="MZQ3" s="120"/>
      <c r="MZR3" s="120"/>
      <c r="MZS3" s="120"/>
      <c r="MZT3" s="120"/>
      <c r="MZU3" s="120"/>
      <c r="MZV3" s="120"/>
      <c r="MZW3" s="120"/>
      <c r="MZX3" s="120"/>
      <c r="MZY3" s="120"/>
      <c r="MZZ3" s="120"/>
      <c r="NAA3" s="120"/>
      <c r="NAB3" s="120"/>
      <c r="NAC3" s="120"/>
      <c r="NAD3" s="120"/>
      <c r="NAE3" s="120"/>
      <c r="NAF3" s="120"/>
      <c r="NAG3" s="120"/>
      <c r="NAH3" s="120"/>
      <c r="NAI3" s="120"/>
      <c r="NAJ3" s="120"/>
      <c r="NAK3" s="120"/>
      <c r="NAL3" s="120"/>
      <c r="NAM3" s="120"/>
      <c r="NAN3" s="120"/>
      <c r="NAO3" s="120"/>
      <c r="NAP3" s="120"/>
      <c r="NAQ3" s="120"/>
      <c r="NAR3" s="120"/>
      <c r="NAS3" s="120"/>
      <c r="NAT3" s="120"/>
      <c r="NAU3" s="120"/>
      <c r="NAV3" s="120"/>
      <c r="NAW3" s="120"/>
      <c r="NAX3" s="120"/>
      <c r="NAY3" s="120"/>
      <c r="NAZ3" s="120"/>
      <c r="NBA3" s="120"/>
      <c r="NBB3" s="120"/>
      <c r="NBC3" s="120"/>
      <c r="NBD3" s="120"/>
      <c r="NBE3" s="120"/>
      <c r="NBF3" s="120"/>
      <c r="NBG3" s="120"/>
      <c r="NBH3" s="120"/>
      <c r="NBI3" s="120"/>
      <c r="NBJ3" s="120"/>
      <c r="NBK3" s="120"/>
      <c r="NBL3" s="120"/>
      <c r="NBM3" s="120"/>
      <c r="NBN3" s="120"/>
      <c r="NBO3" s="120"/>
      <c r="NBP3" s="120"/>
      <c r="NBQ3" s="120"/>
      <c r="NBR3" s="120"/>
      <c r="NBS3" s="120"/>
      <c r="NBT3" s="120"/>
      <c r="NBU3" s="120"/>
      <c r="NBV3" s="120"/>
      <c r="NBW3" s="120"/>
      <c r="NBX3" s="120"/>
      <c r="NBY3" s="120"/>
      <c r="NBZ3" s="120"/>
      <c r="NCA3" s="120"/>
      <c r="NCB3" s="120"/>
      <c r="NCC3" s="120"/>
      <c r="NCD3" s="120"/>
      <c r="NCE3" s="120"/>
      <c r="NCF3" s="120"/>
      <c r="NCG3" s="120"/>
      <c r="NCH3" s="120"/>
      <c r="NCI3" s="120"/>
      <c r="NCJ3" s="120"/>
      <c r="NCK3" s="120"/>
      <c r="NCL3" s="120"/>
      <c r="NCM3" s="120"/>
      <c r="NCN3" s="120"/>
      <c r="NCO3" s="120"/>
      <c r="NCP3" s="120"/>
      <c r="NCQ3" s="120"/>
      <c r="NCR3" s="120"/>
      <c r="NCS3" s="120"/>
      <c r="NCT3" s="120"/>
      <c r="NCU3" s="120"/>
      <c r="NCV3" s="120"/>
      <c r="NCW3" s="120"/>
      <c r="NCX3" s="120"/>
      <c r="NCY3" s="120"/>
      <c r="NCZ3" s="120"/>
      <c r="NDA3" s="120"/>
      <c r="NDB3" s="120"/>
      <c r="NDC3" s="120"/>
      <c r="NDD3" s="120"/>
      <c r="NDE3" s="120"/>
      <c r="NDF3" s="120"/>
      <c r="NDG3" s="120"/>
      <c r="NDH3" s="120"/>
      <c r="NDI3" s="120"/>
      <c r="NDJ3" s="120"/>
      <c r="NDK3" s="120"/>
      <c r="NDL3" s="120"/>
      <c r="NDM3" s="120"/>
      <c r="NDN3" s="120"/>
      <c r="NDO3" s="120"/>
      <c r="NDP3" s="120"/>
      <c r="NDQ3" s="120"/>
      <c r="NDR3" s="120"/>
      <c r="NDS3" s="120"/>
      <c r="NDT3" s="120"/>
      <c r="NDU3" s="120"/>
      <c r="NDV3" s="120"/>
      <c r="NDW3" s="120"/>
      <c r="NDX3" s="120"/>
      <c r="NDY3" s="120"/>
      <c r="NDZ3" s="120"/>
      <c r="NEA3" s="120"/>
      <c r="NEB3" s="120"/>
      <c r="NEC3" s="120"/>
      <c r="NED3" s="120"/>
      <c r="NEE3" s="120"/>
      <c r="NEF3" s="120"/>
      <c r="NEG3" s="120"/>
      <c r="NEH3" s="120"/>
      <c r="NEI3" s="120"/>
      <c r="NEJ3" s="120"/>
      <c r="NEK3" s="120"/>
      <c r="NEL3" s="120"/>
      <c r="NEM3" s="120"/>
      <c r="NEN3" s="120"/>
      <c r="NEO3" s="120"/>
      <c r="NEP3" s="120"/>
      <c r="NEQ3" s="120"/>
      <c r="NER3" s="120"/>
      <c r="NES3" s="120"/>
      <c r="NET3" s="120"/>
      <c r="NEU3" s="120"/>
      <c r="NEV3" s="120"/>
      <c r="NEW3" s="120"/>
      <c r="NEX3" s="120"/>
      <c r="NEY3" s="120"/>
      <c r="NEZ3" s="120"/>
      <c r="NFA3" s="120"/>
      <c r="NFB3" s="120"/>
      <c r="NFC3" s="120"/>
      <c r="NFD3" s="120"/>
      <c r="NFE3" s="120"/>
      <c r="NFF3" s="120"/>
      <c r="NFG3" s="120"/>
      <c r="NFH3" s="120"/>
      <c r="NFI3" s="120"/>
      <c r="NFJ3" s="120"/>
      <c r="NFK3" s="120"/>
      <c r="NFL3" s="120"/>
      <c r="NFM3" s="120"/>
      <c r="NFN3" s="120"/>
      <c r="NFO3" s="120"/>
      <c r="NFP3" s="120"/>
      <c r="NFQ3" s="120"/>
      <c r="NFR3" s="120"/>
      <c r="NFS3" s="120"/>
      <c r="NFT3" s="120"/>
      <c r="NFU3" s="120"/>
      <c r="NFV3" s="120"/>
      <c r="NFW3" s="120"/>
      <c r="NFX3" s="120"/>
      <c r="NFY3" s="120"/>
      <c r="NFZ3" s="120"/>
      <c r="NGA3" s="120"/>
      <c r="NGB3" s="120"/>
      <c r="NGC3" s="120"/>
      <c r="NGD3" s="120"/>
      <c r="NGE3" s="120"/>
      <c r="NGF3" s="120"/>
      <c r="NGG3" s="120"/>
      <c r="NGH3" s="120"/>
      <c r="NGI3" s="120"/>
      <c r="NGJ3" s="120"/>
      <c r="NGK3" s="120"/>
      <c r="NGL3" s="120"/>
      <c r="NGM3" s="120"/>
      <c r="NGN3" s="120"/>
      <c r="NGO3" s="120"/>
      <c r="NGP3" s="120"/>
      <c r="NGQ3" s="120"/>
      <c r="NGR3" s="120"/>
      <c r="NGS3" s="120"/>
      <c r="NGT3" s="120"/>
      <c r="NGU3" s="120"/>
      <c r="NGV3" s="120"/>
      <c r="NGW3" s="120"/>
      <c r="NGX3" s="120"/>
      <c r="NGY3" s="120"/>
      <c r="NGZ3" s="120"/>
      <c r="NHA3" s="120"/>
      <c r="NHB3" s="120"/>
      <c r="NHC3" s="120"/>
      <c r="NHD3" s="120"/>
      <c r="NHE3" s="120"/>
      <c r="NHF3" s="120"/>
      <c r="NHG3" s="120"/>
      <c r="NHH3" s="120"/>
      <c r="NHI3" s="120"/>
      <c r="NHJ3" s="120"/>
      <c r="NHK3" s="120"/>
      <c r="NHL3" s="120"/>
      <c r="NHM3" s="120"/>
      <c r="NHN3" s="120"/>
      <c r="NHO3" s="120"/>
      <c r="NHP3" s="120"/>
      <c r="NHQ3" s="120"/>
      <c r="NHR3" s="120"/>
      <c r="NHS3" s="120"/>
      <c r="NHT3" s="120"/>
      <c r="NHU3" s="120"/>
      <c r="NHV3" s="120"/>
      <c r="NHW3" s="120"/>
      <c r="NHX3" s="120"/>
      <c r="NHY3" s="120"/>
      <c r="NHZ3" s="120"/>
      <c r="NIA3" s="120"/>
      <c r="NIB3" s="120"/>
      <c r="NIC3" s="120"/>
      <c r="NID3" s="120"/>
      <c r="NIE3" s="120"/>
      <c r="NIF3" s="120"/>
      <c r="NIG3" s="120"/>
      <c r="NIH3" s="120"/>
      <c r="NII3" s="120"/>
      <c r="NIJ3" s="120"/>
      <c r="NIK3" s="120"/>
      <c r="NIL3" s="120"/>
      <c r="NIM3" s="120"/>
      <c r="NIN3" s="120"/>
      <c r="NIO3" s="120"/>
      <c r="NIP3" s="120"/>
      <c r="NIQ3" s="120"/>
      <c r="NIR3" s="120"/>
      <c r="NIS3" s="120"/>
      <c r="NIT3" s="120"/>
      <c r="NIU3" s="120"/>
      <c r="NIV3" s="120"/>
      <c r="NIW3" s="120"/>
      <c r="NIX3" s="120"/>
      <c r="NIY3" s="120"/>
      <c r="NIZ3" s="120"/>
      <c r="NJA3" s="120"/>
      <c r="NJB3" s="120"/>
      <c r="NJC3" s="120"/>
      <c r="NJD3" s="120"/>
      <c r="NJE3" s="120"/>
      <c r="NJF3" s="120"/>
      <c r="NJG3" s="120"/>
      <c r="NJH3" s="120"/>
      <c r="NJI3" s="120"/>
      <c r="NJJ3" s="120"/>
      <c r="NJK3" s="120"/>
      <c r="NJL3" s="120"/>
      <c r="NJM3" s="120"/>
      <c r="NJN3" s="120"/>
      <c r="NJO3" s="120"/>
      <c r="NJP3" s="120"/>
      <c r="NJQ3" s="120"/>
      <c r="NJR3" s="120"/>
      <c r="NJS3" s="120"/>
      <c r="NJT3" s="120"/>
      <c r="NJU3" s="120"/>
      <c r="NJV3" s="120"/>
      <c r="NJW3" s="120"/>
      <c r="NJX3" s="120"/>
      <c r="NJY3" s="120"/>
      <c r="NJZ3" s="120"/>
      <c r="NKA3" s="120"/>
      <c r="NKB3" s="120"/>
      <c r="NKC3" s="120"/>
      <c r="NKD3" s="120"/>
      <c r="NKE3" s="120"/>
      <c r="NKF3" s="120"/>
      <c r="NKG3" s="120"/>
      <c r="NKH3" s="120"/>
      <c r="NKI3" s="120"/>
      <c r="NKJ3" s="120"/>
      <c r="NKK3" s="120"/>
      <c r="NKL3" s="120"/>
      <c r="NKM3" s="120"/>
      <c r="NKN3" s="120"/>
      <c r="NKO3" s="120"/>
      <c r="NKP3" s="120"/>
      <c r="NKQ3" s="120"/>
      <c r="NKR3" s="120"/>
      <c r="NKS3" s="120"/>
      <c r="NKT3" s="120"/>
      <c r="NKU3" s="120"/>
      <c r="NKV3" s="120"/>
      <c r="NKW3" s="120"/>
      <c r="NKX3" s="120"/>
      <c r="NKY3" s="120"/>
      <c r="NKZ3" s="120"/>
      <c r="NLA3" s="120"/>
      <c r="NLB3" s="120"/>
      <c r="NLC3" s="120"/>
      <c r="NLD3" s="120"/>
      <c r="NLE3" s="120"/>
      <c r="NLF3" s="120"/>
      <c r="NLG3" s="120"/>
      <c r="NLH3" s="120"/>
      <c r="NLI3" s="120"/>
      <c r="NLJ3" s="120"/>
      <c r="NLK3" s="120"/>
      <c r="NLL3" s="120"/>
      <c r="NLM3" s="120"/>
      <c r="NLN3" s="120"/>
      <c r="NLO3" s="120"/>
      <c r="NLP3" s="120"/>
      <c r="NLQ3" s="120"/>
      <c r="NLR3" s="120"/>
      <c r="NLS3" s="120"/>
      <c r="NLT3" s="120"/>
      <c r="NLU3" s="120"/>
      <c r="NLV3" s="120"/>
      <c r="NLW3" s="120"/>
      <c r="NLX3" s="120"/>
      <c r="NLY3" s="120"/>
      <c r="NLZ3" s="120"/>
      <c r="NMA3" s="120"/>
      <c r="NMB3" s="120"/>
      <c r="NMC3" s="120"/>
      <c r="NMD3" s="120"/>
      <c r="NME3" s="120"/>
      <c r="NMF3" s="120"/>
      <c r="NMG3" s="120"/>
      <c r="NMH3" s="120"/>
      <c r="NMI3" s="120"/>
      <c r="NMJ3" s="120"/>
      <c r="NMK3" s="120"/>
      <c r="NML3" s="120"/>
      <c r="NMM3" s="120"/>
      <c r="NMN3" s="120"/>
      <c r="NMO3" s="120"/>
      <c r="NMP3" s="120"/>
      <c r="NMQ3" s="120"/>
      <c r="NMR3" s="120"/>
      <c r="NMS3" s="120"/>
      <c r="NMT3" s="120"/>
      <c r="NMU3" s="120"/>
      <c r="NMV3" s="120"/>
      <c r="NMW3" s="120"/>
      <c r="NMX3" s="120"/>
      <c r="NMY3" s="120"/>
      <c r="NMZ3" s="120"/>
      <c r="NNA3" s="120"/>
      <c r="NNB3" s="120"/>
      <c r="NNC3" s="120"/>
      <c r="NND3" s="120"/>
      <c r="NNE3" s="120"/>
      <c r="NNF3" s="120"/>
      <c r="NNG3" s="120"/>
      <c r="NNH3" s="120"/>
      <c r="NNI3" s="120"/>
      <c r="NNJ3" s="120"/>
      <c r="NNK3" s="120"/>
      <c r="NNL3" s="120"/>
      <c r="NNM3" s="120"/>
      <c r="NNN3" s="120"/>
      <c r="NNO3" s="120"/>
      <c r="NNP3" s="120"/>
      <c r="NNQ3" s="120"/>
      <c r="NNR3" s="120"/>
      <c r="NNS3" s="120"/>
      <c r="NNT3" s="120"/>
      <c r="NNU3" s="120"/>
      <c r="NNV3" s="120"/>
      <c r="NNW3" s="120"/>
      <c r="NNX3" s="120"/>
      <c r="NNY3" s="120"/>
      <c r="NNZ3" s="120"/>
      <c r="NOA3" s="120"/>
      <c r="NOB3" s="120"/>
      <c r="NOC3" s="120"/>
      <c r="NOD3" s="120"/>
      <c r="NOE3" s="120"/>
      <c r="NOF3" s="120"/>
      <c r="NOG3" s="120"/>
      <c r="NOH3" s="120"/>
      <c r="NOI3" s="120"/>
      <c r="NOJ3" s="120"/>
      <c r="NOK3" s="120"/>
      <c r="NOL3" s="120"/>
      <c r="NOM3" s="120"/>
      <c r="NON3" s="120"/>
      <c r="NOO3" s="120"/>
      <c r="NOP3" s="120"/>
      <c r="NOQ3" s="120"/>
      <c r="NOR3" s="120"/>
      <c r="NOS3" s="120"/>
      <c r="NOT3" s="120"/>
      <c r="NOU3" s="120"/>
      <c r="NOV3" s="120"/>
      <c r="NOW3" s="120"/>
      <c r="NOX3" s="120"/>
      <c r="NOY3" s="120"/>
      <c r="NOZ3" s="120"/>
      <c r="NPA3" s="120"/>
      <c r="NPB3" s="120"/>
      <c r="NPC3" s="120"/>
      <c r="NPD3" s="120"/>
      <c r="NPE3" s="120"/>
      <c r="NPF3" s="120"/>
      <c r="NPG3" s="120"/>
      <c r="NPH3" s="120"/>
      <c r="NPI3" s="120"/>
      <c r="NPJ3" s="120"/>
      <c r="NPK3" s="120"/>
      <c r="NPL3" s="120"/>
      <c r="NPM3" s="120"/>
      <c r="NPN3" s="120"/>
      <c r="NPO3" s="120"/>
      <c r="NPP3" s="120"/>
      <c r="NPQ3" s="120"/>
      <c r="NPR3" s="120"/>
      <c r="NPS3" s="120"/>
      <c r="NPT3" s="120"/>
      <c r="NPU3" s="120"/>
      <c r="NPV3" s="120"/>
      <c r="NPW3" s="120"/>
      <c r="NPX3" s="120"/>
      <c r="NPY3" s="120"/>
      <c r="NPZ3" s="120"/>
      <c r="NQA3" s="120"/>
      <c r="NQB3" s="120"/>
      <c r="NQC3" s="120"/>
      <c r="NQD3" s="120"/>
      <c r="NQE3" s="120"/>
      <c r="NQF3" s="120"/>
      <c r="NQG3" s="120"/>
      <c r="NQH3" s="120"/>
      <c r="NQI3" s="120"/>
      <c r="NQJ3" s="120"/>
      <c r="NQK3" s="120"/>
      <c r="NQL3" s="120"/>
      <c r="NQM3" s="120"/>
      <c r="NQN3" s="120"/>
      <c r="NQO3" s="120"/>
      <c r="NQP3" s="120"/>
      <c r="NQQ3" s="120"/>
      <c r="NQR3" s="120"/>
      <c r="NQS3" s="120"/>
      <c r="NQT3" s="120"/>
      <c r="NQU3" s="120"/>
      <c r="NQV3" s="120"/>
      <c r="NQW3" s="120"/>
      <c r="NQX3" s="120"/>
      <c r="NQY3" s="120"/>
      <c r="NQZ3" s="120"/>
      <c r="NRA3" s="120"/>
      <c r="NRB3" s="120"/>
      <c r="NRC3" s="120"/>
      <c r="NRD3" s="120"/>
      <c r="NRE3" s="120"/>
      <c r="NRF3" s="120"/>
      <c r="NRG3" s="120"/>
      <c r="NRH3" s="120"/>
      <c r="NRI3" s="120"/>
      <c r="NRJ3" s="120"/>
      <c r="NRK3" s="120"/>
      <c r="NRL3" s="120"/>
      <c r="NRM3" s="120"/>
      <c r="NRN3" s="120"/>
      <c r="NRO3" s="120"/>
      <c r="NRP3" s="120"/>
      <c r="NRQ3" s="120"/>
      <c r="NRR3" s="120"/>
      <c r="NRS3" s="120"/>
      <c r="NRT3" s="120"/>
      <c r="NRU3" s="120"/>
      <c r="NRV3" s="120"/>
      <c r="NRW3" s="120"/>
      <c r="NRX3" s="120"/>
      <c r="NRY3" s="120"/>
      <c r="NRZ3" s="120"/>
      <c r="NSA3" s="120"/>
      <c r="NSB3" s="120"/>
      <c r="NSC3" s="120"/>
      <c r="NSD3" s="120"/>
      <c r="NSE3" s="120"/>
      <c r="NSF3" s="120"/>
      <c r="NSG3" s="120"/>
      <c r="NSH3" s="120"/>
      <c r="NSI3" s="120"/>
      <c r="NSJ3" s="120"/>
      <c r="NSK3" s="120"/>
      <c r="NSL3" s="120"/>
      <c r="NSM3" s="120"/>
      <c r="NSN3" s="120"/>
      <c r="NSO3" s="120"/>
      <c r="NSP3" s="120"/>
      <c r="NSQ3" s="120"/>
      <c r="NSR3" s="120"/>
      <c r="NSS3" s="120"/>
      <c r="NST3" s="120"/>
      <c r="NSU3" s="120"/>
      <c r="NSV3" s="120"/>
      <c r="NSW3" s="120"/>
      <c r="NSX3" s="120"/>
      <c r="NSY3" s="120"/>
      <c r="NSZ3" s="120"/>
      <c r="NTA3" s="120"/>
      <c r="NTB3" s="120"/>
      <c r="NTC3" s="120"/>
      <c r="NTD3" s="120"/>
      <c r="NTE3" s="120"/>
      <c r="NTF3" s="120"/>
      <c r="NTG3" s="120"/>
      <c r="NTH3" s="120"/>
      <c r="NTI3" s="120"/>
      <c r="NTJ3" s="120"/>
      <c r="NTK3" s="120"/>
      <c r="NTL3" s="120"/>
      <c r="NTM3" s="120"/>
      <c r="NTN3" s="120"/>
      <c r="NTO3" s="120"/>
      <c r="NTP3" s="120"/>
      <c r="NTQ3" s="120"/>
      <c r="NTR3" s="120"/>
      <c r="NTS3" s="120"/>
      <c r="NTT3" s="120"/>
      <c r="NTU3" s="120"/>
      <c r="NTV3" s="120"/>
      <c r="NTW3" s="120"/>
      <c r="NTX3" s="120"/>
      <c r="NTY3" s="120"/>
      <c r="NTZ3" s="120"/>
      <c r="NUA3" s="120"/>
      <c r="NUB3" s="120"/>
      <c r="NUC3" s="120"/>
      <c r="NUD3" s="120"/>
      <c r="NUE3" s="120"/>
      <c r="NUF3" s="120"/>
      <c r="NUG3" s="120"/>
      <c r="NUH3" s="120"/>
      <c r="NUI3" s="120"/>
      <c r="NUJ3" s="120"/>
      <c r="NUK3" s="120"/>
      <c r="NUL3" s="120"/>
      <c r="NUM3" s="120"/>
      <c r="NUN3" s="120"/>
      <c r="NUO3" s="120"/>
      <c r="NUP3" s="120"/>
      <c r="NUQ3" s="120"/>
      <c r="NUR3" s="120"/>
      <c r="NUS3" s="120"/>
      <c r="NUT3" s="120"/>
      <c r="NUU3" s="120"/>
      <c r="NUV3" s="120"/>
      <c r="NUW3" s="120"/>
      <c r="NUX3" s="120"/>
      <c r="NUY3" s="120"/>
      <c r="NUZ3" s="120"/>
      <c r="NVA3" s="120"/>
      <c r="NVB3" s="120"/>
      <c r="NVC3" s="120"/>
      <c r="NVD3" s="120"/>
      <c r="NVE3" s="120"/>
      <c r="NVF3" s="120"/>
      <c r="NVG3" s="120"/>
      <c r="NVH3" s="120"/>
      <c r="NVI3" s="120"/>
      <c r="NVJ3" s="120"/>
      <c r="NVK3" s="120"/>
      <c r="NVL3" s="120"/>
      <c r="NVM3" s="120"/>
      <c r="NVN3" s="120"/>
      <c r="NVO3" s="120"/>
      <c r="NVP3" s="120"/>
      <c r="NVQ3" s="120"/>
      <c r="NVR3" s="120"/>
      <c r="NVS3" s="120"/>
      <c r="NVT3" s="120"/>
      <c r="NVU3" s="120"/>
      <c r="NVV3" s="120"/>
      <c r="NVW3" s="120"/>
      <c r="NVX3" s="120"/>
      <c r="NVY3" s="120"/>
      <c r="NVZ3" s="120"/>
      <c r="NWA3" s="120"/>
      <c r="NWB3" s="120"/>
      <c r="NWC3" s="120"/>
      <c r="NWD3" s="120"/>
      <c r="NWE3" s="120"/>
      <c r="NWF3" s="120"/>
      <c r="NWG3" s="120"/>
      <c r="NWH3" s="120"/>
      <c r="NWI3" s="120"/>
      <c r="NWJ3" s="120"/>
      <c r="NWK3" s="120"/>
      <c r="NWL3" s="120"/>
      <c r="NWM3" s="120"/>
      <c r="NWN3" s="120"/>
      <c r="NWO3" s="120"/>
      <c r="NWP3" s="120"/>
      <c r="NWQ3" s="120"/>
      <c r="NWR3" s="120"/>
      <c r="NWS3" s="120"/>
      <c r="NWT3" s="120"/>
      <c r="NWU3" s="120"/>
      <c r="NWV3" s="120"/>
      <c r="NWW3" s="120"/>
      <c r="NWX3" s="120"/>
      <c r="NWY3" s="120"/>
      <c r="NWZ3" s="120"/>
      <c r="NXA3" s="120"/>
      <c r="NXB3" s="120"/>
      <c r="NXC3" s="120"/>
      <c r="NXD3" s="120"/>
      <c r="NXE3" s="120"/>
      <c r="NXF3" s="120"/>
      <c r="NXG3" s="120"/>
      <c r="NXH3" s="120"/>
      <c r="NXI3" s="120"/>
      <c r="NXJ3" s="120"/>
      <c r="NXK3" s="120"/>
      <c r="NXL3" s="120"/>
      <c r="NXM3" s="120"/>
      <c r="NXN3" s="120"/>
      <c r="NXO3" s="120"/>
      <c r="NXP3" s="120"/>
      <c r="NXQ3" s="120"/>
      <c r="NXR3" s="120"/>
      <c r="NXS3" s="120"/>
      <c r="NXT3" s="120"/>
      <c r="NXU3" s="120"/>
      <c r="NXV3" s="120"/>
      <c r="NXW3" s="120"/>
      <c r="NXX3" s="120"/>
      <c r="NXY3" s="120"/>
      <c r="NXZ3" s="120"/>
      <c r="NYA3" s="120"/>
      <c r="NYB3" s="120"/>
      <c r="NYC3" s="120"/>
      <c r="NYD3" s="120"/>
      <c r="NYE3" s="120"/>
      <c r="NYF3" s="120"/>
      <c r="NYG3" s="120"/>
      <c r="NYH3" s="120"/>
      <c r="NYI3" s="120"/>
      <c r="NYJ3" s="120"/>
      <c r="NYK3" s="120"/>
      <c r="NYL3" s="120"/>
      <c r="NYM3" s="120"/>
      <c r="NYN3" s="120"/>
      <c r="NYO3" s="120"/>
      <c r="NYP3" s="120"/>
      <c r="NYQ3" s="120"/>
      <c r="NYR3" s="120"/>
      <c r="NYS3" s="120"/>
      <c r="NYT3" s="120"/>
      <c r="NYU3" s="120"/>
      <c r="NYV3" s="120"/>
      <c r="NYW3" s="120"/>
      <c r="NYX3" s="120"/>
      <c r="NYY3" s="120"/>
      <c r="NYZ3" s="120"/>
      <c r="NZA3" s="120"/>
      <c r="NZB3" s="120"/>
      <c r="NZC3" s="120"/>
      <c r="NZD3" s="120"/>
      <c r="NZE3" s="120"/>
      <c r="NZF3" s="120"/>
      <c r="NZG3" s="120"/>
      <c r="NZH3" s="120"/>
      <c r="NZI3" s="120"/>
      <c r="NZJ3" s="120"/>
      <c r="NZK3" s="120"/>
      <c r="NZL3" s="120"/>
      <c r="NZM3" s="120"/>
      <c r="NZN3" s="120"/>
      <c r="NZO3" s="120"/>
      <c r="NZP3" s="120"/>
      <c r="NZQ3" s="120"/>
      <c r="NZR3" s="120"/>
      <c r="NZS3" s="120"/>
      <c r="NZT3" s="120"/>
      <c r="NZU3" s="120"/>
      <c r="NZV3" s="120"/>
      <c r="NZW3" s="120"/>
      <c r="NZX3" s="120"/>
      <c r="NZY3" s="120"/>
      <c r="NZZ3" s="120"/>
      <c r="OAA3" s="120"/>
      <c r="OAB3" s="120"/>
      <c r="OAC3" s="120"/>
      <c r="OAD3" s="120"/>
      <c r="OAE3" s="120"/>
      <c r="OAF3" s="120"/>
      <c r="OAG3" s="120"/>
      <c r="OAH3" s="120"/>
      <c r="OAI3" s="120"/>
      <c r="OAJ3" s="120"/>
      <c r="OAK3" s="120"/>
      <c r="OAL3" s="120"/>
      <c r="OAM3" s="120"/>
      <c r="OAN3" s="120"/>
      <c r="OAO3" s="120"/>
      <c r="OAP3" s="120"/>
      <c r="OAQ3" s="120"/>
      <c r="OAR3" s="120"/>
      <c r="OAS3" s="120"/>
      <c r="OAT3" s="120"/>
      <c r="OAU3" s="120"/>
      <c r="OAV3" s="120"/>
      <c r="OAW3" s="120"/>
      <c r="OAX3" s="120"/>
      <c r="OAY3" s="120"/>
      <c r="OAZ3" s="120"/>
      <c r="OBA3" s="120"/>
      <c r="OBB3" s="120"/>
      <c r="OBC3" s="120"/>
      <c r="OBD3" s="120"/>
      <c r="OBE3" s="120"/>
      <c r="OBF3" s="120"/>
      <c r="OBG3" s="120"/>
      <c r="OBH3" s="120"/>
      <c r="OBI3" s="120"/>
      <c r="OBJ3" s="120"/>
      <c r="OBK3" s="120"/>
      <c r="OBL3" s="120"/>
      <c r="OBM3" s="120"/>
      <c r="OBN3" s="120"/>
      <c r="OBO3" s="120"/>
      <c r="OBP3" s="120"/>
      <c r="OBQ3" s="120"/>
      <c r="OBR3" s="120"/>
      <c r="OBS3" s="120"/>
      <c r="OBT3" s="120"/>
      <c r="OBU3" s="120"/>
      <c r="OBV3" s="120"/>
      <c r="OBW3" s="120"/>
      <c r="OBX3" s="120"/>
      <c r="OBY3" s="120"/>
      <c r="OBZ3" s="120"/>
      <c r="OCA3" s="120"/>
      <c r="OCB3" s="120"/>
      <c r="OCC3" s="120"/>
      <c r="OCD3" s="120"/>
      <c r="OCE3" s="120"/>
      <c r="OCF3" s="120"/>
      <c r="OCG3" s="120"/>
      <c r="OCH3" s="120"/>
      <c r="OCI3" s="120"/>
      <c r="OCJ3" s="120"/>
      <c r="OCK3" s="120"/>
      <c r="OCL3" s="120"/>
      <c r="OCM3" s="120"/>
      <c r="OCN3" s="120"/>
      <c r="OCO3" s="120"/>
      <c r="OCP3" s="120"/>
      <c r="OCQ3" s="120"/>
      <c r="OCR3" s="120"/>
      <c r="OCS3" s="120"/>
      <c r="OCT3" s="120"/>
      <c r="OCU3" s="120"/>
      <c r="OCV3" s="120"/>
      <c r="OCW3" s="120"/>
      <c r="OCX3" s="120"/>
      <c r="OCY3" s="120"/>
      <c r="OCZ3" s="120"/>
      <c r="ODA3" s="120"/>
      <c r="ODB3" s="120"/>
      <c r="ODC3" s="120"/>
      <c r="ODD3" s="120"/>
      <c r="ODE3" s="120"/>
      <c r="ODF3" s="120"/>
      <c r="ODG3" s="120"/>
      <c r="ODH3" s="120"/>
      <c r="ODI3" s="120"/>
      <c r="ODJ3" s="120"/>
      <c r="ODK3" s="120"/>
      <c r="ODL3" s="120"/>
      <c r="ODM3" s="120"/>
      <c r="ODN3" s="120"/>
      <c r="ODO3" s="120"/>
      <c r="ODP3" s="120"/>
      <c r="ODQ3" s="120"/>
      <c r="ODR3" s="120"/>
      <c r="ODS3" s="120"/>
      <c r="ODT3" s="120"/>
      <c r="ODU3" s="120"/>
      <c r="ODV3" s="120"/>
      <c r="ODW3" s="120"/>
      <c r="ODX3" s="120"/>
      <c r="ODY3" s="120"/>
      <c r="ODZ3" s="120"/>
      <c r="OEA3" s="120"/>
      <c r="OEB3" s="120"/>
      <c r="OEC3" s="120"/>
      <c r="OED3" s="120"/>
      <c r="OEE3" s="120"/>
      <c r="OEF3" s="120"/>
      <c r="OEG3" s="120"/>
      <c r="OEH3" s="120"/>
      <c r="OEI3" s="120"/>
      <c r="OEJ3" s="120"/>
      <c r="OEK3" s="120"/>
      <c r="OEL3" s="120"/>
      <c r="OEM3" s="120"/>
      <c r="OEN3" s="120"/>
      <c r="OEO3" s="120"/>
      <c r="OEP3" s="120"/>
      <c r="OEQ3" s="120"/>
      <c r="OER3" s="120"/>
      <c r="OES3" s="120"/>
      <c r="OET3" s="120"/>
      <c r="OEU3" s="120"/>
      <c r="OEV3" s="120"/>
      <c r="OEW3" s="120"/>
      <c r="OEX3" s="120"/>
      <c r="OEY3" s="120"/>
      <c r="OEZ3" s="120"/>
      <c r="OFA3" s="120"/>
      <c r="OFB3" s="120"/>
      <c r="OFC3" s="120"/>
      <c r="OFD3" s="120"/>
      <c r="OFE3" s="120"/>
      <c r="OFF3" s="120"/>
      <c r="OFG3" s="120"/>
      <c r="OFH3" s="120"/>
      <c r="OFI3" s="120"/>
      <c r="OFJ3" s="120"/>
      <c r="OFK3" s="120"/>
      <c r="OFL3" s="120"/>
      <c r="OFM3" s="120"/>
      <c r="OFN3" s="120"/>
      <c r="OFO3" s="120"/>
      <c r="OFP3" s="120"/>
      <c r="OFQ3" s="120"/>
      <c r="OFR3" s="120"/>
      <c r="OFS3" s="120"/>
      <c r="OFT3" s="120"/>
      <c r="OFU3" s="120"/>
      <c r="OFV3" s="120"/>
      <c r="OFW3" s="120"/>
      <c r="OFX3" s="120"/>
      <c r="OFY3" s="120"/>
      <c r="OFZ3" s="120"/>
      <c r="OGA3" s="120"/>
      <c r="OGB3" s="120"/>
      <c r="OGC3" s="120"/>
      <c r="OGD3" s="120"/>
      <c r="OGE3" s="120"/>
      <c r="OGF3" s="120"/>
      <c r="OGG3" s="120"/>
      <c r="OGH3" s="120"/>
      <c r="OGI3" s="120"/>
      <c r="OGJ3" s="120"/>
      <c r="OGK3" s="120"/>
      <c r="OGL3" s="120"/>
      <c r="OGM3" s="120"/>
      <c r="OGN3" s="120"/>
      <c r="OGO3" s="120"/>
      <c r="OGP3" s="120"/>
      <c r="OGQ3" s="120"/>
      <c r="OGR3" s="120"/>
      <c r="OGS3" s="120"/>
      <c r="OGT3" s="120"/>
      <c r="OGU3" s="120"/>
      <c r="OGV3" s="120"/>
      <c r="OGW3" s="120"/>
      <c r="OGX3" s="120"/>
      <c r="OGY3" s="120"/>
      <c r="OGZ3" s="120"/>
      <c r="OHA3" s="120"/>
      <c r="OHB3" s="120"/>
      <c r="OHC3" s="120"/>
      <c r="OHD3" s="120"/>
      <c r="OHE3" s="120"/>
      <c r="OHF3" s="120"/>
      <c r="OHG3" s="120"/>
      <c r="OHH3" s="120"/>
      <c r="OHI3" s="120"/>
      <c r="OHJ3" s="120"/>
      <c r="OHK3" s="120"/>
      <c r="OHL3" s="120"/>
      <c r="OHM3" s="120"/>
      <c r="OHN3" s="120"/>
      <c r="OHO3" s="120"/>
      <c r="OHP3" s="120"/>
      <c r="OHQ3" s="120"/>
      <c r="OHR3" s="120"/>
      <c r="OHS3" s="120"/>
      <c r="OHT3" s="120"/>
      <c r="OHU3" s="120"/>
      <c r="OHV3" s="120"/>
      <c r="OHW3" s="120"/>
      <c r="OHX3" s="120"/>
      <c r="OHY3" s="120"/>
      <c r="OHZ3" s="120"/>
      <c r="OIA3" s="120"/>
      <c r="OIB3" s="120"/>
      <c r="OIC3" s="120"/>
      <c r="OID3" s="120"/>
      <c r="OIE3" s="120"/>
      <c r="OIF3" s="120"/>
      <c r="OIG3" s="120"/>
      <c r="OIH3" s="120"/>
      <c r="OII3" s="120"/>
      <c r="OIJ3" s="120"/>
      <c r="OIK3" s="120"/>
      <c r="OIL3" s="120"/>
      <c r="OIM3" s="120"/>
      <c r="OIN3" s="120"/>
      <c r="OIO3" s="120"/>
      <c r="OIP3" s="120"/>
      <c r="OIQ3" s="120"/>
      <c r="OIR3" s="120"/>
      <c r="OIS3" s="120"/>
      <c r="OIT3" s="120"/>
      <c r="OIU3" s="120"/>
      <c r="OIV3" s="120"/>
      <c r="OIW3" s="120"/>
      <c r="OIX3" s="120"/>
      <c r="OIY3" s="120"/>
      <c r="OIZ3" s="120"/>
      <c r="OJA3" s="120"/>
      <c r="OJB3" s="120"/>
      <c r="OJC3" s="120"/>
      <c r="OJD3" s="120"/>
      <c r="OJE3" s="120"/>
      <c r="OJF3" s="120"/>
      <c r="OJG3" s="120"/>
      <c r="OJH3" s="120"/>
      <c r="OJI3" s="120"/>
      <c r="OJJ3" s="120"/>
      <c r="OJK3" s="120"/>
      <c r="OJL3" s="120"/>
      <c r="OJM3" s="120"/>
      <c r="OJN3" s="120"/>
      <c r="OJO3" s="120"/>
      <c r="OJP3" s="120"/>
      <c r="OJQ3" s="120"/>
      <c r="OJR3" s="120"/>
      <c r="OJS3" s="120"/>
      <c r="OJT3" s="120"/>
      <c r="OJU3" s="120"/>
      <c r="OJV3" s="120"/>
      <c r="OJW3" s="120"/>
      <c r="OJX3" s="120"/>
      <c r="OJY3" s="120"/>
      <c r="OJZ3" s="120"/>
      <c r="OKA3" s="120"/>
      <c r="OKB3" s="120"/>
      <c r="OKC3" s="120"/>
      <c r="OKD3" s="120"/>
      <c r="OKE3" s="120"/>
      <c r="OKF3" s="120"/>
      <c r="OKG3" s="120"/>
      <c r="OKH3" s="120"/>
      <c r="OKI3" s="120"/>
      <c r="OKJ3" s="120"/>
      <c r="OKK3" s="120"/>
      <c r="OKL3" s="120"/>
      <c r="OKM3" s="120"/>
      <c r="OKN3" s="120"/>
      <c r="OKO3" s="120"/>
      <c r="OKP3" s="120"/>
      <c r="OKQ3" s="120"/>
      <c r="OKR3" s="120"/>
      <c r="OKS3" s="120"/>
      <c r="OKT3" s="120"/>
      <c r="OKU3" s="120"/>
      <c r="OKV3" s="120"/>
      <c r="OKW3" s="120"/>
      <c r="OKX3" s="120"/>
      <c r="OKY3" s="120"/>
      <c r="OKZ3" s="120"/>
      <c r="OLA3" s="120"/>
      <c r="OLB3" s="120"/>
      <c r="OLC3" s="120"/>
      <c r="OLD3" s="120"/>
      <c r="OLE3" s="120"/>
      <c r="OLF3" s="120"/>
      <c r="OLG3" s="120"/>
      <c r="OLH3" s="120"/>
      <c r="OLI3" s="120"/>
      <c r="OLJ3" s="120"/>
      <c r="OLK3" s="120"/>
      <c r="OLL3" s="120"/>
      <c r="OLM3" s="120"/>
      <c r="OLN3" s="120"/>
      <c r="OLO3" s="120"/>
      <c r="OLP3" s="120"/>
      <c r="OLQ3" s="120"/>
      <c r="OLR3" s="120"/>
      <c r="OLS3" s="120"/>
      <c r="OLT3" s="120"/>
      <c r="OLU3" s="120"/>
      <c r="OLV3" s="120"/>
      <c r="OLW3" s="120"/>
      <c r="OLX3" s="120"/>
      <c r="OLY3" s="120"/>
      <c r="OLZ3" s="120"/>
      <c r="OMA3" s="120"/>
      <c r="OMB3" s="120"/>
      <c r="OMC3" s="120"/>
      <c r="OMD3" s="120"/>
      <c r="OME3" s="120"/>
      <c r="OMF3" s="120"/>
      <c r="OMG3" s="120"/>
      <c r="OMH3" s="120"/>
      <c r="OMI3" s="120"/>
      <c r="OMJ3" s="120"/>
      <c r="OMK3" s="120"/>
      <c r="OML3" s="120"/>
      <c r="OMM3" s="120"/>
      <c r="OMN3" s="120"/>
      <c r="OMO3" s="120"/>
      <c r="OMP3" s="120"/>
      <c r="OMQ3" s="120"/>
      <c r="OMR3" s="120"/>
      <c r="OMS3" s="120"/>
      <c r="OMT3" s="120"/>
      <c r="OMU3" s="120"/>
      <c r="OMV3" s="120"/>
      <c r="OMW3" s="120"/>
      <c r="OMX3" s="120"/>
      <c r="OMY3" s="120"/>
      <c r="OMZ3" s="120"/>
      <c r="ONA3" s="120"/>
      <c r="ONB3" s="120"/>
      <c r="ONC3" s="120"/>
      <c r="OND3" s="120"/>
      <c r="ONE3" s="120"/>
      <c r="ONF3" s="120"/>
      <c r="ONG3" s="120"/>
      <c r="ONH3" s="120"/>
      <c r="ONI3" s="120"/>
      <c r="ONJ3" s="120"/>
      <c r="ONK3" s="120"/>
      <c r="ONL3" s="120"/>
      <c r="ONM3" s="120"/>
      <c r="ONN3" s="120"/>
      <c r="ONO3" s="120"/>
      <c r="ONP3" s="120"/>
      <c r="ONQ3" s="120"/>
      <c r="ONR3" s="120"/>
      <c r="ONS3" s="120"/>
      <c r="ONT3" s="120"/>
      <c r="ONU3" s="120"/>
      <c r="ONV3" s="120"/>
      <c r="ONW3" s="120"/>
      <c r="ONX3" s="120"/>
      <c r="ONY3" s="120"/>
      <c r="ONZ3" s="120"/>
      <c r="OOA3" s="120"/>
      <c r="OOB3" s="120"/>
      <c r="OOC3" s="120"/>
      <c r="OOD3" s="120"/>
      <c r="OOE3" s="120"/>
      <c r="OOF3" s="120"/>
      <c r="OOG3" s="120"/>
      <c r="OOH3" s="120"/>
      <c r="OOI3" s="120"/>
      <c r="OOJ3" s="120"/>
      <c r="OOK3" s="120"/>
      <c r="OOL3" s="120"/>
      <c r="OOM3" s="120"/>
      <c r="OON3" s="120"/>
      <c r="OOO3" s="120"/>
      <c r="OOP3" s="120"/>
      <c r="OOQ3" s="120"/>
      <c r="OOR3" s="120"/>
      <c r="OOS3" s="120"/>
      <c r="OOT3" s="120"/>
      <c r="OOU3" s="120"/>
      <c r="OOV3" s="120"/>
      <c r="OOW3" s="120"/>
      <c r="OOX3" s="120"/>
      <c r="OOY3" s="120"/>
      <c r="OOZ3" s="120"/>
      <c r="OPA3" s="120"/>
      <c r="OPB3" s="120"/>
      <c r="OPC3" s="120"/>
      <c r="OPD3" s="120"/>
      <c r="OPE3" s="120"/>
      <c r="OPF3" s="120"/>
      <c r="OPG3" s="120"/>
      <c r="OPH3" s="120"/>
      <c r="OPI3" s="120"/>
      <c r="OPJ3" s="120"/>
      <c r="OPK3" s="120"/>
      <c r="OPL3" s="120"/>
      <c r="OPM3" s="120"/>
      <c r="OPN3" s="120"/>
      <c r="OPO3" s="120"/>
      <c r="OPP3" s="120"/>
      <c r="OPQ3" s="120"/>
      <c r="OPR3" s="120"/>
      <c r="OPS3" s="120"/>
      <c r="OPT3" s="120"/>
      <c r="OPU3" s="120"/>
      <c r="OPV3" s="120"/>
      <c r="OPW3" s="120"/>
      <c r="OPX3" s="120"/>
      <c r="OPY3" s="120"/>
      <c r="OPZ3" s="120"/>
      <c r="OQA3" s="120"/>
      <c r="OQB3" s="120"/>
      <c r="OQC3" s="120"/>
      <c r="OQD3" s="120"/>
      <c r="OQE3" s="120"/>
      <c r="OQF3" s="120"/>
      <c r="OQG3" s="120"/>
      <c r="OQH3" s="120"/>
      <c r="OQI3" s="120"/>
      <c r="OQJ3" s="120"/>
      <c r="OQK3" s="120"/>
      <c r="OQL3" s="120"/>
      <c r="OQM3" s="120"/>
      <c r="OQN3" s="120"/>
      <c r="OQO3" s="120"/>
      <c r="OQP3" s="120"/>
      <c r="OQQ3" s="120"/>
      <c r="OQR3" s="120"/>
      <c r="OQS3" s="120"/>
      <c r="OQT3" s="120"/>
      <c r="OQU3" s="120"/>
      <c r="OQV3" s="120"/>
      <c r="OQW3" s="120"/>
      <c r="OQX3" s="120"/>
      <c r="OQY3" s="120"/>
      <c r="OQZ3" s="120"/>
      <c r="ORA3" s="120"/>
      <c r="ORB3" s="120"/>
      <c r="ORC3" s="120"/>
      <c r="ORD3" s="120"/>
      <c r="ORE3" s="120"/>
      <c r="ORF3" s="120"/>
      <c r="ORG3" s="120"/>
      <c r="ORH3" s="120"/>
      <c r="ORI3" s="120"/>
      <c r="ORJ3" s="120"/>
      <c r="ORK3" s="120"/>
      <c r="ORL3" s="120"/>
      <c r="ORM3" s="120"/>
      <c r="ORN3" s="120"/>
      <c r="ORO3" s="120"/>
      <c r="ORP3" s="120"/>
      <c r="ORQ3" s="120"/>
      <c r="ORR3" s="120"/>
      <c r="ORS3" s="120"/>
      <c r="ORT3" s="120"/>
      <c r="ORU3" s="120"/>
      <c r="ORV3" s="120"/>
      <c r="ORW3" s="120"/>
      <c r="ORX3" s="120"/>
      <c r="ORY3" s="120"/>
      <c r="ORZ3" s="120"/>
      <c r="OSA3" s="120"/>
      <c r="OSB3" s="120"/>
      <c r="OSC3" s="120"/>
      <c r="OSD3" s="120"/>
      <c r="OSE3" s="120"/>
      <c r="OSF3" s="120"/>
      <c r="OSG3" s="120"/>
      <c r="OSH3" s="120"/>
      <c r="OSI3" s="120"/>
      <c r="OSJ3" s="120"/>
      <c r="OSK3" s="120"/>
      <c r="OSL3" s="120"/>
      <c r="OSM3" s="120"/>
      <c r="OSN3" s="120"/>
      <c r="OSO3" s="120"/>
      <c r="OSP3" s="120"/>
      <c r="OSQ3" s="120"/>
      <c r="OSR3" s="120"/>
      <c r="OSS3" s="120"/>
      <c r="OST3" s="120"/>
      <c r="OSU3" s="120"/>
      <c r="OSV3" s="120"/>
      <c r="OSW3" s="120"/>
      <c r="OSX3" s="120"/>
      <c r="OSY3" s="120"/>
      <c r="OSZ3" s="120"/>
      <c r="OTA3" s="120"/>
      <c r="OTB3" s="120"/>
      <c r="OTC3" s="120"/>
      <c r="OTD3" s="120"/>
      <c r="OTE3" s="120"/>
      <c r="OTF3" s="120"/>
      <c r="OTG3" s="120"/>
      <c r="OTH3" s="120"/>
      <c r="OTI3" s="120"/>
      <c r="OTJ3" s="120"/>
      <c r="OTK3" s="120"/>
      <c r="OTL3" s="120"/>
      <c r="OTM3" s="120"/>
      <c r="OTN3" s="120"/>
      <c r="OTO3" s="120"/>
      <c r="OTP3" s="120"/>
      <c r="OTQ3" s="120"/>
      <c r="OTR3" s="120"/>
      <c r="OTS3" s="120"/>
      <c r="OTT3" s="120"/>
      <c r="OTU3" s="120"/>
      <c r="OTV3" s="120"/>
      <c r="OTW3" s="120"/>
      <c r="OTX3" s="120"/>
      <c r="OTY3" s="120"/>
      <c r="OTZ3" s="120"/>
      <c r="OUA3" s="120"/>
      <c r="OUB3" s="120"/>
      <c r="OUC3" s="120"/>
      <c r="OUD3" s="120"/>
      <c r="OUE3" s="120"/>
      <c r="OUF3" s="120"/>
      <c r="OUG3" s="120"/>
      <c r="OUH3" s="120"/>
      <c r="OUI3" s="120"/>
      <c r="OUJ3" s="120"/>
      <c r="OUK3" s="120"/>
      <c r="OUL3" s="120"/>
      <c r="OUM3" s="120"/>
      <c r="OUN3" s="120"/>
      <c r="OUO3" s="120"/>
      <c r="OUP3" s="120"/>
      <c r="OUQ3" s="120"/>
      <c r="OUR3" s="120"/>
      <c r="OUS3" s="120"/>
      <c r="OUT3" s="120"/>
      <c r="OUU3" s="120"/>
      <c r="OUV3" s="120"/>
      <c r="OUW3" s="120"/>
      <c r="OUX3" s="120"/>
      <c r="OUY3" s="120"/>
      <c r="OUZ3" s="120"/>
      <c r="OVA3" s="120"/>
      <c r="OVB3" s="120"/>
      <c r="OVC3" s="120"/>
      <c r="OVD3" s="120"/>
      <c r="OVE3" s="120"/>
      <c r="OVF3" s="120"/>
      <c r="OVG3" s="120"/>
      <c r="OVH3" s="120"/>
      <c r="OVI3" s="120"/>
      <c r="OVJ3" s="120"/>
      <c r="OVK3" s="120"/>
      <c r="OVL3" s="120"/>
      <c r="OVM3" s="120"/>
      <c r="OVN3" s="120"/>
      <c r="OVO3" s="120"/>
      <c r="OVP3" s="120"/>
      <c r="OVQ3" s="120"/>
      <c r="OVR3" s="120"/>
      <c r="OVS3" s="120"/>
      <c r="OVT3" s="120"/>
      <c r="OVU3" s="120"/>
      <c r="OVV3" s="120"/>
      <c r="OVW3" s="120"/>
      <c r="OVX3" s="120"/>
      <c r="OVY3" s="120"/>
      <c r="OVZ3" s="120"/>
      <c r="OWA3" s="120"/>
      <c r="OWB3" s="120"/>
      <c r="OWC3" s="120"/>
      <c r="OWD3" s="120"/>
      <c r="OWE3" s="120"/>
      <c r="OWF3" s="120"/>
      <c r="OWG3" s="120"/>
      <c r="OWH3" s="120"/>
      <c r="OWI3" s="120"/>
      <c r="OWJ3" s="120"/>
      <c r="OWK3" s="120"/>
      <c r="OWL3" s="120"/>
      <c r="OWM3" s="120"/>
      <c r="OWN3" s="120"/>
      <c r="OWO3" s="120"/>
      <c r="OWP3" s="120"/>
      <c r="OWQ3" s="120"/>
      <c r="OWR3" s="120"/>
      <c r="OWS3" s="120"/>
      <c r="OWT3" s="120"/>
      <c r="OWU3" s="120"/>
      <c r="OWV3" s="120"/>
      <c r="OWW3" s="120"/>
      <c r="OWX3" s="120"/>
      <c r="OWY3" s="120"/>
      <c r="OWZ3" s="120"/>
      <c r="OXA3" s="120"/>
      <c r="OXB3" s="120"/>
      <c r="OXC3" s="120"/>
      <c r="OXD3" s="120"/>
      <c r="OXE3" s="120"/>
      <c r="OXF3" s="120"/>
      <c r="OXG3" s="120"/>
      <c r="OXH3" s="120"/>
      <c r="OXI3" s="120"/>
      <c r="OXJ3" s="120"/>
      <c r="OXK3" s="120"/>
      <c r="OXL3" s="120"/>
      <c r="OXM3" s="120"/>
      <c r="OXN3" s="120"/>
      <c r="OXO3" s="120"/>
      <c r="OXP3" s="120"/>
      <c r="OXQ3" s="120"/>
      <c r="OXR3" s="120"/>
      <c r="OXS3" s="120"/>
      <c r="OXT3" s="120"/>
      <c r="OXU3" s="120"/>
      <c r="OXV3" s="120"/>
      <c r="OXW3" s="120"/>
      <c r="OXX3" s="120"/>
      <c r="OXY3" s="120"/>
      <c r="OXZ3" s="120"/>
      <c r="OYA3" s="120"/>
      <c r="OYB3" s="120"/>
      <c r="OYC3" s="120"/>
      <c r="OYD3" s="120"/>
      <c r="OYE3" s="120"/>
      <c r="OYF3" s="120"/>
      <c r="OYG3" s="120"/>
      <c r="OYH3" s="120"/>
      <c r="OYI3" s="120"/>
      <c r="OYJ3" s="120"/>
      <c r="OYK3" s="120"/>
      <c r="OYL3" s="120"/>
      <c r="OYM3" s="120"/>
      <c r="OYN3" s="120"/>
      <c r="OYO3" s="120"/>
      <c r="OYP3" s="120"/>
      <c r="OYQ3" s="120"/>
      <c r="OYR3" s="120"/>
      <c r="OYS3" s="120"/>
      <c r="OYT3" s="120"/>
      <c r="OYU3" s="120"/>
      <c r="OYV3" s="120"/>
      <c r="OYW3" s="120"/>
      <c r="OYX3" s="120"/>
      <c r="OYY3" s="120"/>
      <c r="OYZ3" s="120"/>
      <c r="OZA3" s="120"/>
      <c r="OZB3" s="120"/>
      <c r="OZC3" s="120"/>
      <c r="OZD3" s="120"/>
      <c r="OZE3" s="120"/>
      <c r="OZF3" s="120"/>
      <c r="OZG3" s="120"/>
      <c r="OZH3" s="120"/>
      <c r="OZI3" s="120"/>
      <c r="OZJ3" s="120"/>
      <c r="OZK3" s="120"/>
      <c r="OZL3" s="120"/>
      <c r="OZM3" s="120"/>
      <c r="OZN3" s="120"/>
      <c r="OZO3" s="120"/>
      <c r="OZP3" s="120"/>
      <c r="OZQ3" s="120"/>
      <c r="OZR3" s="120"/>
      <c r="OZS3" s="120"/>
      <c r="OZT3" s="120"/>
      <c r="OZU3" s="120"/>
      <c r="OZV3" s="120"/>
      <c r="OZW3" s="120"/>
      <c r="OZX3" s="120"/>
      <c r="OZY3" s="120"/>
      <c r="OZZ3" s="120"/>
      <c r="PAA3" s="120"/>
      <c r="PAB3" s="120"/>
      <c r="PAC3" s="120"/>
      <c r="PAD3" s="120"/>
      <c r="PAE3" s="120"/>
      <c r="PAF3" s="120"/>
      <c r="PAG3" s="120"/>
      <c r="PAH3" s="120"/>
      <c r="PAI3" s="120"/>
      <c r="PAJ3" s="120"/>
      <c r="PAK3" s="120"/>
      <c r="PAL3" s="120"/>
      <c r="PAM3" s="120"/>
      <c r="PAN3" s="120"/>
      <c r="PAO3" s="120"/>
      <c r="PAP3" s="120"/>
      <c r="PAQ3" s="120"/>
      <c r="PAR3" s="120"/>
      <c r="PAS3" s="120"/>
      <c r="PAT3" s="120"/>
      <c r="PAU3" s="120"/>
      <c r="PAV3" s="120"/>
      <c r="PAW3" s="120"/>
      <c r="PAX3" s="120"/>
      <c r="PAY3" s="120"/>
      <c r="PAZ3" s="120"/>
      <c r="PBA3" s="120"/>
      <c r="PBB3" s="120"/>
      <c r="PBC3" s="120"/>
      <c r="PBD3" s="120"/>
      <c r="PBE3" s="120"/>
      <c r="PBF3" s="120"/>
      <c r="PBG3" s="120"/>
      <c r="PBH3" s="120"/>
      <c r="PBI3" s="120"/>
      <c r="PBJ3" s="120"/>
      <c r="PBK3" s="120"/>
      <c r="PBL3" s="120"/>
      <c r="PBM3" s="120"/>
      <c r="PBN3" s="120"/>
      <c r="PBO3" s="120"/>
      <c r="PBP3" s="120"/>
      <c r="PBQ3" s="120"/>
      <c r="PBR3" s="120"/>
      <c r="PBS3" s="120"/>
      <c r="PBT3" s="120"/>
      <c r="PBU3" s="120"/>
      <c r="PBV3" s="120"/>
      <c r="PBW3" s="120"/>
      <c r="PBX3" s="120"/>
      <c r="PBY3" s="120"/>
      <c r="PBZ3" s="120"/>
      <c r="PCA3" s="120"/>
      <c r="PCB3" s="120"/>
      <c r="PCC3" s="120"/>
      <c r="PCD3" s="120"/>
      <c r="PCE3" s="120"/>
      <c r="PCF3" s="120"/>
      <c r="PCG3" s="120"/>
      <c r="PCH3" s="120"/>
      <c r="PCI3" s="120"/>
      <c r="PCJ3" s="120"/>
      <c r="PCK3" s="120"/>
      <c r="PCL3" s="120"/>
      <c r="PCM3" s="120"/>
      <c r="PCN3" s="120"/>
      <c r="PCO3" s="120"/>
      <c r="PCP3" s="120"/>
      <c r="PCQ3" s="120"/>
      <c r="PCR3" s="120"/>
      <c r="PCS3" s="120"/>
      <c r="PCT3" s="120"/>
      <c r="PCU3" s="120"/>
      <c r="PCV3" s="120"/>
      <c r="PCW3" s="120"/>
      <c r="PCX3" s="120"/>
      <c r="PCY3" s="120"/>
      <c r="PCZ3" s="120"/>
      <c r="PDA3" s="120"/>
      <c r="PDB3" s="120"/>
      <c r="PDC3" s="120"/>
      <c r="PDD3" s="120"/>
      <c r="PDE3" s="120"/>
      <c r="PDF3" s="120"/>
      <c r="PDG3" s="120"/>
      <c r="PDH3" s="120"/>
      <c r="PDI3" s="120"/>
      <c r="PDJ3" s="120"/>
      <c r="PDK3" s="120"/>
      <c r="PDL3" s="120"/>
      <c r="PDM3" s="120"/>
      <c r="PDN3" s="120"/>
      <c r="PDO3" s="120"/>
      <c r="PDP3" s="120"/>
      <c r="PDQ3" s="120"/>
      <c r="PDR3" s="120"/>
      <c r="PDS3" s="120"/>
      <c r="PDT3" s="120"/>
      <c r="PDU3" s="120"/>
      <c r="PDV3" s="120"/>
      <c r="PDW3" s="120"/>
      <c r="PDX3" s="120"/>
      <c r="PDY3" s="120"/>
      <c r="PDZ3" s="120"/>
      <c r="PEA3" s="120"/>
      <c r="PEB3" s="120"/>
      <c r="PEC3" s="120"/>
      <c r="PED3" s="120"/>
      <c r="PEE3" s="120"/>
      <c r="PEF3" s="120"/>
      <c r="PEG3" s="120"/>
      <c r="PEH3" s="120"/>
      <c r="PEI3" s="120"/>
      <c r="PEJ3" s="120"/>
      <c r="PEK3" s="120"/>
      <c r="PEL3" s="120"/>
      <c r="PEM3" s="120"/>
      <c r="PEN3" s="120"/>
      <c r="PEO3" s="120"/>
      <c r="PEP3" s="120"/>
      <c r="PEQ3" s="120"/>
      <c r="PER3" s="120"/>
      <c r="PES3" s="120"/>
      <c r="PET3" s="120"/>
      <c r="PEU3" s="120"/>
      <c r="PEV3" s="120"/>
      <c r="PEW3" s="120"/>
      <c r="PEX3" s="120"/>
      <c r="PEY3" s="120"/>
      <c r="PEZ3" s="120"/>
      <c r="PFA3" s="120"/>
      <c r="PFB3" s="120"/>
      <c r="PFC3" s="120"/>
      <c r="PFD3" s="120"/>
      <c r="PFE3" s="120"/>
      <c r="PFF3" s="120"/>
      <c r="PFG3" s="120"/>
      <c r="PFH3" s="120"/>
      <c r="PFI3" s="120"/>
      <c r="PFJ3" s="120"/>
      <c r="PFK3" s="120"/>
      <c r="PFL3" s="120"/>
      <c r="PFM3" s="120"/>
      <c r="PFN3" s="120"/>
      <c r="PFO3" s="120"/>
      <c r="PFP3" s="120"/>
      <c r="PFQ3" s="120"/>
      <c r="PFR3" s="120"/>
      <c r="PFS3" s="120"/>
      <c r="PFT3" s="120"/>
      <c r="PFU3" s="120"/>
      <c r="PFV3" s="120"/>
      <c r="PFW3" s="120"/>
      <c r="PFX3" s="120"/>
      <c r="PFY3" s="120"/>
      <c r="PFZ3" s="120"/>
      <c r="PGA3" s="120"/>
      <c r="PGB3" s="120"/>
      <c r="PGC3" s="120"/>
      <c r="PGD3" s="120"/>
      <c r="PGE3" s="120"/>
      <c r="PGF3" s="120"/>
      <c r="PGG3" s="120"/>
      <c r="PGH3" s="120"/>
      <c r="PGI3" s="120"/>
      <c r="PGJ3" s="120"/>
      <c r="PGK3" s="120"/>
      <c r="PGL3" s="120"/>
      <c r="PGM3" s="120"/>
      <c r="PGN3" s="120"/>
      <c r="PGO3" s="120"/>
      <c r="PGP3" s="120"/>
      <c r="PGQ3" s="120"/>
      <c r="PGR3" s="120"/>
      <c r="PGS3" s="120"/>
      <c r="PGT3" s="120"/>
      <c r="PGU3" s="120"/>
      <c r="PGV3" s="120"/>
      <c r="PGW3" s="120"/>
      <c r="PGX3" s="120"/>
      <c r="PGY3" s="120"/>
      <c r="PGZ3" s="120"/>
      <c r="PHA3" s="120"/>
      <c r="PHB3" s="120"/>
      <c r="PHC3" s="120"/>
      <c r="PHD3" s="120"/>
      <c r="PHE3" s="120"/>
      <c r="PHF3" s="120"/>
      <c r="PHG3" s="120"/>
      <c r="PHH3" s="120"/>
      <c r="PHI3" s="120"/>
      <c r="PHJ3" s="120"/>
      <c r="PHK3" s="120"/>
      <c r="PHL3" s="120"/>
      <c r="PHM3" s="120"/>
      <c r="PHN3" s="120"/>
      <c r="PHO3" s="120"/>
      <c r="PHP3" s="120"/>
      <c r="PHQ3" s="120"/>
      <c r="PHR3" s="120"/>
      <c r="PHS3" s="120"/>
      <c r="PHT3" s="120"/>
      <c r="PHU3" s="120"/>
      <c r="PHV3" s="120"/>
      <c r="PHW3" s="120"/>
      <c r="PHX3" s="120"/>
      <c r="PHY3" s="120"/>
      <c r="PHZ3" s="120"/>
      <c r="PIA3" s="120"/>
      <c r="PIB3" s="120"/>
      <c r="PIC3" s="120"/>
      <c r="PID3" s="120"/>
      <c r="PIE3" s="120"/>
      <c r="PIF3" s="120"/>
      <c r="PIG3" s="120"/>
      <c r="PIH3" s="120"/>
      <c r="PII3" s="120"/>
      <c r="PIJ3" s="120"/>
      <c r="PIK3" s="120"/>
      <c r="PIL3" s="120"/>
      <c r="PIM3" s="120"/>
      <c r="PIN3" s="120"/>
      <c r="PIO3" s="120"/>
      <c r="PIP3" s="120"/>
      <c r="PIQ3" s="120"/>
      <c r="PIR3" s="120"/>
      <c r="PIS3" s="120"/>
      <c r="PIT3" s="120"/>
      <c r="PIU3" s="120"/>
      <c r="PIV3" s="120"/>
      <c r="PIW3" s="120"/>
      <c r="PIX3" s="120"/>
      <c r="PIY3" s="120"/>
      <c r="PIZ3" s="120"/>
      <c r="PJA3" s="120"/>
      <c r="PJB3" s="120"/>
      <c r="PJC3" s="120"/>
      <c r="PJD3" s="120"/>
      <c r="PJE3" s="120"/>
      <c r="PJF3" s="120"/>
      <c r="PJG3" s="120"/>
      <c r="PJH3" s="120"/>
      <c r="PJI3" s="120"/>
      <c r="PJJ3" s="120"/>
      <c r="PJK3" s="120"/>
      <c r="PJL3" s="120"/>
      <c r="PJM3" s="120"/>
      <c r="PJN3" s="120"/>
      <c r="PJO3" s="120"/>
      <c r="PJP3" s="120"/>
      <c r="PJQ3" s="120"/>
      <c r="PJR3" s="120"/>
      <c r="PJS3" s="120"/>
      <c r="PJT3" s="120"/>
      <c r="PJU3" s="120"/>
      <c r="PJV3" s="120"/>
      <c r="PJW3" s="120"/>
      <c r="PJX3" s="120"/>
      <c r="PJY3" s="120"/>
      <c r="PJZ3" s="120"/>
      <c r="PKA3" s="120"/>
      <c r="PKB3" s="120"/>
      <c r="PKC3" s="120"/>
      <c r="PKD3" s="120"/>
      <c r="PKE3" s="120"/>
      <c r="PKF3" s="120"/>
      <c r="PKG3" s="120"/>
      <c r="PKH3" s="120"/>
      <c r="PKI3" s="120"/>
      <c r="PKJ3" s="120"/>
      <c r="PKK3" s="120"/>
      <c r="PKL3" s="120"/>
      <c r="PKM3" s="120"/>
      <c r="PKN3" s="120"/>
      <c r="PKO3" s="120"/>
      <c r="PKP3" s="120"/>
      <c r="PKQ3" s="120"/>
      <c r="PKR3" s="120"/>
      <c r="PKS3" s="120"/>
      <c r="PKT3" s="120"/>
      <c r="PKU3" s="120"/>
      <c r="PKV3" s="120"/>
      <c r="PKW3" s="120"/>
      <c r="PKX3" s="120"/>
      <c r="PKY3" s="120"/>
      <c r="PKZ3" s="120"/>
      <c r="PLA3" s="120"/>
      <c r="PLB3" s="120"/>
      <c r="PLC3" s="120"/>
      <c r="PLD3" s="120"/>
      <c r="PLE3" s="120"/>
      <c r="PLF3" s="120"/>
      <c r="PLG3" s="120"/>
      <c r="PLH3" s="120"/>
      <c r="PLI3" s="120"/>
      <c r="PLJ3" s="120"/>
      <c r="PLK3" s="120"/>
      <c r="PLL3" s="120"/>
      <c r="PLM3" s="120"/>
      <c r="PLN3" s="120"/>
      <c r="PLO3" s="120"/>
      <c r="PLP3" s="120"/>
      <c r="PLQ3" s="120"/>
      <c r="PLR3" s="120"/>
      <c r="PLS3" s="120"/>
      <c r="PLT3" s="120"/>
      <c r="PLU3" s="120"/>
      <c r="PLV3" s="120"/>
      <c r="PLW3" s="120"/>
      <c r="PLX3" s="120"/>
      <c r="PLY3" s="120"/>
      <c r="PLZ3" s="120"/>
      <c r="PMA3" s="120"/>
      <c r="PMB3" s="120"/>
      <c r="PMC3" s="120"/>
      <c r="PMD3" s="120"/>
      <c r="PME3" s="120"/>
      <c r="PMF3" s="120"/>
      <c r="PMG3" s="120"/>
      <c r="PMH3" s="120"/>
      <c r="PMI3" s="120"/>
      <c r="PMJ3" s="120"/>
      <c r="PMK3" s="120"/>
      <c r="PML3" s="120"/>
      <c r="PMM3" s="120"/>
      <c r="PMN3" s="120"/>
      <c r="PMO3" s="120"/>
      <c r="PMP3" s="120"/>
      <c r="PMQ3" s="120"/>
      <c r="PMR3" s="120"/>
      <c r="PMS3" s="120"/>
      <c r="PMT3" s="120"/>
      <c r="PMU3" s="120"/>
      <c r="PMV3" s="120"/>
      <c r="PMW3" s="120"/>
      <c r="PMX3" s="120"/>
      <c r="PMY3" s="120"/>
      <c r="PMZ3" s="120"/>
      <c r="PNA3" s="120"/>
      <c r="PNB3" s="120"/>
      <c r="PNC3" s="120"/>
      <c r="PND3" s="120"/>
      <c r="PNE3" s="120"/>
      <c r="PNF3" s="120"/>
      <c r="PNG3" s="120"/>
      <c r="PNH3" s="120"/>
      <c r="PNI3" s="120"/>
      <c r="PNJ3" s="120"/>
      <c r="PNK3" s="120"/>
      <c r="PNL3" s="120"/>
      <c r="PNM3" s="120"/>
      <c r="PNN3" s="120"/>
      <c r="PNO3" s="120"/>
      <c r="PNP3" s="120"/>
      <c r="PNQ3" s="120"/>
      <c r="PNR3" s="120"/>
      <c r="PNS3" s="120"/>
      <c r="PNT3" s="120"/>
      <c r="PNU3" s="120"/>
      <c r="PNV3" s="120"/>
      <c r="PNW3" s="120"/>
      <c r="PNX3" s="120"/>
      <c r="PNY3" s="120"/>
      <c r="PNZ3" s="120"/>
      <c r="POA3" s="120"/>
      <c r="POB3" s="120"/>
      <c r="POC3" s="120"/>
      <c r="POD3" s="120"/>
      <c r="POE3" s="120"/>
      <c r="POF3" s="120"/>
      <c r="POG3" s="120"/>
      <c r="POH3" s="120"/>
      <c r="POI3" s="120"/>
      <c r="POJ3" s="120"/>
      <c r="POK3" s="120"/>
      <c r="POL3" s="120"/>
      <c r="POM3" s="120"/>
      <c r="PON3" s="120"/>
      <c r="POO3" s="120"/>
      <c r="POP3" s="120"/>
      <c r="POQ3" s="120"/>
      <c r="POR3" s="120"/>
      <c r="POS3" s="120"/>
      <c r="POT3" s="120"/>
      <c r="POU3" s="120"/>
      <c r="POV3" s="120"/>
      <c r="POW3" s="120"/>
      <c r="POX3" s="120"/>
      <c r="POY3" s="120"/>
      <c r="POZ3" s="120"/>
      <c r="PPA3" s="120"/>
      <c r="PPB3" s="120"/>
      <c r="PPC3" s="120"/>
      <c r="PPD3" s="120"/>
      <c r="PPE3" s="120"/>
      <c r="PPF3" s="120"/>
      <c r="PPG3" s="120"/>
      <c r="PPH3" s="120"/>
      <c r="PPI3" s="120"/>
      <c r="PPJ3" s="120"/>
      <c r="PPK3" s="120"/>
      <c r="PPL3" s="120"/>
      <c r="PPM3" s="120"/>
      <c r="PPN3" s="120"/>
      <c r="PPO3" s="120"/>
      <c r="PPP3" s="120"/>
      <c r="PPQ3" s="120"/>
      <c r="PPR3" s="120"/>
      <c r="PPS3" s="120"/>
      <c r="PPT3" s="120"/>
      <c r="PPU3" s="120"/>
      <c r="PPV3" s="120"/>
      <c r="PPW3" s="120"/>
      <c r="PPX3" s="120"/>
      <c r="PPY3" s="120"/>
      <c r="PPZ3" s="120"/>
      <c r="PQA3" s="120"/>
      <c r="PQB3" s="120"/>
      <c r="PQC3" s="120"/>
      <c r="PQD3" s="120"/>
      <c r="PQE3" s="120"/>
      <c r="PQF3" s="120"/>
      <c r="PQG3" s="120"/>
      <c r="PQH3" s="120"/>
      <c r="PQI3" s="120"/>
      <c r="PQJ3" s="120"/>
      <c r="PQK3" s="120"/>
      <c r="PQL3" s="120"/>
      <c r="PQM3" s="120"/>
      <c r="PQN3" s="120"/>
      <c r="PQO3" s="120"/>
      <c r="PQP3" s="120"/>
      <c r="PQQ3" s="120"/>
      <c r="PQR3" s="120"/>
      <c r="PQS3" s="120"/>
      <c r="PQT3" s="120"/>
      <c r="PQU3" s="120"/>
      <c r="PQV3" s="120"/>
      <c r="PQW3" s="120"/>
      <c r="PQX3" s="120"/>
      <c r="PQY3" s="120"/>
      <c r="PQZ3" s="120"/>
      <c r="PRA3" s="120"/>
      <c r="PRB3" s="120"/>
      <c r="PRC3" s="120"/>
      <c r="PRD3" s="120"/>
      <c r="PRE3" s="120"/>
      <c r="PRF3" s="120"/>
      <c r="PRG3" s="120"/>
      <c r="PRH3" s="120"/>
      <c r="PRI3" s="120"/>
      <c r="PRJ3" s="120"/>
      <c r="PRK3" s="120"/>
      <c r="PRL3" s="120"/>
      <c r="PRM3" s="120"/>
      <c r="PRN3" s="120"/>
      <c r="PRO3" s="120"/>
      <c r="PRP3" s="120"/>
      <c r="PRQ3" s="120"/>
      <c r="PRR3" s="120"/>
      <c r="PRS3" s="120"/>
      <c r="PRT3" s="120"/>
      <c r="PRU3" s="120"/>
      <c r="PRV3" s="120"/>
      <c r="PRW3" s="120"/>
      <c r="PRX3" s="120"/>
      <c r="PRY3" s="120"/>
      <c r="PRZ3" s="120"/>
      <c r="PSA3" s="120"/>
      <c r="PSB3" s="120"/>
      <c r="PSC3" s="120"/>
      <c r="PSD3" s="120"/>
      <c r="PSE3" s="120"/>
      <c r="PSF3" s="120"/>
      <c r="PSG3" s="120"/>
      <c r="PSH3" s="120"/>
      <c r="PSI3" s="120"/>
      <c r="PSJ3" s="120"/>
      <c r="PSK3" s="120"/>
      <c r="PSL3" s="120"/>
      <c r="PSM3" s="120"/>
      <c r="PSN3" s="120"/>
      <c r="PSO3" s="120"/>
      <c r="PSP3" s="120"/>
      <c r="PSQ3" s="120"/>
      <c r="PSR3" s="120"/>
      <c r="PSS3" s="120"/>
      <c r="PST3" s="120"/>
      <c r="PSU3" s="120"/>
      <c r="PSV3" s="120"/>
      <c r="PSW3" s="120"/>
      <c r="PSX3" s="120"/>
      <c r="PSY3" s="120"/>
      <c r="PSZ3" s="120"/>
      <c r="PTA3" s="120"/>
      <c r="PTB3" s="120"/>
      <c r="PTC3" s="120"/>
      <c r="PTD3" s="120"/>
      <c r="PTE3" s="120"/>
      <c r="PTF3" s="120"/>
      <c r="PTG3" s="120"/>
      <c r="PTH3" s="120"/>
      <c r="PTI3" s="120"/>
      <c r="PTJ3" s="120"/>
      <c r="PTK3" s="120"/>
      <c r="PTL3" s="120"/>
      <c r="PTM3" s="120"/>
      <c r="PTN3" s="120"/>
      <c r="PTO3" s="120"/>
      <c r="PTP3" s="120"/>
      <c r="PTQ3" s="120"/>
      <c r="PTR3" s="120"/>
      <c r="PTS3" s="120"/>
      <c r="PTT3" s="120"/>
      <c r="PTU3" s="120"/>
      <c r="PTV3" s="120"/>
      <c r="PTW3" s="120"/>
      <c r="PTX3" s="120"/>
      <c r="PTY3" s="120"/>
      <c r="PTZ3" s="120"/>
      <c r="PUA3" s="120"/>
      <c r="PUB3" s="120"/>
      <c r="PUC3" s="120"/>
      <c r="PUD3" s="120"/>
      <c r="PUE3" s="120"/>
      <c r="PUF3" s="120"/>
      <c r="PUG3" s="120"/>
      <c r="PUH3" s="120"/>
      <c r="PUI3" s="120"/>
      <c r="PUJ3" s="120"/>
      <c r="PUK3" s="120"/>
      <c r="PUL3" s="120"/>
      <c r="PUM3" s="120"/>
      <c r="PUN3" s="120"/>
      <c r="PUO3" s="120"/>
      <c r="PUP3" s="120"/>
      <c r="PUQ3" s="120"/>
      <c r="PUR3" s="120"/>
      <c r="PUS3" s="120"/>
      <c r="PUT3" s="120"/>
      <c r="PUU3" s="120"/>
      <c r="PUV3" s="120"/>
      <c r="PUW3" s="120"/>
      <c r="PUX3" s="120"/>
      <c r="PUY3" s="120"/>
      <c r="PUZ3" s="120"/>
      <c r="PVA3" s="120"/>
      <c r="PVB3" s="120"/>
      <c r="PVC3" s="120"/>
      <c r="PVD3" s="120"/>
      <c r="PVE3" s="120"/>
      <c r="PVF3" s="120"/>
      <c r="PVG3" s="120"/>
      <c r="PVH3" s="120"/>
      <c r="PVI3" s="120"/>
      <c r="PVJ3" s="120"/>
      <c r="PVK3" s="120"/>
      <c r="PVL3" s="120"/>
      <c r="PVM3" s="120"/>
      <c r="PVN3" s="120"/>
      <c r="PVO3" s="120"/>
      <c r="PVP3" s="120"/>
      <c r="PVQ3" s="120"/>
      <c r="PVR3" s="120"/>
      <c r="PVS3" s="120"/>
      <c r="PVT3" s="120"/>
      <c r="PVU3" s="120"/>
      <c r="PVV3" s="120"/>
      <c r="PVW3" s="120"/>
      <c r="PVX3" s="120"/>
      <c r="PVY3" s="120"/>
      <c r="PVZ3" s="120"/>
      <c r="PWA3" s="120"/>
      <c r="PWB3" s="120"/>
      <c r="PWC3" s="120"/>
      <c r="PWD3" s="120"/>
      <c r="PWE3" s="120"/>
      <c r="PWF3" s="120"/>
      <c r="PWG3" s="120"/>
      <c r="PWH3" s="120"/>
      <c r="PWI3" s="120"/>
      <c r="PWJ3" s="120"/>
      <c r="PWK3" s="120"/>
      <c r="PWL3" s="120"/>
      <c r="PWM3" s="120"/>
      <c r="PWN3" s="120"/>
      <c r="PWO3" s="120"/>
      <c r="PWP3" s="120"/>
      <c r="PWQ3" s="120"/>
      <c r="PWR3" s="120"/>
      <c r="PWS3" s="120"/>
      <c r="PWT3" s="120"/>
      <c r="PWU3" s="120"/>
      <c r="PWV3" s="120"/>
      <c r="PWW3" s="120"/>
      <c r="PWX3" s="120"/>
      <c r="PWY3" s="120"/>
      <c r="PWZ3" s="120"/>
      <c r="PXA3" s="120"/>
      <c r="PXB3" s="120"/>
      <c r="PXC3" s="120"/>
      <c r="PXD3" s="120"/>
      <c r="PXE3" s="120"/>
      <c r="PXF3" s="120"/>
      <c r="PXG3" s="120"/>
      <c r="PXH3" s="120"/>
      <c r="PXI3" s="120"/>
      <c r="PXJ3" s="120"/>
      <c r="PXK3" s="120"/>
      <c r="PXL3" s="120"/>
      <c r="PXM3" s="120"/>
      <c r="PXN3" s="120"/>
      <c r="PXO3" s="120"/>
      <c r="PXP3" s="120"/>
      <c r="PXQ3" s="120"/>
      <c r="PXR3" s="120"/>
      <c r="PXS3" s="120"/>
      <c r="PXT3" s="120"/>
      <c r="PXU3" s="120"/>
      <c r="PXV3" s="120"/>
      <c r="PXW3" s="120"/>
      <c r="PXX3" s="120"/>
      <c r="PXY3" s="120"/>
      <c r="PXZ3" s="120"/>
      <c r="PYA3" s="120"/>
      <c r="PYB3" s="120"/>
      <c r="PYC3" s="120"/>
      <c r="PYD3" s="120"/>
      <c r="PYE3" s="120"/>
      <c r="PYF3" s="120"/>
      <c r="PYG3" s="120"/>
      <c r="PYH3" s="120"/>
      <c r="PYI3" s="120"/>
      <c r="PYJ3" s="120"/>
      <c r="PYK3" s="120"/>
      <c r="PYL3" s="120"/>
      <c r="PYM3" s="120"/>
      <c r="PYN3" s="120"/>
      <c r="PYO3" s="120"/>
      <c r="PYP3" s="120"/>
      <c r="PYQ3" s="120"/>
      <c r="PYR3" s="120"/>
      <c r="PYS3" s="120"/>
      <c r="PYT3" s="120"/>
      <c r="PYU3" s="120"/>
      <c r="PYV3" s="120"/>
      <c r="PYW3" s="120"/>
      <c r="PYX3" s="120"/>
      <c r="PYY3" s="120"/>
      <c r="PYZ3" s="120"/>
      <c r="PZA3" s="120"/>
      <c r="PZB3" s="120"/>
      <c r="PZC3" s="120"/>
      <c r="PZD3" s="120"/>
      <c r="PZE3" s="120"/>
      <c r="PZF3" s="120"/>
      <c r="PZG3" s="120"/>
      <c r="PZH3" s="120"/>
      <c r="PZI3" s="120"/>
      <c r="PZJ3" s="120"/>
      <c r="PZK3" s="120"/>
      <c r="PZL3" s="120"/>
      <c r="PZM3" s="120"/>
      <c r="PZN3" s="120"/>
      <c r="PZO3" s="120"/>
      <c r="PZP3" s="120"/>
      <c r="PZQ3" s="120"/>
      <c r="PZR3" s="120"/>
      <c r="PZS3" s="120"/>
      <c r="PZT3" s="120"/>
      <c r="PZU3" s="120"/>
      <c r="PZV3" s="120"/>
      <c r="PZW3" s="120"/>
      <c r="PZX3" s="120"/>
      <c r="PZY3" s="120"/>
      <c r="PZZ3" s="120"/>
      <c r="QAA3" s="120"/>
      <c r="QAB3" s="120"/>
      <c r="QAC3" s="120"/>
      <c r="QAD3" s="120"/>
      <c r="QAE3" s="120"/>
      <c r="QAF3" s="120"/>
      <c r="QAG3" s="120"/>
      <c r="QAH3" s="120"/>
      <c r="QAI3" s="120"/>
      <c r="QAJ3" s="120"/>
      <c r="QAK3" s="120"/>
      <c r="QAL3" s="120"/>
      <c r="QAM3" s="120"/>
      <c r="QAN3" s="120"/>
      <c r="QAO3" s="120"/>
      <c r="QAP3" s="120"/>
      <c r="QAQ3" s="120"/>
      <c r="QAR3" s="120"/>
      <c r="QAS3" s="120"/>
      <c r="QAT3" s="120"/>
      <c r="QAU3" s="120"/>
      <c r="QAV3" s="120"/>
      <c r="QAW3" s="120"/>
      <c r="QAX3" s="120"/>
      <c r="QAY3" s="120"/>
      <c r="QAZ3" s="120"/>
      <c r="QBA3" s="120"/>
      <c r="QBB3" s="120"/>
      <c r="QBC3" s="120"/>
      <c r="QBD3" s="120"/>
      <c r="QBE3" s="120"/>
      <c r="QBF3" s="120"/>
      <c r="QBG3" s="120"/>
      <c r="QBH3" s="120"/>
      <c r="QBI3" s="120"/>
      <c r="QBJ3" s="120"/>
      <c r="QBK3" s="120"/>
      <c r="QBL3" s="120"/>
      <c r="QBM3" s="120"/>
      <c r="QBN3" s="120"/>
      <c r="QBO3" s="120"/>
      <c r="QBP3" s="120"/>
      <c r="QBQ3" s="120"/>
      <c r="QBR3" s="120"/>
      <c r="QBS3" s="120"/>
      <c r="QBT3" s="120"/>
      <c r="QBU3" s="120"/>
      <c r="QBV3" s="120"/>
      <c r="QBW3" s="120"/>
      <c r="QBX3" s="120"/>
      <c r="QBY3" s="120"/>
      <c r="QBZ3" s="120"/>
      <c r="QCA3" s="120"/>
      <c r="QCB3" s="120"/>
      <c r="QCC3" s="120"/>
      <c r="QCD3" s="120"/>
      <c r="QCE3" s="120"/>
      <c r="QCF3" s="120"/>
      <c r="QCG3" s="120"/>
      <c r="QCH3" s="120"/>
      <c r="QCI3" s="120"/>
      <c r="QCJ3" s="120"/>
      <c r="QCK3" s="120"/>
      <c r="QCL3" s="120"/>
      <c r="QCM3" s="120"/>
      <c r="QCN3" s="120"/>
      <c r="QCO3" s="120"/>
      <c r="QCP3" s="120"/>
      <c r="QCQ3" s="120"/>
      <c r="QCR3" s="120"/>
      <c r="QCS3" s="120"/>
      <c r="QCT3" s="120"/>
      <c r="QCU3" s="120"/>
      <c r="QCV3" s="120"/>
      <c r="QCW3" s="120"/>
      <c r="QCX3" s="120"/>
      <c r="QCY3" s="120"/>
      <c r="QCZ3" s="120"/>
      <c r="QDA3" s="120"/>
      <c r="QDB3" s="120"/>
      <c r="QDC3" s="120"/>
      <c r="QDD3" s="120"/>
      <c r="QDE3" s="120"/>
      <c r="QDF3" s="120"/>
      <c r="QDG3" s="120"/>
      <c r="QDH3" s="120"/>
      <c r="QDI3" s="120"/>
      <c r="QDJ3" s="120"/>
      <c r="QDK3" s="120"/>
      <c r="QDL3" s="120"/>
      <c r="QDM3" s="120"/>
      <c r="QDN3" s="120"/>
      <c r="QDO3" s="120"/>
      <c r="QDP3" s="120"/>
      <c r="QDQ3" s="120"/>
      <c r="QDR3" s="120"/>
      <c r="QDS3" s="120"/>
      <c r="QDT3" s="120"/>
      <c r="QDU3" s="120"/>
      <c r="QDV3" s="120"/>
      <c r="QDW3" s="120"/>
      <c r="QDX3" s="120"/>
      <c r="QDY3" s="120"/>
      <c r="QDZ3" s="120"/>
      <c r="QEA3" s="120"/>
      <c r="QEB3" s="120"/>
      <c r="QEC3" s="120"/>
      <c r="QED3" s="120"/>
      <c r="QEE3" s="120"/>
      <c r="QEF3" s="120"/>
      <c r="QEG3" s="120"/>
      <c r="QEH3" s="120"/>
      <c r="QEI3" s="120"/>
      <c r="QEJ3" s="120"/>
      <c r="QEK3" s="120"/>
      <c r="QEL3" s="120"/>
      <c r="QEM3" s="120"/>
      <c r="QEN3" s="120"/>
      <c r="QEO3" s="120"/>
      <c r="QEP3" s="120"/>
      <c r="QEQ3" s="120"/>
      <c r="QER3" s="120"/>
      <c r="QES3" s="120"/>
      <c r="QET3" s="120"/>
      <c r="QEU3" s="120"/>
      <c r="QEV3" s="120"/>
      <c r="QEW3" s="120"/>
      <c r="QEX3" s="120"/>
      <c r="QEY3" s="120"/>
      <c r="QEZ3" s="120"/>
      <c r="QFA3" s="120"/>
      <c r="QFB3" s="120"/>
      <c r="QFC3" s="120"/>
      <c r="QFD3" s="120"/>
      <c r="QFE3" s="120"/>
      <c r="QFF3" s="120"/>
      <c r="QFG3" s="120"/>
      <c r="QFH3" s="120"/>
      <c r="QFI3" s="120"/>
      <c r="QFJ3" s="120"/>
      <c r="QFK3" s="120"/>
      <c r="QFL3" s="120"/>
      <c r="QFM3" s="120"/>
      <c r="QFN3" s="120"/>
      <c r="QFO3" s="120"/>
      <c r="QFP3" s="120"/>
      <c r="QFQ3" s="120"/>
      <c r="QFR3" s="120"/>
      <c r="QFS3" s="120"/>
      <c r="QFT3" s="120"/>
      <c r="QFU3" s="120"/>
      <c r="QFV3" s="120"/>
      <c r="QFW3" s="120"/>
      <c r="QFX3" s="120"/>
      <c r="QFY3" s="120"/>
      <c r="QFZ3" s="120"/>
      <c r="QGA3" s="120"/>
      <c r="QGB3" s="120"/>
      <c r="QGC3" s="120"/>
      <c r="QGD3" s="120"/>
      <c r="QGE3" s="120"/>
      <c r="QGF3" s="120"/>
      <c r="QGG3" s="120"/>
      <c r="QGH3" s="120"/>
      <c r="QGI3" s="120"/>
      <c r="QGJ3" s="120"/>
      <c r="QGK3" s="120"/>
      <c r="QGL3" s="120"/>
      <c r="QGM3" s="120"/>
      <c r="QGN3" s="120"/>
      <c r="QGO3" s="120"/>
      <c r="QGP3" s="120"/>
      <c r="QGQ3" s="120"/>
      <c r="QGR3" s="120"/>
      <c r="QGS3" s="120"/>
      <c r="QGT3" s="120"/>
      <c r="QGU3" s="120"/>
      <c r="QGV3" s="120"/>
      <c r="QGW3" s="120"/>
      <c r="QGX3" s="120"/>
      <c r="QGY3" s="120"/>
      <c r="QGZ3" s="120"/>
      <c r="QHA3" s="120"/>
      <c r="QHB3" s="120"/>
      <c r="QHC3" s="120"/>
      <c r="QHD3" s="120"/>
      <c r="QHE3" s="120"/>
      <c r="QHF3" s="120"/>
      <c r="QHG3" s="120"/>
      <c r="QHH3" s="120"/>
      <c r="QHI3" s="120"/>
      <c r="QHJ3" s="120"/>
      <c r="QHK3" s="120"/>
      <c r="QHL3" s="120"/>
      <c r="QHM3" s="120"/>
      <c r="QHN3" s="120"/>
      <c r="QHO3" s="120"/>
      <c r="QHP3" s="120"/>
      <c r="QHQ3" s="120"/>
      <c r="QHR3" s="120"/>
      <c r="QHS3" s="120"/>
      <c r="QHT3" s="120"/>
      <c r="QHU3" s="120"/>
      <c r="QHV3" s="120"/>
      <c r="QHW3" s="120"/>
      <c r="QHX3" s="120"/>
      <c r="QHY3" s="120"/>
      <c r="QHZ3" s="120"/>
      <c r="QIA3" s="120"/>
      <c r="QIB3" s="120"/>
      <c r="QIC3" s="120"/>
      <c r="QID3" s="120"/>
      <c r="QIE3" s="120"/>
      <c r="QIF3" s="120"/>
      <c r="QIG3" s="120"/>
      <c r="QIH3" s="120"/>
      <c r="QII3" s="120"/>
      <c r="QIJ3" s="120"/>
      <c r="QIK3" s="120"/>
      <c r="QIL3" s="120"/>
      <c r="QIM3" s="120"/>
      <c r="QIN3" s="120"/>
      <c r="QIO3" s="120"/>
      <c r="QIP3" s="120"/>
      <c r="QIQ3" s="120"/>
      <c r="QIR3" s="120"/>
      <c r="QIS3" s="120"/>
      <c r="QIT3" s="120"/>
      <c r="QIU3" s="120"/>
      <c r="QIV3" s="120"/>
      <c r="QIW3" s="120"/>
      <c r="QIX3" s="120"/>
      <c r="QIY3" s="120"/>
      <c r="QIZ3" s="120"/>
      <c r="QJA3" s="120"/>
      <c r="QJB3" s="120"/>
      <c r="QJC3" s="120"/>
      <c r="QJD3" s="120"/>
      <c r="QJE3" s="120"/>
      <c r="QJF3" s="120"/>
      <c r="QJG3" s="120"/>
      <c r="QJH3" s="120"/>
      <c r="QJI3" s="120"/>
      <c r="QJJ3" s="120"/>
      <c r="QJK3" s="120"/>
      <c r="QJL3" s="120"/>
      <c r="QJM3" s="120"/>
      <c r="QJN3" s="120"/>
      <c r="QJO3" s="120"/>
      <c r="QJP3" s="120"/>
      <c r="QJQ3" s="120"/>
      <c r="QJR3" s="120"/>
      <c r="QJS3" s="120"/>
      <c r="QJT3" s="120"/>
      <c r="QJU3" s="120"/>
      <c r="QJV3" s="120"/>
      <c r="QJW3" s="120"/>
      <c r="QJX3" s="120"/>
      <c r="QJY3" s="120"/>
      <c r="QJZ3" s="120"/>
      <c r="QKA3" s="120"/>
      <c r="QKB3" s="120"/>
      <c r="QKC3" s="120"/>
      <c r="QKD3" s="120"/>
      <c r="QKE3" s="120"/>
      <c r="QKF3" s="120"/>
      <c r="QKG3" s="120"/>
      <c r="QKH3" s="120"/>
      <c r="QKI3" s="120"/>
      <c r="QKJ3" s="120"/>
      <c r="QKK3" s="120"/>
      <c r="QKL3" s="120"/>
      <c r="QKM3" s="120"/>
      <c r="QKN3" s="120"/>
      <c r="QKO3" s="120"/>
      <c r="QKP3" s="120"/>
      <c r="QKQ3" s="120"/>
      <c r="QKR3" s="120"/>
      <c r="QKS3" s="120"/>
      <c r="QKT3" s="120"/>
      <c r="QKU3" s="120"/>
      <c r="QKV3" s="120"/>
      <c r="QKW3" s="120"/>
      <c r="QKX3" s="120"/>
      <c r="QKY3" s="120"/>
      <c r="QKZ3" s="120"/>
      <c r="QLA3" s="120"/>
      <c r="QLB3" s="120"/>
      <c r="QLC3" s="120"/>
      <c r="QLD3" s="120"/>
      <c r="QLE3" s="120"/>
      <c r="QLF3" s="120"/>
      <c r="QLG3" s="120"/>
      <c r="QLH3" s="120"/>
      <c r="QLI3" s="120"/>
      <c r="QLJ3" s="120"/>
      <c r="QLK3" s="120"/>
      <c r="QLL3" s="120"/>
      <c r="QLM3" s="120"/>
      <c r="QLN3" s="120"/>
      <c r="QLO3" s="120"/>
      <c r="QLP3" s="120"/>
      <c r="QLQ3" s="120"/>
      <c r="QLR3" s="120"/>
      <c r="QLS3" s="120"/>
      <c r="QLT3" s="120"/>
      <c r="QLU3" s="120"/>
      <c r="QLV3" s="120"/>
      <c r="QLW3" s="120"/>
      <c r="QLX3" s="120"/>
      <c r="QLY3" s="120"/>
      <c r="QLZ3" s="120"/>
      <c r="QMA3" s="120"/>
      <c r="QMB3" s="120"/>
      <c r="QMC3" s="120"/>
      <c r="QMD3" s="120"/>
      <c r="QME3" s="120"/>
      <c r="QMF3" s="120"/>
      <c r="QMG3" s="120"/>
      <c r="QMH3" s="120"/>
      <c r="QMI3" s="120"/>
      <c r="QMJ3" s="120"/>
      <c r="QMK3" s="120"/>
      <c r="QML3" s="120"/>
      <c r="QMM3" s="120"/>
      <c r="QMN3" s="120"/>
      <c r="QMO3" s="120"/>
      <c r="QMP3" s="120"/>
      <c r="QMQ3" s="120"/>
      <c r="QMR3" s="120"/>
      <c r="QMS3" s="120"/>
      <c r="QMT3" s="120"/>
      <c r="QMU3" s="120"/>
      <c r="QMV3" s="120"/>
      <c r="QMW3" s="120"/>
      <c r="QMX3" s="120"/>
      <c r="QMY3" s="120"/>
      <c r="QMZ3" s="120"/>
      <c r="QNA3" s="120"/>
      <c r="QNB3" s="120"/>
      <c r="QNC3" s="120"/>
      <c r="QND3" s="120"/>
      <c r="QNE3" s="120"/>
      <c r="QNF3" s="120"/>
      <c r="QNG3" s="120"/>
      <c r="QNH3" s="120"/>
      <c r="QNI3" s="120"/>
      <c r="QNJ3" s="120"/>
      <c r="QNK3" s="120"/>
      <c r="QNL3" s="120"/>
      <c r="QNM3" s="120"/>
      <c r="QNN3" s="120"/>
      <c r="QNO3" s="120"/>
      <c r="QNP3" s="120"/>
      <c r="QNQ3" s="120"/>
      <c r="QNR3" s="120"/>
      <c r="QNS3" s="120"/>
      <c r="QNT3" s="120"/>
      <c r="QNU3" s="120"/>
      <c r="QNV3" s="120"/>
      <c r="QNW3" s="120"/>
      <c r="QNX3" s="120"/>
      <c r="QNY3" s="120"/>
      <c r="QNZ3" s="120"/>
      <c r="QOA3" s="120"/>
      <c r="QOB3" s="120"/>
      <c r="QOC3" s="120"/>
      <c r="QOD3" s="120"/>
      <c r="QOE3" s="120"/>
      <c r="QOF3" s="120"/>
      <c r="QOG3" s="120"/>
      <c r="QOH3" s="120"/>
      <c r="QOI3" s="120"/>
      <c r="QOJ3" s="120"/>
      <c r="QOK3" s="120"/>
      <c r="QOL3" s="120"/>
      <c r="QOM3" s="120"/>
      <c r="QON3" s="120"/>
      <c r="QOO3" s="120"/>
      <c r="QOP3" s="120"/>
      <c r="QOQ3" s="120"/>
      <c r="QOR3" s="120"/>
      <c r="QOS3" s="120"/>
      <c r="QOT3" s="120"/>
      <c r="QOU3" s="120"/>
      <c r="QOV3" s="120"/>
      <c r="QOW3" s="120"/>
      <c r="QOX3" s="120"/>
      <c r="QOY3" s="120"/>
      <c r="QOZ3" s="120"/>
      <c r="QPA3" s="120"/>
      <c r="QPB3" s="120"/>
      <c r="QPC3" s="120"/>
      <c r="QPD3" s="120"/>
      <c r="QPE3" s="120"/>
      <c r="QPF3" s="120"/>
      <c r="QPG3" s="120"/>
      <c r="QPH3" s="120"/>
      <c r="QPI3" s="120"/>
      <c r="QPJ3" s="120"/>
      <c r="QPK3" s="120"/>
      <c r="QPL3" s="120"/>
      <c r="QPM3" s="120"/>
      <c r="QPN3" s="120"/>
      <c r="QPO3" s="120"/>
      <c r="QPP3" s="120"/>
      <c r="QPQ3" s="120"/>
      <c r="QPR3" s="120"/>
      <c r="QPS3" s="120"/>
      <c r="QPT3" s="120"/>
      <c r="QPU3" s="120"/>
      <c r="QPV3" s="120"/>
      <c r="QPW3" s="120"/>
      <c r="QPX3" s="120"/>
      <c r="QPY3" s="120"/>
      <c r="QPZ3" s="120"/>
      <c r="QQA3" s="120"/>
      <c r="QQB3" s="120"/>
      <c r="QQC3" s="120"/>
      <c r="QQD3" s="120"/>
      <c r="QQE3" s="120"/>
      <c r="QQF3" s="120"/>
      <c r="QQG3" s="120"/>
      <c r="QQH3" s="120"/>
      <c r="QQI3" s="120"/>
      <c r="QQJ3" s="120"/>
      <c r="QQK3" s="120"/>
      <c r="QQL3" s="120"/>
      <c r="QQM3" s="120"/>
      <c r="QQN3" s="120"/>
      <c r="QQO3" s="120"/>
      <c r="QQP3" s="120"/>
      <c r="QQQ3" s="120"/>
      <c r="QQR3" s="120"/>
      <c r="QQS3" s="120"/>
      <c r="QQT3" s="120"/>
      <c r="QQU3" s="120"/>
      <c r="QQV3" s="120"/>
      <c r="QQW3" s="120"/>
      <c r="QQX3" s="120"/>
      <c r="QQY3" s="120"/>
      <c r="QQZ3" s="120"/>
      <c r="QRA3" s="120"/>
      <c r="QRB3" s="120"/>
      <c r="QRC3" s="120"/>
      <c r="QRD3" s="120"/>
      <c r="QRE3" s="120"/>
      <c r="QRF3" s="120"/>
      <c r="QRG3" s="120"/>
      <c r="QRH3" s="120"/>
      <c r="QRI3" s="120"/>
      <c r="QRJ3" s="120"/>
      <c r="QRK3" s="120"/>
      <c r="QRL3" s="120"/>
      <c r="QRM3" s="120"/>
      <c r="QRN3" s="120"/>
      <c r="QRO3" s="120"/>
      <c r="QRP3" s="120"/>
      <c r="QRQ3" s="120"/>
      <c r="QRR3" s="120"/>
      <c r="QRS3" s="120"/>
      <c r="QRT3" s="120"/>
      <c r="QRU3" s="120"/>
      <c r="QRV3" s="120"/>
      <c r="QRW3" s="120"/>
      <c r="QRX3" s="120"/>
      <c r="QRY3" s="120"/>
      <c r="QRZ3" s="120"/>
      <c r="QSA3" s="120"/>
      <c r="QSB3" s="120"/>
      <c r="QSC3" s="120"/>
      <c r="QSD3" s="120"/>
      <c r="QSE3" s="120"/>
      <c r="QSF3" s="120"/>
      <c r="QSG3" s="120"/>
      <c r="QSH3" s="120"/>
      <c r="QSI3" s="120"/>
      <c r="QSJ3" s="120"/>
      <c r="QSK3" s="120"/>
      <c r="QSL3" s="120"/>
      <c r="QSM3" s="120"/>
      <c r="QSN3" s="120"/>
      <c r="QSO3" s="120"/>
      <c r="QSP3" s="120"/>
      <c r="QSQ3" s="120"/>
      <c r="QSR3" s="120"/>
      <c r="QSS3" s="120"/>
      <c r="QST3" s="120"/>
      <c r="QSU3" s="120"/>
      <c r="QSV3" s="120"/>
      <c r="QSW3" s="120"/>
      <c r="QSX3" s="120"/>
      <c r="QSY3" s="120"/>
      <c r="QSZ3" s="120"/>
      <c r="QTA3" s="120"/>
      <c r="QTB3" s="120"/>
      <c r="QTC3" s="120"/>
      <c r="QTD3" s="120"/>
      <c r="QTE3" s="120"/>
      <c r="QTF3" s="120"/>
      <c r="QTG3" s="120"/>
      <c r="QTH3" s="120"/>
      <c r="QTI3" s="120"/>
      <c r="QTJ3" s="120"/>
      <c r="QTK3" s="120"/>
      <c r="QTL3" s="120"/>
      <c r="QTM3" s="120"/>
      <c r="QTN3" s="120"/>
      <c r="QTO3" s="120"/>
      <c r="QTP3" s="120"/>
      <c r="QTQ3" s="120"/>
      <c r="QTR3" s="120"/>
      <c r="QTS3" s="120"/>
      <c r="QTT3" s="120"/>
      <c r="QTU3" s="120"/>
      <c r="QTV3" s="120"/>
      <c r="QTW3" s="120"/>
      <c r="QTX3" s="120"/>
      <c r="QTY3" s="120"/>
      <c r="QTZ3" s="120"/>
      <c r="QUA3" s="120"/>
      <c r="QUB3" s="120"/>
      <c r="QUC3" s="120"/>
      <c r="QUD3" s="120"/>
      <c r="QUE3" s="120"/>
      <c r="QUF3" s="120"/>
      <c r="QUG3" s="120"/>
      <c r="QUH3" s="120"/>
      <c r="QUI3" s="120"/>
      <c r="QUJ3" s="120"/>
      <c r="QUK3" s="120"/>
      <c r="QUL3" s="120"/>
      <c r="QUM3" s="120"/>
      <c r="QUN3" s="120"/>
      <c r="QUO3" s="120"/>
      <c r="QUP3" s="120"/>
      <c r="QUQ3" s="120"/>
      <c r="QUR3" s="120"/>
      <c r="QUS3" s="120"/>
      <c r="QUT3" s="120"/>
      <c r="QUU3" s="120"/>
      <c r="QUV3" s="120"/>
      <c r="QUW3" s="120"/>
      <c r="QUX3" s="120"/>
      <c r="QUY3" s="120"/>
      <c r="QUZ3" s="120"/>
      <c r="QVA3" s="120"/>
      <c r="QVB3" s="120"/>
      <c r="QVC3" s="120"/>
      <c r="QVD3" s="120"/>
      <c r="QVE3" s="120"/>
      <c r="QVF3" s="120"/>
      <c r="QVG3" s="120"/>
      <c r="QVH3" s="120"/>
      <c r="QVI3" s="120"/>
      <c r="QVJ3" s="120"/>
      <c r="QVK3" s="120"/>
      <c r="QVL3" s="120"/>
      <c r="QVM3" s="120"/>
      <c r="QVN3" s="120"/>
      <c r="QVO3" s="120"/>
      <c r="QVP3" s="120"/>
      <c r="QVQ3" s="120"/>
      <c r="QVR3" s="120"/>
      <c r="QVS3" s="120"/>
      <c r="QVT3" s="120"/>
      <c r="QVU3" s="120"/>
      <c r="QVV3" s="120"/>
      <c r="QVW3" s="120"/>
      <c r="QVX3" s="120"/>
      <c r="QVY3" s="120"/>
      <c r="QVZ3" s="120"/>
      <c r="QWA3" s="120"/>
      <c r="QWB3" s="120"/>
      <c r="QWC3" s="120"/>
      <c r="QWD3" s="120"/>
      <c r="QWE3" s="120"/>
      <c r="QWF3" s="120"/>
      <c r="QWG3" s="120"/>
      <c r="QWH3" s="120"/>
      <c r="QWI3" s="120"/>
      <c r="QWJ3" s="120"/>
      <c r="QWK3" s="120"/>
      <c r="QWL3" s="120"/>
      <c r="QWM3" s="120"/>
      <c r="QWN3" s="120"/>
      <c r="QWO3" s="120"/>
      <c r="QWP3" s="120"/>
      <c r="QWQ3" s="120"/>
      <c r="QWR3" s="120"/>
      <c r="QWS3" s="120"/>
      <c r="QWT3" s="120"/>
      <c r="QWU3" s="120"/>
      <c r="QWV3" s="120"/>
      <c r="QWW3" s="120"/>
      <c r="QWX3" s="120"/>
      <c r="QWY3" s="120"/>
      <c r="QWZ3" s="120"/>
      <c r="QXA3" s="120"/>
      <c r="QXB3" s="120"/>
      <c r="QXC3" s="120"/>
      <c r="QXD3" s="120"/>
      <c r="QXE3" s="120"/>
      <c r="QXF3" s="120"/>
      <c r="QXG3" s="120"/>
      <c r="QXH3" s="120"/>
      <c r="QXI3" s="120"/>
      <c r="QXJ3" s="120"/>
      <c r="QXK3" s="120"/>
      <c r="QXL3" s="120"/>
      <c r="QXM3" s="120"/>
      <c r="QXN3" s="120"/>
      <c r="QXO3" s="120"/>
      <c r="QXP3" s="120"/>
      <c r="QXQ3" s="120"/>
      <c r="QXR3" s="120"/>
      <c r="QXS3" s="120"/>
      <c r="QXT3" s="120"/>
      <c r="QXU3" s="120"/>
      <c r="QXV3" s="120"/>
      <c r="QXW3" s="120"/>
      <c r="QXX3" s="120"/>
      <c r="QXY3" s="120"/>
      <c r="QXZ3" s="120"/>
      <c r="QYA3" s="120"/>
      <c r="QYB3" s="120"/>
      <c r="QYC3" s="120"/>
      <c r="QYD3" s="120"/>
      <c r="QYE3" s="120"/>
      <c r="QYF3" s="120"/>
      <c r="QYG3" s="120"/>
      <c r="QYH3" s="120"/>
      <c r="QYI3" s="120"/>
      <c r="QYJ3" s="120"/>
      <c r="QYK3" s="120"/>
      <c r="QYL3" s="120"/>
      <c r="QYM3" s="120"/>
      <c r="QYN3" s="120"/>
      <c r="QYO3" s="120"/>
      <c r="QYP3" s="120"/>
      <c r="QYQ3" s="120"/>
      <c r="QYR3" s="120"/>
      <c r="QYS3" s="120"/>
      <c r="QYT3" s="120"/>
      <c r="QYU3" s="120"/>
      <c r="QYV3" s="120"/>
      <c r="QYW3" s="120"/>
      <c r="QYX3" s="120"/>
      <c r="QYY3" s="120"/>
      <c r="QYZ3" s="120"/>
      <c r="QZA3" s="120"/>
      <c r="QZB3" s="120"/>
      <c r="QZC3" s="120"/>
      <c r="QZD3" s="120"/>
      <c r="QZE3" s="120"/>
      <c r="QZF3" s="120"/>
      <c r="QZG3" s="120"/>
      <c r="QZH3" s="120"/>
      <c r="QZI3" s="120"/>
      <c r="QZJ3" s="120"/>
      <c r="QZK3" s="120"/>
      <c r="QZL3" s="120"/>
      <c r="QZM3" s="120"/>
      <c r="QZN3" s="120"/>
      <c r="QZO3" s="120"/>
      <c r="QZP3" s="120"/>
      <c r="QZQ3" s="120"/>
      <c r="QZR3" s="120"/>
      <c r="QZS3" s="120"/>
      <c r="QZT3" s="120"/>
      <c r="QZU3" s="120"/>
      <c r="QZV3" s="120"/>
      <c r="QZW3" s="120"/>
      <c r="QZX3" s="120"/>
      <c r="QZY3" s="120"/>
      <c r="QZZ3" s="120"/>
      <c r="RAA3" s="120"/>
      <c r="RAB3" s="120"/>
      <c r="RAC3" s="120"/>
      <c r="RAD3" s="120"/>
      <c r="RAE3" s="120"/>
      <c r="RAF3" s="120"/>
      <c r="RAG3" s="120"/>
      <c r="RAH3" s="120"/>
      <c r="RAI3" s="120"/>
      <c r="RAJ3" s="120"/>
      <c r="RAK3" s="120"/>
      <c r="RAL3" s="120"/>
      <c r="RAM3" s="120"/>
      <c r="RAN3" s="120"/>
      <c r="RAO3" s="120"/>
      <c r="RAP3" s="120"/>
      <c r="RAQ3" s="120"/>
      <c r="RAR3" s="120"/>
      <c r="RAS3" s="120"/>
      <c r="RAT3" s="120"/>
      <c r="RAU3" s="120"/>
      <c r="RAV3" s="120"/>
      <c r="RAW3" s="120"/>
      <c r="RAX3" s="120"/>
      <c r="RAY3" s="120"/>
      <c r="RAZ3" s="120"/>
      <c r="RBA3" s="120"/>
      <c r="RBB3" s="120"/>
      <c r="RBC3" s="120"/>
      <c r="RBD3" s="120"/>
      <c r="RBE3" s="120"/>
      <c r="RBF3" s="120"/>
      <c r="RBG3" s="120"/>
      <c r="RBH3" s="120"/>
      <c r="RBI3" s="120"/>
      <c r="RBJ3" s="120"/>
      <c r="RBK3" s="120"/>
      <c r="RBL3" s="120"/>
      <c r="RBM3" s="120"/>
      <c r="RBN3" s="120"/>
      <c r="RBO3" s="120"/>
      <c r="RBP3" s="120"/>
      <c r="RBQ3" s="120"/>
      <c r="RBR3" s="120"/>
      <c r="RBS3" s="120"/>
      <c r="RBT3" s="120"/>
      <c r="RBU3" s="120"/>
      <c r="RBV3" s="120"/>
      <c r="RBW3" s="120"/>
      <c r="RBX3" s="120"/>
      <c r="RBY3" s="120"/>
      <c r="RBZ3" s="120"/>
      <c r="RCA3" s="120"/>
      <c r="RCB3" s="120"/>
      <c r="RCC3" s="120"/>
      <c r="RCD3" s="120"/>
      <c r="RCE3" s="120"/>
      <c r="RCF3" s="120"/>
      <c r="RCG3" s="120"/>
      <c r="RCH3" s="120"/>
      <c r="RCI3" s="120"/>
      <c r="RCJ3" s="120"/>
      <c r="RCK3" s="120"/>
      <c r="RCL3" s="120"/>
      <c r="RCM3" s="120"/>
      <c r="RCN3" s="120"/>
      <c r="RCO3" s="120"/>
      <c r="RCP3" s="120"/>
      <c r="RCQ3" s="120"/>
      <c r="RCR3" s="120"/>
      <c r="RCS3" s="120"/>
      <c r="RCT3" s="120"/>
      <c r="RCU3" s="120"/>
      <c r="RCV3" s="120"/>
      <c r="RCW3" s="120"/>
      <c r="RCX3" s="120"/>
      <c r="RCY3" s="120"/>
      <c r="RCZ3" s="120"/>
      <c r="RDA3" s="120"/>
      <c r="RDB3" s="120"/>
      <c r="RDC3" s="120"/>
      <c r="RDD3" s="120"/>
      <c r="RDE3" s="120"/>
      <c r="RDF3" s="120"/>
      <c r="RDG3" s="120"/>
      <c r="RDH3" s="120"/>
      <c r="RDI3" s="120"/>
      <c r="RDJ3" s="120"/>
      <c r="RDK3" s="120"/>
      <c r="RDL3" s="120"/>
      <c r="RDM3" s="120"/>
      <c r="RDN3" s="120"/>
      <c r="RDO3" s="120"/>
      <c r="RDP3" s="120"/>
      <c r="RDQ3" s="120"/>
      <c r="RDR3" s="120"/>
      <c r="RDS3" s="120"/>
      <c r="RDT3" s="120"/>
      <c r="RDU3" s="120"/>
      <c r="RDV3" s="120"/>
      <c r="RDW3" s="120"/>
      <c r="RDX3" s="120"/>
      <c r="RDY3" s="120"/>
      <c r="RDZ3" s="120"/>
      <c r="REA3" s="120"/>
      <c r="REB3" s="120"/>
      <c r="REC3" s="120"/>
      <c r="RED3" s="120"/>
      <c r="REE3" s="120"/>
      <c r="REF3" s="120"/>
      <c r="REG3" s="120"/>
      <c r="REH3" s="120"/>
      <c r="REI3" s="120"/>
      <c r="REJ3" s="120"/>
      <c r="REK3" s="120"/>
      <c r="REL3" s="120"/>
      <c r="REM3" s="120"/>
      <c r="REN3" s="120"/>
      <c r="REO3" s="120"/>
      <c r="REP3" s="120"/>
      <c r="REQ3" s="120"/>
      <c r="RER3" s="120"/>
      <c r="RES3" s="120"/>
      <c r="RET3" s="120"/>
      <c r="REU3" s="120"/>
      <c r="REV3" s="120"/>
      <c r="REW3" s="120"/>
      <c r="REX3" s="120"/>
      <c r="REY3" s="120"/>
      <c r="REZ3" s="120"/>
      <c r="RFA3" s="120"/>
      <c r="RFB3" s="120"/>
      <c r="RFC3" s="120"/>
      <c r="RFD3" s="120"/>
      <c r="RFE3" s="120"/>
      <c r="RFF3" s="120"/>
      <c r="RFG3" s="120"/>
      <c r="RFH3" s="120"/>
      <c r="RFI3" s="120"/>
      <c r="RFJ3" s="120"/>
      <c r="RFK3" s="120"/>
      <c r="RFL3" s="120"/>
      <c r="RFM3" s="120"/>
      <c r="RFN3" s="120"/>
      <c r="RFO3" s="120"/>
      <c r="RFP3" s="120"/>
      <c r="RFQ3" s="120"/>
      <c r="RFR3" s="120"/>
      <c r="RFS3" s="120"/>
      <c r="RFT3" s="120"/>
      <c r="RFU3" s="120"/>
      <c r="RFV3" s="120"/>
      <c r="RFW3" s="120"/>
      <c r="RFX3" s="120"/>
      <c r="RFY3" s="120"/>
      <c r="RFZ3" s="120"/>
      <c r="RGA3" s="120"/>
      <c r="RGB3" s="120"/>
      <c r="RGC3" s="120"/>
      <c r="RGD3" s="120"/>
      <c r="RGE3" s="120"/>
      <c r="RGF3" s="120"/>
      <c r="RGG3" s="120"/>
      <c r="RGH3" s="120"/>
      <c r="RGI3" s="120"/>
      <c r="RGJ3" s="120"/>
      <c r="RGK3" s="120"/>
      <c r="RGL3" s="120"/>
      <c r="RGM3" s="120"/>
      <c r="RGN3" s="120"/>
      <c r="RGO3" s="120"/>
      <c r="RGP3" s="120"/>
      <c r="RGQ3" s="120"/>
      <c r="RGR3" s="120"/>
      <c r="RGS3" s="120"/>
      <c r="RGT3" s="120"/>
      <c r="RGU3" s="120"/>
      <c r="RGV3" s="120"/>
      <c r="RGW3" s="120"/>
      <c r="RGX3" s="120"/>
      <c r="RGY3" s="120"/>
      <c r="RGZ3" s="120"/>
      <c r="RHA3" s="120"/>
      <c r="RHB3" s="120"/>
      <c r="RHC3" s="120"/>
      <c r="RHD3" s="120"/>
      <c r="RHE3" s="120"/>
      <c r="RHF3" s="120"/>
      <c r="RHG3" s="120"/>
      <c r="RHH3" s="120"/>
      <c r="RHI3" s="120"/>
      <c r="RHJ3" s="120"/>
      <c r="RHK3" s="120"/>
      <c r="RHL3" s="120"/>
      <c r="RHM3" s="120"/>
      <c r="RHN3" s="120"/>
      <c r="RHO3" s="120"/>
      <c r="RHP3" s="120"/>
      <c r="RHQ3" s="120"/>
      <c r="RHR3" s="120"/>
      <c r="RHS3" s="120"/>
      <c r="RHT3" s="120"/>
      <c r="RHU3" s="120"/>
      <c r="RHV3" s="120"/>
      <c r="RHW3" s="120"/>
      <c r="RHX3" s="120"/>
      <c r="RHY3" s="120"/>
      <c r="RHZ3" s="120"/>
      <c r="RIA3" s="120"/>
      <c r="RIB3" s="120"/>
      <c r="RIC3" s="120"/>
      <c r="RID3" s="120"/>
      <c r="RIE3" s="120"/>
      <c r="RIF3" s="120"/>
      <c r="RIG3" s="120"/>
      <c r="RIH3" s="120"/>
      <c r="RII3" s="120"/>
      <c r="RIJ3" s="120"/>
      <c r="RIK3" s="120"/>
      <c r="RIL3" s="120"/>
      <c r="RIM3" s="120"/>
      <c r="RIN3" s="120"/>
      <c r="RIO3" s="120"/>
      <c r="RIP3" s="120"/>
      <c r="RIQ3" s="120"/>
      <c r="RIR3" s="120"/>
      <c r="RIS3" s="120"/>
      <c r="RIT3" s="120"/>
      <c r="RIU3" s="120"/>
      <c r="RIV3" s="120"/>
      <c r="RIW3" s="120"/>
      <c r="RIX3" s="120"/>
      <c r="RIY3" s="120"/>
      <c r="RIZ3" s="120"/>
      <c r="RJA3" s="120"/>
      <c r="RJB3" s="120"/>
      <c r="RJC3" s="120"/>
      <c r="RJD3" s="120"/>
      <c r="RJE3" s="120"/>
      <c r="RJF3" s="120"/>
      <c r="RJG3" s="120"/>
      <c r="RJH3" s="120"/>
      <c r="RJI3" s="120"/>
      <c r="RJJ3" s="120"/>
      <c r="RJK3" s="120"/>
      <c r="RJL3" s="120"/>
      <c r="RJM3" s="120"/>
      <c r="RJN3" s="120"/>
      <c r="RJO3" s="120"/>
      <c r="RJP3" s="120"/>
      <c r="RJQ3" s="120"/>
      <c r="RJR3" s="120"/>
      <c r="RJS3" s="120"/>
      <c r="RJT3" s="120"/>
      <c r="RJU3" s="120"/>
      <c r="RJV3" s="120"/>
      <c r="RJW3" s="120"/>
      <c r="RJX3" s="120"/>
      <c r="RJY3" s="120"/>
      <c r="RJZ3" s="120"/>
      <c r="RKA3" s="120"/>
      <c r="RKB3" s="120"/>
      <c r="RKC3" s="120"/>
      <c r="RKD3" s="120"/>
      <c r="RKE3" s="120"/>
      <c r="RKF3" s="120"/>
      <c r="RKG3" s="120"/>
      <c r="RKH3" s="120"/>
      <c r="RKI3" s="120"/>
      <c r="RKJ3" s="120"/>
      <c r="RKK3" s="120"/>
      <c r="RKL3" s="120"/>
      <c r="RKM3" s="120"/>
      <c r="RKN3" s="120"/>
      <c r="RKO3" s="120"/>
      <c r="RKP3" s="120"/>
      <c r="RKQ3" s="120"/>
      <c r="RKR3" s="120"/>
      <c r="RKS3" s="120"/>
      <c r="RKT3" s="120"/>
      <c r="RKU3" s="120"/>
      <c r="RKV3" s="120"/>
      <c r="RKW3" s="120"/>
      <c r="RKX3" s="120"/>
      <c r="RKY3" s="120"/>
      <c r="RKZ3" s="120"/>
      <c r="RLA3" s="120"/>
      <c r="RLB3" s="120"/>
      <c r="RLC3" s="120"/>
      <c r="RLD3" s="120"/>
      <c r="RLE3" s="120"/>
      <c r="RLF3" s="120"/>
      <c r="RLG3" s="120"/>
      <c r="RLH3" s="120"/>
      <c r="RLI3" s="120"/>
      <c r="RLJ3" s="120"/>
      <c r="RLK3" s="120"/>
      <c r="RLL3" s="120"/>
      <c r="RLM3" s="120"/>
      <c r="RLN3" s="120"/>
      <c r="RLO3" s="120"/>
      <c r="RLP3" s="120"/>
      <c r="RLQ3" s="120"/>
      <c r="RLR3" s="120"/>
      <c r="RLS3" s="120"/>
      <c r="RLT3" s="120"/>
      <c r="RLU3" s="120"/>
      <c r="RLV3" s="120"/>
      <c r="RLW3" s="120"/>
      <c r="RLX3" s="120"/>
      <c r="RLY3" s="120"/>
      <c r="RLZ3" s="120"/>
      <c r="RMA3" s="120"/>
      <c r="RMB3" s="120"/>
      <c r="RMC3" s="120"/>
      <c r="RMD3" s="120"/>
      <c r="RME3" s="120"/>
      <c r="RMF3" s="120"/>
      <c r="RMG3" s="120"/>
      <c r="RMH3" s="120"/>
      <c r="RMI3" s="120"/>
      <c r="RMJ3" s="120"/>
      <c r="RMK3" s="120"/>
      <c r="RML3" s="120"/>
      <c r="RMM3" s="120"/>
      <c r="RMN3" s="120"/>
      <c r="RMO3" s="120"/>
      <c r="RMP3" s="120"/>
      <c r="RMQ3" s="120"/>
      <c r="RMR3" s="120"/>
      <c r="RMS3" s="120"/>
      <c r="RMT3" s="120"/>
      <c r="RMU3" s="120"/>
      <c r="RMV3" s="120"/>
      <c r="RMW3" s="120"/>
      <c r="RMX3" s="120"/>
      <c r="RMY3" s="120"/>
      <c r="RMZ3" s="120"/>
      <c r="RNA3" s="120"/>
      <c r="RNB3" s="120"/>
      <c r="RNC3" s="120"/>
      <c r="RND3" s="120"/>
      <c r="RNE3" s="120"/>
      <c r="RNF3" s="120"/>
      <c r="RNG3" s="120"/>
      <c r="RNH3" s="120"/>
      <c r="RNI3" s="120"/>
      <c r="RNJ3" s="120"/>
      <c r="RNK3" s="120"/>
      <c r="RNL3" s="120"/>
      <c r="RNM3" s="120"/>
      <c r="RNN3" s="120"/>
      <c r="RNO3" s="120"/>
      <c r="RNP3" s="120"/>
      <c r="RNQ3" s="120"/>
      <c r="RNR3" s="120"/>
      <c r="RNS3" s="120"/>
      <c r="RNT3" s="120"/>
      <c r="RNU3" s="120"/>
      <c r="RNV3" s="120"/>
      <c r="RNW3" s="120"/>
      <c r="RNX3" s="120"/>
      <c r="RNY3" s="120"/>
      <c r="RNZ3" s="120"/>
      <c r="ROA3" s="120"/>
      <c r="ROB3" s="120"/>
      <c r="ROC3" s="120"/>
      <c r="ROD3" s="120"/>
      <c r="ROE3" s="120"/>
      <c r="ROF3" s="120"/>
      <c r="ROG3" s="120"/>
      <c r="ROH3" s="120"/>
      <c r="ROI3" s="120"/>
      <c r="ROJ3" s="120"/>
      <c r="ROK3" s="120"/>
      <c r="ROL3" s="120"/>
      <c r="ROM3" s="120"/>
      <c r="RON3" s="120"/>
      <c r="ROO3" s="120"/>
      <c r="ROP3" s="120"/>
      <c r="ROQ3" s="120"/>
      <c r="ROR3" s="120"/>
      <c r="ROS3" s="120"/>
      <c r="ROT3" s="120"/>
      <c r="ROU3" s="120"/>
      <c r="ROV3" s="120"/>
      <c r="ROW3" s="120"/>
      <c r="ROX3" s="120"/>
      <c r="ROY3" s="120"/>
      <c r="ROZ3" s="120"/>
      <c r="RPA3" s="120"/>
      <c r="RPB3" s="120"/>
      <c r="RPC3" s="120"/>
      <c r="RPD3" s="120"/>
      <c r="RPE3" s="120"/>
      <c r="RPF3" s="120"/>
      <c r="RPG3" s="120"/>
      <c r="RPH3" s="120"/>
      <c r="RPI3" s="120"/>
      <c r="RPJ3" s="120"/>
      <c r="RPK3" s="120"/>
      <c r="RPL3" s="120"/>
      <c r="RPM3" s="120"/>
      <c r="RPN3" s="120"/>
      <c r="RPO3" s="120"/>
      <c r="RPP3" s="120"/>
      <c r="RPQ3" s="120"/>
      <c r="RPR3" s="120"/>
      <c r="RPS3" s="120"/>
      <c r="RPT3" s="120"/>
      <c r="RPU3" s="120"/>
      <c r="RPV3" s="120"/>
      <c r="RPW3" s="120"/>
      <c r="RPX3" s="120"/>
      <c r="RPY3" s="120"/>
      <c r="RPZ3" s="120"/>
      <c r="RQA3" s="120"/>
      <c r="RQB3" s="120"/>
      <c r="RQC3" s="120"/>
      <c r="RQD3" s="120"/>
      <c r="RQE3" s="120"/>
      <c r="RQF3" s="120"/>
      <c r="RQG3" s="120"/>
      <c r="RQH3" s="120"/>
      <c r="RQI3" s="120"/>
      <c r="RQJ3" s="120"/>
      <c r="RQK3" s="120"/>
      <c r="RQL3" s="120"/>
      <c r="RQM3" s="120"/>
      <c r="RQN3" s="120"/>
      <c r="RQO3" s="120"/>
      <c r="RQP3" s="120"/>
      <c r="RQQ3" s="120"/>
      <c r="RQR3" s="120"/>
      <c r="RQS3" s="120"/>
      <c r="RQT3" s="120"/>
      <c r="RQU3" s="120"/>
      <c r="RQV3" s="120"/>
      <c r="RQW3" s="120"/>
      <c r="RQX3" s="120"/>
      <c r="RQY3" s="120"/>
      <c r="RQZ3" s="120"/>
      <c r="RRA3" s="120"/>
      <c r="RRB3" s="120"/>
      <c r="RRC3" s="120"/>
      <c r="RRD3" s="120"/>
      <c r="RRE3" s="120"/>
      <c r="RRF3" s="120"/>
      <c r="RRG3" s="120"/>
      <c r="RRH3" s="120"/>
      <c r="RRI3" s="120"/>
      <c r="RRJ3" s="120"/>
      <c r="RRK3" s="120"/>
      <c r="RRL3" s="120"/>
      <c r="RRM3" s="120"/>
      <c r="RRN3" s="120"/>
      <c r="RRO3" s="120"/>
      <c r="RRP3" s="120"/>
      <c r="RRQ3" s="120"/>
      <c r="RRR3" s="120"/>
      <c r="RRS3" s="120"/>
      <c r="RRT3" s="120"/>
      <c r="RRU3" s="120"/>
      <c r="RRV3" s="120"/>
      <c r="RRW3" s="120"/>
      <c r="RRX3" s="120"/>
      <c r="RRY3" s="120"/>
      <c r="RRZ3" s="120"/>
      <c r="RSA3" s="120"/>
      <c r="RSB3" s="120"/>
      <c r="RSC3" s="120"/>
      <c r="RSD3" s="120"/>
      <c r="RSE3" s="120"/>
      <c r="RSF3" s="120"/>
      <c r="RSG3" s="120"/>
      <c r="RSH3" s="120"/>
      <c r="RSI3" s="120"/>
      <c r="RSJ3" s="120"/>
      <c r="RSK3" s="120"/>
      <c r="RSL3" s="120"/>
      <c r="RSM3" s="120"/>
      <c r="RSN3" s="120"/>
      <c r="RSO3" s="120"/>
      <c r="RSP3" s="120"/>
      <c r="RSQ3" s="120"/>
      <c r="RSR3" s="120"/>
      <c r="RSS3" s="120"/>
      <c r="RST3" s="120"/>
      <c r="RSU3" s="120"/>
      <c r="RSV3" s="120"/>
      <c r="RSW3" s="120"/>
      <c r="RSX3" s="120"/>
      <c r="RSY3" s="120"/>
      <c r="RSZ3" s="120"/>
      <c r="RTA3" s="120"/>
      <c r="RTB3" s="120"/>
      <c r="RTC3" s="120"/>
      <c r="RTD3" s="120"/>
      <c r="RTE3" s="120"/>
      <c r="RTF3" s="120"/>
      <c r="RTG3" s="120"/>
      <c r="RTH3" s="120"/>
      <c r="RTI3" s="120"/>
      <c r="RTJ3" s="120"/>
      <c r="RTK3" s="120"/>
      <c r="RTL3" s="120"/>
      <c r="RTM3" s="120"/>
      <c r="RTN3" s="120"/>
      <c r="RTO3" s="120"/>
      <c r="RTP3" s="120"/>
      <c r="RTQ3" s="120"/>
      <c r="RTR3" s="120"/>
      <c r="RTS3" s="120"/>
      <c r="RTT3" s="120"/>
      <c r="RTU3" s="120"/>
      <c r="RTV3" s="120"/>
      <c r="RTW3" s="120"/>
      <c r="RTX3" s="120"/>
      <c r="RTY3" s="120"/>
      <c r="RTZ3" s="120"/>
      <c r="RUA3" s="120"/>
      <c r="RUB3" s="120"/>
      <c r="RUC3" s="120"/>
      <c r="RUD3" s="120"/>
      <c r="RUE3" s="120"/>
      <c r="RUF3" s="120"/>
      <c r="RUG3" s="120"/>
      <c r="RUH3" s="120"/>
      <c r="RUI3" s="120"/>
      <c r="RUJ3" s="120"/>
      <c r="RUK3" s="120"/>
      <c r="RUL3" s="120"/>
      <c r="RUM3" s="120"/>
      <c r="RUN3" s="120"/>
      <c r="RUO3" s="120"/>
      <c r="RUP3" s="120"/>
      <c r="RUQ3" s="120"/>
      <c r="RUR3" s="120"/>
      <c r="RUS3" s="120"/>
      <c r="RUT3" s="120"/>
      <c r="RUU3" s="120"/>
      <c r="RUV3" s="120"/>
      <c r="RUW3" s="120"/>
      <c r="RUX3" s="120"/>
      <c r="RUY3" s="120"/>
      <c r="RUZ3" s="120"/>
      <c r="RVA3" s="120"/>
      <c r="RVB3" s="120"/>
      <c r="RVC3" s="120"/>
      <c r="RVD3" s="120"/>
      <c r="RVE3" s="120"/>
      <c r="RVF3" s="120"/>
      <c r="RVG3" s="120"/>
      <c r="RVH3" s="120"/>
      <c r="RVI3" s="120"/>
      <c r="RVJ3" s="120"/>
      <c r="RVK3" s="120"/>
      <c r="RVL3" s="120"/>
      <c r="RVM3" s="120"/>
      <c r="RVN3" s="120"/>
      <c r="RVO3" s="120"/>
      <c r="RVP3" s="120"/>
      <c r="RVQ3" s="120"/>
      <c r="RVR3" s="120"/>
      <c r="RVS3" s="120"/>
      <c r="RVT3" s="120"/>
      <c r="RVU3" s="120"/>
      <c r="RVV3" s="120"/>
      <c r="RVW3" s="120"/>
      <c r="RVX3" s="120"/>
      <c r="RVY3" s="120"/>
      <c r="RVZ3" s="120"/>
      <c r="RWA3" s="120"/>
      <c r="RWB3" s="120"/>
      <c r="RWC3" s="120"/>
      <c r="RWD3" s="120"/>
      <c r="RWE3" s="120"/>
      <c r="RWF3" s="120"/>
      <c r="RWG3" s="120"/>
      <c r="RWH3" s="120"/>
      <c r="RWI3" s="120"/>
      <c r="RWJ3" s="120"/>
      <c r="RWK3" s="120"/>
      <c r="RWL3" s="120"/>
      <c r="RWM3" s="120"/>
      <c r="RWN3" s="120"/>
      <c r="RWO3" s="120"/>
      <c r="RWP3" s="120"/>
      <c r="RWQ3" s="120"/>
      <c r="RWR3" s="120"/>
      <c r="RWS3" s="120"/>
      <c r="RWT3" s="120"/>
      <c r="RWU3" s="120"/>
      <c r="RWV3" s="120"/>
      <c r="RWW3" s="120"/>
      <c r="RWX3" s="120"/>
      <c r="RWY3" s="120"/>
      <c r="RWZ3" s="120"/>
      <c r="RXA3" s="120"/>
      <c r="RXB3" s="120"/>
      <c r="RXC3" s="120"/>
      <c r="RXD3" s="120"/>
      <c r="RXE3" s="120"/>
      <c r="RXF3" s="120"/>
      <c r="RXG3" s="120"/>
      <c r="RXH3" s="120"/>
      <c r="RXI3" s="120"/>
      <c r="RXJ3" s="120"/>
      <c r="RXK3" s="120"/>
      <c r="RXL3" s="120"/>
      <c r="RXM3" s="120"/>
      <c r="RXN3" s="120"/>
      <c r="RXO3" s="120"/>
      <c r="RXP3" s="120"/>
      <c r="RXQ3" s="120"/>
      <c r="RXR3" s="120"/>
      <c r="RXS3" s="120"/>
      <c r="RXT3" s="120"/>
      <c r="RXU3" s="120"/>
      <c r="RXV3" s="120"/>
      <c r="RXW3" s="120"/>
      <c r="RXX3" s="120"/>
      <c r="RXY3" s="120"/>
      <c r="RXZ3" s="120"/>
      <c r="RYA3" s="120"/>
      <c r="RYB3" s="120"/>
      <c r="RYC3" s="120"/>
      <c r="RYD3" s="120"/>
      <c r="RYE3" s="120"/>
      <c r="RYF3" s="120"/>
      <c r="RYG3" s="120"/>
      <c r="RYH3" s="120"/>
      <c r="RYI3" s="120"/>
      <c r="RYJ3" s="120"/>
      <c r="RYK3" s="120"/>
      <c r="RYL3" s="120"/>
      <c r="RYM3" s="120"/>
      <c r="RYN3" s="120"/>
      <c r="RYO3" s="120"/>
      <c r="RYP3" s="120"/>
      <c r="RYQ3" s="120"/>
      <c r="RYR3" s="120"/>
      <c r="RYS3" s="120"/>
      <c r="RYT3" s="120"/>
      <c r="RYU3" s="120"/>
      <c r="RYV3" s="120"/>
      <c r="RYW3" s="120"/>
      <c r="RYX3" s="120"/>
      <c r="RYY3" s="120"/>
      <c r="RYZ3" s="120"/>
      <c r="RZA3" s="120"/>
      <c r="RZB3" s="120"/>
      <c r="RZC3" s="120"/>
      <c r="RZD3" s="120"/>
      <c r="RZE3" s="120"/>
      <c r="RZF3" s="120"/>
      <c r="RZG3" s="120"/>
      <c r="RZH3" s="120"/>
      <c r="RZI3" s="120"/>
      <c r="RZJ3" s="120"/>
      <c r="RZK3" s="120"/>
      <c r="RZL3" s="120"/>
      <c r="RZM3" s="120"/>
      <c r="RZN3" s="120"/>
      <c r="RZO3" s="120"/>
      <c r="RZP3" s="120"/>
      <c r="RZQ3" s="120"/>
      <c r="RZR3" s="120"/>
      <c r="RZS3" s="120"/>
      <c r="RZT3" s="120"/>
      <c r="RZU3" s="120"/>
      <c r="RZV3" s="120"/>
      <c r="RZW3" s="120"/>
      <c r="RZX3" s="120"/>
      <c r="RZY3" s="120"/>
      <c r="RZZ3" s="120"/>
      <c r="SAA3" s="120"/>
      <c r="SAB3" s="120"/>
      <c r="SAC3" s="120"/>
      <c r="SAD3" s="120"/>
      <c r="SAE3" s="120"/>
      <c r="SAF3" s="120"/>
      <c r="SAG3" s="120"/>
      <c r="SAH3" s="120"/>
      <c r="SAI3" s="120"/>
      <c r="SAJ3" s="120"/>
      <c r="SAK3" s="120"/>
      <c r="SAL3" s="120"/>
      <c r="SAM3" s="120"/>
      <c r="SAN3" s="120"/>
      <c r="SAO3" s="120"/>
      <c r="SAP3" s="120"/>
      <c r="SAQ3" s="120"/>
      <c r="SAR3" s="120"/>
      <c r="SAS3" s="120"/>
      <c r="SAT3" s="120"/>
      <c r="SAU3" s="120"/>
      <c r="SAV3" s="120"/>
      <c r="SAW3" s="120"/>
      <c r="SAX3" s="120"/>
      <c r="SAY3" s="120"/>
      <c r="SAZ3" s="120"/>
      <c r="SBA3" s="120"/>
      <c r="SBB3" s="120"/>
      <c r="SBC3" s="120"/>
      <c r="SBD3" s="120"/>
      <c r="SBE3" s="120"/>
      <c r="SBF3" s="120"/>
      <c r="SBG3" s="120"/>
      <c r="SBH3" s="120"/>
      <c r="SBI3" s="120"/>
      <c r="SBJ3" s="120"/>
      <c r="SBK3" s="120"/>
      <c r="SBL3" s="120"/>
      <c r="SBM3" s="120"/>
      <c r="SBN3" s="120"/>
      <c r="SBO3" s="120"/>
      <c r="SBP3" s="120"/>
      <c r="SBQ3" s="120"/>
      <c r="SBR3" s="120"/>
      <c r="SBS3" s="120"/>
      <c r="SBT3" s="120"/>
      <c r="SBU3" s="120"/>
      <c r="SBV3" s="120"/>
      <c r="SBW3" s="120"/>
      <c r="SBX3" s="120"/>
      <c r="SBY3" s="120"/>
      <c r="SBZ3" s="120"/>
      <c r="SCA3" s="120"/>
      <c r="SCB3" s="120"/>
      <c r="SCC3" s="120"/>
      <c r="SCD3" s="120"/>
      <c r="SCE3" s="120"/>
      <c r="SCF3" s="120"/>
      <c r="SCG3" s="120"/>
      <c r="SCH3" s="120"/>
      <c r="SCI3" s="120"/>
      <c r="SCJ3" s="120"/>
      <c r="SCK3" s="120"/>
      <c r="SCL3" s="120"/>
      <c r="SCM3" s="120"/>
      <c r="SCN3" s="120"/>
      <c r="SCO3" s="120"/>
      <c r="SCP3" s="120"/>
      <c r="SCQ3" s="120"/>
      <c r="SCR3" s="120"/>
      <c r="SCS3" s="120"/>
      <c r="SCT3" s="120"/>
      <c r="SCU3" s="120"/>
      <c r="SCV3" s="120"/>
      <c r="SCW3" s="120"/>
      <c r="SCX3" s="120"/>
      <c r="SCY3" s="120"/>
      <c r="SCZ3" s="120"/>
      <c r="SDA3" s="120"/>
      <c r="SDB3" s="120"/>
      <c r="SDC3" s="120"/>
      <c r="SDD3" s="120"/>
      <c r="SDE3" s="120"/>
      <c r="SDF3" s="120"/>
      <c r="SDG3" s="120"/>
      <c r="SDH3" s="120"/>
      <c r="SDI3" s="120"/>
      <c r="SDJ3" s="120"/>
      <c r="SDK3" s="120"/>
      <c r="SDL3" s="120"/>
      <c r="SDM3" s="120"/>
      <c r="SDN3" s="120"/>
      <c r="SDO3" s="120"/>
      <c r="SDP3" s="120"/>
      <c r="SDQ3" s="120"/>
      <c r="SDR3" s="120"/>
      <c r="SDS3" s="120"/>
      <c r="SDT3" s="120"/>
      <c r="SDU3" s="120"/>
      <c r="SDV3" s="120"/>
      <c r="SDW3" s="120"/>
      <c r="SDX3" s="120"/>
      <c r="SDY3" s="120"/>
      <c r="SDZ3" s="120"/>
      <c r="SEA3" s="120"/>
      <c r="SEB3" s="120"/>
      <c r="SEC3" s="120"/>
      <c r="SED3" s="120"/>
      <c r="SEE3" s="120"/>
      <c r="SEF3" s="120"/>
      <c r="SEG3" s="120"/>
      <c r="SEH3" s="120"/>
      <c r="SEI3" s="120"/>
      <c r="SEJ3" s="120"/>
      <c r="SEK3" s="120"/>
      <c r="SEL3" s="120"/>
      <c r="SEM3" s="120"/>
      <c r="SEN3" s="120"/>
      <c r="SEO3" s="120"/>
      <c r="SEP3" s="120"/>
      <c r="SEQ3" s="120"/>
      <c r="SER3" s="120"/>
      <c r="SES3" s="120"/>
      <c r="SET3" s="120"/>
      <c r="SEU3" s="120"/>
      <c r="SEV3" s="120"/>
      <c r="SEW3" s="120"/>
      <c r="SEX3" s="120"/>
      <c r="SEY3" s="120"/>
      <c r="SEZ3" s="120"/>
      <c r="SFA3" s="120"/>
      <c r="SFB3" s="120"/>
      <c r="SFC3" s="120"/>
      <c r="SFD3" s="120"/>
      <c r="SFE3" s="120"/>
      <c r="SFF3" s="120"/>
      <c r="SFG3" s="120"/>
      <c r="SFH3" s="120"/>
      <c r="SFI3" s="120"/>
      <c r="SFJ3" s="120"/>
      <c r="SFK3" s="120"/>
      <c r="SFL3" s="120"/>
      <c r="SFM3" s="120"/>
      <c r="SFN3" s="120"/>
      <c r="SFO3" s="120"/>
      <c r="SFP3" s="120"/>
      <c r="SFQ3" s="120"/>
      <c r="SFR3" s="120"/>
      <c r="SFS3" s="120"/>
      <c r="SFT3" s="120"/>
      <c r="SFU3" s="120"/>
      <c r="SFV3" s="120"/>
      <c r="SFW3" s="120"/>
      <c r="SFX3" s="120"/>
      <c r="SFY3" s="120"/>
      <c r="SFZ3" s="120"/>
      <c r="SGA3" s="120"/>
      <c r="SGB3" s="120"/>
      <c r="SGC3" s="120"/>
      <c r="SGD3" s="120"/>
      <c r="SGE3" s="120"/>
      <c r="SGF3" s="120"/>
      <c r="SGG3" s="120"/>
      <c r="SGH3" s="120"/>
      <c r="SGI3" s="120"/>
      <c r="SGJ3" s="120"/>
      <c r="SGK3" s="120"/>
      <c r="SGL3" s="120"/>
      <c r="SGM3" s="120"/>
      <c r="SGN3" s="120"/>
      <c r="SGO3" s="120"/>
      <c r="SGP3" s="120"/>
      <c r="SGQ3" s="120"/>
      <c r="SGR3" s="120"/>
      <c r="SGS3" s="120"/>
      <c r="SGT3" s="120"/>
      <c r="SGU3" s="120"/>
      <c r="SGV3" s="120"/>
      <c r="SGW3" s="120"/>
      <c r="SGX3" s="120"/>
      <c r="SGY3" s="120"/>
      <c r="SGZ3" s="120"/>
      <c r="SHA3" s="120"/>
      <c r="SHB3" s="120"/>
      <c r="SHC3" s="120"/>
      <c r="SHD3" s="120"/>
      <c r="SHE3" s="120"/>
      <c r="SHF3" s="120"/>
      <c r="SHG3" s="120"/>
      <c r="SHH3" s="120"/>
      <c r="SHI3" s="120"/>
      <c r="SHJ3" s="120"/>
      <c r="SHK3" s="120"/>
      <c r="SHL3" s="120"/>
      <c r="SHM3" s="120"/>
      <c r="SHN3" s="120"/>
      <c r="SHO3" s="120"/>
      <c r="SHP3" s="120"/>
      <c r="SHQ3" s="120"/>
      <c r="SHR3" s="120"/>
      <c r="SHS3" s="120"/>
      <c r="SHT3" s="120"/>
      <c r="SHU3" s="120"/>
      <c r="SHV3" s="120"/>
      <c r="SHW3" s="120"/>
      <c r="SHX3" s="120"/>
      <c r="SHY3" s="120"/>
      <c r="SHZ3" s="120"/>
      <c r="SIA3" s="120"/>
      <c r="SIB3" s="120"/>
      <c r="SIC3" s="120"/>
      <c r="SID3" s="120"/>
      <c r="SIE3" s="120"/>
      <c r="SIF3" s="120"/>
      <c r="SIG3" s="120"/>
      <c r="SIH3" s="120"/>
      <c r="SII3" s="120"/>
      <c r="SIJ3" s="120"/>
      <c r="SIK3" s="120"/>
      <c r="SIL3" s="120"/>
      <c r="SIM3" s="120"/>
      <c r="SIN3" s="120"/>
      <c r="SIO3" s="120"/>
      <c r="SIP3" s="120"/>
      <c r="SIQ3" s="120"/>
      <c r="SIR3" s="120"/>
      <c r="SIS3" s="120"/>
      <c r="SIT3" s="120"/>
      <c r="SIU3" s="120"/>
      <c r="SIV3" s="120"/>
      <c r="SIW3" s="120"/>
      <c r="SIX3" s="120"/>
      <c r="SIY3" s="120"/>
      <c r="SIZ3" s="120"/>
      <c r="SJA3" s="120"/>
      <c r="SJB3" s="120"/>
      <c r="SJC3" s="120"/>
      <c r="SJD3" s="120"/>
      <c r="SJE3" s="120"/>
      <c r="SJF3" s="120"/>
      <c r="SJG3" s="120"/>
      <c r="SJH3" s="120"/>
      <c r="SJI3" s="120"/>
      <c r="SJJ3" s="120"/>
      <c r="SJK3" s="120"/>
      <c r="SJL3" s="120"/>
      <c r="SJM3" s="120"/>
      <c r="SJN3" s="120"/>
      <c r="SJO3" s="120"/>
      <c r="SJP3" s="120"/>
      <c r="SJQ3" s="120"/>
      <c r="SJR3" s="120"/>
      <c r="SJS3" s="120"/>
      <c r="SJT3" s="120"/>
      <c r="SJU3" s="120"/>
      <c r="SJV3" s="120"/>
      <c r="SJW3" s="120"/>
      <c r="SJX3" s="120"/>
      <c r="SJY3" s="120"/>
      <c r="SJZ3" s="120"/>
      <c r="SKA3" s="120"/>
      <c r="SKB3" s="120"/>
      <c r="SKC3" s="120"/>
      <c r="SKD3" s="120"/>
      <c r="SKE3" s="120"/>
      <c r="SKF3" s="120"/>
      <c r="SKG3" s="120"/>
      <c r="SKH3" s="120"/>
      <c r="SKI3" s="120"/>
      <c r="SKJ3" s="120"/>
      <c r="SKK3" s="120"/>
      <c r="SKL3" s="120"/>
      <c r="SKM3" s="120"/>
      <c r="SKN3" s="120"/>
      <c r="SKO3" s="120"/>
      <c r="SKP3" s="120"/>
      <c r="SKQ3" s="120"/>
      <c r="SKR3" s="120"/>
      <c r="SKS3" s="120"/>
      <c r="SKT3" s="120"/>
      <c r="SKU3" s="120"/>
      <c r="SKV3" s="120"/>
      <c r="SKW3" s="120"/>
      <c r="SKX3" s="120"/>
      <c r="SKY3" s="120"/>
      <c r="SKZ3" s="120"/>
      <c r="SLA3" s="120"/>
      <c r="SLB3" s="120"/>
      <c r="SLC3" s="120"/>
      <c r="SLD3" s="120"/>
      <c r="SLE3" s="120"/>
      <c r="SLF3" s="120"/>
      <c r="SLG3" s="120"/>
      <c r="SLH3" s="120"/>
      <c r="SLI3" s="120"/>
      <c r="SLJ3" s="120"/>
      <c r="SLK3" s="120"/>
      <c r="SLL3" s="120"/>
      <c r="SLM3" s="120"/>
      <c r="SLN3" s="120"/>
      <c r="SLO3" s="120"/>
      <c r="SLP3" s="120"/>
      <c r="SLQ3" s="120"/>
      <c r="SLR3" s="120"/>
      <c r="SLS3" s="120"/>
      <c r="SLT3" s="120"/>
      <c r="SLU3" s="120"/>
      <c r="SLV3" s="120"/>
      <c r="SLW3" s="120"/>
      <c r="SLX3" s="120"/>
      <c r="SLY3" s="120"/>
      <c r="SLZ3" s="120"/>
      <c r="SMA3" s="120"/>
      <c r="SMB3" s="120"/>
      <c r="SMC3" s="120"/>
      <c r="SMD3" s="120"/>
      <c r="SME3" s="120"/>
      <c r="SMF3" s="120"/>
      <c r="SMG3" s="120"/>
      <c r="SMH3" s="120"/>
      <c r="SMI3" s="120"/>
      <c r="SMJ3" s="120"/>
      <c r="SMK3" s="120"/>
      <c r="SML3" s="120"/>
      <c r="SMM3" s="120"/>
      <c r="SMN3" s="120"/>
      <c r="SMO3" s="120"/>
      <c r="SMP3" s="120"/>
      <c r="SMQ3" s="120"/>
      <c r="SMR3" s="120"/>
      <c r="SMS3" s="120"/>
      <c r="SMT3" s="120"/>
      <c r="SMU3" s="120"/>
      <c r="SMV3" s="120"/>
      <c r="SMW3" s="120"/>
      <c r="SMX3" s="120"/>
      <c r="SMY3" s="120"/>
      <c r="SMZ3" s="120"/>
      <c r="SNA3" s="120"/>
      <c r="SNB3" s="120"/>
      <c r="SNC3" s="120"/>
      <c r="SND3" s="120"/>
      <c r="SNE3" s="120"/>
      <c r="SNF3" s="120"/>
      <c r="SNG3" s="120"/>
      <c r="SNH3" s="120"/>
      <c r="SNI3" s="120"/>
      <c r="SNJ3" s="120"/>
      <c r="SNK3" s="120"/>
      <c r="SNL3" s="120"/>
      <c r="SNM3" s="120"/>
      <c r="SNN3" s="120"/>
      <c r="SNO3" s="120"/>
      <c r="SNP3" s="120"/>
      <c r="SNQ3" s="120"/>
      <c r="SNR3" s="120"/>
      <c r="SNS3" s="120"/>
      <c r="SNT3" s="120"/>
      <c r="SNU3" s="120"/>
      <c r="SNV3" s="120"/>
      <c r="SNW3" s="120"/>
      <c r="SNX3" s="120"/>
      <c r="SNY3" s="120"/>
      <c r="SNZ3" s="120"/>
      <c r="SOA3" s="120"/>
      <c r="SOB3" s="120"/>
      <c r="SOC3" s="120"/>
      <c r="SOD3" s="120"/>
      <c r="SOE3" s="120"/>
      <c r="SOF3" s="120"/>
      <c r="SOG3" s="120"/>
      <c r="SOH3" s="120"/>
      <c r="SOI3" s="120"/>
      <c r="SOJ3" s="120"/>
      <c r="SOK3" s="120"/>
      <c r="SOL3" s="120"/>
      <c r="SOM3" s="120"/>
      <c r="SON3" s="120"/>
      <c r="SOO3" s="120"/>
      <c r="SOP3" s="120"/>
      <c r="SOQ3" s="120"/>
      <c r="SOR3" s="120"/>
      <c r="SOS3" s="120"/>
      <c r="SOT3" s="120"/>
      <c r="SOU3" s="120"/>
      <c r="SOV3" s="120"/>
      <c r="SOW3" s="120"/>
      <c r="SOX3" s="120"/>
      <c r="SOY3" s="120"/>
      <c r="SOZ3" s="120"/>
      <c r="SPA3" s="120"/>
      <c r="SPB3" s="120"/>
      <c r="SPC3" s="120"/>
      <c r="SPD3" s="120"/>
      <c r="SPE3" s="120"/>
      <c r="SPF3" s="120"/>
      <c r="SPG3" s="120"/>
      <c r="SPH3" s="120"/>
      <c r="SPI3" s="120"/>
      <c r="SPJ3" s="120"/>
      <c r="SPK3" s="120"/>
      <c r="SPL3" s="120"/>
      <c r="SPM3" s="120"/>
      <c r="SPN3" s="120"/>
      <c r="SPO3" s="120"/>
      <c r="SPP3" s="120"/>
      <c r="SPQ3" s="120"/>
      <c r="SPR3" s="120"/>
      <c r="SPS3" s="120"/>
      <c r="SPT3" s="120"/>
      <c r="SPU3" s="120"/>
      <c r="SPV3" s="120"/>
      <c r="SPW3" s="120"/>
      <c r="SPX3" s="120"/>
      <c r="SPY3" s="120"/>
      <c r="SPZ3" s="120"/>
      <c r="SQA3" s="120"/>
      <c r="SQB3" s="120"/>
      <c r="SQC3" s="120"/>
      <c r="SQD3" s="120"/>
      <c r="SQE3" s="120"/>
      <c r="SQF3" s="120"/>
      <c r="SQG3" s="120"/>
      <c r="SQH3" s="120"/>
      <c r="SQI3" s="120"/>
      <c r="SQJ3" s="120"/>
      <c r="SQK3" s="120"/>
      <c r="SQL3" s="120"/>
      <c r="SQM3" s="120"/>
      <c r="SQN3" s="120"/>
      <c r="SQO3" s="120"/>
      <c r="SQP3" s="120"/>
      <c r="SQQ3" s="120"/>
      <c r="SQR3" s="120"/>
      <c r="SQS3" s="120"/>
      <c r="SQT3" s="120"/>
      <c r="SQU3" s="120"/>
      <c r="SQV3" s="120"/>
      <c r="SQW3" s="120"/>
      <c r="SQX3" s="120"/>
      <c r="SQY3" s="120"/>
      <c r="SQZ3" s="120"/>
      <c r="SRA3" s="120"/>
      <c r="SRB3" s="120"/>
      <c r="SRC3" s="120"/>
      <c r="SRD3" s="120"/>
      <c r="SRE3" s="120"/>
      <c r="SRF3" s="120"/>
      <c r="SRG3" s="120"/>
      <c r="SRH3" s="120"/>
      <c r="SRI3" s="120"/>
      <c r="SRJ3" s="120"/>
      <c r="SRK3" s="120"/>
      <c r="SRL3" s="120"/>
      <c r="SRM3" s="120"/>
      <c r="SRN3" s="120"/>
      <c r="SRO3" s="120"/>
      <c r="SRP3" s="120"/>
      <c r="SRQ3" s="120"/>
      <c r="SRR3" s="120"/>
      <c r="SRS3" s="120"/>
      <c r="SRT3" s="120"/>
      <c r="SRU3" s="120"/>
      <c r="SRV3" s="120"/>
      <c r="SRW3" s="120"/>
      <c r="SRX3" s="120"/>
      <c r="SRY3" s="120"/>
      <c r="SRZ3" s="120"/>
      <c r="SSA3" s="120"/>
      <c r="SSB3" s="120"/>
      <c r="SSC3" s="120"/>
      <c r="SSD3" s="120"/>
      <c r="SSE3" s="120"/>
      <c r="SSF3" s="120"/>
      <c r="SSG3" s="120"/>
      <c r="SSH3" s="120"/>
      <c r="SSI3" s="120"/>
      <c r="SSJ3" s="120"/>
      <c r="SSK3" s="120"/>
      <c r="SSL3" s="120"/>
      <c r="SSM3" s="120"/>
      <c r="SSN3" s="120"/>
      <c r="SSO3" s="120"/>
      <c r="SSP3" s="120"/>
      <c r="SSQ3" s="120"/>
      <c r="SSR3" s="120"/>
      <c r="SSS3" s="120"/>
      <c r="SST3" s="120"/>
      <c r="SSU3" s="120"/>
      <c r="SSV3" s="120"/>
      <c r="SSW3" s="120"/>
      <c r="SSX3" s="120"/>
      <c r="SSY3" s="120"/>
      <c r="SSZ3" s="120"/>
      <c r="STA3" s="120"/>
      <c r="STB3" s="120"/>
      <c r="STC3" s="120"/>
      <c r="STD3" s="120"/>
      <c r="STE3" s="120"/>
      <c r="STF3" s="120"/>
      <c r="STG3" s="120"/>
      <c r="STH3" s="120"/>
      <c r="STI3" s="120"/>
      <c r="STJ3" s="120"/>
      <c r="STK3" s="120"/>
      <c r="STL3" s="120"/>
      <c r="STM3" s="120"/>
      <c r="STN3" s="120"/>
      <c r="STO3" s="120"/>
      <c r="STP3" s="120"/>
      <c r="STQ3" s="120"/>
      <c r="STR3" s="120"/>
      <c r="STS3" s="120"/>
      <c r="STT3" s="120"/>
      <c r="STU3" s="120"/>
      <c r="STV3" s="120"/>
      <c r="STW3" s="120"/>
      <c r="STX3" s="120"/>
      <c r="STY3" s="120"/>
      <c r="STZ3" s="120"/>
      <c r="SUA3" s="120"/>
      <c r="SUB3" s="120"/>
      <c r="SUC3" s="120"/>
      <c r="SUD3" s="120"/>
      <c r="SUE3" s="120"/>
      <c r="SUF3" s="120"/>
      <c r="SUG3" s="120"/>
      <c r="SUH3" s="120"/>
      <c r="SUI3" s="120"/>
      <c r="SUJ3" s="120"/>
      <c r="SUK3" s="120"/>
      <c r="SUL3" s="120"/>
      <c r="SUM3" s="120"/>
      <c r="SUN3" s="120"/>
      <c r="SUO3" s="120"/>
      <c r="SUP3" s="120"/>
      <c r="SUQ3" s="120"/>
      <c r="SUR3" s="120"/>
      <c r="SUS3" s="120"/>
      <c r="SUT3" s="120"/>
      <c r="SUU3" s="120"/>
      <c r="SUV3" s="120"/>
      <c r="SUW3" s="120"/>
      <c r="SUX3" s="120"/>
      <c r="SUY3" s="120"/>
      <c r="SUZ3" s="120"/>
      <c r="SVA3" s="120"/>
      <c r="SVB3" s="120"/>
      <c r="SVC3" s="120"/>
      <c r="SVD3" s="120"/>
      <c r="SVE3" s="120"/>
      <c r="SVF3" s="120"/>
      <c r="SVG3" s="120"/>
      <c r="SVH3" s="120"/>
      <c r="SVI3" s="120"/>
      <c r="SVJ3" s="120"/>
      <c r="SVK3" s="120"/>
      <c r="SVL3" s="120"/>
      <c r="SVM3" s="120"/>
      <c r="SVN3" s="120"/>
      <c r="SVO3" s="120"/>
      <c r="SVP3" s="120"/>
      <c r="SVQ3" s="120"/>
      <c r="SVR3" s="120"/>
      <c r="SVS3" s="120"/>
      <c r="SVT3" s="120"/>
      <c r="SVU3" s="120"/>
      <c r="SVV3" s="120"/>
      <c r="SVW3" s="120"/>
      <c r="SVX3" s="120"/>
      <c r="SVY3" s="120"/>
      <c r="SVZ3" s="120"/>
      <c r="SWA3" s="120"/>
      <c r="SWB3" s="120"/>
      <c r="SWC3" s="120"/>
      <c r="SWD3" s="120"/>
      <c r="SWE3" s="120"/>
      <c r="SWF3" s="120"/>
      <c r="SWG3" s="120"/>
      <c r="SWH3" s="120"/>
      <c r="SWI3" s="120"/>
      <c r="SWJ3" s="120"/>
      <c r="SWK3" s="120"/>
      <c r="SWL3" s="120"/>
      <c r="SWM3" s="120"/>
      <c r="SWN3" s="120"/>
      <c r="SWO3" s="120"/>
      <c r="SWP3" s="120"/>
      <c r="SWQ3" s="120"/>
      <c r="SWR3" s="120"/>
      <c r="SWS3" s="120"/>
      <c r="SWT3" s="120"/>
      <c r="SWU3" s="120"/>
      <c r="SWV3" s="120"/>
      <c r="SWW3" s="120"/>
      <c r="SWX3" s="120"/>
      <c r="SWY3" s="120"/>
      <c r="SWZ3" s="120"/>
      <c r="SXA3" s="120"/>
      <c r="SXB3" s="120"/>
      <c r="SXC3" s="120"/>
      <c r="SXD3" s="120"/>
      <c r="SXE3" s="120"/>
      <c r="SXF3" s="120"/>
      <c r="SXG3" s="120"/>
      <c r="SXH3" s="120"/>
      <c r="SXI3" s="120"/>
      <c r="SXJ3" s="120"/>
      <c r="SXK3" s="120"/>
      <c r="SXL3" s="120"/>
      <c r="SXM3" s="120"/>
      <c r="SXN3" s="120"/>
      <c r="SXO3" s="120"/>
      <c r="SXP3" s="120"/>
      <c r="SXQ3" s="120"/>
      <c r="SXR3" s="120"/>
      <c r="SXS3" s="120"/>
      <c r="SXT3" s="120"/>
      <c r="SXU3" s="120"/>
      <c r="SXV3" s="120"/>
      <c r="SXW3" s="120"/>
      <c r="SXX3" s="120"/>
      <c r="SXY3" s="120"/>
      <c r="SXZ3" s="120"/>
      <c r="SYA3" s="120"/>
      <c r="SYB3" s="120"/>
      <c r="SYC3" s="120"/>
      <c r="SYD3" s="120"/>
      <c r="SYE3" s="120"/>
      <c r="SYF3" s="120"/>
      <c r="SYG3" s="120"/>
      <c r="SYH3" s="120"/>
      <c r="SYI3" s="120"/>
      <c r="SYJ3" s="120"/>
      <c r="SYK3" s="120"/>
      <c r="SYL3" s="120"/>
      <c r="SYM3" s="120"/>
      <c r="SYN3" s="120"/>
      <c r="SYO3" s="120"/>
      <c r="SYP3" s="120"/>
      <c r="SYQ3" s="120"/>
      <c r="SYR3" s="120"/>
      <c r="SYS3" s="120"/>
      <c r="SYT3" s="120"/>
      <c r="SYU3" s="120"/>
      <c r="SYV3" s="120"/>
      <c r="SYW3" s="120"/>
      <c r="SYX3" s="120"/>
      <c r="SYY3" s="120"/>
      <c r="SYZ3" s="120"/>
      <c r="SZA3" s="120"/>
      <c r="SZB3" s="120"/>
      <c r="SZC3" s="120"/>
      <c r="SZD3" s="120"/>
      <c r="SZE3" s="120"/>
      <c r="SZF3" s="120"/>
      <c r="SZG3" s="120"/>
      <c r="SZH3" s="120"/>
      <c r="SZI3" s="120"/>
      <c r="SZJ3" s="120"/>
      <c r="SZK3" s="120"/>
      <c r="SZL3" s="120"/>
      <c r="SZM3" s="120"/>
      <c r="SZN3" s="120"/>
      <c r="SZO3" s="120"/>
      <c r="SZP3" s="120"/>
      <c r="SZQ3" s="120"/>
      <c r="SZR3" s="120"/>
      <c r="SZS3" s="120"/>
      <c r="SZT3" s="120"/>
      <c r="SZU3" s="120"/>
      <c r="SZV3" s="120"/>
      <c r="SZW3" s="120"/>
      <c r="SZX3" s="120"/>
      <c r="SZY3" s="120"/>
      <c r="SZZ3" s="120"/>
      <c r="TAA3" s="120"/>
      <c r="TAB3" s="120"/>
      <c r="TAC3" s="120"/>
      <c r="TAD3" s="120"/>
      <c r="TAE3" s="120"/>
      <c r="TAF3" s="120"/>
      <c r="TAG3" s="120"/>
      <c r="TAH3" s="120"/>
      <c r="TAI3" s="120"/>
      <c r="TAJ3" s="120"/>
      <c r="TAK3" s="120"/>
      <c r="TAL3" s="120"/>
      <c r="TAM3" s="120"/>
      <c r="TAN3" s="120"/>
      <c r="TAO3" s="120"/>
      <c r="TAP3" s="120"/>
      <c r="TAQ3" s="120"/>
      <c r="TAR3" s="120"/>
      <c r="TAS3" s="120"/>
      <c r="TAT3" s="120"/>
      <c r="TAU3" s="120"/>
      <c r="TAV3" s="120"/>
      <c r="TAW3" s="120"/>
      <c r="TAX3" s="120"/>
      <c r="TAY3" s="120"/>
      <c r="TAZ3" s="120"/>
      <c r="TBA3" s="120"/>
      <c r="TBB3" s="120"/>
      <c r="TBC3" s="120"/>
      <c r="TBD3" s="120"/>
      <c r="TBE3" s="120"/>
      <c r="TBF3" s="120"/>
      <c r="TBG3" s="120"/>
      <c r="TBH3" s="120"/>
      <c r="TBI3" s="120"/>
      <c r="TBJ3" s="120"/>
      <c r="TBK3" s="120"/>
      <c r="TBL3" s="120"/>
      <c r="TBM3" s="120"/>
      <c r="TBN3" s="120"/>
      <c r="TBO3" s="120"/>
      <c r="TBP3" s="120"/>
      <c r="TBQ3" s="120"/>
      <c r="TBR3" s="120"/>
      <c r="TBS3" s="120"/>
      <c r="TBT3" s="120"/>
      <c r="TBU3" s="120"/>
      <c r="TBV3" s="120"/>
      <c r="TBW3" s="120"/>
      <c r="TBX3" s="120"/>
      <c r="TBY3" s="120"/>
      <c r="TBZ3" s="120"/>
      <c r="TCA3" s="120"/>
      <c r="TCB3" s="120"/>
      <c r="TCC3" s="120"/>
      <c r="TCD3" s="120"/>
      <c r="TCE3" s="120"/>
      <c r="TCF3" s="120"/>
      <c r="TCG3" s="120"/>
      <c r="TCH3" s="120"/>
      <c r="TCI3" s="120"/>
      <c r="TCJ3" s="120"/>
      <c r="TCK3" s="120"/>
      <c r="TCL3" s="120"/>
      <c r="TCM3" s="120"/>
      <c r="TCN3" s="120"/>
      <c r="TCO3" s="120"/>
      <c r="TCP3" s="120"/>
      <c r="TCQ3" s="120"/>
      <c r="TCR3" s="120"/>
      <c r="TCS3" s="120"/>
      <c r="TCT3" s="120"/>
      <c r="TCU3" s="120"/>
      <c r="TCV3" s="120"/>
      <c r="TCW3" s="120"/>
      <c r="TCX3" s="120"/>
      <c r="TCY3" s="120"/>
      <c r="TCZ3" s="120"/>
      <c r="TDA3" s="120"/>
      <c r="TDB3" s="120"/>
      <c r="TDC3" s="120"/>
      <c r="TDD3" s="120"/>
      <c r="TDE3" s="120"/>
      <c r="TDF3" s="120"/>
      <c r="TDG3" s="120"/>
      <c r="TDH3" s="120"/>
      <c r="TDI3" s="120"/>
      <c r="TDJ3" s="120"/>
      <c r="TDK3" s="120"/>
      <c r="TDL3" s="120"/>
      <c r="TDM3" s="120"/>
      <c r="TDN3" s="120"/>
      <c r="TDO3" s="120"/>
      <c r="TDP3" s="120"/>
      <c r="TDQ3" s="120"/>
      <c r="TDR3" s="120"/>
      <c r="TDS3" s="120"/>
      <c r="TDT3" s="120"/>
      <c r="TDU3" s="120"/>
      <c r="TDV3" s="120"/>
      <c r="TDW3" s="120"/>
      <c r="TDX3" s="120"/>
      <c r="TDY3" s="120"/>
      <c r="TDZ3" s="120"/>
      <c r="TEA3" s="120"/>
      <c r="TEB3" s="120"/>
      <c r="TEC3" s="120"/>
      <c r="TED3" s="120"/>
      <c r="TEE3" s="120"/>
      <c r="TEF3" s="120"/>
      <c r="TEG3" s="120"/>
      <c r="TEH3" s="120"/>
      <c r="TEI3" s="120"/>
      <c r="TEJ3" s="120"/>
      <c r="TEK3" s="120"/>
      <c r="TEL3" s="120"/>
      <c r="TEM3" s="120"/>
      <c r="TEN3" s="120"/>
      <c r="TEO3" s="120"/>
      <c r="TEP3" s="120"/>
      <c r="TEQ3" s="120"/>
      <c r="TER3" s="120"/>
      <c r="TES3" s="120"/>
      <c r="TET3" s="120"/>
      <c r="TEU3" s="120"/>
      <c r="TEV3" s="120"/>
      <c r="TEW3" s="120"/>
      <c r="TEX3" s="120"/>
      <c r="TEY3" s="120"/>
      <c r="TEZ3" s="120"/>
      <c r="TFA3" s="120"/>
      <c r="TFB3" s="120"/>
      <c r="TFC3" s="120"/>
      <c r="TFD3" s="120"/>
      <c r="TFE3" s="120"/>
      <c r="TFF3" s="120"/>
      <c r="TFG3" s="120"/>
      <c r="TFH3" s="120"/>
      <c r="TFI3" s="120"/>
      <c r="TFJ3" s="120"/>
      <c r="TFK3" s="120"/>
      <c r="TFL3" s="120"/>
      <c r="TFM3" s="120"/>
      <c r="TFN3" s="120"/>
      <c r="TFO3" s="120"/>
      <c r="TFP3" s="120"/>
      <c r="TFQ3" s="120"/>
      <c r="TFR3" s="120"/>
      <c r="TFS3" s="120"/>
      <c r="TFT3" s="120"/>
      <c r="TFU3" s="120"/>
      <c r="TFV3" s="120"/>
      <c r="TFW3" s="120"/>
      <c r="TFX3" s="120"/>
      <c r="TFY3" s="120"/>
      <c r="TFZ3" s="120"/>
      <c r="TGA3" s="120"/>
      <c r="TGB3" s="120"/>
      <c r="TGC3" s="120"/>
      <c r="TGD3" s="120"/>
      <c r="TGE3" s="120"/>
      <c r="TGF3" s="120"/>
      <c r="TGG3" s="120"/>
      <c r="TGH3" s="120"/>
      <c r="TGI3" s="120"/>
      <c r="TGJ3" s="120"/>
      <c r="TGK3" s="120"/>
      <c r="TGL3" s="120"/>
      <c r="TGM3" s="120"/>
      <c r="TGN3" s="120"/>
      <c r="TGO3" s="120"/>
      <c r="TGP3" s="120"/>
      <c r="TGQ3" s="120"/>
      <c r="TGR3" s="120"/>
      <c r="TGS3" s="120"/>
      <c r="TGT3" s="120"/>
      <c r="TGU3" s="120"/>
      <c r="TGV3" s="120"/>
      <c r="TGW3" s="120"/>
      <c r="TGX3" s="120"/>
      <c r="TGY3" s="120"/>
      <c r="TGZ3" s="120"/>
      <c r="THA3" s="120"/>
      <c r="THB3" s="120"/>
      <c r="THC3" s="120"/>
      <c r="THD3" s="120"/>
      <c r="THE3" s="120"/>
      <c r="THF3" s="120"/>
      <c r="THG3" s="120"/>
      <c r="THH3" s="120"/>
      <c r="THI3" s="120"/>
      <c r="THJ3" s="120"/>
      <c r="THK3" s="120"/>
      <c r="THL3" s="120"/>
      <c r="THM3" s="120"/>
      <c r="THN3" s="120"/>
      <c r="THO3" s="120"/>
      <c r="THP3" s="120"/>
      <c r="THQ3" s="120"/>
      <c r="THR3" s="120"/>
      <c r="THS3" s="120"/>
      <c r="THT3" s="120"/>
      <c r="THU3" s="120"/>
      <c r="THV3" s="120"/>
      <c r="THW3" s="120"/>
      <c r="THX3" s="120"/>
      <c r="THY3" s="120"/>
      <c r="THZ3" s="120"/>
      <c r="TIA3" s="120"/>
      <c r="TIB3" s="120"/>
      <c r="TIC3" s="120"/>
      <c r="TID3" s="120"/>
      <c r="TIE3" s="120"/>
      <c r="TIF3" s="120"/>
      <c r="TIG3" s="120"/>
      <c r="TIH3" s="120"/>
      <c r="TII3" s="120"/>
      <c r="TIJ3" s="120"/>
      <c r="TIK3" s="120"/>
      <c r="TIL3" s="120"/>
      <c r="TIM3" s="120"/>
      <c r="TIN3" s="120"/>
      <c r="TIO3" s="120"/>
      <c r="TIP3" s="120"/>
      <c r="TIQ3" s="120"/>
      <c r="TIR3" s="120"/>
      <c r="TIS3" s="120"/>
      <c r="TIT3" s="120"/>
      <c r="TIU3" s="120"/>
      <c r="TIV3" s="120"/>
      <c r="TIW3" s="120"/>
      <c r="TIX3" s="120"/>
      <c r="TIY3" s="120"/>
      <c r="TIZ3" s="120"/>
      <c r="TJA3" s="120"/>
      <c r="TJB3" s="120"/>
      <c r="TJC3" s="120"/>
      <c r="TJD3" s="120"/>
      <c r="TJE3" s="120"/>
      <c r="TJF3" s="120"/>
      <c r="TJG3" s="120"/>
      <c r="TJH3" s="120"/>
      <c r="TJI3" s="120"/>
      <c r="TJJ3" s="120"/>
      <c r="TJK3" s="120"/>
      <c r="TJL3" s="120"/>
      <c r="TJM3" s="120"/>
      <c r="TJN3" s="120"/>
      <c r="TJO3" s="120"/>
      <c r="TJP3" s="120"/>
      <c r="TJQ3" s="120"/>
      <c r="TJR3" s="120"/>
      <c r="TJS3" s="120"/>
      <c r="TJT3" s="120"/>
      <c r="TJU3" s="120"/>
      <c r="TJV3" s="120"/>
      <c r="TJW3" s="120"/>
      <c r="TJX3" s="120"/>
      <c r="TJY3" s="120"/>
      <c r="TJZ3" s="120"/>
      <c r="TKA3" s="120"/>
      <c r="TKB3" s="120"/>
      <c r="TKC3" s="120"/>
      <c r="TKD3" s="120"/>
      <c r="TKE3" s="120"/>
      <c r="TKF3" s="120"/>
      <c r="TKG3" s="120"/>
      <c r="TKH3" s="120"/>
      <c r="TKI3" s="120"/>
      <c r="TKJ3" s="120"/>
      <c r="TKK3" s="120"/>
      <c r="TKL3" s="120"/>
      <c r="TKM3" s="120"/>
      <c r="TKN3" s="120"/>
      <c r="TKO3" s="120"/>
      <c r="TKP3" s="120"/>
      <c r="TKQ3" s="120"/>
      <c r="TKR3" s="120"/>
      <c r="TKS3" s="120"/>
      <c r="TKT3" s="120"/>
      <c r="TKU3" s="120"/>
      <c r="TKV3" s="120"/>
      <c r="TKW3" s="120"/>
      <c r="TKX3" s="120"/>
      <c r="TKY3" s="120"/>
      <c r="TKZ3" s="120"/>
      <c r="TLA3" s="120"/>
      <c r="TLB3" s="120"/>
      <c r="TLC3" s="120"/>
      <c r="TLD3" s="120"/>
      <c r="TLE3" s="120"/>
      <c r="TLF3" s="120"/>
      <c r="TLG3" s="120"/>
      <c r="TLH3" s="120"/>
      <c r="TLI3" s="120"/>
      <c r="TLJ3" s="120"/>
      <c r="TLK3" s="120"/>
      <c r="TLL3" s="120"/>
      <c r="TLM3" s="120"/>
      <c r="TLN3" s="120"/>
      <c r="TLO3" s="120"/>
      <c r="TLP3" s="120"/>
      <c r="TLQ3" s="120"/>
      <c r="TLR3" s="120"/>
      <c r="TLS3" s="120"/>
      <c r="TLT3" s="120"/>
      <c r="TLU3" s="120"/>
      <c r="TLV3" s="120"/>
      <c r="TLW3" s="120"/>
      <c r="TLX3" s="120"/>
      <c r="TLY3" s="120"/>
      <c r="TLZ3" s="120"/>
      <c r="TMA3" s="120"/>
      <c r="TMB3" s="120"/>
      <c r="TMC3" s="120"/>
      <c r="TMD3" s="120"/>
      <c r="TME3" s="120"/>
      <c r="TMF3" s="120"/>
      <c r="TMG3" s="120"/>
      <c r="TMH3" s="120"/>
      <c r="TMI3" s="120"/>
      <c r="TMJ3" s="120"/>
      <c r="TMK3" s="120"/>
      <c r="TML3" s="120"/>
      <c r="TMM3" s="120"/>
      <c r="TMN3" s="120"/>
      <c r="TMO3" s="120"/>
      <c r="TMP3" s="120"/>
      <c r="TMQ3" s="120"/>
      <c r="TMR3" s="120"/>
      <c r="TMS3" s="120"/>
      <c r="TMT3" s="120"/>
      <c r="TMU3" s="120"/>
      <c r="TMV3" s="120"/>
      <c r="TMW3" s="120"/>
      <c r="TMX3" s="120"/>
      <c r="TMY3" s="120"/>
      <c r="TMZ3" s="120"/>
      <c r="TNA3" s="120"/>
      <c r="TNB3" s="120"/>
      <c r="TNC3" s="120"/>
      <c r="TND3" s="120"/>
      <c r="TNE3" s="120"/>
      <c r="TNF3" s="120"/>
      <c r="TNG3" s="120"/>
      <c r="TNH3" s="120"/>
      <c r="TNI3" s="120"/>
      <c r="TNJ3" s="120"/>
      <c r="TNK3" s="120"/>
      <c r="TNL3" s="120"/>
      <c r="TNM3" s="120"/>
      <c r="TNN3" s="120"/>
      <c r="TNO3" s="120"/>
      <c r="TNP3" s="120"/>
      <c r="TNQ3" s="120"/>
      <c r="TNR3" s="120"/>
      <c r="TNS3" s="120"/>
      <c r="TNT3" s="120"/>
      <c r="TNU3" s="120"/>
      <c r="TNV3" s="120"/>
      <c r="TNW3" s="120"/>
      <c r="TNX3" s="120"/>
      <c r="TNY3" s="120"/>
      <c r="TNZ3" s="120"/>
      <c r="TOA3" s="120"/>
      <c r="TOB3" s="120"/>
      <c r="TOC3" s="120"/>
      <c r="TOD3" s="120"/>
      <c r="TOE3" s="120"/>
      <c r="TOF3" s="120"/>
      <c r="TOG3" s="120"/>
      <c r="TOH3" s="120"/>
      <c r="TOI3" s="120"/>
      <c r="TOJ3" s="120"/>
      <c r="TOK3" s="120"/>
      <c r="TOL3" s="120"/>
      <c r="TOM3" s="120"/>
      <c r="TON3" s="120"/>
      <c r="TOO3" s="120"/>
      <c r="TOP3" s="120"/>
      <c r="TOQ3" s="120"/>
      <c r="TOR3" s="120"/>
      <c r="TOS3" s="120"/>
      <c r="TOT3" s="120"/>
      <c r="TOU3" s="120"/>
      <c r="TOV3" s="120"/>
      <c r="TOW3" s="120"/>
      <c r="TOX3" s="120"/>
      <c r="TOY3" s="120"/>
      <c r="TOZ3" s="120"/>
      <c r="TPA3" s="120"/>
      <c r="TPB3" s="120"/>
      <c r="TPC3" s="120"/>
      <c r="TPD3" s="120"/>
      <c r="TPE3" s="120"/>
      <c r="TPF3" s="120"/>
      <c r="TPG3" s="120"/>
      <c r="TPH3" s="120"/>
      <c r="TPI3" s="120"/>
      <c r="TPJ3" s="120"/>
      <c r="TPK3" s="120"/>
      <c r="TPL3" s="120"/>
      <c r="TPM3" s="120"/>
      <c r="TPN3" s="120"/>
      <c r="TPO3" s="120"/>
      <c r="TPP3" s="120"/>
      <c r="TPQ3" s="120"/>
      <c r="TPR3" s="120"/>
      <c r="TPS3" s="120"/>
      <c r="TPT3" s="120"/>
      <c r="TPU3" s="120"/>
      <c r="TPV3" s="120"/>
      <c r="TPW3" s="120"/>
      <c r="TPX3" s="120"/>
      <c r="TPY3" s="120"/>
      <c r="TPZ3" s="120"/>
      <c r="TQA3" s="120"/>
      <c r="TQB3" s="120"/>
      <c r="TQC3" s="120"/>
      <c r="TQD3" s="120"/>
      <c r="TQE3" s="120"/>
      <c r="TQF3" s="120"/>
      <c r="TQG3" s="120"/>
      <c r="TQH3" s="120"/>
      <c r="TQI3" s="120"/>
      <c r="TQJ3" s="120"/>
      <c r="TQK3" s="120"/>
      <c r="TQL3" s="120"/>
      <c r="TQM3" s="120"/>
      <c r="TQN3" s="120"/>
      <c r="TQO3" s="120"/>
      <c r="TQP3" s="120"/>
      <c r="TQQ3" s="120"/>
      <c r="TQR3" s="120"/>
      <c r="TQS3" s="120"/>
      <c r="TQT3" s="120"/>
      <c r="TQU3" s="120"/>
      <c r="TQV3" s="120"/>
      <c r="TQW3" s="120"/>
      <c r="TQX3" s="120"/>
      <c r="TQY3" s="120"/>
      <c r="TQZ3" s="120"/>
      <c r="TRA3" s="120"/>
      <c r="TRB3" s="120"/>
      <c r="TRC3" s="120"/>
      <c r="TRD3" s="120"/>
      <c r="TRE3" s="120"/>
      <c r="TRF3" s="120"/>
      <c r="TRG3" s="120"/>
      <c r="TRH3" s="120"/>
      <c r="TRI3" s="120"/>
      <c r="TRJ3" s="120"/>
      <c r="TRK3" s="120"/>
      <c r="TRL3" s="120"/>
      <c r="TRM3" s="120"/>
      <c r="TRN3" s="120"/>
      <c r="TRO3" s="120"/>
      <c r="TRP3" s="120"/>
      <c r="TRQ3" s="120"/>
      <c r="TRR3" s="120"/>
      <c r="TRS3" s="120"/>
      <c r="TRT3" s="120"/>
      <c r="TRU3" s="120"/>
      <c r="TRV3" s="120"/>
      <c r="TRW3" s="120"/>
      <c r="TRX3" s="120"/>
      <c r="TRY3" s="120"/>
      <c r="TRZ3" s="120"/>
      <c r="TSA3" s="120"/>
      <c r="TSB3" s="120"/>
      <c r="TSC3" s="120"/>
      <c r="TSD3" s="120"/>
      <c r="TSE3" s="120"/>
      <c r="TSF3" s="120"/>
      <c r="TSG3" s="120"/>
      <c r="TSH3" s="120"/>
      <c r="TSI3" s="120"/>
      <c r="TSJ3" s="120"/>
      <c r="TSK3" s="120"/>
      <c r="TSL3" s="120"/>
      <c r="TSM3" s="120"/>
      <c r="TSN3" s="120"/>
      <c r="TSO3" s="120"/>
      <c r="TSP3" s="120"/>
      <c r="TSQ3" s="120"/>
      <c r="TSR3" s="120"/>
      <c r="TSS3" s="120"/>
      <c r="TST3" s="120"/>
      <c r="TSU3" s="120"/>
      <c r="TSV3" s="120"/>
      <c r="TSW3" s="120"/>
      <c r="TSX3" s="120"/>
      <c r="TSY3" s="120"/>
      <c r="TSZ3" s="120"/>
      <c r="TTA3" s="120"/>
      <c r="TTB3" s="120"/>
      <c r="TTC3" s="120"/>
      <c r="TTD3" s="120"/>
      <c r="TTE3" s="120"/>
      <c r="TTF3" s="120"/>
      <c r="TTG3" s="120"/>
      <c r="TTH3" s="120"/>
      <c r="TTI3" s="120"/>
      <c r="TTJ3" s="120"/>
      <c r="TTK3" s="120"/>
      <c r="TTL3" s="120"/>
      <c r="TTM3" s="120"/>
      <c r="TTN3" s="120"/>
      <c r="TTO3" s="120"/>
      <c r="TTP3" s="120"/>
      <c r="TTQ3" s="120"/>
      <c r="TTR3" s="120"/>
      <c r="TTS3" s="120"/>
      <c r="TTT3" s="120"/>
      <c r="TTU3" s="120"/>
      <c r="TTV3" s="120"/>
      <c r="TTW3" s="120"/>
      <c r="TTX3" s="120"/>
      <c r="TTY3" s="120"/>
      <c r="TTZ3" s="120"/>
      <c r="TUA3" s="120"/>
      <c r="TUB3" s="120"/>
      <c r="TUC3" s="120"/>
      <c r="TUD3" s="120"/>
      <c r="TUE3" s="120"/>
      <c r="TUF3" s="120"/>
      <c r="TUG3" s="120"/>
      <c r="TUH3" s="120"/>
      <c r="TUI3" s="120"/>
      <c r="TUJ3" s="120"/>
      <c r="TUK3" s="120"/>
      <c r="TUL3" s="120"/>
      <c r="TUM3" s="120"/>
      <c r="TUN3" s="120"/>
      <c r="TUO3" s="120"/>
      <c r="TUP3" s="120"/>
      <c r="TUQ3" s="120"/>
      <c r="TUR3" s="120"/>
      <c r="TUS3" s="120"/>
      <c r="TUT3" s="120"/>
      <c r="TUU3" s="120"/>
      <c r="TUV3" s="120"/>
      <c r="TUW3" s="120"/>
      <c r="TUX3" s="120"/>
      <c r="TUY3" s="120"/>
      <c r="TUZ3" s="120"/>
      <c r="TVA3" s="120"/>
      <c r="TVB3" s="120"/>
      <c r="TVC3" s="120"/>
      <c r="TVD3" s="120"/>
      <c r="TVE3" s="120"/>
      <c r="TVF3" s="120"/>
      <c r="TVG3" s="120"/>
      <c r="TVH3" s="120"/>
      <c r="TVI3" s="120"/>
      <c r="TVJ3" s="120"/>
      <c r="TVK3" s="120"/>
      <c r="TVL3" s="120"/>
      <c r="TVM3" s="120"/>
      <c r="TVN3" s="120"/>
      <c r="TVO3" s="120"/>
      <c r="TVP3" s="120"/>
      <c r="TVQ3" s="120"/>
      <c r="TVR3" s="120"/>
      <c r="TVS3" s="120"/>
      <c r="TVT3" s="120"/>
      <c r="TVU3" s="120"/>
      <c r="TVV3" s="120"/>
      <c r="TVW3" s="120"/>
      <c r="TVX3" s="120"/>
      <c r="TVY3" s="120"/>
      <c r="TVZ3" s="120"/>
      <c r="TWA3" s="120"/>
      <c r="TWB3" s="120"/>
      <c r="TWC3" s="120"/>
      <c r="TWD3" s="120"/>
      <c r="TWE3" s="120"/>
      <c r="TWF3" s="120"/>
      <c r="TWG3" s="120"/>
      <c r="TWH3" s="120"/>
      <c r="TWI3" s="120"/>
      <c r="TWJ3" s="120"/>
      <c r="TWK3" s="120"/>
      <c r="TWL3" s="120"/>
      <c r="TWM3" s="120"/>
      <c r="TWN3" s="120"/>
      <c r="TWO3" s="120"/>
      <c r="TWP3" s="120"/>
      <c r="TWQ3" s="120"/>
      <c r="TWR3" s="120"/>
      <c r="TWS3" s="120"/>
      <c r="TWT3" s="120"/>
      <c r="TWU3" s="120"/>
      <c r="TWV3" s="120"/>
      <c r="TWW3" s="120"/>
      <c r="TWX3" s="120"/>
      <c r="TWY3" s="120"/>
      <c r="TWZ3" s="120"/>
      <c r="TXA3" s="120"/>
      <c r="TXB3" s="120"/>
      <c r="TXC3" s="120"/>
      <c r="TXD3" s="120"/>
      <c r="TXE3" s="120"/>
      <c r="TXF3" s="120"/>
      <c r="TXG3" s="120"/>
      <c r="TXH3" s="120"/>
      <c r="TXI3" s="120"/>
      <c r="TXJ3" s="120"/>
      <c r="TXK3" s="120"/>
      <c r="TXL3" s="120"/>
      <c r="TXM3" s="120"/>
      <c r="TXN3" s="120"/>
      <c r="TXO3" s="120"/>
      <c r="TXP3" s="120"/>
      <c r="TXQ3" s="120"/>
      <c r="TXR3" s="120"/>
      <c r="TXS3" s="120"/>
      <c r="TXT3" s="120"/>
      <c r="TXU3" s="120"/>
      <c r="TXV3" s="120"/>
      <c r="TXW3" s="120"/>
      <c r="TXX3" s="120"/>
      <c r="TXY3" s="120"/>
      <c r="TXZ3" s="120"/>
      <c r="TYA3" s="120"/>
      <c r="TYB3" s="120"/>
      <c r="TYC3" s="120"/>
      <c r="TYD3" s="120"/>
      <c r="TYE3" s="120"/>
      <c r="TYF3" s="120"/>
      <c r="TYG3" s="120"/>
      <c r="TYH3" s="120"/>
      <c r="TYI3" s="120"/>
      <c r="TYJ3" s="120"/>
      <c r="TYK3" s="120"/>
      <c r="TYL3" s="120"/>
      <c r="TYM3" s="120"/>
      <c r="TYN3" s="120"/>
      <c r="TYO3" s="120"/>
      <c r="TYP3" s="120"/>
      <c r="TYQ3" s="120"/>
      <c r="TYR3" s="120"/>
      <c r="TYS3" s="120"/>
      <c r="TYT3" s="120"/>
      <c r="TYU3" s="120"/>
      <c r="TYV3" s="120"/>
      <c r="TYW3" s="120"/>
      <c r="TYX3" s="120"/>
      <c r="TYY3" s="120"/>
      <c r="TYZ3" s="120"/>
      <c r="TZA3" s="120"/>
      <c r="TZB3" s="120"/>
      <c r="TZC3" s="120"/>
      <c r="TZD3" s="120"/>
      <c r="TZE3" s="120"/>
      <c r="TZF3" s="120"/>
      <c r="TZG3" s="120"/>
      <c r="TZH3" s="120"/>
      <c r="TZI3" s="120"/>
      <c r="TZJ3" s="120"/>
      <c r="TZK3" s="120"/>
      <c r="TZL3" s="120"/>
      <c r="TZM3" s="120"/>
      <c r="TZN3" s="120"/>
      <c r="TZO3" s="120"/>
      <c r="TZP3" s="120"/>
      <c r="TZQ3" s="120"/>
      <c r="TZR3" s="120"/>
      <c r="TZS3" s="120"/>
      <c r="TZT3" s="120"/>
      <c r="TZU3" s="120"/>
      <c r="TZV3" s="120"/>
      <c r="TZW3" s="120"/>
      <c r="TZX3" s="120"/>
      <c r="TZY3" s="120"/>
      <c r="TZZ3" s="120"/>
      <c r="UAA3" s="120"/>
      <c r="UAB3" s="120"/>
      <c r="UAC3" s="120"/>
      <c r="UAD3" s="120"/>
      <c r="UAE3" s="120"/>
      <c r="UAF3" s="120"/>
      <c r="UAG3" s="120"/>
      <c r="UAH3" s="120"/>
      <c r="UAI3" s="120"/>
      <c r="UAJ3" s="120"/>
      <c r="UAK3" s="120"/>
      <c r="UAL3" s="120"/>
      <c r="UAM3" s="120"/>
      <c r="UAN3" s="120"/>
      <c r="UAO3" s="120"/>
      <c r="UAP3" s="120"/>
      <c r="UAQ3" s="120"/>
      <c r="UAR3" s="120"/>
      <c r="UAS3" s="120"/>
      <c r="UAT3" s="120"/>
      <c r="UAU3" s="120"/>
      <c r="UAV3" s="120"/>
      <c r="UAW3" s="120"/>
      <c r="UAX3" s="120"/>
      <c r="UAY3" s="120"/>
      <c r="UAZ3" s="120"/>
      <c r="UBA3" s="120"/>
      <c r="UBB3" s="120"/>
      <c r="UBC3" s="120"/>
      <c r="UBD3" s="120"/>
      <c r="UBE3" s="120"/>
      <c r="UBF3" s="120"/>
      <c r="UBG3" s="120"/>
      <c r="UBH3" s="120"/>
      <c r="UBI3" s="120"/>
      <c r="UBJ3" s="120"/>
      <c r="UBK3" s="120"/>
      <c r="UBL3" s="120"/>
      <c r="UBM3" s="120"/>
      <c r="UBN3" s="120"/>
      <c r="UBO3" s="120"/>
      <c r="UBP3" s="120"/>
      <c r="UBQ3" s="120"/>
      <c r="UBR3" s="120"/>
      <c r="UBS3" s="120"/>
      <c r="UBT3" s="120"/>
      <c r="UBU3" s="120"/>
      <c r="UBV3" s="120"/>
      <c r="UBW3" s="120"/>
      <c r="UBX3" s="120"/>
      <c r="UBY3" s="120"/>
      <c r="UBZ3" s="120"/>
      <c r="UCA3" s="120"/>
      <c r="UCB3" s="120"/>
      <c r="UCC3" s="120"/>
      <c r="UCD3" s="120"/>
      <c r="UCE3" s="120"/>
      <c r="UCF3" s="120"/>
      <c r="UCG3" s="120"/>
      <c r="UCH3" s="120"/>
      <c r="UCI3" s="120"/>
      <c r="UCJ3" s="120"/>
      <c r="UCK3" s="120"/>
      <c r="UCL3" s="120"/>
      <c r="UCM3" s="120"/>
      <c r="UCN3" s="120"/>
      <c r="UCO3" s="120"/>
      <c r="UCP3" s="120"/>
      <c r="UCQ3" s="120"/>
      <c r="UCR3" s="120"/>
      <c r="UCS3" s="120"/>
      <c r="UCT3" s="120"/>
      <c r="UCU3" s="120"/>
      <c r="UCV3" s="120"/>
      <c r="UCW3" s="120"/>
      <c r="UCX3" s="120"/>
      <c r="UCY3" s="120"/>
      <c r="UCZ3" s="120"/>
      <c r="UDA3" s="120"/>
      <c r="UDB3" s="120"/>
      <c r="UDC3" s="120"/>
      <c r="UDD3" s="120"/>
      <c r="UDE3" s="120"/>
      <c r="UDF3" s="120"/>
      <c r="UDG3" s="120"/>
      <c r="UDH3" s="120"/>
      <c r="UDI3" s="120"/>
      <c r="UDJ3" s="120"/>
      <c r="UDK3" s="120"/>
      <c r="UDL3" s="120"/>
      <c r="UDM3" s="120"/>
      <c r="UDN3" s="120"/>
      <c r="UDO3" s="120"/>
      <c r="UDP3" s="120"/>
      <c r="UDQ3" s="120"/>
      <c r="UDR3" s="120"/>
      <c r="UDS3" s="120"/>
      <c r="UDT3" s="120"/>
      <c r="UDU3" s="120"/>
      <c r="UDV3" s="120"/>
      <c r="UDW3" s="120"/>
      <c r="UDX3" s="120"/>
      <c r="UDY3" s="120"/>
      <c r="UDZ3" s="120"/>
      <c r="UEA3" s="120"/>
      <c r="UEB3" s="120"/>
      <c r="UEC3" s="120"/>
      <c r="UED3" s="120"/>
      <c r="UEE3" s="120"/>
      <c r="UEF3" s="120"/>
      <c r="UEG3" s="120"/>
      <c r="UEH3" s="120"/>
      <c r="UEI3" s="120"/>
      <c r="UEJ3" s="120"/>
      <c r="UEK3" s="120"/>
      <c r="UEL3" s="120"/>
      <c r="UEM3" s="120"/>
      <c r="UEN3" s="120"/>
      <c r="UEO3" s="120"/>
      <c r="UEP3" s="120"/>
      <c r="UEQ3" s="120"/>
      <c r="UER3" s="120"/>
      <c r="UES3" s="120"/>
      <c r="UET3" s="120"/>
      <c r="UEU3" s="120"/>
      <c r="UEV3" s="120"/>
      <c r="UEW3" s="120"/>
      <c r="UEX3" s="120"/>
      <c r="UEY3" s="120"/>
      <c r="UEZ3" s="120"/>
      <c r="UFA3" s="120"/>
      <c r="UFB3" s="120"/>
      <c r="UFC3" s="120"/>
      <c r="UFD3" s="120"/>
      <c r="UFE3" s="120"/>
      <c r="UFF3" s="120"/>
      <c r="UFG3" s="120"/>
      <c r="UFH3" s="120"/>
      <c r="UFI3" s="120"/>
      <c r="UFJ3" s="120"/>
      <c r="UFK3" s="120"/>
      <c r="UFL3" s="120"/>
      <c r="UFM3" s="120"/>
      <c r="UFN3" s="120"/>
      <c r="UFO3" s="120"/>
      <c r="UFP3" s="120"/>
      <c r="UFQ3" s="120"/>
      <c r="UFR3" s="120"/>
      <c r="UFS3" s="120"/>
      <c r="UFT3" s="120"/>
      <c r="UFU3" s="120"/>
      <c r="UFV3" s="120"/>
      <c r="UFW3" s="120"/>
      <c r="UFX3" s="120"/>
      <c r="UFY3" s="120"/>
      <c r="UFZ3" s="120"/>
      <c r="UGA3" s="120"/>
      <c r="UGB3" s="120"/>
      <c r="UGC3" s="120"/>
      <c r="UGD3" s="120"/>
      <c r="UGE3" s="120"/>
      <c r="UGF3" s="120"/>
      <c r="UGG3" s="120"/>
      <c r="UGH3" s="120"/>
      <c r="UGI3" s="120"/>
      <c r="UGJ3" s="120"/>
      <c r="UGK3" s="120"/>
      <c r="UGL3" s="120"/>
      <c r="UGM3" s="120"/>
      <c r="UGN3" s="120"/>
      <c r="UGO3" s="120"/>
      <c r="UGP3" s="120"/>
      <c r="UGQ3" s="120"/>
      <c r="UGR3" s="120"/>
      <c r="UGS3" s="120"/>
      <c r="UGT3" s="120"/>
      <c r="UGU3" s="120"/>
      <c r="UGV3" s="120"/>
      <c r="UGW3" s="120"/>
      <c r="UGX3" s="120"/>
      <c r="UGY3" s="120"/>
      <c r="UGZ3" s="120"/>
      <c r="UHA3" s="120"/>
      <c r="UHB3" s="120"/>
      <c r="UHC3" s="120"/>
      <c r="UHD3" s="120"/>
      <c r="UHE3" s="120"/>
      <c r="UHF3" s="120"/>
      <c r="UHG3" s="120"/>
      <c r="UHH3" s="120"/>
      <c r="UHI3" s="120"/>
      <c r="UHJ3" s="120"/>
      <c r="UHK3" s="120"/>
      <c r="UHL3" s="120"/>
      <c r="UHM3" s="120"/>
      <c r="UHN3" s="120"/>
      <c r="UHO3" s="120"/>
      <c r="UHP3" s="120"/>
      <c r="UHQ3" s="120"/>
      <c r="UHR3" s="120"/>
      <c r="UHS3" s="120"/>
      <c r="UHT3" s="120"/>
      <c r="UHU3" s="120"/>
      <c r="UHV3" s="120"/>
      <c r="UHW3" s="120"/>
      <c r="UHX3" s="120"/>
      <c r="UHY3" s="120"/>
      <c r="UHZ3" s="120"/>
      <c r="UIA3" s="120"/>
      <c r="UIB3" s="120"/>
      <c r="UIC3" s="120"/>
      <c r="UID3" s="120"/>
      <c r="UIE3" s="120"/>
      <c r="UIF3" s="120"/>
      <c r="UIG3" s="120"/>
      <c r="UIH3" s="120"/>
      <c r="UII3" s="120"/>
      <c r="UIJ3" s="120"/>
      <c r="UIK3" s="120"/>
      <c r="UIL3" s="120"/>
      <c r="UIM3" s="120"/>
      <c r="UIN3" s="120"/>
      <c r="UIO3" s="120"/>
      <c r="UIP3" s="120"/>
      <c r="UIQ3" s="120"/>
      <c r="UIR3" s="120"/>
      <c r="UIS3" s="120"/>
      <c r="UIT3" s="120"/>
      <c r="UIU3" s="120"/>
      <c r="UIV3" s="120"/>
      <c r="UIW3" s="120"/>
      <c r="UIX3" s="120"/>
      <c r="UIY3" s="120"/>
      <c r="UIZ3" s="120"/>
      <c r="UJA3" s="120"/>
      <c r="UJB3" s="120"/>
      <c r="UJC3" s="120"/>
      <c r="UJD3" s="120"/>
      <c r="UJE3" s="120"/>
      <c r="UJF3" s="120"/>
      <c r="UJG3" s="120"/>
      <c r="UJH3" s="120"/>
      <c r="UJI3" s="120"/>
      <c r="UJJ3" s="120"/>
      <c r="UJK3" s="120"/>
      <c r="UJL3" s="120"/>
      <c r="UJM3" s="120"/>
      <c r="UJN3" s="120"/>
      <c r="UJO3" s="120"/>
      <c r="UJP3" s="120"/>
      <c r="UJQ3" s="120"/>
      <c r="UJR3" s="120"/>
      <c r="UJS3" s="120"/>
      <c r="UJT3" s="120"/>
      <c r="UJU3" s="120"/>
      <c r="UJV3" s="120"/>
      <c r="UJW3" s="120"/>
      <c r="UJX3" s="120"/>
      <c r="UJY3" s="120"/>
      <c r="UJZ3" s="120"/>
      <c r="UKA3" s="120"/>
      <c r="UKB3" s="120"/>
      <c r="UKC3" s="120"/>
      <c r="UKD3" s="120"/>
      <c r="UKE3" s="120"/>
      <c r="UKF3" s="120"/>
      <c r="UKG3" s="120"/>
      <c r="UKH3" s="120"/>
      <c r="UKI3" s="120"/>
      <c r="UKJ3" s="120"/>
      <c r="UKK3" s="120"/>
      <c r="UKL3" s="120"/>
      <c r="UKM3" s="120"/>
      <c r="UKN3" s="120"/>
      <c r="UKO3" s="120"/>
      <c r="UKP3" s="120"/>
      <c r="UKQ3" s="120"/>
      <c r="UKR3" s="120"/>
      <c r="UKS3" s="120"/>
      <c r="UKT3" s="120"/>
      <c r="UKU3" s="120"/>
      <c r="UKV3" s="120"/>
      <c r="UKW3" s="120"/>
      <c r="UKX3" s="120"/>
      <c r="UKY3" s="120"/>
      <c r="UKZ3" s="120"/>
      <c r="ULA3" s="120"/>
      <c r="ULB3" s="120"/>
      <c r="ULC3" s="120"/>
      <c r="ULD3" s="120"/>
      <c r="ULE3" s="120"/>
      <c r="ULF3" s="120"/>
      <c r="ULG3" s="120"/>
      <c r="ULH3" s="120"/>
      <c r="ULI3" s="120"/>
      <c r="ULJ3" s="120"/>
      <c r="ULK3" s="120"/>
      <c r="ULL3" s="120"/>
      <c r="ULM3" s="120"/>
      <c r="ULN3" s="120"/>
      <c r="ULO3" s="120"/>
      <c r="ULP3" s="120"/>
      <c r="ULQ3" s="120"/>
      <c r="ULR3" s="120"/>
      <c r="ULS3" s="120"/>
      <c r="ULT3" s="120"/>
      <c r="ULU3" s="120"/>
      <c r="ULV3" s="120"/>
      <c r="ULW3" s="120"/>
      <c r="ULX3" s="120"/>
      <c r="ULY3" s="120"/>
      <c r="ULZ3" s="120"/>
      <c r="UMA3" s="120"/>
      <c r="UMB3" s="120"/>
      <c r="UMC3" s="120"/>
      <c r="UMD3" s="120"/>
      <c r="UME3" s="120"/>
      <c r="UMF3" s="120"/>
      <c r="UMG3" s="120"/>
      <c r="UMH3" s="120"/>
      <c r="UMI3" s="120"/>
      <c r="UMJ3" s="120"/>
      <c r="UMK3" s="120"/>
      <c r="UML3" s="120"/>
      <c r="UMM3" s="120"/>
      <c r="UMN3" s="120"/>
      <c r="UMO3" s="120"/>
      <c r="UMP3" s="120"/>
      <c r="UMQ3" s="120"/>
      <c r="UMR3" s="120"/>
      <c r="UMS3" s="120"/>
      <c r="UMT3" s="120"/>
      <c r="UMU3" s="120"/>
      <c r="UMV3" s="120"/>
      <c r="UMW3" s="120"/>
      <c r="UMX3" s="120"/>
      <c r="UMY3" s="120"/>
      <c r="UMZ3" s="120"/>
      <c r="UNA3" s="120"/>
      <c r="UNB3" s="120"/>
      <c r="UNC3" s="120"/>
      <c r="UND3" s="120"/>
      <c r="UNE3" s="120"/>
      <c r="UNF3" s="120"/>
      <c r="UNG3" s="120"/>
      <c r="UNH3" s="120"/>
      <c r="UNI3" s="120"/>
      <c r="UNJ3" s="120"/>
      <c r="UNK3" s="120"/>
      <c r="UNL3" s="120"/>
      <c r="UNM3" s="120"/>
      <c r="UNN3" s="120"/>
      <c r="UNO3" s="120"/>
      <c r="UNP3" s="120"/>
      <c r="UNQ3" s="120"/>
      <c r="UNR3" s="120"/>
      <c r="UNS3" s="120"/>
      <c r="UNT3" s="120"/>
      <c r="UNU3" s="120"/>
      <c r="UNV3" s="120"/>
      <c r="UNW3" s="120"/>
      <c r="UNX3" s="120"/>
      <c r="UNY3" s="120"/>
      <c r="UNZ3" s="120"/>
      <c r="UOA3" s="120"/>
      <c r="UOB3" s="120"/>
      <c r="UOC3" s="120"/>
      <c r="UOD3" s="120"/>
      <c r="UOE3" s="120"/>
      <c r="UOF3" s="120"/>
      <c r="UOG3" s="120"/>
      <c r="UOH3" s="120"/>
      <c r="UOI3" s="120"/>
      <c r="UOJ3" s="120"/>
      <c r="UOK3" s="120"/>
      <c r="UOL3" s="120"/>
      <c r="UOM3" s="120"/>
      <c r="UON3" s="120"/>
      <c r="UOO3" s="120"/>
      <c r="UOP3" s="120"/>
      <c r="UOQ3" s="120"/>
      <c r="UOR3" s="120"/>
      <c r="UOS3" s="120"/>
      <c r="UOT3" s="120"/>
      <c r="UOU3" s="120"/>
      <c r="UOV3" s="120"/>
      <c r="UOW3" s="120"/>
      <c r="UOX3" s="120"/>
      <c r="UOY3" s="120"/>
      <c r="UOZ3" s="120"/>
      <c r="UPA3" s="120"/>
      <c r="UPB3" s="120"/>
      <c r="UPC3" s="120"/>
      <c r="UPD3" s="120"/>
      <c r="UPE3" s="120"/>
      <c r="UPF3" s="120"/>
      <c r="UPG3" s="120"/>
      <c r="UPH3" s="120"/>
      <c r="UPI3" s="120"/>
      <c r="UPJ3" s="120"/>
      <c r="UPK3" s="120"/>
      <c r="UPL3" s="120"/>
      <c r="UPM3" s="120"/>
      <c r="UPN3" s="120"/>
      <c r="UPO3" s="120"/>
      <c r="UPP3" s="120"/>
      <c r="UPQ3" s="120"/>
      <c r="UPR3" s="120"/>
      <c r="UPS3" s="120"/>
      <c r="UPT3" s="120"/>
      <c r="UPU3" s="120"/>
      <c r="UPV3" s="120"/>
      <c r="UPW3" s="120"/>
      <c r="UPX3" s="120"/>
      <c r="UPY3" s="120"/>
      <c r="UPZ3" s="120"/>
      <c r="UQA3" s="120"/>
      <c r="UQB3" s="120"/>
      <c r="UQC3" s="120"/>
      <c r="UQD3" s="120"/>
      <c r="UQE3" s="120"/>
      <c r="UQF3" s="120"/>
      <c r="UQG3" s="120"/>
      <c r="UQH3" s="120"/>
      <c r="UQI3" s="120"/>
      <c r="UQJ3" s="120"/>
      <c r="UQK3" s="120"/>
      <c r="UQL3" s="120"/>
      <c r="UQM3" s="120"/>
      <c r="UQN3" s="120"/>
      <c r="UQO3" s="120"/>
      <c r="UQP3" s="120"/>
      <c r="UQQ3" s="120"/>
      <c r="UQR3" s="120"/>
      <c r="UQS3" s="120"/>
      <c r="UQT3" s="120"/>
      <c r="UQU3" s="120"/>
      <c r="UQV3" s="120"/>
      <c r="UQW3" s="120"/>
      <c r="UQX3" s="120"/>
      <c r="UQY3" s="120"/>
      <c r="UQZ3" s="120"/>
      <c r="URA3" s="120"/>
      <c r="URB3" s="120"/>
      <c r="URC3" s="120"/>
      <c r="URD3" s="120"/>
      <c r="URE3" s="120"/>
      <c r="URF3" s="120"/>
      <c r="URG3" s="120"/>
      <c r="URH3" s="120"/>
      <c r="URI3" s="120"/>
      <c r="URJ3" s="120"/>
      <c r="URK3" s="120"/>
      <c r="URL3" s="120"/>
      <c r="URM3" s="120"/>
      <c r="URN3" s="120"/>
      <c r="URO3" s="120"/>
      <c r="URP3" s="120"/>
      <c r="URQ3" s="120"/>
      <c r="URR3" s="120"/>
      <c r="URS3" s="120"/>
      <c r="URT3" s="120"/>
      <c r="URU3" s="120"/>
      <c r="URV3" s="120"/>
      <c r="URW3" s="120"/>
      <c r="URX3" s="120"/>
      <c r="URY3" s="120"/>
      <c r="URZ3" s="120"/>
      <c r="USA3" s="120"/>
      <c r="USB3" s="120"/>
      <c r="USC3" s="120"/>
      <c r="USD3" s="120"/>
      <c r="USE3" s="120"/>
      <c r="USF3" s="120"/>
      <c r="USG3" s="120"/>
      <c r="USH3" s="120"/>
      <c r="USI3" s="120"/>
      <c r="USJ3" s="120"/>
      <c r="USK3" s="120"/>
      <c r="USL3" s="120"/>
      <c r="USM3" s="120"/>
      <c r="USN3" s="120"/>
      <c r="USO3" s="120"/>
      <c r="USP3" s="120"/>
      <c r="USQ3" s="120"/>
      <c r="USR3" s="120"/>
      <c r="USS3" s="120"/>
      <c r="UST3" s="120"/>
      <c r="USU3" s="120"/>
      <c r="USV3" s="120"/>
      <c r="USW3" s="120"/>
      <c r="USX3" s="120"/>
      <c r="USY3" s="120"/>
      <c r="USZ3" s="120"/>
      <c r="UTA3" s="120"/>
      <c r="UTB3" s="120"/>
      <c r="UTC3" s="120"/>
      <c r="UTD3" s="120"/>
      <c r="UTE3" s="120"/>
      <c r="UTF3" s="120"/>
      <c r="UTG3" s="120"/>
      <c r="UTH3" s="120"/>
      <c r="UTI3" s="120"/>
      <c r="UTJ3" s="120"/>
      <c r="UTK3" s="120"/>
      <c r="UTL3" s="120"/>
      <c r="UTM3" s="120"/>
      <c r="UTN3" s="120"/>
      <c r="UTO3" s="120"/>
      <c r="UTP3" s="120"/>
      <c r="UTQ3" s="120"/>
      <c r="UTR3" s="120"/>
      <c r="UTS3" s="120"/>
      <c r="UTT3" s="120"/>
      <c r="UTU3" s="120"/>
      <c r="UTV3" s="120"/>
      <c r="UTW3" s="120"/>
      <c r="UTX3" s="120"/>
      <c r="UTY3" s="120"/>
      <c r="UTZ3" s="120"/>
      <c r="UUA3" s="120"/>
      <c r="UUB3" s="120"/>
      <c r="UUC3" s="120"/>
      <c r="UUD3" s="120"/>
      <c r="UUE3" s="120"/>
      <c r="UUF3" s="120"/>
      <c r="UUG3" s="120"/>
      <c r="UUH3" s="120"/>
      <c r="UUI3" s="120"/>
      <c r="UUJ3" s="120"/>
      <c r="UUK3" s="120"/>
      <c r="UUL3" s="120"/>
      <c r="UUM3" s="120"/>
      <c r="UUN3" s="120"/>
      <c r="UUO3" s="120"/>
      <c r="UUP3" s="120"/>
      <c r="UUQ3" s="120"/>
      <c r="UUR3" s="120"/>
      <c r="UUS3" s="120"/>
      <c r="UUT3" s="120"/>
      <c r="UUU3" s="120"/>
      <c r="UUV3" s="120"/>
      <c r="UUW3" s="120"/>
      <c r="UUX3" s="120"/>
      <c r="UUY3" s="120"/>
      <c r="UUZ3" s="120"/>
      <c r="UVA3" s="120"/>
      <c r="UVB3" s="120"/>
      <c r="UVC3" s="120"/>
      <c r="UVD3" s="120"/>
      <c r="UVE3" s="120"/>
      <c r="UVF3" s="120"/>
      <c r="UVG3" s="120"/>
      <c r="UVH3" s="120"/>
      <c r="UVI3" s="120"/>
      <c r="UVJ3" s="120"/>
      <c r="UVK3" s="120"/>
      <c r="UVL3" s="120"/>
      <c r="UVM3" s="120"/>
      <c r="UVN3" s="120"/>
      <c r="UVO3" s="120"/>
      <c r="UVP3" s="120"/>
      <c r="UVQ3" s="120"/>
      <c r="UVR3" s="120"/>
      <c r="UVS3" s="120"/>
      <c r="UVT3" s="120"/>
      <c r="UVU3" s="120"/>
      <c r="UVV3" s="120"/>
      <c r="UVW3" s="120"/>
      <c r="UVX3" s="120"/>
      <c r="UVY3" s="120"/>
      <c r="UVZ3" s="120"/>
      <c r="UWA3" s="120"/>
      <c r="UWB3" s="120"/>
      <c r="UWC3" s="120"/>
      <c r="UWD3" s="120"/>
      <c r="UWE3" s="120"/>
      <c r="UWF3" s="120"/>
      <c r="UWG3" s="120"/>
      <c r="UWH3" s="120"/>
      <c r="UWI3" s="120"/>
      <c r="UWJ3" s="120"/>
      <c r="UWK3" s="120"/>
      <c r="UWL3" s="120"/>
      <c r="UWM3" s="120"/>
      <c r="UWN3" s="120"/>
      <c r="UWO3" s="120"/>
      <c r="UWP3" s="120"/>
      <c r="UWQ3" s="120"/>
      <c r="UWR3" s="120"/>
      <c r="UWS3" s="120"/>
      <c r="UWT3" s="120"/>
      <c r="UWU3" s="120"/>
      <c r="UWV3" s="120"/>
      <c r="UWW3" s="120"/>
      <c r="UWX3" s="120"/>
      <c r="UWY3" s="120"/>
      <c r="UWZ3" s="120"/>
      <c r="UXA3" s="120"/>
      <c r="UXB3" s="120"/>
      <c r="UXC3" s="120"/>
      <c r="UXD3" s="120"/>
      <c r="UXE3" s="120"/>
      <c r="UXF3" s="120"/>
      <c r="UXG3" s="120"/>
      <c r="UXH3" s="120"/>
      <c r="UXI3" s="120"/>
      <c r="UXJ3" s="120"/>
      <c r="UXK3" s="120"/>
      <c r="UXL3" s="120"/>
      <c r="UXM3" s="120"/>
      <c r="UXN3" s="120"/>
      <c r="UXO3" s="120"/>
      <c r="UXP3" s="120"/>
      <c r="UXQ3" s="120"/>
      <c r="UXR3" s="120"/>
      <c r="UXS3" s="120"/>
      <c r="UXT3" s="120"/>
      <c r="UXU3" s="120"/>
      <c r="UXV3" s="120"/>
      <c r="UXW3" s="120"/>
      <c r="UXX3" s="120"/>
      <c r="UXY3" s="120"/>
      <c r="UXZ3" s="120"/>
      <c r="UYA3" s="120"/>
      <c r="UYB3" s="120"/>
      <c r="UYC3" s="120"/>
      <c r="UYD3" s="120"/>
      <c r="UYE3" s="120"/>
      <c r="UYF3" s="120"/>
      <c r="UYG3" s="120"/>
      <c r="UYH3" s="120"/>
      <c r="UYI3" s="120"/>
      <c r="UYJ3" s="120"/>
      <c r="UYK3" s="120"/>
      <c r="UYL3" s="120"/>
      <c r="UYM3" s="120"/>
      <c r="UYN3" s="120"/>
      <c r="UYO3" s="120"/>
      <c r="UYP3" s="120"/>
      <c r="UYQ3" s="120"/>
      <c r="UYR3" s="120"/>
      <c r="UYS3" s="120"/>
      <c r="UYT3" s="120"/>
      <c r="UYU3" s="120"/>
      <c r="UYV3" s="120"/>
      <c r="UYW3" s="120"/>
      <c r="UYX3" s="120"/>
      <c r="UYY3" s="120"/>
      <c r="UYZ3" s="120"/>
      <c r="UZA3" s="120"/>
      <c r="UZB3" s="120"/>
      <c r="UZC3" s="120"/>
      <c r="UZD3" s="120"/>
      <c r="UZE3" s="120"/>
      <c r="UZF3" s="120"/>
      <c r="UZG3" s="120"/>
      <c r="UZH3" s="120"/>
      <c r="UZI3" s="120"/>
      <c r="UZJ3" s="120"/>
      <c r="UZK3" s="120"/>
      <c r="UZL3" s="120"/>
      <c r="UZM3" s="120"/>
      <c r="UZN3" s="120"/>
      <c r="UZO3" s="120"/>
      <c r="UZP3" s="120"/>
      <c r="UZQ3" s="120"/>
      <c r="UZR3" s="120"/>
      <c r="UZS3" s="120"/>
      <c r="UZT3" s="120"/>
      <c r="UZU3" s="120"/>
      <c r="UZV3" s="120"/>
      <c r="UZW3" s="120"/>
      <c r="UZX3" s="120"/>
      <c r="UZY3" s="120"/>
      <c r="UZZ3" s="120"/>
      <c r="VAA3" s="120"/>
      <c r="VAB3" s="120"/>
      <c r="VAC3" s="120"/>
      <c r="VAD3" s="120"/>
      <c r="VAE3" s="120"/>
      <c r="VAF3" s="120"/>
      <c r="VAG3" s="120"/>
      <c r="VAH3" s="120"/>
      <c r="VAI3" s="120"/>
      <c r="VAJ3" s="120"/>
      <c r="VAK3" s="120"/>
      <c r="VAL3" s="120"/>
      <c r="VAM3" s="120"/>
      <c r="VAN3" s="120"/>
      <c r="VAO3" s="120"/>
      <c r="VAP3" s="120"/>
      <c r="VAQ3" s="120"/>
      <c r="VAR3" s="120"/>
      <c r="VAS3" s="120"/>
      <c r="VAT3" s="120"/>
      <c r="VAU3" s="120"/>
      <c r="VAV3" s="120"/>
      <c r="VAW3" s="120"/>
      <c r="VAX3" s="120"/>
      <c r="VAY3" s="120"/>
      <c r="VAZ3" s="120"/>
      <c r="VBA3" s="120"/>
      <c r="VBB3" s="120"/>
      <c r="VBC3" s="120"/>
      <c r="VBD3" s="120"/>
      <c r="VBE3" s="120"/>
      <c r="VBF3" s="120"/>
      <c r="VBG3" s="120"/>
      <c r="VBH3" s="120"/>
      <c r="VBI3" s="120"/>
      <c r="VBJ3" s="120"/>
      <c r="VBK3" s="120"/>
      <c r="VBL3" s="120"/>
      <c r="VBM3" s="120"/>
      <c r="VBN3" s="120"/>
      <c r="VBO3" s="120"/>
      <c r="VBP3" s="120"/>
      <c r="VBQ3" s="120"/>
      <c r="VBR3" s="120"/>
      <c r="VBS3" s="120"/>
      <c r="VBT3" s="120"/>
      <c r="VBU3" s="120"/>
      <c r="VBV3" s="120"/>
      <c r="VBW3" s="120"/>
      <c r="VBX3" s="120"/>
      <c r="VBY3" s="120"/>
      <c r="VBZ3" s="120"/>
      <c r="VCA3" s="120"/>
      <c r="VCB3" s="120"/>
      <c r="VCC3" s="120"/>
      <c r="VCD3" s="120"/>
      <c r="VCE3" s="120"/>
      <c r="VCF3" s="120"/>
      <c r="VCG3" s="120"/>
      <c r="VCH3" s="120"/>
      <c r="VCI3" s="120"/>
      <c r="VCJ3" s="120"/>
      <c r="VCK3" s="120"/>
      <c r="VCL3" s="120"/>
      <c r="VCM3" s="120"/>
      <c r="VCN3" s="120"/>
      <c r="VCO3" s="120"/>
      <c r="VCP3" s="120"/>
      <c r="VCQ3" s="120"/>
      <c r="VCR3" s="120"/>
      <c r="VCS3" s="120"/>
      <c r="VCT3" s="120"/>
      <c r="VCU3" s="120"/>
      <c r="VCV3" s="120"/>
      <c r="VCW3" s="120"/>
      <c r="VCX3" s="120"/>
      <c r="VCY3" s="120"/>
      <c r="VCZ3" s="120"/>
      <c r="VDA3" s="120"/>
      <c r="VDB3" s="120"/>
      <c r="VDC3" s="120"/>
      <c r="VDD3" s="120"/>
      <c r="VDE3" s="120"/>
      <c r="VDF3" s="120"/>
      <c r="VDG3" s="120"/>
      <c r="VDH3" s="120"/>
      <c r="VDI3" s="120"/>
      <c r="VDJ3" s="120"/>
      <c r="VDK3" s="120"/>
      <c r="VDL3" s="120"/>
      <c r="VDM3" s="120"/>
      <c r="VDN3" s="120"/>
      <c r="VDO3" s="120"/>
      <c r="VDP3" s="120"/>
      <c r="VDQ3" s="120"/>
      <c r="VDR3" s="120"/>
      <c r="VDS3" s="120"/>
      <c r="VDT3" s="120"/>
      <c r="VDU3" s="120"/>
      <c r="VDV3" s="120"/>
      <c r="VDW3" s="120"/>
      <c r="VDX3" s="120"/>
      <c r="VDY3" s="120"/>
      <c r="VDZ3" s="120"/>
      <c r="VEA3" s="120"/>
      <c r="VEB3" s="120"/>
      <c r="VEC3" s="120"/>
      <c r="VED3" s="120"/>
      <c r="VEE3" s="120"/>
      <c r="VEF3" s="120"/>
      <c r="VEG3" s="120"/>
      <c r="VEH3" s="120"/>
      <c r="VEI3" s="120"/>
      <c r="VEJ3" s="120"/>
      <c r="VEK3" s="120"/>
      <c r="VEL3" s="120"/>
      <c r="VEM3" s="120"/>
      <c r="VEN3" s="120"/>
      <c r="VEO3" s="120"/>
      <c r="VEP3" s="120"/>
      <c r="VEQ3" s="120"/>
      <c r="VER3" s="120"/>
      <c r="VES3" s="120"/>
      <c r="VET3" s="120"/>
      <c r="VEU3" s="120"/>
      <c r="VEV3" s="120"/>
      <c r="VEW3" s="120"/>
      <c r="VEX3" s="120"/>
      <c r="VEY3" s="120"/>
      <c r="VEZ3" s="120"/>
      <c r="VFA3" s="120"/>
      <c r="VFB3" s="120"/>
      <c r="VFC3" s="120"/>
      <c r="VFD3" s="120"/>
      <c r="VFE3" s="120"/>
      <c r="VFF3" s="120"/>
      <c r="VFG3" s="120"/>
      <c r="VFH3" s="120"/>
      <c r="VFI3" s="120"/>
      <c r="VFJ3" s="120"/>
      <c r="VFK3" s="120"/>
      <c r="VFL3" s="120"/>
      <c r="VFM3" s="120"/>
      <c r="VFN3" s="120"/>
      <c r="VFO3" s="120"/>
      <c r="VFP3" s="120"/>
      <c r="VFQ3" s="120"/>
      <c r="VFR3" s="120"/>
      <c r="VFS3" s="120"/>
      <c r="VFT3" s="120"/>
      <c r="VFU3" s="120"/>
      <c r="VFV3" s="120"/>
      <c r="VFW3" s="120"/>
      <c r="VFX3" s="120"/>
      <c r="VFY3" s="120"/>
      <c r="VFZ3" s="120"/>
      <c r="VGA3" s="120"/>
      <c r="VGB3" s="120"/>
      <c r="VGC3" s="120"/>
      <c r="VGD3" s="120"/>
      <c r="VGE3" s="120"/>
      <c r="VGF3" s="120"/>
      <c r="VGG3" s="120"/>
      <c r="VGH3" s="120"/>
      <c r="VGI3" s="120"/>
      <c r="VGJ3" s="120"/>
      <c r="VGK3" s="120"/>
      <c r="VGL3" s="120"/>
      <c r="VGM3" s="120"/>
      <c r="VGN3" s="120"/>
      <c r="VGO3" s="120"/>
      <c r="VGP3" s="120"/>
      <c r="VGQ3" s="120"/>
      <c r="VGR3" s="120"/>
      <c r="VGS3" s="120"/>
      <c r="VGT3" s="120"/>
      <c r="VGU3" s="120"/>
      <c r="VGV3" s="120"/>
      <c r="VGW3" s="120"/>
      <c r="VGX3" s="120"/>
      <c r="VGY3" s="120"/>
      <c r="VGZ3" s="120"/>
      <c r="VHA3" s="120"/>
      <c r="VHB3" s="120"/>
      <c r="VHC3" s="120"/>
      <c r="VHD3" s="120"/>
      <c r="VHE3" s="120"/>
      <c r="VHF3" s="120"/>
      <c r="VHG3" s="120"/>
      <c r="VHH3" s="120"/>
      <c r="VHI3" s="120"/>
      <c r="VHJ3" s="120"/>
      <c r="VHK3" s="120"/>
      <c r="VHL3" s="120"/>
      <c r="VHM3" s="120"/>
      <c r="VHN3" s="120"/>
      <c r="VHO3" s="120"/>
      <c r="VHP3" s="120"/>
      <c r="VHQ3" s="120"/>
      <c r="VHR3" s="120"/>
      <c r="VHS3" s="120"/>
      <c r="VHT3" s="120"/>
      <c r="VHU3" s="120"/>
      <c r="VHV3" s="120"/>
      <c r="VHW3" s="120"/>
      <c r="VHX3" s="120"/>
      <c r="VHY3" s="120"/>
      <c r="VHZ3" s="120"/>
      <c r="VIA3" s="120"/>
      <c r="VIB3" s="120"/>
      <c r="VIC3" s="120"/>
      <c r="VID3" s="120"/>
      <c r="VIE3" s="120"/>
      <c r="VIF3" s="120"/>
      <c r="VIG3" s="120"/>
      <c r="VIH3" s="120"/>
      <c r="VII3" s="120"/>
      <c r="VIJ3" s="120"/>
      <c r="VIK3" s="120"/>
      <c r="VIL3" s="120"/>
      <c r="VIM3" s="120"/>
      <c r="VIN3" s="120"/>
      <c r="VIO3" s="120"/>
      <c r="VIP3" s="120"/>
      <c r="VIQ3" s="120"/>
      <c r="VIR3" s="120"/>
      <c r="VIS3" s="120"/>
      <c r="VIT3" s="120"/>
      <c r="VIU3" s="120"/>
      <c r="VIV3" s="120"/>
      <c r="VIW3" s="120"/>
      <c r="VIX3" s="120"/>
      <c r="VIY3" s="120"/>
      <c r="VIZ3" s="120"/>
      <c r="VJA3" s="120"/>
      <c r="VJB3" s="120"/>
      <c r="VJC3" s="120"/>
      <c r="VJD3" s="120"/>
      <c r="VJE3" s="120"/>
      <c r="VJF3" s="120"/>
      <c r="VJG3" s="120"/>
      <c r="VJH3" s="120"/>
      <c r="VJI3" s="120"/>
      <c r="VJJ3" s="120"/>
      <c r="VJK3" s="120"/>
      <c r="VJL3" s="120"/>
      <c r="VJM3" s="120"/>
      <c r="VJN3" s="120"/>
      <c r="VJO3" s="120"/>
      <c r="VJP3" s="120"/>
      <c r="VJQ3" s="120"/>
      <c r="VJR3" s="120"/>
      <c r="VJS3" s="120"/>
      <c r="VJT3" s="120"/>
      <c r="VJU3" s="120"/>
      <c r="VJV3" s="120"/>
      <c r="VJW3" s="120"/>
      <c r="VJX3" s="120"/>
      <c r="VJY3" s="120"/>
      <c r="VJZ3" s="120"/>
      <c r="VKA3" s="120"/>
      <c r="VKB3" s="120"/>
      <c r="VKC3" s="120"/>
      <c r="VKD3" s="120"/>
      <c r="VKE3" s="120"/>
      <c r="VKF3" s="120"/>
      <c r="VKG3" s="120"/>
      <c r="VKH3" s="120"/>
      <c r="VKI3" s="120"/>
      <c r="VKJ3" s="120"/>
      <c r="VKK3" s="120"/>
      <c r="VKL3" s="120"/>
      <c r="VKM3" s="120"/>
      <c r="VKN3" s="120"/>
      <c r="VKO3" s="120"/>
      <c r="VKP3" s="120"/>
      <c r="VKQ3" s="120"/>
      <c r="VKR3" s="120"/>
      <c r="VKS3" s="120"/>
      <c r="VKT3" s="120"/>
      <c r="VKU3" s="120"/>
      <c r="VKV3" s="120"/>
      <c r="VKW3" s="120"/>
      <c r="VKX3" s="120"/>
      <c r="VKY3" s="120"/>
      <c r="VKZ3" s="120"/>
      <c r="VLA3" s="120"/>
      <c r="VLB3" s="120"/>
      <c r="VLC3" s="120"/>
      <c r="VLD3" s="120"/>
      <c r="VLE3" s="120"/>
      <c r="VLF3" s="120"/>
      <c r="VLG3" s="120"/>
      <c r="VLH3" s="120"/>
      <c r="VLI3" s="120"/>
      <c r="VLJ3" s="120"/>
      <c r="VLK3" s="120"/>
      <c r="VLL3" s="120"/>
      <c r="VLM3" s="120"/>
      <c r="VLN3" s="120"/>
      <c r="VLO3" s="120"/>
      <c r="VLP3" s="120"/>
      <c r="VLQ3" s="120"/>
      <c r="VLR3" s="120"/>
      <c r="VLS3" s="120"/>
      <c r="VLT3" s="120"/>
      <c r="VLU3" s="120"/>
      <c r="VLV3" s="120"/>
      <c r="VLW3" s="120"/>
      <c r="VLX3" s="120"/>
      <c r="VLY3" s="120"/>
      <c r="VLZ3" s="120"/>
      <c r="VMA3" s="120"/>
      <c r="VMB3" s="120"/>
      <c r="VMC3" s="120"/>
      <c r="VMD3" s="120"/>
      <c r="VME3" s="120"/>
      <c r="VMF3" s="120"/>
      <c r="VMG3" s="120"/>
      <c r="VMH3" s="120"/>
      <c r="VMI3" s="120"/>
      <c r="VMJ3" s="120"/>
      <c r="VMK3" s="120"/>
      <c r="VML3" s="120"/>
      <c r="VMM3" s="120"/>
      <c r="VMN3" s="120"/>
      <c r="VMO3" s="120"/>
      <c r="VMP3" s="120"/>
      <c r="VMQ3" s="120"/>
      <c r="VMR3" s="120"/>
      <c r="VMS3" s="120"/>
      <c r="VMT3" s="120"/>
      <c r="VMU3" s="120"/>
      <c r="VMV3" s="120"/>
      <c r="VMW3" s="120"/>
      <c r="VMX3" s="120"/>
      <c r="VMY3" s="120"/>
      <c r="VMZ3" s="120"/>
      <c r="VNA3" s="120"/>
      <c r="VNB3" s="120"/>
      <c r="VNC3" s="120"/>
      <c r="VND3" s="120"/>
      <c r="VNE3" s="120"/>
      <c r="VNF3" s="120"/>
      <c r="VNG3" s="120"/>
      <c r="VNH3" s="120"/>
      <c r="VNI3" s="120"/>
      <c r="VNJ3" s="120"/>
      <c r="VNK3" s="120"/>
      <c r="VNL3" s="120"/>
      <c r="VNM3" s="120"/>
      <c r="VNN3" s="120"/>
      <c r="VNO3" s="120"/>
      <c r="VNP3" s="120"/>
      <c r="VNQ3" s="120"/>
      <c r="VNR3" s="120"/>
      <c r="VNS3" s="120"/>
      <c r="VNT3" s="120"/>
      <c r="VNU3" s="120"/>
      <c r="VNV3" s="120"/>
      <c r="VNW3" s="120"/>
      <c r="VNX3" s="120"/>
      <c r="VNY3" s="120"/>
      <c r="VNZ3" s="120"/>
      <c r="VOA3" s="120"/>
      <c r="VOB3" s="120"/>
      <c r="VOC3" s="120"/>
      <c r="VOD3" s="120"/>
      <c r="VOE3" s="120"/>
      <c r="VOF3" s="120"/>
      <c r="VOG3" s="120"/>
      <c r="VOH3" s="120"/>
      <c r="VOI3" s="120"/>
      <c r="VOJ3" s="120"/>
      <c r="VOK3" s="120"/>
      <c r="VOL3" s="120"/>
      <c r="VOM3" s="120"/>
      <c r="VON3" s="120"/>
      <c r="VOO3" s="120"/>
      <c r="VOP3" s="120"/>
      <c r="VOQ3" s="120"/>
      <c r="VOR3" s="120"/>
      <c r="VOS3" s="120"/>
      <c r="VOT3" s="120"/>
      <c r="VOU3" s="120"/>
      <c r="VOV3" s="120"/>
      <c r="VOW3" s="120"/>
      <c r="VOX3" s="120"/>
      <c r="VOY3" s="120"/>
      <c r="VOZ3" s="120"/>
      <c r="VPA3" s="120"/>
      <c r="VPB3" s="120"/>
      <c r="VPC3" s="120"/>
      <c r="VPD3" s="120"/>
      <c r="VPE3" s="120"/>
      <c r="VPF3" s="120"/>
      <c r="VPG3" s="120"/>
      <c r="VPH3" s="120"/>
      <c r="VPI3" s="120"/>
      <c r="VPJ3" s="120"/>
      <c r="VPK3" s="120"/>
      <c r="VPL3" s="120"/>
      <c r="VPM3" s="120"/>
      <c r="VPN3" s="120"/>
      <c r="VPO3" s="120"/>
      <c r="VPP3" s="120"/>
      <c r="VPQ3" s="120"/>
      <c r="VPR3" s="120"/>
      <c r="VPS3" s="120"/>
      <c r="VPT3" s="120"/>
      <c r="VPU3" s="120"/>
      <c r="VPV3" s="120"/>
      <c r="VPW3" s="120"/>
      <c r="VPX3" s="120"/>
      <c r="VPY3" s="120"/>
      <c r="VPZ3" s="120"/>
      <c r="VQA3" s="120"/>
      <c r="VQB3" s="120"/>
      <c r="VQC3" s="120"/>
      <c r="VQD3" s="120"/>
      <c r="VQE3" s="120"/>
      <c r="VQF3" s="120"/>
      <c r="VQG3" s="120"/>
      <c r="VQH3" s="120"/>
      <c r="VQI3" s="120"/>
      <c r="VQJ3" s="120"/>
      <c r="VQK3" s="120"/>
      <c r="VQL3" s="120"/>
      <c r="VQM3" s="120"/>
      <c r="VQN3" s="120"/>
      <c r="VQO3" s="120"/>
      <c r="VQP3" s="120"/>
      <c r="VQQ3" s="120"/>
      <c r="VQR3" s="120"/>
      <c r="VQS3" s="120"/>
      <c r="VQT3" s="120"/>
      <c r="VQU3" s="120"/>
      <c r="VQV3" s="120"/>
      <c r="VQW3" s="120"/>
      <c r="VQX3" s="120"/>
      <c r="VQY3" s="120"/>
      <c r="VQZ3" s="120"/>
      <c r="VRA3" s="120"/>
      <c r="VRB3" s="120"/>
      <c r="VRC3" s="120"/>
      <c r="VRD3" s="120"/>
      <c r="VRE3" s="120"/>
      <c r="VRF3" s="120"/>
      <c r="VRG3" s="120"/>
      <c r="VRH3" s="120"/>
      <c r="VRI3" s="120"/>
      <c r="VRJ3" s="120"/>
      <c r="VRK3" s="120"/>
      <c r="VRL3" s="120"/>
      <c r="VRM3" s="120"/>
      <c r="VRN3" s="120"/>
      <c r="VRO3" s="120"/>
      <c r="VRP3" s="120"/>
      <c r="VRQ3" s="120"/>
      <c r="VRR3" s="120"/>
      <c r="VRS3" s="120"/>
      <c r="VRT3" s="120"/>
      <c r="VRU3" s="120"/>
      <c r="VRV3" s="120"/>
      <c r="VRW3" s="120"/>
      <c r="VRX3" s="120"/>
      <c r="VRY3" s="120"/>
      <c r="VRZ3" s="120"/>
      <c r="VSA3" s="120"/>
      <c r="VSB3" s="120"/>
      <c r="VSC3" s="120"/>
      <c r="VSD3" s="120"/>
      <c r="VSE3" s="120"/>
      <c r="VSF3" s="120"/>
      <c r="VSG3" s="120"/>
      <c r="VSH3" s="120"/>
      <c r="VSI3" s="120"/>
      <c r="VSJ3" s="120"/>
      <c r="VSK3" s="120"/>
      <c r="VSL3" s="120"/>
      <c r="VSM3" s="120"/>
      <c r="VSN3" s="120"/>
      <c r="VSO3" s="120"/>
      <c r="VSP3" s="120"/>
      <c r="VSQ3" s="120"/>
      <c r="VSR3" s="120"/>
      <c r="VSS3" s="120"/>
      <c r="VST3" s="120"/>
      <c r="VSU3" s="120"/>
      <c r="VSV3" s="120"/>
      <c r="VSW3" s="120"/>
      <c r="VSX3" s="120"/>
      <c r="VSY3" s="120"/>
      <c r="VSZ3" s="120"/>
      <c r="VTA3" s="120"/>
      <c r="VTB3" s="120"/>
      <c r="VTC3" s="120"/>
      <c r="VTD3" s="120"/>
      <c r="VTE3" s="120"/>
      <c r="VTF3" s="120"/>
      <c r="VTG3" s="120"/>
      <c r="VTH3" s="120"/>
      <c r="VTI3" s="120"/>
      <c r="VTJ3" s="120"/>
      <c r="VTK3" s="120"/>
      <c r="VTL3" s="120"/>
      <c r="VTM3" s="120"/>
      <c r="VTN3" s="120"/>
      <c r="VTO3" s="120"/>
      <c r="VTP3" s="120"/>
      <c r="VTQ3" s="120"/>
      <c r="VTR3" s="120"/>
      <c r="VTS3" s="120"/>
      <c r="VTT3" s="120"/>
      <c r="VTU3" s="120"/>
      <c r="VTV3" s="120"/>
      <c r="VTW3" s="120"/>
      <c r="VTX3" s="120"/>
      <c r="VTY3" s="120"/>
      <c r="VTZ3" s="120"/>
      <c r="VUA3" s="120"/>
      <c r="VUB3" s="120"/>
      <c r="VUC3" s="120"/>
      <c r="VUD3" s="120"/>
      <c r="VUE3" s="120"/>
      <c r="VUF3" s="120"/>
      <c r="VUG3" s="120"/>
      <c r="VUH3" s="120"/>
      <c r="VUI3" s="120"/>
      <c r="VUJ3" s="120"/>
      <c r="VUK3" s="120"/>
      <c r="VUL3" s="120"/>
      <c r="VUM3" s="120"/>
      <c r="VUN3" s="120"/>
      <c r="VUO3" s="120"/>
      <c r="VUP3" s="120"/>
      <c r="VUQ3" s="120"/>
      <c r="VUR3" s="120"/>
      <c r="VUS3" s="120"/>
      <c r="VUT3" s="120"/>
      <c r="VUU3" s="120"/>
      <c r="VUV3" s="120"/>
      <c r="VUW3" s="120"/>
      <c r="VUX3" s="120"/>
      <c r="VUY3" s="120"/>
      <c r="VUZ3" s="120"/>
      <c r="VVA3" s="120"/>
      <c r="VVB3" s="120"/>
      <c r="VVC3" s="120"/>
      <c r="VVD3" s="120"/>
      <c r="VVE3" s="120"/>
      <c r="VVF3" s="120"/>
      <c r="VVG3" s="120"/>
      <c r="VVH3" s="120"/>
      <c r="VVI3" s="120"/>
      <c r="VVJ3" s="120"/>
      <c r="VVK3" s="120"/>
      <c r="VVL3" s="120"/>
      <c r="VVM3" s="120"/>
      <c r="VVN3" s="120"/>
      <c r="VVO3" s="120"/>
      <c r="VVP3" s="120"/>
      <c r="VVQ3" s="120"/>
      <c r="VVR3" s="120"/>
      <c r="VVS3" s="120"/>
      <c r="VVT3" s="120"/>
      <c r="VVU3" s="120"/>
      <c r="VVV3" s="120"/>
      <c r="VVW3" s="120"/>
      <c r="VVX3" s="120"/>
      <c r="VVY3" s="120"/>
      <c r="VVZ3" s="120"/>
      <c r="VWA3" s="120"/>
      <c r="VWB3" s="120"/>
      <c r="VWC3" s="120"/>
      <c r="VWD3" s="120"/>
      <c r="VWE3" s="120"/>
      <c r="VWF3" s="120"/>
      <c r="VWG3" s="120"/>
      <c r="VWH3" s="120"/>
      <c r="VWI3" s="120"/>
      <c r="VWJ3" s="120"/>
      <c r="VWK3" s="120"/>
      <c r="VWL3" s="120"/>
      <c r="VWM3" s="120"/>
      <c r="VWN3" s="120"/>
      <c r="VWO3" s="120"/>
      <c r="VWP3" s="120"/>
      <c r="VWQ3" s="120"/>
      <c r="VWR3" s="120"/>
      <c r="VWS3" s="120"/>
      <c r="VWT3" s="120"/>
      <c r="VWU3" s="120"/>
      <c r="VWV3" s="120"/>
      <c r="VWW3" s="120"/>
      <c r="VWX3" s="120"/>
      <c r="VWY3" s="120"/>
      <c r="VWZ3" s="120"/>
      <c r="VXA3" s="120"/>
      <c r="VXB3" s="120"/>
      <c r="VXC3" s="120"/>
      <c r="VXD3" s="120"/>
      <c r="VXE3" s="120"/>
      <c r="VXF3" s="120"/>
      <c r="VXG3" s="120"/>
      <c r="VXH3" s="120"/>
      <c r="VXI3" s="120"/>
      <c r="VXJ3" s="120"/>
      <c r="VXK3" s="120"/>
      <c r="VXL3" s="120"/>
      <c r="VXM3" s="120"/>
      <c r="VXN3" s="120"/>
      <c r="VXO3" s="120"/>
      <c r="VXP3" s="120"/>
      <c r="VXQ3" s="120"/>
      <c r="VXR3" s="120"/>
      <c r="VXS3" s="120"/>
      <c r="VXT3" s="120"/>
      <c r="VXU3" s="120"/>
      <c r="VXV3" s="120"/>
      <c r="VXW3" s="120"/>
      <c r="VXX3" s="120"/>
      <c r="VXY3" s="120"/>
      <c r="VXZ3" s="120"/>
      <c r="VYA3" s="120"/>
      <c r="VYB3" s="120"/>
      <c r="VYC3" s="120"/>
      <c r="VYD3" s="120"/>
      <c r="VYE3" s="120"/>
      <c r="VYF3" s="120"/>
      <c r="VYG3" s="120"/>
      <c r="VYH3" s="120"/>
      <c r="VYI3" s="120"/>
      <c r="VYJ3" s="120"/>
      <c r="VYK3" s="120"/>
      <c r="VYL3" s="120"/>
      <c r="VYM3" s="120"/>
      <c r="VYN3" s="120"/>
      <c r="VYO3" s="120"/>
      <c r="VYP3" s="120"/>
      <c r="VYQ3" s="120"/>
      <c r="VYR3" s="120"/>
      <c r="VYS3" s="120"/>
      <c r="VYT3" s="120"/>
      <c r="VYU3" s="120"/>
      <c r="VYV3" s="120"/>
      <c r="VYW3" s="120"/>
      <c r="VYX3" s="120"/>
      <c r="VYY3" s="120"/>
      <c r="VYZ3" s="120"/>
      <c r="VZA3" s="120"/>
      <c r="VZB3" s="120"/>
      <c r="VZC3" s="120"/>
      <c r="VZD3" s="120"/>
      <c r="VZE3" s="120"/>
      <c r="VZF3" s="120"/>
      <c r="VZG3" s="120"/>
      <c r="VZH3" s="120"/>
      <c r="VZI3" s="120"/>
      <c r="VZJ3" s="120"/>
      <c r="VZK3" s="120"/>
      <c r="VZL3" s="120"/>
      <c r="VZM3" s="120"/>
      <c r="VZN3" s="120"/>
      <c r="VZO3" s="120"/>
      <c r="VZP3" s="120"/>
      <c r="VZQ3" s="120"/>
      <c r="VZR3" s="120"/>
      <c r="VZS3" s="120"/>
      <c r="VZT3" s="120"/>
      <c r="VZU3" s="120"/>
      <c r="VZV3" s="120"/>
      <c r="VZW3" s="120"/>
      <c r="VZX3" s="120"/>
      <c r="VZY3" s="120"/>
      <c r="VZZ3" s="120"/>
      <c r="WAA3" s="120"/>
      <c r="WAB3" s="120"/>
      <c r="WAC3" s="120"/>
      <c r="WAD3" s="120"/>
      <c r="WAE3" s="120"/>
      <c r="WAF3" s="120"/>
      <c r="WAG3" s="120"/>
      <c r="WAH3" s="120"/>
      <c r="WAI3" s="120"/>
      <c r="WAJ3" s="120"/>
      <c r="WAK3" s="120"/>
      <c r="WAL3" s="120"/>
      <c r="WAM3" s="120"/>
      <c r="WAN3" s="120"/>
      <c r="WAO3" s="120"/>
      <c r="WAP3" s="120"/>
      <c r="WAQ3" s="120"/>
      <c r="WAR3" s="120"/>
      <c r="WAS3" s="120"/>
      <c r="WAT3" s="120"/>
      <c r="WAU3" s="120"/>
      <c r="WAV3" s="120"/>
      <c r="WAW3" s="120"/>
      <c r="WAX3" s="120"/>
      <c r="WAY3" s="120"/>
      <c r="WAZ3" s="120"/>
      <c r="WBA3" s="120"/>
      <c r="WBB3" s="120"/>
      <c r="WBC3" s="120"/>
      <c r="WBD3" s="120"/>
      <c r="WBE3" s="120"/>
      <c r="WBF3" s="120"/>
      <c r="WBG3" s="120"/>
      <c r="WBH3" s="120"/>
      <c r="WBI3" s="120"/>
      <c r="WBJ3" s="120"/>
      <c r="WBK3" s="120"/>
      <c r="WBL3" s="120"/>
      <c r="WBM3" s="120"/>
      <c r="WBN3" s="120"/>
      <c r="WBO3" s="120"/>
      <c r="WBP3" s="120"/>
      <c r="WBQ3" s="120"/>
      <c r="WBR3" s="120"/>
      <c r="WBS3" s="120"/>
      <c r="WBT3" s="120"/>
      <c r="WBU3" s="120"/>
      <c r="WBV3" s="120"/>
      <c r="WBW3" s="120"/>
      <c r="WBX3" s="120"/>
      <c r="WBY3" s="120"/>
      <c r="WBZ3" s="120"/>
      <c r="WCA3" s="120"/>
      <c r="WCB3" s="120"/>
      <c r="WCC3" s="120"/>
      <c r="WCD3" s="120"/>
      <c r="WCE3" s="120"/>
      <c r="WCF3" s="120"/>
      <c r="WCG3" s="120"/>
      <c r="WCH3" s="120"/>
      <c r="WCI3" s="120"/>
      <c r="WCJ3" s="120"/>
      <c r="WCK3" s="120"/>
      <c r="WCL3" s="120"/>
      <c r="WCM3" s="120"/>
      <c r="WCN3" s="120"/>
      <c r="WCO3" s="120"/>
      <c r="WCP3" s="120"/>
      <c r="WCQ3" s="120"/>
      <c r="WCR3" s="120"/>
      <c r="WCS3" s="120"/>
      <c r="WCT3" s="120"/>
      <c r="WCU3" s="120"/>
      <c r="WCV3" s="120"/>
      <c r="WCW3" s="120"/>
      <c r="WCX3" s="120"/>
      <c r="WCY3" s="120"/>
      <c r="WCZ3" s="120"/>
      <c r="WDA3" s="120"/>
      <c r="WDB3" s="120"/>
      <c r="WDC3" s="120"/>
      <c r="WDD3" s="120"/>
      <c r="WDE3" s="120"/>
      <c r="WDF3" s="120"/>
      <c r="WDG3" s="120"/>
      <c r="WDH3" s="120"/>
      <c r="WDI3" s="120"/>
      <c r="WDJ3" s="120"/>
      <c r="WDK3" s="120"/>
      <c r="WDL3" s="120"/>
      <c r="WDM3" s="120"/>
      <c r="WDN3" s="120"/>
      <c r="WDO3" s="120"/>
      <c r="WDP3" s="120"/>
      <c r="WDQ3" s="120"/>
      <c r="WDR3" s="120"/>
      <c r="WDS3" s="120"/>
      <c r="WDT3" s="120"/>
      <c r="WDU3" s="120"/>
      <c r="WDV3" s="120"/>
      <c r="WDW3" s="120"/>
      <c r="WDX3" s="120"/>
      <c r="WDY3" s="120"/>
      <c r="WDZ3" s="120"/>
      <c r="WEA3" s="120"/>
      <c r="WEB3" s="120"/>
      <c r="WEC3" s="120"/>
      <c r="WED3" s="120"/>
      <c r="WEE3" s="120"/>
      <c r="WEF3" s="120"/>
      <c r="WEG3" s="120"/>
      <c r="WEH3" s="120"/>
      <c r="WEI3" s="120"/>
      <c r="WEJ3" s="120"/>
      <c r="WEK3" s="120"/>
      <c r="WEL3" s="120"/>
      <c r="WEM3" s="120"/>
      <c r="WEN3" s="120"/>
      <c r="WEO3" s="120"/>
      <c r="WEP3" s="120"/>
      <c r="WEQ3" s="120"/>
      <c r="WER3" s="120"/>
      <c r="WES3" s="120"/>
      <c r="WET3" s="120"/>
      <c r="WEU3" s="120"/>
      <c r="WEV3" s="120"/>
      <c r="WEW3" s="120"/>
      <c r="WEX3" s="120"/>
      <c r="WEY3" s="120"/>
      <c r="WEZ3" s="120"/>
      <c r="WFA3" s="120"/>
      <c r="WFB3" s="120"/>
      <c r="WFC3" s="120"/>
      <c r="WFD3" s="120"/>
      <c r="WFE3" s="120"/>
      <c r="WFF3" s="120"/>
      <c r="WFG3" s="120"/>
      <c r="WFH3" s="120"/>
      <c r="WFI3" s="120"/>
      <c r="WFJ3" s="120"/>
      <c r="WFK3" s="120"/>
      <c r="WFL3" s="120"/>
      <c r="WFM3" s="120"/>
      <c r="WFN3" s="120"/>
      <c r="WFO3" s="120"/>
      <c r="WFP3" s="120"/>
      <c r="WFQ3" s="120"/>
      <c r="WFR3" s="120"/>
      <c r="WFS3" s="120"/>
      <c r="WFT3" s="120"/>
      <c r="WFU3" s="120"/>
      <c r="WFV3" s="120"/>
      <c r="WFW3" s="120"/>
      <c r="WFX3" s="120"/>
      <c r="WFY3" s="120"/>
      <c r="WFZ3" s="120"/>
      <c r="WGA3" s="120"/>
      <c r="WGB3" s="120"/>
      <c r="WGC3" s="120"/>
      <c r="WGD3" s="120"/>
      <c r="WGE3" s="120"/>
      <c r="WGF3" s="120"/>
      <c r="WGG3" s="120"/>
      <c r="WGH3" s="120"/>
      <c r="WGI3" s="120"/>
      <c r="WGJ3" s="120"/>
      <c r="WGK3" s="120"/>
      <c r="WGL3" s="120"/>
      <c r="WGM3" s="120"/>
      <c r="WGN3" s="120"/>
      <c r="WGO3" s="120"/>
      <c r="WGP3" s="120"/>
      <c r="WGQ3" s="120"/>
      <c r="WGR3" s="120"/>
      <c r="WGS3" s="120"/>
      <c r="WGT3" s="120"/>
      <c r="WGU3" s="120"/>
      <c r="WGV3" s="120"/>
      <c r="WGW3" s="120"/>
      <c r="WGX3" s="120"/>
      <c r="WGY3" s="120"/>
      <c r="WGZ3" s="120"/>
      <c r="WHA3" s="120"/>
      <c r="WHB3" s="120"/>
      <c r="WHC3" s="120"/>
      <c r="WHD3" s="120"/>
      <c r="WHE3" s="120"/>
      <c r="WHF3" s="120"/>
      <c r="WHG3" s="120"/>
      <c r="WHH3" s="120"/>
      <c r="WHI3" s="120"/>
      <c r="WHJ3" s="120"/>
      <c r="WHK3" s="120"/>
      <c r="WHL3" s="120"/>
      <c r="WHM3" s="120"/>
      <c r="WHN3" s="120"/>
      <c r="WHO3" s="120"/>
      <c r="WHP3" s="120"/>
      <c r="WHQ3" s="120"/>
      <c r="WHR3" s="120"/>
      <c r="WHS3" s="120"/>
      <c r="WHT3" s="120"/>
      <c r="WHU3" s="120"/>
      <c r="WHV3" s="120"/>
      <c r="WHW3" s="120"/>
      <c r="WHX3" s="120"/>
      <c r="WHY3" s="120"/>
      <c r="WHZ3" s="120"/>
      <c r="WIA3" s="120"/>
      <c r="WIB3" s="120"/>
      <c r="WIC3" s="120"/>
      <c r="WID3" s="120"/>
      <c r="WIE3" s="120"/>
      <c r="WIF3" s="120"/>
      <c r="WIG3" s="120"/>
      <c r="WIH3" s="120"/>
      <c r="WII3" s="120"/>
      <c r="WIJ3" s="120"/>
      <c r="WIK3" s="120"/>
      <c r="WIL3" s="120"/>
      <c r="WIM3" s="120"/>
      <c r="WIN3" s="120"/>
      <c r="WIO3" s="120"/>
      <c r="WIP3" s="120"/>
      <c r="WIQ3" s="120"/>
      <c r="WIR3" s="120"/>
      <c r="WIS3" s="120"/>
      <c r="WIT3" s="120"/>
      <c r="WIU3" s="120"/>
      <c r="WIV3" s="120"/>
      <c r="WIW3" s="120"/>
      <c r="WIX3" s="120"/>
      <c r="WIY3" s="120"/>
      <c r="WIZ3" s="120"/>
      <c r="WJA3" s="120"/>
      <c r="WJB3" s="120"/>
      <c r="WJC3" s="120"/>
      <c r="WJD3" s="120"/>
      <c r="WJE3" s="120"/>
      <c r="WJF3" s="120"/>
      <c r="WJG3" s="120"/>
      <c r="WJH3" s="120"/>
      <c r="WJI3" s="120"/>
      <c r="WJJ3" s="120"/>
      <c r="WJK3" s="120"/>
      <c r="WJL3" s="120"/>
      <c r="WJM3" s="120"/>
      <c r="WJN3" s="120"/>
      <c r="WJO3" s="120"/>
      <c r="WJP3" s="120"/>
      <c r="WJQ3" s="120"/>
      <c r="WJR3" s="120"/>
      <c r="WJS3" s="120"/>
      <c r="WJT3" s="120"/>
      <c r="WJU3" s="120"/>
      <c r="WJV3" s="120"/>
      <c r="WJW3" s="120"/>
      <c r="WJX3" s="120"/>
      <c r="WJY3" s="120"/>
      <c r="WJZ3" s="120"/>
      <c r="WKA3" s="120"/>
      <c r="WKB3" s="120"/>
      <c r="WKC3" s="120"/>
      <c r="WKD3" s="120"/>
      <c r="WKE3" s="120"/>
      <c r="WKF3" s="120"/>
      <c r="WKG3" s="120"/>
      <c r="WKH3" s="120"/>
      <c r="WKI3" s="120"/>
      <c r="WKJ3" s="120"/>
      <c r="WKK3" s="120"/>
      <c r="WKL3" s="120"/>
      <c r="WKM3" s="120"/>
      <c r="WKN3" s="120"/>
      <c r="WKO3" s="120"/>
      <c r="WKP3" s="120"/>
      <c r="WKQ3" s="120"/>
      <c r="WKR3" s="120"/>
      <c r="WKS3" s="120"/>
      <c r="WKT3" s="120"/>
      <c r="WKU3" s="120"/>
      <c r="WKV3" s="120"/>
      <c r="WKW3" s="120"/>
      <c r="WKX3" s="120"/>
      <c r="WKY3" s="120"/>
      <c r="WKZ3" s="120"/>
      <c r="WLA3" s="120"/>
      <c r="WLB3" s="120"/>
      <c r="WLC3" s="120"/>
      <c r="WLD3" s="120"/>
      <c r="WLE3" s="120"/>
      <c r="WLF3" s="120"/>
      <c r="WLG3" s="120"/>
      <c r="WLH3" s="120"/>
      <c r="WLI3" s="120"/>
      <c r="WLJ3" s="120"/>
      <c r="WLK3" s="120"/>
      <c r="WLL3" s="120"/>
      <c r="WLM3" s="120"/>
      <c r="WLN3" s="120"/>
      <c r="WLO3" s="120"/>
      <c r="WLP3" s="120"/>
      <c r="WLQ3" s="120"/>
      <c r="WLR3" s="120"/>
      <c r="WLS3" s="120"/>
      <c r="WLT3" s="120"/>
      <c r="WLU3" s="120"/>
      <c r="WLV3" s="120"/>
      <c r="WLW3" s="120"/>
      <c r="WLX3" s="120"/>
      <c r="WLY3" s="120"/>
      <c r="WLZ3" s="120"/>
      <c r="WMA3" s="120"/>
      <c r="WMB3" s="120"/>
      <c r="WMC3" s="120"/>
      <c r="WMD3" s="120"/>
      <c r="WME3" s="120"/>
      <c r="WMF3" s="120"/>
      <c r="WMG3" s="120"/>
      <c r="WMH3" s="120"/>
      <c r="WMI3" s="120"/>
      <c r="WMJ3" s="120"/>
      <c r="WMK3" s="120"/>
      <c r="WML3" s="120"/>
      <c r="WMM3" s="120"/>
      <c r="WMN3" s="120"/>
      <c r="WMO3" s="120"/>
      <c r="WMP3" s="120"/>
      <c r="WMQ3" s="120"/>
      <c r="WMR3" s="120"/>
      <c r="WMS3" s="120"/>
      <c r="WMT3" s="120"/>
      <c r="WMU3" s="120"/>
      <c r="WMV3" s="120"/>
      <c r="WMW3" s="120"/>
      <c r="WMX3" s="120"/>
      <c r="WMY3" s="120"/>
      <c r="WMZ3" s="120"/>
      <c r="WNA3" s="120"/>
      <c r="WNB3" s="120"/>
      <c r="WNC3" s="120"/>
      <c r="WND3" s="120"/>
      <c r="WNE3" s="120"/>
      <c r="WNF3" s="120"/>
      <c r="WNG3" s="120"/>
      <c r="WNH3" s="120"/>
      <c r="WNI3" s="120"/>
      <c r="WNJ3" s="120"/>
      <c r="WNK3" s="120"/>
      <c r="WNL3" s="120"/>
      <c r="WNM3" s="120"/>
      <c r="WNN3" s="120"/>
      <c r="WNO3" s="120"/>
      <c r="WNP3" s="120"/>
      <c r="WNQ3" s="120"/>
      <c r="WNR3" s="120"/>
      <c r="WNS3" s="120"/>
      <c r="WNT3" s="120"/>
      <c r="WNU3" s="120"/>
      <c r="WNV3" s="120"/>
      <c r="WNW3" s="120"/>
      <c r="WNX3" s="120"/>
      <c r="WNY3" s="120"/>
      <c r="WNZ3" s="120"/>
      <c r="WOA3" s="120"/>
      <c r="WOB3" s="120"/>
      <c r="WOC3" s="120"/>
      <c r="WOD3" s="120"/>
      <c r="WOE3" s="120"/>
      <c r="WOF3" s="120"/>
      <c r="WOG3" s="120"/>
      <c r="WOH3" s="120"/>
      <c r="WOI3" s="120"/>
      <c r="WOJ3" s="120"/>
      <c r="WOK3" s="120"/>
      <c r="WOL3" s="120"/>
      <c r="WOM3" s="120"/>
      <c r="WON3" s="120"/>
      <c r="WOO3" s="120"/>
      <c r="WOP3" s="120"/>
      <c r="WOQ3" s="120"/>
      <c r="WOR3" s="120"/>
      <c r="WOS3" s="120"/>
      <c r="WOT3" s="120"/>
      <c r="WOU3" s="120"/>
      <c r="WOV3" s="120"/>
      <c r="WOW3" s="120"/>
      <c r="WOX3" s="120"/>
      <c r="WOY3" s="120"/>
      <c r="WOZ3" s="120"/>
      <c r="WPA3" s="120"/>
      <c r="WPB3" s="120"/>
      <c r="WPC3" s="120"/>
      <c r="WPD3" s="120"/>
      <c r="WPE3" s="120"/>
      <c r="WPF3" s="120"/>
      <c r="WPG3" s="120"/>
      <c r="WPH3" s="120"/>
      <c r="WPI3" s="120"/>
      <c r="WPJ3" s="120"/>
      <c r="WPK3" s="120"/>
      <c r="WPL3" s="120"/>
      <c r="WPM3" s="120"/>
      <c r="WPN3" s="120"/>
      <c r="WPO3" s="120"/>
      <c r="WPP3" s="120"/>
      <c r="WPQ3" s="120"/>
      <c r="WPR3" s="120"/>
      <c r="WPS3" s="120"/>
      <c r="WPT3" s="120"/>
      <c r="WPU3" s="120"/>
      <c r="WPV3" s="120"/>
      <c r="WPW3" s="120"/>
      <c r="WPX3" s="120"/>
      <c r="WPY3" s="120"/>
      <c r="WPZ3" s="120"/>
      <c r="WQA3" s="120"/>
      <c r="WQB3" s="120"/>
      <c r="WQC3" s="120"/>
      <c r="WQD3" s="120"/>
      <c r="WQE3" s="120"/>
      <c r="WQF3" s="120"/>
      <c r="WQG3" s="120"/>
      <c r="WQH3" s="120"/>
      <c r="WQI3" s="120"/>
      <c r="WQJ3" s="120"/>
      <c r="WQK3" s="120"/>
      <c r="WQL3" s="120"/>
      <c r="WQM3" s="120"/>
      <c r="WQN3" s="120"/>
      <c r="WQO3" s="120"/>
      <c r="WQP3" s="120"/>
      <c r="WQQ3" s="120"/>
      <c r="WQR3" s="120"/>
      <c r="WQS3" s="120"/>
      <c r="WQT3" s="120"/>
      <c r="WQU3" s="120"/>
      <c r="WQV3" s="120"/>
      <c r="WQW3" s="120"/>
      <c r="WQX3" s="120"/>
      <c r="WQY3" s="120"/>
      <c r="WQZ3" s="120"/>
      <c r="WRA3" s="120"/>
      <c r="WRB3" s="120"/>
      <c r="WRC3" s="120"/>
      <c r="WRD3" s="120"/>
      <c r="WRE3" s="120"/>
      <c r="WRF3" s="120"/>
      <c r="WRG3" s="120"/>
      <c r="WRH3" s="120"/>
      <c r="WRI3" s="120"/>
      <c r="WRJ3" s="120"/>
      <c r="WRK3" s="120"/>
      <c r="WRL3" s="120"/>
      <c r="WRM3" s="120"/>
      <c r="WRN3" s="120"/>
      <c r="WRO3" s="120"/>
      <c r="WRP3" s="120"/>
      <c r="WRQ3" s="120"/>
      <c r="WRR3" s="120"/>
      <c r="WRS3" s="120"/>
      <c r="WRT3" s="120"/>
      <c r="WRU3" s="120"/>
      <c r="WRV3" s="120"/>
      <c r="WRW3" s="120"/>
      <c r="WRX3" s="120"/>
      <c r="WRY3" s="120"/>
      <c r="WRZ3" s="120"/>
      <c r="WSA3" s="120"/>
      <c r="WSB3" s="120"/>
      <c r="WSC3" s="120"/>
      <c r="WSD3" s="120"/>
      <c r="WSE3" s="120"/>
      <c r="WSF3" s="120"/>
      <c r="WSG3" s="120"/>
      <c r="WSH3" s="120"/>
      <c r="WSI3" s="120"/>
      <c r="WSJ3" s="120"/>
      <c r="WSK3" s="120"/>
      <c r="WSL3" s="120"/>
      <c r="WSM3" s="120"/>
      <c r="WSN3" s="120"/>
      <c r="WSO3" s="120"/>
      <c r="WSP3" s="120"/>
      <c r="WSQ3" s="120"/>
      <c r="WSR3" s="120"/>
      <c r="WSS3" s="120"/>
      <c r="WST3" s="120"/>
      <c r="WSU3" s="120"/>
      <c r="WSV3" s="120"/>
      <c r="WSW3" s="120"/>
      <c r="WSX3" s="120"/>
      <c r="WSY3" s="120"/>
      <c r="WSZ3" s="120"/>
      <c r="WTA3" s="120"/>
      <c r="WTB3" s="120"/>
      <c r="WTC3" s="120"/>
      <c r="WTD3" s="120"/>
      <c r="WTE3" s="120"/>
      <c r="WTF3" s="120"/>
      <c r="WTG3" s="120"/>
      <c r="WTH3" s="120"/>
      <c r="WTI3" s="120"/>
      <c r="WTJ3" s="120"/>
      <c r="WTK3" s="120"/>
      <c r="WTL3" s="120"/>
      <c r="WTM3" s="120"/>
      <c r="WTN3" s="120"/>
      <c r="WTO3" s="120"/>
      <c r="WTP3" s="120"/>
      <c r="WTQ3" s="120"/>
      <c r="WTR3" s="120"/>
      <c r="WTS3" s="120"/>
      <c r="WTT3" s="120"/>
      <c r="WTU3" s="120"/>
      <c r="WTV3" s="120"/>
      <c r="WTW3" s="120"/>
      <c r="WTX3" s="120"/>
      <c r="WTY3" s="120"/>
      <c r="WTZ3" s="120"/>
      <c r="WUA3" s="120"/>
      <c r="WUB3" s="120"/>
      <c r="WUC3" s="120"/>
      <c r="WUD3" s="120"/>
      <c r="WUE3" s="120"/>
      <c r="WUF3" s="120"/>
      <c r="WUG3" s="120"/>
      <c r="WUH3" s="120"/>
      <c r="WUI3" s="120"/>
      <c r="WUJ3" s="120"/>
      <c r="WUK3" s="120"/>
      <c r="WUL3" s="120"/>
      <c r="WUM3" s="120"/>
      <c r="WUN3" s="120"/>
      <c r="WUO3" s="120"/>
      <c r="WUP3" s="120"/>
      <c r="WUQ3" s="120"/>
      <c r="WUR3" s="120"/>
      <c r="WUS3" s="120"/>
      <c r="WUT3" s="120"/>
      <c r="WUU3" s="120"/>
      <c r="WUV3" s="120"/>
      <c r="WUW3" s="120"/>
      <c r="WUX3" s="120"/>
      <c r="WUY3" s="120"/>
      <c r="WUZ3" s="120"/>
      <c r="WVA3" s="120"/>
      <c r="WVB3" s="120"/>
      <c r="WVC3" s="120"/>
      <c r="WVD3" s="120"/>
      <c r="WVE3" s="120"/>
      <c r="WVF3" s="120"/>
      <c r="WVG3" s="120"/>
      <c r="WVH3" s="120"/>
      <c r="WVI3" s="120"/>
      <c r="WVJ3" s="120"/>
      <c r="WVK3" s="120"/>
      <c r="WVL3" s="120"/>
      <c r="WVM3" s="120"/>
      <c r="WVN3" s="120"/>
      <c r="WVO3" s="120"/>
      <c r="WVP3" s="120"/>
      <c r="WVQ3" s="120"/>
      <c r="WVR3" s="120"/>
      <c r="WVS3" s="120"/>
      <c r="WVT3" s="120"/>
      <c r="WVU3" s="120"/>
      <c r="WVV3" s="120"/>
      <c r="WVW3" s="120"/>
      <c r="WVX3" s="120"/>
      <c r="WVY3" s="120"/>
      <c r="WVZ3" s="120"/>
      <c r="WWA3" s="120"/>
      <c r="WWB3" s="120"/>
      <c r="WWC3" s="120"/>
      <c r="WWD3" s="120"/>
      <c r="WWE3" s="120"/>
      <c r="WWF3" s="120"/>
      <c r="WWG3" s="120"/>
      <c r="WWH3" s="120"/>
      <c r="WWI3" s="120"/>
      <c r="WWJ3" s="120"/>
      <c r="WWK3" s="120"/>
      <c r="WWL3" s="120"/>
      <c r="WWM3" s="120"/>
      <c r="WWN3" s="120"/>
      <c r="WWO3" s="120"/>
      <c r="WWP3" s="120"/>
      <c r="WWQ3" s="120"/>
      <c r="WWR3" s="120"/>
      <c r="WWS3" s="120"/>
      <c r="WWT3" s="120"/>
      <c r="WWU3" s="120"/>
      <c r="WWV3" s="120"/>
      <c r="WWW3" s="120"/>
      <c r="WWX3" s="120"/>
      <c r="WWY3" s="120"/>
      <c r="WWZ3" s="120"/>
      <c r="WXA3" s="120"/>
      <c r="WXB3" s="120"/>
      <c r="WXC3" s="120"/>
      <c r="WXD3" s="120"/>
      <c r="WXE3" s="120"/>
      <c r="WXF3" s="120"/>
      <c r="WXG3" s="120"/>
      <c r="WXH3" s="120"/>
      <c r="WXI3" s="120"/>
      <c r="WXJ3" s="120"/>
      <c r="WXK3" s="120"/>
      <c r="WXL3" s="120"/>
      <c r="WXM3" s="120"/>
      <c r="WXN3" s="120"/>
      <c r="WXO3" s="120"/>
      <c r="WXP3" s="120"/>
      <c r="WXQ3" s="120"/>
      <c r="WXR3" s="120"/>
      <c r="WXS3" s="120"/>
      <c r="WXT3" s="120"/>
      <c r="WXU3" s="120"/>
      <c r="WXV3" s="120"/>
      <c r="WXW3" s="120"/>
      <c r="WXX3" s="120"/>
      <c r="WXY3" s="120"/>
      <c r="WXZ3" s="120"/>
      <c r="WYA3" s="120"/>
      <c r="WYB3" s="120"/>
      <c r="WYC3" s="120"/>
      <c r="WYD3" s="120"/>
      <c r="WYE3" s="120"/>
      <c r="WYF3" s="120"/>
      <c r="WYG3" s="120"/>
      <c r="WYH3" s="120"/>
      <c r="WYI3" s="120"/>
      <c r="WYJ3" s="120"/>
      <c r="WYK3" s="120"/>
      <c r="WYL3" s="120"/>
      <c r="WYM3" s="120"/>
      <c r="WYN3" s="120"/>
      <c r="WYO3" s="120"/>
      <c r="WYP3" s="120"/>
      <c r="WYQ3" s="120"/>
      <c r="WYR3" s="120"/>
      <c r="WYS3" s="120"/>
      <c r="WYT3" s="120"/>
      <c r="WYU3" s="120"/>
      <c r="WYV3" s="120"/>
      <c r="WYW3" s="120"/>
      <c r="WYX3" s="120"/>
      <c r="WYY3" s="120"/>
      <c r="WYZ3" s="120"/>
      <c r="WZA3" s="120"/>
      <c r="WZB3" s="120"/>
      <c r="WZC3" s="120"/>
      <c r="WZD3" s="120"/>
      <c r="WZE3" s="120"/>
      <c r="WZF3" s="120"/>
      <c r="WZG3" s="120"/>
      <c r="WZH3" s="120"/>
      <c r="WZI3" s="120"/>
      <c r="WZJ3" s="120"/>
      <c r="WZK3" s="120"/>
      <c r="WZL3" s="120"/>
      <c r="WZM3" s="120"/>
      <c r="WZN3" s="120"/>
      <c r="WZO3" s="120"/>
      <c r="WZP3" s="120"/>
      <c r="WZQ3" s="120"/>
      <c r="WZR3" s="120"/>
      <c r="WZS3" s="120"/>
      <c r="WZT3" s="120"/>
      <c r="WZU3" s="120"/>
      <c r="WZV3" s="120"/>
      <c r="WZW3" s="120"/>
      <c r="WZX3" s="120"/>
      <c r="WZY3" s="120"/>
      <c r="WZZ3" s="120"/>
      <c r="XAA3" s="120"/>
      <c r="XAB3" s="120"/>
      <c r="XAC3" s="120"/>
      <c r="XAD3" s="120"/>
      <c r="XAE3" s="120"/>
      <c r="XAF3" s="120"/>
      <c r="XAG3" s="120"/>
      <c r="XAH3" s="120"/>
      <c r="XAI3" s="120"/>
      <c r="XAJ3" s="120"/>
      <c r="XAK3" s="120"/>
      <c r="XAL3" s="120"/>
      <c r="XAM3" s="120"/>
      <c r="XAN3" s="120"/>
      <c r="XAO3" s="120"/>
      <c r="XAP3" s="120"/>
      <c r="XAQ3" s="120"/>
      <c r="XAR3" s="120"/>
      <c r="XAS3" s="120"/>
      <c r="XAT3" s="120"/>
      <c r="XAU3" s="120"/>
      <c r="XAV3" s="120"/>
      <c r="XAW3" s="120"/>
      <c r="XAX3" s="120"/>
      <c r="XAY3" s="120"/>
      <c r="XAZ3" s="120"/>
      <c r="XBA3" s="120"/>
      <c r="XBB3" s="120"/>
      <c r="XBC3" s="120"/>
      <c r="XBD3" s="120"/>
      <c r="XBE3" s="120"/>
      <c r="XBF3" s="120"/>
      <c r="XBG3" s="120"/>
      <c r="XBH3" s="120"/>
      <c r="XBI3" s="120"/>
      <c r="XBJ3" s="120"/>
      <c r="XBK3" s="120"/>
      <c r="XBL3" s="120"/>
      <c r="XBM3" s="120"/>
      <c r="XBN3" s="120"/>
      <c r="XBO3" s="120"/>
      <c r="XBP3" s="120"/>
      <c r="XBQ3" s="120"/>
      <c r="XBR3" s="120"/>
      <c r="XBS3" s="120"/>
      <c r="XBT3" s="120"/>
      <c r="XBU3" s="120"/>
      <c r="XBV3" s="120"/>
      <c r="XBW3" s="120"/>
      <c r="XBX3" s="120"/>
      <c r="XBY3" s="120"/>
      <c r="XBZ3" s="120"/>
      <c r="XCA3" s="120"/>
      <c r="XCB3" s="120"/>
      <c r="XCC3" s="120"/>
      <c r="XCD3" s="120"/>
      <c r="XCE3" s="120"/>
      <c r="XCF3" s="120"/>
      <c r="XCG3" s="120"/>
      <c r="XCH3" s="120"/>
      <c r="XCI3" s="120"/>
      <c r="XCJ3" s="120"/>
      <c r="XCK3" s="120"/>
      <c r="XCL3" s="120"/>
      <c r="XCM3" s="120"/>
      <c r="XCN3" s="120"/>
      <c r="XCO3" s="120"/>
      <c r="XCP3" s="120"/>
      <c r="XCQ3" s="120"/>
      <c r="XCR3" s="120"/>
      <c r="XCS3" s="120"/>
      <c r="XCT3" s="120"/>
      <c r="XCU3" s="120"/>
      <c r="XCV3" s="120"/>
      <c r="XCW3" s="120"/>
      <c r="XCX3" s="120"/>
      <c r="XCY3" s="120"/>
      <c r="XCZ3" s="120"/>
      <c r="XDA3" s="120"/>
      <c r="XDB3" s="120"/>
      <c r="XDC3" s="120"/>
      <c r="XDD3" s="120"/>
      <c r="XDE3" s="120"/>
      <c r="XDF3" s="120"/>
      <c r="XDG3" s="120"/>
      <c r="XDH3" s="120"/>
      <c r="XDI3" s="120"/>
      <c r="XDJ3" s="120"/>
      <c r="XDK3" s="120"/>
      <c r="XDL3" s="120"/>
      <c r="XDM3" s="120"/>
      <c r="XDN3" s="120"/>
      <c r="XDO3" s="120"/>
      <c r="XDP3" s="120"/>
      <c r="XDQ3" s="120"/>
      <c r="XDR3" s="120"/>
      <c r="XDS3" s="120"/>
      <c r="XDT3" s="120"/>
      <c r="XDU3" s="120"/>
      <c r="XDV3" s="120"/>
      <c r="XDW3" s="120"/>
      <c r="XDX3" s="120"/>
      <c r="XDY3" s="120"/>
      <c r="XDZ3" s="120"/>
      <c r="XEA3" s="120"/>
      <c r="XEB3" s="120"/>
      <c r="XEC3" s="120"/>
      <c r="XED3" s="120"/>
      <c r="XEE3" s="120"/>
      <c r="XEF3" s="120"/>
      <c r="XEG3" s="120"/>
      <c r="XEH3" s="120"/>
      <c r="XEI3" s="120"/>
      <c r="XEJ3" s="120"/>
      <c r="XEK3" s="120"/>
      <c r="XEL3" s="120"/>
      <c r="XEM3" s="120"/>
      <c r="XEN3" s="120"/>
      <c r="XEO3" s="120"/>
      <c r="XEP3" s="120"/>
      <c r="XEQ3" s="120"/>
      <c r="XER3" s="120"/>
      <c r="XES3" s="120"/>
      <c r="XET3" s="120"/>
      <c r="XEU3" s="120"/>
      <c r="XEV3" s="120"/>
      <c r="XEW3" s="120"/>
      <c r="XEX3" s="120"/>
      <c r="XEY3" s="120"/>
      <c r="XEZ3" s="120"/>
      <c r="XFA3" s="120"/>
      <c r="XFB3" s="120"/>
      <c r="XFC3" s="120"/>
      <c r="XFD3" s="120"/>
    </row>
    <row r="4" spans="1:16384" ht="15" customHeight="1" thickBot="1">
      <c r="C4" s="49"/>
      <c r="D4" s="42"/>
      <c r="E4" s="42"/>
      <c r="F4" s="42"/>
      <c r="G4" s="42"/>
      <c r="H4" s="42"/>
      <c r="I4" s="42"/>
    </row>
    <row r="5" spans="1:16384" ht="39" customHeight="1" thickTop="1">
      <c r="C5" s="34" t="s">
        <v>25</v>
      </c>
      <c r="D5" s="34" t="s">
        <v>57</v>
      </c>
      <c r="E5" s="34" t="s">
        <v>58</v>
      </c>
      <c r="F5" s="34" t="s">
        <v>59</v>
      </c>
      <c r="G5" s="34" t="s">
        <v>60</v>
      </c>
      <c r="H5" s="34" t="s">
        <v>61</v>
      </c>
      <c r="I5" s="34" t="s">
        <v>59</v>
      </c>
    </row>
    <row r="6" spans="1:16384" ht="30" customHeight="1">
      <c r="B6" s="53">
        <f>LARGE(CAD_PROD!$B$6:$B$505,1)</f>
        <v>13500.000005</v>
      </c>
      <c r="C6" s="77" t="str">
        <f>IF(B6=0,"",VLOOKUP(B6,CAD_PROD!$B:$C,2,0))</f>
        <v>Produto 5</v>
      </c>
      <c r="D6" s="87">
        <f>IF(C6="","",VLOOKUP(C6,CAD_CUST!$C:$R,14,0))</f>
        <v>204</v>
      </c>
      <c r="E6" s="77">
        <f>IF(C6="","",VLOOKUP(C6,CAD_PROD!C:G,3,0))</f>
        <v>150</v>
      </c>
      <c r="F6" s="88">
        <f>IF(C6="","",E6-D6)</f>
        <v>-54</v>
      </c>
      <c r="G6" s="75">
        <f>IF(C6="","",VLOOKUP(C6,CAD_CUST!$C:$R,12,0))</f>
        <v>18360</v>
      </c>
      <c r="H6" s="75">
        <f>IF(C6="","",VLOOKUP(C6,CAD_PROD!C:G,4,0))</f>
        <v>13500</v>
      </c>
      <c r="I6" s="78">
        <f>IF(C6="","",H6-G6)</f>
        <v>-4860</v>
      </c>
    </row>
    <row r="7" spans="1:16384" ht="30" customHeight="1">
      <c r="B7" s="53">
        <f>LARGE(CAD_PROD!B6:B505,2)</f>
        <v>5400.0000019999998</v>
      </c>
      <c r="C7" s="77" t="str">
        <f>IF(B7=0,"",VLOOKUP(B7,CAD_PROD!B:C,2,0))</f>
        <v>Produto 2</v>
      </c>
      <c r="D7" s="87">
        <f>IF(C7="","",VLOOKUP(C7,CAD_CUST!$C:$R,14,0))</f>
        <v>89</v>
      </c>
      <c r="E7" s="77">
        <f>IF(C7="","",VLOOKUP(C7,CAD_PROD!C:G,3,0))</f>
        <v>90</v>
      </c>
      <c r="F7" s="88">
        <f t="shared" ref="F7:F15" si="0">IF(C7="","",E7-D7)</f>
        <v>1</v>
      </c>
      <c r="G7" s="75">
        <f>IF(C7="","",VLOOKUP(C7,CAD_CUST!$C:$R,12,0))</f>
        <v>5340</v>
      </c>
      <c r="H7" s="75">
        <f>IF(C7="","",VLOOKUP(C7,CAD_PROD!C:G,4,0))</f>
        <v>5400</v>
      </c>
      <c r="I7" s="78">
        <f t="shared" ref="I7:I15" si="1">IF(C7="","",H7-G7)</f>
        <v>60</v>
      </c>
    </row>
    <row r="8" spans="1:16384" ht="30" customHeight="1">
      <c r="B8" s="53">
        <f>LARGE(CAD_PROD!B6:B505,3)</f>
        <v>3200.000004</v>
      </c>
      <c r="C8" s="77" t="str">
        <f>IF(B8=0,"",VLOOKUP(B8,CAD_PROD!B:C,2,0))</f>
        <v>Produto 4</v>
      </c>
      <c r="D8" s="87">
        <f>IF(C8="","",VLOOKUP(C8,CAD_CUST!$C:$R,14,0))</f>
        <v>49</v>
      </c>
      <c r="E8" s="77">
        <f>IF(C8="","",VLOOKUP(C8,CAD_PROD!C:G,3,0))</f>
        <v>40</v>
      </c>
      <c r="F8" s="88">
        <f t="shared" si="0"/>
        <v>-9</v>
      </c>
      <c r="G8" s="75">
        <f>IF(C8="","",VLOOKUP(C8,CAD_CUST!$C:$R,12,0))</f>
        <v>3920</v>
      </c>
      <c r="H8" s="75">
        <f>IF(C8="","",VLOOKUP(C8,CAD_PROD!C:G,4,0))</f>
        <v>3200</v>
      </c>
      <c r="I8" s="78">
        <f t="shared" si="1"/>
        <v>-720</v>
      </c>
    </row>
    <row r="9" spans="1:16384" ht="30" customHeight="1">
      <c r="B9" s="53">
        <f>LARGE(CAD_PROD!B6:B505,4)</f>
        <v>2100.0000030000001</v>
      </c>
      <c r="C9" s="77" t="str">
        <f>IF(B9=0,"",VLOOKUP(B9,CAD_PROD!B:C,2,0))</f>
        <v>Produto 3</v>
      </c>
      <c r="D9" s="87">
        <f>IF(C9="","",VLOOKUP(C9,CAD_CUST!$C:$R,14,0))</f>
        <v>33</v>
      </c>
      <c r="E9" s="77">
        <f>IF(C9="","",VLOOKUP(C9,CAD_PROD!C:G,3,0))</f>
        <v>30</v>
      </c>
      <c r="F9" s="88">
        <f t="shared" si="0"/>
        <v>-3</v>
      </c>
      <c r="G9" s="75">
        <f>IF(C9="","",VLOOKUP(C9,CAD_CUST!$C:$R,12,0))</f>
        <v>2310</v>
      </c>
      <c r="H9" s="75">
        <f>IF(C9="","",VLOOKUP(C9,CAD_PROD!C:G,4,0))</f>
        <v>2100</v>
      </c>
      <c r="I9" s="78">
        <f t="shared" si="1"/>
        <v>-210</v>
      </c>
    </row>
    <row r="10" spans="1:16384" ht="30" customHeight="1">
      <c r="B10" s="53">
        <f>LARGE(CAD_PROD!B6:B505,5)</f>
        <v>500.000001</v>
      </c>
      <c r="C10" s="77" t="str">
        <f>IF(B10=0,"",VLOOKUP(B10,CAD_PROD!B:C,2,0))</f>
        <v>Produto 1</v>
      </c>
      <c r="D10" s="87">
        <f>IF(C10="","",VLOOKUP(C10,CAD_CUST!$C:$R,14,0))</f>
        <v>9</v>
      </c>
      <c r="E10" s="77">
        <f>IF(C10="","",VLOOKUP(C10,CAD_PROD!C:G,3,0))</f>
        <v>10</v>
      </c>
      <c r="F10" s="88">
        <f t="shared" si="0"/>
        <v>1</v>
      </c>
      <c r="G10" s="75">
        <f>IF(C10="","",VLOOKUP(C10,CAD_CUST!$C:$R,12,0))</f>
        <v>450</v>
      </c>
      <c r="H10" s="75">
        <f>IF(C10="","",VLOOKUP(C10,CAD_PROD!C:G,4,0))</f>
        <v>500</v>
      </c>
      <c r="I10" s="78">
        <f t="shared" si="1"/>
        <v>50</v>
      </c>
    </row>
    <row r="11" spans="1:16384" ht="30" customHeight="1">
      <c r="B11" s="53">
        <f>LARGE(CAD_PROD!B6:B505,6)</f>
        <v>0</v>
      </c>
      <c r="C11" s="79" t="str">
        <f>IF(B11=0,"",VLOOKUP(B11,CAD_PROD!B:C,2,0))</f>
        <v/>
      </c>
      <c r="D11" s="87" t="str">
        <f>IF(C11="","",VLOOKUP(C11,CAD_CUST!$C:$R,14,0))</f>
        <v/>
      </c>
      <c r="E11" s="79" t="str">
        <f>IF(C11="","",VLOOKUP(C11,CAD_PROD!C:G,3,0))</f>
        <v/>
      </c>
      <c r="F11" s="88" t="str">
        <f t="shared" si="0"/>
        <v/>
      </c>
      <c r="G11" s="89" t="str">
        <f>IF(C11="","",VLOOKUP(C11,CAD_CUST!$C:$R,12,0))</f>
        <v/>
      </c>
      <c r="H11" s="90" t="str">
        <f>IF(C11="","",VLOOKUP(C11,CAD_PROD!C:G,4,0))</f>
        <v/>
      </c>
      <c r="I11" s="88" t="str">
        <f t="shared" si="1"/>
        <v/>
      </c>
    </row>
    <row r="12" spans="1:16384" ht="30" customHeight="1">
      <c r="B12" s="53">
        <f>LARGE(CAD_PROD!B6:B505,7)</f>
        <v>0</v>
      </c>
      <c r="C12" s="79" t="str">
        <f>IF(B12=0,"",VLOOKUP(B12,CAD_PROD!B:C,2,0))</f>
        <v/>
      </c>
      <c r="D12" s="87" t="str">
        <f>IF(C12="","",VLOOKUP(C12,CAD_CUST!$C:$R,14,0))</f>
        <v/>
      </c>
      <c r="E12" s="79" t="str">
        <f>IF(C12="","",VLOOKUP(C12,CAD_PROD!C:G,3,0))</f>
        <v/>
      </c>
      <c r="F12" s="88" t="str">
        <f t="shared" si="0"/>
        <v/>
      </c>
      <c r="G12" s="89" t="str">
        <f>IF(C12="","",VLOOKUP(C12,CAD_CUST!$C:$R,12,0))</f>
        <v/>
      </c>
      <c r="H12" s="90" t="str">
        <f>IF(C12="","",VLOOKUP(C12,CAD_PROD!C:G,4,0))</f>
        <v/>
      </c>
      <c r="I12" s="88" t="str">
        <f t="shared" si="1"/>
        <v/>
      </c>
    </row>
    <row r="13" spans="1:16384" ht="30" customHeight="1">
      <c r="B13" s="53">
        <f>LARGE(CAD_PROD!B6:B505,8)</f>
        <v>0</v>
      </c>
      <c r="C13" s="79" t="str">
        <f>IF(B13=0,"",VLOOKUP(B13,CAD_PROD!B:C,2,0))</f>
        <v/>
      </c>
      <c r="D13" s="87" t="str">
        <f>IF(C13="","",VLOOKUP(C13,CAD_CUST!$C:$R,14,0))</f>
        <v/>
      </c>
      <c r="E13" s="79" t="str">
        <f>IF(C13="","",VLOOKUP(C13,CAD_PROD!C:G,3,0))</f>
        <v/>
      </c>
      <c r="F13" s="88" t="str">
        <f t="shared" si="0"/>
        <v/>
      </c>
      <c r="G13" s="89" t="str">
        <f>IF(C13="","",VLOOKUP(C13,CAD_CUST!$C:$R,12,0))</f>
        <v/>
      </c>
      <c r="H13" s="90" t="str">
        <f>IF(C13="","",VLOOKUP(C13,CAD_PROD!C:G,4,0))</f>
        <v/>
      </c>
      <c r="I13" s="88" t="str">
        <f t="shared" si="1"/>
        <v/>
      </c>
    </row>
    <row r="14" spans="1:16384" ht="30" customHeight="1">
      <c r="B14" s="53">
        <f>LARGE(CAD_PROD!B6:B505,9)</f>
        <v>0</v>
      </c>
      <c r="C14" s="79" t="str">
        <f>IF(B14=0,"",VLOOKUP(B14,CAD_PROD!B:C,2,0))</f>
        <v/>
      </c>
      <c r="D14" s="87" t="str">
        <f>IF(C14="","",VLOOKUP(C14,CAD_CUST!$C:$R,14,0))</f>
        <v/>
      </c>
      <c r="E14" s="79" t="str">
        <f>IF(C14="","",VLOOKUP(C14,CAD_PROD!C:G,3,0))</f>
        <v/>
      </c>
      <c r="F14" s="88" t="str">
        <f t="shared" si="0"/>
        <v/>
      </c>
      <c r="G14" s="89" t="str">
        <f>IF(C14="","",VLOOKUP(C14,CAD_CUST!$C:$R,12,0))</f>
        <v/>
      </c>
      <c r="H14" s="90" t="str">
        <f>IF(C14="","",VLOOKUP(C14,CAD_PROD!C:G,4,0))</f>
        <v/>
      </c>
      <c r="I14" s="88" t="str">
        <f t="shared" si="1"/>
        <v/>
      </c>
    </row>
    <row r="15" spans="1:16384" ht="30" customHeight="1">
      <c r="B15" s="53">
        <f>LARGE(CAD_PROD!B6:B505,10)</f>
        <v>0</v>
      </c>
      <c r="C15" s="79" t="str">
        <f>IF(B15=0,"",VLOOKUP(B15,CAD_PROD!B:C,2,0))</f>
        <v/>
      </c>
      <c r="D15" s="87" t="str">
        <f>IF(C15="","",VLOOKUP(C15,CAD_CUST!$C:$R,14,0))</f>
        <v/>
      </c>
      <c r="E15" s="79" t="str">
        <f>IF(C15="","",VLOOKUP(C15,CAD_PROD!C:G,3,0))</f>
        <v/>
      </c>
      <c r="F15" s="88" t="str">
        <f t="shared" si="0"/>
        <v/>
      </c>
      <c r="G15" s="89" t="str">
        <f>IF(C15="","",VLOOKUP(C15,CAD_CUST!$C:$R,12,0))</f>
        <v/>
      </c>
      <c r="H15" s="90" t="str">
        <f>IF(C15="","",VLOOKUP(C15,CAD_PROD!C:G,4,0))</f>
        <v/>
      </c>
      <c r="I15" s="88" t="str">
        <f t="shared" si="1"/>
        <v/>
      </c>
    </row>
    <row r="16" spans="1:16384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</sheetData>
  <conditionalFormatting sqref="F6:F15">
    <cfRule type="cellIs" dxfId="14" priority="9" operator="equal">
      <formula>0</formula>
    </cfRule>
    <cfRule type="cellIs" dxfId="13" priority="10" operator="greaterThan">
      <formula>0</formula>
    </cfRule>
    <cfRule type="cellIs" dxfId="12" priority="11" operator="lessThan">
      <formula>0</formula>
    </cfRule>
  </conditionalFormatting>
  <conditionalFormatting sqref="I6:I15">
    <cfRule type="cellIs" dxfId="11" priority="6" operator="equal">
      <formula>0</formula>
    </cfRule>
    <cfRule type="cellIs" dxfId="10" priority="7" operator="greaterThan">
      <formula>0</formula>
    </cfRule>
    <cfRule type="cellIs" dxfId="9" priority="8" operator="lessThan">
      <formula>0</formula>
    </cfRule>
  </conditionalFormatting>
  <conditionalFormatting sqref="C6:I15">
    <cfRule type="expression" dxfId="8" priority="5">
      <formula>$C6=""</formula>
    </cfRule>
  </conditionalFormatting>
  <pageMargins left="0.7" right="0.7" top="0.75" bottom="0.75" header="0.3" footer="0.3"/>
  <pageSetup paperSize="9" orientation="portrait" r:id="rId1"/>
  <ignoredErrors>
    <ignoredError sqref="E6 F6:G6 H6 I6 C7:C15 C6 E7:I15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FD99"/>
  <sheetViews>
    <sheetView showGridLines="0" zoomScale="90" zoomScaleNormal="90" zoomScalePageLayoutView="80" workbookViewId="0">
      <pane ySplit="5" topLeftCell="A6" activePane="bottomLeft" state="frozen"/>
      <selection activeCell="A3" sqref="A3:XFD3"/>
      <selection pane="bottomLeft" activeCell="C3" sqref="C3"/>
    </sheetView>
  </sheetViews>
  <sheetFormatPr defaultColWidth="11" defaultRowHeight="15"/>
  <cols>
    <col min="1" max="1" width="2.125" style="43" customWidth="1"/>
    <col min="2" max="2" width="1.375" style="52" customWidth="1"/>
    <col min="3" max="3" width="29" style="43" customWidth="1"/>
    <col min="4" max="4" width="27.875" style="43" customWidth="1"/>
    <col min="5" max="5" width="4.625" style="52" customWidth="1"/>
    <col min="6" max="6" width="29" style="43" customWidth="1"/>
    <col min="7" max="7" width="27.875" style="43" customWidth="1"/>
    <col min="8" max="16384" width="11" style="43"/>
  </cols>
  <sheetData>
    <row r="1" spans="1:16384" s="36" customFormat="1" ht="39" customHeight="1">
      <c r="B1" s="50"/>
      <c r="E1" s="50"/>
      <c r="F1" s="37"/>
      <c r="G1" s="37"/>
    </row>
    <row r="2" spans="1:16384" s="40" customFormat="1" ht="30" customHeight="1">
      <c r="B2" s="51"/>
      <c r="C2" s="38"/>
      <c r="D2" s="39"/>
      <c r="E2" s="51"/>
      <c r="F2" s="39"/>
      <c r="G2" s="39"/>
    </row>
    <row r="3" spans="1:16384" customFormat="1" ht="44.25" customHeight="1">
      <c r="A3" s="119"/>
      <c r="B3" s="120"/>
      <c r="C3" s="121"/>
      <c r="D3" s="120"/>
      <c r="E3" s="122"/>
      <c r="F3" s="122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0"/>
      <c r="CO3" s="120"/>
      <c r="CP3" s="120"/>
      <c r="CQ3" s="120"/>
      <c r="CR3" s="120"/>
      <c r="CS3" s="120"/>
      <c r="CT3" s="120"/>
      <c r="CU3" s="120"/>
      <c r="CV3" s="120"/>
      <c r="CW3" s="120"/>
      <c r="CX3" s="120"/>
      <c r="CY3" s="120"/>
      <c r="CZ3" s="120"/>
      <c r="DA3" s="120"/>
      <c r="DB3" s="120"/>
      <c r="DC3" s="120"/>
      <c r="DD3" s="120"/>
      <c r="DE3" s="120"/>
      <c r="DF3" s="120"/>
      <c r="DG3" s="120"/>
      <c r="DH3" s="120"/>
      <c r="DI3" s="120"/>
      <c r="DJ3" s="120"/>
      <c r="DK3" s="120"/>
      <c r="DL3" s="120"/>
      <c r="DM3" s="120"/>
      <c r="DN3" s="120"/>
      <c r="DO3" s="120"/>
      <c r="DP3" s="120"/>
      <c r="DQ3" s="120"/>
      <c r="DR3" s="120"/>
      <c r="DS3" s="120"/>
      <c r="DT3" s="120"/>
      <c r="DU3" s="120"/>
      <c r="DV3" s="120"/>
      <c r="DW3" s="120"/>
      <c r="DX3" s="120"/>
      <c r="DY3" s="120"/>
      <c r="DZ3" s="120"/>
      <c r="EA3" s="120"/>
      <c r="EB3" s="120"/>
      <c r="EC3" s="120"/>
      <c r="ED3" s="120"/>
      <c r="EE3" s="120"/>
      <c r="EF3" s="120"/>
      <c r="EG3" s="120"/>
      <c r="EH3" s="120"/>
      <c r="EI3" s="120"/>
      <c r="EJ3" s="120"/>
      <c r="EK3" s="120"/>
      <c r="EL3" s="120"/>
      <c r="EM3" s="120"/>
      <c r="EN3" s="120"/>
      <c r="EO3" s="120"/>
      <c r="EP3" s="120"/>
      <c r="EQ3" s="120"/>
      <c r="ER3" s="120"/>
      <c r="ES3" s="120"/>
      <c r="ET3" s="120"/>
      <c r="EU3" s="120"/>
      <c r="EV3" s="120"/>
      <c r="EW3" s="120"/>
      <c r="EX3" s="120"/>
      <c r="EY3" s="120"/>
      <c r="EZ3" s="120"/>
      <c r="FA3" s="120"/>
      <c r="FB3" s="120"/>
      <c r="FC3" s="120"/>
      <c r="FD3" s="120"/>
      <c r="FE3" s="120"/>
      <c r="FF3" s="120"/>
      <c r="FG3" s="120"/>
      <c r="FH3" s="120"/>
      <c r="FI3" s="120"/>
      <c r="FJ3" s="120"/>
      <c r="FK3" s="120"/>
      <c r="FL3" s="120"/>
      <c r="FM3" s="120"/>
      <c r="FN3" s="120"/>
      <c r="FO3" s="120"/>
      <c r="FP3" s="120"/>
      <c r="FQ3" s="120"/>
      <c r="FR3" s="120"/>
      <c r="FS3" s="120"/>
      <c r="FT3" s="120"/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0"/>
      <c r="GJ3" s="120"/>
      <c r="GK3" s="120"/>
      <c r="GL3" s="120"/>
      <c r="GM3" s="120"/>
      <c r="GN3" s="120"/>
      <c r="GO3" s="120"/>
      <c r="GP3" s="120"/>
      <c r="GQ3" s="120"/>
      <c r="GR3" s="120"/>
      <c r="GS3" s="120"/>
      <c r="GT3" s="120"/>
      <c r="GU3" s="120"/>
      <c r="GV3" s="120"/>
      <c r="GW3" s="120"/>
      <c r="GX3" s="120"/>
      <c r="GY3" s="120"/>
      <c r="GZ3" s="120"/>
      <c r="HA3" s="120"/>
      <c r="HB3" s="120"/>
      <c r="HC3" s="120"/>
      <c r="HD3" s="120"/>
      <c r="HE3" s="120"/>
      <c r="HF3" s="120"/>
      <c r="HG3" s="120"/>
      <c r="HH3" s="120"/>
      <c r="HI3" s="120"/>
      <c r="HJ3" s="120"/>
      <c r="HK3" s="120"/>
      <c r="HL3" s="120"/>
      <c r="HM3" s="120"/>
      <c r="HN3" s="120"/>
      <c r="HO3" s="120"/>
      <c r="HP3" s="120"/>
      <c r="HQ3" s="120"/>
      <c r="HR3" s="120"/>
      <c r="HS3" s="120"/>
      <c r="HT3" s="120"/>
      <c r="HU3" s="120"/>
      <c r="HV3" s="120"/>
      <c r="HW3" s="120"/>
      <c r="HX3" s="120"/>
      <c r="HY3" s="120"/>
      <c r="HZ3" s="120"/>
      <c r="IA3" s="120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P3" s="120"/>
      <c r="IQ3" s="120"/>
      <c r="IR3" s="120"/>
      <c r="IS3" s="120"/>
      <c r="IT3" s="120"/>
      <c r="IU3" s="120"/>
      <c r="IV3" s="120"/>
      <c r="IW3" s="120"/>
      <c r="IX3" s="120"/>
      <c r="IY3" s="120"/>
      <c r="IZ3" s="120"/>
      <c r="JA3" s="120"/>
      <c r="JB3" s="120"/>
      <c r="JC3" s="120"/>
      <c r="JD3" s="120"/>
      <c r="JE3" s="120"/>
      <c r="JF3" s="120"/>
      <c r="JG3" s="120"/>
      <c r="JH3" s="120"/>
      <c r="JI3" s="120"/>
      <c r="JJ3" s="120"/>
      <c r="JK3" s="120"/>
      <c r="JL3" s="120"/>
      <c r="JM3" s="120"/>
      <c r="JN3" s="120"/>
      <c r="JO3" s="120"/>
      <c r="JP3" s="120"/>
      <c r="JQ3" s="120"/>
      <c r="JR3" s="120"/>
      <c r="JS3" s="120"/>
      <c r="JT3" s="120"/>
      <c r="JU3" s="120"/>
      <c r="JV3" s="120"/>
      <c r="JW3" s="120"/>
      <c r="JX3" s="120"/>
      <c r="JY3" s="120"/>
      <c r="JZ3" s="120"/>
      <c r="KA3" s="120"/>
      <c r="KB3" s="120"/>
      <c r="KC3" s="120"/>
      <c r="KD3" s="120"/>
      <c r="KE3" s="120"/>
      <c r="KF3" s="120"/>
      <c r="KG3" s="120"/>
      <c r="KH3" s="120"/>
      <c r="KI3" s="120"/>
      <c r="KJ3" s="120"/>
      <c r="KK3" s="120"/>
      <c r="KL3" s="120"/>
      <c r="KM3" s="120"/>
      <c r="KN3" s="120"/>
      <c r="KO3" s="120"/>
      <c r="KP3" s="120"/>
      <c r="KQ3" s="120"/>
      <c r="KR3" s="120"/>
      <c r="KS3" s="120"/>
      <c r="KT3" s="120"/>
      <c r="KU3" s="120"/>
      <c r="KV3" s="120"/>
      <c r="KW3" s="120"/>
      <c r="KX3" s="120"/>
      <c r="KY3" s="120"/>
      <c r="KZ3" s="120"/>
      <c r="LA3" s="120"/>
      <c r="LB3" s="120"/>
      <c r="LC3" s="120"/>
      <c r="LD3" s="120"/>
      <c r="LE3" s="120"/>
      <c r="LF3" s="120"/>
      <c r="LG3" s="120"/>
      <c r="LH3" s="120"/>
      <c r="LI3" s="120"/>
      <c r="LJ3" s="120"/>
      <c r="LK3" s="120"/>
      <c r="LL3" s="120"/>
      <c r="LM3" s="120"/>
      <c r="LN3" s="120"/>
      <c r="LO3" s="120"/>
      <c r="LP3" s="120"/>
      <c r="LQ3" s="120"/>
      <c r="LR3" s="120"/>
      <c r="LS3" s="120"/>
      <c r="LT3" s="120"/>
      <c r="LU3" s="120"/>
      <c r="LV3" s="120"/>
      <c r="LW3" s="120"/>
      <c r="LX3" s="120"/>
      <c r="LY3" s="120"/>
      <c r="LZ3" s="120"/>
      <c r="MA3" s="120"/>
      <c r="MB3" s="120"/>
      <c r="MC3" s="120"/>
      <c r="MD3" s="120"/>
      <c r="ME3" s="120"/>
      <c r="MF3" s="120"/>
      <c r="MG3" s="120"/>
      <c r="MH3" s="120"/>
      <c r="MI3" s="120"/>
      <c r="MJ3" s="120"/>
      <c r="MK3" s="120"/>
      <c r="ML3" s="120"/>
      <c r="MM3" s="120"/>
      <c r="MN3" s="120"/>
      <c r="MO3" s="120"/>
      <c r="MP3" s="120"/>
      <c r="MQ3" s="120"/>
      <c r="MR3" s="120"/>
      <c r="MS3" s="120"/>
      <c r="MT3" s="120"/>
      <c r="MU3" s="120"/>
      <c r="MV3" s="120"/>
      <c r="MW3" s="120"/>
      <c r="MX3" s="120"/>
      <c r="MY3" s="120"/>
      <c r="MZ3" s="120"/>
      <c r="NA3" s="120"/>
      <c r="NB3" s="120"/>
      <c r="NC3" s="120"/>
      <c r="ND3" s="120"/>
      <c r="NE3" s="120"/>
      <c r="NF3" s="120"/>
      <c r="NG3" s="120"/>
      <c r="NH3" s="120"/>
      <c r="NI3" s="120"/>
      <c r="NJ3" s="120"/>
      <c r="NK3" s="120"/>
      <c r="NL3" s="120"/>
      <c r="NM3" s="120"/>
      <c r="NN3" s="120"/>
      <c r="NO3" s="120"/>
      <c r="NP3" s="120"/>
      <c r="NQ3" s="120"/>
      <c r="NR3" s="120"/>
      <c r="NS3" s="120"/>
      <c r="NT3" s="120"/>
      <c r="NU3" s="120"/>
      <c r="NV3" s="120"/>
      <c r="NW3" s="120"/>
      <c r="NX3" s="120"/>
      <c r="NY3" s="120"/>
      <c r="NZ3" s="120"/>
      <c r="OA3" s="120"/>
      <c r="OB3" s="120"/>
      <c r="OC3" s="120"/>
      <c r="OD3" s="120"/>
      <c r="OE3" s="120"/>
      <c r="OF3" s="120"/>
      <c r="OG3" s="120"/>
      <c r="OH3" s="120"/>
      <c r="OI3" s="120"/>
      <c r="OJ3" s="120"/>
      <c r="OK3" s="120"/>
      <c r="OL3" s="120"/>
      <c r="OM3" s="120"/>
      <c r="ON3" s="120"/>
      <c r="OO3" s="120"/>
      <c r="OP3" s="120"/>
      <c r="OQ3" s="120"/>
      <c r="OR3" s="120"/>
      <c r="OS3" s="120"/>
      <c r="OT3" s="120"/>
      <c r="OU3" s="120"/>
      <c r="OV3" s="120"/>
      <c r="OW3" s="120"/>
      <c r="OX3" s="120"/>
      <c r="OY3" s="120"/>
      <c r="OZ3" s="120"/>
      <c r="PA3" s="120"/>
      <c r="PB3" s="120"/>
      <c r="PC3" s="120"/>
      <c r="PD3" s="120"/>
      <c r="PE3" s="120"/>
      <c r="PF3" s="120"/>
      <c r="PG3" s="120"/>
      <c r="PH3" s="120"/>
      <c r="PI3" s="120"/>
      <c r="PJ3" s="120"/>
      <c r="PK3" s="120"/>
      <c r="PL3" s="120"/>
      <c r="PM3" s="120"/>
      <c r="PN3" s="120"/>
      <c r="PO3" s="120"/>
      <c r="PP3" s="120"/>
      <c r="PQ3" s="120"/>
      <c r="PR3" s="120"/>
      <c r="PS3" s="120"/>
      <c r="PT3" s="120"/>
      <c r="PU3" s="120"/>
      <c r="PV3" s="120"/>
      <c r="PW3" s="120"/>
      <c r="PX3" s="120"/>
      <c r="PY3" s="120"/>
      <c r="PZ3" s="120"/>
      <c r="QA3" s="120"/>
      <c r="QB3" s="120"/>
      <c r="QC3" s="120"/>
      <c r="QD3" s="120"/>
      <c r="QE3" s="120"/>
      <c r="QF3" s="120"/>
      <c r="QG3" s="120"/>
      <c r="QH3" s="120"/>
      <c r="QI3" s="120"/>
      <c r="QJ3" s="120"/>
      <c r="QK3" s="120"/>
      <c r="QL3" s="120"/>
      <c r="QM3" s="120"/>
      <c r="QN3" s="120"/>
      <c r="QO3" s="120"/>
      <c r="QP3" s="120"/>
      <c r="QQ3" s="120"/>
      <c r="QR3" s="120"/>
      <c r="QS3" s="120"/>
      <c r="QT3" s="120"/>
      <c r="QU3" s="120"/>
      <c r="QV3" s="120"/>
      <c r="QW3" s="120"/>
      <c r="QX3" s="120"/>
      <c r="QY3" s="120"/>
      <c r="QZ3" s="120"/>
      <c r="RA3" s="120"/>
      <c r="RB3" s="120"/>
      <c r="RC3" s="120"/>
      <c r="RD3" s="120"/>
      <c r="RE3" s="120"/>
      <c r="RF3" s="120"/>
      <c r="RG3" s="120"/>
      <c r="RH3" s="120"/>
      <c r="RI3" s="120"/>
      <c r="RJ3" s="120"/>
      <c r="RK3" s="120"/>
      <c r="RL3" s="120"/>
      <c r="RM3" s="120"/>
      <c r="RN3" s="120"/>
      <c r="RO3" s="120"/>
      <c r="RP3" s="120"/>
      <c r="RQ3" s="120"/>
      <c r="RR3" s="120"/>
      <c r="RS3" s="120"/>
      <c r="RT3" s="120"/>
      <c r="RU3" s="120"/>
      <c r="RV3" s="120"/>
      <c r="RW3" s="120"/>
      <c r="RX3" s="120"/>
      <c r="RY3" s="120"/>
      <c r="RZ3" s="120"/>
      <c r="SA3" s="120"/>
      <c r="SB3" s="120"/>
      <c r="SC3" s="120"/>
      <c r="SD3" s="120"/>
      <c r="SE3" s="120"/>
      <c r="SF3" s="120"/>
      <c r="SG3" s="120"/>
      <c r="SH3" s="120"/>
      <c r="SI3" s="120"/>
      <c r="SJ3" s="120"/>
      <c r="SK3" s="120"/>
      <c r="SL3" s="120"/>
      <c r="SM3" s="120"/>
      <c r="SN3" s="120"/>
      <c r="SO3" s="120"/>
      <c r="SP3" s="120"/>
      <c r="SQ3" s="120"/>
      <c r="SR3" s="120"/>
      <c r="SS3" s="120"/>
      <c r="ST3" s="120"/>
      <c r="SU3" s="120"/>
      <c r="SV3" s="120"/>
      <c r="SW3" s="120"/>
      <c r="SX3" s="120"/>
      <c r="SY3" s="120"/>
      <c r="SZ3" s="120"/>
      <c r="TA3" s="120"/>
      <c r="TB3" s="120"/>
      <c r="TC3" s="120"/>
      <c r="TD3" s="120"/>
      <c r="TE3" s="120"/>
      <c r="TF3" s="120"/>
      <c r="TG3" s="120"/>
      <c r="TH3" s="120"/>
      <c r="TI3" s="120"/>
      <c r="TJ3" s="120"/>
      <c r="TK3" s="120"/>
      <c r="TL3" s="120"/>
      <c r="TM3" s="120"/>
      <c r="TN3" s="120"/>
      <c r="TO3" s="120"/>
      <c r="TP3" s="120"/>
      <c r="TQ3" s="120"/>
      <c r="TR3" s="120"/>
      <c r="TS3" s="120"/>
      <c r="TT3" s="120"/>
      <c r="TU3" s="120"/>
      <c r="TV3" s="120"/>
      <c r="TW3" s="120"/>
      <c r="TX3" s="120"/>
      <c r="TY3" s="120"/>
      <c r="TZ3" s="120"/>
      <c r="UA3" s="120"/>
      <c r="UB3" s="120"/>
      <c r="UC3" s="120"/>
      <c r="UD3" s="120"/>
      <c r="UE3" s="120"/>
      <c r="UF3" s="120"/>
      <c r="UG3" s="120"/>
      <c r="UH3" s="120"/>
      <c r="UI3" s="120"/>
      <c r="UJ3" s="120"/>
      <c r="UK3" s="120"/>
      <c r="UL3" s="120"/>
      <c r="UM3" s="120"/>
      <c r="UN3" s="120"/>
      <c r="UO3" s="120"/>
      <c r="UP3" s="120"/>
      <c r="UQ3" s="120"/>
      <c r="UR3" s="120"/>
      <c r="US3" s="120"/>
      <c r="UT3" s="120"/>
      <c r="UU3" s="120"/>
      <c r="UV3" s="120"/>
      <c r="UW3" s="120"/>
      <c r="UX3" s="120"/>
      <c r="UY3" s="120"/>
      <c r="UZ3" s="120"/>
      <c r="VA3" s="120"/>
      <c r="VB3" s="120"/>
      <c r="VC3" s="120"/>
      <c r="VD3" s="120"/>
      <c r="VE3" s="120"/>
      <c r="VF3" s="120"/>
      <c r="VG3" s="120"/>
      <c r="VH3" s="120"/>
      <c r="VI3" s="120"/>
      <c r="VJ3" s="120"/>
      <c r="VK3" s="120"/>
      <c r="VL3" s="120"/>
      <c r="VM3" s="120"/>
      <c r="VN3" s="120"/>
      <c r="VO3" s="120"/>
      <c r="VP3" s="120"/>
      <c r="VQ3" s="120"/>
      <c r="VR3" s="120"/>
      <c r="VS3" s="120"/>
      <c r="VT3" s="120"/>
      <c r="VU3" s="120"/>
      <c r="VV3" s="120"/>
      <c r="VW3" s="120"/>
      <c r="VX3" s="120"/>
      <c r="VY3" s="120"/>
      <c r="VZ3" s="120"/>
      <c r="WA3" s="120"/>
      <c r="WB3" s="120"/>
      <c r="WC3" s="120"/>
      <c r="WD3" s="120"/>
      <c r="WE3" s="120"/>
      <c r="WF3" s="120"/>
      <c r="WG3" s="120"/>
      <c r="WH3" s="120"/>
      <c r="WI3" s="120"/>
      <c r="WJ3" s="120"/>
      <c r="WK3" s="120"/>
      <c r="WL3" s="120"/>
      <c r="WM3" s="120"/>
      <c r="WN3" s="120"/>
      <c r="WO3" s="120"/>
      <c r="WP3" s="120"/>
      <c r="WQ3" s="120"/>
      <c r="WR3" s="120"/>
      <c r="WS3" s="120"/>
      <c r="WT3" s="120"/>
      <c r="WU3" s="120"/>
      <c r="WV3" s="120"/>
      <c r="WW3" s="120"/>
      <c r="WX3" s="120"/>
      <c r="WY3" s="120"/>
      <c r="WZ3" s="120"/>
      <c r="XA3" s="120"/>
      <c r="XB3" s="120"/>
      <c r="XC3" s="120"/>
      <c r="XD3" s="120"/>
      <c r="XE3" s="120"/>
      <c r="XF3" s="120"/>
      <c r="XG3" s="120"/>
      <c r="XH3" s="120"/>
      <c r="XI3" s="120"/>
      <c r="XJ3" s="120"/>
      <c r="XK3" s="120"/>
      <c r="XL3" s="120"/>
      <c r="XM3" s="120"/>
      <c r="XN3" s="120"/>
      <c r="XO3" s="120"/>
      <c r="XP3" s="120"/>
      <c r="XQ3" s="120"/>
      <c r="XR3" s="120"/>
      <c r="XS3" s="120"/>
      <c r="XT3" s="120"/>
      <c r="XU3" s="120"/>
      <c r="XV3" s="120"/>
      <c r="XW3" s="120"/>
      <c r="XX3" s="120"/>
      <c r="XY3" s="120"/>
      <c r="XZ3" s="120"/>
      <c r="YA3" s="120"/>
      <c r="YB3" s="120"/>
      <c r="YC3" s="120"/>
      <c r="YD3" s="120"/>
      <c r="YE3" s="120"/>
      <c r="YF3" s="120"/>
      <c r="YG3" s="120"/>
      <c r="YH3" s="120"/>
      <c r="YI3" s="120"/>
      <c r="YJ3" s="120"/>
      <c r="YK3" s="120"/>
      <c r="YL3" s="120"/>
      <c r="YM3" s="120"/>
      <c r="YN3" s="120"/>
      <c r="YO3" s="120"/>
      <c r="YP3" s="120"/>
      <c r="YQ3" s="120"/>
      <c r="YR3" s="120"/>
      <c r="YS3" s="120"/>
      <c r="YT3" s="120"/>
      <c r="YU3" s="120"/>
      <c r="YV3" s="120"/>
      <c r="YW3" s="120"/>
      <c r="YX3" s="120"/>
      <c r="YY3" s="120"/>
      <c r="YZ3" s="120"/>
      <c r="ZA3" s="120"/>
      <c r="ZB3" s="120"/>
      <c r="ZC3" s="120"/>
      <c r="ZD3" s="120"/>
      <c r="ZE3" s="120"/>
      <c r="ZF3" s="120"/>
      <c r="ZG3" s="120"/>
      <c r="ZH3" s="120"/>
      <c r="ZI3" s="120"/>
      <c r="ZJ3" s="120"/>
      <c r="ZK3" s="120"/>
      <c r="ZL3" s="120"/>
      <c r="ZM3" s="120"/>
      <c r="ZN3" s="120"/>
      <c r="ZO3" s="120"/>
      <c r="ZP3" s="120"/>
      <c r="ZQ3" s="120"/>
      <c r="ZR3" s="120"/>
      <c r="ZS3" s="120"/>
      <c r="ZT3" s="120"/>
      <c r="ZU3" s="120"/>
      <c r="ZV3" s="120"/>
      <c r="ZW3" s="120"/>
      <c r="ZX3" s="120"/>
      <c r="ZY3" s="120"/>
      <c r="ZZ3" s="120"/>
      <c r="AAA3" s="120"/>
      <c r="AAB3" s="120"/>
      <c r="AAC3" s="120"/>
      <c r="AAD3" s="120"/>
      <c r="AAE3" s="120"/>
      <c r="AAF3" s="120"/>
      <c r="AAG3" s="120"/>
      <c r="AAH3" s="120"/>
      <c r="AAI3" s="120"/>
      <c r="AAJ3" s="120"/>
      <c r="AAK3" s="120"/>
      <c r="AAL3" s="120"/>
      <c r="AAM3" s="120"/>
      <c r="AAN3" s="120"/>
      <c r="AAO3" s="120"/>
      <c r="AAP3" s="120"/>
      <c r="AAQ3" s="120"/>
      <c r="AAR3" s="120"/>
      <c r="AAS3" s="120"/>
      <c r="AAT3" s="120"/>
      <c r="AAU3" s="120"/>
      <c r="AAV3" s="120"/>
      <c r="AAW3" s="120"/>
      <c r="AAX3" s="120"/>
      <c r="AAY3" s="120"/>
      <c r="AAZ3" s="120"/>
      <c r="ABA3" s="120"/>
      <c r="ABB3" s="120"/>
      <c r="ABC3" s="120"/>
      <c r="ABD3" s="120"/>
      <c r="ABE3" s="120"/>
      <c r="ABF3" s="120"/>
      <c r="ABG3" s="120"/>
      <c r="ABH3" s="120"/>
      <c r="ABI3" s="120"/>
      <c r="ABJ3" s="120"/>
      <c r="ABK3" s="120"/>
      <c r="ABL3" s="120"/>
      <c r="ABM3" s="120"/>
      <c r="ABN3" s="120"/>
      <c r="ABO3" s="120"/>
      <c r="ABP3" s="120"/>
      <c r="ABQ3" s="120"/>
      <c r="ABR3" s="120"/>
      <c r="ABS3" s="120"/>
      <c r="ABT3" s="120"/>
      <c r="ABU3" s="120"/>
      <c r="ABV3" s="120"/>
      <c r="ABW3" s="120"/>
      <c r="ABX3" s="120"/>
      <c r="ABY3" s="120"/>
      <c r="ABZ3" s="120"/>
      <c r="ACA3" s="120"/>
      <c r="ACB3" s="120"/>
      <c r="ACC3" s="120"/>
      <c r="ACD3" s="120"/>
      <c r="ACE3" s="120"/>
      <c r="ACF3" s="120"/>
      <c r="ACG3" s="120"/>
      <c r="ACH3" s="120"/>
      <c r="ACI3" s="120"/>
      <c r="ACJ3" s="120"/>
      <c r="ACK3" s="120"/>
      <c r="ACL3" s="120"/>
      <c r="ACM3" s="120"/>
      <c r="ACN3" s="120"/>
      <c r="ACO3" s="120"/>
      <c r="ACP3" s="120"/>
      <c r="ACQ3" s="120"/>
      <c r="ACR3" s="120"/>
      <c r="ACS3" s="120"/>
      <c r="ACT3" s="120"/>
      <c r="ACU3" s="120"/>
      <c r="ACV3" s="120"/>
      <c r="ACW3" s="120"/>
      <c r="ACX3" s="120"/>
      <c r="ACY3" s="120"/>
      <c r="ACZ3" s="120"/>
      <c r="ADA3" s="120"/>
      <c r="ADB3" s="120"/>
      <c r="ADC3" s="120"/>
      <c r="ADD3" s="120"/>
      <c r="ADE3" s="120"/>
      <c r="ADF3" s="120"/>
      <c r="ADG3" s="120"/>
      <c r="ADH3" s="120"/>
      <c r="ADI3" s="120"/>
      <c r="ADJ3" s="120"/>
      <c r="ADK3" s="120"/>
      <c r="ADL3" s="120"/>
      <c r="ADM3" s="120"/>
      <c r="ADN3" s="120"/>
      <c r="ADO3" s="120"/>
      <c r="ADP3" s="120"/>
      <c r="ADQ3" s="120"/>
      <c r="ADR3" s="120"/>
      <c r="ADS3" s="120"/>
      <c r="ADT3" s="120"/>
      <c r="ADU3" s="120"/>
      <c r="ADV3" s="120"/>
      <c r="ADW3" s="120"/>
      <c r="ADX3" s="120"/>
      <c r="ADY3" s="120"/>
      <c r="ADZ3" s="120"/>
      <c r="AEA3" s="120"/>
      <c r="AEB3" s="120"/>
      <c r="AEC3" s="120"/>
      <c r="AED3" s="120"/>
      <c r="AEE3" s="120"/>
      <c r="AEF3" s="120"/>
      <c r="AEG3" s="120"/>
      <c r="AEH3" s="120"/>
      <c r="AEI3" s="120"/>
      <c r="AEJ3" s="120"/>
      <c r="AEK3" s="120"/>
      <c r="AEL3" s="120"/>
      <c r="AEM3" s="120"/>
      <c r="AEN3" s="120"/>
      <c r="AEO3" s="120"/>
      <c r="AEP3" s="120"/>
      <c r="AEQ3" s="120"/>
      <c r="AER3" s="120"/>
      <c r="AES3" s="120"/>
      <c r="AET3" s="120"/>
      <c r="AEU3" s="120"/>
      <c r="AEV3" s="120"/>
      <c r="AEW3" s="120"/>
      <c r="AEX3" s="120"/>
      <c r="AEY3" s="120"/>
      <c r="AEZ3" s="120"/>
      <c r="AFA3" s="120"/>
      <c r="AFB3" s="120"/>
      <c r="AFC3" s="120"/>
      <c r="AFD3" s="120"/>
      <c r="AFE3" s="120"/>
      <c r="AFF3" s="120"/>
      <c r="AFG3" s="120"/>
      <c r="AFH3" s="120"/>
      <c r="AFI3" s="120"/>
      <c r="AFJ3" s="120"/>
      <c r="AFK3" s="120"/>
      <c r="AFL3" s="120"/>
      <c r="AFM3" s="120"/>
      <c r="AFN3" s="120"/>
      <c r="AFO3" s="120"/>
      <c r="AFP3" s="120"/>
      <c r="AFQ3" s="120"/>
      <c r="AFR3" s="120"/>
      <c r="AFS3" s="120"/>
      <c r="AFT3" s="120"/>
      <c r="AFU3" s="120"/>
      <c r="AFV3" s="120"/>
      <c r="AFW3" s="120"/>
      <c r="AFX3" s="120"/>
      <c r="AFY3" s="120"/>
      <c r="AFZ3" s="120"/>
      <c r="AGA3" s="120"/>
      <c r="AGB3" s="120"/>
      <c r="AGC3" s="120"/>
      <c r="AGD3" s="120"/>
      <c r="AGE3" s="120"/>
      <c r="AGF3" s="120"/>
      <c r="AGG3" s="120"/>
      <c r="AGH3" s="120"/>
      <c r="AGI3" s="120"/>
      <c r="AGJ3" s="120"/>
      <c r="AGK3" s="120"/>
      <c r="AGL3" s="120"/>
      <c r="AGM3" s="120"/>
      <c r="AGN3" s="120"/>
      <c r="AGO3" s="120"/>
      <c r="AGP3" s="120"/>
      <c r="AGQ3" s="120"/>
      <c r="AGR3" s="120"/>
      <c r="AGS3" s="120"/>
      <c r="AGT3" s="120"/>
      <c r="AGU3" s="120"/>
      <c r="AGV3" s="120"/>
      <c r="AGW3" s="120"/>
      <c r="AGX3" s="120"/>
      <c r="AGY3" s="120"/>
      <c r="AGZ3" s="120"/>
      <c r="AHA3" s="120"/>
      <c r="AHB3" s="120"/>
      <c r="AHC3" s="120"/>
      <c r="AHD3" s="120"/>
      <c r="AHE3" s="120"/>
      <c r="AHF3" s="120"/>
      <c r="AHG3" s="120"/>
      <c r="AHH3" s="120"/>
      <c r="AHI3" s="120"/>
      <c r="AHJ3" s="120"/>
      <c r="AHK3" s="120"/>
      <c r="AHL3" s="120"/>
      <c r="AHM3" s="120"/>
      <c r="AHN3" s="120"/>
      <c r="AHO3" s="120"/>
      <c r="AHP3" s="120"/>
      <c r="AHQ3" s="120"/>
      <c r="AHR3" s="120"/>
      <c r="AHS3" s="120"/>
      <c r="AHT3" s="120"/>
      <c r="AHU3" s="120"/>
      <c r="AHV3" s="120"/>
      <c r="AHW3" s="120"/>
      <c r="AHX3" s="120"/>
      <c r="AHY3" s="120"/>
      <c r="AHZ3" s="120"/>
      <c r="AIA3" s="120"/>
      <c r="AIB3" s="120"/>
      <c r="AIC3" s="120"/>
      <c r="AID3" s="120"/>
      <c r="AIE3" s="120"/>
      <c r="AIF3" s="120"/>
      <c r="AIG3" s="120"/>
      <c r="AIH3" s="120"/>
      <c r="AII3" s="120"/>
      <c r="AIJ3" s="120"/>
      <c r="AIK3" s="120"/>
      <c r="AIL3" s="120"/>
      <c r="AIM3" s="120"/>
      <c r="AIN3" s="120"/>
      <c r="AIO3" s="120"/>
      <c r="AIP3" s="120"/>
      <c r="AIQ3" s="120"/>
      <c r="AIR3" s="120"/>
      <c r="AIS3" s="120"/>
      <c r="AIT3" s="120"/>
      <c r="AIU3" s="120"/>
      <c r="AIV3" s="120"/>
      <c r="AIW3" s="120"/>
      <c r="AIX3" s="120"/>
      <c r="AIY3" s="120"/>
      <c r="AIZ3" s="120"/>
      <c r="AJA3" s="120"/>
      <c r="AJB3" s="120"/>
      <c r="AJC3" s="120"/>
      <c r="AJD3" s="120"/>
      <c r="AJE3" s="120"/>
      <c r="AJF3" s="120"/>
      <c r="AJG3" s="120"/>
      <c r="AJH3" s="120"/>
      <c r="AJI3" s="120"/>
      <c r="AJJ3" s="120"/>
      <c r="AJK3" s="120"/>
      <c r="AJL3" s="120"/>
      <c r="AJM3" s="120"/>
      <c r="AJN3" s="120"/>
      <c r="AJO3" s="120"/>
      <c r="AJP3" s="120"/>
      <c r="AJQ3" s="120"/>
      <c r="AJR3" s="120"/>
      <c r="AJS3" s="120"/>
      <c r="AJT3" s="120"/>
      <c r="AJU3" s="120"/>
      <c r="AJV3" s="120"/>
      <c r="AJW3" s="120"/>
      <c r="AJX3" s="120"/>
      <c r="AJY3" s="120"/>
      <c r="AJZ3" s="120"/>
      <c r="AKA3" s="120"/>
      <c r="AKB3" s="120"/>
      <c r="AKC3" s="120"/>
      <c r="AKD3" s="120"/>
      <c r="AKE3" s="120"/>
      <c r="AKF3" s="120"/>
      <c r="AKG3" s="120"/>
      <c r="AKH3" s="120"/>
      <c r="AKI3" s="120"/>
      <c r="AKJ3" s="120"/>
      <c r="AKK3" s="120"/>
      <c r="AKL3" s="120"/>
      <c r="AKM3" s="120"/>
      <c r="AKN3" s="120"/>
      <c r="AKO3" s="120"/>
      <c r="AKP3" s="120"/>
      <c r="AKQ3" s="120"/>
      <c r="AKR3" s="120"/>
      <c r="AKS3" s="120"/>
      <c r="AKT3" s="120"/>
      <c r="AKU3" s="120"/>
      <c r="AKV3" s="120"/>
      <c r="AKW3" s="120"/>
      <c r="AKX3" s="120"/>
      <c r="AKY3" s="120"/>
      <c r="AKZ3" s="120"/>
      <c r="ALA3" s="120"/>
      <c r="ALB3" s="120"/>
      <c r="ALC3" s="120"/>
      <c r="ALD3" s="120"/>
      <c r="ALE3" s="120"/>
      <c r="ALF3" s="120"/>
      <c r="ALG3" s="120"/>
      <c r="ALH3" s="120"/>
      <c r="ALI3" s="120"/>
      <c r="ALJ3" s="120"/>
      <c r="ALK3" s="120"/>
      <c r="ALL3" s="120"/>
      <c r="ALM3" s="120"/>
      <c r="ALN3" s="120"/>
      <c r="ALO3" s="120"/>
      <c r="ALP3" s="120"/>
      <c r="ALQ3" s="120"/>
      <c r="ALR3" s="120"/>
      <c r="ALS3" s="120"/>
      <c r="ALT3" s="120"/>
      <c r="ALU3" s="120"/>
      <c r="ALV3" s="120"/>
      <c r="ALW3" s="120"/>
      <c r="ALX3" s="120"/>
      <c r="ALY3" s="120"/>
      <c r="ALZ3" s="120"/>
      <c r="AMA3" s="120"/>
      <c r="AMB3" s="120"/>
      <c r="AMC3" s="120"/>
      <c r="AMD3" s="120"/>
      <c r="AME3" s="120"/>
      <c r="AMF3" s="120"/>
      <c r="AMG3" s="120"/>
      <c r="AMH3" s="120"/>
      <c r="AMI3" s="120"/>
      <c r="AMJ3" s="120"/>
      <c r="AMK3" s="120"/>
      <c r="AML3" s="120"/>
      <c r="AMM3" s="120"/>
      <c r="AMN3" s="120"/>
      <c r="AMO3" s="120"/>
      <c r="AMP3" s="120"/>
      <c r="AMQ3" s="120"/>
      <c r="AMR3" s="120"/>
      <c r="AMS3" s="120"/>
      <c r="AMT3" s="120"/>
      <c r="AMU3" s="120"/>
      <c r="AMV3" s="120"/>
      <c r="AMW3" s="120"/>
      <c r="AMX3" s="120"/>
      <c r="AMY3" s="120"/>
      <c r="AMZ3" s="120"/>
      <c r="ANA3" s="120"/>
      <c r="ANB3" s="120"/>
      <c r="ANC3" s="120"/>
      <c r="AND3" s="120"/>
      <c r="ANE3" s="120"/>
      <c r="ANF3" s="120"/>
      <c r="ANG3" s="120"/>
      <c r="ANH3" s="120"/>
      <c r="ANI3" s="120"/>
      <c r="ANJ3" s="120"/>
      <c r="ANK3" s="120"/>
      <c r="ANL3" s="120"/>
      <c r="ANM3" s="120"/>
      <c r="ANN3" s="120"/>
      <c r="ANO3" s="120"/>
      <c r="ANP3" s="120"/>
      <c r="ANQ3" s="120"/>
      <c r="ANR3" s="120"/>
      <c r="ANS3" s="120"/>
      <c r="ANT3" s="120"/>
      <c r="ANU3" s="120"/>
      <c r="ANV3" s="120"/>
      <c r="ANW3" s="120"/>
      <c r="ANX3" s="120"/>
      <c r="ANY3" s="120"/>
      <c r="ANZ3" s="120"/>
      <c r="AOA3" s="120"/>
      <c r="AOB3" s="120"/>
      <c r="AOC3" s="120"/>
      <c r="AOD3" s="120"/>
      <c r="AOE3" s="120"/>
      <c r="AOF3" s="120"/>
      <c r="AOG3" s="120"/>
      <c r="AOH3" s="120"/>
      <c r="AOI3" s="120"/>
      <c r="AOJ3" s="120"/>
      <c r="AOK3" s="120"/>
      <c r="AOL3" s="120"/>
      <c r="AOM3" s="120"/>
      <c r="AON3" s="120"/>
      <c r="AOO3" s="120"/>
      <c r="AOP3" s="120"/>
      <c r="AOQ3" s="120"/>
      <c r="AOR3" s="120"/>
      <c r="AOS3" s="120"/>
      <c r="AOT3" s="120"/>
      <c r="AOU3" s="120"/>
      <c r="AOV3" s="120"/>
      <c r="AOW3" s="120"/>
      <c r="AOX3" s="120"/>
      <c r="AOY3" s="120"/>
      <c r="AOZ3" s="120"/>
      <c r="APA3" s="120"/>
      <c r="APB3" s="120"/>
      <c r="APC3" s="120"/>
      <c r="APD3" s="120"/>
      <c r="APE3" s="120"/>
      <c r="APF3" s="120"/>
      <c r="APG3" s="120"/>
      <c r="APH3" s="120"/>
      <c r="API3" s="120"/>
      <c r="APJ3" s="120"/>
      <c r="APK3" s="120"/>
      <c r="APL3" s="120"/>
      <c r="APM3" s="120"/>
      <c r="APN3" s="120"/>
      <c r="APO3" s="120"/>
      <c r="APP3" s="120"/>
      <c r="APQ3" s="120"/>
      <c r="APR3" s="120"/>
      <c r="APS3" s="120"/>
      <c r="APT3" s="120"/>
      <c r="APU3" s="120"/>
      <c r="APV3" s="120"/>
      <c r="APW3" s="120"/>
      <c r="APX3" s="120"/>
      <c r="APY3" s="120"/>
      <c r="APZ3" s="120"/>
      <c r="AQA3" s="120"/>
      <c r="AQB3" s="120"/>
      <c r="AQC3" s="120"/>
      <c r="AQD3" s="120"/>
      <c r="AQE3" s="120"/>
      <c r="AQF3" s="120"/>
      <c r="AQG3" s="120"/>
      <c r="AQH3" s="120"/>
      <c r="AQI3" s="120"/>
      <c r="AQJ3" s="120"/>
      <c r="AQK3" s="120"/>
      <c r="AQL3" s="120"/>
      <c r="AQM3" s="120"/>
      <c r="AQN3" s="120"/>
      <c r="AQO3" s="120"/>
      <c r="AQP3" s="120"/>
      <c r="AQQ3" s="120"/>
      <c r="AQR3" s="120"/>
      <c r="AQS3" s="120"/>
      <c r="AQT3" s="120"/>
      <c r="AQU3" s="120"/>
      <c r="AQV3" s="120"/>
      <c r="AQW3" s="120"/>
      <c r="AQX3" s="120"/>
      <c r="AQY3" s="120"/>
      <c r="AQZ3" s="120"/>
      <c r="ARA3" s="120"/>
      <c r="ARB3" s="120"/>
      <c r="ARC3" s="120"/>
      <c r="ARD3" s="120"/>
      <c r="ARE3" s="120"/>
      <c r="ARF3" s="120"/>
      <c r="ARG3" s="120"/>
      <c r="ARH3" s="120"/>
      <c r="ARI3" s="120"/>
      <c r="ARJ3" s="120"/>
      <c r="ARK3" s="120"/>
      <c r="ARL3" s="120"/>
      <c r="ARM3" s="120"/>
      <c r="ARN3" s="120"/>
      <c r="ARO3" s="120"/>
      <c r="ARP3" s="120"/>
      <c r="ARQ3" s="120"/>
      <c r="ARR3" s="120"/>
      <c r="ARS3" s="120"/>
      <c r="ART3" s="120"/>
      <c r="ARU3" s="120"/>
      <c r="ARV3" s="120"/>
      <c r="ARW3" s="120"/>
      <c r="ARX3" s="120"/>
      <c r="ARY3" s="120"/>
      <c r="ARZ3" s="120"/>
      <c r="ASA3" s="120"/>
      <c r="ASB3" s="120"/>
      <c r="ASC3" s="120"/>
      <c r="ASD3" s="120"/>
      <c r="ASE3" s="120"/>
      <c r="ASF3" s="120"/>
      <c r="ASG3" s="120"/>
      <c r="ASH3" s="120"/>
      <c r="ASI3" s="120"/>
      <c r="ASJ3" s="120"/>
      <c r="ASK3" s="120"/>
      <c r="ASL3" s="120"/>
      <c r="ASM3" s="120"/>
      <c r="ASN3" s="120"/>
      <c r="ASO3" s="120"/>
      <c r="ASP3" s="120"/>
      <c r="ASQ3" s="120"/>
      <c r="ASR3" s="120"/>
      <c r="ASS3" s="120"/>
      <c r="AST3" s="120"/>
      <c r="ASU3" s="120"/>
      <c r="ASV3" s="120"/>
      <c r="ASW3" s="120"/>
      <c r="ASX3" s="120"/>
      <c r="ASY3" s="120"/>
      <c r="ASZ3" s="120"/>
      <c r="ATA3" s="120"/>
      <c r="ATB3" s="120"/>
      <c r="ATC3" s="120"/>
      <c r="ATD3" s="120"/>
      <c r="ATE3" s="120"/>
      <c r="ATF3" s="120"/>
      <c r="ATG3" s="120"/>
      <c r="ATH3" s="120"/>
      <c r="ATI3" s="120"/>
      <c r="ATJ3" s="120"/>
      <c r="ATK3" s="120"/>
      <c r="ATL3" s="120"/>
      <c r="ATM3" s="120"/>
      <c r="ATN3" s="120"/>
      <c r="ATO3" s="120"/>
      <c r="ATP3" s="120"/>
      <c r="ATQ3" s="120"/>
      <c r="ATR3" s="120"/>
      <c r="ATS3" s="120"/>
      <c r="ATT3" s="120"/>
      <c r="ATU3" s="120"/>
      <c r="ATV3" s="120"/>
      <c r="ATW3" s="120"/>
      <c r="ATX3" s="120"/>
      <c r="ATY3" s="120"/>
      <c r="ATZ3" s="120"/>
      <c r="AUA3" s="120"/>
      <c r="AUB3" s="120"/>
      <c r="AUC3" s="120"/>
      <c r="AUD3" s="120"/>
      <c r="AUE3" s="120"/>
      <c r="AUF3" s="120"/>
      <c r="AUG3" s="120"/>
      <c r="AUH3" s="120"/>
      <c r="AUI3" s="120"/>
      <c r="AUJ3" s="120"/>
      <c r="AUK3" s="120"/>
      <c r="AUL3" s="120"/>
      <c r="AUM3" s="120"/>
      <c r="AUN3" s="120"/>
      <c r="AUO3" s="120"/>
      <c r="AUP3" s="120"/>
      <c r="AUQ3" s="120"/>
      <c r="AUR3" s="120"/>
      <c r="AUS3" s="120"/>
      <c r="AUT3" s="120"/>
      <c r="AUU3" s="120"/>
      <c r="AUV3" s="120"/>
      <c r="AUW3" s="120"/>
      <c r="AUX3" s="120"/>
      <c r="AUY3" s="120"/>
      <c r="AUZ3" s="120"/>
      <c r="AVA3" s="120"/>
      <c r="AVB3" s="120"/>
      <c r="AVC3" s="120"/>
      <c r="AVD3" s="120"/>
      <c r="AVE3" s="120"/>
      <c r="AVF3" s="120"/>
      <c r="AVG3" s="120"/>
      <c r="AVH3" s="120"/>
      <c r="AVI3" s="120"/>
      <c r="AVJ3" s="120"/>
      <c r="AVK3" s="120"/>
      <c r="AVL3" s="120"/>
      <c r="AVM3" s="120"/>
      <c r="AVN3" s="120"/>
      <c r="AVO3" s="120"/>
      <c r="AVP3" s="120"/>
      <c r="AVQ3" s="120"/>
      <c r="AVR3" s="120"/>
      <c r="AVS3" s="120"/>
      <c r="AVT3" s="120"/>
      <c r="AVU3" s="120"/>
      <c r="AVV3" s="120"/>
      <c r="AVW3" s="120"/>
      <c r="AVX3" s="120"/>
      <c r="AVY3" s="120"/>
      <c r="AVZ3" s="120"/>
      <c r="AWA3" s="120"/>
      <c r="AWB3" s="120"/>
      <c r="AWC3" s="120"/>
      <c r="AWD3" s="120"/>
      <c r="AWE3" s="120"/>
      <c r="AWF3" s="120"/>
      <c r="AWG3" s="120"/>
      <c r="AWH3" s="120"/>
      <c r="AWI3" s="120"/>
      <c r="AWJ3" s="120"/>
      <c r="AWK3" s="120"/>
      <c r="AWL3" s="120"/>
      <c r="AWM3" s="120"/>
      <c r="AWN3" s="120"/>
      <c r="AWO3" s="120"/>
      <c r="AWP3" s="120"/>
      <c r="AWQ3" s="120"/>
      <c r="AWR3" s="120"/>
      <c r="AWS3" s="120"/>
      <c r="AWT3" s="120"/>
      <c r="AWU3" s="120"/>
      <c r="AWV3" s="120"/>
      <c r="AWW3" s="120"/>
      <c r="AWX3" s="120"/>
      <c r="AWY3" s="120"/>
      <c r="AWZ3" s="120"/>
      <c r="AXA3" s="120"/>
      <c r="AXB3" s="120"/>
      <c r="AXC3" s="120"/>
      <c r="AXD3" s="120"/>
      <c r="AXE3" s="120"/>
      <c r="AXF3" s="120"/>
      <c r="AXG3" s="120"/>
      <c r="AXH3" s="120"/>
      <c r="AXI3" s="120"/>
      <c r="AXJ3" s="120"/>
      <c r="AXK3" s="120"/>
      <c r="AXL3" s="120"/>
      <c r="AXM3" s="120"/>
      <c r="AXN3" s="120"/>
      <c r="AXO3" s="120"/>
      <c r="AXP3" s="120"/>
      <c r="AXQ3" s="120"/>
      <c r="AXR3" s="120"/>
      <c r="AXS3" s="120"/>
      <c r="AXT3" s="120"/>
      <c r="AXU3" s="120"/>
      <c r="AXV3" s="120"/>
      <c r="AXW3" s="120"/>
      <c r="AXX3" s="120"/>
      <c r="AXY3" s="120"/>
      <c r="AXZ3" s="120"/>
      <c r="AYA3" s="120"/>
      <c r="AYB3" s="120"/>
      <c r="AYC3" s="120"/>
      <c r="AYD3" s="120"/>
      <c r="AYE3" s="120"/>
      <c r="AYF3" s="120"/>
      <c r="AYG3" s="120"/>
      <c r="AYH3" s="120"/>
      <c r="AYI3" s="120"/>
      <c r="AYJ3" s="120"/>
      <c r="AYK3" s="120"/>
      <c r="AYL3" s="120"/>
      <c r="AYM3" s="120"/>
      <c r="AYN3" s="120"/>
      <c r="AYO3" s="120"/>
      <c r="AYP3" s="120"/>
      <c r="AYQ3" s="120"/>
      <c r="AYR3" s="120"/>
      <c r="AYS3" s="120"/>
      <c r="AYT3" s="120"/>
      <c r="AYU3" s="120"/>
      <c r="AYV3" s="120"/>
      <c r="AYW3" s="120"/>
      <c r="AYX3" s="120"/>
      <c r="AYY3" s="120"/>
      <c r="AYZ3" s="120"/>
      <c r="AZA3" s="120"/>
      <c r="AZB3" s="120"/>
      <c r="AZC3" s="120"/>
      <c r="AZD3" s="120"/>
      <c r="AZE3" s="120"/>
      <c r="AZF3" s="120"/>
      <c r="AZG3" s="120"/>
      <c r="AZH3" s="120"/>
      <c r="AZI3" s="120"/>
      <c r="AZJ3" s="120"/>
      <c r="AZK3" s="120"/>
      <c r="AZL3" s="120"/>
      <c r="AZM3" s="120"/>
      <c r="AZN3" s="120"/>
      <c r="AZO3" s="120"/>
      <c r="AZP3" s="120"/>
      <c r="AZQ3" s="120"/>
      <c r="AZR3" s="120"/>
      <c r="AZS3" s="120"/>
      <c r="AZT3" s="120"/>
      <c r="AZU3" s="120"/>
      <c r="AZV3" s="120"/>
      <c r="AZW3" s="120"/>
      <c r="AZX3" s="120"/>
      <c r="AZY3" s="120"/>
      <c r="AZZ3" s="120"/>
      <c r="BAA3" s="120"/>
      <c r="BAB3" s="120"/>
      <c r="BAC3" s="120"/>
      <c r="BAD3" s="120"/>
      <c r="BAE3" s="120"/>
      <c r="BAF3" s="120"/>
      <c r="BAG3" s="120"/>
      <c r="BAH3" s="120"/>
      <c r="BAI3" s="120"/>
      <c r="BAJ3" s="120"/>
      <c r="BAK3" s="120"/>
      <c r="BAL3" s="120"/>
      <c r="BAM3" s="120"/>
      <c r="BAN3" s="120"/>
      <c r="BAO3" s="120"/>
      <c r="BAP3" s="120"/>
      <c r="BAQ3" s="120"/>
      <c r="BAR3" s="120"/>
      <c r="BAS3" s="120"/>
      <c r="BAT3" s="120"/>
      <c r="BAU3" s="120"/>
      <c r="BAV3" s="120"/>
      <c r="BAW3" s="120"/>
      <c r="BAX3" s="120"/>
      <c r="BAY3" s="120"/>
      <c r="BAZ3" s="120"/>
      <c r="BBA3" s="120"/>
      <c r="BBB3" s="120"/>
      <c r="BBC3" s="120"/>
      <c r="BBD3" s="120"/>
      <c r="BBE3" s="120"/>
      <c r="BBF3" s="120"/>
      <c r="BBG3" s="120"/>
      <c r="BBH3" s="120"/>
      <c r="BBI3" s="120"/>
      <c r="BBJ3" s="120"/>
      <c r="BBK3" s="120"/>
      <c r="BBL3" s="120"/>
      <c r="BBM3" s="120"/>
      <c r="BBN3" s="120"/>
      <c r="BBO3" s="120"/>
      <c r="BBP3" s="120"/>
      <c r="BBQ3" s="120"/>
      <c r="BBR3" s="120"/>
      <c r="BBS3" s="120"/>
      <c r="BBT3" s="120"/>
      <c r="BBU3" s="120"/>
      <c r="BBV3" s="120"/>
      <c r="BBW3" s="120"/>
      <c r="BBX3" s="120"/>
      <c r="BBY3" s="120"/>
      <c r="BBZ3" s="120"/>
      <c r="BCA3" s="120"/>
      <c r="BCB3" s="120"/>
      <c r="BCC3" s="120"/>
      <c r="BCD3" s="120"/>
      <c r="BCE3" s="120"/>
      <c r="BCF3" s="120"/>
      <c r="BCG3" s="120"/>
      <c r="BCH3" s="120"/>
      <c r="BCI3" s="120"/>
      <c r="BCJ3" s="120"/>
      <c r="BCK3" s="120"/>
      <c r="BCL3" s="120"/>
      <c r="BCM3" s="120"/>
      <c r="BCN3" s="120"/>
      <c r="BCO3" s="120"/>
      <c r="BCP3" s="120"/>
      <c r="BCQ3" s="120"/>
      <c r="BCR3" s="120"/>
      <c r="BCS3" s="120"/>
      <c r="BCT3" s="120"/>
      <c r="BCU3" s="120"/>
      <c r="BCV3" s="120"/>
      <c r="BCW3" s="120"/>
      <c r="BCX3" s="120"/>
      <c r="BCY3" s="120"/>
      <c r="BCZ3" s="120"/>
      <c r="BDA3" s="120"/>
      <c r="BDB3" s="120"/>
      <c r="BDC3" s="120"/>
      <c r="BDD3" s="120"/>
      <c r="BDE3" s="120"/>
      <c r="BDF3" s="120"/>
      <c r="BDG3" s="120"/>
      <c r="BDH3" s="120"/>
      <c r="BDI3" s="120"/>
      <c r="BDJ3" s="120"/>
      <c r="BDK3" s="120"/>
      <c r="BDL3" s="120"/>
      <c r="BDM3" s="120"/>
      <c r="BDN3" s="120"/>
      <c r="BDO3" s="120"/>
      <c r="BDP3" s="120"/>
      <c r="BDQ3" s="120"/>
      <c r="BDR3" s="120"/>
      <c r="BDS3" s="120"/>
      <c r="BDT3" s="120"/>
      <c r="BDU3" s="120"/>
      <c r="BDV3" s="120"/>
      <c r="BDW3" s="120"/>
      <c r="BDX3" s="120"/>
      <c r="BDY3" s="120"/>
      <c r="BDZ3" s="120"/>
      <c r="BEA3" s="120"/>
      <c r="BEB3" s="120"/>
      <c r="BEC3" s="120"/>
      <c r="BED3" s="120"/>
      <c r="BEE3" s="120"/>
      <c r="BEF3" s="120"/>
      <c r="BEG3" s="120"/>
      <c r="BEH3" s="120"/>
      <c r="BEI3" s="120"/>
      <c r="BEJ3" s="120"/>
      <c r="BEK3" s="120"/>
      <c r="BEL3" s="120"/>
      <c r="BEM3" s="120"/>
      <c r="BEN3" s="120"/>
      <c r="BEO3" s="120"/>
      <c r="BEP3" s="120"/>
      <c r="BEQ3" s="120"/>
      <c r="BER3" s="120"/>
      <c r="BES3" s="120"/>
      <c r="BET3" s="120"/>
      <c r="BEU3" s="120"/>
      <c r="BEV3" s="120"/>
      <c r="BEW3" s="120"/>
      <c r="BEX3" s="120"/>
      <c r="BEY3" s="120"/>
      <c r="BEZ3" s="120"/>
      <c r="BFA3" s="120"/>
      <c r="BFB3" s="120"/>
      <c r="BFC3" s="120"/>
      <c r="BFD3" s="120"/>
      <c r="BFE3" s="120"/>
      <c r="BFF3" s="120"/>
      <c r="BFG3" s="120"/>
      <c r="BFH3" s="120"/>
      <c r="BFI3" s="120"/>
      <c r="BFJ3" s="120"/>
      <c r="BFK3" s="120"/>
      <c r="BFL3" s="120"/>
      <c r="BFM3" s="120"/>
      <c r="BFN3" s="120"/>
      <c r="BFO3" s="120"/>
      <c r="BFP3" s="120"/>
      <c r="BFQ3" s="120"/>
      <c r="BFR3" s="120"/>
      <c r="BFS3" s="120"/>
      <c r="BFT3" s="120"/>
      <c r="BFU3" s="120"/>
      <c r="BFV3" s="120"/>
      <c r="BFW3" s="120"/>
      <c r="BFX3" s="120"/>
      <c r="BFY3" s="120"/>
      <c r="BFZ3" s="120"/>
      <c r="BGA3" s="120"/>
      <c r="BGB3" s="120"/>
      <c r="BGC3" s="120"/>
      <c r="BGD3" s="120"/>
      <c r="BGE3" s="120"/>
      <c r="BGF3" s="120"/>
      <c r="BGG3" s="120"/>
      <c r="BGH3" s="120"/>
      <c r="BGI3" s="120"/>
      <c r="BGJ3" s="120"/>
      <c r="BGK3" s="120"/>
      <c r="BGL3" s="120"/>
      <c r="BGM3" s="120"/>
      <c r="BGN3" s="120"/>
      <c r="BGO3" s="120"/>
      <c r="BGP3" s="120"/>
      <c r="BGQ3" s="120"/>
      <c r="BGR3" s="120"/>
      <c r="BGS3" s="120"/>
      <c r="BGT3" s="120"/>
      <c r="BGU3" s="120"/>
      <c r="BGV3" s="120"/>
      <c r="BGW3" s="120"/>
      <c r="BGX3" s="120"/>
      <c r="BGY3" s="120"/>
      <c r="BGZ3" s="120"/>
      <c r="BHA3" s="120"/>
      <c r="BHB3" s="120"/>
      <c r="BHC3" s="120"/>
      <c r="BHD3" s="120"/>
      <c r="BHE3" s="120"/>
      <c r="BHF3" s="120"/>
      <c r="BHG3" s="120"/>
      <c r="BHH3" s="120"/>
      <c r="BHI3" s="120"/>
      <c r="BHJ3" s="120"/>
      <c r="BHK3" s="120"/>
      <c r="BHL3" s="120"/>
      <c r="BHM3" s="120"/>
      <c r="BHN3" s="120"/>
      <c r="BHO3" s="120"/>
      <c r="BHP3" s="120"/>
      <c r="BHQ3" s="120"/>
      <c r="BHR3" s="120"/>
      <c r="BHS3" s="120"/>
      <c r="BHT3" s="120"/>
      <c r="BHU3" s="120"/>
      <c r="BHV3" s="120"/>
      <c r="BHW3" s="120"/>
      <c r="BHX3" s="120"/>
      <c r="BHY3" s="120"/>
      <c r="BHZ3" s="120"/>
      <c r="BIA3" s="120"/>
      <c r="BIB3" s="120"/>
      <c r="BIC3" s="120"/>
      <c r="BID3" s="120"/>
      <c r="BIE3" s="120"/>
      <c r="BIF3" s="120"/>
      <c r="BIG3" s="120"/>
      <c r="BIH3" s="120"/>
      <c r="BII3" s="120"/>
      <c r="BIJ3" s="120"/>
      <c r="BIK3" s="120"/>
      <c r="BIL3" s="120"/>
      <c r="BIM3" s="120"/>
      <c r="BIN3" s="120"/>
      <c r="BIO3" s="120"/>
      <c r="BIP3" s="120"/>
      <c r="BIQ3" s="120"/>
      <c r="BIR3" s="120"/>
      <c r="BIS3" s="120"/>
      <c r="BIT3" s="120"/>
      <c r="BIU3" s="120"/>
      <c r="BIV3" s="120"/>
      <c r="BIW3" s="120"/>
      <c r="BIX3" s="120"/>
      <c r="BIY3" s="120"/>
      <c r="BIZ3" s="120"/>
      <c r="BJA3" s="120"/>
      <c r="BJB3" s="120"/>
      <c r="BJC3" s="120"/>
      <c r="BJD3" s="120"/>
      <c r="BJE3" s="120"/>
      <c r="BJF3" s="120"/>
      <c r="BJG3" s="120"/>
      <c r="BJH3" s="120"/>
      <c r="BJI3" s="120"/>
      <c r="BJJ3" s="120"/>
      <c r="BJK3" s="120"/>
      <c r="BJL3" s="120"/>
      <c r="BJM3" s="120"/>
      <c r="BJN3" s="120"/>
      <c r="BJO3" s="120"/>
      <c r="BJP3" s="120"/>
      <c r="BJQ3" s="120"/>
      <c r="BJR3" s="120"/>
      <c r="BJS3" s="120"/>
      <c r="BJT3" s="120"/>
      <c r="BJU3" s="120"/>
      <c r="BJV3" s="120"/>
      <c r="BJW3" s="120"/>
      <c r="BJX3" s="120"/>
      <c r="BJY3" s="120"/>
      <c r="BJZ3" s="120"/>
      <c r="BKA3" s="120"/>
      <c r="BKB3" s="120"/>
      <c r="BKC3" s="120"/>
      <c r="BKD3" s="120"/>
      <c r="BKE3" s="120"/>
      <c r="BKF3" s="120"/>
      <c r="BKG3" s="120"/>
      <c r="BKH3" s="120"/>
      <c r="BKI3" s="120"/>
      <c r="BKJ3" s="120"/>
      <c r="BKK3" s="120"/>
      <c r="BKL3" s="120"/>
      <c r="BKM3" s="120"/>
      <c r="BKN3" s="120"/>
      <c r="BKO3" s="120"/>
      <c r="BKP3" s="120"/>
      <c r="BKQ3" s="120"/>
      <c r="BKR3" s="120"/>
      <c r="BKS3" s="120"/>
      <c r="BKT3" s="120"/>
      <c r="BKU3" s="120"/>
      <c r="BKV3" s="120"/>
      <c r="BKW3" s="120"/>
      <c r="BKX3" s="120"/>
      <c r="BKY3" s="120"/>
      <c r="BKZ3" s="120"/>
      <c r="BLA3" s="120"/>
      <c r="BLB3" s="120"/>
      <c r="BLC3" s="120"/>
      <c r="BLD3" s="120"/>
      <c r="BLE3" s="120"/>
      <c r="BLF3" s="120"/>
      <c r="BLG3" s="120"/>
      <c r="BLH3" s="120"/>
      <c r="BLI3" s="120"/>
      <c r="BLJ3" s="120"/>
      <c r="BLK3" s="120"/>
      <c r="BLL3" s="120"/>
      <c r="BLM3" s="120"/>
      <c r="BLN3" s="120"/>
      <c r="BLO3" s="120"/>
      <c r="BLP3" s="120"/>
      <c r="BLQ3" s="120"/>
      <c r="BLR3" s="120"/>
      <c r="BLS3" s="120"/>
      <c r="BLT3" s="120"/>
      <c r="BLU3" s="120"/>
      <c r="BLV3" s="120"/>
      <c r="BLW3" s="120"/>
      <c r="BLX3" s="120"/>
      <c r="BLY3" s="120"/>
      <c r="BLZ3" s="120"/>
      <c r="BMA3" s="120"/>
      <c r="BMB3" s="120"/>
      <c r="BMC3" s="120"/>
      <c r="BMD3" s="120"/>
      <c r="BME3" s="120"/>
      <c r="BMF3" s="120"/>
      <c r="BMG3" s="120"/>
      <c r="BMH3" s="120"/>
      <c r="BMI3" s="120"/>
      <c r="BMJ3" s="120"/>
      <c r="BMK3" s="120"/>
      <c r="BML3" s="120"/>
      <c r="BMM3" s="120"/>
      <c r="BMN3" s="120"/>
      <c r="BMO3" s="120"/>
      <c r="BMP3" s="120"/>
      <c r="BMQ3" s="120"/>
      <c r="BMR3" s="120"/>
      <c r="BMS3" s="120"/>
      <c r="BMT3" s="120"/>
      <c r="BMU3" s="120"/>
      <c r="BMV3" s="120"/>
      <c r="BMW3" s="120"/>
      <c r="BMX3" s="120"/>
      <c r="BMY3" s="120"/>
      <c r="BMZ3" s="120"/>
      <c r="BNA3" s="120"/>
      <c r="BNB3" s="120"/>
      <c r="BNC3" s="120"/>
      <c r="BND3" s="120"/>
      <c r="BNE3" s="120"/>
      <c r="BNF3" s="120"/>
      <c r="BNG3" s="120"/>
      <c r="BNH3" s="120"/>
      <c r="BNI3" s="120"/>
      <c r="BNJ3" s="120"/>
      <c r="BNK3" s="120"/>
      <c r="BNL3" s="120"/>
      <c r="BNM3" s="120"/>
      <c r="BNN3" s="120"/>
      <c r="BNO3" s="120"/>
      <c r="BNP3" s="120"/>
      <c r="BNQ3" s="120"/>
      <c r="BNR3" s="120"/>
      <c r="BNS3" s="120"/>
      <c r="BNT3" s="120"/>
      <c r="BNU3" s="120"/>
      <c r="BNV3" s="120"/>
      <c r="BNW3" s="120"/>
      <c r="BNX3" s="120"/>
      <c r="BNY3" s="120"/>
      <c r="BNZ3" s="120"/>
      <c r="BOA3" s="120"/>
      <c r="BOB3" s="120"/>
      <c r="BOC3" s="120"/>
      <c r="BOD3" s="120"/>
      <c r="BOE3" s="120"/>
      <c r="BOF3" s="120"/>
      <c r="BOG3" s="120"/>
      <c r="BOH3" s="120"/>
      <c r="BOI3" s="120"/>
      <c r="BOJ3" s="120"/>
      <c r="BOK3" s="120"/>
      <c r="BOL3" s="120"/>
      <c r="BOM3" s="120"/>
      <c r="BON3" s="120"/>
      <c r="BOO3" s="120"/>
      <c r="BOP3" s="120"/>
      <c r="BOQ3" s="120"/>
      <c r="BOR3" s="120"/>
      <c r="BOS3" s="120"/>
      <c r="BOT3" s="120"/>
      <c r="BOU3" s="120"/>
      <c r="BOV3" s="120"/>
      <c r="BOW3" s="120"/>
      <c r="BOX3" s="120"/>
      <c r="BOY3" s="120"/>
      <c r="BOZ3" s="120"/>
      <c r="BPA3" s="120"/>
      <c r="BPB3" s="120"/>
      <c r="BPC3" s="120"/>
      <c r="BPD3" s="120"/>
      <c r="BPE3" s="120"/>
      <c r="BPF3" s="120"/>
      <c r="BPG3" s="120"/>
      <c r="BPH3" s="120"/>
      <c r="BPI3" s="120"/>
      <c r="BPJ3" s="120"/>
      <c r="BPK3" s="120"/>
      <c r="BPL3" s="120"/>
      <c r="BPM3" s="120"/>
      <c r="BPN3" s="120"/>
      <c r="BPO3" s="120"/>
      <c r="BPP3" s="120"/>
      <c r="BPQ3" s="120"/>
      <c r="BPR3" s="120"/>
      <c r="BPS3" s="120"/>
      <c r="BPT3" s="120"/>
      <c r="BPU3" s="120"/>
      <c r="BPV3" s="120"/>
      <c r="BPW3" s="120"/>
      <c r="BPX3" s="120"/>
      <c r="BPY3" s="120"/>
      <c r="BPZ3" s="120"/>
      <c r="BQA3" s="120"/>
      <c r="BQB3" s="120"/>
      <c r="BQC3" s="120"/>
      <c r="BQD3" s="120"/>
      <c r="BQE3" s="120"/>
      <c r="BQF3" s="120"/>
      <c r="BQG3" s="120"/>
      <c r="BQH3" s="120"/>
      <c r="BQI3" s="120"/>
      <c r="BQJ3" s="120"/>
      <c r="BQK3" s="120"/>
      <c r="BQL3" s="120"/>
      <c r="BQM3" s="120"/>
      <c r="BQN3" s="120"/>
      <c r="BQO3" s="120"/>
      <c r="BQP3" s="120"/>
      <c r="BQQ3" s="120"/>
      <c r="BQR3" s="120"/>
      <c r="BQS3" s="120"/>
      <c r="BQT3" s="120"/>
      <c r="BQU3" s="120"/>
      <c r="BQV3" s="120"/>
      <c r="BQW3" s="120"/>
      <c r="BQX3" s="120"/>
      <c r="BQY3" s="120"/>
      <c r="BQZ3" s="120"/>
      <c r="BRA3" s="120"/>
      <c r="BRB3" s="120"/>
      <c r="BRC3" s="120"/>
      <c r="BRD3" s="120"/>
      <c r="BRE3" s="120"/>
      <c r="BRF3" s="120"/>
      <c r="BRG3" s="120"/>
      <c r="BRH3" s="120"/>
      <c r="BRI3" s="120"/>
      <c r="BRJ3" s="120"/>
      <c r="BRK3" s="120"/>
      <c r="BRL3" s="120"/>
      <c r="BRM3" s="120"/>
      <c r="BRN3" s="120"/>
      <c r="BRO3" s="120"/>
      <c r="BRP3" s="120"/>
      <c r="BRQ3" s="120"/>
      <c r="BRR3" s="120"/>
      <c r="BRS3" s="120"/>
      <c r="BRT3" s="120"/>
      <c r="BRU3" s="120"/>
      <c r="BRV3" s="120"/>
      <c r="BRW3" s="120"/>
      <c r="BRX3" s="120"/>
      <c r="BRY3" s="120"/>
      <c r="BRZ3" s="120"/>
      <c r="BSA3" s="120"/>
      <c r="BSB3" s="120"/>
      <c r="BSC3" s="120"/>
      <c r="BSD3" s="120"/>
      <c r="BSE3" s="120"/>
      <c r="BSF3" s="120"/>
      <c r="BSG3" s="120"/>
      <c r="BSH3" s="120"/>
      <c r="BSI3" s="120"/>
      <c r="BSJ3" s="120"/>
      <c r="BSK3" s="120"/>
      <c r="BSL3" s="120"/>
      <c r="BSM3" s="120"/>
      <c r="BSN3" s="120"/>
      <c r="BSO3" s="120"/>
      <c r="BSP3" s="120"/>
      <c r="BSQ3" s="120"/>
      <c r="BSR3" s="120"/>
      <c r="BSS3" s="120"/>
      <c r="BST3" s="120"/>
      <c r="BSU3" s="120"/>
      <c r="BSV3" s="120"/>
      <c r="BSW3" s="120"/>
      <c r="BSX3" s="120"/>
      <c r="BSY3" s="120"/>
      <c r="BSZ3" s="120"/>
      <c r="BTA3" s="120"/>
      <c r="BTB3" s="120"/>
      <c r="BTC3" s="120"/>
      <c r="BTD3" s="120"/>
      <c r="BTE3" s="120"/>
      <c r="BTF3" s="120"/>
      <c r="BTG3" s="120"/>
      <c r="BTH3" s="120"/>
      <c r="BTI3" s="120"/>
      <c r="BTJ3" s="120"/>
      <c r="BTK3" s="120"/>
      <c r="BTL3" s="120"/>
      <c r="BTM3" s="120"/>
      <c r="BTN3" s="120"/>
      <c r="BTO3" s="120"/>
      <c r="BTP3" s="120"/>
      <c r="BTQ3" s="120"/>
      <c r="BTR3" s="120"/>
      <c r="BTS3" s="120"/>
      <c r="BTT3" s="120"/>
      <c r="BTU3" s="120"/>
      <c r="BTV3" s="120"/>
      <c r="BTW3" s="120"/>
      <c r="BTX3" s="120"/>
      <c r="BTY3" s="120"/>
      <c r="BTZ3" s="120"/>
      <c r="BUA3" s="120"/>
      <c r="BUB3" s="120"/>
      <c r="BUC3" s="120"/>
      <c r="BUD3" s="120"/>
      <c r="BUE3" s="120"/>
      <c r="BUF3" s="120"/>
      <c r="BUG3" s="120"/>
      <c r="BUH3" s="120"/>
      <c r="BUI3" s="120"/>
      <c r="BUJ3" s="120"/>
      <c r="BUK3" s="120"/>
      <c r="BUL3" s="120"/>
      <c r="BUM3" s="120"/>
      <c r="BUN3" s="120"/>
      <c r="BUO3" s="120"/>
      <c r="BUP3" s="120"/>
      <c r="BUQ3" s="120"/>
      <c r="BUR3" s="120"/>
      <c r="BUS3" s="120"/>
      <c r="BUT3" s="120"/>
      <c r="BUU3" s="120"/>
      <c r="BUV3" s="120"/>
      <c r="BUW3" s="120"/>
      <c r="BUX3" s="120"/>
      <c r="BUY3" s="120"/>
      <c r="BUZ3" s="120"/>
      <c r="BVA3" s="120"/>
      <c r="BVB3" s="120"/>
      <c r="BVC3" s="120"/>
      <c r="BVD3" s="120"/>
      <c r="BVE3" s="120"/>
      <c r="BVF3" s="120"/>
      <c r="BVG3" s="120"/>
      <c r="BVH3" s="120"/>
      <c r="BVI3" s="120"/>
      <c r="BVJ3" s="120"/>
      <c r="BVK3" s="120"/>
      <c r="BVL3" s="120"/>
      <c r="BVM3" s="120"/>
      <c r="BVN3" s="120"/>
      <c r="BVO3" s="120"/>
      <c r="BVP3" s="120"/>
      <c r="BVQ3" s="120"/>
      <c r="BVR3" s="120"/>
      <c r="BVS3" s="120"/>
      <c r="BVT3" s="120"/>
      <c r="BVU3" s="120"/>
      <c r="BVV3" s="120"/>
      <c r="BVW3" s="120"/>
      <c r="BVX3" s="120"/>
      <c r="BVY3" s="120"/>
      <c r="BVZ3" s="120"/>
      <c r="BWA3" s="120"/>
      <c r="BWB3" s="120"/>
      <c r="BWC3" s="120"/>
      <c r="BWD3" s="120"/>
      <c r="BWE3" s="120"/>
      <c r="BWF3" s="120"/>
      <c r="BWG3" s="120"/>
      <c r="BWH3" s="120"/>
      <c r="BWI3" s="120"/>
      <c r="BWJ3" s="120"/>
      <c r="BWK3" s="120"/>
      <c r="BWL3" s="120"/>
      <c r="BWM3" s="120"/>
      <c r="BWN3" s="120"/>
      <c r="BWO3" s="120"/>
      <c r="BWP3" s="120"/>
      <c r="BWQ3" s="120"/>
      <c r="BWR3" s="120"/>
      <c r="BWS3" s="120"/>
      <c r="BWT3" s="120"/>
      <c r="BWU3" s="120"/>
      <c r="BWV3" s="120"/>
      <c r="BWW3" s="120"/>
      <c r="BWX3" s="120"/>
      <c r="BWY3" s="120"/>
      <c r="BWZ3" s="120"/>
      <c r="BXA3" s="120"/>
      <c r="BXB3" s="120"/>
      <c r="BXC3" s="120"/>
      <c r="BXD3" s="120"/>
      <c r="BXE3" s="120"/>
      <c r="BXF3" s="120"/>
      <c r="BXG3" s="120"/>
      <c r="BXH3" s="120"/>
      <c r="BXI3" s="120"/>
      <c r="BXJ3" s="120"/>
      <c r="BXK3" s="120"/>
      <c r="BXL3" s="120"/>
      <c r="BXM3" s="120"/>
      <c r="BXN3" s="120"/>
      <c r="BXO3" s="120"/>
      <c r="BXP3" s="120"/>
      <c r="BXQ3" s="120"/>
      <c r="BXR3" s="120"/>
      <c r="BXS3" s="120"/>
      <c r="BXT3" s="120"/>
      <c r="BXU3" s="120"/>
      <c r="BXV3" s="120"/>
      <c r="BXW3" s="120"/>
      <c r="BXX3" s="120"/>
      <c r="BXY3" s="120"/>
      <c r="BXZ3" s="120"/>
      <c r="BYA3" s="120"/>
      <c r="BYB3" s="120"/>
      <c r="BYC3" s="120"/>
      <c r="BYD3" s="120"/>
      <c r="BYE3" s="120"/>
      <c r="BYF3" s="120"/>
      <c r="BYG3" s="120"/>
      <c r="BYH3" s="120"/>
      <c r="BYI3" s="120"/>
      <c r="BYJ3" s="120"/>
      <c r="BYK3" s="120"/>
      <c r="BYL3" s="120"/>
      <c r="BYM3" s="120"/>
      <c r="BYN3" s="120"/>
      <c r="BYO3" s="120"/>
      <c r="BYP3" s="120"/>
      <c r="BYQ3" s="120"/>
      <c r="BYR3" s="120"/>
      <c r="BYS3" s="120"/>
      <c r="BYT3" s="120"/>
      <c r="BYU3" s="120"/>
      <c r="BYV3" s="120"/>
      <c r="BYW3" s="120"/>
      <c r="BYX3" s="120"/>
      <c r="BYY3" s="120"/>
      <c r="BYZ3" s="120"/>
      <c r="BZA3" s="120"/>
      <c r="BZB3" s="120"/>
      <c r="BZC3" s="120"/>
      <c r="BZD3" s="120"/>
      <c r="BZE3" s="120"/>
      <c r="BZF3" s="120"/>
      <c r="BZG3" s="120"/>
      <c r="BZH3" s="120"/>
      <c r="BZI3" s="120"/>
      <c r="BZJ3" s="120"/>
      <c r="BZK3" s="120"/>
      <c r="BZL3" s="120"/>
      <c r="BZM3" s="120"/>
      <c r="BZN3" s="120"/>
      <c r="BZO3" s="120"/>
      <c r="BZP3" s="120"/>
      <c r="BZQ3" s="120"/>
      <c r="BZR3" s="120"/>
      <c r="BZS3" s="120"/>
      <c r="BZT3" s="120"/>
      <c r="BZU3" s="120"/>
      <c r="BZV3" s="120"/>
      <c r="BZW3" s="120"/>
      <c r="BZX3" s="120"/>
      <c r="BZY3" s="120"/>
      <c r="BZZ3" s="120"/>
      <c r="CAA3" s="120"/>
      <c r="CAB3" s="120"/>
      <c r="CAC3" s="120"/>
      <c r="CAD3" s="120"/>
      <c r="CAE3" s="120"/>
      <c r="CAF3" s="120"/>
      <c r="CAG3" s="120"/>
      <c r="CAH3" s="120"/>
      <c r="CAI3" s="120"/>
      <c r="CAJ3" s="120"/>
      <c r="CAK3" s="120"/>
      <c r="CAL3" s="120"/>
      <c r="CAM3" s="120"/>
      <c r="CAN3" s="120"/>
      <c r="CAO3" s="120"/>
      <c r="CAP3" s="120"/>
      <c r="CAQ3" s="120"/>
      <c r="CAR3" s="120"/>
      <c r="CAS3" s="120"/>
      <c r="CAT3" s="120"/>
      <c r="CAU3" s="120"/>
      <c r="CAV3" s="120"/>
      <c r="CAW3" s="120"/>
      <c r="CAX3" s="120"/>
      <c r="CAY3" s="120"/>
      <c r="CAZ3" s="120"/>
      <c r="CBA3" s="120"/>
      <c r="CBB3" s="120"/>
      <c r="CBC3" s="120"/>
      <c r="CBD3" s="120"/>
      <c r="CBE3" s="120"/>
      <c r="CBF3" s="120"/>
      <c r="CBG3" s="120"/>
      <c r="CBH3" s="120"/>
      <c r="CBI3" s="120"/>
      <c r="CBJ3" s="120"/>
      <c r="CBK3" s="120"/>
      <c r="CBL3" s="120"/>
      <c r="CBM3" s="120"/>
      <c r="CBN3" s="120"/>
      <c r="CBO3" s="120"/>
      <c r="CBP3" s="120"/>
      <c r="CBQ3" s="120"/>
      <c r="CBR3" s="120"/>
      <c r="CBS3" s="120"/>
      <c r="CBT3" s="120"/>
      <c r="CBU3" s="120"/>
      <c r="CBV3" s="120"/>
      <c r="CBW3" s="120"/>
      <c r="CBX3" s="120"/>
      <c r="CBY3" s="120"/>
      <c r="CBZ3" s="120"/>
      <c r="CCA3" s="120"/>
      <c r="CCB3" s="120"/>
      <c r="CCC3" s="120"/>
      <c r="CCD3" s="120"/>
      <c r="CCE3" s="120"/>
      <c r="CCF3" s="120"/>
      <c r="CCG3" s="120"/>
      <c r="CCH3" s="120"/>
      <c r="CCI3" s="120"/>
      <c r="CCJ3" s="120"/>
      <c r="CCK3" s="120"/>
      <c r="CCL3" s="120"/>
      <c r="CCM3" s="120"/>
      <c r="CCN3" s="120"/>
      <c r="CCO3" s="120"/>
      <c r="CCP3" s="120"/>
      <c r="CCQ3" s="120"/>
      <c r="CCR3" s="120"/>
      <c r="CCS3" s="120"/>
      <c r="CCT3" s="120"/>
      <c r="CCU3" s="120"/>
      <c r="CCV3" s="120"/>
      <c r="CCW3" s="120"/>
      <c r="CCX3" s="120"/>
      <c r="CCY3" s="120"/>
      <c r="CCZ3" s="120"/>
      <c r="CDA3" s="120"/>
      <c r="CDB3" s="120"/>
      <c r="CDC3" s="120"/>
      <c r="CDD3" s="120"/>
      <c r="CDE3" s="120"/>
      <c r="CDF3" s="120"/>
      <c r="CDG3" s="120"/>
      <c r="CDH3" s="120"/>
      <c r="CDI3" s="120"/>
      <c r="CDJ3" s="120"/>
      <c r="CDK3" s="120"/>
      <c r="CDL3" s="120"/>
      <c r="CDM3" s="120"/>
      <c r="CDN3" s="120"/>
      <c r="CDO3" s="120"/>
      <c r="CDP3" s="120"/>
      <c r="CDQ3" s="120"/>
      <c r="CDR3" s="120"/>
      <c r="CDS3" s="120"/>
      <c r="CDT3" s="120"/>
      <c r="CDU3" s="120"/>
      <c r="CDV3" s="120"/>
      <c r="CDW3" s="120"/>
      <c r="CDX3" s="120"/>
      <c r="CDY3" s="120"/>
      <c r="CDZ3" s="120"/>
      <c r="CEA3" s="120"/>
      <c r="CEB3" s="120"/>
      <c r="CEC3" s="120"/>
      <c r="CED3" s="120"/>
      <c r="CEE3" s="120"/>
      <c r="CEF3" s="120"/>
      <c r="CEG3" s="120"/>
      <c r="CEH3" s="120"/>
      <c r="CEI3" s="120"/>
      <c r="CEJ3" s="120"/>
      <c r="CEK3" s="120"/>
      <c r="CEL3" s="120"/>
      <c r="CEM3" s="120"/>
      <c r="CEN3" s="120"/>
      <c r="CEO3" s="120"/>
      <c r="CEP3" s="120"/>
      <c r="CEQ3" s="120"/>
      <c r="CER3" s="120"/>
      <c r="CES3" s="120"/>
      <c r="CET3" s="120"/>
      <c r="CEU3" s="120"/>
      <c r="CEV3" s="120"/>
      <c r="CEW3" s="120"/>
      <c r="CEX3" s="120"/>
      <c r="CEY3" s="120"/>
      <c r="CEZ3" s="120"/>
      <c r="CFA3" s="120"/>
      <c r="CFB3" s="120"/>
      <c r="CFC3" s="120"/>
      <c r="CFD3" s="120"/>
      <c r="CFE3" s="120"/>
      <c r="CFF3" s="120"/>
      <c r="CFG3" s="120"/>
      <c r="CFH3" s="120"/>
      <c r="CFI3" s="120"/>
      <c r="CFJ3" s="120"/>
      <c r="CFK3" s="120"/>
      <c r="CFL3" s="120"/>
      <c r="CFM3" s="120"/>
      <c r="CFN3" s="120"/>
      <c r="CFO3" s="120"/>
      <c r="CFP3" s="120"/>
      <c r="CFQ3" s="120"/>
      <c r="CFR3" s="120"/>
      <c r="CFS3" s="120"/>
      <c r="CFT3" s="120"/>
      <c r="CFU3" s="120"/>
      <c r="CFV3" s="120"/>
      <c r="CFW3" s="120"/>
      <c r="CFX3" s="120"/>
      <c r="CFY3" s="120"/>
      <c r="CFZ3" s="120"/>
      <c r="CGA3" s="120"/>
      <c r="CGB3" s="120"/>
      <c r="CGC3" s="120"/>
      <c r="CGD3" s="120"/>
      <c r="CGE3" s="120"/>
      <c r="CGF3" s="120"/>
      <c r="CGG3" s="120"/>
      <c r="CGH3" s="120"/>
      <c r="CGI3" s="120"/>
      <c r="CGJ3" s="120"/>
      <c r="CGK3" s="120"/>
      <c r="CGL3" s="120"/>
      <c r="CGM3" s="120"/>
      <c r="CGN3" s="120"/>
      <c r="CGO3" s="120"/>
      <c r="CGP3" s="120"/>
      <c r="CGQ3" s="120"/>
      <c r="CGR3" s="120"/>
      <c r="CGS3" s="120"/>
      <c r="CGT3" s="120"/>
      <c r="CGU3" s="120"/>
      <c r="CGV3" s="120"/>
      <c r="CGW3" s="120"/>
      <c r="CGX3" s="120"/>
      <c r="CGY3" s="120"/>
      <c r="CGZ3" s="120"/>
      <c r="CHA3" s="120"/>
      <c r="CHB3" s="120"/>
      <c r="CHC3" s="120"/>
      <c r="CHD3" s="120"/>
      <c r="CHE3" s="120"/>
      <c r="CHF3" s="120"/>
      <c r="CHG3" s="120"/>
      <c r="CHH3" s="120"/>
      <c r="CHI3" s="120"/>
      <c r="CHJ3" s="120"/>
      <c r="CHK3" s="120"/>
      <c r="CHL3" s="120"/>
      <c r="CHM3" s="120"/>
      <c r="CHN3" s="120"/>
      <c r="CHO3" s="120"/>
      <c r="CHP3" s="120"/>
      <c r="CHQ3" s="120"/>
      <c r="CHR3" s="120"/>
      <c r="CHS3" s="120"/>
      <c r="CHT3" s="120"/>
      <c r="CHU3" s="120"/>
      <c r="CHV3" s="120"/>
      <c r="CHW3" s="120"/>
      <c r="CHX3" s="120"/>
      <c r="CHY3" s="120"/>
      <c r="CHZ3" s="120"/>
      <c r="CIA3" s="120"/>
      <c r="CIB3" s="120"/>
      <c r="CIC3" s="120"/>
      <c r="CID3" s="120"/>
      <c r="CIE3" s="120"/>
      <c r="CIF3" s="120"/>
      <c r="CIG3" s="120"/>
      <c r="CIH3" s="120"/>
      <c r="CII3" s="120"/>
      <c r="CIJ3" s="120"/>
      <c r="CIK3" s="120"/>
      <c r="CIL3" s="120"/>
      <c r="CIM3" s="120"/>
      <c r="CIN3" s="120"/>
      <c r="CIO3" s="120"/>
      <c r="CIP3" s="120"/>
      <c r="CIQ3" s="120"/>
      <c r="CIR3" s="120"/>
      <c r="CIS3" s="120"/>
      <c r="CIT3" s="120"/>
      <c r="CIU3" s="120"/>
      <c r="CIV3" s="120"/>
      <c r="CIW3" s="120"/>
      <c r="CIX3" s="120"/>
      <c r="CIY3" s="120"/>
      <c r="CIZ3" s="120"/>
      <c r="CJA3" s="120"/>
      <c r="CJB3" s="120"/>
      <c r="CJC3" s="120"/>
      <c r="CJD3" s="120"/>
      <c r="CJE3" s="120"/>
      <c r="CJF3" s="120"/>
      <c r="CJG3" s="120"/>
      <c r="CJH3" s="120"/>
      <c r="CJI3" s="120"/>
      <c r="CJJ3" s="120"/>
      <c r="CJK3" s="120"/>
      <c r="CJL3" s="120"/>
      <c r="CJM3" s="120"/>
      <c r="CJN3" s="120"/>
      <c r="CJO3" s="120"/>
      <c r="CJP3" s="120"/>
      <c r="CJQ3" s="120"/>
      <c r="CJR3" s="120"/>
      <c r="CJS3" s="120"/>
      <c r="CJT3" s="120"/>
      <c r="CJU3" s="120"/>
      <c r="CJV3" s="120"/>
      <c r="CJW3" s="120"/>
      <c r="CJX3" s="120"/>
      <c r="CJY3" s="120"/>
      <c r="CJZ3" s="120"/>
      <c r="CKA3" s="120"/>
      <c r="CKB3" s="120"/>
      <c r="CKC3" s="120"/>
      <c r="CKD3" s="120"/>
      <c r="CKE3" s="120"/>
      <c r="CKF3" s="120"/>
      <c r="CKG3" s="120"/>
      <c r="CKH3" s="120"/>
      <c r="CKI3" s="120"/>
      <c r="CKJ3" s="120"/>
      <c r="CKK3" s="120"/>
      <c r="CKL3" s="120"/>
      <c r="CKM3" s="120"/>
      <c r="CKN3" s="120"/>
      <c r="CKO3" s="120"/>
      <c r="CKP3" s="120"/>
      <c r="CKQ3" s="120"/>
      <c r="CKR3" s="120"/>
      <c r="CKS3" s="120"/>
      <c r="CKT3" s="120"/>
      <c r="CKU3" s="120"/>
      <c r="CKV3" s="120"/>
      <c r="CKW3" s="120"/>
      <c r="CKX3" s="120"/>
      <c r="CKY3" s="120"/>
      <c r="CKZ3" s="120"/>
      <c r="CLA3" s="120"/>
      <c r="CLB3" s="120"/>
      <c r="CLC3" s="120"/>
      <c r="CLD3" s="120"/>
      <c r="CLE3" s="120"/>
      <c r="CLF3" s="120"/>
      <c r="CLG3" s="120"/>
      <c r="CLH3" s="120"/>
      <c r="CLI3" s="120"/>
      <c r="CLJ3" s="120"/>
      <c r="CLK3" s="120"/>
      <c r="CLL3" s="120"/>
      <c r="CLM3" s="120"/>
      <c r="CLN3" s="120"/>
      <c r="CLO3" s="120"/>
      <c r="CLP3" s="120"/>
      <c r="CLQ3" s="120"/>
      <c r="CLR3" s="120"/>
      <c r="CLS3" s="120"/>
      <c r="CLT3" s="120"/>
      <c r="CLU3" s="120"/>
      <c r="CLV3" s="120"/>
      <c r="CLW3" s="120"/>
      <c r="CLX3" s="120"/>
      <c r="CLY3" s="120"/>
      <c r="CLZ3" s="120"/>
      <c r="CMA3" s="120"/>
      <c r="CMB3" s="120"/>
      <c r="CMC3" s="120"/>
      <c r="CMD3" s="120"/>
      <c r="CME3" s="120"/>
      <c r="CMF3" s="120"/>
      <c r="CMG3" s="120"/>
      <c r="CMH3" s="120"/>
      <c r="CMI3" s="120"/>
      <c r="CMJ3" s="120"/>
      <c r="CMK3" s="120"/>
      <c r="CML3" s="120"/>
      <c r="CMM3" s="120"/>
      <c r="CMN3" s="120"/>
      <c r="CMO3" s="120"/>
      <c r="CMP3" s="120"/>
      <c r="CMQ3" s="120"/>
      <c r="CMR3" s="120"/>
      <c r="CMS3" s="120"/>
      <c r="CMT3" s="120"/>
      <c r="CMU3" s="120"/>
      <c r="CMV3" s="120"/>
      <c r="CMW3" s="120"/>
      <c r="CMX3" s="120"/>
      <c r="CMY3" s="120"/>
      <c r="CMZ3" s="120"/>
      <c r="CNA3" s="120"/>
      <c r="CNB3" s="120"/>
      <c r="CNC3" s="120"/>
      <c r="CND3" s="120"/>
      <c r="CNE3" s="120"/>
      <c r="CNF3" s="120"/>
      <c r="CNG3" s="120"/>
      <c r="CNH3" s="120"/>
      <c r="CNI3" s="120"/>
      <c r="CNJ3" s="120"/>
      <c r="CNK3" s="120"/>
      <c r="CNL3" s="120"/>
      <c r="CNM3" s="120"/>
      <c r="CNN3" s="120"/>
      <c r="CNO3" s="120"/>
      <c r="CNP3" s="120"/>
      <c r="CNQ3" s="120"/>
      <c r="CNR3" s="120"/>
      <c r="CNS3" s="120"/>
      <c r="CNT3" s="120"/>
      <c r="CNU3" s="120"/>
      <c r="CNV3" s="120"/>
      <c r="CNW3" s="120"/>
      <c r="CNX3" s="120"/>
      <c r="CNY3" s="120"/>
      <c r="CNZ3" s="120"/>
      <c r="COA3" s="120"/>
      <c r="COB3" s="120"/>
      <c r="COC3" s="120"/>
      <c r="COD3" s="120"/>
      <c r="COE3" s="120"/>
      <c r="COF3" s="120"/>
      <c r="COG3" s="120"/>
      <c r="COH3" s="120"/>
      <c r="COI3" s="120"/>
      <c r="COJ3" s="120"/>
      <c r="COK3" s="120"/>
      <c r="COL3" s="120"/>
      <c r="COM3" s="120"/>
      <c r="CON3" s="120"/>
      <c r="COO3" s="120"/>
      <c r="COP3" s="120"/>
      <c r="COQ3" s="120"/>
      <c r="COR3" s="120"/>
      <c r="COS3" s="120"/>
      <c r="COT3" s="120"/>
      <c r="COU3" s="120"/>
      <c r="COV3" s="120"/>
      <c r="COW3" s="120"/>
      <c r="COX3" s="120"/>
      <c r="COY3" s="120"/>
      <c r="COZ3" s="120"/>
      <c r="CPA3" s="120"/>
      <c r="CPB3" s="120"/>
      <c r="CPC3" s="120"/>
      <c r="CPD3" s="120"/>
      <c r="CPE3" s="120"/>
      <c r="CPF3" s="120"/>
      <c r="CPG3" s="120"/>
      <c r="CPH3" s="120"/>
      <c r="CPI3" s="120"/>
      <c r="CPJ3" s="120"/>
      <c r="CPK3" s="120"/>
      <c r="CPL3" s="120"/>
      <c r="CPM3" s="120"/>
      <c r="CPN3" s="120"/>
      <c r="CPO3" s="120"/>
      <c r="CPP3" s="120"/>
      <c r="CPQ3" s="120"/>
      <c r="CPR3" s="120"/>
      <c r="CPS3" s="120"/>
      <c r="CPT3" s="120"/>
      <c r="CPU3" s="120"/>
      <c r="CPV3" s="120"/>
      <c r="CPW3" s="120"/>
      <c r="CPX3" s="120"/>
      <c r="CPY3" s="120"/>
      <c r="CPZ3" s="120"/>
      <c r="CQA3" s="120"/>
      <c r="CQB3" s="120"/>
      <c r="CQC3" s="120"/>
      <c r="CQD3" s="120"/>
      <c r="CQE3" s="120"/>
      <c r="CQF3" s="120"/>
      <c r="CQG3" s="120"/>
      <c r="CQH3" s="120"/>
      <c r="CQI3" s="120"/>
      <c r="CQJ3" s="120"/>
      <c r="CQK3" s="120"/>
      <c r="CQL3" s="120"/>
      <c r="CQM3" s="120"/>
      <c r="CQN3" s="120"/>
      <c r="CQO3" s="120"/>
      <c r="CQP3" s="120"/>
      <c r="CQQ3" s="120"/>
      <c r="CQR3" s="120"/>
      <c r="CQS3" s="120"/>
      <c r="CQT3" s="120"/>
      <c r="CQU3" s="120"/>
      <c r="CQV3" s="120"/>
      <c r="CQW3" s="120"/>
      <c r="CQX3" s="120"/>
      <c r="CQY3" s="120"/>
      <c r="CQZ3" s="120"/>
      <c r="CRA3" s="120"/>
      <c r="CRB3" s="120"/>
      <c r="CRC3" s="120"/>
      <c r="CRD3" s="120"/>
      <c r="CRE3" s="120"/>
      <c r="CRF3" s="120"/>
      <c r="CRG3" s="120"/>
      <c r="CRH3" s="120"/>
      <c r="CRI3" s="120"/>
      <c r="CRJ3" s="120"/>
      <c r="CRK3" s="120"/>
      <c r="CRL3" s="120"/>
      <c r="CRM3" s="120"/>
      <c r="CRN3" s="120"/>
      <c r="CRO3" s="120"/>
      <c r="CRP3" s="120"/>
      <c r="CRQ3" s="120"/>
      <c r="CRR3" s="120"/>
      <c r="CRS3" s="120"/>
      <c r="CRT3" s="120"/>
      <c r="CRU3" s="120"/>
      <c r="CRV3" s="120"/>
      <c r="CRW3" s="120"/>
      <c r="CRX3" s="120"/>
      <c r="CRY3" s="120"/>
      <c r="CRZ3" s="120"/>
      <c r="CSA3" s="120"/>
      <c r="CSB3" s="120"/>
      <c r="CSC3" s="120"/>
      <c r="CSD3" s="120"/>
      <c r="CSE3" s="120"/>
      <c r="CSF3" s="120"/>
      <c r="CSG3" s="120"/>
      <c r="CSH3" s="120"/>
      <c r="CSI3" s="120"/>
      <c r="CSJ3" s="120"/>
      <c r="CSK3" s="120"/>
      <c r="CSL3" s="120"/>
      <c r="CSM3" s="120"/>
      <c r="CSN3" s="120"/>
      <c r="CSO3" s="120"/>
      <c r="CSP3" s="120"/>
      <c r="CSQ3" s="120"/>
      <c r="CSR3" s="120"/>
      <c r="CSS3" s="120"/>
      <c r="CST3" s="120"/>
      <c r="CSU3" s="120"/>
      <c r="CSV3" s="120"/>
      <c r="CSW3" s="120"/>
      <c r="CSX3" s="120"/>
      <c r="CSY3" s="120"/>
      <c r="CSZ3" s="120"/>
      <c r="CTA3" s="120"/>
      <c r="CTB3" s="120"/>
      <c r="CTC3" s="120"/>
      <c r="CTD3" s="120"/>
      <c r="CTE3" s="120"/>
      <c r="CTF3" s="120"/>
      <c r="CTG3" s="120"/>
      <c r="CTH3" s="120"/>
      <c r="CTI3" s="120"/>
      <c r="CTJ3" s="120"/>
      <c r="CTK3" s="120"/>
      <c r="CTL3" s="120"/>
      <c r="CTM3" s="120"/>
      <c r="CTN3" s="120"/>
      <c r="CTO3" s="120"/>
      <c r="CTP3" s="120"/>
      <c r="CTQ3" s="120"/>
      <c r="CTR3" s="120"/>
      <c r="CTS3" s="120"/>
      <c r="CTT3" s="120"/>
      <c r="CTU3" s="120"/>
      <c r="CTV3" s="120"/>
      <c r="CTW3" s="120"/>
      <c r="CTX3" s="120"/>
      <c r="CTY3" s="120"/>
      <c r="CTZ3" s="120"/>
      <c r="CUA3" s="120"/>
      <c r="CUB3" s="120"/>
      <c r="CUC3" s="120"/>
      <c r="CUD3" s="120"/>
      <c r="CUE3" s="120"/>
      <c r="CUF3" s="120"/>
      <c r="CUG3" s="120"/>
      <c r="CUH3" s="120"/>
      <c r="CUI3" s="120"/>
      <c r="CUJ3" s="120"/>
      <c r="CUK3" s="120"/>
      <c r="CUL3" s="120"/>
      <c r="CUM3" s="120"/>
      <c r="CUN3" s="120"/>
      <c r="CUO3" s="120"/>
      <c r="CUP3" s="120"/>
      <c r="CUQ3" s="120"/>
      <c r="CUR3" s="120"/>
      <c r="CUS3" s="120"/>
      <c r="CUT3" s="120"/>
      <c r="CUU3" s="120"/>
      <c r="CUV3" s="120"/>
      <c r="CUW3" s="120"/>
      <c r="CUX3" s="120"/>
      <c r="CUY3" s="120"/>
      <c r="CUZ3" s="120"/>
      <c r="CVA3" s="120"/>
      <c r="CVB3" s="120"/>
      <c r="CVC3" s="120"/>
      <c r="CVD3" s="120"/>
      <c r="CVE3" s="120"/>
      <c r="CVF3" s="120"/>
      <c r="CVG3" s="120"/>
      <c r="CVH3" s="120"/>
      <c r="CVI3" s="120"/>
      <c r="CVJ3" s="120"/>
      <c r="CVK3" s="120"/>
      <c r="CVL3" s="120"/>
      <c r="CVM3" s="120"/>
      <c r="CVN3" s="120"/>
      <c r="CVO3" s="120"/>
      <c r="CVP3" s="120"/>
      <c r="CVQ3" s="120"/>
      <c r="CVR3" s="120"/>
      <c r="CVS3" s="120"/>
      <c r="CVT3" s="120"/>
      <c r="CVU3" s="120"/>
      <c r="CVV3" s="120"/>
      <c r="CVW3" s="120"/>
      <c r="CVX3" s="120"/>
      <c r="CVY3" s="120"/>
      <c r="CVZ3" s="120"/>
      <c r="CWA3" s="120"/>
      <c r="CWB3" s="120"/>
      <c r="CWC3" s="120"/>
      <c r="CWD3" s="120"/>
      <c r="CWE3" s="120"/>
      <c r="CWF3" s="120"/>
      <c r="CWG3" s="120"/>
      <c r="CWH3" s="120"/>
      <c r="CWI3" s="120"/>
      <c r="CWJ3" s="120"/>
      <c r="CWK3" s="120"/>
      <c r="CWL3" s="120"/>
      <c r="CWM3" s="120"/>
      <c r="CWN3" s="120"/>
      <c r="CWO3" s="120"/>
      <c r="CWP3" s="120"/>
      <c r="CWQ3" s="120"/>
      <c r="CWR3" s="120"/>
      <c r="CWS3" s="120"/>
      <c r="CWT3" s="120"/>
      <c r="CWU3" s="120"/>
      <c r="CWV3" s="120"/>
      <c r="CWW3" s="120"/>
      <c r="CWX3" s="120"/>
      <c r="CWY3" s="120"/>
      <c r="CWZ3" s="120"/>
      <c r="CXA3" s="120"/>
      <c r="CXB3" s="120"/>
      <c r="CXC3" s="120"/>
      <c r="CXD3" s="120"/>
      <c r="CXE3" s="120"/>
      <c r="CXF3" s="120"/>
      <c r="CXG3" s="120"/>
      <c r="CXH3" s="120"/>
      <c r="CXI3" s="120"/>
      <c r="CXJ3" s="120"/>
      <c r="CXK3" s="120"/>
      <c r="CXL3" s="120"/>
      <c r="CXM3" s="120"/>
      <c r="CXN3" s="120"/>
      <c r="CXO3" s="120"/>
      <c r="CXP3" s="120"/>
      <c r="CXQ3" s="120"/>
      <c r="CXR3" s="120"/>
      <c r="CXS3" s="120"/>
      <c r="CXT3" s="120"/>
      <c r="CXU3" s="120"/>
      <c r="CXV3" s="120"/>
      <c r="CXW3" s="120"/>
      <c r="CXX3" s="120"/>
      <c r="CXY3" s="120"/>
      <c r="CXZ3" s="120"/>
      <c r="CYA3" s="120"/>
      <c r="CYB3" s="120"/>
      <c r="CYC3" s="120"/>
      <c r="CYD3" s="120"/>
      <c r="CYE3" s="120"/>
      <c r="CYF3" s="120"/>
      <c r="CYG3" s="120"/>
      <c r="CYH3" s="120"/>
      <c r="CYI3" s="120"/>
      <c r="CYJ3" s="120"/>
      <c r="CYK3" s="120"/>
      <c r="CYL3" s="120"/>
      <c r="CYM3" s="120"/>
      <c r="CYN3" s="120"/>
      <c r="CYO3" s="120"/>
      <c r="CYP3" s="120"/>
      <c r="CYQ3" s="120"/>
      <c r="CYR3" s="120"/>
      <c r="CYS3" s="120"/>
      <c r="CYT3" s="120"/>
      <c r="CYU3" s="120"/>
      <c r="CYV3" s="120"/>
      <c r="CYW3" s="120"/>
      <c r="CYX3" s="120"/>
      <c r="CYY3" s="120"/>
      <c r="CYZ3" s="120"/>
      <c r="CZA3" s="120"/>
      <c r="CZB3" s="120"/>
      <c r="CZC3" s="120"/>
      <c r="CZD3" s="120"/>
      <c r="CZE3" s="120"/>
      <c r="CZF3" s="120"/>
      <c r="CZG3" s="120"/>
      <c r="CZH3" s="120"/>
      <c r="CZI3" s="120"/>
      <c r="CZJ3" s="120"/>
      <c r="CZK3" s="120"/>
      <c r="CZL3" s="120"/>
      <c r="CZM3" s="120"/>
      <c r="CZN3" s="120"/>
      <c r="CZO3" s="120"/>
      <c r="CZP3" s="120"/>
      <c r="CZQ3" s="120"/>
      <c r="CZR3" s="120"/>
      <c r="CZS3" s="120"/>
      <c r="CZT3" s="120"/>
      <c r="CZU3" s="120"/>
      <c r="CZV3" s="120"/>
      <c r="CZW3" s="120"/>
      <c r="CZX3" s="120"/>
      <c r="CZY3" s="120"/>
      <c r="CZZ3" s="120"/>
      <c r="DAA3" s="120"/>
      <c r="DAB3" s="120"/>
      <c r="DAC3" s="120"/>
      <c r="DAD3" s="120"/>
      <c r="DAE3" s="120"/>
      <c r="DAF3" s="120"/>
      <c r="DAG3" s="120"/>
      <c r="DAH3" s="120"/>
      <c r="DAI3" s="120"/>
      <c r="DAJ3" s="120"/>
      <c r="DAK3" s="120"/>
      <c r="DAL3" s="120"/>
      <c r="DAM3" s="120"/>
      <c r="DAN3" s="120"/>
      <c r="DAO3" s="120"/>
      <c r="DAP3" s="120"/>
      <c r="DAQ3" s="120"/>
      <c r="DAR3" s="120"/>
      <c r="DAS3" s="120"/>
      <c r="DAT3" s="120"/>
      <c r="DAU3" s="120"/>
      <c r="DAV3" s="120"/>
      <c r="DAW3" s="120"/>
      <c r="DAX3" s="120"/>
      <c r="DAY3" s="120"/>
      <c r="DAZ3" s="120"/>
      <c r="DBA3" s="120"/>
      <c r="DBB3" s="120"/>
      <c r="DBC3" s="120"/>
      <c r="DBD3" s="120"/>
      <c r="DBE3" s="120"/>
      <c r="DBF3" s="120"/>
      <c r="DBG3" s="120"/>
      <c r="DBH3" s="120"/>
      <c r="DBI3" s="120"/>
      <c r="DBJ3" s="120"/>
      <c r="DBK3" s="120"/>
      <c r="DBL3" s="120"/>
      <c r="DBM3" s="120"/>
      <c r="DBN3" s="120"/>
      <c r="DBO3" s="120"/>
      <c r="DBP3" s="120"/>
      <c r="DBQ3" s="120"/>
      <c r="DBR3" s="120"/>
      <c r="DBS3" s="120"/>
      <c r="DBT3" s="120"/>
      <c r="DBU3" s="120"/>
      <c r="DBV3" s="120"/>
      <c r="DBW3" s="120"/>
      <c r="DBX3" s="120"/>
      <c r="DBY3" s="120"/>
      <c r="DBZ3" s="120"/>
      <c r="DCA3" s="120"/>
      <c r="DCB3" s="120"/>
      <c r="DCC3" s="120"/>
      <c r="DCD3" s="120"/>
      <c r="DCE3" s="120"/>
      <c r="DCF3" s="120"/>
      <c r="DCG3" s="120"/>
      <c r="DCH3" s="120"/>
      <c r="DCI3" s="120"/>
      <c r="DCJ3" s="120"/>
      <c r="DCK3" s="120"/>
      <c r="DCL3" s="120"/>
      <c r="DCM3" s="120"/>
      <c r="DCN3" s="120"/>
      <c r="DCO3" s="120"/>
      <c r="DCP3" s="120"/>
      <c r="DCQ3" s="120"/>
      <c r="DCR3" s="120"/>
      <c r="DCS3" s="120"/>
      <c r="DCT3" s="120"/>
      <c r="DCU3" s="120"/>
      <c r="DCV3" s="120"/>
      <c r="DCW3" s="120"/>
      <c r="DCX3" s="120"/>
      <c r="DCY3" s="120"/>
      <c r="DCZ3" s="120"/>
      <c r="DDA3" s="120"/>
      <c r="DDB3" s="120"/>
      <c r="DDC3" s="120"/>
      <c r="DDD3" s="120"/>
      <c r="DDE3" s="120"/>
      <c r="DDF3" s="120"/>
      <c r="DDG3" s="120"/>
      <c r="DDH3" s="120"/>
      <c r="DDI3" s="120"/>
      <c r="DDJ3" s="120"/>
      <c r="DDK3" s="120"/>
      <c r="DDL3" s="120"/>
      <c r="DDM3" s="120"/>
      <c r="DDN3" s="120"/>
      <c r="DDO3" s="120"/>
      <c r="DDP3" s="120"/>
      <c r="DDQ3" s="120"/>
      <c r="DDR3" s="120"/>
      <c r="DDS3" s="120"/>
      <c r="DDT3" s="120"/>
      <c r="DDU3" s="120"/>
      <c r="DDV3" s="120"/>
      <c r="DDW3" s="120"/>
      <c r="DDX3" s="120"/>
      <c r="DDY3" s="120"/>
      <c r="DDZ3" s="120"/>
      <c r="DEA3" s="120"/>
      <c r="DEB3" s="120"/>
      <c r="DEC3" s="120"/>
      <c r="DED3" s="120"/>
      <c r="DEE3" s="120"/>
      <c r="DEF3" s="120"/>
      <c r="DEG3" s="120"/>
      <c r="DEH3" s="120"/>
      <c r="DEI3" s="120"/>
      <c r="DEJ3" s="120"/>
      <c r="DEK3" s="120"/>
      <c r="DEL3" s="120"/>
      <c r="DEM3" s="120"/>
      <c r="DEN3" s="120"/>
      <c r="DEO3" s="120"/>
      <c r="DEP3" s="120"/>
      <c r="DEQ3" s="120"/>
      <c r="DER3" s="120"/>
      <c r="DES3" s="120"/>
      <c r="DET3" s="120"/>
      <c r="DEU3" s="120"/>
      <c r="DEV3" s="120"/>
      <c r="DEW3" s="120"/>
      <c r="DEX3" s="120"/>
      <c r="DEY3" s="120"/>
      <c r="DEZ3" s="120"/>
      <c r="DFA3" s="120"/>
      <c r="DFB3" s="120"/>
      <c r="DFC3" s="120"/>
      <c r="DFD3" s="120"/>
      <c r="DFE3" s="120"/>
      <c r="DFF3" s="120"/>
      <c r="DFG3" s="120"/>
      <c r="DFH3" s="120"/>
      <c r="DFI3" s="120"/>
      <c r="DFJ3" s="120"/>
      <c r="DFK3" s="120"/>
      <c r="DFL3" s="120"/>
      <c r="DFM3" s="120"/>
      <c r="DFN3" s="120"/>
      <c r="DFO3" s="120"/>
      <c r="DFP3" s="120"/>
      <c r="DFQ3" s="120"/>
      <c r="DFR3" s="120"/>
      <c r="DFS3" s="120"/>
      <c r="DFT3" s="120"/>
      <c r="DFU3" s="120"/>
      <c r="DFV3" s="120"/>
      <c r="DFW3" s="120"/>
      <c r="DFX3" s="120"/>
      <c r="DFY3" s="120"/>
      <c r="DFZ3" s="120"/>
      <c r="DGA3" s="120"/>
      <c r="DGB3" s="120"/>
      <c r="DGC3" s="120"/>
      <c r="DGD3" s="120"/>
      <c r="DGE3" s="120"/>
      <c r="DGF3" s="120"/>
      <c r="DGG3" s="120"/>
      <c r="DGH3" s="120"/>
      <c r="DGI3" s="120"/>
      <c r="DGJ3" s="120"/>
      <c r="DGK3" s="120"/>
      <c r="DGL3" s="120"/>
      <c r="DGM3" s="120"/>
      <c r="DGN3" s="120"/>
      <c r="DGO3" s="120"/>
      <c r="DGP3" s="120"/>
      <c r="DGQ3" s="120"/>
      <c r="DGR3" s="120"/>
      <c r="DGS3" s="120"/>
      <c r="DGT3" s="120"/>
      <c r="DGU3" s="120"/>
      <c r="DGV3" s="120"/>
      <c r="DGW3" s="120"/>
      <c r="DGX3" s="120"/>
      <c r="DGY3" s="120"/>
      <c r="DGZ3" s="120"/>
      <c r="DHA3" s="120"/>
      <c r="DHB3" s="120"/>
      <c r="DHC3" s="120"/>
      <c r="DHD3" s="120"/>
      <c r="DHE3" s="120"/>
      <c r="DHF3" s="120"/>
      <c r="DHG3" s="120"/>
      <c r="DHH3" s="120"/>
      <c r="DHI3" s="120"/>
      <c r="DHJ3" s="120"/>
      <c r="DHK3" s="120"/>
      <c r="DHL3" s="120"/>
      <c r="DHM3" s="120"/>
      <c r="DHN3" s="120"/>
      <c r="DHO3" s="120"/>
      <c r="DHP3" s="120"/>
      <c r="DHQ3" s="120"/>
      <c r="DHR3" s="120"/>
      <c r="DHS3" s="120"/>
      <c r="DHT3" s="120"/>
      <c r="DHU3" s="120"/>
      <c r="DHV3" s="120"/>
      <c r="DHW3" s="120"/>
      <c r="DHX3" s="120"/>
      <c r="DHY3" s="120"/>
      <c r="DHZ3" s="120"/>
      <c r="DIA3" s="120"/>
      <c r="DIB3" s="120"/>
      <c r="DIC3" s="120"/>
      <c r="DID3" s="120"/>
      <c r="DIE3" s="120"/>
      <c r="DIF3" s="120"/>
      <c r="DIG3" s="120"/>
      <c r="DIH3" s="120"/>
      <c r="DII3" s="120"/>
      <c r="DIJ3" s="120"/>
      <c r="DIK3" s="120"/>
      <c r="DIL3" s="120"/>
      <c r="DIM3" s="120"/>
      <c r="DIN3" s="120"/>
      <c r="DIO3" s="120"/>
      <c r="DIP3" s="120"/>
      <c r="DIQ3" s="120"/>
      <c r="DIR3" s="120"/>
      <c r="DIS3" s="120"/>
      <c r="DIT3" s="120"/>
      <c r="DIU3" s="120"/>
      <c r="DIV3" s="120"/>
      <c r="DIW3" s="120"/>
      <c r="DIX3" s="120"/>
      <c r="DIY3" s="120"/>
      <c r="DIZ3" s="120"/>
      <c r="DJA3" s="120"/>
      <c r="DJB3" s="120"/>
      <c r="DJC3" s="120"/>
      <c r="DJD3" s="120"/>
      <c r="DJE3" s="120"/>
      <c r="DJF3" s="120"/>
      <c r="DJG3" s="120"/>
      <c r="DJH3" s="120"/>
      <c r="DJI3" s="120"/>
      <c r="DJJ3" s="120"/>
      <c r="DJK3" s="120"/>
      <c r="DJL3" s="120"/>
      <c r="DJM3" s="120"/>
      <c r="DJN3" s="120"/>
      <c r="DJO3" s="120"/>
      <c r="DJP3" s="120"/>
      <c r="DJQ3" s="120"/>
      <c r="DJR3" s="120"/>
      <c r="DJS3" s="120"/>
      <c r="DJT3" s="120"/>
      <c r="DJU3" s="120"/>
      <c r="DJV3" s="120"/>
      <c r="DJW3" s="120"/>
      <c r="DJX3" s="120"/>
      <c r="DJY3" s="120"/>
      <c r="DJZ3" s="120"/>
      <c r="DKA3" s="120"/>
      <c r="DKB3" s="120"/>
      <c r="DKC3" s="120"/>
      <c r="DKD3" s="120"/>
      <c r="DKE3" s="120"/>
      <c r="DKF3" s="120"/>
      <c r="DKG3" s="120"/>
      <c r="DKH3" s="120"/>
      <c r="DKI3" s="120"/>
      <c r="DKJ3" s="120"/>
      <c r="DKK3" s="120"/>
      <c r="DKL3" s="120"/>
      <c r="DKM3" s="120"/>
      <c r="DKN3" s="120"/>
      <c r="DKO3" s="120"/>
      <c r="DKP3" s="120"/>
      <c r="DKQ3" s="120"/>
      <c r="DKR3" s="120"/>
      <c r="DKS3" s="120"/>
      <c r="DKT3" s="120"/>
      <c r="DKU3" s="120"/>
      <c r="DKV3" s="120"/>
      <c r="DKW3" s="120"/>
      <c r="DKX3" s="120"/>
      <c r="DKY3" s="120"/>
      <c r="DKZ3" s="120"/>
      <c r="DLA3" s="120"/>
      <c r="DLB3" s="120"/>
      <c r="DLC3" s="120"/>
      <c r="DLD3" s="120"/>
      <c r="DLE3" s="120"/>
      <c r="DLF3" s="120"/>
      <c r="DLG3" s="120"/>
      <c r="DLH3" s="120"/>
      <c r="DLI3" s="120"/>
      <c r="DLJ3" s="120"/>
      <c r="DLK3" s="120"/>
      <c r="DLL3" s="120"/>
      <c r="DLM3" s="120"/>
      <c r="DLN3" s="120"/>
      <c r="DLO3" s="120"/>
      <c r="DLP3" s="120"/>
      <c r="DLQ3" s="120"/>
      <c r="DLR3" s="120"/>
      <c r="DLS3" s="120"/>
      <c r="DLT3" s="120"/>
      <c r="DLU3" s="120"/>
      <c r="DLV3" s="120"/>
      <c r="DLW3" s="120"/>
      <c r="DLX3" s="120"/>
      <c r="DLY3" s="120"/>
      <c r="DLZ3" s="120"/>
      <c r="DMA3" s="120"/>
      <c r="DMB3" s="120"/>
      <c r="DMC3" s="120"/>
      <c r="DMD3" s="120"/>
      <c r="DME3" s="120"/>
      <c r="DMF3" s="120"/>
      <c r="DMG3" s="120"/>
      <c r="DMH3" s="120"/>
      <c r="DMI3" s="120"/>
      <c r="DMJ3" s="120"/>
      <c r="DMK3" s="120"/>
      <c r="DML3" s="120"/>
      <c r="DMM3" s="120"/>
      <c r="DMN3" s="120"/>
      <c r="DMO3" s="120"/>
      <c r="DMP3" s="120"/>
      <c r="DMQ3" s="120"/>
      <c r="DMR3" s="120"/>
      <c r="DMS3" s="120"/>
      <c r="DMT3" s="120"/>
      <c r="DMU3" s="120"/>
      <c r="DMV3" s="120"/>
      <c r="DMW3" s="120"/>
      <c r="DMX3" s="120"/>
      <c r="DMY3" s="120"/>
      <c r="DMZ3" s="120"/>
      <c r="DNA3" s="120"/>
      <c r="DNB3" s="120"/>
      <c r="DNC3" s="120"/>
      <c r="DND3" s="120"/>
      <c r="DNE3" s="120"/>
      <c r="DNF3" s="120"/>
      <c r="DNG3" s="120"/>
      <c r="DNH3" s="120"/>
      <c r="DNI3" s="120"/>
      <c r="DNJ3" s="120"/>
      <c r="DNK3" s="120"/>
      <c r="DNL3" s="120"/>
      <c r="DNM3" s="120"/>
      <c r="DNN3" s="120"/>
      <c r="DNO3" s="120"/>
      <c r="DNP3" s="120"/>
      <c r="DNQ3" s="120"/>
      <c r="DNR3" s="120"/>
      <c r="DNS3" s="120"/>
      <c r="DNT3" s="120"/>
      <c r="DNU3" s="120"/>
      <c r="DNV3" s="120"/>
      <c r="DNW3" s="120"/>
      <c r="DNX3" s="120"/>
      <c r="DNY3" s="120"/>
      <c r="DNZ3" s="120"/>
      <c r="DOA3" s="120"/>
      <c r="DOB3" s="120"/>
      <c r="DOC3" s="120"/>
      <c r="DOD3" s="120"/>
      <c r="DOE3" s="120"/>
      <c r="DOF3" s="120"/>
      <c r="DOG3" s="120"/>
      <c r="DOH3" s="120"/>
      <c r="DOI3" s="120"/>
      <c r="DOJ3" s="120"/>
      <c r="DOK3" s="120"/>
      <c r="DOL3" s="120"/>
      <c r="DOM3" s="120"/>
      <c r="DON3" s="120"/>
      <c r="DOO3" s="120"/>
      <c r="DOP3" s="120"/>
      <c r="DOQ3" s="120"/>
      <c r="DOR3" s="120"/>
      <c r="DOS3" s="120"/>
      <c r="DOT3" s="120"/>
      <c r="DOU3" s="120"/>
      <c r="DOV3" s="120"/>
      <c r="DOW3" s="120"/>
      <c r="DOX3" s="120"/>
      <c r="DOY3" s="120"/>
      <c r="DOZ3" s="120"/>
      <c r="DPA3" s="120"/>
      <c r="DPB3" s="120"/>
      <c r="DPC3" s="120"/>
      <c r="DPD3" s="120"/>
      <c r="DPE3" s="120"/>
      <c r="DPF3" s="120"/>
      <c r="DPG3" s="120"/>
      <c r="DPH3" s="120"/>
      <c r="DPI3" s="120"/>
      <c r="DPJ3" s="120"/>
      <c r="DPK3" s="120"/>
      <c r="DPL3" s="120"/>
      <c r="DPM3" s="120"/>
      <c r="DPN3" s="120"/>
      <c r="DPO3" s="120"/>
      <c r="DPP3" s="120"/>
      <c r="DPQ3" s="120"/>
      <c r="DPR3" s="120"/>
      <c r="DPS3" s="120"/>
      <c r="DPT3" s="120"/>
      <c r="DPU3" s="120"/>
      <c r="DPV3" s="120"/>
      <c r="DPW3" s="120"/>
      <c r="DPX3" s="120"/>
      <c r="DPY3" s="120"/>
      <c r="DPZ3" s="120"/>
      <c r="DQA3" s="120"/>
      <c r="DQB3" s="120"/>
      <c r="DQC3" s="120"/>
      <c r="DQD3" s="120"/>
      <c r="DQE3" s="120"/>
      <c r="DQF3" s="120"/>
      <c r="DQG3" s="120"/>
      <c r="DQH3" s="120"/>
      <c r="DQI3" s="120"/>
      <c r="DQJ3" s="120"/>
      <c r="DQK3" s="120"/>
      <c r="DQL3" s="120"/>
      <c r="DQM3" s="120"/>
      <c r="DQN3" s="120"/>
      <c r="DQO3" s="120"/>
      <c r="DQP3" s="120"/>
      <c r="DQQ3" s="120"/>
      <c r="DQR3" s="120"/>
      <c r="DQS3" s="120"/>
      <c r="DQT3" s="120"/>
      <c r="DQU3" s="120"/>
      <c r="DQV3" s="120"/>
      <c r="DQW3" s="120"/>
      <c r="DQX3" s="120"/>
      <c r="DQY3" s="120"/>
      <c r="DQZ3" s="120"/>
      <c r="DRA3" s="120"/>
      <c r="DRB3" s="120"/>
      <c r="DRC3" s="120"/>
      <c r="DRD3" s="120"/>
      <c r="DRE3" s="120"/>
      <c r="DRF3" s="120"/>
      <c r="DRG3" s="120"/>
      <c r="DRH3" s="120"/>
      <c r="DRI3" s="120"/>
      <c r="DRJ3" s="120"/>
      <c r="DRK3" s="120"/>
      <c r="DRL3" s="120"/>
      <c r="DRM3" s="120"/>
      <c r="DRN3" s="120"/>
      <c r="DRO3" s="120"/>
      <c r="DRP3" s="120"/>
      <c r="DRQ3" s="120"/>
      <c r="DRR3" s="120"/>
      <c r="DRS3" s="120"/>
      <c r="DRT3" s="120"/>
      <c r="DRU3" s="120"/>
      <c r="DRV3" s="120"/>
      <c r="DRW3" s="120"/>
      <c r="DRX3" s="120"/>
      <c r="DRY3" s="120"/>
      <c r="DRZ3" s="120"/>
      <c r="DSA3" s="120"/>
      <c r="DSB3" s="120"/>
      <c r="DSC3" s="120"/>
      <c r="DSD3" s="120"/>
      <c r="DSE3" s="120"/>
      <c r="DSF3" s="120"/>
      <c r="DSG3" s="120"/>
      <c r="DSH3" s="120"/>
      <c r="DSI3" s="120"/>
      <c r="DSJ3" s="120"/>
      <c r="DSK3" s="120"/>
      <c r="DSL3" s="120"/>
      <c r="DSM3" s="120"/>
      <c r="DSN3" s="120"/>
      <c r="DSO3" s="120"/>
      <c r="DSP3" s="120"/>
      <c r="DSQ3" s="120"/>
      <c r="DSR3" s="120"/>
      <c r="DSS3" s="120"/>
      <c r="DST3" s="120"/>
      <c r="DSU3" s="120"/>
      <c r="DSV3" s="120"/>
      <c r="DSW3" s="120"/>
      <c r="DSX3" s="120"/>
      <c r="DSY3" s="120"/>
      <c r="DSZ3" s="120"/>
      <c r="DTA3" s="120"/>
      <c r="DTB3" s="120"/>
      <c r="DTC3" s="120"/>
      <c r="DTD3" s="120"/>
      <c r="DTE3" s="120"/>
      <c r="DTF3" s="120"/>
      <c r="DTG3" s="120"/>
      <c r="DTH3" s="120"/>
      <c r="DTI3" s="120"/>
      <c r="DTJ3" s="120"/>
      <c r="DTK3" s="120"/>
      <c r="DTL3" s="120"/>
      <c r="DTM3" s="120"/>
      <c r="DTN3" s="120"/>
      <c r="DTO3" s="120"/>
      <c r="DTP3" s="120"/>
      <c r="DTQ3" s="120"/>
      <c r="DTR3" s="120"/>
      <c r="DTS3" s="120"/>
      <c r="DTT3" s="120"/>
      <c r="DTU3" s="120"/>
      <c r="DTV3" s="120"/>
      <c r="DTW3" s="120"/>
      <c r="DTX3" s="120"/>
      <c r="DTY3" s="120"/>
      <c r="DTZ3" s="120"/>
      <c r="DUA3" s="120"/>
      <c r="DUB3" s="120"/>
      <c r="DUC3" s="120"/>
      <c r="DUD3" s="120"/>
      <c r="DUE3" s="120"/>
      <c r="DUF3" s="120"/>
      <c r="DUG3" s="120"/>
      <c r="DUH3" s="120"/>
      <c r="DUI3" s="120"/>
      <c r="DUJ3" s="120"/>
      <c r="DUK3" s="120"/>
      <c r="DUL3" s="120"/>
      <c r="DUM3" s="120"/>
      <c r="DUN3" s="120"/>
      <c r="DUO3" s="120"/>
      <c r="DUP3" s="120"/>
      <c r="DUQ3" s="120"/>
      <c r="DUR3" s="120"/>
      <c r="DUS3" s="120"/>
      <c r="DUT3" s="120"/>
      <c r="DUU3" s="120"/>
      <c r="DUV3" s="120"/>
      <c r="DUW3" s="120"/>
      <c r="DUX3" s="120"/>
      <c r="DUY3" s="120"/>
      <c r="DUZ3" s="120"/>
      <c r="DVA3" s="120"/>
      <c r="DVB3" s="120"/>
      <c r="DVC3" s="120"/>
      <c r="DVD3" s="120"/>
      <c r="DVE3" s="120"/>
      <c r="DVF3" s="120"/>
      <c r="DVG3" s="120"/>
      <c r="DVH3" s="120"/>
      <c r="DVI3" s="120"/>
      <c r="DVJ3" s="120"/>
      <c r="DVK3" s="120"/>
      <c r="DVL3" s="120"/>
      <c r="DVM3" s="120"/>
      <c r="DVN3" s="120"/>
      <c r="DVO3" s="120"/>
      <c r="DVP3" s="120"/>
      <c r="DVQ3" s="120"/>
      <c r="DVR3" s="120"/>
      <c r="DVS3" s="120"/>
      <c r="DVT3" s="120"/>
      <c r="DVU3" s="120"/>
      <c r="DVV3" s="120"/>
      <c r="DVW3" s="120"/>
      <c r="DVX3" s="120"/>
      <c r="DVY3" s="120"/>
      <c r="DVZ3" s="120"/>
      <c r="DWA3" s="120"/>
      <c r="DWB3" s="120"/>
      <c r="DWC3" s="120"/>
      <c r="DWD3" s="120"/>
      <c r="DWE3" s="120"/>
      <c r="DWF3" s="120"/>
      <c r="DWG3" s="120"/>
      <c r="DWH3" s="120"/>
      <c r="DWI3" s="120"/>
      <c r="DWJ3" s="120"/>
      <c r="DWK3" s="120"/>
      <c r="DWL3" s="120"/>
      <c r="DWM3" s="120"/>
      <c r="DWN3" s="120"/>
      <c r="DWO3" s="120"/>
      <c r="DWP3" s="120"/>
      <c r="DWQ3" s="120"/>
      <c r="DWR3" s="120"/>
      <c r="DWS3" s="120"/>
      <c r="DWT3" s="120"/>
      <c r="DWU3" s="120"/>
      <c r="DWV3" s="120"/>
      <c r="DWW3" s="120"/>
      <c r="DWX3" s="120"/>
      <c r="DWY3" s="120"/>
      <c r="DWZ3" s="120"/>
      <c r="DXA3" s="120"/>
      <c r="DXB3" s="120"/>
      <c r="DXC3" s="120"/>
      <c r="DXD3" s="120"/>
      <c r="DXE3" s="120"/>
      <c r="DXF3" s="120"/>
      <c r="DXG3" s="120"/>
      <c r="DXH3" s="120"/>
      <c r="DXI3" s="120"/>
      <c r="DXJ3" s="120"/>
      <c r="DXK3" s="120"/>
      <c r="DXL3" s="120"/>
      <c r="DXM3" s="120"/>
      <c r="DXN3" s="120"/>
      <c r="DXO3" s="120"/>
      <c r="DXP3" s="120"/>
      <c r="DXQ3" s="120"/>
      <c r="DXR3" s="120"/>
      <c r="DXS3" s="120"/>
      <c r="DXT3" s="120"/>
      <c r="DXU3" s="120"/>
      <c r="DXV3" s="120"/>
      <c r="DXW3" s="120"/>
      <c r="DXX3" s="120"/>
      <c r="DXY3" s="120"/>
      <c r="DXZ3" s="120"/>
      <c r="DYA3" s="120"/>
      <c r="DYB3" s="120"/>
      <c r="DYC3" s="120"/>
      <c r="DYD3" s="120"/>
      <c r="DYE3" s="120"/>
      <c r="DYF3" s="120"/>
      <c r="DYG3" s="120"/>
      <c r="DYH3" s="120"/>
      <c r="DYI3" s="120"/>
      <c r="DYJ3" s="120"/>
      <c r="DYK3" s="120"/>
      <c r="DYL3" s="120"/>
      <c r="DYM3" s="120"/>
      <c r="DYN3" s="120"/>
      <c r="DYO3" s="120"/>
      <c r="DYP3" s="120"/>
      <c r="DYQ3" s="120"/>
      <c r="DYR3" s="120"/>
      <c r="DYS3" s="120"/>
      <c r="DYT3" s="120"/>
      <c r="DYU3" s="120"/>
      <c r="DYV3" s="120"/>
      <c r="DYW3" s="120"/>
      <c r="DYX3" s="120"/>
      <c r="DYY3" s="120"/>
      <c r="DYZ3" s="120"/>
      <c r="DZA3" s="120"/>
      <c r="DZB3" s="120"/>
      <c r="DZC3" s="120"/>
      <c r="DZD3" s="120"/>
      <c r="DZE3" s="120"/>
      <c r="DZF3" s="120"/>
      <c r="DZG3" s="120"/>
      <c r="DZH3" s="120"/>
      <c r="DZI3" s="120"/>
      <c r="DZJ3" s="120"/>
      <c r="DZK3" s="120"/>
      <c r="DZL3" s="120"/>
      <c r="DZM3" s="120"/>
      <c r="DZN3" s="120"/>
      <c r="DZO3" s="120"/>
      <c r="DZP3" s="120"/>
      <c r="DZQ3" s="120"/>
      <c r="DZR3" s="120"/>
      <c r="DZS3" s="120"/>
      <c r="DZT3" s="120"/>
      <c r="DZU3" s="120"/>
      <c r="DZV3" s="120"/>
      <c r="DZW3" s="120"/>
      <c r="DZX3" s="120"/>
      <c r="DZY3" s="120"/>
      <c r="DZZ3" s="120"/>
      <c r="EAA3" s="120"/>
      <c r="EAB3" s="120"/>
      <c r="EAC3" s="120"/>
      <c r="EAD3" s="120"/>
      <c r="EAE3" s="120"/>
      <c r="EAF3" s="120"/>
      <c r="EAG3" s="120"/>
      <c r="EAH3" s="120"/>
      <c r="EAI3" s="120"/>
      <c r="EAJ3" s="120"/>
      <c r="EAK3" s="120"/>
      <c r="EAL3" s="120"/>
      <c r="EAM3" s="120"/>
      <c r="EAN3" s="120"/>
      <c r="EAO3" s="120"/>
      <c r="EAP3" s="120"/>
      <c r="EAQ3" s="120"/>
      <c r="EAR3" s="120"/>
      <c r="EAS3" s="120"/>
      <c r="EAT3" s="120"/>
      <c r="EAU3" s="120"/>
      <c r="EAV3" s="120"/>
      <c r="EAW3" s="120"/>
      <c r="EAX3" s="120"/>
      <c r="EAY3" s="120"/>
      <c r="EAZ3" s="120"/>
      <c r="EBA3" s="120"/>
      <c r="EBB3" s="120"/>
      <c r="EBC3" s="120"/>
      <c r="EBD3" s="120"/>
      <c r="EBE3" s="120"/>
      <c r="EBF3" s="120"/>
      <c r="EBG3" s="120"/>
      <c r="EBH3" s="120"/>
      <c r="EBI3" s="120"/>
      <c r="EBJ3" s="120"/>
      <c r="EBK3" s="120"/>
      <c r="EBL3" s="120"/>
      <c r="EBM3" s="120"/>
      <c r="EBN3" s="120"/>
      <c r="EBO3" s="120"/>
      <c r="EBP3" s="120"/>
      <c r="EBQ3" s="120"/>
      <c r="EBR3" s="120"/>
      <c r="EBS3" s="120"/>
      <c r="EBT3" s="120"/>
      <c r="EBU3" s="120"/>
      <c r="EBV3" s="120"/>
      <c r="EBW3" s="120"/>
      <c r="EBX3" s="120"/>
      <c r="EBY3" s="120"/>
      <c r="EBZ3" s="120"/>
      <c r="ECA3" s="120"/>
      <c r="ECB3" s="120"/>
      <c r="ECC3" s="120"/>
      <c r="ECD3" s="120"/>
      <c r="ECE3" s="120"/>
      <c r="ECF3" s="120"/>
      <c r="ECG3" s="120"/>
      <c r="ECH3" s="120"/>
      <c r="ECI3" s="120"/>
      <c r="ECJ3" s="120"/>
      <c r="ECK3" s="120"/>
      <c r="ECL3" s="120"/>
      <c r="ECM3" s="120"/>
      <c r="ECN3" s="120"/>
      <c r="ECO3" s="120"/>
      <c r="ECP3" s="120"/>
      <c r="ECQ3" s="120"/>
      <c r="ECR3" s="120"/>
      <c r="ECS3" s="120"/>
      <c r="ECT3" s="120"/>
      <c r="ECU3" s="120"/>
      <c r="ECV3" s="120"/>
      <c r="ECW3" s="120"/>
      <c r="ECX3" s="120"/>
      <c r="ECY3" s="120"/>
      <c r="ECZ3" s="120"/>
      <c r="EDA3" s="120"/>
      <c r="EDB3" s="120"/>
      <c r="EDC3" s="120"/>
      <c r="EDD3" s="120"/>
      <c r="EDE3" s="120"/>
      <c r="EDF3" s="120"/>
      <c r="EDG3" s="120"/>
      <c r="EDH3" s="120"/>
      <c r="EDI3" s="120"/>
      <c r="EDJ3" s="120"/>
      <c r="EDK3" s="120"/>
      <c r="EDL3" s="120"/>
      <c r="EDM3" s="120"/>
      <c r="EDN3" s="120"/>
      <c r="EDO3" s="120"/>
      <c r="EDP3" s="120"/>
      <c r="EDQ3" s="120"/>
      <c r="EDR3" s="120"/>
      <c r="EDS3" s="120"/>
      <c r="EDT3" s="120"/>
      <c r="EDU3" s="120"/>
      <c r="EDV3" s="120"/>
      <c r="EDW3" s="120"/>
      <c r="EDX3" s="120"/>
      <c r="EDY3" s="120"/>
      <c r="EDZ3" s="120"/>
      <c r="EEA3" s="120"/>
      <c r="EEB3" s="120"/>
      <c r="EEC3" s="120"/>
      <c r="EED3" s="120"/>
      <c r="EEE3" s="120"/>
      <c r="EEF3" s="120"/>
      <c r="EEG3" s="120"/>
      <c r="EEH3" s="120"/>
      <c r="EEI3" s="120"/>
      <c r="EEJ3" s="120"/>
      <c r="EEK3" s="120"/>
      <c r="EEL3" s="120"/>
      <c r="EEM3" s="120"/>
      <c r="EEN3" s="120"/>
      <c r="EEO3" s="120"/>
      <c r="EEP3" s="120"/>
      <c r="EEQ3" s="120"/>
      <c r="EER3" s="120"/>
      <c r="EES3" s="120"/>
      <c r="EET3" s="120"/>
      <c r="EEU3" s="120"/>
      <c r="EEV3" s="120"/>
      <c r="EEW3" s="120"/>
      <c r="EEX3" s="120"/>
      <c r="EEY3" s="120"/>
      <c r="EEZ3" s="120"/>
      <c r="EFA3" s="120"/>
      <c r="EFB3" s="120"/>
      <c r="EFC3" s="120"/>
      <c r="EFD3" s="120"/>
      <c r="EFE3" s="120"/>
      <c r="EFF3" s="120"/>
      <c r="EFG3" s="120"/>
      <c r="EFH3" s="120"/>
      <c r="EFI3" s="120"/>
      <c r="EFJ3" s="120"/>
      <c r="EFK3" s="120"/>
      <c r="EFL3" s="120"/>
      <c r="EFM3" s="120"/>
      <c r="EFN3" s="120"/>
      <c r="EFO3" s="120"/>
      <c r="EFP3" s="120"/>
      <c r="EFQ3" s="120"/>
      <c r="EFR3" s="120"/>
      <c r="EFS3" s="120"/>
      <c r="EFT3" s="120"/>
      <c r="EFU3" s="120"/>
      <c r="EFV3" s="120"/>
      <c r="EFW3" s="120"/>
      <c r="EFX3" s="120"/>
      <c r="EFY3" s="120"/>
      <c r="EFZ3" s="120"/>
      <c r="EGA3" s="120"/>
      <c r="EGB3" s="120"/>
      <c r="EGC3" s="120"/>
      <c r="EGD3" s="120"/>
      <c r="EGE3" s="120"/>
      <c r="EGF3" s="120"/>
      <c r="EGG3" s="120"/>
      <c r="EGH3" s="120"/>
      <c r="EGI3" s="120"/>
      <c r="EGJ3" s="120"/>
      <c r="EGK3" s="120"/>
      <c r="EGL3" s="120"/>
      <c r="EGM3" s="120"/>
      <c r="EGN3" s="120"/>
      <c r="EGO3" s="120"/>
      <c r="EGP3" s="120"/>
      <c r="EGQ3" s="120"/>
      <c r="EGR3" s="120"/>
      <c r="EGS3" s="120"/>
      <c r="EGT3" s="120"/>
      <c r="EGU3" s="120"/>
      <c r="EGV3" s="120"/>
      <c r="EGW3" s="120"/>
      <c r="EGX3" s="120"/>
      <c r="EGY3" s="120"/>
      <c r="EGZ3" s="120"/>
      <c r="EHA3" s="120"/>
      <c r="EHB3" s="120"/>
      <c r="EHC3" s="120"/>
      <c r="EHD3" s="120"/>
      <c r="EHE3" s="120"/>
      <c r="EHF3" s="120"/>
      <c r="EHG3" s="120"/>
      <c r="EHH3" s="120"/>
      <c r="EHI3" s="120"/>
      <c r="EHJ3" s="120"/>
      <c r="EHK3" s="120"/>
      <c r="EHL3" s="120"/>
      <c r="EHM3" s="120"/>
      <c r="EHN3" s="120"/>
      <c r="EHO3" s="120"/>
      <c r="EHP3" s="120"/>
      <c r="EHQ3" s="120"/>
      <c r="EHR3" s="120"/>
      <c r="EHS3" s="120"/>
      <c r="EHT3" s="120"/>
      <c r="EHU3" s="120"/>
      <c r="EHV3" s="120"/>
      <c r="EHW3" s="120"/>
      <c r="EHX3" s="120"/>
      <c r="EHY3" s="120"/>
      <c r="EHZ3" s="120"/>
      <c r="EIA3" s="120"/>
      <c r="EIB3" s="120"/>
      <c r="EIC3" s="120"/>
      <c r="EID3" s="120"/>
      <c r="EIE3" s="120"/>
      <c r="EIF3" s="120"/>
      <c r="EIG3" s="120"/>
      <c r="EIH3" s="120"/>
      <c r="EII3" s="120"/>
      <c r="EIJ3" s="120"/>
      <c r="EIK3" s="120"/>
      <c r="EIL3" s="120"/>
      <c r="EIM3" s="120"/>
      <c r="EIN3" s="120"/>
      <c r="EIO3" s="120"/>
      <c r="EIP3" s="120"/>
      <c r="EIQ3" s="120"/>
      <c r="EIR3" s="120"/>
      <c r="EIS3" s="120"/>
      <c r="EIT3" s="120"/>
      <c r="EIU3" s="120"/>
      <c r="EIV3" s="120"/>
      <c r="EIW3" s="120"/>
      <c r="EIX3" s="120"/>
      <c r="EIY3" s="120"/>
      <c r="EIZ3" s="120"/>
      <c r="EJA3" s="120"/>
      <c r="EJB3" s="120"/>
      <c r="EJC3" s="120"/>
      <c r="EJD3" s="120"/>
      <c r="EJE3" s="120"/>
      <c r="EJF3" s="120"/>
      <c r="EJG3" s="120"/>
      <c r="EJH3" s="120"/>
      <c r="EJI3" s="120"/>
      <c r="EJJ3" s="120"/>
      <c r="EJK3" s="120"/>
      <c r="EJL3" s="120"/>
      <c r="EJM3" s="120"/>
      <c r="EJN3" s="120"/>
      <c r="EJO3" s="120"/>
      <c r="EJP3" s="120"/>
      <c r="EJQ3" s="120"/>
      <c r="EJR3" s="120"/>
      <c r="EJS3" s="120"/>
      <c r="EJT3" s="120"/>
      <c r="EJU3" s="120"/>
      <c r="EJV3" s="120"/>
      <c r="EJW3" s="120"/>
      <c r="EJX3" s="120"/>
      <c r="EJY3" s="120"/>
      <c r="EJZ3" s="120"/>
      <c r="EKA3" s="120"/>
      <c r="EKB3" s="120"/>
      <c r="EKC3" s="120"/>
      <c r="EKD3" s="120"/>
      <c r="EKE3" s="120"/>
      <c r="EKF3" s="120"/>
      <c r="EKG3" s="120"/>
      <c r="EKH3" s="120"/>
      <c r="EKI3" s="120"/>
      <c r="EKJ3" s="120"/>
      <c r="EKK3" s="120"/>
      <c r="EKL3" s="120"/>
      <c r="EKM3" s="120"/>
      <c r="EKN3" s="120"/>
      <c r="EKO3" s="120"/>
      <c r="EKP3" s="120"/>
      <c r="EKQ3" s="120"/>
      <c r="EKR3" s="120"/>
      <c r="EKS3" s="120"/>
      <c r="EKT3" s="120"/>
      <c r="EKU3" s="120"/>
      <c r="EKV3" s="120"/>
      <c r="EKW3" s="120"/>
      <c r="EKX3" s="120"/>
      <c r="EKY3" s="120"/>
      <c r="EKZ3" s="120"/>
      <c r="ELA3" s="120"/>
      <c r="ELB3" s="120"/>
      <c r="ELC3" s="120"/>
      <c r="ELD3" s="120"/>
      <c r="ELE3" s="120"/>
      <c r="ELF3" s="120"/>
      <c r="ELG3" s="120"/>
      <c r="ELH3" s="120"/>
      <c r="ELI3" s="120"/>
      <c r="ELJ3" s="120"/>
      <c r="ELK3" s="120"/>
      <c r="ELL3" s="120"/>
      <c r="ELM3" s="120"/>
      <c r="ELN3" s="120"/>
      <c r="ELO3" s="120"/>
      <c r="ELP3" s="120"/>
      <c r="ELQ3" s="120"/>
      <c r="ELR3" s="120"/>
      <c r="ELS3" s="120"/>
      <c r="ELT3" s="120"/>
      <c r="ELU3" s="120"/>
      <c r="ELV3" s="120"/>
      <c r="ELW3" s="120"/>
      <c r="ELX3" s="120"/>
      <c r="ELY3" s="120"/>
      <c r="ELZ3" s="120"/>
      <c r="EMA3" s="120"/>
      <c r="EMB3" s="120"/>
      <c r="EMC3" s="120"/>
      <c r="EMD3" s="120"/>
      <c r="EME3" s="120"/>
      <c r="EMF3" s="120"/>
      <c r="EMG3" s="120"/>
      <c r="EMH3" s="120"/>
      <c r="EMI3" s="120"/>
      <c r="EMJ3" s="120"/>
      <c r="EMK3" s="120"/>
      <c r="EML3" s="120"/>
      <c r="EMM3" s="120"/>
      <c r="EMN3" s="120"/>
      <c r="EMO3" s="120"/>
      <c r="EMP3" s="120"/>
      <c r="EMQ3" s="120"/>
      <c r="EMR3" s="120"/>
      <c r="EMS3" s="120"/>
      <c r="EMT3" s="120"/>
      <c r="EMU3" s="120"/>
      <c r="EMV3" s="120"/>
      <c r="EMW3" s="120"/>
      <c r="EMX3" s="120"/>
      <c r="EMY3" s="120"/>
      <c r="EMZ3" s="120"/>
      <c r="ENA3" s="120"/>
      <c r="ENB3" s="120"/>
      <c r="ENC3" s="120"/>
      <c r="END3" s="120"/>
      <c r="ENE3" s="120"/>
      <c r="ENF3" s="120"/>
      <c r="ENG3" s="120"/>
      <c r="ENH3" s="120"/>
      <c r="ENI3" s="120"/>
      <c r="ENJ3" s="120"/>
      <c r="ENK3" s="120"/>
      <c r="ENL3" s="120"/>
      <c r="ENM3" s="120"/>
      <c r="ENN3" s="120"/>
      <c r="ENO3" s="120"/>
      <c r="ENP3" s="120"/>
      <c r="ENQ3" s="120"/>
      <c r="ENR3" s="120"/>
      <c r="ENS3" s="120"/>
      <c r="ENT3" s="120"/>
      <c r="ENU3" s="120"/>
      <c r="ENV3" s="120"/>
      <c r="ENW3" s="120"/>
      <c r="ENX3" s="120"/>
      <c r="ENY3" s="120"/>
      <c r="ENZ3" s="120"/>
      <c r="EOA3" s="120"/>
      <c r="EOB3" s="120"/>
      <c r="EOC3" s="120"/>
      <c r="EOD3" s="120"/>
      <c r="EOE3" s="120"/>
      <c r="EOF3" s="120"/>
      <c r="EOG3" s="120"/>
      <c r="EOH3" s="120"/>
      <c r="EOI3" s="120"/>
      <c r="EOJ3" s="120"/>
      <c r="EOK3" s="120"/>
      <c r="EOL3" s="120"/>
      <c r="EOM3" s="120"/>
      <c r="EON3" s="120"/>
      <c r="EOO3" s="120"/>
      <c r="EOP3" s="120"/>
      <c r="EOQ3" s="120"/>
      <c r="EOR3" s="120"/>
      <c r="EOS3" s="120"/>
      <c r="EOT3" s="120"/>
      <c r="EOU3" s="120"/>
      <c r="EOV3" s="120"/>
      <c r="EOW3" s="120"/>
      <c r="EOX3" s="120"/>
      <c r="EOY3" s="120"/>
      <c r="EOZ3" s="120"/>
      <c r="EPA3" s="120"/>
      <c r="EPB3" s="120"/>
      <c r="EPC3" s="120"/>
      <c r="EPD3" s="120"/>
      <c r="EPE3" s="120"/>
      <c r="EPF3" s="120"/>
      <c r="EPG3" s="120"/>
      <c r="EPH3" s="120"/>
      <c r="EPI3" s="120"/>
      <c r="EPJ3" s="120"/>
      <c r="EPK3" s="120"/>
      <c r="EPL3" s="120"/>
      <c r="EPM3" s="120"/>
      <c r="EPN3" s="120"/>
      <c r="EPO3" s="120"/>
      <c r="EPP3" s="120"/>
      <c r="EPQ3" s="120"/>
      <c r="EPR3" s="120"/>
      <c r="EPS3" s="120"/>
      <c r="EPT3" s="120"/>
      <c r="EPU3" s="120"/>
      <c r="EPV3" s="120"/>
      <c r="EPW3" s="120"/>
      <c r="EPX3" s="120"/>
      <c r="EPY3" s="120"/>
      <c r="EPZ3" s="120"/>
      <c r="EQA3" s="120"/>
      <c r="EQB3" s="120"/>
      <c r="EQC3" s="120"/>
      <c r="EQD3" s="120"/>
      <c r="EQE3" s="120"/>
      <c r="EQF3" s="120"/>
      <c r="EQG3" s="120"/>
      <c r="EQH3" s="120"/>
      <c r="EQI3" s="120"/>
      <c r="EQJ3" s="120"/>
      <c r="EQK3" s="120"/>
      <c r="EQL3" s="120"/>
      <c r="EQM3" s="120"/>
      <c r="EQN3" s="120"/>
      <c r="EQO3" s="120"/>
      <c r="EQP3" s="120"/>
      <c r="EQQ3" s="120"/>
      <c r="EQR3" s="120"/>
      <c r="EQS3" s="120"/>
      <c r="EQT3" s="120"/>
      <c r="EQU3" s="120"/>
      <c r="EQV3" s="120"/>
      <c r="EQW3" s="120"/>
      <c r="EQX3" s="120"/>
      <c r="EQY3" s="120"/>
      <c r="EQZ3" s="120"/>
      <c r="ERA3" s="120"/>
      <c r="ERB3" s="120"/>
      <c r="ERC3" s="120"/>
      <c r="ERD3" s="120"/>
      <c r="ERE3" s="120"/>
      <c r="ERF3" s="120"/>
      <c r="ERG3" s="120"/>
      <c r="ERH3" s="120"/>
      <c r="ERI3" s="120"/>
      <c r="ERJ3" s="120"/>
      <c r="ERK3" s="120"/>
      <c r="ERL3" s="120"/>
      <c r="ERM3" s="120"/>
      <c r="ERN3" s="120"/>
      <c r="ERO3" s="120"/>
      <c r="ERP3" s="120"/>
      <c r="ERQ3" s="120"/>
      <c r="ERR3" s="120"/>
      <c r="ERS3" s="120"/>
      <c r="ERT3" s="120"/>
      <c r="ERU3" s="120"/>
      <c r="ERV3" s="120"/>
      <c r="ERW3" s="120"/>
      <c r="ERX3" s="120"/>
      <c r="ERY3" s="120"/>
      <c r="ERZ3" s="120"/>
      <c r="ESA3" s="120"/>
      <c r="ESB3" s="120"/>
      <c r="ESC3" s="120"/>
      <c r="ESD3" s="120"/>
      <c r="ESE3" s="120"/>
      <c r="ESF3" s="120"/>
      <c r="ESG3" s="120"/>
      <c r="ESH3" s="120"/>
      <c r="ESI3" s="120"/>
      <c r="ESJ3" s="120"/>
      <c r="ESK3" s="120"/>
      <c r="ESL3" s="120"/>
      <c r="ESM3" s="120"/>
      <c r="ESN3" s="120"/>
      <c r="ESO3" s="120"/>
      <c r="ESP3" s="120"/>
      <c r="ESQ3" s="120"/>
      <c r="ESR3" s="120"/>
      <c r="ESS3" s="120"/>
      <c r="EST3" s="120"/>
      <c r="ESU3" s="120"/>
      <c r="ESV3" s="120"/>
      <c r="ESW3" s="120"/>
      <c r="ESX3" s="120"/>
      <c r="ESY3" s="120"/>
      <c r="ESZ3" s="120"/>
      <c r="ETA3" s="120"/>
      <c r="ETB3" s="120"/>
      <c r="ETC3" s="120"/>
      <c r="ETD3" s="120"/>
      <c r="ETE3" s="120"/>
      <c r="ETF3" s="120"/>
      <c r="ETG3" s="120"/>
      <c r="ETH3" s="120"/>
      <c r="ETI3" s="120"/>
      <c r="ETJ3" s="120"/>
      <c r="ETK3" s="120"/>
      <c r="ETL3" s="120"/>
      <c r="ETM3" s="120"/>
      <c r="ETN3" s="120"/>
      <c r="ETO3" s="120"/>
      <c r="ETP3" s="120"/>
      <c r="ETQ3" s="120"/>
      <c r="ETR3" s="120"/>
      <c r="ETS3" s="120"/>
      <c r="ETT3" s="120"/>
      <c r="ETU3" s="120"/>
      <c r="ETV3" s="120"/>
      <c r="ETW3" s="120"/>
      <c r="ETX3" s="120"/>
      <c r="ETY3" s="120"/>
      <c r="ETZ3" s="120"/>
      <c r="EUA3" s="120"/>
      <c r="EUB3" s="120"/>
      <c r="EUC3" s="120"/>
      <c r="EUD3" s="120"/>
      <c r="EUE3" s="120"/>
      <c r="EUF3" s="120"/>
      <c r="EUG3" s="120"/>
      <c r="EUH3" s="120"/>
      <c r="EUI3" s="120"/>
      <c r="EUJ3" s="120"/>
      <c r="EUK3" s="120"/>
      <c r="EUL3" s="120"/>
      <c r="EUM3" s="120"/>
      <c r="EUN3" s="120"/>
      <c r="EUO3" s="120"/>
      <c r="EUP3" s="120"/>
      <c r="EUQ3" s="120"/>
      <c r="EUR3" s="120"/>
      <c r="EUS3" s="120"/>
      <c r="EUT3" s="120"/>
      <c r="EUU3" s="120"/>
      <c r="EUV3" s="120"/>
      <c r="EUW3" s="120"/>
      <c r="EUX3" s="120"/>
      <c r="EUY3" s="120"/>
      <c r="EUZ3" s="120"/>
      <c r="EVA3" s="120"/>
      <c r="EVB3" s="120"/>
      <c r="EVC3" s="120"/>
      <c r="EVD3" s="120"/>
      <c r="EVE3" s="120"/>
      <c r="EVF3" s="120"/>
      <c r="EVG3" s="120"/>
      <c r="EVH3" s="120"/>
      <c r="EVI3" s="120"/>
      <c r="EVJ3" s="120"/>
      <c r="EVK3" s="120"/>
      <c r="EVL3" s="120"/>
      <c r="EVM3" s="120"/>
      <c r="EVN3" s="120"/>
      <c r="EVO3" s="120"/>
      <c r="EVP3" s="120"/>
      <c r="EVQ3" s="120"/>
      <c r="EVR3" s="120"/>
      <c r="EVS3" s="120"/>
      <c r="EVT3" s="120"/>
      <c r="EVU3" s="120"/>
      <c r="EVV3" s="120"/>
      <c r="EVW3" s="120"/>
      <c r="EVX3" s="120"/>
      <c r="EVY3" s="120"/>
      <c r="EVZ3" s="120"/>
      <c r="EWA3" s="120"/>
      <c r="EWB3" s="120"/>
      <c r="EWC3" s="120"/>
      <c r="EWD3" s="120"/>
      <c r="EWE3" s="120"/>
      <c r="EWF3" s="120"/>
      <c r="EWG3" s="120"/>
      <c r="EWH3" s="120"/>
      <c r="EWI3" s="120"/>
      <c r="EWJ3" s="120"/>
      <c r="EWK3" s="120"/>
      <c r="EWL3" s="120"/>
      <c r="EWM3" s="120"/>
      <c r="EWN3" s="120"/>
      <c r="EWO3" s="120"/>
      <c r="EWP3" s="120"/>
      <c r="EWQ3" s="120"/>
      <c r="EWR3" s="120"/>
      <c r="EWS3" s="120"/>
      <c r="EWT3" s="120"/>
      <c r="EWU3" s="120"/>
      <c r="EWV3" s="120"/>
      <c r="EWW3" s="120"/>
      <c r="EWX3" s="120"/>
      <c r="EWY3" s="120"/>
      <c r="EWZ3" s="120"/>
      <c r="EXA3" s="120"/>
      <c r="EXB3" s="120"/>
      <c r="EXC3" s="120"/>
      <c r="EXD3" s="120"/>
      <c r="EXE3" s="120"/>
      <c r="EXF3" s="120"/>
      <c r="EXG3" s="120"/>
      <c r="EXH3" s="120"/>
      <c r="EXI3" s="120"/>
      <c r="EXJ3" s="120"/>
      <c r="EXK3" s="120"/>
      <c r="EXL3" s="120"/>
      <c r="EXM3" s="120"/>
      <c r="EXN3" s="120"/>
      <c r="EXO3" s="120"/>
      <c r="EXP3" s="120"/>
      <c r="EXQ3" s="120"/>
      <c r="EXR3" s="120"/>
      <c r="EXS3" s="120"/>
      <c r="EXT3" s="120"/>
      <c r="EXU3" s="120"/>
      <c r="EXV3" s="120"/>
      <c r="EXW3" s="120"/>
      <c r="EXX3" s="120"/>
      <c r="EXY3" s="120"/>
      <c r="EXZ3" s="120"/>
      <c r="EYA3" s="120"/>
      <c r="EYB3" s="120"/>
      <c r="EYC3" s="120"/>
      <c r="EYD3" s="120"/>
      <c r="EYE3" s="120"/>
      <c r="EYF3" s="120"/>
      <c r="EYG3" s="120"/>
      <c r="EYH3" s="120"/>
      <c r="EYI3" s="120"/>
      <c r="EYJ3" s="120"/>
      <c r="EYK3" s="120"/>
      <c r="EYL3" s="120"/>
      <c r="EYM3" s="120"/>
      <c r="EYN3" s="120"/>
      <c r="EYO3" s="120"/>
      <c r="EYP3" s="120"/>
      <c r="EYQ3" s="120"/>
      <c r="EYR3" s="120"/>
      <c r="EYS3" s="120"/>
      <c r="EYT3" s="120"/>
      <c r="EYU3" s="120"/>
      <c r="EYV3" s="120"/>
      <c r="EYW3" s="120"/>
      <c r="EYX3" s="120"/>
      <c r="EYY3" s="120"/>
      <c r="EYZ3" s="120"/>
      <c r="EZA3" s="120"/>
      <c r="EZB3" s="120"/>
      <c r="EZC3" s="120"/>
      <c r="EZD3" s="120"/>
      <c r="EZE3" s="120"/>
      <c r="EZF3" s="120"/>
      <c r="EZG3" s="120"/>
      <c r="EZH3" s="120"/>
      <c r="EZI3" s="120"/>
      <c r="EZJ3" s="120"/>
      <c r="EZK3" s="120"/>
      <c r="EZL3" s="120"/>
      <c r="EZM3" s="120"/>
      <c r="EZN3" s="120"/>
      <c r="EZO3" s="120"/>
      <c r="EZP3" s="120"/>
      <c r="EZQ3" s="120"/>
      <c r="EZR3" s="120"/>
      <c r="EZS3" s="120"/>
      <c r="EZT3" s="120"/>
      <c r="EZU3" s="120"/>
      <c r="EZV3" s="120"/>
      <c r="EZW3" s="120"/>
      <c r="EZX3" s="120"/>
      <c r="EZY3" s="120"/>
      <c r="EZZ3" s="120"/>
      <c r="FAA3" s="120"/>
      <c r="FAB3" s="120"/>
      <c r="FAC3" s="120"/>
      <c r="FAD3" s="120"/>
      <c r="FAE3" s="120"/>
      <c r="FAF3" s="120"/>
      <c r="FAG3" s="120"/>
      <c r="FAH3" s="120"/>
      <c r="FAI3" s="120"/>
      <c r="FAJ3" s="120"/>
      <c r="FAK3" s="120"/>
      <c r="FAL3" s="120"/>
      <c r="FAM3" s="120"/>
      <c r="FAN3" s="120"/>
      <c r="FAO3" s="120"/>
      <c r="FAP3" s="120"/>
      <c r="FAQ3" s="120"/>
      <c r="FAR3" s="120"/>
      <c r="FAS3" s="120"/>
      <c r="FAT3" s="120"/>
      <c r="FAU3" s="120"/>
      <c r="FAV3" s="120"/>
      <c r="FAW3" s="120"/>
      <c r="FAX3" s="120"/>
      <c r="FAY3" s="120"/>
      <c r="FAZ3" s="120"/>
      <c r="FBA3" s="120"/>
      <c r="FBB3" s="120"/>
      <c r="FBC3" s="120"/>
      <c r="FBD3" s="120"/>
      <c r="FBE3" s="120"/>
      <c r="FBF3" s="120"/>
      <c r="FBG3" s="120"/>
      <c r="FBH3" s="120"/>
      <c r="FBI3" s="120"/>
      <c r="FBJ3" s="120"/>
      <c r="FBK3" s="120"/>
      <c r="FBL3" s="120"/>
      <c r="FBM3" s="120"/>
      <c r="FBN3" s="120"/>
      <c r="FBO3" s="120"/>
      <c r="FBP3" s="120"/>
      <c r="FBQ3" s="120"/>
      <c r="FBR3" s="120"/>
      <c r="FBS3" s="120"/>
      <c r="FBT3" s="120"/>
      <c r="FBU3" s="120"/>
      <c r="FBV3" s="120"/>
      <c r="FBW3" s="120"/>
      <c r="FBX3" s="120"/>
      <c r="FBY3" s="120"/>
      <c r="FBZ3" s="120"/>
      <c r="FCA3" s="120"/>
      <c r="FCB3" s="120"/>
      <c r="FCC3" s="120"/>
      <c r="FCD3" s="120"/>
      <c r="FCE3" s="120"/>
      <c r="FCF3" s="120"/>
      <c r="FCG3" s="120"/>
      <c r="FCH3" s="120"/>
      <c r="FCI3" s="120"/>
      <c r="FCJ3" s="120"/>
      <c r="FCK3" s="120"/>
      <c r="FCL3" s="120"/>
      <c r="FCM3" s="120"/>
      <c r="FCN3" s="120"/>
      <c r="FCO3" s="120"/>
      <c r="FCP3" s="120"/>
      <c r="FCQ3" s="120"/>
      <c r="FCR3" s="120"/>
      <c r="FCS3" s="120"/>
      <c r="FCT3" s="120"/>
      <c r="FCU3" s="120"/>
      <c r="FCV3" s="120"/>
      <c r="FCW3" s="120"/>
      <c r="FCX3" s="120"/>
      <c r="FCY3" s="120"/>
      <c r="FCZ3" s="120"/>
      <c r="FDA3" s="120"/>
      <c r="FDB3" s="120"/>
      <c r="FDC3" s="120"/>
      <c r="FDD3" s="120"/>
      <c r="FDE3" s="120"/>
      <c r="FDF3" s="120"/>
      <c r="FDG3" s="120"/>
      <c r="FDH3" s="120"/>
      <c r="FDI3" s="120"/>
      <c r="FDJ3" s="120"/>
      <c r="FDK3" s="120"/>
      <c r="FDL3" s="120"/>
      <c r="FDM3" s="120"/>
      <c r="FDN3" s="120"/>
      <c r="FDO3" s="120"/>
      <c r="FDP3" s="120"/>
      <c r="FDQ3" s="120"/>
      <c r="FDR3" s="120"/>
      <c r="FDS3" s="120"/>
      <c r="FDT3" s="120"/>
      <c r="FDU3" s="120"/>
      <c r="FDV3" s="120"/>
      <c r="FDW3" s="120"/>
      <c r="FDX3" s="120"/>
      <c r="FDY3" s="120"/>
      <c r="FDZ3" s="120"/>
      <c r="FEA3" s="120"/>
      <c r="FEB3" s="120"/>
      <c r="FEC3" s="120"/>
      <c r="FED3" s="120"/>
      <c r="FEE3" s="120"/>
      <c r="FEF3" s="120"/>
      <c r="FEG3" s="120"/>
      <c r="FEH3" s="120"/>
      <c r="FEI3" s="120"/>
      <c r="FEJ3" s="120"/>
      <c r="FEK3" s="120"/>
      <c r="FEL3" s="120"/>
      <c r="FEM3" s="120"/>
      <c r="FEN3" s="120"/>
      <c r="FEO3" s="120"/>
      <c r="FEP3" s="120"/>
      <c r="FEQ3" s="120"/>
      <c r="FER3" s="120"/>
      <c r="FES3" s="120"/>
      <c r="FET3" s="120"/>
      <c r="FEU3" s="120"/>
      <c r="FEV3" s="120"/>
      <c r="FEW3" s="120"/>
      <c r="FEX3" s="120"/>
      <c r="FEY3" s="120"/>
      <c r="FEZ3" s="120"/>
      <c r="FFA3" s="120"/>
      <c r="FFB3" s="120"/>
      <c r="FFC3" s="120"/>
      <c r="FFD3" s="120"/>
      <c r="FFE3" s="120"/>
      <c r="FFF3" s="120"/>
      <c r="FFG3" s="120"/>
      <c r="FFH3" s="120"/>
      <c r="FFI3" s="120"/>
      <c r="FFJ3" s="120"/>
      <c r="FFK3" s="120"/>
      <c r="FFL3" s="120"/>
      <c r="FFM3" s="120"/>
      <c r="FFN3" s="120"/>
      <c r="FFO3" s="120"/>
      <c r="FFP3" s="120"/>
      <c r="FFQ3" s="120"/>
      <c r="FFR3" s="120"/>
      <c r="FFS3" s="120"/>
      <c r="FFT3" s="120"/>
      <c r="FFU3" s="120"/>
      <c r="FFV3" s="120"/>
      <c r="FFW3" s="120"/>
      <c r="FFX3" s="120"/>
      <c r="FFY3" s="120"/>
      <c r="FFZ3" s="120"/>
      <c r="FGA3" s="120"/>
      <c r="FGB3" s="120"/>
      <c r="FGC3" s="120"/>
      <c r="FGD3" s="120"/>
      <c r="FGE3" s="120"/>
      <c r="FGF3" s="120"/>
      <c r="FGG3" s="120"/>
      <c r="FGH3" s="120"/>
      <c r="FGI3" s="120"/>
      <c r="FGJ3" s="120"/>
      <c r="FGK3" s="120"/>
      <c r="FGL3" s="120"/>
      <c r="FGM3" s="120"/>
      <c r="FGN3" s="120"/>
      <c r="FGO3" s="120"/>
      <c r="FGP3" s="120"/>
      <c r="FGQ3" s="120"/>
      <c r="FGR3" s="120"/>
      <c r="FGS3" s="120"/>
      <c r="FGT3" s="120"/>
      <c r="FGU3" s="120"/>
      <c r="FGV3" s="120"/>
      <c r="FGW3" s="120"/>
      <c r="FGX3" s="120"/>
      <c r="FGY3" s="120"/>
      <c r="FGZ3" s="120"/>
      <c r="FHA3" s="120"/>
      <c r="FHB3" s="120"/>
      <c r="FHC3" s="120"/>
      <c r="FHD3" s="120"/>
      <c r="FHE3" s="120"/>
      <c r="FHF3" s="120"/>
      <c r="FHG3" s="120"/>
      <c r="FHH3" s="120"/>
      <c r="FHI3" s="120"/>
      <c r="FHJ3" s="120"/>
      <c r="FHK3" s="120"/>
      <c r="FHL3" s="120"/>
      <c r="FHM3" s="120"/>
      <c r="FHN3" s="120"/>
      <c r="FHO3" s="120"/>
      <c r="FHP3" s="120"/>
      <c r="FHQ3" s="120"/>
      <c r="FHR3" s="120"/>
      <c r="FHS3" s="120"/>
      <c r="FHT3" s="120"/>
      <c r="FHU3" s="120"/>
      <c r="FHV3" s="120"/>
      <c r="FHW3" s="120"/>
      <c r="FHX3" s="120"/>
      <c r="FHY3" s="120"/>
      <c r="FHZ3" s="120"/>
      <c r="FIA3" s="120"/>
      <c r="FIB3" s="120"/>
      <c r="FIC3" s="120"/>
      <c r="FID3" s="120"/>
      <c r="FIE3" s="120"/>
      <c r="FIF3" s="120"/>
      <c r="FIG3" s="120"/>
      <c r="FIH3" s="120"/>
      <c r="FII3" s="120"/>
      <c r="FIJ3" s="120"/>
      <c r="FIK3" s="120"/>
      <c r="FIL3" s="120"/>
      <c r="FIM3" s="120"/>
      <c r="FIN3" s="120"/>
      <c r="FIO3" s="120"/>
      <c r="FIP3" s="120"/>
      <c r="FIQ3" s="120"/>
      <c r="FIR3" s="120"/>
      <c r="FIS3" s="120"/>
      <c r="FIT3" s="120"/>
      <c r="FIU3" s="120"/>
      <c r="FIV3" s="120"/>
      <c r="FIW3" s="120"/>
      <c r="FIX3" s="120"/>
      <c r="FIY3" s="120"/>
      <c r="FIZ3" s="120"/>
      <c r="FJA3" s="120"/>
      <c r="FJB3" s="120"/>
      <c r="FJC3" s="120"/>
      <c r="FJD3" s="120"/>
      <c r="FJE3" s="120"/>
      <c r="FJF3" s="120"/>
      <c r="FJG3" s="120"/>
      <c r="FJH3" s="120"/>
      <c r="FJI3" s="120"/>
      <c r="FJJ3" s="120"/>
      <c r="FJK3" s="120"/>
      <c r="FJL3" s="120"/>
      <c r="FJM3" s="120"/>
      <c r="FJN3" s="120"/>
      <c r="FJO3" s="120"/>
      <c r="FJP3" s="120"/>
      <c r="FJQ3" s="120"/>
      <c r="FJR3" s="120"/>
      <c r="FJS3" s="120"/>
      <c r="FJT3" s="120"/>
      <c r="FJU3" s="120"/>
      <c r="FJV3" s="120"/>
      <c r="FJW3" s="120"/>
      <c r="FJX3" s="120"/>
      <c r="FJY3" s="120"/>
      <c r="FJZ3" s="120"/>
      <c r="FKA3" s="120"/>
      <c r="FKB3" s="120"/>
      <c r="FKC3" s="120"/>
      <c r="FKD3" s="120"/>
      <c r="FKE3" s="120"/>
      <c r="FKF3" s="120"/>
      <c r="FKG3" s="120"/>
      <c r="FKH3" s="120"/>
      <c r="FKI3" s="120"/>
      <c r="FKJ3" s="120"/>
      <c r="FKK3" s="120"/>
      <c r="FKL3" s="120"/>
      <c r="FKM3" s="120"/>
      <c r="FKN3" s="120"/>
      <c r="FKO3" s="120"/>
      <c r="FKP3" s="120"/>
      <c r="FKQ3" s="120"/>
      <c r="FKR3" s="120"/>
      <c r="FKS3" s="120"/>
      <c r="FKT3" s="120"/>
      <c r="FKU3" s="120"/>
      <c r="FKV3" s="120"/>
      <c r="FKW3" s="120"/>
      <c r="FKX3" s="120"/>
      <c r="FKY3" s="120"/>
      <c r="FKZ3" s="120"/>
      <c r="FLA3" s="120"/>
      <c r="FLB3" s="120"/>
      <c r="FLC3" s="120"/>
      <c r="FLD3" s="120"/>
      <c r="FLE3" s="120"/>
      <c r="FLF3" s="120"/>
      <c r="FLG3" s="120"/>
      <c r="FLH3" s="120"/>
      <c r="FLI3" s="120"/>
      <c r="FLJ3" s="120"/>
      <c r="FLK3" s="120"/>
      <c r="FLL3" s="120"/>
      <c r="FLM3" s="120"/>
      <c r="FLN3" s="120"/>
      <c r="FLO3" s="120"/>
      <c r="FLP3" s="120"/>
      <c r="FLQ3" s="120"/>
      <c r="FLR3" s="120"/>
      <c r="FLS3" s="120"/>
      <c r="FLT3" s="120"/>
      <c r="FLU3" s="120"/>
      <c r="FLV3" s="120"/>
      <c r="FLW3" s="120"/>
      <c r="FLX3" s="120"/>
      <c r="FLY3" s="120"/>
      <c r="FLZ3" s="120"/>
      <c r="FMA3" s="120"/>
      <c r="FMB3" s="120"/>
      <c r="FMC3" s="120"/>
      <c r="FMD3" s="120"/>
      <c r="FME3" s="120"/>
      <c r="FMF3" s="120"/>
      <c r="FMG3" s="120"/>
      <c r="FMH3" s="120"/>
      <c r="FMI3" s="120"/>
      <c r="FMJ3" s="120"/>
      <c r="FMK3" s="120"/>
      <c r="FML3" s="120"/>
      <c r="FMM3" s="120"/>
      <c r="FMN3" s="120"/>
      <c r="FMO3" s="120"/>
      <c r="FMP3" s="120"/>
      <c r="FMQ3" s="120"/>
      <c r="FMR3" s="120"/>
      <c r="FMS3" s="120"/>
      <c r="FMT3" s="120"/>
      <c r="FMU3" s="120"/>
      <c r="FMV3" s="120"/>
      <c r="FMW3" s="120"/>
      <c r="FMX3" s="120"/>
      <c r="FMY3" s="120"/>
      <c r="FMZ3" s="120"/>
      <c r="FNA3" s="120"/>
      <c r="FNB3" s="120"/>
      <c r="FNC3" s="120"/>
      <c r="FND3" s="120"/>
      <c r="FNE3" s="120"/>
      <c r="FNF3" s="120"/>
      <c r="FNG3" s="120"/>
      <c r="FNH3" s="120"/>
      <c r="FNI3" s="120"/>
      <c r="FNJ3" s="120"/>
      <c r="FNK3" s="120"/>
      <c r="FNL3" s="120"/>
      <c r="FNM3" s="120"/>
      <c r="FNN3" s="120"/>
      <c r="FNO3" s="120"/>
      <c r="FNP3" s="120"/>
      <c r="FNQ3" s="120"/>
      <c r="FNR3" s="120"/>
      <c r="FNS3" s="120"/>
      <c r="FNT3" s="120"/>
      <c r="FNU3" s="120"/>
      <c r="FNV3" s="120"/>
      <c r="FNW3" s="120"/>
      <c r="FNX3" s="120"/>
      <c r="FNY3" s="120"/>
      <c r="FNZ3" s="120"/>
      <c r="FOA3" s="120"/>
      <c r="FOB3" s="120"/>
      <c r="FOC3" s="120"/>
      <c r="FOD3" s="120"/>
      <c r="FOE3" s="120"/>
      <c r="FOF3" s="120"/>
      <c r="FOG3" s="120"/>
      <c r="FOH3" s="120"/>
      <c r="FOI3" s="120"/>
      <c r="FOJ3" s="120"/>
      <c r="FOK3" s="120"/>
      <c r="FOL3" s="120"/>
      <c r="FOM3" s="120"/>
      <c r="FON3" s="120"/>
      <c r="FOO3" s="120"/>
      <c r="FOP3" s="120"/>
      <c r="FOQ3" s="120"/>
      <c r="FOR3" s="120"/>
      <c r="FOS3" s="120"/>
      <c r="FOT3" s="120"/>
      <c r="FOU3" s="120"/>
      <c r="FOV3" s="120"/>
      <c r="FOW3" s="120"/>
      <c r="FOX3" s="120"/>
      <c r="FOY3" s="120"/>
      <c r="FOZ3" s="120"/>
      <c r="FPA3" s="120"/>
      <c r="FPB3" s="120"/>
      <c r="FPC3" s="120"/>
      <c r="FPD3" s="120"/>
      <c r="FPE3" s="120"/>
      <c r="FPF3" s="120"/>
      <c r="FPG3" s="120"/>
      <c r="FPH3" s="120"/>
      <c r="FPI3" s="120"/>
      <c r="FPJ3" s="120"/>
      <c r="FPK3" s="120"/>
      <c r="FPL3" s="120"/>
      <c r="FPM3" s="120"/>
      <c r="FPN3" s="120"/>
      <c r="FPO3" s="120"/>
      <c r="FPP3" s="120"/>
      <c r="FPQ3" s="120"/>
      <c r="FPR3" s="120"/>
      <c r="FPS3" s="120"/>
      <c r="FPT3" s="120"/>
      <c r="FPU3" s="120"/>
      <c r="FPV3" s="120"/>
      <c r="FPW3" s="120"/>
      <c r="FPX3" s="120"/>
      <c r="FPY3" s="120"/>
      <c r="FPZ3" s="120"/>
      <c r="FQA3" s="120"/>
      <c r="FQB3" s="120"/>
      <c r="FQC3" s="120"/>
      <c r="FQD3" s="120"/>
      <c r="FQE3" s="120"/>
      <c r="FQF3" s="120"/>
      <c r="FQG3" s="120"/>
      <c r="FQH3" s="120"/>
      <c r="FQI3" s="120"/>
      <c r="FQJ3" s="120"/>
      <c r="FQK3" s="120"/>
      <c r="FQL3" s="120"/>
      <c r="FQM3" s="120"/>
      <c r="FQN3" s="120"/>
      <c r="FQO3" s="120"/>
      <c r="FQP3" s="120"/>
      <c r="FQQ3" s="120"/>
      <c r="FQR3" s="120"/>
      <c r="FQS3" s="120"/>
      <c r="FQT3" s="120"/>
      <c r="FQU3" s="120"/>
      <c r="FQV3" s="120"/>
      <c r="FQW3" s="120"/>
      <c r="FQX3" s="120"/>
      <c r="FQY3" s="120"/>
      <c r="FQZ3" s="120"/>
      <c r="FRA3" s="120"/>
      <c r="FRB3" s="120"/>
      <c r="FRC3" s="120"/>
      <c r="FRD3" s="120"/>
      <c r="FRE3" s="120"/>
      <c r="FRF3" s="120"/>
      <c r="FRG3" s="120"/>
      <c r="FRH3" s="120"/>
      <c r="FRI3" s="120"/>
      <c r="FRJ3" s="120"/>
      <c r="FRK3" s="120"/>
      <c r="FRL3" s="120"/>
      <c r="FRM3" s="120"/>
      <c r="FRN3" s="120"/>
      <c r="FRO3" s="120"/>
      <c r="FRP3" s="120"/>
      <c r="FRQ3" s="120"/>
      <c r="FRR3" s="120"/>
      <c r="FRS3" s="120"/>
      <c r="FRT3" s="120"/>
      <c r="FRU3" s="120"/>
      <c r="FRV3" s="120"/>
      <c r="FRW3" s="120"/>
      <c r="FRX3" s="120"/>
      <c r="FRY3" s="120"/>
      <c r="FRZ3" s="120"/>
      <c r="FSA3" s="120"/>
      <c r="FSB3" s="120"/>
      <c r="FSC3" s="120"/>
      <c r="FSD3" s="120"/>
      <c r="FSE3" s="120"/>
      <c r="FSF3" s="120"/>
      <c r="FSG3" s="120"/>
      <c r="FSH3" s="120"/>
      <c r="FSI3" s="120"/>
      <c r="FSJ3" s="120"/>
      <c r="FSK3" s="120"/>
      <c r="FSL3" s="120"/>
      <c r="FSM3" s="120"/>
      <c r="FSN3" s="120"/>
      <c r="FSO3" s="120"/>
      <c r="FSP3" s="120"/>
      <c r="FSQ3" s="120"/>
      <c r="FSR3" s="120"/>
      <c r="FSS3" s="120"/>
      <c r="FST3" s="120"/>
      <c r="FSU3" s="120"/>
      <c r="FSV3" s="120"/>
      <c r="FSW3" s="120"/>
      <c r="FSX3" s="120"/>
      <c r="FSY3" s="120"/>
      <c r="FSZ3" s="120"/>
      <c r="FTA3" s="120"/>
      <c r="FTB3" s="120"/>
      <c r="FTC3" s="120"/>
      <c r="FTD3" s="120"/>
      <c r="FTE3" s="120"/>
      <c r="FTF3" s="120"/>
      <c r="FTG3" s="120"/>
      <c r="FTH3" s="120"/>
      <c r="FTI3" s="120"/>
      <c r="FTJ3" s="120"/>
      <c r="FTK3" s="120"/>
      <c r="FTL3" s="120"/>
      <c r="FTM3" s="120"/>
      <c r="FTN3" s="120"/>
      <c r="FTO3" s="120"/>
      <c r="FTP3" s="120"/>
      <c r="FTQ3" s="120"/>
      <c r="FTR3" s="120"/>
      <c r="FTS3" s="120"/>
      <c r="FTT3" s="120"/>
      <c r="FTU3" s="120"/>
      <c r="FTV3" s="120"/>
      <c r="FTW3" s="120"/>
      <c r="FTX3" s="120"/>
      <c r="FTY3" s="120"/>
      <c r="FTZ3" s="120"/>
      <c r="FUA3" s="120"/>
      <c r="FUB3" s="120"/>
      <c r="FUC3" s="120"/>
      <c r="FUD3" s="120"/>
      <c r="FUE3" s="120"/>
      <c r="FUF3" s="120"/>
      <c r="FUG3" s="120"/>
      <c r="FUH3" s="120"/>
      <c r="FUI3" s="120"/>
      <c r="FUJ3" s="120"/>
      <c r="FUK3" s="120"/>
      <c r="FUL3" s="120"/>
      <c r="FUM3" s="120"/>
      <c r="FUN3" s="120"/>
      <c r="FUO3" s="120"/>
      <c r="FUP3" s="120"/>
      <c r="FUQ3" s="120"/>
      <c r="FUR3" s="120"/>
      <c r="FUS3" s="120"/>
      <c r="FUT3" s="120"/>
      <c r="FUU3" s="120"/>
      <c r="FUV3" s="120"/>
      <c r="FUW3" s="120"/>
      <c r="FUX3" s="120"/>
      <c r="FUY3" s="120"/>
      <c r="FUZ3" s="120"/>
      <c r="FVA3" s="120"/>
      <c r="FVB3" s="120"/>
      <c r="FVC3" s="120"/>
      <c r="FVD3" s="120"/>
      <c r="FVE3" s="120"/>
      <c r="FVF3" s="120"/>
      <c r="FVG3" s="120"/>
      <c r="FVH3" s="120"/>
      <c r="FVI3" s="120"/>
      <c r="FVJ3" s="120"/>
      <c r="FVK3" s="120"/>
      <c r="FVL3" s="120"/>
      <c r="FVM3" s="120"/>
      <c r="FVN3" s="120"/>
      <c r="FVO3" s="120"/>
      <c r="FVP3" s="120"/>
      <c r="FVQ3" s="120"/>
      <c r="FVR3" s="120"/>
      <c r="FVS3" s="120"/>
      <c r="FVT3" s="120"/>
      <c r="FVU3" s="120"/>
      <c r="FVV3" s="120"/>
      <c r="FVW3" s="120"/>
      <c r="FVX3" s="120"/>
      <c r="FVY3" s="120"/>
      <c r="FVZ3" s="120"/>
      <c r="FWA3" s="120"/>
      <c r="FWB3" s="120"/>
      <c r="FWC3" s="120"/>
      <c r="FWD3" s="120"/>
      <c r="FWE3" s="120"/>
      <c r="FWF3" s="120"/>
      <c r="FWG3" s="120"/>
      <c r="FWH3" s="120"/>
      <c r="FWI3" s="120"/>
      <c r="FWJ3" s="120"/>
      <c r="FWK3" s="120"/>
      <c r="FWL3" s="120"/>
      <c r="FWM3" s="120"/>
      <c r="FWN3" s="120"/>
      <c r="FWO3" s="120"/>
      <c r="FWP3" s="120"/>
      <c r="FWQ3" s="120"/>
      <c r="FWR3" s="120"/>
      <c r="FWS3" s="120"/>
      <c r="FWT3" s="120"/>
      <c r="FWU3" s="120"/>
      <c r="FWV3" s="120"/>
      <c r="FWW3" s="120"/>
      <c r="FWX3" s="120"/>
      <c r="FWY3" s="120"/>
      <c r="FWZ3" s="120"/>
      <c r="FXA3" s="120"/>
      <c r="FXB3" s="120"/>
      <c r="FXC3" s="120"/>
      <c r="FXD3" s="120"/>
      <c r="FXE3" s="120"/>
      <c r="FXF3" s="120"/>
      <c r="FXG3" s="120"/>
      <c r="FXH3" s="120"/>
      <c r="FXI3" s="120"/>
      <c r="FXJ3" s="120"/>
      <c r="FXK3" s="120"/>
      <c r="FXL3" s="120"/>
      <c r="FXM3" s="120"/>
      <c r="FXN3" s="120"/>
      <c r="FXO3" s="120"/>
      <c r="FXP3" s="120"/>
      <c r="FXQ3" s="120"/>
      <c r="FXR3" s="120"/>
      <c r="FXS3" s="120"/>
      <c r="FXT3" s="120"/>
      <c r="FXU3" s="120"/>
      <c r="FXV3" s="120"/>
      <c r="FXW3" s="120"/>
      <c r="FXX3" s="120"/>
      <c r="FXY3" s="120"/>
      <c r="FXZ3" s="120"/>
      <c r="FYA3" s="120"/>
      <c r="FYB3" s="120"/>
      <c r="FYC3" s="120"/>
      <c r="FYD3" s="120"/>
      <c r="FYE3" s="120"/>
      <c r="FYF3" s="120"/>
      <c r="FYG3" s="120"/>
      <c r="FYH3" s="120"/>
      <c r="FYI3" s="120"/>
      <c r="FYJ3" s="120"/>
      <c r="FYK3" s="120"/>
      <c r="FYL3" s="120"/>
      <c r="FYM3" s="120"/>
      <c r="FYN3" s="120"/>
      <c r="FYO3" s="120"/>
      <c r="FYP3" s="120"/>
      <c r="FYQ3" s="120"/>
      <c r="FYR3" s="120"/>
      <c r="FYS3" s="120"/>
      <c r="FYT3" s="120"/>
      <c r="FYU3" s="120"/>
      <c r="FYV3" s="120"/>
      <c r="FYW3" s="120"/>
      <c r="FYX3" s="120"/>
      <c r="FYY3" s="120"/>
      <c r="FYZ3" s="120"/>
      <c r="FZA3" s="120"/>
      <c r="FZB3" s="120"/>
      <c r="FZC3" s="120"/>
      <c r="FZD3" s="120"/>
      <c r="FZE3" s="120"/>
      <c r="FZF3" s="120"/>
      <c r="FZG3" s="120"/>
      <c r="FZH3" s="120"/>
      <c r="FZI3" s="120"/>
      <c r="FZJ3" s="120"/>
      <c r="FZK3" s="120"/>
      <c r="FZL3" s="120"/>
      <c r="FZM3" s="120"/>
      <c r="FZN3" s="120"/>
      <c r="FZO3" s="120"/>
      <c r="FZP3" s="120"/>
      <c r="FZQ3" s="120"/>
      <c r="FZR3" s="120"/>
      <c r="FZS3" s="120"/>
      <c r="FZT3" s="120"/>
      <c r="FZU3" s="120"/>
      <c r="FZV3" s="120"/>
      <c r="FZW3" s="120"/>
      <c r="FZX3" s="120"/>
      <c r="FZY3" s="120"/>
      <c r="FZZ3" s="120"/>
      <c r="GAA3" s="120"/>
      <c r="GAB3" s="120"/>
      <c r="GAC3" s="120"/>
      <c r="GAD3" s="120"/>
      <c r="GAE3" s="120"/>
      <c r="GAF3" s="120"/>
      <c r="GAG3" s="120"/>
      <c r="GAH3" s="120"/>
      <c r="GAI3" s="120"/>
      <c r="GAJ3" s="120"/>
      <c r="GAK3" s="120"/>
      <c r="GAL3" s="120"/>
      <c r="GAM3" s="120"/>
      <c r="GAN3" s="120"/>
      <c r="GAO3" s="120"/>
      <c r="GAP3" s="120"/>
      <c r="GAQ3" s="120"/>
      <c r="GAR3" s="120"/>
      <c r="GAS3" s="120"/>
      <c r="GAT3" s="120"/>
      <c r="GAU3" s="120"/>
      <c r="GAV3" s="120"/>
      <c r="GAW3" s="120"/>
      <c r="GAX3" s="120"/>
      <c r="GAY3" s="120"/>
      <c r="GAZ3" s="120"/>
      <c r="GBA3" s="120"/>
      <c r="GBB3" s="120"/>
      <c r="GBC3" s="120"/>
      <c r="GBD3" s="120"/>
      <c r="GBE3" s="120"/>
      <c r="GBF3" s="120"/>
      <c r="GBG3" s="120"/>
      <c r="GBH3" s="120"/>
      <c r="GBI3" s="120"/>
      <c r="GBJ3" s="120"/>
      <c r="GBK3" s="120"/>
      <c r="GBL3" s="120"/>
      <c r="GBM3" s="120"/>
      <c r="GBN3" s="120"/>
      <c r="GBO3" s="120"/>
      <c r="GBP3" s="120"/>
      <c r="GBQ3" s="120"/>
      <c r="GBR3" s="120"/>
      <c r="GBS3" s="120"/>
      <c r="GBT3" s="120"/>
      <c r="GBU3" s="120"/>
      <c r="GBV3" s="120"/>
      <c r="GBW3" s="120"/>
      <c r="GBX3" s="120"/>
      <c r="GBY3" s="120"/>
      <c r="GBZ3" s="120"/>
      <c r="GCA3" s="120"/>
      <c r="GCB3" s="120"/>
      <c r="GCC3" s="120"/>
      <c r="GCD3" s="120"/>
      <c r="GCE3" s="120"/>
      <c r="GCF3" s="120"/>
      <c r="GCG3" s="120"/>
      <c r="GCH3" s="120"/>
      <c r="GCI3" s="120"/>
      <c r="GCJ3" s="120"/>
      <c r="GCK3" s="120"/>
      <c r="GCL3" s="120"/>
      <c r="GCM3" s="120"/>
      <c r="GCN3" s="120"/>
      <c r="GCO3" s="120"/>
      <c r="GCP3" s="120"/>
      <c r="GCQ3" s="120"/>
      <c r="GCR3" s="120"/>
      <c r="GCS3" s="120"/>
      <c r="GCT3" s="120"/>
      <c r="GCU3" s="120"/>
      <c r="GCV3" s="120"/>
      <c r="GCW3" s="120"/>
      <c r="GCX3" s="120"/>
      <c r="GCY3" s="120"/>
      <c r="GCZ3" s="120"/>
      <c r="GDA3" s="120"/>
      <c r="GDB3" s="120"/>
      <c r="GDC3" s="120"/>
      <c r="GDD3" s="120"/>
      <c r="GDE3" s="120"/>
      <c r="GDF3" s="120"/>
      <c r="GDG3" s="120"/>
      <c r="GDH3" s="120"/>
      <c r="GDI3" s="120"/>
      <c r="GDJ3" s="120"/>
      <c r="GDK3" s="120"/>
      <c r="GDL3" s="120"/>
      <c r="GDM3" s="120"/>
      <c r="GDN3" s="120"/>
      <c r="GDO3" s="120"/>
      <c r="GDP3" s="120"/>
      <c r="GDQ3" s="120"/>
      <c r="GDR3" s="120"/>
      <c r="GDS3" s="120"/>
      <c r="GDT3" s="120"/>
      <c r="GDU3" s="120"/>
      <c r="GDV3" s="120"/>
      <c r="GDW3" s="120"/>
      <c r="GDX3" s="120"/>
      <c r="GDY3" s="120"/>
      <c r="GDZ3" s="120"/>
      <c r="GEA3" s="120"/>
      <c r="GEB3" s="120"/>
      <c r="GEC3" s="120"/>
      <c r="GED3" s="120"/>
      <c r="GEE3" s="120"/>
      <c r="GEF3" s="120"/>
      <c r="GEG3" s="120"/>
      <c r="GEH3" s="120"/>
      <c r="GEI3" s="120"/>
      <c r="GEJ3" s="120"/>
      <c r="GEK3" s="120"/>
      <c r="GEL3" s="120"/>
      <c r="GEM3" s="120"/>
      <c r="GEN3" s="120"/>
      <c r="GEO3" s="120"/>
      <c r="GEP3" s="120"/>
      <c r="GEQ3" s="120"/>
      <c r="GER3" s="120"/>
      <c r="GES3" s="120"/>
      <c r="GET3" s="120"/>
      <c r="GEU3" s="120"/>
      <c r="GEV3" s="120"/>
      <c r="GEW3" s="120"/>
      <c r="GEX3" s="120"/>
      <c r="GEY3" s="120"/>
      <c r="GEZ3" s="120"/>
      <c r="GFA3" s="120"/>
      <c r="GFB3" s="120"/>
      <c r="GFC3" s="120"/>
      <c r="GFD3" s="120"/>
      <c r="GFE3" s="120"/>
      <c r="GFF3" s="120"/>
      <c r="GFG3" s="120"/>
      <c r="GFH3" s="120"/>
      <c r="GFI3" s="120"/>
      <c r="GFJ3" s="120"/>
      <c r="GFK3" s="120"/>
      <c r="GFL3" s="120"/>
      <c r="GFM3" s="120"/>
      <c r="GFN3" s="120"/>
      <c r="GFO3" s="120"/>
      <c r="GFP3" s="120"/>
      <c r="GFQ3" s="120"/>
      <c r="GFR3" s="120"/>
      <c r="GFS3" s="120"/>
      <c r="GFT3" s="120"/>
      <c r="GFU3" s="120"/>
      <c r="GFV3" s="120"/>
      <c r="GFW3" s="120"/>
      <c r="GFX3" s="120"/>
      <c r="GFY3" s="120"/>
      <c r="GFZ3" s="120"/>
      <c r="GGA3" s="120"/>
      <c r="GGB3" s="120"/>
      <c r="GGC3" s="120"/>
      <c r="GGD3" s="120"/>
      <c r="GGE3" s="120"/>
      <c r="GGF3" s="120"/>
      <c r="GGG3" s="120"/>
      <c r="GGH3" s="120"/>
      <c r="GGI3" s="120"/>
      <c r="GGJ3" s="120"/>
      <c r="GGK3" s="120"/>
      <c r="GGL3" s="120"/>
      <c r="GGM3" s="120"/>
      <c r="GGN3" s="120"/>
      <c r="GGO3" s="120"/>
      <c r="GGP3" s="120"/>
      <c r="GGQ3" s="120"/>
      <c r="GGR3" s="120"/>
      <c r="GGS3" s="120"/>
      <c r="GGT3" s="120"/>
      <c r="GGU3" s="120"/>
      <c r="GGV3" s="120"/>
      <c r="GGW3" s="120"/>
      <c r="GGX3" s="120"/>
      <c r="GGY3" s="120"/>
      <c r="GGZ3" s="120"/>
      <c r="GHA3" s="120"/>
      <c r="GHB3" s="120"/>
      <c r="GHC3" s="120"/>
      <c r="GHD3" s="120"/>
      <c r="GHE3" s="120"/>
      <c r="GHF3" s="120"/>
      <c r="GHG3" s="120"/>
      <c r="GHH3" s="120"/>
      <c r="GHI3" s="120"/>
      <c r="GHJ3" s="120"/>
      <c r="GHK3" s="120"/>
      <c r="GHL3" s="120"/>
      <c r="GHM3" s="120"/>
      <c r="GHN3" s="120"/>
      <c r="GHO3" s="120"/>
      <c r="GHP3" s="120"/>
      <c r="GHQ3" s="120"/>
      <c r="GHR3" s="120"/>
      <c r="GHS3" s="120"/>
      <c r="GHT3" s="120"/>
      <c r="GHU3" s="120"/>
      <c r="GHV3" s="120"/>
      <c r="GHW3" s="120"/>
      <c r="GHX3" s="120"/>
      <c r="GHY3" s="120"/>
      <c r="GHZ3" s="120"/>
      <c r="GIA3" s="120"/>
      <c r="GIB3" s="120"/>
      <c r="GIC3" s="120"/>
      <c r="GID3" s="120"/>
      <c r="GIE3" s="120"/>
      <c r="GIF3" s="120"/>
      <c r="GIG3" s="120"/>
      <c r="GIH3" s="120"/>
      <c r="GII3" s="120"/>
      <c r="GIJ3" s="120"/>
      <c r="GIK3" s="120"/>
      <c r="GIL3" s="120"/>
      <c r="GIM3" s="120"/>
      <c r="GIN3" s="120"/>
      <c r="GIO3" s="120"/>
      <c r="GIP3" s="120"/>
      <c r="GIQ3" s="120"/>
      <c r="GIR3" s="120"/>
      <c r="GIS3" s="120"/>
      <c r="GIT3" s="120"/>
      <c r="GIU3" s="120"/>
      <c r="GIV3" s="120"/>
      <c r="GIW3" s="120"/>
      <c r="GIX3" s="120"/>
      <c r="GIY3" s="120"/>
      <c r="GIZ3" s="120"/>
      <c r="GJA3" s="120"/>
      <c r="GJB3" s="120"/>
      <c r="GJC3" s="120"/>
      <c r="GJD3" s="120"/>
      <c r="GJE3" s="120"/>
      <c r="GJF3" s="120"/>
      <c r="GJG3" s="120"/>
      <c r="GJH3" s="120"/>
      <c r="GJI3" s="120"/>
      <c r="GJJ3" s="120"/>
      <c r="GJK3" s="120"/>
      <c r="GJL3" s="120"/>
      <c r="GJM3" s="120"/>
      <c r="GJN3" s="120"/>
      <c r="GJO3" s="120"/>
      <c r="GJP3" s="120"/>
      <c r="GJQ3" s="120"/>
      <c r="GJR3" s="120"/>
      <c r="GJS3" s="120"/>
      <c r="GJT3" s="120"/>
      <c r="GJU3" s="120"/>
      <c r="GJV3" s="120"/>
      <c r="GJW3" s="120"/>
      <c r="GJX3" s="120"/>
      <c r="GJY3" s="120"/>
      <c r="GJZ3" s="120"/>
      <c r="GKA3" s="120"/>
      <c r="GKB3" s="120"/>
      <c r="GKC3" s="120"/>
      <c r="GKD3" s="120"/>
      <c r="GKE3" s="120"/>
      <c r="GKF3" s="120"/>
      <c r="GKG3" s="120"/>
      <c r="GKH3" s="120"/>
      <c r="GKI3" s="120"/>
      <c r="GKJ3" s="120"/>
      <c r="GKK3" s="120"/>
      <c r="GKL3" s="120"/>
      <c r="GKM3" s="120"/>
      <c r="GKN3" s="120"/>
      <c r="GKO3" s="120"/>
      <c r="GKP3" s="120"/>
      <c r="GKQ3" s="120"/>
      <c r="GKR3" s="120"/>
      <c r="GKS3" s="120"/>
      <c r="GKT3" s="120"/>
      <c r="GKU3" s="120"/>
      <c r="GKV3" s="120"/>
      <c r="GKW3" s="120"/>
      <c r="GKX3" s="120"/>
      <c r="GKY3" s="120"/>
      <c r="GKZ3" s="120"/>
      <c r="GLA3" s="120"/>
      <c r="GLB3" s="120"/>
      <c r="GLC3" s="120"/>
      <c r="GLD3" s="120"/>
      <c r="GLE3" s="120"/>
      <c r="GLF3" s="120"/>
      <c r="GLG3" s="120"/>
      <c r="GLH3" s="120"/>
      <c r="GLI3" s="120"/>
      <c r="GLJ3" s="120"/>
      <c r="GLK3" s="120"/>
      <c r="GLL3" s="120"/>
      <c r="GLM3" s="120"/>
      <c r="GLN3" s="120"/>
      <c r="GLO3" s="120"/>
      <c r="GLP3" s="120"/>
      <c r="GLQ3" s="120"/>
      <c r="GLR3" s="120"/>
      <c r="GLS3" s="120"/>
      <c r="GLT3" s="120"/>
      <c r="GLU3" s="120"/>
      <c r="GLV3" s="120"/>
      <c r="GLW3" s="120"/>
      <c r="GLX3" s="120"/>
      <c r="GLY3" s="120"/>
      <c r="GLZ3" s="120"/>
      <c r="GMA3" s="120"/>
      <c r="GMB3" s="120"/>
      <c r="GMC3" s="120"/>
      <c r="GMD3" s="120"/>
      <c r="GME3" s="120"/>
      <c r="GMF3" s="120"/>
      <c r="GMG3" s="120"/>
      <c r="GMH3" s="120"/>
      <c r="GMI3" s="120"/>
      <c r="GMJ3" s="120"/>
      <c r="GMK3" s="120"/>
      <c r="GML3" s="120"/>
      <c r="GMM3" s="120"/>
      <c r="GMN3" s="120"/>
      <c r="GMO3" s="120"/>
      <c r="GMP3" s="120"/>
      <c r="GMQ3" s="120"/>
      <c r="GMR3" s="120"/>
      <c r="GMS3" s="120"/>
      <c r="GMT3" s="120"/>
      <c r="GMU3" s="120"/>
      <c r="GMV3" s="120"/>
      <c r="GMW3" s="120"/>
      <c r="GMX3" s="120"/>
      <c r="GMY3" s="120"/>
      <c r="GMZ3" s="120"/>
      <c r="GNA3" s="120"/>
      <c r="GNB3" s="120"/>
      <c r="GNC3" s="120"/>
      <c r="GND3" s="120"/>
      <c r="GNE3" s="120"/>
      <c r="GNF3" s="120"/>
      <c r="GNG3" s="120"/>
      <c r="GNH3" s="120"/>
      <c r="GNI3" s="120"/>
      <c r="GNJ3" s="120"/>
      <c r="GNK3" s="120"/>
      <c r="GNL3" s="120"/>
      <c r="GNM3" s="120"/>
      <c r="GNN3" s="120"/>
      <c r="GNO3" s="120"/>
      <c r="GNP3" s="120"/>
      <c r="GNQ3" s="120"/>
      <c r="GNR3" s="120"/>
      <c r="GNS3" s="120"/>
      <c r="GNT3" s="120"/>
      <c r="GNU3" s="120"/>
      <c r="GNV3" s="120"/>
      <c r="GNW3" s="120"/>
      <c r="GNX3" s="120"/>
      <c r="GNY3" s="120"/>
      <c r="GNZ3" s="120"/>
      <c r="GOA3" s="120"/>
      <c r="GOB3" s="120"/>
      <c r="GOC3" s="120"/>
      <c r="GOD3" s="120"/>
      <c r="GOE3" s="120"/>
      <c r="GOF3" s="120"/>
      <c r="GOG3" s="120"/>
      <c r="GOH3" s="120"/>
      <c r="GOI3" s="120"/>
      <c r="GOJ3" s="120"/>
      <c r="GOK3" s="120"/>
      <c r="GOL3" s="120"/>
      <c r="GOM3" s="120"/>
      <c r="GON3" s="120"/>
      <c r="GOO3" s="120"/>
      <c r="GOP3" s="120"/>
      <c r="GOQ3" s="120"/>
      <c r="GOR3" s="120"/>
      <c r="GOS3" s="120"/>
      <c r="GOT3" s="120"/>
      <c r="GOU3" s="120"/>
      <c r="GOV3" s="120"/>
      <c r="GOW3" s="120"/>
      <c r="GOX3" s="120"/>
      <c r="GOY3" s="120"/>
      <c r="GOZ3" s="120"/>
      <c r="GPA3" s="120"/>
      <c r="GPB3" s="120"/>
      <c r="GPC3" s="120"/>
      <c r="GPD3" s="120"/>
      <c r="GPE3" s="120"/>
      <c r="GPF3" s="120"/>
      <c r="GPG3" s="120"/>
      <c r="GPH3" s="120"/>
      <c r="GPI3" s="120"/>
      <c r="GPJ3" s="120"/>
      <c r="GPK3" s="120"/>
      <c r="GPL3" s="120"/>
      <c r="GPM3" s="120"/>
      <c r="GPN3" s="120"/>
      <c r="GPO3" s="120"/>
      <c r="GPP3" s="120"/>
      <c r="GPQ3" s="120"/>
      <c r="GPR3" s="120"/>
      <c r="GPS3" s="120"/>
      <c r="GPT3" s="120"/>
      <c r="GPU3" s="120"/>
      <c r="GPV3" s="120"/>
      <c r="GPW3" s="120"/>
      <c r="GPX3" s="120"/>
      <c r="GPY3" s="120"/>
      <c r="GPZ3" s="120"/>
      <c r="GQA3" s="120"/>
      <c r="GQB3" s="120"/>
      <c r="GQC3" s="120"/>
      <c r="GQD3" s="120"/>
      <c r="GQE3" s="120"/>
      <c r="GQF3" s="120"/>
      <c r="GQG3" s="120"/>
      <c r="GQH3" s="120"/>
      <c r="GQI3" s="120"/>
      <c r="GQJ3" s="120"/>
      <c r="GQK3" s="120"/>
      <c r="GQL3" s="120"/>
      <c r="GQM3" s="120"/>
      <c r="GQN3" s="120"/>
      <c r="GQO3" s="120"/>
      <c r="GQP3" s="120"/>
      <c r="GQQ3" s="120"/>
      <c r="GQR3" s="120"/>
      <c r="GQS3" s="120"/>
      <c r="GQT3" s="120"/>
      <c r="GQU3" s="120"/>
      <c r="GQV3" s="120"/>
      <c r="GQW3" s="120"/>
      <c r="GQX3" s="120"/>
      <c r="GQY3" s="120"/>
      <c r="GQZ3" s="120"/>
      <c r="GRA3" s="120"/>
      <c r="GRB3" s="120"/>
      <c r="GRC3" s="120"/>
      <c r="GRD3" s="120"/>
      <c r="GRE3" s="120"/>
      <c r="GRF3" s="120"/>
      <c r="GRG3" s="120"/>
      <c r="GRH3" s="120"/>
      <c r="GRI3" s="120"/>
      <c r="GRJ3" s="120"/>
      <c r="GRK3" s="120"/>
      <c r="GRL3" s="120"/>
      <c r="GRM3" s="120"/>
      <c r="GRN3" s="120"/>
      <c r="GRO3" s="120"/>
      <c r="GRP3" s="120"/>
      <c r="GRQ3" s="120"/>
      <c r="GRR3" s="120"/>
      <c r="GRS3" s="120"/>
      <c r="GRT3" s="120"/>
      <c r="GRU3" s="120"/>
      <c r="GRV3" s="120"/>
      <c r="GRW3" s="120"/>
      <c r="GRX3" s="120"/>
      <c r="GRY3" s="120"/>
      <c r="GRZ3" s="120"/>
      <c r="GSA3" s="120"/>
      <c r="GSB3" s="120"/>
      <c r="GSC3" s="120"/>
      <c r="GSD3" s="120"/>
      <c r="GSE3" s="120"/>
      <c r="GSF3" s="120"/>
      <c r="GSG3" s="120"/>
      <c r="GSH3" s="120"/>
      <c r="GSI3" s="120"/>
      <c r="GSJ3" s="120"/>
      <c r="GSK3" s="120"/>
      <c r="GSL3" s="120"/>
      <c r="GSM3" s="120"/>
      <c r="GSN3" s="120"/>
      <c r="GSO3" s="120"/>
      <c r="GSP3" s="120"/>
      <c r="GSQ3" s="120"/>
      <c r="GSR3" s="120"/>
      <c r="GSS3" s="120"/>
      <c r="GST3" s="120"/>
      <c r="GSU3" s="120"/>
      <c r="GSV3" s="120"/>
      <c r="GSW3" s="120"/>
      <c r="GSX3" s="120"/>
      <c r="GSY3" s="120"/>
      <c r="GSZ3" s="120"/>
      <c r="GTA3" s="120"/>
      <c r="GTB3" s="120"/>
      <c r="GTC3" s="120"/>
      <c r="GTD3" s="120"/>
      <c r="GTE3" s="120"/>
      <c r="GTF3" s="120"/>
      <c r="GTG3" s="120"/>
      <c r="GTH3" s="120"/>
      <c r="GTI3" s="120"/>
      <c r="GTJ3" s="120"/>
      <c r="GTK3" s="120"/>
      <c r="GTL3" s="120"/>
      <c r="GTM3" s="120"/>
      <c r="GTN3" s="120"/>
      <c r="GTO3" s="120"/>
      <c r="GTP3" s="120"/>
      <c r="GTQ3" s="120"/>
      <c r="GTR3" s="120"/>
      <c r="GTS3" s="120"/>
      <c r="GTT3" s="120"/>
      <c r="GTU3" s="120"/>
      <c r="GTV3" s="120"/>
      <c r="GTW3" s="120"/>
      <c r="GTX3" s="120"/>
      <c r="GTY3" s="120"/>
      <c r="GTZ3" s="120"/>
      <c r="GUA3" s="120"/>
      <c r="GUB3" s="120"/>
      <c r="GUC3" s="120"/>
      <c r="GUD3" s="120"/>
      <c r="GUE3" s="120"/>
      <c r="GUF3" s="120"/>
      <c r="GUG3" s="120"/>
      <c r="GUH3" s="120"/>
      <c r="GUI3" s="120"/>
      <c r="GUJ3" s="120"/>
      <c r="GUK3" s="120"/>
      <c r="GUL3" s="120"/>
      <c r="GUM3" s="120"/>
      <c r="GUN3" s="120"/>
      <c r="GUO3" s="120"/>
      <c r="GUP3" s="120"/>
      <c r="GUQ3" s="120"/>
      <c r="GUR3" s="120"/>
      <c r="GUS3" s="120"/>
      <c r="GUT3" s="120"/>
      <c r="GUU3" s="120"/>
      <c r="GUV3" s="120"/>
      <c r="GUW3" s="120"/>
      <c r="GUX3" s="120"/>
      <c r="GUY3" s="120"/>
      <c r="GUZ3" s="120"/>
      <c r="GVA3" s="120"/>
      <c r="GVB3" s="120"/>
      <c r="GVC3" s="120"/>
      <c r="GVD3" s="120"/>
      <c r="GVE3" s="120"/>
      <c r="GVF3" s="120"/>
      <c r="GVG3" s="120"/>
      <c r="GVH3" s="120"/>
      <c r="GVI3" s="120"/>
      <c r="GVJ3" s="120"/>
      <c r="GVK3" s="120"/>
      <c r="GVL3" s="120"/>
      <c r="GVM3" s="120"/>
      <c r="GVN3" s="120"/>
      <c r="GVO3" s="120"/>
      <c r="GVP3" s="120"/>
      <c r="GVQ3" s="120"/>
      <c r="GVR3" s="120"/>
      <c r="GVS3" s="120"/>
      <c r="GVT3" s="120"/>
      <c r="GVU3" s="120"/>
      <c r="GVV3" s="120"/>
      <c r="GVW3" s="120"/>
      <c r="GVX3" s="120"/>
      <c r="GVY3" s="120"/>
      <c r="GVZ3" s="120"/>
      <c r="GWA3" s="120"/>
      <c r="GWB3" s="120"/>
      <c r="GWC3" s="120"/>
      <c r="GWD3" s="120"/>
      <c r="GWE3" s="120"/>
      <c r="GWF3" s="120"/>
      <c r="GWG3" s="120"/>
      <c r="GWH3" s="120"/>
      <c r="GWI3" s="120"/>
      <c r="GWJ3" s="120"/>
      <c r="GWK3" s="120"/>
      <c r="GWL3" s="120"/>
      <c r="GWM3" s="120"/>
      <c r="GWN3" s="120"/>
      <c r="GWO3" s="120"/>
      <c r="GWP3" s="120"/>
      <c r="GWQ3" s="120"/>
      <c r="GWR3" s="120"/>
      <c r="GWS3" s="120"/>
      <c r="GWT3" s="120"/>
      <c r="GWU3" s="120"/>
      <c r="GWV3" s="120"/>
      <c r="GWW3" s="120"/>
      <c r="GWX3" s="120"/>
      <c r="GWY3" s="120"/>
      <c r="GWZ3" s="120"/>
      <c r="GXA3" s="120"/>
      <c r="GXB3" s="120"/>
      <c r="GXC3" s="120"/>
      <c r="GXD3" s="120"/>
      <c r="GXE3" s="120"/>
      <c r="GXF3" s="120"/>
      <c r="GXG3" s="120"/>
      <c r="GXH3" s="120"/>
      <c r="GXI3" s="120"/>
      <c r="GXJ3" s="120"/>
      <c r="GXK3" s="120"/>
      <c r="GXL3" s="120"/>
      <c r="GXM3" s="120"/>
      <c r="GXN3" s="120"/>
      <c r="GXO3" s="120"/>
      <c r="GXP3" s="120"/>
      <c r="GXQ3" s="120"/>
      <c r="GXR3" s="120"/>
      <c r="GXS3" s="120"/>
      <c r="GXT3" s="120"/>
      <c r="GXU3" s="120"/>
      <c r="GXV3" s="120"/>
      <c r="GXW3" s="120"/>
      <c r="GXX3" s="120"/>
      <c r="GXY3" s="120"/>
      <c r="GXZ3" s="120"/>
      <c r="GYA3" s="120"/>
      <c r="GYB3" s="120"/>
      <c r="GYC3" s="120"/>
      <c r="GYD3" s="120"/>
      <c r="GYE3" s="120"/>
      <c r="GYF3" s="120"/>
      <c r="GYG3" s="120"/>
      <c r="GYH3" s="120"/>
      <c r="GYI3" s="120"/>
      <c r="GYJ3" s="120"/>
      <c r="GYK3" s="120"/>
      <c r="GYL3" s="120"/>
      <c r="GYM3" s="120"/>
      <c r="GYN3" s="120"/>
      <c r="GYO3" s="120"/>
      <c r="GYP3" s="120"/>
      <c r="GYQ3" s="120"/>
      <c r="GYR3" s="120"/>
      <c r="GYS3" s="120"/>
      <c r="GYT3" s="120"/>
      <c r="GYU3" s="120"/>
      <c r="GYV3" s="120"/>
      <c r="GYW3" s="120"/>
      <c r="GYX3" s="120"/>
      <c r="GYY3" s="120"/>
      <c r="GYZ3" s="120"/>
      <c r="GZA3" s="120"/>
      <c r="GZB3" s="120"/>
      <c r="GZC3" s="120"/>
      <c r="GZD3" s="120"/>
      <c r="GZE3" s="120"/>
      <c r="GZF3" s="120"/>
      <c r="GZG3" s="120"/>
      <c r="GZH3" s="120"/>
      <c r="GZI3" s="120"/>
      <c r="GZJ3" s="120"/>
      <c r="GZK3" s="120"/>
      <c r="GZL3" s="120"/>
      <c r="GZM3" s="120"/>
      <c r="GZN3" s="120"/>
      <c r="GZO3" s="120"/>
      <c r="GZP3" s="120"/>
      <c r="GZQ3" s="120"/>
      <c r="GZR3" s="120"/>
      <c r="GZS3" s="120"/>
      <c r="GZT3" s="120"/>
      <c r="GZU3" s="120"/>
      <c r="GZV3" s="120"/>
      <c r="GZW3" s="120"/>
      <c r="GZX3" s="120"/>
      <c r="GZY3" s="120"/>
      <c r="GZZ3" s="120"/>
      <c r="HAA3" s="120"/>
      <c r="HAB3" s="120"/>
      <c r="HAC3" s="120"/>
      <c r="HAD3" s="120"/>
      <c r="HAE3" s="120"/>
      <c r="HAF3" s="120"/>
      <c r="HAG3" s="120"/>
      <c r="HAH3" s="120"/>
      <c r="HAI3" s="120"/>
      <c r="HAJ3" s="120"/>
      <c r="HAK3" s="120"/>
      <c r="HAL3" s="120"/>
      <c r="HAM3" s="120"/>
      <c r="HAN3" s="120"/>
      <c r="HAO3" s="120"/>
      <c r="HAP3" s="120"/>
      <c r="HAQ3" s="120"/>
      <c r="HAR3" s="120"/>
      <c r="HAS3" s="120"/>
      <c r="HAT3" s="120"/>
      <c r="HAU3" s="120"/>
      <c r="HAV3" s="120"/>
      <c r="HAW3" s="120"/>
      <c r="HAX3" s="120"/>
      <c r="HAY3" s="120"/>
      <c r="HAZ3" s="120"/>
      <c r="HBA3" s="120"/>
      <c r="HBB3" s="120"/>
      <c r="HBC3" s="120"/>
      <c r="HBD3" s="120"/>
      <c r="HBE3" s="120"/>
      <c r="HBF3" s="120"/>
      <c r="HBG3" s="120"/>
      <c r="HBH3" s="120"/>
      <c r="HBI3" s="120"/>
      <c r="HBJ3" s="120"/>
      <c r="HBK3" s="120"/>
      <c r="HBL3" s="120"/>
      <c r="HBM3" s="120"/>
      <c r="HBN3" s="120"/>
      <c r="HBO3" s="120"/>
      <c r="HBP3" s="120"/>
      <c r="HBQ3" s="120"/>
      <c r="HBR3" s="120"/>
      <c r="HBS3" s="120"/>
      <c r="HBT3" s="120"/>
      <c r="HBU3" s="120"/>
      <c r="HBV3" s="120"/>
      <c r="HBW3" s="120"/>
      <c r="HBX3" s="120"/>
      <c r="HBY3" s="120"/>
      <c r="HBZ3" s="120"/>
      <c r="HCA3" s="120"/>
      <c r="HCB3" s="120"/>
      <c r="HCC3" s="120"/>
      <c r="HCD3" s="120"/>
      <c r="HCE3" s="120"/>
      <c r="HCF3" s="120"/>
      <c r="HCG3" s="120"/>
      <c r="HCH3" s="120"/>
      <c r="HCI3" s="120"/>
      <c r="HCJ3" s="120"/>
      <c r="HCK3" s="120"/>
      <c r="HCL3" s="120"/>
      <c r="HCM3" s="120"/>
      <c r="HCN3" s="120"/>
      <c r="HCO3" s="120"/>
      <c r="HCP3" s="120"/>
      <c r="HCQ3" s="120"/>
      <c r="HCR3" s="120"/>
      <c r="HCS3" s="120"/>
      <c r="HCT3" s="120"/>
      <c r="HCU3" s="120"/>
      <c r="HCV3" s="120"/>
      <c r="HCW3" s="120"/>
      <c r="HCX3" s="120"/>
      <c r="HCY3" s="120"/>
      <c r="HCZ3" s="120"/>
      <c r="HDA3" s="120"/>
      <c r="HDB3" s="120"/>
      <c r="HDC3" s="120"/>
      <c r="HDD3" s="120"/>
      <c r="HDE3" s="120"/>
      <c r="HDF3" s="120"/>
      <c r="HDG3" s="120"/>
      <c r="HDH3" s="120"/>
      <c r="HDI3" s="120"/>
      <c r="HDJ3" s="120"/>
      <c r="HDK3" s="120"/>
      <c r="HDL3" s="120"/>
      <c r="HDM3" s="120"/>
      <c r="HDN3" s="120"/>
      <c r="HDO3" s="120"/>
      <c r="HDP3" s="120"/>
      <c r="HDQ3" s="120"/>
      <c r="HDR3" s="120"/>
      <c r="HDS3" s="120"/>
      <c r="HDT3" s="120"/>
      <c r="HDU3" s="120"/>
      <c r="HDV3" s="120"/>
      <c r="HDW3" s="120"/>
      <c r="HDX3" s="120"/>
      <c r="HDY3" s="120"/>
      <c r="HDZ3" s="120"/>
      <c r="HEA3" s="120"/>
      <c r="HEB3" s="120"/>
      <c r="HEC3" s="120"/>
      <c r="HED3" s="120"/>
      <c r="HEE3" s="120"/>
      <c r="HEF3" s="120"/>
      <c r="HEG3" s="120"/>
      <c r="HEH3" s="120"/>
      <c r="HEI3" s="120"/>
      <c r="HEJ3" s="120"/>
      <c r="HEK3" s="120"/>
      <c r="HEL3" s="120"/>
      <c r="HEM3" s="120"/>
      <c r="HEN3" s="120"/>
      <c r="HEO3" s="120"/>
      <c r="HEP3" s="120"/>
      <c r="HEQ3" s="120"/>
      <c r="HER3" s="120"/>
      <c r="HES3" s="120"/>
      <c r="HET3" s="120"/>
      <c r="HEU3" s="120"/>
      <c r="HEV3" s="120"/>
      <c r="HEW3" s="120"/>
      <c r="HEX3" s="120"/>
      <c r="HEY3" s="120"/>
      <c r="HEZ3" s="120"/>
      <c r="HFA3" s="120"/>
      <c r="HFB3" s="120"/>
      <c r="HFC3" s="120"/>
      <c r="HFD3" s="120"/>
      <c r="HFE3" s="120"/>
      <c r="HFF3" s="120"/>
      <c r="HFG3" s="120"/>
      <c r="HFH3" s="120"/>
      <c r="HFI3" s="120"/>
      <c r="HFJ3" s="120"/>
      <c r="HFK3" s="120"/>
      <c r="HFL3" s="120"/>
      <c r="HFM3" s="120"/>
      <c r="HFN3" s="120"/>
      <c r="HFO3" s="120"/>
      <c r="HFP3" s="120"/>
      <c r="HFQ3" s="120"/>
      <c r="HFR3" s="120"/>
      <c r="HFS3" s="120"/>
      <c r="HFT3" s="120"/>
      <c r="HFU3" s="120"/>
      <c r="HFV3" s="120"/>
      <c r="HFW3" s="120"/>
      <c r="HFX3" s="120"/>
      <c r="HFY3" s="120"/>
      <c r="HFZ3" s="120"/>
      <c r="HGA3" s="120"/>
      <c r="HGB3" s="120"/>
      <c r="HGC3" s="120"/>
      <c r="HGD3" s="120"/>
      <c r="HGE3" s="120"/>
      <c r="HGF3" s="120"/>
      <c r="HGG3" s="120"/>
      <c r="HGH3" s="120"/>
      <c r="HGI3" s="120"/>
      <c r="HGJ3" s="120"/>
      <c r="HGK3" s="120"/>
      <c r="HGL3" s="120"/>
      <c r="HGM3" s="120"/>
      <c r="HGN3" s="120"/>
      <c r="HGO3" s="120"/>
      <c r="HGP3" s="120"/>
      <c r="HGQ3" s="120"/>
      <c r="HGR3" s="120"/>
      <c r="HGS3" s="120"/>
      <c r="HGT3" s="120"/>
      <c r="HGU3" s="120"/>
      <c r="HGV3" s="120"/>
      <c r="HGW3" s="120"/>
      <c r="HGX3" s="120"/>
      <c r="HGY3" s="120"/>
      <c r="HGZ3" s="120"/>
      <c r="HHA3" s="120"/>
      <c r="HHB3" s="120"/>
      <c r="HHC3" s="120"/>
      <c r="HHD3" s="120"/>
      <c r="HHE3" s="120"/>
      <c r="HHF3" s="120"/>
      <c r="HHG3" s="120"/>
      <c r="HHH3" s="120"/>
      <c r="HHI3" s="120"/>
      <c r="HHJ3" s="120"/>
      <c r="HHK3" s="120"/>
      <c r="HHL3" s="120"/>
      <c r="HHM3" s="120"/>
      <c r="HHN3" s="120"/>
      <c r="HHO3" s="120"/>
      <c r="HHP3" s="120"/>
      <c r="HHQ3" s="120"/>
      <c r="HHR3" s="120"/>
      <c r="HHS3" s="120"/>
      <c r="HHT3" s="120"/>
      <c r="HHU3" s="120"/>
      <c r="HHV3" s="120"/>
      <c r="HHW3" s="120"/>
      <c r="HHX3" s="120"/>
      <c r="HHY3" s="120"/>
      <c r="HHZ3" s="120"/>
      <c r="HIA3" s="120"/>
      <c r="HIB3" s="120"/>
      <c r="HIC3" s="120"/>
      <c r="HID3" s="120"/>
      <c r="HIE3" s="120"/>
      <c r="HIF3" s="120"/>
      <c r="HIG3" s="120"/>
      <c r="HIH3" s="120"/>
      <c r="HII3" s="120"/>
      <c r="HIJ3" s="120"/>
      <c r="HIK3" s="120"/>
      <c r="HIL3" s="120"/>
      <c r="HIM3" s="120"/>
      <c r="HIN3" s="120"/>
      <c r="HIO3" s="120"/>
      <c r="HIP3" s="120"/>
      <c r="HIQ3" s="120"/>
      <c r="HIR3" s="120"/>
      <c r="HIS3" s="120"/>
      <c r="HIT3" s="120"/>
      <c r="HIU3" s="120"/>
      <c r="HIV3" s="120"/>
      <c r="HIW3" s="120"/>
      <c r="HIX3" s="120"/>
      <c r="HIY3" s="120"/>
      <c r="HIZ3" s="120"/>
      <c r="HJA3" s="120"/>
      <c r="HJB3" s="120"/>
      <c r="HJC3" s="120"/>
      <c r="HJD3" s="120"/>
      <c r="HJE3" s="120"/>
      <c r="HJF3" s="120"/>
      <c r="HJG3" s="120"/>
      <c r="HJH3" s="120"/>
      <c r="HJI3" s="120"/>
      <c r="HJJ3" s="120"/>
      <c r="HJK3" s="120"/>
      <c r="HJL3" s="120"/>
      <c r="HJM3" s="120"/>
      <c r="HJN3" s="120"/>
      <c r="HJO3" s="120"/>
      <c r="HJP3" s="120"/>
      <c r="HJQ3" s="120"/>
      <c r="HJR3" s="120"/>
      <c r="HJS3" s="120"/>
      <c r="HJT3" s="120"/>
      <c r="HJU3" s="120"/>
      <c r="HJV3" s="120"/>
      <c r="HJW3" s="120"/>
      <c r="HJX3" s="120"/>
      <c r="HJY3" s="120"/>
      <c r="HJZ3" s="120"/>
      <c r="HKA3" s="120"/>
      <c r="HKB3" s="120"/>
      <c r="HKC3" s="120"/>
      <c r="HKD3" s="120"/>
      <c r="HKE3" s="120"/>
      <c r="HKF3" s="120"/>
      <c r="HKG3" s="120"/>
      <c r="HKH3" s="120"/>
      <c r="HKI3" s="120"/>
      <c r="HKJ3" s="120"/>
      <c r="HKK3" s="120"/>
      <c r="HKL3" s="120"/>
      <c r="HKM3" s="120"/>
      <c r="HKN3" s="120"/>
      <c r="HKO3" s="120"/>
      <c r="HKP3" s="120"/>
      <c r="HKQ3" s="120"/>
      <c r="HKR3" s="120"/>
      <c r="HKS3" s="120"/>
      <c r="HKT3" s="120"/>
      <c r="HKU3" s="120"/>
      <c r="HKV3" s="120"/>
      <c r="HKW3" s="120"/>
      <c r="HKX3" s="120"/>
      <c r="HKY3" s="120"/>
      <c r="HKZ3" s="120"/>
      <c r="HLA3" s="120"/>
      <c r="HLB3" s="120"/>
      <c r="HLC3" s="120"/>
      <c r="HLD3" s="120"/>
      <c r="HLE3" s="120"/>
      <c r="HLF3" s="120"/>
      <c r="HLG3" s="120"/>
      <c r="HLH3" s="120"/>
      <c r="HLI3" s="120"/>
      <c r="HLJ3" s="120"/>
      <c r="HLK3" s="120"/>
      <c r="HLL3" s="120"/>
      <c r="HLM3" s="120"/>
      <c r="HLN3" s="120"/>
      <c r="HLO3" s="120"/>
      <c r="HLP3" s="120"/>
      <c r="HLQ3" s="120"/>
      <c r="HLR3" s="120"/>
      <c r="HLS3" s="120"/>
      <c r="HLT3" s="120"/>
      <c r="HLU3" s="120"/>
      <c r="HLV3" s="120"/>
      <c r="HLW3" s="120"/>
      <c r="HLX3" s="120"/>
      <c r="HLY3" s="120"/>
      <c r="HLZ3" s="120"/>
      <c r="HMA3" s="120"/>
      <c r="HMB3" s="120"/>
      <c r="HMC3" s="120"/>
      <c r="HMD3" s="120"/>
      <c r="HME3" s="120"/>
      <c r="HMF3" s="120"/>
      <c r="HMG3" s="120"/>
      <c r="HMH3" s="120"/>
      <c r="HMI3" s="120"/>
      <c r="HMJ3" s="120"/>
      <c r="HMK3" s="120"/>
      <c r="HML3" s="120"/>
      <c r="HMM3" s="120"/>
      <c r="HMN3" s="120"/>
      <c r="HMO3" s="120"/>
      <c r="HMP3" s="120"/>
      <c r="HMQ3" s="120"/>
      <c r="HMR3" s="120"/>
      <c r="HMS3" s="120"/>
      <c r="HMT3" s="120"/>
      <c r="HMU3" s="120"/>
      <c r="HMV3" s="120"/>
      <c r="HMW3" s="120"/>
      <c r="HMX3" s="120"/>
      <c r="HMY3" s="120"/>
      <c r="HMZ3" s="120"/>
      <c r="HNA3" s="120"/>
      <c r="HNB3" s="120"/>
      <c r="HNC3" s="120"/>
      <c r="HND3" s="120"/>
      <c r="HNE3" s="120"/>
      <c r="HNF3" s="120"/>
      <c r="HNG3" s="120"/>
      <c r="HNH3" s="120"/>
      <c r="HNI3" s="120"/>
      <c r="HNJ3" s="120"/>
      <c r="HNK3" s="120"/>
      <c r="HNL3" s="120"/>
      <c r="HNM3" s="120"/>
      <c r="HNN3" s="120"/>
      <c r="HNO3" s="120"/>
      <c r="HNP3" s="120"/>
      <c r="HNQ3" s="120"/>
      <c r="HNR3" s="120"/>
      <c r="HNS3" s="120"/>
      <c r="HNT3" s="120"/>
      <c r="HNU3" s="120"/>
      <c r="HNV3" s="120"/>
      <c r="HNW3" s="120"/>
      <c r="HNX3" s="120"/>
      <c r="HNY3" s="120"/>
      <c r="HNZ3" s="120"/>
      <c r="HOA3" s="120"/>
      <c r="HOB3" s="120"/>
      <c r="HOC3" s="120"/>
      <c r="HOD3" s="120"/>
      <c r="HOE3" s="120"/>
      <c r="HOF3" s="120"/>
      <c r="HOG3" s="120"/>
      <c r="HOH3" s="120"/>
      <c r="HOI3" s="120"/>
      <c r="HOJ3" s="120"/>
      <c r="HOK3" s="120"/>
      <c r="HOL3" s="120"/>
      <c r="HOM3" s="120"/>
      <c r="HON3" s="120"/>
      <c r="HOO3" s="120"/>
      <c r="HOP3" s="120"/>
      <c r="HOQ3" s="120"/>
      <c r="HOR3" s="120"/>
      <c r="HOS3" s="120"/>
      <c r="HOT3" s="120"/>
      <c r="HOU3" s="120"/>
      <c r="HOV3" s="120"/>
      <c r="HOW3" s="120"/>
      <c r="HOX3" s="120"/>
      <c r="HOY3" s="120"/>
      <c r="HOZ3" s="120"/>
      <c r="HPA3" s="120"/>
      <c r="HPB3" s="120"/>
      <c r="HPC3" s="120"/>
      <c r="HPD3" s="120"/>
      <c r="HPE3" s="120"/>
      <c r="HPF3" s="120"/>
      <c r="HPG3" s="120"/>
      <c r="HPH3" s="120"/>
      <c r="HPI3" s="120"/>
      <c r="HPJ3" s="120"/>
      <c r="HPK3" s="120"/>
      <c r="HPL3" s="120"/>
      <c r="HPM3" s="120"/>
      <c r="HPN3" s="120"/>
      <c r="HPO3" s="120"/>
      <c r="HPP3" s="120"/>
      <c r="HPQ3" s="120"/>
      <c r="HPR3" s="120"/>
      <c r="HPS3" s="120"/>
      <c r="HPT3" s="120"/>
      <c r="HPU3" s="120"/>
      <c r="HPV3" s="120"/>
      <c r="HPW3" s="120"/>
      <c r="HPX3" s="120"/>
      <c r="HPY3" s="120"/>
      <c r="HPZ3" s="120"/>
      <c r="HQA3" s="120"/>
      <c r="HQB3" s="120"/>
      <c r="HQC3" s="120"/>
      <c r="HQD3" s="120"/>
      <c r="HQE3" s="120"/>
      <c r="HQF3" s="120"/>
      <c r="HQG3" s="120"/>
      <c r="HQH3" s="120"/>
      <c r="HQI3" s="120"/>
      <c r="HQJ3" s="120"/>
      <c r="HQK3" s="120"/>
      <c r="HQL3" s="120"/>
      <c r="HQM3" s="120"/>
      <c r="HQN3" s="120"/>
      <c r="HQO3" s="120"/>
      <c r="HQP3" s="120"/>
      <c r="HQQ3" s="120"/>
      <c r="HQR3" s="120"/>
      <c r="HQS3" s="120"/>
      <c r="HQT3" s="120"/>
      <c r="HQU3" s="120"/>
      <c r="HQV3" s="120"/>
      <c r="HQW3" s="120"/>
      <c r="HQX3" s="120"/>
      <c r="HQY3" s="120"/>
      <c r="HQZ3" s="120"/>
      <c r="HRA3" s="120"/>
      <c r="HRB3" s="120"/>
      <c r="HRC3" s="120"/>
      <c r="HRD3" s="120"/>
      <c r="HRE3" s="120"/>
      <c r="HRF3" s="120"/>
      <c r="HRG3" s="120"/>
      <c r="HRH3" s="120"/>
      <c r="HRI3" s="120"/>
      <c r="HRJ3" s="120"/>
      <c r="HRK3" s="120"/>
      <c r="HRL3" s="120"/>
      <c r="HRM3" s="120"/>
      <c r="HRN3" s="120"/>
      <c r="HRO3" s="120"/>
      <c r="HRP3" s="120"/>
      <c r="HRQ3" s="120"/>
      <c r="HRR3" s="120"/>
      <c r="HRS3" s="120"/>
      <c r="HRT3" s="120"/>
      <c r="HRU3" s="120"/>
      <c r="HRV3" s="120"/>
      <c r="HRW3" s="120"/>
      <c r="HRX3" s="120"/>
      <c r="HRY3" s="120"/>
      <c r="HRZ3" s="120"/>
      <c r="HSA3" s="120"/>
      <c r="HSB3" s="120"/>
      <c r="HSC3" s="120"/>
      <c r="HSD3" s="120"/>
      <c r="HSE3" s="120"/>
      <c r="HSF3" s="120"/>
      <c r="HSG3" s="120"/>
      <c r="HSH3" s="120"/>
      <c r="HSI3" s="120"/>
      <c r="HSJ3" s="120"/>
      <c r="HSK3" s="120"/>
      <c r="HSL3" s="120"/>
      <c r="HSM3" s="120"/>
      <c r="HSN3" s="120"/>
      <c r="HSO3" s="120"/>
      <c r="HSP3" s="120"/>
      <c r="HSQ3" s="120"/>
      <c r="HSR3" s="120"/>
      <c r="HSS3" s="120"/>
      <c r="HST3" s="120"/>
      <c r="HSU3" s="120"/>
      <c r="HSV3" s="120"/>
      <c r="HSW3" s="120"/>
      <c r="HSX3" s="120"/>
      <c r="HSY3" s="120"/>
      <c r="HSZ3" s="120"/>
      <c r="HTA3" s="120"/>
      <c r="HTB3" s="120"/>
      <c r="HTC3" s="120"/>
      <c r="HTD3" s="120"/>
      <c r="HTE3" s="120"/>
      <c r="HTF3" s="120"/>
      <c r="HTG3" s="120"/>
      <c r="HTH3" s="120"/>
      <c r="HTI3" s="120"/>
      <c r="HTJ3" s="120"/>
      <c r="HTK3" s="120"/>
      <c r="HTL3" s="120"/>
      <c r="HTM3" s="120"/>
      <c r="HTN3" s="120"/>
      <c r="HTO3" s="120"/>
      <c r="HTP3" s="120"/>
      <c r="HTQ3" s="120"/>
      <c r="HTR3" s="120"/>
      <c r="HTS3" s="120"/>
      <c r="HTT3" s="120"/>
      <c r="HTU3" s="120"/>
      <c r="HTV3" s="120"/>
      <c r="HTW3" s="120"/>
      <c r="HTX3" s="120"/>
      <c r="HTY3" s="120"/>
      <c r="HTZ3" s="120"/>
      <c r="HUA3" s="120"/>
      <c r="HUB3" s="120"/>
      <c r="HUC3" s="120"/>
      <c r="HUD3" s="120"/>
      <c r="HUE3" s="120"/>
      <c r="HUF3" s="120"/>
      <c r="HUG3" s="120"/>
      <c r="HUH3" s="120"/>
      <c r="HUI3" s="120"/>
      <c r="HUJ3" s="120"/>
      <c r="HUK3" s="120"/>
      <c r="HUL3" s="120"/>
      <c r="HUM3" s="120"/>
      <c r="HUN3" s="120"/>
      <c r="HUO3" s="120"/>
      <c r="HUP3" s="120"/>
      <c r="HUQ3" s="120"/>
      <c r="HUR3" s="120"/>
      <c r="HUS3" s="120"/>
      <c r="HUT3" s="120"/>
      <c r="HUU3" s="120"/>
      <c r="HUV3" s="120"/>
      <c r="HUW3" s="120"/>
      <c r="HUX3" s="120"/>
      <c r="HUY3" s="120"/>
      <c r="HUZ3" s="120"/>
      <c r="HVA3" s="120"/>
      <c r="HVB3" s="120"/>
      <c r="HVC3" s="120"/>
      <c r="HVD3" s="120"/>
      <c r="HVE3" s="120"/>
      <c r="HVF3" s="120"/>
      <c r="HVG3" s="120"/>
      <c r="HVH3" s="120"/>
      <c r="HVI3" s="120"/>
      <c r="HVJ3" s="120"/>
      <c r="HVK3" s="120"/>
      <c r="HVL3" s="120"/>
      <c r="HVM3" s="120"/>
      <c r="HVN3" s="120"/>
      <c r="HVO3" s="120"/>
      <c r="HVP3" s="120"/>
      <c r="HVQ3" s="120"/>
      <c r="HVR3" s="120"/>
      <c r="HVS3" s="120"/>
      <c r="HVT3" s="120"/>
      <c r="HVU3" s="120"/>
      <c r="HVV3" s="120"/>
      <c r="HVW3" s="120"/>
      <c r="HVX3" s="120"/>
      <c r="HVY3" s="120"/>
      <c r="HVZ3" s="120"/>
      <c r="HWA3" s="120"/>
      <c r="HWB3" s="120"/>
      <c r="HWC3" s="120"/>
      <c r="HWD3" s="120"/>
      <c r="HWE3" s="120"/>
      <c r="HWF3" s="120"/>
      <c r="HWG3" s="120"/>
      <c r="HWH3" s="120"/>
      <c r="HWI3" s="120"/>
      <c r="HWJ3" s="120"/>
      <c r="HWK3" s="120"/>
      <c r="HWL3" s="120"/>
      <c r="HWM3" s="120"/>
      <c r="HWN3" s="120"/>
      <c r="HWO3" s="120"/>
      <c r="HWP3" s="120"/>
      <c r="HWQ3" s="120"/>
      <c r="HWR3" s="120"/>
      <c r="HWS3" s="120"/>
      <c r="HWT3" s="120"/>
      <c r="HWU3" s="120"/>
      <c r="HWV3" s="120"/>
      <c r="HWW3" s="120"/>
      <c r="HWX3" s="120"/>
      <c r="HWY3" s="120"/>
      <c r="HWZ3" s="120"/>
      <c r="HXA3" s="120"/>
      <c r="HXB3" s="120"/>
      <c r="HXC3" s="120"/>
      <c r="HXD3" s="120"/>
      <c r="HXE3" s="120"/>
      <c r="HXF3" s="120"/>
      <c r="HXG3" s="120"/>
      <c r="HXH3" s="120"/>
      <c r="HXI3" s="120"/>
      <c r="HXJ3" s="120"/>
      <c r="HXK3" s="120"/>
      <c r="HXL3" s="120"/>
      <c r="HXM3" s="120"/>
      <c r="HXN3" s="120"/>
      <c r="HXO3" s="120"/>
      <c r="HXP3" s="120"/>
      <c r="HXQ3" s="120"/>
      <c r="HXR3" s="120"/>
      <c r="HXS3" s="120"/>
      <c r="HXT3" s="120"/>
      <c r="HXU3" s="120"/>
      <c r="HXV3" s="120"/>
      <c r="HXW3" s="120"/>
      <c r="HXX3" s="120"/>
      <c r="HXY3" s="120"/>
      <c r="HXZ3" s="120"/>
      <c r="HYA3" s="120"/>
      <c r="HYB3" s="120"/>
      <c r="HYC3" s="120"/>
      <c r="HYD3" s="120"/>
      <c r="HYE3" s="120"/>
      <c r="HYF3" s="120"/>
      <c r="HYG3" s="120"/>
      <c r="HYH3" s="120"/>
      <c r="HYI3" s="120"/>
      <c r="HYJ3" s="120"/>
      <c r="HYK3" s="120"/>
      <c r="HYL3" s="120"/>
      <c r="HYM3" s="120"/>
      <c r="HYN3" s="120"/>
      <c r="HYO3" s="120"/>
      <c r="HYP3" s="120"/>
      <c r="HYQ3" s="120"/>
      <c r="HYR3" s="120"/>
      <c r="HYS3" s="120"/>
      <c r="HYT3" s="120"/>
      <c r="HYU3" s="120"/>
      <c r="HYV3" s="120"/>
      <c r="HYW3" s="120"/>
      <c r="HYX3" s="120"/>
      <c r="HYY3" s="120"/>
      <c r="HYZ3" s="120"/>
      <c r="HZA3" s="120"/>
      <c r="HZB3" s="120"/>
      <c r="HZC3" s="120"/>
      <c r="HZD3" s="120"/>
      <c r="HZE3" s="120"/>
      <c r="HZF3" s="120"/>
      <c r="HZG3" s="120"/>
      <c r="HZH3" s="120"/>
      <c r="HZI3" s="120"/>
      <c r="HZJ3" s="120"/>
      <c r="HZK3" s="120"/>
      <c r="HZL3" s="120"/>
      <c r="HZM3" s="120"/>
      <c r="HZN3" s="120"/>
      <c r="HZO3" s="120"/>
      <c r="HZP3" s="120"/>
      <c r="HZQ3" s="120"/>
      <c r="HZR3" s="120"/>
      <c r="HZS3" s="120"/>
      <c r="HZT3" s="120"/>
      <c r="HZU3" s="120"/>
      <c r="HZV3" s="120"/>
      <c r="HZW3" s="120"/>
      <c r="HZX3" s="120"/>
      <c r="HZY3" s="120"/>
      <c r="HZZ3" s="120"/>
      <c r="IAA3" s="120"/>
      <c r="IAB3" s="120"/>
      <c r="IAC3" s="120"/>
      <c r="IAD3" s="120"/>
      <c r="IAE3" s="120"/>
      <c r="IAF3" s="120"/>
      <c r="IAG3" s="120"/>
      <c r="IAH3" s="120"/>
      <c r="IAI3" s="120"/>
      <c r="IAJ3" s="120"/>
      <c r="IAK3" s="120"/>
      <c r="IAL3" s="120"/>
      <c r="IAM3" s="120"/>
      <c r="IAN3" s="120"/>
      <c r="IAO3" s="120"/>
      <c r="IAP3" s="120"/>
      <c r="IAQ3" s="120"/>
      <c r="IAR3" s="120"/>
      <c r="IAS3" s="120"/>
      <c r="IAT3" s="120"/>
      <c r="IAU3" s="120"/>
      <c r="IAV3" s="120"/>
      <c r="IAW3" s="120"/>
      <c r="IAX3" s="120"/>
      <c r="IAY3" s="120"/>
      <c r="IAZ3" s="120"/>
      <c r="IBA3" s="120"/>
      <c r="IBB3" s="120"/>
      <c r="IBC3" s="120"/>
      <c r="IBD3" s="120"/>
      <c r="IBE3" s="120"/>
      <c r="IBF3" s="120"/>
      <c r="IBG3" s="120"/>
      <c r="IBH3" s="120"/>
      <c r="IBI3" s="120"/>
      <c r="IBJ3" s="120"/>
      <c r="IBK3" s="120"/>
      <c r="IBL3" s="120"/>
      <c r="IBM3" s="120"/>
      <c r="IBN3" s="120"/>
      <c r="IBO3" s="120"/>
      <c r="IBP3" s="120"/>
      <c r="IBQ3" s="120"/>
      <c r="IBR3" s="120"/>
      <c r="IBS3" s="120"/>
      <c r="IBT3" s="120"/>
      <c r="IBU3" s="120"/>
      <c r="IBV3" s="120"/>
      <c r="IBW3" s="120"/>
      <c r="IBX3" s="120"/>
      <c r="IBY3" s="120"/>
      <c r="IBZ3" s="120"/>
      <c r="ICA3" s="120"/>
      <c r="ICB3" s="120"/>
      <c r="ICC3" s="120"/>
      <c r="ICD3" s="120"/>
      <c r="ICE3" s="120"/>
      <c r="ICF3" s="120"/>
      <c r="ICG3" s="120"/>
      <c r="ICH3" s="120"/>
      <c r="ICI3" s="120"/>
      <c r="ICJ3" s="120"/>
      <c r="ICK3" s="120"/>
      <c r="ICL3" s="120"/>
      <c r="ICM3" s="120"/>
      <c r="ICN3" s="120"/>
      <c r="ICO3" s="120"/>
      <c r="ICP3" s="120"/>
      <c r="ICQ3" s="120"/>
      <c r="ICR3" s="120"/>
      <c r="ICS3" s="120"/>
      <c r="ICT3" s="120"/>
      <c r="ICU3" s="120"/>
      <c r="ICV3" s="120"/>
      <c r="ICW3" s="120"/>
      <c r="ICX3" s="120"/>
      <c r="ICY3" s="120"/>
      <c r="ICZ3" s="120"/>
      <c r="IDA3" s="120"/>
      <c r="IDB3" s="120"/>
      <c r="IDC3" s="120"/>
      <c r="IDD3" s="120"/>
      <c r="IDE3" s="120"/>
      <c r="IDF3" s="120"/>
      <c r="IDG3" s="120"/>
      <c r="IDH3" s="120"/>
      <c r="IDI3" s="120"/>
      <c r="IDJ3" s="120"/>
      <c r="IDK3" s="120"/>
      <c r="IDL3" s="120"/>
      <c r="IDM3" s="120"/>
      <c r="IDN3" s="120"/>
      <c r="IDO3" s="120"/>
      <c r="IDP3" s="120"/>
      <c r="IDQ3" s="120"/>
      <c r="IDR3" s="120"/>
      <c r="IDS3" s="120"/>
      <c r="IDT3" s="120"/>
      <c r="IDU3" s="120"/>
      <c r="IDV3" s="120"/>
      <c r="IDW3" s="120"/>
      <c r="IDX3" s="120"/>
      <c r="IDY3" s="120"/>
      <c r="IDZ3" s="120"/>
      <c r="IEA3" s="120"/>
      <c r="IEB3" s="120"/>
      <c r="IEC3" s="120"/>
      <c r="IED3" s="120"/>
      <c r="IEE3" s="120"/>
      <c r="IEF3" s="120"/>
      <c r="IEG3" s="120"/>
      <c r="IEH3" s="120"/>
      <c r="IEI3" s="120"/>
      <c r="IEJ3" s="120"/>
      <c r="IEK3" s="120"/>
      <c r="IEL3" s="120"/>
      <c r="IEM3" s="120"/>
      <c r="IEN3" s="120"/>
      <c r="IEO3" s="120"/>
      <c r="IEP3" s="120"/>
      <c r="IEQ3" s="120"/>
      <c r="IER3" s="120"/>
      <c r="IES3" s="120"/>
      <c r="IET3" s="120"/>
      <c r="IEU3" s="120"/>
      <c r="IEV3" s="120"/>
      <c r="IEW3" s="120"/>
      <c r="IEX3" s="120"/>
      <c r="IEY3" s="120"/>
      <c r="IEZ3" s="120"/>
      <c r="IFA3" s="120"/>
      <c r="IFB3" s="120"/>
      <c r="IFC3" s="120"/>
      <c r="IFD3" s="120"/>
      <c r="IFE3" s="120"/>
      <c r="IFF3" s="120"/>
      <c r="IFG3" s="120"/>
      <c r="IFH3" s="120"/>
      <c r="IFI3" s="120"/>
      <c r="IFJ3" s="120"/>
      <c r="IFK3" s="120"/>
      <c r="IFL3" s="120"/>
      <c r="IFM3" s="120"/>
      <c r="IFN3" s="120"/>
      <c r="IFO3" s="120"/>
      <c r="IFP3" s="120"/>
      <c r="IFQ3" s="120"/>
      <c r="IFR3" s="120"/>
      <c r="IFS3" s="120"/>
      <c r="IFT3" s="120"/>
      <c r="IFU3" s="120"/>
      <c r="IFV3" s="120"/>
      <c r="IFW3" s="120"/>
      <c r="IFX3" s="120"/>
      <c r="IFY3" s="120"/>
      <c r="IFZ3" s="120"/>
      <c r="IGA3" s="120"/>
      <c r="IGB3" s="120"/>
      <c r="IGC3" s="120"/>
      <c r="IGD3" s="120"/>
      <c r="IGE3" s="120"/>
      <c r="IGF3" s="120"/>
      <c r="IGG3" s="120"/>
      <c r="IGH3" s="120"/>
      <c r="IGI3" s="120"/>
      <c r="IGJ3" s="120"/>
      <c r="IGK3" s="120"/>
      <c r="IGL3" s="120"/>
      <c r="IGM3" s="120"/>
      <c r="IGN3" s="120"/>
      <c r="IGO3" s="120"/>
      <c r="IGP3" s="120"/>
      <c r="IGQ3" s="120"/>
      <c r="IGR3" s="120"/>
      <c r="IGS3" s="120"/>
      <c r="IGT3" s="120"/>
      <c r="IGU3" s="120"/>
      <c r="IGV3" s="120"/>
      <c r="IGW3" s="120"/>
      <c r="IGX3" s="120"/>
      <c r="IGY3" s="120"/>
      <c r="IGZ3" s="120"/>
      <c r="IHA3" s="120"/>
      <c r="IHB3" s="120"/>
      <c r="IHC3" s="120"/>
      <c r="IHD3" s="120"/>
      <c r="IHE3" s="120"/>
      <c r="IHF3" s="120"/>
      <c r="IHG3" s="120"/>
      <c r="IHH3" s="120"/>
      <c r="IHI3" s="120"/>
      <c r="IHJ3" s="120"/>
      <c r="IHK3" s="120"/>
      <c r="IHL3" s="120"/>
      <c r="IHM3" s="120"/>
      <c r="IHN3" s="120"/>
      <c r="IHO3" s="120"/>
      <c r="IHP3" s="120"/>
      <c r="IHQ3" s="120"/>
      <c r="IHR3" s="120"/>
      <c r="IHS3" s="120"/>
      <c r="IHT3" s="120"/>
      <c r="IHU3" s="120"/>
      <c r="IHV3" s="120"/>
      <c r="IHW3" s="120"/>
      <c r="IHX3" s="120"/>
      <c r="IHY3" s="120"/>
      <c r="IHZ3" s="120"/>
      <c r="IIA3" s="120"/>
      <c r="IIB3" s="120"/>
      <c r="IIC3" s="120"/>
      <c r="IID3" s="120"/>
      <c r="IIE3" s="120"/>
      <c r="IIF3" s="120"/>
      <c r="IIG3" s="120"/>
      <c r="IIH3" s="120"/>
      <c r="III3" s="120"/>
      <c r="IIJ3" s="120"/>
      <c r="IIK3" s="120"/>
      <c r="IIL3" s="120"/>
      <c r="IIM3" s="120"/>
      <c r="IIN3" s="120"/>
      <c r="IIO3" s="120"/>
      <c r="IIP3" s="120"/>
      <c r="IIQ3" s="120"/>
      <c r="IIR3" s="120"/>
      <c r="IIS3" s="120"/>
      <c r="IIT3" s="120"/>
      <c r="IIU3" s="120"/>
      <c r="IIV3" s="120"/>
      <c r="IIW3" s="120"/>
      <c r="IIX3" s="120"/>
      <c r="IIY3" s="120"/>
      <c r="IIZ3" s="120"/>
      <c r="IJA3" s="120"/>
      <c r="IJB3" s="120"/>
      <c r="IJC3" s="120"/>
      <c r="IJD3" s="120"/>
      <c r="IJE3" s="120"/>
      <c r="IJF3" s="120"/>
      <c r="IJG3" s="120"/>
      <c r="IJH3" s="120"/>
      <c r="IJI3" s="120"/>
      <c r="IJJ3" s="120"/>
      <c r="IJK3" s="120"/>
      <c r="IJL3" s="120"/>
      <c r="IJM3" s="120"/>
      <c r="IJN3" s="120"/>
      <c r="IJO3" s="120"/>
      <c r="IJP3" s="120"/>
      <c r="IJQ3" s="120"/>
      <c r="IJR3" s="120"/>
      <c r="IJS3" s="120"/>
      <c r="IJT3" s="120"/>
      <c r="IJU3" s="120"/>
      <c r="IJV3" s="120"/>
      <c r="IJW3" s="120"/>
      <c r="IJX3" s="120"/>
      <c r="IJY3" s="120"/>
      <c r="IJZ3" s="120"/>
      <c r="IKA3" s="120"/>
      <c r="IKB3" s="120"/>
      <c r="IKC3" s="120"/>
      <c r="IKD3" s="120"/>
      <c r="IKE3" s="120"/>
      <c r="IKF3" s="120"/>
      <c r="IKG3" s="120"/>
      <c r="IKH3" s="120"/>
      <c r="IKI3" s="120"/>
      <c r="IKJ3" s="120"/>
      <c r="IKK3" s="120"/>
      <c r="IKL3" s="120"/>
      <c r="IKM3" s="120"/>
      <c r="IKN3" s="120"/>
      <c r="IKO3" s="120"/>
      <c r="IKP3" s="120"/>
      <c r="IKQ3" s="120"/>
      <c r="IKR3" s="120"/>
      <c r="IKS3" s="120"/>
      <c r="IKT3" s="120"/>
      <c r="IKU3" s="120"/>
      <c r="IKV3" s="120"/>
      <c r="IKW3" s="120"/>
      <c r="IKX3" s="120"/>
      <c r="IKY3" s="120"/>
      <c r="IKZ3" s="120"/>
      <c r="ILA3" s="120"/>
      <c r="ILB3" s="120"/>
      <c r="ILC3" s="120"/>
      <c r="ILD3" s="120"/>
      <c r="ILE3" s="120"/>
      <c r="ILF3" s="120"/>
      <c r="ILG3" s="120"/>
      <c r="ILH3" s="120"/>
      <c r="ILI3" s="120"/>
      <c r="ILJ3" s="120"/>
      <c r="ILK3" s="120"/>
      <c r="ILL3" s="120"/>
      <c r="ILM3" s="120"/>
      <c r="ILN3" s="120"/>
      <c r="ILO3" s="120"/>
      <c r="ILP3" s="120"/>
      <c r="ILQ3" s="120"/>
      <c r="ILR3" s="120"/>
      <c r="ILS3" s="120"/>
      <c r="ILT3" s="120"/>
      <c r="ILU3" s="120"/>
      <c r="ILV3" s="120"/>
      <c r="ILW3" s="120"/>
      <c r="ILX3" s="120"/>
      <c r="ILY3" s="120"/>
      <c r="ILZ3" s="120"/>
      <c r="IMA3" s="120"/>
      <c r="IMB3" s="120"/>
      <c r="IMC3" s="120"/>
      <c r="IMD3" s="120"/>
      <c r="IME3" s="120"/>
      <c r="IMF3" s="120"/>
      <c r="IMG3" s="120"/>
      <c r="IMH3" s="120"/>
      <c r="IMI3" s="120"/>
      <c r="IMJ3" s="120"/>
      <c r="IMK3" s="120"/>
      <c r="IML3" s="120"/>
      <c r="IMM3" s="120"/>
      <c r="IMN3" s="120"/>
      <c r="IMO3" s="120"/>
      <c r="IMP3" s="120"/>
      <c r="IMQ3" s="120"/>
      <c r="IMR3" s="120"/>
      <c r="IMS3" s="120"/>
      <c r="IMT3" s="120"/>
      <c r="IMU3" s="120"/>
      <c r="IMV3" s="120"/>
      <c r="IMW3" s="120"/>
      <c r="IMX3" s="120"/>
      <c r="IMY3" s="120"/>
      <c r="IMZ3" s="120"/>
      <c r="INA3" s="120"/>
      <c r="INB3" s="120"/>
      <c r="INC3" s="120"/>
      <c r="IND3" s="120"/>
      <c r="INE3" s="120"/>
      <c r="INF3" s="120"/>
      <c r="ING3" s="120"/>
      <c r="INH3" s="120"/>
      <c r="INI3" s="120"/>
      <c r="INJ3" s="120"/>
      <c r="INK3" s="120"/>
      <c r="INL3" s="120"/>
      <c r="INM3" s="120"/>
      <c r="INN3" s="120"/>
      <c r="INO3" s="120"/>
      <c r="INP3" s="120"/>
      <c r="INQ3" s="120"/>
      <c r="INR3" s="120"/>
      <c r="INS3" s="120"/>
      <c r="INT3" s="120"/>
      <c r="INU3" s="120"/>
      <c r="INV3" s="120"/>
      <c r="INW3" s="120"/>
      <c r="INX3" s="120"/>
      <c r="INY3" s="120"/>
      <c r="INZ3" s="120"/>
      <c r="IOA3" s="120"/>
      <c r="IOB3" s="120"/>
      <c r="IOC3" s="120"/>
      <c r="IOD3" s="120"/>
      <c r="IOE3" s="120"/>
      <c r="IOF3" s="120"/>
      <c r="IOG3" s="120"/>
      <c r="IOH3" s="120"/>
      <c r="IOI3" s="120"/>
      <c r="IOJ3" s="120"/>
      <c r="IOK3" s="120"/>
      <c r="IOL3" s="120"/>
      <c r="IOM3" s="120"/>
      <c r="ION3" s="120"/>
      <c r="IOO3" s="120"/>
      <c r="IOP3" s="120"/>
      <c r="IOQ3" s="120"/>
      <c r="IOR3" s="120"/>
      <c r="IOS3" s="120"/>
      <c r="IOT3" s="120"/>
      <c r="IOU3" s="120"/>
      <c r="IOV3" s="120"/>
      <c r="IOW3" s="120"/>
      <c r="IOX3" s="120"/>
      <c r="IOY3" s="120"/>
      <c r="IOZ3" s="120"/>
      <c r="IPA3" s="120"/>
      <c r="IPB3" s="120"/>
      <c r="IPC3" s="120"/>
      <c r="IPD3" s="120"/>
      <c r="IPE3" s="120"/>
      <c r="IPF3" s="120"/>
      <c r="IPG3" s="120"/>
      <c r="IPH3" s="120"/>
      <c r="IPI3" s="120"/>
      <c r="IPJ3" s="120"/>
      <c r="IPK3" s="120"/>
      <c r="IPL3" s="120"/>
      <c r="IPM3" s="120"/>
      <c r="IPN3" s="120"/>
      <c r="IPO3" s="120"/>
      <c r="IPP3" s="120"/>
      <c r="IPQ3" s="120"/>
      <c r="IPR3" s="120"/>
      <c r="IPS3" s="120"/>
      <c r="IPT3" s="120"/>
      <c r="IPU3" s="120"/>
      <c r="IPV3" s="120"/>
      <c r="IPW3" s="120"/>
      <c r="IPX3" s="120"/>
      <c r="IPY3" s="120"/>
      <c r="IPZ3" s="120"/>
      <c r="IQA3" s="120"/>
      <c r="IQB3" s="120"/>
      <c r="IQC3" s="120"/>
      <c r="IQD3" s="120"/>
      <c r="IQE3" s="120"/>
      <c r="IQF3" s="120"/>
      <c r="IQG3" s="120"/>
      <c r="IQH3" s="120"/>
      <c r="IQI3" s="120"/>
      <c r="IQJ3" s="120"/>
      <c r="IQK3" s="120"/>
      <c r="IQL3" s="120"/>
      <c r="IQM3" s="120"/>
      <c r="IQN3" s="120"/>
      <c r="IQO3" s="120"/>
      <c r="IQP3" s="120"/>
      <c r="IQQ3" s="120"/>
      <c r="IQR3" s="120"/>
      <c r="IQS3" s="120"/>
      <c r="IQT3" s="120"/>
      <c r="IQU3" s="120"/>
      <c r="IQV3" s="120"/>
      <c r="IQW3" s="120"/>
      <c r="IQX3" s="120"/>
      <c r="IQY3" s="120"/>
      <c r="IQZ3" s="120"/>
      <c r="IRA3" s="120"/>
      <c r="IRB3" s="120"/>
      <c r="IRC3" s="120"/>
      <c r="IRD3" s="120"/>
      <c r="IRE3" s="120"/>
      <c r="IRF3" s="120"/>
      <c r="IRG3" s="120"/>
      <c r="IRH3" s="120"/>
      <c r="IRI3" s="120"/>
      <c r="IRJ3" s="120"/>
      <c r="IRK3" s="120"/>
      <c r="IRL3" s="120"/>
      <c r="IRM3" s="120"/>
      <c r="IRN3" s="120"/>
      <c r="IRO3" s="120"/>
      <c r="IRP3" s="120"/>
      <c r="IRQ3" s="120"/>
      <c r="IRR3" s="120"/>
      <c r="IRS3" s="120"/>
      <c r="IRT3" s="120"/>
      <c r="IRU3" s="120"/>
      <c r="IRV3" s="120"/>
      <c r="IRW3" s="120"/>
      <c r="IRX3" s="120"/>
      <c r="IRY3" s="120"/>
      <c r="IRZ3" s="120"/>
      <c r="ISA3" s="120"/>
      <c r="ISB3" s="120"/>
      <c r="ISC3" s="120"/>
      <c r="ISD3" s="120"/>
      <c r="ISE3" s="120"/>
      <c r="ISF3" s="120"/>
      <c r="ISG3" s="120"/>
      <c r="ISH3" s="120"/>
      <c r="ISI3" s="120"/>
      <c r="ISJ3" s="120"/>
      <c r="ISK3" s="120"/>
      <c r="ISL3" s="120"/>
      <c r="ISM3" s="120"/>
      <c r="ISN3" s="120"/>
      <c r="ISO3" s="120"/>
      <c r="ISP3" s="120"/>
      <c r="ISQ3" s="120"/>
      <c r="ISR3" s="120"/>
      <c r="ISS3" s="120"/>
      <c r="IST3" s="120"/>
      <c r="ISU3" s="120"/>
      <c r="ISV3" s="120"/>
      <c r="ISW3" s="120"/>
      <c r="ISX3" s="120"/>
      <c r="ISY3" s="120"/>
      <c r="ISZ3" s="120"/>
      <c r="ITA3" s="120"/>
      <c r="ITB3" s="120"/>
      <c r="ITC3" s="120"/>
      <c r="ITD3" s="120"/>
      <c r="ITE3" s="120"/>
      <c r="ITF3" s="120"/>
      <c r="ITG3" s="120"/>
      <c r="ITH3" s="120"/>
      <c r="ITI3" s="120"/>
      <c r="ITJ3" s="120"/>
      <c r="ITK3" s="120"/>
      <c r="ITL3" s="120"/>
      <c r="ITM3" s="120"/>
      <c r="ITN3" s="120"/>
      <c r="ITO3" s="120"/>
      <c r="ITP3" s="120"/>
      <c r="ITQ3" s="120"/>
      <c r="ITR3" s="120"/>
      <c r="ITS3" s="120"/>
      <c r="ITT3" s="120"/>
      <c r="ITU3" s="120"/>
      <c r="ITV3" s="120"/>
      <c r="ITW3" s="120"/>
      <c r="ITX3" s="120"/>
      <c r="ITY3" s="120"/>
      <c r="ITZ3" s="120"/>
      <c r="IUA3" s="120"/>
      <c r="IUB3" s="120"/>
      <c r="IUC3" s="120"/>
      <c r="IUD3" s="120"/>
      <c r="IUE3" s="120"/>
      <c r="IUF3" s="120"/>
      <c r="IUG3" s="120"/>
      <c r="IUH3" s="120"/>
      <c r="IUI3" s="120"/>
      <c r="IUJ3" s="120"/>
      <c r="IUK3" s="120"/>
      <c r="IUL3" s="120"/>
      <c r="IUM3" s="120"/>
      <c r="IUN3" s="120"/>
      <c r="IUO3" s="120"/>
      <c r="IUP3" s="120"/>
      <c r="IUQ3" s="120"/>
      <c r="IUR3" s="120"/>
      <c r="IUS3" s="120"/>
      <c r="IUT3" s="120"/>
      <c r="IUU3" s="120"/>
      <c r="IUV3" s="120"/>
      <c r="IUW3" s="120"/>
      <c r="IUX3" s="120"/>
      <c r="IUY3" s="120"/>
      <c r="IUZ3" s="120"/>
      <c r="IVA3" s="120"/>
      <c r="IVB3" s="120"/>
      <c r="IVC3" s="120"/>
      <c r="IVD3" s="120"/>
      <c r="IVE3" s="120"/>
      <c r="IVF3" s="120"/>
      <c r="IVG3" s="120"/>
      <c r="IVH3" s="120"/>
      <c r="IVI3" s="120"/>
      <c r="IVJ3" s="120"/>
      <c r="IVK3" s="120"/>
      <c r="IVL3" s="120"/>
      <c r="IVM3" s="120"/>
      <c r="IVN3" s="120"/>
      <c r="IVO3" s="120"/>
      <c r="IVP3" s="120"/>
      <c r="IVQ3" s="120"/>
      <c r="IVR3" s="120"/>
      <c r="IVS3" s="120"/>
      <c r="IVT3" s="120"/>
      <c r="IVU3" s="120"/>
      <c r="IVV3" s="120"/>
      <c r="IVW3" s="120"/>
      <c r="IVX3" s="120"/>
      <c r="IVY3" s="120"/>
      <c r="IVZ3" s="120"/>
      <c r="IWA3" s="120"/>
      <c r="IWB3" s="120"/>
      <c r="IWC3" s="120"/>
      <c r="IWD3" s="120"/>
      <c r="IWE3" s="120"/>
      <c r="IWF3" s="120"/>
      <c r="IWG3" s="120"/>
      <c r="IWH3" s="120"/>
      <c r="IWI3" s="120"/>
      <c r="IWJ3" s="120"/>
      <c r="IWK3" s="120"/>
      <c r="IWL3" s="120"/>
      <c r="IWM3" s="120"/>
      <c r="IWN3" s="120"/>
      <c r="IWO3" s="120"/>
      <c r="IWP3" s="120"/>
      <c r="IWQ3" s="120"/>
      <c r="IWR3" s="120"/>
      <c r="IWS3" s="120"/>
      <c r="IWT3" s="120"/>
      <c r="IWU3" s="120"/>
      <c r="IWV3" s="120"/>
      <c r="IWW3" s="120"/>
      <c r="IWX3" s="120"/>
      <c r="IWY3" s="120"/>
      <c r="IWZ3" s="120"/>
      <c r="IXA3" s="120"/>
      <c r="IXB3" s="120"/>
      <c r="IXC3" s="120"/>
      <c r="IXD3" s="120"/>
      <c r="IXE3" s="120"/>
      <c r="IXF3" s="120"/>
      <c r="IXG3" s="120"/>
      <c r="IXH3" s="120"/>
      <c r="IXI3" s="120"/>
      <c r="IXJ3" s="120"/>
      <c r="IXK3" s="120"/>
      <c r="IXL3" s="120"/>
      <c r="IXM3" s="120"/>
      <c r="IXN3" s="120"/>
      <c r="IXO3" s="120"/>
      <c r="IXP3" s="120"/>
      <c r="IXQ3" s="120"/>
      <c r="IXR3" s="120"/>
      <c r="IXS3" s="120"/>
      <c r="IXT3" s="120"/>
      <c r="IXU3" s="120"/>
      <c r="IXV3" s="120"/>
      <c r="IXW3" s="120"/>
      <c r="IXX3" s="120"/>
      <c r="IXY3" s="120"/>
      <c r="IXZ3" s="120"/>
      <c r="IYA3" s="120"/>
      <c r="IYB3" s="120"/>
      <c r="IYC3" s="120"/>
      <c r="IYD3" s="120"/>
      <c r="IYE3" s="120"/>
      <c r="IYF3" s="120"/>
      <c r="IYG3" s="120"/>
      <c r="IYH3" s="120"/>
      <c r="IYI3" s="120"/>
      <c r="IYJ3" s="120"/>
      <c r="IYK3" s="120"/>
      <c r="IYL3" s="120"/>
      <c r="IYM3" s="120"/>
      <c r="IYN3" s="120"/>
      <c r="IYO3" s="120"/>
      <c r="IYP3" s="120"/>
      <c r="IYQ3" s="120"/>
      <c r="IYR3" s="120"/>
      <c r="IYS3" s="120"/>
      <c r="IYT3" s="120"/>
      <c r="IYU3" s="120"/>
      <c r="IYV3" s="120"/>
      <c r="IYW3" s="120"/>
      <c r="IYX3" s="120"/>
      <c r="IYY3" s="120"/>
      <c r="IYZ3" s="120"/>
      <c r="IZA3" s="120"/>
      <c r="IZB3" s="120"/>
      <c r="IZC3" s="120"/>
      <c r="IZD3" s="120"/>
      <c r="IZE3" s="120"/>
      <c r="IZF3" s="120"/>
      <c r="IZG3" s="120"/>
      <c r="IZH3" s="120"/>
      <c r="IZI3" s="120"/>
      <c r="IZJ3" s="120"/>
      <c r="IZK3" s="120"/>
      <c r="IZL3" s="120"/>
      <c r="IZM3" s="120"/>
      <c r="IZN3" s="120"/>
      <c r="IZO3" s="120"/>
      <c r="IZP3" s="120"/>
      <c r="IZQ3" s="120"/>
      <c r="IZR3" s="120"/>
      <c r="IZS3" s="120"/>
      <c r="IZT3" s="120"/>
      <c r="IZU3" s="120"/>
      <c r="IZV3" s="120"/>
      <c r="IZW3" s="120"/>
      <c r="IZX3" s="120"/>
      <c r="IZY3" s="120"/>
      <c r="IZZ3" s="120"/>
      <c r="JAA3" s="120"/>
      <c r="JAB3" s="120"/>
      <c r="JAC3" s="120"/>
      <c r="JAD3" s="120"/>
      <c r="JAE3" s="120"/>
      <c r="JAF3" s="120"/>
      <c r="JAG3" s="120"/>
      <c r="JAH3" s="120"/>
      <c r="JAI3" s="120"/>
      <c r="JAJ3" s="120"/>
      <c r="JAK3" s="120"/>
      <c r="JAL3" s="120"/>
      <c r="JAM3" s="120"/>
      <c r="JAN3" s="120"/>
      <c r="JAO3" s="120"/>
      <c r="JAP3" s="120"/>
      <c r="JAQ3" s="120"/>
      <c r="JAR3" s="120"/>
      <c r="JAS3" s="120"/>
      <c r="JAT3" s="120"/>
      <c r="JAU3" s="120"/>
      <c r="JAV3" s="120"/>
      <c r="JAW3" s="120"/>
      <c r="JAX3" s="120"/>
      <c r="JAY3" s="120"/>
      <c r="JAZ3" s="120"/>
      <c r="JBA3" s="120"/>
      <c r="JBB3" s="120"/>
      <c r="JBC3" s="120"/>
      <c r="JBD3" s="120"/>
      <c r="JBE3" s="120"/>
      <c r="JBF3" s="120"/>
      <c r="JBG3" s="120"/>
      <c r="JBH3" s="120"/>
      <c r="JBI3" s="120"/>
      <c r="JBJ3" s="120"/>
      <c r="JBK3" s="120"/>
      <c r="JBL3" s="120"/>
      <c r="JBM3" s="120"/>
      <c r="JBN3" s="120"/>
      <c r="JBO3" s="120"/>
      <c r="JBP3" s="120"/>
      <c r="JBQ3" s="120"/>
      <c r="JBR3" s="120"/>
      <c r="JBS3" s="120"/>
      <c r="JBT3" s="120"/>
      <c r="JBU3" s="120"/>
      <c r="JBV3" s="120"/>
      <c r="JBW3" s="120"/>
      <c r="JBX3" s="120"/>
      <c r="JBY3" s="120"/>
      <c r="JBZ3" s="120"/>
      <c r="JCA3" s="120"/>
      <c r="JCB3" s="120"/>
      <c r="JCC3" s="120"/>
      <c r="JCD3" s="120"/>
      <c r="JCE3" s="120"/>
      <c r="JCF3" s="120"/>
      <c r="JCG3" s="120"/>
      <c r="JCH3" s="120"/>
      <c r="JCI3" s="120"/>
      <c r="JCJ3" s="120"/>
      <c r="JCK3" s="120"/>
      <c r="JCL3" s="120"/>
      <c r="JCM3" s="120"/>
      <c r="JCN3" s="120"/>
      <c r="JCO3" s="120"/>
      <c r="JCP3" s="120"/>
      <c r="JCQ3" s="120"/>
      <c r="JCR3" s="120"/>
      <c r="JCS3" s="120"/>
      <c r="JCT3" s="120"/>
      <c r="JCU3" s="120"/>
      <c r="JCV3" s="120"/>
      <c r="JCW3" s="120"/>
      <c r="JCX3" s="120"/>
      <c r="JCY3" s="120"/>
      <c r="JCZ3" s="120"/>
      <c r="JDA3" s="120"/>
      <c r="JDB3" s="120"/>
      <c r="JDC3" s="120"/>
      <c r="JDD3" s="120"/>
      <c r="JDE3" s="120"/>
      <c r="JDF3" s="120"/>
      <c r="JDG3" s="120"/>
      <c r="JDH3" s="120"/>
      <c r="JDI3" s="120"/>
      <c r="JDJ3" s="120"/>
      <c r="JDK3" s="120"/>
      <c r="JDL3" s="120"/>
      <c r="JDM3" s="120"/>
      <c r="JDN3" s="120"/>
      <c r="JDO3" s="120"/>
      <c r="JDP3" s="120"/>
      <c r="JDQ3" s="120"/>
      <c r="JDR3" s="120"/>
      <c r="JDS3" s="120"/>
      <c r="JDT3" s="120"/>
      <c r="JDU3" s="120"/>
      <c r="JDV3" s="120"/>
      <c r="JDW3" s="120"/>
      <c r="JDX3" s="120"/>
      <c r="JDY3" s="120"/>
      <c r="JDZ3" s="120"/>
      <c r="JEA3" s="120"/>
      <c r="JEB3" s="120"/>
      <c r="JEC3" s="120"/>
      <c r="JED3" s="120"/>
      <c r="JEE3" s="120"/>
      <c r="JEF3" s="120"/>
      <c r="JEG3" s="120"/>
      <c r="JEH3" s="120"/>
      <c r="JEI3" s="120"/>
      <c r="JEJ3" s="120"/>
      <c r="JEK3" s="120"/>
      <c r="JEL3" s="120"/>
      <c r="JEM3" s="120"/>
      <c r="JEN3" s="120"/>
      <c r="JEO3" s="120"/>
      <c r="JEP3" s="120"/>
      <c r="JEQ3" s="120"/>
      <c r="JER3" s="120"/>
      <c r="JES3" s="120"/>
      <c r="JET3" s="120"/>
      <c r="JEU3" s="120"/>
      <c r="JEV3" s="120"/>
      <c r="JEW3" s="120"/>
      <c r="JEX3" s="120"/>
      <c r="JEY3" s="120"/>
      <c r="JEZ3" s="120"/>
      <c r="JFA3" s="120"/>
      <c r="JFB3" s="120"/>
      <c r="JFC3" s="120"/>
      <c r="JFD3" s="120"/>
      <c r="JFE3" s="120"/>
      <c r="JFF3" s="120"/>
      <c r="JFG3" s="120"/>
      <c r="JFH3" s="120"/>
      <c r="JFI3" s="120"/>
      <c r="JFJ3" s="120"/>
      <c r="JFK3" s="120"/>
      <c r="JFL3" s="120"/>
      <c r="JFM3" s="120"/>
      <c r="JFN3" s="120"/>
      <c r="JFO3" s="120"/>
      <c r="JFP3" s="120"/>
      <c r="JFQ3" s="120"/>
      <c r="JFR3" s="120"/>
      <c r="JFS3" s="120"/>
      <c r="JFT3" s="120"/>
      <c r="JFU3" s="120"/>
      <c r="JFV3" s="120"/>
      <c r="JFW3" s="120"/>
      <c r="JFX3" s="120"/>
      <c r="JFY3" s="120"/>
      <c r="JFZ3" s="120"/>
      <c r="JGA3" s="120"/>
      <c r="JGB3" s="120"/>
      <c r="JGC3" s="120"/>
      <c r="JGD3" s="120"/>
      <c r="JGE3" s="120"/>
      <c r="JGF3" s="120"/>
      <c r="JGG3" s="120"/>
      <c r="JGH3" s="120"/>
      <c r="JGI3" s="120"/>
      <c r="JGJ3" s="120"/>
      <c r="JGK3" s="120"/>
      <c r="JGL3" s="120"/>
      <c r="JGM3" s="120"/>
      <c r="JGN3" s="120"/>
      <c r="JGO3" s="120"/>
      <c r="JGP3" s="120"/>
      <c r="JGQ3" s="120"/>
      <c r="JGR3" s="120"/>
      <c r="JGS3" s="120"/>
      <c r="JGT3" s="120"/>
      <c r="JGU3" s="120"/>
      <c r="JGV3" s="120"/>
      <c r="JGW3" s="120"/>
      <c r="JGX3" s="120"/>
      <c r="JGY3" s="120"/>
      <c r="JGZ3" s="120"/>
      <c r="JHA3" s="120"/>
      <c r="JHB3" s="120"/>
      <c r="JHC3" s="120"/>
      <c r="JHD3" s="120"/>
      <c r="JHE3" s="120"/>
      <c r="JHF3" s="120"/>
      <c r="JHG3" s="120"/>
      <c r="JHH3" s="120"/>
      <c r="JHI3" s="120"/>
      <c r="JHJ3" s="120"/>
      <c r="JHK3" s="120"/>
      <c r="JHL3" s="120"/>
      <c r="JHM3" s="120"/>
      <c r="JHN3" s="120"/>
      <c r="JHO3" s="120"/>
      <c r="JHP3" s="120"/>
      <c r="JHQ3" s="120"/>
      <c r="JHR3" s="120"/>
      <c r="JHS3" s="120"/>
      <c r="JHT3" s="120"/>
      <c r="JHU3" s="120"/>
      <c r="JHV3" s="120"/>
      <c r="JHW3" s="120"/>
      <c r="JHX3" s="120"/>
      <c r="JHY3" s="120"/>
      <c r="JHZ3" s="120"/>
      <c r="JIA3" s="120"/>
      <c r="JIB3" s="120"/>
      <c r="JIC3" s="120"/>
      <c r="JID3" s="120"/>
      <c r="JIE3" s="120"/>
      <c r="JIF3" s="120"/>
      <c r="JIG3" s="120"/>
      <c r="JIH3" s="120"/>
      <c r="JII3" s="120"/>
      <c r="JIJ3" s="120"/>
      <c r="JIK3" s="120"/>
      <c r="JIL3" s="120"/>
      <c r="JIM3" s="120"/>
      <c r="JIN3" s="120"/>
      <c r="JIO3" s="120"/>
      <c r="JIP3" s="120"/>
      <c r="JIQ3" s="120"/>
      <c r="JIR3" s="120"/>
      <c r="JIS3" s="120"/>
      <c r="JIT3" s="120"/>
      <c r="JIU3" s="120"/>
      <c r="JIV3" s="120"/>
      <c r="JIW3" s="120"/>
      <c r="JIX3" s="120"/>
      <c r="JIY3" s="120"/>
      <c r="JIZ3" s="120"/>
      <c r="JJA3" s="120"/>
      <c r="JJB3" s="120"/>
      <c r="JJC3" s="120"/>
      <c r="JJD3" s="120"/>
      <c r="JJE3" s="120"/>
      <c r="JJF3" s="120"/>
      <c r="JJG3" s="120"/>
      <c r="JJH3" s="120"/>
      <c r="JJI3" s="120"/>
      <c r="JJJ3" s="120"/>
      <c r="JJK3" s="120"/>
      <c r="JJL3" s="120"/>
      <c r="JJM3" s="120"/>
      <c r="JJN3" s="120"/>
      <c r="JJO3" s="120"/>
      <c r="JJP3" s="120"/>
      <c r="JJQ3" s="120"/>
      <c r="JJR3" s="120"/>
      <c r="JJS3" s="120"/>
      <c r="JJT3" s="120"/>
      <c r="JJU3" s="120"/>
      <c r="JJV3" s="120"/>
      <c r="JJW3" s="120"/>
      <c r="JJX3" s="120"/>
      <c r="JJY3" s="120"/>
      <c r="JJZ3" s="120"/>
      <c r="JKA3" s="120"/>
      <c r="JKB3" s="120"/>
      <c r="JKC3" s="120"/>
      <c r="JKD3" s="120"/>
      <c r="JKE3" s="120"/>
      <c r="JKF3" s="120"/>
      <c r="JKG3" s="120"/>
      <c r="JKH3" s="120"/>
      <c r="JKI3" s="120"/>
      <c r="JKJ3" s="120"/>
      <c r="JKK3" s="120"/>
      <c r="JKL3" s="120"/>
      <c r="JKM3" s="120"/>
      <c r="JKN3" s="120"/>
      <c r="JKO3" s="120"/>
      <c r="JKP3" s="120"/>
      <c r="JKQ3" s="120"/>
      <c r="JKR3" s="120"/>
      <c r="JKS3" s="120"/>
      <c r="JKT3" s="120"/>
      <c r="JKU3" s="120"/>
      <c r="JKV3" s="120"/>
      <c r="JKW3" s="120"/>
      <c r="JKX3" s="120"/>
      <c r="JKY3" s="120"/>
      <c r="JKZ3" s="120"/>
      <c r="JLA3" s="120"/>
      <c r="JLB3" s="120"/>
      <c r="JLC3" s="120"/>
      <c r="JLD3" s="120"/>
      <c r="JLE3" s="120"/>
      <c r="JLF3" s="120"/>
      <c r="JLG3" s="120"/>
      <c r="JLH3" s="120"/>
      <c r="JLI3" s="120"/>
      <c r="JLJ3" s="120"/>
      <c r="JLK3" s="120"/>
      <c r="JLL3" s="120"/>
      <c r="JLM3" s="120"/>
      <c r="JLN3" s="120"/>
      <c r="JLO3" s="120"/>
      <c r="JLP3" s="120"/>
      <c r="JLQ3" s="120"/>
      <c r="JLR3" s="120"/>
      <c r="JLS3" s="120"/>
      <c r="JLT3" s="120"/>
      <c r="JLU3" s="120"/>
      <c r="JLV3" s="120"/>
      <c r="JLW3" s="120"/>
      <c r="JLX3" s="120"/>
      <c r="JLY3" s="120"/>
      <c r="JLZ3" s="120"/>
      <c r="JMA3" s="120"/>
      <c r="JMB3" s="120"/>
      <c r="JMC3" s="120"/>
      <c r="JMD3" s="120"/>
      <c r="JME3" s="120"/>
      <c r="JMF3" s="120"/>
      <c r="JMG3" s="120"/>
      <c r="JMH3" s="120"/>
      <c r="JMI3" s="120"/>
      <c r="JMJ3" s="120"/>
      <c r="JMK3" s="120"/>
      <c r="JML3" s="120"/>
      <c r="JMM3" s="120"/>
      <c r="JMN3" s="120"/>
      <c r="JMO3" s="120"/>
      <c r="JMP3" s="120"/>
      <c r="JMQ3" s="120"/>
      <c r="JMR3" s="120"/>
      <c r="JMS3" s="120"/>
      <c r="JMT3" s="120"/>
      <c r="JMU3" s="120"/>
      <c r="JMV3" s="120"/>
      <c r="JMW3" s="120"/>
      <c r="JMX3" s="120"/>
      <c r="JMY3" s="120"/>
      <c r="JMZ3" s="120"/>
      <c r="JNA3" s="120"/>
      <c r="JNB3" s="120"/>
      <c r="JNC3" s="120"/>
      <c r="JND3" s="120"/>
      <c r="JNE3" s="120"/>
      <c r="JNF3" s="120"/>
      <c r="JNG3" s="120"/>
      <c r="JNH3" s="120"/>
      <c r="JNI3" s="120"/>
      <c r="JNJ3" s="120"/>
      <c r="JNK3" s="120"/>
      <c r="JNL3" s="120"/>
      <c r="JNM3" s="120"/>
      <c r="JNN3" s="120"/>
      <c r="JNO3" s="120"/>
      <c r="JNP3" s="120"/>
      <c r="JNQ3" s="120"/>
      <c r="JNR3" s="120"/>
      <c r="JNS3" s="120"/>
      <c r="JNT3" s="120"/>
      <c r="JNU3" s="120"/>
      <c r="JNV3" s="120"/>
      <c r="JNW3" s="120"/>
      <c r="JNX3" s="120"/>
      <c r="JNY3" s="120"/>
      <c r="JNZ3" s="120"/>
      <c r="JOA3" s="120"/>
      <c r="JOB3" s="120"/>
      <c r="JOC3" s="120"/>
      <c r="JOD3" s="120"/>
      <c r="JOE3" s="120"/>
      <c r="JOF3" s="120"/>
      <c r="JOG3" s="120"/>
      <c r="JOH3" s="120"/>
      <c r="JOI3" s="120"/>
      <c r="JOJ3" s="120"/>
      <c r="JOK3" s="120"/>
      <c r="JOL3" s="120"/>
      <c r="JOM3" s="120"/>
      <c r="JON3" s="120"/>
      <c r="JOO3" s="120"/>
      <c r="JOP3" s="120"/>
      <c r="JOQ3" s="120"/>
      <c r="JOR3" s="120"/>
      <c r="JOS3" s="120"/>
      <c r="JOT3" s="120"/>
      <c r="JOU3" s="120"/>
      <c r="JOV3" s="120"/>
      <c r="JOW3" s="120"/>
      <c r="JOX3" s="120"/>
      <c r="JOY3" s="120"/>
      <c r="JOZ3" s="120"/>
      <c r="JPA3" s="120"/>
      <c r="JPB3" s="120"/>
      <c r="JPC3" s="120"/>
      <c r="JPD3" s="120"/>
      <c r="JPE3" s="120"/>
      <c r="JPF3" s="120"/>
      <c r="JPG3" s="120"/>
      <c r="JPH3" s="120"/>
      <c r="JPI3" s="120"/>
      <c r="JPJ3" s="120"/>
      <c r="JPK3" s="120"/>
      <c r="JPL3" s="120"/>
      <c r="JPM3" s="120"/>
      <c r="JPN3" s="120"/>
      <c r="JPO3" s="120"/>
      <c r="JPP3" s="120"/>
      <c r="JPQ3" s="120"/>
      <c r="JPR3" s="120"/>
      <c r="JPS3" s="120"/>
      <c r="JPT3" s="120"/>
      <c r="JPU3" s="120"/>
      <c r="JPV3" s="120"/>
      <c r="JPW3" s="120"/>
      <c r="JPX3" s="120"/>
      <c r="JPY3" s="120"/>
      <c r="JPZ3" s="120"/>
      <c r="JQA3" s="120"/>
      <c r="JQB3" s="120"/>
      <c r="JQC3" s="120"/>
      <c r="JQD3" s="120"/>
      <c r="JQE3" s="120"/>
      <c r="JQF3" s="120"/>
      <c r="JQG3" s="120"/>
      <c r="JQH3" s="120"/>
      <c r="JQI3" s="120"/>
      <c r="JQJ3" s="120"/>
      <c r="JQK3" s="120"/>
      <c r="JQL3" s="120"/>
      <c r="JQM3" s="120"/>
      <c r="JQN3" s="120"/>
      <c r="JQO3" s="120"/>
      <c r="JQP3" s="120"/>
      <c r="JQQ3" s="120"/>
      <c r="JQR3" s="120"/>
      <c r="JQS3" s="120"/>
      <c r="JQT3" s="120"/>
      <c r="JQU3" s="120"/>
      <c r="JQV3" s="120"/>
      <c r="JQW3" s="120"/>
      <c r="JQX3" s="120"/>
      <c r="JQY3" s="120"/>
      <c r="JQZ3" s="120"/>
      <c r="JRA3" s="120"/>
      <c r="JRB3" s="120"/>
      <c r="JRC3" s="120"/>
      <c r="JRD3" s="120"/>
      <c r="JRE3" s="120"/>
      <c r="JRF3" s="120"/>
      <c r="JRG3" s="120"/>
      <c r="JRH3" s="120"/>
      <c r="JRI3" s="120"/>
      <c r="JRJ3" s="120"/>
      <c r="JRK3" s="120"/>
      <c r="JRL3" s="120"/>
      <c r="JRM3" s="120"/>
      <c r="JRN3" s="120"/>
      <c r="JRO3" s="120"/>
      <c r="JRP3" s="120"/>
      <c r="JRQ3" s="120"/>
      <c r="JRR3" s="120"/>
      <c r="JRS3" s="120"/>
      <c r="JRT3" s="120"/>
      <c r="JRU3" s="120"/>
      <c r="JRV3" s="120"/>
      <c r="JRW3" s="120"/>
      <c r="JRX3" s="120"/>
      <c r="JRY3" s="120"/>
      <c r="JRZ3" s="120"/>
      <c r="JSA3" s="120"/>
      <c r="JSB3" s="120"/>
      <c r="JSC3" s="120"/>
      <c r="JSD3" s="120"/>
      <c r="JSE3" s="120"/>
      <c r="JSF3" s="120"/>
      <c r="JSG3" s="120"/>
      <c r="JSH3" s="120"/>
      <c r="JSI3" s="120"/>
      <c r="JSJ3" s="120"/>
      <c r="JSK3" s="120"/>
      <c r="JSL3" s="120"/>
      <c r="JSM3" s="120"/>
      <c r="JSN3" s="120"/>
      <c r="JSO3" s="120"/>
      <c r="JSP3" s="120"/>
      <c r="JSQ3" s="120"/>
      <c r="JSR3" s="120"/>
      <c r="JSS3" s="120"/>
      <c r="JST3" s="120"/>
      <c r="JSU3" s="120"/>
      <c r="JSV3" s="120"/>
      <c r="JSW3" s="120"/>
      <c r="JSX3" s="120"/>
      <c r="JSY3" s="120"/>
      <c r="JSZ3" s="120"/>
      <c r="JTA3" s="120"/>
      <c r="JTB3" s="120"/>
      <c r="JTC3" s="120"/>
      <c r="JTD3" s="120"/>
      <c r="JTE3" s="120"/>
      <c r="JTF3" s="120"/>
      <c r="JTG3" s="120"/>
      <c r="JTH3" s="120"/>
      <c r="JTI3" s="120"/>
      <c r="JTJ3" s="120"/>
      <c r="JTK3" s="120"/>
      <c r="JTL3" s="120"/>
      <c r="JTM3" s="120"/>
      <c r="JTN3" s="120"/>
      <c r="JTO3" s="120"/>
      <c r="JTP3" s="120"/>
      <c r="JTQ3" s="120"/>
      <c r="JTR3" s="120"/>
      <c r="JTS3" s="120"/>
      <c r="JTT3" s="120"/>
      <c r="JTU3" s="120"/>
      <c r="JTV3" s="120"/>
      <c r="JTW3" s="120"/>
      <c r="JTX3" s="120"/>
      <c r="JTY3" s="120"/>
      <c r="JTZ3" s="120"/>
      <c r="JUA3" s="120"/>
      <c r="JUB3" s="120"/>
      <c r="JUC3" s="120"/>
      <c r="JUD3" s="120"/>
      <c r="JUE3" s="120"/>
      <c r="JUF3" s="120"/>
      <c r="JUG3" s="120"/>
      <c r="JUH3" s="120"/>
      <c r="JUI3" s="120"/>
      <c r="JUJ3" s="120"/>
      <c r="JUK3" s="120"/>
      <c r="JUL3" s="120"/>
      <c r="JUM3" s="120"/>
      <c r="JUN3" s="120"/>
      <c r="JUO3" s="120"/>
      <c r="JUP3" s="120"/>
      <c r="JUQ3" s="120"/>
      <c r="JUR3" s="120"/>
      <c r="JUS3" s="120"/>
      <c r="JUT3" s="120"/>
      <c r="JUU3" s="120"/>
      <c r="JUV3" s="120"/>
      <c r="JUW3" s="120"/>
      <c r="JUX3" s="120"/>
      <c r="JUY3" s="120"/>
      <c r="JUZ3" s="120"/>
      <c r="JVA3" s="120"/>
      <c r="JVB3" s="120"/>
      <c r="JVC3" s="120"/>
      <c r="JVD3" s="120"/>
      <c r="JVE3" s="120"/>
      <c r="JVF3" s="120"/>
      <c r="JVG3" s="120"/>
      <c r="JVH3" s="120"/>
      <c r="JVI3" s="120"/>
      <c r="JVJ3" s="120"/>
      <c r="JVK3" s="120"/>
      <c r="JVL3" s="120"/>
      <c r="JVM3" s="120"/>
      <c r="JVN3" s="120"/>
      <c r="JVO3" s="120"/>
      <c r="JVP3" s="120"/>
      <c r="JVQ3" s="120"/>
      <c r="JVR3" s="120"/>
      <c r="JVS3" s="120"/>
      <c r="JVT3" s="120"/>
      <c r="JVU3" s="120"/>
      <c r="JVV3" s="120"/>
      <c r="JVW3" s="120"/>
      <c r="JVX3" s="120"/>
      <c r="JVY3" s="120"/>
      <c r="JVZ3" s="120"/>
      <c r="JWA3" s="120"/>
      <c r="JWB3" s="120"/>
      <c r="JWC3" s="120"/>
      <c r="JWD3" s="120"/>
      <c r="JWE3" s="120"/>
      <c r="JWF3" s="120"/>
      <c r="JWG3" s="120"/>
      <c r="JWH3" s="120"/>
      <c r="JWI3" s="120"/>
      <c r="JWJ3" s="120"/>
      <c r="JWK3" s="120"/>
      <c r="JWL3" s="120"/>
      <c r="JWM3" s="120"/>
      <c r="JWN3" s="120"/>
      <c r="JWO3" s="120"/>
      <c r="JWP3" s="120"/>
      <c r="JWQ3" s="120"/>
      <c r="JWR3" s="120"/>
      <c r="JWS3" s="120"/>
      <c r="JWT3" s="120"/>
      <c r="JWU3" s="120"/>
      <c r="JWV3" s="120"/>
      <c r="JWW3" s="120"/>
      <c r="JWX3" s="120"/>
      <c r="JWY3" s="120"/>
      <c r="JWZ3" s="120"/>
      <c r="JXA3" s="120"/>
      <c r="JXB3" s="120"/>
      <c r="JXC3" s="120"/>
      <c r="JXD3" s="120"/>
      <c r="JXE3" s="120"/>
      <c r="JXF3" s="120"/>
      <c r="JXG3" s="120"/>
      <c r="JXH3" s="120"/>
      <c r="JXI3" s="120"/>
      <c r="JXJ3" s="120"/>
      <c r="JXK3" s="120"/>
      <c r="JXL3" s="120"/>
      <c r="JXM3" s="120"/>
      <c r="JXN3" s="120"/>
      <c r="JXO3" s="120"/>
      <c r="JXP3" s="120"/>
      <c r="JXQ3" s="120"/>
      <c r="JXR3" s="120"/>
      <c r="JXS3" s="120"/>
      <c r="JXT3" s="120"/>
      <c r="JXU3" s="120"/>
      <c r="JXV3" s="120"/>
      <c r="JXW3" s="120"/>
      <c r="JXX3" s="120"/>
      <c r="JXY3" s="120"/>
      <c r="JXZ3" s="120"/>
      <c r="JYA3" s="120"/>
      <c r="JYB3" s="120"/>
      <c r="JYC3" s="120"/>
      <c r="JYD3" s="120"/>
      <c r="JYE3" s="120"/>
      <c r="JYF3" s="120"/>
      <c r="JYG3" s="120"/>
      <c r="JYH3" s="120"/>
      <c r="JYI3" s="120"/>
      <c r="JYJ3" s="120"/>
      <c r="JYK3" s="120"/>
      <c r="JYL3" s="120"/>
      <c r="JYM3" s="120"/>
      <c r="JYN3" s="120"/>
      <c r="JYO3" s="120"/>
      <c r="JYP3" s="120"/>
      <c r="JYQ3" s="120"/>
      <c r="JYR3" s="120"/>
      <c r="JYS3" s="120"/>
      <c r="JYT3" s="120"/>
      <c r="JYU3" s="120"/>
      <c r="JYV3" s="120"/>
      <c r="JYW3" s="120"/>
      <c r="JYX3" s="120"/>
      <c r="JYY3" s="120"/>
      <c r="JYZ3" s="120"/>
      <c r="JZA3" s="120"/>
      <c r="JZB3" s="120"/>
      <c r="JZC3" s="120"/>
      <c r="JZD3" s="120"/>
      <c r="JZE3" s="120"/>
      <c r="JZF3" s="120"/>
      <c r="JZG3" s="120"/>
      <c r="JZH3" s="120"/>
      <c r="JZI3" s="120"/>
      <c r="JZJ3" s="120"/>
      <c r="JZK3" s="120"/>
      <c r="JZL3" s="120"/>
      <c r="JZM3" s="120"/>
      <c r="JZN3" s="120"/>
      <c r="JZO3" s="120"/>
      <c r="JZP3" s="120"/>
      <c r="JZQ3" s="120"/>
      <c r="JZR3" s="120"/>
      <c r="JZS3" s="120"/>
      <c r="JZT3" s="120"/>
      <c r="JZU3" s="120"/>
      <c r="JZV3" s="120"/>
      <c r="JZW3" s="120"/>
      <c r="JZX3" s="120"/>
      <c r="JZY3" s="120"/>
      <c r="JZZ3" s="120"/>
      <c r="KAA3" s="120"/>
      <c r="KAB3" s="120"/>
      <c r="KAC3" s="120"/>
      <c r="KAD3" s="120"/>
      <c r="KAE3" s="120"/>
      <c r="KAF3" s="120"/>
      <c r="KAG3" s="120"/>
      <c r="KAH3" s="120"/>
      <c r="KAI3" s="120"/>
      <c r="KAJ3" s="120"/>
      <c r="KAK3" s="120"/>
      <c r="KAL3" s="120"/>
      <c r="KAM3" s="120"/>
      <c r="KAN3" s="120"/>
      <c r="KAO3" s="120"/>
      <c r="KAP3" s="120"/>
      <c r="KAQ3" s="120"/>
      <c r="KAR3" s="120"/>
      <c r="KAS3" s="120"/>
      <c r="KAT3" s="120"/>
      <c r="KAU3" s="120"/>
      <c r="KAV3" s="120"/>
      <c r="KAW3" s="120"/>
      <c r="KAX3" s="120"/>
      <c r="KAY3" s="120"/>
      <c r="KAZ3" s="120"/>
      <c r="KBA3" s="120"/>
      <c r="KBB3" s="120"/>
      <c r="KBC3" s="120"/>
      <c r="KBD3" s="120"/>
      <c r="KBE3" s="120"/>
      <c r="KBF3" s="120"/>
      <c r="KBG3" s="120"/>
      <c r="KBH3" s="120"/>
      <c r="KBI3" s="120"/>
      <c r="KBJ3" s="120"/>
      <c r="KBK3" s="120"/>
      <c r="KBL3" s="120"/>
      <c r="KBM3" s="120"/>
      <c r="KBN3" s="120"/>
      <c r="KBO3" s="120"/>
      <c r="KBP3" s="120"/>
      <c r="KBQ3" s="120"/>
      <c r="KBR3" s="120"/>
      <c r="KBS3" s="120"/>
      <c r="KBT3" s="120"/>
      <c r="KBU3" s="120"/>
      <c r="KBV3" s="120"/>
      <c r="KBW3" s="120"/>
      <c r="KBX3" s="120"/>
      <c r="KBY3" s="120"/>
      <c r="KBZ3" s="120"/>
      <c r="KCA3" s="120"/>
      <c r="KCB3" s="120"/>
      <c r="KCC3" s="120"/>
      <c r="KCD3" s="120"/>
      <c r="KCE3" s="120"/>
      <c r="KCF3" s="120"/>
      <c r="KCG3" s="120"/>
      <c r="KCH3" s="120"/>
      <c r="KCI3" s="120"/>
      <c r="KCJ3" s="120"/>
      <c r="KCK3" s="120"/>
      <c r="KCL3" s="120"/>
      <c r="KCM3" s="120"/>
      <c r="KCN3" s="120"/>
      <c r="KCO3" s="120"/>
      <c r="KCP3" s="120"/>
      <c r="KCQ3" s="120"/>
      <c r="KCR3" s="120"/>
      <c r="KCS3" s="120"/>
      <c r="KCT3" s="120"/>
      <c r="KCU3" s="120"/>
      <c r="KCV3" s="120"/>
      <c r="KCW3" s="120"/>
      <c r="KCX3" s="120"/>
      <c r="KCY3" s="120"/>
      <c r="KCZ3" s="120"/>
      <c r="KDA3" s="120"/>
      <c r="KDB3" s="120"/>
      <c r="KDC3" s="120"/>
      <c r="KDD3" s="120"/>
      <c r="KDE3" s="120"/>
      <c r="KDF3" s="120"/>
      <c r="KDG3" s="120"/>
      <c r="KDH3" s="120"/>
      <c r="KDI3" s="120"/>
      <c r="KDJ3" s="120"/>
      <c r="KDK3" s="120"/>
      <c r="KDL3" s="120"/>
      <c r="KDM3" s="120"/>
      <c r="KDN3" s="120"/>
      <c r="KDO3" s="120"/>
      <c r="KDP3" s="120"/>
      <c r="KDQ3" s="120"/>
      <c r="KDR3" s="120"/>
      <c r="KDS3" s="120"/>
      <c r="KDT3" s="120"/>
      <c r="KDU3" s="120"/>
      <c r="KDV3" s="120"/>
      <c r="KDW3" s="120"/>
      <c r="KDX3" s="120"/>
      <c r="KDY3" s="120"/>
      <c r="KDZ3" s="120"/>
      <c r="KEA3" s="120"/>
      <c r="KEB3" s="120"/>
      <c r="KEC3" s="120"/>
      <c r="KED3" s="120"/>
      <c r="KEE3" s="120"/>
      <c r="KEF3" s="120"/>
      <c r="KEG3" s="120"/>
      <c r="KEH3" s="120"/>
      <c r="KEI3" s="120"/>
      <c r="KEJ3" s="120"/>
      <c r="KEK3" s="120"/>
      <c r="KEL3" s="120"/>
      <c r="KEM3" s="120"/>
      <c r="KEN3" s="120"/>
      <c r="KEO3" s="120"/>
      <c r="KEP3" s="120"/>
      <c r="KEQ3" s="120"/>
      <c r="KER3" s="120"/>
      <c r="KES3" s="120"/>
      <c r="KET3" s="120"/>
      <c r="KEU3" s="120"/>
      <c r="KEV3" s="120"/>
      <c r="KEW3" s="120"/>
      <c r="KEX3" s="120"/>
      <c r="KEY3" s="120"/>
      <c r="KEZ3" s="120"/>
      <c r="KFA3" s="120"/>
      <c r="KFB3" s="120"/>
      <c r="KFC3" s="120"/>
      <c r="KFD3" s="120"/>
      <c r="KFE3" s="120"/>
      <c r="KFF3" s="120"/>
      <c r="KFG3" s="120"/>
      <c r="KFH3" s="120"/>
      <c r="KFI3" s="120"/>
      <c r="KFJ3" s="120"/>
      <c r="KFK3" s="120"/>
      <c r="KFL3" s="120"/>
      <c r="KFM3" s="120"/>
      <c r="KFN3" s="120"/>
      <c r="KFO3" s="120"/>
      <c r="KFP3" s="120"/>
      <c r="KFQ3" s="120"/>
      <c r="KFR3" s="120"/>
      <c r="KFS3" s="120"/>
      <c r="KFT3" s="120"/>
      <c r="KFU3" s="120"/>
      <c r="KFV3" s="120"/>
      <c r="KFW3" s="120"/>
      <c r="KFX3" s="120"/>
      <c r="KFY3" s="120"/>
      <c r="KFZ3" s="120"/>
      <c r="KGA3" s="120"/>
      <c r="KGB3" s="120"/>
      <c r="KGC3" s="120"/>
      <c r="KGD3" s="120"/>
      <c r="KGE3" s="120"/>
      <c r="KGF3" s="120"/>
      <c r="KGG3" s="120"/>
      <c r="KGH3" s="120"/>
      <c r="KGI3" s="120"/>
      <c r="KGJ3" s="120"/>
      <c r="KGK3" s="120"/>
      <c r="KGL3" s="120"/>
      <c r="KGM3" s="120"/>
      <c r="KGN3" s="120"/>
      <c r="KGO3" s="120"/>
      <c r="KGP3" s="120"/>
      <c r="KGQ3" s="120"/>
      <c r="KGR3" s="120"/>
      <c r="KGS3" s="120"/>
      <c r="KGT3" s="120"/>
      <c r="KGU3" s="120"/>
      <c r="KGV3" s="120"/>
      <c r="KGW3" s="120"/>
      <c r="KGX3" s="120"/>
      <c r="KGY3" s="120"/>
      <c r="KGZ3" s="120"/>
      <c r="KHA3" s="120"/>
      <c r="KHB3" s="120"/>
      <c r="KHC3" s="120"/>
      <c r="KHD3" s="120"/>
      <c r="KHE3" s="120"/>
      <c r="KHF3" s="120"/>
      <c r="KHG3" s="120"/>
      <c r="KHH3" s="120"/>
      <c r="KHI3" s="120"/>
      <c r="KHJ3" s="120"/>
      <c r="KHK3" s="120"/>
      <c r="KHL3" s="120"/>
      <c r="KHM3" s="120"/>
      <c r="KHN3" s="120"/>
      <c r="KHO3" s="120"/>
      <c r="KHP3" s="120"/>
      <c r="KHQ3" s="120"/>
      <c r="KHR3" s="120"/>
      <c r="KHS3" s="120"/>
      <c r="KHT3" s="120"/>
      <c r="KHU3" s="120"/>
      <c r="KHV3" s="120"/>
      <c r="KHW3" s="120"/>
      <c r="KHX3" s="120"/>
      <c r="KHY3" s="120"/>
      <c r="KHZ3" s="120"/>
      <c r="KIA3" s="120"/>
      <c r="KIB3" s="120"/>
      <c r="KIC3" s="120"/>
      <c r="KID3" s="120"/>
      <c r="KIE3" s="120"/>
      <c r="KIF3" s="120"/>
      <c r="KIG3" s="120"/>
      <c r="KIH3" s="120"/>
      <c r="KII3" s="120"/>
      <c r="KIJ3" s="120"/>
      <c r="KIK3" s="120"/>
      <c r="KIL3" s="120"/>
      <c r="KIM3" s="120"/>
      <c r="KIN3" s="120"/>
      <c r="KIO3" s="120"/>
      <c r="KIP3" s="120"/>
      <c r="KIQ3" s="120"/>
      <c r="KIR3" s="120"/>
      <c r="KIS3" s="120"/>
      <c r="KIT3" s="120"/>
      <c r="KIU3" s="120"/>
      <c r="KIV3" s="120"/>
      <c r="KIW3" s="120"/>
      <c r="KIX3" s="120"/>
      <c r="KIY3" s="120"/>
      <c r="KIZ3" s="120"/>
      <c r="KJA3" s="120"/>
      <c r="KJB3" s="120"/>
      <c r="KJC3" s="120"/>
      <c r="KJD3" s="120"/>
      <c r="KJE3" s="120"/>
      <c r="KJF3" s="120"/>
      <c r="KJG3" s="120"/>
      <c r="KJH3" s="120"/>
      <c r="KJI3" s="120"/>
      <c r="KJJ3" s="120"/>
      <c r="KJK3" s="120"/>
      <c r="KJL3" s="120"/>
      <c r="KJM3" s="120"/>
      <c r="KJN3" s="120"/>
      <c r="KJO3" s="120"/>
      <c r="KJP3" s="120"/>
      <c r="KJQ3" s="120"/>
      <c r="KJR3" s="120"/>
      <c r="KJS3" s="120"/>
      <c r="KJT3" s="120"/>
      <c r="KJU3" s="120"/>
      <c r="KJV3" s="120"/>
      <c r="KJW3" s="120"/>
      <c r="KJX3" s="120"/>
      <c r="KJY3" s="120"/>
      <c r="KJZ3" s="120"/>
      <c r="KKA3" s="120"/>
      <c r="KKB3" s="120"/>
      <c r="KKC3" s="120"/>
      <c r="KKD3" s="120"/>
      <c r="KKE3" s="120"/>
      <c r="KKF3" s="120"/>
      <c r="KKG3" s="120"/>
      <c r="KKH3" s="120"/>
      <c r="KKI3" s="120"/>
      <c r="KKJ3" s="120"/>
      <c r="KKK3" s="120"/>
      <c r="KKL3" s="120"/>
      <c r="KKM3" s="120"/>
      <c r="KKN3" s="120"/>
      <c r="KKO3" s="120"/>
      <c r="KKP3" s="120"/>
      <c r="KKQ3" s="120"/>
      <c r="KKR3" s="120"/>
      <c r="KKS3" s="120"/>
      <c r="KKT3" s="120"/>
      <c r="KKU3" s="120"/>
      <c r="KKV3" s="120"/>
      <c r="KKW3" s="120"/>
      <c r="KKX3" s="120"/>
      <c r="KKY3" s="120"/>
      <c r="KKZ3" s="120"/>
      <c r="KLA3" s="120"/>
      <c r="KLB3" s="120"/>
      <c r="KLC3" s="120"/>
      <c r="KLD3" s="120"/>
      <c r="KLE3" s="120"/>
      <c r="KLF3" s="120"/>
      <c r="KLG3" s="120"/>
      <c r="KLH3" s="120"/>
      <c r="KLI3" s="120"/>
      <c r="KLJ3" s="120"/>
      <c r="KLK3" s="120"/>
      <c r="KLL3" s="120"/>
      <c r="KLM3" s="120"/>
      <c r="KLN3" s="120"/>
      <c r="KLO3" s="120"/>
      <c r="KLP3" s="120"/>
      <c r="KLQ3" s="120"/>
      <c r="KLR3" s="120"/>
      <c r="KLS3" s="120"/>
      <c r="KLT3" s="120"/>
      <c r="KLU3" s="120"/>
      <c r="KLV3" s="120"/>
      <c r="KLW3" s="120"/>
      <c r="KLX3" s="120"/>
      <c r="KLY3" s="120"/>
      <c r="KLZ3" s="120"/>
      <c r="KMA3" s="120"/>
      <c r="KMB3" s="120"/>
      <c r="KMC3" s="120"/>
      <c r="KMD3" s="120"/>
      <c r="KME3" s="120"/>
      <c r="KMF3" s="120"/>
      <c r="KMG3" s="120"/>
      <c r="KMH3" s="120"/>
      <c r="KMI3" s="120"/>
      <c r="KMJ3" s="120"/>
      <c r="KMK3" s="120"/>
      <c r="KML3" s="120"/>
      <c r="KMM3" s="120"/>
      <c r="KMN3" s="120"/>
      <c r="KMO3" s="120"/>
      <c r="KMP3" s="120"/>
      <c r="KMQ3" s="120"/>
      <c r="KMR3" s="120"/>
      <c r="KMS3" s="120"/>
      <c r="KMT3" s="120"/>
      <c r="KMU3" s="120"/>
      <c r="KMV3" s="120"/>
      <c r="KMW3" s="120"/>
      <c r="KMX3" s="120"/>
      <c r="KMY3" s="120"/>
      <c r="KMZ3" s="120"/>
      <c r="KNA3" s="120"/>
      <c r="KNB3" s="120"/>
      <c r="KNC3" s="120"/>
      <c r="KND3" s="120"/>
      <c r="KNE3" s="120"/>
      <c r="KNF3" s="120"/>
      <c r="KNG3" s="120"/>
      <c r="KNH3" s="120"/>
      <c r="KNI3" s="120"/>
      <c r="KNJ3" s="120"/>
      <c r="KNK3" s="120"/>
      <c r="KNL3" s="120"/>
      <c r="KNM3" s="120"/>
      <c r="KNN3" s="120"/>
      <c r="KNO3" s="120"/>
      <c r="KNP3" s="120"/>
      <c r="KNQ3" s="120"/>
      <c r="KNR3" s="120"/>
      <c r="KNS3" s="120"/>
      <c r="KNT3" s="120"/>
      <c r="KNU3" s="120"/>
      <c r="KNV3" s="120"/>
      <c r="KNW3" s="120"/>
      <c r="KNX3" s="120"/>
      <c r="KNY3" s="120"/>
      <c r="KNZ3" s="120"/>
      <c r="KOA3" s="120"/>
      <c r="KOB3" s="120"/>
      <c r="KOC3" s="120"/>
      <c r="KOD3" s="120"/>
      <c r="KOE3" s="120"/>
      <c r="KOF3" s="120"/>
      <c r="KOG3" s="120"/>
      <c r="KOH3" s="120"/>
      <c r="KOI3" s="120"/>
      <c r="KOJ3" s="120"/>
      <c r="KOK3" s="120"/>
      <c r="KOL3" s="120"/>
      <c r="KOM3" s="120"/>
      <c r="KON3" s="120"/>
      <c r="KOO3" s="120"/>
      <c r="KOP3" s="120"/>
      <c r="KOQ3" s="120"/>
      <c r="KOR3" s="120"/>
      <c r="KOS3" s="120"/>
      <c r="KOT3" s="120"/>
      <c r="KOU3" s="120"/>
      <c r="KOV3" s="120"/>
      <c r="KOW3" s="120"/>
      <c r="KOX3" s="120"/>
      <c r="KOY3" s="120"/>
      <c r="KOZ3" s="120"/>
      <c r="KPA3" s="120"/>
      <c r="KPB3" s="120"/>
      <c r="KPC3" s="120"/>
      <c r="KPD3" s="120"/>
      <c r="KPE3" s="120"/>
      <c r="KPF3" s="120"/>
      <c r="KPG3" s="120"/>
      <c r="KPH3" s="120"/>
      <c r="KPI3" s="120"/>
      <c r="KPJ3" s="120"/>
      <c r="KPK3" s="120"/>
      <c r="KPL3" s="120"/>
      <c r="KPM3" s="120"/>
      <c r="KPN3" s="120"/>
      <c r="KPO3" s="120"/>
      <c r="KPP3" s="120"/>
      <c r="KPQ3" s="120"/>
      <c r="KPR3" s="120"/>
      <c r="KPS3" s="120"/>
      <c r="KPT3" s="120"/>
      <c r="KPU3" s="120"/>
      <c r="KPV3" s="120"/>
      <c r="KPW3" s="120"/>
      <c r="KPX3" s="120"/>
      <c r="KPY3" s="120"/>
      <c r="KPZ3" s="120"/>
      <c r="KQA3" s="120"/>
      <c r="KQB3" s="120"/>
      <c r="KQC3" s="120"/>
      <c r="KQD3" s="120"/>
      <c r="KQE3" s="120"/>
      <c r="KQF3" s="120"/>
      <c r="KQG3" s="120"/>
      <c r="KQH3" s="120"/>
      <c r="KQI3" s="120"/>
      <c r="KQJ3" s="120"/>
      <c r="KQK3" s="120"/>
      <c r="KQL3" s="120"/>
      <c r="KQM3" s="120"/>
      <c r="KQN3" s="120"/>
      <c r="KQO3" s="120"/>
      <c r="KQP3" s="120"/>
      <c r="KQQ3" s="120"/>
      <c r="KQR3" s="120"/>
      <c r="KQS3" s="120"/>
      <c r="KQT3" s="120"/>
      <c r="KQU3" s="120"/>
      <c r="KQV3" s="120"/>
      <c r="KQW3" s="120"/>
      <c r="KQX3" s="120"/>
      <c r="KQY3" s="120"/>
      <c r="KQZ3" s="120"/>
      <c r="KRA3" s="120"/>
      <c r="KRB3" s="120"/>
      <c r="KRC3" s="120"/>
      <c r="KRD3" s="120"/>
      <c r="KRE3" s="120"/>
      <c r="KRF3" s="120"/>
      <c r="KRG3" s="120"/>
      <c r="KRH3" s="120"/>
      <c r="KRI3" s="120"/>
      <c r="KRJ3" s="120"/>
      <c r="KRK3" s="120"/>
      <c r="KRL3" s="120"/>
      <c r="KRM3" s="120"/>
      <c r="KRN3" s="120"/>
      <c r="KRO3" s="120"/>
      <c r="KRP3" s="120"/>
      <c r="KRQ3" s="120"/>
      <c r="KRR3" s="120"/>
      <c r="KRS3" s="120"/>
      <c r="KRT3" s="120"/>
      <c r="KRU3" s="120"/>
      <c r="KRV3" s="120"/>
      <c r="KRW3" s="120"/>
      <c r="KRX3" s="120"/>
      <c r="KRY3" s="120"/>
      <c r="KRZ3" s="120"/>
      <c r="KSA3" s="120"/>
      <c r="KSB3" s="120"/>
      <c r="KSC3" s="120"/>
      <c r="KSD3" s="120"/>
      <c r="KSE3" s="120"/>
      <c r="KSF3" s="120"/>
      <c r="KSG3" s="120"/>
      <c r="KSH3" s="120"/>
      <c r="KSI3" s="120"/>
      <c r="KSJ3" s="120"/>
      <c r="KSK3" s="120"/>
      <c r="KSL3" s="120"/>
      <c r="KSM3" s="120"/>
      <c r="KSN3" s="120"/>
      <c r="KSO3" s="120"/>
      <c r="KSP3" s="120"/>
      <c r="KSQ3" s="120"/>
      <c r="KSR3" s="120"/>
      <c r="KSS3" s="120"/>
      <c r="KST3" s="120"/>
      <c r="KSU3" s="120"/>
      <c r="KSV3" s="120"/>
      <c r="KSW3" s="120"/>
      <c r="KSX3" s="120"/>
      <c r="KSY3" s="120"/>
      <c r="KSZ3" s="120"/>
      <c r="KTA3" s="120"/>
      <c r="KTB3" s="120"/>
      <c r="KTC3" s="120"/>
      <c r="KTD3" s="120"/>
      <c r="KTE3" s="120"/>
      <c r="KTF3" s="120"/>
      <c r="KTG3" s="120"/>
      <c r="KTH3" s="120"/>
      <c r="KTI3" s="120"/>
      <c r="KTJ3" s="120"/>
      <c r="KTK3" s="120"/>
      <c r="KTL3" s="120"/>
      <c r="KTM3" s="120"/>
      <c r="KTN3" s="120"/>
      <c r="KTO3" s="120"/>
      <c r="KTP3" s="120"/>
      <c r="KTQ3" s="120"/>
      <c r="KTR3" s="120"/>
      <c r="KTS3" s="120"/>
      <c r="KTT3" s="120"/>
      <c r="KTU3" s="120"/>
      <c r="KTV3" s="120"/>
      <c r="KTW3" s="120"/>
      <c r="KTX3" s="120"/>
      <c r="KTY3" s="120"/>
      <c r="KTZ3" s="120"/>
      <c r="KUA3" s="120"/>
      <c r="KUB3" s="120"/>
      <c r="KUC3" s="120"/>
      <c r="KUD3" s="120"/>
      <c r="KUE3" s="120"/>
      <c r="KUF3" s="120"/>
      <c r="KUG3" s="120"/>
      <c r="KUH3" s="120"/>
      <c r="KUI3" s="120"/>
      <c r="KUJ3" s="120"/>
      <c r="KUK3" s="120"/>
      <c r="KUL3" s="120"/>
      <c r="KUM3" s="120"/>
      <c r="KUN3" s="120"/>
      <c r="KUO3" s="120"/>
      <c r="KUP3" s="120"/>
      <c r="KUQ3" s="120"/>
      <c r="KUR3" s="120"/>
      <c r="KUS3" s="120"/>
      <c r="KUT3" s="120"/>
      <c r="KUU3" s="120"/>
      <c r="KUV3" s="120"/>
      <c r="KUW3" s="120"/>
      <c r="KUX3" s="120"/>
      <c r="KUY3" s="120"/>
      <c r="KUZ3" s="120"/>
      <c r="KVA3" s="120"/>
      <c r="KVB3" s="120"/>
      <c r="KVC3" s="120"/>
      <c r="KVD3" s="120"/>
      <c r="KVE3" s="120"/>
      <c r="KVF3" s="120"/>
      <c r="KVG3" s="120"/>
      <c r="KVH3" s="120"/>
      <c r="KVI3" s="120"/>
      <c r="KVJ3" s="120"/>
      <c r="KVK3" s="120"/>
      <c r="KVL3" s="120"/>
      <c r="KVM3" s="120"/>
      <c r="KVN3" s="120"/>
      <c r="KVO3" s="120"/>
      <c r="KVP3" s="120"/>
      <c r="KVQ3" s="120"/>
      <c r="KVR3" s="120"/>
      <c r="KVS3" s="120"/>
      <c r="KVT3" s="120"/>
      <c r="KVU3" s="120"/>
      <c r="KVV3" s="120"/>
      <c r="KVW3" s="120"/>
      <c r="KVX3" s="120"/>
      <c r="KVY3" s="120"/>
      <c r="KVZ3" s="120"/>
      <c r="KWA3" s="120"/>
      <c r="KWB3" s="120"/>
      <c r="KWC3" s="120"/>
      <c r="KWD3" s="120"/>
      <c r="KWE3" s="120"/>
      <c r="KWF3" s="120"/>
      <c r="KWG3" s="120"/>
      <c r="KWH3" s="120"/>
      <c r="KWI3" s="120"/>
      <c r="KWJ3" s="120"/>
      <c r="KWK3" s="120"/>
      <c r="KWL3" s="120"/>
      <c r="KWM3" s="120"/>
      <c r="KWN3" s="120"/>
      <c r="KWO3" s="120"/>
      <c r="KWP3" s="120"/>
      <c r="KWQ3" s="120"/>
      <c r="KWR3" s="120"/>
      <c r="KWS3" s="120"/>
      <c r="KWT3" s="120"/>
      <c r="KWU3" s="120"/>
      <c r="KWV3" s="120"/>
      <c r="KWW3" s="120"/>
      <c r="KWX3" s="120"/>
      <c r="KWY3" s="120"/>
      <c r="KWZ3" s="120"/>
      <c r="KXA3" s="120"/>
      <c r="KXB3" s="120"/>
      <c r="KXC3" s="120"/>
      <c r="KXD3" s="120"/>
      <c r="KXE3" s="120"/>
      <c r="KXF3" s="120"/>
      <c r="KXG3" s="120"/>
      <c r="KXH3" s="120"/>
      <c r="KXI3" s="120"/>
      <c r="KXJ3" s="120"/>
      <c r="KXK3" s="120"/>
      <c r="KXL3" s="120"/>
      <c r="KXM3" s="120"/>
      <c r="KXN3" s="120"/>
      <c r="KXO3" s="120"/>
      <c r="KXP3" s="120"/>
      <c r="KXQ3" s="120"/>
      <c r="KXR3" s="120"/>
      <c r="KXS3" s="120"/>
      <c r="KXT3" s="120"/>
      <c r="KXU3" s="120"/>
      <c r="KXV3" s="120"/>
      <c r="KXW3" s="120"/>
      <c r="KXX3" s="120"/>
      <c r="KXY3" s="120"/>
      <c r="KXZ3" s="120"/>
      <c r="KYA3" s="120"/>
      <c r="KYB3" s="120"/>
      <c r="KYC3" s="120"/>
      <c r="KYD3" s="120"/>
      <c r="KYE3" s="120"/>
      <c r="KYF3" s="120"/>
      <c r="KYG3" s="120"/>
      <c r="KYH3" s="120"/>
      <c r="KYI3" s="120"/>
      <c r="KYJ3" s="120"/>
      <c r="KYK3" s="120"/>
      <c r="KYL3" s="120"/>
      <c r="KYM3" s="120"/>
      <c r="KYN3" s="120"/>
      <c r="KYO3" s="120"/>
      <c r="KYP3" s="120"/>
      <c r="KYQ3" s="120"/>
      <c r="KYR3" s="120"/>
      <c r="KYS3" s="120"/>
      <c r="KYT3" s="120"/>
      <c r="KYU3" s="120"/>
      <c r="KYV3" s="120"/>
      <c r="KYW3" s="120"/>
      <c r="KYX3" s="120"/>
      <c r="KYY3" s="120"/>
      <c r="KYZ3" s="120"/>
      <c r="KZA3" s="120"/>
      <c r="KZB3" s="120"/>
      <c r="KZC3" s="120"/>
      <c r="KZD3" s="120"/>
      <c r="KZE3" s="120"/>
      <c r="KZF3" s="120"/>
      <c r="KZG3" s="120"/>
      <c r="KZH3" s="120"/>
      <c r="KZI3" s="120"/>
      <c r="KZJ3" s="120"/>
      <c r="KZK3" s="120"/>
      <c r="KZL3" s="120"/>
      <c r="KZM3" s="120"/>
      <c r="KZN3" s="120"/>
      <c r="KZO3" s="120"/>
      <c r="KZP3" s="120"/>
      <c r="KZQ3" s="120"/>
      <c r="KZR3" s="120"/>
      <c r="KZS3" s="120"/>
      <c r="KZT3" s="120"/>
      <c r="KZU3" s="120"/>
      <c r="KZV3" s="120"/>
      <c r="KZW3" s="120"/>
      <c r="KZX3" s="120"/>
      <c r="KZY3" s="120"/>
      <c r="KZZ3" s="120"/>
      <c r="LAA3" s="120"/>
      <c r="LAB3" s="120"/>
      <c r="LAC3" s="120"/>
      <c r="LAD3" s="120"/>
      <c r="LAE3" s="120"/>
      <c r="LAF3" s="120"/>
      <c r="LAG3" s="120"/>
      <c r="LAH3" s="120"/>
      <c r="LAI3" s="120"/>
      <c r="LAJ3" s="120"/>
      <c r="LAK3" s="120"/>
      <c r="LAL3" s="120"/>
      <c r="LAM3" s="120"/>
      <c r="LAN3" s="120"/>
      <c r="LAO3" s="120"/>
      <c r="LAP3" s="120"/>
      <c r="LAQ3" s="120"/>
      <c r="LAR3" s="120"/>
      <c r="LAS3" s="120"/>
      <c r="LAT3" s="120"/>
      <c r="LAU3" s="120"/>
      <c r="LAV3" s="120"/>
      <c r="LAW3" s="120"/>
      <c r="LAX3" s="120"/>
      <c r="LAY3" s="120"/>
      <c r="LAZ3" s="120"/>
      <c r="LBA3" s="120"/>
      <c r="LBB3" s="120"/>
      <c r="LBC3" s="120"/>
      <c r="LBD3" s="120"/>
      <c r="LBE3" s="120"/>
      <c r="LBF3" s="120"/>
      <c r="LBG3" s="120"/>
      <c r="LBH3" s="120"/>
      <c r="LBI3" s="120"/>
      <c r="LBJ3" s="120"/>
      <c r="LBK3" s="120"/>
      <c r="LBL3" s="120"/>
      <c r="LBM3" s="120"/>
      <c r="LBN3" s="120"/>
      <c r="LBO3" s="120"/>
      <c r="LBP3" s="120"/>
      <c r="LBQ3" s="120"/>
      <c r="LBR3" s="120"/>
      <c r="LBS3" s="120"/>
      <c r="LBT3" s="120"/>
      <c r="LBU3" s="120"/>
      <c r="LBV3" s="120"/>
      <c r="LBW3" s="120"/>
      <c r="LBX3" s="120"/>
      <c r="LBY3" s="120"/>
      <c r="LBZ3" s="120"/>
      <c r="LCA3" s="120"/>
      <c r="LCB3" s="120"/>
      <c r="LCC3" s="120"/>
      <c r="LCD3" s="120"/>
      <c r="LCE3" s="120"/>
      <c r="LCF3" s="120"/>
      <c r="LCG3" s="120"/>
      <c r="LCH3" s="120"/>
      <c r="LCI3" s="120"/>
      <c r="LCJ3" s="120"/>
      <c r="LCK3" s="120"/>
      <c r="LCL3" s="120"/>
      <c r="LCM3" s="120"/>
      <c r="LCN3" s="120"/>
      <c r="LCO3" s="120"/>
      <c r="LCP3" s="120"/>
      <c r="LCQ3" s="120"/>
      <c r="LCR3" s="120"/>
      <c r="LCS3" s="120"/>
      <c r="LCT3" s="120"/>
      <c r="LCU3" s="120"/>
      <c r="LCV3" s="120"/>
      <c r="LCW3" s="120"/>
      <c r="LCX3" s="120"/>
      <c r="LCY3" s="120"/>
      <c r="LCZ3" s="120"/>
      <c r="LDA3" s="120"/>
      <c r="LDB3" s="120"/>
      <c r="LDC3" s="120"/>
      <c r="LDD3" s="120"/>
      <c r="LDE3" s="120"/>
      <c r="LDF3" s="120"/>
      <c r="LDG3" s="120"/>
      <c r="LDH3" s="120"/>
      <c r="LDI3" s="120"/>
      <c r="LDJ3" s="120"/>
      <c r="LDK3" s="120"/>
      <c r="LDL3" s="120"/>
      <c r="LDM3" s="120"/>
      <c r="LDN3" s="120"/>
      <c r="LDO3" s="120"/>
      <c r="LDP3" s="120"/>
      <c r="LDQ3" s="120"/>
      <c r="LDR3" s="120"/>
      <c r="LDS3" s="120"/>
      <c r="LDT3" s="120"/>
      <c r="LDU3" s="120"/>
      <c r="LDV3" s="120"/>
      <c r="LDW3" s="120"/>
      <c r="LDX3" s="120"/>
      <c r="LDY3" s="120"/>
      <c r="LDZ3" s="120"/>
      <c r="LEA3" s="120"/>
      <c r="LEB3" s="120"/>
      <c r="LEC3" s="120"/>
      <c r="LED3" s="120"/>
      <c r="LEE3" s="120"/>
      <c r="LEF3" s="120"/>
      <c r="LEG3" s="120"/>
      <c r="LEH3" s="120"/>
      <c r="LEI3" s="120"/>
      <c r="LEJ3" s="120"/>
      <c r="LEK3" s="120"/>
      <c r="LEL3" s="120"/>
      <c r="LEM3" s="120"/>
      <c r="LEN3" s="120"/>
      <c r="LEO3" s="120"/>
      <c r="LEP3" s="120"/>
      <c r="LEQ3" s="120"/>
      <c r="LER3" s="120"/>
      <c r="LES3" s="120"/>
      <c r="LET3" s="120"/>
      <c r="LEU3" s="120"/>
      <c r="LEV3" s="120"/>
      <c r="LEW3" s="120"/>
      <c r="LEX3" s="120"/>
      <c r="LEY3" s="120"/>
      <c r="LEZ3" s="120"/>
      <c r="LFA3" s="120"/>
      <c r="LFB3" s="120"/>
      <c r="LFC3" s="120"/>
      <c r="LFD3" s="120"/>
      <c r="LFE3" s="120"/>
      <c r="LFF3" s="120"/>
      <c r="LFG3" s="120"/>
      <c r="LFH3" s="120"/>
      <c r="LFI3" s="120"/>
      <c r="LFJ3" s="120"/>
      <c r="LFK3" s="120"/>
      <c r="LFL3" s="120"/>
      <c r="LFM3" s="120"/>
      <c r="LFN3" s="120"/>
      <c r="LFO3" s="120"/>
      <c r="LFP3" s="120"/>
      <c r="LFQ3" s="120"/>
      <c r="LFR3" s="120"/>
      <c r="LFS3" s="120"/>
      <c r="LFT3" s="120"/>
      <c r="LFU3" s="120"/>
      <c r="LFV3" s="120"/>
      <c r="LFW3" s="120"/>
      <c r="LFX3" s="120"/>
      <c r="LFY3" s="120"/>
      <c r="LFZ3" s="120"/>
      <c r="LGA3" s="120"/>
      <c r="LGB3" s="120"/>
      <c r="LGC3" s="120"/>
      <c r="LGD3" s="120"/>
      <c r="LGE3" s="120"/>
      <c r="LGF3" s="120"/>
      <c r="LGG3" s="120"/>
      <c r="LGH3" s="120"/>
      <c r="LGI3" s="120"/>
      <c r="LGJ3" s="120"/>
      <c r="LGK3" s="120"/>
      <c r="LGL3" s="120"/>
      <c r="LGM3" s="120"/>
      <c r="LGN3" s="120"/>
      <c r="LGO3" s="120"/>
      <c r="LGP3" s="120"/>
      <c r="LGQ3" s="120"/>
      <c r="LGR3" s="120"/>
      <c r="LGS3" s="120"/>
      <c r="LGT3" s="120"/>
      <c r="LGU3" s="120"/>
      <c r="LGV3" s="120"/>
      <c r="LGW3" s="120"/>
      <c r="LGX3" s="120"/>
      <c r="LGY3" s="120"/>
      <c r="LGZ3" s="120"/>
      <c r="LHA3" s="120"/>
      <c r="LHB3" s="120"/>
      <c r="LHC3" s="120"/>
      <c r="LHD3" s="120"/>
      <c r="LHE3" s="120"/>
      <c r="LHF3" s="120"/>
      <c r="LHG3" s="120"/>
      <c r="LHH3" s="120"/>
      <c r="LHI3" s="120"/>
      <c r="LHJ3" s="120"/>
      <c r="LHK3" s="120"/>
      <c r="LHL3" s="120"/>
      <c r="LHM3" s="120"/>
      <c r="LHN3" s="120"/>
      <c r="LHO3" s="120"/>
      <c r="LHP3" s="120"/>
      <c r="LHQ3" s="120"/>
      <c r="LHR3" s="120"/>
      <c r="LHS3" s="120"/>
      <c r="LHT3" s="120"/>
      <c r="LHU3" s="120"/>
      <c r="LHV3" s="120"/>
      <c r="LHW3" s="120"/>
      <c r="LHX3" s="120"/>
      <c r="LHY3" s="120"/>
      <c r="LHZ3" s="120"/>
      <c r="LIA3" s="120"/>
      <c r="LIB3" s="120"/>
      <c r="LIC3" s="120"/>
      <c r="LID3" s="120"/>
      <c r="LIE3" s="120"/>
      <c r="LIF3" s="120"/>
      <c r="LIG3" s="120"/>
      <c r="LIH3" s="120"/>
      <c r="LII3" s="120"/>
      <c r="LIJ3" s="120"/>
      <c r="LIK3" s="120"/>
      <c r="LIL3" s="120"/>
      <c r="LIM3" s="120"/>
      <c r="LIN3" s="120"/>
      <c r="LIO3" s="120"/>
      <c r="LIP3" s="120"/>
      <c r="LIQ3" s="120"/>
      <c r="LIR3" s="120"/>
      <c r="LIS3" s="120"/>
      <c r="LIT3" s="120"/>
      <c r="LIU3" s="120"/>
      <c r="LIV3" s="120"/>
      <c r="LIW3" s="120"/>
      <c r="LIX3" s="120"/>
      <c r="LIY3" s="120"/>
      <c r="LIZ3" s="120"/>
      <c r="LJA3" s="120"/>
      <c r="LJB3" s="120"/>
      <c r="LJC3" s="120"/>
      <c r="LJD3" s="120"/>
      <c r="LJE3" s="120"/>
      <c r="LJF3" s="120"/>
      <c r="LJG3" s="120"/>
      <c r="LJH3" s="120"/>
      <c r="LJI3" s="120"/>
      <c r="LJJ3" s="120"/>
      <c r="LJK3" s="120"/>
      <c r="LJL3" s="120"/>
      <c r="LJM3" s="120"/>
      <c r="LJN3" s="120"/>
      <c r="LJO3" s="120"/>
      <c r="LJP3" s="120"/>
      <c r="LJQ3" s="120"/>
      <c r="LJR3" s="120"/>
      <c r="LJS3" s="120"/>
      <c r="LJT3" s="120"/>
      <c r="LJU3" s="120"/>
      <c r="LJV3" s="120"/>
      <c r="LJW3" s="120"/>
      <c r="LJX3" s="120"/>
      <c r="LJY3" s="120"/>
      <c r="LJZ3" s="120"/>
      <c r="LKA3" s="120"/>
      <c r="LKB3" s="120"/>
      <c r="LKC3" s="120"/>
      <c r="LKD3" s="120"/>
      <c r="LKE3" s="120"/>
      <c r="LKF3" s="120"/>
      <c r="LKG3" s="120"/>
      <c r="LKH3" s="120"/>
      <c r="LKI3" s="120"/>
      <c r="LKJ3" s="120"/>
      <c r="LKK3" s="120"/>
      <c r="LKL3" s="120"/>
      <c r="LKM3" s="120"/>
      <c r="LKN3" s="120"/>
      <c r="LKO3" s="120"/>
      <c r="LKP3" s="120"/>
      <c r="LKQ3" s="120"/>
      <c r="LKR3" s="120"/>
      <c r="LKS3" s="120"/>
      <c r="LKT3" s="120"/>
      <c r="LKU3" s="120"/>
      <c r="LKV3" s="120"/>
      <c r="LKW3" s="120"/>
      <c r="LKX3" s="120"/>
      <c r="LKY3" s="120"/>
      <c r="LKZ3" s="120"/>
      <c r="LLA3" s="120"/>
      <c r="LLB3" s="120"/>
      <c r="LLC3" s="120"/>
      <c r="LLD3" s="120"/>
      <c r="LLE3" s="120"/>
      <c r="LLF3" s="120"/>
      <c r="LLG3" s="120"/>
      <c r="LLH3" s="120"/>
      <c r="LLI3" s="120"/>
      <c r="LLJ3" s="120"/>
      <c r="LLK3" s="120"/>
      <c r="LLL3" s="120"/>
      <c r="LLM3" s="120"/>
      <c r="LLN3" s="120"/>
      <c r="LLO3" s="120"/>
      <c r="LLP3" s="120"/>
      <c r="LLQ3" s="120"/>
      <c r="LLR3" s="120"/>
      <c r="LLS3" s="120"/>
      <c r="LLT3" s="120"/>
      <c r="LLU3" s="120"/>
      <c r="LLV3" s="120"/>
      <c r="LLW3" s="120"/>
      <c r="LLX3" s="120"/>
      <c r="LLY3" s="120"/>
      <c r="LLZ3" s="120"/>
      <c r="LMA3" s="120"/>
      <c r="LMB3" s="120"/>
      <c r="LMC3" s="120"/>
      <c r="LMD3" s="120"/>
      <c r="LME3" s="120"/>
      <c r="LMF3" s="120"/>
      <c r="LMG3" s="120"/>
      <c r="LMH3" s="120"/>
      <c r="LMI3" s="120"/>
      <c r="LMJ3" s="120"/>
      <c r="LMK3" s="120"/>
      <c r="LML3" s="120"/>
      <c r="LMM3" s="120"/>
      <c r="LMN3" s="120"/>
      <c r="LMO3" s="120"/>
      <c r="LMP3" s="120"/>
      <c r="LMQ3" s="120"/>
      <c r="LMR3" s="120"/>
      <c r="LMS3" s="120"/>
      <c r="LMT3" s="120"/>
      <c r="LMU3" s="120"/>
      <c r="LMV3" s="120"/>
      <c r="LMW3" s="120"/>
      <c r="LMX3" s="120"/>
      <c r="LMY3" s="120"/>
      <c r="LMZ3" s="120"/>
      <c r="LNA3" s="120"/>
      <c r="LNB3" s="120"/>
      <c r="LNC3" s="120"/>
      <c r="LND3" s="120"/>
      <c r="LNE3" s="120"/>
      <c r="LNF3" s="120"/>
      <c r="LNG3" s="120"/>
      <c r="LNH3" s="120"/>
      <c r="LNI3" s="120"/>
      <c r="LNJ3" s="120"/>
      <c r="LNK3" s="120"/>
      <c r="LNL3" s="120"/>
      <c r="LNM3" s="120"/>
      <c r="LNN3" s="120"/>
      <c r="LNO3" s="120"/>
      <c r="LNP3" s="120"/>
      <c r="LNQ3" s="120"/>
      <c r="LNR3" s="120"/>
      <c r="LNS3" s="120"/>
      <c r="LNT3" s="120"/>
      <c r="LNU3" s="120"/>
      <c r="LNV3" s="120"/>
      <c r="LNW3" s="120"/>
      <c r="LNX3" s="120"/>
      <c r="LNY3" s="120"/>
      <c r="LNZ3" s="120"/>
      <c r="LOA3" s="120"/>
      <c r="LOB3" s="120"/>
      <c r="LOC3" s="120"/>
      <c r="LOD3" s="120"/>
      <c r="LOE3" s="120"/>
      <c r="LOF3" s="120"/>
      <c r="LOG3" s="120"/>
      <c r="LOH3" s="120"/>
      <c r="LOI3" s="120"/>
      <c r="LOJ3" s="120"/>
      <c r="LOK3" s="120"/>
      <c r="LOL3" s="120"/>
      <c r="LOM3" s="120"/>
      <c r="LON3" s="120"/>
      <c r="LOO3" s="120"/>
      <c r="LOP3" s="120"/>
      <c r="LOQ3" s="120"/>
      <c r="LOR3" s="120"/>
      <c r="LOS3" s="120"/>
      <c r="LOT3" s="120"/>
      <c r="LOU3" s="120"/>
      <c r="LOV3" s="120"/>
      <c r="LOW3" s="120"/>
      <c r="LOX3" s="120"/>
      <c r="LOY3" s="120"/>
      <c r="LOZ3" s="120"/>
      <c r="LPA3" s="120"/>
      <c r="LPB3" s="120"/>
      <c r="LPC3" s="120"/>
      <c r="LPD3" s="120"/>
      <c r="LPE3" s="120"/>
      <c r="LPF3" s="120"/>
      <c r="LPG3" s="120"/>
      <c r="LPH3" s="120"/>
      <c r="LPI3" s="120"/>
      <c r="LPJ3" s="120"/>
      <c r="LPK3" s="120"/>
      <c r="LPL3" s="120"/>
      <c r="LPM3" s="120"/>
      <c r="LPN3" s="120"/>
      <c r="LPO3" s="120"/>
      <c r="LPP3" s="120"/>
      <c r="LPQ3" s="120"/>
      <c r="LPR3" s="120"/>
      <c r="LPS3" s="120"/>
      <c r="LPT3" s="120"/>
      <c r="LPU3" s="120"/>
      <c r="LPV3" s="120"/>
      <c r="LPW3" s="120"/>
      <c r="LPX3" s="120"/>
      <c r="LPY3" s="120"/>
      <c r="LPZ3" s="120"/>
      <c r="LQA3" s="120"/>
      <c r="LQB3" s="120"/>
      <c r="LQC3" s="120"/>
      <c r="LQD3" s="120"/>
      <c r="LQE3" s="120"/>
      <c r="LQF3" s="120"/>
      <c r="LQG3" s="120"/>
      <c r="LQH3" s="120"/>
      <c r="LQI3" s="120"/>
      <c r="LQJ3" s="120"/>
      <c r="LQK3" s="120"/>
      <c r="LQL3" s="120"/>
      <c r="LQM3" s="120"/>
      <c r="LQN3" s="120"/>
      <c r="LQO3" s="120"/>
      <c r="LQP3" s="120"/>
      <c r="LQQ3" s="120"/>
      <c r="LQR3" s="120"/>
      <c r="LQS3" s="120"/>
      <c r="LQT3" s="120"/>
      <c r="LQU3" s="120"/>
      <c r="LQV3" s="120"/>
      <c r="LQW3" s="120"/>
      <c r="LQX3" s="120"/>
      <c r="LQY3" s="120"/>
      <c r="LQZ3" s="120"/>
      <c r="LRA3" s="120"/>
      <c r="LRB3" s="120"/>
      <c r="LRC3" s="120"/>
      <c r="LRD3" s="120"/>
      <c r="LRE3" s="120"/>
      <c r="LRF3" s="120"/>
      <c r="LRG3" s="120"/>
      <c r="LRH3" s="120"/>
      <c r="LRI3" s="120"/>
      <c r="LRJ3" s="120"/>
      <c r="LRK3" s="120"/>
      <c r="LRL3" s="120"/>
      <c r="LRM3" s="120"/>
      <c r="LRN3" s="120"/>
      <c r="LRO3" s="120"/>
      <c r="LRP3" s="120"/>
      <c r="LRQ3" s="120"/>
      <c r="LRR3" s="120"/>
      <c r="LRS3" s="120"/>
      <c r="LRT3" s="120"/>
      <c r="LRU3" s="120"/>
      <c r="LRV3" s="120"/>
      <c r="LRW3" s="120"/>
      <c r="LRX3" s="120"/>
      <c r="LRY3" s="120"/>
      <c r="LRZ3" s="120"/>
      <c r="LSA3" s="120"/>
      <c r="LSB3" s="120"/>
      <c r="LSC3" s="120"/>
      <c r="LSD3" s="120"/>
      <c r="LSE3" s="120"/>
      <c r="LSF3" s="120"/>
      <c r="LSG3" s="120"/>
      <c r="LSH3" s="120"/>
      <c r="LSI3" s="120"/>
      <c r="LSJ3" s="120"/>
      <c r="LSK3" s="120"/>
      <c r="LSL3" s="120"/>
      <c r="LSM3" s="120"/>
      <c r="LSN3" s="120"/>
      <c r="LSO3" s="120"/>
      <c r="LSP3" s="120"/>
      <c r="LSQ3" s="120"/>
      <c r="LSR3" s="120"/>
      <c r="LSS3" s="120"/>
      <c r="LST3" s="120"/>
      <c r="LSU3" s="120"/>
      <c r="LSV3" s="120"/>
      <c r="LSW3" s="120"/>
      <c r="LSX3" s="120"/>
      <c r="LSY3" s="120"/>
      <c r="LSZ3" s="120"/>
      <c r="LTA3" s="120"/>
      <c r="LTB3" s="120"/>
      <c r="LTC3" s="120"/>
      <c r="LTD3" s="120"/>
      <c r="LTE3" s="120"/>
      <c r="LTF3" s="120"/>
      <c r="LTG3" s="120"/>
      <c r="LTH3" s="120"/>
      <c r="LTI3" s="120"/>
      <c r="LTJ3" s="120"/>
      <c r="LTK3" s="120"/>
      <c r="LTL3" s="120"/>
      <c r="LTM3" s="120"/>
      <c r="LTN3" s="120"/>
      <c r="LTO3" s="120"/>
      <c r="LTP3" s="120"/>
      <c r="LTQ3" s="120"/>
      <c r="LTR3" s="120"/>
      <c r="LTS3" s="120"/>
      <c r="LTT3" s="120"/>
      <c r="LTU3" s="120"/>
      <c r="LTV3" s="120"/>
      <c r="LTW3" s="120"/>
      <c r="LTX3" s="120"/>
      <c r="LTY3" s="120"/>
      <c r="LTZ3" s="120"/>
      <c r="LUA3" s="120"/>
      <c r="LUB3" s="120"/>
      <c r="LUC3" s="120"/>
      <c r="LUD3" s="120"/>
      <c r="LUE3" s="120"/>
      <c r="LUF3" s="120"/>
      <c r="LUG3" s="120"/>
      <c r="LUH3" s="120"/>
      <c r="LUI3" s="120"/>
      <c r="LUJ3" s="120"/>
      <c r="LUK3" s="120"/>
      <c r="LUL3" s="120"/>
      <c r="LUM3" s="120"/>
      <c r="LUN3" s="120"/>
      <c r="LUO3" s="120"/>
      <c r="LUP3" s="120"/>
      <c r="LUQ3" s="120"/>
      <c r="LUR3" s="120"/>
      <c r="LUS3" s="120"/>
      <c r="LUT3" s="120"/>
      <c r="LUU3" s="120"/>
      <c r="LUV3" s="120"/>
      <c r="LUW3" s="120"/>
      <c r="LUX3" s="120"/>
      <c r="LUY3" s="120"/>
      <c r="LUZ3" s="120"/>
      <c r="LVA3" s="120"/>
      <c r="LVB3" s="120"/>
      <c r="LVC3" s="120"/>
      <c r="LVD3" s="120"/>
      <c r="LVE3" s="120"/>
      <c r="LVF3" s="120"/>
      <c r="LVG3" s="120"/>
      <c r="LVH3" s="120"/>
      <c r="LVI3" s="120"/>
      <c r="LVJ3" s="120"/>
      <c r="LVK3" s="120"/>
      <c r="LVL3" s="120"/>
      <c r="LVM3" s="120"/>
      <c r="LVN3" s="120"/>
      <c r="LVO3" s="120"/>
      <c r="LVP3" s="120"/>
      <c r="LVQ3" s="120"/>
      <c r="LVR3" s="120"/>
      <c r="LVS3" s="120"/>
      <c r="LVT3" s="120"/>
      <c r="LVU3" s="120"/>
      <c r="LVV3" s="120"/>
      <c r="LVW3" s="120"/>
      <c r="LVX3" s="120"/>
      <c r="LVY3" s="120"/>
      <c r="LVZ3" s="120"/>
      <c r="LWA3" s="120"/>
      <c r="LWB3" s="120"/>
      <c r="LWC3" s="120"/>
      <c r="LWD3" s="120"/>
      <c r="LWE3" s="120"/>
      <c r="LWF3" s="120"/>
      <c r="LWG3" s="120"/>
      <c r="LWH3" s="120"/>
      <c r="LWI3" s="120"/>
      <c r="LWJ3" s="120"/>
      <c r="LWK3" s="120"/>
      <c r="LWL3" s="120"/>
      <c r="LWM3" s="120"/>
      <c r="LWN3" s="120"/>
      <c r="LWO3" s="120"/>
      <c r="LWP3" s="120"/>
      <c r="LWQ3" s="120"/>
      <c r="LWR3" s="120"/>
      <c r="LWS3" s="120"/>
      <c r="LWT3" s="120"/>
      <c r="LWU3" s="120"/>
      <c r="LWV3" s="120"/>
      <c r="LWW3" s="120"/>
      <c r="LWX3" s="120"/>
      <c r="LWY3" s="120"/>
      <c r="LWZ3" s="120"/>
      <c r="LXA3" s="120"/>
      <c r="LXB3" s="120"/>
      <c r="LXC3" s="120"/>
      <c r="LXD3" s="120"/>
      <c r="LXE3" s="120"/>
      <c r="LXF3" s="120"/>
      <c r="LXG3" s="120"/>
      <c r="LXH3" s="120"/>
      <c r="LXI3" s="120"/>
      <c r="LXJ3" s="120"/>
      <c r="LXK3" s="120"/>
      <c r="LXL3" s="120"/>
      <c r="LXM3" s="120"/>
      <c r="LXN3" s="120"/>
      <c r="LXO3" s="120"/>
      <c r="LXP3" s="120"/>
      <c r="LXQ3" s="120"/>
      <c r="LXR3" s="120"/>
      <c r="LXS3" s="120"/>
      <c r="LXT3" s="120"/>
      <c r="LXU3" s="120"/>
      <c r="LXV3" s="120"/>
      <c r="LXW3" s="120"/>
      <c r="LXX3" s="120"/>
      <c r="LXY3" s="120"/>
      <c r="LXZ3" s="120"/>
      <c r="LYA3" s="120"/>
      <c r="LYB3" s="120"/>
      <c r="LYC3" s="120"/>
      <c r="LYD3" s="120"/>
      <c r="LYE3" s="120"/>
      <c r="LYF3" s="120"/>
      <c r="LYG3" s="120"/>
      <c r="LYH3" s="120"/>
      <c r="LYI3" s="120"/>
      <c r="LYJ3" s="120"/>
      <c r="LYK3" s="120"/>
      <c r="LYL3" s="120"/>
      <c r="LYM3" s="120"/>
      <c r="LYN3" s="120"/>
      <c r="LYO3" s="120"/>
      <c r="LYP3" s="120"/>
      <c r="LYQ3" s="120"/>
      <c r="LYR3" s="120"/>
      <c r="LYS3" s="120"/>
      <c r="LYT3" s="120"/>
      <c r="LYU3" s="120"/>
      <c r="LYV3" s="120"/>
      <c r="LYW3" s="120"/>
      <c r="LYX3" s="120"/>
      <c r="LYY3" s="120"/>
      <c r="LYZ3" s="120"/>
      <c r="LZA3" s="120"/>
      <c r="LZB3" s="120"/>
      <c r="LZC3" s="120"/>
      <c r="LZD3" s="120"/>
      <c r="LZE3" s="120"/>
      <c r="LZF3" s="120"/>
      <c r="LZG3" s="120"/>
      <c r="LZH3" s="120"/>
      <c r="LZI3" s="120"/>
      <c r="LZJ3" s="120"/>
      <c r="LZK3" s="120"/>
      <c r="LZL3" s="120"/>
      <c r="LZM3" s="120"/>
      <c r="LZN3" s="120"/>
      <c r="LZO3" s="120"/>
      <c r="LZP3" s="120"/>
      <c r="LZQ3" s="120"/>
      <c r="LZR3" s="120"/>
      <c r="LZS3" s="120"/>
      <c r="LZT3" s="120"/>
      <c r="LZU3" s="120"/>
      <c r="LZV3" s="120"/>
      <c r="LZW3" s="120"/>
      <c r="LZX3" s="120"/>
      <c r="LZY3" s="120"/>
      <c r="LZZ3" s="120"/>
      <c r="MAA3" s="120"/>
      <c r="MAB3" s="120"/>
      <c r="MAC3" s="120"/>
      <c r="MAD3" s="120"/>
      <c r="MAE3" s="120"/>
      <c r="MAF3" s="120"/>
      <c r="MAG3" s="120"/>
      <c r="MAH3" s="120"/>
      <c r="MAI3" s="120"/>
      <c r="MAJ3" s="120"/>
      <c r="MAK3" s="120"/>
      <c r="MAL3" s="120"/>
      <c r="MAM3" s="120"/>
      <c r="MAN3" s="120"/>
      <c r="MAO3" s="120"/>
      <c r="MAP3" s="120"/>
      <c r="MAQ3" s="120"/>
      <c r="MAR3" s="120"/>
      <c r="MAS3" s="120"/>
      <c r="MAT3" s="120"/>
      <c r="MAU3" s="120"/>
      <c r="MAV3" s="120"/>
      <c r="MAW3" s="120"/>
      <c r="MAX3" s="120"/>
      <c r="MAY3" s="120"/>
      <c r="MAZ3" s="120"/>
      <c r="MBA3" s="120"/>
      <c r="MBB3" s="120"/>
      <c r="MBC3" s="120"/>
      <c r="MBD3" s="120"/>
      <c r="MBE3" s="120"/>
      <c r="MBF3" s="120"/>
      <c r="MBG3" s="120"/>
      <c r="MBH3" s="120"/>
      <c r="MBI3" s="120"/>
      <c r="MBJ3" s="120"/>
      <c r="MBK3" s="120"/>
      <c r="MBL3" s="120"/>
      <c r="MBM3" s="120"/>
      <c r="MBN3" s="120"/>
      <c r="MBO3" s="120"/>
      <c r="MBP3" s="120"/>
      <c r="MBQ3" s="120"/>
      <c r="MBR3" s="120"/>
      <c r="MBS3" s="120"/>
      <c r="MBT3" s="120"/>
      <c r="MBU3" s="120"/>
      <c r="MBV3" s="120"/>
      <c r="MBW3" s="120"/>
      <c r="MBX3" s="120"/>
      <c r="MBY3" s="120"/>
      <c r="MBZ3" s="120"/>
      <c r="MCA3" s="120"/>
      <c r="MCB3" s="120"/>
      <c r="MCC3" s="120"/>
      <c r="MCD3" s="120"/>
      <c r="MCE3" s="120"/>
      <c r="MCF3" s="120"/>
      <c r="MCG3" s="120"/>
      <c r="MCH3" s="120"/>
      <c r="MCI3" s="120"/>
      <c r="MCJ3" s="120"/>
      <c r="MCK3" s="120"/>
      <c r="MCL3" s="120"/>
      <c r="MCM3" s="120"/>
      <c r="MCN3" s="120"/>
      <c r="MCO3" s="120"/>
      <c r="MCP3" s="120"/>
      <c r="MCQ3" s="120"/>
      <c r="MCR3" s="120"/>
      <c r="MCS3" s="120"/>
      <c r="MCT3" s="120"/>
      <c r="MCU3" s="120"/>
      <c r="MCV3" s="120"/>
      <c r="MCW3" s="120"/>
      <c r="MCX3" s="120"/>
      <c r="MCY3" s="120"/>
      <c r="MCZ3" s="120"/>
      <c r="MDA3" s="120"/>
      <c r="MDB3" s="120"/>
      <c r="MDC3" s="120"/>
      <c r="MDD3" s="120"/>
      <c r="MDE3" s="120"/>
      <c r="MDF3" s="120"/>
      <c r="MDG3" s="120"/>
      <c r="MDH3" s="120"/>
      <c r="MDI3" s="120"/>
      <c r="MDJ3" s="120"/>
      <c r="MDK3" s="120"/>
      <c r="MDL3" s="120"/>
      <c r="MDM3" s="120"/>
      <c r="MDN3" s="120"/>
      <c r="MDO3" s="120"/>
      <c r="MDP3" s="120"/>
      <c r="MDQ3" s="120"/>
      <c r="MDR3" s="120"/>
      <c r="MDS3" s="120"/>
      <c r="MDT3" s="120"/>
      <c r="MDU3" s="120"/>
      <c r="MDV3" s="120"/>
      <c r="MDW3" s="120"/>
      <c r="MDX3" s="120"/>
      <c r="MDY3" s="120"/>
      <c r="MDZ3" s="120"/>
      <c r="MEA3" s="120"/>
      <c r="MEB3" s="120"/>
      <c r="MEC3" s="120"/>
      <c r="MED3" s="120"/>
      <c r="MEE3" s="120"/>
      <c r="MEF3" s="120"/>
      <c r="MEG3" s="120"/>
      <c r="MEH3" s="120"/>
      <c r="MEI3" s="120"/>
      <c r="MEJ3" s="120"/>
      <c r="MEK3" s="120"/>
      <c r="MEL3" s="120"/>
      <c r="MEM3" s="120"/>
      <c r="MEN3" s="120"/>
      <c r="MEO3" s="120"/>
      <c r="MEP3" s="120"/>
      <c r="MEQ3" s="120"/>
      <c r="MER3" s="120"/>
      <c r="MES3" s="120"/>
      <c r="MET3" s="120"/>
      <c r="MEU3" s="120"/>
      <c r="MEV3" s="120"/>
      <c r="MEW3" s="120"/>
      <c r="MEX3" s="120"/>
      <c r="MEY3" s="120"/>
      <c r="MEZ3" s="120"/>
      <c r="MFA3" s="120"/>
      <c r="MFB3" s="120"/>
      <c r="MFC3" s="120"/>
      <c r="MFD3" s="120"/>
      <c r="MFE3" s="120"/>
      <c r="MFF3" s="120"/>
      <c r="MFG3" s="120"/>
      <c r="MFH3" s="120"/>
      <c r="MFI3" s="120"/>
      <c r="MFJ3" s="120"/>
      <c r="MFK3" s="120"/>
      <c r="MFL3" s="120"/>
      <c r="MFM3" s="120"/>
      <c r="MFN3" s="120"/>
      <c r="MFO3" s="120"/>
      <c r="MFP3" s="120"/>
      <c r="MFQ3" s="120"/>
      <c r="MFR3" s="120"/>
      <c r="MFS3" s="120"/>
      <c r="MFT3" s="120"/>
      <c r="MFU3" s="120"/>
      <c r="MFV3" s="120"/>
      <c r="MFW3" s="120"/>
      <c r="MFX3" s="120"/>
      <c r="MFY3" s="120"/>
      <c r="MFZ3" s="120"/>
      <c r="MGA3" s="120"/>
      <c r="MGB3" s="120"/>
      <c r="MGC3" s="120"/>
      <c r="MGD3" s="120"/>
      <c r="MGE3" s="120"/>
      <c r="MGF3" s="120"/>
      <c r="MGG3" s="120"/>
      <c r="MGH3" s="120"/>
      <c r="MGI3" s="120"/>
      <c r="MGJ3" s="120"/>
      <c r="MGK3" s="120"/>
      <c r="MGL3" s="120"/>
      <c r="MGM3" s="120"/>
      <c r="MGN3" s="120"/>
      <c r="MGO3" s="120"/>
      <c r="MGP3" s="120"/>
      <c r="MGQ3" s="120"/>
      <c r="MGR3" s="120"/>
      <c r="MGS3" s="120"/>
      <c r="MGT3" s="120"/>
      <c r="MGU3" s="120"/>
      <c r="MGV3" s="120"/>
      <c r="MGW3" s="120"/>
      <c r="MGX3" s="120"/>
      <c r="MGY3" s="120"/>
      <c r="MGZ3" s="120"/>
      <c r="MHA3" s="120"/>
      <c r="MHB3" s="120"/>
      <c r="MHC3" s="120"/>
      <c r="MHD3" s="120"/>
      <c r="MHE3" s="120"/>
      <c r="MHF3" s="120"/>
      <c r="MHG3" s="120"/>
      <c r="MHH3" s="120"/>
      <c r="MHI3" s="120"/>
      <c r="MHJ3" s="120"/>
      <c r="MHK3" s="120"/>
      <c r="MHL3" s="120"/>
      <c r="MHM3" s="120"/>
      <c r="MHN3" s="120"/>
      <c r="MHO3" s="120"/>
      <c r="MHP3" s="120"/>
      <c r="MHQ3" s="120"/>
      <c r="MHR3" s="120"/>
      <c r="MHS3" s="120"/>
      <c r="MHT3" s="120"/>
      <c r="MHU3" s="120"/>
      <c r="MHV3" s="120"/>
      <c r="MHW3" s="120"/>
      <c r="MHX3" s="120"/>
      <c r="MHY3" s="120"/>
      <c r="MHZ3" s="120"/>
      <c r="MIA3" s="120"/>
      <c r="MIB3" s="120"/>
      <c r="MIC3" s="120"/>
      <c r="MID3" s="120"/>
      <c r="MIE3" s="120"/>
      <c r="MIF3" s="120"/>
      <c r="MIG3" s="120"/>
      <c r="MIH3" s="120"/>
      <c r="MII3" s="120"/>
      <c r="MIJ3" s="120"/>
      <c r="MIK3" s="120"/>
      <c r="MIL3" s="120"/>
      <c r="MIM3" s="120"/>
      <c r="MIN3" s="120"/>
      <c r="MIO3" s="120"/>
      <c r="MIP3" s="120"/>
      <c r="MIQ3" s="120"/>
      <c r="MIR3" s="120"/>
      <c r="MIS3" s="120"/>
      <c r="MIT3" s="120"/>
      <c r="MIU3" s="120"/>
      <c r="MIV3" s="120"/>
      <c r="MIW3" s="120"/>
      <c r="MIX3" s="120"/>
      <c r="MIY3" s="120"/>
      <c r="MIZ3" s="120"/>
      <c r="MJA3" s="120"/>
      <c r="MJB3" s="120"/>
      <c r="MJC3" s="120"/>
      <c r="MJD3" s="120"/>
      <c r="MJE3" s="120"/>
      <c r="MJF3" s="120"/>
      <c r="MJG3" s="120"/>
      <c r="MJH3" s="120"/>
      <c r="MJI3" s="120"/>
      <c r="MJJ3" s="120"/>
      <c r="MJK3" s="120"/>
      <c r="MJL3" s="120"/>
      <c r="MJM3" s="120"/>
      <c r="MJN3" s="120"/>
      <c r="MJO3" s="120"/>
      <c r="MJP3" s="120"/>
      <c r="MJQ3" s="120"/>
      <c r="MJR3" s="120"/>
      <c r="MJS3" s="120"/>
      <c r="MJT3" s="120"/>
      <c r="MJU3" s="120"/>
      <c r="MJV3" s="120"/>
      <c r="MJW3" s="120"/>
      <c r="MJX3" s="120"/>
      <c r="MJY3" s="120"/>
      <c r="MJZ3" s="120"/>
      <c r="MKA3" s="120"/>
      <c r="MKB3" s="120"/>
      <c r="MKC3" s="120"/>
      <c r="MKD3" s="120"/>
      <c r="MKE3" s="120"/>
      <c r="MKF3" s="120"/>
      <c r="MKG3" s="120"/>
      <c r="MKH3" s="120"/>
      <c r="MKI3" s="120"/>
      <c r="MKJ3" s="120"/>
      <c r="MKK3" s="120"/>
      <c r="MKL3" s="120"/>
      <c r="MKM3" s="120"/>
      <c r="MKN3" s="120"/>
      <c r="MKO3" s="120"/>
      <c r="MKP3" s="120"/>
      <c r="MKQ3" s="120"/>
      <c r="MKR3" s="120"/>
      <c r="MKS3" s="120"/>
      <c r="MKT3" s="120"/>
      <c r="MKU3" s="120"/>
      <c r="MKV3" s="120"/>
      <c r="MKW3" s="120"/>
      <c r="MKX3" s="120"/>
      <c r="MKY3" s="120"/>
      <c r="MKZ3" s="120"/>
      <c r="MLA3" s="120"/>
      <c r="MLB3" s="120"/>
      <c r="MLC3" s="120"/>
      <c r="MLD3" s="120"/>
      <c r="MLE3" s="120"/>
      <c r="MLF3" s="120"/>
      <c r="MLG3" s="120"/>
      <c r="MLH3" s="120"/>
      <c r="MLI3" s="120"/>
      <c r="MLJ3" s="120"/>
      <c r="MLK3" s="120"/>
      <c r="MLL3" s="120"/>
      <c r="MLM3" s="120"/>
      <c r="MLN3" s="120"/>
      <c r="MLO3" s="120"/>
      <c r="MLP3" s="120"/>
      <c r="MLQ3" s="120"/>
      <c r="MLR3" s="120"/>
      <c r="MLS3" s="120"/>
      <c r="MLT3" s="120"/>
      <c r="MLU3" s="120"/>
      <c r="MLV3" s="120"/>
      <c r="MLW3" s="120"/>
      <c r="MLX3" s="120"/>
      <c r="MLY3" s="120"/>
      <c r="MLZ3" s="120"/>
      <c r="MMA3" s="120"/>
      <c r="MMB3" s="120"/>
      <c r="MMC3" s="120"/>
      <c r="MMD3" s="120"/>
      <c r="MME3" s="120"/>
      <c r="MMF3" s="120"/>
      <c r="MMG3" s="120"/>
      <c r="MMH3" s="120"/>
      <c r="MMI3" s="120"/>
      <c r="MMJ3" s="120"/>
      <c r="MMK3" s="120"/>
      <c r="MML3" s="120"/>
      <c r="MMM3" s="120"/>
      <c r="MMN3" s="120"/>
      <c r="MMO3" s="120"/>
      <c r="MMP3" s="120"/>
      <c r="MMQ3" s="120"/>
      <c r="MMR3" s="120"/>
      <c r="MMS3" s="120"/>
      <c r="MMT3" s="120"/>
      <c r="MMU3" s="120"/>
      <c r="MMV3" s="120"/>
      <c r="MMW3" s="120"/>
      <c r="MMX3" s="120"/>
      <c r="MMY3" s="120"/>
      <c r="MMZ3" s="120"/>
      <c r="MNA3" s="120"/>
      <c r="MNB3" s="120"/>
      <c r="MNC3" s="120"/>
      <c r="MND3" s="120"/>
      <c r="MNE3" s="120"/>
      <c r="MNF3" s="120"/>
      <c r="MNG3" s="120"/>
      <c r="MNH3" s="120"/>
      <c r="MNI3" s="120"/>
      <c r="MNJ3" s="120"/>
      <c r="MNK3" s="120"/>
      <c r="MNL3" s="120"/>
      <c r="MNM3" s="120"/>
      <c r="MNN3" s="120"/>
      <c r="MNO3" s="120"/>
      <c r="MNP3" s="120"/>
      <c r="MNQ3" s="120"/>
      <c r="MNR3" s="120"/>
      <c r="MNS3" s="120"/>
      <c r="MNT3" s="120"/>
      <c r="MNU3" s="120"/>
      <c r="MNV3" s="120"/>
      <c r="MNW3" s="120"/>
      <c r="MNX3" s="120"/>
      <c r="MNY3" s="120"/>
      <c r="MNZ3" s="120"/>
      <c r="MOA3" s="120"/>
      <c r="MOB3" s="120"/>
      <c r="MOC3" s="120"/>
      <c r="MOD3" s="120"/>
      <c r="MOE3" s="120"/>
      <c r="MOF3" s="120"/>
      <c r="MOG3" s="120"/>
      <c r="MOH3" s="120"/>
      <c r="MOI3" s="120"/>
      <c r="MOJ3" s="120"/>
      <c r="MOK3" s="120"/>
      <c r="MOL3" s="120"/>
      <c r="MOM3" s="120"/>
      <c r="MON3" s="120"/>
      <c r="MOO3" s="120"/>
      <c r="MOP3" s="120"/>
      <c r="MOQ3" s="120"/>
      <c r="MOR3" s="120"/>
      <c r="MOS3" s="120"/>
      <c r="MOT3" s="120"/>
      <c r="MOU3" s="120"/>
      <c r="MOV3" s="120"/>
      <c r="MOW3" s="120"/>
      <c r="MOX3" s="120"/>
      <c r="MOY3" s="120"/>
      <c r="MOZ3" s="120"/>
      <c r="MPA3" s="120"/>
      <c r="MPB3" s="120"/>
      <c r="MPC3" s="120"/>
      <c r="MPD3" s="120"/>
      <c r="MPE3" s="120"/>
      <c r="MPF3" s="120"/>
      <c r="MPG3" s="120"/>
      <c r="MPH3" s="120"/>
      <c r="MPI3" s="120"/>
      <c r="MPJ3" s="120"/>
      <c r="MPK3" s="120"/>
      <c r="MPL3" s="120"/>
      <c r="MPM3" s="120"/>
      <c r="MPN3" s="120"/>
      <c r="MPO3" s="120"/>
      <c r="MPP3" s="120"/>
      <c r="MPQ3" s="120"/>
      <c r="MPR3" s="120"/>
      <c r="MPS3" s="120"/>
      <c r="MPT3" s="120"/>
      <c r="MPU3" s="120"/>
      <c r="MPV3" s="120"/>
      <c r="MPW3" s="120"/>
      <c r="MPX3" s="120"/>
      <c r="MPY3" s="120"/>
      <c r="MPZ3" s="120"/>
      <c r="MQA3" s="120"/>
      <c r="MQB3" s="120"/>
      <c r="MQC3" s="120"/>
      <c r="MQD3" s="120"/>
      <c r="MQE3" s="120"/>
      <c r="MQF3" s="120"/>
      <c r="MQG3" s="120"/>
      <c r="MQH3" s="120"/>
      <c r="MQI3" s="120"/>
      <c r="MQJ3" s="120"/>
      <c r="MQK3" s="120"/>
      <c r="MQL3" s="120"/>
      <c r="MQM3" s="120"/>
      <c r="MQN3" s="120"/>
      <c r="MQO3" s="120"/>
      <c r="MQP3" s="120"/>
      <c r="MQQ3" s="120"/>
      <c r="MQR3" s="120"/>
      <c r="MQS3" s="120"/>
      <c r="MQT3" s="120"/>
      <c r="MQU3" s="120"/>
      <c r="MQV3" s="120"/>
      <c r="MQW3" s="120"/>
      <c r="MQX3" s="120"/>
      <c r="MQY3" s="120"/>
      <c r="MQZ3" s="120"/>
      <c r="MRA3" s="120"/>
      <c r="MRB3" s="120"/>
      <c r="MRC3" s="120"/>
      <c r="MRD3" s="120"/>
      <c r="MRE3" s="120"/>
      <c r="MRF3" s="120"/>
      <c r="MRG3" s="120"/>
      <c r="MRH3" s="120"/>
      <c r="MRI3" s="120"/>
      <c r="MRJ3" s="120"/>
      <c r="MRK3" s="120"/>
      <c r="MRL3" s="120"/>
      <c r="MRM3" s="120"/>
      <c r="MRN3" s="120"/>
      <c r="MRO3" s="120"/>
      <c r="MRP3" s="120"/>
      <c r="MRQ3" s="120"/>
      <c r="MRR3" s="120"/>
      <c r="MRS3" s="120"/>
      <c r="MRT3" s="120"/>
      <c r="MRU3" s="120"/>
      <c r="MRV3" s="120"/>
      <c r="MRW3" s="120"/>
      <c r="MRX3" s="120"/>
      <c r="MRY3" s="120"/>
      <c r="MRZ3" s="120"/>
      <c r="MSA3" s="120"/>
      <c r="MSB3" s="120"/>
      <c r="MSC3" s="120"/>
      <c r="MSD3" s="120"/>
      <c r="MSE3" s="120"/>
      <c r="MSF3" s="120"/>
      <c r="MSG3" s="120"/>
      <c r="MSH3" s="120"/>
      <c r="MSI3" s="120"/>
      <c r="MSJ3" s="120"/>
      <c r="MSK3" s="120"/>
      <c r="MSL3" s="120"/>
      <c r="MSM3" s="120"/>
      <c r="MSN3" s="120"/>
      <c r="MSO3" s="120"/>
      <c r="MSP3" s="120"/>
      <c r="MSQ3" s="120"/>
      <c r="MSR3" s="120"/>
      <c r="MSS3" s="120"/>
      <c r="MST3" s="120"/>
      <c r="MSU3" s="120"/>
      <c r="MSV3" s="120"/>
      <c r="MSW3" s="120"/>
      <c r="MSX3" s="120"/>
      <c r="MSY3" s="120"/>
      <c r="MSZ3" s="120"/>
      <c r="MTA3" s="120"/>
      <c r="MTB3" s="120"/>
      <c r="MTC3" s="120"/>
      <c r="MTD3" s="120"/>
      <c r="MTE3" s="120"/>
      <c r="MTF3" s="120"/>
      <c r="MTG3" s="120"/>
      <c r="MTH3" s="120"/>
      <c r="MTI3" s="120"/>
      <c r="MTJ3" s="120"/>
      <c r="MTK3" s="120"/>
      <c r="MTL3" s="120"/>
      <c r="MTM3" s="120"/>
      <c r="MTN3" s="120"/>
      <c r="MTO3" s="120"/>
      <c r="MTP3" s="120"/>
      <c r="MTQ3" s="120"/>
      <c r="MTR3" s="120"/>
      <c r="MTS3" s="120"/>
      <c r="MTT3" s="120"/>
      <c r="MTU3" s="120"/>
      <c r="MTV3" s="120"/>
      <c r="MTW3" s="120"/>
      <c r="MTX3" s="120"/>
      <c r="MTY3" s="120"/>
      <c r="MTZ3" s="120"/>
      <c r="MUA3" s="120"/>
      <c r="MUB3" s="120"/>
      <c r="MUC3" s="120"/>
      <c r="MUD3" s="120"/>
      <c r="MUE3" s="120"/>
      <c r="MUF3" s="120"/>
      <c r="MUG3" s="120"/>
      <c r="MUH3" s="120"/>
      <c r="MUI3" s="120"/>
      <c r="MUJ3" s="120"/>
      <c r="MUK3" s="120"/>
      <c r="MUL3" s="120"/>
      <c r="MUM3" s="120"/>
      <c r="MUN3" s="120"/>
      <c r="MUO3" s="120"/>
      <c r="MUP3" s="120"/>
      <c r="MUQ3" s="120"/>
      <c r="MUR3" s="120"/>
      <c r="MUS3" s="120"/>
      <c r="MUT3" s="120"/>
      <c r="MUU3" s="120"/>
      <c r="MUV3" s="120"/>
      <c r="MUW3" s="120"/>
      <c r="MUX3" s="120"/>
      <c r="MUY3" s="120"/>
      <c r="MUZ3" s="120"/>
      <c r="MVA3" s="120"/>
      <c r="MVB3" s="120"/>
      <c r="MVC3" s="120"/>
      <c r="MVD3" s="120"/>
      <c r="MVE3" s="120"/>
      <c r="MVF3" s="120"/>
      <c r="MVG3" s="120"/>
      <c r="MVH3" s="120"/>
      <c r="MVI3" s="120"/>
      <c r="MVJ3" s="120"/>
      <c r="MVK3" s="120"/>
      <c r="MVL3" s="120"/>
      <c r="MVM3" s="120"/>
      <c r="MVN3" s="120"/>
      <c r="MVO3" s="120"/>
      <c r="MVP3" s="120"/>
      <c r="MVQ3" s="120"/>
      <c r="MVR3" s="120"/>
      <c r="MVS3" s="120"/>
      <c r="MVT3" s="120"/>
      <c r="MVU3" s="120"/>
      <c r="MVV3" s="120"/>
      <c r="MVW3" s="120"/>
      <c r="MVX3" s="120"/>
      <c r="MVY3" s="120"/>
      <c r="MVZ3" s="120"/>
      <c r="MWA3" s="120"/>
      <c r="MWB3" s="120"/>
      <c r="MWC3" s="120"/>
      <c r="MWD3" s="120"/>
      <c r="MWE3" s="120"/>
      <c r="MWF3" s="120"/>
      <c r="MWG3" s="120"/>
      <c r="MWH3" s="120"/>
      <c r="MWI3" s="120"/>
      <c r="MWJ3" s="120"/>
      <c r="MWK3" s="120"/>
      <c r="MWL3" s="120"/>
      <c r="MWM3" s="120"/>
      <c r="MWN3" s="120"/>
      <c r="MWO3" s="120"/>
      <c r="MWP3" s="120"/>
      <c r="MWQ3" s="120"/>
      <c r="MWR3" s="120"/>
      <c r="MWS3" s="120"/>
      <c r="MWT3" s="120"/>
      <c r="MWU3" s="120"/>
      <c r="MWV3" s="120"/>
      <c r="MWW3" s="120"/>
      <c r="MWX3" s="120"/>
      <c r="MWY3" s="120"/>
      <c r="MWZ3" s="120"/>
      <c r="MXA3" s="120"/>
      <c r="MXB3" s="120"/>
      <c r="MXC3" s="120"/>
      <c r="MXD3" s="120"/>
      <c r="MXE3" s="120"/>
      <c r="MXF3" s="120"/>
      <c r="MXG3" s="120"/>
      <c r="MXH3" s="120"/>
      <c r="MXI3" s="120"/>
      <c r="MXJ3" s="120"/>
      <c r="MXK3" s="120"/>
      <c r="MXL3" s="120"/>
      <c r="MXM3" s="120"/>
      <c r="MXN3" s="120"/>
      <c r="MXO3" s="120"/>
      <c r="MXP3" s="120"/>
      <c r="MXQ3" s="120"/>
      <c r="MXR3" s="120"/>
      <c r="MXS3" s="120"/>
      <c r="MXT3" s="120"/>
      <c r="MXU3" s="120"/>
      <c r="MXV3" s="120"/>
      <c r="MXW3" s="120"/>
      <c r="MXX3" s="120"/>
      <c r="MXY3" s="120"/>
      <c r="MXZ3" s="120"/>
      <c r="MYA3" s="120"/>
      <c r="MYB3" s="120"/>
      <c r="MYC3" s="120"/>
      <c r="MYD3" s="120"/>
      <c r="MYE3" s="120"/>
      <c r="MYF3" s="120"/>
      <c r="MYG3" s="120"/>
      <c r="MYH3" s="120"/>
      <c r="MYI3" s="120"/>
      <c r="MYJ3" s="120"/>
      <c r="MYK3" s="120"/>
      <c r="MYL3" s="120"/>
      <c r="MYM3" s="120"/>
      <c r="MYN3" s="120"/>
      <c r="MYO3" s="120"/>
      <c r="MYP3" s="120"/>
      <c r="MYQ3" s="120"/>
      <c r="MYR3" s="120"/>
      <c r="MYS3" s="120"/>
      <c r="MYT3" s="120"/>
      <c r="MYU3" s="120"/>
      <c r="MYV3" s="120"/>
      <c r="MYW3" s="120"/>
      <c r="MYX3" s="120"/>
      <c r="MYY3" s="120"/>
      <c r="MYZ3" s="120"/>
      <c r="MZA3" s="120"/>
      <c r="MZB3" s="120"/>
      <c r="MZC3" s="120"/>
      <c r="MZD3" s="120"/>
      <c r="MZE3" s="120"/>
      <c r="MZF3" s="120"/>
      <c r="MZG3" s="120"/>
      <c r="MZH3" s="120"/>
      <c r="MZI3" s="120"/>
      <c r="MZJ3" s="120"/>
      <c r="MZK3" s="120"/>
      <c r="MZL3" s="120"/>
      <c r="MZM3" s="120"/>
      <c r="MZN3" s="120"/>
      <c r="MZO3" s="120"/>
      <c r="MZP3" s="120"/>
      <c r="MZQ3" s="120"/>
      <c r="MZR3" s="120"/>
      <c r="MZS3" s="120"/>
      <c r="MZT3" s="120"/>
      <c r="MZU3" s="120"/>
      <c r="MZV3" s="120"/>
      <c r="MZW3" s="120"/>
      <c r="MZX3" s="120"/>
      <c r="MZY3" s="120"/>
      <c r="MZZ3" s="120"/>
      <c r="NAA3" s="120"/>
      <c r="NAB3" s="120"/>
      <c r="NAC3" s="120"/>
      <c r="NAD3" s="120"/>
      <c r="NAE3" s="120"/>
      <c r="NAF3" s="120"/>
      <c r="NAG3" s="120"/>
      <c r="NAH3" s="120"/>
      <c r="NAI3" s="120"/>
      <c r="NAJ3" s="120"/>
      <c r="NAK3" s="120"/>
      <c r="NAL3" s="120"/>
      <c r="NAM3" s="120"/>
      <c r="NAN3" s="120"/>
      <c r="NAO3" s="120"/>
      <c r="NAP3" s="120"/>
      <c r="NAQ3" s="120"/>
      <c r="NAR3" s="120"/>
      <c r="NAS3" s="120"/>
      <c r="NAT3" s="120"/>
      <c r="NAU3" s="120"/>
      <c r="NAV3" s="120"/>
      <c r="NAW3" s="120"/>
      <c r="NAX3" s="120"/>
      <c r="NAY3" s="120"/>
      <c r="NAZ3" s="120"/>
      <c r="NBA3" s="120"/>
      <c r="NBB3" s="120"/>
      <c r="NBC3" s="120"/>
      <c r="NBD3" s="120"/>
      <c r="NBE3" s="120"/>
      <c r="NBF3" s="120"/>
      <c r="NBG3" s="120"/>
      <c r="NBH3" s="120"/>
      <c r="NBI3" s="120"/>
      <c r="NBJ3" s="120"/>
      <c r="NBK3" s="120"/>
      <c r="NBL3" s="120"/>
      <c r="NBM3" s="120"/>
      <c r="NBN3" s="120"/>
      <c r="NBO3" s="120"/>
      <c r="NBP3" s="120"/>
      <c r="NBQ3" s="120"/>
      <c r="NBR3" s="120"/>
      <c r="NBS3" s="120"/>
      <c r="NBT3" s="120"/>
      <c r="NBU3" s="120"/>
      <c r="NBV3" s="120"/>
      <c r="NBW3" s="120"/>
      <c r="NBX3" s="120"/>
      <c r="NBY3" s="120"/>
      <c r="NBZ3" s="120"/>
      <c r="NCA3" s="120"/>
      <c r="NCB3" s="120"/>
      <c r="NCC3" s="120"/>
      <c r="NCD3" s="120"/>
      <c r="NCE3" s="120"/>
      <c r="NCF3" s="120"/>
      <c r="NCG3" s="120"/>
      <c r="NCH3" s="120"/>
      <c r="NCI3" s="120"/>
      <c r="NCJ3" s="120"/>
      <c r="NCK3" s="120"/>
      <c r="NCL3" s="120"/>
      <c r="NCM3" s="120"/>
      <c r="NCN3" s="120"/>
      <c r="NCO3" s="120"/>
      <c r="NCP3" s="120"/>
      <c r="NCQ3" s="120"/>
      <c r="NCR3" s="120"/>
      <c r="NCS3" s="120"/>
      <c r="NCT3" s="120"/>
      <c r="NCU3" s="120"/>
      <c r="NCV3" s="120"/>
      <c r="NCW3" s="120"/>
      <c r="NCX3" s="120"/>
      <c r="NCY3" s="120"/>
      <c r="NCZ3" s="120"/>
      <c r="NDA3" s="120"/>
      <c r="NDB3" s="120"/>
      <c r="NDC3" s="120"/>
      <c r="NDD3" s="120"/>
      <c r="NDE3" s="120"/>
      <c r="NDF3" s="120"/>
      <c r="NDG3" s="120"/>
      <c r="NDH3" s="120"/>
      <c r="NDI3" s="120"/>
      <c r="NDJ3" s="120"/>
      <c r="NDK3" s="120"/>
      <c r="NDL3" s="120"/>
      <c r="NDM3" s="120"/>
      <c r="NDN3" s="120"/>
      <c r="NDO3" s="120"/>
      <c r="NDP3" s="120"/>
      <c r="NDQ3" s="120"/>
      <c r="NDR3" s="120"/>
      <c r="NDS3" s="120"/>
      <c r="NDT3" s="120"/>
      <c r="NDU3" s="120"/>
      <c r="NDV3" s="120"/>
      <c r="NDW3" s="120"/>
      <c r="NDX3" s="120"/>
      <c r="NDY3" s="120"/>
      <c r="NDZ3" s="120"/>
      <c r="NEA3" s="120"/>
      <c r="NEB3" s="120"/>
      <c r="NEC3" s="120"/>
      <c r="NED3" s="120"/>
      <c r="NEE3" s="120"/>
      <c r="NEF3" s="120"/>
      <c r="NEG3" s="120"/>
      <c r="NEH3" s="120"/>
      <c r="NEI3" s="120"/>
      <c r="NEJ3" s="120"/>
      <c r="NEK3" s="120"/>
      <c r="NEL3" s="120"/>
      <c r="NEM3" s="120"/>
      <c r="NEN3" s="120"/>
      <c r="NEO3" s="120"/>
      <c r="NEP3" s="120"/>
      <c r="NEQ3" s="120"/>
      <c r="NER3" s="120"/>
      <c r="NES3" s="120"/>
      <c r="NET3" s="120"/>
      <c r="NEU3" s="120"/>
      <c r="NEV3" s="120"/>
      <c r="NEW3" s="120"/>
      <c r="NEX3" s="120"/>
      <c r="NEY3" s="120"/>
      <c r="NEZ3" s="120"/>
      <c r="NFA3" s="120"/>
      <c r="NFB3" s="120"/>
      <c r="NFC3" s="120"/>
      <c r="NFD3" s="120"/>
      <c r="NFE3" s="120"/>
      <c r="NFF3" s="120"/>
      <c r="NFG3" s="120"/>
      <c r="NFH3" s="120"/>
      <c r="NFI3" s="120"/>
      <c r="NFJ3" s="120"/>
      <c r="NFK3" s="120"/>
      <c r="NFL3" s="120"/>
      <c r="NFM3" s="120"/>
      <c r="NFN3" s="120"/>
      <c r="NFO3" s="120"/>
      <c r="NFP3" s="120"/>
      <c r="NFQ3" s="120"/>
      <c r="NFR3" s="120"/>
      <c r="NFS3" s="120"/>
      <c r="NFT3" s="120"/>
      <c r="NFU3" s="120"/>
      <c r="NFV3" s="120"/>
      <c r="NFW3" s="120"/>
      <c r="NFX3" s="120"/>
      <c r="NFY3" s="120"/>
      <c r="NFZ3" s="120"/>
      <c r="NGA3" s="120"/>
      <c r="NGB3" s="120"/>
      <c r="NGC3" s="120"/>
      <c r="NGD3" s="120"/>
      <c r="NGE3" s="120"/>
      <c r="NGF3" s="120"/>
      <c r="NGG3" s="120"/>
      <c r="NGH3" s="120"/>
      <c r="NGI3" s="120"/>
      <c r="NGJ3" s="120"/>
      <c r="NGK3" s="120"/>
      <c r="NGL3" s="120"/>
      <c r="NGM3" s="120"/>
      <c r="NGN3" s="120"/>
      <c r="NGO3" s="120"/>
      <c r="NGP3" s="120"/>
      <c r="NGQ3" s="120"/>
      <c r="NGR3" s="120"/>
      <c r="NGS3" s="120"/>
      <c r="NGT3" s="120"/>
      <c r="NGU3" s="120"/>
      <c r="NGV3" s="120"/>
      <c r="NGW3" s="120"/>
      <c r="NGX3" s="120"/>
      <c r="NGY3" s="120"/>
      <c r="NGZ3" s="120"/>
      <c r="NHA3" s="120"/>
      <c r="NHB3" s="120"/>
      <c r="NHC3" s="120"/>
      <c r="NHD3" s="120"/>
      <c r="NHE3" s="120"/>
      <c r="NHF3" s="120"/>
      <c r="NHG3" s="120"/>
      <c r="NHH3" s="120"/>
      <c r="NHI3" s="120"/>
      <c r="NHJ3" s="120"/>
      <c r="NHK3" s="120"/>
      <c r="NHL3" s="120"/>
      <c r="NHM3" s="120"/>
      <c r="NHN3" s="120"/>
      <c r="NHO3" s="120"/>
      <c r="NHP3" s="120"/>
      <c r="NHQ3" s="120"/>
      <c r="NHR3" s="120"/>
      <c r="NHS3" s="120"/>
      <c r="NHT3" s="120"/>
      <c r="NHU3" s="120"/>
      <c r="NHV3" s="120"/>
      <c r="NHW3" s="120"/>
      <c r="NHX3" s="120"/>
      <c r="NHY3" s="120"/>
      <c r="NHZ3" s="120"/>
      <c r="NIA3" s="120"/>
      <c r="NIB3" s="120"/>
      <c r="NIC3" s="120"/>
      <c r="NID3" s="120"/>
      <c r="NIE3" s="120"/>
      <c r="NIF3" s="120"/>
      <c r="NIG3" s="120"/>
      <c r="NIH3" s="120"/>
      <c r="NII3" s="120"/>
      <c r="NIJ3" s="120"/>
      <c r="NIK3" s="120"/>
      <c r="NIL3" s="120"/>
      <c r="NIM3" s="120"/>
      <c r="NIN3" s="120"/>
      <c r="NIO3" s="120"/>
      <c r="NIP3" s="120"/>
      <c r="NIQ3" s="120"/>
      <c r="NIR3" s="120"/>
      <c r="NIS3" s="120"/>
      <c r="NIT3" s="120"/>
      <c r="NIU3" s="120"/>
      <c r="NIV3" s="120"/>
      <c r="NIW3" s="120"/>
      <c r="NIX3" s="120"/>
      <c r="NIY3" s="120"/>
      <c r="NIZ3" s="120"/>
      <c r="NJA3" s="120"/>
      <c r="NJB3" s="120"/>
      <c r="NJC3" s="120"/>
      <c r="NJD3" s="120"/>
      <c r="NJE3" s="120"/>
      <c r="NJF3" s="120"/>
      <c r="NJG3" s="120"/>
      <c r="NJH3" s="120"/>
      <c r="NJI3" s="120"/>
      <c r="NJJ3" s="120"/>
      <c r="NJK3" s="120"/>
      <c r="NJL3" s="120"/>
      <c r="NJM3" s="120"/>
      <c r="NJN3" s="120"/>
      <c r="NJO3" s="120"/>
      <c r="NJP3" s="120"/>
      <c r="NJQ3" s="120"/>
      <c r="NJR3" s="120"/>
      <c r="NJS3" s="120"/>
      <c r="NJT3" s="120"/>
      <c r="NJU3" s="120"/>
      <c r="NJV3" s="120"/>
      <c r="NJW3" s="120"/>
      <c r="NJX3" s="120"/>
      <c r="NJY3" s="120"/>
      <c r="NJZ3" s="120"/>
      <c r="NKA3" s="120"/>
      <c r="NKB3" s="120"/>
      <c r="NKC3" s="120"/>
      <c r="NKD3" s="120"/>
      <c r="NKE3" s="120"/>
      <c r="NKF3" s="120"/>
      <c r="NKG3" s="120"/>
      <c r="NKH3" s="120"/>
      <c r="NKI3" s="120"/>
      <c r="NKJ3" s="120"/>
      <c r="NKK3" s="120"/>
      <c r="NKL3" s="120"/>
      <c r="NKM3" s="120"/>
      <c r="NKN3" s="120"/>
      <c r="NKO3" s="120"/>
      <c r="NKP3" s="120"/>
      <c r="NKQ3" s="120"/>
      <c r="NKR3" s="120"/>
      <c r="NKS3" s="120"/>
      <c r="NKT3" s="120"/>
      <c r="NKU3" s="120"/>
      <c r="NKV3" s="120"/>
      <c r="NKW3" s="120"/>
      <c r="NKX3" s="120"/>
      <c r="NKY3" s="120"/>
      <c r="NKZ3" s="120"/>
      <c r="NLA3" s="120"/>
      <c r="NLB3" s="120"/>
      <c r="NLC3" s="120"/>
      <c r="NLD3" s="120"/>
      <c r="NLE3" s="120"/>
      <c r="NLF3" s="120"/>
      <c r="NLG3" s="120"/>
      <c r="NLH3" s="120"/>
      <c r="NLI3" s="120"/>
      <c r="NLJ3" s="120"/>
      <c r="NLK3" s="120"/>
      <c r="NLL3" s="120"/>
      <c r="NLM3" s="120"/>
      <c r="NLN3" s="120"/>
      <c r="NLO3" s="120"/>
      <c r="NLP3" s="120"/>
      <c r="NLQ3" s="120"/>
      <c r="NLR3" s="120"/>
      <c r="NLS3" s="120"/>
      <c r="NLT3" s="120"/>
      <c r="NLU3" s="120"/>
      <c r="NLV3" s="120"/>
      <c r="NLW3" s="120"/>
      <c r="NLX3" s="120"/>
      <c r="NLY3" s="120"/>
      <c r="NLZ3" s="120"/>
      <c r="NMA3" s="120"/>
      <c r="NMB3" s="120"/>
      <c r="NMC3" s="120"/>
      <c r="NMD3" s="120"/>
      <c r="NME3" s="120"/>
      <c r="NMF3" s="120"/>
      <c r="NMG3" s="120"/>
      <c r="NMH3" s="120"/>
      <c r="NMI3" s="120"/>
      <c r="NMJ3" s="120"/>
      <c r="NMK3" s="120"/>
      <c r="NML3" s="120"/>
      <c r="NMM3" s="120"/>
      <c r="NMN3" s="120"/>
      <c r="NMO3" s="120"/>
      <c r="NMP3" s="120"/>
      <c r="NMQ3" s="120"/>
      <c r="NMR3" s="120"/>
      <c r="NMS3" s="120"/>
      <c r="NMT3" s="120"/>
      <c r="NMU3" s="120"/>
      <c r="NMV3" s="120"/>
      <c r="NMW3" s="120"/>
      <c r="NMX3" s="120"/>
      <c r="NMY3" s="120"/>
      <c r="NMZ3" s="120"/>
      <c r="NNA3" s="120"/>
      <c r="NNB3" s="120"/>
      <c r="NNC3" s="120"/>
      <c r="NND3" s="120"/>
      <c r="NNE3" s="120"/>
      <c r="NNF3" s="120"/>
      <c r="NNG3" s="120"/>
      <c r="NNH3" s="120"/>
      <c r="NNI3" s="120"/>
      <c r="NNJ3" s="120"/>
      <c r="NNK3" s="120"/>
      <c r="NNL3" s="120"/>
      <c r="NNM3" s="120"/>
      <c r="NNN3" s="120"/>
      <c r="NNO3" s="120"/>
      <c r="NNP3" s="120"/>
      <c r="NNQ3" s="120"/>
      <c r="NNR3" s="120"/>
      <c r="NNS3" s="120"/>
      <c r="NNT3" s="120"/>
      <c r="NNU3" s="120"/>
      <c r="NNV3" s="120"/>
      <c r="NNW3" s="120"/>
      <c r="NNX3" s="120"/>
      <c r="NNY3" s="120"/>
      <c r="NNZ3" s="120"/>
      <c r="NOA3" s="120"/>
      <c r="NOB3" s="120"/>
      <c r="NOC3" s="120"/>
      <c r="NOD3" s="120"/>
      <c r="NOE3" s="120"/>
      <c r="NOF3" s="120"/>
      <c r="NOG3" s="120"/>
      <c r="NOH3" s="120"/>
      <c r="NOI3" s="120"/>
      <c r="NOJ3" s="120"/>
      <c r="NOK3" s="120"/>
      <c r="NOL3" s="120"/>
      <c r="NOM3" s="120"/>
      <c r="NON3" s="120"/>
      <c r="NOO3" s="120"/>
      <c r="NOP3" s="120"/>
      <c r="NOQ3" s="120"/>
      <c r="NOR3" s="120"/>
      <c r="NOS3" s="120"/>
      <c r="NOT3" s="120"/>
      <c r="NOU3" s="120"/>
      <c r="NOV3" s="120"/>
      <c r="NOW3" s="120"/>
      <c r="NOX3" s="120"/>
      <c r="NOY3" s="120"/>
      <c r="NOZ3" s="120"/>
      <c r="NPA3" s="120"/>
      <c r="NPB3" s="120"/>
      <c r="NPC3" s="120"/>
      <c r="NPD3" s="120"/>
      <c r="NPE3" s="120"/>
      <c r="NPF3" s="120"/>
      <c r="NPG3" s="120"/>
      <c r="NPH3" s="120"/>
      <c r="NPI3" s="120"/>
      <c r="NPJ3" s="120"/>
      <c r="NPK3" s="120"/>
      <c r="NPL3" s="120"/>
      <c r="NPM3" s="120"/>
      <c r="NPN3" s="120"/>
      <c r="NPO3" s="120"/>
      <c r="NPP3" s="120"/>
      <c r="NPQ3" s="120"/>
      <c r="NPR3" s="120"/>
      <c r="NPS3" s="120"/>
      <c r="NPT3" s="120"/>
      <c r="NPU3" s="120"/>
      <c r="NPV3" s="120"/>
      <c r="NPW3" s="120"/>
      <c r="NPX3" s="120"/>
      <c r="NPY3" s="120"/>
      <c r="NPZ3" s="120"/>
      <c r="NQA3" s="120"/>
      <c r="NQB3" s="120"/>
      <c r="NQC3" s="120"/>
      <c r="NQD3" s="120"/>
      <c r="NQE3" s="120"/>
      <c r="NQF3" s="120"/>
      <c r="NQG3" s="120"/>
      <c r="NQH3" s="120"/>
      <c r="NQI3" s="120"/>
      <c r="NQJ3" s="120"/>
      <c r="NQK3" s="120"/>
      <c r="NQL3" s="120"/>
      <c r="NQM3" s="120"/>
      <c r="NQN3" s="120"/>
      <c r="NQO3" s="120"/>
      <c r="NQP3" s="120"/>
      <c r="NQQ3" s="120"/>
      <c r="NQR3" s="120"/>
      <c r="NQS3" s="120"/>
      <c r="NQT3" s="120"/>
      <c r="NQU3" s="120"/>
      <c r="NQV3" s="120"/>
      <c r="NQW3" s="120"/>
      <c r="NQX3" s="120"/>
      <c r="NQY3" s="120"/>
      <c r="NQZ3" s="120"/>
      <c r="NRA3" s="120"/>
      <c r="NRB3" s="120"/>
      <c r="NRC3" s="120"/>
      <c r="NRD3" s="120"/>
      <c r="NRE3" s="120"/>
      <c r="NRF3" s="120"/>
      <c r="NRG3" s="120"/>
      <c r="NRH3" s="120"/>
      <c r="NRI3" s="120"/>
      <c r="NRJ3" s="120"/>
      <c r="NRK3" s="120"/>
      <c r="NRL3" s="120"/>
      <c r="NRM3" s="120"/>
      <c r="NRN3" s="120"/>
      <c r="NRO3" s="120"/>
      <c r="NRP3" s="120"/>
      <c r="NRQ3" s="120"/>
      <c r="NRR3" s="120"/>
      <c r="NRS3" s="120"/>
      <c r="NRT3" s="120"/>
      <c r="NRU3" s="120"/>
      <c r="NRV3" s="120"/>
      <c r="NRW3" s="120"/>
      <c r="NRX3" s="120"/>
      <c r="NRY3" s="120"/>
      <c r="NRZ3" s="120"/>
      <c r="NSA3" s="120"/>
      <c r="NSB3" s="120"/>
      <c r="NSC3" s="120"/>
      <c r="NSD3" s="120"/>
      <c r="NSE3" s="120"/>
      <c r="NSF3" s="120"/>
      <c r="NSG3" s="120"/>
      <c r="NSH3" s="120"/>
      <c r="NSI3" s="120"/>
      <c r="NSJ3" s="120"/>
      <c r="NSK3" s="120"/>
      <c r="NSL3" s="120"/>
      <c r="NSM3" s="120"/>
      <c r="NSN3" s="120"/>
      <c r="NSO3" s="120"/>
      <c r="NSP3" s="120"/>
      <c r="NSQ3" s="120"/>
      <c r="NSR3" s="120"/>
      <c r="NSS3" s="120"/>
      <c r="NST3" s="120"/>
      <c r="NSU3" s="120"/>
      <c r="NSV3" s="120"/>
      <c r="NSW3" s="120"/>
      <c r="NSX3" s="120"/>
      <c r="NSY3" s="120"/>
      <c r="NSZ3" s="120"/>
      <c r="NTA3" s="120"/>
      <c r="NTB3" s="120"/>
      <c r="NTC3" s="120"/>
      <c r="NTD3" s="120"/>
      <c r="NTE3" s="120"/>
      <c r="NTF3" s="120"/>
      <c r="NTG3" s="120"/>
      <c r="NTH3" s="120"/>
      <c r="NTI3" s="120"/>
      <c r="NTJ3" s="120"/>
      <c r="NTK3" s="120"/>
      <c r="NTL3" s="120"/>
      <c r="NTM3" s="120"/>
      <c r="NTN3" s="120"/>
      <c r="NTO3" s="120"/>
      <c r="NTP3" s="120"/>
      <c r="NTQ3" s="120"/>
      <c r="NTR3" s="120"/>
      <c r="NTS3" s="120"/>
      <c r="NTT3" s="120"/>
      <c r="NTU3" s="120"/>
      <c r="NTV3" s="120"/>
      <c r="NTW3" s="120"/>
      <c r="NTX3" s="120"/>
      <c r="NTY3" s="120"/>
      <c r="NTZ3" s="120"/>
      <c r="NUA3" s="120"/>
      <c r="NUB3" s="120"/>
      <c r="NUC3" s="120"/>
      <c r="NUD3" s="120"/>
      <c r="NUE3" s="120"/>
      <c r="NUF3" s="120"/>
      <c r="NUG3" s="120"/>
      <c r="NUH3" s="120"/>
      <c r="NUI3" s="120"/>
      <c r="NUJ3" s="120"/>
      <c r="NUK3" s="120"/>
      <c r="NUL3" s="120"/>
      <c r="NUM3" s="120"/>
      <c r="NUN3" s="120"/>
      <c r="NUO3" s="120"/>
      <c r="NUP3" s="120"/>
      <c r="NUQ3" s="120"/>
      <c r="NUR3" s="120"/>
      <c r="NUS3" s="120"/>
      <c r="NUT3" s="120"/>
      <c r="NUU3" s="120"/>
      <c r="NUV3" s="120"/>
      <c r="NUW3" s="120"/>
      <c r="NUX3" s="120"/>
      <c r="NUY3" s="120"/>
      <c r="NUZ3" s="120"/>
      <c r="NVA3" s="120"/>
      <c r="NVB3" s="120"/>
      <c r="NVC3" s="120"/>
      <c r="NVD3" s="120"/>
      <c r="NVE3" s="120"/>
      <c r="NVF3" s="120"/>
      <c r="NVG3" s="120"/>
      <c r="NVH3" s="120"/>
      <c r="NVI3" s="120"/>
      <c r="NVJ3" s="120"/>
      <c r="NVK3" s="120"/>
      <c r="NVL3" s="120"/>
      <c r="NVM3" s="120"/>
      <c r="NVN3" s="120"/>
      <c r="NVO3" s="120"/>
      <c r="NVP3" s="120"/>
      <c r="NVQ3" s="120"/>
      <c r="NVR3" s="120"/>
      <c r="NVS3" s="120"/>
      <c r="NVT3" s="120"/>
      <c r="NVU3" s="120"/>
      <c r="NVV3" s="120"/>
      <c r="NVW3" s="120"/>
      <c r="NVX3" s="120"/>
      <c r="NVY3" s="120"/>
      <c r="NVZ3" s="120"/>
      <c r="NWA3" s="120"/>
      <c r="NWB3" s="120"/>
      <c r="NWC3" s="120"/>
      <c r="NWD3" s="120"/>
      <c r="NWE3" s="120"/>
      <c r="NWF3" s="120"/>
      <c r="NWG3" s="120"/>
      <c r="NWH3" s="120"/>
      <c r="NWI3" s="120"/>
      <c r="NWJ3" s="120"/>
      <c r="NWK3" s="120"/>
      <c r="NWL3" s="120"/>
      <c r="NWM3" s="120"/>
      <c r="NWN3" s="120"/>
      <c r="NWO3" s="120"/>
      <c r="NWP3" s="120"/>
      <c r="NWQ3" s="120"/>
      <c r="NWR3" s="120"/>
      <c r="NWS3" s="120"/>
      <c r="NWT3" s="120"/>
      <c r="NWU3" s="120"/>
      <c r="NWV3" s="120"/>
      <c r="NWW3" s="120"/>
      <c r="NWX3" s="120"/>
      <c r="NWY3" s="120"/>
      <c r="NWZ3" s="120"/>
      <c r="NXA3" s="120"/>
      <c r="NXB3" s="120"/>
      <c r="NXC3" s="120"/>
      <c r="NXD3" s="120"/>
      <c r="NXE3" s="120"/>
      <c r="NXF3" s="120"/>
      <c r="NXG3" s="120"/>
      <c r="NXH3" s="120"/>
      <c r="NXI3" s="120"/>
      <c r="NXJ3" s="120"/>
      <c r="NXK3" s="120"/>
      <c r="NXL3" s="120"/>
      <c r="NXM3" s="120"/>
      <c r="NXN3" s="120"/>
      <c r="NXO3" s="120"/>
      <c r="NXP3" s="120"/>
      <c r="NXQ3" s="120"/>
      <c r="NXR3" s="120"/>
      <c r="NXS3" s="120"/>
      <c r="NXT3" s="120"/>
      <c r="NXU3" s="120"/>
      <c r="NXV3" s="120"/>
      <c r="NXW3" s="120"/>
      <c r="NXX3" s="120"/>
      <c r="NXY3" s="120"/>
      <c r="NXZ3" s="120"/>
      <c r="NYA3" s="120"/>
      <c r="NYB3" s="120"/>
      <c r="NYC3" s="120"/>
      <c r="NYD3" s="120"/>
      <c r="NYE3" s="120"/>
      <c r="NYF3" s="120"/>
      <c r="NYG3" s="120"/>
      <c r="NYH3" s="120"/>
      <c r="NYI3" s="120"/>
      <c r="NYJ3" s="120"/>
      <c r="NYK3" s="120"/>
      <c r="NYL3" s="120"/>
      <c r="NYM3" s="120"/>
      <c r="NYN3" s="120"/>
      <c r="NYO3" s="120"/>
      <c r="NYP3" s="120"/>
      <c r="NYQ3" s="120"/>
      <c r="NYR3" s="120"/>
      <c r="NYS3" s="120"/>
      <c r="NYT3" s="120"/>
      <c r="NYU3" s="120"/>
      <c r="NYV3" s="120"/>
      <c r="NYW3" s="120"/>
      <c r="NYX3" s="120"/>
      <c r="NYY3" s="120"/>
      <c r="NYZ3" s="120"/>
      <c r="NZA3" s="120"/>
      <c r="NZB3" s="120"/>
      <c r="NZC3" s="120"/>
      <c r="NZD3" s="120"/>
      <c r="NZE3" s="120"/>
      <c r="NZF3" s="120"/>
      <c r="NZG3" s="120"/>
      <c r="NZH3" s="120"/>
      <c r="NZI3" s="120"/>
      <c r="NZJ3" s="120"/>
      <c r="NZK3" s="120"/>
      <c r="NZL3" s="120"/>
      <c r="NZM3" s="120"/>
      <c r="NZN3" s="120"/>
      <c r="NZO3" s="120"/>
      <c r="NZP3" s="120"/>
      <c r="NZQ3" s="120"/>
      <c r="NZR3" s="120"/>
      <c r="NZS3" s="120"/>
      <c r="NZT3" s="120"/>
      <c r="NZU3" s="120"/>
      <c r="NZV3" s="120"/>
      <c r="NZW3" s="120"/>
      <c r="NZX3" s="120"/>
      <c r="NZY3" s="120"/>
      <c r="NZZ3" s="120"/>
      <c r="OAA3" s="120"/>
      <c r="OAB3" s="120"/>
      <c r="OAC3" s="120"/>
      <c r="OAD3" s="120"/>
      <c r="OAE3" s="120"/>
      <c r="OAF3" s="120"/>
      <c r="OAG3" s="120"/>
      <c r="OAH3" s="120"/>
      <c r="OAI3" s="120"/>
      <c r="OAJ3" s="120"/>
      <c r="OAK3" s="120"/>
      <c r="OAL3" s="120"/>
      <c r="OAM3" s="120"/>
      <c r="OAN3" s="120"/>
      <c r="OAO3" s="120"/>
      <c r="OAP3" s="120"/>
      <c r="OAQ3" s="120"/>
      <c r="OAR3" s="120"/>
      <c r="OAS3" s="120"/>
      <c r="OAT3" s="120"/>
      <c r="OAU3" s="120"/>
      <c r="OAV3" s="120"/>
      <c r="OAW3" s="120"/>
      <c r="OAX3" s="120"/>
      <c r="OAY3" s="120"/>
      <c r="OAZ3" s="120"/>
      <c r="OBA3" s="120"/>
      <c r="OBB3" s="120"/>
      <c r="OBC3" s="120"/>
      <c r="OBD3" s="120"/>
      <c r="OBE3" s="120"/>
      <c r="OBF3" s="120"/>
      <c r="OBG3" s="120"/>
      <c r="OBH3" s="120"/>
      <c r="OBI3" s="120"/>
      <c r="OBJ3" s="120"/>
      <c r="OBK3" s="120"/>
      <c r="OBL3" s="120"/>
      <c r="OBM3" s="120"/>
      <c r="OBN3" s="120"/>
      <c r="OBO3" s="120"/>
      <c r="OBP3" s="120"/>
      <c r="OBQ3" s="120"/>
      <c r="OBR3" s="120"/>
      <c r="OBS3" s="120"/>
      <c r="OBT3" s="120"/>
      <c r="OBU3" s="120"/>
      <c r="OBV3" s="120"/>
      <c r="OBW3" s="120"/>
      <c r="OBX3" s="120"/>
      <c r="OBY3" s="120"/>
      <c r="OBZ3" s="120"/>
      <c r="OCA3" s="120"/>
      <c r="OCB3" s="120"/>
      <c r="OCC3" s="120"/>
      <c r="OCD3" s="120"/>
      <c r="OCE3" s="120"/>
      <c r="OCF3" s="120"/>
      <c r="OCG3" s="120"/>
      <c r="OCH3" s="120"/>
      <c r="OCI3" s="120"/>
      <c r="OCJ3" s="120"/>
      <c r="OCK3" s="120"/>
      <c r="OCL3" s="120"/>
      <c r="OCM3" s="120"/>
      <c r="OCN3" s="120"/>
      <c r="OCO3" s="120"/>
      <c r="OCP3" s="120"/>
      <c r="OCQ3" s="120"/>
      <c r="OCR3" s="120"/>
      <c r="OCS3" s="120"/>
      <c r="OCT3" s="120"/>
      <c r="OCU3" s="120"/>
      <c r="OCV3" s="120"/>
      <c r="OCW3" s="120"/>
      <c r="OCX3" s="120"/>
      <c r="OCY3" s="120"/>
      <c r="OCZ3" s="120"/>
      <c r="ODA3" s="120"/>
      <c r="ODB3" s="120"/>
      <c r="ODC3" s="120"/>
      <c r="ODD3" s="120"/>
      <c r="ODE3" s="120"/>
      <c r="ODF3" s="120"/>
      <c r="ODG3" s="120"/>
      <c r="ODH3" s="120"/>
      <c r="ODI3" s="120"/>
      <c r="ODJ3" s="120"/>
      <c r="ODK3" s="120"/>
      <c r="ODL3" s="120"/>
      <c r="ODM3" s="120"/>
      <c r="ODN3" s="120"/>
      <c r="ODO3" s="120"/>
      <c r="ODP3" s="120"/>
      <c r="ODQ3" s="120"/>
      <c r="ODR3" s="120"/>
      <c r="ODS3" s="120"/>
      <c r="ODT3" s="120"/>
      <c r="ODU3" s="120"/>
      <c r="ODV3" s="120"/>
      <c r="ODW3" s="120"/>
      <c r="ODX3" s="120"/>
      <c r="ODY3" s="120"/>
      <c r="ODZ3" s="120"/>
      <c r="OEA3" s="120"/>
      <c r="OEB3" s="120"/>
      <c r="OEC3" s="120"/>
      <c r="OED3" s="120"/>
      <c r="OEE3" s="120"/>
      <c r="OEF3" s="120"/>
      <c r="OEG3" s="120"/>
      <c r="OEH3" s="120"/>
      <c r="OEI3" s="120"/>
      <c r="OEJ3" s="120"/>
      <c r="OEK3" s="120"/>
      <c r="OEL3" s="120"/>
      <c r="OEM3" s="120"/>
      <c r="OEN3" s="120"/>
      <c r="OEO3" s="120"/>
      <c r="OEP3" s="120"/>
      <c r="OEQ3" s="120"/>
      <c r="OER3" s="120"/>
      <c r="OES3" s="120"/>
      <c r="OET3" s="120"/>
      <c r="OEU3" s="120"/>
      <c r="OEV3" s="120"/>
      <c r="OEW3" s="120"/>
      <c r="OEX3" s="120"/>
      <c r="OEY3" s="120"/>
      <c r="OEZ3" s="120"/>
      <c r="OFA3" s="120"/>
      <c r="OFB3" s="120"/>
      <c r="OFC3" s="120"/>
      <c r="OFD3" s="120"/>
      <c r="OFE3" s="120"/>
      <c r="OFF3" s="120"/>
      <c r="OFG3" s="120"/>
      <c r="OFH3" s="120"/>
      <c r="OFI3" s="120"/>
      <c r="OFJ3" s="120"/>
      <c r="OFK3" s="120"/>
      <c r="OFL3" s="120"/>
      <c r="OFM3" s="120"/>
      <c r="OFN3" s="120"/>
      <c r="OFO3" s="120"/>
      <c r="OFP3" s="120"/>
      <c r="OFQ3" s="120"/>
      <c r="OFR3" s="120"/>
      <c r="OFS3" s="120"/>
      <c r="OFT3" s="120"/>
      <c r="OFU3" s="120"/>
      <c r="OFV3" s="120"/>
      <c r="OFW3" s="120"/>
      <c r="OFX3" s="120"/>
      <c r="OFY3" s="120"/>
      <c r="OFZ3" s="120"/>
      <c r="OGA3" s="120"/>
      <c r="OGB3" s="120"/>
      <c r="OGC3" s="120"/>
      <c r="OGD3" s="120"/>
      <c r="OGE3" s="120"/>
      <c r="OGF3" s="120"/>
      <c r="OGG3" s="120"/>
      <c r="OGH3" s="120"/>
      <c r="OGI3" s="120"/>
      <c r="OGJ3" s="120"/>
      <c r="OGK3" s="120"/>
      <c r="OGL3" s="120"/>
      <c r="OGM3" s="120"/>
      <c r="OGN3" s="120"/>
      <c r="OGO3" s="120"/>
      <c r="OGP3" s="120"/>
      <c r="OGQ3" s="120"/>
      <c r="OGR3" s="120"/>
      <c r="OGS3" s="120"/>
      <c r="OGT3" s="120"/>
      <c r="OGU3" s="120"/>
      <c r="OGV3" s="120"/>
      <c r="OGW3" s="120"/>
      <c r="OGX3" s="120"/>
      <c r="OGY3" s="120"/>
      <c r="OGZ3" s="120"/>
      <c r="OHA3" s="120"/>
      <c r="OHB3" s="120"/>
      <c r="OHC3" s="120"/>
      <c r="OHD3" s="120"/>
      <c r="OHE3" s="120"/>
      <c r="OHF3" s="120"/>
      <c r="OHG3" s="120"/>
      <c r="OHH3" s="120"/>
      <c r="OHI3" s="120"/>
      <c r="OHJ3" s="120"/>
      <c r="OHK3" s="120"/>
      <c r="OHL3" s="120"/>
      <c r="OHM3" s="120"/>
      <c r="OHN3" s="120"/>
      <c r="OHO3" s="120"/>
      <c r="OHP3" s="120"/>
      <c r="OHQ3" s="120"/>
      <c r="OHR3" s="120"/>
      <c r="OHS3" s="120"/>
      <c r="OHT3" s="120"/>
      <c r="OHU3" s="120"/>
      <c r="OHV3" s="120"/>
      <c r="OHW3" s="120"/>
      <c r="OHX3" s="120"/>
      <c r="OHY3" s="120"/>
      <c r="OHZ3" s="120"/>
      <c r="OIA3" s="120"/>
      <c r="OIB3" s="120"/>
      <c r="OIC3" s="120"/>
      <c r="OID3" s="120"/>
      <c r="OIE3" s="120"/>
      <c r="OIF3" s="120"/>
      <c r="OIG3" s="120"/>
      <c r="OIH3" s="120"/>
      <c r="OII3" s="120"/>
      <c r="OIJ3" s="120"/>
      <c r="OIK3" s="120"/>
      <c r="OIL3" s="120"/>
      <c r="OIM3" s="120"/>
      <c r="OIN3" s="120"/>
      <c r="OIO3" s="120"/>
      <c r="OIP3" s="120"/>
      <c r="OIQ3" s="120"/>
      <c r="OIR3" s="120"/>
      <c r="OIS3" s="120"/>
      <c r="OIT3" s="120"/>
      <c r="OIU3" s="120"/>
      <c r="OIV3" s="120"/>
      <c r="OIW3" s="120"/>
      <c r="OIX3" s="120"/>
      <c r="OIY3" s="120"/>
      <c r="OIZ3" s="120"/>
      <c r="OJA3" s="120"/>
      <c r="OJB3" s="120"/>
      <c r="OJC3" s="120"/>
      <c r="OJD3" s="120"/>
      <c r="OJE3" s="120"/>
      <c r="OJF3" s="120"/>
      <c r="OJG3" s="120"/>
      <c r="OJH3" s="120"/>
      <c r="OJI3" s="120"/>
      <c r="OJJ3" s="120"/>
      <c r="OJK3" s="120"/>
      <c r="OJL3" s="120"/>
      <c r="OJM3" s="120"/>
      <c r="OJN3" s="120"/>
      <c r="OJO3" s="120"/>
      <c r="OJP3" s="120"/>
      <c r="OJQ3" s="120"/>
      <c r="OJR3" s="120"/>
      <c r="OJS3" s="120"/>
      <c r="OJT3" s="120"/>
      <c r="OJU3" s="120"/>
      <c r="OJV3" s="120"/>
      <c r="OJW3" s="120"/>
      <c r="OJX3" s="120"/>
      <c r="OJY3" s="120"/>
      <c r="OJZ3" s="120"/>
      <c r="OKA3" s="120"/>
      <c r="OKB3" s="120"/>
      <c r="OKC3" s="120"/>
      <c r="OKD3" s="120"/>
      <c r="OKE3" s="120"/>
      <c r="OKF3" s="120"/>
      <c r="OKG3" s="120"/>
      <c r="OKH3" s="120"/>
      <c r="OKI3" s="120"/>
      <c r="OKJ3" s="120"/>
      <c r="OKK3" s="120"/>
      <c r="OKL3" s="120"/>
      <c r="OKM3" s="120"/>
      <c r="OKN3" s="120"/>
      <c r="OKO3" s="120"/>
      <c r="OKP3" s="120"/>
      <c r="OKQ3" s="120"/>
      <c r="OKR3" s="120"/>
      <c r="OKS3" s="120"/>
      <c r="OKT3" s="120"/>
      <c r="OKU3" s="120"/>
      <c r="OKV3" s="120"/>
      <c r="OKW3" s="120"/>
      <c r="OKX3" s="120"/>
      <c r="OKY3" s="120"/>
      <c r="OKZ3" s="120"/>
      <c r="OLA3" s="120"/>
      <c r="OLB3" s="120"/>
      <c r="OLC3" s="120"/>
      <c r="OLD3" s="120"/>
      <c r="OLE3" s="120"/>
      <c r="OLF3" s="120"/>
      <c r="OLG3" s="120"/>
      <c r="OLH3" s="120"/>
      <c r="OLI3" s="120"/>
      <c r="OLJ3" s="120"/>
      <c r="OLK3" s="120"/>
      <c r="OLL3" s="120"/>
      <c r="OLM3" s="120"/>
      <c r="OLN3" s="120"/>
      <c r="OLO3" s="120"/>
      <c r="OLP3" s="120"/>
      <c r="OLQ3" s="120"/>
      <c r="OLR3" s="120"/>
      <c r="OLS3" s="120"/>
      <c r="OLT3" s="120"/>
      <c r="OLU3" s="120"/>
      <c r="OLV3" s="120"/>
      <c r="OLW3" s="120"/>
      <c r="OLX3" s="120"/>
      <c r="OLY3" s="120"/>
      <c r="OLZ3" s="120"/>
      <c r="OMA3" s="120"/>
      <c r="OMB3" s="120"/>
      <c r="OMC3" s="120"/>
      <c r="OMD3" s="120"/>
      <c r="OME3" s="120"/>
      <c r="OMF3" s="120"/>
      <c r="OMG3" s="120"/>
      <c r="OMH3" s="120"/>
      <c r="OMI3" s="120"/>
      <c r="OMJ3" s="120"/>
      <c r="OMK3" s="120"/>
      <c r="OML3" s="120"/>
      <c r="OMM3" s="120"/>
      <c r="OMN3" s="120"/>
      <c r="OMO3" s="120"/>
      <c r="OMP3" s="120"/>
      <c r="OMQ3" s="120"/>
      <c r="OMR3" s="120"/>
      <c r="OMS3" s="120"/>
      <c r="OMT3" s="120"/>
      <c r="OMU3" s="120"/>
      <c r="OMV3" s="120"/>
      <c r="OMW3" s="120"/>
      <c r="OMX3" s="120"/>
      <c r="OMY3" s="120"/>
      <c r="OMZ3" s="120"/>
      <c r="ONA3" s="120"/>
      <c r="ONB3" s="120"/>
      <c r="ONC3" s="120"/>
      <c r="OND3" s="120"/>
      <c r="ONE3" s="120"/>
      <c r="ONF3" s="120"/>
      <c r="ONG3" s="120"/>
      <c r="ONH3" s="120"/>
      <c r="ONI3" s="120"/>
      <c r="ONJ3" s="120"/>
      <c r="ONK3" s="120"/>
      <c r="ONL3" s="120"/>
      <c r="ONM3" s="120"/>
      <c r="ONN3" s="120"/>
      <c r="ONO3" s="120"/>
      <c r="ONP3" s="120"/>
      <c r="ONQ3" s="120"/>
      <c r="ONR3" s="120"/>
      <c r="ONS3" s="120"/>
      <c r="ONT3" s="120"/>
      <c r="ONU3" s="120"/>
      <c r="ONV3" s="120"/>
      <c r="ONW3" s="120"/>
      <c r="ONX3" s="120"/>
      <c r="ONY3" s="120"/>
      <c r="ONZ3" s="120"/>
      <c r="OOA3" s="120"/>
      <c r="OOB3" s="120"/>
      <c r="OOC3" s="120"/>
      <c r="OOD3" s="120"/>
      <c r="OOE3" s="120"/>
      <c r="OOF3" s="120"/>
      <c r="OOG3" s="120"/>
      <c r="OOH3" s="120"/>
      <c r="OOI3" s="120"/>
      <c r="OOJ3" s="120"/>
      <c r="OOK3" s="120"/>
      <c r="OOL3" s="120"/>
      <c r="OOM3" s="120"/>
      <c r="OON3" s="120"/>
      <c r="OOO3" s="120"/>
      <c r="OOP3" s="120"/>
      <c r="OOQ3" s="120"/>
      <c r="OOR3" s="120"/>
      <c r="OOS3" s="120"/>
      <c r="OOT3" s="120"/>
      <c r="OOU3" s="120"/>
      <c r="OOV3" s="120"/>
      <c r="OOW3" s="120"/>
      <c r="OOX3" s="120"/>
      <c r="OOY3" s="120"/>
      <c r="OOZ3" s="120"/>
      <c r="OPA3" s="120"/>
      <c r="OPB3" s="120"/>
      <c r="OPC3" s="120"/>
      <c r="OPD3" s="120"/>
      <c r="OPE3" s="120"/>
      <c r="OPF3" s="120"/>
      <c r="OPG3" s="120"/>
      <c r="OPH3" s="120"/>
      <c r="OPI3" s="120"/>
      <c r="OPJ3" s="120"/>
      <c r="OPK3" s="120"/>
      <c r="OPL3" s="120"/>
      <c r="OPM3" s="120"/>
      <c r="OPN3" s="120"/>
      <c r="OPO3" s="120"/>
      <c r="OPP3" s="120"/>
      <c r="OPQ3" s="120"/>
      <c r="OPR3" s="120"/>
      <c r="OPS3" s="120"/>
      <c r="OPT3" s="120"/>
      <c r="OPU3" s="120"/>
      <c r="OPV3" s="120"/>
      <c r="OPW3" s="120"/>
      <c r="OPX3" s="120"/>
      <c r="OPY3" s="120"/>
      <c r="OPZ3" s="120"/>
      <c r="OQA3" s="120"/>
      <c r="OQB3" s="120"/>
      <c r="OQC3" s="120"/>
      <c r="OQD3" s="120"/>
      <c r="OQE3" s="120"/>
      <c r="OQF3" s="120"/>
      <c r="OQG3" s="120"/>
      <c r="OQH3" s="120"/>
      <c r="OQI3" s="120"/>
      <c r="OQJ3" s="120"/>
      <c r="OQK3" s="120"/>
      <c r="OQL3" s="120"/>
      <c r="OQM3" s="120"/>
      <c r="OQN3" s="120"/>
      <c r="OQO3" s="120"/>
      <c r="OQP3" s="120"/>
      <c r="OQQ3" s="120"/>
      <c r="OQR3" s="120"/>
      <c r="OQS3" s="120"/>
      <c r="OQT3" s="120"/>
      <c r="OQU3" s="120"/>
      <c r="OQV3" s="120"/>
      <c r="OQW3" s="120"/>
      <c r="OQX3" s="120"/>
      <c r="OQY3" s="120"/>
      <c r="OQZ3" s="120"/>
      <c r="ORA3" s="120"/>
      <c r="ORB3" s="120"/>
      <c r="ORC3" s="120"/>
      <c r="ORD3" s="120"/>
      <c r="ORE3" s="120"/>
      <c r="ORF3" s="120"/>
      <c r="ORG3" s="120"/>
      <c r="ORH3" s="120"/>
      <c r="ORI3" s="120"/>
      <c r="ORJ3" s="120"/>
      <c r="ORK3" s="120"/>
      <c r="ORL3" s="120"/>
      <c r="ORM3" s="120"/>
      <c r="ORN3" s="120"/>
      <c r="ORO3" s="120"/>
      <c r="ORP3" s="120"/>
      <c r="ORQ3" s="120"/>
      <c r="ORR3" s="120"/>
      <c r="ORS3" s="120"/>
      <c r="ORT3" s="120"/>
      <c r="ORU3" s="120"/>
      <c r="ORV3" s="120"/>
      <c r="ORW3" s="120"/>
      <c r="ORX3" s="120"/>
      <c r="ORY3" s="120"/>
      <c r="ORZ3" s="120"/>
      <c r="OSA3" s="120"/>
      <c r="OSB3" s="120"/>
      <c r="OSC3" s="120"/>
      <c r="OSD3" s="120"/>
      <c r="OSE3" s="120"/>
      <c r="OSF3" s="120"/>
      <c r="OSG3" s="120"/>
      <c r="OSH3" s="120"/>
      <c r="OSI3" s="120"/>
      <c r="OSJ3" s="120"/>
      <c r="OSK3" s="120"/>
      <c r="OSL3" s="120"/>
      <c r="OSM3" s="120"/>
      <c r="OSN3" s="120"/>
      <c r="OSO3" s="120"/>
      <c r="OSP3" s="120"/>
      <c r="OSQ3" s="120"/>
      <c r="OSR3" s="120"/>
      <c r="OSS3" s="120"/>
      <c r="OST3" s="120"/>
      <c r="OSU3" s="120"/>
      <c r="OSV3" s="120"/>
      <c r="OSW3" s="120"/>
      <c r="OSX3" s="120"/>
      <c r="OSY3" s="120"/>
      <c r="OSZ3" s="120"/>
      <c r="OTA3" s="120"/>
      <c r="OTB3" s="120"/>
      <c r="OTC3" s="120"/>
      <c r="OTD3" s="120"/>
      <c r="OTE3" s="120"/>
      <c r="OTF3" s="120"/>
      <c r="OTG3" s="120"/>
      <c r="OTH3" s="120"/>
      <c r="OTI3" s="120"/>
      <c r="OTJ3" s="120"/>
      <c r="OTK3" s="120"/>
      <c r="OTL3" s="120"/>
      <c r="OTM3" s="120"/>
      <c r="OTN3" s="120"/>
      <c r="OTO3" s="120"/>
      <c r="OTP3" s="120"/>
      <c r="OTQ3" s="120"/>
      <c r="OTR3" s="120"/>
      <c r="OTS3" s="120"/>
      <c r="OTT3" s="120"/>
      <c r="OTU3" s="120"/>
      <c r="OTV3" s="120"/>
      <c r="OTW3" s="120"/>
      <c r="OTX3" s="120"/>
      <c r="OTY3" s="120"/>
      <c r="OTZ3" s="120"/>
      <c r="OUA3" s="120"/>
      <c r="OUB3" s="120"/>
      <c r="OUC3" s="120"/>
      <c r="OUD3" s="120"/>
      <c r="OUE3" s="120"/>
      <c r="OUF3" s="120"/>
      <c r="OUG3" s="120"/>
      <c r="OUH3" s="120"/>
      <c r="OUI3" s="120"/>
      <c r="OUJ3" s="120"/>
      <c r="OUK3" s="120"/>
      <c r="OUL3" s="120"/>
      <c r="OUM3" s="120"/>
      <c r="OUN3" s="120"/>
      <c r="OUO3" s="120"/>
      <c r="OUP3" s="120"/>
      <c r="OUQ3" s="120"/>
      <c r="OUR3" s="120"/>
      <c r="OUS3" s="120"/>
      <c r="OUT3" s="120"/>
      <c r="OUU3" s="120"/>
      <c r="OUV3" s="120"/>
      <c r="OUW3" s="120"/>
      <c r="OUX3" s="120"/>
      <c r="OUY3" s="120"/>
      <c r="OUZ3" s="120"/>
      <c r="OVA3" s="120"/>
      <c r="OVB3" s="120"/>
      <c r="OVC3" s="120"/>
      <c r="OVD3" s="120"/>
      <c r="OVE3" s="120"/>
      <c r="OVF3" s="120"/>
      <c r="OVG3" s="120"/>
      <c r="OVH3" s="120"/>
      <c r="OVI3" s="120"/>
      <c r="OVJ3" s="120"/>
      <c r="OVK3" s="120"/>
      <c r="OVL3" s="120"/>
      <c r="OVM3" s="120"/>
      <c r="OVN3" s="120"/>
      <c r="OVO3" s="120"/>
      <c r="OVP3" s="120"/>
      <c r="OVQ3" s="120"/>
      <c r="OVR3" s="120"/>
      <c r="OVS3" s="120"/>
      <c r="OVT3" s="120"/>
      <c r="OVU3" s="120"/>
      <c r="OVV3" s="120"/>
      <c r="OVW3" s="120"/>
      <c r="OVX3" s="120"/>
      <c r="OVY3" s="120"/>
      <c r="OVZ3" s="120"/>
      <c r="OWA3" s="120"/>
      <c r="OWB3" s="120"/>
      <c r="OWC3" s="120"/>
      <c r="OWD3" s="120"/>
      <c r="OWE3" s="120"/>
      <c r="OWF3" s="120"/>
      <c r="OWG3" s="120"/>
      <c r="OWH3" s="120"/>
      <c r="OWI3" s="120"/>
      <c r="OWJ3" s="120"/>
      <c r="OWK3" s="120"/>
      <c r="OWL3" s="120"/>
      <c r="OWM3" s="120"/>
      <c r="OWN3" s="120"/>
      <c r="OWO3" s="120"/>
      <c r="OWP3" s="120"/>
      <c r="OWQ3" s="120"/>
      <c r="OWR3" s="120"/>
      <c r="OWS3" s="120"/>
      <c r="OWT3" s="120"/>
      <c r="OWU3" s="120"/>
      <c r="OWV3" s="120"/>
      <c r="OWW3" s="120"/>
      <c r="OWX3" s="120"/>
      <c r="OWY3" s="120"/>
      <c r="OWZ3" s="120"/>
      <c r="OXA3" s="120"/>
      <c r="OXB3" s="120"/>
      <c r="OXC3" s="120"/>
      <c r="OXD3" s="120"/>
      <c r="OXE3" s="120"/>
      <c r="OXF3" s="120"/>
      <c r="OXG3" s="120"/>
      <c r="OXH3" s="120"/>
      <c r="OXI3" s="120"/>
      <c r="OXJ3" s="120"/>
      <c r="OXK3" s="120"/>
      <c r="OXL3" s="120"/>
      <c r="OXM3" s="120"/>
      <c r="OXN3" s="120"/>
      <c r="OXO3" s="120"/>
      <c r="OXP3" s="120"/>
      <c r="OXQ3" s="120"/>
      <c r="OXR3" s="120"/>
      <c r="OXS3" s="120"/>
      <c r="OXT3" s="120"/>
      <c r="OXU3" s="120"/>
      <c r="OXV3" s="120"/>
      <c r="OXW3" s="120"/>
      <c r="OXX3" s="120"/>
      <c r="OXY3" s="120"/>
      <c r="OXZ3" s="120"/>
      <c r="OYA3" s="120"/>
      <c r="OYB3" s="120"/>
      <c r="OYC3" s="120"/>
      <c r="OYD3" s="120"/>
      <c r="OYE3" s="120"/>
      <c r="OYF3" s="120"/>
      <c r="OYG3" s="120"/>
      <c r="OYH3" s="120"/>
      <c r="OYI3" s="120"/>
      <c r="OYJ3" s="120"/>
      <c r="OYK3" s="120"/>
      <c r="OYL3" s="120"/>
      <c r="OYM3" s="120"/>
      <c r="OYN3" s="120"/>
      <c r="OYO3" s="120"/>
      <c r="OYP3" s="120"/>
      <c r="OYQ3" s="120"/>
      <c r="OYR3" s="120"/>
      <c r="OYS3" s="120"/>
      <c r="OYT3" s="120"/>
      <c r="OYU3" s="120"/>
      <c r="OYV3" s="120"/>
      <c r="OYW3" s="120"/>
      <c r="OYX3" s="120"/>
      <c r="OYY3" s="120"/>
      <c r="OYZ3" s="120"/>
      <c r="OZA3" s="120"/>
      <c r="OZB3" s="120"/>
      <c r="OZC3" s="120"/>
      <c r="OZD3" s="120"/>
      <c r="OZE3" s="120"/>
      <c r="OZF3" s="120"/>
      <c r="OZG3" s="120"/>
      <c r="OZH3" s="120"/>
      <c r="OZI3" s="120"/>
      <c r="OZJ3" s="120"/>
      <c r="OZK3" s="120"/>
      <c r="OZL3" s="120"/>
      <c r="OZM3" s="120"/>
      <c r="OZN3" s="120"/>
      <c r="OZO3" s="120"/>
      <c r="OZP3" s="120"/>
      <c r="OZQ3" s="120"/>
      <c r="OZR3" s="120"/>
      <c r="OZS3" s="120"/>
      <c r="OZT3" s="120"/>
      <c r="OZU3" s="120"/>
      <c r="OZV3" s="120"/>
      <c r="OZW3" s="120"/>
      <c r="OZX3" s="120"/>
      <c r="OZY3" s="120"/>
      <c r="OZZ3" s="120"/>
      <c r="PAA3" s="120"/>
      <c r="PAB3" s="120"/>
      <c r="PAC3" s="120"/>
      <c r="PAD3" s="120"/>
      <c r="PAE3" s="120"/>
      <c r="PAF3" s="120"/>
      <c r="PAG3" s="120"/>
      <c r="PAH3" s="120"/>
      <c r="PAI3" s="120"/>
      <c r="PAJ3" s="120"/>
      <c r="PAK3" s="120"/>
      <c r="PAL3" s="120"/>
      <c r="PAM3" s="120"/>
      <c r="PAN3" s="120"/>
      <c r="PAO3" s="120"/>
      <c r="PAP3" s="120"/>
      <c r="PAQ3" s="120"/>
      <c r="PAR3" s="120"/>
      <c r="PAS3" s="120"/>
      <c r="PAT3" s="120"/>
      <c r="PAU3" s="120"/>
      <c r="PAV3" s="120"/>
      <c r="PAW3" s="120"/>
      <c r="PAX3" s="120"/>
      <c r="PAY3" s="120"/>
      <c r="PAZ3" s="120"/>
      <c r="PBA3" s="120"/>
      <c r="PBB3" s="120"/>
      <c r="PBC3" s="120"/>
      <c r="PBD3" s="120"/>
      <c r="PBE3" s="120"/>
      <c r="PBF3" s="120"/>
      <c r="PBG3" s="120"/>
      <c r="PBH3" s="120"/>
      <c r="PBI3" s="120"/>
      <c r="PBJ3" s="120"/>
      <c r="PBK3" s="120"/>
      <c r="PBL3" s="120"/>
      <c r="PBM3" s="120"/>
      <c r="PBN3" s="120"/>
      <c r="PBO3" s="120"/>
      <c r="PBP3" s="120"/>
      <c r="PBQ3" s="120"/>
      <c r="PBR3" s="120"/>
      <c r="PBS3" s="120"/>
      <c r="PBT3" s="120"/>
      <c r="PBU3" s="120"/>
      <c r="PBV3" s="120"/>
      <c r="PBW3" s="120"/>
      <c r="PBX3" s="120"/>
      <c r="PBY3" s="120"/>
      <c r="PBZ3" s="120"/>
      <c r="PCA3" s="120"/>
      <c r="PCB3" s="120"/>
      <c r="PCC3" s="120"/>
      <c r="PCD3" s="120"/>
      <c r="PCE3" s="120"/>
      <c r="PCF3" s="120"/>
      <c r="PCG3" s="120"/>
      <c r="PCH3" s="120"/>
      <c r="PCI3" s="120"/>
      <c r="PCJ3" s="120"/>
      <c r="PCK3" s="120"/>
      <c r="PCL3" s="120"/>
      <c r="PCM3" s="120"/>
      <c r="PCN3" s="120"/>
      <c r="PCO3" s="120"/>
      <c r="PCP3" s="120"/>
      <c r="PCQ3" s="120"/>
      <c r="PCR3" s="120"/>
      <c r="PCS3" s="120"/>
      <c r="PCT3" s="120"/>
      <c r="PCU3" s="120"/>
      <c r="PCV3" s="120"/>
      <c r="PCW3" s="120"/>
      <c r="PCX3" s="120"/>
      <c r="PCY3" s="120"/>
      <c r="PCZ3" s="120"/>
      <c r="PDA3" s="120"/>
      <c r="PDB3" s="120"/>
      <c r="PDC3" s="120"/>
      <c r="PDD3" s="120"/>
      <c r="PDE3" s="120"/>
      <c r="PDF3" s="120"/>
      <c r="PDG3" s="120"/>
      <c r="PDH3" s="120"/>
      <c r="PDI3" s="120"/>
      <c r="PDJ3" s="120"/>
      <c r="PDK3" s="120"/>
      <c r="PDL3" s="120"/>
      <c r="PDM3" s="120"/>
      <c r="PDN3" s="120"/>
      <c r="PDO3" s="120"/>
      <c r="PDP3" s="120"/>
      <c r="PDQ3" s="120"/>
      <c r="PDR3" s="120"/>
      <c r="PDS3" s="120"/>
      <c r="PDT3" s="120"/>
      <c r="PDU3" s="120"/>
      <c r="PDV3" s="120"/>
      <c r="PDW3" s="120"/>
      <c r="PDX3" s="120"/>
      <c r="PDY3" s="120"/>
      <c r="PDZ3" s="120"/>
      <c r="PEA3" s="120"/>
      <c r="PEB3" s="120"/>
      <c r="PEC3" s="120"/>
      <c r="PED3" s="120"/>
      <c r="PEE3" s="120"/>
      <c r="PEF3" s="120"/>
      <c r="PEG3" s="120"/>
      <c r="PEH3" s="120"/>
      <c r="PEI3" s="120"/>
      <c r="PEJ3" s="120"/>
      <c r="PEK3" s="120"/>
      <c r="PEL3" s="120"/>
      <c r="PEM3" s="120"/>
      <c r="PEN3" s="120"/>
      <c r="PEO3" s="120"/>
      <c r="PEP3" s="120"/>
      <c r="PEQ3" s="120"/>
      <c r="PER3" s="120"/>
      <c r="PES3" s="120"/>
      <c r="PET3" s="120"/>
      <c r="PEU3" s="120"/>
      <c r="PEV3" s="120"/>
      <c r="PEW3" s="120"/>
      <c r="PEX3" s="120"/>
      <c r="PEY3" s="120"/>
      <c r="PEZ3" s="120"/>
      <c r="PFA3" s="120"/>
      <c r="PFB3" s="120"/>
      <c r="PFC3" s="120"/>
      <c r="PFD3" s="120"/>
      <c r="PFE3" s="120"/>
      <c r="PFF3" s="120"/>
      <c r="PFG3" s="120"/>
      <c r="PFH3" s="120"/>
      <c r="PFI3" s="120"/>
      <c r="PFJ3" s="120"/>
      <c r="PFK3" s="120"/>
      <c r="PFL3" s="120"/>
      <c r="PFM3" s="120"/>
      <c r="PFN3" s="120"/>
      <c r="PFO3" s="120"/>
      <c r="PFP3" s="120"/>
      <c r="PFQ3" s="120"/>
      <c r="PFR3" s="120"/>
      <c r="PFS3" s="120"/>
      <c r="PFT3" s="120"/>
      <c r="PFU3" s="120"/>
      <c r="PFV3" s="120"/>
      <c r="PFW3" s="120"/>
      <c r="PFX3" s="120"/>
      <c r="PFY3" s="120"/>
      <c r="PFZ3" s="120"/>
      <c r="PGA3" s="120"/>
      <c r="PGB3" s="120"/>
      <c r="PGC3" s="120"/>
      <c r="PGD3" s="120"/>
      <c r="PGE3" s="120"/>
      <c r="PGF3" s="120"/>
      <c r="PGG3" s="120"/>
      <c r="PGH3" s="120"/>
      <c r="PGI3" s="120"/>
      <c r="PGJ3" s="120"/>
      <c r="PGK3" s="120"/>
      <c r="PGL3" s="120"/>
      <c r="PGM3" s="120"/>
      <c r="PGN3" s="120"/>
      <c r="PGO3" s="120"/>
      <c r="PGP3" s="120"/>
      <c r="PGQ3" s="120"/>
      <c r="PGR3" s="120"/>
      <c r="PGS3" s="120"/>
      <c r="PGT3" s="120"/>
      <c r="PGU3" s="120"/>
      <c r="PGV3" s="120"/>
      <c r="PGW3" s="120"/>
      <c r="PGX3" s="120"/>
      <c r="PGY3" s="120"/>
      <c r="PGZ3" s="120"/>
      <c r="PHA3" s="120"/>
      <c r="PHB3" s="120"/>
      <c r="PHC3" s="120"/>
      <c r="PHD3" s="120"/>
      <c r="PHE3" s="120"/>
      <c r="PHF3" s="120"/>
      <c r="PHG3" s="120"/>
      <c r="PHH3" s="120"/>
      <c r="PHI3" s="120"/>
      <c r="PHJ3" s="120"/>
      <c r="PHK3" s="120"/>
      <c r="PHL3" s="120"/>
      <c r="PHM3" s="120"/>
      <c r="PHN3" s="120"/>
      <c r="PHO3" s="120"/>
      <c r="PHP3" s="120"/>
      <c r="PHQ3" s="120"/>
      <c r="PHR3" s="120"/>
      <c r="PHS3" s="120"/>
      <c r="PHT3" s="120"/>
      <c r="PHU3" s="120"/>
      <c r="PHV3" s="120"/>
      <c r="PHW3" s="120"/>
      <c r="PHX3" s="120"/>
      <c r="PHY3" s="120"/>
      <c r="PHZ3" s="120"/>
      <c r="PIA3" s="120"/>
      <c r="PIB3" s="120"/>
      <c r="PIC3" s="120"/>
      <c r="PID3" s="120"/>
      <c r="PIE3" s="120"/>
      <c r="PIF3" s="120"/>
      <c r="PIG3" s="120"/>
      <c r="PIH3" s="120"/>
      <c r="PII3" s="120"/>
      <c r="PIJ3" s="120"/>
      <c r="PIK3" s="120"/>
      <c r="PIL3" s="120"/>
      <c r="PIM3" s="120"/>
      <c r="PIN3" s="120"/>
      <c r="PIO3" s="120"/>
      <c r="PIP3" s="120"/>
      <c r="PIQ3" s="120"/>
      <c r="PIR3" s="120"/>
      <c r="PIS3" s="120"/>
      <c r="PIT3" s="120"/>
      <c r="PIU3" s="120"/>
      <c r="PIV3" s="120"/>
      <c r="PIW3" s="120"/>
      <c r="PIX3" s="120"/>
      <c r="PIY3" s="120"/>
      <c r="PIZ3" s="120"/>
      <c r="PJA3" s="120"/>
      <c r="PJB3" s="120"/>
      <c r="PJC3" s="120"/>
      <c r="PJD3" s="120"/>
      <c r="PJE3" s="120"/>
      <c r="PJF3" s="120"/>
      <c r="PJG3" s="120"/>
      <c r="PJH3" s="120"/>
      <c r="PJI3" s="120"/>
      <c r="PJJ3" s="120"/>
      <c r="PJK3" s="120"/>
      <c r="PJL3" s="120"/>
      <c r="PJM3" s="120"/>
      <c r="PJN3" s="120"/>
      <c r="PJO3" s="120"/>
      <c r="PJP3" s="120"/>
      <c r="PJQ3" s="120"/>
      <c r="PJR3" s="120"/>
      <c r="PJS3" s="120"/>
      <c r="PJT3" s="120"/>
      <c r="PJU3" s="120"/>
      <c r="PJV3" s="120"/>
      <c r="PJW3" s="120"/>
      <c r="PJX3" s="120"/>
      <c r="PJY3" s="120"/>
      <c r="PJZ3" s="120"/>
      <c r="PKA3" s="120"/>
      <c r="PKB3" s="120"/>
      <c r="PKC3" s="120"/>
      <c r="PKD3" s="120"/>
      <c r="PKE3" s="120"/>
      <c r="PKF3" s="120"/>
      <c r="PKG3" s="120"/>
      <c r="PKH3" s="120"/>
      <c r="PKI3" s="120"/>
      <c r="PKJ3" s="120"/>
      <c r="PKK3" s="120"/>
      <c r="PKL3" s="120"/>
      <c r="PKM3" s="120"/>
      <c r="PKN3" s="120"/>
      <c r="PKO3" s="120"/>
      <c r="PKP3" s="120"/>
      <c r="PKQ3" s="120"/>
      <c r="PKR3" s="120"/>
      <c r="PKS3" s="120"/>
      <c r="PKT3" s="120"/>
      <c r="PKU3" s="120"/>
      <c r="PKV3" s="120"/>
      <c r="PKW3" s="120"/>
      <c r="PKX3" s="120"/>
      <c r="PKY3" s="120"/>
      <c r="PKZ3" s="120"/>
      <c r="PLA3" s="120"/>
      <c r="PLB3" s="120"/>
      <c r="PLC3" s="120"/>
      <c r="PLD3" s="120"/>
      <c r="PLE3" s="120"/>
      <c r="PLF3" s="120"/>
      <c r="PLG3" s="120"/>
      <c r="PLH3" s="120"/>
      <c r="PLI3" s="120"/>
      <c r="PLJ3" s="120"/>
      <c r="PLK3" s="120"/>
      <c r="PLL3" s="120"/>
      <c r="PLM3" s="120"/>
      <c r="PLN3" s="120"/>
      <c r="PLO3" s="120"/>
      <c r="PLP3" s="120"/>
      <c r="PLQ3" s="120"/>
      <c r="PLR3" s="120"/>
      <c r="PLS3" s="120"/>
      <c r="PLT3" s="120"/>
      <c r="PLU3" s="120"/>
      <c r="PLV3" s="120"/>
      <c r="PLW3" s="120"/>
      <c r="PLX3" s="120"/>
      <c r="PLY3" s="120"/>
      <c r="PLZ3" s="120"/>
      <c r="PMA3" s="120"/>
      <c r="PMB3" s="120"/>
      <c r="PMC3" s="120"/>
      <c r="PMD3" s="120"/>
      <c r="PME3" s="120"/>
      <c r="PMF3" s="120"/>
      <c r="PMG3" s="120"/>
      <c r="PMH3" s="120"/>
      <c r="PMI3" s="120"/>
      <c r="PMJ3" s="120"/>
      <c r="PMK3" s="120"/>
      <c r="PML3" s="120"/>
      <c r="PMM3" s="120"/>
      <c r="PMN3" s="120"/>
      <c r="PMO3" s="120"/>
      <c r="PMP3" s="120"/>
      <c r="PMQ3" s="120"/>
      <c r="PMR3" s="120"/>
      <c r="PMS3" s="120"/>
      <c r="PMT3" s="120"/>
      <c r="PMU3" s="120"/>
      <c r="PMV3" s="120"/>
      <c r="PMW3" s="120"/>
      <c r="PMX3" s="120"/>
      <c r="PMY3" s="120"/>
      <c r="PMZ3" s="120"/>
      <c r="PNA3" s="120"/>
      <c r="PNB3" s="120"/>
      <c r="PNC3" s="120"/>
      <c r="PND3" s="120"/>
      <c r="PNE3" s="120"/>
      <c r="PNF3" s="120"/>
      <c r="PNG3" s="120"/>
      <c r="PNH3" s="120"/>
      <c r="PNI3" s="120"/>
      <c r="PNJ3" s="120"/>
      <c r="PNK3" s="120"/>
      <c r="PNL3" s="120"/>
      <c r="PNM3" s="120"/>
      <c r="PNN3" s="120"/>
      <c r="PNO3" s="120"/>
      <c r="PNP3" s="120"/>
      <c r="PNQ3" s="120"/>
      <c r="PNR3" s="120"/>
      <c r="PNS3" s="120"/>
      <c r="PNT3" s="120"/>
      <c r="PNU3" s="120"/>
      <c r="PNV3" s="120"/>
      <c r="PNW3" s="120"/>
      <c r="PNX3" s="120"/>
      <c r="PNY3" s="120"/>
      <c r="PNZ3" s="120"/>
      <c r="POA3" s="120"/>
      <c r="POB3" s="120"/>
      <c r="POC3" s="120"/>
      <c r="POD3" s="120"/>
      <c r="POE3" s="120"/>
      <c r="POF3" s="120"/>
      <c r="POG3" s="120"/>
      <c r="POH3" s="120"/>
      <c r="POI3" s="120"/>
      <c r="POJ3" s="120"/>
      <c r="POK3" s="120"/>
      <c r="POL3" s="120"/>
      <c r="POM3" s="120"/>
      <c r="PON3" s="120"/>
      <c r="POO3" s="120"/>
      <c r="POP3" s="120"/>
      <c r="POQ3" s="120"/>
      <c r="POR3" s="120"/>
      <c r="POS3" s="120"/>
      <c r="POT3" s="120"/>
      <c r="POU3" s="120"/>
      <c r="POV3" s="120"/>
      <c r="POW3" s="120"/>
      <c r="POX3" s="120"/>
      <c r="POY3" s="120"/>
      <c r="POZ3" s="120"/>
      <c r="PPA3" s="120"/>
      <c r="PPB3" s="120"/>
      <c r="PPC3" s="120"/>
      <c r="PPD3" s="120"/>
      <c r="PPE3" s="120"/>
      <c r="PPF3" s="120"/>
      <c r="PPG3" s="120"/>
      <c r="PPH3" s="120"/>
      <c r="PPI3" s="120"/>
      <c r="PPJ3" s="120"/>
      <c r="PPK3" s="120"/>
      <c r="PPL3" s="120"/>
      <c r="PPM3" s="120"/>
      <c r="PPN3" s="120"/>
      <c r="PPO3" s="120"/>
      <c r="PPP3" s="120"/>
      <c r="PPQ3" s="120"/>
      <c r="PPR3" s="120"/>
      <c r="PPS3" s="120"/>
      <c r="PPT3" s="120"/>
      <c r="PPU3" s="120"/>
      <c r="PPV3" s="120"/>
      <c r="PPW3" s="120"/>
      <c r="PPX3" s="120"/>
      <c r="PPY3" s="120"/>
      <c r="PPZ3" s="120"/>
      <c r="PQA3" s="120"/>
      <c r="PQB3" s="120"/>
      <c r="PQC3" s="120"/>
      <c r="PQD3" s="120"/>
      <c r="PQE3" s="120"/>
      <c r="PQF3" s="120"/>
      <c r="PQG3" s="120"/>
      <c r="PQH3" s="120"/>
      <c r="PQI3" s="120"/>
      <c r="PQJ3" s="120"/>
      <c r="PQK3" s="120"/>
      <c r="PQL3" s="120"/>
      <c r="PQM3" s="120"/>
      <c r="PQN3" s="120"/>
      <c r="PQO3" s="120"/>
      <c r="PQP3" s="120"/>
      <c r="PQQ3" s="120"/>
      <c r="PQR3" s="120"/>
      <c r="PQS3" s="120"/>
      <c r="PQT3" s="120"/>
      <c r="PQU3" s="120"/>
      <c r="PQV3" s="120"/>
      <c r="PQW3" s="120"/>
      <c r="PQX3" s="120"/>
      <c r="PQY3" s="120"/>
      <c r="PQZ3" s="120"/>
      <c r="PRA3" s="120"/>
      <c r="PRB3" s="120"/>
      <c r="PRC3" s="120"/>
      <c r="PRD3" s="120"/>
      <c r="PRE3" s="120"/>
      <c r="PRF3" s="120"/>
      <c r="PRG3" s="120"/>
      <c r="PRH3" s="120"/>
      <c r="PRI3" s="120"/>
      <c r="PRJ3" s="120"/>
      <c r="PRK3" s="120"/>
      <c r="PRL3" s="120"/>
      <c r="PRM3" s="120"/>
      <c r="PRN3" s="120"/>
      <c r="PRO3" s="120"/>
      <c r="PRP3" s="120"/>
      <c r="PRQ3" s="120"/>
      <c r="PRR3" s="120"/>
      <c r="PRS3" s="120"/>
      <c r="PRT3" s="120"/>
      <c r="PRU3" s="120"/>
      <c r="PRV3" s="120"/>
      <c r="PRW3" s="120"/>
      <c r="PRX3" s="120"/>
      <c r="PRY3" s="120"/>
      <c r="PRZ3" s="120"/>
      <c r="PSA3" s="120"/>
      <c r="PSB3" s="120"/>
      <c r="PSC3" s="120"/>
      <c r="PSD3" s="120"/>
      <c r="PSE3" s="120"/>
      <c r="PSF3" s="120"/>
      <c r="PSG3" s="120"/>
      <c r="PSH3" s="120"/>
      <c r="PSI3" s="120"/>
      <c r="PSJ3" s="120"/>
      <c r="PSK3" s="120"/>
      <c r="PSL3" s="120"/>
      <c r="PSM3" s="120"/>
      <c r="PSN3" s="120"/>
      <c r="PSO3" s="120"/>
      <c r="PSP3" s="120"/>
      <c r="PSQ3" s="120"/>
      <c r="PSR3" s="120"/>
      <c r="PSS3" s="120"/>
      <c r="PST3" s="120"/>
      <c r="PSU3" s="120"/>
      <c r="PSV3" s="120"/>
      <c r="PSW3" s="120"/>
      <c r="PSX3" s="120"/>
      <c r="PSY3" s="120"/>
      <c r="PSZ3" s="120"/>
      <c r="PTA3" s="120"/>
      <c r="PTB3" s="120"/>
      <c r="PTC3" s="120"/>
      <c r="PTD3" s="120"/>
      <c r="PTE3" s="120"/>
      <c r="PTF3" s="120"/>
      <c r="PTG3" s="120"/>
      <c r="PTH3" s="120"/>
      <c r="PTI3" s="120"/>
      <c r="PTJ3" s="120"/>
      <c r="PTK3" s="120"/>
      <c r="PTL3" s="120"/>
      <c r="PTM3" s="120"/>
      <c r="PTN3" s="120"/>
      <c r="PTO3" s="120"/>
      <c r="PTP3" s="120"/>
      <c r="PTQ3" s="120"/>
      <c r="PTR3" s="120"/>
      <c r="PTS3" s="120"/>
      <c r="PTT3" s="120"/>
      <c r="PTU3" s="120"/>
      <c r="PTV3" s="120"/>
      <c r="PTW3" s="120"/>
      <c r="PTX3" s="120"/>
      <c r="PTY3" s="120"/>
      <c r="PTZ3" s="120"/>
      <c r="PUA3" s="120"/>
      <c r="PUB3" s="120"/>
      <c r="PUC3" s="120"/>
      <c r="PUD3" s="120"/>
      <c r="PUE3" s="120"/>
      <c r="PUF3" s="120"/>
      <c r="PUG3" s="120"/>
      <c r="PUH3" s="120"/>
      <c r="PUI3" s="120"/>
      <c r="PUJ3" s="120"/>
      <c r="PUK3" s="120"/>
      <c r="PUL3" s="120"/>
      <c r="PUM3" s="120"/>
      <c r="PUN3" s="120"/>
      <c r="PUO3" s="120"/>
      <c r="PUP3" s="120"/>
      <c r="PUQ3" s="120"/>
      <c r="PUR3" s="120"/>
      <c r="PUS3" s="120"/>
      <c r="PUT3" s="120"/>
      <c r="PUU3" s="120"/>
      <c r="PUV3" s="120"/>
      <c r="PUW3" s="120"/>
      <c r="PUX3" s="120"/>
      <c r="PUY3" s="120"/>
      <c r="PUZ3" s="120"/>
      <c r="PVA3" s="120"/>
      <c r="PVB3" s="120"/>
      <c r="PVC3" s="120"/>
      <c r="PVD3" s="120"/>
      <c r="PVE3" s="120"/>
      <c r="PVF3" s="120"/>
      <c r="PVG3" s="120"/>
      <c r="PVH3" s="120"/>
      <c r="PVI3" s="120"/>
      <c r="PVJ3" s="120"/>
      <c r="PVK3" s="120"/>
      <c r="PVL3" s="120"/>
      <c r="PVM3" s="120"/>
      <c r="PVN3" s="120"/>
      <c r="PVO3" s="120"/>
      <c r="PVP3" s="120"/>
      <c r="PVQ3" s="120"/>
      <c r="PVR3" s="120"/>
      <c r="PVS3" s="120"/>
      <c r="PVT3" s="120"/>
      <c r="PVU3" s="120"/>
      <c r="PVV3" s="120"/>
      <c r="PVW3" s="120"/>
      <c r="PVX3" s="120"/>
      <c r="PVY3" s="120"/>
      <c r="PVZ3" s="120"/>
      <c r="PWA3" s="120"/>
      <c r="PWB3" s="120"/>
      <c r="PWC3" s="120"/>
      <c r="PWD3" s="120"/>
      <c r="PWE3" s="120"/>
      <c r="PWF3" s="120"/>
      <c r="PWG3" s="120"/>
      <c r="PWH3" s="120"/>
      <c r="PWI3" s="120"/>
      <c r="PWJ3" s="120"/>
      <c r="PWK3" s="120"/>
      <c r="PWL3" s="120"/>
      <c r="PWM3" s="120"/>
      <c r="PWN3" s="120"/>
      <c r="PWO3" s="120"/>
      <c r="PWP3" s="120"/>
      <c r="PWQ3" s="120"/>
      <c r="PWR3" s="120"/>
      <c r="PWS3" s="120"/>
      <c r="PWT3" s="120"/>
      <c r="PWU3" s="120"/>
      <c r="PWV3" s="120"/>
      <c r="PWW3" s="120"/>
      <c r="PWX3" s="120"/>
      <c r="PWY3" s="120"/>
      <c r="PWZ3" s="120"/>
      <c r="PXA3" s="120"/>
      <c r="PXB3" s="120"/>
      <c r="PXC3" s="120"/>
      <c r="PXD3" s="120"/>
      <c r="PXE3" s="120"/>
      <c r="PXF3" s="120"/>
      <c r="PXG3" s="120"/>
      <c r="PXH3" s="120"/>
      <c r="PXI3" s="120"/>
      <c r="PXJ3" s="120"/>
      <c r="PXK3" s="120"/>
      <c r="PXL3" s="120"/>
      <c r="PXM3" s="120"/>
      <c r="PXN3" s="120"/>
      <c r="PXO3" s="120"/>
      <c r="PXP3" s="120"/>
      <c r="PXQ3" s="120"/>
      <c r="PXR3" s="120"/>
      <c r="PXS3" s="120"/>
      <c r="PXT3" s="120"/>
      <c r="PXU3" s="120"/>
      <c r="PXV3" s="120"/>
      <c r="PXW3" s="120"/>
      <c r="PXX3" s="120"/>
      <c r="PXY3" s="120"/>
      <c r="PXZ3" s="120"/>
      <c r="PYA3" s="120"/>
      <c r="PYB3" s="120"/>
      <c r="PYC3" s="120"/>
      <c r="PYD3" s="120"/>
      <c r="PYE3" s="120"/>
      <c r="PYF3" s="120"/>
      <c r="PYG3" s="120"/>
      <c r="PYH3" s="120"/>
      <c r="PYI3" s="120"/>
      <c r="PYJ3" s="120"/>
      <c r="PYK3" s="120"/>
      <c r="PYL3" s="120"/>
      <c r="PYM3" s="120"/>
      <c r="PYN3" s="120"/>
      <c r="PYO3" s="120"/>
      <c r="PYP3" s="120"/>
      <c r="PYQ3" s="120"/>
      <c r="PYR3" s="120"/>
      <c r="PYS3" s="120"/>
      <c r="PYT3" s="120"/>
      <c r="PYU3" s="120"/>
      <c r="PYV3" s="120"/>
      <c r="PYW3" s="120"/>
      <c r="PYX3" s="120"/>
      <c r="PYY3" s="120"/>
      <c r="PYZ3" s="120"/>
      <c r="PZA3" s="120"/>
      <c r="PZB3" s="120"/>
      <c r="PZC3" s="120"/>
      <c r="PZD3" s="120"/>
      <c r="PZE3" s="120"/>
      <c r="PZF3" s="120"/>
      <c r="PZG3" s="120"/>
      <c r="PZH3" s="120"/>
      <c r="PZI3" s="120"/>
      <c r="PZJ3" s="120"/>
      <c r="PZK3" s="120"/>
      <c r="PZL3" s="120"/>
      <c r="PZM3" s="120"/>
      <c r="PZN3" s="120"/>
      <c r="PZO3" s="120"/>
      <c r="PZP3" s="120"/>
      <c r="PZQ3" s="120"/>
      <c r="PZR3" s="120"/>
      <c r="PZS3" s="120"/>
      <c r="PZT3" s="120"/>
      <c r="PZU3" s="120"/>
      <c r="PZV3" s="120"/>
      <c r="PZW3" s="120"/>
      <c r="PZX3" s="120"/>
      <c r="PZY3" s="120"/>
      <c r="PZZ3" s="120"/>
      <c r="QAA3" s="120"/>
      <c r="QAB3" s="120"/>
      <c r="QAC3" s="120"/>
      <c r="QAD3" s="120"/>
      <c r="QAE3" s="120"/>
      <c r="QAF3" s="120"/>
      <c r="QAG3" s="120"/>
      <c r="QAH3" s="120"/>
      <c r="QAI3" s="120"/>
      <c r="QAJ3" s="120"/>
      <c r="QAK3" s="120"/>
      <c r="QAL3" s="120"/>
      <c r="QAM3" s="120"/>
      <c r="QAN3" s="120"/>
      <c r="QAO3" s="120"/>
      <c r="QAP3" s="120"/>
      <c r="QAQ3" s="120"/>
      <c r="QAR3" s="120"/>
      <c r="QAS3" s="120"/>
      <c r="QAT3" s="120"/>
      <c r="QAU3" s="120"/>
      <c r="QAV3" s="120"/>
      <c r="QAW3" s="120"/>
      <c r="QAX3" s="120"/>
      <c r="QAY3" s="120"/>
      <c r="QAZ3" s="120"/>
      <c r="QBA3" s="120"/>
      <c r="QBB3" s="120"/>
      <c r="QBC3" s="120"/>
      <c r="QBD3" s="120"/>
      <c r="QBE3" s="120"/>
      <c r="QBF3" s="120"/>
      <c r="QBG3" s="120"/>
      <c r="QBH3" s="120"/>
      <c r="QBI3" s="120"/>
      <c r="QBJ3" s="120"/>
      <c r="QBK3" s="120"/>
      <c r="QBL3" s="120"/>
      <c r="QBM3" s="120"/>
      <c r="QBN3" s="120"/>
      <c r="QBO3" s="120"/>
      <c r="QBP3" s="120"/>
      <c r="QBQ3" s="120"/>
      <c r="QBR3" s="120"/>
      <c r="QBS3" s="120"/>
      <c r="QBT3" s="120"/>
      <c r="QBU3" s="120"/>
      <c r="QBV3" s="120"/>
      <c r="QBW3" s="120"/>
      <c r="QBX3" s="120"/>
      <c r="QBY3" s="120"/>
      <c r="QBZ3" s="120"/>
      <c r="QCA3" s="120"/>
      <c r="QCB3" s="120"/>
      <c r="QCC3" s="120"/>
      <c r="QCD3" s="120"/>
      <c r="QCE3" s="120"/>
      <c r="QCF3" s="120"/>
      <c r="QCG3" s="120"/>
      <c r="QCH3" s="120"/>
      <c r="QCI3" s="120"/>
      <c r="QCJ3" s="120"/>
      <c r="QCK3" s="120"/>
      <c r="QCL3" s="120"/>
      <c r="QCM3" s="120"/>
      <c r="QCN3" s="120"/>
      <c r="QCO3" s="120"/>
      <c r="QCP3" s="120"/>
      <c r="QCQ3" s="120"/>
      <c r="QCR3" s="120"/>
      <c r="QCS3" s="120"/>
      <c r="QCT3" s="120"/>
      <c r="QCU3" s="120"/>
      <c r="QCV3" s="120"/>
      <c r="QCW3" s="120"/>
      <c r="QCX3" s="120"/>
      <c r="QCY3" s="120"/>
      <c r="QCZ3" s="120"/>
      <c r="QDA3" s="120"/>
      <c r="QDB3" s="120"/>
      <c r="QDC3" s="120"/>
      <c r="QDD3" s="120"/>
      <c r="QDE3" s="120"/>
      <c r="QDF3" s="120"/>
      <c r="QDG3" s="120"/>
      <c r="QDH3" s="120"/>
      <c r="QDI3" s="120"/>
      <c r="QDJ3" s="120"/>
      <c r="QDK3" s="120"/>
      <c r="QDL3" s="120"/>
      <c r="QDM3" s="120"/>
      <c r="QDN3" s="120"/>
      <c r="QDO3" s="120"/>
      <c r="QDP3" s="120"/>
      <c r="QDQ3" s="120"/>
      <c r="QDR3" s="120"/>
      <c r="QDS3" s="120"/>
      <c r="QDT3" s="120"/>
      <c r="QDU3" s="120"/>
      <c r="QDV3" s="120"/>
      <c r="QDW3" s="120"/>
      <c r="QDX3" s="120"/>
      <c r="QDY3" s="120"/>
      <c r="QDZ3" s="120"/>
      <c r="QEA3" s="120"/>
      <c r="QEB3" s="120"/>
      <c r="QEC3" s="120"/>
      <c r="QED3" s="120"/>
      <c r="QEE3" s="120"/>
      <c r="QEF3" s="120"/>
      <c r="QEG3" s="120"/>
      <c r="QEH3" s="120"/>
      <c r="QEI3" s="120"/>
      <c r="QEJ3" s="120"/>
      <c r="QEK3" s="120"/>
      <c r="QEL3" s="120"/>
      <c r="QEM3" s="120"/>
      <c r="QEN3" s="120"/>
      <c r="QEO3" s="120"/>
      <c r="QEP3" s="120"/>
      <c r="QEQ3" s="120"/>
      <c r="QER3" s="120"/>
      <c r="QES3" s="120"/>
      <c r="QET3" s="120"/>
      <c r="QEU3" s="120"/>
      <c r="QEV3" s="120"/>
      <c r="QEW3" s="120"/>
      <c r="QEX3" s="120"/>
      <c r="QEY3" s="120"/>
      <c r="QEZ3" s="120"/>
      <c r="QFA3" s="120"/>
      <c r="QFB3" s="120"/>
      <c r="QFC3" s="120"/>
      <c r="QFD3" s="120"/>
      <c r="QFE3" s="120"/>
      <c r="QFF3" s="120"/>
      <c r="QFG3" s="120"/>
      <c r="QFH3" s="120"/>
      <c r="QFI3" s="120"/>
      <c r="QFJ3" s="120"/>
      <c r="QFK3" s="120"/>
      <c r="QFL3" s="120"/>
      <c r="QFM3" s="120"/>
      <c r="QFN3" s="120"/>
      <c r="QFO3" s="120"/>
      <c r="QFP3" s="120"/>
      <c r="QFQ3" s="120"/>
      <c r="QFR3" s="120"/>
      <c r="QFS3" s="120"/>
      <c r="QFT3" s="120"/>
      <c r="QFU3" s="120"/>
      <c r="QFV3" s="120"/>
      <c r="QFW3" s="120"/>
      <c r="QFX3" s="120"/>
      <c r="QFY3" s="120"/>
      <c r="QFZ3" s="120"/>
      <c r="QGA3" s="120"/>
      <c r="QGB3" s="120"/>
      <c r="QGC3" s="120"/>
      <c r="QGD3" s="120"/>
      <c r="QGE3" s="120"/>
      <c r="QGF3" s="120"/>
      <c r="QGG3" s="120"/>
      <c r="QGH3" s="120"/>
      <c r="QGI3" s="120"/>
      <c r="QGJ3" s="120"/>
      <c r="QGK3" s="120"/>
      <c r="QGL3" s="120"/>
      <c r="QGM3" s="120"/>
      <c r="QGN3" s="120"/>
      <c r="QGO3" s="120"/>
      <c r="QGP3" s="120"/>
      <c r="QGQ3" s="120"/>
      <c r="QGR3" s="120"/>
      <c r="QGS3" s="120"/>
      <c r="QGT3" s="120"/>
      <c r="QGU3" s="120"/>
      <c r="QGV3" s="120"/>
      <c r="QGW3" s="120"/>
      <c r="QGX3" s="120"/>
      <c r="QGY3" s="120"/>
      <c r="QGZ3" s="120"/>
      <c r="QHA3" s="120"/>
      <c r="QHB3" s="120"/>
      <c r="QHC3" s="120"/>
      <c r="QHD3" s="120"/>
      <c r="QHE3" s="120"/>
      <c r="QHF3" s="120"/>
      <c r="QHG3" s="120"/>
      <c r="QHH3" s="120"/>
      <c r="QHI3" s="120"/>
      <c r="QHJ3" s="120"/>
      <c r="QHK3" s="120"/>
      <c r="QHL3" s="120"/>
      <c r="QHM3" s="120"/>
      <c r="QHN3" s="120"/>
      <c r="QHO3" s="120"/>
      <c r="QHP3" s="120"/>
      <c r="QHQ3" s="120"/>
      <c r="QHR3" s="120"/>
      <c r="QHS3" s="120"/>
      <c r="QHT3" s="120"/>
      <c r="QHU3" s="120"/>
      <c r="QHV3" s="120"/>
      <c r="QHW3" s="120"/>
      <c r="QHX3" s="120"/>
      <c r="QHY3" s="120"/>
      <c r="QHZ3" s="120"/>
      <c r="QIA3" s="120"/>
      <c r="QIB3" s="120"/>
      <c r="QIC3" s="120"/>
      <c r="QID3" s="120"/>
      <c r="QIE3" s="120"/>
      <c r="QIF3" s="120"/>
      <c r="QIG3" s="120"/>
      <c r="QIH3" s="120"/>
      <c r="QII3" s="120"/>
      <c r="QIJ3" s="120"/>
      <c r="QIK3" s="120"/>
      <c r="QIL3" s="120"/>
      <c r="QIM3" s="120"/>
      <c r="QIN3" s="120"/>
      <c r="QIO3" s="120"/>
      <c r="QIP3" s="120"/>
      <c r="QIQ3" s="120"/>
      <c r="QIR3" s="120"/>
      <c r="QIS3" s="120"/>
      <c r="QIT3" s="120"/>
      <c r="QIU3" s="120"/>
      <c r="QIV3" s="120"/>
      <c r="QIW3" s="120"/>
      <c r="QIX3" s="120"/>
      <c r="QIY3" s="120"/>
      <c r="QIZ3" s="120"/>
      <c r="QJA3" s="120"/>
      <c r="QJB3" s="120"/>
      <c r="QJC3" s="120"/>
      <c r="QJD3" s="120"/>
      <c r="QJE3" s="120"/>
      <c r="QJF3" s="120"/>
      <c r="QJG3" s="120"/>
      <c r="QJH3" s="120"/>
      <c r="QJI3" s="120"/>
      <c r="QJJ3" s="120"/>
      <c r="QJK3" s="120"/>
      <c r="QJL3" s="120"/>
      <c r="QJM3" s="120"/>
      <c r="QJN3" s="120"/>
      <c r="QJO3" s="120"/>
      <c r="QJP3" s="120"/>
      <c r="QJQ3" s="120"/>
      <c r="QJR3" s="120"/>
      <c r="QJS3" s="120"/>
      <c r="QJT3" s="120"/>
      <c r="QJU3" s="120"/>
      <c r="QJV3" s="120"/>
      <c r="QJW3" s="120"/>
      <c r="QJX3" s="120"/>
      <c r="QJY3" s="120"/>
      <c r="QJZ3" s="120"/>
      <c r="QKA3" s="120"/>
      <c r="QKB3" s="120"/>
      <c r="QKC3" s="120"/>
      <c r="QKD3" s="120"/>
      <c r="QKE3" s="120"/>
      <c r="QKF3" s="120"/>
      <c r="QKG3" s="120"/>
      <c r="QKH3" s="120"/>
      <c r="QKI3" s="120"/>
      <c r="QKJ3" s="120"/>
      <c r="QKK3" s="120"/>
      <c r="QKL3" s="120"/>
      <c r="QKM3" s="120"/>
      <c r="QKN3" s="120"/>
      <c r="QKO3" s="120"/>
      <c r="QKP3" s="120"/>
      <c r="QKQ3" s="120"/>
      <c r="QKR3" s="120"/>
      <c r="QKS3" s="120"/>
      <c r="QKT3" s="120"/>
      <c r="QKU3" s="120"/>
      <c r="QKV3" s="120"/>
      <c r="QKW3" s="120"/>
      <c r="QKX3" s="120"/>
      <c r="QKY3" s="120"/>
      <c r="QKZ3" s="120"/>
      <c r="QLA3" s="120"/>
      <c r="QLB3" s="120"/>
      <c r="QLC3" s="120"/>
      <c r="QLD3" s="120"/>
      <c r="QLE3" s="120"/>
      <c r="QLF3" s="120"/>
      <c r="QLG3" s="120"/>
      <c r="QLH3" s="120"/>
      <c r="QLI3" s="120"/>
      <c r="QLJ3" s="120"/>
      <c r="QLK3" s="120"/>
      <c r="QLL3" s="120"/>
      <c r="QLM3" s="120"/>
      <c r="QLN3" s="120"/>
      <c r="QLO3" s="120"/>
      <c r="QLP3" s="120"/>
      <c r="QLQ3" s="120"/>
      <c r="QLR3" s="120"/>
      <c r="QLS3" s="120"/>
      <c r="QLT3" s="120"/>
      <c r="QLU3" s="120"/>
      <c r="QLV3" s="120"/>
      <c r="QLW3" s="120"/>
      <c r="QLX3" s="120"/>
      <c r="QLY3" s="120"/>
      <c r="QLZ3" s="120"/>
      <c r="QMA3" s="120"/>
      <c r="QMB3" s="120"/>
      <c r="QMC3" s="120"/>
      <c r="QMD3" s="120"/>
      <c r="QME3" s="120"/>
      <c r="QMF3" s="120"/>
      <c r="QMG3" s="120"/>
      <c r="QMH3" s="120"/>
      <c r="QMI3" s="120"/>
      <c r="QMJ3" s="120"/>
      <c r="QMK3" s="120"/>
      <c r="QML3" s="120"/>
      <c r="QMM3" s="120"/>
      <c r="QMN3" s="120"/>
      <c r="QMO3" s="120"/>
      <c r="QMP3" s="120"/>
      <c r="QMQ3" s="120"/>
      <c r="QMR3" s="120"/>
      <c r="QMS3" s="120"/>
      <c r="QMT3" s="120"/>
      <c r="QMU3" s="120"/>
      <c r="QMV3" s="120"/>
      <c r="QMW3" s="120"/>
      <c r="QMX3" s="120"/>
      <c r="QMY3" s="120"/>
      <c r="QMZ3" s="120"/>
      <c r="QNA3" s="120"/>
      <c r="QNB3" s="120"/>
      <c r="QNC3" s="120"/>
      <c r="QND3" s="120"/>
      <c r="QNE3" s="120"/>
      <c r="QNF3" s="120"/>
      <c r="QNG3" s="120"/>
      <c r="QNH3" s="120"/>
      <c r="QNI3" s="120"/>
      <c r="QNJ3" s="120"/>
      <c r="QNK3" s="120"/>
      <c r="QNL3" s="120"/>
      <c r="QNM3" s="120"/>
      <c r="QNN3" s="120"/>
      <c r="QNO3" s="120"/>
      <c r="QNP3" s="120"/>
      <c r="QNQ3" s="120"/>
      <c r="QNR3" s="120"/>
      <c r="QNS3" s="120"/>
      <c r="QNT3" s="120"/>
      <c r="QNU3" s="120"/>
      <c r="QNV3" s="120"/>
      <c r="QNW3" s="120"/>
      <c r="QNX3" s="120"/>
      <c r="QNY3" s="120"/>
      <c r="QNZ3" s="120"/>
      <c r="QOA3" s="120"/>
      <c r="QOB3" s="120"/>
      <c r="QOC3" s="120"/>
      <c r="QOD3" s="120"/>
      <c r="QOE3" s="120"/>
      <c r="QOF3" s="120"/>
      <c r="QOG3" s="120"/>
      <c r="QOH3" s="120"/>
      <c r="QOI3" s="120"/>
      <c r="QOJ3" s="120"/>
      <c r="QOK3" s="120"/>
      <c r="QOL3" s="120"/>
      <c r="QOM3" s="120"/>
      <c r="QON3" s="120"/>
      <c r="QOO3" s="120"/>
      <c r="QOP3" s="120"/>
      <c r="QOQ3" s="120"/>
      <c r="QOR3" s="120"/>
      <c r="QOS3" s="120"/>
      <c r="QOT3" s="120"/>
      <c r="QOU3" s="120"/>
      <c r="QOV3" s="120"/>
      <c r="QOW3" s="120"/>
      <c r="QOX3" s="120"/>
      <c r="QOY3" s="120"/>
      <c r="QOZ3" s="120"/>
      <c r="QPA3" s="120"/>
      <c r="QPB3" s="120"/>
      <c r="QPC3" s="120"/>
      <c r="QPD3" s="120"/>
      <c r="QPE3" s="120"/>
      <c r="QPF3" s="120"/>
      <c r="QPG3" s="120"/>
      <c r="QPH3" s="120"/>
      <c r="QPI3" s="120"/>
      <c r="QPJ3" s="120"/>
      <c r="QPK3" s="120"/>
      <c r="QPL3" s="120"/>
      <c r="QPM3" s="120"/>
      <c r="QPN3" s="120"/>
      <c r="QPO3" s="120"/>
      <c r="QPP3" s="120"/>
      <c r="QPQ3" s="120"/>
      <c r="QPR3" s="120"/>
      <c r="QPS3" s="120"/>
      <c r="QPT3" s="120"/>
      <c r="QPU3" s="120"/>
      <c r="QPV3" s="120"/>
      <c r="QPW3" s="120"/>
      <c r="QPX3" s="120"/>
      <c r="QPY3" s="120"/>
      <c r="QPZ3" s="120"/>
      <c r="QQA3" s="120"/>
      <c r="QQB3" s="120"/>
      <c r="QQC3" s="120"/>
      <c r="QQD3" s="120"/>
      <c r="QQE3" s="120"/>
      <c r="QQF3" s="120"/>
      <c r="QQG3" s="120"/>
      <c r="QQH3" s="120"/>
      <c r="QQI3" s="120"/>
      <c r="QQJ3" s="120"/>
      <c r="QQK3" s="120"/>
      <c r="QQL3" s="120"/>
      <c r="QQM3" s="120"/>
      <c r="QQN3" s="120"/>
      <c r="QQO3" s="120"/>
      <c r="QQP3" s="120"/>
      <c r="QQQ3" s="120"/>
      <c r="QQR3" s="120"/>
      <c r="QQS3" s="120"/>
      <c r="QQT3" s="120"/>
      <c r="QQU3" s="120"/>
      <c r="QQV3" s="120"/>
      <c r="QQW3" s="120"/>
      <c r="QQX3" s="120"/>
      <c r="QQY3" s="120"/>
      <c r="QQZ3" s="120"/>
      <c r="QRA3" s="120"/>
      <c r="QRB3" s="120"/>
      <c r="QRC3" s="120"/>
      <c r="QRD3" s="120"/>
      <c r="QRE3" s="120"/>
      <c r="QRF3" s="120"/>
      <c r="QRG3" s="120"/>
      <c r="QRH3" s="120"/>
      <c r="QRI3" s="120"/>
      <c r="QRJ3" s="120"/>
      <c r="QRK3" s="120"/>
      <c r="QRL3" s="120"/>
      <c r="QRM3" s="120"/>
      <c r="QRN3" s="120"/>
      <c r="QRO3" s="120"/>
      <c r="QRP3" s="120"/>
      <c r="QRQ3" s="120"/>
      <c r="QRR3" s="120"/>
      <c r="QRS3" s="120"/>
      <c r="QRT3" s="120"/>
      <c r="QRU3" s="120"/>
      <c r="QRV3" s="120"/>
      <c r="QRW3" s="120"/>
      <c r="QRX3" s="120"/>
      <c r="QRY3" s="120"/>
      <c r="QRZ3" s="120"/>
      <c r="QSA3" s="120"/>
      <c r="QSB3" s="120"/>
      <c r="QSC3" s="120"/>
      <c r="QSD3" s="120"/>
      <c r="QSE3" s="120"/>
      <c r="QSF3" s="120"/>
      <c r="QSG3" s="120"/>
      <c r="QSH3" s="120"/>
      <c r="QSI3" s="120"/>
      <c r="QSJ3" s="120"/>
      <c r="QSK3" s="120"/>
      <c r="QSL3" s="120"/>
      <c r="QSM3" s="120"/>
      <c r="QSN3" s="120"/>
      <c r="QSO3" s="120"/>
      <c r="QSP3" s="120"/>
      <c r="QSQ3" s="120"/>
      <c r="QSR3" s="120"/>
      <c r="QSS3" s="120"/>
      <c r="QST3" s="120"/>
      <c r="QSU3" s="120"/>
      <c r="QSV3" s="120"/>
      <c r="QSW3" s="120"/>
      <c r="QSX3" s="120"/>
      <c r="QSY3" s="120"/>
      <c r="QSZ3" s="120"/>
      <c r="QTA3" s="120"/>
      <c r="QTB3" s="120"/>
      <c r="QTC3" s="120"/>
      <c r="QTD3" s="120"/>
      <c r="QTE3" s="120"/>
      <c r="QTF3" s="120"/>
      <c r="QTG3" s="120"/>
      <c r="QTH3" s="120"/>
      <c r="QTI3" s="120"/>
      <c r="QTJ3" s="120"/>
      <c r="QTK3" s="120"/>
      <c r="QTL3" s="120"/>
      <c r="QTM3" s="120"/>
      <c r="QTN3" s="120"/>
      <c r="QTO3" s="120"/>
      <c r="QTP3" s="120"/>
      <c r="QTQ3" s="120"/>
      <c r="QTR3" s="120"/>
      <c r="QTS3" s="120"/>
      <c r="QTT3" s="120"/>
      <c r="QTU3" s="120"/>
      <c r="QTV3" s="120"/>
      <c r="QTW3" s="120"/>
      <c r="QTX3" s="120"/>
      <c r="QTY3" s="120"/>
      <c r="QTZ3" s="120"/>
      <c r="QUA3" s="120"/>
      <c r="QUB3" s="120"/>
      <c r="QUC3" s="120"/>
      <c r="QUD3" s="120"/>
      <c r="QUE3" s="120"/>
      <c r="QUF3" s="120"/>
      <c r="QUG3" s="120"/>
      <c r="QUH3" s="120"/>
      <c r="QUI3" s="120"/>
      <c r="QUJ3" s="120"/>
      <c r="QUK3" s="120"/>
      <c r="QUL3" s="120"/>
      <c r="QUM3" s="120"/>
      <c r="QUN3" s="120"/>
      <c r="QUO3" s="120"/>
      <c r="QUP3" s="120"/>
      <c r="QUQ3" s="120"/>
      <c r="QUR3" s="120"/>
      <c r="QUS3" s="120"/>
      <c r="QUT3" s="120"/>
      <c r="QUU3" s="120"/>
      <c r="QUV3" s="120"/>
      <c r="QUW3" s="120"/>
      <c r="QUX3" s="120"/>
      <c r="QUY3" s="120"/>
      <c r="QUZ3" s="120"/>
      <c r="QVA3" s="120"/>
      <c r="QVB3" s="120"/>
      <c r="QVC3" s="120"/>
      <c r="QVD3" s="120"/>
      <c r="QVE3" s="120"/>
      <c r="QVF3" s="120"/>
      <c r="QVG3" s="120"/>
      <c r="QVH3" s="120"/>
      <c r="QVI3" s="120"/>
      <c r="QVJ3" s="120"/>
      <c r="QVK3" s="120"/>
      <c r="QVL3" s="120"/>
      <c r="QVM3" s="120"/>
      <c r="QVN3" s="120"/>
      <c r="QVO3" s="120"/>
      <c r="QVP3" s="120"/>
      <c r="QVQ3" s="120"/>
      <c r="QVR3" s="120"/>
      <c r="QVS3" s="120"/>
      <c r="QVT3" s="120"/>
      <c r="QVU3" s="120"/>
      <c r="QVV3" s="120"/>
      <c r="QVW3" s="120"/>
      <c r="QVX3" s="120"/>
      <c r="QVY3" s="120"/>
      <c r="QVZ3" s="120"/>
      <c r="QWA3" s="120"/>
      <c r="QWB3" s="120"/>
      <c r="QWC3" s="120"/>
      <c r="QWD3" s="120"/>
      <c r="QWE3" s="120"/>
      <c r="QWF3" s="120"/>
      <c r="QWG3" s="120"/>
      <c r="QWH3" s="120"/>
      <c r="QWI3" s="120"/>
      <c r="QWJ3" s="120"/>
      <c r="QWK3" s="120"/>
      <c r="QWL3" s="120"/>
      <c r="QWM3" s="120"/>
      <c r="QWN3" s="120"/>
      <c r="QWO3" s="120"/>
      <c r="QWP3" s="120"/>
      <c r="QWQ3" s="120"/>
      <c r="QWR3" s="120"/>
      <c r="QWS3" s="120"/>
      <c r="QWT3" s="120"/>
      <c r="QWU3" s="120"/>
      <c r="QWV3" s="120"/>
      <c r="QWW3" s="120"/>
      <c r="QWX3" s="120"/>
      <c r="QWY3" s="120"/>
      <c r="QWZ3" s="120"/>
      <c r="QXA3" s="120"/>
      <c r="QXB3" s="120"/>
      <c r="QXC3" s="120"/>
      <c r="QXD3" s="120"/>
      <c r="QXE3" s="120"/>
      <c r="QXF3" s="120"/>
      <c r="QXG3" s="120"/>
      <c r="QXH3" s="120"/>
      <c r="QXI3" s="120"/>
      <c r="QXJ3" s="120"/>
      <c r="QXK3" s="120"/>
      <c r="QXL3" s="120"/>
      <c r="QXM3" s="120"/>
      <c r="QXN3" s="120"/>
      <c r="QXO3" s="120"/>
      <c r="QXP3" s="120"/>
      <c r="QXQ3" s="120"/>
      <c r="QXR3" s="120"/>
      <c r="QXS3" s="120"/>
      <c r="QXT3" s="120"/>
      <c r="QXU3" s="120"/>
      <c r="QXV3" s="120"/>
      <c r="QXW3" s="120"/>
      <c r="QXX3" s="120"/>
      <c r="QXY3" s="120"/>
      <c r="QXZ3" s="120"/>
      <c r="QYA3" s="120"/>
      <c r="QYB3" s="120"/>
      <c r="QYC3" s="120"/>
      <c r="QYD3" s="120"/>
      <c r="QYE3" s="120"/>
      <c r="QYF3" s="120"/>
      <c r="QYG3" s="120"/>
      <c r="QYH3" s="120"/>
      <c r="QYI3" s="120"/>
      <c r="QYJ3" s="120"/>
      <c r="QYK3" s="120"/>
      <c r="QYL3" s="120"/>
      <c r="QYM3" s="120"/>
      <c r="QYN3" s="120"/>
      <c r="QYO3" s="120"/>
      <c r="QYP3" s="120"/>
      <c r="QYQ3" s="120"/>
      <c r="QYR3" s="120"/>
      <c r="QYS3" s="120"/>
      <c r="QYT3" s="120"/>
      <c r="QYU3" s="120"/>
      <c r="QYV3" s="120"/>
      <c r="QYW3" s="120"/>
      <c r="QYX3" s="120"/>
      <c r="QYY3" s="120"/>
      <c r="QYZ3" s="120"/>
      <c r="QZA3" s="120"/>
      <c r="QZB3" s="120"/>
      <c r="QZC3" s="120"/>
      <c r="QZD3" s="120"/>
      <c r="QZE3" s="120"/>
      <c r="QZF3" s="120"/>
      <c r="QZG3" s="120"/>
      <c r="QZH3" s="120"/>
      <c r="QZI3" s="120"/>
      <c r="QZJ3" s="120"/>
      <c r="QZK3" s="120"/>
      <c r="QZL3" s="120"/>
      <c r="QZM3" s="120"/>
      <c r="QZN3" s="120"/>
      <c r="QZO3" s="120"/>
      <c r="QZP3" s="120"/>
      <c r="QZQ3" s="120"/>
      <c r="QZR3" s="120"/>
      <c r="QZS3" s="120"/>
      <c r="QZT3" s="120"/>
      <c r="QZU3" s="120"/>
      <c r="QZV3" s="120"/>
      <c r="QZW3" s="120"/>
      <c r="QZX3" s="120"/>
      <c r="QZY3" s="120"/>
      <c r="QZZ3" s="120"/>
      <c r="RAA3" s="120"/>
      <c r="RAB3" s="120"/>
      <c r="RAC3" s="120"/>
      <c r="RAD3" s="120"/>
      <c r="RAE3" s="120"/>
      <c r="RAF3" s="120"/>
      <c r="RAG3" s="120"/>
      <c r="RAH3" s="120"/>
      <c r="RAI3" s="120"/>
      <c r="RAJ3" s="120"/>
      <c r="RAK3" s="120"/>
      <c r="RAL3" s="120"/>
      <c r="RAM3" s="120"/>
      <c r="RAN3" s="120"/>
      <c r="RAO3" s="120"/>
      <c r="RAP3" s="120"/>
      <c r="RAQ3" s="120"/>
      <c r="RAR3" s="120"/>
      <c r="RAS3" s="120"/>
      <c r="RAT3" s="120"/>
      <c r="RAU3" s="120"/>
      <c r="RAV3" s="120"/>
      <c r="RAW3" s="120"/>
      <c r="RAX3" s="120"/>
      <c r="RAY3" s="120"/>
      <c r="RAZ3" s="120"/>
      <c r="RBA3" s="120"/>
      <c r="RBB3" s="120"/>
      <c r="RBC3" s="120"/>
      <c r="RBD3" s="120"/>
      <c r="RBE3" s="120"/>
      <c r="RBF3" s="120"/>
      <c r="RBG3" s="120"/>
      <c r="RBH3" s="120"/>
      <c r="RBI3" s="120"/>
      <c r="RBJ3" s="120"/>
      <c r="RBK3" s="120"/>
      <c r="RBL3" s="120"/>
      <c r="RBM3" s="120"/>
      <c r="RBN3" s="120"/>
      <c r="RBO3" s="120"/>
      <c r="RBP3" s="120"/>
      <c r="RBQ3" s="120"/>
      <c r="RBR3" s="120"/>
      <c r="RBS3" s="120"/>
      <c r="RBT3" s="120"/>
      <c r="RBU3" s="120"/>
      <c r="RBV3" s="120"/>
      <c r="RBW3" s="120"/>
      <c r="RBX3" s="120"/>
      <c r="RBY3" s="120"/>
      <c r="RBZ3" s="120"/>
      <c r="RCA3" s="120"/>
      <c r="RCB3" s="120"/>
      <c r="RCC3" s="120"/>
      <c r="RCD3" s="120"/>
      <c r="RCE3" s="120"/>
      <c r="RCF3" s="120"/>
      <c r="RCG3" s="120"/>
      <c r="RCH3" s="120"/>
      <c r="RCI3" s="120"/>
      <c r="RCJ3" s="120"/>
      <c r="RCK3" s="120"/>
      <c r="RCL3" s="120"/>
      <c r="RCM3" s="120"/>
      <c r="RCN3" s="120"/>
      <c r="RCO3" s="120"/>
      <c r="RCP3" s="120"/>
      <c r="RCQ3" s="120"/>
      <c r="RCR3" s="120"/>
      <c r="RCS3" s="120"/>
      <c r="RCT3" s="120"/>
      <c r="RCU3" s="120"/>
      <c r="RCV3" s="120"/>
      <c r="RCW3" s="120"/>
      <c r="RCX3" s="120"/>
      <c r="RCY3" s="120"/>
      <c r="RCZ3" s="120"/>
      <c r="RDA3" s="120"/>
      <c r="RDB3" s="120"/>
      <c r="RDC3" s="120"/>
      <c r="RDD3" s="120"/>
      <c r="RDE3" s="120"/>
      <c r="RDF3" s="120"/>
      <c r="RDG3" s="120"/>
      <c r="RDH3" s="120"/>
      <c r="RDI3" s="120"/>
      <c r="RDJ3" s="120"/>
      <c r="RDK3" s="120"/>
      <c r="RDL3" s="120"/>
      <c r="RDM3" s="120"/>
      <c r="RDN3" s="120"/>
      <c r="RDO3" s="120"/>
      <c r="RDP3" s="120"/>
      <c r="RDQ3" s="120"/>
      <c r="RDR3" s="120"/>
      <c r="RDS3" s="120"/>
      <c r="RDT3" s="120"/>
      <c r="RDU3" s="120"/>
      <c r="RDV3" s="120"/>
      <c r="RDW3" s="120"/>
      <c r="RDX3" s="120"/>
      <c r="RDY3" s="120"/>
      <c r="RDZ3" s="120"/>
      <c r="REA3" s="120"/>
      <c r="REB3" s="120"/>
      <c r="REC3" s="120"/>
      <c r="RED3" s="120"/>
      <c r="REE3" s="120"/>
      <c r="REF3" s="120"/>
      <c r="REG3" s="120"/>
      <c r="REH3" s="120"/>
      <c r="REI3" s="120"/>
      <c r="REJ3" s="120"/>
      <c r="REK3" s="120"/>
      <c r="REL3" s="120"/>
      <c r="REM3" s="120"/>
      <c r="REN3" s="120"/>
      <c r="REO3" s="120"/>
      <c r="REP3" s="120"/>
      <c r="REQ3" s="120"/>
      <c r="RER3" s="120"/>
      <c r="RES3" s="120"/>
      <c r="RET3" s="120"/>
      <c r="REU3" s="120"/>
      <c r="REV3" s="120"/>
      <c r="REW3" s="120"/>
      <c r="REX3" s="120"/>
      <c r="REY3" s="120"/>
      <c r="REZ3" s="120"/>
      <c r="RFA3" s="120"/>
      <c r="RFB3" s="120"/>
      <c r="RFC3" s="120"/>
      <c r="RFD3" s="120"/>
      <c r="RFE3" s="120"/>
      <c r="RFF3" s="120"/>
      <c r="RFG3" s="120"/>
      <c r="RFH3" s="120"/>
      <c r="RFI3" s="120"/>
      <c r="RFJ3" s="120"/>
      <c r="RFK3" s="120"/>
      <c r="RFL3" s="120"/>
      <c r="RFM3" s="120"/>
      <c r="RFN3" s="120"/>
      <c r="RFO3" s="120"/>
      <c r="RFP3" s="120"/>
      <c r="RFQ3" s="120"/>
      <c r="RFR3" s="120"/>
      <c r="RFS3" s="120"/>
      <c r="RFT3" s="120"/>
      <c r="RFU3" s="120"/>
      <c r="RFV3" s="120"/>
      <c r="RFW3" s="120"/>
      <c r="RFX3" s="120"/>
      <c r="RFY3" s="120"/>
      <c r="RFZ3" s="120"/>
      <c r="RGA3" s="120"/>
      <c r="RGB3" s="120"/>
      <c r="RGC3" s="120"/>
      <c r="RGD3" s="120"/>
      <c r="RGE3" s="120"/>
      <c r="RGF3" s="120"/>
      <c r="RGG3" s="120"/>
      <c r="RGH3" s="120"/>
      <c r="RGI3" s="120"/>
      <c r="RGJ3" s="120"/>
      <c r="RGK3" s="120"/>
      <c r="RGL3" s="120"/>
      <c r="RGM3" s="120"/>
      <c r="RGN3" s="120"/>
      <c r="RGO3" s="120"/>
      <c r="RGP3" s="120"/>
      <c r="RGQ3" s="120"/>
      <c r="RGR3" s="120"/>
      <c r="RGS3" s="120"/>
      <c r="RGT3" s="120"/>
      <c r="RGU3" s="120"/>
      <c r="RGV3" s="120"/>
      <c r="RGW3" s="120"/>
      <c r="RGX3" s="120"/>
      <c r="RGY3" s="120"/>
      <c r="RGZ3" s="120"/>
      <c r="RHA3" s="120"/>
      <c r="RHB3" s="120"/>
      <c r="RHC3" s="120"/>
      <c r="RHD3" s="120"/>
      <c r="RHE3" s="120"/>
      <c r="RHF3" s="120"/>
      <c r="RHG3" s="120"/>
      <c r="RHH3" s="120"/>
      <c r="RHI3" s="120"/>
      <c r="RHJ3" s="120"/>
      <c r="RHK3" s="120"/>
      <c r="RHL3" s="120"/>
      <c r="RHM3" s="120"/>
      <c r="RHN3" s="120"/>
      <c r="RHO3" s="120"/>
      <c r="RHP3" s="120"/>
      <c r="RHQ3" s="120"/>
      <c r="RHR3" s="120"/>
      <c r="RHS3" s="120"/>
      <c r="RHT3" s="120"/>
      <c r="RHU3" s="120"/>
      <c r="RHV3" s="120"/>
      <c r="RHW3" s="120"/>
      <c r="RHX3" s="120"/>
      <c r="RHY3" s="120"/>
      <c r="RHZ3" s="120"/>
      <c r="RIA3" s="120"/>
      <c r="RIB3" s="120"/>
      <c r="RIC3" s="120"/>
      <c r="RID3" s="120"/>
      <c r="RIE3" s="120"/>
      <c r="RIF3" s="120"/>
      <c r="RIG3" s="120"/>
      <c r="RIH3" s="120"/>
      <c r="RII3" s="120"/>
      <c r="RIJ3" s="120"/>
      <c r="RIK3" s="120"/>
      <c r="RIL3" s="120"/>
      <c r="RIM3" s="120"/>
      <c r="RIN3" s="120"/>
      <c r="RIO3" s="120"/>
      <c r="RIP3" s="120"/>
      <c r="RIQ3" s="120"/>
      <c r="RIR3" s="120"/>
      <c r="RIS3" s="120"/>
      <c r="RIT3" s="120"/>
      <c r="RIU3" s="120"/>
      <c r="RIV3" s="120"/>
      <c r="RIW3" s="120"/>
      <c r="RIX3" s="120"/>
      <c r="RIY3" s="120"/>
      <c r="RIZ3" s="120"/>
      <c r="RJA3" s="120"/>
      <c r="RJB3" s="120"/>
      <c r="RJC3" s="120"/>
      <c r="RJD3" s="120"/>
      <c r="RJE3" s="120"/>
      <c r="RJF3" s="120"/>
      <c r="RJG3" s="120"/>
      <c r="RJH3" s="120"/>
      <c r="RJI3" s="120"/>
      <c r="RJJ3" s="120"/>
      <c r="RJK3" s="120"/>
      <c r="RJL3" s="120"/>
      <c r="RJM3" s="120"/>
      <c r="RJN3" s="120"/>
      <c r="RJO3" s="120"/>
      <c r="RJP3" s="120"/>
      <c r="RJQ3" s="120"/>
      <c r="RJR3" s="120"/>
      <c r="RJS3" s="120"/>
      <c r="RJT3" s="120"/>
      <c r="RJU3" s="120"/>
      <c r="RJV3" s="120"/>
      <c r="RJW3" s="120"/>
      <c r="RJX3" s="120"/>
      <c r="RJY3" s="120"/>
      <c r="RJZ3" s="120"/>
      <c r="RKA3" s="120"/>
      <c r="RKB3" s="120"/>
      <c r="RKC3" s="120"/>
      <c r="RKD3" s="120"/>
      <c r="RKE3" s="120"/>
      <c r="RKF3" s="120"/>
      <c r="RKG3" s="120"/>
      <c r="RKH3" s="120"/>
      <c r="RKI3" s="120"/>
      <c r="RKJ3" s="120"/>
      <c r="RKK3" s="120"/>
      <c r="RKL3" s="120"/>
      <c r="RKM3" s="120"/>
      <c r="RKN3" s="120"/>
      <c r="RKO3" s="120"/>
      <c r="RKP3" s="120"/>
      <c r="RKQ3" s="120"/>
      <c r="RKR3" s="120"/>
      <c r="RKS3" s="120"/>
      <c r="RKT3" s="120"/>
      <c r="RKU3" s="120"/>
      <c r="RKV3" s="120"/>
      <c r="RKW3" s="120"/>
      <c r="RKX3" s="120"/>
      <c r="RKY3" s="120"/>
      <c r="RKZ3" s="120"/>
      <c r="RLA3" s="120"/>
      <c r="RLB3" s="120"/>
      <c r="RLC3" s="120"/>
      <c r="RLD3" s="120"/>
      <c r="RLE3" s="120"/>
      <c r="RLF3" s="120"/>
      <c r="RLG3" s="120"/>
      <c r="RLH3" s="120"/>
      <c r="RLI3" s="120"/>
      <c r="RLJ3" s="120"/>
      <c r="RLK3" s="120"/>
      <c r="RLL3" s="120"/>
      <c r="RLM3" s="120"/>
      <c r="RLN3" s="120"/>
      <c r="RLO3" s="120"/>
      <c r="RLP3" s="120"/>
      <c r="RLQ3" s="120"/>
      <c r="RLR3" s="120"/>
      <c r="RLS3" s="120"/>
      <c r="RLT3" s="120"/>
      <c r="RLU3" s="120"/>
      <c r="RLV3" s="120"/>
      <c r="RLW3" s="120"/>
      <c r="RLX3" s="120"/>
      <c r="RLY3" s="120"/>
      <c r="RLZ3" s="120"/>
      <c r="RMA3" s="120"/>
      <c r="RMB3" s="120"/>
      <c r="RMC3" s="120"/>
      <c r="RMD3" s="120"/>
      <c r="RME3" s="120"/>
      <c r="RMF3" s="120"/>
      <c r="RMG3" s="120"/>
      <c r="RMH3" s="120"/>
      <c r="RMI3" s="120"/>
      <c r="RMJ3" s="120"/>
      <c r="RMK3" s="120"/>
      <c r="RML3" s="120"/>
      <c r="RMM3" s="120"/>
      <c r="RMN3" s="120"/>
      <c r="RMO3" s="120"/>
      <c r="RMP3" s="120"/>
      <c r="RMQ3" s="120"/>
      <c r="RMR3" s="120"/>
      <c r="RMS3" s="120"/>
      <c r="RMT3" s="120"/>
      <c r="RMU3" s="120"/>
      <c r="RMV3" s="120"/>
      <c r="RMW3" s="120"/>
      <c r="RMX3" s="120"/>
      <c r="RMY3" s="120"/>
      <c r="RMZ3" s="120"/>
      <c r="RNA3" s="120"/>
      <c r="RNB3" s="120"/>
      <c r="RNC3" s="120"/>
      <c r="RND3" s="120"/>
      <c r="RNE3" s="120"/>
      <c r="RNF3" s="120"/>
      <c r="RNG3" s="120"/>
      <c r="RNH3" s="120"/>
      <c r="RNI3" s="120"/>
      <c r="RNJ3" s="120"/>
      <c r="RNK3" s="120"/>
      <c r="RNL3" s="120"/>
      <c r="RNM3" s="120"/>
      <c r="RNN3" s="120"/>
      <c r="RNO3" s="120"/>
      <c r="RNP3" s="120"/>
      <c r="RNQ3" s="120"/>
      <c r="RNR3" s="120"/>
      <c r="RNS3" s="120"/>
      <c r="RNT3" s="120"/>
      <c r="RNU3" s="120"/>
      <c r="RNV3" s="120"/>
      <c r="RNW3" s="120"/>
      <c r="RNX3" s="120"/>
      <c r="RNY3" s="120"/>
      <c r="RNZ3" s="120"/>
      <c r="ROA3" s="120"/>
      <c r="ROB3" s="120"/>
      <c r="ROC3" s="120"/>
      <c r="ROD3" s="120"/>
      <c r="ROE3" s="120"/>
      <c r="ROF3" s="120"/>
      <c r="ROG3" s="120"/>
      <c r="ROH3" s="120"/>
      <c r="ROI3" s="120"/>
      <c r="ROJ3" s="120"/>
      <c r="ROK3" s="120"/>
      <c r="ROL3" s="120"/>
      <c r="ROM3" s="120"/>
      <c r="RON3" s="120"/>
      <c r="ROO3" s="120"/>
      <c r="ROP3" s="120"/>
      <c r="ROQ3" s="120"/>
      <c r="ROR3" s="120"/>
      <c r="ROS3" s="120"/>
      <c r="ROT3" s="120"/>
      <c r="ROU3" s="120"/>
      <c r="ROV3" s="120"/>
      <c r="ROW3" s="120"/>
      <c r="ROX3" s="120"/>
      <c r="ROY3" s="120"/>
      <c r="ROZ3" s="120"/>
      <c r="RPA3" s="120"/>
      <c r="RPB3" s="120"/>
      <c r="RPC3" s="120"/>
      <c r="RPD3" s="120"/>
      <c r="RPE3" s="120"/>
      <c r="RPF3" s="120"/>
      <c r="RPG3" s="120"/>
      <c r="RPH3" s="120"/>
      <c r="RPI3" s="120"/>
      <c r="RPJ3" s="120"/>
      <c r="RPK3" s="120"/>
      <c r="RPL3" s="120"/>
      <c r="RPM3" s="120"/>
      <c r="RPN3" s="120"/>
      <c r="RPO3" s="120"/>
      <c r="RPP3" s="120"/>
      <c r="RPQ3" s="120"/>
      <c r="RPR3" s="120"/>
      <c r="RPS3" s="120"/>
      <c r="RPT3" s="120"/>
      <c r="RPU3" s="120"/>
      <c r="RPV3" s="120"/>
      <c r="RPW3" s="120"/>
      <c r="RPX3" s="120"/>
      <c r="RPY3" s="120"/>
      <c r="RPZ3" s="120"/>
      <c r="RQA3" s="120"/>
      <c r="RQB3" s="120"/>
      <c r="RQC3" s="120"/>
      <c r="RQD3" s="120"/>
      <c r="RQE3" s="120"/>
      <c r="RQF3" s="120"/>
      <c r="RQG3" s="120"/>
      <c r="RQH3" s="120"/>
      <c r="RQI3" s="120"/>
      <c r="RQJ3" s="120"/>
      <c r="RQK3" s="120"/>
      <c r="RQL3" s="120"/>
      <c r="RQM3" s="120"/>
      <c r="RQN3" s="120"/>
      <c r="RQO3" s="120"/>
      <c r="RQP3" s="120"/>
      <c r="RQQ3" s="120"/>
      <c r="RQR3" s="120"/>
      <c r="RQS3" s="120"/>
      <c r="RQT3" s="120"/>
      <c r="RQU3" s="120"/>
      <c r="RQV3" s="120"/>
      <c r="RQW3" s="120"/>
      <c r="RQX3" s="120"/>
      <c r="RQY3" s="120"/>
      <c r="RQZ3" s="120"/>
      <c r="RRA3" s="120"/>
      <c r="RRB3" s="120"/>
      <c r="RRC3" s="120"/>
      <c r="RRD3" s="120"/>
      <c r="RRE3" s="120"/>
      <c r="RRF3" s="120"/>
      <c r="RRG3" s="120"/>
      <c r="RRH3" s="120"/>
      <c r="RRI3" s="120"/>
      <c r="RRJ3" s="120"/>
      <c r="RRK3" s="120"/>
      <c r="RRL3" s="120"/>
      <c r="RRM3" s="120"/>
      <c r="RRN3" s="120"/>
      <c r="RRO3" s="120"/>
      <c r="RRP3" s="120"/>
      <c r="RRQ3" s="120"/>
      <c r="RRR3" s="120"/>
      <c r="RRS3" s="120"/>
      <c r="RRT3" s="120"/>
      <c r="RRU3" s="120"/>
      <c r="RRV3" s="120"/>
      <c r="RRW3" s="120"/>
      <c r="RRX3" s="120"/>
      <c r="RRY3" s="120"/>
      <c r="RRZ3" s="120"/>
      <c r="RSA3" s="120"/>
      <c r="RSB3" s="120"/>
      <c r="RSC3" s="120"/>
      <c r="RSD3" s="120"/>
      <c r="RSE3" s="120"/>
      <c r="RSF3" s="120"/>
      <c r="RSG3" s="120"/>
      <c r="RSH3" s="120"/>
      <c r="RSI3" s="120"/>
      <c r="RSJ3" s="120"/>
      <c r="RSK3" s="120"/>
      <c r="RSL3" s="120"/>
      <c r="RSM3" s="120"/>
      <c r="RSN3" s="120"/>
      <c r="RSO3" s="120"/>
      <c r="RSP3" s="120"/>
      <c r="RSQ3" s="120"/>
      <c r="RSR3" s="120"/>
      <c r="RSS3" s="120"/>
      <c r="RST3" s="120"/>
      <c r="RSU3" s="120"/>
      <c r="RSV3" s="120"/>
      <c r="RSW3" s="120"/>
      <c r="RSX3" s="120"/>
      <c r="RSY3" s="120"/>
      <c r="RSZ3" s="120"/>
      <c r="RTA3" s="120"/>
      <c r="RTB3" s="120"/>
      <c r="RTC3" s="120"/>
      <c r="RTD3" s="120"/>
      <c r="RTE3" s="120"/>
      <c r="RTF3" s="120"/>
      <c r="RTG3" s="120"/>
      <c r="RTH3" s="120"/>
      <c r="RTI3" s="120"/>
      <c r="RTJ3" s="120"/>
      <c r="RTK3" s="120"/>
      <c r="RTL3" s="120"/>
      <c r="RTM3" s="120"/>
      <c r="RTN3" s="120"/>
      <c r="RTO3" s="120"/>
      <c r="RTP3" s="120"/>
      <c r="RTQ3" s="120"/>
      <c r="RTR3" s="120"/>
      <c r="RTS3" s="120"/>
      <c r="RTT3" s="120"/>
      <c r="RTU3" s="120"/>
      <c r="RTV3" s="120"/>
      <c r="RTW3" s="120"/>
      <c r="RTX3" s="120"/>
      <c r="RTY3" s="120"/>
      <c r="RTZ3" s="120"/>
      <c r="RUA3" s="120"/>
      <c r="RUB3" s="120"/>
      <c r="RUC3" s="120"/>
      <c r="RUD3" s="120"/>
      <c r="RUE3" s="120"/>
      <c r="RUF3" s="120"/>
      <c r="RUG3" s="120"/>
      <c r="RUH3" s="120"/>
      <c r="RUI3" s="120"/>
      <c r="RUJ3" s="120"/>
      <c r="RUK3" s="120"/>
      <c r="RUL3" s="120"/>
      <c r="RUM3" s="120"/>
      <c r="RUN3" s="120"/>
      <c r="RUO3" s="120"/>
      <c r="RUP3" s="120"/>
      <c r="RUQ3" s="120"/>
      <c r="RUR3" s="120"/>
      <c r="RUS3" s="120"/>
      <c r="RUT3" s="120"/>
      <c r="RUU3" s="120"/>
      <c r="RUV3" s="120"/>
      <c r="RUW3" s="120"/>
      <c r="RUX3" s="120"/>
      <c r="RUY3" s="120"/>
      <c r="RUZ3" s="120"/>
      <c r="RVA3" s="120"/>
      <c r="RVB3" s="120"/>
      <c r="RVC3" s="120"/>
      <c r="RVD3" s="120"/>
      <c r="RVE3" s="120"/>
      <c r="RVF3" s="120"/>
      <c r="RVG3" s="120"/>
      <c r="RVH3" s="120"/>
      <c r="RVI3" s="120"/>
      <c r="RVJ3" s="120"/>
      <c r="RVK3" s="120"/>
      <c r="RVL3" s="120"/>
      <c r="RVM3" s="120"/>
      <c r="RVN3" s="120"/>
      <c r="RVO3" s="120"/>
      <c r="RVP3" s="120"/>
      <c r="RVQ3" s="120"/>
      <c r="RVR3" s="120"/>
      <c r="RVS3" s="120"/>
      <c r="RVT3" s="120"/>
      <c r="RVU3" s="120"/>
      <c r="RVV3" s="120"/>
      <c r="RVW3" s="120"/>
      <c r="RVX3" s="120"/>
      <c r="RVY3" s="120"/>
      <c r="RVZ3" s="120"/>
      <c r="RWA3" s="120"/>
      <c r="RWB3" s="120"/>
      <c r="RWC3" s="120"/>
      <c r="RWD3" s="120"/>
      <c r="RWE3" s="120"/>
      <c r="RWF3" s="120"/>
      <c r="RWG3" s="120"/>
      <c r="RWH3" s="120"/>
      <c r="RWI3" s="120"/>
      <c r="RWJ3" s="120"/>
      <c r="RWK3" s="120"/>
      <c r="RWL3" s="120"/>
      <c r="RWM3" s="120"/>
      <c r="RWN3" s="120"/>
      <c r="RWO3" s="120"/>
      <c r="RWP3" s="120"/>
      <c r="RWQ3" s="120"/>
      <c r="RWR3" s="120"/>
      <c r="RWS3" s="120"/>
      <c r="RWT3" s="120"/>
      <c r="RWU3" s="120"/>
      <c r="RWV3" s="120"/>
      <c r="RWW3" s="120"/>
      <c r="RWX3" s="120"/>
      <c r="RWY3" s="120"/>
      <c r="RWZ3" s="120"/>
      <c r="RXA3" s="120"/>
      <c r="RXB3" s="120"/>
      <c r="RXC3" s="120"/>
      <c r="RXD3" s="120"/>
      <c r="RXE3" s="120"/>
      <c r="RXF3" s="120"/>
      <c r="RXG3" s="120"/>
      <c r="RXH3" s="120"/>
      <c r="RXI3" s="120"/>
      <c r="RXJ3" s="120"/>
      <c r="RXK3" s="120"/>
      <c r="RXL3" s="120"/>
      <c r="RXM3" s="120"/>
      <c r="RXN3" s="120"/>
      <c r="RXO3" s="120"/>
      <c r="RXP3" s="120"/>
      <c r="RXQ3" s="120"/>
      <c r="RXR3" s="120"/>
      <c r="RXS3" s="120"/>
      <c r="RXT3" s="120"/>
      <c r="RXU3" s="120"/>
      <c r="RXV3" s="120"/>
      <c r="RXW3" s="120"/>
      <c r="RXX3" s="120"/>
      <c r="RXY3" s="120"/>
      <c r="RXZ3" s="120"/>
      <c r="RYA3" s="120"/>
      <c r="RYB3" s="120"/>
      <c r="RYC3" s="120"/>
      <c r="RYD3" s="120"/>
      <c r="RYE3" s="120"/>
      <c r="RYF3" s="120"/>
      <c r="RYG3" s="120"/>
      <c r="RYH3" s="120"/>
      <c r="RYI3" s="120"/>
      <c r="RYJ3" s="120"/>
      <c r="RYK3" s="120"/>
      <c r="RYL3" s="120"/>
      <c r="RYM3" s="120"/>
      <c r="RYN3" s="120"/>
      <c r="RYO3" s="120"/>
      <c r="RYP3" s="120"/>
      <c r="RYQ3" s="120"/>
      <c r="RYR3" s="120"/>
      <c r="RYS3" s="120"/>
      <c r="RYT3" s="120"/>
      <c r="RYU3" s="120"/>
      <c r="RYV3" s="120"/>
      <c r="RYW3" s="120"/>
      <c r="RYX3" s="120"/>
      <c r="RYY3" s="120"/>
      <c r="RYZ3" s="120"/>
      <c r="RZA3" s="120"/>
      <c r="RZB3" s="120"/>
      <c r="RZC3" s="120"/>
      <c r="RZD3" s="120"/>
      <c r="RZE3" s="120"/>
      <c r="RZF3" s="120"/>
      <c r="RZG3" s="120"/>
      <c r="RZH3" s="120"/>
      <c r="RZI3" s="120"/>
      <c r="RZJ3" s="120"/>
      <c r="RZK3" s="120"/>
      <c r="RZL3" s="120"/>
      <c r="RZM3" s="120"/>
      <c r="RZN3" s="120"/>
      <c r="RZO3" s="120"/>
      <c r="RZP3" s="120"/>
      <c r="RZQ3" s="120"/>
      <c r="RZR3" s="120"/>
      <c r="RZS3" s="120"/>
      <c r="RZT3" s="120"/>
      <c r="RZU3" s="120"/>
      <c r="RZV3" s="120"/>
      <c r="RZW3" s="120"/>
      <c r="RZX3" s="120"/>
      <c r="RZY3" s="120"/>
      <c r="RZZ3" s="120"/>
      <c r="SAA3" s="120"/>
      <c r="SAB3" s="120"/>
      <c r="SAC3" s="120"/>
      <c r="SAD3" s="120"/>
      <c r="SAE3" s="120"/>
      <c r="SAF3" s="120"/>
      <c r="SAG3" s="120"/>
      <c r="SAH3" s="120"/>
      <c r="SAI3" s="120"/>
      <c r="SAJ3" s="120"/>
      <c r="SAK3" s="120"/>
      <c r="SAL3" s="120"/>
      <c r="SAM3" s="120"/>
      <c r="SAN3" s="120"/>
      <c r="SAO3" s="120"/>
      <c r="SAP3" s="120"/>
      <c r="SAQ3" s="120"/>
      <c r="SAR3" s="120"/>
      <c r="SAS3" s="120"/>
      <c r="SAT3" s="120"/>
      <c r="SAU3" s="120"/>
      <c r="SAV3" s="120"/>
      <c r="SAW3" s="120"/>
      <c r="SAX3" s="120"/>
      <c r="SAY3" s="120"/>
      <c r="SAZ3" s="120"/>
      <c r="SBA3" s="120"/>
      <c r="SBB3" s="120"/>
      <c r="SBC3" s="120"/>
      <c r="SBD3" s="120"/>
      <c r="SBE3" s="120"/>
      <c r="SBF3" s="120"/>
      <c r="SBG3" s="120"/>
      <c r="SBH3" s="120"/>
      <c r="SBI3" s="120"/>
      <c r="SBJ3" s="120"/>
      <c r="SBK3" s="120"/>
      <c r="SBL3" s="120"/>
      <c r="SBM3" s="120"/>
      <c r="SBN3" s="120"/>
      <c r="SBO3" s="120"/>
      <c r="SBP3" s="120"/>
      <c r="SBQ3" s="120"/>
      <c r="SBR3" s="120"/>
      <c r="SBS3" s="120"/>
      <c r="SBT3" s="120"/>
      <c r="SBU3" s="120"/>
      <c r="SBV3" s="120"/>
      <c r="SBW3" s="120"/>
      <c r="SBX3" s="120"/>
      <c r="SBY3" s="120"/>
      <c r="SBZ3" s="120"/>
      <c r="SCA3" s="120"/>
      <c r="SCB3" s="120"/>
      <c r="SCC3" s="120"/>
      <c r="SCD3" s="120"/>
      <c r="SCE3" s="120"/>
      <c r="SCF3" s="120"/>
      <c r="SCG3" s="120"/>
      <c r="SCH3" s="120"/>
      <c r="SCI3" s="120"/>
      <c r="SCJ3" s="120"/>
      <c r="SCK3" s="120"/>
      <c r="SCL3" s="120"/>
      <c r="SCM3" s="120"/>
      <c r="SCN3" s="120"/>
      <c r="SCO3" s="120"/>
      <c r="SCP3" s="120"/>
      <c r="SCQ3" s="120"/>
      <c r="SCR3" s="120"/>
      <c r="SCS3" s="120"/>
      <c r="SCT3" s="120"/>
      <c r="SCU3" s="120"/>
      <c r="SCV3" s="120"/>
      <c r="SCW3" s="120"/>
      <c r="SCX3" s="120"/>
      <c r="SCY3" s="120"/>
      <c r="SCZ3" s="120"/>
      <c r="SDA3" s="120"/>
      <c r="SDB3" s="120"/>
      <c r="SDC3" s="120"/>
      <c r="SDD3" s="120"/>
      <c r="SDE3" s="120"/>
      <c r="SDF3" s="120"/>
      <c r="SDG3" s="120"/>
      <c r="SDH3" s="120"/>
      <c r="SDI3" s="120"/>
      <c r="SDJ3" s="120"/>
      <c r="SDK3" s="120"/>
      <c r="SDL3" s="120"/>
      <c r="SDM3" s="120"/>
      <c r="SDN3" s="120"/>
      <c r="SDO3" s="120"/>
      <c r="SDP3" s="120"/>
      <c r="SDQ3" s="120"/>
      <c r="SDR3" s="120"/>
      <c r="SDS3" s="120"/>
      <c r="SDT3" s="120"/>
      <c r="SDU3" s="120"/>
      <c r="SDV3" s="120"/>
      <c r="SDW3" s="120"/>
      <c r="SDX3" s="120"/>
      <c r="SDY3" s="120"/>
      <c r="SDZ3" s="120"/>
      <c r="SEA3" s="120"/>
      <c r="SEB3" s="120"/>
      <c r="SEC3" s="120"/>
      <c r="SED3" s="120"/>
      <c r="SEE3" s="120"/>
      <c r="SEF3" s="120"/>
      <c r="SEG3" s="120"/>
      <c r="SEH3" s="120"/>
      <c r="SEI3" s="120"/>
      <c r="SEJ3" s="120"/>
      <c r="SEK3" s="120"/>
      <c r="SEL3" s="120"/>
      <c r="SEM3" s="120"/>
      <c r="SEN3" s="120"/>
      <c r="SEO3" s="120"/>
      <c r="SEP3" s="120"/>
      <c r="SEQ3" s="120"/>
      <c r="SER3" s="120"/>
      <c r="SES3" s="120"/>
      <c r="SET3" s="120"/>
      <c r="SEU3" s="120"/>
      <c r="SEV3" s="120"/>
      <c r="SEW3" s="120"/>
      <c r="SEX3" s="120"/>
      <c r="SEY3" s="120"/>
      <c r="SEZ3" s="120"/>
      <c r="SFA3" s="120"/>
      <c r="SFB3" s="120"/>
      <c r="SFC3" s="120"/>
      <c r="SFD3" s="120"/>
      <c r="SFE3" s="120"/>
      <c r="SFF3" s="120"/>
      <c r="SFG3" s="120"/>
      <c r="SFH3" s="120"/>
      <c r="SFI3" s="120"/>
      <c r="SFJ3" s="120"/>
      <c r="SFK3" s="120"/>
      <c r="SFL3" s="120"/>
      <c r="SFM3" s="120"/>
      <c r="SFN3" s="120"/>
      <c r="SFO3" s="120"/>
      <c r="SFP3" s="120"/>
      <c r="SFQ3" s="120"/>
      <c r="SFR3" s="120"/>
      <c r="SFS3" s="120"/>
      <c r="SFT3" s="120"/>
      <c r="SFU3" s="120"/>
      <c r="SFV3" s="120"/>
      <c r="SFW3" s="120"/>
      <c r="SFX3" s="120"/>
      <c r="SFY3" s="120"/>
      <c r="SFZ3" s="120"/>
      <c r="SGA3" s="120"/>
      <c r="SGB3" s="120"/>
      <c r="SGC3" s="120"/>
      <c r="SGD3" s="120"/>
      <c r="SGE3" s="120"/>
      <c r="SGF3" s="120"/>
      <c r="SGG3" s="120"/>
      <c r="SGH3" s="120"/>
      <c r="SGI3" s="120"/>
      <c r="SGJ3" s="120"/>
      <c r="SGK3" s="120"/>
      <c r="SGL3" s="120"/>
      <c r="SGM3" s="120"/>
      <c r="SGN3" s="120"/>
      <c r="SGO3" s="120"/>
      <c r="SGP3" s="120"/>
      <c r="SGQ3" s="120"/>
      <c r="SGR3" s="120"/>
      <c r="SGS3" s="120"/>
      <c r="SGT3" s="120"/>
      <c r="SGU3" s="120"/>
      <c r="SGV3" s="120"/>
      <c r="SGW3" s="120"/>
      <c r="SGX3" s="120"/>
      <c r="SGY3" s="120"/>
      <c r="SGZ3" s="120"/>
      <c r="SHA3" s="120"/>
      <c r="SHB3" s="120"/>
      <c r="SHC3" s="120"/>
      <c r="SHD3" s="120"/>
      <c r="SHE3" s="120"/>
      <c r="SHF3" s="120"/>
      <c r="SHG3" s="120"/>
      <c r="SHH3" s="120"/>
      <c r="SHI3" s="120"/>
      <c r="SHJ3" s="120"/>
      <c r="SHK3" s="120"/>
      <c r="SHL3" s="120"/>
      <c r="SHM3" s="120"/>
      <c r="SHN3" s="120"/>
      <c r="SHO3" s="120"/>
      <c r="SHP3" s="120"/>
      <c r="SHQ3" s="120"/>
      <c r="SHR3" s="120"/>
      <c r="SHS3" s="120"/>
      <c r="SHT3" s="120"/>
      <c r="SHU3" s="120"/>
      <c r="SHV3" s="120"/>
      <c r="SHW3" s="120"/>
      <c r="SHX3" s="120"/>
      <c r="SHY3" s="120"/>
      <c r="SHZ3" s="120"/>
      <c r="SIA3" s="120"/>
      <c r="SIB3" s="120"/>
      <c r="SIC3" s="120"/>
      <c r="SID3" s="120"/>
      <c r="SIE3" s="120"/>
      <c r="SIF3" s="120"/>
      <c r="SIG3" s="120"/>
      <c r="SIH3" s="120"/>
      <c r="SII3" s="120"/>
      <c r="SIJ3" s="120"/>
      <c r="SIK3" s="120"/>
      <c r="SIL3" s="120"/>
      <c r="SIM3" s="120"/>
      <c r="SIN3" s="120"/>
      <c r="SIO3" s="120"/>
      <c r="SIP3" s="120"/>
      <c r="SIQ3" s="120"/>
      <c r="SIR3" s="120"/>
      <c r="SIS3" s="120"/>
      <c r="SIT3" s="120"/>
      <c r="SIU3" s="120"/>
      <c r="SIV3" s="120"/>
      <c r="SIW3" s="120"/>
      <c r="SIX3" s="120"/>
      <c r="SIY3" s="120"/>
      <c r="SIZ3" s="120"/>
      <c r="SJA3" s="120"/>
      <c r="SJB3" s="120"/>
      <c r="SJC3" s="120"/>
      <c r="SJD3" s="120"/>
      <c r="SJE3" s="120"/>
      <c r="SJF3" s="120"/>
      <c r="SJG3" s="120"/>
      <c r="SJH3" s="120"/>
      <c r="SJI3" s="120"/>
      <c r="SJJ3" s="120"/>
      <c r="SJK3" s="120"/>
      <c r="SJL3" s="120"/>
      <c r="SJM3" s="120"/>
      <c r="SJN3" s="120"/>
      <c r="SJO3" s="120"/>
      <c r="SJP3" s="120"/>
      <c r="SJQ3" s="120"/>
      <c r="SJR3" s="120"/>
      <c r="SJS3" s="120"/>
      <c r="SJT3" s="120"/>
      <c r="SJU3" s="120"/>
      <c r="SJV3" s="120"/>
      <c r="SJW3" s="120"/>
      <c r="SJX3" s="120"/>
      <c r="SJY3" s="120"/>
      <c r="SJZ3" s="120"/>
      <c r="SKA3" s="120"/>
      <c r="SKB3" s="120"/>
      <c r="SKC3" s="120"/>
      <c r="SKD3" s="120"/>
      <c r="SKE3" s="120"/>
      <c r="SKF3" s="120"/>
      <c r="SKG3" s="120"/>
      <c r="SKH3" s="120"/>
      <c r="SKI3" s="120"/>
      <c r="SKJ3" s="120"/>
      <c r="SKK3" s="120"/>
      <c r="SKL3" s="120"/>
      <c r="SKM3" s="120"/>
      <c r="SKN3" s="120"/>
      <c r="SKO3" s="120"/>
      <c r="SKP3" s="120"/>
      <c r="SKQ3" s="120"/>
      <c r="SKR3" s="120"/>
      <c r="SKS3" s="120"/>
      <c r="SKT3" s="120"/>
      <c r="SKU3" s="120"/>
      <c r="SKV3" s="120"/>
      <c r="SKW3" s="120"/>
      <c r="SKX3" s="120"/>
      <c r="SKY3" s="120"/>
      <c r="SKZ3" s="120"/>
      <c r="SLA3" s="120"/>
      <c r="SLB3" s="120"/>
      <c r="SLC3" s="120"/>
      <c r="SLD3" s="120"/>
      <c r="SLE3" s="120"/>
      <c r="SLF3" s="120"/>
      <c r="SLG3" s="120"/>
      <c r="SLH3" s="120"/>
      <c r="SLI3" s="120"/>
      <c r="SLJ3" s="120"/>
      <c r="SLK3" s="120"/>
      <c r="SLL3" s="120"/>
      <c r="SLM3" s="120"/>
      <c r="SLN3" s="120"/>
      <c r="SLO3" s="120"/>
      <c r="SLP3" s="120"/>
      <c r="SLQ3" s="120"/>
      <c r="SLR3" s="120"/>
      <c r="SLS3" s="120"/>
      <c r="SLT3" s="120"/>
      <c r="SLU3" s="120"/>
      <c r="SLV3" s="120"/>
      <c r="SLW3" s="120"/>
      <c r="SLX3" s="120"/>
      <c r="SLY3" s="120"/>
      <c r="SLZ3" s="120"/>
      <c r="SMA3" s="120"/>
      <c r="SMB3" s="120"/>
      <c r="SMC3" s="120"/>
      <c r="SMD3" s="120"/>
      <c r="SME3" s="120"/>
      <c r="SMF3" s="120"/>
      <c r="SMG3" s="120"/>
      <c r="SMH3" s="120"/>
      <c r="SMI3" s="120"/>
      <c r="SMJ3" s="120"/>
      <c r="SMK3" s="120"/>
      <c r="SML3" s="120"/>
      <c r="SMM3" s="120"/>
      <c r="SMN3" s="120"/>
      <c r="SMO3" s="120"/>
      <c r="SMP3" s="120"/>
      <c r="SMQ3" s="120"/>
      <c r="SMR3" s="120"/>
      <c r="SMS3" s="120"/>
      <c r="SMT3" s="120"/>
      <c r="SMU3" s="120"/>
      <c r="SMV3" s="120"/>
      <c r="SMW3" s="120"/>
      <c r="SMX3" s="120"/>
      <c r="SMY3" s="120"/>
      <c r="SMZ3" s="120"/>
      <c r="SNA3" s="120"/>
      <c r="SNB3" s="120"/>
      <c r="SNC3" s="120"/>
      <c r="SND3" s="120"/>
      <c r="SNE3" s="120"/>
      <c r="SNF3" s="120"/>
      <c r="SNG3" s="120"/>
      <c r="SNH3" s="120"/>
      <c r="SNI3" s="120"/>
      <c r="SNJ3" s="120"/>
      <c r="SNK3" s="120"/>
      <c r="SNL3" s="120"/>
      <c r="SNM3" s="120"/>
      <c r="SNN3" s="120"/>
      <c r="SNO3" s="120"/>
      <c r="SNP3" s="120"/>
      <c r="SNQ3" s="120"/>
      <c r="SNR3" s="120"/>
      <c r="SNS3" s="120"/>
      <c r="SNT3" s="120"/>
      <c r="SNU3" s="120"/>
      <c r="SNV3" s="120"/>
      <c r="SNW3" s="120"/>
      <c r="SNX3" s="120"/>
      <c r="SNY3" s="120"/>
      <c r="SNZ3" s="120"/>
      <c r="SOA3" s="120"/>
      <c r="SOB3" s="120"/>
      <c r="SOC3" s="120"/>
      <c r="SOD3" s="120"/>
      <c r="SOE3" s="120"/>
      <c r="SOF3" s="120"/>
      <c r="SOG3" s="120"/>
      <c r="SOH3" s="120"/>
      <c r="SOI3" s="120"/>
      <c r="SOJ3" s="120"/>
      <c r="SOK3" s="120"/>
      <c r="SOL3" s="120"/>
      <c r="SOM3" s="120"/>
      <c r="SON3" s="120"/>
      <c r="SOO3" s="120"/>
      <c r="SOP3" s="120"/>
      <c r="SOQ3" s="120"/>
      <c r="SOR3" s="120"/>
      <c r="SOS3" s="120"/>
      <c r="SOT3" s="120"/>
      <c r="SOU3" s="120"/>
      <c r="SOV3" s="120"/>
      <c r="SOW3" s="120"/>
      <c r="SOX3" s="120"/>
      <c r="SOY3" s="120"/>
      <c r="SOZ3" s="120"/>
      <c r="SPA3" s="120"/>
      <c r="SPB3" s="120"/>
      <c r="SPC3" s="120"/>
      <c r="SPD3" s="120"/>
      <c r="SPE3" s="120"/>
      <c r="SPF3" s="120"/>
      <c r="SPG3" s="120"/>
      <c r="SPH3" s="120"/>
      <c r="SPI3" s="120"/>
      <c r="SPJ3" s="120"/>
      <c r="SPK3" s="120"/>
      <c r="SPL3" s="120"/>
      <c r="SPM3" s="120"/>
      <c r="SPN3" s="120"/>
      <c r="SPO3" s="120"/>
      <c r="SPP3" s="120"/>
      <c r="SPQ3" s="120"/>
      <c r="SPR3" s="120"/>
      <c r="SPS3" s="120"/>
      <c r="SPT3" s="120"/>
      <c r="SPU3" s="120"/>
      <c r="SPV3" s="120"/>
      <c r="SPW3" s="120"/>
      <c r="SPX3" s="120"/>
      <c r="SPY3" s="120"/>
      <c r="SPZ3" s="120"/>
      <c r="SQA3" s="120"/>
      <c r="SQB3" s="120"/>
      <c r="SQC3" s="120"/>
      <c r="SQD3" s="120"/>
      <c r="SQE3" s="120"/>
      <c r="SQF3" s="120"/>
      <c r="SQG3" s="120"/>
      <c r="SQH3" s="120"/>
      <c r="SQI3" s="120"/>
      <c r="SQJ3" s="120"/>
      <c r="SQK3" s="120"/>
      <c r="SQL3" s="120"/>
      <c r="SQM3" s="120"/>
      <c r="SQN3" s="120"/>
      <c r="SQO3" s="120"/>
      <c r="SQP3" s="120"/>
      <c r="SQQ3" s="120"/>
      <c r="SQR3" s="120"/>
      <c r="SQS3" s="120"/>
      <c r="SQT3" s="120"/>
      <c r="SQU3" s="120"/>
      <c r="SQV3" s="120"/>
      <c r="SQW3" s="120"/>
      <c r="SQX3" s="120"/>
      <c r="SQY3" s="120"/>
      <c r="SQZ3" s="120"/>
      <c r="SRA3" s="120"/>
      <c r="SRB3" s="120"/>
      <c r="SRC3" s="120"/>
      <c r="SRD3" s="120"/>
      <c r="SRE3" s="120"/>
      <c r="SRF3" s="120"/>
      <c r="SRG3" s="120"/>
      <c r="SRH3" s="120"/>
      <c r="SRI3" s="120"/>
      <c r="SRJ3" s="120"/>
      <c r="SRK3" s="120"/>
      <c r="SRL3" s="120"/>
      <c r="SRM3" s="120"/>
      <c r="SRN3" s="120"/>
      <c r="SRO3" s="120"/>
      <c r="SRP3" s="120"/>
      <c r="SRQ3" s="120"/>
      <c r="SRR3" s="120"/>
      <c r="SRS3" s="120"/>
      <c r="SRT3" s="120"/>
      <c r="SRU3" s="120"/>
      <c r="SRV3" s="120"/>
      <c r="SRW3" s="120"/>
      <c r="SRX3" s="120"/>
      <c r="SRY3" s="120"/>
      <c r="SRZ3" s="120"/>
      <c r="SSA3" s="120"/>
      <c r="SSB3" s="120"/>
      <c r="SSC3" s="120"/>
      <c r="SSD3" s="120"/>
      <c r="SSE3" s="120"/>
      <c r="SSF3" s="120"/>
      <c r="SSG3" s="120"/>
      <c r="SSH3" s="120"/>
      <c r="SSI3" s="120"/>
      <c r="SSJ3" s="120"/>
      <c r="SSK3" s="120"/>
      <c r="SSL3" s="120"/>
      <c r="SSM3" s="120"/>
      <c r="SSN3" s="120"/>
      <c r="SSO3" s="120"/>
      <c r="SSP3" s="120"/>
      <c r="SSQ3" s="120"/>
      <c r="SSR3" s="120"/>
      <c r="SSS3" s="120"/>
      <c r="SST3" s="120"/>
      <c r="SSU3" s="120"/>
      <c r="SSV3" s="120"/>
      <c r="SSW3" s="120"/>
      <c r="SSX3" s="120"/>
      <c r="SSY3" s="120"/>
      <c r="SSZ3" s="120"/>
      <c r="STA3" s="120"/>
      <c r="STB3" s="120"/>
      <c r="STC3" s="120"/>
      <c r="STD3" s="120"/>
      <c r="STE3" s="120"/>
      <c r="STF3" s="120"/>
      <c r="STG3" s="120"/>
      <c r="STH3" s="120"/>
      <c r="STI3" s="120"/>
      <c r="STJ3" s="120"/>
      <c r="STK3" s="120"/>
      <c r="STL3" s="120"/>
      <c r="STM3" s="120"/>
      <c r="STN3" s="120"/>
      <c r="STO3" s="120"/>
      <c r="STP3" s="120"/>
      <c r="STQ3" s="120"/>
      <c r="STR3" s="120"/>
      <c r="STS3" s="120"/>
      <c r="STT3" s="120"/>
      <c r="STU3" s="120"/>
      <c r="STV3" s="120"/>
      <c r="STW3" s="120"/>
      <c r="STX3" s="120"/>
      <c r="STY3" s="120"/>
      <c r="STZ3" s="120"/>
      <c r="SUA3" s="120"/>
      <c r="SUB3" s="120"/>
      <c r="SUC3" s="120"/>
      <c r="SUD3" s="120"/>
      <c r="SUE3" s="120"/>
      <c r="SUF3" s="120"/>
      <c r="SUG3" s="120"/>
      <c r="SUH3" s="120"/>
      <c r="SUI3" s="120"/>
      <c r="SUJ3" s="120"/>
      <c r="SUK3" s="120"/>
      <c r="SUL3" s="120"/>
      <c r="SUM3" s="120"/>
      <c r="SUN3" s="120"/>
      <c r="SUO3" s="120"/>
      <c r="SUP3" s="120"/>
      <c r="SUQ3" s="120"/>
      <c r="SUR3" s="120"/>
      <c r="SUS3" s="120"/>
      <c r="SUT3" s="120"/>
      <c r="SUU3" s="120"/>
      <c r="SUV3" s="120"/>
      <c r="SUW3" s="120"/>
      <c r="SUX3" s="120"/>
      <c r="SUY3" s="120"/>
      <c r="SUZ3" s="120"/>
      <c r="SVA3" s="120"/>
      <c r="SVB3" s="120"/>
      <c r="SVC3" s="120"/>
      <c r="SVD3" s="120"/>
      <c r="SVE3" s="120"/>
      <c r="SVF3" s="120"/>
      <c r="SVG3" s="120"/>
      <c r="SVH3" s="120"/>
      <c r="SVI3" s="120"/>
      <c r="SVJ3" s="120"/>
      <c r="SVK3" s="120"/>
      <c r="SVL3" s="120"/>
      <c r="SVM3" s="120"/>
      <c r="SVN3" s="120"/>
      <c r="SVO3" s="120"/>
      <c r="SVP3" s="120"/>
      <c r="SVQ3" s="120"/>
      <c r="SVR3" s="120"/>
      <c r="SVS3" s="120"/>
      <c r="SVT3" s="120"/>
      <c r="SVU3" s="120"/>
      <c r="SVV3" s="120"/>
      <c r="SVW3" s="120"/>
      <c r="SVX3" s="120"/>
      <c r="SVY3" s="120"/>
      <c r="SVZ3" s="120"/>
      <c r="SWA3" s="120"/>
      <c r="SWB3" s="120"/>
      <c r="SWC3" s="120"/>
      <c r="SWD3" s="120"/>
      <c r="SWE3" s="120"/>
      <c r="SWF3" s="120"/>
      <c r="SWG3" s="120"/>
      <c r="SWH3" s="120"/>
      <c r="SWI3" s="120"/>
      <c r="SWJ3" s="120"/>
      <c r="SWK3" s="120"/>
      <c r="SWL3" s="120"/>
      <c r="SWM3" s="120"/>
      <c r="SWN3" s="120"/>
      <c r="SWO3" s="120"/>
      <c r="SWP3" s="120"/>
      <c r="SWQ3" s="120"/>
      <c r="SWR3" s="120"/>
      <c r="SWS3" s="120"/>
      <c r="SWT3" s="120"/>
      <c r="SWU3" s="120"/>
      <c r="SWV3" s="120"/>
      <c r="SWW3" s="120"/>
      <c r="SWX3" s="120"/>
      <c r="SWY3" s="120"/>
      <c r="SWZ3" s="120"/>
      <c r="SXA3" s="120"/>
      <c r="SXB3" s="120"/>
      <c r="SXC3" s="120"/>
      <c r="SXD3" s="120"/>
      <c r="SXE3" s="120"/>
      <c r="SXF3" s="120"/>
      <c r="SXG3" s="120"/>
      <c r="SXH3" s="120"/>
      <c r="SXI3" s="120"/>
      <c r="SXJ3" s="120"/>
      <c r="SXK3" s="120"/>
      <c r="SXL3" s="120"/>
      <c r="SXM3" s="120"/>
      <c r="SXN3" s="120"/>
      <c r="SXO3" s="120"/>
      <c r="SXP3" s="120"/>
      <c r="SXQ3" s="120"/>
      <c r="SXR3" s="120"/>
      <c r="SXS3" s="120"/>
      <c r="SXT3" s="120"/>
      <c r="SXU3" s="120"/>
      <c r="SXV3" s="120"/>
      <c r="SXW3" s="120"/>
      <c r="SXX3" s="120"/>
      <c r="SXY3" s="120"/>
      <c r="SXZ3" s="120"/>
      <c r="SYA3" s="120"/>
      <c r="SYB3" s="120"/>
      <c r="SYC3" s="120"/>
      <c r="SYD3" s="120"/>
      <c r="SYE3" s="120"/>
      <c r="SYF3" s="120"/>
      <c r="SYG3" s="120"/>
      <c r="SYH3" s="120"/>
      <c r="SYI3" s="120"/>
      <c r="SYJ3" s="120"/>
      <c r="SYK3" s="120"/>
      <c r="SYL3" s="120"/>
      <c r="SYM3" s="120"/>
      <c r="SYN3" s="120"/>
      <c r="SYO3" s="120"/>
      <c r="SYP3" s="120"/>
      <c r="SYQ3" s="120"/>
      <c r="SYR3" s="120"/>
      <c r="SYS3" s="120"/>
      <c r="SYT3" s="120"/>
      <c r="SYU3" s="120"/>
      <c r="SYV3" s="120"/>
      <c r="SYW3" s="120"/>
      <c r="SYX3" s="120"/>
      <c r="SYY3" s="120"/>
      <c r="SYZ3" s="120"/>
      <c r="SZA3" s="120"/>
      <c r="SZB3" s="120"/>
      <c r="SZC3" s="120"/>
      <c r="SZD3" s="120"/>
      <c r="SZE3" s="120"/>
      <c r="SZF3" s="120"/>
      <c r="SZG3" s="120"/>
      <c r="SZH3" s="120"/>
      <c r="SZI3" s="120"/>
      <c r="SZJ3" s="120"/>
      <c r="SZK3" s="120"/>
      <c r="SZL3" s="120"/>
      <c r="SZM3" s="120"/>
      <c r="SZN3" s="120"/>
      <c r="SZO3" s="120"/>
      <c r="SZP3" s="120"/>
      <c r="SZQ3" s="120"/>
      <c r="SZR3" s="120"/>
      <c r="SZS3" s="120"/>
      <c r="SZT3" s="120"/>
      <c r="SZU3" s="120"/>
      <c r="SZV3" s="120"/>
      <c r="SZW3" s="120"/>
      <c r="SZX3" s="120"/>
      <c r="SZY3" s="120"/>
      <c r="SZZ3" s="120"/>
      <c r="TAA3" s="120"/>
      <c r="TAB3" s="120"/>
      <c r="TAC3" s="120"/>
      <c r="TAD3" s="120"/>
      <c r="TAE3" s="120"/>
      <c r="TAF3" s="120"/>
      <c r="TAG3" s="120"/>
      <c r="TAH3" s="120"/>
      <c r="TAI3" s="120"/>
      <c r="TAJ3" s="120"/>
      <c r="TAK3" s="120"/>
      <c r="TAL3" s="120"/>
      <c r="TAM3" s="120"/>
      <c r="TAN3" s="120"/>
      <c r="TAO3" s="120"/>
      <c r="TAP3" s="120"/>
      <c r="TAQ3" s="120"/>
      <c r="TAR3" s="120"/>
      <c r="TAS3" s="120"/>
      <c r="TAT3" s="120"/>
      <c r="TAU3" s="120"/>
      <c r="TAV3" s="120"/>
      <c r="TAW3" s="120"/>
      <c r="TAX3" s="120"/>
      <c r="TAY3" s="120"/>
      <c r="TAZ3" s="120"/>
      <c r="TBA3" s="120"/>
      <c r="TBB3" s="120"/>
      <c r="TBC3" s="120"/>
      <c r="TBD3" s="120"/>
      <c r="TBE3" s="120"/>
      <c r="TBF3" s="120"/>
      <c r="TBG3" s="120"/>
      <c r="TBH3" s="120"/>
      <c r="TBI3" s="120"/>
      <c r="TBJ3" s="120"/>
      <c r="TBK3" s="120"/>
      <c r="TBL3" s="120"/>
      <c r="TBM3" s="120"/>
      <c r="TBN3" s="120"/>
      <c r="TBO3" s="120"/>
      <c r="TBP3" s="120"/>
      <c r="TBQ3" s="120"/>
      <c r="TBR3" s="120"/>
      <c r="TBS3" s="120"/>
      <c r="TBT3" s="120"/>
      <c r="TBU3" s="120"/>
      <c r="TBV3" s="120"/>
      <c r="TBW3" s="120"/>
      <c r="TBX3" s="120"/>
      <c r="TBY3" s="120"/>
      <c r="TBZ3" s="120"/>
      <c r="TCA3" s="120"/>
      <c r="TCB3" s="120"/>
      <c r="TCC3" s="120"/>
      <c r="TCD3" s="120"/>
      <c r="TCE3" s="120"/>
      <c r="TCF3" s="120"/>
      <c r="TCG3" s="120"/>
      <c r="TCH3" s="120"/>
      <c r="TCI3" s="120"/>
      <c r="TCJ3" s="120"/>
      <c r="TCK3" s="120"/>
      <c r="TCL3" s="120"/>
      <c r="TCM3" s="120"/>
      <c r="TCN3" s="120"/>
      <c r="TCO3" s="120"/>
      <c r="TCP3" s="120"/>
      <c r="TCQ3" s="120"/>
      <c r="TCR3" s="120"/>
      <c r="TCS3" s="120"/>
      <c r="TCT3" s="120"/>
      <c r="TCU3" s="120"/>
      <c r="TCV3" s="120"/>
      <c r="TCW3" s="120"/>
      <c r="TCX3" s="120"/>
      <c r="TCY3" s="120"/>
      <c r="TCZ3" s="120"/>
      <c r="TDA3" s="120"/>
      <c r="TDB3" s="120"/>
      <c r="TDC3" s="120"/>
      <c r="TDD3" s="120"/>
      <c r="TDE3" s="120"/>
      <c r="TDF3" s="120"/>
      <c r="TDG3" s="120"/>
      <c r="TDH3" s="120"/>
      <c r="TDI3" s="120"/>
      <c r="TDJ3" s="120"/>
      <c r="TDK3" s="120"/>
      <c r="TDL3" s="120"/>
      <c r="TDM3" s="120"/>
      <c r="TDN3" s="120"/>
      <c r="TDO3" s="120"/>
      <c r="TDP3" s="120"/>
      <c r="TDQ3" s="120"/>
      <c r="TDR3" s="120"/>
      <c r="TDS3" s="120"/>
      <c r="TDT3" s="120"/>
      <c r="TDU3" s="120"/>
      <c r="TDV3" s="120"/>
      <c r="TDW3" s="120"/>
      <c r="TDX3" s="120"/>
      <c r="TDY3" s="120"/>
      <c r="TDZ3" s="120"/>
      <c r="TEA3" s="120"/>
      <c r="TEB3" s="120"/>
      <c r="TEC3" s="120"/>
      <c r="TED3" s="120"/>
      <c r="TEE3" s="120"/>
      <c r="TEF3" s="120"/>
      <c r="TEG3" s="120"/>
      <c r="TEH3" s="120"/>
      <c r="TEI3" s="120"/>
      <c r="TEJ3" s="120"/>
      <c r="TEK3" s="120"/>
      <c r="TEL3" s="120"/>
      <c r="TEM3" s="120"/>
      <c r="TEN3" s="120"/>
      <c r="TEO3" s="120"/>
      <c r="TEP3" s="120"/>
      <c r="TEQ3" s="120"/>
      <c r="TER3" s="120"/>
      <c r="TES3" s="120"/>
      <c r="TET3" s="120"/>
      <c r="TEU3" s="120"/>
      <c r="TEV3" s="120"/>
      <c r="TEW3" s="120"/>
      <c r="TEX3" s="120"/>
      <c r="TEY3" s="120"/>
      <c r="TEZ3" s="120"/>
      <c r="TFA3" s="120"/>
      <c r="TFB3" s="120"/>
      <c r="TFC3" s="120"/>
      <c r="TFD3" s="120"/>
      <c r="TFE3" s="120"/>
      <c r="TFF3" s="120"/>
      <c r="TFG3" s="120"/>
      <c r="TFH3" s="120"/>
      <c r="TFI3" s="120"/>
      <c r="TFJ3" s="120"/>
      <c r="TFK3" s="120"/>
      <c r="TFL3" s="120"/>
      <c r="TFM3" s="120"/>
      <c r="TFN3" s="120"/>
      <c r="TFO3" s="120"/>
      <c r="TFP3" s="120"/>
      <c r="TFQ3" s="120"/>
      <c r="TFR3" s="120"/>
      <c r="TFS3" s="120"/>
      <c r="TFT3" s="120"/>
      <c r="TFU3" s="120"/>
      <c r="TFV3" s="120"/>
      <c r="TFW3" s="120"/>
      <c r="TFX3" s="120"/>
      <c r="TFY3" s="120"/>
      <c r="TFZ3" s="120"/>
      <c r="TGA3" s="120"/>
      <c r="TGB3" s="120"/>
      <c r="TGC3" s="120"/>
      <c r="TGD3" s="120"/>
      <c r="TGE3" s="120"/>
      <c r="TGF3" s="120"/>
      <c r="TGG3" s="120"/>
      <c r="TGH3" s="120"/>
      <c r="TGI3" s="120"/>
      <c r="TGJ3" s="120"/>
      <c r="TGK3" s="120"/>
      <c r="TGL3" s="120"/>
      <c r="TGM3" s="120"/>
      <c r="TGN3" s="120"/>
      <c r="TGO3" s="120"/>
      <c r="TGP3" s="120"/>
      <c r="TGQ3" s="120"/>
      <c r="TGR3" s="120"/>
      <c r="TGS3" s="120"/>
      <c r="TGT3" s="120"/>
      <c r="TGU3" s="120"/>
      <c r="TGV3" s="120"/>
      <c r="TGW3" s="120"/>
      <c r="TGX3" s="120"/>
      <c r="TGY3" s="120"/>
      <c r="TGZ3" s="120"/>
      <c r="THA3" s="120"/>
      <c r="THB3" s="120"/>
      <c r="THC3" s="120"/>
      <c r="THD3" s="120"/>
      <c r="THE3" s="120"/>
      <c r="THF3" s="120"/>
      <c r="THG3" s="120"/>
      <c r="THH3" s="120"/>
      <c r="THI3" s="120"/>
      <c r="THJ3" s="120"/>
      <c r="THK3" s="120"/>
      <c r="THL3" s="120"/>
      <c r="THM3" s="120"/>
      <c r="THN3" s="120"/>
      <c r="THO3" s="120"/>
      <c r="THP3" s="120"/>
      <c r="THQ3" s="120"/>
      <c r="THR3" s="120"/>
      <c r="THS3" s="120"/>
      <c r="THT3" s="120"/>
      <c r="THU3" s="120"/>
      <c r="THV3" s="120"/>
      <c r="THW3" s="120"/>
      <c r="THX3" s="120"/>
      <c r="THY3" s="120"/>
      <c r="THZ3" s="120"/>
      <c r="TIA3" s="120"/>
      <c r="TIB3" s="120"/>
      <c r="TIC3" s="120"/>
      <c r="TID3" s="120"/>
      <c r="TIE3" s="120"/>
      <c r="TIF3" s="120"/>
      <c r="TIG3" s="120"/>
      <c r="TIH3" s="120"/>
      <c r="TII3" s="120"/>
      <c r="TIJ3" s="120"/>
      <c r="TIK3" s="120"/>
      <c r="TIL3" s="120"/>
      <c r="TIM3" s="120"/>
      <c r="TIN3" s="120"/>
      <c r="TIO3" s="120"/>
      <c r="TIP3" s="120"/>
      <c r="TIQ3" s="120"/>
      <c r="TIR3" s="120"/>
      <c r="TIS3" s="120"/>
      <c r="TIT3" s="120"/>
      <c r="TIU3" s="120"/>
      <c r="TIV3" s="120"/>
      <c r="TIW3" s="120"/>
      <c r="TIX3" s="120"/>
      <c r="TIY3" s="120"/>
      <c r="TIZ3" s="120"/>
      <c r="TJA3" s="120"/>
      <c r="TJB3" s="120"/>
      <c r="TJC3" s="120"/>
      <c r="TJD3" s="120"/>
      <c r="TJE3" s="120"/>
      <c r="TJF3" s="120"/>
      <c r="TJG3" s="120"/>
      <c r="TJH3" s="120"/>
      <c r="TJI3" s="120"/>
      <c r="TJJ3" s="120"/>
      <c r="TJK3" s="120"/>
      <c r="TJL3" s="120"/>
      <c r="TJM3" s="120"/>
      <c r="TJN3" s="120"/>
      <c r="TJO3" s="120"/>
      <c r="TJP3" s="120"/>
      <c r="TJQ3" s="120"/>
      <c r="TJR3" s="120"/>
      <c r="TJS3" s="120"/>
      <c r="TJT3" s="120"/>
      <c r="TJU3" s="120"/>
      <c r="TJV3" s="120"/>
      <c r="TJW3" s="120"/>
      <c r="TJX3" s="120"/>
      <c r="TJY3" s="120"/>
      <c r="TJZ3" s="120"/>
      <c r="TKA3" s="120"/>
      <c r="TKB3" s="120"/>
      <c r="TKC3" s="120"/>
      <c r="TKD3" s="120"/>
      <c r="TKE3" s="120"/>
      <c r="TKF3" s="120"/>
      <c r="TKG3" s="120"/>
      <c r="TKH3" s="120"/>
      <c r="TKI3" s="120"/>
      <c r="TKJ3" s="120"/>
      <c r="TKK3" s="120"/>
      <c r="TKL3" s="120"/>
      <c r="TKM3" s="120"/>
      <c r="TKN3" s="120"/>
      <c r="TKO3" s="120"/>
      <c r="TKP3" s="120"/>
      <c r="TKQ3" s="120"/>
      <c r="TKR3" s="120"/>
      <c r="TKS3" s="120"/>
      <c r="TKT3" s="120"/>
      <c r="TKU3" s="120"/>
      <c r="TKV3" s="120"/>
      <c r="TKW3" s="120"/>
      <c r="TKX3" s="120"/>
      <c r="TKY3" s="120"/>
      <c r="TKZ3" s="120"/>
      <c r="TLA3" s="120"/>
      <c r="TLB3" s="120"/>
      <c r="TLC3" s="120"/>
      <c r="TLD3" s="120"/>
      <c r="TLE3" s="120"/>
      <c r="TLF3" s="120"/>
      <c r="TLG3" s="120"/>
      <c r="TLH3" s="120"/>
      <c r="TLI3" s="120"/>
      <c r="TLJ3" s="120"/>
      <c r="TLK3" s="120"/>
      <c r="TLL3" s="120"/>
      <c r="TLM3" s="120"/>
      <c r="TLN3" s="120"/>
      <c r="TLO3" s="120"/>
      <c r="TLP3" s="120"/>
      <c r="TLQ3" s="120"/>
      <c r="TLR3" s="120"/>
      <c r="TLS3" s="120"/>
      <c r="TLT3" s="120"/>
      <c r="TLU3" s="120"/>
      <c r="TLV3" s="120"/>
      <c r="TLW3" s="120"/>
      <c r="TLX3" s="120"/>
      <c r="TLY3" s="120"/>
      <c r="TLZ3" s="120"/>
      <c r="TMA3" s="120"/>
      <c r="TMB3" s="120"/>
      <c r="TMC3" s="120"/>
      <c r="TMD3" s="120"/>
      <c r="TME3" s="120"/>
      <c r="TMF3" s="120"/>
      <c r="TMG3" s="120"/>
      <c r="TMH3" s="120"/>
      <c r="TMI3" s="120"/>
      <c r="TMJ3" s="120"/>
      <c r="TMK3" s="120"/>
      <c r="TML3" s="120"/>
      <c r="TMM3" s="120"/>
      <c r="TMN3" s="120"/>
      <c r="TMO3" s="120"/>
      <c r="TMP3" s="120"/>
      <c r="TMQ3" s="120"/>
      <c r="TMR3" s="120"/>
      <c r="TMS3" s="120"/>
      <c r="TMT3" s="120"/>
      <c r="TMU3" s="120"/>
      <c r="TMV3" s="120"/>
      <c r="TMW3" s="120"/>
      <c r="TMX3" s="120"/>
      <c r="TMY3" s="120"/>
      <c r="TMZ3" s="120"/>
      <c r="TNA3" s="120"/>
      <c r="TNB3" s="120"/>
      <c r="TNC3" s="120"/>
      <c r="TND3" s="120"/>
      <c r="TNE3" s="120"/>
      <c r="TNF3" s="120"/>
      <c r="TNG3" s="120"/>
      <c r="TNH3" s="120"/>
      <c r="TNI3" s="120"/>
      <c r="TNJ3" s="120"/>
      <c r="TNK3" s="120"/>
      <c r="TNL3" s="120"/>
      <c r="TNM3" s="120"/>
      <c r="TNN3" s="120"/>
      <c r="TNO3" s="120"/>
      <c r="TNP3" s="120"/>
      <c r="TNQ3" s="120"/>
      <c r="TNR3" s="120"/>
      <c r="TNS3" s="120"/>
      <c r="TNT3" s="120"/>
      <c r="TNU3" s="120"/>
      <c r="TNV3" s="120"/>
      <c r="TNW3" s="120"/>
      <c r="TNX3" s="120"/>
      <c r="TNY3" s="120"/>
      <c r="TNZ3" s="120"/>
      <c r="TOA3" s="120"/>
      <c r="TOB3" s="120"/>
      <c r="TOC3" s="120"/>
      <c r="TOD3" s="120"/>
      <c r="TOE3" s="120"/>
      <c r="TOF3" s="120"/>
      <c r="TOG3" s="120"/>
      <c r="TOH3" s="120"/>
      <c r="TOI3" s="120"/>
      <c r="TOJ3" s="120"/>
      <c r="TOK3" s="120"/>
      <c r="TOL3" s="120"/>
      <c r="TOM3" s="120"/>
      <c r="TON3" s="120"/>
      <c r="TOO3" s="120"/>
      <c r="TOP3" s="120"/>
      <c r="TOQ3" s="120"/>
      <c r="TOR3" s="120"/>
      <c r="TOS3" s="120"/>
      <c r="TOT3" s="120"/>
      <c r="TOU3" s="120"/>
      <c r="TOV3" s="120"/>
      <c r="TOW3" s="120"/>
      <c r="TOX3" s="120"/>
      <c r="TOY3" s="120"/>
      <c r="TOZ3" s="120"/>
      <c r="TPA3" s="120"/>
      <c r="TPB3" s="120"/>
      <c r="TPC3" s="120"/>
      <c r="TPD3" s="120"/>
      <c r="TPE3" s="120"/>
      <c r="TPF3" s="120"/>
      <c r="TPG3" s="120"/>
      <c r="TPH3" s="120"/>
      <c r="TPI3" s="120"/>
      <c r="TPJ3" s="120"/>
      <c r="TPK3" s="120"/>
      <c r="TPL3" s="120"/>
      <c r="TPM3" s="120"/>
      <c r="TPN3" s="120"/>
      <c r="TPO3" s="120"/>
      <c r="TPP3" s="120"/>
      <c r="TPQ3" s="120"/>
      <c r="TPR3" s="120"/>
      <c r="TPS3" s="120"/>
      <c r="TPT3" s="120"/>
      <c r="TPU3" s="120"/>
      <c r="TPV3" s="120"/>
      <c r="TPW3" s="120"/>
      <c r="TPX3" s="120"/>
      <c r="TPY3" s="120"/>
      <c r="TPZ3" s="120"/>
      <c r="TQA3" s="120"/>
      <c r="TQB3" s="120"/>
      <c r="TQC3" s="120"/>
      <c r="TQD3" s="120"/>
      <c r="TQE3" s="120"/>
      <c r="TQF3" s="120"/>
      <c r="TQG3" s="120"/>
      <c r="TQH3" s="120"/>
      <c r="TQI3" s="120"/>
      <c r="TQJ3" s="120"/>
      <c r="TQK3" s="120"/>
      <c r="TQL3" s="120"/>
      <c r="TQM3" s="120"/>
      <c r="TQN3" s="120"/>
      <c r="TQO3" s="120"/>
      <c r="TQP3" s="120"/>
      <c r="TQQ3" s="120"/>
      <c r="TQR3" s="120"/>
      <c r="TQS3" s="120"/>
      <c r="TQT3" s="120"/>
      <c r="TQU3" s="120"/>
      <c r="TQV3" s="120"/>
      <c r="TQW3" s="120"/>
      <c r="TQX3" s="120"/>
      <c r="TQY3" s="120"/>
      <c r="TQZ3" s="120"/>
      <c r="TRA3" s="120"/>
      <c r="TRB3" s="120"/>
      <c r="TRC3" s="120"/>
      <c r="TRD3" s="120"/>
      <c r="TRE3" s="120"/>
      <c r="TRF3" s="120"/>
      <c r="TRG3" s="120"/>
      <c r="TRH3" s="120"/>
      <c r="TRI3" s="120"/>
      <c r="TRJ3" s="120"/>
      <c r="TRK3" s="120"/>
      <c r="TRL3" s="120"/>
      <c r="TRM3" s="120"/>
      <c r="TRN3" s="120"/>
      <c r="TRO3" s="120"/>
      <c r="TRP3" s="120"/>
      <c r="TRQ3" s="120"/>
      <c r="TRR3" s="120"/>
      <c r="TRS3" s="120"/>
      <c r="TRT3" s="120"/>
      <c r="TRU3" s="120"/>
      <c r="TRV3" s="120"/>
      <c r="TRW3" s="120"/>
      <c r="TRX3" s="120"/>
      <c r="TRY3" s="120"/>
      <c r="TRZ3" s="120"/>
      <c r="TSA3" s="120"/>
      <c r="TSB3" s="120"/>
      <c r="TSC3" s="120"/>
      <c r="TSD3" s="120"/>
      <c r="TSE3" s="120"/>
      <c r="TSF3" s="120"/>
      <c r="TSG3" s="120"/>
      <c r="TSH3" s="120"/>
      <c r="TSI3" s="120"/>
      <c r="TSJ3" s="120"/>
      <c r="TSK3" s="120"/>
      <c r="TSL3" s="120"/>
      <c r="TSM3" s="120"/>
      <c r="TSN3" s="120"/>
      <c r="TSO3" s="120"/>
      <c r="TSP3" s="120"/>
      <c r="TSQ3" s="120"/>
      <c r="TSR3" s="120"/>
      <c r="TSS3" s="120"/>
      <c r="TST3" s="120"/>
      <c r="TSU3" s="120"/>
      <c r="TSV3" s="120"/>
      <c r="TSW3" s="120"/>
      <c r="TSX3" s="120"/>
      <c r="TSY3" s="120"/>
      <c r="TSZ3" s="120"/>
      <c r="TTA3" s="120"/>
      <c r="TTB3" s="120"/>
      <c r="TTC3" s="120"/>
      <c r="TTD3" s="120"/>
      <c r="TTE3" s="120"/>
      <c r="TTF3" s="120"/>
      <c r="TTG3" s="120"/>
      <c r="TTH3" s="120"/>
      <c r="TTI3" s="120"/>
      <c r="TTJ3" s="120"/>
      <c r="TTK3" s="120"/>
      <c r="TTL3" s="120"/>
      <c r="TTM3" s="120"/>
      <c r="TTN3" s="120"/>
      <c r="TTO3" s="120"/>
      <c r="TTP3" s="120"/>
      <c r="TTQ3" s="120"/>
      <c r="TTR3" s="120"/>
      <c r="TTS3" s="120"/>
      <c r="TTT3" s="120"/>
      <c r="TTU3" s="120"/>
      <c r="TTV3" s="120"/>
      <c r="TTW3" s="120"/>
      <c r="TTX3" s="120"/>
      <c r="TTY3" s="120"/>
      <c r="TTZ3" s="120"/>
      <c r="TUA3" s="120"/>
      <c r="TUB3" s="120"/>
      <c r="TUC3" s="120"/>
      <c r="TUD3" s="120"/>
      <c r="TUE3" s="120"/>
      <c r="TUF3" s="120"/>
      <c r="TUG3" s="120"/>
      <c r="TUH3" s="120"/>
      <c r="TUI3" s="120"/>
      <c r="TUJ3" s="120"/>
      <c r="TUK3" s="120"/>
      <c r="TUL3" s="120"/>
      <c r="TUM3" s="120"/>
      <c r="TUN3" s="120"/>
      <c r="TUO3" s="120"/>
      <c r="TUP3" s="120"/>
      <c r="TUQ3" s="120"/>
      <c r="TUR3" s="120"/>
      <c r="TUS3" s="120"/>
      <c r="TUT3" s="120"/>
      <c r="TUU3" s="120"/>
      <c r="TUV3" s="120"/>
      <c r="TUW3" s="120"/>
      <c r="TUX3" s="120"/>
      <c r="TUY3" s="120"/>
      <c r="TUZ3" s="120"/>
      <c r="TVA3" s="120"/>
      <c r="TVB3" s="120"/>
      <c r="TVC3" s="120"/>
      <c r="TVD3" s="120"/>
      <c r="TVE3" s="120"/>
      <c r="TVF3" s="120"/>
      <c r="TVG3" s="120"/>
      <c r="TVH3" s="120"/>
      <c r="TVI3" s="120"/>
      <c r="TVJ3" s="120"/>
      <c r="TVK3" s="120"/>
      <c r="TVL3" s="120"/>
      <c r="TVM3" s="120"/>
      <c r="TVN3" s="120"/>
      <c r="TVO3" s="120"/>
      <c r="TVP3" s="120"/>
      <c r="TVQ3" s="120"/>
      <c r="TVR3" s="120"/>
      <c r="TVS3" s="120"/>
      <c r="TVT3" s="120"/>
      <c r="TVU3" s="120"/>
      <c r="TVV3" s="120"/>
      <c r="TVW3" s="120"/>
      <c r="TVX3" s="120"/>
      <c r="TVY3" s="120"/>
      <c r="TVZ3" s="120"/>
      <c r="TWA3" s="120"/>
      <c r="TWB3" s="120"/>
      <c r="TWC3" s="120"/>
      <c r="TWD3" s="120"/>
      <c r="TWE3" s="120"/>
      <c r="TWF3" s="120"/>
      <c r="TWG3" s="120"/>
      <c r="TWH3" s="120"/>
      <c r="TWI3" s="120"/>
      <c r="TWJ3" s="120"/>
      <c r="TWK3" s="120"/>
      <c r="TWL3" s="120"/>
      <c r="TWM3" s="120"/>
      <c r="TWN3" s="120"/>
      <c r="TWO3" s="120"/>
      <c r="TWP3" s="120"/>
      <c r="TWQ3" s="120"/>
      <c r="TWR3" s="120"/>
      <c r="TWS3" s="120"/>
      <c r="TWT3" s="120"/>
      <c r="TWU3" s="120"/>
      <c r="TWV3" s="120"/>
      <c r="TWW3" s="120"/>
      <c r="TWX3" s="120"/>
      <c r="TWY3" s="120"/>
      <c r="TWZ3" s="120"/>
      <c r="TXA3" s="120"/>
      <c r="TXB3" s="120"/>
      <c r="TXC3" s="120"/>
      <c r="TXD3" s="120"/>
      <c r="TXE3" s="120"/>
      <c r="TXF3" s="120"/>
      <c r="TXG3" s="120"/>
      <c r="TXH3" s="120"/>
      <c r="TXI3" s="120"/>
      <c r="TXJ3" s="120"/>
      <c r="TXK3" s="120"/>
      <c r="TXL3" s="120"/>
      <c r="TXM3" s="120"/>
      <c r="TXN3" s="120"/>
      <c r="TXO3" s="120"/>
      <c r="TXP3" s="120"/>
      <c r="TXQ3" s="120"/>
      <c r="TXR3" s="120"/>
      <c r="TXS3" s="120"/>
      <c r="TXT3" s="120"/>
      <c r="TXU3" s="120"/>
      <c r="TXV3" s="120"/>
      <c r="TXW3" s="120"/>
      <c r="TXX3" s="120"/>
      <c r="TXY3" s="120"/>
      <c r="TXZ3" s="120"/>
      <c r="TYA3" s="120"/>
      <c r="TYB3" s="120"/>
      <c r="TYC3" s="120"/>
      <c r="TYD3" s="120"/>
      <c r="TYE3" s="120"/>
      <c r="TYF3" s="120"/>
      <c r="TYG3" s="120"/>
      <c r="TYH3" s="120"/>
      <c r="TYI3" s="120"/>
      <c r="TYJ3" s="120"/>
      <c r="TYK3" s="120"/>
      <c r="TYL3" s="120"/>
      <c r="TYM3" s="120"/>
      <c r="TYN3" s="120"/>
      <c r="TYO3" s="120"/>
      <c r="TYP3" s="120"/>
      <c r="TYQ3" s="120"/>
      <c r="TYR3" s="120"/>
      <c r="TYS3" s="120"/>
      <c r="TYT3" s="120"/>
      <c r="TYU3" s="120"/>
      <c r="TYV3" s="120"/>
      <c r="TYW3" s="120"/>
      <c r="TYX3" s="120"/>
      <c r="TYY3" s="120"/>
      <c r="TYZ3" s="120"/>
      <c r="TZA3" s="120"/>
      <c r="TZB3" s="120"/>
      <c r="TZC3" s="120"/>
      <c r="TZD3" s="120"/>
      <c r="TZE3" s="120"/>
      <c r="TZF3" s="120"/>
      <c r="TZG3" s="120"/>
      <c r="TZH3" s="120"/>
      <c r="TZI3" s="120"/>
      <c r="TZJ3" s="120"/>
      <c r="TZK3" s="120"/>
      <c r="TZL3" s="120"/>
      <c r="TZM3" s="120"/>
      <c r="TZN3" s="120"/>
      <c r="TZO3" s="120"/>
      <c r="TZP3" s="120"/>
      <c r="TZQ3" s="120"/>
      <c r="TZR3" s="120"/>
      <c r="TZS3" s="120"/>
      <c r="TZT3" s="120"/>
      <c r="TZU3" s="120"/>
      <c r="TZV3" s="120"/>
      <c r="TZW3" s="120"/>
      <c r="TZX3" s="120"/>
      <c r="TZY3" s="120"/>
      <c r="TZZ3" s="120"/>
      <c r="UAA3" s="120"/>
      <c r="UAB3" s="120"/>
      <c r="UAC3" s="120"/>
      <c r="UAD3" s="120"/>
      <c r="UAE3" s="120"/>
      <c r="UAF3" s="120"/>
      <c r="UAG3" s="120"/>
      <c r="UAH3" s="120"/>
      <c r="UAI3" s="120"/>
      <c r="UAJ3" s="120"/>
      <c r="UAK3" s="120"/>
      <c r="UAL3" s="120"/>
      <c r="UAM3" s="120"/>
      <c r="UAN3" s="120"/>
      <c r="UAO3" s="120"/>
      <c r="UAP3" s="120"/>
      <c r="UAQ3" s="120"/>
      <c r="UAR3" s="120"/>
      <c r="UAS3" s="120"/>
      <c r="UAT3" s="120"/>
      <c r="UAU3" s="120"/>
      <c r="UAV3" s="120"/>
      <c r="UAW3" s="120"/>
      <c r="UAX3" s="120"/>
      <c r="UAY3" s="120"/>
      <c r="UAZ3" s="120"/>
      <c r="UBA3" s="120"/>
      <c r="UBB3" s="120"/>
      <c r="UBC3" s="120"/>
      <c r="UBD3" s="120"/>
      <c r="UBE3" s="120"/>
      <c r="UBF3" s="120"/>
      <c r="UBG3" s="120"/>
      <c r="UBH3" s="120"/>
      <c r="UBI3" s="120"/>
      <c r="UBJ3" s="120"/>
      <c r="UBK3" s="120"/>
      <c r="UBL3" s="120"/>
      <c r="UBM3" s="120"/>
      <c r="UBN3" s="120"/>
      <c r="UBO3" s="120"/>
      <c r="UBP3" s="120"/>
      <c r="UBQ3" s="120"/>
      <c r="UBR3" s="120"/>
      <c r="UBS3" s="120"/>
      <c r="UBT3" s="120"/>
      <c r="UBU3" s="120"/>
      <c r="UBV3" s="120"/>
      <c r="UBW3" s="120"/>
      <c r="UBX3" s="120"/>
      <c r="UBY3" s="120"/>
      <c r="UBZ3" s="120"/>
      <c r="UCA3" s="120"/>
      <c r="UCB3" s="120"/>
      <c r="UCC3" s="120"/>
      <c r="UCD3" s="120"/>
      <c r="UCE3" s="120"/>
      <c r="UCF3" s="120"/>
      <c r="UCG3" s="120"/>
      <c r="UCH3" s="120"/>
      <c r="UCI3" s="120"/>
      <c r="UCJ3" s="120"/>
      <c r="UCK3" s="120"/>
      <c r="UCL3" s="120"/>
      <c r="UCM3" s="120"/>
      <c r="UCN3" s="120"/>
      <c r="UCO3" s="120"/>
      <c r="UCP3" s="120"/>
      <c r="UCQ3" s="120"/>
      <c r="UCR3" s="120"/>
      <c r="UCS3" s="120"/>
      <c r="UCT3" s="120"/>
      <c r="UCU3" s="120"/>
      <c r="UCV3" s="120"/>
      <c r="UCW3" s="120"/>
      <c r="UCX3" s="120"/>
      <c r="UCY3" s="120"/>
      <c r="UCZ3" s="120"/>
      <c r="UDA3" s="120"/>
      <c r="UDB3" s="120"/>
      <c r="UDC3" s="120"/>
      <c r="UDD3" s="120"/>
      <c r="UDE3" s="120"/>
      <c r="UDF3" s="120"/>
      <c r="UDG3" s="120"/>
      <c r="UDH3" s="120"/>
      <c r="UDI3" s="120"/>
      <c r="UDJ3" s="120"/>
      <c r="UDK3" s="120"/>
      <c r="UDL3" s="120"/>
      <c r="UDM3" s="120"/>
      <c r="UDN3" s="120"/>
      <c r="UDO3" s="120"/>
      <c r="UDP3" s="120"/>
      <c r="UDQ3" s="120"/>
      <c r="UDR3" s="120"/>
      <c r="UDS3" s="120"/>
      <c r="UDT3" s="120"/>
      <c r="UDU3" s="120"/>
      <c r="UDV3" s="120"/>
      <c r="UDW3" s="120"/>
      <c r="UDX3" s="120"/>
      <c r="UDY3" s="120"/>
      <c r="UDZ3" s="120"/>
      <c r="UEA3" s="120"/>
      <c r="UEB3" s="120"/>
      <c r="UEC3" s="120"/>
      <c r="UED3" s="120"/>
      <c r="UEE3" s="120"/>
      <c r="UEF3" s="120"/>
      <c r="UEG3" s="120"/>
      <c r="UEH3" s="120"/>
      <c r="UEI3" s="120"/>
      <c r="UEJ3" s="120"/>
      <c r="UEK3" s="120"/>
      <c r="UEL3" s="120"/>
      <c r="UEM3" s="120"/>
      <c r="UEN3" s="120"/>
      <c r="UEO3" s="120"/>
      <c r="UEP3" s="120"/>
      <c r="UEQ3" s="120"/>
      <c r="UER3" s="120"/>
      <c r="UES3" s="120"/>
      <c r="UET3" s="120"/>
      <c r="UEU3" s="120"/>
      <c r="UEV3" s="120"/>
      <c r="UEW3" s="120"/>
      <c r="UEX3" s="120"/>
      <c r="UEY3" s="120"/>
      <c r="UEZ3" s="120"/>
      <c r="UFA3" s="120"/>
      <c r="UFB3" s="120"/>
      <c r="UFC3" s="120"/>
      <c r="UFD3" s="120"/>
      <c r="UFE3" s="120"/>
      <c r="UFF3" s="120"/>
      <c r="UFG3" s="120"/>
      <c r="UFH3" s="120"/>
      <c r="UFI3" s="120"/>
      <c r="UFJ3" s="120"/>
      <c r="UFK3" s="120"/>
      <c r="UFL3" s="120"/>
      <c r="UFM3" s="120"/>
      <c r="UFN3" s="120"/>
      <c r="UFO3" s="120"/>
      <c r="UFP3" s="120"/>
      <c r="UFQ3" s="120"/>
      <c r="UFR3" s="120"/>
      <c r="UFS3" s="120"/>
      <c r="UFT3" s="120"/>
      <c r="UFU3" s="120"/>
      <c r="UFV3" s="120"/>
      <c r="UFW3" s="120"/>
      <c r="UFX3" s="120"/>
      <c r="UFY3" s="120"/>
      <c r="UFZ3" s="120"/>
      <c r="UGA3" s="120"/>
      <c r="UGB3" s="120"/>
      <c r="UGC3" s="120"/>
      <c r="UGD3" s="120"/>
      <c r="UGE3" s="120"/>
      <c r="UGF3" s="120"/>
      <c r="UGG3" s="120"/>
      <c r="UGH3" s="120"/>
      <c r="UGI3" s="120"/>
      <c r="UGJ3" s="120"/>
      <c r="UGK3" s="120"/>
      <c r="UGL3" s="120"/>
      <c r="UGM3" s="120"/>
      <c r="UGN3" s="120"/>
      <c r="UGO3" s="120"/>
      <c r="UGP3" s="120"/>
      <c r="UGQ3" s="120"/>
      <c r="UGR3" s="120"/>
      <c r="UGS3" s="120"/>
      <c r="UGT3" s="120"/>
      <c r="UGU3" s="120"/>
      <c r="UGV3" s="120"/>
      <c r="UGW3" s="120"/>
      <c r="UGX3" s="120"/>
      <c r="UGY3" s="120"/>
      <c r="UGZ3" s="120"/>
      <c r="UHA3" s="120"/>
      <c r="UHB3" s="120"/>
      <c r="UHC3" s="120"/>
      <c r="UHD3" s="120"/>
      <c r="UHE3" s="120"/>
      <c r="UHF3" s="120"/>
      <c r="UHG3" s="120"/>
      <c r="UHH3" s="120"/>
      <c r="UHI3" s="120"/>
      <c r="UHJ3" s="120"/>
      <c r="UHK3" s="120"/>
      <c r="UHL3" s="120"/>
      <c r="UHM3" s="120"/>
      <c r="UHN3" s="120"/>
      <c r="UHO3" s="120"/>
      <c r="UHP3" s="120"/>
      <c r="UHQ3" s="120"/>
      <c r="UHR3" s="120"/>
      <c r="UHS3" s="120"/>
      <c r="UHT3" s="120"/>
      <c r="UHU3" s="120"/>
      <c r="UHV3" s="120"/>
      <c r="UHW3" s="120"/>
      <c r="UHX3" s="120"/>
      <c r="UHY3" s="120"/>
      <c r="UHZ3" s="120"/>
      <c r="UIA3" s="120"/>
      <c r="UIB3" s="120"/>
      <c r="UIC3" s="120"/>
      <c r="UID3" s="120"/>
      <c r="UIE3" s="120"/>
      <c r="UIF3" s="120"/>
      <c r="UIG3" s="120"/>
      <c r="UIH3" s="120"/>
      <c r="UII3" s="120"/>
      <c r="UIJ3" s="120"/>
      <c r="UIK3" s="120"/>
      <c r="UIL3" s="120"/>
      <c r="UIM3" s="120"/>
      <c r="UIN3" s="120"/>
      <c r="UIO3" s="120"/>
      <c r="UIP3" s="120"/>
      <c r="UIQ3" s="120"/>
      <c r="UIR3" s="120"/>
      <c r="UIS3" s="120"/>
      <c r="UIT3" s="120"/>
      <c r="UIU3" s="120"/>
      <c r="UIV3" s="120"/>
      <c r="UIW3" s="120"/>
      <c r="UIX3" s="120"/>
      <c r="UIY3" s="120"/>
      <c r="UIZ3" s="120"/>
      <c r="UJA3" s="120"/>
      <c r="UJB3" s="120"/>
      <c r="UJC3" s="120"/>
      <c r="UJD3" s="120"/>
      <c r="UJE3" s="120"/>
      <c r="UJF3" s="120"/>
      <c r="UJG3" s="120"/>
      <c r="UJH3" s="120"/>
      <c r="UJI3" s="120"/>
      <c r="UJJ3" s="120"/>
      <c r="UJK3" s="120"/>
      <c r="UJL3" s="120"/>
      <c r="UJM3" s="120"/>
      <c r="UJN3" s="120"/>
      <c r="UJO3" s="120"/>
      <c r="UJP3" s="120"/>
      <c r="UJQ3" s="120"/>
      <c r="UJR3" s="120"/>
      <c r="UJS3" s="120"/>
      <c r="UJT3" s="120"/>
      <c r="UJU3" s="120"/>
      <c r="UJV3" s="120"/>
      <c r="UJW3" s="120"/>
      <c r="UJX3" s="120"/>
      <c r="UJY3" s="120"/>
      <c r="UJZ3" s="120"/>
      <c r="UKA3" s="120"/>
      <c r="UKB3" s="120"/>
      <c r="UKC3" s="120"/>
      <c r="UKD3" s="120"/>
      <c r="UKE3" s="120"/>
      <c r="UKF3" s="120"/>
      <c r="UKG3" s="120"/>
      <c r="UKH3" s="120"/>
      <c r="UKI3" s="120"/>
      <c r="UKJ3" s="120"/>
      <c r="UKK3" s="120"/>
      <c r="UKL3" s="120"/>
      <c r="UKM3" s="120"/>
      <c r="UKN3" s="120"/>
      <c r="UKO3" s="120"/>
      <c r="UKP3" s="120"/>
      <c r="UKQ3" s="120"/>
      <c r="UKR3" s="120"/>
      <c r="UKS3" s="120"/>
      <c r="UKT3" s="120"/>
      <c r="UKU3" s="120"/>
      <c r="UKV3" s="120"/>
      <c r="UKW3" s="120"/>
      <c r="UKX3" s="120"/>
      <c r="UKY3" s="120"/>
      <c r="UKZ3" s="120"/>
      <c r="ULA3" s="120"/>
      <c r="ULB3" s="120"/>
      <c r="ULC3" s="120"/>
      <c r="ULD3" s="120"/>
      <c r="ULE3" s="120"/>
      <c r="ULF3" s="120"/>
      <c r="ULG3" s="120"/>
      <c r="ULH3" s="120"/>
      <c r="ULI3" s="120"/>
      <c r="ULJ3" s="120"/>
      <c r="ULK3" s="120"/>
      <c r="ULL3" s="120"/>
      <c r="ULM3" s="120"/>
      <c r="ULN3" s="120"/>
      <c r="ULO3" s="120"/>
      <c r="ULP3" s="120"/>
      <c r="ULQ3" s="120"/>
      <c r="ULR3" s="120"/>
      <c r="ULS3" s="120"/>
      <c r="ULT3" s="120"/>
      <c r="ULU3" s="120"/>
      <c r="ULV3" s="120"/>
      <c r="ULW3" s="120"/>
      <c r="ULX3" s="120"/>
      <c r="ULY3" s="120"/>
      <c r="ULZ3" s="120"/>
      <c r="UMA3" s="120"/>
      <c r="UMB3" s="120"/>
      <c r="UMC3" s="120"/>
      <c r="UMD3" s="120"/>
      <c r="UME3" s="120"/>
      <c r="UMF3" s="120"/>
      <c r="UMG3" s="120"/>
      <c r="UMH3" s="120"/>
      <c r="UMI3" s="120"/>
      <c r="UMJ3" s="120"/>
      <c r="UMK3" s="120"/>
      <c r="UML3" s="120"/>
      <c r="UMM3" s="120"/>
      <c r="UMN3" s="120"/>
      <c r="UMO3" s="120"/>
      <c r="UMP3" s="120"/>
      <c r="UMQ3" s="120"/>
      <c r="UMR3" s="120"/>
      <c r="UMS3" s="120"/>
      <c r="UMT3" s="120"/>
      <c r="UMU3" s="120"/>
      <c r="UMV3" s="120"/>
      <c r="UMW3" s="120"/>
      <c r="UMX3" s="120"/>
      <c r="UMY3" s="120"/>
      <c r="UMZ3" s="120"/>
      <c r="UNA3" s="120"/>
      <c r="UNB3" s="120"/>
      <c r="UNC3" s="120"/>
      <c r="UND3" s="120"/>
      <c r="UNE3" s="120"/>
      <c r="UNF3" s="120"/>
      <c r="UNG3" s="120"/>
      <c r="UNH3" s="120"/>
      <c r="UNI3" s="120"/>
      <c r="UNJ3" s="120"/>
      <c r="UNK3" s="120"/>
      <c r="UNL3" s="120"/>
      <c r="UNM3" s="120"/>
      <c r="UNN3" s="120"/>
      <c r="UNO3" s="120"/>
      <c r="UNP3" s="120"/>
      <c r="UNQ3" s="120"/>
      <c r="UNR3" s="120"/>
      <c r="UNS3" s="120"/>
      <c r="UNT3" s="120"/>
      <c r="UNU3" s="120"/>
      <c r="UNV3" s="120"/>
      <c r="UNW3" s="120"/>
      <c r="UNX3" s="120"/>
      <c r="UNY3" s="120"/>
      <c r="UNZ3" s="120"/>
      <c r="UOA3" s="120"/>
      <c r="UOB3" s="120"/>
      <c r="UOC3" s="120"/>
      <c r="UOD3" s="120"/>
      <c r="UOE3" s="120"/>
      <c r="UOF3" s="120"/>
      <c r="UOG3" s="120"/>
      <c r="UOH3" s="120"/>
      <c r="UOI3" s="120"/>
      <c r="UOJ3" s="120"/>
      <c r="UOK3" s="120"/>
      <c r="UOL3" s="120"/>
      <c r="UOM3" s="120"/>
      <c r="UON3" s="120"/>
      <c r="UOO3" s="120"/>
      <c r="UOP3" s="120"/>
      <c r="UOQ3" s="120"/>
      <c r="UOR3" s="120"/>
      <c r="UOS3" s="120"/>
      <c r="UOT3" s="120"/>
      <c r="UOU3" s="120"/>
      <c r="UOV3" s="120"/>
      <c r="UOW3" s="120"/>
      <c r="UOX3" s="120"/>
      <c r="UOY3" s="120"/>
      <c r="UOZ3" s="120"/>
      <c r="UPA3" s="120"/>
      <c r="UPB3" s="120"/>
      <c r="UPC3" s="120"/>
      <c r="UPD3" s="120"/>
      <c r="UPE3" s="120"/>
      <c r="UPF3" s="120"/>
      <c r="UPG3" s="120"/>
      <c r="UPH3" s="120"/>
      <c r="UPI3" s="120"/>
      <c r="UPJ3" s="120"/>
      <c r="UPK3" s="120"/>
      <c r="UPL3" s="120"/>
      <c r="UPM3" s="120"/>
      <c r="UPN3" s="120"/>
      <c r="UPO3" s="120"/>
      <c r="UPP3" s="120"/>
      <c r="UPQ3" s="120"/>
      <c r="UPR3" s="120"/>
      <c r="UPS3" s="120"/>
      <c r="UPT3" s="120"/>
      <c r="UPU3" s="120"/>
      <c r="UPV3" s="120"/>
      <c r="UPW3" s="120"/>
      <c r="UPX3" s="120"/>
      <c r="UPY3" s="120"/>
      <c r="UPZ3" s="120"/>
      <c r="UQA3" s="120"/>
      <c r="UQB3" s="120"/>
      <c r="UQC3" s="120"/>
      <c r="UQD3" s="120"/>
      <c r="UQE3" s="120"/>
      <c r="UQF3" s="120"/>
      <c r="UQG3" s="120"/>
      <c r="UQH3" s="120"/>
      <c r="UQI3" s="120"/>
      <c r="UQJ3" s="120"/>
      <c r="UQK3" s="120"/>
      <c r="UQL3" s="120"/>
      <c r="UQM3" s="120"/>
      <c r="UQN3" s="120"/>
      <c r="UQO3" s="120"/>
      <c r="UQP3" s="120"/>
      <c r="UQQ3" s="120"/>
      <c r="UQR3" s="120"/>
      <c r="UQS3" s="120"/>
      <c r="UQT3" s="120"/>
      <c r="UQU3" s="120"/>
      <c r="UQV3" s="120"/>
      <c r="UQW3" s="120"/>
      <c r="UQX3" s="120"/>
      <c r="UQY3" s="120"/>
      <c r="UQZ3" s="120"/>
      <c r="URA3" s="120"/>
      <c r="URB3" s="120"/>
      <c r="URC3" s="120"/>
      <c r="URD3" s="120"/>
      <c r="URE3" s="120"/>
      <c r="URF3" s="120"/>
      <c r="URG3" s="120"/>
      <c r="URH3" s="120"/>
      <c r="URI3" s="120"/>
      <c r="URJ3" s="120"/>
      <c r="URK3" s="120"/>
      <c r="URL3" s="120"/>
      <c r="URM3" s="120"/>
      <c r="URN3" s="120"/>
      <c r="URO3" s="120"/>
      <c r="URP3" s="120"/>
      <c r="URQ3" s="120"/>
      <c r="URR3" s="120"/>
      <c r="URS3" s="120"/>
      <c r="URT3" s="120"/>
      <c r="URU3" s="120"/>
      <c r="URV3" s="120"/>
      <c r="URW3" s="120"/>
      <c r="URX3" s="120"/>
      <c r="URY3" s="120"/>
      <c r="URZ3" s="120"/>
      <c r="USA3" s="120"/>
      <c r="USB3" s="120"/>
      <c r="USC3" s="120"/>
      <c r="USD3" s="120"/>
      <c r="USE3" s="120"/>
      <c r="USF3" s="120"/>
      <c r="USG3" s="120"/>
      <c r="USH3" s="120"/>
      <c r="USI3" s="120"/>
      <c r="USJ3" s="120"/>
      <c r="USK3" s="120"/>
      <c r="USL3" s="120"/>
      <c r="USM3" s="120"/>
      <c r="USN3" s="120"/>
      <c r="USO3" s="120"/>
      <c r="USP3" s="120"/>
      <c r="USQ3" s="120"/>
      <c r="USR3" s="120"/>
      <c r="USS3" s="120"/>
      <c r="UST3" s="120"/>
      <c r="USU3" s="120"/>
      <c r="USV3" s="120"/>
      <c r="USW3" s="120"/>
      <c r="USX3" s="120"/>
      <c r="USY3" s="120"/>
      <c r="USZ3" s="120"/>
      <c r="UTA3" s="120"/>
      <c r="UTB3" s="120"/>
      <c r="UTC3" s="120"/>
      <c r="UTD3" s="120"/>
      <c r="UTE3" s="120"/>
      <c r="UTF3" s="120"/>
      <c r="UTG3" s="120"/>
      <c r="UTH3" s="120"/>
      <c r="UTI3" s="120"/>
      <c r="UTJ3" s="120"/>
      <c r="UTK3" s="120"/>
      <c r="UTL3" s="120"/>
      <c r="UTM3" s="120"/>
      <c r="UTN3" s="120"/>
      <c r="UTO3" s="120"/>
      <c r="UTP3" s="120"/>
      <c r="UTQ3" s="120"/>
      <c r="UTR3" s="120"/>
      <c r="UTS3" s="120"/>
      <c r="UTT3" s="120"/>
      <c r="UTU3" s="120"/>
      <c r="UTV3" s="120"/>
      <c r="UTW3" s="120"/>
      <c r="UTX3" s="120"/>
      <c r="UTY3" s="120"/>
      <c r="UTZ3" s="120"/>
      <c r="UUA3" s="120"/>
      <c r="UUB3" s="120"/>
      <c r="UUC3" s="120"/>
      <c r="UUD3" s="120"/>
      <c r="UUE3" s="120"/>
      <c r="UUF3" s="120"/>
      <c r="UUG3" s="120"/>
      <c r="UUH3" s="120"/>
      <c r="UUI3" s="120"/>
      <c r="UUJ3" s="120"/>
      <c r="UUK3" s="120"/>
      <c r="UUL3" s="120"/>
      <c r="UUM3" s="120"/>
      <c r="UUN3" s="120"/>
      <c r="UUO3" s="120"/>
      <c r="UUP3" s="120"/>
      <c r="UUQ3" s="120"/>
      <c r="UUR3" s="120"/>
      <c r="UUS3" s="120"/>
      <c r="UUT3" s="120"/>
      <c r="UUU3" s="120"/>
      <c r="UUV3" s="120"/>
      <c r="UUW3" s="120"/>
      <c r="UUX3" s="120"/>
      <c r="UUY3" s="120"/>
      <c r="UUZ3" s="120"/>
      <c r="UVA3" s="120"/>
      <c r="UVB3" s="120"/>
      <c r="UVC3" s="120"/>
      <c r="UVD3" s="120"/>
      <c r="UVE3" s="120"/>
      <c r="UVF3" s="120"/>
      <c r="UVG3" s="120"/>
      <c r="UVH3" s="120"/>
      <c r="UVI3" s="120"/>
      <c r="UVJ3" s="120"/>
      <c r="UVK3" s="120"/>
      <c r="UVL3" s="120"/>
      <c r="UVM3" s="120"/>
      <c r="UVN3" s="120"/>
      <c r="UVO3" s="120"/>
      <c r="UVP3" s="120"/>
      <c r="UVQ3" s="120"/>
      <c r="UVR3" s="120"/>
      <c r="UVS3" s="120"/>
      <c r="UVT3" s="120"/>
      <c r="UVU3" s="120"/>
      <c r="UVV3" s="120"/>
      <c r="UVW3" s="120"/>
      <c r="UVX3" s="120"/>
      <c r="UVY3" s="120"/>
      <c r="UVZ3" s="120"/>
      <c r="UWA3" s="120"/>
      <c r="UWB3" s="120"/>
      <c r="UWC3" s="120"/>
      <c r="UWD3" s="120"/>
      <c r="UWE3" s="120"/>
      <c r="UWF3" s="120"/>
      <c r="UWG3" s="120"/>
      <c r="UWH3" s="120"/>
      <c r="UWI3" s="120"/>
      <c r="UWJ3" s="120"/>
      <c r="UWK3" s="120"/>
      <c r="UWL3" s="120"/>
      <c r="UWM3" s="120"/>
      <c r="UWN3" s="120"/>
      <c r="UWO3" s="120"/>
      <c r="UWP3" s="120"/>
      <c r="UWQ3" s="120"/>
      <c r="UWR3" s="120"/>
      <c r="UWS3" s="120"/>
      <c r="UWT3" s="120"/>
      <c r="UWU3" s="120"/>
      <c r="UWV3" s="120"/>
      <c r="UWW3" s="120"/>
      <c r="UWX3" s="120"/>
      <c r="UWY3" s="120"/>
      <c r="UWZ3" s="120"/>
      <c r="UXA3" s="120"/>
      <c r="UXB3" s="120"/>
      <c r="UXC3" s="120"/>
      <c r="UXD3" s="120"/>
      <c r="UXE3" s="120"/>
      <c r="UXF3" s="120"/>
      <c r="UXG3" s="120"/>
      <c r="UXH3" s="120"/>
      <c r="UXI3" s="120"/>
      <c r="UXJ3" s="120"/>
      <c r="UXK3" s="120"/>
      <c r="UXL3" s="120"/>
      <c r="UXM3" s="120"/>
      <c r="UXN3" s="120"/>
      <c r="UXO3" s="120"/>
      <c r="UXP3" s="120"/>
      <c r="UXQ3" s="120"/>
      <c r="UXR3" s="120"/>
      <c r="UXS3" s="120"/>
      <c r="UXT3" s="120"/>
      <c r="UXU3" s="120"/>
      <c r="UXV3" s="120"/>
      <c r="UXW3" s="120"/>
      <c r="UXX3" s="120"/>
      <c r="UXY3" s="120"/>
      <c r="UXZ3" s="120"/>
      <c r="UYA3" s="120"/>
      <c r="UYB3" s="120"/>
      <c r="UYC3" s="120"/>
      <c r="UYD3" s="120"/>
      <c r="UYE3" s="120"/>
      <c r="UYF3" s="120"/>
      <c r="UYG3" s="120"/>
      <c r="UYH3" s="120"/>
      <c r="UYI3" s="120"/>
      <c r="UYJ3" s="120"/>
      <c r="UYK3" s="120"/>
      <c r="UYL3" s="120"/>
      <c r="UYM3" s="120"/>
      <c r="UYN3" s="120"/>
      <c r="UYO3" s="120"/>
      <c r="UYP3" s="120"/>
      <c r="UYQ3" s="120"/>
      <c r="UYR3" s="120"/>
      <c r="UYS3" s="120"/>
      <c r="UYT3" s="120"/>
      <c r="UYU3" s="120"/>
      <c r="UYV3" s="120"/>
      <c r="UYW3" s="120"/>
      <c r="UYX3" s="120"/>
      <c r="UYY3" s="120"/>
      <c r="UYZ3" s="120"/>
      <c r="UZA3" s="120"/>
      <c r="UZB3" s="120"/>
      <c r="UZC3" s="120"/>
      <c r="UZD3" s="120"/>
      <c r="UZE3" s="120"/>
      <c r="UZF3" s="120"/>
      <c r="UZG3" s="120"/>
      <c r="UZH3" s="120"/>
      <c r="UZI3" s="120"/>
      <c r="UZJ3" s="120"/>
      <c r="UZK3" s="120"/>
      <c r="UZL3" s="120"/>
      <c r="UZM3" s="120"/>
      <c r="UZN3" s="120"/>
      <c r="UZO3" s="120"/>
      <c r="UZP3" s="120"/>
      <c r="UZQ3" s="120"/>
      <c r="UZR3" s="120"/>
      <c r="UZS3" s="120"/>
      <c r="UZT3" s="120"/>
      <c r="UZU3" s="120"/>
      <c r="UZV3" s="120"/>
      <c r="UZW3" s="120"/>
      <c r="UZX3" s="120"/>
      <c r="UZY3" s="120"/>
      <c r="UZZ3" s="120"/>
      <c r="VAA3" s="120"/>
      <c r="VAB3" s="120"/>
      <c r="VAC3" s="120"/>
      <c r="VAD3" s="120"/>
      <c r="VAE3" s="120"/>
      <c r="VAF3" s="120"/>
      <c r="VAG3" s="120"/>
      <c r="VAH3" s="120"/>
      <c r="VAI3" s="120"/>
      <c r="VAJ3" s="120"/>
      <c r="VAK3" s="120"/>
      <c r="VAL3" s="120"/>
      <c r="VAM3" s="120"/>
      <c r="VAN3" s="120"/>
      <c r="VAO3" s="120"/>
      <c r="VAP3" s="120"/>
      <c r="VAQ3" s="120"/>
      <c r="VAR3" s="120"/>
      <c r="VAS3" s="120"/>
      <c r="VAT3" s="120"/>
      <c r="VAU3" s="120"/>
      <c r="VAV3" s="120"/>
      <c r="VAW3" s="120"/>
      <c r="VAX3" s="120"/>
      <c r="VAY3" s="120"/>
      <c r="VAZ3" s="120"/>
      <c r="VBA3" s="120"/>
      <c r="VBB3" s="120"/>
      <c r="VBC3" s="120"/>
      <c r="VBD3" s="120"/>
      <c r="VBE3" s="120"/>
      <c r="VBF3" s="120"/>
      <c r="VBG3" s="120"/>
      <c r="VBH3" s="120"/>
      <c r="VBI3" s="120"/>
      <c r="VBJ3" s="120"/>
      <c r="VBK3" s="120"/>
      <c r="VBL3" s="120"/>
      <c r="VBM3" s="120"/>
      <c r="VBN3" s="120"/>
      <c r="VBO3" s="120"/>
      <c r="VBP3" s="120"/>
      <c r="VBQ3" s="120"/>
      <c r="VBR3" s="120"/>
      <c r="VBS3" s="120"/>
      <c r="VBT3" s="120"/>
      <c r="VBU3" s="120"/>
      <c r="VBV3" s="120"/>
      <c r="VBW3" s="120"/>
      <c r="VBX3" s="120"/>
      <c r="VBY3" s="120"/>
      <c r="VBZ3" s="120"/>
      <c r="VCA3" s="120"/>
      <c r="VCB3" s="120"/>
      <c r="VCC3" s="120"/>
      <c r="VCD3" s="120"/>
      <c r="VCE3" s="120"/>
      <c r="VCF3" s="120"/>
      <c r="VCG3" s="120"/>
      <c r="VCH3" s="120"/>
      <c r="VCI3" s="120"/>
      <c r="VCJ3" s="120"/>
      <c r="VCK3" s="120"/>
      <c r="VCL3" s="120"/>
      <c r="VCM3" s="120"/>
      <c r="VCN3" s="120"/>
      <c r="VCO3" s="120"/>
      <c r="VCP3" s="120"/>
      <c r="VCQ3" s="120"/>
      <c r="VCR3" s="120"/>
      <c r="VCS3" s="120"/>
      <c r="VCT3" s="120"/>
      <c r="VCU3" s="120"/>
      <c r="VCV3" s="120"/>
      <c r="VCW3" s="120"/>
      <c r="VCX3" s="120"/>
      <c r="VCY3" s="120"/>
      <c r="VCZ3" s="120"/>
      <c r="VDA3" s="120"/>
      <c r="VDB3" s="120"/>
      <c r="VDC3" s="120"/>
      <c r="VDD3" s="120"/>
      <c r="VDE3" s="120"/>
      <c r="VDF3" s="120"/>
      <c r="VDG3" s="120"/>
      <c r="VDH3" s="120"/>
      <c r="VDI3" s="120"/>
      <c r="VDJ3" s="120"/>
      <c r="VDK3" s="120"/>
      <c r="VDL3" s="120"/>
      <c r="VDM3" s="120"/>
      <c r="VDN3" s="120"/>
      <c r="VDO3" s="120"/>
      <c r="VDP3" s="120"/>
      <c r="VDQ3" s="120"/>
      <c r="VDR3" s="120"/>
      <c r="VDS3" s="120"/>
      <c r="VDT3" s="120"/>
      <c r="VDU3" s="120"/>
      <c r="VDV3" s="120"/>
      <c r="VDW3" s="120"/>
      <c r="VDX3" s="120"/>
      <c r="VDY3" s="120"/>
      <c r="VDZ3" s="120"/>
      <c r="VEA3" s="120"/>
      <c r="VEB3" s="120"/>
      <c r="VEC3" s="120"/>
      <c r="VED3" s="120"/>
      <c r="VEE3" s="120"/>
      <c r="VEF3" s="120"/>
      <c r="VEG3" s="120"/>
      <c r="VEH3" s="120"/>
      <c r="VEI3" s="120"/>
      <c r="VEJ3" s="120"/>
      <c r="VEK3" s="120"/>
      <c r="VEL3" s="120"/>
      <c r="VEM3" s="120"/>
      <c r="VEN3" s="120"/>
      <c r="VEO3" s="120"/>
      <c r="VEP3" s="120"/>
      <c r="VEQ3" s="120"/>
      <c r="VER3" s="120"/>
      <c r="VES3" s="120"/>
      <c r="VET3" s="120"/>
      <c r="VEU3" s="120"/>
      <c r="VEV3" s="120"/>
      <c r="VEW3" s="120"/>
      <c r="VEX3" s="120"/>
      <c r="VEY3" s="120"/>
      <c r="VEZ3" s="120"/>
      <c r="VFA3" s="120"/>
      <c r="VFB3" s="120"/>
      <c r="VFC3" s="120"/>
      <c r="VFD3" s="120"/>
      <c r="VFE3" s="120"/>
      <c r="VFF3" s="120"/>
      <c r="VFG3" s="120"/>
      <c r="VFH3" s="120"/>
      <c r="VFI3" s="120"/>
      <c r="VFJ3" s="120"/>
      <c r="VFK3" s="120"/>
      <c r="VFL3" s="120"/>
      <c r="VFM3" s="120"/>
      <c r="VFN3" s="120"/>
      <c r="VFO3" s="120"/>
      <c r="VFP3" s="120"/>
      <c r="VFQ3" s="120"/>
      <c r="VFR3" s="120"/>
      <c r="VFS3" s="120"/>
      <c r="VFT3" s="120"/>
      <c r="VFU3" s="120"/>
      <c r="VFV3" s="120"/>
      <c r="VFW3" s="120"/>
      <c r="VFX3" s="120"/>
      <c r="VFY3" s="120"/>
      <c r="VFZ3" s="120"/>
      <c r="VGA3" s="120"/>
      <c r="VGB3" s="120"/>
      <c r="VGC3" s="120"/>
      <c r="VGD3" s="120"/>
      <c r="VGE3" s="120"/>
      <c r="VGF3" s="120"/>
      <c r="VGG3" s="120"/>
      <c r="VGH3" s="120"/>
      <c r="VGI3" s="120"/>
      <c r="VGJ3" s="120"/>
      <c r="VGK3" s="120"/>
      <c r="VGL3" s="120"/>
      <c r="VGM3" s="120"/>
      <c r="VGN3" s="120"/>
      <c r="VGO3" s="120"/>
      <c r="VGP3" s="120"/>
      <c r="VGQ3" s="120"/>
      <c r="VGR3" s="120"/>
      <c r="VGS3" s="120"/>
      <c r="VGT3" s="120"/>
      <c r="VGU3" s="120"/>
      <c r="VGV3" s="120"/>
      <c r="VGW3" s="120"/>
      <c r="VGX3" s="120"/>
      <c r="VGY3" s="120"/>
      <c r="VGZ3" s="120"/>
      <c r="VHA3" s="120"/>
      <c r="VHB3" s="120"/>
      <c r="VHC3" s="120"/>
      <c r="VHD3" s="120"/>
      <c r="VHE3" s="120"/>
      <c r="VHF3" s="120"/>
      <c r="VHG3" s="120"/>
      <c r="VHH3" s="120"/>
      <c r="VHI3" s="120"/>
      <c r="VHJ3" s="120"/>
      <c r="VHK3" s="120"/>
      <c r="VHL3" s="120"/>
      <c r="VHM3" s="120"/>
      <c r="VHN3" s="120"/>
      <c r="VHO3" s="120"/>
      <c r="VHP3" s="120"/>
      <c r="VHQ3" s="120"/>
      <c r="VHR3" s="120"/>
      <c r="VHS3" s="120"/>
      <c r="VHT3" s="120"/>
      <c r="VHU3" s="120"/>
      <c r="VHV3" s="120"/>
      <c r="VHW3" s="120"/>
      <c r="VHX3" s="120"/>
      <c r="VHY3" s="120"/>
      <c r="VHZ3" s="120"/>
      <c r="VIA3" s="120"/>
      <c r="VIB3" s="120"/>
      <c r="VIC3" s="120"/>
      <c r="VID3" s="120"/>
      <c r="VIE3" s="120"/>
      <c r="VIF3" s="120"/>
      <c r="VIG3" s="120"/>
      <c r="VIH3" s="120"/>
      <c r="VII3" s="120"/>
      <c r="VIJ3" s="120"/>
      <c r="VIK3" s="120"/>
      <c r="VIL3" s="120"/>
      <c r="VIM3" s="120"/>
      <c r="VIN3" s="120"/>
      <c r="VIO3" s="120"/>
      <c r="VIP3" s="120"/>
      <c r="VIQ3" s="120"/>
      <c r="VIR3" s="120"/>
      <c r="VIS3" s="120"/>
      <c r="VIT3" s="120"/>
      <c r="VIU3" s="120"/>
      <c r="VIV3" s="120"/>
      <c r="VIW3" s="120"/>
      <c r="VIX3" s="120"/>
      <c r="VIY3" s="120"/>
      <c r="VIZ3" s="120"/>
      <c r="VJA3" s="120"/>
      <c r="VJB3" s="120"/>
      <c r="VJC3" s="120"/>
      <c r="VJD3" s="120"/>
      <c r="VJE3" s="120"/>
      <c r="VJF3" s="120"/>
      <c r="VJG3" s="120"/>
      <c r="VJH3" s="120"/>
      <c r="VJI3" s="120"/>
      <c r="VJJ3" s="120"/>
      <c r="VJK3" s="120"/>
      <c r="VJL3" s="120"/>
      <c r="VJM3" s="120"/>
      <c r="VJN3" s="120"/>
      <c r="VJO3" s="120"/>
      <c r="VJP3" s="120"/>
      <c r="VJQ3" s="120"/>
      <c r="VJR3" s="120"/>
      <c r="VJS3" s="120"/>
      <c r="VJT3" s="120"/>
      <c r="VJU3" s="120"/>
      <c r="VJV3" s="120"/>
      <c r="VJW3" s="120"/>
      <c r="VJX3" s="120"/>
      <c r="VJY3" s="120"/>
      <c r="VJZ3" s="120"/>
      <c r="VKA3" s="120"/>
      <c r="VKB3" s="120"/>
      <c r="VKC3" s="120"/>
      <c r="VKD3" s="120"/>
      <c r="VKE3" s="120"/>
      <c r="VKF3" s="120"/>
      <c r="VKG3" s="120"/>
      <c r="VKH3" s="120"/>
      <c r="VKI3" s="120"/>
      <c r="VKJ3" s="120"/>
      <c r="VKK3" s="120"/>
      <c r="VKL3" s="120"/>
      <c r="VKM3" s="120"/>
      <c r="VKN3" s="120"/>
      <c r="VKO3" s="120"/>
      <c r="VKP3" s="120"/>
      <c r="VKQ3" s="120"/>
      <c r="VKR3" s="120"/>
      <c r="VKS3" s="120"/>
      <c r="VKT3" s="120"/>
      <c r="VKU3" s="120"/>
      <c r="VKV3" s="120"/>
      <c r="VKW3" s="120"/>
      <c r="VKX3" s="120"/>
      <c r="VKY3" s="120"/>
      <c r="VKZ3" s="120"/>
      <c r="VLA3" s="120"/>
      <c r="VLB3" s="120"/>
      <c r="VLC3" s="120"/>
      <c r="VLD3" s="120"/>
      <c r="VLE3" s="120"/>
      <c r="VLF3" s="120"/>
      <c r="VLG3" s="120"/>
      <c r="VLH3" s="120"/>
      <c r="VLI3" s="120"/>
      <c r="VLJ3" s="120"/>
      <c r="VLK3" s="120"/>
      <c r="VLL3" s="120"/>
      <c r="VLM3" s="120"/>
      <c r="VLN3" s="120"/>
      <c r="VLO3" s="120"/>
      <c r="VLP3" s="120"/>
      <c r="VLQ3" s="120"/>
      <c r="VLR3" s="120"/>
      <c r="VLS3" s="120"/>
      <c r="VLT3" s="120"/>
      <c r="VLU3" s="120"/>
      <c r="VLV3" s="120"/>
      <c r="VLW3" s="120"/>
      <c r="VLX3" s="120"/>
      <c r="VLY3" s="120"/>
      <c r="VLZ3" s="120"/>
      <c r="VMA3" s="120"/>
      <c r="VMB3" s="120"/>
      <c r="VMC3" s="120"/>
      <c r="VMD3" s="120"/>
      <c r="VME3" s="120"/>
      <c r="VMF3" s="120"/>
      <c r="VMG3" s="120"/>
      <c r="VMH3" s="120"/>
      <c r="VMI3" s="120"/>
      <c r="VMJ3" s="120"/>
      <c r="VMK3" s="120"/>
      <c r="VML3" s="120"/>
      <c r="VMM3" s="120"/>
      <c r="VMN3" s="120"/>
      <c r="VMO3" s="120"/>
      <c r="VMP3" s="120"/>
      <c r="VMQ3" s="120"/>
      <c r="VMR3" s="120"/>
      <c r="VMS3" s="120"/>
      <c r="VMT3" s="120"/>
      <c r="VMU3" s="120"/>
      <c r="VMV3" s="120"/>
      <c r="VMW3" s="120"/>
      <c r="VMX3" s="120"/>
      <c r="VMY3" s="120"/>
      <c r="VMZ3" s="120"/>
      <c r="VNA3" s="120"/>
      <c r="VNB3" s="120"/>
      <c r="VNC3" s="120"/>
      <c r="VND3" s="120"/>
      <c r="VNE3" s="120"/>
      <c r="VNF3" s="120"/>
      <c r="VNG3" s="120"/>
      <c r="VNH3" s="120"/>
      <c r="VNI3" s="120"/>
      <c r="VNJ3" s="120"/>
      <c r="VNK3" s="120"/>
      <c r="VNL3" s="120"/>
      <c r="VNM3" s="120"/>
      <c r="VNN3" s="120"/>
      <c r="VNO3" s="120"/>
      <c r="VNP3" s="120"/>
      <c r="VNQ3" s="120"/>
      <c r="VNR3" s="120"/>
      <c r="VNS3" s="120"/>
      <c r="VNT3" s="120"/>
      <c r="VNU3" s="120"/>
      <c r="VNV3" s="120"/>
      <c r="VNW3" s="120"/>
      <c r="VNX3" s="120"/>
      <c r="VNY3" s="120"/>
      <c r="VNZ3" s="120"/>
      <c r="VOA3" s="120"/>
      <c r="VOB3" s="120"/>
      <c r="VOC3" s="120"/>
      <c r="VOD3" s="120"/>
      <c r="VOE3" s="120"/>
      <c r="VOF3" s="120"/>
      <c r="VOG3" s="120"/>
      <c r="VOH3" s="120"/>
      <c r="VOI3" s="120"/>
      <c r="VOJ3" s="120"/>
      <c r="VOK3" s="120"/>
      <c r="VOL3" s="120"/>
      <c r="VOM3" s="120"/>
      <c r="VON3" s="120"/>
      <c r="VOO3" s="120"/>
      <c r="VOP3" s="120"/>
      <c r="VOQ3" s="120"/>
      <c r="VOR3" s="120"/>
      <c r="VOS3" s="120"/>
      <c r="VOT3" s="120"/>
      <c r="VOU3" s="120"/>
      <c r="VOV3" s="120"/>
      <c r="VOW3" s="120"/>
      <c r="VOX3" s="120"/>
      <c r="VOY3" s="120"/>
      <c r="VOZ3" s="120"/>
      <c r="VPA3" s="120"/>
      <c r="VPB3" s="120"/>
      <c r="VPC3" s="120"/>
      <c r="VPD3" s="120"/>
      <c r="VPE3" s="120"/>
      <c r="VPF3" s="120"/>
      <c r="VPG3" s="120"/>
      <c r="VPH3" s="120"/>
      <c r="VPI3" s="120"/>
      <c r="VPJ3" s="120"/>
      <c r="VPK3" s="120"/>
      <c r="VPL3" s="120"/>
      <c r="VPM3" s="120"/>
      <c r="VPN3" s="120"/>
      <c r="VPO3" s="120"/>
      <c r="VPP3" s="120"/>
      <c r="VPQ3" s="120"/>
      <c r="VPR3" s="120"/>
      <c r="VPS3" s="120"/>
      <c r="VPT3" s="120"/>
      <c r="VPU3" s="120"/>
      <c r="VPV3" s="120"/>
      <c r="VPW3" s="120"/>
      <c r="VPX3" s="120"/>
      <c r="VPY3" s="120"/>
      <c r="VPZ3" s="120"/>
      <c r="VQA3" s="120"/>
      <c r="VQB3" s="120"/>
      <c r="VQC3" s="120"/>
      <c r="VQD3" s="120"/>
      <c r="VQE3" s="120"/>
      <c r="VQF3" s="120"/>
      <c r="VQG3" s="120"/>
      <c r="VQH3" s="120"/>
      <c r="VQI3" s="120"/>
      <c r="VQJ3" s="120"/>
      <c r="VQK3" s="120"/>
      <c r="VQL3" s="120"/>
      <c r="VQM3" s="120"/>
      <c r="VQN3" s="120"/>
      <c r="VQO3" s="120"/>
      <c r="VQP3" s="120"/>
      <c r="VQQ3" s="120"/>
      <c r="VQR3" s="120"/>
      <c r="VQS3" s="120"/>
      <c r="VQT3" s="120"/>
      <c r="VQU3" s="120"/>
      <c r="VQV3" s="120"/>
      <c r="VQW3" s="120"/>
      <c r="VQX3" s="120"/>
      <c r="VQY3" s="120"/>
      <c r="VQZ3" s="120"/>
      <c r="VRA3" s="120"/>
      <c r="VRB3" s="120"/>
      <c r="VRC3" s="120"/>
      <c r="VRD3" s="120"/>
      <c r="VRE3" s="120"/>
      <c r="VRF3" s="120"/>
      <c r="VRG3" s="120"/>
      <c r="VRH3" s="120"/>
      <c r="VRI3" s="120"/>
      <c r="VRJ3" s="120"/>
      <c r="VRK3" s="120"/>
      <c r="VRL3" s="120"/>
      <c r="VRM3" s="120"/>
      <c r="VRN3" s="120"/>
      <c r="VRO3" s="120"/>
      <c r="VRP3" s="120"/>
      <c r="VRQ3" s="120"/>
      <c r="VRR3" s="120"/>
      <c r="VRS3" s="120"/>
      <c r="VRT3" s="120"/>
      <c r="VRU3" s="120"/>
      <c r="VRV3" s="120"/>
      <c r="VRW3" s="120"/>
      <c r="VRX3" s="120"/>
      <c r="VRY3" s="120"/>
      <c r="VRZ3" s="120"/>
      <c r="VSA3" s="120"/>
      <c r="VSB3" s="120"/>
      <c r="VSC3" s="120"/>
      <c r="VSD3" s="120"/>
      <c r="VSE3" s="120"/>
      <c r="VSF3" s="120"/>
      <c r="VSG3" s="120"/>
      <c r="VSH3" s="120"/>
      <c r="VSI3" s="120"/>
      <c r="VSJ3" s="120"/>
      <c r="VSK3" s="120"/>
      <c r="VSL3" s="120"/>
      <c r="VSM3" s="120"/>
      <c r="VSN3" s="120"/>
      <c r="VSO3" s="120"/>
      <c r="VSP3" s="120"/>
      <c r="VSQ3" s="120"/>
      <c r="VSR3" s="120"/>
      <c r="VSS3" s="120"/>
      <c r="VST3" s="120"/>
      <c r="VSU3" s="120"/>
      <c r="VSV3" s="120"/>
      <c r="VSW3" s="120"/>
      <c r="VSX3" s="120"/>
      <c r="VSY3" s="120"/>
      <c r="VSZ3" s="120"/>
      <c r="VTA3" s="120"/>
      <c r="VTB3" s="120"/>
      <c r="VTC3" s="120"/>
      <c r="VTD3" s="120"/>
      <c r="VTE3" s="120"/>
      <c r="VTF3" s="120"/>
      <c r="VTG3" s="120"/>
      <c r="VTH3" s="120"/>
      <c r="VTI3" s="120"/>
      <c r="VTJ3" s="120"/>
      <c r="VTK3" s="120"/>
      <c r="VTL3" s="120"/>
      <c r="VTM3" s="120"/>
      <c r="VTN3" s="120"/>
      <c r="VTO3" s="120"/>
      <c r="VTP3" s="120"/>
      <c r="VTQ3" s="120"/>
      <c r="VTR3" s="120"/>
      <c r="VTS3" s="120"/>
      <c r="VTT3" s="120"/>
      <c r="VTU3" s="120"/>
      <c r="VTV3" s="120"/>
      <c r="VTW3" s="120"/>
      <c r="VTX3" s="120"/>
      <c r="VTY3" s="120"/>
      <c r="VTZ3" s="120"/>
      <c r="VUA3" s="120"/>
      <c r="VUB3" s="120"/>
      <c r="VUC3" s="120"/>
      <c r="VUD3" s="120"/>
      <c r="VUE3" s="120"/>
      <c r="VUF3" s="120"/>
      <c r="VUG3" s="120"/>
      <c r="VUH3" s="120"/>
      <c r="VUI3" s="120"/>
      <c r="VUJ3" s="120"/>
      <c r="VUK3" s="120"/>
      <c r="VUL3" s="120"/>
      <c r="VUM3" s="120"/>
      <c r="VUN3" s="120"/>
      <c r="VUO3" s="120"/>
      <c r="VUP3" s="120"/>
      <c r="VUQ3" s="120"/>
      <c r="VUR3" s="120"/>
      <c r="VUS3" s="120"/>
      <c r="VUT3" s="120"/>
      <c r="VUU3" s="120"/>
      <c r="VUV3" s="120"/>
      <c r="VUW3" s="120"/>
      <c r="VUX3" s="120"/>
      <c r="VUY3" s="120"/>
      <c r="VUZ3" s="120"/>
      <c r="VVA3" s="120"/>
      <c r="VVB3" s="120"/>
      <c r="VVC3" s="120"/>
      <c r="VVD3" s="120"/>
      <c r="VVE3" s="120"/>
      <c r="VVF3" s="120"/>
      <c r="VVG3" s="120"/>
      <c r="VVH3" s="120"/>
      <c r="VVI3" s="120"/>
      <c r="VVJ3" s="120"/>
      <c r="VVK3" s="120"/>
      <c r="VVL3" s="120"/>
      <c r="VVM3" s="120"/>
      <c r="VVN3" s="120"/>
      <c r="VVO3" s="120"/>
      <c r="VVP3" s="120"/>
      <c r="VVQ3" s="120"/>
      <c r="VVR3" s="120"/>
      <c r="VVS3" s="120"/>
      <c r="VVT3" s="120"/>
      <c r="VVU3" s="120"/>
      <c r="VVV3" s="120"/>
      <c r="VVW3" s="120"/>
      <c r="VVX3" s="120"/>
      <c r="VVY3" s="120"/>
      <c r="VVZ3" s="120"/>
      <c r="VWA3" s="120"/>
      <c r="VWB3" s="120"/>
      <c r="VWC3" s="120"/>
      <c r="VWD3" s="120"/>
      <c r="VWE3" s="120"/>
      <c r="VWF3" s="120"/>
      <c r="VWG3" s="120"/>
      <c r="VWH3" s="120"/>
      <c r="VWI3" s="120"/>
      <c r="VWJ3" s="120"/>
      <c r="VWK3" s="120"/>
      <c r="VWL3" s="120"/>
      <c r="VWM3" s="120"/>
      <c r="VWN3" s="120"/>
      <c r="VWO3" s="120"/>
      <c r="VWP3" s="120"/>
      <c r="VWQ3" s="120"/>
      <c r="VWR3" s="120"/>
      <c r="VWS3" s="120"/>
      <c r="VWT3" s="120"/>
      <c r="VWU3" s="120"/>
      <c r="VWV3" s="120"/>
      <c r="VWW3" s="120"/>
      <c r="VWX3" s="120"/>
      <c r="VWY3" s="120"/>
      <c r="VWZ3" s="120"/>
      <c r="VXA3" s="120"/>
      <c r="VXB3" s="120"/>
      <c r="VXC3" s="120"/>
      <c r="VXD3" s="120"/>
      <c r="VXE3" s="120"/>
      <c r="VXF3" s="120"/>
      <c r="VXG3" s="120"/>
      <c r="VXH3" s="120"/>
      <c r="VXI3" s="120"/>
      <c r="VXJ3" s="120"/>
      <c r="VXK3" s="120"/>
      <c r="VXL3" s="120"/>
      <c r="VXM3" s="120"/>
      <c r="VXN3" s="120"/>
      <c r="VXO3" s="120"/>
      <c r="VXP3" s="120"/>
      <c r="VXQ3" s="120"/>
      <c r="VXR3" s="120"/>
      <c r="VXS3" s="120"/>
      <c r="VXT3" s="120"/>
      <c r="VXU3" s="120"/>
      <c r="VXV3" s="120"/>
      <c r="VXW3" s="120"/>
      <c r="VXX3" s="120"/>
      <c r="VXY3" s="120"/>
      <c r="VXZ3" s="120"/>
      <c r="VYA3" s="120"/>
      <c r="VYB3" s="120"/>
      <c r="VYC3" s="120"/>
      <c r="VYD3" s="120"/>
      <c r="VYE3" s="120"/>
      <c r="VYF3" s="120"/>
      <c r="VYG3" s="120"/>
      <c r="VYH3" s="120"/>
      <c r="VYI3" s="120"/>
      <c r="VYJ3" s="120"/>
      <c r="VYK3" s="120"/>
      <c r="VYL3" s="120"/>
      <c r="VYM3" s="120"/>
      <c r="VYN3" s="120"/>
      <c r="VYO3" s="120"/>
      <c r="VYP3" s="120"/>
      <c r="VYQ3" s="120"/>
      <c r="VYR3" s="120"/>
      <c r="VYS3" s="120"/>
      <c r="VYT3" s="120"/>
      <c r="VYU3" s="120"/>
      <c r="VYV3" s="120"/>
      <c r="VYW3" s="120"/>
      <c r="VYX3" s="120"/>
      <c r="VYY3" s="120"/>
      <c r="VYZ3" s="120"/>
      <c r="VZA3" s="120"/>
      <c r="VZB3" s="120"/>
      <c r="VZC3" s="120"/>
      <c r="VZD3" s="120"/>
      <c r="VZE3" s="120"/>
      <c r="VZF3" s="120"/>
      <c r="VZG3" s="120"/>
      <c r="VZH3" s="120"/>
      <c r="VZI3" s="120"/>
      <c r="VZJ3" s="120"/>
      <c r="VZK3" s="120"/>
      <c r="VZL3" s="120"/>
      <c r="VZM3" s="120"/>
      <c r="VZN3" s="120"/>
      <c r="VZO3" s="120"/>
      <c r="VZP3" s="120"/>
      <c r="VZQ3" s="120"/>
      <c r="VZR3" s="120"/>
      <c r="VZS3" s="120"/>
      <c r="VZT3" s="120"/>
      <c r="VZU3" s="120"/>
      <c r="VZV3" s="120"/>
      <c r="VZW3" s="120"/>
      <c r="VZX3" s="120"/>
      <c r="VZY3" s="120"/>
      <c r="VZZ3" s="120"/>
      <c r="WAA3" s="120"/>
      <c r="WAB3" s="120"/>
      <c r="WAC3" s="120"/>
      <c r="WAD3" s="120"/>
      <c r="WAE3" s="120"/>
      <c r="WAF3" s="120"/>
      <c r="WAG3" s="120"/>
      <c r="WAH3" s="120"/>
      <c r="WAI3" s="120"/>
      <c r="WAJ3" s="120"/>
      <c r="WAK3" s="120"/>
      <c r="WAL3" s="120"/>
      <c r="WAM3" s="120"/>
      <c r="WAN3" s="120"/>
      <c r="WAO3" s="120"/>
      <c r="WAP3" s="120"/>
      <c r="WAQ3" s="120"/>
      <c r="WAR3" s="120"/>
      <c r="WAS3" s="120"/>
      <c r="WAT3" s="120"/>
      <c r="WAU3" s="120"/>
      <c r="WAV3" s="120"/>
      <c r="WAW3" s="120"/>
      <c r="WAX3" s="120"/>
      <c r="WAY3" s="120"/>
      <c r="WAZ3" s="120"/>
      <c r="WBA3" s="120"/>
      <c r="WBB3" s="120"/>
      <c r="WBC3" s="120"/>
      <c r="WBD3" s="120"/>
      <c r="WBE3" s="120"/>
      <c r="WBF3" s="120"/>
      <c r="WBG3" s="120"/>
      <c r="WBH3" s="120"/>
      <c r="WBI3" s="120"/>
      <c r="WBJ3" s="120"/>
      <c r="WBK3" s="120"/>
      <c r="WBL3" s="120"/>
      <c r="WBM3" s="120"/>
      <c r="WBN3" s="120"/>
      <c r="WBO3" s="120"/>
      <c r="WBP3" s="120"/>
      <c r="WBQ3" s="120"/>
      <c r="WBR3" s="120"/>
      <c r="WBS3" s="120"/>
      <c r="WBT3" s="120"/>
      <c r="WBU3" s="120"/>
      <c r="WBV3" s="120"/>
      <c r="WBW3" s="120"/>
      <c r="WBX3" s="120"/>
      <c r="WBY3" s="120"/>
      <c r="WBZ3" s="120"/>
      <c r="WCA3" s="120"/>
      <c r="WCB3" s="120"/>
      <c r="WCC3" s="120"/>
      <c r="WCD3" s="120"/>
      <c r="WCE3" s="120"/>
      <c r="WCF3" s="120"/>
      <c r="WCG3" s="120"/>
      <c r="WCH3" s="120"/>
      <c r="WCI3" s="120"/>
      <c r="WCJ3" s="120"/>
      <c r="WCK3" s="120"/>
      <c r="WCL3" s="120"/>
      <c r="WCM3" s="120"/>
      <c r="WCN3" s="120"/>
      <c r="WCO3" s="120"/>
      <c r="WCP3" s="120"/>
      <c r="WCQ3" s="120"/>
      <c r="WCR3" s="120"/>
      <c r="WCS3" s="120"/>
      <c r="WCT3" s="120"/>
      <c r="WCU3" s="120"/>
      <c r="WCV3" s="120"/>
      <c r="WCW3" s="120"/>
      <c r="WCX3" s="120"/>
      <c r="WCY3" s="120"/>
      <c r="WCZ3" s="120"/>
      <c r="WDA3" s="120"/>
      <c r="WDB3" s="120"/>
      <c r="WDC3" s="120"/>
      <c r="WDD3" s="120"/>
      <c r="WDE3" s="120"/>
      <c r="WDF3" s="120"/>
      <c r="WDG3" s="120"/>
      <c r="WDH3" s="120"/>
      <c r="WDI3" s="120"/>
      <c r="WDJ3" s="120"/>
      <c r="WDK3" s="120"/>
      <c r="WDL3" s="120"/>
      <c r="WDM3" s="120"/>
      <c r="WDN3" s="120"/>
      <c r="WDO3" s="120"/>
      <c r="WDP3" s="120"/>
      <c r="WDQ3" s="120"/>
      <c r="WDR3" s="120"/>
      <c r="WDS3" s="120"/>
      <c r="WDT3" s="120"/>
      <c r="WDU3" s="120"/>
      <c r="WDV3" s="120"/>
      <c r="WDW3" s="120"/>
      <c r="WDX3" s="120"/>
      <c r="WDY3" s="120"/>
      <c r="WDZ3" s="120"/>
      <c r="WEA3" s="120"/>
      <c r="WEB3" s="120"/>
      <c r="WEC3" s="120"/>
      <c r="WED3" s="120"/>
      <c r="WEE3" s="120"/>
      <c r="WEF3" s="120"/>
      <c r="WEG3" s="120"/>
      <c r="WEH3" s="120"/>
      <c r="WEI3" s="120"/>
      <c r="WEJ3" s="120"/>
      <c r="WEK3" s="120"/>
      <c r="WEL3" s="120"/>
      <c r="WEM3" s="120"/>
      <c r="WEN3" s="120"/>
      <c r="WEO3" s="120"/>
      <c r="WEP3" s="120"/>
      <c r="WEQ3" s="120"/>
      <c r="WER3" s="120"/>
      <c r="WES3" s="120"/>
      <c r="WET3" s="120"/>
      <c r="WEU3" s="120"/>
      <c r="WEV3" s="120"/>
      <c r="WEW3" s="120"/>
      <c r="WEX3" s="120"/>
      <c r="WEY3" s="120"/>
      <c r="WEZ3" s="120"/>
      <c r="WFA3" s="120"/>
      <c r="WFB3" s="120"/>
      <c r="WFC3" s="120"/>
      <c r="WFD3" s="120"/>
      <c r="WFE3" s="120"/>
      <c r="WFF3" s="120"/>
      <c r="WFG3" s="120"/>
      <c r="WFH3" s="120"/>
      <c r="WFI3" s="120"/>
      <c r="WFJ3" s="120"/>
      <c r="WFK3" s="120"/>
      <c r="WFL3" s="120"/>
      <c r="WFM3" s="120"/>
      <c r="WFN3" s="120"/>
      <c r="WFO3" s="120"/>
      <c r="WFP3" s="120"/>
      <c r="WFQ3" s="120"/>
      <c r="WFR3" s="120"/>
      <c r="WFS3" s="120"/>
      <c r="WFT3" s="120"/>
      <c r="WFU3" s="120"/>
      <c r="WFV3" s="120"/>
      <c r="WFW3" s="120"/>
      <c r="WFX3" s="120"/>
      <c r="WFY3" s="120"/>
      <c r="WFZ3" s="120"/>
      <c r="WGA3" s="120"/>
      <c r="WGB3" s="120"/>
      <c r="WGC3" s="120"/>
      <c r="WGD3" s="120"/>
      <c r="WGE3" s="120"/>
      <c r="WGF3" s="120"/>
      <c r="WGG3" s="120"/>
      <c r="WGH3" s="120"/>
      <c r="WGI3" s="120"/>
      <c r="WGJ3" s="120"/>
      <c r="WGK3" s="120"/>
      <c r="WGL3" s="120"/>
      <c r="WGM3" s="120"/>
      <c r="WGN3" s="120"/>
      <c r="WGO3" s="120"/>
      <c r="WGP3" s="120"/>
      <c r="WGQ3" s="120"/>
      <c r="WGR3" s="120"/>
      <c r="WGS3" s="120"/>
      <c r="WGT3" s="120"/>
      <c r="WGU3" s="120"/>
      <c r="WGV3" s="120"/>
      <c r="WGW3" s="120"/>
      <c r="WGX3" s="120"/>
      <c r="WGY3" s="120"/>
      <c r="WGZ3" s="120"/>
      <c r="WHA3" s="120"/>
      <c r="WHB3" s="120"/>
      <c r="WHC3" s="120"/>
      <c r="WHD3" s="120"/>
      <c r="WHE3" s="120"/>
      <c r="WHF3" s="120"/>
      <c r="WHG3" s="120"/>
      <c r="WHH3" s="120"/>
      <c r="WHI3" s="120"/>
      <c r="WHJ3" s="120"/>
      <c r="WHK3" s="120"/>
      <c r="WHL3" s="120"/>
      <c r="WHM3" s="120"/>
      <c r="WHN3" s="120"/>
      <c r="WHO3" s="120"/>
      <c r="WHP3" s="120"/>
      <c r="WHQ3" s="120"/>
      <c r="WHR3" s="120"/>
      <c r="WHS3" s="120"/>
      <c r="WHT3" s="120"/>
      <c r="WHU3" s="120"/>
      <c r="WHV3" s="120"/>
      <c r="WHW3" s="120"/>
      <c r="WHX3" s="120"/>
      <c r="WHY3" s="120"/>
      <c r="WHZ3" s="120"/>
      <c r="WIA3" s="120"/>
      <c r="WIB3" s="120"/>
      <c r="WIC3" s="120"/>
      <c r="WID3" s="120"/>
      <c r="WIE3" s="120"/>
      <c r="WIF3" s="120"/>
      <c r="WIG3" s="120"/>
      <c r="WIH3" s="120"/>
      <c r="WII3" s="120"/>
      <c r="WIJ3" s="120"/>
      <c r="WIK3" s="120"/>
      <c r="WIL3" s="120"/>
      <c r="WIM3" s="120"/>
      <c r="WIN3" s="120"/>
      <c r="WIO3" s="120"/>
      <c r="WIP3" s="120"/>
      <c r="WIQ3" s="120"/>
      <c r="WIR3" s="120"/>
      <c r="WIS3" s="120"/>
      <c r="WIT3" s="120"/>
      <c r="WIU3" s="120"/>
      <c r="WIV3" s="120"/>
      <c r="WIW3" s="120"/>
      <c r="WIX3" s="120"/>
      <c r="WIY3" s="120"/>
      <c r="WIZ3" s="120"/>
      <c r="WJA3" s="120"/>
      <c r="WJB3" s="120"/>
      <c r="WJC3" s="120"/>
      <c r="WJD3" s="120"/>
      <c r="WJE3" s="120"/>
      <c r="WJF3" s="120"/>
      <c r="WJG3" s="120"/>
      <c r="WJH3" s="120"/>
      <c r="WJI3" s="120"/>
      <c r="WJJ3" s="120"/>
      <c r="WJK3" s="120"/>
      <c r="WJL3" s="120"/>
      <c r="WJM3" s="120"/>
      <c r="WJN3" s="120"/>
      <c r="WJO3" s="120"/>
      <c r="WJP3" s="120"/>
      <c r="WJQ3" s="120"/>
      <c r="WJR3" s="120"/>
      <c r="WJS3" s="120"/>
      <c r="WJT3" s="120"/>
      <c r="WJU3" s="120"/>
      <c r="WJV3" s="120"/>
      <c r="WJW3" s="120"/>
      <c r="WJX3" s="120"/>
      <c r="WJY3" s="120"/>
      <c r="WJZ3" s="120"/>
      <c r="WKA3" s="120"/>
      <c r="WKB3" s="120"/>
      <c r="WKC3" s="120"/>
      <c r="WKD3" s="120"/>
      <c r="WKE3" s="120"/>
      <c r="WKF3" s="120"/>
      <c r="WKG3" s="120"/>
      <c r="WKH3" s="120"/>
      <c r="WKI3" s="120"/>
      <c r="WKJ3" s="120"/>
      <c r="WKK3" s="120"/>
      <c r="WKL3" s="120"/>
      <c r="WKM3" s="120"/>
      <c r="WKN3" s="120"/>
      <c r="WKO3" s="120"/>
      <c r="WKP3" s="120"/>
      <c r="WKQ3" s="120"/>
      <c r="WKR3" s="120"/>
      <c r="WKS3" s="120"/>
      <c r="WKT3" s="120"/>
      <c r="WKU3" s="120"/>
      <c r="WKV3" s="120"/>
      <c r="WKW3" s="120"/>
      <c r="WKX3" s="120"/>
      <c r="WKY3" s="120"/>
      <c r="WKZ3" s="120"/>
      <c r="WLA3" s="120"/>
      <c r="WLB3" s="120"/>
      <c r="WLC3" s="120"/>
      <c r="WLD3" s="120"/>
      <c r="WLE3" s="120"/>
      <c r="WLF3" s="120"/>
      <c r="WLG3" s="120"/>
      <c r="WLH3" s="120"/>
      <c r="WLI3" s="120"/>
      <c r="WLJ3" s="120"/>
      <c r="WLK3" s="120"/>
      <c r="WLL3" s="120"/>
      <c r="WLM3" s="120"/>
      <c r="WLN3" s="120"/>
      <c r="WLO3" s="120"/>
      <c r="WLP3" s="120"/>
      <c r="WLQ3" s="120"/>
      <c r="WLR3" s="120"/>
      <c r="WLS3" s="120"/>
      <c r="WLT3" s="120"/>
      <c r="WLU3" s="120"/>
      <c r="WLV3" s="120"/>
      <c r="WLW3" s="120"/>
      <c r="WLX3" s="120"/>
      <c r="WLY3" s="120"/>
      <c r="WLZ3" s="120"/>
      <c r="WMA3" s="120"/>
      <c r="WMB3" s="120"/>
      <c r="WMC3" s="120"/>
      <c r="WMD3" s="120"/>
      <c r="WME3" s="120"/>
      <c r="WMF3" s="120"/>
      <c r="WMG3" s="120"/>
      <c r="WMH3" s="120"/>
      <c r="WMI3" s="120"/>
      <c r="WMJ3" s="120"/>
      <c r="WMK3" s="120"/>
      <c r="WML3" s="120"/>
      <c r="WMM3" s="120"/>
      <c r="WMN3" s="120"/>
      <c r="WMO3" s="120"/>
      <c r="WMP3" s="120"/>
      <c r="WMQ3" s="120"/>
      <c r="WMR3" s="120"/>
      <c r="WMS3" s="120"/>
      <c r="WMT3" s="120"/>
      <c r="WMU3" s="120"/>
      <c r="WMV3" s="120"/>
      <c r="WMW3" s="120"/>
      <c r="WMX3" s="120"/>
      <c r="WMY3" s="120"/>
      <c r="WMZ3" s="120"/>
      <c r="WNA3" s="120"/>
      <c r="WNB3" s="120"/>
      <c r="WNC3" s="120"/>
      <c r="WND3" s="120"/>
      <c r="WNE3" s="120"/>
      <c r="WNF3" s="120"/>
      <c r="WNG3" s="120"/>
      <c r="WNH3" s="120"/>
      <c r="WNI3" s="120"/>
      <c r="WNJ3" s="120"/>
      <c r="WNK3" s="120"/>
      <c r="WNL3" s="120"/>
      <c r="WNM3" s="120"/>
      <c r="WNN3" s="120"/>
      <c r="WNO3" s="120"/>
      <c r="WNP3" s="120"/>
      <c r="WNQ3" s="120"/>
      <c r="WNR3" s="120"/>
      <c r="WNS3" s="120"/>
      <c r="WNT3" s="120"/>
      <c r="WNU3" s="120"/>
      <c r="WNV3" s="120"/>
      <c r="WNW3" s="120"/>
      <c r="WNX3" s="120"/>
      <c r="WNY3" s="120"/>
      <c r="WNZ3" s="120"/>
      <c r="WOA3" s="120"/>
      <c r="WOB3" s="120"/>
      <c r="WOC3" s="120"/>
      <c r="WOD3" s="120"/>
      <c r="WOE3" s="120"/>
      <c r="WOF3" s="120"/>
      <c r="WOG3" s="120"/>
      <c r="WOH3" s="120"/>
      <c r="WOI3" s="120"/>
      <c r="WOJ3" s="120"/>
      <c r="WOK3" s="120"/>
      <c r="WOL3" s="120"/>
      <c r="WOM3" s="120"/>
      <c r="WON3" s="120"/>
      <c r="WOO3" s="120"/>
      <c r="WOP3" s="120"/>
      <c r="WOQ3" s="120"/>
      <c r="WOR3" s="120"/>
      <c r="WOS3" s="120"/>
      <c r="WOT3" s="120"/>
      <c r="WOU3" s="120"/>
      <c r="WOV3" s="120"/>
      <c r="WOW3" s="120"/>
      <c r="WOX3" s="120"/>
      <c r="WOY3" s="120"/>
      <c r="WOZ3" s="120"/>
      <c r="WPA3" s="120"/>
      <c r="WPB3" s="120"/>
      <c r="WPC3" s="120"/>
      <c r="WPD3" s="120"/>
      <c r="WPE3" s="120"/>
      <c r="WPF3" s="120"/>
      <c r="WPG3" s="120"/>
      <c r="WPH3" s="120"/>
      <c r="WPI3" s="120"/>
      <c r="WPJ3" s="120"/>
      <c r="WPK3" s="120"/>
      <c r="WPL3" s="120"/>
      <c r="WPM3" s="120"/>
      <c r="WPN3" s="120"/>
      <c r="WPO3" s="120"/>
      <c r="WPP3" s="120"/>
      <c r="WPQ3" s="120"/>
      <c r="WPR3" s="120"/>
      <c r="WPS3" s="120"/>
      <c r="WPT3" s="120"/>
      <c r="WPU3" s="120"/>
      <c r="WPV3" s="120"/>
      <c r="WPW3" s="120"/>
      <c r="WPX3" s="120"/>
      <c r="WPY3" s="120"/>
      <c r="WPZ3" s="120"/>
      <c r="WQA3" s="120"/>
      <c r="WQB3" s="120"/>
      <c r="WQC3" s="120"/>
      <c r="WQD3" s="120"/>
      <c r="WQE3" s="120"/>
      <c r="WQF3" s="120"/>
      <c r="WQG3" s="120"/>
      <c r="WQH3" s="120"/>
      <c r="WQI3" s="120"/>
      <c r="WQJ3" s="120"/>
      <c r="WQK3" s="120"/>
      <c r="WQL3" s="120"/>
      <c r="WQM3" s="120"/>
      <c r="WQN3" s="120"/>
      <c r="WQO3" s="120"/>
      <c r="WQP3" s="120"/>
      <c r="WQQ3" s="120"/>
      <c r="WQR3" s="120"/>
      <c r="WQS3" s="120"/>
      <c r="WQT3" s="120"/>
      <c r="WQU3" s="120"/>
      <c r="WQV3" s="120"/>
      <c r="WQW3" s="120"/>
      <c r="WQX3" s="120"/>
      <c r="WQY3" s="120"/>
      <c r="WQZ3" s="120"/>
      <c r="WRA3" s="120"/>
      <c r="WRB3" s="120"/>
      <c r="WRC3" s="120"/>
      <c r="WRD3" s="120"/>
      <c r="WRE3" s="120"/>
      <c r="WRF3" s="120"/>
      <c r="WRG3" s="120"/>
      <c r="WRH3" s="120"/>
      <c r="WRI3" s="120"/>
      <c r="WRJ3" s="120"/>
      <c r="WRK3" s="120"/>
      <c r="WRL3" s="120"/>
      <c r="WRM3" s="120"/>
      <c r="WRN3" s="120"/>
      <c r="WRO3" s="120"/>
      <c r="WRP3" s="120"/>
      <c r="WRQ3" s="120"/>
      <c r="WRR3" s="120"/>
      <c r="WRS3" s="120"/>
      <c r="WRT3" s="120"/>
      <c r="WRU3" s="120"/>
      <c r="WRV3" s="120"/>
      <c r="WRW3" s="120"/>
      <c r="WRX3" s="120"/>
      <c r="WRY3" s="120"/>
      <c r="WRZ3" s="120"/>
      <c r="WSA3" s="120"/>
      <c r="WSB3" s="120"/>
      <c r="WSC3" s="120"/>
      <c r="WSD3" s="120"/>
      <c r="WSE3" s="120"/>
      <c r="WSF3" s="120"/>
      <c r="WSG3" s="120"/>
      <c r="WSH3" s="120"/>
      <c r="WSI3" s="120"/>
      <c r="WSJ3" s="120"/>
      <c r="WSK3" s="120"/>
      <c r="WSL3" s="120"/>
      <c r="WSM3" s="120"/>
      <c r="WSN3" s="120"/>
      <c r="WSO3" s="120"/>
      <c r="WSP3" s="120"/>
      <c r="WSQ3" s="120"/>
      <c r="WSR3" s="120"/>
      <c r="WSS3" s="120"/>
      <c r="WST3" s="120"/>
      <c r="WSU3" s="120"/>
      <c r="WSV3" s="120"/>
      <c r="WSW3" s="120"/>
      <c r="WSX3" s="120"/>
      <c r="WSY3" s="120"/>
      <c r="WSZ3" s="120"/>
      <c r="WTA3" s="120"/>
      <c r="WTB3" s="120"/>
      <c r="WTC3" s="120"/>
      <c r="WTD3" s="120"/>
      <c r="WTE3" s="120"/>
      <c r="WTF3" s="120"/>
      <c r="WTG3" s="120"/>
      <c r="WTH3" s="120"/>
      <c r="WTI3" s="120"/>
      <c r="WTJ3" s="120"/>
      <c r="WTK3" s="120"/>
      <c r="WTL3" s="120"/>
      <c r="WTM3" s="120"/>
      <c r="WTN3" s="120"/>
      <c r="WTO3" s="120"/>
      <c r="WTP3" s="120"/>
      <c r="WTQ3" s="120"/>
      <c r="WTR3" s="120"/>
      <c r="WTS3" s="120"/>
      <c r="WTT3" s="120"/>
      <c r="WTU3" s="120"/>
      <c r="WTV3" s="120"/>
      <c r="WTW3" s="120"/>
      <c r="WTX3" s="120"/>
      <c r="WTY3" s="120"/>
      <c r="WTZ3" s="120"/>
      <c r="WUA3" s="120"/>
      <c r="WUB3" s="120"/>
      <c r="WUC3" s="120"/>
      <c r="WUD3" s="120"/>
      <c r="WUE3" s="120"/>
      <c r="WUF3" s="120"/>
      <c r="WUG3" s="120"/>
      <c r="WUH3" s="120"/>
      <c r="WUI3" s="120"/>
      <c r="WUJ3" s="120"/>
      <c r="WUK3" s="120"/>
      <c r="WUL3" s="120"/>
      <c r="WUM3" s="120"/>
      <c r="WUN3" s="120"/>
      <c r="WUO3" s="120"/>
      <c r="WUP3" s="120"/>
      <c r="WUQ3" s="120"/>
      <c r="WUR3" s="120"/>
      <c r="WUS3" s="120"/>
      <c r="WUT3" s="120"/>
      <c r="WUU3" s="120"/>
      <c r="WUV3" s="120"/>
      <c r="WUW3" s="120"/>
      <c r="WUX3" s="120"/>
      <c r="WUY3" s="120"/>
      <c r="WUZ3" s="120"/>
      <c r="WVA3" s="120"/>
      <c r="WVB3" s="120"/>
      <c r="WVC3" s="120"/>
      <c r="WVD3" s="120"/>
      <c r="WVE3" s="120"/>
      <c r="WVF3" s="120"/>
      <c r="WVG3" s="120"/>
      <c r="WVH3" s="120"/>
      <c r="WVI3" s="120"/>
      <c r="WVJ3" s="120"/>
      <c r="WVK3" s="120"/>
      <c r="WVL3" s="120"/>
      <c r="WVM3" s="120"/>
      <c r="WVN3" s="120"/>
      <c r="WVO3" s="120"/>
      <c r="WVP3" s="120"/>
      <c r="WVQ3" s="120"/>
      <c r="WVR3" s="120"/>
      <c r="WVS3" s="120"/>
      <c r="WVT3" s="120"/>
      <c r="WVU3" s="120"/>
      <c r="WVV3" s="120"/>
      <c r="WVW3" s="120"/>
      <c r="WVX3" s="120"/>
      <c r="WVY3" s="120"/>
      <c r="WVZ3" s="120"/>
      <c r="WWA3" s="120"/>
      <c r="WWB3" s="120"/>
      <c r="WWC3" s="120"/>
      <c r="WWD3" s="120"/>
      <c r="WWE3" s="120"/>
      <c r="WWF3" s="120"/>
      <c r="WWG3" s="120"/>
      <c r="WWH3" s="120"/>
      <c r="WWI3" s="120"/>
      <c r="WWJ3" s="120"/>
      <c r="WWK3" s="120"/>
      <c r="WWL3" s="120"/>
      <c r="WWM3" s="120"/>
      <c r="WWN3" s="120"/>
      <c r="WWO3" s="120"/>
      <c r="WWP3" s="120"/>
      <c r="WWQ3" s="120"/>
      <c r="WWR3" s="120"/>
      <c r="WWS3" s="120"/>
      <c r="WWT3" s="120"/>
      <c r="WWU3" s="120"/>
      <c r="WWV3" s="120"/>
      <c r="WWW3" s="120"/>
      <c r="WWX3" s="120"/>
      <c r="WWY3" s="120"/>
      <c r="WWZ3" s="120"/>
      <c r="WXA3" s="120"/>
      <c r="WXB3" s="120"/>
      <c r="WXC3" s="120"/>
      <c r="WXD3" s="120"/>
      <c r="WXE3" s="120"/>
      <c r="WXF3" s="120"/>
      <c r="WXG3" s="120"/>
      <c r="WXH3" s="120"/>
      <c r="WXI3" s="120"/>
      <c r="WXJ3" s="120"/>
      <c r="WXK3" s="120"/>
      <c r="WXL3" s="120"/>
      <c r="WXM3" s="120"/>
      <c r="WXN3" s="120"/>
      <c r="WXO3" s="120"/>
      <c r="WXP3" s="120"/>
      <c r="WXQ3" s="120"/>
      <c r="WXR3" s="120"/>
      <c r="WXS3" s="120"/>
      <c r="WXT3" s="120"/>
      <c r="WXU3" s="120"/>
      <c r="WXV3" s="120"/>
      <c r="WXW3" s="120"/>
      <c r="WXX3" s="120"/>
      <c r="WXY3" s="120"/>
      <c r="WXZ3" s="120"/>
      <c r="WYA3" s="120"/>
      <c r="WYB3" s="120"/>
      <c r="WYC3" s="120"/>
      <c r="WYD3" s="120"/>
      <c r="WYE3" s="120"/>
      <c r="WYF3" s="120"/>
      <c r="WYG3" s="120"/>
      <c r="WYH3" s="120"/>
      <c r="WYI3" s="120"/>
      <c r="WYJ3" s="120"/>
      <c r="WYK3" s="120"/>
      <c r="WYL3" s="120"/>
      <c r="WYM3" s="120"/>
      <c r="WYN3" s="120"/>
      <c r="WYO3" s="120"/>
      <c r="WYP3" s="120"/>
      <c r="WYQ3" s="120"/>
      <c r="WYR3" s="120"/>
      <c r="WYS3" s="120"/>
      <c r="WYT3" s="120"/>
      <c r="WYU3" s="120"/>
      <c r="WYV3" s="120"/>
      <c r="WYW3" s="120"/>
      <c r="WYX3" s="120"/>
      <c r="WYY3" s="120"/>
      <c r="WYZ3" s="120"/>
      <c r="WZA3" s="120"/>
      <c r="WZB3" s="120"/>
      <c r="WZC3" s="120"/>
      <c r="WZD3" s="120"/>
      <c r="WZE3" s="120"/>
      <c r="WZF3" s="120"/>
      <c r="WZG3" s="120"/>
      <c r="WZH3" s="120"/>
      <c r="WZI3" s="120"/>
      <c r="WZJ3" s="120"/>
      <c r="WZK3" s="120"/>
      <c r="WZL3" s="120"/>
      <c r="WZM3" s="120"/>
      <c r="WZN3" s="120"/>
      <c r="WZO3" s="120"/>
      <c r="WZP3" s="120"/>
      <c r="WZQ3" s="120"/>
      <c r="WZR3" s="120"/>
      <c r="WZS3" s="120"/>
      <c r="WZT3" s="120"/>
      <c r="WZU3" s="120"/>
      <c r="WZV3" s="120"/>
      <c r="WZW3" s="120"/>
      <c r="WZX3" s="120"/>
      <c r="WZY3" s="120"/>
      <c r="WZZ3" s="120"/>
      <c r="XAA3" s="120"/>
      <c r="XAB3" s="120"/>
      <c r="XAC3" s="120"/>
      <c r="XAD3" s="120"/>
      <c r="XAE3" s="120"/>
      <c r="XAF3" s="120"/>
      <c r="XAG3" s="120"/>
      <c r="XAH3" s="120"/>
      <c r="XAI3" s="120"/>
      <c r="XAJ3" s="120"/>
      <c r="XAK3" s="120"/>
      <c r="XAL3" s="120"/>
      <c r="XAM3" s="120"/>
      <c r="XAN3" s="120"/>
      <c r="XAO3" s="120"/>
      <c r="XAP3" s="120"/>
      <c r="XAQ3" s="120"/>
      <c r="XAR3" s="120"/>
      <c r="XAS3" s="120"/>
      <c r="XAT3" s="120"/>
      <c r="XAU3" s="120"/>
      <c r="XAV3" s="120"/>
      <c r="XAW3" s="120"/>
      <c r="XAX3" s="120"/>
      <c r="XAY3" s="120"/>
      <c r="XAZ3" s="120"/>
      <c r="XBA3" s="120"/>
      <c r="XBB3" s="120"/>
      <c r="XBC3" s="120"/>
      <c r="XBD3" s="120"/>
      <c r="XBE3" s="120"/>
      <c r="XBF3" s="120"/>
      <c r="XBG3" s="120"/>
      <c r="XBH3" s="120"/>
      <c r="XBI3" s="120"/>
      <c r="XBJ3" s="120"/>
      <c r="XBK3" s="120"/>
      <c r="XBL3" s="120"/>
      <c r="XBM3" s="120"/>
      <c r="XBN3" s="120"/>
      <c r="XBO3" s="120"/>
      <c r="XBP3" s="120"/>
      <c r="XBQ3" s="120"/>
      <c r="XBR3" s="120"/>
      <c r="XBS3" s="120"/>
      <c r="XBT3" s="120"/>
      <c r="XBU3" s="120"/>
      <c r="XBV3" s="120"/>
      <c r="XBW3" s="120"/>
      <c r="XBX3" s="120"/>
      <c r="XBY3" s="120"/>
      <c r="XBZ3" s="120"/>
      <c r="XCA3" s="120"/>
      <c r="XCB3" s="120"/>
      <c r="XCC3" s="120"/>
      <c r="XCD3" s="120"/>
      <c r="XCE3" s="120"/>
      <c r="XCF3" s="120"/>
      <c r="XCG3" s="120"/>
      <c r="XCH3" s="120"/>
      <c r="XCI3" s="120"/>
      <c r="XCJ3" s="120"/>
      <c r="XCK3" s="120"/>
      <c r="XCL3" s="120"/>
      <c r="XCM3" s="120"/>
      <c r="XCN3" s="120"/>
      <c r="XCO3" s="120"/>
      <c r="XCP3" s="120"/>
      <c r="XCQ3" s="120"/>
      <c r="XCR3" s="120"/>
      <c r="XCS3" s="120"/>
      <c r="XCT3" s="120"/>
      <c r="XCU3" s="120"/>
      <c r="XCV3" s="120"/>
      <c r="XCW3" s="120"/>
      <c r="XCX3" s="120"/>
      <c r="XCY3" s="120"/>
      <c r="XCZ3" s="120"/>
      <c r="XDA3" s="120"/>
      <c r="XDB3" s="120"/>
      <c r="XDC3" s="120"/>
      <c r="XDD3" s="120"/>
      <c r="XDE3" s="120"/>
      <c r="XDF3" s="120"/>
      <c r="XDG3" s="120"/>
      <c r="XDH3" s="120"/>
      <c r="XDI3" s="120"/>
      <c r="XDJ3" s="120"/>
      <c r="XDK3" s="120"/>
      <c r="XDL3" s="120"/>
      <c r="XDM3" s="120"/>
      <c r="XDN3" s="120"/>
      <c r="XDO3" s="120"/>
      <c r="XDP3" s="120"/>
      <c r="XDQ3" s="120"/>
      <c r="XDR3" s="120"/>
      <c r="XDS3" s="120"/>
      <c r="XDT3" s="120"/>
      <c r="XDU3" s="120"/>
      <c r="XDV3" s="120"/>
      <c r="XDW3" s="120"/>
      <c r="XDX3" s="120"/>
      <c r="XDY3" s="120"/>
      <c r="XDZ3" s="120"/>
      <c r="XEA3" s="120"/>
      <c r="XEB3" s="120"/>
      <c r="XEC3" s="120"/>
      <c r="XED3" s="120"/>
      <c r="XEE3" s="120"/>
      <c r="XEF3" s="120"/>
      <c r="XEG3" s="120"/>
      <c r="XEH3" s="120"/>
      <c r="XEI3" s="120"/>
      <c r="XEJ3" s="120"/>
      <c r="XEK3" s="120"/>
      <c r="XEL3" s="120"/>
      <c r="XEM3" s="120"/>
      <c r="XEN3" s="120"/>
      <c r="XEO3" s="120"/>
      <c r="XEP3" s="120"/>
      <c r="XEQ3" s="120"/>
      <c r="XER3" s="120"/>
      <c r="XES3" s="120"/>
      <c r="XET3" s="120"/>
      <c r="XEU3" s="120"/>
      <c r="XEV3" s="120"/>
      <c r="XEW3" s="120"/>
      <c r="XEX3" s="120"/>
      <c r="XEY3" s="120"/>
      <c r="XEZ3" s="120"/>
      <c r="XFA3" s="120"/>
      <c r="XFB3" s="120"/>
      <c r="XFC3" s="120"/>
      <c r="XFD3" s="120"/>
    </row>
    <row r="4" spans="1:16384" ht="15" customHeight="1" thickBot="1">
      <c r="C4" s="49"/>
      <c r="D4" s="42"/>
      <c r="F4" s="42"/>
      <c r="G4" s="42"/>
    </row>
    <row r="5" spans="1:16384" ht="35.25" customHeight="1" thickTop="1">
      <c r="C5" s="34" t="s">
        <v>75</v>
      </c>
      <c r="D5" s="34" t="s">
        <v>128</v>
      </c>
      <c r="F5" s="34" t="s">
        <v>62</v>
      </c>
      <c r="G5" s="34" t="s">
        <v>129</v>
      </c>
    </row>
    <row r="6" spans="1:16384" ht="30" customHeight="1">
      <c r="B6" s="53">
        <f>LARGE(CAD_CUST!$B$6:$B$505,1)</f>
        <v>55.100000999999999</v>
      </c>
      <c r="C6" s="77" t="str">
        <f>IF(B6=0,"",VLOOKUP(B6,CAD_CUST!B:H,2,0))</f>
        <v>Produto 5</v>
      </c>
      <c r="D6" s="116">
        <f>IF(B6=0,"",VLOOKUP(B6,CAD_CUST!B:H,7,0))</f>
        <v>55.1</v>
      </c>
      <c r="E6" s="52">
        <f>LARGE(PE_GERAL!$B$6:$B$505,1)</f>
        <v>10000.000001</v>
      </c>
      <c r="F6" s="91" t="str">
        <f>IF(E6=0,"",VLOOKUP(E6,PE_GERAL!B:D,2,0))</f>
        <v>Custo 1</v>
      </c>
      <c r="G6" s="116">
        <f>IF(E6=0,"",VLOOKUP(E6,PE_GERAL!B:D,3,0))</f>
        <v>10000</v>
      </c>
    </row>
    <row r="7" spans="1:16384" ht="30" customHeight="1">
      <c r="B7" s="53">
        <f>LARGE(CAD_CUST!$B$6:$B$505,2)</f>
        <v>45.600000999999999</v>
      </c>
      <c r="C7" s="77" t="str">
        <f>IF(B7=0,"",VLOOKUP(B7,CAD_CUST!B:H,2,0))</f>
        <v>Produto 4</v>
      </c>
      <c r="D7" s="116">
        <f>IF(B7=0,"",VLOOKUP(B7,CAD_CUST!B:H,7,0))</f>
        <v>45.6</v>
      </c>
      <c r="E7" s="52">
        <f>LARGE(PE_GERAL!$B$6:$B$505,2)</f>
        <v>900.00000499999999</v>
      </c>
      <c r="F7" s="91" t="str">
        <f>IF(E7=0,"",VLOOKUP(E7,PE_GERAL!B:D,2,0))</f>
        <v>Custo 5</v>
      </c>
      <c r="G7" s="116">
        <f>IF(E7=0,"",VLOOKUP(E7,PE_GERAL!B:D,3,0))</f>
        <v>900</v>
      </c>
    </row>
    <row r="8" spans="1:16384" ht="30" customHeight="1">
      <c r="B8" s="53">
        <f>LARGE(CAD_CUST!$B$6:$B$505,3)</f>
        <v>36.500000999999997</v>
      </c>
      <c r="C8" s="77" t="str">
        <f>IF(B8=0,"",VLOOKUP(B8,CAD_CUST!B:H,2,0))</f>
        <v>Produto 3</v>
      </c>
      <c r="D8" s="116">
        <f>IF(B8=0,"",VLOOKUP(B8,CAD_CUST!B:H,7,0))</f>
        <v>36.5</v>
      </c>
      <c r="E8" s="52">
        <f>LARGE(PE_GERAL!$B$6:$B$505,3)</f>
        <v>800.00000399999999</v>
      </c>
      <c r="F8" s="91" t="str">
        <f>IF(E8=0,"",VLOOKUP(E8,PE_GERAL!B:D,2,0))</f>
        <v>Custo 4</v>
      </c>
      <c r="G8" s="116">
        <f>IF(E8=0,"",VLOOKUP(E8,PE_GERAL!B:D,3,0))</f>
        <v>800</v>
      </c>
    </row>
    <row r="9" spans="1:16384" ht="30" customHeight="1">
      <c r="B9" s="53">
        <f>LARGE(CAD_CUST!$B$6:$B$505,4)</f>
        <v>27.800001000000002</v>
      </c>
      <c r="C9" s="77" t="str">
        <f>IF(B9=0,"",VLOOKUP(B9,CAD_CUST!B:H,2,0))</f>
        <v>Produto 2</v>
      </c>
      <c r="D9" s="116">
        <f>IF(B9=0,"",VLOOKUP(B9,CAD_CUST!B:H,7,0))</f>
        <v>27.8</v>
      </c>
      <c r="E9" s="52">
        <f>LARGE(PE_GERAL!$B$6:$B$505,4)</f>
        <v>700.00000299999999</v>
      </c>
      <c r="F9" s="91" t="str">
        <f>IF(E9=0,"",VLOOKUP(E9,PE_GERAL!B:D,2,0))</f>
        <v>Custo 3</v>
      </c>
      <c r="G9" s="116">
        <f>IF(E9=0,"",VLOOKUP(E9,PE_GERAL!B:D,3,0))</f>
        <v>700</v>
      </c>
    </row>
    <row r="10" spans="1:16384" ht="30" customHeight="1">
      <c r="B10" s="53">
        <f>LARGE(CAD_CUST!$B$6:$B$505,5)</f>
        <v>19.500001000000001</v>
      </c>
      <c r="C10" s="77" t="str">
        <f>IF(B10=0,"",VLOOKUP(B10,CAD_CUST!B:H,2,0))</f>
        <v>Produto 1</v>
      </c>
      <c r="D10" s="116">
        <f>IF(B10=0,"",VLOOKUP(B10,CAD_CUST!B:H,7,0))</f>
        <v>19.5</v>
      </c>
      <c r="E10" s="52">
        <f>LARGE(PE_GERAL!$B$6:$B$505,5)</f>
        <v>600.00000199999999</v>
      </c>
      <c r="F10" s="91" t="str">
        <f>IF(E10=0,"",VLOOKUP(E10,PE_GERAL!B:D,2,0))</f>
        <v>Custo 2</v>
      </c>
      <c r="G10" s="116">
        <f>IF(E10=0,"",VLOOKUP(E10,PE_GERAL!B:D,3,0))</f>
        <v>600</v>
      </c>
    </row>
    <row r="11" spans="1:16384" ht="30" customHeight="1">
      <c r="B11" s="53">
        <f>LARGE(CAD_CUST!$B$6:$B$505,6)</f>
        <v>0</v>
      </c>
      <c r="C11" s="77" t="str">
        <f>IF(B11=0,"",VLOOKUP(B11,CAD_CUST!B:H,2,0))</f>
        <v/>
      </c>
      <c r="D11" s="117" t="str">
        <f>IF(B11=0,"",VLOOKUP(B11,CAD_CUST!B:H,7,0))</f>
        <v/>
      </c>
      <c r="E11" s="52">
        <f>LARGE(PE_GERAL!$B$6:$B$505,6)</f>
        <v>0</v>
      </c>
      <c r="F11" s="91" t="str">
        <f>IF(E11=0,"",VLOOKUP(E11,PE_GERAL!B:D,2,0))</f>
        <v/>
      </c>
      <c r="G11" s="117" t="str">
        <f>IF(E11=0,"",VLOOKUP(E11,PE_GERAL!B:D,3,0))</f>
        <v/>
      </c>
    </row>
    <row r="12" spans="1:16384" ht="30" customHeight="1">
      <c r="B12" s="53">
        <f>LARGE(CAD_CUST!$B$6:$B$505,7)</f>
        <v>0</v>
      </c>
      <c r="C12" s="77" t="str">
        <f>IF(B12=0,"",VLOOKUP(B12,CAD_CUST!B:H,2,0))</f>
        <v/>
      </c>
      <c r="D12" s="117" t="str">
        <f>IF(B12=0,"",VLOOKUP(B12,CAD_CUST!B:H,7,0))</f>
        <v/>
      </c>
      <c r="E12" s="52">
        <f>LARGE(PE_GERAL!$B$6:$B$505,7)</f>
        <v>0</v>
      </c>
      <c r="F12" s="91" t="str">
        <f>IF(E12=0,"",VLOOKUP(E12,PE_GERAL!B:D,2,0))</f>
        <v/>
      </c>
      <c r="G12" s="117" t="str">
        <f>IF(E12=0,"",VLOOKUP(E12,PE_GERAL!B:D,3,0))</f>
        <v/>
      </c>
    </row>
    <row r="13" spans="1:16384" ht="30" customHeight="1">
      <c r="B13" s="53">
        <f>LARGE(CAD_CUST!$B$6:$B$505,8)</f>
        <v>0</v>
      </c>
      <c r="C13" s="77" t="str">
        <f>IF(B13=0,"",VLOOKUP(B13,CAD_CUST!B:H,2,0))</f>
        <v/>
      </c>
      <c r="D13" s="117" t="str">
        <f>IF(B13=0,"",VLOOKUP(B13,CAD_CUST!B:H,7,0))</f>
        <v/>
      </c>
      <c r="E13" s="52">
        <f>LARGE(PE_GERAL!$B$6:$B$505,8)</f>
        <v>0</v>
      </c>
      <c r="F13" s="91" t="str">
        <f>IF(E13=0,"",VLOOKUP(E13,PE_GERAL!B:D,2,0))</f>
        <v/>
      </c>
      <c r="G13" s="117" t="str">
        <f>IF(E13=0,"",VLOOKUP(E13,PE_GERAL!B:D,3,0))</f>
        <v/>
      </c>
    </row>
    <row r="14" spans="1:16384" ht="30" customHeight="1">
      <c r="B14" s="53">
        <f>LARGE(CAD_CUST!$B$6:$B$505,9)</f>
        <v>0</v>
      </c>
      <c r="C14" s="77" t="str">
        <f>IF(B14=0,"",VLOOKUP(B14,CAD_CUST!B:H,2,0))</f>
        <v/>
      </c>
      <c r="D14" s="117" t="str">
        <f>IF(B14=0,"",VLOOKUP(B14,CAD_CUST!B:H,7,0))</f>
        <v/>
      </c>
      <c r="E14" s="52">
        <f>LARGE(PE_GERAL!$B$6:$B$505,9)</f>
        <v>0</v>
      </c>
      <c r="F14" s="91" t="str">
        <f>IF(E14=0,"",VLOOKUP(E14,PE_GERAL!B:D,2,0))</f>
        <v/>
      </c>
      <c r="G14" s="117" t="str">
        <f>IF(E14=0,"",VLOOKUP(E14,PE_GERAL!B:D,3,0))</f>
        <v/>
      </c>
    </row>
    <row r="15" spans="1:16384" ht="30" customHeight="1">
      <c r="B15" s="53">
        <f>LARGE(CAD_CUST!$B$6:$B$505,10)</f>
        <v>0</v>
      </c>
      <c r="C15" s="77" t="str">
        <f>IF(B15=0,"",VLOOKUP(B15,CAD_CUST!B:H,2,0))</f>
        <v/>
      </c>
      <c r="D15" s="117" t="str">
        <f>IF(B15=0,"",VLOOKUP(B15,CAD_CUST!B:H,7,0))</f>
        <v/>
      </c>
      <c r="E15" s="52">
        <f>LARGE(PE_GERAL!$B$6:$B$505,10)</f>
        <v>0</v>
      </c>
      <c r="F15" s="91" t="str">
        <f>IF(E15=0,"",VLOOKUP(E15,PE_GERAL!B:D,2,0))</f>
        <v/>
      </c>
      <c r="G15" s="117" t="str">
        <f>IF(E15=0,"",VLOOKUP(E15,PE_GERAL!B:D,3,0))</f>
        <v/>
      </c>
    </row>
    <row r="16" spans="1:16384" ht="30" customHeight="1"/>
    <row r="17" ht="30" customHeight="1"/>
    <row r="18" ht="30" customHeight="1"/>
    <row r="19" ht="30" customHeight="1"/>
    <row r="20" ht="30" customHeight="1"/>
    <row r="21" ht="30" customHeight="1"/>
    <row r="22" ht="30" customHeight="1"/>
    <row r="23" ht="30" customHeight="1"/>
    <row r="24" ht="30" customHeight="1"/>
    <row r="25" ht="30" customHeight="1"/>
    <row r="26" ht="30" customHeight="1"/>
    <row r="27" ht="30" customHeight="1"/>
    <row r="28" ht="30" customHeight="1"/>
    <row r="29" ht="30" customHeight="1"/>
    <row r="30" ht="30" customHeight="1"/>
    <row r="31" ht="30" customHeight="1"/>
    <row r="32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</sheetData>
  <conditionalFormatting sqref="C6:D15">
    <cfRule type="expression" dxfId="7" priority="5">
      <formula>$C6=""</formula>
    </cfRule>
  </conditionalFormatting>
  <conditionalFormatting sqref="F6:F15">
    <cfRule type="expression" dxfId="6" priority="4">
      <formula>$F6=""</formula>
    </cfRule>
  </conditionalFormatting>
  <conditionalFormatting sqref="D6:D15">
    <cfRule type="colorScale" priority="3">
      <colorScale>
        <cfvo type="min"/>
        <cfvo type="percentile" val="50"/>
        <cfvo type="max"/>
        <color rgb="FF55B03E"/>
        <color rgb="FFFFC000"/>
        <color rgb="FFF0462E"/>
      </colorScale>
    </cfRule>
  </conditionalFormatting>
  <conditionalFormatting sqref="G6:G15">
    <cfRule type="expression" dxfId="5" priority="2">
      <formula>$C6=""</formula>
    </cfRule>
  </conditionalFormatting>
  <conditionalFormatting sqref="G6:G15">
    <cfRule type="colorScale" priority="1">
      <colorScale>
        <cfvo type="min"/>
        <cfvo type="percentile" val="50"/>
        <cfvo type="max"/>
        <color rgb="FF55B03E"/>
        <color rgb="FFFFC000"/>
        <color rgb="FFF0462E"/>
      </colorScale>
    </cfRule>
  </conditionalFormatting>
  <pageMargins left="0.7" right="0.7" top="0.75" bottom="0.75" header="0.3" footer="0.3"/>
  <pageSetup paperSize="9" orientation="portrait" r:id="rId1"/>
  <ignoredErrors>
    <ignoredError sqref="F6:F15 G6:G15 C6:D15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FD581"/>
  <sheetViews>
    <sheetView showGridLines="0" zoomScale="90" zoomScaleNormal="90" zoomScalePageLayoutView="80" workbookViewId="0">
      <pane ySplit="7" topLeftCell="A8" activePane="bottomLeft" state="frozen"/>
      <selection activeCell="A3" sqref="A3:XFD3"/>
      <selection pane="bottomLeft" activeCell="C3" sqref="C3"/>
    </sheetView>
  </sheetViews>
  <sheetFormatPr defaultColWidth="11" defaultRowHeight="15"/>
  <cols>
    <col min="1" max="1" width="2.125" style="47" customWidth="1"/>
    <col min="2" max="2" width="1.375" style="47" customWidth="1"/>
    <col min="3" max="6" width="23.625" style="47" customWidth="1"/>
    <col min="7" max="7" width="72.125" style="47" customWidth="1"/>
    <col min="8" max="16384" width="11" style="47"/>
  </cols>
  <sheetData>
    <row r="1" spans="1:16384" s="45" customFormat="1" ht="39" customHeight="1"/>
    <row r="2" spans="1:16384" s="46" customFormat="1" ht="30" customHeight="1"/>
    <row r="3" spans="1:16384" customFormat="1" ht="44.25" customHeight="1">
      <c r="A3" s="119"/>
      <c r="B3" s="120"/>
      <c r="C3" s="121"/>
      <c r="D3" s="120"/>
      <c r="E3" s="122"/>
      <c r="F3" s="122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0"/>
      <c r="CO3" s="120"/>
      <c r="CP3" s="120"/>
      <c r="CQ3" s="120"/>
      <c r="CR3" s="120"/>
      <c r="CS3" s="120"/>
      <c r="CT3" s="120"/>
      <c r="CU3" s="120"/>
      <c r="CV3" s="120"/>
      <c r="CW3" s="120"/>
      <c r="CX3" s="120"/>
      <c r="CY3" s="120"/>
      <c r="CZ3" s="120"/>
      <c r="DA3" s="120"/>
      <c r="DB3" s="120"/>
      <c r="DC3" s="120"/>
      <c r="DD3" s="120"/>
      <c r="DE3" s="120"/>
      <c r="DF3" s="120"/>
      <c r="DG3" s="120"/>
      <c r="DH3" s="120"/>
      <c r="DI3" s="120"/>
      <c r="DJ3" s="120"/>
      <c r="DK3" s="120"/>
      <c r="DL3" s="120"/>
      <c r="DM3" s="120"/>
      <c r="DN3" s="120"/>
      <c r="DO3" s="120"/>
      <c r="DP3" s="120"/>
      <c r="DQ3" s="120"/>
      <c r="DR3" s="120"/>
      <c r="DS3" s="120"/>
      <c r="DT3" s="120"/>
      <c r="DU3" s="120"/>
      <c r="DV3" s="120"/>
      <c r="DW3" s="120"/>
      <c r="DX3" s="120"/>
      <c r="DY3" s="120"/>
      <c r="DZ3" s="120"/>
      <c r="EA3" s="120"/>
      <c r="EB3" s="120"/>
      <c r="EC3" s="120"/>
      <c r="ED3" s="120"/>
      <c r="EE3" s="120"/>
      <c r="EF3" s="120"/>
      <c r="EG3" s="120"/>
      <c r="EH3" s="120"/>
      <c r="EI3" s="120"/>
      <c r="EJ3" s="120"/>
      <c r="EK3" s="120"/>
      <c r="EL3" s="120"/>
      <c r="EM3" s="120"/>
      <c r="EN3" s="120"/>
      <c r="EO3" s="120"/>
      <c r="EP3" s="120"/>
      <c r="EQ3" s="120"/>
      <c r="ER3" s="120"/>
      <c r="ES3" s="120"/>
      <c r="ET3" s="120"/>
      <c r="EU3" s="120"/>
      <c r="EV3" s="120"/>
      <c r="EW3" s="120"/>
      <c r="EX3" s="120"/>
      <c r="EY3" s="120"/>
      <c r="EZ3" s="120"/>
      <c r="FA3" s="120"/>
      <c r="FB3" s="120"/>
      <c r="FC3" s="120"/>
      <c r="FD3" s="120"/>
      <c r="FE3" s="120"/>
      <c r="FF3" s="120"/>
      <c r="FG3" s="120"/>
      <c r="FH3" s="120"/>
      <c r="FI3" s="120"/>
      <c r="FJ3" s="120"/>
      <c r="FK3" s="120"/>
      <c r="FL3" s="120"/>
      <c r="FM3" s="120"/>
      <c r="FN3" s="120"/>
      <c r="FO3" s="120"/>
      <c r="FP3" s="120"/>
      <c r="FQ3" s="120"/>
      <c r="FR3" s="120"/>
      <c r="FS3" s="120"/>
      <c r="FT3" s="120"/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0"/>
      <c r="GJ3" s="120"/>
      <c r="GK3" s="120"/>
      <c r="GL3" s="120"/>
      <c r="GM3" s="120"/>
      <c r="GN3" s="120"/>
      <c r="GO3" s="120"/>
      <c r="GP3" s="120"/>
      <c r="GQ3" s="120"/>
      <c r="GR3" s="120"/>
      <c r="GS3" s="120"/>
      <c r="GT3" s="120"/>
      <c r="GU3" s="120"/>
      <c r="GV3" s="120"/>
      <c r="GW3" s="120"/>
      <c r="GX3" s="120"/>
      <c r="GY3" s="120"/>
      <c r="GZ3" s="120"/>
      <c r="HA3" s="120"/>
      <c r="HB3" s="120"/>
      <c r="HC3" s="120"/>
      <c r="HD3" s="120"/>
      <c r="HE3" s="120"/>
      <c r="HF3" s="120"/>
      <c r="HG3" s="120"/>
      <c r="HH3" s="120"/>
      <c r="HI3" s="120"/>
      <c r="HJ3" s="120"/>
      <c r="HK3" s="120"/>
      <c r="HL3" s="120"/>
      <c r="HM3" s="120"/>
      <c r="HN3" s="120"/>
      <c r="HO3" s="120"/>
      <c r="HP3" s="120"/>
      <c r="HQ3" s="120"/>
      <c r="HR3" s="120"/>
      <c r="HS3" s="120"/>
      <c r="HT3" s="120"/>
      <c r="HU3" s="120"/>
      <c r="HV3" s="120"/>
      <c r="HW3" s="120"/>
      <c r="HX3" s="120"/>
      <c r="HY3" s="120"/>
      <c r="HZ3" s="120"/>
      <c r="IA3" s="120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P3" s="120"/>
      <c r="IQ3" s="120"/>
      <c r="IR3" s="120"/>
      <c r="IS3" s="120"/>
      <c r="IT3" s="120"/>
      <c r="IU3" s="120"/>
      <c r="IV3" s="120"/>
      <c r="IW3" s="120"/>
      <c r="IX3" s="120"/>
      <c r="IY3" s="120"/>
      <c r="IZ3" s="120"/>
      <c r="JA3" s="120"/>
      <c r="JB3" s="120"/>
      <c r="JC3" s="120"/>
      <c r="JD3" s="120"/>
      <c r="JE3" s="120"/>
      <c r="JF3" s="120"/>
      <c r="JG3" s="120"/>
      <c r="JH3" s="120"/>
      <c r="JI3" s="120"/>
      <c r="JJ3" s="120"/>
      <c r="JK3" s="120"/>
      <c r="JL3" s="120"/>
      <c r="JM3" s="120"/>
      <c r="JN3" s="120"/>
      <c r="JO3" s="120"/>
      <c r="JP3" s="120"/>
      <c r="JQ3" s="120"/>
      <c r="JR3" s="120"/>
      <c r="JS3" s="120"/>
      <c r="JT3" s="120"/>
      <c r="JU3" s="120"/>
      <c r="JV3" s="120"/>
      <c r="JW3" s="120"/>
      <c r="JX3" s="120"/>
      <c r="JY3" s="120"/>
      <c r="JZ3" s="120"/>
      <c r="KA3" s="120"/>
      <c r="KB3" s="120"/>
      <c r="KC3" s="120"/>
      <c r="KD3" s="120"/>
      <c r="KE3" s="120"/>
      <c r="KF3" s="120"/>
      <c r="KG3" s="120"/>
      <c r="KH3" s="120"/>
      <c r="KI3" s="120"/>
      <c r="KJ3" s="120"/>
      <c r="KK3" s="120"/>
      <c r="KL3" s="120"/>
      <c r="KM3" s="120"/>
      <c r="KN3" s="120"/>
      <c r="KO3" s="120"/>
      <c r="KP3" s="120"/>
      <c r="KQ3" s="120"/>
      <c r="KR3" s="120"/>
      <c r="KS3" s="120"/>
      <c r="KT3" s="120"/>
      <c r="KU3" s="120"/>
      <c r="KV3" s="120"/>
      <c r="KW3" s="120"/>
      <c r="KX3" s="120"/>
      <c r="KY3" s="120"/>
      <c r="KZ3" s="120"/>
      <c r="LA3" s="120"/>
      <c r="LB3" s="120"/>
      <c r="LC3" s="120"/>
      <c r="LD3" s="120"/>
      <c r="LE3" s="120"/>
      <c r="LF3" s="120"/>
      <c r="LG3" s="120"/>
      <c r="LH3" s="120"/>
      <c r="LI3" s="120"/>
      <c r="LJ3" s="120"/>
      <c r="LK3" s="120"/>
      <c r="LL3" s="120"/>
      <c r="LM3" s="120"/>
      <c r="LN3" s="120"/>
      <c r="LO3" s="120"/>
      <c r="LP3" s="120"/>
      <c r="LQ3" s="120"/>
      <c r="LR3" s="120"/>
      <c r="LS3" s="120"/>
      <c r="LT3" s="120"/>
      <c r="LU3" s="120"/>
      <c r="LV3" s="120"/>
      <c r="LW3" s="120"/>
      <c r="LX3" s="120"/>
      <c r="LY3" s="120"/>
      <c r="LZ3" s="120"/>
      <c r="MA3" s="120"/>
      <c r="MB3" s="120"/>
      <c r="MC3" s="120"/>
      <c r="MD3" s="120"/>
      <c r="ME3" s="120"/>
      <c r="MF3" s="120"/>
      <c r="MG3" s="120"/>
      <c r="MH3" s="120"/>
      <c r="MI3" s="120"/>
      <c r="MJ3" s="120"/>
      <c r="MK3" s="120"/>
      <c r="ML3" s="120"/>
      <c r="MM3" s="120"/>
      <c r="MN3" s="120"/>
      <c r="MO3" s="120"/>
      <c r="MP3" s="120"/>
      <c r="MQ3" s="120"/>
      <c r="MR3" s="120"/>
      <c r="MS3" s="120"/>
      <c r="MT3" s="120"/>
      <c r="MU3" s="120"/>
      <c r="MV3" s="120"/>
      <c r="MW3" s="120"/>
      <c r="MX3" s="120"/>
      <c r="MY3" s="120"/>
      <c r="MZ3" s="120"/>
      <c r="NA3" s="120"/>
      <c r="NB3" s="120"/>
      <c r="NC3" s="120"/>
      <c r="ND3" s="120"/>
      <c r="NE3" s="120"/>
      <c r="NF3" s="120"/>
      <c r="NG3" s="120"/>
      <c r="NH3" s="120"/>
      <c r="NI3" s="120"/>
      <c r="NJ3" s="120"/>
      <c r="NK3" s="120"/>
      <c r="NL3" s="120"/>
      <c r="NM3" s="120"/>
      <c r="NN3" s="120"/>
      <c r="NO3" s="120"/>
      <c r="NP3" s="120"/>
      <c r="NQ3" s="120"/>
      <c r="NR3" s="120"/>
      <c r="NS3" s="120"/>
      <c r="NT3" s="120"/>
      <c r="NU3" s="120"/>
      <c r="NV3" s="120"/>
      <c r="NW3" s="120"/>
      <c r="NX3" s="120"/>
      <c r="NY3" s="120"/>
      <c r="NZ3" s="120"/>
      <c r="OA3" s="120"/>
      <c r="OB3" s="120"/>
      <c r="OC3" s="120"/>
      <c r="OD3" s="120"/>
      <c r="OE3" s="120"/>
      <c r="OF3" s="120"/>
      <c r="OG3" s="120"/>
      <c r="OH3" s="120"/>
      <c r="OI3" s="120"/>
      <c r="OJ3" s="120"/>
      <c r="OK3" s="120"/>
      <c r="OL3" s="120"/>
      <c r="OM3" s="120"/>
      <c r="ON3" s="120"/>
      <c r="OO3" s="120"/>
      <c r="OP3" s="120"/>
      <c r="OQ3" s="120"/>
      <c r="OR3" s="120"/>
      <c r="OS3" s="120"/>
      <c r="OT3" s="120"/>
      <c r="OU3" s="120"/>
      <c r="OV3" s="120"/>
      <c r="OW3" s="120"/>
      <c r="OX3" s="120"/>
      <c r="OY3" s="120"/>
      <c r="OZ3" s="120"/>
      <c r="PA3" s="120"/>
      <c r="PB3" s="120"/>
      <c r="PC3" s="120"/>
      <c r="PD3" s="120"/>
      <c r="PE3" s="120"/>
      <c r="PF3" s="120"/>
      <c r="PG3" s="120"/>
      <c r="PH3" s="120"/>
      <c r="PI3" s="120"/>
      <c r="PJ3" s="120"/>
      <c r="PK3" s="120"/>
      <c r="PL3" s="120"/>
      <c r="PM3" s="120"/>
      <c r="PN3" s="120"/>
      <c r="PO3" s="120"/>
      <c r="PP3" s="120"/>
      <c r="PQ3" s="120"/>
      <c r="PR3" s="120"/>
      <c r="PS3" s="120"/>
      <c r="PT3" s="120"/>
      <c r="PU3" s="120"/>
      <c r="PV3" s="120"/>
      <c r="PW3" s="120"/>
      <c r="PX3" s="120"/>
      <c r="PY3" s="120"/>
      <c r="PZ3" s="120"/>
      <c r="QA3" s="120"/>
      <c r="QB3" s="120"/>
      <c r="QC3" s="120"/>
      <c r="QD3" s="120"/>
      <c r="QE3" s="120"/>
      <c r="QF3" s="120"/>
      <c r="QG3" s="120"/>
      <c r="QH3" s="120"/>
      <c r="QI3" s="120"/>
      <c r="QJ3" s="120"/>
      <c r="QK3" s="120"/>
      <c r="QL3" s="120"/>
      <c r="QM3" s="120"/>
      <c r="QN3" s="120"/>
      <c r="QO3" s="120"/>
      <c r="QP3" s="120"/>
      <c r="QQ3" s="120"/>
      <c r="QR3" s="120"/>
      <c r="QS3" s="120"/>
      <c r="QT3" s="120"/>
      <c r="QU3" s="120"/>
      <c r="QV3" s="120"/>
      <c r="QW3" s="120"/>
      <c r="QX3" s="120"/>
      <c r="QY3" s="120"/>
      <c r="QZ3" s="120"/>
      <c r="RA3" s="120"/>
      <c r="RB3" s="120"/>
      <c r="RC3" s="120"/>
      <c r="RD3" s="120"/>
      <c r="RE3" s="120"/>
      <c r="RF3" s="120"/>
      <c r="RG3" s="120"/>
      <c r="RH3" s="120"/>
      <c r="RI3" s="120"/>
      <c r="RJ3" s="120"/>
      <c r="RK3" s="120"/>
      <c r="RL3" s="120"/>
      <c r="RM3" s="120"/>
      <c r="RN3" s="120"/>
      <c r="RO3" s="120"/>
      <c r="RP3" s="120"/>
      <c r="RQ3" s="120"/>
      <c r="RR3" s="120"/>
      <c r="RS3" s="120"/>
      <c r="RT3" s="120"/>
      <c r="RU3" s="120"/>
      <c r="RV3" s="120"/>
      <c r="RW3" s="120"/>
      <c r="RX3" s="120"/>
      <c r="RY3" s="120"/>
      <c r="RZ3" s="120"/>
      <c r="SA3" s="120"/>
      <c r="SB3" s="120"/>
      <c r="SC3" s="120"/>
      <c r="SD3" s="120"/>
      <c r="SE3" s="120"/>
      <c r="SF3" s="120"/>
      <c r="SG3" s="120"/>
      <c r="SH3" s="120"/>
      <c r="SI3" s="120"/>
      <c r="SJ3" s="120"/>
      <c r="SK3" s="120"/>
      <c r="SL3" s="120"/>
      <c r="SM3" s="120"/>
      <c r="SN3" s="120"/>
      <c r="SO3" s="120"/>
      <c r="SP3" s="120"/>
      <c r="SQ3" s="120"/>
      <c r="SR3" s="120"/>
      <c r="SS3" s="120"/>
      <c r="ST3" s="120"/>
      <c r="SU3" s="120"/>
      <c r="SV3" s="120"/>
      <c r="SW3" s="120"/>
      <c r="SX3" s="120"/>
      <c r="SY3" s="120"/>
      <c r="SZ3" s="120"/>
      <c r="TA3" s="120"/>
      <c r="TB3" s="120"/>
      <c r="TC3" s="120"/>
      <c r="TD3" s="120"/>
      <c r="TE3" s="120"/>
      <c r="TF3" s="120"/>
      <c r="TG3" s="120"/>
      <c r="TH3" s="120"/>
      <c r="TI3" s="120"/>
      <c r="TJ3" s="120"/>
      <c r="TK3" s="120"/>
      <c r="TL3" s="120"/>
      <c r="TM3" s="120"/>
      <c r="TN3" s="120"/>
      <c r="TO3" s="120"/>
      <c r="TP3" s="120"/>
      <c r="TQ3" s="120"/>
      <c r="TR3" s="120"/>
      <c r="TS3" s="120"/>
      <c r="TT3" s="120"/>
      <c r="TU3" s="120"/>
      <c r="TV3" s="120"/>
      <c r="TW3" s="120"/>
      <c r="TX3" s="120"/>
      <c r="TY3" s="120"/>
      <c r="TZ3" s="120"/>
      <c r="UA3" s="120"/>
      <c r="UB3" s="120"/>
      <c r="UC3" s="120"/>
      <c r="UD3" s="120"/>
      <c r="UE3" s="120"/>
      <c r="UF3" s="120"/>
      <c r="UG3" s="120"/>
      <c r="UH3" s="120"/>
      <c r="UI3" s="120"/>
      <c r="UJ3" s="120"/>
      <c r="UK3" s="120"/>
      <c r="UL3" s="120"/>
      <c r="UM3" s="120"/>
      <c r="UN3" s="120"/>
      <c r="UO3" s="120"/>
      <c r="UP3" s="120"/>
      <c r="UQ3" s="120"/>
      <c r="UR3" s="120"/>
      <c r="US3" s="120"/>
      <c r="UT3" s="120"/>
      <c r="UU3" s="120"/>
      <c r="UV3" s="120"/>
      <c r="UW3" s="120"/>
      <c r="UX3" s="120"/>
      <c r="UY3" s="120"/>
      <c r="UZ3" s="120"/>
      <c r="VA3" s="120"/>
      <c r="VB3" s="120"/>
      <c r="VC3" s="120"/>
      <c r="VD3" s="120"/>
      <c r="VE3" s="120"/>
      <c r="VF3" s="120"/>
      <c r="VG3" s="120"/>
      <c r="VH3" s="120"/>
      <c r="VI3" s="120"/>
      <c r="VJ3" s="120"/>
      <c r="VK3" s="120"/>
      <c r="VL3" s="120"/>
      <c r="VM3" s="120"/>
      <c r="VN3" s="120"/>
      <c r="VO3" s="120"/>
      <c r="VP3" s="120"/>
      <c r="VQ3" s="120"/>
      <c r="VR3" s="120"/>
      <c r="VS3" s="120"/>
      <c r="VT3" s="120"/>
      <c r="VU3" s="120"/>
      <c r="VV3" s="120"/>
      <c r="VW3" s="120"/>
      <c r="VX3" s="120"/>
      <c r="VY3" s="120"/>
      <c r="VZ3" s="120"/>
      <c r="WA3" s="120"/>
      <c r="WB3" s="120"/>
      <c r="WC3" s="120"/>
      <c r="WD3" s="120"/>
      <c r="WE3" s="120"/>
      <c r="WF3" s="120"/>
      <c r="WG3" s="120"/>
      <c r="WH3" s="120"/>
      <c r="WI3" s="120"/>
      <c r="WJ3" s="120"/>
      <c r="WK3" s="120"/>
      <c r="WL3" s="120"/>
      <c r="WM3" s="120"/>
      <c r="WN3" s="120"/>
      <c r="WO3" s="120"/>
      <c r="WP3" s="120"/>
      <c r="WQ3" s="120"/>
      <c r="WR3" s="120"/>
      <c r="WS3" s="120"/>
      <c r="WT3" s="120"/>
      <c r="WU3" s="120"/>
      <c r="WV3" s="120"/>
      <c r="WW3" s="120"/>
      <c r="WX3" s="120"/>
      <c r="WY3" s="120"/>
      <c r="WZ3" s="120"/>
      <c r="XA3" s="120"/>
      <c r="XB3" s="120"/>
      <c r="XC3" s="120"/>
      <c r="XD3" s="120"/>
      <c r="XE3" s="120"/>
      <c r="XF3" s="120"/>
      <c r="XG3" s="120"/>
      <c r="XH3" s="120"/>
      <c r="XI3" s="120"/>
      <c r="XJ3" s="120"/>
      <c r="XK3" s="120"/>
      <c r="XL3" s="120"/>
      <c r="XM3" s="120"/>
      <c r="XN3" s="120"/>
      <c r="XO3" s="120"/>
      <c r="XP3" s="120"/>
      <c r="XQ3" s="120"/>
      <c r="XR3" s="120"/>
      <c r="XS3" s="120"/>
      <c r="XT3" s="120"/>
      <c r="XU3" s="120"/>
      <c r="XV3" s="120"/>
      <c r="XW3" s="120"/>
      <c r="XX3" s="120"/>
      <c r="XY3" s="120"/>
      <c r="XZ3" s="120"/>
      <c r="YA3" s="120"/>
      <c r="YB3" s="120"/>
      <c r="YC3" s="120"/>
      <c r="YD3" s="120"/>
      <c r="YE3" s="120"/>
      <c r="YF3" s="120"/>
      <c r="YG3" s="120"/>
      <c r="YH3" s="120"/>
      <c r="YI3" s="120"/>
      <c r="YJ3" s="120"/>
      <c r="YK3" s="120"/>
      <c r="YL3" s="120"/>
      <c r="YM3" s="120"/>
      <c r="YN3" s="120"/>
      <c r="YO3" s="120"/>
      <c r="YP3" s="120"/>
      <c r="YQ3" s="120"/>
      <c r="YR3" s="120"/>
      <c r="YS3" s="120"/>
      <c r="YT3" s="120"/>
      <c r="YU3" s="120"/>
      <c r="YV3" s="120"/>
      <c r="YW3" s="120"/>
      <c r="YX3" s="120"/>
      <c r="YY3" s="120"/>
      <c r="YZ3" s="120"/>
      <c r="ZA3" s="120"/>
      <c r="ZB3" s="120"/>
      <c r="ZC3" s="120"/>
      <c r="ZD3" s="120"/>
      <c r="ZE3" s="120"/>
      <c r="ZF3" s="120"/>
      <c r="ZG3" s="120"/>
      <c r="ZH3" s="120"/>
      <c r="ZI3" s="120"/>
      <c r="ZJ3" s="120"/>
      <c r="ZK3" s="120"/>
      <c r="ZL3" s="120"/>
      <c r="ZM3" s="120"/>
      <c r="ZN3" s="120"/>
      <c r="ZO3" s="120"/>
      <c r="ZP3" s="120"/>
      <c r="ZQ3" s="120"/>
      <c r="ZR3" s="120"/>
      <c r="ZS3" s="120"/>
      <c r="ZT3" s="120"/>
      <c r="ZU3" s="120"/>
      <c r="ZV3" s="120"/>
      <c r="ZW3" s="120"/>
      <c r="ZX3" s="120"/>
      <c r="ZY3" s="120"/>
      <c r="ZZ3" s="120"/>
      <c r="AAA3" s="120"/>
      <c r="AAB3" s="120"/>
      <c r="AAC3" s="120"/>
      <c r="AAD3" s="120"/>
      <c r="AAE3" s="120"/>
      <c r="AAF3" s="120"/>
      <c r="AAG3" s="120"/>
      <c r="AAH3" s="120"/>
      <c r="AAI3" s="120"/>
      <c r="AAJ3" s="120"/>
      <c r="AAK3" s="120"/>
      <c r="AAL3" s="120"/>
      <c r="AAM3" s="120"/>
      <c r="AAN3" s="120"/>
      <c r="AAO3" s="120"/>
      <c r="AAP3" s="120"/>
      <c r="AAQ3" s="120"/>
      <c r="AAR3" s="120"/>
      <c r="AAS3" s="120"/>
      <c r="AAT3" s="120"/>
      <c r="AAU3" s="120"/>
      <c r="AAV3" s="120"/>
      <c r="AAW3" s="120"/>
      <c r="AAX3" s="120"/>
      <c r="AAY3" s="120"/>
      <c r="AAZ3" s="120"/>
      <c r="ABA3" s="120"/>
      <c r="ABB3" s="120"/>
      <c r="ABC3" s="120"/>
      <c r="ABD3" s="120"/>
      <c r="ABE3" s="120"/>
      <c r="ABF3" s="120"/>
      <c r="ABG3" s="120"/>
      <c r="ABH3" s="120"/>
      <c r="ABI3" s="120"/>
      <c r="ABJ3" s="120"/>
      <c r="ABK3" s="120"/>
      <c r="ABL3" s="120"/>
      <c r="ABM3" s="120"/>
      <c r="ABN3" s="120"/>
      <c r="ABO3" s="120"/>
      <c r="ABP3" s="120"/>
      <c r="ABQ3" s="120"/>
      <c r="ABR3" s="120"/>
      <c r="ABS3" s="120"/>
      <c r="ABT3" s="120"/>
      <c r="ABU3" s="120"/>
      <c r="ABV3" s="120"/>
      <c r="ABW3" s="120"/>
      <c r="ABX3" s="120"/>
      <c r="ABY3" s="120"/>
      <c r="ABZ3" s="120"/>
      <c r="ACA3" s="120"/>
      <c r="ACB3" s="120"/>
      <c r="ACC3" s="120"/>
      <c r="ACD3" s="120"/>
      <c r="ACE3" s="120"/>
      <c r="ACF3" s="120"/>
      <c r="ACG3" s="120"/>
      <c r="ACH3" s="120"/>
      <c r="ACI3" s="120"/>
      <c r="ACJ3" s="120"/>
      <c r="ACK3" s="120"/>
      <c r="ACL3" s="120"/>
      <c r="ACM3" s="120"/>
      <c r="ACN3" s="120"/>
      <c r="ACO3" s="120"/>
      <c r="ACP3" s="120"/>
      <c r="ACQ3" s="120"/>
      <c r="ACR3" s="120"/>
      <c r="ACS3" s="120"/>
      <c r="ACT3" s="120"/>
      <c r="ACU3" s="120"/>
      <c r="ACV3" s="120"/>
      <c r="ACW3" s="120"/>
      <c r="ACX3" s="120"/>
      <c r="ACY3" s="120"/>
      <c r="ACZ3" s="120"/>
      <c r="ADA3" s="120"/>
      <c r="ADB3" s="120"/>
      <c r="ADC3" s="120"/>
      <c r="ADD3" s="120"/>
      <c r="ADE3" s="120"/>
      <c r="ADF3" s="120"/>
      <c r="ADG3" s="120"/>
      <c r="ADH3" s="120"/>
      <c r="ADI3" s="120"/>
      <c r="ADJ3" s="120"/>
      <c r="ADK3" s="120"/>
      <c r="ADL3" s="120"/>
      <c r="ADM3" s="120"/>
      <c r="ADN3" s="120"/>
      <c r="ADO3" s="120"/>
      <c r="ADP3" s="120"/>
      <c r="ADQ3" s="120"/>
      <c r="ADR3" s="120"/>
      <c r="ADS3" s="120"/>
      <c r="ADT3" s="120"/>
      <c r="ADU3" s="120"/>
      <c r="ADV3" s="120"/>
      <c r="ADW3" s="120"/>
      <c r="ADX3" s="120"/>
      <c r="ADY3" s="120"/>
      <c r="ADZ3" s="120"/>
      <c r="AEA3" s="120"/>
      <c r="AEB3" s="120"/>
      <c r="AEC3" s="120"/>
      <c r="AED3" s="120"/>
      <c r="AEE3" s="120"/>
      <c r="AEF3" s="120"/>
      <c r="AEG3" s="120"/>
      <c r="AEH3" s="120"/>
      <c r="AEI3" s="120"/>
      <c r="AEJ3" s="120"/>
      <c r="AEK3" s="120"/>
      <c r="AEL3" s="120"/>
      <c r="AEM3" s="120"/>
      <c r="AEN3" s="120"/>
      <c r="AEO3" s="120"/>
      <c r="AEP3" s="120"/>
      <c r="AEQ3" s="120"/>
      <c r="AER3" s="120"/>
      <c r="AES3" s="120"/>
      <c r="AET3" s="120"/>
      <c r="AEU3" s="120"/>
      <c r="AEV3" s="120"/>
      <c r="AEW3" s="120"/>
      <c r="AEX3" s="120"/>
      <c r="AEY3" s="120"/>
      <c r="AEZ3" s="120"/>
      <c r="AFA3" s="120"/>
      <c r="AFB3" s="120"/>
      <c r="AFC3" s="120"/>
      <c r="AFD3" s="120"/>
      <c r="AFE3" s="120"/>
      <c r="AFF3" s="120"/>
      <c r="AFG3" s="120"/>
      <c r="AFH3" s="120"/>
      <c r="AFI3" s="120"/>
      <c r="AFJ3" s="120"/>
      <c r="AFK3" s="120"/>
      <c r="AFL3" s="120"/>
      <c r="AFM3" s="120"/>
      <c r="AFN3" s="120"/>
      <c r="AFO3" s="120"/>
      <c r="AFP3" s="120"/>
      <c r="AFQ3" s="120"/>
      <c r="AFR3" s="120"/>
      <c r="AFS3" s="120"/>
      <c r="AFT3" s="120"/>
      <c r="AFU3" s="120"/>
      <c r="AFV3" s="120"/>
      <c r="AFW3" s="120"/>
      <c r="AFX3" s="120"/>
      <c r="AFY3" s="120"/>
      <c r="AFZ3" s="120"/>
      <c r="AGA3" s="120"/>
      <c r="AGB3" s="120"/>
      <c r="AGC3" s="120"/>
      <c r="AGD3" s="120"/>
      <c r="AGE3" s="120"/>
      <c r="AGF3" s="120"/>
      <c r="AGG3" s="120"/>
      <c r="AGH3" s="120"/>
      <c r="AGI3" s="120"/>
      <c r="AGJ3" s="120"/>
      <c r="AGK3" s="120"/>
      <c r="AGL3" s="120"/>
      <c r="AGM3" s="120"/>
      <c r="AGN3" s="120"/>
      <c r="AGO3" s="120"/>
      <c r="AGP3" s="120"/>
      <c r="AGQ3" s="120"/>
      <c r="AGR3" s="120"/>
      <c r="AGS3" s="120"/>
      <c r="AGT3" s="120"/>
      <c r="AGU3" s="120"/>
      <c r="AGV3" s="120"/>
      <c r="AGW3" s="120"/>
      <c r="AGX3" s="120"/>
      <c r="AGY3" s="120"/>
      <c r="AGZ3" s="120"/>
      <c r="AHA3" s="120"/>
      <c r="AHB3" s="120"/>
      <c r="AHC3" s="120"/>
      <c r="AHD3" s="120"/>
      <c r="AHE3" s="120"/>
      <c r="AHF3" s="120"/>
      <c r="AHG3" s="120"/>
      <c r="AHH3" s="120"/>
      <c r="AHI3" s="120"/>
      <c r="AHJ3" s="120"/>
      <c r="AHK3" s="120"/>
      <c r="AHL3" s="120"/>
      <c r="AHM3" s="120"/>
      <c r="AHN3" s="120"/>
      <c r="AHO3" s="120"/>
      <c r="AHP3" s="120"/>
      <c r="AHQ3" s="120"/>
      <c r="AHR3" s="120"/>
      <c r="AHS3" s="120"/>
      <c r="AHT3" s="120"/>
      <c r="AHU3" s="120"/>
      <c r="AHV3" s="120"/>
      <c r="AHW3" s="120"/>
      <c r="AHX3" s="120"/>
      <c r="AHY3" s="120"/>
      <c r="AHZ3" s="120"/>
      <c r="AIA3" s="120"/>
      <c r="AIB3" s="120"/>
      <c r="AIC3" s="120"/>
      <c r="AID3" s="120"/>
      <c r="AIE3" s="120"/>
      <c r="AIF3" s="120"/>
      <c r="AIG3" s="120"/>
      <c r="AIH3" s="120"/>
      <c r="AII3" s="120"/>
      <c r="AIJ3" s="120"/>
      <c r="AIK3" s="120"/>
      <c r="AIL3" s="120"/>
      <c r="AIM3" s="120"/>
      <c r="AIN3" s="120"/>
      <c r="AIO3" s="120"/>
      <c r="AIP3" s="120"/>
      <c r="AIQ3" s="120"/>
      <c r="AIR3" s="120"/>
      <c r="AIS3" s="120"/>
      <c r="AIT3" s="120"/>
      <c r="AIU3" s="120"/>
      <c r="AIV3" s="120"/>
      <c r="AIW3" s="120"/>
      <c r="AIX3" s="120"/>
      <c r="AIY3" s="120"/>
      <c r="AIZ3" s="120"/>
      <c r="AJA3" s="120"/>
      <c r="AJB3" s="120"/>
      <c r="AJC3" s="120"/>
      <c r="AJD3" s="120"/>
      <c r="AJE3" s="120"/>
      <c r="AJF3" s="120"/>
      <c r="AJG3" s="120"/>
      <c r="AJH3" s="120"/>
      <c r="AJI3" s="120"/>
      <c r="AJJ3" s="120"/>
      <c r="AJK3" s="120"/>
      <c r="AJL3" s="120"/>
      <c r="AJM3" s="120"/>
      <c r="AJN3" s="120"/>
      <c r="AJO3" s="120"/>
      <c r="AJP3" s="120"/>
      <c r="AJQ3" s="120"/>
      <c r="AJR3" s="120"/>
      <c r="AJS3" s="120"/>
      <c r="AJT3" s="120"/>
      <c r="AJU3" s="120"/>
      <c r="AJV3" s="120"/>
      <c r="AJW3" s="120"/>
      <c r="AJX3" s="120"/>
      <c r="AJY3" s="120"/>
      <c r="AJZ3" s="120"/>
      <c r="AKA3" s="120"/>
      <c r="AKB3" s="120"/>
      <c r="AKC3" s="120"/>
      <c r="AKD3" s="120"/>
      <c r="AKE3" s="120"/>
      <c r="AKF3" s="120"/>
      <c r="AKG3" s="120"/>
      <c r="AKH3" s="120"/>
      <c r="AKI3" s="120"/>
      <c r="AKJ3" s="120"/>
      <c r="AKK3" s="120"/>
      <c r="AKL3" s="120"/>
      <c r="AKM3" s="120"/>
      <c r="AKN3" s="120"/>
      <c r="AKO3" s="120"/>
      <c r="AKP3" s="120"/>
      <c r="AKQ3" s="120"/>
      <c r="AKR3" s="120"/>
      <c r="AKS3" s="120"/>
      <c r="AKT3" s="120"/>
      <c r="AKU3" s="120"/>
      <c r="AKV3" s="120"/>
      <c r="AKW3" s="120"/>
      <c r="AKX3" s="120"/>
      <c r="AKY3" s="120"/>
      <c r="AKZ3" s="120"/>
      <c r="ALA3" s="120"/>
      <c r="ALB3" s="120"/>
      <c r="ALC3" s="120"/>
      <c r="ALD3" s="120"/>
      <c r="ALE3" s="120"/>
      <c r="ALF3" s="120"/>
      <c r="ALG3" s="120"/>
      <c r="ALH3" s="120"/>
      <c r="ALI3" s="120"/>
      <c r="ALJ3" s="120"/>
      <c r="ALK3" s="120"/>
      <c r="ALL3" s="120"/>
      <c r="ALM3" s="120"/>
      <c r="ALN3" s="120"/>
      <c r="ALO3" s="120"/>
      <c r="ALP3" s="120"/>
      <c r="ALQ3" s="120"/>
      <c r="ALR3" s="120"/>
      <c r="ALS3" s="120"/>
      <c r="ALT3" s="120"/>
      <c r="ALU3" s="120"/>
      <c r="ALV3" s="120"/>
      <c r="ALW3" s="120"/>
      <c r="ALX3" s="120"/>
      <c r="ALY3" s="120"/>
      <c r="ALZ3" s="120"/>
      <c r="AMA3" s="120"/>
      <c r="AMB3" s="120"/>
      <c r="AMC3" s="120"/>
      <c r="AMD3" s="120"/>
      <c r="AME3" s="120"/>
      <c r="AMF3" s="120"/>
      <c r="AMG3" s="120"/>
      <c r="AMH3" s="120"/>
      <c r="AMI3" s="120"/>
      <c r="AMJ3" s="120"/>
      <c r="AMK3" s="120"/>
      <c r="AML3" s="120"/>
      <c r="AMM3" s="120"/>
      <c r="AMN3" s="120"/>
      <c r="AMO3" s="120"/>
      <c r="AMP3" s="120"/>
      <c r="AMQ3" s="120"/>
      <c r="AMR3" s="120"/>
      <c r="AMS3" s="120"/>
      <c r="AMT3" s="120"/>
      <c r="AMU3" s="120"/>
      <c r="AMV3" s="120"/>
      <c r="AMW3" s="120"/>
      <c r="AMX3" s="120"/>
      <c r="AMY3" s="120"/>
      <c r="AMZ3" s="120"/>
      <c r="ANA3" s="120"/>
      <c r="ANB3" s="120"/>
      <c r="ANC3" s="120"/>
      <c r="AND3" s="120"/>
      <c r="ANE3" s="120"/>
      <c r="ANF3" s="120"/>
      <c r="ANG3" s="120"/>
      <c r="ANH3" s="120"/>
      <c r="ANI3" s="120"/>
      <c r="ANJ3" s="120"/>
      <c r="ANK3" s="120"/>
      <c r="ANL3" s="120"/>
      <c r="ANM3" s="120"/>
      <c r="ANN3" s="120"/>
      <c r="ANO3" s="120"/>
      <c r="ANP3" s="120"/>
      <c r="ANQ3" s="120"/>
      <c r="ANR3" s="120"/>
      <c r="ANS3" s="120"/>
      <c r="ANT3" s="120"/>
      <c r="ANU3" s="120"/>
      <c r="ANV3" s="120"/>
      <c r="ANW3" s="120"/>
      <c r="ANX3" s="120"/>
      <c r="ANY3" s="120"/>
      <c r="ANZ3" s="120"/>
      <c r="AOA3" s="120"/>
      <c r="AOB3" s="120"/>
      <c r="AOC3" s="120"/>
      <c r="AOD3" s="120"/>
      <c r="AOE3" s="120"/>
      <c r="AOF3" s="120"/>
      <c r="AOG3" s="120"/>
      <c r="AOH3" s="120"/>
      <c r="AOI3" s="120"/>
      <c r="AOJ3" s="120"/>
      <c r="AOK3" s="120"/>
      <c r="AOL3" s="120"/>
      <c r="AOM3" s="120"/>
      <c r="AON3" s="120"/>
      <c r="AOO3" s="120"/>
      <c r="AOP3" s="120"/>
      <c r="AOQ3" s="120"/>
      <c r="AOR3" s="120"/>
      <c r="AOS3" s="120"/>
      <c r="AOT3" s="120"/>
      <c r="AOU3" s="120"/>
      <c r="AOV3" s="120"/>
      <c r="AOW3" s="120"/>
      <c r="AOX3" s="120"/>
      <c r="AOY3" s="120"/>
      <c r="AOZ3" s="120"/>
      <c r="APA3" s="120"/>
      <c r="APB3" s="120"/>
      <c r="APC3" s="120"/>
      <c r="APD3" s="120"/>
      <c r="APE3" s="120"/>
      <c r="APF3" s="120"/>
      <c r="APG3" s="120"/>
      <c r="APH3" s="120"/>
      <c r="API3" s="120"/>
      <c r="APJ3" s="120"/>
      <c r="APK3" s="120"/>
      <c r="APL3" s="120"/>
      <c r="APM3" s="120"/>
      <c r="APN3" s="120"/>
      <c r="APO3" s="120"/>
      <c r="APP3" s="120"/>
      <c r="APQ3" s="120"/>
      <c r="APR3" s="120"/>
      <c r="APS3" s="120"/>
      <c r="APT3" s="120"/>
      <c r="APU3" s="120"/>
      <c r="APV3" s="120"/>
      <c r="APW3" s="120"/>
      <c r="APX3" s="120"/>
      <c r="APY3" s="120"/>
      <c r="APZ3" s="120"/>
      <c r="AQA3" s="120"/>
      <c r="AQB3" s="120"/>
      <c r="AQC3" s="120"/>
      <c r="AQD3" s="120"/>
      <c r="AQE3" s="120"/>
      <c r="AQF3" s="120"/>
      <c r="AQG3" s="120"/>
      <c r="AQH3" s="120"/>
      <c r="AQI3" s="120"/>
      <c r="AQJ3" s="120"/>
      <c r="AQK3" s="120"/>
      <c r="AQL3" s="120"/>
      <c r="AQM3" s="120"/>
      <c r="AQN3" s="120"/>
      <c r="AQO3" s="120"/>
      <c r="AQP3" s="120"/>
      <c r="AQQ3" s="120"/>
      <c r="AQR3" s="120"/>
      <c r="AQS3" s="120"/>
      <c r="AQT3" s="120"/>
      <c r="AQU3" s="120"/>
      <c r="AQV3" s="120"/>
      <c r="AQW3" s="120"/>
      <c r="AQX3" s="120"/>
      <c r="AQY3" s="120"/>
      <c r="AQZ3" s="120"/>
      <c r="ARA3" s="120"/>
      <c r="ARB3" s="120"/>
      <c r="ARC3" s="120"/>
      <c r="ARD3" s="120"/>
      <c r="ARE3" s="120"/>
      <c r="ARF3" s="120"/>
      <c r="ARG3" s="120"/>
      <c r="ARH3" s="120"/>
      <c r="ARI3" s="120"/>
      <c r="ARJ3" s="120"/>
      <c r="ARK3" s="120"/>
      <c r="ARL3" s="120"/>
      <c r="ARM3" s="120"/>
      <c r="ARN3" s="120"/>
      <c r="ARO3" s="120"/>
      <c r="ARP3" s="120"/>
      <c r="ARQ3" s="120"/>
      <c r="ARR3" s="120"/>
      <c r="ARS3" s="120"/>
      <c r="ART3" s="120"/>
      <c r="ARU3" s="120"/>
      <c r="ARV3" s="120"/>
      <c r="ARW3" s="120"/>
      <c r="ARX3" s="120"/>
      <c r="ARY3" s="120"/>
      <c r="ARZ3" s="120"/>
      <c r="ASA3" s="120"/>
      <c r="ASB3" s="120"/>
      <c r="ASC3" s="120"/>
      <c r="ASD3" s="120"/>
      <c r="ASE3" s="120"/>
      <c r="ASF3" s="120"/>
      <c r="ASG3" s="120"/>
      <c r="ASH3" s="120"/>
      <c r="ASI3" s="120"/>
      <c r="ASJ3" s="120"/>
      <c r="ASK3" s="120"/>
      <c r="ASL3" s="120"/>
      <c r="ASM3" s="120"/>
      <c r="ASN3" s="120"/>
      <c r="ASO3" s="120"/>
      <c r="ASP3" s="120"/>
      <c r="ASQ3" s="120"/>
      <c r="ASR3" s="120"/>
      <c r="ASS3" s="120"/>
      <c r="AST3" s="120"/>
      <c r="ASU3" s="120"/>
      <c r="ASV3" s="120"/>
      <c r="ASW3" s="120"/>
      <c r="ASX3" s="120"/>
      <c r="ASY3" s="120"/>
      <c r="ASZ3" s="120"/>
      <c r="ATA3" s="120"/>
      <c r="ATB3" s="120"/>
      <c r="ATC3" s="120"/>
      <c r="ATD3" s="120"/>
      <c r="ATE3" s="120"/>
      <c r="ATF3" s="120"/>
      <c r="ATG3" s="120"/>
      <c r="ATH3" s="120"/>
      <c r="ATI3" s="120"/>
      <c r="ATJ3" s="120"/>
      <c r="ATK3" s="120"/>
      <c r="ATL3" s="120"/>
      <c r="ATM3" s="120"/>
      <c r="ATN3" s="120"/>
      <c r="ATO3" s="120"/>
      <c r="ATP3" s="120"/>
      <c r="ATQ3" s="120"/>
      <c r="ATR3" s="120"/>
      <c r="ATS3" s="120"/>
      <c r="ATT3" s="120"/>
      <c r="ATU3" s="120"/>
      <c r="ATV3" s="120"/>
      <c r="ATW3" s="120"/>
      <c r="ATX3" s="120"/>
      <c r="ATY3" s="120"/>
      <c r="ATZ3" s="120"/>
      <c r="AUA3" s="120"/>
      <c r="AUB3" s="120"/>
      <c r="AUC3" s="120"/>
      <c r="AUD3" s="120"/>
      <c r="AUE3" s="120"/>
      <c r="AUF3" s="120"/>
      <c r="AUG3" s="120"/>
      <c r="AUH3" s="120"/>
      <c r="AUI3" s="120"/>
      <c r="AUJ3" s="120"/>
      <c r="AUK3" s="120"/>
      <c r="AUL3" s="120"/>
      <c r="AUM3" s="120"/>
      <c r="AUN3" s="120"/>
      <c r="AUO3" s="120"/>
      <c r="AUP3" s="120"/>
      <c r="AUQ3" s="120"/>
      <c r="AUR3" s="120"/>
      <c r="AUS3" s="120"/>
      <c r="AUT3" s="120"/>
      <c r="AUU3" s="120"/>
      <c r="AUV3" s="120"/>
      <c r="AUW3" s="120"/>
      <c r="AUX3" s="120"/>
      <c r="AUY3" s="120"/>
      <c r="AUZ3" s="120"/>
      <c r="AVA3" s="120"/>
      <c r="AVB3" s="120"/>
      <c r="AVC3" s="120"/>
      <c r="AVD3" s="120"/>
      <c r="AVE3" s="120"/>
      <c r="AVF3" s="120"/>
      <c r="AVG3" s="120"/>
      <c r="AVH3" s="120"/>
      <c r="AVI3" s="120"/>
      <c r="AVJ3" s="120"/>
      <c r="AVK3" s="120"/>
      <c r="AVL3" s="120"/>
      <c r="AVM3" s="120"/>
      <c r="AVN3" s="120"/>
      <c r="AVO3" s="120"/>
      <c r="AVP3" s="120"/>
      <c r="AVQ3" s="120"/>
      <c r="AVR3" s="120"/>
      <c r="AVS3" s="120"/>
      <c r="AVT3" s="120"/>
      <c r="AVU3" s="120"/>
      <c r="AVV3" s="120"/>
      <c r="AVW3" s="120"/>
      <c r="AVX3" s="120"/>
      <c r="AVY3" s="120"/>
      <c r="AVZ3" s="120"/>
      <c r="AWA3" s="120"/>
      <c r="AWB3" s="120"/>
      <c r="AWC3" s="120"/>
      <c r="AWD3" s="120"/>
      <c r="AWE3" s="120"/>
      <c r="AWF3" s="120"/>
      <c r="AWG3" s="120"/>
      <c r="AWH3" s="120"/>
      <c r="AWI3" s="120"/>
      <c r="AWJ3" s="120"/>
      <c r="AWK3" s="120"/>
      <c r="AWL3" s="120"/>
      <c r="AWM3" s="120"/>
      <c r="AWN3" s="120"/>
      <c r="AWO3" s="120"/>
      <c r="AWP3" s="120"/>
      <c r="AWQ3" s="120"/>
      <c r="AWR3" s="120"/>
      <c r="AWS3" s="120"/>
      <c r="AWT3" s="120"/>
      <c r="AWU3" s="120"/>
      <c r="AWV3" s="120"/>
      <c r="AWW3" s="120"/>
      <c r="AWX3" s="120"/>
      <c r="AWY3" s="120"/>
      <c r="AWZ3" s="120"/>
      <c r="AXA3" s="120"/>
      <c r="AXB3" s="120"/>
      <c r="AXC3" s="120"/>
      <c r="AXD3" s="120"/>
      <c r="AXE3" s="120"/>
      <c r="AXF3" s="120"/>
      <c r="AXG3" s="120"/>
      <c r="AXH3" s="120"/>
      <c r="AXI3" s="120"/>
      <c r="AXJ3" s="120"/>
      <c r="AXK3" s="120"/>
      <c r="AXL3" s="120"/>
      <c r="AXM3" s="120"/>
      <c r="AXN3" s="120"/>
      <c r="AXO3" s="120"/>
      <c r="AXP3" s="120"/>
      <c r="AXQ3" s="120"/>
      <c r="AXR3" s="120"/>
      <c r="AXS3" s="120"/>
      <c r="AXT3" s="120"/>
      <c r="AXU3" s="120"/>
      <c r="AXV3" s="120"/>
      <c r="AXW3" s="120"/>
      <c r="AXX3" s="120"/>
      <c r="AXY3" s="120"/>
      <c r="AXZ3" s="120"/>
      <c r="AYA3" s="120"/>
      <c r="AYB3" s="120"/>
      <c r="AYC3" s="120"/>
      <c r="AYD3" s="120"/>
      <c r="AYE3" s="120"/>
      <c r="AYF3" s="120"/>
      <c r="AYG3" s="120"/>
      <c r="AYH3" s="120"/>
      <c r="AYI3" s="120"/>
      <c r="AYJ3" s="120"/>
      <c r="AYK3" s="120"/>
      <c r="AYL3" s="120"/>
      <c r="AYM3" s="120"/>
      <c r="AYN3" s="120"/>
      <c r="AYO3" s="120"/>
      <c r="AYP3" s="120"/>
      <c r="AYQ3" s="120"/>
      <c r="AYR3" s="120"/>
      <c r="AYS3" s="120"/>
      <c r="AYT3" s="120"/>
      <c r="AYU3" s="120"/>
      <c r="AYV3" s="120"/>
      <c r="AYW3" s="120"/>
      <c r="AYX3" s="120"/>
      <c r="AYY3" s="120"/>
      <c r="AYZ3" s="120"/>
      <c r="AZA3" s="120"/>
      <c r="AZB3" s="120"/>
      <c r="AZC3" s="120"/>
      <c r="AZD3" s="120"/>
      <c r="AZE3" s="120"/>
      <c r="AZF3" s="120"/>
      <c r="AZG3" s="120"/>
      <c r="AZH3" s="120"/>
      <c r="AZI3" s="120"/>
      <c r="AZJ3" s="120"/>
      <c r="AZK3" s="120"/>
      <c r="AZL3" s="120"/>
      <c r="AZM3" s="120"/>
      <c r="AZN3" s="120"/>
      <c r="AZO3" s="120"/>
      <c r="AZP3" s="120"/>
      <c r="AZQ3" s="120"/>
      <c r="AZR3" s="120"/>
      <c r="AZS3" s="120"/>
      <c r="AZT3" s="120"/>
      <c r="AZU3" s="120"/>
      <c r="AZV3" s="120"/>
      <c r="AZW3" s="120"/>
      <c r="AZX3" s="120"/>
      <c r="AZY3" s="120"/>
      <c r="AZZ3" s="120"/>
      <c r="BAA3" s="120"/>
      <c r="BAB3" s="120"/>
      <c r="BAC3" s="120"/>
      <c r="BAD3" s="120"/>
      <c r="BAE3" s="120"/>
      <c r="BAF3" s="120"/>
      <c r="BAG3" s="120"/>
      <c r="BAH3" s="120"/>
      <c r="BAI3" s="120"/>
      <c r="BAJ3" s="120"/>
      <c r="BAK3" s="120"/>
      <c r="BAL3" s="120"/>
      <c r="BAM3" s="120"/>
      <c r="BAN3" s="120"/>
      <c r="BAO3" s="120"/>
      <c r="BAP3" s="120"/>
      <c r="BAQ3" s="120"/>
      <c r="BAR3" s="120"/>
      <c r="BAS3" s="120"/>
      <c r="BAT3" s="120"/>
      <c r="BAU3" s="120"/>
      <c r="BAV3" s="120"/>
      <c r="BAW3" s="120"/>
      <c r="BAX3" s="120"/>
      <c r="BAY3" s="120"/>
      <c r="BAZ3" s="120"/>
      <c r="BBA3" s="120"/>
      <c r="BBB3" s="120"/>
      <c r="BBC3" s="120"/>
      <c r="BBD3" s="120"/>
      <c r="BBE3" s="120"/>
      <c r="BBF3" s="120"/>
      <c r="BBG3" s="120"/>
      <c r="BBH3" s="120"/>
      <c r="BBI3" s="120"/>
      <c r="BBJ3" s="120"/>
      <c r="BBK3" s="120"/>
      <c r="BBL3" s="120"/>
      <c r="BBM3" s="120"/>
      <c r="BBN3" s="120"/>
      <c r="BBO3" s="120"/>
      <c r="BBP3" s="120"/>
      <c r="BBQ3" s="120"/>
      <c r="BBR3" s="120"/>
      <c r="BBS3" s="120"/>
      <c r="BBT3" s="120"/>
      <c r="BBU3" s="120"/>
      <c r="BBV3" s="120"/>
      <c r="BBW3" s="120"/>
      <c r="BBX3" s="120"/>
      <c r="BBY3" s="120"/>
      <c r="BBZ3" s="120"/>
      <c r="BCA3" s="120"/>
      <c r="BCB3" s="120"/>
      <c r="BCC3" s="120"/>
      <c r="BCD3" s="120"/>
      <c r="BCE3" s="120"/>
      <c r="BCF3" s="120"/>
      <c r="BCG3" s="120"/>
      <c r="BCH3" s="120"/>
      <c r="BCI3" s="120"/>
      <c r="BCJ3" s="120"/>
      <c r="BCK3" s="120"/>
      <c r="BCL3" s="120"/>
      <c r="BCM3" s="120"/>
      <c r="BCN3" s="120"/>
      <c r="BCO3" s="120"/>
      <c r="BCP3" s="120"/>
      <c r="BCQ3" s="120"/>
      <c r="BCR3" s="120"/>
      <c r="BCS3" s="120"/>
      <c r="BCT3" s="120"/>
      <c r="BCU3" s="120"/>
      <c r="BCV3" s="120"/>
      <c r="BCW3" s="120"/>
      <c r="BCX3" s="120"/>
      <c r="BCY3" s="120"/>
      <c r="BCZ3" s="120"/>
      <c r="BDA3" s="120"/>
      <c r="BDB3" s="120"/>
      <c r="BDC3" s="120"/>
      <c r="BDD3" s="120"/>
      <c r="BDE3" s="120"/>
      <c r="BDF3" s="120"/>
      <c r="BDG3" s="120"/>
      <c r="BDH3" s="120"/>
      <c r="BDI3" s="120"/>
      <c r="BDJ3" s="120"/>
      <c r="BDK3" s="120"/>
      <c r="BDL3" s="120"/>
      <c r="BDM3" s="120"/>
      <c r="BDN3" s="120"/>
      <c r="BDO3" s="120"/>
      <c r="BDP3" s="120"/>
      <c r="BDQ3" s="120"/>
      <c r="BDR3" s="120"/>
      <c r="BDS3" s="120"/>
      <c r="BDT3" s="120"/>
      <c r="BDU3" s="120"/>
      <c r="BDV3" s="120"/>
      <c r="BDW3" s="120"/>
      <c r="BDX3" s="120"/>
      <c r="BDY3" s="120"/>
      <c r="BDZ3" s="120"/>
      <c r="BEA3" s="120"/>
      <c r="BEB3" s="120"/>
      <c r="BEC3" s="120"/>
      <c r="BED3" s="120"/>
      <c r="BEE3" s="120"/>
      <c r="BEF3" s="120"/>
      <c r="BEG3" s="120"/>
      <c r="BEH3" s="120"/>
      <c r="BEI3" s="120"/>
      <c r="BEJ3" s="120"/>
      <c r="BEK3" s="120"/>
      <c r="BEL3" s="120"/>
      <c r="BEM3" s="120"/>
      <c r="BEN3" s="120"/>
      <c r="BEO3" s="120"/>
      <c r="BEP3" s="120"/>
      <c r="BEQ3" s="120"/>
      <c r="BER3" s="120"/>
      <c r="BES3" s="120"/>
      <c r="BET3" s="120"/>
      <c r="BEU3" s="120"/>
      <c r="BEV3" s="120"/>
      <c r="BEW3" s="120"/>
      <c r="BEX3" s="120"/>
      <c r="BEY3" s="120"/>
      <c r="BEZ3" s="120"/>
      <c r="BFA3" s="120"/>
      <c r="BFB3" s="120"/>
      <c r="BFC3" s="120"/>
      <c r="BFD3" s="120"/>
      <c r="BFE3" s="120"/>
      <c r="BFF3" s="120"/>
      <c r="BFG3" s="120"/>
      <c r="BFH3" s="120"/>
      <c r="BFI3" s="120"/>
      <c r="BFJ3" s="120"/>
      <c r="BFK3" s="120"/>
      <c r="BFL3" s="120"/>
      <c r="BFM3" s="120"/>
      <c r="BFN3" s="120"/>
      <c r="BFO3" s="120"/>
      <c r="BFP3" s="120"/>
      <c r="BFQ3" s="120"/>
      <c r="BFR3" s="120"/>
      <c r="BFS3" s="120"/>
      <c r="BFT3" s="120"/>
      <c r="BFU3" s="120"/>
      <c r="BFV3" s="120"/>
      <c r="BFW3" s="120"/>
      <c r="BFX3" s="120"/>
      <c r="BFY3" s="120"/>
      <c r="BFZ3" s="120"/>
      <c r="BGA3" s="120"/>
      <c r="BGB3" s="120"/>
      <c r="BGC3" s="120"/>
      <c r="BGD3" s="120"/>
      <c r="BGE3" s="120"/>
      <c r="BGF3" s="120"/>
      <c r="BGG3" s="120"/>
      <c r="BGH3" s="120"/>
      <c r="BGI3" s="120"/>
      <c r="BGJ3" s="120"/>
      <c r="BGK3" s="120"/>
      <c r="BGL3" s="120"/>
      <c r="BGM3" s="120"/>
      <c r="BGN3" s="120"/>
      <c r="BGO3" s="120"/>
      <c r="BGP3" s="120"/>
      <c r="BGQ3" s="120"/>
      <c r="BGR3" s="120"/>
      <c r="BGS3" s="120"/>
      <c r="BGT3" s="120"/>
      <c r="BGU3" s="120"/>
      <c r="BGV3" s="120"/>
      <c r="BGW3" s="120"/>
      <c r="BGX3" s="120"/>
      <c r="BGY3" s="120"/>
      <c r="BGZ3" s="120"/>
      <c r="BHA3" s="120"/>
      <c r="BHB3" s="120"/>
      <c r="BHC3" s="120"/>
      <c r="BHD3" s="120"/>
      <c r="BHE3" s="120"/>
      <c r="BHF3" s="120"/>
      <c r="BHG3" s="120"/>
      <c r="BHH3" s="120"/>
      <c r="BHI3" s="120"/>
      <c r="BHJ3" s="120"/>
      <c r="BHK3" s="120"/>
      <c r="BHL3" s="120"/>
      <c r="BHM3" s="120"/>
      <c r="BHN3" s="120"/>
      <c r="BHO3" s="120"/>
      <c r="BHP3" s="120"/>
      <c r="BHQ3" s="120"/>
      <c r="BHR3" s="120"/>
      <c r="BHS3" s="120"/>
      <c r="BHT3" s="120"/>
      <c r="BHU3" s="120"/>
      <c r="BHV3" s="120"/>
      <c r="BHW3" s="120"/>
      <c r="BHX3" s="120"/>
      <c r="BHY3" s="120"/>
      <c r="BHZ3" s="120"/>
      <c r="BIA3" s="120"/>
      <c r="BIB3" s="120"/>
      <c r="BIC3" s="120"/>
      <c r="BID3" s="120"/>
      <c r="BIE3" s="120"/>
      <c r="BIF3" s="120"/>
      <c r="BIG3" s="120"/>
      <c r="BIH3" s="120"/>
      <c r="BII3" s="120"/>
      <c r="BIJ3" s="120"/>
      <c r="BIK3" s="120"/>
      <c r="BIL3" s="120"/>
      <c r="BIM3" s="120"/>
      <c r="BIN3" s="120"/>
      <c r="BIO3" s="120"/>
      <c r="BIP3" s="120"/>
      <c r="BIQ3" s="120"/>
      <c r="BIR3" s="120"/>
      <c r="BIS3" s="120"/>
      <c r="BIT3" s="120"/>
      <c r="BIU3" s="120"/>
      <c r="BIV3" s="120"/>
      <c r="BIW3" s="120"/>
      <c r="BIX3" s="120"/>
      <c r="BIY3" s="120"/>
      <c r="BIZ3" s="120"/>
      <c r="BJA3" s="120"/>
      <c r="BJB3" s="120"/>
      <c r="BJC3" s="120"/>
      <c r="BJD3" s="120"/>
      <c r="BJE3" s="120"/>
      <c r="BJF3" s="120"/>
      <c r="BJG3" s="120"/>
      <c r="BJH3" s="120"/>
      <c r="BJI3" s="120"/>
      <c r="BJJ3" s="120"/>
      <c r="BJK3" s="120"/>
      <c r="BJL3" s="120"/>
      <c r="BJM3" s="120"/>
      <c r="BJN3" s="120"/>
      <c r="BJO3" s="120"/>
      <c r="BJP3" s="120"/>
      <c r="BJQ3" s="120"/>
      <c r="BJR3" s="120"/>
      <c r="BJS3" s="120"/>
      <c r="BJT3" s="120"/>
      <c r="BJU3" s="120"/>
      <c r="BJV3" s="120"/>
      <c r="BJW3" s="120"/>
      <c r="BJX3" s="120"/>
      <c r="BJY3" s="120"/>
      <c r="BJZ3" s="120"/>
      <c r="BKA3" s="120"/>
      <c r="BKB3" s="120"/>
      <c r="BKC3" s="120"/>
      <c r="BKD3" s="120"/>
      <c r="BKE3" s="120"/>
      <c r="BKF3" s="120"/>
      <c r="BKG3" s="120"/>
      <c r="BKH3" s="120"/>
      <c r="BKI3" s="120"/>
      <c r="BKJ3" s="120"/>
      <c r="BKK3" s="120"/>
      <c r="BKL3" s="120"/>
      <c r="BKM3" s="120"/>
      <c r="BKN3" s="120"/>
      <c r="BKO3" s="120"/>
      <c r="BKP3" s="120"/>
      <c r="BKQ3" s="120"/>
      <c r="BKR3" s="120"/>
      <c r="BKS3" s="120"/>
      <c r="BKT3" s="120"/>
      <c r="BKU3" s="120"/>
      <c r="BKV3" s="120"/>
      <c r="BKW3" s="120"/>
      <c r="BKX3" s="120"/>
      <c r="BKY3" s="120"/>
      <c r="BKZ3" s="120"/>
      <c r="BLA3" s="120"/>
      <c r="BLB3" s="120"/>
      <c r="BLC3" s="120"/>
      <c r="BLD3" s="120"/>
      <c r="BLE3" s="120"/>
      <c r="BLF3" s="120"/>
      <c r="BLG3" s="120"/>
      <c r="BLH3" s="120"/>
      <c r="BLI3" s="120"/>
      <c r="BLJ3" s="120"/>
      <c r="BLK3" s="120"/>
      <c r="BLL3" s="120"/>
      <c r="BLM3" s="120"/>
      <c r="BLN3" s="120"/>
      <c r="BLO3" s="120"/>
      <c r="BLP3" s="120"/>
      <c r="BLQ3" s="120"/>
      <c r="BLR3" s="120"/>
      <c r="BLS3" s="120"/>
      <c r="BLT3" s="120"/>
      <c r="BLU3" s="120"/>
      <c r="BLV3" s="120"/>
      <c r="BLW3" s="120"/>
      <c r="BLX3" s="120"/>
      <c r="BLY3" s="120"/>
      <c r="BLZ3" s="120"/>
      <c r="BMA3" s="120"/>
      <c r="BMB3" s="120"/>
      <c r="BMC3" s="120"/>
      <c r="BMD3" s="120"/>
      <c r="BME3" s="120"/>
      <c r="BMF3" s="120"/>
      <c r="BMG3" s="120"/>
      <c r="BMH3" s="120"/>
      <c r="BMI3" s="120"/>
      <c r="BMJ3" s="120"/>
      <c r="BMK3" s="120"/>
      <c r="BML3" s="120"/>
      <c r="BMM3" s="120"/>
      <c r="BMN3" s="120"/>
      <c r="BMO3" s="120"/>
      <c r="BMP3" s="120"/>
      <c r="BMQ3" s="120"/>
      <c r="BMR3" s="120"/>
      <c r="BMS3" s="120"/>
      <c r="BMT3" s="120"/>
      <c r="BMU3" s="120"/>
      <c r="BMV3" s="120"/>
      <c r="BMW3" s="120"/>
      <c r="BMX3" s="120"/>
      <c r="BMY3" s="120"/>
      <c r="BMZ3" s="120"/>
      <c r="BNA3" s="120"/>
      <c r="BNB3" s="120"/>
      <c r="BNC3" s="120"/>
      <c r="BND3" s="120"/>
      <c r="BNE3" s="120"/>
      <c r="BNF3" s="120"/>
      <c r="BNG3" s="120"/>
      <c r="BNH3" s="120"/>
      <c r="BNI3" s="120"/>
      <c r="BNJ3" s="120"/>
      <c r="BNK3" s="120"/>
      <c r="BNL3" s="120"/>
      <c r="BNM3" s="120"/>
      <c r="BNN3" s="120"/>
      <c r="BNO3" s="120"/>
      <c r="BNP3" s="120"/>
      <c r="BNQ3" s="120"/>
      <c r="BNR3" s="120"/>
      <c r="BNS3" s="120"/>
      <c r="BNT3" s="120"/>
      <c r="BNU3" s="120"/>
      <c r="BNV3" s="120"/>
      <c r="BNW3" s="120"/>
      <c r="BNX3" s="120"/>
      <c r="BNY3" s="120"/>
      <c r="BNZ3" s="120"/>
      <c r="BOA3" s="120"/>
      <c r="BOB3" s="120"/>
      <c r="BOC3" s="120"/>
      <c r="BOD3" s="120"/>
      <c r="BOE3" s="120"/>
      <c r="BOF3" s="120"/>
      <c r="BOG3" s="120"/>
      <c r="BOH3" s="120"/>
      <c r="BOI3" s="120"/>
      <c r="BOJ3" s="120"/>
      <c r="BOK3" s="120"/>
      <c r="BOL3" s="120"/>
      <c r="BOM3" s="120"/>
      <c r="BON3" s="120"/>
      <c r="BOO3" s="120"/>
      <c r="BOP3" s="120"/>
      <c r="BOQ3" s="120"/>
      <c r="BOR3" s="120"/>
      <c r="BOS3" s="120"/>
      <c r="BOT3" s="120"/>
      <c r="BOU3" s="120"/>
      <c r="BOV3" s="120"/>
      <c r="BOW3" s="120"/>
      <c r="BOX3" s="120"/>
      <c r="BOY3" s="120"/>
      <c r="BOZ3" s="120"/>
      <c r="BPA3" s="120"/>
      <c r="BPB3" s="120"/>
      <c r="BPC3" s="120"/>
      <c r="BPD3" s="120"/>
      <c r="BPE3" s="120"/>
      <c r="BPF3" s="120"/>
      <c r="BPG3" s="120"/>
      <c r="BPH3" s="120"/>
      <c r="BPI3" s="120"/>
      <c r="BPJ3" s="120"/>
      <c r="BPK3" s="120"/>
      <c r="BPL3" s="120"/>
      <c r="BPM3" s="120"/>
      <c r="BPN3" s="120"/>
      <c r="BPO3" s="120"/>
      <c r="BPP3" s="120"/>
      <c r="BPQ3" s="120"/>
      <c r="BPR3" s="120"/>
      <c r="BPS3" s="120"/>
      <c r="BPT3" s="120"/>
      <c r="BPU3" s="120"/>
      <c r="BPV3" s="120"/>
      <c r="BPW3" s="120"/>
      <c r="BPX3" s="120"/>
      <c r="BPY3" s="120"/>
      <c r="BPZ3" s="120"/>
      <c r="BQA3" s="120"/>
      <c r="BQB3" s="120"/>
      <c r="BQC3" s="120"/>
      <c r="BQD3" s="120"/>
      <c r="BQE3" s="120"/>
      <c r="BQF3" s="120"/>
      <c r="BQG3" s="120"/>
      <c r="BQH3" s="120"/>
      <c r="BQI3" s="120"/>
      <c r="BQJ3" s="120"/>
      <c r="BQK3" s="120"/>
      <c r="BQL3" s="120"/>
      <c r="BQM3" s="120"/>
      <c r="BQN3" s="120"/>
      <c r="BQO3" s="120"/>
      <c r="BQP3" s="120"/>
      <c r="BQQ3" s="120"/>
      <c r="BQR3" s="120"/>
      <c r="BQS3" s="120"/>
      <c r="BQT3" s="120"/>
      <c r="BQU3" s="120"/>
      <c r="BQV3" s="120"/>
      <c r="BQW3" s="120"/>
      <c r="BQX3" s="120"/>
      <c r="BQY3" s="120"/>
      <c r="BQZ3" s="120"/>
      <c r="BRA3" s="120"/>
      <c r="BRB3" s="120"/>
      <c r="BRC3" s="120"/>
      <c r="BRD3" s="120"/>
      <c r="BRE3" s="120"/>
      <c r="BRF3" s="120"/>
      <c r="BRG3" s="120"/>
      <c r="BRH3" s="120"/>
      <c r="BRI3" s="120"/>
      <c r="BRJ3" s="120"/>
      <c r="BRK3" s="120"/>
      <c r="BRL3" s="120"/>
      <c r="BRM3" s="120"/>
      <c r="BRN3" s="120"/>
      <c r="BRO3" s="120"/>
      <c r="BRP3" s="120"/>
      <c r="BRQ3" s="120"/>
      <c r="BRR3" s="120"/>
      <c r="BRS3" s="120"/>
      <c r="BRT3" s="120"/>
      <c r="BRU3" s="120"/>
      <c r="BRV3" s="120"/>
      <c r="BRW3" s="120"/>
      <c r="BRX3" s="120"/>
      <c r="BRY3" s="120"/>
      <c r="BRZ3" s="120"/>
      <c r="BSA3" s="120"/>
      <c r="BSB3" s="120"/>
      <c r="BSC3" s="120"/>
      <c r="BSD3" s="120"/>
      <c r="BSE3" s="120"/>
      <c r="BSF3" s="120"/>
      <c r="BSG3" s="120"/>
      <c r="BSH3" s="120"/>
      <c r="BSI3" s="120"/>
      <c r="BSJ3" s="120"/>
      <c r="BSK3" s="120"/>
      <c r="BSL3" s="120"/>
      <c r="BSM3" s="120"/>
      <c r="BSN3" s="120"/>
      <c r="BSO3" s="120"/>
      <c r="BSP3" s="120"/>
      <c r="BSQ3" s="120"/>
      <c r="BSR3" s="120"/>
      <c r="BSS3" s="120"/>
      <c r="BST3" s="120"/>
      <c r="BSU3" s="120"/>
      <c r="BSV3" s="120"/>
      <c r="BSW3" s="120"/>
      <c r="BSX3" s="120"/>
      <c r="BSY3" s="120"/>
      <c r="BSZ3" s="120"/>
      <c r="BTA3" s="120"/>
      <c r="BTB3" s="120"/>
      <c r="BTC3" s="120"/>
      <c r="BTD3" s="120"/>
      <c r="BTE3" s="120"/>
      <c r="BTF3" s="120"/>
      <c r="BTG3" s="120"/>
      <c r="BTH3" s="120"/>
      <c r="BTI3" s="120"/>
      <c r="BTJ3" s="120"/>
      <c r="BTK3" s="120"/>
      <c r="BTL3" s="120"/>
      <c r="BTM3" s="120"/>
      <c r="BTN3" s="120"/>
      <c r="BTO3" s="120"/>
      <c r="BTP3" s="120"/>
      <c r="BTQ3" s="120"/>
      <c r="BTR3" s="120"/>
      <c r="BTS3" s="120"/>
      <c r="BTT3" s="120"/>
      <c r="BTU3" s="120"/>
      <c r="BTV3" s="120"/>
      <c r="BTW3" s="120"/>
      <c r="BTX3" s="120"/>
      <c r="BTY3" s="120"/>
      <c r="BTZ3" s="120"/>
      <c r="BUA3" s="120"/>
      <c r="BUB3" s="120"/>
      <c r="BUC3" s="120"/>
      <c r="BUD3" s="120"/>
      <c r="BUE3" s="120"/>
      <c r="BUF3" s="120"/>
      <c r="BUG3" s="120"/>
      <c r="BUH3" s="120"/>
      <c r="BUI3" s="120"/>
      <c r="BUJ3" s="120"/>
      <c r="BUK3" s="120"/>
      <c r="BUL3" s="120"/>
      <c r="BUM3" s="120"/>
      <c r="BUN3" s="120"/>
      <c r="BUO3" s="120"/>
      <c r="BUP3" s="120"/>
      <c r="BUQ3" s="120"/>
      <c r="BUR3" s="120"/>
      <c r="BUS3" s="120"/>
      <c r="BUT3" s="120"/>
      <c r="BUU3" s="120"/>
      <c r="BUV3" s="120"/>
      <c r="BUW3" s="120"/>
      <c r="BUX3" s="120"/>
      <c r="BUY3" s="120"/>
      <c r="BUZ3" s="120"/>
      <c r="BVA3" s="120"/>
      <c r="BVB3" s="120"/>
      <c r="BVC3" s="120"/>
      <c r="BVD3" s="120"/>
      <c r="BVE3" s="120"/>
      <c r="BVF3" s="120"/>
      <c r="BVG3" s="120"/>
      <c r="BVH3" s="120"/>
      <c r="BVI3" s="120"/>
      <c r="BVJ3" s="120"/>
      <c r="BVK3" s="120"/>
      <c r="BVL3" s="120"/>
      <c r="BVM3" s="120"/>
      <c r="BVN3" s="120"/>
      <c r="BVO3" s="120"/>
      <c r="BVP3" s="120"/>
      <c r="BVQ3" s="120"/>
      <c r="BVR3" s="120"/>
      <c r="BVS3" s="120"/>
      <c r="BVT3" s="120"/>
      <c r="BVU3" s="120"/>
      <c r="BVV3" s="120"/>
      <c r="BVW3" s="120"/>
      <c r="BVX3" s="120"/>
      <c r="BVY3" s="120"/>
      <c r="BVZ3" s="120"/>
      <c r="BWA3" s="120"/>
      <c r="BWB3" s="120"/>
      <c r="BWC3" s="120"/>
      <c r="BWD3" s="120"/>
      <c r="BWE3" s="120"/>
      <c r="BWF3" s="120"/>
      <c r="BWG3" s="120"/>
      <c r="BWH3" s="120"/>
      <c r="BWI3" s="120"/>
      <c r="BWJ3" s="120"/>
      <c r="BWK3" s="120"/>
      <c r="BWL3" s="120"/>
      <c r="BWM3" s="120"/>
      <c r="BWN3" s="120"/>
      <c r="BWO3" s="120"/>
      <c r="BWP3" s="120"/>
      <c r="BWQ3" s="120"/>
      <c r="BWR3" s="120"/>
      <c r="BWS3" s="120"/>
      <c r="BWT3" s="120"/>
      <c r="BWU3" s="120"/>
      <c r="BWV3" s="120"/>
      <c r="BWW3" s="120"/>
      <c r="BWX3" s="120"/>
      <c r="BWY3" s="120"/>
      <c r="BWZ3" s="120"/>
      <c r="BXA3" s="120"/>
      <c r="BXB3" s="120"/>
      <c r="BXC3" s="120"/>
      <c r="BXD3" s="120"/>
      <c r="BXE3" s="120"/>
      <c r="BXF3" s="120"/>
      <c r="BXG3" s="120"/>
      <c r="BXH3" s="120"/>
      <c r="BXI3" s="120"/>
      <c r="BXJ3" s="120"/>
      <c r="BXK3" s="120"/>
      <c r="BXL3" s="120"/>
      <c r="BXM3" s="120"/>
      <c r="BXN3" s="120"/>
      <c r="BXO3" s="120"/>
      <c r="BXP3" s="120"/>
      <c r="BXQ3" s="120"/>
      <c r="BXR3" s="120"/>
      <c r="BXS3" s="120"/>
      <c r="BXT3" s="120"/>
      <c r="BXU3" s="120"/>
      <c r="BXV3" s="120"/>
      <c r="BXW3" s="120"/>
      <c r="BXX3" s="120"/>
      <c r="BXY3" s="120"/>
      <c r="BXZ3" s="120"/>
      <c r="BYA3" s="120"/>
      <c r="BYB3" s="120"/>
      <c r="BYC3" s="120"/>
      <c r="BYD3" s="120"/>
      <c r="BYE3" s="120"/>
      <c r="BYF3" s="120"/>
      <c r="BYG3" s="120"/>
      <c r="BYH3" s="120"/>
      <c r="BYI3" s="120"/>
      <c r="BYJ3" s="120"/>
      <c r="BYK3" s="120"/>
      <c r="BYL3" s="120"/>
      <c r="BYM3" s="120"/>
      <c r="BYN3" s="120"/>
      <c r="BYO3" s="120"/>
      <c r="BYP3" s="120"/>
      <c r="BYQ3" s="120"/>
      <c r="BYR3" s="120"/>
      <c r="BYS3" s="120"/>
      <c r="BYT3" s="120"/>
      <c r="BYU3" s="120"/>
      <c r="BYV3" s="120"/>
      <c r="BYW3" s="120"/>
      <c r="BYX3" s="120"/>
      <c r="BYY3" s="120"/>
      <c r="BYZ3" s="120"/>
      <c r="BZA3" s="120"/>
      <c r="BZB3" s="120"/>
      <c r="BZC3" s="120"/>
      <c r="BZD3" s="120"/>
      <c r="BZE3" s="120"/>
      <c r="BZF3" s="120"/>
      <c r="BZG3" s="120"/>
      <c r="BZH3" s="120"/>
      <c r="BZI3" s="120"/>
      <c r="BZJ3" s="120"/>
      <c r="BZK3" s="120"/>
      <c r="BZL3" s="120"/>
      <c r="BZM3" s="120"/>
      <c r="BZN3" s="120"/>
      <c r="BZO3" s="120"/>
      <c r="BZP3" s="120"/>
      <c r="BZQ3" s="120"/>
      <c r="BZR3" s="120"/>
      <c r="BZS3" s="120"/>
      <c r="BZT3" s="120"/>
      <c r="BZU3" s="120"/>
      <c r="BZV3" s="120"/>
      <c r="BZW3" s="120"/>
      <c r="BZX3" s="120"/>
      <c r="BZY3" s="120"/>
      <c r="BZZ3" s="120"/>
      <c r="CAA3" s="120"/>
      <c r="CAB3" s="120"/>
      <c r="CAC3" s="120"/>
      <c r="CAD3" s="120"/>
      <c r="CAE3" s="120"/>
      <c r="CAF3" s="120"/>
      <c r="CAG3" s="120"/>
      <c r="CAH3" s="120"/>
      <c r="CAI3" s="120"/>
      <c r="CAJ3" s="120"/>
      <c r="CAK3" s="120"/>
      <c r="CAL3" s="120"/>
      <c r="CAM3" s="120"/>
      <c r="CAN3" s="120"/>
      <c r="CAO3" s="120"/>
      <c r="CAP3" s="120"/>
      <c r="CAQ3" s="120"/>
      <c r="CAR3" s="120"/>
      <c r="CAS3" s="120"/>
      <c r="CAT3" s="120"/>
      <c r="CAU3" s="120"/>
      <c r="CAV3" s="120"/>
      <c r="CAW3" s="120"/>
      <c r="CAX3" s="120"/>
      <c r="CAY3" s="120"/>
      <c r="CAZ3" s="120"/>
      <c r="CBA3" s="120"/>
      <c r="CBB3" s="120"/>
      <c r="CBC3" s="120"/>
      <c r="CBD3" s="120"/>
      <c r="CBE3" s="120"/>
      <c r="CBF3" s="120"/>
      <c r="CBG3" s="120"/>
      <c r="CBH3" s="120"/>
      <c r="CBI3" s="120"/>
      <c r="CBJ3" s="120"/>
      <c r="CBK3" s="120"/>
      <c r="CBL3" s="120"/>
      <c r="CBM3" s="120"/>
      <c r="CBN3" s="120"/>
      <c r="CBO3" s="120"/>
      <c r="CBP3" s="120"/>
      <c r="CBQ3" s="120"/>
      <c r="CBR3" s="120"/>
      <c r="CBS3" s="120"/>
      <c r="CBT3" s="120"/>
      <c r="CBU3" s="120"/>
      <c r="CBV3" s="120"/>
      <c r="CBW3" s="120"/>
      <c r="CBX3" s="120"/>
      <c r="CBY3" s="120"/>
      <c r="CBZ3" s="120"/>
      <c r="CCA3" s="120"/>
      <c r="CCB3" s="120"/>
      <c r="CCC3" s="120"/>
      <c r="CCD3" s="120"/>
      <c r="CCE3" s="120"/>
      <c r="CCF3" s="120"/>
      <c r="CCG3" s="120"/>
      <c r="CCH3" s="120"/>
      <c r="CCI3" s="120"/>
      <c r="CCJ3" s="120"/>
      <c r="CCK3" s="120"/>
      <c r="CCL3" s="120"/>
      <c r="CCM3" s="120"/>
      <c r="CCN3" s="120"/>
      <c r="CCO3" s="120"/>
      <c r="CCP3" s="120"/>
      <c r="CCQ3" s="120"/>
      <c r="CCR3" s="120"/>
      <c r="CCS3" s="120"/>
      <c r="CCT3" s="120"/>
      <c r="CCU3" s="120"/>
      <c r="CCV3" s="120"/>
      <c r="CCW3" s="120"/>
      <c r="CCX3" s="120"/>
      <c r="CCY3" s="120"/>
      <c r="CCZ3" s="120"/>
      <c r="CDA3" s="120"/>
      <c r="CDB3" s="120"/>
      <c r="CDC3" s="120"/>
      <c r="CDD3" s="120"/>
      <c r="CDE3" s="120"/>
      <c r="CDF3" s="120"/>
      <c r="CDG3" s="120"/>
      <c r="CDH3" s="120"/>
      <c r="CDI3" s="120"/>
      <c r="CDJ3" s="120"/>
      <c r="CDK3" s="120"/>
      <c r="CDL3" s="120"/>
      <c r="CDM3" s="120"/>
      <c r="CDN3" s="120"/>
      <c r="CDO3" s="120"/>
      <c r="CDP3" s="120"/>
      <c r="CDQ3" s="120"/>
      <c r="CDR3" s="120"/>
      <c r="CDS3" s="120"/>
      <c r="CDT3" s="120"/>
      <c r="CDU3" s="120"/>
      <c r="CDV3" s="120"/>
      <c r="CDW3" s="120"/>
      <c r="CDX3" s="120"/>
      <c r="CDY3" s="120"/>
      <c r="CDZ3" s="120"/>
      <c r="CEA3" s="120"/>
      <c r="CEB3" s="120"/>
      <c r="CEC3" s="120"/>
      <c r="CED3" s="120"/>
      <c r="CEE3" s="120"/>
      <c r="CEF3" s="120"/>
      <c r="CEG3" s="120"/>
      <c r="CEH3" s="120"/>
      <c r="CEI3" s="120"/>
      <c r="CEJ3" s="120"/>
      <c r="CEK3" s="120"/>
      <c r="CEL3" s="120"/>
      <c r="CEM3" s="120"/>
      <c r="CEN3" s="120"/>
      <c r="CEO3" s="120"/>
      <c r="CEP3" s="120"/>
      <c r="CEQ3" s="120"/>
      <c r="CER3" s="120"/>
      <c r="CES3" s="120"/>
      <c r="CET3" s="120"/>
      <c r="CEU3" s="120"/>
      <c r="CEV3" s="120"/>
      <c r="CEW3" s="120"/>
      <c r="CEX3" s="120"/>
      <c r="CEY3" s="120"/>
      <c r="CEZ3" s="120"/>
      <c r="CFA3" s="120"/>
      <c r="CFB3" s="120"/>
      <c r="CFC3" s="120"/>
      <c r="CFD3" s="120"/>
      <c r="CFE3" s="120"/>
      <c r="CFF3" s="120"/>
      <c r="CFG3" s="120"/>
      <c r="CFH3" s="120"/>
      <c r="CFI3" s="120"/>
      <c r="CFJ3" s="120"/>
      <c r="CFK3" s="120"/>
      <c r="CFL3" s="120"/>
      <c r="CFM3" s="120"/>
      <c r="CFN3" s="120"/>
      <c r="CFO3" s="120"/>
      <c r="CFP3" s="120"/>
      <c r="CFQ3" s="120"/>
      <c r="CFR3" s="120"/>
      <c r="CFS3" s="120"/>
      <c r="CFT3" s="120"/>
      <c r="CFU3" s="120"/>
      <c r="CFV3" s="120"/>
      <c r="CFW3" s="120"/>
      <c r="CFX3" s="120"/>
      <c r="CFY3" s="120"/>
      <c r="CFZ3" s="120"/>
      <c r="CGA3" s="120"/>
      <c r="CGB3" s="120"/>
      <c r="CGC3" s="120"/>
      <c r="CGD3" s="120"/>
      <c r="CGE3" s="120"/>
      <c r="CGF3" s="120"/>
      <c r="CGG3" s="120"/>
      <c r="CGH3" s="120"/>
      <c r="CGI3" s="120"/>
      <c r="CGJ3" s="120"/>
      <c r="CGK3" s="120"/>
      <c r="CGL3" s="120"/>
      <c r="CGM3" s="120"/>
      <c r="CGN3" s="120"/>
      <c r="CGO3" s="120"/>
      <c r="CGP3" s="120"/>
      <c r="CGQ3" s="120"/>
      <c r="CGR3" s="120"/>
      <c r="CGS3" s="120"/>
      <c r="CGT3" s="120"/>
      <c r="CGU3" s="120"/>
      <c r="CGV3" s="120"/>
      <c r="CGW3" s="120"/>
      <c r="CGX3" s="120"/>
      <c r="CGY3" s="120"/>
      <c r="CGZ3" s="120"/>
      <c r="CHA3" s="120"/>
      <c r="CHB3" s="120"/>
      <c r="CHC3" s="120"/>
      <c r="CHD3" s="120"/>
      <c r="CHE3" s="120"/>
      <c r="CHF3" s="120"/>
      <c r="CHG3" s="120"/>
      <c r="CHH3" s="120"/>
      <c r="CHI3" s="120"/>
      <c r="CHJ3" s="120"/>
      <c r="CHK3" s="120"/>
      <c r="CHL3" s="120"/>
      <c r="CHM3" s="120"/>
      <c r="CHN3" s="120"/>
      <c r="CHO3" s="120"/>
      <c r="CHP3" s="120"/>
      <c r="CHQ3" s="120"/>
      <c r="CHR3" s="120"/>
      <c r="CHS3" s="120"/>
      <c r="CHT3" s="120"/>
      <c r="CHU3" s="120"/>
      <c r="CHV3" s="120"/>
      <c r="CHW3" s="120"/>
      <c r="CHX3" s="120"/>
      <c r="CHY3" s="120"/>
      <c r="CHZ3" s="120"/>
      <c r="CIA3" s="120"/>
      <c r="CIB3" s="120"/>
      <c r="CIC3" s="120"/>
      <c r="CID3" s="120"/>
      <c r="CIE3" s="120"/>
      <c r="CIF3" s="120"/>
      <c r="CIG3" s="120"/>
      <c r="CIH3" s="120"/>
      <c r="CII3" s="120"/>
      <c r="CIJ3" s="120"/>
      <c r="CIK3" s="120"/>
      <c r="CIL3" s="120"/>
      <c r="CIM3" s="120"/>
      <c r="CIN3" s="120"/>
      <c r="CIO3" s="120"/>
      <c r="CIP3" s="120"/>
      <c r="CIQ3" s="120"/>
      <c r="CIR3" s="120"/>
      <c r="CIS3" s="120"/>
      <c r="CIT3" s="120"/>
      <c r="CIU3" s="120"/>
      <c r="CIV3" s="120"/>
      <c r="CIW3" s="120"/>
      <c r="CIX3" s="120"/>
      <c r="CIY3" s="120"/>
      <c r="CIZ3" s="120"/>
      <c r="CJA3" s="120"/>
      <c r="CJB3" s="120"/>
      <c r="CJC3" s="120"/>
      <c r="CJD3" s="120"/>
      <c r="CJE3" s="120"/>
      <c r="CJF3" s="120"/>
      <c r="CJG3" s="120"/>
      <c r="CJH3" s="120"/>
      <c r="CJI3" s="120"/>
      <c r="CJJ3" s="120"/>
      <c r="CJK3" s="120"/>
      <c r="CJL3" s="120"/>
      <c r="CJM3" s="120"/>
      <c r="CJN3" s="120"/>
      <c r="CJO3" s="120"/>
      <c r="CJP3" s="120"/>
      <c r="CJQ3" s="120"/>
      <c r="CJR3" s="120"/>
      <c r="CJS3" s="120"/>
      <c r="CJT3" s="120"/>
      <c r="CJU3" s="120"/>
      <c r="CJV3" s="120"/>
      <c r="CJW3" s="120"/>
      <c r="CJX3" s="120"/>
      <c r="CJY3" s="120"/>
      <c r="CJZ3" s="120"/>
      <c r="CKA3" s="120"/>
      <c r="CKB3" s="120"/>
      <c r="CKC3" s="120"/>
      <c r="CKD3" s="120"/>
      <c r="CKE3" s="120"/>
      <c r="CKF3" s="120"/>
      <c r="CKG3" s="120"/>
      <c r="CKH3" s="120"/>
      <c r="CKI3" s="120"/>
      <c r="CKJ3" s="120"/>
      <c r="CKK3" s="120"/>
      <c r="CKL3" s="120"/>
      <c r="CKM3" s="120"/>
      <c r="CKN3" s="120"/>
      <c r="CKO3" s="120"/>
      <c r="CKP3" s="120"/>
      <c r="CKQ3" s="120"/>
      <c r="CKR3" s="120"/>
      <c r="CKS3" s="120"/>
      <c r="CKT3" s="120"/>
      <c r="CKU3" s="120"/>
      <c r="CKV3" s="120"/>
      <c r="CKW3" s="120"/>
      <c r="CKX3" s="120"/>
      <c r="CKY3" s="120"/>
      <c r="CKZ3" s="120"/>
      <c r="CLA3" s="120"/>
      <c r="CLB3" s="120"/>
      <c r="CLC3" s="120"/>
      <c r="CLD3" s="120"/>
      <c r="CLE3" s="120"/>
      <c r="CLF3" s="120"/>
      <c r="CLG3" s="120"/>
      <c r="CLH3" s="120"/>
      <c r="CLI3" s="120"/>
      <c r="CLJ3" s="120"/>
      <c r="CLK3" s="120"/>
      <c r="CLL3" s="120"/>
      <c r="CLM3" s="120"/>
      <c r="CLN3" s="120"/>
      <c r="CLO3" s="120"/>
      <c r="CLP3" s="120"/>
      <c r="CLQ3" s="120"/>
      <c r="CLR3" s="120"/>
      <c r="CLS3" s="120"/>
      <c r="CLT3" s="120"/>
      <c r="CLU3" s="120"/>
      <c r="CLV3" s="120"/>
      <c r="CLW3" s="120"/>
      <c r="CLX3" s="120"/>
      <c r="CLY3" s="120"/>
      <c r="CLZ3" s="120"/>
      <c r="CMA3" s="120"/>
      <c r="CMB3" s="120"/>
      <c r="CMC3" s="120"/>
      <c r="CMD3" s="120"/>
      <c r="CME3" s="120"/>
      <c r="CMF3" s="120"/>
      <c r="CMG3" s="120"/>
      <c r="CMH3" s="120"/>
      <c r="CMI3" s="120"/>
      <c r="CMJ3" s="120"/>
      <c r="CMK3" s="120"/>
      <c r="CML3" s="120"/>
      <c r="CMM3" s="120"/>
      <c r="CMN3" s="120"/>
      <c r="CMO3" s="120"/>
      <c r="CMP3" s="120"/>
      <c r="CMQ3" s="120"/>
      <c r="CMR3" s="120"/>
      <c r="CMS3" s="120"/>
      <c r="CMT3" s="120"/>
      <c r="CMU3" s="120"/>
      <c r="CMV3" s="120"/>
      <c r="CMW3" s="120"/>
      <c r="CMX3" s="120"/>
      <c r="CMY3" s="120"/>
      <c r="CMZ3" s="120"/>
      <c r="CNA3" s="120"/>
      <c r="CNB3" s="120"/>
      <c r="CNC3" s="120"/>
      <c r="CND3" s="120"/>
      <c r="CNE3" s="120"/>
      <c r="CNF3" s="120"/>
      <c r="CNG3" s="120"/>
      <c r="CNH3" s="120"/>
      <c r="CNI3" s="120"/>
      <c r="CNJ3" s="120"/>
      <c r="CNK3" s="120"/>
      <c r="CNL3" s="120"/>
      <c r="CNM3" s="120"/>
      <c r="CNN3" s="120"/>
      <c r="CNO3" s="120"/>
      <c r="CNP3" s="120"/>
      <c r="CNQ3" s="120"/>
      <c r="CNR3" s="120"/>
      <c r="CNS3" s="120"/>
      <c r="CNT3" s="120"/>
      <c r="CNU3" s="120"/>
      <c r="CNV3" s="120"/>
      <c r="CNW3" s="120"/>
      <c r="CNX3" s="120"/>
      <c r="CNY3" s="120"/>
      <c r="CNZ3" s="120"/>
      <c r="COA3" s="120"/>
      <c r="COB3" s="120"/>
      <c r="COC3" s="120"/>
      <c r="COD3" s="120"/>
      <c r="COE3" s="120"/>
      <c r="COF3" s="120"/>
      <c r="COG3" s="120"/>
      <c r="COH3" s="120"/>
      <c r="COI3" s="120"/>
      <c r="COJ3" s="120"/>
      <c r="COK3" s="120"/>
      <c r="COL3" s="120"/>
      <c r="COM3" s="120"/>
      <c r="CON3" s="120"/>
      <c r="COO3" s="120"/>
      <c r="COP3" s="120"/>
      <c r="COQ3" s="120"/>
      <c r="COR3" s="120"/>
      <c r="COS3" s="120"/>
      <c r="COT3" s="120"/>
      <c r="COU3" s="120"/>
      <c r="COV3" s="120"/>
      <c r="COW3" s="120"/>
      <c r="COX3" s="120"/>
      <c r="COY3" s="120"/>
      <c r="COZ3" s="120"/>
      <c r="CPA3" s="120"/>
      <c r="CPB3" s="120"/>
      <c r="CPC3" s="120"/>
      <c r="CPD3" s="120"/>
      <c r="CPE3" s="120"/>
      <c r="CPF3" s="120"/>
      <c r="CPG3" s="120"/>
      <c r="CPH3" s="120"/>
      <c r="CPI3" s="120"/>
      <c r="CPJ3" s="120"/>
      <c r="CPK3" s="120"/>
      <c r="CPL3" s="120"/>
      <c r="CPM3" s="120"/>
      <c r="CPN3" s="120"/>
      <c r="CPO3" s="120"/>
      <c r="CPP3" s="120"/>
      <c r="CPQ3" s="120"/>
      <c r="CPR3" s="120"/>
      <c r="CPS3" s="120"/>
      <c r="CPT3" s="120"/>
      <c r="CPU3" s="120"/>
      <c r="CPV3" s="120"/>
      <c r="CPW3" s="120"/>
      <c r="CPX3" s="120"/>
      <c r="CPY3" s="120"/>
      <c r="CPZ3" s="120"/>
      <c r="CQA3" s="120"/>
      <c r="CQB3" s="120"/>
      <c r="CQC3" s="120"/>
      <c r="CQD3" s="120"/>
      <c r="CQE3" s="120"/>
      <c r="CQF3" s="120"/>
      <c r="CQG3" s="120"/>
      <c r="CQH3" s="120"/>
      <c r="CQI3" s="120"/>
      <c r="CQJ3" s="120"/>
      <c r="CQK3" s="120"/>
      <c r="CQL3" s="120"/>
      <c r="CQM3" s="120"/>
      <c r="CQN3" s="120"/>
      <c r="CQO3" s="120"/>
      <c r="CQP3" s="120"/>
      <c r="CQQ3" s="120"/>
      <c r="CQR3" s="120"/>
      <c r="CQS3" s="120"/>
      <c r="CQT3" s="120"/>
      <c r="CQU3" s="120"/>
      <c r="CQV3" s="120"/>
      <c r="CQW3" s="120"/>
      <c r="CQX3" s="120"/>
      <c r="CQY3" s="120"/>
      <c r="CQZ3" s="120"/>
      <c r="CRA3" s="120"/>
      <c r="CRB3" s="120"/>
      <c r="CRC3" s="120"/>
      <c r="CRD3" s="120"/>
      <c r="CRE3" s="120"/>
      <c r="CRF3" s="120"/>
      <c r="CRG3" s="120"/>
      <c r="CRH3" s="120"/>
      <c r="CRI3" s="120"/>
      <c r="CRJ3" s="120"/>
      <c r="CRK3" s="120"/>
      <c r="CRL3" s="120"/>
      <c r="CRM3" s="120"/>
      <c r="CRN3" s="120"/>
      <c r="CRO3" s="120"/>
      <c r="CRP3" s="120"/>
      <c r="CRQ3" s="120"/>
      <c r="CRR3" s="120"/>
      <c r="CRS3" s="120"/>
      <c r="CRT3" s="120"/>
      <c r="CRU3" s="120"/>
      <c r="CRV3" s="120"/>
      <c r="CRW3" s="120"/>
      <c r="CRX3" s="120"/>
      <c r="CRY3" s="120"/>
      <c r="CRZ3" s="120"/>
      <c r="CSA3" s="120"/>
      <c r="CSB3" s="120"/>
      <c r="CSC3" s="120"/>
      <c r="CSD3" s="120"/>
      <c r="CSE3" s="120"/>
      <c r="CSF3" s="120"/>
      <c r="CSG3" s="120"/>
      <c r="CSH3" s="120"/>
      <c r="CSI3" s="120"/>
      <c r="CSJ3" s="120"/>
      <c r="CSK3" s="120"/>
      <c r="CSL3" s="120"/>
      <c r="CSM3" s="120"/>
      <c r="CSN3" s="120"/>
      <c r="CSO3" s="120"/>
      <c r="CSP3" s="120"/>
      <c r="CSQ3" s="120"/>
      <c r="CSR3" s="120"/>
      <c r="CSS3" s="120"/>
      <c r="CST3" s="120"/>
      <c r="CSU3" s="120"/>
      <c r="CSV3" s="120"/>
      <c r="CSW3" s="120"/>
      <c r="CSX3" s="120"/>
      <c r="CSY3" s="120"/>
      <c r="CSZ3" s="120"/>
      <c r="CTA3" s="120"/>
      <c r="CTB3" s="120"/>
      <c r="CTC3" s="120"/>
      <c r="CTD3" s="120"/>
      <c r="CTE3" s="120"/>
      <c r="CTF3" s="120"/>
      <c r="CTG3" s="120"/>
      <c r="CTH3" s="120"/>
      <c r="CTI3" s="120"/>
      <c r="CTJ3" s="120"/>
      <c r="CTK3" s="120"/>
      <c r="CTL3" s="120"/>
      <c r="CTM3" s="120"/>
      <c r="CTN3" s="120"/>
      <c r="CTO3" s="120"/>
      <c r="CTP3" s="120"/>
      <c r="CTQ3" s="120"/>
      <c r="CTR3" s="120"/>
      <c r="CTS3" s="120"/>
      <c r="CTT3" s="120"/>
      <c r="CTU3" s="120"/>
      <c r="CTV3" s="120"/>
      <c r="CTW3" s="120"/>
      <c r="CTX3" s="120"/>
      <c r="CTY3" s="120"/>
      <c r="CTZ3" s="120"/>
      <c r="CUA3" s="120"/>
      <c r="CUB3" s="120"/>
      <c r="CUC3" s="120"/>
      <c r="CUD3" s="120"/>
      <c r="CUE3" s="120"/>
      <c r="CUF3" s="120"/>
      <c r="CUG3" s="120"/>
      <c r="CUH3" s="120"/>
      <c r="CUI3" s="120"/>
      <c r="CUJ3" s="120"/>
      <c r="CUK3" s="120"/>
      <c r="CUL3" s="120"/>
      <c r="CUM3" s="120"/>
      <c r="CUN3" s="120"/>
      <c r="CUO3" s="120"/>
      <c r="CUP3" s="120"/>
      <c r="CUQ3" s="120"/>
      <c r="CUR3" s="120"/>
      <c r="CUS3" s="120"/>
      <c r="CUT3" s="120"/>
      <c r="CUU3" s="120"/>
      <c r="CUV3" s="120"/>
      <c r="CUW3" s="120"/>
      <c r="CUX3" s="120"/>
      <c r="CUY3" s="120"/>
      <c r="CUZ3" s="120"/>
      <c r="CVA3" s="120"/>
      <c r="CVB3" s="120"/>
      <c r="CVC3" s="120"/>
      <c r="CVD3" s="120"/>
      <c r="CVE3" s="120"/>
      <c r="CVF3" s="120"/>
      <c r="CVG3" s="120"/>
      <c r="CVH3" s="120"/>
      <c r="CVI3" s="120"/>
      <c r="CVJ3" s="120"/>
      <c r="CVK3" s="120"/>
      <c r="CVL3" s="120"/>
      <c r="CVM3" s="120"/>
      <c r="CVN3" s="120"/>
      <c r="CVO3" s="120"/>
      <c r="CVP3" s="120"/>
      <c r="CVQ3" s="120"/>
      <c r="CVR3" s="120"/>
      <c r="CVS3" s="120"/>
      <c r="CVT3" s="120"/>
      <c r="CVU3" s="120"/>
      <c r="CVV3" s="120"/>
      <c r="CVW3" s="120"/>
      <c r="CVX3" s="120"/>
      <c r="CVY3" s="120"/>
      <c r="CVZ3" s="120"/>
      <c r="CWA3" s="120"/>
      <c r="CWB3" s="120"/>
      <c r="CWC3" s="120"/>
      <c r="CWD3" s="120"/>
      <c r="CWE3" s="120"/>
      <c r="CWF3" s="120"/>
      <c r="CWG3" s="120"/>
      <c r="CWH3" s="120"/>
      <c r="CWI3" s="120"/>
      <c r="CWJ3" s="120"/>
      <c r="CWK3" s="120"/>
      <c r="CWL3" s="120"/>
      <c r="CWM3" s="120"/>
      <c r="CWN3" s="120"/>
      <c r="CWO3" s="120"/>
      <c r="CWP3" s="120"/>
      <c r="CWQ3" s="120"/>
      <c r="CWR3" s="120"/>
      <c r="CWS3" s="120"/>
      <c r="CWT3" s="120"/>
      <c r="CWU3" s="120"/>
      <c r="CWV3" s="120"/>
      <c r="CWW3" s="120"/>
      <c r="CWX3" s="120"/>
      <c r="CWY3" s="120"/>
      <c r="CWZ3" s="120"/>
      <c r="CXA3" s="120"/>
      <c r="CXB3" s="120"/>
      <c r="CXC3" s="120"/>
      <c r="CXD3" s="120"/>
      <c r="CXE3" s="120"/>
      <c r="CXF3" s="120"/>
      <c r="CXG3" s="120"/>
      <c r="CXH3" s="120"/>
      <c r="CXI3" s="120"/>
      <c r="CXJ3" s="120"/>
      <c r="CXK3" s="120"/>
      <c r="CXL3" s="120"/>
      <c r="CXM3" s="120"/>
      <c r="CXN3" s="120"/>
      <c r="CXO3" s="120"/>
      <c r="CXP3" s="120"/>
      <c r="CXQ3" s="120"/>
      <c r="CXR3" s="120"/>
      <c r="CXS3" s="120"/>
      <c r="CXT3" s="120"/>
      <c r="CXU3" s="120"/>
      <c r="CXV3" s="120"/>
      <c r="CXW3" s="120"/>
      <c r="CXX3" s="120"/>
      <c r="CXY3" s="120"/>
      <c r="CXZ3" s="120"/>
      <c r="CYA3" s="120"/>
      <c r="CYB3" s="120"/>
      <c r="CYC3" s="120"/>
      <c r="CYD3" s="120"/>
      <c r="CYE3" s="120"/>
      <c r="CYF3" s="120"/>
      <c r="CYG3" s="120"/>
      <c r="CYH3" s="120"/>
      <c r="CYI3" s="120"/>
      <c r="CYJ3" s="120"/>
      <c r="CYK3" s="120"/>
      <c r="CYL3" s="120"/>
      <c r="CYM3" s="120"/>
      <c r="CYN3" s="120"/>
      <c r="CYO3" s="120"/>
      <c r="CYP3" s="120"/>
      <c r="CYQ3" s="120"/>
      <c r="CYR3" s="120"/>
      <c r="CYS3" s="120"/>
      <c r="CYT3" s="120"/>
      <c r="CYU3" s="120"/>
      <c r="CYV3" s="120"/>
      <c r="CYW3" s="120"/>
      <c r="CYX3" s="120"/>
      <c r="CYY3" s="120"/>
      <c r="CYZ3" s="120"/>
      <c r="CZA3" s="120"/>
      <c r="CZB3" s="120"/>
      <c r="CZC3" s="120"/>
      <c r="CZD3" s="120"/>
      <c r="CZE3" s="120"/>
      <c r="CZF3" s="120"/>
      <c r="CZG3" s="120"/>
      <c r="CZH3" s="120"/>
      <c r="CZI3" s="120"/>
      <c r="CZJ3" s="120"/>
      <c r="CZK3" s="120"/>
      <c r="CZL3" s="120"/>
      <c r="CZM3" s="120"/>
      <c r="CZN3" s="120"/>
      <c r="CZO3" s="120"/>
      <c r="CZP3" s="120"/>
      <c r="CZQ3" s="120"/>
      <c r="CZR3" s="120"/>
      <c r="CZS3" s="120"/>
      <c r="CZT3" s="120"/>
      <c r="CZU3" s="120"/>
      <c r="CZV3" s="120"/>
      <c r="CZW3" s="120"/>
      <c r="CZX3" s="120"/>
      <c r="CZY3" s="120"/>
      <c r="CZZ3" s="120"/>
      <c r="DAA3" s="120"/>
      <c r="DAB3" s="120"/>
      <c r="DAC3" s="120"/>
      <c r="DAD3" s="120"/>
      <c r="DAE3" s="120"/>
      <c r="DAF3" s="120"/>
      <c r="DAG3" s="120"/>
      <c r="DAH3" s="120"/>
      <c r="DAI3" s="120"/>
      <c r="DAJ3" s="120"/>
      <c r="DAK3" s="120"/>
      <c r="DAL3" s="120"/>
      <c r="DAM3" s="120"/>
      <c r="DAN3" s="120"/>
      <c r="DAO3" s="120"/>
      <c r="DAP3" s="120"/>
      <c r="DAQ3" s="120"/>
      <c r="DAR3" s="120"/>
      <c r="DAS3" s="120"/>
      <c r="DAT3" s="120"/>
      <c r="DAU3" s="120"/>
      <c r="DAV3" s="120"/>
      <c r="DAW3" s="120"/>
      <c r="DAX3" s="120"/>
      <c r="DAY3" s="120"/>
      <c r="DAZ3" s="120"/>
      <c r="DBA3" s="120"/>
      <c r="DBB3" s="120"/>
      <c r="DBC3" s="120"/>
      <c r="DBD3" s="120"/>
      <c r="DBE3" s="120"/>
      <c r="DBF3" s="120"/>
      <c r="DBG3" s="120"/>
      <c r="DBH3" s="120"/>
      <c r="DBI3" s="120"/>
      <c r="DBJ3" s="120"/>
      <c r="DBK3" s="120"/>
      <c r="DBL3" s="120"/>
      <c r="DBM3" s="120"/>
      <c r="DBN3" s="120"/>
      <c r="DBO3" s="120"/>
      <c r="DBP3" s="120"/>
      <c r="DBQ3" s="120"/>
      <c r="DBR3" s="120"/>
      <c r="DBS3" s="120"/>
      <c r="DBT3" s="120"/>
      <c r="DBU3" s="120"/>
      <c r="DBV3" s="120"/>
      <c r="DBW3" s="120"/>
      <c r="DBX3" s="120"/>
      <c r="DBY3" s="120"/>
      <c r="DBZ3" s="120"/>
      <c r="DCA3" s="120"/>
      <c r="DCB3" s="120"/>
      <c r="DCC3" s="120"/>
      <c r="DCD3" s="120"/>
      <c r="DCE3" s="120"/>
      <c r="DCF3" s="120"/>
      <c r="DCG3" s="120"/>
      <c r="DCH3" s="120"/>
      <c r="DCI3" s="120"/>
      <c r="DCJ3" s="120"/>
      <c r="DCK3" s="120"/>
      <c r="DCL3" s="120"/>
      <c r="DCM3" s="120"/>
      <c r="DCN3" s="120"/>
      <c r="DCO3" s="120"/>
      <c r="DCP3" s="120"/>
      <c r="DCQ3" s="120"/>
      <c r="DCR3" s="120"/>
      <c r="DCS3" s="120"/>
      <c r="DCT3" s="120"/>
      <c r="DCU3" s="120"/>
      <c r="DCV3" s="120"/>
      <c r="DCW3" s="120"/>
      <c r="DCX3" s="120"/>
      <c r="DCY3" s="120"/>
      <c r="DCZ3" s="120"/>
      <c r="DDA3" s="120"/>
      <c r="DDB3" s="120"/>
      <c r="DDC3" s="120"/>
      <c r="DDD3" s="120"/>
      <c r="DDE3" s="120"/>
      <c r="DDF3" s="120"/>
      <c r="DDG3" s="120"/>
      <c r="DDH3" s="120"/>
      <c r="DDI3" s="120"/>
      <c r="DDJ3" s="120"/>
      <c r="DDK3" s="120"/>
      <c r="DDL3" s="120"/>
      <c r="DDM3" s="120"/>
      <c r="DDN3" s="120"/>
      <c r="DDO3" s="120"/>
      <c r="DDP3" s="120"/>
      <c r="DDQ3" s="120"/>
      <c r="DDR3" s="120"/>
      <c r="DDS3" s="120"/>
      <c r="DDT3" s="120"/>
      <c r="DDU3" s="120"/>
      <c r="DDV3" s="120"/>
      <c r="DDW3" s="120"/>
      <c r="DDX3" s="120"/>
      <c r="DDY3" s="120"/>
      <c r="DDZ3" s="120"/>
      <c r="DEA3" s="120"/>
      <c r="DEB3" s="120"/>
      <c r="DEC3" s="120"/>
      <c r="DED3" s="120"/>
      <c r="DEE3" s="120"/>
      <c r="DEF3" s="120"/>
      <c r="DEG3" s="120"/>
      <c r="DEH3" s="120"/>
      <c r="DEI3" s="120"/>
      <c r="DEJ3" s="120"/>
      <c r="DEK3" s="120"/>
      <c r="DEL3" s="120"/>
      <c r="DEM3" s="120"/>
      <c r="DEN3" s="120"/>
      <c r="DEO3" s="120"/>
      <c r="DEP3" s="120"/>
      <c r="DEQ3" s="120"/>
      <c r="DER3" s="120"/>
      <c r="DES3" s="120"/>
      <c r="DET3" s="120"/>
      <c r="DEU3" s="120"/>
      <c r="DEV3" s="120"/>
      <c r="DEW3" s="120"/>
      <c r="DEX3" s="120"/>
      <c r="DEY3" s="120"/>
      <c r="DEZ3" s="120"/>
      <c r="DFA3" s="120"/>
      <c r="DFB3" s="120"/>
      <c r="DFC3" s="120"/>
      <c r="DFD3" s="120"/>
      <c r="DFE3" s="120"/>
      <c r="DFF3" s="120"/>
      <c r="DFG3" s="120"/>
      <c r="DFH3" s="120"/>
      <c r="DFI3" s="120"/>
      <c r="DFJ3" s="120"/>
      <c r="DFK3" s="120"/>
      <c r="DFL3" s="120"/>
      <c r="DFM3" s="120"/>
      <c r="DFN3" s="120"/>
      <c r="DFO3" s="120"/>
      <c r="DFP3" s="120"/>
      <c r="DFQ3" s="120"/>
      <c r="DFR3" s="120"/>
      <c r="DFS3" s="120"/>
      <c r="DFT3" s="120"/>
      <c r="DFU3" s="120"/>
      <c r="DFV3" s="120"/>
      <c r="DFW3" s="120"/>
      <c r="DFX3" s="120"/>
      <c r="DFY3" s="120"/>
      <c r="DFZ3" s="120"/>
      <c r="DGA3" s="120"/>
      <c r="DGB3" s="120"/>
      <c r="DGC3" s="120"/>
      <c r="DGD3" s="120"/>
      <c r="DGE3" s="120"/>
      <c r="DGF3" s="120"/>
      <c r="DGG3" s="120"/>
      <c r="DGH3" s="120"/>
      <c r="DGI3" s="120"/>
      <c r="DGJ3" s="120"/>
      <c r="DGK3" s="120"/>
      <c r="DGL3" s="120"/>
      <c r="DGM3" s="120"/>
      <c r="DGN3" s="120"/>
      <c r="DGO3" s="120"/>
      <c r="DGP3" s="120"/>
      <c r="DGQ3" s="120"/>
      <c r="DGR3" s="120"/>
      <c r="DGS3" s="120"/>
      <c r="DGT3" s="120"/>
      <c r="DGU3" s="120"/>
      <c r="DGV3" s="120"/>
      <c r="DGW3" s="120"/>
      <c r="DGX3" s="120"/>
      <c r="DGY3" s="120"/>
      <c r="DGZ3" s="120"/>
      <c r="DHA3" s="120"/>
      <c r="DHB3" s="120"/>
      <c r="DHC3" s="120"/>
      <c r="DHD3" s="120"/>
      <c r="DHE3" s="120"/>
      <c r="DHF3" s="120"/>
      <c r="DHG3" s="120"/>
      <c r="DHH3" s="120"/>
      <c r="DHI3" s="120"/>
      <c r="DHJ3" s="120"/>
      <c r="DHK3" s="120"/>
      <c r="DHL3" s="120"/>
      <c r="DHM3" s="120"/>
      <c r="DHN3" s="120"/>
      <c r="DHO3" s="120"/>
      <c r="DHP3" s="120"/>
      <c r="DHQ3" s="120"/>
      <c r="DHR3" s="120"/>
      <c r="DHS3" s="120"/>
      <c r="DHT3" s="120"/>
      <c r="DHU3" s="120"/>
      <c r="DHV3" s="120"/>
      <c r="DHW3" s="120"/>
      <c r="DHX3" s="120"/>
      <c r="DHY3" s="120"/>
      <c r="DHZ3" s="120"/>
      <c r="DIA3" s="120"/>
      <c r="DIB3" s="120"/>
      <c r="DIC3" s="120"/>
      <c r="DID3" s="120"/>
      <c r="DIE3" s="120"/>
      <c r="DIF3" s="120"/>
      <c r="DIG3" s="120"/>
      <c r="DIH3" s="120"/>
      <c r="DII3" s="120"/>
      <c r="DIJ3" s="120"/>
      <c r="DIK3" s="120"/>
      <c r="DIL3" s="120"/>
      <c r="DIM3" s="120"/>
      <c r="DIN3" s="120"/>
      <c r="DIO3" s="120"/>
      <c r="DIP3" s="120"/>
      <c r="DIQ3" s="120"/>
      <c r="DIR3" s="120"/>
      <c r="DIS3" s="120"/>
      <c r="DIT3" s="120"/>
      <c r="DIU3" s="120"/>
      <c r="DIV3" s="120"/>
      <c r="DIW3" s="120"/>
      <c r="DIX3" s="120"/>
      <c r="DIY3" s="120"/>
      <c r="DIZ3" s="120"/>
      <c r="DJA3" s="120"/>
      <c r="DJB3" s="120"/>
      <c r="DJC3" s="120"/>
      <c r="DJD3" s="120"/>
      <c r="DJE3" s="120"/>
      <c r="DJF3" s="120"/>
      <c r="DJG3" s="120"/>
      <c r="DJH3" s="120"/>
      <c r="DJI3" s="120"/>
      <c r="DJJ3" s="120"/>
      <c r="DJK3" s="120"/>
      <c r="DJL3" s="120"/>
      <c r="DJM3" s="120"/>
      <c r="DJN3" s="120"/>
      <c r="DJO3" s="120"/>
      <c r="DJP3" s="120"/>
      <c r="DJQ3" s="120"/>
      <c r="DJR3" s="120"/>
      <c r="DJS3" s="120"/>
      <c r="DJT3" s="120"/>
      <c r="DJU3" s="120"/>
      <c r="DJV3" s="120"/>
      <c r="DJW3" s="120"/>
      <c r="DJX3" s="120"/>
      <c r="DJY3" s="120"/>
      <c r="DJZ3" s="120"/>
      <c r="DKA3" s="120"/>
      <c r="DKB3" s="120"/>
      <c r="DKC3" s="120"/>
      <c r="DKD3" s="120"/>
      <c r="DKE3" s="120"/>
      <c r="DKF3" s="120"/>
      <c r="DKG3" s="120"/>
      <c r="DKH3" s="120"/>
      <c r="DKI3" s="120"/>
      <c r="DKJ3" s="120"/>
      <c r="DKK3" s="120"/>
      <c r="DKL3" s="120"/>
      <c r="DKM3" s="120"/>
      <c r="DKN3" s="120"/>
      <c r="DKO3" s="120"/>
      <c r="DKP3" s="120"/>
      <c r="DKQ3" s="120"/>
      <c r="DKR3" s="120"/>
      <c r="DKS3" s="120"/>
      <c r="DKT3" s="120"/>
      <c r="DKU3" s="120"/>
      <c r="DKV3" s="120"/>
      <c r="DKW3" s="120"/>
      <c r="DKX3" s="120"/>
      <c r="DKY3" s="120"/>
      <c r="DKZ3" s="120"/>
      <c r="DLA3" s="120"/>
      <c r="DLB3" s="120"/>
      <c r="DLC3" s="120"/>
      <c r="DLD3" s="120"/>
      <c r="DLE3" s="120"/>
      <c r="DLF3" s="120"/>
      <c r="DLG3" s="120"/>
      <c r="DLH3" s="120"/>
      <c r="DLI3" s="120"/>
      <c r="DLJ3" s="120"/>
      <c r="DLK3" s="120"/>
      <c r="DLL3" s="120"/>
      <c r="DLM3" s="120"/>
      <c r="DLN3" s="120"/>
      <c r="DLO3" s="120"/>
      <c r="DLP3" s="120"/>
      <c r="DLQ3" s="120"/>
      <c r="DLR3" s="120"/>
      <c r="DLS3" s="120"/>
      <c r="DLT3" s="120"/>
      <c r="DLU3" s="120"/>
      <c r="DLV3" s="120"/>
      <c r="DLW3" s="120"/>
      <c r="DLX3" s="120"/>
      <c r="DLY3" s="120"/>
      <c r="DLZ3" s="120"/>
      <c r="DMA3" s="120"/>
      <c r="DMB3" s="120"/>
      <c r="DMC3" s="120"/>
      <c r="DMD3" s="120"/>
      <c r="DME3" s="120"/>
      <c r="DMF3" s="120"/>
      <c r="DMG3" s="120"/>
      <c r="DMH3" s="120"/>
      <c r="DMI3" s="120"/>
      <c r="DMJ3" s="120"/>
      <c r="DMK3" s="120"/>
      <c r="DML3" s="120"/>
      <c r="DMM3" s="120"/>
      <c r="DMN3" s="120"/>
      <c r="DMO3" s="120"/>
      <c r="DMP3" s="120"/>
      <c r="DMQ3" s="120"/>
      <c r="DMR3" s="120"/>
      <c r="DMS3" s="120"/>
      <c r="DMT3" s="120"/>
      <c r="DMU3" s="120"/>
      <c r="DMV3" s="120"/>
      <c r="DMW3" s="120"/>
      <c r="DMX3" s="120"/>
      <c r="DMY3" s="120"/>
      <c r="DMZ3" s="120"/>
      <c r="DNA3" s="120"/>
      <c r="DNB3" s="120"/>
      <c r="DNC3" s="120"/>
      <c r="DND3" s="120"/>
      <c r="DNE3" s="120"/>
      <c r="DNF3" s="120"/>
      <c r="DNG3" s="120"/>
      <c r="DNH3" s="120"/>
      <c r="DNI3" s="120"/>
      <c r="DNJ3" s="120"/>
      <c r="DNK3" s="120"/>
      <c r="DNL3" s="120"/>
      <c r="DNM3" s="120"/>
      <c r="DNN3" s="120"/>
      <c r="DNO3" s="120"/>
      <c r="DNP3" s="120"/>
      <c r="DNQ3" s="120"/>
      <c r="DNR3" s="120"/>
      <c r="DNS3" s="120"/>
      <c r="DNT3" s="120"/>
      <c r="DNU3" s="120"/>
      <c r="DNV3" s="120"/>
      <c r="DNW3" s="120"/>
      <c r="DNX3" s="120"/>
      <c r="DNY3" s="120"/>
      <c r="DNZ3" s="120"/>
      <c r="DOA3" s="120"/>
      <c r="DOB3" s="120"/>
      <c r="DOC3" s="120"/>
      <c r="DOD3" s="120"/>
      <c r="DOE3" s="120"/>
      <c r="DOF3" s="120"/>
      <c r="DOG3" s="120"/>
      <c r="DOH3" s="120"/>
      <c r="DOI3" s="120"/>
      <c r="DOJ3" s="120"/>
      <c r="DOK3" s="120"/>
      <c r="DOL3" s="120"/>
      <c r="DOM3" s="120"/>
      <c r="DON3" s="120"/>
      <c r="DOO3" s="120"/>
      <c r="DOP3" s="120"/>
      <c r="DOQ3" s="120"/>
      <c r="DOR3" s="120"/>
      <c r="DOS3" s="120"/>
      <c r="DOT3" s="120"/>
      <c r="DOU3" s="120"/>
      <c r="DOV3" s="120"/>
      <c r="DOW3" s="120"/>
      <c r="DOX3" s="120"/>
      <c r="DOY3" s="120"/>
      <c r="DOZ3" s="120"/>
      <c r="DPA3" s="120"/>
      <c r="DPB3" s="120"/>
      <c r="DPC3" s="120"/>
      <c r="DPD3" s="120"/>
      <c r="DPE3" s="120"/>
      <c r="DPF3" s="120"/>
      <c r="DPG3" s="120"/>
      <c r="DPH3" s="120"/>
      <c r="DPI3" s="120"/>
      <c r="DPJ3" s="120"/>
      <c r="DPK3" s="120"/>
      <c r="DPL3" s="120"/>
      <c r="DPM3" s="120"/>
      <c r="DPN3" s="120"/>
      <c r="DPO3" s="120"/>
      <c r="DPP3" s="120"/>
      <c r="DPQ3" s="120"/>
      <c r="DPR3" s="120"/>
      <c r="DPS3" s="120"/>
      <c r="DPT3" s="120"/>
      <c r="DPU3" s="120"/>
      <c r="DPV3" s="120"/>
      <c r="DPW3" s="120"/>
      <c r="DPX3" s="120"/>
      <c r="DPY3" s="120"/>
      <c r="DPZ3" s="120"/>
      <c r="DQA3" s="120"/>
      <c r="DQB3" s="120"/>
      <c r="DQC3" s="120"/>
      <c r="DQD3" s="120"/>
      <c r="DQE3" s="120"/>
      <c r="DQF3" s="120"/>
      <c r="DQG3" s="120"/>
      <c r="DQH3" s="120"/>
      <c r="DQI3" s="120"/>
      <c r="DQJ3" s="120"/>
      <c r="DQK3" s="120"/>
      <c r="DQL3" s="120"/>
      <c r="DQM3" s="120"/>
      <c r="DQN3" s="120"/>
      <c r="DQO3" s="120"/>
      <c r="DQP3" s="120"/>
      <c r="DQQ3" s="120"/>
      <c r="DQR3" s="120"/>
      <c r="DQS3" s="120"/>
      <c r="DQT3" s="120"/>
      <c r="DQU3" s="120"/>
      <c r="DQV3" s="120"/>
      <c r="DQW3" s="120"/>
      <c r="DQX3" s="120"/>
      <c r="DQY3" s="120"/>
      <c r="DQZ3" s="120"/>
      <c r="DRA3" s="120"/>
      <c r="DRB3" s="120"/>
      <c r="DRC3" s="120"/>
      <c r="DRD3" s="120"/>
      <c r="DRE3" s="120"/>
      <c r="DRF3" s="120"/>
      <c r="DRG3" s="120"/>
      <c r="DRH3" s="120"/>
      <c r="DRI3" s="120"/>
      <c r="DRJ3" s="120"/>
      <c r="DRK3" s="120"/>
      <c r="DRL3" s="120"/>
      <c r="DRM3" s="120"/>
      <c r="DRN3" s="120"/>
      <c r="DRO3" s="120"/>
      <c r="DRP3" s="120"/>
      <c r="DRQ3" s="120"/>
      <c r="DRR3" s="120"/>
      <c r="DRS3" s="120"/>
      <c r="DRT3" s="120"/>
      <c r="DRU3" s="120"/>
      <c r="DRV3" s="120"/>
      <c r="DRW3" s="120"/>
      <c r="DRX3" s="120"/>
      <c r="DRY3" s="120"/>
      <c r="DRZ3" s="120"/>
      <c r="DSA3" s="120"/>
      <c r="DSB3" s="120"/>
      <c r="DSC3" s="120"/>
      <c r="DSD3" s="120"/>
      <c r="DSE3" s="120"/>
      <c r="DSF3" s="120"/>
      <c r="DSG3" s="120"/>
      <c r="DSH3" s="120"/>
      <c r="DSI3" s="120"/>
      <c r="DSJ3" s="120"/>
      <c r="DSK3" s="120"/>
      <c r="DSL3" s="120"/>
      <c r="DSM3" s="120"/>
      <c r="DSN3" s="120"/>
      <c r="DSO3" s="120"/>
      <c r="DSP3" s="120"/>
      <c r="DSQ3" s="120"/>
      <c r="DSR3" s="120"/>
      <c r="DSS3" s="120"/>
      <c r="DST3" s="120"/>
      <c r="DSU3" s="120"/>
      <c r="DSV3" s="120"/>
      <c r="DSW3" s="120"/>
      <c r="DSX3" s="120"/>
      <c r="DSY3" s="120"/>
      <c r="DSZ3" s="120"/>
      <c r="DTA3" s="120"/>
      <c r="DTB3" s="120"/>
      <c r="DTC3" s="120"/>
      <c r="DTD3" s="120"/>
      <c r="DTE3" s="120"/>
      <c r="DTF3" s="120"/>
      <c r="DTG3" s="120"/>
      <c r="DTH3" s="120"/>
      <c r="DTI3" s="120"/>
      <c r="DTJ3" s="120"/>
      <c r="DTK3" s="120"/>
      <c r="DTL3" s="120"/>
      <c r="DTM3" s="120"/>
      <c r="DTN3" s="120"/>
      <c r="DTO3" s="120"/>
      <c r="DTP3" s="120"/>
      <c r="DTQ3" s="120"/>
      <c r="DTR3" s="120"/>
      <c r="DTS3" s="120"/>
      <c r="DTT3" s="120"/>
      <c r="DTU3" s="120"/>
      <c r="DTV3" s="120"/>
      <c r="DTW3" s="120"/>
      <c r="DTX3" s="120"/>
      <c r="DTY3" s="120"/>
      <c r="DTZ3" s="120"/>
      <c r="DUA3" s="120"/>
      <c r="DUB3" s="120"/>
      <c r="DUC3" s="120"/>
      <c r="DUD3" s="120"/>
      <c r="DUE3" s="120"/>
      <c r="DUF3" s="120"/>
      <c r="DUG3" s="120"/>
      <c r="DUH3" s="120"/>
      <c r="DUI3" s="120"/>
      <c r="DUJ3" s="120"/>
      <c r="DUK3" s="120"/>
      <c r="DUL3" s="120"/>
      <c r="DUM3" s="120"/>
      <c r="DUN3" s="120"/>
      <c r="DUO3" s="120"/>
      <c r="DUP3" s="120"/>
      <c r="DUQ3" s="120"/>
      <c r="DUR3" s="120"/>
      <c r="DUS3" s="120"/>
      <c r="DUT3" s="120"/>
      <c r="DUU3" s="120"/>
      <c r="DUV3" s="120"/>
      <c r="DUW3" s="120"/>
      <c r="DUX3" s="120"/>
      <c r="DUY3" s="120"/>
      <c r="DUZ3" s="120"/>
      <c r="DVA3" s="120"/>
      <c r="DVB3" s="120"/>
      <c r="DVC3" s="120"/>
      <c r="DVD3" s="120"/>
      <c r="DVE3" s="120"/>
      <c r="DVF3" s="120"/>
      <c r="DVG3" s="120"/>
      <c r="DVH3" s="120"/>
      <c r="DVI3" s="120"/>
      <c r="DVJ3" s="120"/>
      <c r="DVK3" s="120"/>
      <c r="DVL3" s="120"/>
      <c r="DVM3" s="120"/>
      <c r="DVN3" s="120"/>
      <c r="DVO3" s="120"/>
      <c r="DVP3" s="120"/>
      <c r="DVQ3" s="120"/>
      <c r="DVR3" s="120"/>
      <c r="DVS3" s="120"/>
      <c r="DVT3" s="120"/>
      <c r="DVU3" s="120"/>
      <c r="DVV3" s="120"/>
      <c r="DVW3" s="120"/>
      <c r="DVX3" s="120"/>
      <c r="DVY3" s="120"/>
      <c r="DVZ3" s="120"/>
      <c r="DWA3" s="120"/>
      <c r="DWB3" s="120"/>
      <c r="DWC3" s="120"/>
      <c r="DWD3" s="120"/>
      <c r="DWE3" s="120"/>
      <c r="DWF3" s="120"/>
      <c r="DWG3" s="120"/>
      <c r="DWH3" s="120"/>
      <c r="DWI3" s="120"/>
      <c r="DWJ3" s="120"/>
      <c r="DWK3" s="120"/>
      <c r="DWL3" s="120"/>
      <c r="DWM3" s="120"/>
      <c r="DWN3" s="120"/>
      <c r="DWO3" s="120"/>
      <c r="DWP3" s="120"/>
      <c r="DWQ3" s="120"/>
      <c r="DWR3" s="120"/>
      <c r="DWS3" s="120"/>
      <c r="DWT3" s="120"/>
      <c r="DWU3" s="120"/>
      <c r="DWV3" s="120"/>
      <c r="DWW3" s="120"/>
      <c r="DWX3" s="120"/>
      <c r="DWY3" s="120"/>
      <c r="DWZ3" s="120"/>
      <c r="DXA3" s="120"/>
      <c r="DXB3" s="120"/>
      <c r="DXC3" s="120"/>
      <c r="DXD3" s="120"/>
      <c r="DXE3" s="120"/>
      <c r="DXF3" s="120"/>
      <c r="DXG3" s="120"/>
      <c r="DXH3" s="120"/>
      <c r="DXI3" s="120"/>
      <c r="DXJ3" s="120"/>
      <c r="DXK3" s="120"/>
      <c r="DXL3" s="120"/>
      <c r="DXM3" s="120"/>
      <c r="DXN3" s="120"/>
      <c r="DXO3" s="120"/>
      <c r="DXP3" s="120"/>
      <c r="DXQ3" s="120"/>
      <c r="DXR3" s="120"/>
      <c r="DXS3" s="120"/>
      <c r="DXT3" s="120"/>
      <c r="DXU3" s="120"/>
      <c r="DXV3" s="120"/>
      <c r="DXW3" s="120"/>
      <c r="DXX3" s="120"/>
      <c r="DXY3" s="120"/>
      <c r="DXZ3" s="120"/>
      <c r="DYA3" s="120"/>
      <c r="DYB3" s="120"/>
      <c r="DYC3" s="120"/>
      <c r="DYD3" s="120"/>
      <c r="DYE3" s="120"/>
      <c r="DYF3" s="120"/>
      <c r="DYG3" s="120"/>
      <c r="DYH3" s="120"/>
      <c r="DYI3" s="120"/>
      <c r="DYJ3" s="120"/>
      <c r="DYK3" s="120"/>
      <c r="DYL3" s="120"/>
      <c r="DYM3" s="120"/>
      <c r="DYN3" s="120"/>
      <c r="DYO3" s="120"/>
      <c r="DYP3" s="120"/>
      <c r="DYQ3" s="120"/>
      <c r="DYR3" s="120"/>
      <c r="DYS3" s="120"/>
      <c r="DYT3" s="120"/>
      <c r="DYU3" s="120"/>
      <c r="DYV3" s="120"/>
      <c r="DYW3" s="120"/>
      <c r="DYX3" s="120"/>
      <c r="DYY3" s="120"/>
      <c r="DYZ3" s="120"/>
      <c r="DZA3" s="120"/>
      <c r="DZB3" s="120"/>
      <c r="DZC3" s="120"/>
      <c r="DZD3" s="120"/>
      <c r="DZE3" s="120"/>
      <c r="DZF3" s="120"/>
      <c r="DZG3" s="120"/>
      <c r="DZH3" s="120"/>
      <c r="DZI3" s="120"/>
      <c r="DZJ3" s="120"/>
      <c r="DZK3" s="120"/>
      <c r="DZL3" s="120"/>
      <c r="DZM3" s="120"/>
      <c r="DZN3" s="120"/>
      <c r="DZO3" s="120"/>
      <c r="DZP3" s="120"/>
      <c r="DZQ3" s="120"/>
      <c r="DZR3" s="120"/>
      <c r="DZS3" s="120"/>
      <c r="DZT3" s="120"/>
      <c r="DZU3" s="120"/>
      <c r="DZV3" s="120"/>
      <c r="DZW3" s="120"/>
      <c r="DZX3" s="120"/>
      <c r="DZY3" s="120"/>
      <c r="DZZ3" s="120"/>
      <c r="EAA3" s="120"/>
      <c r="EAB3" s="120"/>
      <c r="EAC3" s="120"/>
      <c r="EAD3" s="120"/>
      <c r="EAE3" s="120"/>
      <c r="EAF3" s="120"/>
      <c r="EAG3" s="120"/>
      <c r="EAH3" s="120"/>
      <c r="EAI3" s="120"/>
      <c r="EAJ3" s="120"/>
      <c r="EAK3" s="120"/>
      <c r="EAL3" s="120"/>
      <c r="EAM3" s="120"/>
      <c r="EAN3" s="120"/>
      <c r="EAO3" s="120"/>
      <c r="EAP3" s="120"/>
      <c r="EAQ3" s="120"/>
      <c r="EAR3" s="120"/>
      <c r="EAS3" s="120"/>
      <c r="EAT3" s="120"/>
      <c r="EAU3" s="120"/>
      <c r="EAV3" s="120"/>
      <c r="EAW3" s="120"/>
      <c r="EAX3" s="120"/>
      <c r="EAY3" s="120"/>
      <c r="EAZ3" s="120"/>
      <c r="EBA3" s="120"/>
      <c r="EBB3" s="120"/>
      <c r="EBC3" s="120"/>
      <c r="EBD3" s="120"/>
      <c r="EBE3" s="120"/>
      <c r="EBF3" s="120"/>
      <c r="EBG3" s="120"/>
      <c r="EBH3" s="120"/>
      <c r="EBI3" s="120"/>
      <c r="EBJ3" s="120"/>
      <c r="EBK3" s="120"/>
      <c r="EBL3" s="120"/>
      <c r="EBM3" s="120"/>
      <c r="EBN3" s="120"/>
      <c r="EBO3" s="120"/>
      <c r="EBP3" s="120"/>
      <c r="EBQ3" s="120"/>
      <c r="EBR3" s="120"/>
      <c r="EBS3" s="120"/>
      <c r="EBT3" s="120"/>
      <c r="EBU3" s="120"/>
      <c r="EBV3" s="120"/>
      <c r="EBW3" s="120"/>
      <c r="EBX3" s="120"/>
      <c r="EBY3" s="120"/>
      <c r="EBZ3" s="120"/>
      <c r="ECA3" s="120"/>
      <c r="ECB3" s="120"/>
      <c r="ECC3" s="120"/>
      <c r="ECD3" s="120"/>
      <c r="ECE3" s="120"/>
      <c r="ECF3" s="120"/>
      <c r="ECG3" s="120"/>
      <c r="ECH3" s="120"/>
      <c r="ECI3" s="120"/>
      <c r="ECJ3" s="120"/>
      <c r="ECK3" s="120"/>
      <c r="ECL3" s="120"/>
      <c r="ECM3" s="120"/>
      <c r="ECN3" s="120"/>
      <c r="ECO3" s="120"/>
      <c r="ECP3" s="120"/>
      <c r="ECQ3" s="120"/>
      <c r="ECR3" s="120"/>
      <c r="ECS3" s="120"/>
      <c r="ECT3" s="120"/>
      <c r="ECU3" s="120"/>
      <c r="ECV3" s="120"/>
      <c r="ECW3" s="120"/>
      <c r="ECX3" s="120"/>
      <c r="ECY3" s="120"/>
      <c r="ECZ3" s="120"/>
      <c r="EDA3" s="120"/>
      <c r="EDB3" s="120"/>
      <c r="EDC3" s="120"/>
      <c r="EDD3" s="120"/>
      <c r="EDE3" s="120"/>
      <c r="EDF3" s="120"/>
      <c r="EDG3" s="120"/>
      <c r="EDH3" s="120"/>
      <c r="EDI3" s="120"/>
      <c r="EDJ3" s="120"/>
      <c r="EDK3" s="120"/>
      <c r="EDL3" s="120"/>
      <c r="EDM3" s="120"/>
      <c r="EDN3" s="120"/>
      <c r="EDO3" s="120"/>
      <c r="EDP3" s="120"/>
      <c r="EDQ3" s="120"/>
      <c r="EDR3" s="120"/>
      <c r="EDS3" s="120"/>
      <c r="EDT3" s="120"/>
      <c r="EDU3" s="120"/>
      <c r="EDV3" s="120"/>
      <c r="EDW3" s="120"/>
      <c r="EDX3" s="120"/>
      <c r="EDY3" s="120"/>
      <c r="EDZ3" s="120"/>
      <c r="EEA3" s="120"/>
      <c r="EEB3" s="120"/>
      <c r="EEC3" s="120"/>
      <c r="EED3" s="120"/>
      <c r="EEE3" s="120"/>
      <c r="EEF3" s="120"/>
      <c r="EEG3" s="120"/>
      <c r="EEH3" s="120"/>
      <c r="EEI3" s="120"/>
      <c r="EEJ3" s="120"/>
      <c r="EEK3" s="120"/>
      <c r="EEL3" s="120"/>
      <c r="EEM3" s="120"/>
      <c r="EEN3" s="120"/>
      <c r="EEO3" s="120"/>
      <c r="EEP3" s="120"/>
      <c r="EEQ3" s="120"/>
      <c r="EER3" s="120"/>
      <c r="EES3" s="120"/>
      <c r="EET3" s="120"/>
      <c r="EEU3" s="120"/>
      <c r="EEV3" s="120"/>
      <c r="EEW3" s="120"/>
      <c r="EEX3" s="120"/>
      <c r="EEY3" s="120"/>
      <c r="EEZ3" s="120"/>
      <c r="EFA3" s="120"/>
      <c r="EFB3" s="120"/>
      <c r="EFC3" s="120"/>
      <c r="EFD3" s="120"/>
      <c r="EFE3" s="120"/>
      <c r="EFF3" s="120"/>
      <c r="EFG3" s="120"/>
      <c r="EFH3" s="120"/>
      <c r="EFI3" s="120"/>
      <c r="EFJ3" s="120"/>
      <c r="EFK3" s="120"/>
      <c r="EFL3" s="120"/>
      <c r="EFM3" s="120"/>
      <c r="EFN3" s="120"/>
      <c r="EFO3" s="120"/>
      <c r="EFP3" s="120"/>
      <c r="EFQ3" s="120"/>
      <c r="EFR3" s="120"/>
      <c r="EFS3" s="120"/>
      <c r="EFT3" s="120"/>
      <c r="EFU3" s="120"/>
      <c r="EFV3" s="120"/>
      <c r="EFW3" s="120"/>
      <c r="EFX3" s="120"/>
      <c r="EFY3" s="120"/>
      <c r="EFZ3" s="120"/>
      <c r="EGA3" s="120"/>
      <c r="EGB3" s="120"/>
      <c r="EGC3" s="120"/>
      <c r="EGD3" s="120"/>
      <c r="EGE3" s="120"/>
      <c r="EGF3" s="120"/>
      <c r="EGG3" s="120"/>
      <c r="EGH3" s="120"/>
      <c r="EGI3" s="120"/>
      <c r="EGJ3" s="120"/>
      <c r="EGK3" s="120"/>
      <c r="EGL3" s="120"/>
      <c r="EGM3" s="120"/>
      <c r="EGN3" s="120"/>
      <c r="EGO3" s="120"/>
      <c r="EGP3" s="120"/>
      <c r="EGQ3" s="120"/>
      <c r="EGR3" s="120"/>
      <c r="EGS3" s="120"/>
      <c r="EGT3" s="120"/>
      <c r="EGU3" s="120"/>
      <c r="EGV3" s="120"/>
      <c r="EGW3" s="120"/>
      <c r="EGX3" s="120"/>
      <c r="EGY3" s="120"/>
      <c r="EGZ3" s="120"/>
      <c r="EHA3" s="120"/>
      <c r="EHB3" s="120"/>
      <c r="EHC3" s="120"/>
      <c r="EHD3" s="120"/>
      <c r="EHE3" s="120"/>
      <c r="EHF3" s="120"/>
      <c r="EHG3" s="120"/>
      <c r="EHH3" s="120"/>
      <c r="EHI3" s="120"/>
      <c r="EHJ3" s="120"/>
      <c r="EHK3" s="120"/>
      <c r="EHL3" s="120"/>
      <c r="EHM3" s="120"/>
      <c r="EHN3" s="120"/>
      <c r="EHO3" s="120"/>
      <c r="EHP3" s="120"/>
      <c r="EHQ3" s="120"/>
      <c r="EHR3" s="120"/>
      <c r="EHS3" s="120"/>
      <c r="EHT3" s="120"/>
      <c r="EHU3" s="120"/>
      <c r="EHV3" s="120"/>
      <c r="EHW3" s="120"/>
      <c r="EHX3" s="120"/>
      <c r="EHY3" s="120"/>
      <c r="EHZ3" s="120"/>
      <c r="EIA3" s="120"/>
      <c r="EIB3" s="120"/>
      <c r="EIC3" s="120"/>
      <c r="EID3" s="120"/>
      <c r="EIE3" s="120"/>
      <c r="EIF3" s="120"/>
      <c r="EIG3" s="120"/>
      <c r="EIH3" s="120"/>
      <c r="EII3" s="120"/>
      <c r="EIJ3" s="120"/>
      <c r="EIK3" s="120"/>
      <c r="EIL3" s="120"/>
      <c r="EIM3" s="120"/>
      <c r="EIN3" s="120"/>
      <c r="EIO3" s="120"/>
      <c r="EIP3" s="120"/>
      <c r="EIQ3" s="120"/>
      <c r="EIR3" s="120"/>
      <c r="EIS3" s="120"/>
      <c r="EIT3" s="120"/>
      <c r="EIU3" s="120"/>
      <c r="EIV3" s="120"/>
      <c r="EIW3" s="120"/>
      <c r="EIX3" s="120"/>
      <c r="EIY3" s="120"/>
      <c r="EIZ3" s="120"/>
      <c r="EJA3" s="120"/>
      <c r="EJB3" s="120"/>
      <c r="EJC3" s="120"/>
      <c r="EJD3" s="120"/>
      <c r="EJE3" s="120"/>
      <c r="EJF3" s="120"/>
      <c r="EJG3" s="120"/>
      <c r="EJH3" s="120"/>
      <c r="EJI3" s="120"/>
      <c r="EJJ3" s="120"/>
      <c r="EJK3" s="120"/>
      <c r="EJL3" s="120"/>
      <c r="EJM3" s="120"/>
      <c r="EJN3" s="120"/>
      <c r="EJO3" s="120"/>
      <c r="EJP3" s="120"/>
      <c r="EJQ3" s="120"/>
      <c r="EJR3" s="120"/>
      <c r="EJS3" s="120"/>
      <c r="EJT3" s="120"/>
      <c r="EJU3" s="120"/>
      <c r="EJV3" s="120"/>
      <c r="EJW3" s="120"/>
      <c r="EJX3" s="120"/>
      <c r="EJY3" s="120"/>
      <c r="EJZ3" s="120"/>
      <c r="EKA3" s="120"/>
      <c r="EKB3" s="120"/>
      <c r="EKC3" s="120"/>
      <c r="EKD3" s="120"/>
      <c r="EKE3" s="120"/>
      <c r="EKF3" s="120"/>
      <c r="EKG3" s="120"/>
      <c r="EKH3" s="120"/>
      <c r="EKI3" s="120"/>
      <c r="EKJ3" s="120"/>
      <c r="EKK3" s="120"/>
      <c r="EKL3" s="120"/>
      <c r="EKM3" s="120"/>
      <c r="EKN3" s="120"/>
      <c r="EKO3" s="120"/>
      <c r="EKP3" s="120"/>
      <c r="EKQ3" s="120"/>
      <c r="EKR3" s="120"/>
      <c r="EKS3" s="120"/>
      <c r="EKT3" s="120"/>
      <c r="EKU3" s="120"/>
      <c r="EKV3" s="120"/>
      <c r="EKW3" s="120"/>
      <c r="EKX3" s="120"/>
      <c r="EKY3" s="120"/>
      <c r="EKZ3" s="120"/>
      <c r="ELA3" s="120"/>
      <c r="ELB3" s="120"/>
      <c r="ELC3" s="120"/>
      <c r="ELD3" s="120"/>
      <c r="ELE3" s="120"/>
      <c r="ELF3" s="120"/>
      <c r="ELG3" s="120"/>
      <c r="ELH3" s="120"/>
      <c r="ELI3" s="120"/>
      <c r="ELJ3" s="120"/>
      <c r="ELK3" s="120"/>
      <c r="ELL3" s="120"/>
      <c r="ELM3" s="120"/>
      <c r="ELN3" s="120"/>
      <c r="ELO3" s="120"/>
      <c r="ELP3" s="120"/>
      <c r="ELQ3" s="120"/>
      <c r="ELR3" s="120"/>
      <c r="ELS3" s="120"/>
      <c r="ELT3" s="120"/>
      <c r="ELU3" s="120"/>
      <c r="ELV3" s="120"/>
      <c r="ELW3" s="120"/>
      <c r="ELX3" s="120"/>
      <c r="ELY3" s="120"/>
      <c r="ELZ3" s="120"/>
      <c r="EMA3" s="120"/>
      <c r="EMB3" s="120"/>
      <c r="EMC3" s="120"/>
      <c r="EMD3" s="120"/>
      <c r="EME3" s="120"/>
      <c r="EMF3" s="120"/>
      <c r="EMG3" s="120"/>
      <c r="EMH3" s="120"/>
      <c r="EMI3" s="120"/>
      <c r="EMJ3" s="120"/>
      <c r="EMK3" s="120"/>
      <c r="EML3" s="120"/>
      <c r="EMM3" s="120"/>
      <c r="EMN3" s="120"/>
      <c r="EMO3" s="120"/>
      <c r="EMP3" s="120"/>
      <c r="EMQ3" s="120"/>
      <c r="EMR3" s="120"/>
      <c r="EMS3" s="120"/>
      <c r="EMT3" s="120"/>
      <c r="EMU3" s="120"/>
      <c r="EMV3" s="120"/>
      <c r="EMW3" s="120"/>
      <c r="EMX3" s="120"/>
      <c r="EMY3" s="120"/>
      <c r="EMZ3" s="120"/>
      <c r="ENA3" s="120"/>
      <c r="ENB3" s="120"/>
      <c r="ENC3" s="120"/>
      <c r="END3" s="120"/>
      <c r="ENE3" s="120"/>
      <c r="ENF3" s="120"/>
      <c r="ENG3" s="120"/>
      <c r="ENH3" s="120"/>
      <c r="ENI3" s="120"/>
      <c r="ENJ3" s="120"/>
      <c r="ENK3" s="120"/>
      <c r="ENL3" s="120"/>
      <c r="ENM3" s="120"/>
      <c r="ENN3" s="120"/>
      <c r="ENO3" s="120"/>
      <c r="ENP3" s="120"/>
      <c r="ENQ3" s="120"/>
      <c r="ENR3" s="120"/>
      <c r="ENS3" s="120"/>
      <c r="ENT3" s="120"/>
      <c r="ENU3" s="120"/>
      <c r="ENV3" s="120"/>
      <c r="ENW3" s="120"/>
      <c r="ENX3" s="120"/>
      <c r="ENY3" s="120"/>
      <c r="ENZ3" s="120"/>
      <c r="EOA3" s="120"/>
      <c r="EOB3" s="120"/>
      <c r="EOC3" s="120"/>
      <c r="EOD3" s="120"/>
      <c r="EOE3" s="120"/>
      <c r="EOF3" s="120"/>
      <c r="EOG3" s="120"/>
      <c r="EOH3" s="120"/>
      <c r="EOI3" s="120"/>
      <c r="EOJ3" s="120"/>
      <c r="EOK3" s="120"/>
      <c r="EOL3" s="120"/>
      <c r="EOM3" s="120"/>
      <c r="EON3" s="120"/>
      <c r="EOO3" s="120"/>
      <c r="EOP3" s="120"/>
      <c r="EOQ3" s="120"/>
      <c r="EOR3" s="120"/>
      <c r="EOS3" s="120"/>
      <c r="EOT3" s="120"/>
      <c r="EOU3" s="120"/>
      <c r="EOV3" s="120"/>
      <c r="EOW3" s="120"/>
      <c r="EOX3" s="120"/>
      <c r="EOY3" s="120"/>
      <c r="EOZ3" s="120"/>
      <c r="EPA3" s="120"/>
      <c r="EPB3" s="120"/>
      <c r="EPC3" s="120"/>
      <c r="EPD3" s="120"/>
      <c r="EPE3" s="120"/>
      <c r="EPF3" s="120"/>
      <c r="EPG3" s="120"/>
      <c r="EPH3" s="120"/>
      <c r="EPI3" s="120"/>
      <c r="EPJ3" s="120"/>
      <c r="EPK3" s="120"/>
      <c r="EPL3" s="120"/>
      <c r="EPM3" s="120"/>
      <c r="EPN3" s="120"/>
      <c r="EPO3" s="120"/>
      <c r="EPP3" s="120"/>
      <c r="EPQ3" s="120"/>
      <c r="EPR3" s="120"/>
      <c r="EPS3" s="120"/>
      <c r="EPT3" s="120"/>
      <c r="EPU3" s="120"/>
      <c r="EPV3" s="120"/>
      <c r="EPW3" s="120"/>
      <c r="EPX3" s="120"/>
      <c r="EPY3" s="120"/>
      <c r="EPZ3" s="120"/>
      <c r="EQA3" s="120"/>
      <c r="EQB3" s="120"/>
      <c r="EQC3" s="120"/>
      <c r="EQD3" s="120"/>
      <c r="EQE3" s="120"/>
      <c r="EQF3" s="120"/>
      <c r="EQG3" s="120"/>
      <c r="EQH3" s="120"/>
      <c r="EQI3" s="120"/>
      <c r="EQJ3" s="120"/>
      <c r="EQK3" s="120"/>
      <c r="EQL3" s="120"/>
      <c r="EQM3" s="120"/>
      <c r="EQN3" s="120"/>
      <c r="EQO3" s="120"/>
      <c r="EQP3" s="120"/>
      <c r="EQQ3" s="120"/>
      <c r="EQR3" s="120"/>
      <c r="EQS3" s="120"/>
      <c r="EQT3" s="120"/>
      <c r="EQU3" s="120"/>
      <c r="EQV3" s="120"/>
      <c r="EQW3" s="120"/>
      <c r="EQX3" s="120"/>
      <c r="EQY3" s="120"/>
      <c r="EQZ3" s="120"/>
      <c r="ERA3" s="120"/>
      <c r="ERB3" s="120"/>
      <c r="ERC3" s="120"/>
      <c r="ERD3" s="120"/>
      <c r="ERE3" s="120"/>
      <c r="ERF3" s="120"/>
      <c r="ERG3" s="120"/>
      <c r="ERH3" s="120"/>
      <c r="ERI3" s="120"/>
      <c r="ERJ3" s="120"/>
      <c r="ERK3" s="120"/>
      <c r="ERL3" s="120"/>
      <c r="ERM3" s="120"/>
      <c r="ERN3" s="120"/>
      <c r="ERO3" s="120"/>
      <c r="ERP3" s="120"/>
      <c r="ERQ3" s="120"/>
      <c r="ERR3" s="120"/>
      <c r="ERS3" s="120"/>
      <c r="ERT3" s="120"/>
      <c r="ERU3" s="120"/>
      <c r="ERV3" s="120"/>
      <c r="ERW3" s="120"/>
      <c r="ERX3" s="120"/>
      <c r="ERY3" s="120"/>
      <c r="ERZ3" s="120"/>
      <c r="ESA3" s="120"/>
      <c r="ESB3" s="120"/>
      <c r="ESC3" s="120"/>
      <c r="ESD3" s="120"/>
      <c r="ESE3" s="120"/>
      <c r="ESF3" s="120"/>
      <c r="ESG3" s="120"/>
      <c r="ESH3" s="120"/>
      <c r="ESI3" s="120"/>
      <c r="ESJ3" s="120"/>
      <c r="ESK3" s="120"/>
      <c r="ESL3" s="120"/>
      <c r="ESM3" s="120"/>
      <c r="ESN3" s="120"/>
      <c r="ESO3" s="120"/>
      <c r="ESP3" s="120"/>
      <c r="ESQ3" s="120"/>
      <c r="ESR3" s="120"/>
      <c r="ESS3" s="120"/>
      <c r="EST3" s="120"/>
      <c r="ESU3" s="120"/>
      <c r="ESV3" s="120"/>
      <c r="ESW3" s="120"/>
      <c r="ESX3" s="120"/>
      <c r="ESY3" s="120"/>
      <c r="ESZ3" s="120"/>
      <c r="ETA3" s="120"/>
      <c r="ETB3" s="120"/>
      <c r="ETC3" s="120"/>
      <c r="ETD3" s="120"/>
      <c r="ETE3" s="120"/>
      <c r="ETF3" s="120"/>
      <c r="ETG3" s="120"/>
      <c r="ETH3" s="120"/>
      <c r="ETI3" s="120"/>
      <c r="ETJ3" s="120"/>
      <c r="ETK3" s="120"/>
      <c r="ETL3" s="120"/>
      <c r="ETM3" s="120"/>
      <c r="ETN3" s="120"/>
      <c r="ETO3" s="120"/>
      <c r="ETP3" s="120"/>
      <c r="ETQ3" s="120"/>
      <c r="ETR3" s="120"/>
      <c r="ETS3" s="120"/>
      <c r="ETT3" s="120"/>
      <c r="ETU3" s="120"/>
      <c r="ETV3" s="120"/>
      <c r="ETW3" s="120"/>
      <c r="ETX3" s="120"/>
      <c r="ETY3" s="120"/>
      <c r="ETZ3" s="120"/>
      <c r="EUA3" s="120"/>
      <c r="EUB3" s="120"/>
      <c r="EUC3" s="120"/>
      <c r="EUD3" s="120"/>
      <c r="EUE3" s="120"/>
      <c r="EUF3" s="120"/>
      <c r="EUG3" s="120"/>
      <c r="EUH3" s="120"/>
      <c r="EUI3" s="120"/>
      <c r="EUJ3" s="120"/>
      <c r="EUK3" s="120"/>
      <c r="EUL3" s="120"/>
      <c r="EUM3" s="120"/>
      <c r="EUN3" s="120"/>
      <c r="EUO3" s="120"/>
      <c r="EUP3" s="120"/>
      <c r="EUQ3" s="120"/>
      <c r="EUR3" s="120"/>
      <c r="EUS3" s="120"/>
      <c r="EUT3" s="120"/>
      <c r="EUU3" s="120"/>
      <c r="EUV3" s="120"/>
      <c r="EUW3" s="120"/>
      <c r="EUX3" s="120"/>
      <c r="EUY3" s="120"/>
      <c r="EUZ3" s="120"/>
      <c r="EVA3" s="120"/>
      <c r="EVB3" s="120"/>
      <c r="EVC3" s="120"/>
      <c r="EVD3" s="120"/>
      <c r="EVE3" s="120"/>
      <c r="EVF3" s="120"/>
      <c r="EVG3" s="120"/>
      <c r="EVH3" s="120"/>
      <c r="EVI3" s="120"/>
      <c r="EVJ3" s="120"/>
      <c r="EVK3" s="120"/>
      <c r="EVL3" s="120"/>
      <c r="EVM3" s="120"/>
      <c r="EVN3" s="120"/>
      <c r="EVO3" s="120"/>
      <c r="EVP3" s="120"/>
      <c r="EVQ3" s="120"/>
      <c r="EVR3" s="120"/>
      <c r="EVS3" s="120"/>
      <c r="EVT3" s="120"/>
      <c r="EVU3" s="120"/>
      <c r="EVV3" s="120"/>
      <c r="EVW3" s="120"/>
      <c r="EVX3" s="120"/>
      <c r="EVY3" s="120"/>
      <c r="EVZ3" s="120"/>
      <c r="EWA3" s="120"/>
      <c r="EWB3" s="120"/>
      <c r="EWC3" s="120"/>
      <c r="EWD3" s="120"/>
      <c r="EWE3" s="120"/>
      <c r="EWF3" s="120"/>
      <c r="EWG3" s="120"/>
      <c r="EWH3" s="120"/>
      <c r="EWI3" s="120"/>
      <c r="EWJ3" s="120"/>
      <c r="EWK3" s="120"/>
      <c r="EWL3" s="120"/>
      <c r="EWM3" s="120"/>
      <c r="EWN3" s="120"/>
      <c r="EWO3" s="120"/>
      <c r="EWP3" s="120"/>
      <c r="EWQ3" s="120"/>
      <c r="EWR3" s="120"/>
      <c r="EWS3" s="120"/>
      <c r="EWT3" s="120"/>
      <c r="EWU3" s="120"/>
      <c r="EWV3" s="120"/>
      <c r="EWW3" s="120"/>
      <c r="EWX3" s="120"/>
      <c r="EWY3" s="120"/>
      <c r="EWZ3" s="120"/>
      <c r="EXA3" s="120"/>
      <c r="EXB3" s="120"/>
      <c r="EXC3" s="120"/>
      <c r="EXD3" s="120"/>
      <c r="EXE3" s="120"/>
      <c r="EXF3" s="120"/>
      <c r="EXG3" s="120"/>
      <c r="EXH3" s="120"/>
      <c r="EXI3" s="120"/>
      <c r="EXJ3" s="120"/>
      <c r="EXK3" s="120"/>
      <c r="EXL3" s="120"/>
      <c r="EXM3" s="120"/>
      <c r="EXN3" s="120"/>
      <c r="EXO3" s="120"/>
      <c r="EXP3" s="120"/>
      <c r="EXQ3" s="120"/>
      <c r="EXR3" s="120"/>
      <c r="EXS3" s="120"/>
      <c r="EXT3" s="120"/>
      <c r="EXU3" s="120"/>
      <c r="EXV3" s="120"/>
      <c r="EXW3" s="120"/>
      <c r="EXX3" s="120"/>
      <c r="EXY3" s="120"/>
      <c r="EXZ3" s="120"/>
      <c r="EYA3" s="120"/>
      <c r="EYB3" s="120"/>
      <c r="EYC3" s="120"/>
      <c r="EYD3" s="120"/>
      <c r="EYE3" s="120"/>
      <c r="EYF3" s="120"/>
      <c r="EYG3" s="120"/>
      <c r="EYH3" s="120"/>
      <c r="EYI3" s="120"/>
      <c r="EYJ3" s="120"/>
      <c r="EYK3" s="120"/>
      <c r="EYL3" s="120"/>
      <c r="EYM3" s="120"/>
      <c r="EYN3" s="120"/>
      <c r="EYO3" s="120"/>
      <c r="EYP3" s="120"/>
      <c r="EYQ3" s="120"/>
      <c r="EYR3" s="120"/>
      <c r="EYS3" s="120"/>
      <c r="EYT3" s="120"/>
      <c r="EYU3" s="120"/>
      <c r="EYV3" s="120"/>
      <c r="EYW3" s="120"/>
      <c r="EYX3" s="120"/>
      <c r="EYY3" s="120"/>
      <c r="EYZ3" s="120"/>
      <c r="EZA3" s="120"/>
      <c r="EZB3" s="120"/>
      <c r="EZC3" s="120"/>
      <c r="EZD3" s="120"/>
      <c r="EZE3" s="120"/>
      <c r="EZF3" s="120"/>
      <c r="EZG3" s="120"/>
      <c r="EZH3" s="120"/>
      <c r="EZI3" s="120"/>
      <c r="EZJ3" s="120"/>
      <c r="EZK3" s="120"/>
      <c r="EZL3" s="120"/>
      <c r="EZM3" s="120"/>
      <c r="EZN3" s="120"/>
      <c r="EZO3" s="120"/>
      <c r="EZP3" s="120"/>
      <c r="EZQ3" s="120"/>
      <c r="EZR3" s="120"/>
      <c r="EZS3" s="120"/>
      <c r="EZT3" s="120"/>
      <c r="EZU3" s="120"/>
      <c r="EZV3" s="120"/>
      <c r="EZW3" s="120"/>
      <c r="EZX3" s="120"/>
      <c r="EZY3" s="120"/>
      <c r="EZZ3" s="120"/>
      <c r="FAA3" s="120"/>
      <c r="FAB3" s="120"/>
      <c r="FAC3" s="120"/>
      <c r="FAD3" s="120"/>
      <c r="FAE3" s="120"/>
      <c r="FAF3" s="120"/>
      <c r="FAG3" s="120"/>
      <c r="FAH3" s="120"/>
      <c r="FAI3" s="120"/>
      <c r="FAJ3" s="120"/>
      <c r="FAK3" s="120"/>
      <c r="FAL3" s="120"/>
      <c r="FAM3" s="120"/>
      <c r="FAN3" s="120"/>
      <c r="FAO3" s="120"/>
      <c r="FAP3" s="120"/>
      <c r="FAQ3" s="120"/>
      <c r="FAR3" s="120"/>
      <c r="FAS3" s="120"/>
      <c r="FAT3" s="120"/>
      <c r="FAU3" s="120"/>
      <c r="FAV3" s="120"/>
      <c r="FAW3" s="120"/>
      <c r="FAX3" s="120"/>
      <c r="FAY3" s="120"/>
      <c r="FAZ3" s="120"/>
      <c r="FBA3" s="120"/>
      <c r="FBB3" s="120"/>
      <c r="FBC3" s="120"/>
      <c r="FBD3" s="120"/>
      <c r="FBE3" s="120"/>
      <c r="FBF3" s="120"/>
      <c r="FBG3" s="120"/>
      <c r="FBH3" s="120"/>
      <c r="FBI3" s="120"/>
      <c r="FBJ3" s="120"/>
      <c r="FBK3" s="120"/>
      <c r="FBL3" s="120"/>
      <c r="FBM3" s="120"/>
      <c r="FBN3" s="120"/>
      <c r="FBO3" s="120"/>
      <c r="FBP3" s="120"/>
      <c r="FBQ3" s="120"/>
      <c r="FBR3" s="120"/>
      <c r="FBS3" s="120"/>
      <c r="FBT3" s="120"/>
      <c r="FBU3" s="120"/>
      <c r="FBV3" s="120"/>
      <c r="FBW3" s="120"/>
      <c r="FBX3" s="120"/>
      <c r="FBY3" s="120"/>
      <c r="FBZ3" s="120"/>
      <c r="FCA3" s="120"/>
      <c r="FCB3" s="120"/>
      <c r="FCC3" s="120"/>
      <c r="FCD3" s="120"/>
      <c r="FCE3" s="120"/>
      <c r="FCF3" s="120"/>
      <c r="FCG3" s="120"/>
      <c r="FCH3" s="120"/>
      <c r="FCI3" s="120"/>
      <c r="FCJ3" s="120"/>
      <c r="FCK3" s="120"/>
      <c r="FCL3" s="120"/>
      <c r="FCM3" s="120"/>
      <c r="FCN3" s="120"/>
      <c r="FCO3" s="120"/>
      <c r="FCP3" s="120"/>
      <c r="FCQ3" s="120"/>
      <c r="FCR3" s="120"/>
      <c r="FCS3" s="120"/>
      <c r="FCT3" s="120"/>
      <c r="FCU3" s="120"/>
      <c r="FCV3" s="120"/>
      <c r="FCW3" s="120"/>
      <c r="FCX3" s="120"/>
      <c r="FCY3" s="120"/>
      <c r="FCZ3" s="120"/>
      <c r="FDA3" s="120"/>
      <c r="FDB3" s="120"/>
      <c r="FDC3" s="120"/>
      <c r="FDD3" s="120"/>
      <c r="FDE3" s="120"/>
      <c r="FDF3" s="120"/>
      <c r="FDG3" s="120"/>
      <c r="FDH3" s="120"/>
      <c r="FDI3" s="120"/>
      <c r="FDJ3" s="120"/>
      <c r="FDK3" s="120"/>
      <c r="FDL3" s="120"/>
      <c r="FDM3" s="120"/>
      <c r="FDN3" s="120"/>
      <c r="FDO3" s="120"/>
      <c r="FDP3" s="120"/>
      <c r="FDQ3" s="120"/>
      <c r="FDR3" s="120"/>
      <c r="FDS3" s="120"/>
      <c r="FDT3" s="120"/>
      <c r="FDU3" s="120"/>
      <c r="FDV3" s="120"/>
      <c r="FDW3" s="120"/>
      <c r="FDX3" s="120"/>
      <c r="FDY3" s="120"/>
      <c r="FDZ3" s="120"/>
      <c r="FEA3" s="120"/>
      <c r="FEB3" s="120"/>
      <c r="FEC3" s="120"/>
      <c r="FED3" s="120"/>
      <c r="FEE3" s="120"/>
      <c r="FEF3" s="120"/>
      <c r="FEG3" s="120"/>
      <c r="FEH3" s="120"/>
      <c r="FEI3" s="120"/>
      <c r="FEJ3" s="120"/>
      <c r="FEK3" s="120"/>
      <c r="FEL3" s="120"/>
      <c r="FEM3" s="120"/>
      <c r="FEN3" s="120"/>
      <c r="FEO3" s="120"/>
      <c r="FEP3" s="120"/>
      <c r="FEQ3" s="120"/>
      <c r="FER3" s="120"/>
      <c r="FES3" s="120"/>
      <c r="FET3" s="120"/>
      <c r="FEU3" s="120"/>
      <c r="FEV3" s="120"/>
      <c r="FEW3" s="120"/>
      <c r="FEX3" s="120"/>
      <c r="FEY3" s="120"/>
      <c r="FEZ3" s="120"/>
      <c r="FFA3" s="120"/>
      <c r="FFB3" s="120"/>
      <c r="FFC3" s="120"/>
      <c r="FFD3" s="120"/>
      <c r="FFE3" s="120"/>
      <c r="FFF3" s="120"/>
      <c r="FFG3" s="120"/>
      <c r="FFH3" s="120"/>
      <c r="FFI3" s="120"/>
      <c r="FFJ3" s="120"/>
      <c r="FFK3" s="120"/>
      <c r="FFL3" s="120"/>
      <c r="FFM3" s="120"/>
      <c r="FFN3" s="120"/>
      <c r="FFO3" s="120"/>
      <c r="FFP3" s="120"/>
      <c r="FFQ3" s="120"/>
      <c r="FFR3" s="120"/>
      <c r="FFS3" s="120"/>
      <c r="FFT3" s="120"/>
      <c r="FFU3" s="120"/>
      <c r="FFV3" s="120"/>
      <c r="FFW3" s="120"/>
      <c r="FFX3" s="120"/>
      <c r="FFY3" s="120"/>
      <c r="FFZ3" s="120"/>
      <c r="FGA3" s="120"/>
      <c r="FGB3" s="120"/>
      <c r="FGC3" s="120"/>
      <c r="FGD3" s="120"/>
      <c r="FGE3" s="120"/>
      <c r="FGF3" s="120"/>
      <c r="FGG3" s="120"/>
      <c r="FGH3" s="120"/>
      <c r="FGI3" s="120"/>
      <c r="FGJ3" s="120"/>
      <c r="FGK3" s="120"/>
      <c r="FGL3" s="120"/>
      <c r="FGM3" s="120"/>
      <c r="FGN3" s="120"/>
      <c r="FGO3" s="120"/>
      <c r="FGP3" s="120"/>
      <c r="FGQ3" s="120"/>
      <c r="FGR3" s="120"/>
      <c r="FGS3" s="120"/>
      <c r="FGT3" s="120"/>
      <c r="FGU3" s="120"/>
      <c r="FGV3" s="120"/>
      <c r="FGW3" s="120"/>
      <c r="FGX3" s="120"/>
      <c r="FGY3" s="120"/>
      <c r="FGZ3" s="120"/>
      <c r="FHA3" s="120"/>
      <c r="FHB3" s="120"/>
      <c r="FHC3" s="120"/>
      <c r="FHD3" s="120"/>
      <c r="FHE3" s="120"/>
      <c r="FHF3" s="120"/>
      <c r="FHG3" s="120"/>
      <c r="FHH3" s="120"/>
      <c r="FHI3" s="120"/>
      <c r="FHJ3" s="120"/>
      <c r="FHK3" s="120"/>
      <c r="FHL3" s="120"/>
      <c r="FHM3" s="120"/>
      <c r="FHN3" s="120"/>
      <c r="FHO3" s="120"/>
      <c r="FHP3" s="120"/>
      <c r="FHQ3" s="120"/>
      <c r="FHR3" s="120"/>
      <c r="FHS3" s="120"/>
      <c r="FHT3" s="120"/>
      <c r="FHU3" s="120"/>
      <c r="FHV3" s="120"/>
      <c r="FHW3" s="120"/>
      <c r="FHX3" s="120"/>
      <c r="FHY3" s="120"/>
      <c r="FHZ3" s="120"/>
      <c r="FIA3" s="120"/>
      <c r="FIB3" s="120"/>
      <c r="FIC3" s="120"/>
      <c r="FID3" s="120"/>
      <c r="FIE3" s="120"/>
      <c r="FIF3" s="120"/>
      <c r="FIG3" s="120"/>
      <c r="FIH3" s="120"/>
      <c r="FII3" s="120"/>
      <c r="FIJ3" s="120"/>
      <c r="FIK3" s="120"/>
      <c r="FIL3" s="120"/>
      <c r="FIM3" s="120"/>
      <c r="FIN3" s="120"/>
      <c r="FIO3" s="120"/>
      <c r="FIP3" s="120"/>
      <c r="FIQ3" s="120"/>
      <c r="FIR3" s="120"/>
      <c r="FIS3" s="120"/>
      <c r="FIT3" s="120"/>
      <c r="FIU3" s="120"/>
      <c r="FIV3" s="120"/>
      <c r="FIW3" s="120"/>
      <c r="FIX3" s="120"/>
      <c r="FIY3" s="120"/>
      <c r="FIZ3" s="120"/>
      <c r="FJA3" s="120"/>
      <c r="FJB3" s="120"/>
      <c r="FJC3" s="120"/>
      <c r="FJD3" s="120"/>
      <c r="FJE3" s="120"/>
      <c r="FJF3" s="120"/>
      <c r="FJG3" s="120"/>
      <c r="FJH3" s="120"/>
      <c r="FJI3" s="120"/>
      <c r="FJJ3" s="120"/>
      <c r="FJK3" s="120"/>
      <c r="FJL3" s="120"/>
      <c r="FJM3" s="120"/>
      <c r="FJN3" s="120"/>
      <c r="FJO3" s="120"/>
      <c r="FJP3" s="120"/>
      <c r="FJQ3" s="120"/>
      <c r="FJR3" s="120"/>
      <c r="FJS3" s="120"/>
      <c r="FJT3" s="120"/>
      <c r="FJU3" s="120"/>
      <c r="FJV3" s="120"/>
      <c r="FJW3" s="120"/>
      <c r="FJX3" s="120"/>
      <c r="FJY3" s="120"/>
      <c r="FJZ3" s="120"/>
      <c r="FKA3" s="120"/>
      <c r="FKB3" s="120"/>
      <c r="FKC3" s="120"/>
      <c r="FKD3" s="120"/>
      <c r="FKE3" s="120"/>
      <c r="FKF3" s="120"/>
      <c r="FKG3" s="120"/>
      <c r="FKH3" s="120"/>
      <c r="FKI3" s="120"/>
      <c r="FKJ3" s="120"/>
      <c r="FKK3" s="120"/>
      <c r="FKL3" s="120"/>
      <c r="FKM3" s="120"/>
      <c r="FKN3" s="120"/>
      <c r="FKO3" s="120"/>
      <c r="FKP3" s="120"/>
      <c r="FKQ3" s="120"/>
      <c r="FKR3" s="120"/>
      <c r="FKS3" s="120"/>
      <c r="FKT3" s="120"/>
      <c r="FKU3" s="120"/>
      <c r="FKV3" s="120"/>
      <c r="FKW3" s="120"/>
      <c r="FKX3" s="120"/>
      <c r="FKY3" s="120"/>
      <c r="FKZ3" s="120"/>
      <c r="FLA3" s="120"/>
      <c r="FLB3" s="120"/>
      <c r="FLC3" s="120"/>
      <c r="FLD3" s="120"/>
      <c r="FLE3" s="120"/>
      <c r="FLF3" s="120"/>
      <c r="FLG3" s="120"/>
      <c r="FLH3" s="120"/>
      <c r="FLI3" s="120"/>
      <c r="FLJ3" s="120"/>
      <c r="FLK3" s="120"/>
      <c r="FLL3" s="120"/>
      <c r="FLM3" s="120"/>
      <c r="FLN3" s="120"/>
      <c r="FLO3" s="120"/>
      <c r="FLP3" s="120"/>
      <c r="FLQ3" s="120"/>
      <c r="FLR3" s="120"/>
      <c r="FLS3" s="120"/>
      <c r="FLT3" s="120"/>
      <c r="FLU3" s="120"/>
      <c r="FLV3" s="120"/>
      <c r="FLW3" s="120"/>
      <c r="FLX3" s="120"/>
      <c r="FLY3" s="120"/>
      <c r="FLZ3" s="120"/>
      <c r="FMA3" s="120"/>
      <c r="FMB3" s="120"/>
      <c r="FMC3" s="120"/>
      <c r="FMD3" s="120"/>
      <c r="FME3" s="120"/>
      <c r="FMF3" s="120"/>
      <c r="FMG3" s="120"/>
      <c r="FMH3" s="120"/>
      <c r="FMI3" s="120"/>
      <c r="FMJ3" s="120"/>
      <c r="FMK3" s="120"/>
      <c r="FML3" s="120"/>
      <c r="FMM3" s="120"/>
      <c r="FMN3" s="120"/>
      <c r="FMO3" s="120"/>
      <c r="FMP3" s="120"/>
      <c r="FMQ3" s="120"/>
      <c r="FMR3" s="120"/>
      <c r="FMS3" s="120"/>
      <c r="FMT3" s="120"/>
      <c r="FMU3" s="120"/>
      <c r="FMV3" s="120"/>
      <c r="FMW3" s="120"/>
      <c r="FMX3" s="120"/>
      <c r="FMY3" s="120"/>
      <c r="FMZ3" s="120"/>
      <c r="FNA3" s="120"/>
      <c r="FNB3" s="120"/>
      <c r="FNC3" s="120"/>
      <c r="FND3" s="120"/>
      <c r="FNE3" s="120"/>
      <c r="FNF3" s="120"/>
      <c r="FNG3" s="120"/>
      <c r="FNH3" s="120"/>
      <c r="FNI3" s="120"/>
      <c r="FNJ3" s="120"/>
      <c r="FNK3" s="120"/>
      <c r="FNL3" s="120"/>
      <c r="FNM3" s="120"/>
      <c r="FNN3" s="120"/>
      <c r="FNO3" s="120"/>
      <c r="FNP3" s="120"/>
      <c r="FNQ3" s="120"/>
      <c r="FNR3" s="120"/>
      <c r="FNS3" s="120"/>
      <c r="FNT3" s="120"/>
      <c r="FNU3" s="120"/>
      <c r="FNV3" s="120"/>
      <c r="FNW3" s="120"/>
      <c r="FNX3" s="120"/>
      <c r="FNY3" s="120"/>
      <c r="FNZ3" s="120"/>
      <c r="FOA3" s="120"/>
      <c r="FOB3" s="120"/>
      <c r="FOC3" s="120"/>
      <c r="FOD3" s="120"/>
      <c r="FOE3" s="120"/>
      <c r="FOF3" s="120"/>
      <c r="FOG3" s="120"/>
      <c r="FOH3" s="120"/>
      <c r="FOI3" s="120"/>
      <c r="FOJ3" s="120"/>
      <c r="FOK3" s="120"/>
      <c r="FOL3" s="120"/>
      <c r="FOM3" s="120"/>
      <c r="FON3" s="120"/>
      <c r="FOO3" s="120"/>
      <c r="FOP3" s="120"/>
      <c r="FOQ3" s="120"/>
      <c r="FOR3" s="120"/>
      <c r="FOS3" s="120"/>
      <c r="FOT3" s="120"/>
      <c r="FOU3" s="120"/>
      <c r="FOV3" s="120"/>
      <c r="FOW3" s="120"/>
      <c r="FOX3" s="120"/>
      <c r="FOY3" s="120"/>
      <c r="FOZ3" s="120"/>
      <c r="FPA3" s="120"/>
      <c r="FPB3" s="120"/>
      <c r="FPC3" s="120"/>
      <c r="FPD3" s="120"/>
      <c r="FPE3" s="120"/>
      <c r="FPF3" s="120"/>
      <c r="FPG3" s="120"/>
      <c r="FPH3" s="120"/>
      <c r="FPI3" s="120"/>
      <c r="FPJ3" s="120"/>
      <c r="FPK3" s="120"/>
      <c r="FPL3" s="120"/>
      <c r="FPM3" s="120"/>
      <c r="FPN3" s="120"/>
      <c r="FPO3" s="120"/>
      <c r="FPP3" s="120"/>
      <c r="FPQ3" s="120"/>
      <c r="FPR3" s="120"/>
      <c r="FPS3" s="120"/>
      <c r="FPT3" s="120"/>
      <c r="FPU3" s="120"/>
      <c r="FPV3" s="120"/>
      <c r="FPW3" s="120"/>
      <c r="FPX3" s="120"/>
      <c r="FPY3" s="120"/>
      <c r="FPZ3" s="120"/>
      <c r="FQA3" s="120"/>
      <c r="FQB3" s="120"/>
      <c r="FQC3" s="120"/>
      <c r="FQD3" s="120"/>
      <c r="FQE3" s="120"/>
      <c r="FQF3" s="120"/>
      <c r="FQG3" s="120"/>
      <c r="FQH3" s="120"/>
      <c r="FQI3" s="120"/>
      <c r="FQJ3" s="120"/>
      <c r="FQK3" s="120"/>
      <c r="FQL3" s="120"/>
      <c r="FQM3" s="120"/>
      <c r="FQN3" s="120"/>
      <c r="FQO3" s="120"/>
      <c r="FQP3" s="120"/>
      <c r="FQQ3" s="120"/>
      <c r="FQR3" s="120"/>
      <c r="FQS3" s="120"/>
      <c r="FQT3" s="120"/>
      <c r="FQU3" s="120"/>
      <c r="FQV3" s="120"/>
      <c r="FQW3" s="120"/>
      <c r="FQX3" s="120"/>
      <c r="FQY3" s="120"/>
      <c r="FQZ3" s="120"/>
      <c r="FRA3" s="120"/>
      <c r="FRB3" s="120"/>
      <c r="FRC3" s="120"/>
      <c r="FRD3" s="120"/>
      <c r="FRE3" s="120"/>
      <c r="FRF3" s="120"/>
      <c r="FRG3" s="120"/>
      <c r="FRH3" s="120"/>
      <c r="FRI3" s="120"/>
      <c r="FRJ3" s="120"/>
      <c r="FRK3" s="120"/>
      <c r="FRL3" s="120"/>
      <c r="FRM3" s="120"/>
      <c r="FRN3" s="120"/>
      <c r="FRO3" s="120"/>
      <c r="FRP3" s="120"/>
      <c r="FRQ3" s="120"/>
      <c r="FRR3" s="120"/>
      <c r="FRS3" s="120"/>
      <c r="FRT3" s="120"/>
      <c r="FRU3" s="120"/>
      <c r="FRV3" s="120"/>
      <c r="FRW3" s="120"/>
      <c r="FRX3" s="120"/>
      <c r="FRY3" s="120"/>
      <c r="FRZ3" s="120"/>
      <c r="FSA3" s="120"/>
      <c r="FSB3" s="120"/>
      <c r="FSC3" s="120"/>
      <c r="FSD3" s="120"/>
      <c r="FSE3" s="120"/>
      <c r="FSF3" s="120"/>
      <c r="FSG3" s="120"/>
      <c r="FSH3" s="120"/>
      <c r="FSI3" s="120"/>
      <c r="FSJ3" s="120"/>
      <c r="FSK3" s="120"/>
      <c r="FSL3" s="120"/>
      <c r="FSM3" s="120"/>
      <c r="FSN3" s="120"/>
      <c r="FSO3" s="120"/>
      <c r="FSP3" s="120"/>
      <c r="FSQ3" s="120"/>
      <c r="FSR3" s="120"/>
      <c r="FSS3" s="120"/>
      <c r="FST3" s="120"/>
      <c r="FSU3" s="120"/>
      <c r="FSV3" s="120"/>
      <c r="FSW3" s="120"/>
      <c r="FSX3" s="120"/>
      <c r="FSY3" s="120"/>
      <c r="FSZ3" s="120"/>
      <c r="FTA3" s="120"/>
      <c r="FTB3" s="120"/>
      <c r="FTC3" s="120"/>
      <c r="FTD3" s="120"/>
      <c r="FTE3" s="120"/>
      <c r="FTF3" s="120"/>
      <c r="FTG3" s="120"/>
      <c r="FTH3" s="120"/>
      <c r="FTI3" s="120"/>
      <c r="FTJ3" s="120"/>
      <c r="FTK3" s="120"/>
      <c r="FTL3" s="120"/>
      <c r="FTM3" s="120"/>
      <c r="FTN3" s="120"/>
      <c r="FTO3" s="120"/>
      <c r="FTP3" s="120"/>
      <c r="FTQ3" s="120"/>
      <c r="FTR3" s="120"/>
      <c r="FTS3" s="120"/>
      <c r="FTT3" s="120"/>
      <c r="FTU3" s="120"/>
      <c r="FTV3" s="120"/>
      <c r="FTW3" s="120"/>
      <c r="FTX3" s="120"/>
      <c r="FTY3" s="120"/>
      <c r="FTZ3" s="120"/>
      <c r="FUA3" s="120"/>
      <c r="FUB3" s="120"/>
      <c r="FUC3" s="120"/>
      <c r="FUD3" s="120"/>
      <c r="FUE3" s="120"/>
      <c r="FUF3" s="120"/>
      <c r="FUG3" s="120"/>
      <c r="FUH3" s="120"/>
      <c r="FUI3" s="120"/>
      <c r="FUJ3" s="120"/>
      <c r="FUK3" s="120"/>
      <c r="FUL3" s="120"/>
      <c r="FUM3" s="120"/>
      <c r="FUN3" s="120"/>
      <c r="FUO3" s="120"/>
      <c r="FUP3" s="120"/>
      <c r="FUQ3" s="120"/>
      <c r="FUR3" s="120"/>
      <c r="FUS3" s="120"/>
      <c r="FUT3" s="120"/>
      <c r="FUU3" s="120"/>
      <c r="FUV3" s="120"/>
      <c r="FUW3" s="120"/>
      <c r="FUX3" s="120"/>
      <c r="FUY3" s="120"/>
      <c r="FUZ3" s="120"/>
      <c r="FVA3" s="120"/>
      <c r="FVB3" s="120"/>
      <c r="FVC3" s="120"/>
      <c r="FVD3" s="120"/>
      <c r="FVE3" s="120"/>
      <c r="FVF3" s="120"/>
      <c r="FVG3" s="120"/>
      <c r="FVH3" s="120"/>
      <c r="FVI3" s="120"/>
      <c r="FVJ3" s="120"/>
      <c r="FVK3" s="120"/>
      <c r="FVL3" s="120"/>
      <c r="FVM3" s="120"/>
      <c r="FVN3" s="120"/>
      <c r="FVO3" s="120"/>
      <c r="FVP3" s="120"/>
      <c r="FVQ3" s="120"/>
      <c r="FVR3" s="120"/>
      <c r="FVS3" s="120"/>
      <c r="FVT3" s="120"/>
      <c r="FVU3" s="120"/>
      <c r="FVV3" s="120"/>
      <c r="FVW3" s="120"/>
      <c r="FVX3" s="120"/>
      <c r="FVY3" s="120"/>
      <c r="FVZ3" s="120"/>
      <c r="FWA3" s="120"/>
      <c r="FWB3" s="120"/>
      <c r="FWC3" s="120"/>
      <c r="FWD3" s="120"/>
      <c r="FWE3" s="120"/>
      <c r="FWF3" s="120"/>
      <c r="FWG3" s="120"/>
      <c r="FWH3" s="120"/>
      <c r="FWI3" s="120"/>
      <c r="FWJ3" s="120"/>
      <c r="FWK3" s="120"/>
      <c r="FWL3" s="120"/>
      <c r="FWM3" s="120"/>
      <c r="FWN3" s="120"/>
      <c r="FWO3" s="120"/>
      <c r="FWP3" s="120"/>
      <c r="FWQ3" s="120"/>
      <c r="FWR3" s="120"/>
      <c r="FWS3" s="120"/>
      <c r="FWT3" s="120"/>
      <c r="FWU3" s="120"/>
      <c r="FWV3" s="120"/>
      <c r="FWW3" s="120"/>
      <c r="FWX3" s="120"/>
      <c r="FWY3" s="120"/>
      <c r="FWZ3" s="120"/>
      <c r="FXA3" s="120"/>
      <c r="FXB3" s="120"/>
      <c r="FXC3" s="120"/>
      <c r="FXD3" s="120"/>
      <c r="FXE3" s="120"/>
      <c r="FXF3" s="120"/>
      <c r="FXG3" s="120"/>
      <c r="FXH3" s="120"/>
      <c r="FXI3" s="120"/>
      <c r="FXJ3" s="120"/>
      <c r="FXK3" s="120"/>
      <c r="FXL3" s="120"/>
      <c r="FXM3" s="120"/>
      <c r="FXN3" s="120"/>
      <c r="FXO3" s="120"/>
      <c r="FXP3" s="120"/>
      <c r="FXQ3" s="120"/>
      <c r="FXR3" s="120"/>
      <c r="FXS3" s="120"/>
      <c r="FXT3" s="120"/>
      <c r="FXU3" s="120"/>
      <c r="FXV3" s="120"/>
      <c r="FXW3" s="120"/>
      <c r="FXX3" s="120"/>
      <c r="FXY3" s="120"/>
      <c r="FXZ3" s="120"/>
      <c r="FYA3" s="120"/>
      <c r="FYB3" s="120"/>
      <c r="FYC3" s="120"/>
      <c r="FYD3" s="120"/>
      <c r="FYE3" s="120"/>
      <c r="FYF3" s="120"/>
      <c r="FYG3" s="120"/>
      <c r="FYH3" s="120"/>
      <c r="FYI3" s="120"/>
      <c r="FYJ3" s="120"/>
      <c r="FYK3" s="120"/>
      <c r="FYL3" s="120"/>
      <c r="FYM3" s="120"/>
      <c r="FYN3" s="120"/>
      <c r="FYO3" s="120"/>
      <c r="FYP3" s="120"/>
      <c r="FYQ3" s="120"/>
      <c r="FYR3" s="120"/>
      <c r="FYS3" s="120"/>
      <c r="FYT3" s="120"/>
      <c r="FYU3" s="120"/>
      <c r="FYV3" s="120"/>
      <c r="FYW3" s="120"/>
      <c r="FYX3" s="120"/>
      <c r="FYY3" s="120"/>
      <c r="FYZ3" s="120"/>
      <c r="FZA3" s="120"/>
      <c r="FZB3" s="120"/>
      <c r="FZC3" s="120"/>
      <c r="FZD3" s="120"/>
      <c r="FZE3" s="120"/>
      <c r="FZF3" s="120"/>
      <c r="FZG3" s="120"/>
      <c r="FZH3" s="120"/>
      <c r="FZI3" s="120"/>
      <c r="FZJ3" s="120"/>
      <c r="FZK3" s="120"/>
      <c r="FZL3" s="120"/>
      <c r="FZM3" s="120"/>
      <c r="FZN3" s="120"/>
      <c r="FZO3" s="120"/>
      <c r="FZP3" s="120"/>
      <c r="FZQ3" s="120"/>
      <c r="FZR3" s="120"/>
      <c r="FZS3" s="120"/>
      <c r="FZT3" s="120"/>
      <c r="FZU3" s="120"/>
      <c r="FZV3" s="120"/>
      <c r="FZW3" s="120"/>
      <c r="FZX3" s="120"/>
      <c r="FZY3" s="120"/>
      <c r="FZZ3" s="120"/>
      <c r="GAA3" s="120"/>
      <c r="GAB3" s="120"/>
      <c r="GAC3" s="120"/>
      <c r="GAD3" s="120"/>
      <c r="GAE3" s="120"/>
      <c r="GAF3" s="120"/>
      <c r="GAG3" s="120"/>
      <c r="GAH3" s="120"/>
      <c r="GAI3" s="120"/>
      <c r="GAJ3" s="120"/>
      <c r="GAK3" s="120"/>
      <c r="GAL3" s="120"/>
      <c r="GAM3" s="120"/>
      <c r="GAN3" s="120"/>
      <c r="GAO3" s="120"/>
      <c r="GAP3" s="120"/>
      <c r="GAQ3" s="120"/>
      <c r="GAR3" s="120"/>
      <c r="GAS3" s="120"/>
      <c r="GAT3" s="120"/>
      <c r="GAU3" s="120"/>
      <c r="GAV3" s="120"/>
      <c r="GAW3" s="120"/>
      <c r="GAX3" s="120"/>
      <c r="GAY3" s="120"/>
      <c r="GAZ3" s="120"/>
      <c r="GBA3" s="120"/>
      <c r="GBB3" s="120"/>
      <c r="GBC3" s="120"/>
      <c r="GBD3" s="120"/>
      <c r="GBE3" s="120"/>
      <c r="GBF3" s="120"/>
      <c r="GBG3" s="120"/>
      <c r="GBH3" s="120"/>
      <c r="GBI3" s="120"/>
      <c r="GBJ3" s="120"/>
      <c r="GBK3" s="120"/>
      <c r="GBL3" s="120"/>
      <c r="GBM3" s="120"/>
      <c r="GBN3" s="120"/>
      <c r="GBO3" s="120"/>
      <c r="GBP3" s="120"/>
      <c r="GBQ3" s="120"/>
      <c r="GBR3" s="120"/>
      <c r="GBS3" s="120"/>
      <c r="GBT3" s="120"/>
      <c r="GBU3" s="120"/>
      <c r="GBV3" s="120"/>
      <c r="GBW3" s="120"/>
      <c r="GBX3" s="120"/>
      <c r="GBY3" s="120"/>
      <c r="GBZ3" s="120"/>
      <c r="GCA3" s="120"/>
      <c r="GCB3" s="120"/>
      <c r="GCC3" s="120"/>
      <c r="GCD3" s="120"/>
      <c r="GCE3" s="120"/>
      <c r="GCF3" s="120"/>
      <c r="GCG3" s="120"/>
      <c r="GCH3" s="120"/>
      <c r="GCI3" s="120"/>
      <c r="GCJ3" s="120"/>
      <c r="GCK3" s="120"/>
      <c r="GCL3" s="120"/>
      <c r="GCM3" s="120"/>
      <c r="GCN3" s="120"/>
      <c r="GCO3" s="120"/>
      <c r="GCP3" s="120"/>
      <c r="GCQ3" s="120"/>
      <c r="GCR3" s="120"/>
      <c r="GCS3" s="120"/>
      <c r="GCT3" s="120"/>
      <c r="GCU3" s="120"/>
      <c r="GCV3" s="120"/>
      <c r="GCW3" s="120"/>
      <c r="GCX3" s="120"/>
      <c r="GCY3" s="120"/>
      <c r="GCZ3" s="120"/>
      <c r="GDA3" s="120"/>
      <c r="GDB3" s="120"/>
      <c r="GDC3" s="120"/>
      <c r="GDD3" s="120"/>
      <c r="GDE3" s="120"/>
      <c r="GDF3" s="120"/>
      <c r="GDG3" s="120"/>
      <c r="GDH3" s="120"/>
      <c r="GDI3" s="120"/>
      <c r="GDJ3" s="120"/>
      <c r="GDK3" s="120"/>
      <c r="GDL3" s="120"/>
      <c r="GDM3" s="120"/>
      <c r="GDN3" s="120"/>
      <c r="GDO3" s="120"/>
      <c r="GDP3" s="120"/>
      <c r="GDQ3" s="120"/>
      <c r="GDR3" s="120"/>
      <c r="GDS3" s="120"/>
      <c r="GDT3" s="120"/>
      <c r="GDU3" s="120"/>
      <c r="GDV3" s="120"/>
      <c r="GDW3" s="120"/>
      <c r="GDX3" s="120"/>
      <c r="GDY3" s="120"/>
      <c r="GDZ3" s="120"/>
      <c r="GEA3" s="120"/>
      <c r="GEB3" s="120"/>
      <c r="GEC3" s="120"/>
      <c r="GED3" s="120"/>
      <c r="GEE3" s="120"/>
      <c r="GEF3" s="120"/>
      <c r="GEG3" s="120"/>
      <c r="GEH3" s="120"/>
      <c r="GEI3" s="120"/>
      <c r="GEJ3" s="120"/>
      <c r="GEK3" s="120"/>
      <c r="GEL3" s="120"/>
      <c r="GEM3" s="120"/>
      <c r="GEN3" s="120"/>
      <c r="GEO3" s="120"/>
      <c r="GEP3" s="120"/>
      <c r="GEQ3" s="120"/>
      <c r="GER3" s="120"/>
      <c r="GES3" s="120"/>
      <c r="GET3" s="120"/>
      <c r="GEU3" s="120"/>
      <c r="GEV3" s="120"/>
      <c r="GEW3" s="120"/>
      <c r="GEX3" s="120"/>
      <c r="GEY3" s="120"/>
      <c r="GEZ3" s="120"/>
      <c r="GFA3" s="120"/>
      <c r="GFB3" s="120"/>
      <c r="GFC3" s="120"/>
      <c r="GFD3" s="120"/>
      <c r="GFE3" s="120"/>
      <c r="GFF3" s="120"/>
      <c r="GFG3" s="120"/>
      <c r="GFH3" s="120"/>
      <c r="GFI3" s="120"/>
      <c r="GFJ3" s="120"/>
      <c r="GFK3" s="120"/>
      <c r="GFL3" s="120"/>
      <c r="GFM3" s="120"/>
      <c r="GFN3" s="120"/>
      <c r="GFO3" s="120"/>
      <c r="GFP3" s="120"/>
      <c r="GFQ3" s="120"/>
      <c r="GFR3" s="120"/>
      <c r="GFS3" s="120"/>
      <c r="GFT3" s="120"/>
      <c r="GFU3" s="120"/>
      <c r="GFV3" s="120"/>
      <c r="GFW3" s="120"/>
      <c r="GFX3" s="120"/>
      <c r="GFY3" s="120"/>
      <c r="GFZ3" s="120"/>
      <c r="GGA3" s="120"/>
      <c r="GGB3" s="120"/>
      <c r="GGC3" s="120"/>
      <c r="GGD3" s="120"/>
      <c r="GGE3" s="120"/>
      <c r="GGF3" s="120"/>
      <c r="GGG3" s="120"/>
      <c r="GGH3" s="120"/>
      <c r="GGI3" s="120"/>
      <c r="GGJ3" s="120"/>
      <c r="GGK3" s="120"/>
      <c r="GGL3" s="120"/>
      <c r="GGM3" s="120"/>
      <c r="GGN3" s="120"/>
      <c r="GGO3" s="120"/>
      <c r="GGP3" s="120"/>
      <c r="GGQ3" s="120"/>
      <c r="GGR3" s="120"/>
      <c r="GGS3" s="120"/>
      <c r="GGT3" s="120"/>
      <c r="GGU3" s="120"/>
      <c r="GGV3" s="120"/>
      <c r="GGW3" s="120"/>
      <c r="GGX3" s="120"/>
      <c r="GGY3" s="120"/>
      <c r="GGZ3" s="120"/>
      <c r="GHA3" s="120"/>
      <c r="GHB3" s="120"/>
      <c r="GHC3" s="120"/>
      <c r="GHD3" s="120"/>
      <c r="GHE3" s="120"/>
      <c r="GHF3" s="120"/>
      <c r="GHG3" s="120"/>
      <c r="GHH3" s="120"/>
      <c r="GHI3" s="120"/>
      <c r="GHJ3" s="120"/>
      <c r="GHK3" s="120"/>
      <c r="GHL3" s="120"/>
      <c r="GHM3" s="120"/>
      <c r="GHN3" s="120"/>
      <c r="GHO3" s="120"/>
      <c r="GHP3" s="120"/>
      <c r="GHQ3" s="120"/>
      <c r="GHR3" s="120"/>
      <c r="GHS3" s="120"/>
      <c r="GHT3" s="120"/>
      <c r="GHU3" s="120"/>
      <c r="GHV3" s="120"/>
      <c r="GHW3" s="120"/>
      <c r="GHX3" s="120"/>
      <c r="GHY3" s="120"/>
      <c r="GHZ3" s="120"/>
      <c r="GIA3" s="120"/>
      <c r="GIB3" s="120"/>
      <c r="GIC3" s="120"/>
      <c r="GID3" s="120"/>
      <c r="GIE3" s="120"/>
      <c r="GIF3" s="120"/>
      <c r="GIG3" s="120"/>
      <c r="GIH3" s="120"/>
      <c r="GII3" s="120"/>
      <c r="GIJ3" s="120"/>
      <c r="GIK3" s="120"/>
      <c r="GIL3" s="120"/>
      <c r="GIM3" s="120"/>
      <c r="GIN3" s="120"/>
      <c r="GIO3" s="120"/>
      <c r="GIP3" s="120"/>
      <c r="GIQ3" s="120"/>
      <c r="GIR3" s="120"/>
      <c r="GIS3" s="120"/>
      <c r="GIT3" s="120"/>
      <c r="GIU3" s="120"/>
      <c r="GIV3" s="120"/>
      <c r="GIW3" s="120"/>
      <c r="GIX3" s="120"/>
      <c r="GIY3" s="120"/>
      <c r="GIZ3" s="120"/>
      <c r="GJA3" s="120"/>
      <c r="GJB3" s="120"/>
      <c r="GJC3" s="120"/>
      <c r="GJD3" s="120"/>
      <c r="GJE3" s="120"/>
      <c r="GJF3" s="120"/>
      <c r="GJG3" s="120"/>
      <c r="GJH3" s="120"/>
      <c r="GJI3" s="120"/>
      <c r="GJJ3" s="120"/>
      <c r="GJK3" s="120"/>
      <c r="GJL3" s="120"/>
      <c r="GJM3" s="120"/>
      <c r="GJN3" s="120"/>
      <c r="GJO3" s="120"/>
      <c r="GJP3" s="120"/>
      <c r="GJQ3" s="120"/>
      <c r="GJR3" s="120"/>
      <c r="GJS3" s="120"/>
      <c r="GJT3" s="120"/>
      <c r="GJU3" s="120"/>
      <c r="GJV3" s="120"/>
      <c r="GJW3" s="120"/>
      <c r="GJX3" s="120"/>
      <c r="GJY3" s="120"/>
      <c r="GJZ3" s="120"/>
      <c r="GKA3" s="120"/>
      <c r="GKB3" s="120"/>
      <c r="GKC3" s="120"/>
      <c r="GKD3" s="120"/>
      <c r="GKE3" s="120"/>
      <c r="GKF3" s="120"/>
      <c r="GKG3" s="120"/>
      <c r="GKH3" s="120"/>
      <c r="GKI3" s="120"/>
      <c r="GKJ3" s="120"/>
      <c r="GKK3" s="120"/>
      <c r="GKL3" s="120"/>
      <c r="GKM3" s="120"/>
      <c r="GKN3" s="120"/>
      <c r="GKO3" s="120"/>
      <c r="GKP3" s="120"/>
      <c r="GKQ3" s="120"/>
      <c r="GKR3" s="120"/>
      <c r="GKS3" s="120"/>
      <c r="GKT3" s="120"/>
      <c r="GKU3" s="120"/>
      <c r="GKV3" s="120"/>
      <c r="GKW3" s="120"/>
      <c r="GKX3" s="120"/>
      <c r="GKY3" s="120"/>
      <c r="GKZ3" s="120"/>
      <c r="GLA3" s="120"/>
      <c r="GLB3" s="120"/>
      <c r="GLC3" s="120"/>
      <c r="GLD3" s="120"/>
      <c r="GLE3" s="120"/>
      <c r="GLF3" s="120"/>
      <c r="GLG3" s="120"/>
      <c r="GLH3" s="120"/>
      <c r="GLI3" s="120"/>
      <c r="GLJ3" s="120"/>
      <c r="GLK3" s="120"/>
      <c r="GLL3" s="120"/>
      <c r="GLM3" s="120"/>
      <c r="GLN3" s="120"/>
      <c r="GLO3" s="120"/>
      <c r="GLP3" s="120"/>
      <c r="GLQ3" s="120"/>
      <c r="GLR3" s="120"/>
      <c r="GLS3" s="120"/>
      <c r="GLT3" s="120"/>
      <c r="GLU3" s="120"/>
      <c r="GLV3" s="120"/>
      <c r="GLW3" s="120"/>
      <c r="GLX3" s="120"/>
      <c r="GLY3" s="120"/>
      <c r="GLZ3" s="120"/>
      <c r="GMA3" s="120"/>
      <c r="GMB3" s="120"/>
      <c r="GMC3" s="120"/>
      <c r="GMD3" s="120"/>
      <c r="GME3" s="120"/>
      <c r="GMF3" s="120"/>
      <c r="GMG3" s="120"/>
      <c r="GMH3" s="120"/>
      <c r="GMI3" s="120"/>
      <c r="GMJ3" s="120"/>
      <c r="GMK3" s="120"/>
      <c r="GML3" s="120"/>
      <c r="GMM3" s="120"/>
      <c r="GMN3" s="120"/>
      <c r="GMO3" s="120"/>
      <c r="GMP3" s="120"/>
      <c r="GMQ3" s="120"/>
      <c r="GMR3" s="120"/>
      <c r="GMS3" s="120"/>
      <c r="GMT3" s="120"/>
      <c r="GMU3" s="120"/>
      <c r="GMV3" s="120"/>
      <c r="GMW3" s="120"/>
      <c r="GMX3" s="120"/>
      <c r="GMY3" s="120"/>
      <c r="GMZ3" s="120"/>
      <c r="GNA3" s="120"/>
      <c r="GNB3" s="120"/>
      <c r="GNC3" s="120"/>
      <c r="GND3" s="120"/>
      <c r="GNE3" s="120"/>
      <c r="GNF3" s="120"/>
      <c r="GNG3" s="120"/>
      <c r="GNH3" s="120"/>
      <c r="GNI3" s="120"/>
      <c r="GNJ3" s="120"/>
      <c r="GNK3" s="120"/>
      <c r="GNL3" s="120"/>
      <c r="GNM3" s="120"/>
      <c r="GNN3" s="120"/>
      <c r="GNO3" s="120"/>
      <c r="GNP3" s="120"/>
      <c r="GNQ3" s="120"/>
      <c r="GNR3" s="120"/>
      <c r="GNS3" s="120"/>
      <c r="GNT3" s="120"/>
      <c r="GNU3" s="120"/>
      <c r="GNV3" s="120"/>
      <c r="GNW3" s="120"/>
      <c r="GNX3" s="120"/>
      <c r="GNY3" s="120"/>
      <c r="GNZ3" s="120"/>
      <c r="GOA3" s="120"/>
      <c r="GOB3" s="120"/>
      <c r="GOC3" s="120"/>
      <c r="GOD3" s="120"/>
      <c r="GOE3" s="120"/>
      <c r="GOF3" s="120"/>
      <c r="GOG3" s="120"/>
      <c r="GOH3" s="120"/>
      <c r="GOI3" s="120"/>
      <c r="GOJ3" s="120"/>
      <c r="GOK3" s="120"/>
      <c r="GOL3" s="120"/>
      <c r="GOM3" s="120"/>
      <c r="GON3" s="120"/>
      <c r="GOO3" s="120"/>
      <c r="GOP3" s="120"/>
      <c r="GOQ3" s="120"/>
      <c r="GOR3" s="120"/>
      <c r="GOS3" s="120"/>
      <c r="GOT3" s="120"/>
      <c r="GOU3" s="120"/>
      <c r="GOV3" s="120"/>
      <c r="GOW3" s="120"/>
      <c r="GOX3" s="120"/>
      <c r="GOY3" s="120"/>
      <c r="GOZ3" s="120"/>
      <c r="GPA3" s="120"/>
      <c r="GPB3" s="120"/>
      <c r="GPC3" s="120"/>
      <c r="GPD3" s="120"/>
      <c r="GPE3" s="120"/>
      <c r="GPF3" s="120"/>
      <c r="GPG3" s="120"/>
      <c r="GPH3" s="120"/>
      <c r="GPI3" s="120"/>
      <c r="GPJ3" s="120"/>
      <c r="GPK3" s="120"/>
      <c r="GPL3" s="120"/>
      <c r="GPM3" s="120"/>
      <c r="GPN3" s="120"/>
      <c r="GPO3" s="120"/>
      <c r="GPP3" s="120"/>
      <c r="GPQ3" s="120"/>
      <c r="GPR3" s="120"/>
      <c r="GPS3" s="120"/>
      <c r="GPT3" s="120"/>
      <c r="GPU3" s="120"/>
      <c r="GPV3" s="120"/>
      <c r="GPW3" s="120"/>
      <c r="GPX3" s="120"/>
      <c r="GPY3" s="120"/>
      <c r="GPZ3" s="120"/>
      <c r="GQA3" s="120"/>
      <c r="GQB3" s="120"/>
      <c r="GQC3" s="120"/>
      <c r="GQD3" s="120"/>
      <c r="GQE3" s="120"/>
      <c r="GQF3" s="120"/>
      <c r="GQG3" s="120"/>
      <c r="GQH3" s="120"/>
      <c r="GQI3" s="120"/>
      <c r="GQJ3" s="120"/>
      <c r="GQK3" s="120"/>
      <c r="GQL3" s="120"/>
      <c r="GQM3" s="120"/>
      <c r="GQN3" s="120"/>
      <c r="GQO3" s="120"/>
      <c r="GQP3" s="120"/>
      <c r="GQQ3" s="120"/>
      <c r="GQR3" s="120"/>
      <c r="GQS3" s="120"/>
      <c r="GQT3" s="120"/>
      <c r="GQU3" s="120"/>
      <c r="GQV3" s="120"/>
      <c r="GQW3" s="120"/>
      <c r="GQX3" s="120"/>
      <c r="GQY3" s="120"/>
      <c r="GQZ3" s="120"/>
      <c r="GRA3" s="120"/>
      <c r="GRB3" s="120"/>
      <c r="GRC3" s="120"/>
      <c r="GRD3" s="120"/>
      <c r="GRE3" s="120"/>
      <c r="GRF3" s="120"/>
      <c r="GRG3" s="120"/>
      <c r="GRH3" s="120"/>
      <c r="GRI3" s="120"/>
      <c r="GRJ3" s="120"/>
      <c r="GRK3" s="120"/>
      <c r="GRL3" s="120"/>
      <c r="GRM3" s="120"/>
      <c r="GRN3" s="120"/>
      <c r="GRO3" s="120"/>
      <c r="GRP3" s="120"/>
      <c r="GRQ3" s="120"/>
      <c r="GRR3" s="120"/>
      <c r="GRS3" s="120"/>
      <c r="GRT3" s="120"/>
      <c r="GRU3" s="120"/>
      <c r="GRV3" s="120"/>
      <c r="GRW3" s="120"/>
      <c r="GRX3" s="120"/>
      <c r="GRY3" s="120"/>
      <c r="GRZ3" s="120"/>
      <c r="GSA3" s="120"/>
      <c r="GSB3" s="120"/>
      <c r="GSC3" s="120"/>
      <c r="GSD3" s="120"/>
      <c r="GSE3" s="120"/>
      <c r="GSF3" s="120"/>
      <c r="GSG3" s="120"/>
      <c r="GSH3" s="120"/>
      <c r="GSI3" s="120"/>
      <c r="GSJ3" s="120"/>
      <c r="GSK3" s="120"/>
      <c r="GSL3" s="120"/>
      <c r="GSM3" s="120"/>
      <c r="GSN3" s="120"/>
      <c r="GSO3" s="120"/>
      <c r="GSP3" s="120"/>
      <c r="GSQ3" s="120"/>
      <c r="GSR3" s="120"/>
      <c r="GSS3" s="120"/>
      <c r="GST3" s="120"/>
      <c r="GSU3" s="120"/>
      <c r="GSV3" s="120"/>
      <c r="GSW3" s="120"/>
      <c r="GSX3" s="120"/>
      <c r="GSY3" s="120"/>
      <c r="GSZ3" s="120"/>
      <c r="GTA3" s="120"/>
      <c r="GTB3" s="120"/>
      <c r="GTC3" s="120"/>
      <c r="GTD3" s="120"/>
      <c r="GTE3" s="120"/>
      <c r="GTF3" s="120"/>
      <c r="GTG3" s="120"/>
      <c r="GTH3" s="120"/>
      <c r="GTI3" s="120"/>
      <c r="GTJ3" s="120"/>
      <c r="GTK3" s="120"/>
      <c r="GTL3" s="120"/>
      <c r="GTM3" s="120"/>
      <c r="GTN3" s="120"/>
      <c r="GTO3" s="120"/>
      <c r="GTP3" s="120"/>
      <c r="GTQ3" s="120"/>
      <c r="GTR3" s="120"/>
      <c r="GTS3" s="120"/>
      <c r="GTT3" s="120"/>
      <c r="GTU3" s="120"/>
      <c r="GTV3" s="120"/>
      <c r="GTW3" s="120"/>
      <c r="GTX3" s="120"/>
      <c r="GTY3" s="120"/>
      <c r="GTZ3" s="120"/>
      <c r="GUA3" s="120"/>
      <c r="GUB3" s="120"/>
      <c r="GUC3" s="120"/>
      <c r="GUD3" s="120"/>
      <c r="GUE3" s="120"/>
      <c r="GUF3" s="120"/>
      <c r="GUG3" s="120"/>
      <c r="GUH3" s="120"/>
      <c r="GUI3" s="120"/>
      <c r="GUJ3" s="120"/>
      <c r="GUK3" s="120"/>
      <c r="GUL3" s="120"/>
      <c r="GUM3" s="120"/>
      <c r="GUN3" s="120"/>
      <c r="GUO3" s="120"/>
      <c r="GUP3" s="120"/>
      <c r="GUQ3" s="120"/>
      <c r="GUR3" s="120"/>
      <c r="GUS3" s="120"/>
      <c r="GUT3" s="120"/>
      <c r="GUU3" s="120"/>
      <c r="GUV3" s="120"/>
      <c r="GUW3" s="120"/>
      <c r="GUX3" s="120"/>
      <c r="GUY3" s="120"/>
      <c r="GUZ3" s="120"/>
      <c r="GVA3" s="120"/>
      <c r="GVB3" s="120"/>
      <c r="GVC3" s="120"/>
      <c r="GVD3" s="120"/>
      <c r="GVE3" s="120"/>
      <c r="GVF3" s="120"/>
      <c r="GVG3" s="120"/>
      <c r="GVH3" s="120"/>
      <c r="GVI3" s="120"/>
      <c r="GVJ3" s="120"/>
      <c r="GVK3" s="120"/>
      <c r="GVL3" s="120"/>
      <c r="GVM3" s="120"/>
      <c r="GVN3" s="120"/>
      <c r="GVO3" s="120"/>
      <c r="GVP3" s="120"/>
      <c r="GVQ3" s="120"/>
      <c r="GVR3" s="120"/>
      <c r="GVS3" s="120"/>
      <c r="GVT3" s="120"/>
      <c r="GVU3" s="120"/>
      <c r="GVV3" s="120"/>
      <c r="GVW3" s="120"/>
      <c r="GVX3" s="120"/>
      <c r="GVY3" s="120"/>
      <c r="GVZ3" s="120"/>
      <c r="GWA3" s="120"/>
      <c r="GWB3" s="120"/>
      <c r="GWC3" s="120"/>
      <c r="GWD3" s="120"/>
      <c r="GWE3" s="120"/>
      <c r="GWF3" s="120"/>
      <c r="GWG3" s="120"/>
      <c r="GWH3" s="120"/>
      <c r="GWI3" s="120"/>
      <c r="GWJ3" s="120"/>
      <c r="GWK3" s="120"/>
      <c r="GWL3" s="120"/>
      <c r="GWM3" s="120"/>
      <c r="GWN3" s="120"/>
      <c r="GWO3" s="120"/>
      <c r="GWP3" s="120"/>
      <c r="GWQ3" s="120"/>
      <c r="GWR3" s="120"/>
      <c r="GWS3" s="120"/>
      <c r="GWT3" s="120"/>
      <c r="GWU3" s="120"/>
      <c r="GWV3" s="120"/>
      <c r="GWW3" s="120"/>
      <c r="GWX3" s="120"/>
      <c r="GWY3" s="120"/>
      <c r="GWZ3" s="120"/>
      <c r="GXA3" s="120"/>
      <c r="GXB3" s="120"/>
      <c r="GXC3" s="120"/>
      <c r="GXD3" s="120"/>
      <c r="GXE3" s="120"/>
      <c r="GXF3" s="120"/>
      <c r="GXG3" s="120"/>
      <c r="GXH3" s="120"/>
      <c r="GXI3" s="120"/>
      <c r="GXJ3" s="120"/>
      <c r="GXK3" s="120"/>
      <c r="GXL3" s="120"/>
      <c r="GXM3" s="120"/>
      <c r="GXN3" s="120"/>
      <c r="GXO3" s="120"/>
      <c r="GXP3" s="120"/>
      <c r="GXQ3" s="120"/>
      <c r="GXR3" s="120"/>
      <c r="GXS3" s="120"/>
      <c r="GXT3" s="120"/>
      <c r="GXU3" s="120"/>
      <c r="GXV3" s="120"/>
      <c r="GXW3" s="120"/>
      <c r="GXX3" s="120"/>
      <c r="GXY3" s="120"/>
      <c r="GXZ3" s="120"/>
      <c r="GYA3" s="120"/>
      <c r="GYB3" s="120"/>
      <c r="GYC3" s="120"/>
      <c r="GYD3" s="120"/>
      <c r="GYE3" s="120"/>
      <c r="GYF3" s="120"/>
      <c r="GYG3" s="120"/>
      <c r="GYH3" s="120"/>
      <c r="GYI3" s="120"/>
      <c r="GYJ3" s="120"/>
      <c r="GYK3" s="120"/>
      <c r="GYL3" s="120"/>
      <c r="GYM3" s="120"/>
      <c r="GYN3" s="120"/>
      <c r="GYO3" s="120"/>
      <c r="GYP3" s="120"/>
      <c r="GYQ3" s="120"/>
      <c r="GYR3" s="120"/>
      <c r="GYS3" s="120"/>
      <c r="GYT3" s="120"/>
      <c r="GYU3" s="120"/>
      <c r="GYV3" s="120"/>
      <c r="GYW3" s="120"/>
      <c r="GYX3" s="120"/>
      <c r="GYY3" s="120"/>
      <c r="GYZ3" s="120"/>
      <c r="GZA3" s="120"/>
      <c r="GZB3" s="120"/>
      <c r="GZC3" s="120"/>
      <c r="GZD3" s="120"/>
      <c r="GZE3" s="120"/>
      <c r="GZF3" s="120"/>
      <c r="GZG3" s="120"/>
      <c r="GZH3" s="120"/>
      <c r="GZI3" s="120"/>
      <c r="GZJ3" s="120"/>
      <c r="GZK3" s="120"/>
      <c r="GZL3" s="120"/>
      <c r="GZM3" s="120"/>
      <c r="GZN3" s="120"/>
      <c r="GZO3" s="120"/>
      <c r="GZP3" s="120"/>
      <c r="GZQ3" s="120"/>
      <c r="GZR3" s="120"/>
      <c r="GZS3" s="120"/>
      <c r="GZT3" s="120"/>
      <c r="GZU3" s="120"/>
      <c r="GZV3" s="120"/>
      <c r="GZW3" s="120"/>
      <c r="GZX3" s="120"/>
      <c r="GZY3" s="120"/>
      <c r="GZZ3" s="120"/>
      <c r="HAA3" s="120"/>
      <c r="HAB3" s="120"/>
      <c r="HAC3" s="120"/>
      <c r="HAD3" s="120"/>
      <c r="HAE3" s="120"/>
      <c r="HAF3" s="120"/>
      <c r="HAG3" s="120"/>
      <c r="HAH3" s="120"/>
      <c r="HAI3" s="120"/>
      <c r="HAJ3" s="120"/>
      <c r="HAK3" s="120"/>
      <c r="HAL3" s="120"/>
      <c r="HAM3" s="120"/>
      <c r="HAN3" s="120"/>
      <c r="HAO3" s="120"/>
      <c r="HAP3" s="120"/>
      <c r="HAQ3" s="120"/>
      <c r="HAR3" s="120"/>
      <c r="HAS3" s="120"/>
      <c r="HAT3" s="120"/>
      <c r="HAU3" s="120"/>
      <c r="HAV3" s="120"/>
      <c r="HAW3" s="120"/>
      <c r="HAX3" s="120"/>
      <c r="HAY3" s="120"/>
      <c r="HAZ3" s="120"/>
      <c r="HBA3" s="120"/>
      <c r="HBB3" s="120"/>
      <c r="HBC3" s="120"/>
      <c r="HBD3" s="120"/>
      <c r="HBE3" s="120"/>
      <c r="HBF3" s="120"/>
      <c r="HBG3" s="120"/>
      <c r="HBH3" s="120"/>
      <c r="HBI3" s="120"/>
      <c r="HBJ3" s="120"/>
      <c r="HBK3" s="120"/>
      <c r="HBL3" s="120"/>
      <c r="HBM3" s="120"/>
      <c r="HBN3" s="120"/>
      <c r="HBO3" s="120"/>
      <c r="HBP3" s="120"/>
      <c r="HBQ3" s="120"/>
      <c r="HBR3" s="120"/>
      <c r="HBS3" s="120"/>
      <c r="HBT3" s="120"/>
      <c r="HBU3" s="120"/>
      <c r="HBV3" s="120"/>
      <c r="HBW3" s="120"/>
      <c r="HBX3" s="120"/>
      <c r="HBY3" s="120"/>
      <c r="HBZ3" s="120"/>
      <c r="HCA3" s="120"/>
      <c r="HCB3" s="120"/>
      <c r="HCC3" s="120"/>
      <c r="HCD3" s="120"/>
      <c r="HCE3" s="120"/>
      <c r="HCF3" s="120"/>
      <c r="HCG3" s="120"/>
      <c r="HCH3" s="120"/>
      <c r="HCI3" s="120"/>
      <c r="HCJ3" s="120"/>
      <c r="HCK3" s="120"/>
      <c r="HCL3" s="120"/>
      <c r="HCM3" s="120"/>
      <c r="HCN3" s="120"/>
      <c r="HCO3" s="120"/>
      <c r="HCP3" s="120"/>
      <c r="HCQ3" s="120"/>
      <c r="HCR3" s="120"/>
      <c r="HCS3" s="120"/>
      <c r="HCT3" s="120"/>
      <c r="HCU3" s="120"/>
      <c r="HCV3" s="120"/>
      <c r="HCW3" s="120"/>
      <c r="HCX3" s="120"/>
      <c r="HCY3" s="120"/>
      <c r="HCZ3" s="120"/>
      <c r="HDA3" s="120"/>
      <c r="HDB3" s="120"/>
      <c r="HDC3" s="120"/>
      <c r="HDD3" s="120"/>
      <c r="HDE3" s="120"/>
      <c r="HDF3" s="120"/>
      <c r="HDG3" s="120"/>
      <c r="HDH3" s="120"/>
      <c r="HDI3" s="120"/>
      <c r="HDJ3" s="120"/>
      <c r="HDK3" s="120"/>
      <c r="HDL3" s="120"/>
      <c r="HDM3" s="120"/>
      <c r="HDN3" s="120"/>
      <c r="HDO3" s="120"/>
      <c r="HDP3" s="120"/>
      <c r="HDQ3" s="120"/>
      <c r="HDR3" s="120"/>
      <c r="HDS3" s="120"/>
      <c r="HDT3" s="120"/>
      <c r="HDU3" s="120"/>
      <c r="HDV3" s="120"/>
      <c r="HDW3" s="120"/>
      <c r="HDX3" s="120"/>
      <c r="HDY3" s="120"/>
      <c r="HDZ3" s="120"/>
      <c r="HEA3" s="120"/>
      <c r="HEB3" s="120"/>
      <c r="HEC3" s="120"/>
      <c r="HED3" s="120"/>
      <c r="HEE3" s="120"/>
      <c r="HEF3" s="120"/>
      <c r="HEG3" s="120"/>
      <c r="HEH3" s="120"/>
      <c r="HEI3" s="120"/>
      <c r="HEJ3" s="120"/>
      <c r="HEK3" s="120"/>
      <c r="HEL3" s="120"/>
      <c r="HEM3" s="120"/>
      <c r="HEN3" s="120"/>
      <c r="HEO3" s="120"/>
      <c r="HEP3" s="120"/>
      <c r="HEQ3" s="120"/>
      <c r="HER3" s="120"/>
      <c r="HES3" s="120"/>
      <c r="HET3" s="120"/>
      <c r="HEU3" s="120"/>
      <c r="HEV3" s="120"/>
      <c r="HEW3" s="120"/>
      <c r="HEX3" s="120"/>
      <c r="HEY3" s="120"/>
      <c r="HEZ3" s="120"/>
      <c r="HFA3" s="120"/>
      <c r="HFB3" s="120"/>
      <c r="HFC3" s="120"/>
      <c r="HFD3" s="120"/>
      <c r="HFE3" s="120"/>
      <c r="HFF3" s="120"/>
      <c r="HFG3" s="120"/>
      <c r="HFH3" s="120"/>
      <c r="HFI3" s="120"/>
      <c r="HFJ3" s="120"/>
      <c r="HFK3" s="120"/>
      <c r="HFL3" s="120"/>
      <c r="HFM3" s="120"/>
      <c r="HFN3" s="120"/>
      <c r="HFO3" s="120"/>
      <c r="HFP3" s="120"/>
      <c r="HFQ3" s="120"/>
      <c r="HFR3" s="120"/>
      <c r="HFS3" s="120"/>
      <c r="HFT3" s="120"/>
      <c r="HFU3" s="120"/>
      <c r="HFV3" s="120"/>
      <c r="HFW3" s="120"/>
      <c r="HFX3" s="120"/>
      <c r="HFY3" s="120"/>
      <c r="HFZ3" s="120"/>
      <c r="HGA3" s="120"/>
      <c r="HGB3" s="120"/>
      <c r="HGC3" s="120"/>
      <c r="HGD3" s="120"/>
      <c r="HGE3" s="120"/>
      <c r="HGF3" s="120"/>
      <c r="HGG3" s="120"/>
      <c r="HGH3" s="120"/>
      <c r="HGI3" s="120"/>
      <c r="HGJ3" s="120"/>
      <c r="HGK3" s="120"/>
      <c r="HGL3" s="120"/>
      <c r="HGM3" s="120"/>
      <c r="HGN3" s="120"/>
      <c r="HGO3" s="120"/>
      <c r="HGP3" s="120"/>
      <c r="HGQ3" s="120"/>
      <c r="HGR3" s="120"/>
      <c r="HGS3" s="120"/>
      <c r="HGT3" s="120"/>
      <c r="HGU3" s="120"/>
      <c r="HGV3" s="120"/>
      <c r="HGW3" s="120"/>
      <c r="HGX3" s="120"/>
      <c r="HGY3" s="120"/>
      <c r="HGZ3" s="120"/>
      <c r="HHA3" s="120"/>
      <c r="HHB3" s="120"/>
      <c r="HHC3" s="120"/>
      <c r="HHD3" s="120"/>
      <c r="HHE3" s="120"/>
      <c r="HHF3" s="120"/>
      <c r="HHG3" s="120"/>
      <c r="HHH3" s="120"/>
      <c r="HHI3" s="120"/>
      <c r="HHJ3" s="120"/>
      <c r="HHK3" s="120"/>
      <c r="HHL3" s="120"/>
      <c r="HHM3" s="120"/>
      <c r="HHN3" s="120"/>
      <c r="HHO3" s="120"/>
      <c r="HHP3" s="120"/>
      <c r="HHQ3" s="120"/>
      <c r="HHR3" s="120"/>
      <c r="HHS3" s="120"/>
      <c r="HHT3" s="120"/>
      <c r="HHU3" s="120"/>
      <c r="HHV3" s="120"/>
      <c r="HHW3" s="120"/>
      <c r="HHX3" s="120"/>
      <c r="HHY3" s="120"/>
      <c r="HHZ3" s="120"/>
      <c r="HIA3" s="120"/>
      <c r="HIB3" s="120"/>
      <c r="HIC3" s="120"/>
      <c r="HID3" s="120"/>
      <c r="HIE3" s="120"/>
      <c r="HIF3" s="120"/>
      <c r="HIG3" s="120"/>
      <c r="HIH3" s="120"/>
      <c r="HII3" s="120"/>
      <c r="HIJ3" s="120"/>
      <c r="HIK3" s="120"/>
      <c r="HIL3" s="120"/>
      <c r="HIM3" s="120"/>
      <c r="HIN3" s="120"/>
      <c r="HIO3" s="120"/>
      <c r="HIP3" s="120"/>
      <c r="HIQ3" s="120"/>
      <c r="HIR3" s="120"/>
      <c r="HIS3" s="120"/>
      <c r="HIT3" s="120"/>
      <c r="HIU3" s="120"/>
      <c r="HIV3" s="120"/>
      <c r="HIW3" s="120"/>
      <c r="HIX3" s="120"/>
      <c r="HIY3" s="120"/>
      <c r="HIZ3" s="120"/>
      <c r="HJA3" s="120"/>
      <c r="HJB3" s="120"/>
      <c r="HJC3" s="120"/>
      <c r="HJD3" s="120"/>
      <c r="HJE3" s="120"/>
      <c r="HJF3" s="120"/>
      <c r="HJG3" s="120"/>
      <c r="HJH3" s="120"/>
      <c r="HJI3" s="120"/>
      <c r="HJJ3" s="120"/>
      <c r="HJK3" s="120"/>
      <c r="HJL3" s="120"/>
      <c r="HJM3" s="120"/>
      <c r="HJN3" s="120"/>
      <c r="HJO3" s="120"/>
      <c r="HJP3" s="120"/>
      <c r="HJQ3" s="120"/>
      <c r="HJR3" s="120"/>
      <c r="HJS3" s="120"/>
      <c r="HJT3" s="120"/>
      <c r="HJU3" s="120"/>
      <c r="HJV3" s="120"/>
      <c r="HJW3" s="120"/>
      <c r="HJX3" s="120"/>
      <c r="HJY3" s="120"/>
      <c r="HJZ3" s="120"/>
      <c r="HKA3" s="120"/>
      <c r="HKB3" s="120"/>
      <c r="HKC3" s="120"/>
      <c r="HKD3" s="120"/>
      <c r="HKE3" s="120"/>
      <c r="HKF3" s="120"/>
      <c r="HKG3" s="120"/>
      <c r="HKH3" s="120"/>
      <c r="HKI3" s="120"/>
      <c r="HKJ3" s="120"/>
      <c r="HKK3" s="120"/>
      <c r="HKL3" s="120"/>
      <c r="HKM3" s="120"/>
      <c r="HKN3" s="120"/>
      <c r="HKO3" s="120"/>
      <c r="HKP3" s="120"/>
      <c r="HKQ3" s="120"/>
      <c r="HKR3" s="120"/>
      <c r="HKS3" s="120"/>
      <c r="HKT3" s="120"/>
      <c r="HKU3" s="120"/>
      <c r="HKV3" s="120"/>
      <c r="HKW3" s="120"/>
      <c r="HKX3" s="120"/>
      <c r="HKY3" s="120"/>
      <c r="HKZ3" s="120"/>
      <c r="HLA3" s="120"/>
      <c r="HLB3" s="120"/>
      <c r="HLC3" s="120"/>
      <c r="HLD3" s="120"/>
      <c r="HLE3" s="120"/>
      <c r="HLF3" s="120"/>
      <c r="HLG3" s="120"/>
      <c r="HLH3" s="120"/>
      <c r="HLI3" s="120"/>
      <c r="HLJ3" s="120"/>
      <c r="HLK3" s="120"/>
      <c r="HLL3" s="120"/>
      <c r="HLM3" s="120"/>
      <c r="HLN3" s="120"/>
      <c r="HLO3" s="120"/>
      <c r="HLP3" s="120"/>
      <c r="HLQ3" s="120"/>
      <c r="HLR3" s="120"/>
      <c r="HLS3" s="120"/>
      <c r="HLT3" s="120"/>
      <c r="HLU3" s="120"/>
      <c r="HLV3" s="120"/>
      <c r="HLW3" s="120"/>
      <c r="HLX3" s="120"/>
      <c r="HLY3" s="120"/>
      <c r="HLZ3" s="120"/>
      <c r="HMA3" s="120"/>
      <c r="HMB3" s="120"/>
      <c r="HMC3" s="120"/>
      <c r="HMD3" s="120"/>
      <c r="HME3" s="120"/>
      <c r="HMF3" s="120"/>
      <c r="HMG3" s="120"/>
      <c r="HMH3" s="120"/>
      <c r="HMI3" s="120"/>
      <c r="HMJ3" s="120"/>
      <c r="HMK3" s="120"/>
      <c r="HML3" s="120"/>
      <c r="HMM3" s="120"/>
      <c r="HMN3" s="120"/>
      <c r="HMO3" s="120"/>
      <c r="HMP3" s="120"/>
      <c r="HMQ3" s="120"/>
      <c r="HMR3" s="120"/>
      <c r="HMS3" s="120"/>
      <c r="HMT3" s="120"/>
      <c r="HMU3" s="120"/>
      <c r="HMV3" s="120"/>
      <c r="HMW3" s="120"/>
      <c r="HMX3" s="120"/>
      <c r="HMY3" s="120"/>
      <c r="HMZ3" s="120"/>
      <c r="HNA3" s="120"/>
      <c r="HNB3" s="120"/>
      <c r="HNC3" s="120"/>
      <c r="HND3" s="120"/>
      <c r="HNE3" s="120"/>
      <c r="HNF3" s="120"/>
      <c r="HNG3" s="120"/>
      <c r="HNH3" s="120"/>
      <c r="HNI3" s="120"/>
      <c r="HNJ3" s="120"/>
      <c r="HNK3" s="120"/>
      <c r="HNL3" s="120"/>
      <c r="HNM3" s="120"/>
      <c r="HNN3" s="120"/>
      <c r="HNO3" s="120"/>
      <c r="HNP3" s="120"/>
      <c r="HNQ3" s="120"/>
      <c r="HNR3" s="120"/>
      <c r="HNS3" s="120"/>
      <c r="HNT3" s="120"/>
      <c r="HNU3" s="120"/>
      <c r="HNV3" s="120"/>
      <c r="HNW3" s="120"/>
      <c r="HNX3" s="120"/>
      <c r="HNY3" s="120"/>
      <c r="HNZ3" s="120"/>
      <c r="HOA3" s="120"/>
      <c r="HOB3" s="120"/>
      <c r="HOC3" s="120"/>
      <c r="HOD3" s="120"/>
      <c r="HOE3" s="120"/>
      <c r="HOF3" s="120"/>
      <c r="HOG3" s="120"/>
      <c r="HOH3" s="120"/>
      <c r="HOI3" s="120"/>
      <c r="HOJ3" s="120"/>
      <c r="HOK3" s="120"/>
      <c r="HOL3" s="120"/>
      <c r="HOM3" s="120"/>
      <c r="HON3" s="120"/>
      <c r="HOO3" s="120"/>
      <c r="HOP3" s="120"/>
      <c r="HOQ3" s="120"/>
      <c r="HOR3" s="120"/>
      <c r="HOS3" s="120"/>
      <c r="HOT3" s="120"/>
      <c r="HOU3" s="120"/>
      <c r="HOV3" s="120"/>
      <c r="HOW3" s="120"/>
      <c r="HOX3" s="120"/>
      <c r="HOY3" s="120"/>
      <c r="HOZ3" s="120"/>
      <c r="HPA3" s="120"/>
      <c r="HPB3" s="120"/>
      <c r="HPC3" s="120"/>
      <c r="HPD3" s="120"/>
      <c r="HPE3" s="120"/>
      <c r="HPF3" s="120"/>
      <c r="HPG3" s="120"/>
      <c r="HPH3" s="120"/>
      <c r="HPI3" s="120"/>
      <c r="HPJ3" s="120"/>
      <c r="HPK3" s="120"/>
      <c r="HPL3" s="120"/>
      <c r="HPM3" s="120"/>
      <c r="HPN3" s="120"/>
      <c r="HPO3" s="120"/>
      <c r="HPP3" s="120"/>
      <c r="HPQ3" s="120"/>
      <c r="HPR3" s="120"/>
      <c r="HPS3" s="120"/>
      <c r="HPT3" s="120"/>
      <c r="HPU3" s="120"/>
      <c r="HPV3" s="120"/>
      <c r="HPW3" s="120"/>
      <c r="HPX3" s="120"/>
      <c r="HPY3" s="120"/>
      <c r="HPZ3" s="120"/>
      <c r="HQA3" s="120"/>
      <c r="HQB3" s="120"/>
      <c r="HQC3" s="120"/>
      <c r="HQD3" s="120"/>
      <c r="HQE3" s="120"/>
      <c r="HQF3" s="120"/>
      <c r="HQG3" s="120"/>
      <c r="HQH3" s="120"/>
      <c r="HQI3" s="120"/>
      <c r="HQJ3" s="120"/>
      <c r="HQK3" s="120"/>
      <c r="HQL3" s="120"/>
      <c r="HQM3" s="120"/>
      <c r="HQN3" s="120"/>
      <c r="HQO3" s="120"/>
      <c r="HQP3" s="120"/>
      <c r="HQQ3" s="120"/>
      <c r="HQR3" s="120"/>
      <c r="HQS3" s="120"/>
      <c r="HQT3" s="120"/>
      <c r="HQU3" s="120"/>
      <c r="HQV3" s="120"/>
      <c r="HQW3" s="120"/>
      <c r="HQX3" s="120"/>
      <c r="HQY3" s="120"/>
      <c r="HQZ3" s="120"/>
      <c r="HRA3" s="120"/>
      <c r="HRB3" s="120"/>
      <c r="HRC3" s="120"/>
      <c r="HRD3" s="120"/>
      <c r="HRE3" s="120"/>
      <c r="HRF3" s="120"/>
      <c r="HRG3" s="120"/>
      <c r="HRH3" s="120"/>
      <c r="HRI3" s="120"/>
      <c r="HRJ3" s="120"/>
      <c r="HRK3" s="120"/>
      <c r="HRL3" s="120"/>
      <c r="HRM3" s="120"/>
      <c r="HRN3" s="120"/>
      <c r="HRO3" s="120"/>
      <c r="HRP3" s="120"/>
      <c r="HRQ3" s="120"/>
      <c r="HRR3" s="120"/>
      <c r="HRS3" s="120"/>
      <c r="HRT3" s="120"/>
      <c r="HRU3" s="120"/>
      <c r="HRV3" s="120"/>
      <c r="HRW3" s="120"/>
      <c r="HRX3" s="120"/>
      <c r="HRY3" s="120"/>
      <c r="HRZ3" s="120"/>
      <c r="HSA3" s="120"/>
      <c r="HSB3" s="120"/>
      <c r="HSC3" s="120"/>
      <c r="HSD3" s="120"/>
      <c r="HSE3" s="120"/>
      <c r="HSF3" s="120"/>
      <c r="HSG3" s="120"/>
      <c r="HSH3" s="120"/>
      <c r="HSI3" s="120"/>
      <c r="HSJ3" s="120"/>
      <c r="HSK3" s="120"/>
      <c r="HSL3" s="120"/>
      <c r="HSM3" s="120"/>
      <c r="HSN3" s="120"/>
      <c r="HSO3" s="120"/>
      <c r="HSP3" s="120"/>
      <c r="HSQ3" s="120"/>
      <c r="HSR3" s="120"/>
      <c r="HSS3" s="120"/>
      <c r="HST3" s="120"/>
      <c r="HSU3" s="120"/>
      <c r="HSV3" s="120"/>
      <c r="HSW3" s="120"/>
      <c r="HSX3" s="120"/>
      <c r="HSY3" s="120"/>
      <c r="HSZ3" s="120"/>
      <c r="HTA3" s="120"/>
      <c r="HTB3" s="120"/>
      <c r="HTC3" s="120"/>
      <c r="HTD3" s="120"/>
      <c r="HTE3" s="120"/>
      <c r="HTF3" s="120"/>
      <c r="HTG3" s="120"/>
      <c r="HTH3" s="120"/>
      <c r="HTI3" s="120"/>
      <c r="HTJ3" s="120"/>
      <c r="HTK3" s="120"/>
      <c r="HTL3" s="120"/>
      <c r="HTM3" s="120"/>
      <c r="HTN3" s="120"/>
      <c r="HTO3" s="120"/>
      <c r="HTP3" s="120"/>
      <c r="HTQ3" s="120"/>
      <c r="HTR3" s="120"/>
      <c r="HTS3" s="120"/>
      <c r="HTT3" s="120"/>
      <c r="HTU3" s="120"/>
      <c r="HTV3" s="120"/>
      <c r="HTW3" s="120"/>
      <c r="HTX3" s="120"/>
      <c r="HTY3" s="120"/>
      <c r="HTZ3" s="120"/>
      <c r="HUA3" s="120"/>
      <c r="HUB3" s="120"/>
      <c r="HUC3" s="120"/>
      <c r="HUD3" s="120"/>
      <c r="HUE3" s="120"/>
      <c r="HUF3" s="120"/>
      <c r="HUG3" s="120"/>
      <c r="HUH3" s="120"/>
      <c r="HUI3" s="120"/>
      <c r="HUJ3" s="120"/>
      <c r="HUK3" s="120"/>
      <c r="HUL3" s="120"/>
      <c r="HUM3" s="120"/>
      <c r="HUN3" s="120"/>
      <c r="HUO3" s="120"/>
      <c r="HUP3" s="120"/>
      <c r="HUQ3" s="120"/>
      <c r="HUR3" s="120"/>
      <c r="HUS3" s="120"/>
      <c r="HUT3" s="120"/>
      <c r="HUU3" s="120"/>
      <c r="HUV3" s="120"/>
      <c r="HUW3" s="120"/>
      <c r="HUX3" s="120"/>
      <c r="HUY3" s="120"/>
      <c r="HUZ3" s="120"/>
      <c r="HVA3" s="120"/>
      <c r="HVB3" s="120"/>
      <c r="HVC3" s="120"/>
      <c r="HVD3" s="120"/>
      <c r="HVE3" s="120"/>
      <c r="HVF3" s="120"/>
      <c r="HVG3" s="120"/>
      <c r="HVH3" s="120"/>
      <c r="HVI3" s="120"/>
      <c r="HVJ3" s="120"/>
      <c r="HVK3" s="120"/>
      <c r="HVL3" s="120"/>
      <c r="HVM3" s="120"/>
      <c r="HVN3" s="120"/>
      <c r="HVO3" s="120"/>
      <c r="HVP3" s="120"/>
      <c r="HVQ3" s="120"/>
      <c r="HVR3" s="120"/>
      <c r="HVS3" s="120"/>
      <c r="HVT3" s="120"/>
      <c r="HVU3" s="120"/>
      <c r="HVV3" s="120"/>
      <c r="HVW3" s="120"/>
      <c r="HVX3" s="120"/>
      <c r="HVY3" s="120"/>
      <c r="HVZ3" s="120"/>
      <c r="HWA3" s="120"/>
      <c r="HWB3" s="120"/>
      <c r="HWC3" s="120"/>
      <c r="HWD3" s="120"/>
      <c r="HWE3" s="120"/>
      <c r="HWF3" s="120"/>
      <c r="HWG3" s="120"/>
      <c r="HWH3" s="120"/>
      <c r="HWI3" s="120"/>
      <c r="HWJ3" s="120"/>
      <c r="HWK3" s="120"/>
      <c r="HWL3" s="120"/>
      <c r="HWM3" s="120"/>
      <c r="HWN3" s="120"/>
      <c r="HWO3" s="120"/>
      <c r="HWP3" s="120"/>
      <c r="HWQ3" s="120"/>
      <c r="HWR3" s="120"/>
      <c r="HWS3" s="120"/>
      <c r="HWT3" s="120"/>
      <c r="HWU3" s="120"/>
      <c r="HWV3" s="120"/>
      <c r="HWW3" s="120"/>
      <c r="HWX3" s="120"/>
      <c r="HWY3" s="120"/>
      <c r="HWZ3" s="120"/>
      <c r="HXA3" s="120"/>
      <c r="HXB3" s="120"/>
      <c r="HXC3" s="120"/>
      <c r="HXD3" s="120"/>
      <c r="HXE3" s="120"/>
      <c r="HXF3" s="120"/>
      <c r="HXG3" s="120"/>
      <c r="HXH3" s="120"/>
      <c r="HXI3" s="120"/>
      <c r="HXJ3" s="120"/>
      <c r="HXK3" s="120"/>
      <c r="HXL3" s="120"/>
      <c r="HXM3" s="120"/>
      <c r="HXN3" s="120"/>
      <c r="HXO3" s="120"/>
      <c r="HXP3" s="120"/>
      <c r="HXQ3" s="120"/>
      <c r="HXR3" s="120"/>
      <c r="HXS3" s="120"/>
      <c r="HXT3" s="120"/>
      <c r="HXU3" s="120"/>
      <c r="HXV3" s="120"/>
      <c r="HXW3" s="120"/>
      <c r="HXX3" s="120"/>
      <c r="HXY3" s="120"/>
      <c r="HXZ3" s="120"/>
      <c r="HYA3" s="120"/>
      <c r="HYB3" s="120"/>
      <c r="HYC3" s="120"/>
      <c r="HYD3" s="120"/>
      <c r="HYE3" s="120"/>
      <c r="HYF3" s="120"/>
      <c r="HYG3" s="120"/>
      <c r="HYH3" s="120"/>
      <c r="HYI3" s="120"/>
      <c r="HYJ3" s="120"/>
      <c r="HYK3" s="120"/>
      <c r="HYL3" s="120"/>
      <c r="HYM3" s="120"/>
      <c r="HYN3" s="120"/>
      <c r="HYO3" s="120"/>
      <c r="HYP3" s="120"/>
      <c r="HYQ3" s="120"/>
      <c r="HYR3" s="120"/>
      <c r="HYS3" s="120"/>
      <c r="HYT3" s="120"/>
      <c r="HYU3" s="120"/>
      <c r="HYV3" s="120"/>
      <c r="HYW3" s="120"/>
      <c r="HYX3" s="120"/>
      <c r="HYY3" s="120"/>
      <c r="HYZ3" s="120"/>
      <c r="HZA3" s="120"/>
      <c r="HZB3" s="120"/>
      <c r="HZC3" s="120"/>
      <c r="HZD3" s="120"/>
      <c r="HZE3" s="120"/>
      <c r="HZF3" s="120"/>
      <c r="HZG3" s="120"/>
      <c r="HZH3" s="120"/>
      <c r="HZI3" s="120"/>
      <c r="HZJ3" s="120"/>
      <c r="HZK3" s="120"/>
      <c r="HZL3" s="120"/>
      <c r="HZM3" s="120"/>
      <c r="HZN3" s="120"/>
      <c r="HZO3" s="120"/>
      <c r="HZP3" s="120"/>
      <c r="HZQ3" s="120"/>
      <c r="HZR3" s="120"/>
      <c r="HZS3" s="120"/>
      <c r="HZT3" s="120"/>
      <c r="HZU3" s="120"/>
      <c r="HZV3" s="120"/>
      <c r="HZW3" s="120"/>
      <c r="HZX3" s="120"/>
      <c r="HZY3" s="120"/>
      <c r="HZZ3" s="120"/>
      <c r="IAA3" s="120"/>
      <c r="IAB3" s="120"/>
      <c r="IAC3" s="120"/>
      <c r="IAD3" s="120"/>
      <c r="IAE3" s="120"/>
      <c r="IAF3" s="120"/>
      <c r="IAG3" s="120"/>
      <c r="IAH3" s="120"/>
      <c r="IAI3" s="120"/>
      <c r="IAJ3" s="120"/>
      <c r="IAK3" s="120"/>
      <c r="IAL3" s="120"/>
      <c r="IAM3" s="120"/>
      <c r="IAN3" s="120"/>
      <c r="IAO3" s="120"/>
      <c r="IAP3" s="120"/>
      <c r="IAQ3" s="120"/>
      <c r="IAR3" s="120"/>
      <c r="IAS3" s="120"/>
      <c r="IAT3" s="120"/>
      <c r="IAU3" s="120"/>
      <c r="IAV3" s="120"/>
      <c r="IAW3" s="120"/>
      <c r="IAX3" s="120"/>
      <c r="IAY3" s="120"/>
      <c r="IAZ3" s="120"/>
      <c r="IBA3" s="120"/>
      <c r="IBB3" s="120"/>
      <c r="IBC3" s="120"/>
      <c r="IBD3" s="120"/>
      <c r="IBE3" s="120"/>
      <c r="IBF3" s="120"/>
      <c r="IBG3" s="120"/>
      <c r="IBH3" s="120"/>
      <c r="IBI3" s="120"/>
      <c r="IBJ3" s="120"/>
      <c r="IBK3" s="120"/>
      <c r="IBL3" s="120"/>
      <c r="IBM3" s="120"/>
      <c r="IBN3" s="120"/>
      <c r="IBO3" s="120"/>
      <c r="IBP3" s="120"/>
      <c r="IBQ3" s="120"/>
      <c r="IBR3" s="120"/>
      <c r="IBS3" s="120"/>
      <c r="IBT3" s="120"/>
      <c r="IBU3" s="120"/>
      <c r="IBV3" s="120"/>
      <c r="IBW3" s="120"/>
      <c r="IBX3" s="120"/>
      <c r="IBY3" s="120"/>
      <c r="IBZ3" s="120"/>
      <c r="ICA3" s="120"/>
      <c r="ICB3" s="120"/>
      <c r="ICC3" s="120"/>
      <c r="ICD3" s="120"/>
      <c r="ICE3" s="120"/>
      <c r="ICF3" s="120"/>
      <c r="ICG3" s="120"/>
      <c r="ICH3" s="120"/>
      <c r="ICI3" s="120"/>
      <c r="ICJ3" s="120"/>
      <c r="ICK3" s="120"/>
      <c r="ICL3" s="120"/>
      <c r="ICM3" s="120"/>
      <c r="ICN3" s="120"/>
      <c r="ICO3" s="120"/>
      <c r="ICP3" s="120"/>
      <c r="ICQ3" s="120"/>
      <c r="ICR3" s="120"/>
      <c r="ICS3" s="120"/>
      <c r="ICT3" s="120"/>
      <c r="ICU3" s="120"/>
      <c r="ICV3" s="120"/>
      <c r="ICW3" s="120"/>
      <c r="ICX3" s="120"/>
      <c r="ICY3" s="120"/>
      <c r="ICZ3" s="120"/>
      <c r="IDA3" s="120"/>
      <c r="IDB3" s="120"/>
      <c r="IDC3" s="120"/>
      <c r="IDD3" s="120"/>
      <c r="IDE3" s="120"/>
      <c r="IDF3" s="120"/>
      <c r="IDG3" s="120"/>
      <c r="IDH3" s="120"/>
      <c r="IDI3" s="120"/>
      <c r="IDJ3" s="120"/>
      <c r="IDK3" s="120"/>
      <c r="IDL3" s="120"/>
      <c r="IDM3" s="120"/>
      <c r="IDN3" s="120"/>
      <c r="IDO3" s="120"/>
      <c r="IDP3" s="120"/>
      <c r="IDQ3" s="120"/>
      <c r="IDR3" s="120"/>
      <c r="IDS3" s="120"/>
      <c r="IDT3" s="120"/>
      <c r="IDU3" s="120"/>
      <c r="IDV3" s="120"/>
      <c r="IDW3" s="120"/>
      <c r="IDX3" s="120"/>
      <c r="IDY3" s="120"/>
      <c r="IDZ3" s="120"/>
      <c r="IEA3" s="120"/>
      <c r="IEB3" s="120"/>
      <c r="IEC3" s="120"/>
      <c r="IED3" s="120"/>
      <c r="IEE3" s="120"/>
      <c r="IEF3" s="120"/>
      <c r="IEG3" s="120"/>
      <c r="IEH3" s="120"/>
      <c r="IEI3" s="120"/>
      <c r="IEJ3" s="120"/>
      <c r="IEK3" s="120"/>
      <c r="IEL3" s="120"/>
      <c r="IEM3" s="120"/>
      <c r="IEN3" s="120"/>
      <c r="IEO3" s="120"/>
      <c r="IEP3" s="120"/>
      <c r="IEQ3" s="120"/>
      <c r="IER3" s="120"/>
      <c r="IES3" s="120"/>
      <c r="IET3" s="120"/>
      <c r="IEU3" s="120"/>
      <c r="IEV3" s="120"/>
      <c r="IEW3" s="120"/>
      <c r="IEX3" s="120"/>
      <c r="IEY3" s="120"/>
      <c r="IEZ3" s="120"/>
      <c r="IFA3" s="120"/>
      <c r="IFB3" s="120"/>
      <c r="IFC3" s="120"/>
      <c r="IFD3" s="120"/>
      <c r="IFE3" s="120"/>
      <c r="IFF3" s="120"/>
      <c r="IFG3" s="120"/>
      <c r="IFH3" s="120"/>
      <c r="IFI3" s="120"/>
      <c r="IFJ3" s="120"/>
      <c r="IFK3" s="120"/>
      <c r="IFL3" s="120"/>
      <c r="IFM3" s="120"/>
      <c r="IFN3" s="120"/>
      <c r="IFO3" s="120"/>
      <c r="IFP3" s="120"/>
      <c r="IFQ3" s="120"/>
      <c r="IFR3" s="120"/>
      <c r="IFS3" s="120"/>
      <c r="IFT3" s="120"/>
      <c r="IFU3" s="120"/>
      <c r="IFV3" s="120"/>
      <c r="IFW3" s="120"/>
      <c r="IFX3" s="120"/>
      <c r="IFY3" s="120"/>
      <c r="IFZ3" s="120"/>
      <c r="IGA3" s="120"/>
      <c r="IGB3" s="120"/>
      <c r="IGC3" s="120"/>
      <c r="IGD3" s="120"/>
      <c r="IGE3" s="120"/>
      <c r="IGF3" s="120"/>
      <c r="IGG3" s="120"/>
      <c r="IGH3" s="120"/>
      <c r="IGI3" s="120"/>
      <c r="IGJ3" s="120"/>
      <c r="IGK3" s="120"/>
      <c r="IGL3" s="120"/>
      <c r="IGM3" s="120"/>
      <c r="IGN3" s="120"/>
      <c r="IGO3" s="120"/>
      <c r="IGP3" s="120"/>
      <c r="IGQ3" s="120"/>
      <c r="IGR3" s="120"/>
      <c r="IGS3" s="120"/>
      <c r="IGT3" s="120"/>
      <c r="IGU3" s="120"/>
      <c r="IGV3" s="120"/>
      <c r="IGW3" s="120"/>
      <c r="IGX3" s="120"/>
      <c r="IGY3" s="120"/>
      <c r="IGZ3" s="120"/>
      <c r="IHA3" s="120"/>
      <c r="IHB3" s="120"/>
      <c r="IHC3" s="120"/>
      <c r="IHD3" s="120"/>
      <c r="IHE3" s="120"/>
      <c r="IHF3" s="120"/>
      <c r="IHG3" s="120"/>
      <c r="IHH3" s="120"/>
      <c r="IHI3" s="120"/>
      <c r="IHJ3" s="120"/>
      <c r="IHK3" s="120"/>
      <c r="IHL3" s="120"/>
      <c r="IHM3" s="120"/>
      <c r="IHN3" s="120"/>
      <c r="IHO3" s="120"/>
      <c r="IHP3" s="120"/>
      <c r="IHQ3" s="120"/>
      <c r="IHR3" s="120"/>
      <c r="IHS3" s="120"/>
      <c r="IHT3" s="120"/>
      <c r="IHU3" s="120"/>
      <c r="IHV3" s="120"/>
      <c r="IHW3" s="120"/>
      <c r="IHX3" s="120"/>
      <c r="IHY3" s="120"/>
      <c r="IHZ3" s="120"/>
      <c r="IIA3" s="120"/>
      <c r="IIB3" s="120"/>
      <c r="IIC3" s="120"/>
      <c r="IID3" s="120"/>
      <c r="IIE3" s="120"/>
      <c r="IIF3" s="120"/>
      <c r="IIG3" s="120"/>
      <c r="IIH3" s="120"/>
      <c r="III3" s="120"/>
      <c r="IIJ3" s="120"/>
      <c r="IIK3" s="120"/>
      <c r="IIL3" s="120"/>
      <c r="IIM3" s="120"/>
      <c r="IIN3" s="120"/>
      <c r="IIO3" s="120"/>
      <c r="IIP3" s="120"/>
      <c r="IIQ3" s="120"/>
      <c r="IIR3" s="120"/>
      <c r="IIS3" s="120"/>
      <c r="IIT3" s="120"/>
      <c r="IIU3" s="120"/>
      <c r="IIV3" s="120"/>
      <c r="IIW3" s="120"/>
      <c r="IIX3" s="120"/>
      <c r="IIY3" s="120"/>
      <c r="IIZ3" s="120"/>
      <c r="IJA3" s="120"/>
      <c r="IJB3" s="120"/>
      <c r="IJC3" s="120"/>
      <c r="IJD3" s="120"/>
      <c r="IJE3" s="120"/>
      <c r="IJF3" s="120"/>
      <c r="IJG3" s="120"/>
      <c r="IJH3" s="120"/>
      <c r="IJI3" s="120"/>
      <c r="IJJ3" s="120"/>
      <c r="IJK3" s="120"/>
      <c r="IJL3" s="120"/>
      <c r="IJM3" s="120"/>
      <c r="IJN3" s="120"/>
      <c r="IJO3" s="120"/>
      <c r="IJP3" s="120"/>
      <c r="IJQ3" s="120"/>
      <c r="IJR3" s="120"/>
      <c r="IJS3" s="120"/>
      <c r="IJT3" s="120"/>
      <c r="IJU3" s="120"/>
      <c r="IJV3" s="120"/>
      <c r="IJW3" s="120"/>
      <c r="IJX3" s="120"/>
      <c r="IJY3" s="120"/>
      <c r="IJZ3" s="120"/>
      <c r="IKA3" s="120"/>
      <c r="IKB3" s="120"/>
      <c r="IKC3" s="120"/>
      <c r="IKD3" s="120"/>
      <c r="IKE3" s="120"/>
      <c r="IKF3" s="120"/>
      <c r="IKG3" s="120"/>
      <c r="IKH3" s="120"/>
      <c r="IKI3" s="120"/>
      <c r="IKJ3" s="120"/>
      <c r="IKK3" s="120"/>
      <c r="IKL3" s="120"/>
      <c r="IKM3" s="120"/>
      <c r="IKN3" s="120"/>
      <c r="IKO3" s="120"/>
      <c r="IKP3" s="120"/>
      <c r="IKQ3" s="120"/>
      <c r="IKR3" s="120"/>
      <c r="IKS3" s="120"/>
      <c r="IKT3" s="120"/>
      <c r="IKU3" s="120"/>
      <c r="IKV3" s="120"/>
      <c r="IKW3" s="120"/>
      <c r="IKX3" s="120"/>
      <c r="IKY3" s="120"/>
      <c r="IKZ3" s="120"/>
      <c r="ILA3" s="120"/>
      <c r="ILB3" s="120"/>
      <c r="ILC3" s="120"/>
      <c r="ILD3" s="120"/>
      <c r="ILE3" s="120"/>
      <c r="ILF3" s="120"/>
      <c r="ILG3" s="120"/>
      <c r="ILH3" s="120"/>
      <c r="ILI3" s="120"/>
      <c r="ILJ3" s="120"/>
      <c r="ILK3" s="120"/>
      <c r="ILL3" s="120"/>
      <c r="ILM3" s="120"/>
      <c r="ILN3" s="120"/>
      <c r="ILO3" s="120"/>
      <c r="ILP3" s="120"/>
      <c r="ILQ3" s="120"/>
      <c r="ILR3" s="120"/>
      <c r="ILS3" s="120"/>
      <c r="ILT3" s="120"/>
      <c r="ILU3" s="120"/>
      <c r="ILV3" s="120"/>
      <c r="ILW3" s="120"/>
      <c r="ILX3" s="120"/>
      <c r="ILY3" s="120"/>
      <c r="ILZ3" s="120"/>
      <c r="IMA3" s="120"/>
      <c r="IMB3" s="120"/>
      <c r="IMC3" s="120"/>
      <c r="IMD3" s="120"/>
      <c r="IME3" s="120"/>
      <c r="IMF3" s="120"/>
      <c r="IMG3" s="120"/>
      <c r="IMH3" s="120"/>
      <c r="IMI3" s="120"/>
      <c r="IMJ3" s="120"/>
      <c r="IMK3" s="120"/>
      <c r="IML3" s="120"/>
      <c r="IMM3" s="120"/>
      <c r="IMN3" s="120"/>
      <c r="IMO3" s="120"/>
      <c r="IMP3" s="120"/>
      <c r="IMQ3" s="120"/>
      <c r="IMR3" s="120"/>
      <c r="IMS3" s="120"/>
      <c r="IMT3" s="120"/>
      <c r="IMU3" s="120"/>
      <c r="IMV3" s="120"/>
      <c r="IMW3" s="120"/>
      <c r="IMX3" s="120"/>
      <c r="IMY3" s="120"/>
      <c r="IMZ3" s="120"/>
      <c r="INA3" s="120"/>
      <c r="INB3" s="120"/>
      <c r="INC3" s="120"/>
      <c r="IND3" s="120"/>
      <c r="INE3" s="120"/>
      <c r="INF3" s="120"/>
      <c r="ING3" s="120"/>
      <c r="INH3" s="120"/>
      <c r="INI3" s="120"/>
      <c r="INJ3" s="120"/>
      <c r="INK3" s="120"/>
      <c r="INL3" s="120"/>
      <c r="INM3" s="120"/>
      <c r="INN3" s="120"/>
      <c r="INO3" s="120"/>
      <c r="INP3" s="120"/>
      <c r="INQ3" s="120"/>
      <c r="INR3" s="120"/>
      <c r="INS3" s="120"/>
      <c r="INT3" s="120"/>
      <c r="INU3" s="120"/>
      <c r="INV3" s="120"/>
      <c r="INW3" s="120"/>
      <c r="INX3" s="120"/>
      <c r="INY3" s="120"/>
      <c r="INZ3" s="120"/>
      <c r="IOA3" s="120"/>
      <c r="IOB3" s="120"/>
      <c r="IOC3" s="120"/>
      <c r="IOD3" s="120"/>
      <c r="IOE3" s="120"/>
      <c r="IOF3" s="120"/>
      <c r="IOG3" s="120"/>
      <c r="IOH3" s="120"/>
      <c r="IOI3" s="120"/>
      <c r="IOJ3" s="120"/>
      <c r="IOK3" s="120"/>
      <c r="IOL3" s="120"/>
      <c r="IOM3" s="120"/>
      <c r="ION3" s="120"/>
      <c r="IOO3" s="120"/>
      <c r="IOP3" s="120"/>
      <c r="IOQ3" s="120"/>
      <c r="IOR3" s="120"/>
      <c r="IOS3" s="120"/>
      <c r="IOT3" s="120"/>
      <c r="IOU3" s="120"/>
      <c r="IOV3" s="120"/>
      <c r="IOW3" s="120"/>
      <c r="IOX3" s="120"/>
      <c r="IOY3" s="120"/>
      <c r="IOZ3" s="120"/>
      <c r="IPA3" s="120"/>
      <c r="IPB3" s="120"/>
      <c r="IPC3" s="120"/>
      <c r="IPD3" s="120"/>
      <c r="IPE3" s="120"/>
      <c r="IPF3" s="120"/>
      <c r="IPG3" s="120"/>
      <c r="IPH3" s="120"/>
      <c r="IPI3" s="120"/>
      <c r="IPJ3" s="120"/>
      <c r="IPK3" s="120"/>
      <c r="IPL3" s="120"/>
      <c r="IPM3" s="120"/>
      <c r="IPN3" s="120"/>
      <c r="IPO3" s="120"/>
      <c r="IPP3" s="120"/>
      <c r="IPQ3" s="120"/>
      <c r="IPR3" s="120"/>
      <c r="IPS3" s="120"/>
      <c r="IPT3" s="120"/>
      <c r="IPU3" s="120"/>
      <c r="IPV3" s="120"/>
      <c r="IPW3" s="120"/>
      <c r="IPX3" s="120"/>
      <c r="IPY3" s="120"/>
      <c r="IPZ3" s="120"/>
      <c r="IQA3" s="120"/>
      <c r="IQB3" s="120"/>
      <c r="IQC3" s="120"/>
      <c r="IQD3" s="120"/>
      <c r="IQE3" s="120"/>
      <c r="IQF3" s="120"/>
      <c r="IQG3" s="120"/>
      <c r="IQH3" s="120"/>
      <c r="IQI3" s="120"/>
      <c r="IQJ3" s="120"/>
      <c r="IQK3" s="120"/>
      <c r="IQL3" s="120"/>
      <c r="IQM3" s="120"/>
      <c r="IQN3" s="120"/>
      <c r="IQO3" s="120"/>
      <c r="IQP3" s="120"/>
      <c r="IQQ3" s="120"/>
      <c r="IQR3" s="120"/>
      <c r="IQS3" s="120"/>
      <c r="IQT3" s="120"/>
      <c r="IQU3" s="120"/>
      <c r="IQV3" s="120"/>
      <c r="IQW3" s="120"/>
      <c r="IQX3" s="120"/>
      <c r="IQY3" s="120"/>
      <c r="IQZ3" s="120"/>
      <c r="IRA3" s="120"/>
      <c r="IRB3" s="120"/>
      <c r="IRC3" s="120"/>
      <c r="IRD3" s="120"/>
      <c r="IRE3" s="120"/>
      <c r="IRF3" s="120"/>
      <c r="IRG3" s="120"/>
      <c r="IRH3" s="120"/>
      <c r="IRI3" s="120"/>
      <c r="IRJ3" s="120"/>
      <c r="IRK3" s="120"/>
      <c r="IRL3" s="120"/>
      <c r="IRM3" s="120"/>
      <c r="IRN3" s="120"/>
      <c r="IRO3" s="120"/>
      <c r="IRP3" s="120"/>
      <c r="IRQ3" s="120"/>
      <c r="IRR3" s="120"/>
      <c r="IRS3" s="120"/>
      <c r="IRT3" s="120"/>
      <c r="IRU3" s="120"/>
      <c r="IRV3" s="120"/>
      <c r="IRW3" s="120"/>
      <c r="IRX3" s="120"/>
      <c r="IRY3" s="120"/>
      <c r="IRZ3" s="120"/>
      <c r="ISA3" s="120"/>
      <c r="ISB3" s="120"/>
      <c r="ISC3" s="120"/>
      <c r="ISD3" s="120"/>
      <c r="ISE3" s="120"/>
      <c r="ISF3" s="120"/>
      <c r="ISG3" s="120"/>
      <c r="ISH3" s="120"/>
      <c r="ISI3" s="120"/>
      <c r="ISJ3" s="120"/>
      <c r="ISK3" s="120"/>
      <c r="ISL3" s="120"/>
      <c r="ISM3" s="120"/>
      <c r="ISN3" s="120"/>
      <c r="ISO3" s="120"/>
      <c r="ISP3" s="120"/>
      <c r="ISQ3" s="120"/>
      <c r="ISR3" s="120"/>
      <c r="ISS3" s="120"/>
      <c r="IST3" s="120"/>
      <c r="ISU3" s="120"/>
      <c r="ISV3" s="120"/>
      <c r="ISW3" s="120"/>
      <c r="ISX3" s="120"/>
      <c r="ISY3" s="120"/>
      <c r="ISZ3" s="120"/>
      <c r="ITA3" s="120"/>
      <c r="ITB3" s="120"/>
      <c r="ITC3" s="120"/>
      <c r="ITD3" s="120"/>
      <c r="ITE3" s="120"/>
      <c r="ITF3" s="120"/>
      <c r="ITG3" s="120"/>
      <c r="ITH3" s="120"/>
      <c r="ITI3" s="120"/>
      <c r="ITJ3" s="120"/>
      <c r="ITK3" s="120"/>
      <c r="ITL3" s="120"/>
      <c r="ITM3" s="120"/>
      <c r="ITN3" s="120"/>
      <c r="ITO3" s="120"/>
      <c r="ITP3" s="120"/>
      <c r="ITQ3" s="120"/>
      <c r="ITR3" s="120"/>
      <c r="ITS3" s="120"/>
      <c r="ITT3" s="120"/>
      <c r="ITU3" s="120"/>
      <c r="ITV3" s="120"/>
      <c r="ITW3" s="120"/>
      <c r="ITX3" s="120"/>
      <c r="ITY3" s="120"/>
      <c r="ITZ3" s="120"/>
      <c r="IUA3" s="120"/>
      <c r="IUB3" s="120"/>
      <c r="IUC3" s="120"/>
      <c r="IUD3" s="120"/>
      <c r="IUE3" s="120"/>
      <c r="IUF3" s="120"/>
      <c r="IUG3" s="120"/>
      <c r="IUH3" s="120"/>
      <c r="IUI3" s="120"/>
      <c r="IUJ3" s="120"/>
      <c r="IUK3" s="120"/>
      <c r="IUL3" s="120"/>
      <c r="IUM3" s="120"/>
      <c r="IUN3" s="120"/>
      <c r="IUO3" s="120"/>
      <c r="IUP3" s="120"/>
      <c r="IUQ3" s="120"/>
      <c r="IUR3" s="120"/>
      <c r="IUS3" s="120"/>
      <c r="IUT3" s="120"/>
      <c r="IUU3" s="120"/>
      <c r="IUV3" s="120"/>
      <c r="IUW3" s="120"/>
      <c r="IUX3" s="120"/>
      <c r="IUY3" s="120"/>
      <c r="IUZ3" s="120"/>
      <c r="IVA3" s="120"/>
      <c r="IVB3" s="120"/>
      <c r="IVC3" s="120"/>
      <c r="IVD3" s="120"/>
      <c r="IVE3" s="120"/>
      <c r="IVF3" s="120"/>
      <c r="IVG3" s="120"/>
      <c r="IVH3" s="120"/>
      <c r="IVI3" s="120"/>
      <c r="IVJ3" s="120"/>
      <c r="IVK3" s="120"/>
      <c r="IVL3" s="120"/>
      <c r="IVM3" s="120"/>
      <c r="IVN3" s="120"/>
      <c r="IVO3" s="120"/>
      <c r="IVP3" s="120"/>
      <c r="IVQ3" s="120"/>
      <c r="IVR3" s="120"/>
      <c r="IVS3" s="120"/>
      <c r="IVT3" s="120"/>
      <c r="IVU3" s="120"/>
      <c r="IVV3" s="120"/>
      <c r="IVW3" s="120"/>
      <c r="IVX3" s="120"/>
      <c r="IVY3" s="120"/>
      <c r="IVZ3" s="120"/>
      <c r="IWA3" s="120"/>
      <c r="IWB3" s="120"/>
      <c r="IWC3" s="120"/>
      <c r="IWD3" s="120"/>
      <c r="IWE3" s="120"/>
      <c r="IWF3" s="120"/>
      <c r="IWG3" s="120"/>
      <c r="IWH3" s="120"/>
      <c r="IWI3" s="120"/>
      <c r="IWJ3" s="120"/>
      <c r="IWK3" s="120"/>
      <c r="IWL3" s="120"/>
      <c r="IWM3" s="120"/>
      <c r="IWN3" s="120"/>
      <c r="IWO3" s="120"/>
      <c r="IWP3" s="120"/>
      <c r="IWQ3" s="120"/>
      <c r="IWR3" s="120"/>
      <c r="IWS3" s="120"/>
      <c r="IWT3" s="120"/>
      <c r="IWU3" s="120"/>
      <c r="IWV3" s="120"/>
      <c r="IWW3" s="120"/>
      <c r="IWX3" s="120"/>
      <c r="IWY3" s="120"/>
      <c r="IWZ3" s="120"/>
      <c r="IXA3" s="120"/>
      <c r="IXB3" s="120"/>
      <c r="IXC3" s="120"/>
      <c r="IXD3" s="120"/>
      <c r="IXE3" s="120"/>
      <c r="IXF3" s="120"/>
      <c r="IXG3" s="120"/>
      <c r="IXH3" s="120"/>
      <c r="IXI3" s="120"/>
      <c r="IXJ3" s="120"/>
      <c r="IXK3" s="120"/>
      <c r="IXL3" s="120"/>
      <c r="IXM3" s="120"/>
      <c r="IXN3" s="120"/>
      <c r="IXO3" s="120"/>
      <c r="IXP3" s="120"/>
      <c r="IXQ3" s="120"/>
      <c r="IXR3" s="120"/>
      <c r="IXS3" s="120"/>
      <c r="IXT3" s="120"/>
      <c r="IXU3" s="120"/>
      <c r="IXV3" s="120"/>
      <c r="IXW3" s="120"/>
      <c r="IXX3" s="120"/>
      <c r="IXY3" s="120"/>
      <c r="IXZ3" s="120"/>
      <c r="IYA3" s="120"/>
      <c r="IYB3" s="120"/>
      <c r="IYC3" s="120"/>
      <c r="IYD3" s="120"/>
      <c r="IYE3" s="120"/>
      <c r="IYF3" s="120"/>
      <c r="IYG3" s="120"/>
      <c r="IYH3" s="120"/>
      <c r="IYI3" s="120"/>
      <c r="IYJ3" s="120"/>
      <c r="IYK3" s="120"/>
      <c r="IYL3" s="120"/>
      <c r="IYM3" s="120"/>
      <c r="IYN3" s="120"/>
      <c r="IYO3" s="120"/>
      <c r="IYP3" s="120"/>
      <c r="IYQ3" s="120"/>
      <c r="IYR3" s="120"/>
      <c r="IYS3" s="120"/>
      <c r="IYT3" s="120"/>
      <c r="IYU3" s="120"/>
      <c r="IYV3" s="120"/>
      <c r="IYW3" s="120"/>
      <c r="IYX3" s="120"/>
      <c r="IYY3" s="120"/>
      <c r="IYZ3" s="120"/>
      <c r="IZA3" s="120"/>
      <c r="IZB3" s="120"/>
      <c r="IZC3" s="120"/>
      <c r="IZD3" s="120"/>
      <c r="IZE3" s="120"/>
      <c r="IZF3" s="120"/>
      <c r="IZG3" s="120"/>
      <c r="IZH3" s="120"/>
      <c r="IZI3" s="120"/>
      <c r="IZJ3" s="120"/>
      <c r="IZK3" s="120"/>
      <c r="IZL3" s="120"/>
      <c r="IZM3" s="120"/>
      <c r="IZN3" s="120"/>
      <c r="IZO3" s="120"/>
      <c r="IZP3" s="120"/>
      <c r="IZQ3" s="120"/>
      <c r="IZR3" s="120"/>
      <c r="IZS3" s="120"/>
      <c r="IZT3" s="120"/>
      <c r="IZU3" s="120"/>
      <c r="IZV3" s="120"/>
      <c r="IZW3" s="120"/>
      <c r="IZX3" s="120"/>
      <c r="IZY3" s="120"/>
      <c r="IZZ3" s="120"/>
      <c r="JAA3" s="120"/>
      <c r="JAB3" s="120"/>
      <c r="JAC3" s="120"/>
      <c r="JAD3" s="120"/>
      <c r="JAE3" s="120"/>
      <c r="JAF3" s="120"/>
      <c r="JAG3" s="120"/>
      <c r="JAH3" s="120"/>
      <c r="JAI3" s="120"/>
      <c r="JAJ3" s="120"/>
      <c r="JAK3" s="120"/>
      <c r="JAL3" s="120"/>
      <c r="JAM3" s="120"/>
      <c r="JAN3" s="120"/>
      <c r="JAO3" s="120"/>
      <c r="JAP3" s="120"/>
      <c r="JAQ3" s="120"/>
      <c r="JAR3" s="120"/>
      <c r="JAS3" s="120"/>
      <c r="JAT3" s="120"/>
      <c r="JAU3" s="120"/>
      <c r="JAV3" s="120"/>
      <c r="JAW3" s="120"/>
      <c r="JAX3" s="120"/>
      <c r="JAY3" s="120"/>
      <c r="JAZ3" s="120"/>
      <c r="JBA3" s="120"/>
      <c r="JBB3" s="120"/>
      <c r="JBC3" s="120"/>
      <c r="JBD3" s="120"/>
      <c r="JBE3" s="120"/>
      <c r="JBF3" s="120"/>
      <c r="JBG3" s="120"/>
      <c r="JBH3" s="120"/>
      <c r="JBI3" s="120"/>
      <c r="JBJ3" s="120"/>
      <c r="JBK3" s="120"/>
      <c r="JBL3" s="120"/>
      <c r="JBM3" s="120"/>
      <c r="JBN3" s="120"/>
      <c r="JBO3" s="120"/>
      <c r="JBP3" s="120"/>
      <c r="JBQ3" s="120"/>
      <c r="JBR3" s="120"/>
      <c r="JBS3" s="120"/>
      <c r="JBT3" s="120"/>
      <c r="JBU3" s="120"/>
      <c r="JBV3" s="120"/>
      <c r="JBW3" s="120"/>
      <c r="JBX3" s="120"/>
      <c r="JBY3" s="120"/>
      <c r="JBZ3" s="120"/>
      <c r="JCA3" s="120"/>
      <c r="JCB3" s="120"/>
      <c r="JCC3" s="120"/>
      <c r="JCD3" s="120"/>
      <c r="JCE3" s="120"/>
      <c r="JCF3" s="120"/>
      <c r="JCG3" s="120"/>
      <c r="JCH3" s="120"/>
      <c r="JCI3" s="120"/>
      <c r="JCJ3" s="120"/>
      <c r="JCK3" s="120"/>
      <c r="JCL3" s="120"/>
      <c r="JCM3" s="120"/>
      <c r="JCN3" s="120"/>
      <c r="JCO3" s="120"/>
      <c r="JCP3" s="120"/>
      <c r="JCQ3" s="120"/>
      <c r="JCR3" s="120"/>
      <c r="JCS3" s="120"/>
      <c r="JCT3" s="120"/>
      <c r="JCU3" s="120"/>
      <c r="JCV3" s="120"/>
      <c r="JCW3" s="120"/>
      <c r="JCX3" s="120"/>
      <c r="JCY3" s="120"/>
      <c r="JCZ3" s="120"/>
      <c r="JDA3" s="120"/>
      <c r="JDB3" s="120"/>
      <c r="JDC3" s="120"/>
      <c r="JDD3" s="120"/>
      <c r="JDE3" s="120"/>
      <c r="JDF3" s="120"/>
      <c r="JDG3" s="120"/>
      <c r="JDH3" s="120"/>
      <c r="JDI3" s="120"/>
      <c r="JDJ3" s="120"/>
      <c r="JDK3" s="120"/>
      <c r="JDL3" s="120"/>
      <c r="JDM3" s="120"/>
      <c r="JDN3" s="120"/>
      <c r="JDO3" s="120"/>
      <c r="JDP3" s="120"/>
      <c r="JDQ3" s="120"/>
      <c r="JDR3" s="120"/>
      <c r="JDS3" s="120"/>
      <c r="JDT3" s="120"/>
      <c r="JDU3" s="120"/>
      <c r="JDV3" s="120"/>
      <c r="JDW3" s="120"/>
      <c r="JDX3" s="120"/>
      <c r="JDY3" s="120"/>
      <c r="JDZ3" s="120"/>
      <c r="JEA3" s="120"/>
      <c r="JEB3" s="120"/>
      <c r="JEC3" s="120"/>
      <c r="JED3" s="120"/>
      <c r="JEE3" s="120"/>
      <c r="JEF3" s="120"/>
      <c r="JEG3" s="120"/>
      <c r="JEH3" s="120"/>
      <c r="JEI3" s="120"/>
      <c r="JEJ3" s="120"/>
      <c r="JEK3" s="120"/>
      <c r="JEL3" s="120"/>
      <c r="JEM3" s="120"/>
      <c r="JEN3" s="120"/>
      <c r="JEO3" s="120"/>
      <c r="JEP3" s="120"/>
      <c r="JEQ3" s="120"/>
      <c r="JER3" s="120"/>
      <c r="JES3" s="120"/>
      <c r="JET3" s="120"/>
      <c r="JEU3" s="120"/>
      <c r="JEV3" s="120"/>
      <c r="JEW3" s="120"/>
      <c r="JEX3" s="120"/>
      <c r="JEY3" s="120"/>
      <c r="JEZ3" s="120"/>
      <c r="JFA3" s="120"/>
      <c r="JFB3" s="120"/>
      <c r="JFC3" s="120"/>
      <c r="JFD3" s="120"/>
      <c r="JFE3" s="120"/>
      <c r="JFF3" s="120"/>
      <c r="JFG3" s="120"/>
      <c r="JFH3" s="120"/>
      <c r="JFI3" s="120"/>
      <c r="JFJ3" s="120"/>
      <c r="JFK3" s="120"/>
      <c r="JFL3" s="120"/>
      <c r="JFM3" s="120"/>
      <c r="JFN3" s="120"/>
      <c r="JFO3" s="120"/>
      <c r="JFP3" s="120"/>
      <c r="JFQ3" s="120"/>
      <c r="JFR3" s="120"/>
      <c r="JFS3" s="120"/>
      <c r="JFT3" s="120"/>
      <c r="JFU3" s="120"/>
      <c r="JFV3" s="120"/>
      <c r="JFW3" s="120"/>
      <c r="JFX3" s="120"/>
      <c r="JFY3" s="120"/>
      <c r="JFZ3" s="120"/>
      <c r="JGA3" s="120"/>
      <c r="JGB3" s="120"/>
      <c r="JGC3" s="120"/>
      <c r="JGD3" s="120"/>
      <c r="JGE3" s="120"/>
      <c r="JGF3" s="120"/>
      <c r="JGG3" s="120"/>
      <c r="JGH3" s="120"/>
      <c r="JGI3" s="120"/>
      <c r="JGJ3" s="120"/>
      <c r="JGK3" s="120"/>
      <c r="JGL3" s="120"/>
      <c r="JGM3" s="120"/>
      <c r="JGN3" s="120"/>
      <c r="JGO3" s="120"/>
      <c r="JGP3" s="120"/>
      <c r="JGQ3" s="120"/>
      <c r="JGR3" s="120"/>
      <c r="JGS3" s="120"/>
      <c r="JGT3" s="120"/>
      <c r="JGU3" s="120"/>
      <c r="JGV3" s="120"/>
      <c r="JGW3" s="120"/>
      <c r="JGX3" s="120"/>
      <c r="JGY3" s="120"/>
      <c r="JGZ3" s="120"/>
      <c r="JHA3" s="120"/>
      <c r="JHB3" s="120"/>
      <c r="JHC3" s="120"/>
      <c r="JHD3" s="120"/>
      <c r="JHE3" s="120"/>
      <c r="JHF3" s="120"/>
      <c r="JHG3" s="120"/>
      <c r="JHH3" s="120"/>
      <c r="JHI3" s="120"/>
      <c r="JHJ3" s="120"/>
      <c r="JHK3" s="120"/>
      <c r="JHL3" s="120"/>
      <c r="JHM3" s="120"/>
      <c r="JHN3" s="120"/>
      <c r="JHO3" s="120"/>
      <c r="JHP3" s="120"/>
      <c r="JHQ3" s="120"/>
      <c r="JHR3" s="120"/>
      <c r="JHS3" s="120"/>
      <c r="JHT3" s="120"/>
      <c r="JHU3" s="120"/>
      <c r="JHV3" s="120"/>
      <c r="JHW3" s="120"/>
      <c r="JHX3" s="120"/>
      <c r="JHY3" s="120"/>
      <c r="JHZ3" s="120"/>
      <c r="JIA3" s="120"/>
      <c r="JIB3" s="120"/>
      <c r="JIC3" s="120"/>
      <c r="JID3" s="120"/>
      <c r="JIE3" s="120"/>
      <c r="JIF3" s="120"/>
      <c r="JIG3" s="120"/>
      <c r="JIH3" s="120"/>
      <c r="JII3" s="120"/>
      <c r="JIJ3" s="120"/>
      <c r="JIK3" s="120"/>
      <c r="JIL3" s="120"/>
      <c r="JIM3" s="120"/>
      <c r="JIN3" s="120"/>
      <c r="JIO3" s="120"/>
      <c r="JIP3" s="120"/>
      <c r="JIQ3" s="120"/>
      <c r="JIR3" s="120"/>
      <c r="JIS3" s="120"/>
      <c r="JIT3" s="120"/>
      <c r="JIU3" s="120"/>
      <c r="JIV3" s="120"/>
      <c r="JIW3" s="120"/>
      <c r="JIX3" s="120"/>
      <c r="JIY3" s="120"/>
      <c r="JIZ3" s="120"/>
      <c r="JJA3" s="120"/>
      <c r="JJB3" s="120"/>
      <c r="JJC3" s="120"/>
      <c r="JJD3" s="120"/>
      <c r="JJE3" s="120"/>
      <c r="JJF3" s="120"/>
      <c r="JJG3" s="120"/>
      <c r="JJH3" s="120"/>
      <c r="JJI3" s="120"/>
      <c r="JJJ3" s="120"/>
      <c r="JJK3" s="120"/>
      <c r="JJL3" s="120"/>
      <c r="JJM3" s="120"/>
      <c r="JJN3" s="120"/>
      <c r="JJO3" s="120"/>
      <c r="JJP3" s="120"/>
      <c r="JJQ3" s="120"/>
      <c r="JJR3" s="120"/>
      <c r="JJS3" s="120"/>
      <c r="JJT3" s="120"/>
      <c r="JJU3" s="120"/>
      <c r="JJV3" s="120"/>
      <c r="JJW3" s="120"/>
      <c r="JJX3" s="120"/>
      <c r="JJY3" s="120"/>
      <c r="JJZ3" s="120"/>
      <c r="JKA3" s="120"/>
      <c r="JKB3" s="120"/>
      <c r="JKC3" s="120"/>
      <c r="JKD3" s="120"/>
      <c r="JKE3" s="120"/>
      <c r="JKF3" s="120"/>
      <c r="JKG3" s="120"/>
      <c r="JKH3" s="120"/>
      <c r="JKI3" s="120"/>
      <c r="JKJ3" s="120"/>
      <c r="JKK3" s="120"/>
      <c r="JKL3" s="120"/>
      <c r="JKM3" s="120"/>
      <c r="JKN3" s="120"/>
      <c r="JKO3" s="120"/>
      <c r="JKP3" s="120"/>
      <c r="JKQ3" s="120"/>
      <c r="JKR3" s="120"/>
      <c r="JKS3" s="120"/>
      <c r="JKT3" s="120"/>
      <c r="JKU3" s="120"/>
      <c r="JKV3" s="120"/>
      <c r="JKW3" s="120"/>
      <c r="JKX3" s="120"/>
      <c r="JKY3" s="120"/>
      <c r="JKZ3" s="120"/>
      <c r="JLA3" s="120"/>
      <c r="JLB3" s="120"/>
      <c r="JLC3" s="120"/>
      <c r="JLD3" s="120"/>
      <c r="JLE3" s="120"/>
      <c r="JLF3" s="120"/>
      <c r="JLG3" s="120"/>
      <c r="JLH3" s="120"/>
      <c r="JLI3" s="120"/>
      <c r="JLJ3" s="120"/>
      <c r="JLK3" s="120"/>
      <c r="JLL3" s="120"/>
      <c r="JLM3" s="120"/>
      <c r="JLN3" s="120"/>
      <c r="JLO3" s="120"/>
      <c r="JLP3" s="120"/>
      <c r="JLQ3" s="120"/>
      <c r="JLR3" s="120"/>
      <c r="JLS3" s="120"/>
      <c r="JLT3" s="120"/>
      <c r="JLU3" s="120"/>
      <c r="JLV3" s="120"/>
      <c r="JLW3" s="120"/>
      <c r="JLX3" s="120"/>
      <c r="JLY3" s="120"/>
      <c r="JLZ3" s="120"/>
      <c r="JMA3" s="120"/>
      <c r="JMB3" s="120"/>
      <c r="JMC3" s="120"/>
      <c r="JMD3" s="120"/>
      <c r="JME3" s="120"/>
      <c r="JMF3" s="120"/>
      <c r="JMG3" s="120"/>
      <c r="JMH3" s="120"/>
      <c r="JMI3" s="120"/>
      <c r="JMJ3" s="120"/>
      <c r="JMK3" s="120"/>
      <c r="JML3" s="120"/>
      <c r="JMM3" s="120"/>
      <c r="JMN3" s="120"/>
      <c r="JMO3" s="120"/>
      <c r="JMP3" s="120"/>
      <c r="JMQ3" s="120"/>
      <c r="JMR3" s="120"/>
      <c r="JMS3" s="120"/>
      <c r="JMT3" s="120"/>
      <c r="JMU3" s="120"/>
      <c r="JMV3" s="120"/>
      <c r="JMW3" s="120"/>
      <c r="JMX3" s="120"/>
      <c r="JMY3" s="120"/>
      <c r="JMZ3" s="120"/>
      <c r="JNA3" s="120"/>
      <c r="JNB3" s="120"/>
      <c r="JNC3" s="120"/>
      <c r="JND3" s="120"/>
      <c r="JNE3" s="120"/>
      <c r="JNF3" s="120"/>
      <c r="JNG3" s="120"/>
      <c r="JNH3" s="120"/>
      <c r="JNI3" s="120"/>
      <c r="JNJ3" s="120"/>
      <c r="JNK3" s="120"/>
      <c r="JNL3" s="120"/>
      <c r="JNM3" s="120"/>
      <c r="JNN3" s="120"/>
      <c r="JNO3" s="120"/>
      <c r="JNP3" s="120"/>
      <c r="JNQ3" s="120"/>
      <c r="JNR3" s="120"/>
      <c r="JNS3" s="120"/>
      <c r="JNT3" s="120"/>
      <c r="JNU3" s="120"/>
      <c r="JNV3" s="120"/>
      <c r="JNW3" s="120"/>
      <c r="JNX3" s="120"/>
      <c r="JNY3" s="120"/>
      <c r="JNZ3" s="120"/>
      <c r="JOA3" s="120"/>
      <c r="JOB3" s="120"/>
      <c r="JOC3" s="120"/>
      <c r="JOD3" s="120"/>
      <c r="JOE3" s="120"/>
      <c r="JOF3" s="120"/>
      <c r="JOG3" s="120"/>
      <c r="JOH3" s="120"/>
      <c r="JOI3" s="120"/>
      <c r="JOJ3" s="120"/>
      <c r="JOK3" s="120"/>
      <c r="JOL3" s="120"/>
      <c r="JOM3" s="120"/>
      <c r="JON3" s="120"/>
      <c r="JOO3" s="120"/>
      <c r="JOP3" s="120"/>
      <c r="JOQ3" s="120"/>
      <c r="JOR3" s="120"/>
      <c r="JOS3" s="120"/>
      <c r="JOT3" s="120"/>
      <c r="JOU3" s="120"/>
      <c r="JOV3" s="120"/>
      <c r="JOW3" s="120"/>
      <c r="JOX3" s="120"/>
      <c r="JOY3" s="120"/>
      <c r="JOZ3" s="120"/>
      <c r="JPA3" s="120"/>
      <c r="JPB3" s="120"/>
      <c r="JPC3" s="120"/>
      <c r="JPD3" s="120"/>
      <c r="JPE3" s="120"/>
      <c r="JPF3" s="120"/>
      <c r="JPG3" s="120"/>
      <c r="JPH3" s="120"/>
      <c r="JPI3" s="120"/>
      <c r="JPJ3" s="120"/>
      <c r="JPK3" s="120"/>
      <c r="JPL3" s="120"/>
      <c r="JPM3" s="120"/>
      <c r="JPN3" s="120"/>
      <c r="JPO3" s="120"/>
      <c r="JPP3" s="120"/>
      <c r="JPQ3" s="120"/>
      <c r="JPR3" s="120"/>
      <c r="JPS3" s="120"/>
      <c r="JPT3" s="120"/>
      <c r="JPU3" s="120"/>
      <c r="JPV3" s="120"/>
      <c r="JPW3" s="120"/>
      <c r="JPX3" s="120"/>
      <c r="JPY3" s="120"/>
      <c r="JPZ3" s="120"/>
      <c r="JQA3" s="120"/>
      <c r="JQB3" s="120"/>
      <c r="JQC3" s="120"/>
      <c r="JQD3" s="120"/>
      <c r="JQE3" s="120"/>
      <c r="JQF3" s="120"/>
      <c r="JQG3" s="120"/>
      <c r="JQH3" s="120"/>
      <c r="JQI3" s="120"/>
      <c r="JQJ3" s="120"/>
      <c r="JQK3" s="120"/>
      <c r="JQL3" s="120"/>
      <c r="JQM3" s="120"/>
      <c r="JQN3" s="120"/>
      <c r="JQO3" s="120"/>
      <c r="JQP3" s="120"/>
      <c r="JQQ3" s="120"/>
      <c r="JQR3" s="120"/>
      <c r="JQS3" s="120"/>
      <c r="JQT3" s="120"/>
      <c r="JQU3" s="120"/>
      <c r="JQV3" s="120"/>
      <c r="JQW3" s="120"/>
      <c r="JQX3" s="120"/>
      <c r="JQY3" s="120"/>
      <c r="JQZ3" s="120"/>
      <c r="JRA3" s="120"/>
      <c r="JRB3" s="120"/>
      <c r="JRC3" s="120"/>
      <c r="JRD3" s="120"/>
      <c r="JRE3" s="120"/>
      <c r="JRF3" s="120"/>
      <c r="JRG3" s="120"/>
      <c r="JRH3" s="120"/>
      <c r="JRI3" s="120"/>
      <c r="JRJ3" s="120"/>
      <c r="JRK3" s="120"/>
      <c r="JRL3" s="120"/>
      <c r="JRM3" s="120"/>
      <c r="JRN3" s="120"/>
      <c r="JRO3" s="120"/>
      <c r="JRP3" s="120"/>
      <c r="JRQ3" s="120"/>
      <c r="JRR3" s="120"/>
      <c r="JRS3" s="120"/>
      <c r="JRT3" s="120"/>
      <c r="JRU3" s="120"/>
      <c r="JRV3" s="120"/>
      <c r="JRW3" s="120"/>
      <c r="JRX3" s="120"/>
      <c r="JRY3" s="120"/>
      <c r="JRZ3" s="120"/>
      <c r="JSA3" s="120"/>
      <c r="JSB3" s="120"/>
      <c r="JSC3" s="120"/>
      <c r="JSD3" s="120"/>
      <c r="JSE3" s="120"/>
      <c r="JSF3" s="120"/>
      <c r="JSG3" s="120"/>
      <c r="JSH3" s="120"/>
      <c r="JSI3" s="120"/>
      <c r="JSJ3" s="120"/>
      <c r="JSK3" s="120"/>
      <c r="JSL3" s="120"/>
      <c r="JSM3" s="120"/>
      <c r="JSN3" s="120"/>
      <c r="JSO3" s="120"/>
      <c r="JSP3" s="120"/>
      <c r="JSQ3" s="120"/>
      <c r="JSR3" s="120"/>
      <c r="JSS3" s="120"/>
      <c r="JST3" s="120"/>
      <c r="JSU3" s="120"/>
      <c r="JSV3" s="120"/>
      <c r="JSW3" s="120"/>
      <c r="JSX3" s="120"/>
      <c r="JSY3" s="120"/>
      <c r="JSZ3" s="120"/>
      <c r="JTA3" s="120"/>
      <c r="JTB3" s="120"/>
      <c r="JTC3" s="120"/>
      <c r="JTD3" s="120"/>
      <c r="JTE3" s="120"/>
      <c r="JTF3" s="120"/>
      <c r="JTG3" s="120"/>
      <c r="JTH3" s="120"/>
      <c r="JTI3" s="120"/>
      <c r="JTJ3" s="120"/>
      <c r="JTK3" s="120"/>
      <c r="JTL3" s="120"/>
      <c r="JTM3" s="120"/>
      <c r="JTN3" s="120"/>
      <c r="JTO3" s="120"/>
      <c r="JTP3" s="120"/>
      <c r="JTQ3" s="120"/>
      <c r="JTR3" s="120"/>
      <c r="JTS3" s="120"/>
      <c r="JTT3" s="120"/>
      <c r="JTU3" s="120"/>
      <c r="JTV3" s="120"/>
      <c r="JTW3" s="120"/>
      <c r="JTX3" s="120"/>
      <c r="JTY3" s="120"/>
      <c r="JTZ3" s="120"/>
      <c r="JUA3" s="120"/>
      <c r="JUB3" s="120"/>
      <c r="JUC3" s="120"/>
      <c r="JUD3" s="120"/>
      <c r="JUE3" s="120"/>
      <c r="JUF3" s="120"/>
      <c r="JUG3" s="120"/>
      <c r="JUH3" s="120"/>
      <c r="JUI3" s="120"/>
      <c r="JUJ3" s="120"/>
      <c r="JUK3" s="120"/>
      <c r="JUL3" s="120"/>
      <c r="JUM3" s="120"/>
      <c r="JUN3" s="120"/>
      <c r="JUO3" s="120"/>
      <c r="JUP3" s="120"/>
      <c r="JUQ3" s="120"/>
      <c r="JUR3" s="120"/>
      <c r="JUS3" s="120"/>
      <c r="JUT3" s="120"/>
      <c r="JUU3" s="120"/>
      <c r="JUV3" s="120"/>
      <c r="JUW3" s="120"/>
      <c r="JUX3" s="120"/>
      <c r="JUY3" s="120"/>
      <c r="JUZ3" s="120"/>
      <c r="JVA3" s="120"/>
      <c r="JVB3" s="120"/>
      <c r="JVC3" s="120"/>
      <c r="JVD3" s="120"/>
      <c r="JVE3" s="120"/>
      <c r="JVF3" s="120"/>
      <c r="JVG3" s="120"/>
      <c r="JVH3" s="120"/>
      <c r="JVI3" s="120"/>
      <c r="JVJ3" s="120"/>
      <c r="JVK3" s="120"/>
      <c r="JVL3" s="120"/>
      <c r="JVM3" s="120"/>
      <c r="JVN3" s="120"/>
      <c r="JVO3" s="120"/>
      <c r="JVP3" s="120"/>
      <c r="JVQ3" s="120"/>
      <c r="JVR3" s="120"/>
      <c r="JVS3" s="120"/>
      <c r="JVT3" s="120"/>
      <c r="JVU3" s="120"/>
      <c r="JVV3" s="120"/>
      <c r="JVW3" s="120"/>
      <c r="JVX3" s="120"/>
      <c r="JVY3" s="120"/>
      <c r="JVZ3" s="120"/>
      <c r="JWA3" s="120"/>
      <c r="JWB3" s="120"/>
      <c r="JWC3" s="120"/>
      <c r="JWD3" s="120"/>
      <c r="JWE3" s="120"/>
      <c r="JWF3" s="120"/>
      <c r="JWG3" s="120"/>
      <c r="JWH3" s="120"/>
      <c r="JWI3" s="120"/>
      <c r="JWJ3" s="120"/>
      <c r="JWK3" s="120"/>
      <c r="JWL3" s="120"/>
      <c r="JWM3" s="120"/>
      <c r="JWN3" s="120"/>
      <c r="JWO3" s="120"/>
      <c r="JWP3" s="120"/>
      <c r="JWQ3" s="120"/>
      <c r="JWR3" s="120"/>
      <c r="JWS3" s="120"/>
      <c r="JWT3" s="120"/>
      <c r="JWU3" s="120"/>
      <c r="JWV3" s="120"/>
      <c r="JWW3" s="120"/>
      <c r="JWX3" s="120"/>
      <c r="JWY3" s="120"/>
      <c r="JWZ3" s="120"/>
      <c r="JXA3" s="120"/>
      <c r="JXB3" s="120"/>
      <c r="JXC3" s="120"/>
      <c r="JXD3" s="120"/>
      <c r="JXE3" s="120"/>
      <c r="JXF3" s="120"/>
      <c r="JXG3" s="120"/>
      <c r="JXH3" s="120"/>
      <c r="JXI3" s="120"/>
      <c r="JXJ3" s="120"/>
      <c r="JXK3" s="120"/>
      <c r="JXL3" s="120"/>
      <c r="JXM3" s="120"/>
      <c r="JXN3" s="120"/>
      <c r="JXO3" s="120"/>
      <c r="JXP3" s="120"/>
      <c r="JXQ3" s="120"/>
      <c r="JXR3" s="120"/>
      <c r="JXS3" s="120"/>
      <c r="JXT3" s="120"/>
      <c r="JXU3" s="120"/>
      <c r="JXV3" s="120"/>
      <c r="JXW3" s="120"/>
      <c r="JXX3" s="120"/>
      <c r="JXY3" s="120"/>
      <c r="JXZ3" s="120"/>
      <c r="JYA3" s="120"/>
      <c r="JYB3" s="120"/>
      <c r="JYC3" s="120"/>
      <c r="JYD3" s="120"/>
      <c r="JYE3" s="120"/>
      <c r="JYF3" s="120"/>
      <c r="JYG3" s="120"/>
      <c r="JYH3" s="120"/>
      <c r="JYI3" s="120"/>
      <c r="JYJ3" s="120"/>
      <c r="JYK3" s="120"/>
      <c r="JYL3" s="120"/>
      <c r="JYM3" s="120"/>
      <c r="JYN3" s="120"/>
      <c r="JYO3" s="120"/>
      <c r="JYP3" s="120"/>
      <c r="JYQ3" s="120"/>
      <c r="JYR3" s="120"/>
      <c r="JYS3" s="120"/>
      <c r="JYT3" s="120"/>
      <c r="JYU3" s="120"/>
      <c r="JYV3" s="120"/>
      <c r="JYW3" s="120"/>
      <c r="JYX3" s="120"/>
      <c r="JYY3" s="120"/>
      <c r="JYZ3" s="120"/>
      <c r="JZA3" s="120"/>
      <c r="JZB3" s="120"/>
      <c r="JZC3" s="120"/>
      <c r="JZD3" s="120"/>
      <c r="JZE3" s="120"/>
      <c r="JZF3" s="120"/>
      <c r="JZG3" s="120"/>
      <c r="JZH3" s="120"/>
      <c r="JZI3" s="120"/>
      <c r="JZJ3" s="120"/>
      <c r="JZK3" s="120"/>
      <c r="JZL3" s="120"/>
      <c r="JZM3" s="120"/>
      <c r="JZN3" s="120"/>
      <c r="JZO3" s="120"/>
      <c r="JZP3" s="120"/>
      <c r="JZQ3" s="120"/>
      <c r="JZR3" s="120"/>
      <c r="JZS3" s="120"/>
      <c r="JZT3" s="120"/>
      <c r="JZU3" s="120"/>
      <c r="JZV3" s="120"/>
      <c r="JZW3" s="120"/>
      <c r="JZX3" s="120"/>
      <c r="JZY3" s="120"/>
      <c r="JZZ3" s="120"/>
      <c r="KAA3" s="120"/>
      <c r="KAB3" s="120"/>
      <c r="KAC3" s="120"/>
      <c r="KAD3" s="120"/>
      <c r="KAE3" s="120"/>
      <c r="KAF3" s="120"/>
      <c r="KAG3" s="120"/>
      <c r="KAH3" s="120"/>
      <c r="KAI3" s="120"/>
      <c r="KAJ3" s="120"/>
      <c r="KAK3" s="120"/>
      <c r="KAL3" s="120"/>
      <c r="KAM3" s="120"/>
      <c r="KAN3" s="120"/>
      <c r="KAO3" s="120"/>
      <c r="KAP3" s="120"/>
      <c r="KAQ3" s="120"/>
      <c r="KAR3" s="120"/>
      <c r="KAS3" s="120"/>
      <c r="KAT3" s="120"/>
      <c r="KAU3" s="120"/>
      <c r="KAV3" s="120"/>
      <c r="KAW3" s="120"/>
      <c r="KAX3" s="120"/>
      <c r="KAY3" s="120"/>
      <c r="KAZ3" s="120"/>
      <c r="KBA3" s="120"/>
      <c r="KBB3" s="120"/>
      <c r="KBC3" s="120"/>
      <c r="KBD3" s="120"/>
      <c r="KBE3" s="120"/>
      <c r="KBF3" s="120"/>
      <c r="KBG3" s="120"/>
      <c r="KBH3" s="120"/>
      <c r="KBI3" s="120"/>
      <c r="KBJ3" s="120"/>
      <c r="KBK3" s="120"/>
      <c r="KBL3" s="120"/>
      <c r="KBM3" s="120"/>
      <c r="KBN3" s="120"/>
      <c r="KBO3" s="120"/>
      <c r="KBP3" s="120"/>
      <c r="KBQ3" s="120"/>
      <c r="KBR3" s="120"/>
      <c r="KBS3" s="120"/>
      <c r="KBT3" s="120"/>
      <c r="KBU3" s="120"/>
      <c r="KBV3" s="120"/>
      <c r="KBW3" s="120"/>
      <c r="KBX3" s="120"/>
      <c r="KBY3" s="120"/>
      <c r="KBZ3" s="120"/>
      <c r="KCA3" s="120"/>
      <c r="KCB3" s="120"/>
      <c r="KCC3" s="120"/>
      <c r="KCD3" s="120"/>
      <c r="KCE3" s="120"/>
      <c r="KCF3" s="120"/>
      <c r="KCG3" s="120"/>
      <c r="KCH3" s="120"/>
      <c r="KCI3" s="120"/>
      <c r="KCJ3" s="120"/>
      <c r="KCK3" s="120"/>
      <c r="KCL3" s="120"/>
      <c r="KCM3" s="120"/>
      <c r="KCN3" s="120"/>
      <c r="KCO3" s="120"/>
      <c r="KCP3" s="120"/>
      <c r="KCQ3" s="120"/>
      <c r="KCR3" s="120"/>
      <c r="KCS3" s="120"/>
      <c r="KCT3" s="120"/>
      <c r="KCU3" s="120"/>
      <c r="KCV3" s="120"/>
      <c r="KCW3" s="120"/>
      <c r="KCX3" s="120"/>
      <c r="KCY3" s="120"/>
      <c r="KCZ3" s="120"/>
      <c r="KDA3" s="120"/>
      <c r="KDB3" s="120"/>
      <c r="KDC3" s="120"/>
      <c r="KDD3" s="120"/>
      <c r="KDE3" s="120"/>
      <c r="KDF3" s="120"/>
      <c r="KDG3" s="120"/>
      <c r="KDH3" s="120"/>
      <c r="KDI3" s="120"/>
      <c r="KDJ3" s="120"/>
      <c r="KDK3" s="120"/>
      <c r="KDL3" s="120"/>
      <c r="KDM3" s="120"/>
      <c r="KDN3" s="120"/>
      <c r="KDO3" s="120"/>
      <c r="KDP3" s="120"/>
      <c r="KDQ3" s="120"/>
      <c r="KDR3" s="120"/>
      <c r="KDS3" s="120"/>
      <c r="KDT3" s="120"/>
      <c r="KDU3" s="120"/>
      <c r="KDV3" s="120"/>
      <c r="KDW3" s="120"/>
      <c r="KDX3" s="120"/>
      <c r="KDY3" s="120"/>
      <c r="KDZ3" s="120"/>
      <c r="KEA3" s="120"/>
      <c r="KEB3" s="120"/>
      <c r="KEC3" s="120"/>
      <c r="KED3" s="120"/>
      <c r="KEE3" s="120"/>
      <c r="KEF3" s="120"/>
      <c r="KEG3" s="120"/>
      <c r="KEH3" s="120"/>
      <c r="KEI3" s="120"/>
      <c r="KEJ3" s="120"/>
      <c r="KEK3" s="120"/>
      <c r="KEL3" s="120"/>
      <c r="KEM3" s="120"/>
      <c r="KEN3" s="120"/>
      <c r="KEO3" s="120"/>
      <c r="KEP3" s="120"/>
      <c r="KEQ3" s="120"/>
      <c r="KER3" s="120"/>
      <c r="KES3" s="120"/>
      <c r="KET3" s="120"/>
      <c r="KEU3" s="120"/>
      <c r="KEV3" s="120"/>
      <c r="KEW3" s="120"/>
      <c r="KEX3" s="120"/>
      <c r="KEY3" s="120"/>
      <c r="KEZ3" s="120"/>
      <c r="KFA3" s="120"/>
      <c r="KFB3" s="120"/>
      <c r="KFC3" s="120"/>
      <c r="KFD3" s="120"/>
      <c r="KFE3" s="120"/>
      <c r="KFF3" s="120"/>
      <c r="KFG3" s="120"/>
      <c r="KFH3" s="120"/>
      <c r="KFI3" s="120"/>
      <c r="KFJ3" s="120"/>
      <c r="KFK3" s="120"/>
      <c r="KFL3" s="120"/>
      <c r="KFM3" s="120"/>
      <c r="KFN3" s="120"/>
      <c r="KFO3" s="120"/>
      <c r="KFP3" s="120"/>
      <c r="KFQ3" s="120"/>
      <c r="KFR3" s="120"/>
      <c r="KFS3" s="120"/>
      <c r="KFT3" s="120"/>
      <c r="KFU3" s="120"/>
      <c r="KFV3" s="120"/>
      <c r="KFW3" s="120"/>
      <c r="KFX3" s="120"/>
      <c r="KFY3" s="120"/>
      <c r="KFZ3" s="120"/>
      <c r="KGA3" s="120"/>
      <c r="KGB3" s="120"/>
      <c r="KGC3" s="120"/>
      <c r="KGD3" s="120"/>
      <c r="KGE3" s="120"/>
      <c r="KGF3" s="120"/>
      <c r="KGG3" s="120"/>
      <c r="KGH3" s="120"/>
      <c r="KGI3" s="120"/>
      <c r="KGJ3" s="120"/>
      <c r="KGK3" s="120"/>
      <c r="KGL3" s="120"/>
      <c r="KGM3" s="120"/>
      <c r="KGN3" s="120"/>
      <c r="KGO3" s="120"/>
      <c r="KGP3" s="120"/>
      <c r="KGQ3" s="120"/>
      <c r="KGR3" s="120"/>
      <c r="KGS3" s="120"/>
      <c r="KGT3" s="120"/>
      <c r="KGU3" s="120"/>
      <c r="KGV3" s="120"/>
      <c r="KGW3" s="120"/>
      <c r="KGX3" s="120"/>
      <c r="KGY3" s="120"/>
      <c r="KGZ3" s="120"/>
      <c r="KHA3" s="120"/>
      <c r="KHB3" s="120"/>
      <c r="KHC3" s="120"/>
      <c r="KHD3" s="120"/>
      <c r="KHE3" s="120"/>
      <c r="KHF3" s="120"/>
      <c r="KHG3" s="120"/>
      <c r="KHH3" s="120"/>
      <c r="KHI3" s="120"/>
      <c r="KHJ3" s="120"/>
      <c r="KHK3" s="120"/>
      <c r="KHL3" s="120"/>
      <c r="KHM3" s="120"/>
      <c r="KHN3" s="120"/>
      <c r="KHO3" s="120"/>
      <c r="KHP3" s="120"/>
      <c r="KHQ3" s="120"/>
      <c r="KHR3" s="120"/>
      <c r="KHS3" s="120"/>
      <c r="KHT3" s="120"/>
      <c r="KHU3" s="120"/>
      <c r="KHV3" s="120"/>
      <c r="KHW3" s="120"/>
      <c r="KHX3" s="120"/>
      <c r="KHY3" s="120"/>
      <c r="KHZ3" s="120"/>
      <c r="KIA3" s="120"/>
      <c r="KIB3" s="120"/>
      <c r="KIC3" s="120"/>
      <c r="KID3" s="120"/>
      <c r="KIE3" s="120"/>
      <c r="KIF3" s="120"/>
      <c r="KIG3" s="120"/>
      <c r="KIH3" s="120"/>
      <c r="KII3" s="120"/>
      <c r="KIJ3" s="120"/>
      <c r="KIK3" s="120"/>
      <c r="KIL3" s="120"/>
      <c r="KIM3" s="120"/>
      <c r="KIN3" s="120"/>
      <c r="KIO3" s="120"/>
      <c r="KIP3" s="120"/>
      <c r="KIQ3" s="120"/>
      <c r="KIR3" s="120"/>
      <c r="KIS3" s="120"/>
      <c r="KIT3" s="120"/>
      <c r="KIU3" s="120"/>
      <c r="KIV3" s="120"/>
      <c r="KIW3" s="120"/>
      <c r="KIX3" s="120"/>
      <c r="KIY3" s="120"/>
      <c r="KIZ3" s="120"/>
      <c r="KJA3" s="120"/>
      <c r="KJB3" s="120"/>
      <c r="KJC3" s="120"/>
      <c r="KJD3" s="120"/>
      <c r="KJE3" s="120"/>
      <c r="KJF3" s="120"/>
      <c r="KJG3" s="120"/>
      <c r="KJH3" s="120"/>
      <c r="KJI3" s="120"/>
      <c r="KJJ3" s="120"/>
      <c r="KJK3" s="120"/>
      <c r="KJL3" s="120"/>
      <c r="KJM3" s="120"/>
      <c r="KJN3" s="120"/>
      <c r="KJO3" s="120"/>
      <c r="KJP3" s="120"/>
      <c r="KJQ3" s="120"/>
      <c r="KJR3" s="120"/>
      <c r="KJS3" s="120"/>
      <c r="KJT3" s="120"/>
      <c r="KJU3" s="120"/>
      <c r="KJV3" s="120"/>
      <c r="KJW3" s="120"/>
      <c r="KJX3" s="120"/>
      <c r="KJY3" s="120"/>
      <c r="KJZ3" s="120"/>
      <c r="KKA3" s="120"/>
      <c r="KKB3" s="120"/>
      <c r="KKC3" s="120"/>
      <c r="KKD3" s="120"/>
      <c r="KKE3" s="120"/>
      <c r="KKF3" s="120"/>
      <c r="KKG3" s="120"/>
      <c r="KKH3" s="120"/>
      <c r="KKI3" s="120"/>
      <c r="KKJ3" s="120"/>
      <c r="KKK3" s="120"/>
      <c r="KKL3" s="120"/>
      <c r="KKM3" s="120"/>
      <c r="KKN3" s="120"/>
      <c r="KKO3" s="120"/>
      <c r="KKP3" s="120"/>
      <c r="KKQ3" s="120"/>
      <c r="KKR3" s="120"/>
      <c r="KKS3" s="120"/>
      <c r="KKT3" s="120"/>
      <c r="KKU3" s="120"/>
      <c r="KKV3" s="120"/>
      <c r="KKW3" s="120"/>
      <c r="KKX3" s="120"/>
      <c r="KKY3" s="120"/>
      <c r="KKZ3" s="120"/>
      <c r="KLA3" s="120"/>
      <c r="KLB3" s="120"/>
      <c r="KLC3" s="120"/>
      <c r="KLD3" s="120"/>
      <c r="KLE3" s="120"/>
      <c r="KLF3" s="120"/>
      <c r="KLG3" s="120"/>
      <c r="KLH3" s="120"/>
      <c r="KLI3" s="120"/>
      <c r="KLJ3" s="120"/>
      <c r="KLK3" s="120"/>
      <c r="KLL3" s="120"/>
      <c r="KLM3" s="120"/>
      <c r="KLN3" s="120"/>
      <c r="KLO3" s="120"/>
      <c r="KLP3" s="120"/>
      <c r="KLQ3" s="120"/>
      <c r="KLR3" s="120"/>
      <c r="KLS3" s="120"/>
      <c r="KLT3" s="120"/>
      <c r="KLU3" s="120"/>
      <c r="KLV3" s="120"/>
      <c r="KLW3" s="120"/>
      <c r="KLX3" s="120"/>
      <c r="KLY3" s="120"/>
      <c r="KLZ3" s="120"/>
      <c r="KMA3" s="120"/>
      <c r="KMB3" s="120"/>
      <c r="KMC3" s="120"/>
      <c r="KMD3" s="120"/>
      <c r="KME3" s="120"/>
      <c r="KMF3" s="120"/>
      <c r="KMG3" s="120"/>
      <c r="KMH3" s="120"/>
      <c r="KMI3" s="120"/>
      <c r="KMJ3" s="120"/>
      <c r="KMK3" s="120"/>
      <c r="KML3" s="120"/>
      <c r="KMM3" s="120"/>
      <c r="KMN3" s="120"/>
      <c r="KMO3" s="120"/>
      <c r="KMP3" s="120"/>
      <c r="KMQ3" s="120"/>
      <c r="KMR3" s="120"/>
      <c r="KMS3" s="120"/>
      <c r="KMT3" s="120"/>
      <c r="KMU3" s="120"/>
      <c r="KMV3" s="120"/>
      <c r="KMW3" s="120"/>
      <c r="KMX3" s="120"/>
      <c r="KMY3" s="120"/>
      <c r="KMZ3" s="120"/>
      <c r="KNA3" s="120"/>
      <c r="KNB3" s="120"/>
      <c r="KNC3" s="120"/>
      <c r="KND3" s="120"/>
      <c r="KNE3" s="120"/>
      <c r="KNF3" s="120"/>
      <c r="KNG3" s="120"/>
      <c r="KNH3" s="120"/>
      <c r="KNI3" s="120"/>
      <c r="KNJ3" s="120"/>
      <c r="KNK3" s="120"/>
      <c r="KNL3" s="120"/>
      <c r="KNM3" s="120"/>
      <c r="KNN3" s="120"/>
      <c r="KNO3" s="120"/>
      <c r="KNP3" s="120"/>
      <c r="KNQ3" s="120"/>
      <c r="KNR3" s="120"/>
      <c r="KNS3" s="120"/>
      <c r="KNT3" s="120"/>
      <c r="KNU3" s="120"/>
      <c r="KNV3" s="120"/>
      <c r="KNW3" s="120"/>
      <c r="KNX3" s="120"/>
      <c r="KNY3" s="120"/>
      <c r="KNZ3" s="120"/>
      <c r="KOA3" s="120"/>
      <c r="KOB3" s="120"/>
      <c r="KOC3" s="120"/>
      <c r="KOD3" s="120"/>
      <c r="KOE3" s="120"/>
      <c r="KOF3" s="120"/>
      <c r="KOG3" s="120"/>
      <c r="KOH3" s="120"/>
      <c r="KOI3" s="120"/>
      <c r="KOJ3" s="120"/>
      <c r="KOK3" s="120"/>
      <c r="KOL3" s="120"/>
      <c r="KOM3" s="120"/>
      <c r="KON3" s="120"/>
      <c r="KOO3" s="120"/>
      <c r="KOP3" s="120"/>
      <c r="KOQ3" s="120"/>
      <c r="KOR3" s="120"/>
      <c r="KOS3" s="120"/>
      <c r="KOT3" s="120"/>
      <c r="KOU3" s="120"/>
      <c r="KOV3" s="120"/>
      <c r="KOW3" s="120"/>
      <c r="KOX3" s="120"/>
      <c r="KOY3" s="120"/>
      <c r="KOZ3" s="120"/>
      <c r="KPA3" s="120"/>
      <c r="KPB3" s="120"/>
      <c r="KPC3" s="120"/>
      <c r="KPD3" s="120"/>
      <c r="KPE3" s="120"/>
      <c r="KPF3" s="120"/>
      <c r="KPG3" s="120"/>
      <c r="KPH3" s="120"/>
      <c r="KPI3" s="120"/>
      <c r="KPJ3" s="120"/>
      <c r="KPK3" s="120"/>
      <c r="KPL3" s="120"/>
      <c r="KPM3" s="120"/>
      <c r="KPN3" s="120"/>
      <c r="KPO3" s="120"/>
      <c r="KPP3" s="120"/>
      <c r="KPQ3" s="120"/>
      <c r="KPR3" s="120"/>
      <c r="KPS3" s="120"/>
      <c r="KPT3" s="120"/>
      <c r="KPU3" s="120"/>
      <c r="KPV3" s="120"/>
      <c r="KPW3" s="120"/>
      <c r="KPX3" s="120"/>
      <c r="KPY3" s="120"/>
      <c r="KPZ3" s="120"/>
      <c r="KQA3" s="120"/>
      <c r="KQB3" s="120"/>
      <c r="KQC3" s="120"/>
      <c r="KQD3" s="120"/>
      <c r="KQE3" s="120"/>
      <c r="KQF3" s="120"/>
      <c r="KQG3" s="120"/>
      <c r="KQH3" s="120"/>
      <c r="KQI3" s="120"/>
      <c r="KQJ3" s="120"/>
      <c r="KQK3" s="120"/>
      <c r="KQL3" s="120"/>
      <c r="KQM3" s="120"/>
      <c r="KQN3" s="120"/>
      <c r="KQO3" s="120"/>
      <c r="KQP3" s="120"/>
      <c r="KQQ3" s="120"/>
      <c r="KQR3" s="120"/>
      <c r="KQS3" s="120"/>
      <c r="KQT3" s="120"/>
      <c r="KQU3" s="120"/>
      <c r="KQV3" s="120"/>
      <c r="KQW3" s="120"/>
      <c r="KQX3" s="120"/>
      <c r="KQY3" s="120"/>
      <c r="KQZ3" s="120"/>
      <c r="KRA3" s="120"/>
      <c r="KRB3" s="120"/>
      <c r="KRC3" s="120"/>
      <c r="KRD3" s="120"/>
      <c r="KRE3" s="120"/>
      <c r="KRF3" s="120"/>
      <c r="KRG3" s="120"/>
      <c r="KRH3" s="120"/>
      <c r="KRI3" s="120"/>
      <c r="KRJ3" s="120"/>
      <c r="KRK3" s="120"/>
      <c r="KRL3" s="120"/>
      <c r="KRM3" s="120"/>
      <c r="KRN3" s="120"/>
      <c r="KRO3" s="120"/>
      <c r="KRP3" s="120"/>
      <c r="KRQ3" s="120"/>
      <c r="KRR3" s="120"/>
      <c r="KRS3" s="120"/>
      <c r="KRT3" s="120"/>
      <c r="KRU3" s="120"/>
      <c r="KRV3" s="120"/>
      <c r="KRW3" s="120"/>
      <c r="KRX3" s="120"/>
      <c r="KRY3" s="120"/>
      <c r="KRZ3" s="120"/>
      <c r="KSA3" s="120"/>
      <c r="KSB3" s="120"/>
      <c r="KSC3" s="120"/>
      <c r="KSD3" s="120"/>
      <c r="KSE3" s="120"/>
      <c r="KSF3" s="120"/>
      <c r="KSG3" s="120"/>
      <c r="KSH3" s="120"/>
      <c r="KSI3" s="120"/>
      <c r="KSJ3" s="120"/>
      <c r="KSK3" s="120"/>
      <c r="KSL3" s="120"/>
      <c r="KSM3" s="120"/>
      <c r="KSN3" s="120"/>
      <c r="KSO3" s="120"/>
      <c r="KSP3" s="120"/>
      <c r="KSQ3" s="120"/>
      <c r="KSR3" s="120"/>
      <c r="KSS3" s="120"/>
      <c r="KST3" s="120"/>
      <c r="KSU3" s="120"/>
      <c r="KSV3" s="120"/>
      <c r="KSW3" s="120"/>
      <c r="KSX3" s="120"/>
      <c r="KSY3" s="120"/>
      <c r="KSZ3" s="120"/>
      <c r="KTA3" s="120"/>
      <c r="KTB3" s="120"/>
      <c r="KTC3" s="120"/>
      <c r="KTD3" s="120"/>
      <c r="KTE3" s="120"/>
      <c r="KTF3" s="120"/>
      <c r="KTG3" s="120"/>
      <c r="KTH3" s="120"/>
      <c r="KTI3" s="120"/>
      <c r="KTJ3" s="120"/>
      <c r="KTK3" s="120"/>
      <c r="KTL3" s="120"/>
      <c r="KTM3" s="120"/>
      <c r="KTN3" s="120"/>
      <c r="KTO3" s="120"/>
      <c r="KTP3" s="120"/>
      <c r="KTQ3" s="120"/>
      <c r="KTR3" s="120"/>
      <c r="KTS3" s="120"/>
      <c r="KTT3" s="120"/>
      <c r="KTU3" s="120"/>
      <c r="KTV3" s="120"/>
      <c r="KTW3" s="120"/>
      <c r="KTX3" s="120"/>
      <c r="KTY3" s="120"/>
      <c r="KTZ3" s="120"/>
      <c r="KUA3" s="120"/>
      <c r="KUB3" s="120"/>
      <c r="KUC3" s="120"/>
      <c r="KUD3" s="120"/>
      <c r="KUE3" s="120"/>
      <c r="KUF3" s="120"/>
      <c r="KUG3" s="120"/>
      <c r="KUH3" s="120"/>
      <c r="KUI3" s="120"/>
      <c r="KUJ3" s="120"/>
      <c r="KUK3" s="120"/>
      <c r="KUL3" s="120"/>
      <c r="KUM3" s="120"/>
      <c r="KUN3" s="120"/>
      <c r="KUO3" s="120"/>
      <c r="KUP3" s="120"/>
      <c r="KUQ3" s="120"/>
      <c r="KUR3" s="120"/>
      <c r="KUS3" s="120"/>
      <c r="KUT3" s="120"/>
      <c r="KUU3" s="120"/>
      <c r="KUV3" s="120"/>
      <c r="KUW3" s="120"/>
      <c r="KUX3" s="120"/>
      <c r="KUY3" s="120"/>
      <c r="KUZ3" s="120"/>
      <c r="KVA3" s="120"/>
      <c r="KVB3" s="120"/>
      <c r="KVC3" s="120"/>
      <c r="KVD3" s="120"/>
      <c r="KVE3" s="120"/>
      <c r="KVF3" s="120"/>
      <c r="KVG3" s="120"/>
      <c r="KVH3" s="120"/>
      <c r="KVI3" s="120"/>
      <c r="KVJ3" s="120"/>
      <c r="KVK3" s="120"/>
      <c r="KVL3" s="120"/>
      <c r="KVM3" s="120"/>
      <c r="KVN3" s="120"/>
      <c r="KVO3" s="120"/>
      <c r="KVP3" s="120"/>
      <c r="KVQ3" s="120"/>
      <c r="KVR3" s="120"/>
      <c r="KVS3" s="120"/>
      <c r="KVT3" s="120"/>
      <c r="KVU3" s="120"/>
      <c r="KVV3" s="120"/>
      <c r="KVW3" s="120"/>
      <c r="KVX3" s="120"/>
      <c r="KVY3" s="120"/>
      <c r="KVZ3" s="120"/>
      <c r="KWA3" s="120"/>
      <c r="KWB3" s="120"/>
      <c r="KWC3" s="120"/>
      <c r="KWD3" s="120"/>
      <c r="KWE3" s="120"/>
      <c r="KWF3" s="120"/>
      <c r="KWG3" s="120"/>
      <c r="KWH3" s="120"/>
      <c r="KWI3" s="120"/>
      <c r="KWJ3" s="120"/>
      <c r="KWK3" s="120"/>
      <c r="KWL3" s="120"/>
      <c r="KWM3" s="120"/>
      <c r="KWN3" s="120"/>
      <c r="KWO3" s="120"/>
      <c r="KWP3" s="120"/>
      <c r="KWQ3" s="120"/>
      <c r="KWR3" s="120"/>
      <c r="KWS3" s="120"/>
      <c r="KWT3" s="120"/>
      <c r="KWU3" s="120"/>
      <c r="KWV3" s="120"/>
      <c r="KWW3" s="120"/>
      <c r="KWX3" s="120"/>
      <c r="KWY3" s="120"/>
      <c r="KWZ3" s="120"/>
      <c r="KXA3" s="120"/>
      <c r="KXB3" s="120"/>
      <c r="KXC3" s="120"/>
      <c r="KXD3" s="120"/>
      <c r="KXE3" s="120"/>
      <c r="KXF3" s="120"/>
      <c r="KXG3" s="120"/>
      <c r="KXH3" s="120"/>
      <c r="KXI3" s="120"/>
      <c r="KXJ3" s="120"/>
      <c r="KXK3" s="120"/>
      <c r="KXL3" s="120"/>
      <c r="KXM3" s="120"/>
      <c r="KXN3" s="120"/>
      <c r="KXO3" s="120"/>
      <c r="KXP3" s="120"/>
      <c r="KXQ3" s="120"/>
      <c r="KXR3" s="120"/>
      <c r="KXS3" s="120"/>
      <c r="KXT3" s="120"/>
      <c r="KXU3" s="120"/>
      <c r="KXV3" s="120"/>
      <c r="KXW3" s="120"/>
      <c r="KXX3" s="120"/>
      <c r="KXY3" s="120"/>
      <c r="KXZ3" s="120"/>
      <c r="KYA3" s="120"/>
      <c r="KYB3" s="120"/>
      <c r="KYC3" s="120"/>
      <c r="KYD3" s="120"/>
      <c r="KYE3" s="120"/>
      <c r="KYF3" s="120"/>
      <c r="KYG3" s="120"/>
      <c r="KYH3" s="120"/>
      <c r="KYI3" s="120"/>
      <c r="KYJ3" s="120"/>
      <c r="KYK3" s="120"/>
      <c r="KYL3" s="120"/>
      <c r="KYM3" s="120"/>
      <c r="KYN3" s="120"/>
      <c r="KYO3" s="120"/>
      <c r="KYP3" s="120"/>
      <c r="KYQ3" s="120"/>
      <c r="KYR3" s="120"/>
      <c r="KYS3" s="120"/>
      <c r="KYT3" s="120"/>
      <c r="KYU3" s="120"/>
      <c r="KYV3" s="120"/>
      <c r="KYW3" s="120"/>
      <c r="KYX3" s="120"/>
      <c r="KYY3" s="120"/>
      <c r="KYZ3" s="120"/>
      <c r="KZA3" s="120"/>
      <c r="KZB3" s="120"/>
      <c r="KZC3" s="120"/>
      <c r="KZD3" s="120"/>
      <c r="KZE3" s="120"/>
      <c r="KZF3" s="120"/>
      <c r="KZG3" s="120"/>
      <c r="KZH3" s="120"/>
      <c r="KZI3" s="120"/>
      <c r="KZJ3" s="120"/>
      <c r="KZK3" s="120"/>
      <c r="KZL3" s="120"/>
      <c r="KZM3" s="120"/>
      <c r="KZN3" s="120"/>
      <c r="KZO3" s="120"/>
      <c r="KZP3" s="120"/>
      <c r="KZQ3" s="120"/>
      <c r="KZR3" s="120"/>
      <c r="KZS3" s="120"/>
      <c r="KZT3" s="120"/>
      <c r="KZU3" s="120"/>
      <c r="KZV3" s="120"/>
      <c r="KZW3" s="120"/>
      <c r="KZX3" s="120"/>
      <c r="KZY3" s="120"/>
      <c r="KZZ3" s="120"/>
      <c r="LAA3" s="120"/>
      <c r="LAB3" s="120"/>
      <c r="LAC3" s="120"/>
      <c r="LAD3" s="120"/>
      <c r="LAE3" s="120"/>
      <c r="LAF3" s="120"/>
      <c r="LAG3" s="120"/>
      <c r="LAH3" s="120"/>
      <c r="LAI3" s="120"/>
      <c r="LAJ3" s="120"/>
      <c r="LAK3" s="120"/>
      <c r="LAL3" s="120"/>
      <c r="LAM3" s="120"/>
      <c r="LAN3" s="120"/>
      <c r="LAO3" s="120"/>
      <c r="LAP3" s="120"/>
      <c r="LAQ3" s="120"/>
      <c r="LAR3" s="120"/>
      <c r="LAS3" s="120"/>
      <c r="LAT3" s="120"/>
      <c r="LAU3" s="120"/>
      <c r="LAV3" s="120"/>
      <c r="LAW3" s="120"/>
      <c r="LAX3" s="120"/>
      <c r="LAY3" s="120"/>
      <c r="LAZ3" s="120"/>
      <c r="LBA3" s="120"/>
      <c r="LBB3" s="120"/>
      <c r="LBC3" s="120"/>
      <c r="LBD3" s="120"/>
      <c r="LBE3" s="120"/>
      <c r="LBF3" s="120"/>
      <c r="LBG3" s="120"/>
      <c r="LBH3" s="120"/>
      <c r="LBI3" s="120"/>
      <c r="LBJ3" s="120"/>
      <c r="LBK3" s="120"/>
      <c r="LBL3" s="120"/>
      <c r="LBM3" s="120"/>
      <c r="LBN3" s="120"/>
      <c r="LBO3" s="120"/>
      <c r="LBP3" s="120"/>
      <c r="LBQ3" s="120"/>
      <c r="LBR3" s="120"/>
      <c r="LBS3" s="120"/>
      <c r="LBT3" s="120"/>
      <c r="LBU3" s="120"/>
      <c r="LBV3" s="120"/>
      <c r="LBW3" s="120"/>
      <c r="LBX3" s="120"/>
      <c r="LBY3" s="120"/>
      <c r="LBZ3" s="120"/>
      <c r="LCA3" s="120"/>
      <c r="LCB3" s="120"/>
      <c r="LCC3" s="120"/>
      <c r="LCD3" s="120"/>
      <c r="LCE3" s="120"/>
      <c r="LCF3" s="120"/>
      <c r="LCG3" s="120"/>
      <c r="LCH3" s="120"/>
      <c r="LCI3" s="120"/>
      <c r="LCJ3" s="120"/>
      <c r="LCK3" s="120"/>
      <c r="LCL3" s="120"/>
      <c r="LCM3" s="120"/>
      <c r="LCN3" s="120"/>
      <c r="LCO3" s="120"/>
      <c r="LCP3" s="120"/>
      <c r="LCQ3" s="120"/>
      <c r="LCR3" s="120"/>
      <c r="LCS3" s="120"/>
      <c r="LCT3" s="120"/>
      <c r="LCU3" s="120"/>
      <c r="LCV3" s="120"/>
      <c r="LCW3" s="120"/>
      <c r="LCX3" s="120"/>
      <c r="LCY3" s="120"/>
      <c r="LCZ3" s="120"/>
      <c r="LDA3" s="120"/>
      <c r="LDB3" s="120"/>
      <c r="LDC3" s="120"/>
      <c r="LDD3" s="120"/>
      <c r="LDE3" s="120"/>
      <c r="LDF3" s="120"/>
      <c r="LDG3" s="120"/>
      <c r="LDH3" s="120"/>
      <c r="LDI3" s="120"/>
      <c r="LDJ3" s="120"/>
      <c r="LDK3" s="120"/>
      <c r="LDL3" s="120"/>
      <c r="LDM3" s="120"/>
      <c r="LDN3" s="120"/>
      <c r="LDO3" s="120"/>
      <c r="LDP3" s="120"/>
      <c r="LDQ3" s="120"/>
      <c r="LDR3" s="120"/>
      <c r="LDS3" s="120"/>
      <c r="LDT3" s="120"/>
      <c r="LDU3" s="120"/>
      <c r="LDV3" s="120"/>
      <c r="LDW3" s="120"/>
      <c r="LDX3" s="120"/>
      <c r="LDY3" s="120"/>
      <c r="LDZ3" s="120"/>
      <c r="LEA3" s="120"/>
      <c r="LEB3" s="120"/>
      <c r="LEC3" s="120"/>
      <c r="LED3" s="120"/>
      <c r="LEE3" s="120"/>
      <c r="LEF3" s="120"/>
      <c r="LEG3" s="120"/>
      <c r="LEH3" s="120"/>
      <c r="LEI3" s="120"/>
      <c r="LEJ3" s="120"/>
      <c r="LEK3" s="120"/>
      <c r="LEL3" s="120"/>
      <c r="LEM3" s="120"/>
      <c r="LEN3" s="120"/>
      <c r="LEO3" s="120"/>
      <c r="LEP3" s="120"/>
      <c r="LEQ3" s="120"/>
      <c r="LER3" s="120"/>
      <c r="LES3" s="120"/>
      <c r="LET3" s="120"/>
      <c r="LEU3" s="120"/>
      <c r="LEV3" s="120"/>
      <c r="LEW3" s="120"/>
      <c r="LEX3" s="120"/>
      <c r="LEY3" s="120"/>
      <c r="LEZ3" s="120"/>
      <c r="LFA3" s="120"/>
      <c r="LFB3" s="120"/>
      <c r="LFC3" s="120"/>
      <c r="LFD3" s="120"/>
      <c r="LFE3" s="120"/>
      <c r="LFF3" s="120"/>
      <c r="LFG3" s="120"/>
      <c r="LFH3" s="120"/>
      <c r="LFI3" s="120"/>
      <c r="LFJ3" s="120"/>
      <c r="LFK3" s="120"/>
      <c r="LFL3" s="120"/>
      <c r="LFM3" s="120"/>
      <c r="LFN3" s="120"/>
      <c r="LFO3" s="120"/>
      <c r="LFP3" s="120"/>
      <c r="LFQ3" s="120"/>
      <c r="LFR3" s="120"/>
      <c r="LFS3" s="120"/>
      <c r="LFT3" s="120"/>
      <c r="LFU3" s="120"/>
      <c r="LFV3" s="120"/>
      <c r="LFW3" s="120"/>
      <c r="LFX3" s="120"/>
      <c r="LFY3" s="120"/>
      <c r="LFZ3" s="120"/>
      <c r="LGA3" s="120"/>
      <c r="LGB3" s="120"/>
      <c r="LGC3" s="120"/>
      <c r="LGD3" s="120"/>
      <c r="LGE3" s="120"/>
      <c r="LGF3" s="120"/>
      <c r="LGG3" s="120"/>
      <c r="LGH3" s="120"/>
      <c r="LGI3" s="120"/>
      <c r="LGJ3" s="120"/>
      <c r="LGK3" s="120"/>
      <c r="LGL3" s="120"/>
      <c r="LGM3" s="120"/>
      <c r="LGN3" s="120"/>
      <c r="LGO3" s="120"/>
      <c r="LGP3" s="120"/>
      <c r="LGQ3" s="120"/>
      <c r="LGR3" s="120"/>
      <c r="LGS3" s="120"/>
      <c r="LGT3" s="120"/>
      <c r="LGU3" s="120"/>
      <c r="LGV3" s="120"/>
      <c r="LGW3" s="120"/>
      <c r="LGX3" s="120"/>
      <c r="LGY3" s="120"/>
      <c r="LGZ3" s="120"/>
      <c r="LHA3" s="120"/>
      <c r="LHB3" s="120"/>
      <c r="LHC3" s="120"/>
      <c r="LHD3" s="120"/>
      <c r="LHE3" s="120"/>
      <c r="LHF3" s="120"/>
      <c r="LHG3" s="120"/>
      <c r="LHH3" s="120"/>
      <c r="LHI3" s="120"/>
      <c r="LHJ3" s="120"/>
      <c r="LHK3" s="120"/>
      <c r="LHL3" s="120"/>
      <c r="LHM3" s="120"/>
      <c r="LHN3" s="120"/>
      <c r="LHO3" s="120"/>
      <c r="LHP3" s="120"/>
      <c r="LHQ3" s="120"/>
      <c r="LHR3" s="120"/>
      <c r="LHS3" s="120"/>
      <c r="LHT3" s="120"/>
      <c r="LHU3" s="120"/>
      <c r="LHV3" s="120"/>
      <c r="LHW3" s="120"/>
      <c r="LHX3" s="120"/>
      <c r="LHY3" s="120"/>
      <c r="LHZ3" s="120"/>
      <c r="LIA3" s="120"/>
      <c r="LIB3" s="120"/>
      <c r="LIC3" s="120"/>
      <c r="LID3" s="120"/>
      <c r="LIE3" s="120"/>
      <c r="LIF3" s="120"/>
      <c r="LIG3" s="120"/>
      <c r="LIH3" s="120"/>
      <c r="LII3" s="120"/>
      <c r="LIJ3" s="120"/>
      <c r="LIK3" s="120"/>
      <c r="LIL3" s="120"/>
      <c r="LIM3" s="120"/>
      <c r="LIN3" s="120"/>
      <c r="LIO3" s="120"/>
      <c r="LIP3" s="120"/>
      <c r="LIQ3" s="120"/>
      <c r="LIR3" s="120"/>
      <c r="LIS3" s="120"/>
      <c r="LIT3" s="120"/>
      <c r="LIU3" s="120"/>
      <c r="LIV3" s="120"/>
      <c r="LIW3" s="120"/>
      <c r="LIX3" s="120"/>
      <c r="LIY3" s="120"/>
      <c r="LIZ3" s="120"/>
      <c r="LJA3" s="120"/>
      <c r="LJB3" s="120"/>
      <c r="LJC3" s="120"/>
      <c r="LJD3" s="120"/>
      <c r="LJE3" s="120"/>
      <c r="LJF3" s="120"/>
      <c r="LJG3" s="120"/>
      <c r="LJH3" s="120"/>
      <c r="LJI3" s="120"/>
      <c r="LJJ3" s="120"/>
      <c r="LJK3" s="120"/>
      <c r="LJL3" s="120"/>
      <c r="LJM3" s="120"/>
      <c r="LJN3" s="120"/>
      <c r="LJO3" s="120"/>
      <c r="LJP3" s="120"/>
      <c r="LJQ3" s="120"/>
      <c r="LJR3" s="120"/>
      <c r="LJS3" s="120"/>
      <c r="LJT3" s="120"/>
      <c r="LJU3" s="120"/>
      <c r="LJV3" s="120"/>
      <c r="LJW3" s="120"/>
      <c r="LJX3" s="120"/>
      <c r="LJY3" s="120"/>
      <c r="LJZ3" s="120"/>
      <c r="LKA3" s="120"/>
      <c r="LKB3" s="120"/>
      <c r="LKC3" s="120"/>
      <c r="LKD3" s="120"/>
      <c r="LKE3" s="120"/>
      <c r="LKF3" s="120"/>
      <c r="LKG3" s="120"/>
      <c r="LKH3" s="120"/>
      <c r="LKI3" s="120"/>
      <c r="LKJ3" s="120"/>
      <c r="LKK3" s="120"/>
      <c r="LKL3" s="120"/>
      <c r="LKM3" s="120"/>
      <c r="LKN3" s="120"/>
      <c r="LKO3" s="120"/>
      <c r="LKP3" s="120"/>
      <c r="LKQ3" s="120"/>
      <c r="LKR3" s="120"/>
      <c r="LKS3" s="120"/>
      <c r="LKT3" s="120"/>
      <c r="LKU3" s="120"/>
      <c r="LKV3" s="120"/>
      <c r="LKW3" s="120"/>
      <c r="LKX3" s="120"/>
      <c r="LKY3" s="120"/>
      <c r="LKZ3" s="120"/>
      <c r="LLA3" s="120"/>
      <c r="LLB3" s="120"/>
      <c r="LLC3" s="120"/>
      <c r="LLD3" s="120"/>
      <c r="LLE3" s="120"/>
      <c r="LLF3" s="120"/>
      <c r="LLG3" s="120"/>
      <c r="LLH3" s="120"/>
      <c r="LLI3" s="120"/>
      <c r="LLJ3" s="120"/>
      <c r="LLK3" s="120"/>
      <c r="LLL3" s="120"/>
      <c r="LLM3" s="120"/>
      <c r="LLN3" s="120"/>
      <c r="LLO3" s="120"/>
      <c r="LLP3" s="120"/>
      <c r="LLQ3" s="120"/>
      <c r="LLR3" s="120"/>
      <c r="LLS3" s="120"/>
      <c r="LLT3" s="120"/>
      <c r="LLU3" s="120"/>
      <c r="LLV3" s="120"/>
      <c r="LLW3" s="120"/>
      <c r="LLX3" s="120"/>
      <c r="LLY3" s="120"/>
      <c r="LLZ3" s="120"/>
      <c r="LMA3" s="120"/>
      <c r="LMB3" s="120"/>
      <c r="LMC3" s="120"/>
      <c r="LMD3" s="120"/>
      <c r="LME3" s="120"/>
      <c r="LMF3" s="120"/>
      <c r="LMG3" s="120"/>
      <c r="LMH3" s="120"/>
      <c r="LMI3" s="120"/>
      <c r="LMJ3" s="120"/>
      <c r="LMK3" s="120"/>
      <c r="LML3" s="120"/>
      <c r="LMM3" s="120"/>
      <c r="LMN3" s="120"/>
      <c r="LMO3" s="120"/>
      <c r="LMP3" s="120"/>
      <c r="LMQ3" s="120"/>
      <c r="LMR3" s="120"/>
      <c r="LMS3" s="120"/>
      <c r="LMT3" s="120"/>
      <c r="LMU3" s="120"/>
      <c r="LMV3" s="120"/>
      <c r="LMW3" s="120"/>
      <c r="LMX3" s="120"/>
      <c r="LMY3" s="120"/>
      <c r="LMZ3" s="120"/>
      <c r="LNA3" s="120"/>
      <c r="LNB3" s="120"/>
      <c r="LNC3" s="120"/>
      <c r="LND3" s="120"/>
      <c r="LNE3" s="120"/>
      <c r="LNF3" s="120"/>
      <c r="LNG3" s="120"/>
      <c r="LNH3" s="120"/>
      <c r="LNI3" s="120"/>
      <c r="LNJ3" s="120"/>
      <c r="LNK3" s="120"/>
      <c r="LNL3" s="120"/>
      <c r="LNM3" s="120"/>
      <c r="LNN3" s="120"/>
      <c r="LNO3" s="120"/>
      <c r="LNP3" s="120"/>
      <c r="LNQ3" s="120"/>
      <c r="LNR3" s="120"/>
      <c r="LNS3" s="120"/>
      <c r="LNT3" s="120"/>
      <c r="LNU3" s="120"/>
      <c r="LNV3" s="120"/>
      <c r="LNW3" s="120"/>
      <c r="LNX3" s="120"/>
      <c r="LNY3" s="120"/>
      <c r="LNZ3" s="120"/>
      <c r="LOA3" s="120"/>
      <c r="LOB3" s="120"/>
      <c r="LOC3" s="120"/>
      <c r="LOD3" s="120"/>
      <c r="LOE3" s="120"/>
      <c r="LOF3" s="120"/>
      <c r="LOG3" s="120"/>
      <c r="LOH3" s="120"/>
      <c r="LOI3" s="120"/>
      <c r="LOJ3" s="120"/>
      <c r="LOK3" s="120"/>
      <c r="LOL3" s="120"/>
      <c r="LOM3" s="120"/>
      <c r="LON3" s="120"/>
      <c r="LOO3" s="120"/>
      <c r="LOP3" s="120"/>
      <c r="LOQ3" s="120"/>
      <c r="LOR3" s="120"/>
      <c r="LOS3" s="120"/>
      <c r="LOT3" s="120"/>
      <c r="LOU3" s="120"/>
      <c r="LOV3" s="120"/>
      <c r="LOW3" s="120"/>
      <c r="LOX3" s="120"/>
      <c r="LOY3" s="120"/>
      <c r="LOZ3" s="120"/>
      <c r="LPA3" s="120"/>
      <c r="LPB3" s="120"/>
      <c r="LPC3" s="120"/>
      <c r="LPD3" s="120"/>
      <c r="LPE3" s="120"/>
      <c r="LPF3" s="120"/>
      <c r="LPG3" s="120"/>
      <c r="LPH3" s="120"/>
      <c r="LPI3" s="120"/>
      <c r="LPJ3" s="120"/>
      <c r="LPK3" s="120"/>
      <c r="LPL3" s="120"/>
      <c r="LPM3" s="120"/>
      <c r="LPN3" s="120"/>
      <c r="LPO3" s="120"/>
      <c r="LPP3" s="120"/>
      <c r="LPQ3" s="120"/>
      <c r="LPR3" s="120"/>
      <c r="LPS3" s="120"/>
      <c r="LPT3" s="120"/>
      <c r="LPU3" s="120"/>
      <c r="LPV3" s="120"/>
      <c r="LPW3" s="120"/>
      <c r="LPX3" s="120"/>
      <c r="LPY3" s="120"/>
      <c r="LPZ3" s="120"/>
      <c r="LQA3" s="120"/>
      <c r="LQB3" s="120"/>
      <c r="LQC3" s="120"/>
      <c r="LQD3" s="120"/>
      <c r="LQE3" s="120"/>
      <c r="LQF3" s="120"/>
      <c r="LQG3" s="120"/>
      <c r="LQH3" s="120"/>
      <c r="LQI3" s="120"/>
      <c r="LQJ3" s="120"/>
      <c r="LQK3" s="120"/>
      <c r="LQL3" s="120"/>
      <c r="LQM3" s="120"/>
      <c r="LQN3" s="120"/>
      <c r="LQO3" s="120"/>
      <c r="LQP3" s="120"/>
      <c r="LQQ3" s="120"/>
      <c r="LQR3" s="120"/>
      <c r="LQS3" s="120"/>
      <c r="LQT3" s="120"/>
      <c r="LQU3" s="120"/>
      <c r="LQV3" s="120"/>
      <c r="LQW3" s="120"/>
      <c r="LQX3" s="120"/>
      <c r="LQY3" s="120"/>
      <c r="LQZ3" s="120"/>
      <c r="LRA3" s="120"/>
      <c r="LRB3" s="120"/>
      <c r="LRC3" s="120"/>
      <c r="LRD3" s="120"/>
      <c r="LRE3" s="120"/>
      <c r="LRF3" s="120"/>
      <c r="LRG3" s="120"/>
      <c r="LRH3" s="120"/>
      <c r="LRI3" s="120"/>
      <c r="LRJ3" s="120"/>
      <c r="LRK3" s="120"/>
      <c r="LRL3" s="120"/>
      <c r="LRM3" s="120"/>
      <c r="LRN3" s="120"/>
      <c r="LRO3" s="120"/>
      <c r="LRP3" s="120"/>
      <c r="LRQ3" s="120"/>
      <c r="LRR3" s="120"/>
      <c r="LRS3" s="120"/>
      <c r="LRT3" s="120"/>
      <c r="LRU3" s="120"/>
      <c r="LRV3" s="120"/>
      <c r="LRW3" s="120"/>
      <c r="LRX3" s="120"/>
      <c r="LRY3" s="120"/>
      <c r="LRZ3" s="120"/>
      <c r="LSA3" s="120"/>
      <c r="LSB3" s="120"/>
      <c r="LSC3" s="120"/>
      <c r="LSD3" s="120"/>
      <c r="LSE3" s="120"/>
      <c r="LSF3" s="120"/>
      <c r="LSG3" s="120"/>
      <c r="LSH3" s="120"/>
      <c r="LSI3" s="120"/>
      <c r="LSJ3" s="120"/>
      <c r="LSK3" s="120"/>
      <c r="LSL3" s="120"/>
      <c r="LSM3" s="120"/>
      <c r="LSN3" s="120"/>
      <c r="LSO3" s="120"/>
      <c r="LSP3" s="120"/>
      <c r="LSQ3" s="120"/>
      <c r="LSR3" s="120"/>
      <c r="LSS3" s="120"/>
      <c r="LST3" s="120"/>
      <c r="LSU3" s="120"/>
      <c r="LSV3" s="120"/>
      <c r="LSW3" s="120"/>
      <c r="LSX3" s="120"/>
      <c r="LSY3" s="120"/>
      <c r="LSZ3" s="120"/>
      <c r="LTA3" s="120"/>
      <c r="LTB3" s="120"/>
      <c r="LTC3" s="120"/>
      <c r="LTD3" s="120"/>
      <c r="LTE3" s="120"/>
      <c r="LTF3" s="120"/>
      <c r="LTG3" s="120"/>
      <c r="LTH3" s="120"/>
      <c r="LTI3" s="120"/>
      <c r="LTJ3" s="120"/>
      <c r="LTK3" s="120"/>
      <c r="LTL3" s="120"/>
      <c r="LTM3" s="120"/>
      <c r="LTN3" s="120"/>
      <c r="LTO3" s="120"/>
      <c r="LTP3" s="120"/>
      <c r="LTQ3" s="120"/>
      <c r="LTR3" s="120"/>
      <c r="LTS3" s="120"/>
      <c r="LTT3" s="120"/>
      <c r="LTU3" s="120"/>
      <c r="LTV3" s="120"/>
      <c r="LTW3" s="120"/>
      <c r="LTX3" s="120"/>
      <c r="LTY3" s="120"/>
      <c r="LTZ3" s="120"/>
      <c r="LUA3" s="120"/>
      <c r="LUB3" s="120"/>
      <c r="LUC3" s="120"/>
      <c r="LUD3" s="120"/>
      <c r="LUE3" s="120"/>
      <c r="LUF3" s="120"/>
      <c r="LUG3" s="120"/>
      <c r="LUH3" s="120"/>
      <c r="LUI3" s="120"/>
      <c r="LUJ3" s="120"/>
      <c r="LUK3" s="120"/>
      <c r="LUL3" s="120"/>
      <c r="LUM3" s="120"/>
      <c r="LUN3" s="120"/>
      <c r="LUO3" s="120"/>
      <c r="LUP3" s="120"/>
      <c r="LUQ3" s="120"/>
      <c r="LUR3" s="120"/>
      <c r="LUS3" s="120"/>
      <c r="LUT3" s="120"/>
      <c r="LUU3" s="120"/>
      <c r="LUV3" s="120"/>
      <c r="LUW3" s="120"/>
      <c r="LUX3" s="120"/>
      <c r="LUY3" s="120"/>
      <c r="LUZ3" s="120"/>
      <c r="LVA3" s="120"/>
      <c r="LVB3" s="120"/>
      <c r="LVC3" s="120"/>
      <c r="LVD3" s="120"/>
      <c r="LVE3" s="120"/>
      <c r="LVF3" s="120"/>
      <c r="LVG3" s="120"/>
      <c r="LVH3" s="120"/>
      <c r="LVI3" s="120"/>
      <c r="LVJ3" s="120"/>
      <c r="LVK3" s="120"/>
      <c r="LVL3" s="120"/>
      <c r="LVM3" s="120"/>
      <c r="LVN3" s="120"/>
      <c r="LVO3" s="120"/>
      <c r="LVP3" s="120"/>
      <c r="LVQ3" s="120"/>
      <c r="LVR3" s="120"/>
      <c r="LVS3" s="120"/>
      <c r="LVT3" s="120"/>
      <c r="LVU3" s="120"/>
      <c r="LVV3" s="120"/>
      <c r="LVW3" s="120"/>
      <c r="LVX3" s="120"/>
      <c r="LVY3" s="120"/>
      <c r="LVZ3" s="120"/>
      <c r="LWA3" s="120"/>
      <c r="LWB3" s="120"/>
      <c r="LWC3" s="120"/>
      <c r="LWD3" s="120"/>
      <c r="LWE3" s="120"/>
      <c r="LWF3" s="120"/>
      <c r="LWG3" s="120"/>
      <c r="LWH3" s="120"/>
      <c r="LWI3" s="120"/>
      <c r="LWJ3" s="120"/>
      <c r="LWK3" s="120"/>
      <c r="LWL3" s="120"/>
      <c r="LWM3" s="120"/>
      <c r="LWN3" s="120"/>
      <c r="LWO3" s="120"/>
      <c r="LWP3" s="120"/>
      <c r="LWQ3" s="120"/>
      <c r="LWR3" s="120"/>
      <c r="LWS3" s="120"/>
      <c r="LWT3" s="120"/>
      <c r="LWU3" s="120"/>
      <c r="LWV3" s="120"/>
      <c r="LWW3" s="120"/>
      <c r="LWX3" s="120"/>
      <c r="LWY3" s="120"/>
      <c r="LWZ3" s="120"/>
      <c r="LXA3" s="120"/>
      <c r="LXB3" s="120"/>
      <c r="LXC3" s="120"/>
      <c r="LXD3" s="120"/>
      <c r="LXE3" s="120"/>
      <c r="LXF3" s="120"/>
      <c r="LXG3" s="120"/>
      <c r="LXH3" s="120"/>
      <c r="LXI3" s="120"/>
      <c r="LXJ3" s="120"/>
      <c r="LXK3" s="120"/>
      <c r="LXL3" s="120"/>
      <c r="LXM3" s="120"/>
      <c r="LXN3" s="120"/>
      <c r="LXO3" s="120"/>
      <c r="LXP3" s="120"/>
      <c r="LXQ3" s="120"/>
      <c r="LXR3" s="120"/>
      <c r="LXS3" s="120"/>
      <c r="LXT3" s="120"/>
      <c r="LXU3" s="120"/>
      <c r="LXV3" s="120"/>
      <c r="LXW3" s="120"/>
      <c r="LXX3" s="120"/>
      <c r="LXY3" s="120"/>
      <c r="LXZ3" s="120"/>
      <c r="LYA3" s="120"/>
      <c r="LYB3" s="120"/>
      <c r="LYC3" s="120"/>
      <c r="LYD3" s="120"/>
      <c r="LYE3" s="120"/>
      <c r="LYF3" s="120"/>
      <c r="LYG3" s="120"/>
      <c r="LYH3" s="120"/>
      <c r="LYI3" s="120"/>
      <c r="LYJ3" s="120"/>
      <c r="LYK3" s="120"/>
      <c r="LYL3" s="120"/>
      <c r="LYM3" s="120"/>
      <c r="LYN3" s="120"/>
      <c r="LYO3" s="120"/>
      <c r="LYP3" s="120"/>
      <c r="LYQ3" s="120"/>
      <c r="LYR3" s="120"/>
      <c r="LYS3" s="120"/>
      <c r="LYT3" s="120"/>
      <c r="LYU3" s="120"/>
      <c r="LYV3" s="120"/>
      <c r="LYW3" s="120"/>
      <c r="LYX3" s="120"/>
      <c r="LYY3" s="120"/>
      <c r="LYZ3" s="120"/>
      <c r="LZA3" s="120"/>
      <c r="LZB3" s="120"/>
      <c r="LZC3" s="120"/>
      <c r="LZD3" s="120"/>
      <c r="LZE3" s="120"/>
      <c r="LZF3" s="120"/>
      <c r="LZG3" s="120"/>
      <c r="LZH3" s="120"/>
      <c r="LZI3" s="120"/>
      <c r="LZJ3" s="120"/>
      <c r="LZK3" s="120"/>
      <c r="LZL3" s="120"/>
      <c r="LZM3" s="120"/>
      <c r="LZN3" s="120"/>
      <c r="LZO3" s="120"/>
      <c r="LZP3" s="120"/>
      <c r="LZQ3" s="120"/>
      <c r="LZR3" s="120"/>
      <c r="LZS3" s="120"/>
      <c r="LZT3" s="120"/>
      <c r="LZU3" s="120"/>
      <c r="LZV3" s="120"/>
      <c r="LZW3" s="120"/>
      <c r="LZX3" s="120"/>
      <c r="LZY3" s="120"/>
      <c r="LZZ3" s="120"/>
      <c r="MAA3" s="120"/>
      <c r="MAB3" s="120"/>
      <c r="MAC3" s="120"/>
      <c r="MAD3" s="120"/>
      <c r="MAE3" s="120"/>
      <c r="MAF3" s="120"/>
      <c r="MAG3" s="120"/>
      <c r="MAH3" s="120"/>
      <c r="MAI3" s="120"/>
      <c r="MAJ3" s="120"/>
      <c r="MAK3" s="120"/>
      <c r="MAL3" s="120"/>
      <c r="MAM3" s="120"/>
      <c r="MAN3" s="120"/>
      <c r="MAO3" s="120"/>
      <c r="MAP3" s="120"/>
      <c r="MAQ3" s="120"/>
      <c r="MAR3" s="120"/>
      <c r="MAS3" s="120"/>
      <c r="MAT3" s="120"/>
      <c r="MAU3" s="120"/>
      <c r="MAV3" s="120"/>
      <c r="MAW3" s="120"/>
      <c r="MAX3" s="120"/>
      <c r="MAY3" s="120"/>
      <c r="MAZ3" s="120"/>
      <c r="MBA3" s="120"/>
      <c r="MBB3" s="120"/>
      <c r="MBC3" s="120"/>
      <c r="MBD3" s="120"/>
      <c r="MBE3" s="120"/>
      <c r="MBF3" s="120"/>
      <c r="MBG3" s="120"/>
      <c r="MBH3" s="120"/>
      <c r="MBI3" s="120"/>
      <c r="MBJ3" s="120"/>
      <c r="MBK3" s="120"/>
      <c r="MBL3" s="120"/>
      <c r="MBM3" s="120"/>
      <c r="MBN3" s="120"/>
      <c r="MBO3" s="120"/>
      <c r="MBP3" s="120"/>
      <c r="MBQ3" s="120"/>
      <c r="MBR3" s="120"/>
      <c r="MBS3" s="120"/>
      <c r="MBT3" s="120"/>
      <c r="MBU3" s="120"/>
      <c r="MBV3" s="120"/>
      <c r="MBW3" s="120"/>
      <c r="MBX3" s="120"/>
      <c r="MBY3" s="120"/>
      <c r="MBZ3" s="120"/>
      <c r="MCA3" s="120"/>
      <c r="MCB3" s="120"/>
      <c r="MCC3" s="120"/>
      <c r="MCD3" s="120"/>
      <c r="MCE3" s="120"/>
      <c r="MCF3" s="120"/>
      <c r="MCG3" s="120"/>
      <c r="MCH3" s="120"/>
      <c r="MCI3" s="120"/>
      <c r="MCJ3" s="120"/>
      <c r="MCK3" s="120"/>
      <c r="MCL3" s="120"/>
      <c r="MCM3" s="120"/>
      <c r="MCN3" s="120"/>
      <c r="MCO3" s="120"/>
      <c r="MCP3" s="120"/>
      <c r="MCQ3" s="120"/>
      <c r="MCR3" s="120"/>
      <c r="MCS3" s="120"/>
      <c r="MCT3" s="120"/>
      <c r="MCU3" s="120"/>
      <c r="MCV3" s="120"/>
      <c r="MCW3" s="120"/>
      <c r="MCX3" s="120"/>
      <c r="MCY3" s="120"/>
      <c r="MCZ3" s="120"/>
      <c r="MDA3" s="120"/>
      <c r="MDB3" s="120"/>
      <c r="MDC3" s="120"/>
      <c r="MDD3" s="120"/>
      <c r="MDE3" s="120"/>
      <c r="MDF3" s="120"/>
      <c r="MDG3" s="120"/>
      <c r="MDH3" s="120"/>
      <c r="MDI3" s="120"/>
      <c r="MDJ3" s="120"/>
      <c r="MDK3" s="120"/>
      <c r="MDL3" s="120"/>
      <c r="MDM3" s="120"/>
      <c r="MDN3" s="120"/>
      <c r="MDO3" s="120"/>
      <c r="MDP3" s="120"/>
      <c r="MDQ3" s="120"/>
      <c r="MDR3" s="120"/>
      <c r="MDS3" s="120"/>
      <c r="MDT3" s="120"/>
      <c r="MDU3" s="120"/>
      <c r="MDV3" s="120"/>
      <c r="MDW3" s="120"/>
      <c r="MDX3" s="120"/>
      <c r="MDY3" s="120"/>
      <c r="MDZ3" s="120"/>
      <c r="MEA3" s="120"/>
      <c r="MEB3" s="120"/>
      <c r="MEC3" s="120"/>
      <c r="MED3" s="120"/>
      <c r="MEE3" s="120"/>
      <c r="MEF3" s="120"/>
      <c r="MEG3" s="120"/>
      <c r="MEH3" s="120"/>
      <c r="MEI3" s="120"/>
      <c r="MEJ3" s="120"/>
      <c r="MEK3" s="120"/>
      <c r="MEL3" s="120"/>
      <c r="MEM3" s="120"/>
      <c r="MEN3" s="120"/>
      <c r="MEO3" s="120"/>
      <c r="MEP3" s="120"/>
      <c r="MEQ3" s="120"/>
      <c r="MER3" s="120"/>
      <c r="MES3" s="120"/>
      <c r="MET3" s="120"/>
      <c r="MEU3" s="120"/>
      <c r="MEV3" s="120"/>
      <c r="MEW3" s="120"/>
      <c r="MEX3" s="120"/>
      <c r="MEY3" s="120"/>
      <c r="MEZ3" s="120"/>
      <c r="MFA3" s="120"/>
      <c r="MFB3" s="120"/>
      <c r="MFC3" s="120"/>
      <c r="MFD3" s="120"/>
      <c r="MFE3" s="120"/>
      <c r="MFF3" s="120"/>
      <c r="MFG3" s="120"/>
      <c r="MFH3" s="120"/>
      <c r="MFI3" s="120"/>
      <c r="MFJ3" s="120"/>
      <c r="MFK3" s="120"/>
      <c r="MFL3" s="120"/>
      <c r="MFM3" s="120"/>
      <c r="MFN3" s="120"/>
      <c r="MFO3" s="120"/>
      <c r="MFP3" s="120"/>
      <c r="MFQ3" s="120"/>
      <c r="MFR3" s="120"/>
      <c r="MFS3" s="120"/>
      <c r="MFT3" s="120"/>
      <c r="MFU3" s="120"/>
      <c r="MFV3" s="120"/>
      <c r="MFW3" s="120"/>
      <c r="MFX3" s="120"/>
      <c r="MFY3" s="120"/>
      <c r="MFZ3" s="120"/>
      <c r="MGA3" s="120"/>
      <c r="MGB3" s="120"/>
      <c r="MGC3" s="120"/>
      <c r="MGD3" s="120"/>
      <c r="MGE3" s="120"/>
      <c r="MGF3" s="120"/>
      <c r="MGG3" s="120"/>
      <c r="MGH3" s="120"/>
      <c r="MGI3" s="120"/>
      <c r="MGJ3" s="120"/>
      <c r="MGK3" s="120"/>
      <c r="MGL3" s="120"/>
      <c r="MGM3" s="120"/>
      <c r="MGN3" s="120"/>
      <c r="MGO3" s="120"/>
      <c r="MGP3" s="120"/>
      <c r="MGQ3" s="120"/>
      <c r="MGR3" s="120"/>
      <c r="MGS3" s="120"/>
      <c r="MGT3" s="120"/>
      <c r="MGU3" s="120"/>
      <c r="MGV3" s="120"/>
      <c r="MGW3" s="120"/>
      <c r="MGX3" s="120"/>
      <c r="MGY3" s="120"/>
      <c r="MGZ3" s="120"/>
      <c r="MHA3" s="120"/>
      <c r="MHB3" s="120"/>
      <c r="MHC3" s="120"/>
      <c r="MHD3" s="120"/>
      <c r="MHE3" s="120"/>
      <c r="MHF3" s="120"/>
      <c r="MHG3" s="120"/>
      <c r="MHH3" s="120"/>
      <c r="MHI3" s="120"/>
      <c r="MHJ3" s="120"/>
      <c r="MHK3" s="120"/>
      <c r="MHL3" s="120"/>
      <c r="MHM3" s="120"/>
      <c r="MHN3" s="120"/>
      <c r="MHO3" s="120"/>
      <c r="MHP3" s="120"/>
      <c r="MHQ3" s="120"/>
      <c r="MHR3" s="120"/>
      <c r="MHS3" s="120"/>
      <c r="MHT3" s="120"/>
      <c r="MHU3" s="120"/>
      <c r="MHV3" s="120"/>
      <c r="MHW3" s="120"/>
      <c r="MHX3" s="120"/>
      <c r="MHY3" s="120"/>
      <c r="MHZ3" s="120"/>
      <c r="MIA3" s="120"/>
      <c r="MIB3" s="120"/>
      <c r="MIC3" s="120"/>
      <c r="MID3" s="120"/>
      <c r="MIE3" s="120"/>
      <c r="MIF3" s="120"/>
      <c r="MIG3" s="120"/>
      <c r="MIH3" s="120"/>
      <c r="MII3" s="120"/>
      <c r="MIJ3" s="120"/>
      <c r="MIK3" s="120"/>
      <c r="MIL3" s="120"/>
      <c r="MIM3" s="120"/>
      <c r="MIN3" s="120"/>
      <c r="MIO3" s="120"/>
      <c r="MIP3" s="120"/>
      <c r="MIQ3" s="120"/>
      <c r="MIR3" s="120"/>
      <c r="MIS3" s="120"/>
      <c r="MIT3" s="120"/>
      <c r="MIU3" s="120"/>
      <c r="MIV3" s="120"/>
      <c r="MIW3" s="120"/>
      <c r="MIX3" s="120"/>
      <c r="MIY3" s="120"/>
      <c r="MIZ3" s="120"/>
      <c r="MJA3" s="120"/>
      <c r="MJB3" s="120"/>
      <c r="MJC3" s="120"/>
      <c r="MJD3" s="120"/>
      <c r="MJE3" s="120"/>
      <c r="MJF3" s="120"/>
      <c r="MJG3" s="120"/>
      <c r="MJH3" s="120"/>
      <c r="MJI3" s="120"/>
      <c r="MJJ3" s="120"/>
      <c r="MJK3" s="120"/>
      <c r="MJL3" s="120"/>
      <c r="MJM3" s="120"/>
      <c r="MJN3" s="120"/>
      <c r="MJO3" s="120"/>
      <c r="MJP3" s="120"/>
      <c r="MJQ3" s="120"/>
      <c r="MJR3" s="120"/>
      <c r="MJS3" s="120"/>
      <c r="MJT3" s="120"/>
      <c r="MJU3" s="120"/>
      <c r="MJV3" s="120"/>
      <c r="MJW3" s="120"/>
      <c r="MJX3" s="120"/>
      <c r="MJY3" s="120"/>
      <c r="MJZ3" s="120"/>
      <c r="MKA3" s="120"/>
      <c r="MKB3" s="120"/>
      <c r="MKC3" s="120"/>
      <c r="MKD3" s="120"/>
      <c r="MKE3" s="120"/>
      <c r="MKF3" s="120"/>
      <c r="MKG3" s="120"/>
      <c r="MKH3" s="120"/>
      <c r="MKI3" s="120"/>
      <c r="MKJ3" s="120"/>
      <c r="MKK3" s="120"/>
      <c r="MKL3" s="120"/>
      <c r="MKM3" s="120"/>
      <c r="MKN3" s="120"/>
      <c r="MKO3" s="120"/>
      <c r="MKP3" s="120"/>
      <c r="MKQ3" s="120"/>
      <c r="MKR3" s="120"/>
      <c r="MKS3" s="120"/>
      <c r="MKT3" s="120"/>
      <c r="MKU3" s="120"/>
      <c r="MKV3" s="120"/>
      <c r="MKW3" s="120"/>
      <c r="MKX3" s="120"/>
      <c r="MKY3" s="120"/>
      <c r="MKZ3" s="120"/>
      <c r="MLA3" s="120"/>
      <c r="MLB3" s="120"/>
      <c r="MLC3" s="120"/>
      <c r="MLD3" s="120"/>
      <c r="MLE3" s="120"/>
      <c r="MLF3" s="120"/>
      <c r="MLG3" s="120"/>
      <c r="MLH3" s="120"/>
      <c r="MLI3" s="120"/>
      <c r="MLJ3" s="120"/>
      <c r="MLK3" s="120"/>
      <c r="MLL3" s="120"/>
      <c r="MLM3" s="120"/>
      <c r="MLN3" s="120"/>
      <c r="MLO3" s="120"/>
      <c r="MLP3" s="120"/>
      <c r="MLQ3" s="120"/>
      <c r="MLR3" s="120"/>
      <c r="MLS3" s="120"/>
      <c r="MLT3" s="120"/>
      <c r="MLU3" s="120"/>
      <c r="MLV3" s="120"/>
      <c r="MLW3" s="120"/>
      <c r="MLX3" s="120"/>
      <c r="MLY3" s="120"/>
      <c r="MLZ3" s="120"/>
      <c r="MMA3" s="120"/>
      <c r="MMB3" s="120"/>
      <c r="MMC3" s="120"/>
      <c r="MMD3" s="120"/>
      <c r="MME3" s="120"/>
      <c r="MMF3" s="120"/>
      <c r="MMG3" s="120"/>
      <c r="MMH3" s="120"/>
      <c r="MMI3" s="120"/>
      <c r="MMJ3" s="120"/>
      <c r="MMK3" s="120"/>
      <c r="MML3" s="120"/>
      <c r="MMM3" s="120"/>
      <c r="MMN3" s="120"/>
      <c r="MMO3" s="120"/>
      <c r="MMP3" s="120"/>
      <c r="MMQ3" s="120"/>
      <c r="MMR3" s="120"/>
      <c r="MMS3" s="120"/>
      <c r="MMT3" s="120"/>
      <c r="MMU3" s="120"/>
      <c r="MMV3" s="120"/>
      <c r="MMW3" s="120"/>
      <c r="MMX3" s="120"/>
      <c r="MMY3" s="120"/>
      <c r="MMZ3" s="120"/>
      <c r="MNA3" s="120"/>
      <c r="MNB3" s="120"/>
      <c r="MNC3" s="120"/>
      <c r="MND3" s="120"/>
      <c r="MNE3" s="120"/>
      <c r="MNF3" s="120"/>
      <c r="MNG3" s="120"/>
      <c r="MNH3" s="120"/>
      <c r="MNI3" s="120"/>
      <c r="MNJ3" s="120"/>
      <c r="MNK3" s="120"/>
      <c r="MNL3" s="120"/>
      <c r="MNM3" s="120"/>
      <c r="MNN3" s="120"/>
      <c r="MNO3" s="120"/>
      <c r="MNP3" s="120"/>
      <c r="MNQ3" s="120"/>
      <c r="MNR3" s="120"/>
      <c r="MNS3" s="120"/>
      <c r="MNT3" s="120"/>
      <c r="MNU3" s="120"/>
      <c r="MNV3" s="120"/>
      <c r="MNW3" s="120"/>
      <c r="MNX3" s="120"/>
      <c r="MNY3" s="120"/>
      <c r="MNZ3" s="120"/>
      <c r="MOA3" s="120"/>
      <c r="MOB3" s="120"/>
      <c r="MOC3" s="120"/>
      <c r="MOD3" s="120"/>
      <c r="MOE3" s="120"/>
      <c r="MOF3" s="120"/>
      <c r="MOG3" s="120"/>
      <c r="MOH3" s="120"/>
      <c r="MOI3" s="120"/>
      <c r="MOJ3" s="120"/>
      <c r="MOK3" s="120"/>
      <c r="MOL3" s="120"/>
      <c r="MOM3" s="120"/>
      <c r="MON3" s="120"/>
      <c r="MOO3" s="120"/>
      <c r="MOP3" s="120"/>
      <c r="MOQ3" s="120"/>
      <c r="MOR3" s="120"/>
      <c r="MOS3" s="120"/>
      <c r="MOT3" s="120"/>
      <c r="MOU3" s="120"/>
      <c r="MOV3" s="120"/>
      <c r="MOW3" s="120"/>
      <c r="MOX3" s="120"/>
      <c r="MOY3" s="120"/>
      <c r="MOZ3" s="120"/>
      <c r="MPA3" s="120"/>
      <c r="MPB3" s="120"/>
      <c r="MPC3" s="120"/>
      <c r="MPD3" s="120"/>
      <c r="MPE3" s="120"/>
      <c r="MPF3" s="120"/>
      <c r="MPG3" s="120"/>
      <c r="MPH3" s="120"/>
      <c r="MPI3" s="120"/>
      <c r="MPJ3" s="120"/>
      <c r="MPK3" s="120"/>
      <c r="MPL3" s="120"/>
      <c r="MPM3" s="120"/>
      <c r="MPN3" s="120"/>
      <c r="MPO3" s="120"/>
      <c r="MPP3" s="120"/>
      <c r="MPQ3" s="120"/>
      <c r="MPR3" s="120"/>
      <c r="MPS3" s="120"/>
      <c r="MPT3" s="120"/>
      <c r="MPU3" s="120"/>
      <c r="MPV3" s="120"/>
      <c r="MPW3" s="120"/>
      <c r="MPX3" s="120"/>
      <c r="MPY3" s="120"/>
      <c r="MPZ3" s="120"/>
      <c r="MQA3" s="120"/>
      <c r="MQB3" s="120"/>
      <c r="MQC3" s="120"/>
      <c r="MQD3" s="120"/>
      <c r="MQE3" s="120"/>
      <c r="MQF3" s="120"/>
      <c r="MQG3" s="120"/>
      <c r="MQH3" s="120"/>
      <c r="MQI3" s="120"/>
      <c r="MQJ3" s="120"/>
      <c r="MQK3" s="120"/>
      <c r="MQL3" s="120"/>
      <c r="MQM3" s="120"/>
      <c r="MQN3" s="120"/>
      <c r="MQO3" s="120"/>
      <c r="MQP3" s="120"/>
      <c r="MQQ3" s="120"/>
      <c r="MQR3" s="120"/>
      <c r="MQS3" s="120"/>
      <c r="MQT3" s="120"/>
      <c r="MQU3" s="120"/>
      <c r="MQV3" s="120"/>
      <c r="MQW3" s="120"/>
      <c r="MQX3" s="120"/>
      <c r="MQY3" s="120"/>
      <c r="MQZ3" s="120"/>
      <c r="MRA3" s="120"/>
      <c r="MRB3" s="120"/>
      <c r="MRC3" s="120"/>
      <c r="MRD3" s="120"/>
      <c r="MRE3" s="120"/>
      <c r="MRF3" s="120"/>
      <c r="MRG3" s="120"/>
      <c r="MRH3" s="120"/>
      <c r="MRI3" s="120"/>
      <c r="MRJ3" s="120"/>
      <c r="MRK3" s="120"/>
      <c r="MRL3" s="120"/>
      <c r="MRM3" s="120"/>
      <c r="MRN3" s="120"/>
      <c r="MRO3" s="120"/>
      <c r="MRP3" s="120"/>
      <c r="MRQ3" s="120"/>
      <c r="MRR3" s="120"/>
      <c r="MRS3" s="120"/>
      <c r="MRT3" s="120"/>
      <c r="MRU3" s="120"/>
      <c r="MRV3" s="120"/>
      <c r="MRW3" s="120"/>
      <c r="MRX3" s="120"/>
      <c r="MRY3" s="120"/>
      <c r="MRZ3" s="120"/>
      <c r="MSA3" s="120"/>
      <c r="MSB3" s="120"/>
      <c r="MSC3" s="120"/>
      <c r="MSD3" s="120"/>
      <c r="MSE3" s="120"/>
      <c r="MSF3" s="120"/>
      <c r="MSG3" s="120"/>
      <c r="MSH3" s="120"/>
      <c r="MSI3" s="120"/>
      <c r="MSJ3" s="120"/>
      <c r="MSK3" s="120"/>
      <c r="MSL3" s="120"/>
      <c r="MSM3" s="120"/>
      <c r="MSN3" s="120"/>
      <c r="MSO3" s="120"/>
      <c r="MSP3" s="120"/>
      <c r="MSQ3" s="120"/>
      <c r="MSR3" s="120"/>
      <c r="MSS3" s="120"/>
      <c r="MST3" s="120"/>
      <c r="MSU3" s="120"/>
      <c r="MSV3" s="120"/>
      <c r="MSW3" s="120"/>
      <c r="MSX3" s="120"/>
      <c r="MSY3" s="120"/>
      <c r="MSZ3" s="120"/>
      <c r="MTA3" s="120"/>
      <c r="MTB3" s="120"/>
      <c r="MTC3" s="120"/>
      <c r="MTD3" s="120"/>
      <c r="MTE3" s="120"/>
      <c r="MTF3" s="120"/>
      <c r="MTG3" s="120"/>
      <c r="MTH3" s="120"/>
      <c r="MTI3" s="120"/>
      <c r="MTJ3" s="120"/>
      <c r="MTK3" s="120"/>
      <c r="MTL3" s="120"/>
      <c r="MTM3" s="120"/>
      <c r="MTN3" s="120"/>
      <c r="MTO3" s="120"/>
      <c r="MTP3" s="120"/>
      <c r="MTQ3" s="120"/>
      <c r="MTR3" s="120"/>
      <c r="MTS3" s="120"/>
      <c r="MTT3" s="120"/>
      <c r="MTU3" s="120"/>
      <c r="MTV3" s="120"/>
      <c r="MTW3" s="120"/>
      <c r="MTX3" s="120"/>
      <c r="MTY3" s="120"/>
      <c r="MTZ3" s="120"/>
      <c r="MUA3" s="120"/>
      <c r="MUB3" s="120"/>
      <c r="MUC3" s="120"/>
      <c r="MUD3" s="120"/>
      <c r="MUE3" s="120"/>
      <c r="MUF3" s="120"/>
      <c r="MUG3" s="120"/>
      <c r="MUH3" s="120"/>
      <c r="MUI3" s="120"/>
      <c r="MUJ3" s="120"/>
      <c r="MUK3" s="120"/>
      <c r="MUL3" s="120"/>
      <c r="MUM3" s="120"/>
      <c r="MUN3" s="120"/>
      <c r="MUO3" s="120"/>
      <c r="MUP3" s="120"/>
      <c r="MUQ3" s="120"/>
      <c r="MUR3" s="120"/>
      <c r="MUS3" s="120"/>
      <c r="MUT3" s="120"/>
      <c r="MUU3" s="120"/>
      <c r="MUV3" s="120"/>
      <c r="MUW3" s="120"/>
      <c r="MUX3" s="120"/>
      <c r="MUY3" s="120"/>
      <c r="MUZ3" s="120"/>
      <c r="MVA3" s="120"/>
      <c r="MVB3" s="120"/>
      <c r="MVC3" s="120"/>
      <c r="MVD3" s="120"/>
      <c r="MVE3" s="120"/>
      <c r="MVF3" s="120"/>
      <c r="MVG3" s="120"/>
      <c r="MVH3" s="120"/>
      <c r="MVI3" s="120"/>
      <c r="MVJ3" s="120"/>
      <c r="MVK3" s="120"/>
      <c r="MVL3" s="120"/>
      <c r="MVM3" s="120"/>
      <c r="MVN3" s="120"/>
      <c r="MVO3" s="120"/>
      <c r="MVP3" s="120"/>
      <c r="MVQ3" s="120"/>
      <c r="MVR3" s="120"/>
      <c r="MVS3" s="120"/>
      <c r="MVT3" s="120"/>
      <c r="MVU3" s="120"/>
      <c r="MVV3" s="120"/>
      <c r="MVW3" s="120"/>
      <c r="MVX3" s="120"/>
      <c r="MVY3" s="120"/>
      <c r="MVZ3" s="120"/>
      <c r="MWA3" s="120"/>
      <c r="MWB3" s="120"/>
      <c r="MWC3" s="120"/>
      <c r="MWD3" s="120"/>
      <c r="MWE3" s="120"/>
      <c r="MWF3" s="120"/>
      <c r="MWG3" s="120"/>
      <c r="MWH3" s="120"/>
      <c r="MWI3" s="120"/>
      <c r="MWJ3" s="120"/>
      <c r="MWK3" s="120"/>
      <c r="MWL3" s="120"/>
      <c r="MWM3" s="120"/>
      <c r="MWN3" s="120"/>
      <c r="MWO3" s="120"/>
      <c r="MWP3" s="120"/>
      <c r="MWQ3" s="120"/>
      <c r="MWR3" s="120"/>
      <c r="MWS3" s="120"/>
      <c r="MWT3" s="120"/>
      <c r="MWU3" s="120"/>
      <c r="MWV3" s="120"/>
      <c r="MWW3" s="120"/>
      <c r="MWX3" s="120"/>
      <c r="MWY3" s="120"/>
      <c r="MWZ3" s="120"/>
      <c r="MXA3" s="120"/>
      <c r="MXB3" s="120"/>
      <c r="MXC3" s="120"/>
      <c r="MXD3" s="120"/>
      <c r="MXE3" s="120"/>
      <c r="MXF3" s="120"/>
      <c r="MXG3" s="120"/>
      <c r="MXH3" s="120"/>
      <c r="MXI3" s="120"/>
      <c r="MXJ3" s="120"/>
      <c r="MXK3" s="120"/>
      <c r="MXL3" s="120"/>
      <c r="MXM3" s="120"/>
      <c r="MXN3" s="120"/>
      <c r="MXO3" s="120"/>
      <c r="MXP3" s="120"/>
      <c r="MXQ3" s="120"/>
      <c r="MXR3" s="120"/>
      <c r="MXS3" s="120"/>
      <c r="MXT3" s="120"/>
      <c r="MXU3" s="120"/>
      <c r="MXV3" s="120"/>
      <c r="MXW3" s="120"/>
      <c r="MXX3" s="120"/>
      <c r="MXY3" s="120"/>
      <c r="MXZ3" s="120"/>
      <c r="MYA3" s="120"/>
      <c r="MYB3" s="120"/>
      <c r="MYC3" s="120"/>
      <c r="MYD3" s="120"/>
      <c r="MYE3" s="120"/>
      <c r="MYF3" s="120"/>
      <c r="MYG3" s="120"/>
      <c r="MYH3" s="120"/>
      <c r="MYI3" s="120"/>
      <c r="MYJ3" s="120"/>
      <c r="MYK3" s="120"/>
      <c r="MYL3" s="120"/>
      <c r="MYM3" s="120"/>
      <c r="MYN3" s="120"/>
      <c r="MYO3" s="120"/>
      <c r="MYP3" s="120"/>
      <c r="MYQ3" s="120"/>
      <c r="MYR3" s="120"/>
      <c r="MYS3" s="120"/>
      <c r="MYT3" s="120"/>
      <c r="MYU3" s="120"/>
      <c r="MYV3" s="120"/>
      <c r="MYW3" s="120"/>
      <c r="MYX3" s="120"/>
      <c r="MYY3" s="120"/>
      <c r="MYZ3" s="120"/>
      <c r="MZA3" s="120"/>
      <c r="MZB3" s="120"/>
      <c r="MZC3" s="120"/>
      <c r="MZD3" s="120"/>
      <c r="MZE3" s="120"/>
      <c r="MZF3" s="120"/>
      <c r="MZG3" s="120"/>
      <c r="MZH3" s="120"/>
      <c r="MZI3" s="120"/>
      <c r="MZJ3" s="120"/>
      <c r="MZK3" s="120"/>
      <c r="MZL3" s="120"/>
      <c r="MZM3" s="120"/>
      <c r="MZN3" s="120"/>
      <c r="MZO3" s="120"/>
      <c r="MZP3" s="120"/>
      <c r="MZQ3" s="120"/>
      <c r="MZR3" s="120"/>
      <c r="MZS3" s="120"/>
      <c r="MZT3" s="120"/>
      <c r="MZU3" s="120"/>
      <c r="MZV3" s="120"/>
      <c r="MZW3" s="120"/>
      <c r="MZX3" s="120"/>
      <c r="MZY3" s="120"/>
      <c r="MZZ3" s="120"/>
      <c r="NAA3" s="120"/>
      <c r="NAB3" s="120"/>
      <c r="NAC3" s="120"/>
      <c r="NAD3" s="120"/>
      <c r="NAE3" s="120"/>
      <c r="NAF3" s="120"/>
      <c r="NAG3" s="120"/>
      <c r="NAH3" s="120"/>
      <c r="NAI3" s="120"/>
      <c r="NAJ3" s="120"/>
      <c r="NAK3" s="120"/>
      <c r="NAL3" s="120"/>
      <c r="NAM3" s="120"/>
      <c r="NAN3" s="120"/>
      <c r="NAO3" s="120"/>
      <c r="NAP3" s="120"/>
      <c r="NAQ3" s="120"/>
      <c r="NAR3" s="120"/>
      <c r="NAS3" s="120"/>
      <c r="NAT3" s="120"/>
      <c r="NAU3" s="120"/>
      <c r="NAV3" s="120"/>
      <c r="NAW3" s="120"/>
      <c r="NAX3" s="120"/>
      <c r="NAY3" s="120"/>
      <c r="NAZ3" s="120"/>
      <c r="NBA3" s="120"/>
      <c r="NBB3" s="120"/>
      <c r="NBC3" s="120"/>
      <c r="NBD3" s="120"/>
      <c r="NBE3" s="120"/>
      <c r="NBF3" s="120"/>
      <c r="NBG3" s="120"/>
      <c r="NBH3" s="120"/>
      <c r="NBI3" s="120"/>
      <c r="NBJ3" s="120"/>
      <c r="NBK3" s="120"/>
      <c r="NBL3" s="120"/>
      <c r="NBM3" s="120"/>
      <c r="NBN3" s="120"/>
      <c r="NBO3" s="120"/>
      <c r="NBP3" s="120"/>
      <c r="NBQ3" s="120"/>
      <c r="NBR3" s="120"/>
      <c r="NBS3" s="120"/>
      <c r="NBT3" s="120"/>
      <c r="NBU3" s="120"/>
      <c r="NBV3" s="120"/>
      <c r="NBW3" s="120"/>
      <c r="NBX3" s="120"/>
      <c r="NBY3" s="120"/>
      <c r="NBZ3" s="120"/>
      <c r="NCA3" s="120"/>
      <c r="NCB3" s="120"/>
      <c r="NCC3" s="120"/>
      <c r="NCD3" s="120"/>
      <c r="NCE3" s="120"/>
      <c r="NCF3" s="120"/>
      <c r="NCG3" s="120"/>
      <c r="NCH3" s="120"/>
      <c r="NCI3" s="120"/>
      <c r="NCJ3" s="120"/>
      <c r="NCK3" s="120"/>
      <c r="NCL3" s="120"/>
      <c r="NCM3" s="120"/>
      <c r="NCN3" s="120"/>
      <c r="NCO3" s="120"/>
      <c r="NCP3" s="120"/>
      <c r="NCQ3" s="120"/>
      <c r="NCR3" s="120"/>
      <c r="NCS3" s="120"/>
      <c r="NCT3" s="120"/>
      <c r="NCU3" s="120"/>
      <c r="NCV3" s="120"/>
      <c r="NCW3" s="120"/>
      <c r="NCX3" s="120"/>
      <c r="NCY3" s="120"/>
      <c r="NCZ3" s="120"/>
      <c r="NDA3" s="120"/>
      <c r="NDB3" s="120"/>
      <c r="NDC3" s="120"/>
      <c r="NDD3" s="120"/>
      <c r="NDE3" s="120"/>
      <c r="NDF3" s="120"/>
      <c r="NDG3" s="120"/>
      <c r="NDH3" s="120"/>
      <c r="NDI3" s="120"/>
      <c r="NDJ3" s="120"/>
      <c r="NDK3" s="120"/>
      <c r="NDL3" s="120"/>
      <c r="NDM3" s="120"/>
      <c r="NDN3" s="120"/>
      <c r="NDO3" s="120"/>
      <c r="NDP3" s="120"/>
      <c r="NDQ3" s="120"/>
      <c r="NDR3" s="120"/>
      <c r="NDS3" s="120"/>
      <c r="NDT3" s="120"/>
      <c r="NDU3" s="120"/>
      <c r="NDV3" s="120"/>
      <c r="NDW3" s="120"/>
      <c r="NDX3" s="120"/>
      <c r="NDY3" s="120"/>
      <c r="NDZ3" s="120"/>
      <c r="NEA3" s="120"/>
      <c r="NEB3" s="120"/>
      <c r="NEC3" s="120"/>
      <c r="NED3" s="120"/>
      <c r="NEE3" s="120"/>
      <c r="NEF3" s="120"/>
      <c r="NEG3" s="120"/>
      <c r="NEH3" s="120"/>
      <c r="NEI3" s="120"/>
      <c r="NEJ3" s="120"/>
      <c r="NEK3" s="120"/>
      <c r="NEL3" s="120"/>
      <c r="NEM3" s="120"/>
      <c r="NEN3" s="120"/>
      <c r="NEO3" s="120"/>
      <c r="NEP3" s="120"/>
      <c r="NEQ3" s="120"/>
      <c r="NER3" s="120"/>
      <c r="NES3" s="120"/>
      <c r="NET3" s="120"/>
      <c r="NEU3" s="120"/>
      <c r="NEV3" s="120"/>
      <c r="NEW3" s="120"/>
      <c r="NEX3" s="120"/>
      <c r="NEY3" s="120"/>
      <c r="NEZ3" s="120"/>
      <c r="NFA3" s="120"/>
      <c r="NFB3" s="120"/>
      <c r="NFC3" s="120"/>
      <c r="NFD3" s="120"/>
      <c r="NFE3" s="120"/>
      <c r="NFF3" s="120"/>
      <c r="NFG3" s="120"/>
      <c r="NFH3" s="120"/>
      <c r="NFI3" s="120"/>
      <c r="NFJ3" s="120"/>
      <c r="NFK3" s="120"/>
      <c r="NFL3" s="120"/>
      <c r="NFM3" s="120"/>
      <c r="NFN3" s="120"/>
      <c r="NFO3" s="120"/>
      <c r="NFP3" s="120"/>
      <c r="NFQ3" s="120"/>
      <c r="NFR3" s="120"/>
      <c r="NFS3" s="120"/>
      <c r="NFT3" s="120"/>
      <c r="NFU3" s="120"/>
      <c r="NFV3" s="120"/>
      <c r="NFW3" s="120"/>
      <c r="NFX3" s="120"/>
      <c r="NFY3" s="120"/>
      <c r="NFZ3" s="120"/>
      <c r="NGA3" s="120"/>
      <c r="NGB3" s="120"/>
      <c r="NGC3" s="120"/>
      <c r="NGD3" s="120"/>
      <c r="NGE3" s="120"/>
      <c r="NGF3" s="120"/>
      <c r="NGG3" s="120"/>
      <c r="NGH3" s="120"/>
      <c r="NGI3" s="120"/>
      <c r="NGJ3" s="120"/>
      <c r="NGK3" s="120"/>
      <c r="NGL3" s="120"/>
      <c r="NGM3" s="120"/>
      <c r="NGN3" s="120"/>
      <c r="NGO3" s="120"/>
      <c r="NGP3" s="120"/>
      <c r="NGQ3" s="120"/>
      <c r="NGR3" s="120"/>
      <c r="NGS3" s="120"/>
      <c r="NGT3" s="120"/>
      <c r="NGU3" s="120"/>
      <c r="NGV3" s="120"/>
      <c r="NGW3" s="120"/>
      <c r="NGX3" s="120"/>
      <c r="NGY3" s="120"/>
      <c r="NGZ3" s="120"/>
      <c r="NHA3" s="120"/>
      <c r="NHB3" s="120"/>
      <c r="NHC3" s="120"/>
      <c r="NHD3" s="120"/>
      <c r="NHE3" s="120"/>
      <c r="NHF3" s="120"/>
      <c r="NHG3" s="120"/>
      <c r="NHH3" s="120"/>
      <c r="NHI3" s="120"/>
      <c r="NHJ3" s="120"/>
      <c r="NHK3" s="120"/>
      <c r="NHL3" s="120"/>
      <c r="NHM3" s="120"/>
      <c r="NHN3" s="120"/>
      <c r="NHO3" s="120"/>
      <c r="NHP3" s="120"/>
      <c r="NHQ3" s="120"/>
      <c r="NHR3" s="120"/>
      <c r="NHS3" s="120"/>
      <c r="NHT3" s="120"/>
      <c r="NHU3" s="120"/>
      <c r="NHV3" s="120"/>
      <c r="NHW3" s="120"/>
      <c r="NHX3" s="120"/>
      <c r="NHY3" s="120"/>
      <c r="NHZ3" s="120"/>
      <c r="NIA3" s="120"/>
      <c r="NIB3" s="120"/>
      <c r="NIC3" s="120"/>
      <c r="NID3" s="120"/>
      <c r="NIE3" s="120"/>
      <c r="NIF3" s="120"/>
      <c r="NIG3" s="120"/>
      <c r="NIH3" s="120"/>
      <c r="NII3" s="120"/>
      <c r="NIJ3" s="120"/>
      <c r="NIK3" s="120"/>
      <c r="NIL3" s="120"/>
      <c r="NIM3" s="120"/>
      <c r="NIN3" s="120"/>
      <c r="NIO3" s="120"/>
      <c r="NIP3" s="120"/>
      <c r="NIQ3" s="120"/>
      <c r="NIR3" s="120"/>
      <c r="NIS3" s="120"/>
      <c r="NIT3" s="120"/>
      <c r="NIU3" s="120"/>
      <c r="NIV3" s="120"/>
      <c r="NIW3" s="120"/>
      <c r="NIX3" s="120"/>
      <c r="NIY3" s="120"/>
      <c r="NIZ3" s="120"/>
      <c r="NJA3" s="120"/>
      <c r="NJB3" s="120"/>
      <c r="NJC3" s="120"/>
      <c r="NJD3" s="120"/>
      <c r="NJE3" s="120"/>
      <c r="NJF3" s="120"/>
      <c r="NJG3" s="120"/>
      <c r="NJH3" s="120"/>
      <c r="NJI3" s="120"/>
      <c r="NJJ3" s="120"/>
      <c r="NJK3" s="120"/>
      <c r="NJL3" s="120"/>
      <c r="NJM3" s="120"/>
      <c r="NJN3" s="120"/>
      <c r="NJO3" s="120"/>
      <c r="NJP3" s="120"/>
      <c r="NJQ3" s="120"/>
      <c r="NJR3" s="120"/>
      <c r="NJS3" s="120"/>
      <c r="NJT3" s="120"/>
      <c r="NJU3" s="120"/>
      <c r="NJV3" s="120"/>
      <c r="NJW3" s="120"/>
      <c r="NJX3" s="120"/>
      <c r="NJY3" s="120"/>
      <c r="NJZ3" s="120"/>
      <c r="NKA3" s="120"/>
      <c r="NKB3" s="120"/>
      <c r="NKC3" s="120"/>
      <c r="NKD3" s="120"/>
      <c r="NKE3" s="120"/>
      <c r="NKF3" s="120"/>
      <c r="NKG3" s="120"/>
      <c r="NKH3" s="120"/>
      <c r="NKI3" s="120"/>
      <c r="NKJ3" s="120"/>
      <c r="NKK3" s="120"/>
      <c r="NKL3" s="120"/>
      <c r="NKM3" s="120"/>
      <c r="NKN3" s="120"/>
      <c r="NKO3" s="120"/>
      <c r="NKP3" s="120"/>
      <c r="NKQ3" s="120"/>
      <c r="NKR3" s="120"/>
      <c r="NKS3" s="120"/>
      <c r="NKT3" s="120"/>
      <c r="NKU3" s="120"/>
      <c r="NKV3" s="120"/>
      <c r="NKW3" s="120"/>
      <c r="NKX3" s="120"/>
      <c r="NKY3" s="120"/>
      <c r="NKZ3" s="120"/>
      <c r="NLA3" s="120"/>
      <c r="NLB3" s="120"/>
      <c r="NLC3" s="120"/>
      <c r="NLD3" s="120"/>
      <c r="NLE3" s="120"/>
      <c r="NLF3" s="120"/>
      <c r="NLG3" s="120"/>
      <c r="NLH3" s="120"/>
      <c r="NLI3" s="120"/>
      <c r="NLJ3" s="120"/>
      <c r="NLK3" s="120"/>
      <c r="NLL3" s="120"/>
      <c r="NLM3" s="120"/>
      <c r="NLN3" s="120"/>
      <c r="NLO3" s="120"/>
      <c r="NLP3" s="120"/>
      <c r="NLQ3" s="120"/>
      <c r="NLR3" s="120"/>
      <c r="NLS3" s="120"/>
      <c r="NLT3" s="120"/>
      <c r="NLU3" s="120"/>
      <c r="NLV3" s="120"/>
      <c r="NLW3" s="120"/>
      <c r="NLX3" s="120"/>
      <c r="NLY3" s="120"/>
      <c r="NLZ3" s="120"/>
      <c r="NMA3" s="120"/>
      <c r="NMB3" s="120"/>
      <c r="NMC3" s="120"/>
      <c r="NMD3" s="120"/>
      <c r="NME3" s="120"/>
      <c r="NMF3" s="120"/>
      <c r="NMG3" s="120"/>
      <c r="NMH3" s="120"/>
      <c r="NMI3" s="120"/>
      <c r="NMJ3" s="120"/>
      <c r="NMK3" s="120"/>
      <c r="NML3" s="120"/>
      <c r="NMM3" s="120"/>
      <c r="NMN3" s="120"/>
      <c r="NMO3" s="120"/>
      <c r="NMP3" s="120"/>
      <c r="NMQ3" s="120"/>
      <c r="NMR3" s="120"/>
      <c r="NMS3" s="120"/>
      <c r="NMT3" s="120"/>
      <c r="NMU3" s="120"/>
      <c r="NMV3" s="120"/>
      <c r="NMW3" s="120"/>
      <c r="NMX3" s="120"/>
      <c r="NMY3" s="120"/>
      <c r="NMZ3" s="120"/>
      <c r="NNA3" s="120"/>
      <c r="NNB3" s="120"/>
      <c r="NNC3" s="120"/>
      <c r="NND3" s="120"/>
      <c r="NNE3" s="120"/>
      <c r="NNF3" s="120"/>
      <c r="NNG3" s="120"/>
      <c r="NNH3" s="120"/>
      <c r="NNI3" s="120"/>
      <c r="NNJ3" s="120"/>
      <c r="NNK3" s="120"/>
      <c r="NNL3" s="120"/>
      <c r="NNM3" s="120"/>
      <c r="NNN3" s="120"/>
      <c r="NNO3" s="120"/>
      <c r="NNP3" s="120"/>
      <c r="NNQ3" s="120"/>
      <c r="NNR3" s="120"/>
      <c r="NNS3" s="120"/>
      <c r="NNT3" s="120"/>
      <c r="NNU3" s="120"/>
      <c r="NNV3" s="120"/>
      <c r="NNW3" s="120"/>
      <c r="NNX3" s="120"/>
      <c r="NNY3" s="120"/>
      <c r="NNZ3" s="120"/>
      <c r="NOA3" s="120"/>
      <c r="NOB3" s="120"/>
      <c r="NOC3" s="120"/>
      <c r="NOD3" s="120"/>
      <c r="NOE3" s="120"/>
      <c r="NOF3" s="120"/>
      <c r="NOG3" s="120"/>
      <c r="NOH3" s="120"/>
      <c r="NOI3" s="120"/>
      <c r="NOJ3" s="120"/>
      <c r="NOK3" s="120"/>
      <c r="NOL3" s="120"/>
      <c r="NOM3" s="120"/>
      <c r="NON3" s="120"/>
      <c r="NOO3" s="120"/>
      <c r="NOP3" s="120"/>
      <c r="NOQ3" s="120"/>
      <c r="NOR3" s="120"/>
      <c r="NOS3" s="120"/>
      <c r="NOT3" s="120"/>
      <c r="NOU3" s="120"/>
      <c r="NOV3" s="120"/>
      <c r="NOW3" s="120"/>
      <c r="NOX3" s="120"/>
      <c r="NOY3" s="120"/>
      <c r="NOZ3" s="120"/>
      <c r="NPA3" s="120"/>
      <c r="NPB3" s="120"/>
      <c r="NPC3" s="120"/>
      <c r="NPD3" s="120"/>
      <c r="NPE3" s="120"/>
      <c r="NPF3" s="120"/>
      <c r="NPG3" s="120"/>
      <c r="NPH3" s="120"/>
      <c r="NPI3" s="120"/>
      <c r="NPJ3" s="120"/>
      <c r="NPK3" s="120"/>
      <c r="NPL3" s="120"/>
      <c r="NPM3" s="120"/>
      <c r="NPN3" s="120"/>
      <c r="NPO3" s="120"/>
      <c r="NPP3" s="120"/>
      <c r="NPQ3" s="120"/>
      <c r="NPR3" s="120"/>
      <c r="NPS3" s="120"/>
      <c r="NPT3" s="120"/>
      <c r="NPU3" s="120"/>
      <c r="NPV3" s="120"/>
      <c r="NPW3" s="120"/>
      <c r="NPX3" s="120"/>
      <c r="NPY3" s="120"/>
      <c r="NPZ3" s="120"/>
      <c r="NQA3" s="120"/>
      <c r="NQB3" s="120"/>
      <c r="NQC3" s="120"/>
      <c r="NQD3" s="120"/>
      <c r="NQE3" s="120"/>
      <c r="NQF3" s="120"/>
      <c r="NQG3" s="120"/>
      <c r="NQH3" s="120"/>
      <c r="NQI3" s="120"/>
      <c r="NQJ3" s="120"/>
      <c r="NQK3" s="120"/>
      <c r="NQL3" s="120"/>
      <c r="NQM3" s="120"/>
      <c r="NQN3" s="120"/>
      <c r="NQO3" s="120"/>
      <c r="NQP3" s="120"/>
      <c r="NQQ3" s="120"/>
      <c r="NQR3" s="120"/>
      <c r="NQS3" s="120"/>
      <c r="NQT3" s="120"/>
      <c r="NQU3" s="120"/>
      <c r="NQV3" s="120"/>
      <c r="NQW3" s="120"/>
      <c r="NQX3" s="120"/>
      <c r="NQY3" s="120"/>
      <c r="NQZ3" s="120"/>
      <c r="NRA3" s="120"/>
      <c r="NRB3" s="120"/>
      <c r="NRC3" s="120"/>
      <c r="NRD3" s="120"/>
      <c r="NRE3" s="120"/>
      <c r="NRF3" s="120"/>
      <c r="NRG3" s="120"/>
      <c r="NRH3" s="120"/>
      <c r="NRI3" s="120"/>
      <c r="NRJ3" s="120"/>
      <c r="NRK3" s="120"/>
      <c r="NRL3" s="120"/>
      <c r="NRM3" s="120"/>
      <c r="NRN3" s="120"/>
      <c r="NRO3" s="120"/>
      <c r="NRP3" s="120"/>
      <c r="NRQ3" s="120"/>
      <c r="NRR3" s="120"/>
      <c r="NRS3" s="120"/>
      <c r="NRT3" s="120"/>
      <c r="NRU3" s="120"/>
      <c r="NRV3" s="120"/>
      <c r="NRW3" s="120"/>
      <c r="NRX3" s="120"/>
      <c r="NRY3" s="120"/>
      <c r="NRZ3" s="120"/>
      <c r="NSA3" s="120"/>
      <c r="NSB3" s="120"/>
      <c r="NSC3" s="120"/>
      <c r="NSD3" s="120"/>
      <c r="NSE3" s="120"/>
      <c r="NSF3" s="120"/>
      <c r="NSG3" s="120"/>
      <c r="NSH3" s="120"/>
      <c r="NSI3" s="120"/>
      <c r="NSJ3" s="120"/>
      <c r="NSK3" s="120"/>
      <c r="NSL3" s="120"/>
      <c r="NSM3" s="120"/>
      <c r="NSN3" s="120"/>
      <c r="NSO3" s="120"/>
      <c r="NSP3" s="120"/>
      <c r="NSQ3" s="120"/>
      <c r="NSR3" s="120"/>
      <c r="NSS3" s="120"/>
      <c r="NST3" s="120"/>
      <c r="NSU3" s="120"/>
      <c r="NSV3" s="120"/>
      <c r="NSW3" s="120"/>
      <c r="NSX3" s="120"/>
      <c r="NSY3" s="120"/>
      <c r="NSZ3" s="120"/>
      <c r="NTA3" s="120"/>
      <c r="NTB3" s="120"/>
      <c r="NTC3" s="120"/>
      <c r="NTD3" s="120"/>
      <c r="NTE3" s="120"/>
      <c r="NTF3" s="120"/>
      <c r="NTG3" s="120"/>
      <c r="NTH3" s="120"/>
      <c r="NTI3" s="120"/>
      <c r="NTJ3" s="120"/>
      <c r="NTK3" s="120"/>
      <c r="NTL3" s="120"/>
      <c r="NTM3" s="120"/>
      <c r="NTN3" s="120"/>
      <c r="NTO3" s="120"/>
      <c r="NTP3" s="120"/>
      <c r="NTQ3" s="120"/>
      <c r="NTR3" s="120"/>
      <c r="NTS3" s="120"/>
      <c r="NTT3" s="120"/>
      <c r="NTU3" s="120"/>
      <c r="NTV3" s="120"/>
      <c r="NTW3" s="120"/>
      <c r="NTX3" s="120"/>
      <c r="NTY3" s="120"/>
      <c r="NTZ3" s="120"/>
      <c r="NUA3" s="120"/>
      <c r="NUB3" s="120"/>
      <c r="NUC3" s="120"/>
      <c r="NUD3" s="120"/>
      <c r="NUE3" s="120"/>
      <c r="NUF3" s="120"/>
      <c r="NUG3" s="120"/>
      <c r="NUH3" s="120"/>
      <c r="NUI3" s="120"/>
      <c r="NUJ3" s="120"/>
      <c r="NUK3" s="120"/>
      <c r="NUL3" s="120"/>
      <c r="NUM3" s="120"/>
      <c r="NUN3" s="120"/>
      <c r="NUO3" s="120"/>
      <c r="NUP3" s="120"/>
      <c r="NUQ3" s="120"/>
      <c r="NUR3" s="120"/>
      <c r="NUS3" s="120"/>
      <c r="NUT3" s="120"/>
      <c r="NUU3" s="120"/>
      <c r="NUV3" s="120"/>
      <c r="NUW3" s="120"/>
      <c r="NUX3" s="120"/>
      <c r="NUY3" s="120"/>
      <c r="NUZ3" s="120"/>
      <c r="NVA3" s="120"/>
      <c r="NVB3" s="120"/>
      <c r="NVC3" s="120"/>
      <c r="NVD3" s="120"/>
      <c r="NVE3" s="120"/>
      <c r="NVF3" s="120"/>
      <c r="NVG3" s="120"/>
      <c r="NVH3" s="120"/>
      <c r="NVI3" s="120"/>
      <c r="NVJ3" s="120"/>
      <c r="NVK3" s="120"/>
      <c r="NVL3" s="120"/>
      <c r="NVM3" s="120"/>
      <c r="NVN3" s="120"/>
      <c r="NVO3" s="120"/>
      <c r="NVP3" s="120"/>
      <c r="NVQ3" s="120"/>
      <c r="NVR3" s="120"/>
      <c r="NVS3" s="120"/>
      <c r="NVT3" s="120"/>
      <c r="NVU3" s="120"/>
      <c r="NVV3" s="120"/>
      <c r="NVW3" s="120"/>
      <c r="NVX3" s="120"/>
      <c r="NVY3" s="120"/>
      <c r="NVZ3" s="120"/>
      <c r="NWA3" s="120"/>
      <c r="NWB3" s="120"/>
      <c r="NWC3" s="120"/>
      <c r="NWD3" s="120"/>
      <c r="NWE3" s="120"/>
      <c r="NWF3" s="120"/>
      <c r="NWG3" s="120"/>
      <c r="NWH3" s="120"/>
      <c r="NWI3" s="120"/>
      <c r="NWJ3" s="120"/>
      <c r="NWK3" s="120"/>
      <c r="NWL3" s="120"/>
      <c r="NWM3" s="120"/>
      <c r="NWN3" s="120"/>
      <c r="NWO3" s="120"/>
      <c r="NWP3" s="120"/>
      <c r="NWQ3" s="120"/>
      <c r="NWR3" s="120"/>
      <c r="NWS3" s="120"/>
      <c r="NWT3" s="120"/>
      <c r="NWU3" s="120"/>
      <c r="NWV3" s="120"/>
      <c r="NWW3" s="120"/>
      <c r="NWX3" s="120"/>
      <c r="NWY3" s="120"/>
      <c r="NWZ3" s="120"/>
      <c r="NXA3" s="120"/>
      <c r="NXB3" s="120"/>
      <c r="NXC3" s="120"/>
      <c r="NXD3" s="120"/>
      <c r="NXE3" s="120"/>
      <c r="NXF3" s="120"/>
      <c r="NXG3" s="120"/>
      <c r="NXH3" s="120"/>
      <c r="NXI3" s="120"/>
      <c r="NXJ3" s="120"/>
      <c r="NXK3" s="120"/>
      <c r="NXL3" s="120"/>
      <c r="NXM3" s="120"/>
      <c r="NXN3" s="120"/>
      <c r="NXO3" s="120"/>
      <c r="NXP3" s="120"/>
      <c r="NXQ3" s="120"/>
      <c r="NXR3" s="120"/>
      <c r="NXS3" s="120"/>
      <c r="NXT3" s="120"/>
      <c r="NXU3" s="120"/>
      <c r="NXV3" s="120"/>
      <c r="NXW3" s="120"/>
      <c r="NXX3" s="120"/>
      <c r="NXY3" s="120"/>
      <c r="NXZ3" s="120"/>
      <c r="NYA3" s="120"/>
      <c r="NYB3" s="120"/>
      <c r="NYC3" s="120"/>
      <c r="NYD3" s="120"/>
      <c r="NYE3" s="120"/>
      <c r="NYF3" s="120"/>
      <c r="NYG3" s="120"/>
      <c r="NYH3" s="120"/>
      <c r="NYI3" s="120"/>
      <c r="NYJ3" s="120"/>
      <c r="NYK3" s="120"/>
      <c r="NYL3" s="120"/>
      <c r="NYM3" s="120"/>
      <c r="NYN3" s="120"/>
      <c r="NYO3" s="120"/>
      <c r="NYP3" s="120"/>
      <c r="NYQ3" s="120"/>
      <c r="NYR3" s="120"/>
      <c r="NYS3" s="120"/>
      <c r="NYT3" s="120"/>
      <c r="NYU3" s="120"/>
      <c r="NYV3" s="120"/>
      <c r="NYW3" s="120"/>
      <c r="NYX3" s="120"/>
      <c r="NYY3" s="120"/>
      <c r="NYZ3" s="120"/>
      <c r="NZA3" s="120"/>
      <c r="NZB3" s="120"/>
      <c r="NZC3" s="120"/>
      <c r="NZD3" s="120"/>
      <c r="NZE3" s="120"/>
      <c r="NZF3" s="120"/>
      <c r="NZG3" s="120"/>
      <c r="NZH3" s="120"/>
      <c r="NZI3" s="120"/>
      <c r="NZJ3" s="120"/>
      <c r="NZK3" s="120"/>
      <c r="NZL3" s="120"/>
      <c r="NZM3" s="120"/>
      <c r="NZN3" s="120"/>
      <c r="NZO3" s="120"/>
      <c r="NZP3" s="120"/>
      <c r="NZQ3" s="120"/>
      <c r="NZR3" s="120"/>
      <c r="NZS3" s="120"/>
      <c r="NZT3" s="120"/>
      <c r="NZU3" s="120"/>
      <c r="NZV3" s="120"/>
      <c r="NZW3" s="120"/>
      <c r="NZX3" s="120"/>
      <c r="NZY3" s="120"/>
      <c r="NZZ3" s="120"/>
      <c r="OAA3" s="120"/>
      <c r="OAB3" s="120"/>
      <c r="OAC3" s="120"/>
      <c r="OAD3" s="120"/>
      <c r="OAE3" s="120"/>
      <c r="OAF3" s="120"/>
      <c r="OAG3" s="120"/>
      <c r="OAH3" s="120"/>
      <c r="OAI3" s="120"/>
      <c r="OAJ3" s="120"/>
      <c r="OAK3" s="120"/>
      <c r="OAL3" s="120"/>
      <c r="OAM3" s="120"/>
      <c r="OAN3" s="120"/>
      <c r="OAO3" s="120"/>
      <c r="OAP3" s="120"/>
      <c r="OAQ3" s="120"/>
      <c r="OAR3" s="120"/>
      <c r="OAS3" s="120"/>
      <c r="OAT3" s="120"/>
      <c r="OAU3" s="120"/>
      <c r="OAV3" s="120"/>
      <c r="OAW3" s="120"/>
      <c r="OAX3" s="120"/>
      <c r="OAY3" s="120"/>
      <c r="OAZ3" s="120"/>
      <c r="OBA3" s="120"/>
      <c r="OBB3" s="120"/>
      <c r="OBC3" s="120"/>
      <c r="OBD3" s="120"/>
      <c r="OBE3" s="120"/>
      <c r="OBF3" s="120"/>
      <c r="OBG3" s="120"/>
      <c r="OBH3" s="120"/>
      <c r="OBI3" s="120"/>
      <c r="OBJ3" s="120"/>
      <c r="OBK3" s="120"/>
      <c r="OBL3" s="120"/>
      <c r="OBM3" s="120"/>
      <c r="OBN3" s="120"/>
      <c r="OBO3" s="120"/>
      <c r="OBP3" s="120"/>
      <c r="OBQ3" s="120"/>
      <c r="OBR3" s="120"/>
      <c r="OBS3" s="120"/>
      <c r="OBT3" s="120"/>
      <c r="OBU3" s="120"/>
      <c r="OBV3" s="120"/>
      <c r="OBW3" s="120"/>
      <c r="OBX3" s="120"/>
      <c r="OBY3" s="120"/>
      <c r="OBZ3" s="120"/>
      <c r="OCA3" s="120"/>
      <c r="OCB3" s="120"/>
      <c r="OCC3" s="120"/>
      <c r="OCD3" s="120"/>
      <c r="OCE3" s="120"/>
      <c r="OCF3" s="120"/>
      <c r="OCG3" s="120"/>
      <c r="OCH3" s="120"/>
      <c r="OCI3" s="120"/>
      <c r="OCJ3" s="120"/>
      <c r="OCK3" s="120"/>
      <c r="OCL3" s="120"/>
      <c r="OCM3" s="120"/>
      <c r="OCN3" s="120"/>
      <c r="OCO3" s="120"/>
      <c r="OCP3" s="120"/>
      <c r="OCQ3" s="120"/>
      <c r="OCR3" s="120"/>
      <c r="OCS3" s="120"/>
      <c r="OCT3" s="120"/>
      <c r="OCU3" s="120"/>
      <c r="OCV3" s="120"/>
      <c r="OCW3" s="120"/>
      <c r="OCX3" s="120"/>
      <c r="OCY3" s="120"/>
      <c r="OCZ3" s="120"/>
      <c r="ODA3" s="120"/>
      <c r="ODB3" s="120"/>
      <c r="ODC3" s="120"/>
      <c r="ODD3" s="120"/>
      <c r="ODE3" s="120"/>
      <c r="ODF3" s="120"/>
      <c r="ODG3" s="120"/>
      <c r="ODH3" s="120"/>
      <c r="ODI3" s="120"/>
      <c r="ODJ3" s="120"/>
      <c r="ODK3" s="120"/>
      <c r="ODL3" s="120"/>
      <c r="ODM3" s="120"/>
      <c r="ODN3" s="120"/>
      <c r="ODO3" s="120"/>
      <c r="ODP3" s="120"/>
      <c r="ODQ3" s="120"/>
      <c r="ODR3" s="120"/>
      <c r="ODS3" s="120"/>
      <c r="ODT3" s="120"/>
      <c r="ODU3" s="120"/>
      <c r="ODV3" s="120"/>
      <c r="ODW3" s="120"/>
      <c r="ODX3" s="120"/>
      <c r="ODY3" s="120"/>
      <c r="ODZ3" s="120"/>
      <c r="OEA3" s="120"/>
      <c r="OEB3" s="120"/>
      <c r="OEC3" s="120"/>
      <c r="OED3" s="120"/>
      <c r="OEE3" s="120"/>
      <c r="OEF3" s="120"/>
      <c r="OEG3" s="120"/>
      <c r="OEH3" s="120"/>
      <c r="OEI3" s="120"/>
      <c r="OEJ3" s="120"/>
      <c r="OEK3" s="120"/>
      <c r="OEL3" s="120"/>
      <c r="OEM3" s="120"/>
      <c r="OEN3" s="120"/>
      <c r="OEO3" s="120"/>
      <c r="OEP3" s="120"/>
      <c r="OEQ3" s="120"/>
      <c r="OER3" s="120"/>
      <c r="OES3" s="120"/>
      <c r="OET3" s="120"/>
      <c r="OEU3" s="120"/>
      <c r="OEV3" s="120"/>
      <c r="OEW3" s="120"/>
      <c r="OEX3" s="120"/>
      <c r="OEY3" s="120"/>
      <c r="OEZ3" s="120"/>
      <c r="OFA3" s="120"/>
      <c r="OFB3" s="120"/>
      <c r="OFC3" s="120"/>
      <c r="OFD3" s="120"/>
      <c r="OFE3" s="120"/>
      <c r="OFF3" s="120"/>
      <c r="OFG3" s="120"/>
      <c r="OFH3" s="120"/>
      <c r="OFI3" s="120"/>
      <c r="OFJ3" s="120"/>
      <c r="OFK3" s="120"/>
      <c r="OFL3" s="120"/>
      <c r="OFM3" s="120"/>
      <c r="OFN3" s="120"/>
      <c r="OFO3" s="120"/>
      <c r="OFP3" s="120"/>
      <c r="OFQ3" s="120"/>
      <c r="OFR3" s="120"/>
      <c r="OFS3" s="120"/>
      <c r="OFT3" s="120"/>
      <c r="OFU3" s="120"/>
      <c r="OFV3" s="120"/>
      <c r="OFW3" s="120"/>
      <c r="OFX3" s="120"/>
      <c r="OFY3" s="120"/>
      <c r="OFZ3" s="120"/>
      <c r="OGA3" s="120"/>
      <c r="OGB3" s="120"/>
      <c r="OGC3" s="120"/>
      <c r="OGD3" s="120"/>
      <c r="OGE3" s="120"/>
      <c r="OGF3" s="120"/>
      <c r="OGG3" s="120"/>
      <c r="OGH3" s="120"/>
      <c r="OGI3" s="120"/>
      <c r="OGJ3" s="120"/>
      <c r="OGK3" s="120"/>
      <c r="OGL3" s="120"/>
      <c r="OGM3" s="120"/>
      <c r="OGN3" s="120"/>
      <c r="OGO3" s="120"/>
      <c r="OGP3" s="120"/>
      <c r="OGQ3" s="120"/>
      <c r="OGR3" s="120"/>
      <c r="OGS3" s="120"/>
      <c r="OGT3" s="120"/>
      <c r="OGU3" s="120"/>
      <c r="OGV3" s="120"/>
      <c r="OGW3" s="120"/>
      <c r="OGX3" s="120"/>
      <c r="OGY3" s="120"/>
      <c r="OGZ3" s="120"/>
      <c r="OHA3" s="120"/>
      <c r="OHB3" s="120"/>
      <c r="OHC3" s="120"/>
      <c r="OHD3" s="120"/>
      <c r="OHE3" s="120"/>
      <c r="OHF3" s="120"/>
      <c r="OHG3" s="120"/>
      <c r="OHH3" s="120"/>
      <c r="OHI3" s="120"/>
      <c r="OHJ3" s="120"/>
      <c r="OHK3" s="120"/>
      <c r="OHL3" s="120"/>
      <c r="OHM3" s="120"/>
      <c r="OHN3" s="120"/>
      <c r="OHO3" s="120"/>
      <c r="OHP3" s="120"/>
      <c r="OHQ3" s="120"/>
      <c r="OHR3" s="120"/>
      <c r="OHS3" s="120"/>
      <c r="OHT3" s="120"/>
      <c r="OHU3" s="120"/>
      <c r="OHV3" s="120"/>
      <c r="OHW3" s="120"/>
      <c r="OHX3" s="120"/>
      <c r="OHY3" s="120"/>
      <c r="OHZ3" s="120"/>
      <c r="OIA3" s="120"/>
      <c r="OIB3" s="120"/>
      <c r="OIC3" s="120"/>
      <c r="OID3" s="120"/>
      <c r="OIE3" s="120"/>
      <c r="OIF3" s="120"/>
      <c r="OIG3" s="120"/>
      <c r="OIH3" s="120"/>
      <c r="OII3" s="120"/>
      <c r="OIJ3" s="120"/>
      <c r="OIK3" s="120"/>
      <c r="OIL3" s="120"/>
      <c r="OIM3" s="120"/>
      <c r="OIN3" s="120"/>
      <c r="OIO3" s="120"/>
      <c r="OIP3" s="120"/>
      <c r="OIQ3" s="120"/>
      <c r="OIR3" s="120"/>
      <c r="OIS3" s="120"/>
      <c r="OIT3" s="120"/>
      <c r="OIU3" s="120"/>
      <c r="OIV3" s="120"/>
      <c r="OIW3" s="120"/>
      <c r="OIX3" s="120"/>
      <c r="OIY3" s="120"/>
      <c r="OIZ3" s="120"/>
      <c r="OJA3" s="120"/>
      <c r="OJB3" s="120"/>
      <c r="OJC3" s="120"/>
      <c r="OJD3" s="120"/>
      <c r="OJE3" s="120"/>
      <c r="OJF3" s="120"/>
      <c r="OJG3" s="120"/>
      <c r="OJH3" s="120"/>
      <c r="OJI3" s="120"/>
      <c r="OJJ3" s="120"/>
      <c r="OJK3" s="120"/>
      <c r="OJL3" s="120"/>
      <c r="OJM3" s="120"/>
      <c r="OJN3" s="120"/>
      <c r="OJO3" s="120"/>
      <c r="OJP3" s="120"/>
      <c r="OJQ3" s="120"/>
      <c r="OJR3" s="120"/>
      <c r="OJS3" s="120"/>
      <c r="OJT3" s="120"/>
      <c r="OJU3" s="120"/>
      <c r="OJV3" s="120"/>
      <c r="OJW3" s="120"/>
      <c r="OJX3" s="120"/>
      <c r="OJY3" s="120"/>
      <c r="OJZ3" s="120"/>
      <c r="OKA3" s="120"/>
      <c r="OKB3" s="120"/>
      <c r="OKC3" s="120"/>
      <c r="OKD3" s="120"/>
      <c r="OKE3" s="120"/>
      <c r="OKF3" s="120"/>
      <c r="OKG3" s="120"/>
      <c r="OKH3" s="120"/>
      <c r="OKI3" s="120"/>
      <c r="OKJ3" s="120"/>
      <c r="OKK3" s="120"/>
      <c r="OKL3" s="120"/>
      <c r="OKM3" s="120"/>
      <c r="OKN3" s="120"/>
      <c r="OKO3" s="120"/>
      <c r="OKP3" s="120"/>
      <c r="OKQ3" s="120"/>
      <c r="OKR3" s="120"/>
      <c r="OKS3" s="120"/>
      <c r="OKT3" s="120"/>
      <c r="OKU3" s="120"/>
      <c r="OKV3" s="120"/>
      <c r="OKW3" s="120"/>
      <c r="OKX3" s="120"/>
      <c r="OKY3" s="120"/>
      <c r="OKZ3" s="120"/>
      <c r="OLA3" s="120"/>
      <c r="OLB3" s="120"/>
      <c r="OLC3" s="120"/>
      <c r="OLD3" s="120"/>
      <c r="OLE3" s="120"/>
      <c r="OLF3" s="120"/>
      <c r="OLG3" s="120"/>
      <c r="OLH3" s="120"/>
      <c r="OLI3" s="120"/>
      <c r="OLJ3" s="120"/>
      <c r="OLK3" s="120"/>
      <c r="OLL3" s="120"/>
      <c r="OLM3" s="120"/>
      <c r="OLN3" s="120"/>
      <c r="OLO3" s="120"/>
      <c r="OLP3" s="120"/>
      <c r="OLQ3" s="120"/>
      <c r="OLR3" s="120"/>
      <c r="OLS3" s="120"/>
      <c r="OLT3" s="120"/>
      <c r="OLU3" s="120"/>
      <c r="OLV3" s="120"/>
      <c r="OLW3" s="120"/>
      <c r="OLX3" s="120"/>
      <c r="OLY3" s="120"/>
      <c r="OLZ3" s="120"/>
      <c r="OMA3" s="120"/>
      <c r="OMB3" s="120"/>
      <c r="OMC3" s="120"/>
      <c r="OMD3" s="120"/>
      <c r="OME3" s="120"/>
      <c r="OMF3" s="120"/>
      <c r="OMG3" s="120"/>
      <c r="OMH3" s="120"/>
      <c r="OMI3" s="120"/>
      <c r="OMJ3" s="120"/>
      <c r="OMK3" s="120"/>
      <c r="OML3" s="120"/>
      <c r="OMM3" s="120"/>
      <c r="OMN3" s="120"/>
      <c r="OMO3" s="120"/>
      <c r="OMP3" s="120"/>
      <c r="OMQ3" s="120"/>
      <c r="OMR3" s="120"/>
      <c r="OMS3" s="120"/>
      <c r="OMT3" s="120"/>
      <c r="OMU3" s="120"/>
      <c r="OMV3" s="120"/>
      <c r="OMW3" s="120"/>
      <c r="OMX3" s="120"/>
      <c r="OMY3" s="120"/>
      <c r="OMZ3" s="120"/>
      <c r="ONA3" s="120"/>
      <c r="ONB3" s="120"/>
      <c r="ONC3" s="120"/>
      <c r="OND3" s="120"/>
      <c r="ONE3" s="120"/>
      <c r="ONF3" s="120"/>
      <c r="ONG3" s="120"/>
      <c r="ONH3" s="120"/>
      <c r="ONI3" s="120"/>
      <c r="ONJ3" s="120"/>
      <c r="ONK3" s="120"/>
      <c r="ONL3" s="120"/>
      <c r="ONM3" s="120"/>
      <c r="ONN3" s="120"/>
      <c r="ONO3" s="120"/>
      <c r="ONP3" s="120"/>
      <c r="ONQ3" s="120"/>
      <c r="ONR3" s="120"/>
      <c r="ONS3" s="120"/>
      <c r="ONT3" s="120"/>
      <c r="ONU3" s="120"/>
      <c r="ONV3" s="120"/>
      <c r="ONW3" s="120"/>
      <c r="ONX3" s="120"/>
      <c r="ONY3" s="120"/>
      <c r="ONZ3" s="120"/>
      <c r="OOA3" s="120"/>
      <c r="OOB3" s="120"/>
      <c r="OOC3" s="120"/>
      <c r="OOD3" s="120"/>
      <c r="OOE3" s="120"/>
      <c r="OOF3" s="120"/>
      <c r="OOG3" s="120"/>
      <c r="OOH3" s="120"/>
      <c r="OOI3" s="120"/>
      <c r="OOJ3" s="120"/>
      <c r="OOK3" s="120"/>
      <c r="OOL3" s="120"/>
      <c r="OOM3" s="120"/>
      <c r="OON3" s="120"/>
      <c r="OOO3" s="120"/>
      <c r="OOP3" s="120"/>
      <c r="OOQ3" s="120"/>
      <c r="OOR3" s="120"/>
      <c r="OOS3" s="120"/>
      <c r="OOT3" s="120"/>
      <c r="OOU3" s="120"/>
      <c r="OOV3" s="120"/>
      <c r="OOW3" s="120"/>
      <c r="OOX3" s="120"/>
      <c r="OOY3" s="120"/>
      <c r="OOZ3" s="120"/>
      <c r="OPA3" s="120"/>
      <c r="OPB3" s="120"/>
      <c r="OPC3" s="120"/>
      <c r="OPD3" s="120"/>
      <c r="OPE3" s="120"/>
      <c r="OPF3" s="120"/>
      <c r="OPG3" s="120"/>
      <c r="OPH3" s="120"/>
      <c r="OPI3" s="120"/>
      <c r="OPJ3" s="120"/>
      <c r="OPK3" s="120"/>
      <c r="OPL3" s="120"/>
      <c r="OPM3" s="120"/>
      <c r="OPN3" s="120"/>
      <c r="OPO3" s="120"/>
      <c r="OPP3" s="120"/>
      <c r="OPQ3" s="120"/>
      <c r="OPR3" s="120"/>
      <c r="OPS3" s="120"/>
      <c r="OPT3" s="120"/>
      <c r="OPU3" s="120"/>
      <c r="OPV3" s="120"/>
      <c r="OPW3" s="120"/>
      <c r="OPX3" s="120"/>
      <c r="OPY3" s="120"/>
      <c r="OPZ3" s="120"/>
      <c r="OQA3" s="120"/>
      <c r="OQB3" s="120"/>
      <c r="OQC3" s="120"/>
      <c r="OQD3" s="120"/>
      <c r="OQE3" s="120"/>
      <c r="OQF3" s="120"/>
      <c r="OQG3" s="120"/>
      <c r="OQH3" s="120"/>
      <c r="OQI3" s="120"/>
      <c r="OQJ3" s="120"/>
      <c r="OQK3" s="120"/>
      <c r="OQL3" s="120"/>
      <c r="OQM3" s="120"/>
      <c r="OQN3" s="120"/>
      <c r="OQO3" s="120"/>
      <c r="OQP3" s="120"/>
      <c r="OQQ3" s="120"/>
      <c r="OQR3" s="120"/>
      <c r="OQS3" s="120"/>
      <c r="OQT3" s="120"/>
      <c r="OQU3" s="120"/>
      <c r="OQV3" s="120"/>
      <c r="OQW3" s="120"/>
      <c r="OQX3" s="120"/>
      <c r="OQY3" s="120"/>
      <c r="OQZ3" s="120"/>
      <c r="ORA3" s="120"/>
      <c r="ORB3" s="120"/>
      <c r="ORC3" s="120"/>
      <c r="ORD3" s="120"/>
      <c r="ORE3" s="120"/>
      <c r="ORF3" s="120"/>
      <c r="ORG3" s="120"/>
      <c r="ORH3" s="120"/>
      <c r="ORI3" s="120"/>
      <c r="ORJ3" s="120"/>
      <c r="ORK3" s="120"/>
      <c r="ORL3" s="120"/>
      <c r="ORM3" s="120"/>
      <c r="ORN3" s="120"/>
      <c r="ORO3" s="120"/>
      <c r="ORP3" s="120"/>
      <c r="ORQ3" s="120"/>
      <c r="ORR3" s="120"/>
      <c r="ORS3" s="120"/>
      <c r="ORT3" s="120"/>
      <c r="ORU3" s="120"/>
      <c r="ORV3" s="120"/>
      <c r="ORW3" s="120"/>
      <c r="ORX3" s="120"/>
      <c r="ORY3" s="120"/>
      <c r="ORZ3" s="120"/>
      <c r="OSA3" s="120"/>
      <c r="OSB3" s="120"/>
      <c r="OSC3" s="120"/>
      <c r="OSD3" s="120"/>
      <c r="OSE3" s="120"/>
      <c r="OSF3" s="120"/>
      <c r="OSG3" s="120"/>
      <c r="OSH3" s="120"/>
      <c r="OSI3" s="120"/>
      <c r="OSJ3" s="120"/>
      <c r="OSK3" s="120"/>
      <c r="OSL3" s="120"/>
      <c r="OSM3" s="120"/>
      <c r="OSN3" s="120"/>
      <c r="OSO3" s="120"/>
      <c r="OSP3" s="120"/>
      <c r="OSQ3" s="120"/>
      <c r="OSR3" s="120"/>
      <c r="OSS3" s="120"/>
      <c r="OST3" s="120"/>
      <c r="OSU3" s="120"/>
      <c r="OSV3" s="120"/>
      <c r="OSW3" s="120"/>
      <c r="OSX3" s="120"/>
      <c r="OSY3" s="120"/>
      <c r="OSZ3" s="120"/>
      <c r="OTA3" s="120"/>
      <c r="OTB3" s="120"/>
      <c r="OTC3" s="120"/>
      <c r="OTD3" s="120"/>
      <c r="OTE3" s="120"/>
      <c r="OTF3" s="120"/>
      <c r="OTG3" s="120"/>
      <c r="OTH3" s="120"/>
      <c r="OTI3" s="120"/>
      <c r="OTJ3" s="120"/>
      <c r="OTK3" s="120"/>
      <c r="OTL3" s="120"/>
      <c r="OTM3" s="120"/>
      <c r="OTN3" s="120"/>
      <c r="OTO3" s="120"/>
      <c r="OTP3" s="120"/>
      <c r="OTQ3" s="120"/>
      <c r="OTR3" s="120"/>
      <c r="OTS3" s="120"/>
      <c r="OTT3" s="120"/>
      <c r="OTU3" s="120"/>
      <c r="OTV3" s="120"/>
      <c r="OTW3" s="120"/>
      <c r="OTX3" s="120"/>
      <c r="OTY3" s="120"/>
      <c r="OTZ3" s="120"/>
      <c r="OUA3" s="120"/>
      <c r="OUB3" s="120"/>
      <c r="OUC3" s="120"/>
      <c r="OUD3" s="120"/>
      <c r="OUE3" s="120"/>
      <c r="OUF3" s="120"/>
      <c r="OUG3" s="120"/>
      <c r="OUH3" s="120"/>
      <c r="OUI3" s="120"/>
      <c r="OUJ3" s="120"/>
      <c r="OUK3" s="120"/>
      <c r="OUL3" s="120"/>
      <c r="OUM3" s="120"/>
      <c r="OUN3" s="120"/>
      <c r="OUO3" s="120"/>
      <c r="OUP3" s="120"/>
      <c r="OUQ3" s="120"/>
      <c r="OUR3" s="120"/>
      <c r="OUS3" s="120"/>
      <c r="OUT3" s="120"/>
      <c r="OUU3" s="120"/>
      <c r="OUV3" s="120"/>
      <c r="OUW3" s="120"/>
      <c r="OUX3" s="120"/>
      <c r="OUY3" s="120"/>
      <c r="OUZ3" s="120"/>
      <c r="OVA3" s="120"/>
      <c r="OVB3" s="120"/>
      <c r="OVC3" s="120"/>
      <c r="OVD3" s="120"/>
      <c r="OVE3" s="120"/>
      <c r="OVF3" s="120"/>
      <c r="OVG3" s="120"/>
      <c r="OVH3" s="120"/>
      <c r="OVI3" s="120"/>
      <c r="OVJ3" s="120"/>
      <c r="OVK3" s="120"/>
      <c r="OVL3" s="120"/>
      <c r="OVM3" s="120"/>
      <c r="OVN3" s="120"/>
      <c r="OVO3" s="120"/>
      <c r="OVP3" s="120"/>
      <c r="OVQ3" s="120"/>
      <c r="OVR3" s="120"/>
      <c r="OVS3" s="120"/>
      <c r="OVT3" s="120"/>
      <c r="OVU3" s="120"/>
      <c r="OVV3" s="120"/>
      <c r="OVW3" s="120"/>
      <c r="OVX3" s="120"/>
      <c r="OVY3" s="120"/>
      <c r="OVZ3" s="120"/>
      <c r="OWA3" s="120"/>
      <c r="OWB3" s="120"/>
      <c r="OWC3" s="120"/>
      <c r="OWD3" s="120"/>
      <c r="OWE3" s="120"/>
      <c r="OWF3" s="120"/>
      <c r="OWG3" s="120"/>
      <c r="OWH3" s="120"/>
      <c r="OWI3" s="120"/>
      <c r="OWJ3" s="120"/>
      <c r="OWK3" s="120"/>
      <c r="OWL3" s="120"/>
      <c r="OWM3" s="120"/>
      <c r="OWN3" s="120"/>
      <c r="OWO3" s="120"/>
      <c r="OWP3" s="120"/>
      <c r="OWQ3" s="120"/>
      <c r="OWR3" s="120"/>
      <c r="OWS3" s="120"/>
      <c r="OWT3" s="120"/>
      <c r="OWU3" s="120"/>
      <c r="OWV3" s="120"/>
      <c r="OWW3" s="120"/>
      <c r="OWX3" s="120"/>
      <c r="OWY3" s="120"/>
      <c r="OWZ3" s="120"/>
      <c r="OXA3" s="120"/>
      <c r="OXB3" s="120"/>
      <c r="OXC3" s="120"/>
      <c r="OXD3" s="120"/>
      <c r="OXE3" s="120"/>
      <c r="OXF3" s="120"/>
      <c r="OXG3" s="120"/>
      <c r="OXH3" s="120"/>
      <c r="OXI3" s="120"/>
      <c r="OXJ3" s="120"/>
      <c r="OXK3" s="120"/>
      <c r="OXL3" s="120"/>
      <c r="OXM3" s="120"/>
      <c r="OXN3" s="120"/>
      <c r="OXO3" s="120"/>
      <c r="OXP3" s="120"/>
      <c r="OXQ3" s="120"/>
      <c r="OXR3" s="120"/>
      <c r="OXS3" s="120"/>
      <c r="OXT3" s="120"/>
      <c r="OXU3" s="120"/>
      <c r="OXV3" s="120"/>
      <c r="OXW3" s="120"/>
      <c r="OXX3" s="120"/>
      <c r="OXY3" s="120"/>
      <c r="OXZ3" s="120"/>
      <c r="OYA3" s="120"/>
      <c r="OYB3" s="120"/>
      <c r="OYC3" s="120"/>
      <c r="OYD3" s="120"/>
      <c r="OYE3" s="120"/>
      <c r="OYF3" s="120"/>
      <c r="OYG3" s="120"/>
      <c r="OYH3" s="120"/>
      <c r="OYI3" s="120"/>
      <c r="OYJ3" s="120"/>
      <c r="OYK3" s="120"/>
      <c r="OYL3" s="120"/>
      <c r="OYM3" s="120"/>
      <c r="OYN3" s="120"/>
      <c r="OYO3" s="120"/>
      <c r="OYP3" s="120"/>
      <c r="OYQ3" s="120"/>
      <c r="OYR3" s="120"/>
      <c r="OYS3" s="120"/>
      <c r="OYT3" s="120"/>
      <c r="OYU3" s="120"/>
      <c r="OYV3" s="120"/>
      <c r="OYW3" s="120"/>
      <c r="OYX3" s="120"/>
      <c r="OYY3" s="120"/>
      <c r="OYZ3" s="120"/>
      <c r="OZA3" s="120"/>
      <c r="OZB3" s="120"/>
      <c r="OZC3" s="120"/>
      <c r="OZD3" s="120"/>
      <c r="OZE3" s="120"/>
      <c r="OZF3" s="120"/>
      <c r="OZG3" s="120"/>
      <c r="OZH3" s="120"/>
      <c r="OZI3" s="120"/>
      <c r="OZJ3" s="120"/>
      <c r="OZK3" s="120"/>
      <c r="OZL3" s="120"/>
      <c r="OZM3" s="120"/>
      <c r="OZN3" s="120"/>
      <c r="OZO3" s="120"/>
      <c r="OZP3" s="120"/>
      <c r="OZQ3" s="120"/>
      <c r="OZR3" s="120"/>
      <c r="OZS3" s="120"/>
      <c r="OZT3" s="120"/>
      <c r="OZU3" s="120"/>
      <c r="OZV3" s="120"/>
      <c r="OZW3" s="120"/>
      <c r="OZX3" s="120"/>
      <c r="OZY3" s="120"/>
      <c r="OZZ3" s="120"/>
      <c r="PAA3" s="120"/>
      <c r="PAB3" s="120"/>
      <c r="PAC3" s="120"/>
      <c r="PAD3" s="120"/>
      <c r="PAE3" s="120"/>
      <c r="PAF3" s="120"/>
      <c r="PAG3" s="120"/>
      <c r="PAH3" s="120"/>
      <c r="PAI3" s="120"/>
      <c r="PAJ3" s="120"/>
      <c r="PAK3" s="120"/>
      <c r="PAL3" s="120"/>
      <c r="PAM3" s="120"/>
      <c r="PAN3" s="120"/>
      <c r="PAO3" s="120"/>
      <c r="PAP3" s="120"/>
      <c r="PAQ3" s="120"/>
      <c r="PAR3" s="120"/>
      <c r="PAS3" s="120"/>
      <c r="PAT3" s="120"/>
      <c r="PAU3" s="120"/>
      <c r="PAV3" s="120"/>
      <c r="PAW3" s="120"/>
      <c r="PAX3" s="120"/>
      <c r="PAY3" s="120"/>
      <c r="PAZ3" s="120"/>
      <c r="PBA3" s="120"/>
      <c r="PBB3" s="120"/>
      <c r="PBC3" s="120"/>
      <c r="PBD3" s="120"/>
      <c r="PBE3" s="120"/>
      <c r="PBF3" s="120"/>
      <c r="PBG3" s="120"/>
      <c r="PBH3" s="120"/>
      <c r="PBI3" s="120"/>
      <c r="PBJ3" s="120"/>
      <c r="PBK3" s="120"/>
      <c r="PBL3" s="120"/>
      <c r="PBM3" s="120"/>
      <c r="PBN3" s="120"/>
      <c r="PBO3" s="120"/>
      <c r="PBP3" s="120"/>
      <c r="PBQ3" s="120"/>
      <c r="PBR3" s="120"/>
      <c r="PBS3" s="120"/>
      <c r="PBT3" s="120"/>
      <c r="PBU3" s="120"/>
      <c r="PBV3" s="120"/>
      <c r="PBW3" s="120"/>
      <c r="PBX3" s="120"/>
      <c r="PBY3" s="120"/>
      <c r="PBZ3" s="120"/>
      <c r="PCA3" s="120"/>
      <c r="PCB3" s="120"/>
      <c r="PCC3" s="120"/>
      <c r="PCD3" s="120"/>
      <c r="PCE3" s="120"/>
      <c r="PCF3" s="120"/>
      <c r="PCG3" s="120"/>
      <c r="PCH3" s="120"/>
      <c r="PCI3" s="120"/>
      <c r="PCJ3" s="120"/>
      <c r="PCK3" s="120"/>
      <c r="PCL3" s="120"/>
      <c r="PCM3" s="120"/>
      <c r="PCN3" s="120"/>
      <c r="PCO3" s="120"/>
      <c r="PCP3" s="120"/>
      <c r="PCQ3" s="120"/>
      <c r="PCR3" s="120"/>
      <c r="PCS3" s="120"/>
      <c r="PCT3" s="120"/>
      <c r="PCU3" s="120"/>
      <c r="PCV3" s="120"/>
      <c r="PCW3" s="120"/>
      <c r="PCX3" s="120"/>
      <c r="PCY3" s="120"/>
      <c r="PCZ3" s="120"/>
      <c r="PDA3" s="120"/>
      <c r="PDB3" s="120"/>
      <c r="PDC3" s="120"/>
      <c r="PDD3" s="120"/>
      <c r="PDE3" s="120"/>
      <c r="PDF3" s="120"/>
      <c r="PDG3" s="120"/>
      <c r="PDH3" s="120"/>
      <c r="PDI3" s="120"/>
      <c r="PDJ3" s="120"/>
      <c r="PDK3" s="120"/>
      <c r="PDL3" s="120"/>
      <c r="PDM3" s="120"/>
      <c r="PDN3" s="120"/>
      <c r="PDO3" s="120"/>
      <c r="PDP3" s="120"/>
      <c r="PDQ3" s="120"/>
      <c r="PDR3" s="120"/>
      <c r="PDS3" s="120"/>
      <c r="PDT3" s="120"/>
      <c r="PDU3" s="120"/>
      <c r="PDV3" s="120"/>
      <c r="PDW3" s="120"/>
      <c r="PDX3" s="120"/>
      <c r="PDY3" s="120"/>
      <c r="PDZ3" s="120"/>
      <c r="PEA3" s="120"/>
      <c r="PEB3" s="120"/>
      <c r="PEC3" s="120"/>
      <c r="PED3" s="120"/>
      <c r="PEE3" s="120"/>
      <c r="PEF3" s="120"/>
      <c r="PEG3" s="120"/>
      <c r="PEH3" s="120"/>
      <c r="PEI3" s="120"/>
      <c r="PEJ3" s="120"/>
      <c r="PEK3" s="120"/>
      <c r="PEL3" s="120"/>
      <c r="PEM3" s="120"/>
      <c r="PEN3" s="120"/>
      <c r="PEO3" s="120"/>
      <c r="PEP3" s="120"/>
      <c r="PEQ3" s="120"/>
      <c r="PER3" s="120"/>
      <c r="PES3" s="120"/>
      <c r="PET3" s="120"/>
      <c r="PEU3" s="120"/>
      <c r="PEV3" s="120"/>
      <c r="PEW3" s="120"/>
      <c r="PEX3" s="120"/>
      <c r="PEY3" s="120"/>
      <c r="PEZ3" s="120"/>
      <c r="PFA3" s="120"/>
      <c r="PFB3" s="120"/>
      <c r="PFC3" s="120"/>
      <c r="PFD3" s="120"/>
      <c r="PFE3" s="120"/>
      <c r="PFF3" s="120"/>
      <c r="PFG3" s="120"/>
      <c r="PFH3" s="120"/>
      <c r="PFI3" s="120"/>
      <c r="PFJ3" s="120"/>
      <c r="PFK3" s="120"/>
      <c r="PFL3" s="120"/>
      <c r="PFM3" s="120"/>
      <c r="PFN3" s="120"/>
      <c r="PFO3" s="120"/>
      <c r="PFP3" s="120"/>
      <c r="PFQ3" s="120"/>
      <c r="PFR3" s="120"/>
      <c r="PFS3" s="120"/>
      <c r="PFT3" s="120"/>
      <c r="PFU3" s="120"/>
      <c r="PFV3" s="120"/>
      <c r="PFW3" s="120"/>
      <c r="PFX3" s="120"/>
      <c r="PFY3" s="120"/>
      <c r="PFZ3" s="120"/>
      <c r="PGA3" s="120"/>
      <c r="PGB3" s="120"/>
      <c r="PGC3" s="120"/>
      <c r="PGD3" s="120"/>
      <c r="PGE3" s="120"/>
      <c r="PGF3" s="120"/>
      <c r="PGG3" s="120"/>
      <c r="PGH3" s="120"/>
      <c r="PGI3" s="120"/>
      <c r="PGJ3" s="120"/>
      <c r="PGK3" s="120"/>
      <c r="PGL3" s="120"/>
      <c r="PGM3" s="120"/>
      <c r="PGN3" s="120"/>
      <c r="PGO3" s="120"/>
      <c r="PGP3" s="120"/>
      <c r="PGQ3" s="120"/>
      <c r="PGR3" s="120"/>
      <c r="PGS3" s="120"/>
      <c r="PGT3" s="120"/>
      <c r="PGU3" s="120"/>
      <c r="PGV3" s="120"/>
      <c r="PGW3" s="120"/>
      <c r="PGX3" s="120"/>
      <c r="PGY3" s="120"/>
      <c r="PGZ3" s="120"/>
      <c r="PHA3" s="120"/>
      <c r="PHB3" s="120"/>
      <c r="PHC3" s="120"/>
      <c r="PHD3" s="120"/>
      <c r="PHE3" s="120"/>
      <c r="PHF3" s="120"/>
      <c r="PHG3" s="120"/>
      <c r="PHH3" s="120"/>
      <c r="PHI3" s="120"/>
      <c r="PHJ3" s="120"/>
      <c r="PHK3" s="120"/>
      <c r="PHL3" s="120"/>
      <c r="PHM3" s="120"/>
      <c r="PHN3" s="120"/>
      <c r="PHO3" s="120"/>
      <c r="PHP3" s="120"/>
      <c r="PHQ3" s="120"/>
      <c r="PHR3" s="120"/>
      <c r="PHS3" s="120"/>
      <c r="PHT3" s="120"/>
      <c r="PHU3" s="120"/>
      <c r="PHV3" s="120"/>
      <c r="PHW3" s="120"/>
      <c r="PHX3" s="120"/>
      <c r="PHY3" s="120"/>
      <c r="PHZ3" s="120"/>
      <c r="PIA3" s="120"/>
      <c r="PIB3" s="120"/>
      <c r="PIC3" s="120"/>
      <c r="PID3" s="120"/>
      <c r="PIE3" s="120"/>
      <c r="PIF3" s="120"/>
      <c r="PIG3" s="120"/>
      <c r="PIH3" s="120"/>
      <c r="PII3" s="120"/>
      <c r="PIJ3" s="120"/>
      <c r="PIK3" s="120"/>
      <c r="PIL3" s="120"/>
      <c r="PIM3" s="120"/>
      <c r="PIN3" s="120"/>
      <c r="PIO3" s="120"/>
      <c r="PIP3" s="120"/>
      <c r="PIQ3" s="120"/>
      <c r="PIR3" s="120"/>
      <c r="PIS3" s="120"/>
      <c r="PIT3" s="120"/>
      <c r="PIU3" s="120"/>
      <c r="PIV3" s="120"/>
      <c r="PIW3" s="120"/>
      <c r="PIX3" s="120"/>
      <c r="PIY3" s="120"/>
      <c r="PIZ3" s="120"/>
      <c r="PJA3" s="120"/>
      <c r="PJB3" s="120"/>
      <c r="PJC3" s="120"/>
      <c r="PJD3" s="120"/>
      <c r="PJE3" s="120"/>
      <c r="PJF3" s="120"/>
      <c r="PJG3" s="120"/>
      <c r="PJH3" s="120"/>
      <c r="PJI3" s="120"/>
      <c r="PJJ3" s="120"/>
      <c r="PJK3" s="120"/>
      <c r="PJL3" s="120"/>
      <c r="PJM3" s="120"/>
      <c r="PJN3" s="120"/>
      <c r="PJO3" s="120"/>
      <c r="PJP3" s="120"/>
      <c r="PJQ3" s="120"/>
      <c r="PJR3" s="120"/>
      <c r="PJS3" s="120"/>
      <c r="PJT3" s="120"/>
      <c r="PJU3" s="120"/>
      <c r="PJV3" s="120"/>
      <c r="PJW3" s="120"/>
      <c r="PJX3" s="120"/>
      <c r="PJY3" s="120"/>
      <c r="PJZ3" s="120"/>
      <c r="PKA3" s="120"/>
      <c r="PKB3" s="120"/>
      <c r="PKC3" s="120"/>
      <c r="PKD3" s="120"/>
      <c r="PKE3" s="120"/>
      <c r="PKF3" s="120"/>
      <c r="PKG3" s="120"/>
      <c r="PKH3" s="120"/>
      <c r="PKI3" s="120"/>
      <c r="PKJ3" s="120"/>
      <c r="PKK3" s="120"/>
      <c r="PKL3" s="120"/>
      <c r="PKM3" s="120"/>
      <c r="PKN3" s="120"/>
      <c r="PKO3" s="120"/>
      <c r="PKP3" s="120"/>
      <c r="PKQ3" s="120"/>
      <c r="PKR3" s="120"/>
      <c r="PKS3" s="120"/>
      <c r="PKT3" s="120"/>
      <c r="PKU3" s="120"/>
      <c r="PKV3" s="120"/>
      <c r="PKW3" s="120"/>
      <c r="PKX3" s="120"/>
      <c r="PKY3" s="120"/>
      <c r="PKZ3" s="120"/>
      <c r="PLA3" s="120"/>
      <c r="PLB3" s="120"/>
      <c r="PLC3" s="120"/>
      <c r="PLD3" s="120"/>
      <c r="PLE3" s="120"/>
      <c r="PLF3" s="120"/>
      <c r="PLG3" s="120"/>
      <c r="PLH3" s="120"/>
      <c r="PLI3" s="120"/>
      <c r="PLJ3" s="120"/>
      <c r="PLK3" s="120"/>
      <c r="PLL3" s="120"/>
      <c r="PLM3" s="120"/>
      <c r="PLN3" s="120"/>
      <c r="PLO3" s="120"/>
      <c r="PLP3" s="120"/>
      <c r="PLQ3" s="120"/>
      <c r="PLR3" s="120"/>
      <c r="PLS3" s="120"/>
      <c r="PLT3" s="120"/>
      <c r="PLU3" s="120"/>
      <c r="PLV3" s="120"/>
      <c r="PLW3" s="120"/>
      <c r="PLX3" s="120"/>
      <c r="PLY3" s="120"/>
      <c r="PLZ3" s="120"/>
      <c r="PMA3" s="120"/>
      <c r="PMB3" s="120"/>
      <c r="PMC3" s="120"/>
      <c r="PMD3" s="120"/>
      <c r="PME3" s="120"/>
      <c r="PMF3" s="120"/>
      <c r="PMG3" s="120"/>
      <c r="PMH3" s="120"/>
      <c r="PMI3" s="120"/>
      <c r="PMJ3" s="120"/>
      <c r="PMK3" s="120"/>
      <c r="PML3" s="120"/>
      <c r="PMM3" s="120"/>
      <c r="PMN3" s="120"/>
      <c r="PMO3" s="120"/>
      <c r="PMP3" s="120"/>
      <c r="PMQ3" s="120"/>
      <c r="PMR3" s="120"/>
      <c r="PMS3" s="120"/>
      <c r="PMT3" s="120"/>
      <c r="PMU3" s="120"/>
      <c r="PMV3" s="120"/>
      <c r="PMW3" s="120"/>
      <c r="PMX3" s="120"/>
      <c r="PMY3" s="120"/>
      <c r="PMZ3" s="120"/>
      <c r="PNA3" s="120"/>
      <c r="PNB3" s="120"/>
      <c r="PNC3" s="120"/>
      <c r="PND3" s="120"/>
      <c r="PNE3" s="120"/>
      <c r="PNF3" s="120"/>
      <c r="PNG3" s="120"/>
      <c r="PNH3" s="120"/>
      <c r="PNI3" s="120"/>
      <c r="PNJ3" s="120"/>
      <c r="PNK3" s="120"/>
      <c r="PNL3" s="120"/>
      <c r="PNM3" s="120"/>
      <c r="PNN3" s="120"/>
      <c r="PNO3" s="120"/>
      <c r="PNP3" s="120"/>
      <c r="PNQ3" s="120"/>
      <c r="PNR3" s="120"/>
      <c r="PNS3" s="120"/>
      <c r="PNT3" s="120"/>
      <c r="PNU3" s="120"/>
      <c r="PNV3" s="120"/>
      <c r="PNW3" s="120"/>
      <c r="PNX3" s="120"/>
      <c r="PNY3" s="120"/>
      <c r="PNZ3" s="120"/>
      <c r="POA3" s="120"/>
      <c r="POB3" s="120"/>
      <c r="POC3" s="120"/>
      <c r="POD3" s="120"/>
      <c r="POE3" s="120"/>
      <c r="POF3" s="120"/>
      <c r="POG3" s="120"/>
      <c r="POH3" s="120"/>
      <c r="POI3" s="120"/>
      <c r="POJ3" s="120"/>
      <c r="POK3" s="120"/>
      <c r="POL3" s="120"/>
      <c r="POM3" s="120"/>
      <c r="PON3" s="120"/>
      <c r="POO3" s="120"/>
      <c r="POP3" s="120"/>
      <c r="POQ3" s="120"/>
      <c r="POR3" s="120"/>
      <c r="POS3" s="120"/>
      <c r="POT3" s="120"/>
      <c r="POU3" s="120"/>
      <c r="POV3" s="120"/>
      <c r="POW3" s="120"/>
      <c r="POX3" s="120"/>
      <c r="POY3" s="120"/>
      <c r="POZ3" s="120"/>
      <c r="PPA3" s="120"/>
      <c r="PPB3" s="120"/>
      <c r="PPC3" s="120"/>
      <c r="PPD3" s="120"/>
      <c r="PPE3" s="120"/>
      <c r="PPF3" s="120"/>
      <c r="PPG3" s="120"/>
      <c r="PPH3" s="120"/>
      <c r="PPI3" s="120"/>
      <c r="PPJ3" s="120"/>
      <c r="PPK3" s="120"/>
      <c r="PPL3" s="120"/>
      <c r="PPM3" s="120"/>
      <c r="PPN3" s="120"/>
      <c r="PPO3" s="120"/>
      <c r="PPP3" s="120"/>
      <c r="PPQ3" s="120"/>
      <c r="PPR3" s="120"/>
      <c r="PPS3" s="120"/>
      <c r="PPT3" s="120"/>
      <c r="PPU3" s="120"/>
      <c r="PPV3" s="120"/>
      <c r="PPW3" s="120"/>
      <c r="PPX3" s="120"/>
      <c r="PPY3" s="120"/>
      <c r="PPZ3" s="120"/>
      <c r="PQA3" s="120"/>
      <c r="PQB3" s="120"/>
      <c r="PQC3" s="120"/>
      <c r="PQD3" s="120"/>
      <c r="PQE3" s="120"/>
      <c r="PQF3" s="120"/>
      <c r="PQG3" s="120"/>
      <c r="PQH3" s="120"/>
      <c r="PQI3" s="120"/>
      <c r="PQJ3" s="120"/>
      <c r="PQK3" s="120"/>
      <c r="PQL3" s="120"/>
      <c r="PQM3" s="120"/>
      <c r="PQN3" s="120"/>
      <c r="PQO3" s="120"/>
      <c r="PQP3" s="120"/>
      <c r="PQQ3" s="120"/>
      <c r="PQR3" s="120"/>
      <c r="PQS3" s="120"/>
      <c r="PQT3" s="120"/>
      <c r="PQU3" s="120"/>
      <c r="PQV3" s="120"/>
      <c r="PQW3" s="120"/>
      <c r="PQX3" s="120"/>
      <c r="PQY3" s="120"/>
      <c r="PQZ3" s="120"/>
      <c r="PRA3" s="120"/>
      <c r="PRB3" s="120"/>
      <c r="PRC3" s="120"/>
      <c r="PRD3" s="120"/>
      <c r="PRE3" s="120"/>
      <c r="PRF3" s="120"/>
      <c r="PRG3" s="120"/>
      <c r="PRH3" s="120"/>
      <c r="PRI3" s="120"/>
      <c r="PRJ3" s="120"/>
      <c r="PRK3" s="120"/>
      <c r="PRL3" s="120"/>
      <c r="PRM3" s="120"/>
      <c r="PRN3" s="120"/>
      <c r="PRO3" s="120"/>
      <c r="PRP3" s="120"/>
      <c r="PRQ3" s="120"/>
      <c r="PRR3" s="120"/>
      <c r="PRS3" s="120"/>
      <c r="PRT3" s="120"/>
      <c r="PRU3" s="120"/>
      <c r="PRV3" s="120"/>
      <c r="PRW3" s="120"/>
      <c r="PRX3" s="120"/>
      <c r="PRY3" s="120"/>
      <c r="PRZ3" s="120"/>
      <c r="PSA3" s="120"/>
      <c r="PSB3" s="120"/>
      <c r="PSC3" s="120"/>
      <c r="PSD3" s="120"/>
      <c r="PSE3" s="120"/>
      <c r="PSF3" s="120"/>
      <c r="PSG3" s="120"/>
      <c r="PSH3" s="120"/>
      <c r="PSI3" s="120"/>
      <c r="PSJ3" s="120"/>
      <c r="PSK3" s="120"/>
      <c r="PSL3" s="120"/>
      <c r="PSM3" s="120"/>
      <c r="PSN3" s="120"/>
      <c r="PSO3" s="120"/>
      <c r="PSP3" s="120"/>
      <c r="PSQ3" s="120"/>
      <c r="PSR3" s="120"/>
      <c r="PSS3" s="120"/>
      <c r="PST3" s="120"/>
      <c r="PSU3" s="120"/>
      <c r="PSV3" s="120"/>
      <c r="PSW3" s="120"/>
      <c r="PSX3" s="120"/>
      <c r="PSY3" s="120"/>
      <c r="PSZ3" s="120"/>
      <c r="PTA3" s="120"/>
      <c r="PTB3" s="120"/>
      <c r="PTC3" s="120"/>
      <c r="PTD3" s="120"/>
      <c r="PTE3" s="120"/>
      <c r="PTF3" s="120"/>
      <c r="PTG3" s="120"/>
      <c r="PTH3" s="120"/>
      <c r="PTI3" s="120"/>
      <c r="PTJ3" s="120"/>
      <c r="PTK3" s="120"/>
      <c r="PTL3" s="120"/>
      <c r="PTM3" s="120"/>
      <c r="PTN3" s="120"/>
      <c r="PTO3" s="120"/>
      <c r="PTP3" s="120"/>
      <c r="PTQ3" s="120"/>
      <c r="PTR3" s="120"/>
      <c r="PTS3" s="120"/>
      <c r="PTT3" s="120"/>
      <c r="PTU3" s="120"/>
      <c r="PTV3" s="120"/>
      <c r="PTW3" s="120"/>
      <c r="PTX3" s="120"/>
      <c r="PTY3" s="120"/>
      <c r="PTZ3" s="120"/>
      <c r="PUA3" s="120"/>
      <c r="PUB3" s="120"/>
      <c r="PUC3" s="120"/>
      <c r="PUD3" s="120"/>
      <c r="PUE3" s="120"/>
      <c r="PUF3" s="120"/>
      <c r="PUG3" s="120"/>
      <c r="PUH3" s="120"/>
      <c r="PUI3" s="120"/>
      <c r="PUJ3" s="120"/>
      <c r="PUK3" s="120"/>
      <c r="PUL3" s="120"/>
      <c r="PUM3" s="120"/>
      <c r="PUN3" s="120"/>
      <c r="PUO3" s="120"/>
      <c r="PUP3" s="120"/>
      <c r="PUQ3" s="120"/>
      <c r="PUR3" s="120"/>
      <c r="PUS3" s="120"/>
      <c r="PUT3" s="120"/>
      <c r="PUU3" s="120"/>
      <c r="PUV3" s="120"/>
      <c r="PUW3" s="120"/>
      <c r="PUX3" s="120"/>
      <c r="PUY3" s="120"/>
      <c r="PUZ3" s="120"/>
      <c r="PVA3" s="120"/>
      <c r="PVB3" s="120"/>
      <c r="PVC3" s="120"/>
      <c r="PVD3" s="120"/>
      <c r="PVE3" s="120"/>
      <c r="PVF3" s="120"/>
      <c r="PVG3" s="120"/>
      <c r="PVH3" s="120"/>
      <c r="PVI3" s="120"/>
      <c r="PVJ3" s="120"/>
      <c r="PVK3" s="120"/>
      <c r="PVL3" s="120"/>
      <c r="PVM3" s="120"/>
      <c r="PVN3" s="120"/>
      <c r="PVO3" s="120"/>
      <c r="PVP3" s="120"/>
      <c r="PVQ3" s="120"/>
      <c r="PVR3" s="120"/>
      <c r="PVS3" s="120"/>
      <c r="PVT3" s="120"/>
      <c r="PVU3" s="120"/>
      <c r="PVV3" s="120"/>
      <c r="PVW3" s="120"/>
      <c r="PVX3" s="120"/>
      <c r="PVY3" s="120"/>
      <c r="PVZ3" s="120"/>
      <c r="PWA3" s="120"/>
      <c r="PWB3" s="120"/>
      <c r="PWC3" s="120"/>
      <c r="PWD3" s="120"/>
      <c r="PWE3" s="120"/>
      <c r="PWF3" s="120"/>
      <c r="PWG3" s="120"/>
      <c r="PWH3" s="120"/>
      <c r="PWI3" s="120"/>
      <c r="PWJ3" s="120"/>
      <c r="PWK3" s="120"/>
      <c r="PWL3" s="120"/>
      <c r="PWM3" s="120"/>
      <c r="PWN3" s="120"/>
      <c r="PWO3" s="120"/>
      <c r="PWP3" s="120"/>
      <c r="PWQ3" s="120"/>
      <c r="PWR3" s="120"/>
      <c r="PWS3" s="120"/>
      <c r="PWT3" s="120"/>
      <c r="PWU3" s="120"/>
      <c r="PWV3" s="120"/>
      <c r="PWW3" s="120"/>
      <c r="PWX3" s="120"/>
      <c r="PWY3" s="120"/>
      <c r="PWZ3" s="120"/>
      <c r="PXA3" s="120"/>
      <c r="PXB3" s="120"/>
      <c r="PXC3" s="120"/>
      <c r="PXD3" s="120"/>
      <c r="PXE3" s="120"/>
      <c r="PXF3" s="120"/>
      <c r="PXG3" s="120"/>
      <c r="PXH3" s="120"/>
      <c r="PXI3" s="120"/>
      <c r="PXJ3" s="120"/>
      <c r="PXK3" s="120"/>
      <c r="PXL3" s="120"/>
      <c r="PXM3" s="120"/>
      <c r="PXN3" s="120"/>
      <c r="PXO3" s="120"/>
      <c r="PXP3" s="120"/>
      <c r="PXQ3" s="120"/>
      <c r="PXR3" s="120"/>
      <c r="PXS3" s="120"/>
      <c r="PXT3" s="120"/>
      <c r="PXU3" s="120"/>
      <c r="PXV3" s="120"/>
      <c r="PXW3" s="120"/>
      <c r="PXX3" s="120"/>
      <c r="PXY3" s="120"/>
      <c r="PXZ3" s="120"/>
      <c r="PYA3" s="120"/>
      <c r="PYB3" s="120"/>
      <c r="PYC3" s="120"/>
      <c r="PYD3" s="120"/>
      <c r="PYE3" s="120"/>
      <c r="PYF3" s="120"/>
      <c r="PYG3" s="120"/>
      <c r="PYH3" s="120"/>
      <c r="PYI3" s="120"/>
      <c r="PYJ3" s="120"/>
      <c r="PYK3" s="120"/>
      <c r="PYL3" s="120"/>
      <c r="PYM3" s="120"/>
      <c r="PYN3" s="120"/>
      <c r="PYO3" s="120"/>
      <c r="PYP3" s="120"/>
      <c r="PYQ3" s="120"/>
      <c r="PYR3" s="120"/>
      <c r="PYS3" s="120"/>
      <c r="PYT3" s="120"/>
      <c r="PYU3" s="120"/>
      <c r="PYV3" s="120"/>
      <c r="PYW3" s="120"/>
      <c r="PYX3" s="120"/>
      <c r="PYY3" s="120"/>
      <c r="PYZ3" s="120"/>
      <c r="PZA3" s="120"/>
      <c r="PZB3" s="120"/>
      <c r="PZC3" s="120"/>
      <c r="PZD3" s="120"/>
      <c r="PZE3" s="120"/>
      <c r="PZF3" s="120"/>
      <c r="PZG3" s="120"/>
      <c r="PZH3" s="120"/>
      <c r="PZI3" s="120"/>
      <c r="PZJ3" s="120"/>
      <c r="PZK3" s="120"/>
      <c r="PZL3" s="120"/>
      <c r="PZM3" s="120"/>
      <c r="PZN3" s="120"/>
      <c r="PZO3" s="120"/>
      <c r="PZP3" s="120"/>
      <c r="PZQ3" s="120"/>
      <c r="PZR3" s="120"/>
      <c r="PZS3" s="120"/>
      <c r="PZT3" s="120"/>
      <c r="PZU3" s="120"/>
      <c r="PZV3" s="120"/>
      <c r="PZW3" s="120"/>
      <c r="PZX3" s="120"/>
      <c r="PZY3" s="120"/>
      <c r="PZZ3" s="120"/>
      <c r="QAA3" s="120"/>
      <c r="QAB3" s="120"/>
      <c r="QAC3" s="120"/>
      <c r="QAD3" s="120"/>
      <c r="QAE3" s="120"/>
      <c r="QAF3" s="120"/>
      <c r="QAG3" s="120"/>
      <c r="QAH3" s="120"/>
      <c r="QAI3" s="120"/>
      <c r="QAJ3" s="120"/>
      <c r="QAK3" s="120"/>
      <c r="QAL3" s="120"/>
      <c r="QAM3" s="120"/>
      <c r="QAN3" s="120"/>
      <c r="QAO3" s="120"/>
      <c r="QAP3" s="120"/>
      <c r="QAQ3" s="120"/>
      <c r="QAR3" s="120"/>
      <c r="QAS3" s="120"/>
      <c r="QAT3" s="120"/>
      <c r="QAU3" s="120"/>
      <c r="QAV3" s="120"/>
      <c r="QAW3" s="120"/>
      <c r="QAX3" s="120"/>
      <c r="QAY3" s="120"/>
      <c r="QAZ3" s="120"/>
      <c r="QBA3" s="120"/>
      <c r="QBB3" s="120"/>
      <c r="QBC3" s="120"/>
      <c r="QBD3" s="120"/>
      <c r="QBE3" s="120"/>
      <c r="QBF3" s="120"/>
      <c r="QBG3" s="120"/>
      <c r="QBH3" s="120"/>
      <c r="QBI3" s="120"/>
      <c r="QBJ3" s="120"/>
      <c r="QBK3" s="120"/>
      <c r="QBL3" s="120"/>
      <c r="QBM3" s="120"/>
      <c r="QBN3" s="120"/>
      <c r="QBO3" s="120"/>
      <c r="QBP3" s="120"/>
      <c r="QBQ3" s="120"/>
      <c r="QBR3" s="120"/>
      <c r="QBS3" s="120"/>
      <c r="QBT3" s="120"/>
      <c r="QBU3" s="120"/>
      <c r="QBV3" s="120"/>
      <c r="QBW3" s="120"/>
      <c r="QBX3" s="120"/>
      <c r="QBY3" s="120"/>
      <c r="QBZ3" s="120"/>
      <c r="QCA3" s="120"/>
      <c r="QCB3" s="120"/>
      <c r="QCC3" s="120"/>
      <c r="QCD3" s="120"/>
      <c r="QCE3" s="120"/>
      <c r="QCF3" s="120"/>
      <c r="QCG3" s="120"/>
      <c r="QCH3" s="120"/>
      <c r="QCI3" s="120"/>
      <c r="QCJ3" s="120"/>
      <c r="QCK3" s="120"/>
      <c r="QCL3" s="120"/>
      <c r="QCM3" s="120"/>
      <c r="QCN3" s="120"/>
      <c r="QCO3" s="120"/>
      <c r="QCP3" s="120"/>
      <c r="QCQ3" s="120"/>
      <c r="QCR3" s="120"/>
      <c r="QCS3" s="120"/>
      <c r="QCT3" s="120"/>
      <c r="QCU3" s="120"/>
      <c r="QCV3" s="120"/>
      <c r="QCW3" s="120"/>
      <c r="QCX3" s="120"/>
      <c r="QCY3" s="120"/>
      <c r="QCZ3" s="120"/>
      <c r="QDA3" s="120"/>
      <c r="QDB3" s="120"/>
      <c r="QDC3" s="120"/>
      <c r="QDD3" s="120"/>
      <c r="QDE3" s="120"/>
      <c r="QDF3" s="120"/>
      <c r="QDG3" s="120"/>
      <c r="QDH3" s="120"/>
      <c r="QDI3" s="120"/>
      <c r="QDJ3" s="120"/>
      <c r="QDK3" s="120"/>
      <c r="QDL3" s="120"/>
      <c r="QDM3" s="120"/>
      <c r="QDN3" s="120"/>
      <c r="QDO3" s="120"/>
      <c r="QDP3" s="120"/>
      <c r="QDQ3" s="120"/>
      <c r="QDR3" s="120"/>
      <c r="QDS3" s="120"/>
      <c r="QDT3" s="120"/>
      <c r="QDU3" s="120"/>
      <c r="QDV3" s="120"/>
      <c r="QDW3" s="120"/>
      <c r="QDX3" s="120"/>
      <c r="QDY3" s="120"/>
      <c r="QDZ3" s="120"/>
      <c r="QEA3" s="120"/>
      <c r="QEB3" s="120"/>
      <c r="QEC3" s="120"/>
      <c r="QED3" s="120"/>
      <c r="QEE3" s="120"/>
      <c r="QEF3" s="120"/>
      <c r="QEG3" s="120"/>
      <c r="QEH3" s="120"/>
      <c r="QEI3" s="120"/>
      <c r="QEJ3" s="120"/>
      <c r="QEK3" s="120"/>
      <c r="QEL3" s="120"/>
      <c r="QEM3" s="120"/>
      <c r="QEN3" s="120"/>
      <c r="QEO3" s="120"/>
      <c r="QEP3" s="120"/>
      <c r="QEQ3" s="120"/>
      <c r="QER3" s="120"/>
      <c r="QES3" s="120"/>
      <c r="QET3" s="120"/>
      <c r="QEU3" s="120"/>
      <c r="QEV3" s="120"/>
      <c r="QEW3" s="120"/>
      <c r="QEX3" s="120"/>
      <c r="QEY3" s="120"/>
      <c r="QEZ3" s="120"/>
      <c r="QFA3" s="120"/>
      <c r="QFB3" s="120"/>
      <c r="QFC3" s="120"/>
      <c r="QFD3" s="120"/>
      <c r="QFE3" s="120"/>
      <c r="QFF3" s="120"/>
      <c r="QFG3" s="120"/>
      <c r="QFH3" s="120"/>
      <c r="QFI3" s="120"/>
      <c r="QFJ3" s="120"/>
      <c r="QFK3" s="120"/>
      <c r="QFL3" s="120"/>
      <c r="QFM3" s="120"/>
      <c r="QFN3" s="120"/>
      <c r="QFO3" s="120"/>
      <c r="QFP3" s="120"/>
      <c r="QFQ3" s="120"/>
      <c r="QFR3" s="120"/>
      <c r="QFS3" s="120"/>
      <c r="QFT3" s="120"/>
      <c r="QFU3" s="120"/>
      <c r="QFV3" s="120"/>
      <c r="QFW3" s="120"/>
      <c r="QFX3" s="120"/>
      <c r="QFY3" s="120"/>
      <c r="QFZ3" s="120"/>
      <c r="QGA3" s="120"/>
      <c r="QGB3" s="120"/>
      <c r="QGC3" s="120"/>
      <c r="QGD3" s="120"/>
      <c r="QGE3" s="120"/>
      <c r="QGF3" s="120"/>
      <c r="QGG3" s="120"/>
      <c r="QGH3" s="120"/>
      <c r="QGI3" s="120"/>
      <c r="QGJ3" s="120"/>
      <c r="QGK3" s="120"/>
      <c r="QGL3" s="120"/>
      <c r="QGM3" s="120"/>
      <c r="QGN3" s="120"/>
      <c r="QGO3" s="120"/>
      <c r="QGP3" s="120"/>
      <c r="QGQ3" s="120"/>
      <c r="QGR3" s="120"/>
      <c r="QGS3" s="120"/>
      <c r="QGT3" s="120"/>
      <c r="QGU3" s="120"/>
      <c r="QGV3" s="120"/>
      <c r="QGW3" s="120"/>
      <c r="QGX3" s="120"/>
      <c r="QGY3" s="120"/>
      <c r="QGZ3" s="120"/>
      <c r="QHA3" s="120"/>
      <c r="QHB3" s="120"/>
      <c r="QHC3" s="120"/>
      <c r="QHD3" s="120"/>
      <c r="QHE3" s="120"/>
      <c r="QHF3" s="120"/>
      <c r="QHG3" s="120"/>
      <c r="QHH3" s="120"/>
      <c r="QHI3" s="120"/>
      <c r="QHJ3" s="120"/>
      <c r="QHK3" s="120"/>
      <c r="QHL3" s="120"/>
      <c r="QHM3" s="120"/>
      <c r="QHN3" s="120"/>
      <c r="QHO3" s="120"/>
      <c r="QHP3" s="120"/>
      <c r="QHQ3" s="120"/>
      <c r="QHR3" s="120"/>
      <c r="QHS3" s="120"/>
      <c r="QHT3" s="120"/>
      <c r="QHU3" s="120"/>
      <c r="QHV3" s="120"/>
      <c r="QHW3" s="120"/>
      <c r="QHX3" s="120"/>
      <c r="QHY3" s="120"/>
      <c r="QHZ3" s="120"/>
      <c r="QIA3" s="120"/>
      <c r="QIB3" s="120"/>
      <c r="QIC3" s="120"/>
      <c r="QID3" s="120"/>
      <c r="QIE3" s="120"/>
      <c r="QIF3" s="120"/>
      <c r="QIG3" s="120"/>
      <c r="QIH3" s="120"/>
      <c r="QII3" s="120"/>
      <c r="QIJ3" s="120"/>
      <c r="QIK3" s="120"/>
      <c r="QIL3" s="120"/>
      <c r="QIM3" s="120"/>
      <c r="QIN3" s="120"/>
      <c r="QIO3" s="120"/>
      <c r="QIP3" s="120"/>
      <c r="QIQ3" s="120"/>
      <c r="QIR3" s="120"/>
      <c r="QIS3" s="120"/>
      <c r="QIT3" s="120"/>
      <c r="QIU3" s="120"/>
      <c r="QIV3" s="120"/>
      <c r="QIW3" s="120"/>
      <c r="QIX3" s="120"/>
      <c r="QIY3" s="120"/>
      <c r="QIZ3" s="120"/>
      <c r="QJA3" s="120"/>
      <c r="QJB3" s="120"/>
      <c r="QJC3" s="120"/>
      <c r="QJD3" s="120"/>
      <c r="QJE3" s="120"/>
      <c r="QJF3" s="120"/>
      <c r="QJG3" s="120"/>
      <c r="QJH3" s="120"/>
      <c r="QJI3" s="120"/>
      <c r="QJJ3" s="120"/>
      <c r="QJK3" s="120"/>
      <c r="QJL3" s="120"/>
      <c r="QJM3" s="120"/>
      <c r="QJN3" s="120"/>
      <c r="QJO3" s="120"/>
      <c r="QJP3" s="120"/>
      <c r="QJQ3" s="120"/>
      <c r="QJR3" s="120"/>
      <c r="QJS3" s="120"/>
      <c r="QJT3" s="120"/>
      <c r="QJU3" s="120"/>
      <c r="QJV3" s="120"/>
      <c r="QJW3" s="120"/>
      <c r="QJX3" s="120"/>
      <c r="QJY3" s="120"/>
      <c r="QJZ3" s="120"/>
      <c r="QKA3" s="120"/>
      <c r="QKB3" s="120"/>
      <c r="QKC3" s="120"/>
      <c r="QKD3" s="120"/>
      <c r="QKE3" s="120"/>
      <c r="QKF3" s="120"/>
      <c r="QKG3" s="120"/>
      <c r="QKH3" s="120"/>
      <c r="QKI3" s="120"/>
      <c r="QKJ3" s="120"/>
      <c r="QKK3" s="120"/>
      <c r="QKL3" s="120"/>
      <c r="QKM3" s="120"/>
      <c r="QKN3" s="120"/>
      <c r="QKO3" s="120"/>
      <c r="QKP3" s="120"/>
      <c r="QKQ3" s="120"/>
      <c r="QKR3" s="120"/>
      <c r="QKS3" s="120"/>
      <c r="QKT3" s="120"/>
      <c r="QKU3" s="120"/>
      <c r="QKV3" s="120"/>
      <c r="QKW3" s="120"/>
      <c r="QKX3" s="120"/>
      <c r="QKY3" s="120"/>
      <c r="QKZ3" s="120"/>
      <c r="QLA3" s="120"/>
      <c r="QLB3" s="120"/>
      <c r="QLC3" s="120"/>
      <c r="QLD3" s="120"/>
      <c r="QLE3" s="120"/>
      <c r="QLF3" s="120"/>
      <c r="QLG3" s="120"/>
      <c r="QLH3" s="120"/>
      <c r="QLI3" s="120"/>
      <c r="QLJ3" s="120"/>
      <c r="QLK3" s="120"/>
      <c r="QLL3" s="120"/>
      <c r="QLM3" s="120"/>
      <c r="QLN3" s="120"/>
      <c r="QLO3" s="120"/>
      <c r="QLP3" s="120"/>
      <c r="QLQ3" s="120"/>
      <c r="QLR3" s="120"/>
      <c r="QLS3" s="120"/>
      <c r="QLT3" s="120"/>
      <c r="QLU3" s="120"/>
      <c r="QLV3" s="120"/>
      <c r="QLW3" s="120"/>
      <c r="QLX3" s="120"/>
      <c r="QLY3" s="120"/>
      <c r="QLZ3" s="120"/>
      <c r="QMA3" s="120"/>
      <c r="QMB3" s="120"/>
      <c r="QMC3" s="120"/>
      <c r="QMD3" s="120"/>
      <c r="QME3" s="120"/>
      <c r="QMF3" s="120"/>
      <c r="QMG3" s="120"/>
      <c r="QMH3" s="120"/>
      <c r="QMI3" s="120"/>
      <c r="QMJ3" s="120"/>
      <c r="QMK3" s="120"/>
      <c r="QML3" s="120"/>
      <c r="QMM3" s="120"/>
      <c r="QMN3" s="120"/>
      <c r="QMO3" s="120"/>
      <c r="QMP3" s="120"/>
      <c r="QMQ3" s="120"/>
      <c r="QMR3" s="120"/>
      <c r="QMS3" s="120"/>
      <c r="QMT3" s="120"/>
      <c r="QMU3" s="120"/>
      <c r="QMV3" s="120"/>
      <c r="QMW3" s="120"/>
      <c r="QMX3" s="120"/>
      <c r="QMY3" s="120"/>
      <c r="QMZ3" s="120"/>
      <c r="QNA3" s="120"/>
      <c r="QNB3" s="120"/>
      <c r="QNC3" s="120"/>
      <c r="QND3" s="120"/>
      <c r="QNE3" s="120"/>
      <c r="QNF3" s="120"/>
      <c r="QNG3" s="120"/>
      <c r="QNH3" s="120"/>
      <c r="QNI3" s="120"/>
      <c r="QNJ3" s="120"/>
      <c r="QNK3" s="120"/>
      <c r="QNL3" s="120"/>
      <c r="QNM3" s="120"/>
      <c r="QNN3" s="120"/>
      <c r="QNO3" s="120"/>
      <c r="QNP3" s="120"/>
      <c r="QNQ3" s="120"/>
      <c r="QNR3" s="120"/>
      <c r="QNS3" s="120"/>
      <c r="QNT3" s="120"/>
      <c r="QNU3" s="120"/>
      <c r="QNV3" s="120"/>
      <c r="QNW3" s="120"/>
      <c r="QNX3" s="120"/>
      <c r="QNY3" s="120"/>
      <c r="QNZ3" s="120"/>
      <c r="QOA3" s="120"/>
      <c r="QOB3" s="120"/>
      <c r="QOC3" s="120"/>
      <c r="QOD3" s="120"/>
      <c r="QOE3" s="120"/>
      <c r="QOF3" s="120"/>
      <c r="QOG3" s="120"/>
      <c r="QOH3" s="120"/>
      <c r="QOI3" s="120"/>
      <c r="QOJ3" s="120"/>
      <c r="QOK3" s="120"/>
      <c r="QOL3" s="120"/>
      <c r="QOM3" s="120"/>
      <c r="QON3" s="120"/>
      <c r="QOO3" s="120"/>
      <c r="QOP3" s="120"/>
      <c r="QOQ3" s="120"/>
      <c r="QOR3" s="120"/>
      <c r="QOS3" s="120"/>
      <c r="QOT3" s="120"/>
      <c r="QOU3" s="120"/>
      <c r="QOV3" s="120"/>
      <c r="QOW3" s="120"/>
      <c r="QOX3" s="120"/>
      <c r="QOY3" s="120"/>
      <c r="QOZ3" s="120"/>
      <c r="QPA3" s="120"/>
      <c r="QPB3" s="120"/>
      <c r="QPC3" s="120"/>
      <c r="QPD3" s="120"/>
      <c r="QPE3" s="120"/>
      <c r="QPF3" s="120"/>
      <c r="QPG3" s="120"/>
      <c r="QPH3" s="120"/>
      <c r="QPI3" s="120"/>
      <c r="QPJ3" s="120"/>
      <c r="QPK3" s="120"/>
      <c r="QPL3" s="120"/>
      <c r="QPM3" s="120"/>
      <c r="QPN3" s="120"/>
      <c r="QPO3" s="120"/>
      <c r="QPP3" s="120"/>
      <c r="QPQ3" s="120"/>
      <c r="QPR3" s="120"/>
      <c r="QPS3" s="120"/>
      <c r="QPT3" s="120"/>
      <c r="QPU3" s="120"/>
      <c r="QPV3" s="120"/>
      <c r="QPW3" s="120"/>
      <c r="QPX3" s="120"/>
      <c r="QPY3" s="120"/>
      <c r="QPZ3" s="120"/>
      <c r="QQA3" s="120"/>
      <c r="QQB3" s="120"/>
      <c r="QQC3" s="120"/>
      <c r="QQD3" s="120"/>
      <c r="QQE3" s="120"/>
      <c r="QQF3" s="120"/>
      <c r="QQG3" s="120"/>
      <c r="QQH3" s="120"/>
      <c r="QQI3" s="120"/>
      <c r="QQJ3" s="120"/>
      <c r="QQK3" s="120"/>
      <c r="QQL3" s="120"/>
      <c r="QQM3" s="120"/>
      <c r="QQN3" s="120"/>
      <c r="QQO3" s="120"/>
      <c r="QQP3" s="120"/>
      <c r="QQQ3" s="120"/>
      <c r="QQR3" s="120"/>
      <c r="QQS3" s="120"/>
      <c r="QQT3" s="120"/>
      <c r="QQU3" s="120"/>
      <c r="QQV3" s="120"/>
      <c r="QQW3" s="120"/>
      <c r="QQX3" s="120"/>
      <c r="QQY3" s="120"/>
      <c r="QQZ3" s="120"/>
      <c r="QRA3" s="120"/>
      <c r="QRB3" s="120"/>
      <c r="QRC3" s="120"/>
      <c r="QRD3" s="120"/>
      <c r="QRE3" s="120"/>
      <c r="QRF3" s="120"/>
      <c r="QRG3" s="120"/>
      <c r="QRH3" s="120"/>
      <c r="QRI3" s="120"/>
      <c r="QRJ3" s="120"/>
      <c r="QRK3" s="120"/>
      <c r="QRL3" s="120"/>
      <c r="QRM3" s="120"/>
      <c r="QRN3" s="120"/>
      <c r="QRO3" s="120"/>
      <c r="QRP3" s="120"/>
      <c r="QRQ3" s="120"/>
      <c r="QRR3" s="120"/>
      <c r="QRS3" s="120"/>
      <c r="QRT3" s="120"/>
      <c r="QRU3" s="120"/>
      <c r="QRV3" s="120"/>
      <c r="QRW3" s="120"/>
      <c r="QRX3" s="120"/>
      <c r="QRY3" s="120"/>
      <c r="QRZ3" s="120"/>
      <c r="QSA3" s="120"/>
      <c r="QSB3" s="120"/>
      <c r="QSC3" s="120"/>
      <c r="QSD3" s="120"/>
      <c r="QSE3" s="120"/>
      <c r="QSF3" s="120"/>
      <c r="QSG3" s="120"/>
      <c r="QSH3" s="120"/>
      <c r="QSI3" s="120"/>
      <c r="QSJ3" s="120"/>
      <c r="QSK3" s="120"/>
      <c r="QSL3" s="120"/>
      <c r="QSM3" s="120"/>
      <c r="QSN3" s="120"/>
      <c r="QSO3" s="120"/>
      <c r="QSP3" s="120"/>
      <c r="QSQ3" s="120"/>
      <c r="QSR3" s="120"/>
      <c r="QSS3" s="120"/>
      <c r="QST3" s="120"/>
      <c r="QSU3" s="120"/>
      <c r="QSV3" s="120"/>
      <c r="QSW3" s="120"/>
      <c r="QSX3" s="120"/>
      <c r="QSY3" s="120"/>
      <c r="QSZ3" s="120"/>
      <c r="QTA3" s="120"/>
      <c r="QTB3" s="120"/>
      <c r="QTC3" s="120"/>
      <c r="QTD3" s="120"/>
      <c r="QTE3" s="120"/>
      <c r="QTF3" s="120"/>
      <c r="QTG3" s="120"/>
      <c r="QTH3" s="120"/>
      <c r="QTI3" s="120"/>
      <c r="QTJ3" s="120"/>
      <c r="QTK3" s="120"/>
      <c r="QTL3" s="120"/>
      <c r="QTM3" s="120"/>
      <c r="QTN3" s="120"/>
      <c r="QTO3" s="120"/>
      <c r="QTP3" s="120"/>
      <c r="QTQ3" s="120"/>
      <c r="QTR3" s="120"/>
      <c r="QTS3" s="120"/>
      <c r="QTT3" s="120"/>
      <c r="QTU3" s="120"/>
      <c r="QTV3" s="120"/>
      <c r="QTW3" s="120"/>
      <c r="QTX3" s="120"/>
      <c r="QTY3" s="120"/>
      <c r="QTZ3" s="120"/>
      <c r="QUA3" s="120"/>
      <c r="QUB3" s="120"/>
      <c r="QUC3" s="120"/>
      <c r="QUD3" s="120"/>
      <c r="QUE3" s="120"/>
      <c r="QUF3" s="120"/>
      <c r="QUG3" s="120"/>
      <c r="QUH3" s="120"/>
      <c r="QUI3" s="120"/>
      <c r="QUJ3" s="120"/>
      <c r="QUK3" s="120"/>
      <c r="QUL3" s="120"/>
      <c r="QUM3" s="120"/>
      <c r="QUN3" s="120"/>
      <c r="QUO3" s="120"/>
      <c r="QUP3" s="120"/>
      <c r="QUQ3" s="120"/>
      <c r="QUR3" s="120"/>
      <c r="QUS3" s="120"/>
      <c r="QUT3" s="120"/>
      <c r="QUU3" s="120"/>
      <c r="QUV3" s="120"/>
      <c r="QUW3" s="120"/>
      <c r="QUX3" s="120"/>
      <c r="QUY3" s="120"/>
      <c r="QUZ3" s="120"/>
      <c r="QVA3" s="120"/>
      <c r="QVB3" s="120"/>
      <c r="QVC3" s="120"/>
      <c r="QVD3" s="120"/>
      <c r="QVE3" s="120"/>
      <c r="QVF3" s="120"/>
      <c r="QVG3" s="120"/>
      <c r="QVH3" s="120"/>
      <c r="QVI3" s="120"/>
      <c r="QVJ3" s="120"/>
      <c r="QVK3" s="120"/>
      <c r="QVL3" s="120"/>
      <c r="QVM3" s="120"/>
      <c r="QVN3" s="120"/>
      <c r="QVO3" s="120"/>
      <c r="QVP3" s="120"/>
      <c r="QVQ3" s="120"/>
      <c r="QVR3" s="120"/>
      <c r="QVS3" s="120"/>
      <c r="QVT3" s="120"/>
      <c r="QVU3" s="120"/>
      <c r="QVV3" s="120"/>
      <c r="QVW3" s="120"/>
      <c r="QVX3" s="120"/>
      <c r="QVY3" s="120"/>
      <c r="QVZ3" s="120"/>
      <c r="QWA3" s="120"/>
      <c r="QWB3" s="120"/>
      <c r="QWC3" s="120"/>
      <c r="QWD3" s="120"/>
      <c r="QWE3" s="120"/>
      <c r="QWF3" s="120"/>
      <c r="QWG3" s="120"/>
      <c r="QWH3" s="120"/>
      <c r="QWI3" s="120"/>
      <c r="QWJ3" s="120"/>
      <c r="QWK3" s="120"/>
      <c r="QWL3" s="120"/>
      <c r="QWM3" s="120"/>
      <c r="QWN3" s="120"/>
      <c r="QWO3" s="120"/>
      <c r="QWP3" s="120"/>
      <c r="QWQ3" s="120"/>
      <c r="QWR3" s="120"/>
      <c r="QWS3" s="120"/>
      <c r="QWT3" s="120"/>
      <c r="QWU3" s="120"/>
      <c r="QWV3" s="120"/>
      <c r="QWW3" s="120"/>
      <c r="QWX3" s="120"/>
      <c r="QWY3" s="120"/>
      <c r="QWZ3" s="120"/>
      <c r="QXA3" s="120"/>
      <c r="QXB3" s="120"/>
      <c r="QXC3" s="120"/>
      <c r="QXD3" s="120"/>
      <c r="QXE3" s="120"/>
      <c r="QXF3" s="120"/>
      <c r="QXG3" s="120"/>
      <c r="QXH3" s="120"/>
      <c r="QXI3" s="120"/>
      <c r="QXJ3" s="120"/>
      <c r="QXK3" s="120"/>
      <c r="QXL3" s="120"/>
      <c r="QXM3" s="120"/>
      <c r="QXN3" s="120"/>
      <c r="QXO3" s="120"/>
      <c r="QXP3" s="120"/>
      <c r="QXQ3" s="120"/>
      <c r="QXR3" s="120"/>
      <c r="QXS3" s="120"/>
      <c r="QXT3" s="120"/>
      <c r="QXU3" s="120"/>
      <c r="QXV3" s="120"/>
      <c r="QXW3" s="120"/>
      <c r="QXX3" s="120"/>
      <c r="QXY3" s="120"/>
      <c r="QXZ3" s="120"/>
      <c r="QYA3" s="120"/>
      <c r="QYB3" s="120"/>
      <c r="QYC3" s="120"/>
      <c r="QYD3" s="120"/>
      <c r="QYE3" s="120"/>
      <c r="QYF3" s="120"/>
      <c r="QYG3" s="120"/>
      <c r="QYH3" s="120"/>
      <c r="QYI3" s="120"/>
      <c r="QYJ3" s="120"/>
      <c r="QYK3" s="120"/>
      <c r="QYL3" s="120"/>
      <c r="QYM3" s="120"/>
      <c r="QYN3" s="120"/>
      <c r="QYO3" s="120"/>
      <c r="QYP3" s="120"/>
      <c r="QYQ3" s="120"/>
      <c r="QYR3" s="120"/>
      <c r="QYS3" s="120"/>
      <c r="QYT3" s="120"/>
      <c r="QYU3" s="120"/>
      <c r="QYV3" s="120"/>
      <c r="QYW3" s="120"/>
      <c r="QYX3" s="120"/>
      <c r="QYY3" s="120"/>
      <c r="QYZ3" s="120"/>
      <c r="QZA3" s="120"/>
      <c r="QZB3" s="120"/>
      <c r="QZC3" s="120"/>
      <c r="QZD3" s="120"/>
      <c r="QZE3" s="120"/>
      <c r="QZF3" s="120"/>
      <c r="QZG3" s="120"/>
      <c r="QZH3" s="120"/>
      <c r="QZI3" s="120"/>
      <c r="QZJ3" s="120"/>
      <c r="QZK3" s="120"/>
      <c r="QZL3" s="120"/>
      <c r="QZM3" s="120"/>
      <c r="QZN3" s="120"/>
      <c r="QZO3" s="120"/>
      <c r="QZP3" s="120"/>
      <c r="QZQ3" s="120"/>
      <c r="QZR3" s="120"/>
      <c r="QZS3" s="120"/>
      <c r="QZT3" s="120"/>
      <c r="QZU3" s="120"/>
      <c r="QZV3" s="120"/>
      <c r="QZW3" s="120"/>
      <c r="QZX3" s="120"/>
      <c r="QZY3" s="120"/>
      <c r="QZZ3" s="120"/>
      <c r="RAA3" s="120"/>
      <c r="RAB3" s="120"/>
      <c r="RAC3" s="120"/>
      <c r="RAD3" s="120"/>
      <c r="RAE3" s="120"/>
      <c r="RAF3" s="120"/>
      <c r="RAG3" s="120"/>
      <c r="RAH3" s="120"/>
      <c r="RAI3" s="120"/>
      <c r="RAJ3" s="120"/>
      <c r="RAK3" s="120"/>
      <c r="RAL3" s="120"/>
      <c r="RAM3" s="120"/>
      <c r="RAN3" s="120"/>
      <c r="RAO3" s="120"/>
      <c r="RAP3" s="120"/>
      <c r="RAQ3" s="120"/>
      <c r="RAR3" s="120"/>
      <c r="RAS3" s="120"/>
      <c r="RAT3" s="120"/>
      <c r="RAU3" s="120"/>
      <c r="RAV3" s="120"/>
      <c r="RAW3" s="120"/>
      <c r="RAX3" s="120"/>
      <c r="RAY3" s="120"/>
      <c r="RAZ3" s="120"/>
      <c r="RBA3" s="120"/>
      <c r="RBB3" s="120"/>
      <c r="RBC3" s="120"/>
      <c r="RBD3" s="120"/>
      <c r="RBE3" s="120"/>
      <c r="RBF3" s="120"/>
      <c r="RBG3" s="120"/>
      <c r="RBH3" s="120"/>
      <c r="RBI3" s="120"/>
      <c r="RBJ3" s="120"/>
      <c r="RBK3" s="120"/>
      <c r="RBL3" s="120"/>
      <c r="RBM3" s="120"/>
      <c r="RBN3" s="120"/>
      <c r="RBO3" s="120"/>
      <c r="RBP3" s="120"/>
      <c r="RBQ3" s="120"/>
      <c r="RBR3" s="120"/>
      <c r="RBS3" s="120"/>
      <c r="RBT3" s="120"/>
      <c r="RBU3" s="120"/>
      <c r="RBV3" s="120"/>
      <c r="RBW3" s="120"/>
      <c r="RBX3" s="120"/>
      <c r="RBY3" s="120"/>
      <c r="RBZ3" s="120"/>
      <c r="RCA3" s="120"/>
      <c r="RCB3" s="120"/>
      <c r="RCC3" s="120"/>
      <c r="RCD3" s="120"/>
      <c r="RCE3" s="120"/>
      <c r="RCF3" s="120"/>
      <c r="RCG3" s="120"/>
      <c r="RCH3" s="120"/>
      <c r="RCI3" s="120"/>
      <c r="RCJ3" s="120"/>
      <c r="RCK3" s="120"/>
      <c r="RCL3" s="120"/>
      <c r="RCM3" s="120"/>
      <c r="RCN3" s="120"/>
      <c r="RCO3" s="120"/>
      <c r="RCP3" s="120"/>
      <c r="RCQ3" s="120"/>
      <c r="RCR3" s="120"/>
      <c r="RCS3" s="120"/>
      <c r="RCT3" s="120"/>
      <c r="RCU3" s="120"/>
      <c r="RCV3" s="120"/>
      <c r="RCW3" s="120"/>
      <c r="RCX3" s="120"/>
      <c r="RCY3" s="120"/>
      <c r="RCZ3" s="120"/>
      <c r="RDA3" s="120"/>
      <c r="RDB3" s="120"/>
      <c r="RDC3" s="120"/>
      <c r="RDD3" s="120"/>
      <c r="RDE3" s="120"/>
      <c r="RDF3" s="120"/>
      <c r="RDG3" s="120"/>
      <c r="RDH3" s="120"/>
      <c r="RDI3" s="120"/>
      <c r="RDJ3" s="120"/>
      <c r="RDK3" s="120"/>
      <c r="RDL3" s="120"/>
      <c r="RDM3" s="120"/>
      <c r="RDN3" s="120"/>
      <c r="RDO3" s="120"/>
      <c r="RDP3" s="120"/>
      <c r="RDQ3" s="120"/>
      <c r="RDR3" s="120"/>
      <c r="RDS3" s="120"/>
      <c r="RDT3" s="120"/>
      <c r="RDU3" s="120"/>
      <c r="RDV3" s="120"/>
      <c r="RDW3" s="120"/>
      <c r="RDX3" s="120"/>
      <c r="RDY3" s="120"/>
      <c r="RDZ3" s="120"/>
      <c r="REA3" s="120"/>
      <c r="REB3" s="120"/>
      <c r="REC3" s="120"/>
      <c r="RED3" s="120"/>
      <c r="REE3" s="120"/>
      <c r="REF3" s="120"/>
      <c r="REG3" s="120"/>
      <c r="REH3" s="120"/>
      <c r="REI3" s="120"/>
      <c r="REJ3" s="120"/>
      <c r="REK3" s="120"/>
      <c r="REL3" s="120"/>
      <c r="REM3" s="120"/>
      <c r="REN3" s="120"/>
      <c r="REO3" s="120"/>
      <c r="REP3" s="120"/>
      <c r="REQ3" s="120"/>
      <c r="RER3" s="120"/>
      <c r="RES3" s="120"/>
      <c r="RET3" s="120"/>
      <c r="REU3" s="120"/>
      <c r="REV3" s="120"/>
      <c r="REW3" s="120"/>
      <c r="REX3" s="120"/>
      <c r="REY3" s="120"/>
      <c r="REZ3" s="120"/>
      <c r="RFA3" s="120"/>
      <c r="RFB3" s="120"/>
      <c r="RFC3" s="120"/>
      <c r="RFD3" s="120"/>
      <c r="RFE3" s="120"/>
      <c r="RFF3" s="120"/>
      <c r="RFG3" s="120"/>
      <c r="RFH3" s="120"/>
      <c r="RFI3" s="120"/>
      <c r="RFJ3" s="120"/>
      <c r="RFK3" s="120"/>
      <c r="RFL3" s="120"/>
      <c r="RFM3" s="120"/>
      <c r="RFN3" s="120"/>
      <c r="RFO3" s="120"/>
      <c r="RFP3" s="120"/>
      <c r="RFQ3" s="120"/>
      <c r="RFR3" s="120"/>
      <c r="RFS3" s="120"/>
      <c r="RFT3" s="120"/>
      <c r="RFU3" s="120"/>
      <c r="RFV3" s="120"/>
      <c r="RFW3" s="120"/>
      <c r="RFX3" s="120"/>
      <c r="RFY3" s="120"/>
      <c r="RFZ3" s="120"/>
      <c r="RGA3" s="120"/>
      <c r="RGB3" s="120"/>
      <c r="RGC3" s="120"/>
      <c r="RGD3" s="120"/>
      <c r="RGE3" s="120"/>
      <c r="RGF3" s="120"/>
      <c r="RGG3" s="120"/>
      <c r="RGH3" s="120"/>
      <c r="RGI3" s="120"/>
      <c r="RGJ3" s="120"/>
      <c r="RGK3" s="120"/>
      <c r="RGL3" s="120"/>
      <c r="RGM3" s="120"/>
      <c r="RGN3" s="120"/>
      <c r="RGO3" s="120"/>
      <c r="RGP3" s="120"/>
      <c r="RGQ3" s="120"/>
      <c r="RGR3" s="120"/>
      <c r="RGS3" s="120"/>
      <c r="RGT3" s="120"/>
      <c r="RGU3" s="120"/>
      <c r="RGV3" s="120"/>
      <c r="RGW3" s="120"/>
      <c r="RGX3" s="120"/>
      <c r="RGY3" s="120"/>
      <c r="RGZ3" s="120"/>
      <c r="RHA3" s="120"/>
      <c r="RHB3" s="120"/>
      <c r="RHC3" s="120"/>
      <c r="RHD3" s="120"/>
      <c r="RHE3" s="120"/>
      <c r="RHF3" s="120"/>
      <c r="RHG3" s="120"/>
      <c r="RHH3" s="120"/>
      <c r="RHI3" s="120"/>
      <c r="RHJ3" s="120"/>
      <c r="RHK3" s="120"/>
      <c r="RHL3" s="120"/>
      <c r="RHM3" s="120"/>
      <c r="RHN3" s="120"/>
      <c r="RHO3" s="120"/>
      <c r="RHP3" s="120"/>
      <c r="RHQ3" s="120"/>
      <c r="RHR3" s="120"/>
      <c r="RHS3" s="120"/>
      <c r="RHT3" s="120"/>
      <c r="RHU3" s="120"/>
      <c r="RHV3" s="120"/>
      <c r="RHW3" s="120"/>
      <c r="RHX3" s="120"/>
      <c r="RHY3" s="120"/>
      <c r="RHZ3" s="120"/>
      <c r="RIA3" s="120"/>
      <c r="RIB3" s="120"/>
      <c r="RIC3" s="120"/>
      <c r="RID3" s="120"/>
      <c r="RIE3" s="120"/>
      <c r="RIF3" s="120"/>
      <c r="RIG3" s="120"/>
      <c r="RIH3" s="120"/>
      <c r="RII3" s="120"/>
      <c r="RIJ3" s="120"/>
      <c r="RIK3" s="120"/>
      <c r="RIL3" s="120"/>
      <c r="RIM3" s="120"/>
      <c r="RIN3" s="120"/>
      <c r="RIO3" s="120"/>
      <c r="RIP3" s="120"/>
      <c r="RIQ3" s="120"/>
      <c r="RIR3" s="120"/>
      <c r="RIS3" s="120"/>
      <c r="RIT3" s="120"/>
      <c r="RIU3" s="120"/>
      <c r="RIV3" s="120"/>
      <c r="RIW3" s="120"/>
      <c r="RIX3" s="120"/>
      <c r="RIY3" s="120"/>
      <c r="RIZ3" s="120"/>
      <c r="RJA3" s="120"/>
      <c r="RJB3" s="120"/>
      <c r="RJC3" s="120"/>
      <c r="RJD3" s="120"/>
      <c r="RJE3" s="120"/>
      <c r="RJF3" s="120"/>
      <c r="RJG3" s="120"/>
      <c r="RJH3" s="120"/>
      <c r="RJI3" s="120"/>
      <c r="RJJ3" s="120"/>
      <c r="RJK3" s="120"/>
      <c r="RJL3" s="120"/>
      <c r="RJM3" s="120"/>
      <c r="RJN3" s="120"/>
      <c r="RJO3" s="120"/>
      <c r="RJP3" s="120"/>
      <c r="RJQ3" s="120"/>
      <c r="RJR3" s="120"/>
      <c r="RJS3" s="120"/>
      <c r="RJT3" s="120"/>
      <c r="RJU3" s="120"/>
      <c r="RJV3" s="120"/>
      <c r="RJW3" s="120"/>
      <c r="RJX3" s="120"/>
      <c r="RJY3" s="120"/>
      <c r="RJZ3" s="120"/>
      <c r="RKA3" s="120"/>
      <c r="RKB3" s="120"/>
      <c r="RKC3" s="120"/>
      <c r="RKD3" s="120"/>
      <c r="RKE3" s="120"/>
      <c r="RKF3" s="120"/>
      <c r="RKG3" s="120"/>
      <c r="RKH3" s="120"/>
      <c r="RKI3" s="120"/>
      <c r="RKJ3" s="120"/>
      <c r="RKK3" s="120"/>
      <c r="RKL3" s="120"/>
      <c r="RKM3" s="120"/>
      <c r="RKN3" s="120"/>
      <c r="RKO3" s="120"/>
      <c r="RKP3" s="120"/>
      <c r="RKQ3" s="120"/>
      <c r="RKR3" s="120"/>
      <c r="RKS3" s="120"/>
      <c r="RKT3" s="120"/>
      <c r="RKU3" s="120"/>
      <c r="RKV3" s="120"/>
      <c r="RKW3" s="120"/>
      <c r="RKX3" s="120"/>
      <c r="RKY3" s="120"/>
      <c r="RKZ3" s="120"/>
      <c r="RLA3" s="120"/>
      <c r="RLB3" s="120"/>
      <c r="RLC3" s="120"/>
      <c r="RLD3" s="120"/>
      <c r="RLE3" s="120"/>
      <c r="RLF3" s="120"/>
      <c r="RLG3" s="120"/>
      <c r="RLH3" s="120"/>
      <c r="RLI3" s="120"/>
      <c r="RLJ3" s="120"/>
      <c r="RLK3" s="120"/>
      <c r="RLL3" s="120"/>
      <c r="RLM3" s="120"/>
      <c r="RLN3" s="120"/>
      <c r="RLO3" s="120"/>
      <c r="RLP3" s="120"/>
      <c r="RLQ3" s="120"/>
      <c r="RLR3" s="120"/>
      <c r="RLS3" s="120"/>
      <c r="RLT3" s="120"/>
      <c r="RLU3" s="120"/>
      <c r="RLV3" s="120"/>
      <c r="RLW3" s="120"/>
      <c r="RLX3" s="120"/>
      <c r="RLY3" s="120"/>
      <c r="RLZ3" s="120"/>
      <c r="RMA3" s="120"/>
      <c r="RMB3" s="120"/>
      <c r="RMC3" s="120"/>
      <c r="RMD3" s="120"/>
      <c r="RME3" s="120"/>
      <c r="RMF3" s="120"/>
      <c r="RMG3" s="120"/>
      <c r="RMH3" s="120"/>
      <c r="RMI3" s="120"/>
      <c r="RMJ3" s="120"/>
      <c r="RMK3" s="120"/>
      <c r="RML3" s="120"/>
      <c r="RMM3" s="120"/>
      <c r="RMN3" s="120"/>
      <c r="RMO3" s="120"/>
      <c r="RMP3" s="120"/>
      <c r="RMQ3" s="120"/>
      <c r="RMR3" s="120"/>
      <c r="RMS3" s="120"/>
      <c r="RMT3" s="120"/>
      <c r="RMU3" s="120"/>
      <c r="RMV3" s="120"/>
      <c r="RMW3" s="120"/>
      <c r="RMX3" s="120"/>
      <c r="RMY3" s="120"/>
      <c r="RMZ3" s="120"/>
      <c r="RNA3" s="120"/>
      <c r="RNB3" s="120"/>
      <c r="RNC3" s="120"/>
      <c r="RND3" s="120"/>
      <c r="RNE3" s="120"/>
      <c r="RNF3" s="120"/>
      <c r="RNG3" s="120"/>
      <c r="RNH3" s="120"/>
      <c r="RNI3" s="120"/>
      <c r="RNJ3" s="120"/>
      <c r="RNK3" s="120"/>
      <c r="RNL3" s="120"/>
      <c r="RNM3" s="120"/>
      <c r="RNN3" s="120"/>
      <c r="RNO3" s="120"/>
      <c r="RNP3" s="120"/>
      <c r="RNQ3" s="120"/>
      <c r="RNR3" s="120"/>
      <c r="RNS3" s="120"/>
      <c r="RNT3" s="120"/>
      <c r="RNU3" s="120"/>
      <c r="RNV3" s="120"/>
      <c r="RNW3" s="120"/>
      <c r="RNX3" s="120"/>
      <c r="RNY3" s="120"/>
      <c r="RNZ3" s="120"/>
      <c r="ROA3" s="120"/>
      <c r="ROB3" s="120"/>
      <c r="ROC3" s="120"/>
      <c r="ROD3" s="120"/>
      <c r="ROE3" s="120"/>
      <c r="ROF3" s="120"/>
      <c r="ROG3" s="120"/>
      <c r="ROH3" s="120"/>
      <c r="ROI3" s="120"/>
      <c r="ROJ3" s="120"/>
      <c r="ROK3" s="120"/>
      <c r="ROL3" s="120"/>
      <c r="ROM3" s="120"/>
      <c r="RON3" s="120"/>
      <c r="ROO3" s="120"/>
      <c r="ROP3" s="120"/>
      <c r="ROQ3" s="120"/>
      <c r="ROR3" s="120"/>
      <c r="ROS3" s="120"/>
      <c r="ROT3" s="120"/>
      <c r="ROU3" s="120"/>
      <c r="ROV3" s="120"/>
      <c r="ROW3" s="120"/>
      <c r="ROX3" s="120"/>
      <c r="ROY3" s="120"/>
      <c r="ROZ3" s="120"/>
      <c r="RPA3" s="120"/>
      <c r="RPB3" s="120"/>
      <c r="RPC3" s="120"/>
      <c r="RPD3" s="120"/>
      <c r="RPE3" s="120"/>
      <c r="RPF3" s="120"/>
      <c r="RPG3" s="120"/>
      <c r="RPH3" s="120"/>
      <c r="RPI3" s="120"/>
      <c r="RPJ3" s="120"/>
      <c r="RPK3" s="120"/>
      <c r="RPL3" s="120"/>
      <c r="RPM3" s="120"/>
      <c r="RPN3" s="120"/>
      <c r="RPO3" s="120"/>
      <c r="RPP3" s="120"/>
      <c r="RPQ3" s="120"/>
      <c r="RPR3" s="120"/>
      <c r="RPS3" s="120"/>
      <c r="RPT3" s="120"/>
      <c r="RPU3" s="120"/>
      <c r="RPV3" s="120"/>
      <c r="RPW3" s="120"/>
      <c r="RPX3" s="120"/>
      <c r="RPY3" s="120"/>
      <c r="RPZ3" s="120"/>
      <c r="RQA3" s="120"/>
      <c r="RQB3" s="120"/>
      <c r="RQC3" s="120"/>
      <c r="RQD3" s="120"/>
      <c r="RQE3" s="120"/>
      <c r="RQF3" s="120"/>
      <c r="RQG3" s="120"/>
      <c r="RQH3" s="120"/>
      <c r="RQI3" s="120"/>
      <c r="RQJ3" s="120"/>
      <c r="RQK3" s="120"/>
      <c r="RQL3" s="120"/>
      <c r="RQM3" s="120"/>
      <c r="RQN3" s="120"/>
      <c r="RQO3" s="120"/>
      <c r="RQP3" s="120"/>
      <c r="RQQ3" s="120"/>
      <c r="RQR3" s="120"/>
      <c r="RQS3" s="120"/>
      <c r="RQT3" s="120"/>
      <c r="RQU3" s="120"/>
      <c r="RQV3" s="120"/>
      <c r="RQW3" s="120"/>
      <c r="RQX3" s="120"/>
      <c r="RQY3" s="120"/>
      <c r="RQZ3" s="120"/>
      <c r="RRA3" s="120"/>
      <c r="RRB3" s="120"/>
      <c r="RRC3" s="120"/>
      <c r="RRD3" s="120"/>
      <c r="RRE3" s="120"/>
      <c r="RRF3" s="120"/>
      <c r="RRG3" s="120"/>
      <c r="RRH3" s="120"/>
      <c r="RRI3" s="120"/>
      <c r="RRJ3" s="120"/>
      <c r="RRK3" s="120"/>
      <c r="RRL3" s="120"/>
      <c r="RRM3" s="120"/>
      <c r="RRN3" s="120"/>
      <c r="RRO3" s="120"/>
      <c r="RRP3" s="120"/>
      <c r="RRQ3" s="120"/>
      <c r="RRR3" s="120"/>
      <c r="RRS3" s="120"/>
      <c r="RRT3" s="120"/>
      <c r="RRU3" s="120"/>
      <c r="RRV3" s="120"/>
      <c r="RRW3" s="120"/>
      <c r="RRX3" s="120"/>
      <c r="RRY3" s="120"/>
      <c r="RRZ3" s="120"/>
      <c r="RSA3" s="120"/>
      <c r="RSB3" s="120"/>
      <c r="RSC3" s="120"/>
      <c r="RSD3" s="120"/>
      <c r="RSE3" s="120"/>
      <c r="RSF3" s="120"/>
      <c r="RSG3" s="120"/>
      <c r="RSH3" s="120"/>
      <c r="RSI3" s="120"/>
      <c r="RSJ3" s="120"/>
      <c r="RSK3" s="120"/>
      <c r="RSL3" s="120"/>
      <c r="RSM3" s="120"/>
      <c r="RSN3" s="120"/>
      <c r="RSO3" s="120"/>
      <c r="RSP3" s="120"/>
      <c r="RSQ3" s="120"/>
      <c r="RSR3" s="120"/>
      <c r="RSS3" s="120"/>
      <c r="RST3" s="120"/>
      <c r="RSU3" s="120"/>
      <c r="RSV3" s="120"/>
      <c r="RSW3" s="120"/>
      <c r="RSX3" s="120"/>
      <c r="RSY3" s="120"/>
      <c r="RSZ3" s="120"/>
      <c r="RTA3" s="120"/>
      <c r="RTB3" s="120"/>
      <c r="RTC3" s="120"/>
      <c r="RTD3" s="120"/>
      <c r="RTE3" s="120"/>
      <c r="RTF3" s="120"/>
      <c r="RTG3" s="120"/>
      <c r="RTH3" s="120"/>
      <c r="RTI3" s="120"/>
      <c r="RTJ3" s="120"/>
      <c r="RTK3" s="120"/>
      <c r="RTL3" s="120"/>
      <c r="RTM3" s="120"/>
      <c r="RTN3" s="120"/>
      <c r="RTO3" s="120"/>
      <c r="RTP3" s="120"/>
      <c r="RTQ3" s="120"/>
      <c r="RTR3" s="120"/>
      <c r="RTS3" s="120"/>
      <c r="RTT3" s="120"/>
      <c r="RTU3" s="120"/>
      <c r="RTV3" s="120"/>
      <c r="RTW3" s="120"/>
      <c r="RTX3" s="120"/>
      <c r="RTY3" s="120"/>
      <c r="RTZ3" s="120"/>
      <c r="RUA3" s="120"/>
      <c r="RUB3" s="120"/>
      <c r="RUC3" s="120"/>
      <c r="RUD3" s="120"/>
      <c r="RUE3" s="120"/>
      <c r="RUF3" s="120"/>
      <c r="RUG3" s="120"/>
      <c r="RUH3" s="120"/>
      <c r="RUI3" s="120"/>
      <c r="RUJ3" s="120"/>
      <c r="RUK3" s="120"/>
      <c r="RUL3" s="120"/>
      <c r="RUM3" s="120"/>
      <c r="RUN3" s="120"/>
      <c r="RUO3" s="120"/>
      <c r="RUP3" s="120"/>
      <c r="RUQ3" s="120"/>
      <c r="RUR3" s="120"/>
      <c r="RUS3" s="120"/>
      <c r="RUT3" s="120"/>
      <c r="RUU3" s="120"/>
      <c r="RUV3" s="120"/>
      <c r="RUW3" s="120"/>
      <c r="RUX3" s="120"/>
      <c r="RUY3" s="120"/>
      <c r="RUZ3" s="120"/>
      <c r="RVA3" s="120"/>
      <c r="RVB3" s="120"/>
      <c r="RVC3" s="120"/>
      <c r="RVD3" s="120"/>
      <c r="RVE3" s="120"/>
      <c r="RVF3" s="120"/>
      <c r="RVG3" s="120"/>
      <c r="RVH3" s="120"/>
      <c r="RVI3" s="120"/>
      <c r="RVJ3" s="120"/>
      <c r="RVK3" s="120"/>
      <c r="RVL3" s="120"/>
      <c r="RVM3" s="120"/>
      <c r="RVN3" s="120"/>
      <c r="RVO3" s="120"/>
      <c r="RVP3" s="120"/>
      <c r="RVQ3" s="120"/>
      <c r="RVR3" s="120"/>
      <c r="RVS3" s="120"/>
      <c r="RVT3" s="120"/>
      <c r="RVU3" s="120"/>
      <c r="RVV3" s="120"/>
      <c r="RVW3" s="120"/>
      <c r="RVX3" s="120"/>
      <c r="RVY3" s="120"/>
      <c r="RVZ3" s="120"/>
      <c r="RWA3" s="120"/>
      <c r="RWB3" s="120"/>
      <c r="RWC3" s="120"/>
      <c r="RWD3" s="120"/>
      <c r="RWE3" s="120"/>
      <c r="RWF3" s="120"/>
      <c r="RWG3" s="120"/>
      <c r="RWH3" s="120"/>
      <c r="RWI3" s="120"/>
      <c r="RWJ3" s="120"/>
      <c r="RWK3" s="120"/>
      <c r="RWL3" s="120"/>
      <c r="RWM3" s="120"/>
      <c r="RWN3" s="120"/>
      <c r="RWO3" s="120"/>
      <c r="RWP3" s="120"/>
      <c r="RWQ3" s="120"/>
      <c r="RWR3" s="120"/>
      <c r="RWS3" s="120"/>
      <c r="RWT3" s="120"/>
      <c r="RWU3" s="120"/>
      <c r="RWV3" s="120"/>
      <c r="RWW3" s="120"/>
      <c r="RWX3" s="120"/>
      <c r="RWY3" s="120"/>
      <c r="RWZ3" s="120"/>
      <c r="RXA3" s="120"/>
      <c r="RXB3" s="120"/>
      <c r="RXC3" s="120"/>
      <c r="RXD3" s="120"/>
      <c r="RXE3" s="120"/>
      <c r="RXF3" s="120"/>
      <c r="RXG3" s="120"/>
      <c r="RXH3" s="120"/>
      <c r="RXI3" s="120"/>
      <c r="RXJ3" s="120"/>
      <c r="RXK3" s="120"/>
      <c r="RXL3" s="120"/>
      <c r="RXM3" s="120"/>
      <c r="RXN3" s="120"/>
      <c r="RXO3" s="120"/>
      <c r="RXP3" s="120"/>
      <c r="RXQ3" s="120"/>
      <c r="RXR3" s="120"/>
      <c r="RXS3" s="120"/>
      <c r="RXT3" s="120"/>
      <c r="RXU3" s="120"/>
      <c r="RXV3" s="120"/>
      <c r="RXW3" s="120"/>
      <c r="RXX3" s="120"/>
      <c r="RXY3" s="120"/>
      <c r="RXZ3" s="120"/>
      <c r="RYA3" s="120"/>
      <c r="RYB3" s="120"/>
      <c r="RYC3" s="120"/>
      <c r="RYD3" s="120"/>
      <c r="RYE3" s="120"/>
      <c r="RYF3" s="120"/>
      <c r="RYG3" s="120"/>
      <c r="RYH3" s="120"/>
      <c r="RYI3" s="120"/>
      <c r="RYJ3" s="120"/>
      <c r="RYK3" s="120"/>
      <c r="RYL3" s="120"/>
      <c r="RYM3" s="120"/>
      <c r="RYN3" s="120"/>
      <c r="RYO3" s="120"/>
      <c r="RYP3" s="120"/>
      <c r="RYQ3" s="120"/>
      <c r="RYR3" s="120"/>
      <c r="RYS3" s="120"/>
      <c r="RYT3" s="120"/>
      <c r="RYU3" s="120"/>
      <c r="RYV3" s="120"/>
      <c r="RYW3" s="120"/>
      <c r="RYX3" s="120"/>
      <c r="RYY3" s="120"/>
      <c r="RYZ3" s="120"/>
      <c r="RZA3" s="120"/>
      <c r="RZB3" s="120"/>
      <c r="RZC3" s="120"/>
      <c r="RZD3" s="120"/>
      <c r="RZE3" s="120"/>
      <c r="RZF3" s="120"/>
      <c r="RZG3" s="120"/>
      <c r="RZH3" s="120"/>
      <c r="RZI3" s="120"/>
      <c r="RZJ3" s="120"/>
      <c r="RZK3" s="120"/>
      <c r="RZL3" s="120"/>
      <c r="RZM3" s="120"/>
      <c r="RZN3" s="120"/>
      <c r="RZO3" s="120"/>
      <c r="RZP3" s="120"/>
      <c r="RZQ3" s="120"/>
      <c r="RZR3" s="120"/>
      <c r="RZS3" s="120"/>
      <c r="RZT3" s="120"/>
      <c r="RZU3" s="120"/>
      <c r="RZV3" s="120"/>
      <c r="RZW3" s="120"/>
      <c r="RZX3" s="120"/>
      <c r="RZY3" s="120"/>
      <c r="RZZ3" s="120"/>
      <c r="SAA3" s="120"/>
      <c r="SAB3" s="120"/>
      <c r="SAC3" s="120"/>
      <c r="SAD3" s="120"/>
      <c r="SAE3" s="120"/>
      <c r="SAF3" s="120"/>
      <c r="SAG3" s="120"/>
      <c r="SAH3" s="120"/>
      <c r="SAI3" s="120"/>
      <c r="SAJ3" s="120"/>
      <c r="SAK3" s="120"/>
      <c r="SAL3" s="120"/>
      <c r="SAM3" s="120"/>
      <c r="SAN3" s="120"/>
      <c r="SAO3" s="120"/>
      <c r="SAP3" s="120"/>
      <c r="SAQ3" s="120"/>
      <c r="SAR3" s="120"/>
      <c r="SAS3" s="120"/>
      <c r="SAT3" s="120"/>
      <c r="SAU3" s="120"/>
      <c r="SAV3" s="120"/>
      <c r="SAW3" s="120"/>
      <c r="SAX3" s="120"/>
      <c r="SAY3" s="120"/>
      <c r="SAZ3" s="120"/>
      <c r="SBA3" s="120"/>
      <c r="SBB3" s="120"/>
      <c r="SBC3" s="120"/>
      <c r="SBD3" s="120"/>
      <c r="SBE3" s="120"/>
      <c r="SBF3" s="120"/>
      <c r="SBG3" s="120"/>
      <c r="SBH3" s="120"/>
      <c r="SBI3" s="120"/>
      <c r="SBJ3" s="120"/>
      <c r="SBK3" s="120"/>
      <c r="SBL3" s="120"/>
      <c r="SBM3" s="120"/>
      <c r="SBN3" s="120"/>
      <c r="SBO3" s="120"/>
      <c r="SBP3" s="120"/>
      <c r="SBQ3" s="120"/>
      <c r="SBR3" s="120"/>
      <c r="SBS3" s="120"/>
      <c r="SBT3" s="120"/>
      <c r="SBU3" s="120"/>
      <c r="SBV3" s="120"/>
      <c r="SBW3" s="120"/>
      <c r="SBX3" s="120"/>
      <c r="SBY3" s="120"/>
      <c r="SBZ3" s="120"/>
      <c r="SCA3" s="120"/>
      <c r="SCB3" s="120"/>
      <c r="SCC3" s="120"/>
      <c r="SCD3" s="120"/>
      <c r="SCE3" s="120"/>
      <c r="SCF3" s="120"/>
      <c r="SCG3" s="120"/>
      <c r="SCH3" s="120"/>
      <c r="SCI3" s="120"/>
      <c r="SCJ3" s="120"/>
      <c r="SCK3" s="120"/>
      <c r="SCL3" s="120"/>
      <c r="SCM3" s="120"/>
      <c r="SCN3" s="120"/>
      <c r="SCO3" s="120"/>
      <c r="SCP3" s="120"/>
      <c r="SCQ3" s="120"/>
      <c r="SCR3" s="120"/>
      <c r="SCS3" s="120"/>
      <c r="SCT3" s="120"/>
      <c r="SCU3" s="120"/>
      <c r="SCV3" s="120"/>
      <c r="SCW3" s="120"/>
      <c r="SCX3" s="120"/>
      <c r="SCY3" s="120"/>
      <c r="SCZ3" s="120"/>
      <c r="SDA3" s="120"/>
      <c r="SDB3" s="120"/>
      <c r="SDC3" s="120"/>
      <c r="SDD3" s="120"/>
      <c r="SDE3" s="120"/>
      <c r="SDF3" s="120"/>
      <c r="SDG3" s="120"/>
      <c r="SDH3" s="120"/>
      <c r="SDI3" s="120"/>
      <c r="SDJ3" s="120"/>
      <c r="SDK3" s="120"/>
      <c r="SDL3" s="120"/>
      <c r="SDM3" s="120"/>
      <c r="SDN3" s="120"/>
      <c r="SDO3" s="120"/>
      <c r="SDP3" s="120"/>
      <c r="SDQ3" s="120"/>
      <c r="SDR3" s="120"/>
      <c r="SDS3" s="120"/>
      <c r="SDT3" s="120"/>
      <c r="SDU3" s="120"/>
      <c r="SDV3" s="120"/>
      <c r="SDW3" s="120"/>
      <c r="SDX3" s="120"/>
      <c r="SDY3" s="120"/>
      <c r="SDZ3" s="120"/>
      <c r="SEA3" s="120"/>
      <c r="SEB3" s="120"/>
      <c r="SEC3" s="120"/>
      <c r="SED3" s="120"/>
      <c r="SEE3" s="120"/>
      <c r="SEF3" s="120"/>
      <c r="SEG3" s="120"/>
      <c r="SEH3" s="120"/>
      <c r="SEI3" s="120"/>
      <c r="SEJ3" s="120"/>
      <c r="SEK3" s="120"/>
      <c r="SEL3" s="120"/>
      <c r="SEM3" s="120"/>
      <c r="SEN3" s="120"/>
      <c r="SEO3" s="120"/>
      <c r="SEP3" s="120"/>
      <c r="SEQ3" s="120"/>
      <c r="SER3" s="120"/>
      <c r="SES3" s="120"/>
      <c r="SET3" s="120"/>
      <c r="SEU3" s="120"/>
      <c r="SEV3" s="120"/>
      <c r="SEW3" s="120"/>
      <c r="SEX3" s="120"/>
      <c r="SEY3" s="120"/>
      <c r="SEZ3" s="120"/>
      <c r="SFA3" s="120"/>
      <c r="SFB3" s="120"/>
      <c r="SFC3" s="120"/>
      <c r="SFD3" s="120"/>
      <c r="SFE3" s="120"/>
      <c r="SFF3" s="120"/>
      <c r="SFG3" s="120"/>
      <c r="SFH3" s="120"/>
      <c r="SFI3" s="120"/>
      <c r="SFJ3" s="120"/>
      <c r="SFK3" s="120"/>
      <c r="SFL3" s="120"/>
      <c r="SFM3" s="120"/>
      <c r="SFN3" s="120"/>
      <c r="SFO3" s="120"/>
      <c r="SFP3" s="120"/>
      <c r="SFQ3" s="120"/>
      <c r="SFR3" s="120"/>
      <c r="SFS3" s="120"/>
      <c r="SFT3" s="120"/>
      <c r="SFU3" s="120"/>
      <c r="SFV3" s="120"/>
      <c r="SFW3" s="120"/>
      <c r="SFX3" s="120"/>
      <c r="SFY3" s="120"/>
      <c r="SFZ3" s="120"/>
      <c r="SGA3" s="120"/>
      <c r="SGB3" s="120"/>
      <c r="SGC3" s="120"/>
      <c r="SGD3" s="120"/>
      <c r="SGE3" s="120"/>
      <c r="SGF3" s="120"/>
      <c r="SGG3" s="120"/>
      <c r="SGH3" s="120"/>
      <c r="SGI3" s="120"/>
      <c r="SGJ3" s="120"/>
      <c r="SGK3" s="120"/>
      <c r="SGL3" s="120"/>
      <c r="SGM3" s="120"/>
      <c r="SGN3" s="120"/>
      <c r="SGO3" s="120"/>
      <c r="SGP3" s="120"/>
      <c r="SGQ3" s="120"/>
      <c r="SGR3" s="120"/>
      <c r="SGS3" s="120"/>
      <c r="SGT3" s="120"/>
      <c r="SGU3" s="120"/>
      <c r="SGV3" s="120"/>
      <c r="SGW3" s="120"/>
      <c r="SGX3" s="120"/>
      <c r="SGY3" s="120"/>
      <c r="SGZ3" s="120"/>
      <c r="SHA3" s="120"/>
      <c r="SHB3" s="120"/>
      <c r="SHC3" s="120"/>
      <c r="SHD3" s="120"/>
      <c r="SHE3" s="120"/>
      <c r="SHF3" s="120"/>
      <c r="SHG3" s="120"/>
      <c r="SHH3" s="120"/>
      <c r="SHI3" s="120"/>
      <c r="SHJ3" s="120"/>
      <c r="SHK3" s="120"/>
      <c r="SHL3" s="120"/>
      <c r="SHM3" s="120"/>
      <c r="SHN3" s="120"/>
      <c r="SHO3" s="120"/>
      <c r="SHP3" s="120"/>
      <c r="SHQ3" s="120"/>
      <c r="SHR3" s="120"/>
      <c r="SHS3" s="120"/>
      <c r="SHT3" s="120"/>
      <c r="SHU3" s="120"/>
      <c r="SHV3" s="120"/>
      <c r="SHW3" s="120"/>
      <c r="SHX3" s="120"/>
      <c r="SHY3" s="120"/>
      <c r="SHZ3" s="120"/>
      <c r="SIA3" s="120"/>
      <c r="SIB3" s="120"/>
      <c r="SIC3" s="120"/>
      <c r="SID3" s="120"/>
      <c r="SIE3" s="120"/>
      <c r="SIF3" s="120"/>
      <c r="SIG3" s="120"/>
      <c r="SIH3" s="120"/>
      <c r="SII3" s="120"/>
      <c r="SIJ3" s="120"/>
      <c r="SIK3" s="120"/>
      <c r="SIL3" s="120"/>
      <c r="SIM3" s="120"/>
      <c r="SIN3" s="120"/>
      <c r="SIO3" s="120"/>
      <c r="SIP3" s="120"/>
      <c r="SIQ3" s="120"/>
      <c r="SIR3" s="120"/>
      <c r="SIS3" s="120"/>
      <c r="SIT3" s="120"/>
      <c r="SIU3" s="120"/>
      <c r="SIV3" s="120"/>
      <c r="SIW3" s="120"/>
      <c r="SIX3" s="120"/>
      <c r="SIY3" s="120"/>
      <c r="SIZ3" s="120"/>
      <c r="SJA3" s="120"/>
      <c r="SJB3" s="120"/>
      <c r="SJC3" s="120"/>
      <c r="SJD3" s="120"/>
      <c r="SJE3" s="120"/>
      <c r="SJF3" s="120"/>
      <c r="SJG3" s="120"/>
      <c r="SJH3" s="120"/>
      <c r="SJI3" s="120"/>
      <c r="SJJ3" s="120"/>
      <c r="SJK3" s="120"/>
      <c r="SJL3" s="120"/>
      <c r="SJM3" s="120"/>
      <c r="SJN3" s="120"/>
      <c r="SJO3" s="120"/>
      <c r="SJP3" s="120"/>
      <c r="SJQ3" s="120"/>
      <c r="SJR3" s="120"/>
      <c r="SJS3" s="120"/>
      <c r="SJT3" s="120"/>
      <c r="SJU3" s="120"/>
      <c r="SJV3" s="120"/>
      <c r="SJW3" s="120"/>
      <c r="SJX3" s="120"/>
      <c r="SJY3" s="120"/>
      <c r="SJZ3" s="120"/>
      <c r="SKA3" s="120"/>
      <c r="SKB3" s="120"/>
      <c r="SKC3" s="120"/>
      <c r="SKD3" s="120"/>
      <c r="SKE3" s="120"/>
      <c r="SKF3" s="120"/>
      <c r="SKG3" s="120"/>
      <c r="SKH3" s="120"/>
      <c r="SKI3" s="120"/>
      <c r="SKJ3" s="120"/>
      <c r="SKK3" s="120"/>
      <c r="SKL3" s="120"/>
      <c r="SKM3" s="120"/>
      <c r="SKN3" s="120"/>
      <c r="SKO3" s="120"/>
      <c r="SKP3" s="120"/>
      <c r="SKQ3" s="120"/>
      <c r="SKR3" s="120"/>
      <c r="SKS3" s="120"/>
      <c r="SKT3" s="120"/>
      <c r="SKU3" s="120"/>
      <c r="SKV3" s="120"/>
      <c r="SKW3" s="120"/>
      <c r="SKX3" s="120"/>
      <c r="SKY3" s="120"/>
      <c r="SKZ3" s="120"/>
      <c r="SLA3" s="120"/>
      <c r="SLB3" s="120"/>
      <c r="SLC3" s="120"/>
      <c r="SLD3" s="120"/>
      <c r="SLE3" s="120"/>
      <c r="SLF3" s="120"/>
      <c r="SLG3" s="120"/>
      <c r="SLH3" s="120"/>
      <c r="SLI3" s="120"/>
      <c r="SLJ3" s="120"/>
      <c r="SLK3" s="120"/>
      <c r="SLL3" s="120"/>
      <c r="SLM3" s="120"/>
      <c r="SLN3" s="120"/>
      <c r="SLO3" s="120"/>
      <c r="SLP3" s="120"/>
      <c r="SLQ3" s="120"/>
      <c r="SLR3" s="120"/>
      <c r="SLS3" s="120"/>
      <c r="SLT3" s="120"/>
      <c r="SLU3" s="120"/>
      <c r="SLV3" s="120"/>
      <c r="SLW3" s="120"/>
      <c r="SLX3" s="120"/>
      <c r="SLY3" s="120"/>
      <c r="SLZ3" s="120"/>
      <c r="SMA3" s="120"/>
      <c r="SMB3" s="120"/>
      <c r="SMC3" s="120"/>
      <c r="SMD3" s="120"/>
      <c r="SME3" s="120"/>
      <c r="SMF3" s="120"/>
      <c r="SMG3" s="120"/>
      <c r="SMH3" s="120"/>
      <c r="SMI3" s="120"/>
      <c r="SMJ3" s="120"/>
      <c r="SMK3" s="120"/>
      <c r="SML3" s="120"/>
      <c r="SMM3" s="120"/>
      <c r="SMN3" s="120"/>
      <c r="SMO3" s="120"/>
      <c r="SMP3" s="120"/>
      <c r="SMQ3" s="120"/>
      <c r="SMR3" s="120"/>
      <c r="SMS3" s="120"/>
      <c r="SMT3" s="120"/>
      <c r="SMU3" s="120"/>
      <c r="SMV3" s="120"/>
      <c r="SMW3" s="120"/>
      <c r="SMX3" s="120"/>
      <c r="SMY3" s="120"/>
      <c r="SMZ3" s="120"/>
      <c r="SNA3" s="120"/>
      <c r="SNB3" s="120"/>
      <c r="SNC3" s="120"/>
      <c r="SND3" s="120"/>
      <c r="SNE3" s="120"/>
      <c r="SNF3" s="120"/>
      <c r="SNG3" s="120"/>
      <c r="SNH3" s="120"/>
      <c r="SNI3" s="120"/>
      <c r="SNJ3" s="120"/>
      <c r="SNK3" s="120"/>
      <c r="SNL3" s="120"/>
      <c r="SNM3" s="120"/>
      <c r="SNN3" s="120"/>
      <c r="SNO3" s="120"/>
      <c r="SNP3" s="120"/>
      <c r="SNQ3" s="120"/>
      <c r="SNR3" s="120"/>
      <c r="SNS3" s="120"/>
      <c r="SNT3" s="120"/>
      <c r="SNU3" s="120"/>
      <c r="SNV3" s="120"/>
      <c r="SNW3" s="120"/>
      <c r="SNX3" s="120"/>
      <c r="SNY3" s="120"/>
      <c r="SNZ3" s="120"/>
      <c r="SOA3" s="120"/>
      <c r="SOB3" s="120"/>
      <c r="SOC3" s="120"/>
      <c r="SOD3" s="120"/>
      <c r="SOE3" s="120"/>
      <c r="SOF3" s="120"/>
      <c r="SOG3" s="120"/>
      <c r="SOH3" s="120"/>
      <c r="SOI3" s="120"/>
      <c r="SOJ3" s="120"/>
      <c r="SOK3" s="120"/>
      <c r="SOL3" s="120"/>
      <c r="SOM3" s="120"/>
      <c r="SON3" s="120"/>
      <c r="SOO3" s="120"/>
      <c r="SOP3" s="120"/>
      <c r="SOQ3" s="120"/>
      <c r="SOR3" s="120"/>
      <c r="SOS3" s="120"/>
      <c r="SOT3" s="120"/>
      <c r="SOU3" s="120"/>
      <c r="SOV3" s="120"/>
      <c r="SOW3" s="120"/>
      <c r="SOX3" s="120"/>
      <c r="SOY3" s="120"/>
      <c r="SOZ3" s="120"/>
      <c r="SPA3" s="120"/>
      <c r="SPB3" s="120"/>
      <c r="SPC3" s="120"/>
      <c r="SPD3" s="120"/>
      <c r="SPE3" s="120"/>
      <c r="SPF3" s="120"/>
      <c r="SPG3" s="120"/>
      <c r="SPH3" s="120"/>
      <c r="SPI3" s="120"/>
      <c r="SPJ3" s="120"/>
      <c r="SPK3" s="120"/>
      <c r="SPL3" s="120"/>
      <c r="SPM3" s="120"/>
      <c r="SPN3" s="120"/>
      <c r="SPO3" s="120"/>
      <c r="SPP3" s="120"/>
      <c r="SPQ3" s="120"/>
      <c r="SPR3" s="120"/>
      <c r="SPS3" s="120"/>
      <c r="SPT3" s="120"/>
      <c r="SPU3" s="120"/>
      <c r="SPV3" s="120"/>
      <c r="SPW3" s="120"/>
      <c r="SPX3" s="120"/>
      <c r="SPY3" s="120"/>
      <c r="SPZ3" s="120"/>
      <c r="SQA3" s="120"/>
      <c r="SQB3" s="120"/>
      <c r="SQC3" s="120"/>
      <c r="SQD3" s="120"/>
      <c r="SQE3" s="120"/>
      <c r="SQF3" s="120"/>
      <c r="SQG3" s="120"/>
      <c r="SQH3" s="120"/>
      <c r="SQI3" s="120"/>
      <c r="SQJ3" s="120"/>
      <c r="SQK3" s="120"/>
      <c r="SQL3" s="120"/>
      <c r="SQM3" s="120"/>
      <c r="SQN3" s="120"/>
      <c r="SQO3" s="120"/>
      <c r="SQP3" s="120"/>
      <c r="SQQ3" s="120"/>
      <c r="SQR3" s="120"/>
      <c r="SQS3" s="120"/>
      <c r="SQT3" s="120"/>
      <c r="SQU3" s="120"/>
      <c r="SQV3" s="120"/>
      <c r="SQW3" s="120"/>
      <c r="SQX3" s="120"/>
      <c r="SQY3" s="120"/>
      <c r="SQZ3" s="120"/>
      <c r="SRA3" s="120"/>
      <c r="SRB3" s="120"/>
      <c r="SRC3" s="120"/>
      <c r="SRD3" s="120"/>
      <c r="SRE3" s="120"/>
      <c r="SRF3" s="120"/>
      <c r="SRG3" s="120"/>
      <c r="SRH3" s="120"/>
      <c r="SRI3" s="120"/>
      <c r="SRJ3" s="120"/>
      <c r="SRK3" s="120"/>
      <c r="SRL3" s="120"/>
      <c r="SRM3" s="120"/>
      <c r="SRN3" s="120"/>
      <c r="SRO3" s="120"/>
      <c r="SRP3" s="120"/>
      <c r="SRQ3" s="120"/>
      <c r="SRR3" s="120"/>
      <c r="SRS3" s="120"/>
      <c r="SRT3" s="120"/>
      <c r="SRU3" s="120"/>
      <c r="SRV3" s="120"/>
      <c r="SRW3" s="120"/>
      <c r="SRX3" s="120"/>
      <c r="SRY3" s="120"/>
      <c r="SRZ3" s="120"/>
      <c r="SSA3" s="120"/>
      <c r="SSB3" s="120"/>
      <c r="SSC3" s="120"/>
      <c r="SSD3" s="120"/>
      <c r="SSE3" s="120"/>
      <c r="SSF3" s="120"/>
      <c r="SSG3" s="120"/>
      <c r="SSH3" s="120"/>
      <c r="SSI3" s="120"/>
      <c r="SSJ3" s="120"/>
      <c r="SSK3" s="120"/>
      <c r="SSL3" s="120"/>
      <c r="SSM3" s="120"/>
      <c r="SSN3" s="120"/>
      <c r="SSO3" s="120"/>
      <c r="SSP3" s="120"/>
      <c r="SSQ3" s="120"/>
      <c r="SSR3" s="120"/>
      <c r="SSS3" s="120"/>
      <c r="SST3" s="120"/>
      <c r="SSU3" s="120"/>
      <c r="SSV3" s="120"/>
      <c r="SSW3" s="120"/>
      <c r="SSX3" s="120"/>
      <c r="SSY3" s="120"/>
      <c r="SSZ3" s="120"/>
      <c r="STA3" s="120"/>
      <c r="STB3" s="120"/>
      <c r="STC3" s="120"/>
      <c r="STD3" s="120"/>
      <c r="STE3" s="120"/>
      <c r="STF3" s="120"/>
      <c r="STG3" s="120"/>
      <c r="STH3" s="120"/>
      <c r="STI3" s="120"/>
      <c r="STJ3" s="120"/>
      <c r="STK3" s="120"/>
      <c r="STL3" s="120"/>
      <c r="STM3" s="120"/>
      <c r="STN3" s="120"/>
      <c r="STO3" s="120"/>
      <c r="STP3" s="120"/>
      <c r="STQ3" s="120"/>
      <c r="STR3" s="120"/>
      <c r="STS3" s="120"/>
      <c r="STT3" s="120"/>
      <c r="STU3" s="120"/>
      <c r="STV3" s="120"/>
      <c r="STW3" s="120"/>
      <c r="STX3" s="120"/>
      <c r="STY3" s="120"/>
      <c r="STZ3" s="120"/>
      <c r="SUA3" s="120"/>
      <c r="SUB3" s="120"/>
      <c r="SUC3" s="120"/>
      <c r="SUD3" s="120"/>
      <c r="SUE3" s="120"/>
      <c r="SUF3" s="120"/>
      <c r="SUG3" s="120"/>
      <c r="SUH3" s="120"/>
      <c r="SUI3" s="120"/>
      <c r="SUJ3" s="120"/>
      <c r="SUK3" s="120"/>
      <c r="SUL3" s="120"/>
      <c r="SUM3" s="120"/>
      <c r="SUN3" s="120"/>
      <c r="SUO3" s="120"/>
      <c r="SUP3" s="120"/>
      <c r="SUQ3" s="120"/>
      <c r="SUR3" s="120"/>
      <c r="SUS3" s="120"/>
      <c r="SUT3" s="120"/>
      <c r="SUU3" s="120"/>
      <c r="SUV3" s="120"/>
      <c r="SUW3" s="120"/>
      <c r="SUX3" s="120"/>
      <c r="SUY3" s="120"/>
      <c r="SUZ3" s="120"/>
      <c r="SVA3" s="120"/>
      <c r="SVB3" s="120"/>
      <c r="SVC3" s="120"/>
      <c r="SVD3" s="120"/>
      <c r="SVE3" s="120"/>
      <c r="SVF3" s="120"/>
      <c r="SVG3" s="120"/>
      <c r="SVH3" s="120"/>
      <c r="SVI3" s="120"/>
      <c r="SVJ3" s="120"/>
      <c r="SVK3" s="120"/>
      <c r="SVL3" s="120"/>
      <c r="SVM3" s="120"/>
      <c r="SVN3" s="120"/>
      <c r="SVO3" s="120"/>
      <c r="SVP3" s="120"/>
      <c r="SVQ3" s="120"/>
      <c r="SVR3" s="120"/>
      <c r="SVS3" s="120"/>
      <c r="SVT3" s="120"/>
      <c r="SVU3" s="120"/>
      <c r="SVV3" s="120"/>
      <c r="SVW3" s="120"/>
      <c r="SVX3" s="120"/>
      <c r="SVY3" s="120"/>
      <c r="SVZ3" s="120"/>
      <c r="SWA3" s="120"/>
      <c r="SWB3" s="120"/>
      <c r="SWC3" s="120"/>
      <c r="SWD3" s="120"/>
      <c r="SWE3" s="120"/>
      <c r="SWF3" s="120"/>
      <c r="SWG3" s="120"/>
      <c r="SWH3" s="120"/>
      <c r="SWI3" s="120"/>
      <c r="SWJ3" s="120"/>
      <c r="SWK3" s="120"/>
      <c r="SWL3" s="120"/>
      <c r="SWM3" s="120"/>
      <c r="SWN3" s="120"/>
      <c r="SWO3" s="120"/>
      <c r="SWP3" s="120"/>
      <c r="SWQ3" s="120"/>
      <c r="SWR3" s="120"/>
      <c r="SWS3" s="120"/>
      <c r="SWT3" s="120"/>
      <c r="SWU3" s="120"/>
      <c r="SWV3" s="120"/>
      <c r="SWW3" s="120"/>
      <c r="SWX3" s="120"/>
      <c r="SWY3" s="120"/>
      <c r="SWZ3" s="120"/>
      <c r="SXA3" s="120"/>
      <c r="SXB3" s="120"/>
      <c r="SXC3" s="120"/>
      <c r="SXD3" s="120"/>
      <c r="SXE3" s="120"/>
      <c r="SXF3" s="120"/>
      <c r="SXG3" s="120"/>
      <c r="SXH3" s="120"/>
      <c r="SXI3" s="120"/>
      <c r="SXJ3" s="120"/>
      <c r="SXK3" s="120"/>
      <c r="SXL3" s="120"/>
      <c r="SXM3" s="120"/>
      <c r="SXN3" s="120"/>
      <c r="SXO3" s="120"/>
      <c r="SXP3" s="120"/>
      <c r="SXQ3" s="120"/>
      <c r="SXR3" s="120"/>
      <c r="SXS3" s="120"/>
      <c r="SXT3" s="120"/>
      <c r="SXU3" s="120"/>
      <c r="SXV3" s="120"/>
      <c r="SXW3" s="120"/>
      <c r="SXX3" s="120"/>
      <c r="SXY3" s="120"/>
      <c r="SXZ3" s="120"/>
      <c r="SYA3" s="120"/>
      <c r="SYB3" s="120"/>
      <c r="SYC3" s="120"/>
      <c r="SYD3" s="120"/>
      <c r="SYE3" s="120"/>
      <c r="SYF3" s="120"/>
      <c r="SYG3" s="120"/>
      <c r="SYH3" s="120"/>
      <c r="SYI3" s="120"/>
      <c r="SYJ3" s="120"/>
      <c r="SYK3" s="120"/>
      <c r="SYL3" s="120"/>
      <c r="SYM3" s="120"/>
      <c r="SYN3" s="120"/>
      <c r="SYO3" s="120"/>
      <c r="SYP3" s="120"/>
      <c r="SYQ3" s="120"/>
      <c r="SYR3" s="120"/>
      <c r="SYS3" s="120"/>
      <c r="SYT3" s="120"/>
      <c r="SYU3" s="120"/>
      <c r="SYV3" s="120"/>
      <c r="SYW3" s="120"/>
      <c r="SYX3" s="120"/>
      <c r="SYY3" s="120"/>
      <c r="SYZ3" s="120"/>
      <c r="SZA3" s="120"/>
      <c r="SZB3" s="120"/>
      <c r="SZC3" s="120"/>
      <c r="SZD3" s="120"/>
      <c r="SZE3" s="120"/>
      <c r="SZF3" s="120"/>
      <c r="SZG3" s="120"/>
      <c r="SZH3" s="120"/>
      <c r="SZI3" s="120"/>
      <c r="SZJ3" s="120"/>
      <c r="SZK3" s="120"/>
      <c r="SZL3" s="120"/>
      <c r="SZM3" s="120"/>
      <c r="SZN3" s="120"/>
      <c r="SZO3" s="120"/>
      <c r="SZP3" s="120"/>
      <c r="SZQ3" s="120"/>
      <c r="SZR3" s="120"/>
      <c r="SZS3" s="120"/>
      <c r="SZT3" s="120"/>
      <c r="SZU3" s="120"/>
      <c r="SZV3" s="120"/>
      <c r="SZW3" s="120"/>
      <c r="SZX3" s="120"/>
      <c r="SZY3" s="120"/>
      <c r="SZZ3" s="120"/>
      <c r="TAA3" s="120"/>
      <c r="TAB3" s="120"/>
      <c r="TAC3" s="120"/>
      <c r="TAD3" s="120"/>
      <c r="TAE3" s="120"/>
      <c r="TAF3" s="120"/>
      <c r="TAG3" s="120"/>
      <c r="TAH3" s="120"/>
      <c r="TAI3" s="120"/>
      <c r="TAJ3" s="120"/>
      <c r="TAK3" s="120"/>
      <c r="TAL3" s="120"/>
      <c r="TAM3" s="120"/>
      <c r="TAN3" s="120"/>
      <c r="TAO3" s="120"/>
      <c r="TAP3" s="120"/>
      <c r="TAQ3" s="120"/>
      <c r="TAR3" s="120"/>
      <c r="TAS3" s="120"/>
      <c r="TAT3" s="120"/>
      <c r="TAU3" s="120"/>
      <c r="TAV3" s="120"/>
      <c r="TAW3" s="120"/>
      <c r="TAX3" s="120"/>
      <c r="TAY3" s="120"/>
      <c r="TAZ3" s="120"/>
      <c r="TBA3" s="120"/>
      <c r="TBB3" s="120"/>
      <c r="TBC3" s="120"/>
      <c r="TBD3" s="120"/>
      <c r="TBE3" s="120"/>
      <c r="TBF3" s="120"/>
      <c r="TBG3" s="120"/>
      <c r="TBH3" s="120"/>
      <c r="TBI3" s="120"/>
      <c r="TBJ3" s="120"/>
      <c r="TBK3" s="120"/>
      <c r="TBL3" s="120"/>
      <c r="TBM3" s="120"/>
      <c r="TBN3" s="120"/>
      <c r="TBO3" s="120"/>
      <c r="TBP3" s="120"/>
      <c r="TBQ3" s="120"/>
      <c r="TBR3" s="120"/>
      <c r="TBS3" s="120"/>
      <c r="TBT3" s="120"/>
      <c r="TBU3" s="120"/>
      <c r="TBV3" s="120"/>
      <c r="TBW3" s="120"/>
      <c r="TBX3" s="120"/>
      <c r="TBY3" s="120"/>
      <c r="TBZ3" s="120"/>
      <c r="TCA3" s="120"/>
      <c r="TCB3" s="120"/>
      <c r="TCC3" s="120"/>
      <c r="TCD3" s="120"/>
      <c r="TCE3" s="120"/>
      <c r="TCF3" s="120"/>
      <c r="TCG3" s="120"/>
      <c r="TCH3" s="120"/>
      <c r="TCI3" s="120"/>
      <c r="TCJ3" s="120"/>
      <c r="TCK3" s="120"/>
      <c r="TCL3" s="120"/>
      <c r="TCM3" s="120"/>
      <c r="TCN3" s="120"/>
      <c r="TCO3" s="120"/>
      <c r="TCP3" s="120"/>
      <c r="TCQ3" s="120"/>
      <c r="TCR3" s="120"/>
      <c r="TCS3" s="120"/>
      <c r="TCT3" s="120"/>
      <c r="TCU3" s="120"/>
      <c r="TCV3" s="120"/>
      <c r="TCW3" s="120"/>
      <c r="TCX3" s="120"/>
      <c r="TCY3" s="120"/>
      <c r="TCZ3" s="120"/>
      <c r="TDA3" s="120"/>
      <c r="TDB3" s="120"/>
      <c r="TDC3" s="120"/>
      <c r="TDD3" s="120"/>
      <c r="TDE3" s="120"/>
      <c r="TDF3" s="120"/>
      <c r="TDG3" s="120"/>
      <c r="TDH3" s="120"/>
      <c r="TDI3" s="120"/>
      <c r="TDJ3" s="120"/>
      <c r="TDK3" s="120"/>
      <c r="TDL3" s="120"/>
      <c r="TDM3" s="120"/>
      <c r="TDN3" s="120"/>
      <c r="TDO3" s="120"/>
      <c r="TDP3" s="120"/>
      <c r="TDQ3" s="120"/>
      <c r="TDR3" s="120"/>
      <c r="TDS3" s="120"/>
      <c r="TDT3" s="120"/>
      <c r="TDU3" s="120"/>
      <c r="TDV3" s="120"/>
      <c r="TDW3" s="120"/>
      <c r="TDX3" s="120"/>
      <c r="TDY3" s="120"/>
      <c r="TDZ3" s="120"/>
      <c r="TEA3" s="120"/>
      <c r="TEB3" s="120"/>
      <c r="TEC3" s="120"/>
      <c r="TED3" s="120"/>
      <c r="TEE3" s="120"/>
      <c r="TEF3" s="120"/>
      <c r="TEG3" s="120"/>
      <c r="TEH3" s="120"/>
      <c r="TEI3" s="120"/>
      <c r="TEJ3" s="120"/>
      <c r="TEK3" s="120"/>
      <c r="TEL3" s="120"/>
      <c r="TEM3" s="120"/>
      <c r="TEN3" s="120"/>
      <c r="TEO3" s="120"/>
      <c r="TEP3" s="120"/>
      <c r="TEQ3" s="120"/>
      <c r="TER3" s="120"/>
      <c r="TES3" s="120"/>
      <c r="TET3" s="120"/>
      <c r="TEU3" s="120"/>
      <c r="TEV3" s="120"/>
      <c r="TEW3" s="120"/>
      <c r="TEX3" s="120"/>
      <c r="TEY3" s="120"/>
      <c r="TEZ3" s="120"/>
      <c r="TFA3" s="120"/>
      <c r="TFB3" s="120"/>
      <c r="TFC3" s="120"/>
      <c r="TFD3" s="120"/>
      <c r="TFE3" s="120"/>
      <c r="TFF3" s="120"/>
      <c r="TFG3" s="120"/>
      <c r="TFH3" s="120"/>
      <c r="TFI3" s="120"/>
      <c r="TFJ3" s="120"/>
      <c r="TFK3" s="120"/>
      <c r="TFL3" s="120"/>
      <c r="TFM3" s="120"/>
      <c r="TFN3" s="120"/>
      <c r="TFO3" s="120"/>
      <c r="TFP3" s="120"/>
      <c r="TFQ3" s="120"/>
      <c r="TFR3" s="120"/>
      <c r="TFS3" s="120"/>
      <c r="TFT3" s="120"/>
      <c r="TFU3" s="120"/>
      <c r="TFV3" s="120"/>
      <c r="TFW3" s="120"/>
      <c r="TFX3" s="120"/>
      <c r="TFY3" s="120"/>
      <c r="TFZ3" s="120"/>
      <c r="TGA3" s="120"/>
      <c r="TGB3" s="120"/>
      <c r="TGC3" s="120"/>
      <c r="TGD3" s="120"/>
      <c r="TGE3" s="120"/>
      <c r="TGF3" s="120"/>
      <c r="TGG3" s="120"/>
      <c r="TGH3" s="120"/>
      <c r="TGI3" s="120"/>
      <c r="TGJ3" s="120"/>
      <c r="TGK3" s="120"/>
      <c r="TGL3" s="120"/>
      <c r="TGM3" s="120"/>
      <c r="TGN3" s="120"/>
      <c r="TGO3" s="120"/>
      <c r="TGP3" s="120"/>
      <c r="TGQ3" s="120"/>
      <c r="TGR3" s="120"/>
      <c r="TGS3" s="120"/>
      <c r="TGT3" s="120"/>
      <c r="TGU3" s="120"/>
      <c r="TGV3" s="120"/>
      <c r="TGW3" s="120"/>
      <c r="TGX3" s="120"/>
      <c r="TGY3" s="120"/>
      <c r="TGZ3" s="120"/>
      <c r="THA3" s="120"/>
      <c r="THB3" s="120"/>
      <c r="THC3" s="120"/>
      <c r="THD3" s="120"/>
      <c r="THE3" s="120"/>
      <c r="THF3" s="120"/>
      <c r="THG3" s="120"/>
      <c r="THH3" s="120"/>
      <c r="THI3" s="120"/>
      <c r="THJ3" s="120"/>
      <c r="THK3" s="120"/>
      <c r="THL3" s="120"/>
      <c r="THM3" s="120"/>
      <c r="THN3" s="120"/>
      <c r="THO3" s="120"/>
      <c r="THP3" s="120"/>
      <c r="THQ3" s="120"/>
      <c r="THR3" s="120"/>
      <c r="THS3" s="120"/>
      <c r="THT3" s="120"/>
      <c r="THU3" s="120"/>
      <c r="THV3" s="120"/>
      <c r="THW3" s="120"/>
      <c r="THX3" s="120"/>
      <c r="THY3" s="120"/>
      <c r="THZ3" s="120"/>
      <c r="TIA3" s="120"/>
      <c r="TIB3" s="120"/>
      <c r="TIC3" s="120"/>
      <c r="TID3" s="120"/>
      <c r="TIE3" s="120"/>
      <c r="TIF3" s="120"/>
      <c r="TIG3" s="120"/>
      <c r="TIH3" s="120"/>
      <c r="TII3" s="120"/>
      <c r="TIJ3" s="120"/>
      <c r="TIK3" s="120"/>
      <c r="TIL3" s="120"/>
      <c r="TIM3" s="120"/>
      <c r="TIN3" s="120"/>
      <c r="TIO3" s="120"/>
      <c r="TIP3" s="120"/>
      <c r="TIQ3" s="120"/>
      <c r="TIR3" s="120"/>
      <c r="TIS3" s="120"/>
      <c r="TIT3" s="120"/>
      <c r="TIU3" s="120"/>
      <c r="TIV3" s="120"/>
      <c r="TIW3" s="120"/>
      <c r="TIX3" s="120"/>
      <c r="TIY3" s="120"/>
      <c r="TIZ3" s="120"/>
      <c r="TJA3" s="120"/>
      <c r="TJB3" s="120"/>
      <c r="TJC3" s="120"/>
      <c r="TJD3" s="120"/>
      <c r="TJE3" s="120"/>
      <c r="TJF3" s="120"/>
      <c r="TJG3" s="120"/>
      <c r="TJH3" s="120"/>
      <c r="TJI3" s="120"/>
      <c r="TJJ3" s="120"/>
      <c r="TJK3" s="120"/>
      <c r="TJL3" s="120"/>
      <c r="TJM3" s="120"/>
      <c r="TJN3" s="120"/>
      <c r="TJO3" s="120"/>
      <c r="TJP3" s="120"/>
      <c r="TJQ3" s="120"/>
      <c r="TJR3" s="120"/>
      <c r="TJS3" s="120"/>
      <c r="TJT3" s="120"/>
      <c r="TJU3" s="120"/>
      <c r="TJV3" s="120"/>
      <c r="TJW3" s="120"/>
      <c r="TJX3" s="120"/>
      <c r="TJY3" s="120"/>
      <c r="TJZ3" s="120"/>
      <c r="TKA3" s="120"/>
      <c r="TKB3" s="120"/>
      <c r="TKC3" s="120"/>
      <c r="TKD3" s="120"/>
      <c r="TKE3" s="120"/>
      <c r="TKF3" s="120"/>
      <c r="TKG3" s="120"/>
      <c r="TKH3" s="120"/>
      <c r="TKI3" s="120"/>
      <c r="TKJ3" s="120"/>
      <c r="TKK3" s="120"/>
      <c r="TKL3" s="120"/>
      <c r="TKM3" s="120"/>
      <c r="TKN3" s="120"/>
      <c r="TKO3" s="120"/>
      <c r="TKP3" s="120"/>
      <c r="TKQ3" s="120"/>
      <c r="TKR3" s="120"/>
      <c r="TKS3" s="120"/>
      <c r="TKT3" s="120"/>
      <c r="TKU3" s="120"/>
      <c r="TKV3" s="120"/>
      <c r="TKW3" s="120"/>
      <c r="TKX3" s="120"/>
      <c r="TKY3" s="120"/>
      <c r="TKZ3" s="120"/>
      <c r="TLA3" s="120"/>
      <c r="TLB3" s="120"/>
      <c r="TLC3" s="120"/>
      <c r="TLD3" s="120"/>
      <c r="TLE3" s="120"/>
      <c r="TLF3" s="120"/>
      <c r="TLG3" s="120"/>
      <c r="TLH3" s="120"/>
      <c r="TLI3" s="120"/>
      <c r="TLJ3" s="120"/>
      <c r="TLK3" s="120"/>
      <c r="TLL3" s="120"/>
      <c r="TLM3" s="120"/>
      <c r="TLN3" s="120"/>
      <c r="TLO3" s="120"/>
      <c r="TLP3" s="120"/>
      <c r="TLQ3" s="120"/>
      <c r="TLR3" s="120"/>
      <c r="TLS3" s="120"/>
      <c r="TLT3" s="120"/>
      <c r="TLU3" s="120"/>
      <c r="TLV3" s="120"/>
      <c r="TLW3" s="120"/>
      <c r="TLX3" s="120"/>
      <c r="TLY3" s="120"/>
      <c r="TLZ3" s="120"/>
      <c r="TMA3" s="120"/>
      <c r="TMB3" s="120"/>
      <c r="TMC3" s="120"/>
      <c r="TMD3" s="120"/>
      <c r="TME3" s="120"/>
      <c r="TMF3" s="120"/>
      <c r="TMG3" s="120"/>
      <c r="TMH3" s="120"/>
      <c r="TMI3" s="120"/>
      <c r="TMJ3" s="120"/>
      <c r="TMK3" s="120"/>
      <c r="TML3" s="120"/>
      <c r="TMM3" s="120"/>
      <c r="TMN3" s="120"/>
      <c r="TMO3" s="120"/>
      <c r="TMP3" s="120"/>
      <c r="TMQ3" s="120"/>
      <c r="TMR3" s="120"/>
      <c r="TMS3" s="120"/>
      <c r="TMT3" s="120"/>
      <c r="TMU3" s="120"/>
      <c r="TMV3" s="120"/>
      <c r="TMW3" s="120"/>
      <c r="TMX3" s="120"/>
      <c r="TMY3" s="120"/>
      <c r="TMZ3" s="120"/>
      <c r="TNA3" s="120"/>
      <c r="TNB3" s="120"/>
      <c r="TNC3" s="120"/>
      <c r="TND3" s="120"/>
      <c r="TNE3" s="120"/>
      <c r="TNF3" s="120"/>
      <c r="TNG3" s="120"/>
      <c r="TNH3" s="120"/>
      <c r="TNI3" s="120"/>
      <c r="TNJ3" s="120"/>
      <c r="TNK3" s="120"/>
      <c r="TNL3" s="120"/>
      <c r="TNM3" s="120"/>
      <c r="TNN3" s="120"/>
      <c r="TNO3" s="120"/>
      <c r="TNP3" s="120"/>
      <c r="TNQ3" s="120"/>
      <c r="TNR3" s="120"/>
      <c r="TNS3" s="120"/>
      <c r="TNT3" s="120"/>
      <c r="TNU3" s="120"/>
      <c r="TNV3" s="120"/>
      <c r="TNW3" s="120"/>
      <c r="TNX3" s="120"/>
      <c r="TNY3" s="120"/>
      <c r="TNZ3" s="120"/>
      <c r="TOA3" s="120"/>
      <c r="TOB3" s="120"/>
      <c r="TOC3" s="120"/>
      <c r="TOD3" s="120"/>
      <c r="TOE3" s="120"/>
      <c r="TOF3" s="120"/>
      <c r="TOG3" s="120"/>
      <c r="TOH3" s="120"/>
      <c r="TOI3" s="120"/>
      <c r="TOJ3" s="120"/>
      <c r="TOK3" s="120"/>
      <c r="TOL3" s="120"/>
      <c r="TOM3" s="120"/>
      <c r="TON3" s="120"/>
      <c r="TOO3" s="120"/>
      <c r="TOP3" s="120"/>
      <c r="TOQ3" s="120"/>
      <c r="TOR3" s="120"/>
      <c r="TOS3" s="120"/>
      <c r="TOT3" s="120"/>
      <c r="TOU3" s="120"/>
      <c r="TOV3" s="120"/>
      <c r="TOW3" s="120"/>
      <c r="TOX3" s="120"/>
      <c r="TOY3" s="120"/>
      <c r="TOZ3" s="120"/>
      <c r="TPA3" s="120"/>
      <c r="TPB3" s="120"/>
      <c r="TPC3" s="120"/>
      <c r="TPD3" s="120"/>
      <c r="TPE3" s="120"/>
      <c r="TPF3" s="120"/>
      <c r="TPG3" s="120"/>
      <c r="TPH3" s="120"/>
      <c r="TPI3" s="120"/>
      <c r="TPJ3" s="120"/>
      <c r="TPK3" s="120"/>
      <c r="TPL3" s="120"/>
      <c r="TPM3" s="120"/>
      <c r="TPN3" s="120"/>
      <c r="TPO3" s="120"/>
      <c r="TPP3" s="120"/>
      <c r="TPQ3" s="120"/>
      <c r="TPR3" s="120"/>
      <c r="TPS3" s="120"/>
      <c r="TPT3" s="120"/>
      <c r="TPU3" s="120"/>
      <c r="TPV3" s="120"/>
      <c r="TPW3" s="120"/>
      <c r="TPX3" s="120"/>
      <c r="TPY3" s="120"/>
      <c r="TPZ3" s="120"/>
      <c r="TQA3" s="120"/>
      <c r="TQB3" s="120"/>
      <c r="TQC3" s="120"/>
      <c r="TQD3" s="120"/>
      <c r="TQE3" s="120"/>
      <c r="TQF3" s="120"/>
      <c r="TQG3" s="120"/>
      <c r="TQH3" s="120"/>
      <c r="TQI3" s="120"/>
      <c r="TQJ3" s="120"/>
      <c r="TQK3" s="120"/>
      <c r="TQL3" s="120"/>
      <c r="TQM3" s="120"/>
      <c r="TQN3" s="120"/>
      <c r="TQO3" s="120"/>
      <c r="TQP3" s="120"/>
      <c r="TQQ3" s="120"/>
      <c r="TQR3" s="120"/>
      <c r="TQS3" s="120"/>
      <c r="TQT3" s="120"/>
      <c r="TQU3" s="120"/>
      <c r="TQV3" s="120"/>
      <c r="TQW3" s="120"/>
      <c r="TQX3" s="120"/>
      <c r="TQY3" s="120"/>
      <c r="TQZ3" s="120"/>
      <c r="TRA3" s="120"/>
      <c r="TRB3" s="120"/>
      <c r="TRC3" s="120"/>
      <c r="TRD3" s="120"/>
      <c r="TRE3" s="120"/>
      <c r="TRF3" s="120"/>
      <c r="TRG3" s="120"/>
      <c r="TRH3" s="120"/>
      <c r="TRI3" s="120"/>
      <c r="TRJ3" s="120"/>
      <c r="TRK3" s="120"/>
      <c r="TRL3" s="120"/>
      <c r="TRM3" s="120"/>
      <c r="TRN3" s="120"/>
      <c r="TRO3" s="120"/>
      <c r="TRP3" s="120"/>
      <c r="TRQ3" s="120"/>
      <c r="TRR3" s="120"/>
      <c r="TRS3" s="120"/>
      <c r="TRT3" s="120"/>
      <c r="TRU3" s="120"/>
      <c r="TRV3" s="120"/>
      <c r="TRW3" s="120"/>
      <c r="TRX3" s="120"/>
      <c r="TRY3" s="120"/>
      <c r="TRZ3" s="120"/>
      <c r="TSA3" s="120"/>
      <c r="TSB3" s="120"/>
      <c r="TSC3" s="120"/>
      <c r="TSD3" s="120"/>
      <c r="TSE3" s="120"/>
      <c r="TSF3" s="120"/>
      <c r="TSG3" s="120"/>
      <c r="TSH3" s="120"/>
      <c r="TSI3" s="120"/>
      <c r="TSJ3" s="120"/>
      <c r="TSK3" s="120"/>
      <c r="TSL3" s="120"/>
      <c r="TSM3" s="120"/>
      <c r="TSN3" s="120"/>
      <c r="TSO3" s="120"/>
      <c r="TSP3" s="120"/>
      <c r="TSQ3" s="120"/>
      <c r="TSR3" s="120"/>
      <c r="TSS3" s="120"/>
      <c r="TST3" s="120"/>
      <c r="TSU3" s="120"/>
      <c r="TSV3" s="120"/>
      <c r="TSW3" s="120"/>
      <c r="TSX3" s="120"/>
      <c r="TSY3" s="120"/>
      <c r="TSZ3" s="120"/>
      <c r="TTA3" s="120"/>
      <c r="TTB3" s="120"/>
      <c r="TTC3" s="120"/>
      <c r="TTD3" s="120"/>
      <c r="TTE3" s="120"/>
      <c r="TTF3" s="120"/>
      <c r="TTG3" s="120"/>
      <c r="TTH3" s="120"/>
      <c r="TTI3" s="120"/>
      <c r="TTJ3" s="120"/>
      <c r="TTK3" s="120"/>
      <c r="TTL3" s="120"/>
      <c r="TTM3" s="120"/>
      <c r="TTN3" s="120"/>
      <c r="TTO3" s="120"/>
      <c r="TTP3" s="120"/>
      <c r="TTQ3" s="120"/>
      <c r="TTR3" s="120"/>
      <c r="TTS3" s="120"/>
      <c r="TTT3" s="120"/>
      <c r="TTU3" s="120"/>
      <c r="TTV3" s="120"/>
      <c r="TTW3" s="120"/>
      <c r="TTX3" s="120"/>
      <c r="TTY3" s="120"/>
      <c r="TTZ3" s="120"/>
      <c r="TUA3" s="120"/>
      <c r="TUB3" s="120"/>
      <c r="TUC3" s="120"/>
      <c r="TUD3" s="120"/>
      <c r="TUE3" s="120"/>
      <c r="TUF3" s="120"/>
      <c r="TUG3" s="120"/>
      <c r="TUH3" s="120"/>
      <c r="TUI3" s="120"/>
      <c r="TUJ3" s="120"/>
      <c r="TUK3" s="120"/>
      <c r="TUL3" s="120"/>
      <c r="TUM3" s="120"/>
      <c r="TUN3" s="120"/>
      <c r="TUO3" s="120"/>
      <c r="TUP3" s="120"/>
      <c r="TUQ3" s="120"/>
      <c r="TUR3" s="120"/>
      <c r="TUS3" s="120"/>
      <c r="TUT3" s="120"/>
      <c r="TUU3" s="120"/>
      <c r="TUV3" s="120"/>
      <c r="TUW3" s="120"/>
      <c r="TUX3" s="120"/>
      <c r="TUY3" s="120"/>
      <c r="TUZ3" s="120"/>
      <c r="TVA3" s="120"/>
      <c r="TVB3" s="120"/>
      <c r="TVC3" s="120"/>
      <c r="TVD3" s="120"/>
      <c r="TVE3" s="120"/>
      <c r="TVF3" s="120"/>
      <c r="TVG3" s="120"/>
      <c r="TVH3" s="120"/>
      <c r="TVI3" s="120"/>
      <c r="TVJ3" s="120"/>
      <c r="TVK3" s="120"/>
      <c r="TVL3" s="120"/>
      <c r="TVM3" s="120"/>
      <c r="TVN3" s="120"/>
      <c r="TVO3" s="120"/>
      <c r="TVP3" s="120"/>
      <c r="TVQ3" s="120"/>
      <c r="TVR3" s="120"/>
      <c r="TVS3" s="120"/>
      <c r="TVT3" s="120"/>
      <c r="TVU3" s="120"/>
      <c r="TVV3" s="120"/>
      <c r="TVW3" s="120"/>
      <c r="TVX3" s="120"/>
      <c r="TVY3" s="120"/>
      <c r="TVZ3" s="120"/>
      <c r="TWA3" s="120"/>
      <c r="TWB3" s="120"/>
      <c r="TWC3" s="120"/>
      <c r="TWD3" s="120"/>
      <c r="TWE3" s="120"/>
      <c r="TWF3" s="120"/>
      <c r="TWG3" s="120"/>
      <c r="TWH3" s="120"/>
      <c r="TWI3" s="120"/>
      <c r="TWJ3" s="120"/>
      <c r="TWK3" s="120"/>
      <c r="TWL3" s="120"/>
      <c r="TWM3" s="120"/>
      <c r="TWN3" s="120"/>
      <c r="TWO3" s="120"/>
      <c r="TWP3" s="120"/>
      <c r="TWQ3" s="120"/>
      <c r="TWR3" s="120"/>
      <c r="TWS3" s="120"/>
      <c r="TWT3" s="120"/>
      <c r="TWU3" s="120"/>
      <c r="TWV3" s="120"/>
      <c r="TWW3" s="120"/>
      <c r="TWX3" s="120"/>
      <c r="TWY3" s="120"/>
      <c r="TWZ3" s="120"/>
      <c r="TXA3" s="120"/>
      <c r="TXB3" s="120"/>
      <c r="TXC3" s="120"/>
      <c r="TXD3" s="120"/>
      <c r="TXE3" s="120"/>
      <c r="TXF3" s="120"/>
      <c r="TXG3" s="120"/>
      <c r="TXH3" s="120"/>
      <c r="TXI3" s="120"/>
      <c r="TXJ3" s="120"/>
      <c r="TXK3" s="120"/>
      <c r="TXL3" s="120"/>
      <c r="TXM3" s="120"/>
      <c r="TXN3" s="120"/>
      <c r="TXO3" s="120"/>
      <c r="TXP3" s="120"/>
      <c r="TXQ3" s="120"/>
      <c r="TXR3" s="120"/>
      <c r="TXS3" s="120"/>
      <c r="TXT3" s="120"/>
      <c r="TXU3" s="120"/>
      <c r="TXV3" s="120"/>
      <c r="TXW3" s="120"/>
      <c r="TXX3" s="120"/>
      <c r="TXY3" s="120"/>
      <c r="TXZ3" s="120"/>
      <c r="TYA3" s="120"/>
      <c r="TYB3" s="120"/>
      <c r="TYC3" s="120"/>
      <c r="TYD3" s="120"/>
      <c r="TYE3" s="120"/>
      <c r="TYF3" s="120"/>
      <c r="TYG3" s="120"/>
      <c r="TYH3" s="120"/>
      <c r="TYI3" s="120"/>
      <c r="TYJ3" s="120"/>
      <c r="TYK3" s="120"/>
      <c r="TYL3" s="120"/>
      <c r="TYM3" s="120"/>
      <c r="TYN3" s="120"/>
      <c r="TYO3" s="120"/>
      <c r="TYP3" s="120"/>
      <c r="TYQ3" s="120"/>
      <c r="TYR3" s="120"/>
      <c r="TYS3" s="120"/>
      <c r="TYT3" s="120"/>
      <c r="TYU3" s="120"/>
      <c r="TYV3" s="120"/>
      <c r="TYW3" s="120"/>
      <c r="TYX3" s="120"/>
      <c r="TYY3" s="120"/>
      <c r="TYZ3" s="120"/>
      <c r="TZA3" s="120"/>
      <c r="TZB3" s="120"/>
      <c r="TZC3" s="120"/>
      <c r="TZD3" s="120"/>
      <c r="TZE3" s="120"/>
      <c r="TZF3" s="120"/>
      <c r="TZG3" s="120"/>
      <c r="TZH3" s="120"/>
      <c r="TZI3" s="120"/>
      <c r="TZJ3" s="120"/>
      <c r="TZK3" s="120"/>
      <c r="TZL3" s="120"/>
      <c r="TZM3" s="120"/>
      <c r="TZN3" s="120"/>
      <c r="TZO3" s="120"/>
      <c r="TZP3" s="120"/>
      <c r="TZQ3" s="120"/>
      <c r="TZR3" s="120"/>
      <c r="TZS3" s="120"/>
      <c r="TZT3" s="120"/>
      <c r="TZU3" s="120"/>
      <c r="TZV3" s="120"/>
      <c r="TZW3" s="120"/>
      <c r="TZX3" s="120"/>
      <c r="TZY3" s="120"/>
      <c r="TZZ3" s="120"/>
      <c r="UAA3" s="120"/>
      <c r="UAB3" s="120"/>
      <c r="UAC3" s="120"/>
      <c r="UAD3" s="120"/>
      <c r="UAE3" s="120"/>
      <c r="UAF3" s="120"/>
      <c r="UAG3" s="120"/>
      <c r="UAH3" s="120"/>
      <c r="UAI3" s="120"/>
      <c r="UAJ3" s="120"/>
      <c r="UAK3" s="120"/>
      <c r="UAL3" s="120"/>
      <c r="UAM3" s="120"/>
      <c r="UAN3" s="120"/>
      <c r="UAO3" s="120"/>
      <c r="UAP3" s="120"/>
      <c r="UAQ3" s="120"/>
      <c r="UAR3" s="120"/>
      <c r="UAS3" s="120"/>
      <c r="UAT3" s="120"/>
      <c r="UAU3" s="120"/>
      <c r="UAV3" s="120"/>
      <c r="UAW3" s="120"/>
      <c r="UAX3" s="120"/>
      <c r="UAY3" s="120"/>
      <c r="UAZ3" s="120"/>
      <c r="UBA3" s="120"/>
      <c r="UBB3" s="120"/>
      <c r="UBC3" s="120"/>
      <c r="UBD3" s="120"/>
      <c r="UBE3" s="120"/>
      <c r="UBF3" s="120"/>
      <c r="UBG3" s="120"/>
      <c r="UBH3" s="120"/>
      <c r="UBI3" s="120"/>
      <c r="UBJ3" s="120"/>
      <c r="UBK3" s="120"/>
      <c r="UBL3" s="120"/>
      <c r="UBM3" s="120"/>
      <c r="UBN3" s="120"/>
      <c r="UBO3" s="120"/>
      <c r="UBP3" s="120"/>
      <c r="UBQ3" s="120"/>
      <c r="UBR3" s="120"/>
      <c r="UBS3" s="120"/>
      <c r="UBT3" s="120"/>
      <c r="UBU3" s="120"/>
      <c r="UBV3" s="120"/>
      <c r="UBW3" s="120"/>
      <c r="UBX3" s="120"/>
      <c r="UBY3" s="120"/>
      <c r="UBZ3" s="120"/>
      <c r="UCA3" s="120"/>
      <c r="UCB3" s="120"/>
      <c r="UCC3" s="120"/>
      <c r="UCD3" s="120"/>
      <c r="UCE3" s="120"/>
      <c r="UCF3" s="120"/>
      <c r="UCG3" s="120"/>
      <c r="UCH3" s="120"/>
      <c r="UCI3" s="120"/>
      <c r="UCJ3" s="120"/>
      <c r="UCK3" s="120"/>
      <c r="UCL3" s="120"/>
      <c r="UCM3" s="120"/>
      <c r="UCN3" s="120"/>
      <c r="UCO3" s="120"/>
      <c r="UCP3" s="120"/>
      <c r="UCQ3" s="120"/>
      <c r="UCR3" s="120"/>
      <c r="UCS3" s="120"/>
      <c r="UCT3" s="120"/>
      <c r="UCU3" s="120"/>
      <c r="UCV3" s="120"/>
      <c r="UCW3" s="120"/>
      <c r="UCX3" s="120"/>
      <c r="UCY3" s="120"/>
      <c r="UCZ3" s="120"/>
      <c r="UDA3" s="120"/>
      <c r="UDB3" s="120"/>
      <c r="UDC3" s="120"/>
      <c r="UDD3" s="120"/>
      <c r="UDE3" s="120"/>
      <c r="UDF3" s="120"/>
      <c r="UDG3" s="120"/>
      <c r="UDH3" s="120"/>
      <c r="UDI3" s="120"/>
      <c r="UDJ3" s="120"/>
      <c r="UDK3" s="120"/>
      <c r="UDL3" s="120"/>
      <c r="UDM3" s="120"/>
      <c r="UDN3" s="120"/>
      <c r="UDO3" s="120"/>
      <c r="UDP3" s="120"/>
      <c r="UDQ3" s="120"/>
      <c r="UDR3" s="120"/>
      <c r="UDS3" s="120"/>
      <c r="UDT3" s="120"/>
      <c r="UDU3" s="120"/>
      <c r="UDV3" s="120"/>
      <c r="UDW3" s="120"/>
      <c r="UDX3" s="120"/>
      <c r="UDY3" s="120"/>
      <c r="UDZ3" s="120"/>
      <c r="UEA3" s="120"/>
      <c r="UEB3" s="120"/>
      <c r="UEC3" s="120"/>
      <c r="UED3" s="120"/>
      <c r="UEE3" s="120"/>
      <c r="UEF3" s="120"/>
      <c r="UEG3" s="120"/>
      <c r="UEH3" s="120"/>
      <c r="UEI3" s="120"/>
      <c r="UEJ3" s="120"/>
      <c r="UEK3" s="120"/>
      <c r="UEL3" s="120"/>
      <c r="UEM3" s="120"/>
      <c r="UEN3" s="120"/>
      <c r="UEO3" s="120"/>
      <c r="UEP3" s="120"/>
      <c r="UEQ3" s="120"/>
      <c r="UER3" s="120"/>
      <c r="UES3" s="120"/>
      <c r="UET3" s="120"/>
      <c r="UEU3" s="120"/>
      <c r="UEV3" s="120"/>
      <c r="UEW3" s="120"/>
      <c r="UEX3" s="120"/>
      <c r="UEY3" s="120"/>
      <c r="UEZ3" s="120"/>
      <c r="UFA3" s="120"/>
      <c r="UFB3" s="120"/>
      <c r="UFC3" s="120"/>
      <c r="UFD3" s="120"/>
      <c r="UFE3" s="120"/>
      <c r="UFF3" s="120"/>
      <c r="UFG3" s="120"/>
      <c r="UFH3" s="120"/>
      <c r="UFI3" s="120"/>
      <c r="UFJ3" s="120"/>
      <c r="UFK3" s="120"/>
      <c r="UFL3" s="120"/>
      <c r="UFM3" s="120"/>
      <c r="UFN3" s="120"/>
      <c r="UFO3" s="120"/>
      <c r="UFP3" s="120"/>
      <c r="UFQ3" s="120"/>
      <c r="UFR3" s="120"/>
      <c r="UFS3" s="120"/>
      <c r="UFT3" s="120"/>
      <c r="UFU3" s="120"/>
      <c r="UFV3" s="120"/>
      <c r="UFW3" s="120"/>
      <c r="UFX3" s="120"/>
      <c r="UFY3" s="120"/>
      <c r="UFZ3" s="120"/>
      <c r="UGA3" s="120"/>
      <c r="UGB3" s="120"/>
      <c r="UGC3" s="120"/>
      <c r="UGD3" s="120"/>
      <c r="UGE3" s="120"/>
      <c r="UGF3" s="120"/>
      <c r="UGG3" s="120"/>
      <c r="UGH3" s="120"/>
      <c r="UGI3" s="120"/>
      <c r="UGJ3" s="120"/>
      <c r="UGK3" s="120"/>
      <c r="UGL3" s="120"/>
      <c r="UGM3" s="120"/>
      <c r="UGN3" s="120"/>
      <c r="UGO3" s="120"/>
      <c r="UGP3" s="120"/>
      <c r="UGQ3" s="120"/>
      <c r="UGR3" s="120"/>
      <c r="UGS3" s="120"/>
      <c r="UGT3" s="120"/>
      <c r="UGU3" s="120"/>
      <c r="UGV3" s="120"/>
      <c r="UGW3" s="120"/>
      <c r="UGX3" s="120"/>
      <c r="UGY3" s="120"/>
      <c r="UGZ3" s="120"/>
      <c r="UHA3" s="120"/>
      <c r="UHB3" s="120"/>
      <c r="UHC3" s="120"/>
      <c r="UHD3" s="120"/>
      <c r="UHE3" s="120"/>
      <c r="UHF3" s="120"/>
      <c r="UHG3" s="120"/>
      <c r="UHH3" s="120"/>
      <c r="UHI3" s="120"/>
      <c r="UHJ3" s="120"/>
      <c r="UHK3" s="120"/>
      <c r="UHL3" s="120"/>
      <c r="UHM3" s="120"/>
      <c r="UHN3" s="120"/>
      <c r="UHO3" s="120"/>
      <c r="UHP3" s="120"/>
      <c r="UHQ3" s="120"/>
      <c r="UHR3" s="120"/>
      <c r="UHS3" s="120"/>
      <c r="UHT3" s="120"/>
      <c r="UHU3" s="120"/>
      <c r="UHV3" s="120"/>
      <c r="UHW3" s="120"/>
      <c r="UHX3" s="120"/>
      <c r="UHY3" s="120"/>
      <c r="UHZ3" s="120"/>
      <c r="UIA3" s="120"/>
      <c r="UIB3" s="120"/>
      <c r="UIC3" s="120"/>
      <c r="UID3" s="120"/>
      <c r="UIE3" s="120"/>
      <c r="UIF3" s="120"/>
      <c r="UIG3" s="120"/>
      <c r="UIH3" s="120"/>
      <c r="UII3" s="120"/>
      <c r="UIJ3" s="120"/>
      <c r="UIK3" s="120"/>
      <c r="UIL3" s="120"/>
      <c r="UIM3" s="120"/>
      <c r="UIN3" s="120"/>
      <c r="UIO3" s="120"/>
      <c r="UIP3" s="120"/>
      <c r="UIQ3" s="120"/>
      <c r="UIR3" s="120"/>
      <c r="UIS3" s="120"/>
      <c r="UIT3" s="120"/>
      <c r="UIU3" s="120"/>
      <c r="UIV3" s="120"/>
      <c r="UIW3" s="120"/>
      <c r="UIX3" s="120"/>
      <c r="UIY3" s="120"/>
      <c r="UIZ3" s="120"/>
      <c r="UJA3" s="120"/>
      <c r="UJB3" s="120"/>
      <c r="UJC3" s="120"/>
      <c r="UJD3" s="120"/>
      <c r="UJE3" s="120"/>
      <c r="UJF3" s="120"/>
      <c r="UJG3" s="120"/>
      <c r="UJH3" s="120"/>
      <c r="UJI3" s="120"/>
      <c r="UJJ3" s="120"/>
      <c r="UJK3" s="120"/>
      <c r="UJL3" s="120"/>
      <c r="UJM3" s="120"/>
      <c r="UJN3" s="120"/>
      <c r="UJO3" s="120"/>
      <c r="UJP3" s="120"/>
      <c r="UJQ3" s="120"/>
      <c r="UJR3" s="120"/>
      <c r="UJS3" s="120"/>
      <c r="UJT3" s="120"/>
      <c r="UJU3" s="120"/>
      <c r="UJV3" s="120"/>
      <c r="UJW3" s="120"/>
      <c r="UJX3" s="120"/>
      <c r="UJY3" s="120"/>
      <c r="UJZ3" s="120"/>
      <c r="UKA3" s="120"/>
      <c r="UKB3" s="120"/>
      <c r="UKC3" s="120"/>
      <c r="UKD3" s="120"/>
      <c r="UKE3" s="120"/>
      <c r="UKF3" s="120"/>
      <c r="UKG3" s="120"/>
      <c r="UKH3" s="120"/>
      <c r="UKI3" s="120"/>
      <c r="UKJ3" s="120"/>
      <c r="UKK3" s="120"/>
      <c r="UKL3" s="120"/>
      <c r="UKM3" s="120"/>
      <c r="UKN3" s="120"/>
      <c r="UKO3" s="120"/>
      <c r="UKP3" s="120"/>
      <c r="UKQ3" s="120"/>
      <c r="UKR3" s="120"/>
      <c r="UKS3" s="120"/>
      <c r="UKT3" s="120"/>
      <c r="UKU3" s="120"/>
      <c r="UKV3" s="120"/>
      <c r="UKW3" s="120"/>
      <c r="UKX3" s="120"/>
      <c r="UKY3" s="120"/>
      <c r="UKZ3" s="120"/>
      <c r="ULA3" s="120"/>
      <c r="ULB3" s="120"/>
      <c r="ULC3" s="120"/>
      <c r="ULD3" s="120"/>
      <c r="ULE3" s="120"/>
      <c r="ULF3" s="120"/>
      <c r="ULG3" s="120"/>
      <c r="ULH3" s="120"/>
      <c r="ULI3" s="120"/>
      <c r="ULJ3" s="120"/>
      <c r="ULK3" s="120"/>
      <c r="ULL3" s="120"/>
      <c r="ULM3" s="120"/>
      <c r="ULN3" s="120"/>
      <c r="ULO3" s="120"/>
      <c r="ULP3" s="120"/>
      <c r="ULQ3" s="120"/>
      <c r="ULR3" s="120"/>
      <c r="ULS3" s="120"/>
      <c r="ULT3" s="120"/>
      <c r="ULU3" s="120"/>
      <c r="ULV3" s="120"/>
      <c r="ULW3" s="120"/>
      <c r="ULX3" s="120"/>
      <c r="ULY3" s="120"/>
      <c r="ULZ3" s="120"/>
      <c r="UMA3" s="120"/>
      <c r="UMB3" s="120"/>
      <c r="UMC3" s="120"/>
      <c r="UMD3" s="120"/>
      <c r="UME3" s="120"/>
      <c r="UMF3" s="120"/>
      <c r="UMG3" s="120"/>
      <c r="UMH3" s="120"/>
      <c r="UMI3" s="120"/>
      <c r="UMJ3" s="120"/>
      <c r="UMK3" s="120"/>
      <c r="UML3" s="120"/>
      <c r="UMM3" s="120"/>
      <c r="UMN3" s="120"/>
      <c r="UMO3" s="120"/>
      <c r="UMP3" s="120"/>
      <c r="UMQ3" s="120"/>
      <c r="UMR3" s="120"/>
      <c r="UMS3" s="120"/>
      <c r="UMT3" s="120"/>
      <c r="UMU3" s="120"/>
      <c r="UMV3" s="120"/>
      <c r="UMW3" s="120"/>
      <c r="UMX3" s="120"/>
      <c r="UMY3" s="120"/>
      <c r="UMZ3" s="120"/>
      <c r="UNA3" s="120"/>
      <c r="UNB3" s="120"/>
      <c r="UNC3" s="120"/>
      <c r="UND3" s="120"/>
      <c r="UNE3" s="120"/>
      <c r="UNF3" s="120"/>
      <c r="UNG3" s="120"/>
      <c r="UNH3" s="120"/>
      <c r="UNI3" s="120"/>
      <c r="UNJ3" s="120"/>
      <c r="UNK3" s="120"/>
      <c r="UNL3" s="120"/>
      <c r="UNM3" s="120"/>
      <c r="UNN3" s="120"/>
      <c r="UNO3" s="120"/>
      <c r="UNP3" s="120"/>
      <c r="UNQ3" s="120"/>
      <c r="UNR3" s="120"/>
      <c r="UNS3" s="120"/>
      <c r="UNT3" s="120"/>
      <c r="UNU3" s="120"/>
      <c r="UNV3" s="120"/>
      <c r="UNW3" s="120"/>
      <c r="UNX3" s="120"/>
      <c r="UNY3" s="120"/>
      <c r="UNZ3" s="120"/>
      <c r="UOA3" s="120"/>
      <c r="UOB3" s="120"/>
      <c r="UOC3" s="120"/>
      <c r="UOD3" s="120"/>
      <c r="UOE3" s="120"/>
      <c r="UOF3" s="120"/>
      <c r="UOG3" s="120"/>
      <c r="UOH3" s="120"/>
      <c r="UOI3" s="120"/>
      <c r="UOJ3" s="120"/>
      <c r="UOK3" s="120"/>
      <c r="UOL3" s="120"/>
      <c r="UOM3" s="120"/>
      <c r="UON3" s="120"/>
      <c r="UOO3" s="120"/>
      <c r="UOP3" s="120"/>
      <c r="UOQ3" s="120"/>
      <c r="UOR3" s="120"/>
      <c r="UOS3" s="120"/>
      <c r="UOT3" s="120"/>
      <c r="UOU3" s="120"/>
      <c r="UOV3" s="120"/>
      <c r="UOW3" s="120"/>
      <c r="UOX3" s="120"/>
      <c r="UOY3" s="120"/>
      <c r="UOZ3" s="120"/>
      <c r="UPA3" s="120"/>
      <c r="UPB3" s="120"/>
      <c r="UPC3" s="120"/>
      <c r="UPD3" s="120"/>
      <c r="UPE3" s="120"/>
      <c r="UPF3" s="120"/>
      <c r="UPG3" s="120"/>
      <c r="UPH3" s="120"/>
      <c r="UPI3" s="120"/>
      <c r="UPJ3" s="120"/>
      <c r="UPK3" s="120"/>
      <c r="UPL3" s="120"/>
      <c r="UPM3" s="120"/>
      <c r="UPN3" s="120"/>
      <c r="UPO3" s="120"/>
      <c r="UPP3" s="120"/>
      <c r="UPQ3" s="120"/>
      <c r="UPR3" s="120"/>
      <c r="UPS3" s="120"/>
      <c r="UPT3" s="120"/>
      <c r="UPU3" s="120"/>
      <c r="UPV3" s="120"/>
      <c r="UPW3" s="120"/>
      <c r="UPX3" s="120"/>
      <c r="UPY3" s="120"/>
      <c r="UPZ3" s="120"/>
      <c r="UQA3" s="120"/>
      <c r="UQB3" s="120"/>
      <c r="UQC3" s="120"/>
      <c r="UQD3" s="120"/>
      <c r="UQE3" s="120"/>
      <c r="UQF3" s="120"/>
      <c r="UQG3" s="120"/>
      <c r="UQH3" s="120"/>
      <c r="UQI3" s="120"/>
      <c r="UQJ3" s="120"/>
      <c r="UQK3" s="120"/>
      <c r="UQL3" s="120"/>
      <c r="UQM3" s="120"/>
      <c r="UQN3" s="120"/>
      <c r="UQO3" s="120"/>
      <c r="UQP3" s="120"/>
      <c r="UQQ3" s="120"/>
      <c r="UQR3" s="120"/>
      <c r="UQS3" s="120"/>
      <c r="UQT3" s="120"/>
      <c r="UQU3" s="120"/>
      <c r="UQV3" s="120"/>
      <c r="UQW3" s="120"/>
      <c r="UQX3" s="120"/>
      <c r="UQY3" s="120"/>
      <c r="UQZ3" s="120"/>
      <c r="URA3" s="120"/>
      <c r="URB3" s="120"/>
      <c r="URC3" s="120"/>
      <c r="URD3" s="120"/>
      <c r="URE3" s="120"/>
      <c r="URF3" s="120"/>
      <c r="URG3" s="120"/>
      <c r="URH3" s="120"/>
      <c r="URI3" s="120"/>
      <c r="URJ3" s="120"/>
      <c r="URK3" s="120"/>
      <c r="URL3" s="120"/>
      <c r="URM3" s="120"/>
      <c r="URN3" s="120"/>
      <c r="URO3" s="120"/>
      <c r="URP3" s="120"/>
      <c r="URQ3" s="120"/>
      <c r="URR3" s="120"/>
      <c r="URS3" s="120"/>
      <c r="URT3" s="120"/>
      <c r="URU3" s="120"/>
      <c r="URV3" s="120"/>
      <c r="URW3" s="120"/>
      <c r="URX3" s="120"/>
      <c r="URY3" s="120"/>
      <c r="URZ3" s="120"/>
      <c r="USA3" s="120"/>
      <c r="USB3" s="120"/>
      <c r="USC3" s="120"/>
      <c r="USD3" s="120"/>
      <c r="USE3" s="120"/>
      <c r="USF3" s="120"/>
      <c r="USG3" s="120"/>
      <c r="USH3" s="120"/>
      <c r="USI3" s="120"/>
      <c r="USJ3" s="120"/>
      <c r="USK3" s="120"/>
      <c r="USL3" s="120"/>
      <c r="USM3" s="120"/>
      <c r="USN3" s="120"/>
      <c r="USO3" s="120"/>
      <c r="USP3" s="120"/>
      <c r="USQ3" s="120"/>
      <c r="USR3" s="120"/>
      <c r="USS3" s="120"/>
      <c r="UST3" s="120"/>
      <c r="USU3" s="120"/>
      <c r="USV3" s="120"/>
      <c r="USW3" s="120"/>
      <c r="USX3" s="120"/>
      <c r="USY3" s="120"/>
      <c r="USZ3" s="120"/>
      <c r="UTA3" s="120"/>
      <c r="UTB3" s="120"/>
      <c r="UTC3" s="120"/>
      <c r="UTD3" s="120"/>
      <c r="UTE3" s="120"/>
      <c r="UTF3" s="120"/>
      <c r="UTG3" s="120"/>
      <c r="UTH3" s="120"/>
      <c r="UTI3" s="120"/>
      <c r="UTJ3" s="120"/>
      <c r="UTK3" s="120"/>
      <c r="UTL3" s="120"/>
      <c r="UTM3" s="120"/>
      <c r="UTN3" s="120"/>
      <c r="UTO3" s="120"/>
      <c r="UTP3" s="120"/>
      <c r="UTQ3" s="120"/>
      <c r="UTR3" s="120"/>
      <c r="UTS3" s="120"/>
      <c r="UTT3" s="120"/>
      <c r="UTU3" s="120"/>
      <c r="UTV3" s="120"/>
      <c r="UTW3" s="120"/>
      <c r="UTX3" s="120"/>
      <c r="UTY3" s="120"/>
      <c r="UTZ3" s="120"/>
      <c r="UUA3" s="120"/>
      <c r="UUB3" s="120"/>
      <c r="UUC3" s="120"/>
      <c r="UUD3" s="120"/>
      <c r="UUE3" s="120"/>
      <c r="UUF3" s="120"/>
      <c r="UUG3" s="120"/>
      <c r="UUH3" s="120"/>
      <c r="UUI3" s="120"/>
      <c r="UUJ3" s="120"/>
      <c r="UUK3" s="120"/>
      <c r="UUL3" s="120"/>
      <c r="UUM3" s="120"/>
      <c r="UUN3" s="120"/>
      <c r="UUO3" s="120"/>
      <c r="UUP3" s="120"/>
      <c r="UUQ3" s="120"/>
      <c r="UUR3" s="120"/>
      <c r="UUS3" s="120"/>
      <c r="UUT3" s="120"/>
      <c r="UUU3" s="120"/>
      <c r="UUV3" s="120"/>
      <c r="UUW3" s="120"/>
      <c r="UUX3" s="120"/>
      <c r="UUY3" s="120"/>
      <c r="UUZ3" s="120"/>
      <c r="UVA3" s="120"/>
      <c r="UVB3" s="120"/>
      <c r="UVC3" s="120"/>
      <c r="UVD3" s="120"/>
      <c r="UVE3" s="120"/>
      <c r="UVF3" s="120"/>
      <c r="UVG3" s="120"/>
      <c r="UVH3" s="120"/>
      <c r="UVI3" s="120"/>
      <c r="UVJ3" s="120"/>
      <c r="UVK3" s="120"/>
      <c r="UVL3" s="120"/>
      <c r="UVM3" s="120"/>
      <c r="UVN3" s="120"/>
      <c r="UVO3" s="120"/>
      <c r="UVP3" s="120"/>
      <c r="UVQ3" s="120"/>
      <c r="UVR3" s="120"/>
      <c r="UVS3" s="120"/>
      <c r="UVT3" s="120"/>
      <c r="UVU3" s="120"/>
      <c r="UVV3" s="120"/>
      <c r="UVW3" s="120"/>
      <c r="UVX3" s="120"/>
      <c r="UVY3" s="120"/>
      <c r="UVZ3" s="120"/>
      <c r="UWA3" s="120"/>
      <c r="UWB3" s="120"/>
      <c r="UWC3" s="120"/>
      <c r="UWD3" s="120"/>
      <c r="UWE3" s="120"/>
      <c r="UWF3" s="120"/>
      <c r="UWG3" s="120"/>
      <c r="UWH3" s="120"/>
      <c r="UWI3" s="120"/>
      <c r="UWJ3" s="120"/>
      <c r="UWK3" s="120"/>
      <c r="UWL3" s="120"/>
      <c r="UWM3" s="120"/>
      <c r="UWN3" s="120"/>
      <c r="UWO3" s="120"/>
      <c r="UWP3" s="120"/>
      <c r="UWQ3" s="120"/>
      <c r="UWR3" s="120"/>
      <c r="UWS3" s="120"/>
      <c r="UWT3" s="120"/>
      <c r="UWU3" s="120"/>
      <c r="UWV3" s="120"/>
      <c r="UWW3" s="120"/>
      <c r="UWX3" s="120"/>
      <c r="UWY3" s="120"/>
      <c r="UWZ3" s="120"/>
      <c r="UXA3" s="120"/>
      <c r="UXB3" s="120"/>
      <c r="UXC3" s="120"/>
      <c r="UXD3" s="120"/>
      <c r="UXE3" s="120"/>
      <c r="UXF3" s="120"/>
      <c r="UXG3" s="120"/>
      <c r="UXH3" s="120"/>
      <c r="UXI3" s="120"/>
      <c r="UXJ3" s="120"/>
      <c r="UXK3" s="120"/>
      <c r="UXL3" s="120"/>
      <c r="UXM3" s="120"/>
      <c r="UXN3" s="120"/>
      <c r="UXO3" s="120"/>
      <c r="UXP3" s="120"/>
      <c r="UXQ3" s="120"/>
      <c r="UXR3" s="120"/>
      <c r="UXS3" s="120"/>
      <c r="UXT3" s="120"/>
      <c r="UXU3" s="120"/>
      <c r="UXV3" s="120"/>
      <c r="UXW3" s="120"/>
      <c r="UXX3" s="120"/>
      <c r="UXY3" s="120"/>
      <c r="UXZ3" s="120"/>
      <c r="UYA3" s="120"/>
      <c r="UYB3" s="120"/>
      <c r="UYC3" s="120"/>
      <c r="UYD3" s="120"/>
      <c r="UYE3" s="120"/>
      <c r="UYF3" s="120"/>
      <c r="UYG3" s="120"/>
      <c r="UYH3" s="120"/>
      <c r="UYI3" s="120"/>
      <c r="UYJ3" s="120"/>
      <c r="UYK3" s="120"/>
      <c r="UYL3" s="120"/>
      <c r="UYM3" s="120"/>
      <c r="UYN3" s="120"/>
      <c r="UYO3" s="120"/>
      <c r="UYP3" s="120"/>
      <c r="UYQ3" s="120"/>
      <c r="UYR3" s="120"/>
      <c r="UYS3" s="120"/>
      <c r="UYT3" s="120"/>
      <c r="UYU3" s="120"/>
      <c r="UYV3" s="120"/>
      <c r="UYW3" s="120"/>
      <c r="UYX3" s="120"/>
      <c r="UYY3" s="120"/>
      <c r="UYZ3" s="120"/>
      <c r="UZA3" s="120"/>
      <c r="UZB3" s="120"/>
      <c r="UZC3" s="120"/>
      <c r="UZD3" s="120"/>
      <c r="UZE3" s="120"/>
      <c r="UZF3" s="120"/>
      <c r="UZG3" s="120"/>
      <c r="UZH3" s="120"/>
      <c r="UZI3" s="120"/>
      <c r="UZJ3" s="120"/>
      <c r="UZK3" s="120"/>
      <c r="UZL3" s="120"/>
      <c r="UZM3" s="120"/>
      <c r="UZN3" s="120"/>
      <c r="UZO3" s="120"/>
      <c r="UZP3" s="120"/>
      <c r="UZQ3" s="120"/>
      <c r="UZR3" s="120"/>
      <c r="UZS3" s="120"/>
      <c r="UZT3" s="120"/>
      <c r="UZU3" s="120"/>
      <c r="UZV3" s="120"/>
      <c r="UZW3" s="120"/>
      <c r="UZX3" s="120"/>
      <c r="UZY3" s="120"/>
      <c r="UZZ3" s="120"/>
      <c r="VAA3" s="120"/>
      <c r="VAB3" s="120"/>
      <c r="VAC3" s="120"/>
      <c r="VAD3" s="120"/>
      <c r="VAE3" s="120"/>
      <c r="VAF3" s="120"/>
      <c r="VAG3" s="120"/>
      <c r="VAH3" s="120"/>
      <c r="VAI3" s="120"/>
      <c r="VAJ3" s="120"/>
      <c r="VAK3" s="120"/>
      <c r="VAL3" s="120"/>
      <c r="VAM3" s="120"/>
      <c r="VAN3" s="120"/>
      <c r="VAO3" s="120"/>
      <c r="VAP3" s="120"/>
      <c r="VAQ3" s="120"/>
      <c r="VAR3" s="120"/>
      <c r="VAS3" s="120"/>
      <c r="VAT3" s="120"/>
      <c r="VAU3" s="120"/>
      <c r="VAV3" s="120"/>
      <c r="VAW3" s="120"/>
      <c r="VAX3" s="120"/>
      <c r="VAY3" s="120"/>
      <c r="VAZ3" s="120"/>
      <c r="VBA3" s="120"/>
      <c r="VBB3" s="120"/>
      <c r="VBC3" s="120"/>
      <c r="VBD3" s="120"/>
      <c r="VBE3" s="120"/>
      <c r="VBF3" s="120"/>
      <c r="VBG3" s="120"/>
      <c r="VBH3" s="120"/>
      <c r="VBI3" s="120"/>
      <c r="VBJ3" s="120"/>
      <c r="VBK3" s="120"/>
      <c r="VBL3" s="120"/>
      <c r="VBM3" s="120"/>
      <c r="VBN3" s="120"/>
      <c r="VBO3" s="120"/>
      <c r="VBP3" s="120"/>
      <c r="VBQ3" s="120"/>
      <c r="VBR3" s="120"/>
      <c r="VBS3" s="120"/>
      <c r="VBT3" s="120"/>
      <c r="VBU3" s="120"/>
      <c r="VBV3" s="120"/>
      <c r="VBW3" s="120"/>
      <c r="VBX3" s="120"/>
      <c r="VBY3" s="120"/>
      <c r="VBZ3" s="120"/>
      <c r="VCA3" s="120"/>
      <c r="VCB3" s="120"/>
      <c r="VCC3" s="120"/>
      <c r="VCD3" s="120"/>
      <c r="VCE3" s="120"/>
      <c r="VCF3" s="120"/>
      <c r="VCG3" s="120"/>
      <c r="VCH3" s="120"/>
      <c r="VCI3" s="120"/>
      <c r="VCJ3" s="120"/>
      <c r="VCK3" s="120"/>
      <c r="VCL3" s="120"/>
      <c r="VCM3" s="120"/>
      <c r="VCN3" s="120"/>
      <c r="VCO3" s="120"/>
      <c r="VCP3" s="120"/>
      <c r="VCQ3" s="120"/>
      <c r="VCR3" s="120"/>
      <c r="VCS3" s="120"/>
      <c r="VCT3" s="120"/>
      <c r="VCU3" s="120"/>
      <c r="VCV3" s="120"/>
      <c r="VCW3" s="120"/>
      <c r="VCX3" s="120"/>
      <c r="VCY3" s="120"/>
      <c r="VCZ3" s="120"/>
      <c r="VDA3" s="120"/>
      <c r="VDB3" s="120"/>
      <c r="VDC3" s="120"/>
      <c r="VDD3" s="120"/>
      <c r="VDE3" s="120"/>
      <c r="VDF3" s="120"/>
      <c r="VDG3" s="120"/>
      <c r="VDH3" s="120"/>
      <c r="VDI3" s="120"/>
      <c r="VDJ3" s="120"/>
      <c r="VDK3" s="120"/>
      <c r="VDL3" s="120"/>
      <c r="VDM3" s="120"/>
      <c r="VDN3" s="120"/>
      <c r="VDO3" s="120"/>
      <c r="VDP3" s="120"/>
      <c r="VDQ3" s="120"/>
      <c r="VDR3" s="120"/>
      <c r="VDS3" s="120"/>
      <c r="VDT3" s="120"/>
      <c r="VDU3" s="120"/>
      <c r="VDV3" s="120"/>
      <c r="VDW3" s="120"/>
      <c r="VDX3" s="120"/>
      <c r="VDY3" s="120"/>
      <c r="VDZ3" s="120"/>
      <c r="VEA3" s="120"/>
      <c r="VEB3" s="120"/>
      <c r="VEC3" s="120"/>
      <c r="VED3" s="120"/>
      <c r="VEE3" s="120"/>
      <c r="VEF3" s="120"/>
      <c r="VEG3" s="120"/>
      <c r="VEH3" s="120"/>
      <c r="VEI3" s="120"/>
      <c r="VEJ3" s="120"/>
      <c r="VEK3" s="120"/>
      <c r="VEL3" s="120"/>
      <c r="VEM3" s="120"/>
      <c r="VEN3" s="120"/>
      <c r="VEO3" s="120"/>
      <c r="VEP3" s="120"/>
      <c r="VEQ3" s="120"/>
      <c r="VER3" s="120"/>
      <c r="VES3" s="120"/>
      <c r="VET3" s="120"/>
      <c r="VEU3" s="120"/>
      <c r="VEV3" s="120"/>
      <c r="VEW3" s="120"/>
      <c r="VEX3" s="120"/>
      <c r="VEY3" s="120"/>
      <c r="VEZ3" s="120"/>
      <c r="VFA3" s="120"/>
      <c r="VFB3" s="120"/>
      <c r="VFC3" s="120"/>
      <c r="VFD3" s="120"/>
      <c r="VFE3" s="120"/>
      <c r="VFF3" s="120"/>
      <c r="VFG3" s="120"/>
      <c r="VFH3" s="120"/>
      <c r="VFI3" s="120"/>
      <c r="VFJ3" s="120"/>
      <c r="VFK3" s="120"/>
      <c r="VFL3" s="120"/>
      <c r="VFM3" s="120"/>
      <c r="VFN3" s="120"/>
      <c r="VFO3" s="120"/>
      <c r="VFP3" s="120"/>
      <c r="VFQ3" s="120"/>
      <c r="VFR3" s="120"/>
      <c r="VFS3" s="120"/>
      <c r="VFT3" s="120"/>
      <c r="VFU3" s="120"/>
      <c r="VFV3" s="120"/>
      <c r="VFW3" s="120"/>
      <c r="VFX3" s="120"/>
      <c r="VFY3" s="120"/>
      <c r="VFZ3" s="120"/>
      <c r="VGA3" s="120"/>
      <c r="VGB3" s="120"/>
      <c r="VGC3" s="120"/>
      <c r="VGD3" s="120"/>
      <c r="VGE3" s="120"/>
      <c r="VGF3" s="120"/>
      <c r="VGG3" s="120"/>
      <c r="VGH3" s="120"/>
      <c r="VGI3" s="120"/>
      <c r="VGJ3" s="120"/>
      <c r="VGK3" s="120"/>
      <c r="VGL3" s="120"/>
      <c r="VGM3" s="120"/>
      <c r="VGN3" s="120"/>
      <c r="VGO3" s="120"/>
      <c r="VGP3" s="120"/>
      <c r="VGQ3" s="120"/>
      <c r="VGR3" s="120"/>
      <c r="VGS3" s="120"/>
      <c r="VGT3" s="120"/>
      <c r="VGU3" s="120"/>
      <c r="VGV3" s="120"/>
      <c r="VGW3" s="120"/>
      <c r="VGX3" s="120"/>
      <c r="VGY3" s="120"/>
      <c r="VGZ3" s="120"/>
      <c r="VHA3" s="120"/>
      <c r="VHB3" s="120"/>
      <c r="VHC3" s="120"/>
      <c r="VHD3" s="120"/>
      <c r="VHE3" s="120"/>
      <c r="VHF3" s="120"/>
      <c r="VHG3" s="120"/>
      <c r="VHH3" s="120"/>
      <c r="VHI3" s="120"/>
      <c r="VHJ3" s="120"/>
      <c r="VHK3" s="120"/>
      <c r="VHL3" s="120"/>
      <c r="VHM3" s="120"/>
      <c r="VHN3" s="120"/>
      <c r="VHO3" s="120"/>
      <c r="VHP3" s="120"/>
      <c r="VHQ3" s="120"/>
      <c r="VHR3" s="120"/>
      <c r="VHS3" s="120"/>
      <c r="VHT3" s="120"/>
      <c r="VHU3" s="120"/>
      <c r="VHV3" s="120"/>
      <c r="VHW3" s="120"/>
      <c r="VHX3" s="120"/>
      <c r="VHY3" s="120"/>
      <c r="VHZ3" s="120"/>
      <c r="VIA3" s="120"/>
      <c r="VIB3" s="120"/>
      <c r="VIC3" s="120"/>
      <c r="VID3" s="120"/>
      <c r="VIE3" s="120"/>
      <c r="VIF3" s="120"/>
      <c r="VIG3" s="120"/>
      <c r="VIH3" s="120"/>
      <c r="VII3" s="120"/>
      <c r="VIJ3" s="120"/>
      <c r="VIK3" s="120"/>
      <c r="VIL3" s="120"/>
      <c r="VIM3" s="120"/>
      <c r="VIN3" s="120"/>
      <c r="VIO3" s="120"/>
      <c r="VIP3" s="120"/>
      <c r="VIQ3" s="120"/>
      <c r="VIR3" s="120"/>
      <c r="VIS3" s="120"/>
      <c r="VIT3" s="120"/>
      <c r="VIU3" s="120"/>
      <c r="VIV3" s="120"/>
      <c r="VIW3" s="120"/>
      <c r="VIX3" s="120"/>
      <c r="VIY3" s="120"/>
      <c r="VIZ3" s="120"/>
      <c r="VJA3" s="120"/>
      <c r="VJB3" s="120"/>
      <c r="VJC3" s="120"/>
      <c r="VJD3" s="120"/>
      <c r="VJE3" s="120"/>
      <c r="VJF3" s="120"/>
      <c r="VJG3" s="120"/>
      <c r="VJH3" s="120"/>
      <c r="VJI3" s="120"/>
      <c r="VJJ3" s="120"/>
      <c r="VJK3" s="120"/>
      <c r="VJL3" s="120"/>
      <c r="VJM3" s="120"/>
      <c r="VJN3" s="120"/>
      <c r="VJO3" s="120"/>
      <c r="VJP3" s="120"/>
      <c r="VJQ3" s="120"/>
      <c r="VJR3" s="120"/>
      <c r="VJS3" s="120"/>
      <c r="VJT3" s="120"/>
      <c r="VJU3" s="120"/>
      <c r="VJV3" s="120"/>
      <c r="VJW3" s="120"/>
      <c r="VJX3" s="120"/>
      <c r="VJY3" s="120"/>
      <c r="VJZ3" s="120"/>
      <c r="VKA3" s="120"/>
      <c r="VKB3" s="120"/>
      <c r="VKC3" s="120"/>
      <c r="VKD3" s="120"/>
      <c r="VKE3" s="120"/>
      <c r="VKF3" s="120"/>
      <c r="VKG3" s="120"/>
      <c r="VKH3" s="120"/>
      <c r="VKI3" s="120"/>
      <c r="VKJ3" s="120"/>
      <c r="VKK3" s="120"/>
      <c r="VKL3" s="120"/>
      <c r="VKM3" s="120"/>
      <c r="VKN3" s="120"/>
      <c r="VKO3" s="120"/>
      <c r="VKP3" s="120"/>
      <c r="VKQ3" s="120"/>
      <c r="VKR3" s="120"/>
      <c r="VKS3" s="120"/>
      <c r="VKT3" s="120"/>
      <c r="VKU3" s="120"/>
      <c r="VKV3" s="120"/>
      <c r="VKW3" s="120"/>
      <c r="VKX3" s="120"/>
      <c r="VKY3" s="120"/>
      <c r="VKZ3" s="120"/>
      <c r="VLA3" s="120"/>
      <c r="VLB3" s="120"/>
      <c r="VLC3" s="120"/>
      <c r="VLD3" s="120"/>
      <c r="VLE3" s="120"/>
      <c r="VLF3" s="120"/>
      <c r="VLG3" s="120"/>
      <c r="VLH3" s="120"/>
      <c r="VLI3" s="120"/>
      <c r="VLJ3" s="120"/>
      <c r="VLK3" s="120"/>
      <c r="VLL3" s="120"/>
      <c r="VLM3" s="120"/>
      <c r="VLN3" s="120"/>
      <c r="VLO3" s="120"/>
      <c r="VLP3" s="120"/>
      <c r="VLQ3" s="120"/>
      <c r="VLR3" s="120"/>
      <c r="VLS3" s="120"/>
      <c r="VLT3" s="120"/>
      <c r="VLU3" s="120"/>
      <c r="VLV3" s="120"/>
      <c r="VLW3" s="120"/>
      <c r="VLX3" s="120"/>
      <c r="VLY3" s="120"/>
      <c r="VLZ3" s="120"/>
      <c r="VMA3" s="120"/>
      <c r="VMB3" s="120"/>
      <c r="VMC3" s="120"/>
      <c r="VMD3" s="120"/>
      <c r="VME3" s="120"/>
      <c r="VMF3" s="120"/>
      <c r="VMG3" s="120"/>
      <c r="VMH3" s="120"/>
      <c r="VMI3" s="120"/>
      <c r="VMJ3" s="120"/>
      <c r="VMK3" s="120"/>
      <c r="VML3" s="120"/>
      <c r="VMM3" s="120"/>
      <c r="VMN3" s="120"/>
      <c r="VMO3" s="120"/>
      <c r="VMP3" s="120"/>
      <c r="VMQ3" s="120"/>
      <c r="VMR3" s="120"/>
      <c r="VMS3" s="120"/>
      <c r="VMT3" s="120"/>
      <c r="VMU3" s="120"/>
      <c r="VMV3" s="120"/>
      <c r="VMW3" s="120"/>
      <c r="VMX3" s="120"/>
      <c r="VMY3" s="120"/>
      <c r="VMZ3" s="120"/>
      <c r="VNA3" s="120"/>
      <c r="VNB3" s="120"/>
      <c r="VNC3" s="120"/>
      <c r="VND3" s="120"/>
      <c r="VNE3" s="120"/>
      <c r="VNF3" s="120"/>
      <c r="VNG3" s="120"/>
      <c r="VNH3" s="120"/>
      <c r="VNI3" s="120"/>
      <c r="VNJ3" s="120"/>
      <c r="VNK3" s="120"/>
      <c r="VNL3" s="120"/>
      <c r="VNM3" s="120"/>
      <c r="VNN3" s="120"/>
      <c r="VNO3" s="120"/>
      <c r="VNP3" s="120"/>
      <c r="VNQ3" s="120"/>
      <c r="VNR3" s="120"/>
      <c r="VNS3" s="120"/>
      <c r="VNT3" s="120"/>
      <c r="VNU3" s="120"/>
      <c r="VNV3" s="120"/>
      <c r="VNW3" s="120"/>
      <c r="VNX3" s="120"/>
      <c r="VNY3" s="120"/>
      <c r="VNZ3" s="120"/>
      <c r="VOA3" s="120"/>
      <c r="VOB3" s="120"/>
      <c r="VOC3" s="120"/>
      <c r="VOD3" s="120"/>
      <c r="VOE3" s="120"/>
      <c r="VOF3" s="120"/>
      <c r="VOG3" s="120"/>
      <c r="VOH3" s="120"/>
      <c r="VOI3" s="120"/>
      <c r="VOJ3" s="120"/>
      <c r="VOK3" s="120"/>
      <c r="VOL3" s="120"/>
      <c r="VOM3" s="120"/>
      <c r="VON3" s="120"/>
      <c r="VOO3" s="120"/>
      <c r="VOP3" s="120"/>
      <c r="VOQ3" s="120"/>
      <c r="VOR3" s="120"/>
      <c r="VOS3" s="120"/>
      <c r="VOT3" s="120"/>
      <c r="VOU3" s="120"/>
      <c r="VOV3" s="120"/>
      <c r="VOW3" s="120"/>
      <c r="VOX3" s="120"/>
      <c r="VOY3" s="120"/>
      <c r="VOZ3" s="120"/>
      <c r="VPA3" s="120"/>
      <c r="VPB3" s="120"/>
      <c r="VPC3" s="120"/>
      <c r="VPD3" s="120"/>
      <c r="VPE3" s="120"/>
      <c r="VPF3" s="120"/>
      <c r="VPG3" s="120"/>
      <c r="VPH3" s="120"/>
      <c r="VPI3" s="120"/>
      <c r="VPJ3" s="120"/>
      <c r="VPK3" s="120"/>
      <c r="VPL3" s="120"/>
      <c r="VPM3" s="120"/>
      <c r="VPN3" s="120"/>
      <c r="VPO3" s="120"/>
      <c r="VPP3" s="120"/>
      <c r="VPQ3" s="120"/>
      <c r="VPR3" s="120"/>
      <c r="VPS3" s="120"/>
      <c r="VPT3" s="120"/>
      <c r="VPU3" s="120"/>
      <c r="VPV3" s="120"/>
      <c r="VPW3" s="120"/>
      <c r="VPX3" s="120"/>
      <c r="VPY3" s="120"/>
      <c r="VPZ3" s="120"/>
      <c r="VQA3" s="120"/>
      <c r="VQB3" s="120"/>
      <c r="VQC3" s="120"/>
      <c r="VQD3" s="120"/>
      <c r="VQE3" s="120"/>
      <c r="VQF3" s="120"/>
      <c r="VQG3" s="120"/>
      <c r="VQH3" s="120"/>
      <c r="VQI3" s="120"/>
      <c r="VQJ3" s="120"/>
      <c r="VQK3" s="120"/>
      <c r="VQL3" s="120"/>
      <c r="VQM3" s="120"/>
      <c r="VQN3" s="120"/>
      <c r="VQO3" s="120"/>
      <c r="VQP3" s="120"/>
      <c r="VQQ3" s="120"/>
      <c r="VQR3" s="120"/>
      <c r="VQS3" s="120"/>
      <c r="VQT3" s="120"/>
      <c r="VQU3" s="120"/>
      <c r="VQV3" s="120"/>
      <c r="VQW3" s="120"/>
      <c r="VQX3" s="120"/>
      <c r="VQY3" s="120"/>
      <c r="VQZ3" s="120"/>
      <c r="VRA3" s="120"/>
      <c r="VRB3" s="120"/>
      <c r="VRC3" s="120"/>
      <c r="VRD3" s="120"/>
      <c r="VRE3" s="120"/>
      <c r="VRF3" s="120"/>
      <c r="VRG3" s="120"/>
      <c r="VRH3" s="120"/>
      <c r="VRI3" s="120"/>
      <c r="VRJ3" s="120"/>
      <c r="VRK3" s="120"/>
      <c r="VRL3" s="120"/>
      <c r="VRM3" s="120"/>
      <c r="VRN3" s="120"/>
      <c r="VRO3" s="120"/>
      <c r="VRP3" s="120"/>
      <c r="VRQ3" s="120"/>
      <c r="VRR3" s="120"/>
      <c r="VRS3" s="120"/>
      <c r="VRT3" s="120"/>
      <c r="VRU3" s="120"/>
      <c r="VRV3" s="120"/>
      <c r="VRW3" s="120"/>
      <c r="VRX3" s="120"/>
      <c r="VRY3" s="120"/>
      <c r="VRZ3" s="120"/>
      <c r="VSA3" s="120"/>
      <c r="VSB3" s="120"/>
      <c r="VSC3" s="120"/>
      <c r="VSD3" s="120"/>
      <c r="VSE3" s="120"/>
      <c r="VSF3" s="120"/>
      <c r="VSG3" s="120"/>
      <c r="VSH3" s="120"/>
      <c r="VSI3" s="120"/>
      <c r="VSJ3" s="120"/>
      <c r="VSK3" s="120"/>
      <c r="VSL3" s="120"/>
      <c r="VSM3" s="120"/>
      <c r="VSN3" s="120"/>
      <c r="VSO3" s="120"/>
      <c r="VSP3" s="120"/>
      <c r="VSQ3" s="120"/>
      <c r="VSR3" s="120"/>
      <c r="VSS3" s="120"/>
      <c r="VST3" s="120"/>
      <c r="VSU3" s="120"/>
      <c r="VSV3" s="120"/>
      <c r="VSW3" s="120"/>
      <c r="VSX3" s="120"/>
      <c r="VSY3" s="120"/>
      <c r="VSZ3" s="120"/>
      <c r="VTA3" s="120"/>
      <c r="VTB3" s="120"/>
      <c r="VTC3" s="120"/>
      <c r="VTD3" s="120"/>
      <c r="VTE3" s="120"/>
      <c r="VTF3" s="120"/>
      <c r="VTG3" s="120"/>
      <c r="VTH3" s="120"/>
      <c r="VTI3" s="120"/>
      <c r="VTJ3" s="120"/>
      <c r="VTK3" s="120"/>
      <c r="VTL3" s="120"/>
      <c r="VTM3" s="120"/>
      <c r="VTN3" s="120"/>
      <c r="VTO3" s="120"/>
      <c r="VTP3" s="120"/>
      <c r="VTQ3" s="120"/>
      <c r="VTR3" s="120"/>
      <c r="VTS3" s="120"/>
      <c r="VTT3" s="120"/>
      <c r="VTU3" s="120"/>
      <c r="VTV3" s="120"/>
      <c r="VTW3" s="120"/>
      <c r="VTX3" s="120"/>
      <c r="VTY3" s="120"/>
      <c r="VTZ3" s="120"/>
      <c r="VUA3" s="120"/>
      <c r="VUB3" s="120"/>
      <c r="VUC3" s="120"/>
      <c r="VUD3" s="120"/>
      <c r="VUE3" s="120"/>
      <c r="VUF3" s="120"/>
      <c r="VUG3" s="120"/>
      <c r="VUH3" s="120"/>
      <c r="VUI3" s="120"/>
      <c r="VUJ3" s="120"/>
      <c r="VUK3" s="120"/>
      <c r="VUL3" s="120"/>
      <c r="VUM3" s="120"/>
      <c r="VUN3" s="120"/>
      <c r="VUO3" s="120"/>
      <c r="VUP3" s="120"/>
      <c r="VUQ3" s="120"/>
      <c r="VUR3" s="120"/>
      <c r="VUS3" s="120"/>
      <c r="VUT3" s="120"/>
      <c r="VUU3" s="120"/>
      <c r="VUV3" s="120"/>
      <c r="VUW3" s="120"/>
      <c r="VUX3" s="120"/>
      <c r="VUY3" s="120"/>
      <c r="VUZ3" s="120"/>
      <c r="VVA3" s="120"/>
      <c r="VVB3" s="120"/>
      <c r="VVC3" s="120"/>
      <c r="VVD3" s="120"/>
      <c r="VVE3" s="120"/>
      <c r="VVF3" s="120"/>
      <c r="VVG3" s="120"/>
      <c r="VVH3" s="120"/>
      <c r="VVI3" s="120"/>
      <c r="VVJ3" s="120"/>
      <c r="VVK3" s="120"/>
      <c r="VVL3" s="120"/>
      <c r="VVM3" s="120"/>
      <c r="VVN3" s="120"/>
      <c r="VVO3" s="120"/>
      <c r="VVP3" s="120"/>
      <c r="VVQ3" s="120"/>
      <c r="VVR3" s="120"/>
      <c r="VVS3" s="120"/>
      <c r="VVT3" s="120"/>
      <c r="VVU3" s="120"/>
      <c r="VVV3" s="120"/>
      <c r="VVW3" s="120"/>
      <c r="VVX3" s="120"/>
      <c r="VVY3" s="120"/>
      <c r="VVZ3" s="120"/>
      <c r="VWA3" s="120"/>
      <c r="VWB3" s="120"/>
      <c r="VWC3" s="120"/>
      <c r="VWD3" s="120"/>
      <c r="VWE3" s="120"/>
      <c r="VWF3" s="120"/>
      <c r="VWG3" s="120"/>
      <c r="VWH3" s="120"/>
      <c r="VWI3" s="120"/>
      <c r="VWJ3" s="120"/>
      <c r="VWK3" s="120"/>
      <c r="VWL3" s="120"/>
      <c r="VWM3" s="120"/>
      <c r="VWN3" s="120"/>
      <c r="VWO3" s="120"/>
      <c r="VWP3" s="120"/>
      <c r="VWQ3" s="120"/>
      <c r="VWR3" s="120"/>
      <c r="VWS3" s="120"/>
      <c r="VWT3" s="120"/>
      <c r="VWU3" s="120"/>
      <c r="VWV3" s="120"/>
      <c r="VWW3" s="120"/>
      <c r="VWX3" s="120"/>
      <c r="VWY3" s="120"/>
      <c r="VWZ3" s="120"/>
      <c r="VXA3" s="120"/>
      <c r="VXB3" s="120"/>
      <c r="VXC3" s="120"/>
      <c r="VXD3" s="120"/>
      <c r="VXE3" s="120"/>
      <c r="VXF3" s="120"/>
      <c r="VXG3" s="120"/>
      <c r="VXH3" s="120"/>
      <c r="VXI3" s="120"/>
      <c r="VXJ3" s="120"/>
      <c r="VXK3" s="120"/>
      <c r="VXL3" s="120"/>
      <c r="VXM3" s="120"/>
      <c r="VXN3" s="120"/>
      <c r="VXO3" s="120"/>
      <c r="VXP3" s="120"/>
      <c r="VXQ3" s="120"/>
      <c r="VXR3" s="120"/>
      <c r="VXS3" s="120"/>
      <c r="VXT3" s="120"/>
      <c r="VXU3" s="120"/>
      <c r="VXV3" s="120"/>
      <c r="VXW3" s="120"/>
      <c r="VXX3" s="120"/>
      <c r="VXY3" s="120"/>
      <c r="VXZ3" s="120"/>
      <c r="VYA3" s="120"/>
      <c r="VYB3" s="120"/>
      <c r="VYC3" s="120"/>
      <c r="VYD3" s="120"/>
      <c r="VYE3" s="120"/>
      <c r="VYF3" s="120"/>
      <c r="VYG3" s="120"/>
      <c r="VYH3" s="120"/>
      <c r="VYI3" s="120"/>
      <c r="VYJ3" s="120"/>
      <c r="VYK3" s="120"/>
      <c r="VYL3" s="120"/>
      <c r="VYM3" s="120"/>
      <c r="VYN3" s="120"/>
      <c r="VYO3" s="120"/>
      <c r="VYP3" s="120"/>
      <c r="VYQ3" s="120"/>
      <c r="VYR3" s="120"/>
      <c r="VYS3" s="120"/>
      <c r="VYT3" s="120"/>
      <c r="VYU3" s="120"/>
      <c r="VYV3" s="120"/>
      <c r="VYW3" s="120"/>
      <c r="VYX3" s="120"/>
      <c r="VYY3" s="120"/>
      <c r="VYZ3" s="120"/>
      <c r="VZA3" s="120"/>
      <c r="VZB3" s="120"/>
      <c r="VZC3" s="120"/>
      <c r="VZD3" s="120"/>
      <c r="VZE3" s="120"/>
      <c r="VZF3" s="120"/>
      <c r="VZG3" s="120"/>
      <c r="VZH3" s="120"/>
      <c r="VZI3" s="120"/>
      <c r="VZJ3" s="120"/>
      <c r="VZK3" s="120"/>
      <c r="VZL3" s="120"/>
      <c r="VZM3" s="120"/>
      <c r="VZN3" s="120"/>
      <c r="VZO3" s="120"/>
      <c r="VZP3" s="120"/>
      <c r="VZQ3" s="120"/>
      <c r="VZR3" s="120"/>
      <c r="VZS3" s="120"/>
      <c r="VZT3" s="120"/>
      <c r="VZU3" s="120"/>
      <c r="VZV3" s="120"/>
      <c r="VZW3" s="120"/>
      <c r="VZX3" s="120"/>
      <c r="VZY3" s="120"/>
      <c r="VZZ3" s="120"/>
      <c r="WAA3" s="120"/>
      <c r="WAB3" s="120"/>
      <c r="WAC3" s="120"/>
      <c r="WAD3" s="120"/>
      <c r="WAE3" s="120"/>
      <c r="WAF3" s="120"/>
      <c r="WAG3" s="120"/>
      <c r="WAH3" s="120"/>
      <c r="WAI3" s="120"/>
      <c r="WAJ3" s="120"/>
      <c r="WAK3" s="120"/>
      <c r="WAL3" s="120"/>
      <c r="WAM3" s="120"/>
      <c r="WAN3" s="120"/>
      <c r="WAO3" s="120"/>
      <c r="WAP3" s="120"/>
      <c r="WAQ3" s="120"/>
      <c r="WAR3" s="120"/>
      <c r="WAS3" s="120"/>
      <c r="WAT3" s="120"/>
      <c r="WAU3" s="120"/>
      <c r="WAV3" s="120"/>
      <c r="WAW3" s="120"/>
      <c r="WAX3" s="120"/>
      <c r="WAY3" s="120"/>
      <c r="WAZ3" s="120"/>
      <c r="WBA3" s="120"/>
      <c r="WBB3" s="120"/>
      <c r="WBC3" s="120"/>
      <c r="WBD3" s="120"/>
      <c r="WBE3" s="120"/>
      <c r="WBF3" s="120"/>
      <c r="WBG3" s="120"/>
      <c r="WBH3" s="120"/>
      <c r="WBI3" s="120"/>
      <c r="WBJ3" s="120"/>
      <c r="WBK3" s="120"/>
      <c r="WBL3" s="120"/>
      <c r="WBM3" s="120"/>
      <c r="WBN3" s="120"/>
      <c r="WBO3" s="120"/>
      <c r="WBP3" s="120"/>
      <c r="WBQ3" s="120"/>
      <c r="WBR3" s="120"/>
      <c r="WBS3" s="120"/>
      <c r="WBT3" s="120"/>
      <c r="WBU3" s="120"/>
      <c r="WBV3" s="120"/>
      <c r="WBW3" s="120"/>
      <c r="WBX3" s="120"/>
      <c r="WBY3" s="120"/>
      <c r="WBZ3" s="120"/>
      <c r="WCA3" s="120"/>
      <c r="WCB3" s="120"/>
      <c r="WCC3" s="120"/>
      <c r="WCD3" s="120"/>
      <c r="WCE3" s="120"/>
      <c r="WCF3" s="120"/>
      <c r="WCG3" s="120"/>
      <c r="WCH3" s="120"/>
      <c r="WCI3" s="120"/>
      <c r="WCJ3" s="120"/>
      <c r="WCK3" s="120"/>
      <c r="WCL3" s="120"/>
      <c r="WCM3" s="120"/>
      <c r="WCN3" s="120"/>
      <c r="WCO3" s="120"/>
      <c r="WCP3" s="120"/>
      <c r="WCQ3" s="120"/>
      <c r="WCR3" s="120"/>
      <c r="WCS3" s="120"/>
      <c r="WCT3" s="120"/>
      <c r="WCU3" s="120"/>
      <c r="WCV3" s="120"/>
      <c r="WCW3" s="120"/>
      <c r="WCX3" s="120"/>
      <c r="WCY3" s="120"/>
      <c r="WCZ3" s="120"/>
      <c r="WDA3" s="120"/>
      <c r="WDB3" s="120"/>
      <c r="WDC3" s="120"/>
      <c r="WDD3" s="120"/>
      <c r="WDE3" s="120"/>
      <c r="WDF3" s="120"/>
      <c r="WDG3" s="120"/>
      <c r="WDH3" s="120"/>
      <c r="WDI3" s="120"/>
      <c r="WDJ3" s="120"/>
      <c r="WDK3" s="120"/>
      <c r="WDL3" s="120"/>
      <c r="WDM3" s="120"/>
      <c r="WDN3" s="120"/>
      <c r="WDO3" s="120"/>
      <c r="WDP3" s="120"/>
      <c r="WDQ3" s="120"/>
      <c r="WDR3" s="120"/>
      <c r="WDS3" s="120"/>
      <c r="WDT3" s="120"/>
      <c r="WDU3" s="120"/>
      <c r="WDV3" s="120"/>
      <c r="WDW3" s="120"/>
      <c r="WDX3" s="120"/>
      <c r="WDY3" s="120"/>
      <c r="WDZ3" s="120"/>
      <c r="WEA3" s="120"/>
      <c r="WEB3" s="120"/>
      <c r="WEC3" s="120"/>
      <c r="WED3" s="120"/>
      <c r="WEE3" s="120"/>
      <c r="WEF3" s="120"/>
      <c r="WEG3" s="120"/>
      <c r="WEH3" s="120"/>
      <c r="WEI3" s="120"/>
      <c r="WEJ3" s="120"/>
      <c r="WEK3" s="120"/>
      <c r="WEL3" s="120"/>
      <c r="WEM3" s="120"/>
      <c r="WEN3" s="120"/>
      <c r="WEO3" s="120"/>
      <c r="WEP3" s="120"/>
      <c r="WEQ3" s="120"/>
      <c r="WER3" s="120"/>
      <c r="WES3" s="120"/>
      <c r="WET3" s="120"/>
      <c r="WEU3" s="120"/>
      <c r="WEV3" s="120"/>
      <c r="WEW3" s="120"/>
      <c r="WEX3" s="120"/>
      <c r="WEY3" s="120"/>
      <c r="WEZ3" s="120"/>
      <c r="WFA3" s="120"/>
      <c r="WFB3" s="120"/>
      <c r="WFC3" s="120"/>
      <c r="WFD3" s="120"/>
      <c r="WFE3" s="120"/>
      <c r="WFF3" s="120"/>
      <c r="WFG3" s="120"/>
      <c r="WFH3" s="120"/>
      <c r="WFI3" s="120"/>
      <c r="WFJ3" s="120"/>
      <c r="WFK3" s="120"/>
      <c r="WFL3" s="120"/>
      <c r="WFM3" s="120"/>
      <c r="WFN3" s="120"/>
      <c r="WFO3" s="120"/>
      <c r="WFP3" s="120"/>
      <c r="WFQ3" s="120"/>
      <c r="WFR3" s="120"/>
      <c r="WFS3" s="120"/>
      <c r="WFT3" s="120"/>
      <c r="WFU3" s="120"/>
      <c r="WFV3" s="120"/>
      <c r="WFW3" s="120"/>
      <c r="WFX3" s="120"/>
      <c r="WFY3" s="120"/>
      <c r="WFZ3" s="120"/>
      <c r="WGA3" s="120"/>
      <c r="WGB3" s="120"/>
      <c r="WGC3" s="120"/>
      <c r="WGD3" s="120"/>
      <c r="WGE3" s="120"/>
      <c r="WGF3" s="120"/>
      <c r="WGG3" s="120"/>
      <c r="WGH3" s="120"/>
      <c r="WGI3" s="120"/>
      <c r="WGJ3" s="120"/>
      <c r="WGK3" s="120"/>
      <c r="WGL3" s="120"/>
      <c r="WGM3" s="120"/>
      <c r="WGN3" s="120"/>
      <c r="WGO3" s="120"/>
      <c r="WGP3" s="120"/>
      <c r="WGQ3" s="120"/>
      <c r="WGR3" s="120"/>
      <c r="WGS3" s="120"/>
      <c r="WGT3" s="120"/>
      <c r="WGU3" s="120"/>
      <c r="WGV3" s="120"/>
      <c r="WGW3" s="120"/>
      <c r="WGX3" s="120"/>
      <c r="WGY3" s="120"/>
      <c r="WGZ3" s="120"/>
      <c r="WHA3" s="120"/>
      <c r="WHB3" s="120"/>
      <c r="WHC3" s="120"/>
      <c r="WHD3" s="120"/>
      <c r="WHE3" s="120"/>
      <c r="WHF3" s="120"/>
      <c r="WHG3" s="120"/>
      <c r="WHH3" s="120"/>
      <c r="WHI3" s="120"/>
      <c r="WHJ3" s="120"/>
      <c r="WHK3" s="120"/>
      <c r="WHL3" s="120"/>
      <c r="WHM3" s="120"/>
      <c r="WHN3" s="120"/>
      <c r="WHO3" s="120"/>
      <c r="WHP3" s="120"/>
      <c r="WHQ3" s="120"/>
      <c r="WHR3" s="120"/>
      <c r="WHS3" s="120"/>
      <c r="WHT3" s="120"/>
      <c r="WHU3" s="120"/>
      <c r="WHV3" s="120"/>
      <c r="WHW3" s="120"/>
      <c r="WHX3" s="120"/>
      <c r="WHY3" s="120"/>
      <c r="WHZ3" s="120"/>
      <c r="WIA3" s="120"/>
      <c r="WIB3" s="120"/>
      <c r="WIC3" s="120"/>
      <c r="WID3" s="120"/>
      <c r="WIE3" s="120"/>
      <c r="WIF3" s="120"/>
      <c r="WIG3" s="120"/>
      <c r="WIH3" s="120"/>
      <c r="WII3" s="120"/>
      <c r="WIJ3" s="120"/>
      <c r="WIK3" s="120"/>
      <c r="WIL3" s="120"/>
      <c r="WIM3" s="120"/>
      <c r="WIN3" s="120"/>
      <c r="WIO3" s="120"/>
      <c r="WIP3" s="120"/>
      <c r="WIQ3" s="120"/>
      <c r="WIR3" s="120"/>
      <c r="WIS3" s="120"/>
      <c r="WIT3" s="120"/>
      <c r="WIU3" s="120"/>
      <c r="WIV3" s="120"/>
      <c r="WIW3" s="120"/>
      <c r="WIX3" s="120"/>
      <c r="WIY3" s="120"/>
      <c r="WIZ3" s="120"/>
      <c r="WJA3" s="120"/>
      <c r="WJB3" s="120"/>
      <c r="WJC3" s="120"/>
      <c r="WJD3" s="120"/>
      <c r="WJE3" s="120"/>
      <c r="WJF3" s="120"/>
      <c r="WJG3" s="120"/>
      <c r="WJH3" s="120"/>
      <c r="WJI3" s="120"/>
      <c r="WJJ3" s="120"/>
      <c r="WJK3" s="120"/>
      <c r="WJL3" s="120"/>
      <c r="WJM3" s="120"/>
      <c r="WJN3" s="120"/>
      <c r="WJO3" s="120"/>
      <c r="WJP3" s="120"/>
      <c r="WJQ3" s="120"/>
      <c r="WJR3" s="120"/>
      <c r="WJS3" s="120"/>
      <c r="WJT3" s="120"/>
      <c r="WJU3" s="120"/>
      <c r="WJV3" s="120"/>
      <c r="WJW3" s="120"/>
      <c r="WJX3" s="120"/>
      <c r="WJY3" s="120"/>
      <c r="WJZ3" s="120"/>
      <c r="WKA3" s="120"/>
      <c r="WKB3" s="120"/>
      <c r="WKC3" s="120"/>
      <c r="WKD3" s="120"/>
      <c r="WKE3" s="120"/>
      <c r="WKF3" s="120"/>
      <c r="WKG3" s="120"/>
      <c r="WKH3" s="120"/>
      <c r="WKI3" s="120"/>
      <c r="WKJ3" s="120"/>
      <c r="WKK3" s="120"/>
      <c r="WKL3" s="120"/>
      <c r="WKM3" s="120"/>
      <c r="WKN3" s="120"/>
      <c r="WKO3" s="120"/>
      <c r="WKP3" s="120"/>
      <c r="WKQ3" s="120"/>
      <c r="WKR3" s="120"/>
      <c r="WKS3" s="120"/>
      <c r="WKT3" s="120"/>
      <c r="WKU3" s="120"/>
      <c r="WKV3" s="120"/>
      <c r="WKW3" s="120"/>
      <c r="WKX3" s="120"/>
      <c r="WKY3" s="120"/>
      <c r="WKZ3" s="120"/>
      <c r="WLA3" s="120"/>
      <c r="WLB3" s="120"/>
      <c r="WLC3" s="120"/>
      <c r="WLD3" s="120"/>
      <c r="WLE3" s="120"/>
      <c r="WLF3" s="120"/>
      <c r="WLG3" s="120"/>
      <c r="WLH3" s="120"/>
      <c r="WLI3" s="120"/>
      <c r="WLJ3" s="120"/>
      <c r="WLK3" s="120"/>
      <c r="WLL3" s="120"/>
      <c r="WLM3" s="120"/>
      <c r="WLN3" s="120"/>
      <c r="WLO3" s="120"/>
      <c r="WLP3" s="120"/>
      <c r="WLQ3" s="120"/>
      <c r="WLR3" s="120"/>
      <c r="WLS3" s="120"/>
      <c r="WLT3" s="120"/>
      <c r="WLU3" s="120"/>
      <c r="WLV3" s="120"/>
      <c r="WLW3" s="120"/>
      <c r="WLX3" s="120"/>
      <c r="WLY3" s="120"/>
      <c r="WLZ3" s="120"/>
      <c r="WMA3" s="120"/>
      <c r="WMB3" s="120"/>
      <c r="WMC3" s="120"/>
      <c r="WMD3" s="120"/>
      <c r="WME3" s="120"/>
      <c r="WMF3" s="120"/>
      <c r="WMG3" s="120"/>
      <c r="WMH3" s="120"/>
      <c r="WMI3" s="120"/>
      <c r="WMJ3" s="120"/>
      <c r="WMK3" s="120"/>
      <c r="WML3" s="120"/>
      <c r="WMM3" s="120"/>
      <c r="WMN3" s="120"/>
      <c r="WMO3" s="120"/>
      <c r="WMP3" s="120"/>
      <c r="WMQ3" s="120"/>
      <c r="WMR3" s="120"/>
      <c r="WMS3" s="120"/>
      <c r="WMT3" s="120"/>
      <c r="WMU3" s="120"/>
      <c r="WMV3" s="120"/>
      <c r="WMW3" s="120"/>
      <c r="WMX3" s="120"/>
      <c r="WMY3" s="120"/>
      <c r="WMZ3" s="120"/>
      <c r="WNA3" s="120"/>
      <c r="WNB3" s="120"/>
      <c r="WNC3" s="120"/>
      <c r="WND3" s="120"/>
      <c r="WNE3" s="120"/>
      <c r="WNF3" s="120"/>
      <c r="WNG3" s="120"/>
      <c r="WNH3" s="120"/>
      <c r="WNI3" s="120"/>
      <c r="WNJ3" s="120"/>
      <c r="WNK3" s="120"/>
      <c r="WNL3" s="120"/>
      <c r="WNM3" s="120"/>
      <c r="WNN3" s="120"/>
      <c r="WNO3" s="120"/>
      <c r="WNP3" s="120"/>
      <c r="WNQ3" s="120"/>
      <c r="WNR3" s="120"/>
      <c r="WNS3" s="120"/>
      <c r="WNT3" s="120"/>
      <c r="WNU3" s="120"/>
      <c r="WNV3" s="120"/>
      <c r="WNW3" s="120"/>
      <c r="WNX3" s="120"/>
      <c r="WNY3" s="120"/>
      <c r="WNZ3" s="120"/>
      <c r="WOA3" s="120"/>
      <c r="WOB3" s="120"/>
      <c r="WOC3" s="120"/>
      <c r="WOD3" s="120"/>
      <c r="WOE3" s="120"/>
      <c r="WOF3" s="120"/>
      <c r="WOG3" s="120"/>
      <c r="WOH3" s="120"/>
      <c r="WOI3" s="120"/>
      <c r="WOJ3" s="120"/>
      <c r="WOK3" s="120"/>
      <c r="WOL3" s="120"/>
      <c r="WOM3" s="120"/>
      <c r="WON3" s="120"/>
      <c r="WOO3" s="120"/>
      <c r="WOP3" s="120"/>
      <c r="WOQ3" s="120"/>
      <c r="WOR3" s="120"/>
      <c r="WOS3" s="120"/>
      <c r="WOT3" s="120"/>
      <c r="WOU3" s="120"/>
      <c r="WOV3" s="120"/>
      <c r="WOW3" s="120"/>
      <c r="WOX3" s="120"/>
      <c r="WOY3" s="120"/>
      <c r="WOZ3" s="120"/>
      <c r="WPA3" s="120"/>
      <c r="WPB3" s="120"/>
      <c r="WPC3" s="120"/>
      <c r="WPD3" s="120"/>
      <c r="WPE3" s="120"/>
      <c r="WPF3" s="120"/>
      <c r="WPG3" s="120"/>
      <c r="WPH3" s="120"/>
      <c r="WPI3" s="120"/>
      <c r="WPJ3" s="120"/>
      <c r="WPK3" s="120"/>
      <c r="WPL3" s="120"/>
      <c r="WPM3" s="120"/>
      <c r="WPN3" s="120"/>
      <c r="WPO3" s="120"/>
      <c r="WPP3" s="120"/>
      <c r="WPQ3" s="120"/>
      <c r="WPR3" s="120"/>
      <c r="WPS3" s="120"/>
      <c r="WPT3" s="120"/>
      <c r="WPU3" s="120"/>
      <c r="WPV3" s="120"/>
      <c r="WPW3" s="120"/>
      <c r="WPX3" s="120"/>
      <c r="WPY3" s="120"/>
      <c r="WPZ3" s="120"/>
      <c r="WQA3" s="120"/>
      <c r="WQB3" s="120"/>
      <c r="WQC3" s="120"/>
      <c r="WQD3" s="120"/>
      <c r="WQE3" s="120"/>
      <c r="WQF3" s="120"/>
      <c r="WQG3" s="120"/>
      <c r="WQH3" s="120"/>
      <c r="WQI3" s="120"/>
      <c r="WQJ3" s="120"/>
      <c r="WQK3" s="120"/>
      <c r="WQL3" s="120"/>
      <c r="WQM3" s="120"/>
      <c r="WQN3" s="120"/>
      <c r="WQO3" s="120"/>
      <c r="WQP3" s="120"/>
      <c r="WQQ3" s="120"/>
      <c r="WQR3" s="120"/>
      <c r="WQS3" s="120"/>
      <c r="WQT3" s="120"/>
      <c r="WQU3" s="120"/>
      <c r="WQV3" s="120"/>
      <c r="WQW3" s="120"/>
      <c r="WQX3" s="120"/>
      <c r="WQY3" s="120"/>
      <c r="WQZ3" s="120"/>
      <c r="WRA3" s="120"/>
      <c r="WRB3" s="120"/>
      <c r="WRC3" s="120"/>
      <c r="WRD3" s="120"/>
      <c r="WRE3" s="120"/>
      <c r="WRF3" s="120"/>
      <c r="WRG3" s="120"/>
      <c r="WRH3" s="120"/>
      <c r="WRI3" s="120"/>
      <c r="WRJ3" s="120"/>
      <c r="WRK3" s="120"/>
      <c r="WRL3" s="120"/>
      <c r="WRM3" s="120"/>
      <c r="WRN3" s="120"/>
      <c r="WRO3" s="120"/>
      <c r="WRP3" s="120"/>
      <c r="WRQ3" s="120"/>
      <c r="WRR3" s="120"/>
      <c r="WRS3" s="120"/>
      <c r="WRT3" s="120"/>
      <c r="WRU3" s="120"/>
      <c r="WRV3" s="120"/>
      <c r="WRW3" s="120"/>
      <c r="WRX3" s="120"/>
      <c r="WRY3" s="120"/>
      <c r="WRZ3" s="120"/>
      <c r="WSA3" s="120"/>
      <c r="WSB3" s="120"/>
      <c r="WSC3" s="120"/>
      <c r="WSD3" s="120"/>
      <c r="WSE3" s="120"/>
      <c r="WSF3" s="120"/>
      <c r="WSG3" s="120"/>
      <c r="WSH3" s="120"/>
      <c r="WSI3" s="120"/>
      <c r="WSJ3" s="120"/>
      <c r="WSK3" s="120"/>
      <c r="WSL3" s="120"/>
      <c r="WSM3" s="120"/>
      <c r="WSN3" s="120"/>
      <c r="WSO3" s="120"/>
      <c r="WSP3" s="120"/>
      <c r="WSQ3" s="120"/>
      <c r="WSR3" s="120"/>
      <c r="WSS3" s="120"/>
      <c r="WST3" s="120"/>
      <c r="WSU3" s="120"/>
      <c r="WSV3" s="120"/>
      <c r="WSW3" s="120"/>
      <c r="WSX3" s="120"/>
      <c r="WSY3" s="120"/>
      <c r="WSZ3" s="120"/>
      <c r="WTA3" s="120"/>
      <c r="WTB3" s="120"/>
      <c r="WTC3" s="120"/>
      <c r="WTD3" s="120"/>
      <c r="WTE3" s="120"/>
      <c r="WTF3" s="120"/>
      <c r="WTG3" s="120"/>
      <c r="WTH3" s="120"/>
      <c r="WTI3" s="120"/>
      <c r="WTJ3" s="120"/>
      <c r="WTK3" s="120"/>
      <c r="WTL3" s="120"/>
      <c r="WTM3" s="120"/>
      <c r="WTN3" s="120"/>
      <c r="WTO3" s="120"/>
      <c r="WTP3" s="120"/>
      <c r="WTQ3" s="120"/>
      <c r="WTR3" s="120"/>
      <c r="WTS3" s="120"/>
      <c r="WTT3" s="120"/>
      <c r="WTU3" s="120"/>
      <c r="WTV3" s="120"/>
      <c r="WTW3" s="120"/>
      <c r="WTX3" s="120"/>
      <c r="WTY3" s="120"/>
      <c r="WTZ3" s="120"/>
      <c r="WUA3" s="120"/>
      <c r="WUB3" s="120"/>
      <c r="WUC3" s="120"/>
      <c r="WUD3" s="120"/>
      <c r="WUE3" s="120"/>
      <c r="WUF3" s="120"/>
      <c r="WUG3" s="120"/>
      <c r="WUH3" s="120"/>
      <c r="WUI3" s="120"/>
      <c r="WUJ3" s="120"/>
      <c r="WUK3" s="120"/>
      <c r="WUL3" s="120"/>
      <c r="WUM3" s="120"/>
      <c r="WUN3" s="120"/>
      <c r="WUO3" s="120"/>
      <c r="WUP3" s="120"/>
      <c r="WUQ3" s="120"/>
      <c r="WUR3" s="120"/>
      <c r="WUS3" s="120"/>
      <c r="WUT3" s="120"/>
      <c r="WUU3" s="120"/>
      <c r="WUV3" s="120"/>
      <c r="WUW3" s="120"/>
      <c r="WUX3" s="120"/>
      <c r="WUY3" s="120"/>
      <c r="WUZ3" s="120"/>
      <c r="WVA3" s="120"/>
      <c r="WVB3" s="120"/>
      <c r="WVC3" s="120"/>
      <c r="WVD3" s="120"/>
      <c r="WVE3" s="120"/>
      <c r="WVF3" s="120"/>
      <c r="WVG3" s="120"/>
      <c r="WVH3" s="120"/>
      <c r="WVI3" s="120"/>
      <c r="WVJ3" s="120"/>
      <c r="WVK3" s="120"/>
      <c r="WVL3" s="120"/>
      <c r="WVM3" s="120"/>
      <c r="WVN3" s="120"/>
      <c r="WVO3" s="120"/>
      <c r="WVP3" s="120"/>
      <c r="WVQ3" s="120"/>
      <c r="WVR3" s="120"/>
      <c r="WVS3" s="120"/>
      <c r="WVT3" s="120"/>
      <c r="WVU3" s="120"/>
      <c r="WVV3" s="120"/>
      <c r="WVW3" s="120"/>
      <c r="WVX3" s="120"/>
      <c r="WVY3" s="120"/>
      <c r="WVZ3" s="120"/>
      <c r="WWA3" s="120"/>
      <c r="WWB3" s="120"/>
      <c r="WWC3" s="120"/>
      <c r="WWD3" s="120"/>
      <c r="WWE3" s="120"/>
      <c r="WWF3" s="120"/>
      <c r="WWG3" s="120"/>
      <c r="WWH3" s="120"/>
      <c r="WWI3" s="120"/>
      <c r="WWJ3" s="120"/>
      <c r="WWK3" s="120"/>
      <c r="WWL3" s="120"/>
      <c r="WWM3" s="120"/>
      <c r="WWN3" s="120"/>
      <c r="WWO3" s="120"/>
      <c r="WWP3" s="120"/>
      <c r="WWQ3" s="120"/>
      <c r="WWR3" s="120"/>
      <c r="WWS3" s="120"/>
      <c r="WWT3" s="120"/>
      <c r="WWU3" s="120"/>
      <c r="WWV3" s="120"/>
      <c r="WWW3" s="120"/>
      <c r="WWX3" s="120"/>
      <c r="WWY3" s="120"/>
      <c r="WWZ3" s="120"/>
      <c r="WXA3" s="120"/>
      <c r="WXB3" s="120"/>
      <c r="WXC3" s="120"/>
      <c r="WXD3" s="120"/>
      <c r="WXE3" s="120"/>
      <c r="WXF3" s="120"/>
      <c r="WXG3" s="120"/>
      <c r="WXH3" s="120"/>
      <c r="WXI3" s="120"/>
      <c r="WXJ3" s="120"/>
      <c r="WXK3" s="120"/>
      <c r="WXL3" s="120"/>
      <c r="WXM3" s="120"/>
      <c r="WXN3" s="120"/>
      <c r="WXO3" s="120"/>
      <c r="WXP3" s="120"/>
      <c r="WXQ3" s="120"/>
      <c r="WXR3" s="120"/>
      <c r="WXS3" s="120"/>
      <c r="WXT3" s="120"/>
      <c r="WXU3" s="120"/>
      <c r="WXV3" s="120"/>
      <c r="WXW3" s="120"/>
      <c r="WXX3" s="120"/>
      <c r="WXY3" s="120"/>
      <c r="WXZ3" s="120"/>
      <c r="WYA3" s="120"/>
      <c r="WYB3" s="120"/>
      <c r="WYC3" s="120"/>
      <c r="WYD3" s="120"/>
      <c r="WYE3" s="120"/>
      <c r="WYF3" s="120"/>
      <c r="WYG3" s="120"/>
      <c r="WYH3" s="120"/>
      <c r="WYI3" s="120"/>
      <c r="WYJ3" s="120"/>
      <c r="WYK3" s="120"/>
      <c r="WYL3" s="120"/>
      <c r="WYM3" s="120"/>
      <c r="WYN3" s="120"/>
      <c r="WYO3" s="120"/>
      <c r="WYP3" s="120"/>
      <c r="WYQ3" s="120"/>
      <c r="WYR3" s="120"/>
      <c r="WYS3" s="120"/>
      <c r="WYT3" s="120"/>
      <c r="WYU3" s="120"/>
      <c r="WYV3" s="120"/>
      <c r="WYW3" s="120"/>
      <c r="WYX3" s="120"/>
      <c r="WYY3" s="120"/>
      <c r="WYZ3" s="120"/>
      <c r="WZA3" s="120"/>
      <c r="WZB3" s="120"/>
      <c r="WZC3" s="120"/>
      <c r="WZD3" s="120"/>
      <c r="WZE3" s="120"/>
      <c r="WZF3" s="120"/>
      <c r="WZG3" s="120"/>
      <c r="WZH3" s="120"/>
      <c r="WZI3" s="120"/>
      <c r="WZJ3" s="120"/>
      <c r="WZK3" s="120"/>
      <c r="WZL3" s="120"/>
      <c r="WZM3" s="120"/>
      <c r="WZN3" s="120"/>
      <c r="WZO3" s="120"/>
      <c r="WZP3" s="120"/>
      <c r="WZQ3" s="120"/>
      <c r="WZR3" s="120"/>
      <c r="WZS3" s="120"/>
      <c r="WZT3" s="120"/>
      <c r="WZU3" s="120"/>
      <c r="WZV3" s="120"/>
      <c r="WZW3" s="120"/>
      <c r="WZX3" s="120"/>
      <c r="WZY3" s="120"/>
      <c r="WZZ3" s="120"/>
      <c r="XAA3" s="120"/>
      <c r="XAB3" s="120"/>
      <c r="XAC3" s="120"/>
      <c r="XAD3" s="120"/>
      <c r="XAE3" s="120"/>
      <c r="XAF3" s="120"/>
      <c r="XAG3" s="120"/>
      <c r="XAH3" s="120"/>
      <c r="XAI3" s="120"/>
      <c r="XAJ3" s="120"/>
      <c r="XAK3" s="120"/>
      <c r="XAL3" s="120"/>
      <c r="XAM3" s="120"/>
      <c r="XAN3" s="120"/>
      <c r="XAO3" s="120"/>
      <c r="XAP3" s="120"/>
      <c r="XAQ3" s="120"/>
      <c r="XAR3" s="120"/>
      <c r="XAS3" s="120"/>
      <c r="XAT3" s="120"/>
      <c r="XAU3" s="120"/>
      <c r="XAV3" s="120"/>
      <c r="XAW3" s="120"/>
      <c r="XAX3" s="120"/>
      <c r="XAY3" s="120"/>
      <c r="XAZ3" s="120"/>
      <c r="XBA3" s="120"/>
      <c r="XBB3" s="120"/>
      <c r="XBC3" s="120"/>
      <c r="XBD3" s="120"/>
      <c r="XBE3" s="120"/>
      <c r="XBF3" s="120"/>
      <c r="XBG3" s="120"/>
      <c r="XBH3" s="120"/>
      <c r="XBI3" s="120"/>
      <c r="XBJ3" s="120"/>
      <c r="XBK3" s="120"/>
      <c r="XBL3" s="120"/>
      <c r="XBM3" s="120"/>
      <c r="XBN3" s="120"/>
      <c r="XBO3" s="120"/>
      <c r="XBP3" s="120"/>
      <c r="XBQ3" s="120"/>
      <c r="XBR3" s="120"/>
      <c r="XBS3" s="120"/>
      <c r="XBT3" s="120"/>
      <c r="XBU3" s="120"/>
      <c r="XBV3" s="120"/>
      <c r="XBW3" s="120"/>
      <c r="XBX3" s="120"/>
      <c r="XBY3" s="120"/>
      <c r="XBZ3" s="120"/>
      <c r="XCA3" s="120"/>
      <c r="XCB3" s="120"/>
      <c r="XCC3" s="120"/>
      <c r="XCD3" s="120"/>
      <c r="XCE3" s="120"/>
      <c r="XCF3" s="120"/>
      <c r="XCG3" s="120"/>
      <c r="XCH3" s="120"/>
      <c r="XCI3" s="120"/>
      <c r="XCJ3" s="120"/>
      <c r="XCK3" s="120"/>
      <c r="XCL3" s="120"/>
      <c r="XCM3" s="120"/>
      <c r="XCN3" s="120"/>
      <c r="XCO3" s="120"/>
      <c r="XCP3" s="120"/>
      <c r="XCQ3" s="120"/>
      <c r="XCR3" s="120"/>
      <c r="XCS3" s="120"/>
      <c r="XCT3" s="120"/>
      <c r="XCU3" s="120"/>
      <c r="XCV3" s="120"/>
      <c r="XCW3" s="120"/>
      <c r="XCX3" s="120"/>
      <c r="XCY3" s="120"/>
      <c r="XCZ3" s="120"/>
      <c r="XDA3" s="120"/>
      <c r="XDB3" s="120"/>
      <c r="XDC3" s="120"/>
      <c r="XDD3" s="120"/>
      <c r="XDE3" s="120"/>
      <c r="XDF3" s="120"/>
      <c r="XDG3" s="120"/>
      <c r="XDH3" s="120"/>
      <c r="XDI3" s="120"/>
      <c r="XDJ3" s="120"/>
      <c r="XDK3" s="120"/>
      <c r="XDL3" s="120"/>
      <c r="XDM3" s="120"/>
      <c r="XDN3" s="120"/>
      <c r="XDO3" s="120"/>
      <c r="XDP3" s="120"/>
      <c r="XDQ3" s="120"/>
      <c r="XDR3" s="120"/>
      <c r="XDS3" s="120"/>
      <c r="XDT3" s="120"/>
      <c r="XDU3" s="120"/>
      <c r="XDV3" s="120"/>
      <c r="XDW3" s="120"/>
      <c r="XDX3" s="120"/>
      <c r="XDY3" s="120"/>
      <c r="XDZ3" s="120"/>
      <c r="XEA3" s="120"/>
      <c r="XEB3" s="120"/>
      <c r="XEC3" s="120"/>
      <c r="XED3" s="120"/>
      <c r="XEE3" s="120"/>
      <c r="XEF3" s="120"/>
      <c r="XEG3" s="120"/>
      <c r="XEH3" s="120"/>
      <c r="XEI3" s="120"/>
      <c r="XEJ3" s="120"/>
      <c r="XEK3" s="120"/>
      <c r="XEL3" s="120"/>
      <c r="XEM3" s="120"/>
      <c r="XEN3" s="120"/>
      <c r="XEO3" s="120"/>
      <c r="XEP3" s="120"/>
      <c r="XEQ3" s="120"/>
      <c r="XER3" s="120"/>
      <c r="XES3" s="120"/>
      <c r="XET3" s="120"/>
      <c r="XEU3" s="120"/>
      <c r="XEV3" s="120"/>
      <c r="XEW3" s="120"/>
      <c r="XEX3" s="120"/>
      <c r="XEY3" s="120"/>
      <c r="XEZ3" s="120"/>
      <c r="XFA3" s="120"/>
      <c r="XFB3" s="120"/>
      <c r="XFC3" s="120"/>
      <c r="XFD3" s="120"/>
    </row>
    <row r="4" spans="1:16384" ht="15" customHeight="1" thickBot="1"/>
    <row r="5" spans="1:16384" ht="30" customHeight="1" thickBot="1">
      <c r="C5" s="84" t="s">
        <v>25</v>
      </c>
      <c r="D5" s="54" t="s">
        <v>85</v>
      </c>
    </row>
    <row r="6" spans="1:16384" ht="15" customHeight="1" thickBot="1"/>
    <row r="7" spans="1:16384" ht="30" customHeight="1" thickBot="1">
      <c r="C7" s="84" t="s">
        <v>51</v>
      </c>
      <c r="D7" s="84" t="s">
        <v>52</v>
      </c>
      <c r="E7" s="84" t="s">
        <v>53</v>
      </c>
      <c r="F7" s="84" t="s">
        <v>54</v>
      </c>
      <c r="G7" s="93" t="s">
        <v>55</v>
      </c>
    </row>
    <row r="8" spans="1:16384" ht="39" customHeight="1">
      <c r="C8" s="92" t="str">
        <f>IFERROR(VLOOKUP(ROW()-6,ANA_CONC!B:G,2,0),"")</f>
        <v>Concorrente 6</v>
      </c>
      <c r="D8" s="92" t="str">
        <f>IFERROR(VLOOKUP(ROW()-6,ANA_CONC!B:G,3,0),"")</f>
        <v>Preço</v>
      </c>
      <c r="E8" s="111">
        <f>IFERROR(VLOOKUP(ROW()-6,ANA_CONC!B:G,5,0),"")</f>
        <v>40</v>
      </c>
      <c r="F8" s="110">
        <f>IFERROR(VLOOKUP(ROW()-6,ANA_CONC!B:G,6,0),"")</f>
        <v>60</v>
      </c>
      <c r="G8" s="94" t="str">
        <f>IF(ISERROR(
IF(C8="","",
IF(E8&lt;F8,"Seu preço está acima de um dos seus concorrentes. Você precisa encontrar meios como qualidade, localização, etc, para justificar esta diferença.",IF(E8&gt;F8,"Seu preço está abaixo de um dos seus concorrentes. Mas ele se posiciona pelo(a) "&amp;D8&amp;". Fique atento sobre este detalhe, pois preço baixo não é garantia de sucesso.","Seu preço está igual a de um dos seus concorrentes. Mas ele se posiciona pela "&amp;D8&amp;". Se você conseguir este mesmo benefício, poderá estar em vantagem.")))),"",
IF(C8="","",
IF(E8&lt;F8,"Seu preço está acima de um dos seus concorrentes. Você precisa encontrar meios como qualidade, localização, etc, para justificar esta diferença.",IF(E8&gt;F8,"Seu preço está abaixo de um dos seus concorrentes. Mas ele se posiciona pelo(a) "&amp;D8&amp;". Fique atento sobre este detalhe, pois preço baixo não é garantia de sucesso.","Seu preço está igual a de um dos seus concorrentes. Mas ele se posiciona pela "&amp;D8&amp;". Se você conseguir este mesmo benefício, poderá estar em vantagem."))))</f>
        <v>Seu preço está acima de um dos seus concorrentes. Você precisa encontrar meios como qualidade, localização, etc, para justificar esta diferença.</v>
      </c>
    </row>
    <row r="9" spans="1:16384" ht="39" customHeight="1">
      <c r="C9" s="92" t="str">
        <f>IFERROR(VLOOKUP(ROW()-6,ANA_CONC!B:G,2,0),"")</f>
        <v/>
      </c>
      <c r="D9" s="92" t="str">
        <f>IFERROR(VLOOKUP(ROW()-6,ANA_CONC!B:G,3,0),"")</f>
        <v/>
      </c>
      <c r="E9" s="111" t="str">
        <f>IFERROR(VLOOKUP(ROW()-6,ANA_CONC!B:G,5,0),"")</f>
        <v/>
      </c>
      <c r="F9" s="110" t="str">
        <f>IFERROR(VLOOKUP(ROW()-6,ANA_CONC!B:G,6,0),"")</f>
        <v/>
      </c>
      <c r="G9" s="94" t="str">
        <f t="shared" ref="G9:G17" si="0">IF(ISERROR(
IF(C9="","",
IF(E9&lt;F9,"Seu preço está acima de um dos seus concorrentes. Você precisa encontrar meios como qualidade, localização, etc, para justificar esta diferença.",IF(E9&gt;F9,"Seu preço está abaixo de um dos seus concorrentes. Mas ele se posiciona pelo(a) "&amp;D9&amp;". Fique atento sobre este detalhe, pois preço baixo não é garantia de sucesso.","Seu preço está igual a de um dos seus concorrentes. Mas ele se posiciona pela "&amp;D9&amp;". Se você conseguir este mesmo benefício, poderá estar em vantagem.")))),"",
IF(C9="","",
IF(E9&lt;F9,"Seu preço está acima de um dos seus concorrentes. Você precisa encontrar meios como qualidade, localização, etc, para justificar esta diferença.",IF(E9&gt;F9,"Seu preço está abaixo de um dos seus concorrentes. Mas ele se posiciona pelo(a) "&amp;D9&amp;". Fique atento sobre este detalhe, pois preço baixo não é garantia de sucesso.","Seu preço está igual a de um dos seus concorrentes. Mas ele se posiciona pela "&amp;D9&amp;". Se você conseguir este mesmo benefício, poderá estar em vantagem."))))</f>
        <v/>
      </c>
    </row>
    <row r="10" spans="1:16384" ht="39" customHeight="1">
      <c r="C10" s="92" t="str">
        <f>IFERROR(VLOOKUP(ROW()-6,ANA_CONC!B:G,2,0),"")</f>
        <v/>
      </c>
      <c r="D10" s="92" t="str">
        <f>IFERROR(VLOOKUP(ROW()-6,ANA_CONC!B:G,3,0),"")</f>
        <v/>
      </c>
      <c r="E10" s="111" t="str">
        <f>IFERROR(VLOOKUP(ROW()-6,ANA_CONC!B:G,5,0),"")</f>
        <v/>
      </c>
      <c r="F10" s="110" t="str">
        <f>IFERROR(VLOOKUP(ROW()-6,ANA_CONC!B:G,6,0),"")</f>
        <v/>
      </c>
      <c r="G10" s="94" t="str">
        <f t="shared" si="0"/>
        <v/>
      </c>
    </row>
    <row r="11" spans="1:16384" ht="39" customHeight="1">
      <c r="C11" s="92" t="str">
        <f>IFERROR(VLOOKUP(ROW()-6,ANA_CONC!B:G,2,0),"")</f>
        <v/>
      </c>
      <c r="D11" s="92" t="str">
        <f>IFERROR(VLOOKUP(ROW()-6,ANA_CONC!B:G,3,0),"")</f>
        <v/>
      </c>
      <c r="E11" s="111" t="str">
        <f>IFERROR(VLOOKUP(ROW()-6,ANA_CONC!B:G,5,0),"")</f>
        <v/>
      </c>
      <c r="F11" s="110" t="str">
        <f>IFERROR(VLOOKUP(ROW()-6,ANA_CONC!B:G,6,0),"")</f>
        <v/>
      </c>
      <c r="G11" s="94" t="str">
        <f t="shared" si="0"/>
        <v/>
      </c>
    </row>
    <row r="12" spans="1:16384" ht="39" customHeight="1">
      <c r="C12" s="92" t="str">
        <f>IFERROR(VLOOKUP(ROW()-6,ANA_CONC!B:G,2,0),"")</f>
        <v/>
      </c>
      <c r="D12" s="92" t="str">
        <f>IFERROR(VLOOKUP(ROW()-6,ANA_CONC!B:G,3,0),"")</f>
        <v/>
      </c>
      <c r="E12" s="111" t="str">
        <f>IFERROR(VLOOKUP(ROW()-6,ANA_CONC!B:G,5,0),"")</f>
        <v/>
      </c>
      <c r="F12" s="110" t="str">
        <f>IFERROR(VLOOKUP(ROW()-6,ANA_CONC!B:G,6,0),"")</f>
        <v/>
      </c>
      <c r="G12" s="94" t="str">
        <f t="shared" si="0"/>
        <v/>
      </c>
    </row>
    <row r="13" spans="1:16384" ht="39" customHeight="1">
      <c r="C13" s="92" t="str">
        <f>IFERROR(VLOOKUP(ROW()-6,ANA_CONC!B:G,2,0),"")</f>
        <v/>
      </c>
      <c r="D13" s="92" t="str">
        <f>IFERROR(VLOOKUP(ROW()-6,ANA_CONC!B:G,3,0),"")</f>
        <v/>
      </c>
      <c r="E13" s="111" t="str">
        <f>IFERROR(VLOOKUP(ROW()-6,ANA_CONC!B:G,5,0),"")</f>
        <v/>
      </c>
      <c r="F13" s="110" t="str">
        <f>IFERROR(VLOOKUP(ROW()-6,ANA_CONC!B:G,6,0),"")</f>
        <v/>
      </c>
      <c r="G13" s="94" t="str">
        <f t="shared" si="0"/>
        <v/>
      </c>
    </row>
    <row r="14" spans="1:16384" ht="39" customHeight="1">
      <c r="C14" s="92" t="str">
        <f>IFERROR(VLOOKUP(ROW()-6,ANA_CONC!B:G,2,0),"")</f>
        <v/>
      </c>
      <c r="D14" s="92" t="str">
        <f>IFERROR(VLOOKUP(ROW()-6,ANA_CONC!B:G,3,0),"")</f>
        <v/>
      </c>
      <c r="E14" s="111" t="str">
        <f>IFERROR(VLOOKUP(ROW()-6,ANA_CONC!B:G,5,0),"")</f>
        <v/>
      </c>
      <c r="F14" s="110" t="str">
        <f>IFERROR(VLOOKUP(ROW()-6,ANA_CONC!B:G,6,0),"")</f>
        <v/>
      </c>
      <c r="G14" s="94" t="str">
        <f t="shared" si="0"/>
        <v/>
      </c>
    </row>
    <row r="15" spans="1:16384" ht="39" customHeight="1">
      <c r="C15" s="92" t="str">
        <f>IFERROR(VLOOKUP(ROW()-6,ANA_CONC!B:G,2,0),"")</f>
        <v/>
      </c>
      <c r="D15" s="92" t="str">
        <f>IFERROR(VLOOKUP(ROW()-6,ANA_CONC!B:G,3,0),"")</f>
        <v/>
      </c>
      <c r="E15" s="111" t="str">
        <f>IFERROR(VLOOKUP(ROW()-6,ANA_CONC!B:G,5,0),"")</f>
        <v/>
      </c>
      <c r="F15" s="110" t="str">
        <f>IFERROR(VLOOKUP(ROW()-6,ANA_CONC!B:G,6,0),"")</f>
        <v/>
      </c>
      <c r="G15" s="94" t="str">
        <f t="shared" si="0"/>
        <v/>
      </c>
    </row>
    <row r="16" spans="1:16384" ht="39" customHeight="1">
      <c r="C16" s="92" t="str">
        <f>IFERROR(VLOOKUP(ROW()-6,ANA_CONC!B:G,2,0),"")</f>
        <v/>
      </c>
      <c r="D16" s="92" t="str">
        <f>IFERROR(VLOOKUP(ROW()-6,ANA_CONC!B:G,3,0),"")</f>
        <v/>
      </c>
      <c r="E16" s="111" t="str">
        <f>IFERROR(VLOOKUP(ROW()-6,ANA_CONC!B:G,5,0),"")</f>
        <v/>
      </c>
      <c r="F16" s="110" t="str">
        <f>IFERROR(VLOOKUP(ROW()-6,ANA_CONC!B:G,6,0),"")</f>
        <v/>
      </c>
      <c r="G16" s="94" t="str">
        <f t="shared" si="0"/>
        <v/>
      </c>
    </row>
    <row r="17" spans="3:7" ht="39" customHeight="1">
      <c r="C17" s="92" t="str">
        <f>IFERROR(VLOOKUP(ROW()-6,ANA_CONC!B:G,2,0),"")</f>
        <v/>
      </c>
      <c r="D17" s="92" t="str">
        <f>IFERROR(VLOOKUP(ROW()-6,ANA_CONC!B:G,3,0),"")</f>
        <v/>
      </c>
      <c r="E17" s="111" t="str">
        <f>IFERROR(VLOOKUP(ROW()-6,ANA_CONC!B:G,5,0),"")</f>
        <v/>
      </c>
      <c r="F17" s="110" t="str">
        <f>IFERROR(VLOOKUP(ROW()-6,ANA_CONC!B:G,6,0),"")</f>
        <v/>
      </c>
      <c r="G17" s="94" t="str">
        <f t="shared" si="0"/>
        <v/>
      </c>
    </row>
    <row r="18" spans="3:7" ht="30" customHeight="1"/>
    <row r="19" spans="3:7" ht="30" customHeight="1"/>
    <row r="20" spans="3:7" ht="30" customHeight="1"/>
    <row r="21" spans="3:7" ht="30" customHeight="1"/>
    <row r="22" spans="3:7" ht="30" customHeight="1"/>
    <row r="23" spans="3:7" ht="30" customHeight="1"/>
    <row r="24" spans="3:7" ht="30" customHeight="1"/>
    <row r="25" spans="3:7" ht="30" customHeight="1"/>
    <row r="26" spans="3:7" ht="30" customHeight="1"/>
    <row r="27" spans="3:7" ht="30" customHeight="1"/>
    <row r="28" spans="3:7" ht="30" customHeight="1"/>
    <row r="29" spans="3:7" ht="30" customHeight="1"/>
    <row r="30" spans="3:7" ht="30" customHeight="1"/>
    <row r="31" spans="3:7" ht="30" customHeight="1"/>
    <row r="32" spans="3:7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0" customHeight="1"/>
    <row r="66" ht="30" customHeight="1"/>
    <row r="67" ht="30" customHeight="1"/>
    <row r="68" ht="30" customHeight="1"/>
    <row r="69" ht="30" customHeight="1"/>
    <row r="70" ht="30" customHeight="1"/>
    <row r="71" ht="30" customHeight="1"/>
    <row r="72" ht="30" customHeight="1"/>
    <row r="73" ht="30" customHeight="1"/>
    <row r="74" ht="30" customHeight="1"/>
    <row r="75" ht="30" customHeight="1"/>
    <row r="76" ht="30" customHeight="1"/>
    <row r="77" ht="30" customHeight="1"/>
    <row r="78" ht="30" customHeight="1"/>
    <row r="79" ht="30" customHeight="1"/>
    <row r="80" ht="30" customHeight="1"/>
    <row r="81" ht="30" customHeight="1"/>
    <row r="82" ht="30" customHeight="1"/>
    <row r="83" ht="30" customHeight="1"/>
    <row r="84" ht="30" customHeight="1"/>
    <row r="85" ht="30" customHeight="1"/>
    <row r="86" ht="30" customHeight="1"/>
    <row r="87" ht="30" customHeight="1"/>
    <row r="88" ht="30" customHeight="1"/>
    <row r="89" ht="30" customHeight="1"/>
    <row r="90" ht="30" customHeight="1"/>
    <row r="91" ht="30" customHeight="1"/>
    <row r="92" ht="30" customHeight="1"/>
    <row r="93" ht="30" customHeight="1"/>
    <row r="94" ht="30" customHeight="1"/>
    <row r="95" ht="30" customHeight="1"/>
    <row r="96" ht="30" customHeight="1"/>
    <row r="97" ht="30" customHeight="1"/>
    <row r="98" ht="30" customHeight="1"/>
    <row r="99" ht="30" customHeight="1"/>
    <row r="100" ht="30" customHeight="1"/>
    <row r="101" ht="30" customHeight="1"/>
    <row r="102" ht="30" customHeight="1"/>
    <row r="103" ht="30" customHeight="1"/>
    <row r="104" ht="30" customHeight="1"/>
    <row r="105" ht="30" customHeight="1"/>
    <row r="106" ht="30" customHeight="1"/>
    <row r="107" ht="30" customHeight="1"/>
    <row r="108" ht="30" customHeight="1"/>
    <row r="109" ht="30" customHeight="1"/>
    <row r="110" ht="30" customHeight="1"/>
    <row r="111" ht="30" customHeight="1"/>
    <row r="112" ht="30" customHeight="1"/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/>
    <row r="162" ht="30" customHeight="1"/>
    <row r="163" ht="30" customHeight="1"/>
    <row r="164" ht="30" customHeight="1"/>
    <row r="165" ht="30" customHeight="1"/>
    <row r="166" ht="30" customHeight="1"/>
    <row r="167" ht="30" customHeight="1"/>
    <row r="168" ht="30" customHeight="1"/>
    <row r="169" ht="30" customHeight="1"/>
    <row r="170" ht="30" customHeight="1"/>
    <row r="171" ht="30" customHeight="1"/>
    <row r="172" ht="30" customHeight="1"/>
    <row r="173" ht="30" customHeight="1"/>
    <row r="174" ht="30" customHeight="1"/>
    <row r="175" ht="30" customHeight="1"/>
    <row r="176" ht="30" customHeight="1"/>
    <row r="177" ht="30" customHeight="1"/>
    <row r="178" ht="30" customHeight="1"/>
    <row r="179" ht="30" customHeight="1"/>
    <row r="180" ht="30" customHeight="1"/>
    <row r="181" ht="30" customHeight="1"/>
    <row r="182" ht="30" customHeight="1"/>
    <row r="183" ht="30" customHeight="1"/>
    <row r="184" ht="30" customHeight="1"/>
    <row r="185" ht="30" customHeight="1"/>
    <row r="186" ht="30" customHeight="1"/>
    <row r="187" ht="30" customHeight="1"/>
    <row r="188" ht="30" customHeight="1"/>
    <row r="189" ht="30" customHeight="1"/>
    <row r="190" ht="30" customHeight="1"/>
    <row r="191" ht="30" customHeight="1"/>
    <row r="192" ht="30" customHeight="1"/>
    <row r="193" ht="30" customHeight="1"/>
    <row r="194" ht="30" customHeight="1"/>
    <row r="195" ht="30" customHeight="1"/>
    <row r="196" ht="30" customHeight="1"/>
    <row r="197" ht="30" customHeight="1"/>
    <row r="198" ht="30" customHeight="1"/>
    <row r="199" ht="30" customHeight="1"/>
    <row r="200" ht="30" customHeight="1"/>
    <row r="201" ht="30" customHeight="1"/>
    <row r="202" ht="30" customHeight="1"/>
    <row r="203" ht="30" customHeight="1"/>
    <row r="204" ht="30" customHeight="1"/>
    <row r="205" ht="30" customHeight="1"/>
    <row r="206" ht="30" customHeight="1"/>
    <row r="207" ht="30" customHeight="1"/>
    <row r="208" ht="30" customHeight="1"/>
    <row r="209" ht="30" customHeight="1"/>
    <row r="210" ht="30" customHeight="1"/>
    <row r="211" ht="30" customHeight="1"/>
    <row r="212" ht="30" customHeight="1"/>
    <row r="213" ht="30" customHeight="1"/>
    <row r="214" ht="30" customHeight="1"/>
    <row r="215" ht="30" customHeight="1"/>
    <row r="216" ht="30" customHeight="1"/>
    <row r="217" ht="30" customHeight="1"/>
    <row r="218" ht="30" customHeight="1"/>
    <row r="219" ht="30" customHeight="1"/>
    <row r="220" ht="30" customHeight="1"/>
    <row r="221" ht="30" customHeight="1"/>
    <row r="222" ht="30" customHeight="1"/>
    <row r="223" ht="30" customHeight="1"/>
    <row r="224" ht="30" customHeight="1"/>
    <row r="225" ht="30" customHeight="1"/>
    <row r="226" ht="30" customHeight="1"/>
    <row r="227" ht="30" customHeight="1"/>
    <row r="228" ht="30" customHeight="1"/>
    <row r="229" ht="30" customHeight="1"/>
    <row r="230" ht="30" customHeight="1"/>
    <row r="231" ht="30" customHeight="1"/>
    <row r="232" ht="30" customHeight="1"/>
    <row r="233" ht="30" customHeight="1"/>
    <row r="234" ht="30" customHeight="1"/>
    <row r="235" ht="30" customHeight="1"/>
    <row r="236" ht="30" customHeight="1"/>
    <row r="237" ht="30" customHeight="1"/>
    <row r="238" ht="30" customHeight="1"/>
    <row r="239" ht="30" customHeight="1"/>
    <row r="240" ht="30" customHeight="1"/>
    <row r="241" ht="30" customHeight="1"/>
    <row r="242" ht="30" customHeight="1"/>
    <row r="243" ht="30" customHeight="1"/>
    <row r="244" ht="30" customHeight="1"/>
    <row r="245" ht="30" customHeight="1"/>
    <row r="246" ht="30" customHeight="1"/>
    <row r="247" ht="30" customHeight="1"/>
    <row r="248" ht="30" customHeight="1"/>
    <row r="249" ht="30" customHeight="1"/>
    <row r="250" ht="30" customHeight="1"/>
    <row r="251" ht="30" customHeight="1"/>
    <row r="252" ht="30" customHeight="1"/>
    <row r="253" ht="30" customHeight="1"/>
    <row r="254" ht="30" customHeight="1"/>
    <row r="255" ht="30" customHeight="1"/>
    <row r="256" ht="30" customHeight="1"/>
    <row r="257" ht="30" customHeight="1"/>
    <row r="258" ht="30" customHeight="1"/>
    <row r="259" ht="30" customHeight="1"/>
    <row r="260" ht="30" customHeight="1"/>
    <row r="261" ht="30" customHeight="1"/>
    <row r="262" ht="30" customHeight="1"/>
    <row r="263" ht="30" customHeight="1"/>
    <row r="264" ht="30" customHeight="1"/>
    <row r="265" ht="30" customHeight="1"/>
    <row r="266" ht="30" customHeight="1"/>
    <row r="267" ht="30" customHeight="1"/>
    <row r="268" ht="30" customHeight="1"/>
    <row r="269" ht="30" customHeight="1"/>
    <row r="270" ht="30" customHeight="1"/>
    <row r="271" ht="30" customHeight="1"/>
    <row r="272" ht="30" customHeight="1"/>
    <row r="273" ht="30" customHeight="1"/>
    <row r="274" ht="30" customHeight="1"/>
    <row r="275" ht="30" customHeight="1"/>
    <row r="276" ht="30" customHeight="1"/>
    <row r="277" ht="30" customHeight="1"/>
    <row r="278" ht="30" customHeight="1"/>
    <row r="279" ht="30" customHeight="1"/>
    <row r="280" ht="30" customHeight="1"/>
    <row r="281" ht="30" customHeight="1"/>
    <row r="282" ht="30" customHeight="1"/>
    <row r="283" ht="30" customHeight="1"/>
    <row r="284" ht="30" customHeight="1"/>
    <row r="285" ht="30" customHeight="1"/>
    <row r="286" ht="30" customHeight="1"/>
    <row r="287" ht="30" customHeight="1"/>
    <row r="288" ht="30" customHeight="1"/>
    <row r="289" ht="30" customHeight="1"/>
    <row r="290" ht="30" customHeight="1"/>
    <row r="291" ht="30" customHeight="1"/>
    <row r="292" ht="30" customHeight="1"/>
    <row r="293" ht="30" customHeight="1"/>
    <row r="294" ht="30" customHeight="1"/>
    <row r="295" ht="30" customHeight="1"/>
    <row r="296" ht="30" customHeight="1"/>
    <row r="297" ht="30" customHeight="1"/>
    <row r="298" ht="30" customHeight="1"/>
    <row r="299" ht="30" customHeight="1"/>
    <row r="300" ht="30" customHeight="1"/>
    <row r="301" ht="30" customHeight="1"/>
    <row r="302" ht="30" customHeight="1"/>
    <row r="303" ht="30" customHeight="1"/>
    <row r="304" ht="30" customHeight="1"/>
    <row r="305" ht="30" customHeight="1"/>
    <row r="306" ht="30" customHeight="1"/>
    <row r="307" ht="30" customHeight="1"/>
    <row r="308" ht="30" customHeight="1"/>
    <row r="309" ht="30" customHeight="1"/>
    <row r="310" ht="30" customHeight="1"/>
    <row r="311" ht="30" customHeight="1"/>
    <row r="312" ht="30" customHeight="1"/>
    <row r="313" ht="30" customHeight="1"/>
    <row r="314" ht="30" customHeight="1"/>
    <row r="315" ht="30" customHeight="1"/>
    <row r="316" ht="30" customHeight="1"/>
    <row r="317" ht="30" customHeight="1"/>
    <row r="318" ht="30" customHeight="1"/>
    <row r="319" ht="30" customHeight="1"/>
    <row r="320" ht="30" customHeight="1"/>
    <row r="321" ht="30" customHeight="1"/>
    <row r="322" ht="30" customHeight="1"/>
    <row r="323" ht="30" customHeight="1"/>
    <row r="324" ht="30" customHeight="1"/>
    <row r="325" ht="30" customHeight="1"/>
    <row r="326" ht="30" customHeight="1"/>
    <row r="327" ht="30" customHeight="1"/>
    <row r="328" ht="30" customHeight="1"/>
    <row r="329" ht="30" customHeight="1"/>
    <row r="330" ht="30" customHeight="1"/>
    <row r="331" ht="30" customHeight="1"/>
    <row r="332" ht="30" customHeight="1"/>
    <row r="333" ht="30" customHeight="1"/>
    <row r="334" ht="30" customHeight="1"/>
    <row r="335" ht="30" customHeight="1"/>
    <row r="336" ht="30" customHeight="1"/>
    <row r="337" ht="30" customHeight="1"/>
    <row r="338" ht="30" customHeight="1"/>
    <row r="339" ht="30" customHeight="1"/>
    <row r="340" ht="30" customHeight="1"/>
    <row r="341" ht="30" customHeight="1"/>
    <row r="342" ht="30" customHeight="1"/>
    <row r="343" ht="30" customHeight="1"/>
    <row r="344" ht="30" customHeight="1"/>
    <row r="345" ht="30" customHeight="1"/>
    <row r="346" ht="30" customHeight="1"/>
    <row r="347" ht="30" customHeight="1"/>
    <row r="348" ht="30" customHeight="1"/>
    <row r="349" ht="30" customHeight="1"/>
    <row r="350" ht="30" customHeight="1"/>
    <row r="351" ht="30" customHeight="1"/>
    <row r="352" ht="30" customHeight="1"/>
    <row r="353" ht="30" customHeight="1"/>
    <row r="354" ht="30" customHeight="1"/>
    <row r="355" ht="30" customHeight="1"/>
    <row r="356" ht="30" customHeight="1"/>
    <row r="357" ht="30" customHeight="1"/>
    <row r="358" ht="30" customHeight="1"/>
    <row r="359" ht="30" customHeight="1"/>
    <row r="360" ht="30" customHeight="1"/>
    <row r="361" ht="30" customHeight="1"/>
    <row r="362" ht="30" customHeight="1"/>
    <row r="363" ht="30" customHeight="1"/>
    <row r="364" ht="30" customHeight="1"/>
    <row r="365" ht="30" customHeight="1"/>
    <row r="366" ht="30" customHeight="1"/>
    <row r="367" ht="30" customHeight="1"/>
    <row r="368" ht="30" customHeight="1"/>
    <row r="369" ht="30" customHeight="1"/>
    <row r="370" ht="30" customHeight="1"/>
    <row r="371" ht="30" customHeight="1"/>
    <row r="372" ht="30" customHeight="1"/>
    <row r="373" ht="30" customHeight="1"/>
    <row r="374" ht="30" customHeight="1"/>
    <row r="375" ht="30" customHeight="1"/>
    <row r="376" ht="30" customHeight="1"/>
    <row r="377" ht="30" customHeight="1"/>
    <row r="378" ht="30" customHeight="1"/>
    <row r="379" ht="30" customHeight="1"/>
    <row r="380" ht="30" customHeight="1"/>
    <row r="381" ht="30" customHeight="1"/>
    <row r="382" ht="30" customHeight="1"/>
    <row r="383" ht="30" customHeight="1"/>
    <row r="384" ht="30" customHeight="1"/>
    <row r="385" ht="30" customHeight="1"/>
    <row r="386" ht="30" customHeight="1"/>
    <row r="387" ht="30" customHeight="1"/>
    <row r="388" ht="30" customHeight="1"/>
    <row r="389" ht="30" customHeight="1"/>
    <row r="390" ht="30" customHeight="1"/>
    <row r="391" ht="30" customHeight="1"/>
    <row r="392" ht="30" customHeight="1"/>
    <row r="393" ht="30" customHeight="1"/>
    <row r="394" ht="30" customHeight="1"/>
    <row r="395" ht="30" customHeight="1"/>
    <row r="396" ht="30" customHeight="1"/>
    <row r="397" ht="30" customHeight="1"/>
    <row r="398" ht="30" customHeight="1"/>
    <row r="399" ht="30" customHeight="1"/>
    <row r="400" ht="30" customHeight="1"/>
    <row r="401" ht="30" customHeight="1"/>
    <row r="402" ht="30" customHeight="1"/>
    <row r="403" ht="30" customHeight="1"/>
    <row r="404" ht="30" customHeight="1"/>
    <row r="405" ht="30" customHeight="1"/>
    <row r="406" ht="30" customHeight="1"/>
    <row r="407" ht="30" customHeight="1"/>
    <row r="408" ht="30" customHeight="1"/>
    <row r="409" ht="30" customHeight="1"/>
    <row r="410" ht="30" customHeight="1"/>
    <row r="411" ht="30" customHeight="1"/>
    <row r="412" ht="30" customHeight="1"/>
    <row r="413" ht="30" customHeight="1"/>
    <row r="414" ht="30" customHeight="1"/>
    <row r="415" ht="30" customHeight="1"/>
    <row r="416" ht="30" customHeight="1"/>
    <row r="417" ht="30" customHeight="1"/>
    <row r="418" ht="30" customHeight="1"/>
    <row r="419" ht="30" customHeight="1"/>
    <row r="420" ht="30" customHeight="1"/>
    <row r="421" ht="30" customHeight="1"/>
    <row r="422" ht="30" customHeight="1"/>
    <row r="423" ht="30" customHeight="1"/>
    <row r="424" ht="30" customHeight="1"/>
    <row r="425" ht="30" customHeight="1"/>
    <row r="426" ht="30" customHeight="1"/>
    <row r="427" ht="30" customHeight="1"/>
    <row r="428" ht="30" customHeight="1"/>
    <row r="429" ht="30" customHeight="1"/>
    <row r="430" ht="30" customHeight="1"/>
    <row r="431" ht="30" customHeight="1"/>
    <row r="432" ht="30" customHeight="1"/>
    <row r="433" ht="30" customHeight="1"/>
    <row r="434" ht="30" customHeight="1"/>
    <row r="435" ht="30" customHeight="1"/>
    <row r="436" ht="30" customHeight="1"/>
    <row r="437" ht="30" customHeight="1"/>
    <row r="438" ht="30" customHeight="1"/>
    <row r="439" ht="30" customHeight="1"/>
    <row r="440" ht="30" customHeight="1"/>
    <row r="441" ht="30" customHeight="1"/>
    <row r="442" ht="30" customHeight="1"/>
    <row r="443" ht="30" customHeight="1"/>
    <row r="444" ht="30" customHeight="1"/>
    <row r="445" ht="30" customHeight="1"/>
    <row r="446" ht="30" customHeight="1"/>
    <row r="447" ht="30" customHeight="1"/>
    <row r="448" ht="30" customHeight="1"/>
    <row r="449" ht="30" customHeight="1"/>
    <row r="450" ht="30" customHeight="1"/>
    <row r="451" ht="30" customHeight="1"/>
    <row r="452" ht="30" customHeight="1"/>
    <row r="453" ht="30" customHeight="1"/>
    <row r="454" ht="30" customHeight="1"/>
    <row r="455" ht="30" customHeight="1"/>
    <row r="456" ht="30" customHeight="1"/>
    <row r="457" ht="30" customHeight="1"/>
    <row r="458" ht="30" customHeight="1"/>
    <row r="459" ht="30" customHeight="1"/>
    <row r="460" ht="30" customHeight="1"/>
    <row r="461" ht="30" customHeight="1"/>
    <row r="462" ht="30" customHeight="1"/>
    <row r="463" ht="30" customHeight="1"/>
    <row r="464" ht="30" customHeight="1"/>
    <row r="465" ht="30" customHeight="1"/>
    <row r="466" ht="30" customHeight="1"/>
    <row r="467" ht="30" customHeight="1"/>
    <row r="468" ht="30" customHeight="1"/>
    <row r="469" ht="30" customHeight="1"/>
    <row r="470" ht="30" customHeight="1"/>
    <row r="471" ht="30" customHeight="1"/>
    <row r="472" ht="30" customHeight="1"/>
    <row r="473" ht="30" customHeight="1"/>
    <row r="474" ht="30" customHeight="1"/>
    <row r="475" ht="30" customHeight="1"/>
    <row r="476" ht="30" customHeight="1"/>
    <row r="477" ht="30" customHeight="1"/>
    <row r="478" ht="30" customHeight="1"/>
    <row r="479" ht="30" customHeight="1"/>
    <row r="480" ht="30" customHeight="1"/>
    <row r="481" ht="30" customHeight="1"/>
    <row r="482" ht="30" customHeight="1"/>
    <row r="483" ht="30" customHeight="1"/>
    <row r="484" ht="30" customHeight="1"/>
    <row r="485" ht="30" customHeight="1"/>
    <row r="486" ht="30" customHeight="1"/>
    <row r="487" ht="30" customHeight="1"/>
    <row r="488" ht="30" customHeight="1"/>
    <row r="489" ht="30" customHeight="1"/>
    <row r="490" ht="30" customHeight="1"/>
    <row r="491" ht="30" customHeight="1"/>
    <row r="492" ht="30" customHeight="1"/>
    <row r="493" ht="30" customHeight="1"/>
    <row r="494" ht="30" customHeight="1"/>
    <row r="495" ht="30" customHeight="1"/>
    <row r="496" ht="30" customHeight="1"/>
    <row r="497" ht="30" customHeight="1"/>
    <row r="498" ht="30" customHeight="1"/>
    <row r="499" ht="30" customHeight="1"/>
    <row r="500" ht="30" customHeight="1"/>
    <row r="501" ht="30" customHeight="1"/>
    <row r="502" ht="30" customHeight="1"/>
    <row r="503" ht="30" customHeight="1"/>
    <row r="504" ht="30" customHeight="1"/>
    <row r="505" ht="30" customHeight="1"/>
    <row r="506" ht="30" customHeight="1"/>
    <row r="507" ht="30" customHeight="1"/>
    <row r="508" ht="30" customHeight="1"/>
    <row r="509" ht="30" customHeight="1"/>
    <row r="510" ht="30" customHeight="1"/>
    <row r="511" ht="30" customHeight="1"/>
    <row r="512" ht="30" customHeight="1"/>
    <row r="513" ht="30" customHeight="1"/>
    <row r="514" ht="30" customHeight="1"/>
    <row r="515" ht="30" customHeight="1"/>
    <row r="516" ht="30" customHeight="1"/>
    <row r="517" ht="30" customHeight="1"/>
    <row r="518" ht="30" customHeight="1"/>
    <row r="519" ht="30" customHeight="1"/>
    <row r="520" ht="30" customHeight="1"/>
    <row r="521" ht="30" customHeight="1"/>
    <row r="522" ht="30" customHeight="1"/>
    <row r="523" ht="30" customHeight="1"/>
    <row r="524" ht="30" customHeight="1"/>
    <row r="525" ht="30" customHeight="1"/>
    <row r="526" ht="30" customHeight="1"/>
    <row r="527" ht="30" customHeight="1"/>
    <row r="528" ht="30" customHeight="1"/>
    <row r="529" ht="30" customHeight="1"/>
    <row r="530" ht="30" customHeight="1"/>
    <row r="531" ht="30" customHeight="1"/>
    <row r="532" ht="30" customHeight="1"/>
    <row r="533" ht="30" customHeight="1"/>
    <row r="534" ht="30" customHeight="1"/>
    <row r="535" ht="30" customHeight="1"/>
    <row r="536" ht="30" customHeight="1"/>
    <row r="537" ht="30" customHeight="1"/>
    <row r="538" ht="30" customHeight="1"/>
    <row r="539" ht="30" customHeight="1"/>
    <row r="540" ht="30" customHeight="1"/>
    <row r="541" ht="30" customHeight="1"/>
    <row r="542" ht="30" customHeight="1"/>
    <row r="543" ht="30" customHeight="1"/>
    <row r="544" ht="30" customHeight="1"/>
    <row r="545" ht="30" customHeight="1"/>
    <row r="546" ht="30" customHeight="1"/>
    <row r="547" ht="30" customHeight="1"/>
    <row r="548" ht="30" customHeight="1"/>
    <row r="549" ht="30" customHeight="1"/>
    <row r="550" ht="30" customHeight="1"/>
    <row r="551" ht="30" customHeight="1"/>
    <row r="552" ht="30" customHeight="1"/>
    <row r="553" ht="30" customHeight="1"/>
    <row r="554" ht="30" customHeight="1"/>
    <row r="555" ht="30" customHeight="1"/>
    <row r="556" ht="30" customHeight="1"/>
    <row r="557" ht="30" customHeight="1"/>
    <row r="558" ht="30" customHeight="1"/>
    <row r="559" ht="30" customHeight="1"/>
    <row r="560" ht="30" customHeight="1"/>
    <row r="561" ht="30" customHeight="1"/>
    <row r="562" ht="30" customHeight="1"/>
    <row r="563" ht="30" customHeight="1"/>
    <row r="564" ht="30" customHeight="1"/>
    <row r="565" ht="30" customHeight="1"/>
    <row r="566" ht="30" customHeight="1"/>
    <row r="567" ht="30" customHeight="1"/>
    <row r="568" ht="30" customHeight="1"/>
    <row r="569" ht="30" customHeight="1"/>
    <row r="570" ht="30" customHeight="1"/>
    <row r="571" ht="30" customHeight="1"/>
    <row r="572" ht="30" customHeight="1"/>
    <row r="573" ht="30" customHeight="1"/>
    <row r="574" ht="30" customHeight="1"/>
    <row r="575" ht="30" customHeight="1"/>
    <row r="576" ht="30" customHeight="1"/>
    <row r="577" ht="30" customHeight="1"/>
    <row r="578" ht="30" customHeight="1"/>
    <row r="579" ht="30" customHeight="1"/>
    <row r="580" ht="30" customHeight="1"/>
    <row r="581" ht="30" customHeight="1"/>
  </sheetData>
  <conditionalFormatting sqref="G8:G17">
    <cfRule type="expression" dxfId="4" priority="2">
      <formula>$F8&lt;=$E8</formula>
    </cfRule>
    <cfRule type="expression" dxfId="3" priority="3">
      <formula>$F8&gt;$E8</formula>
    </cfRule>
  </conditionalFormatting>
  <conditionalFormatting sqref="C8:G17">
    <cfRule type="expression" dxfId="2" priority="1">
      <formula>$C8=""</formula>
    </cfRule>
  </conditionalFormatting>
  <pageMargins left="0.7" right="0.7" top="0.75" bottom="0.75" header="0.3" footer="0.3"/>
  <pageSetup paperSize="9" orientation="portrait" r:id="rId1"/>
  <ignoredErrors>
    <ignoredError sqref="C8:G17" unlockedFormula="1"/>
  </ignoredErrors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0000000}">
          <x14:formula1>
            <xm:f>OFFSET(CAD_PROD!$C$6,,,COUNTA(CAD_PROD!$C$6:$C$505),1)</xm:f>
          </x14:formula1>
          <xm:sqref>D5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FD24"/>
  <sheetViews>
    <sheetView showGridLines="0" zoomScale="90" zoomScaleNormal="90" zoomScalePageLayoutView="80" workbookViewId="0">
      <selection activeCell="C3" sqref="C3"/>
    </sheetView>
  </sheetViews>
  <sheetFormatPr defaultColWidth="11" defaultRowHeight="15" customHeight="1"/>
  <cols>
    <col min="1" max="1" width="2.125" style="47" customWidth="1"/>
    <col min="2" max="2" width="1.375" style="47" customWidth="1"/>
    <col min="3" max="3" width="21.125" style="47" customWidth="1"/>
    <col min="4" max="4" width="19.375" style="47" customWidth="1"/>
    <col min="5" max="5" width="1.25" style="47" customWidth="1"/>
    <col min="6" max="9" width="10.875" style="47" customWidth="1"/>
    <col min="10" max="10" width="1.25" style="47" customWidth="1"/>
    <col min="11" max="14" width="10.875" style="47" customWidth="1"/>
    <col min="15" max="15" width="1.25" style="47" customWidth="1"/>
    <col min="16" max="19" width="10.875" style="47" customWidth="1"/>
    <col min="20" max="16384" width="11" style="47"/>
  </cols>
  <sheetData>
    <row r="1" spans="1:16384" s="45" customFormat="1" ht="39" customHeight="1"/>
    <row r="2" spans="1:16384" s="46" customFormat="1" ht="30" customHeight="1"/>
    <row r="3" spans="1:16384" customFormat="1" ht="44.25" customHeight="1">
      <c r="A3" s="119"/>
      <c r="B3" s="120"/>
      <c r="C3" s="121"/>
      <c r="D3" s="120"/>
      <c r="E3" s="122"/>
      <c r="F3" s="122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0"/>
      <c r="CO3" s="120"/>
      <c r="CP3" s="120"/>
      <c r="CQ3" s="120"/>
      <c r="CR3" s="120"/>
      <c r="CS3" s="120"/>
      <c r="CT3" s="120"/>
      <c r="CU3" s="120"/>
      <c r="CV3" s="120"/>
      <c r="CW3" s="120"/>
      <c r="CX3" s="120"/>
      <c r="CY3" s="120"/>
      <c r="CZ3" s="120"/>
      <c r="DA3" s="120"/>
      <c r="DB3" s="120"/>
      <c r="DC3" s="120"/>
      <c r="DD3" s="120"/>
      <c r="DE3" s="120"/>
      <c r="DF3" s="120"/>
      <c r="DG3" s="120"/>
      <c r="DH3" s="120"/>
      <c r="DI3" s="120"/>
      <c r="DJ3" s="120"/>
      <c r="DK3" s="120"/>
      <c r="DL3" s="120"/>
      <c r="DM3" s="120"/>
      <c r="DN3" s="120"/>
      <c r="DO3" s="120"/>
      <c r="DP3" s="120"/>
      <c r="DQ3" s="120"/>
      <c r="DR3" s="120"/>
      <c r="DS3" s="120"/>
      <c r="DT3" s="120"/>
      <c r="DU3" s="120"/>
      <c r="DV3" s="120"/>
      <c r="DW3" s="120"/>
      <c r="DX3" s="120"/>
      <c r="DY3" s="120"/>
      <c r="DZ3" s="120"/>
      <c r="EA3" s="120"/>
      <c r="EB3" s="120"/>
      <c r="EC3" s="120"/>
      <c r="ED3" s="120"/>
      <c r="EE3" s="120"/>
      <c r="EF3" s="120"/>
      <c r="EG3" s="120"/>
      <c r="EH3" s="120"/>
      <c r="EI3" s="120"/>
      <c r="EJ3" s="120"/>
      <c r="EK3" s="120"/>
      <c r="EL3" s="120"/>
      <c r="EM3" s="120"/>
      <c r="EN3" s="120"/>
      <c r="EO3" s="120"/>
      <c r="EP3" s="120"/>
      <c r="EQ3" s="120"/>
      <c r="ER3" s="120"/>
      <c r="ES3" s="120"/>
      <c r="ET3" s="120"/>
      <c r="EU3" s="120"/>
      <c r="EV3" s="120"/>
      <c r="EW3" s="120"/>
      <c r="EX3" s="120"/>
      <c r="EY3" s="120"/>
      <c r="EZ3" s="120"/>
      <c r="FA3" s="120"/>
      <c r="FB3" s="120"/>
      <c r="FC3" s="120"/>
      <c r="FD3" s="120"/>
      <c r="FE3" s="120"/>
      <c r="FF3" s="120"/>
      <c r="FG3" s="120"/>
      <c r="FH3" s="120"/>
      <c r="FI3" s="120"/>
      <c r="FJ3" s="120"/>
      <c r="FK3" s="120"/>
      <c r="FL3" s="120"/>
      <c r="FM3" s="120"/>
      <c r="FN3" s="120"/>
      <c r="FO3" s="120"/>
      <c r="FP3" s="120"/>
      <c r="FQ3" s="120"/>
      <c r="FR3" s="120"/>
      <c r="FS3" s="120"/>
      <c r="FT3" s="120"/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0"/>
      <c r="GJ3" s="120"/>
      <c r="GK3" s="120"/>
      <c r="GL3" s="120"/>
      <c r="GM3" s="120"/>
      <c r="GN3" s="120"/>
      <c r="GO3" s="120"/>
      <c r="GP3" s="120"/>
      <c r="GQ3" s="120"/>
      <c r="GR3" s="120"/>
      <c r="GS3" s="120"/>
      <c r="GT3" s="120"/>
      <c r="GU3" s="120"/>
      <c r="GV3" s="120"/>
      <c r="GW3" s="120"/>
      <c r="GX3" s="120"/>
      <c r="GY3" s="120"/>
      <c r="GZ3" s="120"/>
      <c r="HA3" s="120"/>
      <c r="HB3" s="120"/>
      <c r="HC3" s="120"/>
      <c r="HD3" s="120"/>
      <c r="HE3" s="120"/>
      <c r="HF3" s="120"/>
      <c r="HG3" s="120"/>
      <c r="HH3" s="120"/>
      <c r="HI3" s="120"/>
      <c r="HJ3" s="120"/>
      <c r="HK3" s="120"/>
      <c r="HL3" s="120"/>
      <c r="HM3" s="120"/>
      <c r="HN3" s="120"/>
      <c r="HO3" s="120"/>
      <c r="HP3" s="120"/>
      <c r="HQ3" s="120"/>
      <c r="HR3" s="120"/>
      <c r="HS3" s="120"/>
      <c r="HT3" s="120"/>
      <c r="HU3" s="120"/>
      <c r="HV3" s="120"/>
      <c r="HW3" s="120"/>
      <c r="HX3" s="120"/>
      <c r="HY3" s="120"/>
      <c r="HZ3" s="120"/>
      <c r="IA3" s="120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P3" s="120"/>
      <c r="IQ3" s="120"/>
      <c r="IR3" s="120"/>
      <c r="IS3" s="120"/>
      <c r="IT3" s="120"/>
      <c r="IU3" s="120"/>
      <c r="IV3" s="120"/>
      <c r="IW3" s="120"/>
      <c r="IX3" s="120"/>
      <c r="IY3" s="120"/>
      <c r="IZ3" s="120"/>
      <c r="JA3" s="120"/>
      <c r="JB3" s="120"/>
      <c r="JC3" s="120"/>
      <c r="JD3" s="120"/>
      <c r="JE3" s="120"/>
      <c r="JF3" s="120"/>
      <c r="JG3" s="120"/>
      <c r="JH3" s="120"/>
      <c r="JI3" s="120"/>
      <c r="JJ3" s="120"/>
      <c r="JK3" s="120"/>
      <c r="JL3" s="120"/>
      <c r="JM3" s="120"/>
      <c r="JN3" s="120"/>
      <c r="JO3" s="120"/>
      <c r="JP3" s="120"/>
      <c r="JQ3" s="120"/>
      <c r="JR3" s="120"/>
      <c r="JS3" s="120"/>
      <c r="JT3" s="120"/>
      <c r="JU3" s="120"/>
      <c r="JV3" s="120"/>
      <c r="JW3" s="120"/>
      <c r="JX3" s="120"/>
      <c r="JY3" s="120"/>
      <c r="JZ3" s="120"/>
      <c r="KA3" s="120"/>
      <c r="KB3" s="120"/>
      <c r="KC3" s="120"/>
      <c r="KD3" s="120"/>
      <c r="KE3" s="120"/>
      <c r="KF3" s="120"/>
      <c r="KG3" s="120"/>
      <c r="KH3" s="120"/>
      <c r="KI3" s="120"/>
      <c r="KJ3" s="120"/>
      <c r="KK3" s="120"/>
      <c r="KL3" s="120"/>
      <c r="KM3" s="120"/>
      <c r="KN3" s="120"/>
      <c r="KO3" s="120"/>
      <c r="KP3" s="120"/>
      <c r="KQ3" s="120"/>
      <c r="KR3" s="120"/>
      <c r="KS3" s="120"/>
      <c r="KT3" s="120"/>
      <c r="KU3" s="120"/>
      <c r="KV3" s="120"/>
      <c r="KW3" s="120"/>
      <c r="KX3" s="120"/>
      <c r="KY3" s="120"/>
      <c r="KZ3" s="120"/>
      <c r="LA3" s="120"/>
      <c r="LB3" s="120"/>
      <c r="LC3" s="120"/>
      <c r="LD3" s="120"/>
      <c r="LE3" s="120"/>
      <c r="LF3" s="120"/>
      <c r="LG3" s="120"/>
      <c r="LH3" s="120"/>
      <c r="LI3" s="120"/>
      <c r="LJ3" s="120"/>
      <c r="LK3" s="120"/>
      <c r="LL3" s="120"/>
      <c r="LM3" s="120"/>
      <c r="LN3" s="120"/>
      <c r="LO3" s="120"/>
      <c r="LP3" s="120"/>
      <c r="LQ3" s="120"/>
      <c r="LR3" s="120"/>
      <c r="LS3" s="120"/>
      <c r="LT3" s="120"/>
      <c r="LU3" s="120"/>
      <c r="LV3" s="120"/>
      <c r="LW3" s="120"/>
      <c r="LX3" s="120"/>
      <c r="LY3" s="120"/>
      <c r="LZ3" s="120"/>
      <c r="MA3" s="120"/>
      <c r="MB3" s="120"/>
      <c r="MC3" s="120"/>
      <c r="MD3" s="120"/>
      <c r="ME3" s="120"/>
      <c r="MF3" s="120"/>
      <c r="MG3" s="120"/>
      <c r="MH3" s="120"/>
      <c r="MI3" s="120"/>
      <c r="MJ3" s="120"/>
      <c r="MK3" s="120"/>
      <c r="ML3" s="120"/>
      <c r="MM3" s="120"/>
      <c r="MN3" s="120"/>
      <c r="MO3" s="120"/>
      <c r="MP3" s="120"/>
      <c r="MQ3" s="120"/>
      <c r="MR3" s="120"/>
      <c r="MS3" s="120"/>
      <c r="MT3" s="120"/>
      <c r="MU3" s="120"/>
      <c r="MV3" s="120"/>
      <c r="MW3" s="120"/>
      <c r="MX3" s="120"/>
      <c r="MY3" s="120"/>
      <c r="MZ3" s="120"/>
      <c r="NA3" s="120"/>
      <c r="NB3" s="120"/>
      <c r="NC3" s="120"/>
      <c r="ND3" s="120"/>
      <c r="NE3" s="120"/>
      <c r="NF3" s="120"/>
      <c r="NG3" s="120"/>
      <c r="NH3" s="120"/>
      <c r="NI3" s="120"/>
      <c r="NJ3" s="120"/>
      <c r="NK3" s="120"/>
      <c r="NL3" s="120"/>
      <c r="NM3" s="120"/>
      <c r="NN3" s="120"/>
      <c r="NO3" s="120"/>
      <c r="NP3" s="120"/>
      <c r="NQ3" s="120"/>
      <c r="NR3" s="120"/>
      <c r="NS3" s="120"/>
      <c r="NT3" s="120"/>
      <c r="NU3" s="120"/>
      <c r="NV3" s="120"/>
      <c r="NW3" s="120"/>
      <c r="NX3" s="120"/>
      <c r="NY3" s="120"/>
      <c r="NZ3" s="120"/>
      <c r="OA3" s="120"/>
      <c r="OB3" s="120"/>
      <c r="OC3" s="120"/>
      <c r="OD3" s="120"/>
      <c r="OE3" s="120"/>
      <c r="OF3" s="120"/>
      <c r="OG3" s="120"/>
      <c r="OH3" s="120"/>
      <c r="OI3" s="120"/>
      <c r="OJ3" s="120"/>
      <c r="OK3" s="120"/>
      <c r="OL3" s="120"/>
      <c r="OM3" s="120"/>
      <c r="ON3" s="120"/>
      <c r="OO3" s="120"/>
      <c r="OP3" s="120"/>
      <c r="OQ3" s="120"/>
      <c r="OR3" s="120"/>
      <c r="OS3" s="120"/>
      <c r="OT3" s="120"/>
      <c r="OU3" s="120"/>
      <c r="OV3" s="120"/>
      <c r="OW3" s="120"/>
      <c r="OX3" s="120"/>
      <c r="OY3" s="120"/>
      <c r="OZ3" s="120"/>
      <c r="PA3" s="120"/>
      <c r="PB3" s="120"/>
      <c r="PC3" s="120"/>
      <c r="PD3" s="120"/>
      <c r="PE3" s="120"/>
      <c r="PF3" s="120"/>
      <c r="PG3" s="120"/>
      <c r="PH3" s="120"/>
      <c r="PI3" s="120"/>
      <c r="PJ3" s="120"/>
      <c r="PK3" s="120"/>
      <c r="PL3" s="120"/>
      <c r="PM3" s="120"/>
      <c r="PN3" s="120"/>
      <c r="PO3" s="120"/>
      <c r="PP3" s="120"/>
      <c r="PQ3" s="120"/>
      <c r="PR3" s="120"/>
      <c r="PS3" s="120"/>
      <c r="PT3" s="120"/>
      <c r="PU3" s="120"/>
      <c r="PV3" s="120"/>
      <c r="PW3" s="120"/>
      <c r="PX3" s="120"/>
      <c r="PY3" s="120"/>
      <c r="PZ3" s="120"/>
      <c r="QA3" s="120"/>
      <c r="QB3" s="120"/>
      <c r="QC3" s="120"/>
      <c r="QD3" s="120"/>
      <c r="QE3" s="120"/>
      <c r="QF3" s="120"/>
      <c r="QG3" s="120"/>
      <c r="QH3" s="120"/>
      <c r="QI3" s="120"/>
      <c r="QJ3" s="120"/>
      <c r="QK3" s="120"/>
      <c r="QL3" s="120"/>
      <c r="QM3" s="120"/>
      <c r="QN3" s="120"/>
      <c r="QO3" s="120"/>
      <c r="QP3" s="120"/>
      <c r="QQ3" s="120"/>
      <c r="QR3" s="120"/>
      <c r="QS3" s="120"/>
      <c r="QT3" s="120"/>
      <c r="QU3" s="120"/>
      <c r="QV3" s="120"/>
      <c r="QW3" s="120"/>
      <c r="QX3" s="120"/>
      <c r="QY3" s="120"/>
      <c r="QZ3" s="120"/>
      <c r="RA3" s="120"/>
      <c r="RB3" s="120"/>
      <c r="RC3" s="120"/>
      <c r="RD3" s="120"/>
      <c r="RE3" s="120"/>
      <c r="RF3" s="120"/>
      <c r="RG3" s="120"/>
      <c r="RH3" s="120"/>
      <c r="RI3" s="120"/>
      <c r="RJ3" s="120"/>
      <c r="RK3" s="120"/>
      <c r="RL3" s="120"/>
      <c r="RM3" s="120"/>
      <c r="RN3" s="120"/>
      <c r="RO3" s="120"/>
      <c r="RP3" s="120"/>
      <c r="RQ3" s="120"/>
      <c r="RR3" s="120"/>
      <c r="RS3" s="120"/>
      <c r="RT3" s="120"/>
      <c r="RU3" s="120"/>
      <c r="RV3" s="120"/>
      <c r="RW3" s="120"/>
      <c r="RX3" s="120"/>
      <c r="RY3" s="120"/>
      <c r="RZ3" s="120"/>
      <c r="SA3" s="120"/>
      <c r="SB3" s="120"/>
      <c r="SC3" s="120"/>
      <c r="SD3" s="120"/>
      <c r="SE3" s="120"/>
      <c r="SF3" s="120"/>
      <c r="SG3" s="120"/>
      <c r="SH3" s="120"/>
      <c r="SI3" s="120"/>
      <c r="SJ3" s="120"/>
      <c r="SK3" s="120"/>
      <c r="SL3" s="120"/>
      <c r="SM3" s="120"/>
      <c r="SN3" s="120"/>
      <c r="SO3" s="120"/>
      <c r="SP3" s="120"/>
      <c r="SQ3" s="120"/>
      <c r="SR3" s="120"/>
      <c r="SS3" s="120"/>
      <c r="ST3" s="120"/>
      <c r="SU3" s="120"/>
      <c r="SV3" s="120"/>
      <c r="SW3" s="120"/>
      <c r="SX3" s="120"/>
      <c r="SY3" s="120"/>
      <c r="SZ3" s="120"/>
      <c r="TA3" s="120"/>
      <c r="TB3" s="120"/>
      <c r="TC3" s="120"/>
      <c r="TD3" s="120"/>
      <c r="TE3" s="120"/>
      <c r="TF3" s="120"/>
      <c r="TG3" s="120"/>
      <c r="TH3" s="120"/>
      <c r="TI3" s="120"/>
      <c r="TJ3" s="120"/>
      <c r="TK3" s="120"/>
      <c r="TL3" s="120"/>
      <c r="TM3" s="120"/>
      <c r="TN3" s="120"/>
      <c r="TO3" s="120"/>
      <c r="TP3" s="120"/>
      <c r="TQ3" s="120"/>
      <c r="TR3" s="120"/>
      <c r="TS3" s="120"/>
      <c r="TT3" s="120"/>
      <c r="TU3" s="120"/>
      <c r="TV3" s="120"/>
      <c r="TW3" s="120"/>
      <c r="TX3" s="120"/>
      <c r="TY3" s="120"/>
      <c r="TZ3" s="120"/>
      <c r="UA3" s="120"/>
      <c r="UB3" s="120"/>
      <c r="UC3" s="120"/>
      <c r="UD3" s="120"/>
      <c r="UE3" s="120"/>
      <c r="UF3" s="120"/>
      <c r="UG3" s="120"/>
      <c r="UH3" s="120"/>
      <c r="UI3" s="120"/>
      <c r="UJ3" s="120"/>
      <c r="UK3" s="120"/>
      <c r="UL3" s="120"/>
      <c r="UM3" s="120"/>
      <c r="UN3" s="120"/>
      <c r="UO3" s="120"/>
      <c r="UP3" s="120"/>
      <c r="UQ3" s="120"/>
      <c r="UR3" s="120"/>
      <c r="US3" s="120"/>
      <c r="UT3" s="120"/>
      <c r="UU3" s="120"/>
      <c r="UV3" s="120"/>
      <c r="UW3" s="120"/>
      <c r="UX3" s="120"/>
      <c r="UY3" s="120"/>
      <c r="UZ3" s="120"/>
      <c r="VA3" s="120"/>
      <c r="VB3" s="120"/>
      <c r="VC3" s="120"/>
      <c r="VD3" s="120"/>
      <c r="VE3" s="120"/>
      <c r="VF3" s="120"/>
      <c r="VG3" s="120"/>
      <c r="VH3" s="120"/>
      <c r="VI3" s="120"/>
      <c r="VJ3" s="120"/>
      <c r="VK3" s="120"/>
      <c r="VL3" s="120"/>
      <c r="VM3" s="120"/>
      <c r="VN3" s="120"/>
      <c r="VO3" s="120"/>
      <c r="VP3" s="120"/>
      <c r="VQ3" s="120"/>
      <c r="VR3" s="120"/>
      <c r="VS3" s="120"/>
      <c r="VT3" s="120"/>
      <c r="VU3" s="120"/>
      <c r="VV3" s="120"/>
      <c r="VW3" s="120"/>
      <c r="VX3" s="120"/>
      <c r="VY3" s="120"/>
      <c r="VZ3" s="120"/>
      <c r="WA3" s="120"/>
      <c r="WB3" s="120"/>
      <c r="WC3" s="120"/>
      <c r="WD3" s="120"/>
      <c r="WE3" s="120"/>
      <c r="WF3" s="120"/>
      <c r="WG3" s="120"/>
      <c r="WH3" s="120"/>
      <c r="WI3" s="120"/>
      <c r="WJ3" s="120"/>
      <c r="WK3" s="120"/>
      <c r="WL3" s="120"/>
      <c r="WM3" s="120"/>
      <c r="WN3" s="120"/>
      <c r="WO3" s="120"/>
      <c r="WP3" s="120"/>
      <c r="WQ3" s="120"/>
      <c r="WR3" s="120"/>
      <c r="WS3" s="120"/>
      <c r="WT3" s="120"/>
      <c r="WU3" s="120"/>
      <c r="WV3" s="120"/>
      <c r="WW3" s="120"/>
      <c r="WX3" s="120"/>
      <c r="WY3" s="120"/>
      <c r="WZ3" s="120"/>
      <c r="XA3" s="120"/>
      <c r="XB3" s="120"/>
      <c r="XC3" s="120"/>
      <c r="XD3" s="120"/>
      <c r="XE3" s="120"/>
      <c r="XF3" s="120"/>
      <c r="XG3" s="120"/>
      <c r="XH3" s="120"/>
      <c r="XI3" s="120"/>
      <c r="XJ3" s="120"/>
      <c r="XK3" s="120"/>
      <c r="XL3" s="120"/>
      <c r="XM3" s="120"/>
      <c r="XN3" s="120"/>
      <c r="XO3" s="120"/>
      <c r="XP3" s="120"/>
      <c r="XQ3" s="120"/>
      <c r="XR3" s="120"/>
      <c r="XS3" s="120"/>
      <c r="XT3" s="120"/>
      <c r="XU3" s="120"/>
      <c r="XV3" s="120"/>
      <c r="XW3" s="120"/>
      <c r="XX3" s="120"/>
      <c r="XY3" s="120"/>
      <c r="XZ3" s="120"/>
      <c r="YA3" s="120"/>
      <c r="YB3" s="120"/>
      <c r="YC3" s="120"/>
      <c r="YD3" s="120"/>
      <c r="YE3" s="120"/>
      <c r="YF3" s="120"/>
      <c r="YG3" s="120"/>
      <c r="YH3" s="120"/>
      <c r="YI3" s="120"/>
      <c r="YJ3" s="120"/>
      <c r="YK3" s="120"/>
      <c r="YL3" s="120"/>
      <c r="YM3" s="120"/>
      <c r="YN3" s="120"/>
      <c r="YO3" s="120"/>
      <c r="YP3" s="120"/>
      <c r="YQ3" s="120"/>
      <c r="YR3" s="120"/>
      <c r="YS3" s="120"/>
      <c r="YT3" s="120"/>
      <c r="YU3" s="120"/>
      <c r="YV3" s="120"/>
      <c r="YW3" s="120"/>
      <c r="YX3" s="120"/>
      <c r="YY3" s="120"/>
      <c r="YZ3" s="120"/>
      <c r="ZA3" s="120"/>
      <c r="ZB3" s="120"/>
      <c r="ZC3" s="120"/>
      <c r="ZD3" s="120"/>
      <c r="ZE3" s="120"/>
      <c r="ZF3" s="120"/>
      <c r="ZG3" s="120"/>
      <c r="ZH3" s="120"/>
      <c r="ZI3" s="120"/>
      <c r="ZJ3" s="120"/>
      <c r="ZK3" s="120"/>
      <c r="ZL3" s="120"/>
      <c r="ZM3" s="120"/>
      <c r="ZN3" s="120"/>
      <c r="ZO3" s="120"/>
      <c r="ZP3" s="120"/>
      <c r="ZQ3" s="120"/>
      <c r="ZR3" s="120"/>
      <c r="ZS3" s="120"/>
      <c r="ZT3" s="120"/>
      <c r="ZU3" s="120"/>
      <c r="ZV3" s="120"/>
      <c r="ZW3" s="120"/>
      <c r="ZX3" s="120"/>
      <c r="ZY3" s="120"/>
      <c r="ZZ3" s="120"/>
      <c r="AAA3" s="120"/>
      <c r="AAB3" s="120"/>
      <c r="AAC3" s="120"/>
      <c r="AAD3" s="120"/>
      <c r="AAE3" s="120"/>
      <c r="AAF3" s="120"/>
      <c r="AAG3" s="120"/>
      <c r="AAH3" s="120"/>
      <c r="AAI3" s="120"/>
      <c r="AAJ3" s="120"/>
      <c r="AAK3" s="120"/>
      <c r="AAL3" s="120"/>
      <c r="AAM3" s="120"/>
      <c r="AAN3" s="120"/>
      <c r="AAO3" s="120"/>
      <c r="AAP3" s="120"/>
      <c r="AAQ3" s="120"/>
      <c r="AAR3" s="120"/>
      <c r="AAS3" s="120"/>
      <c r="AAT3" s="120"/>
      <c r="AAU3" s="120"/>
      <c r="AAV3" s="120"/>
      <c r="AAW3" s="120"/>
      <c r="AAX3" s="120"/>
      <c r="AAY3" s="120"/>
      <c r="AAZ3" s="120"/>
      <c r="ABA3" s="120"/>
      <c r="ABB3" s="120"/>
      <c r="ABC3" s="120"/>
      <c r="ABD3" s="120"/>
      <c r="ABE3" s="120"/>
      <c r="ABF3" s="120"/>
      <c r="ABG3" s="120"/>
      <c r="ABH3" s="120"/>
      <c r="ABI3" s="120"/>
      <c r="ABJ3" s="120"/>
      <c r="ABK3" s="120"/>
      <c r="ABL3" s="120"/>
      <c r="ABM3" s="120"/>
      <c r="ABN3" s="120"/>
      <c r="ABO3" s="120"/>
      <c r="ABP3" s="120"/>
      <c r="ABQ3" s="120"/>
      <c r="ABR3" s="120"/>
      <c r="ABS3" s="120"/>
      <c r="ABT3" s="120"/>
      <c r="ABU3" s="120"/>
      <c r="ABV3" s="120"/>
      <c r="ABW3" s="120"/>
      <c r="ABX3" s="120"/>
      <c r="ABY3" s="120"/>
      <c r="ABZ3" s="120"/>
      <c r="ACA3" s="120"/>
      <c r="ACB3" s="120"/>
      <c r="ACC3" s="120"/>
      <c r="ACD3" s="120"/>
      <c r="ACE3" s="120"/>
      <c r="ACF3" s="120"/>
      <c r="ACG3" s="120"/>
      <c r="ACH3" s="120"/>
      <c r="ACI3" s="120"/>
      <c r="ACJ3" s="120"/>
      <c r="ACK3" s="120"/>
      <c r="ACL3" s="120"/>
      <c r="ACM3" s="120"/>
      <c r="ACN3" s="120"/>
      <c r="ACO3" s="120"/>
      <c r="ACP3" s="120"/>
      <c r="ACQ3" s="120"/>
      <c r="ACR3" s="120"/>
      <c r="ACS3" s="120"/>
      <c r="ACT3" s="120"/>
      <c r="ACU3" s="120"/>
      <c r="ACV3" s="120"/>
      <c r="ACW3" s="120"/>
      <c r="ACX3" s="120"/>
      <c r="ACY3" s="120"/>
      <c r="ACZ3" s="120"/>
      <c r="ADA3" s="120"/>
      <c r="ADB3" s="120"/>
      <c r="ADC3" s="120"/>
      <c r="ADD3" s="120"/>
      <c r="ADE3" s="120"/>
      <c r="ADF3" s="120"/>
      <c r="ADG3" s="120"/>
      <c r="ADH3" s="120"/>
      <c r="ADI3" s="120"/>
      <c r="ADJ3" s="120"/>
      <c r="ADK3" s="120"/>
      <c r="ADL3" s="120"/>
      <c r="ADM3" s="120"/>
      <c r="ADN3" s="120"/>
      <c r="ADO3" s="120"/>
      <c r="ADP3" s="120"/>
      <c r="ADQ3" s="120"/>
      <c r="ADR3" s="120"/>
      <c r="ADS3" s="120"/>
      <c r="ADT3" s="120"/>
      <c r="ADU3" s="120"/>
      <c r="ADV3" s="120"/>
      <c r="ADW3" s="120"/>
      <c r="ADX3" s="120"/>
      <c r="ADY3" s="120"/>
      <c r="ADZ3" s="120"/>
      <c r="AEA3" s="120"/>
      <c r="AEB3" s="120"/>
      <c r="AEC3" s="120"/>
      <c r="AED3" s="120"/>
      <c r="AEE3" s="120"/>
      <c r="AEF3" s="120"/>
      <c r="AEG3" s="120"/>
      <c r="AEH3" s="120"/>
      <c r="AEI3" s="120"/>
      <c r="AEJ3" s="120"/>
      <c r="AEK3" s="120"/>
      <c r="AEL3" s="120"/>
      <c r="AEM3" s="120"/>
      <c r="AEN3" s="120"/>
      <c r="AEO3" s="120"/>
      <c r="AEP3" s="120"/>
      <c r="AEQ3" s="120"/>
      <c r="AER3" s="120"/>
      <c r="AES3" s="120"/>
      <c r="AET3" s="120"/>
      <c r="AEU3" s="120"/>
      <c r="AEV3" s="120"/>
      <c r="AEW3" s="120"/>
      <c r="AEX3" s="120"/>
      <c r="AEY3" s="120"/>
      <c r="AEZ3" s="120"/>
      <c r="AFA3" s="120"/>
      <c r="AFB3" s="120"/>
      <c r="AFC3" s="120"/>
      <c r="AFD3" s="120"/>
      <c r="AFE3" s="120"/>
      <c r="AFF3" s="120"/>
      <c r="AFG3" s="120"/>
      <c r="AFH3" s="120"/>
      <c r="AFI3" s="120"/>
      <c r="AFJ3" s="120"/>
      <c r="AFK3" s="120"/>
      <c r="AFL3" s="120"/>
      <c r="AFM3" s="120"/>
      <c r="AFN3" s="120"/>
      <c r="AFO3" s="120"/>
      <c r="AFP3" s="120"/>
      <c r="AFQ3" s="120"/>
      <c r="AFR3" s="120"/>
      <c r="AFS3" s="120"/>
      <c r="AFT3" s="120"/>
      <c r="AFU3" s="120"/>
      <c r="AFV3" s="120"/>
      <c r="AFW3" s="120"/>
      <c r="AFX3" s="120"/>
      <c r="AFY3" s="120"/>
      <c r="AFZ3" s="120"/>
      <c r="AGA3" s="120"/>
      <c r="AGB3" s="120"/>
      <c r="AGC3" s="120"/>
      <c r="AGD3" s="120"/>
      <c r="AGE3" s="120"/>
      <c r="AGF3" s="120"/>
      <c r="AGG3" s="120"/>
      <c r="AGH3" s="120"/>
      <c r="AGI3" s="120"/>
      <c r="AGJ3" s="120"/>
      <c r="AGK3" s="120"/>
      <c r="AGL3" s="120"/>
      <c r="AGM3" s="120"/>
      <c r="AGN3" s="120"/>
      <c r="AGO3" s="120"/>
      <c r="AGP3" s="120"/>
      <c r="AGQ3" s="120"/>
      <c r="AGR3" s="120"/>
      <c r="AGS3" s="120"/>
      <c r="AGT3" s="120"/>
      <c r="AGU3" s="120"/>
      <c r="AGV3" s="120"/>
      <c r="AGW3" s="120"/>
      <c r="AGX3" s="120"/>
      <c r="AGY3" s="120"/>
      <c r="AGZ3" s="120"/>
      <c r="AHA3" s="120"/>
      <c r="AHB3" s="120"/>
      <c r="AHC3" s="120"/>
      <c r="AHD3" s="120"/>
      <c r="AHE3" s="120"/>
      <c r="AHF3" s="120"/>
      <c r="AHG3" s="120"/>
      <c r="AHH3" s="120"/>
      <c r="AHI3" s="120"/>
      <c r="AHJ3" s="120"/>
      <c r="AHK3" s="120"/>
      <c r="AHL3" s="120"/>
      <c r="AHM3" s="120"/>
      <c r="AHN3" s="120"/>
      <c r="AHO3" s="120"/>
      <c r="AHP3" s="120"/>
      <c r="AHQ3" s="120"/>
      <c r="AHR3" s="120"/>
      <c r="AHS3" s="120"/>
      <c r="AHT3" s="120"/>
      <c r="AHU3" s="120"/>
      <c r="AHV3" s="120"/>
      <c r="AHW3" s="120"/>
      <c r="AHX3" s="120"/>
      <c r="AHY3" s="120"/>
      <c r="AHZ3" s="120"/>
      <c r="AIA3" s="120"/>
      <c r="AIB3" s="120"/>
      <c r="AIC3" s="120"/>
      <c r="AID3" s="120"/>
      <c r="AIE3" s="120"/>
      <c r="AIF3" s="120"/>
      <c r="AIG3" s="120"/>
      <c r="AIH3" s="120"/>
      <c r="AII3" s="120"/>
      <c r="AIJ3" s="120"/>
      <c r="AIK3" s="120"/>
      <c r="AIL3" s="120"/>
      <c r="AIM3" s="120"/>
      <c r="AIN3" s="120"/>
      <c r="AIO3" s="120"/>
      <c r="AIP3" s="120"/>
      <c r="AIQ3" s="120"/>
      <c r="AIR3" s="120"/>
      <c r="AIS3" s="120"/>
      <c r="AIT3" s="120"/>
      <c r="AIU3" s="120"/>
      <c r="AIV3" s="120"/>
      <c r="AIW3" s="120"/>
      <c r="AIX3" s="120"/>
      <c r="AIY3" s="120"/>
      <c r="AIZ3" s="120"/>
      <c r="AJA3" s="120"/>
      <c r="AJB3" s="120"/>
      <c r="AJC3" s="120"/>
      <c r="AJD3" s="120"/>
      <c r="AJE3" s="120"/>
      <c r="AJF3" s="120"/>
      <c r="AJG3" s="120"/>
      <c r="AJH3" s="120"/>
      <c r="AJI3" s="120"/>
      <c r="AJJ3" s="120"/>
      <c r="AJK3" s="120"/>
      <c r="AJL3" s="120"/>
      <c r="AJM3" s="120"/>
      <c r="AJN3" s="120"/>
      <c r="AJO3" s="120"/>
      <c r="AJP3" s="120"/>
      <c r="AJQ3" s="120"/>
      <c r="AJR3" s="120"/>
      <c r="AJS3" s="120"/>
      <c r="AJT3" s="120"/>
      <c r="AJU3" s="120"/>
      <c r="AJV3" s="120"/>
      <c r="AJW3" s="120"/>
      <c r="AJX3" s="120"/>
      <c r="AJY3" s="120"/>
      <c r="AJZ3" s="120"/>
      <c r="AKA3" s="120"/>
      <c r="AKB3" s="120"/>
      <c r="AKC3" s="120"/>
      <c r="AKD3" s="120"/>
      <c r="AKE3" s="120"/>
      <c r="AKF3" s="120"/>
      <c r="AKG3" s="120"/>
      <c r="AKH3" s="120"/>
      <c r="AKI3" s="120"/>
      <c r="AKJ3" s="120"/>
      <c r="AKK3" s="120"/>
      <c r="AKL3" s="120"/>
      <c r="AKM3" s="120"/>
      <c r="AKN3" s="120"/>
      <c r="AKO3" s="120"/>
      <c r="AKP3" s="120"/>
      <c r="AKQ3" s="120"/>
      <c r="AKR3" s="120"/>
      <c r="AKS3" s="120"/>
      <c r="AKT3" s="120"/>
      <c r="AKU3" s="120"/>
      <c r="AKV3" s="120"/>
      <c r="AKW3" s="120"/>
      <c r="AKX3" s="120"/>
      <c r="AKY3" s="120"/>
      <c r="AKZ3" s="120"/>
      <c r="ALA3" s="120"/>
      <c r="ALB3" s="120"/>
      <c r="ALC3" s="120"/>
      <c r="ALD3" s="120"/>
      <c r="ALE3" s="120"/>
      <c r="ALF3" s="120"/>
      <c r="ALG3" s="120"/>
      <c r="ALH3" s="120"/>
      <c r="ALI3" s="120"/>
      <c r="ALJ3" s="120"/>
      <c r="ALK3" s="120"/>
      <c r="ALL3" s="120"/>
      <c r="ALM3" s="120"/>
      <c r="ALN3" s="120"/>
      <c r="ALO3" s="120"/>
      <c r="ALP3" s="120"/>
      <c r="ALQ3" s="120"/>
      <c r="ALR3" s="120"/>
      <c r="ALS3" s="120"/>
      <c r="ALT3" s="120"/>
      <c r="ALU3" s="120"/>
      <c r="ALV3" s="120"/>
      <c r="ALW3" s="120"/>
      <c r="ALX3" s="120"/>
      <c r="ALY3" s="120"/>
      <c r="ALZ3" s="120"/>
      <c r="AMA3" s="120"/>
      <c r="AMB3" s="120"/>
      <c r="AMC3" s="120"/>
      <c r="AMD3" s="120"/>
      <c r="AME3" s="120"/>
      <c r="AMF3" s="120"/>
      <c r="AMG3" s="120"/>
      <c r="AMH3" s="120"/>
      <c r="AMI3" s="120"/>
      <c r="AMJ3" s="120"/>
      <c r="AMK3" s="120"/>
      <c r="AML3" s="120"/>
      <c r="AMM3" s="120"/>
      <c r="AMN3" s="120"/>
      <c r="AMO3" s="120"/>
      <c r="AMP3" s="120"/>
      <c r="AMQ3" s="120"/>
      <c r="AMR3" s="120"/>
      <c r="AMS3" s="120"/>
      <c r="AMT3" s="120"/>
      <c r="AMU3" s="120"/>
      <c r="AMV3" s="120"/>
      <c r="AMW3" s="120"/>
      <c r="AMX3" s="120"/>
      <c r="AMY3" s="120"/>
      <c r="AMZ3" s="120"/>
      <c r="ANA3" s="120"/>
      <c r="ANB3" s="120"/>
      <c r="ANC3" s="120"/>
      <c r="AND3" s="120"/>
      <c r="ANE3" s="120"/>
      <c r="ANF3" s="120"/>
      <c r="ANG3" s="120"/>
      <c r="ANH3" s="120"/>
      <c r="ANI3" s="120"/>
      <c r="ANJ3" s="120"/>
      <c r="ANK3" s="120"/>
      <c r="ANL3" s="120"/>
      <c r="ANM3" s="120"/>
      <c r="ANN3" s="120"/>
      <c r="ANO3" s="120"/>
      <c r="ANP3" s="120"/>
      <c r="ANQ3" s="120"/>
      <c r="ANR3" s="120"/>
      <c r="ANS3" s="120"/>
      <c r="ANT3" s="120"/>
      <c r="ANU3" s="120"/>
      <c r="ANV3" s="120"/>
      <c r="ANW3" s="120"/>
      <c r="ANX3" s="120"/>
      <c r="ANY3" s="120"/>
      <c r="ANZ3" s="120"/>
      <c r="AOA3" s="120"/>
      <c r="AOB3" s="120"/>
      <c r="AOC3" s="120"/>
      <c r="AOD3" s="120"/>
      <c r="AOE3" s="120"/>
      <c r="AOF3" s="120"/>
      <c r="AOG3" s="120"/>
      <c r="AOH3" s="120"/>
      <c r="AOI3" s="120"/>
      <c r="AOJ3" s="120"/>
      <c r="AOK3" s="120"/>
      <c r="AOL3" s="120"/>
      <c r="AOM3" s="120"/>
      <c r="AON3" s="120"/>
      <c r="AOO3" s="120"/>
      <c r="AOP3" s="120"/>
      <c r="AOQ3" s="120"/>
      <c r="AOR3" s="120"/>
      <c r="AOS3" s="120"/>
      <c r="AOT3" s="120"/>
      <c r="AOU3" s="120"/>
      <c r="AOV3" s="120"/>
      <c r="AOW3" s="120"/>
      <c r="AOX3" s="120"/>
      <c r="AOY3" s="120"/>
      <c r="AOZ3" s="120"/>
      <c r="APA3" s="120"/>
      <c r="APB3" s="120"/>
      <c r="APC3" s="120"/>
      <c r="APD3" s="120"/>
      <c r="APE3" s="120"/>
      <c r="APF3" s="120"/>
      <c r="APG3" s="120"/>
      <c r="APH3" s="120"/>
      <c r="API3" s="120"/>
      <c r="APJ3" s="120"/>
      <c r="APK3" s="120"/>
      <c r="APL3" s="120"/>
      <c r="APM3" s="120"/>
      <c r="APN3" s="120"/>
      <c r="APO3" s="120"/>
      <c r="APP3" s="120"/>
      <c r="APQ3" s="120"/>
      <c r="APR3" s="120"/>
      <c r="APS3" s="120"/>
      <c r="APT3" s="120"/>
      <c r="APU3" s="120"/>
      <c r="APV3" s="120"/>
      <c r="APW3" s="120"/>
      <c r="APX3" s="120"/>
      <c r="APY3" s="120"/>
      <c r="APZ3" s="120"/>
      <c r="AQA3" s="120"/>
      <c r="AQB3" s="120"/>
      <c r="AQC3" s="120"/>
      <c r="AQD3" s="120"/>
      <c r="AQE3" s="120"/>
      <c r="AQF3" s="120"/>
      <c r="AQG3" s="120"/>
      <c r="AQH3" s="120"/>
      <c r="AQI3" s="120"/>
      <c r="AQJ3" s="120"/>
      <c r="AQK3" s="120"/>
      <c r="AQL3" s="120"/>
      <c r="AQM3" s="120"/>
      <c r="AQN3" s="120"/>
      <c r="AQO3" s="120"/>
      <c r="AQP3" s="120"/>
      <c r="AQQ3" s="120"/>
      <c r="AQR3" s="120"/>
      <c r="AQS3" s="120"/>
      <c r="AQT3" s="120"/>
      <c r="AQU3" s="120"/>
      <c r="AQV3" s="120"/>
      <c r="AQW3" s="120"/>
      <c r="AQX3" s="120"/>
      <c r="AQY3" s="120"/>
      <c r="AQZ3" s="120"/>
      <c r="ARA3" s="120"/>
      <c r="ARB3" s="120"/>
      <c r="ARC3" s="120"/>
      <c r="ARD3" s="120"/>
      <c r="ARE3" s="120"/>
      <c r="ARF3" s="120"/>
      <c r="ARG3" s="120"/>
      <c r="ARH3" s="120"/>
      <c r="ARI3" s="120"/>
      <c r="ARJ3" s="120"/>
      <c r="ARK3" s="120"/>
      <c r="ARL3" s="120"/>
      <c r="ARM3" s="120"/>
      <c r="ARN3" s="120"/>
      <c r="ARO3" s="120"/>
      <c r="ARP3" s="120"/>
      <c r="ARQ3" s="120"/>
      <c r="ARR3" s="120"/>
      <c r="ARS3" s="120"/>
      <c r="ART3" s="120"/>
      <c r="ARU3" s="120"/>
      <c r="ARV3" s="120"/>
      <c r="ARW3" s="120"/>
      <c r="ARX3" s="120"/>
      <c r="ARY3" s="120"/>
      <c r="ARZ3" s="120"/>
      <c r="ASA3" s="120"/>
      <c r="ASB3" s="120"/>
      <c r="ASC3" s="120"/>
      <c r="ASD3" s="120"/>
      <c r="ASE3" s="120"/>
      <c r="ASF3" s="120"/>
      <c r="ASG3" s="120"/>
      <c r="ASH3" s="120"/>
      <c r="ASI3" s="120"/>
      <c r="ASJ3" s="120"/>
      <c r="ASK3" s="120"/>
      <c r="ASL3" s="120"/>
      <c r="ASM3" s="120"/>
      <c r="ASN3" s="120"/>
      <c r="ASO3" s="120"/>
      <c r="ASP3" s="120"/>
      <c r="ASQ3" s="120"/>
      <c r="ASR3" s="120"/>
      <c r="ASS3" s="120"/>
      <c r="AST3" s="120"/>
      <c r="ASU3" s="120"/>
      <c r="ASV3" s="120"/>
      <c r="ASW3" s="120"/>
      <c r="ASX3" s="120"/>
      <c r="ASY3" s="120"/>
      <c r="ASZ3" s="120"/>
      <c r="ATA3" s="120"/>
      <c r="ATB3" s="120"/>
      <c r="ATC3" s="120"/>
      <c r="ATD3" s="120"/>
      <c r="ATE3" s="120"/>
      <c r="ATF3" s="120"/>
      <c r="ATG3" s="120"/>
      <c r="ATH3" s="120"/>
      <c r="ATI3" s="120"/>
      <c r="ATJ3" s="120"/>
      <c r="ATK3" s="120"/>
      <c r="ATL3" s="120"/>
      <c r="ATM3" s="120"/>
      <c r="ATN3" s="120"/>
      <c r="ATO3" s="120"/>
      <c r="ATP3" s="120"/>
      <c r="ATQ3" s="120"/>
      <c r="ATR3" s="120"/>
      <c r="ATS3" s="120"/>
      <c r="ATT3" s="120"/>
      <c r="ATU3" s="120"/>
      <c r="ATV3" s="120"/>
      <c r="ATW3" s="120"/>
      <c r="ATX3" s="120"/>
      <c r="ATY3" s="120"/>
      <c r="ATZ3" s="120"/>
      <c r="AUA3" s="120"/>
      <c r="AUB3" s="120"/>
      <c r="AUC3" s="120"/>
      <c r="AUD3" s="120"/>
      <c r="AUE3" s="120"/>
      <c r="AUF3" s="120"/>
      <c r="AUG3" s="120"/>
      <c r="AUH3" s="120"/>
      <c r="AUI3" s="120"/>
      <c r="AUJ3" s="120"/>
      <c r="AUK3" s="120"/>
      <c r="AUL3" s="120"/>
      <c r="AUM3" s="120"/>
      <c r="AUN3" s="120"/>
      <c r="AUO3" s="120"/>
      <c r="AUP3" s="120"/>
      <c r="AUQ3" s="120"/>
      <c r="AUR3" s="120"/>
      <c r="AUS3" s="120"/>
      <c r="AUT3" s="120"/>
      <c r="AUU3" s="120"/>
      <c r="AUV3" s="120"/>
      <c r="AUW3" s="120"/>
      <c r="AUX3" s="120"/>
      <c r="AUY3" s="120"/>
      <c r="AUZ3" s="120"/>
      <c r="AVA3" s="120"/>
      <c r="AVB3" s="120"/>
      <c r="AVC3" s="120"/>
      <c r="AVD3" s="120"/>
      <c r="AVE3" s="120"/>
      <c r="AVF3" s="120"/>
      <c r="AVG3" s="120"/>
      <c r="AVH3" s="120"/>
      <c r="AVI3" s="120"/>
      <c r="AVJ3" s="120"/>
      <c r="AVK3" s="120"/>
      <c r="AVL3" s="120"/>
      <c r="AVM3" s="120"/>
      <c r="AVN3" s="120"/>
      <c r="AVO3" s="120"/>
      <c r="AVP3" s="120"/>
      <c r="AVQ3" s="120"/>
      <c r="AVR3" s="120"/>
      <c r="AVS3" s="120"/>
      <c r="AVT3" s="120"/>
      <c r="AVU3" s="120"/>
      <c r="AVV3" s="120"/>
      <c r="AVW3" s="120"/>
      <c r="AVX3" s="120"/>
      <c r="AVY3" s="120"/>
      <c r="AVZ3" s="120"/>
      <c r="AWA3" s="120"/>
      <c r="AWB3" s="120"/>
      <c r="AWC3" s="120"/>
      <c r="AWD3" s="120"/>
      <c r="AWE3" s="120"/>
      <c r="AWF3" s="120"/>
      <c r="AWG3" s="120"/>
      <c r="AWH3" s="120"/>
      <c r="AWI3" s="120"/>
      <c r="AWJ3" s="120"/>
      <c r="AWK3" s="120"/>
      <c r="AWL3" s="120"/>
      <c r="AWM3" s="120"/>
      <c r="AWN3" s="120"/>
      <c r="AWO3" s="120"/>
      <c r="AWP3" s="120"/>
      <c r="AWQ3" s="120"/>
      <c r="AWR3" s="120"/>
      <c r="AWS3" s="120"/>
      <c r="AWT3" s="120"/>
      <c r="AWU3" s="120"/>
      <c r="AWV3" s="120"/>
      <c r="AWW3" s="120"/>
      <c r="AWX3" s="120"/>
      <c r="AWY3" s="120"/>
      <c r="AWZ3" s="120"/>
      <c r="AXA3" s="120"/>
      <c r="AXB3" s="120"/>
      <c r="AXC3" s="120"/>
      <c r="AXD3" s="120"/>
      <c r="AXE3" s="120"/>
      <c r="AXF3" s="120"/>
      <c r="AXG3" s="120"/>
      <c r="AXH3" s="120"/>
      <c r="AXI3" s="120"/>
      <c r="AXJ3" s="120"/>
      <c r="AXK3" s="120"/>
      <c r="AXL3" s="120"/>
      <c r="AXM3" s="120"/>
      <c r="AXN3" s="120"/>
      <c r="AXO3" s="120"/>
      <c r="AXP3" s="120"/>
      <c r="AXQ3" s="120"/>
      <c r="AXR3" s="120"/>
      <c r="AXS3" s="120"/>
      <c r="AXT3" s="120"/>
      <c r="AXU3" s="120"/>
      <c r="AXV3" s="120"/>
      <c r="AXW3" s="120"/>
      <c r="AXX3" s="120"/>
      <c r="AXY3" s="120"/>
      <c r="AXZ3" s="120"/>
      <c r="AYA3" s="120"/>
      <c r="AYB3" s="120"/>
      <c r="AYC3" s="120"/>
      <c r="AYD3" s="120"/>
      <c r="AYE3" s="120"/>
      <c r="AYF3" s="120"/>
      <c r="AYG3" s="120"/>
      <c r="AYH3" s="120"/>
      <c r="AYI3" s="120"/>
      <c r="AYJ3" s="120"/>
      <c r="AYK3" s="120"/>
      <c r="AYL3" s="120"/>
      <c r="AYM3" s="120"/>
      <c r="AYN3" s="120"/>
      <c r="AYO3" s="120"/>
      <c r="AYP3" s="120"/>
      <c r="AYQ3" s="120"/>
      <c r="AYR3" s="120"/>
      <c r="AYS3" s="120"/>
      <c r="AYT3" s="120"/>
      <c r="AYU3" s="120"/>
      <c r="AYV3" s="120"/>
      <c r="AYW3" s="120"/>
      <c r="AYX3" s="120"/>
      <c r="AYY3" s="120"/>
      <c r="AYZ3" s="120"/>
      <c r="AZA3" s="120"/>
      <c r="AZB3" s="120"/>
      <c r="AZC3" s="120"/>
      <c r="AZD3" s="120"/>
      <c r="AZE3" s="120"/>
      <c r="AZF3" s="120"/>
      <c r="AZG3" s="120"/>
      <c r="AZH3" s="120"/>
      <c r="AZI3" s="120"/>
      <c r="AZJ3" s="120"/>
      <c r="AZK3" s="120"/>
      <c r="AZL3" s="120"/>
      <c r="AZM3" s="120"/>
      <c r="AZN3" s="120"/>
      <c r="AZO3" s="120"/>
      <c r="AZP3" s="120"/>
      <c r="AZQ3" s="120"/>
      <c r="AZR3" s="120"/>
      <c r="AZS3" s="120"/>
      <c r="AZT3" s="120"/>
      <c r="AZU3" s="120"/>
      <c r="AZV3" s="120"/>
      <c r="AZW3" s="120"/>
      <c r="AZX3" s="120"/>
      <c r="AZY3" s="120"/>
      <c r="AZZ3" s="120"/>
      <c r="BAA3" s="120"/>
      <c r="BAB3" s="120"/>
      <c r="BAC3" s="120"/>
      <c r="BAD3" s="120"/>
      <c r="BAE3" s="120"/>
      <c r="BAF3" s="120"/>
      <c r="BAG3" s="120"/>
      <c r="BAH3" s="120"/>
      <c r="BAI3" s="120"/>
      <c r="BAJ3" s="120"/>
      <c r="BAK3" s="120"/>
      <c r="BAL3" s="120"/>
      <c r="BAM3" s="120"/>
      <c r="BAN3" s="120"/>
      <c r="BAO3" s="120"/>
      <c r="BAP3" s="120"/>
      <c r="BAQ3" s="120"/>
      <c r="BAR3" s="120"/>
      <c r="BAS3" s="120"/>
      <c r="BAT3" s="120"/>
      <c r="BAU3" s="120"/>
      <c r="BAV3" s="120"/>
      <c r="BAW3" s="120"/>
      <c r="BAX3" s="120"/>
      <c r="BAY3" s="120"/>
      <c r="BAZ3" s="120"/>
      <c r="BBA3" s="120"/>
      <c r="BBB3" s="120"/>
      <c r="BBC3" s="120"/>
      <c r="BBD3" s="120"/>
      <c r="BBE3" s="120"/>
      <c r="BBF3" s="120"/>
      <c r="BBG3" s="120"/>
      <c r="BBH3" s="120"/>
      <c r="BBI3" s="120"/>
      <c r="BBJ3" s="120"/>
      <c r="BBK3" s="120"/>
      <c r="BBL3" s="120"/>
      <c r="BBM3" s="120"/>
      <c r="BBN3" s="120"/>
      <c r="BBO3" s="120"/>
      <c r="BBP3" s="120"/>
      <c r="BBQ3" s="120"/>
      <c r="BBR3" s="120"/>
      <c r="BBS3" s="120"/>
      <c r="BBT3" s="120"/>
      <c r="BBU3" s="120"/>
      <c r="BBV3" s="120"/>
      <c r="BBW3" s="120"/>
      <c r="BBX3" s="120"/>
      <c r="BBY3" s="120"/>
      <c r="BBZ3" s="120"/>
      <c r="BCA3" s="120"/>
      <c r="BCB3" s="120"/>
      <c r="BCC3" s="120"/>
      <c r="BCD3" s="120"/>
      <c r="BCE3" s="120"/>
      <c r="BCF3" s="120"/>
      <c r="BCG3" s="120"/>
      <c r="BCH3" s="120"/>
      <c r="BCI3" s="120"/>
      <c r="BCJ3" s="120"/>
      <c r="BCK3" s="120"/>
      <c r="BCL3" s="120"/>
      <c r="BCM3" s="120"/>
      <c r="BCN3" s="120"/>
      <c r="BCO3" s="120"/>
      <c r="BCP3" s="120"/>
      <c r="BCQ3" s="120"/>
      <c r="BCR3" s="120"/>
      <c r="BCS3" s="120"/>
      <c r="BCT3" s="120"/>
      <c r="BCU3" s="120"/>
      <c r="BCV3" s="120"/>
      <c r="BCW3" s="120"/>
      <c r="BCX3" s="120"/>
      <c r="BCY3" s="120"/>
      <c r="BCZ3" s="120"/>
      <c r="BDA3" s="120"/>
      <c r="BDB3" s="120"/>
      <c r="BDC3" s="120"/>
      <c r="BDD3" s="120"/>
      <c r="BDE3" s="120"/>
      <c r="BDF3" s="120"/>
      <c r="BDG3" s="120"/>
      <c r="BDH3" s="120"/>
      <c r="BDI3" s="120"/>
      <c r="BDJ3" s="120"/>
      <c r="BDK3" s="120"/>
      <c r="BDL3" s="120"/>
      <c r="BDM3" s="120"/>
      <c r="BDN3" s="120"/>
      <c r="BDO3" s="120"/>
      <c r="BDP3" s="120"/>
      <c r="BDQ3" s="120"/>
      <c r="BDR3" s="120"/>
      <c r="BDS3" s="120"/>
      <c r="BDT3" s="120"/>
      <c r="BDU3" s="120"/>
      <c r="BDV3" s="120"/>
      <c r="BDW3" s="120"/>
      <c r="BDX3" s="120"/>
      <c r="BDY3" s="120"/>
      <c r="BDZ3" s="120"/>
      <c r="BEA3" s="120"/>
      <c r="BEB3" s="120"/>
      <c r="BEC3" s="120"/>
      <c r="BED3" s="120"/>
      <c r="BEE3" s="120"/>
      <c r="BEF3" s="120"/>
      <c r="BEG3" s="120"/>
      <c r="BEH3" s="120"/>
      <c r="BEI3" s="120"/>
      <c r="BEJ3" s="120"/>
      <c r="BEK3" s="120"/>
      <c r="BEL3" s="120"/>
      <c r="BEM3" s="120"/>
      <c r="BEN3" s="120"/>
      <c r="BEO3" s="120"/>
      <c r="BEP3" s="120"/>
      <c r="BEQ3" s="120"/>
      <c r="BER3" s="120"/>
      <c r="BES3" s="120"/>
      <c r="BET3" s="120"/>
      <c r="BEU3" s="120"/>
      <c r="BEV3" s="120"/>
      <c r="BEW3" s="120"/>
      <c r="BEX3" s="120"/>
      <c r="BEY3" s="120"/>
      <c r="BEZ3" s="120"/>
      <c r="BFA3" s="120"/>
      <c r="BFB3" s="120"/>
      <c r="BFC3" s="120"/>
      <c r="BFD3" s="120"/>
      <c r="BFE3" s="120"/>
      <c r="BFF3" s="120"/>
      <c r="BFG3" s="120"/>
      <c r="BFH3" s="120"/>
      <c r="BFI3" s="120"/>
      <c r="BFJ3" s="120"/>
      <c r="BFK3" s="120"/>
      <c r="BFL3" s="120"/>
      <c r="BFM3" s="120"/>
      <c r="BFN3" s="120"/>
      <c r="BFO3" s="120"/>
      <c r="BFP3" s="120"/>
      <c r="BFQ3" s="120"/>
      <c r="BFR3" s="120"/>
      <c r="BFS3" s="120"/>
      <c r="BFT3" s="120"/>
      <c r="BFU3" s="120"/>
      <c r="BFV3" s="120"/>
      <c r="BFW3" s="120"/>
      <c r="BFX3" s="120"/>
      <c r="BFY3" s="120"/>
      <c r="BFZ3" s="120"/>
      <c r="BGA3" s="120"/>
      <c r="BGB3" s="120"/>
      <c r="BGC3" s="120"/>
      <c r="BGD3" s="120"/>
      <c r="BGE3" s="120"/>
      <c r="BGF3" s="120"/>
      <c r="BGG3" s="120"/>
      <c r="BGH3" s="120"/>
      <c r="BGI3" s="120"/>
      <c r="BGJ3" s="120"/>
      <c r="BGK3" s="120"/>
      <c r="BGL3" s="120"/>
      <c r="BGM3" s="120"/>
      <c r="BGN3" s="120"/>
      <c r="BGO3" s="120"/>
      <c r="BGP3" s="120"/>
      <c r="BGQ3" s="120"/>
      <c r="BGR3" s="120"/>
      <c r="BGS3" s="120"/>
      <c r="BGT3" s="120"/>
      <c r="BGU3" s="120"/>
      <c r="BGV3" s="120"/>
      <c r="BGW3" s="120"/>
      <c r="BGX3" s="120"/>
      <c r="BGY3" s="120"/>
      <c r="BGZ3" s="120"/>
      <c r="BHA3" s="120"/>
      <c r="BHB3" s="120"/>
      <c r="BHC3" s="120"/>
      <c r="BHD3" s="120"/>
      <c r="BHE3" s="120"/>
      <c r="BHF3" s="120"/>
      <c r="BHG3" s="120"/>
      <c r="BHH3" s="120"/>
      <c r="BHI3" s="120"/>
      <c r="BHJ3" s="120"/>
      <c r="BHK3" s="120"/>
      <c r="BHL3" s="120"/>
      <c r="BHM3" s="120"/>
      <c r="BHN3" s="120"/>
      <c r="BHO3" s="120"/>
      <c r="BHP3" s="120"/>
      <c r="BHQ3" s="120"/>
      <c r="BHR3" s="120"/>
      <c r="BHS3" s="120"/>
      <c r="BHT3" s="120"/>
      <c r="BHU3" s="120"/>
      <c r="BHV3" s="120"/>
      <c r="BHW3" s="120"/>
      <c r="BHX3" s="120"/>
      <c r="BHY3" s="120"/>
      <c r="BHZ3" s="120"/>
      <c r="BIA3" s="120"/>
      <c r="BIB3" s="120"/>
      <c r="BIC3" s="120"/>
      <c r="BID3" s="120"/>
      <c r="BIE3" s="120"/>
      <c r="BIF3" s="120"/>
      <c r="BIG3" s="120"/>
      <c r="BIH3" s="120"/>
      <c r="BII3" s="120"/>
      <c r="BIJ3" s="120"/>
      <c r="BIK3" s="120"/>
      <c r="BIL3" s="120"/>
      <c r="BIM3" s="120"/>
      <c r="BIN3" s="120"/>
      <c r="BIO3" s="120"/>
      <c r="BIP3" s="120"/>
      <c r="BIQ3" s="120"/>
      <c r="BIR3" s="120"/>
      <c r="BIS3" s="120"/>
      <c r="BIT3" s="120"/>
      <c r="BIU3" s="120"/>
      <c r="BIV3" s="120"/>
      <c r="BIW3" s="120"/>
      <c r="BIX3" s="120"/>
      <c r="BIY3" s="120"/>
      <c r="BIZ3" s="120"/>
      <c r="BJA3" s="120"/>
      <c r="BJB3" s="120"/>
      <c r="BJC3" s="120"/>
      <c r="BJD3" s="120"/>
      <c r="BJE3" s="120"/>
      <c r="BJF3" s="120"/>
      <c r="BJG3" s="120"/>
      <c r="BJH3" s="120"/>
      <c r="BJI3" s="120"/>
      <c r="BJJ3" s="120"/>
      <c r="BJK3" s="120"/>
      <c r="BJL3" s="120"/>
      <c r="BJM3" s="120"/>
      <c r="BJN3" s="120"/>
      <c r="BJO3" s="120"/>
      <c r="BJP3" s="120"/>
      <c r="BJQ3" s="120"/>
      <c r="BJR3" s="120"/>
      <c r="BJS3" s="120"/>
      <c r="BJT3" s="120"/>
      <c r="BJU3" s="120"/>
      <c r="BJV3" s="120"/>
      <c r="BJW3" s="120"/>
      <c r="BJX3" s="120"/>
      <c r="BJY3" s="120"/>
      <c r="BJZ3" s="120"/>
      <c r="BKA3" s="120"/>
      <c r="BKB3" s="120"/>
      <c r="BKC3" s="120"/>
      <c r="BKD3" s="120"/>
      <c r="BKE3" s="120"/>
      <c r="BKF3" s="120"/>
      <c r="BKG3" s="120"/>
      <c r="BKH3" s="120"/>
      <c r="BKI3" s="120"/>
      <c r="BKJ3" s="120"/>
      <c r="BKK3" s="120"/>
      <c r="BKL3" s="120"/>
      <c r="BKM3" s="120"/>
      <c r="BKN3" s="120"/>
      <c r="BKO3" s="120"/>
      <c r="BKP3" s="120"/>
      <c r="BKQ3" s="120"/>
      <c r="BKR3" s="120"/>
      <c r="BKS3" s="120"/>
      <c r="BKT3" s="120"/>
      <c r="BKU3" s="120"/>
      <c r="BKV3" s="120"/>
      <c r="BKW3" s="120"/>
      <c r="BKX3" s="120"/>
      <c r="BKY3" s="120"/>
      <c r="BKZ3" s="120"/>
      <c r="BLA3" s="120"/>
      <c r="BLB3" s="120"/>
      <c r="BLC3" s="120"/>
      <c r="BLD3" s="120"/>
      <c r="BLE3" s="120"/>
      <c r="BLF3" s="120"/>
      <c r="BLG3" s="120"/>
      <c r="BLH3" s="120"/>
      <c r="BLI3" s="120"/>
      <c r="BLJ3" s="120"/>
      <c r="BLK3" s="120"/>
      <c r="BLL3" s="120"/>
      <c r="BLM3" s="120"/>
      <c r="BLN3" s="120"/>
      <c r="BLO3" s="120"/>
      <c r="BLP3" s="120"/>
      <c r="BLQ3" s="120"/>
      <c r="BLR3" s="120"/>
      <c r="BLS3" s="120"/>
      <c r="BLT3" s="120"/>
      <c r="BLU3" s="120"/>
      <c r="BLV3" s="120"/>
      <c r="BLW3" s="120"/>
      <c r="BLX3" s="120"/>
      <c r="BLY3" s="120"/>
      <c r="BLZ3" s="120"/>
      <c r="BMA3" s="120"/>
      <c r="BMB3" s="120"/>
      <c r="BMC3" s="120"/>
      <c r="BMD3" s="120"/>
      <c r="BME3" s="120"/>
      <c r="BMF3" s="120"/>
      <c r="BMG3" s="120"/>
      <c r="BMH3" s="120"/>
      <c r="BMI3" s="120"/>
      <c r="BMJ3" s="120"/>
      <c r="BMK3" s="120"/>
      <c r="BML3" s="120"/>
      <c r="BMM3" s="120"/>
      <c r="BMN3" s="120"/>
      <c r="BMO3" s="120"/>
      <c r="BMP3" s="120"/>
      <c r="BMQ3" s="120"/>
      <c r="BMR3" s="120"/>
      <c r="BMS3" s="120"/>
      <c r="BMT3" s="120"/>
      <c r="BMU3" s="120"/>
      <c r="BMV3" s="120"/>
      <c r="BMW3" s="120"/>
      <c r="BMX3" s="120"/>
      <c r="BMY3" s="120"/>
      <c r="BMZ3" s="120"/>
      <c r="BNA3" s="120"/>
      <c r="BNB3" s="120"/>
      <c r="BNC3" s="120"/>
      <c r="BND3" s="120"/>
      <c r="BNE3" s="120"/>
      <c r="BNF3" s="120"/>
      <c r="BNG3" s="120"/>
      <c r="BNH3" s="120"/>
      <c r="BNI3" s="120"/>
      <c r="BNJ3" s="120"/>
      <c r="BNK3" s="120"/>
      <c r="BNL3" s="120"/>
      <c r="BNM3" s="120"/>
      <c r="BNN3" s="120"/>
      <c r="BNO3" s="120"/>
      <c r="BNP3" s="120"/>
      <c r="BNQ3" s="120"/>
      <c r="BNR3" s="120"/>
      <c r="BNS3" s="120"/>
      <c r="BNT3" s="120"/>
      <c r="BNU3" s="120"/>
      <c r="BNV3" s="120"/>
      <c r="BNW3" s="120"/>
      <c r="BNX3" s="120"/>
      <c r="BNY3" s="120"/>
      <c r="BNZ3" s="120"/>
      <c r="BOA3" s="120"/>
      <c r="BOB3" s="120"/>
      <c r="BOC3" s="120"/>
      <c r="BOD3" s="120"/>
      <c r="BOE3" s="120"/>
      <c r="BOF3" s="120"/>
      <c r="BOG3" s="120"/>
      <c r="BOH3" s="120"/>
      <c r="BOI3" s="120"/>
      <c r="BOJ3" s="120"/>
      <c r="BOK3" s="120"/>
      <c r="BOL3" s="120"/>
      <c r="BOM3" s="120"/>
      <c r="BON3" s="120"/>
      <c r="BOO3" s="120"/>
      <c r="BOP3" s="120"/>
      <c r="BOQ3" s="120"/>
      <c r="BOR3" s="120"/>
      <c r="BOS3" s="120"/>
      <c r="BOT3" s="120"/>
      <c r="BOU3" s="120"/>
      <c r="BOV3" s="120"/>
      <c r="BOW3" s="120"/>
      <c r="BOX3" s="120"/>
      <c r="BOY3" s="120"/>
      <c r="BOZ3" s="120"/>
      <c r="BPA3" s="120"/>
      <c r="BPB3" s="120"/>
      <c r="BPC3" s="120"/>
      <c r="BPD3" s="120"/>
      <c r="BPE3" s="120"/>
      <c r="BPF3" s="120"/>
      <c r="BPG3" s="120"/>
      <c r="BPH3" s="120"/>
      <c r="BPI3" s="120"/>
      <c r="BPJ3" s="120"/>
      <c r="BPK3" s="120"/>
      <c r="BPL3" s="120"/>
      <c r="BPM3" s="120"/>
      <c r="BPN3" s="120"/>
      <c r="BPO3" s="120"/>
      <c r="BPP3" s="120"/>
      <c r="BPQ3" s="120"/>
      <c r="BPR3" s="120"/>
      <c r="BPS3" s="120"/>
      <c r="BPT3" s="120"/>
      <c r="BPU3" s="120"/>
      <c r="BPV3" s="120"/>
      <c r="BPW3" s="120"/>
      <c r="BPX3" s="120"/>
      <c r="BPY3" s="120"/>
      <c r="BPZ3" s="120"/>
      <c r="BQA3" s="120"/>
      <c r="BQB3" s="120"/>
      <c r="BQC3" s="120"/>
      <c r="BQD3" s="120"/>
      <c r="BQE3" s="120"/>
      <c r="BQF3" s="120"/>
      <c r="BQG3" s="120"/>
      <c r="BQH3" s="120"/>
      <c r="BQI3" s="120"/>
      <c r="BQJ3" s="120"/>
      <c r="BQK3" s="120"/>
      <c r="BQL3" s="120"/>
      <c r="BQM3" s="120"/>
      <c r="BQN3" s="120"/>
      <c r="BQO3" s="120"/>
      <c r="BQP3" s="120"/>
      <c r="BQQ3" s="120"/>
      <c r="BQR3" s="120"/>
      <c r="BQS3" s="120"/>
      <c r="BQT3" s="120"/>
      <c r="BQU3" s="120"/>
      <c r="BQV3" s="120"/>
      <c r="BQW3" s="120"/>
      <c r="BQX3" s="120"/>
      <c r="BQY3" s="120"/>
      <c r="BQZ3" s="120"/>
      <c r="BRA3" s="120"/>
      <c r="BRB3" s="120"/>
      <c r="BRC3" s="120"/>
      <c r="BRD3" s="120"/>
      <c r="BRE3" s="120"/>
      <c r="BRF3" s="120"/>
      <c r="BRG3" s="120"/>
      <c r="BRH3" s="120"/>
      <c r="BRI3" s="120"/>
      <c r="BRJ3" s="120"/>
      <c r="BRK3" s="120"/>
      <c r="BRL3" s="120"/>
      <c r="BRM3" s="120"/>
      <c r="BRN3" s="120"/>
      <c r="BRO3" s="120"/>
      <c r="BRP3" s="120"/>
      <c r="BRQ3" s="120"/>
      <c r="BRR3" s="120"/>
      <c r="BRS3" s="120"/>
      <c r="BRT3" s="120"/>
      <c r="BRU3" s="120"/>
      <c r="BRV3" s="120"/>
      <c r="BRW3" s="120"/>
      <c r="BRX3" s="120"/>
      <c r="BRY3" s="120"/>
      <c r="BRZ3" s="120"/>
      <c r="BSA3" s="120"/>
      <c r="BSB3" s="120"/>
      <c r="BSC3" s="120"/>
      <c r="BSD3" s="120"/>
      <c r="BSE3" s="120"/>
      <c r="BSF3" s="120"/>
      <c r="BSG3" s="120"/>
      <c r="BSH3" s="120"/>
      <c r="BSI3" s="120"/>
      <c r="BSJ3" s="120"/>
      <c r="BSK3" s="120"/>
      <c r="BSL3" s="120"/>
      <c r="BSM3" s="120"/>
      <c r="BSN3" s="120"/>
      <c r="BSO3" s="120"/>
      <c r="BSP3" s="120"/>
      <c r="BSQ3" s="120"/>
      <c r="BSR3" s="120"/>
      <c r="BSS3" s="120"/>
      <c r="BST3" s="120"/>
      <c r="BSU3" s="120"/>
      <c r="BSV3" s="120"/>
      <c r="BSW3" s="120"/>
      <c r="BSX3" s="120"/>
      <c r="BSY3" s="120"/>
      <c r="BSZ3" s="120"/>
      <c r="BTA3" s="120"/>
      <c r="BTB3" s="120"/>
      <c r="BTC3" s="120"/>
      <c r="BTD3" s="120"/>
      <c r="BTE3" s="120"/>
      <c r="BTF3" s="120"/>
      <c r="BTG3" s="120"/>
      <c r="BTH3" s="120"/>
      <c r="BTI3" s="120"/>
      <c r="BTJ3" s="120"/>
      <c r="BTK3" s="120"/>
      <c r="BTL3" s="120"/>
      <c r="BTM3" s="120"/>
      <c r="BTN3" s="120"/>
      <c r="BTO3" s="120"/>
      <c r="BTP3" s="120"/>
      <c r="BTQ3" s="120"/>
      <c r="BTR3" s="120"/>
      <c r="BTS3" s="120"/>
      <c r="BTT3" s="120"/>
      <c r="BTU3" s="120"/>
      <c r="BTV3" s="120"/>
      <c r="BTW3" s="120"/>
      <c r="BTX3" s="120"/>
      <c r="BTY3" s="120"/>
      <c r="BTZ3" s="120"/>
      <c r="BUA3" s="120"/>
      <c r="BUB3" s="120"/>
      <c r="BUC3" s="120"/>
      <c r="BUD3" s="120"/>
      <c r="BUE3" s="120"/>
      <c r="BUF3" s="120"/>
      <c r="BUG3" s="120"/>
      <c r="BUH3" s="120"/>
      <c r="BUI3" s="120"/>
      <c r="BUJ3" s="120"/>
      <c r="BUK3" s="120"/>
      <c r="BUL3" s="120"/>
      <c r="BUM3" s="120"/>
      <c r="BUN3" s="120"/>
      <c r="BUO3" s="120"/>
      <c r="BUP3" s="120"/>
      <c r="BUQ3" s="120"/>
      <c r="BUR3" s="120"/>
      <c r="BUS3" s="120"/>
      <c r="BUT3" s="120"/>
      <c r="BUU3" s="120"/>
      <c r="BUV3" s="120"/>
      <c r="BUW3" s="120"/>
      <c r="BUX3" s="120"/>
      <c r="BUY3" s="120"/>
      <c r="BUZ3" s="120"/>
      <c r="BVA3" s="120"/>
      <c r="BVB3" s="120"/>
      <c r="BVC3" s="120"/>
      <c r="BVD3" s="120"/>
      <c r="BVE3" s="120"/>
      <c r="BVF3" s="120"/>
      <c r="BVG3" s="120"/>
      <c r="BVH3" s="120"/>
      <c r="BVI3" s="120"/>
      <c r="BVJ3" s="120"/>
      <c r="BVK3" s="120"/>
      <c r="BVL3" s="120"/>
      <c r="BVM3" s="120"/>
      <c r="BVN3" s="120"/>
      <c r="BVO3" s="120"/>
      <c r="BVP3" s="120"/>
      <c r="BVQ3" s="120"/>
      <c r="BVR3" s="120"/>
      <c r="BVS3" s="120"/>
      <c r="BVT3" s="120"/>
      <c r="BVU3" s="120"/>
      <c r="BVV3" s="120"/>
      <c r="BVW3" s="120"/>
      <c r="BVX3" s="120"/>
      <c r="BVY3" s="120"/>
      <c r="BVZ3" s="120"/>
      <c r="BWA3" s="120"/>
      <c r="BWB3" s="120"/>
      <c r="BWC3" s="120"/>
      <c r="BWD3" s="120"/>
      <c r="BWE3" s="120"/>
      <c r="BWF3" s="120"/>
      <c r="BWG3" s="120"/>
      <c r="BWH3" s="120"/>
      <c r="BWI3" s="120"/>
      <c r="BWJ3" s="120"/>
      <c r="BWK3" s="120"/>
      <c r="BWL3" s="120"/>
      <c r="BWM3" s="120"/>
      <c r="BWN3" s="120"/>
      <c r="BWO3" s="120"/>
      <c r="BWP3" s="120"/>
      <c r="BWQ3" s="120"/>
      <c r="BWR3" s="120"/>
      <c r="BWS3" s="120"/>
      <c r="BWT3" s="120"/>
      <c r="BWU3" s="120"/>
      <c r="BWV3" s="120"/>
      <c r="BWW3" s="120"/>
      <c r="BWX3" s="120"/>
      <c r="BWY3" s="120"/>
      <c r="BWZ3" s="120"/>
      <c r="BXA3" s="120"/>
      <c r="BXB3" s="120"/>
      <c r="BXC3" s="120"/>
      <c r="BXD3" s="120"/>
      <c r="BXE3" s="120"/>
      <c r="BXF3" s="120"/>
      <c r="BXG3" s="120"/>
      <c r="BXH3" s="120"/>
      <c r="BXI3" s="120"/>
      <c r="BXJ3" s="120"/>
      <c r="BXK3" s="120"/>
      <c r="BXL3" s="120"/>
      <c r="BXM3" s="120"/>
      <c r="BXN3" s="120"/>
      <c r="BXO3" s="120"/>
      <c r="BXP3" s="120"/>
      <c r="BXQ3" s="120"/>
      <c r="BXR3" s="120"/>
      <c r="BXS3" s="120"/>
      <c r="BXT3" s="120"/>
      <c r="BXU3" s="120"/>
      <c r="BXV3" s="120"/>
      <c r="BXW3" s="120"/>
      <c r="BXX3" s="120"/>
      <c r="BXY3" s="120"/>
      <c r="BXZ3" s="120"/>
      <c r="BYA3" s="120"/>
      <c r="BYB3" s="120"/>
      <c r="BYC3" s="120"/>
      <c r="BYD3" s="120"/>
      <c r="BYE3" s="120"/>
      <c r="BYF3" s="120"/>
      <c r="BYG3" s="120"/>
      <c r="BYH3" s="120"/>
      <c r="BYI3" s="120"/>
      <c r="BYJ3" s="120"/>
      <c r="BYK3" s="120"/>
      <c r="BYL3" s="120"/>
      <c r="BYM3" s="120"/>
      <c r="BYN3" s="120"/>
      <c r="BYO3" s="120"/>
      <c r="BYP3" s="120"/>
      <c r="BYQ3" s="120"/>
      <c r="BYR3" s="120"/>
      <c r="BYS3" s="120"/>
      <c r="BYT3" s="120"/>
      <c r="BYU3" s="120"/>
      <c r="BYV3" s="120"/>
      <c r="BYW3" s="120"/>
      <c r="BYX3" s="120"/>
      <c r="BYY3" s="120"/>
      <c r="BYZ3" s="120"/>
      <c r="BZA3" s="120"/>
      <c r="BZB3" s="120"/>
      <c r="BZC3" s="120"/>
      <c r="BZD3" s="120"/>
      <c r="BZE3" s="120"/>
      <c r="BZF3" s="120"/>
      <c r="BZG3" s="120"/>
      <c r="BZH3" s="120"/>
      <c r="BZI3" s="120"/>
      <c r="BZJ3" s="120"/>
      <c r="BZK3" s="120"/>
      <c r="BZL3" s="120"/>
      <c r="BZM3" s="120"/>
      <c r="BZN3" s="120"/>
      <c r="BZO3" s="120"/>
      <c r="BZP3" s="120"/>
      <c r="BZQ3" s="120"/>
      <c r="BZR3" s="120"/>
      <c r="BZS3" s="120"/>
      <c r="BZT3" s="120"/>
      <c r="BZU3" s="120"/>
      <c r="BZV3" s="120"/>
      <c r="BZW3" s="120"/>
      <c r="BZX3" s="120"/>
      <c r="BZY3" s="120"/>
      <c r="BZZ3" s="120"/>
      <c r="CAA3" s="120"/>
      <c r="CAB3" s="120"/>
      <c r="CAC3" s="120"/>
      <c r="CAD3" s="120"/>
      <c r="CAE3" s="120"/>
      <c r="CAF3" s="120"/>
      <c r="CAG3" s="120"/>
      <c r="CAH3" s="120"/>
      <c r="CAI3" s="120"/>
      <c r="CAJ3" s="120"/>
      <c r="CAK3" s="120"/>
      <c r="CAL3" s="120"/>
      <c r="CAM3" s="120"/>
      <c r="CAN3" s="120"/>
      <c r="CAO3" s="120"/>
      <c r="CAP3" s="120"/>
      <c r="CAQ3" s="120"/>
      <c r="CAR3" s="120"/>
      <c r="CAS3" s="120"/>
      <c r="CAT3" s="120"/>
      <c r="CAU3" s="120"/>
      <c r="CAV3" s="120"/>
      <c r="CAW3" s="120"/>
      <c r="CAX3" s="120"/>
      <c r="CAY3" s="120"/>
      <c r="CAZ3" s="120"/>
      <c r="CBA3" s="120"/>
      <c r="CBB3" s="120"/>
      <c r="CBC3" s="120"/>
      <c r="CBD3" s="120"/>
      <c r="CBE3" s="120"/>
      <c r="CBF3" s="120"/>
      <c r="CBG3" s="120"/>
      <c r="CBH3" s="120"/>
      <c r="CBI3" s="120"/>
      <c r="CBJ3" s="120"/>
      <c r="CBK3" s="120"/>
      <c r="CBL3" s="120"/>
      <c r="CBM3" s="120"/>
      <c r="CBN3" s="120"/>
      <c r="CBO3" s="120"/>
      <c r="CBP3" s="120"/>
      <c r="CBQ3" s="120"/>
      <c r="CBR3" s="120"/>
      <c r="CBS3" s="120"/>
      <c r="CBT3" s="120"/>
      <c r="CBU3" s="120"/>
      <c r="CBV3" s="120"/>
      <c r="CBW3" s="120"/>
      <c r="CBX3" s="120"/>
      <c r="CBY3" s="120"/>
      <c r="CBZ3" s="120"/>
      <c r="CCA3" s="120"/>
      <c r="CCB3" s="120"/>
      <c r="CCC3" s="120"/>
      <c r="CCD3" s="120"/>
      <c r="CCE3" s="120"/>
      <c r="CCF3" s="120"/>
      <c r="CCG3" s="120"/>
      <c r="CCH3" s="120"/>
      <c r="CCI3" s="120"/>
      <c r="CCJ3" s="120"/>
      <c r="CCK3" s="120"/>
      <c r="CCL3" s="120"/>
      <c r="CCM3" s="120"/>
      <c r="CCN3" s="120"/>
      <c r="CCO3" s="120"/>
      <c r="CCP3" s="120"/>
      <c r="CCQ3" s="120"/>
      <c r="CCR3" s="120"/>
      <c r="CCS3" s="120"/>
      <c r="CCT3" s="120"/>
      <c r="CCU3" s="120"/>
      <c r="CCV3" s="120"/>
      <c r="CCW3" s="120"/>
      <c r="CCX3" s="120"/>
      <c r="CCY3" s="120"/>
      <c r="CCZ3" s="120"/>
      <c r="CDA3" s="120"/>
      <c r="CDB3" s="120"/>
      <c r="CDC3" s="120"/>
      <c r="CDD3" s="120"/>
      <c r="CDE3" s="120"/>
      <c r="CDF3" s="120"/>
      <c r="CDG3" s="120"/>
      <c r="CDH3" s="120"/>
      <c r="CDI3" s="120"/>
      <c r="CDJ3" s="120"/>
      <c r="CDK3" s="120"/>
      <c r="CDL3" s="120"/>
      <c r="CDM3" s="120"/>
      <c r="CDN3" s="120"/>
      <c r="CDO3" s="120"/>
      <c r="CDP3" s="120"/>
      <c r="CDQ3" s="120"/>
      <c r="CDR3" s="120"/>
      <c r="CDS3" s="120"/>
      <c r="CDT3" s="120"/>
      <c r="CDU3" s="120"/>
      <c r="CDV3" s="120"/>
      <c r="CDW3" s="120"/>
      <c r="CDX3" s="120"/>
      <c r="CDY3" s="120"/>
      <c r="CDZ3" s="120"/>
      <c r="CEA3" s="120"/>
      <c r="CEB3" s="120"/>
      <c r="CEC3" s="120"/>
      <c r="CED3" s="120"/>
      <c r="CEE3" s="120"/>
      <c r="CEF3" s="120"/>
      <c r="CEG3" s="120"/>
      <c r="CEH3" s="120"/>
      <c r="CEI3" s="120"/>
      <c r="CEJ3" s="120"/>
      <c r="CEK3" s="120"/>
      <c r="CEL3" s="120"/>
      <c r="CEM3" s="120"/>
      <c r="CEN3" s="120"/>
      <c r="CEO3" s="120"/>
      <c r="CEP3" s="120"/>
      <c r="CEQ3" s="120"/>
      <c r="CER3" s="120"/>
      <c r="CES3" s="120"/>
      <c r="CET3" s="120"/>
      <c r="CEU3" s="120"/>
      <c r="CEV3" s="120"/>
      <c r="CEW3" s="120"/>
      <c r="CEX3" s="120"/>
      <c r="CEY3" s="120"/>
      <c r="CEZ3" s="120"/>
      <c r="CFA3" s="120"/>
      <c r="CFB3" s="120"/>
      <c r="CFC3" s="120"/>
      <c r="CFD3" s="120"/>
      <c r="CFE3" s="120"/>
      <c r="CFF3" s="120"/>
      <c r="CFG3" s="120"/>
      <c r="CFH3" s="120"/>
      <c r="CFI3" s="120"/>
      <c r="CFJ3" s="120"/>
      <c r="CFK3" s="120"/>
      <c r="CFL3" s="120"/>
      <c r="CFM3" s="120"/>
      <c r="CFN3" s="120"/>
      <c r="CFO3" s="120"/>
      <c r="CFP3" s="120"/>
      <c r="CFQ3" s="120"/>
      <c r="CFR3" s="120"/>
      <c r="CFS3" s="120"/>
      <c r="CFT3" s="120"/>
      <c r="CFU3" s="120"/>
      <c r="CFV3" s="120"/>
      <c r="CFW3" s="120"/>
      <c r="CFX3" s="120"/>
      <c r="CFY3" s="120"/>
      <c r="CFZ3" s="120"/>
      <c r="CGA3" s="120"/>
      <c r="CGB3" s="120"/>
      <c r="CGC3" s="120"/>
      <c r="CGD3" s="120"/>
      <c r="CGE3" s="120"/>
      <c r="CGF3" s="120"/>
      <c r="CGG3" s="120"/>
      <c r="CGH3" s="120"/>
      <c r="CGI3" s="120"/>
      <c r="CGJ3" s="120"/>
      <c r="CGK3" s="120"/>
      <c r="CGL3" s="120"/>
      <c r="CGM3" s="120"/>
      <c r="CGN3" s="120"/>
      <c r="CGO3" s="120"/>
      <c r="CGP3" s="120"/>
      <c r="CGQ3" s="120"/>
      <c r="CGR3" s="120"/>
      <c r="CGS3" s="120"/>
      <c r="CGT3" s="120"/>
      <c r="CGU3" s="120"/>
      <c r="CGV3" s="120"/>
      <c r="CGW3" s="120"/>
      <c r="CGX3" s="120"/>
      <c r="CGY3" s="120"/>
      <c r="CGZ3" s="120"/>
      <c r="CHA3" s="120"/>
      <c r="CHB3" s="120"/>
      <c r="CHC3" s="120"/>
      <c r="CHD3" s="120"/>
      <c r="CHE3" s="120"/>
      <c r="CHF3" s="120"/>
      <c r="CHG3" s="120"/>
      <c r="CHH3" s="120"/>
      <c r="CHI3" s="120"/>
      <c r="CHJ3" s="120"/>
      <c r="CHK3" s="120"/>
      <c r="CHL3" s="120"/>
      <c r="CHM3" s="120"/>
      <c r="CHN3" s="120"/>
      <c r="CHO3" s="120"/>
      <c r="CHP3" s="120"/>
      <c r="CHQ3" s="120"/>
      <c r="CHR3" s="120"/>
      <c r="CHS3" s="120"/>
      <c r="CHT3" s="120"/>
      <c r="CHU3" s="120"/>
      <c r="CHV3" s="120"/>
      <c r="CHW3" s="120"/>
      <c r="CHX3" s="120"/>
      <c r="CHY3" s="120"/>
      <c r="CHZ3" s="120"/>
      <c r="CIA3" s="120"/>
      <c r="CIB3" s="120"/>
      <c r="CIC3" s="120"/>
      <c r="CID3" s="120"/>
      <c r="CIE3" s="120"/>
      <c r="CIF3" s="120"/>
      <c r="CIG3" s="120"/>
      <c r="CIH3" s="120"/>
      <c r="CII3" s="120"/>
      <c r="CIJ3" s="120"/>
      <c r="CIK3" s="120"/>
      <c r="CIL3" s="120"/>
      <c r="CIM3" s="120"/>
      <c r="CIN3" s="120"/>
      <c r="CIO3" s="120"/>
      <c r="CIP3" s="120"/>
      <c r="CIQ3" s="120"/>
      <c r="CIR3" s="120"/>
      <c r="CIS3" s="120"/>
      <c r="CIT3" s="120"/>
      <c r="CIU3" s="120"/>
      <c r="CIV3" s="120"/>
      <c r="CIW3" s="120"/>
      <c r="CIX3" s="120"/>
      <c r="CIY3" s="120"/>
      <c r="CIZ3" s="120"/>
      <c r="CJA3" s="120"/>
      <c r="CJB3" s="120"/>
      <c r="CJC3" s="120"/>
      <c r="CJD3" s="120"/>
      <c r="CJE3" s="120"/>
      <c r="CJF3" s="120"/>
      <c r="CJG3" s="120"/>
      <c r="CJH3" s="120"/>
      <c r="CJI3" s="120"/>
      <c r="CJJ3" s="120"/>
      <c r="CJK3" s="120"/>
      <c r="CJL3" s="120"/>
      <c r="CJM3" s="120"/>
      <c r="CJN3" s="120"/>
      <c r="CJO3" s="120"/>
      <c r="CJP3" s="120"/>
      <c r="CJQ3" s="120"/>
      <c r="CJR3" s="120"/>
      <c r="CJS3" s="120"/>
      <c r="CJT3" s="120"/>
      <c r="CJU3" s="120"/>
      <c r="CJV3" s="120"/>
      <c r="CJW3" s="120"/>
      <c r="CJX3" s="120"/>
      <c r="CJY3" s="120"/>
      <c r="CJZ3" s="120"/>
      <c r="CKA3" s="120"/>
      <c r="CKB3" s="120"/>
      <c r="CKC3" s="120"/>
      <c r="CKD3" s="120"/>
      <c r="CKE3" s="120"/>
      <c r="CKF3" s="120"/>
      <c r="CKG3" s="120"/>
      <c r="CKH3" s="120"/>
      <c r="CKI3" s="120"/>
      <c r="CKJ3" s="120"/>
      <c r="CKK3" s="120"/>
      <c r="CKL3" s="120"/>
      <c r="CKM3" s="120"/>
      <c r="CKN3" s="120"/>
      <c r="CKO3" s="120"/>
      <c r="CKP3" s="120"/>
      <c r="CKQ3" s="120"/>
      <c r="CKR3" s="120"/>
      <c r="CKS3" s="120"/>
      <c r="CKT3" s="120"/>
      <c r="CKU3" s="120"/>
      <c r="CKV3" s="120"/>
      <c r="CKW3" s="120"/>
      <c r="CKX3" s="120"/>
      <c r="CKY3" s="120"/>
      <c r="CKZ3" s="120"/>
      <c r="CLA3" s="120"/>
      <c r="CLB3" s="120"/>
      <c r="CLC3" s="120"/>
      <c r="CLD3" s="120"/>
      <c r="CLE3" s="120"/>
      <c r="CLF3" s="120"/>
      <c r="CLG3" s="120"/>
      <c r="CLH3" s="120"/>
      <c r="CLI3" s="120"/>
      <c r="CLJ3" s="120"/>
      <c r="CLK3" s="120"/>
      <c r="CLL3" s="120"/>
      <c r="CLM3" s="120"/>
      <c r="CLN3" s="120"/>
      <c r="CLO3" s="120"/>
      <c r="CLP3" s="120"/>
      <c r="CLQ3" s="120"/>
      <c r="CLR3" s="120"/>
      <c r="CLS3" s="120"/>
      <c r="CLT3" s="120"/>
      <c r="CLU3" s="120"/>
      <c r="CLV3" s="120"/>
      <c r="CLW3" s="120"/>
      <c r="CLX3" s="120"/>
      <c r="CLY3" s="120"/>
      <c r="CLZ3" s="120"/>
      <c r="CMA3" s="120"/>
      <c r="CMB3" s="120"/>
      <c r="CMC3" s="120"/>
      <c r="CMD3" s="120"/>
      <c r="CME3" s="120"/>
      <c r="CMF3" s="120"/>
      <c r="CMG3" s="120"/>
      <c r="CMH3" s="120"/>
      <c r="CMI3" s="120"/>
      <c r="CMJ3" s="120"/>
      <c r="CMK3" s="120"/>
      <c r="CML3" s="120"/>
      <c r="CMM3" s="120"/>
      <c r="CMN3" s="120"/>
      <c r="CMO3" s="120"/>
      <c r="CMP3" s="120"/>
      <c r="CMQ3" s="120"/>
      <c r="CMR3" s="120"/>
      <c r="CMS3" s="120"/>
      <c r="CMT3" s="120"/>
      <c r="CMU3" s="120"/>
      <c r="CMV3" s="120"/>
      <c r="CMW3" s="120"/>
      <c r="CMX3" s="120"/>
      <c r="CMY3" s="120"/>
      <c r="CMZ3" s="120"/>
      <c r="CNA3" s="120"/>
      <c r="CNB3" s="120"/>
      <c r="CNC3" s="120"/>
      <c r="CND3" s="120"/>
      <c r="CNE3" s="120"/>
      <c r="CNF3" s="120"/>
      <c r="CNG3" s="120"/>
      <c r="CNH3" s="120"/>
      <c r="CNI3" s="120"/>
      <c r="CNJ3" s="120"/>
      <c r="CNK3" s="120"/>
      <c r="CNL3" s="120"/>
      <c r="CNM3" s="120"/>
      <c r="CNN3" s="120"/>
      <c r="CNO3" s="120"/>
      <c r="CNP3" s="120"/>
      <c r="CNQ3" s="120"/>
      <c r="CNR3" s="120"/>
      <c r="CNS3" s="120"/>
      <c r="CNT3" s="120"/>
      <c r="CNU3" s="120"/>
      <c r="CNV3" s="120"/>
      <c r="CNW3" s="120"/>
      <c r="CNX3" s="120"/>
      <c r="CNY3" s="120"/>
      <c r="CNZ3" s="120"/>
      <c r="COA3" s="120"/>
      <c r="COB3" s="120"/>
      <c r="COC3" s="120"/>
      <c r="COD3" s="120"/>
      <c r="COE3" s="120"/>
      <c r="COF3" s="120"/>
      <c r="COG3" s="120"/>
      <c r="COH3" s="120"/>
      <c r="COI3" s="120"/>
      <c r="COJ3" s="120"/>
      <c r="COK3" s="120"/>
      <c r="COL3" s="120"/>
      <c r="COM3" s="120"/>
      <c r="CON3" s="120"/>
      <c r="COO3" s="120"/>
      <c r="COP3" s="120"/>
      <c r="COQ3" s="120"/>
      <c r="COR3" s="120"/>
      <c r="COS3" s="120"/>
      <c r="COT3" s="120"/>
      <c r="COU3" s="120"/>
      <c r="COV3" s="120"/>
      <c r="COW3" s="120"/>
      <c r="COX3" s="120"/>
      <c r="COY3" s="120"/>
      <c r="COZ3" s="120"/>
      <c r="CPA3" s="120"/>
      <c r="CPB3" s="120"/>
      <c r="CPC3" s="120"/>
      <c r="CPD3" s="120"/>
      <c r="CPE3" s="120"/>
      <c r="CPF3" s="120"/>
      <c r="CPG3" s="120"/>
      <c r="CPH3" s="120"/>
      <c r="CPI3" s="120"/>
      <c r="CPJ3" s="120"/>
      <c r="CPK3" s="120"/>
      <c r="CPL3" s="120"/>
      <c r="CPM3" s="120"/>
      <c r="CPN3" s="120"/>
      <c r="CPO3" s="120"/>
      <c r="CPP3" s="120"/>
      <c r="CPQ3" s="120"/>
      <c r="CPR3" s="120"/>
      <c r="CPS3" s="120"/>
      <c r="CPT3" s="120"/>
      <c r="CPU3" s="120"/>
      <c r="CPV3" s="120"/>
      <c r="CPW3" s="120"/>
      <c r="CPX3" s="120"/>
      <c r="CPY3" s="120"/>
      <c r="CPZ3" s="120"/>
      <c r="CQA3" s="120"/>
      <c r="CQB3" s="120"/>
      <c r="CQC3" s="120"/>
      <c r="CQD3" s="120"/>
      <c r="CQE3" s="120"/>
      <c r="CQF3" s="120"/>
      <c r="CQG3" s="120"/>
      <c r="CQH3" s="120"/>
      <c r="CQI3" s="120"/>
      <c r="CQJ3" s="120"/>
      <c r="CQK3" s="120"/>
      <c r="CQL3" s="120"/>
      <c r="CQM3" s="120"/>
      <c r="CQN3" s="120"/>
      <c r="CQO3" s="120"/>
      <c r="CQP3" s="120"/>
      <c r="CQQ3" s="120"/>
      <c r="CQR3" s="120"/>
      <c r="CQS3" s="120"/>
      <c r="CQT3" s="120"/>
      <c r="CQU3" s="120"/>
      <c r="CQV3" s="120"/>
      <c r="CQW3" s="120"/>
      <c r="CQX3" s="120"/>
      <c r="CQY3" s="120"/>
      <c r="CQZ3" s="120"/>
      <c r="CRA3" s="120"/>
      <c r="CRB3" s="120"/>
      <c r="CRC3" s="120"/>
      <c r="CRD3" s="120"/>
      <c r="CRE3" s="120"/>
      <c r="CRF3" s="120"/>
      <c r="CRG3" s="120"/>
      <c r="CRH3" s="120"/>
      <c r="CRI3" s="120"/>
      <c r="CRJ3" s="120"/>
      <c r="CRK3" s="120"/>
      <c r="CRL3" s="120"/>
      <c r="CRM3" s="120"/>
      <c r="CRN3" s="120"/>
      <c r="CRO3" s="120"/>
      <c r="CRP3" s="120"/>
      <c r="CRQ3" s="120"/>
      <c r="CRR3" s="120"/>
      <c r="CRS3" s="120"/>
      <c r="CRT3" s="120"/>
      <c r="CRU3" s="120"/>
      <c r="CRV3" s="120"/>
      <c r="CRW3" s="120"/>
      <c r="CRX3" s="120"/>
      <c r="CRY3" s="120"/>
      <c r="CRZ3" s="120"/>
      <c r="CSA3" s="120"/>
      <c r="CSB3" s="120"/>
      <c r="CSC3" s="120"/>
      <c r="CSD3" s="120"/>
      <c r="CSE3" s="120"/>
      <c r="CSF3" s="120"/>
      <c r="CSG3" s="120"/>
      <c r="CSH3" s="120"/>
      <c r="CSI3" s="120"/>
      <c r="CSJ3" s="120"/>
      <c r="CSK3" s="120"/>
      <c r="CSL3" s="120"/>
      <c r="CSM3" s="120"/>
      <c r="CSN3" s="120"/>
      <c r="CSO3" s="120"/>
      <c r="CSP3" s="120"/>
      <c r="CSQ3" s="120"/>
      <c r="CSR3" s="120"/>
      <c r="CSS3" s="120"/>
      <c r="CST3" s="120"/>
      <c r="CSU3" s="120"/>
      <c r="CSV3" s="120"/>
      <c r="CSW3" s="120"/>
      <c r="CSX3" s="120"/>
      <c r="CSY3" s="120"/>
      <c r="CSZ3" s="120"/>
      <c r="CTA3" s="120"/>
      <c r="CTB3" s="120"/>
      <c r="CTC3" s="120"/>
      <c r="CTD3" s="120"/>
      <c r="CTE3" s="120"/>
      <c r="CTF3" s="120"/>
      <c r="CTG3" s="120"/>
      <c r="CTH3" s="120"/>
      <c r="CTI3" s="120"/>
      <c r="CTJ3" s="120"/>
      <c r="CTK3" s="120"/>
      <c r="CTL3" s="120"/>
      <c r="CTM3" s="120"/>
      <c r="CTN3" s="120"/>
      <c r="CTO3" s="120"/>
      <c r="CTP3" s="120"/>
      <c r="CTQ3" s="120"/>
      <c r="CTR3" s="120"/>
      <c r="CTS3" s="120"/>
      <c r="CTT3" s="120"/>
      <c r="CTU3" s="120"/>
      <c r="CTV3" s="120"/>
      <c r="CTW3" s="120"/>
      <c r="CTX3" s="120"/>
      <c r="CTY3" s="120"/>
      <c r="CTZ3" s="120"/>
      <c r="CUA3" s="120"/>
      <c r="CUB3" s="120"/>
      <c r="CUC3" s="120"/>
      <c r="CUD3" s="120"/>
      <c r="CUE3" s="120"/>
      <c r="CUF3" s="120"/>
      <c r="CUG3" s="120"/>
      <c r="CUH3" s="120"/>
      <c r="CUI3" s="120"/>
      <c r="CUJ3" s="120"/>
      <c r="CUK3" s="120"/>
      <c r="CUL3" s="120"/>
      <c r="CUM3" s="120"/>
      <c r="CUN3" s="120"/>
      <c r="CUO3" s="120"/>
      <c r="CUP3" s="120"/>
      <c r="CUQ3" s="120"/>
      <c r="CUR3" s="120"/>
      <c r="CUS3" s="120"/>
      <c r="CUT3" s="120"/>
      <c r="CUU3" s="120"/>
      <c r="CUV3" s="120"/>
      <c r="CUW3" s="120"/>
      <c r="CUX3" s="120"/>
      <c r="CUY3" s="120"/>
      <c r="CUZ3" s="120"/>
      <c r="CVA3" s="120"/>
      <c r="CVB3" s="120"/>
      <c r="CVC3" s="120"/>
      <c r="CVD3" s="120"/>
      <c r="CVE3" s="120"/>
      <c r="CVF3" s="120"/>
      <c r="CVG3" s="120"/>
      <c r="CVH3" s="120"/>
      <c r="CVI3" s="120"/>
      <c r="CVJ3" s="120"/>
      <c r="CVK3" s="120"/>
      <c r="CVL3" s="120"/>
      <c r="CVM3" s="120"/>
      <c r="CVN3" s="120"/>
      <c r="CVO3" s="120"/>
      <c r="CVP3" s="120"/>
      <c r="CVQ3" s="120"/>
      <c r="CVR3" s="120"/>
      <c r="CVS3" s="120"/>
      <c r="CVT3" s="120"/>
      <c r="CVU3" s="120"/>
      <c r="CVV3" s="120"/>
      <c r="CVW3" s="120"/>
      <c r="CVX3" s="120"/>
      <c r="CVY3" s="120"/>
      <c r="CVZ3" s="120"/>
      <c r="CWA3" s="120"/>
      <c r="CWB3" s="120"/>
      <c r="CWC3" s="120"/>
      <c r="CWD3" s="120"/>
      <c r="CWE3" s="120"/>
      <c r="CWF3" s="120"/>
      <c r="CWG3" s="120"/>
      <c r="CWH3" s="120"/>
      <c r="CWI3" s="120"/>
      <c r="CWJ3" s="120"/>
      <c r="CWK3" s="120"/>
      <c r="CWL3" s="120"/>
      <c r="CWM3" s="120"/>
      <c r="CWN3" s="120"/>
      <c r="CWO3" s="120"/>
      <c r="CWP3" s="120"/>
      <c r="CWQ3" s="120"/>
      <c r="CWR3" s="120"/>
      <c r="CWS3" s="120"/>
      <c r="CWT3" s="120"/>
      <c r="CWU3" s="120"/>
      <c r="CWV3" s="120"/>
      <c r="CWW3" s="120"/>
      <c r="CWX3" s="120"/>
      <c r="CWY3" s="120"/>
      <c r="CWZ3" s="120"/>
      <c r="CXA3" s="120"/>
      <c r="CXB3" s="120"/>
      <c r="CXC3" s="120"/>
      <c r="CXD3" s="120"/>
      <c r="CXE3" s="120"/>
      <c r="CXF3" s="120"/>
      <c r="CXG3" s="120"/>
      <c r="CXH3" s="120"/>
      <c r="CXI3" s="120"/>
      <c r="CXJ3" s="120"/>
      <c r="CXK3" s="120"/>
      <c r="CXL3" s="120"/>
      <c r="CXM3" s="120"/>
      <c r="CXN3" s="120"/>
      <c r="CXO3" s="120"/>
      <c r="CXP3" s="120"/>
      <c r="CXQ3" s="120"/>
      <c r="CXR3" s="120"/>
      <c r="CXS3" s="120"/>
      <c r="CXT3" s="120"/>
      <c r="CXU3" s="120"/>
      <c r="CXV3" s="120"/>
      <c r="CXW3" s="120"/>
      <c r="CXX3" s="120"/>
      <c r="CXY3" s="120"/>
      <c r="CXZ3" s="120"/>
      <c r="CYA3" s="120"/>
      <c r="CYB3" s="120"/>
      <c r="CYC3" s="120"/>
      <c r="CYD3" s="120"/>
      <c r="CYE3" s="120"/>
      <c r="CYF3" s="120"/>
      <c r="CYG3" s="120"/>
      <c r="CYH3" s="120"/>
      <c r="CYI3" s="120"/>
      <c r="CYJ3" s="120"/>
      <c r="CYK3" s="120"/>
      <c r="CYL3" s="120"/>
      <c r="CYM3" s="120"/>
      <c r="CYN3" s="120"/>
      <c r="CYO3" s="120"/>
      <c r="CYP3" s="120"/>
      <c r="CYQ3" s="120"/>
      <c r="CYR3" s="120"/>
      <c r="CYS3" s="120"/>
      <c r="CYT3" s="120"/>
      <c r="CYU3" s="120"/>
      <c r="CYV3" s="120"/>
      <c r="CYW3" s="120"/>
      <c r="CYX3" s="120"/>
      <c r="CYY3" s="120"/>
      <c r="CYZ3" s="120"/>
      <c r="CZA3" s="120"/>
      <c r="CZB3" s="120"/>
      <c r="CZC3" s="120"/>
      <c r="CZD3" s="120"/>
      <c r="CZE3" s="120"/>
      <c r="CZF3" s="120"/>
      <c r="CZG3" s="120"/>
      <c r="CZH3" s="120"/>
      <c r="CZI3" s="120"/>
      <c r="CZJ3" s="120"/>
      <c r="CZK3" s="120"/>
      <c r="CZL3" s="120"/>
      <c r="CZM3" s="120"/>
      <c r="CZN3" s="120"/>
      <c r="CZO3" s="120"/>
      <c r="CZP3" s="120"/>
      <c r="CZQ3" s="120"/>
      <c r="CZR3" s="120"/>
      <c r="CZS3" s="120"/>
      <c r="CZT3" s="120"/>
      <c r="CZU3" s="120"/>
      <c r="CZV3" s="120"/>
      <c r="CZW3" s="120"/>
      <c r="CZX3" s="120"/>
      <c r="CZY3" s="120"/>
      <c r="CZZ3" s="120"/>
      <c r="DAA3" s="120"/>
      <c r="DAB3" s="120"/>
      <c r="DAC3" s="120"/>
      <c r="DAD3" s="120"/>
      <c r="DAE3" s="120"/>
      <c r="DAF3" s="120"/>
      <c r="DAG3" s="120"/>
      <c r="DAH3" s="120"/>
      <c r="DAI3" s="120"/>
      <c r="DAJ3" s="120"/>
      <c r="DAK3" s="120"/>
      <c r="DAL3" s="120"/>
      <c r="DAM3" s="120"/>
      <c r="DAN3" s="120"/>
      <c r="DAO3" s="120"/>
      <c r="DAP3" s="120"/>
      <c r="DAQ3" s="120"/>
      <c r="DAR3" s="120"/>
      <c r="DAS3" s="120"/>
      <c r="DAT3" s="120"/>
      <c r="DAU3" s="120"/>
      <c r="DAV3" s="120"/>
      <c r="DAW3" s="120"/>
      <c r="DAX3" s="120"/>
      <c r="DAY3" s="120"/>
      <c r="DAZ3" s="120"/>
      <c r="DBA3" s="120"/>
      <c r="DBB3" s="120"/>
      <c r="DBC3" s="120"/>
      <c r="DBD3" s="120"/>
      <c r="DBE3" s="120"/>
      <c r="DBF3" s="120"/>
      <c r="DBG3" s="120"/>
      <c r="DBH3" s="120"/>
      <c r="DBI3" s="120"/>
      <c r="DBJ3" s="120"/>
      <c r="DBK3" s="120"/>
      <c r="DBL3" s="120"/>
      <c r="DBM3" s="120"/>
      <c r="DBN3" s="120"/>
      <c r="DBO3" s="120"/>
      <c r="DBP3" s="120"/>
      <c r="DBQ3" s="120"/>
      <c r="DBR3" s="120"/>
      <c r="DBS3" s="120"/>
      <c r="DBT3" s="120"/>
      <c r="DBU3" s="120"/>
      <c r="DBV3" s="120"/>
      <c r="DBW3" s="120"/>
      <c r="DBX3" s="120"/>
      <c r="DBY3" s="120"/>
      <c r="DBZ3" s="120"/>
      <c r="DCA3" s="120"/>
      <c r="DCB3" s="120"/>
      <c r="DCC3" s="120"/>
      <c r="DCD3" s="120"/>
      <c r="DCE3" s="120"/>
      <c r="DCF3" s="120"/>
      <c r="DCG3" s="120"/>
      <c r="DCH3" s="120"/>
      <c r="DCI3" s="120"/>
      <c r="DCJ3" s="120"/>
      <c r="DCK3" s="120"/>
      <c r="DCL3" s="120"/>
      <c r="DCM3" s="120"/>
      <c r="DCN3" s="120"/>
      <c r="DCO3" s="120"/>
      <c r="DCP3" s="120"/>
      <c r="DCQ3" s="120"/>
      <c r="DCR3" s="120"/>
      <c r="DCS3" s="120"/>
      <c r="DCT3" s="120"/>
      <c r="DCU3" s="120"/>
      <c r="DCV3" s="120"/>
      <c r="DCW3" s="120"/>
      <c r="DCX3" s="120"/>
      <c r="DCY3" s="120"/>
      <c r="DCZ3" s="120"/>
      <c r="DDA3" s="120"/>
      <c r="DDB3" s="120"/>
      <c r="DDC3" s="120"/>
      <c r="DDD3" s="120"/>
      <c r="DDE3" s="120"/>
      <c r="DDF3" s="120"/>
      <c r="DDG3" s="120"/>
      <c r="DDH3" s="120"/>
      <c r="DDI3" s="120"/>
      <c r="DDJ3" s="120"/>
      <c r="DDK3" s="120"/>
      <c r="DDL3" s="120"/>
      <c r="DDM3" s="120"/>
      <c r="DDN3" s="120"/>
      <c r="DDO3" s="120"/>
      <c r="DDP3" s="120"/>
      <c r="DDQ3" s="120"/>
      <c r="DDR3" s="120"/>
      <c r="DDS3" s="120"/>
      <c r="DDT3" s="120"/>
      <c r="DDU3" s="120"/>
      <c r="DDV3" s="120"/>
      <c r="DDW3" s="120"/>
      <c r="DDX3" s="120"/>
      <c r="DDY3" s="120"/>
      <c r="DDZ3" s="120"/>
      <c r="DEA3" s="120"/>
      <c r="DEB3" s="120"/>
      <c r="DEC3" s="120"/>
      <c r="DED3" s="120"/>
      <c r="DEE3" s="120"/>
      <c r="DEF3" s="120"/>
      <c r="DEG3" s="120"/>
      <c r="DEH3" s="120"/>
      <c r="DEI3" s="120"/>
      <c r="DEJ3" s="120"/>
      <c r="DEK3" s="120"/>
      <c r="DEL3" s="120"/>
      <c r="DEM3" s="120"/>
      <c r="DEN3" s="120"/>
      <c r="DEO3" s="120"/>
      <c r="DEP3" s="120"/>
      <c r="DEQ3" s="120"/>
      <c r="DER3" s="120"/>
      <c r="DES3" s="120"/>
      <c r="DET3" s="120"/>
      <c r="DEU3" s="120"/>
      <c r="DEV3" s="120"/>
      <c r="DEW3" s="120"/>
      <c r="DEX3" s="120"/>
      <c r="DEY3" s="120"/>
      <c r="DEZ3" s="120"/>
      <c r="DFA3" s="120"/>
      <c r="DFB3" s="120"/>
      <c r="DFC3" s="120"/>
      <c r="DFD3" s="120"/>
      <c r="DFE3" s="120"/>
      <c r="DFF3" s="120"/>
      <c r="DFG3" s="120"/>
      <c r="DFH3" s="120"/>
      <c r="DFI3" s="120"/>
      <c r="DFJ3" s="120"/>
      <c r="DFK3" s="120"/>
      <c r="DFL3" s="120"/>
      <c r="DFM3" s="120"/>
      <c r="DFN3" s="120"/>
      <c r="DFO3" s="120"/>
      <c r="DFP3" s="120"/>
      <c r="DFQ3" s="120"/>
      <c r="DFR3" s="120"/>
      <c r="DFS3" s="120"/>
      <c r="DFT3" s="120"/>
      <c r="DFU3" s="120"/>
      <c r="DFV3" s="120"/>
      <c r="DFW3" s="120"/>
      <c r="DFX3" s="120"/>
      <c r="DFY3" s="120"/>
      <c r="DFZ3" s="120"/>
      <c r="DGA3" s="120"/>
      <c r="DGB3" s="120"/>
      <c r="DGC3" s="120"/>
      <c r="DGD3" s="120"/>
      <c r="DGE3" s="120"/>
      <c r="DGF3" s="120"/>
      <c r="DGG3" s="120"/>
      <c r="DGH3" s="120"/>
      <c r="DGI3" s="120"/>
      <c r="DGJ3" s="120"/>
      <c r="DGK3" s="120"/>
      <c r="DGL3" s="120"/>
      <c r="DGM3" s="120"/>
      <c r="DGN3" s="120"/>
      <c r="DGO3" s="120"/>
      <c r="DGP3" s="120"/>
      <c r="DGQ3" s="120"/>
      <c r="DGR3" s="120"/>
      <c r="DGS3" s="120"/>
      <c r="DGT3" s="120"/>
      <c r="DGU3" s="120"/>
      <c r="DGV3" s="120"/>
      <c r="DGW3" s="120"/>
      <c r="DGX3" s="120"/>
      <c r="DGY3" s="120"/>
      <c r="DGZ3" s="120"/>
      <c r="DHA3" s="120"/>
      <c r="DHB3" s="120"/>
      <c r="DHC3" s="120"/>
      <c r="DHD3" s="120"/>
      <c r="DHE3" s="120"/>
      <c r="DHF3" s="120"/>
      <c r="DHG3" s="120"/>
      <c r="DHH3" s="120"/>
      <c r="DHI3" s="120"/>
      <c r="DHJ3" s="120"/>
      <c r="DHK3" s="120"/>
      <c r="DHL3" s="120"/>
      <c r="DHM3" s="120"/>
      <c r="DHN3" s="120"/>
      <c r="DHO3" s="120"/>
      <c r="DHP3" s="120"/>
      <c r="DHQ3" s="120"/>
      <c r="DHR3" s="120"/>
      <c r="DHS3" s="120"/>
      <c r="DHT3" s="120"/>
      <c r="DHU3" s="120"/>
      <c r="DHV3" s="120"/>
      <c r="DHW3" s="120"/>
      <c r="DHX3" s="120"/>
      <c r="DHY3" s="120"/>
      <c r="DHZ3" s="120"/>
      <c r="DIA3" s="120"/>
      <c r="DIB3" s="120"/>
      <c r="DIC3" s="120"/>
      <c r="DID3" s="120"/>
      <c r="DIE3" s="120"/>
      <c r="DIF3" s="120"/>
      <c r="DIG3" s="120"/>
      <c r="DIH3" s="120"/>
      <c r="DII3" s="120"/>
      <c r="DIJ3" s="120"/>
      <c r="DIK3" s="120"/>
      <c r="DIL3" s="120"/>
      <c r="DIM3" s="120"/>
      <c r="DIN3" s="120"/>
      <c r="DIO3" s="120"/>
      <c r="DIP3" s="120"/>
      <c r="DIQ3" s="120"/>
      <c r="DIR3" s="120"/>
      <c r="DIS3" s="120"/>
      <c r="DIT3" s="120"/>
      <c r="DIU3" s="120"/>
      <c r="DIV3" s="120"/>
      <c r="DIW3" s="120"/>
      <c r="DIX3" s="120"/>
      <c r="DIY3" s="120"/>
      <c r="DIZ3" s="120"/>
      <c r="DJA3" s="120"/>
      <c r="DJB3" s="120"/>
      <c r="DJC3" s="120"/>
      <c r="DJD3" s="120"/>
      <c r="DJE3" s="120"/>
      <c r="DJF3" s="120"/>
      <c r="DJG3" s="120"/>
      <c r="DJH3" s="120"/>
      <c r="DJI3" s="120"/>
      <c r="DJJ3" s="120"/>
      <c r="DJK3" s="120"/>
      <c r="DJL3" s="120"/>
      <c r="DJM3" s="120"/>
      <c r="DJN3" s="120"/>
      <c r="DJO3" s="120"/>
      <c r="DJP3" s="120"/>
      <c r="DJQ3" s="120"/>
      <c r="DJR3" s="120"/>
      <c r="DJS3" s="120"/>
      <c r="DJT3" s="120"/>
      <c r="DJU3" s="120"/>
      <c r="DJV3" s="120"/>
      <c r="DJW3" s="120"/>
      <c r="DJX3" s="120"/>
      <c r="DJY3" s="120"/>
      <c r="DJZ3" s="120"/>
      <c r="DKA3" s="120"/>
      <c r="DKB3" s="120"/>
      <c r="DKC3" s="120"/>
      <c r="DKD3" s="120"/>
      <c r="DKE3" s="120"/>
      <c r="DKF3" s="120"/>
      <c r="DKG3" s="120"/>
      <c r="DKH3" s="120"/>
      <c r="DKI3" s="120"/>
      <c r="DKJ3" s="120"/>
      <c r="DKK3" s="120"/>
      <c r="DKL3" s="120"/>
      <c r="DKM3" s="120"/>
      <c r="DKN3" s="120"/>
      <c r="DKO3" s="120"/>
      <c r="DKP3" s="120"/>
      <c r="DKQ3" s="120"/>
      <c r="DKR3" s="120"/>
      <c r="DKS3" s="120"/>
      <c r="DKT3" s="120"/>
      <c r="DKU3" s="120"/>
      <c r="DKV3" s="120"/>
      <c r="DKW3" s="120"/>
      <c r="DKX3" s="120"/>
      <c r="DKY3" s="120"/>
      <c r="DKZ3" s="120"/>
      <c r="DLA3" s="120"/>
      <c r="DLB3" s="120"/>
      <c r="DLC3" s="120"/>
      <c r="DLD3" s="120"/>
      <c r="DLE3" s="120"/>
      <c r="DLF3" s="120"/>
      <c r="DLG3" s="120"/>
      <c r="DLH3" s="120"/>
      <c r="DLI3" s="120"/>
      <c r="DLJ3" s="120"/>
      <c r="DLK3" s="120"/>
      <c r="DLL3" s="120"/>
      <c r="DLM3" s="120"/>
      <c r="DLN3" s="120"/>
      <c r="DLO3" s="120"/>
      <c r="DLP3" s="120"/>
      <c r="DLQ3" s="120"/>
      <c r="DLR3" s="120"/>
      <c r="DLS3" s="120"/>
      <c r="DLT3" s="120"/>
      <c r="DLU3" s="120"/>
      <c r="DLV3" s="120"/>
      <c r="DLW3" s="120"/>
      <c r="DLX3" s="120"/>
      <c r="DLY3" s="120"/>
      <c r="DLZ3" s="120"/>
      <c r="DMA3" s="120"/>
      <c r="DMB3" s="120"/>
      <c r="DMC3" s="120"/>
      <c r="DMD3" s="120"/>
      <c r="DME3" s="120"/>
      <c r="DMF3" s="120"/>
      <c r="DMG3" s="120"/>
      <c r="DMH3" s="120"/>
      <c r="DMI3" s="120"/>
      <c r="DMJ3" s="120"/>
      <c r="DMK3" s="120"/>
      <c r="DML3" s="120"/>
      <c r="DMM3" s="120"/>
      <c r="DMN3" s="120"/>
      <c r="DMO3" s="120"/>
      <c r="DMP3" s="120"/>
      <c r="DMQ3" s="120"/>
      <c r="DMR3" s="120"/>
      <c r="DMS3" s="120"/>
      <c r="DMT3" s="120"/>
      <c r="DMU3" s="120"/>
      <c r="DMV3" s="120"/>
      <c r="DMW3" s="120"/>
      <c r="DMX3" s="120"/>
      <c r="DMY3" s="120"/>
      <c r="DMZ3" s="120"/>
      <c r="DNA3" s="120"/>
      <c r="DNB3" s="120"/>
      <c r="DNC3" s="120"/>
      <c r="DND3" s="120"/>
      <c r="DNE3" s="120"/>
      <c r="DNF3" s="120"/>
      <c r="DNG3" s="120"/>
      <c r="DNH3" s="120"/>
      <c r="DNI3" s="120"/>
      <c r="DNJ3" s="120"/>
      <c r="DNK3" s="120"/>
      <c r="DNL3" s="120"/>
      <c r="DNM3" s="120"/>
      <c r="DNN3" s="120"/>
      <c r="DNO3" s="120"/>
      <c r="DNP3" s="120"/>
      <c r="DNQ3" s="120"/>
      <c r="DNR3" s="120"/>
      <c r="DNS3" s="120"/>
      <c r="DNT3" s="120"/>
      <c r="DNU3" s="120"/>
      <c r="DNV3" s="120"/>
      <c r="DNW3" s="120"/>
      <c r="DNX3" s="120"/>
      <c r="DNY3" s="120"/>
      <c r="DNZ3" s="120"/>
      <c r="DOA3" s="120"/>
      <c r="DOB3" s="120"/>
      <c r="DOC3" s="120"/>
      <c r="DOD3" s="120"/>
      <c r="DOE3" s="120"/>
      <c r="DOF3" s="120"/>
      <c r="DOG3" s="120"/>
      <c r="DOH3" s="120"/>
      <c r="DOI3" s="120"/>
      <c r="DOJ3" s="120"/>
      <c r="DOK3" s="120"/>
      <c r="DOL3" s="120"/>
      <c r="DOM3" s="120"/>
      <c r="DON3" s="120"/>
      <c r="DOO3" s="120"/>
      <c r="DOP3" s="120"/>
      <c r="DOQ3" s="120"/>
      <c r="DOR3" s="120"/>
      <c r="DOS3" s="120"/>
      <c r="DOT3" s="120"/>
      <c r="DOU3" s="120"/>
      <c r="DOV3" s="120"/>
      <c r="DOW3" s="120"/>
      <c r="DOX3" s="120"/>
      <c r="DOY3" s="120"/>
      <c r="DOZ3" s="120"/>
      <c r="DPA3" s="120"/>
      <c r="DPB3" s="120"/>
      <c r="DPC3" s="120"/>
      <c r="DPD3" s="120"/>
      <c r="DPE3" s="120"/>
      <c r="DPF3" s="120"/>
      <c r="DPG3" s="120"/>
      <c r="DPH3" s="120"/>
      <c r="DPI3" s="120"/>
      <c r="DPJ3" s="120"/>
      <c r="DPK3" s="120"/>
      <c r="DPL3" s="120"/>
      <c r="DPM3" s="120"/>
      <c r="DPN3" s="120"/>
      <c r="DPO3" s="120"/>
      <c r="DPP3" s="120"/>
      <c r="DPQ3" s="120"/>
      <c r="DPR3" s="120"/>
      <c r="DPS3" s="120"/>
      <c r="DPT3" s="120"/>
      <c r="DPU3" s="120"/>
      <c r="DPV3" s="120"/>
      <c r="DPW3" s="120"/>
      <c r="DPX3" s="120"/>
      <c r="DPY3" s="120"/>
      <c r="DPZ3" s="120"/>
      <c r="DQA3" s="120"/>
      <c r="DQB3" s="120"/>
      <c r="DQC3" s="120"/>
      <c r="DQD3" s="120"/>
      <c r="DQE3" s="120"/>
      <c r="DQF3" s="120"/>
      <c r="DQG3" s="120"/>
      <c r="DQH3" s="120"/>
      <c r="DQI3" s="120"/>
      <c r="DQJ3" s="120"/>
      <c r="DQK3" s="120"/>
      <c r="DQL3" s="120"/>
      <c r="DQM3" s="120"/>
      <c r="DQN3" s="120"/>
      <c r="DQO3" s="120"/>
      <c r="DQP3" s="120"/>
      <c r="DQQ3" s="120"/>
      <c r="DQR3" s="120"/>
      <c r="DQS3" s="120"/>
      <c r="DQT3" s="120"/>
      <c r="DQU3" s="120"/>
      <c r="DQV3" s="120"/>
      <c r="DQW3" s="120"/>
      <c r="DQX3" s="120"/>
      <c r="DQY3" s="120"/>
      <c r="DQZ3" s="120"/>
      <c r="DRA3" s="120"/>
      <c r="DRB3" s="120"/>
      <c r="DRC3" s="120"/>
      <c r="DRD3" s="120"/>
      <c r="DRE3" s="120"/>
      <c r="DRF3" s="120"/>
      <c r="DRG3" s="120"/>
      <c r="DRH3" s="120"/>
      <c r="DRI3" s="120"/>
      <c r="DRJ3" s="120"/>
      <c r="DRK3" s="120"/>
      <c r="DRL3" s="120"/>
      <c r="DRM3" s="120"/>
      <c r="DRN3" s="120"/>
      <c r="DRO3" s="120"/>
      <c r="DRP3" s="120"/>
      <c r="DRQ3" s="120"/>
      <c r="DRR3" s="120"/>
      <c r="DRS3" s="120"/>
      <c r="DRT3" s="120"/>
      <c r="DRU3" s="120"/>
      <c r="DRV3" s="120"/>
      <c r="DRW3" s="120"/>
      <c r="DRX3" s="120"/>
      <c r="DRY3" s="120"/>
      <c r="DRZ3" s="120"/>
      <c r="DSA3" s="120"/>
      <c r="DSB3" s="120"/>
      <c r="DSC3" s="120"/>
      <c r="DSD3" s="120"/>
      <c r="DSE3" s="120"/>
      <c r="DSF3" s="120"/>
      <c r="DSG3" s="120"/>
      <c r="DSH3" s="120"/>
      <c r="DSI3" s="120"/>
      <c r="DSJ3" s="120"/>
      <c r="DSK3" s="120"/>
      <c r="DSL3" s="120"/>
      <c r="DSM3" s="120"/>
      <c r="DSN3" s="120"/>
      <c r="DSO3" s="120"/>
      <c r="DSP3" s="120"/>
      <c r="DSQ3" s="120"/>
      <c r="DSR3" s="120"/>
      <c r="DSS3" s="120"/>
      <c r="DST3" s="120"/>
      <c r="DSU3" s="120"/>
      <c r="DSV3" s="120"/>
      <c r="DSW3" s="120"/>
      <c r="DSX3" s="120"/>
      <c r="DSY3" s="120"/>
      <c r="DSZ3" s="120"/>
      <c r="DTA3" s="120"/>
      <c r="DTB3" s="120"/>
      <c r="DTC3" s="120"/>
      <c r="DTD3" s="120"/>
      <c r="DTE3" s="120"/>
      <c r="DTF3" s="120"/>
      <c r="DTG3" s="120"/>
      <c r="DTH3" s="120"/>
      <c r="DTI3" s="120"/>
      <c r="DTJ3" s="120"/>
      <c r="DTK3" s="120"/>
      <c r="DTL3" s="120"/>
      <c r="DTM3" s="120"/>
      <c r="DTN3" s="120"/>
      <c r="DTO3" s="120"/>
      <c r="DTP3" s="120"/>
      <c r="DTQ3" s="120"/>
      <c r="DTR3" s="120"/>
      <c r="DTS3" s="120"/>
      <c r="DTT3" s="120"/>
      <c r="DTU3" s="120"/>
      <c r="DTV3" s="120"/>
      <c r="DTW3" s="120"/>
      <c r="DTX3" s="120"/>
      <c r="DTY3" s="120"/>
      <c r="DTZ3" s="120"/>
      <c r="DUA3" s="120"/>
      <c r="DUB3" s="120"/>
      <c r="DUC3" s="120"/>
      <c r="DUD3" s="120"/>
      <c r="DUE3" s="120"/>
      <c r="DUF3" s="120"/>
      <c r="DUG3" s="120"/>
      <c r="DUH3" s="120"/>
      <c r="DUI3" s="120"/>
      <c r="DUJ3" s="120"/>
      <c r="DUK3" s="120"/>
      <c r="DUL3" s="120"/>
      <c r="DUM3" s="120"/>
      <c r="DUN3" s="120"/>
      <c r="DUO3" s="120"/>
      <c r="DUP3" s="120"/>
      <c r="DUQ3" s="120"/>
      <c r="DUR3" s="120"/>
      <c r="DUS3" s="120"/>
      <c r="DUT3" s="120"/>
      <c r="DUU3" s="120"/>
      <c r="DUV3" s="120"/>
      <c r="DUW3" s="120"/>
      <c r="DUX3" s="120"/>
      <c r="DUY3" s="120"/>
      <c r="DUZ3" s="120"/>
      <c r="DVA3" s="120"/>
      <c r="DVB3" s="120"/>
      <c r="DVC3" s="120"/>
      <c r="DVD3" s="120"/>
      <c r="DVE3" s="120"/>
      <c r="DVF3" s="120"/>
      <c r="DVG3" s="120"/>
      <c r="DVH3" s="120"/>
      <c r="DVI3" s="120"/>
      <c r="DVJ3" s="120"/>
      <c r="DVK3" s="120"/>
      <c r="DVL3" s="120"/>
      <c r="DVM3" s="120"/>
      <c r="DVN3" s="120"/>
      <c r="DVO3" s="120"/>
      <c r="DVP3" s="120"/>
      <c r="DVQ3" s="120"/>
      <c r="DVR3" s="120"/>
      <c r="DVS3" s="120"/>
      <c r="DVT3" s="120"/>
      <c r="DVU3" s="120"/>
      <c r="DVV3" s="120"/>
      <c r="DVW3" s="120"/>
      <c r="DVX3" s="120"/>
      <c r="DVY3" s="120"/>
      <c r="DVZ3" s="120"/>
      <c r="DWA3" s="120"/>
      <c r="DWB3" s="120"/>
      <c r="DWC3" s="120"/>
      <c r="DWD3" s="120"/>
      <c r="DWE3" s="120"/>
      <c r="DWF3" s="120"/>
      <c r="DWG3" s="120"/>
      <c r="DWH3" s="120"/>
      <c r="DWI3" s="120"/>
      <c r="DWJ3" s="120"/>
      <c r="DWK3" s="120"/>
      <c r="DWL3" s="120"/>
      <c r="DWM3" s="120"/>
      <c r="DWN3" s="120"/>
      <c r="DWO3" s="120"/>
      <c r="DWP3" s="120"/>
      <c r="DWQ3" s="120"/>
      <c r="DWR3" s="120"/>
      <c r="DWS3" s="120"/>
      <c r="DWT3" s="120"/>
      <c r="DWU3" s="120"/>
      <c r="DWV3" s="120"/>
      <c r="DWW3" s="120"/>
      <c r="DWX3" s="120"/>
      <c r="DWY3" s="120"/>
      <c r="DWZ3" s="120"/>
      <c r="DXA3" s="120"/>
      <c r="DXB3" s="120"/>
      <c r="DXC3" s="120"/>
      <c r="DXD3" s="120"/>
      <c r="DXE3" s="120"/>
      <c r="DXF3" s="120"/>
      <c r="DXG3" s="120"/>
      <c r="DXH3" s="120"/>
      <c r="DXI3" s="120"/>
      <c r="DXJ3" s="120"/>
      <c r="DXK3" s="120"/>
      <c r="DXL3" s="120"/>
      <c r="DXM3" s="120"/>
      <c r="DXN3" s="120"/>
      <c r="DXO3" s="120"/>
      <c r="DXP3" s="120"/>
      <c r="DXQ3" s="120"/>
      <c r="DXR3" s="120"/>
      <c r="DXS3" s="120"/>
      <c r="DXT3" s="120"/>
      <c r="DXU3" s="120"/>
      <c r="DXV3" s="120"/>
      <c r="DXW3" s="120"/>
      <c r="DXX3" s="120"/>
      <c r="DXY3" s="120"/>
      <c r="DXZ3" s="120"/>
      <c r="DYA3" s="120"/>
      <c r="DYB3" s="120"/>
      <c r="DYC3" s="120"/>
      <c r="DYD3" s="120"/>
      <c r="DYE3" s="120"/>
      <c r="DYF3" s="120"/>
      <c r="DYG3" s="120"/>
      <c r="DYH3" s="120"/>
      <c r="DYI3" s="120"/>
      <c r="DYJ3" s="120"/>
      <c r="DYK3" s="120"/>
      <c r="DYL3" s="120"/>
      <c r="DYM3" s="120"/>
      <c r="DYN3" s="120"/>
      <c r="DYO3" s="120"/>
      <c r="DYP3" s="120"/>
      <c r="DYQ3" s="120"/>
      <c r="DYR3" s="120"/>
      <c r="DYS3" s="120"/>
      <c r="DYT3" s="120"/>
      <c r="DYU3" s="120"/>
      <c r="DYV3" s="120"/>
      <c r="DYW3" s="120"/>
      <c r="DYX3" s="120"/>
      <c r="DYY3" s="120"/>
      <c r="DYZ3" s="120"/>
      <c r="DZA3" s="120"/>
      <c r="DZB3" s="120"/>
      <c r="DZC3" s="120"/>
      <c r="DZD3" s="120"/>
      <c r="DZE3" s="120"/>
      <c r="DZF3" s="120"/>
      <c r="DZG3" s="120"/>
      <c r="DZH3" s="120"/>
      <c r="DZI3" s="120"/>
      <c r="DZJ3" s="120"/>
      <c r="DZK3" s="120"/>
      <c r="DZL3" s="120"/>
      <c r="DZM3" s="120"/>
      <c r="DZN3" s="120"/>
      <c r="DZO3" s="120"/>
      <c r="DZP3" s="120"/>
      <c r="DZQ3" s="120"/>
      <c r="DZR3" s="120"/>
      <c r="DZS3" s="120"/>
      <c r="DZT3" s="120"/>
      <c r="DZU3" s="120"/>
      <c r="DZV3" s="120"/>
      <c r="DZW3" s="120"/>
      <c r="DZX3" s="120"/>
      <c r="DZY3" s="120"/>
      <c r="DZZ3" s="120"/>
      <c r="EAA3" s="120"/>
      <c r="EAB3" s="120"/>
      <c r="EAC3" s="120"/>
      <c r="EAD3" s="120"/>
      <c r="EAE3" s="120"/>
      <c r="EAF3" s="120"/>
      <c r="EAG3" s="120"/>
      <c r="EAH3" s="120"/>
      <c r="EAI3" s="120"/>
      <c r="EAJ3" s="120"/>
      <c r="EAK3" s="120"/>
      <c r="EAL3" s="120"/>
      <c r="EAM3" s="120"/>
      <c r="EAN3" s="120"/>
      <c r="EAO3" s="120"/>
      <c r="EAP3" s="120"/>
      <c r="EAQ3" s="120"/>
      <c r="EAR3" s="120"/>
      <c r="EAS3" s="120"/>
      <c r="EAT3" s="120"/>
      <c r="EAU3" s="120"/>
      <c r="EAV3" s="120"/>
      <c r="EAW3" s="120"/>
      <c r="EAX3" s="120"/>
      <c r="EAY3" s="120"/>
      <c r="EAZ3" s="120"/>
      <c r="EBA3" s="120"/>
      <c r="EBB3" s="120"/>
      <c r="EBC3" s="120"/>
      <c r="EBD3" s="120"/>
      <c r="EBE3" s="120"/>
      <c r="EBF3" s="120"/>
      <c r="EBG3" s="120"/>
      <c r="EBH3" s="120"/>
      <c r="EBI3" s="120"/>
      <c r="EBJ3" s="120"/>
      <c r="EBK3" s="120"/>
      <c r="EBL3" s="120"/>
      <c r="EBM3" s="120"/>
      <c r="EBN3" s="120"/>
      <c r="EBO3" s="120"/>
      <c r="EBP3" s="120"/>
      <c r="EBQ3" s="120"/>
      <c r="EBR3" s="120"/>
      <c r="EBS3" s="120"/>
      <c r="EBT3" s="120"/>
      <c r="EBU3" s="120"/>
      <c r="EBV3" s="120"/>
      <c r="EBW3" s="120"/>
      <c r="EBX3" s="120"/>
      <c r="EBY3" s="120"/>
      <c r="EBZ3" s="120"/>
      <c r="ECA3" s="120"/>
      <c r="ECB3" s="120"/>
      <c r="ECC3" s="120"/>
      <c r="ECD3" s="120"/>
      <c r="ECE3" s="120"/>
      <c r="ECF3" s="120"/>
      <c r="ECG3" s="120"/>
      <c r="ECH3" s="120"/>
      <c r="ECI3" s="120"/>
      <c r="ECJ3" s="120"/>
      <c r="ECK3" s="120"/>
      <c r="ECL3" s="120"/>
      <c r="ECM3" s="120"/>
      <c r="ECN3" s="120"/>
      <c r="ECO3" s="120"/>
      <c r="ECP3" s="120"/>
      <c r="ECQ3" s="120"/>
      <c r="ECR3" s="120"/>
      <c r="ECS3" s="120"/>
      <c r="ECT3" s="120"/>
      <c r="ECU3" s="120"/>
      <c r="ECV3" s="120"/>
      <c r="ECW3" s="120"/>
      <c r="ECX3" s="120"/>
      <c r="ECY3" s="120"/>
      <c r="ECZ3" s="120"/>
      <c r="EDA3" s="120"/>
      <c r="EDB3" s="120"/>
      <c r="EDC3" s="120"/>
      <c r="EDD3" s="120"/>
      <c r="EDE3" s="120"/>
      <c r="EDF3" s="120"/>
      <c r="EDG3" s="120"/>
      <c r="EDH3" s="120"/>
      <c r="EDI3" s="120"/>
      <c r="EDJ3" s="120"/>
      <c r="EDK3" s="120"/>
      <c r="EDL3" s="120"/>
      <c r="EDM3" s="120"/>
      <c r="EDN3" s="120"/>
      <c r="EDO3" s="120"/>
      <c r="EDP3" s="120"/>
      <c r="EDQ3" s="120"/>
      <c r="EDR3" s="120"/>
      <c r="EDS3" s="120"/>
      <c r="EDT3" s="120"/>
      <c r="EDU3" s="120"/>
      <c r="EDV3" s="120"/>
      <c r="EDW3" s="120"/>
      <c r="EDX3" s="120"/>
      <c r="EDY3" s="120"/>
      <c r="EDZ3" s="120"/>
      <c r="EEA3" s="120"/>
      <c r="EEB3" s="120"/>
      <c r="EEC3" s="120"/>
      <c r="EED3" s="120"/>
      <c r="EEE3" s="120"/>
      <c r="EEF3" s="120"/>
      <c r="EEG3" s="120"/>
      <c r="EEH3" s="120"/>
      <c r="EEI3" s="120"/>
      <c r="EEJ3" s="120"/>
      <c r="EEK3" s="120"/>
      <c r="EEL3" s="120"/>
      <c r="EEM3" s="120"/>
      <c r="EEN3" s="120"/>
      <c r="EEO3" s="120"/>
      <c r="EEP3" s="120"/>
      <c r="EEQ3" s="120"/>
      <c r="EER3" s="120"/>
      <c r="EES3" s="120"/>
      <c r="EET3" s="120"/>
      <c r="EEU3" s="120"/>
      <c r="EEV3" s="120"/>
      <c r="EEW3" s="120"/>
      <c r="EEX3" s="120"/>
      <c r="EEY3" s="120"/>
      <c r="EEZ3" s="120"/>
      <c r="EFA3" s="120"/>
      <c r="EFB3" s="120"/>
      <c r="EFC3" s="120"/>
      <c r="EFD3" s="120"/>
      <c r="EFE3" s="120"/>
      <c r="EFF3" s="120"/>
      <c r="EFG3" s="120"/>
      <c r="EFH3" s="120"/>
      <c r="EFI3" s="120"/>
      <c r="EFJ3" s="120"/>
      <c r="EFK3" s="120"/>
      <c r="EFL3" s="120"/>
      <c r="EFM3" s="120"/>
      <c r="EFN3" s="120"/>
      <c r="EFO3" s="120"/>
      <c r="EFP3" s="120"/>
      <c r="EFQ3" s="120"/>
      <c r="EFR3" s="120"/>
      <c r="EFS3" s="120"/>
      <c r="EFT3" s="120"/>
      <c r="EFU3" s="120"/>
      <c r="EFV3" s="120"/>
      <c r="EFW3" s="120"/>
      <c r="EFX3" s="120"/>
      <c r="EFY3" s="120"/>
      <c r="EFZ3" s="120"/>
      <c r="EGA3" s="120"/>
      <c r="EGB3" s="120"/>
      <c r="EGC3" s="120"/>
      <c r="EGD3" s="120"/>
      <c r="EGE3" s="120"/>
      <c r="EGF3" s="120"/>
      <c r="EGG3" s="120"/>
      <c r="EGH3" s="120"/>
      <c r="EGI3" s="120"/>
      <c r="EGJ3" s="120"/>
      <c r="EGK3" s="120"/>
      <c r="EGL3" s="120"/>
      <c r="EGM3" s="120"/>
      <c r="EGN3" s="120"/>
      <c r="EGO3" s="120"/>
      <c r="EGP3" s="120"/>
      <c r="EGQ3" s="120"/>
      <c r="EGR3" s="120"/>
      <c r="EGS3" s="120"/>
      <c r="EGT3" s="120"/>
      <c r="EGU3" s="120"/>
      <c r="EGV3" s="120"/>
      <c r="EGW3" s="120"/>
      <c r="EGX3" s="120"/>
      <c r="EGY3" s="120"/>
      <c r="EGZ3" s="120"/>
      <c r="EHA3" s="120"/>
      <c r="EHB3" s="120"/>
      <c r="EHC3" s="120"/>
      <c r="EHD3" s="120"/>
      <c r="EHE3" s="120"/>
      <c r="EHF3" s="120"/>
      <c r="EHG3" s="120"/>
      <c r="EHH3" s="120"/>
      <c r="EHI3" s="120"/>
      <c r="EHJ3" s="120"/>
      <c r="EHK3" s="120"/>
      <c r="EHL3" s="120"/>
      <c r="EHM3" s="120"/>
      <c r="EHN3" s="120"/>
      <c r="EHO3" s="120"/>
      <c r="EHP3" s="120"/>
      <c r="EHQ3" s="120"/>
      <c r="EHR3" s="120"/>
      <c r="EHS3" s="120"/>
      <c r="EHT3" s="120"/>
      <c r="EHU3" s="120"/>
      <c r="EHV3" s="120"/>
      <c r="EHW3" s="120"/>
      <c r="EHX3" s="120"/>
      <c r="EHY3" s="120"/>
      <c r="EHZ3" s="120"/>
      <c r="EIA3" s="120"/>
      <c r="EIB3" s="120"/>
      <c r="EIC3" s="120"/>
      <c r="EID3" s="120"/>
      <c r="EIE3" s="120"/>
      <c r="EIF3" s="120"/>
      <c r="EIG3" s="120"/>
      <c r="EIH3" s="120"/>
      <c r="EII3" s="120"/>
      <c r="EIJ3" s="120"/>
      <c r="EIK3" s="120"/>
      <c r="EIL3" s="120"/>
      <c r="EIM3" s="120"/>
      <c r="EIN3" s="120"/>
      <c r="EIO3" s="120"/>
      <c r="EIP3" s="120"/>
      <c r="EIQ3" s="120"/>
      <c r="EIR3" s="120"/>
      <c r="EIS3" s="120"/>
      <c r="EIT3" s="120"/>
      <c r="EIU3" s="120"/>
      <c r="EIV3" s="120"/>
      <c r="EIW3" s="120"/>
      <c r="EIX3" s="120"/>
      <c r="EIY3" s="120"/>
      <c r="EIZ3" s="120"/>
      <c r="EJA3" s="120"/>
      <c r="EJB3" s="120"/>
      <c r="EJC3" s="120"/>
      <c r="EJD3" s="120"/>
      <c r="EJE3" s="120"/>
      <c r="EJF3" s="120"/>
      <c r="EJG3" s="120"/>
      <c r="EJH3" s="120"/>
      <c r="EJI3" s="120"/>
      <c r="EJJ3" s="120"/>
      <c r="EJK3" s="120"/>
      <c r="EJL3" s="120"/>
      <c r="EJM3" s="120"/>
      <c r="EJN3" s="120"/>
      <c r="EJO3" s="120"/>
      <c r="EJP3" s="120"/>
      <c r="EJQ3" s="120"/>
      <c r="EJR3" s="120"/>
      <c r="EJS3" s="120"/>
      <c r="EJT3" s="120"/>
      <c r="EJU3" s="120"/>
      <c r="EJV3" s="120"/>
      <c r="EJW3" s="120"/>
      <c r="EJX3" s="120"/>
      <c r="EJY3" s="120"/>
      <c r="EJZ3" s="120"/>
      <c r="EKA3" s="120"/>
      <c r="EKB3" s="120"/>
      <c r="EKC3" s="120"/>
      <c r="EKD3" s="120"/>
      <c r="EKE3" s="120"/>
      <c r="EKF3" s="120"/>
      <c r="EKG3" s="120"/>
      <c r="EKH3" s="120"/>
      <c r="EKI3" s="120"/>
      <c r="EKJ3" s="120"/>
      <c r="EKK3" s="120"/>
      <c r="EKL3" s="120"/>
      <c r="EKM3" s="120"/>
      <c r="EKN3" s="120"/>
      <c r="EKO3" s="120"/>
      <c r="EKP3" s="120"/>
      <c r="EKQ3" s="120"/>
      <c r="EKR3" s="120"/>
      <c r="EKS3" s="120"/>
      <c r="EKT3" s="120"/>
      <c r="EKU3" s="120"/>
      <c r="EKV3" s="120"/>
      <c r="EKW3" s="120"/>
      <c r="EKX3" s="120"/>
      <c r="EKY3" s="120"/>
      <c r="EKZ3" s="120"/>
      <c r="ELA3" s="120"/>
      <c r="ELB3" s="120"/>
      <c r="ELC3" s="120"/>
      <c r="ELD3" s="120"/>
      <c r="ELE3" s="120"/>
      <c r="ELF3" s="120"/>
      <c r="ELG3" s="120"/>
      <c r="ELH3" s="120"/>
      <c r="ELI3" s="120"/>
      <c r="ELJ3" s="120"/>
      <c r="ELK3" s="120"/>
      <c r="ELL3" s="120"/>
      <c r="ELM3" s="120"/>
      <c r="ELN3" s="120"/>
      <c r="ELO3" s="120"/>
      <c r="ELP3" s="120"/>
      <c r="ELQ3" s="120"/>
      <c r="ELR3" s="120"/>
      <c r="ELS3" s="120"/>
      <c r="ELT3" s="120"/>
      <c r="ELU3" s="120"/>
      <c r="ELV3" s="120"/>
      <c r="ELW3" s="120"/>
      <c r="ELX3" s="120"/>
      <c r="ELY3" s="120"/>
      <c r="ELZ3" s="120"/>
      <c r="EMA3" s="120"/>
      <c r="EMB3" s="120"/>
      <c r="EMC3" s="120"/>
      <c r="EMD3" s="120"/>
      <c r="EME3" s="120"/>
      <c r="EMF3" s="120"/>
      <c r="EMG3" s="120"/>
      <c r="EMH3" s="120"/>
      <c r="EMI3" s="120"/>
      <c r="EMJ3" s="120"/>
      <c r="EMK3" s="120"/>
      <c r="EML3" s="120"/>
      <c r="EMM3" s="120"/>
      <c r="EMN3" s="120"/>
      <c r="EMO3" s="120"/>
      <c r="EMP3" s="120"/>
      <c r="EMQ3" s="120"/>
      <c r="EMR3" s="120"/>
      <c r="EMS3" s="120"/>
      <c r="EMT3" s="120"/>
      <c r="EMU3" s="120"/>
      <c r="EMV3" s="120"/>
      <c r="EMW3" s="120"/>
      <c r="EMX3" s="120"/>
      <c r="EMY3" s="120"/>
      <c r="EMZ3" s="120"/>
      <c r="ENA3" s="120"/>
      <c r="ENB3" s="120"/>
      <c r="ENC3" s="120"/>
      <c r="END3" s="120"/>
      <c r="ENE3" s="120"/>
      <c r="ENF3" s="120"/>
      <c r="ENG3" s="120"/>
      <c r="ENH3" s="120"/>
      <c r="ENI3" s="120"/>
      <c r="ENJ3" s="120"/>
      <c r="ENK3" s="120"/>
      <c r="ENL3" s="120"/>
      <c r="ENM3" s="120"/>
      <c r="ENN3" s="120"/>
      <c r="ENO3" s="120"/>
      <c r="ENP3" s="120"/>
      <c r="ENQ3" s="120"/>
      <c r="ENR3" s="120"/>
      <c r="ENS3" s="120"/>
      <c r="ENT3" s="120"/>
      <c r="ENU3" s="120"/>
      <c r="ENV3" s="120"/>
      <c r="ENW3" s="120"/>
      <c r="ENX3" s="120"/>
      <c r="ENY3" s="120"/>
      <c r="ENZ3" s="120"/>
      <c r="EOA3" s="120"/>
      <c r="EOB3" s="120"/>
      <c r="EOC3" s="120"/>
      <c r="EOD3" s="120"/>
      <c r="EOE3" s="120"/>
      <c r="EOF3" s="120"/>
      <c r="EOG3" s="120"/>
      <c r="EOH3" s="120"/>
      <c r="EOI3" s="120"/>
      <c r="EOJ3" s="120"/>
      <c r="EOK3" s="120"/>
      <c r="EOL3" s="120"/>
      <c r="EOM3" s="120"/>
      <c r="EON3" s="120"/>
      <c r="EOO3" s="120"/>
      <c r="EOP3" s="120"/>
      <c r="EOQ3" s="120"/>
      <c r="EOR3" s="120"/>
      <c r="EOS3" s="120"/>
      <c r="EOT3" s="120"/>
      <c r="EOU3" s="120"/>
      <c r="EOV3" s="120"/>
      <c r="EOW3" s="120"/>
      <c r="EOX3" s="120"/>
      <c r="EOY3" s="120"/>
      <c r="EOZ3" s="120"/>
      <c r="EPA3" s="120"/>
      <c r="EPB3" s="120"/>
      <c r="EPC3" s="120"/>
      <c r="EPD3" s="120"/>
      <c r="EPE3" s="120"/>
      <c r="EPF3" s="120"/>
      <c r="EPG3" s="120"/>
      <c r="EPH3" s="120"/>
      <c r="EPI3" s="120"/>
      <c r="EPJ3" s="120"/>
      <c r="EPK3" s="120"/>
      <c r="EPL3" s="120"/>
      <c r="EPM3" s="120"/>
      <c r="EPN3" s="120"/>
      <c r="EPO3" s="120"/>
      <c r="EPP3" s="120"/>
      <c r="EPQ3" s="120"/>
      <c r="EPR3" s="120"/>
      <c r="EPS3" s="120"/>
      <c r="EPT3" s="120"/>
      <c r="EPU3" s="120"/>
      <c r="EPV3" s="120"/>
      <c r="EPW3" s="120"/>
      <c r="EPX3" s="120"/>
      <c r="EPY3" s="120"/>
      <c r="EPZ3" s="120"/>
      <c r="EQA3" s="120"/>
      <c r="EQB3" s="120"/>
      <c r="EQC3" s="120"/>
      <c r="EQD3" s="120"/>
      <c r="EQE3" s="120"/>
      <c r="EQF3" s="120"/>
      <c r="EQG3" s="120"/>
      <c r="EQH3" s="120"/>
      <c r="EQI3" s="120"/>
      <c r="EQJ3" s="120"/>
      <c r="EQK3" s="120"/>
      <c r="EQL3" s="120"/>
      <c r="EQM3" s="120"/>
      <c r="EQN3" s="120"/>
      <c r="EQO3" s="120"/>
      <c r="EQP3" s="120"/>
      <c r="EQQ3" s="120"/>
      <c r="EQR3" s="120"/>
      <c r="EQS3" s="120"/>
      <c r="EQT3" s="120"/>
      <c r="EQU3" s="120"/>
      <c r="EQV3" s="120"/>
      <c r="EQW3" s="120"/>
      <c r="EQX3" s="120"/>
      <c r="EQY3" s="120"/>
      <c r="EQZ3" s="120"/>
      <c r="ERA3" s="120"/>
      <c r="ERB3" s="120"/>
      <c r="ERC3" s="120"/>
      <c r="ERD3" s="120"/>
      <c r="ERE3" s="120"/>
      <c r="ERF3" s="120"/>
      <c r="ERG3" s="120"/>
      <c r="ERH3" s="120"/>
      <c r="ERI3" s="120"/>
      <c r="ERJ3" s="120"/>
      <c r="ERK3" s="120"/>
      <c r="ERL3" s="120"/>
      <c r="ERM3" s="120"/>
      <c r="ERN3" s="120"/>
      <c r="ERO3" s="120"/>
      <c r="ERP3" s="120"/>
      <c r="ERQ3" s="120"/>
      <c r="ERR3" s="120"/>
      <c r="ERS3" s="120"/>
      <c r="ERT3" s="120"/>
      <c r="ERU3" s="120"/>
      <c r="ERV3" s="120"/>
      <c r="ERW3" s="120"/>
      <c r="ERX3" s="120"/>
      <c r="ERY3" s="120"/>
      <c r="ERZ3" s="120"/>
      <c r="ESA3" s="120"/>
      <c r="ESB3" s="120"/>
      <c r="ESC3" s="120"/>
      <c r="ESD3" s="120"/>
      <c r="ESE3" s="120"/>
      <c r="ESF3" s="120"/>
      <c r="ESG3" s="120"/>
      <c r="ESH3" s="120"/>
      <c r="ESI3" s="120"/>
      <c r="ESJ3" s="120"/>
      <c r="ESK3" s="120"/>
      <c r="ESL3" s="120"/>
      <c r="ESM3" s="120"/>
      <c r="ESN3" s="120"/>
      <c r="ESO3" s="120"/>
      <c r="ESP3" s="120"/>
      <c r="ESQ3" s="120"/>
      <c r="ESR3" s="120"/>
      <c r="ESS3" s="120"/>
      <c r="EST3" s="120"/>
      <c r="ESU3" s="120"/>
      <c r="ESV3" s="120"/>
      <c r="ESW3" s="120"/>
      <c r="ESX3" s="120"/>
      <c r="ESY3" s="120"/>
      <c r="ESZ3" s="120"/>
      <c r="ETA3" s="120"/>
      <c r="ETB3" s="120"/>
      <c r="ETC3" s="120"/>
      <c r="ETD3" s="120"/>
      <c r="ETE3" s="120"/>
      <c r="ETF3" s="120"/>
      <c r="ETG3" s="120"/>
      <c r="ETH3" s="120"/>
      <c r="ETI3" s="120"/>
      <c r="ETJ3" s="120"/>
      <c r="ETK3" s="120"/>
      <c r="ETL3" s="120"/>
      <c r="ETM3" s="120"/>
      <c r="ETN3" s="120"/>
      <c r="ETO3" s="120"/>
      <c r="ETP3" s="120"/>
      <c r="ETQ3" s="120"/>
      <c r="ETR3" s="120"/>
      <c r="ETS3" s="120"/>
      <c r="ETT3" s="120"/>
      <c r="ETU3" s="120"/>
      <c r="ETV3" s="120"/>
      <c r="ETW3" s="120"/>
      <c r="ETX3" s="120"/>
      <c r="ETY3" s="120"/>
      <c r="ETZ3" s="120"/>
      <c r="EUA3" s="120"/>
      <c r="EUB3" s="120"/>
      <c r="EUC3" s="120"/>
      <c r="EUD3" s="120"/>
      <c r="EUE3" s="120"/>
      <c r="EUF3" s="120"/>
      <c r="EUG3" s="120"/>
      <c r="EUH3" s="120"/>
      <c r="EUI3" s="120"/>
      <c r="EUJ3" s="120"/>
      <c r="EUK3" s="120"/>
      <c r="EUL3" s="120"/>
      <c r="EUM3" s="120"/>
      <c r="EUN3" s="120"/>
      <c r="EUO3" s="120"/>
      <c r="EUP3" s="120"/>
      <c r="EUQ3" s="120"/>
      <c r="EUR3" s="120"/>
      <c r="EUS3" s="120"/>
      <c r="EUT3" s="120"/>
      <c r="EUU3" s="120"/>
      <c r="EUV3" s="120"/>
      <c r="EUW3" s="120"/>
      <c r="EUX3" s="120"/>
      <c r="EUY3" s="120"/>
      <c r="EUZ3" s="120"/>
      <c r="EVA3" s="120"/>
      <c r="EVB3" s="120"/>
      <c r="EVC3" s="120"/>
      <c r="EVD3" s="120"/>
      <c r="EVE3" s="120"/>
      <c r="EVF3" s="120"/>
      <c r="EVG3" s="120"/>
      <c r="EVH3" s="120"/>
      <c r="EVI3" s="120"/>
      <c r="EVJ3" s="120"/>
      <c r="EVK3" s="120"/>
      <c r="EVL3" s="120"/>
      <c r="EVM3" s="120"/>
      <c r="EVN3" s="120"/>
      <c r="EVO3" s="120"/>
      <c r="EVP3" s="120"/>
      <c r="EVQ3" s="120"/>
      <c r="EVR3" s="120"/>
      <c r="EVS3" s="120"/>
      <c r="EVT3" s="120"/>
      <c r="EVU3" s="120"/>
      <c r="EVV3" s="120"/>
      <c r="EVW3" s="120"/>
      <c r="EVX3" s="120"/>
      <c r="EVY3" s="120"/>
      <c r="EVZ3" s="120"/>
      <c r="EWA3" s="120"/>
      <c r="EWB3" s="120"/>
      <c r="EWC3" s="120"/>
      <c r="EWD3" s="120"/>
      <c r="EWE3" s="120"/>
      <c r="EWF3" s="120"/>
      <c r="EWG3" s="120"/>
      <c r="EWH3" s="120"/>
      <c r="EWI3" s="120"/>
      <c r="EWJ3" s="120"/>
      <c r="EWK3" s="120"/>
      <c r="EWL3" s="120"/>
      <c r="EWM3" s="120"/>
      <c r="EWN3" s="120"/>
      <c r="EWO3" s="120"/>
      <c r="EWP3" s="120"/>
      <c r="EWQ3" s="120"/>
      <c r="EWR3" s="120"/>
      <c r="EWS3" s="120"/>
      <c r="EWT3" s="120"/>
      <c r="EWU3" s="120"/>
      <c r="EWV3" s="120"/>
      <c r="EWW3" s="120"/>
      <c r="EWX3" s="120"/>
      <c r="EWY3" s="120"/>
      <c r="EWZ3" s="120"/>
      <c r="EXA3" s="120"/>
      <c r="EXB3" s="120"/>
      <c r="EXC3" s="120"/>
      <c r="EXD3" s="120"/>
      <c r="EXE3" s="120"/>
      <c r="EXF3" s="120"/>
      <c r="EXG3" s="120"/>
      <c r="EXH3" s="120"/>
      <c r="EXI3" s="120"/>
      <c r="EXJ3" s="120"/>
      <c r="EXK3" s="120"/>
      <c r="EXL3" s="120"/>
      <c r="EXM3" s="120"/>
      <c r="EXN3" s="120"/>
      <c r="EXO3" s="120"/>
      <c r="EXP3" s="120"/>
      <c r="EXQ3" s="120"/>
      <c r="EXR3" s="120"/>
      <c r="EXS3" s="120"/>
      <c r="EXT3" s="120"/>
      <c r="EXU3" s="120"/>
      <c r="EXV3" s="120"/>
      <c r="EXW3" s="120"/>
      <c r="EXX3" s="120"/>
      <c r="EXY3" s="120"/>
      <c r="EXZ3" s="120"/>
      <c r="EYA3" s="120"/>
      <c r="EYB3" s="120"/>
      <c r="EYC3" s="120"/>
      <c r="EYD3" s="120"/>
      <c r="EYE3" s="120"/>
      <c r="EYF3" s="120"/>
      <c r="EYG3" s="120"/>
      <c r="EYH3" s="120"/>
      <c r="EYI3" s="120"/>
      <c r="EYJ3" s="120"/>
      <c r="EYK3" s="120"/>
      <c r="EYL3" s="120"/>
      <c r="EYM3" s="120"/>
      <c r="EYN3" s="120"/>
      <c r="EYO3" s="120"/>
      <c r="EYP3" s="120"/>
      <c r="EYQ3" s="120"/>
      <c r="EYR3" s="120"/>
      <c r="EYS3" s="120"/>
      <c r="EYT3" s="120"/>
      <c r="EYU3" s="120"/>
      <c r="EYV3" s="120"/>
      <c r="EYW3" s="120"/>
      <c r="EYX3" s="120"/>
      <c r="EYY3" s="120"/>
      <c r="EYZ3" s="120"/>
      <c r="EZA3" s="120"/>
      <c r="EZB3" s="120"/>
      <c r="EZC3" s="120"/>
      <c r="EZD3" s="120"/>
      <c r="EZE3" s="120"/>
      <c r="EZF3" s="120"/>
      <c r="EZG3" s="120"/>
      <c r="EZH3" s="120"/>
      <c r="EZI3" s="120"/>
      <c r="EZJ3" s="120"/>
      <c r="EZK3" s="120"/>
      <c r="EZL3" s="120"/>
      <c r="EZM3" s="120"/>
      <c r="EZN3" s="120"/>
      <c r="EZO3" s="120"/>
      <c r="EZP3" s="120"/>
      <c r="EZQ3" s="120"/>
      <c r="EZR3" s="120"/>
      <c r="EZS3" s="120"/>
      <c r="EZT3" s="120"/>
      <c r="EZU3" s="120"/>
      <c r="EZV3" s="120"/>
      <c r="EZW3" s="120"/>
      <c r="EZX3" s="120"/>
      <c r="EZY3" s="120"/>
      <c r="EZZ3" s="120"/>
      <c r="FAA3" s="120"/>
      <c r="FAB3" s="120"/>
      <c r="FAC3" s="120"/>
      <c r="FAD3" s="120"/>
      <c r="FAE3" s="120"/>
      <c r="FAF3" s="120"/>
      <c r="FAG3" s="120"/>
      <c r="FAH3" s="120"/>
      <c r="FAI3" s="120"/>
      <c r="FAJ3" s="120"/>
      <c r="FAK3" s="120"/>
      <c r="FAL3" s="120"/>
      <c r="FAM3" s="120"/>
      <c r="FAN3" s="120"/>
      <c r="FAO3" s="120"/>
      <c r="FAP3" s="120"/>
      <c r="FAQ3" s="120"/>
      <c r="FAR3" s="120"/>
      <c r="FAS3" s="120"/>
      <c r="FAT3" s="120"/>
      <c r="FAU3" s="120"/>
      <c r="FAV3" s="120"/>
      <c r="FAW3" s="120"/>
      <c r="FAX3" s="120"/>
      <c r="FAY3" s="120"/>
      <c r="FAZ3" s="120"/>
      <c r="FBA3" s="120"/>
      <c r="FBB3" s="120"/>
      <c r="FBC3" s="120"/>
      <c r="FBD3" s="120"/>
      <c r="FBE3" s="120"/>
      <c r="FBF3" s="120"/>
      <c r="FBG3" s="120"/>
      <c r="FBH3" s="120"/>
      <c r="FBI3" s="120"/>
      <c r="FBJ3" s="120"/>
      <c r="FBK3" s="120"/>
      <c r="FBL3" s="120"/>
      <c r="FBM3" s="120"/>
      <c r="FBN3" s="120"/>
      <c r="FBO3" s="120"/>
      <c r="FBP3" s="120"/>
      <c r="FBQ3" s="120"/>
      <c r="FBR3" s="120"/>
      <c r="FBS3" s="120"/>
      <c r="FBT3" s="120"/>
      <c r="FBU3" s="120"/>
      <c r="FBV3" s="120"/>
      <c r="FBW3" s="120"/>
      <c r="FBX3" s="120"/>
      <c r="FBY3" s="120"/>
      <c r="FBZ3" s="120"/>
      <c r="FCA3" s="120"/>
      <c r="FCB3" s="120"/>
      <c r="FCC3" s="120"/>
      <c r="FCD3" s="120"/>
      <c r="FCE3" s="120"/>
      <c r="FCF3" s="120"/>
      <c r="FCG3" s="120"/>
      <c r="FCH3" s="120"/>
      <c r="FCI3" s="120"/>
      <c r="FCJ3" s="120"/>
      <c r="FCK3" s="120"/>
      <c r="FCL3" s="120"/>
      <c r="FCM3" s="120"/>
      <c r="FCN3" s="120"/>
      <c r="FCO3" s="120"/>
      <c r="FCP3" s="120"/>
      <c r="FCQ3" s="120"/>
      <c r="FCR3" s="120"/>
      <c r="FCS3" s="120"/>
      <c r="FCT3" s="120"/>
      <c r="FCU3" s="120"/>
      <c r="FCV3" s="120"/>
      <c r="FCW3" s="120"/>
      <c r="FCX3" s="120"/>
      <c r="FCY3" s="120"/>
      <c r="FCZ3" s="120"/>
      <c r="FDA3" s="120"/>
      <c r="FDB3" s="120"/>
      <c r="FDC3" s="120"/>
      <c r="FDD3" s="120"/>
      <c r="FDE3" s="120"/>
      <c r="FDF3" s="120"/>
      <c r="FDG3" s="120"/>
      <c r="FDH3" s="120"/>
      <c r="FDI3" s="120"/>
      <c r="FDJ3" s="120"/>
      <c r="FDK3" s="120"/>
      <c r="FDL3" s="120"/>
      <c r="FDM3" s="120"/>
      <c r="FDN3" s="120"/>
      <c r="FDO3" s="120"/>
      <c r="FDP3" s="120"/>
      <c r="FDQ3" s="120"/>
      <c r="FDR3" s="120"/>
      <c r="FDS3" s="120"/>
      <c r="FDT3" s="120"/>
      <c r="FDU3" s="120"/>
      <c r="FDV3" s="120"/>
      <c r="FDW3" s="120"/>
      <c r="FDX3" s="120"/>
      <c r="FDY3" s="120"/>
      <c r="FDZ3" s="120"/>
      <c r="FEA3" s="120"/>
      <c r="FEB3" s="120"/>
      <c r="FEC3" s="120"/>
      <c r="FED3" s="120"/>
      <c r="FEE3" s="120"/>
      <c r="FEF3" s="120"/>
      <c r="FEG3" s="120"/>
      <c r="FEH3" s="120"/>
      <c r="FEI3" s="120"/>
      <c r="FEJ3" s="120"/>
      <c r="FEK3" s="120"/>
      <c r="FEL3" s="120"/>
      <c r="FEM3" s="120"/>
      <c r="FEN3" s="120"/>
      <c r="FEO3" s="120"/>
      <c r="FEP3" s="120"/>
      <c r="FEQ3" s="120"/>
      <c r="FER3" s="120"/>
      <c r="FES3" s="120"/>
      <c r="FET3" s="120"/>
      <c r="FEU3" s="120"/>
      <c r="FEV3" s="120"/>
      <c r="FEW3" s="120"/>
      <c r="FEX3" s="120"/>
      <c r="FEY3" s="120"/>
      <c r="FEZ3" s="120"/>
      <c r="FFA3" s="120"/>
      <c r="FFB3" s="120"/>
      <c r="FFC3" s="120"/>
      <c r="FFD3" s="120"/>
      <c r="FFE3" s="120"/>
      <c r="FFF3" s="120"/>
      <c r="FFG3" s="120"/>
      <c r="FFH3" s="120"/>
      <c r="FFI3" s="120"/>
      <c r="FFJ3" s="120"/>
      <c r="FFK3" s="120"/>
      <c r="FFL3" s="120"/>
      <c r="FFM3" s="120"/>
      <c r="FFN3" s="120"/>
      <c r="FFO3" s="120"/>
      <c r="FFP3" s="120"/>
      <c r="FFQ3" s="120"/>
      <c r="FFR3" s="120"/>
      <c r="FFS3" s="120"/>
      <c r="FFT3" s="120"/>
      <c r="FFU3" s="120"/>
      <c r="FFV3" s="120"/>
      <c r="FFW3" s="120"/>
      <c r="FFX3" s="120"/>
      <c r="FFY3" s="120"/>
      <c r="FFZ3" s="120"/>
      <c r="FGA3" s="120"/>
      <c r="FGB3" s="120"/>
      <c r="FGC3" s="120"/>
      <c r="FGD3" s="120"/>
      <c r="FGE3" s="120"/>
      <c r="FGF3" s="120"/>
      <c r="FGG3" s="120"/>
      <c r="FGH3" s="120"/>
      <c r="FGI3" s="120"/>
      <c r="FGJ3" s="120"/>
      <c r="FGK3" s="120"/>
      <c r="FGL3" s="120"/>
      <c r="FGM3" s="120"/>
      <c r="FGN3" s="120"/>
      <c r="FGO3" s="120"/>
      <c r="FGP3" s="120"/>
      <c r="FGQ3" s="120"/>
      <c r="FGR3" s="120"/>
      <c r="FGS3" s="120"/>
      <c r="FGT3" s="120"/>
      <c r="FGU3" s="120"/>
      <c r="FGV3" s="120"/>
      <c r="FGW3" s="120"/>
      <c r="FGX3" s="120"/>
      <c r="FGY3" s="120"/>
      <c r="FGZ3" s="120"/>
      <c r="FHA3" s="120"/>
      <c r="FHB3" s="120"/>
      <c r="FHC3" s="120"/>
      <c r="FHD3" s="120"/>
      <c r="FHE3" s="120"/>
      <c r="FHF3" s="120"/>
      <c r="FHG3" s="120"/>
      <c r="FHH3" s="120"/>
      <c r="FHI3" s="120"/>
      <c r="FHJ3" s="120"/>
      <c r="FHK3" s="120"/>
      <c r="FHL3" s="120"/>
      <c r="FHM3" s="120"/>
      <c r="FHN3" s="120"/>
      <c r="FHO3" s="120"/>
      <c r="FHP3" s="120"/>
      <c r="FHQ3" s="120"/>
      <c r="FHR3" s="120"/>
      <c r="FHS3" s="120"/>
      <c r="FHT3" s="120"/>
      <c r="FHU3" s="120"/>
      <c r="FHV3" s="120"/>
      <c r="FHW3" s="120"/>
      <c r="FHX3" s="120"/>
      <c r="FHY3" s="120"/>
      <c r="FHZ3" s="120"/>
      <c r="FIA3" s="120"/>
      <c r="FIB3" s="120"/>
      <c r="FIC3" s="120"/>
      <c r="FID3" s="120"/>
      <c r="FIE3" s="120"/>
      <c r="FIF3" s="120"/>
      <c r="FIG3" s="120"/>
      <c r="FIH3" s="120"/>
      <c r="FII3" s="120"/>
      <c r="FIJ3" s="120"/>
      <c r="FIK3" s="120"/>
      <c r="FIL3" s="120"/>
      <c r="FIM3" s="120"/>
      <c r="FIN3" s="120"/>
      <c r="FIO3" s="120"/>
      <c r="FIP3" s="120"/>
      <c r="FIQ3" s="120"/>
      <c r="FIR3" s="120"/>
      <c r="FIS3" s="120"/>
      <c r="FIT3" s="120"/>
      <c r="FIU3" s="120"/>
      <c r="FIV3" s="120"/>
      <c r="FIW3" s="120"/>
      <c r="FIX3" s="120"/>
      <c r="FIY3" s="120"/>
      <c r="FIZ3" s="120"/>
      <c r="FJA3" s="120"/>
      <c r="FJB3" s="120"/>
      <c r="FJC3" s="120"/>
      <c r="FJD3" s="120"/>
      <c r="FJE3" s="120"/>
      <c r="FJF3" s="120"/>
      <c r="FJG3" s="120"/>
      <c r="FJH3" s="120"/>
      <c r="FJI3" s="120"/>
      <c r="FJJ3" s="120"/>
      <c r="FJK3" s="120"/>
      <c r="FJL3" s="120"/>
      <c r="FJM3" s="120"/>
      <c r="FJN3" s="120"/>
      <c r="FJO3" s="120"/>
      <c r="FJP3" s="120"/>
      <c r="FJQ3" s="120"/>
      <c r="FJR3" s="120"/>
      <c r="FJS3" s="120"/>
      <c r="FJT3" s="120"/>
      <c r="FJU3" s="120"/>
      <c r="FJV3" s="120"/>
      <c r="FJW3" s="120"/>
      <c r="FJX3" s="120"/>
      <c r="FJY3" s="120"/>
      <c r="FJZ3" s="120"/>
      <c r="FKA3" s="120"/>
      <c r="FKB3" s="120"/>
      <c r="FKC3" s="120"/>
      <c r="FKD3" s="120"/>
      <c r="FKE3" s="120"/>
      <c r="FKF3" s="120"/>
      <c r="FKG3" s="120"/>
      <c r="FKH3" s="120"/>
      <c r="FKI3" s="120"/>
      <c r="FKJ3" s="120"/>
      <c r="FKK3" s="120"/>
      <c r="FKL3" s="120"/>
      <c r="FKM3" s="120"/>
      <c r="FKN3" s="120"/>
      <c r="FKO3" s="120"/>
      <c r="FKP3" s="120"/>
      <c r="FKQ3" s="120"/>
      <c r="FKR3" s="120"/>
      <c r="FKS3" s="120"/>
      <c r="FKT3" s="120"/>
      <c r="FKU3" s="120"/>
      <c r="FKV3" s="120"/>
      <c r="FKW3" s="120"/>
      <c r="FKX3" s="120"/>
      <c r="FKY3" s="120"/>
      <c r="FKZ3" s="120"/>
      <c r="FLA3" s="120"/>
      <c r="FLB3" s="120"/>
      <c r="FLC3" s="120"/>
      <c r="FLD3" s="120"/>
      <c r="FLE3" s="120"/>
      <c r="FLF3" s="120"/>
      <c r="FLG3" s="120"/>
      <c r="FLH3" s="120"/>
      <c r="FLI3" s="120"/>
      <c r="FLJ3" s="120"/>
      <c r="FLK3" s="120"/>
      <c r="FLL3" s="120"/>
      <c r="FLM3" s="120"/>
      <c r="FLN3" s="120"/>
      <c r="FLO3" s="120"/>
      <c r="FLP3" s="120"/>
      <c r="FLQ3" s="120"/>
      <c r="FLR3" s="120"/>
      <c r="FLS3" s="120"/>
      <c r="FLT3" s="120"/>
      <c r="FLU3" s="120"/>
      <c r="FLV3" s="120"/>
      <c r="FLW3" s="120"/>
      <c r="FLX3" s="120"/>
      <c r="FLY3" s="120"/>
      <c r="FLZ3" s="120"/>
      <c r="FMA3" s="120"/>
      <c r="FMB3" s="120"/>
      <c r="FMC3" s="120"/>
      <c r="FMD3" s="120"/>
      <c r="FME3" s="120"/>
      <c r="FMF3" s="120"/>
      <c r="FMG3" s="120"/>
      <c r="FMH3" s="120"/>
      <c r="FMI3" s="120"/>
      <c r="FMJ3" s="120"/>
      <c r="FMK3" s="120"/>
      <c r="FML3" s="120"/>
      <c r="FMM3" s="120"/>
      <c r="FMN3" s="120"/>
      <c r="FMO3" s="120"/>
      <c r="FMP3" s="120"/>
      <c r="FMQ3" s="120"/>
      <c r="FMR3" s="120"/>
      <c r="FMS3" s="120"/>
      <c r="FMT3" s="120"/>
      <c r="FMU3" s="120"/>
      <c r="FMV3" s="120"/>
      <c r="FMW3" s="120"/>
      <c r="FMX3" s="120"/>
      <c r="FMY3" s="120"/>
      <c r="FMZ3" s="120"/>
      <c r="FNA3" s="120"/>
      <c r="FNB3" s="120"/>
      <c r="FNC3" s="120"/>
      <c r="FND3" s="120"/>
      <c r="FNE3" s="120"/>
      <c r="FNF3" s="120"/>
      <c r="FNG3" s="120"/>
      <c r="FNH3" s="120"/>
      <c r="FNI3" s="120"/>
      <c r="FNJ3" s="120"/>
      <c r="FNK3" s="120"/>
      <c r="FNL3" s="120"/>
      <c r="FNM3" s="120"/>
      <c r="FNN3" s="120"/>
      <c r="FNO3" s="120"/>
      <c r="FNP3" s="120"/>
      <c r="FNQ3" s="120"/>
      <c r="FNR3" s="120"/>
      <c r="FNS3" s="120"/>
      <c r="FNT3" s="120"/>
      <c r="FNU3" s="120"/>
      <c r="FNV3" s="120"/>
      <c r="FNW3" s="120"/>
      <c r="FNX3" s="120"/>
      <c r="FNY3" s="120"/>
      <c r="FNZ3" s="120"/>
      <c r="FOA3" s="120"/>
      <c r="FOB3" s="120"/>
      <c r="FOC3" s="120"/>
      <c r="FOD3" s="120"/>
      <c r="FOE3" s="120"/>
      <c r="FOF3" s="120"/>
      <c r="FOG3" s="120"/>
      <c r="FOH3" s="120"/>
      <c r="FOI3" s="120"/>
      <c r="FOJ3" s="120"/>
      <c r="FOK3" s="120"/>
      <c r="FOL3" s="120"/>
      <c r="FOM3" s="120"/>
      <c r="FON3" s="120"/>
      <c r="FOO3" s="120"/>
      <c r="FOP3" s="120"/>
      <c r="FOQ3" s="120"/>
      <c r="FOR3" s="120"/>
      <c r="FOS3" s="120"/>
      <c r="FOT3" s="120"/>
      <c r="FOU3" s="120"/>
      <c r="FOV3" s="120"/>
      <c r="FOW3" s="120"/>
      <c r="FOX3" s="120"/>
      <c r="FOY3" s="120"/>
      <c r="FOZ3" s="120"/>
      <c r="FPA3" s="120"/>
      <c r="FPB3" s="120"/>
      <c r="FPC3" s="120"/>
      <c r="FPD3" s="120"/>
      <c r="FPE3" s="120"/>
      <c r="FPF3" s="120"/>
      <c r="FPG3" s="120"/>
      <c r="FPH3" s="120"/>
      <c r="FPI3" s="120"/>
      <c r="FPJ3" s="120"/>
      <c r="FPK3" s="120"/>
      <c r="FPL3" s="120"/>
      <c r="FPM3" s="120"/>
      <c r="FPN3" s="120"/>
      <c r="FPO3" s="120"/>
      <c r="FPP3" s="120"/>
      <c r="FPQ3" s="120"/>
      <c r="FPR3" s="120"/>
      <c r="FPS3" s="120"/>
      <c r="FPT3" s="120"/>
      <c r="FPU3" s="120"/>
      <c r="FPV3" s="120"/>
      <c r="FPW3" s="120"/>
      <c r="FPX3" s="120"/>
      <c r="FPY3" s="120"/>
      <c r="FPZ3" s="120"/>
      <c r="FQA3" s="120"/>
      <c r="FQB3" s="120"/>
      <c r="FQC3" s="120"/>
      <c r="FQD3" s="120"/>
      <c r="FQE3" s="120"/>
      <c r="FQF3" s="120"/>
      <c r="FQG3" s="120"/>
      <c r="FQH3" s="120"/>
      <c r="FQI3" s="120"/>
      <c r="FQJ3" s="120"/>
      <c r="FQK3" s="120"/>
      <c r="FQL3" s="120"/>
      <c r="FQM3" s="120"/>
      <c r="FQN3" s="120"/>
      <c r="FQO3" s="120"/>
      <c r="FQP3" s="120"/>
      <c r="FQQ3" s="120"/>
      <c r="FQR3" s="120"/>
      <c r="FQS3" s="120"/>
      <c r="FQT3" s="120"/>
      <c r="FQU3" s="120"/>
      <c r="FQV3" s="120"/>
      <c r="FQW3" s="120"/>
      <c r="FQX3" s="120"/>
      <c r="FQY3" s="120"/>
      <c r="FQZ3" s="120"/>
      <c r="FRA3" s="120"/>
      <c r="FRB3" s="120"/>
      <c r="FRC3" s="120"/>
      <c r="FRD3" s="120"/>
      <c r="FRE3" s="120"/>
      <c r="FRF3" s="120"/>
      <c r="FRG3" s="120"/>
      <c r="FRH3" s="120"/>
      <c r="FRI3" s="120"/>
      <c r="FRJ3" s="120"/>
      <c r="FRK3" s="120"/>
      <c r="FRL3" s="120"/>
      <c r="FRM3" s="120"/>
      <c r="FRN3" s="120"/>
      <c r="FRO3" s="120"/>
      <c r="FRP3" s="120"/>
      <c r="FRQ3" s="120"/>
      <c r="FRR3" s="120"/>
      <c r="FRS3" s="120"/>
      <c r="FRT3" s="120"/>
      <c r="FRU3" s="120"/>
      <c r="FRV3" s="120"/>
      <c r="FRW3" s="120"/>
      <c r="FRX3" s="120"/>
      <c r="FRY3" s="120"/>
      <c r="FRZ3" s="120"/>
      <c r="FSA3" s="120"/>
      <c r="FSB3" s="120"/>
      <c r="FSC3" s="120"/>
      <c r="FSD3" s="120"/>
      <c r="FSE3" s="120"/>
      <c r="FSF3" s="120"/>
      <c r="FSG3" s="120"/>
      <c r="FSH3" s="120"/>
      <c r="FSI3" s="120"/>
      <c r="FSJ3" s="120"/>
      <c r="FSK3" s="120"/>
      <c r="FSL3" s="120"/>
      <c r="FSM3" s="120"/>
      <c r="FSN3" s="120"/>
      <c r="FSO3" s="120"/>
      <c r="FSP3" s="120"/>
      <c r="FSQ3" s="120"/>
      <c r="FSR3" s="120"/>
      <c r="FSS3" s="120"/>
      <c r="FST3" s="120"/>
      <c r="FSU3" s="120"/>
      <c r="FSV3" s="120"/>
      <c r="FSW3" s="120"/>
      <c r="FSX3" s="120"/>
      <c r="FSY3" s="120"/>
      <c r="FSZ3" s="120"/>
      <c r="FTA3" s="120"/>
      <c r="FTB3" s="120"/>
      <c r="FTC3" s="120"/>
      <c r="FTD3" s="120"/>
      <c r="FTE3" s="120"/>
      <c r="FTF3" s="120"/>
      <c r="FTG3" s="120"/>
      <c r="FTH3" s="120"/>
      <c r="FTI3" s="120"/>
      <c r="FTJ3" s="120"/>
      <c r="FTK3" s="120"/>
      <c r="FTL3" s="120"/>
      <c r="FTM3" s="120"/>
      <c r="FTN3" s="120"/>
      <c r="FTO3" s="120"/>
      <c r="FTP3" s="120"/>
      <c r="FTQ3" s="120"/>
      <c r="FTR3" s="120"/>
      <c r="FTS3" s="120"/>
      <c r="FTT3" s="120"/>
      <c r="FTU3" s="120"/>
      <c r="FTV3" s="120"/>
      <c r="FTW3" s="120"/>
      <c r="FTX3" s="120"/>
      <c r="FTY3" s="120"/>
      <c r="FTZ3" s="120"/>
      <c r="FUA3" s="120"/>
      <c r="FUB3" s="120"/>
      <c r="FUC3" s="120"/>
      <c r="FUD3" s="120"/>
      <c r="FUE3" s="120"/>
      <c r="FUF3" s="120"/>
      <c r="FUG3" s="120"/>
      <c r="FUH3" s="120"/>
      <c r="FUI3" s="120"/>
      <c r="FUJ3" s="120"/>
      <c r="FUK3" s="120"/>
      <c r="FUL3" s="120"/>
      <c r="FUM3" s="120"/>
      <c r="FUN3" s="120"/>
      <c r="FUO3" s="120"/>
      <c r="FUP3" s="120"/>
      <c r="FUQ3" s="120"/>
      <c r="FUR3" s="120"/>
      <c r="FUS3" s="120"/>
      <c r="FUT3" s="120"/>
      <c r="FUU3" s="120"/>
      <c r="FUV3" s="120"/>
      <c r="FUW3" s="120"/>
      <c r="FUX3" s="120"/>
      <c r="FUY3" s="120"/>
      <c r="FUZ3" s="120"/>
      <c r="FVA3" s="120"/>
      <c r="FVB3" s="120"/>
      <c r="FVC3" s="120"/>
      <c r="FVD3" s="120"/>
      <c r="FVE3" s="120"/>
      <c r="FVF3" s="120"/>
      <c r="FVG3" s="120"/>
      <c r="FVH3" s="120"/>
      <c r="FVI3" s="120"/>
      <c r="FVJ3" s="120"/>
      <c r="FVK3" s="120"/>
      <c r="FVL3" s="120"/>
      <c r="FVM3" s="120"/>
      <c r="FVN3" s="120"/>
      <c r="FVO3" s="120"/>
      <c r="FVP3" s="120"/>
      <c r="FVQ3" s="120"/>
      <c r="FVR3" s="120"/>
      <c r="FVS3" s="120"/>
      <c r="FVT3" s="120"/>
      <c r="FVU3" s="120"/>
      <c r="FVV3" s="120"/>
      <c r="FVW3" s="120"/>
      <c r="FVX3" s="120"/>
      <c r="FVY3" s="120"/>
      <c r="FVZ3" s="120"/>
      <c r="FWA3" s="120"/>
      <c r="FWB3" s="120"/>
      <c r="FWC3" s="120"/>
      <c r="FWD3" s="120"/>
      <c r="FWE3" s="120"/>
      <c r="FWF3" s="120"/>
      <c r="FWG3" s="120"/>
      <c r="FWH3" s="120"/>
      <c r="FWI3" s="120"/>
      <c r="FWJ3" s="120"/>
      <c r="FWK3" s="120"/>
      <c r="FWL3" s="120"/>
      <c r="FWM3" s="120"/>
      <c r="FWN3" s="120"/>
      <c r="FWO3" s="120"/>
      <c r="FWP3" s="120"/>
      <c r="FWQ3" s="120"/>
      <c r="FWR3" s="120"/>
      <c r="FWS3" s="120"/>
      <c r="FWT3" s="120"/>
      <c r="FWU3" s="120"/>
      <c r="FWV3" s="120"/>
      <c r="FWW3" s="120"/>
      <c r="FWX3" s="120"/>
      <c r="FWY3" s="120"/>
      <c r="FWZ3" s="120"/>
      <c r="FXA3" s="120"/>
      <c r="FXB3" s="120"/>
      <c r="FXC3" s="120"/>
      <c r="FXD3" s="120"/>
      <c r="FXE3" s="120"/>
      <c r="FXF3" s="120"/>
      <c r="FXG3" s="120"/>
      <c r="FXH3" s="120"/>
      <c r="FXI3" s="120"/>
      <c r="FXJ3" s="120"/>
      <c r="FXK3" s="120"/>
      <c r="FXL3" s="120"/>
      <c r="FXM3" s="120"/>
      <c r="FXN3" s="120"/>
      <c r="FXO3" s="120"/>
      <c r="FXP3" s="120"/>
      <c r="FXQ3" s="120"/>
      <c r="FXR3" s="120"/>
      <c r="FXS3" s="120"/>
      <c r="FXT3" s="120"/>
      <c r="FXU3" s="120"/>
      <c r="FXV3" s="120"/>
      <c r="FXW3" s="120"/>
      <c r="FXX3" s="120"/>
      <c r="FXY3" s="120"/>
      <c r="FXZ3" s="120"/>
      <c r="FYA3" s="120"/>
      <c r="FYB3" s="120"/>
      <c r="FYC3" s="120"/>
      <c r="FYD3" s="120"/>
      <c r="FYE3" s="120"/>
      <c r="FYF3" s="120"/>
      <c r="FYG3" s="120"/>
      <c r="FYH3" s="120"/>
      <c r="FYI3" s="120"/>
      <c r="FYJ3" s="120"/>
      <c r="FYK3" s="120"/>
      <c r="FYL3" s="120"/>
      <c r="FYM3" s="120"/>
      <c r="FYN3" s="120"/>
      <c r="FYO3" s="120"/>
      <c r="FYP3" s="120"/>
      <c r="FYQ3" s="120"/>
      <c r="FYR3" s="120"/>
      <c r="FYS3" s="120"/>
      <c r="FYT3" s="120"/>
      <c r="FYU3" s="120"/>
      <c r="FYV3" s="120"/>
      <c r="FYW3" s="120"/>
      <c r="FYX3" s="120"/>
      <c r="FYY3" s="120"/>
      <c r="FYZ3" s="120"/>
      <c r="FZA3" s="120"/>
      <c r="FZB3" s="120"/>
      <c r="FZC3" s="120"/>
      <c r="FZD3" s="120"/>
      <c r="FZE3" s="120"/>
      <c r="FZF3" s="120"/>
      <c r="FZG3" s="120"/>
      <c r="FZH3" s="120"/>
      <c r="FZI3" s="120"/>
      <c r="FZJ3" s="120"/>
      <c r="FZK3" s="120"/>
      <c r="FZL3" s="120"/>
      <c r="FZM3" s="120"/>
      <c r="FZN3" s="120"/>
      <c r="FZO3" s="120"/>
      <c r="FZP3" s="120"/>
      <c r="FZQ3" s="120"/>
      <c r="FZR3" s="120"/>
      <c r="FZS3" s="120"/>
      <c r="FZT3" s="120"/>
      <c r="FZU3" s="120"/>
      <c r="FZV3" s="120"/>
      <c r="FZW3" s="120"/>
      <c r="FZX3" s="120"/>
      <c r="FZY3" s="120"/>
      <c r="FZZ3" s="120"/>
      <c r="GAA3" s="120"/>
      <c r="GAB3" s="120"/>
      <c r="GAC3" s="120"/>
      <c r="GAD3" s="120"/>
      <c r="GAE3" s="120"/>
      <c r="GAF3" s="120"/>
      <c r="GAG3" s="120"/>
      <c r="GAH3" s="120"/>
      <c r="GAI3" s="120"/>
      <c r="GAJ3" s="120"/>
      <c r="GAK3" s="120"/>
      <c r="GAL3" s="120"/>
      <c r="GAM3" s="120"/>
      <c r="GAN3" s="120"/>
      <c r="GAO3" s="120"/>
      <c r="GAP3" s="120"/>
      <c r="GAQ3" s="120"/>
      <c r="GAR3" s="120"/>
      <c r="GAS3" s="120"/>
      <c r="GAT3" s="120"/>
      <c r="GAU3" s="120"/>
      <c r="GAV3" s="120"/>
      <c r="GAW3" s="120"/>
      <c r="GAX3" s="120"/>
      <c r="GAY3" s="120"/>
      <c r="GAZ3" s="120"/>
      <c r="GBA3" s="120"/>
      <c r="GBB3" s="120"/>
      <c r="GBC3" s="120"/>
      <c r="GBD3" s="120"/>
      <c r="GBE3" s="120"/>
      <c r="GBF3" s="120"/>
      <c r="GBG3" s="120"/>
      <c r="GBH3" s="120"/>
      <c r="GBI3" s="120"/>
      <c r="GBJ3" s="120"/>
      <c r="GBK3" s="120"/>
      <c r="GBL3" s="120"/>
      <c r="GBM3" s="120"/>
      <c r="GBN3" s="120"/>
      <c r="GBO3" s="120"/>
      <c r="GBP3" s="120"/>
      <c r="GBQ3" s="120"/>
      <c r="GBR3" s="120"/>
      <c r="GBS3" s="120"/>
      <c r="GBT3" s="120"/>
      <c r="GBU3" s="120"/>
      <c r="GBV3" s="120"/>
      <c r="GBW3" s="120"/>
      <c r="GBX3" s="120"/>
      <c r="GBY3" s="120"/>
      <c r="GBZ3" s="120"/>
      <c r="GCA3" s="120"/>
      <c r="GCB3" s="120"/>
      <c r="GCC3" s="120"/>
      <c r="GCD3" s="120"/>
      <c r="GCE3" s="120"/>
      <c r="GCF3" s="120"/>
      <c r="GCG3" s="120"/>
      <c r="GCH3" s="120"/>
      <c r="GCI3" s="120"/>
      <c r="GCJ3" s="120"/>
      <c r="GCK3" s="120"/>
      <c r="GCL3" s="120"/>
      <c r="GCM3" s="120"/>
      <c r="GCN3" s="120"/>
      <c r="GCO3" s="120"/>
      <c r="GCP3" s="120"/>
      <c r="GCQ3" s="120"/>
      <c r="GCR3" s="120"/>
      <c r="GCS3" s="120"/>
      <c r="GCT3" s="120"/>
      <c r="GCU3" s="120"/>
      <c r="GCV3" s="120"/>
      <c r="GCW3" s="120"/>
      <c r="GCX3" s="120"/>
      <c r="GCY3" s="120"/>
      <c r="GCZ3" s="120"/>
      <c r="GDA3" s="120"/>
      <c r="GDB3" s="120"/>
      <c r="GDC3" s="120"/>
      <c r="GDD3" s="120"/>
      <c r="GDE3" s="120"/>
      <c r="GDF3" s="120"/>
      <c r="GDG3" s="120"/>
      <c r="GDH3" s="120"/>
      <c r="GDI3" s="120"/>
      <c r="GDJ3" s="120"/>
      <c r="GDK3" s="120"/>
      <c r="GDL3" s="120"/>
      <c r="GDM3" s="120"/>
      <c r="GDN3" s="120"/>
      <c r="GDO3" s="120"/>
      <c r="GDP3" s="120"/>
      <c r="GDQ3" s="120"/>
      <c r="GDR3" s="120"/>
      <c r="GDS3" s="120"/>
      <c r="GDT3" s="120"/>
      <c r="GDU3" s="120"/>
      <c r="GDV3" s="120"/>
      <c r="GDW3" s="120"/>
      <c r="GDX3" s="120"/>
      <c r="GDY3" s="120"/>
      <c r="GDZ3" s="120"/>
      <c r="GEA3" s="120"/>
      <c r="GEB3" s="120"/>
      <c r="GEC3" s="120"/>
      <c r="GED3" s="120"/>
      <c r="GEE3" s="120"/>
      <c r="GEF3" s="120"/>
      <c r="GEG3" s="120"/>
      <c r="GEH3" s="120"/>
      <c r="GEI3" s="120"/>
      <c r="GEJ3" s="120"/>
      <c r="GEK3" s="120"/>
      <c r="GEL3" s="120"/>
      <c r="GEM3" s="120"/>
      <c r="GEN3" s="120"/>
      <c r="GEO3" s="120"/>
      <c r="GEP3" s="120"/>
      <c r="GEQ3" s="120"/>
      <c r="GER3" s="120"/>
      <c r="GES3" s="120"/>
      <c r="GET3" s="120"/>
      <c r="GEU3" s="120"/>
      <c r="GEV3" s="120"/>
      <c r="GEW3" s="120"/>
      <c r="GEX3" s="120"/>
      <c r="GEY3" s="120"/>
      <c r="GEZ3" s="120"/>
      <c r="GFA3" s="120"/>
      <c r="GFB3" s="120"/>
      <c r="GFC3" s="120"/>
      <c r="GFD3" s="120"/>
      <c r="GFE3" s="120"/>
      <c r="GFF3" s="120"/>
      <c r="GFG3" s="120"/>
      <c r="GFH3" s="120"/>
      <c r="GFI3" s="120"/>
      <c r="GFJ3" s="120"/>
      <c r="GFK3" s="120"/>
      <c r="GFL3" s="120"/>
      <c r="GFM3" s="120"/>
      <c r="GFN3" s="120"/>
      <c r="GFO3" s="120"/>
      <c r="GFP3" s="120"/>
      <c r="GFQ3" s="120"/>
      <c r="GFR3" s="120"/>
      <c r="GFS3" s="120"/>
      <c r="GFT3" s="120"/>
      <c r="GFU3" s="120"/>
      <c r="GFV3" s="120"/>
      <c r="GFW3" s="120"/>
      <c r="GFX3" s="120"/>
      <c r="GFY3" s="120"/>
      <c r="GFZ3" s="120"/>
      <c r="GGA3" s="120"/>
      <c r="GGB3" s="120"/>
      <c r="GGC3" s="120"/>
      <c r="GGD3" s="120"/>
      <c r="GGE3" s="120"/>
      <c r="GGF3" s="120"/>
      <c r="GGG3" s="120"/>
      <c r="GGH3" s="120"/>
      <c r="GGI3" s="120"/>
      <c r="GGJ3" s="120"/>
      <c r="GGK3" s="120"/>
      <c r="GGL3" s="120"/>
      <c r="GGM3" s="120"/>
      <c r="GGN3" s="120"/>
      <c r="GGO3" s="120"/>
      <c r="GGP3" s="120"/>
      <c r="GGQ3" s="120"/>
      <c r="GGR3" s="120"/>
      <c r="GGS3" s="120"/>
      <c r="GGT3" s="120"/>
      <c r="GGU3" s="120"/>
      <c r="GGV3" s="120"/>
      <c r="GGW3" s="120"/>
      <c r="GGX3" s="120"/>
      <c r="GGY3" s="120"/>
      <c r="GGZ3" s="120"/>
      <c r="GHA3" s="120"/>
      <c r="GHB3" s="120"/>
      <c r="GHC3" s="120"/>
      <c r="GHD3" s="120"/>
      <c r="GHE3" s="120"/>
      <c r="GHF3" s="120"/>
      <c r="GHG3" s="120"/>
      <c r="GHH3" s="120"/>
      <c r="GHI3" s="120"/>
      <c r="GHJ3" s="120"/>
      <c r="GHK3" s="120"/>
      <c r="GHL3" s="120"/>
      <c r="GHM3" s="120"/>
      <c r="GHN3" s="120"/>
      <c r="GHO3" s="120"/>
      <c r="GHP3" s="120"/>
      <c r="GHQ3" s="120"/>
      <c r="GHR3" s="120"/>
      <c r="GHS3" s="120"/>
      <c r="GHT3" s="120"/>
      <c r="GHU3" s="120"/>
      <c r="GHV3" s="120"/>
      <c r="GHW3" s="120"/>
      <c r="GHX3" s="120"/>
      <c r="GHY3" s="120"/>
      <c r="GHZ3" s="120"/>
      <c r="GIA3" s="120"/>
      <c r="GIB3" s="120"/>
      <c r="GIC3" s="120"/>
      <c r="GID3" s="120"/>
      <c r="GIE3" s="120"/>
      <c r="GIF3" s="120"/>
      <c r="GIG3" s="120"/>
      <c r="GIH3" s="120"/>
      <c r="GII3" s="120"/>
      <c r="GIJ3" s="120"/>
      <c r="GIK3" s="120"/>
      <c r="GIL3" s="120"/>
      <c r="GIM3" s="120"/>
      <c r="GIN3" s="120"/>
      <c r="GIO3" s="120"/>
      <c r="GIP3" s="120"/>
      <c r="GIQ3" s="120"/>
      <c r="GIR3" s="120"/>
      <c r="GIS3" s="120"/>
      <c r="GIT3" s="120"/>
      <c r="GIU3" s="120"/>
      <c r="GIV3" s="120"/>
      <c r="GIW3" s="120"/>
      <c r="GIX3" s="120"/>
      <c r="GIY3" s="120"/>
      <c r="GIZ3" s="120"/>
      <c r="GJA3" s="120"/>
      <c r="GJB3" s="120"/>
      <c r="GJC3" s="120"/>
      <c r="GJD3" s="120"/>
      <c r="GJE3" s="120"/>
      <c r="GJF3" s="120"/>
      <c r="GJG3" s="120"/>
      <c r="GJH3" s="120"/>
      <c r="GJI3" s="120"/>
      <c r="GJJ3" s="120"/>
      <c r="GJK3" s="120"/>
      <c r="GJL3" s="120"/>
      <c r="GJM3" s="120"/>
      <c r="GJN3" s="120"/>
      <c r="GJO3" s="120"/>
      <c r="GJP3" s="120"/>
      <c r="GJQ3" s="120"/>
      <c r="GJR3" s="120"/>
      <c r="GJS3" s="120"/>
      <c r="GJT3" s="120"/>
      <c r="GJU3" s="120"/>
      <c r="GJV3" s="120"/>
      <c r="GJW3" s="120"/>
      <c r="GJX3" s="120"/>
      <c r="GJY3" s="120"/>
      <c r="GJZ3" s="120"/>
      <c r="GKA3" s="120"/>
      <c r="GKB3" s="120"/>
      <c r="GKC3" s="120"/>
      <c r="GKD3" s="120"/>
      <c r="GKE3" s="120"/>
      <c r="GKF3" s="120"/>
      <c r="GKG3" s="120"/>
      <c r="GKH3" s="120"/>
      <c r="GKI3" s="120"/>
      <c r="GKJ3" s="120"/>
      <c r="GKK3" s="120"/>
      <c r="GKL3" s="120"/>
      <c r="GKM3" s="120"/>
      <c r="GKN3" s="120"/>
      <c r="GKO3" s="120"/>
      <c r="GKP3" s="120"/>
      <c r="GKQ3" s="120"/>
      <c r="GKR3" s="120"/>
      <c r="GKS3" s="120"/>
      <c r="GKT3" s="120"/>
      <c r="GKU3" s="120"/>
      <c r="GKV3" s="120"/>
      <c r="GKW3" s="120"/>
      <c r="GKX3" s="120"/>
      <c r="GKY3" s="120"/>
      <c r="GKZ3" s="120"/>
      <c r="GLA3" s="120"/>
      <c r="GLB3" s="120"/>
      <c r="GLC3" s="120"/>
      <c r="GLD3" s="120"/>
      <c r="GLE3" s="120"/>
      <c r="GLF3" s="120"/>
      <c r="GLG3" s="120"/>
      <c r="GLH3" s="120"/>
      <c r="GLI3" s="120"/>
      <c r="GLJ3" s="120"/>
      <c r="GLK3" s="120"/>
      <c r="GLL3" s="120"/>
      <c r="GLM3" s="120"/>
      <c r="GLN3" s="120"/>
      <c r="GLO3" s="120"/>
      <c r="GLP3" s="120"/>
      <c r="GLQ3" s="120"/>
      <c r="GLR3" s="120"/>
      <c r="GLS3" s="120"/>
      <c r="GLT3" s="120"/>
      <c r="GLU3" s="120"/>
      <c r="GLV3" s="120"/>
      <c r="GLW3" s="120"/>
      <c r="GLX3" s="120"/>
      <c r="GLY3" s="120"/>
      <c r="GLZ3" s="120"/>
      <c r="GMA3" s="120"/>
      <c r="GMB3" s="120"/>
      <c r="GMC3" s="120"/>
      <c r="GMD3" s="120"/>
      <c r="GME3" s="120"/>
      <c r="GMF3" s="120"/>
      <c r="GMG3" s="120"/>
      <c r="GMH3" s="120"/>
      <c r="GMI3" s="120"/>
      <c r="GMJ3" s="120"/>
      <c r="GMK3" s="120"/>
      <c r="GML3" s="120"/>
      <c r="GMM3" s="120"/>
      <c r="GMN3" s="120"/>
      <c r="GMO3" s="120"/>
      <c r="GMP3" s="120"/>
      <c r="GMQ3" s="120"/>
      <c r="GMR3" s="120"/>
      <c r="GMS3" s="120"/>
      <c r="GMT3" s="120"/>
      <c r="GMU3" s="120"/>
      <c r="GMV3" s="120"/>
      <c r="GMW3" s="120"/>
      <c r="GMX3" s="120"/>
      <c r="GMY3" s="120"/>
      <c r="GMZ3" s="120"/>
      <c r="GNA3" s="120"/>
      <c r="GNB3" s="120"/>
      <c r="GNC3" s="120"/>
      <c r="GND3" s="120"/>
      <c r="GNE3" s="120"/>
      <c r="GNF3" s="120"/>
      <c r="GNG3" s="120"/>
      <c r="GNH3" s="120"/>
      <c r="GNI3" s="120"/>
      <c r="GNJ3" s="120"/>
      <c r="GNK3" s="120"/>
      <c r="GNL3" s="120"/>
      <c r="GNM3" s="120"/>
      <c r="GNN3" s="120"/>
      <c r="GNO3" s="120"/>
      <c r="GNP3" s="120"/>
      <c r="GNQ3" s="120"/>
      <c r="GNR3" s="120"/>
      <c r="GNS3" s="120"/>
      <c r="GNT3" s="120"/>
      <c r="GNU3" s="120"/>
      <c r="GNV3" s="120"/>
      <c r="GNW3" s="120"/>
      <c r="GNX3" s="120"/>
      <c r="GNY3" s="120"/>
      <c r="GNZ3" s="120"/>
      <c r="GOA3" s="120"/>
      <c r="GOB3" s="120"/>
      <c r="GOC3" s="120"/>
      <c r="GOD3" s="120"/>
      <c r="GOE3" s="120"/>
      <c r="GOF3" s="120"/>
      <c r="GOG3" s="120"/>
      <c r="GOH3" s="120"/>
      <c r="GOI3" s="120"/>
      <c r="GOJ3" s="120"/>
      <c r="GOK3" s="120"/>
      <c r="GOL3" s="120"/>
      <c r="GOM3" s="120"/>
      <c r="GON3" s="120"/>
      <c r="GOO3" s="120"/>
      <c r="GOP3" s="120"/>
      <c r="GOQ3" s="120"/>
      <c r="GOR3" s="120"/>
      <c r="GOS3" s="120"/>
      <c r="GOT3" s="120"/>
      <c r="GOU3" s="120"/>
      <c r="GOV3" s="120"/>
      <c r="GOW3" s="120"/>
      <c r="GOX3" s="120"/>
      <c r="GOY3" s="120"/>
      <c r="GOZ3" s="120"/>
      <c r="GPA3" s="120"/>
      <c r="GPB3" s="120"/>
      <c r="GPC3" s="120"/>
      <c r="GPD3" s="120"/>
      <c r="GPE3" s="120"/>
      <c r="GPF3" s="120"/>
      <c r="GPG3" s="120"/>
      <c r="GPH3" s="120"/>
      <c r="GPI3" s="120"/>
      <c r="GPJ3" s="120"/>
      <c r="GPK3" s="120"/>
      <c r="GPL3" s="120"/>
      <c r="GPM3" s="120"/>
      <c r="GPN3" s="120"/>
      <c r="GPO3" s="120"/>
      <c r="GPP3" s="120"/>
      <c r="GPQ3" s="120"/>
      <c r="GPR3" s="120"/>
      <c r="GPS3" s="120"/>
      <c r="GPT3" s="120"/>
      <c r="GPU3" s="120"/>
      <c r="GPV3" s="120"/>
      <c r="GPW3" s="120"/>
      <c r="GPX3" s="120"/>
      <c r="GPY3" s="120"/>
      <c r="GPZ3" s="120"/>
      <c r="GQA3" s="120"/>
      <c r="GQB3" s="120"/>
      <c r="GQC3" s="120"/>
      <c r="GQD3" s="120"/>
      <c r="GQE3" s="120"/>
      <c r="GQF3" s="120"/>
      <c r="GQG3" s="120"/>
      <c r="GQH3" s="120"/>
      <c r="GQI3" s="120"/>
      <c r="GQJ3" s="120"/>
      <c r="GQK3" s="120"/>
      <c r="GQL3" s="120"/>
      <c r="GQM3" s="120"/>
      <c r="GQN3" s="120"/>
      <c r="GQO3" s="120"/>
      <c r="GQP3" s="120"/>
      <c r="GQQ3" s="120"/>
      <c r="GQR3" s="120"/>
      <c r="GQS3" s="120"/>
      <c r="GQT3" s="120"/>
      <c r="GQU3" s="120"/>
      <c r="GQV3" s="120"/>
      <c r="GQW3" s="120"/>
      <c r="GQX3" s="120"/>
      <c r="GQY3" s="120"/>
      <c r="GQZ3" s="120"/>
      <c r="GRA3" s="120"/>
      <c r="GRB3" s="120"/>
      <c r="GRC3" s="120"/>
      <c r="GRD3" s="120"/>
      <c r="GRE3" s="120"/>
      <c r="GRF3" s="120"/>
      <c r="GRG3" s="120"/>
      <c r="GRH3" s="120"/>
      <c r="GRI3" s="120"/>
      <c r="GRJ3" s="120"/>
      <c r="GRK3" s="120"/>
      <c r="GRL3" s="120"/>
      <c r="GRM3" s="120"/>
      <c r="GRN3" s="120"/>
      <c r="GRO3" s="120"/>
      <c r="GRP3" s="120"/>
      <c r="GRQ3" s="120"/>
      <c r="GRR3" s="120"/>
      <c r="GRS3" s="120"/>
      <c r="GRT3" s="120"/>
      <c r="GRU3" s="120"/>
      <c r="GRV3" s="120"/>
      <c r="GRW3" s="120"/>
      <c r="GRX3" s="120"/>
      <c r="GRY3" s="120"/>
      <c r="GRZ3" s="120"/>
      <c r="GSA3" s="120"/>
      <c r="GSB3" s="120"/>
      <c r="GSC3" s="120"/>
      <c r="GSD3" s="120"/>
      <c r="GSE3" s="120"/>
      <c r="GSF3" s="120"/>
      <c r="GSG3" s="120"/>
      <c r="GSH3" s="120"/>
      <c r="GSI3" s="120"/>
      <c r="GSJ3" s="120"/>
      <c r="GSK3" s="120"/>
      <c r="GSL3" s="120"/>
      <c r="GSM3" s="120"/>
      <c r="GSN3" s="120"/>
      <c r="GSO3" s="120"/>
      <c r="GSP3" s="120"/>
      <c r="GSQ3" s="120"/>
      <c r="GSR3" s="120"/>
      <c r="GSS3" s="120"/>
      <c r="GST3" s="120"/>
      <c r="GSU3" s="120"/>
      <c r="GSV3" s="120"/>
      <c r="GSW3" s="120"/>
      <c r="GSX3" s="120"/>
      <c r="GSY3" s="120"/>
      <c r="GSZ3" s="120"/>
      <c r="GTA3" s="120"/>
      <c r="GTB3" s="120"/>
      <c r="GTC3" s="120"/>
      <c r="GTD3" s="120"/>
      <c r="GTE3" s="120"/>
      <c r="GTF3" s="120"/>
      <c r="GTG3" s="120"/>
      <c r="GTH3" s="120"/>
      <c r="GTI3" s="120"/>
      <c r="GTJ3" s="120"/>
      <c r="GTK3" s="120"/>
      <c r="GTL3" s="120"/>
      <c r="GTM3" s="120"/>
      <c r="GTN3" s="120"/>
      <c r="GTO3" s="120"/>
      <c r="GTP3" s="120"/>
      <c r="GTQ3" s="120"/>
      <c r="GTR3" s="120"/>
      <c r="GTS3" s="120"/>
      <c r="GTT3" s="120"/>
      <c r="GTU3" s="120"/>
      <c r="GTV3" s="120"/>
      <c r="GTW3" s="120"/>
      <c r="GTX3" s="120"/>
      <c r="GTY3" s="120"/>
      <c r="GTZ3" s="120"/>
      <c r="GUA3" s="120"/>
      <c r="GUB3" s="120"/>
      <c r="GUC3" s="120"/>
      <c r="GUD3" s="120"/>
      <c r="GUE3" s="120"/>
      <c r="GUF3" s="120"/>
      <c r="GUG3" s="120"/>
      <c r="GUH3" s="120"/>
      <c r="GUI3" s="120"/>
      <c r="GUJ3" s="120"/>
      <c r="GUK3" s="120"/>
      <c r="GUL3" s="120"/>
      <c r="GUM3" s="120"/>
      <c r="GUN3" s="120"/>
      <c r="GUO3" s="120"/>
      <c r="GUP3" s="120"/>
      <c r="GUQ3" s="120"/>
      <c r="GUR3" s="120"/>
      <c r="GUS3" s="120"/>
      <c r="GUT3" s="120"/>
      <c r="GUU3" s="120"/>
      <c r="GUV3" s="120"/>
      <c r="GUW3" s="120"/>
      <c r="GUX3" s="120"/>
      <c r="GUY3" s="120"/>
      <c r="GUZ3" s="120"/>
      <c r="GVA3" s="120"/>
      <c r="GVB3" s="120"/>
      <c r="GVC3" s="120"/>
      <c r="GVD3" s="120"/>
      <c r="GVE3" s="120"/>
      <c r="GVF3" s="120"/>
      <c r="GVG3" s="120"/>
      <c r="GVH3" s="120"/>
      <c r="GVI3" s="120"/>
      <c r="GVJ3" s="120"/>
      <c r="GVK3" s="120"/>
      <c r="GVL3" s="120"/>
      <c r="GVM3" s="120"/>
      <c r="GVN3" s="120"/>
      <c r="GVO3" s="120"/>
      <c r="GVP3" s="120"/>
      <c r="GVQ3" s="120"/>
      <c r="GVR3" s="120"/>
      <c r="GVS3" s="120"/>
      <c r="GVT3" s="120"/>
      <c r="GVU3" s="120"/>
      <c r="GVV3" s="120"/>
      <c r="GVW3" s="120"/>
      <c r="GVX3" s="120"/>
      <c r="GVY3" s="120"/>
      <c r="GVZ3" s="120"/>
      <c r="GWA3" s="120"/>
      <c r="GWB3" s="120"/>
      <c r="GWC3" s="120"/>
      <c r="GWD3" s="120"/>
      <c r="GWE3" s="120"/>
      <c r="GWF3" s="120"/>
      <c r="GWG3" s="120"/>
      <c r="GWH3" s="120"/>
      <c r="GWI3" s="120"/>
      <c r="GWJ3" s="120"/>
      <c r="GWK3" s="120"/>
      <c r="GWL3" s="120"/>
      <c r="GWM3" s="120"/>
      <c r="GWN3" s="120"/>
      <c r="GWO3" s="120"/>
      <c r="GWP3" s="120"/>
      <c r="GWQ3" s="120"/>
      <c r="GWR3" s="120"/>
      <c r="GWS3" s="120"/>
      <c r="GWT3" s="120"/>
      <c r="GWU3" s="120"/>
      <c r="GWV3" s="120"/>
      <c r="GWW3" s="120"/>
      <c r="GWX3" s="120"/>
      <c r="GWY3" s="120"/>
      <c r="GWZ3" s="120"/>
      <c r="GXA3" s="120"/>
      <c r="GXB3" s="120"/>
      <c r="GXC3" s="120"/>
      <c r="GXD3" s="120"/>
      <c r="GXE3" s="120"/>
      <c r="GXF3" s="120"/>
      <c r="GXG3" s="120"/>
      <c r="GXH3" s="120"/>
      <c r="GXI3" s="120"/>
      <c r="GXJ3" s="120"/>
      <c r="GXK3" s="120"/>
      <c r="GXL3" s="120"/>
      <c r="GXM3" s="120"/>
      <c r="GXN3" s="120"/>
      <c r="GXO3" s="120"/>
      <c r="GXP3" s="120"/>
      <c r="GXQ3" s="120"/>
      <c r="GXR3" s="120"/>
      <c r="GXS3" s="120"/>
      <c r="GXT3" s="120"/>
      <c r="GXU3" s="120"/>
      <c r="GXV3" s="120"/>
      <c r="GXW3" s="120"/>
      <c r="GXX3" s="120"/>
      <c r="GXY3" s="120"/>
      <c r="GXZ3" s="120"/>
      <c r="GYA3" s="120"/>
      <c r="GYB3" s="120"/>
      <c r="GYC3" s="120"/>
      <c r="GYD3" s="120"/>
      <c r="GYE3" s="120"/>
      <c r="GYF3" s="120"/>
      <c r="GYG3" s="120"/>
      <c r="GYH3" s="120"/>
      <c r="GYI3" s="120"/>
      <c r="GYJ3" s="120"/>
      <c r="GYK3" s="120"/>
      <c r="GYL3" s="120"/>
      <c r="GYM3" s="120"/>
      <c r="GYN3" s="120"/>
      <c r="GYO3" s="120"/>
      <c r="GYP3" s="120"/>
      <c r="GYQ3" s="120"/>
      <c r="GYR3" s="120"/>
      <c r="GYS3" s="120"/>
      <c r="GYT3" s="120"/>
      <c r="GYU3" s="120"/>
      <c r="GYV3" s="120"/>
      <c r="GYW3" s="120"/>
      <c r="GYX3" s="120"/>
      <c r="GYY3" s="120"/>
      <c r="GYZ3" s="120"/>
      <c r="GZA3" s="120"/>
      <c r="GZB3" s="120"/>
      <c r="GZC3" s="120"/>
      <c r="GZD3" s="120"/>
      <c r="GZE3" s="120"/>
      <c r="GZF3" s="120"/>
      <c r="GZG3" s="120"/>
      <c r="GZH3" s="120"/>
      <c r="GZI3" s="120"/>
      <c r="GZJ3" s="120"/>
      <c r="GZK3" s="120"/>
      <c r="GZL3" s="120"/>
      <c r="GZM3" s="120"/>
      <c r="GZN3" s="120"/>
      <c r="GZO3" s="120"/>
      <c r="GZP3" s="120"/>
      <c r="GZQ3" s="120"/>
      <c r="GZR3" s="120"/>
      <c r="GZS3" s="120"/>
      <c r="GZT3" s="120"/>
      <c r="GZU3" s="120"/>
      <c r="GZV3" s="120"/>
      <c r="GZW3" s="120"/>
      <c r="GZX3" s="120"/>
      <c r="GZY3" s="120"/>
      <c r="GZZ3" s="120"/>
      <c r="HAA3" s="120"/>
      <c r="HAB3" s="120"/>
      <c r="HAC3" s="120"/>
      <c r="HAD3" s="120"/>
      <c r="HAE3" s="120"/>
      <c r="HAF3" s="120"/>
      <c r="HAG3" s="120"/>
      <c r="HAH3" s="120"/>
      <c r="HAI3" s="120"/>
      <c r="HAJ3" s="120"/>
      <c r="HAK3" s="120"/>
      <c r="HAL3" s="120"/>
      <c r="HAM3" s="120"/>
      <c r="HAN3" s="120"/>
      <c r="HAO3" s="120"/>
      <c r="HAP3" s="120"/>
      <c r="HAQ3" s="120"/>
      <c r="HAR3" s="120"/>
      <c r="HAS3" s="120"/>
      <c r="HAT3" s="120"/>
      <c r="HAU3" s="120"/>
      <c r="HAV3" s="120"/>
      <c r="HAW3" s="120"/>
      <c r="HAX3" s="120"/>
      <c r="HAY3" s="120"/>
      <c r="HAZ3" s="120"/>
      <c r="HBA3" s="120"/>
      <c r="HBB3" s="120"/>
      <c r="HBC3" s="120"/>
      <c r="HBD3" s="120"/>
      <c r="HBE3" s="120"/>
      <c r="HBF3" s="120"/>
      <c r="HBG3" s="120"/>
      <c r="HBH3" s="120"/>
      <c r="HBI3" s="120"/>
      <c r="HBJ3" s="120"/>
      <c r="HBK3" s="120"/>
      <c r="HBL3" s="120"/>
      <c r="HBM3" s="120"/>
      <c r="HBN3" s="120"/>
      <c r="HBO3" s="120"/>
      <c r="HBP3" s="120"/>
      <c r="HBQ3" s="120"/>
      <c r="HBR3" s="120"/>
      <c r="HBS3" s="120"/>
      <c r="HBT3" s="120"/>
      <c r="HBU3" s="120"/>
      <c r="HBV3" s="120"/>
      <c r="HBW3" s="120"/>
      <c r="HBX3" s="120"/>
      <c r="HBY3" s="120"/>
      <c r="HBZ3" s="120"/>
      <c r="HCA3" s="120"/>
      <c r="HCB3" s="120"/>
      <c r="HCC3" s="120"/>
      <c r="HCD3" s="120"/>
      <c r="HCE3" s="120"/>
      <c r="HCF3" s="120"/>
      <c r="HCG3" s="120"/>
      <c r="HCH3" s="120"/>
      <c r="HCI3" s="120"/>
      <c r="HCJ3" s="120"/>
      <c r="HCK3" s="120"/>
      <c r="HCL3" s="120"/>
      <c r="HCM3" s="120"/>
      <c r="HCN3" s="120"/>
      <c r="HCO3" s="120"/>
      <c r="HCP3" s="120"/>
      <c r="HCQ3" s="120"/>
      <c r="HCR3" s="120"/>
      <c r="HCS3" s="120"/>
      <c r="HCT3" s="120"/>
      <c r="HCU3" s="120"/>
      <c r="HCV3" s="120"/>
      <c r="HCW3" s="120"/>
      <c r="HCX3" s="120"/>
      <c r="HCY3" s="120"/>
      <c r="HCZ3" s="120"/>
      <c r="HDA3" s="120"/>
      <c r="HDB3" s="120"/>
      <c r="HDC3" s="120"/>
      <c r="HDD3" s="120"/>
      <c r="HDE3" s="120"/>
      <c r="HDF3" s="120"/>
      <c r="HDG3" s="120"/>
      <c r="HDH3" s="120"/>
      <c r="HDI3" s="120"/>
      <c r="HDJ3" s="120"/>
      <c r="HDK3" s="120"/>
      <c r="HDL3" s="120"/>
      <c r="HDM3" s="120"/>
      <c r="HDN3" s="120"/>
      <c r="HDO3" s="120"/>
      <c r="HDP3" s="120"/>
      <c r="HDQ3" s="120"/>
      <c r="HDR3" s="120"/>
      <c r="HDS3" s="120"/>
      <c r="HDT3" s="120"/>
      <c r="HDU3" s="120"/>
      <c r="HDV3" s="120"/>
      <c r="HDW3" s="120"/>
      <c r="HDX3" s="120"/>
      <c r="HDY3" s="120"/>
      <c r="HDZ3" s="120"/>
      <c r="HEA3" s="120"/>
      <c r="HEB3" s="120"/>
      <c r="HEC3" s="120"/>
      <c r="HED3" s="120"/>
      <c r="HEE3" s="120"/>
      <c r="HEF3" s="120"/>
      <c r="HEG3" s="120"/>
      <c r="HEH3" s="120"/>
      <c r="HEI3" s="120"/>
      <c r="HEJ3" s="120"/>
      <c r="HEK3" s="120"/>
      <c r="HEL3" s="120"/>
      <c r="HEM3" s="120"/>
      <c r="HEN3" s="120"/>
      <c r="HEO3" s="120"/>
      <c r="HEP3" s="120"/>
      <c r="HEQ3" s="120"/>
      <c r="HER3" s="120"/>
      <c r="HES3" s="120"/>
      <c r="HET3" s="120"/>
      <c r="HEU3" s="120"/>
      <c r="HEV3" s="120"/>
      <c r="HEW3" s="120"/>
      <c r="HEX3" s="120"/>
      <c r="HEY3" s="120"/>
      <c r="HEZ3" s="120"/>
      <c r="HFA3" s="120"/>
      <c r="HFB3" s="120"/>
      <c r="HFC3" s="120"/>
      <c r="HFD3" s="120"/>
      <c r="HFE3" s="120"/>
      <c r="HFF3" s="120"/>
      <c r="HFG3" s="120"/>
      <c r="HFH3" s="120"/>
      <c r="HFI3" s="120"/>
      <c r="HFJ3" s="120"/>
      <c r="HFK3" s="120"/>
      <c r="HFL3" s="120"/>
      <c r="HFM3" s="120"/>
      <c r="HFN3" s="120"/>
      <c r="HFO3" s="120"/>
      <c r="HFP3" s="120"/>
      <c r="HFQ3" s="120"/>
      <c r="HFR3" s="120"/>
      <c r="HFS3" s="120"/>
      <c r="HFT3" s="120"/>
      <c r="HFU3" s="120"/>
      <c r="HFV3" s="120"/>
      <c r="HFW3" s="120"/>
      <c r="HFX3" s="120"/>
      <c r="HFY3" s="120"/>
      <c r="HFZ3" s="120"/>
      <c r="HGA3" s="120"/>
      <c r="HGB3" s="120"/>
      <c r="HGC3" s="120"/>
      <c r="HGD3" s="120"/>
      <c r="HGE3" s="120"/>
      <c r="HGF3" s="120"/>
      <c r="HGG3" s="120"/>
      <c r="HGH3" s="120"/>
      <c r="HGI3" s="120"/>
      <c r="HGJ3" s="120"/>
      <c r="HGK3" s="120"/>
      <c r="HGL3" s="120"/>
      <c r="HGM3" s="120"/>
      <c r="HGN3" s="120"/>
      <c r="HGO3" s="120"/>
      <c r="HGP3" s="120"/>
      <c r="HGQ3" s="120"/>
      <c r="HGR3" s="120"/>
      <c r="HGS3" s="120"/>
      <c r="HGT3" s="120"/>
      <c r="HGU3" s="120"/>
      <c r="HGV3" s="120"/>
      <c r="HGW3" s="120"/>
      <c r="HGX3" s="120"/>
      <c r="HGY3" s="120"/>
      <c r="HGZ3" s="120"/>
      <c r="HHA3" s="120"/>
      <c r="HHB3" s="120"/>
      <c r="HHC3" s="120"/>
      <c r="HHD3" s="120"/>
      <c r="HHE3" s="120"/>
      <c r="HHF3" s="120"/>
      <c r="HHG3" s="120"/>
      <c r="HHH3" s="120"/>
      <c r="HHI3" s="120"/>
      <c r="HHJ3" s="120"/>
      <c r="HHK3" s="120"/>
      <c r="HHL3" s="120"/>
      <c r="HHM3" s="120"/>
      <c r="HHN3" s="120"/>
      <c r="HHO3" s="120"/>
      <c r="HHP3" s="120"/>
      <c r="HHQ3" s="120"/>
      <c r="HHR3" s="120"/>
      <c r="HHS3" s="120"/>
      <c r="HHT3" s="120"/>
      <c r="HHU3" s="120"/>
      <c r="HHV3" s="120"/>
      <c r="HHW3" s="120"/>
      <c r="HHX3" s="120"/>
      <c r="HHY3" s="120"/>
      <c r="HHZ3" s="120"/>
      <c r="HIA3" s="120"/>
      <c r="HIB3" s="120"/>
      <c r="HIC3" s="120"/>
      <c r="HID3" s="120"/>
      <c r="HIE3" s="120"/>
      <c r="HIF3" s="120"/>
      <c r="HIG3" s="120"/>
      <c r="HIH3" s="120"/>
      <c r="HII3" s="120"/>
      <c r="HIJ3" s="120"/>
      <c r="HIK3" s="120"/>
      <c r="HIL3" s="120"/>
      <c r="HIM3" s="120"/>
      <c r="HIN3" s="120"/>
      <c r="HIO3" s="120"/>
      <c r="HIP3" s="120"/>
      <c r="HIQ3" s="120"/>
      <c r="HIR3" s="120"/>
      <c r="HIS3" s="120"/>
      <c r="HIT3" s="120"/>
      <c r="HIU3" s="120"/>
      <c r="HIV3" s="120"/>
      <c r="HIW3" s="120"/>
      <c r="HIX3" s="120"/>
      <c r="HIY3" s="120"/>
      <c r="HIZ3" s="120"/>
      <c r="HJA3" s="120"/>
      <c r="HJB3" s="120"/>
      <c r="HJC3" s="120"/>
      <c r="HJD3" s="120"/>
      <c r="HJE3" s="120"/>
      <c r="HJF3" s="120"/>
      <c r="HJG3" s="120"/>
      <c r="HJH3" s="120"/>
      <c r="HJI3" s="120"/>
      <c r="HJJ3" s="120"/>
      <c r="HJK3" s="120"/>
      <c r="HJL3" s="120"/>
      <c r="HJM3" s="120"/>
      <c r="HJN3" s="120"/>
      <c r="HJO3" s="120"/>
      <c r="HJP3" s="120"/>
      <c r="HJQ3" s="120"/>
      <c r="HJR3" s="120"/>
      <c r="HJS3" s="120"/>
      <c r="HJT3" s="120"/>
      <c r="HJU3" s="120"/>
      <c r="HJV3" s="120"/>
      <c r="HJW3" s="120"/>
      <c r="HJX3" s="120"/>
      <c r="HJY3" s="120"/>
      <c r="HJZ3" s="120"/>
      <c r="HKA3" s="120"/>
      <c r="HKB3" s="120"/>
      <c r="HKC3" s="120"/>
      <c r="HKD3" s="120"/>
      <c r="HKE3" s="120"/>
      <c r="HKF3" s="120"/>
      <c r="HKG3" s="120"/>
      <c r="HKH3" s="120"/>
      <c r="HKI3" s="120"/>
      <c r="HKJ3" s="120"/>
      <c r="HKK3" s="120"/>
      <c r="HKL3" s="120"/>
      <c r="HKM3" s="120"/>
      <c r="HKN3" s="120"/>
      <c r="HKO3" s="120"/>
      <c r="HKP3" s="120"/>
      <c r="HKQ3" s="120"/>
      <c r="HKR3" s="120"/>
      <c r="HKS3" s="120"/>
      <c r="HKT3" s="120"/>
      <c r="HKU3" s="120"/>
      <c r="HKV3" s="120"/>
      <c r="HKW3" s="120"/>
      <c r="HKX3" s="120"/>
      <c r="HKY3" s="120"/>
      <c r="HKZ3" s="120"/>
      <c r="HLA3" s="120"/>
      <c r="HLB3" s="120"/>
      <c r="HLC3" s="120"/>
      <c r="HLD3" s="120"/>
      <c r="HLE3" s="120"/>
      <c r="HLF3" s="120"/>
      <c r="HLG3" s="120"/>
      <c r="HLH3" s="120"/>
      <c r="HLI3" s="120"/>
      <c r="HLJ3" s="120"/>
      <c r="HLK3" s="120"/>
      <c r="HLL3" s="120"/>
      <c r="HLM3" s="120"/>
      <c r="HLN3" s="120"/>
      <c r="HLO3" s="120"/>
      <c r="HLP3" s="120"/>
      <c r="HLQ3" s="120"/>
      <c r="HLR3" s="120"/>
      <c r="HLS3" s="120"/>
      <c r="HLT3" s="120"/>
      <c r="HLU3" s="120"/>
      <c r="HLV3" s="120"/>
      <c r="HLW3" s="120"/>
      <c r="HLX3" s="120"/>
      <c r="HLY3" s="120"/>
      <c r="HLZ3" s="120"/>
      <c r="HMA3" s="120"/>
      <c r="HMB3" s="120"/>
      <c r="HMC3" s="120"/>
      <c r="HMD3" s="120"/>
      <c r="HME3" s="120"/>
      <c r="HMF3" s="120"/>
      <c r="HMG3" s="120"/>
      <c r="HMH3" s="120"/>
      <c r="HMI3" s="120"/>
      <c r="HMJ3" s="120"/>
      <c r="HMK3" s="120"/>
      <c r="HML3" s="120"/>
      <c r="HMM3" s="120"/>
      <c r="HMN3" s="120"/>
      <c r="HMO3" s="120"/>
      <c r="HMP3" s="120"/>
      <c r="HMQ3" s="120"/>
      <c r="HMR3" s="120"/>
      <c r="HMS3" s="120"/>
      <c r="HMT3" s="120"/>
      <c r="HMU3" s="120"/>
      <c r="HMV3" s="120"/>
      <c r="HMW3" s="120"/>
      <c r="HMX3" s="120"/>
      <c r="HMY3" s="120"/>
      <c r="HMZ3" s="120"/>
      <c r="HNA3" s="120"/>
      <c r="HNB3" s="120"/>
      <c r="HNC3" s="120"/>
      <c r="HND3" s="120"/>
      <c r="HNE3" s="120"/>
      <c r="HNF3" s="120"/>
      <c r="HNG3" s="120"/>
      <c r="HNH3" s="120"/>
      <c r="HNI3" s="120"/>
      <c r="HNJ3" s="120"/>
      <c r="HNK3" s="120"/>
      <c r="HNL3" s="120"/>
      <c r="HNM3" s="120"/>
      <c r="HNN3" s="120"/>
      <c r="HNO3" s="120"/>
      <c r="HNP3" s="120"/>
      <c r="HNQ3" s="120"/>
      <c r="HNR3" s="120"/>
      <c r="HNS3" s="120"/>
      <c r="HNT3" s="120"/>
      <c r="HNU3" s="120"/>
      <c r="HNV3" s="120"/>
      <c r="HNW3" s="120"/>
      <c r="HNX3" s="120"/>
      <c r="HNY3" s="120"/>
      <c r="HNZ3" s="120"/>
      <c r="HOA3" s="120"/>
      <c r="HOB3" s="120"/>
      <c r="HOC3" s="120"/>
      <c r="HOD3" s="120"/>
      <c r="HOE3" s="120"/>
      <c r="HOF3" s="120"/>
      <c r="HOG3" s="120"/>
      <c r="HOH3" s="120"/>
      <c r="HOI3" s="120"/>
      <c r="HOJ3" s="120"/>
      <c r="HOK3" s="120"/>
      <c r="HOL3" s="120"/>
      <c r="HOM3" s="120"/>
      <c r="HON3" s="120"/>
      <c r="HOO3" s="120"/>
      <c r="HOP3" s="120"/>
      <c r="HOQ3" s="120"/>
      <c r="HOR3" s="120"/>
      <c r="HOS3" s="120"/>
      <c r="HOT3" s="120"/>
      <c r="HOU3" s="120"/>
      <c r="HOV3" s="120"/>
      <c r="HOW3" s="120"/>
      <c r="HOX3" s="120"/>
      <c r="HOY3" s="120"/>
      <c r="HOZ3" s="120"/>
      <c r="HPA3" s="120"/>
      <c r="HPB3" s="120"/>
      <c r="HPC3" s="120"/>
      <c r="HPD3" s="120"/>
      <c r="HPE3" s="120"/>
      <c r="HPF3" s="120"/>
      <c r="HPG3" s="120"/>
      <c r="HPH3" s="120"/>
      <c r="HPI3" s="120"/>
      <c r="HPJ3" s="120"/>
      <c r="HPK3" s="120"/>
      <c r="HPL3" s="120"/>
      <c r="HPM3" s="120"/>
      <c r="HPN3" s="120"/>
      <c r="HPO3" s="120"/>
      <c r="HPP3" s="120"/>
      <c r="HPQ3" s="120"/>
      <c r="HPR3" s="120"/>
      <c r="HPS3" s="120"/>
      <c r="HPT3" s="120"/>
      <c r="HPU3" s="120"/>
      <c r="HPV3" s="120"/>
      <c r="HPW3" s="120"/>
      <c r="HPX3" s="120"/>
      <c r="HPY3" s="120"/>
      <c r="HPZ3" s="120"/>
      <c r="HQA3" s="120"/>
      <c r="HQB3" s="120"/>
      <c r="HQC3" s="120"/>
      <c r="HQD3" s="120"/>
      <c r="HQE3" s="120"/>
      <c r="HQF3" s="120"/>
      <c r="HQG3" s="120"/>
      <c r="HQH3" s="120"/>
      <c r="HQI3" s="120"/>
      <c r="HQJ3" s="120"/>
      <c r="HQK3" s="120"/>
      <c r="HQL3" s="120"/>
      <c r="HQM3" s="120"/>
      <c r="HQN3" s="120"/>
      <c r="HQO3" s="120"/>
      <c r="HQP3" s="120"/>
      <c r="HQQ3" s="120"/>
      <c r="HQR3" s="120"/>
      <c r="HQS3" s="120"/>
      <c r="HQT3" s="120"/>
      <c r="HQU3" s="120"/>
      <c r="HQV3" s="120"/>
      <c r="HQW3" s="120"/>
      <c r="HQX3" s="120"/>
      <c r="HQY3" s="120"/>
      <c r="HQZ3" s="120"/>
      <c r="HRA3" s="120"/>
      <c r="HRB3" s="120"/>
      <c r="HRC3" s="120"/>
      <c r="HRD3" s="120"/>
      <c r="HRE3" s="120"/>
      <c r="HRF3" s="120"/>
      <c r="HRG3" s="120"/>
      <c r="HRH3" s="120"/>
      <c r="HRI3" s="120"/>
      <c r="HRJ3" s="120"/>
      <c r="HRK3" s="120"/>
      <c r="HRL3" s="120"/>
      <c r="HRM3" s="120"/>
      <c r="HRN3" s="120"/>
      <c r="HRO3" s="120"/>
      <c r="HRP3" s="120"/>
      <c r="HRQ3" s="120"/>
      <c r="HRR3" s="120"/>
      <c r="HRS3" s="120"/>
      <c r="HRT3" s="120"/>
      <c r="HRU3" s="120"/>
      <c r="HRV3" s="120"/>
      <c r="HRW3" s="120"/>
      <c r="HRX3" s="120"/>
      <c r="HRY3" s="120"/>
      <c r="HRZ3" s="120"/>
      <c r="HSA3" s="120"/>
      <c r="HSB3" s="120"/>
      <c r="HSC3" s="120"/>
      <c r="HSD3" s="120"/>
      <c r="HSE3" s="120"/>
      <c r="HSF3" s="120"/>
      <c r="HSG3" s="120"/>
      <c r="HSH3" s="120"/>
      <c r="HSI3" s="120"/>
      <c r="HSJ3" s="120"/>
      <c r="HSK3" s="120"/>
      <c r="HSL3" s="120"/>
      <c r="HSM3" s="120"/>
      <c r="HSN3" s="120"/>
      <c r="HSO3" s="120"/>
      <c r="HSP3" s="120"/>
      <c r="HSQ3" s="120"/>
      <c r="HSR3" s="120"/>
      <c r="HSS3" s="120"/>
      <c r="HST3" s="120"/>
      <c r="HSU3" s="120"/>
      <c r="HSV3" s="120"/>
      <c r="HSW3" s="120"/>
      <c r="HSX3" s="120"/>
      <c r="HSY3" s="120"/>
      <c r="HSZ3" s="120"/>
      <c r="HTA3" s="120"/>
      <c r="HTB3" s="120"/>
      <c r="HTC3" s="120"/>
      <c r="HTD3" s="120"/>
      <c r="HTE3" s="120"/>
      <c r="HTF3" s="120"/>
      <c r="HTG3" s="120"/>
      <c r="HTH3" s="120"/>
      <c r="HTI3" s="120"/>
      <c r="HTJ3" s="120"/>
      <c r="HTK3" s="120"/>
      <c r="HTL3" s="120"/>
      <c r="HTM3" s="120"/>
      <c r="HTN3" s="120"/>
      <c r="HTO3" s="120"/>
      <c r="HTP3" s="120"/>
      <c r="HTQ3" s="120"/>
      <c r="HTR3" s="120"/>
      <c r="HTS3" s="120"/>
      <c r="HTT3" s="120"/>
      <c r="HTU3" s="120"/>
      <c r="HTV3" s="120"/>
      <c r="HTW3" s="120"/>
      <c r="HTX3" s="120"/>
      <c r="HTY3" s="120"/>
      <c r="HTZ3" s="120"/>
      <c r="HUA3" s="120"/>
      <c r="HUB3" s="120"/>
      <c r="HUC3" s="120"/>
      <c r="HUD3" s="120"/>
      <c r="HUE3" s="120"/>
      <c r="HUF3" s="120"/>
      <c r="HUG3" s="120"/>
      <c r="HUH3" s="120"/>
      <c r="HUI3" s="120"/>
      <c r="HUJ3" s="120"/>
      <c r="HUK3" s="120"/>
      <c r="HUL3" s="120"/>
      <c r="HUM3" s="120"/>
      <c r="HUN3" s="120"/>
      <c r="HUO3" s="120"/>
      <c r="HUP3" s="120"/>
      <c r="HUQ3" s="120"/>
      <c r="HUR3" s="120"/>
      <c r="HUS3" s="120"/>
      <c r="HUT3" s="120"/>
      <c r="HUU3" s="120"/>
      <c r="HUV3" s="120"/>
      <c r="HUW3" s="120"/>
      <c r="HUX3" s="120"/>
      <c r="HUY3" s="120"/>
      <c r="HUZ3" s="120"/>
      <c r="HVA3" s="120"/>
      <c r="HVB3" s="120"/>
      <c r="HVC3" s="120"/>
      <c r="HVD3" s="120"/>
      <c r="HVE3" s="120"/>
      <c r="HVF3" s="120"/>
      <c r="HVG3" s="120"/>
      <c r="HVH3" s="120"/>
      <c r="HVI3" s="120"/>
      <c r="HVJ3" s="120"/>
      <c r="HVK3" s="120"/>
      <c r="HVL3" s="120"/>
      <c r="HVM3" s="120"/>
      <c r="HVN3" s="120"/>
      <c r="HVO3" s="120"/>
      <c r="HVP3" s="120"/>
      <c r="HVQ3" s="120"/>
      <c r="HVR3" s="120"/>
      <c r="HVS3" s="120"/>
      <c r="HVT3" s="120"/>
      <c r="HVU3" s="120"/>
      <c r="HVV3" s="120"/>
      <c r="HVW3" s="120"/>
      <c r="HVX3" s="120"/>
      <c r="HVY3" s="120"/>
      <c r="HVZ3" s="120"/>
      <c r="HWA3" s="120"/>
      <c r="HWB3" s="120"/>
      <c r="HWC3" s="120"/>
      <c r="HWD3" s="120"/>
      <c r="HWE3" s="120"/>
      <c r="HWF3" s="120"/>
      <c r="HWG3" s="120"/>
      <c r="HWH3" s="120"/>
      <c r="HWI3" s="120"/>
      <c r="HWJ3" s="120"/>
      <c r="HWK3" s="120"/>
      <c r="HWL3" s="120"/>
      <c r="HWM3" s="120"/>
      <c r="HWN3" s="120"/>
      <c r="HWO3" s="120"/>
      <c r="HWP3" s="120"/>
      <c r="HWQ3" s="120"/>
      <c r="HWR3" s="120"/>
      <c r="HWS3" s="120"/>
      <c r="HWT3" s="120"/>
      <c r="HWU3" s="120"/>
      <c r="HWV3" s="120"/>
      <c r="HWW3" s="120"/>
      <c r="HWX3" s="120"/>
      <c r="HWY3" s="120"/>
      <c r="HWZ3" s="120"/>
      <c r="HXA3" s="120"/>
      <c r="HXB3" s="120"/>
      <c r="HXC3" s="120"/>
      <c r="HXD3" s="120"/>
      <c r="HXE3" s="120"/>
      <c r="HXF3" s="120"/>
      <c r="HXG3" s="120"/>
      <c r="HXH3" s="120"/>
      <c r="HXI3" s="120"/>
      <c r="HXJ3" s="120"/>
      <c r="HXK3" s="120"/>
      <c r="HXL3" s="120"/>
      <c r="HXM3" s="120"/>
      <c r="HXN3" s="120"/>
      <c r="HXO3" s="120"/>
      <c r="HXP3" s="120"/>
      <c r="HXQ3" s="120"/>
      <c r="HXR3" s="120"/>
      <c r="HXS3" s="120"/>
      <c r="HXT3" s="120"/>
      <c r="HXU3" s="120"/>
      <c r="HXV3" s="120"/>
      <c r="HXW3" s="120"/>
      <c r="HXX3" s="120"/>
      <c r="HXY3" s="120"/>
      <c r="HXZ3" s="120"/>
      <c r="HYA3" s="120"/>
      <c r="HYB3" s="120"/>
      <c r="HYC3" s="120"/>
      <c r="HYD3" s="120"/>
      <c r="HYE3" s="120"/>
      <c r="HYF3" s="120"/>
      <c r="HYG3" s="120"/>
      <c r="HYH3" s="120"/>
      <c r="HYI3" s="120"/>
      <c r="HYJ3" s="120"/>
      <c r="HYK3" s="120"/>
      <c r="HYL3" s="120"/>
      <c r="HYM3" s="120"/>
      <c r="HYN3" s="120"/>
      <c r="HYO3" s="120"/>
      <c r="HYP3" s="120"/>
      <c r="HYQ3" s="120"/>
      <c r="HYR3" s="120"/>
      <c r="HYS3" s="120"/>
      <c r="HYT3" s="120"/>
      <c r="HYU3" s="120"/>
      <c r="HYV3" s="120"/>
      <c r="HYW3" s="120"/>
      <c r="HYX3" s="120"/>
      <c r="HYY3" s="120"/>
      <c r="HYZ3" s="120"/>
      <c r="HZA3" s="120"/>
      <c r="HZB3" s="120"/>
      <c r="HZC3" s="120"/>
      <c r="HZD3" s="120"/>
      <c r="HZE3" s="120"/>
      <c r="HZF3" s="120"/>
      <c r="HZG3" s="120"/>
      <c r="HZH3" s="120"/>
      <c r="HZI3" s="120"/>
      <c r="HZJ3" s="120"/>
      <c r="HZK3" s="120"/>
      <c r="HZL3" s="120"/>
      <c r="HZM3" s="120"/>
      <c r="HZN3" s="120"/>
      <c r="HZO3" s="120"/>
      <c r="HZP3" s="120"/>
      <c r="HZQ3" s="120"/>
      <c r="HZR3" s="120"/>
      <c r="HZS3" s="120"/>
      <c r="HZT3" s="120"/>
      <c r="HZU3" s="120"/>
      <c r="HZV3" s="120"/>
      <c r="HZW3" s="120"/>
      <c r="HZX3" s="120"/>
      <c r="HZY3" s="120"/>
      <c r="HZZ3" s="120"/>
      <c r="IAA3" s="120"/>
      <c r="IAB3" s="120"/>
      <c r="IAC3" s="120"/>
      <c r="IAD3" s="120"/>
      <c r="IAE3" s="120"/>
      <c r="IAF3" s="120"/>
      <c r="IAG3" s="120"/>
      <c r="IAH3" s="120"/>
      <c r="IAI3" s="120"/>
      <c r="IAJ3" s="120"/>
      <c r="IAK3" s="120"/>
      <c r="IAL3" s="120"/>
      <c r="IAM3" s="120"/>
      <c r="IAN3" s="120"/>
      <c r="IAO3" s="120"/>
      <c r="IAP3" s="120"/>
      <c r="IAQ3" s="120"/>
      <c r="IAR3" s="120"/>
      <c r="IAS3" s="120"/>
      <c r="IAT3" s="120"/>
      <c r="IAU3" s="120"/>
      <c r="IAV3" s="120"/>
      <c r="IAW3" s="120"/>
      <c r="IAX3" s="120"/>
      <c r="IAY3" s="120"/>
      <c r="IAZ3" s="120"/>
      <c r="IBA3" s="120"/>
      <c r="IBB3" s="120"/>
      <c r="IBC3" s="120"/>
      <c r="IBD3" s="120"/>
      <c r="IBE3" s="120"/>
      <c r="IBF3" s="120"/>
      <c r="IBG3" s="120"/>
      <c r="IBH3" s="120"/>
      <c r="IBI3" s="120"/>
      <c r="IBJ3" s="120"/>
      <c r="IBK3" s="120"/>
      <c r="IBL3" s="120"/>
      <c r="IBM3" s="120"/>
      <c r="IBN3" s="120"/>
      <c r="IBO3" s="120"/>
      <c r="IBP3" s="120"/>
      <c r="IBQ3" s="120"/>
      <c r="IBR3" s="120"/>
      <c r="IBS3" s="120"/>
      <c r="IBT3" s="120"/>
      <c r="IBU3" s="120"/>
      <c r="IBV3" s="120"/>
      <c r="IBW3" s="120"/>
      <c r="IBX3" s="120"/>
      <c r="IBY3" s="120"/>
      <c r="IBZ3" s="120"/>
      <c r="ICA3" s="120"/>
      <c r="ICB3" s="120"/>
      <c r="ICC3" s="120"/>
      <c r="ICD3" s="120"/>
      <c r="ICE3" s="120"/>
      <c r="ICF3" s="120"/>
      <c r="ICG3" s="120"/>
      <c r="ICH3" s="120"/>
      <c r="ICI3" s="120"/>
      <c r="ICJ3" s="120"/>
      <c r="ICK3" s="120"/>
      <c r="ICL3" s="120"/>
      <c r="ICM3" s="120"/>
      <c r="ICN3" s="120"/>
      <c r="ICO3" s="120"/>
      <c r="ICP3" s="120"/>
      <c r="ICQ3" s="120"/>
      <c r="ICR3" s="120"/>
      <c r="ICS3" s="120"/>
      <c r="ICT3" s="120"/>
      <c r="ICU3" s="120"/>
      <c r="ICV3" s="120"/>
      <c r="ICW3" s="120"/>
      <c r="ICX3" s="120"/>
      <c r="ICY3" s="120"/>
      <c r="ICZ3" s="120"/>
      <c r="IDA3" s="120"/>
      <c r="IDB3" s="120"/>
      <c r="IDC3" s="120"/>
      <c r="IDD3" s="120"/>
      <c r="IDE3" s="120"/>
      <c r="IDF3" s="120"/>
      <c r="IDG3" s="120"/>
      <c r="IDH3" s="120"/>
      <c r="IDI3" s="120"/>
      <c r="IDJ3" s="120"/>
      <c r="IDK3" s="120"/>
      <c r="IDL3" s="120"/>
      <c r="IDM3" s="120"/>
      <c r="IDN3" s="120"/>
      <c r="IDO3" s="120"/>
      <c r="IDP3" s="120"/>
      <c r="IDQ3" s="120"/>
      <c r="IDR3" s="120"/>
      <c r="IDS3" s="120"/>
      <c r="IDT3" s="120"/>
      <c r="IDU3" s="120"/>
      <c r="IDV3" s="120"/>
      <c r="IDW3" s="120"/>
      <c r="IDX3" s="120"/>
      <c r="IDY3" s="120"/>
      <c r="IDZ3" s="120"/>
      <c r="IEA3" s="120"/>
      <c r="IEB3" s="120"/>
      <c r="IEC3" s="120"/>
      <c r="IED3" s="120"/>
      <c r="IEE3" s="120"/>
      <c r="IEF3" s="120"/>
      <c r="IEG3" s="120"/>
      <c r="IEH3" s="120"/>
      <c r="IEI3" s="120"/>
      <c r="IEJ3" s="120"/>
      <c r="IEK3" s="120"/>
      <c r="IEL3" s="120"/>
      <c r="IEM3" s="120"/>
      <c r="IEN3" s="120"/>
      <c r="IEO3" s="120"/>
      <c r="IEP3" s="120"/>
      <c r="IEQ3" s="120"/>
      <c r="IER3" s="120"/>
      <c r="IES3" s="120"/>
      <c r="IET3" s="120"/>
      <c r="IEU3" s="120"/>
      <c r="IEV3" s="120"/>
      <c r="IEW3" s="120"/>
      <c r="IEX3" s="120"/>
      <c r="IEY3" s="120"/>
      <c r="IEZ3" s="120"/>
      <c r="IFA3" s="120"/>
      <c r="IFB3" s="120"/>
      <c r="IFC3" s="120"/>
      <c r="IFD3" s="120"/>
      <c r="IFE3" s="120"/>
      <c r="IFF3" s="120"/>
      <c r="IFG3" s="120"/>
      <c r="IFH3" s="120"/>
      <c r="IFI3" s="120"/>
      <c r="IFJ3" s="120"/>
      <c r="IFK3" s="120"/>
      <c r="IFL3" s="120"/>
      <c r="IFM3" s="120"/>
      <c r="IFN3" s="120"/>
      <c r="IFO3" s="120"/>
      <c r="IFP3" s="120"/>
      <c r="IFQ3" s="120"/>
      <c r="IFR3" s="120"/>
      <c r="IFS3" s="120"/>
      <c r="IFT3" s="120"/>
      <c r="IFU3" s="120"/>
      <c r="IFV3" s="120"/>
      <c r="IFW3" s="120"/>
      <c r="IFX3" s="120"/>
      <c r="IFY3" s="120"/>
      <c r="IFZ3" s="120"/>
      <c r="IGA3" s="120"/>
      <c r="IGB3" s="120"/>
      <c r="IGC3" s="120"/>
      <c r="IGD3" s="120"/>
      <c r="IGE3" s="120"/>
      <c r="IGF3" s="120"/>
      <c r="IGG3" s="120"/>
      <c r="IGH3" s="120"/>
      <c r="IGI3" s="120"/>
      <c r="IGJ3" s="120"/>
      <c r="IGK3" s="120"/>
      <c r="IGL3" s="120"/>
      <c r="IGM3" s="120"/>
      <c r="IGN3" s="120"/>
      <c r="IGO3" s="120"/>
      <c r="IGP3" s="120"/>
      <c r="IGQ3" s="120"/>
      <c r="IGR3" s="120"/>
      <c r="IGS3" s="120"/>
      <c r="IGT3" s="120"/>
      <c r="IGU3" s="120"/>
      <c r="IGV3" s="120"/>
      <c r="IGW3" s="120"/>
      <c r="IGX3" s="120"/>
      <c r="IGY3" s="120"/>
      <c r="IGZ3" s="120"/>
      <c r="IHA3" s="120"/>
      <c r="IHB3" s="120"/>
      <c r="IHC3" s="120"/>
      <c r="IHD3" s="120"/>
      <c r="IHE3" s="120"/>
      <c r="IHF3" s="120"/>
      <c r="IHG3" s="120"/>
      <c r="IHH3" s="120"/>
      <c r="IHI3" s="120"/>
      <c r="IHJ3" s="120"/>
      <c r="IHK3" s="120"/>
      <c r="IHL3" s="120"/>
      <c r="IHM3" s="120"/>
      <c r="IHN3" s="120"/>
      <c r="IHO3" s="120"/>
      <c r="IHP3" s="120"/>
      <c r="IHQ3" s="120"/>
      <c r="IHR3" s="120"/>
      <c r="IHS3" s="120"/>
      <c r="IHT3" s="120"/>
      <c r="IHU3" s="120"/>
      <c r="IHV3" s="120"/>
      <c r="IHW3" s="120"/>
      <c r="IHX3" s="120"/>
      <c r="IHY3" s="120"/>
      <c r="IHZ3" s="120"/>
      <c r="IIA3" s="120"/>
      <c r="IIB3" s="120"/>
      <c r="IIC3" s="120"/>
      <c r="IID3" s="120"/>
      <c r="IIE3" s="120"/>
      <c r="IIF3" s="120"/>
      <c r="IIG3" s="120"/>
      <c r="IIH3" s="120"/>
      <c r="III3" s="120"/>
      <c r="IIJ3" s="120"/>
      <c r="IIK3" s="120"/>
      <c r="IIL3" s="120"/>
      <c r="IIM3" s="120"/>
      <c r="IIN3" s="120"/>
      <c r="IIO3" s="120"/>
      <c r="IIP3" s="120"/>
      <c r="IIQ3" s="120"/>
      <c r="IIR3" s="120"/>
      <c r="IIS3" s="120"/>
      <c r="IIT3" s="120"/>
      <c r="IIU3" s="120"/>
      <c r="IIV3" s="120"/>
      <c r="IIW3" s="120"/>
      <c r="IIX3" s="120"/>
      <c r="IIY3" s="120"/>
      <c r="IIZ3" s="120"/>
      <c r="IJA3" s="120"/>
      <c r="IJB3" s="120"/>
      <c r="IJC3" s="120"/>
      <c r="IJD3" s="120"/>
      <c r="IJE3" s="120"/>
      <c r="IJF3" s="120"/>
      <c r="IJG3" s="120"/>
      <c r="IJH3" s="120"/>
      <c r="IJI3" s="120"/>
      <c r="IJJ3" s="120"/>
      <c r="IJK3" s="120"/>
      <c r="IJL3" s="120"/>
      <c r="IJM3" s="120"/>
      <c r="IJN3" s="120"/>
      <c r="IJO3" s="120"/>
      <c r="IJP3" s="120"/>
      <c r="IJQ3" s="120"/>
      <c r="IJR3" s="120"/>
      <c r="IJS3" s="120"/>
      <c r="IJT3" s="120"/>
      <c r="IJU3" s="120"/>
      <c r="IJV3" s="120"/>
      <c r="IJW3" s="120"/>
      <c r="IJX3" s="120"/>
      <c r="IJY3" s="120"/>
      <c r="IJZ3" s="120"/>
      <c r="IKA3" s="120"/>
      <c r="IKB3" s="120"/>
      <c r="IKC3" s="120"/>
      <c r="IKD3" s="120"/>
      <c r="IKE3" s="120"/>
      <c r="IKF3" s="120"/>
      <c r="IKG3" s="120"/>
      <c r="IKH3" s="120"/>
      <c r="IKI3" s="120"/>
      <c r="IKJ3" s="120"/>
      <c r="IKK3" s="120"/>
      <c r="IKL3" s="120"/>
      <c r="IKM3" s="120"/>
      <c r="IKN3" s="120"/>
      <c r="IKO3" s="120"/>
      <c r="IKP3" s="120"/>
      <c r="IKQ3" s="120"/>
      <c r="IKR3" s="120"/>
      <c r="IKS3" s="120"/>
      <c r="IKT3" s="120"/>
      <c r="IKU3" s="120"/>
      <c r="IKV3" s="120"/>
      <c r="IKW3" s="120"/>
      <c r="IKX3" s="120"/>
      <c r="IKY3" s="120"/>
      <c r="IKZ3" s="120"/>
      <c r="ILA3" s="120"/>
      <c r="ILB3" s="120"/>
      <c r="ILC3" s="120"/>
      <c r="ILD3" s="120"/>
      <c r="ILE3" s="120"/>
      <c r="ILF3" s="120"/>
      <c r="ILG3" s="120"/>
      <c r="ILH3" s="120"/>
      <c r="ILI3" s="120"/>
      <c r="ILJ3" s="120"/>
      <c r="ILK3" s="120"/>
      <c r="ILL3" s="120"/>
      <c r="ILM3" s="120"/>
      <c r="ILN3" s="120"/>
      <c r="ILO3" s="120"/>
      <c r="ILP3" s="120"/>
      <c r="ILQ3" s="120"/>
      <c r="ILR3" s="120"/>
      <c r="ILS3" s="120"/>
      <c r="ILT3" s="120"/>
      <c r="ILU3" s="120"/>
      <c r="ILV3" s="120"/>
      <c r="ILW3" s="120"/>
      <c r="ILX3" s="120"/>
      <c r="ILY3" s="120"/>
      <c r="ILZ3" s="120"/>
      <c r="IMA3" s="120"/>
      <c r="IMB3" s="120"/>
      <c r="IMC3" s="120"/>
      <c r="IMD3" s="120"/>
      <c r="IME3" s="120"/>
      <c r="IMF3" s="120"/>
      <c r="IMG3" s="120"/>
      <c r="IMH3" s="120"/>
      <c r="IMI3" s="120"/>
      <c r="IMJ3" s="120"/>
      <c r="IMK3" s="120"/>
      <c r="IML3" s="120"/>
      <c r="IMM3" s="120"/>
      <c r="IMN3" s="120"/>
      <c r="IMO3" s="120"/>
      <c r="IMP3" s="120"/>
      <c r="IMQ3" s="120"/>
      <c r="IMR3" s="120"/>
      <c r="IMS3" s="120"/>
      <c r="IMT3" s="120"/>
      <c r="IMU3" s="120"/>
      <c r="IMV3" s="120"/>
      <c r="IMW3" s="120"/>
      <c r="IMX3" s="120"/>
      <c r="IMY3" s="120"/>
      <c r="IMZ3" s="120"/>
      <c r="INA3" s="120"/>
      <c r="INB3" s="120"/>
      <c r="INC3" s="120"/>
      <c r="IND3" s="120"/>
      <c r="INE3" s="120"/>
      <c r="INF3" s="120"/>
      <c r="ING3" s="120"/>
      <c r="INH3" s="120"/>
      <c r="INI3" s="120"/>
      <c r="INJ3" s="120"/>
      <c r="INK3" s="120"/>
      <c r="INL3" s="120"/>
      <c r="INM3" s="120"/>
      <c r="INN3" s="120"/>
      <c r="INO3" s="120"/>
      <c r="INP3" s="120"/>
      <c r="INQ3" s="120"/>
      <c r="INR3" s="120"/>
      <c r="INS3" s="120"/>
      <c r="INT3" s="120"/>
      <c r="INU3" s="120"/>
      <c r="INV3" s="120"/>
      <c r="INW3" s="120"/>
      <c r="INX3" s="120"/>
      <c r="INY3" s="120"/>
      <c r="INZ3" s="120"/>
      <c r="IOA3" s="120"/>
      <c r="IOB3" s="120"/>
      <c r="IOC3" s="120"/>
      <c r="IOD3" s="120"/>
      <c r="IOE3" s="120"/>
      <c r="IOF3" s="120"/>
      <c r="IOG3" s="120"/>
      <c r="IOH3" s="120"/>
      <c r="IOI3" s="120"/>
      <c r="IOJ3" s="120"/>
      <c r="IOK3" s="120"/>
      <c r="IOL3" s="120"/>
      <c r="IOM3" s="120"/>
      <c r="ION3" s="120"/>
      <c r="IOO3" s="120"/>
      <c r="IOP3" s="120"/>
      <c r="IOQ3" s="120"/>
      <c r="IOR3" s="120"/>
      <c r="IOS3" s="120"/>
      <c r="IOT3" s="120"/>
      <c r="IOU3" s="120"/>
      <c r="IOV3" s="120"/>
      <c r="IOW3" s="120"/>
      <c r="IOX3" s="120"/>
      <c r="IOY3" s="120"/>
      <c r="IOZ3" s="120"/>
      <c r="IPA3" s="120"/>
      <c r="IPB3" s="120"/>
      <c r="IPC3" s="120"/>
      <c r="IPD3" s="120"/>
      <c r="IPE3" s="120"/>
      <c r="IPF3" s="120"/>
      <c r="IPG3" s="120"/>
      <c r="IPH3" s="120"/>
      <c r="IPI3" s="120"/>
      <c r="IPJ3" s="120"/>
      <c r="IPK3" s="120"/>
      <c r="IPL3" s="120"/>
      <c r="IPM3" s="120"/>
      <c r="IPN3" s="120"/>
      <c r="IPO3" s="120"/>
      <c r="IPP3" s="120"/>
      <c r="IPQ3" s="120"/>
      <c r="IPR3" s="120"/>
      <c r="IPS3" s="120"/>
      <c r="IPT3" s="120"/>
      <c r="IPU3" s="120"/>
      <c r="IPV3" s="120"/>
      <c r="IPW3" s="120"/>
      <c r="IPX3" s="120"/>
      <c r="IPY3" s="120"/>
      <c r="IPZ3" s="120"/>
      <c r="IQA3" s="120"/>
      <c r="IQB3" s="120"/>
      <c r="IQC3" s="120"/>
      <c r="IQD3" s="120"/>
      <c r="IQE3" s="120"/>
      <c r="IQF3" s="120"/>
      <c r="IQG3" s="120"/>
      <c r="IQH3" s="120"/>
      <c r="IQI3" s="120"/>
      <c r="IQJ3" s="120"/>
      <c r="IQK3" s="120"/>
      <c r="IQL3" s="120"/>
      <c r="IQM3" s="120"/>
      <c r="IQN3" s="120"/>
      <c r="IQO3" s="120"/>
      <c r="IQP3" s="120"/>
      <c r="IQQ3" s="120"/>
      <c r="IQR3" s="120"/>
      <c r="IQS3" s="120"/>
      <c r="IQT3" s="120"/>
      <c r="IQU3" s="120"/>
      <c r="IQV3" s="120"/>
      <c r="IQW3" s="120"/>
      <c r="IQX3" s="120"/>
      <c r="IQY3" s="120"/>
      <c r="IQZ3" s="120"/>
      <c r="IRA3" s="120"/>
      <c r="IRB3" s="120"/>
      <c r="IRC3" s="120"/>
      <c r="IRD3" s="120"/>
      <c r="IRE3" s="120"/>
      <c r="IRF3" s="120"/>
      <c r="IRG3" s="120"/>
      <c r="IRH3" s="120"/>
      <c r="IRI3" s="120"/>
      <c r="IRJ3" s="120"/>
      <c r="IRK3" s="120"/>
      <c r="IRL3" s="120"/>
      <c r="IRM3" s="120"/>
      <c r="IRN3" s="120"/>
      <c r="IRO3" s="120"/>
      <c r="IRP3" s="120"/>
      <c r="IRQ3" s="120"/>
      <c r="IRR3" s="120"/>
      <c r="IRS3" s="120"/>
      <c r="IRT3" s="120"/>
      <c r="IRU3" s="120"/>
      <c r="IRV3" s="120"/>
      <c r="IRW3" s="120"/>
      <c r="IRX3" s="120"/>
      <c r="IRY3" s="120"/>
      <c r="IRZ3" s="120"/>
      <c r="ISA3" s="120"/>
      <c r="ISB3" s="120"/>
      <c r="ISC3" s="120"/>
      <c r="ISD3" s="120"/>
      <c r="ISE3" s="120"/>
      <c r="ISF3" s="120"/>
      <c r="ISG3" s="120"/>
      <c r="ISH3" s="120"/>
      <c r="ISI3" s="120"/>
      <c r="ISJ3" s="120"/>
      <c r="ISK3" s="120"/>
      <c r="ISL3" s="120"/>
      <c r="ISM3" s="120"/>
      <c r="ISN3" s="120"/>
      <c r="ISO3" s="120"/>
      <c r="ISP3" s="120"/>
      <c r="ISQ3" s="120"/>
      <c r="ISR3" s="120"/>
      <c r="ISS3" s="120"/>
      <c r="IST3" s="120"/>
      <c r="ISU3" s="120"/>
      <c r="ISV3" s="120"/>
      <c r="ISW3" s="120"/>
      <c r="ISX3" s="120"/>
      <c r="ISY3" s="120"/>
      <c r="ISZ3" s="120"/>
      <c r="ITA3" s="120"/>
      <c r="ITB3" s="120"/>
      <c r="ITC3" s="120"/>
      <c r="ITD3" s="120"/>
      <c r="ITE3" s="120"/>
      <c r="ITF3" s="120"/>
      <c r="ITG3" s="120"/>
      <c r="ITH3" s="120"/>
      <c r="ITI3" s="120"/>
      <c r="ITJ3" s="120"/>
      <c r="ITK3" s="120"/>
      <c r="ITL3" s="120"/>
      <c r="ITM3" s="120"/>
      <c r="ITN3" s="120"/>
      <c r="ITO3" s="120"/>
      <c r="ITP3" s="120"/>
      <c r="ITQ3" s="120"/>
      <c r="ITR3" s="120"/>
      <c r="ITS3" s="120"/>
      <c r="ITT3" s="120"/>
      <c r="ITU3" s="120"/>
      <c r="ITV3" s="120"/>
      <c r="ITW3" s="120"/>
      <c r="ITX3" s="120"/>
      <c r="ITY3" s="120"/>
      <c r="ITZ3" s="120"/>
      <c r="IUA3" s="120"/>
      <c r="IUB3" s="120"/>
      <c r="IUC3" s="120"/>
      <c r="IUD3" s="120"/>
      <c r="IUE3" s="120"/>
      <c r="IUF3" s="120"/>
      <c r="IUG3" s="120"/>
      <c r="IUH3" s="120"/>
      <c r="IUI3" s="120"/>
      <c r="IUJ3" s="120"/>
      <c r="IUK3" s="120"/>
      <c r="IUL3" s="120"/>
      <c r="IUM3" s="120"/>
      <c r="IUN3" s="120"/>
      <c r="IUO3" s="120"/>
      <c r="IUP3" s="120"/>
      <c r="IUQ3" s="120"/>
      <c r="IUR3" s="120"/>
      <c r="IUS3" s="120"/>
      <c r="IUT3" s="120"/>
      <c r="IUU3" s="120"/>
      <c r="IUV3" s="120"/>
      <c r="IUW3" s="120"/>
      <c r="IUX3" s="120"/>
      <c r="IUY3" s="120"/>
      <c r="IUZ3" s="120"/>
      <c r="IVA3" s="120"/>
      <c r="IVB3" s="120"/>
      <c r="IVC3" s="120"/>
      <c r="IVD3" s="120"/>
      <c r="IVE3" s="120"/>
      <c r="IVF3" s="120"/>
      <c r="IVG3" s="120"/>
      <c r="IVH3" s="120"/>
      <c r="IVI3" s="120"/>
      <c r="IVJ3" s="120"/>
      <c r="IVK3" s="120"/>
      <c r="IVL3" s="120"/>
      <c r="IVM3" s="120"/>
      <c r="IVN3" s="120"/>
      <c r="IVO3" s="120"/>
      <c r="IVP3" s="120"/>
      <c r="IVQ3" s="120"/>
      <c r="IVR3" s="120"/>
      <c r="IVS3" s="120"/>
      <c r="IVT3" s="120"/>
      <c r="IVU3" s="120"/>
      <c r="IVV3" s="120"/>
      <c r="IVW3" s="120"/>
      <c r="IVX3" s="120"/>
      <c r="IVY3" s="120"/>
      <c r="IVZ3" s="120"/>
      <c r="IWA3" s="120"/>
      <c r="IWB3" s="120"/>
      <c r="IWC3" s="120"/>
      <c r="IWD3" s="120"/>
      <c r="IWE3" s="120"/>
      <c r="IWF3" s="120"/>
      <c r="IWG3" s="120"/>
      <c r="IWH3" s="120"/>
      <c r="IWI3" s="120"/>
      <c r="IWJ3" s="120"/>
      <c r="IWK3" s="120"/>
      <c r="IWL3" s="120"/>
      <c r="IWM3" s="120"/>
      <c r="IWN3" s="120"/>
      <c r="IWO3" s="120"/>
      <c r="IWP3" s="120"/>
      <c r="IWQ3" s="120"/>
      <c r="IWR3" s="120"/>
      <c r="IWS3" s="120"/>
      <c r="IWT3" s="120"/>
      <c r="IWU3" s="120"/>
      <c r="IWV3" s="120"/>
      <c r="IWW3" s="120"/>
      <c r="IWX3" s="120"/>
      <c r="IWY3" s="120"/>
      <c r="IWZ3" s="120"/>
      <c r="IXA3" s="120"/>
      <c r="IXB3" s="120"/>
      <c r="IXC3" s="120"/>
      <c r="IXD3" s="120"/>
      <c r="IXE3" s="120"/>
      <c r="IXF3" s="120"/>
      <c r="IXG3" s="120"/>
      <c r="IXH3" s="120"/>
      <c r="IXI3" s="120"/>
      <c r="IXJ3" s="120"/>
      <c r="IXK3" s="120"/>
      <c r="IXL3" s="120"/>
      <c r="IXM3" s="120"/>
      <c r="IXN3" s="120"/>
      <c r="IXO3" s="120"/>
      <c r="IXP3" s="120"/>
      <c r="IXQ3" s="120"/>
      <c r="IXR3" s="120"/>
      <c r="IXS3" s="120"/>
      <c r="IXT3" s="120"/>
      <c r="IXU3" s="120"/>
      <c r="IXV3" s="120"/>
      <c r="IXW3" s="120"/>
      <c r="IXX3" s="120"/>
      <c r="IXY3" s="120"/>
      <c r="IXZ3" s="120"/>
      <c r="IYA3" s="120"/>
      <c r="IYB3" s="120"/>
      <c r="IYC3" s="120"/>
      <c r="IYD3" s="120"/>
      <c r="IYE3" s="120"/>
      <c r="IYF3" s="120"/>
      <c r="IYG3" s="120"/>
      <c r="IYH3" s="120"/>
      <c r="IYI3" s="120"/>
      <c r="IYJ3" s="120"/>
      <c r="IYK3" s="120"/>
      <c r="IYL3" s="120"/>
      <c r="IYM3" s="120"/>
      <c r="IYN3" s="120"/>
      <c r="IYO3" s="120"/>
      <c r="IYP3" s="120"/>
      <c r="IYQ3" s="120"/>
      <c r="IYR3" s="120"/>
      <c r="IYS3" s="120"/>
      <c r="IYT3" s="120"/>
      <c r="IYU3" s="120"/>
      <c r="IYV3" s="120"/>
      <c r="IYW3" s="120"/>
      <c r="IYX3" s="120"/>
      <c r="IYY3" s="120"/>
      <c r="IYZ3" s="120"/>
      <c r="IZA3" s="120"/>
      <c r="IZB3" s="120"/>
      <c r="IZC3" s="120"/>
      <c r="IZD3" s="120"/>
      <c r="IZE3" s="120"/>
      <c r="IZF3" s="120"/>
      <c r="IZG3" s="120"/>
      <c r="IZH3" s="120"/>
      <c r="IZI3" s="120"/>
      <c r="IZJ3" s="120"/>
      <c r="IZK3" s="120"/>
      <c r="IZL3" s="120"/>
      <c r="IZM3" s="120"/>
      <c r="IZN3" s="120"/>
      <c r="IZO3" s="120"/>
      <c r="IZP3" s="120"/>
      <c r="IZQ3" s="120"/>
      <c r="IZR3" s="120"/>
      <c r="IZS3" s="120"/>
      <c r="IZT3" s="120"/>
      <c r="IZU3" s="120"/>
      <c r="IZV3" s="120"/>
      <c r="IZW3" s="120"/>
      <c r="IZX3" s="120"/>
      <c r="IZY3" s="120"/>
      <c r="IZZ3" s="120"/>
      <c r="JAA3" s="120"/>
      <c r="JAB3" s="120"/>
      <c r="JAC3" s="120"/>
      <c r="JAD3" s="120"/>
      <c r="JAE3" s="120"/>
      <c r="JAF3" s="120"/>
      <c r="JAG3" s="120"/>
      <c r="JAH3" s="120"/>
      <c r="JAI3" s="120"/>
      <c r="JAJ3" s="120"/>
      <c r="JAK3" s="120"/>
      <c r="JAL3" s="120"/>
      <c r="JAM3" s="120"/>
      <c r="JAN3" s="120"/>
      <c r="JAO3" s="120"/>
      <c r="JAP3" s="120"/>
      <c r="JAQ3" s="120"/>
      <c r="JAR3" s="120"/>
      <c r="JAS3" s="120"/>
      <c r="JAT3" s="120"/>
      <c r="JAU3" s="120"/>
      <c r="JAV3" s="120"/>
      <c r="JAW3" s="120"/>
      <c r="JAX3" s="120"/>
      <c r="JAY3" s="120"/>
      <c r="JAZ3" s="120"/>
      <c r="JBA3" s="120"/>
      <c r="JBB3" s="120"/>
      <c r="JBC3" s="120"/>
      <c r="JBD3" s="120"/>
      <c r="JBE3" s="120"/>
      <c r="JBF3" s="120"/>
      <c r="JBG3" s="120"/>
      <c r="JBH3" s="120"/>
      <c r="JBI3" s="120"/>
      <c r="JBJ3" s="120"/>
      <c r="JBK3" s="120"/>
      <c r="JBL3" s="120"/>
      <c r="JBM3" s="120"/>
      <c r="JBN3" s="120"/>
      <c r="JBO3" s="120"/>
      <c r="JBP3" s="120"/>
      <c r="JBQ3" s="120"/>
      <c r="JBR3" s="120"/>
      <c r="JBS3" s="120"/>
      <c r="JBT3" s="120"/>
      <c r="JBU3" s="120"/>
      <c r="JBV3" s="120"/>
      <c r="JBW3" s="120"/>
      <c r="JBX3" s="120"/>
      <c r="JBY3" s="120"/>
      <c r="JBZ3" s="120"/>
      <c r="JCA3" s="120"/>
      <c r="JCB3" s="120"/>
      <c r="JCC3" s="120"/>
      <c r="JCD3" s="120"/>
      <c r="JCE3" s="120"/>
      <c r="JCF3" s="120"/>
      <c r="JCG3" s="120"/>
      <c r="JCH3" s="120"/>
      <c r="JCI3" s="120"/>
      <c r="JCJ3" s="120"/>
      <c r="JCK3" s="120"/>
      <c r="JCL3" s="120"/>
      <c r="JCM3" s="120"/>
      <c r="JCN3" s="120"/>
      <c r="JCO3" s="120"/>
      <c r="JCP3" s="120"/>
      <c r="JCQ3" s="120"/>
      <c r="JCR3" s="120"/>
      <c r="JCS3" s="120"/>
      <c r="JCT3" s="120"/>
      <c r="JCU3" s="120"/>
      <c r="JCV3" s="120"/>
      <c r="JCW3" s="120"/>
      <c r="JCX3" s="120"/>
      <c r="JCY3" s="120"/>
      <c r="JCZ3" s="120"/>
      <c r="JDA3" s="120"/>
      <c r="JDB3" s="120"/>
      <c r="JDC3" s="120"/>
      <c r="JDD3" s="120"/>
      <c r="JDE3" s="120"/>
      <c r="JDF3" s="120"/>
      <c r="JDG3" s="120"/>
      <c r="JDH3" s="120"/>
      <c r="JDI3" s="120"/>
      <c r="JDJ3" s="120"/>
      <c r="JDK3" s="120"/>
      <c r="JDL3" s="120"/>
      <c r="JDM3" s="120"/>
      <c r="JDN3" s="120"/>
      <c r="JDO3" s="120"/>
      <c r="JDP3" s="120"/>
      <c r="JDQ3" s="120"/>
      <c r="JDR3" s="120"/>
      <c r="JDS3" s="120"/>
      <c r="JDT3" s="120"/>
      <c r="JDU3" s="120"/>
      <c r="JDV3" s="120"/>
      <c r="JDW3" s="120"/>
      <c r="JDX3" s="120"/>
      <c r="JDY3" s="120"/>
      <c r="JDZ3" s="120"/>
      <c r="JEA3" s="120"/>
      <c r="JEB3" s="120"/>
      <c r="JEC3" s="120"/>
      <c r="JED3" s="120"/>
      <c r="JEE3" s="120"/>
      <c r="JEF3" s="120"/>
      <c r="JEG3" s="120"/>
      <c r="JEH3" s="120"/>
      <c r="JEI3" s="120"/>
      <c r="JEJ3" s="120"/>
      <c r="JEK3" s="120"/>
      <c r="JEL3" s="120"/>
      <c r="JEM3" s="120"/>
      <c r="JEN3" s="120"/>
      <c r="JEO3" s="120"/>
      <c r="JEP3" s="120"/>
      <c r="JEQ3" s="120"/>
      <c r="JER3" s="120"/>
      <c r="JES3" s="120"/>
      <c r="JET3" s="120"/>
      <c r="JEU3" s="120"/>
      <c r="JEV3" s="120"/>
      <c r="JEW3" s="120"/>
      <c r="JEX3" s="120"/>
      <c r="JEY3" s="120"/>
      <c r="JEZ3" s="120"/>
      <c r="JFA3" s="120"/>
      <c r="JFB3" s="120"/>
      <c r="JFC3" s="120"/>
      <c r="JFD3" s="120"/>
      <c r="JFE3" s="120"/>
      <c r="JFF3" s="120"/>
      <c r="JFG3" s="120"/>
      <c r="JFH3" s="120"/>
      <c r="JFI3" s="120"/>
      <c r="JFJ3" s="120"/>
      <c r="JFK3" s="120"/>
      <c r="JFL3" s="120"/>
      <c r="JFM3" s="120"/>
      <c r="JFN3" s="120"/>
      <c r="JFO3" s="120"/>
      <c r="JFP3" s="120"/>
      <c r="JFQ3" s="120"/>
      <c r="JFR3" s="120"/>
      <c r="JFS3" s="120"/>
      <c r="JFT3" s="120"/>
      <c r="JFU3" s="120"/>
      <c r="JFV3" s="120"/>
      <c r="JFW3" s="120"/>
      <c r="JFX3" s="120"/>
      <c r="JFY3" s="120"/>
      <c r="JFZ3" s="120"/>
      <c r="JGA3" s="120"/>
      <c r="JGB3" s="120"/>
      <c r="JGC3" s="120"/>
      <c r="JGD3" s="120"/>
      <c r="JGE3" s="120"/>
      <c r="JGF3" s="120"/>
      <c r="JGG3" s="120"/>
      <c r="JGH3" s="120"/>
      <c r="JGI3" s="120"/>
      <c r="JGJ3" s="120"/>
      <c r="JGK3" s="120"/>
      <c r="JGL3" s="120"/>
      <c r="JGM3" s="120"/>
      <c r="JGN3" s="120"/>
      <c r="JGO3" s="120"/>
      <c r="JGP3" s="120"/>
      <c r="JGQ3" s="120"/>
      <c r="JGR3" s="120"/>
      <c r="JGS3" s="120"/>
      <c r="JGT3" s="120"/>
      <c r="JGU3" s="120"/>
      <c r="JGV3" s="120"/>
      <c r="JGW3" s="120"/>
      <c r="JGX3" s="120"/>
      <c r="JGY3" s="120"/>
      <c r="JGZ3" s="120"/>
      <c r="JHA3" s="120"/>
      <c r="JHB3" s="120"/>
      <c r="JHC3" s="120"/>
      <c r="JHD3" s="120"/>
      <c r="JHE3" s="120"/>
      <c r="JHF3" s="120"/>
      <c r="JHG3" s="120"/>
      <c r="JHH3" s="120"/>
      <c r="JHI3" s="120"/>
      <c r="JHJ3" s="120"/>
      <c r="JHK3" s="120"/>
      <c r="JHL3" s="120"/>
      <c r="JHM3" s="120"/>
      <c r="JHN3" s="120"/>
      <c r="JHO3" s="120"/>
      <c r="JHP3" s="120"/>
      <c r="JHQ3" s="120"/>
      <c r="JHR3" s="120"/>
      <c r="JHS3" s="120"/>
      <c r="JHT3" s="120"/>
      <c r="JHU3" s="120"/>
      <c r="JHV3" s="120"/>
      <c r="JHW3" s="120"/>
      <c r="JHX3" s="120"/>
      <c r="JHY3" s="120"/>
      <c r="JHZ3" s="120"/>
      <c r="JIA3" s="120"/>
      <c r="JIB3" s="120"/>
      <c r="JIC3" s="120"/>
      <c r="JID3" s="120"/>
      <c r="JIE3" s="120"/>
      <c r="JIF3" s="120"/>
      <c r="JIG3" s="120"/>
      <c r="JIH3" s="120"/>
      <c r="JII3" s="120"/>
      <c r="JIJ3" s="120"/>
      <c r="JIK3" s="120"/>
      <c r="JIL3" s="120"/>
      <c r="JIM3" s="120"/>
      <c r="JIN3" s="120"/>
      <c r="JIO3" s="120"/>
      <c r="JIP3" s="120"/>
      <c r="JIQ3" s="120"/>
      <c r="JIR3" s="120"/>
      <c r="JIS3" s="120"/>
      <c r="JIT3" s="120"/>
      <c r="JIU3" s="120"/>
      <c r="JIV3" s="120"/>
      <c r="JIW3" s="120"/>
      <c r="JIX3" s="120"/>
      <c r="JIY3" s="120"/>
      <c r="JIZ3" s="120"/>
      <c r="JJA3" s="120"/>
      <c r="JJB3" s="120"/>
      <c r="JJC3" s="120"/>
      <c r="JJD3" s="120"/>
      <c r="JJE3" s="120"/>
      <c r="JJF3" s="120"/>
      <c r="JJG3" s="120"/>
      <c r="JJH3" s="120"/>
      <c r="JJI3" s="120"/>
      <c r="JJJ3" s="120"/>
      <c r="JJK3" s="120"/>
      <c r="JJL3" s="120"/>
      <c r="JJM3" s="120"/>
      <c r="JJN3" s="120"/>
      <c r="JJO3" s="120"/>
      <c r="JJP3" s="120"/>
      <c r="JJQ3" s="120"/>
      <c r="JJR3" s="120"/>
      <c r="JJS3" s="120"/>
      <c r="JJT3" s="120"/>
      <c r="JJU3" s="120"/>
      <c r="JJV3" s="120"/>
      <c r="JJW3" s="120"/>
      <c r="JJX3" s="120"/>
      <c r="JJY3" s="120"/>
      <c r="JJZ3" s="120"/>
      <c r="JKA3" s="120"/>
      <c r="JKB3" s="120"/>
      <c r="JKC3" s="120"/>
      <c r="JKD3" s="120"/>
      <c r="JKE3" s="120"/>
      <c r="JKF3" s="120"/>
      <c r="JKG3" s="120"/>
      <c r="JKH3" s="120"/>
      <c r="JKI3" s="120"/>
      <c r="JKJ3" s="120"/>
      <c r="JKK3" s="120"/>
      <c r="JKL3" s="120"/>
      <c r="JKM3" s="120"/>
      <c r="JKN3" s="120"/>
      <c r="JKO3" s="120"/>
      <c r="JKP3" s="120"/>
      <c r="JKQ3" s="120"/>
      <c r="JKR3" s="120"/>
      <c r="JKS3" s="120"/>
      <c r="JKT3" s="120"/>
      <c r="JKU3" s="120"/>
      <c r="JKV3" s="120"/>
      <c r="JKW3" s="120"/>
      <c r="JKX3" s="120"/>
      <c r="JKY3" s="120"/>
      <c r="JKZ3" s="120"/>
      <c r="JLA3" s="120"/>
      <c r="JLB3" s="120"/>
      <c r="JLC3" s="120"/>
      <c r="JLD3" s="120"/>
      <c r="JLE3" s="120"/>
      <c r="JLF3" s="120"/>
      <c r="JLG3" s="120"/>
      <c r="JLH3" s="120"/>
      <c r="JLI3" s="120"/>
      <c r="JLJ3" s="120"/>
      <c r="JLK3" s="120"/>
      <c r="JLL3" s="120"/>
      <c r="JLM3" s="120"/>
      <c r="JLN3" s="120"/>
      <c r="JLO3" s="120"/>
      <c r="JLP3" s="120"/>
      <c r="JLQ3" s="120"/>
      <c r="JLR3" s="120"/>
      <c r="JLS3" s="120"/>
      <c r="JLT3" s="120"/>
      <c r="JLU3" s="120"/>
      <c r="JLV3" s="120"/>
      <c r="JLW3" s="120"/>
      <c r="JLX3" s="120"/>
      <c r="JLY3" s="120"/>
      <c r="JLZ3" s="120"/>
      <c r="JMA3" s="120"/>
      <c r="JMB3" s="120"/>
      <c r="JMC3" s="120"/>
      <c r="JMD3" s="120"/>
      <c r="JME3" s="120"/>
      <c r="JMF3" s="120"/>
      <c r="JMG3" s="120"/>
      <c r="JMH3" s="120"/>
      <c r="JMI3" s="120"/>
      <c r="JMJ3" s="120"/>
      <c r="JMK3" s="120"/>
      <c r="JML3" s="120"/>
      <c r="JMM3" s="120"/>
      <c r="JMN3" s="120"/>
      <c r="JMO3" s="120"/>
      <c r="JMP3" s="120"/>
      <c r="JMQ3" s="120"/>
      <c r="JMR3" s="120"/>
      <c r="JMS3" s="120"/>
      <c r="JMT3" s="120"/>
      <c r="JMU3" s="120"/>
      <c r="JMV3" s="120"/>
      <c r="JMW3" s="120"/>
      <c r="JMX3" s="120"/>
      <c r="JMY3" s="120"/>
      <c r="JMZ3" s="120"/>
      <c r="JNA3" s="120"/>
      <c r="JNB3" s="120"/>
      <c r="JNC3" s="120"/>
      <c r="JND3" s="120"/>
      <c r="JNE3" s="120"/>
      <c r="JNF3" s="120"/>
      <c r="JNG3" s="120"/>
      <c r="JNH3" s="120"/>
      <c r="JNI3" s="120"/>
      <c r="JNJ3" s="120"/>
      <c r="JNK3" s="120"/>
      <c r="JNL3" s="120"/>
      <c r="JNM3" s="120"/>
      <c r="JNN3" s="120"/>
      <c r="JNO3" s="120"/>
      <c r="JNP3" s="120"/>
      <c r="JNQ3" s="120"/>
      <c r="JNR3" s="120"/>
      <c r="JNS3" s="120"/>
      <c r="JNT3" s="120"/>
      <c r="JNU3" s="120"/>
      <c r="JNV3" s="120"/>
      <c r="JNW3" s="120"/>
      <c r="JNX3" s="120"/>
      <c r="JNY3" s="120"/>
      <c r="JNZ3" s="120"/>
      <c r="JOA3" s="120"/>
      <c r="JOB3" s="120"/>
      <c r="JOC3" s="120"/>
      <c r="JOD3" s="120"/>
      <c r="JOE3" s="120"/>
      <c r="JOF3" s="120"/>
      <c r="JOG3" s="120"/>
      <c r="JOH3" s="120"/>
      <c r="JOI3" s="120"/>
      <c r="JOJ3" s="120"/>
      <c r="JOK3" s="120"/>
      <c r="JOL3" s="120"/>
      <c r="JOM3" s="120"/>
      <c r="JON3" s="120"/>
      <c r="JOO3" s="120"/>
      <c r="JOP3" s="120"/>
      <c r="JOQ3" s="120"/>
      <c r="JOR3" s="120"/>
      <c r="JOS3" s="120"/>
      <c r="JOT3" s="120"/>
      <c r="JOU3" s="120"/>
      <c r="JOV3" s="120"/>
      <c r="JOW3" s="120"/>
      <c r="JOX3" s="120"/>
      <c r="JOY3" s="120"/>
      <c r="JOZ3" s="120"/>
      <c r="JPA3" s="120"/>
      <c r="JPB3" s="120"/>
      <c r="JPC3" s="120"/>
      <c r="JPD3" s="120"/>
      <c r="JPE3" s="120"/>
      <c r="JPF3" s="120"/>
      <c r="JPG3" s="120"/>
      <c r="JPH3" s="120"/>
      <c r="JPI3" s="120"/>
      <c r="JPJ3" s="120"/>
      <c r="JPK3" s="120"/>
      <c r="JPL3" s="120"/>
      <c r="JPM3" s="120"/>
      <c r="JPN3" s="120"/>
      <c r="JPO3" s="120"/>
      <c r="JPP3" s="120"/>
      <c r="JPQ3" s="120"/>
      <c r="JPR3" s="120"/>
      <c r="JPS3" s="120"/>
      <c r="JPT3" s="120"/>
      <c r="JPU3" s="120"/>
      <c r="JPV3" s="120"/>
      <c r="JPW3" s="120"/>
      <c r="JPX3" s="120"/>
      <c r="JPY3" s="120"/>
      <c r="JPZ3" s="120"/>
      <c r="JQA3" s="120"/>
      <c r="JQB3" s="120"/>
      <c r="JQC3" s="120"/>
      <c r="JQD3" s="120"/>
      <c r="JQE3" s="120"/>
      <c r="JQF3" s="120"/>
      <c r="JQG3" s="120"/>
      <c r="JQH3" s="120"/>
      <c r="JQI3" s="120"/>
      <c r="JQJ3" s="120"/>
      <c r="JQK3" s="120"/>
      <c r="JQL3" s="120"/>
      <c r="JQM3" s="120"/>
      <c r="JQN3" s="120"/>
      <c r="JQO3" s="120"/>
      <c r="JQP3" s="120"/>
      <c r="JQQ3" s="120"/>
      <c r="JQR3" s="120"/>
      <c r="JQS3" s="120"/>
      <c r="JQT3" s="120"/>
      <c r="JQU3" s="120"/>
      <c r="JQV3" s="120"/>
      <c r="JQW3" s="120"/>
      <c r="JQX3" s="120"/>
      <c r="JQY3" s="120"/>
      <c r="JQZ3" s="120"/>
      <c r="JRA3" s="120"/>
      <c r="JRB3" s="120"/>
      <c r="JRC3" s="120"/>
      <c r="JRD3" s="120"/>
      <c r="JRE3" s="120"/>
      <c r="JRF3" s="120"/>
      <c r="JRG3" s="120"/>
      <c r="JRH3" s="120"/>
      <c r="JRI3" s="120"/>
      <c r="JRJ3" s="120"/>
      <c r="JRK3" s="120"/>
      <c r="JRL3" s="120"/>
      <c r="JRM3" s="120"/>
      <c r="JRN3" s="120"/>
      <c r="JRO3" s="120"/>
      <c r="JRP3" s="120"/>
      <c r="JRQ3" s="120"/>
      <c r="JRR3" s="120"/>
      <c r="JRS3" s="120"/>
      <c r="JRT3" s="120"/>
      <c r="JRU3" s="120"/>
      <c r="JRV3" s="120"/>
      <c r="JRW3" s="120"/>
      <c r="JRX3" s="120"/>
      <c r="JRY3" s="120"/>
      <c r="JRZ3" s="120"/>
      <c r="JSA3" s="120"/>
      <c r="JSB3" s="120"/>
      <c r="JSC3" s="120"/>
      <c r="JSD3" s="120"/>
      <c r="JSE3" s="120"/>
      <c r="JSF3" s="120"/>
      <c r="JSG3" s="120"/>
      <c r="JSH3" s="120"/>
      <c r="JSI3" s="120"/>
      <c r="JSJ3" s="120"/>
      <c r="JSK3" s="120"/>
      <c r="JSL3" s="120"/>
      <c r="JSM3" s="120"/>
      <c r="JSN3" s="120"/>
      <c r="JSO3" s="120"/>
      <c r="JSP3" s="120"/>
      <c r="JSQ3" s="120"/>
      <c r="JSR3" s="120"/>
      <c r="JSS3" s="120"/>
      <c r="JST3" s="120"/>
      <c r="JSU3" s="120"/>
      <c r="JSV3" s="120"/>
      <c r="JSW3" s="120"/>
      <c r="JSX3" s="120"/>
      <c r="JSY3" s="120"/>
      <c r="JSZ3" s="120"/>
      <c r="JTA3" s="120"/>
      <c r="JTB3" s="120"/>
      <c r="JTC3" s="120"/>
      <c r="JTD3" s="120"/>
      <c r="JTE3" s="120"/>
      <c r="JTF3" s="120"/>
      <c r="JTG3" s="120"/>
      <c r="JTH3" s="120"/>
      <c r="JTI3" s="120"/>
      <c r="JTJ3" s="120"/>
      <c r="JTK3" s="120"/>
      <c r="JTL3" s="120"/>
      <c r="JTM3" s="120"/>
      <c r="JTN3" s="120"/>
      <c r="JTO3" s="120"/>
      <c r="JTP3" s="120"/>
      <c r="JTQ3" s="120"/>
      <c r="JTR3" s="120"/>
      <c r="JTS3" s="120"/>
      <c r="JTT3" s="120"/>
      <c r="JTU3" s="120"/>
      <c r="JTV3" s="120"/>
      <c r="JTW3" s="120"/>
      <c r="JTX3" s="120"/>
      <c r="JTY3" s="120"/>
      <c r="JTZ3" s="120"/>
      <c r="JUA3" s="120"/>
      <c r="JUB3" s="120"/>
      <c r="JUC3" s="120"/>
      <c r="JUD3" s="120"/>
      <c r="JUE3" s="120"/>
      <c r="JUF3" s="120"/>
      <c r="JUG3" s="120"/>
      <c r="JUH3" s="120"/>
      <c r="JUI3" s="120"/>
      <c r="JUJ3" s="120"/>
      <c r="JUK3" s="120"/>
      <c r="JUL3" s="120"/>
      <c r="JUM3" s="120"/>
      <c r="JUN3" s="120"/>
      <c r="JUO3" s="120"/>
      <c r="JUP3" s="120"/>
      <c r="JUQ3" s="120"/>
      <c r="JUR3" s="120"/>
      <c r="JUS3" s="120"/>
      <c r="JUT3" s="120"/>
      <c r="JUU3" s="120"/>
      <c r="JUV3" s="120"/>
      <c r="JUW3" s="120"/>
      <c r="JUX3" s="120"/>
      <c r="JUY3" s="120"/>
      <c r="JUZ3" s="120"/>
      <c r="JVA3" s="120"/>
      <c r="JVB3" s="120"/>
      <c r="JVC3" s="120"/>
      <c r="JVD3" s="120"/>
      <c r="JVE3" s="120"/>
      <c r="JVF3" s="120"/>
      <c r="JVG3" s="120"/>
      <c r="JVH3" s="120"/>
      <c r="JVI3" s="120"/>
      <c r="JVJ3" s="120"/>
      <c r="JVK3" s="120"/>
      <c r="JVL3" s="120"/>
      <c r="JVM3" s="120"/>
      <c r="JVN3" s="120"/>
      <c r="JVO3" s="120"/>
      <c r="JVP3" s="120"/>
      <c r="JVQ3" s="120"/>
      <c r="JVR3" s="120"/>
      <c r="JVS3" s="120"/>
      <c r="JVT3" s="120"/>
      <c r="JVU3" s="120"/>
      <c r="JVV3" s="120"/>
      <c r="JVW3" s="120"/>
      <c r="JVX3" s="120"/>
      <c r="JVY3" s="120"/>
      <c r="JVZ3" s="120"/>
      <c r="JWA3" s="120"/>
      <c r="JWB3" s="120"/>
      <c r="JWC3" s="120"/>
      <c r="JWD3" s="120"/>
      <c r="JWE3" s="120"/>
      <c r="JWF3" s="120"/>
      <c r="JWG3" s="120"/>
      <c r="JWH3" s="120"/>
      <c r="JWI3" s="120"/>
      <c r="JWJ3" s="120"/>
      <c r="JWK3" s="120"/>
      <c r="JWL3" s="120"/>
      <c r="JWM3" s="120"/>
      <c r="JWN3" s="120"/>
      <c r="JWO3" s="120"/>
      <c r="JWP3" s="120"/>
      <c r="JWQ3" s="120"/>
      <c r="JWR3" s="120"/>
      <c r="JWS3" s="120"/>
      <c r="JWT3" s="120"/>
      <c r="JWU3" s="120"/>
      <c r="JWV3" s="120"/>
      <c r="JWW3" s="120"/>
      <c r="JWX3" s="120"/>
      <c r="JWY3" s="120"/>
      <c r="JWZ3" s="120"/>
      <c r="JXA3" s="120"/>
      <c r="JXB3" s="120"/>
      <c r="JXC3" s="120"/>
      <c r="JXD3" s="120"/>
      <c r="JXE3" s="120"/>
      <c r="JXF3" s="120"/>
      <c r="JXG3" s="120"/>
      <c r="JXH3" s="120"/>
      <c r="JXI3" s="120"/>
      <c r="JXJ3" s="120"/>
      <c r="JXK3" s="120"/>
      <c r="JXL3" s="120"/>
      <c r="JXM3" s="120"/>
      <c r="JXN3" s="120"/>
      <c r="JXO3" s="120"/>
      <c r="JXP3" s="120"/>
      <c r="JXQ3" s="120"/>
      <c r="JXR3" s="120"/>
      <c r="JXS3" s="120"/>
      <c r="JXT3" s="120"/>
      <c r="JXU3" s="120"/>
      <c r="JXV3" s="120"/>
      <c r="JXW3" s="120"/>
      <c r="JXX3" s="120"/>
      <c r="JXY3" s="120"/>
      <c r="JXZ3" s="120"/>
      <c r="JYA3" s="120"/>
      <c r="JYB3" s="120"/>
      <c r="JYC3" s="120"/>
      <c r="JYD3" s="120"/>
      <c r="JYE3" s="120"/>
      <c r="JYF3" s="120"/>
      <c r="JYG3" s="120"/>
      <c r="JYH3" s="120"/>
      <c r="JYI3" s="120"/>
      <c r="JYJ3" s="120"/>
      <c r="JYK3" s="120"/>
      <c r="JYL3" s="120"/>
      <c r="JYM3" s="120"/>
      <c r="JYN3" s="120"/>
      <c r="JYO3" s="120"/>
      <c r="JYP3" s="120"/>
      <c r="JYQ3" s="120"/>
      <c r="JYR3" s="120"/>
      <c r="JYS3" s="120"/>
      <c r="JYT3" s="120"/>
      <c r="JYU3" s="120"/>
      <c r="JYV3" s="120"/>
      <c r="JYW3" s="120"/>
      <c r="JYX3" s="120"/>
      <c r="JYY3" s="120"/>
      <c r="JYZ3" s="120"/>
      <c r="JZA3" s="120"/>
      <c r="JZB3" s="120"/>
      <c r="JZC3" s="120"/>
      <c r="JZD3" s="120"/>
      <c r="JZE3" s="120"/>
      <c r="JZF3" s="120"/>
      <c r="JZG3" s="120"/>
      <c r="JZH3" s="120"/>
      <c r="JZI3" s="120"/>
      <c r="JZJ3" s="120"/>
      <c r="JZK3" s="120"/>
      <c r="JZL3" s="120"/>
      <c r="JZM3" s="120"/>
      <c r="JZN3" s="120"/>
      <c r="JZO3" s="120"/>
      <c r="JZP3" s="120"/>
      <c r="JZQ3" s="120"/>
      <c r="JZR3" s="120"/>
      <c r="JZS3" s="120"/>
      <c r="JZT3" s="120"/>
      <c r="JZU3" s="120"/>
      <c r="JZV3" s="120"/>
      <c r="JZW3" s="120"/>
      <c r="JZX3" s="120"/>
      <c r="JZY3" s="120"/>
      <c r="JZZ3" s="120"/>
      <c r="KAA3" s="120"/>
      <c r="KAB3" s="120"/>
      <c r="KAC3" s="120"/>
      <c r="KAD3" s="120"/>
      <c r="KAE3" s="120"/>
      <c r="KAF3" s="120"/>
      <c r="KAG3" s="120"/>
      <c r="KAH3" s="120"/>
      <c r="KAI3" s="120"/>
      <c r="KAJ3" s="120"/>
      <c r="KAK3" s="120"/>
      <c r="KAL3" s="120"/>
      <c r="KAM3" s="120"/>
      <c r="KAN3" s="120"/>
      <c r="KAO3" s="120"/>
      <c r="KAP3" s="120"/>
      <c r="KAQ3" s="120"/>
      <c r="KAR3" s="120"/>
      <c r="KAS3" s="120"/>
      <c r="KAT3" s="120"/>
      <c r="KAU3" s="120"/>
      <c r="KAV3" s="120"/>
      <c r="KAW3" s="120"/>
      <c r="KAX3" s="120"/>
      <c r="KAY3" s="120"/>
      <c r="KAZ3" s="120"/>
      <c r="KBA3" s="120"/>
      <c r="KBB3" s="120"/>
      <c r="KBC3" s="120"/>
      <c r="KBD3" s="120"/>
      <c r="KBE3" s="120"/>
      <c r="KBF3" s="120"/>
      <c r="KBG3" s="120"/>
      <c r="KBH3" s="120"/>
      <c r="KBI3" s="120"/>
      <c r="KBJ3" s="120"/>
      <c r="KBK3" s="120"/>
      <c r="KBL3" s="120"/>
      <c r="KBM3" s="120"/>
      <c r="KBN3" s="120"/>
      <c r="KBO3" s="120"/>
      <c r="KBP3" s="120"/>
      <c r="KBQ3" s="120"/>
      <c r="KBR3" s="120"/>
      <c r="KBS3" s="120"/>
      <c r="KBT3" s="120"/>
      <c r="KBU3" s="120"/>
      <c r="KBV3" s="120"/>
      <c r="KBW3" s="120"/>
      <c r="KBX3" s="120"/>
      <c r="KBY3" s="120"/>
      <c r="KBZ3" s="120"/>
      <c r="KCA3" s="120"/>
      <c r="KCB3" s="120"/>
      <c r="KCC3" s="120"/>
      <c r="KCD3" s="120"/>
      <c r="KCE3" s="120"/>
      <c r="KCF3" s="120"/>
      <c r="KCG3" s="120"/>
      <c r="KCH3" s="120"/>
      <c r="KCI3" s="120"/>
      <c r="KCJ3" s="120"/>
      <c r="KCK3" s="120"/>
      <c r="KCL3" s="120"/>
      <c r="KCM3" s="120"/>
      <c r="KCN3" s="120"/>
      <c r="KCO3" s="120"/>
      <c r="KCP3" s="120"/>
      <c r="KCQ3" s="120"/>
      <c r="KCR3" s="120"/>
      <c r="KCS3" s="120"/>
      <c r="KCT3" s="120"/>
      <c r="KCU3" s="120"/>
      <c r="KCV3" s="120"/>
      <c r="KCW3" s="120"/>
      <c r="KCX3" s="120"/>
      <c r="KCY3" s="120"/>
      <c r="KCZ3" s="120"/>
      <c r="KDA3" s="120"/>
      <c r="KDB3" s="120"/>
      <c r="KDC3" s="120"/>
      <c r="KDD3" s="120"/>
      <c r="KDE3" s="120"/>
      <c r="KDF3" s="120"/>
      <c r="KDG3" s="120"/>
      <c r="KDH3" s="120"/>
      <c r="KDI3" s="120"/>
      <c r="KDJ3" s="120"/>
      <c r="KDK3" s="120"/>
      <c r="KDL3" s="120"/>
      <c r="KDM3" s="120"/>
      <c r="KDN3" s="120"/>
      <c r="KDO3" s="120"/>
      <c r="KDP3" s="120"/>
      <c r="KDQ3" s="120"/>
      <c r="KDR3" s="120"/>
      <c r="KDS3" s="120"/>
      <c r="KDT3" s="120"/>
      <c r="KDU3" s="120"/>
      <c r="KDV3" s="120"/>
      <c r="KDW3" s="120"/>
      <c r="KDX3" s="120"/>
      <c r="KDY3" s="120"/>
      <c r="KDZ3" s="120"/>
      <c r="KEA3" s="120"/>
      <c r="KEB3" s="120"/>
      <c r="KEC3" s="120"/>
      <c r="KED3" s="120"/>
      <c r="KEE3" s="120"/>
      <c r="KEF3" s="120"/>
      <c r="KEG3" s="120"/>
      <c r="KEH3" s="120"/>
      <c r="KEI3" s="120"/>
      <c r="KEJ3" s="120"/>
      <c r="KEK3" s="120"/>
      <c r="KEL3" s="120"/>
      <c r="KEM3" s="120"/>
      <c r="KEN3" s="120"/>
      <c r="KEO3" s="120"/>
      <c r="KEP3" s="120"/>
      <c r="KEQ3" s="120"/>
      <c r="KER3" s="120"/>
      <c r="KES3" s="120"/>
      <c r="KET3" s="120"/>
      <c r="KEU3" s="120"/>
      <c r="KEV3" s="120"/>
      <c r="KEW3" s="120"/>
      <c r="KEX3" s="120"/>
      <c r="KEY3" s="120"/>
      <c r="KEZ3" s="120"/>
      <c r="KFA3" s="120"/>
      <c r="KFB3" s="120"/>
      <c r="KFC3" s="120"/>
      <c r="KFD3" s="120"/>
      <c r="KFE3" s="120"/>
      <c r="KFF3" s="120"/>
      <c r="KFG3" s="120"/>
      <c r="KFH3" s="120"/>
      <c r="KFI3" s="120"/>
      <c r="KFJ3" s="120"/>
      <c r="KFK3" s="120"/>
      <c r="KFL3" s="120"/>
      <c r="KFM3" s="120"/>
      <c r="KFN3" s="120"/>
      <c r="KFO3" s="120"/>
      <c r="KFP3" s="120"/>
      <c r="KFQ3" s="120"/>
      <c r="KFR3" s="120"/>
      <c r="KFS3" s="120"/>
      <c r="KFT3" s="120"/>
      <c r="KFU3" s="120"/>
      <c r="KFV3" s="120"/>
      <c r="KFW3" s="120"/>
      <c r="KFX3" s="120"/>
      <c r="KFY3" s="120"/>
      <c r="KFZ3" s="120"/>
      <c r="KGA3" s="120"/>
      <c r="KGB3" s="120"/>
      <c r="KGC3" s="120"/>
      <c r="KGD3" s="120"/>
      <c r="KGE3" s="120"/>
      <c r="KGF3" s="120"/>
      <c r="KGG3" s="120"/>
      <c r="KGH3" s="120"/>
      <c r="KGI3" s="120"/>
      <c r="KGJ3" s="120"/>
      <c r="KGK3" s="120"/>
      <c r="KGL3" s="120"/>
      <c r="KGM3" s="120"/>
      <c r="KGN3" s="120"/>
      <c r="KGO3" s="120"/>
      <c r="KGP3" s="120"/>
      <c r="KGQ3" s="120"/>
      <c r="KGR3" s="120"/>
      <c r="KGS3" s="120"/>
      <c r="KGT3" s="120"/>
      <c r="KGU3" s="120"/>
      <c r="KGV3" s="120"/>
      <c r="KGW3" s="120"/>
      <c r="KGX3" s="120"/>
      <c r="KGY3" s="120"/>
      <c r="KGZ3" s="120"/>
      <c r="KHA3" s="120"/>
      <c r="KHB3" s="120"/>
      <c r="KHC3" s="120"/>
      <c r="KHD3" s="120"/>
      <c r="KHE3" s="120"/>
      <c r="KHF3" s="120"/>
      <c r="KHG3" s="120"/>
      <c r="KHH3" s="120"/>
      <c r="KHI3" s="120"/>
      <c r="KHJ3" s="120"/>
      <c r="KHK3" s="120"/>
      <c r="KHL3" s="120"/>
      <c r="KHM3" s="120"/>
      <c r="KHN3" s="120"/>
      <c r="KHO3" s="120"/>
      <c r="KHP3" s="120"/>
      <c r="KHQ3" s="120"/>
      <c r="KHR3" s="120"/>
      <c r="KHS3" s="120"/>
      <c r="KHT3" s="120"/>
      <c r="KHU3" s="120"/>
      <c r="KHV3" s="120"/>
      <c r="KHW3" s="120"/>
      <c r="KHX3" s="120"/>
      <c r="KHY3" s="120"/>
      <c r="KHZ3" s="120"/>
      <c r="KIA3" s="120"/>
      <c r="KIB3" s="120"/>
      <c r="KIC3" s="120"/>
      <c r="KID3" s="120"/>
      <c r="KIE3" s="120"/>
      <c r="KIF3" s="120"/>
      <c r="KIG3" s="120"/>
      <c r="KIH3" s="120"/>
      <c r="KII3" s="120"/>
      <c r="KIJ3" s="120"/>
      <c r="KIK3" s="120"/>
      <c r="KIL3" s="120"/>
      <c r="KIM3" s="120"/>
      <c r="KIN3" s="120"/>
      <c r="KIO3" s="120"/>
      <c r="KIP3" s="120"/>
      <c r="KIQ3" s="120"/>
      <c r="KIR3" s="120"/>
      <c r="KIS3" s="120"/>
      <c r="KIT3" s="120"/>
      <c r="KIU3" s="120"/>
      <c r="KIV3" s="120"/>
      <c r="KIW3" s="120"/>
      <c r="KIX3" s="120"/>
      <c r="KIY3" s="120"/>
      <c r="KIZ3" s="120"/>
      <c r="KJA3" s="120"/>
      <c r="KJB3" s="120"/>
      <c r="KJC3" s="120"/>
      <c r="KJD3" s="120"/>
      <c r="KJE3" s="120"/>
      <c r="KJF3" s="120"/>
      <c r="KJG3" s="120"/>
      <c r="KJH3" s="120"/>
      <c r="KJI3" s="120"/>
      <c r="KJJ3" s="120"/>
      <c r="KJK3" s="120"/>
      <c r="KJL3" s="120"/>
      <c r="KJM3" s="120"/>
      <c r="KJN3" s="120"/>
      <c r="KJO3" s="120"/>
      <c r="KJP3" s="120"/>
      <c r="KJQ3" s="120"/>
      <c r="KJR3" s="120"/>
      <c r="KJS3" s="120"/>
      <c r="KJT3" s="120"/>
      <c r="KJU3" s="120"/>
      <c r="KJV3" s="120"/>
      <c r="KJW3" s="120"/>
      <c r="KJX3" s="120"/>
      <c r="KJY3" s="120"/>
      <c r="KJZ3" s="120"/>
      <c r="KKA3" s="120"/>
      <c r="KKB3" s="120"/>
      <c r="KKC3" s="120"/>
      <c r="KKD3" s="120"/>
      <c r="KKE3" s="120"/>
      <c r="KKF3" s="120"/>
      <c r="KKG3" s="120"/>
      <c r="KKH3" s="120"/>
      <c r="KKI3" s="120"/>
      <c r="KKJ3" s="120"/>
      <c r="KKK3" s="120"/>
      <c r="KKL3" s="120"/>
      <c r="KKM3" s="120"/>
      <c r="KKN3" s="120"/>
      <c r="KKO3" s="120"/>
      <c r="KKP3" s="120"/>
      <c r="KKQ3" s="120"/>
      <c r="KKR3" s="120"/>
      <c r="KKS3" s="120"/>
      <c r="KKT3" s="120"/>
      <c r="KKU3" s="120"/>
      <c r="KKV3" s="120"/>
      <c r="KKW3" s="120"/>
      <c r="KKX3" s="120"/>
      <c r="KKY3" s="120"/>
      <c r="KKZ3" s="120"/>
      <c r="KLA3" s="120"/>
      <c r="KLB3" s="120"/>
      <c r="KLC3" s="120"/>
      <c r="KLD3" s="120"/>
      <c r="KLE3" s="120"/>
      <c r="KLF3" s="120"/>
      <c r="KLG3" s="120"/>
      <c r="KLH3" s="120"/>
      <c r="KLI3" s="120"/>
      <c r="KLJ3" s="120"/>
      <c r="KLK3" s="120"/>
      <c r="KLL3" s="120"/>
      <c r="KLM3" s="120"/>
      <c r="KLN3" s="120"/>
      <c r="KLO3" s="120"/>
      <c r="KLP3" s="120"/>
      <c r="KLQ3" s="120"/>
      <c r="KLR3" s="120"/>
      <c r="KLS3" s="120"/>
      <c r="KLT3" s="120"/>
      <c r="KLU3" s="120"/>
      <c r="KLV3" s="120"/>
      <c r="KLW3" s="120"/>
      <c r="KLX3" s="120"/>
      <c r="KLY3" s="120"/>
      <c r="KLZ3" s="120"/>
      <c r="KMA3" s="120"/>
      <c r="KMB3" s="120"/>
      <c r="KMC3" s="120"/>
      <c r="KMD3" s="120"/>
      <c r="KME3" s="120"/>
      <c r="KMF3" s="120"/>
      <c r="KMG3" s="120"/>
      <c r="KMH3" s="120"/>
      <c r="KMI3" s="120"/>
      <c r="KMJ3" s="120"/>
      <c r="KMK3" s="120"/>
      <c r="KML3" s="120"/>
      <c r="KMM3" s="120"/>
      <c r="KMN3" s="120"/>
      <c r="KMO3" s="120"/>
      <c r="KMP3" s="120"/>
      <c r="KMQ3" s="120"/>
      <c r="KMR3" s="120"/>
      <c r="KMS3" s="120"/>
      <c r="KMT3" s="120"/>
      <c r="KMU3" s="120"/>
      <c r="KMV3" s="120"/>
      <c r="KMW3" s="120"/>
      <c r="KMX3" s="120"/>
      <c r="KMY3" s="120"/>
      <c r="KMZ3" s="120"/>
      <c r="KNA3" s="120"/>
      <c r="KNB3" s="120"/>
      <c r="KNC3" s="120"/>
      <c r="KND3" s="120"/>
      <c r="KNE3" s="120"/>
      <c r="KNF3" s="120"/>
      <c r="KNG3" s="120"/>
      <c r="KNH3" s="120"/>
      <c r="KNI3" s="120"/>
      <c r="KNJ3" s="120"/>
      <c r="KNK3" s="120"/>
      <c r="KNL3" s="120"/>
      <c r="KNM3" s="120"/>
      <c r="KNN3" s="120"/>
      <c r="KNO3" s="120"/>
      <c r="KNP3" s="120"/>
      <c r="KNQ3" s="120"/>
      <c r="KNR3" s="120"/>
      <c r="KNS3" s="120"/>
      <c r="KNT3" s="120"/>
      <c r="KNU3" s="120"/>
      <c r="KNV3" s="120"/>
      <c r="KNW3" s="120"/>
      <c r="KNX3" s="120"/>
      <c r="KNY3" s="120"/>
      <c r="KNZ3" s="120"/>
      <c r="KOA3" s="120"/>
      <c r="KOB3" s="120"/>
      <c r="KOC3" s="120"/>
      <c r="KOD3" s="120"/>
      <c r="KOE3" s="120"/>
      <c r="KOF3" s="120"/>
      <c r="KOG3" s="120"/>
      <c r="KOH3" s="120"/>
      <c r="KOI3" s="120"/>
      <c r="KOJ3" s="120"/>
      <c r="KOK3" s="120"/>
      <c r="KOL3" s="120"/>
      <c r="KOM3" s="120"/>
      <c r="KON3" s="120"/>
      <c r="KOO3" s="120"/>
      <c r="KOP3" s="120"/>
      <c r="KOQ3" s="120"/>
      <c r="KOR3" s="120"/>
      <c r="KOS3" s="120"/>
      <c r="KOT3" s="120"/>
      <c r="KOU3" s="120"/>
      <c r="KOV3" s="120"/>
      <c r="KOW3" s="120"/>
      <c r="KOX3" s="120"/>
      <c r="KOY3" s="120"/>
      <c r="KOZ3" s="120"/>
      <c r="KPA3" s="120"/>
      <c r="KPB3" s="120"/>
      <c r="KPC3" s="120"/>
      <c r="KPD3" s="120"/>
      <c r="KPE3" s="120"/>
      <c r="KPF3" s="120"/>
      <c r="KPG3" s="120"/>
      <c r="KPH3" s="120"/>
      <c r="KPI3" s="120"/>
      <c r="KPJ3" s="120"/>
      <c r="KPK3" s="120"/>
      <c r="KPL3" s="120"/>
      <c r="KPM3" s="120"/>
      <c r="KPN3" s="120"/>
      <c r="KPO3" s="120"/>
      <c r="KPP3" s="120"/>
      <c r="KPQ3" s="120"/>
      <c r="KPR3" s="120"/>
      <c r="KPS3" s="120"/>
      <c r="KPT3" s="120"/>
      <c r="KPU3" s="120"/>
      <c r="KPV3" s="120"/>
      <c r="KPW3" s="120"/>
      <c r="KPX3" s="120"/>
      <c r="KPY3" s="120"/>
      <c r="KPZ3" s="120"/>
      <c r="KQA3" s="120"/>
      <c r="KQB3" s="120"/>
      <c r="KQC3" s="120"/>
      <c r="KQD3" s="120"/>
      <c r="KQE3" s="120"/>
      <c r="KQF3" s="120"/>
      <c r="KQG3" s="120"/>
      <c r="KQH3" s="120"/>
      <c r="KQI3" s="120"/>
      <c r="KQJ3" s="120"/>
      <c r="KQK3" s="120"/>
      <c r="KQL3" s="120"/>
      <c r="KQM3" s="120"/>
      <c r="KQN3" s="120"/>
      <c r="KQO3" s="120"/>
      <c r="KQP3" s="120"/>
      <c r="KQQ3" s="120"/>
      <c r="KQR3" s="120"/>
      <c r="KQS3" s="120"/>
      <c r="KQT3" s="120"/>
      <c r="KQU3" s="120"/>
      <c r="KQV3" s="120"/>
      <c r="KQW3" s="120"/>
      <c r="KQX3" s="120"/>
      <c r="KQY3" s="120"/>
      <c r="KQZ3" s="120"/>
      <c r="KRA3" s="120"/>
      <c r="KRB3" s="120"/>
      <c r="KRC3" s="120"/>
      <c r="KRD3" s="120"/>
      <c r="KRE3" s="120"/>
      <c r="KRF3" s="120"/>
      <c r="KRG3" s="120"/>
      <c r="KRH3" s="120"/>
      <c r="KRI3" s="120"/>
      <c r="KRJ3" s="120"/>
      <c r="KRK3" s="120"/>
      <c r="KRL3" s="120"/>
      <c r="KRM3" s="120"/>
      <c r="KRN3" s="120"/>
      <c r="KRO3" s="120"/>
      <c r="KRP3" s="120"/>
      <c r="KRQ3" s="120"/>
      <c r="KRR3" s="120"/>
      <c r="KRS3" s="120"/>
      <c r="KRT3" s="120"/>
      <c r="KRU3" s="120"/>
      <c r="KRV3" s="120"/>
      <c r="KRW3" s="120"/>
      <c r="KRX3" s="120"/>
      <c r="KRY3" s="120"/>
      <c r="KRZ3" s="120"/>
      <c r="KSA3" s="120"/>
      <c r="KSB3" s="120"/>
      <c r="KSC3" s="120"/>
      <c r="KSD3" s="120"/>
      <c r="KSE3" s="120"/>
      <c r="KSF3" s="120"/>
      <c r="KSG3" s="120"/>
      <c r="KSH3" s="120"/>
      <c r="KSI3" s="120"/>
      <c r="KSJ3" s="120"/>
      <c r="KSK3" s="120"/>
      <c r="KSL3" s="120"/>
      <c r="KSM3" s="120"/>
      <c r="KSN3" s="120"/>
      <c r="KSO3" s="120"/>
      <c r="KSP3" s="120"/>
      <c r="KSQ3" s="120"/>
      <c r="KSR3" s="120"/>
      <c r="KSS3" s="120"/>
      <c r="KST3" s="120"/>
      <c r="KSU3" s="120"/>
      <c r="KSV3" s="120"/>
      <c r="KSW3" s="120"/>
      <c r="KSX3" s="120"/>
      <c r="KSY3" s="120"/>
      <c r="KSZ3" s="120"/>
      <c r="KTA3" s="120"/>
      <c r="KTB3" s="120"/>
      <c r="KTC3" s="120"/>
      <c r="KTD3" s="120"/>
      <c r="KTE3" s="120"/>
      <c r="KTF3" s="120"/>
      <c r="KTG3" s="120"/>
      <c r="KTH3" s="120"/>
      <c r="KTI3" s="120"/>
      <c r="KTJ3" s="120"/>
      <c r="KTK3" s="120"/>
      <c r="KTL3" s="120"/>
      <c r="KTM3" s="120"/>
      <c r="KTN3" s="120"/>
      <c r="KTO3" s="120"/>
      <c r="KTP3" s="120"/>
      <c r="KTQ3" s="120"/>
      <c r="KTR3" s="120"/>
      <c r="KTS3" s="120"/>
      <c r="KTT3" s="120"/>
      <c r="KTU3" s="120"/>
      <c r="KTV3" s="120"/>
      <c r="KTW3" s="120"/>
      <c r="KTX3" s="120"/>
      <c r="KTY3" s="120"/>
      <c r="KTZ3" s="120"/>
      <c r="KUA3" s="120"/>
      <c r="KUB3" s="120"/>
      <c r="KUC3" s="120"/>
      <c r="KUD3" s="120"/>
      <c r="KUE3" s="120"/>
      <c r="KUF3" s="120"/>
      <c r="KUG3" s="120"/>
      <c r="KUH3" s="120"/>
      <c r="KUI3" s="120"/>
      <c r="KUJ3" s="120"/>
      <c r="KUK3" s="120"/>
      <c r="KUL3" s="120"/>
      <c r="KUM3" s="120"/>
      <c r="KUN3" s="120"/>
      <c r="KUO3" s="120"/>
      <c r="KUP3" s="120"/>
      <c r="KUQ3" s="120"/>
      <c r="KUR3" s="120"/>
      <c r="KUS3" s="120"/>
      <c r="KUT3" s="120"/>
      <c r="KUU3" s="120"/>
      <c r="KUV3" s="120"/>
      <c r="KUW3" s="120"/>
      <c r="KUX3" s="120"/>
      <c r="KUY3" s="120"/>
      <c r="KUZ3" s="120"/>
      <c r="KVA3" s="120"/>
      <c r="KVB3" s="120"/>
      <c r="KVC3" s="120"/>
      <c r="KVD3" s="120"/>
      <c r="KVE3" s="120"/>
      <c r="KVF3" s="120"/>
      <c r="KVG3" s="120"/>
      <c r="KVH3" s="120"/>
      <c r="KVI3" s="120"/>
      <c r="KVJ3" s="120"/>
      <c r="KVK3" s="120"/>
      <c r="KVL3" s="120"/>
      <c r="KVM3" s="120"/>
      <c r="KVN3" s="120"/>
      <c r="KVO3" s="120"/>
      <c r="KVP3" s="120"/>
      <c r="KVQ3" s="120"/>
      <c r="KVR3" s="120"/>
      <c r="KVS3" s="120"/>
      <c r="KVT3" s="120"/>
      <c r="KVU3" s="120"/>
      <c r="KVV3" s="120"/>
      <c r="KVW3" s="120"/>
      <c r="KVX3" s="120"/>
      <c r="KVY3" s="120"/>
      <c r="KVZ3" s="120"/>
      <c r="KWA3" s="120"/>
      <c r="KWB3" s="120"/>
      <c r="KWC3" s="120"/>
      <c r="KWD3" s="120"/>
      <c r="KWE3" s="120"/>
      <c r="KWF3" s="120"/>
      <c r="KWG3" s="120"/>
      <c r="KWH3" s="120"/>
      <c r="KWI3" s="120"/>
      <c r="KWJ3" s="120"/>
      <c r="KWK3" s="120"/>
      <c r="KWL3" s="120"/>
      <c r="KWM3" s="120"/>
      <c r="KWN3" s="120"/>
      <c r="KWO3" s="120"/>
      <c r="KWP3" s="120"/>
      <c r="KWQ3" s="120"/>
      <c r="KWR3" s="120"/>
      <c r="KWS3" s="120"/>
      <c r="KWT3" s="120"/>
      <c r="KWU3" s="120"/>
      <c r="KWV3" s="120"/>
      <c r="KWW3" s="120"/>
      <c r="KWX3" s="120"/>
      <c r="KWY3" s="120"/>
      <c r="KWZ3" s="120"/>
      <c r="KXA3" s="120"/>
      <c r="KXB3" s="120"/>
      <c r="KXC3" s="120"/>
      <c r="KXD3" s="120"/>
      <c r="KXE3" s="120"/>
      <c r="KXF3" s="120"/>
      <c r="KXG3" s="120"/>
      <c r="KXH3" s="120"/>
      <c r="KXI3" s="120"/>
      <c r="KXJ3" s="120"/>
      <c r="KXK3" s="120"/>
      <c r="KXL3" s="120"/>
      <c r="KXM3" s="120"/>
      <c r="KXN3" s="120"/>
      <c r="KXO3" s="120"/>
      <c r="KXP3" s="120"/>
      <c r="KXQ3" s="120"/>
      <c r="KXR3" s="120"/>
      <c r="KXS3" s="120"/>
      <c r="KXT3" s="120"/>
      <c r="KXU3" s="120"/>
      <c r="KXV3" s="120"/>
      <c r="KXW3" s="120"/>
      <c r="KXX3" s="120"/>
      <c r="KXY3" s="120"/>
      <c r="KXZ3" s="120"/>
      <c r="KYA3" s="120"/>
      <c r="KYB3" s="120"/>
      <c r="KYC3" s="120"/>
      <c r="KYD3" s="120"/>
      <c r="KYE3" s="120"/>
      <c r="KYF3" s="120"/>
      <c r="KYG3" s="120"/>
      <c r="KYH3" s="120"/>
      <c r="KYI3" s="120"/>
      <c r="KYJ3" s="120"/>
      <c r="KYK3" s="120"/>
      <c r="KYL3" s="120"/>
      <c r="KYM3" s="120"/>
      <c r="KYN3" s="120"/>
      <c r="KYO3" s="120"/>
      <c r="KYP3" s="120"/>
      <c r="KYQ3" s="120"/>
      <c r="KYR3" s="120"/>
      <c r="KYS3" s="120"/>
      <c r="KYT3" s="120"/>
      <c r="KYU3" s="120"/>
      <c r="KYV3" s="120"/>
      <c r="KYW3" s="120"/>
      <c r="KYX3" s="120"/>
      <c r="KYY3" s="120"/>
      <c r="KYZ3" s="120"/>
      <c r="KZA3" s="120"/>
      <c r="KZB3" s="120"/>
      <c r="KZC3" s="120"/>
      <c r="KZD3" s="120"/>
      <c r="KZE3" s="120"/>
      <c r="KZF3" s="120"/>
      <c r="KZG3" s="120"/>
      <c r="KZH3" s="120"/>
      <c r="KZI3" s="120"/>
      <c r="KZJ3" s="120"/>
      <c r="KZK3" s="120"/>
      <c r="KZL3" s="120"/>
      <c r="KZM3" s="120"/>
      <c r="KZN3" s="120"/>
      <c r="KZO3" s="120"/>
      <c r="KZP3" s="120"/>
      <c r="KZQ3" s="120"/>
      <c r="KZR3" s="120"/>
      <c r="KZS3" s="120"/>
      <c r="KZT3" s="120"/>
      <c r="KZU3" s="120"/>
      <c r="KZV3" s="120"/>
      <c r="KZW3" s="120"/>
      <c r="KZX3" s="120"/>
      <c r="KZY3" s="120"/>
      <c r="KZZ3" s="120"/>
      <c r="LAA3" s="120"/>
      <c r="LAB3" s="120"/>
      <c r="LAC3" s="120"/>
      <c r="LAD3" s="120"/>
      <c r="LAE3" s="120"/>
      <c r="LAF3" s="120"/>
      <c r="LAG3" s="120"/>
      <c r="LAH3" s="120"/>
      <c r="LAI3" s="120"/>
      <c r="LAJ3" s="120"/>
      <c r="LAK3" s="120"/>
      <c r="LAL3" s="120"/>
      <c r="LAM3" s="120"/>
      <c r="LAN3" s="120"/>
      <c r="LAO3" s="120"/>
      <c r="LAP3" s="120"/>
      <c r="LAQ3" s="120"/>
      <c r="LAR3" s="120"/>
      <c r="LAS3" s="120"/>
      <c r="LAT3" s="120"/>
      <c r="LAU3" s="120"/>
      <c r="LAV3" s="120"/>
      <c r="LAW3" s="120"/>
      <c r="LAX3" s="120"/>
      <c r="LAY3" s="120"/>
      <c r="LAZ3" s="120"/>
      <c r="LBA3" s="120"/>
      <c r="LBB3" s="120"/>
      <c r="LBC3" s="120"/>
      <c r="LBD3" s="120"/>
      <c r="LBE3" s="120"/>
      <c r="LBF3" s="120"/>
      <c r="LBG3" s="120"/>
      <c r="LBH3" s="120"/>
      <c r="LBI3" s="120"/>
      <c r="LBJ3" s="120"/>
      <c r="LBK3" s="120"/>
      <c r="LBL3" s="120"/>
      <c r="LBM3" s="120"/>
      <c r="LBN3" s="120"/>
      <c r="LBO3" s="120"/>
      <c r="LBP3" s="120"/>
      <c r="LBQ3" s="120"/>
      <c r="LBR3" s="120"/>
      <c r="LBS3" s="120"/>
      <c r="LBT3" s="120"/>
      <c r="LBU3" s="120"/>
      <c r="LBV3" s="120"/>
      <c r="LBW3" s="120"/>
      <c r="LBX3" s="120"/>
      <c r="LBY3" s="120"/>
      <c r="LBZ3" s="120"/>
      <c r="LCA3" s="120"/>
      <c r="LCB3" s="120"/>
      <c r="LCC3" s="120"/>
      <c r="LCD3" s="120"/>
      <c r="LCE3" s="120"/>
      <c r="LCF3" s="120"/>
      <c r="LCG3" s="120"/>
      <c r="LCH3" s="120"/>
      <c r="LCI3" s="120"/>
      <c r="LCJ3" s="120"/>
      <c r="LCK3" s="120"/>
      <c r="LCL3" s="120"/>
      <c r="LCM3" s="120"/>
      <c r="LCN3" s="120"/>
      <c r="LCO3" s="120"/>
      <c r="LCP3" s="120"/>
      <c r="LCQ3" s="120"/>
      <c r="LCR3" s="120"/>
      <c r="LCS3" s="120"/>
      <c r="LCT3" s="120"/>
      <c r="LCU3" s="120"/>
      <c r="LCV3" s="120"/>
      <c r="LCW3" s="120"/>
      <c r="LCX3" s="120"/>
      <c r="LCY3" s="120"/>
      <c r="LCZ3" s="120"/>
      <c r="LDA3" s="120"/>
      <c r="LDB3" s="120"/>
      <c r="LDC3" s="120"/>
      <c r="LDD3" s="120"/>
      <c r="LDE3" s="120"/>
      <c r="LDF3" s="120"/>
      <c r="LDG3" s="120"/>
      <c r="LDH3" s="120"/>
      <c r="LDI3" s="120"/>
      <c r="LDJ3" s="120"/>
      <c r="LDK3" s="120"/>
      <c r="LDL3" s="120"/>
      <c r="LDM3" s="120"/>
      <c r="LDN3" s="120"/>
      <c r="LDO3" s="120"/>
      <c r="LDP3" s="120"/>
      <c r="LDQ3" s="120"/>
      <c r="LDR3" s="120"/>
      <c r="LDS3" s="120"/>
      <c r="LDT3" s="120"/>
      <c r="LDU3" s="120"/>
      <c r="LDV3" s="120"/>
      <c r="LDW3" s="120"/>
      <c r="LDX3" s="120"/>
      <c r="LDY3" s="120"/>
      <c r="LDZ3" s="120"/>
      <c r="LEA3" s="120"/>
      <c r="LEB3" s="120"/>
      <c r="LEC3" s="120"/>
      <c r="LED3" s="120"/>
      <c r="LEE3" s="120"/>
      <c r="LEF3" s="120"/>
      <c r="LEG3" s="120"/>
      <c r="LEH3" s="120"/>
      <c r="LEI3" s="120"/>
      <c r="LEJ3" s="120"/>
      <c r="LEK3" s="120"/>
      <c r="LEL3" s="120"/>
      <c r="LEM3" s="120"/>
      <c r="LEN3" s="120"/>
      <c r="LEO3" s="120"/>
      <c r="LEP3" s="120"/>
      <c r="LEQ3" s="120"/>
      <c r="LER3" s="120"/>
      <c r="LES3" s="120"/>
      <c r="LET3" s="120"/>
      <c r="LEU3" s="120"/>
      <c r="LEV3" s="120"/>
      <c r="LEW3" s="120"/>
      <c r="LEX3" s="120"/>
      <c r="LEY3" s="120"/>
      <c r="LEZ3" s="120"/>
      <c r="LFA3" s="120"/>
      <c r="LFB3" s="120"/>
      <c r="LFC3" s="120"/>
      <c r="LFD3" s="120"/>
      <c r="LFE3" s="120"/>
      <c r="LFF3" s="120"/>
      <c r="LFG3" s="120"/>
      <c r="LFH3" s="120"/>
      <c r="LFI3" s="120"/>
      <c r="LFJ3" s="120"/>
      <c r="LFK3" s="120"/>
      <c r="LFL3" s="120"/>
      <c r="LFM3" s="120"/>
      <c r="LFN3" s="120"/>
      <c r="LFO3" s="120"/>
      <c r="LFP3" s="120"/>
      <c r="LFQ3" s="120"/>
      <c r="LFR3" s="120"/>
      <c r="LFS3" s="120"/>
      <c r="LFT3" s="120"/>
      <c r="LFU3" s="120"/>
      <c r="LFV3" s="120"/>
      <c r="LFW3" s="120"/>
      <c r="LFX3" s="120"/>
      <c r="LFY3" s="120"/>
      <c r="LFZ3" s="120"/>
      <c r="LGA3" s="120"/>
      <c r="LGB3" s="120"/>
      <c r="LGC3" s="120"/>
      <c r="LGD3" s="120"/>
      <c r="LGE3" s="120"/>
      <c r="LGF3" s="120"/>
      <c r="LGG3" s="120"/>
      <c r="LGH3" s="120"/>
      <c r="LGI3" s="120"/>
      <c r="LGJ3" s="120"/>
      <c r="LGK3" s="120"/>
      <c r="LGL3" s="120"/>
      <c r="LGM3" s="120"/>
      <c r="LGN3" s="120"/>
      <c r="LGO3" s="120"/>
      <c r="LGP3" s="120"/>
      <c r="LGQ3" s="120"/>
      <c r="LGR3" s="120"/>
      <c r="LGS3" s="120"/>
      <c r="LGT3" s="120"/>
      <c r="LGU3" s="120"/>
      <c r="LGV3" s="120"/>
      <c r="LGW3" s="120"/>
      <c r="LGX3" s="120"/>
      <c r="LGY3" s="120"/>
      <c r="LGZ3" s="120"/>
      <c r="LHA3" s="120"/>
      <c r="LHB3" s="120"/>
      <c r="LHC3" s="120"/>
      <c r="LHD3" s="120"/>
      <c r="LHE3" s="120"/>
      <c r="LHF3" s="120"/>
      <c r="LHG3" s="120"/>
      <c r="LHH3" s="120"/>
      <c r="LHI3" s="120"/>
      <c r="LHJ3" s="120"/>
      <c r="LHK3" s="120"/>
      <c r="LHL3" s="120"/>
      <c r="LHM3" s="120"/>
      <c r="LHN3" s="120"/>
      <c r="LHO3" s="120"/>
      <c r="LHP3" s="120"/>
      <c r="LHQ3" s="120"/>
      <c r="LHR3" s="120"/>
      <c r="LHS3" s="120"/>
      <c r="LHT3" s="120"/>
      <c r="LHU3" s="120"/>
      <c r="LHV3" s="120"/>
      <c r="LHW3" s="120"/>
      <c r="LHX3" s="120"/>
      <c r="LHY3" s="120"/>
      <c r="LHZ3" s="120"/>
      <c r="LIA3" s="120"/>
      <c r="LIB3" s="120"/>
      <c r="LIC3" s="120"/>
      <c r="LID3" s="120"/>
      <c r="LIE3" s="120"/>
      <c r="LIF3" s="120"/>
      <c r="LIG3" s="120"/>
      <c r="LIH3" s="120"/>
      <c r="LII3" s="120"/>
      <c r="LIJ3" s="120"/>
      <c r="LIK3" s="120"/>
      <c r="LIL3" s="120"/>
      <c r="LIM3" s="120"/>
      <c r="LIN3" s="120"/>
      <c r="LIO3" s="120"/>
      <c r="LIP3" s="120"/>
      <c r="LIQ3" s="120"/>
      <c r="LIR3" s="120"/>
      <c r="LIS3" s="120"/>
      <c r="LIT3" s="120"/>
      <c r="LIU3" s="120"/>
      <c r="LIV3" s="120"/>
      <c r="LIW3" s="120"/>
      <c r="LIX3" s="120"/>
      <c r="LIY3" s="120"/>
      <c r="LIZ3" s="120"/>
      <c r="LJA3" s="120"/>
      <c r="LJB3" s="120"/>
      <c r="LJC3" s="120"/>
      <c r="LJD3" s="120"/>
      <c r="LJE3" s="120"/>
      <c r="LJF3" s="120"/>
      <c r="LJG3" s="120"/>
      <c r="LJH3" s="120"/>
      <c r="LJI3" s="120"/>
      <c r="LJJ3" s="120"/>
      <c r="LJK3" s="120"/>
      <c r="LJL3" s="120"/>
      <c r="LJM3" s="120"/>
      <c r="LJN3" s="120"/>
      <c r="LJO3" s="120"/>
      <c r="LJP3" s="120"/>
      <c r="LJQ3" s="120"/>
      <c r="LJR3" s="120"/>
      <c r="LJS3" s="120"/>
      <c r="LJT3" s="120"/>
      <c r="LJU3" s="120"/>
      <c r="LJV3" s="120"/>
      <c r="LJW3" s="120"/>
      <c r="LJX3" s="120"/>
      <c r="LJY3" s="120"/>
      <c r="LJZ3" s="120"/>
      <c r="LKA3" s="120"/>
      <c r="LKB3" s="120"/>
      <c r="LKC3" s="120"/>
      <c r="LKD3" s="120"/>
      <c r="LKE3" s="120"/>
      <c r="LKF3" s="120"/>
      <c r="LKG3" s="120"/>
      <c r="LKH3" s="120"/>
      <c r="LKI3" s="120"/>
      <c r="LKJ3" s="120"/>
      <c r="LKK3" s="120"/>
      <c r="LKL3" s="120"/>
      <c r="LKM3" s="120"/>
      <c r="LKN3" s="120"/>
      <c r="LKO3" s="120"/>
      <c r="LKP3" s="120"/>
      <c r="LKQ3" s="120"/>
      <c r="LKR3" s="120"/>
      <c r="LKS3" s="120"/>
      <c r="LKT3" s="120"/>
      <c r="LKU3" s="120"/>
      <c r="LKV3" s="120"/>
      <c r="LKW3" s="120"/>
      <c r="LKX3" s="120"/>
      <c r="LKY3" s="120"/>
      <c r="LKZ3" s="120"/>
      <c r="LLA3" s="120"/>
      <c r="LLB3" s="120"/>
      <c r="LLC3" s="120"/>
      <c r="LLD3" s="120"/>
      <c r="LLE3" s="120"/>
      <c r="LLF3" s="120"/>
      <c r="LLG3" s="120"/>
      <c r="LLH3" s="120"/>
      <c r="LLI3" s="120"/>
      <c r="LLJ3" s="120"/>
      <c r="LLK3" s="120"/>
      <c r="LLL3" s="120"/>
      <c r="LLM3" s="120"/>
      <c r="LLN3" s="120"/>
      <c r="LLO3" s="120"/>
      <c r="LLP3" s="120"/>
      <c r="LLQ3" s="120"/>
      <c r="LLR3" s="120"/>
      <c r="LLS3" s="120"/>
      <c r="LLT3" s="120"/>
      <c r="LLU3" s="120"/>
      <c r="LLV3" s="120"/>
      <c r="LLW3" s="120"/>
      <c r="LLX3" s="120"/>
      <c r="LLY3" s="120"/>
      <c r="LLZ3" s="120"/>
      <c r="LMA3" s="120"/>
      <c r="LMB3" s="120"/>
      <c r="LMC3" s="120"/>
      <c r="LMD3" s="120"/>
      <c r="LME3" s="120"/>
      <c r="LMF3" s="120"/>
      <c r="LMG3" s="120"/>
      <c r="LMH3" s="120"/>
      <c r="LMI3" s="120"/>
      <c r="LMJ3" s="120"/>
      <c r="LMK3" s="120"/>
      <c r="LML3" s="120"/>
      <c r="LMM3" s="120"/>
      <c r="LMN3" s="120"/>
      <c r="LMO3" s="120"/>
      <c r="LMP3" s="120"/>
      <c r="LMQ3" s="120"/>
      <c r="LMR3" s="120"/>
      <c r="LMS3" s="120"/>
      <c r="LMT3" s="120"/>
      <c r="LMU3" s="120"/>
      <c r="LMV3" s="120"/>
      <c r="LMW3" s="120"/>
      <c r="LMX3" s="120"/>
      <c r="LMY3" s="120"/>
      <c r="LMZ3" s="120"/>
      <c r="LNA3" s="120"/>
      <c r="LNB3" s="120"/>
      <c r="LNC3" s="120"/>
      <c r="LND3" s="120"/>
      <c r="LNE3" s="120"/>
      <c r="LNF3" s="120"/>
      <c r="LNG3" s="120"/>
      <c r="LNH3" s="120"/>
      <c r="LNI3" s="120"/>
      <c r="LNJ3" s="120"/>
      <c r="LNK3" s="120"/>
      <c r="LNL3" s="120"/>
      <c r="LNM3" s="120"/>
      <c r="LNN3" s="120"/>
      <c r="LNO3" s="120"/>
      <c r="LNP3" s="120"/>
      <c r="LNQ3" s="120"/>
      <c r="LNR3" s="120"/>
      <c r="LNS3" s="120"/>
      <c r="LNT3" s="120"/>
      <c r="LNU3" s="120"/>
      <c r="LNV3" s="120"/>
      <c r="LNW3" s="120"/>
      <c r="LNX3" s="120"/>
      <c r="LNY3" s="120"/>
      <c r="LNZ3" s="120"/>
      <c r="LOA3" s="120"/>
      <c r="LOB3" s="120"/>
      <c r="LOC3" s="120"/>
      <c r="LOD3" s="120"/>
      <c r="LOE3" s="120"/>
      <c r="LOF3" s="120"/>
      <c r="LOG3" s="120"/>
      <c r="LOH3" s="120"/>
      <c r="LOI3" s="120"/>
      <c r="LOJ3" s="120"/>
      <c r="LOK3" s="120"/>
      <c r="LOL3" s="120"/>
      <c r="LOM3" s="120"/>
      <c r="LON3" s="120"/>
      <c r="LOO3" s="120"/>
      <c r="LOP3" s="120"/>
      <c r="LOQ3" s="120"/>
      <c r="LOR3" s="120"/>
      <c r="LOS3" s="120"/>
      <c r="LOT3" s="120"/>
      <c r="LOU3" s="120"/>
      <c r="LOV3" s="120"/>
      <c r="LOW3" s="120"/>
      <c r="LOX3" s="120"/>
      <c r="LOY3" s="120"/>
      <c r="LOZ3" s="120"/>
      <c r="LPA3" s="120"/>
      <c r="LPB3" s="120"/>
      <c r="LPC3" s="120"/>
      <c r="LPD3" s="120"/>
      <c r="LPE3" s="120"/>
      <c r="LPF3" s="120"/>
      <c r="LPG3" s="120"/>
      <c r="LPH3" s="120"/>
      <c r="LPI3" s="120"/>
      <c r="LPJ3" s="120"/>
      <c r="LPK3" s="120"/>
      <c r="LPL3" s="120"/>
      <c r="LPM3" s="120"/>
      <c r="LPN3" s="120"/>
      <c r="LPO3" s="120"/>
      <c r="LPP3" s="120"/>
      <c r="LPQ3" s="120"/>
      <c r="LPR3" s="120"/>
      <c r="LPS3" s="120"/>
      <c r="LPT3" s="120"/>
      <c r="LPU3" s="120"/>
      <c r="LPV3" s="120"/>
      <c r="LPW3" s="120"/>
      <c r="LPX3" s="120"/>
      <c r="LPY3" s="120"/>
      <c r="LPZ3" s="120"/>
      <c r="LQA3" s="120"/>
      <c r="LQB3" s="120"/>
      <c r="LQC3" s="120"/>
      <c r="LQD3" s="120"/>
      <c r="LQE3" s="120"/>
      <c r="LQF3" s="120"/>
      <c r="LQG3" s="120"/>
      <c r="LQH3" s="120"/>
      <c r="LQI3" s="120"/>
      <c r="LQJ3" s="120"/>
      <c r="LQK3" s="120"/>
      <c r="LQL3" s="120"/>
      <c r="LQM3" s="120"/>
      <c r="LQN3" s="120"/>
      <c r="LQO3" s="120"/>
      <c r="LQP3" s="120"/>
      <c r="LQQ3" s="120"/>
      <c r="LQR3" s="120"/>
      <c r="LQS3" s="120"/>
      <c r="LQT3" s="120"/>
      <c r="LQU3" s="120"/>
      <c r="LQV3" s="120"/>
      <c r="LQW3" s="120"/>
      <c r="LQX3" s="120"/>
      <c r="LQY3" s="120"/>
      <c r="LQZ3" s="120"/>
      <c r="LRA3" s="120"/>
      <c r="LRB3" s="120"/>
      <c r="LRC3" s="120"/>
      <c r="LRD3" s="120"/>
      <c r="LRE3" s="120"/>
      <c r="LRF3" s="120"/>
      <c r="LRG3" s="120"/>
      <c r="LRH3" s="120"/>
      <c r="LRI3" s="120"/>
      <c r="LRJ3" s="120"/>
      <c r="LRK3" s="120"/>
      <c r="LRL3" s="120"/>
      <c r="LRM3" s="120"/>
      <c r="LRN3" s="120"/>
      <c r="LRO3" s="120"/>
      <c r="LRP3" s="120"/>
      <c r="LRQ3" s="120"/>
      <c r="LRR3" s="120"/>
      <c r="LRS3" s="120"/>
      <c r="LRT3" s="120"/>
      <c r="LRU3" s="120"/>
      <c r="LRV3" s="120"/>
      <c r="LRW3" s="120"/>
      <c r="LRX3" s="120"/>
      <c r="LRY3" s="120"/>
      <c r="LRZ3" s="120"/>
      <c r="LSA3" s="120"/>
      <c r="LSB3" s="120"/>
      <c r="LSC3" s="120"/>
      <c r="LSD3" s="120"/>
      <c r="LSE3" s="120"/>
      <c r="LSF3" s="120"/>
      <c r="LSG3" s="120"/>
      <c r="LSH3" s="120"/>
      <c r="LSI3" s="120"/>
      <c r="LSJ3" s="120"/>
      <c r="LSK3" s="120"/>
      <c r="LSL3" s="120"/>
      <c r="LSM3" s="120"/>
      <c r="LSN3" s="120"/>
      <c r="LSO3" s="120"/>
      <c r="LSP3" s="120"/>
      <c r="LSQ3" s="120"/>
      <c r="LSR3" s="120"/>
      <c r="LSS3" s="120"/>
      <c r="LST3" s="120"/>
      <c r="LSU3" s="120"/>
      <c r="LSV3" s="120"/>
      <c r="LSW3" s="120"/>
      <c r="LSX3" s="120"/>
      <c r="LSY3" s="120"/>
      <c r="LSZ3" s="120"/>
      <c r="LTA3" s="120"/>
      <c r="LTB3" s="120"/>
      <c r="LTC3" s="120"/>
      <c r="LTD3" s="120"/>
      <c r="LTE3" s="120"/>
      <c r="LTF3" s="120"/>
      <c r="LTG3" s="120"/>
      <c r="LTH3" s="120"/>
      <c r="LTI3" s="120"/>
      <c r="LTJ3" s="120"/>
      <c r="LTK3" s="120"/>
      <c r="LTL3" s="120"/>
      <c r="LTM3" s="120"/>
      <c r="LTN3" s="120"/>
      <c r="LTO3" s="120"/>
      <c r="LTP3" s="120"/>
      <c r="LTQ3" s="120"/>
      <c r="LTR3" s="120"/>
      <c r="LTS3" s="120"/>
      <c r="LTT3" s="120"/>
      <c r="LTU3" s="120"/>
      <c r="LTV3" s="120"/>
      <c r="LTW3" s="120"/>
      <c r="LTX3" s="120"/>
      <c r="LTY3" s="120"/>
      <c r="LTZ3" s="120"/>
      <c r="LUA3" s="120"/>
      <c r="LUB3" s="120"/>
      <c r="LUC3" s="120"/>
      <c r="LUD3" s="120"/>
      <c r="LUE3" s="120"/>
      <c r="LUF3" s="120"/>
      <c r="LUG3" s="120"/>
      <c r="LUH3" s="120"/>
      <c r="LUI3" s="120"/>
      <c r="LUJ3" s="120"/>
      <c r="LUK3" s="120"/>
      <c r="LUL3" s="120"/>
      <c r="LUM3" s="120"/>
      <c r="LUN3" s="120"/>
      <c r="LUO3" s="120"/>
      <c r="LUP3" s="120"/>
      <c r="LUQ3" s="120"/>
      <c r="LUR3" s="120"/>
      <c r="LUS3" s="120"/>
      <c r="LUT3" s="120"/>
      <c r="LUU3" s="120"/>
      <c r="LUV3" s="120"/>
      <c r="LUW3" s="120"/>
      <c r="LUX3" s="120"/>
      <c r="LUY3" s="120"/>
      <c r="LUZ3" s="120"/>
      <c r="LVA3" s="120"/>
      <c r="LVB3" s="120"/>
      <c r="LVC3" s="120"/>
      <c r="LVD3" s="120"/>
      <c r="LVE3" s="120"/>
      <c r="LVF3" s="120"/>
      <c r="LVG3" s="120"/>
      <c r="LVH3" s="120"/>
      <c r="LVI3" s="120"/>
      <c r="LVJ3" s="120"/>
      <c r="LVK3" s="120"/>
      <c r="LVL3" s="120"/>
      <c r="LVM3" s="120"/>
      <c r="LVN3" s="120"/>
      <c r="LVO3" s="120"/>
      <c r="LVP3" s="120"/>
      <c r="LVQ3" s="120"/>
      <c r="LVR3" s="120"/>
      <c r="LVS3" s="120"/>
      <c r="LVT3" s="120"/>
      <c r="LVU3" s="120"/>
      <c r="LVV3" s="120"/>
      <c r="LVW3" s="120"/>
      <c r="LVX3" s="120"/>
      <c r="LVY3" s="120"/>
      <c r="LVZ3" s="120"/>
      <c r="LWA3" s="120"/>
      <c r="LWB3" s="120"/>
      <c r="LWC3" s="120"/>
      <c r="LWD3" s="120"/>
      <c r="LWE3" s="120"/>
      <c r="LWF3" s="120"/>
      <c r="LWG3" s="120"/>
      <c r="LWH3" s="120"/>
      <c r="LWI3" s="120"/>
      <c r="LWJ3" s="120"/>
      <c r="LWK3" s="120"/>
      <c r="LWL3" s="120"/>
      <c r="LWM3" s="120"/>
      <c r="LWN3" s="120"/>
      <c r="LWO3" s="120"/>
      <c r="LWP3" s="120"/>
      <c r="LWQ3" s="120"/>
      <c r="LWR3" s="120"/>
      <c r="LWS3" s="120"/>
      <c r="LWT3" s="120"/>
      <c r="LWU3" s="120"/>
      <c r="LWV3" s="120"/>
      <c r="LWW3" s="120"/>
      <c r="LWX3" s="120"/>
      <c r="LWY3" s="120"/>
      <c r="LWZ3" s="120"/>
      <c r="LXA3" s="120"/>
      <c r="LXB3" s="120"/>
      <c r="LXC3" s="120"/>
      <c r="LXD3" s="120"/>
      <c r="LXE3" s="120"/>
      <c r="LXF3" s="120"/>
      <c r="LXG3" s="120"/>
      <c r="LXH3" s="120"/>
      <c r="LXI3" s="120"/>
      <c r="LXJ3" s="120"/>
      <c r="LXK3" s="120"/>
      <c r="LXL3" s="120"/>
      <c r="LXM3" s="120"/>
      <c r="LXN3" s="120"/>
      <c r="LXO3" s="120"/>
      <c r="LXP3" s="120"/>
      <c r="LXQ3" s="120"/>
      <c r="LXR3" s="120"/>
      <c r="LXS3" s="120"/>
      <c r="LXT3" s="120"/>
      <c r="LXU3" s="120"/>
      <c r="LXV3" s="120"/>
      <c r="LXW3" s="120"/>
      <c r="LXX3" s="120"/>
      <c r="LXY3" s="120"/>
      <c r="LXZ3" s="120"/>
      <c r="LYA3" s="120"/>
      <c r="LYB3" s="120"/>
      <c r="LYC3" s="120"/>
      <c r="LYD3" s="120"/>
      <c r="LYE3" s="120"/>
      <c r="LYF3" s="120"/>
      <c r="LYG3" s="120"/>
      <c r="LYH3" s="120"/>
      <c r="LYI3" s="120"/>
      <c r="LYJ3" s="120"/>
      <c r="LYK3" s="120"/>
      <c r="LYL3" s="120"/>
      <c r="LYM3" s="120"/>
      <c r="LYN3" s="120"/>
      <c r="LYO3" s="120"/>
      <c r="LYP3" s="120"/>
      <c r="LYQ3" s="120"/>
      <c r="LYR3" s="120"/>
      <c r="LYS3" s="120"/>
      <c r="LYT3" s="120"/>
      <c r="LYU3" s="120"/>
      <c r="LYV3" s="120"/>
      <c r="LYW3" s="120"/>
      <c r="LYX3" s="120"/>
      <c r="LYY3" s="120"/>
      <c r="LYZ3" s="120"/>
      <c r="LZA3" s="120"/>
      <c r="LZB3" s="120"/>
      <c r="LZC3" s="120"/>
      <c r="LZD3" s="120"/>
      <c r="LZE3" s="120"/>
      <c r="LZF3" s="120"/>
      <c r="LZG3" s="120"/>
      <c r="LZH3" s="120"/>
      <c r="LZI3" s="120"/>
      <c r="LZJ3" s="120"/>
      <c r="LZK3" s="120"/>
      <c r="LZL3" s="120"/>
      <c r="LZM3" s="120"/>
      <c r="LZN3" s="120"/>
      <c r="LZO3" s="120"/>
      <c r="LZP3" s="120"/>
      <c r="LZQ3" s="120"/>
      <c r="LZR3" s="120"/>
      <c r="LZS3" s="120"/>
      <c r="LZT3" s="120"/>
      <c r="LZU3" s="120"/>
      <c r="LZV3" s="120"/>
      <c r="LZW3" s="120"/>
      <c r="LZX3" s="120"/>
      <c r="LZY3" s="120"/>
      <c r="LZZ3" s="120"/>
      <c r="MAA3" s="120"/>
      <c r="MAB3" s="120"/>
      <c r="MAC3" s="120"/>
      <c r="MAD3" s="120"/>
      <c r="MAE3" s="120"/>
      <c r="MAF3" s="120"/>
      <c r="MAG3" s="120"/>
      <c r="MAH3" s="120"/>
      <c r="MAI3" s="120"/>
      <c r="MAJ3" s="120"/>
      <c r="MAK3" s="120"/>
      <c r="MAL3" s="120"/>
      <c r="MAM3" s="120"/>
      <c r="MAN3" s="120"/>
      <c r="MAO3" s="120"/>
      <c r="MAP3" s="120"/>
      <c r="MAQ3" s="120"/>
      <c r="MAR3" s="120"/>
      <c r="MAS3" s="120"/>
      <c r="MAT3" s="120"/>
      <c r="MAU3" s="120"/>
      <c r="MAV3" s="120"/>
      <c r="MAW3" s="120"/>
      <c r="MAX3" s="120"/>
      <c r="MAY3" s="120"/>
      <c r="MAZ3" s="120"/>
      <c r="MBA3" s="120"/>
      <c r="MBB3" s="120"/>
      <c r="MBC3" s="120"/>
      <c r="MBD3" s="120"/>
      <c r="MBE3" s="120"/>
      <c r="MBF3" s="120"/>
      <c r="MBG3" s="120"/>
      <c r="MBH3" s="120"/>
      <c r="MBI3" s="120"/>
      <c r="MBJ3" s="120"/>
      <c r="MBK3" s="120"/>
      <c r="MBL3" s="120"/>
      <c r="MBM3" s="120"/>
      <c r="MBN3" s="120"/>
      <c r="MBO3" s="120"/>
      <c r="MBP3" s="120"/>
      <c r="MBQ3" s="120"/>
      <c r="MBR3" s="120"/>
      <c r="MBS3" s="120"/>
      <c r="MBT3" s="120"/>
      <c r="MBU3" s="120"/>
      <c r="MBV3" s="120"/>
      <c r="MBW3" s="120"/>
      <c r="MBX3" s="120"/>
      <c r="MBY3" s="120"/>
      <c r="MBZ3" s="120"/>
      <c r="MCA3" s="120"/>
      <c r="MCB3" s="120"/>
      <c r="MCC3" s="120"/>
      <c r="MCD3" s="120"/>
      <c r="MCE3" s="120"/>
      <c r="MCF3" s="120"/>
      <c r="MCG3" s="120"/>
      <c r="MCH3" s="120"/>
      <c r="MCI3" s="120"/>
      <c r="MCJ3" s="120"/>
      <c r="MCK3" s="120"/>
      <c r="MCL3" s="120"/>
      <c r="MCM3" s="120"/>
      <c r="MCN3" s="120"/>
      <c r="MCO3" s="120"/>
      <c r="MCP3" s="120"/>
      <c r="MCQ3" s="120"/>
      <c r="MCR3" s="120"/>
      <c r="MCS3" s="120"/>
      <c r="MCT3" s="120"/>
      <c r="MCU3" s="120"/>
      <c r="MCV3" s="120"/>
      <c r="MCW3" s="120"/>
      <c r="MCX3" s="120"/>
      <c r="MCY3" s="120"/>
      <c r="MCZ3" s="120"/>
      <c r="MDA3" s="120"/>
      <c r="MDB3" s="120"/>
      <c r="MDC3" s="120"/>
      <c r="MDD3" s="120"/>
      <c r="MDE3" s="120"/>
      <c r="MDF3" s="120"/>
      <c r="MDG3" s="120"/>
      <c r="MDH3" s="120"/>
      <c r="MDI3" s="120"/>
      <c r="MDJ3" s="120"/>
      <c r="MDK3" s="120"/>
      <c r="MDL3" s="120"/>
      <c r="MDM3" s="120"/>
      <c r="MDN3" s="120"/>
      <c r="MDO3" s="120"/>
      <c r="MDP3" s="120"/>
      <c r="MDQ3" s="120"/>
      <c r="MDR3" s="120"/>
      <c r="MDS3" s="120"/>
      <c r="MDT3" s="120"/>
      <c r="MDU3" s="120"/>
      <c r="MDV3" s="120"/>
      <c r="MDW3" s="120"/>
      <c r="MDX3" s="120"/>
      <c r="MDY3" s="120"/>
      <c r="MDZ3" s="120"/>
      <c r="MEA3" s="120"/>
      <c r="MEB3" s="120"/>
      <c r="MEC3" s="120"/>
      <c r="MED3" s="120"/>
      <c r="MEE3" s="120"/>
      <c r="MEF3" s="120"/>
      <c r="MEG3" s="120"/>
      <c r="MEH3" s="120"/>
      <c r="MEI3" s="120"/>
      <c r="MEJ3" s="120"/>
      <c r="MEK3" s="120"/>
      <c r="MEL3" s="120"/>
      <c r="MEM3" s="120"/>
      <c r="MEN3" s="120"/>
      <c r="MEO3" s="120"/>
      <c r="MEP3" s="120"/>
      <c r="MEQ3" s="120"/>
      <c r="MER3" s="120"/>
      <c r="MES3" s="120"/>
      <c r="MET3" s="120"/>
      <c r="MEU3" s="120"/>
      <c r="MEV3" s="120"/>
      <c r="MEW3" s="120"/>
      <c r="MEX3" s="120"/>
      <c r="MEY3" s="120"/>
      <c r="MEZ3" s="120"/>
      <c r="MFA3" s="120"/>
      <c r="MFB3" s="120"/>
      <c r="MFC3" s="120"/>
      <c r="MFD3" s="120"/>
      <c r="MFE3" s="120"/>
      <c r="MFF3" s="120"/>
      <c r="MFG3" s="120"/>
      <c r="MFH3" s="120"/>
      <c r="MFI3" s="120"/>
      <c r="MFJ3" s="120"/>
      <c r="MFK3" s="120"/>
      <c r="MFL3" s="120"/>
      <c r="MFM3" s="120"/>
      <c r="MFN3" s="120"/>
      <c r="MFO3" s="120"/>
      <c r="MFP3" s="120"/>
      <c r="MFQ3" s="120"/>
      <c r="MFR3" s="120"/>
      <c r="MFS3" s="120"/>
      <c r="MFT3" s="120"/>
      <c r="MFU3" s="120"/>
      <c r="MFV3" s="120"/>
      <c r="MFW3" s="120"/>
      <c r="MFX3" s="120"/>
      <c r="MFY3" s="120"/>
      <c r="MFZ3" s="120"/>
      <c r="MGA3" s="120"/>
      <c r="MGB3" s="120"/>
      <c r="MGC3" s="120"/>
      <c r="MGD3" s="120"/>
      <c r="MGE3" s="120"/>
      <c r="MGF3" s="120"/>
      <c r="MGG3" s="120"/>
      <c r="MGH3" s="120"/>
      <c r="MGI3" s="120"/>
      <c r="MGJ3" s="120"/>
      <c r="MGK3" s="120"/>
      <c r="MGL3" s="120"/>
      <c r="MGM3" s="120"/>
      <c r="MGN3" s="120"/>
      <c r="MGO3" s="120"/>
      <c r="MGP3" s="120"/>
      <c r="MGQ3" s="120"/>
      <c r="MGR3" s="120"/>
      <c r="MGS3" s="120"/>
      <c r="MGT3" s="120"/>
      <c r="MGU3" s="120"/>
      <c r="MGV3" s="120"/>
      <c r="MGW3" s="120"/>
      <c r="MGX3" s="120"/>
      <c r="MGY3" s="120"/>
      <c r="MGZ3" s="120"/>
      <c r="MHA3" s="120"/>
      <c r="MHB3" s="120"/>
      <c r="MHC3" s="120"/>
      <c r="MHD3" s="120"/>
      <c r="MHE3" s="120"/>
      <c r="MHF3" s="120"/>
      <c r="MHG3" s="120"/>
      <c r="MHH3" s="120"/>
      <c r="MHI3" s="120"/>
      <c r="MHJ3" s="120"/>
      <c r="MHK3" s="120"/>
      <c r="MHL3" s="120"/>
      <c r="MHM3" s="120"/>
      <c r="MHN3" s="120"/>
      <c r="MHO3" s="120"/>
      <c r="MHP3" s="120"/>
      <c r="MHQ3" s="120"/>
      <c r="MHR3" s="120"/>
      <c r="MHS3" s="120"/>
      <c r="MHT3" s="120"/>
      <c r="MHU3" s="120"/>
      <c r="MHV3" s="120"/>
      <c r="MHW3" s="120"/>
      <c r="MHX3" s="120"/>
      <c r="MHY3" s="120"/>
      <c r="MHZ3" s="120"/>
      <c r="MIA3" s="120"/>
      <c r="MIB3" s="120"/>
      <c r="MIC3" s="120"/>
      <c r="MID3" s="120"/>
      <c r="MIE3" s="120"/>
      <c r="MIF3" s="120"/>
      <c r="MIG3" s="120"/>
      <c r="MIH3" s="120"/>
      <c r="MII3" s="120"/>
      <c r="MIJ3" s="120"/>
      <c r="MIK3" s="120"/>
      <c r="MIL3" s="120"/>
      <c r="MIM3" s="120"/>
      <c r="MIN3" s="120"/>
      <c r="MIO3" s="120"/>
      <c r="MIP3" s="120"/>
      <c r="MIQ3" s="120"/>
      <c r="MIR3" s="120"/>
      <c r="MIS3" s="120"/>
      <c r="MIT3" s="120"/>
      <c r="MIU3" s="120"/>
      <c r="MIV3" s="120"/>
      <c r="MIW3" s="120"/>
      <c r="MIX3" s="120"/>
      <c r="MIY3" s="120"/>
      <c r="MIZ3" s="120"/>
      <c r="MJA3" s="120"/>
      <c r="MJB3" s="120"/>
      <c r="MJC3" s="120"/>
      <c r="MJD3" s="120"/>
      <c r="MJE3" s="120"/>
      <c r="MJF3" s="120"/>
      <c r="MJG3" s="120"/>
      <c r="MJH3" s="120"/>
      <c r="MJI3" s="120"/>
      <c r="MJJ3" s="120"/>
      <c r="MJK3" s="120"/>
      <c r="MJL3" s="120"/>
      <c r="MJM3" s="120"/>
      <c r="MJN3" s="120"/>
      <c r="MJO3" s="120"/>
      <c r="MJP3" s="120"/>
      <c r="MJQ3" s="120"/>
      <c r="MJR3" s="120"/>
      <c r="MJS3" s="120"/>
      <c r="MJT3" s="120"/>
      <c r="MJU3" s="120"/>
      <c r="MJV3" s="120"/>
      <c r="MJW3" s="120"/>
      <c r="MJX3" s="120"/>
      <c r="MJY3" s="120"/>
      <c r="MJZ3" s="120"/>
      <c r="MKA3" s="120"/>
      <c r="MKB3" s="120"/>
      <c r="MKC3" s="120"/>
      <c r="MKD3" s="120"/>
      <c r="MKE3" s="120"/>
      <c r="MKF3" s="120"/>
      <c r="MKG3" s="120"/>
      <c r="MKH3" s="120"/>
      <c r="MKI3" s="120"/>
      <c r="MKJ3" s="120"/>
      <c r="MKK3" s="120"/>
      <c r="MKL3" s="120"/>
      <c r="MKM3" s="120"/>
      <c r="MKN3" s="120"/>
      <c r="MKO3" s="120"/>
      <c r="MKP3" s="120"/>
      <c r="MKQ3" s="120"/>
      <c r="MKR3" s="120"/>
      <c r="MKS3" s="120"/>
      <c r="MKT3" s="120"/>
      <c r="MKU3" s="120"/>
      <c r="MKV3" s="120"/>
      <c r="MKW3" s="120"/>
      <c r="MKX3" s="120"/>
      <c r="MKY3" s="120"/>
      <c r="MKZ3" s="120"/>
      <c r="MLA3" s="120"/>
      <c r="MLB3" s="120"/>
      <c r="MLC3" s="120"/>
      <c r="MLD3" s="120"/>
      <c r="MLE3" s="120"/>
      <c r="MLF3" s="120"/>
      <c r="MLG3" s="120"/>
      <c r="MLH3" s="120"/>
      <c r="MLI3" s="120"/>
      <c r="MLJ3" s="120"/>
      <c r="MLK3" s="120"/>
      <c r="MLL3" s="120"/>
      <c r="MLM3" s="120"/>
      <c r="MLN3" s="120"/>
      <c r="MLO3" s="120"/>
      <c r="MLP3" s="120"/>
      <c r="MLQ3" s="120"/>
      <c r="MLR3" s="120"/>
      <c r="MLS3" s="120"/>
      <c r="MLT3" s="120"/>
      <c r="MLU3" s="120"/>
      <c r="MLV3" s="120"/>
      <c r="MLW3" s="120"/>
      <c r="MLX3" s="120"/>
      <c r="MLY3" s="120"/>
      <c r="MLZ3" s="120"/>
      <c r="MMA3" s="120"/>
      <c r="MMB3" s="120"/>
      <c r="MMC3" s="120"/>
      <c r="MMD3" s="120"/>
      <c r="MME3" s="120"/>
      <c r="MMF3" s="120"/>
      <c r="MMG3" s="120"/>
      <c r="MMH3" s="120"/>
      <c r="MMI3" s="120"/>
      <c r="MMJ3" s="120"/>
      <c r="MMK3" s="120"/>
      <c r="MML3" s="120"/>
      <c r="MMM3" s="120"/>
      <c r="MMN3" s="120"/>
      <c r="MMO3" s="120"/>
      <c r="MMP3" s="120"/>
      <c r="MMQ3" s="120"/>
      <c r="MMR3" s="120"/>
      <c r="MMS3" s="120"/>
      <c r="MMT3" s="120"/>
      <c r="MMU3" s="120"/>
      <c r="MMV3" s="120"/>
      <c r="MMW3" s="120"/>
      <c r="MMX3" s="120"/>
      <c r="MMY3" s="120"/>
      <c r="MMZ3" s="120"/>
      <c r="MNA3" s="120"/>
      <c r="MNB3" s="120"/>
      <c r="MNC3" s="120"/>
      <c r="MND3" s="120"/>
      <c r="MNE3" s="120"/>
      <c r="MNF3" s="120"/>
      <c r="MNG3" s="120"/>
      <c r="MNH3" s="120"/>
      <c r="MNI3" s="120"/>
      <c r="MNJ3" s="120"/>
      <c r="MNK3" s="120"/>
      <c r="MNL3" s="120"/>
      <c r="MNM3" s="120"/>
      <c r="MNN3" s="120"/>
      <c r="MNO3" s="120"/>
      <c r="MNP3" s="120"/>
      <c r="MNQ3" s="120"/>
      <c r="MNR3" s="120"/>
      <c r="MNS3" s="120"/>
      <c r="MNT3" s="120"/>
      <c r="MNU3" s="120"/>
      <c r="MNV3" s="120"/>
      <c r="MNW3" s="120"/>
      <c r="MNX3" s="120"/>
      <c r="MNY3" s="120"/>
      <c r="MNZ3" s="120"/>
      <c r="MOA3" s="120"/>
      <c r="MOB3" s="120"/>
      <c r="MOC3" s="120"/>
      <c r="MOD3" s="120"/>
      <c r="MOE3" s="120"/>
      <c r="MOF3" s="120"/>
      <c r="MOG3" s="120"/>
      <c r="MOH3" s="120"/>
      <c r="MOI3" s="120"/>
      <c r="MOJ3" s="120"/>
      <c r="MOK3" s="120"/>
      <c r="MOL3" s="120"/>
      <c r="MOM3" s="120"/>
      <c r="MON3" s="120"/>
      <c r="MOO3" s="120"/>
      <c r="MOP3" s="120"/>
      <c r="MOQ3" s="120"/>
      <c r="MOR3" s="120"/>
      <c r="MOS3" s="120"/>
      <c r="MOT3" s="120"/>
      <c r="MOU3" s="120"/>
      <c r="MOV3" s="120"/>
      <c r="MOW3" s="120"/>
      <c r="MOX3" s="120"/>
      <c r="MOY3" s="120"/>
      <c r="MOZ3" s="120"/>
      <c r="MPA3" s="120"/>
      <c r="MPB3" s="120"/>
      <c r="MPC3" s="120"/>
      <c r="MPD3" s="120"/>
      <c r="MPE3" s="120"/>
      <c r="MPF3" s="120"/>
      <c r="MPG3" s="120"/>
      <c r="MPH3" s="120"/>
      <c r="MPI3" s="120"/>
      <c r="MPJ3" s="120"/>
      <c r="MPK3" s="120"/>
      <c r="MPL3" s="120"/>
      <c r="MPM3" s="120"/>
      <c r="MPN3" s="120"/>
      <c r="MPO3" s="120"/>
      <c r="MPP3" s="120"/>
      <c r="MPQ3" s="120"/>
      <c r="MPR3" s="120"/>
      <c r="MPS3" s="120"/>
      <c r="MPT3" s="120"/>
      <c r="MPU3" s="120"/>
      <c r="MPV3" s="120"/>
      <c r="MPW3" s="120"/>
      <c r="MPX3" s="120"/>
      <c r="MPY3" s="120"/>
      <c r="MPZ3" s="120"/>
      <c r="MQA3" s="120"/>
      <c r="MQB3" s="120"/>
      <c r="MQC3" s="120"/>
      <c r="MQD3" s="120"/>
      <c r="MQE3" s="120"/>
      <c r="MQF3" s="120"/>
      <c r="MQG3" s="120"/>
      <c r="MQH3" s="120"/>
      <c r="MQI3" s="120"/>
      <c r="MQJ3" s="120"/>
      <c r="MQK3" s="120"/>
      <c r="MQL3" s="120"/>
      <c r="MQM3" s="120"/>
      <c r="MQN3" s="120"/>
      <c r="MQO3" s="120"/>
      <c r="MQP3" s="120"/>
      <c r="MQQ3" s="120"/>
      <c r="MQR3" s="120"/>
      <c r="MQS3" s="120"/>
      <c r="MQT3" s="120"/>
      <c r="MQU3" s="120"/>
      <c r="MQV3" s="120"/>
      <c r="MQW3" s="120"/>
      <c r="MQX3" s="120"/>
      <c r="MQY3" s="120"/>
      <c r="MQZ3" s="120"/>
      <c r="MRA3" s="120"/>
      <c r="MRB3" s="120"/>
      <c r="MRC3" s="120"/>
      <c r="MRD3" s="120"/>
      <c r="MRE3" s="120"/>
      <c r="MRF3" s="120"/>
      <c r="MRG3" s="120"/>
      <c r="MRH3" s="120"/>
      <c r="MRI3" s="120"/>
      <c r="MRJ3" s="120"/>
      <c r="MRK3" s="120"/>
      <c r="MRL3" s="120"/>
      <c r="MRM3" s="120"/>
      <c r="MRN3" s="120"/>
      <c r="MRO3" s="120"/>
      <c r="MRP3" s="120"/>
      <c r="MRQ3" s="120"/>
      <c r="MRR3" s="120"/>
      <c r="MRS3" s="120"/>
      <c r="MRT3" s="120"/>
      <c r="MRU3" s="120"/>
      <c r="MRV3" s="120"/>
      <c r="MRW3" s="120"/>
      <c r="MRX3" s="120"/>
      <c r="MRY3" s="120"/>
      <c r="MRZ3" s="120"/>
      <c r="MSA3" s="120"/>
      <c r="MSB3" s="120"/>
      <c r="MSC3" s="120"/>
      <c r="MSD3" s="120"/>
      <c r="MSE3" s="120"/>
      <c r="MSF3" s="120"/>
      <c r="MSG3" s="120"/>
      <c r="MSH3" s="120"/>
      <c r="MSI3" s="120"/>
      <c r="MSJ3" s="120"/>
      <c r="MSK3" s="120"/>
      <c r="MSL3" s="120"/>
      <c r="MSM3" s="120"/>
      <c r="MSN3" s="120"/>
      <c r="MSO3" s="120"/>
      <c r="MSP3" s="120"/>
      <c r="MSQ3" s="120"/>
      <c r="MSR3" s="120"/>
      <c r="MSS3" s="120"/>
      <c r="MST3" s="120"/>
      <c r="MSU3" s="120"/>
      <c r="MSV3" s="120"/>
      <c r="MSW3" s="120"/>
      <c r="MSX3" s="120"/>
      <c r="MSY3" s="120"/>
      <c r="MSZ3" s="120"/>
      <c r="MTA3" s="120"/>
      <c r="MTB3" s="120"/>
      <c r="MTC3" s="120"/>
      <c r="MTD3" s="120"/>
      <c r="MTE3" s="120"/>
      <c r="MTF3" s="120"/>
      <c r="MTG3" s="120"/>
      <c r="MTH3" s="120"/>
      <c r="MTI3" s="120"/>
      <c r="MTJ3" s="120"/>
      <c r="MTK3" s="120"/>
      <c r="MTL3" s="120"/>
      <c r="MTM3" s="120"/>
      <c r="MTN3" s="120"/>
      <c r="MTO3" s="120"/>
      <c r="MTP3" s="120"/>
      <c r="MTQ3" s="120"/>
      <c r="MTR3" s="120"/>
      <c r="MTS3" s="120"/>
      <c r="MTT3" s="120"/>
      <c r="MTU3" s="120"/>
      <c r="MTV3" s="120"/>
      <c r="MTW3" s="120"/>
      <c r="MTX3" s="120"/>
      <c r="MTY3" s="120"/>
      <c r="MTZ3" s="120"/>
      <c r="MUA3" s="120"/>
      <c r="MUB3" s="120"/>
      <c r="MUC3" s="120"/>
      <c r="MUD3" s="120"/>
      <c r="MUE3" s="120"/>
      <c r="MUF3" s="120"/>
      <c r="MUG3" s="120"/>
      <c r="MUH3" s="120"/>
      <c r="MUI3" s="120"/>
      <c r="MUJ3" s="120"/>
      <c r="MUK3" s="120"/>
      <c r="MUL3" s="120"/>
      <c r="MUM3" s="120"/>
      <c r="MUN3" s="120"/>
      <c r="MUO3" s="120"/>
      <c r="MUP3" s="120"/>
      <c r="MUQ3" s="120"/>
      <c r="MUR3" s="120"/>
      <c r="MUS3" s="120"/>
      <c r="MUT3" s="120"/>
      <c r="MUU3" s="120"/>
      <c r="MUV3" s="120"/>
      <c r="MUW3" s="120"/>
      <c r="MUX3" s="120"/>
      <c r="MUY3" s="120"/>
      <c r="MUZ3" s="120"/>
      <c r="MVA3" s="120"/>
      <c r="MVB3" s="120"/>
      <c r="MVC3" s="120"/>
      <c r="MVD3" s="120"/>
      <c r="MVE3" s="120"/>
      <c r="MVF3" s="120"/>
      <c r="MVG3" s="120"/>
      <c r="MVH3" s="120"/>
      <c r="MVI3" s="120"/>
      <c r="MVJ3" s="120"/>
      <c r="MVK3" s="120"/>
      <c r="MVL3" s="120"/>
      <c r="MVM3" s="120"/>
      <c r="MVN3" s="120"/>
      <c r="MVO3" s="120"/>
      <c r="MVP3" s="120"/>
      <c r="MVQ3" s="120"/>
      <c r="MVR3" s="120"/>
      <c r="MVS3" s="120"/>
      <c r="MVT3" s="120"/>
      <c r="MVU3" s="120"/>
      <c r="MVV3" s="120"/>
      <c r="MVW3" s="120"/>
      <c r="MVX3" s="120"/>
      <c r="MVY3" s="120"/>
      <c r="MVZ3" s="120"/>
      <c r="MWA3" s="120"/>
      <c r="MWB3" s="120"/>
      <c r="MWC3" s="120"/>
      <c r="MWD3" s="120"/>
      <c r="MWE3" s="120"/>
      <c r="MWF3" s="120"/>
      <c r="MWG3" s="120"/>
      <c r="MWH3" s="120"/>
      <c r="MWI3" s="120"/>
      <c r="MWJ3" s="120"/>
      <c r="MWK3" s="120"/>
      <c r="MWL3" s="120"/>
      <c r="MWM3" s="120"/>
      <c r="MWN3" s="120"/>
      <c r="MWO3" s="120"/>
      <c r="MWP3" s="120"/>
      <c r="MWQ3" s="120"/>
      <c r="MWR3" s="120"/>
      <c r="MWS3" s="120"/>
      <c r="MWT3" s="120"/>
      <c r="MWU3" s="120"/>
      <c r="MWV3" s="120"/>
      <c r="MWW3" s="120"/>
      <c r="MWX3" s="120"/>
      <c r="MWY3" s="120"/>
      <c r="MWZ3" s="120"/>
      <c r="MXA3" s="120"/>
      <c r="MXB3" s="120"/>
      <c r="MXC3" s="120"/>
      <c r="MXD3" s="120"/>
      <c r="MXE3" s="120"/>
      <c r="MXF3" s="120"/>
      <c r="MXG3" s="120"/>
      <c r="MXH3" s="120"/>
      <c r="MXI3" s="120"/>
      <c r="MXJ3" s="120"/>
      <c r="MXK3" s="120"/>
      <c r="MXL3" s="120"/>
      <c r="MXM3" s="120"/>
      <c r="MXN3" s="120"/>
      <c r="MXO3" s="120"/>
      <c r="MXP3" s="120"/>
      <c r="MXQ3" s="120"/>
      <c r="MXR3" s="120"/>
      <c r="MXS3" s="120"/>
      <c r="MXT3" s="120"/>
      <c r="MXU3" s="120"/>
      <c r="MXV3" s="120"/>
      <c r="MXW3" s="120"/>
      <c r="MXX3" s="120"/>
      <c r="MXY3" s="120"/>
      <c r="MXZ3" s="120"/>
      <c r="MYA3" s="120"/>
      <c r="MYB3" s="120"/>
      <c r="MYC3" s="120"/>
      <c r="MYD3" s="120"/>
      <c r="MYE3" s="120"/>
      <c r="MYF3" s="120"/>
      <c r="MYG3" s="120"/>
      <c r="MYH3" s="120"/>
      <c r="MYI3" s="120"/>
      <c r="MYJ3" s="120"/>
      <c r="MYK3" s="120"/>
      <c r="MYL3" s="120"/>
      <c r="MYM3" s="120"/>
      <c r="MYN3" s="120"/>
      <c r="MYO3" s="120"/>
      <c r="MYP3" s="120"/>
      <c r="MYQ3" s="120"/>
      <c r="MYR3" s="120"/>
      <c r="MYS3" s="120"/>
      <c r="MYT3" s="120"/>
      <c r="MYU3" s="120"/>
      <c r="MYV3" s="120"/>
      <c r="MYW3" s="120"/>
      <c r="MYX3" s="120"/>
      <c r="MYY3" s="120"/>
      <c r="MYZ3" s="120"/>
      <c r="MZA3" s="120"/>
      <c r="MZB3" s="120"/>
      <c r="MZC3" s="120"/>
      <c r="MZD3" s="120"/>
      <c r="MZE3" s="120"/>
      <c r="MZF3" s="120"/>
      <c r="MZG3" s="120"/>
      <c r="MZH3" s="120"/>
      <c r="MZI3" s="120"/>
      <c r="MZJ3" s="120"/>
      <c r="MZK3" s="120"/>
      <c r="MZL3" s="120"/>
      <c r="MZM3" s="120"/>
      <c r="MZN3" s="120"/>
      <c r="MZO3" s="120"/>
      <c r="MZP3" s="120"/>
      <c r="MZQ3" s="120"/>
      <c r="MZR3" s="120"/>
      <c r="MZS3" s="120"/>
      <c r="MZT3" s="120"/>
      <c r="MZU3" s="120"/>
      <c r="MZV3" s="120"/>
      <c r="MZW3" s="120"/>
      <c r="MZX3" s="120"/>
      <c r="MZY3" s="120"/>
      <c r="MZZ3" s="120"/>
      <c r="NAA3" s="120"/>
      <c r="NAB3" s="120"/>
      <c r="NAC3" s="120"/>
      <c r="NAD3" s="120"/>
      <c r="NAE3" s="120"/>
      <c r="NAF3" s="120"/>
      <c r="NAG3" s="120"/>
      <c r="NAH3" s="120"/>
      <c r="NAI3" s="120"/>
      <c r="NAJ3" s="120"/>
      <c r="NAK3" s="120"/>
      <c r="NAL3" s="120"/>
      <c r="NAM3" s="120"/>
      <c r="NAN3" s="120"/>
      <c r="NAO3" s="120"/>
      <c r="NAP3" s="120"/>
      <c r="NAQ3" s="120"/>
      <c r="NAR3" s="120"/>
      <c r="NAS3" s="120"/>
      <c r="NAT3" s="120"/>
      <c r="NAU3" s="120"/>
      <c r="NAV3" s="120"/>
      <c r="NAW3" s="120"/>
      <c r="NAX3" s="120"/>
      <c r="NAY3" s="120"/>
      <c r="NAZ3" s="120"/>
      <c r="NBA3" s="120"/>
      <c r="NBB3" s="120"/>
      <c r="NBC3" s="120"/>
      <c r="NBD3" s="120"/>
      <c r="NBE3" s="120"/>
      <c r="NBF3" s="120"/>
      <c r="NBG3" s="120"/>
      <c r="NBH3" s="120"/>
      <c r="NBI3" s="120"/>
      <c r="NBJ3" s="120"/>
      <c r="NBK3" s="120"/>
      <c r="NBL3" s="120"/>
      <c r="NBM3" s="120"/>
      <c r="NBN3" s="120"/>
      <c r="NBO3" s="120"/>
      <c r="NBP3" s="120"/>
      <c r="NBQ3" s="120"/>
      <c r="NBR3" s="120"/>
      <c r="NBS3" s="120"/>
      <c r="NBT3" s="120"/>
      <c r="NBU3" s="120"/>
      <c r="NBV3" s="120"/>
      <c r="NBW3" s="120"/>
      <c r="NBX3" s="120"/>
      <c r="NBY3" s="120"/>
      <c r="NBZ3" s="120"/>
      <c r="NCA3" s="120"/>
      <c r="NCB3" s="120"/>
      <c r="NCC3" s="120"/>
      <c r="NCD3" s="120"/>
      <c r="NCE3" s="120"/>
      <c r="NCF3" s="120"/>
      <c r="NCG3" s="120"/>
      <c r="NCH3" s="120"/>
      <c r="NCI3" s="120"/>
      <c r="NCJ3" s="120"/>
      <c r="NCK3" s="120"/>
      <c r="NCL3" s="120"/>
      <c r="NCM3" s="120"/>
      <c r="NCN3" s="120"/>
      <c r="NCO3" s="120"/>
      <c r="NCP3" s="120"/>
      <c r="NCQ3" s="120"/>
      <c r="NCR3" s="120"/>
      <c r="NCS3" s="120"/>
      <c r="NCT3" s="120"/>
      <c r="NCU3" s="120"/>
      <c r="NCV3" s="120"/>
      <c r="NCW3" s="120"/>
      <c r="NCX3" s="120"/>
      <c r="NCY3" s="120"/>
      <c r="NCZ3" s="120"/>
      <c r="NDA3" s="120"/>
      <c r="NDB3" s="120"/>
      <c r="NDC3" s="120"/>
      <c r="NDD3" s="120"/>
      <c r="NDE3" s="120"/>
      <c r="NDF3" s="120"/>
      <c r="NDG3" s="120"/>
      <c r="NDH3" s="120"/>
      <c r="NDI3" s="120"/>
      <c r="NDJ3" s="120"/>
      <c r="NDK3" s="120"/>
      <c r="NDL3" s="120"/>
      <c r="NDM3" s="120"/>
      <c r="NDN3" s="120"/>
      <c r="NDO3" s="120"/>
      <c r="NDP3" s="120"/>
      <c r="NDQ3" s="120"/>
      <c r="NDR3" s="120"/>
      <c r="NDS3" s="120"/>
      <c r="NDT3" s="120"/>
      <c r="NDU3" s="120"/>
      <c r="NDV3" s="120"/>
      <c r="NDW3" s="120"/>
      <c r="NDX3" s="120"/>
      <c r="NDY3" s="120"/>
      <c r="NDZ3" s="120"/>
      <c r="NEA3" s="120"/>
      <c r="NEB3" s="120"/>
      <c r="NEC3" s="120"/>
      <c r="NED3" s="120"/>
      <c r="NEE3" s="120"/>
      <c r="NEF3" s="120"/>
      <c r="NEG3" s="120"/>
      <c r="NEH3" s="120"/>
      <c r="NEI3" s="120"/>
      <c r="NEJ3" s="120"/>
      <c r="NEK3" s="120"/>
      <c r="NEL3" s="120"/>
      <c r="NEM3" s="120"/>
      <c r="NEN3" s="120"/>
      <c r="NEO3" s="120"/>
      <c r="NEP3" s="120"/>
      <c r="NEQ3" s="120"/>
      <c r="NER3" s="120"/>
      <c r="NES3" s="120"/>
      <c r="NET3" s="120"/>
      <c r="NEU3" s="120"/>
      <c r="NEV3" s="120"/>
      <c r="NEW3" s="120"/>
      <c r="NEX3" s="120"/>
      <c r="NEY3" s="120"/>
      <c r="NEZ3" s="120"/>
      <c r="NFA3" s="120"/>
      <c r="NFB3" s="120"/>
      <c r="NFC3" s="120"/>
      <c r="NFD3" s="120"/>
      <c r="NFE3" s="120"/>
      <c r="NFF3" s="120"/>
      <c r="NFG3" s="120"/>
      <c r="NFH3" s="120"/>
      <c r="NFI3" s="120"/>
      <c r="NFJ3" s="120"/>
      <c r="NFK3" s="120"/>
      <c r="NFL3" s="120"/>
      <c r="NFM3" s="120"/>
      <c r="NFN3" s="120"/>
      <c r="NFO3" s="120"/>
      <c r="NFP3" s="120"/>
      <c r="NFQ3" s="120"/>
      <c r="NFR3" s="120"/>
      <c r="NFS3" s="120"/>
      <c r="NFT3" s="120"/>
      <c r="NFU3" s="120"/>
      <c r="NFV3" s="120"/>
      <c r="NFW3" s="120"/>
      <c r="NFX3" s="120"/>
      <c r="NFY3" s="120"/>
      <c r="NFZ3" s="120"/>
      <c r="NGA3" s="120"/>
      <c r="NGB3" s="120"/>
      <c r="NGC3" s="120"/>
      <c r="NGD3" s="120"/>
      <c r="NGE3" s="120"/>
      <c r="NGF3" s="120"/>
      <c r="NGG3" s="120"/>
      <c r="NGH3" s="120"/>
      <c r="NGI3" s="120"/>
      <c r="NGJ3" s="120"/>
      <c r="NGK3" s="120"/>
      <c r="NGL3" s="120"/>
      <c r="NGM3" s="120"/>
      <c r="NGN3" s="120"/>
      <c r="NGO3" s="120"/>
      <c r="NGP3" s="120"/>
      <c r="NGQ3" s="120"/>
      <c r="NGR3" s="120"/>
      <c r="NGS3" s="120"/>
      <c r="NGT3" s="120"/>
      <c r="NGU3" s="120"/>
      <c r="NGV3" s="120"/>
      <c r="NGW3" s="120"/>
      <c r="NGX3" s="120"/>
      <c r="NGY3" s="120"/>
      <c r="NGZ3" s="120"/>
      <c r="NHA3" s="120"/>
      <c r="NHB3" s="120"/>
      <c r="NHC3" s="120"/>
      <c r="NHD3" s="120"/>
      <c r="NHE3" s="120"/>
      <c r="NHF3" s="120"/>
      <c r="NHG3" s="120"/>
      <c r="NHH3" s="120"/>
      <c r="NHI3" s="120"/>
      <c r="NHJ3" s="120"/>
      <c r="NHK3" s="120"/>
      <c r="NHL3" s="120"/>
      <c r="NHM3" s="120"/>
      <c r="NHN3" s="120"/>
      <c r="NHO3" s="120"/>
      <c r="NHP3" s="120"/>
      <c r="NHQ3" s="120"/>
      <c r="NHR3" s="120"/>
      <c r="NHS3" s="120"/>
      <c r="NHT3" s="120"/>
      <c r="NHU3" s="120"/>
      <c r="NHV3" s="120"/>
      <c r="NHW3" s="120"/>
      <c r="NHX3" s="120"/>
      <c r="NHY3" s="120"/>
      <c r="NHZ3" s="120"/>
      <c r="NIA3" s="120"/>
      <c r="NIB3" s="120"/>
      <c r="NIC3" s="120"/>
      <c r="NID3" s="120"/>
      <c r="NIE3" s="120"/>
      <c r="NIF3" s="120"/>
      <c r="NIG3" s="120"/>
      <c r="NIH3" s="120"/>
      <c r="NII3" s="120"/>
      <c r="NIJ3" s="120"/>
      <c r="NIK3" s="120"/>
      <c r="NIL3" s="120"/>
      <c r="NIM3" s="120"/>
      <c r="NIN3" s="120"/>
      <c r="NIO3" s="120"/>
      <c r="NIP3" s="120"/>
      <c r="NIQ3" s="120"/>
      <c r="NIR3" s="120"/>
      <c r="NIS3" s="120"/>
      <c r="NIT3" s="120"/>
      <c r="NIU3" s="120"/>
      <c r="NIV3" s="120"/>
      <c r="NIW3" s="120"/>
      <c r="NIX3" s="120"/>
      <c r="NIY3" s="120"/>
      <c r="NIZ3" s="120"/>
      <c r="NJA3" s="120"/>
      <c r="NJB3" s="120"/>
      <c r="NJC3" s="120"/>
      <c r="NJD3" s="120"/>
      <c r="NJE3" s="120"/>
      <c r="NJF3" s="120"/>
      <c r="NJG3" s="120"/>
      <c r="NJH3" s="120"/>
      <c r="NJI3" s="120"/>
      <c r="NJJ3" s="120"/>
      <c r="NJK3" s="120"/>
      <c r="NJL3" s="120"/>
      <c r="NJM3" s="120"/>
      <c r="NJN3" s="120"/>
      <c r="NJO3" s="120"/>
      <c r="NJP3" s="120"/>
      <c r="NJQ3" s="120"/>
      <c r="NJR3" s="120"/>
      <c r="NJS3" s="120"/>
      <c r="NJT3" s="120"/>
      <c r="NJU3" s="120"/>
      <c r="NJV3" s="120"/>
      <c r="NJW3" s="120"/>
      <c r="NJX3" s="120"/>
      <c r="NJY3" s="120"/>
      <c r="NJZ3" s="120"/>
      <c r="NKA3" s="120"/>
      <c r="NKB3" s="120"/>
      <c r="NKC3" s="120"/>
      <c r="NKD3" s="120"/>
      <c r="NKE3" s="120"/>
      <c r="NKF3" s="120"/>
      <c r="NKG3" s="120"/>
      <c r="NKH3" s="120"/>
      <c r="NKI3" s="120"/>
      <c r="NKJ3" s="120"/>
      <c r="NKK3" s="120"/>
      <c r="NKL3" s="120"/>
      <c r="NKM3" s="120"/>
      <c r="NKN3" s="120"/>
      <c r="NKO3" s="120"/>
      <c r="NKP3" s="120"/>
      <c r="NKQ3" s="120"/>
      <c r="NKR3" s="120"/>
      <c r="NKS3" s="120"/>
      <c r="NKT3" s="120"/>
      <c r="NKU3" s="120"/>
      <c r="NKV3" s="120"/>
      <c r="NKW3" s="120"/>
      <c r="NKX3" s="120"/>
      <c r="NKY3" s="120"/>
      <c r="NKZ3" s="120"/>
      <c r="NLA3" s="120"/>
      <c r="NLB3" s="120"/>
      <c r="NLC3" s="120"/>
      <c r="NLD3" s="120"/>
      <c r="NLE3" s="120"/>
      <c r="NLF3" s="120"/>
      <c r="NLG3" s="120"/>
      <c r="NLH3" s="120"/>
      <c r="NLI3" s="120"/>
      <c r="NLJ3" s="120"/>
      <c r="NLK3" s="120"/>
      <c r="NLL3" s="120"/>
      <c r="NLM3" s="120"/>
      <c r="NLN3" s="120"/>
      <c r="NLO3" s="120"/>
      <c r="NLP3" s="120"/>
      <c r="NLQ3" s="120"/>
      <c r="NLR3" s="120"/>
      <c r="NLS3" s="120"/>
      <c r="NLT3" s="120"/>
      <c r="NLU3" s="120"/>
      <c r="NLV3" s="120"/>
      <c r="NLW3" s="120"/>
      <c r="NLX3" s="120"/>
      <c r="NLY3" s="120"/>
      <c r="NLZ3" s="120"/>
      <c r="NMA3" s="120"/>
      <c r="NMB3" s="120"/>
      <c r="NMC3" s="120"/>
      <c r="NMD3" s="120"/>
      <c r="NME3" s="120"/>
      <c r="NMF3" s="120"/>
      <c r="NMG3" s="120"/>
      <c r="NMH3" s="120"/>
      <c r="NMI3" s="120"/>
      <c r="NMJ3" s="120"/>
      <c r="NMK3" s="120"/>
      <c r="NML3" s="120"/>
      <c r="NMM3" s="120"/>
      <c r="NMN3" s="120"/>
      <c r="NMO3" s="120"/>
      <c r="NMP3" s="120"/>
      <c r="NMQ3" s="120"/>
      <c r="NMR3" s="120"/>
      <c r="NMS3" s="120"/>
      <c r="NMT3" s="120"/>
      <c r="NMU3" s="120"/>
      <c r="NMV3" s="120"/>
      <c r="NMW3" s="120"/>
      <c r="NMX3" s="120"/>
      <c r="NMY3" s="120"/>
      <c r="NMZ3" s="120"/>
      <c r="NNA3" s="120"/>
      <c r="NNB3" s="120"/>
      <c r="NNC3" s="120"/>
      <c r="NND3" s="120"/>
      <c r="NNE3" s="120"/>
      <c r="NNF3" s="120"/>
      <c r="NNG3" s="120"/>
      <c r="NNH3" s="120"/>
      <c r="NNI3" s="120"/>
      <c r="NNJ3" s="120"/>
      <c r="NNK3" s="120"/>
      <c r="NNL3" s="120"/>
      <c r="NNM3" s="120"/>
      <c r="NNN3" s="120"/>
      <c r="NNO3" s="120"/>
      <c r="NNP3" s="120"/>
      <c r="NNQ3" s="120"/>
      <c r="NNR3" s="120"/>
      <c r="NNS3" s="120"/>
      <c r="NNT3" s="120"/>
      <c r="NNU3" s="120"/>
      <c r="NNV3" s="120"/>
      <c r="NNW3" s="120"/>
      <c r="NNX3" s="120"/>
      <c r="NNY3" s="120"/>
      <c r="NNZ3" s="120"/>
      <c r="NOA3" s="120"/>
      <c r="NOB3" s="120"/>
      <c r="NOC3" s="120"/>
      <c r="NOD3" s="120"/>
      <c r="NOE3" s="120"/>
      <c r="NOF3" s="120"/>
      <c r="NOG3" s="120"/>
      <c r="NOH3" s="120"/>
      <c r="NOI3" s="120"/>
      <c r="NOJ3" s="120"/>
      <c r="NOK3" s="120"/>
      <c r="NOL3" s="120"/>
      <c r="NOM3" s="120"/>
      <c r="NON3" s="120"/>
      <c r="NOO3" s="120"/>
      <c r="NOP3" s="120"/>
      <c r="NOQ3" s="120"/>
      <c r="NOR3" s="120"/>
      <c r="NOS3" s="120"/>
      <c r="NOT3" s="120"/>
      <c r="NOU3" s="120"/>
      <c r="NOV3" s="120"/>
      <c r="NOW3" s="120"/>
      <c r="NOX3" s="120"/>
      <c r="NOY3" s="120"/>
      <c r="NOZ3" s="120"/>
      <c r="NPA3" s="120"/>
      <c r="NPB3" s="120"/>
      <c r="NPC3" s="120"/>
      <c r="NPD3" s="120"/>
      <c r="NPE3" s="120"/>
      <c r="NPF3" s="120"/>
      <c r="NPG3" s="120"/>
      <c r="NPH3" s="120"/>
      <c r="NPI3" s="120"/>
      <c r="NPJ3" s="120"/>
      <c r="NPK3" s="120"/>
      <c r="NPL3" s="120"/>
      <c r="NPM3" s="120"/>
      <c r="NPN3" s="120"/>
      <c r="NPO3" s="120"/>
      <c r="NPP3" s="120"/>
      <c r="NPQ3" s="120"/>
      <c r="NPR3" s="120"/>
      <c r="NPS3" s="120"/>
      <c r="NPT3" s="120"/>
      <c r="NPU3" s="120"/>
      <c r="NPV3" s="120"/>
      <c r="NPW3" s="120"/>
      <c r="NPX3" s="120"/>
      <c r="NPY3" s="120"/>
      <c r="NPZ3" s="120"/>
      <c r="NQA3" s="120"/>
      <c r="NQB3" s="120"/>
      <c r="NQC3" s="120"/>
      <c r="NQD3" s="120"/>
      <c r="NQE3" s="120"/>
      <c r="NQF3" s="120"/>
      <c r="NQG3" s="120"/>
      <c r="NQH3" s="120"/>
      <c r="NQI3" s="120"/>
      <c r="NQJ3" s="120"/>
      <c r="NQK3" s="120"/>
      <c r="NQL3" s="120"/>
      <c r="NQM3" s="120"/>
      <c r="NQN3" s="120"/>
      <c r="NQO3" s="120"/>
      <c r="NQP3" s="120"/>
      <c r="NQQ3" s="120"/>
      <c r="NQR3" s="120"/>
      <c r="NQS3" s="120"/>
      <c r="NQT3" s="120"/>
      <c r="NQU3" s="120"/>
      <c r="NQV3" s="120"/>
      <c r="NQW3" s="120"/>
      <c r="NQX3" s="120"/>
      <c r="NQY3" s="120"/>
      <c r="NQZ3" s="120"/>
      <c r="NRA3" s="120"/>
      <c r="NRB3" s="120"/>
      <c r="NRC3" s="120"/>
      <c r="NRD3" s="120"/>
      <c r="NRE3" s="120"/>
      <c r="NRF3" s="120"/>
      <c r="NRG3" s="120"/>
      <c r="NRH3" s="120"/>
      <c r="NRI3" s="120"/>
      <c r="NRJ3" s="120"/>
      <c r="NRK3" s="120"/>
      <c r="NRL3" s="120"/>
      <c r="NRM3" s="120"/>
      <c r="NRN3" s="120"/>
      <c r="NRO3" s="120"/>
      <c r="NRP3" s="120"/>
      <c r="NRQ3" s="120"/>
      <c r="NRR3" s="120"/>
      <c r="NRS3" s="120"/>
      <c r="NRT3" s="120"/>
      <c r="NRU3" s="120"/>
      <c r="NRV3" s="120"/>
      <c r="NRW3" s="120"/>
      <c r="NRX3" s="120"/>
      <c r="NRY3" s="120"/>
      <c r="NRZ3" s="120"/>
      <c r="NSA3" s="120"/>
      <c r="NSB3" s="120"/>
      <c r="NSC3" s="120"/>
      <c r="NSD3" s="120"/>
      <c r="NSE3" s="120"/>
      <c r="NSF3" s="120"/>
      <c r="NSG3" s="120"/>
      <c r="NSH3" s="120"/>
      <c r="NSI3" s="120"/>
      <c r="NSJ3" s="120"/>
      <c r="NSK3" s="120"/>
      <c r="NSL3" s="120"/>
      <c r="NSM3" s="120"/>
      <c r="NSN3" s="120"/>
      <c r="NSO3" s="120"/>
      <c r="NSP3" s="120"/>
      <c r="NSQ3" s="120"/>
      <c r="NSR3" s="120"/>
      <c r="NSS3" s="120"/>
      <c r="NST3" s="120"/>
      <c r="NSU3" s="120"/>
      <c r="NSV3" s="120"/>
      <c r="NSW3" s="120"/>
      <c r="NSX3" s="120"/>
      <c r="NSY3" s="120"/>
      <c r="NSZ3" s="120"/>
      <c r="NTA3" s="120"/>
      <c r="NTB3" s="120"/>
      <c r="NTC3" s="120"/>
      <c r="NTD3" s="120"/>
      <c r="NTE3" s="120"/>
      <c r="NTF3" s="120"/>
      <c r="NTG3" s="120"/>
      <c r="NTH3" s="120"/>
      <c r="NTI3" s="120"/>
      <c r="NTJ3" s="120"/>
      <c r="NTK3" s="120"/>
      <c r="NTL3" s="120"/>
      <c r="NTM3" s="120"/>
      <c r="NTN3" s="120"/>
      <c r="NTO3" s="120"/>
      <c r="NTP3" s="120"/>
      <c r="NTQ3" s="120"/>
      <c r="NTR3" s="120"/>
      <c r="NTS3" s="120"/>
      <c r="NTT3" s="120"/>
      <c r="NTU3" s="120"/>
      <c r="NTV3" s="120"/>
      <c r="NTW3" s="120"/>
      <c r="NTX3" s="120"/>
      <c r="NTY3" s="120"/>
      <c r="NTZ3" s="120"/>
      <c r="NUA3" s="120"/>
      <c r="NUB3" s="120"/>
      <c r="NUC3" s="120"/>
      <c r="NUD3" s="120"/>
      <c r="NUE3" s="120"/>
      <c r="NUF3" s="120"/>
      <c r="NUG3" s="120"/>
      <c r="NUH3" s="120"/>
      <c r="NUI3" s="120"/>
      <c r="NUJ3" s="120"/>
      <c r="NUK3" s="120"/>
      <c r="NUL3" s="120"/>
      <c r="NUM3" s="120"/>
      <c r="NUN3" s="120"/>
      <c r="NUO3" s="120"/>
      <c r="NUP3" s="120"/>
      <c r="NUQ3" s="120"/>
      <c r="NUR3" s="120"/>
      <c r="NUS3" s="120"/>
      <c r="NUT3" s="120"/>
      <c r="NUU3" s="120"/>
      <c r="NUV3" s="120"/>
      <c r="NUW3" s="120"/>
      <c r="NUX3" s="120"/>
      <c r="NUY3" s="120"/>
      <c r="NUZ3" s="120"/>
      <c r="NVA3" s="120"/>
      <c r="NVB3" s="120"/>
      <c r="NVC3" s="120"/>
      <c r="NVD3" s="120"/>
      <c r="NVE3" s="120"/>
      <c r="NVF3" s="120"/>
      <c r="NVG3" s="120"/>
      <c r="NVH3" s="120"/>
      <c r="NVI3" s="120"/>
      <c r="NVJ3" s="120"/>
      <c r="NVK3" s="120"/>
      <c r="NVL3" s="120"/>
      <c r="NVM3" s="120"/>
      <c r="NVN3" s="120"/>
      <c r="NVO3" s="120"/>
      <c r="NVP3" s="120"/>
      <c r="NVQ3" s="120"/>
      <c r="NVR3" s="120"/>
      <c r="NVS3" s="120"/>
      <c r="NVT3" s="120"/>
      <c r="NVU3" s="120"/>
      <c r="NVV3" s="120"/>
      <c r="NVW3" s="120"/>
      <c r="NVX3" s="120"/>
      <c r="NVY3" s="120"/>
      <c r="NVZ3" s="120"/>
      <c r="NWA3" s="120"/>
      <c r="NWB3" s="120"/>
      <c r="NWC3" s="120"/>
      <c r="NWD3" s="120"/>
      <c r="NWE3" s="120"/>
      <c r="NWF3" s="120"/>
      <c r="NWG3" s="120"/>
      <c r="NWH3" s="120"/>
      <c r="NWI3" s="120"/>
      <c r="NWJ3" s="120"/>
      <c r="NWK3" s="120"/>
      <c r="NWL3" s="120"/>
      <c r="NWM3" s="120"/>
      <c r="NWN3" s="120"/>
      <c r="NWO3" s="120"/>
      <c r="NWP3" s="120"/>
      <c r="NWQ3" s="120"/>
      <c r="NWR3" s="120"/>
      <c r="NWS3" s="120"/>
      <c r="NWT3" s="120"/>
      <c r="NWU3" s="120"/>
      <c r="NWV3" s="120"/>
      <c r="NWW3" s="120"/>
      <c r="NWX3" s="120"/>
      <c r="NWY3" s="120"/>
      <c r="NWZ3" s="120"/>
      <c r="NXA3" s="120"/>
      <c r="NXB3" s="120"/>
      <c r="NXC3" s="120"/>
      <c r="NXD3" s="120"/>
      <c r="NXE3" s="120"/>
      <c r="NXF3" s="120"/>
      <c r="NXG3" s="120"/>
      <c r="NXH3" s="120"/>
      <c r="NXI3" s="120"/>
      <c r="NXJ3" s="120"/>
      <c r="NXK3" s="120"/>
      <c r="NXL3" s="120"/>
      <c r="NXM3" s="120"/>
      <c r="NXN3" s="120"/>
      <c r="NXO3" s="120"/>
      <c r="NXP3" s="120"/>
      <c r="NXQ3" s="120"/>
      <c r="NXR3" s="120"/>
      <c r="NXS3" s="120"/>
      <c r="NXT3" s="120"/>
      <c r="NXU3" s="120"/>
      <c r="NXV3" s="120"/>
      <c r="NXW3" s="120"/>
      <c r="NXX3" s="120"/>
      <c r="NXY3" s="120"/>
      <c r="NXZ3" s="120"/>
      <c r="NYA3" s="120"/>
      <c r="NYB3" s="120"/>
      <c r="NYC3" s="120"/>
      <c r="NYD3" s="120"/>
      <c r="NYE3" s="120"/>
      <c r="NYF3" s="120"/>
      <c r="NYG3" s="120"/>
      <c r="NYH3" s="120"/>
      <c r="NYI3" s="120"/>
      <c r="NYJ3" s="120"/>
      <c r="NYK3" s="120"/>
      <c r="NYL3" s="120"/>
      <c r="NYM3" s="120"/>
      <c r="NYN3" s="120"/>
      <c r="NYO3" s="120"/>
      <c r="NYP3" s="120"/>
      <c r="NYQ3" s="120"/>
      <c r="NYR3" s="120"/>
      <c r="NYS3" s="120"/>
      <c r="NYT3" s="120"/>
      <c r="NYU3" s="120"/>
      <c r="NYV3" s="120"/>
      <c r="NYW3" s="120"/>
      <c r="NYX3" s="120"/>
      <c r="NYY3" s="120"/>
      <c r="NYZ3" s="120"/>
      <c r="NZA3" s="120"/>
      <c r="NZB3" s="120"/>
      <c r="NZC3" s="120"/>
      <c r="NZD3" s="120"/>
      <c r="NZE3" s="120"/>
      <c r="NZF3" s="120"/>
      <c r="NZG3" s="120"/>
      <c r="NZH3" s="120"/>
      <c r="NZI3" s="120"/>
      <c r="NZJ3" s="120"/>
      <c r="NZK3" s="120"/>
      <c r="NZL3" s="120"/>
      <c r="NZM3" s="120"/>
      <c r="NZN3" s="120"/>
      <c r="NZO3" s="120"/>
      <c r="NZP3" s="120"/>
      <c r="NZQ3" s="120"/>
      <c r="NZR3" s="120"/>
      <c r="NZS3" s="120"/>
      <c r="NZT3" s="120"/>
      <c r="NZU3" s="120"/>
      <c r="NZV3" s="120"/>
      <c r="NZW3" s="120"/>
      <c r="NZX3" s="120"/>
      <c r="NZY3" s="120"/>
      <c r="NZZ3" s="120"/>
      <c r="OAA3" s="120"/>
      <c r="OAB3" s="120"/>
      <c r="OAC3" s="120"/>
      <c r="OAD3" s="120"/>
      <c r="OAE3" s="120"/>
      <c r="OAF3" s="120"/>
      <c r="OAG3" s="120"/>
      <c r="OAH3" s="120"/>
      <c r="OAI3" s="120"/>
      <c r="OAJ3" s="120"/>
      <c r="OAK3" s="120"/>
      <c r="OAL3" s="120"/>
      <c r="OAM3" s="120"/>
      <c r="OAN3" s="120"/>
      <c r="OAO3" s="120"/>
      <c r="OAP3" s="120"/>
      <c r="OAQ3" s="120"/>
      <c r="OAR3" s="120"/>
      <c r="OAS3" s="120"/>
      <c r="OAT3" s="120"/>
      <c r="OAU3" s="120"/>
      <c r="OAV3" s="120"/>
      <c r="OAW3" s="120"/>
      <c r="OAX3" s="120"/>
      <c r="OAY3" s="120"/>
      <c r="OAZ3" s="120"/>
      <c r="OBA3" s="120"/>
      <c r="OBB3" s="120"/>
      <c r="OBC3" s="120"/>
      <c r="OBD3" s="120"/>
      <c r="OBE3" s="120"/>
      <c r="OBF3" s="120"/>
      <c r="OBG3" s="120"/>
      <c r="OBH3" s="120"/>
      <c r="OBI3" s="120"/>
      <c r="OBJ3" s="120"/>
      <c r="OBK3" s="120"/>
      <c r="OBL3" s="120"/>
      <c r="OBM3" s="120"/>
      <c r="OBN3" s="120"/>
      <c r="OBO3" s="120"/>
      <c r="OBP3" s="120"/>
      <c r="OBQ3" s="120"/>
      <c r="OBR3" s="120"/>
      <c r="OBS3" s="120"/>
      <c r="OBT3" s="120"/>
      <c r="OBU3" s="120"/>
      <c r="OBV3" s="120"/>
      <c r="OBW3" s="120"/>
      <c r="OBX3" s="120"/>
      <c r="OBY3" s="120"/>
      <c r="OBZ3" s="120"/>
      <c r="OCA3" s="120"/>
      <c r="OCB3" s="120"/>
      <c r="OCC3" s="120"/>
      <c r="OCD3" s="120"/>
      <c r="OCE3" s="120"/>
      <c r="OCF3" s="120"/>
      <c r="OCG3" s="120"/>
      <c r="OCH3" s="120"/>
      <c r="OCI3" s="120"/>
      <c r="OCJ3" s="120"/>
      <c r="OCK3" s="120"/>
      <c r="OCL3" s="120"/>
      <c r="OCM3" s="120"/>
      <c r="OCN3" s="120"/>
      <c r="OCO3" s="120"/>
      <c r="OCP3" s="120"/>
      <c r="OCQ3" s="120"/>
      <c r="OCR3" s="120"/>
      <c r="OCS3" s="120"/>
      <c r="OCT3" s="120"/>
      <c r="OCU3" s="120"/>
      <c r="OCV3" s="120"/>
      <c r="OCW3" s="120"/>
      <c r="OCX3" s="120"/>
      <c r="OCY3" s="120"/>
      <c r="OCZ3" s="120"/>
      <c r="ODA3" s="120"/>
      <c r="ODB3" s="120"/>
      <c r="ODC3" s="120"/>
      <c r="ODD3" s="120"/>
      <c r="ODE3" s="120"/>
      <c r="ODF3" s="120"/>
      <c r="ODG3" s="120"/>
      <c r="ODH3" s="120"/>
      <c r="ODI3" s="120"/>
      <c r="ODJ3" s="120"/>
      <c r="ODK3" s="120"/>
      <c r="ODL3" s="120"/>
      <c r="ODM3" s="120"/>
      <c r="ODN3" s="120"/>
      <c r="ODO3" s="120"/>
      <c r="ODP3" s="120"/>
      <c r="ODQ3" s="120"/>
      <c r="ODR3" s="120"/>
      <c r="ODS3" s="120"/>
      <c r="ODT3" s="120"/>
      <c r="ODU3" s="120"/>
      <c r="ODV3" s="120"/>
      <c r="ODW3" s="120"/>
      <c r="ODX3" s="120"/>
      <c r="ODY3" s="120"/>
      <c r="ODZ3" s="120"/>
      <c r="OEA3" s="120"/>
      <c r="OEB3" s="120"/>
      <c r="OEC3" s="120"/>
      <c r="OED3" s="120"/>
      <c r="OEE3" s="120"/>
      <c r="OEF3" s="120"/>
      <c r="OEG3" s="120"/>
      <c r="OEH3" s="120"/>
      <c r="OEI3" s="120"/>
      <c r="OEJ3" s="120"/>
      <c r="OEK3" s="120"/>
      <c r="OEL3" s="120"/>
      <c r="OEM3" s="120"/>
      <c r="OEN3" s="120"/>
      <c r="OEO3" s="120"/>
      <c r="OEP3" s="120"/>
      <c r="OEQ3" s="120"/>
      <c r="OER3" s="120"/>
      <c r="OES3" s="120"/>
      <c r="OET3" s="120"/>
      <c r="OEU3" s="120"/>
      <c r="OEV3" s="120"/>
      <c r="OEW3" s="120"/>
      <c r="OEX3" s="120"/>
      <c r="OEY3" s="120"/>
      <c r="OEZ3" s="120"/>
      <c r="OFA3" s="120"/>
      <c r="OFB3" s="120"/>
      <c r="OFC3" s="120"/>
      <c r="OFD3" s="120"/>
      <c r="OFE3" s="120"/>
      <c r="OFF3" s="120"/>
      <c r="OFG3" s="120"/>
      <c r="OFH3" s="120"/>
      <c r="OFI3" s="120"/>
      <c r="OFJ3" s="120"/>
      <c r="OFK3" s="120"/>
      <c r="OFL3" s="120"/>
      <c r="OFM3" s="120"/>
      <c r="OFN3" s="120"/>
      <c r="OFO3" s="120"/>
      <c r="OFP3" s="120"/>
      <c r="OFQ3" s="120"/>
      <c r="OFR3" s="120"/>
      <c r="OFS3" s="120"/>
      <c r="OFT3" s="120"/>
      <c r="OFU3" s="120"/>
      <c r="OFV3" s="120"/>
      <c r="OFW3" s="120"/>
      <c r="OFX3" s="120"/>
      <c r="OFY3" s="120"/>
      <c r="OFZ3" s="120"/>
      <c r="OGA3" s="120"/>
      <c r="OGB3" s="120"/>
      <c r="OGC3" s="120"/>
      <c r="OGD3" s="120"/>
      <c r="OGE3" s="120"/>
      <c r="OGF3" s="120"/>
      <c r="OGG3" s="120"/>
      <c r="OGH3" s="120"/>
      <c r="OGI3" s="120"/>
      <c r="OGJ3" s="120"/>
      <c r="OGK3" s="120"/>
      <c r="OGL3" s="120"/>
      <c r="OGM3" s="120"/>
      <c r="OGN3" s="120"/>
      <c r="OGO3" s="120"/>
      <c r="OGP3" s="120"/>
      <c r="OGQ3" s="120"/>
      <c r="OGR3" s="120"/>
      <c r="OGS3" s="120"/>
      <c r="OGT3" s="120"/>
      <c r="OGU3" s="120"/>
      <c r="OGV3" s="120"/>
      <c r="OGW3" s="120"/>
      <c r="OGX3" s="120"/>
      <c r="OGY3" s="120"/>
      <c r="OGZ3" s="120"/>
      <c r="OHA3" s="120"/>
      <c r="OHB3" s="120"/>
      <c r="OHC3" s="120"/>
      <c r="OHD3" s="120"/>
      <c r="OHE3" s="120"/>
      <c r="OHF3" s="120"/>
      <c r="OHG3" s="120"/>
      <c r="OHH3" s="120"/>
      <c r="OHI3" s="120"/>
      <c r="OHJ3" s="120"/>
      <c r="OHK3" s="120"/>
      <c r="OHL3" s="120"/>
      <c r="OHM3" s="120"/>
      <c r="OHN3" s="120"/>
      <c r="OHO3" s="120"/>
      <c r="OHP3" s="120"/>
      <c r="OHQ3" s="120"/>
      <c r="OHR3" s="120"/>
      <c r="OHS3" s="120"/>
      <c r="OHT3" s="120"/>
      <c r="OHU3" s="120"/>
      <c r="OHV3" s="120"/>
      <c r="OHW3" s="120"/>
      <c r="OHX3" s="120"/>
      <c r="OHY3" s="120"/>
      <c r="OHZ3" s="120"/>
      <c r="OIA3" s="120"/>
      <c r="OIB3" s="120"/>
      <c r="OIC3" s="120"/>
      <c r="OID3" s="120"/>
      <c r="OIE3" s="120"/>
      <c r="OIF3" s="120"/>
      <c r="OIG3" s="120"/>
      <c r="OIH3" s="120"/>
      <c r="OII3" s="120"/>
      <c r="OIJ3" s="120"/>
      <c r="OIK3" s="120"/>
      <c r="OIL3" s="120"/>
      <c r="OIM3" s="120"/>
      <c r="OIN3" s="120"/>
      <c r="OIO3" s="120"/>
      <c r="OIP3" s="120"/>
      <c r="OIQ3" s="120"/>
      <c r="OIR3" s="120"/>
      <c r="OIS3" s="120"/>
      <c r="OIT3" s="120"/>
      <c r="OIU3" s="120"/>
      <c r="OIV3" s="120"/>
      <c r="OIW3" s="120"/>
      <c r="OIX3" s="120"/>
      <c r="OIY3" s="120"/>
      <c r="OIZ3" s="120"/>
      <c r="OJA3" s="120"/>
      <c r="OJB3" s="120"/>
      <c r="OJC3" s="120"/>
      <c r="OJD3" s="120"/>
      <c r="OJE3" s="120"/>
      <c r="OJF3" s="120"/>
      <c r="OJG3" s="120"/>
      <c r="OJH3" s="120"/>
      <c r="OJI3" s="120"/>
      <c r="OJJ3" s="120"/>
      <c r="OJK3" s="120"/>
      <c r="OJL3" s="120"/>
      <c r="OJM3" s="120"/>
      <c r="OJN3" s="120"/>
      <c r="OJO3" s="120"/>
      <c r="OJP3" s="120"/>
      <c r="OJQ3" s="120"/>
      <c r="OJR3" s="120"/>
      <c r="OJS3" s="120"/>
      <c r="OJT3" s="120"/>
      <c r="OJU3" s="120"/>
      <c r="OJV3" s="120"/>
      <c r="OJW3" s="120"/>
      <c r="OJX3" s="120"/>
      <c r="OJY3" s="120"/>
      <c r="OJZ3" s="120"/>
      <c r="OKA3" s="120"/>
      <c r="OKB3" s="120"/>
      <c r="OKC3" s="120"/>
      <c r="OKD3" s="120"/>
      <c r="OKE3" s="120"/>
      <c r="OKF3" s="120"/>
      <c r="OKG3" s="120"/>
      <c r="OKH3" s="120"/>
      <c r="OKI3" s="120"/>
      <c r="OKJ3" s="120"/>
      <c r="OKK3" s="120"/>
      <c r="OKL3" s="120"/>
      <c r="OKM3" s="120"/>
      <c r="OKN3" s="120"/>
      <c r="OKO3" s="120"/>
      <c r="OKP3" s="120"/>
      <c r="OKQ3" s="120"/>
      <c r="OKR3" s="120"/>
      <c r="OKS3" s="120"/>
      <c r="OKT3" s="120"/>
      <c r="OKU3" s="120"/>
      <c r="OKV3" s="120"/>
      <c r="OKW3" s="120"/>
      <c r="OKX3" s="120"/>
      <c r="OKY3" s="120"/>
      <c r="OKZ3" s="120"/>
      <c r="OLA3" s="120"/>
      <c r="OLB3" s="120"/>
      <c r="OLC3" s="120"/>
      <c r="OLD3" s="120"/>
      <c r="OLE3" s="120"/>
      <c r="OLF3" s="120"/>
      <c r="OLG3" s="120"/>
      <c r="OLH3" s="120"/>
      <c r="OLI3" s="120"/>
      <c r="OLJ3" s="120"/>
      <c r="OLK3" s="120"/>
      <c r="OLL3" s="120"/>
      <c r="OLM3" s="120"/>
      <c r="OLN3" s="120"/>
      <c r="OLO3" s="120"/>
      <c r="OLP3" s="120"/>
      <c r="OLQ3" s="120"/>
      <c r="OLR3" s="120"/>
      <c r="OLS3" s="120"/>
      <c r="OLT3" s="120"/>
      <c r="OLU3" s="120"/>
      <c r="OLV3" s="120"/>
      <c r="OLW3" s="120"/>
      <c r="OLX3" s="120"/>
      <c r="OLY3" s="120"/>
      <c r="OLZ3" s="120"/>
      <c r="OMA3" s="120"/>
      <c r="OMB3" s="120"/>
      <c r="OMC3" s="120"/>
      <c r="OMD3" s="120"/>
      <c r="OME3" s="120"/>
      <c r="OMF3" s="120"/>
      <c r="OMG3" s="120"/>
      <c r="OMH3" s="120"/>
      <c r="OMI3" s="120"/>
      <c r="OMJ3" s="120"/>
      <c r="OMK3" s="120"/>
      <c r="OML3" s="120"/>
      <c r="OMM3" s="120"/>
      <c r="OMN3" s="120"/>
      <c r="OMO3" s="120"/>
      <c r="OMP3" s="120"/>
      <c r="OMQ3" s="120"/>
      <c r="OMR3" s="120"/>
      <c r="OMS3" s="120"/>
      <c r="OMT3" s="120"/>
      <c r="OMU3" s="120"/>
      <c r="OMV3" s="120"/>
      <c r="OMW3" s="120"/>
      <c r="OMX3" s="120"/>
      <c r="OMY3" s="120"/>
      <c r="OMZ3" s="120"/>
      <c r="ONA3" s="120"/>
      <c r="ONB3" s="120"/>
      <c r="ONC3" s="120"/>
      <c r="OND3" s="120"/>
      <c r="ONE3" s="120"/>
      <c r="ONF3" s="120"/>
      <c r="ONG3" s="120"/>
      <c r="ONH3" s="120"/>
      <c r="ONI3" s="120"/>
      <c r="ONJ3" s="120"/>
      <c r="ONK3" s="120"/>
      <c r="ONL3" s="120"/>
      <c r="ONM3" s="120"/>
      <c r="ONN3" s="120"/>
      <c r="ONO3" s="120"/>
      <c r="ONP3" s="120"/>
      <c r="ONQ3" s="120"/>
      <c r="ONR3" s="120"/>
      <c r="ONS3" s="120"/>
      <c r="ONT3" s="120"/>
      <c r="ONU3" s="120"/>
      <c r="ONV3" s="120"/>
      <c r="ONW3" s="120"/>
      <c r="ONX3" s="120"/>
      <c r="ONY3" s="120"/>
      <c r="ONZ3" s="120"/>
      <c r="OOA3" s="120"/>
      <c r="OOB3" s="120"/>
      <c r="OOC3" s="120"/>
      <c r="OOD3" s="120"/>
      <c r="OOE3" s="120"/>
      <c r="OOF3" s="120"/>
      <c r="OOG3" s="120"/>
      <c r="OOH3" s="120"/>
      <c r="OOI3" s="120"/>
      <c r="OOJ3" s="120"/>
      <c r="OOK3" s="120"/>
      <c r="OOL3" s="120"/>
      <c r="OOM3" s="120"/>
      <c r="OON3" s="120"/>
      <c r="OOO3" s="120"/>
      <c r="OOP3" s="120"/>
      <c r="OOQ3" s="120"/>
      <c r="OOR3" s="120"/>
      <c r="OOS3" s="120"/>
      <c r="OOT3" s="120"/>
      <c r="OOU3" s="120"/>
      <c r="OOV3" s="120"/>
      <c r="OOW3" s="120"/>
      <c r="OOX3" s="120"/>
      <c r="OOY3" s="120"/>
      <c r="OOZ3" s="120"/>
      <c r="OPA3" s="120"/>
      <c r="OPB3" s="120"/>
      <c r="OPC3" s="120"/>
      <c r="OPD3" s="120"/>
      <c r="OPE3" s="120"/>
      <c r="OPF3" s="120"/>
      <c r="OPG3" s="120"/>
      <c r="OPH3" s="120"/>
      <c r="OPI3" s="120"/>
      <c r="OPJ3" s="120"/>
      <c r="OPK3" s="120"/>
      <c r="OPL3" s="120"/>
      <c r="OPM3" s="120"/>
      <c r="OPN3" s="120"/>
      <c r="OPO3" s="120"/>
      <c r="OPP3" s="120"/>
      <c r="OPQ3" s="120"/>
      <c r="OPR3" s="120"/>
      <c r="OPS3" s="120"/>
      <c r="OPT3" s="120"/>
      <c r="OPU3" s="120"/>
      <c r="OPV3" s="120"/>
      <c r="OPW3" s="120"/>
      <c r="OPX3" s="120"/>
      <c r="OPY3" s="120"/>
      <c r="OPZ3" s="120"/>
      <c r="OQA3" s="120"/>
      <c r="OQB3" s="120"/>
      <c r="OQC3" s="120"/>
      <c r="OQD3" s="120"/>
      <c r="OQE3" s="120"/>
      <c r="OQF3" s="120"/>
      <c r="OQG3" s="120"/>
      <c r="OQH3" s="120"/>
      <c r="OQI3" s="120"/>
      <c r="OQJ3" s="120"/>
      <c r="OQK3" s="120"/>
      <c r="OQL3" s="120"/>
      <c r="OQM3" s="120"/>
      <c r="OQN3" s="120"/>
      <c r="OQO3" s="120"/>
      <c r="OQP3" s="120"/>
      <c r="OQQ3" s="120"/>
      <c r="OQR3" s="120"/>
      <c r="OQS3" s="120"/>
      <c r="OQT3" s="120"/>
      <c r="OQU3" s="120"/>
      <c r="OQV3" s="120"/>
      <c r="OQW3" s="120"/>
      <c r="OQX3" s="120"/>
      <c r="OQY3" s="120"/>
      <c r="OQZ3" s="120"/>
      <c r="ORA3" s="120"/>
      <c r="ORB3" s="120"/>
      <c r="ORC3" s="120"/>
      <c r="ORD3" s="120"/>
      <c r="ORE3" s="120"/>
      <c r="ORF3" s="120"/>
      <c r="ORG3" s="120"/>
      <c r="ORH3" s="120"/>
      <c r="ORI3" s="120"/>
      <c r="ORJ3" s="120"/>
      <c r="ORK3" s="120"/>
      <c r="ORL3" s="120"/>
      <c r="ORM3" s="120"/>
      <c r="ORN3" s="120"/>
      <c r="ORO3" s="120"/>
      <c r="ORP3" s="120"/>
      <c r="ORQ3" s="120"/>
      <c r="ORR3" s="120"/>
      <c r="ORS3" s="120"/>
      <c r="ORT3" s="120"/>
      <c r="ORU3" s="120"/>
      <c r="ORV3" s="120"/>
      <c r="ORW3" s="120"/>
      <c r="ORX3" s="120"/>
      <c r="ORY3" s="120"/>
      <c r="ORZ3" s="120"/>
      <c r="OSA3" s="120"/>
      <c r="OSB3" s="120"/>
      <c r="OSC3" s="120"/>
      <c r="OSD3" s="120"/>
      <c r="OSE3" s="120"/>
      <c r="OSF3" s="120"/>
      <c r="OSG3" s="120"/>
      <c r="OSH3" s="120"/>
      <c r="OSI3" s="120"/>
      <c r="OSJ3" s="120"/>
      <c r="OSK3" s="120"/>
      <c r="OSL3" s="120"/>
      <c r="OSM3" s="120"/>
      <c r="OSN3" s="120"/>
      <c r="OSO3" s="120"/>
      <c r="OSP3" s="120"/>
      <c r="OSQ3" s="120"/>
      <c r="OSR3" s="120"/>
      <c r="OSS3" s="120"/>
      <c r="OST3" s="120"/>
      <c r="OSU3" s="120"/>
      <c r="OSV3" s="120"/>
      <c r="OSW3" s="120"/>
      <c r="OSX3" s="120"/>
      <c r="OSY3" s="120"/>
      <c r="OSZ3" s="120"/>
      <c r="OTA3" s="120"/>
      <c r="OTB3" s="120"/>
      <c r="OTC3" s="120"/>
      <c r="OTD3" s="120"/>
      <c r="OTE3" s="120"/>
      <c r="OTF3" s="120"/>
      <c r="OTG3" s="120"/>
      <c r="OTH3" s="120"/>
      <c r="OTI3" s="120"/>
      <c r="OTJ3" s="120"/>
      <c r="OTK3" s="120"/>
      <c r="OTL3" s="120"/>
      <c r="OTM3" s="120"/>
      <c r="OTN3" s="120"/>
      <c r="OTO3" s="120"/>
      <c r="OTP3" s="120"/>
      <c r="OTQ3" s="120"/>
      <c r="OTR3" s="120"/>
      <c r="OTS3" s="120"/>
      <c r="OTT3" s="120"/>
      <c r="OTU3" s="120"/>
      <c r="OTV3" s="120"/>
      <c r="OTW3" s="120"/>
      <c r="OTX3" s="120"/>
      <c r="OTY3" s="120"/>
      <c r="OTZ3" s="120"/>
      <c r="OUA3" s="120"/>
      <c r="OUB3" s="120"/>
      <c r="OUC3" s="120"/>
      <c r="OUD3" s="120"/>
      <c r="OUE3" s="120"/>
      <c r="OUF3" s="120"/>
      <c r="OUG3" s="120"/>
      <c r="OUH3" s="120"/>
      <c r="OUI3" s="120"/>
      <c r="OUJ3" s="120"/>
      <c r="OUK3" s="120"/>
      <c r="OUL3" s="120"/>
      <c r="OUM3" s="120"/>
      <c r="OUN3" s="120"/>
      <c r="OUO3" s="120"/>
      <c r="OUP3" s="120"/>
      <c r="OUQ3" s="120"/>
      <c r="OUR3" s="120"/>
      <c r="OUS3" s="120"/>
      <c r="OUT3" s="120"/>
      <c r="OUU3" s="120"/>
      <c r="OUV3" s="120"/>
      <c r="OUW3" s="120"/>
      <c r="OUX3" s="120"/>
      <c r="OUY3" s="120"/>
      <c r="OUZ3" s="120"/>
      <c r="OVA3" s="120"/>
      <c r="OVB3" s="120"/>
      <c r="OVC3" s="120"/>
      <c r="OVD3" s="120"/>
      <c r="OVE3" s="120"/>
      <c r="OVF3" s="120"/>
      <c r="OVG3" s="120"/>
      <c r="OVH3" s="120"/>
      <c r="OVI3" s="120"/>
      <c r="OVJ3" s="120"/>
      <c r="OVK3" s="120"/>
      <c r="OVL3" s="120"/>
      <c r="OVM3" s="120"/>
      <c r="OVN3" s="120"/>
      <c r="OVO3" s="120"/>
      <c r="OVP3" s="120"/>
      <c r="OVQ3" s="120"/>
      <c r="OVR3" s="120"/>
      <c r="OVS3" s="120"/>
      <c r="OVT3" s="120"/>
      <c r="OVU3" s="120"/>
      <c r="OVV3" s="120"/>
      <c r="OVW3" s="120"/>
      <c r="OVX3" s="120"/>
      <c r="OVY3" s="120"/>
      <c r="OVZ3" s="120"/>
      <c r="OWA3" s="120"/>
      <c r="OWB3" s="120"/>
      <c r="OWC3" s="120"/>
      <c r="OWD3" s="120"/>
      <c r="OWE3" s="120"/>
      <c r="OWF3" s="120"/>
      <c r="OWG3" s="120"/>
      <c r="OWH3" s="120"/>
      <c r="OWI3" s="120"/>
      <c r="OWJ3" s="120"/>
      <c r="OWK3" s="120"/>
      <c r="OWL3" s="120"/>
      <c r="OWM3" s="120"/>
      <c r="OWN3" s="120"/>
      <c r="OWO3" s="120"/>
      <c r="OWP3" s="120"/>
      <c r="OWQ3" s="120"/>
      <c r="OWR3" s="120"/>
      <c r="OWS3" s="120"/>
      <c r="OWT3" s="120"/>
      <c r="OWU3" s="120"/>
      <c r="OWV3" s="120"/>
      <c r="OWW3" s="120"/>
      <c r="OWX3" s="120"/>
      <c r="OWY3" s="120"/>
      <c r="OWZ3" s="120"/>
      <c r="OXA3" s="120"/>
      <c r="OXB3" s="120"/>
      <c r="OXC3" s="120"/>
      <c r="OXD3" s="120"/>
      <c r="OXE3" s="120"/>
      <c r="OXF3" s="120"/>
      <c r="OXG3" s="120"/>
      <c r="OXH3" s="120"/>
      <c r="OXI3" s="120"/>
      <c r="OXJ3" s="120"/>
      <c r="OXK3" s="120"/>
      <c r="OXL3" s="120"/>
      <c r="OXM3" s="120"/>
      <c r="OXN3" s="120"/>
      <c r="OXO3" s="120"/>
      <c r="OXP3" s="120"/>
      <c r="OXQ3" s="120"/>
      <c r="OXR3" s="120"/>
      <c r="OXS3" s="120"/>
      <c r="OXT3" s="120"/>
      <c r="OXU3" s="120"/>
      <c r="OXV3" s="120"/>
      <c r="OXW3" s="120"/>
      <c r="OXX3" s="120"/>
      <c r="OXY3" s="120"/>
      <c r="OXZ3" s="120"/>
      <c r="OYA3" s="120"/>
      <c r="OYB3" s="120"/>
      <c r="OYC3" s="120"/>
      <c r="OYD3" s="120"/>
      <c r="OYE3" s="120"/>
      <c r="OYF3" s="120"/>
      <c r="OYG3" s="120"/>
      <c r="OYH3" s="120"/>
      <c r="OYI3" s="120"/>
      <c r="OYJ3" s="120"/>
      <c r="OYK3" s="120"/>
      <c r="OYL3" s="120"/>
      <c r="OYM3" s="120"/>
      <c r="OYN3" s="120"/>
      <c r="OYO3" s="120"/>
      <c r="OYP3" s="120"/>
      <c r="OYQ3" s="120"/>
      <c r="OYR3" s="120"/>
      <c r="OYS3" s="120"/>
      <c r="OYT3" s="120"/>
      <c r="OYU3" s="120"/>
      <c r="OYV3" s="120"/>
      <c r="OYW3" s="120"/>
      <c r="OYX3" s="120"/>
      <c r="OYY3" s="120"/>
      <c r="OYZ3" s="120"/>
      <c r="OZA3" s="120"/>
      <c r="OZB3" s="120"/>
      <c r="OZC3" s="120"/>
      <c r="OZD3" s="120"/>
      <c r="OZE3" s="120"/>
      <c r="OZF3" s="120"/>
      <c r="OZG3" s="120"/>
      <c r="OZH3" s="120"/>
      <c r="OZI3" s="120"/>
      <c r="OZJ3" s="120"/>
      <c r="OZK3" s="120"/>
      <c r="OZL3" s="120"/>
      <c r="OZM3" s="120"/>
      <c r="OZN3" s="120"/>
      <c r="OZO3" s="120"/>
      <c r="OZP3" s="120"/>
      <c r="OZQ3" s="120"/>
      <c r="OZR3" s="120"/>
      <c r="OZS3" s="120"/>
      <c r="OZT3" s="120"/>
      <c r="OZU3" s="120"/>
      <c r="OZV3" s="120"/>
      <c r="OZW3" s="120"/>
      <c r="OZX3" s="120"/>
      <c r="OZY3" s="120"/>
      <c r="OZZ3" s="120"/>
      <c r="PAA3" s="120"/>
      <c r="PAB3" s="120"/>
      <c r="PAC3" s="120"/>
      <c r="PAD3" s="120"/>
      <c r="PAE3" s="120"/>
      <c r="PAF3" s="120"/>
      <c r="PAG3" s="120"/>
      <c r="PAH3" s="120"/>
      <c r="PAI3" s="120"/>
      <c r="PAJ3" s="120"/>
      <c r="PAK3" s="120"/>
      <c r="PAL3" s="120"/>
      <c r="PAM3" s="120"/>
      <c r="PAN3" s="120"/>
      <c r="PAO3" s="120"/>
      <c r="PAP3" s="120"/>
      <c r="PAQ3" s="120"/>
      <c r="PAR3" s="120"/>
      <c r="PAS3" s="120"/>
      <c r="PAT3" s="120"/>
      <c r="PAU3" s="120"/>
      <c r="PAV3" s="120"/>
      <c r="PAW3" s="120"/>
      <c r="PAX3" s="120"/>
      <c r="PAY3" s="120"/>
      <c r="PAZ3" s="120"/>
      <c r="PBA3" s="120"/>
      <c r="PBB3" s="120"/>
      <c r="PBC3" s="120"/>
      <c r="PBD3" s="120"/>
      <c r="PBE3" s="120"/>
      <c r="PBF3" s="120"/>
      <c r="PBG3" s="120"/>
      <c r="PBH3" s="120"/>
      <c r="PBI3" s="120"/>
      <c r="PBJ3" s="120"/>
      <c r="PBK3" s="120"/>
      <c r="PBL3" s="120"/>
      <c r="PBM3" s="120"/>
      <c r="PBN3" s="120"/>
      <c r="PBO3" s="120"/>
      <c r="PBP3" s="120"/>
      <c r="PBQ3" s="120"/>
      <c r="PBR3" s="120"/>
      <c r="PBS3" s="120"/>
      <c r="PBT3" s="120"/>
      <c r="PBU3" s="120"/>
      <c r="PBV3" s="120"/>
      <c r="PBW3" s="120"/>
      <c r="PBX3" s="120"/>
      <c r="PBY3" s="120"/>
      <c r="PBZ3" s="120"/>
      <c r="PCA3" s="120"/>
      <c r="PCB3" s="120"/>
      <c r="PCC3" s="120"/>
      <c r="PCD3" s="120"/>
      <c r="PCE3" s="120"/>
      <c r="PCF3" s="120"/>
      <c r="PCG3" s="120"/>
      <c r="PCH3" s="120"/>
      <c r="PCI3" s="120"/>
      <c r="PCJ3" s="120"/>
      <c r="PCK3" s="120"/>
      <c r="PCL3" s="120"/>
      <c r="PCM3" s="120"/>
      <c r="PCN3" s="120"/>
      <c r="PCO3" s="120"/>
      <c r="PCP3" s="120"/>
      <c r="PCQ3" s="120"/>
      <c r="PCR3" s="120"/>
      <c r="PCS3" s="120"/>
      <c r="PCT3" s="120"/>
      <c r="PCU3" s="120"/>
      <c r="PCV3" s="120"/>
      <c r="PCW3" s="120"/>
      <c r="PCX3" s="120"/>
      <c r="PCY3" s="120"/>
      <c r="PCZ3" s="120"/>
      <c r="PDA3" s="120"/>
      <c r="PDB3" s="120"/>
      <c r="PDC3" s="120"/>
      <c r="PDD3" s="120"/>
      <c r="PDE3" s="120"/>
      <c r="PDF3" s="120"/>
      <c r="PDG3" s="120"/>
      <c r="PDH3" s="120"/>
      <c r="PDI3" s="120"/>
      <c r="PDJ3" s="120"/>
      <c r="PDK3" s="120"/>
      <c r="PDL3" s="120"/>
      <c r="PDM3" s="120"/>
      <c r="PDN3" s="120"/>
      <c r="PDO3" s="120"/>
      <c r="PDP3" s="120"/>
      <c r="PDQ3" s="120"/>
      <c r="PDR3" s="120"/>
      <c r="PDS3" s="120"/>
      <c r="PDT3" s="120"/>
      <c r="PDU3" s="120"/>
      <c r="PDV3" s="120"/>
      <c r="PDW3" s="120"/>
      <c r="PDX3" s="120"/>
      <c r="PDY3" s="120"/>
      <c r="PDZ3" s="120"/>
      <c r="PEA3" s="120"/>
      <c r="PEB3" s="120"/>
      <c r="PEC3" s="120"/>
      <c r="PED3" s="120"/>
      <c r="PEE3" s="120"/>
      <c r="PEF3" s="120"/>
      <c r="PEG3" s="120"/>
      <c r="PEH3" s="120"/>
      <c r="PEI3" s="120"/>
      <c r="PEJ3" s="120"/>
      <c r="PEK3" s="120"/>
      <c r="PEL3" s="120"/>
      <c r="PEM3" s="120"/>
      <c r="PEN3" s="120"/>
      <c r="PEO3" s="120"/>
      <c r="PEP3" s="120"/>
      <c r="PEQ3" s="120"/>
      <c r="PER3" s="120"/>
      <c r="PES3" s="120"/>
      <c r="PET3" s="120"/>
      <c r="PEU3" s="120"/>
      <c r="PEV3" s="120"/>
      <c r="PEW3" s="120"/>
      <c r="PEX3" s="120"/>
      <c r="PEY3" s="120"/>
      <c r="PEZ3" s="120"/>
      <c r="PFA3" s="120"/>
      <c r="PFB3" s="120"/>
      <c r="PFC3" s="120"/>
      <c r="PFD3" s="120"/>
      <c r="PFE3" s="120"/>
      <c r="PFF3" s="120"/>
      <c r="PFG3" s="120"/>
      <c r="PFH3" s="120"/>
      <c r="PFI3" s="120"/>
      <c r="PFJ3" s="120"/>
      <c r="PFK3" s="120"/>
      <c r="PFL3" s="120"/>
      <c r="PFM3" s="120"/>
      <c r="PFN3" s="120"/>
      <c r="PFO3" s="120"/>
      <c r="PFP3" s="120"/>
      <c r="PFQ3" s="120"/>
      <c r="PFR3" s="120"/>
      <c r="PFS3" s="120"/>
      <c r="PFT3" s="120"/>
      <c r="PFU3" s="120"/>
      <c r="PFV3" s="120"/>
      <c r="PFW3" s="120"/>
      <c r="PFX3" s="120"/>
      <c r="PFY3" s="120"/>
      <c r="PFZ3" s="120"/>
      <c r="PGA3" s="120"/>
      <c r="PGB3" s="120"/>
      <c r="PGC3" s="120"/>
      <c r="PGD3" s="120"/>
      <c r="PGE3" s="120"/>
      <c r="PGF3" s="120"/>
      <c r="PGG3" s="120"/>
      <c r="PGH3" s="120"/>
      <c r="PGI3" s="120"/>
      <c r="PGJ3" s="120"/>
      <c r="PGK3" s="120"/>
      <c r="PGL3" s="120"/>
      <c r="PGM3" s="120"/>
      <c r="PGN3" s="120"/>
      <c r="PGO3" s="120"/>
      <c r="PGP3" s="120"/>
      <c r="PGQ3" s="120"/>
      <c r="PGR3" s="120"/>
      <c r="PGS3" s="120"/>
      <c r="PGT3" s="120"/>
      <c r="PGU3" s="120"/>
      <c r="PGV3" s="120"/>
      <c r="PGW3" s="120"/>
      <c r="PGX3" s="120"/>
      <c r="PGY3" s="120"/>
      <c r="PGZ3" s="120"/>
      <c r="PHA3" s="120"/>
      <c r="PHB3" s="120"/>
      <c r="PHC3" s="120"/>
      <c r="PHD3" s="120"/>
      <c r="PHE3" s="120"/>
      <c r="PHF3" s="120"/>
      <c r="PHG3" s="120"/>
      <c r="PHH3" s="120"/>
      <c r="PHI3" s="120"/>
      <c r="PHJ3" s="120"/>
      <c r="PHK3" s="120"/>
      <c r="PHL3" s="120"/>
      <c r="PHM3" s="120"/>
      <c r="PHN3" s="120"/>
      <c r="PHO3" s="120"/>
      <c r="PHP3" s="120"/>
      <c r="PHQ3" s="120"/>
      <c r="PHR3" s="120"/>
      <c r="PHS3" s="120"/>
      <c r="PHT3" s="120"/>
      <c r="PHU3" s="120"/>
      <c r="PHV3" s="120"/>
      <c r="PHW3" s="120"/>
      <c r="PHX3" s="120"/>
      <c r="PHY3" s="120"/>
      <c r="PHZ3" s="120"/>
      <c r="PIA3" s="120"/>
      <c r="PIB3" s="120"/>
      <c r="PIC3" s="120"/>
      <c r="PID3" s="120"/>
      <c r="PIE3" s="120"/>
      <c r="PIF3" s="120"/>
      <c r="PIG3" s="120"/>
      <c r="PIH3" s="120"/>
      <c r="PII3" s="120"/>
      <c r="PIJ3" s="120"/>
      <c r="PIK3" s="120"/>
      <c r="PIL3" s="120"/>
      <c r="PIM3" s="120"/>
      <c r="PIN3" s="120"/>
      <c r="PIO3" s="120"/>
      <c r="PIP3" s="120"/>
      <c r="PIQ3" s="120"/>
      <c r="PIR3" s="120"/>
      <c r="PIS3" s="120"/>
      <c r="PIT3" s="120"/>
      <c r="PIU3" s="120"/>
      <c r="PIV3" s="120"/>
      <c r="PIW3" s="120"/>
      <c r="PIX3" s="120"/>
      <c r="PIY3" s="120"/>
      <c r="PIZ3" s="120"/>
      <c r="PJA3" s="120"/>
      <c r="PJB3" s="120"/>
      <c r="PJC3" s="120"/>
      <c r="PJD3" s="120"/>
      <c r="PJE3" s="120"/>
      <c r="PJF3" s="120"/>
      <c r="PJG3" s="120"/>
      <c r="PJH3" s="120"/>
      <c r="PJI3" s="120"/>
      <c r="PJJ3" s="120"/>
      <c r="PJK3" s="120"/>
      <c r="PJL3" s="120"/>
      <c r="PJM3" s="120"/>
      <c r="PJN3" s="120"/>
      <c r="PJO3" s="120"/>
      <c r="PJP3" s="120"/>
      <c r="PJQ3" s="120"/>
      <c r="PJR3" s="120"/>
      <c r="PJS3" s="120"/>
      <c r="PJT3" s="120"/>
      <c r="PJU3" s="120"/>
      <c r="PJV3" s="120"/>
      <c r="PJW3" s="120"/>
      <c r="PJX3" s="120"/>
      <c r="PJY3" s="120"/>
      <c r="PJZ3" s="120"/>
      <c r="PKA3" s="120"/>
      <c r="PKB3" s="120"/>
      <c r="PKC3" s="120"/>
      <c r="PKD3" s="120"/>
      <c r="PKE3" s="120"/>
      <c r="PKF3" s="120"/>
      <c r="PKG3" s="120"/>
      <c r="PKH3" s="120"/>
      <c r="PKI3" s="120"/>
      <c r="PKJ3" s="120"/>
      <c r="PKK3" s="120"/>
      <c r="PKL3" s="120"/>
      <c r="PKM3" s="120"/>
      <c r="PKN3" s="120"/>
      <c r="PKO3" s="120"/>
      <c r="PKP3" s="120"/>
      <c r="PKQ3" s="120"/>
      <c r="PKR3" s="120"/>
      <c r="PKS3" s="120"/>
      <c r="PKT3" s="120"/>
      <c r="PKU3" s="120"/>
      <c r="PKV3" s="120"/>
      <c r="PKW3" s="120"/>
      <c r="PKX3" s="120"/>
      <c r="PKY3" s="120"/>
      <c r="PKZ3" s="120"/>
      <c r="PLA3" s="120"/>
      <c r="PLB3" s="120"/>
      <c r="PLC3" s="120"/>
      <c r="PLD3" s="120"/>
      <c r="PLE3" s="120"/>
      <c r="PLF3" s="120"/>
      <c r="PLG3" s="120"/>
      <c r="PLH3" s="120"/>
      <c r="PLI3" s="120"/>
      <c r="PLJ3" s="120"/>
      <c r="PLK3" s="120"/>
      <c r="PLL3" s="120"/>
      <c r="PLM3" s="120"/>
      <c r="PLN3" s="120"/>
      <c r="PLO3" s="120"/>
      <c r="PLP3" s="120"/>
      <c r="PLQ3" s="120"/>
      <c r="PLR3" s="120"/>
      <c r="PLS3" s="120"/>
      <c r="PLT3" s="120"/>
      <c r="PLU3" s="120"/>
      <c r="PLV3" s="120"/>
      <c r="PLW3" s="120"/>
      <c r="PLX3" s="120"/>
      <c r="PLY3" s="120"/>
      <c r="PLZ3" s="120"/>
      <c r="PMA3" s="120"/>
      <c r="PMB3" s="120"/>
      <c r="PMC3" s="120"/>
      <c r="PMD3" s="120"/>
      <c r="PME3" s="120"/>
      <c r="PMF3" s="120"/>
      <c r="PMG3" s="120"/>
      <c r="PMH3" s="120"/>
      <c r="PMI3" s="120"/>
      <c r="PMJ3" s="120"/>
      <c r="PMK3" s="120"/>
      <c r="PML3" s="120"/>
      <c r="PMM3" s="120"/>
      <c r="PMN3" s="120"/>
      <c r="PMO3" s="120"/>
      <c r="PMP3" s="120"/>
      <c r="PMQ3" s="120"/>
      <c r="PMR3" s="120"/>
      <c r="PMS3" s="120"/>
      <c r="PMT3" s="120"/>
      <c r="PMU3" s="120"/>
      <c r="PMV3" s="120"/>
      <c r="PMW3" s="120"/>
      <c r="PMX3" s="120"/>
      <c r="PMY3" s="120"/>
      <c r="PMZ3" s="120"/>
      <c r="PNA3" s="120"/>
      <c r="PNB3" s="120"/>
      <c r="PNC3" s="120"/>
      <c r="PND3" s="120"/>
      <c r="PNE3" s="120"/>
      <c r="PNF3" s="120"/>
      <c r="PNG3" s="120"/>
      <c r="PNH3" s="120"/>
      <c r="PNI3" s="120"/>
      <c r="PNJ3" s="120"/>
      <c r="PNK3" s="120"/>
      <c r="PNL3" s="120"/>
      <c r="PNM3" s="120"/>
      <c r="PNN3" s="120"/>
      <c r="PNO3" s="120"/>
      <c r="PNP3" s="120"/>
      <c r="PNQ3" s="120"/>
      <c r="PNR3" s="120"/>
      <c r="PNS3" s="120"/>
      <c r="PNT3" s="120"/>
      <c r="PNU3" s="120"/>
      <c r="PNV3" s="120"/>
      <c r="PNW3" s="120"/>
      <c r="PNX3" s="120"/>
      <c r="PNY3" s="120"/>
      <c r="PNZ3" s="120"/>
      <c r="POA3" s="120"/>
      <c r="POB3" s="120"/>
      <c r="POC3" s="120"/>
      <c r="POD3" s="120"/>
      <c r="POE3" s="120"/>
      <c r="POF3" s="120"/>
      <c r="POG3" s="120"/>
      <c r="POH3" s="120"/>
      <c r="POI3" s="120"/>
      <c r="POJ3" s="120"/>
      <c r="POK3" s="120"/>
      <c r="POL3" s="120"/>
      <c r="POM3" s="120"/>
      <c r="PON3" s="120"/>
      <c r="POO3" s="120"/>
      <c r="POP3" s="120"/>
      <c r="POQ3" s="120"/>
      <c r="POR3" s="120"/>
      <c r="POS3" s="120"/>
      <c r="POT3" s="120"/>
      <c r="POU3" s="120"/>
      <c r="POV3" s="120"/>
      <c r="POW3" s="120"/>
      <c r="POX3" s="120"/>
      <c r="POY3" s="120"/>
      <c r="POZ3" s="120"/>
      <c r="PPA3" s="120"/>
      <c r="PPB3" s="120"/>
      <c r="PPC3" s="120"/>
      <c r="PPD3" s="120"/>
      <c r="PPE3" s="120"/>
      <c r="PPF3" s="120"/>
      <c r="PPG3" s="120"/>
      <c r="PPH3" s="120"/>
      <c r="PPI3" s="120"/>
      <c r="PPJ3" s="120"/>
      <c r="PPK3" s="120"/>
      <c r="PPL3" s="120"/>
      <c r="PPM3" s="120"/>
      <c r="PPN3" s="120"/>
      <c r="PPO3" s="120"/>
      <c r="PPP3" s="120"/>
      <c r="PPQ3" s="120"/>
      <c r="PPR3" s="120"/>
      <c r="PPS3" s="120"/>
      <c r="PPT3" s="120"/>
      <c r="PPU3" s="120"/>
      <c r="PPV3" s="120"/>
      <c r="PPW3" s="120"/>
      <c r="PPX3" s="120"/>
      <c r="PPY3" s="120"/>
      <c r="PPZ3" s="120"/>
      <c r="PQA3" s="120"/>
      <c r="PQB3" s="120"/>
      <c r="PQC3" s="120"/>
      <c r="PQD3" s="120"/>
      <c r="PQE3" s="120"/>
      <c r="PQF3" s="120"/>
      <c r="PQG3" s="120"/>
      <c r="PQH3" s="120"/>
      <c r="PQI3" s="120"/>
      <c r="PQJ3" s="120"/>
      <c r="PQK3" s="120"/>
      <c r="PQL3" s="120"/>
      <c r="PQM3" s="120"/>
      <c r="PQN3" s="120"/>
      <c r="PQO3" s="120"/>
      <c r="PQP3" s="120"/>
      <c r="PQQ3" s="120"/>
      <c r="PQR3" s="120"/>
      <c r="PQS3" s="120"/>
      <c r="PQT3" s="120"/>
      <c r="PQU3" s="120"/>
      <c r="PQV3" s="120"/>
      <c r="PQW3" s="120"/>
      <c r="PQX3" s="120"/>
      <c r="PQY3" s="120"/>
      <c r="PQZ3" s="120"/>
      <c r="PRA3" s="120"/>
      <c r="PRB3" s="120"/>
      <c r="PRC3" s="120"/>
      <c r="PRD3" s="120"/>
      <c r="PRE3" s="120"/>
      <c r="PRF3" s="120"/>
      <c r="PRG3" s="120"/>
      <c r="PRH3" s="120"/>
      <c r="PRI3" s="120"/>
      <c r="PRJ3" s="120"/>
      <c r="PRK3" s="120"/>
      <c r="PRL3" s="120"/>
      <c r="PRM3" s="120"/>
      <c r="PRN3" s="120"/>
      <c r="PRO3" s="120"/>
      <c r="PRP3" s="120"/>
      <c r="PRQ3" s="120"/>
      <c r="PRR3" s="120"/>
      <c r="PRS3" s="120"/>
      <c r="PRT3" s="120"/>
      <c r="PRU3" s="120"/>
      <c r="PRV3" s="120"/>
      <c r="PRW3" s="120"/>
      <c r="PRX3" s="120"/>
      <c r="PRY3" s="120"/>
      <c r="PRZ3" s="120"/>
      <c r="PSA3" s="120"/>
      <c r="PSB3" s="120"/>
      <c r="PSC3" s="120"/>
      <c r="PSD3" s="120"/>
      <c r="PSE3" s="120"/>
      <c r="PSF3" s="120"/>
      <c r="PSG3" s="120"/>
      <c r="PSH3" s="120"/>
      <c r="PSI3" s="120"/>
      <c r="PSJ3" s="120"/>
      <c r="PSK3" s="120"/>
      <c r="PSL3" s="120"/>
      <c r="PSM3" s="120"/>
      <c r="PSN3" s="120"/>
      <c r="PSO3" s="120"/>
      <c r="PSP3" s="120"/>
      <c r="PSQ3" s="120"/>
      <c r="PSR3" s="120"/>
      <c r="PSS3" s="120"/>
      <c r="PST3" s="120"/>
      <c r="PSU3" s="120"/>
      <c r="PSV3" s="120"/>
      <c r="PSW3" s="120"/>
      <c r="PSX3" s="120"/>
      <c r="PSY3" s="120"/>
      <c r="PSZ3" s="120"/>
      <c r="PTA3" s="120"/>
      <c r="PTB3" s="120"/>
      <c r="PTC3" s="120"/>
      <c r="PTD3" s="120"/>
      <c r="PTE3" s="120"/>
      <c r="PTF3" s="120"/>
      <c r="PTG3" s="120"/>
      <c r="PTH3" s="120"/>
      <c r="PTI3" s="120"/>
      <c r="PTJ3" s="120"/>
      <c r="PTK3" s="120"/>
      <c r="PTL3" s="120"/>
      <c r="PTM3" s="120"/>
      <c r="PTN3" s="120"/>
      <c r="PTO3" s="120"/>
      <c r="PTP3" s="120"/>
      <c r="PTQ3" s="120"/>
      <c r="PTR3" s="120"/>
      <c r="PTS3" s="120"/>
      <c r="PTT3" s="120"/>
      <c r="PTU3" s="120"/>
      <c r="PTV3" s="120"/>
      <c r="PTW3" s="120"/>
      <c r="PTX3" s="120"/>
      <c r="PTY3" s="120"/>
      <c r="PTZ3" s="120"/>
      <c r="PUA3" s="120"/>
      <c r="PUB3" s="120"/>
      <c r="PUC3" s="120"/>
      <c r="PUD3" s="120"/>
      <c r="PUE3" s="120"/>
      <c r="PUF3" s="120"/>
      <c r="PUG3" s="120"/>
      <c r="PUH3" s="120"/>
      <c r="PUI3" s="120"/>
      <c r="PUJ3" s="120"/>
      <c r="PUK3" s="120"/>
      <c r="PUL3" s="120"/>
      <c r="PUM3" s="120"/>
      <c r="PUN3" s="120"/>
      <c r="PUO3" s="120"/>
      <c r="PUP3" s="120"/>
      <c r="PUQ3" s="120"/>
      <c r="PUR3" s="120"/>
      <c r="PUS3" s="120"/>
      <c r="PUT3" s="120"/>
      <c r="PUU3" s="120"/>
      <c r="PUV3" s="120"/>
      <c r="PUW3" s="120"/>
      <c r="PUX3" s="120"/>
      <c r="PUY3" s="120"/>
      <c r="PUZ3" s="120"/>
      <c r="PVA3" s="120"/>
      <c r="PVB3" s="120"/>
      <c r="PVC3" s="120"/>
      <c r="PVD3" s="120"/>
      <c r="PVE3" s="120"/>
      <c r="PVF3" s="120"/>
      <c r="PVG3" s="120"/>
      <c r="PVH3" s="120"/>
      <c r="PVI3" s="120"/>
      <c r="PVJ3" s="120"/>
      <c r="PVK3" s="120"/>
      <c r="PVL3" s="120"/>
      <c r="PVM3" s="120"/>
      <c r="PVN3" s="120"/>
      <c r="PVO3" s="120"/>
      <c r="PVP3" s="120"/>
      <c r="PVQ3" s="120"/>
      <c r="PVR3" s="120"/>
      <c r="PVS3" s="120"/>
      <c r="PVT3" s="120"/>
      <c r="PVU3" s="120"/>
      <c r="PVV3" s="120"/>
      <c r="PVW3" s="120"/>
      <c r="PVX3" s="120"/>
      <c r="PVY3" s="120"/>
      <c r="PVZ3" s="120"/>
      <c r="PWA3" s="120"/>
      <c r="PWB3" s="120"/>
      <c r="PWC3" s="120"/>
      <c r="PWD3" s="120"/>
      <c r="PWE3" s="120"/>
      <c r="PWF3" s="120"/>
      <c r="PWG3" s="120"/>
      <c r="PWH3" s="120"/>
      <c r="PWI3" s="120"/>
      <c r="PWJ3" s="120"/>
      <c r="PWK3" s="120"/>
      <c r="PWL3" s="120"/>
      <c r="PWM3" s="120"/>
      <c r="PWN3" s="120"/>
      <c r="PWO3" s="120"/>
      <c r="PWP3" s="120"/>
      <c r="PWQ3" s="120"/>
      <c r="PWR3" s="120"/>
      <c r="PWS3" s="120"/>
      <c r="PWT3" s="120"/>
      <c r="PWU3" s="120"/>
      <c r="PWV3" s="120"/>
      <c r="PWW3" s="120"/>
      <c r="PWX3" s="120"/>
      <c r="PWY3" s="120"/>
      <c r="PWZ3" s="120"/>
      <c r="PXA3" s="120"/>
      <c r="PXB3" s="120"/>
      <c r="PXC3" s="120"/>
      <c r="PXD3" s="120"/>
      <c r="PXE3" s="120"/>
      <c r="PXF3" s="120"/>
      <c r="PXG3" s="120"/>
      <c r="PXH3" s="120"/>
      <c r="PXI3" s="120"/>
      <c r="PXJ3" s="120"/>
      <c r="PXK3" s="120"/>
      <c r="PXL3" s="120"/>
      <c r="PXM3" s="120"/>
      <c r="PXN3" s="120"/>
      <c r="PXO3" s="120"/>
      <c r="PXP3" s="120"/>
      <c r="PXQ3" s="120"/>
      <c r="PXR3" s="120"/>
      <c r="PXS3" s="120"/>
      <c r="PXT3" s="120"/>
      <c r="PXU3" s="120"/>
      <c r="PXV3" s="120"/>
      <c r="PXW3" s="120"/>
      <c r="PXX3" s="120"/>
      <c r="PXY3" s="120"/>
      <c r="PXZ3" s="120"/>
      <c r="PYA3" s="120"/>
      <c r="PYB3" s="120"/>
      <c r="PYC3" s="120"/>
      <c r="PYD3" s="120"/>
      <c r="PYE3" s="120"/>
      <c r="PYF3" s="120"/>
      <c r="PYG3" s="120"/>
      <c r="PYH3" s="120"/>
      <c r="PYI3" s="120"/>
      <c r="PYJ3" s="120"/>
      <c r="PYK3" s="120"/>
      <c r="PYL3" s="120"/>
      <c r="PYM3" s="120"/>
      <c r="PYN3" s="120"/>
      <c r="PYO3" s="120"/>
      <c r="PYP3" s="120"/>
      <c r="PYQ3" s="120"/>
      <c r="PYR3" s="120"/>
      <c r="PYS3" s="120"/>
      <c r="PYT3" s="120"/>
      <c r="PYU3" s="120"/>
      <c r="PYV3" s="120"/>
      <c r="PYW3" s="120"/>
      <c r="PYX3" s="120"/>
      <c r="PYY3" s="120"/>
      <c r="PYZ3" s="120"/>
      <c r="PZA3" s="120"/>
      <c r="PZB3" s="120"/>
      <c r="PZC3" s="120"/>
      <c r="PZD3" s="120"/>
      <c r="PZE3" s="120"/>
      <c r="PZF3" s="120"/>
      <c r="PZG3" s="120"/>
      <c r="PZH3" s="120"/>
      <c r="PZI3" s="120"/>
      <c r="PZJ3" s="120"/>
      <c r="PZK3" s="120"/>
      <c r="PZL3" s="120"/>
      <c r="PZM3" s="120"/>
      <c r="PZN3" s="120"/>
      <c r="PZO3" s="120"/>
      <c r="PZP3" s="120"/>
      <c r="PZQ3" s="120"/>
      <c r="PZR3" s="120"/>
      <c r="PZS3" s="120"/>
      <c r="PZT3" s="120"/>
      <c r="PZU3" s="120"/>
      <c r="PZV3" s="120"/>
      <c r="PZW3" s="120"/>
      <c r="PZX3" s="120"/>
      <c r="PZY3" s="120"/>
      <c r="PZZ3" s="120"/>
      <c r="QAA3" s="120"/>
      <c r="QAB3" s="120"/>
      <c r="QAC3" s="120"/>
      <c r="QAD3" s="120"/>
      <c r="QAE3" s="120"/>
      <c r="QAF3" s="120"/>
      <c r="QAG3" s="120"/>
      <c r="QAH3" s="120"/>
      <c r="QAI3" s="120"/>
      <c r="QAJ3" s="120"/>
      <c r="QAK3" s="120"/>
      <c r="QAL3" s="120"/>
      <c r="QAM3" s="120"/>
      <c r="QAN3" s="120"/>
      <c r="QAO3" s="120"/>
      <c r="QAP3" s="120"/>
      <c r="QAQ3" s="120"/>
      <c r="QAR3" s="120"/>
      <c r="QAS3" s="120"/>
      <c r="QAT3" s="120"/>
      <c r="QAU3" s="120"/>
      <c r="QAV3" s="120"/>
      <c r="QAW3" s="120"/>
      <c r="QAX3" s="120"/>
      <c r="QAY3" s="120"/>
      <c r="QAZ3" s="120"/>
      <c r="QBA3" s="120"/>
      <c r="QBB3" s="120"/>
      <c r="QBC3" s="120"/>
      <c r="QBD3" s="120"/>
      <c r="QBE3" s="120"/>
      <c r="QBF3" s="120"/>
      <c r="QBG3" s="120"/>
      <c r="QBH3" s="120"/>
      <c r="QBI3" s="120"/>
      <c r="QBJ3" s="120"/>
      <c r="QBK3" s="120"/>
      <c r="QBL3" s="120"/>
      <c r="QBM3" s="120"/>
      <c r="QBN3" s="120"/>
      <c r="QBO3" s="120"/>
      <c r="QBP3" s="120"/>
      <c r="QBQ3" s="120"/>
      <c r="QBR3" s="120"/>
      <c r="QBS3" s="120"/>
      <c r="QBT3" s="120"/>
      <c r="QBU3" s="120"/>
      <c r="QBV3" s="120"/>
      <c r="QBW3" s="120"/>
      <c r="QBX3" s="120"/>
      <c r="QBY3" s="120"/>
      <c r="QBZ3" s="120"/>
      <c r="QCA3" s="120"/>
      <c r="QCB3" s="120"/>
      <c r="QCC3" s="120"/>
      <c r="QCD3" s="120"/>
      <c r="QCE3" s="120"/>
      <c r="QCF3" s="120"/>
      <c r="QCG3" s="120"/>
      <c r="QCH3" s="120"/>
      <c r="QCI3" s="120"/>
      <c r="QCJ3" s="120"/>
      <c r="QCK3" s="120"/>
      <c r="QCL3" s="120"/>
      <c r="QCM3" s="120"/>
      <c r="QCN3" s="120"/>
      <c r="QCO3" s="120"/>
      <c r="QCP3" s="120"/>
      <c r="QCQ3" s="120"/>
      <c r="QCR3" s="120"/>
      <c r="QCS3" s="120"/>
      <c r="QCT3" s="120"/>
      <c r="QCU3" s="120"/>
      <c r="QCV3" s="120"/>
      <c r="QCW3" s="120"/>
      <c r="QCX3" s="120"/>
      <c r="QCY3" s="120"/>
      <c r="QCZ3" s="120"/>
      <c r="QDA3" s="120"/>
      <c r="QDB3" s="120"/>
      <c r="QDC3" s="120"/>
      <c r="QDD3" s="120"/>
      <c r="QDE3" s="120"/>
      <c r="QDF3" s="120"/>
      <c r="QDG3" s="120"/>
      <c r="QDH3" s="120"/>
      <c r="QDI3" s="120"/>
      <c r="QDJ3" s="120"/>
      <c r="QDK3" s="120"/>
      <c r="QDL3" s="120"/>
      <c r="QDM3" s="120"/>
      <c r="QDN3" s="120"/>
      <c r="QDO3" s="120"/>
      <c r="QDP3" s="120"/>
      <c r="QDQ3" s="120"/>
      <c r="QDR3" s="120"/>
      <c r="QDS3" s="120"/>
      <c r="QDT3" s="120"/>
      <c r="QDU3" s="120"/>
      <c r="QDV3" s="120"/>
      <c r="QDW3" s="120"/>
      <c r="QDX3" s="120"/>
      <c r="QDY3" s="120"/>
      <c r="QDZ3" s="120"/>
      <c r="QEA3" s="120"/>
      <c r="QEB3" s="120"/>
      <c r="QEC3" s="120"/>
      <c r="QED3" s="120"/>
      <c r="QEE3" s="120"/>
      <c r="QEF3" s="120"/>
      <c r="QEG3" s="120"/>
      <c r="QEH3" s="120"/>
      <c r="QEI3" s="120"/>
      <c r="QEJ3" s="120"/>
      <c r="QEK3" s="120"/>
      <c r="QEL3" s="120"/>
      <c r="QEM3" s="120"/>
      <c r="QEN3" s="120"/>
      <c r="QEO3" s="120"/>
      <c r="QEP3" s="120"/>
      <c r="QEQ3" s="120"/>
      <c r="QER3" s="120"/>
      <c r="QES3" s="120"/>
      <c r="QET3" s="120"/>
      <c r="QEU3" s="120"/>
      <c r="QEV3" s="120"/>
      <c r="QEW3" s="120"/>
      <c r="QEX3" s="120"/>
      <c r="QEY3" s="120"/>
      <c r="QEZ3" s="120"/>
      <c r="QFA3" s="120"/>
      <c r="QFB3" s="120"/>
      <c r="QFC3" s="120"/>
      <c r="QFD3" s="120"/>
      <c r="QFE3" s="120"/>
      <c r="QFF3" s="120"/>
      <c r="QFG3" s="120"/>
      <c r="QFH3" s="120"/>
      <c r="QFI3" s="120"/>
      <c r="QFJ3" s="120"/>
      <c r="QFK3" s="120"/>
      <c r="QFL3" s="120"/>
      <c r="QFM3" s="120"/>
      <c r="QFN3" s="120"/>
      <c r="QFO3" s="120"/>
      <c r="QFP3" s="120"/>
      <c r="QFQ3" s="120"/>
      <c r="QFR3" s="120"/>
      <c r="QFS3" s="120"/>
      <c r="QFT3" s="120"/>
      <c r="QFU3" s="120"/>
      <c r="QFV3" s="120"/>
      <c r="QFW3" s="120"/>
      <c r="QFX3" s="120"/>
      <c r="QFY3" s="120"/>
      <c r="QFZ3" s="120"/>
      <c r="QGA3" s="120"/>
      <c r="QGB3" s="120"/>
      <c r="QGC3" s="120"/>
      <c r="QGD3" s="120"/>
      <c r="QGE3" s="120"/>
      <c r="QGF3" s="120"/>
      <c r="QGG3" s="120"/>
      <c r="QGH3" s="120"/>
      <c r="QGI3" s="120"/>
      <c r="QGJ3" s="120"/>
      <c r="QGK3" s="120"/>
      <c r="QGL3" s="120"/>
      <c r="QGM3" s="120"/>
      <c r="QGN3" s="120"/>
      <c r="QGO3" s="120"/>
      <c r="QGP3" s="120"/>
      <c r="QGQ3" s="120"/>
      <c r="QGR3" s="120"/>
      <c r="QGS3" s="120"/>
      <c r="QGT3" s="120"/>
      <c r="QGU3" s="120"/>
      <c r="QGV3" s="120"/>
      <c r="QGW3" s="120"/>
      <c r="QGX3" s="120"/>
      <c r="QGY3" s="120"/>
      <c r="QGZ3" s="120"/>
      <c r="QHA3" s="120"/>
      <c r="QHB3" s="120"/>
      <c r="QHC3" s="120"/>
      <c r="QHD3" s="120"/>
      <c r="QHE3" s="120"/>
      <c r="QHF3" s="120"/>
      <c r="QHG3" s="120"/>
      <c r="QHH3" s="120"/>
      <c r="QHI3" s="120"/>
      <c r="QHJ3" s="120"/>
      <c r="QHK3" s="120"/>
      <c r="QHL3" s="120"/>
      <c r="QHM3" s="120"/>
      <c r="QHN3" s="120"/>
      <c r="QHO3" s="120"/>
      <c r="QHP3" s="120"/>
      <c r="QHQ3" s="120"/>
      <c r="QHR3" s="120"/>
      <c r="QHS3" s="120"/>
      <c r="QHT3" s="120"/>
      <c r="QHU3" s="120"/>
      <c r="QHV3" s="120"/>
      <c r="QHW3" s="120"/>
      <c r="QHX3" s="120"/>
      <c r="QHY3" s="120"/>
      <c r="QHZ3" s="120"/>
      <c r="QIA3" s="120"/>
      <c r="QIB3" s="120"/>
      <c r="QIC3" s="120"/>
      <c r="QID3" s="120"/>
      <c r="QIE3" s="120"/>
      <c r="QIF3" s="120"/>
      <c r="QIG3" s="120"/>
      <c r="QIH3" s="120"/>
      <c r="QII3" s="120"/>
      <c r="QIJ3" s="120"/>
      <c r="QIK3" s="120"/>
      <c r="QIL3" s="120"/>
      <c r="QIM3" s="120"/>
      <c r="QIN3" s="120"/>
      <c r="QIO3" s="120"/>
      <c r="QIP3" s="120"/>
      <c r="QIQ3" s="120"/>
      <c r="QIR3" s="120"/>
      <c r="QIS3" s="120"/>
      <c r="QIT3" s="120"/>
      <c r="QIU3" s="120"/>
      <c r="QIV3" s="120"/>
      <c r="QIW3" s="120"/>
      <c r="QIX3" s="120"/>
      <c r="QIY3" s="120"/>
      <c r="QIZ3" s="120"/>
      <c r="QJA3" s="120"/>
      <c r="QJB3" s="120"/>
      <c r="QJC3" s="120"/>
      <c r="QJD3" s="120"/>
      <c r="QJE3" s="120"/>
      <c r="QJF3" s="120"/>
      <c r="QJG3" s="120"/>
      <c r="QJH3" s="120"/>
      <c r="QJI3" s="120"/>
      <c r="QJJ3" s="120"/>
      <c r="QJK3" s="120"/>
      <c r="QJL3" s="120"/>
      <c r="QJM3" s="120"/>
      <c r="QJN3" s="120"/>
      <c r="QJO3" s="120"/>
      <c r="QJP3" s="120"/>
      <c r="QJQ3" s="120"/>
      <c r="QJR3" s="120"/>
      <c r="QJS3" s="120"/>
      <c r="QJT3" s="120"/>
      <c r="QJU3" s="120"/>
      <c r="QJV3" s="120"/>
      <c r="QJW3" s="120"/>
      <c r="QJX3" s="120"/>
      <c r="QJY3" s="120"/>
      <c r="QJZ3" s="120"/>
      <c r="QKA3" s="120"/>
      <c r="QKB3" s="120"/>
      <c r="QKC3" s="120"/>
      <c r="QKD3" s="120"/>
      <c r="QKE3" s="120"/>
      <c r="QKF3" s="120"/>
      <c r="QKG3" s="120"/>
      <c r="QKH3" s="120"/>
      <c r="QKI3" s="120"/>
      <c r="QKJ3" s="120"/>
      <c r="QKK3" s="120"/>
      <c r="QKL3" s="120"/>
      <c r="QKM3" s="120"/>
      <c r="QKN3" s="120"/>
      <c r="QKO3" s="120"/>
      <c r="QKP3" s="120"/>
      <c r="QKQ3" s="120"/>
      <c r="QKR3" s="120"/>
      <c r="QKS3" s="120"/>
      <c r="QKT3" s="120"/>
      <c r="QKU3" s="120"/>
      <c r="QKV3" s="120"/>
      <c r="QKW3" s="120"/>
      <c r="QKX3" s="120"/>
      <c r="QKY3" s="120"/>
      <c r="QKZ3" s="120"/>
      <c r="QLA3" s="120"/>
      <c r="QLB3" s="120"/>
      <c r="QLC3" s="120"/>
      <c r="QLD3" s="120"/>
      <c r="QLE3" s="120"/>
      <c r="QLF3" s="120"/>
      <c r="QLG3" s="120"/>
      <c r="QLH3" s="120"/>
      <c r="QLI3" s="120"/>
      <c r="QLJ3" s="120"/>
      <c r="QLK3" s="120"/>
      <c r="QLL3" s="120"/>
      <c r="QLM3" s="120"/>
      <c r="QLN3" s="120"/>
      <c r="QLO3" s="120"/>
      <c r="QLP3" s="120"/>
      <c r="QLQ3" s="120"/>
      <c r="QLR3" s="120"/>
      <c r="QLS3" s="120"/>
      <c r="QLT3" s="120"/>
      <c r="QLU3" s="120"/>
      <c r="QLV3" s="120"/>
      <c r="QLW3" s="120"/>
      <c r="QLX3" s="120"/>
      <c r="QLY3" s="120"/>
      <c r="QLZ3" s="120"/>
      <c r="QMA3" s="120"/>
      <c r="QMB3" s="120"/>
      <c r="QMC3" s="120"/>
      <c r="QMD3" s="120"/>
      <c r="QME3" s="120"/>
      <c r="QMF3" s="120"/>
      <c r="QMG3" s="120"/>
      <c r="QMH3" s="120"/>
      <c r="QMI3" s="120"/>
      <c r="QMJ3" s="120"/>
      <c r="QMK3" s="120"/>
      <c r="QML3" s="120"/>
      <c r="QMM3" s="120"/>
      <c r="QMN3" s="120"/>
      <c r="QMO3" s="120"/>
      <c r="QMP3" s="120"/>
      <c r="QMQ3" s="120"/>
      <c r="QMR3" s="120"/>
      <c r="QMS3" s="120"/>
      <c r="QMT3" s="120"/>
      <c r="QMU3" s="120"/>
      <c r="QMV3" s="120"/>
      <c r="QMW3" s="120"/>
      <c r="QMX3" s="120"/>
      <c r="QMY3" s="120"/>
      <c r="QMZ3" s="120"/>
      <c r="QNA3" s="120"/>
      <c r="QNB3" s="120"/>
      <c r="QNC3" s="120"/>
      <c r="QND3" s="120"/>
      <c r="QNE3" s="120"/>
      <c r="QNF3" s="120"/>
      <c r="QNG3" s="120"/>
      <c r="QNH3" s="120"/>
      <c r="QNI3" s="120"/>
      <c r="QNJ3" s="120"/>
      <c r="QNK3" s="120"/>
      <c r="QNL3" s="120"/>
      <c r="QNM3" s="120"/>
      <c r="QNN3" s="120"/>
      <c r="QNO3" s="120"/>
      <c r="QNP3" s="120"/>
      <c r="QNQ3" s="120"/>
      <c r="QNR3" s="120"/>
      <c r="QNS3" s="120"/>
      <c r="QNT3" s="120"/>
      <c r="QNU3" s="120"/>
      <c r="QNV3" s="120"/>
      <c r="QNW3" s="120"/>
      <c r="QNX3" s="120"/>
      <c r="QNY3" s="120"/>
      <c r="QNZ3" s="120"/>
      <c r="QOA3" s="120"/>
      <c r="QOB3" s="120"/>
      <c r="QOC3" s="120"/>
      <c r="QOD3" s="120"/>
      <c r="QOE3" s="120"/>
      <c r="QOF3" s="120"/>
      <c r="QOG3" s="120"/>
      <c r="QOH3" s="120"/>
      <c r="QOI3" s="120"/>
      <c r="QOJ3" s="120"/>
      <c r="QOK3" s="120"/>
      <c r="QOL3" s="120"/>
      <c r="QOM3" s="120"/>
      <c r="QON3" s="120"/>
      <c r="QOO3" s="120"/>
      <c r="QOP3" s="120"/>
      <c r="QOQ3" s="120"/>
      <c r="QOR3" s="120"/>
      <c r="QOS3" s="120"/>
      <c r="QOT3" s="120"/>
      <c r="QOU3" s="120"/>
      <c r="QOV3" s="120"/>
      <c r="QOW3" s="120"/>
      <c r="QOX3" s="120"/>
      <c r="QOY3" s="120"/>
      <c r="QOZ3" s="120"/>
      <c r="QPA3" s="120"/>
      <c r="QPB3" s="120"/>
      <c r="QPC3" s="120"/>
      <c r="QPD3" s="120"/>
      <c r="QPE3" s="120"/>
      <c r="QPF3" s="120"/>
      <c r="QPG3" s="120"/>
      <c r="QPH3" s="120"/>
      <c r="QPI3" s="120"/>
      <c r="QPJ3" s="120"/>
      <c r="QPK3" s="120"/>
      <c r="QPL3" s="120"/>
      <c r="QPM3" s="120"/>
      <c r="QPN3" s="120"/>
      <c r="QPO3" s="120"/>
      <c r="QPP3" s="120"/>
      <c r="QPQ3" s="120"/>
      <c r="QPR3" s="120"/>
      <c r="QPS3" s="120"/>
      <c r="QPT3" s="120"/>
      <c r="QPU3" s="120"/>
      <c r="QPV3" s="120"/>
      <c r="QPW3" s="120"/>
      <c r="QPX3" s="120"/>
      <c r="QPY3" s="120"/>
      <c r="QPZ3" s="120"/>
      <c r="QQA3" s="120"/>
      <c r="QQB3" s="120"/>
      <c r="QQC3" s="120"/>
      <c r="QQD3" s="120"/>
      <c r="QQE3" s="120"/>
      <c r="QQF3" s="120"/>
      <c r="QQG3" s="120"/>
      <c r="QQH3" s="120"/>
      <c r="QQI3" s="120"/>
      <c r="QQJ3" s="120"/>
      <c r="QQK3" s="120"/>
      <c r="QQL3" s="120"/>
      <c r="QQM3" s="120"/>
      <c r="QQN3" s="120"/>
      <c r="QQO3" s="120"/>
      <c r="QQP3" s="120"/>
      <c r="QQQ3" s="120"/>
      <c r="QQR3" s="120"/>
      <c r="QQS3" s="120"/>
      <c r="QQT3" s="120"/>
      <c r="QQU3" s="120"/>
      <c r="QQV3" s="120"/>
      <c r="QQW3" s="120"/>
      <c r="QQX3" s="120"/>
      <c r="QQY3" s="120"/>
      <c r="QQZ3" s="120"/>
      <c r="QRA3" s="120"/>
      <c r="QRB3" s="120"/>
      <c r="QRC3" s="120"/>
      <c r="QRD3" s="120"/>
      <c r="QRE3" s="120"/>
      <c r="QRF3" s="120"/>
      <c r="QRG3" s="120"/>
      <c r="QRH3" s="120"/>
      <c r="QRI3" s="120"/>
      <c r="QRJ3" s="120"/>
      <c r="QRK3" s="120"/>
      <c r="QRL3" s="120"/>
      <c r="QRM3" s="120"/>
      <c r="QRN3" s="120"/>
      <c r="QRO3" s="120"/>
      <c r="QRP3" s="120"/>
      <c r="QRQ3" s="120"/>
      <c r="QRR3" s="120"/>
      <c r="QRS3" s="120"/>
      <c r="QRT3" s="120"/>
      <c r="QRU3" s="120"/>
      <c r="QRV3" s="120"/>
      <c r="QRW3" s="120"/>
      <c r="QRX3" s="120"/>
      <c r="QRY3" s="120"/>
      <c r="QRZ3" s="120"/>
      <c r="QSA3" s="120"/>
      <c r="QSB3" s="120"/>
      <c r="QSC3" s="120"/>
      <c r="QSD3" s="120"/>
      <c r="QSE3" s="120"/>
      <c r="QSF3" s="120"/>
      <c r="QSG3" s="120"/>
      <c r="QSH3" s="120"/>
      <c r="QSI3" s="120"/>
      <c r="QSJ3" s="120"/>
      <c r="QSK3" s="120"/>
      <c r="QSL3" s="120"/>
      <c r="QSM3" s="120"/>
      <c r="QSN3" s="120"/>
      <c r="QSO3" s="120"/>
      <c r="QSP3" s="120"/>
      <c r="QSQ3" s="120"/>
      <c r="QSR3" s="120"/>
      <c r="QSS3" s="120"/>
      <c r="QST3" s="120"/>
      <c r="QSU3" s="120"/>
      <c r="QSV3" s="120"/>
      <c r="QSW3" s="120"/>
      <c r="QSX3" s="120"/>
      <c r="QSY3" s="120"/>
      <c r="QSZ3" s="120"/>
      <c r="QTA3" s="120"/>
      <c r="QTB3" s="120"/>
      <c r="QTC3" s="120"/>
      <c r="QTD3" s="120"/>
      <c r="QTE3" s="120"/>
      <c r="QTF3" s="120"/>
      <c r="QTG3" s="120"/>
      <c r="QTH3" s="120"/>
      <c r="QTI3" s="120"/>
      <c r="QTJ3" s="120"/>
      <c r="QTK3" s="120"/>
      <c r="QTL3" s="120"/>
      <c r="QTM3" s="120"/>
      <c r="QTN3" s="120"/>
      <c r="QTO3" s="120"/>
      <c r="QTP3" s="120"/>
      <c r="QTQ3" s="120"/>
      <c r="QTR3" s="120"/>
      <c r="QTS3" s="120"/>
      <c r="QTT3" s="120"/>
      <c r="QTU3" s="120"/>
      <c r="QTV3" s="120"/>
      <c r="QTW3" s="120"/>
      <c r="QTX3" s="120"/>
      <c r="QTY3" s="120"/>
      <c r="QTZ3" s="120"/>
      <c r="QUA3" s="120"/>
      <c r="QUB3" s="120"/>
      <c r="QUC3" s="120"/>
      <c r="QUD3" s="120"/>
      <c r="QUE3" s="120"/>
      <c r="QUF3" s="120"/>
      <c r="QUG3" s="120"/>
      <c r="QUH3" s="120"/>
      <c r="QUI3" s="120"/>
      <c r="QUJ3" s="120"/>
      <c r="QUK3" s="120"/>
      <c r="QUL3" s="120"/>
      <c r="QUM3" s="120"/>
      <c r="QUN3" s="120"/>
      <c r="QUO3" s="120"/>
      <c r="QUP3" s="120"/>
      <c r="QUQ3" s="120"/>
      <c r="QUR3" s="120"/>
      <c r="QUS3" s="120"/>
      <c r="QUT3" s="120"/>
      <c r="QUU3" s="120"/>
      <c r="QUV3" s="120"/>
      <c r="QUW3" s="120"/>
      <c r="QUX3" s="120"/>
      <c r="QUY3" s="120"/>
      <c r="QUZ3" s="120"/>
      <c r="QVA3" s="120"/>
      <c r="QVB3" s="120"/>
      <c r="QVC3" s="120"/>
      <c r="QVD3" s="120"/>
      <c r="QVE3" s="120"/>
      <c r="QVF3" s="120"/>
      <c r="QVG3" s="120"/>
      <c r="QVH3" s="120"/>
      <c r="QVI3" s="120"/>
      <c r="QVJ3" s="120"/>
      <c r="QVK3" s="120"/>
      <c r="QVL3" s="120"/>
      <c r="QVM3" s="120"/>
      <c r="QVN3" s="120"/>
      <c r="QVO3" s="120"/>
      <c r="QVP3" s="120"/>
      <c r="QVQ3" s="120"/>
      <c r="QVR3" s="120"/>
      <c r="QVS3" s="120"/>
      <c r="QVT3" s="120"/>
      <c r="QVU3" s="120"/>
      <c r="QVV3" s="120"/>
      <c r="QVW3" s="120"/>
      <c r="QVX3" s="120"/>
      <c r="QVY3" s="120"/>
      <c r="QVZ3" s="120"/>
      <c r="QWA3" s="120"/>
      <c r="QWB3" s="120"/>
      <c r="QWC3" s="120"/>
      <c r="QWD3" s="120"/>
      <c r="QWE3" s="120"/>
      <c r="QWF3" s="120"/>
      <c r="QWG3" s="120"/>
      <c r="QWH3" s="120"/>
      <c r="QWI3" s="120"/>
      <c r="QWJ3" s="120"/>
      <c r="QWK3" s="120"/>
      <c r="QWL3" s="120"/>
      <c r="QWM3" s="120"/>
      <c r="QWN3" s="120"/>
      <c r="QWO3" s="120"/>
      <c r="QWP3" s="120"/>
      <c r="QWQ3" s="120"/>
      <c r="QWR3" s="120"/>
      <c r="QWS3" s="120"/>
      <c r="QWT3" s="120"/>
      <c r="QWU3" s="120"/>
      <c r="QWV3" s="120"/>
      <c r="QWW3" s="120"/>
      <c r="QWX3" s="120"/>
      <c r="QWY3" s="120"/>
      <c r="QWZ3" s="120"/>
      <c r="QXA3" s="120"/>
      <c r="QXB3" s="120"/>
      <c r="QXC3" s="120"/>
      <c r="QXD3" s="120"/>
      <c r="QXE3" s="120"/>
      <c r="QXF3" s="120"/>
      <c r="QXG3" s="120"/>
      <c r="QXH3" s="120"/>
      <c r="QXI3" s="120"/>
      <c r="QXJ3" s="120"/>
      <c r="QXK3" s="120"/>
      <c r="QXL3" s="120"/>
      <c r="QXM3" s="120"/>
      <c r="QXN3" s="120"/>
      <c r="QXO3" s="120"/>
      <c r="QXP3" s="120"/>
      <c r="QXQ3" s="120"/>
      <c r="QXR3" s="120"/>
      <c r="QXS3" s="120"/>
      <c r="QXT3" s="120"/>
      <c r="QXU3" s="120"/>
      <c r="QXV3" s="120"/>
      <c r="QXW3" s="120"/>
      <c r="QXX3" s="120"/>
      <c r="QXY3" s="120"/>
      <c r="QXZ3" s="120"/>
      <c r="QYA3" s="120"/>
      <c r="QYB3" s="120"/>
      <c r="QYC3" s="120"/>
      <c r="QYD3" s="120"/>
      <c r="QYE3" s="120"/>
      <c r="QYF3" s="120"/>
      <c r="QYG3" s="120"/>
      <c r="QYH3" s="120"/>
      <c r="QYI3" s="120"/>
      <c r="QYJ3" s="120"/>
      <c r="QYK3" s="120"/>
      <c r="QYL3" s="120"/>
      <c r="QYM3" s="120"/>
      <c r="QYN3" s="120"/>
      <c r="QYO3" s="120"/>
      <c r="QYP3" s="120"/>
      <c r="QYQ3" s="120"/>
      <c r="QYR3" s="120"/>
      <c r="QYS3" s="120"/>
      <c r="QYT3" s="120"/>
      <c r="QYU3" s="120"/>
      <c r="QYV3" s="120"/>
      <c r="QYW3" s="120"/>
      <c r="QYX3" s="120"/>
      <c r="QYY3" s="120"/>
      <c r="QYZ3" s="120"/>
      <c r="QZA3" s="120"/>
      <c r="QZB3" s="120"/>
      <c r="QZC3" s="120"/>
      <c r="QZD3" s="120"/>
      <c r="QZE3" s="120"/>
      <c r="QZF3" s="120"/>
      <c r="QZG3" s="120"/>
      <c r="QZH3" s="120"/>
      <c r="QZI3" s="120"/>
      <c r="QZJ3" s="120"/>
      <c r="QZK3" s="120"/>
      <c r="QZL3" s="120"/>
      <c r="QZM3" s="120"/>
      <c r="QZN3" s="120"/>
      <c r="QZO3" s="120"/>
      <c r="QZP3" s="120"/>
      <c r="QZQ3" s="120"/>
      <c r="QZR3" s="120"/>
      <c r="QZS3" s="120"/>
      <c r="QZT3" s="120"/>
      <c r="QZU3" s="120"/>
      <c r="QZV3" s="120"/>
      <c r="QZW3" s="120"/>
      <c r="QZX3" s="120"/>
      <c r="QZY3" s="120"/>
      <c r="QZZ3" s="120"/>
      <c r="RAA3" s="120"/>
      <c r="RAB3" s="120"/>
      <c r="RAC3" s="120"/>
      <c r="RAD3" s="120"/>
      <c r="RAE3" s="120"/>
      <c r="RAF3" s="120"/>
      <c r="RAG3" s="120"/>
      <c r="RAH3" s="120"/>
      <c r="RAI3" s="120"/>
      <c r="RAJ3" s="120"/>
      <c r="RAK3" s="120"/>
      <c r="RAL3" s="120"/>
      <c r="RAM3" s="120"/>
      <c r="RAN3" s="120"/>
      <c r="RAO3" s="120"/>
      <c r="RAP3" s="120"/>
      <c r="RAQ3" s="120"/>
      <c r="RAR3" s="120"/>
      <c r="RAS3" s="120"/>
      <c r="RAT3" s="120"/>
      <c r="RAU3" s="120"/>
      <c r="RAV3" s="120"/>
      <c r="RAW3" s="120"/>
      <c r="RAX3" s="120"/>
      <c r="RAY3" s="120"/>
      <c r="RAZ3" s="120"/>
      <c r="RBA3" s="120"/>
      <c r="RBB3" s="120"/>
      <c r="RBC3" s="120"/>
      <c r="RBD3" s="120"/>
      <c r="RBE3" s="120"/>
      <c r="RBF3" s="120"/>
      <c r="RBG3" s="120"/>
      <c r="RBH3" s="120"/>
      <c r="RBI3" s="120"/>
      <c r="RBJ3" s="120"/>
      <c r="RBK3" s="120"/>
      <c r="RBL3" s="120"/>
      <c r="RBM3" s="120"/>
      <c r="RBN3" s="120"/>
      <c r="RBO3" s="120"/>
      <c r="RBP3" s="120"/>
      <c r="RBQ3" s="120"/>
      <c r="RBR3" s="120"/>
      <c r="RBS3" s="120"/>
      <c r="RBT3" s="120"/>
      <c r="RBU3" s="120"/>
      <c r="RBV3" s="120"/>
      <c r="RBW3" s="120"/>
      <c r="RBX3" s="120"/>
      <c r="RBY3" s="120"/>
      <c r="RBZ3" s="120"/>
      <c r="RCA3" s="120"/>
      <c r="RCB3" s="120"/>
      <c r="RCC3" s="120"/>
      <c r="RCD3" s="120"/>
      <c r="RCE3" s="120"/>
      <c r="RCF3" s="120"/>
      <c r="RCG3" s="120"/>
      <c r="RCH3" s="120"/>
      <c r="RCI3" s="120"/>
      <c r="RCJ3" s="120"/>
      <c r="RCK3" s="120"/>
      <c r="RCL3" s="120"/>
      <c r="RCM3" s="120"/>
      <c r="RCN3" s="120"/>
      <c r="RCO3" s="120"/>
      <c r="RCP3" s="120"/>
      <c r="RCQ3" s="120"/>
      <c r="RCR3" s="120"/>
      <c r="RCS3" s="120"/>
      <c r="RCT3" s="120"/>
      <c r="RCU3" s="120"/>
      <c r="RCV3" s="120"/>
      <c r="RCW3" s="120"/>
      <c r="RCX3" s="120"/>
      <c r="RCY3" s="120"/>
      <c r="RCZ3" s="120"/>
      <c r="RDA3" s="120"/>
      <c r="RDB3" s="120"/>
      <c r="RDC3" s="120"/>
      <c r="RDD3" s="120"/>
      <c r="RDE3" s="120"/>
      <c r="RDF3" s="120"/>
      <c r="RDG3" s="120"/>
      <c r="RDH3" s="120"/>
      <c r="RDI3" s="120"/>
      <c r="RDJ3" s="120"/>
      <c r="RDK3" s="120"/>
      <c r="RDL3" s="120"/>
      <c r="RDM3" s="120"/>
      <c r="RDN3" s="120"/>
      <c r="RDO3" s="120"/>
      <c r="RDP3" s="120"/>
      <c r="RDQ3" s="120"/>
      <c r="RDR3" s="120"/>
      <c r="RDS3" s="120"/>
      <c r="RDT3" s="120"/>
      <c r="RDU3" s="120"/>
      <c r="RDV3" s="120"/>
      <c r="RDW3" s="120"/>
      <c r="RDX3" s="120"/>
      <c r="RDY3" s="120"/>
      <c r="RDZ3" s="120"/>
      <c r="REA3" s="120"/>
      <c r="REB3" s="120"/>
      <c r="REC3" s="120"/>
      <c r="RED3" s="120"/>
      <c r="REE3" s="120"/>
      <c r="REF3" s="120"/>
      <c r="REG3" s="120"/>
      <c r="REH3" s="120"/>
      <c r="REI3" s="120"/>
      <c r="REJ3" s="120"/>
      <c r="REK3" s="120"/>
      <c r="REL3" s="120"/>
      <c r="REM3" s="120"/>
      <c r="REN3" s="120"/>
      <c r="REO3" s="120"/>
      <c r="REP3" s="120"/>
      <c r="REQ3" s="120"/>
      <c r="RER3" s="120"/>
      <c r="RES3" s="120"/>
      <c r="RET3" s="120"/>
      <c r="REU3" s="120"/>
      <c r="REV3" s="120"/>
      <c r="REW3" s="120"/>
      <c r="REX3" s="120"/>
      <c r="REY3" s="120"/>
      <c r="REZ3" s="120"/>
      <c r="RFA3" s="120"/>
      <c r="RFB3" s="120"/>
      <c r="RFC3" s="120"/>
      <c r="RFD3" s="120"/>
      <c r="RFE3" s="120"/>
      <c r="RFF3" s="120"/>
      <c r="RFG3" s="120"/>
      <c r="RFH3" s="120"/>
      <c r="RFI3" s="120"/>
      <c r="RFJ3" s="120"/>
      <c r="RFK3" s="120"/>
      <c r="RFL3" s="120"/>
      <c r="RFM3" s="120"/>
      <c r="RFN3" s="120"/>
      <c r="RFO3" s="120"/>
      <c r="RFP3" s="120"/>
      <c r="RFQ3" s="120"/>
      <c r="RFR3" s="120"/>
      <c r="RFS3" s="120"/>
      <c r="RFT3" s="120"/>
      <c r="RFU3" s="120"/>
      <c r="RFV3" s="120"/>
      <c r="RFW3" s="120"/>
      <c r="RFX3" s="120"/>
      <c r="RFY3" s="120"/>
      <c r="RFZ3" s="120"/>
      <c r="RGA3" s="120"/>
      <c r="RGB3" s="120"/>
      <c r="RGC3" s="120"/>
      <c r="RGD3" s="120"/>
      <c r="RGE3" s="120"/>
      <c r="RGF3" s="120"/>
      <c r="RGG3" s="120"/>
      <c r="RGH3" s="120"/>
      <c r="RGI3" s="120"/>
      <c r="RGJ3" s="120"/>
      <c r="RGK3" s="120"/>
      <c r="RGL3" s="120"/>
      <c r="RGM3" s="120"/>
      <c r="RGN3" s="120"/>
      <c r="RGO3" s="120"/>
      <c r="RGP3" s="120"/>
      <c r="RGQ3" s="120"/>
      <c r="RGR3" s="120"/>
      <c r="RGS3" s="120"/>
      <c r="RGT3" s="120"/>
      <c r="RGU3" s="120"/>
      <c r="RGV3" s="120"/>
      <c r="RGW3" s="120"/>
      <c r="RGX3" s="120"/>
      <c r="RGY3" s="120"/>
      <c r="RGZ3" s="120"/>
      <c r="RHA3" s="120"/>
      <c r="RHB3" s="120"/>
      <c r="RHC3" s="120"/>
      <c r="RHD3" s="120"/>
      <c r="RHE3" s="120"/>
      <c r="RHF3" s="120"/>
      <c r="RHG3" s="120"/>
      <c r="RHH3" s="120"/>
      <c r="RHI3" s="120"/>
      <c r="RHJ3" s="120"/>
      <c r="RHK3" s="120"/>
      <c r="RHL3" s="120"/>
      <c r="RHM3" s="120"/>
      <c r="RHN3" s="120"/>
      <c r="RHO3" s="120"/>
      <c r="RHP3" s="120"/>
      <c r="RHQ3" s="120"/>
      <c r="RHR3" s="120"/>
      <c r="RHS3" s="120"/>
      <c r="RHT3" s="120"/>
      <c r="RHU3" s="120"/>
      <c r="RHV3" s="120"/>
      <c r="RHW3" s="120"/>
      <c r="RHX3" s="120"/>
      <c r="RHY3" s="120"/>
      <c r="RHZ3" s="120"/>
      <c r="RIA3" s="120"/>
      <c r="RIB3" s="120"/>
      <c r="RIC3" s="120"/>
      <c r="RID3" s="120"/>
      <c r="RIE3" s="120"/>
      <c r="RIF3" s="120"/>
      <c r="RIG3" s="120"/>
      <c r="RIH3" s="120"/>
      <c r="RII3" s="120"/>
      <c r="RIJ3" s="120"/>
      <c r="RIK3" s="120"/>
      <c r="RIL3" s="120"/>
      <c r="RIM3" s="120"/>
      <c r="RIN3" s="120"/>
      <c r="RIO3" s="120"/>
      <c r="RIP3" s="120"/>
      <c r="RIQ3" s="120"/>
      <c r="RIR3" s="120"/>
      <c r="RIS3" s="120"/>
      <c r="RIT3" s="120"/>
      <c r="RIU3" s="120"/>
      <c r="RIV3" s="120"/>
      <c r="RIW3" s="120"/>
      <c r="RIX3" s="120"/>
      <c r="RIY3" s="120"/>
      <c r="RIZ3" s="120"/>
      <c r="RJA3" s="120"/>
      <c r="RJB3" s="120"/>
      <c r="RJC3" s="120"/>
      <c r="RJD3" s="120"/>
      <c r="RJE3" s="120"/>
      <c r="RJF3" s="120"/>
      <c r="RJG3" s="120"/>
      <c r="RJH3" s="120"/>
      <c r="RJI3" s="120"/>
      <c r="RJJ3" s="120"/>
      <c r="RJK3" s="120"/>
      <c r="RJL3" s="120"/>
      <c r="RJM3" s="120"/>
      <c r="RJN3" s="120"/>
      <c r="RJO3" s="120"/>
      <c r="RJP3" s="120"/>
      <c r="RJQ3" s="120"/>
      <c r="RJR3" s="120"/>
      <c r="RJS3" s="120"/>
      <c r="RJT3" s="120"/>
      <c r="RJU3" s="120"/>
      <c r="RJV3" s="120"/>
      <c r="RJW3" s="120"/>
      <c r="RJX3" s="120"/>
      <c r="RJY3" s="120"/>
      <c r="RJZ3" s="120"/>
      <c r="RKA3" s="120"/>
      <c r="RKB3" s="120"/>
      <c r="RKC3" s="120"/>
      <c r="RKD3" s="120"/>
      <c r="RKE3" s="120"/>
      <c r="RKF3" s="120"/>
      <c r="RKG3" s="120"/>
      <c r="RKH3" s="120"/>
      <c r="RKI3" s="120"/>
      <c r="RKJ3" s="120"/>
      <c r="RKK3" s="120"/>
      <c r="RKL3" s="120"/>
      <c r="RKM3" s="120"/>
      <c r="RKN3" s="120"/>
      <c r="RKO3" s="120"/>
      <c r="RKP3" s="120"/>
      <c r="RKQ3" s="120"/>
      <c r="RKR3" s="120"/>
      <c r="RKS3" s="120"/>
      <c r="RKT3" s="120"/>
      <c r="RKU3" s="120"/>
      <c r="RKV3" s="120"/>
      <c r="RKW3" s="120"/>
      <c r="RKX3" s="120"/>
      <c r="RKY3" s="120"/>
      <c r="RKZ3" s="120"/>
      <c r="RLA3" s="120"/>
      <c r="RLB3" s="120"/>
      <c r="RLC3" s="120"/>
      <c r="RLD3" s="120"/>
      <c r="RLE3" s="120"/>
      <c r="RLF3" s="120"/>
      <c r="RLG3" s="120"/>
      <c r="RLH3" s="120"/>
      <c r="RLI3" s="120"/>
      <c r="RLJ3" s="120"/>
      <c r="RLK3" s="120"/>
      <c r="RLL3" s="120"/>
      <c r="RLM3" s="120"/>
      <c r="RLN3" s="120"/>
      <c r="RLO3" s="120"/>
      <c r="RLP3" s="120"/>
      <c r="RLQ3" s="120"/>
      <c r="RLR3" s="120"/>
      <c r="RLS3" s="120"/>
      <c r="RLT3" s="120"/>
      <c r="RLU3" s="120"/>
      <c r="RLV3" s="120"/>
      <c r="RLW3" s="120"/>
      <c r="RLX3" s="120"/>
      <c r="RLY3" s="120"/>
      <c r="RLZ3" s="120"/>
      <c r="RMA3" s="120"/>
      <c r="RMB3" s="120"/>
      <c r="RMC3" s="120"/>
      <c r="RMD3" s="120"/>
      <c r="RME3" s="120"/>
      <c r="RMF3" s="120"/>
      <c r="RMG3" s="120"/>
      <c r="RMH3" s="120"/>
      <c r="RMI3" s="120"/>
      <c r="RMJ3" s="120"/>
      <c r="RMK3" s="120"/>
      <c r="RML3" s="120"/>
      <c r="RMM3" s="120"/>
      <c r="RMN3" s="120"/>
      <c r="RMO3" s="120"/>
      <c r="RMP3" s="120"/>
      <c r="RMQ3" s="120"/>
      <c r="RMR3" s="120"/>
      <c r="RMS3" s="120"/>
      <c r="RMT3" s="120"/>
      <c r="RMU3" s="120"/>
      <c r="RMV3" s="120"/>
      <c r="RMW3" s="120"/>
      <c r="RMX3" s="120"/>
      <c r="RMY3" s="120"/>
      <c r="RMZ3" s="120"/>
      <c r="RNA3" s="120"/>
      <c r="RNB3" s="120"/>
      <c r="RNC3" s="120"/>
      <c r="RND3" s="120"/>
      <c r="RNE3" s="120"/>
      <c r="RNF3" s="120"/>
      <c r="RNG3" s="120"/>
      <c r="RNH3" s="120"/>
      <c r="RNI3" s="120"/>
      <c r="RNJ3" s="120"/>
      <c r="RNK3" s="120"/>
      <c r="RNL3" s="120"/>
      <c r="RNM3" s="120"/>
      <c r="RNN3" s="120"/>
      <c r="RNO3" s="120"/>
      <c r="RNP3" s="120"/>
      <c r="RNQ3" s="120"/>
      <c r="RNR3" s="120"/>
      <c r="RNS3" s="120"/>
      <c r="RNT3" s="120"/>
      <c r="RNU3" s="120"/>
      <c r="RNV3" s="120"/>
      <c r="RNW3" s="120"/>
      <c r="RNX3" s="120"/>
      <c r="RNY3" s="120"/>
      <c r="RNZ3" s="120"/>
      <c r="ROA3" s="120"/>
      <c r="ROB3" s="120"/>
      <c r="ROC3" s="120"/>
      <c r="ROD3" s="120"/>
      <c r="ROE3" s="120"/>
      <c r="ROF3" s="120"/>
      <c r="ROG3" s="120"/>
      <c r="ROH3" s="120"/>
      <c r="ROI3" s="120"/>
      <c r="ROJ3" s="120"/>
      <c r="ROK3" s="120"/>
      <c r="ROL3" s="120"/>
      <c r="ROM3" s="120"/>
      <c r="RON3" s="120"/>
      <c r="ROO3" s="120"/>
      <c r="ROP3" s="120"/>
      <c r="ROQ3" s="120"/>
      <c r="ROR3" s="120"/>
      <c r="ROS3" s="120"/>
      <c r="ROT3" s="120"/>
      <c r="ROU3" s="120"/>
      <c r="ROV3" s="120"/>
      <c r="ROW3" s="120"/>
      <c r="ROX3" s="120"/>
      <c r="ROY3" s="120"/>
      <c r="ROZ3" s="120"/>
      <c r="RPA3" s="120"/>
      <c r="RPB3" s="120"/>
      <c r="RPC3" s="120"/>
      <c r="RPD3" s="120"/>
      <c r="RPE3" s="120"/>
      <c r="RPF3" s="120"/>
      <c r="RPG3" s="120"/>
      <c r="RPH3" s="120"/>
      <c r="RPI3" s="120"/>
      <c r="RPJ3" s="120"/>
      <c r="RPK3" s="120"/>
      <c r="RPL3" s="120"/>
      <c r="RPM3" s="120"/>
      <c r="RPN3" s="120"/>
      <c r="RPO3" s="120"/>
      <c r="RPP3" s="120"/>
      <c r="RPQ3" s="120"/>
      <c r="RPR3" s="120"/>
      <c r="RPS3" s="120"/>
      <c r="RPT3" s="120"/>
      <c r="RPU3" s="120"/>
      <c r="RPV3" s="120"/>
      <c r="RPW3" s="120"/>
      <c r="RPX3" s="120"/>
      <c r="RPY3" s="120"/>
      <c r="RPZ3" s="120"/>
      <c r="RQA3" s="120"/>
      <c r="RQB3" s="120"/>
      <c r="RQC3" s="120"/>
      <c r="RQD3" s="120"/>
      <c r="RQE3" s="120"/>
      <c r="RQF3" s="120"/>
      <c r="RQG3" s="120"/>
      <c r="RQH3" s="120"/>
      <c r="RQI3" s="120"/>
      <c r="RQJ3" s="120"/>
      <c r="RQK3" s="120"/>
      <c r="RQL3" s="120"/>
      <c r="RQM3" s="120"/>
      <c r="RQN3" s="120"/>
      <c r="RQO3" s="120"/>
      <c r="RQP3" s="120"/>
      <c r="RQQ3" s="120"/>
      <c r="RQR3" s="120"/>
      <c r="RQS3" s="120"/>
      <c r="RQT3" s="120"/>
      <c r="RQU3" s="120"/>
      <c r="RQV3" s="120"/>
      <c r="RQW3" s="120"/>
      <c r="RQX3" s="120"/>
      <c r="RQY3" s="120"/>
      <c r="RQZ3" s="120"/>
      <c r="RRA3" s="120"/>
      <c r="RRB3" s="120"/>
      <c r="RRC3" s="120"/>
      <c r="RRD3" s="120"/>
      <c r="RRE3" s="120"/>
      <c r="RRF3" s="120"/>
      <c r="RRG3" s="120"/>
      <c r="RRH3" s="120"/>
      <c r="RRI3" s="120"/>
      <c r="RRJ3" s="120"/>
      <c r="RRK3" s="120"/>
      <c r="RRL3" s="120"/>
      <c r="RRM3" s="120"/>
      <c r="RRN3" s="120"/>
      <c r="RRO3" s="120"/>
      <c r="RRP3" s="120"/>
      <c r="RRQ3" s="120"/>
      <c r="RRR3" s="120"/>
      <c r="RRS3" s="120"/>
      <c r="RRT3" s="120"/>
      <c r="RRU3" s="120"/>
      <c r="RRV3" s="120"/>
      <c r="RRW3" s="120"/>
      <c r="RRX3" s="120"/>
      <c r="RRY3" s="120"/>
      <c r="RRZ3" s="120"/>
      <c r="RSA3" s="120"/>
      <c r="RSB3" s="120"/>
      <c r="RSC3" s="120"/>
      <c r="RSD3" s="120"/>
      <c r="RSE3" s="120"/>
      <c r="RSF3" s="120"/>
      <c r="RSG3" s="120"/>
      <c r="RSH3" s="120"/>
      <c r="RSI3" s="120"/>
      <c r="RSJ3" s="120"/>
      <c r="RSK3" s="120"/>
      <c r="RSL3" s="120"/>
      <c r="RSM3" s="120"/>
      <c r="RSN3" s="120"/>
      <c r="RSO3" s="120"/>
      <c r="RSP3" s="120"/>
      <c r="RSQ3" s="120"/>
      <c r="RSR3" s="120"/>
      <c r="RSS3" s="120"/>
      <c r="RST3" s="120"/>
      <c r="RSU3" s="120"/>
      <c r="RSV3" s="120"/>
      <c r="RSW3" s="120"/>
      <c r="RSX3" s="120"/>
      <c r="RSY3" s="120"/>
      <c r="RSZ3" s="120"/>
      <c r="RTA3" s="120"/>
      <c r="RTB3" s="120"/>
      <c r="RTC3" s="120"/>
      <c r="RTD3" s="120"/>
      <c r="RTE3" s="120"/>
      <c r="RTF3" s="120"/>
      <c r="RTG3" s="120"/>
      <c r="RTH3" s="120"/>
      <c r="RTI3" s="120"/>
      <c r="RTJ3" s="120"/>
      <c r="RTK3" s="120"/>
      <c r="RTL3" s="120"/>
      <c r="RTM3" s="120"/>
      <c r="RTN3" s="120"/>
      <c r="RTO3" s="120"/>
      <c r="RTP3" s="120"/>
      <c r="RTQ3" s="120"/>
      <c r="RTR3" s="120"/>
      <c r="RTS3" s="120"/>
      <c r="RTT3" s="120"/>
      <c r="RTU3" s="120"/>
      <c r="RTV3" s="120"/>
      <c r="RTW3" s="120"/>
      <c r="RTX3" s="120"/>
      <c r="RTY3" s="120"/>
      <c r="RTZ3" s="120"/>
      <c r="RUA3" s="120"/>
      <c r="RUB3" s="120"/>
      <c r="RUC3" s="120"/>
      <c r="RUD3" s="120"/>
      <c r="RUE3" s="120"/>
      <c r="RUF3" s="120"/>
      <c r="RUG3" s="120"/>
      <c r="RUH3" s="120"/>
      <c r="RUI3" s="120"/>
      <c r="RUJ3" s="120"/>
      <c r="RUK3" s="120"/>
      <c r="RUL3" s="120"/>
      <c r="RUM3" s="120"/>
      <c r="RUN3" s="120"/>
      <c r="RUO3" s="120"/>
      <c r="RUP3" s="120"/>
      <c r="RUQ3" s="120"/>
      <c r="RUR3" s="120"/>
      <c r="RUS3" s="120"/>
      <c r="RUT3" s="120"/>
      <c r="RUU3" s="120"/>
      <c r="RUV3" s="120"/>
      <c r="RUW3" s="120"/>
      <c r="RUX3" s="120"/>
      <c r="RUY3" s="120"/>
      <c r="RUZ3" s="120"/>
      <c r="RVA3" s="120"/>
      <c r="RVB3" s="120"/>
      <c r="RVC3" s="120"/>
      <c r="RVD3" s="120"/>
      <c r="RVE3" s="120"/>
      <c r="RVF3" s="120"/>
      <c r="RVG3" s="120"/>
      <c r="RVH3" s="120"/>
      <c r="RVI3" s="120"/>
      <c r="RVJ3" s="120"/>
      <c r="RVK3" s="120"/>
      <c r="RVL3" s="120"/>
      <c r="RVM3" s="120"/>
      <c r="RVN3" s="120"/>
      <c r="RVO3" s="120"/>
      <c r="RVP3" s="120"/>
      <c r="RVQ3" s="120"/>
      <c r="RVR3" s="120"/>
      <c r="RVS3" s="120"/>
      <c r="RVT3" s="120"/>
      <c r="RVU3" s="120"/>
      <c r="RVV3" s="120"/>
      <c r="RVW3" s="120"/>
      <c r="RVX3" s="120"/>
      <c r="RVY3" s="120"/>
      <c r="RVZ3" s="120"/>
      <c r="RWA3" s="120"/>
      <c r="RWB3" s="120"/>
      <c r="RWC3" s="120"/>
      <c r="RWD3" s="120"/>
      <c r="RWE3" s="120"/>
      <c r="RWF3" s="120"/>
      <c r="RWG3" s="120"/>
      <c r="RWH3" s="120"/>
      <c r="RWI3" s="120"/>
      <c r="RWJ3" s="120"/>
      <c r="RWK3" s="120"/>
      <c r="RWL3" s="120"/>
      <c r="RWM3" s="120"/>
      <c r="RWN3" s="120"/>
      <c r="RWO3" s="120"/>
      <c r="RWP3" s="120"/>
      <c r="RWQ3" s="120"/>
      <c r="RWR3" s="120"/>
      <c r="RWS3" s="120"/>
      <c r="RWT3" s="120"/>
      <c r="RWU3" s="120"/>
      <c r="RWV3" s="120"/>
      <c r="RWW3" s="120"/>
      <c r="RWX3" s="120"/>
      <c r="RWY3" s="120"/>
      <c r="RWZ3" s="120"/>
      <c r="RXA3" s="120"/>
      <c r="RXB3" s="120"/>
      <c r="RXC3" s="120"/>
      <c r="RXD3" s="120"/>
      <c r="RXE3" s="120"/>
      <c r="RXF3" s="120"/>
      <c r="RXG3" s="120"/>
      <c r="RXH3" s="120"/>
      <c r="RXI3" s="120"/>
      <c r="RXJ3" s="120"/>
      <c r="RXK3" s="120"/>
      <c r="RXL3" s="120"/>
      <c r="RXM3" s="120"/>
      <c r="RXN3" s="120"/>
      <c r="RXO3" s="120"/>
      <c r="RXP3" s="120"/>
      <c r="RXQ3" s="120"/>
      <c r="RXR3" s="120"/>
      <c r="RXS3" s="120"/>
      <c r="RXT3" s="120"/>
      <c r="RXU3" s="120"/>
      <c r="RXV3" s="120"/>
      <c r="RXW3" s="120"/>
      <c r="RXX3" s="120"/>
      <c r="RXY3" s="120"/>
      <c r="RXZ3" s="120"/>
      <c r="RYA3" s="120"/>
      <c r="RYB3" s="120"/>
      <c r="RYC3" s="120"/>
      <c r="RYD3" s="120"/>
      <c r="RYE3" s="120"/>
      <c r="RYF3" s="120"/>
      <c r="RYG3" s="120"/>
      <c r="RYH3" s="120"/>
      <c r="RYI3" s="120"/>
      <c r="RYJ3" s="120"/>
      <c r="RYK3" s="120"/>
      <c r="RYL3" s="120"/>
      <c r="RYM3" s="120"/>
      <c r="RYN3" s="120"/>
      <c r="RYO3" s="120"/>
      <c r="RYP3" s="120"/>
      <c r="RYQ3" s="120"/>
      <c r="RYR3" s="120"/>
      <c r="RYS3" s="120"/>
      <c r="RYT3" s="120"/>
      <c r="RYU3" s="120"/>
      <c r="RYV3" s="120"/>
      <c r="RYW3" s="120"/>
      <c r="RYX3" s="120"/>
      <c r="RYY3" s="120"/>
      <c r="RYZ3" s="120"/>
      <c r="RZA3" s="120"/>
      <c r="RZB3" s="120"/>
      <c r="RZC3" s="120"/>
      <c r="RZD3" s="120"/>
      <c r="RZE3" s="120"/>
      <c r="RZF3" s="120"/>
      <c r="RZG3" s="120"/>
      <c r="RZH3" s="120"/>
      <c r="RZI3" s="120"/>
      <c r="RZJ3" s="120"/>
      <c r="RZK3" s="120"/>
      <c r="RZL3" s="120"/>
      <c r="RZM3" s="120"/>
      <c r="RZN3" s="120"/>
      <c r="RZO3" s="120"/>
      <c r="RZP3" s="120"/>
      <c r="RZQ3" s="120"/>
      <c r="RZR3" s="120"/>
      <c r="RZS3" s="120"/>
      <c r="RZT3" s="120"/>
      <c r="RZU3" s="120"/>
      <c r="RZV3" s="120"/>
      <c r="RZW3" s="120"/>
      <c r="RZX3" s="120"/>
      <c r="RZY3" s="120"/>
      <c r="RZZ3" s="120"/>
      <c r="SAA3" s="120"/>
      <c r="SAB3" s="120"/>
      <c r="SAC3" s="120"/>
      <c r="SAD3" s="120"/>
      <c r="SAE3" s="120"/>
      <c r="SAF3" s="120"/>
      <c r="SAG3" s="120"/>
      <c r="SAH3" s="120"/>
      <c r="SAI3" s="120"/>
      <c r="SAJ3" s="120"/>
      <c r="SAK3" s="120"/>
      <c r="SAL3" s="120"/>
      <c r="SAM3" s="120"/>
      <c r="SAN3" s="120"/>
      <c r="SAO3" s="120"/>
      <c r="SAP3" s="120"/>
      <c r="SAQ3" s="120"/>
      <c r="SAR3" s="120"/>
      <c r="SAS3" s="120"/>
      <c r="SAT3" s="120"/>
      <c r="SAU3" s="120"/>
      <c r="SAV3" s="120"/>
      <c r="SAW3" s="120"/>
      <c r="SAX3" s="120"/>
      <c r="SAY3" s="120"/>
      <c r="SAZ3" s="120"/>
      <c r="SBA3" s="120"/>
      <c r="SBB3" s="120"/>
      <c r="SBC3" s="120"/>
      <c r="SBD3" s="120"/>
      <c r="SBE3" s="120"/>
      <c r="SBF3" s="120"/>
      <c r="SBG3" s="120"/>
      <c r="SBH3" s="120"/>
      <c r="SBI3" s="120"/>
      <c r="SBJ3" s="120"/>
      <c r="SBK3" s="120"/>
      <c r="SBL3" s="120"/>
      <c r="SBM3" s="120"/>
      <c r="SBN3" s="120"/>
      <c r="SBO3" s="120"/>
      <c r="SBP3" s="120"/>
      <c r="SBQ3" s="120"/>
      <c r="SBR3" s="120"/>
      <c r="SBS3" s="120"/>
      <c r="SBT3" s="120"/>
      <c r="SBU3" s="120"/>
      <c r="SBV3" s="120"/>
      <c r="SBW3" s="120"/>
      <c r="SBX3" s="120"/>
      <c r="SBY3" s="120"/>
      <c r="SBZ3" s="120"/>
      <c r="SCA3" s="120"/>
      <c r="SCB3" s="120"/>
      <c r="SCC3" s="120"/>
      <c r="SCD3" s="120"/>
      <c r="SCE3" s="120"/>
      <c r="SCF3" s="120"/>
      <c r="SCG3" s="120"/>
      <c r="SCH3" s="120"/>
      <c r="SCI3" s="120"/>
      <c r="SCJ3" s="120"/>
      <c r="SCK3" s="120"/>
      <c r="SCL3" s="120"/>
      <c r="SCM3" s="120"/>
      <c r="SCN3" s="120"/>
      <c r="SCO3" s="120"/>
      <c r="SCP3" s="120"/>
      <c r="SCQ3" s="120"/>
      <c r="SCR3" s="120"/>
      <c r="SCS3" s="120"/>
      <c r="SCT3" s="120"/>
      <c r="SCU3" s="120"/>
      <c r="SCV3" s="120"/>
      <c r="SCW3" s="120"/>
      <c r="SCX3" s="120"/>
      <c r="SCY3" s="120"/>
      <c r="SCZ3" s="120"/>
      <c r="SDA3" s="120"/>
      <c r="SDB3" s="120"/>
      <c r="SDC3" s="120"/>
      <c r="SDD3" s="120"/>
      <c r="SDE3" s="120"/>
      <c r="SDF3" s="120"/>
      <c r="SDG3" s="120"/>
      <c r="SDH3" s="120"/>
      <c r="SDI3" s="120"/>
      <c r="SDJ3" s="120"/>
      <c r="SDK3" s="120"/>
      <c r="SDL3" s="120"/>
      <c r="SDM3" s="120"/>
      <c r="SDN3" s="120"/>
      <c r="SDO3" s="120"/>
      <c r="SDP3" s="120"/>
      <c r="SDQ3" s="120"/>
      <c r="SDR3" s="120"/>
      <c r="SDS3" s="120"/>
      <c r="SDT3" s="120"/>
      <c r="SDU3" s="120"/>
      <c r="SDV3" s="120"/>
      <c r="SDW3" s="120"/>
      <c r="SDX3" s="120"/>
      <c r="SDY3" s="120"/>
      <c r="SDZ3" s="120"/>
      <c r="SEA3" s="120"/>
      <c r="SEB3" s="120"/>
      <c r="SEC3" s="120"/>
      <c r="SED3" s="120"/>
      <c r="SEE3" s="120"/>
      <c r="SEF3" s="120"/>
      <c r="SEG3" s="120"/>
      <c r="SEH3" s="120"/>
      <c r="SEI3" s="120"/>
      <c r="SEJ3" s="120"/>
      <c r="SEK3" s="120"/>
      <c r="SEL3" s="120"/>
      <c r="SEM3" s="120"/>
      <c r="SEN3" s="120"/>
      <c r="SEO3" s="120"/>
      <c r="SEP3" s="120"/>
      <c r="SEQ3" s="120"/>
      <c r="SER3" s="120"/>
      <c r="SES3" s="120"/>
      <c r="SET3" s="120"/>
      <c r="SEU3" s="120"/>
      <c r="SEV3" s="120"/>
      <c r="SEW3" s="120"/>
      <c r="SEX3" s="120"/>
      <c r="SEY3" s="120"/>
      <c r="SEZ3" s="120"/>
      <c r="SFA3" s="120"/>
      <c r="SFB3" s="120"/>
      <c r="SFC3" s="120"/>
      <c r="SFD3" s="120"/>
      <c r="SFE3" s="120"/>
      <c r="SFF3" s="120"/>
      <c r="SFG3" s="120"/>
      <c r="SFH3" s="120"/>
      <c r="SFI3" s="120"/>
      <c r="SFJ3" s="120"/>
      <c r="SFK3" s="120"/>
      <c r="SFL3" s="120"/>
      <c r="SFM3" s="120"/>
      <c r="SFN3" s="120"/>
      <c r="SFO3" s="120"/>
      <c r="SFP3" s="120"/>
      <c r="SFQ3" s="120"/>
      <c r="SFR3" s="120"/>
      <c r="SFS3" s="120"/>
      <c r="SFT3" s="120"/>
      <c r="SFU3" s="120"/>
      <c r="SFV3" s="120"/>
      <c r="SFW3" s="120"/>
      <c r="SFX3" s="120"/>
      <c r="SFY3" s="120"/>
      <c r="SFZ3" s="120"/>
      <c r="SGA3" s="120"/>
      <c r="SGB3" s="120"/>
      <c r="SGC3" s="120"/>
      <c r="SGD3" s="120"/>
      <c r="SGE3" s="120"/>
      <c r="SGF3" s="120"/>
      <c r="SGG3" s="120"/>
      <c r="SGH3" s="120"/>
      <c r="SGI3" s="120"/>
      <c r="SGJ3" s="120"/>
      <c r="SGK3" s="120"/>
      <c r="SGL3" s="120"/>
      <c r="SGM3" s="120"/>
      <c r="SGN3" s="120"/>
      <c r="SGO3" s="120"/>
      <c r="SGP3" s="120"/>
      <c r="SGQ3" s="120"/>
      <c r="SGR3" s="120"/>
      <c r="SGS3" s="120"/>
      <c r="SGT3" s="120"/>
      <c r="SGU3" s="120"/>
      <c r="SGV3" s="120"/>
      <c r="SGW3" s="120"/>
      <c r="SGX3" s="120"/>
      <c r="SGY3" s="120"/>
      <c r="SGZ3" s="120"/>
      <c r="SHA3" s="120"/>
      <c r="SHB3" s="120"/>
      <c r="SHC3" s="120"/>
      <c r="SHD3" s="120"/>
      <c r="SHE3" s="120"/>
      <c r="SHF3" s="120"/>
      <c r="SHG3" s="120"/>
      <c r="SHH3" s="120"/>
      <c r="SHI3" s="120"/>
      <c r="SHJ3" s="120"/>
      <c r="SHK3" s="120"/>
      <c r="SHL3" s="120"/>
      <c r="SHM3" s="120"/>
      <c r="SHN3" s="120"/>
      <c r="SHO3" s="120"/>
      <c r="SHP3" s="120"/>
      <c r="SHQ3" s="120"/>
      <c r="SHR3" s="120"/>
      <c r="SHS3" s="120"/>
      <c r="SHT3" s="120"/>
      <c r="SHU3" s="120"/>
      <c r="SHV3" s="120"/>
      <c r="SHW3" s="120"/>
      <c r="SHX3" s="120"/>
      <c r="SHY3" s="120"/>
      <c r="SHZ3" s="120"/>
      <c r="SIA3" s="120"/>
      <c r="SIB3" s="120"/>
      <c r="SIC3" s="120"/>
      <c r="SID3" s="120"/>
      <c r="SIE3" s="120"/>
      <c r="SIF3" s="120"/>
      <c r="SIG3" s="120"/>
      <c r="SIH3" s="120"/>
      <c r="SII3" s="120"/>
      <c r="SIJ3" s="120"/>
      <c r="SIK3" s="120"/>
      <c r="SIL3" s="120"/>
      <c r="SIM3" s="120"/>
      <c r="SIN3" s="120"/>
      <c r="SIO3" s="120"/>
      <c r="SIP3" s="120"/>
      <c r="SIQ3" s="120"/>
      <c r="SIR3" s="120"/>
      <c r="SIS3" s="120"/>
      <c r="SIT3" s="120"/>
      <c r="SIU3" s="120"/>
      <c r="SIV3" s="120"/>
      <c r="SIW3" s="120"/>
      <c r="SIX3" s="120"/>
      <c r="SIY3" s="120"/>
      <c r="SIZ3" s="120"/>
      <c r="SJA3" s="120"/>
      <c r="SJB3" s="120"/>
      <c r="SJC3" s="120"/>
      <c r="SJD3" s="120"/>
      <c r="SJE3" s="120"/>
      <c r="SJF3" s="120"/>
      <c r="SJG3" s="120"/>
      <c r="SJH3" s="120"/>
      <c r="SJI3" s="120"/>
      <c r="SJJ3" s="120"/>
      <c r="SJK3" s="120"/>
      <c r="SJL3" s="120"/>
      <c r="SJM3" s="120"/>
      <c r="SJN3" s="120"/>
      <c r="SJO3" s="120"/>
      <c r="SJP3" s="120"/>
      <c r="SJQ3" s="120"/>
      <c r="SJR3" s="120"/>
      <c r="SJS3" s="120"/>
      <c r="SJT3" s="120"/>
      <c r="SJU3" s="120"/>
      <c r="SJV3" s="120"/>
      <c r="SJW3" s="120"/>
      <c r="SJX3" s="120"/>
      <c r="SJY3" s="120"/>
      <c r="SJZ3" s="120"/>
      <c r="SKA3" s="120"/>
      <c r="SKB3" s="120"/>
      <c r="SKC3" s="120"/>
      <c r="SKD3" s="120"/>
      <c r="SKE3" s="120"/>
      <c r="SKF3" s="120"/>
      <c r="SKG3" s="120"/>
      <c r="SKH3" s="120"/>
      <c r="SKI3" s="120"/>
      <c r="SKJ3" s="120"/>
      <c r="SKK3" s="120"/>
      <c r="SKL3" s="120"/>
      <c r="SKM3" s="120"/>
      <c r="SKN3" s="120"/>
      <c r="SKO3" s="120"/>
      <c r="SKP3" s="120"/>
      <c r="SKQ3" s="120"/>
      <c r="SKR3" s="120"/>
      <c r="SKS3" s="120"/>
      <c r="SKT3" s="120"/>
      <c r="SKU3" s="120"/>
      <c r="SKV3" s="120"/>
      <c r="SKW3" s="120"/>
      <c r="SKX3" s="120"/>
      <c r="SKY3" s="120"/>
      <c r="SKZ3" s="120"/>
      <c r="SLA3" s="120"/>
      <c r="SLB3" s="120"/>
      <c r="SLC3" s="120"/>
      <c r="SLD3" s="120"/>
      <c r="SLE3" s="120"/>
      <c r="SLF3" s="120"/>
      <c r="SLG3" s="120"/>
      <c r="SLH3" s="120"/>
      <c r="SLI3" s="120"/>
      <c r="SLJ3" s="120"/>
      <c r="SLK3" s="120"/>
      <c r="SLL3" s="120"/>
      <c r="SLM3" s="120"/>
      <c r="SLN3" s="120"/>
      <c r="SLO3" s="120"/>
      <c r="SLP3" s="120"/>
      <c r="SLQ3" s="120"/>
      <c r="SLR3" s="120"/>
      <c r="SLS3" s="120"/>
      <c r="SLT3" s="120"/>
      <c r="SLU3" s="120"/>
      <c r="SLV3" s="120"/>
      <c r="SLW3" s="120"/>
      <c r="SLX3" s="120"/>
      <c r="SLY3" s="120"/>
      <c r="SLZ3" s="120"/>
      <c r="SMA3" s="120"/>
      <c r="SMB3" s="120"/>
      <c r="SMC3" s="120"/>
      <c r="SMD3" s="120"/>
      <c r="SME3" s="120"/>
      <c r="SMF3" s="120"/>
      <c r="SMG3" s="120"/>
      <c r="SMH3" s="120"/>
      <c r="SMI3" s="120"/>
      <c r="SMJ3" s="120"/>
      <c r="SMK3" s="120"/>
      <c r="SML3" s="120"/>
      <c r="SMM3" s="120"/>
      <c r="SMN3" s="120"/>
      <c r="SMO3" s="120"/>
      <c r="SMP3" s="120"/>
      <c r="SMQ3" s="120"/>
      <c r="SMR3" s="120"/>
      <c r="SMS3" s="120"/>
      <c r="SMT3" s="120"/>
      <c r="SMU3" s="120"/>
      <c r="SMV3" s="120"/>
      <c r="SMW3" s="120"/>
      <c r="SMX3" s="120"/>
      <c r="SMY3" s="120"/>
      <c r="SMZ3" s="120"/>
      <c r="SNA3" s="120"/>
      <c r="SNB3" s="120"/>
      <c r="SNC3" s="120"/>
      <c r="SND3" s="120"/>
      <c r="SNE3" s="120"/>
      <c r="SNF3" s="120"/>
      <c r="SNG3" s="120"/>
      <c r="SNH3" s="120"/>
      <c r="SNI3" s="120"/>
      <c r="SNJ3" s="120"/>
      <c r="SNK3" s="120"/>
      <c r="SNL3" s="120"/>
      <c r="SNM3" s="120"/>
      <c r="SNN3" s="120"/>
      <c r="SNO3" s="120"/>
      <c r="SNP3" s="120"/>
      <c r="SNQ3" s="120"/>
      <c r="SNR3" s="120"/>
      <c r="SNS3" s="120"/>
      <c r="SNT3" s="120"/>
      <c r="SNU3" s="120"/>
      <c r="SNV3" s="120"/>
      <c r="SNW3" s="120"/>
      <c r="SNX3" s="120"/>
      <c r="SNY3" s="120"/>
      <c r="SNZ3" s="120"/>
      <c r="SOA3" s="120"/>
      <c r="SOB3" s="120"/>
      <c r="SOC3" s="120"/>
      <c r="SOD3" s="120"/>
      <c r="SOE3" s="120"/>
      <c r="SOF3" s="120"/>
      <c r="SOG3" s="120"/>
      <c r="SOH3" s="120"/>
      <c r="SOI3" s="120"/>
      <c r="SOJ3" s="120"/>
      <c r="SOK3" s="120"/>
      <c r="SOL3" s="120"/>
      <c r="SOM3" s="120"/>
      <c r="SON3" s="120"/>
      <c r="SOO3" s="120"/>
      <c r="SOP3" s="120"/>
      <c r="SOQ3" s="120"/>
      <c r="SOR3" s="120"/>
      <c r="SOS3" s="120"/>
      <c r="SOT3" s="120"/>
      <c r="SOU3" s="120"/>
      <c r="SOV3" s="120"/>
      <c r="SOW3" s="120"/>
      <c r="SOX3" s="120"/>
      <c r="SOY3" s="120"/>
      <c r="SOZ3" s="120"/>
      <c r="SPA3" s="120"/>
      <c r="SPB3" s="120"/>
      <c r="SPC3" s="120"/>
      <c r="SPD3" s="120"/>
      <c r="SPE3" s="120"/>
      <c r="SPF3" s="120"/>
      <c r="SPG3" s="120"/>
      <c r="SPH3" s="120"/>
      <c r="SPI3" s="120"/>
      <c r="SPJ3" s="120"/>
      <c r="SPK3" s="120"/>
      <c r="SPL3" s="120"/>
      <c r="SPM3" s="120"/>
      <c r="SPN3" s="120"/>
      <c r="SPO3" s="120"/>
      <c r="SPP3" s="120"/>
      <c r="SPQ3" s="120"/>
      <c r="SPR3" s="120"/>
      <c r="SPS3" s="120"/>
      <c r="SPT3" s="120"/>
      <c r="SPU3" s="120"/>
      <c r="SPV3" s="120"/>
      <c r="SPW3" s="120"/>
      <c r="SPX3" s="120"/>
      <c r="SPY3" s="120"/>
      <c r="SPZ3" s="120"/>
      <c r="SQA3" s="120"/>
      <c r="SQB3" s="120"/>
      <c r="SQC3" s="120"/>
      <c r="SQD3" s="120"/>
      <c r="SQE3" s="120"/>
      <c r="SQF3" s="120"/>
      <c r="SQG3" s="120"/>
      <c r="SQH3" s="120"/>
      <c r="SQI3" s="120"/>
      <c r="SQJ3" s="120"/>
      <c r="SQK3" s="120"/>
      <c r="SQL3" s="120"/>
      <c r="SQM3" s="120"/>
      <c r="SQN3" s="120"/>
      <c r="SQO3" s="120"/>
      <c r="SQP3" s="120"/>
      <c r="SQQ3" s="120"/>
      <c r="SQR3" s="120"/>
      <c r="SQS3" s="120"/>
      <c r="SQT3" s="120"/>
      <c r="SQU3" s="120"/>
      <c r="SQV3" s="120"/>
      <c r="SQW3" s="120"/>
      <c r="SQX3" s="120"/>
      <c r="SQY3" s="120"/>
      <c r="SQZ3" s="120"/>
      <c r="SRA3" s="120"/>
      <c r="SRB3" s="120"/>
      <c r="SRC3" s="120"/>
      <c r="SRD3" s="120"/>
      <c r="SRE3" s="120"/>
      <c r="SRF3" s="120"/>
      <c r="SRG3" s="120"/>
      <c r="SRH3" s="120"/>
      <c r="SRI3" s="120"/>
      <c r="SRJ3" s="120"/>
      <c r="SRK3" s="120"/>
      <c r="SRL3" s="120"/>
      <c r="SRM3" s="120"/>
      <c r="SRN3" s="120"/>
      <c r="SRO3" s="120"/>
      <c r="SRP3" s="120"/>
      <c r="SRQ3" s="120"/>
      <c r="SRR3" s="120"/>
      <c r="SRS3" s="120"/>
      <c r="SRT3" s="120"/>
      <c r="SRU3" s="120"/>
      <c r="SRV3" s="120"/>
      <c r="SRW3" s="120"/>
      <c r="SRX3" s="120"/>
      <c r="SRY3" s="120"/>
      <c r="SRZ3" s="120"/>
      <c r="SSA3" s="120"/>
      <c r="SSB3" s="120"/>
      <c r="SSC3" s="120"/>
      <c r="SSD3" s="120"/>
      <c r="SSE3" s="120"/>
      <c r="SSF3" s="120"/>
      <c r="SSG3" s="120"/>
      <c r="SSH3" s="120"/>
      <c r="SSI3" s="120"/>
      <c r="SSJ3" s="120"/>
      <c r="SSK3" s="120"/>
      <c r="SSL3" s="120"/>
      <c r="SSM3" s="120"/>
      <c r="SSN3" s="120"/>
      <c r="SSO3" s="120"/>
      <c r="SSP3" s="120"/>
      <c r="SSQ3" s="120"/>
      <c r="SSR3" s="120"/>
      <c r="SSS3" s="120"/>
      <c r="SST3" s="120"/>
      <c r="SSU3" s="120"/>
      <c r="SSV3" s="120"/>
      <c r="SSW3" s="120"/>
      <c r="SSX3" s="120"/>
      <c r="SSY3" s="120"/>
      <c r="SSZ3" s="120"/>
      <c r="STA3" s="120"/>
      <c r="STB3" s="120"/>
      <c r="STC3" s="120"/>
      <c r="STD3" s="120"/>
      <c r="STE3" s="120"/>
      <c r="STF3" s="120"/>
      <c r="STG3" s="120"/>
      <c r="STH3" s="120"/>
      <c r="STI3" s="120"/>
      <c r="STJ3" s="120"/>
      <c r="STK3" s="120"/>
      <c r="STL3" s="120"/>
      <c r="STM3" s="120"/>
      <c r="STN3" s="120"/>
      <c r="STO3" s="120"/>
      <c r="STP3" s="120"/>
      <c r="STQ3" s="120"/>
      <c r="STR3" s="120"/>
      <c r="STS3" s="120"/>
      <c r="STT3" s="120"/>
      <c r="STU3" s="120"/>
      <c r="STV3" s="120"/>
      <c r="STW3" s="120"/>
      <c r="STX3" s="120"/>
      <c r="STY3" s="120"/>
      <c r="STZ3" s="120"/>
      <c r="SUA3" s="120"/>
      <c r="SUB3" s="120"/>
      <c r="SUC3" s="120"/>
      <c r="SUD3" s="120"/>
      <c r="SUE3" s="120"/>
      <c r="SUF3" s="120"/>
      <c r="SUG3" s="120"/>
      <c r="SUH3" s="120"/>
      <c r="SUI3" s="120"/>
      <c r="SUJ3" s="120"/>
      <c r="SUK3" s="120"/>
      <c r="SUL3" s="120"/>
      <c r="SUM3" s="120"/>
      <c r="SUN3" s="120"/>
      <c r="SUO3" s="120"/>
      <c r="SUP3" s="120"/>
      <c r="SUQ3" s="120"/>
      <c r="SUR3" s="120"/>
      <c r="SUS3" s="120"/>
      <c r="SUT3" s="120"/>
      <c r="SUU3" s="120"/>
      <c r="SUV3" s="120"/>
      <c r="SUW3" s="120"/>
      <c r="SUX3" s="120"/>
      <c r="SUY3" s="120"/>
      <c r="SUZ3" s="120"/>
      <c r="SVA3" s="120"/>
      <c r="SVB3" s="120"/>
      <c r="SVC3" s="120"/>
      <c r="SVD3" s="120"/>
      <c r="SVE3" s="120"/>
      <c r="SVF3" s="120"/>
      <c r="SVG3" s="120"/>
      <c r="SVH3" s="120"/>
      <c r="SVI3" s="120"/>
      <c r="SVJ3" s="120"/>
      <c r="SVK3" s="120"/>
      <c r="SVL3" s="120"/>
      <c r="SVM3" s="120"/>
      <c r="SVN3" s="120"/>
      <c r="SVO3" s="120"/>
      <c r="SVP3" s="120"/>
      <c r="SVQ3" s="120"/>
      <c r="SVR3" s="120"/>
      <c r="SVS3" s="120"/>
      <c r="SVT3" s="120"/>
      <c r="SVU3" s="120"/>
      <c r="SVV3" s="120"/>
      <c r="SVW3" s="120"/>
      <c r="SVX3" s="120"/>
      <c r="SVY3" s="120"/>
      <c r="SVZ3" s="120"/>
      <c r="SWA3" s="120"/>
      <c r="SWB3" s="120"/>
      <c r="SWC3" s="120"/>
      <c r="SWD3" s="120"/>
      <c r="SWE3" s="120"/>
      <c r="SWF3" s="120"/>
      <c r="SWG3" s="120"/>
      <c r="SWH3" s="120"/>
      <c r="SWI3" s="120"/>
      <c r="SWJ3" s="120"/>
      <c r="SWK3" s="120"/>
      <c r="SWL3" s="120"/>
      <c r="SWM3" s="120"/>
      <c r="SWN3" s="120"/>
      <c r="SWO3" s="120"/>
      <c r="SWP3" s="120"/>
      <c r="SWQ3" s="120"/>
      <c r="SWR3" s="120"/>
      <c r="SWS3" s="120"/>
      <c r="SWT3" s="120"/>
      <c r="SWU3" s="120"/>
      <c r="SWV3" s="120"/>
      <c r="SWW3" s="120"/>
      <c r="SWX3" s="120"/>
      <c r="SWY3" s="120"/>
      <c r="SWZ3" s="120"/>
      <c r="SXA3" s="120"/>
      <c r="SXB3" s="120"/>
      <c r="SXC3" s="120"/>
      <c r="SXD3" s="120"/>
      <c r="SXE3" s="120"/>
      <c r="SXF3" s="120"/>
      <c r="SXG3" s="120"/>
      <c r="SXH3" s="120"/>
      <c r="SXI3" s="120"/>
      <c r="SXJ3" s="120"/>
      <c r="SXK3" s="120"/>
      <c r="SXL3" s="120"/>
      <c r="SXM3" s="120"/>
      <c r="SXN3" s="120"/>
      <c r="SXO3" s="120"/>
      <c r="SXP3" s="120"/>
      <c r="SXQ3" s="120"/>
      <c r="SXR3" s="120"/>
      <c r="SXS3" s="120"/>
      <c r="SXT3" s="120"/>
      <c r="SXU3" s="120"/>
      <c r="SXV3" s="120"/>
      <c r="SXW3" s="120"/>
      <c r="SXX3" s="120"/>
      <c r="SXY3" s="120"/>
      <c r="SXZ3" s="120"/>
      <c r="SYA3" s="120"/>
      <c r="SYB3" s="120"/>
      <c r="SYC3" s="120"/>
      <c r="SYD3" s="120"/>
      <c r="SYE3" s="120"/>
      <c r="SYF3" s="120"/>
      <c r="SYG3" s="120"/>
      <c r="SYH3" s="120"/>
      <c r="SYI3" s="120"/>
      <c r="SYJ3" s="120"/>
      <c r="SYK3" s="120"/>
      <c r="SYL3" s="120"/>
      <c r="SYM3" s="120"/>
      <c r="SYN3" s="120"/>
      <c r="SYO3" s="120"/>
      <c r="SYP3" s="120"/>
      <c r="SYQ3" s="120"/>
      <c r="SYR3" s="120"/>
      <c r="SYS3" s="120"/>
      <c r="SYT3" s="120"/>
      <c r="SYU3" s="120"/>
      <c r="SYV3" s="120"/>
      <c r="SYW3" s="120"/>
      <c r="SYX3" s="120"/>
      <c r="SYY3" s="120"/>
      <c r="SYZ3" s="120"/>
      <c r="SZA3" s="120"/>
      <c r="SZB3" s="120"/>
      <c r="SZC3" s="120"/>
      <c r="SZD3" s="120"/>
      <c r="SZE3" s="120"/>
      <c r="SZF3" s="120"/>
      <c r="SZG3" s="120"/>
      <c r="SZH3" s="120"/>
      <c r="SZI3" s="120"/>
      <c r="SZJ3" s="120"/>
      <c r="SZK3" s="120"/>
      <c r="SZL3" s="120"/>
      <c r="SZM3" s="120"/>
      <c r="SZN3" s="120"/>
      <c r="SZO3" s="120"/>
      <c r="SZP3" s="120"/>
      <c r="SZQ3" s="120"/>
      <c r="SZR3" s="120"/>
      <c r="SZS3" s="120"/>
      <c r="SZT3" s="120"/>
      <c r="SZU3" s="120"/>
      <c r="SZV3" s="120"/>
      <c r="SZW3" s="120"/>
      <c r="SZX3" s="120"/>
      <c r="SZY3" s="120"/>
      <c r="SZZ3" s="120"/>
      <c r="TAA3" s="120"/>
      <c r="TAB3" s="120"/>
      <c r="TAC3" s="120"/>
      <c r="TAD3" s="120"/>
      <c r="TAE3" s="120"/>
      <c r="TAF3" s="120"/>
      <c r="TAG3" s="120"/>
      <c r="TAH3" s="120"/>
      <c r="TAI3" s="120"/>
      <c r="TAJ3" s="120"/>
      <c r="TAK3" s="120"/>
      <c r="TAL3" s="120"/>
      <c r="TAM3" s="120"/>
      <c r="TAN3" s="120"/>
      <c r="TAO3" s="120"/>
      <c r="TAP3" s="120"/>
      <c r="TAQ3" s="120"/>
      <c r="TAR3" s="120"/>
      <c r="TAS3" s="120"/>
      <c r="TAT3" s="120"/>
      <c r="TAU3" s="120"/>
      <c r="TAV3" s="120"/>
      <c r="TAW3" s="120"/>
      <c r="TAX3" s="120"/>
      <c r="TAY3" s="120"/>
      <c r="TAZ3" s="120"/>
      <c r="TBA3" s="120"/>
      <c r="TBB3" s="120"/>
      <c r="TBC3" s="120"/>
      <c r="TBD3" s="120"/>
      <c r="TBE3" s="120"/>
      <c r="TBF3" s="120"/>
      <c r="TBG3" s="120"/>
      <c r="TBH3" s="120"/>
      <c r="TBI3" s="120"/>
      <c r="TBJ3" s="120"/>
      <c r="TBK3" s="120"/>
      <c r="TBL3" s="120"/>
      <c r="TBM3" s="120"/>
      <c r="TBN3" s="120"/>
      <c r="TBO3" s="120"/>
      <c r="TBP3" s="120"/>
      <c r="TBQ3" s="120"/>
      <c r="TBR3" s="120"/>
      <c r="TBS3" s="120"/>
      <c r="TBT3" s="120"/>
      <c r="TBU3" s="120"/>
      <c r="TBV3" s="120"/>
      <c r="TBW3" s="120"/>
      <c r="TBX3" s="120"/>
      <c r="TBY3" s="120"/>
      <c r="TBZ3" s="120"/>
      <c r="TCA3" s="120"/>
      <c r="TCB3" s="120"/>
      <c r="TCC3" s="120"/>
      <c r="TCD3" s="120"/>
      <c r="TCE3" s="120"/>
      <c r="TCF3" s="120"/>
      <c r="TCG3" s="120"/>
      <c r="TCH3" s="120"/>
      <c r="TCI3" s="120"/>
      <c r="TCJ3" s="120"/>
      <c r="TCK3" s="120"/>
      <c r="TCL3" s="120"/>
      <c r="TCM3" s="120"/>
      <c r="TCN3" s="120"/>
      <c r="TCO3" s="120"/>
      <c r="TCP3" s="120"/>
      <c r="TCQ3" s="120"/>
      <c r="TCR3" s="120"/>
      <c r="TCS3" s="120"/>
      <c r="TCT3" s="120"/>
      <c r="TCU3" s="120"/>
      <c r="TCV3" s="120"/>
      <c r="TCW3" s="120"/>
      <c r="TCX3" s="120"/>
      <c r="TCY3" s="120"/>
      <c r="TCZ3" s="120"/>
      <c r="TDA3" s="120"/>
      <c r="TDB3" s="120"/>
      <c r="TDC3" s="120"/>
      <c r="TDD3" s="120"/>
      <c r="TDE3" s="120"/>
      <c r="TDF3" s="120"/>
      <c r="TDG3" s="120"/>
      <c r="TDH3" s="120"/>
      <c r="TDI3" s="120"/>
      <c r="TDJ3" s="120"/>
      <c r="TDK3" s="120"/>
      <c r="TDL3" s="120"/>
      <c r="TDM3" s="120"/>
      <c r="TDN3" s="120"/>
      <c r="TDO3" s="120"/>
      <c r="TDP3" s="120"/>
      <c r="TDQ3" s="120"/>
      <c r="TDR3" s="120"/>
      <c r="TDS3" s="120"/>
      <c r="TDT3" s="120"/>
      <c r="TDU3" s="120"/>
      <c r="TDV3" s="120"/>
      <c r="TDW3" s="120"/>
      <c r="TDX3" s="120"/>
      <c r="TDY3" s="120"/>
      <c r="TDZ3" s="120"/>
      <c r="TEA3" s="120"/>
      <c r="TEB3" s="120"/>
      <c r="TEC3" s="120"/>
      <c r="TED3" s="120"/>
      <c r="TEE3" s="120"/>
      <c r="TEF3" s="120"/>
      <c r="TEG3" s="120"/>
      <c r="TEH3" s="120"/>
      <c r="TEI3" s="120"/>
      <c r="TEJ3" s="120"/>
      <c r="TEK3" s="120"/>
      <c r="TEL3" s="120"/>
      <c r="TEM3" s="120"/>
      <c r="TEN3" s="120"/>
      <c r="TEO3" s="120"/>
      <c r="TEP3" s="120"/>
      <c r="TEQ3" s="120"/>
      <c r="TER3" s="120"/>
      <c r="TES3" s="120"/>
      <c r="TET3" s="120"/>
      <c r="TEU3" s="120"/>
      <c r="TEV3" s="120"/>
      <c r="TEW3" s="120"/>
      <c r="TEX3" s="120"/>
      <c r="TEY3" s="120"/>
      <c r="TEZ3" s="120"/>
      <c r="TFA3" s="120"/>
      <c r="TFB3" s="120"/>
      <c r="TFC3" s="120"/>
      <c r="TFD3" s="120"/>
      <c r="TFE3" s="120"/>
      <c r="TFF3" s="120"/>
      <c r="TFG3" s="120"/>
      <c r="TFH3" s="120"/>
      <c r="TFI3" s="120"/>
      <c r="TFJ3" s="120"/>
      <c r="TFK3" s="120"/>
      <c r="TFL3" s="120"/>
      <c r="TFM3" s="120"/>
      <c r="TFN3" s="120"/>
      <c r="TFO3" s="120"/>
      <c r="TFP3" s="120"/>
      <c r="TFQ3" s="120"/>
      <c r="TFR3" s="120"/>
      <c r="TFS3" s="120"/>
      <c r="TFT3" s="120"/>
      <c r="TFU3" s="120"/>
      <c r="TFV3" s="120"/>
      <c r="TFW3" s="120"/>
      <c r="TFX3" s="120"/>
      <c r="TFY3" s="120"/>
      <c r="TFZ3" s="120"/>
      <c r="TGA3" s="120"/>
      <c r="TGB3" s="120"/>
      <c r="TGC3" s="120"/>
      <c r="TGD3" s="120"/>
      <c r="TGE3" s="120"/>
      <c r="TGF3" s="120"/>
      <c r="TGG3" s="120"/>
      <c r="TGH3" s="120"/>
      <c r="TGI3" s="120"/>
      <c r="TGJ3" s="120"/>
      <c r="TGK3" s="120"/>
      <c r="TGL3" s="120"/>
      <c r="TGM3" s="120"/>
      <c r="TGN3" s="120"/>
      <c r="TGO3" s="120"/>
      <c r="TGP3" s="120"/>
      <c r="TGQ3" s="120"/>
      <c r="TGR3" s="120"/>
      <c r="TGS3" s="120"/>
      <c r="TGT3" s="120"/>
      <c r="TGU3" s="120"/>
      <c r="TGV3" s="120"/>
      <c r="TGW3" s="120"/>
      <c r="TGX3" s="120"/>
      <c r="TGY3" s="120"/>
      <c r="TGZ3" s="120"/>
      <c r="THA3" s="120"/>
      <c r="THB3" s="120"/>
      <c r="THC3" s="120"/>
      <c r="THD3" s="120"/>
      <c r="THE3" s="120"/>
      <c r="THF3" s="120"/>
      <c r="THG3" s="120"/>
      <c r="THH3" s="120"/>
      <c r="THI3" s="120"/>
      <c r="THJ3" s="120"/>
      <c r="THK3" s="120"/>
      <c r="THL3" s="120"/>
      <c r="THM3" s="120"/>
      <c r="THN3" s="120"/>
      <c r="THO3" s="120"/>
      <c r="THP3" s="120"/>
      <c r="THQ3" s="120"/>
      <c r="THR3" s="120"/>
      <c r="THS3" s="120"/>
      <c r="THT3" s="120"/>
      <c r="THU3" s="120"/>
      <c r="THV3" s="120"/>
      <c r="THW3" s="120"/>
      <c r="THX3" s="120"/>
      <c r="THY3" s="120"/>
      <c r="THZ3" s="120"/>
      <c r="TIA3" s="120"/>
      <c r="TIB3" s="120"/>
      <c r="TIC3" s="120"/>
      <c r="TID3" s="120"/>
      <c r="TIE3" s="120"/>
      <c r="TIF3" s="120"/>
      <c r="TIG3" s="120"/>
      <c r="TIH3" s="120"/>
      <c r="TII3" s="120"/>
      <c r="TIJ3" s="120"/>
      <c r="TIK3" s="120"/>
      <c r="TIL3" s="120"/>
      <c r="TIM3" s="120"/>
      <c r="TIN3" s="120"/>
      <c r="TIO3" s="120"/>
      <c r="TIP3" s="120"/>
      <c r="TIQ3" s="120"/>
      <c r="TIR3" s="120"/>
      <c r="TIS3" s="120"/>
      <c r="TIT3" s="120"/>
      <c r="TIU3" s="120"/>
      <c r="TIV3" s="120"/>
      <c r="TIW3" s="120"/>
      <c r="TIX3" s="120"/>
      <c r="TIY3" s="120"/>
      <c r="TIZ3" s="120"/>
      <c r="TJA3" s="120"/>
      <c r="TJB3" s="120"/>
      <c r="TJC3" s="120"/>
      <c r="TJD3" s="120"/>
      <c r="TJE3" s="120"/>
      <c r="TJF3" s="120"/>
      <c r="TJG3" s="120"/>
      <c r="TJH3" s="120"/>
      <c r="TJI3" s="120"/>
      <c r="TJJ3" s="120"/>
      <c r="TJK3" s="120"/>
      <c r="TJL3" s="120"/>
      <c r="TJM3" s="120"/>
      <c r="TJN3" s="120"/>
      <c r="TJO3" s="120"/>
      <c r="TJP3" s="120"/>
      <c r="TJQ3" s="120"/>
      <c r="TJR3" s="120"/>
      <c r="TJS3" s="120"/>
      <c r="TJT3" s="120"/>
      <c r="TJU3" s="120"/>
      <c r="TJV3" s="120"/>
      <c r="TJW3" s="120"/>
      <c r="TJX3" s="120"/>
      <c r="TJY3" s="120"/>
      <c r="TJZ3" s="120"/>
      <c r="TKA3" s="120"/>
      <c r="TKB3" s="120"/>
      <c r="TKC3" s="120"/>
      <c r="TKD3" s="120"/>
      <c r="TKE3" s="120"/>
      <c r="TKF3" s="120"/>
      <c r="TKG3" s="120"/>
      <c r="TKH3" s="120"/>
      <c r="TKI3" s="120"/>
      <c r="TKJ3" s="120"/>
      <c r="TKK3" s="120"/>
      <c r="TKL3" s="120"/>
      <c r="TKM3" s="120"/>
      <c r="TKN3" s="120"/>
      <c r="TKO3" s="120"/>
      <c r="TKP3" s="120"/>
      <c r="TKQ3" s="120"/>
      <c r="TKR3" s="120"/>
      <c r="TKS3" s="120"/>
      <c r="TKT3" s="120"/>
      <c r="TKU3" s="120"/>
      <c r="TKV3" s="120"/>
      <c r="TKW3" s="120"/>
      <c r="TKX3" s="120"/>
      <c r="TKY3" s="120"/>
      <c r="TKZ3" s="120"/>
      <c r="TLA3" s="120"/>
      <c r="TLB3" s="120"/>
      <c r="TLC3" s="120"/>
      <c r="TLD3" s="120"/>
      <c r="TLE3" s="120"/>
      <c r="TLF3" s="120"/>
      <c r="TLG3" s="120"/>
      <c r="TLH3" s="120"/>
      <c r="TLI3" s="120"/>
      <c r="TLJ3" s="120"/>
      <c r="TLK3" s="120"/>
      <c r="TLL3" s="120"/>
      <c r="TLM3" s="120"/>
      <c r="TLN3" s="120"/>
      <c r="TLO3" s="120"/>
      <c r="TLP3" s="120"/>
      <c r="TLQ3" s="120"/>
      <c r="TLR3" s="120"/>
      <c r="TLS3" s="120"/>
      <c r="TLT3" s="120"/>
      <c r="TLU3" s="120"/>
      <c r="TLV3" s="120"/>
      <c r="TLW3" s="120"/>
      <c r="TLX3" s="120"/>
      <c r="TLY3" s="120"/>
      <c r="TLZ3" s="120"/>
      <c r="TMA3" s="120"/>
      <c r="TMB3" s="120"/>
      <c r="TMC3" s="120"/>
      <c r="TMD3" s="120"/>
      <c r="TME3" s="120"/>
      <c r="TMF3" s="120"/>
      <c r="TMG3" s="120"/>
      <c r="TMH3" s="120"/>
      <c r="TMI3" s="120"/>
      <c r="TMJ3" s="120"/>
      <c r="TMK3" s="120"/>
      <c r="TML3" s="120"/>
      <c r="TMM3" s="120"/>
      <c r="TMN3" s="120"/>
      <c r="TMO3" s="120"/>
      <c r="TMP3" s="120"/>
      <c r="TMQ3" s="120"/>
      <c r="TMR3" s="120"/>
      <c r="TMS3" s="120"/>
      <c r="TMT3" s="120"/>
      <c r="TMU3" s="120"/>
      <c r="TMV3" s="120"/>
      <c r="TMW3" s="120"/>
      <c r="TMX3" s="120"/>
      <c r="TMY3" s="120"/>
      <c r="TMZ3" s="120"/>
      <c r="TNA3" s="120"/>
      <c r="TNB3" s="120"/>
      <c r="TNC3" s="120"/>
      <c r="TND3" s="120"/>
      <c r="TNE3" s="120"/>
      <c r="TNF3" s="120"/>
      <c r="TNG3" s="120"/>
      <c r="TNH3" s="120"/>
      <c r="TNI3" s="120"/>
      <c r="TNJ3" s="120"/>
      <c r="TNK3" s="120"/>
      <c r="TNL3" s="120"/>
      <c r="TNM3" s="120"/>
      <c r="TNN3" s="120"/>
      <c r="TNO3" s="120"/>
      <c r="TNP3" s="120"/>
      <c r="TNQ3" s="120"/>
      <c r="TNR3" s="120"/>
      <c r="TNS3" s="120"/>
      <c r="TNT3" s="120"/>
      <c r="TNU3" s="120"/>
      <c r="TNV3" s="120"/>
      <c r="TNW3" s="120"/>
      <c r="TNX3" s="120"/>
      <c r="TNY3" s="120"/>
      <c r="TNZ3" s="120"/>
      <c r="TOA3" s="120"/>
      <c r="TOB3" s="120"/>
      <c r="TOC3" s="120"/>
      <c r="TOD3" s="120"/>
      <c r="TOE3" s="120"/>
      <c r="TOF3" s="120"/>
      <c r="TOG3" s="120"/>
      <c r="TOH3" s="120"/>
      <c r="TOI3" s="120"/>
      <c r="TOJ3" s="120"/>
      <c r="TOK3" s="120"/>
      <c r="TOL3" s="120"/>
      <c r="TOM3" s="120"/>
      <c r="TON3" s="120"/>
      <c r="TOO3" s="120"/>
      <c r="TOP3" s="120"/>
      <c r="TOQ3" s="120"/>
      <c r="TOR3" s="120"/>
      <c r="TOS3" s="120"/>
      <c r="TOT3" s="120"/>
      <c r="TOU3" s="120"/>
      <c r="TOV3" s="120"/>
      <c r="TOW3" s="120"/>
      <c r="TOX3" s="120"/>
      <c r="TOY3" s="120"/>
      <c r="TOZ3" s="120"/>
      <c r="TPA3" s="120"/>
      <c r="TPB3" s="120"/>
      <c r="TPC3" s="120"/>
      <c r="TPD3" s="120"/>
      <c r="TPE3" s="120"/>
      <c r="TPF3" s="120"/>
      <c r="TPG3" s="120"/>
      <c r="TPH3" s="120"/>
      <c r="TPI3" s="120"/>
      <c r="TPJ3" s="120"/>
      <c r="TPK3" s="120"/>
      <c r="TPL3" s="120"/>
      <c r="TPM3" s="120"/>
      <c r="TPN3" s="120"/>
      <c r="TPO3" s="120"/>
      <c r="TPP3" s="120"/>
      <c r="TPQ3" s="120"/>
      <c r="TPR3" s="120"/>
      <c r="TPS3" s="120"/>
      <c r="TPT3" s="120"/>
      <c r="TPU3" s="120"/>
      <c r="TPV3" s="120"/>
      <c r="TPW3" s="120"/>
      <c r="TPX3" s="120"/>
      <c r="TPY3" s="120"/>
      <c r="TPZ3" s="120"/>
      <c r="TQA3" s="120"/>
      <c r="TQB3" s="120"/>
      <c r="TQC3" s="120"/>
      <c r="TQD3" s="120"/>
      <c r="TQE3" s="120"/>
      <c r="TQF3" s="120"/>
      <c r="TQG3" s="120"/>
      <c r="TQH3" s="120"/>
      <c r="TQI3" s="120"/>
      <c r="TQJ3" s="120"/>
      <c r="TQK3" s="120"/>
      <c r="TQL3" s="120"/>
      <c r="TQM3" s="120"/>
      <c r="TQN3" s="120"/>
      <c r="TQO3" s="120"/>
      <c r="TQP3" s="120"/>
      <c r="TQQ3" s="120"/>
      <c r="TQR3" s="120"/>
      <c r="TQS3" s="120"/>
      <c r="TQT3" s="120"/>
      <c r="TQU3" s="120"/>
      <c r="TQV3" s="120"/>
      <c r="TQW3" s="120"/>
      <c r="TQX3" s="120"/>
      <c r="TQY3" s="120"/>
      <c r="TQZ3" s="120"/>
      <c r="TRA3" s="120"/>
      <c r="TRB3" s="120"/>
      <c r="TRC3" s="120"/>
      <c r="TRD3" s="120"/>
      <c r="TRE3" s="120"/>
      <c r="TRF3" s="120"/>
      <c r="TRG3" s="120"/>
      <c r="TRH3" s="120"/>
      <c r="TRI3" s="120"/>
      <c r="TRJ3" s="120"/>
      <c r="TRK3" s="120"/>
      <c r="TRL3" s="120"/>
      <c r="TRM3" s="120"/>
      <c r="TRN3" s="120"/>
      <c r="TRO3" s="120"/>
      <c r="TRP3" s="120"/>
      <c r="TRQ3" s="120"/>
      <c r="TRR3" s="120"/>
      <c r="TRS3" s="120"/>
      <c r="TRT3" s="120"/>
      <c r="TRU3" s="120"/>
      <c r="TRV3" s="120"/>
      <c r="TRW3" s="120"/>
      <c r="TRX3" s="120"/>
      <c r="TRY3" s="120"/>
      <c r="TRZ3" s="120"/>
      <c r="TSA3" s="120"/>
      <c r="TSB3" s="120"/>
      <c r="TSC3" s="120"/>
      <c r="TSD3" s="120"/>
      <c r="TSE3" s="120"/>
      <c r="TSF3" s="120"/>
      <c r="TSG3" s="120"/>
      <c r="TSH3" s="120"/>
      <c r="TSI3" s="120"/>
      <c r="TSJ3" s="120"/>
      <c r="TSK3" s="120"/>
      <c r="TSL3" s="120"/>
      <c r="TSM3" s="120"/>
      <c r="TSN3" s="120"/>
      <c r="TSO3" s="120"/>
      <c r="TSP3" s="120"/>
      <c r="TSQ3" s="120"/>
      <c r="TSR3" s="120"/>
      <c r="TSS3" s="120"/>
      <c r="TST3" s="120"/>
      <c r="TSU3" s="120"/>
      <c r="TSV3" s="120"/>
      <c r="TSW3" s="120"/>
      <c r="TSX3" s="120"/>
      <c r="TSY3" s="120"/>
      <c r="TSZ3" s="120"/>
      <c r="TTA3" s="120"/>
      <c r="TTB3" s="120"/>
      <c r="TTC3" s="120"/>
      <c r="TTD3" s="120"/>
      <c r="TTE3" s="120"/>
      <c r="TTF3" s="120"/>
      <c r="TTG3" s="120"/>
      <c r="TTH3" s="120"/>
      <c r="TTI3" s="120"/>
      <c r="TTJ3" s="120"/>
      <c r="TTK3" s="120"/>
      <c r="TTL3" s="120"/>
      <c r="TTM3" s="120"/>
      <c r="TTN3" s="120"/>
      <c r="TTO3" s="120"/>
      <c r="TTP3" s="120"/>
      <c r="TTQ3" s="120"/>
      <c r="TTR3" s="120"/>
      <c r="TTS3" s="120"/>
      <c r="TTT3" s="120"/>
      <c r="TTU3" s="120"/>
      <c r="TTV3" s="120"/>
      <c r="TTW3" s="120"/>
      <c r="TTX3" s="120"/>
      <c r="TTY3" s="120"/>
      <c r="TTZ3" s="120"/>
      <c r="TUA3" s="120"/>
      <c r="TUB3" s="120"/>
      <c r="TUC3" s="120"/>
      <c r="TUD3" s="120"/>
      <c r="TUE3" s="120"/>
      <c r="TUF3" s="120"/>
      <c r="TUG3" s="120"/>
      <c r="TUH3" s="120"/>
      <c r="TUI3" s="120"/>
      <c r="TUJ3" s="120"/>
      <c r="TUK3" s="120"/>
      <c r="TUL3" s="120"/>
      <c r="TUM3" s="120"/>
      <c r="TUN3" s="120"/>
      <c r="TUO3" s="120"/>
      <c r="TUP3" s="120"/>
      <c r="TUQ3" s="120"/>
      <c r="TUR3" s="120"/>
      <c r="TUS3" s="120"/>
      <c r="TUT3" s="120"/>
      <c r="TUU3" s="120"/>
      <c r="TUV3" s="120"/>
      <c r="TUW3" s="120"/>
      <c r="TUX3" s="120"/>
      <c r="TUY3" s="120"/>
      <c r="TUZ3" s="120"/>
      <c r="TVA3" s="120"/>
      <c r="TVB3" s="120"/>
      <c r="TVC3" s="120"/>
      <c r="TVD3" s="120"/>
      <c r="TVE3" s="120"/>
      <c r="TVF3" s="120"/>
      <c r="TVG3" s="120"/>
      <c r="TVH3" s="120"/>
      <c r="TVI3" s="120"/>
      <c r="TVJ3" s="120"/>
      <c r="TVK3" s="120"/>
      <c r="TVL3" s="120"/>
      <c r="TVM3" s="120"/>
      <c r="TVN3" s="120"/>
      <c r="TVO3" s="120"/>
      <c r="TVP3" s="120"/>
      <c r="TVQ3" s="120"/>
      <c r="TVR3" s="120"/>
      <c r="TVS3" s="120"/>
      <c r="TVT3" s="120"/>
      <c r="TVU3" s="120"/>
      <c r="TVV3" s="120"/>
      <c r="TVW3" s="120"/>
      <c r="TVX3" s="120"/>
      <c r="TVY3" s="120"/>
      <c r="TVZ3" s="120"/>
      <c r="TWA3" s="120"/>
      <c r="TWB3" s="120"/>
      <c r="TWC3" s="120"/>
      <c r="TWD3" s="120"/>
      <c r="TWE3" s="120"/>
      <c r="TWF3" s="120"/>
      <c r="TWG3" s="120"/>
      <c r="TWH3" s="120"/>
      <c r="TWI3" s="120"/>
      <c r="TWJ3" s="120"/>
      <c r="TWK3" s="120"/>
      <c r="TWL3" s="120"/>
      <c r="TWM3" s="120"/>
      <c r="TWN3" s="120"/>
      <c r="TWO3" s="120"/>
      <c r="TWP3" s="120"/>
      <c r="TWQ3" s="120"/>
      <c r="TWR3" s="120"/>
      <c r="TWS3" s="120"/>
      <c r="TWT3" s="120"/>
      <c r="TWU3" s="120"/>
      <c r="TWV3" s="120"/>
      <c r="TWW3" s="120"/>
      <c r="TWX3" s="120"/>
      <c r="TWY3" s="120"/>
      <c r="TWZ3" s="120"/>
      <c r="TXA3" s="120"/>
      <c r="TXB3" s="120"/>
      <c r="TXC3" s="120"/>
      <c r="TXD3" s="120"/>
      <c r="TXE3" s="120"/>
      <c r="TXF3" s="120"/>
      <c r="TXG3" s="120"/>
      <c r="TXH3" s="120"/>
      <c r="TXI3" s="120"/>
      <c r="TXJ3" s="120"/>
      <c r="TXK3" s="120"/>
      <c r="TXL3" s="120"/>
      <c r="TXM3" s="120"/>
      <c r="TXN3" s="120"/>
      <c r="TXO3" s="120"/>
      <c r="TXP3" s="120"/>
      <c r="TXQ3" s="120"/>
      <c r="TXR3" s="120"/>
      <c r="TXS3" s="120"/>
      <c r="TXT3" s="120"/>
      <c r="TXU3" s="120"/>
      <c r="TXV3" s="120"/>
      <c r="TXW3" s="120"/>
      <c r="TXX3" s="120"/>
      <c r="TXY3" s="120"/>
      <c r="TXZ3" s="120"/>
      <c r="TYA3" s="120"/>
      <c r="TYB3" s="120"/>
      <c r="TYC3" s="120"/>
      <c r="TYD3" s="120"/>
      <c r="TYE3" s="120"/>
      <c r="TYF3" s="120"/>
      <c r="TYG3" s="120"/>
      <c r="TYH3" s="120"/>
      <c r="TYI3" s="120"/>
      <c r="TYJ3" s="120"/>
      <c r="TYK3" s="120"/>
      <c r="TYL3" s="120"/>
      <c r="TYM3" s="120"/>
      <c r="TYN3" s="120"/>
      <c r="TYO3" s="120"/>
      <c r="TYP3" s="120"/>
      <c r="TYQ3" s="120"/>
      <c r="TYR3" s="120"/>
      <c r="TYS3" s="120"/>
      <c r="TYT3" s="120"/>
      <c r="TYU3" s="120"/>
      <c r="TYV3" s="120"/>
      <c r="TYW3" s="120"/>
      <c r="TYX3" s="120"/>
      <c r="TYY3" s="120"/>
      <c r="TYZ3" s="120"/>
      <c r="TZA3" s="120"/>
      <c r="TZB3" s="120"/>
      <c r="TZC3" s="120"/>
      <c r="TZD3" s="120"/>
      <c r="TZE3" s="120"/>
      <c r="TZF3" s="120"/>
      <c r="TZG3" s="120"/>
      <c r="TZH3" s="120"/>
      <c r="TZI3" s="120"/>
      <c r="TZJ3" s="120"/>
      <c r="TZK3" s="120"/>
      <c r="TZL3" s="120"/>
      <c r="TZM3" s="120"/>
      <c r="TZN3" s="120"/>
      <c r="TZO3" s="120"/>
      <c r="TZP3" s="120"/>
      <c r="TZQ3" s="120"/>
      <c r="TZR3" s="120"/>
      <c r="TZS3" s="120"/>
      <c r="TZT3" s="120"/>
      <c r="TZU3" s="120"/>
      <c r="TZV3" s="120"/>
      <c r="TZW3" s="120"/>
      <c r="TZX3" s="120"/>
      <c r="TZY3" s="120"/>
      <c r="TZZ3" s="120"/>
      <c r="UAA3" s="120"/>
      <c r="UAB3" s="120"/>
      <c r="UAC3" s="120"/>
      <c r="UAD3" s="120"/>
      <c r="UAE3" s="120"/>
      <c r="UAF3" s="120"/>
      <c r="UAG3" s="120"/>
      <c r="UAH3" s="120"/>
      <c r="UAI3" s="120"/>
      <c r="UAJ3" s="120"/>
      <c r="UAK3" s="120"/>
      <c r="UAL3" s="120"/>
      <c r="UAM3" s="120"/>
      <c r="UAN3" s="120"/>
      <c r="UAO3" s="120"/>
      <c r="UAP3" s="120"/>
      <c r="UAQ3" s="120"/>
      <c r="UAR3" s="120"/>
      <c r="UAS3" s="120"/>
      <c r="UAT3" s="120"/>
      <c r="UAU3" s="120"/>
      <c r="UAV3" s="120"/>
      <c r="UAW3" s="120"/>
      <c r="UAX3" s="120"/>
      <c r="UAY3" s="120"/>
      <c r="UAZ3" s="120"/>
      <c r="UBA3" s="120"/>
      <c r="UBB3" s="120"/>
      <c r="UBC3" s="120"/>
      <c r="UBD3" s="120"/>
      <c r="UBE3" s="120"/>
      <c r="UBF3" s="120"/>
      <c r="UBG3" s="120"/>
      <c r="UBH3" s="120"/>
      <c r="UBI3" s="120"/>
      <c r="UBJ3" s="120"/>
      <c r="UBK3" s="120"/>
      <c r="UBL3" s="120"/>
      <c r="UBM3" s="120"/>
      <c r="UBN3" s="120"/>
      <c r="UBO3" s="120"/>
      <c r="UBP3" s="120"/>
      <c r="UBQ3" s="120"/>
      <c r="UBR3" s="120"/>
      <c r="UBS3" s="120"/>
      <c r="UBT3" s="120"/>
      <c r="UBU3" s="120"/>
      <c r="UBV3" s="120"/>
      <c r="UBW3" s="120"/>
      <c r="UBX3" s="120"/>
      <c r="UBY3" s="120"/>
      <c r="UBZ3" s="120"/>
      <c r="UCA3" s="120"/>
      <c r="UCB3" s="120"/>
      <c r="UCC3" s="120"/>
      <c r="UCD3" s="120"/>
      <c r="UCE3" s="120"/>
      <c r="UCF3" s="120"/>
      <c r="UCG3" s="120"/>
      <c r="UCH3" s="120"/>
      <c r="UCI3" s="120"/>
      <c r="UCJ3" s="120"/>
      <c r="UCK3" s="120"/>
      <c r="UCL3" s="120"/>
      <c r="UCM3" s="120"/>
      <c r="UCN3" s="120"/>
      <c r="UCO3" s="120"/>
      <c r="UCP3" s="120"/>
      <c r="UCQ3" s="120"/>
      <c r="UCR3" s="120"/>
      <c r="UCS3" s="120"/>
      <c r="UCT3" s="120"/>
      <c r="UCU3" s="120"/>
      <c r="UCV3" s="120"/>
      <c r="UCW3" s="120"/>
      <c r="UCX3" s="120"/>
      <c r="UCY3" s="120"/>
      <c r="UCZ3" s="120"/>
      <c r="UDA3" s="120"/>
      <c r="UDB3" s="120"/>
      <c r="UDC3" s="120"/>
      <c r="UDD3" s="120"/>
      <c r="UDE3" s="120"/>
      <c r="UDF3" s="120"/>
      <c r="UDG3" s="120"/>
      <c r="UDH3" s="120"/>
      <c r="UDI3" s="120"/>
      <c r="UDJ3" s="120"/>
      <c r="UDK3" s="120"/>
      <c r="UDL3" s="120"/>
      <c r="UDM3" s="120"/>
      <c r="UDN3" s="120"/>
      <c r="UDO3" s="120"/>
      <c r="UDP3" s="120"/>
      <c r="UDQ3" s="120"/>
      <c r="UDR3" s="120"/>
      <c r="UDS3" s="120"/>
      <c r="UDT3" s="120"/>
      <c r="UDU3" s="120"/>
      <c r="UDV3" s="120"/>
      <c r="UDW3" s="120"/>
      <c r="UDX3" s="120"/>
      <c r="UDY3" s="120"/>
      <c r="UDZ3" s="120"/>
      <c r="UEA3" s="120"/>
      <c r="UEB3" s="120"/>
      <c r="UEC3" s="120"/>
      <c r="UED3" s="120"/>
      <c r="UEE3" s="120"/>
      <c r="UEF3" s="120"/>
      <c r="UEG3" s="120"/>
      <c r="UEH3" s="120"/>
      <c r="UEI3" s="120"/>
      <c r="UEJ3" s="120"/>
      <c r="UEK3" s="120"/>
      <c r="UEL3" s="120"/>
      <c r="UEM3" s="120"/>
      <c r="UEN3" s="120"/>
      <c r="UEO3" s="120"/>
      <c r="UEP3" s="120"/>
      <c r="UEQ3" s="120"/>
      <c r="UER3" s="120"/>
      <c r="UES3" s="120"/>
      <c r="UET3" s="120"/>
      <c r="UEU3" s="120"/>
      <c r="UEV3" s="120"/>
      <c r="UEW3" s="120"/>
      <c r="UEX3" s="120"/>
      <c r="UEY3" s="120"/>
      <c r="UEZ3" s="120"/>
      <c r="UFA3" s="120"/>
      <c r="UFB3" s="120"/>
      <c r="UFC3" s="120"/>
      <c r="UFD3" s="120"/>
      <c r="UFE3" s="120"/>
      <c r="UFF3" s="120"/>
      <c r="UFG3" s="120"/>
      <c r="UFH3" s="120"/>
      <c r="UFI3" s="120"/>
      <c r="UFJ3" s="120"/>
      <c r="UFK3" s="120"/>
      <c r="UFL3" s="120"/>
      <c r="UFM3" s="120"/>
      <c r="UFN3" s="120"/>
      <c r="UFO3" s="120"/>
      <c r="UFP3" s="120"/>
      <c r="UFQ3" s="120"/>
      <c r="UFR3" s="120"/>
      <c r="UFS3" s="120"/>
      <c r="UFT3" s="120"/>
      <c r="UFU3" s="120"/>
      <c r="UFV3" s="120"/>
      <c r="UFW3" s="120"/>
      <c r="UFX3" s="120"/>
      <c r="UFY3" s="120"/>
      <c r="UFZ3" s="120"/>
      <c r="UGA3" s="120"/>
      <c r="UGB3" s="120"/>
      <c r="UGC3" s="120"/>
      <c r="UGD3" s="120"/>
      <c r="UGE3" s="120"/>
      <c r="UGF3" s="120"/>
      <c r="UGG3" s="120"/>
      <c r="UGH3" s="120"/>
      <c r="UGI3" s="120"/>
      <c r="UGJ3" s="120"/>
      <c r="UGK3" s="120"/>
      <c r="UGL3" s="120"/>
      <c r="UGM3" s="120"/>
      <c r="UGN3" s="120"/>
      <c r="UGO3" s="120"/>
      <c r="UGP3" s="120"/>
      <c r="UGQ3" s="120"/>
      <c r="UGR3" s="120"/>
      <c r="UGS3" s="120"/>
      <c r="UGT3" s="120"/>
      <c r="UGU3" s="120"/>
      <c r="UGV3" s="120"/>
      <c r="UGW3" s="120"/>
      <c r="UGX3" s="120"/>
      <c r="UGY3" s="120"/>
      <c r="UGZ3" s="120"/>
      <c r="UHA3" s="120"/>
      <c r="UHB3" s="120"/>
      <c r="UHC3" s="120"/>
      <c r="UHD3" s="120"/>
      <c r="UHE3" s="120"/>
      <c r="UHF3" s="120"/>
      <c r="UHG3" s="120"/>
      <c r="UHH3" s="120"/>
      <c r="UHI3" s="120"/>
      <c r="UHJ3" s="120"/>
      <c r="UHK3" s="120"/>
      <c r="UHL3" s="120"/>
      <c r="UHM3" s="120"/>
      <c r="UHN3" s="120"/>
      <c r="UHO3" s="120"/>
      <c r="UHP3" s="120"/>
      <c r="UHQ3" s="120"/>
      <c r="UHR3" s="120"/>
      <c r="UHS3" s="120"/>
      <c r="UHT3" s="120"/>
      <c r="UHU3" s="120"/>
      <c r="UHV3" s="120"/>
      <c r="UHW3" s="120"/>
      <c r="UHX3" s="120"/>
      <c r="UHY3" s="120"/>
      <c r="UHZ3" s="120"/>
      <c r="UIA3" s="120"/>
      <c r="UIB3" s="120"/>
      <c r="UIC3" s="120"/>
      <c r="UID3" s="120"/>
      <c r="UIE3" s="120"/>
      <c r="UIF3" s="120"/>
      <c r="UIG3" s="120"/>
      <c r="UIH3" s="120"/>
      <c r="UII3" s="120"/>
      <c r="UIJ3" s="120"/>
      <c r="UIK3" s="120"/>
      <c r="UIL3" s="120"/>
      <c r="UIM3" s="120"/>
      <c r="UIN3" s="120"/>
      <c r="UIO3" s="120"/>
      <c r="UIP3" s="120"/>
      <c r="UIQ3" s="120"/>
      <c r="UIR3" s="120"/>
      <c r="UIS3" s="120"/>
      <c r="UIT3" s="120"/>
      <c r="UIU3" s="120"/>
      <c r="UIV3" s="120"/>
      <c r="UIW3" s="120"/>
      <c r="UIX3" s="120"/>
      <c r="UIY3" s="120"/>
      <c r="UIZ3" s="120"/>
      <c r="UJA3" s="120"/>
      <c r="UJB3" s="120"/>
      <c r="UJC3" s="120"/>
      <c r="UJD3" s="120"/>
      <c r="UJE3" s="120"/>
      <c r="UJF3" s="120"/>
      <c r="UJG3" s="120"/>
      <c r="UJH3" s="120"/>
      <c r="UJI3" s="120"/>
      <c r="UJJ3" s="120"/>
      <c r="UJK3" s="120"/>
      <c r="UJL3" s="120"/>
      <c r="UJM3" s="120"/>
      <c r="UJN3" s="120"/>
      <c r="UJO3" s="120"/>
      <c r="UJP3" s="120"/>
      <c r="UJQ3" s="120"/>
      <c r="UJR3" s="120"/>
      <c r="UJS3" s="120"/>
      <c r="UJT3" s="120"/>
      <c r="UJU3" s="120"/>
      <c r="UJV3" s="120"/>
      <c r="UJW3" s="120"/>
      <c r="UJX3" s="120"/>
      <c r="UJY3" s="120"/>
      <c r="UJZ3" s="120"/>
      <c r="UKA3" s="120"/>
      <c r="UKB3" s="120"/>
      <c r="UKC3" s="120"/>
      <c r="UKD3" s="120"/>
      <c r="UKE3" s="120"/>
      <c r="UKF3" s="120"/>
      <c r="UKG3" s="120"/>
      <c r="UKH3" s="120"/>
      <c r="UKI3" s="120"/>
      <c r="UKJ3" s="120"/>
      <c r="UKK3" s="120"/>
      <c r="UKL3" s="120"/>
      <c r="UKM3" s="120"/>
      <c r="UKN3" s="120"/>
      <c r="UKO3" s="120"/>
      <c r="UKP3" s="120"/>
      <c r="UKQ3" s="120"/>
      <c r="UKR3" s="120"/>
      <c r="UKS3" s="120"/>
      <c r="UKT3" s="120"/>
      <c r="UKU3" s="120"/>
      <c r="UKV3" s="120"/>
      <c r="UKW3" s="120"/>
      <c r="UKX3" s="120"/>
      <c r="UKY3" s="120"/>
      <c r="UKZ3" s="120"/>
      <c r="ULA3" s="120"/>
      <c r="ULB3" s="120"/>
      <c r="ULC3" s="120"/>
      <c r="ULD3" s="120"/>
      <c r="ULE3" s="120"/>
      <c r="ULF3" s="120"/>
      <c r="ULG3" s="120"/>
      <c r="ULH3" s="120"/>
      <c r="ULI3" s="120"/>
      <c r="ULJ3" s="120"/>
      <c r="ULK3" s="120"/>
      <c r="ULL3" s="120"/>
      <c r="ULM3" s="120"/>
      <c r="ULN3" s="120"/>
      <c r="ULO3" s="120"/>
      <c r="ULP3" s="120"/>
      <c r="ULQ3" s="120"/>
      <c r="ULR3" s="120"/>
      <c r="ULS3" s="120"/>
      <c r="ULT3" s="120"/>
      <c r="ULU3" s="120"/>
      <c r="ULV3" s="120"/>
      <c r="ULW3" s="120"/>
      <c r="ULX3" s="120"/>
      <c r="ULY3" s="120"/>
      <c r="ULZ3" s="120"/>
      <c r="UMA3" s="120"/>
      <c r="UMB3" s="120"/>
      <c r="UMC3" s="120"/>
      <c r="UMD3" s="120"/>
      <c r="UME3" s="120"/>
      <c r="UMF3" s="120"/>
      <c r="UMG3" s="120"/>
      <c r="UMH3" s="120"/>
      <c r="UMI3" s="120"/>
      <c r="UMJ3" s="120"/>
      <c r="UMK3" s="120"/>
      <c r="UML3" s="120"/>
      <c r="UMM3" s="120"/>
      <c r="UMN3" s="120"/>
      <c r="UMO3" s="120"/>
      <c r="UMP3" s="120"/>
      <c r="UMQ3" s="120"/>
      <c r="UMR3" s="120"/>
      <c r="UMS3" s="120"/>
      <c r="UMT3" s="120"/>
      <c r="UMU3" s="120"/>
      <c r="UMV3" s="120"/>
      <c r="UMW3" s="120"/>
      <c r="UMX3" s="120"/>
      <c r="UMY3" s="120"/>
      <c r="UMZ3" s="120"/>
      <c r="UNA3" s="120"/>
      <c r="UNB3" s="120"/>
      <c r="UNC3" s="120"/>
      <c r="UND3" s="120"/>
      <c r="UNE3" s="120"/>
      <c r="UNF3" s="120"/>
      <c r="UNG3" s="120"/>
      <c r="UNH3" s="120"/>
      <c r="UNI3" s="120"/>
      <c r="UNJ3" s="120"/>
      <c r="UNK3" s="120"/>
      <c r="UNL3" s="120"/>
      <c r="UNM3" s="120"/>
      <c r="UNN3" s="120"/>
      <c r="UNO3" s="120"/>
      <c r="UNP3" s="120"/>
      <c r="UNQ3" s="120"/>
      <c r="UNR3" s="120"/>
      <c r="UNS3" s="120"/>
      <c r="UNT3" s="120"/>
      <c r="UNU3" s="120"/>
      <c r="UNV3" s="120"/>
      <c r="UNW3" s="120"/>
      <c r="UNX3" s="120"/>
      <c r="UNY3" s="120"/>
      <c r="UNZ3" s="120"/>
      <c r="UOA3" s="120"/>
      <c r="UOB3" s="120"/>
      <c r="UOC3" s="120"/>
      <c r="UOD3" s="120"/>
      <c r="UOE3" s="120"/>
      <c r="UOF3" s="120"/>
      <c r="UOG3" s="120"/>
      <c r="UOH3" s="120"/>
      <c r="UOI3" s="120"/>
      <c r="UOJ3" s="120"/>
      <c r="UOK3" s="120"/>
      <c r="UOL3" s="120"/>
      <c r="UOM3" s="120"/>
      <c r="UON3" s="120"/>
      <c r="UOO3" s="120"/>
      <c r="UOP3" s="120"/>
      <c r="UOQ3" s="120"/>
      <c r="UOR3" s="120"/>
      <c r="UOS3" s="120"/>
      <c r="UOT3" s="120"/>
      <c r="UOU3" s="120"/>
      <c r="UOV3" s="120"/>
      <c r="UOW3" s="120"/>
      <c r="UOX3" s="120"/>
      <c r="UOY3" s="120"/>
      <c r="UOZ3" s="120"/>
      <c r="UPA3" s="120"/>
      <c r="UPB3" s="120"/>
      <c r="UPC3" s="120"/>
      <c r="UPD3" s="120"/>
      <c r="UPE3" s="120"/>
      <c r="UPF3" s="120"/>
      <c r="UPG3" s="120"/>
      <c r="UPH3" s="120"/>
      <c r="UPI3" s="120"/>
      <c r="UPJ3" s="120"/>
      <c r="UPK3" s="120"/>
      <c r="UPL3" s="120"/>
      <c r="UPM3" s="120"/>
      <c r="UPN3" s="120"/>
      <c r="UPO3" s="120"/>
      <c r="UPP3" s="120"/>
      <c r="UPQ3" s="120"/>
      <c r="UPR3" s="120"/>
      <c r="UPS3" s="120"/>
      <c r="UPT3" s="120"/>
      <c r="UPU3" s="120"/>
      <c r="UPV3" s="120"/>
      <c r="UPW3" s="120"/>
      <c r="UPX3" s="120"/>
      <c r="UPY3" s="120"/>
      <c r="UPZ3" s="120"/>
      <c r="UQA3" s="120"/>
      <c r="UQB3" s="120"/>
      <c r="UQC3" s="120"/>
      <c r="UQD3" s="120"/>
      <c r="UQE3" s="120"/>
      <c r="UQF3" s="120"/>
      <c r="UQG3" s="120"/>
      <c r="UQH3" s="120"/>
      <c r="UQI3" s="120"/>
      <c r="UQJ3" s="120"/>
      <c r="UQK3" s="120"/>
      <c r="UQL3" s="120"/>
      <c r="UQM3" s="120"/>
      <c r="UQN3" s="120"/>
      <c r="UQO3" s="120"/>
      <c r="UQP3" s="120"/>
      <c r="UQQ3" s="120"/>
      <c r="UQR3" s="120"/>
      <c r="UQS3" s="120"/>
      <c r="UQT3" s="120"/>
      <c r="UQU3" s="120"/>
      <c r="UQV3" s="120"/>
      <c r="UQW3" s="120"/>
      <c r="UQX3" s="120"/>
      <c r="UQY3" s="120"/>
      <c r="UQZ3" s="120"/>
      <c r="URA3" s="120"/>
      <c r="URB3" s="120"/>
      <c r="URC3" s="120"/>
      <c r="URD3" s="120"/>
      <c r="URE3" s="120"/>
      <c r="URF3" s="120"/>
      <c r="URG3" s="120"/>
      <c r="URH3" s="120"/>
      <c r="URI3" s="120"/>
      <c r="URJ3" s="120"/>
      <c r="URK3" s="120"/>
      <c r="URL3" s="120"/>
      <c r="URM3" s="120"/>
      <c r="URN3" s="120"/>
      <c r="URO3" s="120"/>
      <c r="URP3" s="120"/>
      <c r="URQ3" s="120"/>
      <c r="URR3" s="120"/>
      <c r="URS3" s="120"/>
      <c r="URT3" s="120"/>
      <c r="URU3" s="120"/>
      <c r="URV3" s="120"/>
      <c r="URW3" s="120"/>
      <c r="URX3" s="120"/>
      <c r="URY3" s="120"/>
      <c r="URZ3" s="120"/>
      <c r="USA3" s="120"/>
      <c r="USB3" s="120"/>
      <c r="USC3" s="120"/>
      <c r="USD3" s="120"/>
      <c r="USE3" s="120"/>
      <c r="USF3" s="120"/>
      <c r="USG3" s="120"/>
      <c r="USH3" s="120"/>
      <c r="USI3" s="120"/>
      <c r="USJ3" s="120"/>
      <c r="USK3" s="120"/>
      <c r="USL3" s="120"/>
      <c r="USM3" s="120"/>
      <c r="USN3" s="120"/>
      <c r="USO3" s="120"/>
      <c r="USP3" s="120"/>
      <c r="USQ3" s="120"/>
      <c r="USR3" s="120"/>
      <c r="USS3" s="120"/>
      <c r="UST3" s="120"/>
      <c r="USU3" s="120"/>
      <c r="USV3" s="120"/>
      <c r="USW3" s="120"/>
      <c r="USX3" s="120"/>
      <c r="USY3" s="120"/>
      <c r="USZ3" s="120"/>
      <c r="UTA3" s="120"/>
      <c r="UTB3" s="120"/>
      <c r="UTC3" s="120"/>
      <c r="UTD3" s="120"/>
      <c r="UTE3" s="120"/>
      <c r="UTF3" s="120"/>
      <c r="UTG3" s="120"/>
      <c r="UTH3" s="120"/>
      <c r="UTI3" s="120"/>
      <c r="UTJ3" s="120"/>
      <c r="UTK3" s="120"/>
      <c r="UTL3" s="120"/>
      <c r="UTM3" s="120"/>
      <c r="UTN3" s="120"/>
      <c r="UTO3" s="120"/>
      <c r="UTP3" s="120"/>
      <c r="UTQ3" s="120"/>
      <c r="UTR3" s="120"/>
      <c r="UTS3" s="120"/>
      <c r="UTT3" s="120"/>
      <c r="UTU3" s="120"/>
      <c r="UTV3" s="120"/>
      <c r="UTW3" s="120"/>
      <c r="UTX3" s="120"/>
      <c r="UTY3" s="120"/>
      <c r="UTZ3" s="120"/>
      <c r="UUA3" s="120"/>
      <c r="UUB3" s="120"/>
      <c r="UUC3" s="120"/>
      <c r="UUD3" s="120"/>
      <c r="UUE3" s="120"/>
      <c r="UUF3" s="120"/>
      <c r="UUG3" s="120"/>
      <c r="UUH3" s="120"/>
      <c r="UUI3" s="120"/>
      <c r="UUJ3" s="120"/>
      <c r="UUK3" s="120"/>
      <c r="UUL3" s="120"/>
      <c r="UUM3" s="120"/>
      <c r="UUN3" s="120"/>
      <c r="UUO3" s="120"/>
      <c r="UUP3" s="120"/>
      <c r="UUQ3" s="120"/>
      <c r="UUR3" s="120"/>
      <c r="UUS3" s="120"/>
      <c r="UUT3" s="120"/>
      <c r="UUU3" s="120"/>
      <c r="UUV3" s="120"/>
      <c r="UUW3" s="120"/>
      <c r="UUX3" s="120"/>
      <c r="UUY3" s="120"/>
      <c r="UUZ3" s="120"/>
      <c r="UVA3" s="120"/>
      <c r="UVB3" s="120"/>
      <c r="UVC3" s="120"/>
      <c r="UVD3" s="120"/>
      <c r="UVE3" s="120"/>
      <c r="UVF3" s="120"/>
      <c r="UVG3" s="120"/>
      <c r="UVH3" s="120"/>
      <c r="UVI3" s="120"/>
      <c r="UVJ3" s="120"/>
      <c r="UVK3" s="120"/>
      <c r="UVL3" s="120"/>
      <c r="UVM3" s="120"/>
      <c r="UVN3" s="120"/>
      <c r="UVO3" s="120"/>
      <c r="UVP3" s="120"/>
      <c r="UVQ3" s="120"/>
      <c r="UVR3" s="120"/>
      <c r="UVS3" s="120"/>
      <c r="UVT3" s="120"/>
      <c r="UVU3" s="120"/>
      <c r="UVV3" s="120"/>
      <c r="UVW3" s="120"/>
      <c r="UVX3" s="120"/>
      <c r="UVY3" s="120"/>
      <c r="UVZ3" s="120"/>
      <c r="UWA3" s="120"/>
      <c r="UWB3" s="120"/>
      <c r="UWC3" s="120"/>
      <c r="UWD3" s="120"/>
      <c r="UWE3" s="120"/>
      <c r="UWF3" s="120"/>
      <c r="UWG3" s="120"/>
      <c r="UWH3" s="120"/>
      <c r="UWI3" s="120"/>
      <c r="UWJ3" s="120"/>
      <c r="UWK3" s="120"/>
      <c r="UWL3" s="120"/>
      <c r="UWM3" s="120"/>
      <c r="UWN3" s="120"/>
      <c r="UWO3" s="120"/>
      <c r="UWP3" s="120"/>
      <c r="UWQ3" s="120"/>
      <c r="UWR3" s="120"/>
      <c r="UWS3" s="120"/>
      <c r="UWT3" s="120"/>
      <c r="UWU3" s="120"/>
      <c r="UWV3" s="120"/>
      <c r="UWW3" s="120"/>
      <c r="UWX3" s="120"/>
      <c r="UWY3" s="120"/>
      <c r="UWZ3" s="120"/>
      <c r="UXA3" s="120"/>
      <c r="UXB3" s="120"/>
      <c r="UXC3" s="120"/>
      <c r="UXD3" s="120"/>
      <c r="UXE3" s="120"/>
      <c r="UXF3" s="120"/>
      <c r="UXG3" s="120"/>
      <c r="UXH3" s="120"/>
      <c r="UXI3" s="120"/>
      <c r="UXJ3" s="120"/>
      <c r="UXK3" s="120"/>
      <c r="UXL3" s="120"/>
      <c r="UXM3" s="120"/>
      <c r="UXN3" s="120"/>
      <c r="UXO3" s="120"/>
      <c r="UXP3" s="120"/>
      <c r="UXQ3" s="120"/>
      <c r="UXR3" s="120"/>
      <c r="UXS3" s="120"/>
      <c r="UXT3" s="120"/>
      <c r="UXU3" s="120"/>
      <c r="UXV3" s="120"/>
      <c r="UXW3" s="120"/>
      <c r="UXX3" s="120"/>
      <c r="UXY3" s="120"/>
      <c r="UXZ3" s="120"/>
      <c r="UYA3" s="120"/>
      <c r="UYB3" s="120"/>
      <c r="UYC3" s="120"/>
      <c r="UYD3" s="120"/>
      <c r="UYE3" s="120"/>
      <c r="UYF3" s="120"/>
      <c r="UYG3" s="120"/>
      <c r="UYH3" s="120"/>
      <c r="UYI3" s="120"/>
      <c r="UYJ3" s="120"/>
      <c r="UYK3" s="120"/>
      <c r="UYL3" s="120"/>
      <c r="UYM3" s="120"/>
      <c r="UYN3" s="120"/>
      <c r="UYO3" s="120"/>
      <c r="UYP3" s="120"/>
      <c r="UYQ3" s="120"/>
      <c r="UYR3" s="120"/>
      <c r="UYS3" s="120"/>
      <c r="UYT3" s="120"/>
      <c r="UYU3" s="120"/>
      <c r="UYV3" s="120"/>
      <c r="UYW3" s="120"/>
      <c r="UYX3" s="120"/>
      <c r="UYY3" s="120"/>
      <c r="UYZ3" s="120"/>
      <c r="UZA3" s="120"/>
      <c r="UZB3" s="120"/>
      <c r="UZC3" s="120"/>
      <c r="UZD3" s="120"/>
      <c r="UZE3" s="120"/>
      <c r="UZF3" s="120"/>
      <c r="UZG3" s="120"/>
      <c r="UZH3" s="120"/>
      <c r="UZI3" s="120"/>
      <c r="UZJ3" s="120"/>
      <c r="UZK3" s="120"/>
      <c r="UZL3" s="120"/>
      <c r="UZM3" s="120"/>
      <c r="UZN3" s="120"/>
      <c r="UZO3" s="120"/>
      <c r="UZP3" s="120"/>
      <c r="UZQ3" s="120"/>
      <c r="UZR3" s="120"/>
      <c r="UZS3" s="120"/>
      <c r="UZT3" s="120"/>
      <c r="UZU3" s="120"/>
      <c r="UZV3" s="120"/>
      <c r="UZW3" s="120"/>
      <c r="UZX3" s="120"/>
      <c r="UZY3" s="120"/>
      <c r="UZZ3" s="120"/>
      <c r="VAA3" s="120"/>
      <c r="VAB3" s="120"/>
      <c r="VAC3" s="120"/>
      <c r="VAD3" s="120"/>
      <c r="VAE3" s="120"/>
      <c r="VAF3" s="120"/>
      <c r="VAG3" s="120"/>
      <c r="VAH3" s="120"/>
      <c r="VAI3" s="120"/>
      <c r="VAJ3" s="120"/>
      <c r="VAK3" s="120"/>
      <c r="VAL3" s="120"/>
      <c r="VAM3" s="120"/>
      <c r="VAN3" s="120"/>
      <c r="VAO3" s="120"/>
      <c r="VAP3" s="120"/>
      <c r="VAQ3" s="120"/>
      <c r="VAR3" s="120"/>
      <c r="VAS3" s="120"/>
      <c r="VAT3" s="120"/>
      <c r="VAU3" s="120"/>
      <c r="VAV3" s="120"/>
      <c r="VAW3" s="120"/>
      <c r="VAX3" s="120"/>
      <c r="VAY3" s="120"/>
      <c r="VAZ3" s="120"/>
      <c r="VBA3" s="120"/>
      <c r="VBB3" s="120"/>
      <c r="VBC3" s="120"/>
      <c r="VBD3" s="120"/>
      <c r="VBE3" s="120"/>
      <c r="VBF3" s="120"/>
      <c r="VBG3" s="120"/>
      <c r="VBH3" s="120"/>
      <c r="VBI3" s="120"/>
      <c r="VBJ3" s="120"/>
      <c r="VBK3" s="120"/>
      <c r="VBL3" s="120"/>
      <c r="VBM3" s="120"/>
      <c r="VBN3" s="120"/>
      <c r="VBO3" s="120"/>
      <c r="VBP3" s="120"/>
      <c r="VBQ3" s="120"/>
      <c r="VBR3" s="120"/>
      <c r="VBS3" s="120"/>
      <c r="VBT3" s="120"/>
      <c r="VBU3" s="120"/>
      <c r="VBV3" s="120"/>
      <c r="VBW3" s="120"/>
      <c r="VBX3" s="120"/>
      <c r="VBY3" s="120"/>
      <c r="VBZ3" s="120"/>
      <c r="VCA3" s="120"/>
      <c r="VCB3" s="120"/>
      <c r="VCC3" s="120"/>
      <c r="VCD3" s="120"/>
      <c r="VCE3" s="120"/>
      <c r="VCF3" s="120"/>
      <c r="VCG3" s="120"/>
      <c r="VCH3" s="120"/>
      <c r="VCI3" s="120"/>
      <c r="VCJ3" s="120"/>
      <c r="VCK3" s="120"/>
      <c r="VCL3" s="120"/>
      <c r="VCM3" s="120"/>
      <c r="VCN3" s="120"/>
      <c r="VCO3" s="120"/>
      <c r="VCP3" s="120"/>
      <c r="VCQ3" s="120"/>
      <c r="VCR3" s="120"/>
      <c r="VCS3" s="120"/>
      <c r="VCT3" s="120"/>
      <c r="VCU3" s="120"/>
      <c r="VCV3" s="120"/>
      <c r="VCW3" s="120"/>
      <c r="VCX3" s="120"/>
      <c r="VCY3" s="120"/>
      <c r="VCZ3" s="120"/>
      <c r="VDA3" s="120"/>
      <c r="VDB3" s="120"/>
      <c r="VDC3" s="120"/>
      <c r="VDD3" s="120"/>
      <c r="VDE3" s="120"/>
      <c r="VDF3" s="120"/>
      <c r="VDG3" s="120"/>
      <c r="VDH3" s="120"/>
      <c r="VDI3" s="120"/>
      <c r="VDJ3" s="120"/>
      <c r="VDK3" s="120"/>
      <c r="VDL3" s="120"/>
      <c r="VDM3" s="120"/>
      <c r="VDN3" s="120"/>
      <c r="VDO3" s="120"/>
      <c r="VDP3" s="120"/>
      <c r="VDQ3" s="120"/>
      <c r="VDR3" s="120"/>
      <c r="VDS3" s="120"/>
      <c r="VDT3" s="120"/>
      <c r="VDU3" s="120"/>
      <c r="VDV3" s="120"/>
      <c r="VDW3" s="120"/>
      <c r="VDX3" s="120"/>
      <c r="VDY3" s="120"/>
      <c r="VDZ3" s="120"/>
      <c r="VEA3" s="120"/>
      <c r="VEB3" s="120"/>
      <c r="VEC3" s="120"/>
      <c r="VED3" s="120"/>
      <c r="VEE3" s="120"/>
      <c r="VEF3" s="120"/>
      <c r="VEG3" s="120"/>
      <c r="VEH3" s="120"/>
      <c r="VEI3" s="120"/>
      <c r="VEJ3" s="120"/>
      <c r="VEK3" s="120"/>
      <c r="VEL3" s="120"/>
      <c r="VEM3" s="120"/>
      <c r="VEN3" s="120"/>
      <c r="VEO3" s="120"/>
      <c r="VEP3" s="120"/>
      <c r="VEQ3" s="120"/>
      <c r="VER3" s="120"/>
      <c r="VES3" s="120"/>
      <c r="VET3" s="120"/>
      <c r="VEU3" s="120"/>
      <c r="VEV3" s="120"/>
      <c r="VEW3" s="120"/>
      <c r="VEX3" s="120"/>
      <c r="VEY3" s="120"/>
      <c r="VEZ3" s="120"/>
      <c r="VFA3" s="120"/>
      <c r="VFB3" s="120"/>
      <c r="VFC3" s="120"/>
      <c r="VFD3" s="120"/>
      <c r="VFE3" s="120"/>
      <c r="VFF3" s="120"/>
      <c r="VFG3" s="120"/>
      <c r="VFH3" s="120"/>
      <c r="VFI3" s="120"/>
      <c r="VFJ3" s="120"/>
      <c r="VFK3" s="120"/>
      <c r="VFL3" s="120"/>
      <c r="VFM3" s="120"/>
      <c r="VFN3" s="120"/>
      <c r="VFO3" s="120"/>
      <c r="VFP3" s="120"/>
      <c r="VFQ3" s="120"/>
      <c r="VFR3" s="120"/>
      <c r="VFS3" s="120"/>
      <c r="VFT3" s="120"/>
      <c r="VFU3" s="120"/>
      <c r="VFV3" s="120"/>
      <c r="VFW3" s="120"/>
      <c r="VFX3" s="120"/>
      <c r="VFY3" s="120"/>
      <c r="VFZ3" s="120"/>
      <c r="VGA3" s="120"/>
      <c r="VGB3" s="120"/>
      <c r="VGC3" s="120"/>
      <c r="VGD3" s="120"/>
      <c r="VGE3" s="120"/>
      <c r="VGF3" s="120"/>
      <c r="VGG3" s="120"/>
      <c r="VGH3" s="120"/>
      <c r="VGI3" s="120"/>
      <c r="VGJ3" s="120"/>
      <c r="VGK3" s="120"/>
      <c r="VGL3" s="120"/>
      <c r="VGM3" s="120"/>
      <c r="VGN3" s="120"/>
      <c r="VGO3" s="120"/>
      <c r="VGP3" s="120"/>
      <c r="VGQ3" s="120"/>
      <c r="VGR3" s="120"/>
      <c r="VGS3" s="120"/>
      <c r="VGT3" s="120"/>
      <c r="VGU3" s="120"/>
      <c r="VGV3" s="120"/>
      <c r="VGW3" s="120"/>
      <c r="VGX3" s="120"/>
      <c r="VGY3" s="120"/>
      <c r="VGZ3" s="120"/>
      <c r="VHA3" s="120"/>
      <c r="VHB3" s="120"/>
      <c r="VHC3" s="120"/>
      <c r="VHD3" s="120"/>
      <c r="VHE3" s="120"/>
      <c r="VHF3" s="120"/>
      <c r="VHG3" s="120"/>
      <c r="VHH3" s="120"/>
      <c r="VHI3" s="120"/>
      <c r="VHJ3" s="120"/>
      <c r="VHK3" s="120"/>
      <c r="VHL3" s="120"/>
      <c r="VHM3" s="120"/>
      <c r="VHN3" s="120"/>
      <c r="VHO3" s="120"/>
      <c r="VHP3" s="120"/>
      <c r="VHQ3" s="120"/>
      <c r="VHR3" s="120"/>
      <c r="VHS3" s="120"/>
      <c r="VHT3" s="120"/>
      <c r="VHU3" s="120"/>
      <c r="VHV3" s="120"/>
      <c r="VHW3" s="120"/>
      <c r="VHX3" s="120"/>
      <c r="VHY3" s="120"/>
      <c r="VHZ3" s="120"/>
      <c r="VIA3" s="120"/>
      <c r="VIB3" s="120"/>
      <c r="VIC3" s="120"/>
      <c r="VID3" s="120"/>
      <c r="VIE3" s="120"/>
      <c r="VIF3" s="120"/>
      <c r="VIG3" s="120"/>
      <c r="VIH3" s="120"/>
      <c r="VII3" s="120"/>
      <c r="VIJ3" s="120"/>
      <c r="VIK3" s="120"/>
      <c r="VIL3" s="120"/>
      <c r="VIM3" s="120"/>
      <c r="VIN3" s="120"/>
      <c r="VIO3" s="120"/>
      <c r="VIP3" s="120"/>
      <c r="VIQ3" s="120"/>
      <c r="VIR3" s="120"/>
      <c r="VIS3" s="120"/>
      <c r="VIT3" s="120"/>
      <c r="VIU3" s="120"/>
      <c r="VIV3" s="120"/>
      <c r="VIW3" s="120"/>
      <c r="VIX3" s="120"/>
      <c r="VIY3" s="120"/>
      <c r="VIZ3" s="120"/>
      <c r="VJA3" s="120"/>
      <c r="VJB3" s="120"/>
      <c r="VJC3" s="120"/>
      <c r="VJD3" s="120"/>
      <c r="VJE3" s="120"/>
      <c r="VJF3" s="120"/>
      <c r="VJG3" s="120"/>
      <c r="VJH3" s="120"/>
      <c r="VJI3" s="120"/>
      <c r="VJJ3" s="120"/>
      <c r="VJK3" s="120"/>
      <c r="VJL3" s="120"/>
      <c r="VJM3" s="120"/>
      <c r="VJN3" s="120"/>
      <c r="VJO3" s="120"/>
      <c r="VJP3" s="120"/>
      <c r="VJQ3" s="120"/>
      <c r="VJR3" s="120"/>
      <c r="VJS3" s="120"/>
      <c r="VJT3" s="120"/>
      <c r="VJU3" s="120"/>
      <c r="VJV3" s="120"/>
      <c r="VJW3" s="120"/>
      <c r="VJX3" s="120"/>
      <c r="VJY3" s="120"/>
      <c r="VJZ3" s="120"/>
      <c r="VKA3" s="120"/>
      <c r="VKB3" s="120"/>
      <c r="VKC3" s="120"/>
      <c r="VKD3" s="120"/>
      <c r="VKE3" s="120"/>
      <c r="VKF3" s="120"/>
      <c r="VKG3" s="120"/>
      <c r="VKH3" s="120"/>
      <c r="VKI3" s="120"/>
      <c r="VKJ3" s="120"/>
      <c r="VKK3" s="120"/>
      <c r="VKL3" s="120"/>
      <c r="VKM3" s="120"/>
      <c r="VKN3" s="120"/>
      <c r="VKO3" s="120"/>
      <c r="VKP3" s="120"/>
      <c r="VKQ3" s="120"/>
      <c r="VKR3" s="120"/>
      <c r="VKS3" s="120"/>
      <c r="VKT3" s="120"/>
      <c r="VKU3" s="120"/>
      <c r="VKV3" s="120"/>
      <c r="VKW3" s="120"/>
      <c r="VKX3" s="120"/>
      <c r="VKY3" s="120"/>
      <c r="VKZ3" s="120"/>
      <c r="VLA3" s="120"/>
      <c r="VLB3" s="120"/>
      <c r="VLC3" s="120"/>
      <c r="VLD3" s="120"/>
      <c r="VLE3" s="120"/>
      <c r="VLF3" s="120"/>
      <c r="VLG3" s="120"/>
      <c r="VLH3" s="120"/>
      <c r="VLI3" s="120"/>
      <c r="VLJ3" s="120"/>
      <c r="VLK3" s="120"/>
      <c r="VLL3" s="120"/>
      <c r="VLM3" s="120"/>
      <c r="VLN3" s="120"/>
      <c r="VLO3" s="120"/>
      <c r="VLP3" s="120"/>
      <c r="VLQ3" s="120"/>
      <c r="VLR3" s="120"/>
      <c r="VLS3" s="120"/>
      <c r="VLT3" s="120"/>
      <c r="VLU3" s="120"/>
      <c r="VLV3" s="120"/>
      <c r="VLW3" s="120"/>
      <c r="VLX3" s="120"/>
      <c r="VLY3" s="120"/>
      <c r="VLZ3" s="120"/>
      <c r="VMA3" s="120"/>
      <c r="VMB3" s="120"/>
      <c r="VMC3" s="120"/>
      <c r="VMD3" s="120"/>
      <c r="VME3" s="120"/>
      <c r="VMF3" s="120"/>
      <c r="VMG3" s="120"/>
      <c r="VMH3" s="120"/>
      <c r="VMI3" s="120"/>
      <c r="VMJ3" s="120"/>
      <c r="VMK3" s="120"/>
      <c r="VML3" s="120"/>
      <c r="VMM3" s="120"/>
      <c r="VMN3" s="120"/>
      <c r="VMO3" s="120"/>
      <c r="VMP3" s="120"/>
      <c r="VMQ3" s="120"/>
      <c r="VMR3" s="120"/>
      <c r="VMS3" s="120"/>
      <c r="VMT3" s="120"/>
      <c r="VMU3" s="120"/>
      <c r="VMV3" s="120"/>
      <c r="VMW3" s="120"/>
      <c r="VMX3" s="120"/>
      <c r="VMY3" s="120"/>
      <c r="VMZ3" s="120"/>
      <c r="VNA3" s="120"/>
      <c r="VNB3" s="120"/>
      <c r="VNC3" s="120"/>
      <c r="VND3" s="120"/>
      <c r="VNE3" s="120"/>
      <c r="VNF3" s="120"/>
      <c r="VNG3" s="120"/>
      <c r="VNH3" s="120"/>
      <c r="VNI3" s="120"/>
      <c r="VNJ3" s="120"/>
      <c r="VNK3" s="120"/>
      <c r="VNL3" s="120"/>
      <c r="VNM3" s="120"/>
      <c r="VNN3" s="120"/>
      <c r="VNO3" s="120"/>
      <c r="VNP3" s="120"/>
      <c r="VNQ3" s="120"/>
      <c r="VNR3" s="120"/>
      <c r="VNS3" s="120"/>
      <c r="VNT3" s="120"/>
      <c r="VNU3" s="120"/>
      <c r="VNV3" s="120"/>
      <c r="VNW3" s="120"/>
      <c r="VNX3" s="120"/>
      <c r="VNY3" s="120"/>
      <c r="VNZ3" s="120"/>
      <c r="VOA3" s="120"/>
      <c r="VOB3" s="120"/>
      <c r="VOC3" s="120"/>
      <c r="VOD3" s="120"/>
      <c r="VOE3" s="120"/>
      <c r="VOF3" s="120"/>
      <c r="VOG3" s="120"/>
      <c r="VOH3" s="120"/>
      <c r="VOI3" s="120"/>
      <c r="VOJ3" s="120"/>
      <c r="VOK3" s="120"/>
      <c r="VOL3" s="120"/>
      <c r="VOM3" s="120"/>
      <c r="VON3" s="120"/>
      <c r="VOO3" s="120"/>
      <c r="VOP3" s="120"/>
      <c r="VOQ3" s="120"/>
      <c r="VOR3" s="120"/>
      <c r="VOS3" s="120"/>
      <c r="VOT3" s="120"/>
      <c r="VOU3" s="120"/>
      <c r="VOV3" s="120"/>
      <c r="VOW3" s="120"/>
      <c r="VOX3" s="120"/>
      <c r="VOY3" s="120"/>
      <c r="VOZ3" s="120"/>
      <c r="VPA3" s="120"/>
      <c r="VPB3" s="120"/>
      <c r="VPC3" s="120"/>
      <c r="VPD3" s="120"/>
      <c r="VPE3" s="120"/>
      <c r="VPF3" s="120"/>
      <c r="VPG3" s="120"/>
      <c r="VPH3" s="120"/>
      <c r="VPI3" s="120"/>
      <c r="VPJ3" s="120"/>
      <c r="VPK3" s="120"/>
      <c r="VPL3" s="120"/>
      <c r="VPM3" s="120"/>
      <c r="VPN3" s="120"/>
      <c r="VPO3" s="120"/>
      <c r="VPP3" s="120"/>
      <c r="VPQ3" s="120"/>
      <c r="VPR3" s="120"/>
      <c r="VPS3" s="120"/>
      <c r="VPT3" s="120"/>
      <c r="VPU3" s="120"/>
      <c r="VPV3" s="120"/>
      <c r="VPW3" s="120"/>
      <c r="VPX3" s="120"/>
      <c r="VPY3" s="120"/>
      <c r="VPZ3" s="120"/>
      <c r="VQA3" s="120"/>
      <c r="VQB3" s="120"/>
      <c r="VQC3" s="120"/>
      <c r="VQD3" s="120"/>
      <c r="VQE3" s="120"/>
      <c r="VQF3" s="120"/>
      <c r="VQG3" s="120"/>
      <c r="VQH3" s="120"/>
      <c r="VQI3" s="120"/>
      <c r="VQJ3" s="120"/>
      <c r="VQK3" s="120"/>
      <c r="VQL3" s="120"/>
      <c r="VQM3" s="120"/>
      <c r="VQN3" s="120"/>
      <c r="VQO3" s="120"/>
      <c r="VQP3" s="120"/>
      <c r="VQQ3" s="120"/>
      <c r="VQR3" s="120"/>
      <c r="VQS3" s="120"/>
      <c r="VQT3" s="120"/>
      <c r="VQU3" s="120"/>
      <c r="VQV3" s="120"/>
      <c r="VQW3" s="120"/>
      <c r="VQX3" s="120"/>
      <c r="VQY3" s="120"/>
      <c r="VQZ3" s="120"/>
      <c r="VRA3" s="120"/>
      <c r="VRB3" s="120"/>
      <c r="VRC3" s="120"/>
      <c r="VRD3" s="120"/>
      <c r="VRE3" s="120"/>
      <c r="VRF3" s="120"/>
      <c r="VRG3" s="120"/>
      <c r="VRH3" s="120"/>
      <c r="VRI3" s="120"/>
      <c r="VRJ3" s="120"/>
      <c r="VRK3" s="120"/>
      <c r="VRL3" s="120"/>
      <c r="VRM3" s="120"/>
      <c r="VRN3" s="120"/>
      <c r="VRO3" s="120"/>
      <c r="VRP3" s="120"/>
      <c r="VRQ3" s="120"/>
      <c r="VRR3" s="120"/>
      <c r="VRS3" s="120"/>
      <c r="VRT3" s="120"/>
      <c r="VRU3" s="120"/>
      <c r="VRV3" s="120"/>
      <c r="VRW3" s="120"/>
      <c r="VRX3" s="120"/>
      <c r="VRY3" s="120"/>
      <c r="VRZ3" s="120"/>
      <c r="VSA3" s="120"/>
      <c r="VSB3" s="120"/>
      <c r="VSC3" s="120"/>
      <c r="VSD3" s="120"/>
      <c r="VSE3" s="120"/>
      <c r="VSF3" s="120"/>
      <c r="VSG3" s="120"/>
      <c r="VSH3" s="120"/>
      <c r="VSI3" s="120"/>
      <c r="VSJ3" s="120"/>
      <c r="VSK3" s="120"/>
      <c r="VSL3" s="120"/>
      <c r="VSM3" s="120"/>
      <c r="VSN3" s="120"/>
      <c r="VSO3" s="120"/>
      <c r="VSP3" s="120"/>
      <c r="VSQ3" s="120"/>
      <c r="VSR3" s="120"/>
      <c r="VSS3" s="120"/>
      <c r="VST3" s="120"/>
      <c r="VSU3" s="120"/>
      <c r="VSV3" s="120"/>
      <c r="VSW3" s="120"/>
      <c r="VSX3" s="120"/>
      <c r="VSY3" s="120"/>
      <c r="VSZ3" s="120"/>
      <c r="VTA3" s="120"/>
      <c r="VTB3" s="120"/>
      <c r="VTC3" s="120"/>
      <c r="VTD3" s="120"/>
      <c r="VTE3" s="120"/>
      <c r="VTF3" s="120"/>
      <c r="VTG3" s="120"/>
      <c r="VTH3" s="120"/>
      <c r="VTI3" s="120"/>
      <c r="VTJ3" s="120"/>
      <c r="VTK3" s="120"/>
      <c r="VTL3" s="120"/>
      <c r="VTM3" s="120"/>
      <c r="VTN3" s="120"/>
      <c r="VTO3" s="120"/>
      <c r="VTP3" s="120"/>
      <c r="VTQ3" s="120"/>
      <c r="VTR3" s="120"/>
      <c r="VTS3" s="120"/>
      <c r="VTT3" s="120"/>
      <c r="VTU3" s="120"/>
      <c r="VTV3" s="120"/>
      <c r="VTW3" s="120"/>
      <c r="VTX3" s="120"/>
      <c r="VTY3" s="120"/>
      <c r="VTZ3" s="120"/>
      <c r="VUA3" s="120"/>
      <c r="VUB3" s="120"/>
      <c r="VUC3" s="120"/>
      <c r="VUD3" s="120"/>
      <c r="VUE3" s="120"/>
      <c r="VUF3" s="120"/>
      <c r="VUG3" s="120"/>
      <c r="VUH3" s="120"/>
      <c r="VUI3" s="120"/>
      <c r="VUJ3" s="120"/>
      <c r="VUK3" s="120"/>
      <c r="VUL3" s="120"/>
      <c r="VUM3" s="120"/>
      <c r="VUN3" s="120"/>
      <c r="VUO3" s="120"/>
      <c r="VUP3" s="120"/>
      <c r="VUQ3" s="120"/>
      <c r="VUR3" s="120"/>
      <c r="VUS3" s="120"/>
      <c r="VUT3" s="120"/>
      <c r="VUU3" s="120"/>
      <c r="VUV3" s="120"/>
      <c r="VUW3" s="120"/>
      <c r="VUX3" s="120"/>
      <c r="VUY3" s="120"/>
      <c r="VUZ3" s="120"/>
      <c r="VVA3" s="120"/>
      <c r="VVB3" s="120"/>
      <c r="VVC3" s="120"/>
      <c r="VVD3" s="120"/>
      <c r="VVE3" s="120"/>
      <c r="VVF3" s="120"/>
      <c r="VVG3" s="120"/>
      <c r="VVH3" s="120"/>
      <c r="VVI3" s="120"/>
      <c r="VVJ3" s="120"/>
      <c r="VVK3" s="120"/>
      <c r="VVL3" s="120"/>
      <c r="VVM3" s="120"/>
      <c r="VVN3" s="120"/>
      <c r="VVO3" s="120"/>
      <c r="VVP3" s="120"/>
      <c r="VVQ3" s="120"/>
      <c r="VVR3" s="120"/>
      <c r="VVS3" s="120"/>
      <c r="VVT3" s="120"/>
      <c r="VVU3" s="120"/>
      <c r="VVV3" s="120"/>
      <c r="VVW3" s="120"/>
      <c r="VVX3" s="120"/>
      <c r="VVY3" s="120"/>
      <c r="VVZ3" s="120"/>
      <c r="VWA3" s="120"/>
      <c r="VWB3" s="120"/>
      <c r="VWC3" s="120"/>
      <c r="VWD3" s="120"/>
      <c r="VWE3" s="120"/>
      <c r="VWF3" s="120"/>
      <c r="VWG3" s="120"/>
      <c r="VWH3" s="120"/>
      <c r="VWI3" s="120"/>
      <c r="VWJ3" s="120"/>
      <c r="VWK3" s="120"/>
      <c r="VWL3" s="120"/>
      <c r="VWM3" s="120"/>
      <c r="VWN3" s="120"/>
      <c r="VWO3" s="120"/>
      <c r="VWP3" s="120"/>
      <c r="VWQ3" s="120"/>
      <c r="VWR3" s="120"/>
      <c r="VWS3" s="120"/>
      <c r="VWT3" s="120"/>
      <c r="VWU3" s="120"/>
      <c r="VWV3" s="120"/>
      <c r="VWW3" s="120"/>
      <c r="VWX3" s="120"/>
      <c r="VWY3" s="120"/>
      <c r="VWZ3" s="120"/>
      <c r="VXA3" s="120"/>
      <c r="VXB3" s="120"/>
      <c r="VXC3" s="120"/>
      <c r="VXD3" s="120"/>
      <c r="VXE3" s="120"/>
      <c r="VXF3" s="120"/>
      <c r="VXG3" s="120"/>
      <c r="VXH3" s="120"/>
      <c r="VXI3" s="120"/>
      <c r="VXJ3" s="120"/>
      <c r="VXK3" s="120"/>
      <c r="VXL3" s="120"/>
      <c r="VXM3" s="120"/>
      <c r="VXN3" s="120"/>
      <c r="VXO3" s="120"/>
      <c r="VXP3" s="120"/>
      <c r="VXQ3" s="120"/>
      <c r="VXR3" s="120"/>
      <c r="VXS3" s="120"/>
      <c r="VXT3" s="120"/>
      <c r="VXU3" s="120"/>
      <c r="VXV3" s="120"/>
      <c r="VXW3" s="120"/>
      <c r="VXX3" s="120"/>
      <c r="VXY3" s="120"/>
      <c r="VXZ3" s="120"/>
      <c r="VYA3" s="120"/>
      <c r="VYB3" s="120"/>
      <c r="VYC3" s="120"/>
      <c r="VYD3" s="120"/>
      <c r="VYE3" s="120"/>
      <c r="VYF3" s="120"/>
      <c r="VYG3" s="120"/>
      <c r="VYH3" s="120"/>
      <c r="VYI3" s="120"/>
      <c r="VYJ3" s="120"/>
      <c r="VYK3" s="120"/>
      <c r="VYL3" s="120"/>
      <c r="VYM3" s="120"/>
      <c r="VYN3" s="120"/>
      <c r="VYO3" s="120"/>
      <c r="VYP3" s="120"/>
      <c r="VYQ3" s="120"/>
      <c r="VYR3" s="120"/>
      <c r="VYS3" s="120"/>
      <c r="VYT3" s="120"/>
      <c r="VYU3" s="120"/>
      <c r="VYV3" s="120"/>
      <c r="VYW3" s="120"/>
      <c r="VYX3" s="120"/>
      <c r="VYY3" s="120"/>
      <c r="VYZ3" s="120"/>
      <c r="VZA3" s="120"/>
      <c r="VZB3" s="120"/>
      <c r="VZC3" s="120"/>
      <c r="VZD3" s="120"/>
      <c r="VZE3" s="120"/>
      <c r="VZF3" s="120"/>
      <c r="VZG3" s="120"/>
      <c r="VZH3" s="120"/>
      <c r="VZI3" s="120"/>
      <c r="VZJ3" s="120"/>
      <c r="VZK3" s="120"/>
      <c r="VZL3" s="120"/>
      <c r="VZM3" s="120"/>
      <c r="VZN3" s="120"/>
      <c r="VZO3" s="120"/>
      <c r="VZP3" s="120"/>
      <c r="VZQ3" s="120"/>
      <c r="VZR3" s="120"/>
      <c r="VZS3" s="120"/>
      <c r="VZT3" s="120"/>
      <c r="VZU3" s="120"/>
      <c r="VZV3" s="120"/>
      <c r="VZW3" s="120"/>
      <c r="VZX3" s="120"/>
      <c r="VZY3" s="120"/>
      <c r="VZZ3" s="120"/>
      <c r="WAA3" s="120"/>
      <c r="WAB3" s="120"/>
      <c r="WAC3" s="120"/>
      <c r="WAD3" s="120"/>
      <c r="WAE3" s="120"/>
      <c r="WAF3" s="120"/>
      <c r="WAG3" s="120"/>
      <c r="WAH3" s="120"/>
      <c r="WAI3" s="120"/>
      <c r="WAJ3" s="120"/>
      <c r="WAK3" s="120"/>
      <c r="WAL3" s="120"/>
      <c r="WAM3" s="120"/>
      <c r="WAN3" s="120"/>
      <c r="WAO3" s="120"/>
      <c r="WAP3" s="120"/>
      <c r="WAQ3" s="120"/>
      <c r="WAR3" s="120"/>
      <c r="WAS3" s="120"/>
      <c r="WAT3" s="120"/>
      <c r="WAU3" s="120"/>
      <c r="WAV3" s="120"/>
      <c r="WAW3" s="120"/>
      <c r="WAX3" s="120"/>
      <c r="WAY3" s="120"/>
      <c r="WAZ3" s="120"/>
      <c r="WBA3" s="120"/>
      <c r="WBB3" s="120"/>
      <c r="WBC3" s="120"/>
      <c r="WBD3" s="120"/>
      <c r="WBE3" s="120"/>
      <c r="WBF3" s="120"/>
      <c r="WBG3" s="120"/>
      <c r="WBH3" s="120"/>
      <c r="WBI3" s="120"/>
      <c r="WBJ3" s="120"/>
      <c r="WBK3" s="120"/>
      <c r="WBL3" s="120"/>
      <c r="WBM3" s="120"/>
      <c r="WBN3" s="120"/>
      <c r="WBO3" s="120"/>
      <c r="WBP3" s="120"/>
      <c r="WBQ3" s="120"/>
      <c r="WBR3" s="120"/>
      <c r="WBS3" s="120"/>
      <c r="WBT3" s="120"/>
      <c r="WBU3" s="120"/>
      <c r="WBV3" s="120"/>
      <c r="WBW3" s="120"/>
      <c r="WBX3" s="120"/>
      <c r="WBY3" s="120"/>
      <c r="WBZ3" s="120"/>
      <c r="WCA3" s="120"/>
      <c r="WCB3" s="120"/>
      <c r="WCC3" s="120"/>
      <c r="WCD3" s="120"/>
      <c r="WCE3" s="120"/>
      <c r="WCF3" s="120"/>
      <c r="WCG3" s="120"/>
      <c r="WCH3" s="120"/>
      <c r="WCI3" s="120"/>
      <c r="WCJ3" s="120"/>
      <c r="WCK3" s="120"/>
      <c r="WCL3" s="120"/>
      <c r="WCM3" s="120"/>
      <c r="WCN3" s="120"/>
      <c r="WCO3" s="120"/>
      <c r="WCP3" s="120"/>
      <c r="WCQ3" s="120"/>
      <c r="WCR3" s="120"/>
      <c r="WCS3" s="120"/>
      <c r="WCT3" s="120"/>
      <c r="WCU3" s="120"/>
      <c r="WCV3" s="120"/>
      <c r="WCW3" s="120"/>
      <c r="WCX3" s="120"/>
      <c r="WCY3" s="120"/>
      <c r="WCZ3" s="120"/>
      <c r="WDA3" s="120"/>
      <c r="WDB3" s="120"/>
      <c r="WDC3" s="120"/>
      <c r="WDD3" s="120"/>
      <c r="WDE3" s="120"/>
      <c r="WDF3" s="120"/>
      <c r="WDG3" s="120"/>
      <c r="WDH3" s="120"/>
      <c r="WDI3" s="120"/>
      <c r="WDJ3" s="120"/>
      <c r="WDK3" s="120"/>
      <c r="WDL3" s="120"/>
      <c r="WDM3" s="120"/>
      <c r="WDN3" s="120"/>
      <c r="WDO3" s="120"/>
      <c r="WDP3" s="120"/>
      <c r="WDQ3" s="120"/>
      <c r="WDR3" s="120"/>
      <c r="WDS3" s="120"/>
      <c r="WDT3" s="120"/>
      <c r="WDU3" s="120"/>
      <c r="WDV3" s="120"/>
      <c r="WDW3" s="120"/>
      <c r="WDX3" s="120"/>
      <c r="WDY3" s="120"/>
      <c r="WDZ3" s="120"/>
      <c r="WEA3" s="120"/>
      <c r="WEB3" s="120"/>
      <c r="WEC3" s="120"/>
      <c r="WED3" s="120"/>
      <c r="WEE3" s="120"/>
      <c r="WEF3" s="120"/>
      <c r="WEG3" s="120"/>
      <c r="WEH3" s="120"/>
      <c r="WEI3" s="120"/>
      <c r="WEJ3" s="120"/>
      <c r="WEK3" s="120"/>
      <c r="WEL3" s="120"/>
      <c r="WEM3" s="120"/>
      <c r="WEN3" s="120"/>
      <c r="WEO3" s="120"/>
      <c r="WEP3" s="120"/>
      <c r="WEQ3" s="120"/>
      <c r="WER3" s="120"/>
      <c r="WES3" s="120"/>
      <c r="WET3" s="120"/>
      <c r="WEU3" s="120"/>
      <c r="WEV3" s="120"/>
      <c r="WEW3" s="120"/>
      <c r="WEX3" s="120"/>
      <c r="WEY3" s="120"/>
      <c r="WEZ3" s="120"/>
      <c r="WFA3" s="120"/>
      <c r="WFB3" s="120"/>
      <c r="WFC3" s="120"/>
      <c r="WFD3" s="120"/>
      <c r="WFE3" s="120"/>
      <c r="WFF3" s="120"/>
      <c r="WFG3" s="120"/>
      <c r="WFH3" s="120"/>
      <c r="WFI3" s="120"/>
      <c r="WFJ3" s="120"/>
      <c r="WFK3" s="120"/>
      <c r="WFL3" s="120"/>
      <c r="WFM3" s="120"/>
      <c r="WFN3" s="120"/>
      <c r="WFO3" s="120"/>
      <c r="WFP3" s="120"/>
      <c r="WFQ3" s="120"/>
      <c r="WFR3" s="120"/>
      <c r="WFS3" s="120"/>
      <c r="WFT3" s="120"/>
      <c r="WFU3" s="120"/>
      <c r="WFV3" s="120"/>
      <c r="WFW3" s="120"/>
      <c r="WFX3" s="120"/>
      <c r="WFY3" s="120"/>
      <c r="WFZ3" s="120"/>
      <c r="WGA3" s="120"/>
      <c r="WGB3" s="120"/>
      <c r="WGC3" s="120"/>
      <c r="WGD3" s="120"/>
      <c r="WGE3" s="120"/>
      <c r="WGF3" s="120"/>
      <c r="WGG3" s="120"/>
      <c r="WGH3" s="120"/>
      <c r="WGI3" s="120"/>
      <c r="WGJ3" s="120"/>
      <c r="WGK3" s="120"/>
      <c r="WGL3" s="120"/>
      <c r="WGM3" s="120"/>
      <c r="WGN3" s="120"/>
      <c r="WGO3" s="120"/>
      <c r="WGP3" s="120"/>
      <c r="WGQ3" s="120"/>
      <c r="WGR3" s="120"/>
      <c r="WGS3" s="120"/>
      <c r="WGT3" s="120"/>
      <c r="WGU3" s="120"/>
      <c r="WGV3" s="120"/>
      <c r="WGW3" s="120"/>
      <c r="WGX3" s="120"/>
      <c r="WGY3" s="120"/>
      <c r="WGZ3" s="120"/>
      <c r="WHA3" s="120"/>
      <c r="WHB3" s="120"/>
      <c r="WHC3" s="120"/>
      <c r="WHD3" s="120"/>
      <c r="WHE3" s="120"/>
      <c r="WHF3" s="120"/>
      <c r="WHG3" s="120"/>
      <c r="WHH3" s="120"/>
      <c r="WHI3" s="120"/>
      <c r="WHJ3" s="120"/>
      <c r="WHK3" s="120"/>
      <c r="WHL3" s="120"/>
      <c r="WHM3" s="120"/>
      <c r="WHN3" s="120"/>
      <c r="WHO3" s="120"/>
      <c r="WHP3" s="120"/>
      <c r="WHQ3" s="120"/>
      <c r="WHR3" s="120"/>
      <c r="WHS3" s="120"/>
      <c r="WHT3" s="120"/>
      <c r="WHU3" s="120"/>
      <c r="WHV3" s="120"/>
      <c r="WHW3" s="120"/>
      <c r="WHX3" s="120"/>
      <c r="WHY3" s="120"/>
      <c r="WHZ3" s="120"/>
      <c r="WIA3" s="120"/>
      <c r="WIB3" s="120"/>
      <c r="WIC3" s="120"/>
      <c r="WID3" s="120"/>
      <c r="WIE3" s="120"/>
      <c r="WIF3" s="120"/>
      <c r="WIG3" s="120"/>
      <c r="WIH3" s="120"/>
      <c r="WII3" s="120"/>
      <c r="WIJ3" s="120"/>
      <c r="WIK3" s="120"/>
      <c r="WIL3" s="120"/>
      <c r="WIM3" s="120"/>
      <c r="WIN3" s="120"/>
      <c r="WIO3" s="120"/>
      <c r="WIP3" s="120"/>
      <c r="WIQ3" s="120"/>
      <c r="WIR3" s="120"/>
      <c r="WIS3" s="120"/>
      <c r="WIT3" s="120"/>
      <c r="WIU3" s="120"/>
      <c r="WIV3" s="120"/>
      <c r="WIW3" s="120"/>
      <c r="WIX3" s="120"/>
      <c r="WIY3" s="120"/>
      <c r="WIZ3" s="120"/>
      <c r="WJA3" s="120"/>
      <c r="WJB3" s="120"/>
      <c r="WJC3" s="120"/>
      <c r="WJD3" s="120"/>
      <c r="WJE3" s="120"/>
      <c r="WJF3" s="120"/>
      <c r="WJG3" s="120"/>
      <c r="WJH3" s="120"/>
      <c r="WJI3" s="120"/>
      <c r="WJJ3" s="120"/>
      <c r="WJK3" s="120"/>
      <c r="WJL3" s="120"/>
      <c r="WJM3" s="120"/>
      <c r="WJN3" s="120"/>
      <c r="WJO3" s="120"/>
      <c r="WJP3" s="120"/>
      <c r="WJQ3" s="120"/>
      <c r="WJR3" s="120"/>
      <c r="WJS3" s="120"/>
      <c r="WJT3" s="120"/>
      <c r="WJU3" s="120"/>
      <c r="WJV3" s="120"/>
      <c r="WJW3" s="120"/>
      <c r="WJX3" s="120"/>
      <c r="WJY3" s="120"/>
      <c r="WJZ3" s="120"/>
      <c r="WKA3" s="120"/>
      <c r="WKB3" s="120"/>
      <c r="WKC3" s="120"/>
      <c r="WKD3" s="120"/>
      <c r="WKE3" s="120"/>
      <c r="WKF3" s="120"/>
      <c r="WKG3" s="120"/>
      <c r="WKH3" s="120"/>
      <c r="WKI3" s="120"/>
      <c r="WKJ3" s="120"/>
      <c r="WKK3" s="120"/>
      <c r="WKL3" s="120"/>
      <c r="WKM3" s="120"/>
      <c r="WKN3" s="120"/>
      <c r="WKO3" s="120"/>
      <c r="WKP3" s="120"/>
      <c r="WKQ3" s="120"/>
      <c r="WKR3" s="120"/>
      <c r="WKS3" s="120"/>
      <c r="WKT3" s="120"/>
      <c r="WKU3" s="120"/>
      <c r="WKV3" s="120"/>
      <c r="WKW3" s="120"/>
      <c r="WKX3" s="120"/>
      <c r="WKY3" s="120"/>
      <c r="WKZ3" s="120"/>
      <c r="WLA3" s="120"/>
      <c r="WLB3" s="120"/>
      <c r="WLC3" s="120"/>
      <c r="WLD3" s="120"/>
      <c r="WLE3" s="120"/>
      <c r="WLF3" s="120"/>
      <c r="WLG3" s="120"/>
      <c r="WLH3" s="120"/>
      <c r="WLI3" s="120"/>
      <c r="WLJ3" s="120"/>
      <c r="WLK3" s="120"/>
      <c r="WLL3" s="120"/>
      <c r="WLM3" s="120"/>
      <c r="WLN3" s="120"/>
      <c r="WLO3" s="120"/>
      <c r="WLP3" s="120"/>
      <c r="WLQ3" s="120"/>
      <c r="WLR3" s="120"/>
      <c r="WLS3" s="120"/>
      <c r="WLT3" s="120"/>
      <c r="WLU3" s="120"/>
      <c r="WLV3" s="120"/>
      <c r="WLW3" s="120"/>
      <c r="WLX3" s="120"/>
      <c r="WLY3" s="120"/>
      <c r="WLZ3" s="120"/>
      <c r="WMA3" s="120"/>
      <c r="WMB3" s="120"/>
      <c r="WMC3" s="120"/>
      <c r="WMD3" s="120"/>
      <c r="WME3" s="120"/>
      <c r="WMF3" s="120"/>
      <c r="WMG3" s="120"/>
      <c r="WMH3" s="120"/>
      <c r="WMI3" s="120"/>
      <c r="WMJ3" s="120"/>
      <c r="WMK3" s="120"/>
      <c r="WML3" s="120"/>
      <c r="WMM3" s="120"/>
      <c r="WMN3" s="120"/>
      <c r="WMO3" s="120"/>
      <c r="WMP3" s="120"/>
      <c r="WMQ3" s="120"/>
      <c r="WMR3" s="120"/>
      <c r="WMS3" s="120"/>
      <c r="WMT3" s="120"/>
      <c r="WMU3" s="120"/>
      <c r="WMV3" s="120"/>
      <c r="WMW3" s="120"/>
      <c r="WMX3" s="120"/>
      <c r="WMY3" s="120"/>
      <c r="WMZ3" s="120"/>
      <c r="WNA3" s="120"/>
      <c r="WNB3" s="120"/>
      <c r="WNC3" s="120"/>
      <c r="WND3" s="120"/>
      <c r="WNE3" s="120"/>
      <c r="WNF3" s="120"/>
      <c r="WNG3" s="120"/>
      <c r="WNH3" s="120"/>
      <c r="WNI3" s="120"/>
      <c r="WNJ3" s="120"/>
      <c r="WNK3" s="120"/>
      <c r="WNL3" s="120"/>
      <c r="WNM3" s="120"/>
      <c r="WNN3" s="120"/>
      <c r="WNO3" s="120"/>
      <c r="WNP3" s="120"/>
      <c r="WNQ3" s="120"/>
      <c r="WNR3" s="120"/>
      <c r="WNS3" s="120"/>
      <c r="WNT3" s="120"/>
      <c r="WNU3" s="120"/>
      <c r="WNV3" s="120"/>
      <c r="WNW3" s="120"/>
      <c r="WNX3" s="120"/>
      <c r="WNY3" s="120"/>
      <c r="WNZ3" s="120"/>
      <c r="WOA3" s="120"/>
      <c r="WOB3" s="120"/>
      <c r="WOC3" s="120"/>
      <c r="WOD3" s="120"/>
      <c r="WOE3" s="120"/>
      <c r="WOF3" s="120"/>
      <c r="WOG3" s="120"/>
      <c r="WOH3" s="120"/>
      <c r="WOI3" s="120"/>
      <c r="WOJ3" s="120"/>
      <c r="WOK3" s="120"/>
      <c r="WOL3" s="120"/>
      <c r="WOM3" s="120"/>
      <c r="WON3" s="120"/>
      <c r="WOO3" s="120"/>
      <c r="WOP3" s="120"/>
      <c r="WOQ3" s="120"/>
      <c r="WOR3" s="120"/>
      <c r="WOS3" s="120"/>
      <c r="WOT3" s="120"/>
      <c r="WOU3" s="120"/>
      <c r="WOV3" s="120"/>
      <c r="WOW3" s="120"/>
      <c r="WOX3" s="120"/>
      <c r="WOY3" s="120"/>
      <c r="WOZ3" s="120"/>
      <c r="WPA3" s="120"/>
      <c r="WPB3" s="120"/>
      <c r="WPC3" s="120"/>
      <c r="WPD3" s="120"/>
      <c r="WPE3" s="120"/>
      <c r="WPF3" s="120"/>
      <c r="WPG3" s="120"/>
      <c r="WPH3" s="120"/>
      <c r="WPI3" s="120"/>
      <c r="WPJ3" s="120"/>
      <c r="WPK3" s="120"/>
      <c r="WPL3" s="120"/>
      <c r="WPM3" s="120"/>
      <c r="WPN3" s="120"/>
      <c r="WPO3" s="120"/>
      <c r="WPP3" s="120"/>
      <c r="WPQ3" s="120"/>
      <c r="WPR3" s="120"/>
      <c r="WPS3" s="120"/>
      <c r="WPT3" s="120"/>
      <c r="WPU3" s="120"/>
      <c r="WPV3" s="120"/>
      <c r="WPW3" s="120"/>
      <c r="WPX3" s="120"/>
      <c r="WPY3" s="120"/>
      <c r="WPZ3" s="120"/>
      <c r="WQA3" s="120"/>
      <c r="WQB3" s="120"/>
      <c r="WQC3" s="120"/>
      <c r="WQD3" s="120"/>
      <c r="WQE3" s="120"/>
      <c r="WQF3" s="120"/>
      <c r="WQG3" s="120"/>
      <c r="WQH3" s="120"/>
      <c r="WQI3" s="120"/>
      <c r="WQJ3" s="120"/>
      <c r="WQK3" s="120"/>
      <c r="WQL3" s="120"/>
      <c r="WQM3" s="120"/>
      <c r="WQN3" s="120"/>
      <c r="WQO3" s="120"/>
      <c r="WQP3" s="120"/>
      <c r="WQQ3" s="120"/>
      <c r="WQR3" s="120"/>
      <c r="WQS3" s="120"/>
      <c r="WQT3" s="120"/>
      <c r="WQU3" s="120"/>
      <c r="WQV3" s="120"/>
      <c r="WQW3" s="120"/>
      <c r="WQX3" s="120"/>
      <c r="WQY3" s="120"/>
      <c r="WQZ3" s="120"/>
      <c r="WRA3" s="120"/>
      <c r="WRB3" s="120"/>
      <c r="WRC3" s="120"/>
      <c r="WRD3" s="120"/>
      <c r="WRE3" s="120"/>
      <c r="WRF3" s="120"/>
      <c r="WRG3" s="120"/>
      <c r="WRH3" s="120"/>
      <c r="WRI3" s="120"/>
      <c r="WRJ3" s="120"/>
      <c r="WRK3" s="120"/>
      <c r="WRL3" s="120"/>
      <c r="WRM3" s="120"/>
      <c r="WRN3" s="120"/>
      <c r="WRO3" s="120"/>
      <c r="WRP3" s="120"/>
      <c r="WRQ3" s="120"/>
      <c r="WRR3" s="120"/>
      <c r="WRS3" s="120"/>
      <c r="WRT3" s="120"/>
      <c r="WRU3" s="120"/>
      <c r="WRV3" s="120"/>
      <c r="WRW3" s="120"/>
      <c r="WRX3" s="120"/>
      <c r="WRY3" s="120"/>
      <c r="WRZ3" s="120"/>
      <c r="WSA3" s="120"/>
      <c r="WSB3" s="120"/>
      <c r="WSC3" s="120"/>
      <c r="WSD3" s="120"/>
      <c r="WSE3" s="120"/>
      <c r="WSF3" s="120"/>
      <c r="WSG3" s="120"/>
      <c r="WSH3" s="120"/>
      <c r="WSI3" s="120"/>
      <c r="WSJ3" s="120"/>
      <c r="WSK3" s="120"/>
      <c r="WSL3" s="120"/>
      <c r="WSM3" s="120"/>
      <c r="WSN3" s="120"/>
      <c r="WSO3" s="120"/>
      <c r="WSP3" s="120"/>
      <c r="WSQ3" s="120"/>
      <c r="WSR3" s="120"/>
      <c r="WSS3" s="120"/>
      <c r="WST3" s="120"/>
      <c r="WSU3" s="120"/>
      <c r="WSV3" s="120"/>
      <c r="WSW3" s="120"/>
      <c r="WSX3" s="120"/>
      <c r="WSY3" s="120"/>
      <c r="WSZ3" s="120"/>
      <c r="WTA3" s="120"/>
      <c r="WTB3" s="120"/>
      <c r="WTC3" s="120"/>
      <c r="WTD3" s="120"/>
      <c r="WTE3" s="120"/>
      <c r="WTF3" s="120"/>
      <c r="WTG3" s="120"/>
      <c r="WTH3" s="120"/>
      <c r="WTI3" s="120"/>
      <c r="WTJ3" s="120"/>
      <c r="WTK3" s="120"/>
      <c r="WTL3" s="120"/>
      <c r="WTM3" s="120"/>
      <c r="WTN3" s="120"/>
      <c r="WTO3" s="120"/>
      <c r="WTP3" s="120"/>
      <c r="WTQ3" s="120"/>
      <c r="WTR3" s="120"/>
      <c r="WTS3" s="120"/>
      <c r="WTT3" s="120"/>
      <c r="WTU3" s="120"/>
      <c r="WTV3" s="120"/>
      <c r="WTW3" s="120"/>
      <c r="WTX3" s="120"/>
      <c r="WTY3" s="120"/>
      <c r="WTZ3" s="120"/>
      <c r="WUA3" s="120"/>
      <c r="WUB3" s="120"/>
      <c r="WUC3" s="120"/>
      <c r="WUD3" s="120"/>
      <c r="WUE3" s="120"/>
      <c r="WUF3" s="120"/>
      <c r="WUG3" s="120"/>
      <c r="WUH3" s="120"/>
      <c r="WUI3" s="120"/>
      <c r="WUJ3" s="120"/>
      <c r="WUK3" s="120"/>
      <c r="WUL3" s="120"/>
      <c r="WUM3" s="120"/>
      <c r="WUN3" s="120"/>
      <c r="WUO3" s="120"/>
      <c r="WUP3" s="120"/>
      <c r="WUQ3" s="120"/>
      <c r="WUR3" s="120"/>
      <c r="WUS3" s="120"/>
      <c r="WUT3" s="120"/>
      <c r="WUU3" s="120"/>
      <c r="WUV3" s="120"/>
      <c r="WUW3" s="120"/>
      <c r="WUX3" s="120"/>
      <c r="WUY3" s="120"/>
      <c r="WUZ3" s="120"/>
      <c r="WVA3" s="120"/>
      <c r="WVB3" s="120"/>
      <c r="WVC3" s="120"/>
      <c r="WVD3" s="120"/>
      <c r="WVE3" s="120"/>
      <c r="WVF3" s="120"/>
      <c r="WVG3" s="120"/>
      <c r="WVH3" s="120"/>
      <c r="WVI3" s="120"/>
      <c r="WVJ3" s="120"/>
      <c r="WVK3" s="120"/>
      <c r="WVL3" s="120"/>
      <c r="WVM3" s="120"/>
      <c r="WVN3" s="120"/>
      <c r="WVO3" s="120"/>
      <c r="WVP3" s="120"/>
      <c r="WVQ3" s="120"/>
      <c r="WVR3" s="120"/>
      <c r="WVS3" s="120"/>
      <c r="WVT3" s="120"/>
      <c r="WVU3" s="120"/>
      <c r="WVV3" s="120"/>
      <c r="WVW3" s="120"/>
      <c r="WVX3" s="120"/>
      <c r="WVY3" s="120"/>
      <c r="WVZ3" s="120"/>
      <c r="WWA3" s="120"/>
      <c r="WWB3" s="120"/>
      <c r="WWC3" s="120"/>
      <c r="WWD3" s="120"/>
      <c r="WWE3" s="120"/>
      <c r="WWF3" s="120"/>
      <c r="WWG3" s="120"/>
      <c r="WWH3" s="120"/>
      <c r="WWI3" s="120"/>
      <c r="WWJ3" s="120"/>
      <c r="WWK3" s="120"/>
      <c r="WWL3" s="120"/>
      <c r="WWM3" s="120"/>
      <c r="WWN3" s="120"/>
      <c r="WWO3" s="120"/>
      <c r="WWP3" s="120"/>
      <c r="WWQ3" s="120"/>
      <c r="WWR3" s="120"/>
      <c r="WWS3" s="120"/>
      <c r="WWT3" s="120"/>
      <c r="WWU3" s="120"/>
      <c r="WWV3" s="120"/>
      <c r="WWW3" s="120"/>
      <c r="WWX3" s="120"/>
      <c r="WWY3" s="120"/>
      <c r="WWZ3" s="120"/>
      <c r="WXA3" s="120"/>
      <c r="WXB3" s="120"/>
      <c r="WXC3" s="120"/>
      <c r="WXD3" s="120"/>
      <c r="WXE3" s="120"/>
      <c r="WXF3" s="120"/>
      <c r="WXG3" s="120"/>
      <c r="WXH3" s="120"/>
      <c r="WXI3" s="120"/>
      <c r="WXJ3" s="120"/>
      <c r="WXK3" s="120"/>
      <c r="WXL3" s="120"/>
      <c r="WXM3" s="120"/>
      <c r="WXN3" s="120"/>
      <c r="WXO3" s="120"/>
      <c r="WXP3" s="120"/>
      <c r="WXQ3" s="120"/>
      <c r="WXR3" s="120"/>
      <c r="WXS3" s="120"/>
      <c r="WXT3" s="120"/>
      <c r="WXU3" s="120"/>
      <c r="WXV3" s="120"/>
      <c r="WXW3" s="120"/>
      <c r="WXX3" s="120"/>
      <c r="WXY3" s="120"/>
      <c r="WXZ3" s="120"/>
      <c r="WYA3" s="120"/>
      <c r="WYB3" s="120"/>
      <c r="WYC3" s="120"/>
      <c r="WYD3" s="120"/>
      <c r="WYE3" s="120"/>
      <c r="WYF3" s="120"/>
      <c r="WYG3" s="120"/>
      <c r="WYH3" s="120"/>
      <c r="WYI3" s="120"/>
      <c r="WYJ3" s="120"/>
      <c r="WYK3" s="120"/>
      <c r="WYL3" s="120"/>
      <c r="WYM3" s="120"/>
      <c r="WYN3" s="120"/>
      <c r="WYO3" s="120"/>
      <c r="WYP3" s="120"/>
      <c r="WYQ3" s="120"/>
      <c r="WYR3" s="120"/>
      <c r="WYS3" s="120"/>
      <c r="WYT3" s="120"/>
      <c r="WYU3" s="120"/>
      <c r="WYV3" s="120"/>
      <c r="WYW3" s="120"/>
      <c r="WYX3" s="120"/>
      <c r="WYY3" s="120"/>
      <c r="WYZ3" s="120"/>
      <c r="WZA3" s="120"/>
      <c r="WZB3" s="120"/>
      <c r="WZC3" s="120"/>
      <c r="WZD3" s="120"/>
      <c r="WZE3" s="120"/>
      <c r="WZF3" s="120"/>
      <c r="WZG3" s="120"/>
      <c r="WZH3" s="120"/>
      <c r="WZI3" s="120"/>
      <c r="WZJ3" s="120"/>
      <c r="WZK3" s="120"/>
      <c r="WZL3" s="120"/>
      <c r="WZM3" s="120"/>
      <c r="WZN3" s="120"/>
      <c r="WZO3" s="120"/>
      <c r="WZP3" s="120"/>
      <c r="WZQ3" s="120"/>
      <c r="WZR3" s="120"/>
      <c r="WZS3" s="120"/>
      <c r="WZT3" s="120"/>
      <c r="WZU3" s="120"/>
      <c r="WZV3" s="120"/>
      <c r="WZW3" s="120"/>
      <c r="WZX3" s="120"/>
      <c r="WZY3" s="120"/>
      <c r="WZZ3" s="120"/>
      <c r="XAA3" s="120"/>
      <c r="XAB3" s="120"/>
      <c r="XAC3" s="120"/>
      <c r="XAD3" s="120"/>
      <c r="XAE3" s="120"/>
      <c r="XAF3" s="120"/>
      <c r="XAG3" s="120"/>
      <c r="XAH3" s="120"/>
      <c r="XAI3" s="120"/>
      <c r="XAJ3" s="120"/>
      <c r="XAK3" s="120"/>
      <c r="XAL3" s="120"/>
      <c r="XAM3" s="120"/>
      <c r="XAN3" s="120"/>
      <c r="XAO3" s="120"/>
      <c r="XAP3" s="120"/>
      <c r="XAQ3" s="120"/>
      <c r="XAR3" s="120"/>
      <c r="XAS3" s="120"/>
      <c r="XAT3" s="120"/>
      <c r="XAU3" s="120"/>
      <c r="XAV3" s="120"/>
      <c r="XAW3" s="120"/>
      <c r="XAX3" s="120"/>
      <c r="XAY3" s="120"/>
      <c r="XAZ3" s="120"/>
      <c r="XBA3" s="120"/>
      <c r="XBB3" s="120"/>
      <c r="XBC3" s="120"/>
      <c r="XBD3" s="120"/>
      <c r="XBE3" s="120"/>
      <c r="XBF3" s="120"/>
      <c r="XBG3" s="120"/>
      <c r="XBH3" s="120"/>
      <c r="XBI3" s="120"/>
      <c r="XBJ3" s="120"/>
      <c r="XBK3" s="120"/>
      <c r="XBL3" s="120"/>
      <c r="XBM3" s="120"/>
      <c r="XBN3" s="120"/>
      <c r="XBO3" s="120"/>
      <c r="XBP3" s="120"/>
      <c r="XBQ3" s="120"/>
      <c r="XBR3" s="120"/>
      <c r="XBS3" s="120"/>
      <c r="XBT3" s="120"/>
      <c r="XBU3" s="120"/>
      <c r="XBV3" s="120"/>
      <c r="XBW3" s="120"/>
      <c r="XBX3" s="120"/>
      <c r="XBY3" s="120"/>
      <c r="XBZ3" s="120"/>
      <c r="XCA3" s="120"/>
      <c r="XCB3" s="120"/>
      <c r="XCC3" s="120"/>
      <c r="XCD3" s="120"/>
      <c r="XCE3" s="120"/>
      <c r="XCF3" s="120"/>
      <c r="XCG3" s="120"/>
      <c r="XCH3" s="120"/>
      <c r="XCI3" s="120"/>
      <c r="XCJ3" s="120"/>
      <c r="XCK3" s="120"/>
      <c r="XCL3" s="120"/>
      <c r="XCM3" s="120"/>
      <c r="XCN3" s="120"/>
      <c r="XCO3" s="120"/>
      <c r="XCP3" s="120"/>
      <c r="XCQ3" s="120"/>
      <c r="XCR3" s="120"/>
      <c r="XCS3" s="120"/>
      <c r="XCT3" s="120"/>
      <c r="XCU3" s="120"/>
      <c r="XCV3" s="120"/>
      <c r="XCW3" s="120"/>
      <c r="XCX3" s="120"/>
      <c r="XCY3" s="120"/>
      <c r="XCZ3" s="120"/>
      <c r="XDA3" s="120"/>
      <c r="XDB3" s="120"/>
      <c r="XDC3" s="120"/>
      <c r="XDD3" s="120"/>
      <c r="XDE3" s="120"/>
      <c r="XDF3" s="120"/>
      <c r="XDG3" s="120"/>
      <c r="XDH3" s="120"/>
      <c r="XDI3" s="120"/>
      <c r="XDJ3" s="120"/>
      <c r="XDK3" s="120"/>
      <c r="XDL3" s="120"/>
      <c r="XDM3" s="120"/>
      <c r="XDN3" s="120"/>
      <c r="XDO3" s="120"/>
      <c r="XDP3" s="120"/>
      <c r="XDQ3" s="120"/>
      <c r="XDR3" s="120"/>
      <c r="XDS3" s="120"/>
      <c r="XDT3" s="120"/>
      <c r="XDU3" s="120"/>
      <c r="XDV3" s="120"/>
      <c r="XDW3" s="120"/>
      <c r="XDX3" s="120"/>
      <c r="XDY3" s="120"/>
      <c r="XDZ3" s="120"/>
      <c r="XEA3" s="120"/>
      <c r="XEB3" s="120"/>
      <c r="XEC3" s="120"/>
      <c r="XED3" s="120"/>
      <c r="XEE3" s="120"/>
      <c r="XEF3" s="120"/>
      <c r="XEG3" s="120"/>
      <c r="XEH3" s="120"/>
      <c r="XEI3" s="120"/>
      <c r="XEJ3" s="120"/>
      <c r="XEK3" s="120"/>
      <c r="XEL3" s="120"/>
      <c r="XEM3" s="120"/>
      <c r="XEN3" s="120"/>
      <c r="XEO3" s="120"/>
      <c r="XEP3" s="120"/>
      <c r="XEQ3" s="120"/>
      <c r="XER3" s="120"/>
      <c r="XES3" s="120"/>
      <c r="XET3" s="120"/>
      <c r="XEU3" s="120"/>
      <c r="XEV3" s="120"/>
      <c r="XEW3" s="120"/>
      <c r="XEX3" s="120"/>
      <c r="XEY3" s="120"/>
      <c r="XEZ3" s="120"/>
      <c r="XFA3" s="120"/>
      <c r="XFB3" s="120"/>
      <c r="XFC3" s="120"/>
      <c r="XFD3" s="120"/>
    </row>
    <row r="5" spans="1:16384" s="113" customFormat="1" ht="31.5" customHeight="1">
      <c r="C5" s="112" t="s">
        <v>63</v>
      </c>
      <c r="F5" s="112" t="s">
        <v>65</v>
      </c>
      <c r="K5" s="112" t="s">
        <v>68</v>
      </c>
      <c r="P5" s="112" t="s">
        <v>62</v>
      </c>
    </row>
    <row r="6" spans="1:16384" ht="44.25" customHeight="1">
      <c r="C6" s="157">
        <f>COUNTA(CAD_PROD!C6:C505)</f>
        <v>5</v>
      </c>
      <c r="D6" s="157"/>
    </row>
    <row r="7" spans="1:16384" ht="2.25" customHeight="1"/>
    <row r="8" spans="1:16384" s="113" customFormat="1" ht="31.5" customHeight="1">
      <c r="C8" s="112" t="s">
        <v>113</v>
      </c>
    </row>
    <row r="9" spans="1:16384" ht="44.25" customHeight="1">
      <c r="C9" s="158">
        <f>COUNTIF(CAD_CUST!S:S,"sim")</f>
        <v>2</v>
      </c>
      <c r="D9" s="158"/>
    </row>
    <row r="10" spans="1:16384" ht="2.25" customHeight="1"/>
    <row r="11" spans="1:16384" s="113" customFormat="1" ht="31.5" customHeight="1">
      <c r="C11" s="112" t="s">
        <v>112</v>
      </c>
    </row>
    <row r="12" spans="1:16384" ht="44.25" customHeight="1">
      <c r="C12" s="159">
        <f>COUNTIF(CAD_CUST!S:S,"não")</f>
        <v>3</v>
      </c>
      <c r="D12" s="159"/>
    </row>
    <row r="13" spans="1:16384" ht="2.25" customHeight="1"/>
    <row r="14" spans="1:16384" s="113" customFormat="1" ht="31.5" customHeight="1">
      <c r="C14" s="112" t="s">
        <v>114</v>
      </c>
    </row>
    <row r="15" spans="1:16384" ht="44.25" customHeight="1">
      <c r="C15" s="157" t="str">
        <f>IF(SUM(CAD_PROD!E:E)-SUM(CAD_CUST!P:P)&lt;0,"Não","Sim")</f>
        <v>Não</v>
      </c>
      <c r="D15" s="157"/>
    </row>
    <row r="16" spans="1:16384" ht="9.9499999999999993" customHeight="1"/>
    <row r="18" spans="6:17" ht="15" customHeight="1">
      <c r="F18" s="52" t="s">
        <v>25</v>
      </c>
      <c r="G18" s="52" t="s">
        <v>67</v>
      </c>
      <c r="H18" s="52"/>
      <c r="I18" s="52"/>
      <c r="J18" s="52"/>
      <c r="K18" s="52" t="s">
        <v>25</v>
      </c>
      <c r="L18" s="52" t="s">
        <v>67</v>
      </c>
      <c r="M18" s="52"/>
      <c r="N18" s="52"/>
      <c r="O18" s="52"/>
      <c r="P18" s="52" t="s">
        <v>25</v>
      </c>
      <c r="Q18" s="52" t="s">
        <v>67</v>
      </c>
    </row>
    <row r="19" spans="6:17" ht="15" customHeight="1">
      <c r="F19" s="52" t="str">
        <f>TOP_PROD!C6</f>
        <v>Produto 5</v>
      </c>
      <c r="G19" s="63">
        <f>TOP_PROD!H6</f>
        <v>13500</v>
      </c>
      <c r="H19" s="52"/>
      <c r="I19" s="52"/>
      <c r="J19" s="52">
        <f>LARGE(CAD_CUST!$A$6:$A$505,1)</f>
        <v>34.900000999999996</v>
      </c>
      <c r="K19" s="52" t="str">
        <f>VLOOKUP(J19,CAD_CUST!$A$6:$S$505,3,0)</f>
        <v>Produto 5</v>
      </c>
      <c r="L19" s="52">
        <f>VLOOKUP(J19,CAD_CUST!$A$6:$S$505,12,0)</f>
        <v>34.9</v>
      </c>
      <c r="M19" s="52"/>
      <c r="N19" s="52"/>
      <c r="O19" s="52"/>
      <c r="P19" s="64" t="str">
        <f>TOP_CUST!F6</f>
        <v>Custo 1</v>
      </c>
      <c r="Q19" s="65">
        <f>TOP_CUST!G6</f>
        <v>10000</v>
      </c>
    </row>
    <row r="20" spans="6:17" ht="15" customHeight="1">
      <c r="F20" s="52" t="str">
        <f>TOP_PROD!C7</f>
        <v>Produto 2</v>
      </c>
      <c r="G20" s="63">
        <f>TOP_PROD!H7</f>
        <v>5400</v>
      </c>
      <c r="H20" s="52"/>
      <c r="I20" s="52"/>
      <c r="J20" s="52">
        <f>LARGE(CAD_CUST!$A$6:$A$505,2)</f>
        <v>34.400000999999996</v>
      </c>
      <c r="K20" s="52" t="str">
        <f>VLOOKUP(J20,CAD_CUST!$A$6:$S$505,3,0)</f>
        <v>Produto 4</v>
      </c>
      <c r="L20" s="52">
        <f>VLOOKUP(J20,CAD_CUST!$A$6:$S$505,12,0)</f>
        <v>34.4</v>
      </c>
      <c r="M20" s="52"/>
      <c r="N20" s="52"/>
      <c r="O20" s="52"/>
      <c r="P20" s="64" t="str">
        <f>TOP_CUST!F7</f>
        <v>Custo 5</v>
      </c>
      <c r="Q20" s="65">
        <f>TOP_CUST!G7</f>
        <v>900</v>
      </c>
    </row>
    <row r="21" spans="6:17" ht="15" customHeight="1">
      <c r="F21" s="52" t="str">
        <f>TOP_PROD!C8</f>
        <v>Produto 4</v>
      </c>
      <c r="G21" s="63">
        <f>TOP_PROD!H8</f>
        <v>3200</v>
      </c>
      <c r="H21" s="52"/>
      <c r="I21" s="52"/>
      <c r="J21" s="52">
        <f>LARGE(CAD_CUST!$A$6:$A$505,3)</f>
        <v>33.500000999999997</v>
      </c>
      <c r="K21" s="52" t="str">
        <f>VLOOKUP(J21,CAD_CUST!$A$6:$S$505,3,0)</f>
        <v>Produto 3</v>
      </c>
      <c r="L21" s="52">
        <f>VLOOKUP(J21,CAD_CUST!$A$6:$S$505,12,0)</f>
        <v>33.5</v>
      </c>
      <c r="M21" s="52"/>
      <c r="N21" s="52"/>
      <c r="O21" s="52"/>
      <c r="P21" s="64" t="str">
        <f>TOP_CUST!F8</f>
        <v>Custo 4</v>
      </c>
      <c r="Q21" s="65">
        <f>TOP_CUST!G8</f>
        <v>800</v>
      </c>
    </row>
    <row r="22" spans="6:17" ht="15" customHeight="1">
      <c r="F22" s="52" t="str">
        <f>TOP_PROD!C9</f>
        <v>Produto 3</v>
      </c>
      <c r="G22" s="63">
        <f>TOP_PROD!H9</f>
        <v>2100</v>
      </c>
      <c r="H22" s="52"/>
      <c r="I22" s="52"/>
      <c r="J22" s="52">
        <f>LARGE(CAD_CUST!$A$6:$A$505,4)</f>
        <v>32.200001</v>
      </c>
      <c r="K22" s="52" t="str">
        <f>VLOOKUP(J22,CAD_CUST!$A$6:$S$505,3,0)</f>
        <v>Produto 2</v>
      </c>
      <c r="L22" s="52">
        <f>VLOOKUP(J22,CAD_CUST!$A$6:$S$505,12,0)</f>
        <v>32.200000000000003</v>
      </c>
      <c r="M22" s="52"/>
      <c r="N22" s="52"/>
      <c r="O22" s="52"/>
      <c r="P22" s="64" t="str">
        <f>TOP_CUST!F9</f>
        <v>Custo 3</v>
      </c>
      <c r="Q22" s="65">
        <f>TOP_CUST!G9</f>
        <v>700</v>
      </c>
    </row>
    <row r="23" spans="6:17" ht="15" customHeight="1">
      <c r="F23" s="52" t="str">
        <f>TOP_PROD!C10</f>
        <v>Produto 1</v>
      </c>
      <c r="G23" s="63">
        <f>TOP_PROD!H10</f>
        <v>500</v>
      </c>
      <c r="H23" s="52"/>
      <c r="I23" s="52"/>
      <c r="J23" s="52">
        <f>LARGE(CAD_CUST!$A$6:$A$505,5)</f>
        <v>30.500001000000001</v>
      </c>
      <c r="K23" s="52" t="str">
        <f>VLOOKUP(J23,CAD_CUST!$A$6:$S$505,3,0)</f>
        <v>Produto 1</v>
      </c>
      <c r="L23" s="52">
        <f>VLOOKUP(J23,CAD_CUST!$A$6:$S$505,12,0)</f>
        <v>30.5</v>
      </c>
      <c r="M23" s="52"/>
      <c r="N23" s="52"/>
      <c r="O23" s="52"/>
      <c r="P23" s="64" t="str">
        <f>TOP_CUST!F10</f>
        <v>Custo 2</v>
      </c>
      <c r="Q23" s="65">
        <f>TOP_CUST!G10</f>
        <v>600</v>
      </c>
    </row>
    <row r="24" spans="6:17" ht="15" customHeight="1">
      <c r="G24" s="61"/>
    </row>
  </sheetData>
  <mergeCells count="4">
    <mergeCell ref="C6:D6"/>
    <mergeCell ref="C9:D9"/>
    <mergeCell ref="C12:D12"/>
    <mergeCell ref="C15:D15"/>
  </mergeCells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XFD28"/>
  <sheetViews>
    <sheetView showGridLines="0" zoomScale="90" zoomScaleNormal="90" zoomScalePageLayoutView="80" workbookViewId="0">
      <selection activeCell="C3" sqref="C3"/>
    </sheetView>
  </sheetViews>
  <sheetFormatPr defaultColWidth="11" defaultRowHeight="15" customHeight="1"/>
  <cols>
    <col min="1" max="1" width="2.125" style="47" customWidth="1"/>
    <col min="2" max="2" width="1.375" style="47" customWidth="1"/>
    <col min="3" max="3" width="13.625" style="47" customWidth="1"/>
    <col min="4" max="4" width="15.25" style="47" customWidth="1"/>
    <col min="5" max="5" width="0.75" style="47" customWidth="1"/>
    <col min="6" max="6" width="13.625" style="47" customWidth="1"/>
    <col min="7" max="7" width="15.25" style="47" customWidth="1"/>
    <col min="8" max="8" width="0.75" style="47" customWidth="1"/>
    <col min="9" max="9" width="13.625" style="47" customWidth="1"/>
    <col min="10" max="10" width="15.25" style="47" customWidth="1"/>
    <col min="11" max="11" width="0.75" style="47" customWidth="1"/>
    <col min="12" max="12" width="13.625" style="47" customWidth="1"/>
    <col min="13" max="13" width="15.25" style="47" customWidth="1"/>
    <col min="14" max="14" width="0.75" style="47" customWidth="1"/>
    <col min="15" max="15" width="13.625" style="47" customWidth="1"/>
    <col min="16" max="16" width="15.25" style="47" customWidth="1"/>
    <col min="17" max="17" width="0.75" style="47" customWidth="1"/>
    <col min="18" max="18" width="13.625" style="47" customWidth="1"/>
    <col min="19" max="19" width="15.25" style="47" customWidth="1"/>
    <col min="20" max="16384" width="11" style="47"/>
  </cols>
  <sheetData>
    <row r="1" spans="1:16384" s="45" customFormat="1" ht="39" customHeight="1"/>
    <row r="2" spans="1:16384" s="46" customFormat="1" ht="30" customHeight="1"/>
    <row r="3" spans="1:16384" customFormat="1" ht="44.25" customHeight="1">
      <c r="A3" s="119"/>
      <c r="B3" s="120"/>
      <c r="C3" s="121"/>
      <c r="D3" s="120"/>
      <c r="E3" s="122"/>
      <c r="F3" s="122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0"/>
      <c r="CO3" s="120"/>
      <c r="CP3" s="120"/>
      <c r="CQ3" s="120"/>
      <c r="CR3" s="120"/>
      <c r="CS3" s="120"/>
      <c r="CT3" s="120"/>
      <c r="CU3" s="120"/>
      <c r="CV3" s="120"/>
      <c r="CW3" s="120"/>
      <c r="CX3" s="120"/>
      <c r="CY3" s="120"/>
      <c r="CZ3" s="120"/>
      <c r="DA3" s="120"/>
      <c r="DB3" s="120"/>
      <c r="DC3" s="120"/>
      <c r="DD3" s="120"/>
      <c r="DE3" s="120"/>
      <c r="DF3" s="120"/>
      <c r="DG3" s="120"/>
      <c r="DH3" s="120"/>
      <c r="DI3" s="120"/>
      <c r="DJ3" s="120"/>
      <c r="DK3" s="120"/>
      <c r="DL3" s="120"/>
      <c r="DM3" s="120"/>
      <c r="DN3" s="120"/>
      <c r="DO3" s="120"/>
      <c r="DP3" s="120"/>
      <c r="DQ3" s="120"/>
      <c r="DR3" s="120"/>
      <c r="DS3" s="120"/>
      <c r="DT3" s="120"/>
      <c r="DU3" s="120"/>
      <c r="DV3" s="120"/>
      <c r="DW3" s="120"/>
      <c r="DX3" s="120"/>
      <c r="DY3" s="120"/>
      <c r="DZ3" s="120"/>
      <c r="EA3" s="120"/>
      <c r="EB3" s="120"/>
      <c r="EC3" s="120"/>
      <c r="ED3" s="120"/>
      <c r="EE3" s="120"/>
      <c r="EF3" s="120"/>
      <c r="EG3" s="120"/>
      <c r="EH3" s="120"/>
      <c r="EI3" s="120"/>
      <c r="EJ3" s="120"/>
      <c r="EK3" s="120"/>
      <c r="EL3" s="120"/>
      <c r="EM3" s="120"/>
      <c r="EN3" s="120"/>
      <c r="EO3" s="120"/>
      <c r="EP3" s="120"/>
      <c r="EQ3" s="120"/>
      <c r="ER3" s="120"/>
      <c r="ES3" s="120"/>
      <c r="ET3" s="120"/>
      <c r="EU3" s="120"/>
      <c r="EV3" s="120"/>
      <c r="EW3" s="120"/>
      <c r="EX3" s="120"/>
      <c r="EY3" s="120"/>
      <c r="EZ3" s="120"/>
      <c r="FA3" s="120"/>
      <c r="FB3" s="120"/>
      <c r="FC3" s="120"/>
      <c r="FD3" s="120"/>
      <c r="FE3" s="120"/>
      <c r="FF3" s="120"/>
      <c r="FG3" s="120"/>
      <c r="FH3" s="120"/>
      <c r="FI3" s="120"/>
      <c r="FJ3" s="120"/>
      <c r="FK3" s="120"/>
      <c r="FL3" s="120"/>
      <c r="FM3" s="120"/>
      <c r="FN3" s="120"/>
      <c r="FO3" s="120"/>
      <c r="FP3" s="120"/>
      <c r="FQ3" s="120"/>
      <c r="FR3" s="120"/>
      <c r="FS3" s="120"/>
      <c r="FT3" s="120"/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0"/>
      <c r="GJ3" s="120"/>
      <c r="GK3" s="120"/>
      <c r="GL3" s="120"/>
      <c r="GM3" s="120"/>
      <c r="GN3" s="120"/>
      <c r="GO3" s="120"/>
      <c r="GP3" s="120"/>
      <c r="GQ3" s="120"/>
      <c r="GR3" s="120"/>
      <c r="GS3" s="120"/>
      <c r="GT3" s="120"/>
      <c r="GU3" s="120"/>
      <c r="GV3" s="120"/>
      <c r="GW3" s="120"/>
      <c r="GX3" s="120"/>
      <c r="GY3" s="120"/>
      <c r="GZ3" s="120"/>
      <c r="HA3" s="120"/>
      <c r="HB3" s="120"/>
      <c r="HC3" s="120"/>
      <c r="HD3" s="120"/>
      <c r="HE3" s="120"/>
      <c r="HF3" s="120"/>
      <c r="HG3" s="120"/>
      <c r="HH3" s="120"/>
      <c r="HI3" s="120"/>
      <c r="HJ3" s="120"/>
      <c r="HK3" s="120"/>
      <c r="HL3" s="120"/>
      <c r="HM3" s="120"/>
      <c r="HN3" s="120"/>
      <c r="HO3" s="120"/>
      <c r="HP3" s="120"/>
      <c r="HQ3" s="120"/>
      <c r="HR3" s="120"/>
      <c r="HS3" s="120"/>
      <c r="HT3" s="120"/>
      <c r="HU3" s="120"/>
      <c r="HV3" s="120"/>
      <c r="HW3" s="120"/>
      <c r="HX3" s="120"/>
      <c r="HY3" s="120"/>
      <c r="HZ3" s="120"/>
      <c r="IA3" s="120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P3" s="120"/>
      <c r="IQ3" s="120"/>
      <c r="IR3" s="120"/>
      <c r="IS3" s="120"/>
      <c r="IT3" s="120"/>
      <c r="IU3" s="120"/>
      <c r="IV3" s="120"/>
      <c r="IW3" s="120"/>
      <c r="IX3" s="120"/>
      <c r="IY3" s="120"/>
      <c r="IZ3" s="120"/>
      <c r="JA3" s="120"/>
      <c r="JB3" s="120"/>
      <c r="JC3" s="120"/>
      <c r="JD3" s="120"/>
      <c r="JE3" s="120"/>
      <c r="JF3" s="120"/>
      <c r="JG3" s="120"/>
      <c r="JH3" s="120"/>
      <c r="JI3" s="120"/>
      <c r="JJ3" s="120"/>
      <c r="JK3" s="120"/>
      <c r="JL3" s="120"/>
      <c r="JM3" s="120"/>
      <c r="JN3" s="120"/>
      <c r="JO3" s="120"/>
      <c r="JP3" s="120"/>
      <c r="JQ3" s="120"/>
      <c r="JR3" s="120"/>
      <c r="JS3" s="120"/>
      <c r="JT3" s="120"/>
      <c r="JU3" s="120"/>
      <c r="JV3" s="120"/>
      <c r="JW3" s="120"/>
      <c r="JX3" s="120"/>
      <c r="JY3" s="120"/>
      <c r="JZ3" s="120"/>
      <c r="KA3" s="120"/>
      <c r="KB3" s="120"/>
      <c r="KC3" s="120"/>
      <c r="KD3" s="120"/>
      <c r="KE3" s="120"/>
      <c r="KF3" s="120"/>
      <c r="KG3" s="120"/>
      <c r="KH3" s="120"/>
      <c r="KI3" s="120"/>
      <c r="KJ3" s="120"/>
      <c r="KK3" s="120"/>
      <c r="KL3" s="120"/>
      <c r="KM3" s="120"/>
      <c r="KN3" s="120"/>
      <c r="KO3" s="120"/>
      <c r="KP3" s="120"/>
      <c r="KQ3" s="120"/>
      <c r="KR3" s="120"/>
      <c r="KS3" s="120"/>
      <c r="KT3" s="120"/>
      <c r="KU3" s="120"/>
      <c r="KV3" s="120"/>
      <c r="KW3" s="120"/>
      <c r="KX3" s="120"/>
      <c r="KY3" s="120"/>
      <c r="KZ3" s="120"/>
      <c r="LA3" s="120"/>
      <c r="LB3" s="120"/>
      <c r="LC3" s="120"/>
      <c r="LD3" s="120"/>
      <c r="LE3" s="120"/>
      <c r="LF3" s="120"/>
      <c r="LG3" s="120"/>
      <c r="LH3" s="120"/>
      <c r="LI3" s="120"/>
      <c r="LJ3" s="120"/>
      <c r="LK3" s="120"/>
      <c r="LL3" s="120"/>
      <c r="LM3" s="120"/>
      <c r="LN3" s="120"/>
      <c r="LO3" s="120"/>
      <c r="LP3" s="120"/>
      <c r="LQ3" s="120"/>
      <c r="LR3" s="120"/>
      <c r="LS3" s="120"/>
      <c r="LT3" s="120"/>
      <c r="LU3" s="120"/>
      <c r="LV3" s="120"/>
      <c r="LW3" s="120"/>
      <c r="LX3" s="120"/>
      <c r="LY3" s="120"/>
      <c r="LZ3" s="120"/>
      <c r="MA3" s="120"/>
      <c r="MB3" s="120"/>
      <c r="MC3" s="120"/>
      <c r="MD3" s="120"/>
      <c r="ME3" s="120"/>
      <c r="MF3" s="120"/>
      <c r="MG3" s="120"/>
      <c r="MH3" s="120"/>
      <c r="MI3" s="120"/>
      <c r="MJ3" s="120"/>
      <c r="MK3" s="120"/>
      <c r="ML3" s="120"/>
      <c r="MM3" s="120"/>
      <c r="MN3" s="120"/>
      <c r="MO3" s="120"/>
      <c r="MP3" s="120"/>
      <c r="MQ3" s="120"/>
      <c r="MR3" s="120"/>
      <c r="MS3" s="120"/>
      <c r="MT3" s="120"/>
      <c r="MU3" s="120"/>
      <c r="MV3" s="120"/>
      <c r="MW3" s="120"/>
      <c r="MX3" s="120"/>
      <c r="MY3" s="120"/>
      <c r="MZ3" s="120"/>
      <c r="NA3" s="120"/>
      <c r="NB3" s="120"/>
      <c r="NC3" s="120"/>
      <c r="ND3" s="120"/>
      <c r="NE3" s="120"/>
      <c r="NF3" s="120"/>
      <c r="NG3" s="120"/>
      <c r="NH3" s="120"/>
      <c r="NI3" s="120"/>
      <c r="NJ3" s="120"/>
      <c r="NK3" s="120"/>
      <c r="NL3" s="120"/>
      <c r="NM3" s="120"/>
      <c r="NN3" s="120"/>
      <c r="NO3" s="120"/>
      <c r="NP3" s="120"/>
      <c r="NQ3" s="120"/>
      <c r="NR3" s="120"/>
      <c r="NS3" s="120"/>
      <c r="NT3" s="120"/>
      <c r="NU3" s="120"/>
      <c r="NV3" s="120"/>
      <c r="NW3" s="120"/>
      <c r="NX3" s="120"/>
      <c r="NY3" s="120"/>
      <c r="NZ3" s="120"/>
      <c r="OA3" s="120"/>
      <c r="OB3" s="120"/>
      <c r="OC3" s="120"/>
      <c r="OD3" s="120"/>
      <c r="OE3" s="120"/>
      <c r="OF3" s="120"/>
      <c r="OG3" s="120"/>
      <c r="OH3" s="120"/>
      <c r="OI3" s="120"/>
      <c r="OJ3" s="120"/>
      <c r="OK3" s="120"/>
      <c r="OL3" s="120"/>
      <c r="OM3" s="120"/>
      <c r="ON3" s="120"/>
      <c r="OO3" s="120"/>
      <c r="OP3" s="120"/>
      <c r="OQ3" s="120"/>
      <c r="OR3" s="120"/>
      <c r="OS3" s="120"/>
      <c r="OT3" s="120"/>
      <c r="OU3" s="120"/>
      <c r="OV3" s="120"/>
      <c r="OW3" s="120"/>
      <c r="OX3" s="120"/>
      <c r="OY3" s="120"/>
      <c r="OZ3" s="120"/>
      <c r="PA3" s="120"/>
      <c r="PB3" s="120"/>
      <c r="PC3" s="120"/>
      <c r="PD3" s="120"/>
      <c r="PE3" s="120"/>
      <c r="PF3" s="120"/>
      <c r="PG3" s="120"/>
      <c r="PH3" s="120"/>
      <c r="PI3" s="120"/>
      <c r="PJ3" s="120"/>
      <c r="PK3" s="120"/>
      <c r="PL3" s="120"/>
      <c r="PM3" s="120"/>
      <c r="PN3" s="120"/>
      <c r="PO3" s="120"/>
      <c r="PP3" s="120"/>
      <c r="PQ3" s="120"/>
      <c r="PR3" s="120"/>
      <c r="PS3" s="120"/>
      <c r="PT3" s="120"/>
      <c r="PU3" s="120"/>
      <c r="PV3" s="120"/>
      <c r="PW3" s="120"/>
      <c r="PX3" s="120"/>
      <c r="PY3" s="120"/>
      <c r="PZ3" s="120"/>
      <c r="QA3" s="120"/>
      <c r="QB3" s="120"/>
      <c r="QC3" s="120"/>
      <c r="QD3" s="120"/>
      <c r="QE3" s="120"/>
      <c r="QF3" s="120"/>
      <c r="QG3" s="120"/>
      <c r="QH3" s="120"/>
      <c r="QI3" s="120"/>
      <c r="QJ3" s="120"/>
      <c r="QK3" s="120"/>
      <c r="QL3" s="120"/>
      <c r="QM3" s="120"/>
      <c r="QN3" s="120"/>
      <c r="QO3" s="120"/>
      <c r="QP3" s="120"/>
      <c r="QQ3" s="120"/>
      <c r="QR3" s="120"/>
      <c r="QS3" s="120"/>
      <c r="QT3" s="120"/>
      <c r="QU3" s="120"/>
      <c r="QV3" s="120"/>
      <c r="QW3" s="120"/>
      <c r="QX3" s="120"/>
      <c r="QY3" s="120"/>
      <c r="QZ3" s="120"/>
      <c r="RA3" s="120"/>
      <c r="RB3" s="120"/>
      <c r="RC3" s="120"/>
      <c r="RD3" s="120"/>
      <c r="RE3" s="120"/>
      <c r="RF3" s="120"/>
      <c r="RG3" s="120"/>
      <c r="RH3" s="120"/>
      <c r="RI3" s="120"/>
      <c r="RJ3" s="120"/>
      <c r="RK3" s="120"/>
      <c r="RL3" s="120"/>
      <c r="RM3" s="120"/>
      <c r="RN3" s="120"/>
      <c r="RO3" s="120"/>
      <c r="RP3" s="120"/>
      <c r="RQ3" s="120"/>
      <c r="RR3" s="120"/>
      <c r="RS3" s="120"/>
      <c r="RT3" s="120"/>
      <c r="RU3" s="120"/>
      <c r="RV3" s="120"/>
      <c r="RW3" s="120"/>
      <c r="RX3" s="120"/>
      <c r="RY3" s="120"/>
      <c r="RZ3" s="120"/>
      <c r="SA3" s="120"/>
      <c r="SB3" s="120"/>
      <c r="SC3" s="120"/>
      <c r="SD3" s="120"/>
      <c r="SE3" s="120"/>
      <c r="SF3" s="120"/>
      <c r="SG3" s="120"/>
      <c r="SH3" s="120"/>
      <c r="SI3" s="120"/>
      <c r="SJ3" s="120"/>
      <c r="SK3" s="120"/>
      <c r="SL3" s="120"/>
      <c r="SM3" s="120"/>
      <c r="SN3" s="120"/>
      <c r="SO3" s="120"/>
      <c r="SP3" s="120"/>
      <c r="SQ3" s="120"/>
      <c r="SR3" s="120"/>
      <c r="SS3" s="120"/>
      <c r="ST3" s="120"/>
      <c r="SU3" s="120"/>
      <c r="SV3" s="120"/>
      <c r="SW3" s="120"/>
      <c r="SX3" s="120"/>
      <c r="SY3" s="120"/>
      <c r="SZ3" s="120"/>
      <c r="TA3" s="120"/>
      <c r="TB3" s="120"/>
      <c r="TC3" s="120"/>
      <c r="TD3" s="120"/>
      <c r="TE3" s="120"/>
      <c r="TF3" s="120"/>
      <c r="TG3" s="120"/>
      <c r="TH3" s="120"/>
      <c r="TI3" s="120"/>
      <c r="TJ3" s="120"/>
      <c r="TK3" s="120"/>
      <c r="TL3" s="120"/>
      <c r="TM3" s="120"/>
      <c r="TN3" s="120"/>
      <c r="TO3" s="120"/>
      <c r="TP3" s="120"/>
      <c r="TQ3" s="120"/>
      <c r="TR3" s="120"/>
      <c r="TS3" s="120"/>
      <c r="TT3" s="120"/>
      <c r="TU3" s="120"/>
      <c r="TV3" s="120"/>
      <c r="TW3" s="120"/>
      <c r="TX3" s="120"/>
      <c r="TY3" s="120"/>
      <c r="TZ3" s="120"/>
      <c r="UA3" s="120"/>
      <c r="UB3" s="120"/>
      <c r="UC3" s="120"/>
      <c r="UD3" s="120"/>
      <c r="UE3" s="120"/>
      <c r="UF3" s="120"/>
      <c r="UG3" s="120"/>
      <c r="UH3" s="120"/>
      <c r="UI3" s="120"/>
      <c r="UJ3" s="120"/>
      <c r="UK3" s="120"/>
      <c r="UL3" s="120"/>
      <c r="UM3" s="120"/>
      <c r="UN3" s="120"/>
      <c r="UO3" s="120"/>
      <c r="UP3" s="120"/>
      <c r="UQ3" s="120"/>
      <c r="UR3" s="120"/>
      <c r="US3" s="120"/>
      <c r="UT3" s="120"/>
      <c r="UU3" s="120"/>
      <c r="UV3" s="120"/>
      <c r="UW3" s="120"/>
      <c r="UX3" s="120"/>
      <c r="UY3" s="120"/>
      <c r="UZ3" s="120"/>
      <c r="VA3" s="120"/>
      <c r="VB3" s="120"/>
      <c r="VC3" s="120"/>
      <c r="VD3" s="120"/>
      <c r="VE3" s="120"/>
      <c r="VF3" s="120"/>
      <c r="VG3" s="120"/>
      <c r="VH3" s="120"/>
      <c r="VI3" s="120"/>
      <c r="VJ3" s="120"/>
      <c r="VK3" s="120"/>
      <c r="VL3" s="120"/>
      <c r="VM3" s="120"/>
      <c r="VN3" s="120"/>
      <c r="VO3" s="120"/>
      <c r="VP3" s="120"/>
      <c r="VQ3" s="120"/>
      <c r="VR3" s="120"/>
      <c r="VS3" s="120"/>
      <c r="VT3" s="120"/>
      <c r="VU3" s="120"/>
      <c r="VV3" s="120"/>
      <c r="VW3" s="120"/>
      <c r="VX3" s="120"/>
      <c r="VY3" s="120"/>
      <c r="VZ3" s="120"/>
      <c r="WA3" s="120"/>
      <c r="WB3" s="120"/>
      <c r="WC3" s="120"/>
      <c r="WD3" s="120"/>
      <c r="WE3" s="120"/>
      <c r="WF3" s="120"/>
      <c r="WG3" s="120"/>
      <c r="WH3" s="120"/>
      <c r="WI3" s="120"/>
      <c r="WJ3" s="120"/>
      <c r="WK3" s="120"/>
      <c r="WL3" s="120"/>
      <c r="WM3" s="120"/>
      <c r="WN3" s="120"/>
      <c r="WO3" s="120"/>
      <c r="WP3" s="120"/>
      <c r="WQ3" s="120"/>
      <c r="WR3" s="120"/>
      <c r="WS3" s="120"/>
      <c r="WT3" s="120"/>
      <c r="WU3" s="120"/>
      <c r="WV3" s="120"/>
      <c r="WW3" s="120"/>
      <c r="WX3" s="120"/>
      <c r="WY3" s="120"/>
      <c r="WZ3" s="120"/>
      <c r="XA3" s="120"/>
      <c r="XB3" s="120"/>
      <c r="XC3" s="120"/>
      <c r="XD3" s="120"/>
      <c r="XE3" s="120"/>
      <c r="XF3" s="120"/>
      <c r="XG3" s="120"/>
      <c r="XH3" s="120"/>
      <c r="XI3" s="120"/>
      <c r="XJ3" s="120"/>
      <c r="XK3" s="120"/>
      <c r="XL3" s="120"/>
      <c r="XM3" s="120"/>
      <c r="XN3" s="120"/>
      <c r="XO3" s="120"/>
      <c r="XP3" s="120"/>
      <c r="XQ3" s="120"/>
      <c r="XR3" s="120"/>
      <c r="XS3" s="120"/>
      <c r="XT3" s="120"/>
      <c r="XU3" s="120"/>
      <c r="XV3" s="120"/>
      <c r="XW3" s="120"/>
      <c r="XX3" s="120"/>
      <c r="XY3" s="120"/>
      <c r="XZ3" s="120"/>
      <c r="YA3" s="120"/>
      <c r="YB3" s="120"/>
      <c r="YC3" s="120"/>
      <c r="YD3" s="120"/>
      <c r="YE3" s="120"/>
      <c r="YF3" s="120"/>
      <c r="YG3" s="120"/>
      <c r="YH3" s="120"/>
      <c r="YI3" s="120"/>
      <c r="YJ3" s="120"/>
      <c r="YK3" s="120"/>
      <c r="YL3" s="120"/>
      <c r="YM3" s="120"/>
      <c r="YN3" s="120"/>
      <c r="YO3" s="120"/>
      <c r="YP3" s="120"/>
      <c r="YQ3" s="120"/>
      <c r="YR3" s="120"/>
      <c r="YS3" s="120"/>
      <c r="YT3" s="120"/>
      <c r="YU3" s="120"/>
      <c r="YV3" s="120"/>
      <c r="YW3" s="120"/>
      <c r="YX3" s="120"/>
      <c r="YY3" s="120"/>
      <c r="YZ3" s="120"/>
      <c r="ZA3" s="120"/>
      <c r="ZB3" s="120"/>
      <c r="ZC3" s="120"/>
      <c r="ZD3" s="120"/>
      <c r="ZE3" s="120"/>
      <c r="ZF3" s="120"/>
      <c r="ZG3" s="120"/>
      <c r="ZH3" s="120"/>
      <c r="ZI3" s="120"/>
      <c r="ZJ3" s="120"/>
      <c r="ZK3" s="120"/>
      <c r="ZL3" s="120"/>
      <c r="ZM3" s="120"/>
      <c r="ZN3" s="120"/>
      <c r="ZO3" s="120"/>
      <c r="ZP3" s="120"/>
      <c r="ZQ3" s="120"/>
      <c r="ZR3" s="120"/>
      <c r="ZS3" s="120"/>
      <c r="ZT3" s="120"/>
      <c r="ZU3" s="120"/>
      <c r="ZV3" s="120"/>
      <c r="ZW3" s="120"/>
      <c r="ZX3" s="120"/>
      <c r="ZY3" s="120"/>
      <c r="ZZ3" s="120"/>
      <c r="AAA3" s="120"/>
      <c r="AAB3" s="120"/>
      <c r="AAC3" s="120"/>
      <c r="AAD3" s="120"/>
      <c r="AAE3" s="120"/>
      <c r="AAF3" s="120"/>
      <c r="AAG3" s="120"/>
      <c r="AAH3" s="120"/>
      <c r="AAI3" s="120"/>
      <c r="AAJ3" s="120"/>
      <c r="AAK3" s="120"/>
      <c r="AAL3" s="120"/>
      <c r="AAM3" s="120"/>
      <c r="AAN3" s="120"/>
      <c r="AAO3" s="120"/>
      <c r="AAP3" s="120"/>
      <c r="AAQ3" s="120"/>
      <c r="AAR3" s="120"/>
      <c r="AAS3" s="120"/>
      <c r="AAT3" s="120"/>
      <c r="AAU3" s="120"/>
      <c r="AAV3" s="120"/>
      <c r="AAW3" s="120"/>
      <c r="AAX3" s="120"/>
      <c r="AAY3" s="120"/>
      <c r="AAZ3" s="120"/>
      <c r="ABA3" s="120"/>
      <c r="ABB3" s="120"/>
      <c r="ABC3" s="120"/>
      <c r="ABD3" s="120"/>
      <c r="ABE3" s="120"/>
      <c r="ABF3" s="120"/>
      <c r="ABG3" s="120"/>
      <c r="ABH3" s="120"/>
      <c r="ABI3" s="120"/>
      <c r="ABJ3" s="120"/>
      <c r="ABK3" s="120"/>
      <c r="ABL3" s="120"/>
      <c r="ABM3" s="120"/>
      <c r="ABN3" s="120"/>
      <c r="ABO3" s="120"/>
      <c r="ABP3" s="120"/>
      <c r="ABQ3" s="120"/>
      <c r="ABR3" s="120"/>
      <c r="ABS3" s="120"/>
      <c r="ABT3" s="120"/>
      <c r="ABU3" s="120"/>
      <c r="ABV3" s="120"/>
      <c r="ABW3" s="120"/>
      <c r="ABX3" s="120"/>
      <c r="ABY3" s="120"/>
      <c r="ABZ3" s="120"/>
      <c r="ACA3" s="120"/>
      <c r="ACB3" s="120"/>
      <c r="ACC3" s="120"/>
      <c r="ACD3" s="120"/>
      <c r="ACE3" s="120"/>
      <c r="ACF3" s="120"/>
      <c r="ACG3" s="120"/>
      <c r="ACH3" s="120"/>
      <c r="ACI3" s="120"/>
      <c r="ACJ3" s="120"/>
      <c r="ACK3" s="120"/>
      <c r="ACL3" s="120"/>
      <c r="ACM3" s="120"/>
      <c r="ACN3" s="120"/>
      <c r="ACO3" s="120"/>
      <c r="ACP3" s="120"/>
      <c r="ACQ3" s="120"/>
      <c r="ACR3" s="120"/>
      <c r="ACS3" s="120"/>
      <c r="ACT3" s="120"/>
      <c r="ACU3" s="120"/>
      <c r="ACV3" s="120"/>
      <c r="ACW3" s="120"/>
      <c r="ACX3" s="120"/>
      <c r="ACY3" s="120"/>
      <c r="ACZ3" s="120"/>
      <c r="ADA3" s="120"/>
      <c r="ADB3" s="120"/>
      <c r="ADC3" s="120"/>
      <c r="ADD3" s="120"/>
      <c r="ADE3" s="120"/>
      <c r="ADF3" s="120"/>
      <c r="ADG3" s="120"/>
      <c r="ADH3" s="120"/>
      <c r="ADI3" s="120"/>
      <c r="ADJ3" s="120"/>
      <c r="ADK3" s="120"/>
      <c r="ADL3" s="120"/>
      <c r="ADM3" s="120"/>
      <c r="ADN3" s="120"/>
      <c r="ADO3" s="120"/>
      <c r="ADP3" s="120"/>
      <c r="ADQ3" s="120"/>
      <c r="ADR3" s="120"/>
      <c r="ADS3" s="120"/>
      <c r="ADT3" s="120"/>
      <c r="ADU3" s="120"/>
      <c r="ADV3" s="120"/>
      <c r="ADW3" s="120"/>
      <c r="ADX3" s="120"/>
      <c r="ADY3" s="120"/>
      <c r="ADZ3" s="120"/>
      <c r="AEA3" s="120"/>
      <c r="AEB3" s="120"/>
      <c r="AEC3" s="120"/>
      <c r="AED3" s="120"/>
      <c r="AEE3" s="120"/>
      <c r="AEF3" s="120"/>
      <c r="AEG3" s="120"/>
      <c r="AEH3" s="120"/>
      <c r="AEI3" s="120"/>
      <c r="AEJ3" s="120"/>
      <c r="AEK3" s="120"/>
      <c r="AEL3" s="120"/>
      <c r="AEM3" s="120"/>
      <c r="AEN3" s="120"/>
      <c r="AEO3" s="120"/>
      <c r="AEP3" s="120"/>
      <c r="AEQ3" s="120"/>
      <c r="AER3" s="120"/>
      <c r="AES3" s="120"/>
      <c r="AET3" s="120"/>
      <c r="AEU3" s="120"/>
      <c r="AEV3" s="120"/>
      <c r="AEW3" s="120"/>
      <c r="AEX3" s="120"/>
      <c r="AEY3" s="120"/>
      <c r="AEZ3" s="120"/>
      <c r="AFA3" s="120"/>
      <c r="AFB3" s="120"/>
      <c r="AFC3" s="120"/>
      <c r="AFD3" s="120"/>
      <c r="AFE3" s="120"/>
      <c r="AFF3" s="120"/>
      <c r="AFG3" s="120"/>
      <c r="AFH3" s="120"/>
      <c r="AFI3" s="120"/>
      <c r="AFJ3" s="120"/>
      <c r="AFK3" s="120"/>
      <c r="AFL3" s="120"/>
      <c r="AFM3" s="120"/>
      <c r="AFN3" s="120"/>
      <c r="AFO3" s="120"/>
      <c r="AFP3" s="120"/>
      <c r="AFQ3" s="120"/>
      <c r="AFR3" s="120"/>
      <c r="AFS3" s="120"/>
      <c r="AFT3" s="120"/>
      <c r="AFU3" s="120"/>
      <c r="AFV3" s="120"/>
      <c r="AFW3" s="120"/>
      <c r="AFX3" s="120"/>
      <c r="AFY3" s="120"/>
      <c r="AFZ3" s="120"/>
      <c r="AGA3" s="120"/>
      <c r="AGB3" s="120"/>
      <c r="AGC3" s="120"/>
      <c r="AGD3" s="120"/>
      <c r="AGE3" s="120"/>
      <c r="AGF3" s="120"/>
      <c r="AGG3" s="120"/>
      <c r="AGH3" s="120"/>
      <c r="AGI3" s="120"/>
      <c r="AGJ3" s="120"/>
      <c r="AGK3" s="120"/>
      <c r="AGL3" s="120"/>
      <c r="AGM3" s="120"/>
      <c r="AGN3" s="120"/>
      <c r="AGO3" s="120"/>
      <c r="AGP3" s="120"/>
      <c r="AGQ3" s="120"/>
      <c r="AGR3" s="120"/>
      <c r="AGS3" s="120"/>
      <c r="AGT3" s="120"/>
      <c r="AGU3" s="120"/>
      <c r="AGV3" s="120"/>
      <c r="AGW3" s="120"/>
      <c r="AGX3" s="120"/>
      <c r="AGY3" s="120"/>
      <c r="AGZ3" s="120"/>
      <c r="AHA3" s="120"/>
      <c r="AHB3" s="120"/>
      <c r="AHC3" s="120"/>
      <c r="AHD3" s="120"/>
      <c r="AHE3" s="120"/>
      <c r="AHF3" s="120"/>
      <c r="AHG3" s="120"/>
      <c r="AHH3" s="120"/>
      <c r="AHI3" s="120"/>
      <c r="AHJ3" s="120"/>
      <c r="AHK3" s="120"/>
      <c r="AHL3" s="120"/>
      <c r="AHM3" s="120"/>
      <c r="AHN3" s="120"/>
      <c r="AHO3" s="120"/>
      <c r="AHP3" s="120"/>
      <c r="AHQ3" s="120"/>
      <c r="AHR3" s="120"/>
      <c r="AHS3" s="120"/>
      <c r="AHT3" s="120"/>
      <c r="AHU3" s="120"/>
      <c r="AHV3" s="120"/>
      <c r="AHW3" s="120"/>
      <c r="AHX3" s="120"/>
      <c r="AHY3" s="120"/>
      <c r="AHZ3" s="120"/>
      <c r="AIA3" s="120"/>
      <c r="AIB3" s="120"/>
      <c r="AIC3" s="120"/>
      <c r="AID3" s="120"/>
      <c r="AIE3" s="120"/>
      <c r="AIF3" s="120"/>
      <c r="AIG3" s="120"/>
      <c r="AIH3" s="120"/>
      <c r="AII3" s="120"/>
      <c r="AIJ3" s="120"/>
      <c r="AIK3" s="120"/>
      <c r="AIL3" s="120"/>
      <c r="AIM3" s="120"/>
      <c r="AIN3" s="120"/>
      <c r="AIO3" s="120"/>
      <c r="AIP3" s="120"/>
      <c r="AIQ3" s="120"/>
      <c r="AIR3" s="120"/>
      <c r="AIS3" s="120"/>
      <c r="AIT3" s="120"/>
      <c r="AIU3" s="120"/>
      <c r="AIV3" s="120"/>
      <c r="AIW3" s="120"/>
      <c r="AIX3" s="120"/>
      <c r="AIY3" s="120"/>
      <c r="AIZ3" s="120"/>
      <c r="AJA3" s="120"/>
      <c r="AJB3" s="120"/>
      <c r="AJC3" s="120"/>
      <c r="AJD3" s="120"/>
      <c r="AJE3" s="120"/>
      <c r="AJF3" s="120"/>
      <c r="AJG3" s="120"/>
      <c r="AJH3" s="120"/>
      <c r="AJI3" s="120"/>
      <c r="AJJ3" s="120"/>
      <c r="AJK3" s="120"/>
      <c r="AJL3" s="120"/>
      <c r="AJM3" s="120"/>
      <c r="AJN3" s="120"/>
      <c r="AJO3" s="120"/>
      <c r="AJP3" s="120"/>
      <c r="AJQ3" s="120"/>
      <c r="AJR3" s="120"/>
      <c r="AJS3" s="120"/>
      <c r="AJT3" s="120"/>
      <c r="AJU3" s="120"/>
      <c r="AJV3" s="120"/>
      <c r="AJW3" s="120"/>
      <c r="AJX3" s="120"/>
      <c r="AJY3" s="120"/>
      <c r="AJZ3" s="120"/>
      <c r="AKA3" s="120"/>
      <c r="AKB3" s="120"/>
      <c r="AKC3" s="120"/>
      <c r="AKD3" s="120"/>
      <c r="AKE3" s="120"/>
      <c r="AKF3" s="120"/>
      <c r="AKG3" s="120"/>
      <c r="AKH3" s="120"/>
      <c r="AKI3" s="120"/>
      <c r="AKJ3" s="120"/>
      <c r="AKK3" s="120"/>
      <c r="AKL3" s="120"/>
      <c r="AKM3" s="120"/>
      <c r="AKN3" s="120"/>
      <c r="AKO3" s="120"/>
      <c r="AKP3" s="120"/>
      <c r="AKQ3" s="120"/>
      <c r="AKR3" s="120"/>
      <c r="AKS3" s="120"/>
      <c r="AKT3" s="120"/>
      <c r="AKU3" s="120"/>
      <c r="AKV3" s="120"/>
      <c r="AKW3" s="120"/>
      <c r="AKX3" s="120"/>
      <c r="AKY3" s="120"/>
      <c r="AKZ3" s="120"/>
      <c r="ALA3" s="120"/>
      <c r="ALB3" s="120"/>
      <c r="ALC3" s="120"/>
      <c r="ALD3" s="120"/>
      <c r="ALE3" s="120"/>
      <c r="ALF3" s="120"/>
      <c r="ALG3" s="120"/>
      <c r="ALH3" s="120"/>
      <c r="ALI3" s="120"/>
      <c r="ALJ3" s="120"/>
      <c r="ALK3" s="120"/>
      <c r="ALL3" s="120"/>
      <c r="ALM3" s="120"/>
      <c r="ALN3" s="120"/>
      <c r="ALO3" s="120"/>
      <c r="ALP3" s="120"/>
      <c r="ALQ3" s="120"/>
      <c r="ALR3" s="120"/>
      <c r="ALS3" s="120"/>
      <c r="ALT3" s="120"/>
      <c r="ALU3" s="120"/>
      <c r="ALV3" s="120"/>
      <c r="ALW3" s="120"/>
      <c r="ALX3" s="120"/>
      <c r="ALY3" s="120"/>
      <c r="ALZ3" s="120"/>
      <c r="AMA3" s="120"/>
      <c r="AMB3" s="120"/>
      <c r="AMC3" s="120"/>
      <c r="AMD3" s="120"/>
      <c r="AME3" s="120"/>
      <c r="AMF3" s="120"/>
      <c r="AMG3" s="120"/>
      <c r="AMH3" s="120"/>
      <c r="AMI3" s="120"/>
      <c r="AMJ3" s="120"/>
      <c r="AMK3" s="120"/>
      <c r="AML3" s="120"/>
      <c r="AMM3" s="120"/>
      <c r="AMN3" s="120"/>
      <c r="AMO3" s="120"/>
      <c r="AMP3" s="120"/>
      <c r="AMQ3" s="120"/>
      <c r="AMR3" s="120"/>
      <c r="AMS3" s="120"/>
      <c r="AMT3" s="120"/>
      <c r="AMU3" s="120"/>
      <c r="AMV3" s="120"/>
      <c r="AMW3" s="120"/>
      <c r="AMX3" s="120"/>
      <c r="AMY3" s="120"/>
      <c r="AMZ3" s="120"/>
      <c r="ANA3" s="120"/>
      <c r="ANB3" s="120"/>
      <c r="ANC3" s="120"/>
      <c r="AND3" s="120"/>
      <c r="ANE3" s="120"/>
      <c r="ANF3" s="120"/>
      <c r="ANG3" s="120"/>
      <c r="ANH3" s="120"/>
      <c r="ANI3" s="120"/>
      <c r="ANJ3" s="120"/>
      <c r="ANK3" s="120"/>
      <c r="ANL3" s="120"/>
      <c r="ANM3" s="120"/>
      <c r="ANN3" s="120"/>
      <c r="ANO3" s="120"/>
      <c r="ANP3" s="120"/>
      <c r="ANQ3" s="120"/>
      <c r="ANR3" s="120"/>
      <c r="ANS3" s="120"/>
      <c r="ANT3" s="120"/>
      <c r="ANU3" s="120"/>
      <c r="ANV3" s="120"/>
      <c r="ANW3" s="120"/>
      <c r="ANX3" s="120"/>
      <c r="ANY3" s="120"/>
      <c r="ANZ3" s="120"/>
      <c r="AOA3" s="120"/>
      <c r="AOB3" s="120"/>
      <c r="AOC3" s="120"/>
      <c r="AOD3" s="120"/>
      <c r="AOE3" s="120"/>
      <c r="AOF3" s="120"/>
      <c r="AOG3" s="120"/>
      <c r="AOH3" s="120"/>
      <c r="AOI3" s="120"/>
      <c r="AOJ3" s="120"/>
      <c r="AOK3" s="120"/>
      <c r="AOL3" s="120"/>
      <c r="AOM3" s="120"/>
      <c r="AON3" s="120"/>
      <c r="AOO3" s="120"/>
      <c r="AOP3" s="120"/>
      <c r="AOQ3" s="120"/>
      <c r="AOR3" s="120"/>
      <c r="AOS3" s="120"/>
      <c r="AOT3" s="120"/>
      <c r="AOU3" s="120"/>
      <c r="AOV3" s="120"/>
      <c r="AOW3" s="120"/>
      <c r="AOX3" s="120"/>
      <c r="AOY3" s="120"/>
      <c r="AOZ3" s="120"/>
      <c r="APA3" s="120"/>
      <c r="APB3" s="120"/>
      <c r="APC3" s="120"/>
      <c r="APD3" s="120"/>
      <c r="APE3" s="120"/>
      <c r="APF3" s="120"/>
      <c r="APG3" s="120"/>
      <c r="APH3" s="120"/>
      <c r="API3" s="120"/>
      <c r="APJ3" s="120"/>
      <c r="APK3" s="120"/>
      <c r="APL3" s="120"/>
      <c r="APM3" s="120"/>
      <c r="APN3" s="120"/>
      <c r="APO3" s="120"/>
      <c r="APP3" s="120"/>
      <c r="APQ3" s="120"/>
      <c r="APR3" s="120"/>
      <c r="APS3" s="120"/>
      <c r="APT3" s="120"/>
      <c r="APU3" s="120"/>
      <c r="APV3" s="120"/>
      <c r="APW3" s="120"/>
      <c r="APX3" s="120"/>
      <c r="APY3" s="120"/>
      <c r="APZ3" s="120"/>
      <c r="AQA3" s="120"/>
      <c r="AQB3" s="120"/>
      <c r="AQC3" s="120"/>
      <c r="AQD3" s="120"/>
      <c r="AQE3" s="120"/>
      <c r="AQF3" s="120"/>
      <c r="AQG3" s="120"/>
      <c r="AQH3" s="120"/>
      <c r="AQI3" s="120"/>
      <c r="AQJ3" s="120"/>
      <c r="AQK3" s="120"/>
      <c r="AQL3" s="120"/>
      <c r="AQM3" s="120"/>
      <c r="AQN3" s="120"/>
      <c r="AQO3" s="120"/>
      <c r="AQP3" s="120"/>
      <c r="AQQ3" s="120"/>
      <c r="AQR3" s="120"/>
      <c r="AQS3" s="120"/>
      <c r="AQT3" s="120"/>
      <c r="AQU3" s="120"/>
      <c r="AQV3" s="120"/>
      <c r="AQW3" s="120"/>
      <c r="AQX3" s="120"/>
      <c r="AQY3" s="120"/>
      <c r="AQZ3" s="120"/>
      <c r="ARA3" s="120"/>
      <c r="ARB3" s="120"/>
      <c r="ARC3" s="120"/>
      <c r="ARD3" s="120"/>
      <c r="ARE3" s="120"/>
      <c r="ARF3" s="120"/>
      <c r="ARG3" s="120"/>
      <c r="ARH3" s="120"/>
      <c r="ARI3" s="120"/>
      <c r="ARJ3" s="120"/>
      <c r="ARK3" s="120"/>
      <c r="ARL3" s="120"/>
      <c r="ARM3" s="120"/>
      <c r="ARN3" s="120"/>
      <c r="ARO3" s="120"/>
      <c r="ARP3" s="120"/>
      <c r="ARQ3" s="120"/>
      <c r="ARR3" s="120"/>
      <c r="ARS3" s="120"/>
      <c r="ART3" s="120"/>
      <c r="ARU3" s="120"/>
      <c r="ARV3" s="120"/>
      <c r="ARW3" s="120"/>
      <c r="ARX3" s="120"/>
      <c r="ARY3" s="120"/>
      <c r="ARZ3" s="120"/>
      <c r="ASA3" s="120"/>
      <c r="ASB3" s="120"/>
      <c r="ASC3" s="120"/>
      <c r="ASD3" s="120"/>
      <c r="ASE3" s="120"/>
      <c r="ASF3" s="120"/>
      <c r="ASG3" s="120"/>
      <c r="ASH3" s="120"/>
      <c r="ASI3" s="120"/>
      <c r="ASJ3" s="120"/>
      <c r="ASK3" s="120"/>
      <c r="ASL3" s="120"/>
      <c r="ASM3" s="120"/>
      <c r="ASN3" s="120"/>
      <c r="ASO3" s="120"/>
      <c r="ASP3" s="120"/>
      <c r="ASQ3" s="120"/>
      <c r="ASR3" s="120"/>
      <c r="ASS3" s="120"/>
      <c r="AST3" s="120"/>
      <c r="ASU3" s="120"/>
      <c r="ASV3" s="120"/>
      <c r="ASW3" s="120"/>
      <c r="ASX3" s="120"/>
      <c r="ASY3" s="120"/>
      <c r="ASZ3" s="120"/>
      <c r="ATA3" s="120"/>
      <c r="ATB3" s="120"/>
      <c r="ATC3" s="120"/>
      <c r="ATD3" s="120"/>
      <c r="ATE3" s="120"/>
      <c r="ATF3" s="120"/>
      <c r="ATG3" s="120"/>
      <c r="ATH3" s="120"/>
      <c r="ATI3" s="120"/>
      <c r="ATJ3" s="120"/>
      <c r="ATK3" s="120"/>
      <c r="ATL3" s="120"/>
      <c r="ATM3" s="120"/>
      <c r="ATN3" s="120"/>
      <c r="ATO3" s="120"/>
      <c r="ATP3" s="120"/>
      <c r="ATQ3" s="120"/>
      <c r="ATR3" s="120"/>
      <c r="ATS3" s="120"/>
      <c r="ATT3" s="120"/>
      <c r="ATU3" s="120"/>
      <c r="ATV3" s="120"/>
      <c r="ATW3" s="120"/>
      <c r="ATX3" s="120"/>
      <c r="ATY3" s="120"/>
      <c r="ATZ3" s="120"/>
      <c r="AUA3" s="120"/>
      <c r="AUB3" s="120"/>
      <c r="AUC3" s="120"/>
      <c r="AUD3" s="120"/>
      <c r="AUE3" s="120"/>
      <c r="AUF3" s="120"/>
      <c r="AUG3" s="120"/>
      <c r="AUH3" s="120"/>
      <c r="AUI3" s="120"/>
      <c r="AUJ3" s="120"/>
      <c r="AUK3" s="120"/>
      <c r="AUL3" s="120"/>
      <c r="AUM3" s="120"/>
      <c r="AUN3" s="120"/>
      <c r="AUO3" s="120"/>
      <c r="AUP3" s="120"/>
      <c r="AUQ3" s="120"/>
      <c r="AUR3" s="120"/>
      <c r="AUS3" s="120"/>
      <c r="AUT3" s="120"/>
      <c r="AUU3" s="120"/>
      <c r="AUV3" s="120"/>
      <c r="AUW3" s="120"/>
      <c r="AUX3" s="120"/>
      <c r="AUY3" s="120"/>
      <c r="AUZ3" s="120"/>
      <c r="AVA3" s="120"/>
      <c r="AVB3" s="120"/>
      <c r="AVC3" s="120"/>
      <c r="AVD3" s="120"/>
      <c r="AVE3" s="120"/>
      <c r="AVF3" s="120"/>
      <c r="AVG3" s="120"/>
      <c r="AVH3" s="120"/>
      <c r="AVI3" s="120"/>
      <c r="AVJ3" s="120"/>
      <c r="AVK3" s="120"/>
      <c r="AVL3" s="120"/>
      <c r="AVM3" s="120"/>
      <c r="AVN3" s="120"/>
      <c r="AVO3" s="120"/>
      <c r="AVP3" s="120"/>
      <c r="AVQ3" s="120"/>
      <c r="AVR3" s="120"/>
      <c r="AVS3" s="120"/>
      <c r="AVT3" s="120"/>
      <c r="AVU3" s="120"/>
      <c r="AVV3" s="120"/>
      <c r="AVW3" s="120"/>
      <c r="AVX3" s="120"/>
      <c r="AVY3" s="120"/>
      <c r="AVZ3" s="120"/>
      <c r="AWA3" s="120"/>
      <c r="AWB3" s="120"/>
      <c r="AWC3" s="120"/>
      <c r="AWD3" s="120"/>
      <c r="AWE3" s="120"/>
      <c r="AWF3" s="120"/>
      <c r="AWG3" s="120"/>
      <c r="AWH3" s="120"/>
      <c r="AWI3" s="120"/>
      <c r="AWJ3" s="120"/>
      <c r="AWK3" s="120"/>
      <c r="AWL3" s="120"/>
      <c r="AWM3" s="120"/>
      <c r="AWN3" s="120"/>
      <c r="AWO3" s="120"/>
      <c r="AWP3" s="120"/>
      <c r="AWQ3" s="120"/>
      <c r="AWR3" s="120"/>
      <c r="AWS3" s="120"/>
      <c r="AWT3" s="120"/>
      <c r="AWU3" s="120"/>
      <c r="AWV3" s="120"/>
      <c r="AWW3" s="120"/>
      <c r="AWX3" s="120"/>
      <c r="AWY3" s="120"/>
      <c r="AWZ3" s="120"/>
      <c r="AXA3" s="120"/>
      <c r="AXB3" s="120"/>
      <c r="AXC3" s="120"/>
      <c r="AXD3" s="120"/>
      <c r="AXE3" s="120"/>
      <c r="AXF3" s="120"/>
      <c r="AXG3" s="120"/>
      <c r="AXH3" s="120"/>
      <c r="AXI3" s="120"/>
      <c r="AXJ3" s="120"/>
      <c r="AXK3" s="120"/>
      <c r="AXL3" s="120"/>
      <c r="AXM3" s="120"/>
      <c r="AXN3" s="120"/>
      <c r="AXO3" s="120"/>
      <c r="AXP3" s="120"/>
      <c r="AXQ3" s="120"/>
      <c r="AXR3" s="120"/>
      <c r="AXS3" s="120"/>
      <c r="AXT3" s="120"/>
      <c r="AXU3" s="120"/>
      <c r="AXV3" s="120"/>
      <c r="AXW3" s="120"/>
      <c r="AXX3" s="120"/>
      <c r="AXY3" s="120"/>
      <c r="AXZ3" s="120"/>
      <c r="AYA3" s="120"/>
      <c r="AYB3" s="120"/>
      <c r="AYC3" s="120"/>
      <c r="AYD3" s="120"/>
      <c r="AYE3" s="120"/>
      <c r="AYF3" s="120"/>
      <c r="AYG3" s="120"/>
      <c r="AYH3" s="120"/>
      <c r="AYI3" s="120"/>
      <c r="AYJ3" s="120"/>
      <c r="AYK3" s="120"/>
      <c r="AYL3" s="120"/>
      <c r="AYM3" s="120"/>
      <c r="AYN3" s="120"/>
      <c r="AYO3" s="120"/>
      <c r="AYP3" s="120"/>
      <c r="AYQ3" s="120"/>
      <c r="AYR3" s="120"/>
      <c r="AYS3" s="120"/>
      <c r="AYT3" s="120"/>
      <c r="AYU3" s="120"/>
      <c r="AYV3" s="120"/>
      <c r="AYW3" s="120"/>
      <c r="AYX3" s="120"/>
      <c r="AYY3" s="120"/>
      <c r="AYZ3" s="120"/>
      <c r="AZA3" s="120"/>
      <c r="AZB3" s="120"/>
      <c r="AZC3" s="120"/>
      <c r="AZD3" s="120"/>
      <c r="AZE3" s="120"/>
      <c r="AZF3" s="120"/>
      <c r="AZG3" s="120"/>
      <c r="AZH3" s="120"/>
      <c r="AZI3" s="120"/>
      <c r="AZJ3" s="120"/>
      <c r="AZK3" s="120"/>
      <c r="AZL3" s="120"/>
      <c r="AZM3" s="120"/>
      <c r="AZN3" s="120"/>
      <c r="AZO3" s="120"/>
      <c r="AZP3" s="120"/>
      <c r="AZQ3" s="120"/>
      <c r="AZR3" s="120"/>
      <c r="AZS3" s="120"/>
      <c r="AZT3" s="120"/>
      <c r="AZU3" s="120"/>
      <c r="AZV3" s="120"/>
      <c r="AZW3" s="120"/>
      <c r="AZX3" s="120"/>
      <c r="AZY3" s="120"/>
      <c r="AZZ3" s="120"/>
      <c r="BAA3" s="120"/>
      <c r="BAB3" s="120"/>
      <c r="BAC3" s="120"/>
      <c r="BAD3" s="120"/>
      <c r="BAE3" s="120"/>
      <c r="BAF3" s="120"/>
      <c r="BAG3" s="120"/>
      <c r="BAH3" s="120"/>
      <c r="BAI3" s="120"/>
      <c r="BAJ3" s="120"/>
      <c r="BAK3" s="120"/>
      <c r="BAL3" s="120"/>
      <c r="BAM3" s="120"/>
      <c r="BAN3" s="120"/>
      <c r="BAO3" s="120"/>
      <c r="BAP3" s="120"/>
      <c r="BAQ3" s="120"/>
      <c r="BAR3" s="120"/>
      <c r="BAS3" s="120"/>
      <c r="BAT3" s="120"/>
      <c r="BAU3" s="120"/>
      <c r="BAV3" s="120"/>
      <c r="BAW3" s="120"/>
      <c r="BAX3" s="120"/>
      <c r="BAY3" s="120"/>
      <c r="BAZ3" s="120"/>
      <c r="BBA3" s="120"/>
      <c r="BBB3" s="120"/>
      <c r="BBC3" s="120"/>
      <c r="BBD3" s="120"/>
      <c r="BBE3" s="120"/>
      <c r="BBF3" s="120"/>
      <c r="BBG3" s="120"/>
      <c r="BBH3" s="120"/>
      <c r="BBI3" s="120"/>
      <c r="BBJ3" s="120"/>
      <c r="BBK3" s="120"/>
      <c r="BBL3" s="120"/>
      <c r="BBM3" s="120"/>
      <c r="BBN3" s="120"/>
      <c r="BBO3" s="120"/>
      <c r="BBP3" s="120"/>
      <c r="BBQ3" s="120"/>
      <c r="BBR3" s="120"/>
      <c r="BBS3" s="120"/>
      <c r="BBT3" s="120"/>
      <c r="BBU3" s="120"/>
      <c r="BBV3" s="120"/>
      <c r="BBW3" s="120"/>
      <c r="BBX3" s="120"/>
      <c r="BBY3" s="120"/>
      <c r="BBZ3" s="120"/>
      <c r="BCA3" s="120"/>
      <c r="BCB3" s="120"/>
      <c r="BCC3" s="120"/>
      <c r="BCD3" s="120"/>
      <c r="BCE3" s="120"/>
      <c r="BCF3" s="120"/>
      <c r="BCG3" s="120"/>
      <c r="BCH3" s="120"/>
      <c r="BCI3" s="120"/>
      <c r="BCJ3" s="120"/>
      <c r="BCK3" s="120"/>
      <c r="BCL3" s="120"/>
      <c r="BCM3" s="120"/>
      <c r="BCN3" s="120"/>
      <c r="BCO3" s="120"/>
      <c r="BCP3" s="120"/>
      <c r="BCQ3" s="120"/>
      <c r="BCR3" s="120"/>
      <c r="BCS3" s="120"/>
      <c r="BCT3" s="120"/>
      <c r="BCU3" s="120"/>
      <c r="BCV3" s="120"/>
      <c r="BCW3" s="120"/>
      <c r="BCX3" s="120"/>
      <c r="BCY3" s="120"/>
      <c r="BCZ3" s="120"/>
      <c r="BDA3" s="120"/>
      <c r="BDB3" s="120"/>
      <c r="BDC3" s="120"/>
      <c r="BDD3" s="120"/>
      <c r="BDE3" s="120"/>
      <c r="BDF3" s="120"/>
      <c r="BDG3" s="120"/>
      <c r="BDH3" s="120"/>
      <c r="BDI3" s="120"/>
      <c r="BDJ3" s="120"/>
      <c r="BDK3" s="120"/>
      <c r="BDL3" s="120"/>
      <c r="BDM3" s="120"/>
      <c r="BDN3" s="120"/>
      <c r="BDO3" s="120"/>
      <c r="BDP3" s="120"/>
      <c r="BDQ3" s="120"/>
      <c r="BDR3" s="120"/>
      <c r="BDS3" s="120"/>
      <c r="BDT3" s="120"/>
      <c r="BDU3" s="120"/>
      <c r="BDV3" s="120"/>
      <c r="BDW3" s="120"/>
      <c r="BDX3" s="120"/>
      <c r="BDY3" s="120"/>
      <c r="BDZ3" s="120"/>
      <c r="BEA3" s="120"/>
      <c r="BEB3" s="120"/>
      <c r="BEC3" s="120"/>
      <c r="BED3" s="120"/>
      <c r="BEE3" s="120"/>
      <c r="BEF3" s="120"/>
      <c r="BEG3" s="120"/>
      <c r="BEH3" s="120"/>
      <c r="BEI3" s="120"/>
      <c r="BEJ3" s="120"/>
      <c r="BEK3" s="120"/>
      <c r="BEL3" s="120"/>
      <c r="BEM3" s="120"/>
      <c r="BEN3" s="120"/>
      <c r="BEO3" s="120"/>
      <c r="BEP3" s="120"/>
      <c r="BEQ3" s="120"/>
      <c r="BER3" s="120"/>
      <c r="BES3" s="120"/>
      <c r="BET3" s="120"/>
      <c r="BEU3" s="120"/>
      <c r="BEV3" s="120"/>
      <c r="BEW3" s="120"/>
      <c r="BEX3" s="120"/>
      <c r="BEY3" s="120"/>
      <c r="BEZ3" s="120"/>
      <c r="BFA3" s="120"/>
      <c r="BFB3" s="120"/>
      <c r="BFC3" s="120"/>
      <c r="BFD3" s="120"/>
      <c r="BFE3" s="120"/>
      <c r="BFF3" s="120"/>
      <c r="BFG3" s="120"/>
      <c r="BFH3" s="120"/>
      <c r="BFI3" s="120"/>
      <c r="BFJ3" s="120"/>
      <c r="BFK3" s="120"/>
      <c r="BFL3" s="120"/>
      <c r="BFM3" s="120"/>
      <c r="BFN3" s="120"/>
      <c r="BFO3" s="120"/>
      <c r="BFP3" s="120"/>
      <c r="BFQ3" s="120"/>
      <c r="BFR3" s="120"/>
      <c r="BFS3" s="120"/>
      <c r="BFT3" s="120"/>
      <c r="BFU3" s="120"/>
      <c r="BFV3" s="120"/>
      <c r="BFW3" s="120"/>
      <c r="BFX3" s="120"/>
      <c r="BFY3" s="120"/>
      <c r="BFZ3" s="120"/>
      <c r="BGA3" s="120"/>
      <c r="BGB3" s="120"/>
      <c r="BGC3" s="120"/>
      <c r="BGD3" s="120"/>
      <c r="BGE3" s="120"/>
      <c r="BGF3" s="120"/>
      <c r="BGG3" s="120"/>
      <c r="BGH3" s="120"/>
      <c r="BGI3" s="120"/>
      <c r="BGJ3" s="120"/>
      <c r="BGK3" s="120"/>
      <c r="BGL3" s="120"/>
      <c r="BGM3" s="120"/>
      <c r="BGN3" s="120"/>
      <c r="BGO3" s="120"/>
      <c r="BGP3" s="120"/>
      <c r="BGQ3" s="120"/>
      <c r="BGR3" s="120"/>
      <c r="BGS3" s="120"/>
      <c r="BGT3" s="120"/>
      <c r="BGU3" s="120"/>
      <c r="BGV3" s="120"/>
      <c r="BGW3" s="120"/>
      <c r="BGX3" s="120"/>
      <c r="BGY3" s="120"/>
      <c r="BGZ3" s="120"/>
      <c r="BHA3" s="120"/>
      <c r="BHB3" s="120"/>
      <c r="BHC3" s="120"/>
      <c r="BHD3" s="120"/>
      <c r="BHE3" s="120"/>
      <c r="BHF3" s="120"/>
      <c r="BHG3" s="120"/>
      <c r="BHH3" s="120"/>
      <c r="BHI3" s="120"/>
      <c r="BHJ3" s="120"/>
      <c r="BHK3" s="120"/>
      <c r="BHL3" s="120"/>
      <c r="BHM3" s="120"/>
      <c r="BHN3" s="120"/>
      <c r="BHO3" s="120"/>
      <c r="BHP3" s="120"/>
      <c r="BHQ3" s="120"/>
      <c r="BHR3" s="120"/>
      <c r="BHS3" s="120"/>
      <c r="BHT3" s="120"/>
      <c r="BHU3" s="120"/>
      <c r="BHV3" s="120"/>
      <c r="BHW3" s="120"/>
      <c r="BHX3" s="120"/>
      <c r="BHY3" s="120"/>
      <c r="BHZ3" s="120"/>
      <c r="BIA3" s="120"/>
      <c r="BIB3" s="120"/>
      <c r="BIC3" s="120"/>
      <c r="BID3" s="120"/>
      <c r="BIE3" s="120"/>
      <c r="BIF3" s="120"/>
      <c r="BIG3" s="120"/>
      <c r="BIH3" s="120"/>
      <c r="BII3" s="120"/>
      <c r="BIJ3" s="120"/>
      <c r="BIK3" s="120"/>
      <c r="BIL3" s="120"/>
      <c r="BIM3" s="120"/>
      <c r="BIN3" s="120"/>
      <c r="BIO3" s="120"/>
      <c r="BIP3" s="120"/>
      <c r="BIQ3" s="120"/>
      <c r="BIR3" s="120"/>
      <c r="BIS3" s="120"/>
      <c r="BIT3" s="120"/>
      <c r="BIU3" s="120"/>
      <c r="BIV3" s="120"/>
      <c r="BIW3" s="120"/>
      <c r="BIX3" s="120"/>
      <c r="BIY3" s="120"/>
      <c r="BIZ3" s="120"/>
      <c r="BJA3" s="120"/>
      <c r="BJB3" s="120"/>
      <c r="BJC3" s="120"/>
      <c r="BJD3" s="120"/>
      <c r="BJE3" s="120"/>
      <c r="BJF3" s="120"/>
      <c r="BJG3" s="120"/>
      <c r="BJH3" s="120"/>
      <c r="BJI3" s="120"/>
      <c r="BJJ3" s="120"/>
      <c r="BJK3" s="120"/>
      <c r="BJL3" s="120"/>
      <c r="BJM3" s="120"/>
      <c r="BJN3" s="120"/>
      <c r="BJO3" s="120"/>
      <c r="BJP3" s="120"/>
      <c r="BJQ3" s="120"/>
      <c r="BJR3" s="120"/>
      <c r="BJS3" s="120"/>
      <c r="BJT3" s="120"/>
      <c r="BJU3" s="120"/>
      <c r="BJV3" s="120"/>
      <c r="BJW3" s="120"/>
      <c r="BJX3" s="120"/>
      <c r="BJY3" s="120"/>
      <c r="BJZ3" s="120"/>
      <c r="BKA3" s="120"/>
      <c r="BKB3" s="120"/>
      <c r="BKC3" s="120"/>
      <c r="BKD3" s="120"/>
      <c r="BKE3" s="120"/>
      <c r="BKF3" s="120"/>
      <c r="BKG3" s="120"/>
      <c r="BKH3" s="120"/>
      <c r="BKI3" s="120"/>
      <c r="BKJ3" s="120"/>
      <c r="BKK3" s="120"/>
      <c r="BKL3" s="120"/>
      <c r="BKM3" s="120"/>
      <c r="BKN3" s="120"/>
      <c r="BKO3" s="120"/>
      <c r="BKP3" s="120"/>
      <c r="BKQ3" s="120"/>
      <c r="BKR3" s="120"/>
      <c r="BKS3" s="120"/>
      <c r="BKT3" s="120"/>
      <c r="BKU3" s="120"/>
      <c r="BKV3" s="120"/>
      <c r="BKW3" s="120"/>
      <c r="BKX3" s="120"/>
      <c r="BKY3" s="120"/>
      <c r="BKZ3" s="120"/>
      <c r="BLA3" s="120"/>
      <c r="BLB3" s="120"/>
      <c r="BLC3" s="120"/>
      <c r="BLD3" s="120"/>
      <c r="BLE3" s="120"/>
      <c r="BLF3" s="120"/>
      <c r="BLG3" s="120"/>
      <c r="BLH3" s="120"/>
      <c r="BLI3" s="120"/>
      <c r="BLJ3" s="120"/>
      <c r="BLK3" s="120"/>
      <c r="BLL3" s="120"/>
      <c r="BLM3" s="120"/>
      <c r="BLN3" s="120"/>
      <c r="BLO3" s="120"/>
      <c r="BLP3" s="120"/>
      <c r="BLQ3" s="120"/>
      <c r="BLR3" s="120"/>
      <c r="BLS3" s="120"/>
      <c r="BLT3" s="120"/>
      <c r="BLU3" s="120"/>
      <c r="BLV3" s="120"/>
      <c r="BLW3" s="120"/>
      <c r="BLX3" s="120"/>
      <c r="BLY3" s="120"/>
      <c r="BLZ3" s="120"/>
      <c r="BMA3" s="120"/>
      <c r="BMB3" s="120"/>
      <c r="BMC3" s="120"/>
      <c r="BMD3" s="120"/>
      <c r="BME3" s="120"/>
      <c r="BMF3" s="120"/>
      <c r="BMG3" s="120"/>
      <c r="BMH3" s="120"/>
      <c r="BMI3" s="120"/>
      <c r="BMJ3" s="120"/>
      <c r="BMK3" s="120"/>
      <c r="BML3" s="120"/>
      <c r="BMM3" s="120"/>
      <c r="BMN3" s="120"/>
      <c r="BMO3" s="120"/>
      <c r="BMP3" s="120"/>
      <c r="BMQ3" s="120"/>
      <c r="BMR3" s="120"/>
      <c r="BMS3" s="120"/>
      <c r="BMT3" s="120"/>
      <c r="BMU3" s="120"/>
      <c r="BMV3" s="120"/>
      <c r="BMW3" s="120"/>
      <c r="BMX3" s="120"/>
      <c r="BMY3" s="120"/>
      <c r="BMZ3" s="120"/>
      <c r="BNA3" s="120"/>
      <c r="BNB3" s="120"/>
      <c r="BNC3" s="120"/>
      <c r="BND3" s="120"/>
      <c r="BNE3" s="120"/>
      <c r="BNF3" s="120"/>
      <c r="BNG3" s="120"/>
      <c r="BNH3" s="120"/>
      <c r="BNI3" s="120"/>
      <c r="BNJ3" s="120"/>
      <c r="BNK3" s="120"/>
      <c r="BNL3" s="120"/>
      <c r="BNM3" s="120"/>
      <c r="BNN3" s="120"/>
      <c r="BNO3" s="120"/>
      <c r="BNP3" s="120"/>
      <c r="BNQ3" s="120"/>
      <c r="BNR3" s="120"/>
      <c r="BNS3" s="120"/>
      <c r="BNT3" s="120"/>
      <c r="BNU3" s="120"/>
      <c r="BNV3" s="120"/>
      <c r="BNW3" s="120"/>
      <c r="BNX3" s="120"/>
      <c r="BNY3" s="120"/>
      <c r="BNZ3" s="120"/>
      <c r="BOA3" s="120"/>
      <c r="BOB3" s="120"/>
      <c r="BOC3" s="120"/>
      <c r="BOD3" s="120"/>
      <c r="BOE3" s="120"/>
      <c r="BOF3" s="120"/>
      <c r="BOG3" s="120"/>
      <c r="BOH3" s="120"/>
      <c r="BOI3" s="120"/>
      <c r="BOJ3" s="120"/>
      <c r="BOK3" s="120"/>
      <c r="BOL3" s="120"/>
      <c r="BOM3" s="120"/>
      <c r="BON3" s="120"/>
      <c r="BOO3" s="120"/>
      <c r="BOP3" s="120"/>
      <c r="BOQ3" s="120"/>
      <c r="BOR3" s="120"/>
      <c r="BOS3" s="120"/>
      <c r="BOT3" s="120"/>
      <c r="BOU3" s="120"/>
      <c r="BOV3" s="120"/>
      <c r="BOW3" s="120"/>
      <c r="BOX3" s="120"/>
      <c r="BOY3" s="120"/>
      <c r="BOZ3" s="120"/>
      <c r="BPA3" s="120"/>
      <c r="BPB3" s="120"/>
      <c r="BPC3" s="120"/>
      <c r="BPD3" s="120"/>
      <c r="BPE3" s="120"/>
      <c r="BPF3" s="120"/>
      <c r="BPG3" s="120"/>
      <c r="BPH3" s="120"/>
      <c r="BPI3" s="120"/>
      <c r="BPJ3" s="120"/>
      <c r="BPK3" s="120"/>
      <c r="BPL3" s="120"/>
      <c r="BPM3" s="120"/>
      <c r="BPN3" s="120"/>
      <c r="BPO3" s="120"/>
      <c r="BPP3" s="120"/>
      <c r="BPQ3" s="120"/>
      <c r="BPR3" s="120"/>
      <c r="BPS3" s="120"/>
      <c r="BPT3" s="120"/>
      <c r="BPU3" s="120"/>
      <c r="BPV3" s="120"/>
      <c r="BPW3" s="120"/>
      <c r="BPX3" s="120"/>
      <c r="BPY3" s="120"/>
      <c r="BPZ3" s="120"/>
      <c r="BQA3" s="120"/>
      <c r="BQB3" s="120"/>
      <c r="BQC3" s="120"/>
      <c r="BQD3" s="120"/>
      <c r="BQE3" s="120"/>
      <c r="BQF3" s="120"/>
      <c r="BQG3" s="120"/>
      <c r="BQH3" s="120"/>
      <c r="BQI3" s="120"/>
      <c r="BQJ3" s="120"/>
      <c r="BQK3" s="120"/>
      <c r="BQL3" s="120"/>
      <c r="BQM3" s="120"/>
      <c r="BQN3" s="120"/>
      <c r="BQO3" s="120"/>
      <c r="BQP3" s="120"/>
      <c r="BQQ3" s="120"/>
      <c r="BQR3" s="120"/>
      <c r="BQS3" s="120"/>
      <c r="BQT3" s="120"/>
      <c r="BQU3" s="120"/>
      <c r="BQV3" s="120"/>
      <c r="BQW3" s="120"/>
      <c r="BQX3" s="120"/>
      <c r="BQY3" s="120"/>
      <c r="BQZ3" s="120"/>
      <c r="BRA3" s="120"/>
      <c r="BRB3" s="120"/>
      <c r="BRC3" s="120"/>
      <c r="BRD3" s="120"/>
      <c r="BRE3" s="120"/>
      <c r="BRF3" s="120"/>
      <c r="BRG3" s="120"/>
      <c r="BRH3" s="120"/>
      <c r="BRI3" s="120"/>
      <c r="BRJ3" s="120"/>
      <c r="BRK3" s="120"/>
      <c r="BRL3" s="120"/>
      <c r="BRM3" s="120"/>
      <c r="BRN3" s="120"/>
      <c r="BRO3" s="120"/>
      <c r="BRP3" s="120"/>
      <c r="BRQ3" s="120"/>
      <c r="BRR3" s="120"/>
      <c r="BRS3" s="120"/>
      <c r="BRT3" s="120"/>
      <c r="BRU3" s="120"/>
      <c r="BRV3" s="120"/>
      <c r="BRW3" s="120"/>
      <c r="BRX3" s="120"/>
      <c r="BRY3" s="120"/>
      <c r="BRZ3" s="120"/>
      <c r="BSA3" s="120"/>
      <c r="BSB3" s="120"/>
      <c r="BSC3" s="120"/>
      <c r="BSD3" s="120"/>
      <c r="BSE3" s="120"/>
      <c r="BSF3" s="120"/>
      <c r="BSG3" s="120"/>
      <c r="BSH3" s="120"/>
      <c r="BSI3" s="120"/>
      <c r="BSJ3" s="120"/>
      <c r="BSK3" s="120"/>
      <c r="BSL3" s="120"/>
      <c r="BSM3" s="120"/>
      <c r="BSN3" s="120"/>
      <c r="BSO3" s="120"/>
      <c r="BSP3" s="120"/>
      <c r="BSQ3" s="120"/>
      <c r="BSR3" s="120"/>
      <c r="BSS3" s="120"/>
      <c r="BST3" s="120"/>
      <c r="BSU3" s="120"/>
      <c r="BSV3" s="120"/>
      <c r="BSW3" s="120"/>
      <c r="BSX3" s="120"/>
      <c r="BSY3" s="120"/>
      <c r="BSZ3" s="120"/>
      <c r="BTA3" s="120"/>
      <c r="BTB3" s="120"/>
      <c r="BTC3" s="120"/>
      <c r="BTD3" s="120"/>
      <c r="BTE3" s="120"/>
      <c r="BTF3" s="120"/>
      <c r="BTG3" s="120"/>
      <c r="BTH3" s="120"/>
      <c r="BTI3" s="120"/>
      <c r="BTJ3" s="120"/>
      <c r="BTK3" s="120"/>
      <c r="BTL3" s="120"/>
      <c r="BTM3" s="120"/>
      <c r="BTN3" s="120"/>
      <c r="BTO3" s="120"/>
      <c r="BTP3" s="120"/>
      <c r="BTQ3" s="120"/>
      <c r="BTR3" s="120"/>
      <c r="BTS3" s="120"/>
      <c r="BTT3" s="120"/>
      <c r="BTU3" s="120"/>
      <c r="BTV3" s="120"/>
      <c r="BTW3" s="120"/>
      <c r="BTX3" s="120"/>
      <c r="BTY3" s="120"/>
      <c r="BTZ3" s="120"/>
      <c r="BUA3" s="120"/>
      <c r="BUB3" s="120"/>
      <c r="BUC3" s="120"/>
      <c r="BUD3" s="120"/>
      <c r="BUE3" s="120"/>
      <c r="BUF3" s="120"/>
      <c r="BUG3" s="120"/>
      <c r="BUH3" s="120"/>
      <c r="BUI3" s="120"/>
      <c r="BUJ3" s="120"/>
      <c r="BUK3" s="120"/>
      <c r="BUL3" s="120"/>
      <c r="BUM3" s="120"/>
      <c r="BUN3" s="120"/>
      <c r="BUO3" s="120"/>
      <c r="BUP3" s="120"/>
      <c r="BUQ3" s="120"/>
      <c r="BUR3" s="120"/>
      <c r="BUS3" s="120"/>
      <c r="BUT3" s="120"/>
      <c r="BUU3" s="120"/>
      <c r="BUV3" s="120"/>
      <c r="BUW3" s="120"/>
      <c r="BUX3" s="120"/>
      <c r="BUY3" s="120"/>
      <c r="BUZ3" s="120"/>
      <c r="BVA3" s="120"/>
      <c r="BVB3" s="120"/>
      <c r="BVC3" s="120"/>
      <c r="BVD3" s="120"/>
      <c r="BVE3" s="120"/>
      <c r="BVF3" s="120"/>
      <c r="BVG3" s="120"/>
      <c r="BVH3" s="120"/>
      <c r="BVI3" s="120"/>
      <c r="BVJ3" s="120"/>
      <c r="BVK3" s="120"/>
      <c r="BVL3" s="120"/>
      <c r="BVM3" s="120"/>
      <c r="BVN3" s="120"/>
      <c r="BVO3" s="120"/>
      <c r="BVP3" s="120"/>
      <c r="BVQ3" s="120"/>
      <c r="BVR3" s="120"/>
      <c r="BVS3" s="120"/>
      <c r="BVT3" s="120"/>
      <c r="BVU3" s="120"/>
      <c r="BVV3" s="120"/>
      <c r="BVW3" s="120"/>
      <c r="BVX3" s="120"/>
      <c r="BVY3" s="120"/>
      <c r="BVZ3" s="120"/>
      <c r="BWA3" s="120"/>
      <c r="BWB3" s="120"/>
      <c r="BWC3" s="120"/>
      <c r="BWD3" s="120"/>
      <c r="BWE3" s="120"/>
      <c r="BWF3" s="120"/>
      <c r="BWG3" s="120"/>
      <c r="BWH3" s="120"/>
      <c r="BWI3" s="120"/>
      <c r="BWJ3" s="120"/>
      <c r="BWK3" s="120"/>
      <c r="BWL3" s="120"/>
      <c r="BWM3" s="120"/>
      <c r="BWN3" s="120"/>
      <c r="BWO3" s="120"/>
      <c r="BWP3" s="120"/>
      <c r="BWQ3" s="120"/>
      <c r="BWR3" s="120"/>
      <c r="BWS3" s="120"/>
      <c r="BWT3" s="120"/>
      <c r="BWU3" s="120"/>
      <c r="BWV3" s="120"/>
      <c r="BWW3" s="120"/>
      <c r="BWX3" s="120"/>
      <c r="BWY3" s="120"/>
      <c r="BWZ3" s="120"/>
      <c r="BXA3" s="120"/>
      <c r="BXB3" s="120"/>
      <c r="BXC3" s="120"/>
      <c r="BXD3" s="120"/>
      <c r="BXE3" s="120"/>
      <c r="BXF3" s="120"/>
      <c r="BXG3" s="120"/>
      <c r="BXH3" s="120"/>
      <c r="BXI3" s="120"/>
      <c r="BXJ3" s="120"/>
      <c r="BXK3" s="120"/>
      <c r="BXL3" s="120"/>
      <c r="BXM3" s="120"/>
      <c r="BXN3" s="120"/>
      <c r="BXO3" s="120"/>
      <c r="BXP3" s="120"/>
      <c r="BXQ3" s="120"/>
      <c r="BXR3" s="120"/>
      <c r="BXS3" s="120"/>
      <c r="BXT3" s="120"/>
      <c r="BXU3" s="120"/>
      <c r="BXV3" s="120"/>
      <c r="BXW3" s="120"/>
      <c r="BXX3" s="120"/>
      <c r="BXY3" s="120"/>
      <c r="BXZ3" s="120"/>
      <c r="BYA3" s="120"/>
      <c r="BYB3" s="120"/>
      <c r="BYC3" s="120"/>
      <c r="BYD3" s="120"/>
      <c r="BYE3" s="120"/>
      <c r="BYF3" s="120"/>
      <c r="BYG3" s="120"/>
      <c r="BYH3" s="120"/>
      <c r="BYI3" s="120"/>
      <c r="BYJ3" s="120"/>
      <c r="BYK3" s="120"/>
      <c r="BYL3" s="120"/>
      <c r="BYM3" s="120"/>
      <c r="BYN3" s="120"/>
      <c r="BYO3" s="120"/>
      <c r="BYP3" s="120"/>
      <c r="BYQ3" s="120"/>
      <c r="BYR3" s="120"/>
      <c r="BYS3" s="120"/>
      <c r="BYT3" s="120"/>
      <c r="BYU3" s="120"/>
      <c r="BYV3" s="120"/>
      <c r="BYW3" s="120"/>
      <c r="BYX3" s="120"/>
      <c r="BYY3" s="120"/>
      <c r="BYZ3" s="120"/>
      <c r="BZA3" s="120"/>
      <c r="BZB3" s="120"/>
      <c r="BZC3" s="120"/>
      <c r="BZD3" s="120"/>
      <c r="BZE3" s="120"/>
      <c r="BZF3" s="120"/>
      <c r="BZG3" s="120"/>
      <c r="BZH3" s="120"/>
      <c r="BZI3" s="120"/>
      <c r="BZJ3" s="120"/>
      <c r="BZK3" s="120"/>
      <c r="BZL3" s="120"/>
      <c r="BZM3" s="120"/>
      <c r="BZN3" s="120"/>
      <c r="BZO3" s="120"/>
      <c r="BZP3" s="120"/>
      <c r="BZQ3" s="120"/>
      <c r="BZR3" s="120"/>
      <c r="BZS3" s="120"/>
      <c r="BZT3" s="120"/>
      <c r="BZU3" s="120"/>
      <c r="BZV3" s="120"/>
      <c r="BZW3" s="120"/>
      <c r="BZX3" s="120"/>
      <c r="BZY3" s="120"/>
      <c r="BZZ3" s="120"/>
      <c r="CAA3" s="120"/>
      <c r="CAB3" s="120"/>
      <c r="CAC3" s="120"/>
      <c r="CAD3" s="120"/>
      <c r="CAE3" s="120"/>
      <c r="CAF3" s="120"/>
      <c r="CAG3" s="120"/>
      <c r="CAH3" s="120"/>
      <c r="CAI3" s="120"/>
      <c r="CAJ3" s="120"/>
      <c r="CAK3" s="120"/>
      <c r="CAL3" s="120"/>
      <c r="CAM3" s="120"/>
      <c r="CAN3" s="120"/>
      <c r="CAO3" s="120"/>
      <c r="CAP3" s="120"/>
      <c r="CAQ3" s="120"/>
      <c r="CAR3" s="120"/>
      <c r="CAS3" s="120"/>
      <c r="CAT3" s="120"/>
      <c r="CAU3" s="120"/>
      <c r="CAV3" s="120"/>
      <c r="CAW3" s="120"/>
      <c r="CAX3" s="120"/>
      <c r="CAY3" s="120"/>
      <c r="CAZ3" s="120"/>
      <c r="CBA3" s="120"/>
      <c r="CBB3" s="120"/>
      <c r="CBC3" s="120"/>
      <c r="CBD3" s="120"/>
      <c r="CBE3" s="120"/>
      <c r="CBF3" s="120"/>
      <c r="CBG3" s="120"/>
      <c r="CBH3" s="120"/>
      <c r="CBI3" s="120"/>
      <c r="CBJ3" s="120"/>
      <c r="CBK3" s="120"/>
      <c r="CBL3" s="120"/>
      <c r="CBM3" s="120"/>
      <c r="CBN3" s="120"/>
      <c r="CBO3" s="120"/>
      <c r="CBP3" s="120"/>
      <c r="CBQ3" s="120"/>
      <c r="CBR3" s="120"/>
      <c r="CBS3" s="120"/>
      <c r="CBT3" s="120"/>
      <c r="CBU3" s="120"/>
      <c r="CBV3" s="120"/>
      <c r="CBW3" s="120"/>
      <c r="CBX3" s="120"/>
      <c r="CBY3" s="120"/>
      <c r="CBZ3" s="120"/>
      <c r="CCA3" s="120"/>
      <c r="CCB3" s="120"/>
      <c r="CCC3" s="120"/>
      <c r="CCD3" s="120"/>
      <c r="CCE3" s="120"/>
      <c r="CCF3" s="120"/>
      <c r="CCG3" s="120"/>
      <c r="CCH3" s="120"/>
      <c r="CCI3" s="120"/>
      <c r="CCJ3" s="120"/>
      <c r="CCK3" s="120"/>
      <c r="CCL3" s="120"/>
      <c r="CCM3" s="120"/>
      <c r="CCN3" s="120"/>
      <c r="CCO3" s="120"/>
      <c r="CCP3" s="120"/>
      <c r="CCQ3" s="120"/>
      <c r="CCR3" s="120"/>
      <c r="CCS3" s="120"/>
      <c r="CCT3" s="120"/>
      <c r="CCU3" s="120"/>
      <c r="CCV3" s="120"/>
      <c r="CCW3" s="120"/>
      <c r="CCX3" s="120"/>
      <c r="CCY3" s="120"/>
      <c r="CCZ3" s="120"/>
      <c r="CDA3" s="120"/>
      <c r="CDB3" s="120"/>
      <c r="CDC3" s="120"/>
      <c r="CDD3" s="120"/>
      <c r="CDE3" s="120"/>
      <c r="CDF3" s="120"/>
      <c r="CDG3" s="120"/>
      <c r="CDH3" s="120"/>
      <c r="CDI3" s="120"/>
      <c r="CDJ3" s="120"/>
      <c r="CDK3" s="120"/>
      <c r="CDL3" s="120"/>
      <c r="CDM3" s="120"/>
      <c r="CDN3" s="120"/>
      <c r="CDO3" s="120"/>
      <c r="CDP3" s="120"/>
      <c r="CDQ3" s="120"/>
      <c r="CDR3" s="120"/>
      <c r="CDS3" s="120"/>
      <c r="CDT3" s="120"/>
      <c r="CDU3" s="120"/>
      <c r="CDV3" s="120"/>
      <c r="CDW3" s="120"/>
      <c r="CDX3" s="120"/>
      <c r="CDY3" s="120"/>
      <c r="CDZ3" s="120"/>
      <c r="CEA3" s="120"/>
      <c r="CEB3" s="120"/>
      <c r="CEC3" s="120"/>
      <c r="CED3" s="120"/>
      <c r="CEE3" s="120"/>
      <c r="CEF3" s="120"/>
      <c r="CEG3" s="120"/>
      <c r="CEH3" s="120"/>
      <c r="CEI3" s="120"/>
      <c r="CEJ3" s="120"/>
      <c r="CEK3" s="120"/>
      <c r="CEL3" s="120"/>
      <c r="CEM3" s="120"/>
      <c r="CEN3" s="120"/>
      <c r="CEO3" s="120"/>
      <c r="CEP3" s="120"/>
      <c r="CEQ3" s="120"/>
      <c r="CER3" s="120"/>
      <c r="CES3" s="120"/>
      <c r="CET3" s="120"/>
      <c r="CEU3" s="120"/>
      <c r="CEV3" s="120"/>
      <c r="CEW3" s="120"/>
      <c r="CEX3" s="120"/>
      <c r="CEY3" s="120"/>
      <c r="CEZ3" s="120"/>
      <c r="CFA3" s="120"/>
      <c r="CFB3" s="120"/>
      <c r="CFC3" s="120"/>
      <c r="CFD3" s="120"/>
      <c r="CFE3" s="120"/>
      <c r="CFF3" s="120"/>
      <c r="CFG3" s="120"/>
      <c r="CFH3" s="120"/>
      <c r="CFI3" s="120"/>
      <c r="CFJ3" s="120"/>
      <c r="CFK3" s="120"/>
      <c r="CFL3" s="120"/>
      <c r="CFM3" s="120"/>
      <c r="CFN3" s="120"/>
      <c r="CFO3" s="120"/>
      <c r="CFP3" s="120"/>
      <c r="CFQ3" s="120"/>
      <c r="CFR3" s="120"/>
      <c r="CFS3" s="120"/>
      <c r="CFT3" s="120"/>
      <c r="CFU3" s="120"/>
      <c r="CFV3" s="120"/>
      <c r="CFW3" s="120"/>
      <c r="CFX3" s="120"/>
      <c r="CFY3" s="120"/>
      <c r="CFZ3" s="120"/>
      <c r="CGA3" s="120"/>
      <c r="CGB3" s="120"/>
      <c r="CGC3" s="120"/>
      <c r="CGD3" s="120"/>
      <c r="CGE3" s="120"/>
      <c r="CGF3" s="120"/>
      <c r="CGG3" s="120"/>
      <c r="CGH3" s="120"/>
      <c r="CGI3" s="120"/>
      <c r="CGJ3" s="120"/>
      <c r="CGK3" s="120"/>
      <c r="CGL3" s="120"/>
      <c r="CGM3" s="120"/>
      <c r="CGN3" s="120"/>
      <c r="CGO3" s="120"/>
      <c r="CGP3" s="120"/>
      <c r="CGQ3" s="120"/>
      <c r="CGR3" s="120"/>
      <c r="CGS3" s="120"/>
      <c r="CGT3" s="120"/>
      <c r="CGU3" s="120"/>
      <c r="CGV3" s="120"/>
      <c r="CGW3" s="120"/>
      <c r="CGX3" s="120"/>
      <c r="CGY3" s="120"/>
      <c r="CGZ3" s="120"/>
      <c r="CHA3" s="120"/>
      <c r="CHB3" s="120"/>
      <c r="CHC3" s="120"/>
      <c r="CHD3" s="120"/>
      <c r="CHE3" s="120"/>
      <c r="CHF3" s="120"/>
      <c r="CHG3" s="120"/>
      <c r="CHH3" s="120"/>
      <c r="CHI3" s="120"/>
      <c r="CHJ3" s="120"/>
      <c r="CHK3" s="120"/>
      <c r="CHL3" s="120"/>
      <c r="CHM3" s="120"/>
      <c r="CHN3" s="120"/>
      <c r="CHO3" s="120"/>
      <c r="CHP3" s="120"/>
      <c r="CHQ3" s="120"/>
      <c r="CHR3" s="120"/>
      <c r="CHS3" s="120"/>
      <c r="CHT3" s="120"/>
      <c r="CHU3" s="120"/>
      <c r="CHV3" s="120"/>
      <c r="CHW3" s="120"/>
      <c r="CHX3" s="120"/>
      <c r="CHY3" s="120"/>
      <c r="CHZ3" s="120"/>
      <c r="CIA3" s="120"/>
      <c r="CIB3" s="120"/>
      <c r="CIC3" s="120"/>
      <c r="CID3" s="120"/>
      <c r="CIE3" s="120"/>
      <c r="CIF3" s="120"/>
      <c r="CIG3" s="120"/>
      <c r="CIH3" s="120"/>
      <c r="CII3" s="120"/>
      <c r="CIJ3" s="120"/>
      <c r="CIK3" s="120"/>
      <c r="CIL3" s="120"/>
      <c r="CIM3" s="120"/>
      <c r="CIN3" s="120"/>
      <c r="CIO3" s="120"/>
      <c r="CIP3" s="120"/>
      <c r="CIQ3" s="120"/>
      <c r="CIR3" s="120"/>
      <c r="CIS3" s="120"/>
      <c r="CIT3" s="120"/>
      <c r="CIU3" s="120"/>
      <c r="CIV3" s="120"/>
      <c r="CIW3" s="120"/>
      <c r="CIX3" s="120"/>
      <c r="CIY3" s="120"/>
      <c r="CIZ3" s="120"/>
      <c r="CJA3" s="120"/>
      <c r="CJB3" s="120"/>
      <c r="CJC3" s="120"/>
      <c r="CJD3" s="120"/>
      <c r="CJE3" s="120"/>
      <c r="CJF3" s="120"/>
      <c r="CJG3" s="120"/>
      <c r="CJH3" s="120"/>
      <c r="CJI3" s="120"/>
      <c r="CJJ3" s="120"/>
      <c r="CJK3" s="120"/>
      <c r="CJL3" s="120"/>
      <c r="CJM3" s="120"/>
      <c r="CJN3" s="120"/>
      <c r="CJO3" s="120"/>
      <c r="CJP3" s="120"/>
      <c r="CJQ3" s="120"/>
      <c r="CJR3" s="120"/>
      <c r="CJS3" s="120"/>
      <c r="CJT3" s="120"/>
      <c r="CJU3" s="120"/>
      <c r="CJV3" s="120"/>
      <c r="CJW3" s="120"/>
      <c r="CJX3" s="120"/>
      <c r="CJY3" s="120"/>
      <c r="CJZ3" s="120"/>
      <c r="CKA3" s="120"/>
      <c r="CKB3" s="120"/>
      <c r="CKC3" s="120"/>
      <c r="CKD3" s="120"/>
      <c r="CKE3" s="120"/>
      <c r="CKF3" s="120"/>
      <c r="CKG3" s="120"/>
      <c r="CKH3" s="120"/>
      <c r="CKI3" s="120"/>
      <c r="CKJ3" s="120"/>
      <c r="CKK3" s="120"/>
      <c r="CKL3" s="120"/>
      <c r="CKM3" s="120"/>
      <c r="CKN3" s="120"/>
      <c r="CKO3" s="120"/>
      <c r="CKP3" s="120"/>
      <c r="CKQ3" s="120"/>
      <c r="CKR3" s="120"/>
      <c r="CKS3" s="120"/>
      <c r="CKT3" s="120"/>
      <c r="CKU3" s="120"/>
      <c r="CKV3" s="120"/>
      <c r="CKW3" s="120"/>
      <c r="CKX3" s="120"/>
      <c r="CKY3" s="120"/>
      <c r="CKZ3" s="120"/>
      <c r="CLA3" s="120"/>
      <c r="CLB3" s="120"/>
      <c r="CLC3" s="120"/>
      <c r="CLD3" s="120"/>
      <c r="CLE3" s="120"/>
      <c r="CLF3" s="120"/>
      <c r="CLG3" s="120"/>
      <c r="CLH3" s="120"/>
      <c r="CLI3" s="120"/>
      <c r="CLJ3" s="120"/>
      <c r="CLK3" s="120"/>
      <c r="CLL3" s="120"/>
      <c r="CLM3" s="120"/>
      <c r="CLN3" s="120"/>
      <c r="CLO3" s="120"/>
      <c r="CLP3" s="120"/>
      <c r="CLQ3" s="120"/>
      <c r="CLR3" s="120"/>
      <c r="CLS3" s="120"/>
      <c r="CLT3" s="120"/>
      <c r="CLU3" s="120"/>
      <c r="CLV3" s="120"/>
      <c r="CLW3" s="120"/>
      <c r="CLX3" s="120"/>
      <c r="CLY3" s="120"/>
      <c r="CLZ3" s="120"/>
      <c r="CMA3" s="120"/>
      <c r="CMB3" s="120"/>
      <c r="CMC3" s="120"/>
      <c r="CMD3" s="120"/>
      <c r="CME3" s="120"/>
      <c r="CMF3" s="120"/>
      <c r="CMG3" s="120"/>
      <c r="CMH3" s="120"/>
      <c r="CMI3" s="120"/>
      <c r="CMJ3" s="120"/>
      <c r="CMK3" s="120"/>
      <c r="CML3" s="120"/>
      <c r="CMM3" s="120"/>
      <c r="CMN3" s="120"/>
      <c r="CMO3" s="120"/>
      <c r="CMP3" s="120"/>
      <c r="CMQ3" s="120"/>
      <c r="CMR3" s="120"/>
      <c r="CMS3" s="120"/>
      <c r="CMT3" s="120"/>
      <c r="CMU3" s="120"/>
      <c r="CMV3" s="120"/>
      <c r="CMW3" s="120"/>
      <c r="CMX3" s="120"/>
      <c r="CMY3" s="120"/>
      <c r="CMZ3" s="120"/>
      <c r="CNA3" s="120"/>
      <c r="CNB3" s="120"/>
      <c r="CNC3" s="120"/>
      <c r="CND3" s="120"/>
      <c r="CNE3" s="120"/>
      <c r="CNF3" s="120"/>
      <c r="CNG3" s="120"/>
      <c r="CNH3" s="120"/>
      <c r="CNI3" s="120"/>
      <c r="CNJ3" s="120"/>
      <c r="CNK3" s="120"/>
      <c r="CNL3" s="120"/>
      <c r="CNM3" s="120"/>
      <c r="CNN3" s="120"/>
      <c r="CNO3" s="120"/>
      <c r="CNP3" s="120"/>
      <c r="CNQ3" s="120"/>
      <c r="CNR3" s="120"/>
      <c r="CNS3" s="120"/>
      <c r="CNT3" s="120"/>
      <c r="CNU3" s="120"/>
      <c r="CNV3" s="120"/>
      <c r="CNW3" s="120"/>
      <c r="CNX3" s="120"/>
      <c r="CNY3" s="120"/>
      <c r="CNZ3" s="120"/>
      <c r="COA3" s="120"/>
      <c r="COB3" s="120"/>
      <c r="COC3" s="120"/>
      <c r="COD3" s="120"/>
      <c r="COE3" s="120"/>
      <c r="COF3" s="120"/>
      <c r="COG3" s="120"/>
      <c r="COH3" s="120"/>
      <c r="COI3" s="120"/>
      <c r="COJ3" s="120"/>
      <c r="COK3" s="120"/>
      <c r="COL3" s="120"/>
      <c r="COM3" s="120"/>
      <c r="CON3" s="120"/>
      <c r="COO3" s="120"/>
      <c r="COP3" s="120"/>
      <c r="COQ3" s="120"/>
      <c r="COR3" s="120"/>
      <c r="COS3" s="120"/>
      <c r="COT3" s="120"/>
      <c r="COU3" s="120"/>
      <c r="COV3" s="120"/>
      <c r="COW3" s="120"/>
      <c r="COX3" s="120"/>
      <c r="COY3" s="120"/>
      <c r="COZ3" s="120"/>
      <c r="CPA3" s="120"/>
      <c r="CPB3" s="120"/>
      <c r="CPC3" s="120"/>
      <c r="CPD3" s="120"/>
      <c r="CPE3" s="120"/>
      <c r="CPF3" s="120"/>
      <c r="CPG3" s="120"/>
      <c r="CPH3" s="120"/>
      <c r="CPI3" s="120"/>
      <c r="CPJ3" s="120"/>
      <c r="CPK3" s="120"/>
      <c r="CPL3" s="120"/>
      <c r="CPM3" s="120"/>
      <c r="CPN3" s="120"/>
      <c r="CPO3" s="120"/>
      <c r="CPP3" s="120"/>
      <c r="CPQ3" s="120"/>
      <c r="CPR3" s="120"/>
      <c r="CPS3" s="120"/>
      <c r="CPT3" s="120"/>
      <c r="CPU3" s="120"/>
      <c r="CPV3" s="120"/>
      <c r="CPW3" s="120"/>
      <c r="CPX3" s="120"/>
      <c r="CPY3" s="120"/>
      <c r="CPZ3" s="120"/>
      <c r="CQA3" s="120"/>
      <c r="CQB3" s="120"/>
      <c r="CQC3" s="120"/>
      <c r="CQD3" s="120"/>
      <c r="CQE3" s="120"/>
      <c r="CQF3" s="120"/>
      <c r="CQG3" s="120"/>
      <c r="CQH3" s="120"/>
      <c r="CQI3" s="120"/>
      <c r="CQJ3" s="120"/>
      <c r="CQK3" s="120"/>
      <c r="CQL3" s="120"/>
      <c r="CQM3" s="120"/>
      <c r="CQN3" s="120"/>
      <c r="CQO3" s="120"/>
      <c r="CQP3" s="120"/>
      <c r="CQQ3" s="120"/>
      <c r="CQR3" s="120"/>
      <c r="CQS3" s="120"/>
      <c r="CQT3" s="120"/>
      <c r="CQU3" s="120"/>
      <c r="CQV3" s="120"/>
      <c r="CQW3" s="120"/>
      <c r="CQX3" s="120"/>
      <c r="CQY3" s="120"/>
      <c r="CQZ3" s="120"/>
      <c r="CRA3" s="120"/>
      <c r="CRB3" s="120"/>
      <c r="CRC3" s="120"/>
      <c r="CRD3" s="120"/>
      <c r="CRE3" s="120"/>
      <c r="CRF3" s="120"/>
      <c r="CRG3" s="120"/>
      <c r="CRH3" s="120"/>
      <c r="CRI3" s="120"/>
      <c r="CRJ3" s="120"/>
      <c r="CRK3" s="120"/>
      <c r="CRL3" s="120"/>
      <c r="CRM3" s="120"/>
      <c r="CRN3" s="120"/>
      <c r="CRO3" s="120"/>
      <c r="CRP3" s="120"/>
      <c r="CRQ3" s="120"/>
      <c r="CRR3" s="120"/>
      <c r="CRS3" s="120"/>
      <c r="CRT3" s="120"/>
      <c r="CRU3" s="120"/>
      <c r="CRV3" s="120"/>
      <c r="CRW3" s="120"/>
      <c r="CRX3" s="120"/>
      <c r="CRY3" s="120"/>
      <c r="CRZ3" s="120"/>
      <c r="CSA3" s="120"/>
      <c r="CSB3" s="120"/>
      <c r="CSC3" s="120"/>
      <c r="CSD3" s="120"/>
      <c r="CSE3" s="120"/>
      <c r="CSF3" s="120"/>
      <c r="CSG3" s="120"/>
      <c r="CSH3" s="120"/>
      <c r="CSI3" s="120"/>
      <c r="CSJ3" s="120"/>
      <c r="CSK3" s="120"/>
      <c r="CSL3" s="120"/>
      <c r="CSM3" s="120"/>
      <c r="CSN3" s="120"/>
      <c r="CSO3" s="120"/>
      <c r="CSP3" s="120"/>
      <c r="CSQ3" s="120"/>
      <c r="CSR3" s="120"/>
      <c r="CSS3" s="120"/>
      <c r="CST3" s="120"/>
      <c r="CSU3" s="120"/>
      <c r="CSV3" s="120"/>
      <c r="CSW3" s="120"/>
      <c r="CSX3" s="120"/>
      <c r="CSY3" s="120"/>
      <c r="CSZ3" s="120"/>
      <c r="CTA3" s="120"/>
      <c r="CTB3" s="120"/>
      <c r="CTC3" s="120"/>
      <c r="CTD3" s="120"/>
      <c r="CTE3" s="120"/>
      <c r="CTF3" s="120"/>
      <c r="CTG3" s="120"/>
      <c r="CTH3" s="120"/>
      <c r="CTI3" s="120"/>
      <c r="CTJ3" s="120"/>
      <c r="CTK3" s="120"/>
      <c r="CTL3" s="120"/>
      <c r="CTM3" s="120"/>
      <c r="CTN3" s="120"/>
      <c r="CTO3" s="120"/>
      <c r="CTP3" s="120"/>
      <c r="CTQ3" s="120"/>
      <c r="CTR3" s="120"/>
      <c r="CTS3" s="120"/>
      <c r="CTT3" s="120"/>
      <c r="CTU3" s="120"/>
      <c r="CTV3" s="120"/>
      <c r="CTW3" s="120"/>
      <c r="CTX3" s="120"/>
      <c r="CTY3" s="120"/>
      <c r="CTZ3" s="120"/>
      <c r="CUA3" s="120"/>
      <c r="CUB3" s="120"/>
      <c r="CUC3" s="120"/>
      <c r="CUD3" s="120"/>
      <c r="CUE3" s="120"/>
      <c r="CUF3" s="120"/>
      <c r="CUG3" s="120"/>
      <c r="CUH3" s="120"/>
      <c r="CUI3" s="120"/>
      <c r="CUJ3" s="120"/>
      <c r="CUK3" s="120"/>
      <c r="CUL3" s="120"/>
      <c r="CUM3" s="120"/>
      <c r="CUN3" s="120"/>
      <c r="CUO3" s="120"/>
      <c r="CUP3" s="120"/>
      <c r="CUQ3" s="120"/>
      <c r="CUR3" s="120"/>
      <c r="CUS3" s="120"/>
      <c r="CUT3" s="120"/>
      <c r="CUU3" s="120"/>
      <c r="CUV3" s="120"/>
      <c r="CUW3" s="120"/>
      <c r="CUX3" s="120"/>
      <c r="CUY3" s="120"/>
      <c r="CUZ3" s="120"/>
      <c r="CVA3" s="120"/>
      <c r="CVB3" s="120"/>
      <c r="CVC3" s="120"/>
      <c r="CVD3" s="120"/>
      <c r="CVE3" s="120"/>
      <c r="CVF3" s="120"/>
      <c r="CVG3" s="120"/>
      <c r="CVH3" s="120"/>
      <c r="CVI3" s="120"/>
      <c r="CVJ3" s="120"/>
      <c r="CVK3" s="120"/>
      <c r="CVL3" s="120"/>
      <c r="CVM3" s="120"/>
      <c r="CVN3" s="120"/>
      <c r="CVO3" s="120"/>
      <c r="CVP3" s="120"/>
      <c r="CVQ3" s="120"/>
      <c r="CVR3" s="120"/>
      <c r="CVS3" s="120"/>
      <c r="CVT3" s="120"/>
      <c r="CVU3" s="120"/>
      <c r="CVV3" s="120"/>
      <c r="CVW3" s="120"/>
      <c r="CVX3" s="120"/>
      <c r="CVY3" s="120"/>
      <c r="CVZ3" s="120"/>
      <c r="CWA3" s="120"/>
      <c r="CWB3" s="120"/>
      <c r="CWC3" s="120"/>
      <c r="CWD3" s="120"/>
      <c r="CWE3" s="120"/>
      <c r="CWF3" s="120"/>
      <c r="CWG3" s="120"/>
      <c r="CWH3" s="120"/>
      <c r="CWI3" s="120"/>
      <c r="CWJ3" s="120"/>
      <c r="CWK3" s="120"/>
      <c r="CWL3" s="120"/>
      <c r="CWM3" s="120"/>
      <c r="CWN3" s="120"/>
      <c r="CWO3" s="120"/>
      <c r="CWP3" s="120"/>
      <c r="CWQ3" s="120"/>
      <c r="CWR3" s="120"/>
      <c r="CWS3" s="120"/>
      <c r="CWT3" s="120"/>
      <c r="CWU3" s="120"/>
      <c r="CWV3" s="120"/>
      <c r="CWW3" s="120"/>
      <c r="CWX3" s="120"/>
      <c r="CWY3" s="120"/>
      <c r="CWZ3" s="120"/>
      <c r="CXA3" s="120"/>
      <c r="CXB3" s="120"/>
      <c r="CXC3" s="120"/>
      <c r="CXD3" s="120"/>
      <c r="CXE3" s="120"/>
      <c r="CXF3" s="120"/>
      <c r="CXG3" s="120"/>
      <c r="CXH3" s="120"/>
      <c r="CXI3" s="120"/>
      <c r="CXJ3" s="120"/>
      <c r="CXK3" s="120"/>
      <c r="CXL3" s="120"/>
      <c r="CXM3" s="120"/>
      <c r="CXN3" s="120"/>
      <c r="CXO3" s="120"/>
      <c r="CXP3" s="120"/>
      <c r="CXQ3" s="120"/>
      <c r="CXR3" s="120"/>
      <c r="CXS3" s="120"/>
      <c r="CXT3" s="120"/>
      <c r="CXU3" s="120"/>
      <c r="CXV3" s="120"/>
      <c r="CXW3" s="120"/>
      <c r="CXX3" s="120"/>
      <c r="CXY3" s="120"/>
      <c r="CXZ3" s="120"/>
      <c r="CYA3" s="120"/>
      <c r="CYB3" s="120"/>
      <c r="CYC3" s="120"/>
      <c r="CYD3" s="120"/>
      <c r="CYE3" s="120"/>
      <c r="CYF3" s="120"/>
      <c r="CYG3" s="120"/>
      <c r="CYH3" s="120"/>
      <c r="CYI3" s="120"/>
      <c r="CYJ3" s="120"/>
      <c r="CYK3" s="120"/>
      <c r="CYL3" s="120"/>
      <c r="CYM3" s="120"/>
      <c r="CYN3" s="120"/>
      <c r="CYO3" s="120"/>
      <c r="CYP3" s="120"/>
      <c r="CYQ3" s="120"/>
      <c r="CYR3" s="120"/>
      <c r="CYS3" s="120"/>
      <c r="CYT3" s="120"/>
      <c r="CYU3" s="120"/>
      <c r="CYV3" s="120"/>
      <c r="CYW3" s="120"/>
      <c r="CYX3" s="120"/>
      <c r="CYY3" s="120"/>
      <c r="CYZ3" s="120"/>
      <c r="CZA3" s="120"/>
      <c r="CZB3" s="120"/>
      <c r="CZC3" s="120"/>
      <c r="CZD3" s="120"/>
      <c r="CZE3" s="120"/>
      <c r="CZF3" s="120"/>
      <c r="CZG3" s="120"/>
      <c r="CZH3" s="120"/>
      <c r="CZI3" s="120"/>
      <c r="CZJ3" s="120"/>
      <c r="CZK3" s="120"/>
      <c r="CZL3" s="120"/>
      <c r="CZM3" s="120"/>
      <c r="CZN3" s="120"/>
      <c r="CZO3" s="120"/>
      <c r="CZP3" s="120"/>
      <c r="CZQ3" s="120"/>
      <c r="CZR3" s="120"/>
      <c r="CZS3" s="120"/>
      <c r="CZT3" s="120"/>
      <c r="CZU3" s="120"/>
      <c r="CZV3" s="120"/>
      <c r="CZW3" s="120"/>
      <c r="CZX3" s="120"/>
      <c r="CZY3" s="120"/>
      <c r="CZZ3" s="120"/>
      <c r="DAA3" s="120"/>
      <c r="DAB3" s="120"/>
      <c r="DAC3" s="120"/>
      <c r="DAD3" s="120"/>
      <c r="DAE3" s="120"/>
      <c r="DAF3" s="120"/>
      <c r="DAG3" s="120"/>
      <c r="DAH3" s="120"/>
      <c r="DAI3" s="120"/>
      <c r="DAJ3" s="120"/>
      <c r="DAK3" s="120"/>
      <c r="DAL3" s="120"/>
      <c r="DAM3" s="120"/>
      <c r="DAN3" s="120"/>
      <c r="DAO3" s="120"/>
      <c r="DAP3" s="120"/>
      <c r="DAQ3" s="120"/>
      <c r="DAR3" s="120"/>
      <c r="DAS3" s="120"/>
      <c r="DAT3" s="120"/>
      <c r="DAU3" s="120"/>
      <c r="DAV3" s="120"/>
      <c r="DAW3" s="120"/>
      <c r="DAX3" s="120"/>
      <c r="DAY3" s="120"/>
      <c r="DAZ3" s="120"/>
      <c r="DBA3" s="120"/>
      <c r="DBB3" s="120"/>
      <c r="DBC3" s="120"/>
      <c r="DBD3" s="120"/>
      <c r="DBE3" s="120"/>
      <c r="DBF3" s="120"/>
      <c r="DBG3" s="120"/>
      <c r="DBH3" s="120"/>
      <c r="DBI3" s="120"/>
      <c r="DBJ3" s="120"/>
      <c r="DBK3" s="120"/>
      <c r="DBL3" s="120"/>
      <c r="DBM3" s="120"/>
      <c r="DBN3" s="120"/>
      <c r="DBO3" s="120"/>
      <c r="DBP3" s="120"/>
      <c r="DBQ3" s="120"/>
      <c r="DBR3" s="120"/>
      <c r="DBS3" s="120"/>
      <c r="DBT3" s="120"/>
      <c r="DBU3" s="120"/>
      <c r="DBV3" s="120"/>
      <c r="DBW3" s="120"/>
      <c r="DBX3" s="120"/>
      <c r="DBY3" s="120"/>
      <c r="DBZ3" s="120"/>
      <c r="DCA3" s="120"/>
      <c r="DCB3" s="120"/>
      <c r="DCC3" s="120"/>
      <c r="DCD3" s="120"/>
      <c r="DCE3" s="120"/>
      <c r="DCF3" s="120"/>
      <c r="DCG3" s="120"/>
      <c r="DCH3" s="120"/>
      <c r="DCI3" s="120"/>
      <c r="DCJ3" s="120"/>
      <c r="DCK3" s="120"/>
      <c r="DCL3" s="120"/>
      <c r="DCM3" s="120"/>
      <c r="DCN3" s="120"/>
      <c r="DCO3" s="120"/>
      <c r="DCP3" s="120"/>
      <c r="DCQ3" s="120"/>
      <c r="DCR3" s="120"/>
      <c r="DCS3" s="120"/>
      <c r="DCT3" s="120"/>
      <c r="DCU3" s="120"/>
      <c r="DCV3" s="120"/>
      <c r="DCW3" s="120"/>
      <c r="DCX3" s="120"/>
      <c r="DCY3" s="120"/>
      <c r="DCZ3" s="120"/>
      <c r="DDA3" s="120"/>
      <c r="DDB3" s="120"/>
      <c r="DDC3" s="120"/>
      <c r="DDD3" s="120"/>
      <c r="DDE3" s="120"/>
      <c r="DDF3" s="120"/>
      <c r="DDG3" s="120"/>
      <c r="DDH3" s="120"/>
      <c r="DDI3" s="120"/>
      <c r="DDJ3" s="120"/>
      <c r="DDK3" s="120"/>
      <c r="DDL3" s="120"/>
      <c r="DDM3" s="120"/>
      <c r="DDN3" s="120"/>
      <c r="DDO3" s="120"/>
      <c r="DDP3" s="120"/>
      <c r="DDQ3" s="120"/>
      <c r="DDR3" s="120"/>
      <c r="DDS3" s="120"/>
      <c r="DDT3" s="120"/>
      <c r="DDU3" s="120"/>
      <c r="DDV3" s="120"/>
      <c r="DDW3" s="120"/>
      <c r="DDX3" s="120"/>
      <c r="DDY3" s="120"/>
      <c r="DDZ3" s="120"/>
      <c r="DEA3" s="120"/>
      <c r="DEB3" s="120"/>
      <c r="DEC3" s="120"/>
      <c r="DED3" s="120"/>
      <c r="DEE3" s="120"/>
      <c r="DEF3" s="120"/>
      <c r="DEG3" s="120"/>
      <c r="DEH3" s="120"/>
      <c r="DEI3" s="120"/>
      <c r="DEJ3" s="120"/>
      <c r="DEK3" s="120"/>
      <c r="DEL3" s="120"/>
      <c r="DEM3" s="120"/>
      <c r="DEN3" s="120"/>
      <c r="DEO3" s="120"/>
      <c r="DEP3" s="120"/>
      <c r="DEQ3" s="120"/>
      <c r="DER3" s="120"/>
      <c r="DES3" s="120"/>
      <c r="DET3" s="120"/>
      <c r="DEU3" s="120"/>
      <c r="DEV3" s="120"/>
      <c r="DEW3" s="120"/>
      <c r="DEX3" s="120"/>
      <c r="DEY3" s="120"/>
      <c r="DEZ3" s="120"/>
      <c r="DFA3" s="120"/>
      <c r="DFB3" s="120"/>
      <c r="DFC3" s="120"/>
      <c r="DFD3" s="120"/>
      <c r="DFE3" s="120"/>
      <c r="DFF3" s="120"/>
      <c r="DFG3" s="120"/>
      <c r="DFH3" s="120"/>
      <c r="DFI3" s="120"/>
      <c r="DFJ3" s="120"/>
      <c r="DFK3" s="120"/>
      <c r="DFL3" s="120"/>
      <c r="DFM3" s="120"/>
      <c r="DFN3" s="120"/>
      <c r="DFO3" s="120"/>
      <c r="DFP3" s="120"/>
      <c r="DFQ3" s="120"/>
      <c r="DFR3" s="120"/>
      <c r="DFS3" s="120"/>
      <c r="DFT3" s="120"/>
      <c r="DFU3" s="120"/>
      <c r="DFV3" s="120"/>
      <c r="DFW3" s="120"/>
      <c r="DFX3" s="120"/>
      <c r="DFY3" s="120"/>
      <c r="DFZ3" s="120"/>
      <c r="DGA3" s="120"/>
      <c r="DGB3" s="120"/>
      <c r="DGC3" s="120"/>
      <c r="DGD3" s="120"/>
      <c r="DGE3" s="120"/>
      <c r="DGF3" s="120"/>
      <c r="DGG3" s="120"/>
      <c r="DGH3" s="120"/>
      <c r="DGI3" s="120"/>
      <c r="DGJ3" s="120"/>
      <c r="DGK3" s="120"/>
      <c r="DGL3" s="120"/>
      <c r="DGM3" s="120"/>
      <c r="DGN3" s="120"/>
      <c r="DGO3" s="120"/>
      <c r="DGP3" s="120"/>
      <c r="DGQ3" s="120"/>
      <c r="DGR3" s="120"/>
      <c r="DGS3" s="120"/>
      <c r="DGT3" s="120"/>
      <c r="DGU3" s="120"/>
      <c r="DGV3" s="120"/>
      <c r="DGW3" s="120"/>
      <c r="DGX3" s="120"/>
      <c r="DGY3" s="120"/>
      <c r="DGZ3" s="120"/>
      <c r="DHA3" s="120"/>
      <c r="DHB3" s="120"/>
      <c r="DHC3" s="120"/>
      <c r="DHD3" s="120"/>
      <c r="DHE3" s="120"/>
      <c r="DHF3" s="120"/>
      <c r="DHG3" s="120"/>
      <c r="DHH3" s="120"/>
      <c r="DHI3" s="120"/>
      <c r="DHJ3" s="120"/>
      <c r="DHK3" s="120"/>
      <c r="DHL3" s="120"/>
      <c r="DHM3" s="120"/>
      <c r="DHN3" s="120"/>
      <c r="DHO3" s="120"/>
      <c r="DHP3" s="120"/>
      <c r="DHQ3" s="120"/>
      <c r="DHR3" s="120"/>
      <c r="DHS3" s="120"/>
      <c r="DHT3" s="120"/>
      <c r="DHU3" s="120"/>
      <c r="DHV3" s="120"/>
      <c r="DHW3" s="120"/>
      <c r="DHX3" s="120"/>
      <c r="DHY3" s="120"/>
      <c r="DHZ3" s="120"/>
      <c r="DIA3" s="120"/>
      <c r="DIB3" s="120"/>
      <c r="DIC3" s="120"/>
      <c r="DID3" s="120"/>
      <c r="DIE3" s="120"/>
      <c r="DIF3" s="120"/>
      <c r="DIG3" s="120"/>
      <c r="DIH3" s="120"/>
      <c r="DII3" s="120"/>
      <c r="DIJ3" s="120"/>
      <c r="DIK3" s="120"/>
      <c r="DIL3" s="120"/>
      <c r="DIM3" s="120"/>
      <c r="DIN3" s="120"/>
      <c r="DIO3" s="120"/>
      <c r="DIP3" s="120"/>
      <c r="DIQ3" s="120"/>
      <c r="DIR3" s="120"/>
      <c r="DIS3" s="120"/>
      <c r="DIT3" s="120"/>
      <c r="DIU3" s="120"/>
      <c r="DIV3" s="120"/>
      <c r="DIW3" s="120"/>
      <c r="DIX3" s="120"/>
      <c r="DIY3" s="120"/>
      <c r="DIZ3" s="120"/>
      <c r="DJA3" s="120"/>
      <c r="DJB3" s="120"/>
      <c r="DJC3" s="120"/>
      <c r="DJD3" s="120"/>
      <c r="DJE3" s="120"/>
      <c r="DJF3" s="120"/>
      <c r="DJG3" s="120"/>
      <c r="DJH3" s="120"/>
      <c r="DJI3" s="120"/>
      <c r="DJJ3" s="120"/>
      <c r="DJK3" s="120"/>
      <c r="DJL3" s="120"/>
      <c r="DJM3" s="120"/>
      <c r="DJN3" s="120"/>
      <c r="DJO3" s="120"/>
      <c r="DJP3" s="120"/>
      <c r="DJQ3" s="120"/>
      <c r="DJR3" s="120"/>
      <c r="DJS3" s="120"/>
      <c r="DJT3" s="120"/>
      <c r="DJU3" s="120"/>
      <c r="DJV3" s="120"/>
      <c r="DJW3" s="120"/>
      <c r="DJX3" s="120"/>
      <c r="DJY3" s="120"/>
      <c r="DJZ3" s="120"/>
      <c r="DKA3" s="120"/>
      <c r="DKB3" s="120"/>
      <c r="DKC3" s="120"/>
      <c r="DKD3" s="120"/>
      <c r="DKE3" s="120"/>
      <c r="DKF3" s="120"/>
      <c r="DKG3" s="120"/>
      <c r="DKH3" s="120"/>
      <c r="DKI3" s="120"/>
      <c r="DKJ3" s="120"/>
      <c r="DKK3" s="120"/>
      <c r="DKL3" s="120"/>
      <c r="DKM3" s="120"/>
      <c r="DKN3" s="120"/>
      <c r="DKO3" s="120"/>
      <c r="DKP3" s="120"/>
      <c r="DKQ3" s="120"/>
      <c r="DKR3" s="120"/>
      <c r="DKS3" s="120"/>
      <c r="DKT3" s="120"/>
      <c r="DKU3" s="120"/>
      <c r="DKV3" s="120"/>
      <c r="DKW3" s="120"/>
      <c r="DKX3" s="120"/>
      <c r="DKY3" s="120"/>
      <c r="DKZ3" s="120"/>
      <c r="DLA3" s="120"/>
      <c r="DLB3" s="120"/>
      <c r="DLC3" s="120"/>
      <c r="DLD3" s="120"/>
      <c r="DLE3" s="120"/>
      <c r="DLF3" s="120"/>
      <c r="DLG3" s="120"/>
      <c r="DLH3" s="120"/>
      <c r="DLI3" s="120"/>
      <c r="DLJ3" s="120"/>
      <c r="DLK3" s="120"/>
      <c r="DLL3" s="120"/>
      <c r="DLM3" s="120"/>
      <c r="DLN3" s="120"/>
      <c r="DLO3" s="120"/>
      <c r="DLP3" s="120"/>
      <c r="DLQ3" s="120"/>
      <c r="DLR3" s="120"/>
      <c r="DLS3" s="120"/>
      <c r="DLT3" s="120"/>
      <c r="DLU3" s="120"/>
      <c r="DLV3" s="120"/>
      <c r="DLW3" s="120"/>
      <c r="DLX3" s="120"/>
      <c r="DLY3" s="120"/>
      <c r="DLZ3" s="120"/>
      <c r="DMA3" s="120"/>
      <c r="DMB3" s="120"/>
      <c r="DMC3" s="120"/>
      <c r="DMD3" s="120"/>
      <c r="DME3" s="120"/>
      <c r="DMF3" s="120"/>
      <c r="DMG3" s="120"/>
      <c r="DMH3" s="120"/>
      <c r="DMI3" s="120"/>
      <c r="DMJ3" s="120"/>
      <c r="DMK3" s="120"/>
      <c r="DML3" s="120"/>
      <c r="DMM3" s="120"/>
      <c r="DMN3" s="120"/>
      <c r="DMO3" s="120"/>
      <c r="DMP3" s="120"/>
      <c r="DMQ3" s="120"/>
      <c r="DMR3" s="120"/>
      <c r="DMS3" s="120"/>
      <c r="DMT3" s="120"/>
      <c r="DMU3" s="120"/>
      <c r="DMV3" s="120"/>
      <c r="DMW3" s="120"/>
      <c r="DMX3" s="120"/>
      <c r="DMY3" s="120"/>
      <c r="DMZ3" s="120"/>
      <c r="DNA3" s="120"/>
      <c r="DNB3" s="120"/>
      <c r="DNC3" s="120"/>
      <c r="DND3" s="120"/>
      <c r="DNE3" s="120"/>
      <c r="DNF3" s="120"/>
      <c r="DNG3" s="120"/>
      <c r="DNH3" s="120"/>
      <c r="DNI3" s="120"/>
      <c r="DNJ3" s="120"/>
      <c r="DNK3" s="120"/>
      <c r="DNL3" s="120"/>
      <c r="DNM3" s="120"/>
      <c r="DNN3" s="120"/>
      <c r="DNO3" s="120"/>
      <c r="DNP3" s="120"/>
      <c r="DNQ3" s="120"/>
      <c r="DNR3" s="120"/>
      <c r="DNS3" s="120"/>
      <c r="DNT3" s="120"/>
      <c r="DNU3" s="120"/>
      <c r="DNV3" s="120"/>
      <c r="DNW3" s="120"/>
      <c r="DNX3" s="120"/>
      <c r="DNY3" s="120"/>
      <c r="DNZ3" s="120"/>
      <c r="DOA3" s="120"/>
      <c r="DOB3" s="120"/>
      <c r="DOC3" s="120"/>
      <c r="DOD3" s="120"/>
      <c r="DOE3" s="120"/>
      <c r="DOF3" s="120"/>
      <c r="DOG3" s="120"/>
      <c r="DOH3" s="120"/>
      <c r="DOI3" s="120"/>
      <c r="DOJ3" s="120"/>
      <c r="DOK3" s="120"/>
      <c r="DOL3" s="120"/>
      <c r="DOM3" s="120"/>
      <c r="DON3" s="120"/>
      <c r="DOO3" s="120"/>
      <c r="DOP3" s="120"/>
      <c r="DOQ3" s="120"/>
      <c r="DOR3" s="120"/>
      <c r="DOS3" s="120"/>
      <c r="DOT3" s="120"/>
      <c r="DOU3" s="120"/>
      <c r="DOV3" s="120"/>
      <c r="DOW3" s="120"/>
      <c r="DOX3" s="120"/>
      <c r="DOY3" s="120"/>
      <c r="DOZ3" s="120"/>
      <c r="DPA3" s="120"/>
      <c r="DPB3" s="120"/>
      <c r="DPC3" s="120"/>
      <c r="DPD3" s="120"/>
      <c r="DPE3" s="120"/>
      <c r="DPF3" s="120"/>
      <c r="DPG3" s="120"/>
      <c r="DPH3" s="120"/>
      <c r="DPI3" s="120"/>
      <c r="DPJ3" s="120"/>
      <c r="DPK3" s="120"/>
      <c r="DPL3" s="120"/>
      <c r="DPM3" s="120"/>
      <c r="DPN3" s="120"/>
      <c r="DPO3" s="120"/>
      <c r="DPP3" s="120"/>
      <c r="DPQ3" s="120"/>
      <c r="DPR3" s="120"/>
      <c r="DPS3" s="120"/>
      <c r="DPT3" s="120"/>
      <c r="DPU3" s="120"/>
      <c r="DPV3" s="120"/>
      <c r="DPW3" s="120"/>
      <c r="DPX3" s="120"/>
      <c r="DPY3" s="120"/>
      <c r="DPZ3" s="120"/>
      <c r="DQA3" s="120"/>
      <c r="DQB3" s="120"/>
      <c r="DQC3" s="120"/>
      <c r="DQD3" s="120"/>
      <c r="DQE3" s="120"/>
      <c r="DQF3" s="120"/>
      <c r="DQG3" s="120"/>
      <c r="DQH3" s="120"/>
      <c r="DQI3" s="120"/>
      <c r="DQJ3" s="120"/>
      <c r="DQK3" s="120"/>
      <c r="DQL3" s="120"/>
      <c r="DQM3" s="120"/>
      <c r="DQN3" s="120"/>
      <c r="DQO3" s="120"/>
      <c r="DQP3" s="120"/>
      <c r="DQQ3" s="120"/>
      <c r="DQR3" s="120"/>
      <c r="DQS3" s="120"/>
      <c r="DQT3" s="120"/>
      <c r="DQU3" s="120"/>
      <c r="DQV3" s="120"/>
      <c r="DQW3" s="120"/>
      <c r="DQX3" s="120"/>
      <c r="DQY3" s="120"/>
      <c r="DQZ3" s="120"/>
      <c r="DRA3" s="120"/>
      <c r="DRB3" s="120"/>
      <c r="DRC3" s="120"/>
      <c r="DRD3" s="120"/>
      <c r="DRE3" s="120"/>
      <c r="DRF3" s="120"/>
      <c r="DRG3" s="120"/>
      <c r="DRH3" s="120"/>
      <c r="DRI3" s="120"/>
      <c r="DRJ3" s="120"/>
      <c r="DRK3" s="120"/>
      <c r="DRL3" s="120"/>
      <c r="DRM3" s="120"/>
      <c r="DRN3" s="120"/>
      <c r="DRO3" s="120"/>
      <c r="DRP3" s="120"/>
      <c r="DRQ3" s="120"/>
      <c r="DRR3" s="120"/>
      <c r="DRS3" s="120"/>
      <c r="DRT3" s="120"/>
      <c r="DRU3" s="120"/>
      <c r="DRV3" s="120"/>
      <c r="DRW3" s="120"/>
      <c r="DRX3" s="120"/>
      <c r="DRY3" s="120"/>
      <c r="DRZ3" s="120"/>
      <c r="DSA3" s="120"/>
      <c r="DSB3" s="120"/>
      <c r="DSC3" s="120"/>
      <c r="DSD3" s="120"/>
      <c r="DSE3" s="120"/>
      <c r="DSF3" s="120"/>
      <c r="DSG3" s="120"/>
      <c r="DSH3" s="120"/>
      <c r="DSI3" s="120"/>
      <c r="DSJ3" s="120"/>
      <c r="DSK3" s="120"/>
      <c r="DSL3" s="120"/>
      <c r="DSM3" s="120"/>
      <c r="DSN3" s="120"/>
      <c r="DSO3" s="120"/>
      <c r="DSP3" s="120"/>
      <c r="DSQ3" s="120"/>
      <c r="DSR3" s="120"/>
      <c r="DSS3" s="120"/>
      <c r="DST3" s="120"/>
      <c r="DSU3" s="120"/>
      <c r="DSV3" s="120"/>
      <c r="DSW3" s="120"/>
      <c r="DSX3" s="120"/>
      <c r="DSY3" s="120"/>
      <c r="DSZ3" s="120"/>
      <c r="DTA3" s="120"/>
      <c r="DTB3" s="120"/>
      <c r="DTC3" s="120"/>
      <c r="DTD3" s="120"/>
      <c r="DTE3" s="120"/>
      <c r="DTF3" s="120"/>
      <c r="DTG3" s="120"/>
      <c r="DTH3" s="120"/>
      <c r="DTI3" s="120"/>
      <c r="DTJ3" s="120"/>
      <c r="DTK3" s="120"/>
      <c r="DTL3" s="120"/>
      <c r="DTM3" s="120"/>
      <c r="DTN3" s="120"/>
      <c r="DTO3" s="120"/>
      <c r="DTP3" s="120"/>
      <c r="DTQ3" s="120"/>
      <c r="DTR3" s="120"/>
      <c r="DTS3" s="120"/>
      <c r="DTT3" s="120"/>
      <c r="DTU3" s="120"/>
      <c r="DTV3" s="120"/>
      <c r="DTW3" s="120"/>
      <c r="DTX3" s="120"/>
      <c r="DTY3" s="120"/>
      <c r="DTZ3" s="120"/>
      <c r="DUA3" s="120"/>
      <c r="DUB3" s="120"/>
      <c r="DUC3" s="120"/>
      <c r="DUD3" s="120"/>
      <c r="DUE3" s="120"/>
      <c r="DUF3" s="120"/>
      <c r="DUG3" s="120"/>
      <c r="DUH3" s="120"/>
      <c r="DUI3" s="120"/>
      <c r="DUJ3" s="120"/>
      <c r="DUK3" s="120"/>
      <c r="DUL3" s="120"/>
      <c r="DUM3" s="120"/>
      <c r="DUN3" s="120"/>
      <c r="DUO3" s="120"/>
      <c r="DUP3" s="120"/>
      <c r="DUQ3" s="120"/>
      <c r="DUR3" s="120"/>
      <c r="DUS3" s="120"/>
      <c r="DUT3" s="120"/>
      <c r="DUU3" s="120"/>
      <c r="DUV3" s="120"/>
      <c r="DUW3" s="120"/>
      <c r="DUX3" s="120"/>
      <c r="DUY3" s="120"/>
      <c r="DUZ3" s="120"/>
      <c r="DVA3" s="120"/>
      <c r="DVB3" s="120"/>
      <c r="DVC3" s="120"/>
      <c r="DVD3" s="120"/>
      <c r="DVE3" s="120"/>
      <c r="DVF3" s="120"/>
      <c r="DVG3" s="120"/>
      <c r="DVH3" s="120"/>
      <c r="DVI3" s="120"/>
      <c r="DVJ3" s="120"/>
      <c r="DVK3" s="120"/>
      <c r="DVL3" s="120"/>
      <c r="DVM3" s="120"/>
      <c r="DVN3" s="120"/>
      <c r="DVO3" s="120"/>
      <c r="DVP3" s="120"/>
      <c r="DVQ3" s="120"/>
      <c r="DVR3" s="120"/>
      <c r="DVS3" s="120"/>
      <c r="DVT3" s="120"/>
      <c r="DVU3" s="120"/>
      <c r="DVV3" s="120"/>
      <c r="DVW3" s="120"/>
      <c r="DVX3" s="120"/>
      <c r="DVY3" s="120"/>
      <c r="DVZ3" s="120"/>
      <c r="DWA3" s="120"/>
      <c r="DWB3" s="120"/>
      <c r="DWC3" s="120"/>
      <c r="DWD3" s="120"/>
      <c r="DWE3" s="120"/>
      <c r="DWF3" s="120"/>
      <c r="DWG3" s="120"/>
      <c r="DWH3" s="120"/>
      <c r="DWI3" s="120"/>
      <c r="DWJ3" s="120"/>
      <c r="DWK3" s="120"/>
      <c r="DWL3" s="120"/>
      <c r="DWM3" s="120"/>
      <c r="DWN3" s="120"/>
      <c r="DWO3" s="120"/>
      <c r="DWP3" s="120"/>
      <c r="DWQ3" s="120"/>
      <c r="DWR3" s="120"/>
      <c r="DWS3" s="120"/>
      <c r="DWT3" s="120"/>
      <c r="DWU3" s="120"/>
      <c r="DWV3" s="120"/>
      <c r="DWW3" s="120"/>
      <c r="DWX3" s="120"/>
      <c r="DWY3" s="120"/>
      <c r="DWZ3" s="120"/>
      <c r="DXA3" s="120"/>
      <c r="DXB3" s="120"/>
      <c r="DXC3" s="120"/>
      <c r="DXD3" s="120"/>
      <c r="DXE3" s="120"/>
      <c r="DXF3" s="120"/>
      <c r="DXG3" s="120"/>
      <c r="DXH3" s="120"/>
      <c r="DXI3" s="120"/>
      <c r="DXJ3" s="120"/>
      <c r="DXK3" s="120"/>
      <c r="DXL3" s="120"/>
      <c r="DXM3" s="120"/>
      <c r="DXN3" s="120"/>
      <c r="DXO3" s="120"/>
      <c r="DXP3" s="120"/>
      <c r="DXQ3" s="120"/>
      <c r="DXR3" s="120"/>
      <c r="DXS3" s="120"/>
      <c r="DXT3" s="120"/>
      <c r="DXU3" s="120"/>
      <c r="DXV3" s="120"/>
      <c r="DXW3" s="120"/>
      <c r="DXX3" s="120"/>
      <c r="DXY3" s="120"/>
      <c r="DXZ3" s="120"/>
      <c r="DYA3" s="120"/>
      <c r="DYB3" s="120"/>
      <c r="DYC3" s="120"/>
      <c r="DYD3" s="120"/>
      <c r="DYE3" s="120"/>
      <c r="DYF3" s="120"/>
      <c r="DYG3" s="120"/>
      <c r="DYH3" s="120"/>
      <c r="DYI3" s="120"/>
      <c r="DYJ3" s="120"/>
      <c r="DYK3" s="120"/>
      <c r="DYL3" s="120"/>
      <c r="DYM3" s="120"/>
      <c r="DYN3" s="120"/>
      <c r="DYO3" s="120"/>
      <c r="DYP3" s="120"/>
      <c r="DYQ3" s="120"/>
      <c r="DYR3" s="120"/>
      <c r="DYS3" s="120"/>
      <c r="DYT3" s="120"/>
      <c r="DYU3" s="120"/>
      <c r="DYV3" s="120"/>
      <c r="DYW3" s="120"/>
      <c r="DYX3" s="120"/>
      <c r="DYY3" s="120"/>
      <c r="DYZ3" s="120"/>
      <c r="DZA3" s="120"/>
      <c r="DZB3" s="120"/>
      <c r="DZC3" s="120"/>
      <c r="DZD3" s="120"/>
      <c r="DZE3" s="120"/>
      <c r="DZF3" s="120"/>
      <c r="DZG3" s="120"/>
      <c r="DZH3" s="120"/>
      <c r="DZI3" s="120"/>
      <c r="DZJ3" s="120"/>
      <c r="DZK3" s="120"/>
      <c r="DZL3" s="120"/>
      <c r="DZM3" s="120"/>
      <c r="DZN3" s="120"/>
      <c r="DZO3" s="120"/>
      <c r="DZP3" s="120"/>
      <c r="DZQ3" s="120"/>
      <c r="DZR3" s="120"/>
      <c r="DZS3" s="120"/>
      <c r="DZT3" s="120"/>
      <c r="DZU3" s="120"/>
      <c r="DZV3" s="120"/>
      <c r="DZW3" s="120"/>
      <c r="DZX3" s="120"/>
      <c r="DZY3" s="120"/>
      <c r="DZZ3" s="120"/>
      <c r="EAA3" s="120"/>
      <c r="EAB3" s="120"/>
      <c r="EAC3" s="120"/>
      <c r="EAD3" s="120"/>
      <c r="EAE3" s="120"/>
      <c r="EAF3" s="120"/>
      <c r="EAG3" s="120"/>
      <c r="EAH3" s="120"/>
      <c r="EAI3" s="120"/>
      <c r="EAJ3" s="120"/>
      <c r="EAK3" s="120"/>
      <c r="EAL3" s="120"/>
      <c r="EAM3" s="120"/>
      <c r="EAN3" s="120"/>
      <c r="EAO3" s="120"/>
      <c r="EAP3" s="120"/>
      <c r="EAQ3" s="120"/>
      <c r="EAR3" s="120"/>
      <c r="EAS3" s="120"/>
      <c r="EAT3" s="120"/>
      <c r="EAU3" s="120"/>
      <c r="EAV3" s="120"/>
      <c r="EAW3" s="120"/>
      <c r="EAX3" s="120"/>
      <c r="EAY3" s="120"/>
      <c r="EAZ3" s="120"/>
      <c r="EBA3" s="120"/>
      <c r="EBB3" s="120"/>
      <c r="EBC3" s="120"/>
      <c r="EBD3" s="120"/>
      <c r="EBE3" s="120"/>
      <c r="EBF3" s="120"/>
      <c r="EBG3" s="120"/>
      <c r="EBH3" s="120"/>
      <c r="EBI3" s="120"/>
      <c r="EBJ3" s="120"/>
      <c r="EBK3" s="120"/>
      <c r="EBL3" s="120"/>
      <c r="EBM3" s="120"/>
      <c r="EBN3" s="120"/>
      <c r="EBO3" s="120"/>
      <c r="EBP3" s="120"/>
      <c r="EBQ3" s="120"/>
      <c r="EBR3" s="120"/>
      <c r="EBS3" s="120"/>
      <c r="EBT3" s="120"/>
      <c r="EBU3" s="120"/>
      <c r="EBV3" s="120"/>
      <c r="EBW3" s="120"/>
      <c r="EBX3" s="120"/>
      <c r="EBY3" s="120"/>
      <c r="EBZ3" s="120"/>
      <c r="ECA3" s="120"/>
      <c r="ECB3" s="120"/>
      <c r="ECC3" s="120"/>
      <c r="ECD3" s="120"/>
      <c r="ECE3" s="120"/>
      <c r="ECF3" s="120"/>
      <c r="ECG3" s="120"/>
      <c r="ECH3" s="120"/>
      <c r="ECI3" s="120"/>
      <c r="ECJ3" s="120"/>
      <c r="ECK3" s="120"/>
      <c r="ECL3" s="120"/>
      <c r="ECM3" s="120"/>
      <c r="ECN3" s="120"/>
      <c r="ECO3" s="120"/>
      <c r="ECP3" s="120"/>
      <c r="ECQ3" s="120"/>
      <c r="ECR3" s="120"/>
      <c r="ECS3" s="120"/>
      <c r="ECT3" s="120"/>
      <c r="ECU3" s="120"/>
      <c r="ECV3" s="120"/>
      <c r="ECW3" s="120"/>
      <c r="ECX3" s="120"/>
      <c r="ECY3" s="120"/>
      <c r="ECZ3" s="120"/>
      <c r="EDA3" s="120"/>
      <c r="EDB3" s="120"/>
      <c r="EDC3" s="120"/>
      <c r="EDD3" s="120"/>
      <c r="EDE3" s="120"/>
      <c r="EDF3" s="120"/>
      <c r="EDG3" s="120"/>
      <c r="EDH3" s="120"/>
      <c r="EDI3" s="120"/>
      <c r="EDJ3" s="120"/>
      <c r="EDK3" s="120"/>
      <c r="EDL3" s="120"/>
      <c r="EDM3" s="120"/>
      <c r="EDN3" s="120"/>
      <c r="EDO3" s="120"/>
      <c r="EDP3" s="120"/>
      <c r="EDQ3" s="120"/>
      <c r="EDR3" s="120"/>
      <c r="EDS3" s="120"/>
      <c r="EDT3" s="120"/>
      <c r="EDU3" s="120"/>
      <c r="EDV3" s="120"/>
      <c r="EDW3" s="120"/>
      <c r="EDX3" s="120"/>
      <c r="EDY3" s="120"/>
      <c r="EDZ3" s="120"/>
      <c r="EEA3" s="120"/>
      <c r="EEB3" s="120"/>
      <c r="EEC3" s="120"/>
      <c r="EED3" s="120"/>
      <c r="EEE3" s="120"/>
      <c r="EEF3" s="120"/>
      <c r="EEG3" s="120"/>
      <c r="EEH3" s="120"/>
      <c r="EEI3" s="120"/>
      <c r="EEJ3" s="120"/>
      <c r="EEK3" s="120"/>
      <c r="EEL3" s="120"/>
      <c r="EEM3" s="120"/>
      <c r="EEN3" s="120"/>
      <c r="EEO3" s="120"/>
      <c r="EEP3" s="120"/>
      <c r="EEQ3" s="120"/>
      <c r="EER3" s="120"/>
      <c r="EES3" s="120"/>
      <c r="EET3" s="120"/>
      <c r="EEU3" s="120"/>
      <c r="EEV3" s="120"/>
      <c r="EEW3" s="120"/>
      <c r="EEX3" s="120"/>
      <c r="EEY3" s="120"/>
      <c r="EEZ3" s="120"/>
      <c r="EFA3" s="120"/>
      <c r="EFB3" s="120"/>
      <c r="EFC3" s="120"/>
      <c r="EFD3" s="120"/>
      <c r="EFE3" s="120"/>
      <c r="EFF3" s="120"/>
      <c r="EFG3" s="120"/>
      <c r="EFH3" s="120"/>
      <c r="EFI3" s="120"/>
      <c r="EFJ3" s="120"/>
      <c r="EFK3" s="120"/>
      <c r="EFL3" s="120"/>
      <c r="EFM3" s="120"/>
      <c r="EFN3" s="120"/>
      <c r="EFO3" s="120"/>
      <c r="EFP3" s="120"/>
      <c r="EFQ3" s="120"/>
      <c r="EFR3" s="120"/>
      <c r="EFS3" s="120"/>
      <c r="EFT3" s="120"/>
      <c r="EFU3" s="120"/>
      <c r="EFV3" s="120"/>
      <c r="EFW3" s="120"/>
      <c r="EFX3" s="120"/>
      <c r="EFY3" s="120"/>
      <c r="EFZ3" s="120"/>
      <c r="EGA3" s="120"/>
      <c r="EGB3" s="120"/>
      <c r="EGC3" s="120"/>
      <c r="EGD3" s="120"/>
      <c r="EGE3" s="120"/>
      <c r="EGF3" s="120"/>
      <c r="EGG3" s="120"/>
      <c r="EGH3" s="120"/>
      <c r="EGI3" s="120"/>
      <c r="EGJ3" s="120"/>
      <c r="EGK3" s="120"/>
      <c r="EGL3" s="120"/>
      <c r="EGM3" s="120"/>
      <c r="EGN3" s="120"/>
      <c r="EGO3" s="120"/>
      <c r="EGP3" s="120"/>
      <c r="EGQ3" s="120"/>
      <c r="EGR3" s="120"/>
      <c r="EGS3" s="120"/>
      <c r="EGT3" s="120"/>
      <c r="EGU3" s="120"/>
      <c r="EGV3" s="120"/>
      <c r="EGW3" s="120"/>
      <c r="EGX3" s="120"/>
      <c r="EGY3" s="120"/>
      <c r="EGZ3" s="120"/>
      <c r="EHA3" s="120"/>
      <c r="EHB3" s="120"/>
      <c r="EHC3" s="120"/>
      <c r="EHD3" s="120"/>
      <c r="EHE3" s="120"/>
      <c r="EHF3" s="120"/>
      <c r="EHG3" s="120"/>
      <c r="EHH3" s="120"/>
      <c r="EHI3" s="120"/>
      <c r="EHJ3" s="120"/>
      <c r="EHK3" s="120"/>
      <c r="EHL3" s="120"/>
      <c r="EHM3" s="120"/>
      <c r="EHN3" s="120"/>
      <c r="EHO3" s="120"/>
      <c r="EHP3" s="120"/>
      <c r="EHQ3" s="120"/>
      <c r="EHR3" s="120"/>
      <c r="EHS3" s="120"/>
      <c r="EHT3" s="120"/>
      <c r="EHU3" s="120"/>
      <c r="EHV3" s="120"/>
      <c r="EHW3" s="120"/>
      <c r="EHX3" s="120"/>
      <c r="EHY3" s="120"/>
      <c r="EHZ3" s="120"/>
      <c r="EIA3" s="120"/>
      <c r="EIB3" s="120"/>
      <c r="EIC3" s="120"/>
      <c r="EID3" s="120"/>
      <c r="EIE3" s="120"/>
      <c r="EIF3" s="120"/>
      <c r="EIG3" s="120"/>
      <c r="EIH3" s="120"/>
      <c r="EII3" s="120"/>
      <c r="EIJ3" s="120"/>
      <c r="EIK3" s="120"/>
      <c r="EIL3" s="120"/>
      <c r="EIM3" s="120"/>
      <c r="EIN3" s="120"/>
      <c r="EIO3" s="120"/>
      <c r="EIP3" s="120"/>
      <c r="EIQ3" s="120"/>
      <c r="EIR3" s="120"/>
      <c r="EIS3" s="120"/>
      <c r="EIT3" s="120"/>
      <c r="EIU3" s="120"/>
      <c r="EIV3" s="120"/>
      <c r="EIW3" s="120"/>
      <c r="EIX3" s="120"/>
      <c r="EIY3" s="120"/>
      <c r="EIZ3" s="120"/>
      <c r="EJA3" s="120"/>
      <c r="EJB3" s="120"/>
      <c r="EJC3" s="120"/>
      <c r="EJD3" s="120"/>
      <c r="EJE3" s="120"/>
      <c r="EJF3" s="120"/>
      <c r="EJG3" s="120"/>
      <c r="EJH3" s="120"/>
      <c r="EJI3" s="120"/>
      <c r="EJJ3" s="120"/>
      <c r="EJK3" s="120"/>
      <c r="EJL3" s="120"/>
      <c r="EJM3" s="120"/>
      <c r="EJN3" s="120"/>
      <c r="EJO3" s="120"/>
      <c r="EJP3" s="120"/>
      <c r="EJQ3" s="120"/>
      <c r="EJR3" s="120"/>
      <c r="EJS3" s="120"/>
      <c r="EJT3" s="120"/>
      <c r="EJU3" s="120"/>
      <c r="EJV3" s="120"/>
      <c r="EJW3" s="120"/>
      <c r="EJX3" s="120"/>
      <c r="EJY3" s="120"/>
      <c r="EJZ3" s="120"/>
      <c r="EKA3" s="120"/>
      <c r="EKB3" s="120"/>
      <c r="EKC3" s="120"/>
      <c r="EKD3" s="120"/>
      <c r="EKE3" s="120"/>
      <c r="EKF3" s="120"/>
      <c r="EKG3" s="120"/>
      <c r="EKH3" s="120"/>
      <c r="EKI3" s="120"/>
      <c r="EKJ3" s="120"/>
      <c r="EKK3" s="120"/>
      <c r="EKL3" s="120"/>
      <c r="EKM3" s="120"/>
      <c r="EKN3" s="120"/>
      <c r="EKO3" s="120"/>
      <c r="EKP3" s="120"/>
      <c r="EKQ3" s="120"/>
      <c r="EKR3" s="120"/>
      <c r="EKS3" s="120"/>
      <c r="EKT3" s="120"/>
      <c r="EKU3" s="120"/>
      <c r="EKV3" s="120"/>
      <c r="EKW3" s="120"/>
      <c r="EKX3" s="120"/>
      <c r="EKY3" s="120"/>
      <c r="EKZ3" s="120"/>
      <c r="ELA3" s="120"/>
      <c r="ELB3" s="120"/>
      <c r="ELC3" s="120"/>
      <c r="ELD3" s="120"/>
      <c r="ELE3" s="120"/>
      <c r="ELF3" s="120"/>
      <c r="ELG3" s="120"/>
      <c r="ELH3" s="120"/>
      <c r="ELI3" s="120"/>
      <c r="ELJ3" s="120"/>
      <c r="ELK3" s="120"/>
      <c r="ELL3" s="120"/>
      <c r="ELM3" s="120"/>
      <c r="ELN3" s="120"/>
      <c r="ELO3" s="120"/>
      <c r="ELP3" s="120"/>
      <c r="ELQ3" s="120"/>
      <c r="ELR3" s="120"/>
      <c r="ELS3" s="120"/>
      <c r="ELT3" s="120"/>
      <c r="ELU3" s="120"/>
      <c r="ELV3" s="120"/>
      <c r="ELW3" s="120"/>
      <c r="ELX3" s="120"/>
      <c r="ELY3" s="120"/>
      <c r="ELZ3" s="120"/>
      <c r="EMA3" s="120"/>
      <c r="EMB3" s="120"/>
      <c r="EMC3" s="120"/>
      <c r="EMD3" s="120"/>
      <c r="EME3" s="120"/>
      <c r="EMF3" s="120"/>
      <c r="EMG3" s="120"/>
      <c r="EMH3" s="120"/>
      <c r="EMI3" s="120"/>
      <c r="EMJ3" s="120"/>
      <c r="EMK3" s="120"/>
      <c r="EML3" s="120"/>
      <c r="EMM3" s="120"/>
      <c r="EMN3" s="120"/>
      <c r="EMO3" s="120"/>
      <c r="EMP3" s="120"/>
      <c r="EMQ3" s="120"/>
      <c r="EMR3" s="120"/>
      <c r="EMS3" s="120"/>
      <c r="EMT3" s="120"/>
      <c r="EMU3" s="120"/>
      <c r="EMV3" s="120"/>
      <c r="EMW3" s="120"/>
      <c r="EMX3" s="120"/>
      <c r="EMY3" s="120"/>
      <c r="EMZ3" s="120"/>
      <c r="ENA3" s="120"/>
      <c r="ENB3" s="120"/>
      <c r="ENC3" s="120"/>
      <c r="END3" s="120"/>
      <c r="ENE3" s="120"/>
      <c r="ENF3" s="120"/>
      <c r="ENG3" s="120"/>
      <c r="ENH3" s="120"/>
      <c r="ENI3" s="120"/>
      <c r="ENJ3" s="120"/>
      <c r="ENK3" s="120"/>
      <c r="ENL3" s="120"/>
      <c r="ENM3" s="120"/>
      <c r="ENN3" s="120"/>
      <c r="ENO3" s="120"/>
      <c r="ENP3" s="120"/>
      <c r="ENQ3" s="120"/>
      <c r="ENR3" s="120"/>
      <c r="ENS3" s="120"/>
      <c r="ENT3" s="120"/>
      <c r="ENU3" s="120"/>
      <c r="ENV3" s="120"/>
      <c r="ENW3" s="120"/>
      <c r="ENX3" s="120"/>
      <c r="ENY3" s="120"/>
      <c r="ENZ3" s="120"/>
      <c r="EOA3" s="120"/>
      <c r="EOB3" s="120"/>
      <c r="EOC3" s="120"/>
      <c r="EOD3" s="120"/>
      <c r="EOE3" s="120"/>
      <c r="EOF3" s="120"/>
      <c r="EOG3" s="120"/>
      <c r="EOH3" s="120"/>
      <c r="EOI3" s="120"/>
      <c r="EOJ3" s="120"/>
      <c r="EOK3" s="120"/>
      <c r="EOL3" s="120"/>
      <c r="EOM3" s="120"/>
      <c r="EON3" s="120"/>
      <c r="EOO3" s="120"/>
      <c r="EOP3" s="120"/>
      <c r="EOQ3" s="120"/>
      <c r="EOR3" s="120"/>
      <c r="EOS3" s="120"/>
      <c r="EOT3" s="120"/>
      <c r="EOU3" s="120"/>
      <c r="EOV3" s="120"/>
      <c r="EOW3" s="120"/>
      <c r="EOX3" s="120"/>
      <c r="EOY3" s="120"/>
      <c r="EOZ3" s="120"/>
      <c r="EPA3" s="120"/>
      <c r="EPB3" s="120"/>
      <c r="EPC3" s="120"/>
      <c r="EPD3" s="120"/>
      <c r="EPE3" s="120"/>
      <c r="EPF3" s="120"/>
      <c r="EPG3" s="120"/>
      <c r="EPH3" s="120"/>
      <c r="EPI3" s="120"/>
      <c r="EPJ3" s="120"/>
      <c r="EPK3" s="120"/>
      <c r="EPL3" s="120"/>
      <c r="EPM3" s="120"/>
      <c r="EPN3" s="120"/>
      <c r="EPO3" s="120"/>
      <c r="EPP3" s="120"/>
      <c r="EPQ3" s="120"/>
      <c r="EPR3" s="120"/>
      <c r="EPS3" s="120"/>
      <c r="EPT3" s="120"/>
      <c r="EPU3" s="120"/>
      <c r="EPV3" s="120"/>
      <c r="EPW3" s="120"/>
      <c r="EPX3" s="120"/>
      <c r="EPY3" s="120"/>
      <c r="EPZ3" s="120"/>
      <c r="EQA3" s="120"/>
      <c r="EQB3" s="120"/>
      <c r="EQC3" s="120"/>
      <c r="EQD3" s="120"/>
      <c r="EQE3" s="120"/>
      <c r="EQF3" s="120"/>
      <c r="EQG3" s="120"/>
      <c r="EQH3" s="120"/>
      <c r="EQI3" s="120"/>
      <c r="EQJ3" s="120"/>
      <c r="EQK3" s="120"/>
      <c r="EQL3" s="120"/>
      <c r="EQM3" s="120"/>
      <c r="EQN3" s="120"/>
      <c r="EQO3" s="120"/>
      <c r="EQP3" s="120"/>
      <c r="EQQ3" s="120"/>
      <c r="EQR3" s="120"/>
      <c r="EQS3" s="120"/>
      <c r="EQT3" s="120"/>
      <c r="EQU3" s="120"/>
      <c r="EQV3" s="120"/>
      <c r="EQW3" s="120"/>
      <c r="EQX3" s="120"/>
      <c r="EQY3" s="120"/>
      <c r="EQZ3" s="120"/>
      <c r="ERA3" s="120"/>
      <c r="ERB3" s="120"/>
      <c r="ERC3" s="120"/>
      <c r="ERD3" s="120"/>
      <c r="ERE3" s="120"/>
      <c r="ERF3" s="120"/>
      <c r="ERG3" s="120"/>
      <c r="ERH3" s="120"/>
      <c r="ERI3" s="120"/>
      <c r="ERJ3" s="120"/>
      <c r="ERK3" s="120"/>
      <c r="ERL3" s="120"/>
      <c r="ERM3" s="120"/>
      <c r="ERN3" s="120"/>
      <c r="ERO3" s="120"/>
      <c r="ERP3" s="120"/>
      <c r="ERQ3" s="120"/>
      <c r="ERR3" s="120"/>
      <c r="ERS3" s="120"/>
      <c r="ERT3" s="120"/>
      <c r="ERU3" s="120"/>
      <c r="ERV3" s="120"/>
      <c r="ERW3" s="120"/>
      <c r="ERX3" s="120"/>
      <c r="ERY3" s="120"/>
      <c r="ERZ3" s="120"/>
      <c r="ESA3" s="120"/>
      <c r="ESB3" s="120"/>
      <c r="ESC3" s="120"/>
      <c r="ESD3" s="120"/>
      <c r="ESE3" s="120"/>
      <c r="ESF3" s="120"/>
      <c r="ESG3" s="120"/>
      <c r="ESH3" s="120"/>
      <c r="ESI3" s="120"/>
      <c r="ESJ3" s="120"/>
      <c r="ESK3" s="120"/>
      <c r="ESL3" s="120"/>
      <c r="ESM3" s="120"/>
      <c r="ESN3" s="120"/>
      <c r="ESO3" s="120"/>
      <c r="ESP3" s="120"/>
      <c r="ESQ3" s="120"/>
      <c r="ESR3" s="120"/>
      <c r="ESS3" s="120"/>
      <c r="EST3" s="120"/>
      <c r="ESU3" s="120"/>
      <c r="ESV3" s="120"/>
      <c r="ESW3" s="120"/>
      <c r="ESX3" s="120"/>
      <c r="ESY3" s="120"/>
      <c r="ESZ3" s="120"/>
      <c r="ETA3" s="120"/>
      <c r="ETB3" s="120"/>
      <c r="ETC3" s="120"/>
      <c r="ETD3" s="120"/>
      <c r="ETE3" s="120"/>
      <c r="ETF3" s="120"/>
      <c r="ETG3" s="120"/>
      <c r="ETH3" s="120"/>
      <c r="ETI3" s="120"/>
      <c r="ETJ3" s="120"/>
      <c r="ETK3" s="120"/>
      <c r="ETL3" s="120"/>
      <c r="ETM3" s="120"/>
      <c r="ETN3" s="120"/>
      <c r="ETO3" s="120"/>
      <c r="ETP3" s="120"/>
      <c r="ETQ3" s="120"/>
      <c r="ETR3" s="120"/>
      <c r="ETS3" s="120"/>
      <c r="ETT3" s="120"/>
      <c r="ETU3" s="120"/>
      <c r="ETV3" s="120"/>
      <c r="ETW3" s="120"/>
      <c r="ETX3" s="120"/>
      <c r="ETY3" s="120"/>
      <c r="ETZ3" s="120"/>
      <c r="EUA3" s="120"/>
      <c r="EUB3" s="120"/>
      <c r="EUC3" s="120"/>
      <c r="EUD3" s="120"/>
      <c r="EUE3" s="120"/>
      <c r="EUF3" s="120"/>
      <c r="EUG3" s="120"/>
      <c r="EUH3" s="120"/>
      <c r="EUI3" s="120"/>
      <c r="EUJ3" s="120"/>
      <c r="EUK3" s="120"/>
      <c r="EUL3" s="120"/>
      <c r="EUM3" s="120"/>
      <c r="EUN3" s="120"/>
      <c r="EUO3" s="120"/>
      <c r="EUP3" s="120"/>
      <c r="EUQ3" s="120"/>
      <c r="EUR3" s="120"/>
      <c r="EUS3" s="120"/>
      <c r="EUT3" s="120"/>
      <c r="EUU3" s="120"/>
      <c r="EUV3" s="120"/>
      <c r="EUW3" s="120"/>
      <c r="EUX3" s="120"/>
      <c r="EUY3" s="120"/>
      <c r="EUZ3" s="120"/>
      <c r="EVA3" s="120"/>
      <c r="EVB3" s="120"/>
      <c r="EVC3" s="120"/>
      <c r="EVD3" s="120"/>
      <c r="EVE3" s="120"/>
      <c r="EVF3" s="120"/>
      <c r="EVG3" s="120"/>
      <c r="EVH3" s="120"/>
      <c r="EVI3" s="120"/>
      <c r="EVJ3" s="120"/>
      <c r="EVK3" s="120"/>
      <c r="EVL3" s="120"/>
      <c r="EVM3" s="120"/>
      <c r="EVN3" s="120"/>
      <c r="EVO3" s="120"/>
      <c r="EVP3" s="120"/>
      <c r="EVQ3" s="120"/>
      <c r="EVR3" s="120"/>
      <c r="EVS3" s="120"/>
      <c r="EVT3" s="120"/>
      <c r="EVU3" s="120"/>
      <c r="EVV3" s="120"/>
      <c r="EVW3" s="120"/>
      <c r="EVX3" s="120"/>
      <c r="EVY3" s="120"/>
      <c r="EVZ3" s="120"/>
      <c r="EWA3" s="120"/>
      <c r="EWB3" s="120"/>
      <c r="EWC3" s="120"/>
      <c r="EWD3" s="120"/>
      <c r="EWE3" s="120"/>
      <c r="EWF3" s="120"/>
      <c r="EWG3" s="120"/>
      <c r="EWH3" s="120"/>
      <c r="EWI3" s="120"/>
      <c r="EWJ3" s="120"/>
      <c r="EWK3" s="120"/>
      <c r="EWL3" s="120"/>
      <c r="EWM3" s="120"/>
      <c r="EWN3" s="120"/>
      <c r="EWO3" s="120"/>
      <c r="EWP3" s="120"/>
      <c r="EWQ3" s="120"/>
      <c r="EWR3" s="120"/>
      <c r="EWS3" s="120"/>
      <c r="EWT3" s="120"/>
      <c r="EWU3" s="120"/>
      <c r="EWV3" s="120"/>
      <c r="EWW3" s="120"/>
      <c r="EWX3" s="120"/>
      <c r="EWY3" s="120"/>
      <c r="EWZ3" s="120"/>
      <c r="EXA3" s="120"/>
      <c r="EXB3" s="120"/>
      <c r="EXC3" s="120"/>
      <c r="EXD3" s="120"/>
      <c r="EXE3" s="120"/>
      <c r="EXF3" s="120"/>
      <c r="EXG3" s="120"/>
      <c r="EXH3" s="120"/>
      <c r="EXI3" s="120"/>
      <c r="EXJ3" s="120"/>
      <c r="EXK3" s="120"/>
      <c r="EXL3" s="120"/>
      <c r="EXM3" s="120"/>
      <c r="EXN3" s="120"/>
      <c r="EXO3" s="120"/>
      <c r="EXP3" s="120"/>
      <c r="EXQ3" s="120"/>
      <c r="EXR3" s="120"/>
      <c r="EXS3" s="120"/>
      <c r="EXT3" s="120"/>
      <c r="EXU3" s="120"/>
      <c r="EXV3" s="120"/>
      <c r="EXW3" s="120"/>
      <c r="EXX3" s="120"/>
      <c r="EXY3" s="120"/>
      <c r="EXZ3" s="120"/>
      <c r="EYA3" s="120"/>
      <c r="EYB3" s="120"/>
      <c r="EYC3" s="120"/>
      <c r="EYD3" s="120"/>
      <c r="EYE3" s="120"/>
      <c r="EYF3" s="120"/>
      <c r="EYG3" s="120"/>
      <c r="EYH3" s="120"/>
      <c r="EYI3" s="120"/>
      <c r="EYJ3" s="120"/>
      <c r="EYK3" s="120"/>
      <c r="EYL3" s="120"/>
      <c r="EYM3" s="120"/>
      <c r="EYN3" s="120"/>
      <c r="EYO3" s="120"/>
      <c r="EYP3" s="120"/>
      <c r="EYQ3" s="120"/>
      <c r="EYR3" s="120"/>
      <c r="EYS3" s="120"/>
      <c r="EYT3" s="120"/>
      <c r="EYU3" s="120"/>
      <c r="EYV3" s="120"/>
      <c r="EYW3" s="120"/>
      <c r="EYX3" s="120"/>
      <c r="EYY3" s="120"/>
      <c r="EYZ3" s="120"/>
      <c r="EZA3" s="120"/>
      <c r="EZB3" s="120"/>
      <c r="EZC3" s="120"/>
      <c r="EZD3" s="120"/>
      <c r="EZE3" s="120"/>
      <c r="EZF3" s="120"/>
      <c r="EZG3" s="120"/>
      <c r="EZH3" s="120"/>
      <c r="EZI3" s="120"/>
      <c r="EZJ3" s="120"/>
      <c r="EZK3" s="120"/>
      <c r="EZL3" s="120"/>
      <c r="EZM3" s="120"/>
      <c r="EZN3" s="120"/>
      <c r="EZO3" s="120"/>
      <c r="EZP3" s="120"/>
      <c r="EZQ3" s="120"/>
      <c r="EZR3" s="120"/>
      <c r="EZS3" s="120"/>
      <c r="EZT3" s="120"/>
      <c r="EZU3" s="120"/>
      <c r="EZV3" s="120"/>
      <c r="EZW3" s="120"/>
      <c r="EZX3" s="120"/>
      <c r="EZY3" s="120"/>
      <c r="EZZ3" s="120"/>
      <c r="FAA3" s="120"/>
      <c r="FAB3" s="120"/>
      <c r="FAC3" s="120"/>
      <c r="FAD3" s="120"/>
      <c r="FAE3" s="120"/>
      <c r="FAF3" s="120"/>
      <c r="FAG3" s="120"/>
      <c r="FAH3" s="120"/>
      <c r="FAI3" s="120"/>
      <c r="FAJ3" s="120"/>
      <c r="FAK3" s="120"/>
      <c r="FAL3" s="120"/>
      <c r="FAM3" s="120"/>
      <c r="FAN3" s="120"/>
      <c r="FAO3" s="120"/>
      <c r="FAP3" s="120"/>
      <c r="FAQ3" s="120"/>
      <c r="FAR3" s="120"/>
      <c r="FAS3" s="120"/>
      <c r="FAT3" s="120"/>
      <c r="FAU3" s="120"/>
      <c r="FAV3" s="120"/>
      <c r="FAW3" s="120"/>
      <c r="FAX3" s="120"/>
      <c r="FAY3" s="120"/>
      <c r="FAZ3" s="120"/>
      <c r="FBA3" s="120"/>
      <c r="FBB3" s="120"/>
      <c r="FBC3" s="120"/>
      <c r="FBD3" s="120"/>
      <c r="FBE3" s="120"/>
      <c r="FBF3" s="120"/>
      <c r="FBG3" s="120"/>
      <c r="FBH3" s="120"/>
      <c r="FBI3" s="120"/>
      <c r="FBJ3" s="120"/>
      <c r="FBK3" s="120"/>
      <c r="FBL3" s="120"/>
      <c r="FBM3" s="120"/>
      <c r="FBN3" s="120"/>
      <c r="FBO3" s="120"/>
      <c r="FBP3" s="120"/>
      <c r="FBQ3" s="120"/>
      <c r="FBR3" s="120"/>
      <c r="FBS3" s="120"/>
      <c r="FBT3" s="120"/>
      <c r="FBU3" s="120"/>
      <c r="FBV3" s="120"/>
      <c r="FBW3" s="120"/>
      <c r="FBX3" s="120"/>
      <c r="FBY3" s="120"/>
      <c r="FBZ3" s="120"/>
      <c r="FCA3" s="120"/>
      <c r="FCB3" s="120"/>
      <c r="FCC3" s="120"/>
      <c r="FCD3" s="120"/>
      <c r="FCE3" s="120"/>
      <c r="FCF3" s="120"/>
      <c r="FCG3" s="120"/>
      <c r="FCH3" s="120"/>
      <c r="FCI3" s="120"/>
      <c r="FCJ3" s="120"/>
      <c r="FCK3" s="120"/>
      <c r="FCL3" s="120"/>
      <c r="FCM3" s="120"/>
      <c r="FCN3" s="120"/>
      <c r="FCO3" s="120"/>
      <c r="FCP3" s="120"/>
      <c r="FCQ3" s="120"/>
      <c r="FCR3" s="120"/>
      <c r="FCS3" s="120"/>
      <c r="FCT3" s="120"/>
      <c r="FCU3" s="120"/>
      <c r="FCV3" s="120"/>
      <c r="FCW3" s="120"/>
      <c r="FCX3" s="120"/>
      <c r="FCY3" s="120"/>
      <c r="FCZ3" s="120"/>
      <c r="FDA3" s="120"/>
      <c r="FDB3" s="120"/>
      <c r="FDC3" s="120"/>
      <c r="FDD3" s="120"/>
      <c r="FDE3" s="120"/>
      <c r="FDF3" s="120"/>
      <c r="FDG3" s="120"/>
      <c r="FDH3" s="120"/>
      <c r="FDI3" s="120"/>
      <c r="FDJ3" s="120"/>
      <c r="FDK3" s="120"/>
      <c r="FDL3" s="120"/>
      <c r="FDM3" s="120"/>
      <c r="FDN3" s="120"/>
      <c r="FDO3" s="120"/>
      <c r="FDP3" s="120"/>
      <c r="FDQ3" s="120"/>
      <c r="FDR3" s="120"/>
      <c r="FDS3" s="120"/>
      <c r="FDT3" s="120"/>
      <c r="FDU3" s="120"/>
      <c r="FDV3" s="120"/>
      <c r="FDW3" s="120"/>
      <c r="FDX3" s="120"/>
      <c r="FDY3" s="120"/>
      <c r="FDZ3" s="120"/>
      <c r="FEA3" s="120"/>
      <c r="FEB3" s="120"/>
      <c r="FEC3" s="120"/>
      <c r="FED3" s="120"/>
      <c r="FEE3" s="120"/>
      <c r="FEF3" s="120"/>
      <c r="FEG3" s="120"/>
      <c r="FEH3" s="120"/>
      <c r="FEI3" s="120"/>
      <c r="FEJ3" s="120"/>
      <c r="FEK3" s="120"/>
      <c r="FEL3" s="120"/>
      <c r="FEM3" s="120"/>
      <c r="FEN3" s="120"/>
      <c r="FEO3" s="120"/>
      <c r="FEP3" s="120"/>
      <c r="FEQ3" s="120"/>
      <c r="FER3" s="120"/>
      <c r="FES3" s="120"/>
      <c r="FET3" s="120"/>
      <c r="FEU3" s="120"/>
      <c r="FEV3" s="120"/>
      <c r="FEW3" s="120"/>
      <c r="FEX3" s="120"/>
      <c r="FEY3" s="120"/>
      <c r="FEZ3" s="120"/>
      <c r="FFA3" s="120"/>
      <c r="FFB3" s="120"/>
      <c r="FFC3" s="120"/>
      <c r="FFD3" s="120"/>
      <c r="FFE3" s="120"/>
      <c r="FFF3" s="120"/>
      <c r="FFG3" s="120"/>
      <c r="FFH3" s="120"/>
      <c r="FFI3" s="120"/>
      <c r="FFJ3" s="120"/>
      <c r="FFK3" s="120"/>
      <c r="FFL3" s="120"/>
      <c r="FFM3" s="120"/>
      <c r="FFN3" s="120"/>
      <c r="FFO3" s="120"/>
      <c r="FFP3" s="120"/>
      <c r="FFQ3" s="120"/>
      <c r="FFR3" s="120"/>
      <c r="FFS3" s="120"/>
      <c r="FFT3" s="120"/>
      <c r="FFU3" s="120"/>
      <c r="FFV3" s="120"/>
      <c r="FFW3" s="120"/>
      <c r="FFX3" s="120"/>
      <c r="FFY3" s="120"/>
      <c r="FFZ3" s="120"/>
      <c r="FGA3" s="120"/>
      <c r="FGB3" s="120"/>
      <c r="FGC3" s="120"/>
      <c r="FGD3" s="120"/>
      <c r="FGE3" s="120"/>
      <c r="FGF3" s="120"/>
      <c r="FGG3" s="120"/>
      <c r="FGH3" s="120"/>
      <c r="FGI3" s="120"/>
      <c r="FGJ3" s="120"/>
      <c r="FGK3" s="120"/>
      <c r="FGL3" s="120"/>
      <c r="FGM3" s="120"/>
      <c r="FGN3" s="120"/>
      <c r="FGO3" s="120"/>
      <c r="FGP3" s="120"/>
      <c r="FGQ3" s="120"/>
      <c r="FGR3" s="120"/>
      <c r="FGS3" s="120"/>
      <c r="FGT3" s="120"/>
      <c r="FGU3" s="120"/>
      <c r="FGV3" s="120"/>
      <c r="FGW3" s="120"/>
      <c r="FGX3" s="120"/>
      <c r="FGY3" s="120"/>
      <c r="FGZ3" s="120"/>
      <c r="FHA3" s="120"/>
      <c r="FHB3" s="120"/>
      <c r="FHC3" s="120"/>
      <c r="FHD3" s="120"/>
      <c r="FHE3" s="120"/>
      <c r="FHF3" s="120"/>
      <c r="FHG3" s="120"/>
      <c r="FHH3" s="120"/>
      <c r="FHI3" s="120"/>
      <c r="FHJ3" s="120"/>
      <c r="FHK3" s="120"/>
      <c r="FHL3" s="120"/>
      <c r="FHM3" s="120"/>
      <c r="FHN3" s="120"/>
      <c r="FHO3" s="120"/>
      <c r="FHP3" s="120"/>
      <c r="FHQ3" s="120"/>
      <c r="FHR3" s="120"/>
      <c r="FHS3" s="120"/>
      <c r="FHT3" s="120"/>
      <c r="FHU3" s="120"/>
      <c r="FHV3" s="120"/>
      <c r="FHW3" s="120"/>
      <c r="FHX3" s="120"/>
      <c r="FHY3" s="120"/>
      <c r="FHZ3" s="120"/>
      <c r="FIA3" s="120"/>
      <c r="FIB3" s="120"/>
      <c r="FIC3" s="120"/>
      <c r="FID3" s="120"/>
      <c r="FIE3" s="120"/>
      <c r="FIF3" s="120"/>
      <c r="FIG3" s="120"/>
      <c r="FIH3" s="120"/>
      <c r="FII3" s="120"/>
      <c r="FIJ3" s="120"/>
      <c r="FIK3" s="120"/>
      <c r="FIL3" s="120"/>
      <c r="FIM3" s="120"/>
      <c r="FIN3" s="120"/>
      <c r="FIO3" s="120"/>
      <c r="FIP3" s="120"/>
      <c r="FIQ3" s="120"/>
      <c r="FIR3" s="120"/>
      <c r="FIS3" s="120"/>
      <c r="FIT3" s="120"/>
      <c r="FIU3" s="120"/>
      <c r="FIV3" s="120"/>
      <c r="FIW3" s="120"/>
      <c r="FIX3" s="120"/>
      <c r="FIY3" s="120"/>
      <c r="FIZ3" s="120"/>
      <c r="FJA3" s="120"/>
      <c r="FJB3" s="120"/>
      <c r="FJC3" s="120"/>
      <c r="FJD3" s="120"/>
      <c r="FJE3" s="120"/>
      <c r="FJF3" s="120"/>
      <c r="FJG3" s="120"/>
      <c r="FJH3" s="120"/>
      <c r="FJI3" s="120"/>
      <c r="FJJ3" s="120"/>
      <c r="FJK3" s="120"/>
      <c r="FJL3" s="120"/>
      <c r="FJM3" s="120"/>
      <c r="FJN3" s="120"/>
      <c r="FJO3" s="120"/>
      <c r="FJP3" s="120"/>
      <c r="FJQ3" s="120"/>
      <c r="FJR3" s="120"/>
      <c r="FJS3" s="120"/>
      <c r="FJT3" s="120"/>
      <c r="FJU3" s="120"/>
      <c r="FJV3" s="120"/>
      <c r="FJW3" s="120"/>
      <c r="FJX3" s="120"/>
      <c r="FJY3" s="120"/>
      <c r="FJZ3" s="120"/>
      <c r="FKA3" s="120"/>
      <c r="FKB3" s="120"/>
      <c r="FKC3" s="120"/>
      <c r="FKD3" s="120"/>
      <c r="FKE3" s="120"/>
      <c r="FKF3" s="120"/>
      <c r="FKG3" s="120"/>
      <c r="FKH3" s="120"/>
      <c r="FKI3" s="120"/>
      <c r="FKJ3" s="120"/>
      <c r="FKK3" s="120"/>
      <c r="FKL3" s="120"/>
      <c r="FKM3" s="120"/>
      <c r="FKN3" s="120"/>
      <c r="FKO3" s="120"/>
      <c r="FKP3" s="120"/>
      <c r="FKQ3" s="120"/>
      <c r="FKR3" s="120"/>
      <c r="FKS3" s="120"/>
      <c r="FKT3" s="120"/>
      <c r="FKU3" s="120"/>
      <c r="FKV3" s="120"/>
      <c r="FKW3" s="120"/>
      <c r="FKX3" s="120"/>
      <c r="FKY3" s="120"/>
      <c r="FKZ3" s="120"/>
      <c r="FLA3" s="120"/>
      <c r="FLB3" s="120"/>
      <c r="FLC3" s="120"/>
      <c r="FLD3" s="120"/>
      <c r="FLE3" s="120"/>
      <c r="FLF3" s="120"/>
      <c r="FLG3" s="120"/>
      <c r="FLH3" s="120"/>
      <c r="FLI3" s="120"/>
      <c r="FLJ3" s="120"/>
      <c r="FLK3" s="120"/>
      <c r="FLL3" s="120"/>
      <c r="FLM3" s="120"/>
      <c r="FLN3" s="120"/>
      <c r="FLO3" s="120"/>
      <c r="FLP3" s="120"/>
      <c r="FLQ3" s="120"/>
      <c r="FLR3" s="120"/>
      <c r="FLS3" s="120"/>
      <c r="FLT3" s="120"/>
      <c r="FLU3" s="120"/>
      <c r="FLV3" s="120"/>
      <c r="FLW3" s="120"/>
      <c r="FLX3" s="120"/>
      <c r="FLY3" s="120"/>
      <c r="FLZ3" s="120"/>
      <c r="FMA3" s="120"/>
      <c r="FMB3" s="120"/>
      <c r="FMC3" s="120"/>
      <c r="FMD3" s="120"/>
      <c r="FME3" s="120"/>
      <c r="FMF3" s="120"/>
      <c r="FMG3" s="120"/>
      <c r="FMH3" s="120"/>
      <c r="FMI3" s="120"/>
      <c r="FMJ3" s="120"/>
      <c r="FMK3" s="120"/>
      <c r="FML3" s="120"/>
      <c r="FMM3" s="120"/>
      <c r="FMN3" s="120"/>
      <c r="FMO3" s="120"/>
      <c r="FMP3" s="120"/>
      <c r="FMQ3" s="120"/>
      <c r="FMR3" s="120"/>
      <c r="FMS3" s="120"/>
      <c r="FMT3" s="120"/>
      <c r="FMU3" s="120"/>
      <c r="FMV3" s="120"/>
      <c r="FMW3" s="120"/>
      <c r="FMX3" s="120"/>
      <c r="FMY3" s="120"/>
      <c r="FMZ3" s="120"/>
      <c r="FNA3" s="120"/>
      <c r="FNB3" s="120"/>
      <c r="FNC3" s="120"/>
      <c r="FND3" s="120"/>
      <c r="FNE3" s="120"/>
      <c r="FNF3" s="120"/>
      <c r="FNG3" s="120"/>
      <c r="FNH3" s="120"/>
      <c r="FNI3" s="120"/>
      <c r="FNJ3" s="120"/>
      <c r="FNK3" s="120"/>
      <c r="FNL3" s="120"/>
      <c r="FNM3" s="120"/>
      <c r="FNN3" s="120"/>
      <c r="FNO3" s="120"/>
      <c r="FNP3" s="120"/>
      <c r="FNQ3" s="120"/>
      <c r="FNR3" s="120"/>
      <c r="FNS3" s="120"/>
      <c r="FNT3" s="120"/>
      <c r="FNU3" s="120"/>
      <c r="FNV3" s="120"/>
      <c r="FNW3" s="120"/>
      <c r="FNX3" s="120"/>
      <c r="FNY3" s="120"/>
      <c r="FNZ3" s="120"/>
      <c r="FOA3" s="120"/>
      <c r="FOB3" s="120"/>
      <c r="FOC3" s="120"/>
      <c r="FOD3" s="120"/>
      <c r="FOE3" s="120"/>
      <c r="FOF3" s="120"/>
      <c r="FOG3" s="120"/>
      <c r="FOH3" s="120"/>
      <c r="FOI3" s="120"/>
      <c r="FOJ3" s="120"/>
      <c r="FOK3" s="120"/>
      <c r="FOL3" s="120"/>
      <c r="FOM3" s="120"/>
      <c r="FON3" s="120"/>
      <c r="FOO3" s="120"/>
      <c r="FOP3" s="120"/>
      <c r="FOQ3" s="120"/>
      <c r="FOR3" s="120"/>
      <c r="FOS3" s="120"/>
      <c r="FOT3" s="120"/>
      <c r="FOU3" s="120"/>
      <c r="FOV3" s="120"/>
      <c r="FOW3" s="120"/>
      <c r="FOX3" s="120"/>
      <c r="FOY3" s="120"/>
      <c r="FOZ3" s="120"/>
      <c r="FPA3" s="120"/>
      <c r="FPB3" s="120"/>
      <c r="FPC3" s="120"/>
      <c r="FPD3" s="120"/>
      <c r="FPE3" s="120"/>
      <c r="FPF3" s="120"/>
      <c r="FPG3" s="120"/>
      <c r="FPH3" s="120"/>
      <c r="FPI3" s="120"/>
      <c r="FPJ3" s="120"/>
      <c r="FPK3" s="120"/>
      <c r="FPL3" s="120"/>
      <c r="FPM3" s="120"/>
      <c r="FPN3" s="120"/>
      <c r="FPO3" s="120"/>
      <c r="FPP3" s="120"/>
      <c r="FPQ3" s="120"/>
      <c r="FPR3" s="120"/>
      <c r="FPS3" s="120"/>
      <c r="FPT3" s="120"/>
      <c r="FPU3" s="120"/>
      <c r="FPV3" s="120"/>
      <c r="FPW3" s="120"/>
      <c r="FPX3" s="120"/>
      <c r="FPY3" s="120"/>
      <c r="FPZ3" s="120"/>
      <c r="FQA3" s="120"/>
      <c r="FQB3" s="120"/>
      <c r="FQC3" s="120"/>
      <c r="FQD3" s="120"/>
      <c r="FQE3" s="120"/>
      <c r="FQF3" s="120"/>
      <c r="FQG3" s="120"/>
      <c r="FQH3" s="120"/>
      <c r="FQI3" s="120"/>
      <c r="FQJ3" s="120"/>
      <c r="FQK3" s="120"/>
      <c r="FQL3" s="120"/>
      <c r="FQM3" s="120"/>
      <c r="FQN3" s="120"/>
      <c r="FQO3" s="120"/>
      <c r="FQP3" s="120"/>
      <c r="FQQ3" s="120"/>
      <c r="FQR3" s="120"/>
      <c r="FQS3" s="120"/>
      <c r="FQT3" s="120"/>
      <c r="FQU3" s="120"/>
      <c r="FQV3" s="120"/>
      <c r="FQW3" s="120"/>
      <c r="FQX3" s="120"/>
      <c r="FQY3" s="120"/>
      <c r="FQZ3" s="120"/>
      <c r="FRA3" s="120"/>
      <c r="FRB3" s="120"/>
      <c r="FRC3" s="120"/>
      <c r="FRD3" s="120"/>
      <c r="FRE3" s="120"/>
      <c r="FRF3" s="120"/>
      <c r="FRG3" s="120"/>
      <c r="FRH3" s="120"/>
      <c r="FRI3" s="120"/>
      <c r="FRJ3" s="120"/>
      <c r="FRK3" s="120"/>
      <c r="FRL3" s="120"/>
      <c r="FRM3" s="120"/>
      <c r="FRN3" s="120"/>
      <c r="FRO3" s="120"/>
      <c r="FRP3" s="120"/>
      <c r="FRQ3" s="120"/>
      <c r="FRR3" s="120"/>
      <c r="FRS3" s="120"/>
      <c r="FRT3" s="120"/>
      <c r="FRU3" s="120"/>
      <c r="FRV3" s="120"/>
      <c r="FRW3" s="120"/>
      <c r="FRX3" s="120"/>
      <c r="FRY3" s="120"/>
      <c r="FRZ3" s="120"/>
      <c r="FSA3" s="120"/>
      <c r="FSB3" s="120"/>
      <c r="FSC3" s="120"/>
      <c r="FSD3" s="120"/>
      <c r="FSE3" s="120"/>
      <c r="FSF3" s="120"/>
      <c r="FSG3" s="120"/>
      <c r="FSH3" s="120"/>
      <c r="FSI3" s="120"/>
      <c r="FSJ3" s="120"/>
      <c r="FSK3" s="120"/>
      <c r="FSL3" s="120"/>
      <c r="FSM3" s="120"/>
      <c r="FSN3" s="120"/>
      <c r="FSO3" s="120"/>
      <c r="FSP3" s="120"/>
      <c r="FSQ3" s="120"/>
      <c r="FSR3" s="120"/>
      <c r="FSS3" s="120"/>
      <c r="FST3" s="120"/>
      <c r="FSU3" s="120"/>
      <c r="FSV3" s="120"/>
      <c r="FSW3" s="120"/>
      <c r="FSX3" s="120"/>
      <c r="FSY3" s="120"/>
      <c r="FSZ3" s="120"/>
      <c r="FTA3" s="120"/>
      <c r="FTB3" s="120"/>
      <c r="FTC3" s="120"/>
      <c r="FTD3" s="120"/>
      <c r="FTE3" s="120"/>
      <c r="FTF3" s="120"/>
      <c r="FTG3" s="120"/>
      <c r="FTH3" s="120"/>
      <c r="FTI3" s="120"/>
      <c r="FTJ3" s="120"/>
      <c r="FTK3" s="120"/>
      <c r="FTL3" s="120"/>
      <c r="FTM3" s="120"/>
      <c r="FTN3" s="120"/>
      <c r="FTO3" s="120"/>
      <c r="FTP3" s="120"/>
      <c r="FTQ3" s="120"/>
      <c r="FTR3" s="120"/>
      <c r="FTS3" s="120"/>
      <c r="FTT3" s="120"/>
      <c r="FTU3" s="120"/>
      <c r="FTV3" s="120"/>
      <c r="FTW3" s="120"/>
      <c r="FTX3" s="120"/>
      <c r="FTY3" s="120"/>
      <c r="FTZ3" s="120"/>
      <c r="FUA3" s="120"/>
      <c r="FUB3" s="120"/>
      <c r="FUC3" s="120"/>
      <c r="FUD3" s="120"/>
      <c r="FUE3" s="120"/>
      <c r="FUF3" s="120"/>
      <c r="FUG3" s="120"/>
      <c r="FUH3" s="120"/>
      <c r="FUI3" s="120"/>
      <c r="FUJ3" s="120"/>
      <c r="FUK3" s="120"/>
      <c r="FUL3" s="120"/>
      <c r="FUM3" s="120"/>
      <c r="FUN3" s="120"/>
      <c r="FUO3" s="120"/>
      <c r="FUP3" s="120"/>
      <c r="FUQ3" s="120"/>
      <c r="FUR3" s="120"/>
      <c r="FUS3" s="120"/>
      <c r="FUT3" s="120"/>
      <c r="FUU3" s="120"/>
      <c r="FUV3" s="120"/>
      <c r="FUW3" s="120"/>
      <c r="FUX3" s="120"/>
      <c r="FUY3" s="120"/>
      <c r="FUZ3" s="120"/>
      <c r="FVA3" s="120"/>
      <c r="FVB3" s="120"/>
      <c r="FVC3" s="120"/>
      <c r="FVD3" s="120"/>
      <c r="FVE3" s="120"/>
      <c r="FVF3" s="120"/>
      <c r="FVG3" s="120"/>
      <c r="FVH3" s="120"/>
      <c r="FVI3" s="120"/>
      <c r="FVJ3" s="120"/>
      <c r="FVK3" s="120"/>
      <c r="FVL3" s="120"/>
      <c r="FVM3" s="120"/>
      <c r="FVN3" s="120"/>
      <c r="FVO3" s="120"/>
      <c r="FVP3" s="120"/>
      <c r="FVQ3" s="120"/>
      <c r="FVR3" s="120"/>
      <c r="FVS3" s="120"/>
      <c r="FVT3" s="120"/>
      <c r="FVU3" s="120"/>
      <c r="FVV3" s="120"/>
      <c r="FVW3" s="120"/>
      <c r="FVX3" s="120"/>
      <c r="FVY3" s="120"/>
      <c r="FVZ3" s="120"/>
      <c r="FWA3" s="120"/>
      <c r="FWB3" s="120"/>
      <c r="FWC3" s="120"/>
      <c r="FWD3" s="120"/>
      <c r="FWE3" s="120"/>
      <c r="FWF3" s="120"/>
      <c r="FWG3" s="120"/>
      <c r="FWH3" s="120"/>
      <c r="FWI3" s="120"/>
      <c r="FWJ3" s="120"/>
      <c r="FWK3" s="120"/>
      <c r="FWL3" s="120"/>
      <c r="FWM3" s="120"/>
      <c r="FWN3" s="120"/>
      <c r="FWO3" s="120"/>
      <c r="FWP3" s="120"/>
      <c r="FWQ3" s="120"/>
      <c r="FWR3" s="120"/>
      <c r="FWS3" s="120"/>
      <c r="FWT3" s="120"/>
      <c r="FWU3" s="120"/>
      <c r="FWV3" s="120"/>
      <c r="FWW3" s="120"/>
      <c r="FWX3" s="120"/>
      <c r="FWY3" s="120"/>
      <c r="FWZ3" s="120"/>
      <c r="FXA3" s="120"/>
      <c r="FXB3" s="120"/>
      <c r="FXC3" s="120"/>
      <c r="FXD3" s="120"/>
      <c r="FXE3" s="120"/>
      <c r="FXF3" s="120"/>
      <c r="FXG3" s="120"/>
      <c r="FXH3" s="120"/>
      <c r="FXI3" s="120"/>
      <c r="FXJ3" s="120"/>
      <c r="FXK3" s="120"/>
      <c r="FXL3" s="120"/>
      <c r="FXM3" s="120"/>
      <c r="FXN3" s="120"/>
      <c r="FXO3" s="120"/>
      <c r="FXP3" s="120"/>
      <c r="FXQ3" s="120"/>
      <c r="FXR3" s="120"/>
      <c r="FXS3" s="120"/>
      <c r="FXT3" s="120"/>
      <c r="FXU3" s="120"/>
      <c r="FXV3" s="120"/>
      <c r="FXW3" s="120"/>
      <c r="FXX3" s="120"/>
      <c r="FXY3" s="120"/>
      <c r="FXZ3" s="120"/>
      <c r="FYA3" s="120"/>
      <c r="FYB3" s="120"/>
      <c r="FYC3" s="120"/>
      <c r="FYD3" s="120"/>
      <c r="FYE3" s="120"/>
      <c r="FYF3" s="120"/>
      <c r="FYG3" s="120"/>
      <c r="FYH3" s="120"/>
      <c r="FYI3" s="120"/>
      <c r="FYJ3" s="120"/>
      <c r="FYK3" s="120"/>
      <c r="FYL3" s="120"/>
      <c r="FYM3" s="120"/>
      <c r="FYN3" s="120"/>
      <c r="FYO3" s="120"/>
      <c r="FYP3" s="120"/>
      <c r="FYQ3" s="120"/>
      <c r="FYR3" s="120"/>
      <c r="FYS3" s="120"/>
      <c r="FYT3" s="120"/>
      <c r="FYU3" s="120"/>
      <c r="FYV3" s="120"/>
      <c r="FYW3" s="120"/>
      <c r="FYX3" s="120"/>
      <c r="FYY3" s="120"/>
      <c r="FYZ3" s="120"/>
      <c r="FZA3" s="120"/>
      <c r="FZB3" s="120"/>
      <c r="FZC3" s="120"/>
      <c r="FZD3" s="120"/>
      <c r="FZE3" s="120"/>
      <c r="FZF3" s="120"/>
      <c r="FZG3" s="120"/>
      <c r="FZH3" s="120"/>
      <c r="FZI3" s="120"/>
      <c r="FZJ3" s="120"/>
      <c r="FZK3" s="120"/>
      <c r="FZL3" s="120"/>
      <c r="FZM3" s="120"/>
      <c r="FZN3" s="120"/>
      <c r="FZO3" s="120"/>
      <c r="FZP3" s="120"/>
      <c r="FZQ3" s="120"/>
      <c r="FZR3" s="120"/>
      <c r="FZS3" s="120"/>
      <c r="FZT3" s="120"/>
      <c r="FZU3" s="120"/>
      <c r="FZV3" s="120"/>
      <c r="FZW3" s="120"/>
      <c r="FZX3" s="120"/>
      <c r="FZY3" s="120"/>
      <c r="FZZ3" s="120"/>
      <c r="GAA3" s="120"/>
      <c r="GAB3" s="120"/>
      <c r="GAC3" s="120"/>
      <c r="GAD3" s="120"/>
      <c r="GAE3" s="120"/>
      <c r="GAF3" s="120"/>
      <c r="GAG3" s="120"/>
      <c r="GAH3" s="120"/>
      <c r="GAI3" s="120"/>
      <c r="GAJ3" s="120"/>
      <c r="GAK3" s="120"/>
      <c r="GAL3" s="120"/>
      <c r="GAM3" s="120"/>
      <c r="GAN3" s="120"/>
      <c r="GAO3" s="120"/>
      <c r="GAP3" s="120"/>
      <c r="GAQ3" s="120"/>
      <c r="GAR3" s="120"/>
      <c r="GAS3" s="120"/>
      <c r="GAT3" s="120"/>
      <c r="GAU3" s="120"/>
      <c r="GAV3" s="120"/>
      <c r="GAW3" s="120"/>
      <c r="GAX3" s="120"/>
      <c r="GAY3" s="120"/>
      <c r="GAZ3" s="120"/>
      <c r="GBA3" s="120"/>
      <c r="GBB3" s="120"/>
      <c r="GBC3" s="120"/>
      <c r="GBD3" s="120"/>
      <c r="GBE3" s="120"/>
      <c r="GBF3" s="120"/>
      <c r="GBG3" s="120"/>
      <c r="GBH3" s="120"/>
      <c r="GBI3" s="120"/>
      <c r="GBJ3" s="120"/>
      <c r="GBK3" s="120"/>
      <c r="GBL3" s="120"/>
      <c r="GBM3" s="120"/>
      <c r="GBN3" s="120"/>
      <c r="GBO3" s="120"/>
      <c r="GBP3" s="120"/>
      <c r="GBQ3" s="120"/>
      <c r="GBR3" s="120"/>
      <c r="GBS3" s="120"/>
      <c r="GBT3" s="120"/>
      <c r="GBU3" s="120"/>
      <c r="GBV3" s="120"/>
      <c r="GBW3" s="120"/>
      <c r="GBX3" s="120"/>
      <c r="GBY3" s="120"/>
      <c r="GBZ3" s="120"/>
      <c r="GCA3" s="120"/>
      <c r="GCB3" s="120"/>
      <c r="GCC3" s="120"/>
      <c r="GCD3" s="120"/>
      <c r="GCE3" s="120"/>
      <c r="GCF3" s="120"/>
      <c r="GCG3" s="120"/>
      <c r="GCH3" s="120"/>
      <c r="GCI3" s="120"/>
      <c r="GCJ3" s="120"/>
      <c r="GCK3" s="120"/>
      <c r="GCL3" s="120"/>
      <c r="GCM3" s="120"/>
      <c r="GCN3" s="120"/>
      <c r="GCO3" s="120"/>
      <c r="GCP3" s="120"/>
      <c r="GCQ3" s="120"/>
      <c r="GCR3" s="120"/>
      <c r="GCS3" s="120"/>
      <c r="GCT3" s="120"/>
      <c r="GCU3" s="120"/>
      <c r="GCV3" s="120"/>
      <c r="GCW3" s="120"/>
      <c r="GCX3" s="120"/>
      <c r="GCY3" s="120"/>
      <c r="GCZ3" s="120"/>
      <c r="GDA3" s="120"/>
      <c r="GDB3" s="120"/>
      <c r="GDC3" s="120"/>
      <c r="GDD3" s="120"/>
      <c r="GDE3" s="120"/>
      <c r="GDF3" s="120"/>
      <c r="GDG3" s="120"/>
      <c r="GDH3" s="120"/>
      <c r="GDI3" s="120"/>
      <c r="GDJ3" s="120"/>
      <c r="GDK3" s="120"/>
      <c r="GDL3" s="120"/>
      <c r="GDM3" s="120"/>
      <c r="GDN3" s="120"/>
      <c r="GDO3" s="120"/>
      <c r="GDP3" s="120"/>
      <c r="GDQ3" s="120"/>
      <c r="GDR3" s="120"/>
      <c r="GDS3" s="120"/>
      <c r="GDT3" s="120"/>
      <c r="GDU3" s="120"/>
      <c r="GDV3" s="120"/>
      <c r="GDW3" s="120"/>
      <c r="GDX3" s="120"/>
      <c r="GDY3" s="120"/>
      <c r="GDZ3" s="120"/>
      <c r="GEA3" s="120"/>
      <c r="GEB3" s="120"/>
      <c r="GEC3" s="120"/>
      <c r="GED3" s="120"/>
      <c r="GEE3" s="120"/>
      <c r="GEF3" s="120"/>
      <c r="GEG3" s="120"/>
      <c r="GEH3" s="120"/>
      <c r="GEI3" s="120"/>
      <c r="GEJ3" s="120"/>
      <c r="GEK3" s="120"/>
      <c r="GEL3" s="120"/>
      <c r="GEM3" s="120"/>
      <c r="GEN3" s="120"/>
      <c r="GEO3" s="120"/>
      <c r="GEP3" s="120"/>
      <c r="GEQ3" s="120"/>
      <c r="GER3" s="120"/>
      <c r="GES3" s="120"/>
      <c r="GET3" s="120"/>
      <c r="GEU3" s="120"/>
      <c r="GEV3" s="120"/>
      <c r="GEW3" s="120"/>
      <c r="GEX3" s="120"/>
      <c r="GEY3" s="120"/>
      <c r="GEZ3" s="120"/>
      <c r="GFA3" s="120"/>
      <c r="GFB3" s="120"/>
      <c r="GFC3" s="120"/>
      <c r="GFD3" s="120"/>
      <c r="GFE3" s="120"/>
      <c r="GFF3" s="120"/>
      <c r="GFG3" s="120"/>
      <c r="GFH3" s="120"/>
      <c r="GFI3" s="120"/>
      <c r="GFJ3" s="120"/>
      <c r="GFK3" s="120"/>
      <c r="GFL3" s="120"/>
      <c r="GFM3" s="120"/>
      <c r="GFN3" s="120"/>
      <c r="GFO3" s="120"/>
      <c r="GFP3" s="120"/>
      <c r="GFQ3" s="120"/>
      <c r="GFR3" s="120"/>
      <c r="GFS3" s="120"/>
      <c r="GFT3" s="120"/>
      <c r="GFU3" s="120"/>
      <c r="GFV3" s="120"/>
      <c r="GFW3" s="120"/>
      <c r="GFX3" s="120"/>
      <c r="GFY3" s="120"/>
      <c r="GFZ3" s="120"/>
      <c r="GGA3" s="120"/>
      <c r="GGB3" s="120"/>
      <c r="GGC3" s="120"/>
      <c r="GGD3" s="120"/>
      <c r="GGE3" s="120"/>
      <c r="GGF3" s="120"/>
      <c r="GGG3" s="120"/>
      <c r="GGH3" s="120"/>
      <c r="GGI3" s="120"/>
      <c r="GGJ3" s="120"/>
      <c r="GGK3" s="120"/>
      <c r="GGL3" s="120"/>
      <c r="GGM3" s="120"/>
      <c r="GGN3" s="120"/>
      <c r="GGO3" s="120"/>
      <c r="GGP3" s="120"/>
      <c r="GGQ3" s="120"/>
      <c r="GGR3" s="120"/>
      <c r="GGS3" s="120"/>
      <c r="GGT3" s="120"/>
      <c r="GGU3" s="120"/>
      <c r="GGV3" s="120"/>
      <c r="GGW3" s="120"/>
      <c r="GGX3" s="120"/>
      <c r="GGY3" s="120"/>
      <c r="GGZ3" s="120"/>
      <c r="GHA3" s="120"/>
      <c r="GHB3" s="120"/>
      <c r="GHC3" s="120"/>
      <c r="GHD3" s="120"/>
      <c r="GHE3" s="120"/>
      <c r="GHF3" s="120"/>
      <c r="GHG3" s="120"/>
      <c r="GHH3" s="120"/>
      <c r="GHI3" s="120"/>
      <c r="GHJ3" s="120"/>
      <c r="GHK3" s="120"/>
      <c r="GHL3" s="120"/>
      <c r="GHM3" s="120"/>
      <c r="GHN3" s="120"/>
      <c r="GHO3" s="120"/>
      <c r="GHP3" s="120"/>
      <c r="GHQ3" s="120"/>
      <c r="GHR3" s="120"/>
      <c r="GHS3" s="120"/>
      <c r="GHT3" s="120"/>
      <c r="GHU3" s="120"/>
      <c r="GHV3" s="120"/>
      <c r="GHW3" s="120"/>
      <c r="GHX3" s="120"/>
      <c r="GHY3" s="120"/>
      <c r="GHZ3" s="120"/>
      <c r="GIA3" s="120"/>
      <c r="GIB3" s="120"/>
      <c r="GIC3" s="120"/>
      <c r="GID3" s="120"/>
      <c r="GIE3" s="120"/>
      <c r="GIF3" s="120"/>
      <c r="GIG3" s="120"/>
      <c r="GIH3" s="120"/>
      <c r="GII3" s="120"/>
      <c r="GIJ3" s="120"/>
      <c r="GIK3" s="120"/>
      <c r="GIL3" s="120"/>
      <c r="GIM3" s="120"/>
      <c r="GIN3" s="120"/>
      <c r="GIO3" s="120"/>
      <c r="GIP3" s="120"/>
      <c r="GIQ3" s="120"/>
      <c r="GIR3" s="120"/>
      <c r="GIS3" s="120"/>
      <c r="GIT3" s="120"/>
      <c r="GIU3" s="120"/>
      <c r="GIV3" s="120"/>
      <c r="GIW3" s="120"/>
      <c r="GIX3" s="120"/>
      <c r="GIY3" s="120"/>
      <c r="GIZ3" s="120"/>
      <c r="GJA3" s="120"/>
      <c r="GJB3" s="120"/>
      <c r="GJC3" s="120"/>
      <c r="GJD3" s="120"/>
      <c r="GJE3" s="120"/>
      <c r="GJF3" s="120"/>
      <c r="GJG3" s="120"/>
      <c r="GJH3" s="120"/>
      <c r="GJI3" s="120"/>
      <c r="GJJ3" s="120"/>
      <c r="GJK3" s="120"/>
      <c r="GJL3" s="120"/>
      <c r="GJM3" s="120"/>
      <c r="GJN3" s="120"/>
      <c r="GJO3" s="120"/>
      <c r="GJP3" s="120"/>
      <c r="GJQ3" s="120"/>
      <c r="GJR3" s="120"/>
      <c r="GJS3" s="120"/>
      <c r="GJT3" s="120"/>
      <c r="GJU3" s="120"/>
      <c r="GJV3" s="120"/>
      <c r="GJW3" s="120"/>
      <c r="GJX3" s="120"/>
      <c r="GJY3" s="120"/>
      <c r="GJZ3" s="120"/>
      <c r="GKA3" s="120"/>
      <c r="GKB3" s="120"/>
      <c r="GKC3" s="120"/>
      <c r="GKD3" s="120"/>
      <c r="GKE3" s="120"/>
      <c r="GKF3" s="120"/>
      <c r="GKG3" s="120"/>
      <c r="GKH3" s="120"/>
      <c r="GKI3" s="120"/>
      <c r="GKJ3" s="120"/>
      <c r="GKK3" s="120"/>
      <c r="GKL3" s="120"/>
      <c r="GKM3" s="120"/>
      <c r="GKN3" s="120"/>
      <c r="GKO3" s="120"/>
      <c r="GKP3" s="120"/>
      <c r="GKQ3" s="120"/>
      <c r="GKR3" s="120"/>
      <c r="GKS3" s="120"/>
      <c r="GKT3" s="120"/>
      <c r="GKU3" s="120"/>
      <c r="GKV3" s="120"/>
      <c r="GKW3" s="120"/>
      <c r="GKX3" s="120"/>
      <c r="GKY3" s="120"/>
      <c r="GKZ3" s="120"/>
      <c r="GLA3" s="120"/>
      <c r="GLB3" s="120"/>
      <c r="GLC3" s="120"/>
      <c r="GLD3" s="120"/>
      <c r="GLE3" s="120"/>
      <c r="GLF3" s="120"/>
      <c r="GLG3" s="120"/>
      <c r="GLH3" s="120"/>
      <c r="GLI3" s="120"/>
      <c r="GLJ3" s="120"/>
      <c r="GLK3" s="120"/>
      <c r="GLL3" s="120"/>
      <c r="GLM3" s="120"/>
      <c r="GLN3" s="120"/>
      <c r="GLO3" s="120"/>
      <c r="GLP3" s="120"/>
      <c r="GLQ3" s="120"/>
      <c r="GLR3" s="120"/>
      <c r="GLS3" s="120"/>
      <c r="GLT3" s="120"/>
      <c r="GLU3" s="120"/>
      <c r="GLV3" s="120"/>
      <c r="GLW3" s="120"/>
      <c r="GLX3" s="120"/>
      <c r="GLY3" s="120"/>
      <c r="GLZ3" s="120"/>
      <c r="GMA3" s="120"/>
      <c r="GMB3" s="120"/>
      <c r="GMC3" s="120"/>
      <c r="GMD3" s="120"/>
      <c r="GME3" s="120"/>
      <c r="GMF3" s="120"/>
      <c r="GMG3" s="120"/>
      <c r="GMH3" s="120"/>
      <c r="GMI3" s="120"/>
      <c r="GMJ3" s="120"/>
      <c r="GMK3" s="120"/>
      <c r="GML3" s="120"/>
      <c r="GMM3" s="120"/>
      <c r="GMN3" s="120"/>
      <c r="GMO3" s="120"/>
      <c r="GMP3" s="120"/>
      <c r="GMQ3" s="120"/>
      <c r="GMR3" s="120"/>
      <c r="GMS3" s="120"/>
      <c r="GMT3" s="120"/>
      <c r="GMU3" s="120"/>
      <c r="GMV3" s="120"/>
      <c r="GMW3" s="120"/>
      <c r="GMX3" s="120"/>
      <c r="GMY3" s="120"/>
      <c r="GMZ3" s="120"/>
      <c r="GNA3" s="120"/>
      <c r="GNB3" s="120"/>
      <c r="GNC3" s="120"/>
      <c r="GND3" s="120"/>
      <c r="GNE3" s="120"/>
      <c r="GNF3" s="120"/>
      <c r="GNG3" s="120"/>
      <c r="GNH3" s="120"/>
      <c r="GNI3" s="120"/>
      <c r="GNJ3" s="120"/>
      <c r="GNK3" s="120"/>
      <c r="GNL3" s="120"/>
      <c r="GNM3" s="120"/>
      <c r="GNN3" s="120"/>
      <c r="GNO3" s="120"/>
      <c r="GNP3" s="120"/>
      <c r="GNQ3" s="120"/>
      <c r="GNR3" s="120"/>
      <c r="GNS3" s="120"/>
      <c r="GNT3" s="120"/>
      <c r="GNU3" s="120"/>
      <c r="GNV3" s="120"/>
      <c r="GNW3" s="120"/>
      <c r="GNX3" s="120"/>
      <c r="GNY3" s="120"/>
      <c r="GNZ3" s="120"/>
      <c r="GOA3" s="120"/>
      <c r="GOB3" s="120"/>
      <c r="GOC3" s="120"/>
      <c r="GOD3" s="120"/>
      <c r="GOE3" s="120"/>
      <c r="GOF3" s="120"/>
      <c r="GOG3" s="120"/>
      <c r="GOH3" s="120"/>
      <c r="GOI3" s="120"/>
      <c r="GOJ3" s="120"/>
      <c r="GOK3" s="120"/>
      <c r="GOL3" s="120"/>
      <c r="GOM3" s="120"/>
      <c r="GON3" s="120"/>
      <c r="GOO3" s="120"/>
      <c r="GOP3" s="120"/>
      <c r="GOQ3" s="120"/>
      <c r="GOR3" s="120"/>
      <c r="GOS3" s="120"/>
      <c r="GOT3" s="120"/>
      <c r="GOU3" s="120"/>
      <c r="GOV3" s="120"/>
      <c r="GOW3" s="120"/>
      <c r="GOX3" s="120"/>
      <c r="GOY3" s="120"/>
      <c r="GOZ3" s="120"/>
      <c r="GPA3" s="120"/>
      <c r="GPB3" s="120"/>
      <c r="GPC3" s="120"/>
      <c r="GPD3" s="120"/>
      <c r="GPE3" s="120"/>
      <c r="GPF3" s="120"/>
      <c r="GPG3" s="120"/>
      <c r="GPH3" s="120"/>
      <c r="GPI3" s="120"/>
      <c r="GPJ3" s="120"/>
      <c r="GPK3" s="120"/>
      <c r="GPL3" s="120"/>
      <c r="GPM3" s="120"/>
      <c r="GPN3" s="120"/>
      <c r="GPO3" s="120"/>
      <c r="GPP3" s="120"/>
      <c r="GPQ3" s="120"/>
      <c r="GPR3" s="120"/>
      <c r="GPS3" s="120"/>
      <c r="GPT3" s="120"/>
      <c r="GPU3" s="120"/>
      <c r="GPV3" s="120"/>
      <c r="GPW3" s="120"/>
      <c r="GPX3" s="120"/>
      <c r="GPY3" s="120"/>
      <c r="GPZ3" s="120"/>
      <c r="GQA3" s="120"/>
      <c r="GQB3" s="120"/>
      <c r="GQC3" s="120"/>
      <c r="GQD3" s="120"/>
      <c r="GQE3" s="120"/>
      <c r="GQF3" s="120"/>
      <c r="GQG3" s="120"/>
      <c r="GQH3" s="120"/>
      <c r="GQI3" s="120"/>
      <c r="GQJ3" s="120"/>
      <c r="GQK3" s="120"/>
      <c r="GQL3" s="120"/>
      <c r="GQM3" s="120"/>
      <c r="GQN3" s="120"/>
      <c r="GQO3" s="120"/>
      <c r="GQP3" s="120"/>
      <c r="GQQ3" s="120"/>
      <c r="GQR3" s="120"/>
      <c r="GQS3" s="120"/>
      <c r="GQT3" s="120"/>
      <c r="GQU3" s="120"/>
      <c r="GQV3" s="120"/>
      <c r="GQW3" s="120"/>
      <c r="GQX3" s="120"/>
      <c r="GQY3" s="120"/>
      <c r="GQZ3" s="120"/>
      <c r="GRA3" s="120"/>
      <c r="GRB3" s="120"/>
      <c r="GRC3" s="120"/>
      <c r="GRD3" s="120"/>
      <c r="GRE3" s="120"/>
      <c r="GRF3" s="120"/>
      <c r="GRG3" s="120"/>
      <c r="GRH3" s="120"/>
      <c r="GRI3" s="120"/>
      <c r="GRJ3" s="120"/>
      <c r="GRK3" s="120"/>
      <c r="GRL3" s="120"/>
      <c r="GRM3" s="120"/>
      <c r="GRN3" s="120"/>
      <c r="GRO3" s="120"/>
      <c r="GRP3" s="120"/>
      <c r="GRQ3" s="120"/>
      <c r="GRR3" s="120"/>
      <c r="GRS3" s="120"/>
      <c r="GRT3" s="120"/>
      <c r="GRU3" s="120"/>
      <c r="GRV3" s="120"/>
      <c r="GRW3" s="120"/>
      <c r="GRX3" s="120"/>
      <c r="GRY3" s="120"/>
      <c r="GRZ3" s="120"/>
      <c r="GSA3" s="120"/>
      <c r="GSB3" s="120"/>
      <c r="GSC3" s="120"/>
      <c r="GSD3" s="120"/>
      <c r="GSE3" s="120"/>
      <c r="GSF3" s="120"/>
      <c r="GSG3" s="120"/>
      <c r="GSH3" s="120"/>
      <c r="GSI3" s="120"/>
      <c r="GSJ3" s="120"/>
      <c r="GSK3" s="120"/>
      <c r="GSL3" s="120"/>
      <c r="GSM3" s="120"/>
      <c r="GSN3" s="120"/>
      <c r="GSO3" s="120"/>
      <c r="GSP3" s="120"/>
      <c r="GSQ3" s="120"/>
      <c r="GSR3" s="120"/>
      <c r="GSS3" s="120"/>
      <c r="GST3" s="120"/>
      <c r="GSU3" s="120"/>
      <c r="GSV3" s="120"/>
      <c r="GSW3" s="120"/>
      <c r="GSX3" s="120"/>
      <c r="GSY3" s="120"/>
      <c r="GSZ3" s="120"/>
      <c r="GTA3" s="120"/>
      <c r="GTB3" s="120"/>
      <c r="GTC3" s="120"/>
      <c r="GTD3" s="120"/>
      <c r="GTE3" s="120"/>
      <c r="GTF3" s="120"/>
      <c r="GTG3" s="120"/>
      <c r="GTH3" s="120"/>
      <c r="GTI3" s="120"/>
      <c r="GTJ3" s="120"/>
      <c r="GTK3" s="120"/>
      <c r="GTL3" s="120"/>
      <c r="GTM3" s="120"/>
      <c r="GTN3" s="120"/>
      <c r="GTO3" s="120"/>
      <c r="GTP3" s="120"/>
      <c r="GTQ3" s="120"/>
      <c r="GTR3" s="120"/>
      <c r="GTS3" s="120"/>
      <c r="GTT3" s="120"/>
      <c r="GTU3" s="120"/>
      <c r="GTV3" s="120"/>
      <c r="GTW3" s="120"/>
      <c r="GTX3" s="120"/>
      <c r="GTY3" s="120"/>
      <c r="GTZ3" s="120"/>
      <c r="GUA3" s="120"/>
      <c r="GUB3" s="120"/>
      <c r="GUC3" s="120"/>
      <c r="GUD3" s="120"/>
      <c r="GUE3" s="120"/>
      <c r="GUF3" s="120"/>
      <c r="GUG3" s="120"/>
      <c r="GUH3" s="120"/>
      <c r="GUI3" s="120"/>
      <c r="GUJ3" s="120"/>
      <c r="GUK3" s="120"/>
      <c r="GUL3" s="120"/>
      <c r="GUM3" s="120"/>
      <c r="GUN3" s="120"/>
      <c r="GUO3" s="120"/>
      <c r="GUP3" s="120"/>
      <c r="GUQ3" s="120"/>
      <c r="GUR3" s="120"/>
      <c r="GUS3" s="120"/>
      <c r="GUT3" s="120"/>
      <c r="GUU3" s="120"/>
      <c r="GUV3" s="120"/>
      <c r="GUW3" s="120"/>
      <c r="GUX3" s="120"/>
      <c r="GUY3" s="120"/>
      <c r="GUZ3" s="120"/>
      <c r="GVA3" s="120"/>
      <c r="GVB3" s="120"/>
      <c r="GVC3" s="120"/>
      <c r="GVD3" s="120"/>
      <c r="GVE3" s="120"/>
      <c r="GVF3" s="120"/>
      <c r="GVG3" s="120"/>
      <c r="GVH3" s="120"/>
      <c r="GVI3" s="120"/>
      <c r="GVJ3" s="120"/>
      <c r="GVK3" s="120"/>
      <c r="GVL3" s="120"/>
      <c r="GVM3" s="120"/>
      <c r="GVN3" s="120"/>
      <c r="GVO3" s="120"/>
      <c r="GVP3" s="120"/>
      <c r="GVQ3" s="120"/>
      <c r="GVR3" s="120"/>
      <c r="GVS3" s="120"/>
      <c r="GVT3" s="120"/>
      <c r="GVU3" s="120"/>
      <c r="GVV3" s="120"/>
      <c r="GVW3" s="120"/>
      <c r="GVX3" s="120"/>
      <c r="GVY3" s="120"/>
      <c r="GVZ3" s="120"/>
      <c r="GWA3" s="120"/>
      <c r="GWB3" s="120"/>
      <c r="GWC3" s="120"/>
      <c r="GWD3" s="120"/>
      <c r="GWE3" s="120"/>
      <c r="GWF3" s="120"/>
      <c r="GWG3" s="120"/>
      <c r="GWH3" s="120"/>
      <c r="GWI3" s="120"/>
      <c r="GWJ3" s="120"/>
      <c r="GWK3" s="120"/>
      <c r="GWL3" s="120"/>
      <c r="GWM3" s="120"/>
      <c r="GWN3" s="120"/>
      <c r="GWO3" s="120"/>
      <c r="GWP3" s="120"/>
      <c r="GWQ3" s="120"/>
      <c r="GWR3" s="120"/>
      <c r="GWS3" s="120"/>
      <c r="GWT3" s="120"/>
      <c r="GWU3" s="120"/>
      <c r="GWV3" s="120"/>
      <c r="GWW3" s="120"/>
      <c r="GWX3" s="120"/>
      <c r="GWY3" s="120"/>
      <c r="GWZ3" s="120"/>
      <c r="GXA3" s="120"/>
      <c r="GXB3" s="120"/>
      <c r="GXC3" s="120"/>
      <c r="GXD3" s="120"/>
      <c r="GXE3" s="120"/>
      <c r="GXF3" s="120"/>
      <c r="GXG3" s="120"/>
      <c r="GXH3" s="120"/>
      <c r="GXI3" s="120"/>
      <c r="GXJ3" s="120"/>
      <c r="GXK3" s="120"/>
      <c r="GXL3" s="120"/>
      <c r="GXM3" s="120"/>
      <c r="GXN3" s="120"/>
      <c r="GXO3" s="120"/>
      <c r="GXP3" s="120"/>
      <c r="GXQ3" s="120"/>
      <c r="GXR3" s="120"/>
      <c r="GXS3" s="120"/>
      <c r="GXT3" s="120"/>
      <c r="GXU3" s="120"/>
      <c r="GXV3" s="120"/>
      <c r="GXW3" s="120"/>
      <c r="GXX3" s="120"/>
      <c r="GXY3" s="120"/>
      <c r="GXZ3" s="120"/>
      <c r="GYA3" s="120"/>
      <c r="GYB3" s="120"/>
      <c r="GYC3" s="120"/>
      <c r="GYD3" s="120"/>
      <c r="GYE3" s="120"/>
      <c r="GYF3" s="120"/>
      <c r="GYG3" s="120"/>
      <c r="GYH3" s="120"/>
      <c r="GYI3" s="120"/>
      <c r="GYJ3" s="120"/>
      <c r="GYK3" s="120"/>
      <c r="GYL3" s="120"/>
      <c r="GYM3" s="120"/>
      <c r="GYN3" s="120"/>
      <c r="GYO3" s="120"/>
      <c r="GYP3" s="120"/>
      <c r="GYQ3" s="120"/>
      <c r="GYR3" s="120"/>
      <c r="GYS3" s="120"/>
      <c r="GYT3" s="120"/>
      <c r="GYU3" s="120"/>
      <c r="GYV3" s="120"/>
      <c r="GYW3" s="120"/>
      <c r="GYX3" s="120"/>
      <c r="GYY3" s="120"/>
      <c r="GYZ3" s="120"/>
      <c r="GZA3" s="120"/>
      <c r="GZB3" s="120"/>
      <c r="GZC3" s="120"/>
      <c r="GZD3" s="120"/>
      <c r="GZE3" s="120"/>
      <c r="GZF3" s="120"/>
      <c r="GZG3" s="120"/>
      <c r="GZH3" s="120"/>
      <c r="GZI3" s="120"/>
      <c r="GZJ3" s="120"/>
      <c r="GZK3" s="120"/>
      <c r="GZL3" s="120"/>
      <c r="GZM3" s="120"/>
      <c r="GZN3" s="120"/>
      <c r="GZO3" s="120"/>
      <c r="GZP3" s="120"/>
      <c r="GZQ3" s="120"/>
      <c r="GZR3" s="120"/>
      <c r="GZS3" s="120"/>
      <c r="GZT3" s="120"/>
      <c r="GZU3" s="120"/>
      <c r="GZV3" s="120"/>
      <c r="GZW3" s="120"/>
      <c r="GZX3" s="120"/>
      <c r="GZY3" s="120"/>
      <c r="GZZ3" s="120"/>
      <c r="HAA3" s="120"/>
      <c r="HAB3" s="120"/>
      <c r="HAC3" s="120"/>
      <c r="HAD3" s="120"/>
      <c r="HAE3" s="120"/>
      <c r="HAF3" s="120"/>
      <c r="HAG3" s="120"/>
      <c r="HAH3" s="120"/>
      <c r="HAI3" s="120"/>
      <c r="HAJ3" s="120"/>
      <c r="HAK3" s="120"/>
      <c r="HAL3" s="120"/>
      <c r="HAM3" s="120"/>
      <c r="HAN3" s="120"/>
      <c r="HAO3" s="120"/>
      <c r="HAP3" s="120"/>
      <c r="HAQ3" s="120"/>
      <c r="HAR3" s="120"/>
      <c r="HAS3" s="120"/>
      <c r="HAT3" s="120"/>
      <c r="HAU3" s="120"/>
      <c r="HAV3" s="120"/>
      <c r="HAW3" s="120"/>
      <c r="HAX3" s="120"/>
      <c r="HAY3" s="120"/>
      <c r="HAZ3" s="120"/>
      <c r="HBA3" s="120"/>
      <c r="HBB3" s="120"/>
      <c r="HBC3" s="120"/>
      <c r="HBD3" s="120"/>
      <c r="HBE3" s="120"/>
      <c r="HBF3" s="120"/>
      <c r="HBG3" s="120"/>
      <c r="HBH3" s="120"/>
      <c r="HBI3" s="120"/>
      <c r="HBJ3" s="120"/>
      <c r="HBK3" s="120"/>
      <c r="HBL3" s="120"/>
      <c r="HBM3" s="120"/>
      <c r="HBN3" s="120"/>
      <c r="HBO3" s="120"/>
      <c r="HBP3" s="120"/>
      <c r="HBQ3" s="120"/>
      <c r="HBR3" s="120"/>
      <c r="HBS3" s="120"/>
      <c r="HBT3" s="120"/>
      <c r="HBU3" s="120"/>
      <c r="HBV3" s="120"/>
      <c r="HBW3" s="120"/>
      <c r="HBX3" s="120"/>
      <c r="HBY3" s="120"/>
      <c r="HBZ3" s="120"/>
      <c r="HCA3" s="120"/>
      <c r="HCB3" s="120"/>
      <c r="HCC3" s="120"/>
      <c r="HCD3" s="120"/>
      <c r="HCE3" s="120"/>
      <c r="HCF3" s="120"/>
      <c r="HCG3" s="120"/>
      <c r="HCH3" s="120"/>
      <c r="HCI3" s="120"/>
      <c r="HCJ3" s="120"/>
      <c r="HCK3" s="120"/>
      <c r="HCL3" s="120"/>
      <c r="HCM3" s="120"/>
      <c r="HCN3" s="120"/>
      <c r="HCO3" s="120"/>
      <c r="HCP3" s="120"/>
      <c r="HCQ3" s="120"/>
      <c r="HCR3" s="120"/>
      <c r="HCS3" s="120"/>
      <c r="HCT3" s="120"/>
      <c r="HCU3" s="120"/>
      <c r="HCV3" s="120"/>
      <c r="HCW3" s="120"/>
      <c r="HCX3" s="120"/>
      <c r="HCY3" s="120"/>
      <c r="HCZ3" s="120"/>
      <c r="HDA3" s="120"/>
      <c r="HDB3" s="120"/>
      <c r="HDC3" s="120"/>
      <c r="HDD3" s="120"/>
      <c r="HDE3" s="120"/>
      <c r="HDF3" s="120"/>
      <c r="HDG3" s="120"/>
      <c r="HDH3" s="120"/>
      <c r="HDI3" s="120"/>
      <c r="HDJ3" s="120"/>
      <c r="HDK3" s="120"/>
      <c r="HDL3" s="120"/>
      <c r="HDM3" s="120"/>
      <c r="HDN3" s="120"/>
      <c r="HDO3" s="120"/>
      <c r="HDP3" s="120"/>
      <c r="HDQ3" s="120"/>
      <c r="HDR3" s="120"/>
      <c r="HDS3" s="120"/>
      <c r="HDT3" s="120"/>
      <c r="HDU3" s="120"/>
      <c r="HDV3" s="120"/>
      <c r="HDW3" s="120"/>
      <c r="HDX3" s="120"/>
      <c r="HDY3" s="120"/>
      <c r="HDZ3" s="120"/>
      <c r="HEA3" s="120"/>
      <c r="HEB3" s="120"/>
      <c r="HEC3" s="120"/>
      <c r="HED3" s="120"/>
      <c r="HEE3" s="120"/>
      <c r="HEF3" s="120"/>
      <c r="HEG3" s="120"/>
      <c r="HEH3" s="120"/>
      <c r="HEI3" s="120"/>
      <c r="HEJ3" s="120"/>
      <c r="HEK3" s="120"/>
      <c r="HEL3" s="120"/>
      <c r="HEM3" s="120"/>
      <c r="HEN3" s="120"/>
      <c r="HEO3" s="120"/>
      <c r="HEP3" s="120"/>
      <c r="HEQ3" s="120"/>
      <c r="HER3" s="120"/>
      <c r="HES3" s="120"/>
      <c r="HET3" s="120"/>
      <c r="HEU3" s="120"/>
      <c r="HEV3" s="120"/>
      <c r="HEW3" s="120"/>
      <c r="HEX3" s="120"/>
      <c r="HEY3" s="120"/>
      <c r="HEZ3" s="120"/>
      <c r="HFA3" s="120"/>
      <c r="HFB3" s="120"/>
      <c r="HFC3" s="120"/>
      <c r="HFD3" s="120"/>
      <c r="HFE3" s="120"/>
      <c r="HFF3" s="120"/>
      <c r="HFG3" s="120"/>
      <c r="HFH3" s="120"/>
      <c r="HFI3" s="120"/>
      <c r="HFJ3" s="120"/>
      <c r="HFK3" s="120"/>
      <c r="HFL3" s="120"/>
      <c r="HFM3" s="120"/>
      <c r="HFN3" s="120"/>
      <c r="HFO3" s="120"/>
      <c r="HFP3" s="120"/>
      <c r="HFQ3" s="120"/>
      <c r="HFR3" s="120"/>
      <c r="HFS3" s="120"/>
      <c r="HFT3" s="120"/>
      <c r="HFU3" s="120"/>
      <c r="HFV3" s="120"/>
      <c r="HFW3" s="120"/>
      <c r="HFX3" s="120"/>
      <c r="HFY3" s="120"/>
      <c r="HFZ3" s="120"/>
      <c r="HGA3" s="120"/>
      <c r="HGB3" s="120"/>
      <c r="HGC3" s="120"/>
      <c r="HGD3" s="120"/>
      <c r="HGE3" s="120"/>
      <c r="HGF3" s="120"/>
      <c r="HGG3" s="120"/>
      <c r="HGH3" s="120"/>
      <c r="HGI3" s="120"/>
      <c r="HGJ3" s="120"/>
      <c r="HGK3" s="120"/>
      <c r="HGL3" s="120"/>
      <c r="HGM3" s="120"/>
      <c r="HGN3" s="120"/>
      <c r="HGO3" s="120"/>
      <c r="HGP3" s="120"/>
      <c r="HGQ3" s="120"/>
      <c r="HGR3" s="120"/>
      <c r="HGS3" s="120"/>
      <c r="HGT3" s="120"/>
      <c r="HGU3" s="120"/>
      <c r="HGV3" s="120"/>
      <c r="HGW3" s="120"/>
      <c r="HGX3" s="120"/>
      <c r="HGY3" s="120"/>
      <c r="HGZ3" s="120"/>
      <c r="HHA3" s="120"/>
      <c r="HHB3" s="120"/>
      <c r="HHC3" s="120"/>
      <c r="HHD3" s="120"/>
      <c r="HHE3" s="120"/>
      <c r="HHF3" s="120"/>
      <c r="HHG3" s="120"/>
      <c r="HHH3" s="120"/>
      <c r="HHI3" s="120"/>
      <c r="HHJ3" s="120"/>
      <c r="HHK3" s="120"/>
      <c r="HHL3" s="120"/>
      <c r="HHM3" s="120"/>
      <c r="HHN3" s="120"/>
      <c r="HHO3" s="120"/>
      <c r="HHP3" s="120"/>
      <c r="HHQ3" s="120"/>
      <c r="HHR3" s="120"/>
      <c r="HHS3" s="120"/>
      <c r="HHT3" s="120"/>
      <c r="HHU3" s="120"/>
      <c r="HHV3" s="120"/>
      <c r="HHW3" s="120"/>
      <c r="HHX3" s="120"/>
      <c r="HHY3" s="120"/>
      <c r="HHZ3" s="120"/>
      <c r="HIA3" s="120"/>
      <c r="HIB3" s="120"/>
      <c r="HIC3" s="120"/>
      <c r="HID3" s="120"/>
      <c r="HIE3" s="120"/>
      <c r="HIF3" s="120"/>
      <c r="HIG3" s="120"/>
      <c r="HIH3" s="120"/>
      <c r="HII3" s="120"/>
      <c r="HIJ3" s="120"/>
      <c r="HIK3" s="120"/>
      <c r="HIL3" s="120"/>
      <c r="HIM3" s="120"/>
      <c r="HIN3" s="120"/>
      <c r="HIO3" s="120"/>
      <c r="HIP3" s="120"/>
      <c r="HIQ3" s="120"/>
      <c r="HIR3" s="120"/>
      <c r="HIS3" s="120"/>
      <c r="HIT3" s="120"/>
      <c r="HIU3" s="120"/>
      <c r="HIV3" s="120"/>
      <c r="HIW3" s="120"/>
      <c r="HIX3" s="120"/>
      <c r="HIY3" s="120"/>
      <c r="HIZ3" s="120"/>
      <c r="HJA3" s="120"/>
      <c r="HJB3" s="120"/>
      <c r="HJC3" s="120"/>
      <c r="HJD3" s="120"/>
      <c r="HJE3" s="120"/>
      <c r="HJF3" s="120"/>
      <c r="HJG3" s="120"/>
      <c r="HJH3" s="120"/>
      <c r="HJI3" s="120"/>
      <c r="HJJ3" s="120"/>
      <c r="HJK3" s="120"/>
      <c r="HJL3" s="120"/>
      <c r="HJM3" s="120"/>
      <c r="HJN3" s="120"/>
      <c r="HJO3" s="120"/>
      <c r="HJP3" s="120"/>
      <c r="HJQ3" s="120"/>
      <c r="HJR3" s="120"/>
      <c r="HJS3" s="120"/>
      <c r="HJT3" s="120"/>
      <c r="HJU3" s="120"/>
      <c r="HJV3" s="120"/>
      <c r="HJW3" s="120"/>
      <c r="HJX3" s="120"/>
      <c r="HJY3" s="120"/>
      <c r="HJZ3" s="120"/>
      <c r="HKA3" s="120"/>
      <c r="HKB3" s="120"/>
      <c r="HKC3" s="120"/>
      <c r="HKD3" s="120"/>
      <c r="HKE3" s="120"/>
      <c r="HKF3" s="120"/>
      <c r="HKG3" s="120"/>
      <c r="HKH3" s="120"/>
      <c r="HKI3" s="120"/>
      <c r="HKJ3" s="120"/>
      <c r="HKK3" s="120"/>
      <c r="HKL3" s="120"/>
      <c r="HKM3" s="120"/>
      <c r="HKN3" s="120"/>
      <c r="HKO3" s="120"/>
      <c r="HKP3" s="120"/>
      <c r="HKQ3" s="120"/>
      <c r="HKR3" s="120"/>
      <c r="HKS3" s="120"/>
      <c r="HKT3" s="120"/>
      <c r="HKU3" s="120"/>
      <c r="HKV3" s="120"/>
      <c r="HKW3" s="120"/>
      <c r="HKX3" s="120"/>
      <c r="HKY3" s="120"/>
      <c r="HKZ3" s="120"/>
      <c r="HLA3" s="120"/>
      <c r="HLB3" s="120"/>
      <c r="HLC3" s="120"/>
      <c r="HLD3" s="120"/>
      <c r="HLE3" s="120"/>
      <c r="HLF3" s="120"/>
      <c r="HLG3" s="120"/>
      <c r="HLH3" s="120"/>
      <c r="HLI3" s="120"/>
      <c r="HLJ3" s="120"/>
      <c r="HLK3" s="120"/>
      <c r="HLL3" s="120"/>
      <c r="HLM3" s="120"/>
      <c r="HLN3" s="120"/>
      <c r="HLO3" s="120"/>
      <c r="HLP3" s="120"/>
      <c r="HLQ3" s="120"/>
      <c r="HLR3" s="120"/>
      <c r="HLS3" s="120"/>
      <c r="HLT3" s="120"/>
      <c r="HLU3" s="120"/>
      <c r="HLV3" s="120"/>
      <c r="HLW3" s="120"/>
      <c r="HLX3" s="120"/>
      <c r="HLY3" s="120"/>
      <c r="HLZ3" s="120"/>
      <c r="HMA3" s="120"/>
      <c r="HMB3" s="120"/>
      <c r="HMC3" s="120"/>
      <c r="HMD3" s="120"/>
      <c r="HME3" s="120"/>
      <c r="HMF3" s="120"/>
      <c r="HMG3" s="120"/>
      <c r="HMH3" s="120"/>
      <c r="HMI3" s="120"/>
      <c r="HMJ3" s="120"/>
      <c r="HMK3" s="120"/>
      <c r="HML3" s="120"/>
      <c r="HMM3" s="120"/>
      <c r="HMN3" s="120"/>
      <c r="HMO3" s="120"/>
      <c r="HMP3" s="120"/>
      <c r="HMQ3" s="120"/>
      <c r="HMR3" s="120"/>
      <c r="HMS3" s="120"/>
      <c r="HMT3" s="120"/>
      <c r="HMU3" s="120"/>
      <c r="HMV3" s="120"/>
      <c r="HMW3" s="120"/>
      <c r="HMX3" s="120"/>
      <c r="HMY3" s="120"/>
      <c r="HMZ3" s="120"/>
      <c r="HNA3" s="120"/>
      <c r="HNB3" s="120"/>
      <c r="HNC3" s="120"/>
      <c r="HND3" s="120"/>
      <c r="HNE3" s="120"/>
      <c r="HNF3" s="120"/>
      <c r="HNG3" s="120"/>
      <c r="HNH3" s="120"/>
      <c r="HNI3" s="120"/>
      <c r="HNJ3" s="120"/>
      <c r="HNK3" s="120"/>
      <c r="HNL3" s="120"/>
      <c r="HNM3" s="120"/>
      <c r="HNN3" s="120"/>
      <c r="HNO3" s="120"/>
      <c r="HNP3" s="120"/>
      <c r="HNQ3" s="120"/>
      <c r="HNR3" s="120"/>
      <c r="HNS3" s="120"/>
      <c r="HNT3" s="120"/>
      <c r="HNU3" s="120"/>
      <c r="HNV3" s="120"/>
      <c r="HNW3" s="120"/>
      <c r="HNX3" s="120"/>
      <c r="HNY3" s="120"/>
      <c r="HNZ3" s="120"/>
      <c r="HOA3" s="120"/>
      <c r="HOB3" s="120"/>
      <c r="HOC3" s="120"/>
      <c r="HOD3" s="120"/>
      <c r="HOE3" s="120"/>
      <c r="HOF3" s="120"/>
      <c r="HOG3" s="120"/>
      <c r="HOH3" s="120"/>
      <c r="HOI3" s="120"/>
      <c r="HOJ3" s="120"/>
      <c r="HOK3" s="120"/>
      <c r="HOL3" s="120"/>
      <c r="HOM3" s="120"/>
      <c r="HON3" s="120"/>
      <c r="HOO3" s="120"/>
      <c r="HOP3" s="120"/>
      <c r="HOQ3" s="120"/>
      <c r="HOR3" s="120"/>
      <c r="HOS3" s="120"/>
      <c r="HOT3" s="120"/>
      <c r="HOU3" s="120"/>
      <c r="HOV3" s="120"/>
      <c r="HOW3" s="120"/>
      <c r="HOX3" s="120"/>
      <c r="HOY3" s="120"/>
      <c r="HOZ3" s="120"/>
      <c r="HPA3" s="120"/>
      <c r="HPB3" s="120"/>
      <c r="HPC3" s="120"/>
      <c r="HPD3" s="120"/>
      <c r="HPE3" s="120"/>
      <c r="HPF3" s="120"/>
      <c r="HPG3" s="120"/>
      <c r="HPH3" s="120"/>
      <c r="HPI3" s="120"/>
      <c r="HPJ3" s="120"/>
      <c r="HPK3" s="120"/>
      <c r="HPL3" s="120"/>
      <c r="HPM3" s="120"/>
      <c r="HPN3" s="120"/>
      <c r="HPO3" s="120"/>
      <c r="HPP3" s="120"/>
      <c r="HPQ3" s="120"/>
      <c r="HPR3" s="120"/>
      <c r="HPS3" s="120"/>
      <c r="HPT3" s="120"/>
      <c r="HPU3" s="120"/>
      <c r="HPV3" s="120"/>
      <c r="HPW3" s="120"/>
      <c r="HPX3" s="120"/>
      <c r="HPY3" s="120"/>
      <c r="HPZ3" s="120"/>
      <c r="HQA3" s="120"/>
      <c r="HQB3" s="120"/>
      <c r="HQC3" s="120"/>
      <c r="HQD3" s="120"/>
      <c r="HQE3" s="120"/>
      <c r="HQF3" s="120"/>
      <c r="HQG3" s="120"/>
      <c r="HQH3" s="120"/>
      <c r="HQI3" s="120"/>
      <c r="HQJ3" s="120"/>
      <c r="HQK3" s="120"/>
      <c r="HQL3" s="120"/>
      <c r="HQM3" s="120"/>
      <c r="HQN3" s="120"/>
      <c r="HQO3" s="120"/>
      <c r="HQP3" s="120"/>
      <c r="HQQ3" s="120"/>
      <c r="HQR3" s="120"/>
      <c r="HQS3" s="120"/>
      <c r="HQT3" s="120"/>
      <c r="HQU3" s="120"/>
      <c r="HQV3" s="120"/>
      <c r="HQW3" s="120"/>
      <c r="HQX3" s="120"/>
      <c r="HQY3" s="120"/>
      <c r="HQZ3" s="120"/>
      <c r="HRA3" s="120"/>
      <c r="HRB3" s="120"/>
      <c r="HRC3" s="120"/>
      <c r="HRD3" s="120"/>
      <c r="HRE3" s="120"/>
      <c r="HRF3" s="120"/>
      <c r="HRG3" s="120"/>
      <c r="HRH3" s="120"/>
      <c r="HRI3" s="120"/>
      <c r="HRJ3" s="120"/>
      <c r="HRK3" s="120"/>
      <c r="HRL3" s="120"/>
      <c r="HRM3" s="120"/>
      <c r="HRN3" s="120"/>
      <c r="HRO3" s="120"/>
      <c r="HRP3" s="120"/>
      <c r="HRQ3" s="120"/>
      <c r="HRR3" s="120"/>
      <c r="HRS3" s="120"/>
      <c r="HRT3" s="120"/>
      <c r="HRU3" s="120"/>
      <c r="HRV3" s="120"/>
      <c r="HRW3" s="120"/>
      <c r="HRX3" s="120"/>
      <c r="HRY3" s="120"/>
      <c r="HRZ3" s="120"/>
      <c r="HSA3" s="120"/>
      <c r="HSB3" s="120"/>
      <c r="HSC3" s="120"/>
      <c r="HSD3" s="120"/>
      <c r="HSE3" s="120"/>
      <c r="HSF3" s="120"/>
      <c r="HSG3" s="120"/>
      <c r="HSH3" s="120"/>
      <c r="HSI3" s="120"/>
      <c r="HSJ3" s="120"/>
      <c r="HSK3" s="120"/>
      <c r="HSL3" s="120"/>
      <c r="HSM3" s="120"/>
      <c r="HSN3" s="120"/>
      <c r="HSO3" s="120"/>
      <c r="HSP3" s="120"/>
      <c r="HSQ3" s="120"/>
      <c r="HSR3" s="120"/>
      <c r="HSS3" s="120"/>
      <c r="HST3" s="120"/>
      <c r="HSU3" s="120"/>
      <c r="HSV3" s="120"/>
      <c r="HSW3" s="120"/>
      <c r="HSX3" s="120"/>
      <c r="HSY3" s="120"/>
      <c r="HSZ3" s="120"/>
      <c r="HTA3" s="120"/>
      <c r="HTB3" s="120"/>
      <c r="HTC3" s="120"/>
      <c r="HTD3" s="120"/>
      <c r="HTE3" s="120"/>
      <c r="HTF3" s="120"/>
      <c r="HTG3" s="120"/>
      <c r="HTH3" s="120"/>
      <c r="HTI3" s="120"/>
      <c r="HTJ3" s="120"/>
      <c r="HTK3" s="120"/>
      <c r="HTL3" s="120"/>
      <c r="HTM3" s="120"/>
      <c r="HTN3" s="120"/>
      <c r="HTO3" s="120"/>
      <c r="HTP3" s="120"/>
      <c r="HTQ3" s="120"/>
      <c r="HTR3" s="120"/>
      <c r="HTS3" s="120"/>
      <c r="HTT3" s="120"/>
      <c r="HTU3" s="120"/>
      <c r="HTV3" s="120"/>
      <c r="HTW3" s="120"/>
      <c r="HTX3" s="120"/>
      <c r="HTY3" s="120"/>
      <c r="HTZ3" s="120"/>
      <c r="HUA3" s="120"/>
      <c r="HUB3" s="120"/>
      <c r="HUC3" s="120"/>
      <c r="HUD3" s="120"/>
      <c r="HUE3" s="120"/>
      <c r="HUF3" s="120"/>
      <c r="HUG3" s="120"/>
      <c r="HUH3" s="120"/>
      <c r="HUI3" s="120"/>
      <c r="HUJ3" s="120"/>
      <c r="HUK3" s="120"/>
      <c r="HUL3" s="120"/>
      <c r="HUM3" s="120"/>
      <c r="HUN3" s="120"/>
      <c r="HUO3" s="120"/>
      <c r="HUP3" s="120"/>
      <c r="HUQ3" s="120"/>
      <c r="HUR3" s="120"/>
      <c r="HUS3" s="120"/>
      <c r="HUT3" s="120"/>
      <c r="HUU3" s="120"/>
      <c r="HUV3" s="120"/>
      <c r="HUW3" s="120"/>
      <c r="HUX3" s="120"/>
      <c r="HUY3" s="120"/>
      <c r="HUZ3" s="120"/>
      <c r="HVA3" s="120"/>
      <c r="HVB3" s="120"/>
      <c r="HVC3" s="120"/>
      <c r="HVD3" s="120"/>
      <c r="HVE3" s="120"/>
      <c r="HVF3" s="120"/>
      <c r="HVG3" s="120"/>
      <c r="HVH3" s="120"/>
      <c r="HVI3" s="120"/>
      <c r="HVJ3" s="120"/>
      <c r="HVK3" s="120"/>
      <c r="HVL3" s="120"/>
      <c r="HVM3" s="120"/>
      <c r="HVN3" s="120"/>
      <c r="HVO3" s="120"/>
      <c r="HVP3" s="120"/>
      <c r="HVQ3" s="120"/>
      <c r="HVR3" s="120"/>
      <c r="HVS3" s="120"/>
      <c r="HVT3" s="120"/>
      <c r="HVU3" s="120"/>
      <c r="HVV3" s="120"/>
      <c r="HVW3" s="120"/>
      <c r="HVX3" s="120"/>
      <c r="HVY3" s="120"/>
      <c r="HVZ3" s="120"/>
      <c r="HWA3" s="120"/>
      <c r="HWB3" s="120"/>
      <c r="HWC3" s="120"/>
      <c r="HWD3" s="120"/>
      <c r="HWE3" s="120"/>
      <c r="HWF3" s="120"/>
      <c r="HWG3" s="120"/>
      <c r="HWH3" s="120"/>
      <c r="HWI3" s="120"/>
      <c r="HWJ3" s="120"/>
      <c r="HWK3" s="120"/>
      <c r="HWL3" s="120"/>
      <c r="HWM3" s="120"/>
      <c r="HWN3" s="120"/>
      <c r="HWO3" s="120"/>
      <c r="HWP3" s="120"/>
      <c r="HWQ3" s="120"/>
      <c r="HWR3" s="120"/>
      <c r="HWS3" s="120"/>
      <c r="HWT3" s="120"/>
      <c r="HWU3" s="120"/>
      <c r="HWV3" s="120"/>
      <c r="HWW3" s="120"/>
      <c r="HWX3" s="120"/>
      <c r="HWY3" s="120"/>
      <c r="HWZ3" s="120"/>
      <c r="HXA3" s="120"/>
      <c r="HXB3" s="120"/>
      <c r="HXC3" s="120"/>
      <c r="HXD3" s="120"/>
      <c r="HXE3" s="120"/>
      <c r="HXF3" s="120"/>
      <c r="HXG3" s="120"/>
      <c r="HXH3" s="120"/>
      <c r="HXI3" s="120"/>
      <c r="HXJ3" s="120"/>
      <c r="HXK3" s="120"/>
      <c r="HXL3" s="120"/>
      <c r="HXM3" s="120"/>
      <c r="HXN3" s="120"/>
      <c r="HXO3" s="120"/>
      <c r="HXP3" s="120"/>
      <c r="HXQ3" s="120"/>
      <c r="HXR3" s="120"/>
      <c r="HXS3" s="120"/>
      <c r="HXT3" s="120"/>
      <c r="HXU3" s="120"/>
      <c r="HXV3" s="120"/>
      <c r="HXW3" s="120"/>
      <c r="HXX3" s="120"/>
      <c r="HXY3" s="120"/>
      <c r="HXZ3" s="120"/>
      <c r="HYA3" s="120"/>
      <c r="HYB3" s="120"/>
      <c r="HYC3" s="120"/>
      <c r="HYD3" s="120"/>
      <c r="HYE3" s="120"/>
      <c r="HYF3" s="120"/>
      <c r="HYG3" s="120"/>
      <c r="HYH3" s="120"/>
      <c r="HYI3" s="120"/>
      <c r="HYJ3" s="120"/>
      <c r="HYK3" s="120"/>
      <c r="HYL3" s="120"/>
      <c r="HYM3" s="120"/>
      <c r="HYN3" s="120"/>
      <c r="HYO3" s="120"/>
      <c r="HYP3" s="120"/>
      <c r="HYQ3" s="120"/>
      <c r="HYR3" s="120"/>
      <c r="HYS3" s="120"/>
      <c r="HYT3" s="120"/>
      <c r="HYU3" s="120"/>
      <c r="HYV3" s="120"/>
      <c r="HYW3" s="120"/>
      <c r="HYX3" s="120"/>
      <c r="HYY3" s="120"/>
      <c r="HYZ3" s="120"/>
      <c r="HZA3" s="120"/>
      <c r="HZB3" s="120"/>
      <c r="HZC3" s="120"/>
      <c r="HZD3" s="120"/>
      <c r="HZE3" s="120"/>
      <c r="HZF3" s="120"/>
      <c r="HZG3" s="120"/>
      <c r="HZH3" s="120"/>
      <c r="HZI3" s="120"/>
      <c r="HZJ3" s="120"/>
      <c r="HZK3" s="120"/>
      <c r="HZL3" s="120"/>
      <c r="HZM3" s="120"/>
      <c r="HZN3" s="120"/>
      <c r="HZO3" s="120"/>
      <c r="HZP3" s="120"/>
      <c r="HZQ3" s="120"/>
      <c r="HZR3" s="120"/>
      <c r="HZS3" s="120"/>
      <c r="HZT3" s="120"/>
      <c r="HZU3" s="120"/>
      <c r="HZV3" s="120"/>
      <c r="HZW3" s="120"/>
      <c r="HZX3" s="120"/>
      <c r="HZY3" s="120"/>
      <c r="HZZ3" s="120"/>
      <c r="IAA3" s="120"/>
      <c r="IAB3" s="120"/>
      <c r="IAC3" s="120"/>
      <c r="IAD3" s="120"/>
      <c r="IAE3" s="120"/>
      <c r="IAF3" s="120"/>
      <c r="IAG3" s="120"/>
      <c r="IAH3" s="120"/>
      <c r="IAI3" s="120"/>
      <c r="IAJ3" s="120"/>
      <c r="IAK3" s="120"/>
      <c r="IAL3" s="120"/>
      <c r="IAM3" s="120"/>
      <c r="IAN3" s="120"/>
      <c r="IAO3" s="120"/>
      <c r="IAP3" s="120"/>
      <c r="IAQ3" s="120"/>
      <c r="IAR3" s="120"/>
      <c r="IAS3" s="120"/>
      <c r="IAT3" s="120"/>
      <c r="IAU3" s="120"/>
      <c r="IAV3" s="120"/>
      <c r="IAW3" s="120"/>
      <c r="IAX3" s="120"/>
      <c r="IAY3" s="120"/>
      <c r="IAZ3" s="120"/>
      <c r="IBA3" s="120"/>
      <c r="IBB3" s="120"/>
      <c r="IBC3" s="120"/>
      <c r="IBD3" s="120"/>
      <c r="IBE3" s="120"/>
      <c r="IBF3" s="120"/>
      <c r="IBG3" s="120"/>
      <c r="IBH3" s="120"/>
      <c r="IBI3" s="120"/>
      <c r="IBJ3" s="120"/>
      <c r="IBK3" s="120"/>
      <c r="IBL3" s="120"/>
      <c r="IBM3" s="120"/>
      <c r="IBN3" s="120"/>
      <c r="IBO3" s="120"/>
      <c r="IBP3" s="120"/>
      <c r="IBQ3" s="120"/>
      <c r="IBR3" s="120"/>
      <c r="IBS3" s="120"/>
      <c r="IBT3" s="120"/>
      <c r="IBU3" s="120"/>
      <c r="IBV3" s="120"/>
      <c r="IBW3" s="120"/>
      <c r="IBX3" s="120"/>
      <c r="IBY3" s="120"/>
      <c r="IBZ3" s="120"/>
      <c r="ICA3" s="120"/>
      <c r="ICB3" s="120"/>
      <c r="ICC3" s="120"/>
      <c r="ICD3" s="120"/>
      <c r="ICE3" s="120"/>
      <c r="ICF3" s="120"/>
      <c r="ICG3" s="120"/>
      <c r="ICH3" s="120"/>
      <c r="ICI3" s="120"/>
      <c r="ICJ3" s="120"/>
      <c r="ICK3" s="120"/>
      <c r="ICL3" s="120"/>
      <c r="ICM3" s="120"/>
      <c r="ICN3" s="120"/>
      <c r="ICO3" s="120"/>
      <c r="ICP3" s="120"/>
      <c r="ICQ3" s="120"/>
      <c r="ICR3" s="120"/>
      <c r="ICS3" s="120"/>
      <c r="ICT3" s="120"/>
      <c r="ICU3" s="120"/>
      <c r="ICV3" s="120"/>
      <c r="ICW3" s="120"/>
      <c r="ICX3" s="120"/>
      <c r="ICY3" s="120"/>
      <c r="ICZ3" s="120"/>
      <c r="IDA3" s="120"/>
      <c r="IDB3" s="120"/>
      <c r="IDC3" s="120"/>
      <c r="IDD3" s="120"/>
      <c r="IDE3" s="120"/>
      <c r="IDF3" s="120"/>
      <c r="IDG3" s="120"/>
      <c r="IDH3" s="120"/>
      <c r="IDI3" s="120"/>
      <c r="IDJ3" s="120"/>
      <c r="IDK3" s="120"/>
      <c r="IDL3" s="120"/>
      <c r="IDM3" s="120"/>
      <c r="IDN3" s="120"/>
      <c r="IDO3" s="120"/>
      <c r="IDP3" s="120"/>
      <c r="IDQ3" s="120"/>
      <c r="IDR3" s="120"/>
      <c r="IDS3" s="120"/>
      <c r="IDT3" s="120"/>
      <c r="IDU3" s="120"/>
      <c r="IDV3" s="120"/>
      <c r="IDW3" s="120"/>
      <c r="IDX3" s="120"/>
      <c r="IDY3" s="120"/>
      <c r="IDZ3" s="120"/>
      <c r="IEA3" s="120"/>
      <c r="IEB3" s="120"/>
      <c r="IEC3" s="120"/>
      <c r="IED3" s="120"/>
      <c r="IEE3" s="120"/>
      <c r="IEF3" s="120"/>
      <c r="IEG3" s="120"/>
      <c r="IEH3" s="120"/>
      <c r="IEI3" s="120"/>
      <c r="IEJ3" s="120"/>
      <c r="IEK3" s="120"/>
      <c r="IEL3" s="120"/>
      <c r="IEM3" s="120"/>
      <c r="IEN3" s="120"/>
      <c r="IEO3" s="120"/>
      <c r="IEP3" s="120"/>
      <c r="IEQ3" s="120"/>
      <c r="IER3" s="120"/>
      <c r="IES3" s="120"/>
      <c r="IET3" s="120"/>
      <c r="IEU3" s="120"/>
      <c r="IEV3" s="120"/>
      <c r="IEW3" s="120"/>
      <c r="IEX3" s="120"/>
      <c r="IEY3" s="120"/>
      <c r="IEZ3" s="120"/>
      <c r="IFA3" s="120"/>
      <c r="IFB3" s="120"/>
      <c r="IFC3" s="120"/>
      <c r="IFD3" s="120"/>
      <c r="IFE3" s="120"/>
      <c r="IFF3" s="120"/>
      <c r="IFG3" s="120"/>
      <c r="IFH3" s="120"/>
      <c r="IFI3" s="120"/>
      <c r="IFJ3" s="120"/>
      <c r="IFK3" s="120"/>
      <c r="IFL3" s="120"/>
      <c r="IFM3" s="120"/>
      <c r="IFN3" s="120"/>
      <c r="IFO3" s="120"/>
      <c r="IFP3" s="120"/>
      <c r="IFQ3" s="120"/>
      <c r="IFR3" s="120"/>
      <c r="IFS3" s="120"/>
      <c r="IFT3" s="120"/>
      <c r="IFU3" s="120"/>
      <c r="IFV3" s="120"/>
      <c r="IFW3" s="120"/>
      <c r="IFX3" s="120"/>
      <c r="IFY3" s="120"/>
      <c r="IFZ3" s="120"/>
      <c r="IGA3" s="120"/>
      <c r="IGB3" s="120"/>
      <c r="IGC3" s="120"/>
      <c r="IGD3" s="120"/>
      <c r="IGE3" s="120"/>
      <c r="IGF3" s="120"/>
      <c r="IGG3" s="120"/>
      <c r="IGH3" s="120"/>
      <c r="IGI3" s="120"/>
      <c r="IGJ3" s="120"/>
      <c r="IGK3" s="120"/>
      <c r="IGL3" s="120"/>
      <c r="IGM3" s="120"/>
      <c r="IGN3" s="120"/>
      <c r="IGO3" s="120"/>
      <c r="IGP3" s="120"/>
      <c r="IGQ3" s="120"/>
      <c r="IGR3" s="120"/>
      <c r="IGS3" s="120"/>
      <c r="IGT3" s="120"/>
      <c r="IGU3" s="120"/>
      <c r="IGV3" s="120"/>
      <c r="IGW3" s="120"/>
      <c r="IGX3" s="120"/>
      <c r="IGY3" s="120"/>
      <c r="IGZ3" s="120"/>
      <c r="IHA3" s="120"/>
      <c r="IHB3" s="120"/>
      <c r="IHC3" s="120"/>
      <c r="IHD3" s="120"/>
      <c r="IHE3" s="120"/>
      <c r="IHF3" s="120"/>
      <c r="IHG3" s="120"/>
      <c r="IHH3" s="120"/>
      <c r="IHI3" s="120"/>
      <c r="IHJ3" s="120"/>
      <c r="IHK3" s="120"/>
      <c r="IHL3" s="120"/>
      <c r="IHM3" s="120"/>
      <c r="IHN3" s="120"/>
      <c r="IHO3" s="120"/>
      <c r="IHP3" s="120"/>
      <c r="IHQ3" s="120"/>
      <c r="IHR3" s="120"/>
      <c r="IHS3" s="120"/>
      <c r="IHT3" s="120"/>
      <c r="IHU3" s="120"/>
      <c r="IHV3" s="120"/>
      <c r="IHW3" s="120"/>
      <c r="IHX3" s="120"/>
      <c r="IHY3" s="120"/>
      <c r="IHZ3" s="120"/>
      <c r="IIA3" s="120"/>
      <c r="IIB3" s="120"/>
      <c r="IIC3" s="120"/>
      <c r="IID3" s="120"/>
      <c r="IIE3" s="120"/>
      <c r="IIF3" s="120"/>
      <c r="IIG3" s="120"/>
      <c r="IIH3" s="120"/>
      <c r="III3" s="120"/>
      <c r="IIJ3" s="120"/>
      <c r="IIK3" s="120"/>
      <c r="IIL3" s="120"/>
      <c r="IIM3" s="120"/>
      <c r="IIN3" s="120"/>
      <c r="IIO3" s="120"/>
      <c r="IIP3" s="120"/>
      <c r="IIQ3" s="120"/>
      <c r="IIR3" s="120"/>
      <c r="IIS3" s="120"/>
      <c r="IIT3" s="120"/>
      <c r="IIU3" s="120"/>
      <c r="IIV3" s="120"/>
      <c r="IIW3" s="120"/>
      <c r="IIX3" s="120"/>
      <c r="IIY3" s="120"/>
      <c r="IIZ3" s="120"/>
      <c r="IJA3" s="120"/>
      <c r="IJB3" s="120"/>
      <c r="IJC3" s="120"/>
      <c r="IJD3" s="120"/>
      <c r="IJE3" s="120"/>
      <c r="IJF3" s="120"/>
      <c r="IJG3" s="120"/>
      <c r="IJH3" s="120"/>
      <c r="IJI3" s="120"/>
      <c r="IJJ3" s="120"/>
      <c r="IJK3" s="120"/>
      <c r="IJL3" s="120"/>
      <c r="IJM3" s="120"/>
      <c r="IJN3" s="120"/>
      <c r="IJO3" s="120"/>
      <c r="IJP3" s="120"/>
      <c r="IJQ3" s="120"/>
      <c r="IJR3" s="120"/>
      <c r="IJS3" s="120"/>
      <c r="IJT3" s="120"/>
      <c r="IJU3" s="120"/>
      <c r="IJV3" s="120"/>
      <c r="IJW3" s="120"/>
      <c r="IJX3" s="120"/>
      <c r="IJY3" s="120"/>
      <c r="IJZ3" s="120"/>
      <c r="IKA3" s="120"/>
      <c r="IKB3" s="120"/>
      <c r="IKC3" s="120"/>
      <c r="IKD3" s="120"/>
      <c r="IKE3" s="120"/>
      <c r="IKF3" s="120"/>
      <c r="IKG3" s="120"/>
      <c r="IKH3" s="120"/>
      <c r="IKI3" s="120"/>
      <c r="IKJ3" s="120"/>
      <c r="IKK3" s="120"/>
      <c r="IKL3" s="120"/>
      <c r="IKM3" s="120"/>
      <c r="IKN3" s="120"/>
      <c r="IKO3" s="120"/>
      <c r="IKP3" s="120"/>
      <c r="IKQ3" s="120"/>
      <c r="IKR3" s="120"/>
      <c r="IKS3" s="120"/>
      <c r="IKT3" s="120"/>
      <c r="IKU3" s="120"/>
      <c r="IKV3" s="120"/>
      <c r="IKW3" s="120"/>
      <c r="IKX3" s="120"/>
      <c r="IKY3" s="120"/>
      <c r="IKZ3" s="120"/>
      <c r="ILA3" s="120"/>
      <c r="ILB3" s="120"/>
      <c r="ILC3" s="120"/>
      <c r="ILD3" s="120"/>
      <c r="ILE3" s="120"/>
      <c r="ILF3" s="120"/>
      <c r="ILG3" s="120"/>
      <c r="ILH3" s="120"/>
      <c r="ILI3" s="120"/>
      <c r="ILJ3" s="120"/>
      <c r="ILK3" s="120"/>
      <c r="ILL3" s="120"/>
      <c r="ILM3" s="120"/>
      <c r="ILN3" s="120"/>
      <c r="ILO3" s="120"/>
      <c r="ILP3" s="120"/>
      <c r="ILQ3" s="120"/>
      <c r="ILR3" s="120"/>
      <c r="ILS3" s="120"/>
      <c r="ILT3" s="120"/>
      <c r="ILU3" s="120"/>
      <c r="ILV3" s="120"/>
      <c r="ILW3" s="120"/>
      <c r="ILX3" s="120"/>
      <c r="ILY3" s="120"/>
      <c r="ILZ3" s="120"/>
      <c r="IMA3" s="120"/>
      <c r="IMB3" s="120"/>
      <c r="IMC3" s="120"/>
      <c r="IMD3" s="120"/>
      <c r="IME3" s="120"/>
      <c r="IMF3" s="120"/>
      <c r="IMG3" s="120"/>
      <c r="IMH3" s="120"/>
      <c r="IMI3" s="120"/>
      <c r="IMJ3" s="120"/>
      <c r="IMK3" s="120"/>
      <c r="IML3" s="120"/>
      <c r="IMM3" s="120"/>
      <c r="IMN3" s="120"/>
      <c r="IMO3" s="120"/>
      <c r="IMP3" s="120"/>
      <c r="IMQ3" s="120"/>
      <c r="IMR3" s="120"/>
      <c r="IMS3" s="120"/>
      <c r="IMT3" s="120"/>
      <c r="IMU3" s="120"/>
      <c r="IMV3" s="120"/>
      <c r="IMW3" s="120"/>
      <c r="IMX3" s="120"/>
      <c r="IMY3" s="120"/>
      <c r="IMZ3" s="120"/>
      <c r="INA3" s="120"/>
      <c r="INB3" s="120"/>
      <c r="INC3" s="120"/>
      <c r="IND3" s="120"/>
      <c r="INE3" s="120"/>
      <c r="INF3" s="120"/>
      <c r="ING3" s="120"/>
      <c r="INH3" s="120"/>
      <c r="INI3" s="120"/>
      <c r="INJ3" s="120"/>
      <c r="INK3" s="120"/>
      <c r="INL3" s="120"/>
      <c r="INM3" s="120"/>
      <c r="INN3" s="120"/>
      <c r="INO3" s="120"/>
      <c r="INP3" s="120"/>
      <c r="INQ3" s="120"/>
      <c r="INR3" s="120"/>
      <c r="INS3" s="120"/>
      <c r="INT3" s="120"/>
      <c r="INU3" s="120"/>
      <c r="INV3" s="120"/>
      <c r="INW3" s="120"/>
      <c r="INX3" s="120"/>
      <c r="INY3" s="120"/>
      <c r="INZ3" s="120"/>
      <c r="IOA3" s="120"/>
      <c r="IOB3" s="120"/>
      <c r="IOC3" s="120"/>
      <c r="IOD3" s="120"/>
      <c r="IOE3" s="120"/>
      <c r="IOF3" s="120"/>
      <c r="IOG3" s="120"/>
      <c r="IOH3" s="120"/>
      <c r="IOI3" s="120"/>
      <c r="IOJ3" s="120"/>
      <c r="IOK3" s="120"/>
      <c r="IOL3" s="120"/>
      <c r="IOM3" s="120"/>
      <c r="ION3" s="120"/>
      <c r="IOO3" s="120"/>
      <c r="IOP3" s="120"/>
      <c r="IOQ3" s="120"/>
      <c r="IOR3" s="120"/>
      <c r="IOS3" s="120"/>
      <c r="IOT3" s="120"/>
      <c r="IOU3" s="120"/>
      <c r="IOV3" s="120"/>
      <c r="IOW3" s="120"/>
      <c r="IOX3" s="120"/>
      <c r="IOY3" s="120"/>
      <c r="IOZ3" s="120"/>
      <c r="IPA3" s="120"/>
      <c r="IPB3" s="120"/>
      <c r="IPC3" s="120"/>
      <c r="IPD3" s="120"/>
      <c r="IPE3" s="120"/>
      <c r="IPF3" s="120"/>
      <c r="IPG3" s="120"/>
      <c r="IPH3" s="120"/>
      <c r="IPI3" s="120"/>
      <c r="IPJ3" s="120"/>
      <c r="IPK3" s="120"/>
      <c r="IPL3" s="120"/>
      <c r="IPM3" s="120"/>
      <c r="IPN3" s="120"/>
      <c r="IPO3" s="120"/>
      <c r="IPP3" s="120"/>
      <c r="IPQ3" s="120"/>
      <c r="IPR3" s="120"/>
      <c r="IPS3" s="120"/>
      <c r="IPT3" s="120"/>
      <c r="IPU3" s="120"/>
      <c r="IPV3" s="120"/>
      <c r="IPW3" s="120"/>
      <c r="IPX3" s="120"/>
      <c r="IPY3" s="120"/>
      <c r="IPZ3" s="120"/>
      <c r="IQA3" s="120"/>
      <c r="IQB3" s="120"/>
      <c r="IQC3" s="120"/>
      <c r="IQD3" s="120"/>
      <c r="IQE3" s="120"/>
      <c r="IQF3" s="120"/>
      <c r="IQG3" s="120"/>
      <c r="IQH3" s="120"/>
      <c r="IQI3" s="120"/>
      <c r="IQJ3" s="120"/>
      <c r="IQK3" s="120"/>
      <c r="IQL3" s="120"/>
      <c r="IQM3" s="120"/>
      <c r="IQN3" s="120"/>
      <c r="IQO3" s="120"/>
      <c r="IQP3" s="120"/>
      <c r="IQQ3" s="120"/>
      <c r="IQR3" s="120"/>
      <c r="IQS3" s="120"/>
      <c r="IQT3" s="120"/>
      <c r="IQU3" s="120"/>
      <c r="IQV3" s="120"/>
      <c r="IQW3" s="120"/>
      <c r="IQX3" s="120"/>
      <c r="IQY3" s="120"/>
      <c r="IQZ3" s="120"/>
      <c r="IRA3" s="120"/>
      <c r="IRB3" s="120"/>
      <c r="IRC3" s="120"/>
      <c r="IRD3" s="120"/>
      <c r="IRE3" s="120"/>
      <c r="IRF3" s="120"/>
      <c r="IRG3" s="120"/>
      <c r="IRH3" s="120"/>
      <c r="IRI3" s="120"/>
      <c r="IRJ3" s="120"/>
      <c r="IRK3" s="120"/>
      <c r="IRL3" s="120"/>
      <c r="IRM3" s="120"/>
      <c r="IRN3" s="120"/>
      <c r="IRO3" s="120"/>
      <c r="IRP3" s="120"/>
      <c r="IRQ3" s="120"/>
      <c r="IRR3" s="120"/>
      <c r="IRS3" s="120"/>
      <c r="IRT3" s="120"/>
      <c r="IRU3" s="120"/>
      <c r="IRV3" s="120"/>
      <c r="IRW3" s="120"/>
      <c r="IRX3" s="120"/>
      <c r="IRY3" s="120"/>
      <c r="IRZ3" s="120"/>
      <c r="ISA3" s="120"/>
      <c r="ISB3" s="120"/>
      <c r="ISC3" s="120"/>
      <c r="ISD3" s="120"/>
      <c r="ISE3" s="120"/>
      <c r="ISF3" s="120"/>
      <c r="ISG3" s="120"/>
      <c r="ISH3" s="120"/>
      <c r="ISI3" s="120"/>
      <c r="ISJ3" s="120"/>
      <c r="ISK3" s="120"/>
      <c r="ISL3" s="120"/>
      <c r="ISM3" s="120"/>
      <c r="ISN3" s="120"/>
      <c r="ISO3" s="120"/>
      <c r="ISP3" s="120"/>
      <c r="ISQ3" s="120"/>
      <c r="ISR3" s="120"/>
      <c r="ISS3" s="120"/>
      <c r="IST3" s="120"/>
      <c r="ISU3" s="120"/>
      <c r="ISV3" s="120"/>
      <c r="ISW3" s="120"/>
      <c r="ISX3" s="120"/>
      <c r="ISY3" s="120"/>
      <c r="ISZ3" s="120"/>
      <c r="ITA3" s="120"/>
      <c r="ITB3" s="120"/>
      <c r="ITC3" s="120"/>
      <c r="ITD3" s="120"/>
      <c r="ITE3" s="120"/>
      <c r="ITF3" s="120"/>
      <c r="ITG3" s="120"/>
      <c r="ITH3" s="120"/>
      <c r="ITI3" s="120"/>
      <c r="ITJ3" s="120"/>
      <c r="ITK3" s="120"/>
      <c r="ITL3" s="120"/>
      <c r="ITM3" s="120"/>
      <c r="ITN3" s="120"/>
      <c r="ITO3" s="120"/>
      <c r="ITP3" s="120"/>
      <c r="ITQ3" s="120"/>
      <c r="ITR3" s="120"/>
      <c r="ITS3" s="120"/>
      <c r="ITT3" s="120"/>
      <c r="ITU3" s="120"/>
      <c r="ITV3" s="120"/>
      <c r="ITW3" s="120"/>
      <c r="ITX3" s="120"/>
      <c r="ITY3" s="120"/>
      <c r="ITZ3" s="120"/>
      <c r="IUA3" s="120"/>
      <c r="IUB3" s="120"/>
      <c r="IUC3" s="120"/>
      <c r="IUD3" s="120"/>
      <c r="IUE3" s="120"/>
      <c r="IUF3" s="120"/>
      <c r="IUG3" s="120"/>
      <c r="IUH3" s="120"/>
      <c r="IUI3" s="120"/>
      <c r="IUJ3" s="120"/>
      <c r="IUK3" s="120"/>
      <c r="IUL3" s="120"/>
      <c r="IUM3" s="120"/>
      <c r="IUN3" s="120"/>
      <c r="IUO3" s="120"/>
      <c r="IUP3" s="120"/>
      <c r="IUQ3" s="120"/>
      <c r="IUR3" s="120"/>
      <c r="IUS3" s="120"/>
      <c r="IUT3" s="120"/>
      <c r="IUU3" s="120"/>
      <c r="IUV3" s="120"/>
      <c r="IUW3" s="120"/>
      <c r="IUX3" s="120"/>
      <c r="IUY3" s="120"/>
      <c r="IUZ3" s="120"/>
      <c r="IVA3" s="120"/>
      <c r="IVB3" s="120"/>
      <c r="IVC3" s="120"/>
      <c r="IVD3" s="120"/>
      <c r="IVE3" s="120"/>
      <c r="IVF3" s="120"/>
      <c r="IVG3" s="120"/>
      <c r="IVH3" s="120"/>
      <c r="IVI3" s="120"/>
      <c r="IVJ3" s="120"/>
      <c r="IVK3" s="120"/>
      <c r="IVL3" s="120"/>
      <c r="IVM3" s="120"/>
      <c r="IVN3" s="120"/>
      <c r="IVO3" s="120"/>
      <c r="IVP3" s="120"/>
      <c r="IVQ3" s="120"/>
      <c r="IVR3" s="120"/>
      <c r="IVS3" s="120"/>
      <c r="IVT3" s="120"/>
      <c r="IVU3" s="120"/>
      <c r="IVV3" s="120"/>
      <c r="IVW3" s="120"/>
      <c r="IVX3" s="120"/>
      <c r="IVY3" s="120"/>
      <c r="IVZ3" s="120"/>
      <c r="IWA3" s="120"/>
      <c r="IWB3" s="120"/>
      <c r="IWC3" s="120"/>
      <c r="IWD3" s="120"/>
      <c r="IWE3" s="120"/>
      <c r="IWF3" s="120"/>
      <c r="IWG3" s="120"/>
      <c r="IWH3" s="120"/>
      <c r="IWI3" s="120"/>
      <c r="IWJ3" s="120"/>
      <c r="IWK3" s="120"/>
      <c r="IWL3" s="120"/>
      <c r="IWM3" s="120"/>
      <c r="IWN3" s="120"/>
      <c r="IWO3" s="120"/>
      <c r="IWP3" s="120"/>
      <c r="IWQ3" s="120"/>
      <c r="IWR3" s="120"/>
      <c r="IWS3" s="120"/>
      <c r="IWT3" s="120"/>
      <c r="IWU3" s="120"/>
      <c r="IWV3" s="120"/>
      <c r="IWW3" s="120"/>
      <c r="IWX3" s="120"/>
      <c r="IWY3" s="120"/>
      <c r="IWZ3" s="120"/>
      <c r="IXA3" s="120"/>
      <c r="IXB3" s="120"/>
      <c r="IXC3" s="120"/>
      <c r="IXD3" s="120"/>
      <c r="IXE3" s="120"/>
      <c r="IXF3" s="120"/>
      <c r="IXG3" s="120"/>
      <c r="IXH3" s="120"/>
      <c r="IXI3" s="120"/>
      <c r="IXJ3" s="120"/>
      <c r="IXK3" s="120"/>
      <c r="IXL3" s="120"/>
      <c r="IXM3" s="120"/>
      <c r="IXN3" s="120"/>
      <c r="IXO3" s="120"/>
      <c r="IXP3" s="120"/>
      <c r="IXQ3" s="120"/>
      <c r="IXR3" s="120"/>
      <c r="IXS3" s="120"/>
      <c r="IXT3" s="120"/>
      <c r="IXU3" s="120"/>
      <c r="IXV3" s="120"/>
      <c r="IXW3" s="120"/>
      <c r="IXX3" s="120"/>
      <c r="IXY3" s="120"/>
      <c r="IXZ3" s="120"/>
      <c r="IYA3" s="120"/>
      <c r="IYB3" s="120"/>
      <c r="IYC3" s="120"/>
      <c r="IYD3" s="120"/>
      <c r="IYE3" s="120"/>
      <c r="IYF3" s="120"/>
      <c r="IYG3" s="120"/>
      <c r="IYH3" s="120"/>
      <c r="IYI3" s="120"/>
      <c r="IYJ3" s="120"/>
      <c r="IYK3" s="120"/>
      <c r="IYL3" s="120"/>
      <c r="IYM3" s="120"/>
      <c r="IYN3" s="120"/>
      <c r="IYO3" s="120"/>
      <c r="IYP3" s="120"/>
      <c r="IYQ3" s="120"/>
      <c r="IYR3" s="120"/>
      <c r="IYS3" s="120"/>
      <c r="IYT3" s="120"/>
      <c r="IYU3" s="120"/>
      <c r="IYV3" s="120"/>
      <c r="IYW3" s="120"/>
      <c r="IYX3" s="120"/>
      <c r="IYY3" s="120"/>
      <c r="IYZ3" s="120"/>
      <c r="IZA3" s="120"/>
      <c r="IZB3" s="120"/>
      <c r="IZC3" s="120"/>
      <c r="IZD3" s="120"/>
      <c r="IZE3" s="120"/>
      <c r="IZF3" s="120"/>
      <c r="IZG3" s="120"/>
      <c r="IZH3" s="120"/>
      <c r="IZI3" s="120"/>
      <c r="IZJ3" s="120"/>
      <c r="IZK3" s="120"/>
      <c r="IZL3" s="120"/>
      <c r="IZM3" s="120"/>
      <c r="IZN3" s="120"/>
      <c r="IZO3" s="120"/>
      <c r="IZP3" s="120"/>
      <c r="IZQ3" s="120"/>
      <c r="IZR3" s="120"/>
      <c r="IZS3" s="120"/>
      <c r="IZT3" s="120"/>
      <c r="IZU3" s="120"/>
      <c r="IZV3" s="120"/>
      <c r="IZW3" s="120"/>
      <c r="IZX3" s="120"/>
      <c r="IZY3" s="120"/>
      <c r="IZZ3" s="120"/>
      <c r="JAA3" s="120"/>
      <c r="JAB3" s="120"/>
      <c r="JAC3" s="120"/>
      <c r="JAD3" s="120"/>
      <c r="JAE3" s="120"/>
      <c r="JAF3" s="120"/>
      <c r="JAG3" s="120"/>
      <c r="JAH3" s="120"/>
      <c r="JAI3" s="120"/>
      <c r="JAJ3" s="120"/>
      <c r="JAK3" s="120"/>
      <c r="JAL3" s="120"/>
      <c r="JAM3" s="120"/>
      <c r="JAN3" s="120"/>
      <c r="JAO3" s="120"/>
      <c r="JAP3" s="120"/>
      <c r="JAQ3" s="120"/>
      <c r="JAR3" s="120"/>
      <c r="JAS3" s="120"/>
      <c r="JAT3" s="120"/>
      <c r="JAU3" s="120"/>
      <c r="JAV3" s="120"/>
      <c r="JAW3" s="120"/>
      <c r="JAX3" s="120"/>
      <c r="JAY3" s="120"/>
      <c r="JAZ3" s="120"/>
      <c r="JBA3" s="120"/>
      <c r="JBB3" s="120"/>
      <c r="JBC3" s="120"/>
      <c r="JBD3" s="120"/>
      <c r="JBE3" s="120"/>
      <c r="JBF3" s="120"/>
      <c r="JBG3" s="120"/>
      <c r="JBH3" s="120"/>
      <c r="JBI3" s="120"/>
      <c r="JBJ3" s="120"/>
      <c r="JBK3" s="120"/>
      <c r="JBL3" s="120"/>
      <c r="JBM3" s="120"/>
      <c r="JBN3" s="120"/>
      <c r="JBO3" s="120"/>
      <c r="JBP3" s="120"/>
      <c r="JBQ3" s="120"/>
      <c r="JBR3" s="120"/>
      <c r="JBS3" s="120"/>
      <c r="JBT3" s="120"/>
      <c r="JBU3" s="120"/>
      <c r="JBV3" s="120"/>
      <c r="JBW3" s="120"/>
      <c r="JBX3" s="120"/>
      <c r="JBY3" s="120"/>
      <c r="JBZ3" s="120"/>
      <c r="JCA3" s="120"/>
      <c r="JCB3" s="120"/>
      <c r="JCC3" s="120"/>
      <c r="JCD3" s="120"/>
      <c r="JCE3" s="120"/>
      <c r="JCF3" s="120"/>
      <c r="JCG3" s="120"/>
      <c r="JCH3" s="120"/>
      <c r="JCI3" s="120"/>
      <c r="JCJ3" s="120"/>
      <c r="JCK3" s="120"/>
      <c r="JCL3" s="120"/>
      <c r="JCM3" s="120"/>
      <c r="JCN3" s="120"/>
      <c r="JCO3" s="120"/>
      <c r="JCP3" s="120"/>
      <c r="JCQ3" s="120"/>
      <c r="JCR3" s="120"/>
      <c r="JCS3" s="120"/>
      <c r="JCT3" s="120"/>
      <c r="JCU3" s="120"/>
      <c r="JCV3" s="120"/>
      <c r="JCW3" s="120"/>
      <c r="JCX3" s="120"/>
      <c r="JCY3" s="120"/>
      <c r="JCZ3" s="120"/>
      <c r="JDA3" s="120"/>
      <c r="JDB3" s="120"/>
      <c r="JDC3" s="120"/>
      <c r="JDD3" s="120"/>
      <c r="JDE3" s="120"/>
      <c r="JDF3" s="120"/>
      <c r="JDG3" s="120"/>
      <c r="JDH3" s="120"/>
      <c r="JDI3" s="120"/>
      <c r="JDJ3" s="120"/>
      <c r="JDK3" s="120"/>
      <c r="JDL3" s="120"/>
      <c r="JDM3" s="120"/>
      <c r="JDN3" s="120"/>
      <c r="JDO3" s="120"/>
      <c r="JDP3" s="120"/>
      <c r="JDQ3" s="120"/>
      <c r="JDR3" s="120"/>
      <c r="JDS3" s="120"/>
      <c r="JDT3" s="120"/>
      <c r="JDU3" s="120"/>
      <c r="JDV3" s="120"/>
      <c r="JDW3" s="120"/>
      <c r="JDX3" s="120"/>
      <c r="JDY3" s="120"/>
      <c r="JDZ3" s="120"/>
      <c r="JEA3" s="120"/>
      <c r="JEB3" s="120"/>
      <c r="JEC3" s="120"/>
      <c r="JED3" s="120"/>
      <c r="JEE3" s="120"/>
      <c r="JEF3" s="120"/>
      <c r="JEG3" s="120"/>
      <c r="JEH3" s="120"/>
      <c r="JEI3" s="120"/>
      <c r="JEJ3" s="120"/>
      <c r="JEK3" s="120"/>
      <c r="JEL3" s="120"/>
      <c r="JEM3" s="120"/>
      <c r="JEN3" s="120"/>
      <c r="JEO3" s="120"/>
      <c r="JEP3" s="120"/>
      <c r="JEQ3" s="120"/>
      <c r="JER3" s="120"/>
      <c r="JES3" s="120"/>
      <c r="JET3" s="120"/>
      <c r="JEU3" s="120"/>
      <c r="JEV3" s="120"/>
      <c r="JEW3" s="120"/>
      <c r="JEX3" s="120"/>
      <c r="JEY3" s="120"/>
      <c r="JEZ3" s="120"/>
      <c r="JFA3" s="120"/>
      <c r="JFB3" s="120"/>
      <c r="JFC3" s="120"/>
      <c r="JFD3" s="120"/>
      <c r="JFE3" s="120"/>
      <c r="JFF3" s="120"/>
      <c r="JFG3" s="120"/>
      <c r="JFH3" s="120"/>
      <c r="JFI3" s="120"/>
      <c r="JFJ3" s="120"/>
      <c r="JFK3" s="120"/>
      <c r="JFL3" s="120"/>
      <c r="JFM3" s="120"/>
      <c r="JFN3" s="120"/>
      <c r="JFO3" s="120"/>
      <c r="JFP3" s="120"/>
      <c r="JFQ3" s="120"/>
      <c r="JFR3" s="120"/>
      <c r="JFS3" s="120"/>
      <c r="JFT3" s="120"/>
      <c r="JFU3" s="120"/>
      <c r="JFV3" s="120"/>
      <c r="JFW3" s="120"/>
      <c r="JFX3" s="120"/>
      <c r="JFY3" s="120"/>
      <c r="JFZ3" s="120"/>
      <c r="JGA3" s="120"/>
      <c r="JGB3" s="120"/>
      <c r="JGC3" s="120"/>
      <c r="JGD3" s="120"/>
      <c r="JGE3" s="120"/>
      <c r="JGF3" s="120"/>
      <c r="JGG3" s="120"/>
      <c r="JGH3" s="120"/>
      <c r="JGI3" s="120"/>
      <c r="JGJ3" s="120"/>
      <c r="JGK3" s="120"/>
      <c r="JGL3" s="120"/>
      <c r="JGM3" s="120"/>
      <c r="JGN3" s="120"/>
      <c r="JGO3" s="120"/>
      <c r="JGP3" s="120"/>
      <c r="JGQ3" s="120"/>
      <c r="JGR3" s="120"/>
      <c r="JGS3" s="120"/>
      <c r="JGT3" s="120"/>
      <c r="JGU3" s="120"/>
      <c r="JGV3" s="120"/>
      <c r="JGW3" s="120"/>
      <c r="JGX3" s="120"/>
      <c r="JGY3" s="120"/>
      <c r="JGZ3" s="120"/>
      <c r="JHA3" s="120"/>
      <c r="JHB3" s="120"/>
      <c r="JHC3" s="120"/>
      <c r="JHD3" s="120"/>
      <c r="JHE3" s="120"/>
      <c r="JHF3" s="120"/>
      <c r="JHG3" s="120"/>
      <c r="JHH3" s="120"/>
      <c r="JHI3" s="120"/>
      <c r="JHJ3" s="120"/>
      <c r="JHK3" s="120"/>
      <c r="JHL3" s="120"/>
      <c r="JHM3" s="120"/>
      <c r="JHN3" s="120"/>
      <c r="JHO3" s="120"/>
      <c r="JHP3" s="120"/>
      <c r="JHQ3" s="120"/>
      <c r="JHR3" s="120"/>
      <c r="JHS3" s="120"/>
      <c r="JHT3" s="120"/>
      <c r="JHU3" s="120"/>
      <c r="JHV3" s="120"/>
      <c r="JHW3" s="120"/>
      <c r="JHX3" s="120"/>
      <c r="JHY3" s="120"/>
      <c r="JHZ3" s="120"/>
      <c r="JIA3" s="120"/>
      <c r="JIB3" s="120"/>
      <c r="JIC3" s="120"/>
      <c r="JID3" s="120"/>
      <c r="JIE3" s="120"/>
      <c r="JIF3" s="120"/>
      <c r="JIG3" s="120"/>
      <c r="JIH3" s="120"/>
      <c r="JII3" s="120"/>
      <c r="JIJ3" s="120"/>
      <c r="JIK3" s="120"/>
      <c r="JIL3" s="120"/>
      <c r="JIM3" s="120"/>
      <c r="JIN3" s="120"/>
      <c r="JIO3" s="120"/>
      <c r="JIP3" s="120"/>
      <c r="JIQ3" s="120"/>
      <c r="JIR3" s="120"/>
      <c r="JIS3" s="120"/>
      <c r="JIT3" s="120"/>
      <c r="JIU3" s="120"/>
      <c r="JIV3" s="120"/>
      <c r="JIW3" s="120"/>
      <c r="JIX3" s="120"/>
      <c r="JIY3" s="120"/>
      <c r="JIZ3" s="120"/>
      <c r="JJA3" s="120"/>
      <c r="JJB3" s="120"/>
      <c r="JJC3" s="120"/>
      <c r="JJD3" s="120"/>
      <c r="JJE3" s="120"/>
      <c r="JJF3" s="120"/>
      <c r="JJG3" s="120"/>
      <c r="JJH3" s="120"/>
      <c r="JJI3" s="120"/>
      <c r="JJJ3" s="120"/>
      <c r="JJK3" s="120"/>
      <c r="JJL3" s="120"/>
      <c r="JJM3" s="120"/>
      <c r="JJN3" s="120"/>
      <c r="JJO3" s="120"/>
      <c r="JJP3" s="120"/>
      <c r="JJQ3" s="120"/>
      <c r="JJR3" s="120"/>
      <c r="JJS3" s="120"/>
      <c r="JJT3" s="120"/>
      <c r="JJU3" s="120"/>
      <c r="JJV3" s="120"/>
      <c r="JJW3" s="120"/>
      <c r="JJX3" s="120"/>
      <c r="JJY3" s="120"/>
      <c r="JJZ3" s="120"/>
      <c r="JKA3" s="120"/>
      <c r="JKB3" s="120"/>
      <c r="JKC3" s="120"/>
      <c r="JKD3" s="120"/>
      <c r="JKE3" s="120"/>
      <c r="JKF3" s="120"/>
      <c r="JKG3" s="120"/>
      <c r="JKH3" s="120"/>
      <c r="JKI3" s="120"/>
      <c r="JKJ3" s="120"/>
      <c r="JKK3" s="120"/>
      <c r="JKL3" s="120"/>
      <c r="JKM3" s="120"/>
      <c r="JKN3" s="120"/>
      <c r="JKO3" s="120"/>
      <c r="JKP3" s="120"/>
      <c r="JKQ3" s="120"/>
      <c r="JKR3" s="120"/>
      <c r="JKS3" s="120"/>
      <c r="JKT3" s="120"/>
      <c r="JKU3" s="120"/>
      <c r="JKV3" s="120"/>
      <c r="JKW3" s="120"/>
      <c r="JKX3" s="120"/>
      <c r="JKY3" s="120"/>
      <c r="JKZ3" s="120"/>
      <c r="JLA3" s="120"/>
      <c r="JLB3" s="120"/>
      <c r="JLC3" s="120"/>
      <c r="JLD3" s="120"/>
      <c r="JLE3" s="120"/>
      <c r="JLF3" s="120"/>
      <c r="JLG3" s="120"/>
      <c r="JLH3" s="120"/>
      <c r="JLI3" s="120"/>
      <c r="JLJ3" s="120"/>
      <c r="JLK3" s="120"/>
      <c r="JLL3" s="120"/>
      <c r="JLM3" s="120"/>
      <c r="JLN3" s="120"/>
      <c r="JLO3" s="120"/>
      <c r="JLP3" s="120"/>
      <c r="JLQ3" s="120"/>
      <c r="JLR3" s="120"/>
      <c r="JLS3" s="120"/>
      <c r="JLT3" s="120"/>
      <c r="JLU3" s="120"/>
      <c r="JLV3" s="120"/>
      <c r="JLW3" s="120"/>
      <c r="JLX3" s="120"/>
      <c r="JLY3" s="120"/>
      <c r="JLZ3" s="120"/>
      <c r="JMA3" s="120"/>
      <c r="JMB3" s="120"/>
      <c r="JMC3" s="120"/>
      <c r="JMD3" s="120"/>
      <c r="JME3" s="120"/>
      <c r="JMF3" s="120"/>
      <c r="JMG3" s="120"/>
      <c r="JMH3" s="120"/>
      <c r="JMI3" s="120"/>
      <c r="JMJ3" s="120"/>
      <c r="JMK3" s="120"/>
      <c r="JML3" s="120"/>
      <c r="JMM3" s="120"/>
      <c r="JMN3" s="120"/>
      <c r="JMO3" s="120"/>
      <c r="JMP3" s="120"/>
      <c r="JMQ3" s="120"/>
      <c r="JMR3" s="120"/>
      <c r="JMS3" s="120"/>
      <c r="JMT3" s="120"/>
      <c r="JMU3" s="120"/>
      <c r="JMV3" s="120"/>
      <c r="JMW3" s="120"/>
      <c r="JMX3" s="120"/>
      <c r="JMY3" s="120"/>
      <c r="JMZ3" s="120"/>
      <c r="JNA3" s="120"/>
      <c r="JNB3" s="120"/>
      <c r="JNC3" s="120"/>
      <c r="JND3" s="120"/>
      <c r="JNE3" s="120"/>
      <c r="JNF3" s="120"/>
      <c r="JNG3" s="120"/>
      <c r="JNH3" s="120"/>
      <c r="JNI3" s="120"/>
      <c r="JNJ3" s="120"/>
      <c r="JNK3" s="120"/>
      <c r="JNL3" s="120"/>
      <c r="JNM3" s="120"/>
      <c r="JNN3" s="120"/>
      <c r="JNO3" s="120"/>
      <c r="JNP3" s="120"/>
      <c r="JNQ3" s="120"/>
      <c r="JNR3" s="120"/>
      <c r="JNS3" s="120"/>
      <c r="JNT3" s="120"/>
      <c r="JNU3" s="120"/>
      <c r="JNV3" s="120"/>
      <c r="JNW3" s="120"/>
      <c r="JNX3" s="120"/>
      <c r="JNY3" s="120"/>
      <c r="JNZ3" s="120"/>
      <c r="JOA3" s="120"/>
      <c r="JOB3" s="120"/>
      <c r="JOC3" s="120"/>
      <c r="JOD3" s="120"/>
      <c r="JOE3" s="120"/>
      <c r="JOF3" s="120"/>
      <c r="JOG3" s="120"/>
      <c r="JOH3" s="120"/>
      <c r="JOI3" s="120"/>
      <c r="JOJ3" s="120"/>
      <c r="JOK3" s="120"/>
      <c r="JOL3" s="120"/>
      <c r="JOM3" s="120"/>
      <c r="JON3" s="120"/>
      <c r="JOO3" s="120"/>
      <c r="JOP3" s="120"/>
      <c r="JOQ3" s="120"/>
      <c r="JOR3" s="120"/>
      <c r="JOS3" s="120"/>
      <c r="JOT3" s="120"/>
      <c r="JOU3" s="120"/>
      <c r="JOV3" s="120"/>
      <c r="JOW3" s="120"/>
      <c r="JOX3" s="120"/>
      <c r="JOY3" s="120"/>
      <c r="JOZ3" s="120"/>
      <c r="JPA3" s="120"/>
      <c r="JPB3" s="120"/>
      <c r="JPC3" s="120"/>
      <c r="JPD3" s="120"/>
      <c r="JPE3" s="120"/>
      <c r="JPF3" s="120"/>
      <c r="JPG3" s="120"/>
      <c r="JPH3" s="120"/>
      <c r="JPI3" s="120"/>
      <c r="JPJ3" s="120"/>
      <c r="JPK3" s="120"/>
      <c r="JPL3" s="120"/>
      <c r="JPM3" s="120"/>
      <c r="JPN3" s="120"/>
      <c r="JPO3" s="120"/>
      <c r="JPP3" s="120"/>
      <c r="JPQ3" s="120"/>
      <c r="JPR3" s="120"/>
      <c r="JPS3" s="120"/>
      <c r="JPT3" s="120"/>
      <c r="JPU3" s="120"/>
      <c r="JPV3" s="120"/>
      <c r="JPW3" s="120"/>
      <c r="JPX3" s="120"/>
      <c r="JPY3" s="120"/>
      <c r="JPZ3" s="120"/>
      <c r="JQA3" s="120"/>
      <c r="JQB3" s="120"/>
      <c r="JQC3" s="120"/>
      <c r="JQD3" s="120"/>
      <c r="JQE3" s="120"/>
      <c r="JQF3" s="120"/>
      <c r="JQG3" s="120"/>
      <c r="JQH3" s="120"/>
      <c r="JQI3" s="120"/>
      <c r="JQJ3" s="120"/>
      <c r="JQK3" s="120"/>
      <c r="JQL3" s="120"/>
      <c r="JQM3" s="120"/>
      <c r="JQN3" s="120"/>
      <c r="JQO3" s="120"/>
      <c r="JQP3" s="120"/>
      <c r="JQQ3" s="120"/>
      <c r="JQR3" s="120"/>
      <c r="JQS3" s="120"/>
      <c r="JQT3" s="120"/>
      <c r="JQU3" s="120"/>
      <c r="JQV3" s="120"/>
      <c r="JQW3" s="120"/>
      <c r="JQX3" s="120"/>
      <c r="JQY3" s="120"/>
      <c r="JQZ3" s="120"/>
      <c r="JRA3" s="120"/>
      <c r="JRB3" s="120"/>
      <c r="JRC3" s="120"/>
      <c r="JRD3" s="120"/>
      <c r="JRE3" s="120"/>
      <c r="JRF3" s="120"/>
      <c r="JRG3" s="120"/>
      <c r="JRH3" s="120"/>
      <c r="JRI3" s="120"/>
      <c r="JRJ3" s="120"/>
      <c r="JRK3" s="120"/>
      <c r="JRL3" s="120"/>
      <c r="JRM3" s="120"/>
      <c r="JRN3" s="120"/>
      <c r="JRO3" s="120"/>
      <c r="JRP3" s="120"/>
      <c r="JRQ3" s="120"/>
      <c r="JRR3" s="120"/>
      <c r="JRS3" s="120"/>
      <c r="JRT3" s="120"/>
      <c r="JRU3" s="120"/>
      <c r="JRV3" s="120"/>
      <c r="JRW3" s="120"/>
      <c r="JRX3" s="120"/>
      <c r="JRY3" s="120"/>
      <c r="JRZ3" s="120"/>
      <c r="JSA3" s="120"/>
      <c r="JSB3" s="120"/>
      <c r="JSC3" s="120"/>
      <c r="JSD3" s="120"/>
      <c r="JSE3" s="120"/>
      <c r="JSF3" s="120"/>
      <c r="JSG3" s="120"/>
      <c r="JSH3" s="120"/>
      <c r="JSI3" s="120"/>
      <c r="JSJ3" s="120"/>
      <c r="JSK3" s="120"/>
      <c r="JSL3" s="120"/>
      <c r="JSM3" s="120"/>
      <c r="JSN3" s="120"/>
      <c r="JSO3" s="120"/>
      <c r="JSP3" s="120"/>
      <c r="JSQ3" s="120"/>
      <c r="JSR3" s="120"/>
      <c r="JSS3" s="120"/>
      <c r="JST3" s="120"/>
      <c r="JSU3" s="120"/>
      <c r="JSV3" s="120"/>
      <c r="JSW3" s="120"/>
      <c r="JSX3" s="120"/>
      <c r="JSY3" s="120"/>
      <c r="JSZ3" s="120"/>
      <c r="JTA3" s="120"/>
      <c r="JTB3" s="120"/>
      <c r="JTC3" s="120"/>
      <c r="JTD3" s="120"/>
      <c r="JTE3" s="120"/>
      <c r="JTF3" s="120"/>
      <c r="JTG3" s="120"/>
      <c r="JTH3" s="120"/>
      <c r="JTI3" s="120"/>
      <c r="JTJ3" s="120"/>
      <c r="JTK3" s="120"/>
      <c r="JTL3" s="120"/>
      <c r="JTM3" s="120"/>
      <c r="JTN3" s="120"/>
      <c r="JTO3" s="120"/>
      <c r="JTP3" s="120"/>
      <c r="JTQ3" s="120"/>
      <c r="JTR3" s="120"/>
      <c r="JTS3" s="120"/>
      <c r="JTT3" s="120"/>
      <c r="JTU3" s="120"/>
      <c r="JTV3" s="120"/>
      <c r="JTW3" s="120"/>
      <c r="JTX3" s="120"/>
      <c r="JTY3" s="120"/>
      <c r="JTZ3" s="120"/>
      <c r="JUA3" s="120"/>
      <c r="JUB3" s="120"/>
      <c r="JUC3" s="120"/>
      <c r="JUD3" s="120"/>
      <c r="JUE3" s="120"/>
      <c r="JUF3" s="120"/>
      <c r="JUG3" s="120"/>
      <c r="JUH3" s="120"/>
      <c r="JUI3" s="120"/>
      <c r="JUJ3" s="120"/>
      <c r="JUK3" s="120"/>
      <c r="JUL3" s="120"/>
      <c r="JUM3" s="120"/>
      <c r="JUN3" s="120"/>
      <c r="JUO3" s="120"/>
      <c r="JUP3" s="120"/>
      <c r="JUQ3" s="120"/>
      <c r="JUR3" s="120"/>
      <c r="JUS3" s="120"/>
      <c r="JUT3" s="120"/>
      <c r="JUU3" s="120"/>
      <c r="JUV3" s="120"/>
      <c r="JUW3" s="120"/>
      <c r="JUX3" s="120"/>
      <c r="JUY3" s="120"/>
      <c r="JUZ3" s="120"/>
      <c r="JVA3" s="120"/>
      <c r="JVB3" s="120"/>
      <c r="JVC3" s="120"/>
      <c r="JVD3" s="120"/>
      <c r="JVE3" s="120"/>
      <c r="JVF3" s="120"/>
      <c r="JVG3" s="120"/>
      <c r="JVH3" s="120"/>
      <c r="JVI3" s="120"/>
      <c r="JVJ3" s="120"/>
      <c r="JVK3" s="120"/>
      <c r="JVL3" s="120"/>
      <c r="JVM3" s="120"/>
      <c r="JVN3" s="120"/>
      <c r="JVO3" s="120"/>
      <c r="JVP3" s="120"/>
      <c r="JVQ3" s="120"/>
      <c r="JVR3" s="120"/>
      <c r="JVS3" s="120"/>
      <c r="JVT3" s="120"/>
      <c r="JVU3" s="120"/>
      <c r="JVV3" s="120"/>
      <c r="JVW3" s="120"/>
      <c r="JVX3" s="120"/>
      <c r="JVY3" s="120"/>
      <c r="JVZ3" s="120"/>
      <c r="JWA3" s="120"/>
      <c r="JWB3" s="120"/>
      <c r="JWC3" s="120"/>
      <c r="JWD3" s="120"/>
      <c r="JWE3" s="120"/>
      <c r="JWF3" s="120"/>
      <c r="JWG3" s="120"/>
      <c r="JWH3" s="120"/>
      <c r="JWI3" s="120"/>
      <c r="JWJ3" s="120"/>
      <c r="JWK3" s="120"/>
      <c r="JWL3" s="120"/>
      <c r="JWM3" s="120"/>
      <c r="JWN3" s="120"/>
      <c r="JWO3" s="120"/>
      <c r="JWP3" s="120"/>
      <c r="JWQ3" s="120"/>
      <c r="JWR3" s="120"/>
      <c r="JWS3" s="120"/>
      <c r="JWT3" s="120"/>
      <c r="JWU3" s="120"/>
      <c r="JWV3" s="120"/>
      <c r="JWW3" s="120"/>
      <c r="JWX3" s="120"/>
      <c r="JWY3" s="120"/>
      <c r="JWZ3" s="120"/>
      <c r="JXA3" s="120"/>
      <c r="JXB3" s="120"/>
      <c r="JXC3" s="120"/>
      <c r="JXD3" s="120"/>
      <c r="JXE3" s="120"/>
      <c r="JXF3" s="120"/>
      <c r="JXG3" s="120"/>
      <c r="JXH3" s="120"/>
      <c r="JXI3" s="120"/>
      <c r="JXJ3" s="120"/>
      <c r="JXK3" s="120"/>
      <c r="JXL3" s="120"/>
      <c r="JXM3" s="120"/>
      <c r="JXN3" s="120"/>
      <c r="JXO3" s="120"/>
      <c r="JXP3" s="120"/>
      <c r="JXQ3" s="120"/>
      <c r="JXR3" s="120"/>
      <c r="JXS3" s="120"/>
      <c r="JXT3" s="120"/>
      <c r="JXU3" s="120"/>
      <c r="JXV3" s="120"/>
      <c r="JXW3" s="120"/>
      <c r="JXX3" s="120"/>
      <c r="JXY3" s="120"/>
      <c r="JXZ3" s="120"/>
      <c r="JYA3" s="120"/>
      <c r="JYB3" s="120"/>
      <c r="JYC3" s="120"/>
      <c r="JYD3" s="120"/>
      <c r="JYE3" s="120"/>
      <c r="JYF3" s="120"/>
      <c r="JYG3" s="120"/>
      <c r="JYH3" s="120"/>
      <c r="JYI3" s="120"/>
      <c r="JYJ3" s="120"/>
      <c r="JYK3" s="120"/>
      <c r="JYL3" s="120"/>
      <c r="JYM3" s="120"/>
      <c r="JYN3" s="120"/>
      <c r="JYO3" s="120"/>
      <c r="JYP3" s="120"/>
      <c r="JYQ3" s="120"/>
      <c r="JYR3" s="120"/>
      <c r="JYS3" s="120"/>
      <c r="JYT3" s="120"/>
      <c r="JYU3" s="120"/>
      <c r="JYV3" s="120"/>
      <c r="JYW3" s="120"/>
      <c r="JYX3" s="120"/>
      <c r="JYY3" s="120"/>
      <c r="JYZ3" s="120"/>
      <c r="JZA3" s="120"/>
      <c r="JZB3" s="120"/>
      <c r="JZC3" s="120"/>
      <c r="JZD3" s="120"/>
      <c r="JZE3" s="120"/>
      <c r="JZF3" s="120"/>
      <c r="JZG3" s="120"/>
      <c r="JZH3" s="120"/>
      <c r="JZI3" s="120"/>
      <c r="JZJ3" s="120"/>
      <c r="JZK3" s="120"/>
      <c r="JZL3" s="120"/>
      <c r="JZM3" s="120"/>
      <c r="JZN3" s="120"/>
      <c r="JZO3" s="120"/>
      <c r="JZP3" s="120"/>
      <c r="JZQ3" s="120"/>
      <c r="JZR3" s="120"/>
      <c r="JZS3" s="120"/>
      <c r="JZT3" s="120"/>
      <c r="JZU3" s="120"/>
      <c r="JZV3" s="120"/>
      <c r="JZW3" s="120"/>
      <c r="JZX3" s="120"/>
      <c r="JZY3" s="120"/>
      <c r="JZZ3" s="120"/>
      <c r="KAA3" s="120"/>
      <c r="KAB3" s="120"/>
      <c r="KAC3" s="120"/>
      <c r="KAD3" s="120"/>
      <c r="KAE3" s="120"/>
      <c r="KAF3" s="120"/>
      <c r="KAG3" s="120"/>
      <c r="KAH3" s="120"/>
      <c r="KAI3" s="120"/>
      <c r="KAJ3" s="120"/>
      <c r="KAK3" s="120"/>
      <c r="KAL3" s="120"/>
      <c r="KAM3" s="120"/>
      <c r="KAN3" s="120"/>
      <c r="KAO3" s="120"/>
      <c r="KAP3" s="120"/>
      <c r="KAQ3" s="120"/>
      <c r="KAR3" s="120"/>
      <c r="KAS3" s="120"/>
      <c r="KAT3" s="120"/>
      <c r="KAU3" s="120"/>
      <c r="KAV3" s="120"/>
      <c r="KAW3" s="120"/>
      <c r="KAX3" s="120"/>
      <c r="KAY3" s="120"/>
      <c r="KAZ3" s="120"/>
      <c r="KBA3" s="120"/>
      <c r="KBB3" s="120"/>
      <c r="KBC3" s="120"/>
      <c r="KBD3" s="120"/>
      <c r="KBE3" s="120"/>
      <c r="KBF3" s="120"/>
      <c r="KBG3" s="120"/>
      <c r="KBH3" s="120"/>
      <c r="KBI3" s="120"/>
      <c r="KBJ3" s="120"/>
      <c r="KBK3" s="120"/>
      <c r="KBL3" s="120"/>
      <c r="KBM3" s="120"/>
      <c r="KBN3" s="120"/>
      <c r="KBO3" s="120"/>
      <c r="KBP3" s="120"/>
      <c r="KBQ3" s="120"/>
      <c r="KBR3" s="120"/>
      <c r="KBS3" s="120"/>
      <c r="KBT3" s="120"/>
      <c r="KBU3" s="120"/>
      <c r="KBV3" s="120"/>
      <c r="KBW3" s="120"/>
      <c r="KBX3" s="120"/>
      <c r="KBY3" s="120"/>
      <c r="KBZ3" s="120"/>
      <c r="KCA3" s="120"/>
      <c r="KCB3" s="120"/>
      <c r="KCC3" s="120"/>
      <c r="KCD3" s="120"/>
      <c r="KCE3" s="120"/>
      <c r="KCF3" s="120"/>
      <c r="KCG3" s="120"/>
      <c r="KCH3" s="120"/>
      <c r="KCI3" s="120"/>
      <c r="KCJ3" s="120"/>
      <c r="KCK3" s="120"/>
      <c r="KCL3" s="120"/>
      <c r="KCM3" s="120"/>
      <c r="KCN3" s="120"/>
      <c r="KCO3" s="120"/>
      <c r="KCP3" s="120"/>
      <c r="KCQ3" s="120"/>
      <c r="KCR3" s="120"/>
      <c r="KCS3" s="120"/>
      <c r="KCT3" s="120"/>
      <c r="KCU3" s="120"/>
      <c r="KCV3" s="120"/>
      <c r="KCW3" s="120"/>
      <c r="KCX3" s="120"/>
      <c r="KCY3" s="120"/>
      <c r="KCZ3" s="120"/>
      <c r="KDA3" s="120"/>
      <c r="KDB3" s="120"/>
      <c r="KDC3" s="120"/>
      <c r="KDD3" s="120"/>
      <c r="KDE3" s="120"/>
      <c r="KDF3" s="120"/>
      <c r="KDG3" s="120"/>
      <c r="KDH3" s="120"/>
      <c r="KDI3" s="120"/>
      <c r="KDJ3" s="120"/>
      <c r="KDK3" s="120"/>
      <c r="KDL3" s="120"/>
      <c r="KDM3" s="120"/>
      <c r="KDN3" s="120"/>
      <c r="KDO3" s="120"/>
      <c r="KDP3" s="120"/>
      <c r="KDQ3" s="120"/>
      <c r="KDR3" s="120"/>
      <c r="KDS3" s="120"/>
      <c r="KDT3" s="120"/>
      <c r="KDU3" s="120"/>
      <c r="KDV3" s="120"/>
      <c r="KDW3" s="120"/>
      <c r="KDX3" s="120"/>
      <c r="KDY3" s="120"/>
      <c r="KDZ3" s="120"/>
      <c r="KEA3" s="120"/>
      <c r="KEB3" s="120"/>
      <c r="KEC3" s="120"/>
      <c r="KED3" s="120"/>
      <c r="KEE3" s="120"/>
      <c r="KEF3" s="120"/>
      <c r="KEG3" s="120"/>
      <c r="KEH3" s="120"/>
      <c r="KEI3" s="120"/>
      <c r="KEJ3" s="120"/>
      <c r="KEK3" s="120"/>
      <c r="KEL3" s="120"/>
      <c r="KEM3" s="120"/>
      <c r="KEN3" s="120"/>
      <c r="KEO3" s="120"/>
      <c r="KEP3" s="120"/>
      <c r="KEQ3" s="120"/>
      <c r="KER3" s="120"/>
      <c r="KES3" s="120"/>
      <c r="KET3" s="120"/>
      <c r="KEU3" s="120"/>
      <c r="KEV3" s="120"/>
      <c r="KEW3" s="120"/>
      <c r="KEX3" s="120"/>
      <c r="KEY3" s="120"/>
      <c r="KEZ3" s="120"/>
      <c r="KFA3" s="120"/>
      <c r="KFB3" s="120"/>
      <c r="KFC3" s="120"/>
      <c r="KFD3" s="120"/>
      <c r="KFE3" s="120"/>
      <c r="KFF3" s="120"/>
      <c r="KFG3" s="120"/>
      <c r="KFH3" s="120"/>
      <c r="KFI3" s="120"/>
      <c r="KFJ3" s="120"/>
      <c r="KFK3" s="120"/>
      <c r="KFL3" s="120"/>
      <c r="KFM3" s="120"/>
      <c r="KFN3" s="120"/>
      <c r="KFO3" s="120"/>
      <c r="KFP3" s="120"/>
      <c r="KFQ3" s="120"/>
      <c r="KFR3" s="120"/>
      <c r="KFS3" s="120"/>
      <c r="KFT3" s="120"/>
      <c r="KFU3" s="120"/>
      <c r="KFV3" s="120"/>
      <c r="KFW3" s="120"/>
      <c r="KFX3" s="120"/>
      <c r="KFY3" s="120"/>
      <c r="KFZ3" s="120"/>
      <c r="KGA3" s="120"/>
      <c r="KGB3" s="120"/>
      <c r="KGC3" s="120"/>
      <c r="KGD3" s="120"/>
      <c r="KGE3" s="120"/>
      <c r="KGF3" s="120"/>
      <c r="KGG3" s="120"/>
      <c r="KGH3" s="120"/>
      <c r="KGI3" s="120"/>
      <c r="KGJ3" s="120"/>
      <c r="KGK3" s="120"/>
      <c r="KGL3" s="120"/>
      <c r="KGM3" s="120"/>
      <c r="KGN3" s="120"/>
      <c r="KGO3" s="120"/>
      <c r="KGP3" s="120"/>
      <c r="KGQ3" s="120"/>
      <c r="KGR3" s="120"/>
      <c r="KGS3" s="120"/>
      <c r="KGT3" s="120"/>
      <c r="KGU3" s="120"/>
      <c r="KGV3" s="120"/>
      <c r="KGW3" s="120"/>
      <c r="KGX3" s="120"/>
      <c r="KGY3" s="120"/>
      <c r="KGZ3" s="120"/>
      <c r="KHA3" s="120"/>
      <c r="KHB3" s="120"/>
      <c r="KHC3" s="120"/>
      <c r="KHD3" s="120"/>
      <c r="KHE3" s="120"/>
      <c r="KHF3" s="120"/>
      <c r="KHG3" s="120"/>
      <c r="KHH3" s="120"/>
      <c r="KHI3" s="120"/>
      <c r="KHJ3" s="120"/>
      <c r="KHK3" s="120"/>
      <c r="KHL3" s="120"/>
      <c r="KHM3" s="120"/>
      <c r="KHN3" s="120"/>
      <c r="KHO3" s="120"/>
      <c r="KHP3" s="120"/>
      <c r="KHQ3" s="120"/>
      <c r="KHR3" s="120"/>
      <c r="KHS3" s="120"/>
      <c r="KHT3" s="120"/>
      <c r="KHU3" s="120"/>
      <c r="KHV3" s="120"/>
      <c r="KHW3" s="120"/>
      <c r="KHX3" s="120"/>
      <c r="KHY3" s="120"/>
      <c r="KHZ3" s="120"/>
      <c r="KIA3" s="120"/>
      <c r="KIB3" s="120"/>
      <c r="KIC3" s="120"/>
      <c r="KID3" s="120"/>
      <c r="KIE3" s="120"/>
      <c r="KIF3" s="120"/>
      <c r="KIG3" s="120"/>
      <c r="KIH3" s="120"/>
      <c r="KII3" s="120"/>
      <c r="KIJ3" s="120"/>
      <c r="KIK3" s="120"/>
      <c r="KIL3" s="120"/>
      <c r="KIM3" s="120"/>
      <c r="KIN3" s="120"/>
      <c r="KIO3" s="120"/>
      <c r="KIP3" s="120"/>
      <c r="KIQ3" s="120"/>
      <c r="KIR3" s="120"/>
      <c r="KIS3" s="120"/>
      <c r="KIT3" s="120"/>
      <c r="KIU3" s="120"/>
      <c r="KIV3" s="120"/>
      <c r="KIW3" s="120"/>
      <c r="KIX3" s="120"/>
      <c r="KIY3" s="120"/>
      <c r="KIZ3" s="120"/>
      <c r="KJA3" s="120"/>
      <c r="KJB3" s="120"/>
      <c r="KJC3" s="120"/>
      <c r="KJD3" s="120"/>
      <c r="KJE3" s="120"/>
      <c r="KJF3" s="120"/>
      <c r="KJG3" s="120"/>
      <c r="KJH3" s="120"/>
      <c r="KJI3" s="120"/>
      <c r="KJJ3" s="120"/>
      <c r="KJK3" s="120"/>
      <c r="KJL3" s="120"/>
      <c r="KJM3" s="120"/>
      <c r="KJN3" s="120"/>
      <c r="KJO3" s="120"/>
      <c r="KJP3" s="120"/>
      <c r="KJQ3" s="120"/>
      <c r="KJR3" s="120"/>
      <c r="KJS3" s="120"/>
      <c r="KJT3" s="120"/>
      <c r="KJU3" s="120"/>
      <c r="KJV3" s="120"/>
      <c r="KJW3" s="120"/>
      <c r="KJX3" s="120"/>
      <c r="KJY3" s="120"/>
      <c r="KJZ3" s="120"/>
      <c r="KKA3" s="120"/>
      <c r="KKB3" s="120"/>
      <c r="KKC3" s="120"/>
      <c r="KKD3" s="120"/>
      <c r="KKE3" s="120"/>
      <c r="KKF3" s="120"/>
      <c r="KKG3" s="120"/>
      <c r="KKH3" s="120"/>
      <c r="KKI3" s="120"/>
      <c r="KKJ3" s="120"/>
      <c r="KKK3" s="120"/>
      <c r="KKL3" s="120"/>
      <c r="KKM3" s="120"/>
      <c r="KKN3" s="120"/>
      <c r="KKO3" s="120"/>
      <c r="KKP3" s="120"/>
      <c r="KKQ3" s="120"/>
      <c r="KKR3" s="120"/>
      <c r="KKS3" s="120"/>
      <c r="KKT3" s="120"/>
      <c r="KKU3" s="120"/>
      <c r="KKV3" s="120"/>
      <c r="KKW3" s="120"/>
      <c r="KKX3" s="120"/>
      <c r="KKY3" s="120"/>
      <c r="KKZ3" s="120"/>
      <c r="KLA3" s="120"/>
      <c r="KLB3" s="120"/>
      <c r="KLC3" s="120"/>
      <c r="KLD3" s="120"/>
      <c r="KLE3" s="120"/>
      <c r="KLF3" s="120"/>
      <c r="KLG3" s="120"/>
      <c r="KLH3" s="120"/>
      <c r="KLI3" s="120"/>
      <c r="KLJ3" s="120"/>
      <c r="KLK3" s="120"/>
      <c r="KLL3" s="120"/>
      <c r="KLM3" s="120"/>
      <c r="KLN3" s="120"/>
      <c r="KLO3" s="120"/>
      <c r="KLP3" s="120"/>
      <c r="KLQ3" s="120"/>
      <c r="KLR3" s="120"/>
      <c r="KLS3" s="120"/>
      <c r="KLT3" s="120"/>
      <c r="KLU3" s="120"/>
      <c r="KLV3" s="120"/>
      <c r="KLW3" s="120"/>
      <c r="KLX3" s="120"/>
      <c r="KLY3" s="120"/>
      <c r="KLZ3" s="120"/>
      <c r="KMA3" s="120"/>
      <c r="KMB3" s="120"/>
      <c r="KMC3" s="120"/>
      <c r="KMD3" s="120"/>
      <c r="KME3" s="120"/>
      <c r="KMF3" s="120"/>
      <c r="KMG3" s="120"/>
      <c r="KMH3" s="120"/>
      <c r="KMI3" s="120"/>
      <c r="KMJ3" s="120"/>
      <c r="KMK3" s="120"/>
      <c r="KML3" s="120"/>
      <c r="KMM3" s="120"/>
      <c r="KMN3" s="120"/>
      <c r="KMO3" s="120"/>
      <c r="KMP3" s="120"/>
      <c r="KMQ3" s="120"/>
      <c r="KMR3" s="120"/>
      <c r="KMS3" s="120"/>
      <c r="KMT3" s="120"/>
      <c r="KMU3" s="120"/>
      <c r="KMV3" s="120"/>
      <c r="KMW3" s="120"/>
      <c r="KMX3" s="120"/>
      <c r="KMY3" s="120"/>
      <c r="KMZ3" s="120"/>
      <c r="KNA3" s="120"/>
      <c r="KNB3" s="120"/>
      <c r="KNC3" s="120"/>
      <c r="KND3" s="120"/>
      <c r="KNE3" s="120"/>
      <c r="KNF3" s="120"/>
      <c r="KNG3" s="120"/>
      <c r="KNH3" s="120"/>
      <c r="KNI3" s="120"/>
      <c r="KNJ3" s="120"/>
      <c r="KNK3" s="120"/>
      <c r="KNL3" s="120"/>
      <c r="KNM3" s="120"/>
      <c r="KNN3" s="120"/>
      <c r="KNO3" s="120"/>
      <c r="KNP3" s="120"/>
      <c r="KNQ3" s="120"/>
      <c r="KNR3" s="120"/>
      <c r="KNS3" s="120"/>
      <c r="KNT3" s="120"/>
      <c r="KNU3" s="120"/>
      <c r="KNV3" s="120"/>
      <c r="KNW3" s="120"/>
      <c r="KNX3" s="120"/>
      <c r="KNY3" s="120"/>
      <c r="KNZ3" s="120"/>
      <c r="KOA3" s="120"/>
      <c r="KOB3" s="120"/>
      <c r="KOC3" s="120"/>
      <c r="KOD3" s="120"/>
      <c r="KOE3" s="120"/>
      <c r="KOF3" s="120"/>
      <c r="KOG3" s="120"/>
      <c r="KOH3" s="120"/>
      <c r="KOI3" s="120"/>
      <c r="KOJ3" s="120"/>
      <c r="KOK3" s="120"/>
      <c r="KOL3" s="120"/>
      <c r="KOM3" s="120"/>
      <c r="KON3" s="120"/>
      <c r="KOO3" s="120"/>
      <c r="KOP3" s="120"/>
      <c r="KOQ3" s="120"/>
      <c r="KOR3" s="120"/>
      <c r="KOS3" s="120"/>
      <c r="KOT3" s="120"/>
      <c r="KOU3" s="120"/>
      <c r="KOV3" s="120"/>
      <c r="KOW3" s="120"/>
      <c r="KOX3" s="120"/>
      <c r="KOY3" s="120"/>
      <c r="KOZ3" s="120"/>
      <c r="KPA3" s="120"/>
      <c r="KPB3" s="120"/>
      <c r="KPC3" s="120"/>
      <c r="KPD3" s="120"/>
      <c r="KPE3" s="120"/>
      <c r="KPF3" s="120"/>
      <c r="KPG3" s="120"/>
      <c r="KPH3" s="120"/>
      <c r="KPI3" s="120"/>
      <c r="KPJ3" s="120"/>
      <c r="KPK3" s="120"/>
      <c r="KPL3" s="120"/>
      <c r="KPM3" s="120"/>
      <c r="KPN3" s="120"/>
      <c r="KPO3" s="120"/>
      <c r="KPP3" s="120"/>
      <c r="KPQ3" s="120"/>
      <c r="KPR3" s="120"/>
      <c r="KPS3" s="120"/>
      <c r="KPT3" s="120"/>
      <c r="KPU3" s="120"/>
      <c r="KPV3" s="120"/>
      <c r="KPW3" s="120"/>
      <c r="KPX3" s="120"/>
      <c r="KPY3" s="120"/>
      <c r="KPZ3" s="120"/>
      <c r="KQA3" s="120"/>
      <c r="KQB3" s="120"/>
      <c r="KQC3" s="120"/>
      <c r="KQD3" s="120"/>
      <c r="KQE3" s="120"/>
      <c r="KQF3" s="120"/>
      <c r="KQG3" s="120"/>
      <c r="KQH3" s="120"/>
      <c r="KQI3" s="120"/>
      <c r="KQJ3" s="120"/>
      <c r="KQK3" s="120"/>
      <c r="KQL3" s="120"/>
      <c r="KQM3" s="120"/>
      <c r="KQN3" s="120"/>
      <c r="KQO3" s="120"/>
      <c r="KQP3" s="120"/>
      <c r="KQQ3" s="120"/>
      <c r="KQR3" s="120"/>
      <c r="KQS3" s="120"/>
      <c r="KQT3" s="120"/>
      <c r="KQU3" s="120"/>
      <c r="KQV3" s="120"/>
      <c r="KQW3" s="120"/>
      <c r="KQX3" s="120"/>
      <c r="KQY3" s="120"/>
      <c r="KQZ3" s="120"/>
      <c r="KRA3" s="120"/>
      <c r="KRB3" s="120"/>
      <c r="KRC3" s="120"/>
      <c r="KRD3" s="120"/>
      <c r="KRE3" s="120"/>
      <c r="KRF3" s="120"/>
      <c r="KRG3" s="120"/>
      <c r="KRH3" s="120"/>
      <c r="KRI3" s="120"/>
      <c r="KRJ3" s="120"/>
      <c r="KRK3" s="120"/>
      <c r="KRL3" s="120"/>
      <c r="KRM3" s="120"/>
      <c r="KRN3" s="120"/>
      <c r="KRO3" s="120"/>
      <c r="KRP3" s="120"/>
      <c r="KRQ3" s="120"/>
      <c r="KRR3" s="120"/>
      <c r="KRS3" s="120"/>
      <c r="KRT3" s="120"/>
      <c r="KRU3" s="120"/>
      <c r="KRV3" s="120"/>
      <c r="KRW3" s="120"/>
      <c r="KRX3" s="120"/>
      <c r="KRY3" s="120"/>
      <c r="KRZ3" s="120"/>
      <c r="KSA3" s="120"/>
      <c r="KSB3" s="120"/>
      <c r="KSC3" s="120"/>
      <c r="KSD3" s="120"/>
      <c r="KSE3" s="120"/>
      <c r="KSF3" s="120"/>
      <c r="KSG3" s="120"/>
      <c r="KSH3" s="120"/>
      <c r="KSI3" s="120"/>
      <c r="KSJ3" s="120"/>
      <c r="KSK3" s="120"/>
      <c r="KSL3" s="120"/>
      <c r="KSM3" s="120"/>
      <c r="KSN3" s="120"/>
      <c r="KSO3" s="120"/>
      <c r="KSP3" s="120"/>
      <c r="KSQ3" s="120"/>
      <c r="KSR3" s="120"/>
      <c r="KSS3" s="120"/>
      <c r="KST3" s="120"/>
      <c r="KSU3" s="120"/>
      <c r="KSV3" s="120"/>
      <c r="KSW3" s="120"/>
      <c r="KSX3" s="120"/>
      <c r="KSY3" s="120"/>
      <c r="KSZ3" s="120"/>
      <c r="KTA3" s="120"/>
      <c r="KTB3" s="120"/>
      <c r="KTC3" s="120"/>
      <c r="KTD3" s="120"/>
      <c r="KTE3" s="120"/>
      <c r="KTF3" s="120"/>
      <c r="KTG3" s="120"/>
      <c r="KTH3" s="120"/>
      <c r="KTI3" s="120"/>
      <c r="KTJ3" s="120"/>
      <c r="KTK3" s="120"/>
      <c r="KTL3" s="120"/>
      <c r="KTM3" s="120"/>
      <c r="KTN3" s="120"/>
      <c r="KTO3" s="120"/>
      <c r="KTP3" s="120"/>
      <c r="KTQ3" s="120"/>
      <c r="KTR3" s="120"/>
      <c r="KTS3" s="120"/>
      <c r="KTT3" s="120"/>
      <c r="KTU3" s="120"/>
      <c r="KTV3" s="120"/>
      <c r="KTW3" s="120"/>
      <c r="KTX3" s="120"/>
      <c r="KTY3" s="120"/>
      <c r="KTZ3" s="120"/>
      <c r="KUA3" s="120"/>
      <c r="KUB3" s="120"/>
      <c r="KUC3" s="120"/>
      <c r="KUD3" s="120"/>
      <c r="KUE3" s="120"/>
      <c r="KUF3" s="120"/>
      <c r="KUG3" s="120"/>
      <c r="KUH3" s="120"/>
      <c r="KUI3" s="120"/>
      <c r="KUJ3" s="120"/>
      <c r="KUK3" s="120"/>
      <c r="KUL3" s="120"/>
      <c r="KUM3" s="120"/>
      <c r="KUN3" s="120"/>
      <c r="KUO3" s="120"/>
      <c r="KUP3" s="120"/>
      <c r="KUQ3" s="120"/>
      <c r="KUR3" s="120"/>
      <c r="KUS3" s="120"/>
      <c r="KUT3" s="120"/>
      <c r="KUU3" s="120"/>
      <c r="KUV3" s="120"/>
      <c r="KUW3" s="120"/>
      <c r="KUX3" s="120"/>
      <c r="KUY3" s="120"/>
      <c r="KUZ3" s="120"/>
      <c r="KVA3" s="120"/>
      <c r="KVB3" s="120"/>
      <c r="KVC3" s="120"/>
      <c r="KVD3" s="120"/>
      <c r="KVE3" s="120"/>
      <c r="KVF3" s="120"/>
      <c r="KVG3" s="120"/>
      <c r="KVH3" s="120"/>
      <c r="KVI3" s="120"/>
      <c r="KVJ3" s="120"/>
      <c r="KVK3" s="120"/>
      <c r="KVL3" s="120"/>
      <c r="KVM3" s="120"/>
      <c r="KVN3" s="120"/>
      <c r="KVO3" s="120"/>
      <c r="KVP3" s="120"/>
      <c r="KVQ3" s="120"/>
      <c r="KVR3" s="120"/>
      <c r="KVS3" s="120"/>
      <c r="KVT3" s="120"/>
      <c r="KVU3" s="120"/>
      <c r="KVV3" s="120"/>
      <c r="KVW3" s="120"/>
      <c r="KVX3" s="120"/>
      <c r="KVY3" s="120"/>
      <c r="KVZ3" s="120"/>
      <c r="KWA3" s="120"/>
      <c r="KWB3" s="120"/>
      <c r="KWC3" s="120"/>
      <c r="KWD3" s="120"/>
      <c r="KWE3" s="120"/>
      <c r="KWF3" s="120"/>
      <c r="KWG3" s="120"/>
      <c r="KWH3" s="120"/>
      <c r="KWI3" s="120"/>
      <c r="KWJ3" s="120"/>
      <c r="KWK3" s="120"/>
      <c r="KWL3" s="120"/>
      <c r="KWM3" s="120"/>
      <c r="KWN3" s="120"/>
      <c r="KWO3" s="120"/>
      <c r="KWP3" s="120"/>
      <c r="KWQ3" s="120"/>
      <c r="KWR3" s="120"/>
      <c r="KWS3" s="120"/>
      <c r="KWT3" s="120"/>
      <c r="KWU3" s="120"/>
      <c r="KWV3" s="120"/>
      <c r="KWW3" s="120"/>
      <c r="KWX3" s="120"/>
      <c r="KWY3" s="120"/>
      <c r="KWZ3" s="120"/>
      <c r="KXA3" s="120"/>
      <c r="KXB3" s="120"/>
      <c r="KXC3" s="120"/>
      <c r="KXD3" s="120"/>
      <c r="KXE3" s="120"/>
      <c r="KXF3" s="120"/>
      <c r="KXG3" s="120"/>
      <c r="KXH3" s="120"/>
      <c r="KXI3" s="120"/>
      <c r="KXJ3" s="120"/>
      <c r="KXK3" s="120"/>
      <c r="KXL3" s="120"/>
      <c r="KXM3" s="120"/>
      <c r="KXN3" s="120"/>
      <c r="KXO3" s="120"/>
      <c r="KXP3" s="120"/>
      <c r="KXQ3" s="120"/>
      <c r="KXR3" s="120"/>
      <c r="KXS3" s="120"/>
      <c r="KXT3" s="120"/>
      <c r="KXU3" s="120"/>
      <c r="KXV3" s="120"/>
      <c r="KXW3" s="120"/>
      <c r="KXX3" s="120"/>
      <c r="KXY3" s="120"/>
      <c r="KXZ3" s="120"/>
      <c r="KYA3" s="120"/>
      <c r="KYB3" s="120"/>
      <c r="KYC3" s="120"/>
      <c r="KYD3" s="120"/>
      <c r="KYE3" s="120"/>
      <c r="KYF3" s="120"/>
      <c r="KYG3" s="120"/>
      <c r="KYH3" s="120"/>
      <c r="KYI3" s="120"/>
      <c r="KYJ3" s="120"/>
      <c r="KYK3" s="120"/>
      <c r="KYL3" s="120"/>
      <c r="KYM3" s="120"/>
      <c r="KYN3" s="120"/>
      <c r="KYO3" s="120"/>
      <c r="KYP3" s="120"/>
      <c r="KYQ3" s="120"/>
      <c r="KYR3" s="120"/>
      <c r="KYS3" s="120"/>
      <c r="KYT3" s="120"/>
      <c r="KYU3" s="120"/>
      <c r="KYV3" s="120"/>
      <c r="KYW3" s="120"/>
      <c r="KYX3" s="120"/>
      <c r="KYY3" s="120"/>
      <c r="KYZ3" s="120"/>
      <c r="KZA3" s="120"/>
      <c r="KZB3" s="120"/>
      <c r="KZC3" s="120"/>
      <c r="KZD3" s="120"/>
      <c r="KZE3" s="120"/>
      <c r="KZF3" s="120"/>
      <c r="KZG3" s="120"/>
      <c r="KZH3" s="120"/>
      <c r="KZI3" s="120"/>
      <c r="KZJ3" s="120"/>
      <c r="KZK3" s="120"/>
      <c r="KZL3" s="120"/>
      <c r="KZM3" s="120"/>
      <c r="KZN3" s="120"/>
      <c r="KZO3" s="120"/>
      <c r="KZP3" s="120"/>
      <c r="KZQ3" s="120"/>
      <c r="KZR3" s="120"/>
      <c r="KZS3" s="120"/>
      <c r="KZT3" s="120"/>
      <c r="KZU3" s="120"/>
      <c r="KZV3" s="120"/>
      <c r="KZW3" s="120"/>
      <c r="KZX3" s="120"/>
      <c r="KZY3" s="120"/>
      <c r="KZZ3" s="120"/>
      <c r="LAA3" s="120"/>
      <c r="LAB3" s="120"/>
      <c r="LAC3" s="120"/>
      <c r="LAD3" s="120"/>
      <c r="LAE3" s="120"/>
      <c r="LAF3" s="120"/>
      <c r="LAG3" s="120"/>
      <c r="LAH3" s="120"/>
      <c r="LAI3" s="120"/>
      <c r="LAJ3" s="120"/>
      <c r="LAK3" s="120"/>
      <c r="LAL3" s="120"/>
      <c r="LAM3" s="120"/>
      <c r="LAN3" s="120"/>
      <c r="LAO3" s="120"/>
      <c r="LAP3" s="120"/>
      <c r="LAQ3" s="120"/>
      <c r="LAR3" s="120"/>
      <c r="LAS3" s="120"/>
      <c r="LAT3" s="120"/>
      <c r="LAU3" s="120"/>
      <c r="LAV3" s="120"/>
      <c r="LAW3" s="120"/>
      <c r="LAX3" s="120"/>
      <c r="LAY3" s="120"/>
      <c r="LAZ3" s="120"/>
      <c r="LBA3" s="120"/>
      <c r="LBB3" s="120"/>
      <c r="LBC3" s="120"/>
      <c r="LBD3" s="120"/>
      <c r="LBE3" s="120"/>
      <c r="LBF3" s="120"/>
      <c r="LBG3" s="120"/>
      <c r="LBH3" s="120"/>
      <c r="LBI3" s="120"/>
      <c r="LBJ3" s="120"/>
      <c r="LBK3" s="120"/>
      <c r="LBL3" s="120"/>
      <c r="LBM3" s="120"/>
      <c r="LBN3" s="120"/>
      <c r="LBO3" s="120"/>
      <c r="LBP3" s="120"/>
      <c r="LBQ3" s="120"/>
      <c r="LBR3" s="120"/>
      <c r="LBS3" s="120"/>
      <c r="LBT3" s="120"/>
      <c r="LBU3" s="120"/>
      <c r="LBV3" s="120"/>
      <c r="LBW3" s="120"/>
      <c r="LBX3" s="120"/>
      <c r="LBY3" s="120"/>
      <c r="LBZ3" s="120"/>
      <c r="LCA3" s="120"/>
      <c r="LCB3" s="120"/>
      <c r="LCC3" s="120"/>
      <c r="LCD3" s="120"/>
      <c r="LCE3" s="120"/>
      <c r="LCF3" s="120"/>
      <c r="LCG3" s="120"/>
      <c r="LCH3" s="120"/>
      <c r="LCI3" s="120"/>
      <c r="LCJ3" s="120"/>
      <c r="LCK3" s="120"/>
      <c r="LCL3" s="120"/>
      <c r="LCM3" s="120"/>
      <c r="LCN3" s="120"/>
      <c r="LCO3" s="120"/>
      <c r="LCP3" s="120"/>
      <c r="LCQ3" s="120"/>
      <c r="LCR3" s="120"/>
      <c r="LCS3" s="120"/>
      <c r="LCT3" s="120"/>
      <c r="LCU3" s="120"/>
      <c r="LCV3" s="120"/>
      <c r="LCW3" s="120"/>
      <c r="LCX3" s="120"/>
      <c r="LCY3" s="120"/>
      <c r="LCZ3" s="120"/>
      <c r="LDA3" s="120"/>
      <c r="LDB3" s="120"/>
      <c r="LDC3" s="120"/>
      <c r="LDD3" s="120"/>
      <c r="LDE3" s="120"/>
      <c r="LDF3" s="120"/>
      <c r="LDG3" s="120"/>
      <c r="LDH3" s="120"/>
      <c r="LDI3" s="120"/>
      <c r="LDJ3" s="120"/>
      <c r="LDK3" s="120"/>
      <c r="LDL3" s="120"/>
      <c r="LDM3" s="120"/>
      <c r="LDN3" s="120"/>
      <c r="LDO3" s="120"/>
      <c r="LDP3" s="120"/>
      <c r="LDQ3" s="120"/>
      <c r="LDR3" s="120"/>
      <c r="LDS3" s="120"/>
      <c r="LDT3" s="120"/>
      <c r="LDU3" s="120"/>
      <c r="LDV3" s="120"/>
      <c r="LDW3" s="120"/>
      <c r="LDX3" s="120"/>
      <c r="LDY3" s="120"/>
      <c r="LDZ3" s="120"/>
      <c r="LEA3" s="120"/>
      <c r="LEB3" s="120"/>
      <c r="LEC3" s="120"/>
      <c r="LED3" s="120"/>
      <c r="LEE3" s="120"/>
      <c r="LEF3" s="120"/>
      <c r="LEG3" s="120"/>
      <c r="LEH3" s="120"/>
      <c r="LEI3" s="120"/>
      <c r="LEJ3" s="120"/>
      <c r="LEK3" s="120"/>
      <c r="LEL3" s="120"/>
      <c r="LEM3" s="120"/>
      <c r="LEN3" s="120"/>
      <c r="LEO3" s="120"/>
      <c r="LEP3" s="120"/>
      <c r="LEQ3" s="120"/>
      <c r="LER3" s="120"/>
      <c r="LES3" s="120"/>
      <c r="LET3" s="120"/>
      <c r="LEU3" s="120"/>
      <c r="LEV3" s="120"/>
      <c r="LEW3" s="120"/>
      <c r="LEX3" s="120"/>
      <c r="LEY3" s="120"/>
      <c r="LEZ3" s="120"/>
      <c r="LFA3" s="120"/>
      <c r="LFB3" s="120"/>
      <c r="LFC3" s="120"/>
      <c r="LFD3" s="120"/>
      <c r="LFE3" s="120"/>
      <c r="LFF3" s="120"/>
      <c r="LFG3" s="120"/>
      <c r="LFH3" s="120"/>
      <c r="LFI3" s="120"/>
      <c r="LFJ3" s="120"/>
      <c r="LFK3" s="120"/>
      <c r="LFL3" s="120"/>
      <c r="LFM3" s="120"/>
      <c r="LFN3" s="120"/>
      <c r="LFO3" s="120"/>
      <c r="LFP3" s="120"/>
      <c r="LFQ3" s="120"/>
      <c r="LFR3" s="120"/>
      <c r="LFS3" s="120"/>
      <c r="LFT3" s="120"/>
      <c r="LFU3" s="120"/>
      <c r="LFV3" s="120"/>
      <c r="LFW3" s="120"/>
      <c r="LFX3" s="120"/>
      <c r="LFY3" s="120"/>
      <c r="LFZ3" s="120"/>
      <c r="LGA3" s="120"/>
      <c r="LGB3" s="120"/>
      <c r="LGC3" s="120"/>
      <c r="LGD3" s="120"/>
      <c r="LGE3" s="120"/>
      <c r="LGF3" s="120"/>
      <c r="LGG3" s="120"/>
      <c r="LGH3" s="120"/>
      <c r="LGI3" s="120"/>
      <c r="LGJ3" s="120"/>
      <c r="LGK3" s="120"/>
      <c r="LGL3" s="120"/>
      <c r="LGM3" s="120"/>
      <c r="LGN3" s="120"/>
      <c r="LGO3" s="120"/>
      <c r="LGP3" s="120"/>
      <c r="LGQ3" s="120"/>
      <c r="LGR3" s="120"/>
      <c r="LGS3" s="120"/>
      <c r="LGT3" s="120"/>
      <c r="LGU3" s="120"/>
      <c r="LGV3" s="120"/>
      <c r="LGW3" s="120"/>
      <c r="LGX3" s="120"/>
      <c r="LGY3" s="120"/>
      <c r="LGZ3" s="120"/>
      <c r="LHA3" s="120"/>
      <c r="LHB3" s="120"/>
      <c r="LHC3" s="120"/>
      <c r="LHD3" s="120"/>
      <c r="LHE3" s="120"/>
      <c r="LHF3" s="120"/>
      <c r="LHG3" s="120"/>
      <c r="LHH3" s="120"/>
      <c r="LHI3" s="120"/>
      <c r="LHJ3" s="120"/>
      <c r="LHK3" s="120"/>
      <c r="LHL3" s="120"/>
      <c r="LHM3" s="120"/>
      <c r="LHN3" s="120"/>
      <c r="LHO3" s="120"/>
      <c r="LHP3" s="120"/>
      <c r="LHQ3" s="120"/>
      <c r="LHR3" s="120"/>
      <c r="LHS3" s="120"/>
      <c r="LHT3" s="120"/>
      <c r="LHU3" s="120"/>
      <c r="LHV3" s="120"/>
      <c r="LHW3" s="120"/>
      <c r="LHX3" s="120"/>
      <c r="LHY3" s="120"/>
      <c r="LHZ3" s="120"/>
      <c r="LIA3" s="120"/>
      <c r="LIB3" s="120"/>
      <c r="LIC3" s="120"/>
      <c r="LID3" s="120"/>
      <c r="LIE3" s="120"/>
      <c r="LIF3" s="120"/>
      <c r="LIG3" s="120"/>
      <c r="LIH3" s="120"/>
      <c r="LII3" s="120"/>
      <c r="LIJ3" s="120"/>
      <c r="LIK3" s="120"/>
      <c r="LIL3" s="120"/>
      <c r="LIM3" s="120"/>
      <c r="LIN3" s="120"/>
      <c r="LIO3" s="120"/>
      <c r="LIP3" s="120"/>
      <c r="LIQ3" s="120"/>
      <c r="LIR3" s="120"/>
      <c r="LIS3" s="120"/>
      <c r="LIT3" s="120"/>
      <c r="LIU3" s="120"/>
      <c r="LIV3" s="120"/>
      <c r="LIW3" s="120"/>
      <c r="LIX3" s="120"/>
      <c r="LIY3" s="120"/>
      <c r="LIZ3" s="120"/>
      <c r="LJA3" s="120"/>
      <c r="LJB3" s="120"/>
      <c r="LJC3" s="120"/>
      <c r="LJD3" s="120"/>
      <c r="LJE3" s="120"/>
      <c r="LJF3" s="120"/>
      <c r="LJG3" s="120"/>
      <c r="LJH3" s="120"/>
      <c r="LJI3" s="120"/>
      <c r="LJJ3" s="120"/>
      <c r="LJK3" s="120"/>
      <c r="LJL3" s="120"/>
      <c r="LJM3" s="120"/>
      <c r="LJN3" s="120"/>
      <c r="LJO3" s="120"/>
      <c r="LJP3" s="120"/>
      <c r="LJQ3" s="120"/>
      <c r="LJR3" s="120"/>
      <c r="LJS3" s="120"/>
      <c r="LJT3" s="120"/>
      <c r="LJU3" s="120"/>
      <c r="LJV3" s="120"/>
      <c r="LJW3" s="120"/>
      <c r="LJX3" s="120"/>
      <c r="LJY3" s="120"/>
      <c r="LJZ3" s="120"/>
      <c r="LKA3" s="120"/>
      <c r="LKB3" s="120"/>
      <c r="LKC3" s="120"/>
      <c r="LKD3" s="120"/>
      <c r="LKE3" s="120"/>
      <c r="LKF3" s="120"/>
      <c r="LKG3" s="120"/>
      <c r="LKH3" s="120"/>
      <c r="LKI3" s="120"/>
      <c r="LKJ3" s="120"/>
      <c r="LKK3" s="120"/>
      <c r="LKL3" s="120"/>
      <c r="LKM3" s="120"/>
      <c r="LKN3" s="120"/>
      <c r="LKO3" s="120"/>
      <c r="LKP3" s="120"/>
      <c r="LKQ3" s="120"/>
      <c r="LKR3" s="120"/>
      <c r="LKS3" s="120"/>
      <c r="LKT3" s="120"/>
      <c r="LKU3" s="120"/>
      <c r="LKV3" s="120"/>
      <c r="LKW3" s="120"/>
      <c r="LKX3" s="120"/>
      <c r="LKY3" s="120"/>
      <c r="LKZ3" s="120"/>
      <c r="LLA3" s="120"/>
      <c r="LLB3" s="120"/>
      <c r="LLC3" s="120"/>
      <c r="LLD3" s="120"/>
      <c r="LLE3" s="120"/>
      <c r="LLF3" s="120"/>
      <c r="LLG3" s="120"/>
      <c r="LLH3" s="120"/>
      <c r="LLI3" s="120"/>
      <c r="LLJ3" s="120"/>
      <c r="LLK3" s="120"/>
      <c r="LLL3" s="120"/>
      <c r="LLM3" s="120"/>
      <c r="LLN3" s="120"/>
      <c r="LLO3" s="120"/>
      <c r="LLP3" s="120"/>
      <c r="LLQ3" s="120"/>
      <c r="LLR3" s="120"/>
      <c r="LLS3" s="120"/>
      <c r="LLT3" s="120"/>
      <c r="LLU3" s="120"/>
      <c r="LLV3" s="120"/>
      <c r="LLW3" s="120"/>
      <c r="LLX3" s="120"/>
      <c r="LLY3" s="120"/>
      <c r="LLZ3" s="120"/>
      <c r="LMA3" s="120"/>
      <c r="LMB3" s="120"/>
      <c r="LMC3" s="120"/>
      <c r="LMD3" s="120"/>
      <c r="LME3" s="120"/>
      <c r="LMF3" s="120"/>
      <c r="LMG3" s="120"/>
      <c r="LMH3" s="120"/>
      <c r="LMI3" s="120"/>
      <c r="LMJ3" s="120"/>
      <c r="LMK3" s="120"/>
      <c r="LML3" s="120"/>
      <c r="LMM3" s="120"/>
      <c r="LMN3" s="120"/>
      <c r="LMO3" s="120"/>
      <c r="LMP3" s="120"/>
      <c r="LMQ3" s="120"/>
      <c r="LMR3" s="120"/>
      <c r="LMS3" s="120"/>
      <c r="LMT3" s="120"/>
      <c r="LMU3" s="120"/>
      <c r="LMV3" s="120"/>
      <c r="LMW3" s="120"/>
      <c r="LMX3" s="120"/>
      <c r="LMY3" s="120"/>
      <c r="LMZ3" s="120"/>
      <c r="LNA3" s="120"/>
      <c r="LNB3" s="120"/>
      <c r="LNC3" s="120"/>
      <c r="LND3" s="120"/>
      <c r="LNE3" s="120"/>
      <c r="LNF3" s="120"/>
      <c r="LNG3" s="120"/>
      <c r="LNH3" s="120"/>
      <c r="LNI3" s="120"/>
      <c r="LNJ3" s="120"/>
      <c r="LNK3" s="120"/>
      <c r="LNL3" s="120"/>
      <c r="LNM3" s="120"/>
      <c r="LNN3" s="120"/>
      <c r="LNO3" s="120"/>
      <c r="LNP3" s="120"/>
      <c r="LNQ3" s="120"/>
      <c r="LNR3" s="120"/>
      <c r="LNS3" s="120"/>
      <c r="LNT3" s="120"/>
      <c r="LNU3" s="120"/>
      <c r="LNV3" s="120"/>
      <c r="LNW3" s="120"/>
      <c r="LNX3" s="120"/>
      <c r="LNY3" s="120"/>
      <c r="LNZ3" s="120"/>
      <c r="LOA3" s="120"/>
      <c r="LOB3" s="120"/>
      <c r="LOC3" s="120"/>
      <c r="LOD3" s="120"/>
      <c r="LOE3" s="120"/>
      <c r="LOF3" s="120"/>
      <c r="LOG3" s="120"/>
      <c r="LOH3" s="120"/>
      <c r="LOI3" s="120"/>
      <c r="LOJ3" s="120"/>
      <c r="LOK3" s="120"/>
      <c r="LOL3" s="120"/>
      <c r="LOM3" s="120"/>
      <c r="LON3" s="120"/>
      <c r="LOO3" s="120"/>
      <c r="LOP3" s="120"/>
      <c r="LOQ3" s="120"/>
      <c r="LOR3" s="120"/>
      <c r="LOS3" s="120"/>
      <c r="LOT3" s="120"/>
      <c r="LOU3" s="120"/>
      <c r="LOV3" s="120"/>
      <c r="LOW3" s="120"/>
      <c r="LOX3" s="120"/>
      <c r="LOY3" s="120"/>
      <c r="LOZ3" s="120"/>
      <c r="LPA3" s="120"/>
      <c r="LPB3" s="120"/>
      <c r="LPC3" s="120"/>
      <c r="LPD3" s="120"/>
      <c r="LPE3" s="120"/>
      <c r="LPF3" s="120"/>
      <c r="LPG3" s="120"/>
      <c r="LPH3" s="120"/>
      <c r="LPI3" s="120"/>
      <c r="LPJ3" s="120"/>
      <c r="LPK3" s="120"/>
      <c r="LPL3" s="120"/>
      <c r="LPM3" s="120"/>
      <c r="LPN3" s="120"/>
      <c r="LPO3" s="120"/>
      <c r="LPP3" s="120"/>
      <c r="LPQ3" s="120"/>
      <c r="LPR3" s="120"/>
      <c r="LPS3" s="120"/>
      <c r="LPT3" s="120"/>
      <c r="LPU3" s="120"/>
      <c r="LPV3" s="120"/>
      <c r="LPW3" s="120"/>
      <c r="LPX3" s="120"/>
      <c r="LPY3" s="120"/>
      <c r="LPZ3" s="120"/>
      <c r="LQA3" s="120"/>
      <c r="LQB3" s="120"/>
      <c r="LQC3" s="120"/>
      <c r="LQD3" s="120"/>
      <c r="LQE3" s="120"/>
      <c r="LQF3" s="120"/>
      <c r="LQG3" s="120"/>
      <c r="LQH3" s="120"/>
      <c r="LQI3" s="120"/>
      <c r="LQJ3" s="120"/>
      <c r="LQK3" s="120"/>
      <c r="LQL3" s="120"/>
      <c r="LQM3" s="120"/>
      <c r="LQN3" s="120"/>
      <c r="LQO3" s="120"/>
      <c r="LQP3" s="120"/>
      <c r="LQQ3" s="120"/>
      <c r="LQR3" s="120"/>
      <c r="LQS3" s="120"/>
      <c r="LQT3" s="120"/>
      <c r="LQU3" s="120"/>
      <c r="LQV3" s="120"/>
      <c r="LQW3" s="120"/>
      <c r="LQX3" s="120"/>
      <c r="LQY3" s="120"/>
      <c r="LQZ3" s="120"/>
      <c r="LRA3" s="120"/>
      <c r="LRB3" s="120"/>
      <c r="LRC3" s="120"/>
      <c r="LRD3" s="120"/>
      <c r="LRE3" s="120"/>
      <c r="LRF3" s="120"/>
      <c r="LRG3" s="120"/>
      <c r="LRH3" s="120"/>
      <c r="LRI3" s="120"/>
      <c r="LRJ3" s="120"/>
      <c r="LRK3" s="120"/>
      <c r="LRL3" s="120"/>
      <c r="LRM3" s="120"/>
      <c r="LRN3" s="120"/>
      <c r="LRO3" s="120"/>
      <c r="LRP3" s="120"/>
      <c r="LRQ3" s="120"/>
      <c r="LRR3" s="120"/>
      <c r="LRS3" s="120"/>
      <c r="LRT3" s="120"/>
      <c r="LRU3" s="120"/>
      <c r="LRV3" s="120"/>
      <c r="LRW3" s="120"/>
      <c r="LRX3" s="120"/>
      <c r="LRY3" s="120"/>
      <c r="LRZ3" s="120"/>
      <c r="LSA3" s="120"/>
      <c r="LSB3" s="120"/>
      <c r="LSC3" s="120"/>
      <c r="LSD3" s="120"/>
      <c r="LSE3" s="120"/>
      <c r="LSF3" s="120"/>
      <c r="LSG3" s="120"/>
      <c r="LSH3" s="120"/>
      <c r="LSI3" s="120"/>
      <c r="LSJ3" s="120"/>
      <c r="LSK3" s="120"/>
      <c r="LSL3" s="120"/>
      <c r="LSM3" s="120"/>
      <c r="LSN3" s="120"/>
      <c r="LSO3" s="120"/>
      <c r="LSP3" s="120"/>
      <c r="LSQ3" s="120"/>
      <c r="LSR3" s="120"/>
      <c r="LSS3" s="120"/>
      <c r="LST3" s="120"/>
      <c r="LSU3" s="120"/>
      <c r="LSV3" s="120"/>
      <c r="LSW3" s="120"/>
      <c r="LSX3" s="120"/>
      <c r="LSY3" s="120"/>
      <c r="LSZ3" s="120"/>
      <c r="LTA3" s="120"/>
      <c r="LTB3" s="120"/>
      <c r="LTC3" s="120"/>
      <c r="LTD3" s="120"/>
      <c r="LTE3" s="120"/>
      <c r="LTF3" s="120"/>
      <c r="LTG3" s="120"/>
      <c r="LTH3" s="120"/>
      <c r="LTI3" s="120"/>
      <c r="LTJ3" s="120"/>
      <c r="LTK3" s="120"/>
      <c r="LTL3" s="120"/>
      <c r="LTM3" s="120"/>
      <c r="LTN3" s="120"/>
      <c r="LTO3" s="120"/>
      <c r="LTP3" s="120"/>
      <c r="LTQ3" s="120"/>
      <c r="LTR3" s="120"/>
      <c r="LTS3" s="120"/>
      <c r="LTT3" s="120"/>
      <c r="LTU3" s="120"/>
      <c r="LTV3" s="120"/>
      <c r="LTW3" s="120"/>
      <c r="LTX3" s="120"/>
      <c r="LTY3" s="120"/>
      <c r="LTZ3" s="120"/>
      <c r="LUA3" s="120"/>
      <c r="LUB3" s="120"/>
      <c r="LUC3" s="120"/>
      <c r="LUD3" s="120"/>
      <c r="LUE3" s="120"/>
      <c r="LUF3" s="120"/>
      <c r="LUG3" s="120"/>
      <c r="LUH3" s="120"/>
      <c r="LUI3" s="120"/>
      <c r="LUJ3" s="120"/>
      <c r="LUK3" s="120"/>
      <c r="LUL3" s="120"/>
      <c r="LUM3" s="120"/>
      <c r="LUN3" s="120"/>
      <c r="LUO3" s="120"/>
      <c r="LUP3" s="120"/>
      <c r="LUQ3" s="120"/>
      <c r="LUR3" s="120"/>
      <c r="LUS3" s="120"/>
      <c r="LUT3" s="120"/>
      <c r="LUU3" s="120"/>
      <c r="LUV3" s="120"/>
      <c r="LUW3" s="120"/>
      <c r="LUX3" s="120"/>
      <c r="LUY3" s="120"/>
      <c r="LUZ3" s="120"/>
      <c r="LVA3" s="120"/>
      <c r="LVB3" s="120"/>
      <c r="LVC3" s="120"/>
      <c r="LVD3" s="120"/>
      <c r="LVE3" s="120"/>
      <c r="LVF3" s="120"/>
      <c r="LVG3" s="120"/>
      <c r="LVH3" s="120"/>
      <c r="LVI3" s="120"/>
      <c r="LVJ3" s="120"/>
      <c r="LVK3" s="120"/>
      <c r="LVL3" s="120"/>
      <c r="LVM3" s="120"/>
      <c r="LVN3" s="120"/>
      <c r="LVO3" s="120"/>
      <c r="LVP3" s="120"/>
      <c r="LVQ3" s="120"/>
      <c r="LVR3" s="120"/>
      <c r="LVS3" s="120"/>
      <c r="LVT3" s="120"/>
      <c r="LVU3" s="120"/>
      <c r="LVV3" s="120"/>
      <c r="LVW3" s="120"/>
      <c r="LVX3" s="120"/>
      <c r="LVY3" s="120"/>
      <c r="LVZ3" s="120"/>
      <c r="LWA3" s="120"/>
      <c r="LWB3" s="120"/>
      <c r="LWC3" s="120"/>
      <c r="LWD3" s="120"/>
      <c r="LWE3" s="120"/>
      <c r="LWF3" s="120"/>
      <c r="LWG3" s="120"/>
      <c r="LWH3" s="120"/>
      <c r="LWI3" s="120"/>
      <c r="LWJ3" s="120"/>
      <c r="LWK3" s="120"/>
      <c r="LWL3" s="120"/>
      <c r="LWM3" s="120"/>
      <c r="LWN3" s="120"/>
      <c r="LWO3" s="120"/>
      <c r="LWP3" s="120"/>
      <c r="LWQ3" s="120"/>
      <c r="LWR3" s="120"/>
      <c r="LWS3" s="120"/>
      <c r="LWT3" s="120"/>
      <c r="LWU3" s="120"/>
      <c r="LWV3" s="120"/>
      <c r="LWW3" s="120"/>
      <c r="LWX3" s="120"/>
      <c r="LWY3" s="120"/>
      <c r="LWZ3" s="120"/>
      <c r="LXA3" s="120"/>
      <c r="LXB3" s="120"/>
      <c r="LXC3" s="120"/>
      <c r="LXD3" s="120"/>
      <c r="LXE3" s="120"/>
      <c r="LXF3" s="120"/>
      <c r="LXG3" s="120"/>
      <c r="LXH3" s="120"/>
      <c r="LXI3" s="120"/>
      <c r="LXJ3" s="120"/>
      <c r="LXK3" s="120"/>
      <c r="LXL3" s="120"/>
      <c r="LXM3" s="120"/>
      <c r="LXN3" s="120"/>
      <c r="LXO3" s="120"/>
      <c r="LXP3" s="120"/>
      <c r="LXQ3" s="120"/>
      <c r="LXR3" s="120"/>
      <c r="LXS3" s="120"/>
      <c r="LXT3" s="120"/>
      <c r="LXU3" s="120"/>
      <c r="LXV3" s="120"/>
      <c r="LXW3" s="120"/>
      <c r="LXX3" s="120"/>
      <c r="LXY3" s="120"/>
      <c r="LXZ3" s="120"/>
      <c r="LYA3" s="120"/>
      <c r="LYB3" s="120"/>
      <c r="LYC3" s="120"/>
      <c r="LYD3" s="120"/>
      <c r="LYE3" s="120"/>
      <c r="LYF3" s="120"/>
      <c r="LYG3" s="120"/>
      <c r="LYH3" s="120"/>
      <c r="LYI3" s="120"/>
      <c r="LYJ3" s="120"/>
      <c r="LYK3" s="120"/>
      <c r="LYL3" s="120"/>
      <c r="LYM3" s="120"/>
      <c r="LYN3" s="120"/>
      <c r="LYO3" s="120"/>
      <c r="LYP3" s="120"/>
      <c r="LYQ3" s="120"/>
      <c r="LYR3" s="120"/>
      <c r="LYS3" s="120"/>
      <c r="LYT3" s="120"/>
      <c r="LYU3" s="120"/>
      <c r="LYV3" s="120"/>
      <c r="LYW3" s="120"/>
      <c r="LYX3" s="120"/>
      <c r="LYY3" s="120"/>
      <c r="LYZ3" s="120"/>
      <c r="LZA3" s="120"/>
      <c r="LZB3" s="120"/>
      <c r="LZC3" s="120"/>
      <c r="LZD3" s="120"/>
      <c r="LZE3" s="120"/>
      <c r="LZF3" s="120"/>
      <c r="LZG3" s="120"/>
      <c r="LZH3" s="120"/>
      <c r="LZI3" s="120"/>
      <c r="LZJ3" s="120"/>
      <c r="LZK3" s="120"/>
      <c r="LZL3" s="120"/>
      <c r="LZM3" s="120"/>
      <c r="LZN3" s="120"/>
      <c r="LZO3" s="120"/>
      <c r="LZP3" s="120"/>
      <c r="LZQ3" s="120"/>
      <c r="LZR3" s="120"/>
      <c r="LZS3" s="120"/>
      <c r="LZT3" s="120"/>
      <c r="LZU3" s="120"/>
      <c r="LZV3" s="120"/>
      <c r="LZW3" s="120"/>
      <c r="LZX3" s="120"/>
      <c r="LZY3" s="120"/>
      <c r="LZZ3" s="120"/>
      <c r="MAA3" s="120"/>
      <c r="MAB3" s="120"/>
      <c r="MAC3" s="120"/>
      <c r="MAD3" s="120"/>
      <c r="MAE3" s="120"/>
      <c r="MAF3" s="120"/>
      <c r="MAG3" s="120"/>
      <c r="MAH3" s="120"/>
      <c r="MAI3" s="120"/>
      <c r="MAJ3" s="120"/>
      <c r="MAK3" s="120"/>
      <c r="MAL3" s="120"/>
      <c r="MAM3" s="120"/>
      <c r="MAN3" s="120"/>
      <c r="MAO3" s="120"/>
      <c r="MAP3" s="120"/>
      <c r="MAQ3" s="120"/>
      <c r="MAR3" s="120"/>
      <c r="MAS3" s="120"/>
      <c r="MAT3" s="120"/>
      <c r="MAU3" s="120"/>
      <c r="MAV3" s="120"/>
      <c r="MAW3" s="120"/>
      <c r="MAX3" s="120"/>
      <c r="MAY3" s="120"/>
      <c r="MAZ3" s="120"/>
      <c r="MBA3" s="120"/>
      <c r="MBB3" s="120"/>
      <c r="MBC3" s="120"/>
      <c r="MBD3" s="120"/>
      <c r="MBE3" s="120"/>
      <c r="MBF3" s="120"/>
      <c r="MBG3" s="120"/>
      <c r="MBH3" s="120"/>
      <c r="MBI3" s="120"/>
      <c r="MBJ3" s="120"/>
      <c r="MBK3" s="120"/>
      <c r="MBL3" s="120"/>
      <c r="MBM3" s="120"/>
      <c r="MBN3" s="120"/>
      <c r="MBO3" s="120"/>
      <c r="MBP3" s="120"/>
      <c r="MBQ3" s="120"/>
      <c r="MBR3" s="120"/>
      <c r="MBS3" s="120"/>
      <c r="MBT3" s="120"/>
      <c r="MBU3" s="120"/>
      <c r="MBV3" s="120"/>
      <c r="MBW3" s="120"/>
      <c r="MBX3" s="120"/>
      <c r="MBY3" s="120"/>
      <c r="MBZ3" s="120"/>
      <c r="MCA3" s="120"/>
      <c r="MCB3" s="120"/>
      <c r="MCC3" s="120"/>
      <c r="MCD3" s="120"/>
      <c r="MCE3" s="120"/>
      <c r="MCF3" s="120"/>
      <c r="MCG3" s="120"/>
      <c r="MCH3" s="120"/>
      <c r="MCI3" s="120"/>
      <c r="MCJ3" s="120"/>
      <c r="MCK3" s="120"/>
      <c r="MCL3" s="120"/>
      <c r="MCM3" s="120"/>
      <c r="MCN3" s="120"/>
      <c r="MCO3" s="120"/>
      <c r="MCP3" s="120"/>
      <c r="MCQ3" s="120"/>
      <c r="MCR3" s="120"/>
      <c r="MCS3" s="120"/>
      <c r="MCT3" s="120"/>
      <c r="MCU3" s="120"/>
      <c r="MCV3" s="120"/>
      <c r="MCW3" s="120"/>
      <c r="MCX3" s="120"/>
      <c r="MCY3" s="120"/>
      <c r="MCZ3" s="120"/>
      <c r="MDA3" s="120"/>
      <c r="MDB3" s="120"/>
      <c r="MDC3" s="120"/>
      <c r="MDD3" s="120"/>
      <c r="MDE3" s="120"/>
      <c r="MDF3" s="120"/>
      <c r="MDG3" s="120"/>
      <c r="MDH3" s="120"/>
      <c r="MDI3" s="120"/>
      <c r="MDJ3" s="120"/>
      <c r="MDK3" s="120"/>
      <c r="MDL3" s="120"/>
      <c r="MDM3" s="120"/>
      <c r="MDN3" s="120"/>
      <c r="MDO3" s="120"/>
      <c r="MDP3" s="120"/>
      <c r="MDQ3" s="120"/>
      <c r="MDR3" s="120"/>
      <c r="MDS3" s="120"/>
      <c r="MDT3" s="120"/>
      <c r="MDU3" s="120"/>
      <c r="MDV3" s="120"/>
      <c r="MDW3" s="120"/>
      <c r="MDX3" s="120"/>
      <c r="MDY3" s="120"/>
      <c r="MDZ3" s="120"/>
      <c r="MEA3" s="120"/>
      <c r="MEB3" s="120"/>
      <c r="MEC3" s="120"/>
      <c r="MED3" s="120"/>
      <c r="MEE3" s="120"/>
      <c r="MEF3" s="120"/>
      <c r="MEG3" s="120"/>
      <c r="MEH3" s="120"/>
      <c r="MEI3" s="120"/>
      <c r="MEJ3" s="120"/>
      <c r="MEK3" s="120"/>
      <c r="MEL3" s="120"/>
      <c r="MEM3" s="120"/>
      <c r="MEN3" s="120"/>
      <c r="MEO3" s="120"/>
      <c r="MEP3" s="120"/>
      <c r="MEQ3" s="120"/>
      <c r="MER3" s="120"/>
      <c r="MES3" s="120"/>
      <c r="MET3" s="120"/>
      <c r="MEU3" s="120"/>
      <c r="MEV3" s="120"/>
      <c r="MEW3" s="120"/>
      <c r="MEX3" s="120"/>
      <c r="MEY3" s="120"/>
      <c r="MEZ3" s="120"/>
      <c r="MFA3" s="120"/>
      <c r="MFB3" s="120"/>
      <c r="MFC3" s="120"/>
      <c r="MFD3" s="120"/>
      <c r="MFE3" s="120"/>
      <c r="MFF3" s="120"/>
      <c r="MFG3" s="120"/>
      <c r="MFH3" s="120"/>
      <c r="MFI3" s="120"/>
      <c r="MFJ3" s="120"/>
      <c r="MFK3" s="120"/>
      <c r="MFL3" s="120"/>
      <c r="MFM3" s="120"/>
      <c r="MFN3" s="120"/>
      <c r="MFO3" s="120"/>
      <c r="MFP3" s="120"/>
      <c r="MFQ3" s="120"/>
      <c r="MFR3" s="120"/>
      <c r="MFS3" s="120"/>
      <c r="MFT3" s="120"/>
      <c r="MFU3" s="120"/>
      <c r="MFV3" s="120"/>
      <c r="MFW3" s="120"/>
      <c r="MFX3" s="120"/>
      <c r="MFY3" s="120"/>
      <c r="MFZ3" s="120"/>
      <c r="MGA3" s="120"/>
      <c r="MGB3" s="120"/>
      <c r="MGC3" s="120"/>
      <c r="MGD3" s="120"/>
      <c r="MGE3" s="120"/>
      <c r="MGF3" s="120"/>
      <c r="MGG3" s="120"/>
      <c r="MGH3" s="120"/>
      <c r="MGI3" s="120"/>
      <c r="MGJ3" s="120"/>
      <c r="MGK3" s="120"/>
      <c r="MGL3" s="120"/>
      <c r="MGM3" s="120"/>
      <c r="MGN3" s="120"/>
      <c r="MGO3" s="120"/>
      <c r="MGP3" s="120"/>
      <c r="MGQ3" s="120"/>
      <c r="MGR3" s="120"/>
      <c r="MGS3" s="120"/>
      <c r="MGT3" s="120"/>
      <c r="MGU3" s="120"/>
      <c r="MGV3" s="120"/>
      <c r="MGW3" s="120"/>
      <c r="MGX3" s="120"/>
      <c r="MGY3" s="120"/>
      <c r="MGZ3" s="120"/>
      <c r="MHA3" s="120"/>
      <c r="MHB3" s="120"/>
      <c r="MHC3" s="120"/>
      <c r="MHD3" s="120"/>
      <c r="MHE3" s="120"/>
      <c r="MHF3" s="120"/>
      <c r="MHG3" s="120"/>
      <c r="MHH3" s="120"/>
      <c r="MHI3" s="120"/>
      <c r="MHJ3" s="120"/>
      <c r="MHK3" s="120"/>
      <c r="MHL3" s="120"/>
      <c r="MHM3" s="120"/>
      <c r="MHN3" s="120"/>
      <c r="MHO3" s="120"/>
      <c r="MHP3" s="120"/>
      <c r="MHQ3" s="120"/>
      <c r="MHR3" s="120"/>
      <c r="MHS3" s="120"/>
      <c r="MHT3" s="120"/>
      <c r="MHU3" s="120"/>
      <c r="MHV3" s="120"/>
      <c r="MHW3" s="120"/>
      <c r="MHX3" s="120"/>
      <c r="MHY3" s="120"/>
      <c r="MHZ3" s="120"/>
      <c r="MIA3" s="120"/>
      <c r="MIB3" s="120"/>
      <c r="MIC3" s="120"/>
      <c r="MID3" s="120"/>
      <c r="MIE3" s="120"/>
      <c r="MIF3" s="120"/>
      <c r="MIG3" s="120"/>
      <c r="MIH3" s="120"/>
      <c r="MII3" s="120"/>
      <c r="MIJ3" s="120"/>
      <c r="MIK3" s="120"/>
      <c r="MIL3" s="120"/>
      <c r="MIM3" s="120"/>
      <c r="MIN3" s="120"/>
      <c r="MIO3" s="120"/>
      <c r="MIP3" s="120"/>
      <c r="MIQ3" s="120"/>
      <c r="MIR3" s="120"/>
      <c r="MIS3" s="120"/>
      <c r="MIT3" s="120"/>
      <c r="MIU3" s="120"/>
      <c r="MIV3" s="120"/>
      <c r="MIW3" s="120"/>
      <c r="MIX3" s="120"/>
      <c r="MIY3" s="120"/>
      <c r="MIZ3" s="120"/>
      <c r="MJA3" s="120"/>
      <c r="MJB3" s="120"/>
      <c r="MJC3" s="120"/>
      <c r="MJD3" s="120"/>
      <c r="MJE3" s="120"/>
      <c r="MJF3" s="120"/>
      <c r="MJG3" s="120"/>
      <c r="MJH3" s="120"/>
      <c r="MJI3" s="120"/>
      <c r="MJJ3" s="120"/>
      <c r="MJK3" s="120"/>
      <c r="MJL3" s="120"/>
      <c r="MJM3" s="120"/>
      <c r="MJN3" s="120"/>
      <c r="MJO3" s="120"/>
      <c r="MJP3" s="120"/>
      <c r="MJQ3" s="120"/>
      <c r="MJR3" s="120"/>
      <c r="MJS3" s="120"/>
      <c r="MJT3" s="120"/>
      <c r="MJU3" s="120"/>
      <c r="MJV3" s="120"/>
      <c r="MJW3" s="120"/>
      <c r="MJX3" s="120"/>
      <c r="MJY3" s="120"/>
      <c r="MJZ3" s="120"/>
      <c r="MKA3" s="120"/>
      <c r="MKB3" s="120"/>
      <c r="MKC3" s="120"/>
      <c r="MKD3" s="120"/>
      <c r="MKE3" s="120"/>
      <c r="MKF3" s="120"/>
      <c r="MKG3" s="120"/>
      <c r="MKH3" s="120"/>
      <c r="MKI3" s="120"/>
      <c r="MKJ3" s="120"/>
      <c r="MKK3" s="120"/>
      <c r="MKL3" s="120"/>
      <c r="MKM3" s="120"/>
      <c r="MKN3" s="120"/>
      <c r="MKO3" s="120"/>
      <c r="MKP3" s="120"/>
      <c r="MKQ3" s="120"/>
      <c r="MKR3" s="120"/>
      <c r="MKS3" s="120"/>
      <c r="MKT3" s="120"/>
      <c r="MKU3" s="120"/>
      <c r="MKV3" s="120"/>
      <c r="MKW3" s="120"/>
      <c r="MKX3" s="120"/>
      <c r="MKY3" s="120"/>
      <c r="MKZ3" s="120"/>
      <c r="MLA3" s="120"/>
      <c r="MLB3" s="120"/>
      <c r="MLC3" s="120"/>
      <c r="MLD3" s="120"/>
      <c r="MLE3" s="120"/>
      <c r="MLF3" s="120"/>
      <c r="MLG3" s="120"/>
      <c r="MLH3" s="120"/>
      <c r="MLI3" s="120"/>
      <c r="MLJ3" s="120"/>
      <c r="MLK3" s="120"/>
      <c r="MLL3" s="120"/>
      <c r="MLM3" s="120"/>
      <c r="MLN3" s="120"/>
      <c r="MLO3" s="120"/>
      <c r="MLP3" s="120"/>
      <c r="MLQ3" s="120"/>
      <c r="MLR3" s="120"/>
      <c r="MLS3" s="120"/>
      <c r="MLT3" s="120"/>
      <c r="MLU3" s="120"/>
      <c r="MLV3" s="120"/>
      <c r="MLW3" s="120"/>
      <c r="MLX3" s="120"/>
      <c r="MLY3" s="120"/>
      <c r="MLZ3" s="120"/>
      <c r="MMA3" s="120"/>
      <c r="MMB3" s="120"/>
      <c r="MMC3" s="120"/>
      <c r="MMD3" s="120"/>
      <c r="MME3" s="120"/>
      <c r="MMF3" s="120"/>
      <c r="MMG3" s="120"/>
      <c r="MMH3" s="120"/>
      <c r="MMI3" s="120"/>
      <c r="MMJ3" s="120"/>
      <c r="MMK3" s="120"/>
      <c r="MML3" s="120"/>
      <c r="MMM3" s="120"/>
      <c r="MMN3" s="120"/>
      <c r="MMO3" s="120"/>
      <c r="MMP3" s="120"/>
      <c r="MMQ3" s="120"/>
      <c r="MMR3" s="120"/>
      <c r="MMS3" s="120"/>
      <c r="MMT3" s="120"/>
      <c r="MMU3" s="120"/>
      <c r="MMV3" s="120"/>
      <c r="MMW3" s="120"/>
      <c r="MMX3" s="120"/>
      <c r="MMY3" s="120"/>
      <c r="MMZ3" s="120"/>
      <c r="MNA3" s="120"/>
      <c r="MNB3" s="120"/>
      <c r="MNC3" s="120"/>
      <c r="MND3" s="120"/>
      <c r="MNE3" s="120"/>
      <c r="MNF3" s="120"/>
      <c r="MNG3" s="120"/>
      <c r="MNH3" s="120"/>
      <c r="MNI3" s="120"/>
      <c r="MNJ3" s="120"/>
      <c r="MNK3" s="120"/>
      <c r="MNL3" s="120"/>
      <c r="MNM3" s="120"/>
      <c r="MNN3" s="120"/>
      <c r="MNO3" s="120"/>
      <c r="MNP3" s="120"/>
      <c r="MNQ3" s="120"/>
      <c r="MNR3" s="120"/>
      <c r="MNS3" s="120"/>
      <c r="MNT3" s="120"/>
      <c r="MNU3" s="120"/>
      <c r="MNV3" s="120"/>
      <c r="MNW3" s="120"/>
      <c r="MNX3" s="120"/>
      <c r="MNY3" s="120"/>
      <c r="MNZ3" s="120"/>
      <c r="MOA3" s="120"/>
      <c r="MOB3" s="120"/>
      <c r="MOC3" s="120"/>
      <c r="MOD3" s="120"/>
      <c r="MOE3" s="120"/>
      <c r="MOF3" s="120"/>
      <c r="MOG3" s="120"/>
      <c r="MOH3" s="120"/>
      <c r="MOI3" s="120"/>
      <c r="MOJ3" s="120"/>
      <c r="MOK3" s="120"/>
      <c r="MOL3" s="120"/>
      <c r="MOM3" s="120"/>
      <c r="MON3" s="120"/>
      <c r="MOO3" s="120"/>
      <c r="MOP3" s="120"/>
      <c r="MOQ3" s="120"/>
      <c r="MOR3" s="120"/>
      <c r="MOS3" s="120"/>
      <c r="MOT3" s="120"/>
      <c r="MOU3" s="120"/>
      <c r="MOV3" s="120"/>
      <c r="MOW3" s="120"/>
      <c r="MOX3" s="120"/>
      <c r="MOY3" s="120"/>
      <c r="MOZ3" s="120"/>
      <c r="MPA3" s="120"/>
      <c r="MPB3" s="120"/>
      <c r="MPC3" s="120"/>
      <c r="MPD3" s="120"/>
      <c r="MPE3" s="120"/>
      <c r="MPF3" s="120"/>
      <c r="MPG3" s="120"/>
      <c r="MPH3" s="120"/>
      <c r="MPI3" s="120"/>
      <c r="MPJ3" s="120"/>
      <c r="MPK3" s="120"/>
      <c r="MPL3" s="120"/>
      <c r="MPM3" s="120"/>
      <c r="MPN3" s="120"/>
      <c r="MPO3" s="120"/>
      <c r="MPP3" s="120"/>
      <c r="MPQ3" s="120"/>
      <c r="MPR3" s="120"/>
      <c r="MPS3" s="120"/>
      <c r="MPT3" s="120"/>
      <c r="MPU3" s="120"/>
      <c r="MPV3" s="120"/>
      <c r="MPW3" s="120"/>
      <c r="MPX3" s="120"/>
      <c r="MPY3" s="120"/>
      <c r="MPZ3" s="120"/>
      <c r="MQA3" s="120"/>
      <c r="MQB3" s="120"/>
      <c r="MQC3" s="120"/>
      <c r="MQD3" s="120"/>
      <c r="MQE3" s="120"/>
      <c r="MQF3" s="120"/>
      <c r="MQG3" s="120"/>
      <c r="MQH3" s="120"/>
      <c r="MQI3" s="120"/>
      <c r="MQJ3" s="120"/>
      <c r="MQK3" s="120"/>
      <c r="MQL3" s="120"/>
      <c r="MQM3" s="120"/>
      <c r="MQN3" s="120"/>
      <c r="MQO3" s="120"/>
      <c r="MQP3" s="120"/>
      <c r="MQQ3" s="120"/>
      <c r="MQR3" s="120"/>
      <c r="MQS3" s="120"/>
      <c r="MQT3" s="120"/>
      <c r="MQU3" s="120"/>
      <c r="MQV3" s="120"/>
      <c r="MQW3" s="120"/>
      <c r="MQX3" s="120"/>
      <c r="MQY3" s="120"/>
      <c r="MQZ3" s="120"/>
      <c r="MRA3" s="120"/>
      <c r="MRB3" s="120"/>
      <c r="MRC3" s="120"/>
      <c r="MRD3" s="120"/>
      <c r="MRE3" s="120"/>
      <c r="MRF3" s="120"/>
      <c r="MRG3" s="120"/>
      <c r="MRH3" s="120"/>
      <c r="MRI3" s="120"/>
      <c r="MRJ3" s="120"/>
      <c r="MRK3" s="120"/>
      <c r="MRL3" s="120"/>
      <c r="MRM3" s="120"/>
      <c r="MRN3" s="120"/>
      <c r="MRO3" s="120"/>
      <c r="MRP3" s="120"/>
      <c r="MRQ3" s="120"/>
      <c r="MRR3" s="120"/>
      <c r="MRS3" s="120"/>
      <c r="MRT3" s="120"/>
      <c r="MRU3" s="120"/>
      <c r="MRV3" s="120"/>
      <c r="MRW3" s="120"/>
      <c r="MRX3" s="120"/>
      <c r="MRY3" s="120"/>
      <c r="MRZ3" s="120"/>
      <c r="MSA3" s="120"/>
      <c r="MSB3" s="120"/>
      <c r="MSC3" s="120"/>
      <c r="MSD3" s="120"/>
      <c r="MSE3" s="120"/>
      <c r="MSF3" s="120"/>
      <c r="MSG3" s="120"/>
      <c r="MSH3" s="120"/>
      <c r="MSI3" s="120"/>
      <c r="MSJ3" s="120"/>
      <c r="MSK3" s="120"/>
      <c r="MSL3" s="120"/>
      <c r="MSM3" s="120"/>
      <c r="MSN3" s="120"/>
      <c r="MSO3" s="120"/>
      <c r="MSP3" s="120"/>
      <c r="MSQ3" s="120"/>
      <c r="MSR3" s="120"/>
      <c r="MSS3" s="120"/>
      <c r="MST3" s="120"/>
      <c r="MSU3" s="120"/>
      <c r="MSV3" s="120"/>
      <c r="MSW3" s="120"/>
      <c r="MSX3" s="120"/>
      <c r="MSY3" s="120"/>
      <c r="MSZ3" s="120"/>
      <c r="MTA3" s="120"/>
      <c r="MTB3" s="120"/>
      <c r="MTC3" s="120"/>
      <c r="MTD3" s="120"/>
      <c r="MTE3" s="120"/>
      <c r="MTF3" s="120"/>
      <c r="MTG3" s="120"/>
      <c r="MTH3" s="120"/>
      <c r="MTI3" s="120"/>
      <c r="MTJ3" s="120"/>
      <c r="MTK3" s="120"/>
      <c r="MTL3" s="120"/>
      <c r="MTM3" s="120"/>
      <c r="MTN3" s="120"/>
      <c r="MTO3" s="120"/>
      <c r="MTP3" s="120"/>
      <c r="MTQ3" s="120"/>
      <c r="MTR3" s="120"/>
      <c r="MTS3" s="120"/>
      <c r="MTT3" s="120"/>
      <c r="MTU3" s="120"/>
      <c r="MTV3" s="120"/>
      <c r="MTW3" s="120"/>
      <c r="MTX3" s="120"/>
      <c r="MTY3" s="120"/>
      <c r="MTZ3" s="120"/>
      <c r="MUA3" s="120"/>
      <c r="MUB3" s="120"/>
      <c r="MUC3" s="120"/>
      <c r="MUD3" s="120"/>
      <c r="MUE3" s="120"/>
      <c r="MUF3" s="120"/>
      <c r="MUG3" s="120"/>
      <c r="MUH3" s="120"/>
      <c r="MUI3" s="120"/>
      <c r="MUJ3" s="120"/>
      <c r="MUK3" s="120"/>
      <c r="MUL3" s="120"/>
      <c r="MUM3" s="120"/>
      <c r="MUN3" s="120"/>
      <c r="MUO3" s="120"/>
      <c r="MUP3" s="120"/>
      <c r="MUQ3" s="120"/>
      <c r="MUR3" s="120"/>
      <c r="MUS3" s="120"/>
      <c r="MUT3" s="120"/>
      <c r="MUU3" s="120"/>
      <c r="MUV3" s="120"/>
      <c r="MUW3" s="120"/>
      <c r="MUX3" s="120"/>
      <c r="MUY3" s="120"/>
      <c r="MUZ3" s="120"/>
      <c r="MVA3" s="120"/>
      <c r="MVB3" s="120"/>
      <c r="MVC3" s="120"/>
      <c r="MVD3" s="120"/>
      <c r="MVE3" s="120"/>
      <c r="MVF3" s="120"/>
      <c r="MVG3" s="120"/>
      <c r="MVH3" s="120"/>
      <c r="MVI3" s="120"/>
      <c r="MVJ3" s="120"/>
      <c r="MVK3" s="120"/>
      <c r="MVL3" s="120"/>
      <c r="MVM3" s="120"/>
      <c r="MVN3" s="120"/>
      <c r="MVO3" s="120"/>
      <c r="MVP3" s="120"/>
      <c r="MVQ3" s="120"/>
      <c r="MVR3" s="120"/>
      <c r="MVS3" s="120"/>
      <c r="MVT3" s="120"/>
      <c r="MVU3" s="120"/>
      <c r="MVV3" s="120"/>
      <c r="MVW3" s="120"/>
      <c r="MVX3" s="120"/>
      <c r="MVY3" s="120"/>
      <c r="MVZ3" s="120"/>
      <c r="MWA3" s="120"/>
      <c r="MWB3" s="120"/>
      <c r="MWC3" s="120"/>
      <c r="MWD3" s="120"/>
      <c r="MWE3" s="120"/>
      <c r="MWF3" s="120"/>
      <c r="MWG3" s="120"/>
      <c r="MWH3" s="120"/>
      <c r="MWI3" s="120"/>
      <c r="MWJ3" s="120"/>
      <c r="MWK3" s="120"/>
      <c r="MWL3" s="120"/>
      <c r="MWM3" s="120"/>
      <c r="MWN3" s="120"/>
      <c r="MWO3" s="120"/>
      <c r="MWP3" s="120"/>
      <c r="MWQ3" s="120"/>
      <c r="MWR3" s="120"/>
      <c r="MWS3" s="120"/>
      <c r="MWT3" s="120"/>
      <c r="MWU3" s="120"/>
      <c r="MWV3" s="120"/>
      <c r="MWW3" s="120"/>
      <c r="MWX3" s="120"/>
      <c r="MWY3" s="120"/>
      <c r="MWZ3" s="120"/>
      <c r="MXA3" s="120"/>
      <c r="MXB3" s="120"/>
      <c r="MXC3" s="120"/>
      <c r="MXD3" s="120"/>
      <c r="MXE3" s="120"/>
      <c r="MXF3" s="120"/>
      <c r="MXG3" s="120"/>
      <c r="MXH3" s="120"/>
      <c r="MXI3" s="120"/>
      <c r="MXJ3" s="120"/>
      <c r="MXK3" s="120"/>
      <c r="MXL3" s="120"/>
      <c r="MXM3" s="120"/>
      <c r="MXN3" s="120"/>
      <c r="MXO3" s="120"/>
      <c r="MXP3" s="120"/>
      <c r="MXQ3" s="120"/>
      <c r="MXR3" s="120"/>
      <c r="MXS3" s="120"/>
      <c r="MXT3" s="120"/>
      <c r="MXU3" s="120"/>
      <c r="MXV3" s="120"/>
      <c r="MXW3" s="120"/>
      <c r="MXX3" s="120"/>
      <c r="MXY3" s="120"/>
      <c r="MXZ3" s="120"/>
      <c r="MYA3" s="120"/>
      <c r="MYB3" s="120"/>
      <c r="MYC3" s="120"/>
      <c r="MYD3" s="120"/>
      <c r="MYE3" s="120"/>
      <c r="MYF3" s="120"/>
      <c r="MYG3" s="120"/>
      <c r="MYH3" s="120"/>
      <c r="MYI3" s="120"/>
      <c r="MYJ3" s="120"/>
      <c r="MYK3" s="120"/>
      <c r="MYL3" s="120"/>
      <c r="MYM3" s="120"/>
      <c r="MYN3" s="120"/>
      <c r="MYO3" s="120"/>
      <c r="MYP3" s="120"/>
      <c r="MYQ3" s="120"/>
      <c r="MYR3" s="120"/>
      <c r="MYS3" s="120"/>
      <c r="MYT3" s="120"/>
      <c r="MYU3" s="120"/>
      <c r="MYV3" s="120"/>
      <c r="MYW3" s="120"/>
      <c r="MYX3" s="120"/>
      <c r="MYY3" s="120"/>
      <c r="MYZ3" s="120"/>
      <c r="MZA3" s="120"/>
      <c r="MZB3" s="120"/>
      <c r="MZC3" s="120"/>
      <c r="MZD3" s="120"/>
      <c r="MZE3" s="120"/>
      <c r="MZF3" s="120"/>
      <c r="MZG3" s="120"/>
      <c r="MZH3" s="120"/>
      <c r="MZI3" s="120"/>
      <c r="MZJ3" s="120"/>
      <c r="MZK3" s="120"/>
      <c r="MZL3" s="120"/>
      <c r="MZM3" s="120"/>
      <c r="MZN3" s="120"/>
      <c r="MZO3" s="120"/>
      <c r="MZP3" s="120"/>
      <c r="MZQ3" s="120"/>
      <c r="MZR3" s="120"/>
      <c r="MZS3" s="120"/>
      <c r="MZT3" s="120"/>
      <c r="MZU3" s="120"/>
      <c r="MZV3" s="120"/>
      <c r="MZW3" s="120"/>
      <c r="MZX3" s="120"/>
      <c r="MZY3" s="120"/>
      <c r="MZZ3" s="120"/>
      <c r="NAA3" s="120"/>
      <c r="NAB3" s="120"/>
      <c r="NAC3" s="120"/>
      <c r="NAD3" s="120"/>
      <c r="NAE3" s="120"/>
      <c r="NAF3" s="120"/>
      <c r="NAG3" s="120"/>
      <c r="NAH3" s="120"/>
      <c r="NAI3" s="120"/>
      <c r="NAJ3" s="120"/>
      <c r="NAK3" s="120"/>
      <c r="NAL3" s="120"/>
      <c r="NAM3" s="120"/>
      <c r="NAN3" s="120"/>
      <c r="NAO3" s="120"/>
      <c r="NAP3" s="120"/>
      <c r="NAQ3" s="120"/>
      <c r="NAR3" s="120"/>
      <c r="NAS3" s="120"/>
      <c r="NAT3" s="120"/>
      <c r="NAU3" s="120"/>
      <c r="NAV3" s="120"/>
      <c r="NAW3" s="120"/>
      <c r="NAX3" s="120"/>
      <c r="NAY3" s="120"/>
      <c r="NAZ3" s="120"/>
      <c r="NBA3" s="120"/>
      <c r="NBB3" s="120"/>
      <c r="NBC3" s="120"/>
      <c r="NBD3" s="120"/>
      <c r="NBE3" s="120"/>
      <c r="NBF3" s="120"/>
      <c r="NBG3" s="120"/>
      <c r="NBH3" s="120"/>
      <c r="NBI3" s="120"/>
      <c r="NBJ3" s="120"/>
      <c r="NBK3" s="120"/>
      <c r="NBL3" s="120"/>
      <c r="NBM3" s="120"/>
      <c r="NBN3" s="120"/>
      <c r="NBO3" s="120"/>
      <c r="NBP3" s="120"/>
      <c r="NBQ3" s="120"/>
      <c r="NBR3" s="120"/>
      <c r="NBS3" s="120"/>
      <c r="NBT3" s="120"/>
      <c r="NBU3" s="120"/>
      <c r="NBV3" s="120"/>
      <c r="NBW3" s="120"/>
      <c r="NBX3" s="120"/>
      <c r="NBY3" s="120"/>
      <c r="NBZ3" s="120"/>
      <c r="NCA3" s="120"/>
      <c r="NCB3" s="120"/>
      <c r="NCC3" s="120"/>
      <c r="NCD3" s="120"/>
      <c r="NCE3" s="120"/>
      <c r="NCF3" s="120"/>
      <c r="NCG3" s="120"/>
      <c r="NCH3" s="120"/>
      <c r="NCI3" s="120"/>
      <c r="NCJ3" s="120"/>
      <c r="NCK3" s="120"/>
      <c r="NCL3" s="120"/>
      <c r="NCM3" s="120"/>
      <c r="NCN3" s="120"/>
      <c r="NCO3" s="120"/>
      <c r="NCP3" s="120"/>
      <c r="NCQ3" s="120"/>
      <c r="NCR3" s="120"/>
      <c r="NCS3" s="120"/>
      <c r="NCT3" s="120"/>
      <c r="NCU3" s="120"/>
      <c r="NCV3" s="120"/>
      <c r="NCW3" s="120"/>
      <c r="NCX3" s="120"/>
      <c r="NCY3" s="120"/>
      <c r="NCZ3" s="120"/>
      <c r="NDA3" s="120"/>
      <c r="NDB3" s="120"/>
      <c r="NDC3" s="120"/>
      <c r="NDD3" s="120"/>
      <c r="NDE3" s="120"/>
      <c r="NDF3" s="120"/>
      <c r="NDG3" s="120"/>
      <c r="NDH3" s="120"/>
      <c r="NDI3" s="120"/>
      <c r="NDJ3" s="120"/>
      <c r="NDK3" s="120"/>
      <c r="NDL3" s="120"/>
      <c r="NDM3" s="120"/>
      <c r="NDN3" s="120"/>
      <c r="NDO3" s="120"/>
      <c r="NDP3" s="120"/>
      <c r="NDQ3" s="120"/>
      <c r="NDR3" s="120"/>
      <c r="NDS3" s="120"/>
      <c r="NDT3" s="120"/>
      <c r="NDU3" s="120"/>
      <c r="NDV3" s="120"/>
      <c r="NDW3" s="120"/>
      <c r="NDX3" s="120"/>
      <c r="NDY3" s="120"/>
      <c r="NDZ3" s="120"/>
      <c r="NEA3" s="120"/>
      <c r="NEB3" s="120"/>
      <c r="NEC3" s="120"/>
      <c r="NED3" s="120"/>
      <c r="NEE3" s="120"/>
      <c r="NEF3" s="120"/>
      <c r="NEG3" s="120"/>
      <c r="NEH3" s="120"/>
      <c r="NEI3" s="120"/>
      <c r="NEJ3" s="120"/>
      <c r="NEK3" s="120"/>
      <c r="NEL3" s="120"/>
      <c r="NEM3" s="120"/>
      <c r="NEN3" s="120"/>
      <c r="NEO3" s="120"/>
      <c r="NEP3" s="120"/>
      <c r="NEQ3" s="120"/>
      <c r="NER3" s="120"/>
      <c r="NES3" s="120"/>
      <c r="NET3" s="120"/>
      <c r="NEU3" s="120"/>
      <c r="NEV3" s="120"/>
      <c r="NEW3" s="120"/>
      <c r="NEX3" s="120"/>
      <c r="NEY3" s="120"/>
      <c r="NEZ3" s="120"/>
      <c r="NFA3" s="120"/>
      <c r="NFB3" s="120"/>
      <c r="NFC3" s="120"/>
      <c r="NFD3" s="120"/>
      <c r="NFE3" s="120"/>
      <c r="NFF3" s="120"/>
      <c r="NFG3" s="120"/>
      <c r="NFH3" s="120"/>
      <c r="NFI3" s="120"/>
      <c r="NFJ3" s="120"/>
      <c r="NFK3" s="120"/>
      <c r="NFL3" s="120"/>
      <c r="NFM3" s="120"/>
      <c r="NFN3" s="120"/>
      <c r="NFO3" s="120"/>
      <c r="NFP3" s="120"/>
      <c r="NFQ3" s="120"/>
      <c r="NFR3" s="120"/>
      <c r="NFS3" s="120"/>
      <c r="NFT3" s="120"/>
      <c r="NFU3" s="120"/>
      <c r="NFV3" s="120"/>
      <c r="NFW3" s="120"/>
      <c r="NFX3" s="120"/>
      <c r="NFY3" s="120"/>
      <c r="NFZ3" s="120"/>
      <c r="NGA3" s="120"/>
      <c r="NGB3" s="120"/>
      <c r="NGC3" s="120"/>
      <c r="NGD3" s="120"/>
      <c r="NGE3" s="120"/>
      <c r="NGF3" s="120"/>
      <c r="NGG3" s="120"/>
      <c r="NGH3" s="120"/>
      <c r="NGI3" s="120"/>
      <c r="NGJ3" s="120"/>
      <c r="NGK3" s="120"/>
      <c r="NGL3" s="120"/>
      <c r="NGM3" s="120"/>
      <c r="NGN3" s="120"/>
      <c r="NGO3" s="120"/>
      <c r="NGP3" s="120"/>
      <c r="NGQ3" s="120"/>
      <c r="NGR3" s="120"/>
      <c r="NGS3" s="120"/>
      <c r="NGT3" s="120"/>
      <c r="NGU3" s="120"/>
      <c r="NGV3" s="120"/>
      <c r="NGW3" s="120"/>
      <c r="NGX3" s="120"/>
      <c r="NGY3" s="120"/>
      <c r="NGZ3" s="120"/>
      <c r="NHA3" s="120"/>
      <c r="NHB3" s="120"/>
      <c r="NHC3" s="120"/>
      <c r="NHD3" s="120"/>
      <c r="NHE3" s="120"/>
      <c r="NHF3" s="120"/>
      <c r="NHG3" s="120"/>
      <c r="NHH3" s="120"/>
      <c r="NHI3" s="120"/>
      <c r="NHJ3" s="120"/>
      <c r="NHK3" s="120"/>
      <c r="NHL3" s="120"/>
      <c r="NHM3" s="120"/>
      <c r="NHN3" s="120"/>
      <c r="NHO3" s="120"/>
      <c r="NHP3" s="120"/>
      <c r="NHQ3" s="120"/>
      <c r="NHR3" s="120"/>
      <c r="NHS3" s="120"/>
      <c r="NHT3" s="120"/>
      <c r="NHU3" s="120"/>
      <c r="NHV3" s="120"/>
      <c r="NHW3" s="120"/>
      <c r="NHX3" s="120"/>
      <c r="NHY3" s="120"/>
      <c r="NHZ3" s="120"/>
      <c r="NIA3" s="120"/>
      <c r="NIB3" s="120"/>
      <c r="NIC3" s="120"/>
      <c r="NID3" s="120"/>
      <c r="NIE3" s="120"/>
      <c r="NIF3" s="120"/>
      <c r="NIG3" s="120"/>
      <c r="NIH3" s="120"/>
      <c r="NII3" s="120"/>
      <c r="NIJ3" s="120"/>
      <c r="NIK3" s="120"/>
      <c r="NIL3" s="120"/>
      <c r="NIM3" s="120"/>
      <c r="NIN3" s="120"/>
      <c r="NIO3" s="120"/>
      <c r="NIP3" s="120"/>
      <c r="NIQ3" s="120"/>
      <c r="NIR3" s="120"/>
      <c r="NIS3" s="120"/>
      <c r="NIT3" s="120"/>
      <c r="NIU3" s="120"/>
      <c r="NIV3" s="120"/>
      <c r="NIW3" s="120"/>
      <c r="NIX3" s="120"/>
      <c r="NIY3" s="120"/>
      <c r="NIZ3" s="120"/>
      <c r="NJA3" s="120"/>
      <c r="NJB3" s="120"/>
      <c r="NJC3" s="120"/>
      <c r="NJD3" s="120"/>
      <c r="NJE3" s="120"/>
      <c r="NJF3" s="120"/>
      <c r="NJG3" s="120"/>
      <c r="NJH3" s="120"/>
      <c r="NJI3" s="120"/>
      <c r="NJJ3" s="120"/>
      <c r="NJK3" s="120"/>
      <c r="NJL3" s="120"/>
      <c r="NJM3" s="120"/>
      <c r="NJN3" s="120"/>
      <c r="NJO3" s="120"/>
      <c r="NJP3" s="120"/>
      <c r="NJQ3" s="120"/>
      <c r="NJR3" s="120"/>
      <c r="NJS3" s="120"/>
      <c r="NJT3" s="120"/>
      <c r="NJU3" s="120"/>
      <c r="NJV3" s="120"/>
      <c r="NJW3" s="120"/>
      <c r="NJX3" s="120"/>
      <c r="NJY3" s="120"/>
      <c r="NJZ3" s="120"/>
      <c r="NKA3" s="120"/>
      <c r="NKB3" s="120"/>
      <c r="NKC3" s="120"/>
      <c r="NKD3" s="120"/>
      <c r="NKE3" s="120"/>
      <c r="NKF3" s="120"/>
      <c r="NKG3" s="120"/>
      <c r="NKH3" s="120"/>
      <c r="NKI3" s="120"/>
      <c r="NKJ3" s="120"/>
      <c r="NKK3" s="120"/>
      <c r="NKL3" s="120"/>
      <c r="NKM3" s="120"/>
      <c r="NKN3" s="120"/>
      <c r="NKO3" s="120"/>
      <c r="NKP3" s="120"/>
      <c r="NKQ3" s="120"/>
      <c r="NKR3" s="120"/>
      <c r="NKS3" s="120"/>
      <c r="NKT3" s="120"/>
      <c r="NKU3" s="120"/>
      <c r="NKV3" s="120"/>
      <c r="NKW3" s="120"/>
      <c r="NKX3" s="120"/>
      <c r="NKY3" s="120"/>
      <c r="NKZ3" s="120"/>
      <c r="NLA3" s="120"/>
      <c r="NLB3" s="120"/>
      <c r="NLC3" s="120"/>
      <c r="NLD3" s="120"/>
      <c r="NLE3" s="120"/>
      <c r="NLF3" s="120"/>
      <c r="NLG3" s="120"/>
      <c r="NLH3" s="120"/>
      <c r="NLI3" s="120"/>
      <c r="NLJ3" s="120"/>
      <c r="NLK3" s="120"/>
      <c r="NLL3" s="120"/>
      <c r="NLM3" s="120"/>
      <c r="NLN3" s="120"/>
      <c r="NLO3" s="120"/>
      <c r="NLP3" s="120"/>
      <c r="NLQ3" s="120"/>
      <c r="NLR3" s="120"/>
      <c r="NLS3" s="120"/>
      <c r="NLT3" s="120"/>
      <c r="NLU3" s="120"/>
      <c r="NLV3" s="120"/>
      <c r="NLW3" s="120"/>
      <c r="NLX3" s="120"/>
      <c r="NLY3" s="120"/>
      <c r="NLZ3" s="120"/>
      <c r="NMA3" s="120"/>
      <c r="NMB3" s="120"/>
      <c r="NMC3" s="120"/>
      <c r="NMD3" s="120"/>
      <c r="NME3" s="120"/>
      <c r="NMF3" s="120"/>
      <c r="NMG3" s="120"/>
      <c r="NMH3" s="120"/>
      <c r="NMI3" s="120"/>
      <c r="NMJ3" s="120"/>
      <c r="NMK3" s="120"/>
      <c r="NML3" s="120"/>
      <c r="NMM3" s="120"/>
      <c r="NMN3" s="120"/>
      <c r="NMO3" s="120"/>
      <c r="NMP3" s="120"/>
      <c r="NMQ3" s="120"/>
      <c r="NMR3" s="120"/>
      <c r="NMS3" s="120"/>
      <c r="NMT3" s="120"/>
      <c r="NMU3" s="120"/>
      <c r="NMV3" s="120"/>
      <c r="NMW3" s="120"/>
      <c r="NMX3" s="120"/>
      <c r="NMY3" s="120"/>
      <c r="NMZ3" s="120"/>
      <c r="NNA3" s="120"/>
      <c r="NNB3" s="120"/>
      <c r="NNC3" s="120"/>
      <c r="NND3" s="120"/>
      <c r="NNE3" s="120"/>
      <c r="NNF3" s="120"/>
      <c r="NNG3" s="120"/>
      <c r="NNH3" s="120"/>
      <c r="NNI3" s="120"/>
      <c r="NNJ3" s="120"/>
      <c r="NNK3" s="120"/>
      <c r="NNL3" s="120"/>
      <c r="NNM3" s="120"/>
      <c r="NNN3" s="120"/>
      <c r="NNO3" s="120"/>
      <c r="NNP3" s="120"/>
      <c r="NNQ3" s="120"/>
      <c r="NNR3" s="120"/>
      <c r="NNS3" s="120"/>
      <c r="NNT3" s="120"/>
      <c r="NNU3" s="120"/>
      <c r="NNV3" s="120"/>
      <c r="NNW3" s="120"/>
      <c r="NNX3" s="120"/>
      <c r="NNY3" s="120"/>
      <c r="NNZ3" s="120"/>
      <c r="NOA3" s="120"/>
      <c r="NOB3" s="120"/>
      <c r="NOC3" s="120"/>
      <c r="NOD3" s="120"/>
      <c r="NOE3" s="120"/>
      <c r="NOF3" s="120"/>
      <c r="NOG3" s="120"/>
      <c r="NOH3" s="120"/>
      <c r="NOI3" s="120"/>
      <c r="NOJ3" s="120"/>
      <c r="NOK3" s="120"/>
      <c r="NOL3" s="120"/>
      <c r="NOM3" s="120"/>
      <c r="NON3" s="120"/>
      <c r="NOO3" s="120"/>
      <c r="NOP3" s="120"/>
      <c r="NOQ3" s="120"/>
      <c r="NOR3" s="120"/>
      <c r="NOS3" s="120"/>
      <c r="NOT3" s="120"/>
      <c r="NOU3" s="120"/>
      <c r="NOV3" s="120"/>
      <c r="NOW3" s="120"/>
      <c r="NOX3" s="120"/>
      <c r="NOY3" s="120"/>
      <c r="NOZ3" s="120"/>
      <c r="NPA3" s="120"/>
      <c r="NPB3" s="120"/>
      <c r="NPC3" s="120"/>
      <c r="NPD3" s="120"/>
      <c r="NPE3" s="120"/>
      <c r="NPF3" s="120"/>
      <c r="NPG3" s="120"/>
      <c r="NPH3" s="120"/>
      <c r="NPI3" s="120"/>
      <c r="NPJ3" s="120"/>
      <c r="NPK3" s="120"/>
      <c r="NPL3" s="120"/>
      <c r="NPM3" s="120"/>
      <c r="NPN3" s="120"/>
      <c r="NPO3" s="120"/>
      <c r="NPP3" s="120"/>
      <c r="NPQ3" s="120"/>
      <c r="NPR3" s="120"/>
      <c r="NPS3" s="120"/>
      <c r="NPT3" s="120"/>
      <c r="NPU3" s="120"/>
      <c r="NPV3" s="120"/>
      <c r="NPW3" s="120"/>
      <c r="NPX3" s="120"/>
      <c r="NPY3" s="120"/>
      <c r="NPZ3" s="120"/>
      <c r="NQA3" s="120"/>
      <c r="NQB3" s="120"/>
      <c r="NQC3" s="120"/>
      <c r="NQD3" s="120"/>
      <c r="NQE3" s="120"/>
      <c r="NQF3" s="120"/>
      <c r="NQG3" s="120"/>
      <c r="NQH3" s="120"/>
      <c r="NQI3" s="120"/>
      <c r="NQJ3" s="120"/>
      <c r="NQK3" s="120"/>
      <c r="NQL3" s="120"/>
      <c r="NQM3" s="120"/>
      <c r="NQN3" s="120"/>
      <c r="NQO3" s="120"/>
      <c r="NQP3" s="120"/>
      <c r="NQQ3" s="120"/>
      <c r="NQR3" s="120"/>
      <c r="NQS3" s="120"/>
      <c r="NQT3" s="120"/>
      <c r="NQU3" s="120"/>
      <c r="NQV3" s="120"/>
      <c r="NQW3" s="120"/>
      <c r="NQX3" s="120"/>
      <c r="NQY3" s="120"/>
      <c r="NQZ3" s="120"/>
      <c r="NRA3" s="120"/>
      <c r="NRB3" s="120"/>
      <c r="NRC3" s="120"/>
      <c r="NRD3" s="120"/>
      <c r="NRE3" s="120"/>
      <c r="NRF3" s="120"/>
      <c r="NRG3" s="120"/>
      <c r="NRH3" s="120"/>
      <c r="NRI3" s="120"/>
      <c r="NRJ3" s="120"/>
      <c r="NRK3" s="120"/>
      <c r="NRL3" s="120"/>
      <c r="NRM3" s="120"/>
      <c r="NRN3" s="120"/>
      <c r="NRO3" s="120"/>
      <c r="NRP3" s="120"/>
      <c r="NRQ3" s="120"/>
      <c r="NRR3" s="120"/>
      <c r="NRS3" s="120"/>
      <c r="NRT3" s="120"/>
      <c r="NRU3" s="120"/>
      <c r="NRV3" s="120"/>
      <c r="NRW3" s="120"/>
      <c r="NRX3" s="120"/>
      <c r="NRY3" s="120"/>
      <c r="NRZ3" s="120"/>
      <c r="NSA3" s="120"/>
      <c r="NSB3" s="120"/>
      <c r="NSC3" s="120"/>
      <c r="NSD3" s="120"/>
      <c r="NSE3" s="120"/>
      <c r="NSF3" s="120"/>
      <c r="NSG3" s="120"/>
      <c r="NSH3" s="120"/>
      <c r="NSI3" s="120"/>
      <c r="NSJ3" s="120"/>
      <c r="NSK3" s="120"/>
      <c r="NSL3" s="120"/>
      <c r="NSM3" s="120"/>
      <c r="NSN3" s="120"/>
      <c r="NSO3" s="120"/>
      <c r="NSP3" s="120"/>
      <c r="NSQ3" s="120"/>
      <c r="NSR3" s="120"/>
      <c r="NSS3" s="120"/>
      <c r="NST3" s="120"/>
      <c r="NSU3" s="120"/>
      <c r="NSV3" s="120"/>
      <c r="NSW3" s="120"/>
      <c r="NSX3" s="120"/>
      <c r="NSY3" s="120"/>
      <c r="NSZ3" s="120"/>
      <c r="NTA3" s="120"/>
      <c r="NTB3" s="120"/>
      <c r="NTC3" s="120"/>
      <c r="NTD3" s="120"/>
      <c r="NTE3" s="120"/>
      <c r="NTF3" s="120"/>
      <c r="NTG3" s="120"/>
      <c r="NTH3" s="120"/>
      <c r="NTI3" s="120"/>
      <c r="NTJ3" s="120"/>
      <c r="NTK3" s="120"/>
      <c r="NTL3" s="120"/>
      <c r="NTM3" s="120"/>
      <c r="NTN3" s="120"/>
      <c r="NTO3" s="120"/>
      <c r="NTP3" s="120"/>
      <c r="NTQ3" s="120"/>
      <c r="NTR3" s="120"/>
      <c r="NTS3" s="120"/>
      <c r="NTT3" s="120"/>
      <c r="NTU3" s="120"/>
      <c r="NTV3" s="120"/>
      <c r="NTW3" s="120"/>
      <c r="NTX3" s="120"/>
      <c r="NTY3" s="120"/>
      <c r="NTZ3" s="120"/>
      <c r="NUA3" s="120"/>
      <c r="NUB3" s="120"/>
      <c r="NUC3" s="120"/>
      <c r="NUD3" s="120"/>
      <c r="NUE3" s="120"/>
      <c r="NUF3" s="120"/>
      <c r="NUG3" s="120"/>
      <c r="NUH3" s="120"/>
      <c r="NUI3" s="120"/>
      <c r="NUJ3" s="120"/>
      <c r="NUK3" s="120"/>
      <c r="NUL3" s="120"/>
      <c r="NUM3" s="120"/>
      <c r="NUN3" s="120"/>
      <c r="NUO3" s="120"/>
      <c r="NUP3" s="120"/>
      <c r="NUQ3" s="120"/>
      <c r="NUR3" s="120"/>
      <c r="NUS3" s="120"/>
      <c r="NUT3" s="120"/>
      <c r="NUU3" s="120"/>
      <c r="NUV3" s="120"/>
      <c r="NUW3" s="120"/>
      <c r="NUX3" s="120"/>
      <c r="NUY3" s="120"/>
      <c r="NUZ3" s="120"/>
      <c r="NVA3" s="120"/>
      <c r="NVB3" s="120"/>
      <c r="NVC3" s="120"/>
      <c r="NVD3" s="120"/>
      <c r="NVE3" s="120"/>
      <c r="NVF3" s="120"/>
      <c r="NVG3" s="120"/>
      <c r="NVH3" s="120"/>
      <c r="NVI3" s="120"/>
      <c r="NVJ3" s="120"/>
      <c r="NVK3" s="120"/>
      <c r="NVL3" s="120"/>
      <c r="NVM3" s="120"/>
      <c r="NVN3" s="120"/>
      <c r="NVO3" s="120"/>
      <c r="NVP3" s="120"/>
      <c r="NVQ3" s="120"/>
      <c r="NVR3" s="120"/>
      <c r="NVS3" s="120"/>
      <c r="NVT3" s="120"/>
      <c r="NVU3" s="120"/>
      <c r="NVV3" s="120"/>
      <c r="NVW3" s="120"/>
      <c r="NVX3" s="120"/>
      <c r="NVY3" s="120"/>
      <c r="NVZ3" s="120"/>
      <c r="NWA3" s="120"/>
      <c r="NWB3" s="120"/>
      <c r="NWC3" s="120"/>
      <c r="NWD3" s="120"/>
      <c r="NWE3" s="120"/>
      <c r="NWF3" s="120"/>
      <c r="NWG3" s="120"/>
      <c r="NWH3" s="120"/>
      <c r="NWI3" s="120"/>
      <c r="NWJ3" s="120"/>
      <c r="NWK3" s="120"/>
      <c r="NWL3" s="120"/>
      <c r="NWM3" s="120"/>
      <c r="NWN3" s="120"/>
      <c r="NWO3" s="120"/>
      <c r="NWP3" s="120"/>
      <c r="NWQ3" s="120"/>
      <c r="NWR3" s="120"/>
      <c r="NWS3" s="120"/>
      <c r="NWT3" s="120"/>
      <c r="NWU3" s="120"/>
      <c r="NWV3" s="120"/>
      <c r="NWW3" s="120"/>
      <c r="NWX3" s="120"/>
      <c r="NWY3" s="120"/>
      <c r="NWZ3" s="120"/>
      <c r="NXA3" s="120"/>
      <c r="NXB3" s="120"/>
      <c r="NXC3" s="120"/>
      <c r="NXD3" s="120"/>
      <c r="NXE3" s="120"/>
      <c r="NXF3" s="120"/>
      <c r="NXG3" s="120"/>
      <c r="NXH3" s="120"/>
      <c r="NXI3" s="120"/>
      <c r="NXJ3" s="120"/>
      <c r="NXK3" s="120"/>
      <c r="NXL3" s="120"/>
      <c r="NXM3" s="120"/>
      <c r="NXN3" s="120"/>
      <c r="NXO3" s="120"/>
      <c r="NXP3" s="120"/>
      <c r="NXQ3" s="120"/>
      <c r="NXR3" s="120"/>
      <c r="NXS3" s="120"/>
      <c r="NXT3" s="120"/>
      <c r="NXU3" s="120"/>
      <c r="NXV3" s="120"/>
      <c r="NXW3" s="120"/>
      <c r="NXX3" s="120"/>
      <c r="NXY3" s="120"/>
      <c r="NXZ3" s="120"/>
      <c r="NYA3" s="120"/>
      <c r="NYB3" s="120"/>
      <c r="NYC3" s="120"/>
      <c r="NYD3" s="120"/>
      <c r="NYE3" s="120"/>
      <c r="NYF3" s="120"/>
      <c r="NYG3" s="120"/>
      <c r="NYH3" s="120"/>
      <c r="NYI3" s="120"/>
      <c r="NYJ3" s="120"/>
      <c r="NYK3" s="120"/>
      <c r="NYL3" s="120"/>
      <c r="NYM3" s="120"/>
      <c r="NYN3" s="120"/>
      <c r="NYO3" s="120"/>
      <c r="NYP3" s="120"/>
      <c r="NYQ3" s="120"/>
      <c r="NYR3" s="120"/>
      <c r="NYS3" s="120"/>
      <c r="NYT3" s="120"/>
      <c r="NYU3" s="120"/>
      <c r="NYV3" s="120"/>
      <c r="NYW3" s="120"/>
      <c r="NYX3" s="120"/>
      <c r="NYY3" s="120"/>
      <c r="NYZ3" s="120"/>
      <c r="NZA3" s="120"/>
      <c r="NZB3" s="120"/>
      <c r="NZC3" s="120"/>
      <c r="NZD3" s="120"/>
      <c r="NZE3" s="120"/>
      <c r="NZF3" s="120"/>
      <c r="NZG3" s="120"/>
      <c r="NZH3" s="120"/>
      <c r="NZI3" s="120"/>
      <c r="NZJ3" s="120"/>
      <c r="NZK3" s="120"/>
      <c r="NZL3" s="120"/>
      <c r="NZM3" s="120"/>
      <c r="NZN3" s="120"/>
      <c r="NZO3" s="120"/>
      <c r="NZP3" s="120"/>
      <c r="NZQ3" s="120"/>
      <c r="NZR3" s="120"/>
      <c r="NZS3" s="120"/>
      <c r="NZT3" s="120"/>
      <c r="NZU3" s="120"/>
      <c r="NZV3" s="120"/>
      <c r="NZW3" s="120"/>
      <c r="NZX3" s="120"/>
      <c r="NZY3" s="120"/>
      <c r="NZZ3" s="120"/>
      <c r="OAA3" s="120"/>
      <c r="OAB3" s="120"/>
      <c r="OAC3" s="120"/>
      <c r="OAD3" s="120"/>
      <c r="OAE3" s="120"/>
      <c r="OAF3" s="120"/>
      <c r="OAG3" s="120"/>
      <c r="OAH3" s="120"/>
      <c r="OAI3" s="120"/>
      <c r="OAJ3" s="120"/>
      <c r="OAK3" s="120"/>
      <c r="OAL3" s="120"/>
      <c r="OAM3" s="120"/>
      <c r="OAN3" s="120"/>
      <c r="OAO3" s="120"/>
      <c r="OAP3" s="120"/>
      <c r="OAQ3" s="120"/>
      <c r="OAR3" s="120"/>
      <c r="OAS3" s="120"/>
      <c r="OAT3" s="120"/>
      <c r="OAU3" s="120"/>
      <c r="OAV3" s="120"/>
      <c r="OAW3" s="120"/>
      <c r="OAX3" s="120"/>
      <c r="OAY3" s="120"/>
      <c r="OAZ3" s="120"/>
      <c r="OBA3" s="120"/>
      <c r="OBB3" s="120"/>
      <c r="OBC3" s="120"/>
      <c r="OBD3" s="120"/>
      <c r="OBE3" s="120"/>
      <c r="OBF3" s="120"/>
      <c r="OBG3" s="120"/>
      <c r="OBH3" s="120"/>
      <c r="OBI3" s="120"/>
      <c r="OBJ3" s="120"/>
      <c r="OBK3" s="120"/>
      <c r="OBL3" s="120"/>
      <c r="OBM3" s="120"/>
      <c r="OBN3" s="120"/>
      <c r="OBO3" s="120"/>
      <c r="OBP3" s="120"/>
      <c r="OBQ3" s="120"/>
      <c r="OBR3" s="120"/>
      <c r="OBS3" s="120"/>
      <c r="OBT3" s="120"/>
      <c r="OBU3" s="120"/>
      <c r="OBV3" s="120"/>
      <c r="OBW3" s="120"/>
      <c r="OBX3" s="120"/>
      <c r="OBY3" s="120"/>
      <c r="OBZ3" s="120"/>
      <c r="OCA3" s="120"/>
      <c r="OCB3" s="120"/>
      <c r="OCC3" s="120"/>
      <c r="OCD3" s="120"/>
      <c r="OCE3" s="120"/>
      <c r="OCF3" s="120"/>
      <c r="OCG3" s="120"/>
      <c r="OCH3" s="120"/>
      <c r="OCI3" s="120"/>
      <c r="OCJ3" s="120"/>
      <c r="OCK3" s="120"/>
      <c r="OCL3" s="120"/>
      <c r="OCM3" s="120"/>
      <c r="OCN3" s="120"/>
      <c r="OCO3" s="120"/>
      <c r="OCP3" s="120"/>
      <c r="OCQ3" s="120"/>
      <c r="OCR3" s="120"/>
      <c r="OCS3" s="120"/>
      <c r="OCT3" s="120"/>
      <c r="OCU3" s="120"/>
      <c r="OCV3" s="120"/>
      <c r="OCW3" s="120"/>
      <c r="OCX3" s="120"/>
      <c r="OCY3" s="120"/>
      <c r="OCZ3" s="120"/>
      <c r="ODA3" s="120"/>
      <c r="ODB3" s="120"/>
      <c r="ODC3" s="120"/>
      <c r="ODD3" s="120"/>
      <c r="ODE3" s="120"/>
      <c r="ODF3" s="120"/>
      <c r="ODG3" s="120"/>
      <c r="ODH3" s="120"/>
      <c r="ODI3" s="120"/>
      <c r="ODJ3" s="120"/>
      <c r="ODK3" s="120"/>
      <c r="ODL3" s="120"/>
      <c r="ODM3" s="120"/>
      <c r="ODN3" s="120"/>
      <c r="ODO3" s="120"/>
      <c r="ODP3" s="120"/>
      <c r="ODQ3" s="120"/>
      <c r="ODR3" s="120"/>
      <c r="ODS3" s="120"/>
      <c r="ODT3" s="120"/>
      <c r="ODU3" s="120"/>
      <c r="ODV3" s="120"/>
      <c r="ODW3" s="120"/>
      <c r="ODX3" s="120"/>
      <c r="ODY3" s="120"/>
      <c r="ODZ3" s="120"/>
      <c r="OEA3" s="120"/>
      <c r="OEB3" s="120"/>
      <c r="OEC3" s="120"/>
      <c r="OED3" s="120"/>
      <c r="OEE3" s="120"/>
      <c r="OEF3" s="120"/>
      <c r="OEG3" s="120"/>
      <c r="OEH3" s="120"/>
      <c r="OEI3" s="120"/>
      <c r="OEJ3" s="120"/>
      <c r="OEK3" s="120"/>
      <c r="OEL3" s="120"/>
      <c r="OEM3" s="120"/>
      <c r="OEN3" s="120"/>
      <c r="OEO3" s="120"/>
      <c r="OEP3" s="120"/>
      <c r="OEQ3" s="120"/>
      <c r="OER3" s="120"/>
      <c r="OES3" s="120"/>
      <c r="OET3" s="120"/>
      <c r="OEU3" s="120"/>
      <c r="OEV3" s="120"/>
      <c r="OEW3" s="120"/>
      <c r="OEX3" s="120"/>
      <c r="OEY3" s="120"/>
      <c r="OEZ3" s="120"/>
      <c r="OFA3" s="120"/>
      <c r="OFB3" s="120"/>
      <c r="OFC3" s="120"/>
      <c r="OFD3" s="120"/>
      <c r="OFE3" s="120"/>
      <c r="OFF3" s="120"/>
      <c r="OFG3" s="120"/>
      <c r="OFH3" s="120"/>
      <c r="OFI3" s="120"/>
      <c r="OFJ3" s="120"/>
      <c r="OFK3" s="120"/>
      <c r="OFL3" s="120"/>
      <c r="OFM3" s="120"/>
      <c r="OFN3" s="120"/>
      <c r="OFO3" s="120"/>
      <c r="OFP3" s="120"/>
      <c r="OFQ3" s="120"/>
      <c r="OFR3" s="120"/>
      <c r="OFS3" s="120"/>
      <c r="OFT3" s="120"/>
      <c r="OFU3" s="120"/>
      <c r="OFV3" s="120"/>
      <c r="OFW3" s="120"/>
      <c r="OFX3" s="120"/>
      <c r="OFY3" s="120"/>
      <c r="OFZ3" s="120"/>
      <c r="OGA3" s="120"/>
      <c r="OGB3" s="120"/>
      <c r="OGC3" s="120"/>
      <c r="OGD3" s="120"/>
      <c r="OGE3" s="120"/>
      <c r="OGF3" s="120"/>
      <c r="OGG3" s="120"/>
      <c r="OGH3" s="120"/>
      <c r="OGI3" s="120"/>
      <c r="OGJ3" s="120"/>
      <c r="OGK3" s="120"/>
      <c r="OGL3" s="120"/>
      <c r="OGM3" s="120"/>
      <c r="OGN3" s="120"/>
      <c r="OGO3" s="120"/>
      <c r="OGP3" s="120"/>
      <c r="OGQ3" s="120"/>
      <c r="OGR3" s="120"/>
      <c r="OGS3" s="120"/>
      <c r="OGT3" s="120"/>
      <c r="OGU3" s="120"/>
      <c r="OGV3" s="120"/>
      <c r="OGW3" s="120"/>
      <c r="OGX3" s="120"/>
      <c r="OGY3" s="120"/>
      <c r="OGZ3" s="120"/>
      <c r="OHA3" s="120"/>
      <c r="OHB3" s="120"/>
      <c r="OHC3" s="120"/>
      <c r="OHD3" s="120"/>
      <c r="OHE3" s="120"/>
      <c r="OHF3" s="120"/>
      <c r="OHG3" s="120"/>
      <c r="OHH3" s="120"/>
      <c r="OHI3" s="120"/>
      <c r="OHJ3" s="120"/>
      <c r="OHK3" s="120"/>
      <c r="OHL3" s="120"/>
      <c r="OHM3" s="120"/>
      <c r="OHN3" s="120"/>
      <c r="OHO3" s="120"/>
      <c r="OHP3" s="120"/>
      <c r="OHQ3" s="120"/>
      <c r="OHR3" s="120"/>
      <c r="OHS3" s="120"/>
      <c r="OHT3" s="120"/>
      <c r="OHU3" s="120"/>
      <c r="OHV3" s="120"/>
      <c r="OHW3" s="120"/>
      <c r="OHX3" s="120"/>
      <c r="OHY3" s="120"/>
      <c r="OHZ3" s="120"/>
      <c r="OIA3" s="120"/>
      <c r="OIB3" s="120"/>
      <c r="OIC3" s="120"/>
      <c r="OID3" s="120"/>
      <c r="OIE3" s="120"/>
      <c r="OIF3" s="120"/>
      <c r="OIG3" s="120"/>
      <c r="OIH3" s="120"/>
      <c r="OII3" s="120"/>
      <c r="OIJ3" s="120"/>
      <c r="OIK3" s="120"/>
      <c r="OIL3" s="120"/>
      <c r="OIM3" s="120"/>
      <c r="OIN3" s="120"/>
      <c r="OIO3" s="120"/>
      <c r="OIP3" s="120"/>
      <c r="OIQ3" s="120"/>
      <c r="OIR3" s="120"/>
      <c r="OIS3" s="120"/>
      <c r="OIT3" s="120"/>
      <c r="OIU3" s="120"/>
      <c r="OIV3" s="120"/>
      <c r="OIW3" s="120"/>
      <c r="OIX3" s="120"/>
      <c r="OIY3" s="120"/>
      <c r="OIZ3" s="120"/>
      <c r="OJA3" s="120"/>
      <c r="OJB3" s="120"/>
      <c r="OJC3" s="120"/>
      <c r="OJD3" s="120"/>
      <c r="OJE3" s="120"/>
      <c r="OJF3" s="120"/>
      <c r="OJG3" s="120"/>
      <c r="OJH3" s="120"/>
      <c r="OJI3" s="120"/>
      <c r="OJJ3" s="120"/>
      <c r="OJK3" s="120"/>
      <c r="OJL3" s="120"/>
      <c r="OJM3" s="120"/>
      <c r="OJN3" s="120"/>
      <c r="OJO3" s="120"/>
      <c r="OJP3" s="120"/>
      <c r="OJQ3" s="120"/>
      <c r="OJR3" s="120"/>
      <c r="OJS3" s="120"/>
      <c r="OJT3" s="120"/>
      <c r="OJU3" s="120"/>
      <c r="OJV3" s="120"/>
      <c r="OJW3" s="120"/>
      <c r="OJX3" s="120"/>
      <c r="OJY3" s="120"/>
      <c r="OJZ3" s="120"/>
      <c r="OKA3" s="120"/>
      <c r="OKB3" s="120"/>
      <c r="OKC3" s="120"/>
      <c r="OKD3" s="120"/>
      <c r="OKE3" s="120"/>
      <c r="OKF3" s="120"/>
      <c r="OKG3" s="120"/>
      <c r="OKH3" s="120"/>
      <c r="OKI3" s="120"/>
      <c r="OKJ3" s="120"/>
      <c r="OKK3" s="120"/>
      <c r="OKL3" s="120"/>
      <c r="OKM3" s="120"/>
      <c r="OKN3" s="120"/>
      <c r="OKO3" s="120"/>
      <c r="OKP3" s="120"/>
      <c r="OKQ3" s="120"/>
      <c r="OKR3" s="120"/>
      <c r="OKS3" s="120"/>
      <c r="OKT3" s="120"/>
      <c r="OKU3" s="120"/>
      <c r="OKV3" s="120"/>
      <c r="OKW3" s="120"/>
      <c r="OKX3" s="120"/>
      <c r="OKY3" s="120"/>
      <c r="OKZ3" s="120"/>
      <c r="OLA3" s="120"/>
      <c r="OLB3" s="120"/>
      <c r="OLC3" s="120"/>
      <c r="OLD3" s="120"/>
      <c r="OLE3" s="120"/>
      <c r="OLF3" s="120"/>
      <c r="OLG3" s="120"/>
      <c r="OLH3" s="120"/>
      <c r="OLI3" s="120"/>
      <c r="OLJ3" s="120"/>
      <c r="OLK3" s="120"/>
      <c r="OLL3" s="120"/>
      <c r="OLM3" s="120"/>
      <c r="OLN3" s="120"/>
      <c r="OLO3" s="120"/>
      <c r="OLP3" s="120"/>
      <c r="OLQ3" s="120"/>
      <c r="OLR3" s="120"/>
      <c r="OLS3" s="120"/>
      <c r="OLT3" s="120"/>
      <c r="OLU3" s="120"/>
      <c r="OLV3" s="120"/>
      <c r="OLW3" s="120"/>
      <c r="OLX3" s="120"/>
      <c r="OLY3" s="120"/>
      <c r="OLZ3" s="120"/>
      <c r="OMA3" s="120"/>
      <c r="OMB3" s="120"/>
      <c r="OMC3" s="120"/>
      <c r="OMD3" s="120"/>
      <c r="OME3" s="120"/>
      <c r="OMF3" s="120"/>
      <c r="OMG3" s="120"/>
      <c r="OMH3" s="120"/>
      <c r="OMI3" s="120"/>
      <c r="OMJ3" s="120"/>
      <c r="OMK3" s="120"/>
      <c r="OML3" s="120"/>
      <c r="OMM3" s="120"/>
      <c r="OMN3" s="120"/>
      <c r="OMO3" s="120"/>
      <c r="OMP3" s="120"/>
      <c r="OMQ3" s="120"/>
      <c r="OMR3" s="120"/>
      <c r="OMS3" s="120"/>
      <c r="OMT3" s="120"/>
      <c r="OMU3" s="120"/>
      <c r="OMV3" s="120"/>
      <c r="OMW3" s="120"/>
      <c r="OMX3" s="120"/>
      <c r="OMY3" s="120"/>
      <c r="OMZ3" s="120"/>
      <c r="ONA3" s="120"/>
      <c r="ONB3" s="120"/>
      <c r="ONC3" s="120"/>
      <c r="OND3" s="120"/>
      <c r="ONE3" s="120"/>
      <c r="ONF3" s="120"/>
      <c r="ONG3" s="120"/>
      <c r="ONH3" s="120"/>
      <c r="ONI3" s="120"/>
      <c r="ONJ3" s="120"/>
      <c r="ONK3" s="120"/>
      <c r="ONL3" s="120"/>
      <c r="ONM3" s="120"/>
      <c r="ONN3" s="120"/>
      <c r="ONO3" s="120"/>
      <c r="ONP3" s="120"/>
      <c r="ONQ3" s="120"/>
      <c r="ONR3" s="120"/>
      <c r="ONS3" s="120"/>
      <c r="ONT3" s="120"/>
      <c r="ONU3" s="120"/>
      <c r="ONV3" s="120"/>
      <c r="ONW3" s="120"/>
      <c r="ONX3" s="120"/>
      <c r="ONY3" s="120"/>
      <c r="ONZ3" s="120"/>
      <c r="OOA3" s="120"/>
      <c r="OOB3" s="120"/>
      <c r="OOC3" s="120"/>
      <c r="OOD3" s="120"/>
      <c r="OOE3" s="120"/>
      <c r="OOF3" s="120"/>
      <c r="OOG3" s="120"/>
      <c r="OOH3" s="120"/>
      <c r="OOI3" s="120"/>
      <c r="OOJ3" s="120"/>
      <c r="OOK3" s="120"/>
      <c r="OOL3" s="120"/>
      <c r="OOM3" s="120"/>
      <c r="OON3" s="120"/>
      <c r="OOO3" s="120"/>
      <c r="OOP3" s="120"/>
      <c r="OOQ3" s="120"/>
      <c r="OOR3" s="120"/>
      <c r="OOS3" s="120"/>
      <c r="OOT3" s="120"/>
      <c r="OOU3" s="120"/>
      <c r="OOV3" s="120"/>
      <c r="OOW3" s="120"/>
      <c r="OOX3" s="120"/>
      <c r="OOY3" s="120"/>
      <c r="OOZ3" s="120"/>
      <c r="OPA3" s="120"/>
      <c r="OPB3" s="120"/>
      <c r="OPC3" s="120"/>
      <c r="OPD3" s="120"/>
      <c r="OPE3" s="120"/>
      <c r="OPF3" s="120"/>
      <c r="OPG3" s="120"/>
      <c r="OPH3" s="120"/>
      <c r="OPI3" s="120"/>
      <c r="OPJ3" s="120"/>
      <c r="OPK3" s="120"/>
      <c r="OPL3" s="120"/>
      <c r="OPM3" s="120"/>
      <c r="OPN3" s="120"/>
      <c r="OPO3" s="120"/>
      <c r="OPP3" s="120"/>
      <c r="OPQ3" s="120"/>
      <c r="OPR3" s="120"/>
      <c r="OPS3" s="120"/>
      <c r="OPT3" s="120"/>
      <c r="OPU3" s="120"/>
      <c r="OPV3" s="120"/>
      <c r="OPW3" s="120"/>
      <c r="OPX3" s="120"/>
      <c r="OPY3" s="120"/>
      <c r="OPZ3" s="120"/>
      <c r="OQA3" s="120"/>
      <c r="OQB3" s="120"/>
      <c r="OQC3" s="120"/>
      <c r="OQD3" s="120"/>
      <c r="OQE3" s="120"/>
      <c r="OQF3" s="120"/>
      <c r="OQG3" s="120"/>
      <c r="OQH3" s="120"/>
      <c r="OQI3" s="120"/>
      <c r="OQJ3" s="120"/>
      <c r="OQK3" s="120"/>
      <c r="OQL3" s="120"/>
      <c r="OQM3" s="120"/>
      <c r="OQN3" s="120"/>
      <c r="OQO3" s="120"/>
      <c r="OQP3" s="120"/>
      <c r="OQQ3" s="120"/>
      <c r="OQR3" s="120"/>
      <c r="OQS3" s="120"/>
      <c r="OQT3" s="120"/>
      <c r="OQU3" s="120"/>
      <c r="OQV3" s="120"/>
      <c r="OQW3" s="120"/>
      <c r="OQX3" s="120"/>
      <c r="OQY3" s="120"/>
      <c r="OQZ3" s="120"/>
      <c r="ORA3" s="120"/>
      <c r="ORB3" s="120"/>
      <c r="ORC3" s="120"/>
      <c r="ORD3" s="120"/>
      <c r="ORE3" s="120"/>
      <c r="ORF3" s="120"/>
      <c r="ORG3" s="120"/>
      <c r="ORH3" s="120"/>
      <c r="ORI3" s="120"/>
      <c r="ORJ3" s="120"/>
      <c r="ORK3" s="120"/>
      <c r="ORL3" s="120"/>
      <c r="ORM3" s="120"/>
      <c r="ORN3" s="120"/>
      <c r="ORO3" s="120"/>
      <c r="ORP3" s="120"/>
      <c r="ORQ3" s="120"/>
      <c r="ORR3" s="120"/>
      <c r="ORS3" s="120"/>
      <c r="ORT3" s="120"/>
      <c r="ORU3" s="120"/>
      <c r="ORV3" s="120"/>
      <c r="ORW3" s="120"/>
      <c r="ORX3" s="120"/>
      <c r="ORY3" s="120"/>
      <c r="ORZ3" s="120"/>
      <c r="OSA3" s="120"/>
      <c r="OSB3" s="120"/>
      <c r="OSC3" s="120"/>
      <c r="OSD3" s="120"/>
      <c r="OSE3" s="120"/>
      <c r="OSF3" s="120"/>
      <c r="OSG3" s="120"/>
      <c r="OSH3" s="120"/>
      <c r="OSI3" s="120"/>
      <c r="OSJ3" s="120"/>
      <c r="OSK3" s="120"/>
      <c r="OSL3" s="120"/>
      <c r="OSM3" s="120"/>
      <c r="OSN3" s="120"/>
      <c r="OSO3" s="120"/>
      <c r="OSP3" s="120"/>
      <c r="OSQ3" s="120"/>
      <c r="OSR3" s="120"/>
      <c r="OSS3" s="120"/>
      <c r="OST3" s="120"/>
      <c r="OSU3" s="120"/>
      <c r="OSV3" s="120"/>
      <c r="OSW3" s="120"/>
      <c r="OSX3" s="120"/>
      <c r="OSY3" s="120"/>
      <c r="OSZ3" s="120"/>
      <c r="OTA3" s="120"/>
      <c r="OTB3" s="120"/>
      <c r="OTC3" s="120"/>
      <c r="OTD3" s="120"/>
      <c r="OTE3" s="120"/>
      <c r="OTF3" s="120"/>
      <c r="OTG3" s="120"/>
      <c r="OTH3" s="120"/>
      <c r="OTI3" s="120"/>
      <c r="OTJ3" s="120"/>
      <c r="OTK3" s="120"/>
      <c r="OTL3" s="120"/>
      <c r="OTM3" s="120"/>
      <c r="OTN3" s="120"/>
      <c r="OTO3" s="120"/>
      <c r="OTP3" s="120"/>
      <c r="OTQ3" s="120"/>
      <c r="OTR3" s="120"/>
      <c r="OTS3" s="120"/>
      <c r="OTT3" s="120"/>
      <c r="OTU3" s="120"/>
      <c r="OTV3" s="120"/>
      <c r="OTW3" s="120"/>
      <c r="OTX3" s="120"/>
      <c r="OTY3" s="120"/>
      <c r="OTZ3" s="120"/>
      <c r="OUA3" s="120"/>
      <c r="OUB3" s="120"/>
      <c r="OUC3" s="120"/>
      <c r="OUD3" s="120"/>
      <c r="OUE3" s="120"/>
      <c r="OUF3" s="120"/>
      <c r="OUG3" s="120"/>
      <c r="OUH3" s="120"/>
      <c r="OUI3" s="120"/>
      <c r="OUJ3" s="120"/>
      <c r="OUK3" s="120"/>
      <c r="OUL3" s="120"/>
      <c r="OUM3" s="120"/>
      <c r="OUN3" s="120"/>
      <c r="OUO3" s="120"/>
      <c r="OUP3" s="120"/>
      <c r="OUQ3" s="120"/>
      <c r="OUR3" s="120"/>
      <c r="OUS3" s="120"/>
      <c r="OUT3" s="120"/>
      <c r="OUU3" s="120"/>
      <c r="OUV3" s="120"/>
      <c r="OUW3" s="120"/>
      <c r="OUX3" s="120"/>
      <c r="OUY3" s="120"/>
      <c r="OUZ3" s="120"/>
      <c r="OVA3" s="120"/>
      <c r="OVB3" s="120"/>
      <c r="OVC3" s="120"/>
      <c r="OVD3" s="120"/>
      <c r="OVE3" s="120"/>
      <c r="OVF3" s="120"/>
      <c r="OVG3" s="120"/>
      <c r="OVH3" s="120"/>
      <c r="OVI3" s="120"/>
      <c r="OVJ3" s="120"/>
      <c r="OVK3" s="120"/>
      <c r="OVL3" s="120"/>
      <c r="OVM3" s="120"/>
      <c r="OVN3" s="120"/>
      <c r="OVO3" s="120"/>
      <c r="OVP3" s="120"/>
      <c r="OVQ3" s="120"/>
      <c r="OVR3" s="120"/>
      <c r="OVS3" s="120"/>
      <c r="OVT3" s="120"/>
      <c r="OVU3" s="120"/>
      <c r="OVV3" s="120"/>
      <c r="OVW3" s="120"/>
      <c r="OVX3" s="120"/>
      <c r="OVY3" s="120"/>
      <c r="OVZ3" s="120"/>
      <c r="OWA3" s="120"/>
      <c r="OWB3" s="120"/>
      <c r="OWC3" s="120"/>
      <c r="OWD3" s="120"/>
      <c r="OWE3" s="120"/>
      <c r="OWF3" s="120"/>
      <c r="OWG3" s="120"/>
      <c r="OWH3" s="120"/>
      <c r="OWI3" s="120"/>
      <c r="OWJ3" s="120"/>
      <c r="OWK3" s="120"/>
      <c r="OWL3" s="120"/>
      <c r="OWM3" s="120"/>
      <c r="OWN3" s="120"/>
      <c r="OWO3" s="120"/>
      <c r="OWP3" s="120"/>
      <c r="OWQ3" s="120"/>
      <c r="OWR3" s="120"/>
      <c r="OWS3" s="120"/>
      <c r="OWT3" s="120"/>
      <c r="OWU3" s="120"/>
      <c r="OWV3" s="120"/>
      <c r="OWW3" s="120"/>
      <c r="OWX3" s="120"/>
      <c r="OWY3" s="120"/>
      <c r="OWZ3" s="120"/>
      <c r="OXA3" s="120"/>
      <c r="OXB3" s="120"/>
      <c r="OXC3" s="120"/>
      <c r="OXD3" s="120"/>
      <c r="OXE3" s="120"/>
      <c r="OXF3" s="120"/>
      <c r="OXG3" s="120"/>
      <c r="OXH3" s="120"/>
      <c r="OXI3" s="120"/>
      <c r="OXJ3" s="120"/>
      <c r="OXK3" s="120"/>
      <c r="OXL3" s="120"/>
      <c r="OXM3" s="120"/>
      <c r="OXN3" s="120"/>
      <c r="OXO3" s="120"/>
      <c r="OXP3" s="120"/>
      <c r="OXQ3" s="120"/>
      <c r="OXR3" s="120"/>
      <c r="OXS3" s="120"/>
      <c r="OXT3" s="120"/>
      <c r="OXU3" s="120"/>
      <c r="OXV3" s="120"/>
      <c r="OXW3" s="120"/>
      <c r="OXX3" s="120"/>
      <c r="OXY3" s="120"/>
      <c r="OXZ3" s="120"/>
      <c r="OYA3" s="120"/>
      <c r="OYB3" s="120"/>
      <c r="OYC3" s="120"/>
      <c r="OYD3" s="120"/>
      <c r="OYE3" s="120"/>
      <c r="OYF3" s="120"/>
      <c r="OYG3" s="120"/>
      <c r="OYH3" s="120"/>
      <c r="OYI3" s="120"/>
      <c r="OYJ3" s="120"/>
      <c r="OYK3" s="120"/>
      <c r="OYL3" s="120"/>
      <c r="OYM3" s="120"/>
      <c r="OYN3" s="120"/>
      <c r="OYO3" s="120"/>
      <c r="OYP3" s="120"/>
      <c r="OYQ3" s="120"/>
      <c r="OYR3" s="120"/>
      <c r="OYS3" s="120"/>
      <c r="OYT3" s="120"/>
      <c r="OYU3" s="120"/>
      <c r="OYV3" s="120"/>
      <c r="OYW3" s="120"/>
      <c r="OYX3" s="120"/>
      <c r="OYY3" s="120"/>
      <c r="OYZ3" s="120"/>
      <c r="OZA3" s="120"/>
      <c r="OZB3" s="120"/>
      <c r="OZC3" s="120"/>
      <c r="OZD3" s="120"/>
      <c r="OZE3" s="120"/>
      <c r="OZF3" s="120"/>
      <c r="OZG3" s="120"/>
      <c r="OZH3" s="120"/>
      <c r="OZI3" s="120"/>
      <c r="OZJ3" s="120"/>
      <c r="OZK3" s="120"/>
      <c r="OZL3" s="120"/>
      <c r="OZM3" s="120"/>
      <c r="OZN3" s="120"/>
      <c r="OZO3" s="120"/>
      <c r="OZP3" s="120"/>
      <c r="OZQ3" s="120"/>
      <c r="OZR3" s="120"/>
      <c r="OZS3" s="120"/>
      <c r="OZT3" s="120"/>
      <c r="OZU3" s="120"/>
      <c r="OZV3" s="120"/>
      <c r="OZW3" s="120"/>
      <c r="OZX3" s="120"/>
      <c r="OZY3" s="120"/>
      <c r="OZZ3" s="120"/>
      <c r="PAA3" s="120"/>
      <c r="PAB3" s="120"/>
      <c r="PAC3" s="120"/>
      <c r="PAD3" s="120"/>
      <c r="PAE3" s="120"/>
      <c r="PAF3" s="120"/>
      <c r="PAG3" s="120"/>
      <c r="PAH3" s="120"/>
      <c r="PAI3" s="120"/>
      <c r="PAJ3" s="120"/>
      <c r="PAK3" s="120"/>
      <c r="PAL3" s="120"/>
      <c r="PAM3" s="120"/>
      <c r="PAN3" s="120"/>
      <c r="PAO3" s="120"/>
      <c r="PAP3" s="120"/>
      <c r="PAQ3" s="120"/>
      <c r="PAR3" s="120"/>
      <c r="PAS3" s="120"/>
      <c r="PAT3" s="120"/>
      <c r="PAU3" s="120"/>
      <c r="PAV3" s="120"/>
      <c r="PAW3" s="120"/>
      <c r="PAX3" s="120"/>
      <c r="PAY3" s="120"/>
      <c r="PAZ3" s="120"/>
      <c r="PBA3" s="120"/>
      <c r="PBB3" s="120"/>
      <c r="PBC3" s="120"/>
      <c r="PBD3" s="120"/>
      <c r="PBE3" s="120"/>
      <c r="PBF3" s="120"/>
      <c r="PBG3" s="120"/>
      <c r="PBH3" s="120"/>
      <c r="PBI3" s="120"/>
      <c r="PBJ3" s="120"/>
      <c r="PBK3" s="120"/>
      <c r="PBL3" s="120"/>
      <c r="PBM3" s="120"/>
      <c r="PBN3" s="120"/>
      <c r="PBO3" s="120"/>
      <c r="PBP3" s="120"/>
      <c r="PBQ3" s="120"/>
      <c r="PBR3" s="120"/>
      <c r="PBS3" s="120"/>
      <c r="PBT3" s="120"/>
      <c r="PBU3" s="120"/>
      <c r="PBV3" s="120"/>
      <c r="PBW3" s="120"/>
      <c r="PBX3" s="120"/>
      <c r="PBY3" s="120"/>
      <c r="PBZ3" s="120"/>
      <c r="PCA3" s="120"/>
      <c r="PCB3" s="120"/>
      <c r="PCC3" s="120"/>
      <c r="PCD3" s="120"/>
      <c r="PCE3" s="120"/>
      <c r="PCF3" s="120"/>
      <c r="PCG3" s="120"/>
      <c r="PCH3" s="120"/>
      <c r="PCI3" s="120"/>
      <c r="PCJ3" s="120"/>
      <c r="PCK3" s="120"/>
      <c r="PCL3" s="120"/>
      <c r="PCM3" s="120"/>
      <c r="PCN3" s="120"/>
      <c r="PCO3" s="120"/>
      <c r="PCP3" s="120"/>
      <c r="PCQ3" s="120"/>
      <c r="PCR3" s="120"/>
      <c r="PCS3" s="120"/>
      <c r="PCT3" s="120"/>
      <c r="PCU3" s="120"/>
      <c r="PCV3" s="120"/>
      <c r="PCW3" s="120"/>
      <c r="PCX3" s="120"/>
      <c r="PCY3" s="120"/>
      <c r="PCZ3" s="120"/>
      <c r="PDA3" s="120"/>
      <c r="PDB3" s="120"/>
      <c r="PDC3" s="120"/>
      <c r="PDD3" s="120"/>
      <c r="PDE3" s="120"/>
      <c r="PDF3" s="120"/>
      <c r="PDG3" s="120"/>
      <c r="PDH3" s="120"/>
      <c r="PDI3" s="120"/>
      <c r="PDJ3" s="120"/>
      <c r="PDK3" s="120"/>
      <c r="PDL3" s="120"/>
      <c r="PDM3" s="120"/>
      <c r="PDN3" s="120"/>
      <c r="PDO3" s="120"/>
      <c r="PDP3" s="120"/>
      <c r="PDQ3" s="120"/>
      <c r="PDR3" s="120"/>
      <c r="PDS3" s="120"/>
      <c r="PDT3" s="120"/>
      <c r="PDU3" s="120"/>
      <c r="PDV3" s="120"/>
      <c r="PDW3" s="120"/>
      <c r="PDX3" s="120"/>
      <c r="PDY3" s="120"/>
      <c r="PDZ3" s="120"/>
      <c r="PEA3" s="120"/>
      <c r="PEB3" s="120"/>
      <c r="PEC3" s="120"/>
      <c r="PED3" s="120"/>
      <c r="PEE3" s="120"/>
      <c r="PEF3" s="120"/>
      <c r="PEG3" s="120"/>
      <c r="PEH3" s="120"/>
      <c r="PEI3" s="120"/>
      <c r="PEJ3" s="120"/>
      <c r="PEK3" s="120"/>
      <c r="PEL3" s="120"/>
      <c r="PEM3" s="120"/>
      <c r="PEN3" s="120"/>
      <c r="PEO3" s="120"/>
      <c r="PEP3" s="120"/>
      <c r="PEQ3" s="120"/>
      <c r="PER3" s="120"/>
      <c r="PES3" s="120"/>
      <c r="PET3" s="120"/>
      <c r="PEU3" s="120"/>
      <c r="PEV3" s="120"/>
      <c r="PEW3" s="120"/>
      <c r="PEX3" s="120"/>
      <c r="PEY3" s="120"/>
      <c r="PEZ3" s="120"/>
      <c r="PFA3" s="120"/>
      <c r="PFB3" s="120"/>
      <c r="PFC3" s="120"/>
      <c r="PFD3" s="120"/>
      <c r="PFE3" s="120"/>
      <c r="PFF3" s="120"/>
      <c r="PFG3" s="120"/>
      <c r="PFH3" s="120"/>
      <c r="PFI3" s="120"/>
      <c r="PFJ3" s="120"/>
      <c r="PFK3" s="120"/>
      <c r="PFL3" s="120"/>
      <c r="PFM3" s="120"/>
      <c r="PFN3" s="120"/>
      <c r="PFO3" s="120"/>
      <c r="PFP3" s="120"/>
      <c r="PFQ3" s="120"/>
      <c r="PFR3" s="120"/>
      <c r="PFS3" s="120"/>
      <c r="PFT3" s="120"/>
      <c r="PFU3" s="120"/>
      <c r="PFV3" s="120"/>
      <c r="PFW3" s="120"/>
      <c r="PFX3" s="120"/>
      <c r="PFY3" s="120"/>
      <c r="PFZ3" s="120"/>
      <c r="PGA3" s="120"/>
      <c r="PGB3" s="120"/>
      <c r="PGC3" s="120"/>
      <c r="PGD3" s="120"/>
      <c r="PGE3" s="120"/>
      <c r="PGF3" s="120"/>
      <c r="PGG3" s="120"/>
      <c r="PGH3" s="120"/>
      <c r="PGI3" s="120"/>
      <c r="PGJ3" s="120"/>
      <c r="PGK3" s="120"/>
      <c r="PGL3" s="120"/>
      <c r="PGM3" s="120"/>
      <c r="PGN3" s="120"/>
      <c r="PGO3" s="120"/>
      <c r="PGP3" s="120"/>
      <c r="PGQ3" s="120"/>
      <c r="PGR3" s="120"/>
      <c r="PGS3" s="120"/>
      <c r="PGT3" s="120"/>
      <c r="PGU3" s="120"/>
      <c r="PGV3" s="120"/>
      <c r="PGW3" s="120"/>
      <c r="PGX3" s="120"/>
      <c r="PGY3" s="120"/>
      <c r="PGZ3" s="120"/>
      <c r="PHA3" s="120"/>
      <c r="PHB3" s="120"/>
      <c r="PHC3" s="120"/>
      <c r="PHD3" s="120"/>
      <c r="PHE3" s="120"/>
      <c r="PHF3" s="120"/>
      <c r="PHG3" s="120"/>
      <c r="PHH3" s="120"/>
      <c r="PHI3" s="120"/>
      <c r="PHJ3" s="120"/>
      <c r="PHK3" s="120"/>
      <c r="PHL3" s="120"/>
      <c r="PHM3" s="120"/>
      <c r="PHN3" s="120"/>
      <c r="PHO3" s="120"/>
      <c r="PHP3" s="120"/>
      <c r="PHQ3" s="120"/>
      <c r="PHR3" s="120"/>
      <c r="PHS3" s="120"/>
      <c r="PHT3" s="120"/>
      <c r="PHU3" s="120"/>
      <c r="PHV3" s="120"/>
      <c r="PHW3" s="120"/>
      <c r="PHX3" s="120"/>
      <c r="PHY3" s="120"/>
      <c r="PHZ3" s="120"/>
      <c r="PIA3" s="120"/>
      <c r="PIB3" s="120"/>
      <c r="PIC3" s="120"/>
      <c r="PID3" s="120"/>
      <c r="PIE3" s="120"/>
      <c r="PIF3" s="120"/>
      <c r="PIG3" s="120"/>
      <c r="PIH3" s="120"/>
      <c r="PII3" s="120"/>
      <c r="PIJ3" s="120"/>
      <c r="PIK3" s="120"/>
      <c r="PIL3" s="120"/>
      <c r="PIM3" s="120"/>
      <c r="PIN3" s="120"/>
      <c r="PIO3" s="120"/>
      <c r="PIP3" s="120"/>
      <c r="PIQ3" s="120"/>
      <c r="PIR3" s="120"/>
      <c r="PIS3" s="120"/>
      <c r="PIT3" s="120"/>
      <c r="PIU3" s="120"/>
      <c r="PIV3" s="120"/>
      <c r="PIW3" s="120"/>
      <c r="PIX3" s="120"/>
      <c r="PIY3" s="120"/>
      <c r="PIZ3" s="120"/>
      <c r="PJA3" s="120"/>
      <c r="PJB3" s="120"/>
      <c r="PJC3" s="120"/>
      <c r="PJD3" s="120"/>
      <c r="PJE3" s="120"/>
      <c r="PJF3" s="120"/>
      <c r="PJG3" s="120"/>
      <c r="PJH3" s="120"/>
      <c r="PJI3" s="120"/>
      <c r="PJJ3" s="120"/>
      <c r="PJK3" s="120"/>
      <c r="PJL3" s="120"/>
      <c r="PJM3" s="120"/>
      <c r="PJN3" s="120"/>
      <c r="PJO3" s="120"/>
      <c r="PJP3" s="120"/>
      <c r="PJQ3" s="120"/>
      <c r="PJR3" s="120"/>
      <c r="PJS3" s="120"/>
      <c r="PJT3" s="120"/>
      <c r="PJU3" s="120"/>
      <c r="PJV3" s="120"/>
      <c r="PJW3" s="120"/>
      <c r="PJX3" s="120"/>
      <c r="PJY3" s="120"/>
      <c r="PJZ3" s="120"/>
      <c r="PKA3" s="120"/>
      <c r="PKB3" s="120"/>
      <c r="PKC3" s="120"/>
      <c r="PKD3" s="120"/>
      <c r="PKE3" s="120"/>
      <c r="PKF3" s="120"/>
      <c r="PKG3" s="120"/>
      <c r="PKH3" s="120"/>
      <c r="PKI3" s="120"/>
      <c r="PKJ3" s="120"/>
      <c r="PKK3" s="120"/>
      <c r="PKL3" s="120"/>
      <c r="PKM3" s="120"/>
      <c r="PKN3" s="120"/>
      <c r="PKO3" s="120"/>
      <c r="PKP3" s="120"/>
      <c r="PKQ3" s="120"/>
      <c r="PKR3" s="120"/>
      <c r="PKS3" s="120"/>
      <c r="PKT3" s="120"/>
      <c r="PKU3" s="120"/>
      <c r="PKV3" s="120"/>
      <c r="PKW3" s="120"/>
      <c r="PKX3" s="120"/>
      <c r="PKY3" s="120"/>
      <c r="PKZ3" s="120"/>
      <c r="PLA3" s="120"/>
      <c r="PLB3" s="120"/>
      <c r="PLC3" s="120"/>
      <c r="PLD3" s="120"/>
      <c r="PLE3" s="120"/>
      <c r="PLF3" s="120"/>
      <c r="PLG3" s="120"/>
      <c r="PLH3" s="120"/>
      <c r="PLI3" s="120"/>
      <c r="PLJ3" s="120"/>
      <c r="PLK3" s="120"/>
      <c r="PLL3" s="120"/>
      <c r="PLM3" s="120"/>
      <c r="PLN3" s="120"/>
      <c r="PLO3" s="120"/>
      <c r="PLP3" s="120"/>
      <c r="PLQ3" s="120"/>
      <c r="PLR3" s="120"/>
      <c r="PLS3" s="120"/>
      <c r="PLT3" s="120"/>
      <c r="PLU3" s="120"/>
      <c r="PLV3" s="120"/>
      <c r="PLW3" s="120"/>
      <c r="PLX3" s="120"/>
      <c r="PLY3" s="120"/>
      <c r="PLZ3" s="120"/>
      <c r="PMA3" s="120"/>
      <c r="PMB3" s="120"/>
      <c r="PMC3" s="120"/>
      <c r="PMD3" s="120"/>
      <c r="PME3" s="120"/>
      <c r="PMF3" s="120"/>
      <c r="PMG3" s="120"/>
      <c r="PMH3" s="120"/>
      <c r="PMI3" s="120"/>
      <c r="PMJ3" s="120"/>
      <c r="PMK3" s="120"/>
      <c r="PML3" s="120"/>
      <c r="PMM3" s="120"/>
      <c r="PMN3" s="120"/>
      <c r="PMO3" s="120"/>
      <c r="PMP3" s="120"/>
      <c r="PMQ3" s="120"/>
      <c r="PMR3" s="120"/>
      <c r="PMS3" s="120"/>
      <c r="PMT3" s="120"/>
      <c r="PMU3" s="120"/>
      <c r="PMV3" s="120"/>
      <c r="PMW3" s="120"/>
      <c r="PMX3" s="120"/>
      <c r="PMY3" s="120"/>
      <c r="PMZ3" s="120"/>
      <c r="PNA3" s="120"/>
      <c r="PNB3" s="120"/>
      <c r="PNC3" s="120"/>
      <c r="PND3" s="120"/>
      <c r="PNE3" s="120"/>
      <c r="PNF3" s="120"/>
      <c r="PNG3" s="120"/>
      <c r="PNH3" s="120"/>
      <c r="PNI3" s="120"/>
      <c r="PNJ3" s="120"/>
      <c r="PNK3" s="120"/>
      <c r="PNL3" s="120"/>
      <c r="PNM3" s="120"/>
      <c r="PNN3" s="120"/>
      <c r="PNO3" s="120"/>
      <c r="PNP3" s="120"/>
      <c r="PNQ3" s="120"/>
      <c r="PNR3" s="120"/>
      <c r="PNS3" s="120"/>
      <c r="PNT3" s="120"/>
      <c r="PNU3" s="120"/>
      <c r="PNV3" s="120"/>
      <c r="PNW3" s="120"/>
      <c r="PNX3" s="120"/>
      <c r="PNY3" s="120"/>
      <c r="PNZ3" s="120"/>
      <c r="POA3" s="120"/>
      <c r="POB3" s="120"/>
      <c r="POC3" s="120"/>
      <c r="POD3" s="120"/>
      <c r="POE3" s="120"/>
      <c r="POF3" s="120"/>
      <c r="POG3" s="120"/>
      <c r="POH3" s="120"/>
      <c r="POI3" s="120"/>
      <c r="POJ3" s="120"/>
      <c r="POK3" s="120"/>
      <c r="POL3" s="120"/>
      <c r="POM3" s="120"/>
      <c r="PON3" s="120"/>
      <c r="POO3" s="120"/>
      <c r="POP3" s="120"/>
      <c r="POQ3" s="120"/>
      <c r="POR3" s="120"/>
      <c r="POS3" s="120"/>
      <c r="POT3" s="120"/>
      <c r="POU3" s="120"/>
      <c r="POV3" s="120"/>
      <c r="POW3" s="120"/>
      <c r="POX3" s="120"/>
      <c r="POY3" s="120"/>
      <c r="POZ3" s="120"/>
      <c r="PPA3" s="120"/>
      <c r="PPB3" s="120"/>
      <c r="PPC3" s="120"/>
      <c r="PPD3" s="120"/>
      <c r="PPE3" s="120"/>
      <c r="PPF3" s="120"/>
      <c r="PPG3" s="120"/>
      <c r="PPH3" s="120"/>
      <c r="PPI3" s="120"/>
      <c r="PPJ3" s="120"/>
      <c r="PPK3" s="120"/>
      <c r="PPL3" s="120"/>
      <c r="PPM3" s="120"/>
      <c r="PPN3" s="120"/>
      <c r="PPO3" s="120"/>
      <c r="PPP3" s="120"/>
      <c r="PPQ3" s="120"/>
      <c r="PPR3" s="120"/>
      <c r="PPS3" s="120"/>
      <c r="PPT3" s="120"/>
      <c r="PPU3" s="120"/>
      <c r="PPV3" s="120"/>
      <c r="PPW3" s="120"/>
      <c r="PPX3" s="120"/>
      <c r="PPY3" s="120"/>
      <c r="PPZ3" s="120"/>
      <c r="PQA3" s="120"/>
      <c r="PQB3" s="120"/>
      <c r="PQC3" s="120"/>
      <c r="PQD3" s="120"/>
      <c r="PQE3" s="120"/>
      <c r="PQF3" s="120"/>
      <c r="PQG3" s="120"/>
      <c r="PQH3" s="120"/>
      <c r="PQI3" s="120"/>
      <c r="PQJ3" s="120"/>
      <c r="PQK3" s="120"/>
      <c r="PQL3" s="120"/>
      <c r="PQM3" s="120"/>
      <c r="PQN3" s="120"/>
      <c r="PQO3" s="120"/>
      <c r="PQP3" s="120"/>
      <c r="PQQ3" s="120"/>
      <c r="PQR3" s="120"/>
      <c r="PQS3" s="120"/>
      <c r="PQT3" s="120"/>
      <c r="PQU3" s="120"/>
      <c r="PQV3" s="120"/>
      <c r="PQW3" s="120"/>
      <c r="PQX3" s="120"/>
      <c r="PQY3" s="120"/>
      <c r="PQZ3" s="120"/>
      <c r="PRA3" s="120"/>
      <c r="PRB3" s="120"/>
      <c r="PRC3" s="120"/>
      <c r="PRD3" s="120"/>
      <c r="PRE3" s="120"/>
      <c r="PRF3" s="120"/>
      <c r="PRG3" s="120"/>
      <c r="PRH3" s="120"/>
      <c r="PRI3" s="120"/>
      <c r="PRJ3" s="120"/>
      <c r="PRK3" s="120"/>
      <c r="PRL3" s="120"/>
      <c r="PRM3" s="120"/>
      <c r="PRN3" s="120"/>
      <c r="PRO3" s="120"/>
      <c r="PRP3" s="120"/>
      <c r="PRQ3" s="120"/>
      <c r="PRR3" s="120"/>
      <c r="PRS3" s="120"/>
      <c r="PRT3" s="120"/>
      <c r="PRU3" s="120"/>
      <c r="PRV3" s="120"/>
      <c r="PRW3" s="120"/>
      <c r="PRX3" s="120"/>
      <c r="PRY3" s="120"/>
      <c r="PRZ3" s="120"/>
      <c r="PSA3" s="120"/>
      <c r="PSB3" s="120"/>
      <c r="PSC3" s="120"/>
      <c r="PSD3" s="120"/>
      <c r="PSE3" s="120"/>
      <c r="PSF3" s="120"/>
      <c r="PSG3" s="120"/>
      <c r="PSH3" s="120"/>
      <c r="PSI3" s="120"/>
      <c r="PSJ3" s="120"/>
      <c r="PSK3" s="120"/>
      <c r="PSL3" s="120"/>
      <c r="PSM3" s="120"/>
      <c r="PSN3" s="120"/>
      <c r="PSO3" s="120"/>
      <c r="PSP3" s="120"/>
      <c r="PSQ3" s="120"/>
      <c r="PSR3" s="120"/>
      <c r="PSS3" s="120"/>
      <c r="PST3" s="120"/>
      <c r="PSU3" s="120"/>
      <c r="PSV3" s="120"/>
      <c r="PSW3" s="120"/>
      <c r="PSX3" s="120"/>
      <c r="PSY3" s="120"/>
      <c r="PSZ3" s="120"/>
      <c r="PTA3" s="120"/>
      <c r="PTB3" s="120"/>
      <c r="PTC3" s="120"/>
      <c r="PTD3" s="120"/>
      <c r="PTE3" s="120"/>
      <c r="PTF3" s="120"/>
      <c r="PTG3" s="120"/>
      <c r="PTH3" s="120"/>
      <c r="PTI3" s="120"/>
      <c r="PTJ3" s="120"/>
      <c r="PTK3" s="120"/>
      <c r="PTL3" s="120"/>
      <c r="PTM3" s="120"/>
      <c r="PTN3" s="120"/>
      <c r="PTO3" s="120"/>
      <c r="PTP3" s="120"/>
      <c r="PTQ3" s="120"/>
      <c r="PTR3" s="120"/>
      <c r="PTS3" s="120"/>
      <c r="PTT3" s="120"/>
      <c r="PTU3" s="120"/>
      <c r="PTV3" s="120"/>
      <c r="PTW3" s="120"/>
      <c r="PTX3" s="120"/>
      <c r="PTY3" s="120"/>
      <c r="PTZ3" s="120"/>
      <c r="PUA3" s="120"/>
      <c r="PUB3" s="120"/>
      <c r="PUC3" s="120"/>
      <c r="PUD3" s="120"/>
      <c r="PUE3" s="120"/>
      <c r="PUF3" s="120"/>
      <c r="PUG3" s="120"/>
      <c r="PUH3" s="120"/>
      <c r="PUI3" s="120"/>
      <c r="PUJ3" s="120"/>
      <c r="PUK3" s="120"/>
      <c r="PUL3" s="120"/>
      <c r="PUM3" s="120"/>
      <c r="PUN3" s="120"/>
      <c r="PUO3" s="120"/>
      <c r="PUP3" s="120"/>
      <c r="PUQ3" s="120"/>
      <c r="PUR3" s="120"/>
      <c r="PUS3" s="120"/>
      <c r="PUT3" s="120"/>
      <c r="PUU3" s="120"/>
      <c r="PUV3" s="120"/>
      <c r="PUW3" s="120"/>
      <c r="PUX3" s="120"/>
      <c r="PUY3" s="120"/>
      <c r="PUZ3" s="120"/>
      <c r="PVA3" s="120"/>
      <c r="PVB3" s="120"/>
      <c r="PVC3" s="120"/>
      <c r="PVD3" s="120"/>
      <c r="PVE3" s="120"/>
      <c r="PVF3" s="120"/>
      <c r="PVG3" s="120"/>
      <c r="PVH3" s="120"/>
      <c r="PVI3" s="120"/>
      <c r="PVJ3" s="120"/>
      <c r="PVK3" s="120"/>
      <c r="PVL3" s="120"/>
      <c r="PVM3" s="120"/>
      <c r="PVN3" s="120"/>
      <c r="PVO3" s="120"/>
      <c r="PVP3" s="120"/>
      <c r="PVQ3" s="120"/>
      <c r="PVR3" s="120"/>
      <c r="PVS3" s="120"/>
      <c r="PVT3" s="120"/>
      <c r="PVU3" s="120"/>
      <c r="PVV3" s="120"/>
      <c r="PVW3" s="120"/>
      <c r="PVX3" s="120"/>
      <c r="PVY3" s="120"/>
      <c r="PVZ3" s="120"/>
      <c r="PWA3" s="120"/>
      <c r="PWB3" s="120"/>
      <c r="PWC3" s="120"/>
      <c r="PWD3" s="120"/>
      <c r="PWE3" s="120"/>
      <c r="PWF3" s="120"/>
      <c r="PWG3" s="120"/>
      <c r="PWH3" s="120"/>
      <c r="PWI3" s="120"/>
      <c r="PWJ3" s="120"/>
      <c r="PWK3" s="120"/>
      <c r="PWL3" s="120"/>
      <c r="PWM3" s="120"/>
      <c r="PWN3" s="120"/>
      <c r="PWO3" s="120"/>
      <c r="PWP3" s="120"/>
      <c r="PWQ3" s="120"/>
      <c r="PWR3" s="120"/>
      <c r="PWS3" s="120"/>
      <c r="PWT3" s="120"/>
      <c r="PWU3" s="120"/>
      <c r="PWV3" s="120"/>
      <c r="PWW3" s="120"/>
      <c r="PWX3" s="120"/>
      <c r="PWY3" s="120"/>
      <c r="PWZ3" s="120"/>
      <c r="PXA3" s="120"/>
      <c r="PXB3" s="120"/>
      <c r="PXC3" s="120"/>
      <c r="PXD3" s="120"/>
      <c r="PXE3" s="120"/>
      <c r="PXF3" s="120"/>
      <c r="PXG3" s="120"/>
      <c r="PXH3" s="120"/>
      <c r="PXI3" s="120"/>
      <c r="PXJ3" s="120"/>
      <c r="PXK3" s="120"/>
      <c r="PXL3" s="120"/>
      <c r="PXM3" s="120"/>
      <c r="PXN3" s="120"/>
      <c r="PXO3" s="120"/>
      <c r="PXP3" s="120"/>
      <c r="PXQ3" s="120"/>
      <c r="PXR3" s="120"/>
      <c r="PXS3" s="120"/>
      <c r="PXT3" s="120"/>
      <c r="PXU3" s="120"/>
      <c r="PXV3" s="120"/>
      <c r="PXW3" s="120"/>
      <c r="PXX3" s="120"/>
      <c r="PXY3" s="120"/>
      <c r="PXZ3" s="120"/>
      <c r="PYA3" s="120"/>
      <c r="PYB3" s="120"/>
      <c r="PYC3" s="120"/>
      <c r="PYD3" s="120"/>
      <c r="PYE3" s="120"/>
      <c r="PYF3" s="120"/>
      <c r="PYG3" s="120"/>
      <c r="PYH3" s="120"/>
      <c r="PYI3" s="120"/>
      <c r="PYJ3" s="120"/>
      <c r="PYK3" s="120"/>
      <c r="PYL3" s="120"/>
      <c r="PYM3" s="120"/>
      <c r="PYN3" s="120"/>
      <c r="PYO3" s="120"/>
      <c r="PYP3" s="120"/>
      <c r="PYQ3" s="120"/>
      <c r="PYR3" s="120"/>
      <c r="PYS3" s="120"/>
      <c r="PYT3" s="120"/>
      <c r="PYU3" s="120"/>
      <c r="PYV3" s="120"/>
      <c r="PYW3" s="120"/>
      <c r="PYX3" s="120"/>
      <c r="PYY3" s="120"/>
      <c r="PYZ3" s="120"/>
      <c r="PZA3" s="120"/>
      <c r="PZB3" s="120"/>
      <c r="PZC3" s="120"/>
      <c r="PZD3" s="120"/>
      <c r="PZE3" s="120"/>
      <c r="PZF3" s="120"/>
      <c r="PZG3" s="120"/>
      <c r="PZH3" s="120"/>
      <c r="PZI3" s="120"/>
      <c r="PZJ3" s="120"/>
      <c r="PZK3" s="120"/>
      <c r="PZL3" s="120"/>
      <c r="PZM3" s="120"/>
      <c r="PZN3" s="120"/>
      <c r="PZO3" s="120"/>
      <c r="PZP3" s="120"/>
      <c r="PZQ3" s="120"/>
      <c r="PZR3" s="120"/>
      <c r="PZS3" s="120"/>
      <c r="PZT3" s="120"/>
      <c r="PZU3" s="120"/>
      <c r="PZV3" s="120"/>
      <c r="PZW3" s="120"/>
      <c r="PZX3" s="120"/>
      <c r="PZY3" s="120"/>
      <c r="PZZ3" s="120"/>
      <c r="QAA3" s="120"/>
      <c r="QAB3" s="120"/>
      <c r="QAC3" s="120"/>
      <c r="QAD3" s="120"/>
      <c r="QAE3" s="120"/>
      <c r="QAF3" s="120"/>
      <c r="QAG3" s="120"/>
      <c r="QAH3" s="120"/>
      <c r="QAI3" s="120"/>
      <c r="QAJ3" s="120"/>
      <c r="QAK3" s="120"/>
      <c r="QAL3" s="120"/>
      <c r="QAM3" s="120"/>
      <c r="QAN3" s="120"/>
      <c r="QAO3" s="120"/>
      <c r="QAP3" s="120"/>
      <c r="QAQ3" s="120"/>
      <c r="QAR3" s="120"/>
      <c r="QAS3" s="120"/>
      <c r="QAT3" s="120"/>
      <c r="QAU3" s="120"/>
      <c r="QAV3" s="120"/>
      <c r="QAW3" s="120"/>
      <c r="QAX3" s="120"/>
      <c r="QAY3" s="120"/>
      <c r="QAZ3" s="120"/>
      <c r="QBA3" s="120"/>
      <c r="QBB3" s="120"/>
      <c r="QBC3" s="120"/>
      <c r="QBD3" s="120"/>
      <c r="QBE3" s="120"/>
      <c r="QBF3" s="120"/>
      <c r="QBG3" s="120"/>
      <c r="QBH3" s="120"/>
      <c r="QBI3" s="120"/>
      <c r="QBJ3" s="120"/>
      <c r="QBK3" s="120"/>
      <c r="QBL3" s="120"/>
      <c r="QBM3" s="120"/>
      <c r="QBN3" s="120"/>
      <c r="QBO3" s="120"/>
      <c r="QBP3" s="120"/>
      <c r="QBQ3" s="120"/>
      <c r="QBR3" s="120"/>
      <c r="QBS3" s="120"/>
      <c r="QBT3" s="120"/>
      <c r="QBU3" s="120"/>
      <c r="QBV3" s="120"/>
      <c r="QBW3" s="120"/>
      <c r="QBX3" s="120"/>
      <c r="QBY3" s="120"/>
      <c r="QBZ3" s="120"/>
      <c r="QCA3" s="120"/>
      <c r="QCB3" s="120"/>
      <c r="QCC3" s="120"/>
      <c r="QCD3" s="120"/>
      <c r="QCE3" s="120"/>
      <c r="QCF3" s="120"/>
      <c r="QCG3" s="120"/>
      <c r="QCH3" s="120"/>
      <c r="QCI3" s="120"/>
      <c r="QCJ3" s="120"/>
      <c r="QCK3" s="120"/>
      <c r="QCL3" s="120"/>
      <c r="QCM3" s="120"/>
      <c r="QCN3" s="120"/>
      <c r="QCO3" s="120"/>
      <c r="QCP3" s="120"/>
      <c r="QCQ3" s="120"/>
      <c r="QCR3" s="120"/>
      <c r="QCS3" s="120"/>
      <c r="QCT3" s="120"/>
      <c r="QCU3" s="120"/>
      <c r="QCV3" s="120"/>
      <c r="QCW3" s="120"/>
      <c r="QCX3" s="120"/>
      <c r="QCY3" s="120"/>
      <c r="QCZ3" s="120"/>
      <c r="QDA3" s="120"/>
      <c r="QDB3" s="120"/>
      <c r="QDC3" s="120"/>
      <c r="QDD3" s="120"/>
      <c r="QDE3" s="120"/>
      <c r="QDF3" s="120"/>
      <c r="QDG3" s="120"/>
      <c r="QDH3" s="120"/>
      <c r="QDI3" s="120"/>
      <c r="QDJ3" s="120"/>
      <c r="QDK3" s="120"/>
      <c r="QDL3" s="120"/>
      <c r="QDM3" s="120"/>
      <c r="QDN3" s="120"/>
      <c r="QDO3" s="120"/>
      <c r="QDP3" s="120"/>
      <c r="QDQ3" s="120"/>
      <c r="QDR3" s="120"/>
      <c r="QDS3" s="120"/>
      <c r="QDT3" s="120"/>
      <c r="QDU3" s="120"/>
      <c r="QDV3" s="120"/>
      <c r="QDW3" s="120"/>
      <c r="QDX3" s="120"/>
      <c r="QDY3" s="120"/>
      <c r="QDZ3" s="120"/>
      <c r="QEA3" s="120"/>
      <c r="QEB3" s="120"/>
      <c r="QEC3" s="120"/>
      <c r="QED3" s="120"/>
      <c r="QEE3" s="120"/>
      <c r="QEF3" s="120"/>
      <c r="QEG3" s="120"/>
      <c r="QEH3" s="120"/>
      <c r="QEI3" s="120"/>
      <c r="QEJ3" s="120"/>
      <c r="QEK3" s="120"/>
      <c r="QEL3" s="120"/>
      <c r="QEM3" s="120"/>
      <c r="QEN3" s="120"/>
      <c r="QEO3" s="120"/>
      <c r="QEP3" s="120"/>
      <c r="QEQ3" s="120"/>
      <c r="QER3" s="120"/>
      <c r="QES3" s="120"/>
      <c r="QET3" s="120"/>
      <c r="QEU3" s="120"/>
      <c r="QEV3" s="120"/>
      <c r="QEW3" s="120"/>
      <c r="QEX3" s="120"/>
      <c r="QEY3" s="120"/>
      <c r="QEZ3" s="120"/>
      <c r="QFA3" s="120"/>
      <c r="QFB3" s="120"/>
      <c r="QFC3" s="120"/>
      <c r="QFD3" s="120"/>
      <c r="QFE3" s="120"/>
      <c r="QFF3" s="120"/>
      <c r="QFG3" s="120"/>
      <c r="QFH3" s="120"/>
      <c r="QFI3" s="120"/>
      <c r="QFJ3" s="120"/>
      <c r="QFK3" s="120"/>
      <c r="QFL3" s="120"/>
      <c r="QFM3" s="120"/>
      <c r="QFN3" s="120"/>
      <c r="QFO3" s="120"/>
      <c r="QFP3" s="120"/>
      <c r="QFQ3" s="120"/>
      <c r="QFR3" s="120"/>
      <c r="QFS3" s="120"/>
      <c r="QFT3" s="120"/>
      <c r="QFU3" s="120"/>
      <c r="QFV3" s="120"/>
      <c r="QFW3" s="120"/>
      <c r="QFX3" s="120"/>
      <c r="QFY3" s="120"/>
      <c r="QFZ3" s="120"/>
      <c r="QGA3" s="120"/>
      <c r="QGB3" s="120"/>
      <c r="QGC3" s="120"/>
      <c r="QGD3" s="120"/>
      <c r="QGE3" s="120"/>
      <c r="QGF3" s="120"/>
      <c r="QGG3" s="120"/>
      <c r="QGH3" s="120"/>
      <c r="QGI3" s="120"/>
      <c r="QGJ3" s="120"/>
      <c r="QGK3" s="120"/>
      <c r="QGL3" s="120"/>
      <c r="QGM3" s="120"/>
      <c r="QGN3" s="120"/>
      <c r="QGO3" s="120"/>
      <c r="QGP3" s="120"/>
      <c r="QGQ3" s="120"/>
      <c r="QGR3" s="120"/>
      <c r="QGS3" s="120"/>
      <c r="QGT3" s="120"/>
      <c r="QGU3" s="120"/>
      <c r="QGV3" s="120"/>
      <c r="QGW3" s="120"/>
      <c r="QGX3" s="120"/>
      <c r="QGY3" s="120"/>
      <c r="QGZ3" s="120"/>
      <c r="QHA3" s="120"/>
      <c r="QHB3" s="120"/>
      <c r="QHC3" s="120"/>
      <c r="QHD3" s="120"/>
      <c r="QHE3" s="120"/>
      <c r="QHF3" s="120"/>
      <c r="QHG3" s="120"/>
      <c r="QHH3" s="120"/>
      <c r="QHI3" s="120"/>
      <c r="QHJ3" s="120"/>
      <c r="QHK3" s="120"/>
      <c r="QHL3" s="120"/>
      <c r="QHM3" s="120"/>
      <c r="QHN3" s="120"/>
      <c r="QHO3" s="120"/>
      <c r="QHP3" s="120"/>
      <c r="QHQ3" s="120"/>
      <c r="QHR3" s="120"/>
      <c r="QHS3" s="120"/>
      <c r="QHT3" s="120"/>
      <c r="QHU3" s="120"/>
      <c r="QHV3" s="120"/>
      <c r="QHW3" s="120"/>
      <c r="QHX3" s="120"/>
      <c r="QHY3" s="120"/>
      <c r="QHZ3" s="120"/>
      <c r="QIA3" s="120"/>
      <c r="QIB3" s="120"/>
      <c r="QIC3" s="120"/>
      <c r="QID3" s="120"/>
      <c r="QIE3" s="120"/>
      <c r="QIF3" s="120"/>
      <c r="QIG3" s="120"/>
      <c r="QIH3" s="120"/>
      <c r="QII3" s="120"/>
      <c r="QIJ3" s="120"/>
      <c r="QIK3" s="120"/>
      <c r="QIL3" s="120"/>
      <c r="QIM3" s="120"/>
      <c r="QIN3" s="120"/>
      <c r="QIO3" s="120"/>
      <c r="QIP3" s="120"/>
      <c r="QIQ3" s="120"/>
      <c r="QIR3" s="120"/>
      <c r="QIS3" s="120"/>
      <c r="QIT3" s="120"/>
      <c r="QIU3" s="120"/>
      <c r="QIV3" s="120"/>
      <c r="QIW3" s="120"/>
      <c r="QIX3" s="120"/>
      <c r="QIY3" s="120"/>
      <c r="QIZ3" s="120"/>
      <c r="QJA3" s="120"/>
      <c r="QJB3" s="120"/>
      <c r="QJC3" s="120"/>
      <c r="QJD3" s="120"/>
      <c r="QJE3" s="120"/>
      <c r="QJF3" s="120"/>
      <c r="QJG3" s="120"/>
      <c r="QJH3" s="120"/>
      <c r="QJI3" s="120"/>
      <c r="QJJ3" s="120"/>
      <c r="QJK3" s="120"/>
      <c r="QJL3" s="120"/>
      <c r="QJM3" s="120"/>
      <c r="QJN3" s="120"/>
      <c r="QJO3" s="120"/>
      <c r="QJP3" s="120"/>
      <c r="QJQ3" s="120"/>
      <c r="QJR3" s="120"/>
      <c r="QJS3" s="120"/>
      <c r="QJT3" s="120"/>
      <c r="QJU3" s="120"/>
      <c r="QJV3" s="120"/>
      <c r="QJW3" s="120"/>
      <c r="QJX3" s="120"/>
      <c r="QJY3" s="120"/>
      <c r="QJZ3" s="120"/>
      <c r="QKA3" s="120"/>
      <c r="QKB3" s="120"/>
      <c r="QKC3" s="120"/>
      <c r="QKD3" s="120"/>
      <c r="QKE3" s="120"/>
      <c r="QKF3" s="120"/>
      <c r="QKG3" s="120"/>
      <c r="QKH3" s="120"/>
      <c r="QKI3" s="120"/>
      <c r="QKJ3" s="120"/>
      <c r="QKK3" s="120"/>
      <c r="QKL3" s="120"/>
      <c r="QKM3" s="120"/>
      <c r="QKN3" s="120"/>
      <c r="QKO3" s="120"/>
      <c r="QKP3" s="120"/>
      <c r="QKQ3" s="120"/>
      <c r="QKR3" s="120"/>
      <c r="QKS3" s="120"/>
      <c r="QKT3" s="120"/>
      <c r="QKU3" s="120"/>
      <c r="QKV3" s="120"/>
      <c r="QKW3" s="120"/>
      <c r="QKX3" s="120"/>
      <c r="QKY3" s="120"/>
      <c r="QKZ3" s="120"/>
      <c r="QLA3" s="120"/>
      <c r="QLB3" s="120"/>
      <c r="QLC3" s="120"/>
      <c r="QLD3" s="120"/>
      <c r="QLE3" s="120"/>
      <c r="QLF3" s="120"/>
      <c r="QLG3" s="120"/>
      <c r="QLH3" s="120"/>
      <c r="QLI3" s="120"/>
      <c r="QLJ3" s="120"/>
      <c r="QLK3" s="120"/>
      <c r="QLL3" s="120"/>
      <c r="QLM3" s="120"/>
      <c r="QLN3" s="120"/>
      <c r="QLO3" s="120"/>
      <c r="QLP3" s="120"/>
      <c r="QLQ3" s="120"/>
      <c r="QLR3" s="120"/>
      <c r="QLS3" s="120"/>
      <c r="QLT3" s="120"/>
      <c r="QLU3" s="120"/>
      <c r="QLV3" s="120"/>
      <c r="QLW3" s="120"/>
      <c r="QLX3" s="120"/>
      <c r="QLY3" s="120"/>
      <c r="QLZ3" s="120"/>
      <c r="QMA3" s="120"/>
      <c r="QMB3" s="120"/>
      <c r="QMC3" s="120"/>
      <c r="QMD3" s="120"/>
      <c r="QME3" s="120"/>
      <c r="QMF3" s="120"/>
      <c r="QMG3" s="120"/>
      <c r="QMH3" s="120"/>
      <c r="QMI3" s="120"/>
      <c r="QMJ3" s="120"/>
      <c r="QMK3" s="120"/>
      <c r="QML3" s="120"/>
      <c r="QMM3" s="120"/>
      <c r="QMN3" s="120"/>
      <c r="QMO3" s="120"/>
      <c r="QMP3" s="120"/>
      <c r="QMQ3" s="120"/>
      <c r="QMR3" s="120"/>
      <c r="QMS3" s="120"/>
      <c r="QMT3" s="120"/>
      <c r="QMU3" s="120"/>
      <c r="QMV3" s="120"/>
      <c r="QMW3" s="120"/>
      <c r="QMX3" s="120"/>
      <c r="QMY3" s="120"/>
      <c r="QMZ3" s="120"/>
      <c r="QNA3" s="120"/>
      <c r="QNB3" s="120"/>
      <c r="QNC3" s="120"/>
      <c r="QND3" s="120"/>
      <c r="QNE3" s="120"/>
      <c r="QNF3" s="120"/>
      <c r="QNG3" s="120"/>
      <c r="QNH3" s="120"/>
      <c r="QNI3" s="120"/>
      <c r="QNJ3" s="120"/>
      <c r="QNK3" s="120"/>
      <c r="QNL3" s="120"/>
      <c r="QNM3" s="120"/>
      <c r="QNN3" s="120"/>
      <c r="QNO3" s="120"/>
      <c r="QNP3" s="120"/>
      <c r="QNQ3" s="120"/>
      <c r="QNR3" s="120"/>
      <c r="QNS3" s="120"/>
      <c r="QNT3" s="120"/>
      <c r="QNU3" s="120"/>
      <c r="QNV3" s="120"/>
      <c r="QNW3" s="120"/>
      <c r="QNX3" s="120"/>
      <c r="QNY3" s="120"/>
      <c r="QNZ3" s="120"/>
      <c r="QOA3" s="120"/>
      <c r="QOB3" s="120"/>
      <c r="QOC3" s="120"/>
      <c r="QOD3" s="120"/>
      <c r="QOE3" s="120"/>
      <c r="QOF3" s="120"/>
      <c r="QOG3" s="120"/>
      <c r="QOH3" s="120"/>
      <c r="QOI3" s="120"/>
      <c r="QOJ3" s="120"/>
      <c r="QOK3" s="120"/>
      <c r="QOL3" s="120"/>
      <c r="QOM3" s="120"/>
      <c r="QON3" s="120"/>
      <c r="QOO3" s="120"/>
      <c r="QOP3" s="120"/>
      <c r="QOQ3" s="120"/>
      <c r="QOR3" s="120"/>
      <c r="QOS3" s="120"/>
      <c r="QOT3" s="120"/>
      <c r="QOU3" s="120"/>
      <c r="QOV3" s="120"/>
      <c r="QOW3" s="120"/>
      <c r="QOX3" s="120"/>
      <c r="QOY3" s="120"/>
      <c r="QOZ3" s="120"/>
      <c r="QPA3" s="120"/>
      <c r="QPB3" s="120"/>
      <c r="QPC3" s="120"/>
      <c r="QPD3" s="120"/>
      <c r="QPE3" s="120"/>
      <c r="QPF3" s="120"/>
      <c r="QPG3" s="120"/>
      <c r="QPH3" s="120"/>
      <c r="QPI3" s="120"/>
      <c r="QPJ3" s="120"/>
      <c r="QPK3" s="120"/>
      <c r="QPL3" s="120"/>
      <c r="QPM3" s="120"/>
      <c r="QPN3" s="120"/>
      <c r="QPO3" s="120"/>
      <c r="QPP3" s="120"/>
      <c r="QPQ3" s="120"/>
      <c r="QPR3" s="120"/>
      <c r="QPS3" s="120"/>
      <c r="QPT3" s="120"/>
      <c r="QPU3" s="120"/>
      <c r="QPV3" s="120"/>
      <c r="QPW3" s="120"/>
      <c r="QPX3" s="120"/>
      <c r="QPY3" s="120"/>
      <c r="QPZ3" s="120"/>
      <c r="QQA3" s="120"/>
      <c r="QQB3" s="120"/>
      <c r="QQC3" s="120"/>
      <c r="QQD3" s="120"/>
      <c r="QQE3" s="120"/>
      <c r="QQF3" s="120"/>
      <c r="QQG3" s="120"/>
      <c r="QQH3" s="120"/>
      <c r="QQI3" s="120"/>
      <c r="QQJ3" s="120"/>
      <c r="QQK3" s="120"/>
      <c r="QQL3" s="120"/>
      <c r="QQM3" s="120"/>
      <c r="QQN3" s="120"/>
      <c r="QQO3" s="120"/>
      <c r="QQP3" s="120"/>
      <c r="QQQ3" s="120"/>
      <c r="QQR3" s="120"/>
      <c r="QQS3" s="120"/>
      <c r="QQT3" s="120"/>
      <c r="QQU3" s="120"/>
      <c r="QQV3" s="120"/>
      <c r="QQW3" s="120"/>
      <c r="QQX3" s="120"/>
      <c r="QQY3" s="120"/>
      <c r="QQZ3" s="120"/>
      <c r="QRA3" s="120"/>
      <c r="QRB3" s="120"/>
      <c r="QRC3" s="120"/>
      <c r="QRD3" s="120"/>
      <c r="QRE3" s="120"/>
      <c r="QRF3" s="120"/>
      <c r="QRG3" s="120"/>
      <c r="QRH3" s="120"/>
      <c r="QRI3" s="120"/>
      <c r="QRJ3" s="120"/>
      <c r="QRK3" s="120"/>
      <c r="QRL3" s="120"/>
      <c r="QRM3" s="120"/>
      <c r="QRN3" s="120"/>
      <c r="QRO3" s="120"/>
      <c r="QRP3" s="120"/>
      <c r="QRQ3" s="120"/>
      <c r="QRR3" s="120"/>
      <c r="QRS3" s="120"/>
      <c r="QRT3" s="120"/>
      <c r="QRU3" s="120"/>
      <c r="QRV3" s="120"/>
      <c r="QRW3" s="120"/>
      <c r="QRX3" s="120"/>
      <c r="QRY3" s="120"/>
      <c r="QRZ3" s="120"/>
      <c r="QSA3" s="120"/>
      <c r="QSB3" s="120"/>
      <c r="QSC3" s="120"/>
      <c r="QSD3" s="120"/>
      <c r="QSE3" s="120"/>
      <c r="QSF3" s="120"/>
      <c r="QSG3" s="120"/>
      <c r="QSH3" s="120"/>
      <c r="QSI3" s="120"/>
      <c r="QSJ3" s="120"/>
      <c r="QSK3" s="120"/>
      <c r="QSL3" s="120"/>
      <c r="QSM3" s="120"/>
      <c r="QSN3" s="120"/>
      <c r="QSO3" s="120"/>
      <c r="QSP3" s="120"/>
      <c r="QSQ3" s="120"/>
      <c r="QSR3" s="120"/>
      <c r="QSS3" s="120"/>
      <c r="QST3" s="120"/>
      <c r="QSU3" s="120"/>
      <c r="QSV3" s="120"/>
      <c r="QSW3" s="120"/>
      <c r="QSX3" s="120"/>
      <c r="QSY3" s="120"/>
      <c r="QSZ3" s="120"/>
      <c r="QTA3" s="120"/>
      <c r="QTB3" s="120"/>
      <c r="QTC3" s="120"/>
      <c r="QTD3" s="120"/>
      <c r="QTE3" s="120"/>
      <c r="QTF3" s="120"/>
      <c r="QTG3" s="120"/>
      <c r="QTH3" s="120"/>
      <c r="QTI3" s="120"/>
      <c r="QTJ3" s="120"/>
      <c r="QTK3" s="120"/>
      <c r="QTL3" s="120"/>
      <c r="QTM3" s="120"/>
      <c r="QTN3" s="120"/>
      <c r="QTO3" s="120"/>
      <c r="QTP3" s="120"/>
      <c r="QTQ3" s="120"/>
      <c r="QTR3" s="120"/>
      <c r="QTS3" s="120"/>
      <c r="QTT3" s="120"/>
      <c r="QTU3" s="120"/>
      <c r="QTV3" s="120"/>
      <c r="QTW3" s="120"/>
      <c r="QTX3" s="120"/>
      <c r="QTY3" s="120"/>
      <c r="QTZ3" s="120"/>
      <c r="QUA3" s="120"/>
      <c r="QUB3" s="120"/>
      <c r="QUC3" s="120"/>
      <c r="QUD3" s="120"/>
      <c r="QUE3" s="120"/>
      <c r="QUF3" s="120"/>
      <c r="QUG3" s="120"/>
      <c r="QUH3" s="120"/>
      <c r="QUI3" s="120"/>
      <c r="QUJ3" s="120"/>
      <c r="QUK3" s="120"/>
      <c r="QUL3" s="120"/>
      <c r="QUM3" s="120"/>
      <c r="QUN3" s="120"/>
      <c r="QUO3" s="120"/>
      <c r="QUP3" s="120"/>
      <c r="QUQ3" s="120"/>
      <c r="QUR3" s="120"/>
      <c r="QUS3" s="120"/>
      <c r="QUT3" s="120"/>
      <c r="QUU3" s="120"/>
      <c r="QUV3" s="120"/>
      <c r="QUW3" s="120"/>
      <c r="QUX3" s="120"/>
      <c r="QUY3" s="120"/>
      <c r="QUZ3" s="120"/>
      <c r="QVA3" s="120"/>
      <c r="QVB3" s="120"/>
      <c r="QVC3" s="120"/>
      <c r="QVD3" s="120"/>
      <c r="QVE3" s="120"/>
      <c r="QVF3" s="120"/>
      <c r="QVG3" s="120"/>
      <c r="QVH3" s="120"/>
      <c r="QVI3" s="120"/>
      <c r="QVJ3" s="120"/>
      <c r="QVK3" s="120"/>
      <c r="QVL3" s="120"/>
      <c r="QVM3" s="120"/>
      <c r="QVN3" s="120"/>
      <c r="QVO3" s="120"/>
      <c r="QVP3" s="120"/>
      <c r="QVQ3" s="120"/>
      <c r="QVR3" s="120"/>
      <c r="QVS3" s="120"/>
      <c r="QVT3" s="120"/>
      <c r="QVU3" s="120"/>
      <c r="QVV3" s="120"/>
      <c r="QVW3" s="120"/>
      <c r="QVX3" s="120"/>
      <c r="QVY3" s="120"/>
      <c r="QVZ3" s="120"/>
      <c r="QWA3" s="120"/>
      <c r="QWB3" s="120"/>
      <c r="QWC3" s="120"/>
      <c r="QWD3" s="120"/>
      <c r="QWE3" s="120"/>
      <c r="QWF3" s="120"/>
      <c r="QWG3" s="120"/>
      <c r="QWH3" s="120"/>
      <c r="QWI3" s="120"/>
      <c r="QWJ3" s="120"/>
      <c r="QWK3" s="120"/>
      <c r="QWL3" s="120"/>
      <c r="QWM3" s="120"/>
      <c r="QWN3" s="120"/>
      <c r="QWO3" s="120"/>
      <c r="QWP3" s="120"/>
      <c r="QWQ3" s="120"/>
      <c r="QWR3" s="120"/>
      <c r="QWS3" s="120"/>
      <c r="QWT3" s="120"/>
      <c r="QWU3" s="120"/>
      <c r="QWV3" s="120"/>
      <c r="QWW3" s="120"/>
      <c r="QWX3" s="120"/>
      <c r="QWY3" s="120"/>
      <c r="QWZ3" s="120"/>
      <c r="QXA3" s="120"/>
      <c r="QXB3" s="120"/>
      <c r="QXC3" s="120"/>
      <c r="QXD3" s="120"/>
      <c r="QXE3" s="120"/>
      <c r="QXF3" s="120"/>
      <c r="QXG3" s="120"/>
      <c r="QXH3" s="120"/>
      <c r="QXI3" s="120"/>
      <c r="QXJ3" s="120"/>
      <c r="QXK3" s="120"/>
      <c r="QXL3" s="120"/>
      <c r="QXM3" s="120"/>
      <c r="QXN3" s="120"/>
      <c r="QXO3" s="120"/>
      <c r="QXP3" s="120"/>
      <c r="QXQ3" s="120"/>
      <c r="QXR3" s="120"/>
      <c r="QXS3" s="120"/>
      <c r="QXT3" s="120"/>
      <c r="QXU3" s="120"/>
      <c r="QXV3" s="120"/>
      <c r="QXW3" s="120"/>
      <c r="QXX3" s="120"/>
      <c r="QXY3" s="120"/>
      <c r="QXZ3" s="120"/>
      <c r="QYA3" s="120"/>
      <c r="QYB3" s="120"/>
      <c r="QYC3" s="120"/>
      <c r="QYD3" s="120"/>
      <c r="QYE3" s="120"/>
      <c r="QYF3" s="120"/>
      <c r="QYG3" s="120"/>
      <c r="QYH3" s="120"/>
      <c r="QYI3" s="120"/>
      <c r="QYJ3" s="120"/>
      <c r="QYK3" s="120"/>
      <c r="QYL3" s="120"/>
      <c r="QYM3" s="120"/>
      <c r="QYN3" s="120"/>
      <c r="QYO3" s="120"/>
      <c r="QYP3" s="120"/>
      <c r="QYQ3" s="120"/>
      <c r="QYR3" s="120"/>
      <c r="QYS3" s="120"/>
      <c r="QYT3" s="120"/>
      <c r="QYU3" s="120"/>
      <c r="QYV3" s="120"/>
      <c r="QYW3" s="120"/>
      <c r="QYX3" s="120"/>
      <c r="QYY3" s="120"/>
      <c r="QYZ3" s="120"/>
      <c r="QZA3" s="120"/>
      <c r="QZB3" s="120"/>
      <c r="QZC3" s="120"/>
      <c r="QZD3" s="120"/>
      <c r="QZE3" s="120"/>
      <c r="QZF3" s="120"/>
      <c r="QZG3" s="120"/>
      <c r="QZH3" s="120"/>
      <c r="QZI3" s="120"/>
      <c r="QZJ3" s="120"/>
      <c r="QZK3" s="120"/>
      <c r="QZL3" s="120"/>
      <c r="QZM3" s="120"/>
      <c r="QZN3" s="120"/>
      <c r="QZO3" s="120"/>
      <c r="QZP3" s="120"/>
      <c r="QZQ3" s="120"/>
      <c r="QZR3" s="120"/>
      <c r="QZS3" s="120"/>
      <c r="QZT3" s="120"/>
      <c r="QZU3" s="120"/>
      <c r="QZV3" s="120"/>
      <c r="QZW3" s="120"/>
      <c r="QZX3" s="120"/>
      <c r="QZY3" s="120"/>
      <c r="QZZ3" s="120"/>
      <c r="RAA3" s="120"/>
      <c r="RAB3" s="120"/>
      <c r="RAC3" s="120"/>
      <c r="RAD3" s="120"/>
      <c r="RAE3" s="120"/>
      <c r="RAF3" s="120"/>
      <c r="RAG3" s="120"/>
      <c r="RAH3" s="120"/>
      <c r="RAI3" s="120"/>
      <c r="RAJ3" s="120"/>
      <c r="RAK3" s="120"/>
      <c r="RAL3" s="120"/>
      <c r="RAM3" s="120"/>
      <c r="RAN3" s="120"/>
      <c r="RAO3" s="120"/>
      <c r="RAP3" s="120"/>
      <c r="RAQ3" s="120"/>
      <c r="RAR3" s="120"/>
      <c r="RAS3" s="120"/>
      <c r="RAT3" s="120"/>
      <c r="RAU3" s="120"/>
      <c r="RAV3" s="120"/>
      <c r="RAW3" s="120"/>
      <c r="RAX3" s="120"/>
      <c r="RAY3" s="120"/>
      <c r="RAZ3" s="120"/>
      <c r="RBA3" s="120"/>
      <c r="RBB3" s="120"/>
      <c r="RBC3" s="120"/>
      <c r="RBD3" s="120"/>
      <c r="RBE3" s="120"/>
      <c r="RBF3" s="120"/>
      <c r="RBG3" s="120"/>
      <c r="RBH3" s="120"/>
      <c r="RBI3" s="120"/>
      <c r="RBJ3" s="120"/>
      <c r="RBK3" s="120"/>
      <c r="RBL3" s="120"/>
      <c r="RBM3" s="120"/>
      <c r="RBN3" s="120"/>
      <c r="RBO3" s="120"/>
      <c r="RBP3" s="120"/>
      <c r="RBQ3" s="120"/>
      <c r="RBR3" s="120"/>
      <c r="RBS3" s="120"/>
      <c r="RBT3" s="120"/>
      <c r="RBU3" s="120"/>
      <c r="RBV3" s="120"/>
      <c r="RBW3" s="120"/>
      <c r="RBX3" s="120"/>
      <c r="RBY3" s="120"/>
      <c r="RBZ3" s="120"/>
      <c r="RCA3" s="120"/>
      <c r="RCB3" s="120"/>
      <c r="RCC3" s="120"/>
      <c r="RCD3" s="120"/>
      <c r="RCE3" s="120"/>
      <c r="RCF3" s="120"/>
      <c r="RCG3" s="120"/>
      <c r="RCH3" s="120"/>
      <c r="RCI3" s="120"/>
      <c r="RCJ3" s="120"/>
      <c r="RCK3" s="120"/>
      <c r="RCL3" s="120"/>
      <c r="RCM3" s="120"/>
      <c r="RCN3" s="120"/>
      <c r="RCO3" s="120"/>
      <c r="RCP3" s="120"/>
      <c r="RCQ3" s="120"/>
      <c r="RCR3" s="120"/>
      <c r="RCS3" s="120"/>
      <c r="RCT3" s="120"/>
      <c r="RCU3" s="120"/>
      <c r="RCV3" s="120"/>
      <c r="RCW3" s="120"/>
      <c r="RCX3" s="120"/>
      <c r="RCY3" s="120"/>
      <c r="RCZ3" s="120"/>
      <c r="RDA3" s="120"/>
      <c r="RDB3" s="120"/>
      <c r="RDC3" s="120"/>
      <c r="RDD3" s="120"/>
      <c r="RDE3" s="120"/>
      <c r="RDF3" s="120"/>
      <c r="RDG3" s="120"/>
      <c r="RDH3" s="120"/>
      <c r="RDI3" s="120"/>
      <c r="RDJ3" s="120"/>
      <c r="RDK3" s="120"/>
      <c r="RDL3" s="120"/>
      <c r="RDM3" s="120"/>
      <c r="RDN3" s="120"/>
      <c r="RDO3" s="120"/>
      <c r="RDP3" s="120"/>
      <c r="RDQ3" s="120"/>
      <c r="RDR3" s="120"/>
      <c r="RDS3" s="120"/>
      <c r="RDT3" s="120"/>
      <c r="RDU3" s="120"/>
      <c r="RDV3" s="120"/>
      <c r="RDW3" s="120"/>
      <c r="RDX3" s="120"/>
      <c r="RDY3" s="120"/>
      <c r="RDZ3" s="120"/>
      <c r="REA3" s="120"/>
      <c r="REB3" s="120"/>
      <c r="REC3" s="120"/>
      <c r="RED3" s="120"/>
      <c r="REE3" s="120"/>
      <c r="REF3" s="120"/>
      <c r="REG3" s="120"/>
      <c r="REH3" s="120"/>
      <c r="REI3" s="120"/>
      <c r="REJ3" s="120"/>
      <c r="REK3" s="120"/>
      <c r="REL3" s="120"/>
      <c r="REM3" s="120"/>
      <c r="REN3" s="120"/>
      <c r="REO3" s="120"/>
      <c r="REP3" s="120"/>
      <c r="REQ3" s="120"/>
      <c r="RER3" s="120"/>
      <c r="RES3" s="120"/>
      <c r="RET3" s="120"/>
      <c r="REU3" s="120"/>
      <c r="REV3" s="120"/>
      <c r="REW3" s="120"/>
      <c r="REX3" s="120"/>
      <c r="REY3" s="120"/>
      <c r="REZ3" s="120"/>
      <c r="RFA3" s="120"/>
      <c r="RFB3" s="120"/>
      <c r="RFC3" s="120"/>
      <c r="RFD3" s="120"/>
      <c r="RFE3" s="120"/>
      <c r="RFF3" s="120"/>
      <c r="RFG3" s="120"/>
      <c r="RFH3" s="120"/>
      <c r="RFI3" s="120"/>
      <c r="RFJ3" s="120"/>
      <c r="RFK3" s="120"/>
      <c r="RFL3" s="120"/>
      <c r="RFM3" s="120"/>
      <c r="RFN3" s="120"/>
      <c r="RFO3" s="120"/>
      <c r="RFP3" s="120"/>
      <c r="RFQ3" s="120"/>
      <c r="RFR3" s="120"/>
      <c r="RFS3" s="120"/>
      <c r="RFT3" s="120"/>
      <c r="RFU3" s="120"/>
      <c r="RFV3" s="120"/>
      <c r="RFW3" s="120"/>
      <c r="RFX3" s="120"/>
      <c r="RFY3" s="120"/>
      <c r="RFZ3" s="120"/>
      <c r="RGA3" s="120"/>
      <c r="RGB3" s="120"/>
      <c r="RGC3" s="120"/>
      <c r="RGD3" s="120"/>
      <c r="RGE3" s="120"/>
      <c r="RGF3" s="120"/>
      <c r="RGG3" s="120"/>
      <c r="RGH3" s="120"/>
      <c r="RGI3" s="120"/>
      <c r="RGJ3" s="120"/>
      <c r="RGK3" s="120"/>
      <c r="RGL3" s="120"/>
      <c r="RGM3" s="120"/>
      <c r="RGN3" s="120"/>
      <c r="RGO3" s="120"/>
      <c r="RGP3" s="120"/>
      <c r="RGQ3" s="120"/>
      <c r="RGR3" s="120"/>
      <c r="RGS3" s="120"/>
      <c r="RGT3" s="120"/>
      <c r="RGU3" s="120"/>
      <c r="RGV3" s="120"/>
      <c r="RGW3" s="120"/>
      <c r="RGX3" s="120"/>
      <c r="RGY3" s="120"/>
      <c r="RGZ3" s="120"/>
      <c r="RHA3" s="120"/>
      <c r="RHB3" s="120"/>
      <c r="RHC3" s="120"/>
      <c r="RHD3" s="120"/>
      <c r="RHE3" s="120"/>
      <c r="RHF3" s="120"/>
      <c r="RHG3" s="120"/>
      <c r="RHH3" s="120"/>
      <c r="RHI3" s="120"/>
      <c r="RHJ3" s="120"/>
      <c r="RHK3" s="120"/>
      <c r="RHL3" s="120"/>
      <c r="RHM3" s="120"/>
      <c r="RHN3" s="120"/>
      <c r="RHO3" s="120"/>
      <c r="RHP3" s="120"/>
      <c r="RHQ3" s="120"/>
      <c r="RHR3" s="120"/>
      <c r="RHS3" s="120"/>
      <c r="RHT3" s="120"/>
      <c r="RHU3" s="120"/>
      <c r="RHV3" s="120"/>
      <c r="RHW3" s="120"/>
      <c r="RHX3" s="120"/>
      <c r="RHY3" s="120"/>
      <c r="RHZ3" s="120"/>
      <c r="RIA3" s="120"/>
      <c r="RIB3" s="120"/>
      <c r="RIC3" s="120"/>
      <c r="RID3" s="120"/>
      <c r="RIE3" s="120"/>
      <c r="RIF3" s="120"/>
      <c r="RIG3" s="120"/>
      <c r="RIH3" s="120"/>
      <c r="RII3" s="120"/>
      <c r="RIJ3" s="120"/>
      <c r="RIK3" s="120"/>
      <c r="RIL3" s="120"/>
      <c r="RIM3" s="120"/>
      <c r="RIN3" s="120"/>
      <c r="RIO3" s="120"/>
      <c r="RIP3" s="120"/>
      <c r="RIQ3" s="120"/>
      <c r="RIR3" s="120"/>
      <c r="RIS3" s="120"/>
      <c r="RIT3" s="120"/>
      <c r="RIU3" s="120"/>
      <c r="RIV3" s="120"/>
      <c r="RIW3" s="120"/>
      <c r="RIX3" s="120"/>
      <c r="RIY3" s="120"/>
      <c r="RIZ3" s="120"/>
      <c r="RJA3" s="120"/>
      <c r="RJB3" s="120"/>
      <c r="RJC3" s="120"/>
      <c r="RJD3" s="120"/>
      <c r="RJE3" s="120"/>
      <c r="RJF3" s="120"/>
      <c r="RJG3" s="120"/>
      <c r="RJH3" s="120"/>
      <c r="RJI3" s="120"/>
      <c r="RJJ3" s="120"/>
      <c r="RJK3" s="120"/>
      <c r="RJL3" s="120"/>
      <c r="RJM3" s="120"/>
      <c r="RJN3" s="120"/>
      <c r="RJO3" s="120"/>
      <c r="RJP3" s="120"/>
      <c r="RJQ3" s="120"/>
      <c r="RJR3" s="120"/>
      <c r="RJS3" s="120"/>
      <c r="RJT3" s="120"/>
      <c r="RJU3" s="120"/>
      <c r="RJV3" s="120"/>
      <c r="RJW3" s="120"/>
      <c r="RJX3" s="120"/>
      <c r="RJY3" s="120"/>
      <c r="RJZ3" s="120"/>
      <c r="RKA3" s="120"/>
      <c r="RKB3" s="120"/>
      <c r="RKC3" s="120"/>
      <c r="RKD3" s="120"/>
      <c r="RKE3" s="120"/>
      <c r="RKF3" s="120"/>
      <c r="RKG3" s="120"/>
      <c r="RKH3" s="120"/>
      <c r="RKI3" s="120"/>
      <c r="RKJ3" s="120"/>
      <c r="RKK3" s="120"/>
      <c r="RKL3" s="120"/>
      <c r="RKM3" s="120"/>
      <c r="RKN3" s="120"/>
      <c r="RKO3" s="120"/>
      <c r="RKP3" s="120"/>
      <c r="RKQ3" s="120"/>
      <c r="RKR3" s="120"/>
      <c r="RKS3" s="120"/>
      <c r="RKT3" s="120"/>
      <c r="RKU3" s="120"/>
      <c r="RKV3" s="120"/>
      <c r="RKW3" s="120"/>
      <c r="RKX3" s="120"/>
      <c r="RKY3" s="120"/>
      <c r="RKZ3" s="120"/>
      <c r="RLA3" s="120"/>
      <c r="RLB3" s="120"/>
      <c r="RLC3" s="120"/>
      <c r="RLD3" s="120"/>
      <c r="RLE3" s="120"/>
      <c r="RLF3" s="120"/>
      <c r="RLG3" s="120"/>
      <c r="RLH3" s="120"/>
      <c r="RLI3" s="120"/>
      <c r="RLJ3" s="120"/>
      <c r="RLK3" s="120"/>
      <c r="RLL3" s="120"/>
      <c r="RLM3" s="120"/>
      <c r="RLN3" s="120"/>
      <c r="RLO3" s="120"/>
      <c r="RLP3" s="120"/>
      <c r="RLQ3" s="120"/>
      <c r="RLR3" s="120"/>
      <c r="RLS3" s="120"/>
      <c r="RLT3" s="120"/>
      <c r="RLU3" s="120"/>
      <c r="RLV3" s="120"/>
      <c r="RLW3" s="120"/>
      <c r="RLX3" s="120"/>
      <c r="RLY3" s="120"/>
      <c r="RLZ3" s="120"/>
      <c r="RMA3" s="120"/>
      <c r="RMB3" s="120"/>
      <c r="RMC3" s="120"/>
      <c r="RMD3" s="120"/>
      <c r="RME3" s="120"/>
      <c r="RMF3" s="120"/>
      <c r="RMG3" s="120"/>
      <c r="RMH3" s="120"/>
      <c r="RMI3" s="120"/>
      <c r="RMJ3" s="120"/>
      <c r="RMK3" s="120"/>
      <c r="RML3" s="120"/>
      <c r="RMM3" s="120"/>
      <c r="RMN3" s="120"/>
      <c r="RMO3" s="120"/>
      <c r="RMP3" s="120"/>
      <c r="RMQ3" s="120"/>
      <c r="RMR3" s="120"/>
      <c r="RMS3" s="120"/>
      <c r="RMT3" s="120"/>
      <c r="RMU3" s="120"/>
      <c r="RMV3" s="120"/>
      <c r="RMW3" s="120"/>
      <c r="RMX3" s="120"/>
      <c r="RMY3" s="120"/>
      <c r="RMZ3" s="120"/>
      <c r="RNA3" s="120"/>
      <c r="RNB3" s="120"/>
      <c r="RNC3" s="120"/>
      <c r="RND3" s="120"/>
      <c r="RNE3" s="120"/>
      <c r="RNF3" s="120"/>
      <c r="RNG3" s="120"/>
      <c r="RNH3" s="120"/>
      <c r="RNI3" s="120"/>
      <c r="RNJ3" s="120"/>
      <c r="RNK3" s="120"/>
      <c r="RNL3" s="120"/>
      <c r="RNM3" s="120"/>
      <c r="RNN3" s="120"/>
      <c r="RNO3" s="120"/>
      <c r="RNP3" s="120"/>
      <c r="RNQ3" s="120"/>
      <c r="RNR3" s="120"/>
      <c r="RNS3" s="120"/>
      <c r="RNT3" s="120"/>
      <c r="RNU3" s="120"/>
      <c r="RNV3" s="120"/>
      <c r="RNW3" s="120"/>
      <c r="RNX3" s="120"/>
      <c r="RNY3" s="120"/>
      <c r="RNZ3" s="120"/>
      <c r="ROA3" s="120"/>
      <c r="ROB3" s="120"/>
      <c r="ROC3" s="120"/>
      <c r="ROD3" s="120"/>
      <c r="ROE3" s="120"/>
      <c r="ROF3" s="120"/>
      <c r="ROG3" s="120"/>
      <c r="ROH3" s="120"/>
      <c r="ROI3" s="120"/>
      <c r="ROJ3" s="120"/>
      <c r="ROK3" s="120"/>
      <c r="ROL3" s="120"/>
      <c r="ROM3" s="120"/>
      <c r="RON3" s="120"/>
      <c r="ROO3" s="120"/>
      <c r="ROP3" s="120"/>
      <c r="ROQ3" s="120"/>
      <c r="ROR3" s="120"/>
      <c r="ROS3" s="120"/>
      <c r="ROT3" s="120"/>
      <c r="ROU3" s="120"/>
      <c r="ROV3" s="120"/>
      <c r="ROW3" s="120"/>
      <c r="ROX3" s="120"/>
      <c r="ROY3" s="120"/>
      <c r="ROZ3" s="120"/>
      <c r="RPA3" s="120"/>
      <c r="RPB3" s="120"/>
      <c r="RPC3" s="120"/>
      <c r="RPD3" s="120"/>
      <c r="RPE3" s="120"/>
      <c r="RPF3" s="120"/>
      <c r="RPG3" s="120"/>
      <c r="RPH3" s="120"/>
      <c r="RPI3" s="120"/>
      <c r="RPJ3" s="120"/>
      <c r="RPK3" s="120"/>
      <c r="RPL3" s="120"/>
      <c r="RPM3" s="120"/>
      <c r="RPN3" s="120"/>
      <c r="RPO3" s="120"/>
      <c r="RPP3" s="120"/>
      <c r="RPQ3" s="120"/>
      <c r="RPR3" s="120"/>
      <c r="RPS3" s="120"/>
      <c r="RPT3" s="120"/>
      <c r="RPU3" s="120"/>
      <c r="RPV3" s="120"/>
      <c r="RPW3" s="120"/>
      <c r="RPX3" s="120"/>
      <c r="RPY3" s="120"/>
      <c r="RPZ3" s="120"/>
      <c r="RQA3" s="120"/>
      <c r="RQB3" s="120"/>
      <c r="RQC3" s="120"/>
      <c r="RQD3" s="120"/>
      <c r="RQE3" s="120"/>
      <c r="RQF3" s="120"/>
      <c r="RQG3" s="120"/>
      <c r="RQH3" s="120"/>
      <c r="RQI3" s="120"/>
      <c r="RQJ3" s="120"/>
      <c r="RQK3" s="120"/>
      <c r="RQL3" s="120"/>
      <c r="RQM3" s="120"/>
      <c r="RQN3" s="120"/>
      <c r="RQO3" s="120"/>
      <c r="RQP3" s="120"/>
      <c r="RQQ3" s="120"/>
      <c r="RQR3" s="120"/>
      <c r="RQS3" s="120"/>
      <c r="RQT3" s="120"/>
      <c r="RQU3" s="120"/>
      <c r="RQV3" s="120"/>
      <c r="RQW3" s="120"/>
      <c r="RQX3" s="120"/>
      <c r="RQY3" s="120"/>
      <c r="RQZ3" s="120"/>
      <c r="RRA3" s="120"/>
      <c r="RRB3" s="120"/>
      <c r="RRC3" s="120"/>
      <c r="RRD3" s="120"/>
      <c r="RRE3" s="120"/>
      <c r="RRF3" s="120"/>
      <c r="RRG3" s="120"/>
      <c r="RRH3" s="120"/>
      <c r="RRI3" s="120"/>
      <c r="RRJ3" s="120"/>
      <c r="RRK3" s="120"/>
      <c r="RRL3" s="120"/>
      <c r="RRM3" s="120"/>
      <c r="RRN3" s="120"/>
      <c r="RRO3" s="120"/>
      <c r="RRP3" s="120"/>
      <c r="RRQ3" s="120"/>
      <c r="RRR3" s="120"/>
      <c r="RRS3" s="120"/>
      <c r="RRT3" s="120"/>
      <c r="RRU3" s="120"/>
      <c r="RRV3" s="120"/>
      <c r="RRW3" s="120"/>
      <c r="RRX3" s="120"/>
      <c r="RRY3" s="120"/>
      <c r="RRZ3" s="120"/>
      <c r="RSA3" s="120"/>
      <c r="RSB3" s="120"/>
      <c r="RSC3" s="120"/>
      <c r="RSD3" s="120"/>
      <c r="RSE3" s="120"/>
      <c r="RSF3" s="120"/>
      <c r="RSG3" s="120"/>
      <c r="RSH3" s="120"/>
      <c r="RSI3" s="120"/>
      <c r="RSJ3" s="120"/>
      <c r="RSK3" s="120"/>
      <c r="RSL3" s="120"/>
      <c r="RSM3" s="120"/>
      <c r="RSN3" s="120"/>
      <c r="RSO3" s="120"/>
      <c r="RSP3" s="120"/>
      <c r="RSQ3" s="120"/>
      <c r="RSR3" s="120"/>
      <c r="RSS3" s="120"/>
      <c r="RST3" s="120"/>
      <c r="RSU3" s="120"/>
      <c r="RSV3" s="120"/>
      <c r="RSW3" s="120"/>
      <c r="RSX3" s="120"/>
      <c r="RSY3" s="120"/>
      <c r="RSZ3" s="120"/>
      <c r="RTA3" s="120"/>
      <c r="RTB3" s="120"/>
      <c r="RTC3" s="120"/>
      <c r="RTD3" s="120"/>
      <c r="RTE3" s="120"/>
      <c r="RTF3" s="120"/>
      <c r="RTG3" s="120"/>
      <c r="RTH3" s="120"/>
      <c r="RTI3" s="120"/>
      <c r="RTJ3" s="120"/>
      <c r="RTK3" s="120"/>
      <c r="RTL3" s="120"/>
      <c r="RTM3" s="120"/>
      <c r="RTN3" s="120"/>
      <c r="RTO3" s="120"/>
      <c r="RTP3" s="120"/>
      <c r="RTQ3" s="120"/>
      <c r="RTR3" s="120"/>
      <c r="RTS3" s="120"/>
      <c r="RTT3" s="120"/>
      <c r="RTU3" s="120"/>
      <c r="RTV3" s="120"/>
      <c r="RTW3" s="120"/>
      <c r="RTX3" s="120"/>
      <c r="RTY3" s="120"/>
      <c r="RTZ3" s="120"/>
      <c r="RUA3" s="120"/>
      <c r="RUB3" s="120"/>
      <c r="RUC3" s="120"/>
      <c r="RUD3" s="120"/>
      <c r="RUE3" s="120"/>
      <c r="RUF3" s="120"/>
      <c r="RUG3" s="120"/>
      <c r="RUH3" s="120"/>
      <c r="RUI3" s="120"/>
      <c r="RUJ3" s="120"/>
      <c r="RUK3" s="120"/>
      <c r="RUL3" s="120"/>
      <c r="RUM3" s="120"/>
      <c r="RUN3" s="120"/>
      <c r="RUO3" s="120"/>
      <c r="RUP3" s="120"/>
      <c r="RUQ3" s="120"/>
      <c r="RUR3" s="120"/>
      <c r="RUS3" s="120"/>
      <c r="RUT3" s="120"/>
      <c r="RUU3" s="120"/>
      <c r="RUV3" s="120"/>
      <c r="RUW3" s="120"/>
      <c r="RUX3" s="120"/>
      <c r="RUY3" s="120"/>
      <c r="RUZ3" s="120"/>
      <c r="RVA3" s="120"/>
      <c r="RVB3" s="120"/>
      <c r="RVC3" s="120"/>
      <c r="RVD3" s="120"/>
      <c r="RVE3" s="120"/>
      <c r="RVF3" s="120"/>
      <c r="RVG3" s="120"/>
      <c r="RVH3" s="120"/>
      <c r="RVI3" s="120"/>
      <c r="RVJ3" s="120"/>
      <c r="RVK3" s="120"/>
      <c r="RVL3" s="120"/>
      <c r="RVM3" s="120"/>
      <c r="RVN3" s="120"/>
      <c r="RVO3" s="120"/>
      <c r="RVP3" s="120"/>
      <c r="RVQ3" s="120"/>
      <c r="RVR3" s="120"/>
      <c r="RVS3" s="120"/>
      <c r="RVT3" s="120"/>
      <c r="RVU3" s="120"/>
      <c r="RVV3" s="120"/>
      <c r="RVW3" s="120"/>
      <c r="RVX3" s="120"/>
      <c r="RVY3" s="120"/>
      <c r="RVZ3" s="120"/>
      <c r="RWA3" s="120"/>
      <c r="RWB3" s="120"/>
      <c r="RWC3" s="120"/>
      <c r="RWD3" s="120"/>
      <c r="RWE3" s="120"/>
      <c r="RWF3" s="120"/>
      <c r="RWG3" s="120"/>
      <c r="RWH3" s="120"/>
      <c r="RWI3" s="120"/>
      <c r="RWJ3" s="120"/>
      <c r="RWK3" s="120"/>
      <c r="RWL3" s="120"/>
      <c r="RWM3" s="120"/>
      <c r="RWN3" s="120"/>
      <c r="RWO3" s="120"/>
      <c r="RWP3" s="120"/>
      <c r="RWQ3" s="120"/>
      <c r="RWR3" s="120"/>
      <c r="RWS3" s="120"/>
      <c r="RWT3" s="120"/>
      <c r="RWU3" s="120"/>
      <c r="RWV3" s="120"/>
      <c r="RWW3" s="120"/>
      <c r="RWX3" s="120"/>
      <c r="RWY3" s="120"/>
      <c r="RWZ3" s="120"/>
      <c r="RXA3" s="120"/>
      <c r="RXB3" s="120"/>
      <c r="RXC3" s="120"/>
      <c r="RXD3" s="120"/>
      <c r="RXE3" s="120"/>
      <c r="RXF3" s="120"/>
      <c r="RXG3" s="120"/>
      <c r="RXH3" s="120"/>
      <c r="RXI3" s="120"/>
      <c r="RXJ3" s="120"/>
      <c r="RXK3" s="120"/>
      <c r="RXL3" s="120"/>
      <c r="RXM3" s="120"/>
      <c r="RXN3" s="120"/>
      <c r="RXO3" s="120"/>
      <c r="RXP3" s="120"/>
      <c r="RXQ3" s="120"/>
      <c r="RXR3" s="120"/>
      <c r="RXS3" s="120"/>
      <c r="RXT3" s="120"/>
      <c r="RXU3" s="120"/>
      <c r="RXV3" s="120"/>
      <c r="RXW3" s="120"/>
      <c r="RXX3" s="120"/>
      <c r="RXY3" s="120"/>
      <c r="RXZ3" s="120"/>
      <c r="RYA3" s="120"/>
      <c r="RYB3" s="120"/>
      <c r="RYC3" s="120"/>
      <c r="RYD3" s="120"/>
      <c r="RYE3" s="120"/>
      <c r="RYF3" s="120"/>
      <c r="RYG3" s="120"/>
      <c r="RYH3" s="120"/>
      <c r="RYI3" s="120"/>
      <c r="RYJ3" s="120"/>
      <c r="RYK3" s="120"/>
      <c r="RYL3" s="120"/>
      <c r="RYM3" s="120"/>
      <c r="RYN3" s="120"/>
      <c r="RYO3" s="120"/>
      <c r="RYP3" s="120"/>
      <c r="RYQ3" s="120"/>
      <c r="RYR3" s="120"/>
      <c r="RYS3" s="120"/>
      <c r="RYT3" s="120"/>
      <c r="RYU3" s="120"/>
      <c r="RYV3" s="120"/>
      <c r="RYW3" s="120"/>
      <c r="RYX3" s="120"/>
      <c r="RYY3" s="120"/>
      <c r="RYZ3" s="120"/>
      <c r="RZA3" s="120"/>
      <c r="RZB3" s="120"/>
      <c r="RZC3" s="120"/>
      <c r="RZD3" s="120"/>
      <c r="RZE3" s="120"/>
      <c r="RZF3" s="120"/>
      <c r="RZG3" s="120"/>
      <c r="RZH3" s="120"/>
      <c r="RZI3" s="120"/>
      <c r="RZJ3" s="120"/>
      <c r="RZK3" s="120"/>
      <c r="RZL3" s="120"/>
      <c r="RZM3" s="120"/>
      <c r="RZN3" s="120"/>
      <c r="RZO3" s="120"/>
      <c r="RZP3" s="120"/>
      <c r="RZQ3" s="120"/>
      <c r="RZR3" s="120"/>
      <c r="RZS3" s="120"/>
      <c r="RZT3" s="120"/>
      <c r="RZU3" s="120"/>
      <c r="RZV3" s="120"/>
      <c r="RZW3" s="120"/>
      <c r="RZX3" s="120"/>
      <c r="RZY3" s="120"/>
      <c r="RZZ3" s="120"/>
      <c r="SAA3" s="120"/>
      <c r="SAB3" s="120"/>
      <c r="SAC3" s="120"/>
      <c r="SAD3" s="120"/>
      <c r="SAE3" s="120"/>
      <c r="SAF3" s="120"/>
      <c r="SAG3" s="120"/>
      <c r="SAH3" s="120"/>
      <c r="SAI3" s="120"/>
      <c r="SAJ3" s="120"/>
      <c r="SAK3" s="120"/>
      <c r="SAL3" s="120"/>
      <c r="SAM3" s="120"/>
      <c r="SAN3" s="120"/>
      <c r="SAO3" s="120"/>
      <c r="SAP3" s="120"/>
      <c r="SAQ3" s="120"/>
      <c r="SAR3" s="120"/>
      <c r="SAS3" s="120"/>
      <c r="SAT3" s="120"/>
      <c r="SAU3" s="120"/>
      <c r="SAV3" s="120"/>
      <c r="SAW3" s="120"/>
      <c r="SAX3" s="120"/>
      <c r="SAY3" s="120"/>
      <c r="SAZ3" s="120"/>
      <c r="SBA3" s="120"/>
      <c r="SBB3" s="120"/>
      <c r="SBC3" s="120"/>
      <c r="SBD3" s="120"/>
      <c r="SBE3" s="120"/>
      <c r="SBF3" s="120"/>
      <c r="SBG3" s="120"/>
      <c r="SBH3" s="120"/>
      <c r="SBI3" s="120"/>
      <c r="SBJ3" s="120"/>
      <c r="SBK3" s="120"/>
      <c r="SBL3" s="120"/>
      <c r="SBM3" s="120"/>
      <c r="SBN3" s="120"/>
      <c r="SBO3" s="120"/>
      <c r="SBP3" s="120"/>
      <c r="SBQ3" s="120"/>
      <c r="SBR3" s="120"/>
      <c r="SBS3" s="120"/>
      <c r="SBT3" s="120"/>
      <c r="SBU3" s="120"/>
      <c r="SBV3" s="120"/>
      <c r="SBW3" s="120"/>
      <c r="SBX3" s="120"/>
      <c r="SBY3" s="120"/>
      <c r="SBZ3" s="120"/>
      <c r="SCA3" s="120"/>
      <c r="SCB3" s="120"/>
      <c r="SCC3" s="120"/>
      <c r="SCD3" s="120"/>
      <c r="SCE3" s="120"/>
      <c r="SCF3" s="120"/>
      <c r="SCG3" s="120"/>
      <c r="SCH3" s="120"/>
      <c r="SCI3" s="120"/>
      <c r="SCJ3" s="120"/>
      <c r="SCK3" s="120"/>
      <c r="SCL3" s="120"/>
      <c r="SCM3" s="120"/>
      <c r="SCN3" s="120"/>
      <c r="SCO3" s="120"/>
      <c r="SCP3" s="120"/>
      <c r="SCQ3" s="120"/>
      <c r="SCR3" s="120"/>
      <c r="SCS3" s="120"/>
      <c r="SCT3" s="120"/>
      <c r="SCU3" s="120"/>
      <c r="SCV3" s="120"/>
      <c r="SCW3" s="120"/>
      <c r="SCX3" s="120"/>
      <c r="SCY3" s="120"/>
      <c r="SCZ3" s="120"/>
      <c r="SDA3" s="120"/>
      <c r="SDB3" s="120"/>
      <c r="SDC3" s="120"/>
      <c r="SDD3" s="120"/>
      <c r="SDE3" s="120"/>
      <c r="SDF3" s="120"/>
      <c r="SDG3" s="120"/>
      <c r="SDH3" s="120"/>
      <c r="SDI3" s="120"/>
      <c r="SDJ3" s="120"/>
      <c r="SDK3" s="120"/>
      <c r="SDL3" s="120"/>
      <c r="SDM3" s="120"/>
      <c r="SDN3" s="120"/>
      <c r="SDO3" s="120"/>
      <c r="SDP3" s="120"/>
      <c r="SDQ3" s="120"/>
      <c r="SDR3" s="120"/>
      <c r="SDS3" s="120"/>
      <c r="SDT3" s="120"/>
      <c r="SDU3" s="120"/>
      <c r="SDV3" s="120"/>
      <c r="SDW3" s="120"/>
      <c r="SDX3" s="120"/>
      <c r="SDY3" s="120"/>
      <c r="SDZ3" s="120"/>
      <c r="SEA3" s="120"/>
      <c r="SEB3" s="120"/>
      <c r="SEC3" s="120"/>
      <c r="SED3" s="120"/>
      <c r="SEE3" s="120"/>
      <c r="SEF3" s="120"/>
      <c r="SEG3" s="120"/>
      <c r="SEH3" s="120"/>
      <c r="SEI3" s="120"/>
      <c r="SEJ3" s="120"/>
      <c r="SEK3" s="120"/>
      <c r="SEL3" s="120"/>
      <c r="SEM3" s="120"/>
      <c r="SEN3" s="120"/>
      <c r="SEO3" s="120"/>
      <c r="SEP3" s="120"/>
      <c r="SEQ3" s="120"/>
      <c r="SER3" s="120"/>
      <c r="SES3" s="120"/>
      <c r="SET3" s="120"/>
      <c r="SEU3" s="120"/>
      <c r="SEV3" s="120"/>
      <c r="SEW3" s="120"/>
      <c r="SEX3" s="120"/>
      <c r="SEY3" s="120"/>
      <c r="SEZ3" s="120"/>
      <c r="SFA3" s="120"/>
      <c r="SFB3" s="120"/>
      <c r="SFC3" s="120"/>
      <c r="SFD3" s="120"/>
      <c r="SFE3" s="120"/>
      <c r="SFF3" s="120"/>
      <c r="SFG3" s="120"/>
      <c r="SFH3" s="120"/>
      <c r="SFI3" s="120"/>
      <c r="SFJ3" s="120"/>
      <c r="SFK3" s="120"/>
      <c r="SFL3" s="120"/>
      <c r="SFM3" s="120"/>
      <c r="SFN3" s="120"/>
      <c r="SFO3" s="120"/>
      <c r="SFP3" s="120"/>
      <c r="SFQ3" s="120"/>
      <c r="SFR3" s="120"/>
      <c r="SFS3" s="120"/>
      <c r="SFT3" s="120"/>
      <c r="SFU3" s="120"/>
      <c r="SFV3" s="120"/>
      <c r="SFW3" s="120"/>
      <c r="SFX3" s="120"/>
      <c r="SFY3" s="120"/>
      <c r="SFZ3" s="120"/>
      <c r="SGA3" s="120"/>
      <c r="SGB3" s="120"/>
      <c r="SGC3" s="120"/>
      <c r="SGD3" s="120"/>
      <c r="SGE3" s="120"/>
      <c r="SGF3" s="120"/>
      <c r="SGG3" s="120"/>
      <c r="SGH3" s="120"/>
      <c r="SGI3" s="120"/>
      <c r="SGJ3" s="120"/>
      <c r="SGK3" s="120"/>
      <c r="SGL3" s="120"/>
      <c r="SGM3" s="120"/>
      <c r="SGN3" s="120"/>
      <c r="SGO3" s="120"/>
      <c r="SGP3" s="120"/>
      <c r="SGQ3" s="120"/>
      <c r="SGR3" s="120"/>
      <c r="SGS3" s="120"/>
      <c r="SGT3" s="120"/>
      <c r="SGU3" s="120"/>
      <c r="SGV3" s="120"/>
      <c r="SGW3" s="120"/>
      <c r="SGX3" s="120"/>
      <c r="SGY3" s="120"/>
      <c r="SGZ3" s="120"/>
      <c r="SHA3" s="120"/>
      <c r="SHB3" s="120"/>
      <c r="SHC3" s="120"/>
      <c r="SHD3" s="120"/>
      <c r="SHE3" s="120"/>
      <c r="SHF3" s="120"/>
      <c r="SHG3" s="120"/>
      <c r="SHH3" s="120"/>
      <c r="SHI3" s="120"/>
      <c r="SHJ3" s="120"/>
      <c r="SHK3" s="120"/>
      <c r="SHL3" s="120"/>
      <c r="SHM3" s="120"/>
      <c r="SHN3" s="120"/>
      <c r="SHO3" s="120"/>
      <c r="SHP3" s="120"/>
      <c r="SHQ3" s="120"/>
      <c r="SHR3" s="120"/>
      <c r="SHS3" s="120"/>
      <c r="SHT3" s="120"/>
      <c r="SHU3" s="120"/>
      <c r="SHV3" s="120"/>
      <c r="SHW3" s="120"/>
      <c r="SHX3" s="120"/>
      <c r="SHY3" s="120"/>
      <c r="SHZ3" s="120"/>
      <c r="SIA3" s="120"/>
      <c r="SIB3" s="120"/>
      <c r="SIC3" s="120"/>
      <c r="SID3" s="120"/>
      <c r="SIE3" s="120"/>
      <c r="SIF3" s="120"/>
      <c r="SIG3" s="120"/>
      <c r="SIH3" s="120"/>
      <c r="SII3" s="120"/>
      <c r="SIJ3" s="120"/>
      <c r="SIK3" s="120"/>
      <c r="SIL3" s="120"/>
      <c r="SIM3" s="120"/>
      <c r="SIN3" s="120"/>
      <c r="SIO3" s="120"/>
      <c r="SIP3" s="120"/>
      <c r="SIQ3" s="120"/>
      <c r="SIR3" s="120"/>
      <c r="SIS3" s="120"/>
      <c r="SIT3" s="120"/>
      <c r="SIU3" s="120"/>
      <c r="SIV3" s="120"/>
      <c r="SIW3" s="120"/>
      <c r="SIX3" s="120"/>
      <c r="SIY3" s="120"/>
      <c r="SIZ3" s="120"/>
      <c r="SJA3" s="120"/>
      <c r="SJB3" s="120"/>
      <c r="SJC3" s="120"/>
      <c r="SJD3" s="120"/>
      <c r="SJE3" s="120"/>
      <c r="SJF3" s="120"/>
      <c r="SJG3" s="120"/>
      <c r="SJH3" s="120"/>
      <c r="SJI3" s="120"/>
      <c r="SJJ3" s="120"/>
      <c r="SJK3" s="120"/>
      <c r="SJL3" s="120"/>
      <c r="SJM3" s="120"/>
      <c r="SJN3" s="120"/>
      <c r="SJO3" s="120"/>
      <c r="SJP3" s="120"/>
      <c r="SJQ3" s="120"/>
      <c r="SJR3" s="120"/>
      <c r="SJS3" s="120"/>
      <c r="SJT3" s="120"/>
      <c r="SJU3" s="120"/>
      <c r="SJV3" s="120"/>
      <c r="SJW3" s="120"/>
      <c r="SJX3" s="120"/>
      <c r="SJY3" s="120"/>
      <c r="SJZ3" s="120"/>
      <c r="SKA3" s="120"/>
      <c r="SKB3" s="120"/>
      <c r="SKC3" s="120"/>
      <c r="SKD3" s="120"/>
      <c r="SKE3" s="120"/>
      <c r="SKF3" s="120"/>
      <c r="SKG3" s="120"/>
      <c r="SKH3" s="120"/>
      <c r="SKI3" s="120"/>
      <c r="SKJ3" s="120"/>
      <c r="SKK3" s="120"/>
      <c r="SKL3" s="120"/>
      <c r="SKM3" s="120"/>
      <c r="SKN3" s="120"/>
      <c r="SKO3" s="120"/>
      <c r="SKP3" s="120"/>
      <c r="SKQ3" s="120"/>
      <c r="SKR3" s="120"/>
      <c r="SKS3" s="120"/>
      <c r="SKT3" s="120"/>
      <c r="SKU3" s="120"/>
      <c r="SKV3" s="120"/>
      <c r="SKW3" s="120"/>
      <c r="SKX3" s="120"/>
      <c r="SKY3" s="120"/>
      <c r="SKZ3" s="120"/>
      <c r="SLA3" s="120"/>
      <c r="SLB3" s="120"/>
      <c r="SLC3" s="120"/>
      <c r="SLD3" s="120"/>
      <c r="SLE3" s="120"/>
      <c r="SLF3" s="120"/>
      <c r="SLG3" s="120"/>
      <c r="SLH3" s="120"/>
      <c r="SLI3" s="120"/>
      <c r="SLJ3" s="120"/>
      <c r="SLK3" s="120"/>
      <c r="SLL3" s="120"/>
      <c r="SLM3" s="120"/>
      <c r="SLN3" s="120"/>
      <c r="SLO3" s="120"/>
      <c r="SLP3" s="120"/>
      <c r="SLQ3" s="120"/>
      <c r="SLR3" s="120"/>
      <c r="SLS3" s="120"/>
      <c r="SLT3" s="120"/>
      <c r="SLU3" s="120"/>
      <c r="SLV3" s="120"/>
      <c r="SLW3" s="120"/>
      <c r="SLX3" s="120"/>
      <c r="SLY3" s="120"/>
      <c r="SLZ3" s="120"/>
      <c r="SMA3" s="120"/>
      <c r="SMB3" s="120"/>
      <c r="SMC3" s="120"/>
      <c r="SMD3" s="120"/>
      <c r="SME3" s="120"/>
      <c r="SMF3" s="120"/>
      <c r="SMG3" s="120"/>
      <c r="SMH3" s="120"/>
      <c r="SMI3" s="120"/>
      <c r="SMJ3" s="120"/>
      <c r="SMK3" s="120"/>
      <c r="SML3" s="120"/>
      <c r="SMM3" s="120"/>
      <c r="SMN3" s="120"/>
      <c r="SMO3" s="120"/>
      <c r="SMP3" s="120"/>
      <c r="SMQ3" s="120"/>
      <c r="SMR3" s="120"/>
      <c r="SMS3" s="120"/>
      <c r="SMT3" s="120"/>
      <c r="SMU3" s="120"/>
      <c r="SMV3" s="120"/>
      <c r="SMW3" s="120"/>
      <c r="SMX3" s="120"/>
      <c r="SMY3" s="120"/>
      <c r="SMZ3" s="120"/>
      <c r="SNA3" s="120"/>
      <c r="SNB3" s="120"/>
      <c r="SNC3" s="120"/>
      <c r="SND3" s="120"/>
      <c r="SNE3" s="120"/>
      <c r="SNF3" s="120"/>
      <c r="SNG3" s="120"/>
      <c r="SNH3" s="120"/>
      <c r="SNI3" s="120"/>
      <c r="SNJ3" s="120"/>
      <c r="SNK3" s="120"/>
      <c r="SNL3" s="120"/>
      <c r="SNM3" s="120"/>
      <c r="SNN3" s="120"/>
      <c r="SNO3" s="120"/>
      <c r="SNP3" s="120"/>
      <c r="SNQ3" s="120"/>
      <c r="SNR3" s="120"/>
      <c r="SNS3" s="120"/>
      <c r="SNT3" s="120"/>
      <c r="SNU3" s="120"/>
      <c r="SNV3" s="120"/>
      <c r="SNW3" s="120"/>
      <c r="SNX3" s="120"/>
      <c r="SNY3" s="120"/>
      <c r="SNZ3" s="120"/>
      <c r="SOA3" s="120"/>
      <c r="SOB3" s="120"/>
      <c r="SOC3" s="120"/>
      <c r="SOD3" s="120"/>
      <c r="SOE3" s="120"/>
      <c r="SOF3" s="120"/>
      <c r="SOG3" s="120"/>
      <c r="SOH3" s="120"/>
      <c r="SOI3" s="120"/>
      <c r="SOJ3" s="120"/>
      <c r="SOK3" s="120"/>
      <c r="SOL3" s="120"/>
      <c r="SOM3" s="120"/>
      <c r="SON3" s="120"/>
      <c r="SOO3" s="120"/>
      <c r="SOP3" s="120"/>
      <c r="SOQ3" s="120"/>
      <c r="SOR3" s="120"/>
      <c r="SOS3" s="120"/>
      <c r="SOT3" s="120"/>
      <c r="SOU3" s="120"/>
      <c r="SOV3" s="120"/>
      <c r="SOW3" s="120"/>
      <c r="SOX3" s="120"/>
      <c r="SOY3" s="120"/>
      <c r="SOZ3" s="120"/>
      <c r="SPA3" s="120"/>
      <c r="SPB3" s="120"/>
      <c r="SPC3" s="120"/>
      <c r="SPD3" s="120"/>
      <c r="SPE3" s="120"/>
      <c r="SPF3" s="120"/>
      <c r="SPG3" s="120"/>
      <c r="SPH3" s="120"/>
      <c r="SPI3" s="120"/>
      <c r="SPJ3" s="120"/>
      <c r="SPK3" s="120"/>
      <c r="SPL3" s="120"/>
      <c r="SPM3" s="120"/>
      <c r="SPN3" s="120"/>
      <c r="SPO3" s="120"/>
      <c r="SPP3" s="120"/>
      <c r="SPQ3" s="120"/>
      <c r="SPR3" s="120"/>
      <c r="SPS3" s="120"/>
      <c r="SPT3" s="120"/>
      <c r="SPU3" s="120"/>
      <c r="SPV3" s="120"/>
      <c r="SPW3" s="120"/>
      <c r="SPX3" s="120"/>
      <c r="SPY3" s="120"/>
      <c r="SPZ3" s="120"/>
      <c r="SQA3" s="120"/>
      <c r="SQB3" s="120"/>
      <c r="SQC3" s="120"/>
      <c r="SQD3" s="120"/>
      <c r="SQE3" s="120"/>
      <c r="SQF3" s="120"/>
      <c r="SQG3" s="120"/>
      <c r="SQH3" s="120"/>
      <c r="SQI3" s="120"/>
      <c r="SQJ3" s="120"/>
      <c r="SQK3" s="120"/>
      <c r="SQL3" s="120"/>
      <c r="SQM3" s="120"/>
      <c r="SQN3" s="120"/>
      <c r="SQO3" s="120"/>
      <c r="SQP3" s="120"/>
      <c r="SQQ3" s="120"/>
      <c r="SQR3" s="120"/>
      <c r="SQS3" s="120"/>
      <c r="SQT3" s="120"/>
      <c r="SQU3" s="120"/>
      <c r="SQV3" s="120"/>
      <c r="SQW3" s="120"/>
      <c r="SQX3" s="120"/>
      <c r="SQY3" s="120"/>
      <c r="SQZ3" s="120"/>
      <c r="SRA3" s="120"/>
      <c r="SRB3" s="120"/>
      <c r="SRC3" s="120"/>
      <c r="SRD3" s="120"/>
      <c r="SRE3" s="120"/>
      <c r="SRF3" s="120"/>
      <c r="SRG3" s="120"/>
      <c r="SRH3" s="120"/>
      <c r="SRI3" s="120"/>
      <c r="SRJ3" s="120"/>
      <c r="SRK3" s="120"/>
      <c r="SRL3" s="120"/>
      <c r="SRM3" s="120"/>
      <c r="SRN3" s="120"/>
      <c r="SRO3" s="120"/>
      <c r="SRP3" s="120"/>
      <c r="SRQ3" s="120"/>
      <c r="SRR3" s="120"/>
      <c r="SRS3" s="120"/>
      <c r="SRT3" s="120"/>
      <c r="SRU3" s="120"/>
      <c r="SRV3" s="120"/>
      <c r="SRW3" s="120"/>
      <c r="SRX3" s="120"/>
      <c r="SRY3" s="120"/>
      <c r="SRZ3" s="120"/>
      <c r="SSA3" s="120"/>
      <c r="SSB3" s="120"/>
      <c r="SSC3" s="120"/>
      <c r="SSD3" s="120"/>
      <c r="SSE3" s="120"/>
      <c r="SSF3" s="120"/>
      <c r="SSG3" s="120"/>
      <c r="SSH3" s="120"/>
      <c r="SSI3" s="120"/>
      <c r="SSJ3" s="120"/>
      <c r="SSK3" s="120"/>
      <c r="SSL3" s="120"/>
      <c r="SSM3" s="120"/>
      <c r="SSN3" s="120"/>
      <c r="SSO3" s="120"/>
      <c r="SSP3" s="120"/>
      <c r="SSQ3" s="120"/>
      <c r="SSR3" s="120"/>
      <c r="SSS3" s="120"/>
      <c r="SST3" s="120"/>
      <c r="SSU3" s="120"/>
      <c r="SSV3" s="120"/>
      <c r="SSW3" s="120"/>
      <c r="SSX3" s="120"/>
      <c r="SSY3" s="120"/>
      <c r="SSZ3" s="120"/>
      <c r="STA3" s="120"/>
      <c r="STB3" s="120"/>
      <c r="STC3" s="120"/>
      <c r="STD3" s="120"/>
      <c r="STE3" s="120"/>
      <c r="STF3" s="120"/>
      <c r="STG3" s="120"/>
      <c r="STH3" s="120"/>
      <c r="STI3" s="120"/>
      <c r="STJ3" s="120"/>
      <c r="STK3" s="120"/>
      <c r="STL3" s="120"/>
      <c r="STM3" s="120"/>
      <c r="STN3" s="120"/>
      <c r="STO3" s="120"/>
      <c r="STP3" s="120"/>
      <c r="STQ3" s="120"/>
      <c r="STR3" s="120"/>
      <c r="STS3" s="120"/>
      <c r="STT3" s="120"/>
      <c r="STU3" s="120"/>
      <c r="STV3" s="120"/>
      <c r="STW3" s="120"/>
      <c r="STX3" s="120"/>
      <c r="STY3" s="120"/>
      <c r="STZ3" s="120"/>
      <c r="SUA3" s="120"/>
      <c r="SUB3" s="120"/>
      <c r="SUC3" s="120"/>
      <c r="SUD3" s="120"/>
      <c r="SUE3" s="120"/>
      <c r="SUF3" s="120"/>
      <c r="SUG3" s="120"/>
      <c r="SUH3" s="120"/>
      <c r="SUI3" s="120"/>
      <c r="SUJ3" s="120"/>
      <c r="SUK3" s="120"/>
      <c r="SUL3" s="120"/>
      <c r="SUM3" s="120"/>
      <c r="SUN3" s="120"/>
      <c r="SUO3" s="120"/>
      <c r="SUP3" s="120"/>
      <c r="SUQ3" s="120"/>
      <c r="SUR3" s="120"/>
      <c r="SUS3" s="120"/>
      <c r="SUT3" s="120"/>
      <c r="SUU3" s="120"/>
      <c r="SUV3" s="120"/>
      <c r="SUW3" s="120"/>
      <c r="SUX3" s="120"/>
      <c r="SUY3" s="120"/>
      <c r="SUZ3" s="120"/>
      <c r="SVA3" s="120"/>
      <c r="SVB3" s="120"/>
      <c r="SVC3" s="120"/>
      <c r="SVD3" s="120"/>
      <c r="SVE3" s="120"/>
      <c r="SVF3" s="120"/>
      <c r="SVG3" s="120"/>
      <c r="SVH3" s="120"/>
      <c r="SVI3" s="120"/>
      <c r="SVJ3" s="120"/>
      <c r="SVK3" s="120"/>
      <c r="SVL3" s="120"/>
      <c r="SVM3" s="120"/>
      <c r="SVN3" s="120"/>
      <c r="SVO3" s="120"/>
      <c r="SVP3" s="120"/>
      <c r="SVQ3" s="120"/>
      <c r="SVR3" s="120"/>
      <c r="SVS3" s="120"/>
      <c r="SVT3" s="120"/>
      <c r="SVU3" s="120"/>
      <c r="SVV3" s="120"/>
      <c r="SVW3" s="120"/>
      <c r="SVX3" s="120"/>
      <c r="SVY3" s="120"/>
      <c r="SVZ3" s="120"/>
      <c r="SWA3" s="120"/>
      <c r="SWB3" s="120"/>
      <c r="SWC3" s="120"/>
      <c r="SWD3" s="120"/>
      <c r="SWE3" s="120"/>
      <c r="SWF3" s="120"/>
      <c r="SWG3" s="120"/>
      <c r="SWH3" s="120"/>
      <c r="SWI3" s="120"/>
      <c r="SWJ3" s="120"/>
      <c r="SWK3" s="120"/>
      <c r="SWL3" s="120"/>
      <c r="SWM3" s="120"/>
      <c r="SWN3" s="120"/>
      <c r="SWO3" s="120"/>
      <c r="SWP3" s="120"/>
      <c r="SWQ3" s="120"/>
      <c r="SWR3" s="120"/>
      <c r="SWS3" s="120"/>
      <c r="SWT3" s="120"/>
      <c r="SWU3" s="120"/>
      <c r="SWV3" s="120"/>
      <c r="SWW3" s="120"/>
      <c r="SWX3" s="120"/>
      <c r="SWY3" s="120"/>
      <c r="SWZ3" s="120"/>
      <c r="SXA3" s="120"/>
      <c r="SXB3" s="120"/>
      <c r="SXC3" s="120"/>
      <c r="SXD3" s="120"/>
      <c r="SXE3" s="120"/>
      <c r="SXF3" s="120"/>
      <c r="SXG3" s="120"/>
      <c r="SXH3" s="120"/>
      <c r="SXI3" s="120"/>
      <c r="SXJ3" s="120"/>
      <c r="SXK3" s="120"/>
      <c r="SXL3" s="120"/>
      <c r="SXM3" s="120"/>
      <c r="SXN3" s="120"/>
      <c r="SXO3" s="120"/>
      <c r="SXP3" s="120"/>
      <c r="SXQ3" s="120"/>
      <c r="SXR3" s="120"/>
      <c r="SXS3" s="120"/>
      <c r="SXT3" s="120"/>
      <c r="SXU3" s="120"/>
      <c r="SXV3" s="120"/>
      <c r="SXW3" s="120"/>
      <c r="SXX3" s="120"/>
      <c r="SXY3" s="120"/>
      <c r="SXZ3" s="120"/>
      <c r="SYA3" s="120"/>
      <c r="SYB3" s="120"/>
      <c r="SYC3" s="120"/>
      <c r="SYD3" s="120"/>
      <c r="SYE3" s="120"/>
      <c r="SYF3" s="120"/>
      <c r="SYG3" s="120"/>
      <c r="SYH3" s="120"/>
      <c r="SYI3" s="120"/>
      <c r="SYJ3" s="120"/>
      <c r="SYK3" s="120"/>
      <c r="SYL3" s="120"/>
      <c r="SYM3" s="120"/>
      <c r="SYN3" s="120"/>
      <c r="SYO3" s="120"/>
      <c r="SYP3" s="120"/>
      <c r="SYQ3" s="120"/>
      <c r="SYR3" s="120"/>
      <c r="SYS3" s="120"/>
      <c r="SYT3" s="120"/>
      <c r="SYU3" s="120"/>
      <c r="SYV3" s="120"/>
      <c r="SYW3" s="120"/>
      <c r="SYX3" s="120"/>
      <c r="SYY3" s="120"/>
      <c r="SYZ3" s="120"/>
      <c r="SZA3" s="120"/>
      <c r="SZB3" s="120"/>
      <c r="SZC3" s="120"/>
      <c r="SZD3" s="120"/>
      <c r="SZE3" s="120"/>
      <c r="SZF3" s="120"/>
      <c r="SZG3" s="120"/>
      <c r="SZH3" s="120"/>
      <c r="SZI3" s="120"/>
      <c r="SZJ3" s="120"/>
      <c r="SZK3" s="120"/>
      <c r="SZL3" s="120"/>
      <c r="SZM3" s="120"/>
      <c r="SZN3" s="120"/>
      <c r="SZO3" s="120"/>
      <c r="SZP3" s="120"/>
      <c r="SZQ3" s="120"/>
      <c r="SZR3" s="120"/>
      <c r="SZS3" s="120"/>
      <c r="SZT3" s="120"/>
      <c r="SZU3" s="120"/>
      <c r="SZV3" s="120"/>
      <c r="SZW3" s="120"/>
      <c r="SZX3" s="120"/>
      <c r="SZY3" s="120"/>
      <c r="SZZ3" s="120"/>
      <c r="TAA3" s="120"/>
      <c r="TAB3" s="120"/>
      <c r="TAC3" s="120"/>
      <c r="TAD3" s="120"/>
      <c r="TAE3" s="120"/>
      <c r="TAF3" s="120"/>
      <c r="TAG3" s="120"/>
      <c r="TAH3" s="120"/>
      <c r="TAI3" s="120"/>
      <c r="TAJ3" s="120"/>
      <c r="TAK3" s="120"/>
      <c r="TAL3" s="120"/>
      <c r="TAM3" s="120"/>
      <c r="TAN3" s="120"/>
      <c r="TAO3" s="120"/>
      <c r="TAP3" s="120"/>
      <c r="TAQ3" s="120"/>
      <c r="TAR3" s="120"/>
      <c r="TAS3" s="120"/>
      <c r="TAT3" s="120"/>
      <c r="TAU3" s="120"/>
      <c r="TAV3" s="120"/>
      <c r="TAW3" s="120"/>
      <c r="TAX3" s="120"/>
      <c r="TAY3" s="120"/>
      <c r="TAZ3" s="120"/>
      <c r="TBA3" s="120"/>
      <c r="TBB3" s="120"/>
      <c r="TBC3" s="120"/>
      <c r="TBD3" s="120"/>
      <c r="TBE3" s="120"/>
      <c r="TBF3" s="120"/>
      <c r="TBG3" s="120"/>
      <c r="TBH3" s="120"/>
      <c r="TBI3" s="120"/>
      <c r="TBJ3" s="120"/>
      <c r="TBK3" s="120"/>
      <c r="TBL3" s="120"/>
      <c r="TBM3" s="120"/>
      <c r="TBN3" s="120"/>
      <c r="TBO3" s="120"/>
      <c r="TBP3" s="120"/>
      <c r="TBQ3" s="120"/>
      <c r="TBR3" s="120"/>
      <c r="TBS3" s="120"/>
      <c r="TBT3" s="120"/>
      <c r="TBU3" s="120"/>
      <c r="TBV3" s="120"/>
      <c r="TBW3" s="120"/>
      <c r="TBX3" s="120"/>
      <c r="TBY3" s="120"/>
      <c r="TBZ3" s="120"/>
      <c r="TCA3" s="120"/>
      <c r="TCB3" s="120"/>
      <c r="TCC3" s="120"/>
      <c r="TCD3" s="120"/>
      <c r="TCE3" s="120"/>
      <c r="TCF3" s="120"/>
      <c r="TCG3" s="120"/>
      <c r="TCH3" s="120"/>
      <c r="TCI3" s="120"/>
      <c r="TCJ3" s="120"/>
      <c r="TCK3" s="120"/>
      <c r="TCL3" s="120"/>
      <c r="TCM3" s="120"/>
      <c r="TCN3" s="120"/>
      <c r="TCO3" s="120"/>
      <c r="TCP3" s="120"/>
      <c r="TCQ3" s="120"/>
      <c r="TCR3" s="120"/>
      <c r="TCS3" s="120"/>
      <c r="TCT3" s="120"/>
      <c r="TCU3" s="120"/>
      <c r="TCV3" s="120"/>
      <c r="TCW3" s="120"/>
      <c r="TCX3" s="120"/>
      <c r="TCY3" s="120"/>
      <c r="TCZ3" s="120"/>
      <c r="TDA3" s="120"/>
      <c r="TDB3" s="120"/>
      <c r="TDC3" s="120"/>
      <c r="TDD3" s="120"/>
      <c r="TDE3" s="120"/>
      <c r="TDF3" s="120"/>
      <c r="TDG3" s="120"/>
      <c r="TDH3" s="120"/>
      <c r="TDI3" s="120"/>
      <c r="TDJ3" s="120"/>
      <c r="TDK3" s="120"/>
      <c r="TDL3" s="120"/>
      <c r="TDM3" s="120"/>
      <c r="TDN3" s="120"/>
      <c r="TDO3" s="120"/>
      <c r="TDP3" s="120"/>
      <c r="TDQ3" s="120"/>
      <c r="TDR3" s="120"/>
      <c r="TDS3" s="120"/>
      <c r="TDT3" s="120"/>
      <c r="TDU3" s="120"/>
      <c r="TDV3" s="120"/>
      <c r="TDW3" s="120"/>
      <c r="TDX3" s="120"/>
      <c r="TDY3" s="120"/>
      <c r="TDZ3" s="120"/>
      <c r="TEA3" s="120"/>
      <c r="TEB3" s="120"/>
      <c r="TEC3" s="120"/>
      <c r="TED3" s="120"/>
      <c r="TEE3" s="120"/>
      <c r="TEF3" s="120"/>
      <c r="TEG3" s="120"/>
      <c r="TEH3" s="120"/>
      <c r="TEI3" s="120"/>
      <c r="TEJ3" s="120"/>
      <c r="TEK3" s="120"/>
      <c r="TEL3" s="120"/>
      <c r="TEM3" s="120"/>
      <c r="TEN3" s="120"/>
      <c r="TEO3" s="120"/>
      <c r="TEP3" s="120"/>
      <c r="TEQ3" s="120"/>
      <c r="TER3" s="120"/>
      <c r="TES3" s="120"/>
      <c r="TET3" s="120"/>
      <c r="TEU3" s="120"/>
      <c r="TEV3" s="120"/>
      <c r="TEW3" s="120"/>
      <c r="TEX3" s="120"/>
      <c r="TEY3" s="120"/>
      <c r="TEZ3" s="120"/>
      <c r="TFA3" s="120"/>
      <c r="TFB3" s="120"/>
      <c r="TFC3" s="120"/>
      <c r="TFD3" s="120"/>
      <c r="TFE3" s="120"/>
      <c r="TFF3" s="120"/>
      <c r="TFG3" s="120"/>
      <c r="TFH3" s="120"/>
      <c r="TFI3" s="120"/>
      <c r="TFJ3" s="120"/>
      <c r="TFK3" s="120"/>
      <c r="TFL3" s="120"/>
      <c r="TFM3" s="120"/>
      <c r="TFN3" s="120"/>
      <c r="TFO3" s="120"/>
      <c r="TFP3" s="120"/>
      <c r="TFQ3" s="120"/>
      <c r="TFR3" s="120"/>
      <c r="TFS3" s="120"/>
      <c r="TFT3" s="120"/>
      <c r="TFU3" s="120"/>
      <c r="TFV3" s="120"/>
      <c r="TFW3" s="120"/>
      <c r="TFX3" s="120"/>
      <c r="TFY3" s="120"/>
      <c r="TFZ3" s="120"/>
      <c r="TGA3" s="120"/>
      <c r="TGB3" s="120"/>
      <c r="TGC3" s="120"/>
      <c r="TGD3" s="120"/>
      <c r="TGE3" s="120"/>
      <c r="TGF3" s="120"/>
      <c r="TGG3" s="120"/>
      <c r="TGH3" s="120"/>
      <c r="TGI3" s="120"/>
      <c r="TGJ3" s="120"/>
      <c r="TGK3" s="120"/>
      <c r="TGL3" s="120"/>
      <c r="TGM3" s="120"/>
      <c r="TGN3" s="120"/>
      <c r="TGO3" s="120"/>
      <c r="TGP3" s="120"/>
      <c r="TGQ3" s="120"/>
      <c r="TGR3" s="120"/>
      <c r="TGS3" s="120"/>
      <c r="TGT3" s="120"/>
      <c r="TGU3" s="120"/>
      <c r="TGV3" s="120"/>
      <c r="TGW3" s="120"/>
      <c r="TGX3" s="120"/>
      <c r="TGY3" s="120"/>
      <c r="TGZ3" s="120"/>
      <c r="THA3" s="120"/>
      <c r="THB3" s="120"/>
      <c r="THC3" s="120"/>
      <c r="THD3" s="120"/>
      <c r="THE3" s="120"/>
      <c r="THF3" s="120"/>
      <c r="THG3" s="120"/>
      <c r="THH3" s="120"/>
      <c r="THI3" s="120"/>
      <c r="THJ3" s="120"/>
      <c r="THK3" s="120"/>
      <c r="THL3" s="120"/>
      <c r="THM3" s="120"/>
      <c r="THN3" s="120"/>
      <c r="THO3" s="120"/>
      <c r="THP3" s="120"/>
      <c r="THQ3" s="120"/>
      <c r="THR3" s="120"/>
      <c r="THS3" s="120"/>
      <c r="THT3" s="120"/>
      <c r="THU3" s="120"/>
      <c r="THV3" s="120"/>
      <c r="THW3" s="120"/>
      <c r="THX3" s="120"/>
      <c r="THY3" s="120"/>
      <c r="THZ3" s="120"/>
      <c r="TIA3" s="120"/>
      <c r="TIB3" s="120"/>
      <c r="TIC3" s="120"/>
      <c r="TID3" s="120"/>
      <c r="TIE3" s="120"/>
      <c r="TIF3" s="120"/>
      <c r="TIG3" s="120"/>
      <c r="TIH3" s="120"/>
      <c r="TII3" s="120"/>
      <c r="TIJ3" s="120"/>
      <c r="TIK3" s="120"/>
      <c r="TIL3" s="120"/>
      <c r="TIM3" s="120"/>
      <c r="TIN3" s="120"/>
      <c r="TIO3" s="120"/>
      <c r="TIP3" s="120"/>
      <c r="TIQ3" s="120"/>
      <c r="TIR3" s="120"/>
      <c r="TIS3" s="120"/>
      <c r="TIT3" s="120"/>
      <c r="TIU3" s="120"/>
      <c r="TIV3" s="120"/>
      <c r="TIW3" s="120"/>
      <c r="TIX3" s="120"/>
      <c r="TIY3" s="120"/>
      <c r="TIZ3" s="120"/>
      <c r="TJA3" s="120"/>
      <c r="TJB3" s="120"/>
      <c r="TJC3" s="120"/>
      <c r="TJD3" s="120"/>
      <c r="TJE3" s="120"/>
      <c r="TJF3" s="120"/>
      <c r="TJG3" s="120"/>
      <c r="TJH3" s="120"/>
      <c r="TJI3" s="120"/>
      <c r="TJJ3" s="120"/>
      <c r="TJK3" s="120"/>
      <c r="TJL3" s="120"/>
      <c r="TJM3" s="120"/>
      <c r="TJN3" s="120"/>
      <c r="TJO3" s="120"/>
      <c r="TJP3" s="120"/>
      <c r="TJQ3" s="120"/>
      <c r="TJR3" s="120"/>
      <c r="TJS3" s="120"/>
      <c r="TJT3" s="120"/>
      <c r="TJU3" s="120"/>
      <c r="TJV3" s="120"/>
      <c r="TJW3" s="120"/>
      <c r="TJX3" s="120"/>
      <c r="TJY3" s="120"/>
      <c r="TJZ3" s="120"/>
      <c r="TKA3" s="120"/>
      <c r="TKB3" s="120"/>
      <c r="TKC3" s="120"/>
      <c r="TKD3" s="120"/>
      <c r="TKE3" s="120"/>
      <c r="TKF3" s="120"/>
      <c r="TKG3" s="120"/>
      <c r="TKH3" s="120"/>
      <c r="TKI3" s="120"/>
      <c r="TKJ3" s="120"/>
      <c r="TKK3" s="120"/>
      <c r="TKL3" s="120"/>
      <c r="TKM3" s="120"/>
      <c r="TKN3" s="120"/>
      <c r="TKO3" s="120"/>
      <c r="TKP3" s="120"/>
      <c r="TKQ3" s="120"/>
      <c r="TKR3" s="120"/>
      <c r="TKS3" s="120"/>
      <c r="TKT3" s="120"/>
      <c r="TKU3" s="120"/>
      <c r="TKV3" s="120"/>
      <c r="TKW3" s="120"/>
      <c r="TKX3" s="120"/>
      <c r="TKY3" s="120"/>
      <c r="TKZ3" s="120"/>
      <c r="TLA3" s="120"/>
      <c r="TLB3" s="120"/>
      <c r="TLC3" s="120"/>
      <c r="TLD3" s="120"/>
      <c r="TLE3" s="120"/>
      <c r="TLF3" s="120"/>
      <c r="TLG3" s="120"/>
      <c r="TLH3" s="120"/>
      <c r="TLI3" s="120"/>
      <c r="TLJ3" s="120"/>
      <c r="TLK3" s="120"/>
      <c r="TLL3" s="120"/>
      <c r="TLM3" s="120"/>
      <c r="TLN3" s="120"/>
      <c r="TLO3" s="120"/>
      <c r="TLP3" s="120"/>
      <c r="TLQ3" s="120"/>
      <c r="TLR3" s="120"/>
      <c r="TLS3" s="120"/>
      <c r="TLT3" s="120"/>
      <c r="TLU3" s="120"/>
      <c r="TLV3" s="120"/>
      <c r="TLW3" s="120"/>
      <c r="TLX3" s="120"/>
      <c r="TLY3" s="120"/>
      <c r="TLZ3" s="120"/>
      <c r="TMA3" s="120"/>
      <c r="TMB3" s="120"/>
      <c r="TMC3" s="120"/>
      <c r="TMD3" s="120"/>
      <c r="TME3" s="120"/>
      <c r="TMF3" s="120"/>
      <c r="TMG3" s="120"/>
      <c r="TMH3" s="120"/>
      <c r="TMI3" s="120"/>
      <c r="TMJ3" s="120"/>
      <c r="TMK3" s="120"/>
      <c r="TML3" s="120"/>
      <c r="TMM3" s="120"/>
      <c r="TMN3" s="120"/>
      <c r="TMO3" s="120"/>
      <c r="TMP3" s="120"/>
      <c r="TMQ3" s="120"/>
      <c r="TMR3" s="120"/>
      <c r="TMS3" s="120"/>
      <c r="TMT3" s="120"/>
      <c r="TMU3" s="120"/>
      <c r="TMV3" s="120"/>
      <c r="TMW3" s="120"/>
      <c r="TMX3" s="120"/>
      <c r="TMY3" s="120"/>
      <c r="TMZ3" s="120"/>
      <c r="TNA3" s="120"/>
      <c r="TNB3" s="120"/>
      <c r="TNC3" s="120"/>
      <c r="TND3" s="120"/>
      <c r="TNE3" s="120"/>
      <c r="TNF3" s="120"/>
      <c r="TNG3" s="120"/>
      <c r="TNH3" s="120"/>
      <c r="TNI3" s="120"/>
      <c r="TNJ3" s="120"/>
      <c r="TNK3" s="120"/>
      <c r="TNL3" s="120"/>
      <c r="TNM3" s="120"/>
      <c r="TNN3" s="120"/>
      <c r="TNO3" s="120"/>
      <c r="TNP3" s="120"/>
      <c r="TNQ3" s="120"/>
      <c r="TNR3" s="120"/>
      <c r="TNS3" s="120"/>
      <c r="TNT3" s="120"/>
      <c r="TNU3" s="120"/>
      <c r="TNV3" s="120"/>
      <c r="TNW3" s="120"/>
      <c r="TNX3" s="120"/>
      <c r="TNY3" s="120"/>
      <c r="TNZ3" s="120"/>
      <c r="TOA3" s="120"/>
      <c r="TOB3" s="120"/>
      <c r="TOC3" s="120"/>
      <c r="TOD3" s="120"/>
      <c r="TOE3" s="120"/>
      <c r="TOF3" s="120"/>
      <c r="TOG3" s="120"/>
      <c r="TOH3" s="120"/>
      <c r="TOI3" s="120"/>
      <c r="TOJ3" s="120"/>
      <c r="TOK3" s="120"/>
      <c r="TOL3" s="120"/>
      <c r="TOM3" s="120"/>
      <c r="TON3" s="120"/>
      <c r="TOO3" s="120"/>
      <c r="TOP3" s="120"/>
      <c r="TOQ3" s="120"/>
      <c r="TOR3" s="120"/>
      <c r="TOS3" s="120"/>
      <c r="TOT3" s="120"/>
      <c r="TOU3" s="120"/>
      <c r="TOV3" s="120"/>
      <c r="TOW3" s="120"/>
      <c r="TOX3" s="120"/>
      <c r="TOY3" s="120"/>
      <c r="TOZ3" s="120"/>
      <c r="TPA3" s="120"/>
      <c r="TPB3" s="120"/>
      <c r="TPC3" s="120"/>
      <c r="TPD3" s="120"/>
      <c r="TPE3" s="120"/>
      <c r="TPF3" s="120"/>
      <c r="TPG3" s="120"/>
      <c r="TPH3" s="120"/>
      <c r="TPI3" s="120"/>
      <c r="TPJ3" s="120"/>
      <c r="TPK3" s="120"/>
      <c r="TPL3" s="120"/>
      <c r="TPM3" s="120"/>
      <c r="TPN3" s="120"/>
      <c r="TPO3" s="120"/>
      <c r="TPP3" s="120"/>
      <c r="TPQ3" s="120"/>
      <c r="TPR3" s="120"/>
      <c r="TPS3" s="120"/>
      <c r="TPT3" s="120"/>
      <c r="TPU3" s="120"/>
      <c r="TPV3" s="120"/>
      <c r="TPW3" s="120"/>
      <c r="TPX3" s="120"/>
      <c r="TPY3" s="120"/>
      <c r="TPZ3" s="120"/>
      <c r="TQA3" s="120"/>
      <c r="TQB3" s="120"/>
      <c r="TQC3" s="120"/>
      <c r="TQD3" s="120"/>
      <c r="TQE3" s="120"/>
      <c r="TQF3" s="120"/>
      <c r="TQG3" s="120"/>
      <c r="TQH3" s="120"/>
      <c r="TQI3" s="120"/>
      <c r="TQJ3" s="120"/>
      <c r="TQK3" s="120"/>
      <c r="TQL3" s="120"/>
      <c r="TQM3" s="120"/>
      <c r="TQN3" s="120"/>
      <c r="TQO3" s="120"/>
      <c r="TQP3" s="120"/>
      <c r="TQQ3" s="120"/>
      <c r="TQR3" s="120"/>
      <c r="TQS3" s="120"/>
      <c r="TQT3" s="120"/>
      <c r="TQU3" s="120"/>
      <c r="TQV3" s="120"/>
      <c r="TQW3" s="120"/>
      <c r="TQX3" s="120"/>
      <c r="TQY3" s="120"/>
      <c r="TQZ3" s="120"/>
      <c r="TRA3" s="120"/>
      <c r="TRB3" s="120"/>
      <c r="TRC3" s="120"/>
      <c r="TRD3" s="120"/>
      <c r="TRE3" s="120"/>
      <c r="TRF3" s="120"/>
      <c r="TRG3" s="120"/>
      <c r="TRH3" s="120"/>
      <c r="TRI3" s="120"/>
      <c r="TRJ3" s="120"/>
      <c r="TRK3" s="120"/>
      <c r="TRL3" s="120"/>
      <c r="TRM3" s="120"/>
      <c r="TRN3" s="120"/>
      <c r="TRO3" s="120"/>
      <c r="TRP3" s="120"/>
      <c r="TRQ3" s="120"/>
      <c r="TRR3" s="120"/>
      <c r="TRS3" s="120"/>
      <c r="TRT3" s="120"/>
      <c r="TRU3" s="120"/>
      <c r="TRV3" s="120"/>
      <c r="TRW3" s="120"/>
      <c r="TRX3" s="120"/>
      <c r="TRY3" s="120"/>
      <c r="TRZ3" s="120"/>
      <c r="TSA3" s="120"/>
      <c r="TSB3" s="120"/>
      <c r="TSC3" s="120"/>
      <c r="TSD3" s="120"/>
      <c r="TSE3" s="120"/>
      <c r="TSF3" s="120"/>
      <c r="TSG3" s="120"/>
      <c r="TSH3" s="120"/>
      <c r="TSI3" s="120"/>
      <c r="TSJ3" s="120"/>
      <c r="TSK3" s="120"/>
      <c r="TSL3" s="120"/>
      <c r="TSM3" s="120"/>
      <c r="TSN3" s="120"/>
      <c r="TSO3" s="120"/>
      <c r="TSP3" s="120"/>
      <c r="TSQ3" s="120"/>
      <c r="TSR3" s="120"/>
      <c r="TSS3" s="120"/>
      <c r="TST3" s="120"/>
      <c r="TSU3" s="120"/>
      <c r="TSV3" s="120"/>
      <c r="TSW3" s="120"/>
      <c r="TSX3" s="120"/>
      <c r="TSY3" s="120"/>
      <c r="TSZ3" s="120"/>
      <c r="TTA3" s="120"/>
      <c r="TTB3" s="120"/>
      <c r="TTC3" s="120"/>
      <c r="TTD3" s="120"/>
      <c r="TTE3" s="120"/>
      <c r="TTF3" s="120"/>
      <c r="TTG3" s="120"/>
      <c r="TTH3" s="120"/>
      <c r="TTI3" s="120"/>
      <c r="TTJ3" s="120"/>
      <c r="TTK3" s="120"/>
      <c r="TTL3" s="120"/>
      <c r="TTM3" s="120"/>
      <c r="TTN3" s="120"/>
      <c r="TTO3" s="120"/>
      <c r="TTP3" s="120"/>
      <c r="TTQ3" s="120"/>
      <c r="TTR3" s="120"/>
      <c r="TTS3" s="120"/>
      <c r="TTT3" s="120"/>
      <c r="TTU3" s="120"/>
      <c r="TTV3" s="120"/>
      <c r="TTW3" s="120"/>
      <c r="TTX3" s="120"/>
      <c r="TTY3" s="120"/>
      <c r="TTZ3" s="120"/>
      <c r="TUA3" s="120"/>
      <c r="TUB3" s="120"/>
      <c r="TUC3" s="120"/>
      <c r="TUD3" s="120"/>
      <c r="TUE3" s="120"/>
      <c r="TUF3" s="120"/>
      <c r="TUG3" s="120"/>
      <c r="TUH3" s="120"/>
      <c r="TUI3" s="120"/>
      <c r="TUJ3" s="120"/>
      <c r="TUK3" s="120"/>
      <c r="TUL3" s="120"/>
      <c r="TUM3" s="120"/>
      <c r="TUN3" s="120"/>
      <c r="TUO3" s="120"/>
      <c r="TUP3" s="120"/>
      <c r="TUQ3" s="120"/>
      <c r="TUR3" s="120"/>
      <c r="TUS3" s="120"/>
      <c r="TUT3" s="120"/>
      <c r="TUU3" s="120"/>
      <c r="TUV3" s="120"/>
      <c r="TUW3" s="120"/>
      <c r="TUX3" s="120"/>
      <c r="TUY3" s="120"/>
      <c r="TUZ3" s="120"/>
      <c r="TVA3" s="120"/>
      <c r="TVB3" s="120"/>
      <c r="TVC3" s="120"/>
      <c r="TVD3" s="120"/>
      <c r="TVE3" s="120"/>
      <c r="TVF3" s="120"/>
      <c r="TVG3" s="120"/>
      <c r="TVH3" s="120"/>
      <c r="TVI3" s="120"/>
      <c r="TVJ3" s="120"/>
      <c r="TVK3" s="120"/>
      <c r="TVL3" s="120"/>
      <c r="TVM3" s="120"/>
      <c r="TVN3" s="120"/>
      <c r="TVO3" s="120"/>
      <c r="TVP3" s="120"/>
      <c r="TVQ3" s="120"/>
      <c r="TVR3" s="120"/>
      <c r="TVS3" s="120"/>
      <c r="TVT3" s="120"/>
      <c r="TVU3" s="120"/>
      <c r="TVV3" s="120"/>
      <c r="TVW3" s="120"/>
      <c r="TVX3" s="120"/>
      <c r="TVY3" s="120"/>
      <c r="TVZ3" s="120"/>
      <c r="TWA3" s="120"/>
      <c r="TWB3" s="120"/>
      <c r="TWC3" s="120"/>
      <c r="TWD3" s="120"/>
      <c r="TWE3" s="120"/>
      <c r="TWF3" s="120"/>
      <c r="TWG3" s="120"/>
      <c r="TWH3" s="120"/>
      <c r="TWI3" s="120"/>
      <c r="TWJ3" s="120"/>
      <c r="TWK3" s="120"/>
      <c r="TWL3" s="120"/>
      <c r="TWM3" s="120"/>
      <c r="TWN3" s="120"/>
      <c r="TWO3" s="120"/>
      <c r="TWP3" s="120"/>
      <c r="TWQ3" s="120"/>
      <c r="TWR3" s="120"/>
      <c r="TWS3" s="120"/>
      <c r="TWT3" s="120"/>
      <c r="TWU3" s="120"/>
      <c r="TWV3" s="120"/>
      <c r="TWW3" s="120"/>
      <c r="TWX3" s="120"/>
      <c r="TWY3" s="120"/>
      <c r="TWZ3" s="120"/>
      <c r="TXA3" s="120"/>
      <c r="TXB3" s="120"/>
      <c r="TXC3" s="120"/>
      <c r="TXD3" s="120"/>
      <c r="TXE3" s="120"/>
      <c r="TXF3" s="120"/>
      <c r="TXG3" s="120"/>
      <c r="TXH3" s="120"/>
      <c r="TXI3" s="120"/>
      <c r="TXJ3" s="120"/>
      <c r="TXK3" s="120"/>
      <c r="TXL3" s="120"/>
      <c r="TXM3" s="120"/>
      <c r="TXN3" s="120"/>
      <c r="TXO3" s="120"/>
      <c r="TXP3" s="120"/>
      <c r="TXQ3" s="120"/>
      <c r="TXR3" s="120"/>
      <c r="TXS3" s="120"/>
      <c r="TXT3" s="120"/>
      <c r="TXU3" s="120"/>
      <c r="TXV3" s="120"/>
      <c r="TXW3" s="120"/>
      <c r="TXX3" s="120"/>
      <c r="TXY3" s="120"/>
      <c r="TXZ3" s="120"/>
      <c r="TYA3" s="120"/>
      <c r="TYB3" s="120"/>
      <c r="TYC3" s="120"/>
      <c r="TYD3" s="120"/>
      <c r="TYE3" s="120"/>
      <c r="TYF3" s="120"/>
      <c r="TYG3" s="120"/>
      <c r="TYH3" s="120"/>
      <c r="TYI3" s="120"/>
      <c r="TYJ3" s="120"/>
      <c r="TYK3" s="120"/>
      <c r="TYL3" s="120"/>
      <c r="TYM3" s="120"/>
      <c r="TYN3" s="120"/>
      <c r="TYO3" s="120"/>
      <c r="TYP3" s="120"/>
      <c r="TYQ3" s="120"/>
      <c r="TYR3" s="120"/>
      <c r="TYS3" s="120"/>
      <c r="TYT3" s="120"/>
      <c r="TYU3" s="120"/>
      <c r="TYV3" s="120"/>
      <c r="TYW3" s="120"/>
      <c r="TYX3" s="120"/>
      <c r="TYY3" s="120"/>
      <c r="TYZ3" s="120"/>
      <c r="TZA3" s="120"/>
      <c r="TZB3" s="120"/>
      <c r="TZC3" s="120"/>
      <c r="TZD3" s="120"/>
      <c r="TZE3" s="120"/>
      <c r="TZF3" s="120"/>
      <c r="TZG3" s="120"/>
      <c r="TZH3" s="120"/>
      <c r="TZI3" s="120"/>
      <c r="TZJ3" s="120"/>
      <c r="TZK3" s="120"/>
      <c r="TZL3" s="120"/>
      <c r="TZM3" s="120"/>
      <c r="TZN3" s="120"/>
      <c r="TZO3" s="120"/>
      <c r="TZP3" s="120"/>
      <c r="TZQ3" s="120"/>
      <c r="TZR3" s="120"/>
      <c r="TZS3" s="120"/>
      <c r="TZT3" s="120"/>
      <c r="TZU3" s="120"/>
      <c r="TZV3" s="120"/>
      <c r="TZW3" s="120"/>
      <c r="TZX3" s="120"/>
      <c r="TZY3" s="120"/>
      <c r="TZZ3" s="120"/>
      <c r="UAA3" s="120"/>
      <c r="UAB3" s="120"/>
      <c r="UAC3" s="120"/>
      <c r="UAD3" s="120"/>
      <c r="UAE3" s="120"/>
      <c r="UAF3" s="120"/>
      <c r="UAG3" s="120"/>
      <c r="UAH3" s="120"/>
      <c r="UAI3" s="120"/>
      <c r="UAJ3" s="120"/>
      <c r="UAK3" s="120"/>
      <c r="UAL3" s="120"/>
      <c r="UAM3" s="120"/>
      <c r="UAN3" s="120"/>
      <c r="UAO3" s="120"/>
      <c r="UAP3" s="120"/>
      <c r="UAQ3" s="120"/>
      <c r="UAR3" s="120"/>
      <c r="UAS3" s="120"/>
      <c r="UAT3" s="120"/>
      <c r="UAU3" s="120"/>
      <c r="UAV3" s="120"/>
      <c r="UAW3" s="120"/>
      <c r="UAX3" s="120"/>
      <c r="UAY3" s="120"/>
      <c r="UAZ3" s="120"/>
      <c r="UBA3" s="120"/>
      <c r="UBB3" s="120"/>
      <c r="UBC3" s="120"/>
      <c r="UBD3" s="120"/>
      <c r="UBE3" s="120"/>
      <c r="UBF3" s="120"/>
      <c r="UBG3" s="120"/>
      <c r="UBH3" s="120"/>
      <c r="UBI3" s="120"/>
      <c r="UBJ3" s="120"/>
      <c r="UBK3" s="120"/>
      <c r="UBL3" s="120"/>
      <c r="UBM3" s="120"/>
      <c r="UBN3" s="120"/>
      <c r="UBO3" s="120"/>
      <c r="UBP3" s="120"/>
      <c r="UBQ3" s="120"/>
      <c r="UBR3" s="120"/>
      <c r="UBS3" s="120"/>
      <c r="UBT3" s="120"/>
      <c r="UBU3" s="120"/>
      <c r="UBV3" s="120"/>
      <c r="UBW3" s="120"/>
      <c r="UBX3" s="120"/>
      <c r="UBY3" s="120"/>
      <c r="UBZ3" s="120"/>
      <c r="UCA3" s="120"/>
      <c r="UCB3" s="120"/>
      <c r="UCC3" s="120"/>
      <c r="UCD3" s="120"/>
      <c r="UCE3" s="120"/>
      <c r="UCF3" s="120"/>
      <c r="UCG3" s="120"/>
      <c r="UCH3" s="120"/>
      <c r="UCI3" s="120"/>
      <c r="UCJ3" s="120"/>
      <c r="UCK3" s="120"/>
      <c r="UCL3" s="120"/>
      <c r="UCM3" s="120"/>
      <c r="UCN3" s="120"/>
      <c r="UCO3" s="120"/>
      <c r="UCP3" s="120"/>
      <c r="UCQ3" s="120"/>
      <c r="UCR3" s="120"/>
      <c r="UCS3" s="120"/>
      <c r="UCT3" s="120"/>
      <c r="UCU3" s="120"/>
      <c r="UCV3" s="120"/>
      <c r="UCW3" s="120"/>
      <c r="UCX3" s="120"/>
      <c r="UCY3" s="120"/>
      <c r="UCZ3" s="120"/>
      <c r="UDA3" s="120"/>
      <c r="UDB3" s="120"/>
      <c r="UDC3" s="120"/>
      <c r="UDD3" s="120"/>
      <c r="UDE3" s="120"/>
      <c r="UDF3" s="120"/>
      <c r="UDG3" s="120"/>
      <c r="UDH3" s="120"/>
      <c r="UDI3" s="120"/>
      <c r="UDJ3" s="120"/>
      <c r="UDK3" s="120"/>
      <c r="UDL3" s="120"/>
      <c r="UDM3" s="120"/>
      <c r="UDN3" s="120"/>
      <c r="UDO3" s="120"/>
      <c r="UDP3" s="120"/>
      <c r="UDQ3" s="120"/>
      <c r="UDR3" s="120"/>
      <c r="UDS3" s="120"/>
      <c r="UDT3" s="120"/>
      <c r="UDU3" s="120"/>
      <c r="UDV3" s="120"/>
      <c r="UDW3" s="120"/>
      <c r="UDX3" s="120"/>
      <c r="UDY3" s="120"/>
      <c r="UDZ3" s="120"/>
      <c r="UEA3" s="120"/>
      <c r="UEB3" s="120"/>
      <c r="UEC3" s="120"/>
      <c r="UED3" s="120"/>
      <c r="UEE3" s="120"/>
      <c r="UEF3" s="120"/>
      <c r="UEG3" s="120"/>
      <c r="UEH3" s="120"/>
      <c r="UEI3" s="120"/>
      <c r="UEJ3" s="120"/>
      <c r="UEK3" s="120"/>
      <c r="UEL3" s="120"/>
      <c r="UEM3" s="120"/>
      <c r="UEN3" s="120"/>
      <c r="UEO3" s="120"/>
      <c r="UEP3" s="120"/>
      <c r="UEQ3" s="120"/>
      <c r="UER3" s="120"/>
      <c r="UES3" s="120"/>
      <c r="UET3" s="120"/>
      <c r="UEU3" s="120"/>
      <c r="UEV3" s="120"/>
      <c r="UEW3" s="120"/>
      <c r="UEX3" s="120"/>
      <c r="UEY3" s="120"/>
      <c r="UEZ3" s="120"/>
      <c r="UFA3" s="120"/>
      <c r="UFB3" s="120"/>
      <c r="UFC3" s="120"/>
      <c r="UFD3" s="120"/>
      <c r="UFE3" s="120"/>
      <c r="UFF3" s="120"/>
      <c r="UFG3" s="120"/>
      <c r="UFH3" s="120"/>
      <c r="UFI3" s="120"/>
      <c r="UFJ3" s="120"/>
      <c r="UFK3" s="120"/>
      <c r="UFL3" s="120"/>
      <c r="UFM3" s="120"/>
      <c r="UFN3" s="120"/>
      <c r="UFO3" s="120"/>
      <c r="UFP3" s="120"/>
      <c r="UFQ3" s="120"/>
      <c r="UFR3" s="120"/>
      <c r="UFS3" s="120"/>
      <c r="UFT3" s="120"/>
      <c r="UFU3" s="120"/>
      <c r="UFV3" s="120"/>
      <c r="UFW3" s="120"/>
      <c r="UFX3" s="120"/>
      <c r="UFY3" s="120"/>
      <c r="UFZ3" s="120"/>
      <c r="UGA3" s="120"/>
      <c r="UGB3" s="120"/>
      <c r="UGC3" s="120"/>
      <c r="UGD3" s="120"/>
      <c r="UGE3" s="120"/>
      <c r="UGF3" s="120"/>
      <c r="UGG3" s="120"/>
      <c r="UGH3" s="120"/>
      <c r="UGI3" s="120"/>
      <c r="UGJ3" s="120"/>
      <c r="UGK3" s="120"/>
      <c r="UGL3" s="120"/>
      <c r="UGM3" s="120"/>
      <c r="UGN3" s="120"/>
      <c r="UGO3" s="120"/>
      <c r="UGP3" s="120"/>
      <c r="UGQ3" s="120"/>
      <c r="UGR3" s="120"/>
      <c r="UGS3" s="120"/>
      <c r="UGT3" s="120"/>
      <c r="UGU3" s="120"/>
      <c r="UGV3" s="120"/>
      <c r="UGW3" s="120"/>
      <c r="UGX3" s="120"/>
      <c r="UGY3" s="120"/>
      <c r="UGZ3" s="120"/>
      <c r="UHA3" s="120"/>
      <c r="UHB3" s="120"/>
      <c r="UHC3" s="120"/>
      <c r="UHD3" s="120"/>
      <c r="UHE3" s="120"/>
      <c r="UHF3" s="120"/>
      <c r="UHG3" s="120"/>
      <c r="UHH3" s="120"/>
      <c r="UHI3" s="120"/>
      <c r="UHJ3" s="120"/>
      <c r="UHK3" s="120"/>
      <c r="UHL3" s="120"/>
      <c r="UHM3" s="120"/>
      <c r="UHN3" s="120"/>
      <c r="UHO3" s="120"/>
      <c r="UHP3" s="120"/>
      <c r="UHQ3" s="120"/>
      <c r="UHR3" s="120"/>
      <c r="UHS3" s="120"/>
      <c r="UHT3" s="120"/>
      <c r="UHU3" s="120"/>
      <c r="UHV3" s="120"/>
      <c r="UHW3" s="120"/>
      <c r="UHX3" s="120"/>
      <c r="UHY3" s="120"/>
      <c r="UHZ3" s="120"/>
      <c r="UIA3" s="120"/>
      <c r="UIB3" s="120"/>
      <c r="UIC3" s="120"/>
      <c r="UID3" s="120"/>
      <c r="UIE3" s="120"/>
      <c r="UIF3" s="120"/>
      <c r="UIG3" s="120"/>
      <c r="UIH3" s="120"/>
      <c r="UII3" s="120"/>
      <c r="UIJ3" s="120"/>
      <c r="UIK3" s="120"/>
      <c r="UIL3" s="120"/>
      <c r="UIM3" s="120"/>
      <c r="UIN3" s="120"/>
      <c r="UIO3" s="120"/>
      <c r="UIP3" s="120"/>
      <c r="UIQ3" s="120"/>
      <c r="UIR3" s="120"/>
      <c r="UIS3" s="120"/>
      <c r="UIT3" s="120"/>
      <c r="UIU3" s="120"/>
      <c r="UIV3" s="120"/>
      <c r="UIW3" s="120"/>
      <c r="UIX3" s="120"/>
      <c r="UIY3" s="120"/>
      <c r="UIZ3" s="120"/>
      <c r="UJA3" s="120"/>
      <c r="UJB3" s="120"/>
      <c r="UJC3" s="120"/>
      <c r="UJD3" s="120"/>
      <c r="UJE3" s="120"/>
      <c r="UJF3" s="120"/>
      <c r="UJG3" s="120"/>
      <c r="UJH3" s="120"/>
      <c r="UJI3" s="120"/>
      <c r="UJJ3" s="120"/>
      <c r="UJK3" s="120"/>
      <c r="UJL3" s="120"/>
      <c r="UJM3" s="120"/>
      <c r="UJN3" s="120"/>
      <c r="UJO3" s="120"/>
      <c r="UJP3" s="120"/>
      <c r="UJQ3" s="120"/>
      <c r="UJR3" s="120"/>
      <c r="UJS3" s="120"/>
      <c r="UJT3" s="120"/>
      <c r="UJU3" s="120"/>
      <c r="UJV3" s="120"/>
      <c r="UJW3" s="120"/>
      <c r="UJX3" s="120"/>
      <c r="UJY3" s="120"/>
      <c r="UJZ3" s="120"/>
      <c r="UKA3" s="120"/>
      <c r="UKB3" s="120"/>
      <c r="UKC3" s="120"/>
      <c r="UKD3" s="120"/>
      <c r="UKE3" s="120"/>
      <c r="UKF3" s="120"/>
      <c r="UKG3" s="120"/>
      <c r="UKH3" s="120"/>
      <c r="UKI3" s="120"/>
      <c r="UKJ3" s="120"/>
      <c r="UKK3" s="120"/>
      <c r="UKL3" s="120"/>
      <c r="UKM3" s="120"/>
      <c r="UKN3" s="120"/>
      <c r="UKO3" s="120"/>
      <c r="UKP3" s="120"/>
      <c r="UKQ3" s="120"/>
      <c r="UKR3" s="120"/>
      <c r="UKS3" s="120"/>
      <c r="UKT3" s="120"/>
      <c r="UKU3" s="120"/>
      <c r="UKV3" s="120"/>
      <c r="UKW3" s="120"/>
      <c r="UKX3" s="120"/>
      <c r="UKY3" s="120"/>
      <c r="UKZ3" s="120"/>
      <c r="ULA3" s="120"/>
      <c r="ULB3" s="120"/>
      <c r="ULC3" s="120"/>
      <c r="ULD3" s="120"/>
      <c r="ULE3" s="120"/>
      <c r="ULF3" s="120"/>
      <c r="ULG3" s="120"/>
      <c r="ULH3" s="120"/>
      <c r="ULI3" s="120"/>
      <c r="ULJ3" s="120"/>
      <c r="ULK3" s="120"/>
      <c r="ULL3" s="120"/>
      <c r="ULM3" s="120"/>
      <c r="ULN3" s="120"/>
      <c r="ULO3" s="120"/>
      <c r="ULP3" s="120"/>
      <c r="ULQ3" s="120"/>
      <c r="ULR3" s="120"/>
      <c r="ULS3" s="120"/>
      <c r="ULT3" s="120"/>
      <c r="ULU3" s="120"/>
      <c r="ULV3" s="120"/>
      <c r="ULW3" s="120"/>
      <c r="ULX3" s="120"/>
      <c r="ULY3" s="120"/>
      <c r="ULZ3" s="120"/>
      <c r="UMA3" s="120"/>
      <c r="UMB3" s="120"/>
      <c r="UMC3" s="120"/>
      <c r="UMD3" s="120"/>
      <c r="UME3" s="120"/>
      <c r="UMF3" s="120"/>
      <c r="UMG3" s="120"/>
      <c r="UMH3" s="120"/>
      <c r="UMI3" s="120"/>
      <c r="UMJ3" s="120"/>
      <c r="UMK3" s="120"/>
      <c r="UML3" s="120"/>
      <c r="UMM3" s="120"/>
      <c r="UMN3" s="120"/>
      <c r="UMO3" s="120"/>
      <c r="UMP3" s="120"/>
      <c r="UMQ3" s="120"/>
      <c r="UMR3" s="120"/>
      <c r="UMS3" s="120"/>
      <c r="UMT3" s="120"/>
      <c r="UMU3" s="120"/>
      <c r="UMV3" s="120"/>
      <c r="UMW3" s="120"/>
      <c r="UMX3" s="120"/>
      <c r="UMY3" s="120"/>
      <c r="UMZ3" s="120"/>
      <c r="UNA3" s="120"/>
      <c r="UNB3" s="120"/>
      <c r="UNC3" s="120"/>
      <c r="UND3" s="120"/>
      <c r="UNE3" s="120"/>
      <c r="UNF3" s="120"/>
      <c r="UNG3" s="120"/>
      <c r="UNH3" s="120"/>
      <c r="UNI3" s="120"/>
      <c r="UNJ3" s="120"/>
      <c r="UNK3" s="120"/>
      <c r="UNL3" s="120"/>
      <c r="UNM3" s="120"/>
      <c r="UNN3" s="120"/>
      <c r="UNO3" s="120"/>
      <c r="UNP3" s="120"/>
      <c r="UNQ3" s="120"/>
      <c r="UNR3" s="120"/>
      <c r="UNS3" s="120"/>
      <c r="UNT3" s="120"/>
      <c r="UNU3" s="120"/>
      <c r="UNV3" s="120"/>
      <c r="UNW3" s="120"/>
      <c r="UNX3" s="120"/>
      <c r="UNY3" s="120"/>
      <c r="UNZ3" s="120"/>
      <c r="UOA3" s="120"/>
      <c r="UOB3" s="120"/>
      <c r="UOC3" s="120"/>
      <c r="UOD3" s="120"/>
      <c r="UOE3" s="120"/>
      <c r="UOF3" s="120"/>
      <c r="UOG3" s="120"/>
      <c r="UOH3" s="120"/>
      <c r="UOI3" s="120"/>
      <c r="UOJ3" s="120"/>
      <c r="UOK3" s="120"/>
      <c r="UOL3" s="120"/>
      <c r="UOM3" s="120"/>
      <c r="UON3" s="120"/>
      <c r="UOO3" s="120"/>
      <c r="UOP3" s="120"/>
      <c r="UOQ3" s="120"/>
      <c r="UOR3" s="120"/>
      <c r="UOS3" s="120"/>
      <c r="UOT3" s="120"/>
      <c r="UOU3" s="120"/>
      <c r="UOV3" s="120"/>
      <c r="UOW3" s="120"/>
      <c r="UOX3" s="120"/>
      <c r="UOY3" s="120"/>
      <c r="UOZ3" s="120"/>
      <c r="UPA3" s="120"/>
      <c r="UPB3" s="120"/>
      <c r="UPC3" s="120"/>
      <c r="UPD3" s="120"/>
      <c r="UPE3" s="120"/>
      <c r="UPF3" s="120"/>
      <c r="UPG3" s="120"/>
      <c r="UPH3" s="120"/>
      <c r="UPI3" s="120"/>
      <c r="UPJ3" s="120"/>
      <c r="UPK3" s="120"/>
      <c r="UPL3" s="120"/>
      <c r="UPM3" s="120"/>
      <c r="UPN3" s="120"/>
      <c r="UPO3" s="120"/>
      <c r="UPP3" s="120"/>
      <c r="UPQ3" s="120"/>
      <c r="UPR3" s="120"/>
      <c r="UPS3" s="120"/>
      <c r="UPT3" s="120"/>
      <c r="UPU3" s="120"/>
      <c r="UPV3" s="120"/>
      <c r="UPW3" s="120"/>
      <c r="UPX3" s="120"/>
      <c r="UPY3" s="120"/>
      <c r="UPZ3" s="120"/>
      <c r="UQA3" s="120"/>
      <c r="UQB3" s="120"/>
      <c r="UQC3" s="120"/>
      <c r="UQD3" s="120"/>
      <c r="UQE3" s="120"/>
      <c r="UQF3" s="120"/>
      <c r="UQG3" s="120"/>
      <c r="UQH3" s="120"/>
      <c r="UQI3" s="120"/>
      <c r="UQJ3" s="120"/>
      <c r="UQK3" s="120"/>
      <c r="UQL3" s="120"/>
      <c r="UQM3" s="120"/>
      <c r="UQN3" s="120"/>
      <c r="UQO3" s="120"/>
      <c r="UQP3" s="120"/>
      <c r="UQQ3" s="120"/>
      <c r="UQR3" s="120"/>
      <c r="UQS3" s="120"/>
      <c r="UQT3" s="120"/>
      <c r="UQU3" s="120"/>
      <c r="UQV3" s="120"/>
      <c r="UQW3" s="120"/>
      <c r="UQX3" s="120"/>
      <c r="UQY3" s="120"/>
      <c r="UQZ3" s="120"/>
      <c r="URA3" s="120"/>
      <c r="URB3" s="120"/>
      <c r="URC3" s="120"/>
      <c r="URD3" s="120"/>
      <c r="URE3" s="120"/>
      <c r="URF3" s="120"/>
      <c r="URG3" s="120"/>
      <c r="URH3" s="120"/>
      <c r="URI3" s="120"/>
      <c r="URJ3" s="120"/>
      <c r="URK3" s="120"/>
      <c r="URL3" s="120"/>
      <c r="URM3" s="120"/>
      <c r="URN3" s="120"/>
      <c r="URO3" s="120"/>
      <c r="URP3" s="120"/>
      <c r="URQ3" s="120"/>
      <c r="URR3" s="120"/>
      <c r="URS3" s="120"/>
      <c r="URT3" s="120"/>
      <c r="URU3" s="120"/>
      <c r="URV3" s="120"/>
      <c r="URW3" s="120"/>
      <c r="URX3" s="120"/>
      <c r="URY3" s="120"/>
      <c r="URZ3" s="120"/>
      <c r="USA3" s="120"/>
      <c r="USB3" s="120"/>
      <c r="USC3" s="120"/>
      <c r="USD3" s="120"/>
      <c r="USE3" s="120"/>
      <c r="USF3" s="120"/>
      <c r="USG3" s="120"/>
      <c r="USH3" s="120"/>
      <c r="USI3" s="120"/>
      <c r="USJ3" s="120"/>
      <c r="USK3" s="120"/>
      <c r="USL3" s="120"/>
      <c r="USM3" s="120"/>
      <c r="USN3" s="120"/>
      <c r="USO3" s="120"/>
      <c r="USP3" s="120"/>
      <c r="USQ3" s="120"/>
      <c r="USR3" s="120"/>
      <c r="USS3" s="120"/>
      <c r="UST3" s="120"/>
      <c r="USU3" s="120"/>
      <c r="USV3" s="120"/>
      <c r="USW3" s="120"/>
      <c r="USX3" s="120"/>
      <c r="USY3" s="120"/>
      <c r="USZ3" s="120"/>
      <c r="UTA3" s="120"/>
      <c r="UTB3" s="120"/>
      <c r="UTC3" s="120"/>
      <c r="UTD3" s="120"/>
      <c r="UTE3" s="120"/>
      <c r="UTF3" s="120"/>
      <c r="UTG3" s="120"/>
      <c r="UTH3" s="120"/>
      <c r="UTI3" s="120"/>
      <c r="UTJ3" s="120"/>
      <c r="UTK3" s="120"/>
      <c r="UTL3" s="120"/>
      <c r="UTM3" s="120"/>
      <c r="UTN3" s="120"/>
      <c r="UTO3" s="120"/>
      <c r="UTP3" s="120"/>
      <c r="UTQ3" s="120"/>
      <c r="UTR3" s="120"/>
      <c r="UTS3" s="120"/>
      <c r="UTT3" s="120"/>
      <c r="UTU3" s="120"/>
      <c r="UTV3" s="120"/>
      <c r="UTW3" s="120"/>
      <c r="UTX3" s="120"/>
      <c r="UTY3" s="120"/>
      <c r="UTZ3" s="120"/>
      <c r="UUA3" s="120"/>
      <c r="UUB3" s="120"/>
      <c r="UUC3" s="120"/>
      <c r="UUD3" s="120"/>
      <c r="UUE3" s="120"/>
      <c r="UUF3" s="120"/>
      <c r="UUG3" s="120"/>
      <c r="UUH3" s="120"/>
      <c r="UUI3" s="120"/>
      <c r="UUJ3" s="120"/>
      <c r="UUK3" s="120"/>
      <c r="UUL3" s="120"/>
      <c r="UUM3" s="120"/>
      <c r="UUN3" s="120"/>
      <c r="UUO3" s="120"/>
      <c r="UUP3" s="120"/>
      <c r="UUQ3" s="120"/>
      <c r="UUR3" s="120"/>
      <c r="UUS3" s="120"/>
      <c r="UUT3" s="120"/>
      <c r="UUU3" s="120"/>
      <c r="UUV3" s="120"/>
      <c r="UUW3" s="120"/>
      <c r="UUX3" s="120"/>
      <c r="UUY3" s="120"/>
      <c r="UUZ3" s="120"/>
      <c r="UVA3" s="120"/>
      <c r="UVB3" s="120"/>
      <c r="UVC3" s="120"/>
      <c r="UVD3" s="120"/>
      <c r="UVE3" s="120"/>
      <c r="UVF3" s="120"/>
      <c r="UVG3" s="120"/>
      <c r="UVH3" s="120"/>
      <c r="UVI3" s="120"/>
      <c r="UVJ3" s="120"/>
      <c r="UVK3" s="120"/>
      <c r="UVL3" s="120"/>
      <c r="UVM3" s="120"/>
      <c r="UVN3" s="120"/>
      <c r="UVO3" s="120"/>
      <c r="UVP3" s="120"/>
      <c r="UVQ3" s="120"/>
      <c r="UVR3" s="120"/>
      <c r="UVS3" s="120"/>
      <c r="UVT3" s="120"/>
      <c r="UVU3" s="120"/>
      <c r="UVV3" s="120"/>
      <c r="UVW3" s="120"/>
      <c r="UVX3" s="120"/>
      <c r="UVY3" s="120"/>
      <c r="UVZ3" s="120"/>
      <c r="UWA3" s="120"/>
      <c r="UWB3" s="120"/>
      <c r="UWC3" s="120"/>
      <c r="UWD3" s="120"/>
      <c r="UWE3" s="120"/>
      <c r="UWF3" s="120"/>
      <c r="UWG3" s="120"/>
      <c r="UWH3" s="120"/>
      <c r="UWI3" s="120"/>
      <c r="UWJ3" s="120"/>
      <c r="UWK3" s="120"/>
      <c r="UWL3" s="120"/>
      <c r="UWM3" s="120"/>
      <c r="UWN3" s="120"/>
      <c r="UWO3" s="120"/>
      <c r="UWP3" s="120"/>
      <c r="UWQ3" s="120"/>
      <c r="UWR3" s="120"/>
      <c r="UWS3" s="120"/>
      <c r="UWT3" s="120"/>
      <c r="UWU3" s="120"/>
      <c r="UWV3" s="120"/>
      <c r="UWW3" s="120"/>
      <c r="UWX3" s="120"/>
      <c r="UWY3" s="120"/>
      <c r="UWZ3" s="120"/>
      <c r="UXA3" s="120"/>
      <c r="UXB3" s="120"/>
      <c r="UXC3" s="120"/>
      <c r="UXD3" s="120"/>
      <c r="UXE3" s="120"/>
      <c r="UXF3" s="120"/>
      <c r="UXG3" s="120"/>
      <c r="UXH3" s="120"/>
      <c r="UXI3" s="120"/>
      <c r="UXJ3" s="120"/>
      <c r="UXK3" s="120"/>
      <c r="UXL3" s="120"/>
      <c r="UXM3" s="120"/>
      <c r="UXN3" s="120"/>
      <c r="UXO3" s="120"/>
      <c r="UXP3" s="120"/>
      <c r="UXQ3" s="120"/>
      <c r="UXR3" s="120"/>
      <c r="UXS3" s="120"/>
      <c r="UXT3" s="120"/>
      <c r="UXU3" s="120"/>
      <c r="UXV3" s="120"/>
      <c r="UXW3" s="120"/>
      <c r="UXX3" s="120"/>
      <c r="UXY3" s="120"/>
      <c r="UXZ3" s="120"/>
      <c r="UYA3" s="120"/>
      <c r="UYB3" s="120"/>
      <c r="UYC3" s="120"/>
      <c r="UYD3" s="120"/>
      <c r="UYE3" s="120"/>
      <c r="UYF3" s="120"/>
      <c r="UYG3" s="120"/>
      <c r="UYH3" s="120"/>
      <c r="UYI3" s="120"/>
      <c r="UYJ3" s="120"/>
      <c r="UYK3" s="120"/>
      <c r="UYL3" s="120"/>
      <c r="UYM3" s="120"/>
      <c r="UYN3" s="120"/>
      <c r="UYO3" s="120"/>
      <c r="UYP3" s="120"/>
      <c r="UYQ3" s="120"/>
      <c r="UYR3" s="120"/>
      <c r="UYS3" s="120"/>
      <c r="UYT3" s="120"/>
      <c r="UYU3" s="120"/>
      <c r="UYV3" s="120"/>
      <c r="UYW3" s="120"/>
      <c r="UYX3" s="120"/>
      <c r="UYY3" s="120"/>
      <c r="UYZ3" s="120"/>
      <c r="UZA3" s="120"/>
      <c r="UZB3" s="120"/>
      <c r="UZC3" s="120"/>
      <c r="UZD3" s="120"/>
      <c r="UZE3" s="120"/>
      <c r="UZF3" s="120"/>
      <c r="UZG3" s="120"/>
      <c r="UZH3" s="120"/>
      <c r="UZI3" s="120"/>
      <c r="UZJ3" s="120"/>
      <c r="UZK3" s="120"/>
      <c r="UZL3" s="120"/>
      <c r="UZM3" s="120"/>
      <c r="UZN3" s="120"/>
      <c r="UZO3" s="120"/>
      <c r="UZP3" s="120"/>
      <c r="UZQ3" s="120"/>
      <c r="UZR3" s="120"/>
      <c r="UZS3" s="120"/>
      <c r="UZT3" s="120"/>
      <c r="UZU3" s="120"/>
      <c r="UZV3" s="120"/>
      <c r="UZW3" s="120"/>
      <c r="UZX3" s="120"/>
      <c r="UZY3" s="120"/>
      <c r="UZZ3" s="120"/>
      <c r="VAA3" s="120"/>
      <c r="VAB3" s="120"/>
      <c r="VAC3" s="120"/>
      <c r="VAD3" s="120"/>
      <c r="VAE3" s="120"/>
      <c r="VAF3" s="120"/>
      <c r="VAG3" s="120"/>
      <c r="VAH3" s="120"/>
      <c r="VAI3" s="120"/>
      <c r="VAJ3" s="120"/>
      <c r="VAK3" s="120"/>
      <c r="VAL3" s="120"/>
      <c r="VAM3" s="120"/>
      <c r="VAN3" s="120"/>
      <c r="VAO3" s="120"/>
      <c r="VAP3" s="120"/>
      <c r="VAQ3" s="120"/>
      <c r="VAR3" s="120"/>
      <c r="VAS3" s="120"/>
      <c r="VAT3" s="120"/>
      <c r="VAU3" s="120"/>
      <c r="VAV3" s="120"/>
      <c r="VAW3" s="120"/>
      <c r="VAX3" s="120"/>
      <c r="VAY3" s="120"/>
      <c r="VAZ3" s="120"/>
      <c r="VBA3" s="120"/>
      <c r="VBB3" s="120"/>
      <c r="VBC3" s="120"/>
      <c r="VBD3" s="120"/>
      <c r="VBE3" s="120"/>
      <c r="VBF3" s="120"/>
      <c r="VBG3" s="120"/>
      <c r="VBH3" s="120"/>
      <c r="VBI3" s="120"/>
      <c r="VBJ3" s="120"/>
      <c r="VBK3" s="120"/>
      <c r="VBL3" s="120"/>
      <c r="VBM3" s="120"/>
      <c r="VBN3" s="120"/>
      <c r="VBO3" s="120"/>
      <c r="VBP3" s="120"/>
      <c r="VBQ3" s="120"/>
      <c r="VBR3" s="120"/>
      <c r="VBS3" s="120"/>
      <c r="VBT3" s="120"/>
      <c r="VBU3" s="120"/>
      <c r="VBV3" s="120"/>
      <c r="VBW3" s="120"/>
      <c r="VBX3" s="120"/>
      <c r="VBY3" s="120"/>
      <c r="VBZ3" s="120"/>
      <c r="VCA3" s="120"/>
      <c r="VCB3" s="120"/>
      <c r="VCC3" s="120"/>
      <c r="VCD3" s="120"/>
      <c r="VCE3" s="120"/>
      <c r="VCF3" s="120"/>
      <c r="VCG3" s="120"/>
      <c r="VCH3" s="120"/>
      <c r="VCI3" s="120"/>
      <c r="VCJ3" s="120"/>
      <c r="VCK3" s="120"/>
      <c r="VCL3" s="120"/>
      <c r="VCM3" s="120"/>
      <c r="VCN3" s="120"/>
      <c r="VCO3" s="120"/>
      <c r="VCP3" s="120"/>
      <c r="VCQ3" s="120"/>
      <c r="VCR3" s="120"/>
      <c r="VCS3" s="120"/>
      <c r="VCT3" s="120"/>
      <c r="VCU3" s="120"/>
      <c r="VCV3" s="120"/>
      <c r="VCW3" s="120"/>
      <c r="VCX3" s="120"/>
      <c r="VCY3" s="120"/>
      <c r="VCZ3" s="120"/>
      <c r="VDA3" s="120"/>
      <c r="VDB3" s="120"/>
      <c r="VDC3" s="120"/>
      <c r="VDD3" s="120"/>
      <c r="VDE3" s="120"/>
      <c r="VDF3" s="120"/>
      <c r="VDG3" s="120"/>
      <c r="VDH3" s="120"/>
      <c r="VDI3" s="120"/>
      <c r="VDJ3" s="120"/>
      <c r="VDK3" s="120"/>
      <c r="VDL3" s="120"/>
      <c r="VDM3" s="120"/>
      <c r="VDN3" s="120"/>
      <c r="VDO3" s="120"/>
      <c r="VDP3" s="120"/>
      <c r="VDQ3" s="120"/>
      <c r="VDR3" s="120"/>
      <c r="VDS3" s="120"/>
      <c r="VDT3" s="120"/>
      <c r="VDU3" s="120"/>
      <c r="VDV3" s="120"/>
      <c r="VDW3" s="120"/>
      <c r="VDX3" s="120"/>
      <c r="VDY3" s="120"/>
      <c r="VDZ3" s="120"/>
      <c r="VEA3" s="120"/>
      <c r="VEB3" s="120"/>
      <c r="VEC3" s="120"/>
      <c r="VED3" s="120"/>
      <c r="VEE3" s="120"/>
      <c r="VEF3" s="120"/>
      <c r="VEG3" s="120"/>
      <c r="VEH3" s="120"/>
      <c r="VEI3" s="120"/>
      <c r="VEJ3" s="120"/>
      <c r="VEK3" s="120"/>
      <c r="VEL3" s="120"/>
      <c r="VEM3" s="120"/>
      <c r="VEN3" s="120"/>
      <c r="VEO3" s="120"/>
      <c r="VEP3" s="120"/>
      <c r="VEQ3" s="120"/>
      <c r="VER3" s="120"/>
      <c r="VES3" s="120"/>
      <c r="VET3" s="120"/>
      <c r="VEU3" s="120"/>
      <c r="VEV3" s="120"/>
      <c r="VEW3" s="120"/>
      <c r="VEX3" s="120"/>
      <c r="VEY3" s="120"/>
      <c r="VEZ3" s="120"/>
      <c r="VFA3" s="120"/>
      <c r="VFB3" s="120"/>
      <c r="VFC3" s="120"/>
      <c r="VFD3" s="120"/>
      <c r="VFE3" s="120"/>
      <c r="VFF3" s="120"/>
      <c r="VFG3" s="120"/>
      <c r="VFH3" s="120"/>
      <c r="VFI3" s="120"/>
      <c r="VFJ3" s="120"/>
      <c r="VFK3" s="120"/>
      <c r="VFL3" s="120"/>
      <c r="VFM3" s="120"/>
      <c r="VFN3" s="120"/>
      <c r="VFO3" s="120"/>
      <c r="VFP3" s="120"/>
      <c r="VFQ3" s="120"/>
      <c r="VFR3" s="120"/>
      <c r="VFS3" s="120"/>
      <c r="VFT3" s="120"/>
      <c r="VFU3" s="120"/>
      <c r="VFV3" s="120"/>
      <c r="VFW3" s="120"/>
      <c r="VFX3" s="120"/>
      <c r="VFY3" s="120"/>
      <c r="VFZ3" s="120"/>
      <c r="VGA3" s="120"/>
      <c r="VGB3" s="120"/>
      <c r="VGC3" s="120"/>
      <c r="VGD3" s="120"/>
      <c r="VGE3" s="120"/>
      <c r="VGF3" s="120"/>
      <c r="VGG3" s="120"/>
      <c r="VGH3" s="120"/>
      <c r="VGI3" s="120"/>
      <c r="VGJ3" s="120"/>
      <c r="VGK3" s="120"/>
      <c r="VGL3" s="120"/>
      <c r="VGM3" s="120"/>
      <c r="VGN3" s="120"/>
      <c r="VGO3" s="120"/>
      <c r="VGP3" s="120"/>
      <c r="VGQ3" s="120"/>
      <c r="VGR3" s="120"/>
      <c r="VGS3" s="120"/>
      <c r="VGT3" s="120"/>
      <c r="VGU3" s="120"/>
      <c r="VGV3" s="120"/>
      <c r="VGW3" s="120"/>
      <c r="VGX3" s="120"/>
      <c r="VGY3" s="120"/>
      <c r="VGZ3" s="120"/>
      <c r="VHA3" s="120"/>
      <c r="VHB3" s="120"/>
      <c r="VHC3" s="120"/>
      <c r="VHD3" s="120"/>
      <c r="VHE3" s="120"/>
      <c r="VHF3" s="120"/>
      <c r="VHG3" s="120"/>
      <c r="VHH3" s="120"/>
      <c r="VHI3" s="120"/>
      <c r="VHJ3" s="120"/>
      <c r="VHK3" s="120"/>
      <c r="VHL3" s="120"/>
      <c r="VHM3" s="120"/>
      <c r="VHN3" s="120"/>
      <c r="VHO3" s="120"/>
      <c r="VHP3" s="120"/>
      <c r="VHQ3" s="120"/>
      <c r="VHR3" s="120"/>
      <c r="VHS3" s="120"/>
      <c r="VHT3" s="120"/>
      <c r="VHU3" s="120"/>
      <c r="VHV3" s="120"/>
      <c r="VHW3" s="120"/>
      <c r="VHX3" s="120"/>
      <c r="VHY3" s="120"/>
      <c r="VHZ3" s="120"/>
      <c r="VIA3" s="120"/>
      <c r="VIB3" s="120"/>
      <c r="VIC3" s="120"/>
      <c r="VID3" s="120"/>
      <c r="VIE3" s="120"/>
      <c r="VIF3" s="120"/>
      <c r="VIG3" s="120"/>
      <c r="VIH3" s="120"/>
      <c r="VII3" s="120"/>
      <c r="VIJ3" s="120"/>
      <c r="VIK3" s="120"/>
      <c r="VIL3" s="120"/>
      <c r="VIM3" s="120"/>
      <c r="VIN3" s="120"/>
      <c r="VIO3" s="120"/>
      <c r="VIP3" s="120"/>
      <c r="VIQ3" s="120"/>
      <c r="VIR3" s="120"/>
      <c r="VIS3" s="120"/>
      <c r="VIT3" s="120"/>
      <c r="VIU3" s="120"/>
      <c r="VIV3" s="120"/>
      <c r="VIW3" s="120"/>
      <c r="VIX3" s="120"/>
      <c r="VIY3" s="120"/>
      <c r="VIZ3" s="120"/>
      <c r="VJA3" s="120"/>
      <c r="VJB3" s="120"/>
      <c r="VJC3" s="120"/>
      <c r="VJD3" s="120"/>
      <c r="VJE3" s="120"/>
      <c r="VJF3" s="120"/>
      <c r="VJG3" s="120"/>
      <c r="VJH3" s="120"/>
      <c r="VJI3" s="120"/>
      <c r="VJJ3" s="120"/>
      <c r="VJK3" s="120"/>
      <c r="VJL3" s="120"/>
      <c r="VJM3" s="120"/>
      <c r="VJN3" s="120"/>
      <c r="VJO3" s="120"/>
      <c r="VJP3" s="120"/>
      <c r="VJQ3" s="120"/>
      <c r="VJR3" s="120"/>
      <c r="VJS3" s="120"/>
      <c r="VJT3" s="120"/>
      <c r="VJU3" s="120"/>
      <c r="VJV3" s="120"/>
      <c r="VJW3" s="120"/>
      <c r="VJX3" s="120"/>
      <c r="VJY3" s="120"/>
      <c r="VJZ3" s="120"/>
      <c r="VKA3" s="120"/>
      <c r="VKB3" s="120"/>
      <c r="VKC3" s="120"/>
      <c r="VKD3" s="120"/>
      <c r="VKE3" s="120"/>
      <c r="VKF3" s="120"/>
      <c r="VKG3" s="120"/>
      <c r="VKH3" s="120"/>
      <c r="VKI3" s="120"/>
      <c r="VKJ3" s="120"/>
      <c r="VKK3" s="120"/>
      <c r="VKL3" s="120"/>
      <c r="VKM3" s="120"/>
      <c r="VKN3" s="120"/>
      <c r="VKO3" s="120"/>
      <c r="VKP3" s="120"/>
      <c r="VKQ3" s="120"/>
      <c r="VKR3" s="120"/>
      <c r="VKS3" s="120"/>
      <c r="VKT3" s="120"/>
      <c r="VKU3" s="120"/>
      <c r="VKV3" s="120"/>
      <c r="VKW3" s="120"/>
      <c r="VKX3" s="120"/>
      <c r="VKY3" s="120"/>
      <c r="VKZ3" s="120"/>
      <c r="VLA3" s="120"/>
      <c r="VLB3" s="120"/>
      <c r="VLC3" s="120"/>
      <c r="VLD3" s="120"/>
      <c r="VLE3" s="120"/>
      <c r="VLF3" s="120"/>
      <c r="VLG3" s="120"/>
      <c r="VLH3" s="120"/>
      <c r="VLI3" s="120"/>
      <c r="VLJ3" s="120"/>
      <c r="VLK3" s="120"/>
      <c r="VLL3" s="120"/>
      <c r="VLM3" s="120"/>
      <c r="VLN3" s="120"/>
      <c r="VLO3" s="120"/>
      <c r="VLP3" s="120"/>
      <c r="VLQ3" s="120"/>
      <c r="VLR3" s="120"/>
      <c r="VLS3" s="120"/>
      <c r="VLT3" s="120"/>
      <c r="VLU3" s="120"/>
      <c r="VLV3" s="120"/>
      <c r="VLW3" s="120"/>
      <c r="VLX3" s="120"/>
      <c r="VLY3" s="120"/>
      <c r="VLZ3" s="120"/>
      <c r="VMA3" s="120"/>
      <c r="VMB3" s="120"/>
      <c r="VMC3" s="120"/>
      <c r="VMD3" s="120"/>
      <c r="VME3" s="120"/>
      <c r="VMF3" s="120"/>
      <c r="VMG3" s="120"/>
      <c r="VMH3" s="120"/>
      <c r="VMI3" s="120"/>
      <c r="VMJ3" s="120"/>
      <c r="VMK3" s="120"/>
      <c r="VML3" s="120"/>
      <c r="VMM3" s="120"/>
      <c r="VMN3" s="120"/>
      <c r="VMO3" s="120"/>
      <c r="VMP3" s="120"/>
      <c r="VMQ3" s="120"/>
      <c r="VMR3" s="120"/>
      <c r="VMS3" s="120"/>
      <c r="VMT3" s="120"/>
      <c r="VMU3" s="120"/>
      <c r="VMV3" s="120"/>
      <c r="VMW3" s="120"/>
      <c r="VMX3" s="120"/>
      <c r="VMY3" s="120"/>
      <c r="VMZ3" s="120"/>
      <c r="VNA3" s="120"/>
      <c r="VNB3" s="120"/>
      <c r="VNC3" s="120"/>
      <c r="VND3" s="120"/>
      <c r="VNE3" s="120"/>
      <c r="VNF3" s="120"/>
      <c r="VNG3" s="120"/>
      <c r="VNH3" s="120"/>
      <c r="VNI3" s="120"/>
      <c r="VNJ3" s="120"/>
      <c r="VNK3" s="120"/>
      <c r="VNL3" s="120"/>
      <c r="VNM3" s="120"/>
      <c r="VNN3" s="120"/>
      <c r="VNO3" s="120"/>
      <c r="VNP3" s="120"/>
      <c r="VNQ3" s="120"/>
      <c r="VNR3" s="120"/>
      <c r="VNS3" s="120"/>
      <c r="VNT3" s="120"/>
      <c r="VNU3" s="120"/>
      <c r="VNV3" s="120"/>
      <c r="VNW3" s="120"/>
      <c r="VNX3" s="120"/>
      <c r="VNY3" s="120"/>
      <c r="VNZ3" s="120"/>
      <c r="VOA3" s="120"/>
      <c r="VOB3" s="120"/>
      <c r="VOC3" s="120"/>
      <c r="VOD3" s="120"/>
      <c r="VOE3" s="120"/>
      <c r="VOF3" s="120"/>
      <c r="VOG3" s="120"/>
      <c r="VOH3" s="120"/>
      <c r="VOI3" s="120"/>
      <c r="VOJ3" s="120"/>
      <c r="VOK3" s="120"/>
      <c r="VOL3" s="120"/>
      <c r="VOM3" s="120"/>
      <c r="VON3" s="120"/>
      <c r="VOO3" s="120"/>
      <c r="VOP3" s="120"/>
      <c r="VOQ3" s="120"/>
      <c r="VOR3" s="120"/>
      <c r="VOS3" s="120"/>
      <c r="VOT3" s="120"/>
      <c r="VOU3" s="120"/>
      <c r="VOV3" s="120"/>
      <c r="VOW3" s="120"/>
      <c r="VOX3" s="120"/>
      <c r="VOY3" s="120"/>
      <c r="VOZ3" s="120"/>
      <c r="VPA3" s="120"/>
      <c r="VPB3" s="120"/>
      <c r="VPC3" s="120"/>
      <c r="VPD3" s="120"/>
      <c r="VPE3" s="120"/>
      <c r="VPF3" s="120"/>
      <c r="VPG3" s="120"/>
      <c r="VPH3" s="120"/>
      <c r="VPI3" s="120"/>
      <c r="VPJ3" s="120"/>
      <c r="VPK3" s="120"/>
      <c r="VPL3" s="120"/>
      <c r="VPM3" s="120"/>
      <c r="VPN3" s="120"/>
      <c r="VPO3" s="120"/>
      <c r="VPP3" s="120"/>
      <c r="VPQ3" s="120"/>
      <c r="VPR3" s="120"/>
      <c r="VPS3" s="120"/>
      <c r="VPT3" s="120"/>
      <c r="VPU3" s="120"/>
      <c r="VPV3" s="120"/>
      <c r="VPW3" s="120"/>
      <c r="VPX3" s="120"/>
      <c r="VPY3" s="120"/>
      <c r="VPZ3" s="120"/>
      <c r="VQA3" s="120"/>
      <c r="VQB3" s="120"/>
      <c r="VQC3" s="120"/>
      <c r="VQD3" s="120"/>
      <c r="VQE3" s="120"/>
      <c r="VQF3" s="120"/>
      <c r="VQG3" s="120"/>
      <c r="VQH3" s="120"/>
      <c r="VQI3" s="120"/>
      <c r="VQJ3" s="120"/>
      <c r="VQK3" s="120"/>
      <c r="VQL3" s="120"/>
      <c r="VQM3" s="120"/>
      <c r="VQN3" s="120"/>
      <c r="VQO3" s="120"/>
      <c r="VQP3" s="120"/>
      <c r="VQQ3" s="120"/>
      <c r="VQR3" s="120"/>
      <c r="VQS3" s="120"/>
      <c r="VQT3" s="120"/>
      <c r="VQU3" s="120"/>
      <c r="VQV3" s="120"/>
      <c r="VQW3" s="120"/>
      <c r="VQX3" s="120"/>
      <c r="VQY3" s="120"/>
      <c r="VQZ3" s="120"/>
      <c r="VRA3" s="120"/>
      <c r="VRB3" s="120"/>
      <c r="VRC3" s="120"/>
      <c r="VRD3" s="120"/>
      <c r="VRE3" s="120"/>
      <c r="VRF3" s="120"/>
      <c r="VRG3" s="120"/>
      <c r="VRH3" s="120"/>
      <c r="VRI3" s="120"/>
      <c r="VRJ3" s="120"/>
      <c r="VRK3" s="120"/>
      <c r="VRL3" s="120"/>
      <c r="VRM3" s="120"/>
      <c r="VRN3" s="120"/>
      <c r="VRO3" s="120"/>
      <c r="VRP3" s="120"/>
      <c r="VRQ3" s="120"/>
      <c r="VRR3" s="120"/>
      <c r="VRS3" s="120"/>
      <c r="VRT3" s="120"/>
      <c r="VRU3" s="120"/>
      <c r="VRV3" s="120"/>
      <c r="VRW3" s="120"/>
      <c r="VRX3" s="120"/>
      <c r="VRY3" s="120"/>
      <c r="VRZ3" s="120"/>
      <c r="VSA3" s="120"/>
      <c r="VSB3" s="120"/>
      <c r="VSC3" s="120"/>
      <c r="VSD3" s="120"/>
      <c r="VSE3" s="120"/>
      <c r="VSF3" s="120"/>
      <c r="VSG3" s="120"/>
      <c r="VSH3" s="120"/>
      <c r="VSI3" s="120"/>
      <c r="VSJ3" s="120"/>
      <c r="VSK3" s="120"/>
      <c r="VSL3" s="120"/>
      <c r="VSM3" s="120"/>
      <c r="VSN3" s="120"/>
      <c r="VSO3" s="120"/>
      <c r="VSP3" s="120"/>
      <c r="VSQ3" s="120"/>
      <c r="VSR3" s="120"/>
      <c r="VSS3" s="120"/>
      <c r="VST3" s="120"/>
      <c r="VSU3" s="120"/>
      <c r="VSV3" s="120"/>
      <c r="VSW3" s="120"/>
      <c r="VSX3" s="120"/>
      <c r="VSY3" s="120"/>
      <c r="VSZ3" s="120"/>
      <c r="VTA3" s="120"/>
      <c r="VTB3" s="120"/>
      <c r="VTC3" s="120"/>
      <c r="VTD3" s="120"/>
      <c r="VTE3" s="120"/>
      <c r="VTF3" s="120"/>
      <c r="VTG3" s="120"/>
      <c r="VTH3" s="120"/>
      <c r="VTI3" s="120"/>
      <c r="VTJ3" s="120"/>
      <c r="VTK3" s="120"/>
      <c r="VTL3" s="120"/>
      <c r="VTM3" s="120"/>
      <c r="VTN3" s="120"/>
      <c r="VTO3" s="120"/>
      <c r="VTP3" s="120"/>
      <c r="VTQ3" s="120"/>
      <c r="VTR3" s="120"/>
      <c r="VTS3" s="120"/>
      <c r="VTT3" s="120"/>
      <c r="VTU3" s="120"/>
      <c r="VTV3" s="120"/>
      <c r="VTW3" s="120"/>
      <c r="VTX3" s="120"/>
      <c r="VTY3" s="120"/>
      <c r="VTZ3" s="120"/>
      <c r="VUA3" s="120"/>
      <c r="VUB3" s="120"/>
      <c r="VUC3" s="120"/>
      <c r="VUD3" s="120"/>
      <c r="VUE3" s="120"/>
      <c r="VUF3" s="120"/>
      <c r="VUG3" s="120"/>
      <c r="VUH3" s="120"/>
      <c r="VUI3" s="120"/>
      <c r="VUJ3" s="120"/>
      <c r="VUK3" s="120"/>
      <c r="VUL3" s="120"/>
      <c r="VUM3" s="120"/>
      <c r="VUN3" s="120"/>
      <c r="VUO3" s="120"/>
      <c r="VUP3" s="120"/>
      <c r="VUQ3" s="120"/>
      <c r="VUR3" s="120"/>
      <c r="VUS3" s="120"/>
      <c r="VUT3" s="120"/>
      <c r="VUU3" s="120"/>
      <c r="VUV3" s="120"/>
      <c r="VUW3" s="120"/>
      <c r="VUX3" s="120"/>
      <c r="VUY3" s="120"/>
      <c r="VUZ3" s="120"/>
      <c r="VVA3" s="120"/>
      <c r="VVB3" s="120"/>
      <c r="VVC3" s="120"/>
      <c r="VVD3" s="120"/>
      <c r="VVE3" s="120"/>
      <c r="VVF3" s="120"/>
      <c r="VVG3" s="120"/>
      <c r="VVH3" s="120"/>
      <c r="VVI3" s="120"/>
      <c r="VVJ3" s="120"/>
      <c r="VVK3" s="120"/>
      <c r="VVL3" s="120"/>
      <c r="VVM3" s="120"/>
      <c r="VVN3" s="120"/>
      <c r="VVO3" s="120"/>
      <c r="VVP3" s="120"/>
      <c r="VVQ3" s="120"/>
      <c r="VVR3" s="120"/>
      <c r="VVS3" s="120"/>
      <c r="VVT3" s="120"/>
      <c r="VVU3" s="120"/>
      <c r="VVV3" s="120"/>
      <c r="VVW3" s="120"/>
      <c r="VVX3" s="120"/>
      <c r="VVY3" s="120"/>
      <c r="VVZ3" s="120"/>
      <c r="VWA3" s="120"/>
      <c r="VWB3" s="120"/>
      <c r="VWC3" s="120"/>
      <c r="VWD3" s="120"/>
      <c r="VWE3" s="120"/>
      <c r="VWF3" s="120"/>
      <c r="VWG3" s="120"/>
      <c r="VWH3" s="120"/>
      <c r="VWI3" s="120"/>
      <c r="VWJ3" s="120"/>
      <c r="VWK3" s="120"/>
      <c r="VWL3" s="120"/>
      <c r="VWM3" s="120"/>
      <c r="VWN3" s="120"/>
      <c r="VWO3" s="120"/>
      <c r="VWP3" s="120"/>
      <c r="VWQ3" s="120"/>
      <c r="VWR3" s="120"/>
      <c r="VWS3" s="120"/>
      <c r="VWT3" s="120"/>
      <c r="VWU3" s="120"/>
      <c r="VWV3" s="120"/>
      <c r="VWW3" s="120"/>
      <c r="VWX3" s="120"/>
      <c r="VWY3" s="120"/>
      <c r="VWZ3" s="120"/>
      <c r="VXA3" s="120"/>
      <c r="VXB3" s="120"/>
      <c r="VXC3" s="120"/>
      <c r="VXD3" s="120"/>
      <c r="VXE3" s="120"/>
      <c r="VXF3" s="120"/>
      <c r="VXG3" s="120"/>
      <c r="VXH3" s="120"/>
      <c r="VXI3" s="120"/>
      <c r="VXJ3" s="120"/>
      <c r="VXK3" s="120"/>
      <c r="VXL3" s="120"/>
      <c r="VXM3" s="120"/>
      <c r="VXN3" s="120"/>
      <c r="VXO3" s="120"/>
      <c r="VXP3" s="120"/>
      <c r="VXQ3" s="120"/>
      <c r="VXR3" s="120"/>
      <c r="VXS3" s="120"/>
      <c r="VXT3" s="120"/>
      <c r="VXU3" s="120"/>
      <c r="VXV3" s="120"/>
      <c r="VXW3" s="120"/>
      <c r="VXX3" s="120"/>
      <c r="VXY3" s="120"/>
      <c r="VXZ3" s="120"/>
      <c r="VYA3" s="120"/>
      <c r="VYB3" s="120"/>
      <c r="VYC3" s="120"/>
      <c r="VYD3" s="120"/>
      <c r="VYE3" s="120"/>
      <c r="VYF3" s="120"/>
      <c r="VYG3" s="120"/>
      <c r="VYH3" s="120"/>
      <c r="VYI3" s="120"/>
      <c r="VYJ3" s="120"/>
      <c r="VYK3" s="120"/>
      <c r="VYL3" s="120"/>
      <c r="VYM3" s="120"/>
      <c r="VYN3" s="120"/>
      <c r="VYO3" s="120"/>
      <c r="VYP3" s="120"/>
      <c r="VYQ3" s="120"/>
      <c r="VYR3" s="120"/>
      <c r="VYS3" s="120"/>
      <c r="VYT3" s="120"/>
      <c r="VYU3" s="120"/>
      <c r="VYV3" s="120"/>
      <c r="VYW3" s="120"/>
      <c r="VYX3" s="120"/>
      <c r="VYY3" s="120"/>
      <c r="VYZ3" s="120"/>
      <c r="VZA3" s="120"/>
      <c r="VZB3" s="120"/>
      <c r="VZC3" s="120"/>
      <c r="VZD3" s="120"/>
      <c r="VZE3" s="120"/>
      <c r="VZF3" s="120"/>
      <c r="VZG3" s="120"/>
      <c r="VZH3" s="120"/>
      <c r="VZI3" s="120"/>
      <c r="VZJ3" s="120"/>
      <c r="VZK3" s="120"/>
      <c r="VZL3" s="120"/>
      <c r="VZM3" s="120"/>
      <c r="VZN3" s="120"/>
      <c r="VZO3" s="120"/>
      <c r="VZP3" s="120"/>
      <c r="VZQ3" s="120"/>
      <c r="VZR3" s="120"/>
      <c r="VZS3" s="120"/>
      <c r="VZT3" s="120"/>
      <c r="VZU3" s="120"/>
      <c r="VZV3" s="120"/>
      <c r="VZW3" s="120"/>
      <c r="VZX3" s="120"/>
      <c r="VZY3" s="120"/>
      <c r="VZZ3" s="120"/>
      <c r="WAA3" s="120"/>
      <c r="WAB3" s="120"/>
      <c r="WAC3" s="120"/>
      <c r="WAD3" s="120"/>
      <c r="WAE3" s="120"/>
      <c r="WAF3" s="120"/>
      <c r="WAG3" s="120"/>
      <c r="WAH3" s="120"/>
      <c r="WAI3" s="120"/>
      <c r="WAJ3" s="120"/>
      <c r="WAK3" s="120"/>
      <c r="WAL3" s="120"/>
      <c r="WAM3" s="120"/>
      <c r="WAN3" s="120"/>
      <c r="WAO3" s="120"/>
      <c r="WAP3" s="120"/>
      <c r="WAQ3" s="120"/>
      <c r="WAR3" s="120"/>
      <c r="WAS3" s="120"/>
      <c r="WAT3" s="120"/>
      <c r="WAU3" s="120"/>
      <c r="WAV3" s="120"/>
      <c r="WAW3" s="120"/>
      <c r="WAX3" s="120"/>
      <c r="WAY3" s="120"/>
      <c r="WAZ3" s="120"/>
      <c r="WBA3" s="120"/>
      <c r="WBB3" s="120"/>
      <c r="WBC3" s="120"/>
      <c r="WBD3" s="120"/>
      <c r="WBE3" s="120"/>
      <c r="WBF3" s="120"/>
      <c r="WBG3" s="120"/>
      <c r="WBH3" s="120"/>
      <c r="WBI3" s="120"/>
      <c r="WBJ3" s="120"/>
      <c r="WBK3" s="120"/>
      <c r="WBL3" s="120"/>
      <c r="WBM3" s="120"/>
      <c r="WBN3" s="120"/>
      <c r="WBO3" s="120"/>
      <c r="WBP3" s="120"/>
      <c r="WBQ3" s="120"/>
      <c r="WBR3" s="120"/>
      <c r="WBS3" s="120"/>
      <c r="WBT3" s="120"/>
      <c r="WBU3" s="120"/>
      <c r="WBV3" s="120"/>
      <c r="WBW3" s="120"/>
      <c r="WBX3" s="120"/>
      <c r="WBY3" s="120"/>
      <c r="WBZ3" s="120"/>
      <c r="WCA3" s="120"/>
      <c r="WCB3" s="120"/>
      <c r="WCC3" s="120"/>
      <c r="WCD3" s="120"/>
      <c r="WCE3" s="120"/>
      <c r="WCF3" s="120"/>
      <c r="WCG3" s="120"/>
      <c r="WCH3" s="120"/>
      <c r="WCI3" s="120"/>
      <c r="WCJ3" s="120"/>
      <c r="WCK3" s="120"/>
      <c r="WCL3" s="120"/>
      <c r="WCM3" s="120"/>
      <c r="WCN3" s="120"/>
      <c r="WCO3" s="120"/>
      <c r="WCP3" s="120"/>
      <c r="WCQ3" s="120"/>
      <c r="WCR3" s="120"/>
      <c r="WCS3" s="120"/>
      <c r="WCT3" s="120"/>
      <c r="WCU3" s="120"/>
      <c r="WCV3" s="120"/>
      <c r="WCW3" s="120"/>
      <c r="WCX3" s="120"/>
      <c r="WCY3" s="120"/>
      <c r="WCZ3" s="120"/>
      <c r="WDA3" s="120"/>
      <c r="WDB3" s="120"/>
      <c r="WDC3" s="120"/>
      <c r="WDD3" s="120"/>
      <c r="WDE3" s="120"/>
      <c r="WDF3" s="120"/>
      <c r="WDG3" s="120"/>
      <c r="WDH3" s="120"/>
      <c r="WDI3" s="120"/>
      <c r="WDJ3" s="120"/>
      <c r="WDK3" s="120"/>
      <c r="WDL3" s="120"/>
      <c r="WDM3" s="120"/>
      <c r="WDN3" s="120"/>
      <c r="WDO3" s="120"/>
      <c r="WDP3" s="120"/>
      <c r="WDQ3" s="120"/>
      <c r="WDR3" s="120"/>
      <c r="WDS3" s="120"/>
      <c r="WDT3" s="120"/>
      <c r="WDU3" s="120"/>
      <c r="WDV3" s="120"/>
      <c r="WDW3" s="120"/>
      <c r="WDX3" s="120"/>
      <c r="WDY3" s="120"/>
      <c r="WDZ3" s="120"/>
      <c r="WEA3" s="120"/>
      <c r="WEB3" s="120"/>
      <c r="WEC3" s="120"/>
      <c r="WED3" s="120"/>
      <c r="WEE3" s="120"/>
      <c r="WEF3" s="120"/>
      <c r="WEG3" s="120"/>
      <c r="WEH3" s="120"/>
      <c r="WEI3" s="120"/>
      <c r="WEJ3" s="120"/>
      <c r="WEK3" s="120"/>
      <c r="WEL3" s="120"/>
      <c r="WEM3" s="120"/>
      <c r="WEN3" s="120"/>
      <c r="WEO3" s="120"/>
      <c r="WEP3" s="120"/>
      <c r="WEQ3" s="120"/>
      <c r="WER3" s="120"/>
      <c r="WES3" s="120"/>
      <c r="WET3" s="120"/>
      <c r="WEU3" s="120"/>
      <c r="WEV3" s="120"/>
      <c r="WEW3" s="120"/>
      <c r="WEX3" s="120"/>
      <c r="WEY3" s="120"/>
      <c r="WEZ3" s="120"/>
      <c r="WFA3" s="120"/>
      <c r="WFB3" s="120"/>
      <c r="WFC3" s="120"/>
      <c r="WFD3" s="120"/>
      <c r="WFE3" s="120"/>
      <c r="WFF3" s="120"/>
      <c r="WFG3" s="120"/>
      <c r="WFH3" s="120"/>
      <c r="WFI3" s="120"/>
      <c r="WFJ3" s="120"/>
      <c r="WFK3" s="120"/>
      <c r="WFL3" s="120"/>
      <c r="WFM3" s="120"/>
      <c r="WFN3" s="120"/>
      <c r="WFO3" s="120"/>
      <c r="WFP3" s="120"/>
      <c r="WFQ3" s="120"/>
      <c r="WFR3" s="120"/>
      <c r="WFS3" s="120"/>
      <c r="WFT3" s="120"/>
      <c r="WFU3" s="120"/>
      <c r="WFV3" s="120"/>
      <c r="WFW3" s="120"/>
      <c r="WFX3" s="120"/>
      <c r="WFY3" s="120"/>
      <c r="WFZ3" s="120"/>
      <c r="WGA3" s="120"/>
      <c r="WGB3" s="120"/>
      <c r="WGC3" s="120"/>
      <c r="WGD3" s="120"/>
      <c r="WGE3" s="120"/>
      <c r="WGF3" s="120"/>
      <c r="WGG3" s="120"/>
      <c r="WGH3" s="120"/>
      <c r="WGI3" s="120"/>
      <c r="WGJ3" s="120"/>
      <c r="WGK3" s="120"/>
      <c r="WGL3" s="120"/>
      <c r="WGM3" s="120"/>
      <c r="WGN3" s="120"/>
      <c r="WGO3" s="120"/>
      <c r="WGP3" s="120"/>
      <c r="WGQ3" s="120"/>
      <c r="WGR3" s="120"/>
      <c r="WGS3" s="120"/>
      <c r="WGT3" s="120"/>
      <c r="WGU3" s="120"/>
      <c r="WGV3" s="120"/>
      <c r="WGW3" s="120"/>
      <c r="WGX3" s="120"/>
      <c r="WGY3" s="120"/>
      <c r="WGZ3" s="120"/>
      <c r="WHA3" s="120"/>
      <c r="WHB3" s="120"/>
      <c r="WHC3" s="120"/>
      <c r="WHD3" s="120"/>
      <c r="WHE3" s="120"/>
      <c r="WHF3" s="120"/>
      <c r="WHG3" s="120"/>
      <c r="WHH3" s="120"/>
      <c r="WHI3" s="120"/>
      <c r="WHJ3" s="120"/>
      <c r="WHK3" s="120"/>
      <c r="WHL3" s="120"/>
      <c r="WHM3" s="120"/>
      <c r="WHN3" s="120"/>
      <c r="WHO3" s="120"/>
      <c r="WHP3" s="120"/>
      <c r="WHQ3" s="120"/>
      <c r="WHR3" s="120"/>
      <c r="WHS3" s="120"/>
      <c r="WHT3" s="120"/>
      <c r="WHU3" s="120"/>
      <c r="WHV3" s="120"/>
      <c r="WHW3" s="120"/>
      <c r="WHX3" s="120"/>
      <c r="WHY3" s="120"/>
      <c r="WHZ3" s="120"/>
      <c r="WIA3" s="120"/>
      <c r="WIB3" s="120"/>
      <c r="WIC3" s="120"/>
      <c r="WID3" s="120"/>
      <c r="WIE3" s="120"/>
      <c r="WIF3" s="120"/>
      <c r="WIG3" s="120"/>
      <c r="WIH3" s="120"/>
      <c r="WII3" s="120"/>
      <c r="WIJ3" s="120"/>
      <c r="WIK3" s="120"/>
      <c r="WIL3" s="120"/>
      <c r="WIM3" s="120"/>
      <c r="WIN3" s="120"/>
      <c r="WIO3" s="120"/>
      <c r="WIP3" s="120"/>
      <c r="WIQ3" s="120"/>
      <c r="WIR3" s="120"/>
      <c r="WIS3" s="120"/>
      <c r="WIT3" s="120"/>
      <c r="WIU3" s="120"/>
      <c r="WIV3" s="120"/>
      <c r="WIW3" s="120"/>
      <c r="WIX3" s="120"/>
      <c r="WIY3" s="120"/>
      <c r="WIZ3" s="120"/>
      <c r="WJA3" s="120"/>
      <c r="WJB3" s="120"/>
      <c r="WJC3" s="120"/>
      <c r="WJD3" s="120"/>
      <c r="WJE3" s="120"/>
      <c r="WJF3" s="120"/>
      <c r="WJG3" s="120"/>
      <c r="WJH3" s="120"/>
      <c r="WJI3" s="120"/>
      <c r="WJJ3" s="120"/>
      <c r="WJK3" s="120"/>
      <c r="WJL3" s="120"/>
      <c r="WJM3" s="120"/>
      <c r="WJN3" s="120"/>
      <c r="WJO3" s="120"/>
      <c r="WJP3" s="120"/>
      <c r="WJQ3" s="120"/>
      <c r="WJR3" s="120"/>
      <c r="WJS3" s="120"/>
      <c r="WJT3" s="120"/>
      <c r="WJU3" s="120"/>
      <c r="WJV3" s="120"/>
      <c r="WJW3" s="120"/>
      <c r="WJX3" s="120"/>
      <c r="WJY3" s="120"/>
      <c r="WJZ3" s="120"/>
      <c r="WKA3" s="120"/>
      <c r="WKB3" s="120"/>
      <c r="WKC3" s="120"/>
      <c r="WKD3" s="120"/>
      <c r="WKE3" s="120"/>
      <c r="WKF3" s="120"/>
      <c r="WKG3" s="120"/>
      <c r="WKH3" s="120"/>
      <c r="WKI3" s="120"/>
      <c r="WKJ3" s="120"/>
      <c r="WKK3" s="120"/>
      <c r="WKL3" s="120"/>
      <c r="WKM3" s="120"/>
      <c r="WKN3" s="120"/>
      <c r="WKO3" s="120"/>
      <c r="WKP3" s="120"/>
      <c r="WKQ3" s="120"/>
      <c r="WKR3" s="120"/>
      <c r="WKS3" s="120"/>
      <c r="WKT3" s="120"/>
      <c r="WKU3" s="120"/>
      <c r="WKV3" s="120"/>
      <c r="WKW3" s="120"/>
      <c r="WKX3" s="120"/>
      <c r="WKY3" s="120"/>
      <c r="WKZ3" s="120"/>
      <c r="WLA3" s="120"/>
      <c r="WLB3" s="120"/>
      <c r="WLC3" s="120"/>
      <c r="WLD3" s="120"/>
      <c r="WLE3" s="120"/>
      <c r="WLF3" s="120"/>
      <c r="WLG3" s="120"/>
      <c r="WLH3" s="120"/>
      <c r="WLI3" s="120"/>
      <c r="WLJ3" s="120"/>
      <c r="WLK3" s="120"/>
      <c r="WLL3" s="120"/>
      <c r="WLM3" s="120"/>
      <c r="WLN3" s="120"/>
      <c r="WLO3" s="120"/>
      <c r="WLP3" s="120"/>
      <c r="WLQ3" s="120"/>
      <c r="WLR3" s="120"/>
      <c r="WLS3" s="120"/>
      <c r="WLT3" s="120"/>
      <c r="WLU3" s="120"/>
      <c r="WLV3" s="120"/>
      <c r="WLW3" s="120"/>
      <c r="WLX3" s="120"/>
      <c r="WLY3" s="120"/>
      <c r="WLZ3" s="120"/>
      <c r="WMA3" s="120"/>
      <c r="WMB3" s="120"/>
      <c r="WMC3" s="120"/>
      <c r="WMD3" s="120"/>
      <c r="WME3" s="120"/>
      <c r="WMF3" s="120"/>
      <c r="WMG3" s="120"/>
      <c r="WMH3" s="120"/>
      <c r="WMI3" s="120"/>
      <c r="WMJ3" s="120"/>
      <c r="WMK3" s="120"/>
      <c r="WML3" s="120"/>
      <c r="WMM3" s="120"/>
      <c r="WMN3" s="120"/>
      <c r="WMO3" s="120"/>
      <c r="WMP3" s="120"/>
      <c r="WMQ3" s="120"/>
      <c r="WMR3" s="120"/>
      <c r="WMS3" s="120"/>
      <c r="WMT3" s="120"/>
      <c r="WMU3" s="120"/>
      <c r="WMV3" s="120"/>
      <c r="WMW3" s="120"/>
      <c r="WMX3" s="120"/>
      <c r="WMY3" s="120"/>
      <c r="WMZ3" s="120"/>
      <c r="WNA3" s="120"/>
      <c r="WNB3" s="120"/>
      <c r="WNC3" s="120"/>
      <c r="WND3" s="120"/>
      <c r="WNE3" s="120"/>
      <c r="WNF3" s="120"/>
      <c r="WNG3" s="120"/>
      <c r="WNH3" s="120"/>
      <c r="WNI3" s="120"/>
      <c r="WNJ3" s="120"/>
      <c r="WNK3" s="120"/>
      <c r="WNL3" s="120"/>
      <c r="WNM3" s="120"/>
      <c r="WNN3" s="120"/>
      <c r="WNO3" s="120"/>
      <c r="WNP3" s="120"/>
      <c r="WNQ3" s="120"/>
      <c r="WNR3" s="120"/>
      <c r="WNS3" s="120"/>
      <c r="WNT3" s="120"/>
      <c r="WNU3" s="120"/>
      <c r="WNV3" s="120"/>
      <c r="WNW3" s="120"/>
      <c r="WNX3" s="120"/>
      <c r="WNY3" s="120"/>
      <c r="WNZ3" s="120"/>
      <c r="WOA3" s="120"/>
      <c r="WOB3" s="120"/>
      <c r="WOC3" s="120"/>
      <c r="WOD3" s="120"/>
      <c r="WOE3" s="120"/>
      <c r="WOF3" s="120"/>
      <c r="WOG3" s="120"/>
      <c r="WOH3" s="120"/>
      <c r="WOI3" s="120"/>
      <c r="WOJ3" s="120"/>
      <c r="WOK3" s="120"/>
      <c r="WOL3" s="120"/>
      <c r="WOM3" s="120"/>
      <c r="WON3" s="120"/>
      <c r="WOO3" s="120"/>
      <c r="WOP3" s="120"/>
      <c r="WOQ3" s="120"/>
      <c r="WOR3" s="120"/>
      <c r="WOS3" s="120"/>
      <c r="WOT3" s="120"/>
      <c r="WOU3" s="120"/>
      <c r="WOV3" s="120"/>
      <c r="WOW3" s="120"/>
      <c r="WOX3" s="120"/>
      <c r="WOY3" s="120"/>
      <c r="WOZ3" s="120"/>
      <c r="WPA3" s="120"/>
      <c r="WPB3" s="120"/>
      <c r="WPC3" s="120"/>
      <c r="WPD3" s="120"/>
      <c r="WPE3" s="120"/>
      <c r="WPF3" s="120"/>
      <c r="WPG3" s="120"/>
      <c r="WPH3" s="120"/>
      <c r="WPI3" s="120"/>
      <c r="WPJ3" s="120"/>
      <c r="WPK3" s="120"/>
      <c r="WPL3" s="120"/>
      <c r="WPM3" s="120"/>
      <c r="WPN3" s="120"/>
      <c r="WPO3" s="120"/>
      <c r="WPP3" s="120"/>
      <c r="WPQ3" s="120"/>
      <c r="WPR3" s="120"/>
      <c r="WPS3" s="120"/>
      <c r="WPT3" s="120"/>
      <c r="WPU3" s="120"/>
      <c r="WPV3" s="120"/>
      <c r="WPW3" s="120"/>
      <c r="WPX3" s="120"/>
      <c r="WPY3" s="120"/>
      <c r="WPZ3" s="120"/>
      <c r="WQA3" s="120"/>
      <c r="WQB3" s="120"/>
      <c r="WQC3" s="120"/>
      <c r="WQD3" s="120"/>
      <c r="WQE3" s="120"/>
      <c r="WQF3" s="120"/>
      <c r="WQG3" s="120"/>
      <c r="WQH3" s="120"/>
      <c r="WQI3" s="120"/>
      <c r="WQJ3" s="120"/>
      <c r="WQK3" s="120"/>
      <c r="WQL3" s="120"/>
      <c r="WQM3" s="120"/>
      <c r="WQN3" s="120"/>
      <c r="WQO3" s="120"/>
      <c r="WQP3" s="120"/>
      <c r="WQQ3" s="120"/>
      <c r="WQR3" s="120"/>
      <c r="WQS3" s="120"/>
      <c r="WQT3" s="120"/>
      <c r="WQU3" s="120"/>
      <c r="WQV3" s="120"/>
      <c r="WQW3" s="120"/>
      <c r="WQX3" s="120"/>
      <c r="WQY3" s="120"/>
      <c r="WQZ3" s="120"/>
      <c r="WRA3" s="120"/>
      <c r="WRB3" s="120"/>
      <c r="WRC3" s="120"/>
      <c r="WRD3" s="120"/>
      <c r="WRE3" s="120"/>
      <c r="WRF3" s="120"/>
      <c r="WRG3" s="120"/>
      <c r="WRH3" s="120"/>
      <c r="WRI3" s="120"/>
      <c r="WRJ3" s="120"/>
      <c r="WRK3" s="120"/>
      <c r="WRL3" s="120"/>
      <c r="WRM3" s="120"/>
      <c r="WRN3" s="120"/>
      <c r="WRO3" s="120"/>
      <c r="WRP3" s="120"/>
      <c r="WRQ3" s="120"/>
      <c r="WRR3" s="120"/>
      <c r="WRS3" s="120"/>
      <c r="WRT3" s="120"/>
      <c r="WRU3" s="120"/>
      <c r="WRV3" s="120"/>
      <c r="WRW3" s="120"/>
      <c r="WRX3" s="120"/>
      <c r="WRY3" s="120"/>
      <c r="WRZ3" s="120"/>
      <c r="WSA3" s="120"/>
      <c r="WSB3" s="120"/>
      <c r="WSC3" s="120"/>
      <c r="WSD3" s="120"/>
      <c r="WSE3" s="120"/>
      <c r="WSF3" s="120"/>
      <c r="WSG3" s="120"/>
      <c r="WSH3" s="120"/>
      <c r="WSI3" s="120"/>
      <c r="WSJ3" s="120"/>
      <c r="WSK3" s="120"/>
      <c r="WSL3" s="120"/>
      <c r="WSM3" s="120"/>
      <c r="WSN3" s="120"/>
      <c r="WSO3" s="120"/>
      <c r="WSP3" s="120"/>
      <c r="WSQ3" s="120"/>
      <c r="WSR3" s="120"/>
      <c r="WSS3" s="120"/>
      <c r="WST3" s="120"/>
      <c r="WSU3" s="120"/>
      <c r="WSV3" s="120"/>
      <c r="WSW3" s="120"/>
      <c r="WSX3" s="120"/>
      <c r="WSY3" s="120"/>
      <c r="WSZ3" s="120"/>
      <c r="WTA3" s="120"/>
      <c r="WTB3" s="120"/>
      <c r="WTC3" s="120"/>
      <c r="WTD3" s="120"/>
      <c r="WTE3" s="120"/>
      <c r="WTF3" s="120"/>
      <c r="WTG3" s="120"/>
      <c r="WTH3" s="120"/>
      <c r="WTI3" s="120"/>
      <c r="WTJ3" s="120"/>
      <c r="WTK3" s="120"/>
      <c r="WTL3" s="120"/>
      <c r="WTM3" s="120"/>
      <c r="WTN3" s="120"/>
      <c r="WTO3" s="120"/>
      <c r="WTP3" s="120"/>
      <c r="WTQ3" s="120"/>
      <c r="WTR3" s="120"/>
      <c r="WTS3" s="120"/>
      <c r="WTT3" s="120"/>
      <c r="WTU3" s="120"/>
      <c r="WTV3" s="120"/>
      <c r="WTW3" s="120"/>
      <c r="WTX3" s="120"/>
      <c r="WTY3" s="120"/>
      <c r="WTZ3" s="120"/>
      <c r="WUA3" s="120"/>
      <c r="WUB3" s="120"/>
      <c r="WUC3" s="120"/>
      <c r="WUD3" s="120"/>
      <c r="WUE3" s="120"/>
      <c r="WUF3" s="120"/>
      <c r="WUG3" s="120"/>
      <c r="WUH3" s="120"/>
      <c r="WUI3" s="120"/>
      <c r="WUJ3" s="120"/>
      <c r="WUK3" s="120"/>
      <c r="WUL3" s="120"/>
      <c r="WUM3" s="120"/>
      <c r="WUN3" s="120"/>
      <c r="WUO3" s="120"/>
      <c r="WUP3" s="120"/>
      <c r="WUQ3" s="120"/>
      <c r="WUR3" s="120"/>
      <c r="WUS3" s="120"/>
      <c r="WUT3" s="120"/>
      <c r="WUU3" s="120"/>
      <c r="WUV3" s="120"/>
      <c r="WUW3" s="120"/>
      <c r="WUX3" s="120"/>
      <c r="WUY3" s="120"/>
      <c r="WUZ3" s="120"/>
      <c r="WVA3" s="120"/>
      <c r="WVB3" s="120"/>
      <c r="WVC3" s="120"/>
      <c r="WVD3" s="120"/>
      <c r="WVE3" s="120"/>
      <c r="WVF3" s="120"/>
      <c r="WVG3" s="120"/>
      <c r="WVH3" s="120"/>
      <c r="WVI3" s="120"/>
      <c r="WVJ3" s="120"/>
      <c r="WVK3" s="120"/>
      <c r="WVL3" s="120"/>
      <c r="WVM3" s="120"/>
      <c r="WVN3" s="120"/>
      <c r="WVO3" s="120"/>
      <c r="WVP3" s="120"/>
      <c r="WVQ3" s="120"/>
      <c r="WVR3" s="120"/>
      <c r="WVS3" s="120"/>
      <c r="WVT3" s="120"/>
      <c r="WVU3" s="120"/>
      <c r="WVV3" s="120"/>
      <c r="WVW3" s="120"/>
      <c r="WVX3" s="120"/>
      <c r="WVY3" s="120"/>
      <c r="WVZ3" s="120"/>
      <c r="WWA3" s="120"/>
      <c r="WWB3" s="120"/>
      <c r="WWC3" s="120"/>
      <c r="WWD3" s="120"/>
      <c r="WWE3" s="120"/>
      <c r="WWF3" s="120"/>
      <c r="WWG3" s="120"/>
      <c r="WWH3" s="120"/>
      <c r="WWI3" s="120"/>
      <c r="WWJ3" s="120"/>
      <c r="WWK3" s="120"/>
      <c r="WWL3" s="120"/>
      <c r="WWM3" s="120"/>
      <c r="WWN3" s="120"/>
      <c r="WWO3" s="120"/>
      <c r="WWP3" s="120"/>
      <c r="WWQ3" s="120"/>
      <c r="WWR3" s="120"/>
      <c r="WWS3" s="120"/>
      <c r="WWT3" s="120"/>
      <c r="WWU3" s="120"/>
      <c r="WWV3" s="120"/>
      <c r="WWW3" s="120"/>
      <c r="WWX3" s="120"/>
      <c r="WWY3" s="120"/>
      <c r="WWZ3" s="120"/>
      <c r="WXA3" s="120"/>
      <c r="WXB3" s="120"/>
      <c r="WXC3" s="120"/>
      <c r="WXD3" s="120"/>
      <c r="WXE3" s="120"/>
      <c r="WXF3" s="120"/>
      <c r="WXG3" s="120"/>
      <c r="WXH3" s="120"/>
      <c r="WXI3" s="120"/>
      <c r="WXJ3" s="120"/>
      <c r="WXK3" s="120"/>
      <c r="WXL3" s="120"/>
      <c r="WXM3" s="120"/>
      <c r="WXN3" s="120"/>
      <c r="WXO3" s="120"/>
      <c r="WXP3" s="120"/>
      <c r="WXQ3" s="120"/>
      <c r="WXR3" s="120"/>
      <c r="WXS3" s="120"/>
      <c r="WXT3" s="120"/>
      <c r="WXU3" s="120"/>
      <c r="WXV3" s="120"/>
      <c r="WXW3" s="120"/>
      <c r="WXX3" s="120"/>
      <c r="WXY3" s="120"/>
      <c r="WXZ3" s="120"/>
      <c r="WYA3" s="120"/>
      <c r="WYB3" s="120"/>
      <c r="WYC3" s="120"/>
      <c r="WYD3" s="120"/>
      <c r="WYE3" s="120"/>
      <c r="WYF3" s="120"/>
      <c r="WYG3" s="120"/>
      <c r="WYH3" s="120"/>
      <c r="WYI3" s="120"/>
      <c r="WYJ3" s="120"/>
      <c r="WYK3" s="120"/>
      <c r="WYL3" s="120"/>
      <c r="WYM3" s="120"/>
      <c r="WYN3" s="120"/>
      <c r="WYO3" s="120"/>
      <c r="WYP3" s="120"/>
      <c r="WYQ3" s="120"/>
      <c r="WYR3" s="120"/>
      <c r="WYS3" s="120"/>
      <c r="WYT3" s="120"/>
      <c r="WYU3" s="120"/>
      <c r="WYV3" s="120"/>
      <c r="WYW3" s="120"/>
      <c r="WYX3" s="120"/>
      <c r="WYY3" s="120"/>
      <c r="WYZ3" s="120"/>
      <c r="WZA3" s="120"/>
      <c r="WZB3" s="120"/>
      <c r="WZC3" s="120"/>
      <c r="WZD3" s="120"/>
      <c r="WZE3" s="120"/>
      <c r="WZF3" s="120"/>
      <c r="WZG3" s="120"/>
      <c r="WZH3" s="120"/>
      <c r="WZI3" s="120"/>
      <c r="WZJ3" s="120"/>
      <c r="WZK3" s="120"/>
      <c r="WZL3" s="120"/>
      <c r="WZM3" s="120"/>
      <c r="WZN3" s="120"/>
      <c r="WZO3" s="120"/>
      <c r="WZP3" s="120"/>
      <c r="WZQ3" s="120"/>
      <c r="WZR3" s="120"/>
      <c r="WZS3" s="120"/>
      <c r="WZT3" s="120"/>
      <c r="WZU3" s="120"/>
      <c r="WZV3" s="120"/>
      <c r="WZW3" s="120"/>
      <c r="WZX3" s="120"/>
      <c r="WZY3" s="120"/>
      <c r="WZZ3" s="120"/>
      <c r="XAA3" s="120"/>
      <c r="XAB3" s="120"/>
      <c r="XAC3" s="120"/>
      <c r="XAD3" s="120"/>
      <c r="XAE3" s="120"/>
      <c r="XAF3" s="120"/>
      <c r="XAG3" s="120"/>
      <c r="XAH3" s="120"/>
      <c r="XAI3" s="120"/>
      <c r="XAJ3" s="120"/>
      <c r="XAK3" s="120"/>
      <c r="XAL3" s="120"/>
      <c r="XAM3" s="120"/>
      <c r="XAN3" s="120"/>
      <c r="XAO3" s="120"/>
      <c r="XAP3" s="120"/>
      <c r="XAQ3" s="120"/>
      <c r="XAR3" s="120"/>
      <c r="XAS3" s="120"/>
      <c r="XAT3" s="120"/>
      <c r="XAU3" s="120"/>
      <c r="XAV3" s="120"/>
      <c r="XAW3" s="120"/>
      <c r="XAX3" s="120"/>
      <c r="XAY3" s="120"/>
      <c r="XAZ3" s="120"/>
      <c r="XBA3" s="120"/>
      <c r="XBB3" s="120"/>
      <c r="XBC3" s="120"/>
      <c r="XBD3" s="120"/>
      <c r="XBE3" s="120"/>
      <c r="XBF3" s="120"/>
      <c r="XBG3" s="120"/>
      <c r="XBH3" s="120"/>
      <c r="XBI3" s="120"/>
      <c r="XBJ3" s="120"/>
      <c r="XBK3" s="120"/>
      <c r="XBL3" s="120"/>
      <c r="XBM3" s="120"/>
      <c r="XBN3" s="120"/>
      <c r="XBO3" s="120"/>
      <c r="XBP3" s="120"/>
      <c r="XBQ3" s="120"/>
      <c r="XBR3" s="120"/>
      <c r="XBS3" s="120"/>
      <c r="XBT3" s="120"/>
      <c r="XBU3" s="120"/>
      <c r="XBV3" s="120"/>
      <c r="XBW3" s="120"/>
      <c r="XBX3" s="120"/>
      <c r="XBY3" s="120"/>
      <c r="XBZ3" s="120"/>
      <c r="XCA3" s="120"/>
      <c r="XCB3" s="120"/>
      <c r="XCC3" s="120"/>
      <c r="XCD3" s="120"/>
      <c r="XCE3" s="120"/>
      <c r="XCF3" s="120"/>
      <c r="XCG3" s="120"/>
      <c r="XCH3" s="120"/>
      <c r="XCI3" s="120"/>
      <c r="XCJ3" s="120"/>
      <c r="XCK3" s="120"/>
      <c r="XCL3" s="120"/>
      <c r="XCM3" s="120"/>
      <c r="XCN3" s="120"/>
      <c r="XCO3" s="120"/>
      <c r="XCP3" s="120"/>
      <c r="XCQ3" s="120"/>
      <c r="XCR3" s="120"/>
      <c r="XCS3" s="120"/>
      <c r="XCT3" s="120"/>
      <c r="XCU3" s="120"/>
      <c r="XCV3" s="120"/>
      <c r="XCW3" s="120"/>
      <c r="XCX3" s="120"/>
      <c r="XCY3" s="120"/>
      <c r="XCZ3" s="120"/>
      <c r="XDA3" s="120"/>
      <c r="XDB3" s="120"/>
      <c r="XDC3" s="120"/>
      <c r="XDD3" s="120"/>
      <c r="XDE3" s="120"/>
      <c r="XDF3" s="120"/>
      <c r="XDG3" s="120"/>
      <c r="XDH3" s="120"/>
      <c r="XDI3" s="120"/>
      <c r="XDJ3" s="120"/>
      <c r="XDK3" s="120"/>
      <c r="XDL3" s="120"/>
      <c r="XDM3" s="120"/>
      <c r="XDN3" s="120"/>
      <c r="XDO3" s="120"/>
      <c r="XDP3" s="120"/>
      <c r="XDQ3" s="120"/>
      <c r="XDR3" s="120"/>
      <c r="XDS3" s="120"/>
      <c r="XDT3" s="120"/>
      <c r="XDU3" s="120"/>
      <c r="XDV3" s="120"/>
      <c r="XDW3" s="120"/>
      <c r="XDX3" s="120"/>
      <c r="XDY3" s="120"/>
      <c r="XDZ3" s="120"/>
      <c r="XEA3" s="120"/>
      <c r="XEB3" s="120"/>
      <c r="XEC3" s="120"/>
      <c r="XED3" s="120"/>
      <c r="XEE3" s="120"/>
      <c r="XEF3" s="120"/>
      <c r="XEG3" s="120"/>
      <c r="XEH3" s="120"/>
      <c r="XEI3" s="120"/>
      <c r="XEJ3" s="120"/>
      <c r="XEK3" s="120"/>
      <c r="XEL3" s="120"/>
      <c r="XEM3" s="120"/>
      <c r="XEN3" s="120"/>
      <c r="XEO3" s="120"/>
      <c r="XEP3" s="120"/>
      <c r="XEQ3" s="120"/>
      <c r="XER3" s="120"/>
      <c r="XES3" s="120"/>
      <c r="XET3" s="120"/>
      <c r="XEU3" s="120"/>
      <c r="XEV3" s="120"/>
      <c r="XEW3" s="120"/>
      <c r="XEX3" s="120"/>
      <c r="XEY3" s="120"/>
      <c r="XEZ3" s="120"/>
      <c r="XFA3" s="120"/>
      <c r="XFB3" s="120"/>
      <c r="XFC3" s="120"/>
      <c r="XFD3" s="120"/>
    </row>
    <row r="5" spans="1:16384" ht="30" customHeight="1">
      <c r="C5" s="163" t="s">
        <v>119</v>
      </c>
      <c r="D5" s="164"/>
      <c r="E5" s="160" t="s">
        <v>84</v>
      </c>
      <c r="F5" s="161"/>
      <c r="G5" s="162"/>
      <c r="I5" s="118" t="s">
        <v>116</v>
      </c>
    </row>
    <row r="6" spans="1:16384" ht="5.25" customHeight="1"/>
    <row r="7" spans="1:16384" s="114" customFormat="1" ht="29.25" customHeight="1">
      <c r="C7" s="165" t="s">
        <v>115</v>
      </c>
      <c r="D7" s="165"/>
      <c r="E7" s="115"/>
      <c r="F7" s="165" t="s">
        <v>26</v>
      </c>
      <c r="G7" s="165"/>
      <c r="H7" s="115"/>
      <c r="I7" s="165" t="s">
        <v>118</v>
      </c>
      <c r="J7" s="165"/>
      <c r="K7" s="115"/>
      <c r="L7" s="165" t="s">
        <v>68</v>
      </c>
      <c r="M7" s="165"/>
      <c r="N7" s="115"/>
      <c r="O7" s="165" t="s">
        <v>117</v>
      </c>
      <c r="P7" s="165"/>
      <c r="Q7" s="115"/>
      <c r="R7" s="165" t="s">
        <v>69</v>
      </c>
      <c r="S7" s="165"/>
    </row>
    <row r="8" spans="1:16384" ht="36.75" customHeight="1">
      <c r="C8" s="171">
        <f>VLOOKUP($E$5,CAD_CUST!$C:$S,14,0)</f>
        <v>9</v>
      </c>
      <c r="D8" s="171"/>
      <c r="F8" s="172">
        <f>VLOOKUP($E$5,CAD_PROD!$C:$S,2,0)</f>
        <v>50</v>
      </c>
      <c r="G8" s="172"/>
      <c r="I8" s="170">
        <f>VLOOKUP($E$5,CAD_CUST!$C:$S,6,0)</f>
        <v>19.5</v>
      </c>
      <c r="J8" s="170"/>
      <c r="L8" s="169">
        <f>VLOOKUP($E$5,CAD_CUST!$C:$S,10,0)</f>
        <v>30.5</v>
      </c>
      <c r="M8" s="169"/>
      <c r="O8" s="170">
        <f>PE_GERAL!J7*VLOOKUP(E5,CAD_PROD!C:G,5,0)</f>
        <v>263.15789473684208</v>
      </c>
      <c r="P8" s="170"/>
      <c r="R8" s="166">
        <f>(F8*C8)-(I8*C8)-O8</f>
        <v>11.342105263157919</v>
      </c>
      <c r="S8" s="166"/>
    </row>
    <row r="9" spans="1:16384" ht="4.5" customHeight="1"/>
    <row r="10" spans="1:16384" ht="27" customHeight="1">
      <c r="C10" s="167" t="s">
        <v>120</v>
      </c>
      <c r="D10" s="167"/>
      <c r="E10" s="167"/>
      <c r="F10" s="167"/>
      <c r="G10" s="167"/>
      <c r="I10" s="167" t="s">
        <v>72</v>
      </c>
      <c r="J10" s="167"/>
      <c r="K10" s="167"/>
      <c r="L10" s="167"/>
      <c r="M10" s="167"/>
      <c r="O10" s="168" t="s">
        <v>121</v>
      </c>
      <c r="P10" s="168"/>
      <c r="Q10" s="168"/>
      <c r="R10" s="168"/>
      <c r="S10" s="168"/>
    </row>
    <row r="25" spans="3:16" ht="15" customHeight="1">
      <c r="C25" s="52" t="s">
        <v>75</v>
      </c>
      <c r="D25" s="52" t="s">
        <v>76</v>
      </c>
      <c r="E25" s="52"/>
      <c r="F25" s="52"/>
      <c r="G25" s="52"/>
      <c r="H25" s="52"/>
      <c r="I25" s="52" t="s">
        <v>75</v>
      </c>
      <c r="J25" s="52" t="s">
        <v>76</v>
      </c>
      <c r="K25" s="52"/>
      <c r="L25" s="52"/>
      <c r="M25" s="52"/>
      <c r="N25" s="52"/>
      <c r="O25" s="52" t="s">
        <v>75</v>
      </c>
      <c r="P25" s="52" t="s">
        <v>67</v>
      </c>
    </row>
    <row r="26" spans="3:16" ht="15" customHeight="1">
      <c r="C26" s="52" t="str">
        <f>E5</f>
        <v>Produto 1</v>
      </c>
      <c r="D26" s="74">
        <f>VLOOKUP(C26,CAD_PROD!$C:$D,2,0)</f>
        <v>50</v>
      </c>
      <c r="E26" s="52"/>
      <c r="F26" s="52"/>
      <c r="G26" s="52"/>
      <c r="H26" s="52"/>
      <c r="I26" s="52" t="str">
        <f>E5</f>
        <v>Produto 1</v>
      </c>
      <c r="J26" s="74">
        <f>VLOOKUP(C26,CAD_PROD!$C:$D,2,0)</f>
        <v>50</v>
      </c>
      <c r="K26" s="52"/>
      <c r="L26" s="52"/>
      <c r="M26" s="52"/>
      <c r="N26" s="52"/>
      <c r="O26" s="52" t="str">
        <f>E5</f>
        <v>Produto 1</v>
      </c>
      <c r="P26" s="52">
        <f>VLOOKUP($E$5,CAD_CUST!$C:$S,10,0)</f>
        <v>30.5</v>
      </c>
    </row>
    <row r="27" spans="3:16" ht="15" customHeight="1">
      <c r="C27" s="52" t="s">
        <v>73</v>
      </c>
      <c r="D27" s="74">
        <f>AVERAGE(CAD_PROD!D:D)</f>
        <v>70</v>
      </c>
      <c r="E27" s="52"/>
      <c r="F27" s="52"/>
      <c r="G27" s="52"/>
      <c r="H27" s="52"/>
      <c r="I27" s="52" t="s">
        <v>77</v>
      </c>
      <c r="J27" s="74">
        <f>VLOOKUP(E5,CAD_CUST!C:H,6,0)</f>
        <v>19.5</v>
      </c>
      <c r="K27" s="52"/>
      <c r="L27" s="52"/>
      <c r="M27" s="52"/>
      <c r="N27" s="52"/>
      <c r="O27" s="52" t="s">
        <v>78</v>
      </c>
      <c r="P27" s="52">
        <f>AVERAGE(CAD_CUST!L:L)</f>
        <v>33.1</v>
      </c>
    </row>
    <row r="28" spans="3:16" ht="15" customHeight="1">
      <c r="C28" s="52" t="s">
        <v>74</v>
      </c>
      <c r="D28" s="74">
        <f>AVERAGE(ANA_CONC!F:F)</f>
        <v>55</v>
      </c>
      <c r="I28" s="62"/>
    </row>
  </sheetData>
  <mergeCells count="17">
    <mergeCell ref="R7:S7"/>
    <mergeCell ref="R8:S8"/>
    <mergeCell ref="C10:G10"/>
    <mergeCell ref="I10:M10"/>
    <mergeCell ref="O10:S10"/>
    <mergeCell ref="L8:M8"/>
    <mergeCell ref="O8:P8"/>
    <mergeCell ref="L7:M7"/>
    <mergeCell ref="O7:P7"/>
    <mergeCell ref="C8:D8"/>
    <mergeCell ref="F8:G8"/>
    <mergeCell ref="I8:J8"/>
    <mergeCell ref="E5:G5"/>
    <mergeCell ref="C5:D5"/>
    <mergeCell ref="C7:D7"/>
    <mergeCell ref="F7:G7"/>
    <mergeCell ref="I7:J7"/>
  </mergeCells>
  <conditionalFormatting sqref="R8:S8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0000000}">
          <x14:formula1>
            <xm:f>OFFSET(CAD_PROD!$C$6,,,COUNTA(CAD_PROD!$C$6:$C$505),1)</xm:f>
          </x14:formula1>
          <xm:sqref>E5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Planilha25"/>
  <dimension ref="A1:XFD17"/>
  <sheetViews>
    <sheetView showGridLines="0" tabSelected="1" zoomScale="90" zoomScaleNormal="90" zoomScalePageLayoutView="80" workbookViewId="0">
      <pane ySplit="2" topLeftCell="A3" activePane="bottomLeft" state="frozen"/>
      <selection activeCell="A3" sqref="A3:XFD3"/>
      <selection pane="bottomLeft"/>
    </sheetView>
  </sheetViews>
  <sheetFormatPr defaultColWidth="11" defaultRowHeight="15.75"/>
  <cols>
    <col min="1" max="1" width="2.125" style="6" customWidth="1"/>
    <col min="2" max="2" width="1.375" style="6" customWidth="1"/>
    <col min="3" max="3" width="12" style="6" customWidth="1"/>
    <col min="4" max="4" width="34.375" style="6" bestFit="1" customWidth="1"/>
    <col min="5" max="7" width="27.375" style="6" customWidth="1"/>
    <col min="8" max="8" width="12.625" style="6" customWidth="1"/>
    <col min="9" max="9" width="27.375" style="6" customWidth="1"/>
    <col min="10" max="10" width="5.625" style="6" customWidth="1"/>
    <col min="11" max="11" width="11" style="6" customWidth="1"/>
    <col min="12" max="14" width="11" style="6"/>
    <col min="15" max="15" width="11" style="6" customWidth="1"/>
    <col min="16" max="19" width="11" style="6"/>
    <col min="20" max="20" width="5.125" style="6" customWidth="1"/>
    <col min="21" max="16384" width="11" style="6"/>
  </cols>
  <sheetData>
    <row r="1" spans="1:16384" s="1" customFormat="1" ht="39" customHeight="1"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7"/>
    </row>
    <row r="2" spans="1:16384" s="2" customFormat="1" ht="30" customHeight="1">
      <c r="D2" s="3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</row>
    <row r="3" spans="1:16384" customFormat="1" ht="44.25" customHeight="1">
      <c r="A3" s="119"/>
      <c r="B3" s="120"/>
      <c r="C3" s="121"/>
      <c r="D3" s="120"/>
      <c r="E3" s="122"/>
      <c r="F3" s="122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0"/>
      <c r="CO3" s="120"/>
      <c r="CP3" s="120"/>
      <c r="CQ3" s="120"/>
      <c r="CR3" s="120"/>
      <c r="CS3" s="120"/>
      <c r="CT3" s="120"/>
      <c r="CU3" s="120"/>
      <c r="CV3" s="120"/>
      <c r="CW3" s="120"/>
      <c r="CX3" s="120"/>
      <c r="CY3" s="120"/>
      <c r="CZ3" s="120"/>
      <c r="DA3" s="120"/>
      <c r="DB3" s="120"/>
      <c r="DC3" s="120"/>
      <c r="DD3" s="120"/>
      <c r="DE3" s="120"/>
      <c r="DF3" s="120"/>
      <c r="DG3" s="120"/>
      <c r="DH3" s="120"/>
      <c r="DI3" s="120"/>
      <c r="DJ3" s="120"/>
      <c r="DK3" s="120"/>
      <c r="DL3" s="120"/>
      <c r="DM3" s="120"/>
      <c r="DN3" s="120"/>
      <c r="DO3" s="120"/>
      <c r="DP3" s="120"/>
      <c r="DQ3" s="120"/>
      <c r="DR3" s="120"/>
      <c r="DS3" s="120"/>
      <c r="DT3" s="120"/>
      <c r="DU3" s="120"/>
      <c r="DV3" s="120"/>
      <c r="DW3" s="120"/>
      <c r="DX3" s="120"/>
      <c r="DY3" s="120"/>
      <c r="DZ3" s="120"/>
      <c r="EA3" s="120"/>
      <c r="EB3" s="120"/>
      <c r="EC3" s="120"/>
      <c r="ED3" s="120"/>
      <c r="EE3" s="120"/>
      <c r="EF3" s="120"/>
      <c r="EG3" s="120"/>
      <c r="EH3" s="120"/>
      <c r="EI3" s="120"/>
      <c r="EJ3" s="120"/>
      <c r="EK3" s="120"/>
      <c r="EL3" s="120"/>
      <c r="EM3" s="120"/>
      <c r="EN3" s="120"/>
      <c r="EO3" s="120"/>
      <c r="EP3" s="120"/>
      <c r="EQ3" s="120"/>
      <c r="ER3" s="120"/>
      <c r="ES3" s="120"/>
      <c r="ET3" s="120"/>
      <c r="EU3" s="120"/>
      <c r="EV3" s="120"/>
      <c r="EW3" s="120"/>
      <c r="EX3" s="120"/>
      <c r="EY3" s="120"/>
      <c r="EZ3" s="120"/>
      <c r="FA3" s="120"/>
      <c r="FB3" s="120"/>
      <c r="FC3" s="120"/>
      <c r="FD3" s="120"/>
      <c r="FE3" s="120"/>
      <c r="FF3" s="120"/>
      <c r="FG3" s="120"/>
      <c r="FH3" s="120"/>
      <c r="FI3" s="120"/>
      <c r="FJ3" s="120"/>
      <c r="FK3" s="120"/>
      <c r="FL3" s="120"/>
      <c r="FM3" s="120"/>
      <c r="FN3" s="120"/>
      <c r="FO3" s="120"/>
      <c r="FP3" s="120"/>
      <c r="FQ3" s="120"/>
      <c r="FR3" s="120"/>
      <c r="FS3" s="120"/>
      <c r="FT3" s="120"/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0"/>
      <c r="GJ3" s="120"/>
      <c r="GK3" s="120"/>
      <c r="GL3" s="120"/>
      <c r="GM3" s="120"/>
      <c r="GN3" s="120"/>
      <c r="GO3" s="120"/>
      <c r="GP3" s="120"/>
      <c r="GQ3" s="120"/>
      <c r="GR3" s="120"/>
      <c r="GS3" s="120"/>
      <c r="GT3" s="120"/>
      <c r="GU3" s="120"/>
      <c r="GV3" s="120"/>
      <c r="GW3" s="120"/>
      <c r="GX3" s="120"/>
      <c r="GY3" s="120"/>
      <c r="GZ3" s="120"/>
      <c r="HA3" s="120"/>
      <c r="HB3" s="120"/>
      <c r="HC3" s="120"/>
      <c r="HD3" s="120"/>
      <c r="HE3" s="120"/>
      <c r="HF3" s="120"/>
      <c r="HG3" s="120"/>
      <c r="HH3" s="120"/>
      <c r="HI3" s="120"/>
      <c r="HJ3" s="120"/>
      <c r="HK3" s="120"/>
      <c r="HL3" s="120"/>
      <c r="HM3" s="120"/>
      <c r="HN3" s="120"/>
      <c r="HO3" s="120"/>
      <c r="HP3" s="120"/>
      <c r="HQ3" s="120"/>
      <c r="HR3" s="120"/>
      <c r="HS3" s="120"/>
      <c r="HT3" s="120"/>
      <c r="HU3" s="120"/>
      <c r="HV3" s="120"/>
      <c r="HW3" s="120"/>
      <c r="HX3" s="120"/>
      <c r="HY3" s="120"/>
      <c r="HZ3" s="120"/>
      <c r="IA3" s="120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P3" s="120"/>
      <c r="IQ3" s="120"/>
      <c r="IR3" s="120"/>
      <c r="IS3" s="120"/>
      <c r="IT3" s="120"/>
      <c r="IU3" s="120"/>
      <c r="IV3" s="120"/>
      <c r="IW3" s="120"/>
      <c r="IX3" s="120"/>
      <c r="IY3" s="120"/>
      <c r="IZ3" s="120"/>
      <c r="JA3" s="120"/>
      <c r="JB3" s="120"/>
      <c r="JC3" s="120"/>
      <c r="JD3" s="120"/>
      <c r="JE3" s="120"/>
      <c r="JF3" s="120"/>
      <c r="JG3" s="120"/>
      <c r="JH3" s="120"/>
      <c r="JI3" s="120"/>
      <c r="JJ3" s="120"/>
      <c r="JK3" s="120"/>
      <c r="JL3" s="120"/>
      <c r="JM3" s="120"/>
      <c r="JN3" s="120"/>
      <c r="JO3" s="120"/>
      <c r="JP3" s="120"/>
      <c r="JQ3" s="120"/>
      <c r="JR3" s="120"/>
      <c r="JS3" s="120"/>
      <c r="JT3" s="120"/>
      <c r="JU3" s="120"/>
      <c r="JV3" s="120"/>
      <c r="JW3" s="120"/>
      <c r="JX3" s="120"/>
      <c r="JY3" s="120"/>
      <c r="JZ3" s="120"/>
      <c r="KA3" s="120"/>
      <c r="KB3" s="120"/>
      <c r="KC3" s="120"/>
      <c r="KD3" s="120"/>
      <c r="KE3" s="120"/>
      <c r="KF3" s="120"/>
      <c r="KG3" s="120"/>
      <c r="KH3" s="120"/>
      <c r="KI3" s="120"/>
      <c r="KJ3" s="120"/>
      <c r="KK3" s="120"/>
      <c r="KL3" s="120"/>
      <c r="KM3" s="120"/>
      <c r="KN3" s="120"/>
      <c r="KO3" s="120"/>
      <c r="KP3" s="120"/>
      <c r="KQ3" s="120"/>
      <c r="KR3" s="120"/>
      <c r="KS3" s="120"/>
      <c r="KT3" s="120"/>
      <c r="KU3" s="120"/>
      <c r="KV3" s="120"/>
      <c r="KW3" s="120"/>
      <c r="KX3" s="120"/>
      <c r="KY3" s="120"/>
      <c r="KZ3" s="120"/>
      <c r="LA3" s="120"/>
      <c r="LB3" s="120"/>
      <c r="LC3" s="120"/>
      <c r="LD3" s="120"/>
      <c r="LE3" s="120"/>
      <c r="LF3" s="120"/>
      <c r="LG3" s="120"/>
      <c r="LH3" s="120"/>
      <c r="LI3" s="120"/>
      <c r="LJ3" s="120"/>
      <c r="LK3" s="120"/>
      <c r="LL3" s="120"/>
      <c r="LM3" s="120"/>
      <c r="LN3" s="120"/>
      <c r="LO3" s="120"/>
      <c r="LP3" s="120"/>
      <c r="LQ3" s="120"/>
      <c r="LR3" s="120"/>
      <c r="LS3" s="120"/>
      <c r="LT3" s="120"/>
      <c r="LU3" s="120"/>
      <c r="LV3" s="120"/>
      <c r="LW3" s="120"/>
      <c r="LX3" s="120"/>
      <c r="LY3" s="120"/>
      <c r="LZ3" s="120"/>
      <c r="MA3" s="120"/>
      <c r="MB3" s="120"/>
      <c r="MC3" s="120"/>
      <c r="MD3" s="120"/>
      <c r="ME3" s="120"/>
      <c r="MF3" s="120"/>
      <c r="MG3" s="120"/>
      <c r="MH3" s="120"/>
      <c r="MI3" s="120"/>
      <c r="MJ3" s="120"/>
      <c r="MK3" s="120"/>
      <c r="ML3" s="120"/>
      <c r="MM3" s="120"/>
      <c r="MN3" s="120"/>
      <c r="MO3" s="120"/>
      <c r="MP3" s="120"/>
      <c r="MQ3" s="120"/>
      <c r="MR3" s="120"/>
      <c r="MS3" s="120"/>
      <c r="MT3" s="120"/>
      <c r="MU3" s="120"/>
      <c r="MV3" s="120"/>
      <c r="MW3" s="120"/>
      <c r="MX3" s="120"/>
      <c r="MY3" s="120"/>
      <c r="MZ3" s="120"/>
      <c r="NA3" s="120"/>
      <c r="NB3" s="120"/>
      <c r="NC3" s="120"/>
      <c r="ND3" s="120"/>
      <c r="NE3" s="120"/>
      <c r="NF3" s="120"/>
      <c r="NG3" s="120"/>
      <c r="NH3" s="120"/>
      <c r="NI3" s="120"/>
      <c r="NJ3" s="120"/>
      <c r="NK3" s="120"/>
      <c r="NL3" s="120"/>
      <c r="NM3" s="120"/>
      <c r="NN3" s="120"/>
      <c r="NO3" s="120"/>
      <c r="NP3" s="120"/>
      <c r="NQ3" s="120"/>
      <c r="NR3" s="120"/>
      <c r="NS3" s="120"/>
      <c r="NT3" s="120"/>
      <c r="NU3" s="120"/>
      <c r="NV3" s="120"/>
      <c r="NW3" s="120"/>
      <c r="NX3" s="120"/>
      <c r="NY3" s="120"/>
      <c r="NZ3" s="120"/>
      <c r="OA3" s="120"/>
      <c r="OB3" s="120"/>
      <c r="OC3" s="120"/>
      <c r="OD3" s="120"/>
      <c r="OE3" s="120"/>
      <c r="OF3" s="120"/>
      <c r="OG3" s="120"/>
      <c r="OH3" s="120"/>
      <c r="OI3" s="120"/>
      <c r="OJ3" s="120"/>
      <c r="OK3" s="120"/>
      <c r="OL3" s="120"/>
      <c r="OM3" s="120"/>
      <c r="ON3" s="120"/>
      <c r="OO3" s="120"/>
      <c r="OP3" s="120"/>
      <c r="OQ3" s="120"/>
      <c r="OR3" s="120"/>
      <c r="OS3" s="120"/>
      <c r="OT3" s="120"/>
      <c r="OU3" s="120"/>
      <c r="OV3" s="120"/>
      <c r="OW3" s="120"/>
      <c r="OX3" s="120"/>
      <c r="OY3" s="120"/>
      <c r="OZ3" s="120"/>
      <c r="PA3" s="120"/>
      <c r="PB3" s="120"/>
      <c r="PC3" s="120"/>
      <c r="PD3" s="120"/>
      <c r="PE3" s="120"/>
      <c r="PF3" s="120"/>
      <c r="PG3" s="120"/>
      <c r="PH3" s="120"/>
      <c r="PI3" s="120"/>
      <c r="PJ3" s="120"/>
      <c r="PK3" s="120"/>
      <c r="PL3" s="120"/>
      <c r="PM3" s="120"/>
      <c r="PN3" s="120"/>
      <c r="PO3" s="120"/>
      <c r="PP3" s="120"/>
      <c r="PQ3" s="120"/>
      <c r="PR3" s="120"/>
      <c r="PS3" s="120"/>
      <c r="PT3" s="120"/>
      <c r="PU3" s="120"/>
      <c r="PV3" s="120"/>
      <c r="PW3" s="120"/>
      <c r="PX3" s="120"/>
      <c r="PY3" s="120"/>
      <c r="PZ3" s="120"/>
      <c r="QA3" s="120"/>
      <c r="QB3" s="120"/>
      <c r="QC3" s="120"/>
      <c r="QD3" s="120"/>
      <c r="QE3" s="120"/>
      <c r="QF3" s="120"/>
      <c r="QG3" s="120"/>
      <c r="QH3" s="120"/>
      <c r="QI3" s="120"/>
      <c r="QJ3" s="120"/>
      <c r="QK3" s="120"/>
      <c r="QL3" s="120"/>
      <c r="QM3" s="120"/>
      <c r="QN3" s="120"/>
      <c r="QO3" s="120"/>
      <c r="QP3" s="120"/>
      <c r="QQ3" s="120"/>
      <c r="QR3" s="120"/>
      <c r="QS3" s="120"/>
      <c r="QT3" s="120"/>
      <c r="QU3" s="120"/>
      <c r="QV3" s="120"/>
      <c r="QW3" s="120"/>
      <c r="QX3" s="120"/>
      <c r="QY3" s="120"/>
      <c r="QZ3" s="120"/>
      <c r="RA3" s="120"/>
      <c r="RB3" s="120"/>
      <c r="RC3" s="120"/>
      <c r="RD3" s="120"/>
      <c r="RE3" s="120"/>
      <c r="RF3" s="120"/>
      <c r="RG3" s="120"/>
      <c r="RH3" s="120"/>
      <c r="RI3" s="120"/>
      <c r="RJ3" s="120"/>
      <c r="RK3" s="120"/>
      <c r="RL3" s="120"/>
      <c r="RM3" s="120"/>
      <c r="RN3" s="120"/>
      <c r="RO3" s="120"/>
      <c r="RP3" s="120"/>
      <c r="RQ3" s="120"/>
      <c r="RR3" s="120"/>
      <c r="RS3" s="120"/>
      <c r="RT3" s="120"/>
      <c r="RU3" s="120"/>
      <c r="RV3" s="120"/>
      <c r="RW3" s="120"/>
      <c r="RX3" s="120"/>
      <c r="RY3" s="120"/>
      <c r="RZ3" s="120"/>
      <c r="SA3" s="120"/>
      <c r="SB3" s="120"/>
      <c r="SC3" s="120"/>
      <c r="SD3" s="120"/>
      <c r="SE3" s="120"/>
      <c r="SF3" s="120"/>
      <c r="SG3" s="120"/>
      <c r="SH3" s="120"/>
      <c r="SI3" s="120"/>
      <c r="SJ3" s="120"/>
      <c r="SK3" s="120"/>
      <c r="SL3" s="120"/>
      <c r="SM3" s="120"/>
      <c r="SN3" s="120"/>
      <c r="SO3" s="120"/>
      <c r="SP3" s="120"/>
      <c r="SQ3" s="120"/>
      <c r="SR3" s="120"/>
      <c r="SS3" s="120"/>
      <c r="ST3" s="120"/>
      <c r="SU3" s="120"/>
      <c r="SV3" s="120"/>
      <c r="SW3" s="120"/>
      <c r="SX3" s="120"/>
      <c r="SY3" s="120"/>
      <c r="SZ3" s="120"/>
      <c r="TA3" s="120"/>
      <c r="TB3" s="120"/>
      <c r="TC3" s="120"/>
      <c r="TD3" s="120"/>
      <c r="TE3" s="120"/>
      <c r="TF3" s="120"/>
      <c r="TG3" s="120"/>
      <c r="TH3" s="120"/>
      <c r="TI3" s="120"/>
      <c r="TJ3" s="120"/>
      <c r="TK3" s="120"/>
      <c r="TL3" s="120"/>
      <c r="TM3" s="120"/>
      <c r="TN3" s="120"/>
      <c r="TO3" s="120"/>
      <c r="TP3" s="120"/>
      <c r="TQ3" s="120"/>
      <c r="TR3" s="120"/>
      <c r="TS3" s="120"/>
      <c r="TT3" s="120"/>
      <c r="TU3" s="120"/>
      <c r="TV3" s="120"/>
      <c r="TW3" s="120"/>
      <c r="TX3" s="120"/>
      <c r="TY3" s="120"/>
      <c r="TZ3" s="120"/>
      <c r="UA3" s="120"/>
      <c r="UB3" s="120"/>
      <c r="UC3" s="120"/>
      <c r="UD3" s="120"/>
      <c r="UE3" s="120"/>
      <c r="UF3" s="120"/>
      <c r="UG3" s="120"/>
      <c r="UH3" s="120"/>
      <c r="UI3" s="120"/>
      <c r="UJ3" s="120"/>
      <c r="UK3" s="120"/>
      <c r="UL3" s="120"/>
      <c r="UM3" s="120"/>
      <c r="UN3" s="120"/>
      <c r="UO3" s="120"/>
      <c r="UP3" s="120"/>
      <c r="UQ3" s="120"/>
      <c r="UR3" s="120"/>
      <c r="US3" s="120"/>
      <c r="UT3" s="120"/>
      <c r="UU3" s="120"/>
      <c r="UV3" s="120"/>
      <c r="UW3" s="120"/>
      <c r="UX3" s="120"/>
      <c r="UY3" s="120"/>
      <c r="UZ3" s="120"/>
      <c r="VA3" s="120"/>
      <c r="VB3" s="120"/>
      <c r="VC3" s="120"/>
      <c r="VD3" s="120"/>
      <c r="VE3" s="120"/>
      <c r="VF3" s="120"/>
      <c r="VG3" s="120"/>
      <c r="VH3" s="120"/>
      <c r="VI3" s="120"/>
      <c r="VJ3" s="120"/>
      <c r="VK3" s="120"/>
      <c r="VL3" s="120"/>
      <c r="VM3" s="120"/>
      <c r="VN3" s="120"/>
      <c r="VO3" s="120"/>
      <c r="VP3" s="120"/>
      <c r="VQ3" s="120"/>
      <c r="VR3" s="120"/>
      <c r="VS3" s="120"/>
      <c r="VT3" s="120"/>
      <c r="VU3" s="120"/>
      <c r="VV3" s="120"/>
      <c r="VW3" s="120"/>
      <c r="VX3" s="120"/>
      <c r="VY3" s="120"/>
      <c r="VZ3" s="120"/>
      <c r="WA3" s="120"/>
      <c r="WB3" s="120"/>
      <c r="WC3" s="120"/>
      <c r="WD3" s="120"/>
      <c r="WE3" s="120"/>
      <c r="WF3" s="120"/>
      <c r="WG3" s="120"/>
      <c r="WH3" s="120"/>
      <c r="WI3" s="120"/>
      <c r="WJ3" s="120"/>
      <c r="WK3" s="120"/>
      <c r="WL3" s="120"/>
      <c r="WM3" s="120"/>
      <c r="WN3" s="120"/>
      <c r="WO3" s="120"/>
      <c r="WP3" s="120"/>
      <c r="WQ3" s="120"/>
      <c r="WR3" s="120"/>
      <c r="WS3" s="120"/>
      <c r="WT3" s="120"/>
      <c r="WU3" s="120"/>
      <c r="WV3" s="120"/>
      <c r="WW3" s="120"/>
      <c r="WX3" s="120"/>
      <c r="WY3" s="120"/>
      <c r="WZ3" s="120"/>
      <c r="XA3" s="120"/>
      <c r="XB3" s="120"/>
      <c r="XC3" s="120"/>
      <c r="XD3" s="120"/>
      <c r="XE3" s="120"/>
      <c r="XF3" s="120"/>
      <c r="XG3" s="120"/>
      <c r="XH3" s="120"/>
      <c r="XI3" s="120"/>
      <c r="XJ3" s="120"/>
      <c r="XK3" s="120"/>
      <c r="XL3" s="120"/>
      <c r="XM3" s="120"/>
      <c r="XN3" s="120"/>
      <c r="XO3" s="120"/>
      <c r="XP3" s="120"/>
      <c r="XQ3" s="120"/>
      <c r="XR3" s="120"/>
      <c r="XS3" s="120"/>
      <c r="XT3" s="120"/>
      <c r="XU3" s="120"/>
      <c r="XV3" s="120"/>
      <c r="XW3" s="120"/>
      <c r="XX3" s="120"/>
      <c r="XY3" s="120"/>
      <c r="XZ3" s="120"/>
      <c r="YA3" s="120"/>
      <c r="YB3" s="120"/>
      <c r="YC3" s="120"/>
      <c r="YD3" s="120"/>
      <c r="YE3" s="120"/>
      <c r="YF3" s="120"/>
      <c r="YG3" s="120"/>
      <c r="YH3" s="120"/>
      <c r="YI3" s="120"/>
      <c r="YJ3" s="120"/>
      <c r="YK3" s="120"/>
      <c r="YL3" s="120"/>
      <c r="YM3" s="120"/>
      <c r="YN3" s="120"/>
      <c r="YO3" s="120"/>
      <c r="YP3" s="120"/>
      <c r="YQ3" s="120"/>
      <c r="YR3" s="120"/>
      <c r="YS3" s="120"/>
      <c r="YT3" s="120"/>
      <c r="YU3" s="120"/>
      <c r="YV3" s="120"/>
      <c r="YW3" s="120"/>
      <c r="YX3" s="120"/>
      <c r="YY3" s="120"/>
      <c r="YZ3" s="120"/>
      <c r="ZA3" s="120"/>
      <c r="ZB3" s="120"/>
      <c r="ZC3" s="120"/>
      <c r="ZD3" s="120"/>
      <c r="ZE3" s="120"/>
      <c r="ZF3" s="120"/>
      <c r="ZG3" s="120"/>
      <c r="ZH3" s="120"/>
      <c r="ZI3" s="120"/>
      <c r="ZJ3" s="120"/>
      <c r="ZK3" s="120"/>
      <c r="ZL3" s="120"/>
      <c r="ZM3" s="120"/>
      <c r="ZN3" s="120"/>
      <c r="ZO3" s="120"/>
      <c r="ZP3" s="120"/>
      <c r="ZQ3" s="120"/>
      <c r="ZR3" s="120"/>
      <c r="ZS3" s="120"/>
      <c r="ZT3" s="120"/>
      <c r="ZU3" s="120"/>
      <c r="ZV3" s="120"/>
      <c r="ZW3" s="120"/>
      <c r="ZX3" s="120"/>
      <c r="ZY3" s="120"/>
      <c r="ZZ3" s="120"/>
      <c r="AAA3" s="120"/>
      <c r="AAB3" s="120"/>
      <c r="AAC3" s="120"/>
      <c r="AAD3" s="120"/>
      <c r="AAE3" s="120"/>
      <c r="AAF3" s="120"/>
      <c r="AAG3" s="120"/>
      <c r="AAH3" s="120"/>
      <c r="AAI3" s="120"/>
      <c r="AAJ3" s="120"/>
      <c r="AAK3" s="120"/>
      <c r="AAL3" s="120"/>
      <c r="AAM3" s="120"/>
      <c r="AAN3" s="120"/>
      <c r="AAO3" s="120"/>
      <c r="AAP3" s="120"/>
      <c r="AAQ3" s="120"/>
      <c r="AAR3" s="120"/>
      <c r="AAS3" s="120"/>
      <c r="AAT3" s="120"/>
      <c r="AAU3" s="120"/>
      <c r="AAV3" s="120"/>
      <c r="AAW3" s="120"/>
      <c r="AAX3" s="120"/>
      <c r="AAY3" s="120"/>
      <c r="AAZ3" s="120"/>
      <c r="ABA3" s="120"/>
      <c r="ABB3" s="120"/>
      <c r="ABC3" s="120"/>
      <c r="ABD3" s="120"/>
      <c r="ABE3" s="120"/>
      <c r="ABF3" s="120"/>
      <c r="ABG3" s="120"/>
      <c r="ABH3" s="120"/>
      <c r="ABI3" s="120"/>
      <c r="ABJ3" s="120"/>
      <c r="ABK3" s="120"/>
      <c r="ABL3" s="120"/>
      <c r="ABM3" s="120"/>
      <c r="ABN3" s="120"/>
      <c r="ABO3" s="120"/>
      <c r="ABP3" s="120"/>
      <c r="ABQ3" s="120"/>
      <c r="ABR3" s="120"/>
      <c r="ABS3" s="120"/>
      <c r="ABT3" s="120"/>
      <c r="ABU3" s="120"/>
      <c r="ABV3" s="120"/>
      <c r="ABW3" s="120"/>
      <c r="ABX3" s="120"/>
      <c r="ABY3" s="120"/>
      <c r="ABZ3" s="120"/>
      <c r="ACA3" s="120"/>
      <c r="ACB3" s="120"/>
      <c r="ACC3" s="120"/>
      <c r="ACD3" s="120"/>
      <c r="ACE3" s="120"/>
      <c r="ACF3" s="120"/>
      <c r="ACG3" s="120"/>
      <c r="ACH3" s="120"/>
      <c r="ACI3" s="120"/>
      <c r="ACJ3" s="120"/>
      <c r="ACK3" s="120"/>
      <c r="ACL3" s="120"/>
      <c r="ACM3" s="120"/>
      <c r="ACN3" s="120"/>
      <c r="ACO3" s="120"/>
      <c r="ACP3" s="120"/>
      <c r="ACQ3" s="120"/>
      <c r="ACR3" s="120"/>
      <c r="ACS3" s="120"/>
      <c r="ACT3" s="120"/>
      <c r="ACU3" s="120"/>
      <c r="ACV3" s="120"/>
      <c r="ACW3" s="120"/>
      <c r="ACX3" s="120"/>
      <c r="ACY3" s="120"/>
      <c r="ACZ3" s="120"/>
      <c r="ADA3" s="120"/>
      <c r="ADB3" s="120"/>
      <c r="ADC3" s="120"/>
      <c r="ADD3" s="120"/>
      <c r="ADE3" s="120"/>
      <c r="ADF3" s="120"/>
      <c r="ADG3" s="120"/>
      <c r="ADH3" s="120"/>
      <c r="ADI3" s="120"/>
      <c r="ADJ3" s="120"/>
      <c r="ADK3" s="120"/>
      <c r="ADL3" s="120"/>
      <c r="ADM3" s="120"/>
      <c r="ADN3" s="120"/>
      <c r="ADO3" s="120"/>
      <c r="ADP3" s="120"/>
      <c r="ADQ3" s="120"/>
      <c r="ADR3" s="120"/>
      <c r="ADS3" s="120"/>
      <c r="ADT3" s="120"/>
      <c r="ADU3" s="120"/>
      <c r="ADV3" s="120"/>
      <c r="ADW3" s="120"/>
      <c r="ADX3" s="120"/>
      <c r="ADY3" s="120"/>
      <c r="ADZ3" s="120"/>
      <c r="AEA3" s="120"/>
      <c r="AEB3" s="120"/>
      <c r="AEC3" s="120"/>
      <c r="AED3" s="120"/>
      <c r="AEE3" s="120"/>
      <c r="AEF3" s="120"/>
      <c r="AEG3" s="120"/>
      <c r="AEH3" s="120"/>
      <c r="AEI3" s="120"/>
      <c r="AEJ3" s="120"/>
      <c r="AEK3" s="120"/>
      <c r="AEL3" s="120"/>
      <c r="AEM3" s="120"/>
      <c r="AEN3" s="120"/>
      <c r="AEO3" s="120"/>
      <c r="AEP3" s="120"/>
      <c r="AEQ3" s="120"/>
      <c r="AER3" s="120"/>
      <c r="AES3" s="120"/>
      <c r="AET3" s="120"/>
      <c r="AEU3" s="120"/>
      <c r="AEV3" s="120"/>
      <c r="AEW3" s="120"/>
      <c r="AEX3" s="120"/>
      <c r="AEY3" s="120"/>
      <c r="AEZ3" s="120"/>
      <c r="AFA3" s="120"/>
      <c r="AFB3" s="120"/>
      <c r="AFC3" s="120"/>
      <c r="AFD3" s="120"/>
      <c r="AFE3" s="120"/>
      <c r="AFF3" s="120"/>
      <c r="AFG3" s="120"/>
      <c r="AFH3" s="120"/>
      <c r="AFI3" s="120"/>
      <c r="AFJ3" s="120"/>
      <c r="AFK3" s="120"/>
      <c r="AFL3" s="120"/>
      <c r="AFM3" s="120"/>
      <c r="AFN3" s="120"/>
      <c r="AFO3" s="120"/>
      <c r="AFP3" s="120"/>
      <c r="AFQ3" s="120"/>
      <c r="AFR3" s="120"/>
      <c r="AFS3" s="120"/>
      <c r="AFT3" s="120"/>
      <c r="AFU3" s="120"/>
      <c r="AFV3" s="120"/>
      <c r="AFW3" s="120"/>
      <c r="AFX3" s="120"/>
      <c r="AFY3" s="120"/>
      <c r="AFZ3" s="120"/>
      <c r="AGA3" s="120"/>
      <c r="AGB3" s="120"/>
      <c r="AGC3" s="120"/>
      <c r="AGD3" s="120"/>
      <c r="AGE3" s="120"/>
      <c r="AGF3" s="120"/>
      <c r="AGG3" s="120"/>
      <c r="AGH3" s="120"/>
      <c r="AGI3" s="120"/>
      <c r="AGJ3" s="120"/>
      <c r="AGK3" s="120"/>
      <c r="AGL3" s="120"/>
      <c r="AGM3" s="120"/>
      <c r="AGN3" s="120"/>
      <c r="AGO3" s="120"/>
      <c r="AGP3" s="120"/>
      <c r="AGQ3" s="120"/>
      <c r="AGR3" s="120"/>
      <c r="AGS3" s="120"/>
      <c r="AGT3" s="120"/>
      <c r="AGU3" s="120"/>
      <c r="AGV3" s="120"/>
      <c r="AGW3" s="120"/>
      <c r="AGX3" s="120"/>
      <c r="AGY3" s="120"/>
      <c r="AGZ3" s="120"/>
      <c r="AHA3" s="120"/>
      <c r="AHB3" s="120"/>
      <c r="AHC3" s="120"/>
      <c r="AHD3" s="120"/>
      <c r="AHE3" s="120"/>
      <c r="AHF3" s="120"/>
      <c r="AHG3" s="120"/>
      <c r="AHH3" s="120"/>
      <c r="AHI3" s="120"/>
      <c r="AHJ3" s="120"/>
      <c r="AHK3" s="120"/>
      <c r="AHL3" s="120"/>
      <c r="AHM3" s="120"/>
      <c r="AHN3" s="120"/>
      <c r="AHO3" s="120"/>
      <c r="AHP3" s="120"/>
      <c r="AHQ3" s="120"/>
      <c r="AHR3" s="120"/>
      <c r="AHS3" s="120"/>
      <c r="AHT3" s="120"/>
      <c r="AHU3" s="120"/>
      <c r="AHV3" s="120"/>
      <c r="AHW3" s="120"/>
      <c r="AHX3" s="120"/>
      <c r="AHY3" s="120"/>
      <c r="AHZ3" s="120"/>
      <c r="AIA3" s="120"/>
      <c r="AIB3" s="120"/>
      <c r="AIC3" s="120"/>
      <c r="AID3" s="120"/>
      <c r="AIE3" s="120"/>
      <c r="AIF3" s="120"/>
      <c r="AIG3" s="120"/>
      <c r="AIH3" s="120"/>
      <c r="AII3" s="120"/>
      <c r="AIJ3" s="120"/>
      <c r="AIK3" s="120"/>
      <c r="AIL3" s="120"/>
      <c r="AIM3" s="120"/>
      <c r="AIN3" s="120"/>
      <c r="AIO3" s="120"/>
      <c r="AIP3" s="120"/>
      <c r="AIQ3" s="120"/>
      <c r="AIR3" s="120"/>
      <c r="AIS3" s="120"/>
      <c r="AIT3" s="120"/>
      <c r="AIU3" s="120"/>
      <c r="AIV3" s="120"/>
      <c r="AIW3" s="120"/>
      <c r="AIX3" s="120"/>
      <c r="AIY3" s="120"/>
      <c r="AIZ3" s="120"/>
      <c r="AJA3" s="120"/>
      <c r="AJB3" s="120"/>
      <c r="AJC3" s="120"/>
      <c r="AJD3" s="120"/>
      <c r="AJE3" s="120"/>
      <c r="AJF3" s="120"/>
      <c r="AJG3" s="120"/>
      <c r="AJH3" s="120"/>
      <c r="AJI3" s="120"/>
      <c r="AJJ3" s="120"/>
      <c r="AJK3" s="120"/>
      <c r="AJL3" s="120"/>
      <c r="AJM3" s="120"/>
      <c r="AJN3" s="120"/>
      <c r="AJO3" s="120"/>
      <c r="AJP3" s="120"/>
      <c r="AJQ3" s="120"/>
      <c r="AJR3" s="120"/>
      <c r="AJS3" s="120"/>
      <c r="AJT3" s="120"/>
      <c r="AJU3" s="120"/>
      <c r="AJV3" s="120"/>
      <c r="AJW3" s="120"/>
      <c r="AJX3" s="120"/>
      <c r="AJY3" s="120"/>
      <c r="AJZ3" s="120"/>
      <c r="AKA3" s="120"/>
      <c r="AKB3" s="120"/>
      <c r="AKC3" s="120"/>
      <c r="AKD3" s="120"/>
      <c r="AKE3" s="120"/>
      <c r="AKF3" s="120"/>
      <c r="AKG3" s="120"/>
      <c r="AKH3" s="120"/>
      <c r="AKI3" s="120"/>
      <c r="AKJ3" s="120"/>
      <c r="AKK3" s="120"/>
      <c r="AKL3" s="120"/>
      <c r="AKM3" s="120"/>
      <c r="AKN3" s="120"/>
      <c r="AKO3" s="120"/>
      <c r="AKP3" s="120"/>
      <c r="AKQ3" s="120"/>
      <c r="AKR3" s="120"/>
      <c r="AKS3" s="120"/>
      <c r="AKT3" s="120"/>
      <c r="AKU3" s="120"/>
      <c r="AKV3" s="120"/>
      <c r="AKW3" s="120"/>
      <c r="AKX3" s="120"/>
      <c r="AKY3" s="120"/>
      <c r="AKZ3" s="120"/>
      <c r="ALA3" s="120"/>
      <c r="ALB3" s="120"/>
      <c r="ALC3" s="120"/>
      <c r="ALD3" s="120"/>
      <c r="ALE3" s="120"/>
      <c r="ALF3" s="120"/>
      <c r="ALG3" s="120"/>
      <c r="ALH3" s="120"/>
      <c r="ALI3" s="120"/>
      <c r="ALJ3" s="120"/>
      <c r="ALK3" s="120"/>
      <c r="ALL3" s="120"/>
      <c r="ALM3" s="120"/>
      <c r="ALN3" s="120"/>
      <c r="ALO3" s="120"/>
      <c r="ALP3" s="120"/>
      <c r="ALQ3" s="120"/>
      <c r="ALR3" s="120"/>
      <c r="ALS3" s="120"/>
      <c r="ALT3" s="120"/>
      <c r="ALU3" s="120"/>
      <c r="ALV3" s="120"/>
      <c r="ALW3" s="120"/>
      <c r="ALX3" s="120"/>
      <c r="ALY3" s="120"/>
      <c r="ALZ3" s="120"/>
      <c r="AMA3" s="120"/>
      <c r="AMB3" s="120"/>
      <c r="AMC3" s="120"/>
      <c r="AMD3" s="120"/>
      <c r="AME3" s="120"/>
      <c r="AMF3" s="120"/>
      <c r="AMG3" s="120"/>
      <c r="AMH3" s="120"/>
      <c r="AMI3" s="120"/>
      <c r="AMJ3" s="120"/>
      <c r="AMK3" s="120"/>
      <c r="AML3" s="120"/>
      <c r="AMM3" s="120"/>
      <c r="AMN3" s="120"/>
      <c r="AMO3" s="120"/>
      <c r="AMP3" s="120"/>
      <c r="AMQ3" s="120"/>
      <c r="AMR3" s="120"/>
      <c r="AMS3" s="120"/>
      <c r="AMT3" s="120"/>
      <c r="AMU3" s="120"/>
      <c r="AMV3" s="120"/>
      <c r="AMW3" s="120"/>
      <c r="AMX3" s="120"/>
      <c r="AMY3" s="120"/>
      <c r="AMZ3" s="120"/>
      <c r="ANA3" s="120"/>
      <c r="ANB3" s="120"/>
      <c r="ANC3" s="120"/>
      <c r="AND3" s="120"/>
      <c r="ANE3" s="120"/>
      <c r="ANF3" s="120"/>
      <c r="ANG3" s="120"/>
      <c r="ANH3" s="120"/>
      <c r="ANI3" s="120"/>
      <c r="ANJ3" s="120"/>
      <c r="ANK3" s="120"/>
      <c r="ANL3" s="120"/>
      <c r="ANM3" s="120"/>
      <c r="ANN3" s="120"/>
      <c r="ANO3" s="120"/>
      <c r="ANP3" s="120"/>
      <c r="ANQ3" s="120"/>
      <c r="ANR3" s="120"/>
      <c r="ANS3" s="120"/>
      <c r="ANT3" s="120"/>
      <c r="ANU3" s="120"/>
      <c r="ANV3" s="120"/>
      <c r="ANW3" s="120"/>
      <c r="ANX3" s="120"/>
      <c r="ANY3" s="120"/>
      <c r="ANZ3" s="120"/>
      <c r="AOA3" s="120"/>
      <c r="AOB3" s="120"/>
      <c r="AOC3" s="120"/>
      <c r="AOD3" s="120"/>
      <c r="AOE3" s="120"/>
      <c r="AOF3" s="120"/>
      <c r="AOG3" s="120"/>
      <c r="AOH3" s="120"/>
      <c r="AOI3" s="120"/>
      <c r="AOJ3" s="120"/>
      <c r="AOK3" s="120"/>
      <c r="AOL3" s="120"/>
      <c r="AOM3" s="120"/>
      <c r="AON3" s="120"/>
      <c r="AOO3" s="120"/>
      <c r="AOP3" s="120"/>
      <c r="AOQ3" s="120"/>
      <c r="AOR3" s="120"/>
      <c r="AOS3" s="120"/>
      <c r="AOT3" s="120"/>
      <c r="AOU3" s="120"/>
      <c r="AOV3" s="120"/>
      <c r="AOW3" s="120"/>
      <c r="AOX3" s="120"/>
      <c r="AOY3" s="120"/>
      <c r="AOZ3" s="120"/>
      <c r="APA3" s="120"/>
      <c r="APB3" s="120"/>
      <c r="APC3" s="120"/>
      <c r="APD3" s="120"/>
      <c r="APE3" s="120"/>
      <c r="APF3" s="120"/>
      <c r="APG3" s="120"/>
      <c r="APH3" s="120"/>
      <c r="API3" s="120"/>
      <c r="APJ3" s="120"/>
      <c r="APK3" s="120"/>
      <c r="APL3" s="120"/>
      <c r="APM3" s="120"/>
      <c r="APN3" s="120"/>
      <c r="APO3" s="120"/>
      <c r="APP3" s="120"/>
      <c r="APQ3" s="120"/>
      <c r="APR3" s="120"/>
      <c r="APS3" s="120"/>
      <c r="APT3" s="120"/>
      <c r="APU3" s="120"/>
      <c r="APV3" s="120"/>
      <c r="APW3" s="120"/>
      <c r="APX3" s="120"/>
      <c r="APY3" s="120"/>
      <c r="APZ3" s="120"/>
      <c r="AQA3" s="120"/>
      <c r="AQB3" s="120"/>
      <c r="AQC3" s="120"/>
      <c r="AQD3" s="120"/>
      <c r="AQE3" s="120"/>
      <c r="AQF3" s="120"/>
      <c r="AQG3" s="120"/>
      <c r="AQH3" s="120"/>
      <c r="AQI3" s="120"/>
      <c r="AQJ3" s="120"/>
      <c r="AQK3" s="120"/>
      <c r="AQL3" s="120"/>
      <c r="AQM3" s="120"/>
      <c r="AQN3" s="120"/>
      <c r="AQO3" s="120"/>
      <c r="AQP3" s="120"/>
      <c r="AQQ3" s="120"/>
      <c r="AQR3" s="120"/>
      <c r="AQS3" s="120"/>
      <c r="AQT3" s="120"/>
      <c r="AQU3" s="120"/>
      <c r="AQV3" s="120"/>
      <c r="AQW3" s="120"/>
      <c r="AQX3" s="120"/>
      <c r="AQY3" s="120"/>
      <c r="AQZ3" s="120"/>
      <c r="ARA3" s="120"/>
      <c r="ARB3" s="120"/>
      <c r="ARC3" s="120"/>
      <c r="ARD3" s="120"/>
      <c r="ARE3" s="120"/>
      <c r="ARF3" s="120"/>
      <c r="ARG3" s="120"/>
      <c r="ARH3" s="120"/>
      <c r="ARI3" s="120"/>
      <c r="ARJ3" s="120"/>
      <c r="ARK3" s="120"/>
      <c r="ARL3" s="120"/>
      <c r="ARM3" s="120"/>
      <c r="ARN3" s="120"/>
      <c r="ARO3" s="120"/>
      <c r="ARP3" s="120"/>
      <c r="ARQ3" s="120"/>
      <c r="ARR3" s="120"/>
      <c r="ARS3" s="120"/>
      <c r="ART3" s="120"/>
      <c r="ARU3" s="120"/>
      <c r="ARV3" s="120"/>
      <c r="ARW3" s="120"/>
      <c r="ARX3" s="120"/>
      <c r="ARY3" s="120"/>
      <c r="ARZ3" s="120"/>
      <c r="ASA3" s="120"/>
      <c r="ASB3" s="120"/>
      <c r="ASC3" s="120"/>
      <c r="ASD3" s="120"/>
      <c r="ASE3" s="120"/>
      <c r="ASF3" s="120"/>
      <c r="ASG3" s="120"/>
      <c r="ASH3" s="120"/>
      <c r="ASI3" s="120"/>
      <c r="ASJ3" s="120"/>
      <c r="ASK3" s="120"/>
      <c r="ASL3" s="120"/>
      <c r="ASM3" s="120"/>
      <c r="ASN3" s="120"/>
      <c r="ASO3" s="120"/>
      <c r="ASP3" s="120"/>
      <c r="ASQ3" s="120"/>
      <c r="ASR3" s="120"/>
      <c r="ASS3" s="120"/>
      <c r="AST3" s="120"/>
      <c r="ASU3" s="120"/>
      <c r="ASV3" s="120"/>
      <c r="ASW3" s="120"/>
      <c r="ASX3" s="120"/>
      <c r="ASY3" s="120"/>
      <c r="ASZ3" s="120"/>
      <c r="ATA3" s="120"/>
      <c r="ATB3" s="120"/>
      <c r="ATC3" s="120"/>
      <c r="ATD3" s="120"/>
      <c r="ATE3" s="120"/>
      <c r="ATF3" s="120"/>
      <c r="ATG3" s="120"/>
      <c r="ATH3" s="120"/>
      <c r="ATI3" s="120"/>
      <c r="ATJ3" s="120"/>
      <c r="ATK3" s="120"/>
      <c r="ATL3" s="120"/>
      <c r="ATM3" s="120"/>
      <c r="ATN3" s="120"/>
      <c r="ATO3" s="120"/>
      <c r="ATP3" s="120"/>
      <c r="ATQ3" s="120"/>
      <c r="ATR3" s="120"/>
      <c r="ATS3" s="120"/>
      <c r="ATT3" s="120"/>
      <c r="ATU3" s="120"/>
      <c r="ATV3" s="120"/>
      <c r="ATW3" s="120"/>
      <c r="ATX3" s="120"/>
      <c r="ATY3" s="120"/>
      <c r="ATZ3" s="120"/>
      <c r="AUA3" s="120"/>
      <c r="AUB3" s="120"/>
      <c r="AUC3" s="120"/>
      <c r="AUD3" s="120"/>
      <c r="AUE3" s="120"/>
      <c r="AUF3" s="120"/>
      <c r="AUG3" s="120"/>
      <c r="AUH3" s="120"/>
      <c r="AUI3" s="120"/>
      <c r="AUJ3" s="120"/>
      <c r="AUK3" s="120"/>
      <c r="AUL3" s="120"/>
      <c r="AUM3" s="120"/>
      <c r="AUN3" s="120"/>
      <c r="AUO3" s="120"/>
      <c r="AUP3" s="120"/>
      <c r="AUQ3" s="120"/>
      <c r="AUR3" s="120"/>
      <c r="AUS3" s="120"/>
      <c r="AUT3" s="120"/>
      <c r="AUU3" s="120"/>
      <c r="AUV3" s="120"/>
      <c r="AUW3" s="120"/>
      <c r="AUX3" s="120"/>
      <c r="AUY3" s="120"/>
      <c r="AUZ3" s="120"/>
      <c r="AVA3" s="120"/>
      <c r="AVB3" s="120"/>
      <c r="AVC3" s="120"/>
      <c r="AVD3" s="120"/>
      <c r="AVE3" s="120"/>
      <c r="AVF3" s="120"/>
      <c r="AVG3" s="120"/>
      <c r="AVH3" s="120"/>
      <c r="AVI3" s="120"/>
      <c r="AVJ3" s="120"/>
      <c r="AVK3" s="120"/>
      <c r="AVL3" s="120"/>
      <c r="AVM3" s="120"/>
      <c r="AVN3" s="120"/>
      <c r="AVO3" s="120"/>
      <c r="AVP3" s="120"/>
      <c r="AVQ3" s="120"/>
      <c r="AVR3" s="120"/>
      <c r="AVS3" s="120"/>
      <c r="AVT3" s="120"/>
      <c r="AVU3" s="120"/>
      <c r="AVV3" s="120"/>
      <c r="AVW3" s="120"/>
      <c r="AVX3" s="120"/>
      <c r="AVY3" s="120"/>
      <c r="AVZ3" s="120"/>
      <c r="AWA3" s="120"/>
      <c r="AWB3" s="120"/>
      <c r="AWC3" s="120"/>
      <c r="AWD3" s="120"/>
      <c r="AWE3" s="120"/>
      <c r="AWF3" s="120"/>
      <c r="AWG3" s="120"/>
      <c r="AWH3" s="120"/>
      <c r="AWI3" s="120"/>
      <c r="AWJ3" s="120"/>
      <c r="AWK3" s="120"/>
      <c r="AWL3" s="120"/>
      <c r="AWM3" s="120"/>
      <c r="AWN3" s="120"/>
      <c r="AWO3" s="120"/>
      <c r="AWP3" s="120"/>
      <c r="AWQ3" s="120"/>
      <c r="AWR3" s="120"/>
      <c r="AWS3" s="120"/>
      <c r="AWT3" s="120"/>
      <c r="AWU3" s="120"/>
      <c r="AWV3" s="120"/>
      <c r="AWW3" s="120"/>
      <c r="AWX3" s="120"/>
      <c r="AWY3" s="120"/>
      <c r="AWZ3" s="120"/>
      <c r="AXA3" s="120"/>
      <c r="AXB3" s="120"/>
      <c r="AXC3" s="120"/>
      <c r="AXD3" s="120"/>
      <c r="AXE3" s="120"/>
      <c r="AXF3" s="120"/>
      <c r="AXG3" s="120"/>
      <c r="AXH3" s="120"/>
      <c r="AXI3" s="120"/>
      <c r="AXJ3" s="120"/>
      <c r="AXK3" s="120"/>
      <c r="AXL3" s="120"/>
      <c r="AXM3" s="120"/>
      <c r="AXN3" s="120"/>
      <c r="AXO3" s="120"/>
      <c r="AXP3" s="120"/>
      <c r="AXQ3" s="120"/>
      <c r="AXR3" s="120"/>
      <c r="AXS3" s="120"/>
      <c r="AXT3" s="120"/>
      <c r="AXU3" s="120"/>
      <c r="AXV3" s="120"/>
      <c r="AXW3" s="120"/>
      <c r="AXX3" s="120"/>
      <c r="AXY3" s="120"/>
      <c r="AXZ3" s="120"/>
      <c r="AYA3" s="120"/>
      <c r="AYB3" s="120"/>
      <c r="AYC3" s="120"/>
      <c r="AYD3" s="120"/>
      <c r="AYE3" s="120"/>
      <c r="AYF3" s="120"/>
      <c r="AYG3" s="120"/>
      <c r="AYH3" s="120"/>
      <c r="AYI3" s="120"/>
      <c r="AYJ3" s="120"/>
      <c r="AYK3" s="120"/>
      <c r="AYL3" s="120"/>
      <c r="AYM3" s="120"/>
      <c r="AYN3" s="120"/>
      <c r="AYO3" s="120"/>
      <c r="AYP3" s="120"/>
      <c r="AYQ3" s="120"/>
      <c r="AYR3" s="120"/>
      <c r="AYS3" s="120"/>
      <c r="AYT3" s="120"/>
      <c r="AYU3" s="120"/>
      <c r="AYV3" s="120"/>
      <c r="AYW3" s="120"/>
      <c r="AYX3" s="120"/>
      <c r="AYY3" s="120"/>
      <c r="AYZ3" s="120"/>
      <c r="AZA3" s="120"/>
      <c r="AZB3" s="120"/>
      <c r="AZC3" s="120"/>
      <c r="AZD3" s="120"/>
      <c r="AZE3" s="120"/>
      <c r="AZF3" s="120"/>
      <c r="AZG3" s="120"/>
      <c r="AZH3" s="120"/>
      <c r="AZI3" s="120"/>
      <c r="AZJ3" s="120"/>
      <c r="AZK3" s="120"/>
      <c r="AZL3" s="120"/>
      <c r="AZM3" s="120"/>
      <c r="AZN3" s="120"/>
      <c r="AZO3" s="120"/>
      <c r="AZP3" s="120"/>
      <c r="AZQ3" s="120"/>
      <c r="AZR3" s="120"/>
      <c r="AZS3" s="120"/>
      <c r="AZT3" s="120"/>
      <c r="AZU3" s="120"/>
      <c r="AZV3" s="120"/>
      <c r="AZW3" s="120"/>
      <c r="AZX3" s="120"/>
      <c r="AZY3" s="120"/>
      <c r="AZZ3" s="120"/>
      <c r="BAA3" s="120"/>
      <c r="BAB3" s="120"/>
      <c r="BAC3" s="120"/>
      <c r="BAD3" s="120"/>
      <c r="BAE3" s="120"/>
      <c r="BAF3" s="120"/>
      <c r="BAG3" s="120"/>
      <c r="BAH3" s="120"/>
      <c r="BAI3" s="120"/>
      <c r="BAJ3" s="120"/>
      <c r="BAK3" s="120"/>
      <c r="BAL3" s="120"/>
      <c r="BAM3" s="120"/>
      <c r="BAN3" s="120"/>
      <c r="BAO3" s="120"/>
      <c r="BAP3" s="120"/>
      <c r="BAQ3" s="120"/>
      <c r="BAR3" s="120"/>
      <c r="BAS3" s="120"/>
      <c r="BAT3" s="120"/>
      <c r="BAU3" s="120"/>
      <c r="BAV3" s="120"/>
      <c r="BAW3" s="120"/>
      <c r="BAX3" s="120"/>
      <c r="BAY3" s="120"/>
      <c r="BAZ3" s="120"/>
      <c r="BBA3" s="120"/>
      <c r="BBB3" s="120"/>
      <c r="BBC3" s="120"/>
      <c r="BBD3" s="120"/>
      <c r="BBE3" s="120"/>
      <c r="BBF3" s="120"/>
      <c r="BBG3" s="120"/>
      <c r="BBH3" s="120"/>
      <c r="BBI3" s="120"/>
      <c r="BBJ3" s="120"/>
      <c r="BBK3" s="120"/>
      <c r="BBL3" s="120"/>
      <c r="BBM3" s="120"/>
      <c r="BBN3" s="120"/>
      <c r="BBO3" s="120"/>
      <c r="BBP3" s="120"/>
      <c r="BBQ3" s="120"/>
      <c r="BBR3" s="120"/>
      <c r="BBS3" s="120"/>
      <c r="BBT3" s="120"/>
      <c r="BBU3" s="120"/>
      <c r="BBV3" s="120"/>
      <c r="BBW3" s="120"/>
      <c r="BBX3" s="120"/>
      <c r="BBY3" s="120"/>
      <c r="BBZ3" s="120"/>
      <c r="BCA3" s="120"/>
      <c r="BCB3" s="120"/>
      <c r="BCC3" s="120"/>
      <c r="BCD3" s="120"/>
      <c r="BCE3" s="120"/>
      <c r="BCF3" s="120"/>
      <c r="BCG3" s="120"/>
      <c r="BCH3" s="120"/>
      <c r="BCI3" s="120"/>
      <c r="BCJ3" s="120"/>
      <c r="BCK3" s="120"/>
      <c r="BCL3" s="120"/>
      <c r="BCM3" s="120"/>
      <c r="BCN3" s="120"/>
      <c r="BCO3" s="120"/>
      <c r="BCP3" s="120"/>
      <c r="BCQ3" s="120"/>
      <c r="BCR3" s="120"/>
      <c r="BCS3" s="120"/>
      <c r="BCT3" s="120"/>
      <c r="BCU3" s="120"/>
      <c r="BCV3" s="120"/>
      <c r="BCW3" s="120"/>
      <c r="BCX3" s="120"/>
      <c r="BCY3" s="120"/>
      <c r="BCZ3" s="120"/>
      <c r="BDA3" s="120"/>
      <c r="BDB3" s="120"/>
      <c r="BDC3" s="120"/>
      <c r="BDD3" s="120"/>
      <c r="BDE3" s="120"/>
      <c r="BDF3" s="120"/>
      <c r="BDG3" s="120"/>
      <c r="BDH3" s="120"/>
      <c r="BDI3" s="120"/>
      <c r="BDJ3" s="120"/>
      <c r="BDK3" s="120"/>
      <c r="BDL3" s="120"/>
      <c r="BDM3" s="120"/>
      <c r="BDN3" s="120"/>
      <c r="BDO3" s="120"/>
      <c r="BDP3" s="120"/>
      <c r="BDQ3" s="120"/>
      <c r="BDR3" s="120"/>
      <c r="BDS3" s="120"/>
      <c r="BDT3" s="120"/>
      <c r="BDU3" s="120"/>
      <c r="BDV3" s="120"/>
      <c r="BDW3" s="120"/>
      <c r="BDX3" s="120"/>
      <c r="BDY3" s="120"/>
      <c r="BDZ3" s="120"/>
      <c r="BEA3" s="120"/>
      <c r="BEB3" s="120"/>
      <c r="BEC3" s="120"/>
      <c r="BED3" s="120"/>
      <c r="BEE3" s="120"/>
      <c r="BEF3" s="120"/>
      <c r="BEG3" s="120"/>
      <c r="BEH3" s="120"/>
      <c r="BEI3" s="120"/>
      <c r="BEJ3" s="120"/>
      <c r="BEK3" s="120"/>
      <c r="BEL3" s="120"/>
      <c r="BEM3" s="120"/>
      <c r="BEN3" s="120"/>
      <c r="BEO3" s="120"/>
      <c r="BEP3" s="120"/>
      <c r="BEQ3" s="120"/>
      <c r="BER3" s="120"/>
      <c r="BES3" s="120"/>
      <c r="BET3" s="120"/>
      <c r="BEU3" s="120"/>
      <c r="BEV3" s="120"/>
      <c r="BEW3" s="120"/>
      <c r="BEX3" s="120"/>
      <c r="BEY3" s="120"/>
      <c r="BEZ3" s="120"/>
      <c r="BFA3" s="120"/>
      <c r="BFB3" s="120"/>
      <c r="BFC3" s="120"/>
      <c r="BFD3" s="120"/>
      <c r="BFE3" s="120"/>
      <c r="BFF3" s="120"/>
      <c r="BFG3" s="120"/>
      <c r="BFH3" s="120"/>
      <c r="BFI3" s="120"/>
      <c r="BFJ3" s="120"/>
      <c r="BFK3" s="120"/>
      <c r="BFL3" s="120"/>
      <c r="BFM3" s="120"/>
      <c r="BFN3" s="120"/>
      <c r="BFO3" s="120"/>
      <c r="BFP3" s="120"/>
      <c r="BFQ3" s="120"/>
      <c r="BFR3" s="120"/>
      <c r="BFS3" s="120"/>
      <c r="BFT3" s="120"/>
      <c r="BFU3" s="120"/>
      <c r="BFV3" s="120"/>
      <c r="BFW3" s="120"/>
      <c r="BFX3" s="120"/>
      <c r="BFY3" s="120"/>
      <c r="BFZ3" s="120"/>
      <c r="BGA3" s="120"/>
      <c r="BGB3" s="120"/>
      <c r="BGC3" s="120"/>
      <c r="BGD3" s="120"/>
      <c r="BGE3" s="120"/>
      <c r="BGF3" s="120"/>
      <c r="BGG3" s="120"/>
      <c r="BGH3" s="120"/>
      <c r="BGI3" s="120"/>
      <c r="BGJ3" s="120"/>
      <c r="BGK3" s="120"/>
      <c r="BGL3" s="120"/>
      <c r="BGM3" s="120"/>
      <c r="BGN3" s="120"/>
      <c r="BGO3" s="120"/>
      <c r="BGP3" s="120"/>
      <c r="BGQ3" s="120"/>
      <c r="BGR3" s="120"/>
      <c r="BGS3" s="120"/>
      <c r="BGT3" s="120"/>
      <c r="BGU3" s="120"/>
      <c r="BGV3" s="120"/>
      <c r="BGW3" s="120"/>
      <c r="BGX3" s="120"/>
      <c r="BGY3" s="120"/>
      <c r="BGZ3" s="120"/>
      <c r="BHA3" s="120"/>
      <c r="BHB3" s="120"/>
      <c r="BHC3" s="120"/>
      <c r="BHD3" s="120"/>
      <c r="BHE3" s="120"/>
      <c r="BHF3" s="120"/>
      <c r="BHG3" s="120"/>
      <c r="BHH3" s="120"/>
      <c r="BHI3" s="120"/>
      <c r="BHJ3" s="120"/>
      <c r="BHK3" s="120"/>
      <c r="BHL3" s="120"/>
      <c r="BHM3" s="120"/>
      <c r="BHN3" s="120"/>
      <c r="BHO3" s="120"/>
      <c r="BHP3" s="120"/>
      <c r="BHQ3" s="120"/>
      <c r="BHR3" s="120"/>
      <c r="BHS3" s="120"/>
      <c r="BHT3" s="120"/>
      <c r="BHU3" s="120"/>
      <c r="BHV3" s="120"/>
      <c r="BHW3" s="120"/>
      <c r="BHX3" s="120"/>
      <c r="BHY3" s="120"/>
      <c r="BHZ3" s="120"/>
      <c r="BIA3" s="120"/>
      <c r="BIB3" s="120"/>
      <c r="BIC3" s="120"/>
      <c r="BID3" s="120"/>
      <c r="BIE3" s="120"/>
      <c r="BIF3" s="120"/>
      <c r="BIG3" s="120"/>
      <c r="BIH3" s="120"/>
      <c r="BII3" s="120"/>
      <c r="BIJ3" s="120"/>
      <c r="BIK3" s="120"/>
      <c r="BIL3" s="120"/>
      <c r="BIM3" s="120"/>
      <c r="BIN3" s="120"/>
      <c r="BIO3" s="120"/>
      <c r="BIP3" s="120"/>
      <c r="BIQ3" s="120"/>
      <c r="BIR3" s="120"/>
      <c r="BIS3" s="120"/>
      <c r="BIT3" s="120"/>
      <c r="BIU3" s="120"/>
      <c r="BIV3" s="120"/>
      <c r="BIW3" s="120"/>
      <c r="BIX3" s="120"/>
      <c r="BIY3" s="120"/>
      <c r="BIZ3" s="120"/>
      <c r="BJA3" s="120"/>
      <c r="BJB3" s="120"/>
      <c r="BJC3" s="120"/>
      <c r="BJD3" s="120"/>
      <c r="BJE3" s="120"/>
      <c r="BJF3" s="120"/>
      <c r="BJG3" s="120"/>
      <c r="BJH3" s="120"/>
      <c r="BJI3" s="120"/>
      <c r="BJJ3" s="120"/>
      <c r="BJK3" s="120"/>
      <c r="BJL3" s="120"/>
      <c r="BJM3" s="120"/>
      <c r="BJN3" s="120"/>
      <c r="BJO3" s="120"/>
      <c r="BJP3" s="120"/>
      <c r="BJQ3" s="120"/>
      <c r="BJR3" s="120"/>
      <c r="BJS3" s="120"/>
      <c r="BJT3" s="120"/>
      <c r="BJU3" s="120"/>
      <c r="BJV3" s="120"/>
      <c r="BJW3" s="120"/>
      <c r="BJX3" s="120"/>
      <c r="BJY3" s="120"/>
      <c r="BJZ3" s="120"/>
      <c r="BKA3" s="120"/>
      <c r="BKB3" s="120"/>
      <c r="BKC3" s="120"/>
      <c r="BKD3" s="120"/>
      <c r="BKE3" s="120"/>
      <c r="BKF3" s="120"/>
      <c r="BKG3" s="120"/>
      <c r="BKH3" s="120"/>
      <c r="BKI3" s="120"/>
      <c r="BKJ3" s="120"/>
      <c r="BKK3" s="120"/>
      <c r="BKL3" s="120"/>
      <c r="BKM3" s="120"/>
      <c r="BKN3" s="120"/>
      <c r="BKO3" s="120"/>
      <c r="BKP3" s="120"/>
      <c r="BKQ3" s="120"/>
      <c r="BKR3" s="120"/>
      <c r="BKS3" s="120"/>
      <c r="BKT3" s="120"/>
      <c r="BKU3" s="120"/>
      <c r="BKV3" s="120"/>
      <c r="BKW3" s="120"/>
      <c r="BKX3" s="120"/>
      <c r="BKY3" s="120"/>
      <c r="BKZ3" s="120"/>
      <c r="BLA3" s="120"/>
      <c r="BLB3" s="120"/>
      <c r="BLC3" s="120"/>
      <c r="BLD3" s="120"/>
      <c r="BLE3" s="120"/>
      <c r="BLF3" s="120"/>
      <c r="BLG3" s="120"/>
      <c r="BLH3" s="120"/>
      <c r="BLI3" s="120"/>
      <c r="BLJ3" s="120"/>
      <c r="BLK3" s="120"/>
      <c r="BLL3" s="120"/>
      <c r="BLM3" s="120"/>
      <c r="BLN3" s="120"/>
      <c r="BLO3" s="120"/>
      <c r="BLP3" s="120"/>
      <c r="BLQ3" s="120"/>
      <c r="BLR3" s="120"/>
      <c r="BLS3" s="120"/>
      <c r="BLT3" s="120"/>
      <c r="BLU3" s="120"/>
      <c r="BLV3" s="120"/>
      <c r="BLW3" s="120"/>
      <c r="BLX3" s="120"/>
      <c r="BLY3" s="120"/>
      <c r="BLZ3" s="120"/>
      <c r="BMA3" s="120"/>
      <c r="BMB3" s="120"/>
      <c r="BMC3" s="120"/>
      <c r="BMD3" s="120"/>
      <c r="BME3" s="120"/>
      <c r="BMF3" s="120"/>
      <c r="BMG3" s="120"/>
      <c r="BMH3" s="120"/>
      <c r="BMI3" s="120"/>
      <c r="BMJ3" s="120"/>
      <c r="BMK3" s="120"/>
      <c r="BML3" s="120"/>
      <c r="BMM3" s="120"/>
      <c r="BMN3" s="120"/>
      <c r="BMO3" s="120"/>
      <c r="BMP3" s="120"/>
      <c r="BMQ3" s="120"/>
      <c r="BMR3" s="120"/>
      <c r="BMS3" s="120"/>
      <c r="BMT3" s="120"/>
      <c r="BMU3" s="120"/>
      <c r="BMV3" s="120"/>
      <c r="BMW3" s="120"/>
      <c r="BMX3" s="120"/>
      <c r="BMY3" s="120"/>
      <c r="BMZ3" s="120"/>
      <c r="BNA3" s="120"/>
      <c r="BNB3" s="120"/>
      <c r="BNC3" s="120"/>
      <c r="BND3" s="120"/>
      <c r="BNE3" s="120"/>
      <c r="BNF3" s="120"/>
      <c r="BNG3" s="120"/>
      <c r="BNH3" s="120"/>
      <c r="BNI3" s="120"/>
      <c r="BNJ3" s="120"/>
      <c r="BNK3" s="120"/>
      <c r="BNL3" s="120"/>
      <c r="BNM3" s="120"/>
      <c r="BNN3" s="120"/>
      <c r="BNO3" s="120"/>
      <c r="BNP3" s="120"/>
      <c r="BNQ3" s="120"/>
      <c r="BNR3" s="120"/>
      <c r="BNS3" s="120"/>
      <c r="BNT3" s="120"/>
      <c r="BNU3" s="120"/>
      <c r="BNV3" s="120"/>
      <c r="BNW3" s="120"/>
      <c r="BNX3" s="120"/>
      <c r="BNY3" s="120"/>
      <c r="BNZ3" s="120"/>
      <c r="BOA3" s="120"/>
      <c r="BOB3" s="120"/>
      <c r="BOC3" s="120"/>
      <c r="BOD3" s="120"/>
      <c r="BOE3" s="120"/>
      <c r="BOF3" s="120"/>
      <c r="BOG3" s="120"/>
      <c r="BOH3" s="120"/>
      <c r="BOI3" s="120"/>
      <c r="BOJ3" s="120"/>
      <c r="BOK3" s="120"/>
      <c r="BOL3" s="120"/>
      <c r="BOM3" s="120"/>
      <c r="BON3" s="120"/>
      <c r="BOO3" s="120"/>
      <c r="BOP3" s="120"/>
      <c r="BOQ3" s="120"/>
      <c r="BOR3" s="120"/>
      <c r="BOS3" s="120"/>
      <c r="BOT3" s="120"/>
      <c r="BOU3" s="120"/>
      <c r="BOV3" s="120"/>
      <c r="BOW3" s="120"/>
      <c r="BOX3" s="120"/>
      <c r="BOY3" s="120"/>
      <c r="BOZ3" s="120"/>
      <c r="BPA3" s="120"/>
      <c r="BPB3" s="120"/>
      <c r="BPC3" s="120"/>
      <c r="BPD3" s="120"/>
      <c r="BPE3" s="120"/>
      <c r="BPF3" s="120"/>
      <c r="BPG3" s="120"/>
      <c r="BPH3" s="120"/>
      <c r="BPI3" s="120"/>
      <c r="BPJ3" s="120"/>
      <c r="BPK3" s="120"/>
      <c r="BPL3" s="120"/>
      <c r="BPM3" s="120"/>
      <c r="BPN3" s="120"/>
      <c r="BPO3" s="120"/>
      <c r="BPP3" s="120"/>
      <c r="BPQ3" s="120"/>
      <c r="BPR3" s="120"/>
      <c r="BPS3" s="120"/>
      <c r="BPT3" s="120"/>
      <c r="BPU3" s="120"/>
      <c r="BPV3" s="120"/>
      <c r="BPW3" s="120"/>
      <c r="BPX3" s="120"/>
      <c r="BPY3" s="120"/>
      <c r="BPZ3" s="120"/>
      <c r="BQA3" s="120"/>
      <c r="BQB3" s="120"/>
      <c r="BQC3" s="120"/>
      <c r="BQD3" s="120"/>
      <c r="BQE3" s="120"/>
      <c r="BQF3" s="120"/>
      <c r="BQG3" s="120"/>
      <c r="BQH3" s="120"/>
      <c r="BQI3" s="120"/>
      <c r="BQJ3" s="120"/>
      <c r="BQK3" s="120"/>
      <c r="BQL3" s="120"/>
      <c r="BQM3" s="120"/>
      <c r="BQN3" s="120"/>
      <c r="BQO3" s="120"/>
      <c r="BQP3" s="120"/>
      <c r="BQQ3" s="120"/>
      <c r="BQR3" s="120"/>
      <c r="BQS3" s="120"/>
      <c r="BQT3" s="120"/>
      <c r="BQU3" s="120"/>
      <c r="BQV3" s="120"/>
      <c r="BQW3" s="120"/>
      <c r="BQX3" s="120"/>
      <c r="BQY3" s="120"/>
      <c r="BQZ3" s="120"/>
      <c r="BRA3" s="120"/>
      <c r="BRB3" s="120"/>
      <c r="BRC3" s="120"/>
      <c r="BRD3" s="120"/>
      <c r="BRE3" s="120"/>
      <c r="BRF3" s="120"/>
      <c r="BRG3" s="120"/>
      <c r="BRH3" s="120"/>
      <c r="BRI3" s="120"/>
      <c r="BRJ3" s="120"/>
      <c r="BRK3" s="120"/>
      <c r="BRL3" s="120"/>
      <c r="BRM3" s="120"/>
      <c r="BRN3" s="120"/>
      <c r="BRO3" s="120"/>
      <c r="BRP3" s="120"/>
      <c r="BRQ3" s="120"/>
      <c r="BRR3" s="120"/>
      <c r="BRS3" s="120"/>
      <c r="BRT3" s="120"/>
      <c r="BRU3" s="120"/>
      <c r="BRV3" s="120"/>
      <c r="BRW3" s="120"/>
      <c r="BRX3" s="120"/>
      <c r="BRY3" s="120"/>
      <c r="BRZ3" s="120"/>
      <c r="BSA3" s="120"/>
      <c r="BSB3" s="120"/>
      <c r="BSC3" s="120"/>
      <c r="BSD3" s="120"/>
      <c r="BSE3" s="120"/>
      <c r="BSF3" s="120"/>
      <c r="BSG3" s="120"/>
      <c r="BSH3" s="120"/>
      <c r="BSI3" s="120"/>
      <c r="BSJ3" s="120"/>
      <c r="BSK3" s="120"/>
      <c r="BSL3" s="120"/>
      <c r="BSM3" s="120"/>
      <c r="BSN3" s="120"/>
      <c r="BSO3" s="120"/>
      <c r="BSP3" s="120"/>
      <c r="BSQ3" s="120"/>
      <c r="BSR3" s="120"/>
      <c r="BSS3" s="120"/>
      <c r="BST3" s="120"/>
      <c r="BSU3" s="120"/>
      <c r="BSV3" s="120"/>
      <c r="BSW3" s="120"/>
      <c r="BSX3" s="120"/>
      <c r="BSY3" s="120"/>
      <c r="BSZ3" s="120"/>
      <c r="BTA3" s="120"/>
      <c r="BTB3" s="120"/>
      <c r="BTC3" s="120"/>
      <c r="BTD3" s="120"/>
      <c r="BTE3" s="120"/>
      <c r="BTF3" s="120"/>
      <c r="BTG3" s="120"/>
      <c r="BTH3" s="120"/>
      <c r="BTI3" s="120"/>
      <c r="BTJ3" s="120"/>
      <c r="BTK3" s="120"/>
      <c r="BTL3" s="120"/>
      <c r="BTM3" s="120"/>
      <c r="BTN3" s="120"/>
      <c r="BTO3" s="120"/>
      <c r="BTP3" s="120"/>
      <c r="BTQ3" s="120"/>
      <c r="BTR3" s="120"/>
      <c r="BTS3" s="120"/>
      <c r="BTT3" s="120"/>
      <c r="BTU3" s="120"/>
      <c r="BTV3" s="120"/>
      <c r="BTW3" s="120"/>
      <c r="BTX3" s="120"/>
      <c r="BTY3" s="120"/>
      <c r="BTZ3" s="120"/>
      <c r="BUA3" s="120"/>
      <c r="BUB3" s="120"/>
      <c r="BUC3" s="120"/>
      <c r="BUD3" s="120"/>
      <c r="BUE3" s="120"/>
      <c r="BUF3" s="120"/>
      <c r="BUG3" s="120"/>
      <c r="BUH3" s="120"/>
      <c r="BUI3" s="120"/>
      <c r="BUJ3" s="120"/>
      <c r="BUK3" s="120"/>
      <c r="BUL3" s="120"/>
      <c r="BUM3" s="120"/>
      <c r="BUN3" s="120"/>
      <c r="BUO3" s="120"/>
      <c r="BUP3" s="120"/>
      <c r="BUQ3" s="120"/>
      <c r="BUR3" s="120"/>
      <c r="BUS3" s="120"/>
      <c r="BUT3" s="120"/>
      <c r="BUU3" s="120"/>
      <c r="BUV3" s="120"/>
      <c r="BUW3" s="120"/>
      <c r="BUX3" s="120"/>
      <c r="BUY3" s="120"/>
      <c r="BUZ3" s="120"/>
      <c r="BVA3" s="120"/>
      <c r="BVB3" s="120"/>
      <c r="BVC3" s="120"/>
      <c r="BVD3" s="120"/>
      <c r="BVE3" s="120"/>
      <c r="BVF3" s="120"/>
      <c r="BVG3" s="120"/>
      <c r="BVH3" s="120"/>
      <c r="BVI3" s="120"/>
      <c r="BVJ3" s="120"/>
      <c r="BVK3" s="120"/>
      <c r="BVL3" s="120"/>
      <c r="BVM3" s="120"/>
      <c r="BVN3" s="120"/>
      <c r="BVO3" s="120"/>
      <c r="BVP3" s="120"/>
      <c r="BVQ3" s="120"/>
      <c r="BVR3" s="120"/>
      <c r="BVS3" s="120"/>
      <c r="BVT3" s="120"/>
      <c r="BVU3" s="120"/>
      <c r="BVV3" s="120"/>
      <c r="BVW3" s="120"/>
      <c r="BVX3" s="120"/>
      <c r="BVY3" s="120"/>
      <c r="BVZ3" s="120"/>
      <c r="BWA3" s="120"/>
      <c r="BWB3" s="120"/>
      <c r="BWC3" s="120"/>
      <c r="BWD3" s="120"/>
      <c r="BWE3" s="120"/>
      <c r="BWF3" s="120"/>
      <c r="BWG3" s="120"/>
      <c r="BWH3" s="120"/>
      <c r="BWI3" s="120"/>
      <c r="BWJ3" s="120"/>
      <c r="BWK3" s="120"/>
      <c r="BWL3" s="120"/>
      <c r="BWM3" s="120"/>
      <c r="BWN3" s="120"/>
      <c r="BWO3" s="120"/>
      <c r="BWP3" s="120"/>
      <c r="BWQ3" s="120"/>
      <c r="BWR3" s="120"/>
      <c r="BWS3" s="120"/>
      <c r="BWT3" s="120"/>
      <c r="BWU3" s="120"/>
      <c r="BWV3" s="120"/>
      <c r="BWW3" s="120"/>
      <c r="BWX3" s="120"/>
      <c r="BWY3" s="120"/>
      <c r="BWZ3" s="120"/>
      <c r="BXA3" s="120"/>
      <c r="BXB3" s="120"/>
      <c r="BXC3" s="120"/>
      <c r="BXD3" s="120"/>
      <c r="BXE3" s="120"/>
      <c r="BXF3" s="120"/>
      <c r="BXG3" s="120"/>
      <c r="BXH3" s="120"/>
      <c r="BXI3" s="120"/>
      <c r="BXJ3" s="120"/>
      <c r="BXK3" s="120"/>
      <c r="BXL3" s="120"/>
      <c r="BXM3" s="120"/>
      <c r="BXN3" s="120"/>
      <c r="BXO3" s="120"/>
      <c r="BXP3" s="120"/>
      <c r="BXQ3" s="120"/>
      <c r="BXR3" s="120"/>
      <c r="BXS3" s="120"/>
      <c r="BXT3" s="120"/>
      <c r="BXU3" s="120"/>
      <c r="BXV3" s="120"/>
      <c r="BXW3" s="120"/>
      <c r="BXX3" s="120"/>
      <c r="BXY3" s="120"/>
      <c r="BXZ3" s="120"/>
      <c r="BYA3" s="120"/>
      <c r="BYB3" s="120"/>
      <c r="BYC3" s="120"/>
      <c r="BYD3" s="120"/>
      <c r="BYE3" s="120"/>
      <c r="BYF3" s="120"/>
      <c r="BYG3" s="120"/>
      <c r="BYH3" s="120"/>
      <c r="BYI3" s="120"/>
      <c r="BYJ3" s="120"/>
      <c r="BYK3" s="120"/>
      <c r="BYL3" s="120"/>
      <c r="BYM3" s="120"/>
      <c r="BYN3" s="120"/>
      <c r="BYO3" s="120"/>
      <c r="BYP3" s="120"/>
      <c r="BYQ3" s="120"/>
      <c r="BYR3" s="120"/>
      <c r="BYS3" s="120"/>
      <c r="BYT3" s="120"/>
      <c r="BYU3" s="120"/>
      <c r="BYV3" s="120"/>
      <c r="BYW3" s="120"/>
      <c r="BYX3" s="120"/>
      <c r="BYY3" s="120"/>
      <c r="BYZ3" s="120"/>
      <c r="BZA3" s="120"/>
      <c r="BZB3" s="120"/>
      <c r="BZC3" s="120"/>
      <c r="BZD3" s="120"/>
      <c r="BZE3" s="120"/>
      <c r="BZF3" s="120"/>
      <c r="BZG3" s="120"/>
      <c r="BZH3" s="120"/>
      <c r="BZI3" s="120"/>
      <c r="BZJ3" s="120"/>
      <c r="BZK3" s="120"/>
      <c r="BZL3" s="120"/>
      <c r="BZM3" s="120"/>
      <c r="BZN3" s="120"/>
      <c r="BZO3" s="120"/>
      <c r="BZP3" s="120"/>
      <c r="BZQ3" s="120"/>
      <c r="BZR3" s="120"/>
      <c r="BZS3" s="120"/>
      <c r="BZT3" s="120"/>
      <c r="BZU3" s="120"/>
      <c r="BZV3" s="120"/>
      <c r="BZW3" s="120"/>
      <c r="BZX3" s="120"/>
      <c r="BZY3" s="120"/>
      <c r="BZZ3" s="120"/>
      <c r="CAA3" s="120"/>
      <c r="CAB3" s="120"/>
      <c r="CAC3" s="120"/>
      <c r="CAD3" s="120"/>
      <c r="CAE3" s="120"/>
      <c r="CAF3" s="120"/>
      <c r="CAG3" s="120"/>
      <c r="CAH3" s="120"/>
      <c r="CAI3" s="120"/>
      <c r="CAJ3" s="120"/>
      <c r="CAK3" s="120"/>
      <c r="CAL3" s="120"/>
      <c r="CAM3" s="120"/>
      <c r="CAN3" s="120"/>
      <c r="CAO3" s="120"/>
      <c r="CAP3" s="120"/>
      <c r="CAQ3" s="120"/>
      <c r="CAR3" s="120"/>
      <c r="CAS3" s="120"/>
      <c r="CAT3" s="120"/>
      <c r="CAU3" s="120"/>
      <c r="CAV3" s="120"/>
      <c r="CAW3" s="120"/>
      <c r="CAX3" s="120"/>
      <c r="CAY3" s="120"/>
      <c r="CAZ3" s="120"/>
      <c r="CBA3" s="120"/>
      <c r="CBB3" s="120"/>
      <c r="CBC3" s="120"/>
      <c r="CBD3" s="120"/>
      <c r="CBE3" s="120"/>
      <c r="CBF3" s="120"/>
      <c r="CBG3" s="120"/>
      <c r="CBH3" s="120"/>
      <c r="CBI3" s="120"/>
      <c r="CBJ3" s="120"/>
      <c r="CBK3" s="120"/>
      <c r="CBL3" s="120"/>
      <c r="CBM3" s="120"/>
      <c r="CBN3" s="120"/>
      <c r="CBO3" s="120"/>
      <c r="CBP3" s="120"/>
      <c r="CBQ3" s="120"/>
      <c r="CBR3" s="120"/>
      <c r="CBS3" s="120"/>
      <c r="CBT3" s="120"/>
      <c r="CBU3" s="120"/>
      <c r="CBV3" s="120"/>
      <c r="CBW3" s="120"/>
      <c r="CBX3" s="120"/>
      <c r="CBY3" s="120"/>
      <c r="CBZ3" s="120"/>
      <c r="CCA3" s="120"/>
      <c r="CCB3" s="120"/>
      <c r="CCC3" s="120"/>
      <c r="CCD3" s="120"/>
      <c r="CCE3" s="120"/>
      <c r="CCF3" s="120"/>
      <c r="CCG3" s="120"/>
      <c r="CCH3" s="120"/>
      <c r="CCI3" s="120"/>
      <c r="CCJ3" s="120"/>
      <c r="CCK3" s="120"/>
      <c r="CCL3" s="120"/>
      <c r="CCM3" s="120"/>
      <c r="CCN3" s="120"/>
      <c r="CCO3" s="120"/>
      <c r="CCP3" s="120"/>
      <c r="CCQ3" s="120"/>
      <c r="CCR3" s="120"/>
      <c r="CCS3" s="120"/>
      <c r="CCT3" s="120"/>
      <c r="CCU3" s="120"/>
      <c r="CCV3" s="120"/>
      <c r="CCW3" s="120"/>
      <c r="CCX3" s="120"/>
      <c r="CCY3" s="120"/>
      <c r="CCZ3" s="120"/>
      <c r="CDA3" s="120"/>
      <c r="CDB3" s="120"/>
      <c r="CDC3" s="120"/>
      <c r="CDD3" s="120"/>
      <c r="CDE3" s="120"/>
      <c r="CDF3" s="120"/>
      <c r="CDG3" s="120"/>
      <c r="CDH3" s="120"/>
      <c r="CDI3" s="120"/>
      <c r="CDJ3" s="120"/>
      <c r="CDK3" s="120"/>
      <c r="CDL3" s="120"/>
      <c r="CDM3" s="120"/>
      <c r="CDN3" s="120"/>
      <c r="CDO3" s="120"/>
      <c r="CDP3" s="120"/>
      <c r="CDQ3" s="120"/>
      <c r="CDR3" s="120"/>
      <c r="CDS3" s="120"/>
      <c r="CDT3" s="120"/>
      <c r="CDU3" s="120"/>
      <c r="CDV3" s="120"/>
      <c r="CDW3" s="120"/>
      <c r="CDX3" s="120"/>
      <c r="CDY3" s="120"/>
      <c r="CDZ3" s="120"/>
      <c r="CEA3" s="120"/>
      <c r="CEB3" s="120"/>
      <c r="CEC3" s="120"/>
      <c r="CED3" s="120"/>
      <c r="CEE3" s="120"/>
      <c r="CEF3" s="120"/>
      <c r="CEG3" s="120"/>
      <c r="CEH3" s="120"/>
      <c r="CEI3" s="120"/>
      <c r="CEJ3" s="120"/>
      <c r="CEK3" s="120"/>
      <c r="CEL3" s="120"/>
      <c r="CEM3" s="120"/>
      <c r="CEN3" s="120"/>
      <c r="CEO3" s="120"/>
      <c r="CEP3" s="120"/>
      <c r="CEQ3" s="120"/>
      <c r="CER3" s="120"/>
      <c r="CES3" s="120"/>
      <c r="CET3" s="120"/>
      <c r="CEU3" s="120"/>
      <c r="CEV3" s="120"/>
      <c r="CEW3" s="120"/>
      <c r="CEX3" s="120"/>
      <c r="CEY3" s="120"/>
      <c r="CEZ3" s="120"/>
      <c r="CFA3" s="120"/>
      <c r="CFB3" s="120"/>
      <c r="CFC3" s="120"/>
      <c r="CFD3" s="120"/>
      <c r="CFE3" s="120"/>
      <c r="CFF3" s="120"/>
      <c r="CFG3" s="120"/>
      <c r="CFH3" s="120"/>
      <c r="CFI3" s="120"/>
      <c r="CFJ3" s="120"/>
      <c r="CFK3" s="120"/>
      <c r="CFL3" s="120"/>
      <c r="CFM3" s="120"/>
      <c r="CFN3" s="120"/>
      <c r="CFO3" s="120"/>
      <c r="CFP3" s="120"/>
      <c r="CFQ3" s="120"/>
      <c r="CFR3" s="120"/>
      <c r="CFS3" s="120"/>
      <c r="CFT3" s="120"/>
      <c r="CFU3" s="120"/>
      <c r="CFV3" s="120"/>
      <c r="CFW3" s="120"/>
      <c r="CFX3" s="120"/>
      <c r="CFY3" s="120"/>
      <c r="CFZ3" s="120"/>
      <c r="CGA3" s="120"/>
      <c r="CGB3" s="120"/>
      <c r="CGC3" s="120"/>
      <c r="CGD3" s="120"/>
      <c r="CGE3" s="120"/>
      <c r="CGF3" s="120"/>
      <c r="CGG3" s="120"/>
      <c r="CGH3" s="120"/>
      <c r="CGI3" s="120"/>
      <c r="CGJ3" s="120"/>
      <c r="CGK3" s="120"/>
      <c r="CGL3" s="120"/>
      <c r="CGM3" s="120"/>
      <c r="CGN3" s="120"/>
      <c r="CGO3" s="120"/>
      <c r="CGP3" s="120"/>
      <c r="CGQ3" s="120"/>
      <c r="CGR3" s="120"/>
      <c r="CGS3" s="120"/>
      <c r="CGT3" s="120"/>
      <c r="CGU3" s="120"/>
      <c r="CGV3" s="120"/>
      <c r="CGW3" s="120"/>
      <c r="CGX3" s="120"/>
      <c r="CGY3" s="120"/>
      <c r="CGZ3" s="120"/>
      <c r="CHA3" s="120"/>
      <c r="CHB3" s="120"/>
      <c r="CHC3" s="120"/>
      <c r="CHD3" s="120"/>
      <c r="CHE3" s="120"/>
      <c r="CHF3" s="120"/>
      <c r="CHG3" s="120"/>
      <c r="CHH3" s="120"/>
      <c r="CHI3" s="120"/>
      <c r="CHJ3" s="120"/>
      <c r="CHK3" s="120"/>
      <c r="CHL3" s="120"/>
      <c r="CHM3" s="120"/>
      <c r="CHN3" s="120"/>
      <c r="CHO3" s="120"/>
      <c r="CHP3" s="120"/>
      <c r="CHQ3" s="120"/>
      <c r="CHR3" s="120"/>
      <c r="CHS3" s="120"/>
      <c r="CHT3" s="120"/>
      <c r="CHU3" s="120"/>
      <c r="CHV3" s="120"/>
      <c r="CHW3" s="120"/>
      <c r="CHX3" s="120"/>
      <c r="CHY3" s="120"/>
      <c r="CHZ3" s="120"/>
      <c r="CIA3" s="120"/>
      <c r="CIB3" s="120"/>
      <c r="CIC3" s="120"/>
      <c r="CID3" s="120"/>
      <c r="CIE3" s="120"/>
      <c r="CIF3" s="120"/>
      <c r="CIG3" s="120"/>
      <c r="CIH3" s="120"/>
      <c r="CII3" s="120"/>
      <c r="CIJ3" s="120"/>
      <c r="CIK3" s="120"/>
      <c r="CIL3" s="120"/>
      <c r="CIM3" s="120"/>
      <c r="CIN3" s="120"/>
      <c r="CIO3" s="120"/>
      <c r="CIP3" s="120"/>
      <c r="CIQ3" s="120"/>
      <c r="CIR3" s="120"/>
      <c r="CIS3" s="120"/>
      <c r="CIT3" s="120"/>
      <c r="CIU3" s="120"/>
      <c r="CIV3" s="120"/>
      <c r="CIW3" s="120"/>
      <c r="CIX3" s="120"/>
      <c r="CIY3" s="120"/>
      <c r="CIZ3" s="120"/>
      <c r="CJA3" s="120"/>
      <c r="CJB3" s="120"/>
      <c r="CJC3" s="120"/>
      <c r="CJD3" s="120"/>
      <c r="CJE3" s="120"/>
      <c r="CJF3" s="120"/>
      <c r="CJG3" s="120"/>
      <c r="CJH3" s="120"/>
      <c r="CJI3" s="120"/>
      <c r="CJJ3" s="120"/>
      <c r="CJK3" s="120"/>
      <c r="CJL3" s="120"/>
      <c r="CJM3" s="120"/>
      <c r="CJN3" s="120"/>
      <c r="CJO3" s="120"/>
      <c r="CJP3" s="120"/>
      <c r="CJQ3" s="120"/>
      <c r="CJR3" s="120"/>
      <c r="CJS3" s="120"/>
      <c r="CJT3" s="120"/>
      <c r="CJU3" s="120"/>
      <c r="CJV3" s="120"/>
      <c r="CJW3" s="120"/>
      <c r="CJX3" s="120"/>
      <c r="CJY3" s="120"/>
      <c r="CJZ3" s="120"/>
      <c r="CKA3" s="120"/>
      <c r="CKB3" s="120"/>
      <c r="CKC3" s="120"/>
      <c r="CKD3" s="120"/>
      <c r="CKE3" s="120"/>
      <c r="CKF3" s="120"/>
      <c r="CKG3" s="120"/>
      <c r="CKH3" s="120"/>
      <c r="CKI3" s="120"/>
      <c r="CKJ3" s="120"/>
      <c r="CKK3" s="120"/>
      <c r="CKL3" s="120"/>
      <c r="CKM3" s="120"/>
      <c r="CKN3" s="120"/>
      <c r="CKO3" s="120"/>
      <c r="CKP3" s="120"/>
      <c r="CKQ3" s="120"/>
      <c r="CKR3" s="120"/>
      <c r="CKS3" s="120"/>
      <c r="CKT3" s="120"/>
      <c r="CKU3" s="120"/>
      <c r="CKV3" s="120"/>
      <c r="CKW3" s="120"/>
      <c r="CKX3" s="120"/>
      <c r="CKY3" s="120"/>
      <c r="CKZ3" s="120"/>
      <c r="CLA3" s="120"/>
      <c r="CLB3" s="120"/>
      <c r="CLC3" s="120"/>
      <c r="CLD3" s="120"/>
      <c r="CLE3" s="120"/>
      <c r="CLF3" s="120"/>
      <c r="CLG3" s="120"/>
      <c r="CLH3" s="120"/>
      <c r="CLI3" s="120"/>
      <c r="CLJ3" s="120"/>
      <c r="CLK3" s="120"/>
      <c r="CLL3" s="120"/>
      <c r="CLM3" s="120"/>
      <c r="CLN3" s="120"/>
      <c r="CLO3" s="120"/>
      <c r="CLP3" s="120"/>
      <c r="CLQ3" s="120"/>
      <c r="CLR3" s="120"/>
      <c r="CLS3" s="120"/>
      <c r="CLT3" s="120"/>
      <c r="CLU3" s="120"/>
      <c r="CLV3" s="120"/>
      <c r="CLW3" s="120"/>
      <c r="CLX3" s="120"/>
      <c r="CLY3" s="120"/>
      <c r="CLZ3" s="120"/>
      <c r="CMA3" s="120"/>
      <c r="CMB3" s="120"/>
      <c r="CMC3" s="120"/>
      <c r="CMD3" s="120"/>
      <c r="CME3" s="120"/>
      <c r="CMF3" s="120"/>
      <c r="CMG3" s="120"/>
      <c r="CMH3" s="120"/>
      <c r="CMI3" s="120"/>
      <c r="CMJ3" s="120"/>
      <c r="CMK3" s="120"/>
      <c r="CML3" s="120"/>
      <c r="CMM3" s="120"/>
      <c r="CMN3" s="120"/>
      <c r="CMO3" s="120"/>
      <c r="CMP3" s="120"/>
      <c r="CMQ3" s="120"/>
      <c r="CMR3" s="120"/>
      <c r="CMS3" s="120"/>
      <c r="CMT3" s="120"/>
      <c r="CMU3" s="120"/>
      <c r="CMV3" s="120"/>
      <c r="CMW3" s="120"/>
      <c r="CMX3" s="120"/>
      <c r="CMY3" s="120"/>
      <c r="CMZ3" s="120"/>
      <c r="CNA3" s="120"/>
      <c r="CNB3" s="120"/>
      <c r="CNC3" s="120"/>
      <c r="CND3" s="120"/>
      <c r="CNE3" s="120"/>
      <c r="CNF3" s="120"/>
      <c r="CNG3" s="120"/>
      <c r="CNH3" s="120"/>
      <c r="CNI3" s="120"/>
      <c r="CNJ3" s="120"/>
      <c r="CNK3" s="120"/>
      <c r="CNL3" s="120"/>
      <c r="CNM3" s="120"/>
      <c r="CNN3" s="120"/>
      <c r="CNO3" s="120"/>
      <c r="CNP3" s="120"/>
      <c r="CNQ3" s="120"/>
      <c r="CNR3" s="120"/>
      <c r="CNS3" s="120"/>
      <c r="CNT3" s="120"/>
      <c r="CNU3" s="120"/>
      <c r="CNV3" s="120"/>
      <c r="CNW3" s="120"/>
      <c r="CNX3" s="120"/>
      <c r="CNY3" s="120"/>
      <c r="CNZ3" s="120"/>
      <c r="COA3" s="120"/>
      <c r="COB3" s="120"/>
      <c r="COC3" s="120"/>
      <c r="COD3" s="120"/>
      <c r="COE3" s="120"/>
      <c r="COF3" s="120"/>
      <c r="COG3" s="120"/>
      <c r="COH3" s="120"/>
      <c r="COI3" s="120"/>
      <c r="COJ3" s="120"/>
      <c r="COK3" s="120"/>
      <c r="COL3" s="120"/>
      <c r="COM3" s="120"/>
      <c r="CON3" s="120"/>
      <c r="COO3" s="120"/>
      <c r="COP3" s="120"/>
      <c r="COQ3" s="120"/>
      <c r="COR3" s="120"/>
      <c r="COS3" s="120"/>
      <c r="COT3" s="120"/>
      <c r="COU3" s="120"/>
      <c r="COV3" s="120"/>
      <c r="COW3" s="120"/>
      <c r="COX3" s="120"/>
      <c r="COY3" s="120"/>
      <c r="COZ3" s="120"/>
      <c r="CPA3" s="120"/>
      <c r="CPB3" s="120"/>
      <c r="CPC3" s="120"/>
      <c r="CPD3" s="120"/>
      <c r="CPE3" s="120"/>
      <c r="CPF3" s="120"/>
      <c r="CPG3" s="120"/>
      <c r="CPH3" s="120"/>
      <c r="CPI3" s="120"/>
      <c r="CPJ3" s="120"/>
      <c r="CPK3" s="120"/>
      <c r="CPL3" s="120"/>
      <c r="CPM3" s="120"/>
      <c r="CPN3" s="120"/>
      <c r="CPO3" s="120"/>
      <c r="CPP3" s="120"/>
      <c r="CPQ3" s="120"/>
      <c r="CPR3" s="120"/>
      <c r="CPS3" s="120"/>
      <c r="CPT3" s="120"/>
      <c r="CPU3" s="120"/>
      <c r="CPV3" s="120"/>
      <c r="CPW3" s="120"/>
      <c r="CPX3" s="120"/>
      <c r="CPY3" s="120"/>
      <c r="CPZ3" s="120"/>
      <c r="CQA3" s="120"/>
      <c r="CQB3" s="120"/>
      <c r="CQC3" s="120"/>
      <c r="CQD3" s="120"/>
      <c r="CQE3" s="120"/>
      <c r="CQF3" s="120"/>
      <c r="CQG3" s="120"/>
      <c r="CQH3" s="120"/>
      <c r="CQI3" s="120"/>
      <c r="CQJ3" s="120"/>
      <c r="CQK3" s="120"/>
      <c r="CQL3" s="120"/>
      <c r="CQM3" s="120"/>
      <c r="CQN3" s="120"/>
      <c r="CQO3" s="120"/>
      <c r="CQP3" s="120"/>
      <c r="CQQ3" s="120"/>
      <c r="CQR3" s="120"/>
      <c r="CQS3" s="120"/>
      <c r="CQT3" s="120"/>
      <c r="CQU3" s="120"/>
      <c r="CQV3" s="120"/>
      <c r="CQW3" s="120"/>
      <c r="CQX3" s="120"/>
      <c r="CQY3" s="120"/>
      <c r="CQZ3" s="120"/>
      <c r="CRA3" s="120"/>
      <c r="CRB3" s="120"/>
      <c r="CRC3" s="120"/>
      <c r="CRD3" s="120"/>
      <c r="CRE3" s="120"/>
      <c r="CRF3" s="120"/>
      <c r="CRG3" s="120"/>
      <c r="CRH3" s="120"/>
      <c r="CRI3" s="120"/>
      <c r="CRJ3" s="120"/>
      <c r="CRK3" s="120"/>
      <c r="CRL3" s="120"/>
      <c r="CRM3" s="120"/>
      <c r="CRN3" s="120"/>
      <c r="CRO3" s="120"/>
      <c r="CRP3" s="120"/>
      <c r="CRQ3" s="120"/>
      <c r="CRR3" s="120"/>
      <c r="CRS3" s="120"/>
      <c r="CRT3" s="120"/>
      <c r="CRU3" s="120"/>
      <c r="CRV3" s="120"/>
      <c r="CRW3" s="120"/>
      <c r="CRX3" s="120"/>
      <c r="CRY3" s="120"/>
      <c r="CRZ3" s="120"/>
      <c r="CSA3" s="120"/>
      <c r="CSB3" s="120"/>
      <c r="CSC3" s="120"/>
      <c r="CSD3" s="120"/>
      <c r="CSE3" s="120"/>
      <c r="CSF3" s="120"/>
      <c r="CSG3" s="120"/>
      <c r="CSH3" s="120"/>
      <c r="CSI3" s="120"/>
      <c r="CSJ3" s="120"/>
      <c r="CSK3" s="120"/>
      <c r="CSL3" s="120"/>
      <c r="CSM3" s="120"/>
      <c r="CSN3" s="120"/>
      <c r="CSO3" s="120"/>
      <c r="CSP3" s="120"/>
      <c r="CSQ3" s="120"/>
      <c r="CSR3" s="120"/>
      <c r="CSS3" s="120"/>
      <c r="CST3" s="120"/>
      <c r="CSU3" s="120"/>
      <c r="CSV3" s="120"/>
      <c r="CSW3" s="120"/>
      <c r="CSX3" s="120"/>
      <c r="CSY3" s="120"/>
      <c r="CSZ3" s="120"/>
      <c r="CTA3" s="120"/>
      <c r="CTB3" s="120"/>
      <c r="CTC3" s="120"/>
      <c r="CTD3" s="120"/>
      <c r="CTE3" s="120"/>
      <c r="CTF3" s="120"/>
      <c r="CTG3" s="120"/>
      <c r="CTH3" s="120"/>
      <c r="CTI3" s="120"/>
      <c r="CTJ3" s="120"/>
      <c r="CTK3" s="120"/>
      <c r="CTL3" s="120"/>
      <c r="CTM3" s="120"/>
      <c r="CTN3" s="120"/>
      <c r="CTO3" s="120"/>
      <c r="CTP3" s="120"/>
      <c r="CTQ3" s="120"/>
      <c r="CTR3" s="120"/>
      <c r="CTS3" s="120"/>
      <c r="CTT3" s="120"/>
      <c r="CTU3" s="120"/>
      <c r="CTV3" s="120"/>
      <c r="CTW3" s="120"/>
      <c r="CTX3" s="120"/>
      <c r="CTY3" s="120"/>
      <c r="CTZ3" s="120"/>
      <c r="CUA3" s="120"/>
      <c r="CUB3" s="120"/>
      <c r="CUC3" s="120"/>
      <c r="CUD3" s="120"/>
      <c r="CUE3" s="120"/>
      <c r="CUF3" s="120"/>
      <c r="CUG3" s="120"/>
      <c r="CUH3" s="120"/>
      <c r="CUI3" s="120"/>
      <c r="CUJ3" s="120"/>
      <c r="CUK3" s="120"/>
      <c r="CUL3" s="120"/>
      <c r="CUM3" s="120"/>
      <c r="CUN3" s="120"/>
      <c r="CUO3" s="120"/>
      <c r="CUP3" s="120"/>
      <c r="CUQ3" s="120"/>
      <c r="CUR3" s="120"/>
      <c r="CUS3" s="120"/>
      <c r="CUT3" s="120"/>
      <c r="CUU3" s="120"/>
      <c r="CUV3" s="120"/>
      <c r="CUW3" s="120"/>
      <c r="CUX3" s="120"/>
      <c r="CUY3" s="120"/>
      <c r="CUZ3" s="120"/>
      <c r="CVA3" s="120"/>
      <c r="CVB3" s="120"/>
      <c r="CVC3" s="120"/>
      <c r="CVD3" s="120"/>
      <c r="CVE3" s="120"/>
      <c r="CVF3" s="120"/>
      <c r="CVG3" s="120"/>
      <c r="CVH3" s="120"/>
      <c r="CVI3" s="120"/>
      <c r="CVJ3" s="120"/>
      <c r="CVK3" s="120"/>
      <c r="CVL3" s="120"/>
      <c r="CVM3" s="120"/>
      <c r="CVN3" s="120"/>
      <c r="CVO3" s="120"/>
      <c r="CVP3" s="120"/>
      <c r="CVQ3" s="120"/>
      <c r="CVR3" s="120"/>
      <c r="CVS3" s="120"/>
      <c r="CVT3" s="120"/>
      <c r="CVU3" s="120"/>
      <c r="CVV3" s="120"/>
      <c r="CVW3" s="120"/>
      <c r="CVX3" s="120"/>
      <c r="CVY3" s="120"/>
      <c r="CVZ3" s="120"/>
      <c r="CWA3" s="120"/>
      <c r="CWB3" s="120"/>
      <c r="CWC3" s="120"/>
      <c r="CWD3" s="120"/>
      <c r="CWE3" s="120"/>
      <c r="CWF3" s="120"/>
      <c r="CWG3" s="120"/>
      <c r="CWH3" s="120"/>
      <c r="CWI3" s="120"/>
      <c r="CWJ3" s="120"/>
      <c r="CWK3" s="120"/>
      <c r="CWL3" s="120"/>
      <c r="CWM3" s="120"/>
      <c r="CWN3" s="120"/>
      <c r="CWO3" s="120"/>
      <c r="CWP3" s="120"/>
      <c r="CWQ3" s="120"/>
      <c r="CWR3" s="120"/>
      <c r="CWS3" s="120"/>
      <c r="CWT3" s="120"/>
      <c r="CWU3" s="120"/>
      <c r="CWV3" s="120"/>
      <c r="CWW3" s="120"/>
      <c r="CWX3" s="120"/>
      <c r="CWY3" s="120"/>
      <c r="CWZ3" s="120"/>
      <c r="CXA3" s="120"/>
      <c r="CXB3" s="120"/>
      <c r="CXC3" s="120"/>
      <c r="CXD3" s="120"/>
      <c r="CXE3" s="120"/>
      <c r="CXF3" s="120"/>
      <c r="CXG3" s="120"/>
      <c r="CXH3" s="120"/>
      <c r="CXI3" s="120"/>
      <c r="CXJ3" s="120"/>
      <c r="CXK3" s="120"/>
      <c r="CXL3" s="120"/>
      <c r="CXM3" s="120"/>
      <c r="CXN3" s="120"/>
      <c r="CXO3" s="120"/>
      <c r="CXP3" s="120"/>
      <c r="CXQ3" s="120"/>
      <c r="CXR3" s="120"/>
      <c r="CXS3" s="120"/>
      <c r="CXT3" s="120"/>
      <c r="CXU3" s="120"/>
      <c r="CXV3" s="120"/>
      <c r="CXW3" s="120"/>
      <c r="CXX3" s="120"/>
      <c r="CXY3" s="120"/>
      <c r="CXZ3" s="120"/>
      <c r="CYA3" s="120"/>
      <c r="CYB3" s="120"/>
      <c r="CYC3" s="120"/>
      <c r="CYD3" s="120"/>
      <c r="CYE3" s="120"/>
      <c r="CYF3" s="120"/>
      <c r="CYG3" s="120"/>
      <c r="CYH3" s="120"/>
      <c r="CYI3" s="120"/>
      <c r="CYJ3" s="120"/>
      <c r="CYK3" s="120"/>
      <c r="CYL3" s="120"/>
      <c r="CYM3" s="120"/>
      <c r="CYN3" s="120"/>
      <c r="CYO3" s="120"/>
      <c r="CYP3" s="120"/>
      <c r="CYQ3" s="120"/>
      <c r="CYR3" s="120"/>
      <c r="CYS3" s="120"/>
      <c r="CYT3" s="120"/>
      <c r="CYU3" s="120"/>
      <c r="CYV3" s="120"/>
      <c r="CYW3" s="120"/>
      <c r="CYX3" s="120"/>
      <c r="CYY3" s="120"/>
      <c r="CYZ3" s="120"/>
      <c r="CZA3" s="120"/>
      <c r="CZB3" s="120"/>
      <c r="CZC3" s="120"/>
      <c r="CZD3" s="120"/>
      <c r="CZE3" s="120"/>
      <c r="CZF3" s="120"/>
      <c r="CZG3" s="120"/>
      <c r="CZH3" s="120"/>
      <c r="CZI3" s="120"/>
      <c r="CZJ3" s="120"/>
      <c r="CZK3" s="120"/>
      <c r="CZL3" s="120"/>
      <c r="CZM3" s="120"/>
      <c r="CZN3" s="120"/>
      <c r="CZO3" s="120"/>
      <c r="CZP3" s="120"/>
      <c r="CZQ3" s="120"/>
      <c r="CZR3" s="120"/>
      <c r="CZS3" s="120"/>
      <c r="CZT3" s="120"/>
      <c r="CZU3" s="120"/>
      <c r="CZV3" s="120"/>
      <c r="CZW3" s="120"/>
      <c r="CZX3" s="120"/>
      <c r="CZY3" s="120"/>
      <c r="CZZ3" s="120"/>
      <c r="DAA3" s="120"/>
      <c r="DAB3" s="120"/>
      <c r="DAC3" s="120"/>
      <c r="DAD3" s="120"/>
      <c r="DAE3" s="120"/>
      <c r="DAF3" s="120"/>
      <c r="DAG3" s="120"/>
      <c r="DAH3" s="120"/>
      <c r="DAI3" s="120"/>
      <c r="DAJ3" s="120"/>
      <c r="DAK3" s="120"/>
      <c r="DAL3" s="120"/>
      <c r="DAM3" s="120"/>
      <c r="DAN3" s="120"/>
      <c r="DAO3" s="120"/>
      <c r="DAP3" s="120"/>
      <c r="DAQ3" s="120"/>
      <c r="DAR3" s="120"/>
      <c r="DAS3" s="120"/>
      <c r="DAT3" s="120"/>
      <c r="DAU3" s="120"/>
      <c r="DAV3" s="120"/>
      <c r="DAW3" s="120"/>
      <c r="DAX3" s="120"/>
      <c r="DAY3" s="120"/>
      <c r="DAZ3" s="120"/>
      <c r="DBA3" s="120"/>
      <c r="DBB3" s="120"/>
      <c r="DBC3" s="120"/>
      <c r="DBD3" s="120"/>
      <c r="DBE3" s="120"/>
      <c r="DBF3" s="120"/>
      <c r="DBG3" s="120"/>
      <c r="DBH3" s="120"/>
      <c r="DBI3" s="120"/>
      <c r="DBJ3" s="120"/>
      <c r="DBK3" s="120"/>
      <c r="DBL3" s="120"/>
      <c r="DBM3" s="120"/>
      <c r="DBN3" s="120"/>
      <c r="DBO3" s="120"/>
      <c r="DBP3" s="120"/>
      <c r="DBQ3" s="120"/>
      <c r="DBR3" s="120"/>
      <c r="DBS3" s="120"/>
      <c r="DBT3" s="120"/>
      <c r="DBU3" s="120"/>
      <c r="DBV3" s="120"/>
      <c r="DBW3" s="120"/>
      <c r="DBX3" s="120"/>
      <c r="DBY3" s="120"/>
      <c r="DBZ3" s="120"/>
      <c r="DCA3" s="120"/>
      <c r="DCB3" s="120"/>
      <c r="DCC3" s="120"/>
      <c r="DCD3" s="120"/>
      <c r="DCE3" s="120"/>
      <c r="DCF3" s="120"/>
      <c r="DCG3" s="120"/>
      <c r="DCH3" s="120"/>
      <c r="DCI3" s="120"/>
      <c r="DCJ3" s="120"/>
      <c r="DCK3" s="120"/>
      <c r="DCL3" s="120"/>
      <c r="DCM3" s="120"/>
      <c r="DCN3" s="120"/>
      <c r="DCO3" s="120"/>
      <c r="DCP3" s="120"/>
      <c r="DCQ3" s="120"/>
      <c r="DCR3" s="120"/>
      <c r="DCS3" s="120"/>
      <c r="DCT3" s="120"/>
      <c r="DCU3" s="120"/>
      <c r="DCV3" s="120"/>
      <c r="DCW3" s="120"/>
      <c r="DCX3" s="120"/>
      <c r="DCY3" s="120"/>
      <c r="DCZ3" s="120"/>
      <c r="DDA3" s="120"/>
      <c r="DDB3" s="120"/>
      <c r="DDC3" s="120"/>
      <c r="DDD3" s="120"/>
      <c r="DDE3" s="120"/>
      <c r="DDF3" s="120"/>
      <c r="DDG3" s="120"/>
      <c r="DDH3" s="120"/>
      <c r="DDI3" s="120"/>
      <c r="DDJ3" s="120"/>
      <c r="DDK3" s="120"/>
      <c r="DDL3" s="120"/>
      <c r="DDM3" s="120"/>
      <c r="DDN3" s="120"/>
      <c r="DDO3" s="120"/>
      <c r="DDP3" s="120"/>
      <c r="DDQ3" s="120"/>
      <c r="DDR3" s="120"/>
      <c r="DDS3" s="120"/>
      <c r="DDT3" s="120"/>
      <c r="DDU3" s="120"/>
      <c r="DDV3" s="120"/>
      <c r="DDW3" s="120"/>
      <c r="DDX3" s="120"/>
      <c r="DDY3" s="120"/>
      <c r="DDZ3" s="120"/>
      <c r="DEA3" s="120"/>
      <c r="DEB3" s="120"/>
      <c r="DEC3" s="120"/>
      <c r="DED3" s="120"/>
      <c r="DEE3" s="120"/>
      <c r="DEF3" s="120"/>
      <c r="DEG3" s="120"/>
      <c r="DEH3" s="120"/>
      <c r="DEI3" s="120"/>
      <c r="DEJ3" s="120"/>
      <c r="DEK3" s="120"/>
      <c r="DEL3" s="120"/>
      <c r="DEM3" s="120"/>
      <c r="DEN3" s="120"/>
      <c r="DEO3" s="120"/>
      <c r="DEP3" s="120"/>
      <c r="DEQ3" s="120"/>
      <c r="DER3" s="120"/>
      <c r="DES3" s="120"/>
      <c r="DET3" s="120"/>
      <c r="DEU3" s="120"/>
      <c r="DEV3" s="120"/>
      <c r="DEW3" s="120"/>
      <c r="DEX3" s="120"/>
      <c r="DEY3" s="120"/>
      <c r="DEZ3" s="120"/>
      <c r="DFA3" s="120"/>
      <c r="DFB3" s="120"/>
      <c r="DFC3" s="120"/>
      <c r="DFD3" s="120"/>
      <c r="DFE3" s="120"/>
      <c r="DFF3" s="120"/>
      <c r="DFG3" s="120"/>
      <c r="DFH3" s="120"/>
      <c r="DFI3" s="120"/>
      <c r="DFJ3" s="120"/>
      <c r="DFK3" s="120"/>
      <c r="DFL3" s="120"/>
      <c r="DFM3" s="120"/>
      <c r="DFN3" s="120"/>
      <c r="DFO3" s="120"/>
      <c r="DFP3" s="120"/>
      <c r="DFQ3" s="120"/>
      <c r="DFR3" s="120"/>
      <c r="DFS3" s="120"/>
      <c r="DFT3" s="120"/>
      <c r="DFU3" s="120"/>
      <c r="DFV3" s="120"/>
      <c r="DFW3" s="120"/>
      <c r="DFX3" s="120"/>
      <c r="DFY3" s="120"/>
      <c r="DFZ3" s="120"/>
      <c r="DGA3" s="120"/>
      <c r="DGB3" s="120"/>
      <c r="DGC3" s="120"/>
      <c r="DGD3" s="120"/>
      <c r="DGE3" s="120"/>
      <c r="DGF3" s="120"/>
      <c r="DGG3" s="120"/>
      <c r="DGH3" s="120"/>
      <c r="DGI3" s="120"/>
      <c r="DGJ3" s="120"/>
      <c r="DGK3" s="120"/>
      <c r="DGL3" s="120"/>
      <c r="DGM3" s="120"/>
      <c r="DGN3" s="120"/>
      <c r="DGO3" s="120"/>
      <c r="DGP3" s="120"/>
      <c r="DGQ3" s="120"/>
      <c r="DGR3" s="120"/>
      <c r="DGS3" s="120"/>
      <c r="DGT3" s="120"/>
      <c r="DGU3" s="120"/>
      <c r="DGV3" s="120"/>
      <c r="DGW3" s="120"/>
      <c r="DGX3" s="120"/>
      <c r="DGY3" s="120"/>
      <c r="DGZ3" s="120"/>
      <c r="DHA3" s="120"/>
      <c r="DHB3" s="120"/>
      <c r="DHC3" s="120"/>
      <c r="DHD3" s="120"/>
      <c r="DHE3" s="120"/>
      <c r="DHF3" s="120"/>
      <c r="DHG3" s="120"/>
      <c r="DHH3" s="120"/>
      <c r="DHI3" s="120"/>
      <c r="DHJ3" s="120"/>
      <c r="DHK3" s="120"/>
      <c r="DHL3" s="120"/>
      <c r="DHM3" s="120"/>
      <c r="DHN3" s="120"/>
      <c r="DHO3" s="120"/>
      <c r="DHP3" s="120"/>
      <c r="DHQ3" s="120"/>
      <c r="DHR3" s="120"/>
      <c r="DHS3" s="120"/>
      <c r="DHT3" s="120"/>
      <c r="DHU3" s="120"/>
      <c r="DHV3" s="120"/>
      <c r="DHW3" s="120"/>
      <c r="DHX3" s="120"/>
      <c r="DHY3" s="120"/>
      <c r="DHZ3" s="120"/>
      <c r="DIA3" s="120"/>
      <c r="DIB3" s="120"/>
      <c r="DIC3" s="120"/>
      <c r="DID3" s="120"/>
      <c r="DIE3" s="120"/>
      <c r="DIF3" s="120"/>
      <c r="DIG3" s="120"/>
      <c r="DIH3" s="120"/>
      <c r="DII3" s="120"/>
      <c r="DIJ3" s="120"/>
      <c r="DIK3" s="120"/>
      <c r="DIL3" s="120"/>
      <c r="DIM3" s="120"/>
      <c r="DIN3" s="120"/>
      <c r="DIO3" s="120"/>
      <c r="DIP3" s="120"/>
      <c r="DIQ3" s="120"/>
      <c r="DIR3" s="120"/>
      <c r="DIS3" s="120"/>
      <c r="DIT3" s="120"/>
      <c r="DIU3" s="120"/>
      <c r="DIV3" s="120"/>
      <c r="DIW3" s="120"/>
      <c r="DIX3" s="120"/>
      <c r="DIY3" s="120"/>
      <c r="DIZ3" s="120"/>
      <c r="DJA3" s="120"/>
      <c r="DJB3" s="120"/>
      <c r="DJC3" s="120"/>
      <c r="DJD3" s="120"/>
      <c r="DJE3" s="120"/>
      <c r="DJF3" s="120"/>
      <c r="DJG3" s="120"/>
      <c r="DJH3" s="120"/>
      <c r="DJI3" s="120"/>
      <c r="DJJ3" s="120"/>
      <c r="DJK3" s="120"/>
      <c r="DJL3" s="120"/>
      <c r="DJM3" s="120"/>
      <c r="DJN3" s="120"/>
      <c r="DJO3" s="120"/>
      <c r="DJP3" s="120"/>
      <c r="DJQ3" s="120"/>
      <c r="DJR3" s="120"/>
      <c r="DJS3" s="120"/>
      <c r="DJT3" s="120"/>
      <c r="DJU3" s="120"/>
      <c r="DJV3" s="120"/>
      <c r="DJW3" s="120"/>
      <c r="DJX3" s="120"/>
      <c r="DJY3" s="120"/>
      <c r="DJZ3" s="120"/>
      <c r="DKA3" s="120"/>
      <c r="DKB3" s="120"/>
      <c r="DKC3" s="120"/>
      <c r="DKD3" s="120"/>
      <c r="DKE3" s="120"/>
      <c r="DKF3" s="120"/>
      <c r="DKG3" s="120"/>
      <c r="DKH3" s="120"/>
      <c r="DKI3" s="120"/>
      <c r="DKJ3" s="120"/>
      <c r="DKK3" s="120"/>
      <c r="DKL3" s="120"/>
      <c r="DKM3" s="120"/>
      <c r="DKN3" s="120"/>
      <c r="DKO3" s="120"/>
      <c r="DKP3" s="120"/>
      <c r="DKQ3" s="120"/>
      <c r="DKR3" s="120"/>
      <c r="DKS3" s="120"/>
      <c r="DKT3" s="120"/>
      <c r="DKU3" s="120"/>
      <c r="DKV3" s="120"/>
      <c r="DKW3" s="120"/>
      <c r="DKX3" s="120"/>
      <c r="DKY3" s="120"/>
      <c r="DKZ3" s="120"/>
      <c r="DLA3" s="120"/>
      <c r="DLB3" s="120"/>
      <c r="DLC3" s="120"/>
      <c r="DLD3" s="120"/>
      <c r="DLE3" s="120"/>
      <c r="DLF3" s="120"/>
      <c r="DLG3" s="120"/>
      <c r="DLH3" s="120"/>
      <c r="DLI3" s="120"/>
      <c r="DLJ3" s="120"/>
      <c r="DLK3" s="120"/>
      <c r="DLL3" s="120"/>
      <c r="DLM3" s="120"/>
      <c r="DLN3" s="120"/>
      <c r="DLO3" s="120"/>
      <c r="DLP3" s="120"/>
      <c r="DLQ3" s="120"/>
      <c r="DLR3" s="120"/>
      <c r="DLS3" s="120"/>
      <c r="DLT3" s="120"/>
      <c r="DLU3" s="120"/>
      <c r="DLV3" s="120"/>
      <c r="DLW3" s="120"/>
      <c r="DLX3" s="120"/>
      <c r="DLY3" s="120"/>
      <c r="DLZ3" s="120"/>
      <c r="DMA3" s="120"/>
      <c r="DMB3" s="120"/>
      <c r="DMC3" s="120"/>
      <c r="DMD3" s="120"/>
      <c r="DME3" s="120"/>
      <c r="DMF3" s="120"/>
      <c r="DMG3" s="120"/>
      <c r="DMH3" s="120"/>
      <c r="DMI3" s="120"/>
      <c r="DMJ3" s="120"/>
      <c r="DMK3" s="120"/>
      <c r="DML3" s="120"/>
      <c r="DMM3" s="120"/>
      <c r="DMN3" s="120"/>
      <c r="DMO3" s="120"/>
      <c r="DMP3" s="120"/>
      <c r="DMQ3" s="120"/>
      <c r="DMR3" s="120"/>
      <c r="DMS3" s="120"/>
      <c r="DMT3" s="120"/>
      <c r="DMU3" s="120"/>
      <c r="DMV3" s="120"/>
      <c r="DMW3" s="120"/>
      <c r="DMX3" s="120"/>
      <c r="DMY3" s="120"/>
      <c r="DMZ3" s="120"/>
      <c r="DNA3" s="120"/>
      <c r="DNB3" s="120"/>
      <c r="DNC3" s="120"/>
      <c r="DND3" s="120"/>
      <c r="DNE3" s="120"/>
      <c r="DNF3" s="120"/>
      <c r="DNG3" s="120"/>
      <c r="DNH3" s="120"/>
      <c r="DNI3" s="120"/>
      <c r="DNJ3" s="120"/>
      <c r="DNK3" s="120"/>
      <c r="DNL3" s="120"/>
      <c r="DNM3" s="120"/>
      <c r="DNN3" s="120"/>
      <c r="DNO3" s="120"/>
      <c r="DNP3" s="120"/>
      <c r="DNQ3" s="120"/>
      <c r="DNR3" s="120"/>
      <c r="DNS3" s="120"/>
      <c r="DNT3" s="120"/>
      <c r="DNU3" s="120"/>
      <c r="DNV3" s="120"/>
      <c r="DNW3" s="120"/>
      <c r="DNX3" s="120"/>
      <c r="DNY3" s="120"/>
      <c r="DNZ3" s="120"/>
      <c r="DOA3" s="120"/>
      <c r="DOB3" s="120"/>
      <c r="DOC3" s="120"/>
      <c r="DOD3" s="120"/>
      <c r="DOE3" s="120"/>
      <c r="DOF3" s="120"/>
      <c r="DOG3" s="120"/>
      <c r="DOH3" s="120"/>
      <c r="DOI3" s="120"/>
      <c r="DOJ3" s="120"/>
      <c r="DOK3" s="120"/>
      <c r="DOL3" s="120"/>
      <c r="DOM3" s="120"/>
      <c r="DON3" s="120"/>
      <c r="DOO3" s="120"/>
      <c r="DOP3" s="120"/>
      <c r="DOQ3" s="120"/>
      <c r="DOR3" s="120"/>
      <c r="DOS3" s="120"/>
      <c r="DOT3" s="120"/>
      <c r="DOU3" s="120"/>
      <c r="DOV3" s="120"/>
      <c r="DOW3" s="120"/>
      <c r="DOX3" s="120"/>
      <c r="DOY3" s="120"/>
      <c r="DOZ3" s="120"/>
      <c r="DPA3" s="120"/>
      <c r="DPB3" s="120"/>
      <c r="DPC3" s="120"/>
      <c r="DPD3" s="120"/>
      <c r="DPE3" s="120"/>
      <c r="DPF3" s="120"/>
      <c r="DPG3" s="120"/>
      <c r="DPH3" s="120"/>
      <c r="DPI3" s="120"/>
      <c r="DPJ3" s="120"/>
      <c r="DPK3" s="120"/>
      <c r="DPL3" s="120"/>
      <c r="DPM3" s="120"/>
      <c r="DPN3" s="120"/>
      <c r="DPO3" s="120"/>
      <c r="DPP3" s="120"/>
      <c r="DPQ3" s="120"/>
      <c r="DPR3" s="120"/>
      <c r="DPS3" s="120"/>
      <c r="DPT3" s="120"/>
      <c r="DPU3" s="120"/>
      <c r="DPV3" s="120"/>
      <c r="DPW3" s="120"/>
      <c r="DPX3" s="120"/>
      <c r="DPY3" s="120"/>
      <c r="DPZ3" s="120"/>
      <c r="DQA3" s="120"/>
      <c r="DQB3" s="120"/>
      <c r="DQC3" s="120"/>
      <c r="DQD3" s="120"/>
      <c r="DQE3" s="120"/>
      <c r="DQF3" s="120"/>
      <c r="DQG3" s="120"/>
      <c r="DQH3" s="120"/>
      <c r="DQI3" s="120"/>
      <c r="DQJ3" s="120"/>
      <c r="DQK3" s="120"/>
      <c r="DQL3" s="120"/>
      <c r="DQM3" s="120"/>
      <c r="DQN3" s="120"/>
      <c r="DQO3" s="120"/>
      <c r="DQP3" s="120"/>
      <c r="DQQ3" s="120"/>
      <c r="DQR3" s="120"/>
      <c r="DQS3" s="120"/>
      <c r="DQT3" s="120"/>
      <c r="DQU3" s="120"/>
      <c r="DQV3" s="120"/>
      <c r="DQW3" s="120"/>
      <c r="DQX3" s="120"/>
      <c r="DQY3" s="120"/>
      <c r="DQZ3" s="120"/>
      <c r="DRA3" s="120"/>
      <c r="DRB3" s="120"/>
      <c r="DRC3" s="120"/>
      <c r="DRD3" s="120"/>
      <c r="DRE3" s="120"/>
      <c r="DRF3" s="120"/>
      <c r="DRG3" s="120"/>
      <c r="DRH3" s="120"/>
      <c r="DRI3" s="120"/>
      <c r="DRJ3" s="120"/>
      <c r="DRK3" s="120"/>
      <c r="DRL3" s="120"/>
      <c r="DRM3" s="120"/>
      <c r="DRN3" s="120"/>
      <c r="DRO3" s="120"/>
      <c r="DRP3" s="120"/>
      <c r="DRQ3" s="120"/>
      <c r="DRR3" s="120"/>
      <c r="DRS3" s="120"/>
      <c r="DRT3" s="120"/>
      <c r="DRU3" s="120"/>
      <c r="DRV3" s="120"/>
      <c r="DRW3" s="120"/>
      <c r="DRX3" s="120"/>
      <c r="DRY3" s="120"/>
      <c r="DRZ3" s="120"/>
      <c r="DSA3" s="120"/>
      <c r="DSB3" s="120"/>
      <c r="DSC3" s="120"/>
      <c r="DSD3" s="120"/>
      <c r="DSE3" s="120"/>
      <c r="DSF3" s="120"/>
      <c r="DSG3" s="120"/>
      <c r="DSH3" s="120"/>
      <c r="DSI3" s="120"/>
      <c r="DSJ3" s="120"/>
      <c r="DSK3" s="120"/>
      <c r="DSL3" s="120"/>
      <c r="DSM3" s="120"/>
      <c r="DSN3" s="120"/>
      <c r="DSO3" s="120"/>
      <c r="DSP3" s="120"/>
      <c r="DSQ3" s="120"/>
      <c r="DSR3" s="120"/>
      <c r="DSS3" s="120"/>
      <c r="DST3" s="120"/>
      <c r="DSU3" s="120"/>
      <c r="DSV3" s="120"/>
      <c r="DSW3" s="120"/>
      <c r="DSX3" s="120"/>
      <c r="DSY3" s="120"/>
      <c r="DSZ3" s="120"/>
      <c r="DTA3" s="120"/>
      <c r="DTB3" s="120"/>
      <c r="DTC3" s="120"/>
      <c r="DTD3" s="120"/>
      <c r="DTE3" s="120"/>
      <c r="DTF3" s="120"/>
      <c r="DTG3" s="120"/>
      <c r="DTH3" s="120"/>
      <c r="DTI3" s="120"/>
      <c r="DTJ3" s="120"/>
      <c r="DTK3" s="120"/>
      <c r="DTL3" s="120"/>
      <c r="DTM3" s="120"/>
      <c r="DTN3" s="120"/>
      <c r="DTO3" s="120"/>
      <c r="DTP3" s="120"/>
      <c r="DTQ3" s="120"/>
      <c r="DTR3" s="120"/>
      <c r="DTS3" s="120"/>
      <c r="DTT3" s="120"/>
      <c r="DTU3" s="120"/>
      <c r="DTV3" s="120"/>
      <c r="DTW3" s="120"/>
      <c r="DTX3" s="120"/>
      <c r="DTY3" s="120"/>
      <c r="DTZ3" s="120"/>
      <c r="DUA3" s="120"/>
      <c r="DUB3" s="120"/>
      <c r="DUC3" s="120"/>
      <c r="DUD3" s="120"/>
      <c r="DUE3" s="120"/>
      <c r="DUF3" s="120"/>
      <c r="DUG3" s="120"/>
      <c r="DUH3" s="120"/>
      <c r="DUI3" s="120"/>
      <c r="DUJ3" s="120"/>
      <c r="DUK3" s="120"/>
      <c r="DUL3" s="120"/>
      <c r="DUM3" s="120"/>
      <c r="DUN3" s="120"/>
      <c r="DUO3" s="120"/>
      <c r="DUP3" s="120"/>
      <c r="DUQ3" s="120"/>
      <c r="DUR3" s="120"/>
      <c r="DUS3" s="120"/>
      <c r="DUT3" s="120"/>
      <c r="DUU3" s="120"/>
      <c r="DUV3" s="120"/>
      <c r="DUW3" s="120"/>
      <c r="DUX3" s="120"/>
      <c r="DUY3" s="120"/>
      <c r="DUZ3" s="120"/>
      <c r="DVA3" s="120"/>
      <c r="DVB3" s="120"/>
      <c r="DVC3" s="120"/>
      <c r="DVD3" s="120"/>
      <c r="DVE3" s="120"/>
      <c r="DVF3" s="120"/>
      <c r="DVG3" s="120"/>
      <c r="DVH3" s="120"/>
      <c r="DVI3" s="120"/>
      <c r="DVJ3" s="120"/>
      <c r="DVK3" s="120"/>
      <c r="DVL3" s="120"/>
      <c r="DVM3" s="120"/>
      <c r="DVN3" s="120"/>
      <c r="DVO3" s="120"/>
      <c r="DVP3" s="120"/>
      <c r="DVQ3" s="120"/>
      <c r="DVR3" s="120"/>
      <c r="DVS3" s="120"/>
      <c r="DVT3" s="120"/>
      <c r="DVU3" s="120"/>
      <c r="DVV3" s="120"/>
      <c r="DVW3" s="120"/>
      <c r="DVX3" s="120"/>
      <c r="DVY3" s="120"/>
      <c r="DVZ3" s="120"/>
      <c r="DWA3" s="120"/>
      <c r="DWB3" s="120"/>
      <c r="DWC3" s="120"/>
      <c r="DWD3" s="120"/>
      <c r="DWE3" s="120"/>
      <c r="DWF3" s="120"/>
      <c r="DWG3" s="120"/>
      <c r="DWH3" s="120"/>
      <c r="DWI3" s="120"/>
      <c r="DWJ3" s="120"/>
      <c r="DWK3" s="120"/>
      <c r="DWL3" s="120"/>
      <c r="DWM3" s="120"/>
      <c r="DWN3" s="120"/>
      <c r="DWO3" s="120"/>
      <c r="DWP3" s="120"/>
      <c r="DWQ3" s="120"/>
      <c r="DWR3" s="120"/>
      <c r="DWS3" s="120"/>
      <c r="DWT3" s="120"/>
      <c r="DWU3" s="120"/>
      <c r="DWV3" s="120"/>
      <c r="DWW3" s="120"/>
      <c r="DWX3" s="120"/>
      <c r="DWY3" s="120"/>
      <c r="DWZ3" s="120"/>
      <c r="DXA3" s="120"/>
      <c r="DXB3" s="120"/>
      <c r="DXC3" s="120"/>
      <c r="DXD3" s="120"/>
      <c r="DXE3" s="120"/>
      <c r="DXF3" s="120"/>
      <c r="DXG3" s="120"/>
      <c r="DXH3" s="120"/>
      <c r="DXI3" s="120"/>
      <c r="DXJ3" s="120"/>
      <c r="DXK3" s="120"/>
      <c r="DXL3" s="120"/>
      <c r="DXM3" s="120"/>
      <c r="DXN3" s="120"/>
      <c r="DXO3" s="120"/>
      <c r="DXP3" s="120"/>
      <c r="DXQ3" s="120"/>
      <c r="DXR3" s="120"/>
      <c r="DXS3" s="120"/>
      <c r="DXT3" s="120"/>
      <c r="DXU3" s="120"/>
      <c r="DXV3" s="120"/>
      <c r="DXW3" s="120"/>
      <c r="DXX3" s="120"/>
      <c r="DXY3" s="120"/>
      <c r="DXZ3" s="120"/>
      <c r="DYA3" s="120"/>
      <c r="DYB3" s="120"/>
      <c r="DYC3" s="120"/>
      <c r="DYD3" s="120"/>
      <c r="DYE3" s="120"/>
      <c r="DYF3" s="120"/>
      <c r="DYG3" s="120"/>
      <c r="DYH3" s="120"/>
      <c r="DYI3" s="120"/>
      <c r="DYJ3" s="120"/>
      <c r="DYK3" s="120"/>
      <c r="DYL3" s="120"/>
      <c r="DYM3" s="120"/>
      <c r="DYN3" s="120"/>
      <c r="DYO3" s="120"/>
      <c r="DYP3" s="120"/>
      <c r="DYQ3" s="120"/>
      <c r="DYR3" s="120"/>
      <c r="DYS3" s="120"/>
      <c r="DYT3" s="120"/>
      <c r="DYU3" s="120"/>
      <c r="DYV3" s="120"/>
      <c r="DYW3" s="120"/>
      <c r="DYX3" s="120"/>
      <c r="DYY3" s="120"/>
      <c r="DYZ3" s="120"/>
      <c r="DZA3" s="120"/>
      <c r="DZB3" s="120"/>
      <c r="DZC3" s="120"/>
      <c r="DZD3" s="120"/>
      <c r="DZE3" s="120"/>
      <c r="DZF3" s="120"/>
      <c r="DZG3" s="120"/>
      <c r="DZH3" s="120"/>
      <c r="DZI3" s="120"/>
      <c r="DZJ3" s="120"/>
      <c r="DZK3" s="120"/>
      <c r="DZL3" s="120"/>
      <c r="DZM3" s="120"/>
      <c r="DZN3" s="120"/>
      <c r="DZO3" s="120"/>
      <c r="DZP3" s="120"/>
      <c r="DZQ3" s="120"/>
      <c r="DZR3" s="120"/>
      <c r="DZS3" s="120"/>
      <c r="DZT3" s="120"/>
      <c r="DZU3" s="120"/>
      <c r="DZV3" s="120"/>
      <c r="DZW3" s="120"/>
      <c r="DZX3" s="120"/>
      <c r="DZY3" s="120"/>
      <c r="DZZ3" s="120"/>
      <c r="EAA3" s="120"/>
      <c r="EAB3" s="120"/>
      <c r="EAC3" s="120"/>
      <c r="EAD3" s="120"/>
      <c r="EAE3" s="120"/>
      <c r="EAF3" s="120"/>
      <c r="EAG3" s="120"/>
      <c r="EAH3" s="120"/>
      <c r="EAI3" s="120"/>
      <c r="EAJ3" s="120"/>
      <c r="EAK3" s="120"/>
      <c r="EAL3" s="120"/>
      <c r="EAM3" s="120"/>
      <c r="EAN3" s="120"/>
      <c r="EAO3" s="120"/>
      <c r="EAP3" s="120"/>
      <c r="EAQ3" s="120"/>
      <c r="EAR3" s="120"/>
      <c r="EAS3" s="120"/>
      <c r="EAT3" s="120"/>
      <c r="EAU3" s="120"/>
      <c r="EAV3" s="120"/>
      <c r="EAW3" s="120"/>
      <c r="EAX3" s="120"/>
      <c r="EAY3" s="120"/>
      <c r="EAZ3" s="120"/>
      <c r="EBA3" s="120"/>
      <c r="EBB3" s="120"/>
      <c r="EBC3" s="120"/>
      <c r="EBD3" s="120"/>
      <c r="EBE3" s="120"/>
      <c r="EBF3" s="120"/>
      <c r="EBG3" s="120"/>
      <c r="EBH3" s="120"/>
      <c r="EBI3" s="120"/>
      <c r="EBJ3" s="120"/>
      <c r="EBK3" s="120"/>
      <c r="EBL3" s="120"/>
      <c r="EBM3" s="120"/>
      <c r="EBN3" s="120"/>
      <c r="EBO3" s="120"/>
      <c r="EBP3" s="120"/>
      <c r="EBQ3" s="120"/>
      <c r="EBR3" s="120"/>
      <c r="EBS3" s="120"/>
      <c r="EBT3" s="120"/>
      <c r="EBU3" s="120"/>
      <c r="EBV3" s="120"/>
      <c r="EBW3" s="120"/>
      <c r="EBX3" s="120"/>
      <c r="EBY3" s="120"/>
      <c r="EBZ3" s="120"/>
      <c r="ECA3" s="120"/>
      <c r="ECB3" s="120"/>
      <c r="ECC3" s="120"/>
      <c r="ECD3" s="120"/>
      <c r="ECE3" s="120"/>
      <c r="ECF3" s="120"/>
      <c r="ECG3" s="120"/>
      <c r="ECH3" s="120"/>
      <c r="ECI3" s="120"/>
      <c r="ECJ3" s="120"/>
      <c r="ECK3" s="120"/>
      <c r="ECL3" s="120"/>
      <c r="ECM3" s="120"/>
      <c r="ECN3" s="120"/>
      <c r="ECO3" s="120"/>
      <c r="ECP3" s="120"/>
      <c r="ECQ3" s="120"/>
      <c r="ECR3" s="120"/>
      <c r="ECS3" s="120"/>
      <c r="ECT3" s="120"/>
      <c r="ECU3" s="120"/>
      <c r="ECV3" s="120"/>
      <c r="ECW3" s="120"/>
      <c r="ECX3" s="120"/>
      <c r="ECY3" s="120"/>
      <c r="ECZ3" s="120"/>
      <c r="EDA3" s="120"/>
      <c r="EDB3" s="120"/>
      <c r="EDC3" s="120"/>
      <c r="EDD3" s="120"/>
      <c r="EDE3" s="120"/>
      <c r="EDF3" s="120"/>
      <c r="EDG3" s="120"/>
      <c r="EDH3" s="120"/>
      <c r="EDI3" s="120"/>
      <c r="EDJ3" s="120"/>
      <c r="EDK3" s="120"/>
      <c r="EDL3" s="120"/>
      <c r="EDM3" s="120"/>
      <c r="EDN3" s="120"/>
      <c r="EDO3" s="120"/>
      <c r="EDP3" s="120"/>
      <c r="EDQ3" s="120"/>
      <c r="EDR3" s="120"/>
      <c r="EDS3" s="120"/>
      <c r="EDT3" s="120"/>
      <c r="EDU3" s="120"/>
      <c r="EDV3" s="120"/>
      <c r="EDW3" s="120"/>
      <c r="EDX3" s="120"/>
      <c r="EDY3" s="120"/>
      <c r="EDZ3" s="120"/>
      <c r="EEA3" s="120"/>
      <c r="EEB3" s="120"/>
      <c r="EEC3" s="120"/>
      <c r="EED3" s="120"/>
      <c r="EEE3" s="120"/>
      <c r="EEF3" s="120"/>
      <c r="EEG3" s="120"/>
      <c r="EEH3" s="120"/>
      <c r="EEI3" s="120"/>
      <c r="EEJ3" s="120"/>
      <c r="EEK3" s="120"/>
      <c r="EEL3" s="120"/>
      <c r="EEM3" s="120"/>
      <c r="EEN3" s="120"/>
      <c r="EEO3" s="120"/>
      <c r="EEP3" s="120"/>
      <c r="EEQ3" s="120"/>
      <c r="EER3" s="120"/>
      <c r="EES3" s="120"/>
      <c r="EET3" s="120"/>
      <c r="EEU3" s="120"/>
      <c r="EEV3" s="120"/>
      <c r="EEW3" s="120"/>
      <c r="EEX3" s="120"/>
      <c r="EEY3" s="120"/>
      <c r="EEZ3" s="120"/>
      <c r="EFA3" s="120"/>
      <c r="EFB3" s="120"/>
      <c r="EFC3" s="120"/>
      <c r="EFD3" s="120"/>
      <c r="EFE3" s="120"/>
      <c r="EFF3" s="120"/>
      <c r="EFG3" s="120"/>
      <c r="EFH3" s="120"/>
      <c r="EFI3" s="120"/>
      <c r="EFJ3" s="120"/>
      <c r="EFK3" s="120"/>
      <c r="EFL3" s="120"/>
      <c r="EFM3" s="120"/>
      <c r="EFN3" s="120"/>
      <c r="EFO3" s="120"/>
      <c r="EFP3" s="120"/>
      <c r="EFQ3" s="120"/>
      <c r="EFR3" s="120"/>
      <c r="EFS3" s="120"/>
      <c r="EFT3" s="120"/>
      <c r="EFU3" s="120"/>
      <c r="EFV3" s="120"/>
      <c r="EFW3" s="120"/>
      <c r="EFX3" s="120"/>
      <c r="EFY3" s="120"/>
      <c r="EFZ3" s="120"/>
      <c r="EGA3" s="120"/>
      <c r="EGB3" s="120"/>
      <c r="EGC3" s="120"/>
      <c r="EGD3" s="120"/>
      <c r="EGE3" s="120"/>
      <c r="EGF3" s="120"/>
      <c r="EGG3" s="120"/>
      <c r="EGH3" s="120"/>
      <c r="EGI3" s="120"/>
      <c r="EGJ3" s="120"/>
      <c r="EGK3" s="120"/>
      <c r="EGL3" s="120"/>
      <c r="EGM3" s="120"/>
      <c r="EGN3" s="120"/>
      <c r="EGO3" s="120"/>
      <c r="EGP3" s="120"/>
      <c r="EGQ3" s="120"/>
      <c r="EGR3" s="120"/>
      <c r="EGS3" s="120"/>
      <c r="EGT3" s="120"/>
      <c r="EGU3" s="120"/>
      <c r="EGV3" s="120"/>
      <c r="EGW3" s="120"/>
      <c r="EGX3" s="120"/>
      <c r="EGY3" s="120"/>
      <c r="EGZ3" s="120"/>
      <c r="EHA3" s="120"/>
      <c r="EHB3" s="120"/>
      <c r="EHC3" s="120"/>
      <c r="EHD3" s="120"/>
      <c r="EHE3" s="120"/>
      <c r="EHF3" s="120"/>
      <c r="EHG3" s="120"/>
      <c r="EHH3" s="120"/>
      <c r="EHI3" s="120"/>
      <c r="EHJ3" s="120"/>
      <c r="EHK3" s="120"/>
      <c r="EHL3" s="120"/>
      <c r="EHM3" s="120"/>
      <c r="EHN3" s="120"/>
      <c r="EHO3" s="120"/>
      <c r="EHP3" s="120"/>
      <c r="EHQ3" s="120"/>
      <c r="EHR3" s="120"/>
      <c r="EHS3" s="120"/>
      <c r="EHT3" s="120"/>
      <c r="EHU3" s="120"/>
      <c r="EHV3" s="120"/>
      <c r="EHW3" s="120"/>
      <c r="EHX3" s="120"/>
      <c r="EHY3" s="120"/>
      <c r="EHZ3" s="120"/>
      <c r="EIA3" s="120"/>
      <c r="EIB3" s="120"/>
      <c r="EIC3" s="120"/>
      <c r="EID3" s="120"/>
      <c r="EIE3" s="120"/>
      <c r="EIF3" s="120"/>
      <c r="EIG3" s="120"/>
      <c r="EIH3" s="120"/>
      <c r="EII3" s="120"/>
      <c r="EIJ3" s="120"/>
      <c r="EIK3" s="120"/>
      <c r="EIL3" s="120"/>
      <c r="EIM3" s="120"/>
      <c r="EIN3" s="120"/>
      <c r="EIO3" s="120"/>
      <c r="EIP3" s="120"/>
      <c r="EIQ3" s="120"/>
      <c r="EIR3" s="120"/>
      <c r="EIS3" s="120"/>
      <c r="EIT3" s="120"/>
      <c r="EIU3" s="120"/>
      <c r="EIV3" s="120"/>
      <c r="EIW3" s="120"/>
      <c r="EIX3" s="120"/>
      <c r="EIY3" s="120"/>
      <c r="EIZ3" s="120"/>
      <c r="EJA3" s="120"/>
      <c r="EJB3" s="120"/>
      <c r="EJC3" s="120"/>
      <c r="EJD3" s="120"/>
      <c r="EJE3" s="120"/>
      <c r="EJF3" s="120"/>
      <c r="EJG3" s="120"/>
      <c r="EJH3" s="120"/>
      <c r="EJI3" s="120"/>
      <c r="EJJ3" s="120"/>
      <c r="EJK3" s="120"/>
      <c r="EJL3" s="120"/>
      <c r="EJM3" s="120"/>
      <c r="EJN3" s="120"/>
      <c r="EJO3" s="120"/>
      <c r="EJP3" s="120"/>
      <c r="EJQ3" s="120"/>
      <c r="EJR3" s="120"/>
      <c r="EJS3" s="120"/>
      <c r="EJT3" s="120"/>
      <c r="EJU3" s="120"/>
      <c r="EJV3" s="120"/>
      <c r="EJW3" s="120"/>
      <c r="EJX3" s="120"/>
      <c r="EJY3" s="120"/>
      <c r="EJZ3" s="120"/>
      <c r="EKA3" s="120"/>
      <c r="EKB3" s="120"/>
      <c r="EKC3" s="120"/>
      <c r="EKD3" s="120"/>
      <c r="EKE3" s="120"/>
      <c r="EKF3" s="120"/>
      <c r="EKG3" s="120"/>
      <c r="EKH3" s="120"/>
      <c r="EKI3" s="120"/>
      <c r="EKJ3" s="120"/>
      <c r="EKK3" s="120"/>
      <c r="EKL3" s="120"/>
      <c r="EKM3" s="120"/>
      <c r="EKN3" s="120"/>
      <c r="EKO3" s="120"/>
      <c r="EKP3" s="120"/>
      <c r="EKQ3" s="120"/>
      <c r="EKR3" s="120"/>
      <c r="EKS3" s="120"/>
      <c r="EKT3" s="120"/>
      <c r="EKU3" s="120"/>
      <c r="EKV3" s="120"/>
      <c r="EKW3" s="120"/>
      <c r="EKX3" s="120"/>
      <c r="EKY3" s="120"/>
      <c r="EKZ3" s="120"/>
      <c r="ELA3" s="120"/>
      <c r="ELB3" s="120"/>
      <c r="ELC3" s="120"/>
      <c r="ELD3" s="120"/>
      <c r="ELE3" s="120"/>
      <c r="ELF3" s="120"/>
      <c r="ELG3" s="120"/>
      <c r="ELH3" s="120"/>
      <c r="ELI3" s="120"/>
      <c r="ELJ3" s="120"/>
      <c r="ELK3" s="120"/>
      <c r="ELL3" s="120"/>
      <c r="ELM3" s="120"/>
      <c r="ELN3" s="120"/>
      <c r="ELO3" s="120"/>
      <c r="ELP3" s="120"/>
      <c r="ELQ3" s="120"/>
      <c r="ELR3" s="120"/>
      <c r="ELS3" s="120"/>
      <c r="ELT3" s="120"/>
      <c r="ELU3" s="120"/>
      <c r="ELV3" s="120"/>
      <c r="ELW3" s="120"/>
      <c r="ELX3" s="120"/>
      <c r="ELY3" s="120"/>
      <c r="ELZ3" s="120"/>
      <c r="EMA3" s="120"/>
      <c r="EMB3" s="120"/>
      <c r="EMC3" s="120"/>
      <c r="EMD3" s="120"/>
      <c r="EME3" s="120"/>
      <c r="EMF3" s="120"/>
      <c r="EMG3" s="120"/>
      <c r="EMH3" s="120"/>
      <c r="EMI3" s="120"/>
      <c r="EMJ3" s="120"/>
      <c r="EMK3" s="120"/>
      <c r="EML3" s="120"/>
      <c r="EMM3" s="120"/>
      <c r="EMN3" s="120"/>
      <c r="EMO3" s="120"/>
      <c r="EMP3" s="120"/>
      <c r="EMQ3" s="120"/>
      <c r="EMR3" s="120"/>
      <c r="EMS3" s="120"/>
      <c r="EMT3" s="120"/>
      <c r="EMU3" s="120"/>
      <c r="EMV3" s="120"/>
      <c r="EMW3" s="120"/>
      <c r="EMX3" s="120"/>
      <c r="EMY3" s="120"/>
      <c r="EMZ3" s="120"/>
      <c r="ENA3" s="120"/>
      <c r="ENB3" s="120"/>
      <c r="ENC3" s="120"/>
      <c r="END3" s="120"/>
      <c r="ENE3" s="120"/>
      <c r="ENF3" s="120"/>
      <c r="ENG3" s="120"/>
      <c r="ENH3" s="120"/>
      <c r="ENI3" s="120"/>
      <c r="ENJ3" s="120"/>
      <c r="ENK3" s="120"/>
      <c r="ENL3" s="120"/>
      <c r="ENM3" s="120"/>
      <c r="ENN3" s="120"/>
      <c r="ENO3" s="120"/>
      <c r="ENP3" s="120"/>
      <c r="ENQ3" s="120"/>
      <c r="ENR3" s="120"/>
      <c r="ENS3" s="120"/>
      <c r="ENT3" s="120"/>
      <c r="ENU3" s="120"/>
      <c r="ENV3" s="120"/>
      <c r="ENW3" s="120"/>
      <c r="ENX3" s="120"/>
      <c r="ENY3" s="120"/>
      <c r="ENZ3" s="120"/>
      <c r="EOA3" s="120"/>
      <c r="EOB3" s="120"/>
      <c r="EOC3" s="120"/>
      <c r="EOD3" s="120"/>
      <c r="EOE3" s="120"/>
      <c r="EOF3" s="120"/>
      <c r="EOG3" s="120"/>
      <c r="EOH3" s="120"/>
      <c r="EOI3" s="120"/>
      <c r="EOJ3" s="120"/>
      <c r="EOK3" s="120"/>
      <c r="EOL3" s="120"/>
      <c r="EOM3" s="120"/>
      <c r="EON3" s="120"/>
      <c r="EOO3" s="120"/>
      <c r="EOP3" s="120"/>
      <c r="EOQ3" s="120"/>
      <c r="EOR3" s="120"/>
      <c r="EOS3" s="120"/>
      <c r="EOT3" s="120"/>
      <c r="EOU3" s="120"/>
      <c r="EOV3" s="120"/>
      <c r="EOW3" s="120"/>
      <c r="EOX3" s="120"/>
      <c r="EOY3" s="120"/>
      <c r="EOZ3" s="120"/>
      <c r="EPA3" s="120"/>
      <c r="EPB3" s="120"/>
      <c r="EPC3" s="120"/>
      <c r="EPD3" s="120"/>
      <c r="EPE3" s="120"/>
      <c r="EPF3" s="120"/>
      <c r="EPG3" s="120"/>
      <c r="EPH3" s="120"/>
      <c r="EPI3" s="120"/>
      <c r="EPJ3" s="120"/>
      <c r="EPK3" s="120"/>
      <c r="EPL3" s="120"/>
      <c r="EPM3" s="120"/>
      <c r="EPN3" s="120"/>
      <c r="EPO3" s="120"/>
      <c r="EPP3" s="120"/>
      <c r="EPQ3" s="120"/>
      <c r="EPR3" s="120"/>
      <c r="EPS3" s="120"/>
      <c r="EPT3" s="120"/>
      <c r="EPU3" s="120"/>
      <c r="EPV3" s="120"/>
      <c r="EPW3" s="120"/>
      <c r="EPX3" s="120"/>
      <c r="EPY3" s="120"/>
      <c r="EPZ3" s="120"/>
      <c r="EQA3" s="120"/>
      <c r="EQB3" s="120"/>
      <c r="EQC3" s="120"/>
      <c r="EQD3" s="120"/>
      <c r="EQE3" s="120"/>
      <c r="EQF3" s="120"/>
      <c r="EQG3" s="120"/>
      <c r="EQH3" s="120"/>
      <c r="EQI3" s="120"/>
      <c r="EQJ3" s="120"/>
      <c r="EQK3" s="120"/>
      <c r="EQL3" s="120"/>
      <c r="EQM3" s="120"/>
      <c r="EQN3" s="120"/>
      <c r="EQO3" s="120"/>
      <c r="EQP3" s="120"/>
      <c r="EQQ3" s="120"/>
      <c r="EQR3" s="120"/>
      <c r="EQS3" s="120"/>
      <c r="EQT3" s="120"/>
      <c r="EQU3" s="120"/>
      <c r="EQV3" s="120"/>
      <c r="EQW3" s="120"/>
      <c r="EQX3" s="120"/>
      <c r="EQY3" s="120"/>
      <c r="EQZ3" s="120"/>
      <c r="ERA3" s="120"/>
      <c r="ERB3" s="120"/>
      <c r="ERC3" s="120"/>
      <c r="ERD3" s="120"/>
      <c r="ERE3" s="120"/>
      <c r="ERF3" s="120"/>
      <c r="ERG3" s="120"/>
      <c r="ERH3" s="120"/>
      <c r="ERI3" s="120"/>
      <c r="ERJ3" s="120"/>
      <c r="ERK3" s="120"/>
      <c r="ERL3" s="120"/>
      <c r="ERM3" s="120"/>
      <c r="ERN3" s="120"/>
      <c r="ERO3" s="120"/>
      <c r="ERP3" s="120"/>
      <c r="ERQ3" s="120"/>
      <c r="ERR3" s="120"/>
      <c r="ERS3" s="120"/>
      <c r="ERT3" s="120"/>
      <c r="ERU3" s="120"/>
      <c r="ERV3" s="120"/>
      <c r="ERW3" s="120"/>
      <c r="ERX3" s="120"/>
      <c r="ERY3" s="120"/>
      <c r="ERZ3" s="120"/>
      <c r="ESA3" s="120"/>
      <c r="ESB3" s="120"/>
      <c r="ESC3" s="120"/>
      <c r="ESD3" s="120"/>
      <c r="ESE3" s="120"/>
      <c r="ESF3" s="120"/>
      <c r="ESG3" s="120"/>
      <c r="ESH3" s="120"/>
      <c r="ESI3" s="120"/>
      <c r="ESJ3" s="120"/>
      <c r="ESK3" s="120"/>
      <c r="ESL3" s="120"/>
      <c r="ESM3" s="120"/>
      <c r="ESN3" s="120"/>
      <c r="ESO3" s="120"/>
      <c r="ESP3" s="120"/>
      <c r="ESQ3" s="120"/>
      <c r="ESR3" s="120"/>
      <c r="ESS3" s="120"/>
      <c r="EST3" s="120"/>
      <c r="ESU3" s="120"/>
      <c r="ESV3" s="120"/>
      <c r="ESW3" s="120"/>
      <c r="ESX3" s="120"/>
      <c r="ESY3" s="120"/>
      <c r="ESZ3" s="120"/>
      <c r="ETA3" s="120"/>
      <c r="ETB3" s="120"/>
      <c r="ETC3" s="120"/>
      <c r="ETD3" s="120"/>
      <c r="ETE3" s="120"/>
      <c r="ETF3" s="120"/>
      <c r="ETG3" s="120"/>
      <c r="ETH3" s="120"/>
      <c r="ETI3" s="120"/>
      <c r="ETJ3" s="120"/>
      <c r="ETK3" s="120"/>
      <c r="ETL3" s="120"/>
      <c r="ETM3" s="120"/>
      <c r="ETN3" s="120"/>
      <c r="ETO3" s="120"/>
      <c r="ETP3" s="120"/>
      <c r="ETQ3" s="120"/>
      <c r="ETR3" s="120"/>
      <c r="ETS3" s="120"/>
      <c r="ETT3" s="120"/>
      <c r="ETU3" s="120"/>
      <c r="ETV3" s="120"/>
      <c r="ETW3" s="120"/>
      <c r="ETX3" s="120"/>
      <c r="ETY3" s="120"/>
      <c r="ETZ3" s="120"/>
      <c r="EUA3" s="120"/>
      <c r="EUB3" s="120"/>
      <c r="EUC3" s="120"/>
      <c r="EUD3" s="120"/>
      <c r="EUE3" s="120"/>
      <c r="EUF3" s="120"/>
      <c r="EUG3" s="120"/>
      <c r="EUH3" s="120"/>
      <c r="EUI3" s="120"/>
      <c r="EUJ3" s="120"/>
      <c r="EUK3" s="120"/>
      <c r="EUL3" s="120"/>
      <c r="EUM3" s="120"/>
      <c r="EUN3" s="120"/>
      <c r="EUO3" s="120"/>
      <c r="EUP3" s="120"/>
      <c r="EUQ3" s="120"/>
      <c r="EUR3" s="120"/>
      <c r="EUS3" s="120"/>
      <c r="EUT3" s="120"/>
      <c r="EUU3" s="120"/>
      <c r="EUV3" s="120"/>
      <c r="EUW3" s="120"/>
      <c r="EUX3" s="120"/>
      <c r="EUY3" s="120"/>
      <c r="EUZ3" s="120"/>
      <c r="EVA3" s="120"/>
      <c r="EVB3" s="120"/>
      <c r="EVC3" s="120"/>
      <c r="EVD3" s="120"/>
      <c r="EVE3" s="120"/>
      <c r="EVF3" s="120"/>
      <c r="EVG3" s="120"/>
      <c r="EVH3" s="120"/>
      <c r="EVI3" s="120"/>
      <c r="EVJ3" s="120"/>
      <c r="EVK3" s="120"/>
      <c r="EVL3" s="120"/>
      <c r="EVM3" s="120"/>
      <c r="EVN3" s="120"/>
      <c r="EVO3" s="120"/>
      <c r="EVP3" s="120"/>
      <c r="EVQ3" s="120"/>
      <c r="EVR3" s="120"/>
      <c r="EVS3" s="120"/>
      <c r="EVT3" s="120"/>
      <c r="EVU3" s="120"/>
      <c r="EVV3" s="120"/>
      <c r="EVW3" s="120"/>
      <c r="EVX3" s="120"/>
      <c r="EVY3" s="120"/>
      <c r="EVZ3" s="120"/>
      <c r="EWA3" s="120"/>
      <c r="EWB3" s="120"/>
      <c r="EWC3" s="120"/>
      <c r="EWD3" s="120"/>
      <c r="EWE3" s="120"/>
      <c r="EWF3" s="120"/>
      <c r="EWG3" s="120"/>
      <c r="EWH3" s="120"/>
      <c r="EWI3" s="120"/>
      <c r="EWJ3" s="120"/>
      <c r="EWK3" s="120"/>
      <c r="EWL3" s="120"/>
      <c r="EWM3" s="120"/>
      <c r="EWN3" s="120"/>
      <c r="EWO3" s="120"/>
      <c r="EWP3" s="120"/>
      <c r="EWQ3" s="120"/>
      <c r="EWR3" s="120"/>
      <c r="EWS3" s="120"/>
      <c r="EWT3" s="120"/>
      <c r="EWU3" s="120"/>
      <c r="EWV3" s="120"/>
      <c r="EWW3" s="120"/>
      <c r="EWX3" s="120"/>
      <c r="EWY3" s="120"/>
      <c r="EWZ3" s="120"/>
      <c r="EXA3" s="120"/>
      <c r="EXB3" s="120"/>
      <c r="EXC3" s="120"/>
      <c r="EXD3" s="120"/>
      <c r="EXE3" s="120"/>
      <c r="EXF3" s="120"/>
      <c r="EXG3" s="120"/>
      <c r="EXH3" s="120"/>
      <c r="EXI3" s="120"/>
      <c r="EXJ3" s="120"/>
      <c r="EXK3" s="120"/>
      <c r="EXL3" s="120"/>
      <c r="EXM3" s="120"/>
      <c r="EXN3" s="120"/>
      <c r="EXO3" s="120"/>
      <c r="EXP3" s="120"/>
      <c r="EXQ3" s="120"/>
      <c r="EXR3" s="120"/>
      <c r="EXS3" s="120"/>
      <c r="EXT3" s="120"/>
      <c r="EXU3" s="120"/>
      <c r="EXV3" s="120"/>
      <c r="EXW3" s="120"/>
      <c r="EXX3" s="120"/>
      <c r="EXY3" s="120"/>
      <c r="EXZ3" s="120"/>
      <c r="EYA3" s="120"/>
      <c r="EYB3" s="120"/>
      <c r="EYC3" s="120"/>
      <c r="EYD3" s="120"/>
      <c r="EYE3" s="120"/>
      <c r="EYF3" s="120"/>
      <c r="EYG3" s="120"/>
      <c r="EYH3" s="120"/>
      <c r="EYI3" s="120"/>
      <c r="EYJ3" s="120"/>
      <c r="EYK3" s="120"/>
      <c r="EYL3" s="120"/>
      <c r="EYM3" s="120"/>
      <c r="EYN3" s="120"/>
      <c r="EYO3" s="120"/>
      <c r="EYP3" s="120"/>
      <c r="EYQ3" s="120"/>
      <c r="EYR3" s="120"/>
      <c r="EYS3" s="120"/>
      <c r="EYT3" s="120"/>
      <c r="EYU3" s="120"/>
      <c r="EYV3" s="120"/>
      <c r="EYW3" s="120"/>
      <c r="EYX3" s="120"/>
      <c r="EYY3" s="120"/>
      <c r="EYZ3" s="120"/>
      <c r="EZA3" s="120"/>
      <c r="EZB3" s="120"/>
      <c r="EZC3" s="120"/>
      <c r="EZD3" s="120"/>
      <c r="EZE3" s="120"/>
      <c r="EZF3" s="120"/>
      <c r="EZG3" s="120"/>
      <c r="EZH3" s="120"/>
      <c r="EZI3" s="120"/>
      <c r="EZJ3" s="120"/>
      <c r="EZK3" s="120"/>
      <c r="EZL3" s="120"/>
      <c r="EZM3" s="120"/>
      <c r="EZN3" s="120"/>
      <c r="EZO3" s="120"/>
      <c r="EZP3" s="120"/>
      <c r="EZQ3" s="120"/>
      <c r="EZR3" s="120"/>
      <c r="EZS3" s="120"/>
      <c r="EZT3" s="120"/>
      <c r="EZU3" s="120"/>
      <c r="EZV3" s="120"/>
      <c r="EZW3" s="120"/>
      <c r="EZX3" s="120"/>
      <c r="EZY3" s="120"/>
      <c r="EZZ3" s="120"/>
      <c r="FAA3" s="120"/>
      <c r="FAB3" s="120"/>
      <c r="FAC3" s="120"/>
      <c r="FAD3" s="120"/>
      <c r="FAE3" s="120"/>
      <c r="FAF3" s="120"/>
      <c r="FAG3" s="120"/>
      <c r="FAH3" s="120"/>
      <c r="FAI3" s="120"/>
      <c r="FAJ3" s="120"/>
      <c r="FAK3" s="120"/>
      <c r="FAL3" s="120"/>
      <c r="FAM3" s="120"/>
      <c r="FAN3" s="120"/>
      <c r="FAO3" s="120"/>
      <c r="FAP3" s="120"/>
      <c r="FAQ3" s="120"/>
      <c r="FAR3" s="120"/>
      <c r="FAS3" s="120"/>
      <c r="FAT3" s="120"/>
      <c r="FAU3" s="120"/>
      <c r="FAV3" s="120"/>
      <c r="FAW3" s="120"/>
      <c r="FAX3" s="120"/>
      <c r="FAY3" s="120"/>
      <c r="FAZ3" s="120"/>
      <c r="FBA3" s="120"/>
      <c r="FBB3" s="120"/>
      <c r="FBC3" s="120"/>
      <c r="FBD3" s="120"/>
      <c r="FBE3" s="120"/>
      <c r="FBF3" s="120"/>
      <c r="FBG3" s="120"/>
      <c r="FBH3" s="120"/>
      <c r="FBI3" s="120"/>
      <c r="FBJ3" s="120"/>
      <c r="FBK3" s="120"/>
      <c r="FBL3" s="120"/>
      <c r="FBM3" s="120"/>
      <c r="FBN3" s="120"/>
      <c r="FBO3" s="120"/>
      <c r="FBP3" s="120"/>
      <c r="FBQ3" s="120"/>
      <c r="FBR3" s="120"/>
      <c r="FBS3" s="120"/>
      <c r="FBT3" s="120"/>
      <c r="FBU3" s="120"/>
      <c r="FBV3" s="120"/>
      <c r="FBW3" s="120"/>
      <c r="FBX3" s="120"/>
      <c r="FBY3" s="120"/>
      <c r="FBZ3" s="120"/>
      <c r="FCA3" s="120"/>
      <c r="FCB3" s="120"/>
      <c r="FCC3" s="120"/>
      <c r="FCD3" s="120"/>
      <c r="FCE3" s="120"/>
      <c r="FCF3" s="120"/>
      <c r="FCG3" s="120"/>
      <c r="FCH3" s="120"/>
      <c r="FCI3" s="120"/>
      <c r="FCJ3" s="120"/>
      <c r="FCK3" s="120"/>
      <c r="FCL3" s="120"/>
      <c r="FCM3" s="120"/>
      <c r="FCN3" s="120"/>
      <c r="FCO3" s="120"/>
      <c r="FCP3" s="120"/>
      <c r="FCQ3" s="120"/>
      <c r="FCR3" s="120"/>
      <c r="FCS3" s="120"/>
      <c r="FCT3" s="120"/>
      <c r="FCU3" s="120"/>
      <c r="FCV3" s="120"/>
      <c r="FCW3" s="120"/>
      <c r="FCX3" s="120"/>
      <c r="FCY3" s="120"/>
      <c r="FCZ3" s="120"/>
      <c r="FDA3" s="120"/>
      <c r="FDB3" s="120"/>
      <c r="FDC3" s="120"/>
      <c r="FDD3" s="120"/>
      <c r="FDE3" s="120"/>
      <c r="FDF3" s="120"/>
      <c r="FDG3" s="120"/>
      <c r="FDH3" s="120"/>
      <c r="FDI3" s="120"/>
      <c r="FDJ3" s="120"/>
      <c r="FDK3" s="120"/>
      <c r="FDL3" s="120"/>
      <c r="FDM3" s="120"/>
      <c r="FDN3" s="120"/>
      <c r="FDO3" s="120"/>
      <c r="FDP3" s="120"/>
      <c r="FDQ3" s="120"/>
      <c r="FDR3" s="120"/>
      <c r="FDS3" s="120"/>
      <c r="FDT3" s="120"/>
      <c r="FDU3" s="120"/>
      <c r="FDV3" s="120"/>
      <c r="FDW3" s="120"/>
      <c r="FDX3" s="120"/>
      <c r="FDY3" s="120"/>
      <c r="FDZ3" s="120"/>
      <c r="FEA3" s="120"/>
      <c r="FEB3" s="120"/>
      <c r="FEC3" s="120"/>
      <c r="FED3" s="120"/>
      <c r="FEE3" s="120"/>
      <c r="FEF3" s="120"/>
      <c r="FEG3" s="120"/>
      <c r="FEH3" s="120"/>
      <c r="FEI3" s="120"/>
      <c r="FEJ3" s="120"/>
      <c r="FEK3" s="120"/>
      <c r="FEL3" s="120"/>
      <c r="FEM3" s="120"/>
      <c r="FEN3" s="120"/>
      <c r="FEO3" s="120"/>
      <c r="FEP3" s="120"/>
      <c r="FEQ3" s="120"/>
      <c r="FER3" s="120"/>
      <c r="FES3" s="120"/>
      <c r="FET3" s="120"/>
      <c r="FEU3" s="120"/>
      <c r="FEV3" s="120"/>
      <c r="FEW3" s="120"/>
      <c r="FEX3" s="120"/>
      <c r="FEY3" s="120"/>
      <c r="FEZ3" s="120"/>
      <c r="FFA3" s="120"/>
      <c r="FFB3" s="120"/>
      <c r="FFC3" s="120"/>
      <c r="FFD3" s="120"/>
      <c r="FFE3" s="120"/>
      <c r="FFF3" s="120"/>
      <c r="FFG3" s="120"/>
      <c r="FFH3" s="120"/>
      <c r="FFI3" s="120"/>
      <c r="FFJ3" s="120"/>
      <c r="FFK3" s="120"/>
      <c r="FFL3" s="120"/>
      <c r="FFM3" s="120"/>
      <c r="FFN3" s="120"/>
      <c r="FFO3" s="120"/>
      <c r="FFP3" s="120"/>
      <c r="FFQ3" s="120"/>
      <c r="FFR3" s="120"/>
      <c r="FFS3" s="120"/>
      <c r="FFT3" s="120"/>
      <c r="FFU3" s="120"/>
      <c r="FFV3" s="120"/>
      <c r="FFW3" s="120"/>
      <c r="FFX3" s="120"/>
      <c r="FFY3" s="120"/>
      <c r="FFZ3" s="120"/>
      <c r="FGA3" s="120"/>
      <c r="FGB3" s="120"/>
      <c r="FGC3" s="120"/>
      <c r="FGD3" s="120"/>
      <c r="FGE3" s="120"/>
      <c r="FGF3" s="120"/>
      <c r="FGG3" s="120"/>
      <c r="FGH3" s="120"/>
      <c r="FGI3" s="120"/>
      <c r="FGJ3" s="120"/>
      <c r="FGK3" s="120"/>
      <c r="FGL3" s="120"/>
      <c r="FGM3" s="120"/>
      <c r="FGN3" s="120"/>
      <c r="FGO3" s="120"/>
      <c r="FGP3" s="120"/>
      <c r="FGQ3" s="120"/>
      <c r="FGR3" s="120"/>
      <c r="FGS3" s="120"/>
      <c r="FGT3" s="120"/>
      <c r="FGU3" s="120"/>
      <c r="FGV3" s="120"/>
      <c r="FGW3" s="120"/>
      <c r="FGX3" s="120"/>
      <c r="FGY3" s="120"/>
      <c r="FGZ3" s="120"/>
      <c r="FHA3" s="120"/>
      <c r="FHB3" s="120"/>
      <c r="FHC3" s="120"/>
      <c r="FHD3" s="120"/>
      <c r="FHE3" s="120"/>
      <c r="FHF3" s="120"/>
      <c r="FHG3" s="120"/>
      <c r="FHH3" s="120"/>
      <c r="FHI3" s="120"/>
      <c r="FHJ3" s="120"/>
      <c r="FHK3" s="120"/>
      <c r="FHL3" s="120"/>
      <c r="FHM3" s="120"/>
      <c r="FHN3" s="120"/>
      <c r="FHO3" s="120"/>
      <c r="FHP3" s="120"/>
      <c r="FHQ3" s="120"/>
      <c r="FHR3" s="120"/>
      <c r="FHS3" s="120"/>
      <c r="FHT3" s="120"/>
      <c r="FHU3" s="120"/>
      <c r="FHV3" s="120"/>
      <c r="FHW3" s="120"/>
      <c r="FHX3" s="120"/>
      <c r="FHY3" s="120"/>
      <c r="FHZ3" s="120"/>
      <c r="FIA3" s="120"/>
      <c r="FIB3" s="120"/>
      <c r="FIC3" s="120"/>
      <c r="FID3" s="120"/>
      <c r="FIE3" s="120"/>
      <c r="FIF3" s="120"/>
      <c r="FIG3" s="120"/>
      <c r="FIH3" s="120"/>
      <c r="FII3" s="120"/>
      <c r="FIJ3" s="120"/>
      <c r="FIK3" s="120"/>
      <c r="FIL3" s="120"/>
      <c r="FIM3" s="120"/>
      <c r="FIN3" s="120"/>
      <c r="FIO3" s="120"/>
      <c r="FIP3" s="120"/>
      <c r="FIQ3" s="120"/>
      <c r="FIR3" s="120"/>
      <c r="FIS3" s="120"/>
      <c r="FIT3" s="120"/>
      <c r="FIU3" s="120"/>
      <c r="FIV3" s="120"/>
      <c r="FIW3" s="120"/>
      <c r="FIX3" s="120"/>
      <c r="FIY3" s="120"/>
      <c r="FIZ3" s="120"/>
      <c r="FJA3" s="120"/>
      <c r="FJB3" s="120"/>
      <c r="FJC3" s="120"/>
      <c r="FJD3" s="120"/>
      <c r="FJE3" s="120"/>
      <c r="FJF3" s="120"/>
      <c r="FJG3" s="120"/>
      <c r="FJH3" s="120"/>
      <c r="FJI3" s="120"/>
      <c r="FJJ3" s="120"/>
      <c r="FJK3" s="120"/>
      <c r="FJL3" s="120"/>
      <c r="FJM3" s="120"/>
      <c r="FJN3" s="120"/>
      <c r="FJO3" s="120"/>
      <c r="FJP3" s="120"/>
      <c r="FJQ3" s="120"/>
      <c r="FJR3" s="120"/>
      <c r="FJS3" s="120"/>
      <c r="FJT3" s="120"/>
      <c r="FJU3" s="120"/>
      <c r="FJV3" s="120"/>
      <c r="FJW3" s="120"/>
      <c r="FJX3" s="120"/>
      <c r="FJY3" s="120"/>
      <c r="FJZ3" s="120"/>
      <c r="FKA3" s="120"/>
      <c r="FKB3" s="120"/>
      <c r="FKC3" s="120"/>
      <c r="FKD3" s="120"/>
      <c r="FKE3" s="120"/>
      <c r="FKF3" s="120"/>
      <c r="FKG3" s="120"/>
      <c r="FKH3" s="120"/>
      <c r="FKI3" s="120"/>
      <c r="FKJ3" s="120"/>
      <c r="FKK3" s="120"/>
      <c r="FKL3" s="120"/>
      <c r="FKM3" s="120"/>
      <c r="FKN3" s="120"/>
      <c r="FKO3" s="120"/>
      <c r="FKP3" s="120"/>
      <c r="FKQ3" s="120"/>
      <c r="FKR3" s="120"/>
      <c r="FKS3" s="120"/>
      <c r="FKT3" s="120"/>
      <c r="FKU3" s="120"/>
      <c r="FKV3" s="120"/>
      <c r="FKW3" s="120"/>
      <c r="FKX3" s="120"/>
      <c r="FKY3" s="120"/>
      <c r="FKZ3" s="120"/>
      <c r="FLA3" s="120"/>
      <c r="FLB3" s="120"/>
      <c r="FLC3" s="120"/>
      <c r="FLD3" s="120"/>
      <c r="FLE3" s="120"/>
      <c r="FLF3" s="120"/>
      <c r="FLG3" s="120"/>
      <c r="FLH3" s="120"/>
      <c r="FLI3" s="120"/>
      <c r="FLJ3" s="120"/>
      <c r="FLK3" s="120"/>
      <c r="FLL3" s="120"/>
      <c r="FLM3" s="120"/>
      <c r="FLN3" s="120"/>
      <c r="FLO3" s="120"/>
      <c r="FLP3" s="120"/>
      <c r="FLQ3" s="120"/>
      <c r="FLR3" s="120"/>
      <c r="FLS3" s="120"/>
      <c r="FLT3" s="120"/>
      <c r="FLU3" s="120"/>
      <c r="FLV3" s="120"/>
      <c r="FLW3" s="120"/>
      <c r="FLX3" s="120"/>
      <c r="FLY3" s="120"/>
      <c r="FLZ3" s="120"/>
      <c r="FMA3" s="120"/>
      <c r="FMB3" s="120"/>
      <c r="FMC3" s="120"/>
      <c r="FMD3" s="120"/>
      <c r="FME3" s="120"/>
      <c r="FMF3" s="120"/>
      <c r="FMG3" s="120"/>
      <c r="FMH3" s="120"/>
      <c r="FMI3" s="120"/>
      <c r="FMJ3" s="120"/>
      <c r="FMK3" s="120"/>
      <c r="FML3" s="120"/>
      <c r="FMM3" s="120"/>
      <c r="FMN3" s="120"/>
      <c r="FMO3" s="120"/>
      <c r="FMP3" s="120"/>
      <c r="FMQ3" s="120"/>
      <c r="FMR3" s="120"/>
      <c r="FMS3" s="120"/>
      <c r="FMT3" s="120"/>
      <c r="FMU3" s="120"/>
      <c r="FMV3" s="120"/>
      <c r="FMW3" s="120"/>
      <c r="FMX3" s="120"/>
      <c r="FMY3" s="120"/>
      <c r="FMZ3" s="120"/>
      <c r="FNA3" s="120"/>
      <c r="FNB3" s="120"/>
      <c r="FNC3" s="120"/>
      <c r="FND3" s="120"/>
      <c r="FNE3" s="120"/>
      <c r="FNF3" s="120"/>
      <c r="FNG3" s="120"/>
      <c r="FNH3" s="120"/>
      <c r="FNI3" s="120"/>
      <c r="FNJ3" s="120"/>
      <c r="FNK3" s="120"/>
      <c r="FNL3" s="120"/>
      <c r="FNM3" s="120"/>
      <c r="FNN3" s="120"/>
      <c r="FNO3" s="120"/>
      <c r="FNP3" s="120"/>
      <c r="FNQ3" s="120"/>
      <c r="FNR3" s="120"/>
      <c r="FNS3" s="120"/>
      <c r="FNT3" s="120"/>
      <c r="FNU3" s="120"/>
      <c r="FNV3" s="120"/>
      <c r="FNW3" s="120"/>
      <c r="FNX3" s="120"/>
      <c r="FNY3" s="120"/>
      <c r="FNZ3" s="120"/>
      <c r="FOA3" s="120"/>
      <c r="FOB3" s="120"/>
      <c r="FOC3" s="120"/>
      <c r="FOD3" s="120"/>
      <c r="FOE3" s="120"/>
      <c r="FOF3" s="120"/>
      <c r="FOG3" s="120"/>
      <c r="FOH3" s="120"/>
      <c r="FOI3" s="120"/>
      <c r="FOJ3" s="120"/>
      <c r="FOK3" s="120"/>
      <c r="FOL3" s="120"/>
      <c r="FOM3" s="120"/>
      <c r="FON3" s="120"/>
      <c r="FOO3" s="120"/>
      <c r="FOP3" s="120"/>
      <c r="FOQ3" s="120"/>
      <c r="FOR3" s="120"/>
      <c r="FOS3" s="120"/>
      <c r="FOT3" s="120"/>
      <c r="FOU3" s="120"/>
      <c r="FOV3" s="120"/>
      <c r="FOW3" s="120"/>
      <c r="FOX3" s="120"/>
      <c r="FOY3" s="120"/>
      <c r="FOZ3" s="120"/>
      <c r="FPA3" s="120"/>
      <c r="FPB3" s="120"/>
      <c r="FPC3" s="120"/>
      <c r="FPD3" s="120"/>
      <c r="FPE3" s="120"/>
      <c r="FPF3" s="120"/>
      <c r="FPG3" s="120"/>
      <c r="FPH3" s="120"/>
      <c r="FPI3" s="120"/>
      <c r="FPJ3" s="120"/>
      <c r="FPK3" s="120"/>
      <c r="FPL3" s="120"/>
      <c r="FPM3" s="120"/>
      <c r="FPN3" s="120"/>
      <c r="FPO3" s="120"/>
      <c r="FPP3" s="120"/>
      <c r="FPQ3" s="120"/>
      <c r="FPR3" s="120"/>
      <c r="FPS3" s="120"/>
      <c r="FPT3" s="120"/>
      <c r="FPU3" s="120"/>
      <c r="FPV3" s="120"/>
      <c r="FPW3" s="120"/>
      <c r="FPX3" s="120"/>
      <c r="FPY3" s="120"/>
      <c r="FPZ3" s="120"/>
      <c r="FQA3" s="120"/>
      <c r="FQB3" s="120"/>
      <c r="FQC3" s="120"/>
      <c r="FQD3" s="120"/>
      <c r="FQE3" s="120"/>
      <c r="FQF3" s="120"/>
      <c r="FQG3" s="120"/>
      <c r="FQH3" s="120"/>
      <c r="FQI3" s="120"/>
      <c r="FQJ3" s="120"/>
      <c r="FQK3" s="120"/>
      <c r="FQL3" s="120"/>
      <c r="FQM3" s="120"/>
      <c r="FQN3" s="120"/>
      <c r="FQO3" s="120"/>
      <c r="FQP3" s="120"/>
      <c r="FQQ3" s="120"/>
      <c r="FQR3" s="120"/>
      <c r="FQS3" s="120"/>
      <c r="FQT3" s="120"/>
      <c r="FQU3" s="120"/>
      <c r="FQV3" s="120"/>
      <c r="FQW3" s="120"/>
      <c r="FQX3" s="120"/>
      <c r="FQY3" s="120"/>
      <c r="FQZ3" s="120"/>
      <c r="FRA3" s="120"/>
      <c r="FRB3" s="120"/>
      <c r="FRC3" s="120"/>
      <c r="FRD3" s="120"/>
      <c r="FRE3" s="120"/>
      <c r="FRF3" s="120"/>
      <c r="FRG3" s="120"/>
      <c r="FRH3" s="120"/>
      <c r="FRI3" s="120"/>
      <c r="FRJ3" s="120"/>
      <c r="FRK3" s="120"/>
      <c r="FRL3" s="120"/>
      <c r="FRM3" s="120"/>
      <c r="FRN3" s="120"/>
      <c r="FRO3" s="120"/>
      <c r="FRP3" s="120"/>
      <c r="FRQ3" s="120"/>
      <c r="FRR3" s="120"/>
      <c r="FRS3" s="120"/>
      <c r="FRT3" s="120"/>
      <c r="FRU3" s="120"/>
      <c r="FRV3" s="120"/>
      <c r="FRW3" s="120"/>
      <c r="FRX3" s="120"/>
      <c r="FRY3" s="120"/>
      <c r="FRZ3" s="120"/>
      <c r="FSA3" s="120"/>
      <c r="FSB3" s="120"/>
      <c r="FSC3" s="120"/>
      <c r="FSD3" s="120"/>
      <c r="FSE3" s="120"/>
      <c r="FSF3" s="120"/>
      <c r="FSG3" s="120"/>
      <c r="FSH3" s="120"/>
      <c r="FSI3" s="120"/>
      <c r="FSJ3" s="120"/>
      <c r="FSK3" s="120"/>
      <c r="FSL3" s="120"/>
      <c r="FSM3" s="120"/>
      <c r="FSN3" s="120"/>
      <c r="FSO3" s="120"/>
      <c r="FSP3" s="120"/>
      <c r="FSQ3" s="120"/>
      <c r="FSR3" s="120"/>
      <c r="FSS3" s="120"/>
      <c r="FST3" s="120"/>
      <c r="FSU3" s="120"/>
      <c r="FSV3" s="120"/>
      <c r="FSW3" s="120"/>
      <c r="FSX3" s="120"/>
      <c r="FSY3" s="120"/>
      <c r="FSZ3" s="120"/>
      <c r="FTA3" s="120"/>
      <c r="FTB3" s="120"/>
      <c r="FTC3" s="120"/>
      <c r="FTD3" s="120"/>
      <c r="FTE3" s="120"/>
      <c r="FTF3" s="120"/>
      <c r="FTG3" s="120"/>
      <c r="FTH3" s="120"/>
      <c r="FTI3" s="120"/>
      <c r="FTJ3" s="120"/>
      <c r="FTK3" s="120"/>
      <c r="FTL3" s="120"/>
      <c r="FTM3" s="120"/>
      <c r="FTN3" s="120"/>
      <c r="FTO3" s="120"/>
      <c r="FTP3" s="120"/>
      <c r="FTQ3" s="120"/>
      <c r="FTR3" s="120"/>
      <c r="FTS3" s="120"/>
      <c r="FTT3" s="120"/>
      <c r="FTU3" s="120"/>
      <c r="FTV3" s="120"/>
      <c r="FTW3" s="120"/>
      <c r="FTX3" s="120"/>
      <c r="FTY3" s="120"/>
      <c r="FTZ3" s="120"/>
      <c r="FUA3" s="120"/>
      <c r="FUB3" s="120"/>
      <c r="FUC3" s="120"/>
      <c r="FUD3" s="120"/>
      <c r="FUE3" s="120"/>
      <c r="FUF3" s="120"/>
      <c r="FUG3" s="120"/>
      <c r="FUH3" s="120"/>
      <c r="FUI3" s="120"/>
      <c r="FUJ3" s="120"/>
      <c r="FUK3" s="120"/>
      <c r="FUL3" s="120"/>
      <c r="FUM3" s="120"/>
      <c r="FUN3" s="120"/>
      <c r="FUO3" s="120"/>
      <c r="FUP3" s="120"/>
      <c r="FUQ3" s="120"/>
      <c r="FUR3" s="120"/>
      <c r="FUS3" s="120"/>
      <c r="FUT3" s="120"/>
      <c r="FUU3" s="120"/>
      <c r="FUV3" s="120"/>
      <c r="FUW3" s="120"/>
      <c r="FUX3" s="120"/>
      <c r="FUY3" s="120"/>
      <c r="FUZ3" s="120"/>
      <c r="FVA3" s="120"/>
      <c r="FVB3" s="120"/>
      <c r="FVC3" s="120"/>
      <c r="FVD3" s="120"/>
      <c r="FVE3" s="120"/>
      <c r="FVF3" s="120"/>
      <c r="FVG3" s="120"/>
      <c r="FVH3" s="120"/>
      <c r="FVI3" s="120"/>
      <c r="FVJ3" s="120"/>
      <c r="FVK3" s="120"/>
      <c r="FVL3" s="120"/>
      <c r="FVM3" s="120"/>
      <c r="FVN3" s="120"/>
      <c r="FVO3" s="120"/>
      <c r="FVP3" s="120"/>
      <c r="FVQ3" s="120"/>
      <c r="FVR3" s="120"/>
      <c r="FVS3" s="120"/>
      <c r="FVT3" s="120"/>
      <c r="FVU3" s="120"/>
      <c r="FVV3" s="120"/>
      <c r="FVW3" s="120"/>
      <c r="FVX3" s="120"/>
      <c r="FVY3" s="120"/>
      <c r="FVZ3" s="120"/>
      <c r="FWA3" s="120"/>
      <c r="FWB3" s="120"/>
      <c r="FWC3" s="120"/>
      <c r="FWD3" s="120"/>
      <c r="FWE3" s="120"/>
      <c r="FWF3" s="120"/>
      <c r="FWG3" s="120"/>
      <c r="FWH3" s="120"/>
      <c r="FWI3" s="120"/>
      <c r="FWJ3" s="120"/>
      <c r="FWK3" s="120"/>
      <c r="FWL3" s="120"/>
      <c r="FWM3" s="120"/>
      <c r="FWN3" s="120"/>
      <c r="FWO3" s="120"/>
      <c r="FWP3" s="120"/>
      <c r="FWQ3" s="120"/>
      <c r="FWR3" s="120"/>
      <c r="FWS3" s="120"/>
      <c r="FWT3" s="120"/>
      <c r="FWU3" s="120"/>
      <c r="FWV3" s="120"/>
      <c r="FWW3" s="120"/>
      <c r="FWX3" s="120"/>
      <c r="FWY3" s="120"/>
      <c r="FWZ3" s="120"/>
      <c r="FXA3" s="120"/>
      <c r="FXB3" s="120"/>
      <c r="FXC3" s="120"/>
      <c r="FXD3" s="120"/>
      <c r="FXE3" s="120"/>
      <c r="FXF3" s="120"/>
      <c r="FXG3" s="120"/>
      <c r="FXH3" s="120"/>
      <c r="FXI3" s="120"/>
      <c r="FXJ3" s="120"/>
      <c r="FXK3" s="120"/>
      <c r="FXL3" s="120"/>
      <c r="FXM3" s="120"/>
      <c r="FXN3" s="120"/>
      <c r="FXO3" s="120"/>
      <c r="FXP3" s="120"/>
      <c r="FXQ3" s="120"/>
      <c r="FXR3" s="120"/>
      <c r="FXS3" s="120"/>
      <c r="FXT3" s="120"/>
      <c r="FXU3" s="120"/>
      <c r="FXV3" s="120"/>
      <c r="FXW3" s="120"/>
      <c r="FXX3" s="120"/>
      <c r="FXY3" s="120"/>
      <c r="FXZ3" s="120"/>
      <c r="FYA3" s="120"/>
      <c r="FYB3" s="120"/>
      <c r="FYC3" s="120"/>
      <c r="FYD3" s="120"/>
      <c r="FYE3" s="120"/>
      <c r="FYF3" s="120"/>
      <c r="FYG3" s="120"/>
      <c r="FYH3" s="120"/>
      <c r="FYI3" s="120"/>
      <c r="FYJ3" s="120"/>
      <c r="FYK3" s="120"/>
      <c r="FYL3" s="120"/>
      <c r="FYM3" s="120"/>
      <c r="FYN3" s="120"/>
      <c r="FYO3" s="120"/>
      <c r="FYP3" s="120"/>
      <c r="FYQ3" s="120"/>
      <c r="FYR3" s="120"/>
      <c r="FYS3" s="120"/>
      <c r="FYT3" s="120"/>
      <c r="FYU3" s="120"/>
      <c r="FYV3" s="120"/>
      <c r="FYW3" s="120"/>
      <c r="FYX3" s="120"/>
      <c r="FYY3" s="120"/>
      <c r="FYZ3" s="120"/>
      <c r="FZA3" s="120"/>
      <c r="FZB3" s="120"/>
      <c r="FZC3" s="120"/>
      <c r="FZD3" s="120"/>
      <c r="FZE3" s="120"/>
      <c r="FZF3" s="120"/>
      <c r="FZG3" s="120"/>
      <c r="FZH3" s="120"/>
      <c r="FZI3" s="120"/>
      <c r="FZJ3" s="120"/>
      <c r="FZK3" s="120"/>
      <c r="FZL3" s="120"/>
      <c r="FZM3" s="120"/>
      <c r="FZN3" s="120"/>
      <c r="FZO3" s="120"/>
      <c r="FZP3" s="120"/>
      <c r="FZQ3" s="120"/>
      <c r="FZR3" s="120"/>
      <c r="FZS3" s="120"/>
      <c r="FZT3" s="120"/>
      <c r="FZU3" s="120"/>
      <c r="FZV3" s="120"/>
      <c r="FZW3" s="120"/>
      <c r="FZX3" s="120"/>
      <c r="FZY3" s="120"/>
      <c r="FZZ3" s="120"/>
      <c r="GAA3" s="120"/>
      <c r="GAB3" s="120"/>
      <c r="GAC3" s="120"/>
      <c r="GAD3" s="120"/>
      <c r="GAE3" s="120"/>
      <c r="GAF3" s="120"/>
      <c r="GAG3" s="120"/>
      <c r="GAH3" s="120"/>
      <c r="GAI3" s="120"/>
      <c r="GAJ3" s="120"/>
      <c r="GAK3" s="120"/>
      <c r="GAL3" s="120"/>
      <c r="GAM3" s="120"/>
      <c r="GAN3" s="120"/>
      <c r="GAO3" s="120"/>
      <c r="GAP3" s="120"/>
      <c r="GAQ3" s="120"/>
      <c r="GAR3" s="120"/>
      <c r="GAS3" s="120"/>
      <c r="GAT3" s="120"/>
      <c r="GAU3" s="120"/>
      <c r="GAV3" s="120"/>
      <c r="GAW3" s="120"/>
      <c r="GAX3" s="120"/>
      <c r="GAY3" s="120"/>
      <c r="GAZ3" s="120"/>
      <c r="GBA3" s="120"/>
      <c r="GBB3" s="120"/>
      <c r="GBC3" s="120"/>
      <c r="GBD3" s="120"/>
      <c r="GBE3" s="120"/>
      <c r="GBF3" s="120"/>
      <c r="GBG3" s="120"/>
      <c r="GBH3" s="120"/>
      <c r="GBI3" s="120"/>
      <c r="GBJ3" s="120"/>
      <c r="GBK3" s="120"/>
      <c r="GBL3" s="120"/>
      <c r="GBM3" s="120"/>
      <c r="GBN3" s="120"/>
      <c r="GBO3" s="120"/>
      <c r="GBP3" s="120"/>
      <c r="GBQ3" s="120"/>
      <c r="GBR3" s="120"/>
      <c r="GBS3" s="120"/>
      <c r="GBT3" s="120"/>
      <c r="GBU3" s="120"/>
      <c r="GBV3" s="120"/>
      <c r="GBW3" s="120"/>
      <c r="GBX3" s="120"/>
      <c r="GBY3" s="120"/>
      <c r="GBZ3" s="120"/>
      <c r="GCA3" s="120"/>
      <c r="GCB3" s="120"/>
      <c r="GCC3" s="120"/>
      <c r="GCD3" s="120"/>
      <c r="GCE3" s="120"/>
      <c r="GCF3" s="120"/>
      <c r="GCG3" s="120"/>
      <c r="GCH3" s="120"/>
      <c r="GCI3" s="120"/>
      <c r="GCJ3" s="120"/>
      <c r="GCK3" s="120"/>
      <c r="GCL3" s="120"/>
      <c r="GCM3" s="120"/>
      <c r="GCN3" s="120"/>
      <c r="GCO3" s="120"/>
      <c r="GCP3" s="120"/>
      <c r="GCQ3" s="120"/>
      <c r="GCR3" s="120"/>
      <c r="GCS3" s="120"/>
      <c r="GCT3" s="120"/>
      <c r="GCU3" s="120"/>
      <c r="GCV3" s="120"/>
      <c r="GCW3" s="120"/>
      <c r="GCX3" s="120"/>
      <c r="GCY3" s="120"/>
      <c r="GCZ3" s="120"/>
      <c r="GDA3" s="120"/>
      <c r="GDB3" s="120"/>
      <c r="GDC3" s="120"/>
      <c r="GDD3" s="120"/>
      <c r="GDE3" s="120"/>
      <c r="GDF3" s="120"/>
      <c r="GDG3" s="120"/>
      <c r="GDH3" s="120"/>
      <c r="GDI3" s="120"/>
      <c r="GDJ3" s="120"/>
      <c r="GDK3" s="120"/>
      <c r="GDL3" s="120"/>
      <c r="GDM3" s="120"/>
      <c r="GDN3" s="120"/>
      <c r="GDO3" s="120"/>
      <c r="GDP3" s="120"/>
      <c r="GDQ3" s="120"/>
      <c r="GDR3" s="120"/>
      <c r="GDS3" s="120"/>
      <c r="GDT3" s="120"/>
      <c r="GDU3" s="120"/>
      <c r="GDV3" s="120"/>
      <c r="GDW3" s="120"/>
      <c r="GDX3" s="120"/>
      <c r="GDY3" s="120"/>
      <c r="GDZ3" s="120"/>
      <c r="GEA3" s="120"/>
      <c r="GEB3" s="120"/>
      <c r="GEC3" s="120"/>
      <c r="GED3" s="120"/>
      <c r="GEE3" s="120"/>
      <c r="GEF3" s="120"/>
      <c r="GEG3" s="120"/>
      <c r="GEH3" s="120"/>
      <c r="GEI3" s="120"/>
      <c r="GEJ3" s="120"/>
      <c r="GEK3" s="120"/>
      <c r="GEL3" s="120"/>
      <c r="GEM3" s="120"/>
      <c r="GEN3" s="120"/>
      <c r="GEO3" s="120"/>
      <c r="GEP3" s="120"/>
      <c r="GEQ3" s="120"/>
      <c r="GER3" s="120"/>
      <c r="GES3" s="120"/>
      <c r="GET3" s="120"/>
      <c r="GEU3" s="120"/>
      <c r="GEV3" s="120"/>
      <c r="GEW3" s="120"/>
      <c r="GEX3" s="120"/>
      <c r="GEY3" s="120"/>
      <c r="GEZ3" s="120"/>
      <c r="GFA3" s="120"/>
      <c r="GFB3" s="120"/>
      <c r="GFC3" s="120"/>
      <c r="GFD3" s="120"/>
      <c r="GFE3" s="120"/>
      <c r="GFF3" s="120"/>
      <c r="GFG3" s="120"/>
      <c r="GFH3" s="120"/>
      <c r="GFI3" s="120"/>
      <c r="GFJ3" s="120"/>
      <c r="GFK3" s="120"/>
      <c r="GFL3" s="120"/>
      <c r="GFM3" s="120"/>
      <c r="GFN3" s="120"/>
      <c r="GFO3" s="120"/>
      <c r="GFP3" s="120"/>
      <c r="GFQ3" s="120"/>
      <c r="GFR3" s="120"/>
      <c r="GFS3" s="120"/>
      <c r="GFT3" s="120"/>
      <c r="GFU3" s="120"/>
      <c r="GFV3" s="120"/>
      <c r="GFW3" s="120"/>
      <c r="GFX3" s="120"/>
      <c r="GFY3" s="120"/>
      <c r="GFZ3" s="120"/>
      <c r="GGA3" s="120"/>
      <c r="GGB3" s="120"/>
      <c r="GGC3" s="120"/>
      <c r="GGD3" s="120"/>
      <c r="GGE3" s="120"/>
      <c r="GGF3" s="120"/>
      <c r="GGG3" s="120"/>
      <c r="GGH3" s="120"/>
      <c r="GGI3" s="120"/>
      <c r="GGJ3" s="120"/>
      <c r="GGK3" s="120"/>
      <c r="GGL3" s="120"/>
      <c r="GGM3" s="120"/>
      <c r="GGN3" s="120"/>
      <c r="GGO3" s="120"/>
      <c r="GGP3" s="120"/>
      <c r="GGQ3" s="120"/>
      <c r="GGR3" s="120"/>
      <c r="GGS3" s="120"/>
      <c r="GGT3" s="120"/>
      <c r="GGU3" s="120"/>
      <c r="GGV3" s="120"/>
      <c r="GGW3" s="120"/>
      <c r="GGX3" s="120"/>
      <c r="GGY3" s="120"/>
      <c r="GGZ3" s="120"/>
      <c r="GHA3" s="120"/>
      <c r="GHB3" s="120"/>
      <c r="GHC3" s="120"/>
      <c r="GHD3" s="120"/>
      <c r="GHE3" s="120"/>
      <c r="GHF3" s="120"/>
      <c r="GHG3" s="120"/>
      <c r="GHH3" s="120"/>
      <c r="GHI3" s="120"/>
      <c r="GHJ3" s="120"/>
      <c r="GHK3" s="120"/>
      <c r="GHL3" s="120"/>
      <c r="GHM3" s="120"/>
      <c r="GHN3" s="120"/>
      <c r="GHO3" s="120"/>
      <c r="GHP3" s="120"/>
      <c r="GHQ3" s="120"/>
      <c r="GHR3" s="120"/>
      <c r="GHS3" s="120"/>
      <c r="GHT3" s="120"/>
      <c r="GHU3" s="120"/>
      <c r="GHV3" s="120"/>
      <c r="GHW3" s="120"/>
      <c r="GHX3" s="120"/>
      <c r="GHY3" s="120"/>
      <c r="GHZ3" s="120"/>
      <c r="GIA3" s="120"/>
      <c r="GIB3" s="120"/>
      <c r="GIC3" s="120"/>
      <c r="GID3" s="120"/>
      <c r="GIE3" s="120"/>
      <c r="GIF3" s="120"/>
      <c r="GIG3" s="120"/>
      <c r="GIH3" s="120"/>
      <c r="GII3" s="120"/>
      <c r="GIJ3" s="120"/>
      <c r="GIK3" s="120"/>
      <c r="GIL3" s="120"/>
      <c r="GIM3" s="120"/>
      <c r="GIN3" s="120"/>
      <c r="GIO3" s="120"/>
      <c r="GIP3" s="120"/>
      <c r="GIQ3" s="120"/>
      <c r="GIR3" s="120"/>
      <c r="GIS3" s="120"/>
      <c r="GIT3" s="120"/>
      <c r="GIU3" s="120"/>
      <c r="GIV3" s="120"/>
      <c r="GIW3" s="120"/>
      <c r="GIX3" s="120"/>
      <c r="GIY3" s="120"/>
      <c r="GIZ3" s="120"/>
      <c r="GJA3" s="120"/>
      <c r="GJB3" s="120"/>
      <c r="GJC3" s="120"/>
      <c r="GJD3" s="120"/>
      <c r="GJE3" s="120"/>
      <c r="GJF3" s="120"/>
      <c r="GJG3" s="120"/>
      <c r="GJH3" s="120"/>
      <c r="GJI3" s="120"/>
      <c r="GJJ3" s="120"/>
      <c r="GJK3" s="120"/>
      <c r="GJL3" s="120"/>
      <c r="GJM3" s="120"/>
      <c r="GJN3" s="120"/>
      <c r="GJO3" s="120"/>
      <c r="GJP3" s="120"/>
      <c r="GJQ3" s="120"/>
      <c r="GJR3" s="120"/>
      <c r="GJS3" s="120"/>
      <c r="GJT3" s="120"/>
      <c r="GJU3" s="120"/>
      <c r="GJV3" s="120"/>
      <c r="GJW3" s="120"/>
      <c r="GJX3" s="120"/>
      <c r="GJY3" s="120"/>
      <c r="GJZ3" s="120"/>
      <c r="GKA3" s="120"/>
      <c r="GKB3" s="120"/>
      <c r="GKC3" s="120"/>
      <c r="GKD3" s="120"/>
      <c r="GKE3" s="120"/>
      <c r="GKF3" s="120"/>
      <c r="GKG3" s="120"/>
      <c r="GKH3" s="120"/>
      <c r="GKI3" s="120"/>
      <c r="GKJ3" s="120"/>
      <c r="GKK3" s="120"/>
      <c r="GKL3" s="120"/>
      <c r="GKM3" s="120"/>
      <c r="GKN3" s="120"/>
      <c r="GKO3" s="120"/>
      <c r="GKP3" s="120"/>
      <c r="GKQ3" s="120"/>
      <c r="GKR3" s="120"/>
      <c r="GKS3" s="120"/>
      <c r="GKT3" s="120"/>
      <c r="GKU3" s="120"/>
      <c r="GKV3" s="120"/>
      <c r="GKW3" s="120"/>
      <c r="GKX3" s="120"/>
      <c r="GKY3" s="120"/>
      <c r="GKZ3" s="120"/>
      <c r="GLA3" s="120"/>
      <c r="GLB3" s="120"/>
      <c r="GLC3" s="120"/>
      <c r="GLD3" s="120"/>
      <c r="GLE3" s="120"/>
      <c r="GLF3" s="120"/>
      <c r="GLG3" s="120"/>
      <c r="GLH3" s="120"/>
      <c r="GLI3" s="120"/>
      <c r="GLJ3" s="120"/>
      <c r="GLK3" s="120"/>
      <c r="GLL3" s="120"/>
      <c r="GLM3" s="120"/>
      <c r="GLN3" s="120"/>
      <c r="GLO3" s="120"/>
      <c r="GLP3" s="120"/>
      <c r="GLQ3" s="120"/>
      <c r="GLR3" s="120"/>
      <c r="GLS3" s="120"/>
      <c r="GLT3" s="120"/>
      <c r="GLU3" s="120"/>
      <c r="GLV3" s="120"/>
      <c r="GLW3" s="120"/>
      <c r="GLX3" s="120"/>
      <c r="GLY3" s="120"/>
      <c r="GLZ3" s="120"/>
      <c r="GMA3" s="120"/>
      <c r="GMB3" s="120"/>
      <c r="GMC3" s="120"/>
      <c r="GMD3" s="120"/>
      <c r="GME3" s="120"/>
      <c r="GMF3" s="120"/>
      <c r="GMG3" s="120"/>
      <c r="GMH3" s="120"/>
      <c r="GMI3" s="120"/>
      <c r="GMJ3" s="120"/>
      <c r="GMK3" s="120"/>
      <c r="GML3" s="120"/>
      <c r="GMM3" s="120"/>
      <c r="GMN3" s="120"/>
      <c r="GMO3" s="120"/>
      <c r="GMP3" s="120"/>
      <c r="GMQ3" s="120"/>
      <c r="GMR3" s="120"/>
      <c r="GMS3" s="120"/>
      <c r="GMT3" s="120"/>
      <c r="GMU3" s="120"/>
      <c r="GMV3" s="120"/>
      <c r="GMW3" s="120"/>
      <c r="GMX3" s="120"/>
      <c r="GMY3" s="120"/>
      <c r="GMZ3" s="120"/>
      <c r="GNA3" s="120"/>
      <c r="GNB3" s="120"/>
      <c r="GNC3" s="120"/>
      <c r="GND3" s="120"/>
      <c r="GNE3" s="120"/>
      <c r="GNF3" s="120"/>
      <c r="GNG3" s="120"/>
      <c r="GNH3" s="120"/>
      <c r="GNI3" s="120"/>
      <c r="GNJ3" s="120"/>
      <c r="GNK3" s="120"/>
      <c r="GNL3" s="120"/>
      <c r="GNM3" s="120"/>
      <c r="GNN3" s="120"/>
      <c r="GNO3" s="120"/>
      <c r="GNP3" s="120"/>
      <c r="GNQ3" s="120"/>
      <c r="GNR3" s="120"/>
      <c r="GNS3" s="120"/>
      <c r="GNT3" s="120"/>
      <c r="GNU3" s="120"/>
      <c r="GNV3" s="120"/>
      <c r="GNW3" s="120"/>
      <c r="GNX3" s="120"/>
      <c r="GNY3" s="120"/>
      <c r="GNZ3" s="120"/>
      <c r="GOA3" s="120"/>
      <c r="GOB3" s="120"/>
      <c r="GOC3" s="120"/>
      <c r="GOD3" s="120"/>
      <c r="GOE3" s="120"/>
      <c r="GOF3" s="120"/>
      <c r="GOG3" s="120"/>
      <c r="GOH3" s="120"/>
      <c r="GOI3" s="120"/>
      <c r="GOJ3" s="120"/>
      <c r="GOK3" s="120"/>
      <c r="GOL3" s="120"/>
      <c r="GOM3" s="120"/>
      <c r="GON3" s="120"/>
      <c r="GOO3" s="120"/>
      <c r="GOP3" s="120"/>
      <c r="GOQ3" s="120"/>
      <c r="GOR3" s="120"/>
      <c r="GOS3" s="120"/>
      <c r="GOT3" s="120"/>
      <c r="GOU3" s="120"/>
      <c r="GOV3" s="120"/>
      <c r="GOW3" s="120"/>
      <c r="GOX3" s="120"/>
      <c r="GOY3" s="120"/>
      <c r="GOZ3" s="120"/>
      <c r="GPA3" s="120"/>
      <c r="GPB3" s="120"/>
      <c r="GPC3" s="120"/>
      <c r="GPD3" s="120"/>
      <c r="GPE3" s="120"/>
      <c r="GPF3" s="120"/>
      <c r="GPG3" s="120"/>
      <c r="GPH3" s="120"/>
      <c r="GPI3" s="120"/>
      <c r="GPJ3" s="120"/>
      <c r="GPK3" s="120"/>
      <c r="GPL3" s="120"/>
      <c r="GPM3" s="120"/>
      <c r="GPN3" s="120"/>
      <c r="GPO3" s="120"/>
      <c r="GPP3" s="120"/>
      <c r="GPQ3" s="120"/>
      <c r="GPR3" s="120"/>
      <c r="GPS3" s="120"/>
      <c r="GPT3" s="120"/>
      <c r="GPU3" s="120"/>
      <c r="GPV3" s="120"/>
      <c r="GPW3" s="120"/>
      <c r="GPX3" s="120"/>
      <c r="GPY3" s="120"/>
      <c r="GPZ3" s="120"/>
      <c r="GQA3" s="120"/>
      <c r="GQB3" s="120"/>
      <c r="GQC3" s="120"/>
      <c r="GQD3" s="120"/>
      <c r="GQE3" s="120"/>
      <c r="GQF3" s="120"/>
      <c r="GQG3" s="120"/>
      <c r="GQH3" s="120"/>
      <c r="GQI3" s="120"/>
      <c r="GQJ3" s="120"/>
      <c r="GQK3" s="120"/>
      <c r="GQL3" s="120"/>
      <c r="GQM3" s="120"/>
      <c r="GQN3" s="120"/>
      <c r="GQO3" s="120"/>
      <c r="GQP3" s="120"/>
      <c r="GQQ3" s="120"/>
      <c r="GQR3" s="120"/>
      <c r="GQS3" s="120"/>
      <c r="GQT3" s="120"/>
      <c r="GQU3" s="120"/>
      <c r="GQV3" s="120"/>
      <c r="GQW3" s="120"/>
      <c r="GQX3" s="120"/>
      <c r="GQY3" s="120"/>
      <c r="GQZ3" s="120"/>
      <c r="GRA3" s="120"/>
      <c r="GRB3" s="120"/>
      <c r="GRC3" s="120"/>
      <c r="GRD3" s="120"/>
      <c r="GRE3" s="120"/>
      <c r="GRF3" s="120"/>
      <c r="GRG3" s="120"/>
      <c r="GRH3" s="120"/>
      <c r="GRI3" s="120"/>
      <c r="GRJ3" s="120"/>
      <c r="GRK3" s="120"/>
      <c r="GRL3" s="120"/>
      <c r="GRM3" s="120"/>
      <c r="GRN3" s="120"/>
      <c r="GRO3" s="120"/>
      <c r="GRP3" s="120"/>
      <c r="GRQ3" s="120"/>
      <c r="GRR3" s="120"/>
      <c r="GRS3" s="120"/>
      <c r="GRT3" s="120"/>
      <c r="GRU3" s="120"/>
      <c r="GRV3" s="120"/>
      <c r="GRW3" s="120"/>
      <c r="GRX3" s="120"/>
      <c r="GRY3" s="120"/>
      <c r="GRZ3" s="120"/>
      <c r="GSA3" s="120"/>
      <c r="GSB3" s="120"/>
      <c r="GSC3" s="120"/>
      <c r="GSD3" s="120"/>
      <c r="GSE3" s="120"/>
      <c r="GSF3" s="120"/>
      <c r="GSG3" s="120"/>
      <c r="GSH3" s="120"/>
      <c r="GSI3" s="120"/>
      <c r="GSJ3" s="120"/>
      <c r="GSK3" s="120"/>
      <c r="GSL3" s="120"/>
      <c r="GSM3" s="120"/>
      <c r="GSN3" s="120"/>
      <c r="GSO3" s="120"/>
      <c r="GSP3" s="120"/>
      <c r="GSQ3" s="120"/>
      <c r="GSR3" s="120"/>
      <c r="GSS3" s="120"/>
      <c r="GST3" s="120"/>
      <c r="GSU3" s="120"/>
      <c r="GSV3" s="120"/>
      <c r="GSW3" s="120"/>
      <c r="GSX3" s="120"/>
      <c r="GSY3" s="120"/>
      <c r="GSZ3" s="120"/>
      <c r="GTA3" s="120"/>
      <c r="GTB3" s="120"/>
      <c r="GTC3" s="120"/>
      <c r="GTD3" s="120"/>
      <c r="GTE3" s="120"/>
      <c r="GTF3" s="120"/>
      <c r="GTG3" s="120"/>
      <c r="GTH3" s="120"/>
      <c r="GTI3" s="120"/>
      <c r="GTJ3" s="120"/>
      <c r="GTK3" s="120"/>
      <c r="GTL3" s="120"/>
      <c r="GTM3" s="120"/>
      <c r="GTN3" s="120"/>
      <c r="GTO3" s="120"/>
      <c r="GTP3" s="120"/>
      <c r="GTQ3" s="120"/>
      <c r="GTR3" s="120"/>
      <c r="GTS3" s="120"/>
      <c r="GTT3" s="120"/>
      <c r="GTU3" s="120"/>
      <c r="GTV3" s="120"/>
      <c r="GTW3" s="120"/>
      <c r="GTX3" s="120"/>
      <c r="GTY3" s="120"/>
      <c r="GTZ3" s="120"/>
      <c r="GUA3" s="120"/>
      <c r="GUB3" s="120"/>
      <c r="GUC3" s="120"/>
      <c r="GUD3" s="120"/>
      <c r="GUE3" s="120"/>
      <c r="GUF3" s="120"/>
      <c r="GUG3" s="120"/>
      <c r="GUH3" s="120"/>
      <c r="GUI3" s="120"/>
      <c r="GUJ3" s="120"/>
      <c r="GUK3" s="120"/>
      <c r="GUL3" s="120"/>
      <c r="GUM3" s="120"/>
      <c r="GUN3" s="120"/>
      <c r="GUO3" s="120"/>
      <c r="GUP3" s="120"/>
      <c r="GUQ3" s="120"/>
      <c r="GUR3" s="120"/>
      <c r="GUS3" s="120"/>
      <c r="GUT3" s="120"/>
      <c r="GUU3" s="120"/>
      <c r="GUV3" s="120"/>
      <c r="GUW3" s="120"/>
      <c r="GUX3" s="120"/>
      <c r="GUY3" s="120"/>
      <c r="GUZ3" s="120"/>
      <c r="GVA3" s="120"/>
      <c r="GVB3" s="120"/>
      <c r="GVC3" s="120"/>
      <c r="GVD3" s="120"/>
      <c r="GVE3" s="120"/>
      <c r="GVF3" s="120"/>
      <c r="GVG3" s="120"/>
      <c r="GVH3" s="120"/>
      <c r="GVI3" s="120"/>
      <c r="GVJ3" s="120"/>
      <c r="GVK3" s="120"/>
      <c r="GVL3" s="120"/>
      <c r="GVM3" s="120"/>
      <c r="GVN3" s="120"/>
      <c r="GVO3" s="120"/>
      <c r="GVP3" s="120"/>
      <c r="GVQ3" s="120"/>
      <c r="GVR3" s="120"/>
      <c r="GVS3" s="120"/>
      <c r="GVT3" s="120"/>
      <c r="GVU3" s="120"/>
      <c r="GVV3" s="120"/>
      <c r="GVW3" s="120"/>
      <c r="GVX3" s="120"/>
      <c r="GVY3" s="120"/>
      <c r="GVZ3" s="120"/>
      <c r="GWA3" s="120"/>
      <c r="GWB3" s="120"/>
      <c r="GWC3" s="120"/>
      <c r="GWD3" s="120"/>
      <c r="GWE3" s="120"/>
      <c r="GWF3" s="120"/>
      <c r="GWG3" s="120"/>
      <c r="GWH3" s="120"/>
      <c r="GWI3" s="120"/>
      <c r="GWJ3" s="120"/>
      <c r="GWK3" s="120"/>
      <c r="GWL3" s="120"/>
      <c r="GWM3" s="120"/>
      <c r="GWN3" s="120"/>
      <c r="GWO3" s="120"/>
      <c r="GWP3" s="120"/>
      <c r="GWQ3" s="120"/>
      <c r="GWR3" s="120"/>
      <c r="GWS3" s="120"/>
      <c r="GWT3" s="120"/>
      <c r="GWU3" s="120"/>
      <c r="GWV3" s="120"/>
      <c r="GWW3" s="120"/>
      <c r="GWX3" s="120"/>
      <c r="GWY3" s="120"/>
      <c r="GWZ3" s="120"/>
      <c r="GXA3" s="120"/>
      <c r="GXB3" s="120"/>
      <c r="GXC3" s="120"/>
      <c r="GXD3" s="120"/>
      <c r="GXE3" s="120"/>
      <c r="GXF3" s="120"/>
      <c r="GXG3" s="120"/>
      <c r="GXH3" s="120"/>
      <c r="GXI3" s="120"/>
      <c r="GXJ3" s="120"/>
      <c r="GXK3" s="120"/>
      <c r="GXL3" s="120"/>
      <c r="GXM3" s="120"/>
      <c r="GXN3" s="120"/>
      <c r="GXO3" s="120"/>
      <c r="GXP3" s="120"/>
      <c r="GXQ3" s="120"/>
      <c r="GXR3" s="120"/>
      <c r="GXS3" s="120"/>
      <c r="GXT3" s="120"/>
      <c r="GXU3" s="120"/>
      <c r="GXV3" s="120"/>
      <c r="GXW3" s="120"/>
      <c r="GXX3" s="120"/>
      <c r="GXY3" s="120"/>
      <c r="GXZ3" s="120"/>
      <c r="GYA3" s="120"/>
      <c r="GYB3" s="120"/>
      <c r="GYC3" s="120"/>
      <c r="GYD3" s="120"/>
      <c r="GYE3" s="120"/>
      <c r="GYF3" s="120"/>
      <c r="GYG3" s="120"/>
      <c r="GYH3" s="120"/>
      <c r="GYI3" s="120"/>
      <c r="GYJ3" s="120"/>
      <c r="GYK3" s="120"/>
      <c r="GYL3" s="120"/>
      <c r="GYM3" s="120"/>
      <c r="GYN3" s="120"/>
      <c r="GYO3" s="120"/>
      <c r="GYP3" s="120"/>
      <c r="GYQ3" s="120"/>
      <c r="GYR3" s="120"/>
      <c r="GYS3" s="120"/>
      <c r="GYT3" s="120"/>
      <c r="GYU3" s="120"/>
      <c r="GYV3" s="120"/>
      <c r="GYW3" s="120"/>
      <c r="GYX3" s="120"/>
      <c r="GYY3" s="120"/>
      <c r="GYZ3" s="120"/>
      <c r="GZA3" s="120"/>
      <c r="GZB3" s="120"/>
      <c r="GZC3" s="120"/>
      <c r="GZD3" s="120"/>
      <c r="GZE3" s="120"/>
      <c r="GZF3" s="120"/>
      <c r="GZG3" s="120"/>
      <c r="GZH3" s="120"/>
      <c r="GZI3" s="120"/>
      <c r="GZJ3" s="120"/>
      <c r="GZK3" s="120"/>
      <c r="GZL3" s="120"/>
      <c r="GZM3" s="120"/>
      <c r="GZN3" s="120"/>
      <c r="GZO3" s="120"/>
      <c r="GZP3" s="120"/>
      <c r="GZQ3" s="120"/>
      <c r="GZR3" s="120"/>
      <c r="GZS3" s="120"/>
      <c r="GZT3" s="120"/>
      <c r="GZU3" s="120"/>
      <c r="GZV3" s="120"/>
      <c r="GZW3" s="120"/>
      <c r="GZX3" s="120"/>
      <c r="GZY3" s="120"/>
      <c r="GZZ3" s="120"/>
      <c r="HAA3" s="120"/>
      <c r="HAB3" s="120"/>
      <c r="HAC3" s="120"/>
      <c r="HAD3" s="120"/>
      <c r="HAE3" s="120"/>
      <c r="HAF3" s="120"/>
      <c r="HAG3" s="120"/>
      <c r="HAH3" s="120"/>
      <c r="HAI3" s="120"/>
      <c r="HAJ3" s="120"/>
      <c r="HAK3" s="120"/>
      <c r="HAL3" s="120"/>
      <c r="HAM3" s="120"/>
      <c r="HAN3" s="120"/>
      <c r="HAO3" s="120"/>
      <c r="HAP3" s="120"/>
      <c r="HAQ3" s="120"/>
      <c r="HAR3" s="120"/>
      <c r="HAS3" s="120"/>
      <c r="HAT3" s="120"/>
      <c r="HAU3" s="120"/>
      <c r="HAV3" s="120"/>
      <c r="HAW3" s="120"/>
      <c r="HAX3" s="120"/>
      <c r="HAY3" s="120"/>
      <c r="HAZ3" s="120"/>
      <c r="HBA3" s="120"/>
      <c r="HBB3" s="120"/>
      <c r="HBC3" s="120"/>
      <c r="HBD3" s="120"/>
      <c r="HBE3" s="120"/>
      <c r="HBF3" s="120"/>
      <c r="HBG3" s="120"/>
      <c r="HBH3" s="120"/>
      <c r="HBI3" s="120"/>
      <c r="HBJ3" s="120"/>
      <c r="HBK3" s="120"/>
      <c r="HBL3" s="120"/>
      <c r="HBM3" s="120"/>
      <c r="HBN3" s="120"/>
      <c r="HBO3" s="120"/>
      <c r="HBP3" s="120"/>
      <c r="HBQ3" s="120"/>
      <c r="HBR3" s="120"/>
      <c r="HBS3" s="120"/>
      <c r="HBT3" s="120"/>
      <c r="HBU3" s="120"/>
      <c r="HBV3" s="120"/>
      <c r="HBW3" s="120"/>
      <c r="HBX3" s="120"/>
      <c r="HBY3" s="120"/>
      <c r="HBZ3" s="120"/>
      <c r="HCA3" s="120"/>
      <c r="HCB3" s="120"/>
      <c r="HCC3" s="120"/>
      <c r="HCD3" s="120"/>
      <c r="HCE3" s="120"/>
      <c r="HCF3" s="120"/>
      <c r="HCG3" s="120"/>
      <c r="HCH3" s="120"/>
      <c r="HCI3" s="120"/>
      <c r="HCJ3" s="120"/>
      <c r="HCK3" s="120"/>
      <c r="HCL3" s="120"/>
      <c r="HCM3" s="120"/>
      <c r="HCN3" s="120"/>
      <c r="HCO3" s="120"/>
      <c r="HCP3" s="120"/>
      <c r="HCQ3" s="120"/>
      <c r="HCR3" s="120"/>
      <c r="HCS3" s="120"/>
      <c r="HCT3" s="120"/>
      <c r="HCU3" s="120"/>
      <c r="HCV3" s="120"/>
      <c r="HCW3" s="120"/>
      <c r="HCX3" s="120"/>
      <c r="HCY3" s="120"/>
      <c r="HCZ3" s="120"/>
      <c r="HDA3" s="120"/>
      <c r="HDB3" s="120"/>
      <c r="HDC3" s="120"/>
      <c r="HDD3" s="120"/>
      <c r="HDE3" s="120"/>
      <c r="HDF3" s="120"/>
      <c r="HDG3" s="120"/>
      <c r="HDH3" s="120"/>
      <c r="HDI3" s="120"/>
      <c r="HDJ3" s="120"/>
      <c r="HDK3" s="120"/>
      <c r="HDL3" s="120"/>
      <c r="HDM3" s="120"/>
      <c r="HDN3" s="120"/>
      <c r="HDO3" s="120"/>
      <c r="HDP3" s="120"/>
      <c r="HDQ3" s="120"/>
      <c r="HDR3" s="120"/>
      <c r="HDS3" s="120"/>
      <c r="HDT3" s="120"/>
      <c r="HDU3" s="120"/>
      <c r="HDV3" s="120"/>
      <c r="HDW3" s="120"/>
      <c r="HDX3" s="120"/>
      <c r="HDY3" s="120"/>
      <c r="HDZ3" s="120"/>
      <c r="HEA3" s="120"/>
      <c r="HEB3" s="120"/>
      <c r="HEC3" s="120"/>
      <c r="HED3" s="120"/>
      <c r="HEE3" s="120"/>
      <c r="HEF3" s="120"/>
      <c r="HEG3" s="120"/>
      <c r="HEH3" s="120"/>
      <c r="HEI3" s="120"/>
      <c r="HEJ3" s="120"/>
      <c r="HEK3" s="120"/>
      <c r="HEL3" s="120"/>
      <c r="HEM3" s="120"/>
      <c r="HEN3" s="120"/>
      <c r="HEO3" s="120"/>
      <c r="HEP3" s="120"/>
      <c r="HEQ3" s="120"/>
      <c r="HER3" s="120"/>
      <c r="HES3" s="120"/>
      <c r="HET3" s="120"/>
      <c r="HEU3" s="120"/>
      <c r="HEV3" s="120"/>
      <c r="HEW3" s="120"/>
      <c r="HEX3" s="120"/>
      <c r="HEY3" s="120"/>
      <c r="HEZ3" s="120"/>
      <c r="HFA3" s="120"/>
      <c r="HFB3" s="120"/>
      <c r="HFC3" s="120"/>
      <c r="HFD3" s="120"/>
      <c r="HFE3" s="120"/>
      <c r="HFF3" s="120"/>
      <c r="HFG3" s="120"/>
      <c r="HFH3" s="120"/>
      <c r="HFI3" s="120"/>
      <c r="HFJ3" s="120"/>
      <c r="HFK3" s="120"/>
      <c r="HFL3" s="120"/>
      <c r="HFM3" s="120"/>
      <c r="HFN3" s="120"/>
      <c r="HFO3" s="120"/>
      <c r="HFP3" s="120"/>
      <c r="HFQ3" s="120"/>
      <c r="HFR3" s="120"/>
      <c r="HFS3" s="120"/>
      <c r="HFT3" s="120"/>
      <c r="HFU3" s="120"/>
      <c r="HFV3" s="120"/>
      <c r="HFW3" s="120"/>
      <c r="HFX3" s="120"/>
      <c r="HFY3" s="120"/>
      <c r="HFZ3" s="120"/>
      <c r="HGA3" s="120"/>
      <c r="HGB3" s="120"/>
      <c r="HGC3" s="120"/>
      <c r="HGD3" s="120"/>
      <c r="HGE3" s="120"/>
      <c r="HGF3" s="120"/>
      <c r="HGG3" s="120"/>
      <c r="HGH3" s="120"/>
      <c r="HGI3" s="120"/>
      <c r="HGJ3" s="120"/>
      <c r="HGK3" s="120"/>
      <c r="HGL3" s="120"/>
      <c r="HGM3" s="120"/>
      <c r="HGN3" s="120"/>
      <c r="HGO3" s="120"/>
      <c r="HGP3" s="120"/>
      <c r="HGQ3" s="120"/>
      <c r="HGR3" s="120"/>
      <c r="HGS3" s="120"/>
      <c r="HGT3" s="120"/>
      <c r="HGU3" s="120"/>
      <c r="HGV3" s="120"/>
      <c r="HGW3" s="120"/>
      <c r="HGX3" s="120"/>
      <c r="HGY3" s="120"/>
      <c r="HGZ3" s="120"/>
      <c r="HHA3" s="120"/>
      <c r="HHB3" s="120"/>
      <c r="HHC3" s="120"/>
      <c r="HHD3" s="120"/>
      <c r="HHE3" s="120"/>
      <c r="HHF3" s="120"/>
      <c r="HHG3" s="120"/>
      <c r="HHH3" s="120"/>
      <c r="HHI3" s="120"/>
      <c r="HHJ3" s="120"/>
      <c r="HHK3" s="120"/>
      <c r="HHL3" s="120"/>
      <c r="HHM3" s="120"/>
      <c r="HHN3" s="120"/>
      <c r="HHO3" s="120"/>
      <c r="HHP3" s="120"/>
      <c r="HHQ3" s="120"/>
      <c r="HHR3" s="120"/>
      <c r="HHS3" s="120"/>
      <c r="HHT3" s="120"/>
      <c r="HHU3" s="120"/>
      <c r="HHV3" s="120"/>
      <c r="HHW3" s="120"/>
      <c r="HHX3" s="120"/>
      <c r="HHY3" s="120"/>
      <c r="HHZ3" s="120"/>
      <c r="HIA3" s="120"/>
      <c r="HIB3" s="120"/>
      <c r="HIC3" s="120"/>
      <c r="HID3" s="120"/>
      <c r="HIE3" s="120"/>
      <c r="HIF3" s="120"/>
      <c r="HIG3" s="120"/>
      <c r="HIH3" s="120"/>
      <c r="HII3" s="120"/>
      <c r="HIJ3" s="120"/>
      <c r="HIK3" s="120"/>
      <c r="HIL3" s="120"/>
      <c r="HIM3" s="120"/>
      <c r="HIN3" s="120"/>
      <c r="HIO3" s="120"/>
      <c r="HIP3" s="120"/>
      <c r="HIQ3" s="120"/>
      <c r="HIR3" s="120"/>
      <c r="HIS3" s="120"/>
      <c r="HIT3" s="120"/>
      <c r="HIU3" s="120"/>
      <c r="HIV3" s="120"/>
      <c r="HIW3" s="120"/>
      <c r="HIX3" s="120"/>
      <c r="HIY3" s="120"/>
      <c r="HIZ3" s="120"/>
      <c r="HJA3" s="120"/>
      <c r="HJB3" s="120"/>
      <c r="HJC3" s="120"/>
      <c r="HJD3" s="120"/>
      <c r="HJE3" s="120"/>
      <c r="HJF3" s="120"/>
      <c r="HJG3" s="120"/>
      <c r="HJH3" s="120"/>
      <c r="HJI3" s="120"/>
      <c r="HJJ3" s="120"/>
      <c r="HJK3" s="120"/>
      <c r="HJL3" s="120"/>
      <c r="HJM3" s="120"/>
      <c r="HJN3" s="120"/>
      <c r="HJO3" s="120"/>
      <c r="HJP3" s="120"/>
      <c r="HJQ3" s="120"/>
      <c r="HJR3" s="120"/>
      <c r="HJS3" s="120"/>
      <c r="HJT3" s="120"/>
      <c r="HJU3" s="120"/>
      <c r="HJV3" s="120"/>
      <c r="HJW3" s="120"/>
      <c r="HJX3" s="120"/>
      <c r="HJY3" s="120"/>
      <c r="HJZ3" s="120"/>
      <c r="HKA3" s="120"/>
      <c r="HKB3" s="120"/>
      <c r="HKC3" s="120"/>
      <c r="HKD3" s="120"/>
      <c r="HKE3" s="120"/>
      <c r="HKF3" s="120"/>
      <c r="HKG3" s="120"/>
      <c r="HKH3" s="120"/>
      <c r="HKI3" s="120"/>
      <c r="HKJ3" s="120"/>
      <c r="HKK3" s="120"/>
      <c r="HKL3" s="120"/>
      <c r="HKM3" s="120"/>
      <c r="HKN3" s="120"/>
      <c r="HKO3" s="120"/>
      <c r="HKP3" s="120"/>
      <c r="HKQ3" s="120"/>
      <c r="HKR3" s="120"/>
      <c r="HKS3" s="120"/>
      <c r="HKT3" s="120"/>
      <c r="HKU3" s="120"/>
      <c r="HKV3" s="120"/>
      <c r="HKW3" s="120"/>
      <c r="HKX3" s="120"/>
      <c r="HKY3" s="120"/>
      <c r="HKZ3" s="120"/>
      <c r="HLA3" s="120"/>
      <c r="HLB3" s="120"/>
      <c r="HLC3" s="120"/>
      <c r="HLD3" s="120"/>
      <c r="HLE3" s="120"/>
      <c r="HLF3" s="120"/>
      <c r="HLG3" s="120"/>
      <c r="HLH3" s="120"/>
      <c r="HLI3" s="120"/>
      <c r="HLJ3" s="120"/>
      <c r="HLK3" s="120"/>
      <c r="HLL3" s="120"/>
      <c r="HLM3" s="120"/>
      <c r="HLN3" s="120"/>
      <c r="HLO3" s="120"/>
      <c r="HLP3" s="120"/>
      <c r="HLQ3" s="120"/>
      <c r="HLR3" s="120"/>
      <c r="HLS3" s="120"/>
      <c r="HLT3" s="120"/>
      <c r="HLU3" s="120"/>
      <c r="HLV3" s="120"/>
      <c r="HLW3" s="120"/>
      <c r="HLX3" s="120"/>
      <c r="HLY3" s="120"/>
      <c r="HLZ3" s="120"/>
      <c r="HMA3" s="120"/>
      <c r="HMB3" s="120"/>
      <c r="HMC3" s="120"/>
      <c r="HMD3" s="120"/>
      <c r="HME3" s="120"/>
      <c r="HMF3" s="120"/>
      <c r="HMG3" s="120"/>
      <c r="HMH3" s="120"/>
      <c r="HMI3" s="120"/>
      <c r="HMJ3" s="120"/>
      <c r="HMK3" s="120"/>
      <c r="HML3" s="120"/>
      <c r="HMM3" s="120"/>
      <c r="HMN3" s="120"/>
      <c r="HMO3" s="120"/>
      <c r="HMP3" s="120"/>
      <c r="HMQ3" s="120"/>
      <c r="HMR3" s="120"/>
      <c r="HMS3" s="120"/>
      <c r="HMT3" s="120"/>
      <c r="HMU3" s="120"/>
      <c r="HMV3" s="120"/>
      <c r="HMW3" s="120"/>
      <c r="HMX3" s="120"/>
      <c r="HMY3" s="120"/>
      <c r="HMZ3" s="120"/>
      <c r="HNA3" s="120"/>
      <c r="HNB3" s="120"/>
      <c r="HNC3" s="120"/>
      <c r="HND3" s="120"/>
      <c r="HNE3" s="120"/>
      <c r="HNF3" s="120"/>
      <c r="HNG3" s="120"/>
      <c r="HNH3" s="120"/>
      <c r="HNI3" s="120"/>
      <c r="HNJ3" s="120"/>
      <c r="HNK3" s="120"/>
      <c r="HNL3" s="120"/>
      <c r="HNM3" s="120"/>
      <c r="HNN3" s="120"/>
      <c r="HNO3" s="120"/>
      <c r="HNP3" s="120"/>
      <c r="HNQ3" s="120"/>
      <c r="HNR3" s="120"/>
      <c r="HNS3" s="120"/>
      <c r="HNT3" s="120"/>
      <c r="HNU3" s="120"/>
      <c r="HNV3" s="120"/>
      <c r="HNW3" s="120"/>
      <c r="HNX3" s="120"/>
      <c r="HNY3" s="120"/>
      <c r="HNZ3" s="120"/>
      <c r="HOA3" s="120"/>
      <c r="HOB3" s="120"/>
      <c r="HOC3" s="120"/>
      <c r="HOD3" s="120"/>
      <c r="HOE3" s="120"/>
      <c r="HOF3" s="120"/>
      <c r="HOG3" s="120"/>
      <c r="HOH3" s="120"/>
      <c r="HOI3" s="120"/>
      <c r="HOJ3" s="120"/>
      <c r="HOK3" s="120"/>
      <c r="HOL3" s="120"/>
      <c r="HOM3" s="120"/>
      <c r="HON3" s="120"/>
      <c r="HOO3" s="120"/>
      <c r="HOP3" s="120"/>
      <c r="HOQ3" s="120"/>
      <c r="HOR3" s="120"/>
      <c r="HOS3" s="120"/>
      <c r="HOT3" s="120"/>
      <c r="HOU3" s="120"/>
      <c r="HOV3" s="120"/>
      <c r="HOW3" s="120"/>
      <c r="HOX3" s="120"/>
      <c r="HOY3" s="120"/>
      <c r="HOZ3" s="120"/>
      <c r="HPA3" s="120"/>
      <c r="HPB3" s="120"/>
      <c r="HPC3" s="120"/>
      <c r="HPD3" s="120"/>
      <c r="HPE3" s="120"/>
      <c r="HPF3" s="120"/>
      <c r="HPG3" s="120"/>
      <c r="HPH3" s="120"/>
      <c r="HPI3" s="120"/>
      <c r="HPJ3" s="120"/>
      <c r="HPK3" s="120"/>
      <c r="HPL3" s="120"/>
      <c r="HPM3" s="120"/>
      <c r="HPN3" s="120"/>
      <c r="HPO3" s="120"/>
      <c r="HPP3" s="120"/>
      <c r="HPQ3" s="120"/>
      <c r="HPR3" s="120"/>
      <c r="HPS3" s="120"/>
      <c r="HPT3" s="120"/>
      <c r="HPU3" s="120"/>
      <c r="HPV3" s="120"/>
      <c r="HPW3" s="120"/>
      <c r="HPX3" s="120"/>
      <c r="HPY3" s="120"/>
      <c r="HPZ3" s="120"/>
      <c r="HQA3" s="120"/>
      <c r="HQB3" s="120"/>
      <c r="HQC3" s="120"/>
      <c r="HQD3" s="120"/>
      <c r="HQE3" s="120"/>
      <c r="HQF3" s="120"/>
      <c r="HQG3" s="120"/>
      <c r="HQH3" s="120"/>
      <c r="HQI3" s="120"/>
      <c r="HQJ3" s="120"/>
      <c r="HQK3" s="120"/>
      <c r="HQL3" s="120"/>
      <c r="HQM3" s="120"/>
      <c r="HQN3" s="120"/>
      <c r="HQO3" s="120"/>
      <c r="HQP3" s="120"/>
      <c r="HQQ3" s="120"/>
      <c r="HQR3" s="120"/>
      <c r="HQS3" s="120"/>
      <c r="HQT3" s="120"/>
      <c r="HQU3" s="120"/>
      <c r="HQV3" s="120"/>
      <c r="HQW3" s="120"/>
      <c r="HQX3" s="120"/>
      <c r="HQY3" s="120"/>
      <c r="HQZ3" s="120"/>
      <c r="HRA3" s="120"/>
      <c r="HRB3" s="120"/>
      <c r="HRC3" s="120"/>
      <c r="HRD3" s="120"/>
      <c r="HRE3" s="120"/>
      <c r="HRF3" s="120"/>
      <c r="HRG3" s="120"/>
      <c r="HRH3" s="120"/>
      <c r="HRI3" s="120"/>
      <c r="HRJ3" s="120"/>
      <c r="HRK3" s="120"/>
      <c r="HRL3" s="120"/>
      <c r="HRM3" s="120"/>
      <c r="HRN3" s="120"/>
      <c r="HRO3" s="120"/>
      <c r="HRP3" s="120"/>
      <c r="HRQ3" s="120"/>
      <c r="HRR3" s="120"/>
      <c r="HRS3" s="120"/>
      <c r="HRT3" s="120"/>
      <c r="HRU3" s="120"/>
      <c r="HRV3" s="120"/>
      <c r="HRW3" s="120"/>
      <c r="HRX3" s="120"/>
      <c r="HRY3" s="120"/>
      <c r="HRZ3" s="120"/>
      <c r="HSA3" s="120"/>
      <c r="HSB3" s="120"/>
      <c r="HSC3" s="120"/>
      <c r="HSD3" s="120"/>
      <c r="HSE3" s="120"/>
      <c r="HSF3" s="120"/>
      <c r="HSG3" s="120"/>
      <c r="HSH3" s="120"/>
      <c r="HSI3" s="120"/>
      <c r="HSJ3" s="120"/>
      <c r="HSK3" s="120"/>
      <c r="HSL3" s="120"/>
      <c r="HSM3" s="120"/>
      <c r="HSN3" s="120"/>
      <c r="HSO3" s="120"/>
      <c r="HSP3" s="120"/>
      <c r="HSQ3" s="120"/>
      <c r="HSR3" s="120"/>
      <c r="HSS3" s="120"/>
      <c r="HST3" s="120"/>
      <c r="HSU3" s="120"/>
      <c r="HSV3" s="120"/>
      <c r="HSW3" s="120"/>
      <c r="HSX3" s="120"/>
      <c r="HSY3" s="120"/>
      <c r="HSZ3" s="120"/>
      <c r="HTA3" s="120"/>
      <c r="HTB3" s="120"/>
      <c r="HTC3" s="120"/>
      <c r="HTD3" s="120"/>
      <c r="HTE3" s="120"/>
      <c r="HTF3" s="120"/>
      <c r="HTG3" s="120"/>
      <c r="HTH3" s="120"/>
      <c r="HTI3" s="120"/>
      <c r="HTJ3" s="120"/>
      <c r="HTK3" s="120"/>
      <c r="HTL3" s="120"/>
      <c r="HTM3" s="120"/>
      <c r="HTN3" s="120"/>
      <c r="HTO3" s="120"/>
      <c r="HTP3" s="120"/>
      <c r="HTQ3" s="120"/>
      <c r="HTR3" s="120"/>
      <c r="HTS3" s="120"/>
      <c r="HTT3" s="120"/>
      <c r="HTU3" s="120"/>
      <c r="HTV3" s="120"/>
      <c r="HTW3" s="120"/>
      <c r="HTX3" s="120"/>
      <c r="HTY3" s="120"/>
      <c r="HTZ3" s="120"/>
      <c r="HUA3" s="120"/>
      <c r="HUB3" s="120"/>
      <c r="HUC3" s="120"/>
      <c r="HUD3" s="120"/>
      <c r="HUE3" s="120"/>
      <c r="HUF3" s="120"/>
      <c r="HUG3" s="120"/>
      <c r="HUH3" s="120"/>
      <c r="HUI3" s="120"/>
      <c r="HUJ3" s="120"/>
      <c r="HUK3" s="120"/>
      <c r="HUL3" s="120"/>
      <c r="HUM3" s="120"/>
      <c r="HUN3" s="120"/>
      <c r="HUO3" s="120"/>
      <c r="HUP3" s="120"/>
      <c r="HUQ3" s="120"/>
      <c r="HUR3" s="120"/>
      <c r="HUS3" s="120"/>
      <c r="HUT3" s="120"/>
      <c r="HUU3" s="120"/>
      <c r="HUV3" s="120"/>
      <c r="HUW3" s="120"/>
      <c r="HUX3" s="120"/>
      <c r="HUY3" s="120"/>
      <c r="HUZ3" s="120"/>
      <c r="HVA3" s="120"/>
      <c r="HVB3" s="120"/>
      <c r="HVC3" s="120"/>
      <c r="HVD3" s="120"/>
      <c r="HVE3" s="120"/>
      <c r="HVF3" s="120"/>
      <c r="HVG3" s="120"/>
      <c r="HVH3" s="120"/>
      <c r="HVI3" s="120"/>
      <c r="HVJ3" s="120"/>
      <c r="HVK3" s="120"/>
      <c r="HVL3" s="120"/>
      <c r="HVM3" s="120"/>
      <c r="HVN3" s="120"/>
      <c r="HVO3" s="120"/>
      <c r="HVP3" s="120"/>
      <c r="HVQ3" s="120"/>
      <c r="HVR3" s="120"/>
      <c r="HVS3" s="120"/>
      <c r="HVT3" s="120"/>
      <c r="HVU3" s="120"/>
      <c r="HVV3" s="120"/>
      <c r="HVW3" s="120"/>
      <c r="HVX3" s="120"/>
      <c r="HVY3" s="120"/>
      <c r="HVZ3" s="120"/>
      <c r="HWA3" s="120"/>
      <c r="HWB3" s="120"/>
      <c r="HWC3" s="120"/>
      <c r="HWD3" s="120"/>
      <c r="HWE3" s="120"/>
      <c r="HWF3" s="120"/>
      <c r="HWG3" s="120"/>
      <c r="HWH3" s="120"/>
      <c r="HWI3" s="120"/>
      <c r="HWJ3" s="120"/>
      <c r="HWK3" s="120"/>
      <c r="HWL3" s="120"/>
      <c r="HWM3" s="120"/>
      <c r="HWN3" s="120"/>
      <c r="HWO3" s="120"/>
      <c r="HWP3" s="120"/>
      <c r="HWQ3" s="120"/>
      <c r="HWR3" s="120"/>
      <c r="HWS3" s="120"/>
      <c r="HWT3" s="120"/>
      <c r="HWU3" s="120"/>
      <c r="HWV3" s="120"/>
      <c r="HWW3" s="120"/>
      <c r="HWX3" s="120"/>
      <c r="HWY3" s="120"/>
      <c r="HWZ3" s="120"/>
      <c r="HXA3" s="120"/>
      <c r="HXB3" s="120"/>
      <c r="HXC3" s="120"/>
      <c r="HXD3" s="120"/>
      <c r="HXE3" s="120"/>
      <c r="HXF3" s="120"/>
      <c r="HXG3" s="120"/>
      <c r="HXH3" s="120"/>
      <c r="HXI3" s="120"/>
      <c r="HXJ3" s="120"/>
      <c r="HXK3" s="120"/>
      <c r="HXL3" s="120"/>
      <c r="HXM3" s="120"/>
      <c r="HXN3" s="120"/>
      <c r="HXO3" s="120"/>
      <c r="HXP3" s="120"/>
      <c r="HXQ3" s="120"/>
      <c r="HXR3" s="120"/>
      <c r="HXS3" s="120"/>
      <c r="HXT3" s="120"/>
      <c r="HXU3" s="120"/>
      <c r="HXV3" s="120"/>
      <c r="HXW3" s="120"/>
      <c r="HXX3" s="120"/>
      <c r="HXY3" s="120"/>
      <c r="HXZ3" s="120"/>
      <c r="HYA3" s="120"/>
      <c r="HYB3" s="120"/>
      <c r="HYC3" s="120"/>
      <c r="HYD3" s="120"/>
      <c r="HYE3" s="120"/>
      <c r="HYF3" s="120"/>
      <c r="HYG3" s="120"/>
      <c r="HYH3" s="120"/>
      <c r="HYI3" s="120"/>
      <c r="HYJ3" s="120"/>
      <c r="HYK3" s="120"/>
      <c r="HYL3" s="120"/>
      <c r="HYM3" s="120"/>
      <c r="HYN3" s="120"/>
      <c r="HYO3" s="120"/>
      <c r="HYP3" s="120"/>
      <c r="HYQ3" s="120"/>
      <c r="HYR3" s="120"/>
      <c r="HYS3" s="120"/>
      <c r="HYT3" s="120"/>
      <c r="HYU3" s="120"/>
      <c r="HYV3" s="120"/>
      <c r="HYW3" s="120"/>
      <c r="HYX3" s="120"/>
      <c r="HYY3" s="120"/>
      <c r="HYZ3" s="120"/>
      <c r="HZA3" s="120"/>
      <c r="HZB3" s="120"/>
      <c r="HZC3" s="120"/>
      <c r="HZD3" s="120"/>
      <c r="HZE3" s="120"/>
      <c r="HZF3" s="120"/>
      <c r="HZG3" s="120"/>
      <c r="HZH3" s="120"/>
      <c r="HZI3" s="120"/>
      <c r="HZJ3" s="120"/>
      <c r="HZK3" s="120"/>
      <c r="HZL3" s="120"/>
      <c r="HZM3" s="120"/>
      <c r="HZN3" s="120"/>
      <c r="HZO3" s="120"/>
      <c r="HZP3" s="120"/>
      <c r="HZQ3" s="120"/>
      <c r="HZR3" s="120"/>
      <c r="HZS3" s="120"/>
      <c r="HZT3" s="120"/>
      <c r="HZU3" s="120"/>
      <c r="HZV3" s="120"/>
      <c r="HZW3" s="120"/>
      <c r="HZX3" s="120"/>
      <c r="HZY3" s="120"/>
      <c r="HZZ3" s="120"/>
      <c r="IAA3" s="120"/>
      <c r="IAB3" s="120"/>
      <c r="IAC3" s="120"/>
      <c r="IAD3" s="120"/>
      <c r="IAE3" s="120"/>
      <c r="IAF3" s="120"/>
      <c r="IAG3" s="120"/>
      <c r="IAH3" s="120"/>
      <c r="IAI3" s="120"/>
      <c r="IAJ3" s="120"/>
      <c r="IAK3" s="120"/>
      <c r="IAL3" s="120"/>
      <c r="IAM3" s="120"/>
      <c r="IAN3" s="120"/>
      <c r="IAO3" s="120"/>
      <c r="IAP3" s="120"/>
      <c r="IAQ3" s="120"/>
      <c r="IAR3" s="120"/>
      <c r="IAS3" s="120"/>
      <c r="IAT3" s="120"/>
      <c r="IAU3" s="120"/>
      <c r="IAV3" s="120"/>
      <c r="IAW3" s="120"/>
      <c r="IAX3" s="120"/>
      <c r="IAY3" s="120"/>
      <c r="IAZ3" s="120"/>
      <c r="IBA3" s="120"/>
      <c r="IBB3" s="120"/>
      <c r="IBC3" s="120"/>
      <c r="IBD3" s="120"/>
      <c r="IBE3" s="120"/>
      <c r="IBF3" s="120"/>
      <c r="IBG3" s="120"/>
      <c r="IBH3" s="120"/>
      <c r="IBI3" s="120"/>
      <c r="IBJ3" s="120"/>
      <c r="IBK3" s="120"/>
      <c r="IBL3" s="120"/>
      <c r="IBM3" s="120"/>
      <c r="IBN3" s="120"/>
      <c r="IBO3" s="120"/>
      <c r="IBP3" s="120"/>
      <c r="IBQ3" s="120"/>
      <c r="IBR3" s="120"/>
      <c r="IBS3" s="120"/>
      <c r="IBT3" s="120"/>
      <c r="IBU3" s="120"/>
      <c r="IBV3" s="120"/>
      <c r="IBW3" s="120"/>
      <c r="IBX3" s="120"/>
      <c r="IBY3" s="120"/>
      <c r="IBZ3" s="120"/>
      <c r="ICA3" s="120"/>
      <c r="ICB3" s="120"/>
      <c r="ICC3" s="120"/>
      <c r="ICD3" s="120"/>
      <c r="ICE3" s="120"/>
      <c r="ICF3" s="120"/>
      <c r="ICG3" s="120"/>
      <c r="ICH3" s="120"/>
      <c r="ICI3" s="120"/>
      <c r="ICJ3" s="120"/>
      <c r="ICK3" s="120"/>
      <c r="ICL3" s="120"/>
      <c r="ICM3" s="120"/>
      <c r="ICN3" s="120"/>
      <c r="ICO3" s="120"/>
      <c r="ICP3" s="120"/>
      <c r="ICQ3" s="120"/>
      <c r="ICR3" s="120"/>
      <c r="ICS3" s="120"/>
      <c r="ICT3" s="120"/>
      <c r="ICU3" s="120"/>
      <c r="ICV3" s="120"/>
      <c r="ICW3" s="120"/>
      <c r="ICX3" s="120"/>
      <c r="ICY3" s="120"/>
      <c r="ICZ3" s="120"/>
      <c r="IDA3" s="120"/>
      <c r="IDB3" s="120"/>
      <c r="IDC3" s="120"/>
      <c r="IDD3" s="120"/>
      <c r="IDE3" s="120"/>
      <c r="IDF3" s="120"/>
      <c r="IDG3" s="120"/>
      <c r="IDH3" s="120"/>
      <c r="IDI3" s="120"/>
      <c r="IDJ3" s="120"/>
      <c r="IDK3" s="120"/>
      <c r="IDL3" s="120"/>
      <c r="IDM3" s="120"/>
      <c r="IDN3" s="120"/>
      <c r="IDO3" s="120"/>
      <c r="IDP3" s="120"/>
      <c r="IDQ3" s="120"/>
      <c r="IDR3" s="120"/>
      <c r="IDS3" s="120"/>
      <c r="IDT3" s="120"/>
      <c r="IDU3" s="120"/>
      <c r="IDV3" s="120"/>
      <c r="IDW3" s="120"/>
      <c r="IDX3" s="120"/>
      <c r="IDY3" s="120"/>
      <c r="IDZ3" s="120"/>
      <c r="IEA3" s="120"/>
      <c r="IEB3" s="120"/>
      <c r="IEC3" s="120"/>
      <c r="IED3" s="120"/>
      <c r="IEE3" s="120"/>
      <c r="IEF3" s="120"/>
      <c r="IEG3" s="120"/>
      <c r="IEH3" s="120"/>
      <c r="IEI3" s="120"/>
      <c r="IEJ3" s="120"/>
      <c r="IEK3" s="120"/>
      <c r="IEL3" s="120"/>
      <c r="IEM3" s="120"/>
      <c r="IEN3" s="120"/>
      <c r="IEO3" s="120"/>
      <c r="IEP3" s="120"/>
      <c r="IEQ3" s="120"/>
      <c r="IER3" s="120"/>
      <c r="IES3" s="120"/>
      <c r="IET3" s="120"/>
      <c r="IEU3" s="120"/>
      <c r="IEV3" s="120"/>
      <c r="IEW3" s="120"/>
      <c r="IEX3" s="120"/>
      <c r="IEY3" s="120"/>
      <c r="IEZ3" s="120"/>
      <c r="IFA3" s="120"/>
      <c r="IFB3" s="120"/>
      <c r="IFC3" s="120"/>
      <c r="IFD3" s="120"/>
      <c r="IFE3" s="120"/>
      <c r="IFF3" s="120"/>
      <c r="IFG3" s="120"/>
      <c r="IFH3" s="120"/>
      <c r="IFI3" s="120"/>
      <c r="IFJ3" s="120"/>
      <c r="IFK3" s="120"/>
      <c r="IFL3" s="120"/>
      <c r="IFM3" s="120"/>
      <c r="IFN3" s="120"/>
      <c r="IFO3" s="120"/>
      <c r="IFP3" s="120"/>
      <c r="IFQ3" s="120"/>
      <c r="IFR3" s="120"/>
      <c r="IFS3" s="120"/>
      <c r="IFT3" s="120"/>
      <c r="IFU3" s="120"/>
      <c r="IFV3" s="120"/>
      <c r="IFW3" s="120"/>
      <c r="IFX3" s="120"/>
      <c r="IFY3" s="120"/>
      <c r="IFZ3" s="120"/>
      <c r="IGA3" s="120"/>
      <c r="IGB3" s="120"/>
      <c r="IGC3" s="120"/>
      <c r="IGD3" s="120"/>
      <c r="IGE3" s="120"/>
      <c r="IGF3" s="120"/>
      <c r="IGG3" s="120"/>
      <c r="IGH3" s="120"/>
      <c r="IGI3" s="120"/>
      <c r="IGJ3" s="120"/>
      <c r="IGK3" s="120"/>
      <c r="IGL3" s="120"/>
      <c r="IGM3" s="120"/>
      <c r="IGN3" s="120"/>
      <c r="IGO3" s="120"/>
      <c r="IGP3" s="120"/>
      <c r="IGQ3" s="120"/>
      <c r="IGR3" s="120"/>
      <c r="IGS3" s="120"/>
      <c r="IGT3" s="120"/>
      <c r="IGU3" s="120"/>
      <c r="IGV3" s="120"/>
      <c r="IGW3" s="120"/>
      <c r="IGX3" s="120"/>
      <c r="IGY3" s="120"/>
      <c r="IGZ3" s="120"/>
      <c r="IHA3" s="120"/>
      <c r="IHB3" s="120"/>
      <c r="IHC3" s="120"/>
      <c r="IHD3" s="120"/>
      <c r="IHE3" s="120"/>
      <c r="IHF3" s="120"/>
      <c r="IHG3" s="120"/>
      <c r="IHH3" s="120"/>
      <c r="IHI3" s="120"/>
      <c r="IHJ3" s="120"/>
      <c r="IHK3" s="120"/>
      <c r="IHL3" s="120"/>
      <c r="IHM3" s="120"/>
      <c r="IHN3" s="120"/>
      <c r="IHO3" s="120"/>
      <c r="IHP3" s="120"/>
      <c r="IHQ3" s="120"/>
      <c r="IHR3" s="120"/>
      <c r="IHS3" s="120"/>
      <c r="IHT3" s="120"/>
      <c r="IHU3" s="120"/>
      <c r="IHV3" s="120"/>
      <c r="IHW3" s="120"/>
      <c r="IHX3" s="120"/>
      <c r="IHY3" s="120"/>
      <c r="IHZ3" s="120"/>
      <c r="IIA3" s="120"/>
      <c r="IIB3" s="120"/>
      <c r="IIC3" s="120"/>
      <c r="IID3" s="120"/>
      <c r="IIE3" s="120"/>
      <c r="IIF3" s="120"/>
      <c r="IIG3" s="120"/>
      <c r="IIH3" s="120"/>
      <c r="III3" s="120"/>
      <c r="IIJ3" s="120"/>
      <c r="IIK3" s="120"/>
      <c r="IIL3" s="120"/>
      <c r="IIM3" s="120"/>
      <c r="IIN3" s="120"/>
      <c r="IIO3" s="120"/>
      <c r="IIP3" s="120"/>
      <c r="IIQ3" s="120"/>
      <c r="IIR3" s="120"/>
      <c r="IIS3" s="120"/>
      <c r="IIT3" s="120"/>
      <c r="IIU3" s="120"/>
      <c r="IIV3" s="120"/>
      <c r="IIW3" s="120"/>
      <c r="IIX3" s="120"/>
      <c r="IIY3" s="120"/>
      <c r="IIZ3" s="120"/>
      <c r="IJA3" s="120"/>
      <c r="IJB3" s="120"/>
      <c r="IJC3" s="120"/>
      <c r="IJD3" s="120"/>
      <c r="IJE3" s="120"/>
      <c r="IJF3" s="120"/>
      <c r="IJG3" s="120"/>
      <c r="IJH3" s="120"/>
      <c r="IJI3" s="120"/>
      <c r="IJJ3" s="120"/>
      <c r="IJK3" s="120"/>
      <c r="IJL3" s="120"/>
      <c r="IJM3" s="120"/>
      <c r="IJN3" s="120"/>
      <c r="IJO3" s="120"/>
      <c r="IJP3" s="120"/>
      <c r="IJQ3" s="120"/>
      <c r="IJR3" s="120"/>
      <c r="IJS3" s="120"/>
      <c r="IJT3" s="120"/>
      <c r="IJU3" s="120"/>
      <c r="IJV3" s="120"/>
      <c r="IJW3" s="120"/>
      <c r="IJX3" s="120"/>
      <c r="IJY3" s="120"/>
      <c r="IJZ3" s="120"/>
      <c r="IKA3" s="120"/>
      <c r="IKB3" s="120"/>
      <c r="IKC3" s="120"/>
      <c r="IKD3" s="120"/>
      <c r="IKE3" s="120"/>
      <c r="IKF3" s="120"/>
      <c r="IKG3" s="120"/>
      <c r="IKH3" s="120"/>
      <c r="IKI3" s="120"/>
      <c r="IKJ3" s="120"/>
      <c r="IKK3" s="120"/>
      <c r="IKL3" s="120"/>
      <c r="IKM3" s="120"/>
      <c r="IKN3" s="120"/>
      <c r="IKO3" s="120"/>
      <c r="IKP3" s="120"/>
      <c r="IKQ3" s="120"/>
      <c r="IKR3" s="120"/>
      <c r="IKS3" s="120"/>
      <c r="IKT3" s="120"/>
      <c r="IKU3" s="120"/>
      <c r="IKV3" s="120"/>
      <c r="IKW3" s="120"/>
      <c r="IKX3" s="120"/>
      <c r="IKY3" s="120"/>
      <c r="IKZ3" s="120"/>
      <c r="ILA3" s="120"/>
      <c r="ILB3" s="120"/>
      <c r="ILC3" s="120"/>
      <c r="ILD3" s="120"/>
      <c r="ILE3" s="120"/>
      <c r="ILF3" s="120"/>
      <c r="ILG3" s="120"/>
      <c r="ILH3" s="120"/>
      <c r="ILI3" s="120"/>
      <c r="ILJ3" s="120"/>
      <c r="ILK3" s="120"/>
      <c r="ILL3" s="120"/>
      <c r="ILM3" s="120"/>
      <c r="ILN3" s="120"/>
      <c r="ILO3" s="120"/>
      <c r="ILP3" s="120"/>
      <c r="ILQ3" s="120"/>
      <c r="ILR3" s="120"/>
      <c r="ILS3" s="120"/>
      <c r="ILT3" s="120"/>
      <c r="ILU3" s="120"/>
      <c r="ILV3" s="120"/>
      <c r="ILW3" s="120"/>
      <c r="ILX3" s="120"/>
      <c r="ILY3" s="120"/>
      <c r="ILZ3" s="120"/>
      <c r="IMA3" s="120"/>
      <c r="IMB3" s="120"/>
      <c r="IMC3" s="120"/>
      <c r="IMD3" s="120"/>
      <c r="IME3" s="120"/>
      <c r="IMF3" s="120"/>
      <c r="IMG3" s="120"/>
      <c r="IMH3" s="120"/>
      <c r="IMI3" s="120"/>
      <c r="IMJ3" s="120"/>
      <c r="IMK3" s="120"/>
      <c r="IML3" s="120"/>
      <c r="IMM3" s="120"/>
      <c r="IMN3" s="120"/>
      <c r="IMO3" s="120"/>
      <c r="IMP3" s="120"/>
      <c r="IMQ3" s="120"/>
      <c r="IMR3" s="120"/>
      <c r="IMS3" s="120"/>
      <c r="IMT3" s="120"/>
      <c r="IMU3" s="120"/>
      <c r="IMV3" s="120"/>
      <c r="IMW3" s="120"/>
      <c r="IMX3" s="120"/>
      <c r="IMY3" s="120"/>
      <c r="IMZ3" s="120"/>
      <c r="INA3" s="120"/>
      <c r="INB3" s="120"/>
      <c r="INC3" s="120"/>
      <c r="IND3" s="120"/>
      <c r="INE3" s="120"/>
      <c r="INF3" s="120"/>
      <c r="ING3" s="120"/>
      <c r="INH3" s="120"/>
      <c r="INI3" s="120"/>
      <c r="INJ3" s="120"/>
      <c r="INK3" s="120"/>
      <c r="INL3" s="120"/>
      <c r="INM3" s="120"/>
      <c r="INN3" s="120"/>
      <c r="INO3" s="120"/>
      <c r="INP3" s="120"/>
      <c r="INQ3" s="120"/>
      <c r="INR3" s="120"/>
      <c r="INS3" s="120"/>
      <c r="INT3" s="120"/>
      <c r="INU3" s="120"/>
      <c r="INV3" s="120"/>
      <c r="INW3" s="120"/>
      <c r="INX3" s="120"/>
      <c r="INY3" s="120"/>
      <c r="INZ3" s="120"/>
      <c r="IOA3" s="120"/>
      <c r="IOB3" s="120"/>
      <c r="IOC3" s="120"/>
      <c r="IOD3" s="120"/>
      <c r="IOE3" s="120"/>
      <c r="IOF3" s="120"/>
      <c r="IOG3" s="120"/>
      <c r="IOH3" s="120"/>
      <c r="IOI3" s="120"/>
      <c r="IOJ3" s="120"/>
      <c r="IOK3" s="120"/>
      <c r="IOL3" s="120"/>
      <c r="IOM3" s="120"/>
      <c r="ION3" s="120"/>
      <c r="IOO3" s="120"/>
      <c r="IOP3" s="120"/>
      <c r="IOQ3" s="120"/>
      <c r="IOR3" s="120"/>
      <c r="IOS3" s="120"/>
      <c r="IOT3" s="120"/>
      <c r="IOU3" s="120"/>
      <c r="IOV3" s="120"/>
      <c r="IOW3" s="120"/>
      <c r="IOX3" s="120"/>
      <c r="IOY3" s="120"/>
      <c r="IOZ3" s="120"/>
      <c r="IPA3" s="120"/>
      <c r="IPB3" s="120"/>
      <c r="IPC3" s="120"/>
      <c r="IPD3" s="120"/>
      <c r="IPE3" s="120"/>
      <c r="IPF3" s="120"/>
      <c r="IPG3" s="120"/>
      <c r="IPH3" s="120"/>
      <c r="IPI3" s="120"/>
      <c r="IPJ3" s="120"/>
      <c r="IPK3" s="120"/>
      <c r="IPL3" s="120"/>
      <c r="IPM3" s="120"/>
      <c r="IPN3" s="120"/>
      <c r="IPO3" s="120"/>
      <c r="IPP3" s="120"/>
      <c r="IPQ3" s="120"/>
      <c r="IPR3" s="120"/>
      <c r="IPS3" s="120"/>
      <c r="IPT3" s="120"/>
      <c r="IPU3" s="120"/>
      <c r="IPV3" s="120"/>
      <c r="IPW3" s="120"/>
      <c r="IPX3" s="120"/>
      <c r="IPY3" s="120"/>
      <c r="IPZ3" s="120"/>
      <c r="IQA3" s="120"/>
      <c r="IQB3" s="120"/>
      <c r="IQC3" s="120"/>
      <c r="IQD3" s="120"/>
      <c r="IQE3" s="120"/>
      <c r="IQF3" s="120"/>
      <c r="IQG3" s="120"/>
      <c r="IQH3" s="120"/>
      <c r="IQI3" s="120"/>
      <c r="IQJ3" s="120"/>
      <c r="IQK3" s="120"/>
      <c r="IQL3" s="120"/>
      <c r="IQM3" s="120"/>
      <c r="IQN3" s="120"/>
      <c r="IQO3" s="120"/>
      <c r="IQP3" s="120"/>
      <c r="IQQ3" s="120"/>
      <c r="IQR3" s="120"/>
      <c r="IQS3" s="120"/>
      <c r="IQT3" s="120"/>
      <c r="IQU3" s="120"/>
      <c r="IQV3" s="120"/>
      <c r="IQW3" s="120"/>
      <c r="IQX3" s="120"/>
      <c r="IQY3" s="120"/>
      <c r="IQZ3" s="120"/>
      <c r="IRA3" s="120"/>
      <c r="IRB3" s="120"/>
      <c r="IRC3" s="120"/>
      <c r="IRD3" s="120"/>
      <c r="IRE3" s="120"/>
      <c r="IRF3" s="120"/>
      <c r="IRG3" s="120"/>
      <c r="IRH3" s="120"/>
      <c r="IRI3" s="120"/>
      <c r="IRJ3" s="120"/>
      <c r="IRK3" s="120"/>
      <c r="IRL3" s="120"/>
      <c r="IRM3" s="120"/>
      <c r="IRN3" s="120"/>
      <c r="IRO3" s="120"/>
      <c r="IRP3" s="120"/>
      <c r="IRQ3" s="120"/>
      <c r="IRR3" s="120"/>
      <c r="IRS3" s="120"/>
      <c r="IRT3" s="120"/>
      <c r="IRU3" s="120"/>
      <c r="IRV3" s="120"/>
      <c r="IRW3" s="120"/>
      <c r="IRX3" s="120"/>
      <c r="IRY3" s="120"/>
      <c r="IRZ3" s="120"/>
      <c r="ISA3" s="120"/>
      <c r="ISB3" s="120"/>
      <c r="ISC3" s="120"/>
      <c r="ISD3" s="120"/>
      <c r="ISE3" s="120"/>
      <c r="ISF3" s="120"/>
      <c r="ISG3" s="120"/>
      <c r="ISH3" s="120"/>
      <c r="ISI3" s="120"/>
      <c r="ISJ3" s="120"/>
      <c r="ISK3" s="120"/>
      <c r="ISL3" s="120"/>
      <c r="ISM3" s="120"/>
      <c r="ISN3" s="120"/>
      <c r="ISO3" s="120"/>
      <c r="ISP3" s="120"/>
      <c r="ISQ3" s="120"/>
      <c r="ISR3" s="120"/>
      <c r="ISS3" s="120"/>
      <c r="IST3" s="120"/>
      <c r="ISU3" s="120"/>
      <c r="ISV3" s="120"/>
      <c r="ISW3" s="120"/>
      <c r="ISX3" s="120"/>
      <c r="ISY3" s="120"/>
      <c r="ISZ3" s="120"/>
      <c r="ITA3" s="120"/>
      <c r="ITB3" s="120"/>
      <c r="ITC3" s="120"/>
      <c r="ITD3" s="120"/>
      <c r="ITE3" s="120"/>
      <c r="ITF3" s="120"/>
      <c r="ITG3" s="120"/>
      <c r="ITH3" s="120"/>
      <c r="ITI3" s="120"/>
      <c r="ITJ3" s="120"/>
      <c r="ITK3" s="120"/>
      <c r="ITL3" s="120"/>
      <c r="ITM3" s="120"/>
      <c r="ITN3" s="120"/>
      <c r="ITO3" s="120"/>
      <c r="ITP3" s="120"/>
      <c r="ITQ3" s="120"/>
      <c r="ITR3" s="120"/>
      <c r="ITS3" s="120"/>
      <c r="ITT3" s="120"/>
      <c r="ITU3" s="120"/>
      <c r="ITV3" s="120"/>
      <c r="ITW3" s="120"/>
      <c r="ITX3" s="120"/>
      <c r="ITY3" s="120"/>
      <c r="ITZ3" s="120"/>
      <c r="IUA3" s="120"/>
      <c r="IUB3" s="120"/>
      <c r="IUC3" s="120"/>
      <c r="IUD3" s="120"/>
      <c r="IUE3" s="120"/>
      <c r="IUF3" s="120"/>
      <c r="IUG3" s="120"/>
      <c r="IUH3" s="120"/>
      <c r="IUI3" s="120"/>
      <c r="IUJ3" s="120"/>
      <c r="IUK3" s="120"/>
      <c r="IUL3" s="120"/>
      <c r="IUM3" s="120"/>
      <c r="IUN3" s="120"/>
      <c r="IUO3" s="120"/>
      <c r="IUP3" s="120"/>
      <c r="IUQ3" s="120"/>
      <c r="IUR3" s="120"/>
      <c r="IUS3" s="120"/>
      <c r="IUT3" s="120"/>
      <c r="IUU3" s="120"/>
      <c r="IUV3" s="120"/>
      <c r="IUW3" s="120"/>
      <c r="IUX3" s="120"/>
      <c r="IUY3" s="120"/>
      <c r="IUZ3" s="120"/>
      <c r="IVA3" s="120"/>
      <c r="IVB3" s="120"/>
      <c r="IVC3" s="120"/>
      <c r="IVD3" s="120"/>
      <c r="IVE3" s="120"/>
      <c r="IVF3" s="120"/>
      <c r="IVG3" s="120"/>
      <c r="IVH3" s="120"/>
      <c r="IVI3" s="120"/>
      <c r="IVJ3" s="120"/>
      <c r="IVK3" s="120"/>
      <c r="IVL3" s="120"/>
      <c r="IVM3" s="120"/>
      <c r="IVN3" s="120"/>
      <c r="IVO3" s="120"/>
      <c r="IVP3" s="120"/>
      <c r="IVQ3" s="120"/>
      <c r="IVR3" s="120"/>
      <c r="IVS3" s="120"/>
      <c r="IVT3" s="120"/>
      <c r="IVU3" s="120"/>
      <c r="IVV3" s="120"/>
      <c r="IVW3" s="120"/>
      <c r="IVX3" s="120"/>
      <c r="IVY3" s="120"/>
      <c r="IVZ3" s="120"/>
      <c r="IWA3" s="120"/>
      <c r="IWB3" s="120"/>
      <c r="IWC3" s="120"/>
      <c r="IWD3" s="120"/>
      <c r="IWE3" s="120"/>
      <c r="IWF3" s="120"/>
      <c r="IWG3" s="120"/>
      <c r="IWH3" s="120"/>
      <c r="IWI3" s="120"/>
      <c r="IWJ3" s="120"/>
      <c r="IWK3" s="120"/>
      <c r="IWL3" s="120"/>
      <c r="IWM3" s="120"/>
      <c r="IWN3" s="120"/>
      <c r="IWO3" s="120"/>
      <c r="IWP3" s="120"/>
      <c r="IWQ3" s="120"/>
      <c r="IWR3" s="120"/>
      <c r="IWS3" s="120"/>
      <c r="IWT3" s="120"/>
      <c r="IWU3" s="120"/>
      <c r="IWV3" s="120"/>
      <c r="IWW3" s="120"/>
      <c r="IWX3" s="120"/>
      <c r="IWY3" s="120"/>
      <c r="IWZ3" s="120"/>
      <c r="IXA3" s="120"/>
      <c r="IXB3" s="120"/>
      <c r="IXC3" s="120"/>
      <c r="IXD3" s="120"/>
      <c r="IXE3" s="120"/>
      <c r="IXF3" s="120"/>
      <c r="IXG3" s="120"/>
      <c r="IXH3" s="120"/>
      <c r="IXI3" s="120"/>
      <c r="IXJ3" s="120"/>
      <c r="IXK3" s="120"/>
      <c r="IXL3" s="120"/>
      <c r="IXM3" s="120"/>
      <c r="IXN3" s="120"/>
      <c r="IXO3" s="120"/>
      <c r="IXP3" s="120"/>
      <c r="IXQ3" s="120"/>
      <c r="IXR3" s="120"/>
      <c r="IXS3" s="120"/>
      <c r="IXT3" s="120"/>
      <c r="IXU3" s="120"/>
      <c r="IXV3" s="120"/>
      <c r="IXW3" s="120"/>
      <c r="IXX3" s="120"/>
      <c r="IXY3" s="120"/>
      <c r="IXZ3" s="120"/>
      <c r="IYA3" s="120"/>
      <c r="IYB3" s="120"/>
      <c r="IYC3" s="120"/>
      <c r="IYD3" s="120"/>
      <c r="IYE3" s="120"/>
      <c r="IYF3" s="120"/>
      <c r="IYG3" s="120"/>
      <c r="IYH3" s="120"/>
      <c r="IYI3" s="120"/>
      <c r="IYJ3" s="120"/>
      <c r="IYK3" s="120"/>
      <c r="IYL3" s="120"/>
      <c r="IYM3" s="120"/>
      <c r="IYN3" s="120"/>
      <c r="IYO3" s="120"/>
      <c r="IYP3" s="120"/>
      <c r="IYQ3" s="120"/>
      <c r="IYR3" s="120"/>
      <c r="IYS3" s="120"/>
      <c r="IYT3" s="120"/>
      <c r="IYU3" s="120"/>
      <c r="IYV3" s="120"/>
      <c r="IYW3" s="120"/>
      <c r="IYX3" s="120"/>
      <c r="IYY3" s="120"/>
      <c r="IYZ3" s="120"/>
      <c r="IZA3" s="120"/>
      <c r="IZB3" s="120"/>
      <c r="IZC3" s="120"/>
      <c r="IZD3" s="120"/>
      <c r="IZE3" s="120"/>
      <c r="IZF3" s="120"/>
      <c r="IZG3" s="120"/>
      <c r="IZH3" s="120"/>
      <c r="IZI3" s="120"/>
      <c r="IZJ3" s="120"/>
      <c r="IZK3" s="120"/>
      <c r="IZL3" s="120"/>
      <c r="IZM3" s="120"/>
      <c r="IZN3" s="120"/>
      <c r="IZO3" s="120"/>
      <c r="IZP3" s="120"/>
      <c r="IZQ3" s="120"/>
      <c r="IZR3" s="120"/>
      <c r="IZS3" s="120"/>
      <c r="IZT3" s="120"/>
      <c r="IZU3" s="120"/>
      <c r="IZV3" s="120"/>
      <c r="IZW3" s="120"/>
      <c r="IZX3" s="120"/>
      <c r="IZY3" s="120"/>
      <c r="IZZ3" s="120"/>
      <c r="JAA3" s="120"/>
      <c r="JAB3" s="120"/>
      <c r="JAC3" s="120"/>
      <c r="JAD3" s="120"/>
      <c r="JAE3" s="120"/>
      <c r="JAF3" s="120"/>
      <c r="JAG3" s="120"/>
      <c r="JAH3" s="120"/>
      <c r="JAI3" s="120"/>
      <c r="JAJ3" s="120"/>
      <c r="JAK3" s="120"/>
      <c r="JAL3" s="120"/>
      <c r="JAM3" s="120"/>
      <c r="JAN3" s="120"/>
      <c r="JAO3" s="120"/>
      <c r="JAP3" s="120"/>
      <c r="JAQ3" s="120"/>
      <c r="JAR3" s="120"/>
      <c r="JAS3" s="120"/>
      <c r="JAT3" s="120"/>
      <c r="JAU3" s="120"/>
      <c r="JAV3" s="120"/>
      <c r="JAW3" s="120"/>
      <c r="JAX3" s="120"/>
      <c r="JAY3" s="120"/>
      <c r="JAZ3" s="120"/>
      <c r="JBA3" s="120"/>
      <c r="JBB3" s="120"/>
      <c r="JBC3" s="120"/>
      <c r="JBD3" s="120"/>
      <c r="JBE3" s="120"/>
      <c r="JBF3" s="120"/>
      <c r="JBG3" s="120"/>
      <c r="JBH3" s="120"/>
      <c r="JBI3" s="120"/>
      <c r="JBJ3" s="120"/>
      <c r="JBK3" s="120"/>
      <c r="JBL3" s="120"/>
      <c r="JBM3" s="120"/>
      <c r="JBN3" s="120"/>
      <c r="JBO3" s="120"/>
      <c r="JBP3" s="120"/>
      <c r="JBQ3" s="120"/>
      <c r="JBR3" s="120"/>
      <c r="JBS3" s="120"/>
      <c r="JBT3" s="120"/>
      <c r="JBU3" s="120"/>
      <c r="JBV3" s="120"/>
      <c r="JBW3" s="120"/>
      <c r="JBX3" s="120"/>
      <c r="JBY3" s="120"/>
      <c r="JBZ3" s="120"/>
      <c r="JCA3" s="120"/>
      <c r="JCB3" s="120"/>
      <c r="JCC3" s="120"/>
      <c r="JCD3" s="120"/>
      <c r="JCE3" s="120"/>
      <c r="JCF3" s="120"/>
      <c r="JCG3" s="120"/>
      <c r="JCH3" s="120"/>
      <c r="JCI3" s="120"/>
      <c r="JCJ3" s="120"/>
      <c r="JCK3" s="120"/>
      <c r="JCL3" s="120"/>
      <c r="JCM3" s="120"/>
      <c r="JCN3" s="120"/>
      <c r="JCO3" s="120"/>
      <c r="JCP3" s="120"/>
      <c r="JCQ3" s="120"/>
      <c r="JCR3" s="120"/>
      <c r="JCS3" s="120"/>
      <c r="JCT3" s="120"/>
      <c r="JCU3" s="120"/>
      <c r="JCV3" s="120"/>
      <c r="JCW3" s="120"/>
      <c r="JCX3" s="120"/>
      <c r="JCY3" s="120"/>
      <c r="JCZ3" s="120"/>
      <c r="JDA3" s="120"/>
      <c r="JDB3" s="120"/>
      <c r="JDC3" s="120"/>
      <c r="JDD3" s="120"/>
      <c r="JDE3" s="120"/>
      <c r="JDF3" s="120"/>
      <c r="JDG3" s="120"/>
      <c r="JDH3" s="120"/>
      <c r="JDI3" s="120"/>
      <c r="JDJ3" s="120"/>
      <c r="JDK3" s="120"/>
      <c r="JDL3" s="120"/>
      <c r="JDM3" s="120"/>
      <c r="JDN3" s="120"/>
      <c r="JDO3" s="120"/>
      <c r="JDP3" s="120"/>
      <c r="JDQ3" s="120"/>
      <c r="JDR3" s="120"/>
      <c r="JDS3" s="120"/>
      <c r="JDT3" s="120"/>
      <c r="JDU3" s="120"/>
      <c r="JDV3" s="120"/>
      <c r="JDW3" s="120"/>
      <c r="JDX3" s="120"/>
      <c r="JDY3" s="120"/>
      <c r="JDZ3" s="120"/>
      <c r="JEA3" s="120"/>
      <c r="JEB3" s="120"/>
      <c r="JEC3" s="120"/>
      <c r="JED3" s="120"/>
      <c r="JEE3" s="120"/>
      <c r="JEF3" s="120"/>
      <c r="JEG3" s="120"/>
      <c r="JEH3" s="120"/>
      <c r="JEI3" s="120"/>
      <c r="JEJ3" s="120"/>
      <c r="JEK3" s="120"/>
      <c r="JEL3" s="120"/>
      <c r="JEM3" s="120"/>
      <c r="JEN3" s="120"/>
      <c r="JEO3" s="120"/>
      <c r="JEP3" s="120"/>
      <c r="JEQ3" s="120"/>
      <c r="JER3" s="120"/>
      <c r="JES3" s="120"/>
      <c r="JET3" s="120"/>
      <c r="JEU3" s="120"/>
      <c r="JEV3" s="120"/>
      <c r="JEW3" s="120"/>
      <c r="JEX3" s="120"/>
      <c r="JEY3" s="120"/>
      <c r="JEZ3" s="120"/>
      <c r="JFA3" s="120"/>
      <c r="JFB3" s="120"/>
      <c r="JFC3" s="120"/>
      <c r="JFD3" s="120"/>
      <c r="JFE3" s="120"/>
      <c r="JFF3" s="120"/>
      <c r="JFG3" s="120"/>
      <c r="JFH3" s="120"/>
      <c r="JFI3" s="120"/>
      <c r="JFJ3" s="120"/>
      <c r="JFK3" s="120"/>
      <c r="JFL3" s="120"/>
      <c r="JFM3" s="120"/>
      <c r="JFN3" s="120"/>
      <c r="JFO3" s="120"/>
      <c r="JFP3" s="120"/>
      <c r="JFQ3" s="120"/>
      <c r="JFR3" s="120"/>
      <c r="JFS3" s="120"/>
      <c r="JFT3" s="120"/>
      <c r="JFU3" s="120"/>
      <c r="JFV3" s="120"/>
      <c r="JFW3" s="120"/>
      <c r="JFX3" s="120"/>
      <c r="JFY3" s="120"/>
      <c r="JFZ3" s="120"/>
      <c r="JGA3" s="120"/>
      <c r="JGB3" s="120"/>
      <c r="JGC3" s="120"/>
      <c r="JGD3" s="120"/>
      <c r="JGE3" s="120"/>
      <c r="JGF3" s="120"/>
      <c r="JGG3" s="120"/>
      <c r="JGH3" s="120"/>
      <c r="JGI3" s="120"/>
      <c r="JGJ3" s="120"/>
      <c r="JGK3" s="120"/>
      <c r="JGL3" s="120"/>
      <c r="JGM3" s="120"/>
      <c r="JGN3" s="120"/>
      <c r="JGO3" s="120"/>
      <c r="JGP3" s="120"/>
      <c r="JGQ3" s="120"/>
      <c r="JGR3" s="120"/>
      <c r="JGS3" s="120"/>
      <c r="JGT3" s="120"/>
      <c r="JGU3" s="120"/>
      <c r="JGV3" s="120"/>
      <c r="JGW3" s="120"/>
      <c r="JGX3" s="120"/>
      <c r="JGY3" s="120"/>
      <c r="JGZ3" s="120"/>
      <c r="JHA3" s="120"/>
      <c r="JHB3" s="120"/>
      <c r="JHC3" s="120"/>
      <c r="JHD3" s="120"/>
      <c r="JHE3" s="120"/>
      <c r="JHF3" s="120"/>
      <c r="JHG3" s="120"/>
      <c r="JHH3" s="120"/>
      <c r="JHI3" s="120"/>
      <c r="JHJ3" s="120"/>
      <c r="JHK3" s="120"/>
      <c r="JHL3" s="120"/>
      <c r="JHM3" s="120"/>
      <c r="JHN3" s="120"/>
      <c r="JHO3" s="120"/>
      <c r="JHP3" s="120"/>
      <c r="JHQ3" s="120"/>
      <c r="JHR3" s="120"/>
      <c r="JHS3" s="120"/>
      <c r="JHT3" s="120"/>
      <c r="JHU3" s="120"/>
      <c r="JHV3" s="120"/>
      <c r="JHW3" s="120"/>
      <c r="JHX3" s="120"/>
      <c r="JHY3" s="120"/>
      <c r="JHZ3" s="120"/>
      <c r="JIA3" s="120"/>
      <c r="JIB3" s="120"/>
      <c r="JIC3" s="120"/>
      <c r="JID3" s="120"/>
      <c r="JIE3" s="120"/>
      <c r="JIF3" s="120"/>
      <c r="JIG3" s="120"/>
      <c r="JIH3" s="120"/>
      <c r="JII3" s="120"/>
      <c r="JIJ3" s="120"/>
      <c r="JIK3" s="120"/>
      <c r="JIL3" s="120"/>
      <c r="JIM3" s="120"/>
      <c r="JIN3" s="120"/>
      <c r="JIO3" s="120"/>
      <c r="JIP3" s="120"/>
      <c r="JIQ3" s="120"/>
      <c r="JIR3" s="120"/>
      <c r="JIS3" s="120"/>
      <c r="JIT3" s="120"/>
      <c r="JIU3" s="120"/>
      <c r="JIV3" s="120"/>
      <c r="JIW3" s="120"/>
      <c r="JIX3" s="120"/>
      <c r="JIY3" s="120"/>
      <c r="JIZ3" s="120"/>
      <c r="JJA3" s="120"/>
      <c r="JJB3" s="120"/>
      <c r="JJC3" s="120"/>
      <c r="JJD3" s="120"/>
      <c r="JJE3" s="120"/>
      <c r="JJF3" s="120"/>
      <c r="JJG3" s="120"/>
      <c r="JJH3" s="120"/>
      <c r="JJI3" s="120"/>
      <c r="JJJ3" s="120"/>
      <c r="JJK3" s="120"/>
      <c r="JJL3" s="120"/>
      <c r="JJM3" s="120"/>
      <c r="JJN3" s="120"/>
      <c r="JJO3" s="120"/>
      <c r="JJP3" s="120"/>
      <c r="JJQ3" s="120"/>
      <c r="JJR3" s="120"/>
      <c r="JJS3" s="120"/>
      <c r="JJT3" s="120"/>
      <c r="JJU3" s="120"/>
      <c r="JJV3" s="120"/>
      <c r="JJW3" s="120"/>
      <c r="JJX3" s="120"/>
      <c r="JJY3" s="120"/>
      <c r="JJZ3" s="120"/>
      <c r="JKA3" s="120"/>
      <c r="JKB3" s="120"/>
      <c r="JKC3" s="120"/>
      <c r="JKD3" s="120"/>
      <c r="JKE3" s="120"/>
      <c r="JKF3" s="120"/>
      <c r="JKG3" s="120"/>
      <c r="JKH3" s="120"/>
      <c r="JKI3" s="120"/>
      <c r="JKJ3" s="120"/>
      <c r="JKK3" s="120"/>
      <c r="JKL3" s="120"/>
      <c r="JKM3" s="120"/>
      <c r="JKN3" s="120"/>
      <c r="JKO3" s="120"/>
      <c r="JKP3" s="120"/>
      <c r="JKQ3" s="120"/>
      <c r="JKR3" s="120"/>
      <c r="JKS3" s="120"/>
      <c r="JKT3" s="120"/>
      <c r="JKU3" s="120"/>
      <c r="JKV3" s="120"/>
      <c r="JKW3" s="120"/>
      <c r="JKX3" s="120"/>
      <c r="JKY3" s="120"/>
      <c r="JKZ3" s="120"/>
      <c r="JLA3" s="120"/>
      <c r="JLB3" s="120"/>
      <c r="JLC3" s="120"/>
      <c r="JLD3" s="120"/>
      <c r="JLE3" s="120"/>
      <c r="JLF3" s="120"/>
      <c r="JLG3" s="120"/>
      <c r="JLH3" s="120"/>
      <c r="JLI3" s="120"/>
      <c r="JLJ3" s="120"/>
      <c r="JLK3" s="120"/>
      <c r="JLL3" s="120"/>
      <c r="JLM3" s="120"/>
      <c r="JLN3" s="120"/>
      <c r="JLO3" s="120"/>
      <c r="JLP3" s="120"/>
      <c r="JLQ3" s="120"/>
      <c r="JLR3" s="120"/>
      <c r="JLS3" s="120"/>
      <c r="JLT3" s="120"/>
      <c r="JLU3" s="120"/>
      <c r="JLV3" s="120"/>
      <c r="JLW3" s="120"/>
      <c r="JLX3" s="120"/>
      <c r="JLY3" s="120"/>
      <c r="JLZ3" s="120"/>
      <c r="JMA3" s="120"/>
      <c r="JMB3" s="120"/>
      <c r="JMC3" s="120"/>
      <c r="JMD3" s="120"/>
      <c r="JME3" s="120"/>
      <c r="JMF3" s="120"/>
      <c r="JMG3" s="120"/>
      <c r="JMH3" s="120"/>
      <c r="JMI3" s="120"/>
      <c r="JMJ3" s="120"/>
      <c r="JMK3" s="120"/>
      <c r="JML3" s="120"/>
      <c r="JMM3" s="120"/>
      <c r="JMN3" s="120"/>
      <c r="JMO3" s="120"/>
      <c r="JMP3" s="120"/>
      <c r="JMQ3" s="120"/>
      <c r="JMR3" s="120"/>
      <c r="JMS3" s="120"/>
      <c r="JMT3" s="120"/>
      <c r="JMU3" s="120"/>
      <c r="JMV3" s="120"/>
      <c r="JMW3" s="120"/>
      <c r="JMX3" s="120"/>
      <c r="JMY3" s="120"/>
      <c r="JMZ3" s="120"/>
      <c r="JNA3" s="120"/>
      <c r="JNB3" s="120"/>
      <c r="JNC3" s="120"/>
      <c r="JND3" s="120"/>
      <c r="JNE3" s="120"/>
      <c r="JNF3" s="120"/>
      <c r="JNG3" s="120"/>
      <c r="JNH3" s="120"/>
      <c r="JNI3" s="120"/>
      <c r="JNJ3" s="120"/>
      <c r="JNK3" s="120"/>
      <c r="JNL3" s="120"/>
      <c r="JNM3" s="120"/>
      <c r="JNN3" s="120"/>
      <c r="JNO3" s="120"/>
      <c r="JNP3" s="120"/>
      <c r="JNQ3" s="120"/>
      <c r="JNR3" s="120"/>
      <c r="JNS3" s="120"/>
      <c r="JNT3" s="120"/>
      <c r="JNU3" s="120"/>
      <c r="JNV3" s="120"/>
      <c r="JNW3" s="120"/>
      <c r="JNX3" s="120"/>
      <c r="JNY3" s="120"/>
      <c r="JNZ3" s="120"/>
      <c r="JOA3" s="120"/>
      <c r="JOB3" s="120"/>
      <c r="JOC3" s="120"/>
      <c r="JOD3" s="120"/>
      <c r="JOE3" s="120"/>
      <c r="JOF3" s="120"/>
      <c r="JOG3" s="120"/>
      <c r="JOH3" s="120"/>
      <c r="JOI3" s="120"/>
      <c r="JOJ3" s="120"/>
      <c r="JOK3" s="120"/>
      <c r="JOL3" s="120"/>
      <c r="JOM3" s="120"/>
      <c r="JON3" s="120"/>
      <c r="JOO3" s="120"/>
      <c r="JOP3" s="120"/>
      <c r="JOQ3" s="120"/>
      <c r="JOR3" s="120"/>
      <c r="JOS3" s="120"/>
      <c r="JOT3" s="120"/>
      <c r="JOU3" s="120"/>
      <c r="JOV3" s="120"/>
      <c r="JOW3" s="120"/>
      <c r="JOX3" s="120"/>
      <c r="JOY3" s="120"/>
      <c r="JOZ3" s="120"/>
      <c r="JPA3" s="120"/>
      <c r="JPB3" s="120"/>
      <c r="JPC3" s="120"/>
      <c r="JPD3" s="120"/>
      <c r="JPE3" s="120"/>
      <c r="JPF3" s="120"/>
      <c r="JPG3" s="120"/>
      <c r="JPH3" s="120"/>
      <c r="JPI3" s="120"/>
      <c r="JPJ3" s="120"/>
      <c r="JPK3" s="120"/>
      <c r="JPL3" s="120"/>
      <c r="JPM3" s="120"/>
      <c r="JPN3" s="120"/>
      <c r="JPO3" s="120"/>
      <c r="JPP3" s="120"/>
      <c r="JPQ3" s="120"/>
      <c r="JPR3" s="120"/>
      <c r="JPS3" s="120"/>
      <c r="JPT3" s="120"/>
      <c r="JPU3" s="120"/>
      <c r="JPV3" s="120"/>
      <c r="JPW3" s="120"/>
      <c r="JPX3" s="120"/>
      <c r="JPY3" s="120"/>
      <c r="JPZ3" s="120"/>
      <c r="JQA3" s="120"/>
      <c r="JQB3" s="120"/>
      <c r="JQC3" s="120"/>
      <c r="JQD3" s="120"/>
      <c r="JQE3" s="120"/>
      <c r="JQF3" s="120"/>
      <c r="JQG3" s="120"/>
      <c r="JQH3" s="120"/>
      <c r="JQI3" s="120"/>
      <c r="JQJ3" s="120"/>
      <c r="JQK3" s="120"/>
      <c r="JQL3" s="120"/>
      <c r="JQM3" s="120"/>
      <c r="JQN3" s="120"/>
      <c r="JQO3" s="120"/>
      <c r="JQP3" s="120"/>
      <c r="JQQ3" s="120"/>
      <c r="JQR3" s="120"/>
      <c r="JQS3" s="120"/>
      <c r="JQT3" s="120"/>
      <c r="JQU3" s="120"/>
      <c r="JQV3" s="120"/>
      <c r="JQW3" s="120"/>
      <c r="JQX3" s="120"/>
      <c r="JQY3" s="120"/>
      <c r="JQZ3" s="120"/>
      <c r="JRA3" s="120"/>
      <c r="JRB3" s="120"/>
      <c r="JRC3" s="120"/>
      <c r="JRD3" s="120"/>
      <c r="JRE3" s="120"/>
      <c r="JRF3" s="120"/>
      <c r="JRG3" s="120"/>
      <c r="JRH3" s="120"/>
      <c r="JRI3" s="120"/>
      <c r="JRJ3" s="120"/>
      <c r="JRK3" s="120"/>
      <c r="JRL3" s="120"/>
      <c r="JRM3" s="120"/>
      <c r="JRN3" s="120"/>
      <c r="JRO3" s="120"/>
      <c r="JRP3" s="120"/>
      <c r="JRQ3" s="120"/>
      <c r="JRR3" s="120"/>
      <c r="JRS3" s="120"/>
      <c r="JRT3" s="120"/>
      <c r="JRU3" s="120"/>
      <c r="JRV3" s="120"/>
      <c r="JRW3" s="120"/>
      <c r="JRX3" s="120"/>
      <c r="JRY3" s="120"/>
      <c r="JRZ3" s="120"/>
      <c r="JSA3" s="120"/>
      <c r="JSB3" s="120"/>
      <c r="JSC3" s="120"/>
      <c r="JSD3" s="120"/>
      <c r="JSE3" s="120"/>
      <c r="JSF3" s="120"/>
      <c r="JSG3" s="120"/>
      <c r="JSH3" s="120"/>
      <c r="JSI3" s="120"/>
      <c r="JSJ3" s="120"/>
      <c r="JSK3" s="120"/>
      <c r="JSL3" s="120"/>
      <c r="JSM3" s="120"/>
      <c r="JSN3" s="120"/>
      <c r="JSO3" s="120"/>
      <c r="JSP3" s="120"/>
      <c r="JSQ3" s="120"/>
      <c r="JSR3" s="120"/>
      <c r="JSS3" s="120"/>
      <c r="JST3" s="120"/>
      <c r="JSU3" s="120"/>
      <c r="JSV3" s="120"/>
      <c r="JSW3" s="120"/>
      <c r="JSX3" s="120"/>
      <c r="JSY3" s="120"/>
      <c r="JSZ3" s="120"/>
      <c r="JTA3" s="120"/>
      <c r="JTB3" s="120"/>
      <c r="JTC3" s="120"/>
      <c r="JTD3" s="120"/>
      <c r="JTE3" s="120"/>
      <c r="JTF3" s="120"/>
      <c r="JTG3" s="120"/>
      <c r="JTH3" s="120"/>
      <c r="JTI3" s="120"/>
      <c r="JTJ3" s="120"/>
      <c r="JTK3" s="120"/>
      <c r="JTL3" s="120"/>
      <c r="JTM3" s="120"/>
      <c r="JTN3" s="120"/>
      <c r="JTO3" s="120"/>
      <c r="JTP3" s="120"/>
      <c r="JTQ3" s="120"/>
      <c r="JTR3" s="120"/>
      <c r="JTS3" s="120"/>
      <c r="JTT3" s="120"/>
      <c r="JTU3" s="120"/>
      <c r="JTV3" s="120"/>
      <c r="JTW3" s="120"/>
      <c r="JTX3" s="120"/>
      <c r="JTY3" s="120"/>
      <c r="JTZ3" s="120"/>
      <c r="JUA3" s="120"/>
      <c r="JUB3" s="120"/>
      <c r="JUC3" s="120"/>
      <c r="JUD3" s="120"/>
      <c r="JUE3" s="120"/>
      <c r="JUF3" s="120"/>
      <c r="JUG3" s="120"/>
      <c r="JUH3" s="120"/>
      <c r="JUI3" s="120"/>
      <c r="JUJ3" s="120"/>
      <c r="JUK3" s="120"/>
      <c r="JUL3" s="120"/>
      <c r="JUM3" s="120"/>
      <c r="JUN3" s="120"/>
      <c r="JUO3" s="120"/>
      <c r="JUP3" s="120"/>
      <c r="JUQ3" s="120"/>
      <c r="JUR3" s="120"/>
      <c r="JUS3" s="120"/>
      <c r="JUT3" s="120"/>
      <c r="JUU3" s="120"/>
      <c r="JUV3" s="120"/>
      <c r="JUW3" s="120"/>
      <c r="JUX3" s="120"/>
      <c r="JUY3" s="120"/>
      <c r="JUZ3" s="120"/>
      <c r="JVA3" s="120"/>
      <c r="JVB3" s="120"/>
      <c r="JVC3" s="120"/>
      <c r="JVD3" s="120"/>
      <c r="JVE3" s="120"/>
      <c r="JVF3" s="120"/>
      <c r="JVG3" s="120"/>
      <c r="JVH3" s="120"/>
      <c r="JVI3" s="120"/>
      <c r="JVJ3" s="120"/>
      <c r="JVK3" s="120"/>
      <c r="JVL3" s="120"/>
      <c r="JVM3" s="120"/>
      <c r="JVN3" s="120"/>
      <c r="JVO3" s="120"/>
      <c r="JVP3" s="120"/>
      <c r="JVQ3" s="120"/>
      <c r="JVR3" s="120"/>
      <c r="JVS3" s="120"/>
      <c r="JVT3" s="120"/>
      <c r="JVU3" s="120"/>
      <c r="JVV3" s="120"/>
      <c r="JVW3" s="120"/>
      <c r="JVX3" s="120"/>
      <c r="JVY3" s="120"/>
      <c r="JVZ3" s="120"/>
      <c r="JWA3" s="120"/>
      <c r="JWB3" s="120"/>
      <c r="JWC3" s="120"/>
      <c r="JWD3" s="120"/>
      <c r="JWE3" s="120"/>
      <c r="JWF3" s="120"/>
      <c r="JWG3" s="120"/>
      <c r="JWH3" s="120"/>
      <c r="JWI3" s="120"/>
      <c r="JWJ3" s="120"/>
      <c r="JWK3" s="120"/>
      <c r="JWL3" s="120"/>
      <c r="JWM3" s="120"/>
      <c r="JWN3" s="120"/>
      <c r="JWO3" s="120"/>
      <c r="JWP3" s="120"/>
      <c r="JWQ3" s="120"/>
      <c r="JWR3" s="120"/>
      <c r="JWS3" s="120"/>
      <c r="JWT3" s="120"/>
      <c r="JWU3" s="120"/>
      <c r="JWV3" s="120"/>
      <c r="JWW3" s="120"/>
      <c r="JWX3" s="120"/>
      <c r="JWY3" s="120"/>
      <c r="JWZ3" s="120"/>
      <c r="JXA3" s="120"/>
      <c r="JXB3" s="120"/>
      <c r="JXC3" s="120"/>
      <c r="JXD3" s="120"/>
      <c r="JXE3" s="120"/>
      <c r="JXF3" s="120"/>
      <c r="JXG3" s="120"/>
      <c r="JXH3" s="120"/>
      <c r="JXI3" s="120"/>
      <c r="JXJ3" s="120"/>
      <c r="JXK3" s="120"/>
      <c r="JXL3" s="120"/>
      <c r="JXM3" s="120"/>
      <c r="JXN3" s="120"/>
      <c r="JXO3" s="120"/>
      <c r="JXP3" s="120"/>
      <c r="JXQ3" s="120"/>
      <c r="JXR3" s="120"/>
      <c r="JXS3" s="120"/>
      <c r="JXT3" s="120"/>
      <c r="JXU3" s="120"/>
      <c r="JXV3" s="120"/>
      <c r="JXW3" s="120"/>
      <c r="JXX3" s="120"/>
      <c r="JXY3" s="120"/>
      <c r="JXZ3" s="120"/>
      <c r="JYA3" s="120"/>
      <c r="JYB3" s="120"/>
      <c r="JYC3" s="120"/>
      <c r="JYD3" s="120"/>
      <c r="JYE3" s="120"/>
      <c r="JYF3" s="120"/>
      <c r="JYG3" s="120"/>
      <c r="JYH3" s="120"/>
      <c r="JYI3" s="120"/>
      <c r="JYJ3" s="120"/>
      <c r="JYK3" s="120"/>
      <c r="JYL3" s="120"/>
      <c r="JYM3" s="120"/>
      <c r="JYN3" s="120"/>
      <c r="JYO3" s="120"/>
      <c r="JYP3" s="120"/>
      <c r="JYQ3" s="120"/>
      <c r="JYR3" s="120"/>
      <c r="JYS3" s="120"/>
      <c r="JYT3" s="120"/>
      <c r="JYU3" s="120"/>
      <c r="JYV3" s="120"/>
      <c r="JYW3" s="120"/>
      <c r="JYX3" s="120"/>
      <c r="JYY3" s="120"/>
      <c r="JYZ3" s="120"/>
      <c r="JZA3" s="120"/>
      <c r="JZB3" s="120"/>
      <c r="JZC3" s="120"/>
      <c r="JZD3" s="120"/>
      <c r="JZE3" s="120"/>
      <c r="JZF3" s="120"/>
      <c r="JZG3" s="120"/>
      <c r="JZH3" s="120"/>
      <c r="JZI3" s="120"/>
      <c r="JZJ3" s="120"/>
      <c r="JZK3" s="120"/>
      <c r="JZL3" s="120"/>
      <c r="JZM3" s="120"/>
      <c r="JZN3" s="120"/>
      <c r="JZO3" s="120"/>
      <c r="JZP3" s="120"/>
      <c r="JZQ3" s="120"/>
      <c r="JZR3" s="120"/>
      <c r="JZS3" s="120"/>
      <c r="JZT3" s="120"/>
      <c r="JZU3" s="120"/>
      <c r="JZV3" s="120"/>
      <c r="JZW3" s="120"/>
      <c r="JZX3" s="120"/>
      <c r="JZY3" s="120"/>
      <c r="JZZ3" s="120"/>
      <c r="KAA3" s="120"/>
      <c r="KAB3" s="120"/>
      <c r="KAC3" s="120"/>
      <c r="KAD3" s="120"/>
      <c r="KAE3" s="120"/>
      <c r="KAF3" s="120"/>
      <c r="KAG3" s="120"/>
      <c r="KAH3" s="120"/>
      <c r="KAI3" s="120"/>
      <c r="KAJ3" s="120"/>
      <c r="KAK3" s="120"/>
      <c r="KAL3" s="120"/>
      <c r="KAM3" s="120"/>
      <c r="KAN3" s="120"/>
      <c r="KAO3" s="120"/>
      <c r="KAP3" s="120"/>
      <c r="KAQ3" s="120"/>
      <c r="KAR3" s="120"/>
      <c r="KAS3" s="120"/>
      <c r="KAT3" s="120"/>
      <c r="KAU3" s="120"/>
      <c r="KAV3" s="120"/>
      <c r="KAW3" s="120"/>
      <c r="KAX3" s="120"/>
      <c r="KAY3" s="120"/>
      <c r="KAZ3" s="120"/>
      <c r="KBA3" s="120"/>
      <c r="KBB3" s="120"/>
      <c r="KBC3" s="120"/>
      <c r="KBD3" s="120"/>
      <c r="KBE3" s="120"/>
      <c r="KBF3" s="120"/>
      <c r="KBG3" s="120"/>
      <c r="KBH3" s="120"/>
      <c r="KBI3" s="120"/>
      <c r="KBJ3" s="120"/>
      <c r="KBK3" s="120"/>
      <c r="KBL3" s="120"/>
      <c r="KBM3" s="120"/>
      <c r="KBN3" s="120"/>
      <c r="KBO3" s="120"/>
      <c r="KBP3" s="120"/>
      <c r="KBQ3" s="120"/>
      <c r="KBR3" s="120"/>
      <c r="KBS3" s="120"/>
      <c r="KBT3" s="120"/>
      <c r="KBU3" s="120"/>
      <c r="KBV3" s="120"/>
      <c r="KBW3" s="120"/>
      <c r="KBX3" s="120"/>
      <c r="KBY3" s="120"/>
      <c r="KBZ3" s="120"/>
      <c r="KCA3" s="120"/>
      <c r="KCB3" s="120"/>
      <c r="KCC3" s="120"/>
      <c r="KCD3" s="120"/>
      <c r="KCE3" s="120"/>
      <c r="KCF3" s="120"/>
      <c r="KCG3" s="120"/>
      <c r="KCH3" s="120"/>
      <c r="KCI3" s="120"/>
      <c r="KCJ3" s="120"/>
      <c r="KCK3" s="120"/>
      <c r="KCL3" s="120"/>
      <c r="KCM3" s="120"/>
      <c r="KCN3" s="120"/>
      <c r="KCO3" s="120"/>
      <c r="KCP3" s="120"/>
      <c r="KCQ3" s="120"/>
      <c r="KCR3" s="120"/>
      <c r="KCS3" s="120"/>
      <c r="KCT3" s="120"/>
      <c r="KCU3" s="120"/>
      <c r="KCV3" s="120"/>
      <c r="KCW3" s="120"/>
      <c r="KCX3" s="120"/>
      <c r="KCY3" s="120"/>
      <c r="KCZ3" s="120"/>
      <c r="KDA3" s="120"/>
      <c r="KDB3" s="120"/>
      <c r="KDC3" s="120"/>
      <c r="KDD3" s="120"/>
      <c r="KDE3" s="120"/>
      <c r="KDF3" s="120"/>
      <c r="KDG3" s="120"/>
      <c r="KDH3" s="120"/>
      <c r="KDI3" s="120"/>
      <c r="KDJ3" s="120"/>
      <c r="KDK3" s="120"/>
      <c r="KDL3" s="120"/>
      <c r="KDM3" s="120"/>
      <c r="KDN3" s="120"/>
      <c r="KDO3" s="120"/>
      <c r="KDP3" s="120"/>
      <c r="KDQ3" s="120"/>
      <c r="KDR3" s="120"/>
      <c r="KDS3" s="120"/>
      <c r="KDT3" s="120"/>
      <c r="KDU3" s="120"/>
      <c r="KDV3" s="120"/>
      <c r="KDW3" s="120"/>
      <c r="KDX3" s="120"/>
      <c r="KDY3" s="120"/>
      <c r="KDZ3" s="120"/>
      <c r="KEA3" s="120"/>
      <c r="KEB3" s="120"/>
      <c r="KEC3" s="120"/>
      <c r="KED3" s="120"/>
      <c r="KEE3" s="120"/>
      <c r="KEF3" s="120"/>
      <c r="KEG3" s="120"/>
      <c r="KEH3" s="120"/>
      <c r="KEI3" s="120"/>
      <c r="KEJ3" s="120"/>
      <c r="KEK3" s="120"/>
      <c r="KEL3" s="120"/>
      <c r="KEM3" s="120"/>
      <c r="KEN3" s="120"/>
      <c r="KEO3" s="120"/>
      <c r="KEP3" s="120"/>
      <c r="KEQ3" s="120"/>
      <c r="KER3" s="120"/>
      <c r="KES3" s="120"/>
      <c r="KET3" s="120"/>
      <c r="KEU3" s="120"/>
      <c r="KEV3" s="120"/>
      <c r="KEW3" s="120"/>
      <c r="KEX3" s="120"/>
      <c r="KEY3" s="120"/>
      <c r="KEZ3" s="120"/>
      <c r="KFA3" s="120"/>
      <c r="KFB3" s="120"/>
      <c r="KFC3" s="120"/>
      <c r="KFD3" s="120"/>
      <c r="KFE3" s="120"/>
      <c r="KFF3" s="120"/>
      <c r="KFG3" s="120"/>
      <c r="KFH3" s="120"/>
      <c r="KFI3" s="120"/>
      <c r="KFJ3" s="120"/>
      <c r="KFK3" s="120"/>
      <c r="KFL3" s="120"/>
      <c r="KFM3" s="120"/>
      <c r="KFN3" s="120"/>
      <c r="KFO3" s="120"/>
      <c r="KFP3" s="120"/>
      <c r="KFQ3" s="120"/>
      <c r="KFR3" s="120"/>
      <c r="KFS3" s="120"/>
      <c r="KFT3" s="120"/>
      <c r="KFU3" s="120"/>
      <c r="KFV3" s="120"/>
      <c r="KFW3" s="120"/>
      <c r="KFX3" s="120"/>
      <c r="KFY3" s="120"/>
      <c r="KFZ3" s="120"/>
      <c r="KGA3" s="120"/>
      <c r="KGB3" s="120"/>
      <c r="KGC3" s="120"/>
      <c r="KGD3" s="120"/>
      <c r="KGE3" s="120"/>
      <c r="KGF3" s="120"/>
      <c r="KGG3" s="120"/>
      <c r="KGH3" s="120"/>
      <c r="KGI3" s="120"/>
      <c r="KGJ3" s="120"/>
      <c r="KGK3" s="120"/>
      <c r="KGL3" s="120"/>
      <c r="KGM3" s="120"/>
      <c r="KGN3" s="120"/>
      <c r="KGO3" s="120"/>
      <c r="KGP3" s="120"/>
      <c r="KGQ3" s="120"/>
      <c r="KGR3" s="120"/>
      <c r="KGS3" s="120"/>
      <c r="KGT3" s="120"/>
      <c r="KGU3" s="120"/>
      <c r="KGV3" s="120"/>
      <c r="KGW3" s="120"/>
      <c r="KGX3" s="120"/>
      <c r="KGY3" s="120"/>
      <c r="KGZ3" s="120"/>
      <c r="KHA3" s="120"/>
      <c r="KHB3" s="120"/>
      <c r="KHC3" s="120"/>
      <c r="KHD3" s="120"/>
      <c r="KHE3" s="120"/>
      <c r="KHF3" s="120"/>
      <c r="KHG3" s="120"/>
      <c r="KHH3" s="120"/>
      <c r="KHI3" s="120"/>
      <c r="KHJ3" s="120"/>
      <c r="KHK3" s="120"/>
      <c r="KHL3" s="120"/>
      <c r="KHM3" s="120"/>
      <c r="KHN3" s="120"/>
      <c r="KHO3" s="120"/>
      <c r="KHP3" s="120"/>
      <c r="KHQ3" s="120"/>
      <c r="KHR3" s="120"/>
      <c r="KHS3" s="120"/>
      <c r="KHT3" s="120"/>
      <c r="KHU3" s="120"/>
      <c r="KHV3" s="120"/>
      <c r="KHW3" s="120"/>
      <c r="KHX3" s="120"/>
      <c r="KHY3" s="120"/>
      <c r="KHZ3" s="120"/>
      <c r="KIA3" s="120"/>
      <c r="KIB3" s="120"/>
      <c r="KIC3" s="120"/>
      <c r="KID3" s="120"/>
      <c r="KIE3" s="120"/>
      <c r="KIF3" s="120"/>
      <c r="KIG3" s="120"/>
      <c r="KIH3" s="120"/>
      <c r="KII3" s="120"/>
      <c r="KIJ3" s="120"/>
      <c r="KIK3" s="120"/>
      <c r="KIL3" s="120"/>
      <c r="KIM3" s="120"/>
      <c r="KIN3" s="120"/>
      <c r="KIO3" s="120"/>
      <c r="KIP3" s="120"/>
      <c r="KIQ3" s="120"/>
      <c r="KIR3" s="120"/>
      <c r="KIS3" s="120"/>
      <c r="KIT3" s="120"/>
      <c r="KIU3" s="120"/>
      <c r="KIV3" s="120"/>
      <c r="KIW3" s="120"/>
      <c r="KIX3" s="120"/>
      <c r="KIY3" s="120"/>
      <c r="KIZ3" s="120"/>
      <c r="KJA3" s="120"/>
      <c r="KJB3" s="120"/>
      <c r="KJC3" s="120"/>
      <c r="KJD3" s="120"/>
      <c r="KJE3" s="120"/>
      <c r="KJF3" s="120"/>
      <c r="KJG3" s="120"/>
      <c r="KJH3" s="120"/>
      <c r="KJI3" s="120"/>
      <c r="KJJ3" s="120"/>
      <c r="KJK3" s="120"/>
      <c r="KJL3" s="120"/>
      <c r="KJM3" s="120"/>
      <c r="KJN3" s="120"/>
      <c r="KJO3" s="120"/>
      <c r="KJP3" s="120"/>
      <c r="KJQ3" s="120"/>
      <c r="KJR3" s="120"/>
      <c r="KJS3" s="120"/>
      <c r="KJT3" s="120"/>
      <c r="KJU3" s="120"/>
      <c r="KJV3" s="120"/>
      <c r="KJW3" s="120"/>
      <c r="KJX3" s="120"/>
      <c r="KJY3" s="120"/>
      <c r="KJZ3" s="120"/>
      <c r="KKA3" s="120"/>
      <c r="KKB3" s="120"/>
      <c r="KKC3" s="120"/>
      <c r="KKD3" s="120"/>
      <c r="KKE3" s="120"/>
      <c r="KKF3" s="120"/>
      <c r="KKG3" s="120"/>
      <c r="KKH3" s="120"/>
      <c r="KKI3" s="120"/>
      <c r="KKJ3" s="120"/>
      <c r="KKK3" s="120"/>
      <c r="KKL3" s="120"/>
      <c r="KKM3" s="120"/>
      <c r="KKN3" s="120"/>
      <c r="KKO3" s="120"/>
      <c r="KKP3" s="120"/>
      <c r="KKQ3" s="120"/>
      <c r="KKR3" s="120"/>
      <c r="KKS3" s="120"/>
      <c r="KKT3" s="120"/>
      <c r="KKU3" s="120"/>
      <c r="KKV3" s="120"/>
      <c r="KKW3" s="120"/>
      <c r="KKX3" s="120"/>
      <c r="KKY3" s="120"/>
      <c r="KKZ3" s="120"/>
      <c r="KLA3" s="120"/>
      <c r="KLB3" s="120"/>
      <c r="KLC3" s="120"/>
      <c r="KLD3" s="120"/>
      <c r="KLE3" s="120"/>
      <c r="KLF3" s="120"/>
      <c r="KLG3" s="120"/>
      <c r="KLH3" s="120"/>
      <c r="KLI3" s="120"/>
      <c r="KLJ3" s="120"/>
      <c r="KLK3" s="120"/>
      <c r="KLL3" s="120"/>
      <c r="KLM3" s="120"/>
      <c r="KLN3" s="120"/>
      <c r="KLO3" s="120"/>
      <c r="KLP3" s="120"/>
      <c r="KLQ3" s="120"/>
      <c r="KLR3" s="120"/>
      <c r="KLS3" s="120"/>
      <c r="KLT3" s="120"/>
      <c r="KLU3" s="120"/>
      <c r="KLV3" s="120"/>
      <c r="KLW3" s="120"/>
      <c r="KLX3" s="120"/>
      <c r="KLY3" s="120"/>
      <c r="KLZ3" s="120"/>
      <c r="KMA3" s="120"/>
      <c r="KMB3" s="120"/>
      <c r="KMC3" s="120"/>
      <c r="KMD3" s="120"/>
      <c r="KME3" s="120"/>
      <c r="KMF3" s="120"/>
      <c r="KMG3" s="120"/>
      <c r="KMH3" s="120"/>
      <c r="KMI3" s="120"/>
      <c r="KMJ3" s="120"/>
      <c r="KMK3" s="120"/>
      <c r="KML3" s="120"/>
      <c r="KMM3" s="120"/>
      <c r="KMN3" s="120"/>
      <c r="KMO3" s="120"/>
      <c r="KMP3" s="120"/>
      <c r="KMQ3" s="120"/>
      <c r="KMR3" s="120"/>
      <c r="KMS3" s="120"/>
      <c r="KMT3" s="120"/>
      <c r="KMU3" s="120"/>
      <c r="KMV3" s="120"/>
      <c r="KMW3" s="120"/>
      <c r="KMX3" s="120"/>
      <c r="KMY3" s="120"/>
      <c r="KMZ3" s="120"/>
      <c r="KNA3" s="120"/>
      <c r="KNB3" s="120"/>
      <c r="KNC3" s="120"/>
      <c r="KND3" s="120"/>
      <c r="KNE3" s="120"/>
      <c r="KNF3" s="120"/>
      <c r="KNG3" s="120"/>
      <c r="KNH3" s="120"/>
      <c r="KNI3" s="120"/>
      <c r="KNJ3" s="120"/>
      <c r="KNK3" s="120"/>
      <c r="KNL3" s="120"/>
      <c r="KNM3" s="120"/>
      <c r="KNN3" s="120"/>
      <c r="KNO3" s="120"/>
      <c r="KNP3" s="120"/>
      <c r="KNQ3" s="120"/>
      <c r="KNR3" s="120"/>
      <c r="KNS3" s="120"/>
      <c r="KNT3" s="120"/>
      <c r="KNU3" s="120"/>
      <c r="KNV3" s="120"/>
      <c r="KNW3" s="120"/>
      <c r="KNX3" s="120"/>
      <c r="KNY3" s="120"/>
      <c r="KNZ3" s="120"/>
      <c r="KOA3" s="120"/>
      <c r="KOB3" s="120"/>
      <c r="KOC3" s="120"/>
      <c r="KOD3" s="120"/>
      <c r="KOE3" s="120"/>
      <c r="KOF3" s="120"/>
      <c r="KOG3" s="120"/>
      <c r="KOH3" s="120"/>
      <c r="KOI3" s="120"/>
      <c r="KOJ3" s="120"/>
      <c r="KOK3" s="120"/>
      <c r="KOL3" s="120"/>
      <c r="KOM3" s="120"/>
      <c r="KON3" s="120"/>
      <c r="KOO3" s="120"/>
      <c r="KOP3" s="120"/>
      <c r="KOQ3" s="120"/>
      <c r="KOR3" s="120"/>
      <c r="KOS3" s="120"/>
      <c r="KOT3" s="120"/>
      <c r="KOU3" s="120"/>
      <c r="KOV3" s="120"/>
      <c r="KOW3" s="120"/>
      <c r="KOX3" s="120"/>
      <c r="KOY3" s="120"/>
      <c r="KOZ3" s="120"/>
      <c r="KPA3" s="120"/>
      <c r="KPB3" s="120"/>
      <c r="KPC3" s="120"/>
      <c r="KPD3" s="120"/>
      <c r="KPE3" s="120"/>
      <c r="KPF3" s="120"/>
      <c r="KPG3" s="120"/>
      <c r="KPH3" s="120"/>
      <c r="KPI3" s="120"/>
      <c r="KPJ3" s="120"/>
      <c r="KPK3" s="120"/>
      <c r="KPL3" s="120"/>
      <c r="KPM3" s="120"/>
      <c r="KPN3" s="120"/>
      <c r="KPO3" s="120"/>
      <c r="KPP3" s="120"/>
      <c r="KPQ3" s="120"/>
      <c r="KPR3" s="120"/>
      <c r="KPS3" s="120"/>
      <c r="KPT3" s="120"/>
      <c r="KPU3" s="120"/>
      <c r="KPV3" s="120"/>
      <c r="KPW3" s="120"/>
      <c r="KPX3" s="120"/>
      <c r="KPY3" s="120"/>
      <c r="KPZ3" s="120"/>
      <c r="KQA3" s="120"/>
      <c r="KQB3" s="120"/>
      <c r="KQC3" s="120"/>
      <c r="KQD3" s="120"/>
      <c r="KQE3" s="120"/>
      <c r="KQF3" s="120"/>
      <c r="KQG3" s="120"/>
      <c r="KQH3" s="120"/>
      <c r="KQI3" s="120"/>
      <c r="KQJ3" s="120"/>
      <c r="KQK3" s="120"/>
      <c r="KQL3" s="120"/>
      <c r="KQM3" s="120"/>
      <c r="KQN3" s="120"/>
      <c r="KQO3" s="120"/>
      <c r="KQP3" s="120"/>
      <c r="KQQ3" s="120"/>
      <c r="KQR3" s="120"/>
      <c r="KQS3" s="120"/>
      <c r="KQT3" s="120"/>
      <c r="KQU3" s="120"/>
      <c r="KQV3" s="120"/>
      <c r="KQW3" s="120"/>
      <c r="KQX3" s="120"/>
      <c r="KQY3" s="120"/>
      <c r="KQZ3" s="120"/>
      <c r="KRA3" s="120"/>
      <c r="KRB3" s="120"/>
      <c r="KRC3" s="120"/>
      <c r="KRD3" s="120"/>
      <c r="KRE3" s="120"/>
      <c r="KRF3" s="120"/>
      <c r="KRG3" s="120"/>
      <c r="KRH3" s="120"/>
      <c r="KRI3" s="120"/>
      <c r="KRJ3" s="120"/>
      <c r="KRK3" s="120"/>
      <c r="KRL3" s="120"/>
      <c r="KRM3" s="120"/>
      <c r="KRN3" s="120"/>
      <c r="KRO3" s="120"/>
      <c r="KRP3" s="120"/>
      <c r="KRQ3" s="120"/>
      <c r="KRR3" s="120"/>
      <c r="KRS3" s="120"/>
      <c r="KRT3" s="120"/>
      <c r="KRU3" s="120"/>
      <c r="KRV3" s="120"/>
      <c r="KRW3" s="120"/>
      <c r="KRX3" s="120"/>
      <c r="KRY3" s="120"/>
      <c r="KRZ3" s="120"/>
      <c r="KSA3" s="120"/>
      <c r="KSB3" s="120"/>
      <c r="KSC3" s="120"/>
      <c r="KSD3" s="120"/>
      <c r="KSE3" s="120"/>
      <c r="KSF3" s="120"/>
      <c r="KSG3" s="120"/>
      <c r="KSH3" s="120"/>
      <c r="KSI3" s="120"/>
      <c r="KSJ3" s="120"/>
      <c r="KSK3" s="120"/>
      <c r="KSL3" s="120"/>
      <c r="KSM3" s="120"/>
      <c r="KSN3" s="120"/>
      <c r="KSO3" s="120"/>
      <c r="KSP3" s="120"/>
      <c r="KSQ3" s="120"/>
      <c r="KSR3" s="120"/>
      <c r="KSS3" s="120"/>
      <c r="KST3" s="120"/>
      <c r="KSU3" s="120"/>
      <c r="KSV3" s="120"/>
      <c r="KSW3" s="120"/>
      <c r="KSX3" s="120"/>
      <c r="KSY3" s="120"/>
      <c r="KSZ3" s="120"/>
      <c r="KTA3" s="120"/>
      <c r="KTB3" s="120"/>
      <c r="KTC3" s="120"/>
      <c r="KTD3" s="120"/>
      <c r="KTE3" s="120"/>
      <c r="KTF3" s="120"/>
      <c r="KTG3" s="120"/>
      <c r="KTH3" s="120"/>
      <c r="KTI3" s="120"/>
      <c r="KTJ3" s="120"/>
      <c r="KTK3" s="120"/>
      <c r="KTL3" s="120"/>
      <c r="KTM3" s="120"/>
      <c r="KTN3" s="120"/>
      <c r="KTO3" s="120"/>
      <c r="KTP3" s="120"/>
      <c r="KTQ3" s="120"/>
      <c r="KTR3" s="120"/>
      <c r="KTS3" s="120"/>
      <c r="KTT3" s="120"/>
      <c r="KTU3" s="120"/>
      <c r="KTV3" s="120"/>
      <c r="KTW3" s="120"/>
      <c r="KTX3" s="120"/>
      <c r="KTY3" s="120"/>
      <c r="KTZ3" s="120"/>
      <c r="KUA3" s="120"/>
      <c r="KUB3" s="120"/>
      <c r="KUC3" s="120"/>
      <c r="KUD3" s="120"/>
      <c r="KUE3" s="120"/>
      <c r="KUF3" s="120"/>
      <c r="KUG3" s="120"/>
      <c r="KUH3" s="120"/>
      <c r="KUI3" s="120"/>
      <c r="KUJ3" s="120"/>
      <c r="KUK3" s="120"/>
      <c r="KUL3" s="120"/>
      <c r="KUM3" s="120"/>
      <c r="KUN3" s="120"/>
      <c r="KUO3" s="120"/>
      <c r="KUP3" s="120"/>
      <c r="KUQ3" s="120"/>
      <c r="KUR3" s="120"/>
      <c r="KUS3" s="120"/>
      <c r="KUT3" s="120"/>
      <c r="KUU3" s="120"/>
      <c r="KUV3" s="120"/>
      <c r="KUW3" s="120"/>
      <c r="KUX3" s="120"/>
      <c r="KUY3" s="120"/>
      <c r="KUZ3" s="120"/>
      <c r="KVA3" s="120"/>
      <c r="KVB3" s="120"/>
      <c r="KVC3" s="120"/>
      <c r="KVD3" s="120"/>
      <c r="KVE3" s="120"/>
      <c r="KVF3" s="120"/>
      <c r="KVG3" s="120"/>
      <c r="KVH3" s="120"/>
      <c r="KVI3" s="120"/>
      <c r="KVJ3" s="120"/>
      <c r="KVK3" s="120"/>
      <c r="KVL3" s="120"/>
      <c r="KVM3" s="120"/>
      <c r="KVN3" s="120"/>
      <c r="KVO3" s="120"/>
      <c r="KVP3" s="120"/>
      <c r="KVQ3" s="120"/>
      <c r="KVR3" s="120"/>
      <c r="KVS3" s="120"/>
      <c r="KVT3" s="120"/>
      <c r="KVU3" s="120"/>
      <c r="KVV3" s="120"/>
      <c r="KVW3" s="120"/>
      <c r="KVX3" s="120"/>
      <c r="KVY3" s="120"/>
      <c r="KVZ3" s="120"/>
      <c r="KWA3" s="120"/>
      <c r="KWB3" s="120"/>
      <c r="KWC3" s="120"/>
      <c r="KWD3" s="120"/>
      <c r="KWE3" s="120"/>
      <c r="KWF3" s="120"/>
      <c r="KWG3" s="120"/>
      <c r="KWH3" s="120"/>
      <c r="KWI3" s="120"/>
      <c r="KWJ3" s="120"/>
      <c r="KWK3" s="120"/>
      <c r="KWL3" s="120"/>
      <c r="KWM3" s="120"/>
      <c r="KWN3" s="120"/>
      <c r="KWO3" s="120"/>
      <c r="KWP3" s="120"/>
      <c r="KWQ3" s="120"/>
      <c r="KWR3" s="120"/>
      <c r="KWS3" s="120"/>
      <c r="KWT3" s="120"/>
      <c r="KWU3" s="120"/>
      <c r="KWV3" s="120"/>
      <c r="KWW3" s="120"/>
      <c r="KWX3" s="120"/>
      <c r="KWY3" s="120"/>
      <c r="KWZ3" s="120"/>
      <c r="KXA3" s="120"/>
      <c r="KXB3" s="120"/>
      <c r="KXC3" s="120"/>
      <c r="KXD3" s="120"/>
      <c r="KXE3" s="120"/>
      <c r="KXF3" s="120"/>
      <c r="KXG3" s="120"/>
      <c r="KXH3" s="120"/>
      <c r="KXI3" s="120"/>
      <c r="KXJ3" s="120"/>
      <c r="KXK3" s="120"/>
      <c r="KXL3" s="120"/>
      <c r="KXM3" s="120"/>
      <c r="KXN3" s="120"/>
      <c r="KXO3" s="120"/>
      <c r="KXP3" s="120"/>
      <c r="KXQ3" s="120"/>
      <c r="KXR3" s="120"/>
      <c r="KXS3" s="120"/>
      <c r="KXT3" s="120"/>
      <c r="KXU3" s="120"/>
      <c r="KXV3" s="120"/>
      <c r="KXW3" s="120"/>
      <c r="KXX3" s="120"/>
      <c r="KXY3" s="120"/>
      <c r="KXZ3" s="120"/>
      <c r="KYA3" s="120"/>
      <c r="KYB3" s="120"/>
      <c r="KYC3" s="120"/>
      <c r="KYD3" s="120"/>
      <c r="KYE3" s="120"/>
      <c r="KYF3" s="120"/>
      <c r="KYG3" s="120"/>
      <c r="KYH3" s="120"/>
      <c r="KYI3" s="120"/>
      <c r="KYJ3" s="120"/>
      <c r="KYK3" s="120"/>
      <c r="KYL3" s="120"/>
      <c r="KYM3" s="120"/>
      <c r="KYN3" s="120"/>
      <c r="KYO3" s="120"/>
      <c r="KYP3" s="120"/>
      <c r="KYQ3" s="120"/>
      <c r="KYR3" s="120"/>
      <c r="KYS3" s="120"/>
      <c r="KYT3" s="120"/>
      <c r="KYU3" s="120"/>
      <c r="KYV3" s="120"/>
      <c r="KYW3" s="120"/>
      <c r="KYX3" s="120"/>
      <c r="KYY3" s="120"/>
      <c r="KYZ3" s="120"/>
      <c r="KZA3" s="120"/>
      <c r="KZB3" s="120"/>
      <c r="KZC3" s="120"/>
      <c r="KZD3" s="120"/>
      <c r="KZE3" s="120"/>
      <c r="KZF3" s="120"/>
      <c r="KZG3" s="120"/>
      <c r="KZH3" s="120"/>
      <c r="KZI3" s="120"/>
      <c r="KZJ3" s="120"/>
      <c r="KZK3" s="120"/>
      <c r="KZL3" s="120"/>
      <c r="KZM3" s="120"/>
      <c r="KZN3" s="120"/>
      <c r="KZO3" s="120"/>
      <c r="KZP3" s="120"/>
      <c r="KZQ3" s="120"/>
      <c r="KZR3" s="120"/>
      <c r="KZS3" s="120"/>
      <c r="KZT3" s="120"/>
      <c r="KZU3" s="120"/>
      <c r="KZV3" s="120"/>
      <c r="KZW3" s="120"/>
      <c r="KZX3" s="120"/>
      <c r="KZY3" s="120"/>
      <c r="KZZ3" s="120"/>
      <c r="LAA3" s="120"/>
      <c r="LAB3" s="120"/>
      <c r="LAC3" s="120"/>
      <c r="LAD3" s="120"/>
      <c r="LAE3" s="120"/>
      <c r="LAF3" s="120"/>
      <c r="LAG3" s="120"/>
      <c r="LAH3" s="120"/>
      <c r="LAI3" s="120"/>
      <c r="LAJ3" s="120"/>
      <c r="LAK3" s="120"/>
      <c r="LAL3" s="120"/>
      <c r="LAM3" s="120"/>
      <c r="LAN3" s="120"/>
      <c r="LAO3" s="120"/>
      <c r="LAP3" s="120"/>
      <c r="LAQ3" s="120"/>
      <c r="LAR3" s="120"/>
      <c r="LAS3" s="120"/>
      <c r="LAT3" s="120"/>
      <c r="LAU3" s="120"/>
      <c r="LAV3" s="120"/>
      <c r="LAW3" s="120"/>
      <c r="LAX3" s="120"/>
      <c r="LAY3" s="120"/>
      <c r="LAZ3" s="120"/>
      <c r="LBA3" s="120"/>
      <c r="LBB3" s="120"/>
      <c r="LBC3" s="120"/>
      <c r="LBD3" s="120"/>
      <c r="LBE3" s="120"/>
      <c r="LBF3" s="120"/>
      <c r="LBG3" s="120"/>
      <c r="LBH3" s="120"/>
      <c r="LBI3" s="120"/>
      <c r="LBJ3" s="120"/>
      <c r="LBK3" s="120"/>
      <c r="LBL3" s="120"/>
      <c r="LBM3" s="120"/>
      <c r="LBN3" s="120"/>
      <c r="LBO3" s="120"/>
      <c r="LBP3" s="120"/>
      <c r="LBQ3" s="120"/>
      <c r="LBR3" s="120"/>
      <c r="LBS3" s="120"/>
      <c r="LBT3" s="120"/>
      <c r="LBU3" s="120"/>
      <c r="LBV3" s="120"/>
      <c r="LBW3" s="120"/>
      <c r="LBX3" s="120"/>
      <c r="LBY3" s="120"/>
      <c r="LBZ3" s="120"/>
      <c r="LCA3" s="120"/>
      <c r="LCB3" s="120"/>
      <c r="LCC3" s="120"/>
      <c r="LCD3" s="120"/>
      <c r="LCE3" s="120"/>
      <c r="LCF3" s="120"/>
      <c r="LCG3" s="120"/>
      <c r="LCH3" s="120"/>
      <c r="LCI3" s="120"/>
      <c r="LCJ3" s="120"/>
      <c r="LCK3" s="120"/>
      <c r="LCL3" s="120"/>
      <c r="LCM3" s="120"/>
      <c r="LCN3" s="120"/>
      <c r="LCO3" s="120"/>
      <c r="LCP3" s="120"/>
      <c r="LCQ3" s="120"/>
      <c r="LCR3" s="120"/>
      <c r="LCS3" s="120"/>
      <c r="LCT3" s="120"/>
      <c r="LCU3" s="120"/>
      <c r="LCV3" s="120"/>
      <c r="LCW3" s="120"/>
      <c r="LCX3" s="120"/>
      <c r="LCY3" s="120"/>
      <c r="LCZ3" s="120"/>
      <c r="LDA3" s="120"/>
      <c r="LDB3" s="120"/>
      <c r="LDC3" s="120"/>
      <c r="LDD3" s="120"/>
      <c r="LDE3" s="120"/>
      <c r="LDF3" s="120"/>
      <c r="LDG3" s="120"/>
      <c r="LDH3" s="120"/>
      <c r="LDI3" s="120"/>
      <c r="LDJ3" s="120"/>
      <c r="LDK3" s="120"/>
      <c r="LDL3" s="120"/>
      <c r="LDM3" s="120"/>
      <c r="LDN3" s="120"/>
      <c r="LDO3" s="120"/>
      <c r="LDP3" s="120"/>
      <c r="LDQ3" s="120"/>
      <c r="LDR3" s="120"/>
      <c r="LDS3" s="120"/>
      <c r="LDT3" s="120"/>
      <c r="LDU3" s="120"/>
      <c r="LDV3" s="120"/>
      <c r="LDW3" s="120"/>
      <c r="LDX3" s="120"/>
      <c r="LDY3" s="120"/>
      <c r="LDZ3" s="120"/>
      <c r="LEA3" s="120"/>
      <c r="LEB3" s="120"/>
      <c r="LEC3" s="120"/>
      <c r="LED3" s="120"/>
      <c r="LEE3" s="120"/>
      <c r="LEF3" s="120"/>
      <c r="LEG3" s="120"/>
      <c r="LEH3" s="120"/>
      <c r="LEI3" s="120"/>
      <c r="LEJ3" s="120"/>
      <c r="LEK3" s="120"/>
      <c r="LEL3" s="120"/>
      <c r="LEM3" s="120"/>
      <c r="LEN3" s="120"/>
      <c r="LEO3" s="120"/>
      <c r="LEP3" s="120"/>
      <c r="LEQ3" s="120"/>
      <c r="LER3" s="120"/>
      <c r="LES3" s="120"/>
      <c r="LET3" s="120"/>
      <c r="LEU3" s="120"/>
      <c r="LEV3" s="120"/>
      <c r="LEW3" s="120"/>
      <c r="LEX3" s="120"/>
      <c r="LEY3" s="120"/>
      <c r="LEZ3" s="120"/>
      <c r="LFA3" s="120"/>
      <c r="LFB3" s="120"/>
      <c r="LFC3" s="120"/>
      <c r="LFD3" s="120"/>
      <c r="LFE3" s="120"/>
      <c r="LFF3" s="120"/>
      <c r="LFG3" s="120"/>
      <c r="LFH3" s="120"/>
      <c r="LFI3" s="120"/>
      <c r="LFJ3" s="120"/>
      <c r="LFK3" s="120"/>
      <c r="LFL3" s="120"/>
      <c r="LFM3" s="120"/>
      <c r="LFN3" s="120"/>
      <c r="LFO3" s="120"/>
      <c r="LFP3" s="120"/>
      <c r="LFQ3" s="120"/>
      <c r="LFR3" s="120"/>
      <c r="LFS3" s="120"/>
      <c r="LFT3" s="120"/>
      <c r="LFU3" s="120"/>
      <c r="LFV3" s="120"/>
      <c r="LFW3" s="120"/>
      <c r="LFX3" s="120"/>
      <c r="LFY3" s="120"/>
      <c r="LFZ3" s="120"/>
      <c r="LGA3" s="120"/>
      <c r="LGB3" s="120"/>
      <c r="LGC3" s="120"/>
      <c r="LGD3" s="120"/>
      <c r="LGE3" s="120"/>
      <c r="LGF3" s="120"/>
      <c r="LGG3" s="120"/>
      <c r="LGH3" s="120"/>
      <c r="LGI3" s="120"/>
      <c r="LGJ3" s="120"/>
      <c r="LGK3" s="120"/>
      <c r="LGL3" s="120"/>
      <c r="LGM3" s="120"/>
      <c r="LGN3" s="120"/>
      <c r="LGO3" s="120"/>
      <c r="LGP3" s="120"/>
      <c r="LGQ3" s="120"/>
      <c r="LGR3" s="120"/>
      <c r="LGS3" s="120"/>
      <c r="LGT3" s="120"/>
      <c r="LGU3" s="120"/>
      <c r="LGV3" s="120"/>
      <c r="LGW3" s="120"/>
      <c r="LGX3" s="120"/>
      <c r="LGY3" s="120"/>
      <c r="LGZ3" s="120"/>
      <c r="LHA3" s="120"/>
      <c r="LHB3" s="120"/>
      <c r="LHC3" s="120"/>
      <c r="LHD3" s="120"/>
      <c r="LHE3" s="120"/>
      <c r="LHF3" s="120"/>
      <c r="LHG3" s="120"/>
      <c r="LHH3" s="120"/>
      <c r="LHI3" s="120"/>
      <c r="LHJ3" s="120"/>
      <c r="LHK3" s="120"/>
      <c r="LHL3" s="120"/>
      <c r="LHM3" s="120"/>
      <c r="LHN3" s="120"/>
      <c r="LHO3" s="120"/>
      <c r="LHP3" s="120"/>
      <c r="LHQ3" s="120"/>
      <c r="LHR3" s="120"/>
      <c r="LHS3" s="120"/>
      <c r="LHT3" s="120"/>
      <c r="LHU3" s="120"/>
      <c r="LHV3" s="120"/>
      <c r="LHW3" s="120"/>
      <c r="LHX3" s="120"/>
      <c r="LHY3" s="120"/>
      <c r="LHZ3" s="120"/>
      <c r="LIA3" s="120"/>
      <c r="LIB3" s="120"/>
      <c r="LIC3" s="120"/>
      <c r="LID3" s="120"/>
      <c r="LIE3" s="120"/>
      <c r="LIF3" s="120"/>
      <c r="LIG3" s="120"/>
      <c r="LIH3" s="120"/>
      <c r="LII3" s="120"/>
      <c r="LIJ3" s="120"/>
      <c r="LIK3" s="120"/>
      <c r="LIL3" s="120"/>
      <c r="LIM3" s="120"/>
      <c r="LIN3" s="120"/>
      <c r="LIO3" s="120"/>
      <c r="LIP3" s="120"/>
      <c r="LIQ3" s="120"/>
      <c r="LIR3" s="120"/>
      <c r="LIS3" s="120"/>
      <c r="LIT3" s="120"/>
      <c r="LIU3" s="120"/>
      <c r="LIV3" s="120"/>
      <c r="LIW3" s="120"/>
      <c r="LIX3" s="120"/>
      <c r="LIY3" s="120"/>
      <c r="LIZ3" s="120"/>
      <c r="LJA3" s="120"/>
      <c r="LJB3" s="120"/>
      <c r="LJC3" s="120"/>
      <c r="LJD3" s="120"/>
      <c r="LJE3" s="120"/>
      <c r="LJF3" s="120"/>
      <c r="LJG3" s="120"/>
      <c r="LJH3" s="120"/>
      <c r="LJI3" s="120"/>
      <c r="LJJ3" s="120"/>
      <c r="LJK3" s="120"/>
      <c r="LJL3" s="120"/>
      <c r="LJM3" s="120"/>
      <c r="LJN3" s="120"/>
      <c r="LJO3" s="120"/>
      <c r="LJP3" s="120"/>
      <c r="LJQ3" s="120"/>
      <c r="LJR3" s="120"/>
      <c r="LJS3" s="120"/>
      <c r="LJT3" s="120"/>
      <c r="LJU3" s="120"/>
      <c r="LJV3" s="120"/>
      <c r="LJW3" s="120"/>
      <c r="LJX3" s="120"/>
      <c r="LJY3" s="120"/>
      <c r="LJZ3" s="120"/>
      <c r="LKA3" s="120"/>
      <c r="LKB3" s="120"/>
      <c r="LKC3" s="120"/>
      <c r="LKD3" s="120"/>
      <c r="LKE3" s="120"/>
      <c r="LKF3" s="120"/>
      <c r="LKG3" s="120"/>
      <c r="LKH3" s="120"/>
      <c r="LKI3" s="120"/>
      <c r="LKJ3" s="120"/>
      <c r="LKK3" s="120"/>
      <c r="LKL3" s="120"/>
      <c r="LKM3" s="120"/>
      <c r="LKN3" s="120"/>
      <c r="LKO3" s="120"/>
      <c r="LKP3" s="120"/>
      <c r="LKQ3" s="120"/>
      <c r="LKR3" s="120"/>
      <c r="LKS3" s="120"/>
      <c r="LKT3" s="120"/>
      <c r="LKU3" s="120"/>
      <c r="LKV3" s="120"/>
      <c r="LKW3" s="120"/>
      <c r="LKX3" s="120"/>
      <c r="LKY3" s="120"/>
      <c r="LKZ3" s="120"/>
      <c r="LLA3" s="120"/>
      <c r="LLB3" s="120"/>
      <c r="LLC3" s="120"/>
      <c r="LLD3" s="120"/>
      <c r="LLE3" s="120"/>
      <c r="LLF3" s="120"/>
      <c r="LLG3" s="120"/>
      <c r="LLH3" s="120"/>
      <c r="LLI3" s="120"/>
      <c r="LLJ3" s="120"/>
      <c r="LLK3" s="120"/>
      <c r="LLL3" s="120"/>
      <c r="LLM3" s="120"/>
      <c r="LLN3" s="120"/>
      <c r="LLO3" s="120"/>
      <c r="LLP3" s="120"/>
      <c r="LLQ3" s="120"/>
      <c r="LLR3" s="120"/>
      <c r="LLS3" s="120"/>
      <c r="LLT3" s="120"/>
      <c r="LLU3" s="120"/>
      <c r="LLV3" s="120"/>
      <c r="LLW3" s="120"/>
      <c r="LLX3" s="120"/>
      <c r="LLY3" s="120"/>
      <c r="LLZ3" s="120"/>
      <c r="LMA3" s="120"/>
      <c r="LMB3" s="120"/>
      <c r="LMC3" s="120"/>
      <c r="LMD3" s="120"/>
      <c r="LME3" s="120"/>
      <c r="LMF3" s="120"/>
      <c r="LMG3" s="120"/>
      <c r="LMH3" s="120"/>
      <c r="LMI3" s="120"/>
      <c r="LMJ3" s="120"/>
      <c r="LMK3" s="120"/>
      <c r="LML3" s="120"/>
      <c r="LMM3" s="120"/>
      <c r="LMN3" s="120"/>
      <c r="LMO3" s="120"/>
      <c r="LMP3" s="120"/>
      <c r="LMQ3" s="120"/>
      <c r="LMR3" s="120"/>
      <c r="LMS3" s="120"/>
      <c r="LMT3" s="120"/>
      <c r="LMU3" s="120"/>
      <c r="LMV3" s="120"/>
      <c r="LMW3" s="120"/>
      <c r="LMX3" s="120"/>
      <c r="LMY3" s="120"/>
      <c r="LMZ3" s="120"/>
      <c r="LNA3" s="120"/>
      <c r="LNB3" s="120"/>
      <c r="LNC3" s="120"/>
      <c r="LND3" s="120"/>
      <c r="LNE3" s="120"/>
      <c r="LNF3" s="120"/>
      <c r="LNG3" s="120"/>
      <c r="LNH3" s="120"/>
      <c r="LNI3" s="120"/>
      <c r="LNJ3" s="120"/>
      <c r="LNK3" s="120"/>
      <c r="LNL3" s="120"/>
      <c r="LNM3" s="120"/>
      <c r="LNN3" s="120"/>
      <c r="LNO3" s="120"/>
      <c r="LNP3" s="120"/>
      <c r="LNQ3" s="120"/>
      <c r="LNR3" s="120"/>
      <c r="LNS3" s="120"/>
      <c r="LNT3" s="120"/>
      <c r="LNU3" s="120"/>
      <c r="LNV3" s="120"/>
      <c r="LNW3" s="120"/>
      <c r="LNX3" s="120"/>
      <c r="LNY3" s="120"/>
      <c r="LNZ3" s="120"/>
      <c r="LOA3" s="120"/>
      <c r="LOB3" s="120"/>
      <c r="LOC3" s="120"/>
      <c r="LOD3" s="120"/>
      <c r="LOE3" s="120"/>
      <c r="LOF3" s="120"/>
      <c r="LOG3" s="120"/>
      <c r="LOH3" s="120"/>
      <c r="LOI3" s="120"/>
      <c r="LOJ3" s="120"/>
      <c r="LOK3" s="120"/>
      <c r="LOL3" s="120"/>
      <c r="LOM3" s="120"/>
      <c r="LON3" s="120"/>
      <c r="LOO3" s="120"/>
      <c r="LOP3" s="120"/>
      <c r="LOQ3" s="120"/>
      <c r="LOR3" s="120"/>
      <c r="LOS3" s="120"/>
      <c r="LOT3" s="120"/>
      <c r="LOU3" s="120"/>
      <c r="LOV3" s="120"/>
      <c r="LOW3" s="120"/>
      <c r="LOX3" s="120"/>
      <c r="LOY3" s="120"/>
      <c r="LOZ3" s="120"/>
      <c r="LPA3" s="120"/>
      <c r="LPB3" s="120"/>
      <c r="LPC3" s="120"/>
      <c r="LPD3" s="120"/>
      <c r="LPE3" s="120"/>
      <c r="LPF3" s="120"/>
      <c r="LPG3" s="120"/>
      <c r="LPH3" s="120"/>
      <c r="LPI3" s="120"/>
      <c r="LPJ3" s="120"/>
      <c r="LPK3" s="120"/>
      <c r="LPL3" s="120"/>
      <c r="LPM3" s="120"/>
      <c r="LPN3" s="120"/>
      <c r="LPO3" s="120"/>
      <c r="LPP3" s="120"/>
      <c r="LPQ3" s="120"/>
      <c r="LPR3" s="120"/>
      <c r="LPS3" s="120"/>
      <c r="LPT3" s="120"/>
      <c r="LPU3" s="120"/>
      <c r="LPV3" s="120"/>
      <c r="LPW3" s="120"/>
      <c r="LPX3" s="120"/>
      <c r="LPY3" s="120"/>
      <c r="LPZ3" s="120"/>
      <c r="LQA3" s="120"/>
      <c r="LQB3" s="120"/>
      <c r="LQC3" s="120"/>
      <c r="LQD3" s="120"/>
      <c r="LQE3" s="120"/>
      <c r="LQF3" s="120"/>
      <c r="LQG3" s="120"/>
      <c r="LQH3" s="120"/>
      <c r="LQI3" s="120"/>
      <c r="LQJ3" s="120"/>
      <c r="LQK3" s="120"/>
      <c r="LQL3" s="120"/>
      <c r="LQM3" s="120"/>
      <c r="LQN3" s="120"/>
      <c r="LQO3" s="120"/>
      <c r="LQP3" s="120"/>
      <c r="LQQ3" s="120"/>
      <c r="LQR3" s="120"/>
      <c r="LQS3" s="120"/>
      <c r="LQT3" s="120"/>
      <c r="LQU3" s="120"/>
      <c r="LQV3" s="120"/>
      <c r="LQW3" s="120"/>
      <c r="LQX3" s="120"/>
      <c r="LQY3" s="120"/>
      <c r="LQZ3" s="120"/>
      <c r="LRA3" s="120"/>
      <c r="LRB3" s="120"/>
      <c r="LRC3" s="120"/>
      <c r="LRD3" s="120"/>
      <c r="LRE3" s="120"/>
      <c r="LRF3" s="120"/>
      <c r="LRG3" s="120"/>
      <c r="LRH3" s="120"/>
      <c r="LRI3" s="120"/>
      <c r="LRJ3" s="120"/>
      <c r="LRK3" s="120"/>
      <c r="LRL3" s="120"/>
      <c r="LRM3" s="120"/>
      <c r="LRN3" s="120"/>
      <c r="LRO3" s="120"/>
      <c r="LRP3" s="120"/>
      <c r="LRQ3" s="120"/>
      <c r="LRR3" s="120"/>
      <c r="LRS3" s="120"/>
      <c r="LRT3" s="120"/>
      <c r="LRU3" s="120"/>
      <c r="LRV3" s="120"/>
      <c r="LRW3" s="120"/>
      <c r="LRX3" s="120"/>
      <c r="LRY3" s="120"/>
      <c r="LRZ3" s="120"/>
      <c r="LSA3" s="120"/>
      <c r="LSB3" s="120"/>
      <c r="LSC3" s="120"/>
      <c r="LSD3" s="120"/>
      <c r="LSE3" s="120"/>
      <c r="LSF3" s="120"/>
      <c r="LSG3" s="120"/>
      <c r="LSH3" s="120"/>
      <c r="LSI3" s="120"/>
      <c r="LSJ3" s="120"/>
      <c r="LSK3" s="120"/>
      <c r="LSL3" s="120"/>
      <c r="LSM3" s="120"/>
      <c r="LSN3" s="120"/>
      <c r="LSO3" s="120"/>
      <c r="LSP3" s="120"/>
      <c r="LSQ3" s="120"/>
      <c r="LSR3" s="120"/>
      <c r="LSS3" s="120"/>
      <c r="LST3" s="120"/>
      <c r="LSU3" s="120"/>
      <c r="LSV3" s="120"/>
      <c r="LSW3" s="120"/>
      <c r="LSX3" s="120"/>
      <c r="LSY3" s="120"/>
      <c r="LSZ3" s="120"/>
      <c r="LTA3" s="120"/>
      <c r="LTB3" s="120"/>
      <c r="LTC3" s="120"/>
      <c r="LTD3" s="120"/>
      <c r="LTE3" s="120"/>
      <c r="LTF3" s="120"/>
      <c r="LTG3" s="120"/>
      <c r="LTH3" s="120"/>
      <c r="LTI3" s="120"/>
      <c r="LTJ3" s="120"/>
      <c r="LTK3" s="120"/>
      <c r="LTL3" s="120"/>
      <c r="LTM3" s="120"/>
      <c r="LTN3" s="120"/>
      <c r="LTO3" s="120"/>
      <c r="LTP3" s="120"/>
      <c r="LTQ3" s="120"/>
      <c r="LTR3" s="120"/>
      <c r="LTS3" s="120"/>
      <c r="LTT3" s="120"/>
      <c r="LTU3" s="120"/>
      <c r="LTV3" s="120"/>
      <c r="LTW3" s="120"/>
      <c r="LTX3" s="120"/>
      <c r="LTY3" s="120"/>
      <c r="LTZ3" s="120"/>
      <c r="LUA3" s="120"/>
      <c r="LUB3" s="120"/>
      <c r="LUC3" s="120"/>
      <c r="LUD3" s="120"/>
      <c r="LUE3" s="120"/>
      <c r="LUF3" s="120"/>
      <c r="LUG3" s="120"/>
      <c r="LUH3" s="120"/>
      <c r="LUI3" s="120"/>
      <c r="LUJ3" s="120"/>
      <c r="LUK3" s="120"/>
      <c r="LUL3" s="120"/>
      <c r="LUM3" s="120"/>
      <c r="LUN3" s="120"/>
      <c r="LUO3" s="120"/>
      <c r="LUP3" s="120"/>
      <c r="LUQ3" s="120"/>
      <c r="LUR3" s="120"/>
      <c r="LUS3" s="120"/>
      <c r="LUT3" s="120"/>
      <c r="LUU3" s="120"/>
      <c r="LUV3" s="120"/>
      <c r="LUW3" s="120"/>
      <c r="LUX3" s="120"/>
      <c r="LUY3" s="120"/>
      <c r="LUZ3" s="120"/>
      <c r="LVA3" s="120"/>
      <c r="LVB3" s="120"/>
      <c r="LVC3" s="120"/>
      <c r="LVD3" s="120"/>
      <c r="LVE3" s="120"/>
      <c r="LVF3" s="120"/>
      <c r="LVG3" s="120"/>
      <c r="LVH3" s="120"/>
      <c r="LVI3" s="120"/>
      <c r="LVJ3" s="120"/>
      <c r="LVK3" s="120"/>
      <c r="LVL3" s="120"/>
      <c r="LVM3" s="120"/>
      <c r="LVN3" s="120"/>
      <c r="LVO3" s="120"/>
      <c r="LVP3" s="120"/>
      <c r="LVQ3" s="120"/>
      <c r="LVR3" s="120"/>
      <c r="LVS3" s="120"/>
      <c r="LVT3" s="120"/>
      <c r="LVU3" s="120"/>
      <c r="LVV3" s="120"/>
      <c r="LVW3" s="120"/>
      <c r="LVX3" s="120"/>
      <c r="LVY3" s="120"/>
      <c r="LVZ3" s="120"/>
      <c r="LWA3" s="120"/>
      <c r="LWB3" s="120"/>
      <c r="LWC3" s="120"/>
      <c r="LWD3" s="120"/>
      <c r="LWE3" s="120"/>
      <c r="LWF3" s="120"/>
      <c r="LWG3" s="120"/>
      <c r="LWH3" s="120"/>
      <c r="LWI3" s="120"/>
      <c r="LWJ3" s="120"/>
      <c r="LWK3" s="120"/>
      <c r="LWL3" s="120"/>
      <c r="LWM3" s="120"/>
      <c r="LWN3" s="120"/>
      <c r="LWO3" s="120"/>
      <c r="LWP3" s="120"/>
      <c r="LWQ3" s="120"/>
      <c r="LWR3" s="120"/>
      <c r="LWS3" s="120"/>
      <c r="LWT3" s="120"/>
      <c r="LWU3" s="120"/>
      <c r="LWV3" s="120"/>
      <c r="LWW3" s="120"/>
      <c r="LWX3" s="120"/>
      <c r="LWY3" s="120"/>
      <c r="LWZ3" s="120"/>
      <c r="LXA3" s="120"/>
      <c r="LXB3" s="120"/>
      <c r="LXC3" s="120"/>
      <c r="LXD3" s="120"/>
      <c r="LXE3" s="120"/>
      <c r="LXF3" s="120"/>
      <c r="LXG3" s="120"/>
      <c r="LXH3" s="120"/>
      <c r="LXI3" s="120"/>
      <c r="LXJ3" s="120"/>
      <c r="LXK3" s="120"/>
      <c r="LXL3" s="120"/>
      <c r="LXM3" s="120"/>
      <c r="LXN3" s="120"/>
      <c r="LXO3" s="120"/>
      <c r="LXP3" s="120"/>
      <c r="LXQ3" s="120"/>
      <c r="LXR3" s="120"/>
      <c r="LXS3" s="120"/>
      <c r="LXT3" s="120"/>
      <c r="LXU3" s="120"/>
      <c r="LXV3" s="120"/>
      <c r="LXW3" s="120"/>
      <c r="LXX3" s="120"/>
      <c r="LXY3" s="120"/>
      <c r="LXZ3" s="120"/>
      <c r="LYA3" s="120"/>
      <c r="LYB3" s="120"/>
      <c r="LYC3" s="120"/>
      <c r="LYD3" s="120"/>
      <c r="LYE3" s="120"/>
      <c r="LYF3" s="120"/>
      <c r="LYG3" s="120"/>
      <c r="LYH3" s="120"/>
      <c r="LYI3" s="120"/>
      <c r="LYJ3" s="120"/>
      <c r="LYK3" s="120"/>
      <c r="LYL3" s="120"/>
      <c r="LYM3" s="120"/>
      <c r="LYN3" s="120"/>
      <c r="LYO3" s="120"/>
      <c r="LYP3" s="120"/>
      <c r="LYQ3" s="120"/>
      <c r="LYR3" s="120"/>
      <c r="LYS3" s="120"/>
      <c r="LYT3" s="120"/>
      <c r="LYU3" s="120"/>
      <c r="LYV3" s="120"/>
      <c r="LYW3" s="120"/>
      <c r="LYX3" s="120"/>
      <c r="LYY3" s="120"/>
      <c r="LYZ3" s="120"/>
      <c r="LZA3" s="120"/>
      <c r="LZB3" s="120"/>
      <c r="LZC3" s="120"/>
      <c r="LZD3" s="120"/>
      <c r="LZE3" s="120"/>
      <c r="LZF3" s="120"/>
      <c r="LZG3" s="120"/>
      <c r="LZH3" s="120"/>
      <c r="LZI3" s="120"/>
      <c r="LZJ3" s="120"/>
      <c r="LZK3" s="120"/>
      <c r="LZL3" s="120"/>
      <c r="LZM3" s="120"/>
      <c r="LZN3" s="120"/>
      <c r="LZO3" s="120"/>
      <c r="LZP3" s="120"/>
      <c r="LZQ3" s="120"/>
      <c r="LZR3" s="120"/>
      <c r="LZS3" s="120"/>
      <c r="LZT3" s="120"/>
      <c r="LZU3" s="120"/>
      <c r="LZV3" s="120"/>
      <c r="LZW3" s="120"/>
      <c r="LZX3" s="120"/>
      <c r="LZY3" s="120"/>
      <c r="LZZ3" s="120"/>
      <c r="MAA3" s="120"/>
      <c r="MAB3" s="120"/>
      <c r="MAC3" s="120"/>
      <c r="MAD3" s="120"/>
      <c r="MAE3" s="120"/>
      <c r="MAF3" s="120"/>
      <c r="MAG3" s="120"/>
      <c r="MAH3" s="120"/>
      <c r="MAI3" s="120"/>
      <c r="MAJ3" s="120"/>
      <c r="MAK3" s="120"/>
      <c r="MAL3" s="120"/>
      <c r="MAM3" s="120"/>
      <c r="MAN3" s="120"/>
      <c r="MAO3" s="120"/>
      <c r="MAP3" s="120"/>
      <c r="MAQ3" s="120"/>
      <c r="MAR3" s="120"/>
      <c r="MAS3" s="120"/>
      <c r="MAT3" s="120"/>
      <c r="MAU3" s="120"/>
      <c r="MAV3" s="120"/>
      <c r="MAW3" s="120"/>
      <c r="MAX3" s="120"/>
      <c r="MAY3" s="120"/>
      <c r="MAZ3" s="120"/>
      <c r="MBA3" s="120"/>
      <c r="MBB3" s="120"/>
      <c r="MBC3" s="120"/>
      <c r="MBD3" s="120"/>
      <c r="MBE3" s="120"/>
      <c r="MBF3" s="120"/>
      <c r="MBG3" s="120"/>
      <c r="MBH3" s="120"/>
      <c r="MBI3" s="120"/>
      <c r="MBJ3" s="120"/>
      <c r="MBK3" s="120"/>
      <c r="MBL3" s="120"/>
      <c r="MBM3" s="120"/>
      <c r="MBN3" s="120"/>
      <c r="MBO3" s="120"/>
      <c r="MBP3" s="120"/>
      <c r="MBQ3" s="120"/>
      <c r="MBR3" s="120"/>
      <c r="MBS3" s="120"/>
      <c r="MBT3" s="120"/>
      <c r="MBU3" s="120"/>
      <c r="MBV3" s="120"/>
      <c r="MBW3" s="120"/>
      <c r="MBX3" s="120"/>
      <c r="MBY3" s="120"/>
      <c r="MBZ3" s="120"/>
      <c r="MCA3" s="120"/>
      <c r="MCB3" s="120"/>
      <c r="MCC3" s="120"/>
      <c r="MCD3" s="120"/>
      <c r="MCE3" s="120"/>
      <c r="MCF3" s="120"/>
      <c r="MCG3" s="120"/>
      <c r="MCH3" s="120"/>
      <c r="MCI3" s="120"/>
      <c r="MCJ3" s="120"/>
      <c r="MCK3" s="120"/>
      <c r="MCL3" s="120"/>
      <c r="MCM3" s="120"/>
      <c r="MCN3" s="120"/>
      <c r="MCO3" s="120"/>
      <c r="MCP3" s="120"/>
      <c r="MCQ3" s="120"/>
      <c r="MCR3" s="120"/>
      <c r="MCS3" s="120"/>
      <c r="MCT3" s="120"/>
      <c r="MCU3" s="120"/>
      <c r="MCV3" s="120"/>
      <c r="MCW3" s="120"/>
      <c r="MCX3" s="120"/>
      <c r="MCY3" s="120"/>
      <c r="MCZ3" s="120"/>
      <c r="MDA3" s="120"/>
      <c r="MDB3" s="120"/>
      <c r="MDC3" s="120"/>
      <c r="MDD3" s="120"/>
      <c r="MDE3" s="120"/>
      <c r="MDF3" s="120"/>
      <c r="MDG3" s="120"/>
      <c r="MDH3" s="120"/>
      <c r="MDI3" s="120"/>
      <c r="MDJ3" s="120"/>
      <c r="MDK3" s="120"/>
      <c r="MDL3" s="120"/>
      <c r="MDM3" s="120"/>
      <c r="MDN3" s="120"/>
      <c r="MDO3" s="120"/>
      <c r="MDP3" s="120"/>
      <c r="MDQ3" s="120"/>
      <c r="MDR3" s="120"/>
      <c r="MDS3" s="120"/>
      <c r="MDT3" s="120"/>
      <c r="MDU3" s="120"/>
      <c r="MDV3" s="120"/>
      <c r="MDW3" s="120"/>
      <c r="MDX3" s="120"/>
      <c r="MDY3" s="120"/>
      <c r="MDZ3" s="120"/>
      <c r="MEA3" s="120"/>
      <c r="MEB3" s="120"/>
      <c r="MEC3" s="120"/>
      <c r="MED3" s="120"/>
      <c r="MEE3" s="120"/>
      <c r="MEF3" s="120"/>
      <c r="MEG3" s="120"/>
      <c r="MEH3" s="120"/>
      <c r="MEI3" s="120"/>
      <c r="MEJ3" s="120"/>
      <c r="MEK3" s="120"/>
      <c r="MEL3" s="120"/>
      <c r="MEM3" s="120"/>
      <c r="MEN3" s="120"/>
      <c r="MEO3" s="120"/>
      <c r="MEP3" s="120"/>
      <c r="MEQ3" s="120"/>
      <c r="MER3" s="120"/>
      <c r="MES3" s="120"/>
      <c r="MET3" s="120"/>
      <c r="MEU3" s="120"/>
      <c r="MEV3" s="120"/>
      <c r="MEW3" s="120"/>
      <c r="MEX3" s="120"/>
      <c r="MEY3" s="120"/>
      <c r="MEZ3" s="120"/>
      <c r="MFA3" s="120"/>
      <c r="MFB3" s="120"/>
      <c r="MFC3" s="120"/>
      <c r="MFD3" s="120"/>
      <c r="MFE3" s="120"/>
      <c r="MFF3" s="120"/>
      <c r="MFG3" s="120"/>
      <c r="MFH3" s="120"/>
      <c r="MFI3" s="120"/>
      <c r="MFJ3" s="120"/>
      <c r="MFK3" s="120"/>
      <c r="MFL3" s="120"/>
      <c r="MFM3" s="120"/>
      <c r="MFN3" s="120"/>
      <c r="MFO3" s="120"/>
      <c r="MFP3" s="120"/>
      <c r="MFQ3" s="120"/>
      <c r="MFR3" s="120"/>
      <c r="MFS3" s="120"/>
      <c r="MFT3" s="120"/>
      <c r="MFU3" s="120"/>
      <c r="MFV3" s="120"/>
      <c r="MFW3" s="120"/>
      <c r="MFX3" s="120"/>
      <c r="MFY3" s="120"/>
      <c r="MFZ3" s="120"/>
      <c r="MGA3" s="120"/>
      <c r="MGB3" s="120"/>
      <c r="MGC3" s="120"/>
      <c r="MGD3" s="120"/>
      <c r="MGE3" s="120"/>
      <c r="MGF3" s="120"/>
      <c r="MGG3" s="120"/>
      <c r="MGH3" s="120"/>
      <c r="MGI3" s="120"/>
      <c r="MGJ3" s="120"/>
      <c r="MGK3" s="120"/>
      <c r="MGL3" s="120"/>
      <c r="MGM3" s="120"/>
      <c r="MGN3" s="120"/>
      <c r="MGO3" s="120"/>
      <c r="MGP3" s="120"/>
      <c r="MGQ3" s="120"/>
      <c r="MGR3" s="120"/>
      <c r="MGS3" s="120"/>
      <c r="MGT3" s="120"/>
      <c r="MGU3" s="120"/>
      <c r="MGV3" s="120"/>
      <c r="MGW3" s="120"/>
      <c r="MGX3" s="120"/>
      <c r="MGY3" s="120"/>
      <c r="MGZ3" s="120"/>
      <c r="MHA3" s="120"/>
      <c r="MHB3" s="120"/>
      <c r="MHC3" s="120"/>
      <c r="MHD3" s="120"/>
      <c r="MHE3" s="120"/>
      <c r="MHF3" s="120"/>
      <c r="MHG3" s="120"/>
      <c r="MHH3" s="120"/>
      <c r="MHI3" s="120"/>
      <c r="MHJ3" s="120"/>
      <c r="MHK3" s="120"/>
      <c r="MHL3" s="120"/>
      <c r="MHM3" s="120"/>
      <c r="MHN3" s="120"/>
      <c r="MHO3" s="120"/>
      <c r="MHP3" s="120"/>
      <c r="MHQ3" s="120"/>
      <c r="MHR3" s="120"/>
      <c r="MHS3" s="120"/>
      <c r="MHT3" s="120"/>
      <c r="MHU3" s="120"/>
      <c r="MHV3" s="120"/>
      <c r="MHW3" s="120"/>
      <c r="MHX3" s="120"/>
      <c r="MHY3" s="120"/>
      <c r="MHZ3" s="120"/>
      <c r="MIA3" s="120"/>
      <c r="MIB3" s="120"/>
      <c r="MIC3" s="120"/>
      <c r="MID3" s="120"/>
      <c r="MIE3" s="120"/>
      <c r="MIF3" s="120"/>
      <c r="MIG3" s="120"/>
      <c r="MIH3" s="120"/>
      <c r="MII3" s="120"/>
      <c r="MIJ3" s="120"/>
      <c r="MIK3" s="120"/>
      <c r="MIL3" s="120"/>
      <c r="MIM3" s="120"/>
      <c r="MIN3" s="120"/>
      <c r="MIO3" s="120"/>
      <c r="MIP3" s="120"/>
      <c r="MIQ3" s="120"/>
      <c r="MIR3" s="120"/>
      <c r="MIS3" s="120"/>
      <c r="MIT3" s="120"/>
      <c r="MIU3" s="120"/>
      <c r="MIV3" s="120"/>
      <c r="MIW3" s="120"/>
      <c r="MIX3" s="120"/>
      <c r="MIY3" s="120"/>
      <c r="MIZ3" s="120"/>
      <c r="MJA3" s="120"/>
      <c r="MJB3" s="120"/>
      <c r="MJC3" s="120"/>
      <c r="MJD3" s="120"/>
      <c r="MJE3" s="120"/>
      <c r="MJF3" s="120"/>
      <c r="MJG3" s="120"/>
      <c r="MJH3" s="120"/>
      <c r="MJI3" s="120"/>
      <c r="MJJ3" s="120"/>
      <c r="MJK3" s="120"/>
      <c r="MJL3" s="120"/>
      <c r="MJM3" s="120"/>
      <c r="MJN3" s="120"/>
      <c r="MJO3" s="120"/>
      <c r="MJP3" s="120"/>
      <c r="MJQ3" s="120"/>
      <c r="MJR3" s="120"/>
      <c r="MJS3" s="120"/>
      <c r="MJT3" s="120"/>
      <c r="MJU3" s="120"/>
      <c r="MJV3" s="120"/>
      <c r="MJW3" s="120"/>
      <c r="MJX3" s="120"/>
      <c r="MJY3" s="120"/>
      <c r="MJZ3" s="120"/>
      <c r="MKA3" s="120"/>
      <c r="MKB3" s="120"/>
      <c r="MKC3" s="120"/>
      <c r="MKD3" s="120"/>
      <c r="MKE3" s="120"/>
      <c r="MKF3" s="120"/>
      <c r="MKG3" s="120"/>
      <c r="MKH3" s="120"/>
      <c r="MKI3" s="120"/>
      <c r="MKJ3" s="120"/>
      <c r="MKK3" s="120"/>
      <c r="MKL3" s="120"/>
      <c r="MKM3" s="120"/>
      <c r="MKN3" s="120"/>
      <c r="MKO3" s="120"/>
      <c r="MKP3" s="120"/>
      <c r="MKQ3" s="120"/>
      <c r="MKR3" s="120"/>
      <c r="MKS3" s="120"/>
      <c r="MKT3" s="120"/>
      <c r="MKU3" s="120"/>
      <c r="MKV3" s="120"/>
      <c r="MKW3" s="120"/>
      <c r="MKX3" s="120"/>
      <c r="MKY3" s="120"/>
      <c r="MKZ3" s="120"/>
      <c r="MLA3" s="120"/>
      <c r="MLB3" s="120"/>
      <c r="MLC3" s="120"/>
      <c r="MLD3" s="120"/>
      <c r="MLE3" s="120"/>
      <c r="MLF3" s="120"/>
      <c r="MLG3" s="120"/>
      <c r="MLH3" s="120"/>
      <c r="MLI3" s="120"/>
      <c r="MLJ3" s="120"/>
      <c r="MLK3" s="120"/>
      <c r="MLL3" s="120"/>
      <c r="MLM3" s="120"/>
      <c r="MLN3" s="120"/>
      <c r="MLO3" s="120"/>
      <c r="MLP3" s="120"/>
      <c r="MLQ3" s="120"/>
      <c r="MLR3" s="120"/>
      <c r="MLS3" s="120"/>
      <c r="MLT3" s="120"/>
      <c r="MLU3" s="120"/>
      <c r="MLV3" s="120"/>
      <c r="MLW3" s="120"/>
      <c r="MLX3" s="120"/>
      <c r="MLY3" s="120"/>
      <c r="MLZ3" s="120"/>
      <c r="MMA3" s="120"/>
      <c r="MMB3" s="120"/>
      <c r="MMC3" s="120"/>
      <c r="MMD3" s="120"/>
      <c r="MME3" s="120"/>
      <c r="MMF3" s="120"/>
      <c r="MMG3" s="120"/>
      <c r="MMH3" s="120"/>
      <c r="MMI3" s="120"/>
      <c r="MMJ3" s="120"/>
      <c r="MMK3" s="120"/>
      <c r="MML3" s="120"/>
      <c r="MMM3" s="120"/>
      <c r="MMN3" s="120"/>
      <c r="MMO3" s="120"/>
      <c r="MMP3" s="120"/>
      <c r="MMQ3" s="120"/>
      <c r="MMR3" s="120"/>
      <c r="MMS3" s="120"/>
      <c r="MMT3" s="120"/>
      <c r="MMU3" s="120"/>
      <c r="MMV3" s="120"/>
      <c r="MMW3" s="120"/>
      <c r="MMX3" s="120"/>
      <c r="MMY3" s="120"/>
      <c r="MMZ3" s="120"/>
      <c r="MNA3" s="120"/>
      <c r="MNB3" s="120"/>
      <c r="MNC3" s="120"/>
      <c r="MND3" s="120"/>
      <c r="MNE3" s="120"/>
      <c r="MNF3" s="120"/>
      <c r="MNG3" s="120"/>
      <c r="MNH3" s="120"/>
      <c r="MNI3" s="120"/>
      <c r="MNJ3" s="120"/>
      <c r="MNK3" s="120"/>
      <c r="MNL3" s="120"/>
      <c r="MNM3" s="120"/>
      <c r="MNN3" s="120"/>
      <c r="MNO3" s="120"/>
      <c r="MNP3" s="120"/>
      <c r="MNQ3" s="120"/>
      <c r="MNR3" s="120"/>
      <c r="MNS3" s="120"/>
      <c r="MNT3" s="120"/>
      <c r="MNU3" s="120"/>
      <c r="MNV3" s="120"/>
      <c r="MNW3" s="120"/>
      <c r="MNX3" s="120"/>
      <c r="MNY3" s="120"/>
      <c r="MNZ3" s="120"/>
      <c r="MOA3" s="120"/>
      <c r="MOB3" s="120"/>
      <c r="MOC3" s="120"/>
      <c r="MOD3" s="120"/>
      <c r="MOE3" s="120"/>
      <c r="MOF3" s="120"/>
      <c r="MOG3" s="120"/>
      <c r="MOH3" s="120"/>
      <c r="MOI3" s="120"/>
      <c r="MOJ3" s="120"/>
      <c r="MOK3" s="120"/>
      <c r="MOL3" s="120"/>
      <c r="MOM3" s="120"/>
      <c r="MON3" s="120"/>
      <c r="MOO3" s="120"/>
      <c r="MOP3" s="120"/>
      <c r="MOQ3" s="120"/>
      <c r="MOR3" s="120"/>
      <c r="MOS3" s="120"/>
      <c r="MOT3" s="120"/>
      <c r="MOU3" s="120"/>
      <c r="MOV3" s="120"/>
      <c r="MOW3" s="120"/>
      <c r="MOX3" s="120"/>
      <c r="MOY3" s="120"/>
      <c r="MOZ3" s="120"/>
      <c r="MPA3" s="120"/>
      <c r="MPB3" s="120"/>
      <c r="MPC3" s="120"/>
      <c r="MPD3" s="120"/>
      <c r="MPE3" s="120"/>
      <c r="MPF3" s="120"/>
      <c r="MPG3" s="120"/>
      <c r="MPH3" s="120"/>
      <c r="MPI3" s="120"/>
      <c r="MPJ3" s="120"/>
      <c r="MPK3" s="120"/>
      <c r="MPL3" s="120"/>
      <c r="MPM3" s="120"/>
      <c r="MPN3" s="120"/>
      <c r="MPO3" s="120"/>
      <c r="MPP3" s="120"/>
      <c r="MPQ3" s="120"/>
      <c r="MPR3" s="120"/>
      <c r="MPS3" s="120"/>
      <c r="MPT3" s="120"/>
      <c r="MPU3" s="120"/>
      <c r="MPV3" s="120"/>
      <c r="MPW3" s="120"/>
      <c r="MPX3" s="120"/>
      <c r="MPY3" s="120"/>
      <c r="MPZ3" s="120"/>
      <c r="MQA3" s="120"/>
      <c r="MQB3" s="120"/>
      <c r="MQC3" s="120"/>
      <c r="MQD3" s="120"/>
      <c r="MQE3" s="120"/>
      <c r="MQF3" s="120"/>
      <c r="MQG3" s="120"/>
      <c r="MQH3" s="120"/>
      <c r="MQI3" s="120"/>
      <c r="MQJ3" s="120"/>
      <c r="MQK3" s="120"/>
      <c r="MQL3" s="120"/>
      <c r="MQM3" s="120"/>
      <c r="MQN3" s="120"/>
      <c r="MQO3" s="120"/>
      <c r="MQP3" s="120"/>
      <c r="MQQ3" s="120"/>
      <c r="MQR3" s="120"/>
      <c r="MQS3" s="120"/>
      <c r="MQT3" s="120"/>
      <c r="MQU3" s="120"/>
      <c r="MQV3" s="120"/>
      <c r="MQW3" s="120"/>
      <c r="MQX3" s="120"/>
      <c r="MQY3" s="120"/>
      <c r="MQZ3" s="120"/>
      <c r="MRA3" s="120"/>
      <c r="MRB3" s="120"/>
      <c r="MRC3" s="120"/>
      <c r="MRD3" s="120"/>
      <c r="MRE3" s="120"/>
      <c r="MRF3" s="120"/>
      <c r="MRG3" s="120"/>
      <c r="MRH3" s="120"/>
      <c r="MRI3" s="120"/>
      <c r="MRJ3" s="120"/>
      <c r="MRK3" s="120"/>
      <c r="MRL3" s="120"/>
      <c r="MRM3" s="120"/>
      <c r="MRN3" s="120"/>
      <c r="MRO3" s="120"/>
      <c r="MRP3" s="120"/>
      <c r="MRQ3" s="120"/>
      <c r="MRR3" s="120"/>
      <c r="MRS3" s="120"/>
      <c r="MRT3" s="120"/>
      <c r="MRU3" s="120"/>
      <c r="MRV3" s="120"/>
      <c r="MRW3" s="120"/>
      <c r="MRX3" s="120"/>
      <c r="MRY3" s="120"/>
      <c r="MRZ3" s="120"/>
      <c r="MSA3" s="120"/>
      <c r="MSB3" s="120"/>
      <c r="MSC3" s="120"/>
      <c r="MSD3" s="120"/>
      <c r="MSE3" s="120"/>
      <c r="MSF3" s="120"/>
      <c r="MSG3" s="120"/>
      <c r="MSH3" s="120"/>
      <c r="MSI3" s="120"/>
      <c r="MSJ3" s="120"/>
      <c r="MSK3" s="120"/>
      <c r="MSL3" s="120"/>
      <c r="MSM3" s="120"/>
      <c r="MSN3" s="120"/>
      <c r="MSO3" s="120"/>
      <c r="MSP3" s="120"/>
      <c r="MSQ3" s="120"/>
      <c r="MSR3" s="120"/>
      <c r="MSS3" s="120"/>
      <c r="MST3" s="120"/>
      <c r="MSU3" s="120"/>
      <c r="MSV3" s="120"/>
      <c r="MSW3" s="120"/>
      <c r="MSX3" s="120"/>
      <c r="MSY3" s="120"/>
      <c r="MSZ3" s="120"/>
      <c r="MTA3" s="120"/>
      <c r="MTB3" s="120"/>
      <c r="MTC3" s="120"/>
      <c r="MTD3" s="120"/>
      <c r="MTE3" s="120"/>
      <c r="MTF3" s="120"/>
      <c r="MTG3" s="120"/>
      <c r="MTH3" s="120"/>
      <c r="MTI3" s="120"/>
      <c r="MTJ3" s="120"/>
      <c r="MTK3" s="120"/>
      <c r="MTL3" s="120"/>
      <c r="MTM3" s="120"/>
      <c r="MTN3" s="120"/>
      <c r="MTO3" s="120"/>
      <c r="MTP3" s="120"/>
      <c r="MTQ3" s="120"/>
      <c r="MTR3" s="120"/>
      <c r="MTS3" s="120"/>
      <c r="MTT3" s="120"/>
      <c r="MTU3" s="120"/>
      <c r="MTV3" s="120"/>
      <c r="MTW3" s="120"/>
      <c r="MTX3" s="120"/>
      <c r="MTY3" s="120"/>
      <c r="MTZ3" s="120"/>
      <c r="MUA3" s="120"/>
      <c r="MUB3" s="120"/>
      <c r="MUC3" s="120"/>
      <c r="MUD3" s="120"/>
      <c r="MUE3" s="120"/>
      <c r="MUF3" s="120"/>
      <c r="MUG3" s="120"/>
      <c r="MUH3" s="120"/>
      <c r="MUI3" s="120"/>
      <c r="MUJ3" s="120"/>
      <c r="MUK3" s="120"/>
      <c r="MUL3" s="120"/>
      <c r="MUM3" s="120"/>
      <c r="MUN3" s="120"/>
      <c r="MUO3" s="120"/>
      <c r="MUP3" s="120"/>
      <c r="MUQ3" s="120"/>
      <c r="MUR3" s="120"/>
      <c r="MUS3" s="120"/>
      <c r="MUT3" s="120"/>
      <c r="MUU3" s="120"/>
      <c r="MUV3" s="120"/>
      <c r="MUW3" s="120"/>
      <c r="MUX3" s="120"/>
      <c r="MUY3" s="120"/>
      <c r="MUZ3" s="120"/>
      <c r="MVA3" s="120"/>
      <c r="MVB3" s="120"/>
      <c r="MVC3" s="120"/>
      <c r="MVD3" s="120"/>
      <c r="MVE3" s="120"/>
      <c r="MVF3" s="120"/>
      <c r="MVG3" s="120"/>
      <c r="MVH3" s="120"/>
      <c r="MVI3" s="120"/>
      <c r="MVJ3" s="120"/>
      <c r="MVK3" s="120"/>
      <c r="MVL3" s="120"/>
      <c r="MVM3" s="120"/>
      <c r="MVN3" s="120"/>
      <c r="MVO3" s="120"/>
      <c r="MVP3" s="120"/>
      <c r="MVQ3" s="120"/>
      <c r="MVR3" s="120"/>
      <c r="MVS3" s="120"/>
      <c r="MVT3" s="120"/>
      <c r="MVU3" s="120"/>
      <c r="MVV3" s="120"/>
      <c r="MVW3" s="120"/>
      <c r="MVX3" s="120"/>
      <c r="MVY3" s="120"/>
      <c r="MVZ3" s="120"/>
      <c r="MWA3" s="120"/>
      <c r="MWB3" s="120"/>
      <c r="MWC3" s="120"/>
      <c r="MWD3" s="120"/>
      <c r="MWE3" s="120"/>
      <c r="MWF3" s="120"/>
      <c r="MWG3" s="120"/>
      <c r="MWH3" s="120"/>
      <c r="MWI3" s="120"/>
      <c r="MWJ3" s="120"/>
      <c r="MWK3" s="120"/>
      <c r="MWL3" s="120"/>
      <c r="MWM3" s="120"/>
      <c r="MWN3" s="120"/>
      <c r="MWO3" s="120"/>
      <c r="MWP3" s="120"/>
      <c r="MWQ3" s="120"/>
      <c r="MWR3" s="120"/>
      <c r="MWS3" s="120"/>
      <c r="MWT3" s="120"/>
      <c r="MWU3" s="120"/>
      <c r="MWV3" s="120"/>
      <c r="MWW3" s="120"/>
      <c r="MWX3" s="120"/>
      <c r="MWY3" s="120"/>
      <c r="MWZ3" s="120"/>
      <c r="MXA3" s="120"/>
      <c r="MXB3" s="120"/>
      <c r="MXC3" s="120"/>
      <c r="MXD3" s="120"/>
      <c r="MXE3" s="120"/>
      <c r="MXF3" s="120"/>
      <c r="MXG3" s="120"/>
      <c r="MXH3" s="120"/>
      <c r="MXI3" s="120"/>
      <c r="MXJ3" s="120"/>
      <c r="MXK3" s="120"/>
      <c r="MXL3" s="120"/>
      <c r="MXM3" s="120"/>
      <c r="MXN3" s="120"/>
      <c r="MXO3" s="120"/>
      <c r="MXP3" s="120"/>
      <c r="MXQ3" s="120"/>
      <c r="MXR3" s="120"/>
      <c r="MXS3" s="120"/>
      <c r="MXT3" s="120"/>
      <c r="MXU3" s="120"/>
      <c r="MXV3" s="120"/>
      <c r="MXW3" s="120"/>
      <c r="MXX3" s="120"/>
      <c r="MXY3" s="120"/>
      <c r="MXZ3" s="120"/>
      <c r="MYA3" s="120"/>
      <c r="MYB3" s="120"/>
      <c r="MYC3" s="120"/>
      <c r="MYD3" s="120"/>
      <c r="MYE3" s="120"/>
      <c r="MYF3" s="120"/>
      <c r="MYG3" s="120"/>
      <c r="MYH3" s="120"/>
      <c r="MYI3" s="120"/>
      <c r="MYJ3" s="120"/>
      <c r="MYK3" s="120"/>
      <c r="MYL3" s="120"/>
      <c r="MYM3" s="120"/>
      <c r="MYN3" s="120"/>
      <c r="MYO3" s="120"/>
      <c r="MYP3" s="120"/>
      <c r="MYQ3" s="120"/>
      <c r="MYR3" s="120"/>
      <c r="MYS3" s="120"/>
      <c r="MYT3" s="120"/>
      <c r="MYU3" s="120"/>
      <c r="MYV3" s="120"/>
      <c r="MYW3" s="120"/>
      <c r="MYX3" s="120"/>
      <c r="MYY3" s="120"/>
      <c r="MYZ3" s="120"/>
      <c r="MZA3" s="120"/>
      <c r="MZB3" s="120"/>
      <c r="MZC3" s="120"/>
      <c r="MZD3" s="120"/>
      <c r="MZE3" s="120"/>
      <c r="MZF3" s="120"/>
      <c r="MZG3" s="120"/>
      <c r="MZH3" s="120"/>
      <c r="MZI3" s="120"/>
      <c r="MZJ3" s="120"/>
      <c r="MZK3" s="120"/>
      <c r="MZL3" s="120"/>
      <c r="MZM3" s="120"/>
      <c r="MZN3" s="120"/>
      <c r="MZO3" s="120"/>
      <c r="MZP3" s="120"/>
      <c r="MZQ3" s="120"/>
      <c r="MZR3" s="120"/>
      <c r="MZS3" s="120"/>
      <c r="MZT3" s="120"/>
      <c r="MZU3" s="120"/>
      <c r="MZV3" s="120"/>
      <c r="MZW3" s="120"/>
      <c r="MZX3" s="120"/>
      <c r="MZY3" s="120"/>
      <c r="MZZ3" s="120"/>
      <c r="NAA3" s="120"/>
      <c r="NAB3" s="120"/>
      <c r="NAC3" s="120"/>
      <c r="NAD3" s="120"/>
      <c r="NAE3" s="120"/>
      <c r="NAF3" s="120"/>
      <c r="NAG3" s="120"/>
      <c r="NAH3" s="120"/>
      <c r="NAI3" s="120"/>
      <c r="NAJ3" s="120"/>
      <c r="NAK3" s="120"/>
      <c r="NAL3" s="120"/>
      <c r="NAM3" s="120"/>
      <c r="NAN3" s="120"/>
      <c r="NAO3" s="120"/>
      <c r="NAP3" s="120"/>
      <c r="NAQ3" s="120"/>
      <c r="NAR3" s="120"/>
      <c r="NAS3" s="120"/>
      <c r="NAT3" s="120"/>
      <c r="NAU3" s="120"/>
      <c r="NAV3" s="120"/>
      <c r="NAW3" s="120"/>
      <c r="NAX3" s="120"/>
      <c r="NAY3" s="120"/>
      <c r="NAZ3" s="120"/>
      <c r="NBA3" s="120"/>
      <c r="NBB3" s="120"/>
      <c r="NBC3" s="120"/>
      <c r="NBD3" s="120"/>
      <c r="NBE3" s="120"/>
      <c r="NBF3" s="120"/>
      <c r="NBG3" s="120"/>
      <c r="NBH3" s="120"/>
      <c r="NBI3" s="120"/>
      <c r="NBJ3" s="120"/>
      <c r="NBK3" s="120"/>
      <c r="NBL3" s="120"/>
      <c r="NBM3" s="120"/>
      <c r="NBN3" s="120"/>
      <c r="NBO3" s="120"/>
      <c r="NBP3" s="120"/>
      <c r="NBQ3" s="120"/>
      <c r="NBR3" s="120"/>
      <c r="NBS3" s="120"/>
      <c r="NBT3" s="120"/>
      <c r="NBU3" s="120"/>
      <c r="NBV3" s="120"/>
      <c r="NBW3" s="120"/>
      <c r="NBX3" s="120"/>
      <c r="NBY3" s="120"/>
      <c r="NBZ3" s="120"/>
      <c r="NCA3" s="120"/>
      <c r="NCB3" s="120"/>
      <c r="NCC3" s="120"/>
      <c r="NCD3" s="120"/>
      <c r="NCE3" s="120"/>
      <c r="NCF3" s="120"/>
      <c r="NCG3" s="120"/>
      <c r="NCH3" s="120"/>
      <c r="NCI3" s="120"/>
      <c r="NCJ3" s="120"/>
      <c r="NCK3" s="120"/>
      <c r="NCL3" s="120"/>
      <c r="NCM3" s="120"/>
      <c r="NCN3" s="120"/>
      <c r="NCO3" s="120"/>
      <c r="NCP3" s="120"/>
      <c r="NCQ3" s="120"/>
      <c r="NCR3" s="120"/>
      <c r="NCS3" s="120"/>
      <c r="NCT3" s="120"/>
      <c r="NCU3" s="120"/>
      <c r="NCV3" s="120"/>
      <c r="NCW3" s="120"/>
      <c r="NCX3" s="120"/>
      <c r="NCY3" s="120"/>
      <c r="NCZ3" s="120"/>
      <c r="NDA3" s="120"/>
      <c r="NDB3" s="120"/>
      <c r="NDC3" s="120"/>
      <c r="NDD3" s="120"/>
      <c r="NDE3" s="120"/>
      <c r="NDF3" s="120"/>
      <c r="NDG3" s="120"/>
      <c r="NDH3" s="120"/>
      <c r="NDI3" s="120"/>
      <c r="NDJ3" s="120"/>
      <c r="NDK3" s="120"/>
      <c r="NDL3" s="120"/>
      <c r="NDM3" s="120"/>
      <c r="NDN3" s="120"/>
      <c r="NDO3" s="120"/>
      <c r="NDP3" s="120"/>
      <c r="NDQ3" s="120"/>
      <c r="NDR3" s="120"/>
      <c r="NDS3" s="120"/>
      <c r="NDT3" s="120"/>
      <c r="NDU3" s="120"/>
      <c r="NDV3" s="120"/>
      <c r="NDW3" s="120"/>
      <c r="NDX3" s="120"/>
      <c r="NDY3" s="120"/>
      <c r="NDZ3" s="120"/>
      <c r="NEA3" s="120"/>
      <c r="NEB3" s="120"/>
      <c r="NEC3" s="120"/>
      <c r="NED3" s="120"/>
      <c r="NEE3" s="120"/>
      <c r="NEF3" s="120"/>
      <c r="NEG3" s="120"/>
      <c r="NEH3" s="120"/>
      <c r="NEI3" s="120"/>
      <c r="NEJ3" s="120"/>
      <c r="NEK3" s="120"/>
      <c r="NEL3" s="120"/>
      <c r="NEM3" s="120"/>
      <c r="NEN3" s="120"/>
      <c r="NEO3" s="120"/>
      <c r="NEP3" s="120"/>
      <c r="NEQ3" s="120"/>
      <c r="NER3" s="120"/>
      <c r="NES3" s="120"/>
      <c r="NET3" s="120"/>
      <c r="NEU3" s="120"/>
      <c r="NEV3" s="120"/>
      <c r="NEW3" s="120"/>
      <c r="NEX3" s="120"/>
      <c r="NEY3" s="120"/>
      <c r="NEZ3" s="120"/>
      <c r="NFA3" s="120"/>
      <c r="NFB3" s="120"/>
      <c r="NFC3" s="120"/>
      <c r="NFD3" s="120"/>
      <c r="NFE3" s="120"/>
      <c r="NFF3" s="120"/>
      <c r="NFG3" s="120"/>
      <c r="NFH3" s="120"/>
      <c r="NFI3" s="120"/>
      <c r="NFJ3" s="120"/>
      <c r="NFK3" s="120"/>
      <c r="NFL3" s="120"/>
      <c r="NFM3" s="120"/>
      <c r="NFN3" s="120"/>
      <c r="NFO3" s="120"/>
      <c r="NFP3" s="120"/>
      <c r="NFQ3" s="120"/>
      <c r="NFR3" s="120"/>
      <c r="NFS3" s="120"/>
      <c r="NFT3" s="120"/>
      <c r="NFU3" s="120"/>
      <c r="NFV3" s="120"/>
      <c r="NFW3" s="120"/>
      <c r="NFX3" s="120"/>
      <c r="NFY3" s="120"/>
      <c r="NFZ3" s="120"/>
      <c r="NGA3" s="120"/>
      <c r="NGB3" s="120"/>
      <c r="NGC3" s="120"/>
      <c r="NGD3" s="120"/>
      <c r="NGE3" s="120"/>
      <c r="NGF3" s="120"/>
      <c r="NGG3" s="120"/>
      <c r="NGH3" s="120"/>
      <c r="NGI3" s="120"/>
      <c r="NGJ3" s="120"/>
      <c r="NGK3" s="120"/>
      <c r="NGL3" s="120"/>
      <c r="NGM3" s="120"/>
      <c r="NGN3" s="120"/>
      <c r="NGO3" s="120"/>
      <c r="NGP3" s="120"/>
      <c r="NGQ3" s="120"/>
      <c r="NGR3" s="120"/>
      <c r="NGS3" s="120"/>
      <c r="NGT3" s="120"/>
      <c r="NGU3" s="120"/>
      <c r="NGV3" s="120"/>
      <c r="NGW3" s="120"/>
      <c r="NGX3" s="120"/>
      <c r="NGY3" s="120"/>
      <c r="NGZ3" s="120"/>
      <c r="NHA3" s="120"/>
      <c r="NHB3" s="120"/>
      <c r="NHC3" s="120"/>
      <c r="NHD3" s="120"/>
      <c r="NHE3" s="120"/>
      <c r="NHF3" s="120"/>
      <c r="NHG3" s="120"/>
      <c r="NHH3" s="120"/>
      <c r="NHI3" s="120"/>
      <c r="NHJ3" s="120"/>
      <c r="NHK3" s="120"/>
      <c r="NHL3" s="120"/>
      <c r="NHM3" s="120"/>
      <c r="NHN3" s="120"/>
      <c r="NHO3" s="120"/>
      <c r="NHP3" s="120"/>
      <c r="NHQ3" s="120"/>
      <c r="NHR3" s="120"/>
      <c r="NHS3" s="120"/>
      <c r="NHT3" s="120"/>
      <c r="NHU3" s="120"/>
      <c r="NHV3" s="120"/>
      <c r="NHW3" s="120"/>
      <c r="NHX3" s="120"/>
      <c r="NHY3" s="120"/>
      <c r="NHZ3" s="120"/>
      <c r="NIA3" s="120"/>
      <c r="NIB3" s="120"/>
      <c r="NIC3" s="120"/>
      <c r="NID3" s="120"/>
      <c r="NIE3" s="120"/>
      <c r="NIF3" s="120"/>
      <c r="NIG3" s="120"/>
      <c r="NIH3" s="120"/>
      <c r="NII3" s="120"/>
      <c r="NIJ3" s="120"/>
      <c r="NIK3" s="120"/>
      <c r="NIL3" s="120"/>
      <c r="NIM3" s="120"/>
      <c r="NIN3" s="120"/>
      <c r="NIO3" s="120"/>
      <c r="NIP3" s="120"/>
      <c r="NIQ3" s="120"/>
      <c r="NIR3" s="120"/>
      <c r="NIS3" s="120"/>
      <c r="NIT3" s="120"/>
      <c r="NIU3" s="120"/>
      <c r="NIV3" s="120"/>
      <c r="NIW3" s="120"/>
      <c r="NIX3" s="120"/>
      <c r="NIY3" s="120"/>
      <c r="NIZ3" s="120"/>
      <c r="NJA3" s="120"/>
      <c r="NJB3" s="120"/>
      <c r="NJC3" s="120"/>
      <c r="NJD3" s="120"/>
      <c r="NJE3" s="120"/>
      <c r="NJF3" s="120"/>
      <c r="NJG3" s="120"/>
      <c r="NJH3" s="120"/>
      <c r="NJI3" s="120"/>
      <c r="NJJ3" s="120"/>
      <c r="NJK3" s="120"/>
      <c r="NJL3" s="120"/>
      <c r="NJM3" s="120"/>
      <c r="NJN3" s="120"/>
      <c r="NJO3" s="120"/>
      <c r="NJP3" s="120"/>
      <c r="NJQ3" s="120"/>
      <c r="NJR3" s="120"/>
      <c r="NJS3" s="120"/>
      <c r="NJT3" s="120"/>
      <c r="NJU3" s="120"/>
      <c r="NJV3" s="120"/>
      <c r="NJW3" s="120"/>
      <c r="NJX3" s="120"/>
      <c r="NJY3" s="120"/>
      <c r="NJZ3" s="120"/>
      <c r="NKA3" s="120"/>
      <c r="NKB3" s="120"/>
      <c r="NKC3" s="120"/>
      <c r="NKD3" s="120"/>
      <c r="NKE3" s="120"/>
      <c r="NKF3" s="120"/>
      <c r="NKG3" s="120"/>
      <c r="NKH3" s="120"/>
      <c r="NKI3" s="120"/>
      <c r="NKJ3" s="120"/>
      <c r="NKK3" s="120"/>
      <c r="NKL3" s="120"/>
      <c r="NKM3" s="120"/>
      <c r="NKN3" s="120"/>
      <c r="NKO3" s="120"/>
      <c r="NKP3" s="120"/>
      <c r="NKQ3" s="120"/>
      <c r="NKR3" s="120"/>
      <c r="NKS3" s="120"/>
      <c r="NKT3" s="120"/>
      <c r="NKU3" s="120"/>
      <c r="NKV3" s="120"/>
      <c r="NKW3" s="120"/>
      <c r="NKX3" s="120"/>
      <c r="NKY3" s="120"/>
      <c r="NKZ3" s="120"/>
      <c r="NLA3" s="120"/>
      <c r="NLB3" s="120"/>
      <c r="NLC3" s="120"/>
      <c r="NLD3" s="120"/>
      <c r="NLE3" s="120"/>
      <c r="NLF3" s="120"/>
      <c r="NLG3" s="120"/>
      <c r="NLH3" s="120"/>
      <c r="NLI3" s="120"/>
      <c r="NLJ3" s="120"/>
      <c r="NLK3" s="120"/>
      <c r="NLL3" s="120"/>
      <c r="NLM3" s="120"/>
      <c r="NLN3" s="120"/>
      <c r="NLO3" s="120"/>
      <c r="NLP3" s="120"/>
      <c r="NLQ3" s="120"/>
      <c r="NLR3" s="120"/>
      <c r="NLS3" s="120"/>
      <c r="NLT3" s="120"/>
      <c r="NLU3" s="120"/>
      <c r="NLV3" s="120"/>
      <c r="NLW3" s="120"/>
      <c r="NLX3" s="120"/>
      <c r="NLY3" s="120"/>
      <c r="NLZ3" s="120"/>
      <c r="NMA3" s="120"/>
      <c r="NMB3" s="120"/>
      <c r="NMC3" s="120"/>
      <c r="NMD3" s="120"/>
      <c r="NME3" s="120"/>
      <c r="NMF3" s="120"/>
      <c r="NMG3" s="120"/>
      <c r="NMH3" s="120"/>
      <c r="NMI3" s="120"/>
      <c r="NMJ3" s="120"/>
      <c r="NMK3" s="120"/>
      <c r="NML3" s="120"/>
      <c r="NMM3" s="120"/>
      <c r="NMN3" s="120"/>
      <c r="NMO3" s="120"/>
      <c r="NMP3" s="120"/>
      <c r="NMQ3" s="120"/>
      <c r="NMR3" s="120"/>
      <c r="NMS3" s="120"/>
      <c r="NMT3" s="120"/>
      <c r="NMU3" s="120"/>
      <c r="NMV3" s="120"/>
      <c r="NMW3" s="120"/>
      <c r="NMX3" s="120"/>
      <c r="NMY3" s="120"/>
      <c r="NMZ3" s="120"/>
      <c r="NNA3" s="120"/>
      <c r="NNB3" s="120"/>
      <c r="NNC3" s="120"/>
      <c r="NND3" s="120"/>
      <c r="NNE3" s="120"/>
      <c r="NNF3" s="120"/>
      <c r="NNG3" s="120"/>
      <c r="NNH3" s="120"/>
      <c r="NNI3" s="120"/>
      <c r="NNJ3" s="120"/>
      <c r="NNK3" s="120"/>
      <c r="NNL3" s="120"/>
      <c r="NNM3" s="120"/>
      <c r="NNN3" s="120"/>
      <c r="NNO3" s="120"/>
      <c r="NNP3" s="120"/>
      <c r="NNQ3" s="120"/>
      <c r="NNR3" s="120"/>
      <c r="NNS3" s="120"/>
      <c r="NNT3" s="120"/>
      <c r="NNU3" s="120"/>
      <c r="NNV3" s="120"/>
      <c r="NNW3" s="120"/>
      <c r="NNX3" s="120"/>
      <c r="NNY3" s="120"/>
      <c r="NNZ3" s="120"/>
      <c r="NOA3" s="120"/>
      <c r="NOB3" s="120"/>
      <c r="NOC3" s="120"/>
      <c r="NOD3" s="120"/>
      <c r="NOE3" s="120"/>
      <c r="NOF3" s="120"/>
      <c r="NOG3" s="120"/>
      <c r="NOH3" s="120"/>
      <c r="NOI3" s="120"/>
      <c r="NOJ3" s="120"/>
      <c r="NOK3" s="120"/>
      <c r="NOL3" s="120"/>
      <c r="NOM3" s="120"/>
      <c r="NON3" s="120"/>
      <c r="NOO3" s="120"/>
      <c r="NOP3" s="120"/>
      <c r="NOQ3" s="120"/>
      <c r="NOR3" s="120"/>
      <c r="NOS3" s="120"/>
      <c r="NOT3" s="120"/>
      <c r="NOU3" s="120"/>
      <c r="NOV3" s="120"/>
      <c r="NOW3" s="120"/>
      <c r="NOX3" s="120"/>
      <c r="NOY3" s="120"/>
      <c r="NOZ3" s="120"/>
      <c r="NPA3" s="120"/>
      <c r="NPB3" s="120"/>
      <c r="NPC3" s="120"/>
      <c r="NPD3" s="120"/>
      <c r="NPE3" s="120"/>
      <c r="NPF3" s="120"/>
      <c r="NPG3" s="120"/>
      <c r="NPH3" s="120"/>
      <c r="NPI3" s="120"/>
      <c r="NPJ3" s="120"/>
      <c r="NPK3" s="120"/>
      <c r="NPL3" s="120"/>
      <c r="NPM3" s="120"/>
      <c r="NPN3" s="120"/>
      <c r="NPO3" s="120"/>
      <c r="NPP3" s="120"/>
      <c r="NPQ3" s="120"/>
      <c r="NPR3" s="120"/>
      <c r="NPS3" s="120"/>
      <c r="NPT3" s="120"/>
      <c r="NPU3" s="120"/>
      <c r="NPV3" s="120"/>
      <c r="NPW3" s="120"/>
      <c r="NPX3" s="120"/>
      <c r="NPY3" s="120"/>
      <c r="NPZ3" s="120"/>
      <c r="NQA3" s="120"/>
      <c r="NQB3" s="120"/>
      <c r="NQC3" s="120"/>
      <c r="NQD3" s="120"/>
      <c r="NQE3" s="120"/>
      <c r="NQF3" s="120"/>
      <c r="NQG3" s="120"/>
      <c r="NQH3" s="120"/>
      <c r="NQI3" s="120"/>
      <c r="NQJ3" s="120"/>
      <c r="NQK3" s="120"/>
      <c r="NQL3" s="120"/>
      <c r="NQM3" s="120"/>
      <c r="NQN3" s="120"/>
      <c r="NQO3" s="120"/>
      <c r="NQP3" s="120"/>
      <c r="NQQ3" s="120"/>
      <c r="NQR3" s="120"/>
      <c r="NQS3" s="120"/>
      <c r="NQT3" s="120"/>
      <c r="NQU3" s="120"/>
      <c r="NQV3" s="120"/>
      <c r="NQW3" s="120"/>
      <c r="NQX3" s="120"/>
      <c r="NQY3" s="120"/>
      <c r="NQZ3" s="120"/>
      <c r="NRA3" s="120"/>
      <c r="NRB3" s="120"/>
      <c r="NRC3" s="120"/>
      <c r="NRD3" s="120"/>
      <c r="NRE3" s="120"/>
      <c r="NRF3" s="120"/>
      <c r="NRG3" s="120"/>
      <c r="NRH3" s="120"/>
      <c r="NRI3" s="120"/>
      <c r="NRJ3" s="120"/>
      <c r="NRK3" s="120"/>
      <c r="NRL3" s="120"/>
      <c r="NRM3" s="120"/>
      <c r="NRN3" s="120"/>
      <c r="NRO3" s="120"/>
      <c r="NRP3" s="120"/>
      <c r="NRQ3" s="120"/>
      <c r="NRR3" s="120"/>
      <c r="NRS3" s="120"/>
      <c r="NRT3" s="120"/>
      <c r="NRU3" s="120"/>
      <c r="NRV3" s="120"/>
      <c r="NRW3" s="120"/>
      <c r="NRX3" s="120"/>
      <c r="NRY3" s="120"/>
      <c r="NRZ3" s="120"/>
      <c r="NSA3" s="120"/>
      <c r="NSB3" s="120"/>
      <c r="NSC3" s="120"/>
      <c r="NSD3" s="120"/>
      <c r="NSE3" s="120"/>
      <c r="NSF3" s="120"/>
      <c r="NSG3" s="120"/>
      <c r="NSH3" s="120"/>
      <c r="NSI3" s="120"/>
      <c r="NSJ3" s="120"/>
      <c r="NSK3" s="120"/>
      <c r="NSL3" s="120"/>
      <c r="NSM3" s="120"/>
      <c r="NSN3" s="120"/>
      <c r="NSO3" s="120"/>
      <c r="NSP3" s="120"/>
      <c r="NSQ3" s="120"/>
      <c r="NSR3" s="120"/>
      <c r="NSS3" s="120"/>
      <c r="NST3" s="120"/>
      <c r="NSU3" s="120"/>
      <c r="NSV3" s="120"/>
      <c r="NSW3" s="120"/>
      <c r="NSX3" s="120"/>
      <c r="NSY3" s="120"/>
      <c r="NSZ3" s="120"/>
      <c r="NTA3" s="120"/>
      <c r="NTB3" s="120"/>
      <c r="NTC3" s="120"/>
      <c r="NTD3" s="120"/>
      <c r="NTE3" s="120"/>
      <c r="NTF3" s="120"/>
      <c r="NTG3" s="120"/>
      <c r="NTH3" s="120"/>
      <c r="NTI3" s="120"/>
      <c r="NTJ3" s="120"/>
      <c r="NTK3" s="120"/>
      <c r="NTL3" s="120"/>
      <c r="NTM3" s="120"/>
      <c r="NTN3" s="120"/>
      <c r="NTO3" s="120"/>
      <c r="NTP3" s="120"/>
      <c r="NTQ3" s="120"/>
      <c r="NTR3" s="120"/>
      <c r="NTS3" s="120"/>
      <c r="NTT3" s="120"/>
      <c r="NTU3" s="120"/>
      <c r="NTV3" s="120"/>
      <c r="NTW3" s="120"/>
      <c r="NTX3" s="120"/>
      <c r="NTY3" s="120"/>
      <c r="NTZ3" s="120"/>
      <c r="NUA3" s="120"/>
      <c r="NUB3" s="120"/>
      <c r="NUC3" s="120"/>
      <c r="NUD3" s="120"/>
      <c r="NUE3" s="120"/>
      <c r="NUF3" s="120"/>
      <c r="NUG3" s="120"/>
      <c r="NUH3" s="120"/>
      <c r="NUI3" s="120"/>
      <c r="NUJ3" s="120"/>
      <c r="NUK3" s="120"/>
      <c r="NUL3" s="120"/>
      <c r="NUM3" s="120"/>
      <c r="NUN3" s="120"/>
      <c r="NUO3" s="120"/>
      <c r="NUP3" s="120"/>
      <c r="NUQ3" s="120"/>
      <c r="NUR3" s="120"/>
      <c r="NUS3" s="120"/>
      <c r="NUT3" s="120"/>
      <c r="NUU3" s="120"/>
      <c r="NUV3" s="120"/>
      <c r="NUW3" s="120"/>
      <c r="NUX3" s="120"/>
      <c r="NUY3" s="120"/>
      <c r="NUZ3" s="120"/>
      <c r="NVA3" s="120"/>
      <c r="NVB3" s="120"/>
      <c r="NVC3" s="120"/>
      <c r="NVD3" s="120"/>
      <c r="NVE3" s="120"/>
      <c r="NVF3" s="120"/>
      <c r="NVG3" s="120"/>
      <c r="NVH3" s="120"/>
      <c r="NVI3" s="120"/>
      <c r="NVJ3" s="120"/>
      <c r="NVK3" s="120"/>
      <c r="NVL3" s="120"/>
      <c r="NVM3" s="120"/>
      <c r="NVN3" s="120"/>
      <c r="NVO3" s="120"/>
      <c r="NVP3" s="120"/>
      <c r="NVQ3" s="120"/>
      <c r="NVR3" s="120"/>
      <c r="NVS3" s="120"/>
      <c r="NVT3" s="120"/>
      <c r="NVU3" s="120"/>
      <c r="NVV3" s="120"/>
      <c r="NVW3" s="120"/>
      <c r="NVX3" s="120"/>
      <c r="NVY3" s="120"/>
      <c r="NVZ3" s="120"/>
      <c r="NWA3" s="120"/>
      <c r="NWB3" s="120"/>
      <c r="NWC3" s="120"/>
      <c r="NWD3" s="120"/>
      <c r="NWE3" s="120"/>
      <c r="NWF3" s="120"/>
      <c r="NWG3" s="120"/>
      <c r="NWH3" s="120"/>
      <c r="NWI3" s="120"/>
      <c r="NWJ3" s="120"/>
      <c r="NWK3" s="120"/>
      <c r="NWL3" s="120"/>
      <c r="NWM3" s="120"/>
      <c r="NWN3" s="120"/>
      <c r="NWO3" s="120"/>
      <c r="NWP3" s="120"/>
      <c r="NWQ3" s="120"/>
      <c r="NWR3" s="120"/>
      <c r="NWS3" s="120"/>
      <c r="NWT3" s="120"/>
      <c r="NWU3" s="120"/>
      <c r="NWV3" s="120"/>
      <c r="NWW3" s="120"/>
      <c r="NWX3" s="120"/>
      <c r="NWY3" s="120"/>
      <c r="NWZ3" s="120"/>
      <c r="NXA3" s="120"/>
      <c r="NXB3" s="120"/>
      <c r="NXC3" s="120"/>
      <c r="NXD3" s="120"/>
      <c r="NXE3" s="120"/>
      <c r="NXF3" s="120"/>
      <c r="NXG3" s="120"/>
      <c r="NXH3" s="120"/>
      <c r="NXI3" s="120"/>
      <c r="NXJ3" s="120"/>
      <c r="NXK3" s="120"/>
      <c r="NXL3" s="120"/>
      <c r="NXM3" s="120"/>
      <c r="NXN3" s="120"/>
      <c r="NXO3" s="120"/>
      <c r="NXP3" s="120"/>
      <c r="NXQ3" s="120"/>
      <c r="NXR3" s="120"/>
      <c r="NXS3" s="120"/>
      <c r="NXT3" s="120"/>
      <c r="NXU3" s="120"/>
      <c r="NXV3" s="120"/>
      <c r="NXW3" s="120"/>
      <c r="NXX3" s="120"/>
      <c r="NXY3" s="120"/>
      <c r="NXZ3" s="120"/>
      <c r="NYA3" s="120"/>
      <c r="NYB3" s="120"/>
      <c r="NYC3" s="120"/>
      <c r="NYD3" s="120"/>
      <c r="NYE3" s="120"/>
      <c r="NYF3" s="120"/>
      <c r="NYG3" s="120"/>
      <c r="NYH3" s="120"/>
      <c r="NYI3" s="120"/>
      <c r="NYJ3" s="120"/>
      <c r="NYK3" s="120"/>
      <c r="NYL3" s="120"/>
      <c r="NYM3" s="120"/>
      <c r="NYN3" s="120"/>
      <c r="NYO3" s="120"/>
      <c r="NYP3" s="120"/>
      <c r="NYQ3" s="120"/>
      <c r="NYR3" s="120"/>
      <c r="NYS3" s="120"/>
      <c r="NYT3" s="120"/>
      <c r="NYU3" s="120"/>
      <c r="NYV3" s="120"/>
      <c r="NYW3" s="120"/>
      <c r="NYX3" s="120"/>
      <c r="NYY3" s="120"/>
      <c r="NYZ3" s="120"/>
      <c r="NZA3" s="120"/>
      <c r="NZB3" s="120"/>
      <c r="NZC3" s="120"/>
      <c r="NZD3" s="120"/>
      <c r="NZE3" s="120"/>
      <c r="NZF3" s="120"/>
      <c r="NZG3" s="120"/>
      <c r="NZH3" s="120"/>
      <c r="NZI3" s="120"/>
      <c r="NZJ3" s="120"/>
      <c r="NZK3" s="120"/>
      <c r="NZL3" s="120"/>
      <c r="NZM3" s="120"/>
      <c r="NZN3" s="120"/>
      <c r="NZO3" s="120"/>
      <c r="NZP3" s="120"/>
      <c r="NZQ3" s="120"/>
      <c r="NZR3" s="120"/>
      <c r="NZS3" s="120"/>
      <c r="NZT3" s="120"/>
      <c r="NZU3" s="120"/>
      <c r="NZV3" s="120"/>
      <c r="NZW3" s="120"/>
      <c r="NZX3" s="120"/>
      <c r="NZY3" s="120"/>
      <c r="NZZ3" s="120"/>
      <c r="OAA3" s="120"/>
      <c r="OAB3" s="120"/>
      <c r="OAC3" s="120"/>
      <c r="OAD3" s="120"/>
      <c r="OAE3" s="120"/>
      <c r="OAF3" s="120"/>
      <c r="OAG3" s="120"/>
      <c r="OAH3" s="120"/>
      <c r="OAI3" s="120"/>
      <c r="OAJ3" s="120"/>
      <c r="OAK3" s="120"/>
      <c r="OAL3" s="120"/>
      <c r="OAM3" s="120"/>
      <c r="OAN3" s="120"/>
      <c r="OAO3" s="120"/>
      <c r="OAP3" s="120"/>
      <c r="OAQ3" s="120"/>
      <c r="OAR3" s="120"/>
      <c r="OAS3" s="120"/>
      <c r="OAT3" s="120"/>
      <c r="OAU3" s="120"/>
      <c r="OAV3" s="120"/>
      <c r="OAW3" s="120"/>
      <c r="OAX3" s="120"/>
      <c r="OAY3" s="120"/>
      <c r="OAZ3" s="120"/>
      <c r="OBA3" s="120"/>
      <c r="OBB3" s="120"/>
      <c r="OBC3" s="120"/>
      <c r="OBD3" s="120"/>
      <c r="OBE3" s="120"/>
      <c r="OBF3" s="120"/>
      <c r="OBG3" s="120"/>
      <c r="OBH3" s="120"/>
      <c r="OBI3" s="120"/>
      <c r="OBJ3" s="120"/>
      <c r="OBK3" s="120"/>
      <c r="OBL3" s="120"/>
      <c r="OBM3" s="120"/>
      <c r="OBN3" s="120"/>
      <c r="OBO3" s="120"/>
      <c r="OBP3" s="120"/>
      <c r="OBQ3" s="120"/>
      <c r="OBR3" s="120"/>
      <c r="OBS3" s="120"/>
      <c r="OBT3" s="120"/>
      <c r="OBU3" s="120"/>
      <c r="OBV3" s="120"/>
      <c r="OBW3" s="120"/>
      <c r="OBX3" s="120"/>
      <c r="OBY3" s="120"/>
      <c r="OBZ3" s="120"/>
      <c r="OCA3" s="120"/>
      <c r="OCB3" s="120"/>
      <c r="OCC3" s="120"/>
      <c r="OCD3" s="120"/>
      <c r="OCE3" s="120"/>
      <c r="OCF3" s="120"/>
      <c r="OCG3" s="120"/>
      <c r="OCH3" s="120"/>
      <c r="OCI3" s="120"/>
      <c r="OCJ3" s="120"/>
      <c r="OCK3" s="120"/>
      <c r="OCL3" s="120"/>
      <c r="OCM3" s="120"/>
      <c r="OCN3" s="120"/>
      <c r="OCO3" s="120"/>
      <c r="OCP3" s="120"/>
      <c r="OCQ3" s="120"/>
      <c r="OCR3" s="120"/>
      <c r="OCS3" s="120"/>
      <c r="OCT3" s="120"/>
      <c r="OCU3" s="120"/>
      <c r="OCV3" s="120"/>
      <c r="OCW3" s="120"/>
      <c r="OCX3" s="120"/>
      <c r="OCY3" s="120"/>
      <c r="OCZ3" s="120"/>
      <c r="ODA3" s="120"/>
      <c r="ODB3" s="120"/>
      <c r="ODC3" s="120"/>
      <c r="ODD3" s="120"/>
      <c r="ODE3" s="120"/>
      <c r="ODF3" s="120"/>
      <c r="ODG3" s="120"/>
      <c r="ODH3" s="120"/>
      <c r="ODI3" s="120"/>
      <c r="ODJ3" s="120"/>
      <c r="ODK3" s="120"/>
      <c r="ODL3" s="120"/>
      <c r="ODM3" s="120"/>
      <c r="ODN3" s="120"/>
      <c r="ODO3" s="120"/>
      <c r="ODP3" s="120"/>
      <c r="ODQ3" s="120"/>
      <c r="ODR3" s="120"/>
      <c r="ODS3" s="120"/>
      <c r="ODT3" s="120"/>
      <c r="ODU3" s="120"/>
      <c r="ODV3" s="120"/>
      <c r="ODW3" s="120"/>
      <c r="ODX3" s="120"/>
      <c r="ODY3" s="120"/>
      <c r="ODZ3" s="120"/>
      <c r="OEA3" s="120"/>
      <c r="OEB3" s="120"/>
      <c r="OEC3" s="120"/>
      <c r="OED3" s="120"/>
      <c r="OEE3" s="120"/>
      <c r="OEF3" s="120"/>
      <c r="OEG3" s="120"/>
      <c r="OEH3" s="120"/>
      <c r="OEI3" s="120"/>
      <c r="OEJ3" s="120"/>
      <c r="OEK3" s="120"/>
      <c r="OEL3" s="120"/>
      <c r="OEM3" s="120"/>
      <c r="OEN3" s="120"/>
      <c r="OEO3" s="120"/>
      <c r="OEP3" s="120"/>
      <c r="OEQ3" s="120"/>
      <c r="OER3" s="120"/>
      <c r="OES3" s="120"/>
      <c r="OET3" s="120"/>
      <c r="OEU3" s="120"/>
      <c r="OEV3" s="120"/>
      <c r="OEW3" s="120"/>
      <c r="OEX3" s="120"/>
      <c r="OEY3" s="120"/>
      <c r="OEZ3" s="120"/>
      <c r="OFA3" s="120"/>
      <c r="OFB3" s="120"/>
      <c r="OFC3" s="120"/>
      <c r="OFD3" s="120"/>
      <c r="OFE3" s="120"/>
      <c r="OFF3" s="120"/>
      <c r="OFG3" s="120"/>
      <c r="OFH3" s="120"/>
      <c r="OFI3" s="120"/>
      <c r="OFJ3" s="120"/>
      <c r="OFK3" s="120"/>
      <c r="OFL3" s="120"/>
      <c r="OFM3" s="120"/>
      <c r="OFN3" s="120"/>
      <c r="OFO3" s="120"/>
      <c r="OFP3" s="120"/>
      <c r="OFQ3" s="120"/>
      <c r="OFR3" s="120"/>
      <c r="OFS3" s="120"/>
      <c r="OFT3" s="120"/>
      <c r="OFU3" s="120"/>
      <c r="OFV3" s="120"/>
      <c r="OFW3" s="120"/>
      <c r="OFX3" s="120"/>
      <c r="OFY3" s="120"/>
      <c r="OFZ3" s="120"/>
      <c r="OGA3" s="120"/>
      <c r="OGB3" s="120"/>
      <c r="OGC3" s="120"/>
      <c r="OGD3" s="120"/>
      <c r="OGE3" s="120"/>
      <c r="OGF3" s="120"/>
      <c r="OGG3" s="120"/>
      <c r="OGH3" s="120"/>
      <c r="OGI3" s="120"/>
      <c r="OGJ3" s="120"/>
      <c r="OGK3" s="120"/>
      <c r="OGL3" s="120"/>
      <c r="OGM3" s="120"/>
      <c r="OGN3" s="120"/>
      <c r="OGO3" s="120"/>
      <c r="OGP3" s="120"/>
      <c r="OGQ3" s="120"/>
      <c r="OGR3" s="120"/>
      <c r="OGS3" s="120"/>
      <c r="OGT3" s="120"/>
      <c r="OGU3" s="120"/>
      <c r="OGV3" s="120"/>
      <c r="OGW3" s="120"/>
      <c r="OGX3" s="120"/>
      <c r="OGY3" s="120"/>
      <c r="OGZ3" s="120"/>
      <c r="OHA3" s="120"/>
      <c r="OHB3" s="120"/>
      <c r="OHC3" s="120"/>
      <c r="OHD3" s="120"/>
      <c r="OHE3" s="120"/>
      <c r="OHF3" s="120"/>
      <c r="OHG3" s="120"/>
      <c r="OHH3" s="120"/>
      <c r="OHI3" s="120"/>
      <c r="OHJ3" s="120"/>
      <c r="OHK3" s="120"/>
      <c r="OHL3" s="120"/>
      <c r="OHM3" s="120"/>
      <c r="OHN3" s="120"/>
      <c r="OHO3" s="120"/>
      <c r="OHP3" s="120"/>
      <c r="OHQ3" s="120"/>
      <c r="OHR3" s="120"/>
      <c r="OHS3" s="120"/>
      <c r="OHT3" s="120"/>
      <c r="OHU3" s="120"/>
      <c r="OHV3" s="120"/>
      <c r="OHW3" s="120"/>
      <c r="OHX3" s="120"/>
      <c r="OHY3" s="120"/>
      <c r="OHZ3" s="120"/>
      <c r="OIA3" s="120"/>
      <c r="OIB3" s="120"/>
      <c r="OIC3" s="120"/>
      <c r="OID3" s="120"/>
      <c r="OIE3" s="120"/>
      <c r="OIF3" s="120"/>
      <c r="OIG3" s="120"/>
      <c r="OIH3" s="120"/>
      <c r="OII3" s="120"/>
      <c r="OIJ3" s="120"/>
      <c r="OIK3" s="120"/>
      <c r="OIL3" s="120"/>
      <c r="OIM3" s="120"/>
      <c r="OIN3" s="120"/>
      <c r="OIO3" s="120"/>
      <c r="OIP3" s="120"/>
      <c r="OIQ3" s="120"/>
      <c r="OIR3" s="120"/>
      <c r="OIS3" s="120"/>
      <c r="OIT3" s="120"/>
      <c r="OIU3" s="120"/>
      <c r="OIV3" s="120"/>
      <c r="OIW3" s="120"/>
      <c r="OIX3" s="120"/>
      <c r="OIY3" s="120"/>
      <c r="OIZ3" s="120"/>
      <c r="OJA3" s="120"/>
      <c r="OJB3" s="120"/>
      <c r="OJC3" s="120"/>
      <c r="OJD3" s="120"/>
      <c r="OJE3" s="120"/>
      <c r="OJF3" s="120"/>
      <c r="OJG3" s="120"/>
      <c r="OJH3" s="120"/>
      <c r="OJI3" s="120"/>
      <c r="OJJ3" s="120"/>
      <c r="OJK3" s="120"/>
      <c r="OJL3" s="120"/>
      <c r="OJM3" s="120"/>
      <c r="OJN3" s="120"/>
      <c r="OJO3" s="120"/>
      <c r="OJP3" s="120"/>
      <c r="OJQ3" s="120"/>
      <c r="OJR3" s="120"/>
      <c r="OJS3" s="120"/>
      <c r="OJT3" s="120"/>
      <c r="OJU3" s="120"/>
      <c r="OJV3" s="120"/>
      <c r="OJW3" s="120"/>
      <c r="OJX3" s="120"/>
      <c r="OJY3" s="120"/>
      <c r="OJZ3" s="120"/>
      <c r="OKA3" s="120"/>
      <c r="OKB3" s="120"/>
      <c r="OKC3" s="120"/>
      <c r="OKD3" s="120"/>
      <c r="OKE3" s="120"/>
      <c r="OKF3" s="120"/>
      <c r="OKG3" s="120"/>
      <c r="OKH3" s="120"/>
      <c r="OKI3" s="120"/>
      <c r="OKJ3" s="120"/>
      <c r="OKK3" s="120"/>
      <c r="OKL3" s="120"/>
      <c r="OKM3" s="120"/>
      <c r="OKN3" s="120"/>
      <c r="OKO3" s="120"/>
      <c r="OKP3" s="120"/>
      <c r="OKQ3" s="120"/>
      <c r="OKR3" s="120"/>
      <c r="OKS3" s="120"/>
      <c r="OKT3" s="120"/>
      <c r="OKU3" s="120"/>
      <c r="OKV3" s="120"/>
      <c r="OKW3" s="120"/>
      <c r="OKX3" s="120"/>
      <c r="OKY3" s="120"/>
      <c r="OKZ3" s="120"/>
      <c r="OLA3" s="120"/>
      <c r="OLB3" s="120"/>
      <c r="OLC3" s="120"/>
      <c r="OLD3" s="120"/>
      <c r="OLE3" s="120"/>
      <c r="OLF3" s="120"/>
      <c r="OLG3" s="120"/>
      <c r="OLH3" s="120"/>
      <c r="OLI3" s="120"/>
      <c r="OLJ3" s="120"/>
      <c r="OLK3" s="120"/>
      <c r="OLL3" s="120"/>
      <c r="OLM3" s="120"/>
      <c r="OLN3" s="120"/>
      <c r="OLO3" s="120"/>
      <c r="OLP3" s="120"/>
      <c r="OLQ3" s="120"/>
      <c r="OLR3" s="120"/>
      <c r="OLS3" s="120"/>
      <c r="OLT3" s="120"/>
      <c r="OLU3" s="120"/>
      <c r="OLV3" s="120"/>
      <c r="OLW3" s="120"/>
      <c r="OLX3" s="120"/>
      <c r="OLY3" s="120"/>
      <c r="OLZ3" s="120"/>
      <c r="OMA3" s="120"/>
      <c r="OMB3" s="120"/>
      <c r="OMC3" s="120"/>
      <c r="OMD3" s="120"/>
      <c r="OME3" s="120"/>
      <c r="OMF3" s="120"/>
      <c r="OMG3" s="120"/>
      <c r="OMH3" s="120"/>
      <c r="OMI3" s="120"/>
      <c r="OMJ3" s="120"/>
      <c r="OMK3" s="120"/>
      <c r="OML3" s="120"/>
      <c r="OMM3" s="120"/>
      <c r="OMN3" s="120"/>
      <c r="OMO3" s="120"/>
      <c r="OMP3" s="120"/>
      <c r="OMQ3" s="120"/>
      <c r="OMR3" s="120"/>
      <c r="OMS3" s="120"/>
      <c r="OMT3" s="120"/>
      <c r="OMU3" s="120"/>
      <c r="OMV3" s="120"/>
      <c r="OMW3" s="120"/>
      <c r="OMX3" s="120"/>
      <c r="OMY3" s="120"/>
      <c r="OMZ3" s="120"/>
      <c r="ONA3" s="120"/>
      <c r="ONB3" s="120"/>
      <c r="ONC3" s="120"/>
      <c r="OND3" s="120"/>
      <c r="ONE3" s="120"/>
      <c r="ONF3" s="120"/>
      <c r="ONG3" s="120"/>
      <c r="ONH3" s="120"/>
      <c r="ONI3" s="120"/>
      <c r="ONJ3" s="120"/>
      <c r="ONK3" s="120"/>
      <c r="ONL3" s="120"/>
      <c r="ONM3" s="120"/>
      <c r="ONN3" s="120"/>
      <c r="ONO3" s="120"/>
      <c r="ONP3" s="120"/>
      <c r="ONQ3" s="120"/>
      <c r="ONR3" s="120"/>
      <c r="ONS3" s="120"/>
      <c r="ONT3" s="120"/>
      <c r="ONU3" s="120"/>
      <c r="ONV3" s="120"/>
      <c r="ONW3" s="120"/>
      <c r="ONX3" s="120"/>
      <c r="ONY3" s="120"/>
      <c r="ONZ3" s="120"/>
      <c r="OOA3" s="120"/>
      <c r="OOB3" s="120"/>
      <c r="OOC3" s="120"/>
      <c r="OOD3" s="120"/>
      <c r="OOE3" s="120"/>
      <c r="OOF3" s="120"/>
      <c r="OOG3" s="120"/>
      <c r="OOH3" s="120"/>
      <c r="OOI3" s="120"/>
      <c r="OOJ3" s="120"/>
      <c r="OOK3" s="120"/>
      <c r="OOL3" s="120"/>
      <c r="OOM3" s="120"/>
      <c r="OON3" s="120"/>
      <c r="OOO3" s="120"/>
      <c r="OOP3" s="120"/>
      <c r="OOQ3" s="120"/>
      <c r="OOR3" s="120"/>
      <c r="OOS3" s="120"/>
      <c r="OOT3" s="120"/>
      <c r="OOU3" s="120"/>
      <c r="OOV3" s="120"/>
      <c r="OOW3" s="120"/>
      <c r="OOX3" s="120"/>
      <c r="OOY3" s="120"/>
      <c r="OOZ3" s="120"/>
      <c r="OPA3" s="120"/>
      <c r="OPB3" s="120"/>
      <c r="OPC3" s="120"/>
      <c r="OPD3" s="120"/>
      <c r="OPE3" s="120"/>
      <c r="OPF3" s="120"/>
      <c r="OPG3" s="120"/>
      <c r="OPH3" s="120"/>
      <c r="OPI3" s="120"/>
      <c r="OPJ3" s="120"/>
      <c r="OPK3" s="120"/>
      <c r="OPL3" s="120"/>
      <c r="OPM3" s="120"/>
      <c r="OPN3" s="120"/>
      <c r="OPO3" s="120"/>
      <c r="OPP3" s="120"/>
      <c r="OPQ3" s="120"/>
      <c r="OPR3" s="120"/>
      <c r="OPS3" s="120"/>
      <c r="OPT3" s="120"/>
      <c r="OPU3" s="120"/>
      <c r="OPV3" s="120"/>
      <c r="OPW3" s="120"/>
      <c r="OPX3" s="120"/>
      <c r="OPY3" s="120"/>
      <c r="OPZ3" s="120"/>
      <c r="OQA3" s="120"/>
      <c r="OQB3" s="120"/>
      <c r="OQC3" s="120"/>
      <c r="OQD3" s="120"/>
      <c r="OQE3" s="120"/>
      <c r="OQF3" s="120"/>
      <c r="OQG3" s="120"/>
      <c r="OQH3" s="120"/>
      <c r="OQI3" s="120"/>
      <c r="OQJ3" s="120"/>
      <c r="OQK3" s="120"/>
      <c r="OQL3" s="120"/>
      <c r="OQM3" s="120"/>
      <c r="OQN3" s="120"/>
      <c r="OQO3" s="120"/>
      <c r="OQP3" s="120"/>
      <c r="OQQ3" s="120"/>
      <c r="OQR3" s="120"/>
      <c r="OQS3" s="120"/>
      <c r="OQT3" s="120"/>
      <c r="OQU3" s="120"/>
      <c r="OQV3" s="120"/>
      <c r="OQW3" s="120"/>
      <c r="OQX3" s="120"/>
      <c r="OQY3" s="120"/>
      <c r="OQZ3" s="120"/>
      <c r="ORA3" s="120"/>
      <c r="ORB3" s="120"/>
      <c r="ORC3" s="120"/>
      <c r="ORD3" s="120"/>
      <c r="ORE3" s="120"/>
      <c r="ORF3" s="120"/>
      <c r="ORG3" s="120"/>
      <c r="ORH3" s="120"/>
      <c r="ORI3" s="120"/>
      <c r="ORJ3" s="120"/>
      <c r="ORK3" s="120"/>
      <c r="ORL3" s="120"/>
      <c r="ORM3" s="120"/>
      <c r="ORN3" s="120"/>
      <c r="ORO3" s="120"/>
      <c r="ORP3" s="120"/>
      <c r="ORQ3" s="120"/>
      <c r="ORR3" s="120"/>
      <c r="ORS3" s="120"/>
      <c r="ORT3" s="120"/>
      <c r="ORU3" s="120"/>
      <c r="ORV3" s="120"/>
      <c r="ORW3" s="120"/>
      <c r="ORX3" s="120"/>
      <c r="ORY3" s="120"/>
      <c r="ORZ3" s="120"/>
      <c r="OSA3" s="120"/>
      <c r="OSB3" s="120"/>
      <c r="OSC3" s="120"/>
      <c r="OSD3" s="120"/>
      <c r="OSE3" s="120"/>
      <c r="OSF3" s="120"/>
      <c r="OSG3" s="120"/>
      <c r="OSH3" s="120"/>
      <c r="OSI3" s="120"/>
      <c r="OSJ3" s="120"/>
      <c r="OSK3" s="120"/>
      <c r="OSL3" s="120"/>
      <c r="OSM3" s="120"/>
      <c r="OSN3" s="120"/>
      <c r="OSO3" s="120"/>
      <c r="OSP3" s="120"/>
      <c r="OSQ3" s="120"/>
      <c r="OSR3" s="120"/>
      <c r="OSS3" s="120"/>
      <c r="OST3" s="120"/>
      <c r="OSU3" s="120"/>
      <c r="OSV3" s="120"/>
      <c r="OSW3" s="120"/>
      <c r="OSX3" s="120"/>
      <c r="OSY3" s="120"/>
      <c r="OSZ3" s="120"/>
      <c r="OTA3" s="120"/>
      <c r="OTB3" s="120"/>
      <c r="OTC3" s="120"/>
      <c r="OTD3" s="120"/>
      <c r="OTE3" s="120"/>
      <c r="OTF3" s="120"/>
      <c r="OTG3" s="120"/>
      <c r="OTH3" s="120"/>
      <c r="OTI3" s="120"/>
      <c r="OTJ3" s="120"/>
      <c r="OTK3" s="120"/>
      <c r="OTL3" s="120"/>
      <c r="OTM3" s="120"/>
      <c r="OTN3" s="120"/>
      <c r="OTO3" s="120"/>
      <c r="OTP3" s="120"/>
      <c r="OTQ3" s="120"/>
      <c r="OTR3" s="120"/>
      <c r="OTS3" s="120"/>
      <c r="OTT3" s="120"/>
      <c r="OTU3" s="120"/>
      <c r="OTV3" s="120"/>
      <c r="OTW3" s="120"/>
      <c r="OTX3" s="120"/>
      <c r="OTY3" s="120"/>
      <c r="OTZ3" s="120"/>
      <c r="OUA3" s="120"/>
      <c r="OUB3" s="120"/>
      <c r="OUC3" s="120"/>
      <c r="OUD3" s="120"/>
      <c r="OUE3" s="120"/>
      <c r="OUF3" s="120"/>
      <c r="OUG3" s="120"/>
      <c r="OUH3" s="120"/>
      <c r="OUI3" s="120"/>
      <c r="OUJ3" s="120"/>
      <c r="OUK3" s="120"/>
      <c r="OUL3" s="120"/>
      <c r="OUM3" s="120"/>
      <c r="OUN3" s="120"/>
      <c r="OUO3" s="120"/>
      <c r="OUP3" s="120"/>
      <c r="OUQ3" s="120"/>
      <c r="OUR3" s="120"/>
      <c r="OUS3" s="120"/>
      <c r="OUT3" s="120"/>
      <c r="OUU3" s="120"/>
      <c r="OUV3" s="120"/>
      <c r="OUW3" s="120"/>
      <c r="OUX3" s="120"/>
      <c r="OUY3" s="120"/>
      <c r="OUZ3" s="120"/>
      <c r="OVA3" s="120"/>
      <c r="OVB3" s="120"/>
      <c r="OVC3" s="120"/>
      <c r="OVD3" s="120"/>
      <c r="OVE3" s="120"/>
      <c r="OVF3" s="120"/>
      <c r="OVG3" s="120"/>
      <c r="OVH3" s="120"/>
      <c r="OVI3" s="120"/>
      <c r="OVJ3" s="120"/>
      <c r="OVK3" s="120"/>
      <c r="OVL3" s="120"/>
      <c r="OVM3" s="120"/>
      <c r="OVN3" s="120"/>
      <c r="OVO3" s="120"/>
      <c r="OVP3" s="120"/>
      <c r="OVQ3" s="120"/>
      <c r="OVR3" s="120"/>
      <c r="OVS3" s="120"/>
      <c r="OVT3" s="120"/>
      <c r="OVU3" s="120"/>
      <c r="OVV3" s="120"/>
      <c r="OVW3" s="120"/>
      <c r="OVX3" s="120"/>
      <c r="OVY3" s="120"/>
      <c r="OVZ3" s="120"/>
      <c r="OWA3" s="120"/>
      <c r="OWB3" s="120"/>
      <c r="OWC3" s="120"/>
      <c r="OWD3" s="120"/>
      <c r="OWE3" s="120"/>
      <c r="OWF3" s="120"/>
      <c r="OWG3" s="120"/>
      <c r="OWH3" s="120"/>
      <c r="OWI3" s="120"/>
      <c r="OWJ3" s="120"/>
      <c r="OWK3" s="120"/>
      <c r="OWL3" s="120"/>
      <c r="OWM3" s="120"/>
      <c r="OWN3" s="120"/>
      <c r="OWO3" s="120"/>
      <c r="OWP3" s="120"/>
      <c r="OWQ3" s="120"/>
      <c r="OWR3" s="120"/>
      <c r="OWS3" s="120"/>
      <c r="OWT3" s="120"/>
      <c r="OWU3" s="120"/>
      <c r="OWV3" s="120"/>
      <c r="OWW3" s="120"/>
      <c r="OWX3" s="120"/>
      <c r="OWY3" s="120"/>
      <c r="OWZ3" s="120"/>
      <c r="OXA3" s="120"/>
      <c r="OXB3" s="120"/>
      <c r="OXC3" s="120"/>
      <c r="OXD3" s="120"/>
      <c r="OXE3" s="120"/>
      <c r="OXF3" s="120"/>
      <c r="OXG3" s="120"/>
      <c r="OXH3" s="120"/>
      <c r="OXI3" s="120"/>
      <c r="OXJ3" s="120"/>
      <c r="OXK3" s="120"/>
      <c r="OXL3" s="120"/>
      <c r="OXM3" s="120"/>
      <c r="OXN3" s="120"/>
      <c r="OXO3" s="120"/>
      <c r="OXP3" s="120"/>
      <c r="OXQ3" s="120"/>
      <c r="OXR3" s="120"/>
      <c r="OXS3" s="120"/>
      <c r="OXT3" s="120"/>
      <c r="OXU3" s="120"/>
      <c r="OXV3" s="120"/>
      <c r="OXW3" s="120"/>
      <c r="OXX3" s="120"/>
      <c r="OXY3" s="120"/>
      <c r="OXZ3" s="120"/>
      <c r="OYA3" s="120"/>
      <c r="OYB3" s="120"/>
      <c r="OYC3" s="120"/>
      <c r="OYD3" s="120"/>
      <c r="OYE3" s="120"/>
      <c r="OYF3" s="120"/>
      <c r="OYG3" s="120"/>
      <c r="OYH3" s="120"/>
      <c r="OYI3" s="120"/>
      <c r="OYJ3" s="120"/>
      <c r="OYK3" s="120"/>
      <c r="OYL3" s="120"/>
      <c r="OYM3" s="120"/>
      <c r="OYN3" s="120"/>
      <c r="OYO3" s="120"/>
      <c r="OYP3" s="120"/>
      <c r="OYQ3" s="120"/>
      <c r="OYR3" s="120"/>
      <c r="OYS3" s="120"/>
      <c r="OYT3" s="120"/>
      <c r="OYU3" s="120"/>
      <c r="OYV3" s="120"/>
      <c r="OYW3" s="120"/>
      <c r="OYX3" s="120"/>
      <c r="OYY3" s="120"/>
      <c r="OYZ3" s="120"/>
      <c r="OZA3" s="120"/>
      <c r="OZB3" s="120"/>
      <c r="OZC3" s="120"/>
      <c r="OZD3" s="120"/>
      <c r="OZE3" s="120"/>
      <c r="OZF3" s="120"/>
      <c r="OZG3" s="120"/>
      <c r="OZH3" s="120"/>
      <c r="OZI3" s="120"/>
      <c r="OZJ3" s="120"/>
      <c r="OZK3" s="120"/>
      <c r="OZL3" s="120"/>
      <c r="OZM3" s="120"/>
      <c r="OZN3" s="120"/>
      <c r="OZO3" s="120"/>
      <c r="OZP3" s="120"/>
      <c r="OZQ3" s="120"/>
      <c r="OZR3" s="120"/>
      <c r="OZS3" s="120"/>
      <c r="OZT3" s="120"/>
      <c r="OZU3" s="120"/>
      <c r="OZV3" s="120"/>
      <c r="OZW3" s="120"/>
      <c r="OZX3" s="120"/>
      <c r="OZY3" s="120"/>
      <c r="OZZ3" s="120"/>
      <c r="PAA3" s="120"/>
      <c r="PAB3" s="120"/>
      <c r="PAC3" s="120"/>
      <c r="PAD3" s="120"/>
      <c r="PAE3" s="120"/>
      <c r="PAF3" s="120"/>
      <c r="PAG3" s="120"/>
      <c r="PAH3" s="120"/>
      <c r="PAI3" s="120"/>
      <c r="PAJ3" s="120"/>
      <c r="PAK3" s="120"/>
      <c r="PAL3" s="120"/>
      <c r="PAM3" s="120"/>
      <c r="PAN3" s="120"/>
      <c r="PAO3" s="120"/>
      <c r="PAP3" s="120"/>
      <c r="PAQ3" s="120"/>
      <c r="PAR3" s="120"/>
      <c r="PAS3" s="120"/>
      <c r="PAT3" s="120"/>
      <c r="PAU3" s="120"/>
      <c r="PAV3" s="120"/>
      <c r="PAW3" s="120"/>
      <c r="PAX3" s="120"/>
      <c r="PAY3" s="120"/>
      <c r="PAZ3" s="120"/>
      <c r="PBA3" s="120"/>
      <c r="PBB3" s="120"/>
      <c r="PBC3" s="120"/>
      <c r="PBD3" s="120"/>
      <c r="PBE3" s="120"/>
      <c r="PBF3" s="120"/>
      <c r="PBG3" s="120"/>
      <c r="PBH3" s="120"/>
      <c r="PBI3" s="120"/>
      <c r="PBJ3" s="120"/>
      <c r="PBK3" s="120"/>
      <c r="PBL3" s="120"/>
      <c r="PBM3" s="120"/>
      <c r="PBN3" s="120"/>
      <c r="PBO3" s="120"/>
      <c r="PBP3" s="120"/>
      <c r="PBQ3" s="120"/>
      <c r="PBR3" s="120"/>
      <c r="PBS3" s="120"/>
      <c r="PBT3" s="120"/>
      <c r="PBU3" s="120"/>
      <c r="PBV3" s="120"/>
      <c r="PBW3" s="120"/>
      <c r="PBX3" s="120"/>
      <c r="PBY3" s="120"/>
      <c r="PBZ3" s="120"/>
      <c r="PCA3" s="120"/>
      <c r="PCB3" s="120"/>
      <c r="PCC3" s="120"/>
      <c r="PCD3" s="120"/>
      <c r="PCE3" s="120"/>
      <c r="PCF3" s="120"/>
      <c r="PCG3" s="120"/>
      <c r="PCH3" s="120"/>
      <c r="PCI3" s="120"/>
      <c r="PCJ3" s="120"/>
      <c r="PCK3" s="120"/>
      <c r="PCL3" s="120"/>
      <c r="PCM3" s="120"/>
      <c r="PCN3" s="120"/>
      <c r="PCO3" s="120"/>
      <c r="PCP3" s="120"/>
      <c r="PCQ3" s="120"/>
      <c r="PCR3" s="120"/>
      <c r="PCS3" s="120"/>
      <c r="PCT3" s="120"/>
      <c r="PCU3" s="120"/>
      <c r="PCV3" s="120"/>
      <c r="PCW3" s="120"/>
      <c r="PCX3" s="120"/>
      <c r="PCY3" s="120"/>
      <c r="PCZ3" s="120"/>
      <c r="PDA3" s="120"/>
      <c r="PDB3" s="120"/>
      <c r="PDC3" s="120"/>
      <c r="PDD3" s="120"/>
      <c r="PDE3" s="120"/>
      <c r="PDF3" s="120"/>
      <c r="PDG3" s="120"/>
      <c r="PDH3" s="120"/>
      <c r="PDI3" s="120"/>
      <c r="PDJ3" s="120"/>
      <c r="PDK3" s="120"/>
      <c r="PDL3" s="120"/>
      <c r="PDM3" s="120"/>
      <c r="PDN3" s="120"/>
      <c r="PDO3" s="120"/>
      <c r="PDP3" s="120"/>
      <c r="PDQ3" s="120"/>
      <c r="PDR3" s="120"/>
      <c r="PDS3" s="120"/>
      <c r="PDT3" s="120"/>
      <c r="PDU3" s="120"/>
      <c r="PDV3" s="120"/>
      <c r="PDW3" s="120"/>
      <c r="PDX3" s="120"/>
      <c r="PDY3" s="120"/>
      <c r="PDZ3" s="120"/>
      <c r="PEA3" s="120"/>
      <c r="PEB3" s="120"/>
      <c r="PEC3" s="120"/>
      <c r="PED3" s="120"/>
      <c r="PEE3" s="120"/>
      <c r="PEF3" s="120"/>
      <c r="PEG3" s="120"/>
      <c r="PEH3" s="120"/>
      <c r="PEI3" s="120"/>
      <c r="PEJ3" s="120"/>
      <c r="PEK3" s="120"/>
      <c r="PEL3" s="120"/>
      <c r="PEM3" s="120"/>
      <c r="PEN3" s="120"/>
      <c r="PEO3" s="120"/>
      <c r="PEP3" s="120"/>
      <c r="PEQ3" s="120"/>
      <c r="PER3" s="120"/>
      <c r="PES3" s="120"/>
      <c r="PET3" s="120"/>
      <c r="PEU3" s="120"/>
      <c r="PEV3" s="120"/>
      <c r="PEW3" s="120"/>
      <c r="PEX3" s="120"/>
      <c r="PEY3" s="120"/>
      <c r="PEZ3" s="120"/>
      <c r="PFA3" s="120"/>
      <c r="PFB3" s="120"/>
      <c r="PFC3" s="120"/>
      <c r="PFD3" s="120"/>
      <c r="PFE3" s="120"/>
      <c r="PFF3" s="120"/>
      <c r="PFG3" s="120"/>
      <c r="PFH3" s="120"/>
      <c r="PFI3" s="120"/>
      <c r="PFJ3" s="120"/>
      <c r="PFK3" s="120"/>
      <c r="PFL3" s="120"/>
      <c r="PFM3" s="120"/>
      <c r="PFN3" s="120"/>
      <c r="PFO3" s="120"/>
      <c r="PFP3" s="120"/>
      <c r="PFQ3" s="120"/>
      <c r="PFR3" s="120"/>
      <c r="PFS3" s="120"/>
      <c r="PFT3" s="120"/>
      <c r="PFU3" s="120"/>
      <c r="PFV3" s="120"/>
      <c r="PFW3" s="120"/>
      <c r="PFX3" s="120"/>
      <c r="PFY3" s="120"/>
      <c r="PFZ3" s="120"/>
      <c r="PGA3" s="120"/>
      <c r="PGB3" s="120"/>
      <c r="PGC3" s="120"/>
      <c r="PGD3" s="120"/>
      <c r="PGE3" s="120"/>
      <c r="PGF3" s="120"/>
      <c r="PGG3" s="120"/>
      <c r="PGH3" s="120"/>
      <c r="PGI3" s="120"/>
      <c r="PGJ3" s="120"/>
      <c r="PGK3" s="120"/>
      <c r="PGL3" s="120"/>
      <c r="PGM3" s="120"/>
      <c r="PGN3" s="120"/>
      <c r="PGO3" s="120"/>
      <c r="PGP3" s="120"/>
      <c r="PGQ3" s="120"/>
      <c r="PGR3" s="120"/>
      <c r="PGS3" s="120"/>
      <c r="PGT3" s="120"/>
      <c r="PGU3" s="120"/>
      <c r="PGV3" s="120"/>
      <c r="PGW3" s="120"/>
      <c r="PGX3" s="120"/>
      <c r="PGY3" s="120"/>
      <c r="PGZ3" s="120"/>
      <c r="PHA3" s="120"/>
      <c r="PHB3" s="120"/>
      <c r="PHC3" s="120"/>
      <c r="PHD3" s="120"/>
      <c r="PHE3" s="120"/>
      <c r="PHF3" s="120"/>
      <c r="PHG3" s="120"/>
      <c r="PHH3" s="120"/>
      <c r="PHI3" s="120"/>
      <c r="PHJ3" s="120"/>
      <c r="PHK3" s="120"/>
      <c r="PHL3" s="120"/>
      <c r="PHM3" s="120"/>
      <c r="PHN3" s="120"/>
      <c r="PHO3" s="120"/>
      <c r="PHP3" s="120"/>
      <c r="PHQ3" s="120"/>
      <c r="PHR3" s="120"/>
      <c r="PHS3" s="120"/>
      <c r="PHT3" s="120"/>
      <c r="PHU3" s="120"/>
      <c r="PHV3" s="120"/>
      <c r="PHW3" s="120"/>
      <c r="PHX3" s="120"/>
      <c r="PHY3" s="120"/>
      <c r="PHZ3" s="120"/>
      <c r="PIA3" s="120"/>
      <c r="PIB3" s="120"/>
      <c r="PIC3" s="120"/>
      <c r="PID3" s="120"/>
      <c r="PIE3" s="120"/>
      <c r="PIF3" s="120"/>
      <c r="PIG3" s="120"/>
      <c r="PIH3" s="120"/>
      <c r="PII3" s="120"/>
      <c r="PIJ3" s="120"/>
      <c r="PIK3" s="120"/>
      <c r="PIL3" s="120"/>
      <c r="PIM3" s="120"/>
      <c r="PIN3" s="120"/>
      <c r="PIO3" s="120"/>
      <c r="PIP3" s="120"/>
      <c r="PIQ3" s="120"/>
      <c r="PIR3" s="120"/>
      <c r="PIS3" s="120"/>
      <c r="PIT3" s="120"/>
      <c r="PIU3" s="120"/>
      <c r="PIV3" s="120"/>
      <c r="PIW3" s="120"/>
      <c r="PIX3" s="120"/>
      <c r="PIY3" s="120"/>
      <c r="PIZ3" s="120"/>
      <c r="PJA3" s="120"/>
      <c r="PJB3" s="120"/>
      <c r="PJC3" s="120"/>
      <c r="PJD3" s="120"/>
      <c r="PJE3" s="120"/>
      <c r="PJF3" s="120"/>
      <c r="PJG3" s="120"/>
      <c r="PJH3" s="120"/>
      <c r="PJI3" s="120"/>
      <c r="PJJ3" s="120"/>
      <c r="PJK3" s="120"/>
      <c r="PJL3" s="120"/>
      <c r="PJM3" s="120"/>
      <c r="PJN3" s="120"/>
      <c r="PJO3" s="120"/>
      <c r="PJP3" s="120"/>
      <c r="PJQ3" s="120"/>
      <c r="PJR3" s="120"/>
      <c r="PJS3" s="120"/>
      <c r="PJT3" s="120"/>
      <c r="PJU3" s="120"/>
      <c r="PJV3" s="120"/>
      <c r="PJW3" s="120"/>
      <c r="PJX3" s="120"/>
      <c r="PJY3" s="120"/>
      <c r="PJZ3" s="120"/>
      <c r="PKA3" s="120"/>
      <c r="PKB3" s="120"/>
      <c r="PKC3" s="120"/>
      <c r="PKD3" s="120"/>
      <c r="PKE3" s="120"/>
      <c r="PKF3" s="120"/>
      <c r="PKG3" s="120"/>
      <c r="PKH3" s="120"/>
      <c r="PKI3" s="120"/>
      <c r="PKJ3" s="120"/>
      <c r="PKK3" s="120"/>
      <c r="PKL3" s="120"/>
      <c r="PKM3" s="120"/>
      <c r="PKN3" s="120"/>
      <c r="PKO3" s="120"/>
      <c r="PKP3" s="120"/>
      <c r="PKQ3" s="120"/>
      <c r="PKR3" s="120"/>
      <c r="PKS3" s="120"/>
      <c r="PKT3" s="120"/>
      <c r="PKU3" s="120"/>
      <c r="PKV3" s="120"/>
      <c r="PKW3" s="120"/>
      <c r="PKX3" s="120"/>
      <c r="PKY3" s="120"/>
      <c r="PKZ3" s="120"/>
      <c r="PLA3" s="120"/>
      <c r="PLB3" s="120"/>
      <c r="PLC3" s="120"/>
      <c r="PLD3" s="120"/>
      <c r="PLE3" s="120"/>
      <c r="PLF3" s="120"/>
      <c r="PLG3" s="120"/>
      <c r="PLH3" s="120"/>
      <c r="PLI3" s="120"/>
      <c r="PLJ3" s="120"/>
      <c r="PLK3" s="120"/>
      <c r="PLL3" s="120"/>
      <c r="PLM3" s="120"/>
      <c r="PLN3" s="120"/>
      <c r="PLO3" s="120"/>
      <c r="PLP3" s="120"/>
      <c r="PLQ3" s="120"/>
      <c r="PLR3" s="120"/>
      <c r="PLS3" s="120"/>
      <c r="PLT3" s="120"/>
      <c r="PLU3" s="120"/>
      <c r="PLV3" s="120"/>
      <c r="PLW3" s="120"/>
      <c r="PLX3" s="120"/>
      <c r="PLY3" s="120"/>
      <c r="PLZ3" s="120"/>
      <c r="PMA3" s="120"/>
      <c r="PMB3" s="120"/>
      <c r="PMC3" s="120"/>
      <c r="PMD3" s="120"/>
      <c r="PME3" s="120"/>
      <c r="PMF3" s="120"/>
      <c r="PMG3" s="120"/>
      <c r="PMH3" s="120"/>
      <c r="PMI3" s="120"/>
      <c r="PMJ3" s="120"/>
      <c r="PMK3" s="120"/>
      <c r="PML3" s="120"/>
      <c r="PMM3" s="120"/>
      <c r="PMN3" s="120"/>
      <c r="PMO3" s="120"/>
      <c r="PMP3" s="120"/>
      <c r="PMQ3" s="120"/>
      <c r="PMR3" s="120"/>
      <c r="PMS3" s="120"/>
      <c r="PMT3" s="120"/>
      <c r="PMU3" s="120"/>
      <c r="PMV3" s="120"/>
      <c r="PMW3" s="120"/>
      <c r="PMX3" s="120"/>
      <c r="PMY3" s="120"/>
      <c r="PMZ3" s="120"/>
      <c r="PNA3" s="120"/>
      <c r="PNB3" s="120"/>
      <c r="PNC3" s="120"/>
      <c r="PND3" s="120"/>
      <c r="PNE3" s="120"/>
      <c r="PNF3" s="120"/>
      <c r="PNG3" s="120"/>
      <c r="PNH3" s="120"/>
      <c r="PNI3" s="120"/>
      <c r="PNJ3" s="120"/>
      <c r="PNK3" s="120"/>
      <c r="PNL3" s="120"/>
      <c r="PNM3" s="120"/>
      <c r="PNN3" s="120"/>
      <c r="PNO3" s="120"/>
      <c r="PNP3" s="120"/>
      <c r="PNQ3" s="120"/>
      <c r="PNR3" s="120"/>
      <c r="PNS3" s="120"/>
      <c r="PNT3" s="120"/>
      <c r="PNU3" s="120"/>
      <c r="PNV3" s="120"/>
      <c r="PNW3" s="120"/>
      <c r="PNX3" s="120"/>
      <c r="PNY3" s="120"/>
      <c r="PNZ3" s="120"/>
      <c r="POA3" s="120"/>
      <c r="POB3" s="120"/>
      <c r="POC3" s="120"/>
      <c r="POD3" s="120"/>
      <c r="POE3" s="120"/>
      <c r="POF3" s="120"/>
      <c r="POG3" s="120"/>
      <c r="POH3" s="120"/>
      <c r="POI3" s="120"/>
      <c r="POJ3" s="120"/>
      <c r="POK3" s="120"/>
      <c r="POL3" s="120"/>
      <c r="POM3" s="120"/>
      <c r="PON3" s="120"/>
      <c r="POO3" s="120"/>
      <c r="POP3" s="120"/>
      <c r="POQ3" s="120"/>
      <c r="POR3" s="120"/>
      <c r="POS3" s="120"/>
      <c r="POT3" s="120"/>
      <c r="POU3" s="120"/>
      <c r="POV3" s="120"/>
      <c r="POW3" s="120"/>
      <c r="POX3" s="120"/>
      <c r="POY3" s="120"/>
      <c r="POZ3" s="120"/>
      <c r="PPA3" s="120"/>
      <c r="PPB3" s="120"/>
      <c r="PPC3" s="120"/>
      <c r="PPD3" s="120"/>
      <c r="PPE3" s="120"/>
      <c r="PPF3" s="120"/>
      <c r="PPG3" s="120"/>
      <c r="PPH3" s="120"/>
      <c r="PPI3" s="120"/>
      <c r="PPJ3" s="120"/>
      <c r="PPK3" s="120"/>
      <c r="PPL3" s="120"/>
      <c r="PPM3" s="120"/>
      <c r="PPN3" s="120"/>
      <c r="PPO3" s="120"/>
      <c r="PPP3" s="120"/>
      <c r="PPQ3" s="120"/>
      <c r="PPR3" s="120"/>
      <c r="PPS3" s="120"/>
      <c r="PPT3" s="120"/>
      <c r="PPU3" s="120"/>
      <c r="PPV3" s="120"/>
      <c r="PPW3" s="120"/>
      <c r="PPX3" s="120"/>
      <c r="PPY3" s="120"/>
      <c r="PPZ3" s="120"/>
      <c r="PQA3" s="120"/>
      <c r="PQB3" s="120"/>
      <c r="PQC3" s="120"/>
      <c r="PQD3" s="120"/>
      <c r="PQE3" s="120"/>
      <c r="PQF3" s="120"/>
      <c r="PQG3" s="120"/>
      <c r="PQH3" s="120"/>
      <c r="PQI3" s="120"/>
      <c r="PQJ3" s="120"/>
      <c r="PQK3" s="120"/>
      <c r="PQL3" s="120"/>
      <c r="PQM3" s="120"/>
      <c r="PQN3" s="120"/>
      <c r="PQO3" s="120"/>
      <c r="PQP3" s="120"/>
      <c r="PQQ3" s="120"/>
      <c r="PQR3" s="120"/>
      <c r="PQS3" s="120"/>
      <c r="PQT3" s="120"/>
      <c r="PQU3" s="120"/>
      <c r="PQV3" s="120"/>
      <c r="PQW3" s="120"/>
      <c r="PQX3" s="120"/>
      <c r="PQY3" s="120"/>
      <c r="PQZ3" s="120"/>
      <c r="PRA3" s="120"/>
      <c r="PRB3" s="120"/>
      <c r="PRC3" s="120"/>
      <c r="PRD3" s="120"/>
      <c r="PRE3" s="120"/>
      <c r="PRF3" s="120"/>
      <c r="PRG3" s="120"/>
      <c r="PRH3" s="120"/>
      <c r="PRI3" s="120"/>
      <c r="PRJ3" s="120"/>
      <c r="PRK3" s="120"/>
      <c r="PRL3" s="120"/>
      <c r="PRM3" s="120"/>
      <c r="PRN3" s="120"/>
      <c r="PRO3" s="120"/>
      <c r="PRP3" s="120"/>
      <c r="PRQ3" s="120"/>
      <c r="PRR3" s="120"/>
      <c r="PRS3" s="120"/>
      <c r="PRT3" s="120"/>
      <c r="PRU3" s="120"/>
      <c r="PRV3" s="120"/>
      <c r="PRW3" s="120"/>
      <c r="PRX3" s="120"/>
      <c r="PRY3" s="120"/>
      <c r="PRZ3" s="120"/>
      <c r="PSA3" s="120"/>
      <c r="PSB3" s="120"/>
      <c r="PSC3" s="120"/>
      <c r="PSD3" s="120"/>
      <c r="PSE3" s="120"/>
      <c r="PSF3" s="120"/>
      <c r="PSG3" s="120"/>
      <c r="PSH3" s="120"/>
      <c r="PSI3" s="120"/>
      <c r="PSJ3" s="120"/>
      <c r="PSK3" s="120"/>
      <c r="PSL3" s="120"/>
      <c r="PSM3" s="120"/>
      <c r="PSN3" s="120"/>
      <c r="PSO3" s="120"/>
      <c r="PSP3" s="120"/>
      <c r="PSQ3" s="120"/>
      <c r="PSR3" s="120"/>
      <c r="PSS3" s="120"/>
      <c r="PST3" s="120"/>
      <c r="PSU3" s="120"/>
      <c r="PSV3" s="120"/>
      <c r="PSW3" s="120"/>
      <c r="PSX3" s="120"/>
      <c r="PSY3" s="120"/>
      <c r="PSZ3" s="120"/>
      <c r="PTA3" s="120"/>
      <c r="PTB3" s="120"/>
      <c r="PTC3" s="120"/>
      <c r="PTD3" s="120"/>
      <c r="PTE3" s="120"/>
      <c r="PTF3" s="120"/>
      <c r="PTG3" s="120"/>
      <c r="PTH3" s="120"/>
      <c r="PTI3" s="120"/>
      <c r="PTJ3" s="120"/>
      <c r="PTK3" s="120"/>
      <c r="PTL3" s="120"/>
      <c r="PTM3" s="120"/>
      <c r="PTN3" s="120"/>
      <c r="PTO3" s="120"/>
      <c r="PTP3" s="120"/>
      <c r="PTQ3" s="120"/>
      <c r="PTR3" s="120"/>
      <c r="PTS3" s="120"/>
      <c r="PTT3" s="120"/>
      <c r="PTU3" s="120"/>
      <c r="PTV3" s="120"/>
      <c r="PTW3" s="120"/>
      <c r="PTX3" s="120"/>
      <c r="PTY3" s="120"/>
      <c r="PTZ3" s="120"/>
      <c r="PUA3" s="120"/>
      <c r="PUB3" s="120"/>
      <c r="PUC3" s="120"/>
      <c r="PUD3" s="120"/>
      <c r="PUE3" s="120"/>
      <c r="PUF3" s="120"/>
      <c r="PUG3" s="120"/>
      <c r="PUH3" s="120"/>
      <c r="PUI3" s="120"/>
      <c r="PUJ3" s="120"/>
      <c r="PUK3" s="120"/>
      <c r="PUL3" s="120"/>
      <c r="PUM3" s="120"/>
      <c r="PUN3" s="120"/>
      <c r="PUO3" s="120"/>
      <c r="PUP3" s="120"/>
      <c r="PUQ3" s="120"/>
      <c r="PUR3" s="120"/>
      <c r="PUS3" s="120"/>
      <c r="PUT3" s="120"/>
      <c r="PUU3" s="120"/>
      <c r="PUV3" s="120"/>
      <c r="PUW3" s="120"/>
      <c r="PUX3" s="120"/>
      <c r="PUY3" s="120"/>
      <c r="PUZ3" s="120"/>
      <c r="PVA3" s="120"/>
      <c r="PVB3" s="120"/>
      <c r="PVC3" s="120"/>
      <c r="PVD3" s="120"/>
      <c r="PVE3" s="120"/>
      <c r="PVF3" s="120"/>
      <c r="PVG3" s="120"/>
      <c r="PVH3" s="120"/>
      <c r="PVI3" s="120"/>
      <c r="PVJ3" s="120"/>
      <c r="PVK3" s="120"/>
      <c r="PVL3" s="120"/>
      <c r="PVM3" s="120"/>
      <c r="PVN3" s="120"/>
      <c r="PVO3" s="120"/>
      <c r="PVP3" s="120"/>
      <c r="PVQ3" s="120"/>
      <c r="PVR3" s="120"/>
      <c r="PVS3" s="120"/>
      <c r="PVT3" s="120"/>
      <c r="PVU3" s="120"/>
      <c r="PVV3" s="120"/>
      <c r="PVW3" s="120"/>
      <c r="PVX3" s="120"/>
      <c r="PVY3" s="120"/>
      <c r="PVZ3" s="120"/>
      <c r="PWA3" s="120"/>
      <c r="PWB3" s="120"/>
      <c r="PWC3" s="120"/>
      <c r="PWD3" s="120"/>
      <c r="PWE3" s="120"/>
      <c r="PWF3" s="120"/>
      <c r="PWG3" s="120"/>
      <c r="PWH3" s="120"/>
      <c r="PWI3" s="120"/>
      <c r="PWJ3" s="120"/>
      <c r="PWK3" s="120"/>
      <c r="PWL3" s="120"/>
      <c r="PWM3" s="120"/>
      <c r="PWN3" s="120"/>
      <c r="PWO3" s="120"/>
      <c r="PWP3" s="120"/>
      <c r="PWQ3" s="120"/>
      <c r="PWR3" s="120"/>
      <c r="PWS3" s="120"/>
      <c r="PWT3" s="120"/>
      <c r="PWU3" s="120"/>
      <c r="PWV3" s="120"/>
      <c r="PWW3" s="120"/>
      <c r="PWX3" s="120"/>
      <c r="PWY3" s="120"/>
      <c r="PWZ3" s="120"/>
      <c r="PXA3" s="120"/>
      <c r="PXB3" s="120"/>
      <c r="PXC3" s="120"/>
      <c r="PXD3" s="120"/>
      <c r="PXE3" s="120"/>
      <c r="PXF3" s="120"/>
      <c r="PXG3" s="120"/>
      <c r="PXH3" s="120"/>
      <c r="PXI3" s="120"/>
      <c r="PXJ3" s="120"/>
      <c r="PXK3" s="120"/>
      <c r="PXL3" s="120"/>
      <c r="PXM3" s="120"/>
      <c r="PXN3" s="120"/>
      <c r="PXO3" s="120"/>
      <c r="PXP3" s="120"/>
      <c r="PXQ3" s="120"/>
      <c r="PXR3" s="120"/>
      <c r="PXS3" s="120"/>
      <c r="PXT3" s="120"/>
      <c r="PXU3" s="120"/>
      <c r="PXV3" s="120"/>
      <c r="PXW3" s="120"/>
      <c r="PXX3" s="120"/>
      <c r="PXY3" s="120"/>
      <c r="PXZ3" s="120"/>
      <c r="PYA3" s="120"/>
      <c r="PYB3" s="120"/>
      <c r="PYC3" s="120"/>
      <c r="PYD3" s="120"/>
      <c r="PYE3" s="120"/>
      <c r="PYF3" s="120"/>
      <c r="PYG3" s="120"/>
      <c r="PYH3" s="120"/>
      <c r="PYI3" s="120"/>
      <c r="PYJ3" s="120"/>
      <c r="PYK3" s="120"/>
      <c r="PYL3" s="120"/>
      <c r="PYM3" s="120"/>
      <c r="PYN3" s="120"/>
      <c r="PYO3" s="120"/>
      <c r="PYP3" s="120"/>
      <c r="PYQ3" s="120"/>
      <c r="PYR3" s="120"/>
      <c r="PYS3" s="120"/>
      <c r="PYT3" s="120"/>
      <c r="PYU3" s="120"/>
      <c r="PYV3" s="120"/>
      <c r="PYW3" s="120"/>
      <c r="PYX3" s="120"/>
      <c r="PYY3" s="120"/>
      <c r="PYZ3" s="120"/>
      <c r="PZA3" s="120"/>
      <c r="PZB3" s="120"/>
      <c r="PZC3" s="120"/>
      <c r="PZD3" s="120"/>
      <c r="PZE3" s="120"/>
      <c r="PZF3" s="120"/>
      <c r="PZG3" s="120"/>
      <c r="PZH3" s="120"/>
      <c r="PZI3" s="120"/>
      <c r="PZJ3" s="120"/>
      <c r="PZK3" s="120"/>
      <c r="PZL3" s="120"/>
      <c r="PZM3" s="120"/>
      <c r="PZN3" s="120"/>
      <c r="PZO3" s="120"/>
      <c r="PZP3" s="120"/>
      <c r="PZQ3" s="120"/>
      <c r="PZR3" s="120"/>
      <c r="PZS3" s="120"/>
      <c r="PZT3" s="120"/>
      <c r="PZU3" s="120"/>
      <c r="PZV3" s="120"/>
      <c r="PZW3" s="120"/>
      <c r="PZX3" s="120"/>
      <c r="PZY3" s="120"/>
      <c r="PZZ3" s="120"/>
      <c r="QAA3" s="120"/>
      <c r="QAB3" s="120"/>
      <c r="QAC3" s="120"/>
      <c r="QAD3" s="120"/>
      <c r="QAE3" s="120"/>
      <c r="QAF3" s="120"/>
      <c r="QAG3" s="120"/>
      <c r="QAH3" s="120"/>
      <c r="QAI3" s="120"/>
      <c r="QAJ3" s="120"/>
      <c r="QAK3" s="120"/>
      <c r="QAL3" s="120"/>
      <c r="QAM3" s="120"/>
      <c r="QAN3" s="120"/>
      <c r="QAO3" s="120"/>
      <c r="QAP3" s="120"/>
      <c r="QAQ3" s="120"/>
      <c r="QAR3" s="120"/>
      <c r="QAS3" s="120"/>
      <c r="QAT3" s="120"/>
      <c r="QAU3" s="120"/>
      <c r="QAV3" s="120"/>
      <c r="QAW3" s="120"/>
      <c r="QAX3" s="120"/>
      <c r="QAY3" s="120"/>
      <c r="QAZ3" s="120"/>
      <c r="QBA3" s="120"/>
      <c r="QBB3" s="120"/>
      <c r="QBC3" s="120"/>
      <c r="QBD3" s="120"/>
      <c r="QBE3" s="120"/>
      <c r="QBF3" s="120"/>
      <c r="QBG3" s="120"/>
      <c r="QBH3" s="120"/>
      <c r="QBI3" s="120"/>
      <c r="QBJ3" s="120"/>
      <c r="QBK3" s="120"/>
      <c r="QBL3" s="120"/>
      <c r="QBM3" s="120"/>
      <c r="QBN3" s="120"/>
      <c r="QBO3" s="120"/>
      <c r="QBP3" s="120"/>
      <c r="QBQ3" s="120"/>
      <c r="QBR3" s="120"/>
      <c r="QBS3" s="120"/>
      <c r="QBT3" s="120"/>
      <c r="QBU3" s="120"/>
      <c r="QBV3" s="120"/>
      <c r="QBW3" s="120"/>
      <c r="QBX3" s="120"/>
      <c r="QBY3" s="120"/>
      <c r="QBZ3" s="120"/>
      <c r="QCA3" s="120"/>
      <c r="QCB3" s="120"/>
      <c r="QCC3" s="120"/>
      <c r="QCD3" s="120"/>
      <c r="QCE3" s="120"/>
      <c r="QCF3" s="120"/>
      <c r="QCG3" s="120"/>
      <c r="QCH3" s="120"/>
      <c r="QCI3" s="120"/>
      <c r="QCJ3" s="120"/>
      <c r="QCK3" s="120"/>
      <c r="QCL3" s="120"/>
      <c r="QCM3" s="120"/>
      <c r="QCN3" s="120"/>
      <c r="QCO3" s="120"/>
      <c r="QCP3" s="120"/>
      <c r="QCQ3" s="120"/>
      <c r="QCR3" s="120"/>
      <c r="QCS3" s="120"/>
      <c r="QCT3" s="120"/>
      <c r="QCU3" s="120"/>
      <c r="QCV3" s="120"/>
      <c r="QCW3" s="120"/>
      <c r="QCX3" s="120"/>
      <c r="QCY3" s="120"/>
      <c r="QCZ3" s="120"/>
      <c r="QDA3" s="120"/>
      <c r="QDB3" s="120"/>
      <c r="QDC3" s="120"/>
      <c r="QDD3" s="120"/>
      <c r="QDE3" s="120"/>
      <c r="QDF3" s="120"/>
      <c r="QDG3" s="120"/>
      <c r="QDH3" s="120"/>
      <c r="QDI3" s="120"/>
      <c r="QDJ3" s="120"/>
      <c r="QDK3" s="120"/>
      <c r="QDL3" s="120"/>
      <c r="QDM3" s="120"/>
      <c r="QDN3" s="120"/>
      <c r="QDO3" s="120"/>
      <c r="QDP3" s="120"/>
      <c r="QDQ3" s="120"/>
      <c r="QDR3" s="120"/>
      <c r="QDS3" s="120"/>
      <c r="QDT3" s="120"/>
      <c r="QDU3" s="120"/>
      <c r="QDV3" s="120"/>
      <c r="QDW3" s="120"/>
      <c r="QDX3" s="120"/>
      <c r="QDY3" s="120"/>
      <c r="QDZ3" s="120"/>
      <c r="QEA3" s="120"/>
      <c r="QEB3" s="120"/>
      <c r="QEC3" s="120"/>
      <c r="QED3" s="120"/>
      <c r="QEE3" s="120"/>
      <c r="QEF3" s="120"/>
      <c r="QEG3" s="120"/>
      <c r="QEH3" s="120"/>
      <c r="QEI3" s="120"/>
      <c r="QEJ3" s="120"/>
      <c r="QEK3" s="120"/>
      <c r="QEL3" s="120"/>
      <c r="QEM3" s="120"/>
      <c r="QEN3" s="120"/>
      <c r="QEO3" s="120"/>
      <c r="QEP3" s="120"/>
      <c r="QEQ3" s="120"/>
      <c r="QER3" s="120"/>
      <c r="QES3" s="120"/>
      <c r="QET3" s="120"/>
      <c r="QEU3" s="120"/>
      <c r="QEV3" s="120"/>
      <c r="QEW3" s="120"/>
      <c r="QEX3" s="120"/>
      <c r="QEY3" s="120"/>
      <c r="QEZ3" s="120"/>
      <c r="QFA3" s="120"/>
      <c r="QFB3" s="120"/>
      <c r="QFC3" s="120"/>
      <c r="QFD3" s="120"/>
      <c r="QFE3" s="120"/>
      <c r="QFF3" s="120"/>
      <c r="QFG3" s="120"/>
      <c r="QFH3" s="120"/>
      <c r="QFI3" s="120"/>
      <c r="QFJ3" s="120"/>
      <c r="QFK3" s="120"/>
      <c r="QFL3" s="120"/>
      <c r="QFM3" s="120"/>
      <c r="QFN3" s="120"/>
      <c r="QFO3" s="120"/>
      <c r="QFP3" s="120"/>
      <c r="QFQ3" s="120"/>
      <c r="QFR3" s="120"/>
      <c r="QFS3" s="120"/>
      <c r="QFT3" s="120"/>
      <c r="QFU3" s="120"/>
      <c r="QFV3" s="120"/>
      <c r="QFW3" s="120"/>
      <c r="QFX3" s="120"/>
      <c r="QFY3" s="120"/>
      <c r="QFZ3" s="120"/>
      <c r="QGA3" s="120"/>
      <c r="QGB3" s="120"/>
      <c r="QGC3" s="120"/>
      <c r="QGD3" s="120"/>
      <c r="QGE3" s="120"/>
      <c r="QGF3" s="120"/>
      <c r="QGG3" s="120"/>
      <c r="QGH3" s="120"/>
      <c r="QGI3" s="120"/>
      <c r="QGJ3" s="120"/>
      <c r="QGK3" s="120"/>
      <c r="QGL3" s="120"/>
      <c r="QGM3" s="120"/>
      <c r="QGN3" s="120"/>
      <c r="QGO3" s="120"/>
      <c r="QGP3" s="120"/>
      <c r="QGQ3" s="120"/>
      <c r="QGR3" s="120"/>
      <c r="QGS3" s="120"/>
      <c r="QGT3" s="120"/>
      <c r="QGU3" s="120"/>
      <c r="QGV3" s="120"/>
      <c r="QGW3" s="120"/>
      <c r="QGX3" s="120"/>
      <c r="QGY3" s="120"/>
      <c r="QGZ3" s="120"/>
      <c r="QHA3" s="120"/>
      <c r="QHB3" s="120"/>
      <c r="QHC3" s="120"/>
      <c r="QHD3" s="120"/>
      <c r="QHE3" s="120"/>
      <c r="QHF3" s="120"/>
      <c r="QHG3" s="120"/>
      <c r="QHH3" s="120"/>
      <c r="QHI3" s="120"/>
      <c r="QHJ3" s="120"/>
      <c r="QHK3" s="120"/>
      <c r="QHL3" s="120"/>
      <c r="QHM3" s="120"/>
      <c r="QHN3" s="120"/>
      <c r="QHO3" s="120"/>
      <c r="QHP3" s="120"/>
      <c r="QHQ3" s="120"/>
      <c r="QHR3" s="120"/>
      <c r="QHS3" s="120"/>
      <c r="QHT3" s="120"/>
      <c r="QHU3" s="120"/>
      <c r="QHV3" s="120"/>
      <c r="QHW3" s="120"/>
      <c r="QHX3" s="120"/>
      <c r="QHY3" s="120"/>
      <c r="QHZ3" s="120"/>
      <c r="QIA3" s="120"/>
      <c r="QIB3" s="120"/>
      <c r="QIC3" s="120"/>
      <c r="QID3" s="120"/>
      <c r="QIE3" s="120"/>
      <c r="QIF3" s="120"/>
      <c r="QIG3" s="120"/>
      <c r="QIH3" s="120"/>
      <c r="QII3" s="120"/>
      <c r="QIJ3" s="120"/>
      <c r="QIK3" s="120"/>
      <c r="QIL3" s="120"/>
      <c r="QIM3" s="120"/>
      <c r="QIN3" s="120"/>
      <c r="QIO3" s="120"/>
      <c r="QIP3" s="120"/>
      <c r="QIQ3" s="120"/>
      <c r="QIR3" s="120"/>
      <c r="QIS3" s="120"/>
      <c r="QIT3" s="120"/>
      <c r="QIU3" s="120"/>
      <c r="QIV3" s="120"/>
      <c r="QIW3" s="120"/>
      <c r="QIX3" s="120"/>
      <c r="QIY3" s="120"/>
      <c r="QIZ3" s="120"/>
      <c r="QJA3" s="120"/>
      <c r="QJB3" s="120"/>
      <c r="QJC3" s="120"/>
      <c r="QJD3" s="120"/>
      <c r="QJE3" s="120"/>
      <c r="QJF3" s="120"/>
      <c r="QJG3" s="120"/>
      <c r="QJH3" s="120"/>
      <c r="QJI3" s="120"/>
      <c r="QJJ3" s="120"/>
      <c r="QJK3" s="120"/>
      <c r="QJL3" s="120"/>
      <c r="QJM3" s="120"/>
      <c r="QJN3" s="120"/>
      <c r="QJO3" s="120"/>
      <c r="QJP3" s="120"/>
      <c r="QJQ3" s="120"/>
      <c r="QJR3" s="120"/>
      <c r="QJS3" s="120"/>
      <c r="QJT3" s="120"/>
      <c r="QJU3" s="120"/>
      <c r="QJV3" s="120"/>
      <c r="QJW3" s="120"/>
      <c r="QJX3" s="120"/>
      <c r="QJY3" s="120"/>
      <c r="QJZ3" s="120"/>
      <c r="QKA3" s="120"/>
      <c r="QKB3" s="120"/>
      <c r="QKC3" s="120"/>
      <c r="QKD3" s="120"/>
      <c r="QKE3" s="120"/>
      <c r="QKF3" s="120"/>
      <c r="QKG3" s="120"/>
      <c r="QKH3" s="120"/>
      <c r="QKI3" s="120"/>
      <c r="QKJ3" s="120"/>
      <c r="QKK3" s="120"/>
      <c r="QKL3" s="120"/>
      <c r="QKM3" s="120"/>
      <c r="QKN3" s="120"/>
      <c r="QKO3" s="120"/>
      <c r="QKP3" s="120"/>
      <c r="QKQ3" s="120"/>
      <c r="QKR3" s="120"/>
      <c r="QKS3" s="120"/>
      <c r="QKT3" s="120"/>
      <c r="QKU3" s="120"/>
      <c r="QKV3" s="120"/>
      <c r="QKW3" s="120"/>
      <c r="QKX3" s="120"/>
      <c r="QKY3" s="120"/>
      <c r="QKZ3" s="120"/>
      <c r="QLA3" s="120"/>
      <c r="QLB3" s="120"/>
      <c r="QLC3" s="120"/>
      <c r="QLD3" s="120"/>
      <c r="QLE3" s="120"/>
      <c r="QLF3" s="120"/>
      <c r="QLG3" s="120"/>
      <c r="QLH3" s="120"/>
      <c r="QLI3" s="120"/>
      <c r="QLJ3" s="120"/>
      <c r="QLK3" s="120"/>
      <c r="QLL3" s="120"/>
      <c r="QLM3" s="120"/>
      <c r="QLN3" s="120"/>
      <c r="QLO3" s="120"/>
      <c r="QLP3" s="120"/>
      <c r="QLQ3" s="120"/>
      <c r="QLR3" s="120"/>
      <c r="QLS3" s="120"/>
      <c r="QLT3" s="120"/>
      <c r="QLU3" s="120"/>
      <c r="QLV3" s="120"/>
      <c r="QLW3" s="120"/>
      <c r="QLX3" s="120"/>
      <c r="QLY3" s="120"/>
      <c r="QLZ3" s="120"/>
      <c r="QMA3" s="120"/>
      <c r="QMB3" s="120"/>
      <c r="QMC3" s="120"/>
      <c r="QMD3" s="120"/>
      <c r="QME3" s="120"/>
      <c r="QMF3" s="120"/>
      <c r="QMG3" s="120"/>
      <c r="QMH3" s="120"/>
      <c r="QMI3" s="120"/>
      <c r="QMJ3" s="120"/>
      <c r="QMK3" s="120"/>
      <c r="QML3" s="120"/>
      <c r="QMM3" s="120"/>
      <c r="QMN3" s="120"/>
      <c r="QMO3" s="120"/>
      <c r="QMP3" s="120"/>
      <c r="QMQ3" s="120"/>
      <c r="QMR3" s="120"/>
      <c r="QMS3" s="120"/>
      <c r="QMT3" s="120"/>
      <c r="QMU3" s="120"/>
      <c r="QMV3" s="120"/>
      <c r="QMW3" s="120"/>
      <c r="QMX3" s="120"/>
      <c r="QMY3" s="120"/>
      <c r="QMZ3" s="120"/>
      <c r="QNA3" s="120"/>
      <c r="QNB3" s="120"/>
      <c r="QNC3" s="120"/>
      <c r="QND3" s="120"/>
      <c r="QNE3" s="120"/>
      <c r="QNF3" s="120"/>
      <c r="QNG3" s="120"/>
      <c r="QNH3" s="120"/>
      <c r="QNI3" s="120"/>
      <c r="QNJ3" s="120"/>
      <c r="QNK3" s="120"/>
      <c r="QNL3" s="120"/>
      <c r="QNM3" s="120"/>
      <c r="QNN3" s="120"/>
      <c r="QNO3" s="120"/>
      <c r="QNP3" s="120"/>
      <c r="QNQ3" s="120"/>
      <c r="QNR3" s="120"/>
      <c r="QNS3" s="120"/>
      <c r="QNT3" s="120"/>
      <c r="QNU3" s="120"/>
      <c r="QNV3" s="120"/>
      <c r="QNW3" s="120"/>
      <c r="QNX3" s="120"/>
      <c r="QNY3" s="120"/>
      <c r="QNZ3" s="120"/>
      <c r="QOA3" s="120"/>
      <c r="QOB3" s="120"/>
      <c r="QOC3" s="120"/>
      <c r="QOD3" s="120"/>
      <c r="QOE3" s="120"/>
      <c r="QOF3" s="120"/>
      <c r="QOG3" s="120"/>
      <c r="QOH3" s="120"/>
      <c r="QOI3" s="120"/>
      <c r="QOJ3" s="120"/>
      <c r="QOK3" s="120"/>
      <c r="QOL3" s="120"/>
      <c r="QOM3" s="120"/>
      <c r="QON3" s="120"/>
      <c r="QOO3" s="120"/>
      <c r="QOP3" s="120"/>
      <c r="QOQ3" s="120"/>
      <c r="QOR3" s="120"/>
      <c r="QOS3" s="120"/>
      <c r="QOT3" s="120"/>
      <c r="QOU3" s="120"/>
      <c r="QOV3" s="120"/>
      <c r="QOW3" s="120"/>
      <c r="QOX3" s="120"/>
      <c r="QOY3" s="120"/>
      <c r="QOZ3" s="120"/>
      <c r="QPA3" s="120"/>
      <c r="QPB3" s="120"/>
      <c r="QPC3" s="120"/>
      <c r="QPD3" s="120"/>
      <c r="QPE3" s="120"/>
      <c r="QPF3" s="120"/>
      <c r="QPG3" s="120"/>
      <c r="QPH3" s="120"/>
      <c r="QPI3" s="120"/>
      <c r="QPJ3" s="120"/>
      <c r="QPK3" s="120"/>
      <c r="QPL3" s="120"/>
      <c r="QPM3" s="120"/>
      <c r="QPN3" s="120"/>
      <c r="QPO3" s="120"/>
      <c r="QPP3" s="120"/>
      <c r="QPQ3" s="120"/>
      <c r="QPR3" s="120"/>
      <c r="QPS3" s="120"/>
      <c r="QPT3" s="120"/>
      <c r="QPU3" s="120"/>
      <c r="QPV3" s="120"/>
      <c r="QPW3" s="120"/>
      <c r="QPX3" s="120"/>
      <c r="QPY3" s="120"/>
      <c r="QPZ3" s="120"/>
      <c r="QQA3" s="120"/>
      <c r="QQB3" s="120"/>
      <c r="QQC3" s="120"/>
      <c r="QQD3" s="120"/>
      <c r="QQE3" s="120"/>
      <c r="QQF3" s="120"/>
      <c r="QQG3" s="120"/>
      <c r="QQH3" s="120"/>
      <c r="QQI3" s="120"/>
      <c r="QQJ3" s="120"/>
      <c r="QQK3" s="120"/>
      <c r="QQL3" s="120"/>
      <c r="QQM3" s="120"/>
      <c r="QQN3" s="120"/>
      <c r="QQO3" s="120"/>
      <c r="QQP3" s="120"/>
      <c r="QQQ3" s="120"/>
      <c r="QQR3" s="120"/>
      <c r="QQS3" s="120"/>
      <c r="QQT3" s="120"/>
      <c r="QQU3" s="120"/>
      <c r="QQV3" s="120"/>
      <c r="QQW3" s="120"/>
      <c r="QQX3" s="120"/>
      <c r="QQY3" s="120"/>
      <c r="QQZ3" s="120"/>
      <c r="QRA3" s="120"/>
      <c r="QRB3" s="120"/>
      <c r="QRC3" s="120"/>
      <c r="QRD3" s="120"/>
      <c r="QRE3" s="120"/>
      <c r="QRF3" s="120"/>
      <c r="QRG3" s="120"/>
      <c r="QRH3" s="120"/>
      <c r="QRI3" s="120"/>
      <c r="QRJ3" s="120"/>
      <c r="QRK3" s="120"/>
      <c r="QRL3" s="120"/>
      <c r="QRM3" s="120"/>
      <c r="QRN3" s="120"/>
      <c r="QRO3" s="120"/>
      <c r="QRP3" s="120"/>
      <c r="QRQ3" s="120"/>
      <c r="QRR3" s="120"/>
      <c r="QRS3" s="120"/>
      <c r="QRT3" s="120"/>
      <c r="QRU3" s="120"/>
      <c r="QRV3" s="120"/>
      <c r="QRW3" s="120"/>
      <c r="QRX3" s="120"/>
      <c r="QRY3" s="120"/>
      <c r="QRZ3" s="120"/>
      <c r="QSA3" s="120"/>
      <c r="QSB3" s="120"/>
      <c r="QSC3" s="120"/>
      <c r="QSD3" s="120"/>
      <c r="QSE3" s="120"/>
      <c r="QSF3" s="120"/>
      <c r="QSG3" s="120"/>
      <c r="QSH3" s="120"/>
      <c r="QSI3" s="120"/>
      <c r="QSJ3" s="120"/>
      <c r="QSK3" s="120"/>
      <c r="QSL3" s="120"/>
      <c r="QSM3" s="120"/>
      <c r="QSN3" s="120"/>
      <c r="QSO3" s="120"/>
      <c r="QSP3" s="120"/>
      <c r="QSQ3" s="120"/>
      <c r="QSR3" s="120"/>
      <c r="QSS3" s="120"/>
      <c r="QST3" s="120"/>
      <c r="QSU3" s="120"/>
      <c r="QSV3" s="120"/>
      <c r="QSW3" s="120"/>
      <c r="QSX3" s="120"/>
      <c r="QSY3" s="120"/>
      <c r="QSZ3" s="120"/>
      <c r="QTA3" s="120"/>
      <c r="QTB3" s="120"/>
      <c r="QTC3" s="120"/>
      <c r="QTD3" s="120"/>
      <c r="QTE3" s="120"/>
      <c r="QTF3" s="120"/>
      <c r="QTG3" s="120"/>
      <c r="QTH3" s="120"/>
      <c r="QTI3" s="120"/>
      <c r="QTJ3" s="120"/>
      <c r="QTK3" s="120"/>
      <c r="QTL3" s="120"/>
      <c r="QTM3" s="120"/>
      <c r="QTN3" s="120"/>
      <c r="QTO3" s="120"/>
      <c r="QTP3" s="120"/>
      <c r="QTQ3" s="120"/>
      <c r="QTR3" s="120"/>
      <c r="QTS3" s="120"/>
      <c r="QTT3" s="120"/>
      <c r="QTU3" s="120"/>
      <c r="QTV3" s="120"/>
      <c r="QTW3" s="120"/>
      <c r="QTX3" s="120"/>
      <c r="QTY3" s="120"/>
      <c r="QTZ3" s="120"/>
      <c r="QUA3" s="120"/>
      <c r="QUB3" s="120"/>
      <c r="QUC3" s="120"/>
      <c r="QUD3" s="120"/>
      <c r="QUE3" s="120"/>
      <c r="QUF3" s="120"/>
      <c r="QUG3" s="120"/>
      <c r="QUH3" s="120"/>
      <c r="QUI3" s="120"/>
      <c r="QUJ3" s="120"/>
      <c r="QUK3" s="120"/>
      <c r="QUL3" s="120"/>
      <c r="QUM3" s="120"/>
      <c r="QUN3" s="120"/>
      <c r="QUO3" s="120"/>
      <c r="QUP3" s="120"/>
      <c r="QUQ3" s="120"/>
      <c r="QUR3" s="120"/>
      <c r="QUS3" s="120"/>
      <c r="QUT3" s="120"/>
      <c r="QUU3" s="120"/>
      <c r="QUV3" s="120"/>
      <c r="QUW3" s="120"/>
      <c r="QUX3" s="120"/>
      <c r="QUY3" s="120"/>
      <c r="QUZ3" s="120"/>
      <c r="QVA3" s="120"/>
      <c r="QVB3" s="120"/>
      <c r="QVC3" s="120"/>
      <c r="QVD3" s="120"/>
      <c r="QVE3" s="120"/>
      <c r="QVF3" s="120"/>
      <c r="QVG3" s="120"/>
      <c r="QVH3" s="120"/>
      <c r="QVI3" s="120"/>
      <c r="QVJ3" s="120"/>
      <c r="QVK3" s="120"/>
      <c r="QVL3" s="120"/>
      <c r="QVM3" s="120"/>
      <c r="QVN3" s="120"/>
      <c r="QVO3" s="120"/>
      <c r="QVP3" s="120"/>
      <c r="QVQ3" s="120"/>
      <c r="QVR3" s="120"/>
      <c r="QVS3" s="120"/>
      <c r="QVT3" s="120"/>
      <c r="QVU3" s="120"/>
      <c r="QVV3" s="120"/>
      <c r="QVW3" s="120"/>
      <c r="QVX3" s="120"/>
      <c r="QVY3" s="120"/>
      <c r="QVZ3" s="120"/>
      <c r="QWA3" s="120"/>
      <c r="QWB3" s="120"/>
      <c r="QWC3" s="120"/>
      <c r="QWD3" s="120"/>
      <c r="QWE3" s="120"/>
      <c r="QWF3" s="120"/>
      <c r="QWG3" s="120"/>
      <c r="QWH3" s="120"/>
      <c r="QWI3" s="120"/>
      <c r="QWJ3" s="120"/>
      <c r="QWK3" s="120"/>
      <c r="QWL3" s="120"/>
      <c r="QWM3" s="120"/>
      <c r="QWN3" s="120"/>
      <c r="QWO3" s="120"/>
      <c r="QWP3" s="120"/>
      <c r="QWQ3" s="120"/>
      <c r="QWR3" s="120"/>
      <c r="QWS3" s="120"/>
      <c r="QWT3" s="120"/>
      <c r="QWU3" s="120"/>
      <c r="QWV3" s="120"/>
      <c r="QWW3" s="120"/>
      <c r="QWX3" s="120"/>
      <c r="QWY3" s="120"/>
      <c r="QWZ3" s="120"/>
      <c r="QXA3" s="120"/>
      <c r="QXB3" s="120"/>
      <c r="QXC3" s="120"/>
      <c r="QXD3" s="120"/>
      <c r="QXE3" s="120"/>
      <c r="QXF3" s="120"/>
      <c r="QXG3" s="120"/>
      <c r="QXH3" s="120"/>
      <c r="QXI3" s="120"/>
      <c r="QXJ3" s="120"/>
      <c r="QXK3" s="120"/>
      <c r="QXL3" s="120"/>
      <c r="QXM3" s="120"/>
      <c r="QXN3" s="120"/>
      <c r="QXO3" s="120"/>
      <c r="QXP3" s="120"/>
      <c r="QXQ3" s="120"/>
      <c r="QXR3" s="120"/>
      <c r="QXS3" s="120"/>
      <c r="QXT3" s="120"/>
      <c r="QXU3" s="120"/>
      <c r="QXV3" s="120"/>
      <c r="QXW3" s="120"/>
      <c r="QXX3" s="120"/>
      <c r="QXY3" s="120"/>
      <c r="QXZ3" s="120"/>
      <c r="QYA3" s="120"/>
      <c r="QYB3" s="120"/>
      <c r="QYC3" s="120"/>
      <c r="QYD3" s="120"/>
      <c r="QYE3" s="120"/>
      <c r="QYF3" s="120"/>
      <c r="QYG3" s="120"/>
      <c r="QYH3" s="120"/>
      <c r="QYI3" s="120"/>
      <c r="QYJ3" s="120"/>
      <c r="QYK3" s="120"/>
      <c r="QYL3" s="120"/>
      <c r="QYM3" s="120"/>
      <c r="QYN3" s="120"/>
      <c r="QYO3" s="120"/>
      <c r="QYP3" s="120"/>
      <c r="QYQ3" s="120"/>
      <c r="QYR3" s="120"/>
      <c r="QYS3" s="120"/>
      <c r="QYT3" s="120"/>
      <c r="QYU3" s="120"/>
      <c r="QYV3" s="120"/>
      <c r="QYW3" s="120"/>
      <c r="QYX3" s="120"/>
      <c r="QYY3" s="120"/>
      <c r="QYZ3" s="120"/>
      <c r="QZA3" s="120"/>
      <c r="QZB3" s="120"/>
      <c r="QZC3" s="120"/>
      <c r="QZD3" s="120"/>
      <c r="QZE3" s="120"/>
      <c r="QZF3" s="120"/>
      <c r="QZG3" s="120"/>
      <c r="QZH3" s="120"/>
      <c r="QZI3" s="120"/>
      <c r="QZJ3" s="120"/>
      <c r="QZK3" s="120"/>
      <c r="QZL3" s="120"/>
      <c r="QZM3" s="120"/>
      <c r="QZN3" s="120"/>
      <c r="QZO3" s="120"/>
      <c r="QZP3" s="120"/>
      <c r="QZQ3" s="120"/>
      <c r="QZR3" s="120"/>
      <c r="QZS3" s="120"/>
      <c r="QZT3" s="120"/>
      <c r="QZU3" s="120"/>
      <c r="QZV3" s="120"/>
      <c r="QZW3" s="120"/>
      <c r="QZX3" s="120"/>
      <c r="QZY3" s="120"/>
      <c r="QZZ3" s="120"/>
      <c r="RAA3" s="120"/>
      <c r="RAB3" s="120"/>
      <c r="RAC3" s="120"/>
      <c r="RAD3" s="120"/>
      <c r="RAE3" s="120"/>
      <c r="RAF3" s="120"/>
      <c r="RAG3" s="120"/>
      <c r="RAH3" s="120"/>
      <c r="RAI3" s="120"/>
      <c r="RAJ3" s="120"/>
      <c r="RAK3" s="120"/>
      <c r="RAL3" s="120"/>
      <c r="RAM3" s="120"/>
      <c r="RAN3" s="120"/>
      <c r="RAO3" s="120"/>
      <c r="RAP3" s="120"/>
      <c r="RAQ3" s="120"/>
      <c r="RAR3" s="120"/>
      <c r="RAS3" s="120"/>
      <c r="RAT3" s="120"/>
      <c r="RAU3" s="120"/>
      <c r="RAV3" s="120"/>
      <c r="RAW3" s="120"/>
      <c r="RAX3" s="120"/>
      <c r="RAY3" s="120"/>
      <c r="RAZ3" s="120"/>
      <c r="RBA3" s="120"/>
      <c r="RBB3" s="120"/>
      <c r="RBC3" s="120"/>
      <c r="RBD3" s="120"/>
      <c r="RBE3" s="120"/>
      <c r="RBF3" s="120"/>
      <c r="RBG3" s="120"/>
      <c r="RBH3" s="120"/>
      <c r="RBI3" s="120"/>
      <c r="RBJ3" s="120"/>
      <c r="RBK3" s="120"/>
      <c r="RBL3" s="120"/>
      <c r="RBM3" s="120"/>
      <c r="RBN3" s="120"/>
      <c r="RBO3" s="120"/>
      <c r="RBP3" s="120"/>
      <c r="RBQ3" s="120"/>
      <c r="RBR3" s="120"/>
      <c r="RBS3" s="120"/>
      <c r="RBT3" s="120"/>
      <c r="RBU3" s="120"/>
      <c r="RBV3" s="120"/>
      <c r="RBW3" s="120"/>
      <c r="RBX3" s="120"/>
      <c r="RBY3" s="120"/>
      <c r="RBZ3" s="120"/>
      <c r="RCA3" s="120"/>
      <c r="RCB3" s="120"/>
      <c r="RCC3" s="120"/>
      <c r="RCD3" s="120"/>
      <c r="RCE3" s="120"/>
      <c r="RCF3" s="120"/>
      <c r="RCG3" s="120"/>
      <c r="RCH3" s="120"/>
      <c r="RCI3" s="120"/>
      <c r="RCJ3" s="120"/>
      <c r="RCK3" s="120"/>
      <c r="RCL3" s="120"/>
      <c r="RCM3" s="120"/>
      <c r="RCN3" s="120"/>
      <c r="RCO3" s="120"/>
      <c r="RCP3" s="120"/>
      <c r="RCQ3" s="120"/>
      <c r="RCR3" s="120"/>
      <c r="RCS3" s="120"/>
      <c r="RCT3" s="120"/>
      <c r="RCU3" s="120"/>
      <c r="RCV3" s="120"/>
      <c r="RCW3" s="120"/>
      <c r="RCX3" s="120"/>
      <c r="RCY3" s="120"/>
      <c r="RCZ3" s="120"/>
      <c r="RDA3" s="120"/>
      <c r="RDB3" s="120"/>
      <c r="RDC3" s="120"/>
      <c r="RDD3" s="120"/>
      <c r="RDE3" s="120"/>
      <c r="RDF3" s="120"/>
      <c r="RDG3" s="120"/>
      <c r="RDH3" s="120"/>
      <c r="RDI3" s="120"/>
      <c r="RDJ3" s="120"/>
      <c r="RDK3" s="120"/>
      <c r="RDL3" s="120"/>
      <c r="RDM3" s="120"/>
      <c r="RDN3" s="120"/>
      <c r="RDO3" s="120"/>
      <c r="RDP3" s="120"/>
      <c r="RDQ3" s="120"/>
      <c r="RDR3" s="120"/>
      <c r="RDS3" s="120"/>
      <c r="RDT3" s="120"/>
      <c r="RDU3" s="120"/>
      <c r="RDV3" s="120"/>
      <c r="RDW3" s="120"/>
      <c r="RDX3" s="120"/>
      <c r="RDY3" s="120"/>
      <c r="RDZ3" s="120"/>
      <c r="REA3" s="120"/>
      <c r="REB3" s="120"/>
      <c r="REC3" s="120"/>
      <c r="RED3" s="120"/>
      <c r="REE3" s="120"/>
      <c r="REF3" s="120"/>
      <c r="REG3" s="120"/>
      <c r="REH3" s="120"/>
      <c r="REI3" s="120"/>
      <c r="REJ3" s="120"/>
      <c r="REK3" s="120"/>
      <c r="REL3" s="120"/>
      <c r="REM3" s="120"/>
      <c r="REN3" s="120"/>
      <c r="REO3" s="120"/>
      <c r="REP3" s="120"/>
      <c r="REQ3" s="120"/>
      <c r="RER3" s="120"/>
      <c r="RES3" s="120"/>
      <c r="RET3" s="120"/>
      <c r="REU3" s="120"/>
      <c r="REV3" s="120"/>
      <c r="REW3" s="120"/>
      <c r="REX3" s="120"/>
      <c r="REY3" s="120"/>
      <c r="REZ3" s="120"/>
      <c r="RFA3" s="120"/>
      <c r="RFB3" s="120"/>
      <c r="RFC3" s="120"/>
      <c r="RFD3" s="120"/>
      <c r="RFE3" s="120"/>
      <c r="RFF3" s="120"/>
      <c r="RFG3" s="120"/>
      <c r="RFH3" s="120"/>
      <c r="RFI3" s="120"/>
      <c r="RFJ3" s="120"/>
      <c r="RFK3" s="120"/>
      <c r="RFL3" s="120"/>
      <c r="RFM3" s="120"/>
      <c r="RFN3" s="120"/>
      <c r="RFO3" s="120"/>
      <c r="RFP3" s="120"/>
      <c r="RFQ3" s="120"/>
      <c r="RFR3" s="120"/>
      <c r="RFS3" s="120"/>
      <c r="RFT3" s="120"/>
      <c r="RFU3" s="120"/>
      <c r="RFV3" s="120"/>
      <c r="RFW3" s="120"/>
      <c r="RFX3" s="120"/>
      <c r="RFY3" s="120"/>
      <c r="RFZ3" s="120"/>
      <c r="RGA3" s="120"/>
      <c r="RGB3" s="120"/>
      <c r="RGC3" s="120"/>
      <c r="RGD3" s="120"/>
      <c r="RGE3" s="120"/>
      <c r="RGF3" s="120"/>
      <c r="RGG3" s="120"/>
      <c r="RGH3" s="120"/>
      <c r="RGI3" s="120"/>
      <c r="RGJ3" s="120"/>
      <c r="RGK3" s="120"/>
      <c r="RGL3" s="120"/>
      <c r="RGM3" s="120"/>
      <c r="RGN3" s="120"/>
      <c r="RGO3" s="120"/>
      <c r="RGP3" s="120"/>
      <c r="RGQ3" s="120"/>
      <c r="RGR3" s="120"/>
      <c r="RGS3" s="120"/>
      <c r="RGT3" s="120"/>
      <c r="RGU3" s="120"/>
      <c r="RGV3" s="120"/>
      <c r="RGW3" s="120"/>
      <c r="RGX3" s="120"/>
      <c r="RGY3" s="120"/>
      <c r="RGZ3" s="120"/>
      <c r="RHA3" s="120"/>
      <c r="RHB3" s="120"/>
      <c r="RHC3" s="120"/>
      <c r="RHD3" s="120"/>
      <c r="RHE3" s="120"/>
      <c r="RHF3" s="120"/>
      <c r="RHG3" s="120"/>
      <c r="RHH3" s="120"/>
      <c r="RHI3" s="120"/>
      <c r="RHJ3" s="120"/>
      <c r="RHK3" s="120"/>
      <c r="RHL3" s="120"/>
      <c r="RHM3" s="120"/>
      <c r="RHN3" s="120"/>
      <c r="RHO3" s="120"/>
      <c r="RHP3" s="120"/>
      <c r="RHQ3" s="120"/>
      <c r="RHR3" s="120"/>
      <c r="RHS3" s="120"/>
      <c r="RHT3" s="120"/>
      <c r="RHU3" s="120"/>
      <c r="RHV3" s="120"/>
      <c r="RHW3" s="120"/>
      <c r="RHX3" s="120"/>
      <c r="RHY3" s="120"/>
      <c r="RHZ3" s="120"/>
      <c r="RIA3" s="120"/>
      <c r="RIB3" s="120"/>
      <c r="RIC3" s="120"/>
      <c r="RID3" s="120"/>
      <c r="RIE3" s="120"/>
      <c r="RIF3" s="120"/>
      <c r="RIG3" s="120"/>
      <c r="RIH3" s="120"/>
      <c r="RII3" s="120"/>
      <c r="RIJ3" s="120"/>
      <c r="RIK3" s="120"/>
      <c r="RIL3" s="120"/>
      <c r="RIM3" s="120"/>
      <c r="RIN3" s="120"/>
      <c r="RIO3" s="120"/>
      <c r="RIP3" s="120"/>
      <c r="RIQ3" s="120"/>
      <c r="RIR3" s="120"/>
      <c r="RIS3" s="120"/>
      <c r="RIT3" s="120"/>
      <c r="RIU3" s="120"/>
      <c r="RIV3" s="120"/>
      <c r="RIW3" s="120"/>
      <c r="RIX3" s="120"/>
      <c r="RIY3" s="120"/>
      <c r="RIZ3" s="120"/>
      <c r="RJA3" s="120"/>
      <c r="RJB3" s="120"/>
      <c r="RJC3" s="120"/>
      <c r="RJD3" s="120"/>
      <c r="RJE3" s="120"/>
      <c r="RJF3" s="120"/>
      <c r="RJG3" s="120"/>
      <c r="RJH3" s="120"/>
      <c r="RJI3" s="120"/>
      <c r="RJJ3" s="120"/>
      <c r="RJK3" s="120"/>
      <c r="RJL3" s="120"/>
      <c r="RJM3" s="120"/>
      <c r="RJN3" s="120"/>
      <c r="RJO3" s="120"/>
      <c r="RJP3" s="120"/>
      <c r="RJQ3" s="120"/>
      <c r="RJR3" s="120"/>
      <c r="RJS3" s="120"/>
      <c r="RJT3" s="120"/>
      <c r="RJU3" s="120"/>
      <c r="RJV3" s="120"/>
      <c r="RJW3" s="120"/>
      <c r="RJX3" s="120"/>
      <c r="RJY3" s="120"/>
      <c r="RJZ3" s="120"/>
      <c r="RKA3" s="120"/>
      <c r="RKB3" s="120"/>
      <c r="RKC3" s="120"/>
      <c r="RKD3" s="120"/>
      <c r="RKE3" s="120"/>
      <c r="RKF3" s="120"/>
      <c r="RKG3" s="120"/>
      <c r="RKH3" s="120"/>
      <c r="RKI3" s="120"/>
      <c r="RKJ3" s="120"/>
      <c r="RKK3" s="120"/>
      <c r="RKL3" s="120"/>
      <c r="RKM3" s="120"/>
      <c r="RKN3" s="120"/>
      <c r="RKO3" s="120"/>
      <c r="RKP3" s="120"/>
      <c r="RKQ3" s="120"/>
      <c r="RKR3" s="120"/>
      <c r="RKS3" s="120"/>
      <c r="RKT3" s="120"/>
      <c r="RKU3" s="120"/>
      <c r="RKV3" s="120"/>
      <c r="RKW3" s="120"/>
      <c r="RKX3" s="120"/>
      <c r="RKY3" s="120"/>
      <c r="RKZ3" s="120"/>
      <c r="RLA3" s="120"/>
      <c r="RLB3" s="120"/>
      <c r="RLC3" s="120"/>
      <c r="RLD3" s="120"/>
      <c r="RLE3" s="120"/>
      <c r="RLF3" s="120"/>
      <c r="RLG3" s="120"/>
      <c r="RLH3" s="120"/>
      <c r="RLI3" s="120"/>
      <c r="RLJ3" s="120"/>
      <c r="RLK3" s="120"/>
      <c r="RLL3" s="120"/>
      <c r="RLM3" s="120"/>
      <c r="RLN3" s="120"/>
      <c r="RLO3" s="120"/>
      <c r="RLP3" s="120"/>
      <c r="RLQ3" s="120"/>
      <c r="RLR3" s="120"/>
      <c r="RLS3" s="120"/>
      <c r="RLT3" s="120"/>
      <c r="RLU3" s="120"/>
      <c r="RLV3" s="120"/>
      <c r="RLW3" s="120"/>
      <c r="RLX3" s="120"/>
      <c r="RLY3" s="120"/>
      <c r="RLZ3" s="120"/>
      <c r="RMA3" s="120"/>
      <c r="RMB3" s="120"/>
      <c r="RMC3" s="120"/>
      <c r="RMD3" s="120"/>
      <c r="RME3" s="120"/>
      <c r="RMF3" s="120"/>
      <c r="RMG3" s="120"/>
      <c r="RMH3" s="120"/>
      <c r="RMI3" s="120"/>
      <c r="RMJ3" s="120"/>
      <c r="RMK3" s="120"/>
      <c r="RML3" s="120"/>
      <c r="RMM3" s="120"/>
      <c r="RMN3" s="120"/>
      <c r="RMO3" s="120"/>
      <c r="RMP3" s="120"/>
      <c r="RMQ3" s="120"/>
      <c r="RMR3" s="120"/>
      <c r="RMS3" s="120"/>
      <c r="RMT3" s="120"/>
      <c r="RMU3" s="120"/>
      <c r="RMV3" s="120"/>
      <c r="RMW3" s="120"/>
      <c r="RMX3" s="120"/>
      <c r="RMY3" s="120"/>
      <c r="RMZ3" s="120"/>
      <c r="RNA3" s="120"/>
      <c r="RNB3" s="120"/>
      <c r="RNC3" s="120"/>
      <c r="RND3" s="120"/>
      <c r="RNE3" s="120"/>
      <c r="RNF3" s="120"/>
      <c r="RNG3" s="120"/>
      <c r="RNH3" s="120"/>
      <c r="RNI3" s="120"/>
      <c r="RNJ3" s="120"/>
      <c r="RNK3" s="120"/>
      <c r="RNL3" s="120"/>
      <c r="RNM3" s="120"/>
      <c r="RNN3" s="120"/>
      <c r="RNO3" s="120"/>
      <c r="RNP3" s="120"/>
      <c r="RNQ3" s="120"/>
      <c r="RNR3" s="120"/>
      <c r="RNS3" s="120"/>
      <c r="RNT3" s="120"/>
      <c r="RNU3" s="120"/>
      <c r="RNV3" s="120"/>
      <c r="RNW3" s="120"/>
      <c r="RNX3" s="120"/>
      <c r="RNY3" s="120"/>
      <c r="RNZ3" s="120"/>
      <c r="ROA3" s="120"/>
      <c r="ROB3" s="120"/>
      <c r="ROC3" s="120"/>
      <c r="ROD3" s="120"/>
      <c r="ROE3" s="120"/>
      <c r="ROF3" s="120"/>
      <c r="ROG3" s="120"/>
      <c r="ROH3" s="120"/>
      <c r="ROI3" s="120"/>
      <c r="ROJ3" s="120"/>
      <c r="ROK3" s="120"/>
      <c r="ROL3" s="120"/>
      <c r="ROM3" s="120"/>
      <c r="RON3" s="120"/>
      <c r="ROO3" s="120"/>
      <c r="ROP3" s="120"/>
      <c r="ROQ3" s="120"/>
      <c r="ROR3" s="120"/>
      <c r="ROS3" s="120"/>
      <c r="ROT3" s="120"/>
      <c r="ROU3" s="120"/>
      <c r="ROV3" s="120"/>
      <c r="ROW3" s="120"/>
      <c r="ROX3" s="120"/>
      <c r="ROY3" s="120"/>
      <c r="ROZ3" s="120"/>
      <c r="RPA3" s="120"/>
      <c r="RPB3" s="120"/>
      <c r="RPC3" s="120"/>
      <c r="RPD3" s="120"/>
      <c r="RPE3" s="120"/>
      <c r="RPF3" s="120"/>
      <c r="RPG3" s="120"/>
      <c r="RPH3" s="120"/>
      <c r="RPI3" s="120"/>
      <c r="RPJ3" s="120"/>
      <c r="RPK3" s="120"/>
      <c r="RPL3" s="120"/>
      <c r="RPM3" s="120"/>
      <c r="RPN3" s="120"/>
      <c r="RPO3" s="120"/>
      <c r="RPP3" s="120"/>
      <c r="RPQ3" s="120"/>
      <c r="RPR3" s="120"/>
      <c r="RPS3" s="120"/>
      <c r="RPT3" s="120"/>
      <c r="RPU3" s="120"/>
      <c r="RPV3" s="120"/>
      <c r="RPW3" s="120"/>
      <c r="RPX3" s="120"/>
      <c r="RPY3" s="120"/>
      <c r="RPZ3" s="120"/>
      <c r="RQA3" s="120"/>
      <c r="RQB3" s="120"/>
      <c r="RQC3" s="120"/>
      <c r="RQD3" s="120"/>
      <c r="RQE3" s="120"/>
      <c r="RQF3" s="120"/>
      <c r="RQG3" s="120"/>
      <c r="RQH3" s="120"/>
      <c r="RQI3" s="120"/>
      <c r="RQJ3" s="120"/>
      <c r="RQK3" s="120"/>
      <c r="RQL3" s="120"/>
      <c r="RQM3" s="120"/>
      <c r="RQN3" s="120"/>
      <c r="RQO3" s="120"/>
      <c r="RQP3" s="120"/>
      <c r="RQQ3" s="120"/>
      <c r="RQR3" s="120"/>
      <c r="RQS3" s="120"/>
      <c r="RQT3" s="120"/>
      <c r="RQU3" s="120"/>
      <c r="RQV3" s="120"/>
      <c r="RQW3" s="120"/>
      <c r="RQX3" s="120"/>
      <c r="RQY3" s="120"/>
      <c r="RQZ3" s="120"/>
      <c r="RRA3" s="120"/>
      <c r="RRB3" s="120"/>
      <c r="RRC3" s="120"/>
      <c r="RRD3" s="120"/>
      <c r="RRE3" s="120"/>
      <c r="RRF3" s="120"/>
      <c r="RRG3" s="120"/>
      <c r="RRH3" s="120"/>
      <c r="RRI3" s="120"/>
      <c r="RRJ3" s="120"/>
      <c r="RRK3" s="120"/>
      <c r="RRL3" s="120"/>
      <c r="RRM3" s="120"/>
      <c r="RRN3" s="120"/>
      <c r="RRO3" s="120"/>
      <c r="RRP3" s="120"/>
      <c r="RRQ3" s="120"/>
      <c r="RRR3" s="120"/>
      <c r="RRS3" s="120"/>
      <c r="RRT3" s="120"/>
      <c r="RRU3" s="120"/>
      <c r="RRV3" s="120"/>
      <c r="RRW3" s="120"/>
      <c r="RRX3" s="120"/>
      <c r="RRY3" s="120"/>
      <c r="RRZ3" s="120"/>
      <c r="RSA3" s="120"/>
      <c r="RSB3" s="120"/>
      <c r="RSC3" s="120"/>
      <c r="RSD3" s="120"/>
      <c r="RSE3" s="120"/>
      <c r="RSF3" s="120"/>
      <c r="RSG3" s="120"/>
      <c r="RSH3" s="120"/>
      <c r="RSI3" s="120"/>
      <c r="RSJ3" s="120"/>
      <c r="RSK3" s="120"/>
      <c r="RSL3" s="120"/>
      <c r="RSM3" s="120"/>
      <c r="RSN3" s="120"/>
      <c r="RSO3" s="120"/>
      <c r="RSP3" s="120"/>
      <c r="RSQ3" s="120"/>
      <c r="RSR3" s="120"/>
      <c r="RSS3" s="120"/>
      <c r="RST3" s="120"/>
      <c r="RSU3" s="120"/>
      <c r="RSV3" s="120"/>
      <c r="RSW3" s="120"/>
      <c r="RSX3" s="120"/>
      <c r="RSY3" s="120"/>
      <c r="RSZ3" s="120"/>
      <c r="RTA3" s="120"/>
      <c r="RTB3" s="120"/>
      <c r="RTC3" s="120"/>
      <c r="RTD3" s="120"/>
      <c r="RTE3" s="120"/>
      <c r="RTF3" s="120"/>
      <c r="RTG3" s="120"/>
      <c r="RTH3" s="120"/>
      <c r="RTI3" s="120"/>
      <c r="RTJ3" s="120"/>
      <c r="RTK3" s="120"/>
      <c r="RTL3" s="120"/>
      <c r="RTM3" s="120"/>
      <c r="RTN3" s="120"/>
      <c r="RTO3" s="120"/>
      <c r="RTP3" s="120"/>
      <c r="RTQ3" s="120"/>
      <c r="RTR3" s="120"/>
      <c r="RTS3" s="120"/>
      <c r="RTT3" s="120"/>
      <c r="RTU3" s="120"/>
      <c r="RTV3" s="120"/>
      <c r="RTW3" s="120"/>
      <c r="RTX3" s="120"/>
      <c r="RTY3" s="120"/>
      <c r="RTZ3" s="120"/>
      <c r="RUA3" s="120"/>
      <c r="RUB3" s="120"/>
      <c r="RUC3" s="120"/>
      <c r="RUD3" s="120"/>
      <c r="RUE3" s="120"/>
      <c r="RUF3" s="120"/>
      <c r="RUG3" s="120"/>
      <c r="RUH3" s="120"/>
      <c r="RUI3" s="120"/>
      <c r="RUJ3" s="120"/>
      <c r="RUK3" s="120"/>
      <c r="RUL3" s="120"/>
      <c r="RUM3" s="120"/>
      <c r="RUN3" s="120"/>
      <c r="RUO3" s="120"/>
      <c r="RUP3" s="120"/>
      <c r="RUQ3" s="120"/>
      <c r="RUR3" s="120"/>
      <c r="RUS3" s="120"/>
      <c r="RUT3" s="120"/>
      <c r="RUU3" s="120"/>
      <c r="RUV3" s="120"/>
      <c r="RUW3" s="120"/>
      <c r="RUX3" s="120"/>
      <c r="RUY3" s="120"/>
      <c r="RUZ3" s="120"/>
      <c r="RVA3" s="120"/>
      <c r="RVB3" s="120"/>
      <c r="RVC3" s="120"/>
      <c r="RVD3" s="120"/>
      <c r="RVE3" s="120"/>
      <c r="RVF3" s="120"/>
      <c r="RVG3" s="120"/>
      <c r="RVH3" s="120"/>
      <c r="RVI3" s="120"/>
      <c r="RVJ3" s="120"/>
      <c r="RVK3" s="120"/>
      <c r="RVL3" s="120"/>
      <c r="RVM3" s="120"/>
      <c r="RVN3" s="120"/>
      <c r="RVO3" s="120"/>
      <c r="RVP3" s="120"/>
      <c r="RVQ3" s="120"/>
      <c r="RVR3" s="120"/>
      <c r="RVS3" s="120"/>
      <c r="RVT3" s="120"/>
      <c r="RVU3" s="120"/>
      <c r="RVV3" s="120"/>
      <c r="RVW3" s="120"/>
      <c r="RVX3" s="120"/>
      <c r="RVY3" s="120"/>
      <c r="RVZ3" s="120"/>
      <c r="RWA3" s="120"/>
      <c r="RWB3" s="120"/>
      <c r="RWC3" s="120"/>
      <c r="RWD3" s="120"/>
      <c r="RWE3" s="120"/>
      <c r="RWF3" s="120"/>
      <c r="RWG3" s="120"/>
      <c r="RWH3" s="120"/>
      <c r="RWI3" s="120"/>
      <c r="RWJ3" s="120"/>
      <c r="RWK3" s="120"/>
      <c r="RWL3" s="120"/>
      <c r="RWM3" s="120"/>
      <c r="RWN3" s="120"/>
      <c r="RWO3" s="120"/>
      <c r="RWP3" s="120"/>
      <c r="RWQ3" s="120"/>
      <c r="RWR3" s="120"/>
      <c r="RWS3" s="120"/>
      <c r="RWT3" s="120"/>
      <c r="RWU3" s="120"/>
      <c r="RWV3" s="120"/>
      <c r="RWW3" s="120"/>
      <c r="RWX3" s="120"/>
      <c r="RWY3" s="120"/>
      <c r="RWZ3" s="120"/>
      <c r="RXA3" s="120"/>
      <c r="RXB3" s="120"/>
      <c r="RXC3" s="120"/>
      <c r="RXD3" s="120"/>
      <c r="RXE3" s="120"/>
      <c r="RXF3" s="120"/>
      <c r="RXG3" s="120"/>
      <c r="RXH3" s="120"/>
      <c r="RXI3" s="120"/>
      <c r="RXJ3" s="120"/>
      <c r="RXK3" s="120"/>
      <c r="RXL3" s="120"/>
      <c r="RXM3" s="120"/>
      <c r="RXN3" s="120"/>
      <c r="RXO3" s="120"/>
      <c r="RXP3" s="120"/>
      <c r="RXQ3" s="120"/>
      <c r="RXR3" s="120"/>
      <c r="RXS3" s="120"/>
      <c r="RXT3" s="120"/>
      <c r="RXU3" s="120"/>
      <c r="RXV3" s="120"/>
      <c r="RXW3" s="120"/>
      <c r="RXX3" s="120"/>
      <c r="RXY3" s="120"/>
      <c r="RXZ3" s="120"/>
      <c r="RYA3" s="120"/>
      <c r="RYB3" s="120"/>
      <c r="RYC3" s="120"/>
      <c r="RYD3" s="120"/>
      <c r="RYE3" s="120"/>
      <c r="RYF3" s="120"/>
      <c r="RYG3" s="120"/>
      <c r="RYH3" s="120"/>
      <c r="RYI3" s="120"/>
      <c r="RYJ3" s="120"/>
      <c r="RYK3" s="120"/>
      <c r="RYL3" s="120"/>
      <c r="RYM3" s="120"/>
      <c r="RYN3" s="120"/>
      <c r="RYO3" s="120"/>
      <c r="RYP3" s="120"/>
      <c r="RYQ3" s="120"/>
      <c r="RYR3" s="120"/>
      <c r="RYS3" s="120"/>
      <c r="RYT3" s="120"/>
      <c r="RYU3" s="120"/>
      <c r="RYV3" s="120"/>
      <c r="RYW3" s="120"/>
      <c r="RYX3" s="120"/>
      <c r="RYY3" s="120"/>
      <c r="RYZ3" s="120"/>
      <c r="RZA3" s="120"/>
      <c r="RZB3" s="120"/>
      <c r="RZC3" s="120"/>
      <c r="RZD3" s="120"/>
      <c r="RZE3" s="120"/>
      <c r="RZF3" s="120"/>
      <c r="RZG3" s="120"/>
      <c r="RZH3" s="120"/>
      <c r="RZI3" s="120"/>
      <c r="RZJ3" s="120"/>
      <c r="RZK3" s="120"/>
      <c r="RZL3" s="120"/>
      <c r="RZM3" s="120"/>
      <c r="RZN3" s="120"/>
      <c r="RZO3" s="120"/>
      <c r="RZP3" s="120"/>
      <c r="RZQ3" s="120"/>
      <c r="RZR3" s="120"/>
      <c r="RZS3" s="120"/>
      <c r="RZT3" s="120"/>
      <c r="RZU3" s="120"/>
      <c r="RZV3" s="120"/>
      <c r="RZW3" s="120"/>
      <c r="RZX3" s="120"/>
      <c r="RZY3" s="120"/>
      <c r="RZZ3" s="120"/>
      <c r="SAA3" s="120"/>
      <c r="SAB3" s="120"/>
      <c r="SAC3" s="120"/>
      <c r="SAD3" s="120"/>
      <c r="SAE3" s="120"/>
      <c r="SAF3" s="120"/>
      <c r="SAG3" s="120"/>
      <c r="SAH3" s="120"/>
      <c r="SAI3" s="120"/>
      <c r="SAJ3" s="120"/>
      <c r="SAK3" s="120"/>
      <c r="SAL3" s="120"/>
      <c r="SAM3" s="120"/>
      <c r="SAN3" s="120"/>
      <c r="SAO3" s="120"/>
      <c r="SAP3" s="120"/>
      <c r="SAQ3" s="120"/>
      <c r="SAR3" s="120"/>
      <c r="SAS3" s="120"/>
      <c r="SAT3" s="120"/>
      <c r="SAU3" s="120"/>
      <c r="SAV3" s="120"/>
      <c r="SAW3" s="120"/>
      <c r="SAX3" s="120"/>
      <c r="SAY3" s="120"/>
      <c r="SAZ3" s="120"/>
      <c r="SBA3" s="120"/>
      <c r="SBB3" s="120"/>
      <c r="SBC3" s="120"/>
      <c r="SBD3" s="120"/>
      <c r="SBE3" s="120"/>
      <c r="SBF3" s="120"/>
      <c r="SBG3" s="120"/>
      <c r="SBH3" s="120"/>
      <c r="SBI3" s="120"/>
      <c r="SBJ3" s="120"/>
      <c r="SBK3" s="120"/>
      <c r="SBL3" s="120"/>
      <c r="SBM3" s="120"/>
      <c r="SBN3" s="120"/>
      <c r="SBO3" s="120"/>
      <c r="SBP3" s="120"/>
      <c r="SBQ3" s="120"/>
      <c r="SBR3" s="120"/>
      <c r="SBS3" s="120"/>
      <c r="SBT3" s="120"/>
      <c r="SBU3" s="120"/>
      <c r="SBV3" s="120"/>
      <c r="SBW3" s="120"/>
      <c r="SBX3" s="120"/>
      <c r="SBY3" s="120"/>
      <c r="SBZ3" s="120"/>
      <c r="SCA3" s="120"/>
      <c r="SCB3" s="120"/>
      <c r="SCC3" s="120"/>
      <c r="SCD3" s="120"/>
      <c r="SCE3" s="120"/>
      <c r="SCF3" s="120"/>
      <c r="SCG3" s="120"/>
      <c r="SCH3" s="120"/>
      <c r="SCI3" s="120"/>
      <c r="SCJ3" s="120"/>
      <c r="SCK3" s="120"/>
      <c r="SCL3" s="120"/>
      <c r="SCM3" s="120"/>
      <c r="SCN3" s="120"/>
      <c r="SCO3" s="120"/>
      <c r="SCP3" s="120"/>
      <c r="SCQ3" s="120"/>
      <c r="SCR3" s="120"/>
      <c r="SCS3" s="120"/>
      <c r="SCT3" s="120"/>
      <c r="SCU3" s="120"/>
      <c r="SCV3" s="120"/>
      <c r="SCW3" s="120"/>
      <c r="SCX3" s="120"/>
      <c r="SCY3" s="120"/>
      <c r="SCZ3" s="120"/>
      <c r="SDA3" s="120"/>
      <c r="SDB3" s="120"/>
      <c r="SDC3" s="120"/>
      <c r="SDD3" s="120"/>
      <c r="SDE3" s="120"/>
      <c r="SDF3" s="120"/>
      <c r="SDG3" s="120"/>
      <c r="SDH3" s="120"/>
      <c r="SDI3" s="120"/>
      <c r="SDJ3" s="120"/>
      <c r="SDK3" s="120"/>
      <c r="SDL3" s="120"/>
      <c r="SDM3" s="120"/>
      <c r="SDN3" s="120"/>
      <c r="SDO3" s="120"/>
      <c r="SDP3" s="120"/>
      <c r="SDQ3" s="120"/>
      <c r="SDR3" s="120"/>
      <c r="SDS3" s="120"/>
      <c r="SDT3" s="120"/>
      <c r="SDU3" s="120"/>
      <c r="SDV3" s="120"/>
      <c r="SDW3" s="120"/>
      <c r="SDX3" s="120"/>
      <c r="SDY3" s="120"/>
      <c r="SDZ3" s="120"/>
      <c r="SEA3" s="120"/>
      <c r="SEB3" s="120"/>
      <c r="SEC3" s="120"/>
      <c r="SED3" s="120"/>
      <c r="SEE3" s="120"/>
      <c r="SEF3" s="120"/>
      <c r="SEG3" s="120"/>
      <c r="SEH3" s="120"/>
      <c r="SEI3" s="120"/>
      <c r="SEJ3" s="120"/>
      <c r="SEK3" s="120"/>
      <c r="SEL3" s="120"/>
      <c r="SEM3" s="120"/>
      <c r="SEN3" s="120"/>
      <c r="SEO3" s="120"/>
      <c r="SEP3" s="120"/>
      <c r="SEQ3" s="120"/>
      <c r="SER3" s="120"/>
      <c r="SES3" s="120"/>
      <c r="SET3" s="120"/>
      <c r="SEU3" s="120"/>
      <c r="SEV3" s="120"/>
      <c r="SEW3" s="120"/>
      <c r="SEX3" s="120"/>
      <c r="SEY3" s="120"/>
      <c r="SEZ3" s="120"/>
      <c r="SFA3" s="120"/>
      <c r="SFB3" s="120"/>
      <c r="SFC3" s="120"/>
      <c r="SFD3" s="120"/>
      <c r="SFE3" s="120"/>
      <c r="SFF3" s="120"/>
      <c r="SFG3" s="120"/>
      <c r="SFH3" s="120"/>
      <c r="SFI3" s="120"/>
      <c r="SFJ3" s="120"/>
      <c r="SFK3" s="120"/>
      <c r="SFL3" s="120"/>
      <c r="SFM3" s="120"/>
      <c r="SFN3" s="120"/>
      <c r="SFO3" s="120"/>
      <c r="SFP3" s="120"/>
      <c r="SFQ3" s="120"/>
      <c r="SFR3" s="120"/>
      <c r="SFS3" s="120"/>
      <c r="SFT3" s="120"/>
      <c r="SFU3" s="120"/>
      <c r="SFV3" s="120"/>
      <c r="SFW3" s="120"/>
      <c r="SFX3" s="120"/>
      <c r="SFY3" s="120"/>
      <c r="SFZ3" s="120"/>
      <c r="SGA3" s="120"/>
      <c r="SGB3" s="120"/>
      <c r="SGC3" s="120"/>
      <c r="SGD3" s="120"/>
      <c r="SGE3" s="120"/>
      <c r="SGF3" s="120"/>
      <c r="SGG3" s="120"/>
      <c r="SGH3" s="120"/>
      <c r="SGI3" s="120"/>
      <c r="SGJ3" s="120"/>
      <c r="SGK3" s="120"/>
      <c r="SGL3" s="120"/>
      <c r="SGM3" s="120"/>
      <c r="SGN3" s="120"/>
      <c r="SGO3" s="120"/>
      <c r="SGP3" s="120"/>
      <c r="SGQ3" s="120"/>
      <c r="SGR3" s="120"/>
      <c r="SGS3" s="120"/>
      <c r="SGT3" s="120"/>
      <c r="SGU3" s="120"/>
      <c r="SGV3" s="120"/>
      <c r="SGW3" s="120"/>
      <c r="SGX3" s="120"/>
      <c r="SGY3" s="120"/>
      <c r="SGZ3" s="120"/>
      <c r="SHA3" s="120"/>
      <c r="SHB3" s="120"/>
      <c r="SHC3" s="120"/>
      <c r="SHD3" s="120"/>
      <c r="SHE3" s="120"/>
      <c r="SHF3" s="120"/>
      <c r="SHG3" s="120"/>
      <c r="SHH3" s="120"/>
      <c r="SHI3" s="120"/>
      <c r="SHJ3" s="120"/>
      <c r="SHK3" s="120"/>
      <c r="SHL3" s="120"/>
      <c r="SHM3" s="120"/>
      <c r="SHN3" s="120"/>
      <c r="SHO3" s="120"/>
      <c r="SHP3" s="120"/>
      <c r="SHQ3" s="120"/>
      <c r="SHR3" s="120"/>
      <c r="SHS3" s="120"/>
      <c r="SHT3" s="120"/>
      <c r="SHU3" s="120"/>
      <c r="SHV3" s="120"/>
      <c r="SHW3" s="120"/>
      <c r="SHX3" s="120"/>
      <c r="SHY3" s="120"/>
      <c r="SHZ3" s="120"/>
      <c r="SIA3" s="120"/>
      <c r="SIB3" s="120"/>
      <c r="SIC3" s="120"/>
      <c r="SID3" s="120"/>
      <c r="SIE3" s="120"/>
      <c r="SIF3" s="120"/>
      <c r="SIG3" s="120"/>
      <c r="SIH3" s="120"/>
      <c r="SII3" s="120"/>
      <c r="SIJ3" s="120"/>
      <c r="SIK3" s="120"/>
      <c r="SIL3" s="120"/>
      <c r="SIM3" s="120"/>
      <c r="SIN3" s="120"/>
      <c r="SIO3" s="120"/>
      <c r="SIP3" s="120"/>
      <c r="SIQ3" s="120"/>
      <c r="SIR3" s="120"/>
      <c r="SIS3" s="120"/>
      <c r="SIT3" s="120"/>
      <c r="SIU3" s="120"/>
      <c r="SIV3" s="120"/>
      <c r="SIW3" s="120"/>
      <c r="SIX3" s="120"/>
      <c r="SIY3" s="120"/>
      <c r="SIZ3" s="120"/>
      <c r="SJA3" s="120"/>
      <c r="SJB3" s="120"/>
      <c r="SJC3" s="120"/>
      <c r="SJD3" s="120"/>
      <c r="SJE3" s="120"/>
      <c r="SJF3" s="120"/>
      <c r="SJG3" s="120"/>
      <c r="SJH3" s="120"/>
      <c r="SJI3" s="120"/>
      <c r="SJJ3" s="120"/>
      <c r="SJK3" s="120"/>
      <c r="SJL3" s="120"/>
      <c r="SJM3" s="120"/>
      <c r="SJN3" s="120"/>
      <c r="SJO3" s="120"/>
      <c r="SJP3" s="120"/>
      <c r="SJQ3" s="120"/>
      <c r="SJR3" s="120"/>
      <c r="SJS3" s="120"/>
      <c r="SJT3" s="120"/>
      <c r="SJU3" s="120"/>
      <c r="SJV3" s="120"/>
      <c r="SJW3" s="120"/>
      <c r="SJX3" s="120"/>
      <c r="SJY3" s="120"/>
      <c r="SJZ3" s="120"/>
      <c r="SKA3" s="120"/>
      <c r="SKB3" s="120"/>
      <c r="SKC3" s="120"/>
      <c r="SKD3" s="120"/>
      <c r="SKE3" s="120"/>
      <c r="SKF3" s="120"/>
      <c r="SKG3" s="120"/>
      <c r="SKH3" s="120"/>
      <c r="SKI3" s="120"/>
      <c r="SKJ3" s="120"/>
      <c r="SKK3" s="120"/>
      <c r="SKL3" s="120"/>
      <c r="SKM3" s="120"/>
      <c r="SKN3" s="120"/>
      <c r="SKO3" s="120"/>
      <c r="SKP3" s="120"/>
      <c r="SKQ3" s="120"/>
      <c r="SKR3" s="120"/>
      <c r="SKS3" s="120"/>
      <c r="SKT3" s="120"/>
      <c r="SKU3" s="120"/>
      <c r="SKV3" s="120"/>
      <c r="SKW3" s="120"/>
      <c r="SKX3" s="120"/>
      <c r="SKY3" s="120"/>
      <c r="SKZ3" s="120"/>
      <c r="SLA3" s="120"/>
      <c r="SLB3" s="120"/>
      <c r="SLC3" s="120"/>
      <c r="SLD3" s="120"/>
      <c r="SLE3" s="120"/>
      <c r="SLF3" s="120"/>
      <c r="SLG3" s="120"/>
      <c r="SLH3" s="120"/>
      <c r="SLI3" s="120"/>
      <c r="SLJ3" s="120"/>
      <c r="SLK3" s="120"/>
      <c r="SLL3" s="120"/>
      <c r="SLM3" s="120"/>
      <c r="SLN3" s="120"/>
      <c r="SLO3" s="120"/>
      <c r="SLP3" s="120"/>
      <c r="SLQ3" s="120"/>
      <c r="SLR3" s="120"/>
      <c r="SLS3" s="120"/>
      <c r="SLT3" s="120"/>
      <c r="SLU3" s="120"/>
      <c r="SLV3" s="120"/>
      <c r="SLW3" s="120"/>
      <c r="SLX3" s="120"/>
      <c r="SLY3" s="120"/>
      <c r="SLZ3" s="120"/>
      <c r="SMA3" s="120"/>
      <c r="SMB3" s="120"/>
      <c r="SMC3" s="120"/>
      <c r="SMD3" s="120"/>
      <c r="SME3" s="120"/>
      <c r="SMF3" s="120"/>
      <c r="SMG3" s="120"/>
      <c r="SMH3" s="120"/>
      <c r="SMI3" s="120"/>
      <c r="SMJ3" s="120"/>
      <c r="SMK3" s="120"/>
      <c r="SML3" s="120"/>
      <c r="SMM3" s="120"/>
      <c r="SMN3" s="120"/>
      <c r="SMO3" s="120"/>
      <c r="SMP3" s="120"/>
      <c r="SMQ3" s="120"/>
      <c r="SMR3" s="120"/>
      <c r="SMS3" s="120"/>
      <c r="SMT3" s="120"/>
      <c r="SMU3" s="120"/>
      <c r="SMV3" s="120"/>
      <c r="SMW3" s="120"/>
      <c r="SMX3" s="120"/>
      <c r="SMY3" s="120"/>
      <c r="SMZ3" s="120"/>
      <c r="SNA3" s="120"/>
      <c r="SNB3" s="120"/>
      <c r="SNC3" s="120"/>
      <c r="SND3" s="120"/>
      <c r="SNE3" s="120"/>
      <c r="SNF3" s="120"/>
      <c r="SNG3" s="120"/>
      <c r="SNH3" s="120"/>
      <c r="SNI3" s="120"/>
      <c r="SNJ3" s="120"/>
      <c r="SNK3" s="120"/>
      <c r="SNL3" s="120"/>
      <c r="SNM3" s="120"/>
      <c r="SNN3" s="120"/>
      <c r="SNO3" s="120"/>
      <c r="SNP3" s="120"/>
      <c r="SNQ3" s="120"/>
      <c r="SNR3" s="120"/>
      <c r="SNS3" s="120"/>
      <c r="SNT3" s="120"/>
      <c r="SNU3" s="120"/>
      <c r="SNV3" s="120"/>
      <c r="SNW3" s="120"/>
      <c r="SNX3" s="120"/>
      <c r="SNY3" s="120"/>
      <c r="SNZ3" s="120"/>
      <c r="SOA3" s="120"/>
      <c r="SOB3" s="120"/>
      <c r="SOC3" s="120"/>
      <c r="SOD3" s="120"/>
      <c r="SOE3" s="120"/>
      <c r="SOF3" s="120"/>
      <c r="SOG3" s="120"/>
      <c r="SOH3" s="120"/>
      <c r="SOI3" s="120"/>
      <c r="SOJ3" s="120"/>
      <c r="SOK3" s="120"/>
      <c r="SOL3" s="120"/>
      <c r="SOM3" s="120"/>
      <c r="SON3" s="120"/>
      <c r="SOO3" s="120"/>
      <c r="SOP3" s="120"/>
      <c r="SOQ3" s="120"/>
      <c r="SOR3" s="120"/>
      <c r="SOS3" s="120"/>
      <c r="SOT3" s="120"/>
      <c r="SOU3" s="120"/>
      <c r="SOV3" s="120"/>
      <c r="SOW3" s="120"/>
      <c r="SOX3" s="120"/>
      <c r="SOY3" s="120"/>
      <c r="SOZ3" s="120"/>
      <c r="SPA3" s="120"/>
      <c r="SPB3" s="120"/>
      <c r="SPC3" s="120"/>
      <c r="SPD3" s="120"/>
      <c r="SPE3" s="120"/>
      <c r="SPF3" s="120"/>
      <c r="SPG3" s="120"/>
      <c r="SPH3" s="120"/>
      <c r="SPI3" s="120"/>
      <c r="SPJ3" s="120"/>
      <c r="SPK3" s="120"/>
      <c r="SPL3" s="120"/>
      <c r="SPM3" s="120"/>
      <c r="SPN3" s="120"/>
      <c r="SPO3" s="120"/>
      <c r="SPP3" s="120"/>
      <c r="SPQ3" s="120"/>
      <c r="SPR3" s="120"/>
      <c r="SPS3" s="120"/>
      <c r="SPT3" s="120"/>
      <c r="SPU3" s="120"/>
      <c r="SPV3" s="120"/>
      <c r="SPW3" s="120"/>
      <c r="SPX3" s="120"/>
      <c r="SPY3" s="120"/>
      <c r="SPZ3" s="120"/>
      <c r="SQA3" s="120"/>
      <c r="SQB3" s="120"/>
      <c r="SQC3" s="120"/>
      <c r="SQD3" s="120"/>
      <c r="SQE3" s="120"/>
      <c r="SQF3" s="120"/>
      <c r="SQG3" s="120"/>
      <c r="SQH3" s="120"/>
      <c r="SQI3" s="120"/>
      <c r="SQJ3" s="120"/>
      <c r="SQK3" s="120"/>
      <c r="SQL3" s="120"/>
      <c r="SQM3" s="120"/>
      <c r="SQN3" s="120"/>
      <c r="SQO3" s="120"/>
      <c r="SQP3" s="120"/>
      <c r="SQQ3" s="120"/>
      <c r="SQR3" s="120"/>
      <c r="SQS3" s="120"/>
      <c r="SQT3" s="120"/>
      <c r="SQU3" s="120"/>
      <c r="SQV3" s="120"/>
      <c r="SQW3" s="120"/>
      <c r="SQX3" s="120"/>
      <c r="SQY3" s="120"/>
      <c r="SQZ3" s="120"/>
      <c r="SRA3" s="120"/>
      <c r="SRB3" s="120"/>
      <c r="SRC3" s="120"/>
      <c r="SRD3" s="120"/>
      <c r="SRE3" s="120"/>
      <c r="SRF3" s="120"/>
      <c r="SRG3" s="120"/>
      <c r="SRH3" s="120"/>
      <c r="SRI3" s="120"/>
      <c r="SRJ3" s="120"/>
      <c r="SRK3" s="120"/>
      <c r="SRL3" s="120"/>
      <c r="SRM3" s="120"/>
      <c r="SRN3" s="120"/>
      <c r="SRO3" s="120"/>
      <c r="SRP3" s="120"/>
      <c r="SRQ3" s="120"/>
      <c r="SRR3" s="120"/>
      <c r="SRS3" s="120"/>
      <c r="SRT3" s="120"/>
      <c r="SRU3" s="120"/>
      <c r="SRV3" s="120"/>
      <c r="SRW3" s="120"/>
      <c r="SRX3" s="120"/>
      <c r="SRY3" s="120"/>
      <c r="SRZ3" s="120"/>
      <c r="SSA3" s="120"/>
      <c r="SSB3" s="120"/>
      <c r="SSC3" s="120"/>
      <c r="SSD3" s="120"/>
      <c r="SSE3" s="120"/>
      <c r="SSF3" s="120"/>
      <c r="SSG3" s="120"/>
      <c r="SSH3" s="120"/>
      <c r="SSI3" s="120"/>
      <c r="SSJ3" s="120"/>
      <c r="SSK3" s="120"/>
      <c r="SSL3" s="120"/>
      <c r="SSM3" s="120"/>
      <c r="SSN3" s="120"/>
      <c r="SSO3" s="120"/>
      <c r="SSP3" s="120"/>
      <c r="SSQ3" s="120"/>
      <c r="SSR3" s="120"/>
      <c r="SSS3" s="120"/>
      <c r="SST3" s="120"/>
      <c r="SSU3" s="120"/>
      <c r="SSV3" s="120"/>
      <c r="SSW3" s="120"/>
      <c r="SSX3" s="120"/>
      <c r="SSY3" s="120"/>
      <c r="SSZ3" s="120"/>
      <c r="STA3" s="120"/>
      <c r="STB3" s="120"/>
      <c r="STC3" s="120"/>
      <c r="STD3" s="120"/>
      <c r="STE3" s="120"/>
      <c r="STF3" s="120"/>
      <c r="STG3" s="120"/>
      <c r="STH3" s="120"/>
      <c r="STI3" s="120"/>
      <c r="STJ3" s="120"/>
      <c r="STK3" s="120"/>
      <c r="STL3" s="120"/>
      <c r="STM3" s="120"/>
      <c r="STN3" s="120"/>
      <c r="STO3" s="120"/>
      <c r="STP3" s="120"/>
      <c r="STQ3" s="120"/>
      <c r="STR3" s="120"/>
      <c r="STS3" s="120"/>
      <c r="STT3" s="120"/>
      <c r="STU3" s="120"/>
      <c r="STV3" s="120"/>
      <c r="STW3" s="120"/>
      <c r="STX3" s="120"/>
      <c r="STY3" s="120"/>
      <c r="STZ3" s="120"/>
      <c r="SUA3" s="120"/>
      <c r="SUB3" s="120"/>
      <c r="SUC3" s="120"/>
      <c r="SUD3" s="120"/>
      <c r="SUE3" s="120"/>
      <c r="SUF3" s="120"/>
      <c r="SUG3" s="120"/>
      <c r="SUH3" s="120"/>
      <c r="SUI3" s="120"/>
      <c r="SUJ3" s="120"/>
      <c r="SUK3" s="120"/>
      <c r="SUL3" s="120"/>
      <c r="SUM3" s="120"/>
      <c r="SUN3" s="120"/>
      <c r="SUO3" s="120"/>
      <c r="SUP3" s="120"/>
      <c r="SUQ3" s="120"/>
      <c r="SUR3" s="120"/>
      <c r="SUS3" s="120"/>
      <c r="SUT3" s="120"/>
      <c r="SUU3" s="120"/>
      <c r="SUV3" s="120"/>
      <c r="SUW3" s="120"/>
      <c r="SUX3" s="120"/>
      <c r="SUY3" s="120"/>
      <c r="SUZ3" s="120"/>
      <c r="SVA3" s="120"/>
      <c r="SVB3" s="120"/>
      <c r="SVC3" s="120"/>
      <c r="SVD3" s="120"/>
      <c r="SVE3" s="120"/>
      <c r="SVF3" s="120"/>
      <c r="SVG3" s="120"/>
      <c r="SVH3" s="120"/>
      <c r="SVI3" s="120"/>
      <c r="SVJ3" s="120"/>
      <c r="SVK3" s="120"/>
      <c r="SVL3" s="120"/>
      <c r="SVM3" s="120"/>
      <c r="SVN3" s="120"/>
      <c r="SVO3" s="120"/>
      <c r="SVP3" s="120"/>
      <c r="SVQ3" s="120"/>
      <c r="SVR3" s="120"/>
      <c r="SVS3" s="120"/>
      <c r="SVT3" s="120"/>
      <c r="SVU3" s="120"/>
      <c r="SVV3" s="120"/>
      <c r="SVW3" s="120"/>
      <c r="SVX3" s="120"/>
      <c r="SVY3" s="120"/>
      <c r="SVZ3" s="120"/>
      <c r="SWA3" s="120"/>
      <c r="SWB3" s="120"/>
      <c r="SWC3" s="120"/>
      <c r="SWD3" s="120"/>
      <c r="SWE3" s="120"/>
      <c r="SWF3" s="120"/>
      <c r="SWG3" s="120"/>
      <c r="SWH3" s="120"/>
      <c r="SWI3" s="120"/>
      <c r="SWJ3" s="120"/>
      <c r="SWK3" s="120"/>
      <c r="SWL3" s="120"/>
      <c r="SWM3" s="120"/>
      <c r="SWN3" s="120"/>
      <c r="SWO3" s="120"/>
      <c r="SWP3" s="120"/>
      <c r="SWQ3" s="120"/>
      <c r="SWR3" s="120"/>
      <c r="SWS3" s="120"/>
      <c r="SWT3" s="120"/>
      <c r="SWU3" s="120"/>
      <c r="SWV3" s="120"/>
      <c r="SWW3" s="120"/>
      <c r="SWX3" s="120"/>
      <c r="SWY3" s="120"/>
      <c r="SWZ3" s="120"/>
      <c r="SXA3" s="120"/>
      <c r="SXB3" s="120"/>
      <c r="SXC3" s="120"/>
      <c r="SXD3" s="120"/>
      <c r="SXE3" s="120"/>
      <c r="SXF3" s="120"/>
      <c r="SXG3" s="120"/>
      <c r="SXH3" s="120"/>
      <c r="SXI3" s="120"/>
      <c r="SXJ3" s="120"/>
      <c r="SXK3" s="120"/>
      <c r="SXL3" s="120"/>
      <c r="SXM3" s="120"/>
      <c r="SXN3" s="120"/>
      <c r="SXO3" s="120"/>
      <c r="SXP3" s="120"/>
      <c r="SXQ3" s="120"/>
      <c r="SXR3" s="120"/>
      <c r="SXS3" s="120"/>
      <c r="SXT3" s="120"/>
      <c r="SXU3" s="120"/>
      <c r="SXV3" s="120"/>
      <c r="SXW3" s="120"/>
      <c r="SXX3" s="120"/>
      <c r="SXY3" s="120"/>
      <c r="SXZ3" s="120"/>
      <c r="SYA3" s="120"/>
      <c r="SYB3" s="120"/>
      <c r="SYC3" s="120"/>
      <c r="SYD3" s="120"/>
      <c r="SYE3" s="120"/>
      <c r="SYF3" s="120"/>
      <c r="SYG3" s="120"/>
      <c r="SYH3" s="120"/>
      <c r="SYI3" s="120"/>
      <c r="SYJ3" s="120"/>
      <c r="SYK3" s="120"/>
      <c r="SYL3" s="120"/>
      <c r="SYM3" s="120"/>
      <c r="SYN3" s="120"/>
      <c r="SYO3" s="120"/>
      <c r="SYP3" s="120"/>
      <c r="SYQ3" s="120"/>
      <c r="SYR3" s="120"/>
      <c r="SYS3" s="120"/>
      <c r="SYT3" s="120"/>
      <c r="SYU3" s="120"/>
      <c r="SYV3" s="120"/>
      <c r="SYW3" s="120"/>
      <c r="SYX3" s="120"/>
      <c r="SYY3" s="120"/>
      <c r="SYZ3" s="120"/>
      <c r="SZA3" s="120"/>
      <c r="SZB3" s="120"/>
      <c r="SZC3" s="120"/>
      <c r="SZD3" s="120"/>
      <c r="SZE3" s="120"/>
      <c r="SZF3" s="120"/>
      <c r="SZG3" s="120"/>
      <c r="SZH3" s="120"/>
      <c r="SZI3" s="120"/>
      <c r="SZJ3" s="120"/>
      <c r="SZK3" s="120"/>
      <c r="SZL3" s="120"/>
      <c r="SZM3" s="120"/>
      <c r="SZN3" s="120"/>
      <c r="SZO3" s="120"/>
      <c r="SZP3" s="120"/>
      <c r="SZQ3" s="120"/>
      <c r="SZR3" s="120"/>
      <c r="SZS3" s="120"/>
      <c r="SZT3" s="120"/>
      <c r="SZU3" s="120"/>
      <c r="SZV3" s="120"/>
      <c r="SZW3" s="120"/>
      <c r="SZX3" s="120"/>
      <c r="SZY3" s="120"/>
      <c r="SZZ3" s="120"/>
      <c r="TAA3" s="120"/>
      <c r="TAB3" s="120"/>
      <c r="TAC3" s="120"/>
      <c r="TAD3" s="120"/>
      <c r="TAE3" s="120"/>
      <c r="TAF3" s="120"/>
      <c r="TAG3" s="120"/>
      <c r="TAH3" s="120"/>
      <c r="TAI3" s="120"/>
      <c r="TAJ3" s="120"/>
      <c r="TAK3" s="120"/>
      <c r="TAL3" s="120"/>
      <c r="TAM3" s="120"/>
      <c r="TAN3" s="120"/>
      <c r="TAO3" s="120"/>
      <c r="TAP3" s="120"/>
      <c r="TAQ3" s="120"/>
      <c r="TAR3" s="120"/>
      <c r="TAS3" s="120"/>
      <c r="TAT3" s="120"/>
      <c r="TAU3" s="120"/>
      <c r="TAV3" s="120"/>
      <c r="TAW3" s="120"/>
      <c r="TAX3" s="120"/>
      <c r="TAY3" s="120"/>
      <c r="TAZ3" s="120"/>
      <c r="TBA3" s="120"/>
      <c r="TBB3" s="120"/>
      <c r="TBC3" s="120"/>
      <c r="TBD3" s="120"/>
      <c r="TBE3" s="120"/>
      <c r="TBF3" s="120"/>
      <c r="TBG3" s="120"/>
      <c r="TBH3" s="120"/>
      <c r="TBI3" s="120"/>
      <c r="TBJ3" s="120"/>
      <c r="TBK3" s="120"/>
      <c r="TBL3" s="120"/>
      <c r="TBM3" s="120"/>
      <c r="TBN3" s="120"/>
      <c r="TBO3" s="120"/>
      <c r="TBP3" s="120"/>
      <c r="TBQ3" s="120"/>
      <c r="TBR3" s="120"/>
      <c r="TBS3" s="120"/>
      <c r="TBT3" s="120"/>
      <c r="TBU3" s="120"/>
      <c r="TBV3" s="120"/>
      <c r="TBW3" s="120"/>
      <c r="TBX3" s="120"/>
      <c r="TBY3" s="120"/>
      <c r="TBZ3" s="120"/>
      <c r="TCA3" s="120"/>
      <c r="TCB3" s="120"/>
      <c r="TCC3" s="120"/>
      <c r="TCD3" s="120"/>
      <c r="TCE3" s="120"/>
      <c r="TCF3" s="120"/>
      <c r="TCG3" s="120"/>
      <c r="TCH3" s="120"/>
      <c r="TCI3" s="120"/>
      <c r="TCJ3" s="120"/>
      <c r="TCK3" s="120"/>
      <c r="TCL3" s="120"/>
      <c r="TCM3" s="120"/>
      <c r="TCN3" s="120"/>
      <c r="TCO3" s="120"/>
      <c r="TCP3" s="120"/>
      <c r="TCQ3" s="120"/>
      <c r="TCR3" s="120"/>
      <c r="TCS3" s="120"/>
      <c r="TCT3" s="120"/>
      <c r="TCU3" s="120"/>
      <c r="TCV3" s="120"/>
      <c r="TCW3" s="120"/>
      <c r="TCX3" s="120"/>
      <c r="TCY3" s="120"/>
      <c r="TCZ3" s="120"/>
      <c r="TDA3" s="120"/>
      <c r="TDB3" s="120"/>
      <c r="TDC3" s="120"/>
      <c r="TDD3" s="120"/>
      <c r="TDE3" s="120"/>
      <c r="TDF3" s="120"/>
      <c r="TDG3" s="120"/>
      <c r="TDH3" s="120"/>
      <c r="TDI3" s="120"/>
      <c r="TDJ3" s="120"/>
      <c r="TDK3" s="120"/>
      <c r="TDL3" s="120"/>
      <c r="TDM3" s="120"/>
      <c r="TDN3" s="120"/>
      <c r="TDO3" s="120"/>
      <c r="TDP3" s="120"/>
      <c r="TDQ3" s="120"/>
      <c r="TDR3" s="120"/>
      <c r="TDS3" s="120"/>
      <c r="TDT3" s="120"/>
      <c r="TDU3" s="120"/>
      <c r="TDV3" s="120"/>
      <c r="TDW3" s="120"/>
      <c r="TDX3" s="120"/>
      <c r="TDY3" s="120"/>
      <c r="TDZ3" s="120"/>
      <c r="TEA3" s="120"/>
      <c r="TEB3" s="120"/>
      <c r="TEC3" s="120"/>
      <c r="TED3" s="120"/>
      <c r="TEE3" s="120"/>
      <c r="TEF3" s="120"/>
      <c r="TEG3" s="120"/>
      <c r="TEH3" s="120"/>
      <c r="TEI3" s="120"/>
      <c r="TEJ3" s="120"/>
      <c r="TEK3" s="120"/>
      <c r="TEL3" s="120"/>
      <c r="TEM3" s="120"/>
      <c r="TEN3" s="120"/>
      <c r="TEO3" s="120"/>
      <c r="TEP3" s="120"/>
      <c r="TEQ3" s="120"/>
      <c r="TER3" s="120"/>
      <c r="TES3" s="120"/>
      <c r="TET3" s="120"/>
      <c r="TEU3" s="120"/>
      <c r="TEV3" s="120"/>
      <c r="TEW3" s="120"/>
      <c r="TEX3" s="120"/>
      <c r="TEY3" s="120"/>
      <c r="TEZ3" s="120"/>
      <c r="TFA3" s="120"/>
      <c r="TFB3" s="120"/>
      <c r="TFC3" s="120"/>
      <c r="TFD3" s="120"/>
      <c r="TFE3" s="120"/>
      <c r="TFF3" s="120"/>
      <c r="TFG3" s="120"/>
      <c r="TFH3" s="120"/>
      <c r="TFI3" s="120"/>
      <c r="TFJ3" s="120"/>
      <c r="TFK3" s="120"/>
      <c r="TFL3" s="120"/>
      <c r="TFM3" s="120"/>
      <c r="TFN3" s="120"/>
      <c r="TFO3" s="120"/>
      <c r="TFP3" s="120"/>
      <c r="TFQ3" s="120"/>
      <c r="TFR3" s="120"/>
      <c r="TFS3" s="120"/>
      <c r="TFT3" s="120"/>
      <c r="TFU3" s="120"/>
      <c r="TFV3" s="120"/>
      <c r="TFW3" s="120"/>
      <c r="TFX3" s="120"/>
      <c r="TFY3" s="120"/>
      <c r="TFZ3" s="120"/>
      <c r="TGA3" s="120"/>
      <c r="TGB3" s="120"/>
      <c r="TGC3" s="120"/>
      <c r="TGD3" s="120"/>
      <c r="TGE3" s="120"/>
      <c r="TGF3" s="120"/>
      <c r="TGG3" s="120"/>
      <c r="TGH3" s="120"/>
      <c r="TGI3" s="120"/>
      <c r="TGJ3" s="120"/>
      <c r="TGK3" s="120"/>
      <c r="TGL3" s="120"/>
      <c r="TGM3" s="120"/>
      <c r="TGN3" s="120"/>
      <c r="TGO3" s="120"/>
      <c r="TGP3" s="120"/>
      <c r="TGQ3" s="120"/>
      <c r="TGR3" s="120"/>
      <c r="TGS3" s="120"/>
      <c r="TGT3" s="120"/>
      <c r="TGU3" s="120"/>
      <c r="TGV3" s="120"/>
      <c r="TGW3" s="120"/>
      <c r="TGX3" s="120"/>
      <c r="TGY3" s="120"/>
      <c r="TGZ3" s="120"/>
      <c r="THA3" s="120"/>
      <c r="THB3" s="120"/>
      <c r="THC3" s="120"/>
      <c r="THD3" s="120"/>
      <c r="THE3" s="120"/>
      <c r="THF3" s="120"/>
      <c r="THG3" s="120"/>
      <c r="THH3" s="120"/>
      <c r="THI3" s="120"/>
      <c r="THJ3" s="120"/>
      <c r="THK3" s="120"/>
      <c r="THL3" s="120"/>
      <c r="THM3" s="120"/>
      <c r="THN3" s="120"/>
      <c r="THO3" s="120"/>
      <c r="THP3" s="120"/>
      <c r="THQ3" s="120"/>
      <c r="THR3" s="120"/>
      <c r="THS3" s="120"/>
      <c r="THT3" s="120"/>
      <c r="THU3" s="120"/>
      <c r="THV3" s="120"/>
      <c r="THW3" s="120"/>
      <c r="THX3" s="120"/>
      <c r="THY3" s="120"/>
      <c r="THZ3" s="120"/>
      <c r="TIA3" s="120"/>
      <c r="TIB3" s="120"/>
      <c r="TIC3" s="120"/>
      <c r="TID3" s="120"/>
      <c r="TIE3" s="120"/>
      <c r="TIF3" s="120"/>
      <c r="TIG3" s="120"/>
      <c r="TIH3" s="120"/>
      <c r="TII3" s="120"/>
      <c r="TIJ3" s="120"/>
      <c r="TIK3" s="120"/>
      <c r="TIL3" s="120"/>
      <c r="TIM3" s="120"/>
      <c r="TIN3" s="120"/>
      <c r="TIO3" s="120"/>
      <c r="TIP3" s="120"/>
      <c r="TIQ3" s="120"/>
      <c r="TIR3" s="120"/>
      <c r="TIS3" s="120"/>
      <c r="TIT3" s="120"/>
      <c r="TIU3" s="120"/>
      <c r="TIV3" s="120"/>
      <c r="TIW3" s="120"/>
      <c r="TIX3" s="120"/>
      <c r="TIY3" s="120"/>
      <c r="TIZ3" s="120"/>
      <c r="TJA3" s="120"/>
      <c r="TJB3" s="120"/>
      <c r="TJC3" s="120"/>
      <c r="TJD3" s="120"/>
      <c r="TJE3" s="120"/>
      <c r="TJF3" s="120"/>
      <c r="TJG3" s="120"/>
      <c r="TJH3" s="120"/>
      <c r="TJI3" s="120"/>
      <c r="TJJ3" s="120"/>
      <c r="TJK3" s="120"/>
      <c r="TJL3" s="120"/>
      <c r="TJM3" s="120"/>
      <c r="TJN3" s="120"/>
      <c r="TJO3" s="120"/>
      <c r="TJP3" s="120"/>
      <c r="TJQ3" s="120"/>
      <c r="TJR3" s="120"/>
      <c r="TJS3" s="120"/>
      <c r="TJT3" s="120"/>
      <c r="TJU3" s="120"/>
      <c r="TJV3" s="120"/>
      <c r="TJW3" s="120"/>
      <c r="TJX3" s="120"/>
      <c r="TJY3" s="120"/>
      <c r="TJZ3" s="120"/>
      <c r="TKA3" s="120"/>
      <c r="TKB3" s="120"/>
      <c r="TKC3" s="120"/>
      <c r="TKD3" s="120"/>
      <c r="TKE3" s="120"/>
      <c r="TKF3" s="120"/>
      <c r="TKG3" s="120"/>
      <c r="TKH3" s="120"/>
      <c r="TKI3" s="120"/>
      <c r="TKJ3" s="120"/>
      <c r="TKK3" s="120"/>
      <c r="TKL3" s="120"/>
      <c r="TKM3" s="120"/>
      <c r="TKN3" s="120"/>
      <c r="TKO3" s="120"/>
      <c r="TKP3" s="120"/>
      <c r="TKQ3" s="120"/>
      <c r="TKR3" s="120"/>
      <c r="TKS3" s="120"/>
      <c r="TKT3" s="120"/>
      <c r="TKU3" s="120"/>
      <c r="TKV3" s="120"/>
      <c r="TKW3" s="120"/>
      <c r="TKX3" s="120"/>
      <c r="TKY3" s="120"/>
      <c r="TKZ3" s="120"/>
      <c r="TLA3" s="120"/>
      <c r="TLB3" s="120"/>
      <c r="TLC3" s="120"/>
      <c r="TLD3" s="120"/>
      <c r="TLE3" s="120"/>
      <c r="TLF3" s="120"/>
      <c r="TLG3" s="120"/>
      <c r="TLH3" s="120"/>
      <c r="TLI3" s="120"/>
      <c r="TLJ3" s="120"/>
      <c r="TLK3" s="120"/>
      <c r="TLL3" s="120"/>
      <c r="TLM3" s="120"/>
      <c r="TLN3" s="120"/>
      <c r="TLO3" s="120"/>
      <c r="TLP3" s="120"/>
      <c r="TLQ3" s="120"/>
      <c r="TLR3" s="120"/>
      <c r="TLS3" s="120"/>
      <c r="TLT3" s="120"/>
      <c r="TLU3" s="120"/>
      <c r="TLV3" s="120"/>
      <c r="TLW3" s="120"/>
      <c r="TLX3" s="120"/>
      <c r="TLY3" s="120"/>
      <c r="TLZ3" s="120"/>
      <c r="TMA3" s="120"/>
      <c r="TMB3" s="120"/>
      <c r="TMC3" s="120"/>
      <c r="TMD3" s="120"/>
      <c r="TME3" s="120"/>
      <c r="TMF3" s="120"/>
      <c r="TMG3" s="120"/>
      <c r="TMH3" s="120"/>
      <c r="TMI3" s="120"/>
      <c r="TMJ3" s="120"/>
      <c r="TMK3" s="120"/>
      <c r="TML3" s="120"/>
      <c r="TMM3" s="120"/>
      <c r="TMN3" s="120"/>
      <c r="TMO3" s="120"/>
      <c r="TMP3" s="120"/>
      <c r="TMQ3" s="120"/>
      <c r="TMR3" s="120"/>
      <c r="TMS3" s="120"/>
      <c r="TMT3" s="120"/>
      <c r="TMU3" s="120"/>
      <c r="TMV3" s="120"/>
      <c r="TMW3" s="120"/>
      <c r="TMX3" s="120"/>
      <c r="TMY3" s="120"/>
      <c r="TMZ3" s="120"/>
      <c r="TNA3" s="120"/>
      <c r="TNB3" s="120"/>
      <c r="TNC3" s="120"/>
      <c r="TND3" s="120"/>
      <c r="TNE3" s="120"/>
      <c r="TNF3" s="120"/>
      <c r="TNG3" s="120"/>
      <c r="TNH3" s="120"/>
      <c r="TNI3" s="120"/>
      <c r="TNJ3" s="120"/>
      <c r="TNK3" s="120"/>
      <c r="TNL3" s="120"/>
      <c r="TNM3" s="120"/>
      <c r="TNN3" s="120"/>
      <c r="TNO3" s="120"/>
      <c r="TNP3" s="120"/>
      <c r="TNQ3" s="120"/>
      <c r="TNR3" s="120"/>
      <c r="TNS3" s="120"/>
      <c r="TNT3" s="120"/>
      <c r="TNU3" s="120"/>
      <c r="TNV3" s="120"/>
      <c r="TNW3" s="120"/>
      <c r="TNX3" s="120"/>
      <c r="TNY3" s="120"/>
      <c r="TNZ3" s="120"/>
      <c r="TOA3" s="120"/>
      <c r="TOB3" s="120"/>
      <c r="TOC3" s="120"/>
      <c r="TOD3" s="120"/>
      <c r="TOE3" s="120"/>
      <c r="TOF3" s="120"/>
      <c r="TOG3" s="120"/>
      <c r="TOH3" s="120"/>
      <c r="TOI3" s="120"/>
      <c r="TOJ3" s="120"/>
      <c r="TOK3" s="120"/>
      <c r="TOL3" s="120"/>
      <c r="TOM3" s="120"/>
      <c r="TON3" s="120"/>
      <c r="TOO3" s="120"/>
      <c r="TOP3" s="120"/>
      <c r="TOQ3" s="120"/>
      <c r="TOR3" s="120"/>
      <c r="TOS3" s="120"/>
      <c r="TOT3" s="120"/>
      <c r="TOU3" s="120"/>
      <c r="TOV3" s="120"/>
      <c r="TOW3" s="120"/>
      <c r="TOX3" s="120"/>
      <c r="TOY3" s="120"/>
      <c r="TOZ3" s="120"/>
      <c r="TPA3" s="120"/>
      <c r="TPB3" s="120"/>
      <c r="TPC3" s="120"/>
      <c r="TPD3" s="120"/>
      <c r="TPE3" s="120"/>
      <c r="TPF3" s="120"/>
      <c r="TPG3" s="120"/>
      <c r="TPH3" s="120"/>
      <c r="TPI3" s="120"/>
      <c r="TPJ3" s="120"/>
      <c r="TPK3" s="120"/>
      <c r="TPL3" s="120"/>
      <c r="TPM3" s="120"/>
      <c r="TPN3" s="120"/>
      <c r="TPO3" s="120"/>
      <c r="TPP3" s="120"/>
      <c r="TPQ3" s="120"/>
      <c r="TPR3" s="120"/>
      <c r="TPS3" s="120"/>
      <c r="TPT3" s="120"/>
      <c r="TPU3" s="120"/>
      <c r="TPV3" s="120"/>
      <c r="TPW3" s="120"/>
      <c r="TPX3" s="120"/>
      <c r="TPY3" s="120"/>
      <c r="TPZ3" s="120"/>
      <c r="TQA3" s="120"/>
      <c r="TQB3" s="120"/>
      <c r="TQC3" s="120"/>
      <c r="TQD3" s="120"/>
      <c r="TQE3" s="120"/>
      <c r="TQF3" s="120"/>
      <c r="TQG3" s="120"/>
      <c r="TQH3" s="120"/>
      <c r="TQI3" s="120"/>
      <c r="TQJ3" s="120"/>
      <c r="TQK3" s="120"/>
      <c r="TQL3" s="120"/>
      <c r="TQM3" s="120"/>
      <c r="TQN3" s="120"/>
      <c r="TQO3" s="120"/>
      <c r="TQP3" s="120"/>
      <c r="TQQ3" s="120"/>
      <c r="TQR3" s="120"/>
      <c r="TQS3" s="120"/>
      <c r="TQT3" s="120"/>
      <c r="TQU3" s="120"/>
      <c r="TQV3" s="120"/>
      <c r="TQW3" s="120"/>
      <c r="TQX3" s="120"/>
      <c r="TQY3" s="120"/>
      <c r="TQZ3" s="120"/>
      <c r="TRA3" s="120"/>
      <c r="TRB3" s="120"/>
      <c r="TRC3" s="120"/>
      <c r="TRD3" s="120"/>
      <c r="TRE3" s="120"/>
      <c r="TRF3" s="120"/>
      <c r="TRG3" s="120"/>
      <c r="TRH3" s="120"/>
      <c r="TRI3" s="120"/>
      <c r="TRJ3" s="120"/>
      <c r="TRK3" s="120"/>
      <c r="TRL3" s="120"/>
      <c r="TRM3" s="120"/>
      <c r="TRN3" s="120"/>
      <c r="TRO3" s="120"/>
      <c r="TRP3" s="120"/>
      <c r="TRQ3" s="120"/>
      <c r="TRR3" s="120"/>
      <c r="TRS3" s="120"/>
      <c r="TRT3" s="120"/>
      <c r="TRU3" s="120"/>
      <c r="TRV3" s="120"/>
      <c r="TRW3" s="120"/>
      <c r="TRX3" s="120"/>
      <c r="TRY3" s="120"/>
      <c r="TRZ3" s="120"/>
      <c r="TSA3" s="120"/>
      <c r="TSB3" s="120"/>
      <c r="TSC3" s="120"/>
      <c r="TSD3" s="120"/>
      <c r="TSE3" s="120"/>
      <c r="TSF3" s="120"/>
      <c r="TSG3" s="120"/>
      <c r="TSH3" s="120"/>
      <c r="TSI3" s="120"/>
      <c r="TSJ3" s="120"/>
      <c r="TSK3" s="120"/>
      <c r="TSL3" s="120"/>
      <c r="TSM3" s="120"/>
      <c r="TSN3" s="120"/>
      <c r="TSO3" s="120"/>
      <c r="TSP3" s="120"/>
      <c r="TSQ3" s="120"/>
      <c r="TSR3" s="120"/>
      <c r="TSS3" s="120"/>
      <c r="TST3" s="120"/>
      <c r="TSU3" s="120"/>
      <c r="TSV3" s="120"/>
      <c r="TSW3" s="120"/>
      <c r="TSX3" s="120"/>
      <c r="TSY3" s="120"/>
      <c r="TSZ3" s="120"/>
      <c r="TTA3" s="120"/>
      <c r="TTB3" s="120"/>
      <c r="TTC3" s="120"/>
      <c r="TTD3" s="120"/>
      <c r="TTE3" s="120"/>
      <c r="TTF3" s="120"/>
      <c r="TTG3" s="120"/>
      <c r="TTH3" s="120"/>
      <c r="TTI3" s="120"/>
      <c r="TTJ3" s="120"/>
      <c r="TTK3" s="120"/>
      <c r="TTL3" s="120"/>
      <c r="TTM3" s="120"/>
      <c r="TTN3" s="120"/>
      <c r="TTO3" s="120"/>
      <c r="TTP3" s="120"/>
      <c r="TTQ3" s="120"/>
      <c r="TTR3" s="120"/>
      <c r="TTS3" s="120"/>
      <c r="TTT3" s="120"/>
      <c r="TTU3" s="120"/>
      <c r="TTV3" s="120"/>
      <c r="TTW3" s="120"/>
      <c r="TTX3" s="120"/>
      <c r="TTY3" s="120"/>
      <c r="TTZ3" s="120"/>
      <c r="TUA3" s="120"/>
      <c r="TUB3" s="120"/>
      <c r="TUC3" s="120"/>
      <c r="TUD3" s="120"/>
      <c r="TUE3" s="120"/>
      <c r="TUF3" s="120"/>
      <c r="TUG3" s="120"/>
      <c r="TUH3" s="120"/>
      <c r="TUI3" s="120"/>
      <c r="TUJ3" s="120"/>
      <c r="TUK3" s="120"/>
      <c r="TUL3" s="120"/>
      <c r="TUM3" s="120"/>
      <c r="TUN3" s="120"/>
      <c r="TUO3" s="120"/>
      <c r="TUP3" s="120"/>
      <c r="TUQ3" s="120"/>
      <c r="TUR3" s="120"/>
      <c r="TUS3" s="120"/>
      <c r="TUT3" s="120"/>
      <c r="TUU3" s="120"/>
      <c r="TUV3" s="120"/>
      <c r="TUW3" s="120"/>
      <c r="TUX3" s="120"/>
      <c r="TUY3" s="120"/>
      <c r="TUZ3" s="120"/>
      <c r="TVA3" s="120"/>
      <c r="TVB3" s="120"/>
      <c r="TVC3" s="120"/>
      <c r="TVD3" s="120"/>
      <c r="TVE3" s="120"/>
      <c r="TVF3" s="120"/>
      <c r="TVG3" s="120"/>
      <c r="TVH3" s="120"/>
      <c r="TVI3" s="120"/>
      <c r="TVJ3" s="120"/>
      <c r="TVK3" s="120"/>
      <c r="TVL3" s="120"/>
      <c r="TVM3" s="120"/>
      <c r="TVN3" s="120"/>
      <c r="TVO3" s="120"/>
      <c r="TVP3" s="120"/>
      <c r="TVQ3" s="120"/>
      <c r="TVR3" s="120"/>
      <c r="TVS3" s="120"/>
      <c r="TVT3" s="120"/>
      <c r="TVU3" s="120"/>
      <c r="TVV3" s="120"/>
      <c r="TVW3" s="120"/>
      <c r="TVX3" s="120"/>
      <c r="TVY3" s="120"/>
      <c r="TVZ3" s="120"/>
      <c r="TWA3" s="120"/>
      <c r="TWB3" s="120"/>
      <c r="TWC3" s="120"/>
      <c r="TWD3" s="120"/>
      <c r="TWE3" s="120"/>
      <c r="TWF3" s="120"/>
      <c r="TWG3" s="120"/>
      <c r="TWH3" s="120"/>
      <c r="TWI3" s="120"/>
      <c r="TWJ3" s="120"/>
      <c r="TWK3" s="120"/>
      <c r="TWL3" s="120"/>
      <c r="TWM3" s="120"/>
      <c r="TWN3" s="120"/>
      <c r="TWO3" s="120"/>
      <c r="TWP3" s="120"/>
      <c r="TWQ3" s="120"/>
      <c r="TWR3" s="120"/>
      <c r="TWS3" s="120"/>
      <c r="TWT3" s="120"/>
      <c r="TWU3" s="120"/>
      <c r="TWV3" s="120"/>
      <c r="TWW3" s="120"/>
      <c r="TWX3" s="120"/>
      <c r="TWY3" s="120"/>
      <c r="TWZ3" s="120"/>
      <c r="TXA3" s="120"/>
      <c r="TXB3" s="120"/>
      <c r="TXC3" s="120"/>
      <c r="TXD3" s="120"/>
      <c r="TXE3" s="120"/>
      <c r="TXF3" s="120"/>
      <c r="TXG3" s="120"/>
      <c r="TXH3" s="120"/>
      <c r="TXI3" s="120"/>
      <c r="TXJ3" s="120"/>
      <c r="TXK3" s="120"/>
      <c r="TXL3" s="120"/>
      <c r="TXM3" s="120"/>
      <c r="TXN3" s="120"/>
      <c r="TXO3" s="120"/>
      <c r="TXP3" s="120"/>
      <c r="TXQ3" s="120"/>
      <c r="TXR3" s="120"/>
      <c r="TXS3" s="120"/>
      <c r="TXT3" s="120"/>
      <c r="TXU3" s="120"/>
      <c r="TXV3" s="120"/>
      <c r="TXW3" s="120"/>
      <c r="TXX3" s="120"/>
      <c r="TXY3" s="120"/>
      <c r="TXZ3" s="120"/>
      <c r="TYA3" s="120"/>
      <c r="TYB3" s="120"/>
      <c r="TYC3" s="120"/>
      <c r="TYD3" s="120"/>
      <c r="TYE3" s="120"/>
      <c r="TYF3" s="120"/>
      <c r="TYG3" s="120"/>
      <c r="TYH3" s="120"/>
      <c r="TYI3" s="120"/>
      <c r="TYJ3" s="120"/>
      <c r="TYK3" s="120"/>
      <c r="TYL3" s="120"/>
      <c r="TYM3" s="120"/>
      <c r="TYN3" s="120"/>
      <c r="TYO3" s="120"/>
      <c r="TYP3" s="120"/>
      <c r="TYQ3" s="120"/>
      <c r="TYR3" s="120"/>
      <c r="TYS3" s="120"/>
      <c r="TYT3" s="120"/>
      <c r="TYU3" s="120"/>
      <c r="TYV3" s="120"/>
      <c r="TYW3" s="120"/>
      <c r="TYX3" s="120"/>
      <c r="TYY3" s="120"/>
      <c r="TYZ3" s="120"/>
      <c r="TZA3" s="120"/>
      <c r="TZB3" s="120"/>
      <c r="TZC3" s="120"/>
      <c r="TZD3" s="120"/>
      <c r="TZE3" s="120"/>
      <c r="TZF3" s="120"/>
      <c r="TZG3" s="120"/>
      <c r="TZH3" s="120"/>
      <c r="TZI3" s="120"/>
      <c r="TZJ3" s="120"/>
      <c r="TZK3" s="120"/>
      <c r="TZL3" s="120"/>
      <c r="TZM3" s="120"/>
      <c r="TZN3" s="120"/>
      <c r="TZO3" s="120"/>
      <c r="TZP3" s="120"/>
      <c r="TZQ3" s="120"/>
      <c r="TZR3" s="120"/>
      <c r="TZS3" s="120"/>
      <c r="TZT3" s="120"/>
      <c r="TZU3" s="120"/>
      <c r="TZV3" s="120"/>
      <c r="TZW3" s="120"/>
      <c r="TZX3" s="120"/>
      <c r="TZY3" s="120"/>
      <c r="TZZ3" s="120"/>
      <c r="UAA3" s="120"/>
      <c r="UAB3" s="120"/>
      <c r="UAC3" s="120"/>
      <c r="UAD3" s="120"/>
      <c r="UAE3" s="120"/>
      <c r="UAF3" s="120"/>
      <c r="UAG3" s="120"/>
      <c r="UAH3" s="120"/>
      <c r="UAI3" s="120"/>
      <c r="UAJ3" s="120"/>
      <c r="UAK3" s="120"/>
      <c r="UAL3" s="120"/>
      <c r="UAM3" s="120"/>
      <c r="UAN3" s="120"/>
      <c r="UAO3" s="120"/>
      <c r="UAP3" s="120"/>
      <c r="UAQ3" s="120"/>
      <c r="UAR3" s="120"/>
      <c r="UAS3" s="120"/>
      <c r="UAT3" s="120"/>
      <c r="UAU3" s="120"/>
      <c r="UAV3" s="120"/>
      <c r="UAW3" s="120"/>
      <c r="UAX3" s="120"/>
      <c r="UAY3" s="120"/>
      <c r="UAZ3" s="120"/>
      <c r="UBA3" s="120"/>
      <c r="UBB3" s="120"/>
      <c r="UBC3" s="120"/>
      <c r="UBD3" s="120"/>
      <c r="UBE3" s="120"/>
      <c r="UBF3" s="120"/>
      <c r="UBG3" s="120"/>
      <c r="UBH3" s="120"/>
      <c r="UBI3" s="120"/>
      <c r="UBJ3" s="120"/>
      <c r="UBK3" s="120"/>
      <c r="UBL3" s="120"/>
      <c r="UBM3" s="120"/>
      <c r="UBN3" s="120"/>
      <c r="UBO3" s="120"/>
      <c r="UBP3" s="120"/>
      <c r="UBQ3" s="120"/>
      <c r="UBR3" s="120"/>
      <c r="UBS3" s="120"/>
      <c r="UBT3" s="120"/>
      <c r="UBU3" s="120"/>
      <c r="UBV3" s="120"/>
      <c r="UBW3" s="120"/>
      <c r="UBX3" s="120"/>
      <c r="UBY3" s="120"/>
      <c r="UBZ3" s="120"/>
      <c r="UCA3" s="120"/>
      <c r="UCB3" s="120"/>
      <c r="UCC3" s="120"/>
      <c r="UCD3" s="120"/>
      <c r="UCE3" s="120"/>
      <c r="UCF3" s="120"/>
      <c r="UCG3" s="120"/>
      <c r="UCH3" s="120"/>
      <c r="UCI3" s="120"/>
      <c r="UCJ3" s="120"/>
      <c r="UCK3" s="120"/>
      <c r="UCL3" s="120"/>
      <c r="UCM3" s="120"/>
      <c r="UCN3" s="120"/>
      <c r="UCO3" s="120"/>
      <c r="UCP3" s="120"/>
      <c r="UCQ3" s="120"/>
      <c r="UCR3" s="120"/>
      <c r="UCS3" s="120"/>
      <c r="UCT3" s="120"/>
      <c r="UCU3" s="120"/>
      <c r="UCV3" s="120"/>
      <c r="UCW3" s="120"/>
      <c r="UCX3" s="120"/>
      <c r="UCY3" s="120"/>
      <c r="UCZ3" s="120"/>
      <c r="UDA3" s="120"/>
      <c r="UDB3" s="120"/>
      <c r="UDC3" s="120"/>
      <c r="UDD3" s="120"/>
      <c r="UDE3" s="120"/>
      <c r="UDF3" s="120"/>
      <c r="UDG3" s="120"/>
      <c r="UDH3" s="120"/>
      <c r="UDI3" s="120"/>
      <c r="UDJ3" s="120"/>
      <c r="UDK3" s="120"/>
      <c r="UDL3" s="120"/>
      <c r="UDM3" s="120"/>
      <c r="UDN3" s="120"/>
      <c r="UDO3" s="120"/>
      <c r="UDP3" s="120"/>
      <c r="UDQ3" s="120"/>
      <c r="UDR3" s="120"/>
      <c r="UDS3" s="120"/>
      <c r="UDT3" s="120"/>
      <c r="UDU3" s="120"/>
      <c r="UDV3" s="120"/>
      <c r="UDW3" s="120"/>
      <c r="UDX3" s="120"/>
      <c r="UDY3" s="120"/>
      <c r="UDZ3" s="120"/>
      <c r="UEA3" s="120"/>
      <c r="UEB3" s="120"/>
      <c r="UEC3" s="120"/>
      <c r="UED3" s="120"/>
      <c r="UEE3" s="120"/>
      <c r="UEF3" s="120"/>
      <c r="UEG3" s="120"/>
      <c r="UEH3" s="120"/>
      <c r="UEI3" s="120"/>
      <c r="UEJ3" s="120"/>
      <c r="UEK3" s="120"/>
      <c r="UEL3" s="120"/>
      <c r="UEM3" s="120"/>
      <c r="UEN3" s="120"/>
      <c r="UEO3" s="120"/>
      <c r="UEP3" s="120"/>
      <c r="UEQ3" s="120"/>
      <c r="UER3" s="120"/>
      <c r="UES3" s="120"/>
      <c r="UET3" s="120"/>
      <c r="UEU3" s="120"/>
      <c r="UEV3" s="120"/>
      <c r="UEW3" s="120"/>
      <c r="UEX3" s="120"/>
      <c r="UEY3" s="120"/>
      <c r="UEZ3" s="120"/>
      <c r="UFA3" s="120"/>
      <c r="UFB3" s="120"/>
      <c r="UFC3" s="120"/>
      <c r="UFD3" s="120"/>
      <c r="UFE3" s="120"/>
      <c r="UFF3" s="120"/>
      <c r="UFG3" s="120"/>
      <c r="UFH3" s="120"/>
      <c r="UFI3" s="120"/>
      <c r="UFJ3" s="120"/>
      <c r="UFK3" s="120"/>
      <c r="UFL3" s="120"/>
      <c r="UFM3" s="120"/>
      <c r="UFN3" s="120"/>
      <c r="UFO3" s="120"/>
      <c r="UFP3" s="120"/>
      <c r="UFQ3" s="120"/>
      <c r="UFR3" s="120"/>
      <c r="UFS3" s="120"/>
      <c r="UFT3" s="120"/>
      <c r="UFU3" s="120"/>
      <c r="UFV3" s="120"/>
      <c r="UFW3" s="120"/>
      <c r="UFX3" s="120"/>
      <c r="UFY3" s="120"/>
      <c r="UFZ3" s="120"/>
      <c r="UGA3" s="120"/>
      <c r="UGB3" s="120"/>
      <c r="UGC3" s="120"/>
      <c r="UGD3" s="120"/>
      <c r="UGE3" s="120"/>
      <c r="UGF3" s="120"/>
      <c r="UGG3" s="120"/>
      <c r="UGH3" s="120"/>
      <c r="UGI3" s="120"/>
      <c r="UGJ3" s="120"/>
      <c r="UGK3" s="120"/>
      <c r="UGL3" s="120"/>
      <c r="UGM3" s="120"/>
      <c r="UGN3" s="120"/>
      <c r="UGO3" s="120"/>
      <c r="UGP3" s="120"/>
      <c r="UGQ3" s="120"/>
      <c r="UGR3" s="120"/>
      <c r="UGS3" s="120"/>
      <c r="UGT3" s="120"/>
      <c r="UGU3" s="120"/>
      <c r="UGV3" s="120"/>
      <c r="UGW3" s="120"/>
      <c r="UGX3" s="120"/>
      <c r="UGY3" s="120"/>
      <c r="UGZ3" s="120"/>
      <c r="UHA3" s="120"/>
      <c r="UHB3" s="120"/>
      <c r="UHC3" s="120"/>
      <c r="UHD3" s="120"/>
      <c r="UHE3" s="120"/>
      <c r="UHF3" s="120"/>
      <c r="UHG3" s="120"/>
      <c r="UHH3" s="120"/>
      <c r="UHI3" s="120"/>
      <c r="UHJ3" s="120"/>
      <c r="UHK3" s="120"/>
      <c r="UHL3" s="120"/>
      <c r="UHM3" s="120"/>
      <c r="UHN3" s="120"/>
      <c r="UHO3" s="120"/>
      <c r="UHP3" s="120"/>
      <c r="UHQ3" s="120"/>
      <c r="UHR3" s="120"/>
      <c r="UHS3" s="120"/>
      <c r="UHT3" s="120"/>
      <c r="UHU3" s="120"/>
      <c r="UHV3" s="120"/>
      <c r="UHW3" s="120"/>
      <c r="UHX3" s="120"/>
      <c r="UHY3" s="120"/>
      <c r="UHZ3" s="120"/>
      <c r="UIA3" s="120"/>
      <c r="UIB3" s="120"/>
      <c r="UIC3" s="120"/>
      <c r="UID3" s="120"/>
      <c r="UIE3" s="120"/>
      <c r="UIF3" s="120"/>
      <c r="UIG3" s="120"/>
      <c r="UIH3" s="120"/>
      <c r="UII3" s="120"/>
      <c r="UIJ3" s="120"/>
      <c r="UIK3" s="120"/>
      <c r="UIL3" s="120"/>
      <c r="UIM3" s="120"/>
      <c r="UIN3" s="120"/>
      <c r="UIO3" s="120"/>
      <c r="UIP3" s="120"/>
      <c r="UIQ3" s="120"/>
      <c r="UIR3" s="120"/>
      <c r="UIS3" s="120"/>
      <c r="UIT3" s="120"/>
      <c r="UIU3" s="120"/>
      <c r="UIV3" s="120"/>
      <c r="UIW3" s="120"/>
      <c r="UIX3" s="120"/>
      <c r="UIY3" s="120"/>
      <c r="UIZ3" s="120"/>
      <c r="UJA3" s="120"/>
      <c r="UJB3" s="120"/>
      <c r="UJC3" s="120"/>
      <c r="UJD3" s="120"/>
      <c r="UJE3" s="120"/>
      <c r="UJF3" s="120"/>
      <c r="UJG3" s="120"/>
      <c r="UJH3" s="120"/>
      <c r="UJI3" s="120"/>
      <c r="UJJ3" s="120"/>
      <c r="UJK3" s="120"/>
      <c r="UJL3" s="120"/>
      <c r="UJM3" s="120"/>
      <c r="UJN3" s="120"/>
      <c r="UJO3" s="120"/>
      <c r="UJP3" s="120"/>
      <c r="UJQ3" s="120"/>
      <c r="UJR3" s="120"/>
      <c r="UJS3" s="120"/>
      <c r="UJT3" s="120"/>
      <c r="UJU3" s="120"/>
      <c r="UJV3" s="120"/>
      <c r="UJW3" s="120"/>
      <c r="UJX3" s="120"/>
      <c r="UJY3" s="120"/>
      <c r="UJZ3" s="120"/>
      <c r="UKA3" s="120"/>
      <c r="UKB3" s="120"/>
      <c r="UKC3" s="120"/>
      <c r="UKD3" s="120"/>
      <c r="UKE3" s="120"/>
      <c r="UKF3" s="120"/>
      <c r="UKG3" s="120"/>
      <c r="UKH3" s="120"/>
      <c r="UKI3" s="120"/>
      <c r="UKJ3" s="120"/>
      <c r="UKK3" s="120"/>
      <c r="UKL3" s="120"/>
      <c r="UKM3" s="120"/>
      <c r="UKN3" s="120"/>
      <c r="UKO3" s="120"/>
      <c r="UKP3" s="120"/>
      <c r="UKQ3" s="120"/>
      <c r="UKR3" s="120"/>
      <c r="UKS3" s="120"/>
      <c r="UKT3" s="120"/>
      <c r="UKU3" s="120"/>
      <c r="UKV3" s="120"/>
      <c r="UKW3" s="120"/>
      <c r="UKX3" s="120"/>
      <c r="UKY3" s="120"/>
      <c r="UKZ3" s="120"/>
      <c r="ULA3" s="120"/>
      <c r="ULB3" s="120"/>
      <c r="ULC3" s="120"/>
      <c r="ULD3" s="120"/>
      <c r="ULE3" s="120"/>
      <c r="ULF3" s="120"/>
      <c r="ULG3" s="120"/>
      <c r="ULH3" s="120"/>
      <c r="ULI3" s="120"/>
      <c r="ULJ3" s="120"/>
      <c r="ULK3" s="120"/>
      <c r="ULL3" s="120"/>
      <c r="ULM3" s="120"/>
      <c r="ULN3" s="120"/>
      <c r="ULO3" s="120"/>
      <c r="ULP3" s="120"/>
      <c r="ULQ3" s="120"/>
      <c r="ULR3" s="120"/>
      <c r="ULS3" s="120"/>
      <c r="ULT3" s="120"/>
      <c r="ULU3" s="120"/>
      <c r="ULV3" s="120"/>
      <c r="ULW3" s="120"/>
      <c r="ULX3" s="120"/>
      <c r="ULY3" s="120"/>
      <c r="ULZ3" s="120"/>
      <c r="UMA3" s="120"/>
      <c r="UMB3" s="120"/>
      <c r="UMC3" s="120"/>
      <c r="UMD3" s="120"/>
      <c r="UME3" s="120"/>
      <c r="UMF3" s="120"/>
      <c r="UMG3" s="120"/>
      <c r="UMH3" s="120"/>
      <c r="UMI3" s="120"/>
      <c r="UMJ3" s="120"/>
      <c r="UMK3" s="120"/>
      <c r="UML3" s="120"/>
      <c r="UMM3" s="120"/>
      <c r="UMN3" s="120"/>
      <c r="UMO3" s="120"/>
      <c r="UMP3" s="120"/>
      <c r="UMQ3" s="120"/>
      <c r="UMR3" s="120"/>
      <c r="UMS3" s="120"/>
      <c r="UMT3" s="120"/>
      <c r="UMU3" s="120"/>
      <c r="UMV3" s="120"/>
      <c r="UMW3" s="120"/>
      <c r="UMX3" s="120"/>
      <c r="UMY3" s="120"/>
      <c r="UMZ3" s="120"/>
      <c r="UNA3" s="120"/>
      <c r="UNB3" s="120"/>
      <c r="UNC3" s="120"/>
      <c r="UND3" s="120"/>
      <c r="UNE3" s="120"/>
      <c r="UNF3" s="120"/>
      <c r="UNG3" s="120"/>
      <c r="UNH3" s="120"/>
      <c r="UNI3" s="120"/>
      <c r="UNJ3" s="120"/>
      <c r="UNK3" s="120"/>
      <c r="UNL3" s="120"/>
      <c r="UNM3" s="120"/>
      <c r="UNN3" s="120"/>
      <c r="UNO3" s="120"/>
      <c r="UNP3" s="120"/>
      <c r="UNQ3" s="120"/>
      <c r="UNR3" s="120"/>
      <c r="UNS3" s="120"/>
      <c r="UNT3" s="120"/>
      <c r="UNU3" s="120"/>
      <c r="UNV3" s="120"/>
      <c r="UNW3" s="120"/>
      <c r="UNX3" s="120"/>
      <c r="UNY3" s="120"/>
      <c r="UNZ3" s="120"/>
      <c r="UOA3" s="120"/>
      <c r="UOB3" s="120"/>
      <c r="UOC3" s="120"/>
      <c r="UOD3" s="120"/>
      <c r="UOE3" s="120"/>
      <c r="UOF3" s="120"/>
      <c r="UOG3" s="120"/>
      <c r="UOH3" s="120"/>
      <c r="UOI3" s="120"/>
      <c r="UOJ3" s="120"/>
      <c r="UOK3" s="120"/>
      <c r="UOL3" s="120"/>
      <c r="UOM3" s="120"/>
      <c r="UON3" s="120"/>
      <c r="UOO3" s="120"/>
      <c r="UOP3" s="120"/>
      <c r="UOQ3" s="120"/>
      <c r="UOR3" s="120"/>
      <c r="UOS3" s="120"/>
      <c r="UOT3" s="120"/>
      <c r="UOU3" s="120"/>
      <c r="UOV3" s="120"/>
      <c r="UOW3" s="120"/>
      <c r="UOX3" s="120"/>
      <c r="UOY3" s="120"/>
      <c r="UOZ3" s="120"/>
      <c r="UPA3" s="120"/>
      <c r="UPB3" s="120"/>
      <c r="UPC3" s="120"/>
      <c r="UPD3" s="120"/>
      <c r="UPE3" s="120"/>
      <c r="UPF3" s="120"/>
      <c r="UPG3" s="120"/>
      <c r="UPH3" s="120"/>
      <c r="UPI3" s="120"/>
      <c r="UPJ3" s="120"/>
      <c r="UPK3" s="120"/>
      <c r="UPL3" s="120"/>
      <c r="UPM3" s="120"/>
      <c r="UPN3" s="120"/>
      <c r="UPO3" s="120"/>
      <c r="UPP3" s="120"/>
      <c r="UPQ3" s="120"/>
      <c r="UPR3" s="120"/>
      <c r="UPS3" s="120"/>
      <c r="UPT3" s="120"/>
      <c r="UPU3" s="120"/>
      <c r="UPV3" s="120"/>
      <c r="UPW3" s="120"/>
      <c r="UPX3" s="120"/>
      <c r="UPY3" s="120"/>
      <c r="UPZ3" s="120"/>
      <c r="UQA3" s="120"/>
      <c r="UQB3" s="120"/>
      <c r="UQC3" s="120"/>
      <c r="UQD3" s="120"/>
      <c r="UQE3" s="120"/>
      <c r="UQF3" s="120"/>
      <c r="UQG3" s="120"/>
      <c r="UQH3" s="120"/>
      <c r="UQI3" s="120"/>
      <c r="UQJ3" s="120"/>
      <c r="UQK3" s="120"/>
      <c r="UQL3" s="120"/>
      <c r="UQM3" s="120"/>
      <c r="UQN3" s="120"/>
      <c r="UQO3" s="120"/>
      <c r="UQP3" s="120"/>
      <c r="UQQ3" s="120"/>
      <c r="UQR3" s="120"/>
      <c r="UQS3" s="120"/>
      <c r="UQT3" s="120"/>
      <c r="UQU3" s="120"/>
      <c r="UQV3" s="120"/>
      <c r="UQW3" s="120"/>
      <c r="UQX3" s="120"/>
      <c r="UQY3" s="120"/>
      <c r="UQZ3" s="120"/>
      <c r="URA3" s="120"/>
      <c r="URB3" s="120"/>
      <c r="URC3" s="120"/>
      <c r="URD3" s="120"/>
      <c r="URE3" s="120"/>
      <c r="URF3" s="120"/>
      <c r="URG3" s="120"/>
      <c r="URH3" s="120"/>
      <c r="URI3" s="120"/>
      <c r="URJ3" s="120"/>
      <c r="URK3" s="120"/>
      <c r="URL3" s="120"/>
      <c r="URM3" s="120"/>
      <c r="URN3" s="120"/>
      <c r="URO3" s="120"/>
      <c r="URP3" s="120"/>
      <c r="URQ3" s="120"/>
      <c r="URR3" s="120"/>
      <c r="URS3" s="120"/>
      <c r="URT3" s="120"/>
      <c r="URU3" s="120"/>
      <c r="URV3" s="120"/>
      <c r="URW3" s="120"/>
      <c r="URX3" s="120"/>
      <c r="URY3" s="120"/>
      <c r="URZ3" s="120"/>
      <c r="USA3" s="120"/>
      <c r="USB3" s="120"/>
      <c r="USC3" s="120"/>
      <c r="USD3" s="120"/>
      <c r="USE3" s="120"/>
      <c r="USF3" s="120"/>
      <c r="USG3" s="120"/>
      <c r="USH3" s="120"/>
      <c r="USI3" s="120"/>
      <c r="USJ3" s="120"/>
      <c r="USK3" s="120"/>
      <c r="USL3" s="120"/>
      <c r="USM3" s="120"/>
      <c r="USN3" s="120"/>
      <c r="USO3" s="120"/>
      <c r="USP3" s="120"/>
      <c r="USQ3" s="120"/>
      <c r="USR3" s="120"/>
      <c r="USS3" s="120"/>
      <c r="UST3" s="120"/>
      <c r="USU3" s="120"/>
      <c r="USV3" s="120"/>
      <c r="USW3" s="120"/>
      <c r="USX3" s="120"/>
      <c r="USY3" s="120"/>
      <c r="USZ3" s="120"/>
      <c r="UTA3" s="120"/>
      <c r="UTB3" s="120"/>
      <c r="UTC3" s="120"/>
      <c r="UTD3" s="120"/>
      <c r="UTE3" s="120"/>
      <c r="UTF3" s="120"/>
      <c r="UTG3" s="120"/>
      <c r="UTH3" s="120"/>
      <c r="UTI3" s="120"/>
      <c r="UTJ3" s="120"/>
      <c r="UTK3" s="120"/>
      <c r="UTL3" s="120"/>
      <c r="UTM3" s="120"/>
      <c r="UTN3" s="120"/>
      <c r="UTO3" s="120"/>
      <c r="UTP3" s="120"/>
      <c r="UTQ3" s="120"/>
      <c r="UTR3" s="120"/>
      <c r="UTS3" s="120"/>
      <c r="UTT3" s="120"/>
      <c r="UTU3" s="120"/>
      <c r="UTV3" s="120"/>
      <c r="UTW3" s="120"/>
      <c r="UTX3" s="120"/>
      <c r="UTY3" s="120"/>
      <c r="UTZ3" s="120"/>
      <c r="UUA3" s="120"/>
      <c r="UUB3" s="120"/>
      <c r="UUC3" s="120"/>
      <c r="UUD3" s="120"/>
      <c r="UUE3" s="120"/>
      <c r="UUF3" s="120"/>
      <c r="UUG3" s="120"/>
      <c r="UUH3" s="120"/>
      <c r="UUI3" s="120"/>
      <c r="UUJ3" s="120"/>
      <c r="UUK3" s="120"/>
      <c r="UUL3" s="120"/>
      <c r="UUM3" s="120"/>
      <c r="UUN3" s="120"/>
      <c r="UUO3" s="120"/>
      <c r="UUP3" s="120"/>
      <c r="UUQ3" s="120"/>
      <c r="UUR3" s="120"/>
      <c r="UUS3" s="120"/>
      <c r="UUT3" s="120"/>
      <c r="UUU3" s="120"/>
      <c r="UUV3" s="120"/>
      <c r="UUW3" s="120"/>
      <c r="UUX3" s="120"/>
      <c r="UUY3" s="120"/>
      <c r="UUZ3" s="120"/>
      <c r="UVA3" s="120"/>
      <c r="UVB3" s="120"/>
      <c r="UVC3" s="120"/>
      <c r="UVD3" s="120"/>
      <c r="UVE3" s="120"/>
      <c r="UVF3" s="120"/>
      <c r="UVG3" s="120"/>
      <c r="UVH3" s="120"/>
      <c r="UVI3" s="120"/>
      <c r="UVJ3" s="120"/>
      <c r="UVK3" s="120"/>
      <c r="UVL3" s="120"/>
      <c r="UVM3" s="120"/>
      <c r="UVN3" s="120"/>
      <c r="UVO3" s="120"/>
      <c r="UVP3" s="120"/>
      <c r="UVQ3" s="120"/>
      <c r="UVR3" s="120"/>
      <c r="UVS3" s="120"/>
      <c r="UVT3" s="120"/>
      <c r="UVU3" s="120"/>
      <c r="UVV3" s="120"/>
      <c r="UVW3" s="120"/>
      <c r="UVX3" s="120"/>
      <c r="UVY3" s="120"/>
      <c r="UVZ3" s="120"/>
      <c r="UWA3" s="120"/>
      <c r="UWB3" s="120"/>
      <c r="UWC3" s="120"/>
      <c r="UWD3" s="120"/>
      <c r="UWE3" s="120"/>
      <c r="UWF3" s="120"/>
      <c r="UWG3" s="120"/>
      <c r="UWH3" s="120"/>
      <c r="UWI3" s="120"/>
      <c r="UWJ3" s="120"/>
      <c r="UWK3" s="120"/>
      <c r="UWL3" s="120"/>
      <c r="UWM3" s="120"/>
      <c r="UWN3" s="120"/>
      <c r="UWO3" s="120"/>
      <c r="UWP3" s="120"/>
      <c r="UWQ3" s="120"/>
      <c r="UWR3" s="120"/>
      <c r="UWS3" s="120"/>
      <c r="UWT3" s="120"/>
      <c r="UWU3" s="120"/>
      <c r="UWV3" s="120"/>
      <c r="UWW3" s="120"/>
      <c r="UWX3" s="120"/>
      <c r="UWY3" s="120"/>
      <c r="UWZ3" s="120"/>
      <c r="UXA3" s="120"/>
      <c r="UXB3" s="120"/>
      <c r="UXC3" s="120"/>
      <c r="UXD3" s="120"/>
      <c r="UXE3" s="120"/>
      <c r="UXF3" s="120"/>
      <c r="UXG3" s="120"/>
      <c r="UXH3" s="120"/>
      <c r="UXI3" s="120"/>
      <c r="UXJ3" s="120"/>
      <c r="UXK3" s="120"/>
      <c r="UXL3" s="120"/>
      <c r="UXM3" s="120"/>
      <c r="UXN3" s="120"/>
      <c r="UXO3" s="120"/>
      <c r="UXP3" s="120"/>
      <c r="UXQ3" s="120"/>
      <c r="UXR3" s="120"/>
      <c r="UXS3" s="120"/>
      <c r="UXT3" s="120"/>
      <c r="UXU3" s="120"/>
      <c r="UXV3" s="120"/>
      <c r="UXW3" s="120"/>
      <c r="UXX3" s="120"/>
      <c r="UXY3" s="120"/>
      <c r="UXZ3" s="120"/>
      <c r="UYA3" s="120"/>
      <c r="UYB3" s="120"/>
      <c r="UYC3" s="120"/>
      <c r="UYD3" s="120"/>
      <c r="UYE3" s="120"/>
      <c r="UYF3" s="120"/>
      <c r="UYG3" s="120"/>
      <c r="UYH3" s="120"/>
      <c r="UYI3" s="120"/>
      <c r="UYJ3" s="120"/>
      <c r="UYK3" s="120"/>
      <c r="UYL3" s="120"/>
      <c r="UYM3" s="120"/>
      <c r="UYN3" s="120"/>
      <c r="UYO3" s="120"/>
      <c r="UYP3" s="120"/>
      <c r="UYQ3" s="120"/>
      <c r="UYR3" s="120"/>
      <c r="UYS3" s="120"/>
      <c r="UYT3" s="120"/>
      <c r="UYU3" s="120"/>
      <c r="UYV3" s="120"/>
      <c r="UYW3" s="120"/>
      <c r="UYX3" s="120"/>
      <c r="UYY3" s="120"/>
      <c r="UYZ3" s="120"/>
      <c r="UZA3" s="120"/>
      <c r="UZB3" s="120"/>
      <c r="UZC3" s="120"/>
      <c r="UZD3" s="120"/>
      <c r="UZE3" s="120"/>
      <c r="UZF3" s="120"/>
      <c r="UZG3" s="120"/>
      <c r="UZH3" s="120"/>
      <c r="UZI3" s="120"/>
      <c r="UZJ3" s="120"/>
      <c r="UZK3" s="120"/>
      <c r="UZL3" s="120"/>
      <c r="UZM3" s="120"/>
      <c r="UZN3" s="120"/>
      <c r="UZO3" s="120"/>
      <c r="UZP3" s="120"/>
      <c r="UZQ3" s="120"/>
      <c r="UZR3" s="120"/>
      <c r="UZS3" s="120"/>
      <c r="UZT3" s="120"/>
      <c r="UZU3" s="120"/>
      <c r="UZV3" s="120"/>
      <c r="UZW3" s="120"/>
      <c r="UZX3" s="120"/>
      <c r="UZY3" s="120"/>
      <c r="UZZ3" s="120"/>
      <c r="VAA3" s="120"/>
      <c r="VAB3" s="120"/>
      <c r="VAC3" s="120"/>
      <c r="VAD3" s="120"/>
      <c r="VAE3" s="120"/>
      <c r="VAF3" s="120"/>
      <c r="VAG3" s="120"/>
      <c r="VAH3" s="120"/>
      <c r="VAI3" s="120"/>
      <c r="VAJ3" s="120"/>
      <c r="VAK3" s="120"/>
      <c r="VAL3" s="120"/>
      <c r="VAM3" s="120"/>
      <c r="VAN3" s="120"/>
      <c r="VAO3" s="120"/>
      <c r="VAP3" s="120"/>
      <c r="VAQ3" s="120"/>
      <c r="VAR3" s="120"/>
      <c r="VAS3" s="120"/>
      <c r="VAT3" s="120"/>
      <c r="VAU3" s="120"/>
      <c r="VAV3" s="120"/>
      <c r="VAW3" s="120"/>
      <c r="VAX3" s="120"/>
      <c r="VAY3" s="120"/>
      <c r="VAZ3" s="120"/>
      <c r="VBA3" s="120"/>
      <c r="VBB3" s="120"/>
      <c r="VBC3" s="120"/>
      <c r="VBD3" s="120"/>
      <c r="VBE3" s="120"/>
      <c r="VBF3" s="120"/>
      <c r="VBG3" s="120"/>
      <c r="VBH3" s="120"/>
      <c r="VBI3" s="120"/>
      <c r="VBJ3" s="120"/>
      <c r="VBK3" s="120"/>
      <c r="VBL3" s="120"/>
      <c r="VBM3" s="120"/>
      <c r="VBN3" s="120"/>
      <c r="VBO3" s="120"/>
      <c r="VBP3" s="120"/>
      <c r="VBQ3" s="120"/>
      <c r="VBR3" s="120"/>
      <c r="VBS3" s="120"/>
      <c r="VBT3" s="120"/>
      <c r="VBU3" s="120"/>
      <c r="VBV3" s="120"/>
      <c r="VBW3" s="120"/>
      <c r="VBX3" s="120"/>
      <c r="VBY3" s="120"/>
      <c r="VBZ3" s="120"/>
      <c r="VCA3" s="120"/>
      <c r="VCB3" s="120"/>
      <c r="VCC3" s="120"/>
      <c r="VCD3" s="120"/>
      <c r="VCE3" s="120"/>
      <c r="VCF3" s="120"/>
      <c r="VCG3" s="120"/>
      <c r="VCH3" s="120"/>
      <c r="VCI3" s="120"/>
      <c r="VCJ3" s="120"/>
      <c r="VCK3" s="120"/>
      <c r="VCL3" s="120"/>
      <c r="VCM3" s="120"/>
      <c r="VCN3" s="120"/>
      <c r="VCO3" s="120"/>
      <c r="VCP3" s="120"/>
      <c r="VCQ3" s="120"/>
      <c r="VCR3" s="120"/>
      <c r="VCS3" s="120"/>
      <c r="VCT3" s="120"/>
      <c r="VCU3" s="120"/>
      <c r="VCV3" s="120"/>
      <c r="VCW3" s="120"/>
      <c r="VCX3" s="120"/>
      <c r="VCY3" s="120"/>
      <c r="VCZ3" s="120"/>
      <c r="VDA3" s="120"/>
      <c r="VDB3" s="120"/>
      <c r="VDC3" s="120"/>
      <c r="VDD3" s="120"/>
      <c r="VDE3" s="120"/>
      <c r="VDF3" s="120"/>
      <c r="VDG3" s="120"/>
      <c r="VDH3" s="120"/>
      <c r="VDI3" s="120"/>
      <c r="VDJ3" s="120"/>
      <c r="VDK3" s="120"/>
      <c r="VDL3" s="120"/>
      <c r="VDM3" s="120"/>
      <c r="VDN3" s="120"/>
      <c r="VDO3" s="120"/>
      <c r="VDP3" s="120"/>
      <c r="VDQ3" s="120"/>
      <c r="VDR3" s="120"/>
      <c r="VDS3" s="120"/>
      <c r="VDT3" s="120"/>
      <c r="VDU3" s="120"/>
      <c r="VDV3" s="120"/>
      <c r="VDW3" s="120"/>
      <c r="VDX3" s="120"/>
      <c r="VDY3" s="120"/>
      <c r="VDZ3" s="120"/>
      <c r="VEA3" s="120"/>
      <c r="VEB3" s="120"/>
      <c r="VEC3" s="120"/>
      <c r="VED3" s="120"/>
      <c r="VEE3" s="120"/>
      <c r="VEF3" s="120"/>
      <c r="VEG3" s="120"/>
      <c r="VEH3" s="120"/>
      <c r="VEI3" s="120"/>
      <c r="VEJ3" s="120"/>
      <c r="VEK3" s="120"/>
      <c r="VEL3" s="120"/>
      <c r="VEM3" s="120"/>
      <c r="VEN3" s="120"/>
      <c r="VEO3" s="120"/>
      <c r="VEP3" s="120"/>
      <c r="VEQ3" s="120"/>
      <c r="VER3" s="120"/>
      <c r="VES3" s="120"/>
      <c r="VET3" s="120"/>
      <c r="VEU3" s="120"/>
      <c r="VEV3" s="120"/>
      <c r="VEW3" s="120"/>
      <c r="VEX3" s="120"/>
      <c r="VEY3" s="120"/>
      <c r="VEZ3" s="120"/>
      <c r="VFA3" s="120"/>
      <c r="VFB3" s="120"/>
      <c r="VFC3" s="120"/>
      <c r="VFD3" s="120"/>
      <c r="VFE3" s="120"/>
      <c r="VFF3" s="120"/>
      <c r="VFG3" s="120"/>
      <c r="VFH3" s="120"/>
      <c r="VFI3" s="120"/>
      <c r="VFJ3" s="120"/>
      <c r="VFK3" s="120"/>
      <c r="VFL3" s="120"/>
      <c r="VFM3" s="120"/>
      <c r="VFN3" s="120"/>
      <c r="VFO3" s="120"/>
      <c r="VFP3" s="120"/>
      <c r="VFQ3" s="120"/>
      <c r="VFR3" s="120"/>
      <c r="VFS3" s="120"/>
      <c r="VFT3" s="120"/>
      <c r="VFU3" s="120"/>
      <c r="VFV3" s="120"/>
      <c r="VFW3" s="120"/>
      <c r="VFX3" s="120"/>
      <c r="VFY3" s="120"/>
      <c r="VFZ3" s="120"/>
      <c r="VGA3" s="120"/>
      <c r="VGB3" s="120"/>
      <c r="VGC3" s="120"/>
      <c r="VGD3" s="120"/>
      <c r="VGE3" s="120"/>
      <c r="VGF3" s="120"/>
      <c r="VGG3" s="120"/>
      <c r="VGH3" s="120"/>
      <c r="VGI3" s="120"/>
      <c r="VGJ3" s="120"/>
      <c r="VGK3" s="120"/>
      <c r="VGL3" s="120"/>
      <c r="VGM3" s="120"/>
      <c r="VGN3" s="120"/>
      <c r="VGO3" s="120"/>
      <c r="VGP3" s="120"/>
      <c r="VGQ3" s="120"/>
      <c r="VGR3" s="120"/>
      <c r="VGS3" s="120"/>
      <c r="VGT3" s="120"/>
      <c r="VGU3" s="120"/>
      <c r="VGV3" s="120"/>
      <c r="VGW3" s="120"/>
      <c r="VGX3" s="120"/>
      <c r="VGY3" s="120"/>
      <c r="VGZ3" s="120"/>
      <c r="VHA3" s="120"/>
      <c r="VHB3" s="120"/>
      <c r="VHC3" s="120"/>
      <c r="VHD3" s="120"/>
      <c r="VHE3" s="120"/>
      <c r="VHF3" s="120"/>
      <c r="VHG3" s="120"/>
      <c r="VHH3" s="120"/>
      <c r="VHI3" s="120"/>
      <c r="VHJ3" s="120"/>
      <c r="VHK3" s="120"/>
      <c r="VHL3" s="120"/>
      <c r="VHM3" s="120"/>
      <c r="VHN3" s="120"/>
      <c r="VHO3" s="120"/>
      <c r="VHP3" s="120"/>
      <c r="VHQ3" s="120"/>
      <c r="VHR3" s="120"/>
      <c r="VHS3" s="120"/>
      <c r="VHT3" s="120"/>
      <c r="VHU3" s="120"/>
      <c r="VHV3" s="120"/>
      <c r="VHW3" s="120"/>
      <c r="VHX3" s="120"/>
      <c r="VHY3" s="120"/>
      <c r="VHZ3" s="120"/>
      <c r="VIA3" s="120"/>
      <c r="VIB3" s="120"/>
      <c r="VIC3" s="120"/>
      <c r="VID3" s="120"/>
      <c r="VIE3" s="120"/>
      <c r="VIF3" s="120"/>
      <c r="VIG3" s="120"/>
      <c r="VIH3" s="120"/>
      <c r="VII3" s="120"/>
      <c r="VIJ3" s="120"/>
      <c r="VIK3" s="120"/>
      <c r="VIL3" s="120"/>
      <c r="VIM3" s="120"/>
      <c r="VIN3" s="120"/>
      <c r="VIO3" s="120"/>
      <c r="VIP3" s="120"/>
      <c r="VIQ3" s="120"/>
      <c r="VIR3" s="120"/>
      <c r="VIS3" s="120"/>
      <c r="VIT3" s="120"/>
      <c r="VIU3" s="120"/>
      <c r="VIV3" s="120"/>
      <c r="VIW3" s="120"/>
      <c r="VIX3" s="120"/>
      <c r="VIY3" s="120"/>
      <c r="VIZ3" s="120"/>
      <c r="VJA3" s="120"/>
      <c r="VJB3" s="120"/>
      <c r="VJC3" s="120"/>
      <c r="VJD3" s="120"/>
      <c r="VJE3" s="120"/>
      <c r="VJF3" s="120"/>
      <c r="VJG3" s="120"/>
      <c r="VJH3" s="120"/>
      <c r="VJI3" s="120"/>
      <c r="VJJ3" s="120"/>
      <c r="VJK3" s="120"/>
      <c r="VJL3" s="120"/>
      <c r="VJM3" s="120"/>
      <c r="VJN3" s="120"/>
      <c r="VJO3" s="120"/>
      <c r="VJP3" s="120"/>
      <c r="VJQ3" s="120"/>
      <c r="VJR3" s="120"/>
      <c r="VJS3" s="120"/>
      <c r="VJT3" s="120"/>
      <c r="VJU3" s="120"/>
      <c r="VJV3" s="120"/>
      <c r="VJW3" s="120"/>
      <c r="VJX3" s="120"/>
      <c r="VJY3" s="120"/>
      <c r="VJZ3" s="120"/>
      <c r="VKA3" s="120"/>
      <c r="VKB3" s="120"/>
      <c r="VKC3" s="120"/>
      <c r="VKD3" s="120"/>
      <c r="VKE3" s="120"/>
      <c r="VKF3" s="120"/>
      <c r="VKG3" s="120"/>
      <c r="VKH3" s="120"/>
      <c r="VKI3" s="120"/>
      <c r="VKJ3" s="120"/>
      <c r="VKK3" s="120"/>
      <c r="VKL3" s="120"/>
      <c r="VKM3" s="120"/>
      <c r="VKN3" s="120"/>
      <c r="VKO3" s="120"/>
      <c r="VKP3" s="120"/>
      <c r="VKQ3" s="120"/>
      <c r="VKR3" s="120"/>
      <c r="VKS3" s="120"/>
      <c r="VKT3" s="120"/>
      <c r="VKU3" s="120"/>
      <c r="VKV3" s="120"/>
      <c r="VKW3" s="120"/>
      <c r="VKX3" s="120"/>
      <c r="VKY3" s="120"/>
      <c r="VKZ3" s="120"/>
      <c r="VLA3" s="120"/>
      <c r="VLB3" s="120"/>
      <c r="VLC3" s="120"/>
      <c r="VLD3" s="120"/>
      <c r="VLE3" s="120"/>
      <c r="VLF3" s="120"/>
      <c r="VLG3" s="120"/>
      <c r="VLH3" s="120"/>
      <c r="VLI3" s="120"/>
      <c r="VLJ3" s="120"/>
      <c r="VLK3" s="120"/>
      <c r="VLL3" s="120"/>
      <c r="VLM3" s="120"/>
      <c r="VLN3" s="120"/>
      <c r="VLO3" s="120"/>
      <c r="VLP3" s="120"/>
      <c r="VLQ3" s="120"/>
      <c r="VLR3" s="120"/>
      <c r="VLS3" s="120"/>
      <c r="VLT3" s="120"/>
      <c r="VLU3" s="120"/>
      <c r="VLV3" s="120"/>
      <c r="VLW3" s="120"/>
      <c r="VLX3" s="120"/>
      <c r="VLY3" s="120"/>
      <c r="VLZ3" s="120"/>
      <c r="VMA3" s="120"/>
      <c r="VMB3" s="120"/>
      <c r="VMC3" s="120"/>
      <c r="VMD3" s="120"/>
      <c r="VME3" s="120"/>
      <c r="VMF3" s="120"/>
      <c r="VMG3" s="120"/>
      <c r="VMH3" s="120"/>
      <c r="VMI3" s="120"/>
      <c r="VMJ3" s="120"/>
      <c r="VMK3" s="120"/>
      <c r="VML3" s="120"/>
      <c r="VMM3" s="120"/>
      <c r="VMN3" s="120"/>
      <c r="VMO3" s="120"/>
      <c r="VMP3" s="120"/>
      <c r="VMQ3" s="120"/>
      <c r="VMR3" s="120"/>
      <c r="VMS3" s="120"/>
      <c r="VMT3" s="120"/>
      <c r="VMU3" s="120"/>
      <c r="VMV3" s="120"/>
      <c r="VMW3" s="120"/>
      <c r="VMX3" s="120"/>
      <c r="VMY3" s="120"/>
      <c r="VMZ3" s="120"/>
      <c r="VNA3" s="120"/>
      <c r="VNB3" s="120"/>
      <c r="VNC3" s="120"/>
      <c r="VND3" s="120"/>
      <c r="VNE3" s="120"/>
      <c r="VNF3" s="120"/>
      <c r="VNG3" s="120"/>
      <c r="VNH3" s="120"/>
      <c r="VNI3" s="120"/>
      <c r="VNJ3" s="120"/>
      <c r="VNK3" s="120"/>
      <c r="VNL3" s="120"/>
      <c r="VNM3" s="120"/>
      <c r="VNN3" s="120"/>
      <c r="VNO3" s="120"/>
      <c r="VNP3" s="120"/>
      <c r="VNQ3" s="120"/>
      <c r="VNR3" s="120"/>
      <c r="VNS3" s="120"/>
      <c r="VNT3" s="120"/>
      <c r="VNU3" s="120"/>
      <c r="VNV3" s="120"/>
      <c r="VNW3" s="120"/>
      <c r="VNX3" s="120"/>
      <c r="VNY3" s="120"/>
      <c r="VNZ3" s="120"/>
      <c r="VOA3" s="120"/>
      <c r="VOB3" s="120"/>
      <c r="VOC3" s="120"/>
      <c r="VOD3" s="120"/>
      <c r="VOE3" s="120"/>
      <c r="VOF3" s="120"/>
      <c r="VOG3" s="120"/>
      <c r="VOH3" s="120"/>
      <c r="VOI3" s="120"/>
      <c r="VOJ3" s="120"/>
      <c r="VOK3" s="120"/>
      <c r="VOL3" s="120"/>
      <c r="VOM3" s="120"/>
      <c r="VON3" s="120"/>
      <c r="VOO3" s="120"/>
      <c r="VOP3" s="120"/>
      <c r="VOQ3" s="120"/>
      <c r="VOR3" s="120"/>
      <c r="VOS3" s="120"/>
      <c r="VOT3" s="120"/>
      <c r="VOU3" s="120"/>
      <c r="VOV3" s="120"/>
      <c r="VOW3" s="120"/>
      <c r="VOX3" s="120"/>
      <c r="VOY3" s="120"/>
      <c r="VOZ3" s="120"/>
      <c r="VPA3" s="120"/>
      <c r="VPB3" s="120"/>
      <c r="VPC3" s="120"/>
      <c r="VPD3" s="120"/>
      <c r="VPE3" s="120"/>
      <c r="VPF3" s="120"/>
      <c r="VPG3" s="120"/>
      <c r="VPH3" s="120"/>
      <c r="VPI3" s="120"/>
      <c r="VPJ3" s="120"/>
      <c r="VPK3" s="120"/>
      <c r="VPL3" s="120"/>
      <c r="VPM3" s="120"/>
      <c r="VPN3" s="120"/>
      <c r="VPO3" s="120"/>
      <c r="VPP3" s="120"/>
      <c r="VPQ3" s="120"/>
      <c r="VPR3" s="120"/>
      <c r="VPS3" s="120"/>
      <c r="VPT3" s="120"/>
      <c r="VPU3" s="120"/>
      <c r="VPV3" s="120"/>
      <c r="VPW3" s="120"/>
      <c r="VPX3" s="120"/>
      <c r="VPY3" s="120"/>
      <c r="VPZ3" s="120"/>
      <c r="VQA3" s="120"/>
      <c r="VQB3" s="120"/>
      <c r="VQC3" s="120"/>
      <c r="VQD3" s="120"/>
      <c r="VQE3" s="120"/>
      <c r="VQF3" s="120"/>
      <c r="VQG3" s="120"/>
      <c r="VQH3" s="120"/>
      <c r="VQI3" s="120"/>
      <c r="VQJ3" s="120"/>
      <c r="VQK3" s="120"/>
      <c r="VQL3" s="120"/>
      <c r="VQM3" s="120"/>
      <c r="VQN3" s="120"/>
      <c r="VQO3" s="120"/>
      <c r="VQP3" s="120"/>
      <c r="VQQ3" s="120"/>
      <c r="VQR3" s="120"/>
      <c r="VQS3" s="120"/>
      <c r="VQT3" s="120"/>
      <c r="VQU3" s="120"/>
      <c r="VQV3" s="120"/>
      <c r="VQW3" s="120"/>
      <c r="VQX3" s="120"/>
      <c r="VQY3" s="120"/>
      <c r="VQZ3" s="120"/>
      <c r="VRA3" s="120"/>
      <c r="VRB3" s="120"/>
      <c r="VRC3" s="120"/>
      <c r="VRD3" s="120"/>
      <c r="VRE3" s="120"/>
      <c r="VRF3" s="120"/>
      <c r="VRG3" s="120"/>
      <c r="VRH3" s="120"/>
      <c r="VRI3" s="120"/>
      <c r="VRJ3" s="120"/>
      <c r="VRK3" s="120"/>
      <c r="VRL3" s="120"/>
      <c r="VRM3" s="120"/>
      <c r="VRN3" s="120"/>
      <c r="VRO3" s="120"/>
      <c r="VRP3" s="120"/>
      <c r="VRQ3" s="120"/>
      <c r="VRR3" s="120"/>
      <c r="VRS3" s="120"/>
      <c r="VRT3" s="120"/>
      <c r="VRU3" s="120"/>
      <c r="VRV3" s="120"/>
      <c r="VRW3" s="120"/>
      <c r="VRX3" s="120"/>
      <c r="VRY3" s="120"/>
      <c r="VRZ3" s="120"/>
      <c r="VSA3" s="120"/>
      <c r="VSB3" s="120"/>
      <c r="VSC3" s="120"/>
      <c r="VSD3" s="120"/>
      <c r="VSE3" s="120"/>
      <c r="VSF3" s="120"/>
      <c r="VSG3" s="120"/>
      <c r="VSH3" s="120"/>
      <c r="VSI3" s="120"/>
      <c r="VSJ3" s="120"/>
      <c r="VSK3" s="120"/>
      <c r="VSL3" s="120"/>
      <c r="VSM3" s="120"/>
      <c r="VSN3" s="120"/>
      <c r="VSO3" s="120"/>
      <c r="VSP3" s="120"/>
      <c r="VSQ3" s="120"/>
      <c r="VSR3" s="120"/>
      <c r="VSS3" s="120"/>
      <c r="VST3" s="120"/>
      <c r="VSU3" s="120"/>
      <c r="VSV3" s="120"/>
      <c r="VSW3" s="120"/>
      <c r="VSX3" s="120"/>
      <c r="VSY3" s="120"/>
      <c r="VSZ3" s="120"/>
      <c r="VTA3" s="120"/>
      <c r="VTB3" s="120"/>
      <c r="VTC3" s="120"/>
      <c r="VTD3" s="120"/>
      <c r="VTE3" s="120"/>
      <c r="VTF3" s="120"/>
      <c r="VTG3" s="120"/>
      <c r="VTH3" s="120"/>
      <c r="VTI3" s="120"/>
      <c r="VTJ3" s="120"/>
      <c r="VTK3" s="120"/>
      <c r="VTL3" s="120"/>
      <c r="VTM3" s="120"/>
      <c r="VTN3" s="120"/>
      <c r="VTO3" s="120"/>
      <c r="VTP3" s="120"/>
      <c r="VTQ3" s="120"/>
      <c r="VTR3" s="120"/>
      <c r="VTS3" s="120"/>
      <c r="VTT3" s="120"/>
      <c r="VTU3" s="120"/>
      <c r="VTV3" s="120"/>
      <c r="VTW3" s="120"/>
      <c r="VTX3" s="120"/>
      <c r="VTY3" s="120"/>
      <c r="VTZ3" s="120"/>
      <c r="VUA3" s="120"/>
      <c r="VUB3" s="120"/>
      <c r="VUC3" s="120"/>
      <c r="VUD3" s="120"/>
      <c r="VUE3" s="120"/>
      <c r="VUF3" s="120"/>
      <c r="VUG3" s="120"/>
      <c r="VUH3" s="120"/>
      <c r="VUI3" s="120"/>
      <c r="VUJ3" s="120"/>
      <c r="VUK3" s="120"/>
      <c r="VUL3" s="120"/>
      <c r="VUM3" s="120"/>
      <c r="VUN3" s="120"/>
      <c r="VUO3" s="120"/>
      <c r="VUP3" s="120"/>
      <c r="VUQ3" s="120"/>
      <c r="VUR3" s="120"/>
      <c r="VUS3" s="120"/>
      <c r="VUT3" s="120"/>
      <c r="VUU3" s="120"/>
      <c r="VUV3" s="120"/>
      <c r="VUW3" s="120"/>
      <c r="VUX3" s="120"/>
      <c r="VUY3" s="120"/>
      <c r="VUZ3" s="120"/>
      <c r="VVA3" s="120"/>
      <c r="VVB3" s="120"/>
      <c r="VVC3" s="120"/>
      <c r="VVD3" s="120"/>
      <c r="VVE3" s="120"/>
      <c r="VVF3" s="120"/>
      <c r="VVG3" s="120"/>
      <c r="VVH3" s="120"/>
      <c r="VVI3" s="120"/>
      <c r="VVJ3" s="120"/>
      <c r="VVK3" s="120"/>
      <c r="VVL3" s="120"/>
      <c r="VVM3" s="120"/>
      <c r="VVN3" s="120"/>
      <c r="VVO3" s="120"/>
      <c r="VVP3" s="120"/>
      <c r="VVQ3" s="120"/>
      <c r="VVR3" s="120"/>
      <c r="VVS3" s="120"/>
      <c r="VVT3" s="120"/>
      <c r="VVU3" s="120"/>
      <c r="VVV3" s="120"/>
      <c r="VVW3" s="120"/>
      <c r="VVX3" s="120"/>
      <c r="VVY3" s="120"/>
      <c r="VVZ3" s="120"/>
      <c r="VWA3" s="120"/>
      <c r="VWB3" s="120"/>
      <c r="VWC3" s="120"/>
      <c r="VWD3" s="120"/>
      <c r="VWE3" s="120"/>
      <c r="VWF3" s="120"/>
      <c r="VWG3" s="120"/>
      <c r="VWH3" s="120"/>
      <c r="VWI3" s="120"/>
      <c r="VWJ3" s="120"/>
      <c r="VWK3" s="120"/>
      <c r="VWL3" s="120"/>
      <c r="VWM3" s="120"/>
      <c r="VWN3" s="120"/>
      <c r="VWO3" s="120"/>
      <c r="VWP3" s="120"/>
      <c r="VWQ3" s="120"/>
      <c r="VWR3" s="120"/>
      <c r="VWS3" s="120"/>
      <c r="VWT3" s="120"/>
      <c r="VWU3" s="120"/>
      <c r="VWV3" s="120"/>
      <c r="VWW3" s="120"/>
      <c r="VWX3" s="120"/>
      <c r="VWY3" s="120"/>
      <c r="VWZ3" s="120"/>
      <c r="VXA3" s="120"/>
      <c r="VXB3" s="120"/>
      <c r="VXC3" s="120"/>
      <c r="VXD3" s="120"/>
      <c r="VXE3" s="120"/>
      <c r="VXF3" s="120"/>
      <c r="VXG3" s="120"/>
      <c r="VXH3" s="120"/>
      <c r="VXI3" s="120"/>
      <c r="VXJ3" s="120"/>
      <c r="VXK3" s="120"/>
      <c r="VXL3" s="120"/>
      <c r="VXM3" s="120"/>
      <c r="VXN3" s="120"/>
      <c r="VXO3" s="120"/>
      <c r="VXP3" s="120"/>
      <c r="VXQ3" s="120"/>
      <c r="VXR3" s="120"/>
      <c r="VXS3" s="120"/>
      <c r="VXT3" s="120"/>
      <c r="VXU3" s="120"/>
      <c r="VXV3" s="120"/>
      <c r="VXW3" s="120"/>
      <c r="VXX3" s="120"/>
      <c r="VXY3" s="120"/>
      <c r="VXZ3" s="120"/>
      <c r="VYA3" s="120"/>
      <c r="VYB3" s="120"/>
      <c r="VYC3" s="120"/>
      <c r="VYD3" s="120"/>
      <c r="VYE3" s="120"/>
      <c r="VYF3" s="120"/>
      <c r="VYG3" s="120"/>
      <c r="VYH3" s="120"/>
      <c r="VYI3" s="120"/>
      <c r="VYJ3" s="120"/>
      <c r="VYK3" s="120"/>
      <c r="VYL3" s="120"/>
      <c r="VYM3" s="120"/>
      <c r="VYN3" s="120"/>
      <c r="VYO3" s="120"/>
      <c r="VYP3" s="120"/>
      <c r="VYQ3" s="120"/>
      <c r="VYR3" s="120"/>
      <c r="VYS3" s="120"/>
      <c r="VYT3" s="120"/>
      <c r="VYU3" s="120"/>
      <c r="VYV3" s="120"/>
      <c r="VYW3" s="120"/>
      <c r="VYX3" s="120"/>
      <c r="VYY3" s="120"/>
      <c r="VYZ3" s="120"/>
      <c r="VZA3" s="120"/>
      <c r="VZB3" s="120"/>
      <c r="VZC3" s="120"/>
      <c r="VZD3" s="120"/>
      <c r="VZE3" s="120"/>
      <c r="VZF3" s="120"/>
      <c r="VZG3" s="120"/>
      <c r="VZH3" s="120"/>
      <c r="VZI3" s="120"/>
      <c r="VZJ3" s="120"/>
      <c r="VZK3" s="120"/>
      <c r="VZL3" s="120"/>
      <c r="VZM3" s="120"/>
      <c r="VZN3" s="120"/>
      <c r="VZO3" s="120"/>
      <c r="VZP3" s="120"/>
      <c r="VZQ3" s="120"/>
      <c r="VZR3" s="120"/>
      <c r="VZS3" s="120"/>
      <c r="VZT3" s="120"/>
      <c r="VZU3" s="120"/>
      <c r="VZV3" s="120"/>
      <c r="VZW3" s="120"/>
      <c r="VZX3" s="120"/>
      <c r="VZY3" s="120"/>
      <c r="VZZ3" s="120"/>
      <c r="WAA3" s="120"/>
      <c r="WAB3" s="120"/>
      <c r="WAC3" s="120"/>
      <c r="WAD3" s="120"/>
      <c r="WAE3" s="120"/>
      <c r="WAF3" s="120"/>
      <c r="WAG3" s="120"/>
      <c r="WAH3" s="120"/>
      <c r="WAI3" s="120"/>
      <c r="WAJ3" s="120"/>
      <c r="WAK3" s="120"/>
      <c r="WAL3" s="120"/>
      <c r="WAM3" s="120"/>
      <c r="WAN3" s="120"/>
      <c r="WAO3" s="120"/>
      <c r="WAP3" s="120"/>
      <c r="WAQ3" s="120"/>
      <c r="WAR3" s="120"/>
      <c r="WAS3" s="120"/>
      <c r="WAT3" s="120"/>
      <c r="WAU3" s="120"/>
      <c r="WAV3" s="120"/>
      <c r="WAW3" s="120"/>
      <c r="WAX3" s="120"/>
      <c r="WAY3" s="120"/>
      <c r="WAZ3" s="120"/>
      <c r="WBA3" s="120"/>
      <c r="WBB3" s="120"/>
      <c r="WBC3" s="120"/>
      <c r="WBD3" s="120"/>
      <c r="WBE3" s="120"/>
      <c r="WBF3" s="120"/>
      <c r="WBG3" s="120"/>
      <c r="WBH3" s="120"/>
      <c r="WBI3" s="120"/>
      <c r="WBJ3" s="120"/>
      <c r="WBK3" s="120"/>
      <c r="WBL3" s="120"/>
      <c r="WBM3" s="120"/>
      <c r="WBN3" s="120"/>
      <c r="WBO3" s="120"/>
      <c r="WBP3" s="120"/>
      <c r="WBQ3" s="120"/>
      <c r="WBR3" s="120"/>
      <c r="WBS3" s="120"/>
      <c r="WBT3" s="120"/>
      <c r="WBU3" s="120"/>
      <c r="WBV3" s="120"/>
      <c r="WBW3" s="120"/>
      <c r="WBX3" s="120"/>
      <c r="WBY3" s="120"/>
      <c r="WBZ3" s="120"/>
      <c r="WCA3" s="120"/>
      <c r="WCB3" s="120"/>
      <c r="WCC3" s="120"/>
      <c r="WCD3" s="120"/>
      <c r="WCE3" s="120"/>
      <c r="WCF3" s="120"/>
      <c r="WCG3" s="120"/>
      <c r="WCH3" s="120"/>
      <c r="WCI3" s="120"/>
      <c r="WCJ3" s="120"/>
      <c r="WCK3" s="120"/>
      <c r="WCL3" s="120"/>
      <c r="WCM3" s="120"/>
      <c r="WCN3" s="120"/>
      <c r="WCO3" s="120"/>
      <c r="WCP3" s="120"/>
      <c r="WCQ3" s="120"/>
      <c r="WCR3" s="120"/>
      <c r="WCS3" s="120"/>
      <c r="WCT3" s="120"/>
      <c r="WCU3" s="120"/>
      <c r="WCV3" s="120"/>
      <c r="WCW3" s="120"/>
      <c r="WCX3" s="120"/>
      <c r="WCY3" s="120"/>
      <c r="WCZ3" s="120"/>
      <c r="WDA3" s="120"/>
      <c r="WDB3" s="120"/>
      <c r="WDC3" s="120"/>
      <c r="WDD3" s="120"/>
      <c r="WDE3" s="120"/>
      <c r="WDF3" s="120"/>
      <c r="WDG3" s="120"/>
      <c r="WDH3" s="120"/>
      <c r="WDI3" s="120"/>
      <c r="WDJ3" s="120"/>
      <c r="WDK3" s="120"/>
      <c r="WDL3" s="120"/>
      <c r="WDM3" s="120"/>
      <c r="WDN3" s="120"/>
      <c r="WDO3" s="120"/>
      <c r="WDP3" s="120"/>
      <c r="WDQ3" s="120"/>
      <c r="WDR3" s="120"/>
      <c r="WDS3" s="120"/>
      <c r="WDT3" s="120"/>
      <c r="WDU3" s="120"/>
      <c r="WDV3" s="120"/>
      <c r="WDW3" s="120"/>
      <c r="WDX3" s="120"/>
      <c r="WDY3" s="120"/>
      <c r="WDZ3" s="120"/>
      <c r="WEA3" s="120"/>
      <c r="WEB3" s="120"/>
      <c r="WEC3" s="120"/>
      <c r="WED3" s="120"/>
      <c r="WEE3" s="120"/>
      <c r="WEF3" s="120"/>
      <c r="WEG3" s="120"/>
      <c r="WEH3" s="120"/>
      <c r="WEI3" s="120"/>
      <c r="WEJ3" s="120"/>
      <c r="WEK3" s="120"/>
      <c r="WEL3" s="120"/>
      <c r="WEM3" s="120"/>
      <c r="WEN3" s="120"/>
      <c r="WEO3" s="120"/>
      <c r="WEP3" s="120"/>
      <c r="WEQ3" s="120"/>
      <c r="WER3" s="120"/>
      <c r="WES3" s="120"/>
      <c r="WET3" s="120"/>
      <c r="WEU3" s="120"/>
      <c r="WEV3" s="120"/>
      <c r="WEW3" s="120"/>
      <c r="WEX3" s="120"/>
      <c r="WEY3" s="120"/>
      <c r="WEZ3" s="120"/>
      <c r="WFA3" s="120"/>
      <c r="WFB3" s="120"/>
      <c r="WFC3" s="120"/>
      <c r="WFD3" s="120"/>
      <c r="WFE3" s="120"/>
      <c r="WFF3" s="120"/>
      <c r="WFG3" s="120"/>
      <c r="WFH3" s="120"/>
      <c r="WFI3" s="120"/>
      <c r="WFJ3" s="120"/>
      <c r="WFK3" s="120"/>
      <c r="WFL3" s="120"/>
      <c r="WFM3" s="120"/>
      <c r="WFN3" s="120"/>
      <c r="WFO3" s="120"/>
      <c r="WFP3" s="120"/>
      <c r="WFQ3" s="120"/>
      <c r="WFR3" s="120"/>
      <c r="WFS3" s="120"/>
      <c r="WFT3" s="120"/>
      <c r="WFU3" s="120"/>
      <c r="WFV3" s="120"/>
      <c r="WFW3" s="120"/>
      <c r="WFX3" s="120"/>
      <c r="WFY3" s="120"/>
      <c r="WFZ3" s="120"/>
      <c r="WGA3" s="120"/>
      <c r="WGB3" s="120"/>
      <c r="WGC3" s="120"/>
      <c r="WGD3" s="120"/>
      <c r="WGE3" s="120"/>
      <c r="WGF3" s="120"/>
      <c r="WGG3" s="120"/>
      <c r="WGH3" s="120"/>
      <c r="WGI3" s="120"/>
      <c r="WGJ3" s="120"/>
      <c r="WGK3" s="120"/>
      <c r="WGL3" s="120"/>
      <c r="WGM3" s="120"/>
      <c r="WGN3" s="120"/>
      <c r="WGO3" s="120"/>
      <c r="WGP3" s="120"/>
      <c r="WGQ3" s="120"/>
      <c r="WGR3" s="120"/>
      <c r="WGS3" s="120"/>
      <c r="WGT3" s="120"/>
      <c r="WGU3" s="120"/>
      <c r="WGV3" s="120"/>
      <c r="WGW3" s="120"/>
      <c r="WGX3" s="120"/>
      <c r="WGY3" s="120"/>
      <c r="WGZ3" s="120"/>
      <c r="WHA3" s="120"/>
      <c r="WHB3" s="120"/>
      <c r="WHC3" s="120"/>
      <c r="WHD3" s="120"/>
      <c r="WHE3" s="120"/>
      <c r="WHF3" s="120"/>
      <c r="WHG3" s="120"/>
      <c r="WHH3" s="120"/>
      <c r="WHI3" s="120"/>
      <c r="WHJ3" s="120"/>
      <c r="WHK3" s="120"/>
      <c r="WHL3" s="120"/>
      <c r="WHM3" s="120"/>
      <c r="WHN3" s="120"/>
      <c r="WHO3" s="120"/>
      <c r="WHP3" s="120"/>
      <c r="WHQ3" s="120"/>
      <c r="WHR3" s="120"/>
      <c r="WHS3" s="120"/>
      <c r="WHT3" s="120"/>
      <c r="WHU3" s="120"/>
      <c r="WHV3" s="120"/>
      <c r="WHW3" s="120"/>
      <c r="WHX3" s="120"/>
      <c r="WHY3" s="120"/>
      <c r="WHZ3" s="120"/>
      <c r="WIA3" s="120"/>
      <c r="WIB3" s="120"/>
      <c r="WIC3" s="120"/>
      <c r="WID3" s="120"/>
      <c r="WIE3" s="120"/>
      <c r="WIF3" s="120"/>
      <c r="WIG3" s="120"/>
      <c r="WIH3" s="120"/>
      <c r="WII3" s="120"/>
      <c r="WIJ3" s="120"/>
      <c r="WIK3" s="120"/>
      <c r="WIL3" s="120"/>
      <c r="WIM3" s="120"/>
      <c r="WIN3" s="120"/>
      <c r="WIO3" s="120"/>
      <c r="WIP3" s="120"/>
      <c r="WIQ3" s="120"/>
      <c r="WIR3" s="120"/>
      <c r="WIS3" s="120"/>
      <c r="WIT3" s="120"/>
      <c r="WIU3" s="120"/>
      <c r="WIV3" s="120"/>
      <c r="WIW3" s="120"/>
      <c r="WIX3" s="120"/>
      <c r="WIY3" s="120"/>
      <c r="WIZ3" s="120"/>
      <c r="WJA3" s="120"/>
      <c r="WJB3" s="120"/>
      <c r="WJC3" s="120"/>
      <c r="WJD3" s="120"/>
      <c r="WJE3" s="120"/>
      <c r="WJF3" s="120"/>
      <c r="WJG3" s="120"/>
      <c r="WJH3" s="120"/>
      <c r="WJI3" s="120"/>
      <c r="WJJ3" s="120"/>
      <c r="WJK3" s="120"/>
      <c r="WJL3" s="120"/>
      <c r="WJM3" s="120"/>
      <c r="WJN3" s="120"/>
      <c r="WJO3" s="120"/>
      <c r="WJP3" s="120"/>
      <c r="WJQ3" s="120"/>
      <c r="WJR3" s="120"/>
      <c r="WJS3" s="120"/>
      <c r="WJT3" s="120"/>
      <c r="WJU3" s="120"/>
      <c r="WJV3" s="120"/>
      <c r="WJW3" s="120"/>
      <c r="WJX3" s="120"/>
      <c r="WJY3" s="120"/>
      <c r="WJZ3" s="120"/>
      <c r="WKA3" s="120"/>
      <c r="WKB3" s="120"/>
      <c r="WKC3" s="120"/>
      <c r="WKD3" s="120"/>
      <c r="WKE3" s="120"/>
      <c r="WKF3" s="120"/>
      <c r="WKG3" s="120"/>
      <c r="WKH3" s="120"/>
      <c r="WKI3" s="120"/>
      <c r="WKJ3" s="120"/>
      <c r="WKK3" s="120"/>
      <c r="WKL3" s="120"/>
      <c r="WKM3" s="120"/>
      <c r="WKN3" s="120"/>
      <c r="WKO3" s="120"/>
      <c r="WKP3" s="120"/>
      <c r="WKQ3" s="120"/>
      <c r="WKR3" s="120"/>
      <c r="WKS3" s="120"/>
      <c r="WKT3" s="120"/>
      <c r="WKU3" s="120"/>
      <c r="WKV3" s="120"/>
      <c r="WKW3" s="120"/>
      <c r="WKX3" s="120"/>
      <c r="WKY3" s="120"/>
      <c r="WKZ3" s="120"/>
      <c r="WLA3" s="120"/>
      <c r="WLB3" s="120"/>
      <c r="WLC3" s="120"/>
      <c r="WLD3" s="120"/>
      <c r="WLE3" s="120"/>
      <c r="WLF3" s="120"/>
      <c r="WLG3" s="120"/>
      <c r="WLH3" s="120"/>
      <c r="WLI3" s="120"/>
      <c r="WLJ3" s="120"/>
      <c r="WLK3" s="120"/>
      <c r="WLL3" s="120"/>
      <c r="WLM3" s="120"/>
      <c r="WLN3" s="120"/>
      <c r="WLO3" s="120"/>
      <c r="WLP3" s="120"/>
      <c r="WLQ3" s="120"/>
      <c r="WLR3" s="120"/>
      <c r="WLS3" s="120"/>
      <c r="WLT3" s="120"/>
      <c r="WLU3" s="120"/>
      <c r="WLV3" s="120"/>
      <c r="WLW3" s="120"/>
      <c r="WLX3" s="120"/>
      <c r="WLY3" s="120"/>
      <c r="WLZ3" s="120"/>
      <c r="WMA3" s="120"/>
      <c r="WMB3" s="120"/>
      <c r="WMC3" s="120"/>
      <c r="WMD3" s="120"/>
      <c r="WME3" s="120"/>
      <c r="WMF3" s="120"/>
      <c r="WMG3" s="120"/>
      <c r="WMH3" s="120"/>
      <c r="WMI3" s="120"/>
      <c r="WMJ3" s="120"/>
      <c r="WMK3" s="120"/>
      <c r="WML3" s="120"/>
      <c r="WMM3" s="120"/>
      <c r="WMN3" s="120"/>
      <c r="WMO3" s="120"/>
      <c r="WMP3" s="120"/>
      <c r="WMQ3" s="120"/>
      <c r="WMR3" s="120"/>
      <c r="WMS3" s="120"/>
      <c r="WMT3" s="120"/>
      <c r="WMU3" s="120"/>
      <c r="WMV3" s="120"/>
      <c r="WMW3" s="120"/>
      <c r="WMX3" s="120"/>
      <c r="WMY3" s="120"/>
      <c r="WMZ3" s="120"/>
      <c r="WNA3" s="120"/>
      <c r="WNB3" s="120"/>
      <c r="WNC3" s="120"/>
      <c r="WND3" s="120"/>
      <c r="WNE3" s="120"/>
      <c r="WNF3" s="120"/>
      <c r="WNG3" s="120"/>
      <c r="WNH3" s="120"/>
      <c r="WNI3" s="120"/>
      <c r="WNJ3" s="120"/>
      <c r="WNK3" s="120"/>
      <c r="WNL3" s="120"/>
      <c r="WNM3" s="120"/>
      <c r="WNN3" s="120"/>
      <c r="WNO3" s="120"/>
      <c r="WNP3" s="120"/>
      <c r="WNQ3" s="120"/>
      <c r="WNR3" s="120"/>
      <c r="WNS3" s="120"/>
      <c r="WNT3" s="120"/>
      <c r="WNU3" s="120"/>
      <c r="WNV3" s="120"/>
      <c r="WNW3" s="120"/>
      <c r="WNX3" s="120"/>
      <c r="WNY3" s="120"/>
      <c r="WNZ3" s="120"/>
      <c r="WOA3" s="120"/>
      <c r="WOB3" s="120"/>
      <c r="WOC3" s="120"/>
      <c r="WOD3" s="120"/>
      <c r="WOE3" s="120"/>
      <c r="WOF3" s="120"/>
      <c r="WOG3" s="120"/>
      <c r="WOH3" s="120"/>
      <c r="WOI3" s="120"/>
      <c r="WOJ3" s="120"/>
      <c r="WOK3" s="120"/>
      <c r="WOL3" s="120"/>
      <c r="WOM3" s="120"/>
      <c r="WON3" s="120"/>
      <c r="WOO3" s="120"/>
      <c r="WOP3" s="120"/>
      <c r="WOQ3" s="120"/>
      <c r="WOR3" s="120"/>
      <c r="WOS3" s="120"/>
      <c r="WOT3" s="120"/>
      <c r="WOU3" s="120"/>
      <c r="WOV3" s="120"/>
      <c r="WOW3" s="120"/>
      <c r="WOX3" s="120"/>
      <c r="WOY3" s="120"/>
      <c r="WOZ3" s="120"/>
      <c r="WPA3" s="120"/>
      <c r="WPB3" s="120"/>
      <c r="WPC3" s="120"/>
      <c r="WPD3" s="120"/>
      <c r="WPE3" s="120"/>
      <c r="WPF3" s="120"/>
      <c r="WPG3" s="120"/>
      <c r="WPH3" s="120"/>
      <c r="WPI3" s="120"/>
      <c r="WPJ3" s="120"/>
      <c r="WPK3" s="120"/>
      <c r="WPL3" s="120"/>
      <c r="WPM3" s="120"/>
      <c r="WPN3" s="120"/>
      <c r="WPO3" s="120"/>
      <c r="WPP3" s="120"/>
      <c r="WPQ3" s="120"/>
      <c r="WPR3" s="120"/>
      <c r="WPS3" s="120"/>
      <c r="WPT3" s="120"/>
      <c r="WPU3" s="120"/>
      <c r="WPV3" s="120"/>
      <c r="WPW3" s="120"/>
      <c r="WPX3" s="120"/>
      <c r="WPY3" s="120"/>
      <c r="WPZ3" s="120"/>
      <c r="WQA3" s="120"/>
      <c r="WQB3" s="120"/>
      <c r="WQC3" s="120"/>
      <c r="WQD3" s="120"/>
      <c r="WQE3" s="120"/>
      <c r="WQF3" s="120"/>
      <c r="WQG3" s="120"/>
      <c r="WQH3" s="120"/>
      <c r="WQI3" s="120"/>
      <c r="WQJ3" s="120"/>
      <c r="WQK3" s="120"/>
      <c r="WQL3" s="120"/>
      <c r="WQM3" s="120"/>
      <c r="WQN3" s="120"/>
      <c r="WQO3" s="120"/>
      <c r="WQP3" s="120"/>
      <c r="WQQ3" s="120"/>
      <c r="WQR3" s="120"/>
      <c r="WQS3" s="120"/>
      <c r="WQT3" s="120"/>
      <c r="WQU3" s="120"/>
      <c r="WQV3" s="120"/>
      <c r="WQW3" s="120"/>
      <c r="WQX3" s="120"/>
      <c r="WQY3" s="120"/>
      <c r="WQZ3" s="120"/>
      <c r="WRA3" s="120"/>
      <c r="WRB3" s="120"/>
      <c r="WRC3" s="120"/>
      <c r="WRD3" s="120"/>
      <c r="WRE3" s="120"/>
      <c r="WRF3" s="120"/>
      <c r="WRG3" s="120"/>
      <c r="WRH3" s="120"/>
      <c r="WRI3" s="120"/>
      <c r="WRJ3" s="120"/>
      <c r="WRK3" s="120"/>
      <c r="WRL3" s="120"/>
      <c r="WRM3" s="120"/>
      <c r="WRN3" s="120"/>
      <c r="WRO3" s="120"/>
      <c r="WRP3" s="120"/>
      <c r="WRQ3" s="120"/>
      <c r="WRR3" s="120"/>
      <c r="WRS3" s="120"/>
      <c r="WRT3" s="120"/>
      <c r="WRU3" s="120"/>
      <c r="WRV3" s="120"/>
      <c r="WRW3" s="120"/>
      <c r="WRX3" s="120"/>
      <c r="WRY3" s="120"/>
      <c r="WRZ3" s="120"/>
      <c r="WSA3" s="120"/>
      <c r="WSB3" s="120"/>
      <c r="WSC3" s="120"/>
      <c r="WSD3" s="120"/>
      <c r="WSE3" s="120"/>
      <c r="WSF3" s="120"/>
      <c r="WSG3" s="120"/>
      <c r="WSH3" s="120"/>
      <c r="WSI3" s="120"/>
      <c r="WSJ3" s="120"/>
      <c r="WSK3" s="120"/>
      <c r="WSL3" s="120"/>
      <c r="WSM3" s="120"/>
      <c r="WSN3" s="120"/>
      <c r="WSO3" s="120"/>
      <c r="WSP3" s="120"/>
      <c r="WSQ3" s="120"/>
      <c r="WSR3" s="120"/>
      <c r="WSS3" s="120"/>
      <c r="WST3" s="120"/>
      <c r="WSU3" s="120"/>
      <c r="WSV3" s="120"/>
      <c r="WSW3" s="120"/>
      <c r="WSX3" s="120"/>
      <c r="WSY3" s="120"/>
      <c r="WSZ3" s="120"/>
      <c r="WTA3" s="120"/>
      <c r="WTB3" s="120"/>
      <c r="WTC3" s="120"/>
      <c r="WTD3" s="120"/>
      <c r="WTE3" s="120"/>
      <c r="WTF3" s="120"/>
      <c r="WTG3" s="120"/>
      <c r="WTH3" s="120"/>
      <c r="WTI3" s="120"/>
      <c r="WTJ3" s="120"/>
      <c r="WTK3" s="120"/>
      <c r="WTL3" s="120"/>
      <c r="WTM3" s="120"/>
      <c r="WTN3" s="120"/>
      <c r="WTO3" s="120"/>
      <c r="WTP3" s="120"/>
      <c r="WTQ3" s="120"/>
      <c r="WTR3" s="120"/>
      <c r="WTS3" s="120"/>
      <c r="WTT3" s="120"/>
      <c r="WTU3" s="120"/>
      <c r="WTV3" s="120"/>
      <c r="WTW3" s="120"/>
      <c r="WTX3" s="120"/>
      <c r="WTY3" s="120"/>
      <c r="WTZ3" s="120"/>
      <c r="WUA3" s="120"/>
      <c r="WUB3" s="120"/>
      <c r="WUC3" s="120"/>
      <c r="WUD3" s="120"/>
      <c r="WUE3" s="120"/>
      <c r="WUF3" s="120"/>
      <c r="WUG3" s="120"/>
      <c r="WUH3" s="120"/>
      <c r="WUI3" s="120"/>
      <c r="WUJ3" s="120"/>
      <c r="WUK3" s="120"/>
      <c r="WUL3" s="120"/>
      <c r="WUM3" s="120"/>
      <c r="WUN3" s="120"/>
      <c r="WUO3" s="120"/>
      <c r="WUP3" s="120"/>
      <c r="WUQ3" s="120"/>
      <c r="WUR3" s="120"/>
      <c r="WUS3" s="120"/>
      <c r="WUT3" s="120"/>
      <c r="WUU3" s="120"/>
      <c r="WUV3" s="120"/>
      <c r="WUW3" s="120"/>
      <c r="WUX3" s="120"/>
      <c r="WUY3" s="120"/>
      <c r="WUZ3" s="120"/>
      <c r="WVA3" s="120"/>
      <c r="WVB3" s="120"/>
      <c r="WVC3" s="120"/>
      <c r="WVD3" s="120"/>
      <c r="WVE3" s="120"/>
      <c r="WVF3" s="120"/>
      <c r="WVG3" s="120"/>
      <c r="WVH3" s="120"/>
      <c r="WVI3" s="120"/>
      <c r="WVJ3" s="120"/>
      <c r="WVK3" s="120"/>
      <c r="WVL3" s="120"/>
      <c r="WVM3" s="120"/>
      <c r="WVN3" s="120"/>
      <c r="WVO3" s="120"/>
      <c r="WVP3" s="120"/>
      <c r="WVQ3" s="120"/>
      <c r="WVR3" s="120"/>
      <c r="WVS3" s="120"/>
      <c r="WVT3" s="120"/>
      <c r="WVU3" s="120"/>
      <c r="WVV3" s="120"/>
      <c r="WVW3" s="120"/>
      <c r="WVX3" s="120"/>
      <c r="WVY3" s="120"/>
      <c r="WVZ3" s="120"/>
      <c r="WWA3" s="120"/>
      <c r="WWB3" s="120"/>
      <c r="WWC3" s="120"/>
      <c r="WWD3" s="120"/>
      <c r="WWE3" s="120"/>
      <c r="WWF3" s="120"/>
      <c r="WWG3" s="120"/>
      <c r="WWH3" s="120"/>
      <c r="WWI3" s="120"/>
      <c r="WWJ3" s="120"/>
      <c r="WWK3" s="120"/>
      <c r="WWL3" s="120"/>
      <c r="WWM3" s="120"/>
      <c r="WWN3" s="120"/>
      <c r="WWO3" s="120"/>
      <c r="WWP3" s="120"/>
      <c r="WWQ3" s="120"/>
      <c r="WWR3" s="120"/>
      <c r="WWS3" s="120"/>
      <c r="WWT3" s="120"/>
      <c r="WWU3" s="120"/>
      <c r="WWV3" s="120"/>
      <c r="WWW3" s="120"/>
      <c r="WWX3" s="120"/>
      <c r="WWY3" s="120"/>
      <c r="WWZ3" s="120"/>
      <c r="WXA3" s="120"/>
      <c r="WXB3" s="120"/>
      <c r="WXC3" s="120"/>
      <c r="WXD3" s="120"/>
      <c r="WXE3" s="120"/>
      <c r="WXF3" s="120"/>
      <c r="WXG3" s="120"/>
      <c r="WXH3" s="120"/>
      <c r="WXI3" s="120"/>
      <c r="WXJ3" s="120"/>
      <c r="WXK3" s="120"/>
      <c r="WXL3" s="120"/>
      <c r="WXM3" s="120"/>
      <c r="WXN3" s="120"/>
      <c r="WXO3" s="120"/>
      <c r="WXP3" s="120"/>
      <c r="WXQ3" s="120"/>
      <c r="WXR3" s="120"/>
      <c r="WXS3" s="120"/>
      <c r="WXT3" s="120"/>
      <c r="WXU3" s="120"/>
      <c r="WXV3" s="120"/>
      <c r="WXW3" s="120"/>
      <c r="WXX3" s="120"/>
      <c r="WXY3" s="120"/>
      <c r="WXZ3" s="120"/>
      <c r="WYA3" s="120"/>
      <c r="WYB3" s="120"/>
      <c r="WYC3" s="120"/>
      <c r="WYD3" s="120"/>
      <c r="WYE3" s="120"/>
      <c r="WYF3" s="120"/>
      <c r="WYG3" s="120"/>
      <c r="WYH3" s="120"/>
      <c r="WYI3" s="120"/>
      <c r="WYJ3" s="120"/>
      <c r="WYK3" s="120"/>
      <c r="WYL3" s="120"/>
      <c r="WYM3" s="120"/>
      <c r="WYN3" s="120"/>
      <c r="WYO3" s="120"/>
      <c r="WYP3" s="120"/>
      <c r="WYQ3" s="120"/>
      <c r="WYR3" s="120"/>
      <c r="WYS3" s="120"/>
      <c r="WYT3" s="120"/>
      <c r="WYU3" s="120"/>
      <c r="WYV3" s="120"/>
      <c r="WYW3" s="120"/>
      <c r="WYX3" s="120"/>
      <c r="WYY3" s="120"/>
      <c r="WYZ3" s="120"/>
      <c r="WZA3" s="120"/>
      <c r="WZB3" s="120"/>
      <c r="WZC3" s="120"/>
      <c r="WZD3" s="120"/>
      <c r="WZE3" s="120"/>
      <c r="WZF3" s="120"/>
      <c r="WZG3" s="120"/>
      <c r="WZH3" s="120"/>
      <c r="WZI3" s="120"/>
      <c r="WZJ3" s="120"/>
      <c r="WZK3" s="120"/>
      <c r="WZL3" s="120"/>
      <c r="WZM3" s="120"/>
      <c r="WZN3" s="120"/>
      <c r="WZO3" s="120"/>
      <c r="WZP3" s="120"/>
      <c r="WZQ3" s="120"/>
      <c r="WZR3" s="120"/>
      <c r="WZS3" s="120"/>
      <c r="WZT3" s="120"/>
      <c r="WZU3" s="120"/>
      <c r="WZV3" s="120"/>
      <c r="WZW3" s="120"/>
      <c r="WZX3" s="120"/>
      <c r="WZY3" s="120"/>
      <c r="WZZ3" s="120"/>
      <c r="XAA3" s="120"/>
      <c r="XAB3" s="120"/>
      <c r="XAC3" s="120"/>
      <c r="XAD3" s="120"/>
      <c r="XAE3" s="120"/>
      <c r="XAF3" s="120"/>
      <c r="XAG3" s="120"/>
      <c r="XAH3" s="120"/>
      <c r="XAI3" s="120"/>
      <c r="XAJ3" s="120"/>
      <c r="XAK3" s="120"/>
      <c r="XAL3" s="120"/>
      <c r="XAM3" s="120"/>
      <c r="XAN3" s="120"/>
      <c r="XAO3" s="120"/>
      <c r="XAP3" s="120"/>
      <c r="XAQ3" s="120"/>
      <c r="XAR3" s="120"/>
      <c r="XAS3" s="120"/>
      <c r="XAT3" s="120"/>
      <c r="XAU3" s="120"/>
      <c r="XAV3" s="120"/>
      <c r="XAW3" s="120"/>
      <c r="XAX3" s="120"/>
      <c r="XAY3" s="120"/>
      <c r="XAZ3" s="120"/>
      <c r="XBA3" s="120"/>
      <c r="XBB3" s="120"/>
      <c r="XBC3" s="120"/>
      <c r="XBD3" s="120"/>
      <c r="XBE3" s="120"/>
      <c r="XBF3" s="120"/>
      <c r="XBG3" s="120"/>
      <c r="XBH3" s="120"/>
      <c r="XBI3" s="120"/>
      <c r="XBJ3" s="120"/>
      <c r="XBK3" s="120"/>
      <c r="XBL3" s="120"/>
      <c r="XBM3" s="120"/>
      <c r="XBN3" s="120"/>
      <c r="XBO3" s="120"/>
      <c r="XBP3" s="120"/>
      <c r="XBQ3" s="120"/>
      <c r="XBR3" s="120"/>
      <c r="XBS3" s="120"/>
      <c r="XBT3" s="120"/>
      <c r="XBU3" s="120"/>
      <c r="XBV3" s="120"/>
      <c r="XBW3" s="120"/>
      <c r="XBX3" s="120"/>
      <c r="XBY3" s="120"/>
      <c r="XBZ3" s="120"/>
      <c r="XCA3" s="120"/>
      <c r="XCB3" s="120"/>
      <c r="XCC3" s="120"/>
      <c r="XCD3" s="120"/>
      <c r="XCE3" s="120"/>
      <c r="XCF3" s="120"/>
      <c r="XCG3" s="120"/>
      <c r="XCH3" s="120"/>
      <c r="XCI3" s="120"/>
      <c r="XCJ3" s="120"/>
      <c r="XCK3" s="120"/>
      <c r="XCL3" s="120"/>
      <c r="XCM3" s="120"/>
      <c r="XCN3" s="120"/>
      <c r="XCO3" s="120"/>
      <c r="XCP3" s="120"/>
      <c r="XCQ3" s="120"/>
      <c r="XCR3" s="120"/>
      <c r="XCS3" s="120"/>
      <c r="XCT3" s="120"/>
      <c r="XCU3" s="120"/>
      <c r="XCV3" s="120"/>
      <c r="XCW3" s="120"/>
      <c r="XCX3" s="120"/>
      <c r="XCY3" s="120"/>
      <c r="XCZ3" s="120"/>
      <c r="XDA3" s="120"/>
      <c r="XDB3" s="120"/>
      <c r="XDC3" s="120"/>
      <c r="XDD3" s="120"/>
      <c r="XDE3" s="120"/>
      <c r="XDF3" s="120"/>
      <c r="XDG3" s="120"/>
      <c r="XDH3" s="120"/>
      <c r="XDI3" s="120"/>
      <c r="XDJ3" s="120"/>
      <c r="XDK3" s="120"/>
      <c r="XDL3" s="120"/>
      <c r="XDM3" s="120"/>
      <c r="XDN3" s="120"/>
      <c r="XDO3" s="120"/>
      <c r="XDP3" s="120"/>
      <c r="XDQ3" s="120"/>
      <c r="XDR3" s="120"/>
      <c r="XDS3" s="120"/>
      <c r="XDT3" s="120"/>
      <c r="XDU3" s="120"/>
      <c r="XDV3" s="120"/>
      <c r="XDW3" s="120"/>
      <c r="XDX3" s="120"/>
      <c r="XDY3" s="120"/>
      <c r="XDZ3" s="120"/>
      <c r="XEA3" s="120"/>
      <c r="XEB3" s="120"/>
      <c r="XEC3" s="120"/>
      <c r="XED3" s="120"/>
      <c r="XEE3" s="120"/>
      <c r="XEF3" s="120"/>
      <c r="XEG3" s="120"/>
      <c r="XEH3" s="120"/>
      <c r="XEI3" s="120"/>
      <c r="XEJ3" s="120"/>
      <c r="XEK3" s="120"/>
      <c r="XEL3" s="120"/>
      <c r="XEM3" s="120"/>
      <c r="XEN3" s="120"/>
      <c r="XEO3" s="120"/>
      <c r="XEP3" s="120"/>
      <c r="XEQ3" s="120"/>
      <c r="XER3" s="120"/>
      <c r="XES3" s="120"/>
      <c r="XET3" s="120"/>
      <c r="XEU3" s="120"/>
      <c r="XEV3" s="120"/>
      <c r="XEW3" s="120"/>
      <c r="XEX3" s="120"/>
      <c r="XEY3" s="120"/>
      <c r="XEZ3" s="120"/>
      <c r="XFA3" s="120"/>
      <c r="XFB3" s="120"/>
      <c r="XFC3" s="120"/>
      <c r="XFD3" s="120"/>
    </row>
    <row r="4" spans="1:16384" ht="13.5" customHeight="1">
      <c r="D4" s="8"/>
      <c r="E4" s="9"/>
      <c r="F4" s="9"/>
      <c r="G4" s="9"/>
      <c r="H4" s="9"/>
      <c r="I4" s="10"/>
      <c r="J4" s="10"/>
      <c r="K4" s="10"/>
      <c r="L4" s="10"/>
      <c r="M4" s="10"/>
      <c r="N4" s="10"/>
      <c r="O4" s="10"/>
      <c r="P4" s="10"/>
      <c r="Q4" s="10"/>
    </row>
    <row r="5" spans="1:16384" s="11" customFormat="1" ht="50.1" customHeight="1">
      <c r="C5" s="19" t="s">
        <v>122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</row>
    <row r="6" spans="1:16384" s="22" customFormat="1" ht="27" customHeight="1">
      <c r="A6" s="21"/>
      <c r="C6" s="23" t="s">
        <v>9</v>
      </c>
      <c r="D6" s="24"/>
      <c r="E6" s="24"/>
      <c r="F6" s="24"/>
      <c r="G6" s="24"/>
      <c r="H6" s="24"/>
      <c r="I6" s="24"/>
      <c r="J6" s="24"/>
      <c r="K6" s="24"/>
      <c r="L6" s="24"/>
      <c r="M6" s="24"/>
    </row>
    <row r="7" spans="1:16384" s="12" customFormat="1" ht="27" customHeight="1">
      <c r="A7" s="11"/>
      <c r="C7" s="175"/>
      <c r="D7" s="175"/>
      <c r="E7" s="175"/>
      <c r="F7" s="175"/>
      <c r="G7" s="175"/>
      <c r="H7" s="175"/>
      <c r="I7" s="25"/>
      <c r="J7" s="25"/>
      <c r="K7" s="25"/>
      <c r="L7" s="25"/>
      <c r="M7" s="32"/>
    </row>
    <row r="8" spans="1:16384" s="12" customFormat="1" ht="36" customHeight="1">
      <c r="A8" s="11"/>
      <c r="C8" s="29" t="s">
        <v>0</v>
      </c>
      <c r="D8" s="28" t="s">
        <v>123</v>
      </c>
      <c r="E8" s="177" t="s">
        <v>79</v>
      </c>
      <c r="F8" s="178"/>
      <c r="G8" s="178"/>
      <c r="H8" s="178"/>
      <c r="I8" s="179"/>
      <c r="J8" s="26"/>
    </row>
    <row r="9" spans="1:16384" s="12" customFormat="1" ht="8.1" customHeight="1">
      <c r="A9" s="11"/>
      <c r="C9" s="174"/>
      <c r="D9" s="174"/>
      <c r="E9" s="174"/>
      <c r="F9" s="174"/>
      <c r="G9" s="176"/>
      <c r="H9" s="174"/>
      <c r="I9" s="174"/>
    </row>
    <row r="10" spans="1:16384" s="12" customFormat="1" ht="36" customHeight="1">
      <c r="A10" s="11"/>
      <c r="C10" s="29" t="s">
        <v>1</v>
      </c>
      <c r="D10" s="28" t="s">
        <v>124</v>
      </c>
      <c r="E10" s="177" t="s">
        <v>80</v>
      </c>
      <c r="F10" s="178"/>
      <c r="G10" s="178"/>
      <c r="H10" s="178"/>
      <c r="I10" s="179"/>
      <c r="J10" s="26"/>
    </row>
    <row r="11" spans="1:16384" s="12" customFormat="1" ht="8.1" customHeight="1">
      <c r="A11" s="11"/>
      <c r="C11" s="174"/>
      <c r="D11" s="174"/>
      <c r="E11" s="174"/>
      <c r="F11" s="174"/>
      <c r="G11" s="174"/>
      <c r="H11" s="174"/>
      <c r="I11" s="174"/>
    </row>
    <row r="12" spans="1:16384" s="12" customFormat="1" ht="36" customHeight="1">
      <c r="A12" s="11"/>
      <c r="C12" s="29" t="s">
        <v>2</v>
      </c>
      <c r="D12" s="28" t="s">
        <v>125</v>
      </c>
      <c r="E12" s="177" t="s">
        <v>83</v>
      </c>
      <c r="F12" s="178"/>
      <c r="G12" s="178"/>
      <c r="H12" s="178"/>
      <c r="I12" s="179"/>
      <c r="J12" s="26"/>
    </row>
    <row r="13" spans="1:16384" s="12" customFormat="1" ht="8.1" customHeight="1">
      <c r="A13" s="11"/>
      <c r="C13" s="174"/>
      <c r="D13" s="174"/>
      <c r="E13" s="174"/>
      <c r="F13" s="174"/>
      <c r="G13" s="174"/>
      <c r="H13" s="174"/>
      <c r="I13" s="174"/>
    </row>
    <row r="14" spans="1:16384" s="12" customFormat="1" ht="36" customHeight="1">
      <c r="A14" s="11"/>
      <c r="C14" s="29" t="s">
        <v>3</v>
      </c>
      <c r="D14" s="28" t="s">
        <v>126</v>
      </c>
      <c r="E14" s="177" t="s">
        <v>81</v>
      </c>
      <c r="F14" s="178"/>
      <c r="G14" s="178"/>
      <c r="H14" s="178"/>
      <c r="I14" s="179"/>
      <c r="J14" s="26"/>
    </row>
    <row r="15" spans="1:16384" s="12" customFormat="1" ht="8.1" customHeight="1">
      <c r="A15" s="11"/>
      <c r="C15" s="174"/>
      <c r="D15" s="174"/>
      <c r="E15" s="174"/>
      <c r="F15" s="174"/>
      <c r="G15" s="174"/>
      <c r="H15" s="174"/>
      <c r="I15" s="174"/>
    </row>
    <row r="16" spans="1:16384" s="12" customFormat="1" ht="36" customHeight="1">
      <c r="A16" s="11"/>
      <c r="C16" s="29" t="s">
        <v>4</v>
      </c>
      <c r="D16" s="28" t="s">
        <v>127</v>
      </c>
      <c r="E16" s="177" t="s">
        <v>82</v>
      </c>
      <c r="F16" s="178"/>
      <c r="G16" s="178"/>
      <c r="H16" s="178"/>
      <c r="I16" s="179"/>
      <c r="J16" s="26"/>
    </row>
    <row r="17" spans="1:9" s="12" customFormat="1" ht="8.25" customHeight="1">
      <c r="A17" s="11"/>
      <c r="C17" s="174"/>
      <c r="D17" s="174"/>
      <c r="E17" s="174"/>
      <c r="F17" s="174"/>
      <c r="G17" s="174"/>
      <c r="H17" s="174"/>
      <c r="I17" s="174"/>
    </row>
  </sheetData>
  <mergeCells count="16">
    <mergeCell ref="C17:I17"/>
    <mergeCell ref="C1:D1"/>
    <mergeCell ref="E1:F1"/>
    <mergeCell ref="G1:H1"/>
    <mergeCell ref="I1:J1"/>
    <mergeCell ref="E16:I16"/>
    <mergeCell ref="K1:L1"/>
    <mergeCell ref="C15:I15"/>
    <mergeCell ref="C7:H7"/>
    <mergeCell ref="C9:I9"/>
    <mergeCell ref="C11:I11"/>
    <mergeCell ref="C13:I13"/>
    <mergeCell ref="E8:I8"/>
    <mergeCell ref="E10:I10"/>
    <mergeCell ref="E12:I12"/>
    <mergeCell ref="E14:I14"/>
  </mergeCells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Planilha26"/>
  <dimension ref="A1:XFD12"/>
  <sheetViews>
    <sheetView showGridLines="0" zoomScale="90" zoomScaleNormal="90" zoomScalePageLayoutView="80" workbookViewId="0">
      <pane ySplit="2" topLeftCell="A3" activePane="bottomLeft" state="frozen"/>
      <selection activeCell="A3" sqref="A3:XFD3"/>
      <selection pane="bottomLeft" activeCell="C3" sqref="C3"/>
    </sheetView>
  </sheetViews>
  <sheetFormatPr defaultColWidth="11" defaultRowHeight="15.75"/>
  <cols>
    <col min="1" max="1" width="2.125" style="6" customWidth="1"/>
    <col min="2" max="2" width="1.375" style="6" customWidth="1"/>
    <col min="3" max="3" width="85.125" style="6" customWidth="1"/>
    <col min="4" max="4" width="2.875" style="6" customWidth="1"/>
    <col min="5" max="5" width="85.125" style="6" customWidth="1"/>
    <col min="6" max="7" width="1.5" style="6" customWidth="1"/>
    <col min="8" max="9" width="11" style="6"/>
    <col min="10" max="10" width="11" style="6" customWidth="1"/>
    <col min="11" max="14" width="11" style="6"/>
    <col min="15" max="15" width="5.125" style="6" customWidth="1"/>
    <col min="16" max="16384" width="11" style="6"/>
  </cols>
  <sheetData>
    <row r="1" spans="1:16384" s="31" customFormat="1" ht="39" customHeight="1">
      <c r="C1" s="173"/>
      <c r="D1" s="173"/>
      <c r="E1" s="173"/>
      <c r="F1" s="173"/>
      <c r="H1" s="7"/>
    </row>
    <row r="2" spans="1:16384" s="2" customFormat="1" ht="30" customHeight="1">
      <c r="D2" s="3"/>
      <c r="E2" s="4"/>
      <c r="F2" s="4"/>
      <c r="G2" s="5"/>
      <c r="H2" s="5"/>
      <c r="I2" s="5"/>
      <c r="J2" s="5"/>
      <c r="K2" s="5"/>
      <c r="L2" s="5"/>
    </row>
    <row r="3" spans="1:16384" customFormat="1" ht="44.25" customHeight="1">
      <c r="A3" s="119"/>
      <c r="B3" s="120"/>
      <c r="C3" s="121"/>
      <c r="D3" s="120"/>
      <c r="E3" s="122"/>
      <c r="F3" s="122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0"/>
      <c r="CO3" s="120"/>
      <c r="CP3" s="120"/>
      <c r="CQ3" s="120"/>
      <c r="CR3" s="120"/>
      <c r="CS3" s="120"/>
      <c r="CT3" s="120"/>
      <c r="CU3" s="120"/>
      <c r="CV3" s="120"/>
      <c r="CW3" s="120"/>
      <c r="CX3" s="120"/>
      <c r="CY3" s="120"/>
      <c r="CZ3" s="120"/>
      <c r="DA3" s="120"/>
      <c r="DB3" s="120"/>
      <c r="DC3" s="120"/>
      <c r="DD3" s="120"/>
      <c r="DE3" s="120"/>
      <c r="DF3" s="120"/>
      <c r="DG3" s="120"/>
      <c r="DH3" s="120"/>
      <c r="DI3" s="120"/>
      <c r="DJ3" s="120"/>
      <c r="DK3" s="120"/>
      <c r="DL3" s="120"/>
      <c r="DM3" s="120"/>
      <c r="DN3" s="120"/>
      <c r="DO3" s="120"/>
      <c r="DP3" s="120"/>
      <c r="DQ3" s="120"/>
      <c r="DR3" s="120"/>
      <c r="DS3" s="120"/>
      <c r="DT3" s="120"/>
      <c r="DU3" s="120"/>
      <c r="DV3" s="120"/>
      <c r="DW3" s="120"/>
      <c r="DX3" s="120"/>
      <c r="DY3" s="120"/>
      <c r="DZ3" s="120"/>
      <c r="EA3" s="120"/>
      <c r="EB3" s="120"/>
      <c r="EC3" s="120"/>
      <c r="ED3" s="120"/>
      <c r="EE3" s="120"/>
      <c r="EF3" s="120"/>
      <c r="EG3" s="120"/>
      <c r="EH3" s="120"/>
      <c r="EI3" s="120"/>
      <c r="EJ3" s="120"/>
      <c r="EK3" s="120"/>
      <c r="EL3" s="120"/>
      <c r="EM3" s="120"/>
      <c r="EN3" s="120"/>
      <c r="EO3" s="120"/>
      <c r="EP3" s="120"/>
      <c r="EQ3" s="120"/>
      <c r="ER3" s="120"/>
      <c r="ES3" s="120"/>
      <c r="ET3" s="120"/>
      <c r="EU3" s="120"/>
      <c r="EV3" s="120"/>
      <c r="EW3" s="120"/>
      <c r="EX3" s="120"/>
      <c r="EY3" s="120"/>
      <c r="EZ3" s="120"/>
      <c r="FA3" s="120"/>
      <c r="FB3" s="120"/>
      <c r="FC3" s="120"/>
      <c r="FD3" s="120"/>
      <c r="FE3" s="120"/>
      <c r="FF3" s="120"/>
      <c r="FG3" s="120"/>
      <c r="FH3" s="120"/>
      <c r="FI3" s="120"/>
      <c r="FJ3" s="120"/>
      <c r="FK3" s="120"/>
      <c r="FL3" s="120"/>
      <c r="FM3" s="120"/>
      <c r="FN3" s="120"/>
      <c r="FO3" s="120"/>
      <c r="FP3" s="120"/>
      <c r="FQ3" s="120"/>
      <c r="FR3" s="120"/>
      <c r="FS3" s="120"/>
      <c r="FT3" s="120"/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0"/>
      <c r="GJ3" s="120"/>
      <c r="GK3" s="120"/>
      <c r="GL3" s="120"/>
      <c r="GM3" s="120"/>
      <c r="GN3" s="120"/>
      <c r="GO3" s="120"/>
      <c r="GP3" s="120"/>
      <c r="GQ3" s="120"/>
      <c r="GR3" s="120"/>
      <c r="GS3" s="120"/>
      <c r="GT3" s="120"/>
      <c r="GU3" s="120"/>
      <c r="GV3" s="120"/>
      <c r="GW3" s="120"/>
      <c r="GX3" s="120"/>
      <c r="GY3" s="120"/>
      <c r="GZ3" s="120"/>
      <c r="HA3" s="120"/>
      <c r="HB3" s="120"/>
      <c r="HC3" s="120"/>
      <c r="HD3" s="120"/>
      <c r="HE3" s="120"/>
      <c r="HF3" s="120"/>
      <c r="HG3" s="120"/>
      <c r="HH3" s="120"/>
      <c r="HI3" s="120"/>
      <c r="HJ3" s="120"/>
      <c r="HK3" s="120"/>
      <c r="HL3" s="120"/>
      <c r="HM3" s="120"/>
      <c r="HN3" s="120"/>
      <c r="HO3" s="120"/>
      <c r="HP3" s="120"/>
      <c r="HQ3" s="120"/>
      <c r="HR3" s="120"/>
      <c r="HS3" s="120"/>
      <c r="HT3" s="120"/>
      <c r="HU3" s="120"/>
      <c r="HV3" s="120"/>
      <c r="HW3" s="120"/>
      <c r="HX3" s="120"/>
      <c r="HY3" s="120"/>
      <c r="HZ3" s="120"/>
      <c r="IA3" s="120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P3" s="120"/>
      <c r="IQ3" s="120"/>
      <c r="IR3" s="120"/>
      <c r="IS3" s="120"/>
      <c r="IT3" s="120"/>
      <c r="IU3" s="120"/>
      <c r="IV3" s="120"/>
      <c r="IW3" s="120"/>
      <c r="IX3" s="120"/>
      <c r="IY3" s="120"/>
      <c r="IZ3" s="120"/>
      <c r="JA3" s="120"/>
      <c r="JB3" s="120"/>
      <c r="JC3" s="120"/>
      <c r="JD3" s="120"/>
      <c r="JE3" s="120"/>
      <c r="JF3" s="120"/>
      <c r="JG3" s="120"/>
      <c r="JH3" s="120"/>
      <c r="JI3" s="120"/>
      <c r="JJ3" s="120"/>
      <c r="JK3" s="120"/>
      <c r="JL3" s="120"/>
      <c r="JM3" s="120"/>
      <c r="JN3" s="120"/>
      <c r="JO3" s="120"/>
      <c r="JP3" s="120"/>
      <c r="JQ3" s="120"/>
      <c r="JR3" s="120"/>
      <c r="JS3" s="120"/>
      <c r="JT3" s="120"/>
      <c r="JU3" s="120"/>
      <c r="JV3" s="120"/>
      <c r="JW3" s="120"/>
      <c r="JX3" s="120"/>
      <c r="JY3" s="120"/>
      <c r="JZ3" s="120"/>
      <c r="KA3" s="120"/>
      <c r="KB3" s="120"/>
      <c r="KC3" s="120"/>
      <c r="KD3" s="120"/>
      <c r="KE3" s="120"/>
      <c r="KF3" s="120"/>
      <c r="KG3" s="120"/>
      <c r="KH3" s="120"/>
      <c r="KI3" s="120"/>
      <c r="KJ3" s="120"/>
      <c r="KK3" s="120"/>
      <c r="KL3" s="120"/>
      <c r="KM3" s="120"/>
      <c r="KN3" s="120"/>
      <c r="KO3" s="120"/>
      <c r="KP3" s="120"/>
      <c r="KQ3" s="120"/>
      <c r="KR3" s="120"/>
      <c r="KS3" s="120"/>
      <c r="KT3" s="120"/>
      <c r="KU3" s="120"/>
      <c r="KV3" s="120"/>
      <c r="KW3" s="120"/>
      <c r="KX3" s="120"/>
      <c r="KY3" s="120"/>
      <c r="KZ3" s="120"/>
      <c r="LA3" s="120"/>
      <c r="LB3" s="120"/>
      <c r="LC3" s="120"/>
      <c r="LD3" s="120"/>
      <c r="LE3" s="120"/>
      <c r="LF3" s="120"/>
      <c r="LG3" s="120"/>
      <c r="LH3" s="120"/>
      <c r="LI3" s="120"/>
      <c r="LJ3" s="120"/>
      <c r="LK3" s="120"/>
      <c r="LL3" s="120"/>
      <c r="LM3" s="120"/>
      <c r="LN3" s="120"/>
      <c r="LO3" s="120"/>
      <c r="LP3" s="120"/>
      <c r="LQ3" s="120"/>
      <c r="LR3" s="120"/>
      <c r="LS3" s="120"/>
      <c r="LT3" s="120"/>
      <c r="LU3" s="120"/>
      <c r="LV3" s="120"/>
      <c r="LW3" s="120"/>
      <c r="LX3" s="120"/>
      <c r="LY3" s="120"/>
      <c r="LZ3" s="120"/>
      <c r="MA3" s="120"/>
      <c r="MB3" s="120"/>
      <c r="MC3" s="120"/>
      <c r="MD3" s="120"/>
      <c r="ME3" s="120"/>
      <c r="MF3" s="120"/>
      <c r="MG3" s="120"/>
      <c r="MH3" s="120"/>
      <c r="MI3" s="120"/>
      <c r="MJ3" s="120"/>
      <c r="MK3" s="120"/>
      <c r="ML3" s="120"/>
      <c r="MM3" s="120"/>
      <c r="MN3" s="120"/>
      <c r="MO3" s="120"/>
      <c r="MP3" s="120"/>
      <c r="MQ3" s="120"/>
      <c r="MR3" s="120"/>
      <c r="MS3" s="120"/>
      <c r="MT3" s="120"/>
      <c r="MU3" s="120"/>
      <c r="MV3" s="120"/>
      <c r="MW3" s="120"/>
      <c r="MX3" s="120"/>
      <c r="MY3" s="120"/>
      <c r="MZ3" s="120"/>
      <c r="NA3" s="120"/>
      <c r="NB3" s="120"/>
      <c r="NC3" s="120"/>
      <c r="ND3" s="120"/>
      <c r="NE3" s="120"/>
      <c r="NF3" s="120"/>
      <c r="NG3" s="120"/>
      <c r="NH3" s="120"/>
      <c r="NI3" s="120"/>
      <c r="NJ3" s="120"/>
      <c r="NK3" s="120"/>
      <c r="NL3" s="120"/>
      <c r="NM3" s="120"/>
      <c r="NN3" s="120"/>
      <c r="NO3" s="120"/>
      <c r="NP3" s="120"/>
      <c r="NQ3" s="120"/>
      <c r="NR3" s="120"/>
      <c r="NS3" s="120"/>
      <c r="NT3" s="120"/>
      <c r="NU3" s="120"/>
      <c r="NV3" s="120"/>
      <c r="NW3" s="120"/>
      <c r="NX3" s="120"/>
      <c r="NY3" s="120"/>
      <c r="NZ3" s="120"/>
      <c r="OA3" s="120"/>
      <c r="OB3" s="120"/>
      <c r="OC3" s="120"/>
      <c r="OD3" s="120"/>
      <c r="OE3" s="120"/>
      <c r="OF3" s="120"/>
      <c r="OG3" s="120"/>
      <c r="OH3" s="120"/>
      <c r="OI3" s="120"/>
      <c r="OJ3" s="120"/>
      <c r="OK3" s="120"/>
      <c r="OL3" s="120"/>
      <c r="OM3" s="120"/>
      <c r="ON3" s="120"/>
      <c r="OO3" s="120"/>
      <c r="OP3" s="120"/>
      <c r="OQ3" s="120"/>
      <c r="OR3" s="120"/>
      <c r="OS3" s="120"/>
      <c r="OT3" s="120"/>
      <c r="OU3" s="120"/>
      <c r="OV3" s="120"/>
      <c r="OW3" s="120"/>
      <c r="OX3" s="120"/>
      <c r="OY3" s="120"/>
      <c r="OZ3" s="120"/>
      <c r="PA3" s="120"/>
      <c r="PB3" s="120"/>
      <c r="PC3" s="120"/>
      <c r="PD3" s="120"/>
      <c r="PE3" s="120"/>
      <c r="PF3" s="120"/>
      <c r="PG3" s="120"/>
      <c r="PH3" s="120"/>
      <c r="PI3" s="120"/>
      <c r="PJ3" s="120"/>
      <c r="PK3" s="120"/>
      <c r="PL3" s="120"/>
      <c r="PM3" s="120"/>
      <c r="PN3" s="120"/>
      <c r="PO3" s="120"/>
      <c r="PP3" s="120"/>
      <c r="PQ3" s="120"/>
      <c r="PR3" s="120"/>
      <c r="PS3" s="120"/>
      <c r="PT3" s="120"/>
      <c r="PU3" s="120"/>
      <c r="PV3" s="120"/>
      <c r="PW3" s="120"/>
      <c r="PX3" s="120"/>
      <c r="PY3" s="120"/>
      <c r="PZ3" s="120"/>
      <c r="QA3" s="120"/>
      <c r="QB3" s="120"/>
      <c r="QC3" s="120"/>
      <c r="QD3" s="120"/>
      <c r="QE3" s="120"/>
      <c r="QF3" s="120"/>
      <c r="QG3" s="120"/>
      <c r="QH3" s="120"/>
      <c r="QI3" s="120"/>
      <c r="QJ3" s="120"/>
      <c r="QK3" s="120"/>
      <c r="QL3" s="120"/>
      <c r="QM3" s="120"/>
      <c r="QN3" s="120"/>
      <c r="QO3" s="120"/>
      <c r="QP3" s="120"/>
      <c r="QQ3" s="120"/>
      <c r="QR3" s="120"/>
      <c r="QS3" s="120"/>
      <c r="QT3" s="120"/>
      <c r="QU3" s="120"/>
      <c r="QV3" s="120"/>
      <c r="QW3" s="120"/>
      <c r="QX3" s="120"/>
      <c r="QY3" s="120"/>
      <c r="QZ3" s="120"/>
      <c r="RA3" s="120"/>
      <c r="RB3" s="120"/>
      <c r="RC3" s="120"/>
      <c r="RD3" s="120"/>
      <c r="RE3" s="120"/>
      <c r="RF3" s="120"/>
      <c r="RG3" s="120"/>
      <c r="RH3" s="120"/>
      <c r="RI3" s="120"/>
      <c r="RJ3" s="120"/>
      <c r="RK3" s="120"/>
      <c r="RL3" s="120"/>
      <c r="RM3" s="120"/>
      <c r="RN3" s="120"/>
      <c r="RO3" s="120"/>
      <c r="RP3" s="120"/>
      <c r="RQ3" s="120"/>
      <c r="RR3" s="120"/>
      <c r="RS3" s="120"/>
      <c r="RT3" s="120"/>
      <c r="RU3" s="120"/>
      <c r="RV3" s="120"/>
      <c r="RW3" s="120"/>
      <c r="RX3" s="120"/>
      <c r="RY3" s="120"/>
      <c r="RZ3" s="120"/>
      <c r="SA3" s="120"/>
      <c r="SB3" s="120"/>
      <c r="SC3" s="120"/>
      <c r="SD3" s="120"/>
      <c r="SE3" s="120"/>
      <c r="SF3" s="120"/>
      <c r="SG3" s="120"/>
      <c r="SH3" s="120"/>
      <c r="SI3" s="120"/>
      <c r="SJ3" s="120"/>
      <c r="SK3" s="120"/>
      <c r="SL3" s="120"/>
      <c r="SM3" s="120"/>
      <c r="SN3" s="120"/>
      <c r="SO3" s="120"/>
      <c r="SP3" s="120"/>
      <c r="SQ3" s="120"/>
      <c r="SR3" s="120"/>
      <c r="SS3" s="120"/>
      <c r="ST3" s="120"/>
      <c r="SU3" s="120"/>
      <c r="SV3" s="120"/>
      <c r="SW3" s="120"/>
      <c r="SX3" s="120"/>
      <c r="SY3" s="120"/>
      <c r="SZ3" s="120"/>
      <c r="TA3" s="120"/>
      <c r="TB3" s="120"/>
      <c r="TC3" s="120"/>
      <c r="TD3" s="120"/>
      <c r="TE3" s="120"/>
      <c r="TF3" s="120"/>
      <c r="TG3" s="120"/>
      <c r="TH3" s="120"/>
      <c r="TI3" s="120"/>
      <c r="TJ3" s="120"/>
      <c r="TK3" s="120"/>
      <c r="TL3" s="120"/>
      <c r="TM3" s="120"/>
      <c r="TN3" s="120"/>
      <c r="TO3" s="120"/>
      <c r="TP3" s="120"/>
      <c r="TQ3" s="120"/>
      <c r="TR3" s="120"/>
      <c r="TS3" s="120"/>
      <c r="TT3" s="120"/>
      <c r="TU3" s="120"/>
      <c r="TV3" s="120"/>
      <c r="TW3" s="120"/>
      <c r="TX3" s="120"/>
      <c r="TY3" s="120"/>
      <c r="TZ3" s="120"/>
      <c r="UA3" s="120"/>
      <c r="UB3" s="120"/>
      <c r="UC3" s="120"/>
      <c r="UD3" s="120"/>
      <c r="UE3" s="120"/>
      <c r="UF3" s="120"/>
      <c r="UG3" s="120"/>
      <c r="UH3" s="120"/>
      <c r="UI3" s="120"/>
      <c r="UJ3" s="120"/>
      <c r="UK3" s="120"/>
      <c r="UL3" s="120"/>
      <c r="UM3" s="120"/>
      <c r="UN3" s="120"/>
      <c r="UO3" s="120"/>
      <c r="UP3" s="120"/>
      <c r="UQ3" s="120"/>
      <c r="UR3" s="120"/>
      <c r="US3" s="120"/>
      <c r="UT3" s="120"/>
      <c r="UU3" s="120"/>
      <c r="UV3" s="120"/>
      <c r="UW3" s="120"/>
      <c r="UX3" s="120"/>
      <c r="UY3" s="120"/>
      <c r="UZ3" s="120"/>
      <c r="VA3" s="120"/>
      <c r="VB3" s="120"/>
      <c r="VC3" s="120"/>
      <c r="VD3" s="120"/>
      <c r="VE3" s="120"/>
      <c r="VF3" s="120"/>
      <c r="VG3" s="120"/>
      <c r="VH3" s="120"/>
      <c r="VI3" s="120"/>
      <c r="VJ3" s="120"/>
      <c r="VK3" s="120"/>
      <c r="VL3" s="120"/>
      <c r="VM3" s="120"/>
      <c r="VN3" s="120"/>
      <c r="VO3" s="120"/>
      <c r="VP3" s="120"/>
      <c r="VQ3" s="120"/>
      <c r="VR3" s="120"/>
      <c r="VS3" s="120"/>
      <c r="VT3" s="120"/>
      <c r="VU3" s="120"/>
      <c r="VV3" s="120"/>
      <c r="VW3" s="120"/>
      <c r="VX3" s="120"/>
      <c r="VY3" s="120"/>
      <c r="VZ3" s="120"/>
      <c r="WA3" s="120"/>
      <c r="WB3" s="120"/>
      <c r="WC3" s="120"/>
      <c r="WD3" s="120"/>
      <c r="WE3" s="120"/>
      <c r="WF3" s="120"/>
      <c r="WG3" s="120"/>
      <c r="WH3" s="120"/>
      <c r="WI3" s="120"/>
      <c r="WJ3" s="120"/>
      <c r="WK3" s="120"/>
      <c r="WL3" s="120"/>
      <c r="WM3" s="120"/>
      <c r="WN3" s="120"/>
      <c r="WO3" s="120"/>
      <c r="WP3" s="120"/>
      <c r="WQ3" s="120"/>
      <c r="WR3" s="120"/>
      <c r="WS3" s="120"/>
      <c r="WT3" s="120"/>
      <c r="WU3" s="120"/>
      <c r="WV3" s="120"/>
      <c r="WW3" s="120"/>
      <c r="WX3" s="120"/>
      <c r="WY3" s="120"/>
      <c r="WZ3" s="120"/>
      <c r="XA3" s="120"/>
      <c r="XB3" s="120"/>
      <c r="XC3" s="120"/>
      <c r="XD3" s="120"/>
      <c r="XE3" s="120"/>
      <c r="XF3" s="120"/>
      <c r="XG3" s="120"/>
      <c r="XH3" s="120"/>
      <c r="XI3" s="120"/>
      <c r="XJ3" s="120"/>
      <c r="XK3" s="120"/>
      <c r="XL3" s="120"/>
      <c r="XM3" s="120"/>
      <c r="XN3" s="120"/>
      <c r="XO3" s="120"/>
      <c r="XP3" s="120"/>
      <c r="XQ3" s="120"/>
      <c r="XR3" s="120"/>
      <c r="XS3" s="120"/>
      <c r="XT3" s="120"/>
      <c r="XU3" s="120"/>
      <c r="XV3" s="120"/>
      <c r="XW3" s="120"/>
      <c r="XX3" s="120"/>
      <c r="XY3" s="120"/>
      <c r="XZ3" s="120"/>
      <c r="YA3" s="120"/>
      <c r="YB3" s="120"/>
      <c r="YC3" s="120"/>
      <c r="YD3" s="120"/>
      <c r="YE3" s="120"/>
      <c r="YF3" s="120"/>
      <c r="YG3" s="120"/>
      <c r="YH3" s="120"/>
      <c r="YI3" s="120"/>
      <c r="YJ3" s="120"/>
      <c r="YK3" s="120"/>
      <c r="YL3" s="120"/>
      <c r="YM3" s="120"/>
      <c r="YN3" s="120"/>
      <c r="YO3" s="120"/>
      <c r="YP3" s="120"/>
      <c r="YQ3" s="120"/>
      <c r="YR3" s="120"/>
      <c r="YS3" s="120"/>
      <c r="YT3" s="120"/>
      <c r="YU3" s="120"/>
      <c r="YV3" s="120"/>
      <c r="YW3" s="120"/>
      <c r="YX3" s="120"/>
      <c r="YY3" s="120"/>
      <c r="YZ3" s="120"/>
      <c r="ZA3" s="120"/>
      <c r="ZB3" s="120"/>
      <c r="ZC3" s="120"/>
      <c r="ZD3" s="120"/>
      <c r="ZE3" s="120"/>
      <c r="ZF3" s="120"/>
      <c r="ZG3" s="120"/>
      <c r="ZH3" s="120"/>
      <c r="ZI3" s="120"/>
      <c r="ZJ3" s="120"/>
      <c r="ZK3" s="120"/>
      <c r="ZL3" s="120"/>
      <c r="ZM3" s="120"/>
      <c r="ZN3" s="120"/>
      <c r="ZO3" s="120"/>
      <c r="ZP3" s="120"/>
      <c r="ZQ3" s="120"/>
      <c r="ZR3" s="120"/>
      <c r="ZS3" s="120"/>
      <c r="ZT3" s="120"/>
      <c r="ZU3" s="120"/>
      <c r="ZV3" s="120"/>
      <c r="ZW3" s="120"/>
      <c r="ZX3" s="120"/>
      <c r="ZY3" s="120"/>
      <c r="ZZ3" s="120"/>
      <c r="AAA3" s="120"/>
      <c r="AAB3" s="120"/>
      <c r="AAC3" s="120"/>
      <c r="AAD3" s="120"/>
      <c r="AAE3" s="120"/>
      <c r="AAF3" s="120"/>
      <c r="AAG3" s="120"/>
      <c r="AAH3" s="120"/>
      <c r="AAI3" s="120"/>
      <c r="AAJ3" s="120"/>
      <c r="AAK3" s="120"/>
      <c r="AAL3" s="120"/>
      <c r="AAM3" s="120"/>
      <c r="AAN3" s="120"/>
      <c r="AAO3" s="120"/>
      <c r="AAP3" s="120"/>
      <c r="AAQ3" s="120"/>
      <c r="AAR3" s="120"/>
      <c r="AAS3" s="120"/>
      <c r="AAT3" s="120"/>
      <c r="AAU3" s="120"/>
      <c r="AAV3" s="120"/>
      <c r="AAW3" s="120"/>
      <c r="AAX3" s="120"/>
      <c r="AAY3" s="120"/>
      <c r="AAZ3" s="120"/>
      <c r="ABA3" s="120"/>
      <c r="ABB3" s="120"/>
      <c r="ABC3" s="120"/>
      <c r="ABD3" s="120"/>
      <c r="ABE3" s="120"/>
      <c r="ABF3" s="120"/>
      <c r="ABG3" s="120"/>
      <c r="ABH3" s="120"/>
      <c r="ABI3" s="120"/>
      <c r="ABJ3" s="120"/>
      <c r="ABK3" s="120"/>
      <c r="ABL3" s="120"/>
      <c r="ABM3" s="120"/>
      <c r="ABN3" s="120"/>
      <c r="ABO3" s="120"/>
      <c r="ABP3" s="120"/>
      <c r="ABQ3" s="120"/>
      <c r="ABR3" s="120"/>
      <c r="ABS3" s="120"/>
      <c r="ABT3" s="120"/>
      <c r="ABU3" s="120"/>
      <c r="ABV3" s="120"/>
      <c r="ABW3" s="120"/>
      <c r="ABX3" s="120"/>
      <c r="ABY3" s="120"/>
      <c r="ABZ3" s="120"/>
      <c r="ACA3" s="120"/>
      <c r="ACB3" s="120"/>
      <c r="ACC3" s="120"/>
      <c r="ACD3" s="120"/>
      <c r="ACE3" s="120"/>
      <c r="ACF3" s="120"/>
      <c r="ACG3" s="120"/>
      <c r="ACH3" s="120"/>
      <c r="ACI3" s="120"/>
      <c r="ACJ3" s="120"/>
      <c r="ACK3" s="120"/>
      <c r="ACL3" s="120"/>
      <c r="ACM3" s="120"/>
      <c r="ACN3" s="120"/>
      <c r="ACO3" s="120"/>
      <c r="ACP3" s="120"/>
      <c r="ACQ3" s="120"/>
      <c r="ACR3" s="120"/>
      <c r="ACS3" s="120"/>
      <c r="ACT3" s="120"/>
      <c r="ACU3" s="120"/>
      <c r="ACV3" s="120"/>
      <c r="ACW3" s="120"/>
      <c r="ACX3" s="120"/>
      <c r="ACY3" s="120"/>
      <c r="ACZ3" s="120"/>
      <c r="ADA3" s="120"/>
      <c r="ADB3" s="120"/>
      <c r="ADC3" s="120"/>
      <c r="ADD3" s="120"/>
      <c r="ADE3" s="120"/>
      <c r="ADF3" s="120"/>
      <c r="ADG3" s="120"/>
      <c r="ADH3" s="120"/>
      <c r="ADI3" s="120"/>
      <c r="ADJ3" s="120"/>
      <c r="ADK3" s="120"/>
      <c r="ADL3" s="120"/>
      <c r="ADM3" s="120"/>
      <c r="ADN3" s="120"/>
      <c r="ADO3" s="120"/>
      <c r="ADP3" s="120"/>
      <c r="ADQ3" s="120"/>
      <c r="ADR3" s="120"/>
      <c r="ADS3" s="120"/>
      <c r="ADT3" s="120"/>
      <c r="ADU3" s="120"/>
      <c r="ADV3" s="120"/>
      <c r="ADW3" s="120"/>
      <c r="ADX3" s="120"/>
      <c r="ADY3" s="120"/>
      <c r="ADZ3" s="120"/>
      <c r="AEA3" s="120"/>
      <c r="AEB3" s="120"/>
      <c r="AEC3" s="120"/>
      <c r="AED3" s="120"/>
      <c r="AEE3" s="120"/>
      <c r="AEF3" s="120"/>
      <c r="AEG3" s="120"/>
      <c r="AEH3" s="120"/>
      <c r="AEI3" s="120"/>
      <c r="AEJ3" s="120"/>
      <c r="AEK3" s="120"/>
      <c r="AEL3" s="120"/>
      <c r="AEM3" s="120"/>
      <c r="AEN3" s="120"/>
      <c r="AEO3" s="120"/>
      <c r="AEP3" s="120"/>
      <c r="AEQ3" s="120"/>
      <c r="AER3" s="120"/>
      <c r="AES3" s="120"/>
      <c r="AET3" s="120"/>
      <c r="AEU3" s="120"/>
      <c r="AEV3" s="120"/>
      <c r="AEW3" s="120"/>
      <c r="AEX3" s="120"/>
      <c r="AEY3" s="120"/>
      <c r="AEZ3" s="120"/>
      <c r="AFA3" s="120"/>
      <c r="AFB3" s="120"/>
      <c r="AFC3" s="120"/>
      <c r="AFD3" s="120"/>
      <c r="AFE3" s="120"/>
      <c r="AFF3" s="120"/>
      <c r="AFG3" s="120"/>
      <c r="AFH3" s="120"/>
      <c r="AFI3" s="120"/>
      <c r="AFJ3" s="120"/>
      <c r="AFK3" s="120"/>
      <c r="AFL3" s="120"/>
      <c r="AFM3" s="120"/>
      <c r="AFN3" s="120"/>
      <c r="AFO3" s="120"/>
      <c r="AFP3" s="120"/>
      <c r="AFQ3" s="120"/>
      <c r="AFR3" s="120"/>
      <c r="AFS3" s="120"/>
      <c r="AFT3" s="120"/>
      <c r="AFU3" s="120"/>
      <c r="AFV3" s="120"/>
      <c r="AFW3" s="120"/>
      <c r="AFX3" s="120"/>
      <c r="AFY3" s="120"/>
      <c r="AFZ3" s="120"/>
      <c r="AGA3" s="120"/>
      <c r="AGB3" s="120"/>
      <c r="AGC3" s="120"/>
      <c r="AGD3" s="120"/>
      <c r="AGE3" s="120"/>
      <c r="AGF3" s="120"/>
      <c r="AGG3" s="120"/>
      <c r="AGH3" s="120"/>
      <c r="AGI3" s="120"/>
      <c r="AGJ3" s="120"/>
      <c r="AGK3" s="120"/>
      <c r="AGL3" s="120"/>
      <c r="AGM3" s="120"/>
      <c r="AGN3" s="120"/>
      <c r="AGO3" s="120"/>
      <c r="AGP3" s="120"/>
      <c r="AGQ3" s="120"/>
      <c r="AGR3" s="120"/>
      <c r="AGS3" s="120"/>
      <c r="AGT3" s="120"/>
      <c r="AGU3" s="120"/>
      <c r="AGV3" s="120"/>
      <c r="AGW3" s="120"/>
      <c r="AGX3" s="120"/>
      <c r="AGY3" s="120"/>
      <c r="AGZ3" s="120"/>
      <c r="AHA3" s="120"/>
      <c r="AHB3" s="120"/>
      <c r="AHC3" s="120"/>
      <c r="AHD3" s="120"/>
      <c r="AHE3" s="120"/>
      <c r="AHF3" s="120"/>
      <c r="AHG3" s="120"/>
      <c r="AHH3" s="120"/>
      <c r="AHI3" s="120"/>
      <c r="AHJ3" s="120"/>
      <c r="AHK3" s="120"/>
      <c r="AHL3" s="120"/>
      <c r="AHM3" s="120"/>
      <c r="AHN3" s="120"/>
      <c r="AHO3" s="120"/>
      <c r="AHP3" s="120"/>
      <c r="AHQ3" s="120"/>
      <c r="AHR3" s="120"/>
      <c r="AHS3" s="120"/>
      <c r="AHT3" s="120"/>
      <c r="AHU3" s="120"/>
      <c r="AHV3" s="120"/>
      <c r="AHW3" s="120"/>
      <c r="AHX3" s="120"/>
      <c r="AHY3" s="120"/>
      <c r="AHZ3" s="120"/>
      <c r="AIA3" s="120"/>
      <c r="AIB3" s="120"/>
      <c r="AIC3" s="120"/>
      <c r="AID3" s="120"/>
      <c r="AIE3" s="120"/>
      <c r="AIF3" s="120"/>
      <c r="AIG3" s="120"/>
      <c r="AIH3" s="120"/>
      <c r="AII3" s="120"/>
      <c r="AIJ3" s="120"/>
      <c r="AIK3" s="120"/>
      <c r="AIL3" s="120"/>
      <c r="AIM3" s="120"/>
      <c r="AIN3" s="120"/>
      <c r="AIO3" s="120"/>
      <c r="AIP3" s="120"/>
      <c r="AIQ3" s="120"/>
      <c r="AIR3" s="120"/>
      <c r="AIS3" s="120"/>
      <c r="AIT3" s="120"/>
      <c r="AIU3" s="120"/>
      <c r="AIV3" s="120"/>
      <c r="AIW3" s="120"/>
      <c r="AIX3" s="120"/>
      <c r="AIY3" s="120"/>
      <c r="AIZ3" s="120"/>
      <c r="AJA3" s="120"/>
      <c r="AJB3" s="120"/>
      <c r="AJC3" s="120"/>
      <c r="AJD3" s="120"/>
      <c r="AJE3" s="120"/>
      <c r="AJF3" s="120"/>
      <c r="AJG3" s="120"/>
      <c r="AJH3" s="120"/>
      <c r="AJI3" s="120"/>
      <c r="AJJ3" s="120"/>
      <c r="AJK3" s="120"/>
      <c r="AJL3" s="120"/>
      <c r="AJM3" s="120"/>
      <c r="AJN3" s="120"/>
      <c r="AJO3" s="120"/>
      <c r="AJP3" s="120"/>
      <c r="AJQ3" s="120"/>
      <c r="AJR3" s="120"/>
      <c r="AJS3" s="120"/>
      <c r="AJT3" s="120"/>
      <c r="AJU3" s="120"/>
      <c r="AJV3" s="120"/>
      <c r="AJW3" s="120"/>
      <c r="AJX3" s="120"/>
      <c r="AJY3" s="120"/>
      <c r="AJZ3" s="120"/>
      <c r="AKA3" s="120"/>
      <c r="AKB3" s="120"/>
      <c r="AKC3" s="120"/>
      <c r="AKD3" s="120"/>
      <c r="AKE3" s="120"/>
      <c r="AKF3" s="120"/>
      <c r="AKG3" s="120"/>
      <c r="AKH3" s="120"/>
      <c r="AKI3" s="120"/>
      <c r="AKJ3" s="120"/>
      <c r="AKK3" s="120"/>
      <c r="AKL3" s="120"/>
      <c r="AKM3" s="120"/>
      <c r="AKN3" s="120"/>
      <c r="AKO3" s="120"/>
      <c r="AKP3" s="120"/>
      <c r="AKQ3" s="120"/>
      <c r="AKR3" s="120"/>
      <c r="AKS3" s="120"/>
      <c r="AKT3" s="120"/>
      <c r="AKU3" s="120"/>
      <c r="AKV3" s="120"/>
      <c r="AKW3" s="120"/>
      <c r="AKX3" s="120"/>
      <c r="AKY3" s="120"/>
      <c r="AKZ3" s="120"/>
      <c r="ALA3" s="120"/>
      <c r="ALB3" s="120"/>
      <c r="ALC3" s="120"/>
      <c r="ALD3" s="120"/>
      <c r="ALE3" s="120"/>
      <c r="ALF3" s="120"/>
      <c r="ALG3" s="120"/>
      <c r="ALH3" s="120"/>
      <c r="ALI3" s="120"/>
      <c r="ALJ3" s="120"/>
      <c r="ALK3" s="120"/>
      <c r="ALL3" s="120"/>
      <c r="ALM3" s="120"/>
      <c r="ALN3" s="120"/>
      <c r="ALO3" s="120"/>
      <c r="ALP3" s="120"/>
      <c r="ALQ3" s="120"/>
      <c r="ALR3" s="120"/>
      <c r="ALS3" s="120"/>
      <c r="ALT3" s="120"/>
      <c r="ALU3" s="120"/>
      <c r="ALV3" s="120"/>
      <c r="ALW3" s="120"/>
      <c r="ALX3" s="120"/>
      <c r="ALY3" s="120"/>
      <c r="ALZ3" s="120"/>
      <c r="AMA3" s="120"/>
      <c r="AMB3" s="120"/>
      <c r="AMC3" s="120"/>
      <c r="AMD3" s="120"/>
      <c r="AME3" s="120"/>
      <c r="AMF3" s="120"/>
      <c r="AMG3" s="120"/>
      <c r="AMH3" s="120"/>
      <c r="AMI3" s="120"/>
      <c r="AMJ3" s="120"/>
      <c r="AMK3" s="120"/>
      <c r="AML3" s="120"/>
      <c r="AMM3" s="120"/>
      <c r="AMN3" s="120"/>
      <c r="AMO3" s="120"/>
      <c r="AMP3" s="120"/>
      <c r="AMQ3" s="120"/>
      <c r="AMR3" s="120"/>
      <c r="AMS3" s="120"/>
      <c r="AMT3" s="120"/>
      <c r="AMU3" s="120"/>
      <c r="AMV3" s="120"/>
      <c r="AMW3" s="120"/>
      <c r="AMX3" s="120"/>
      <c r="AMY3" s="120"/>
      <c r="AMZ3" s="120"/>
      <c r="ANA3" s="120"/>
      <c r="ANB3" s="120"/>
      <c r="ANC3" s="120"/>
      <c r="AND3" s="120"/>
      <c r="ANE3" s="120"/>
      <c r="ANF3" s="120"/>
      <c r="ANG3" s="120"/>
      <c r="ANH3" s="120"/>
      <c r="ANI3" s="120"/>
      <c r="ANJ3" s="120"/>
      <c r="ANK3" s="120"/>
      <c r="ANL3" s="120"/>
      <c r="ANM3" s="120"/>
      <c r="ANN3" s="120"/>
      <c r="ANO3" s="120"/>
      <c r="ANP3" s="120"/>
      <c r="ANQ3" s="120"/>
      <c r="ANR3" s="120"/>
      <c r="ANS3" s="120"/>
      <c r="ANT3" s="120"/>
      <c r="ANU3" s="120"/>
      <c r="ANV3" s="120"/>
      <c r="ANW3" s="120"/>
      <c r="ANX3" s="120"/>
      <c r="ANY3" s="120"/>
      <c r="ANZ3" s="120"/>
      <c r="AOA3" s="120"/>
      <c r="AOB3" s="120"/>
      <c r="AOC3" s="120"/>
      <c r="AOD3" s="120"/>
      <c r="AOE3" s="120"/>
      <c r="AOF3" s="120"/>
      <c r="AOG3" s="120"/>
      <c r="AOH3" s="120"/>
      <c r="AOI3" s="120"/>
      <c r="AOJ3" s="120"/>
      <c r="AOK3" s="120"/>
      <c r="AOL3" s="120"/>
      <c r="AOM3" s="120"/>
      <c r="AON3" s="120"/>
      <c r="AOO3" s="120"/>
      <c r="AOP3" s="120"/>
      <c r="AOQ3" s="120"/>
      <c r="AOR3" s="120"/>
      <c r="AOS3" s="120"/>
      <c r="AOT3" s="120"/>
      <c r="AOU3" s="120"/>
      <c r="AOV3" s="120"/>
      <c r="AOW3" s="120"/>
      <c r="AOX3" s="120"/>
      <c r="AOY3" s="120"/>
      <c r="AOZ3" s="120"/>
      <c r="APA3" s="120"/>
      <c r="APB3" s="120"/>
      <c r="APC3" s="120"/>
      <c r="APD3" s="120"/>
      <c r="APE3" s="120"/>
      <c r="APF3" s="120"/>
      <c r="APG3" s="120"/>
      <c r="APH3" s="120"/>
      <c r="API3" s="120"/>
      <c r="APJ3" s="120"/>
      <c r="APK3" s="120"/>
      <c r="APL3" s="120"/>
      <c r="APM3" s="120"/>
      <c r="APN3" s="120"/>
      <c r="APO3" s="120"/>
      <c r="APP3" s="120"/>
      <c r="APQ3" s="120"/>
      <c r="APR3" s="120"/>
      <c r="APS3" s="120"/>
      <c r="APT3" s="120"/>
      <c r="APU3" s="120"/>
      <c r="APV3" s="120"/>
      <c r="APW3" s="120"/>
      <c r="APX3" s="120"/>
      <c r="APY3" s="120"/>
      <c r="APZ3" s="120"/>
      <c r="AQA3" s="120"/>
      <c r="AQB3" s="120"/>
      <c r="AQC3" s="120"/>
      <c r="AQD3" s="120"/>
      <c r="AQE3" s="120"/>
      <c r="AQF3" s="120"/>
      <c r="AQG3" s="120"/>
      <c r="AQH3" s="120"/>
      <c r="AQI3" s="120"/>
      <c r="AQJ3" s="120"/>
      <c r="AQK3" s="120"/>
      <c r="AQL3" s="120"/>
      <c r="AQM3" s="120"/>
      <c r="AQN3" s="120"/>
      <c r="AQO3" s="120"/>
      <c r="AQP3" s="120"/>
      <c r="AQQ3" s="120"/>
      <c r="AQR3" s="120"/>
      <c r="AQS3" s="120"/>
      <c r="AQT3" s="120"/>
      <c r="AQU3" s="120"/>
      <c r="AQV3" s="120"/>
      <c r="AQW3" s="120"/>
      <c r="AQX3" s="120"/>
      <c r="AQY3" s="120"/>
      <c r="AQZ3" s="120"/>
      <c r="ARA3" s="120"/>
      <c r="ARB3" s="120"/>
      <c r="ARC3" s="120"/>
      <c r="ARD3" s="120"/>
      <c r="ARE3" s="120"/>
      <c r="ARF3" s="120"/>
      <c r="ARG3" s="120"/>
      <c r="ARH3" s="120"/>
      <c r="ARI3" s="120"/>
      <c r="ARJ3" s="120"/>
      <c r="ARK3" s="120"/>
      <c r="ARL3" s="120"/>
      <c r="ARM3" s="120"/>
      <c r="ARN3" s="120"/>
      <c r="ARO3" s="120"/>
      <c r="ARP3" s="120"/>
      <c r="ARQ3" s="120"/>
      <c r="ARR3" s="120"/>
      <c r="ARS3" s="120"/>
      <c r="ART3" s="120"/>
      <c r="ARU3" s="120"/>
      <c r="ARV3" s="120"/>
      <c r="ARW3" s="120"/>
      <c r="ARX3" s="120"/>
      <c r="ARY3" s="120"/>
      <c r="ARZ3" s="120"/>
      <c r="ASA3" s="120"/>
      <c r="ASB3" s="120"/>
      <c r="ASC3" s="120"/>
      <c r="ASD3" s="120"/>
      <c r="ASE3" s="120"/>
      <c r="ASF3" s="120"/>
      <c r="ASG3" s="120"/>
      <c r="ASH3" s="120"/>
      <c r="ASI3" s="120"/>
      <c r="ASJ3" s="120"/>
      <c r="ASK3" s="120"/>
      <c r="ASL3" s="120"/>
      <c r="ASM3" s="120"/>
      <c r="ASN3" s="120"/>
      <c r="ASO3" s="120"/>
      <c r="ASP3" s="120"/>
      <c r="ASQ3" s="120"/>
      <c r="ASR3" s="120"/>
      <c r="ASS3" s="120"/>
      <c r="AST3" s="120"/>
      <c r="ASU3" s="120"/>
      <c r="ASV3" s="120"/>
      <c r="ASW3" s="120"/>
      <c r="ASX3" s="120"/>
      <c r="ASY3" s="120"/>
      <c r="ASZ3" s="120"/>
      <c r="ATA3" s="120"/>
      <c r="ATB3" s="120"/>
      <c r="ATC3" s="120"/>
      <c r="ATD3" s="120"/>
      <c r="ATE3" s="120"/>
      <c r="ATF3" s="120"/>
      <c r="ATG3" s="120"/>
      <c r="ATH3" s="120"/>
      <c r="ATI3" s="120"/>
      <c r="ATJ3" s="120"/>
      <c r="ATK3" s="120"/>
      <c r="ATL3" s="120"/>
      <c r="ATM3" s="120"/>
      <c r="ATN3" s="120"/>
      <c r="ATO3" s="120"/>
      <c r="ATP3" s="120"/>
      <c r="ATQ3" s="120"/>
      <c r="ATR3" s="120"/>
      <c r="ATS3" s="120"/>
      <c r="ATT3" s="120"/>
      <c r="ATU3" s="120"/>
      <c r="ATV3" s="120"/>
      <c r="ATW3" s="120"/>
      <c r="ATX3" s="120"/>
      <c r="ATY3" s="120"/>
      <c r="ATZ3" s="120"/>
      <c r="AUA3" s="120"/>
      <c r="AUB3" s="120"/>
      <c r="AUC3" s="120"/>
      <c r="AUD3" s="120"/>
      <c r="AUE3" s="120"/>
      <c r="AUF3" s="120"/>
      <c r="AUG3" s="120"/>
      <c r="AUH3" s="120"/>
      <c r="AUI3" s="120"/>
      <c r="AUJ3" s="120"/>
      <c r="AUK3" s="120"/>
      <c r="AUL3" s="120"/>
      <c r="AUM3" s="120"/>
      <c r="AUN3" s="120"/>
      <c r="AUO3" s="120"/>
      <c r="AUP3" s="120"/>
      <c r="AUQ3" s="120"/>
      <c r="AUR3" s="120"/>
      <c r="AUS3" s="120"/>
      <c r="AUT3" s="120"/>
      <c r="AUU3" s="120"/>
      <c r="AUV3" s="120"/>
      <c r="AUW3" s="120"/>
      <c r="AUX3" s="120"/>
      <c r="AUY3" s="120"/>
      <c r="AUZ3" s="120"/>
      <c r="AVA3" s="120"/>
      <c r="AVB3" s="120"/>
      <c r="AVC3" s="120"/>
      <c r="AVD3" s="120"/>
      <c r="AVE3" s="120"/>
      <c r="AVF3" s="120"/>
      <c r="AVG3" s="120"/>
      <c r="AVH3" s="120"/>
      <c r="AVI3" s="120"/>
      <c r="AVJ3" s="120"/>
      <c r="AVK3" s="120"/>
      <c r="AVL3" s="120"/>
      <c r="AVM3" s="120"/>
      <c r="AVN3" s="120"/>
      <c r="AVO3" s="120"/>
      <c r="AVP3" s="120"/>
      <c r="AVQ3" s="120"/>
      <c r="AVR3" s="120"/>
      <c r="AVS3" s="120"/>
      <c r="AVT3" s="120"/>
      <c r="AVU3" s="120"/>
      <c r="AVV3" s="120"/>
      <c r="AVW3" s="120"/>
      <c r="AVX3" s="120"/>
      <c r="AVY3" s="120"/>
      <c r="AVZ3" s="120"/>
      <c r="AWA3" s="120"/>
      <c r="AWB3" s="120"/>
      <c r="AWC3" s="120"/>
      <c r="AWD3" s="120"/>
      <c r="AWE3" s="120"/>
      <c r="AWF3" s="120"/>
      <c r="AWG3" s="120"/>
      <c r="AWH3" s="120"/>
      <c r="AWI3" s="120"/>
      <c r="AWJ3" s="120"/>
      <c r="AWK3" s="120"/>
      <c r="AWL3" s="120"/>
      <c r="AWM3" s="120"/>
      <c r="AWN3" s="120"/>
      <c r="AWO3" s="120"/>
      <c r="AWP3" s="120"/>
      <c r="AWQ3" s="120"/>
      <c r="AWR3" s="120"/>
      <c r="AWS3" s="120"/>
      <c r="AWT3" s="120"/>
      <c r="AWU3" s="120"/>
      <c r="AWV3" s="120"/>
      <c r="AWW3" s="120"/>
      <c r="AWX3" s="120"/>
      <c r="AWY3" s="120"/>
      <c r="AWZ3" s="120"/>
      <c r="AXA3" s="120"/>
      <c r="AXB3" s="120"/>
      <c r="AXC3" s="120"/>
      <c r="AXD3" s="120"/>
      <c r="AXE3" s="120"/>
      <c r="AXF3" s="120"/>
      <c r="AXG3" s="120"/>
      <c r="AXH3" s="120"/>
      <c r="AXI3" s="120"/>
      <c r="AXJ3" s="120"/>
      <c r="AXK3" s="120"/>
      <c r="AXL3" s="120"/>
      <c r="AXM3" s="120"/>
      <c r="AXN3" s="120"/>
      <c r="AXO3" s="120"/>
      <c r="AXP3" s="120"/>
      <c r="AXQ3" s="120"/>
      <c r="AXR3" s="120"/>
      <c r="AXS3" s="120"/>
      <c r="AXT3" s="120"/>
      <c r="AXU3" s="120"/>
      <c r="AXV3" s="120"/>
      <c r="AXW3" s="120"/>
      <c r="AXX3" s="120"/>
      <c r="AXY3" s="120"/>
      <c r="AXZ3" s="120"/>
      <c r="AYA3" s="120"/>
      <c r="AYB3" s="120"/>
      <c r="AYC3" s="120"/>
      <c r="AYD3" s="120"/>
      <c r="AYE3" s="120"/>
      <c r="AYF3" s="120"/>
      <c r="AYG3" s="120"/>
      <c r="AYH3" s="120"/>
      <c r="AYI3" s="120"/>
      <c r="AYJ3" s="120"/>
      <c r="AYK3" s="120"/>
      <c r="AYL3" s="120"/>
      <c r="AYM3" s="120"/>
      <c r="AYN3" s="120"/>
      <c r="AYO3" s="120"/>
      <c r="AYP3" s="120"/>
      <c r="AYQ3" s="120"/>
      <c r="AYR3" s="120"/>
      <c r="AYS3" s="120"/>
      <c r="AYT3" s="120"/>
      <c r="AYU3" s="120"/>
      <c r="AYV3" s="120"/>
      <c r="AYW3" s="120"/>
      <c r="AYX3" s="120"/>
      <c r="AYY3" s="120"/>
      <c r="AYZ3" s="120"/>
      <c r="AZA3" s="120"/>
      <c r="AZB3" s="120"/>
      <c r="AZC3" s="120"/>
      <c r="AZD3" s="120"/>
      <c r="AZE3" s="120"/>
      <c r="AZF3" s="120"/>
      <c r="AZG3" s="120"/>
      <c r="AZH3" s="120"/>
      <c r="AZI3" s="120"/>
      <c r="AZJ3" s="120"/>
      <c r="AZK3" s="120"/>
      <c r="AZL3" s="120"/>
      <c r="AZM3" s="120"/>
      <c r="AZN3" s="120"/>
      <c r="AZO3" s="120"/>
      <c r="AZP3" s="120"/>
      <c r="AZQ3" s="120"/>
      <c r="AZR3" s="120"/>
      <c r="AZS3" s="120"/>
      <c r="AZT3" s="120"/>
      <c r="AZU3" s="120"/>
      <c r="AZV3" s="120"/>
      <c r="AZW3" s="120"/>
      <c r="AZX3" s="120"/>
      <c r="AZY3" s="120"/>
      <c r="AZZ3" s="120"/>
      <c r="BAA3" s="120"/>
      <c r="BAB3" s="120"/>
      <c r="BAC3" s="120"/>
      <c r="BAD3" s="120"/>
      <c r="BAE3" s="120"/>
      <c r="BAF3" s="120"/>
      <c r="BAG3" s="120"/>
      <c r="BAH3" s="120"/>
      <c r="BAI3" s="120"/>
      <c r="BAJ3" s="120"/>
      <c r="BAK3" s="120"/>
      <c r="BAL3" s="120"/>
      <c r="BAM3" s="120"/>
      <c r="BAN3" s="120"/>
      <c r="BAO3" s="120"/>
      <c r="BAP3" s="120"/>
      <c r="BAQ3" s="120"/>
      <c r="BAR3" s="120"/>
      <c r="BAS3" s="120"/>
      <c r="BAT3" s="120"/>
      <c r="BAU3" s="120"/>
      <c r="BAV3" s="120"/>
      <c r="BAW3" s="120"/>
      <c r="BAX3" s="120"/>
      <c r="BAY3" s="120"/>
      <c r="BAZ3" s="120"/>
      <c r="BBA3" s="120"/>
      <c r="BBB3" s="120"/>
      <c r="BBC3" s="120"/>
      <c r="BBD3" s="120"/>
      <c r="BBE3" s="120"/>
      <c r="BBF3" s="120"/>
      <c r="BBG3" s="120"/>
      <c r="BBH3" s="120"/>
      <c r="BBI3" s="120"/>
      <c r="BBJ3" s="120"/>
      <c r="BBK3" s="120"/>
      <c r="BBL3" s="120"/>
      <c r="BBM3" s="120"/>
      <c r="BBN3" s="120"/>
      <c r="BBO3" s="120"/>
      <c r="BBP3" s="120"/>
      <c r="BBQ3" s="120"/>
      <c r="BBR3" s="120"/>
      <c r="BBS3" s="120"/>
      <c r="BBT3" s="120"/>
      <c r="BBU3" s="120"/>
      <c r="BBV3" s="120"/>
      <c r="BBW3" s="120"/>
      <c r="BBX3" s="120"/>
      <c r="BBY3" s="120"/>
      <c r="BBZ3" s="120"/>
      <c r="BCA3" s="120"/>
      <c r="BCB3" s="120"/>
      <c r="BCC3" s="120"/>
      <c r="BCD3" s="120"/>
      <c r="BCE3" s="120"/>
      <c r="BCF3" s="120"/>
      <c r="BCG3" s="120"/>
      <c r="BCH3" s="120"/>
      <c r="BCI3" s="120"/>
      <c r="BCJ3" s="120"/>
      <c r="BCK3" s="120"/>
      <c r="BCL3" s="120"/>
      <c r="BCM3" s="120"/>
      <c r="BCN3" s="120"/>
      <c r="BCO3" s="120"/>
      <c r="BCP3" s="120"/>
      <c r="BCQ3" s="120"/>
      <c r="BCR3" s="120"/>
      <c r="BCS3" s="120"/>
      <c r="BCT3" s="120"/>
      <c r="BCU3" s="120"/>
      <c r="BCV3" s="120"/>
      <c r="BCW3" s="120"/>
      <c r="BCX3" s="120"/>
      <c r="BCY3" s="120"/>
      <c r="BCZ3" s="120"/>
      <c r="BDA3" s="120"/>
      <c r="BDB3" s="120"/>
      <c r="BDC3" s="120"/>
      <c r="BDD3" s="120"/>
      <c r="BDE3" s="120"/>
      <c r="BDF3" s="120"/>
      <c r="BDG3" s="120"/>
      <c r="BDH3" s="120"/>
      <c r="BDI3" s="120"/>
      <c r="BDJ3" s="120"/>
      <c r="BDK3" s="120"/>
      <c r="BDL3" s="120"/>
      <c r="BDM3" s="120"/>
      <c r="BDN3" s="120"/>
      <c r="BDO3" s="120"/>
      <c r="BDP3" s="120"/>
      <c r="BDQ3" s="120"/>
      <c r="BDR3" s="120"/>
      <c r="BDS3" s="120"/>
      <c r="BDT3" s="120"/>
      <c r="BDU3" s="120"/>
      <c r="BDV3" s="120"/>
      <c r="BDW3" s="120"/>
      <c r="BDX3" s="120"/>
      <c r="BDY3" s="120"/>
      <c r="BDZ3" s="120"/>
      <c r="BEA3" s="120"/>
      <c r="BEB3" s="120"/>
      <c r="BEC3" s="120"/>
      <c r="BED3" s="120"/>
      <c r="BEE3" s="120"/>
      <c r="BEF3" s="120"/>
      <c r="BEG3" s="120"/>
      <c r="BEH3" s="120"/>
      <c r="BEI3" s="120"/>
      <c r="BEJ3" s="120"/>
      <c r="BEK3" s="120"/>
      <c r="BEL3" s="120"/>
      <c r="BEM3" s="120"/>
      <c r="BEN3" s="120"/>
      <c r="BEO3" s="120"/>
      <c r="BEP3" s="120"/>
      <c r="BEQ3" s="120"/>
      <c r="BER3" s="120"/>
      <c r="BES3" s="120"/>
      <c r="BET3" s="120"/>
      <c r="BEU3" s="120"/>
      <c r="BEV3" s="120"/>
      <c r="BEW3" s="120"/>
      <c r="BEX3" s="120"/>
      <c r="BEY3" s="120"/>
      <c r="BEZ3" s="120"/>
      <c r="BFA3" s="120"/>
      <c r="BFB3" s="120"/>
      <c r="BFC3" s="120"/>
      <c r="BFD3" s="120"/>
      <c r="BFE3" s="120"/>
      <c r="BFF3" s="120"/>
      <c r="BFG3" s="120"/>
      <c r="BFH3" s="120"/>
      <c r="BFI3" s="120"/>
      <c r="BFJ3" s="120"/>
      <c r="BFK3" s="120"/>
      <c r="BFL3" s="120"/>
      <c r="BFM3" s="120"/>
      <c r="BFN3" s="120"/>
      <c r="BFO3" s="120"/>
      <c r="BFP3" s="120"/>
      <c r="BFQ3" s="120"/>
      <c r="BFR3" s="120"/>
      <c r="BFS3" s="120"/>
      <c r="BFT3" s="120"/>
      <c r="BFU3" s="120"/>
      <c r="BFV3" s="120"/>
      <c r="BFW3" s="120"/>
      <c r="BFX3" s="120"/>
      <c r="BFY3" s="120"/>
      <c r="BFZ3" s="120"/>
      <c r="BGA3" s="120"/>
      <c r="BGB3" s="120"/>
      <c r="BGC3" s="120"/>
      <c r="BGD3" s="120"/>
      <c r="BGE3" s="120"/>
      <c r="BGF3" s="120"/>
      <c r="BGG3" s="120"/>
      <c r="BGH3" s="120"/>
      <c r="BGI3" s="120"/>
      <c r="BGJ3" s="120"/>
      <c r="BGK3" s="120"/>
      <c r="BGL3" s="120"/>
      <c r="BGM3" s="120"/>
      <c r="BGN3" s="120"/>
      <c r="BGO3" s="120"/>
      <c r="BGP3" s="120"/>
      <c r="BGQ3" s="120"/>
      <c r="BGR3" s="120"/>
      <c r="BGS3" s="120"/>
      <c r="BGT3" s="120"/>
      <c r="BGU3" s="120"/>
      <c r="BGV3" s="120"/>
      <c r="BGW3" s="120"/>
      <c r="BGX3" s="120"/>
      <c r="BGY3" s="120"/>
      <c r="BGZ3" s="120"/>
      <c r="BHA3" s="120"/>
      <c r="BHB3" s="120"/>
      <c r="BHC3" s="120"/>
      <c r="BHD3" s="120"/>
      <c r="BHE3" s="120"/>
      <c r="BHF3" s="120"/>
      <c r="BHG3" s="120"/>
      <c r="BHH3" s="120"/>
      <c r="BHI3" s="120"/>
      <c r="BHJ3" s="120"/>
      <c r="BHK3" s="120"/>
      <c r="BHL3" s="120"/>
      <c r="BHM3" s="120"/>
      <c r="BHN3" s="120"/>
      <c r="BHO3" s="120"/>
      <c r="BHP3" s="120"/>
      <c r="BHQ3" s="120"/>
      <c r="BHR3" s="120"/>
      <c r="BHS3" s="120"/>
      <c r="BHT3" s="120"/>
      <c r="BHU3" s="120"/>
      <c r="BHV3" s="120"/>
      <c r="BHW3" s="120"/>
      <c r="BHX3" s="120"/>
      <c r="BHY3" s="120"/>
      <c r="BHZ3" s="120"/>
      <c r="BIA3" s="120"/>
      <c r="BIB3" s="120"/>
      <c r="BIC3" s="120"/>
      <c r="BID3" s="120"/>
      <c r="BIE3" s="120"/>
      <c r="BIF3" s="120"/>
      <c r="BIG3" s="120"/>
      <c r="BIH3" s="120"/>
      <c r="BII3" s="120"/>
      <c r="BIJ3" s="120"/>
      <c r="BIK3" s="120"/>
      <c r="BIL3" s="120"/>
      <c r="BIM3" s="120"/>
      <c r="BIN3" s="120"/>
      <c r="BIO3" s="120"/>
      <c r="BIP3" s="120"/>
      <c r="BIQ3" s="120"/>
      <c r="BIR3" s="120"/>
      <c r="BIS3" s="120"/>
      <c r="BIT3" s="120"/>
      <c r="BIU3" s="120"/>
      <c r="BIV3" s="120"/>
      <c r="BIW3" s="120"/>
      <c r="BIX3" s="120"/>
      <c r="BIY3" s="120"/>
      <c r="BIZ3" s="120"/>
      <c r="BJA3" s="120"/>
      <c r="BJB3" s="120"/>
      <c r="BJC3" s="120"/>
      <c r="BJD3" s="120"/>
      <c r="BJE3" s="120"/>
      <c r="BJF3" s="120"/>
      <c r="BJG3" s="120"/>
      <c r="BJH3" s="120"/>
      <c r="BJI3" s="120"/>
      <c r="BJJ3" s="120"/>
      <c r="BJK3" s="120"/>
      <c r="BJL3" s="120"/>
      <c r="BJM3" s="120"/>
      <c r="BJN3" s="120"/>
      <c r="BJO3" s="120"/>
      <c r="BJP3" s="120"/>
      <c r="BJQ3" s="120"/>
      <c r="BJR3" s="120"/>
      <c r="BJS3" s="120"/>
      <c r="BJT3" s="120"/>
      <c r="BJU3" s="120"/>
      <c r="BJV3" s="120"/>
      <c r="BJW3" s="120"/>
      <c r="BJX3" s="120"/>
      <c r="BJY3" s="120"/>
      <c r="BJZ3" s="120"/>
      <c r="BKA3" s="120"/>
      <c r="BKB3" s="120"/>
      <c r="BKC3" s="120"/>
      <c r="BKD3" s="120"/>
      <c r="BKE3" s="120"/>
      <c r="BKF3" s="120"/>
      <c r="BKG3" s="120"/>
      <c r="BKH3" s="120"/>
      <c r="BKI3" s="120"/>
      <c r="BKJ3" s="120"/>
      <c r="BKK3" s="120"/>
      <c r="BKL3" s="120"/>
      <c r="BKM3" s="120"/>
      <c r="BKN3" s="120"/>
      <c r="BKO3" s="120"/>
      <c r="BKP3" s="120"/>
      <c r="BKQ3" s="120"/>
      <c r="BKR3" s="120"/>
      <c r="BKS3" s="120"/>
      <c r="BKT3" s="120"/>
      <c r="BKU3" s="120"/>
      <c r="BKV3" s="120"/>
      <c r="BKW3" s="120"/>
      <c r="BKX3" s="120"/>
      <c r="BKY3" s="120"/>
      <c r="BKZ3" s="120"/>
      <c r="BLA3" s="120"/>
      <c r="BLB3" s="120"/>
      <c r="BLC3" s="120"/>
      <c r="BLD3" s="120"/>
      <c r="BLE3" s="120"/>
      <c r="BLF3" s="120"/>
      <c r="BLG3" s="120"/>
      <c r="BLH3" s="120"/>
      <c r="BLI3" s="120"/>
      <c r="BLJ3" s="120"/>
      <c r="BLK3" s="120"/>
      <c r="BLL3" s="120"/>
      <c r="BLM3" s="120"/>
      <c r="BLN3" s="120"/>
      <c r="BLO3" s="120"/>
      <c r="BLP3" s="120"/>
      <c r="BLQ3" s="120"/>
      <c r="BLR3" s="120"/>
      <c r="BLS3" s="120"/>
      <c r="BLT3" s="120"/>
      <c r="BLU3" s="120"/>
      <c r="BLV3" s="120"/>
      <c r="BLW3" s="120"/>
      <c r="BLX3" s="120"/>
      <c r="BLY3" s="120"/>
      <c r="BLZ3" s="120"/>
      <c r="BMA3" s="120"/>
      <c r="BMB3" s="120"/>
      <c r="BMC3" s="120"/>
      <c r="BMD3" s="120"/>
      <c r="BME3" s="120"/>
      <c r="BMF3" s="120"/>
      <c r="BMG3" s="120"/>
      <c r="BMH3" s="120"/>
      <c r="BMI3" s="120"/>
      <c r="BMJ3" s="120"/>
      <c r="BMK3" s="120"/>
      <c r="BML3" s="120"/>
      <c r="BMM3" s="120"/>
      <c r="BMN3" s="120"/>
      <c r="BMO3" s="120"/>
      <c r="BMP3" s="120"/>
      <c r="BMQ3" s="120"/>
      <c r="BMR3" s="120"/>
      <c r="BMS3" s="120"/>
      <c r="BMT3" s="120"/>
      <c r="BMU3" s="120"/>
      <c r="BMV3" s="120"/>
      <c r="BMW3" s="120"/>
      <c r="BMX3" s="120"/>
      <c r="BMY3" s="120"/>
      <c r="BMZ3" s="120"/>
      <c r="BNA3" s="120"/>
      <c r="BNB3" s="120"/>
      <c r="BNC3" s="120"/>
      <c r="BND3" s="120"/>
      <c r="BNE3" s="120"/>
      <c r="BNF3" s="120"/>
      <c r="BNG3" s="120"/>
      <c r="BNH3" s="120"/>
      <c r="BNI3" s="120"/>
      <c r="BNJ3" s="120"/>
      <c r="BNK3" s="120"/>
      <c r="BNL3" s="120"/>
      <c r="BNM3" s="120"/>
      <c r="BNN3" s="120"/>
      <c r="BNO3" s="120"/>
      <c r="BNP3" s="120"/>
      <c r="BNQ3" s="120"/>
      <c r="BNR3" s="120"/>
      <c r="BNS3" s="120"/>
      <c r="BNT3" s="120"/>
      <c r="BNU3" s="120"/>
      <c r="BNV3" s="120"/>
      <c r="BNW3" s="120"/>
      <c r="BNX3" s="120"/>
      <c r="BNY3" s="120"/>
      <c r="BNZ3" s="120"/>
      <c r="BOA3" s="120"/>
      <c r="BOB3" s="120"/>
      <c r="BOC3" s="120"/>
      <c r="BOD3" s="120"/>
      <c r="BOE3" s="120"/>
      <c r="BOF3" s="120"/>
      <c r="BOG3" s="120"/>
      <c r="BOH3" s="120"/>
      <c r="BOI3" s="120"/>
      <c r="BOJ3" s="120"/>
      <c r="BOK3" s="120"/>
      <c r="BOL3" s="120"/>
      <c r="BOM3" s="120"/>
      <c r="BON3" s="120"/>
      <c r="BOO3" s="120"/>
      <c r="BOP3" s="120"/>
      <c r="BOQ3" s="120"/>
      <c r="BOR3" s="120"/>
      <c r="BOS3" s="120"/>
      <c r="BOT3" s="120"/>
      <c r="BOU3" s="120"/>
      <c r="BOV3" s="120"/>
      <c r="BOW3" s="120"/>
      <c r="BOX3" s="120"/>
      <c r="BOY3" s="120"/>
      <c r="BOZ3" s="120"/>
      <c r="BPA3" s="120"/>
      <c r="BPB3" s="120"/>
      <c r="BPC3" s="120"/>
      <c r="BPD3" s="120"/>
      <c r="BPE3" s="120"/>
      <c r="BPF3" s="120"/>
      <c r="BPG3" s="120"/>
      <c r="BPH3" s="120"/>
      <c r="BPI3" s="120"/>
      <c r="BPJ3" s="120"/>
      <c r="BPK3" s="120"/>
      <c r="BPL3" s="120"/>
      <c r="BPM3" s="120"/>
      <c r="BPN3" s="120"/>
      <c r="BPO3" s="120"/>
      <c r="BPP3" s="120"/>
      <c r="BPQ3" s="120"/>
      <c r="BPR3" s="120"/>
      <c r="BPS3" s="120"/>
      <c r="BPT3" s="120"/>
      <c r="BPU3" s="120"/>
      <c r="BPV3" s="120"/>
      <c r="BPW3" s="120"/>
      <c r="BPX3" s="120"/>
      <c r="BPY3" s="120"/>
      <c r="BPZ3" s="120"/>
      <c r="BQA3" s="120"/>
      <c r="BQB3" s="120"/>
      <c r="BQC3" s="120"/>
      <c r="BQD3" s="120"/>
      <c r="BQE3" s="120"/>
      <c r="BQF3" s="120"/>
      <c r="BQG3" s="120"/>
      <c r="BQH3" s="120"/>
      <c r="BQI3" s="120"/>
      <c r="BQJ3" s="120"/>
      <c r="BQK3" s="120"/>
      <c r="BQL3" s="120"/>
      <c r="BQM3" s="120"/>
      <c r="BQN3" s="120"/>
      <c r="BQO3" s="120"/>
      <c r="BQP3" s="120"/>
      <c r="BQQ3" s="120"/>
      <c r="BQR3" s="120"/>
      <c r="BQS3" s="120"/>
      <c r="BQT3" s="120"/>
      <c r="BQU3" s="120"/>
      <c r="BQV3" s="120"/>
      <c r="BQW3" s="120"/>
      <c r="BQX3" s="120"/>
      <c r="BQY3" s="120"/>
      <c r="BQZ3" s="120"/>
      <c r="BRA3" s="120"/>
      <c r="BRB3" s="120"/>
      <c r="BRC3" s="120"/>
      <c r="BRD3" s="120"/>
      <c r="BRE3" s="120"/>
      <c r="BRF3" s="120"/>
      <c r="BRG3" s="120"/>
      <c r="BRH3" s="120"/>
      <c r="BRI3" s="120"/>
      <c r="BRJ3" s="120"/>
      <c r="BRK3" s="120"/>
      <c r="BRL3" s="120"/>
      <c r="BRM3" s="120"/>
      <c r="BRN3" s="120"/>
      <c r="BRO3" s="120"/>
      <c r="BRP3" s="120"/>
      <c r="BRQ3" s="120"/>
      <c r="BRR3" s="120"/>
      <c r="BRS3" s="120"/>
      <c r="BRT3" s="120"/>
      <c r="BRU3" s="120"/>
      <c r="BRV3" s="120"/>
      <c r="BRW3" s="120"/>
      <c r="BRX3" s="120"/>
      <c r="BRY3" s="120"/>
      <c r="BRZ3" s="120"/>
      <c r="BSA3" s="120"/>
      <c r="BSB3" s="120"/>
      <c r="BSC3" s="120"/>
      <c r="BSD3" s="120"/>
      <c r="BSE3" s="120"/>
      <c r="BSF3" s="120"/>
      <c r="BSG3" s="120"/>
      <c r="BSH3" s="120"/>
      <c r="BSI3" s="120"/>
      <c r="BSJ3" s="120"/>
      <c r="BSK3" s="120"/>
      <c r="BSL3" s="120"/>
      <c r="BSM3" s="120"/>
      <c r="BSN3" s="120"/>
      <c r="BSO3" s="120"/>
      <c r="BSP3" s="120"/>
      <c r="BSQ3" s="120"/>
      <c r="BSR3" s="120"/>
      <c r="BSS3" s="120"/>
      <c r="BST3" s="120"/>
      <c r="BSU3" s="120"/>
      <c r="BSV3" s="120"/>
      <c r="BSW3" s="120"/>
      <c r="BSX3" s="120"/>
      <c r="BSY3" s="120"/>
      <c r="BSZ3" s="120"/>
      <c r="BTA3" s="120"/>
      <c r="BTB3" s="120"/>
      <c r="BTC3" s="120"/>
      <c r="BTD3" s="120"/>
      <c r="BTE3" s="120"/>
      <c r="BTF3" s="120"/>
      <c r="BTG3" s="120"/>
      <c r="BTH3" s="120"/>
      <c r="BTI3" s="120"/>
      <c r="BTJ3" s="120"/>
      <c r="BTK3" s="120"/>
      <c r="BTL3" s="120"/>
      <c r="BTM3" s="120"/>
      <c r="BTN3" s="120"/>
      <c r="BTO3" s="120"/>
      <c r="BTP3" s="120"/>
      <c r="BTQ3" s="120"/>
      <c r="BTR3" s="120"/>
      <c r="BTS3" s="120"/>
      <c r="BTT3" s="120"/>
      <c r="BTU3" s="120"/>
      <c r="BTV3" s="120"/>
      <c r="BTW3" s="120"/>
      <c r="BTX3" s="120"/>
      <c r="BTY3" s="120"/>
      <c r="BTZ3" s="120"/>
      <c r="BUA3" s="120"/>
      <c r="BUB3" s="120"/>
      <c r="BUC3" s="120"/>
      <c r="BUD3" s="120"/>
      <c r="BUE3" s="120"/>
      <c r="BUF3" s="120"/>
      <c r="BUG3" s="120"/>
      <c r="BUH3" s="120"/>
      <c r="BUI3" s="120"/>
      <c r="BUJ3" s="120"/>
      <c r="BUK3" s="120"/>
      <c r="BUL3" s="120"/>
      <c r="BUM3" s="120"/>
      <c r="BUN3" s="120"/>
      <c r="BUO3" s="120"/>
      <c r="BUP3" s="120"/>
      <c r="BUQ3" s="120"/>
      <c r="BUR3" s="120"/>
      <c r="BUS3" s="120"/>
      <c r="BUT3" s="120"/>
      <c r="BUU3" s="120"/>
      <c r="BUV3" s="120"/>
      <c r="BUW3" s="120"/>
      <c r="BUX3" s="120"/>
      <c r="BUY3" s="120"/>
      <c r="BUZ3" s="120"/>
      <c r="BVA3" s="120"/>
      <c r="BVB3" s="120"/>
      <c r="BVC3" s="120"/>
      <c r="BVD3" s="120"/>
      <c r="BVE3" s="120"/>
      <c r="BVF3" s="120"/>
      <c r="BVG3" s="120"/>
      <c r="BVH3" s="120"/>
      <c r="BVI3" s="120"/>
      <c r="BVJ3" s="120"/>
      <c r="BVK3" s="120"/>
      <c r="BVL3" s="120"/>
      <c r="BVM3" s="120"/>
      <c r="BVN3" s="120"/>
      <c r="BVO3" s="120"/>
      <c r="BVP3" s="120"/>
      <c r="BVQ3" s="120"/>
      <c r="BVR3" s="120"/>
      <c r="BVS3" s="120"/>
      <c r="BVT3" s="120"/>
      <c r="BVU3" s="120"/>
      <c r="BVV3" s="120"/>
      <c r="BVW3" s="120"/>
      <c r="BVX3" s="120"/>
      <c r="BVY3" s="120"/>
      <c r="BVZ3" s="120"/>
      <c r="BWA3" s="120"/>
      <c r="BWB3" s="120"/>
      <c r="BWC3" s="120"/>
      <c r="BWD3" s="120"/>
      <c r="BWE3" s="120"/>
      <c r="BWF3" s="120"/>
      <c r="BWG3" s="120"/>
      <c r="BWH3" s="120"/>
      <c r="BWI3" s="120"/>
      <c r="BWJ3" s="120"/>
      <c r="BWK3" s="120"/>
      <c r="BWL3" s="120"/>
      <c r="BWM3" s="120"/>
      <c r="BWN3" s="120"/>
      <c r="BWO3" s="120"/>
      <c r="BWP3" s="120"/>
      <c r="BWQ3" s="120"/>
      <c r="BWR3" s="120"/>
      <c r="BWS3" s="120"/>
      <c r="BWT3" s="120"/>
      <c r="BWU3" s="120"/>
      <c r="BWV3" s="120"/>
      <c r="BWW3" s="120"/>
      <c r="BWX3" s="120"/>
      <c r="BWY3" s="120"/>
      <c r="BWZ3" s="120"/>
      <c r="BXA3" s="120"/>
      <c r="BXB3" s="120"/>
      <c r="BXC3" s="120"/>
      <c r="BXD3" s="120"/>
      <c r="BXE3" s="120"/>
      <c r="BXF3" s="120"/>
      <c r="BXG3" s="120"/>
      <c r="BXH3" s="120"/>
      <c r="BXI3" s="120"/>
      <c r="BXJ3" s="120"/>
      <c r="BXK3" s="120"/>
      <c r="BXL3" s="120"/>
      <c r="BXM3" s="120"/>
      <c r="BXN3" s="120"/>
      <c r="BXO3" s="120"/>
      <c r="BXP3" s="120"/>
      <c r="BXQ3" s="120"/>
      <c r="BXR3" s="120"/>
      <c r="BXS3" s="120"/>
      <c r="BXT3" s="120"/>
      <c r="BXU3" s="120"/>
      <c r="BXV3" s="120"/>
      <c r="BXW3" s="120"/>
      <c r="BXX3" s="120"/>
      <c r="BXY3" s="120"/>
      <c r="BXZ3" s="120"/>
      <c r="BYA3" s="120"/>
      <c r="BYB3" s="120"/>
      <c r="BYC3" s="120"/>
      <c r="BYD3" s="120"/>
      <c r="BYE3" s="120"/>
      <c r="BYF3" s="120"/>
      <c r="BYG3" s="120"/>
      <c r="BYH3" s="120"/>
      <c r="BYI3" s="120"/>
      <c r="BYJ3" s="120"/>
      <c r="BYK3" s="120"/>
      <c r="BYL3" s="120"/>
      <c r="BYM3" s="120"/>
      <c r="BYN3" s="120"/>
      <c r="BYO3" s="120"/>
      <c r="BYP3" s="120"/>
      <c r="BYQ3" s="120"/>
      <c r="BYR3" s="120"/>
      <c r="BYS3" s="120"/>
      <c r="BYT3" s="120"/>
      <c r="BYU3" s="120"/>
      <c r="BYV3" s="120"/>
      <c r="BYW3" s="120"/>
      <c r="BYX3" s="120"/>
      <c r="BYY3" s="120"/>
      <c r="BYZ3" s="120"/>
      <c r="BZA3" s="120"/>
      <c r="BZB3" s="120"/>
      <c r="BZC3" s="120"/>
      <c r="BZD3" s="120"/>
      <c r="BZE3" s="120"/>
      <c r="BZF3" s="120"/>
      <c r="BZG3" s="120"/>
      <c r="BZH3" s="120"/>
      <c r="BZI3" s="120"/>
      <c r="BZJ3" s="120"/>
      <c r="BZK3" s="120"/>
      <c r="BZL3" s="120"/>
      <c r="BZM3" s="120"/>
      <c r="BZN3" s="120"/>
      <c r="BZO3" s="120"/>
      <c r="BZP3" s="120"/>
      <c r="BZQ3" s="120"/>
      <c r="BZR3" s="120"/>
      <c r="BZS3" s="120"/>
      <c r="BZT3" s="120"/>
      <c r="BZU3" s="120"/>
      <c r="BZV3" s="120"/>
      <c r="BZW3" s="120"/>
      <c r="BZX3" s="120"/>
      <c r="BZY3" s="120"/>
      <c r="BZZ3" s="120"/>
      <c r="CAA3" s="120"/>
      <c r="CAB3" s="120"/>
      <c r="CAC3" s="120"/>
      <c r="CAD3" s="120"/>
      <c r="CAE3" s="120"/>
      <c r="CAF3" s="120"/>
      <c r="CAG3" s="120"/>
      <c r="CAH3" s="120"/>
      <c r="CAI3" s="120"/>
      <c r="CAJ3" s="120"/>
      <c r="CAK3" s="120"/>
      <c r="CAL3" s="120"/>
      <c r="CAM3" s="120"/>
      <c r="CAN3" s="120"/>
      <c r="CAO3" s="120"/>
      <c r="CAP3" s="120"/>
      <c r="CAQ3" s="120"/>
      <c r="CAR3" s="120"/>
      <c r="CAS3" s="120"/>
      <c r="CAT3" s="120"/>
      <c r="CAU3" s="120"/>
      <c r="CAV3" s="120"/>
      <c r="CAW3" s="120"/>
      <c r="CAX3" s="120"/>
      <c r="CAY3" s="120"/>
      <c r="CAZ3" s="120"/>
      <c r="CBA3" s="120"/>
      <c r="CBB3" s="120"/>
      <c r="CBC3" s="120"/>
      <c r="CBD3" s="120"/>
      <c r="CBE3" s="120"/>
      <c r="CBF3" s="120"/>
      <c r="CBG3" s="120"/>
      <c r="CBH3" s="120"/>
      <c r="CBI3" s="120"/>
      <c r="CBJ3" s="120"/>
      <c r="CBK3" s="120"/>
      <c r="CBL3" s="120"/>
      <c r="CBM3" s="120"/>
      <c r="CBN3" s="120"/>
      <c r="CBO3" s="120"/>
      <c r="CBP3" s="120"/>
      <c r="CBQ3" s="120"/>
      <c r="CBR3" s="120"/>
      <c r="CBS3" s="120"/>
      <c r="CBT3" s="120"/>
      <c r="CBU3" s="120"/>
      <c r="CBV3" s="120"/>
      <c r="CBW3" s="120"/>
      <c r="CBX3" s="120"/>
      <c r="CBY3" s="120"/>
      <c r="CBZ3" s="120"/>
      <c r="CCA3" s="120"/>
      <c r="CCB3" s="120"/>
      <c r="CCC3" s="120"/>
      <c r="CCD3" s="120"/>
      <c r="CCE3" s="120"/>
      <c r="CCF3" s="120"/>
      <c r="CCG3" s="120"/>
      <c r="CCH3" s="120"/>
      <c r="CCI3" s="120"/>
      <c r="CCJ3" s="120"/>
      <c r="CCK3" s="120"/>
      <c r="CCL3" s="120"/>
      <c r="CCM3" s="120"/>
      <c r="CCN3" s="120"/>
      <c r="CCO3" s="120"/>
      <c r="CCP3" s="120"/>
      <c r="CCQ3" s="120"/>
      <c r="CCR3" s="120"/>
      <c r="CCS3" s="120"/>
      <c r="CCT3" s="120"/>
      <c r="CCU3" s="120"/>
      <c r="CCV3" s="120"/>
      <c r="CCW3" s="120"/>
      <c r="CCX3" s="120"/>
      <c r="CCY3" s="120"/>
      <c r="CCZ3" s="120"/>
      <c r="CDA3" s="120"/>
      <c r="CDB3" s="120"/>
      <c r="CDC3" s="120"/>
      <c r="CDD3" s="120"/>
      <c r="CDE3" s="120"/>
      <c r="CDF3" s="120"/>
      <c r="CDG3" s="120"/>
      <c r="CDH3" s="120"/>
      <c r="CDI3" s="120"/>
      <c r="CDJ3" s="120"/>
      <c r="CDK3" s="120"/>
      <c r="CDL3" s="120"/>
      <c r="CDM3" s="120"/>
      <c r="CDN3" s="120"/>
      <c r="CDO3" s="120"/>
      <c r="CDP3" s="120"/>
      <c r="CDQ3" s="120"/>
      <c r="CDR3" s="120"/>
      <c r="CDS3" s="120"/>
      <c r="CDT3" s="120"/>
      <c r="CDU3" s="120"/>
      <c r="CDV3" s="120"/>
      <c r="CDW3" s="120"/>
      <c r="CDX3" s="120"/>
      <c r="CDY3" s="120"/>
      <c r="CDZ3" s="120"/>
      <c r="CEA3" s="120"/>
      <c r="CEB3" s="120"/>
      <c r="CEC3" s="120"/>
      <c r="CED3" s="120"/>
      <c r="CEE3" s="120"/>
      <c r="CEF3" s="120"/>
      <c r="CEG3" s="120"/>
      <c r="CEH3" s="120"/>
      <c r="CEI3" s="120"/>
      <c r="CEJ3" s="120"/>
      <c r="CEK3" s="120"/>
      <c r="CEL3" s="120"/>
      <c r="CEM3" s="120"/>
      <c r="CEN3" s="120"/>
      <c r="CEO3" s="120"/>
      <c r="CEP3" s="120"/>
      <c r="CEQ3" s="120"/>
      <c r="CER3" s="120"/>
      <c r="CES3" s="120"/>
      <c r="CET3" s="120"/>
      <c r="CEU3" s="120"/>
      <c r="CEV3" s="120"/>
      <c r="CEW3" s="120"/>
      <c r="CEX3" s="120"/>
      <c r="CEY3" s="120"/>
      <c r="CEZ3" s="120"/>
      <c r="CFA3" s="120"/>
      <c r="CFB3" s="120"/>
      <c r="CFC3" s="120"/>
      <c r="CFD3" s="120"/>
      <c r="CFE3" s="120"/>
      <c r="CFF3" s="120"/>
      <c r="CFG3" s="120"/>
      <c r="CFH3" s="120"/>
      <c r="CFI3" s="120"/>
      <c r="CFJ3" s="120"/>
      <c r="CFK3" s="120"/>
      <c r="CFL3" s="120"/>
      <c r="CFM3" s="120"/>
      <c r="CFN3" s="120"/>
      <c r="CFO3" s="120"/>
      <c r="CFP3" s="120"/>
      <c r="CFQ3" s="120"/>
      <c r="CFR3" s="120"/>
      <c r="CFS3" s="120"/>
      <c r="CFT3" s="120"/>
      <c r="CFU3" s="120"/>
      <c r="CFV3" s="120"/>
      <c r="CFW3" s="120"/>
      <c r="CFX3" s="120"/>
      <c r="CFY3" s="120"/>
      <c r="CFZ3" s="120"/>
      <c r="CGA3" s="120"/>
      <c r="CGB3" s="120"/>
      <c r="CGC3" s="120"/>
      <c r="CGD3" s="120"/>
      <c r="CGE3" s="120"/>
      <c r="CGF3" s="120"/>
      <c r="CGG3" s="120"/>
      <c r="CGH3" s="120"/>
      <c r="CGI3" s="120"/>
      <c r="CGJ3" s="120"/>
      <c r="CGK3" s="120"/>
      <c r="CGL3" s="120"/>
      <c r="CGM3" s="120"/>
      <c r="CGN3" s="120"/>
      <c r="CGO3" s="120"/>
      <c r="CGP3" s="120"/>
      <c r="CGQ3" s="120"/>
      <c r="CGR3" s="120"/>
      <c r="CGS3" s="120"/>
      <c r="CGT3" s="120"/>
      <c r="CGU3" s="120"/>
      <c r="CGV3" s="120"/>
      <c r="CGW3" s="120"/>
      <c r="CGX3" s="120"/>
      <c r="CGY3" s="120"/>
      <c r="CGZ3" s="120"/>
      <c r="CHA3" s="120"/>
      <c r="CHB3" s="120"/>
      <c r="CHC3" s="120"/>
      <c r="CHD3" s="120"/>
      <c r="CHE3" s="120"/>
      <c r="CHF3" s="120"/>
      <c r="CHG3" s="120"/>
      <c r="CHH3" s="120"/>
      <c r="CHI3" s="120"/>
      <c r="CHJ3" s="120"/>
      <c r="CHK3" s="120"/>
      <c r="CHL3" s="120"/>
      <c r="CHM3" s="120"/>
      <c r="CHN3" s="120"/>
      <c r="CHO3" s="120"/>
      <c r="CHP3" s="120"/>
      <c r="CHQ3" s="120"/>
      <c r="CHR3" s="120"/>
      <c r="CHS3" s="120"/>
      <c r="CHT3" s="120"/>
      <c r="CHU3" s="120"/>
      <c r="CHV3" s="120"/>
      <c r="CHW3" s="120"/>
      <c r="CHX3" s="120"/>
      <c r="CHY3" s="120"/>
      <c r="CHZ3" s="120"/>
      <c r="CIA3" s="120"/>
      <c r="CIB3" s="120"/>
      <c r="CIC3" s="120"/>
      <c r="CID3" s="120"/>
      <c r="CIE3" s="120"/>
      <c r="CIF3" s="120"/>
      <c r="CIG3" s="120"/>
      <c r="CIH3" s="120"/>
      <c r="CII3" s="120"/>
      <c r="CIJ3" s="120"/>
      <c r="CIK3" s="120"/>
      <c r="CIL3" s="120"/>
      <c r="CIM3" s="120"/>
      <c r="CIN3" s="120"/>
      <c r="CIO3" s="120"/>
      <c r="CIP3" s="120"/>
      <c r="CIQ3" s="120"/>
      <c r="CIR3" s="120"/>
      <c r="CIS3" s="120"/>
      <c r="CIT3" s="120"/>
      <c r="CIU3" s="120"/>
      <c r="CIV3" s="120"/>
      <c r="CIW3" s="120"/>
      <c r="CIX3" s="120"/>
      <c r="CIY3" s="120"/>
      <c r="CIZ3" s="120"/>
      <c r="CJA3" s="120"/>
      <c r="CJB3" s="120"/>
      <c r="CJC3" s="120"/>
      <c r="CJD3" s="120"/>
      <c r="CJE3" s="120"/>
      <c r="CJF3" s="120"/>
      <c r="CJG3" s="120"/>
      <c r="CJH3" s="120"/>
      <c r="CJI3" s="120"/>
      <c r="CJJ3" s="120"/>
      <c r="CJK3" s="120"/>
      <c r="CJL3" s="120"/>
      <c r="CJM3" s="120"/>
      <c r="CJN3" s="120"/>
      <c r="CJO3" s="120"/>
      <c r="CJP3" s="120"/>
      <c r="CJQ3" s="120"/>
      <c r="CJR3" s="120"/>
      <c r="CJS3" s="120"/>
      <c r="CJT3" s="120"/>
      <c r="CJU3" s="120"/>
      <c r="CJV3" s="120"/>
      <c r="CJW3" s="120"/>
      <c r="CJX3" s="120"/>
      <c r="CJY3" s="120"/>
      <c r="CJZ3" s="120"/>
      <c r="CKA3" s="120"/>
      <c r="CKB3" s="120"/>
      <c r="CKC3" s="120"/>
      <c r="CKD3" s="120"/>
      <c r="CKE3" s="120"/>
      <c r="CKF3" s="120"/>
      <c r="CKG3" s="120"/>
      <c r="CKH3" s="120"/>
      <c r="CKI3" s="120"/>
      <c r="CKJ3" s="120"/>
      <c r="CKK3" s="120"/>
      <c r="CKL3" s="120"/>
      <c r="CKM3" s="120"/>
      <c r="CKN3" s="120"/>
      <c r="CKO3" s="120"/>
      <c r="CKP3" s="120"/>
      <c r="CKQ3" s="120"/>
      <c r="CKR3" s="120"/>
      <c r="CKS3" s="120"/>
      <c r="CKT3" s="120"/>
      <c r="CKU3" s="120"/>
      <c r="CKV3" s="120"/>
      <c r="CKW3" s="120"/>
      <c r="CKX3" s="120"/>
      <c r="CKY3" s="120"/>
      <c r="CKZ3" s="120"/>
      <c r="CLA3" s="120"/>
      <c r="CLB3" s="120"/>
      <c r="CLC3" s="120"/>
      <c r="CLD3" s="120"/>
      <c r="CLE3" s="120"/>
      <c r="CLF3" s="120"/>
      <c r="CLG3" s="120"/>
      <c r="CLH3" s="120"/>
      <c r="CLI3" s="120"/>
      <c r="CLJ3" s="120"/>
      <c r="CLK3" s="120"/>
      <c r="CLL3" s="120"/>
      <c r="CLM3" s="120"/>
      <c r="CLN3" s="120"/>
      <c r="CLO3" s="120"/>
      <c r="CLP3" s="120"/>
      <c r="CLQ3" s="120"/>
      <c r="CLR3" s="120"/>
      <c r="CLS3" s="120"/>
      <c r="CLT3" s="120"/>
      <c r="CLU3" s="120"/>
      <c r="CLV3" s="120"/>
      <c r="CLW3" s="120"/>
      <c r="CLX3" s="120"/>
      <c r="CLY3" s="120"/>
      <c r="CLZ3" s="120"/>
      <c r="CMA3" s="120"/>
      <c r="CMB3" s="120"/>
      <c r="CMC3" s="120"/>
      <c r="CMD3" s="120"/>
      <c r="CME3" s="120"/>
      <c r="CMF3" s="120"/>
      <c r="CMG3" s="120"/>
      <c r="CMH3" s="120"/>
      <c r="CMI3" s="120"/>
      <c r="CMJ3" s="120"/>
      <c r="CMK3" s="120"/>
      <c r="CML3" s="120"/>
      <c r="CMM3" s="120"/>
      <c r="CMN3" s="120"/>
      <c r="CMO3" s="120"/>
      <c r="CMP3" s="120"/>
      <c r="CMQ3" s="120"/>
      <c r="CMR3" s="120"/>
      <c r="CMS3" s="120"/>
      <c r="CMT3" s="120"/>
      <c r="CMU3" s="120"/>
      <c r="CMV3" s="120"/>
      <c r="CMW3" s="120"/>
      <c r="CMX3" s="120"/>
      <c r="CMY3" s="120"/>
      <c r="CMZ3" s="120"/>
      <c r="CNA3" s="120"/>
      <c r="CNB3" s="120"/>
      <c r="CNC3" s="120"/>
      <c r="CND3" s="120"/>
      <c r="CNE3" s="120"/>
      <c r="CNF3" s="120"/>
      <c r="CNG3" s="120"/>
      <c r="CNH3" s="120"/>
      <c r="CNI3" s="120"/>
      <c r="CNJ3" s="120"/>
      <c r="CNK3" s="120"/>
      <c r="CNL3" s="120"/>
      <c r="CNM3" s="120"/>
      <c r="CNN3" s="120"/>
      <c r="CNO3" s="120"/>
      <c r="CNP3" s="120"/>
      <c r="CNQ3" s="120"/>
      <c r="CNR3" s="120"/>
      <c r="CNS3" s="120"/>
      <c r="CNT3" s="120"/>
      <c r="CNU3" s="120"/>
      <c r="CNV3" s="120"/>
      <c r="CNW3" s="120"/>
      <c r="CNX3" s="120"/>
      <c r="CNY3" s="120"/>
      <c r="CNZ3" s="120"/>
      <c r="COA3" s="120"/>
      <c r="COB3" s="120"/>
      <c r="COC3" s="120"/>
      <c r="COD3" s="120"/>
      <c r="COE3" s="120"/>
      <c r="COF3" s="120"/>
      <c r="COG3" s="120"/>
      <c r="COH3" s="120"/>
      <c r="COI3" s="120"/>
      <c r="COJ3" s="120"/>
      <c r="COK3" s="120"/>
      <c r="COL3" s="120"/>
      <c r="COM3" s="120"/>
      <c r="CON3" s="120"/>
      <c r="COO3" s="120"/>
      <c r="COP3" s="120"/>
      <c r="COQ3" s="120"/>
      <c r="COR3" s="120"/>
      <c r="COS3" s="120"/>
      <c r="COT3" s="120"/>
      <c r="COU3" s="120"/>
      <c r="COV3" s="120"/>
      <c r="COW3" s="120"/>
      <c r="COX3" s="120"/>
      <c r="COY3" s="120"/>
      <c r="COZ3" s="120"/>
      <c r="CPA3" s="120"/>
      <c r="CPB3" s="120"/>
      <c r="CPC3" s="120"/>
      <c r="CPD3" s="120"/>
      <c r="CPE3" s="120"/>
      <c r="CPF3" s="120"/>
      <c r="CPG3" s="120"/>
      <c r="CPH3" s="120"/>
      <c r="CPI3" s="120"/>
      <c r="CPJ3" s="120"/>
      <c r="CPK3" s="120"/>
      <c r="CPL3" s="120"/>
      <c r="CPM3" s="120"/>
      <c r="CPN3" s="120"/>
      <c r="CPO3" s="120"/>
      <c r="CPP3" s="120"/>
      <c r="CPQ3" s="120"/>
      <c r="CPR3" s="120"/>
      <c r="CPS3" s="120"/>
      <c r="CPT3" s="120"/>
      <c r="CPU3" s="120"/>
      <c r="CPV3" s="120"/>
      <c r="CPW3" s="120"/>
      <c r="CPX3" s="120"/>
      <c r="CPY3" s="120"/>
      <c r="CPZ3" s="120"/>
      <c r="CQA3" s="120"/>
      <c r="CQB3" s="120"/>
      <c r="CQC3" s="120"/>
      <c r="CQD3" s="120"/>
      <c r="CQE3" s="120"/>
      <c r="CQF3" s="120"/>
      <c r="CQG3" s="120"/>
      <c r="CQH3" s="120"/>
      <c r="CQI3" s="120"/>
      <c r="CQJ3" s="120"/>
      <c r="CQK3" s="120"/>
      <c r="CQL3" s="120"/>
      <c r="CQM3" s="120"/>
      <c r="CQN3" s="120"/>
      <c r="CQO3" s="120"/>
      <c r="CQP3" s="120"/>
      <c r="CQQ3" s="120"/>
      <c r="CQR3" s="120"/>
      <c r="CQS3" s="120"/>
      <c r="CQT3" s="120"/>
      <c r="CQU3" s="120"/>
      <c r="CQV3" s="120"/>
      <c r="CQW3" s="120"/>
      <c r="CQX3" s="120"/>
      <c r="CQY3" s="120"/>
      <c r="CQZ3" s="120"/>
      <c r="CRA3" s="120"/>
      <c r="CRB3" s="120"/>
      <c r="CRC3" s="120"/>
      <c r="CRD3" s="120"/>
      <c r="CRE3" s="120"/>
      <c r="CRF3" s="120"/>
      <c r="CRG3" s="120"/>
      <c r="CRH3" s="120"/>
      <c r="CRI3" s="120"/>
      <c r="CRJ3" s="120"/>
      <c r="CRK3" s="120"/>
      <c r="CRL3" s="120"/>
      <c r="CRM3" s="120"/>
      <c r="CRN3" s="120"/>
      <c r="CRO3" s="120"/>
      <c r="CRP3" s="120"/>
      <c r="CRQ3" s="120"/>
      <c r="CRR3" s="120"/>
      <c r="CRS3" s="120"/>
      <c r="CRT3" s="120"/>
      <c r="CRU3" s="120"/>
      <c r="CRV3" s="120"/>
      <c r="CRW3" s="120"/>
      <c r="CRX3" s="120"/>
      <c r="CRY3" s="120"/>
      <c r="CRZ3" s="120"/>
      <c r="CSA3" s="120"/>
      <c r="CSB3" s="120"/>
      <c r="CSC3" s="120"/>
      <c r="CSD3" s="120"/>
      <c r="CSE3" s="120"/>
      <c r="CSF3" s="120"/>
      <c r="CSG3" s="120"/>
      <c r="CSH3" s="120"/>
      <c r="CSI3" s="120"/>
      <c r="CSJ3" s="120"/>
      <c r="CSK3" s="120"/>
      <c r="CSL3" s="120"/>
      <c r="CSM3" s="120"/>
      <c r="CSN3" s="120"/>
      <c r="CSO3" s="120"/>
      <c r="CSP3" s="120"/>
      <c r="CSQ3" s="120"/>
      <c r="CSR3" s="120"/>
      <c r="CSS3" s="120"/>
      <c r="CST3" s="120"/>
      <c r="CSU3" s="120"/>
      <c r="CSV3" s="120"/>
      <c r="CSW3" s="120"/>
      <c r="CSX3" s="120"/>
      <c r="CSY3" s="120"/>
      <c r="CSZ3" s="120"/>
      <c r="CTA3" s="120"/>
      <c r="CTB3" s="120"/>
      <c r="CTC3" s="120"/>
      <c r="CTD3" s="120"/>
      <c r="CTE3" s="120"/>
      <c r="CTF3" s="120"/>
      <c r="CTG3" s="120"/>
      <c r="CTH3" s="120"/>
      <c r="CTI3" s="120"/>
      <c r="CTJ3" s="120"/>
      <c r="CTK3" s="120"/>
      <c r="CTL3" s="120"/>
      <c r="CTM3" s="120"/>
      <c r="CTN3" s="120"/>
      <c r="CTO3" s="120"/>
      <c r="CTP3" s="120"/>
      <c r="CTQ3" s="120"/>
      <c r="CTR3" s="120"/>
      <c r="CTS3" s="120"/>
      <c r="CTT3" s="120"/>
      <c r="CTU3" s="120"/>
      <c r="CTV3" s="120"/>
      <c r="CTW3" s="120"/>
      <c r="CTX3" s="120"/>
      <c r="CTY3" s="120"/>
      <c r="CTZ3" s="120"/>
      <c r="CUA3" s="120"/>
      <c r="CUB3" s="120"/>
      <c r="CUC3" s="120"/>
      <c r="CUD3" s="120"/>
      <c r="CUE3" s="120"/>
      <c r="CUF3" s="120"/>
      <c r="CUG3" s="120"/>
      <c r="CUH3" s="120"/>
      <c r="CUI3" s="120"/>
      <c r="CUJ3" s="120"/>
      <c r="CUK3" s="120"/>
      <c r="CUL3" s="120"/>
      <c r="CUM3" s="120"/>
      <c r="CUN3" s="120"/>
      <c r="CUO3" s="120"/>
      <c r="CUP3" s="120"/>
      <c r="CUQ3" s="120"/>
      <c r="CUR3" s="120"/>
      <c r="CUS3" s="120"/>
      <c r="CUT3" s="120"/>
      <c r="CUU3" s="120"/>
      <c r="CUV3" s="120"/>
      <c r="CUW3" s="120"/>
      <c r="CUX3" s="120"/>
      <c r="CUY3" s="120"/>
      <c r="CUZ3" s="120"/>
      <c r="CVA3" s="120"/>
      <c r="CVB3" s="120"/>
      <c r="CVC3" s="120"/>
      <c r="CVD3" s="120"/>
      <c r="CVE3" s="120"/>
      <c r="CVF3" s="120"/>
      <c r="CVG3" s="120"/>
      <c r="CVH3" s="120"/>
      <c r="CVI3" s="120"/>
      <c r="CVJ3" s="120"/>
      <c r="CVK3" s="120"/>
      <c r="CVL3" s="120"/>
      <c r="CVM3" s="120"/>
      <c r="CVN3" s="120"/>
      <c r="CVO3" s="120"/>
      <c r="CVP3" s="120"/>
      <c r="CVQ3" s="120"/>
      <c r="CVR3" s="120"/>
      <c r="CVS3" s="120"/>
      <c r="CVT3" s="120"/>
      <c r="CVU3" s="120"/>
      <c r="CVV3" s="120"/>
      <c r="CVW3" s="120"/>
      <c r="CVX3" s="120"/>
      <c r="CVY3" s="120"/>
      <c r="CVZ3" s="120"/>
      <c r="CWA3" s="120"/>
      <c r="CWB3" s="120"/>
      <c r="CWC3" s="120"/>
      <c r="CWD3" s="120"/>
      <c r="CWE3" s="120"/>
      <c r="CWF3" s="120"/>
      <c r="CWG3" s="120"/>
      <c r="CWH3" s="120"/>
      <c r="CWI3" s="120"/>
      <c r="CWJ3" s="120"/>
      <c r="CWK3" s="120"/>
      <c r="CWL3" s="120"/>
      <c r="CWM3" s="120"/>
      <c r="CWN3" s="120"/>
      <c r="CWO3" s="120"/>
      <c r="CWP3" s="120"/>
      <c r="CWQ3" s="120"/>
      <c r="CWR3" s="120"/>
      <c r="CWS3" s="120"/>
      <c r="CWT3" s="120"/>
      <c r="CWU3" s="120"/>
      <c r="CWV3" s="120"/>
      <c r="CWW3" s="120"/>
      <c r="CWX3" s="120"/>
      <c r="CWY3" s="120"/>
      <c r="CWZ3" s="120"/>
      <c r="CXA3" s="120"/>
      <c r="CXB3" s="120"/>
      <c r="CXC3" s="120"/>
      <c r="CXD3" s="120"/>
      <c r="CXE3" s="120"/>
      <c r="CXF3" s="120"/>
      <c r="CXG3" s="120"/>
      <c r="CXH3" s="120"/>
      <c r="CXI3" s="120"/>
      <c r="CXJ3" s="120"/>
      <c r="CXK3" s="120"/>
      <c r="CXL3" s="120"/>
      <c r="CXM3" s="120"/>
      <c r="CXN3" s="120"/>
      <c r="CXO3" s="120"/>
      <c r="CXP3" s="120"/>
      <c r="CXQ3" s="120"/>
      <c r="CXR3" s="120"/>
      <c r="CXS3" s="120"/>
      <c r="CXT3" s="120"/>
      <c r="CXU3" s="120"/>
      <c r="CXV3" s="120"/>
      <c r="CXW3" s="120"/>
      <c r="CXX3" s="120"/>
      <c r="CXY3" s="120"/>
      <c r="CXZ3" s="120"/>
      <c r="CYA3" s="120"/>
      <c r="CYB3" s="120"/>
      <c r="CYC3" s="120"/>
      <c r="CYD3" s="120"/>
      <c r="CYE3" s="120"/>
      <c r="CYF3" s="120"/>
      <c r="CYG3" s="120"/>
      <c r="CYH3" s="120"/>
      <c r="CYI3" s="120"/>
      <c r="CYJ3" s="120"/>
      <c r="CYK3" s="120"/>
      <c r="CYL3" s="120"/>
      <c r="CYM3" s="120"/>
      <c r="CYN3" s="120"/>
      <c r="CYO3" s="120"/>
      <c r="CYP3" s="120"/>
      <c r="CYQ3" s="120"/>
      <c r="CYR3" s="120"/>
      <c r="CYS3" s="120"/>
      <c r="CYT3" s="120"/>
      <c r="CYU3" s="120"/>
      <c r="CYV3" s="120"/>
      <c r="CYW3" s="120"/>
      <c r="CYX3" s="120"/>
      <c r="CYY3" s="120"/>
      <c r="CYZ3" s="120"/>
      <c r="CZA3" s="120"/>
      <c r="CZB3" s="120"/>
      <c r="CZC3" s="120"/>
      <c r="CZD3" s="120"/>
      <c r="CZE3" s="120"/>
      <c r="CZF3" s="120"/>
      <c r="CZG3" s="120"/>
      <c r="CZH3" s="120"/>
      <c r="CZI3" s="120"/>
      <c r="CZJ3" s="120"/>
      <c r="CZK3" s="120"/>
      <c r="CZL3" s="120"/>
      <c r="CZM3" s="120"/>
      <c r="CZN3" s="120"/>
      <c r="CZO3" s="120"/>
      <c r="CZP3" s="120"/>
      <c r="CZQ3" s="120"/>
      <c r="CZR3" s="120"/>
      <c r="CZS3" s="120"/>
      <c r="CZT3" s="120"/>
      <c r="CZU3" s="120"/>
      <c r="CZV3" s="120"/>
      <c r="CZW3" s="120"/>
      <c r="CZX3" s="120"/>
      <c r="CZY3" s="120"/>
      <c r="CZZ3" s="120"/>
      <c r="DAA3" s="120"/>
      <c r="DAB3" s="120"/>
      <c r="DAC3" s="120"/>
      <c r="DAD3" s="120"/>
      <c r="DAE3" s="120"/>
      <c r="DAF3" s="120"/>
      <c r="DAG3" s="120"/>
      <c r="DAH3" s="120"/>
      <c r="DAI3" s="120"/>
      <c r="DAJ3" s="120"/>
      <c r="DAK3" s="120"/>
      <c r="DAL3" s="120"/>
      <c r="DAM3" s="120"/>
      <c r="DAN3" s="120"/>
      <c r="DAO3" s="120"/>
      <c r="DAP3" s="120"/>
      <c r="DAQ3" s="120"/>
      <c r="DAR3" s="120"/>
      <c r="DAS3" s="120"/>
      <c r="DAT3" s="120"/>
      <c r="DAU3" s="120"/>
      <c r="DAV3" s="120"/>
      <c r="DAW3" s="120"/>
      <c r="DAX3" s="120"/>
      <c r="DAY3" s="120"/>
      <c r="DAZ3" s="120"/>
      <c r="DBA3" s="120"/>
      <c r="DBB3" s="120"/>
      <c r="DBC3" s="120"/>
      <c r="DBD3" s="120"/>
      <c r="DBE3" s="120"/>
      <c r="DBF3" s="120"/>
      <c r="DBG3" s="120"/>
      <c r="DBH3" s="120"/>
      <c r="DBI3" s="120"/>
      <c r="DBJ3" s="120"/>
      <c r="DBK3" s="120"/>
      <c r="DBL3" s="120"/>
      <c r="DBM3" s="120"/>
      <c r="DBN3" s="120"/>
      <c r="DBO3" s="120"/>
      <c r="DBP3" s="120"/>
      <c r="DBQ3" s="120"/>
      <c r="DBR3" s="120"/>
      <c r="DBS3" s="120"/>
      <c r="DBT3" s="120"/>
      <c r="DBU3" s="120"/>
      <c r="DBV3" s="120"/>
      <c r="DBW3" s="120"/>
      <c r="DBX3" s="120"/>
      <c r="DBY3" s="120"/>
      <c r="DBZ3" s="120"/>
      <c r="DCA3" s="120"/>
      <c r="DCB3" s="120"/>
      <c r="DCC3" s="120"/>
      <c r="DCD3" s="120"/>
      <c r="DCE3" s="120"/>
      <c r="DCF3" s="120"/>
      <c r="DCG3" s="120"/>
      <c r="DCH3" s="120"/>
      <c r="DCI3" s="120"/>
      <c r="DCJ3" s="120"/>
      <c r="DCK3" s="120"/>
      <c r="DCL3" s="120"/>
      <c r="DCM3" s="120"/>
      <c r="DCN3" s="120"/>
      <c r="DCO3" s="120"/>
      <c r="DCP3" s="120"/>
      <c r="DCQ3" s="120"/>
      <c r="DCR3" s="120"/>
      <c r="DCS3" s="120"/>
      <c r="DCT3" s="120"/>
      <c r="DCU3" s="120"/>
      <c r="DCV3" s="120"/>
      <c r="DCW3" s="120"/>
      <c r="DCX3" s="120"/>
      <c r="DCY3" s="120"/>
      <c r="DCZ3" s="120"/>
      <c r="DDA3" s="120"/>
      <c r="DDB3" s="120"/>
      <c r="DDC3" s="120"/>
      <c r="DDD3" s="120"/>
      <c r="DDE3" s="120"/>
      <c r="DDF3" s="120"/>
      <c r="DDG3" s="120"/>
      <c r="DDH3" s="120"/>
      <c r="DDI3" s="120"/>
      <c r="DDJ3" s="120"/>
      <c r="DDK3" s="120"/>
      <c r="DDL3" s="120"/>
      <c r="DDM3" s="120"/>
      <c r="DDN3" s="120"/>
      <c r="DDO3" s="120"/>
      <c r="DDP3" s="120"/>
      <c r="DDQ3" s="120"/>
      <c r="DDR3" s="120"/>
      <c r="DDS3" s="120"/>
      <c r="DDT3" s="120"/>
      <c r="DDU3" s="120"/>
      <c r="DDV3" s="120"/>
      <c r="DDW3" s="120"/>
      <c r="DDX3" s="120"/>
      <c r="DDY3" s="120"/>
      <c r="DDZ3" s="120"/>
      <c r="DEA3" s="120"/>
      <c r="DEB3" s="120"/>
      <c r="DEC3" s="120"/>
      <c r="DED3" s="120"/>
      <c r="DEE3" s="120"/>
      <c r="DEF3" s="120"/>
      <c r="DEG3" s="120"/>
      <c r="DEH3" s="120"/>
      <c r="DEI3" s="120"/>
      <c r="DEJ3" s="120"/>
      <c r="DEK3" s="120"/>
      <c r="DEL3" s="120"/>
      <c r="DEM3" s="120"/>
      <c r="DEN3" s="120"/>
      <c r="DEO3" s="120"/>
      <c r="DEP3" s="120"/>
      <c r="DEQ3" s="120"/>
      <c r="DER3" s="120"/>
      <c r="DES3" s="120"/>
      <c r="DET3" s="120"/>
      <c r="DEU3" s="120"/>
      <c r="DEV3" s="120"/>
      <c r="DEW3" s="120"/>
      <c r="DEX3" s="120"/>
      <c r="DEY3" s="120"/>
      <c r="DEZ3" s="120"/>
      <c r="DFA3" s="120"/>
      <c r="DFB3" s="120"/>
      <c r="DFC3" s="120"/>
      <c r="DFD3" s="120"/>
      <c r="DFE3" s="120"/>
      <c r="DFF3" s="120"/>
      <c r="DFG3" s="120"/>
      <c r="DFH3" s="120"/>
      <c r="DFI3" s="120"/>
      <c r="DFJ3" s="120"/>
      <c r="DFK3" s="120"/>
      <c r="DFL3" s="120"/>
      <c r="DFM3" s="120"/>
      <c r="DFN3" s="120"/>
      <c r="DFO3" s="120"/>
      <c r="DFP3" s="120"/>
      <c r="DFQ3" s="120"/>
      <c r="DFR3" s="120"/>
      <c r="DFS3" s="120"/>
      <c r="DFT3" s="120"/>
      <c r="DFU3" s="120"/>
      <c r="DFV3" s="120"/>
      <c r="DFW3" s="120"/>
      <c r="DFX3" s="120"/>
      <c r="DFY3" s="120"/>
      <c r="DFZ3" s="120"/>
      <c r="DGA3" s="120"/>
      <c r="DGB3" s="120"/>
      <c r="DGC3" s="120"/>
      <c r="DGD3" s="120"/>
      <c r="DGE3" s="120"/>
      <c r="DGF3" s="120"/>
      <c r="DGG3" s="120"/>
      <c r="DGH3" s="120"/>
      <c r="DGI3" s="120"/>
      <c r="DGJ3" s="120"/>
      <c r="DGK3" s="120"/>
      <c r="DGL3" s="120"/>
      <c r="DGM3" s="120"/>
      <c r="DGN3" s="120"/>
      <c r="DGO3" s="120"/>
      <c r="DGP3" s="120"/>
      <c r="DGQ3" s="120"/>
      <c r="DGR3" s="120"/>
      <c r="DGS3" s="120"/>
      <c r="DGT3" s="120"/>
      <c r="DGU3" s="120"/>
      <c r="DGV3" s="120"/>
      <c r="DGW3" s="120"/>
      <c r="DGX3" s="120"/>
      <c r="DGY3" s="120"/>
      <c r="DGZ3" s="120"/>
      <c r="DHA3" s="120"/>
      <c r="DHB3" s="120"/>
      <c r="DHC3" s="120"/>
      <c r="DHD3" s="120"/>
      <c r="DHE3" s="120"/>
      <c r="DHF3" s="120"/>
      <c r="DHG3" s="120"/>
      <c r="DHH3" s="120"/>
      <c r="DHI3" s="120"/>
      <c r="DHJ3" s="120"/>
      <c r="DHK3" s="120"/>
      <c r="DHL3" s="120"/>
      <c r="DHM3" s="120"/>
      <c r="DHN3" s="120"/>
      <c r="DHO3" s="120"/>
      <c r="DHP3" s="120"/>
      <c r="DHQ3" s="120"/>
      <c r="DHR3" s="120"/>
      <c r="DHS3" s="120"/>
      <c r="DHT3" s="120"/>
      <c r="DHU3" s="120"/>
      <c r="DHV3" s="120"/>
      <c r="DHW3" s="120"/>
      <c r="DHX3" s="120"/>
      <c r="DHY3" s="120"/>
      <c r="DHZ3" s="120"/>
      <c r="DIA3" s="120"/>
      <c r="DIB3" s="120"/>
      <c r="DIC3" s="120"/>
      <c r="DID3" s="120"/>
      <c r="DIE3" s="120"/>
      <c r="DIF3" s="120"/>
      <c r="DIG3" s="120"/>
      <c r="DIH3" s="120"/>
      <c r="DII3" s="120"/>
      <c r="DIJ3" s="120"/>
      <c r="DIK3" s="120"/>
      <c r="DIL3" s="120"/>
      <c r="DIM3" s="120"/>
      <c r="DIN3" s="120"/>
      <c r="DIO3" s="120"/>
      <c r="DIP3" s="120"/>
      <c r="DIQ3" s="120"/>
      <c r="DIR3" s="120"/>
      <c r="DIS3" s="120"/>
      <c r="DIT3" s="120"/>
      <c r="DIU3" s="120"/>
      <c r="DIV3" s="120"/>
      <c r="DIW3" s="120"/>
      <c r="DIX3" s="120"/>
      <c r="DIY3" s="120"/>
      <c r="DIZ3" s="120"/>
      <c r="DJA3" s="120"/>
      <c r="DJB3" s="120"/>
      <c r="DJC3" s="120"/>
      <c r="DJD3" s="120"/>
      <c r="DJE3" s="120"/>
      <c r="DJF3" s="120"/>
      <c r="DJG3" s="120"/>
      <c r="DJH3" s="120"/>
      <c r="DJI3" s="120"/>
      <c r="DJJ3" s="120"/>
      <c r="DJK3" s="120"/>
      <c r="DJL3" s="120"/>
      <c r="DJM3" s="120"/>
      <c r="DJN3" s="120"/>
      <c r="DJO3" s="120"/>
      <c r="DJP3" s="120"/>
      <c r="DJQ3" s="120"/>
      <c r="DJR3" s="120"/>
      <c r="DJS3" s="120"/>
      <c r="DJT3" s="120"/>
      <c r="DJU3" s="120"/>
      <c r="DJV3" s="120"/>
      <c r="DJW3" s="120"/>
      <c r="DJX3" s="120"/>
      <c r="DJY3" s="120"/>
      <c r="DJZ3" s="120"/>
      <c r="DKA3" s="120"/>
      <c r="DKB3" s="120"/>
      <c r="DKC3" s="120"/>
      <c r="DKD3" s="120"/>
      <c r="DKE3" s="120"/>
      <c r="DKF3" s="120"/>
      <c r="DKG3" s="120"/>
      <c r="DKH3" s="120"/>
      <c r="DKI3" s="120"/>
      <c r="DKJ3" s="120"/>
      <c r="DKK3" s="120"/>
      <c r="DKL3" s="120"/>
      <c r="DKM3" s="120"/>
      <c r="DKN3" s="120"/>
      <c r="DKO3" s="120"/>
      <c r="DKP3" s="120"/>
      <c r="DKQ3" s="120"/>
      <c r="DKR3" s="120"/>
      <c r="DKS3" s="120"/>
      <c r="DKT3" s="120"/>
      <c r="DKU3" s="120"/>
      <c r="DKV3" s="120"/>
      <c r="DKW3" s="120"/>
      <c r="DKX3" s="120"/>
      <c r="DKY3" s="120"/>
      <c r="DKZ3" s="120"/>
      <c r="DLA3" s="120"/>
      <c r="DLB3" s="120"/>
      <c r="DLC3" s="120"/>
      <c r="DLD3" s="120"/>
      <c r="DLE3" s="120"/>
      <c r="DLF3" s="120"/>
      <c r="DLG3" s="120"/>
      <c r="DLH3" s="120"/>
      <c r="DLI3" s="120"/>
      <c r="DLJ3" s="120"/>
      <c r="DLK3" s="120"/>
      <c r="DLL3" s="120"/>
      <c r="DLM3" s="120"/>
      <c r="DLN3" s="120"/>
      <c r="DLO3" s="120"/>
      <c r="DLP3" s="120"/>
      <c r="DLQ3" s="120"/>
      <c r="DLR3" s="120"/>
      <c r="DLS3" s="120"/>
      <c r="DLT3" s="120"/>
      <c r="DLU3" s="120"/>
      <c r="DLV3" s="120"/>
      <c r="DLW3" s="120"/>
      <c r="DLX3" s="120"/>
      <c r="DLY3" s="120"/>
      <c r="DLZ3" s="120"/>
      <c r="DMA3" s="120"/>
      <c r="DMB3" s="120"/>
      <c r="DMC3" s="120"/>
      <c r="DMD3" s="120"/>
      <c r="DME3" s="120"/>
      <c r="DMF3" s="120"/>
      <c r="DMG3" s="120"/>
      <c r="DMH3" s="120"/>
      <c r="DMI3" s="120"/>
      <c r="DMJ3" s="120"/>
      <c r="DMK3" s="120"/>
      <c r="DML3" s="120"/>
      <c r="DMM3" s="120"/>
      <c r="DMN3" s="120"/>
      <c r="DMO3" s="120"/>
      <c r="DMP3" s="120"/>
      <c r="DMQ3" s="120"/>
      <c r="DMR3" s="120"/>
      <c r="DMS3" s="120"/>
      <c r="DMT3" s="120"/>
      <c r="DMU3" s="120"/>
      <c r="DMV3" s="120"/>
      <c r="DMW3" s="120"/>
      <c r="DMX3" s="120"/>
      <c r="DMY3" s="120"/>
      <c r="DMZ3" s="120"/>
      <c r="DNA3" s="120"/>
      <c r="DNB3" s="120"/>
      <c r="DNC3" s="120"/>
      <c r="DND3" s="120"/>
      <c r="DNE3" s="120"/>
      <c r="DNF3" s="120"/>
      <c r="DNG3" s="120"/>
      <c r="DNH3" s="120"/>
      <c r="DNI3" s="120"/>
      <c r="DNJ3" s="120"/>
      <c r="DNK3" s="120"/>
      <c r="DNL3" s="120"/>
      <c r="DNM3" s="120"/>
      <c r="DNN3" s="120"/>
      <c r="DNO3" s="120"/>
      <c r="DNP3" s="120"/>
      <c r="DNQ3" s="120"/>
      <c r="DNR3" s="120"/>
      <c r="DNS3" s="120"/>
      <c r="DNT3" s="120"/>
      <c r="DNU3" s="120"/>
      <c r="DNV3" s="120"/>
      <c r="DNW3" s="120"/>
      <c r="DNX3" s="120"/>
      <c r="DNY3" s="120"/>
      <c r="DNZ3" s="120"/>
      <c r="DOA3" s="120"/>
      <c r="DOB3" s="120"/>
      <c r="DOC3" s="120"/>
      <c r="DOD3" s="120"/>
      <c r="DOE3" s="120"/>
      <c r="DOF3" s="120"/>
      <c r="DOG3" s="120"/>
      <c r="DOH3" s="120"/>
      <c r="DOI3" s="120"/>
      <c r="DOJ3" s="120"/>
      <c r="DOK3" s="120"/>
      <c r="DOL3" s="120"/>
      <c r="DOM3" s="120"/>
      <c r="DON3" s="120"/>
      <c r="DOO3" s="120"/>
      <c r="DOP3" s="120"/>
      <c r="DOQ3" s="120"/>
      <c r="DOR3" s="120"/>
      <c r="DOS3" s="120"/>
      <c r="DOT3" s="120"/>
      <c r="DOU3" s="120"/>
      <c r="DOV3" s="120"/>
      <c r="DOW3" s="120"/>
      <c r="DOX3" s="120"/>
      <c r="DOY3" s="120"/>
      <c r="DOZ3" s="120"/>
      <c r="DPA3" s="120"/>
      <c r="DPB3" s="120"/>
      <c r="DPC3" s="120"/>
      <c r="DPD3" s="120"/>
      <c r="DPE3" s="120"/>
      <c r="DPF3" s="120"/>
      <c r="DPG3" s="120"/>
      <c r="DPH3" s="120"/>
      <c r="DPI3" s="120"/>
      <c r="DPJ3" s="120"/>
      <c r="DPK3" s="120"/>
      <c r="DPL3" s="120"/>
      <c r="DPM3" s="120"/>
      <c r="DPN3" s="120"/>
      <c r="DPO3" s="120"/>
      <c r="DPP3" s="120"/>
      <c r="DPQ3" s="120"/>
      <c r="DPR3" s="120"/>
      <c r="DPS3" s="120"/>
      <c r="DPT3" s="120"/>
      <c r="DPU3" s="120"/>
      <c r="DPV3" s="120"/>
      <c r="DPW3" s="120"/>
      <c r="DPX3" s="120"/>
      <c r="DPY3" s="120"/>
      <c r="DPZ3" s="120"/>
      <c r="DQA3" s="120"/>
      <c r="DQB3" s="120"/>
      <c r="DQC3" s="120"/>
      <c r="DQD3" s="120"/>
      <c r="DQE3" s="120"/>
      <c r="DQF3" s="120"/>
      <c r="DQG3" s="120"/>
      <c r="DQH3" s="120"/>
      <c r="DQI3" s="120"/>
      <c r="DQJ3" s="120"/>
      <c r="DQK3" s="120"/>
      <c r="DQL3" s="120"/>
      <c r="DQM3" s="120"/>
      <c r="DQN3" s="120"/>
      <c r="DQO3" s="120"/>
      <c r="DQP3" s="120"/>
      <c r="DQQ3" s="120"/>
      <c r="DQR3" s="120"/>
      <c r="DQS3" s="120"/>
      <c r="DQT3" s="120"/>
      <c r="DQU3" s="120"/>
      <c r="DQV3" s="120"/>
      <c r="DQW3" s="120"/>
      <c r="DQX3" s="120"/>
      <c r="DQY3" s="120"/>
      <c r="DQZ3" s="120"/>
      <c r="DRA3" s="120"/>
      <c r="DRB3" s="120"/>
      <c r="DRC3" s="120"/>
      <c r="DRD3" s="120"/>
      <c r="DRE3" s="120"/>
      <c r="DRF3" s="120"/>
      <c r="DRG3" s="120"/>
      <c r="DRH3" s="120"/>
      <c r="DRI3" s="120"/>
      <c r="DRJ3" s="120"/>
      <c r="DRK3" s="120"/>
      <c r="DRL3" s="120"/>
      <c r="DRM3" s="120"/>
      <c r="DRN3" s="120"/>
      <c r="DRO3" s="120"/>
      <c r="DRP3" s="120"/>
      <c r="DRQ3" s="120"/>
      <c r="DRR3" s="120"/>
      <c r="DRS3" s="120"/>
      <c r="DRT3" s="120"/>
      <c r="DRU3" s="120"/>
      <c r="DRV3" s="120"/>
      <c r="DRW3" s="120"/>
      <c r="DRX3" s="120"/>
      <c r="DRY3" s="120"/>
      <c r="DRZ3" s="120"/>
      <c r="DSA3" s="120"/>
      <c r="DSB3" s="120"/>
      <c r="DSC3" s="120"/>
      <c r="DSD3" s="120"/>
      <c r="DSE3" s="120"/>
      <c r="DSF3" s="120"/>
      <c r="DSG3" s="120"/>
      <c r="DSH3" s="120"/>
      <c r="DSI3" s="120"/>
      <c r="DSJ3" s="120"/>
      <c r="DSK3" s="120"/>
      <c r="DSL3" s="120"/>
      <c r="DSM3" s="120"/>
      <c r="DSN3" s="120"/>
      <c r="DSO3" s="120"/>
      <c r="DSP3" s="120"/>
      <c r="DSQ3" s="120"/>
      <c r="DSR3" s="120"/>
      <c r="DSS3" s="120"/>
      <c r="DST3" s="120"/>
      <c r="DSU3" s="120"/>
      <c r="DSV3" s="120"/>
      <c r="DSW3" s="120"/>
      <c r="DSX3" s="120"/>
      <c r="DSY3" s="120"/>
      <c r="DSZ3" s="120"/>
      <c r="DTA3" s="120"/>
      <c r="DTB3" s="120"/>
      <c r="DTC3" s="120"/>
      <c r="DTD3" s="120"/>
      <c r="DTE3" s="120"/>
      <c r="DTF3" s="120"/>
      <c r="DTG3" s="120"/>
      <c r="DTH3" s="120"/>
      <c r="DTI3" s="120"/>
      <c r="DTJ3" s="120"/>
      <c r="DTK3" s="120"/>
      <c r="DTL3" s="120"/>
      <c r="DTM3" s="120"/>
      <c r="DTN3" s="120"/>
      <c r="DTO3" s="120"/>
      <c r="DTP3" s="120"/>
      <c r="DTQ3" s="120"/>
      <c r="DTR3" s="120"/>
      <c r="DTS3" s="120"/>
      <c r="DTT3" s="120"/>
      <c r="DTU3" s="120"/>
      <c r="DTV3" s="120"/>
      <c r="DTW3" s="120"/>
      <c r="DTX3" s="120"/>
      <c r="DTY3" s="120"/>
      <c r="DTZ3" s="120"/>
      <c r="DUA3" s="120"/>
      <c r="DUB3" s="120"/>
      <c r="DUC3" s="120"/>
      <c r="DUD3" s="120"/>
      <c r="DUE3" s="120"/>
      <c r="DUF3" s="120"/>
      <c r="DUG3" s="120"/>
      <c r="DUH3" s="120"/>
      <c r="DUI3" s="120"/>
      <c r="DUJ3" s="120"/>
      <c r="DUK3" s="120"/>
      <c r="DUL3" s="120"/>
      <c r="DUM3" s="120"/>
      <c r="DUN3" s="120"/>
      <c r="DUO3" s="120"/>
      <c r="DUP3" s="120"/>
      <c r="DUQ3" s="120"/>
      <c r="DUR3" s="120"/>
      <c r="DUS3" s="120"/>
      <c r="DUT3" s="120"/>
      <c r="DUU3" s="120"/>
      <c r="DUV3" s="120"/>
      <c r="DUW3" s="120"/>
      <c r="DUX3" s="120"/>
      <c r="DUY3" s="120"/>
      <c r="DUZ3" s="120"/>
      <c r="DVA3" s="120"/>
      <c r="DVB3" s="120"/>
      <c r="DVC3" s="120"/>
      <c r="DVD3" s="120"/>
      <c r="DVE3" s="120"/>
      <c r="DVF3" s="120"/>
      <c r="DVG3" s="120"/>
      <c r="DVH3" s="120"/>
      <c r="DVI3" s="120"/>
      <c r="DVJ3" s="120"/>
      <c r="DVK3" s="120"/>
      <c r="DVL3" s="120"/>
      <c r="DVM3" s="120"/>
      <c r="DVN3" s="120"/>
      <c r="DVO3" s="120"/>
      <c r="DVP3" s="120"/>
      <c r="DVQ3" s="120"/>
      <c r="DVR3" s="120"/>
      <c r="DVS3" s="120"/>
      <c r="DVT3" s="120"/>
      <c r="DVU3" s="120"/>
      <c r="DVV3" s="120"/>
      <c r="DVW3" s="120"/>
      <c r="DVX3" s="120"/>
      <c r="DVY3" s="120"/>
      <c r="DVZ3" s="120"/>
      <c r="DWA3" s="120"/>
      <c r="DWB3" s="120"/>
      <c r="DWC3" s="120"/>
      <c r="DWD3" s="120"/>
      <c r="DWE3" s="120"/>
      <c r="DWF3" s="120"/>
      <c r="DWG3" s="120"/>
      <c r="DWH3" s="120"/>
      <c r="DWI3" s="120"/>
      <c r="DWJ3" s="120"/>
      <c r="DWK3" s="120"/>
      <c r="DWL3" s="120"/>
      <c r="DWM3" s="120"/>
      <c r="DWN3" s="120"/>
      <c r="DWO3" s="120"/>
      <c r="DWP3" s="120"/>
      <c r="DWQ3" s="120"/>
      <c r="DWR3" s="120"/>
      <c r="DWS3" s="120"/>
      <c r="DWT3" s="120"/>
      <c r="DWU3" s="120"/>
      <c r="DWV3" s="120"/>
      <c r="DWW3" s="120"/>
      <c r="DWX3" s="120"/>
      <c r="DWY3" s="120"/>
      <c r="DWZ3" s="120"/>
      <c r="DXA3" s="120"/>
      <c r="DXB3" s="120"/>
      <c r="DXC3" s="120"/>
      <c r="DXD3" s="120"/>
      <c r="DXE3" s="120"/>
      <c r="DXF3" s="120"/>
      <c r="DXG3" s="120"/>
      <c r="DXH3" s="120"/>
      <c r="DXI3" s="120"/>
      <c r="DXJ3" s="120"/>
      <c r="DXK3" s="120"/>
      <c r="DXL3" s="120"/>
      <c r="DXM3" s="120"/>
      <c r="DXN3" s="120"/>
      <c r="DXO3" s="120"/>
      <c r="DXP3" s="120"/>
      <c r="DXQ3" s="120"/>
      <c r="DXR3" s="120"/>
      <c r="DXS3" s="120"/>
      <c r="DXT3" s="120"/>
      <c r="DXU3" s="120"/>
      <c r="DXV3" s="120"/>
      <c r="DXW3" s="120"/>
      <c r="DXX3" s="120"/>
      <c r="DXY3" s="120"/>
      <c r="DXZ3" s="120"/>
      <c r="DYA3" s="120"/>
      <c r="DYB3" s="120"/>
      <c r="DYC3" s="120"/>
      <c r="DYD3" s="120"/>
      <c r="DYE3" s="120"/>
      <c r="DYF3" s="120"/>
      <c r="DYG3" s="120"/>
      <c r="DYH3" s="120"/>
      <c r="DYI3" s="120"/>
      <c r="DYJ3" s="120"/>
      <c r="DYK3" s="120"/>
      <c r="DYL3" s="120"/>
      <c r="DYM3" s="120"/>
      <c r="DYN3" s="120"/>
      <c r="DYO3" s="120"/>
      <c r="DYP3" s="120"/>
      <c r="DYQ3" s="120"/>
      <c r="DYR3" s="120"/>
      <c r="DYS3" s="120"/>
      <c r="DYT3" s="120"/>
      <c r="DYU3" s="120"/>
      <c r="DYV3" s="120"/>
      <c r="DYW3" s="120"/>
      <c r="DYX3" s="120"/>
      <c r="DYY3" s="120"/>
      <c r="DYZ3" s="120"/>
      <c r="DZA3" s="120"/>
      <c r="DZB3" s="120"/>
      <c r="DZC3" s="120"/>
      <c r="DZD3" s="120"/>
      <c r="DZE3" s="120"/>
      <c r="DZF3" s="120"/>
      <c r="DZG3" s="120"/>
      <c r="DZH3" s="120"/>
      <c r="DZI3" s="120"/>
      <c r="DZJ3" s="120"/>
      <c r="DZK3" s="120"/>
      <c r="DZL3" s="120"/>
      <c r="DZM3" s="120"/>
      <c r="DZN3" s="120"/>
      <c r="DZO3" s="120"/>
      <c r="DZP3" s="120"/>
      <c r="DZQ3" s="120"/>
      <c r="DZR3" s="120"/>
      <c r="DZS3" s="120"/>
      <c r="DZT3" s="120"/>
      <c r="DZU3" s="120"/>
      <c r="DZV3" s="120"/>
      <c r="DZW3" s="120"/>
      <c r="DZX3" s="120"/>
      <c r="DZY3" s="120"/>
      <c r="DZZ3" s="120"/>
      <c r="EAA3" s="120"/>
      <c r="EAB3" s="120"/>
      <c r="EAC3" s="120"/>
      <c r="EAD3" s="120"/>
      <c r="EAE3" s="120"/>
      <c r="EAF3" s="120"/>
      <c r="EAG3" s="120"/>
      <c r="EAH3" s="120"/>
      <c r="EAI3" s="120"/>
      <c r="EAJ3" s="120"/>
      <c r="EAK3" s="120"/>
      <c r="EAL3" s="120"/>
      <c r="EAM3" s="120"/>
      <c r="EAN3" s="120"/>
      <c r="EAO3" s="120"/>
      <c r="EAP3" s="120"/>
      <c r="EAQ3" s="120"/>
      <c r="EAR3" s="120"/>
      <c r="EAS3" s="120"/>
      <c r="EAT3" s="120"/>
      <c r="EAU3" s="120"/>
      <c r="EAV3" s="120"/>
      <c r="EAW3" s="120"/>
      <c r="EAX3" s="120"/>
      <c r="EAY3" s="120"/>
      <c r="EAZ3" s="120"/>
      <c r="EBA3" s="120"/>
      <c r="EBB3" s="120"/>
      <c r="EBC3" s="120"/>
      <c r="EBD3" s="120"/>
      <c r="EBE3" s="120"/>
      <c r="EBF3" s="120"/>
      <c r="EBG3" s="120"/>
      <c r="EBH3" s="120"/>
      <c r="EBI3" s="120"/>
      <c r="EBJ3" s="120"/>
      <c r="EBK3" s="120"/>
      <c r="EBL3" s="120"/>
      <c r="EBM3" s="120"/>
      <c r="EBN3" s="120"/>
      <c r="EBO3" s="120"/>
      <c r="EBP3" s="120"/>
      <c r="EBQ3" s="120"/>
      <c r="EBR3" s="120"/>
      <c r="EBS3" s="120"/>
      <c r="EBT3" s="120"/>
      <c r="EBU3" s="120"/>
      <c r="EBV3" s="120"/>
      <c r="EBW3" s="120"/>
      <c r="EBX3" s="120"/>
      <c r="EBY3" s="120"/>
      <c r="EBZ3" s="120"/>
      <c r="ECA3" s="120"/>
      <c r="ECB3" s="120"/>
      <c r="ECC3" s="120"/>
      <c r="ECD3" s="120"/>
      <c r="ECE3" s="120"/>
      <c r="ECF3" s="120"/>
      <c r="ECG3" s="120"/>
      <c r="ECH3" s="120"/>
      <c r="ECI3" s="120"/>
      <c r="ECJ3" s="120"/>
      <c r="ECK3" s="120"/>
      <c r="ECL3" s="120"/>
      <c r="ECM3" s="120"/>
      <c r="ECN3" s="120"/>
      <c r="ECO3" s="120"/>
      <c r="ECP3" s="120"/>
      <c r="ECQ3" s="120"/>
      <c r="ECR3" s="120"/>
      <c r="ECS3" s="120"/>
      <c r="ECT3" s="120"/>
      <c r="ECU3" s="120"/>
      <c r="ECV3" s="120"/>
      <c r="ECW3" s="120"/>
      <c r="ECX3" s="120"/>
      <c r="ECY3" s="120"/>
      <c r="ECZ3" s="120"/>
      <c r="EDA3" s="120"/>
      <c r="EDB3" s="120"/>
      <c r="EDC3" s="120"/>
      <c r="EDD3" s="120"/>
      <c r="EDE3" s="120"/>
      <c r="EDF3" s="120"/>
      <c r="EDG3" s="120"/>
      <c r="EDH3" s="120"/>
      <c r="EDI3" s="120"/>
      <c r="EDJ3" s="120"/>
      <c r="EDK3" s="120"/>
      <c r="EDL3" s="120"/>
      <c r="EDM3" s="120"/>
      <c r="EDN3" s="120"/>
      <c r="EDO3" s="120"/>
      <c r="EDP3" s="120"/>
      <c r="EDQ3" s="120"/>
      <c r="EDR3" s="120"/>
      <c r="EDS3" s="120"/>
      <c r="EDT3" s="120"/>
      <c r="EDU3" s="120"/>
      <c r="EDV3" s="120"/>
      <c r="EDW3" s="120"/>
      <c r="EDX3" s="120"/>
      <c r="EDY3" s="120"/>
      <c r="EDZ3" s="120"/>
      <c r="EEA3" s="120"/>
      <c r="EEB3" s="120"/>
      <c r="EEC3" s="120"/>
      <c r="EED3" s="120"/>
      <c r="EEE3" s="120"/>
      <c r="EEF3" s="120"/>
      <c r="EEG3" s="120"/>
      <c r="EEH3" s="120"/>
      <c r="EEI3" s="120"/>
      <c r="EEJ3" s="120"/>
      <c r="EEK3" s="120"/>
      <c r="EEL3" s="120"/>
      <c r="EEM3" s="120"/>
      <c r="EEN3" s="120"/>
      <c r="EEO3" s="120"/>
      <c r="EEP3" s="120"/>
      <c r="EEQ3" s="120"/>
      <c r="EER3" s="120"/>
      <c r="EES3" s="120"/>
      <c r="EET3" s="120"/>
      <c r="EEU3" s="120"/>
      <c r="EEV3" s="120"/>
      <c r="EEW3" s="120"/>
      <c r="EEX3" s="120"/>
      <c r="EEY3" s="120"/>
      <c r="EEZ3" s="120"/>
      <c r="EFA3" s="120"/>
      <c r="EFB3" s="120"/>
      <c r="EFC3" s="120"/>
      <c r="EFD3" s="120"/>
      <c r="EFE3" s="120"/>
      <c r="EFF3" s="120"/>
      <c r="EFG3" s="120"/>
      <c r="EFH3" s="120"/>
      <c r="EFI3" s="120"/>
      <c r="EFJ3" s="120"/>
      <c r="EFK3" s="120"/>
      <c r="EFL3" s="120"/>
      <c r="EFM3" s="120"/>
      <c r="EFN3" s="120"/>
      <c r="EFO3" s="120"/>
      <c r="EFP3" s="120"/>
      <c r="EFQ3" s="120"/>
      <c r="EFR3" s="120"/>
      <c r="EFS3" s="120"/>
      <c r="EFT3" s="120"/>
      <c r="EFU3" s="120"/>
      <c r="EFV3" s="120"/>
      <c r="EFW3" s="120"/>
      <c r="EFX3" s="120"/>
      <c r="EFY3" s="120"/>
      <c r="EFZ3" s="120"/>
      <c r="EGA3" s="120"/>
      <c r="EGB3" s="120"/>
      <c r="EGC3" s="120"/>
      <c r="EGD3" s="120"/>
      <c r="EGE3" s="120"/>
      <c r="EGF3" s="120"/>
      <c r="EGG3" s="120"/>
      <c r="EGH3" s="120"/>
      <c r="EGI3" s="120"/>
      <c r="EGJ3" s="120"/>
      <c r="EGK3" s="120"/>
      <c r="EGL3" s="120"/>
      <c r="EGM3" s="120"/>
      <c r="EGN3" s="120"/>
      <c r="EGO3" s="120"/>
      <c r="EGP3" s="120"/>
      <c r="EGQ3" s="120"/>
      <c r="EGR3" s="120"/>
      <c r="EGS3" s="120"/>
      <c r="EGT3" s="120"/>
      <c r="EGU3" s="120"/>
      <c r="EGV3" s="120"/>
      <c r="EGW3" s="120"/>
      <c r="EGX3" s="120"/>
      <c r="EGY3" s="120"/>
      <c r="EGZ3" s="120"/>
      <c r="EHA3" s="120"/>
      <c r="EHB3" s="120"/>
      <c r="EHC3" s="120"/>
      <c r="EHD3" s="120"/>
      <c r="EHE3" s="120"/>
      <c r="EHF3" s="120"/>
      <c r="EHG3" s="120"/>
      <c r="EHH3" s="120"/>
      <c r="EHI3" s="120"/>
      <c r="EHJ3" s="120"/>
      <c r="EHK3" s="120"/>
      <c r="EHL3" s="120"/>
      <c r="EHM3" s="120"/>
      <c r="EHN3" s="120"/>
      <c r="EHO3" s="120"/>
      <c r="EHP3" s="120"/>
      <c r="EHQ3" s="120"/>
      <c r="EHR3" s="120"/>
      <c r="EHS3" s="120"/>
      <c r="EHT3" s="120"/>
      <c r="EHU3" s="120"/>
      <c r="EHV3" s="120"/>
      <c r="EHW3" s="120"/>
      <c r="EHX3" s="120"/>
      <c r="EHY3" s="120"/>
      <c r="EHZ3" s="120"/>
      <c r="EIA3" s="120"/>
      <c r="EIB3" s="120"/>
      <c r="EIC3" s="120"/>
      <c r="EID3" s="120"/>
      <c r="EIE3" s="120"/>
      <c r="EIF3" s="120"/>
      <c r="EIG3" s="120"/>
      <c r="EIH3" s="120"/>
      <c r="EII3" s="120"/>
      <c r="EIJ3" s="120"/>
      <c r="EIK3" s="120"/>
      <c r="EIL3" s="120"/>
      <c r="EIM3" s="120"/>
      <c r="EIN3" s="120"/>
      <c r="EIO3" s="120"/>
      <c r="EIP3" s="120"/>
      <c r="EIQ3" s="120"/>
      <c r="EIR3" s="120"/>
      <c r="EIS3" s="120"/>
      <c r="EIT3" s="120"/>
      <c r="EIU3" s="120"/>
      <c r="EIV3" s="120"/>
      <c r="EIW3" s="120"/>
      <c r="EIX3" s="120"/>
      <c r="EIY3" s="120"/>
      <c r="EIZ3" s="120"/>
      <c r="EJA3" s="120"/>
      <c r="EJB3" s="120"/>
      <c r="EJC3" s="120"/>
      <c r="EJD3" s="120"/>
      <c r="EJE3" s="120"/>
      <c r="EJF3" s="120"/>
      <c r="EJG3" s="120"/>
      <c r="EJH3" s="120"/>
      <c r="EJI3" s="120"/>
      <c r="EJJ3" s="120"/>
      <c r="EJK3" s="120"/>
      <c r="EJL3" s="120"/>
      <c r="EJM3" s="120"/>
      <c r="EJN3" s="120"/>
      <c r="EJO3" s="120"/>
      <c r="EJP3" s="120"/>
      <c r="EJQ3" s="120"/>
      <c r="EJR3" s="120"/>
      <c r="EJS3" s="120"/>
      <c r="EJT3" s="120"/>
      <c r="EJU3" s="120"/>
      <c r="EJV3" s="120"/>
      <c r="EJW3" s="120"/>
      <c r="EJX3" s="120"/>
      <c r="EJY3" s="120"/>
      <c r="EJZ3" s="120"/>
      <c r="EKA3" s="120"/>
      <c r="EKB3" s="120"/>
      <c r="EKC3" s="120"/>
      <c r="EKD3" s="120"/>
      <c r="EKE3" s="120"/>
      <c r="EKF3" s="120"/>
      <c r="EKG3" s="120"/>
      <c r="EKH3" s="120"/>
      <c r="EKI3" s="120"/>
      <c r="EKJ3" s="120"/>
      <c r="EKK3" s="120"/>
      <c r="EKL3" s="120"/>
      <c r="EKM3" s="120"/>
      <c r="EKN3" s="120"/>
      <c r="EKO3" s="120"/>
      <c r="EKP3" s="120"/>
      <c r="EKQ3" s="120"/>
      <c r="EKR3" s="120"/>
      <c r="EKS3" s="120"/>
      <c r="EKT3" s="120"/>
      <c r="EKU3" s="120"/>
      <c r="EKV3" s="120"/>
      <c r="EKW3" s="120"/>
      <c r="EKX3" s="120"/>
      <c r="EKY3" s="120"/>
      <c r="EKZ3" s="120"/>
      <c r="ELA3" s="120"/>
      <c r="ELB3" s="120"/>
      <c r="ELC3" s="120"/>
      <c r="ELD3" s="120"/>
      <c r="ELE3" s="120"/>
      <c r="ELF3" s="120"/>
      <c r="ELG3" s="120"/>
      <c r="ELH3" s="120"/>
      <c r="ELI3" s="120"/>
      <c r="ELJ3" s="120"/>
      <c r="ELK3" s="120"/>
      <c r="ELL3" s="120"/>
      <c r="ELM3" s="120"/>
      <c r="ELN3" s="120"/>
      <c r="ELO3" s="120"/>
      <c r="ELP3" s="120"/>
      <c r="ELQ3" s="120"/>
      <c r="ELR3" s="120"/>
      <c r="ELS3" s="120"/>
      <c r="ELT3" s="120"/>
      <c r="ELU3" s="120"/>
      <c r="ELV3" s="120"/>
      <c r="ELW3" s="120"/>
      <c r="ELX3" s="120"/>
      <c r="ELY3" s="120"/>
      <c r="ELZ3" s="120"/>
      <c r="EMA3" s="120"/>
      <c r="EMB3" s="120"/>
      <c r="EMC3" s="120"/>
      <c r="EMD3" s="120"/>
      <c r="EME3" s="120"/>
      <c r="EMF3" s="120"/>
      <c r="EMG3" s="120"/>
      <c r="EMH3" s="120"/>
      <c r="EMI3" s="120"/>
      <c r="EMJ3" s="120"/>
      <c r="EMK3" s="120"/>
      <c r="EML3" s="120"/>
      <c r="EMM3" s="120"/>
      <c r="EMN3" s="120"/>
      <c r="EMO3" s="120"/>
      <c r="EMP3" s="120"/>
      <c r="EMQ3" s="120"/>
      <c r="EMR3" s="120"/>
      <c r="EMS3" s="120"/>
      <c r="EMT3" s="120"/>
      <c r="EMU3" s="120"/>
      <c r="EMV3" s="120"/>
      <c r="EMW3" s="120"/>
      <c r="EMX3" s="120"/>
      <c r="EMY3" s="120"/>
      <c r="EMZ3" s="120"/>
      <c r="ENA3" s="120"/>
      <c r="ENB3" s="120"/>
      <c r="ENC3" s="120"/>
      <c r="END3" s="120"/>
      <c r="ENE3" s="120"/>
      <c r="ENF3" s="120"/>
      <c r="ENG3" s="120"/>
      <c r="ENH3" s="120"/>
      <c r="ENI3" s="120"/>
      <c r="ENJ3" s="120"/>
      <c r="ENK3" s="120"/>
      <c r="ENL3" s="120"/>
      <c r="ENM3" s="120"/>
      <c r="ENN3" s="120"/>
      <c r="ENO3" s="120"/>
      <c r="ENP3" s="120"/>
      <c r="ENQ3" s="120"/>
      <c r="ENR3" s="120"/>
      <c r="ENS3" s="120"/>
      <c r="ENT3" s="120"/>
      <c r="ENU3" s="120"/>
      <c r="ENV3" s="120"/>
      <c r="ENW3" s="120"/>
      <c r="ENX3" s="120"/>
      <c r="ENY3" s="120"/>
      <c r="ENZ3" s="120"/>
      <c r="EOA3" s="120"/>
      <c r="EOB3" s="120"/>
      <c r="EOC3" s="120"/>
      <c r="EOD3" s="120"/>
      <c r="EOE3" s="120"/>
      <c r="EOF3" s="120"/>
      <c r="EOG3" s="120"/>
      <c r="EOH3" s="120"/>
      <c r="EOI3" s="120"/>
      <c r="EOJ3" s="120"/>
      <c r="EOK3" s="120"/>
      <c r="EOL3" s="120"/>
      <c r="EOM3" s="120"/>
      <c r="EON3" s="120"/>
      <c r="EOO3" s="120"/>
      <c r="EOP3" s="120"/>
      <c r="EOQ3" s="120"/>
      <c r="EOR3" s="120"/>
      <c r="EOS3" s="120"/>
      <c r="EOT3" s="120"/>
      <c r="EOU3" s="120"/>
      <c r="EOV3" s="120"/>
      <c r="EOW3" s="120"/>
      <c r="EOX3" s="120"/>
      <c r="EOY3" s="120"/>
      <c r="EOZ3" s="120"/>
      <c r="EPA3" s="120"/>
      <c r="EPB3" s="120"/>
      <c r="EPC3" s="120"/>
      <c r="EPD3" s="120"/>
      <c r="EPE3" s="120"/>
      <c r="EPF3" s="120"/>
      <c r="EPG3" s="120"/>
      <c r="EPH3" s="120"/>
      <c r="EPI3" s="120"/>
      <c r="EPJ3" s="120"/>
      <c r="EPK3" s="120"/>
      <c r="EPL3" s="120"/>
      <c r="EPM3" s="120"/>
      <c r="EPN3" s="120"/>
      <c r="EPO3" s="120"/>
      <c r="EPP3" s="120"/>
      <c r="EPQ3" s="120"/>
      <c r="EPR3" s="120"/>
      <c r="EPS3" s="120"/>
      <c r="EPT3" s="120"/>
      <c r="EPU3" s="120"/>
      <c r="EPV3" s="120"/>
      <c r="EPW3" s="120"/>
      <c r="EPX3" s="120"/>
      <c r="EPY3" s="120"/>
      <c r="EPZ3" s="120"/>
      <c r="EQA3" s="120"/>
      <c r="EQB3" s="120"/>
      <c r="EQC3" s="120"/>
      <c r="EQD3" s="120"/>
      <c r="EQE3" s="120"/>
      <c r="EQF3" s="120"/>
      <c r="EQG3" s="120"/>
      <c r="EQH3" s="120"/>
      <c r="EQI3" s="120"/>
      <c r="EQJ3" s="120"/>
      <c r="EQK3" s="120"/>
      <c r="EQL3" s="120"/>
      <c r="EQM3" s="120"/>
      <c r="EQN3" s="120"/>
      <c r="EQO3" s="120"/>
      <c r="EQP3" s="120"/>
      <c r="EQQ3" s="120"/>
      <c r="EQR3" s="120"/>
      <c r="EQS3" s="120"/>
      <c r="EQT3" s="120"/>
      <c r="EQU3" s="120"/>
      <c r="EQV3" s="120"/>
      <c r="EQW3" s="120"/>
      <c r="EQX3" s="120"/>
      <c r="EQY3" s="120"/>
      <c r="EQZ3" s="120"/>
      <c r="ERA3" s="120"/>
      <c r="ERB3" s="120"/>
      <c r="ERC3" s="120"/>
      <c r="ERD3" s="120"/>
      <c r="ERE3" s="120"/>
      <c r="ERF3" s="120"/>
      <c r="ERG3" s="120"/>
      <c r="ERH3" s="120"/>
      <c r="ERI3" s="120"/>
      <c r="ERJ3" s="120"/>
      <c r="ERK3" s="120"/>
      <c r="ERL3" s="120"/>
      <c r="ERM3" s="120"/>
      <c r="ERN3" s="120"/>
      <c r="ERO3" s="120"/>
      <c r="ERP3" s="120"/>
      <c r="ERQ3" s="120"/>
      <c r="ERR3" s="120"/>
      <c r="ERS3" s="120"/>
      <c r="ERT3" s="120"/>
      <c r="ERU3" s="120"/>
      <c r="ERV3" s="120"/>
      <c r="ERW3" s="120"/>
      <c r="ERX3" s="120"/>
      <c r="ERY3" s="120"/>
      <c r="ERZ3" s="120"/>
      <c r="ESA3" s="120"/>
      <c r="ESB3" s="120"/>
      <c r="ESC3" s="120"/>
      <c r="ESD3" s="120"/>
      <c r="ESE3" s="120"/>
      <c r="ESF3" s="120"/>
      <c r="ESG3" s="120"/>
      <c r="ESH3" s="120"/>
      <c r="ESI3" s="120"/>
      <c r="ESJ3" s="120"/>
      <c r="ESK3" s="120"/>
      <c r="ESL3" s="120"/>
      <c r="ESM3" s="120"/>
      <c r="ESN3" s="120"/>
      <c r="ESO3" s="120"/>
      <c r="ESP3" s="120"/>
      <c r="ESQ3" s="120"/>
      <c r="ESR3" s="120"/>
      <c r="ESS3" s="120"/>
      <c r="EST3" s="120"/>
      <c r="ESU3" s="120"/>
      <c r="ESV3" s="120"/>
      <c r="ESW3" s="120"/>
      <c r="ESX3" s="120"/>
      <c r="ESY3" s="120"/>
      <c r="ESZ3" s="120"/>
      <c r="ETA3" s="120"/>
      <c r="ETB3" s="120"/>
      <c r="ETC3" s="120"/>
      <c r="ETD3" s="120"/>
      <c r="ETE3" s="120"/>
      <c r="ETF3" s="120"/>
      <c r="ETG3" s="120"/>
      <c r="ETH3" s="120"/>
      <c r="ETI3" s="120"/>
      <c r="ETJ3" s="120"/>
      <c r="ETK3" s="120"/>
      <c r="ETL3" s="120"/>
      <c r="ETM3" s="120"/>
      <c r="ETN3" s="120"/>
      <c r="ETO3" s="120"/>
      <c r="ETP3" s="120"/>
      <c r="ETQ3" s="120"/>
      <c r="ETR3" s="120"/>
      <c r="ETS3" s="120"/>
      <c r="ETT3" s="120"/>
      <c r="ETU3" s="120"/>
      <c r="ETV3" s="120"/>
      <c r="ETW3" s="120"/>
      <c r="ETX3" s="120"/>
      <c r="ETY3" s="120"/>
      <c r="ETZ3" s="120"/>
      <c r="EUA3" s="120"/>
      <c r="EUB3" s="120"/>
      <c r="EUC3" s="120"/>
      <c r="EUD3" s="120"/>
      <c r="EUE3" s="120"/>
      <c r="EUF3" s="120"/>
      <c r="EUG3" s="120"/>
      <c r="EUH3" s="120"/>
      <c r="EUI3" s="120"/>
      <c r="EUJ3" s="120"/>
      <c r="EUK3" s="120"/>
      <c r="EUL3" s="120"/>
      <c r="EUM3" s="120"/>
      <c r="EUN3" s="120"/>
      <c r="EUO3" s="120"/>
      <c r="EUP3" s="120"/>
      <c r="EUQ3" s="120"/>
      <c r="EUR3" s="120"/>
      <c r="EUS3" s="120"/>
      <c r="EUT3" s="120"/>
      <c r="EUU3" s="120"/>
      <c r="EUV3" s="120"/>
      <c r="EUW3" s="120"/>
      <c r="EUX3" s="120"/>
      <c r="EUY3" s="120"/>
      <c r="EUZ3" s="120"/>
      <c r="EVA3" s="120"/>
      <c r="EVB3" s="120"/>
      <c r="EVC3" s="120"/>
      <c r="EVD3" s="120"/>
      <c r="EVE3" s="120"/>
      <c r="EVF3" s="120"/>
      <c r="EVG3" s="120"/>
      <c r="EVH3" s="120"/>
      <c r="EVI3" s="120"/>
      <c r="EVJ3" s="120"/>
      <c r="EVK3" s="120"/>
      <c r="EVL3" s="120"/>
      <c r="EVM3" s="120"/>
      <c r="EVN3" s="120"/>
      <c r="EVO3" s="120"/>
      <c r="EVP3" s="120"/>
      <c r="EVQ3" s="120"/>
      <c r="EVR3" s="120"/>
      <c r="EVS3" s="120"/>
      <c r="EVT3" s="120"/>
      <c r="EVU3" s="120"/>
      <c r="EVV3" s="120"/>
      <c r="EVW3" s="120"/>
      <c r="EVX3" s="120"/>
      <c r="EVY3" s="120"/>
      <c r="EVZ3" s="120"/>
      <c r="EWA3" s="120"/>
      <c r="EWB3" s="120"/>
      <c r="EWC3" s="120"/>
      <c r="EWD3" s="120"/>
      <c r="EWE3" s="120"/>
      <c r="EWF3" s="120"/>
      <c r="EWG3" s="120"/>
      <c r="EWH3" s="120"/>
      <c r="EWI3" s="120"/>
      <c r="EWJ3" s="120"/>
      <c r="EWK3" s="120"/>
      <c r="EWL3" s="120"/>
      <c r="EWM3" s="120"/>
      <c r="EWN3" s="120"/>
      <c r="EWO3" s="120"/>
      <c r="EWP3" s="120"/>
      <c r="EWQ3" s="120"/>
      <c r="EWR3" s="120"/>
      <c r="EWS3" s="120"/>
      <c r="EWT3" s="120"/>
      <c r="EWU3" s="120"/>
      <c r="EWV3" s="120"/>
      <c r="EWW3" s="120"/>
      <c r="EWX3" s="120"/>
      <c r="EWY3" s="120"/>
      <c r="EWZ3" s="120"/>
      <c r="EXA3" s="120"/>
      <c r="EXB3" s="120"/>
      <c r="EXC3" s="120"/>
      <c r="EXD3" s="120"/>
      <c r="EXE3" s="120"/>
      <c r="EXF3" s="120"/>
      <c r="EXG3" s="120"/>
      <c r="EXH3" s="120"/>
      <c r="EXI3" s="120"/>
      <c r="EXJ3" s="120"/>
      <c r="EXK3" s="120"/>
      <c r="EXL3" s="120"/>
      <c r="EXM3" s="120"/>
      <c r="EXN3" s="120"/>
      <c r="EXO3" s="120"/>
      <c r="EXP3" s="120"/>
      <c r="EXQ3" s="120"/>
      <c r="EXR3" s="120"/>
      <c r="EXS3" s="120"/>
      <c r="EXT3" s="120"/>
      <c r="EXU3" s="120"/>
      <c r="EXV3" s="120"/>
      <c r="EXW3" s="120"/>
      <c r="EXX3" s="120"/>
      <c r="EXY3" s="120"/>
      <c r="EXZ3" s="120"/>
      <c r="EYA3" s="120"/>
      <c r="EYB3" s="120"/>
      <c r="EYC3" s="120"/>
      <c r="EYD3" s="120"/>
      <c r="EYE3" s="120"/>
      <c r="EYF3" s="120"/>
      <c r="EYG3" s="120"/>
      <c r="EYH3" s="120"/>
      <c r="EYI3" s="120"/>
      <c r="EYJ3" s="120"/>
      <c r="EYK3" s="120"/>
      <c r="EYL3" s="120"/>
      <c r="EYM3" s="120"/>
      <c r="EYN3" s="120"/>
      <c r="EYO3" s="120"/>
      <c r="EYP3" s="120"/>
      <c r="EYQ3" s="120"/>
      <c r="EYR3" s="120"/>
      <c r="EYS3" s="120"/>
      <c r="EYT3" s="120"/>
      <c r="EYU3" s="120"/>
      <c r="EYV3" s="120"/>
      <c r="EYW3" s="120"/>
      <c r="EYX3" s="120"/>
      <c r="EYY3" s="120"/>
      <c r="EYZ3" s="120"/>
      <c r="EZA3" s="120"/>
      <c r="EZB3" s="120"/>
      <c r="EZC3" s="120"/>
      <c r="EZD3" s="120"/>
      <c r="EZE3" s="120"/>
      <c r="EZF3" s="120"/>
      <c r="EZG3" s="120"/>
      <c r="EZH3" s="120"/>
      <c r="EZI3" s="120"/>
      <c r="EZJ3" s="120"/>
      <c r="EZK3" s="120"/>
      <c r="EZL3" s="120"/>
      <c r="EZM3" s="120"/>
      <c r="EZN3" s="120"/>
      <c r="EZO3" s="120"/>
      <c r="EZP3" s="120"/>
      <c r="EZQ3" s="120"/>
      <c r="EZR3" s="120"/>
      <c r="EZS3" s="120"/>
      <c r="EZT3" s="120"/>
      <c r="EZU3" s="120"/>
      <c r="EZV3" s="120"/>
      <c r="EZW3" s="120"/>
      <c r="EZX3" s="120"/>
      <c r="EZY3" s="120"/>
      <c r="EZZ3" s="120"/>
      <c r="FAA3" s="120"/>
      <c r="FAB3" s="120"/>
      <c r="FAC3" s="120"/>
      <c r="FAD3" s="120"/>
      <c r="FAE3" s="120"/>
      <c r="FAF3" s="120"/>
      <c r="FAG3" s="120"/>
      <c r="FAH3" s="120"/>
      <c r="FAI3" s="120"/>
      <c r="FAJ3" s="120"/>
      <c r="FAK3" s="120"/>
      <c r="FAL3" s="120"/>
      <c r="FAM3" s="120"/>
      <c r="FAN3" s="120"/>
      <c r="FAO3" s="120"/>
      <c r="FAP3" s="120"/>
      <c r="FAQ3" s="120"/>
      <c r="FAR3" s="120"/>
      <c r="FAS3" s="120"/>
      <c r="FAT3" s="120"/>
      <c r="FAU3" s="120"/>
      <c r="FAV3" s="120"/>
      <c r="FAW3" s="120"/>
      <c r="FAX3" s="120"/>
      <c r="FAY3" s="120"/>
      <c r="FAZ3" s="120"/>
      <c r="FBA3" s="120"/>
      <c r="FBB3" s="120"/>
      <c r="FBC3" s="120"/>
      <c r="FBD3" s="120"/>
      <c r="FBE3" s="120"/>
      <c r="FBF3" s="120"/>
      <c r="FBG3" s="120"/>
      <c r="FBH3" s="120"/>
      <c r="FBI3" s="120"/>
      <c r="FBJ3" s="120"/>
      <c r="FBK3" s="120"/>
      <c r="FBL3" s="120"/>
      <c r="FBM3" s="120"/>
      <c r="FBN3" s="120"/>
      <c r="FBO3" s="120"/>
      <c r="FBP3" s="120"/>
      <c r="FBQ3" s="120"/>
      <c r="FBR3" s="120"/>
      <c r="FBS3" s="120"/>
      <c r="FBT3" s="120"/>
      <c r="FBU3" s="120"/>
      <c r="FBV3" s="120"/>
      <c r="FBW3" s="120"/>
      <c r="FBX3" s="120"/>
      <c r="FBY3" s="120"/>
      <c r="FBZ3" s="120"/>
      <c r="FCA3" s="120"/>
      <c r="FCB3" s="120"/>
      <c r="FCC3" s="120"/>
      <c r="FCD3" s="120"/>
      <c r="FCE3" s="120"/>
      <c r="FCF3" s="120"/>
      <c r="FCG3" s="120"/>
      <c r="FCH3" s="120"/>
      <c r="FCI3" s="120"/>
      <c r="FCJ3" s="120"/>
      <c r="FCK3" s="120"/>
      <c r="FCL3" s="120"/>
      <c r="FCM3" s="120"/>
      <c r="FCN3" s="120"/>
      <c r="FCO3" s="120"/>
      <c r="FCP3" s="120"/>
      <c r="FCQ3" s="120"/>
      <c r="FCR3" s="120"/>
      <c r="FCS3" s="120"/>
      <c r="FCT3" s="120"/>
      <c r="FCU3" s="120"/>
      <c r="FCV3" s="120"/>
      <c r="FCW3" s="120"/>
      <c r="FCX3" s="120"/>
      <c r="FCY3" s="120"/>
      <c r="FCZ3" s="120"/>
      <c r="FDA3" s="120"/>
      <c r="FDB3" s="120"/>
      <c r="FDC3" s="120"/>
      <c r="FDD3" s="120"/>
      <c r="FDE3" s="120"/>
      <c r="FDF3" s="120"/>
      <c r="FDG3" s="120"/>
      <c r="FDH3" s="120"/>
      <c r="FDI3" s="120"/>
      <c r="FDJ3" s="120"/>
      <c r="FDK3" s="120"/>
      <c r="FDL3" s="120"/>
      <c r="FDM3" s="120"/>
      <c r="FDN3" s="120"/>
      <c r="FDO3" s="120"/>
      <c r="FDP3" s="120"/>
      <c r="FDQ3" s="120"/>
      <c r="FDR3" s="120"/>
      <c r="FDS3" s="120"/>
      <c r="FDT3" s="120"/>
      <c r="FDU3" s="120"/>
      <c r="FDV3" s="120"/>
      <c r="FDW3" s="120"/>
      <c r="FDX3" s="120"/>
      <c r="FDY3" s="120"/>
      <c r="FDZ3" s="120"/>
      <c r="FEA3" s="120"/>
      <c r="FEB3" s="120"/>
      <c r="FEC3" s="120"/>
      <c r="FED3" s="120"/>
      <c r="FEE3" s="120"/>
      <c r="FEF3" s="120"/>
      <c r="FEG3" s="120"/>
      <c r="FEH3" s="120"/>
      <c r="FEI3" s="120"/>
      <c r="FEJ3" s="120"/>
      <c r="FEK3" s="120"/>
      <c r="FEL3" s="120"/>
      <c r="FEM3" s="120"/>
      <c r="FEN3" s="120"/>
      <c r="FEO3" s="120"/>
      <c r="FEP3" s="120"/>
      <c r="FEQ3" s="120"/>
      <c r="FER3" s="120"/>
      <c r="FES3" s="120"/>
      <c r="FET3" s="120"/>
      <c r="FEU3" s="120"/>
      <c r="FEV3" s="120"/>
      <c r="FEW3" s="120"/>
      <c r="FEX3" s="120"/>
      <c r="FEY3" s="120"/>
      <c r="FEZ3" s="120"/>
      <c r="FFA3" s="120"/>
      <c r="FFB3" s="120"/>
      <c r="FFC3" s="120"/>
      <c r="FFD3" s="120"/>
      <c r="FFE3" s="120"/>
      <c r="FFF3" s="120"/>
      <c r="FFG3" s="120"/>
      <c r="FFH3" s="120"/>
      <c r="FFI3" s="120"/>
      <c r="FFJ3" s="120"/>
      <c r="FFK3" s="120"/>
      <c r="FFL3" s="120"/>
      <c r="FFM3" s="120"/>
      <c r="FFN3" s="120"/>
      <c r="FFO3" s="120"/>
      <c r="FFP3" s="120"/>
      <c r="FFQ3" s="120"/>
      <c r="FFR3" s="120"/>
      <c r="FFS3" s="120"/>
      <c r="FFT3" s="120"/>
      <c r="FFU3" s="120"/>
      <c r="FFV3" s="120"/>
      <c r="FFW3" s="120"/>
      <c r="FFX3" s="120"/>
      <c r="FFY3" s="120"/>
      <c r="FFZ3" s="120"/>
      <c r="FGA3" s="120"/>
      <c r="FGB3" s="120"/>
      <c r="FGC3" s="120"/>
      <c r="FGD3" s="120"/>
      <c r="FGE3" s="120"/>
      <c r="FGF3" s="120"/>
      <c r="FGG3" s="120"/>
      <c r="FGH3" s="120"/>
      <c r="FGI3" s="120"/>
      <c r="FGJ3" s="120"/>
      <c r="FGK3" s="120"/>
      <c r="FGL3" s="120"/>
      <c r="FGM3" s="120"/>
      <c r="FGN3" s="120"/>
      <c r="FGO3" s="120"/>
      <c r="FGP3" s="120"/>
      <c r="FGQ3" s="120"/>
      <c r="FGR3" s="120"/>
      <c r="FGS3" s="120"/>
      <c r="FGT3" s="120"/>
      <c r="FGU3" s="120"/>
      <c r="FGV3" s="120"/>
      <c r="FGW3" s="120"/>
      <c r="FGX3" s="120"/>
      <c r="FGY3" s="120"/>
      <c r="FGZ3" s="120"/>
      <c r="FHA3" s="120"/>
      <c r="FHB3" s="120"/>
      <c r="FHC3" s="120"/>
      <c r="FHD3" s="120"/>
      <c r="FHE3" s="120"/>
      <c r="FHF3" s="120"/>
      <c r="FHG3" s="120"/>
      <c r="FHH3" s="120"/>
      <c r="FHI3" s="120"/>
      <c r="FHJ3" s="120"/>
      <c r="FHK3" s="120"/>
      <c r="FHL3" s="120"/>
      <c r="FHM3" s="120"/>
      <c r="FHN3" s="120"/>
      <c r="FHO3" s="120"/>
      <c r="FHP3" s="120"/>
      <c r="FHQ3" s="120"/>
      <c r="FHR3" s="120"/>
      <c r="FHS3" s="120"/>
      <c r="FHT3" s="120"/>
      <c r="FHU3" s="120"/>
      <c r="FHV3" s="120"/>
      <c r="FHW3" s="120"/>
      <c r="FHX3" s="120"/>
      <c r="FHY3" s="120"/>
      <c r="FHZ3" s="120"/>
      <c r="FIA3" s="120"/>
      <c r="FIB3" s="120"/>
      <c r="FIC3" s="120"/>
      <c r="FID3" s="120"/>
      <c r="FIE3" s="120"/>
      <c r="FIF3" s="120"/>
      <c r="FIG3" s="120"/>
      <c r="FIH3" s="120"/>
      <c r="FII3" s="120"/>
      <c r="FIJ3" s="120"/>
      <c r="FIK3" s="120"/>
      <c r="FIL3" s="120"/>
      <c r="FIM3" s="120"/>
      <c r="FIN3" s="120"/>
      <c r="FIO3" s="120"/>
      <c r="FIP3" s="120"/>
      <c r="FIQ3" s="120"/>
      <c r="FIR3" s="120"/>
      <c r="FIS3" s="120"/>
      <c r="FIT3" s="120"/>
      <c r="FIU3" s="120"/>
      <c r="FIV3" s="120"/>
      <c r="FIW3" s="120"/>
      <c r="FIX3" s="120"/>
      <c r="FIY3" s="120"/>
      <c r="FIZ3" s="120"/>
      <c r="FJA3" s="120"/>
      <c r="FJB3" s="120"/>
      <c r="FJC3" s="120"/>
      <c r="FJD3" s="120"/>
      <c r="FJE3" s="120"/>
      <c r="FJF3" s="120"/>
      <c r="FJG3" s="120"/>
      <c r="FJH3" s="120"/>
      <c r="FJI3" s="120"/>
      <c r="FJJ3" s="120"/>
      <c r="FJK3" s="120"/>
      <c r="FJL3" s="120"/>
      <c r="FJM3" s="120"/>
      <c r="FJN3" s="120"/>
      <c r="FJO3" s="120"/>
      <c r="FJP3" s="120"/>
      <c r="FJQ3" s="120"/>
      <c r="FJR3" s="120"/>
      <c r="FJS3" s="120"/>
      <c r="FJT3" s="120"/>
      <c r="FJU3" s="120"/>
      <c r="FJV3" s="120"/>
      <c r="FJW3" s="120"/>
      <c r="FJX3" s="120"/>
      <c r="FJY3" s="120"/>
      <c r="FJZ3" s="120"/>
      <c r="FKA3" s="120"/>
      <c r="FKB3" s="120"/>
      <c r="FKC3" s="120"/>
      <c r="FKD3" s="120"/>
      <c r="FKE3" s="120"/>
      <c r="FKF3" s="120"/>
      <c r="FKG3" s="120"/>
      <c r="FKH3" s="120"/>
      <c r="FKI3" s="120"/>
      <c r="FKJ3" s="120"/>
      <c r="FKK3" s="120"/>
      <c r="FKL3" s="120"/>
      <c r="FKM3" s="120"/>
      <c r="FKN3" s="120"/>
      <c r="FKO3" s="120"/>
      <c r="FKP3" s="120"/>
      <c r="FKQ3" s="120"/>
      <c r="FKR3" s="120"/>
      <c r="FKS3" s="120"/>
      <c r="FKT3" s="120"/>
      <c r="FKU3" s="120"/>
      <c r="FKV3" s="120"/>
      <c r="FKW3" s="120"/>
      <c r="FKX3" s="120"/>
      <c r="FKY3" s="120"/>
      <c r="FKZ3" s="120"/>
      <c r="FLA3" s="120"/>
      <c r="FLB3" s="120"/>
      <c r="FLC3" s="120"/>
      <c r="FLD3" s="120"/>
      <c r="FLE3" s="120"/>
      <c r="FLF3" s="120"/>
      <c r="FLG3" s="120"/>
      <c r="FLH3" s="120"/>
      <c r="FLI3" s="120"/>
      <c r="FLJ3" s="120"/>
      <c r="FLK3" s="120"/>
      <c r="FLL3" s="120"/>
      <c r="FLM3" s="120"/>
      <c r="FLN3" s="120"/>
      <c r="FLO3" s="120"/>
      <c r="FLP3" s="120"/>
      <c r="FLQ3" s="120"/>
      <c r="FLR3" s="120"/>
      <c r="FLS3" s="120"/>
      <c r="FLT3" s="120"/>
      <c r="FLU3" s="120"/>
      <c r="FLV3" s="120"/>
      <c r="FLW3" s="120"/>
      <c r="FLX3" s="120"/>
      <c r="FLY3" s="120"/>
      <c r="FLZ3" s="120"/>
      <c r="FMA3" s="120"/>
      <c r="FMB3" s="120"/>
      <c r="FMC3" s="120"/>
      <c r="FMD3" s="120"/>
      <c r="FME3" s="120"/>
      <c r="FMF3" s="120"/>
      <c r="FMG3" s="120"/>
      <c r="FMH3" s="120"/>
      <c r="FMI3" s="120"/>
      <c r="FMJ3" s="120"/>
      <c r="FMK3" s="120"/>
      <c r="FML3" s="120"/>
      <c r="FMM3" s="120"/>
      <c r="FMN3" s="120"/>
      <c r="FMO3" s="120"/>
      <c r="FMP3" s="120"/>
      <c r="FMQ3" s="120"/>
      <c r="FMR3" s="120"/>
      <c r="FMS3" s="120"/>
      <c r="FMT3" s="120"/>
      <c r="FMU3" s="120"/>
      <c r="FMV3" s="120"/>
      <c r="FMW3" s="120"/>
      <c r="FMX3" s="120"/>
      <c r="FMY3" s="120"/>
      <c r="FMZ3" s="120"/>
      <c r="FNA3" s="120"/>
      <c r="FNB3" s="120"/>
      <c r="FNC3" s="120"/>
      <c r="FND3" s="120"/>
      <c r="FNE3" s="120"/>
      <c r="FNF3" s="120"/>
      <c r="FNG3" s="120"/>
      <c r="FNH3" s="120"/>
      <c r="FNI3" s="120"/>
      <c r="FNJ3" s="120"/>
      <c r="FNK3" s="120"/>
      <c r="FNL3" s="120"/>
      <c r="FNM3" s="120"/>
      <c r="FNN3" s="120"/>
      <c r="FNO3" s="120"/>
      <c r="FNP3" s="120"/>
      <c r="FNQ3" s="120"/>
      <c r="FNR3" s="120"/>
      <c r="FNS3" s="120"/>
      <c r="FNT3" s="120"/>
      <c r="FNU3" s="120"/>
      <c r="FNV3" s="120"/>
      <c r="FNW3" s="120"/>
      <c r="FNX3" s="120"/>
      <c r="FNY3" s="120"/>
      <c r="FNZ3" s="120"/>
      <c r="FOA3" s="120"/>
      <c r="FOB3" s="120"/>
      <c r="FOC3" s="120"/>
      <c r="FOD3" s="120"/>
      <c r="FOE3" s="120"/>
      <c r="FOF3" s="120"/>
      <c r="FOG3" s="120"/>
      <c r="FOH3" s="120"/>
      <c r="FOI3" s="120"/>
      <c r="FOJ3" s="120"/>
      <c r="FOK3" s="120"/>
      <c r="FOL3" s="120"/>
      <c r="FOM3" s="120"/>
      <c r="FON3" s="120"/>
      <c r="FOO3" s="120"/>
      <c r="FOP3" s="120"/>
      <c r="FOQ3" s="120"/>
      <c r="FOR3" s="120"/>
      <c r="FOS3" s="120"/>
      <c r="FOT3" s="120"/>
      <c r="FOU3" s="120"/>
      <c r="FOV3" s="120"/>
      <c r="FOW3" s="120"/>
      <c r="FOX3" s="120"/>
      <c r="FOY3" s="120"/>
      <c r="FOZ3" s="120"/>
      <c r="FPA3" s="120"/>
      <c r="FPB3" s="120"/>
      <c r="FPC3" s="120"/>
      <c r="FPD3" s="120"/>
      <c r="FPE3" s="120"/>
      <c r="FPF3" s="120"/>
      <c r="FPG3" s="120"/>
      <c r="FPH3" s="120"/>
      <c r="FPI3" s="120"/>
      <c r="FPJ3" s="120"/>
      <c r="FPK3" s="120"/>
      <c r="FPL3" s="120"/>
      <c r="FPM3" s="120"/>
      <c r="FPN3" s="120"/>
      <c r="FPO3" s="120"/>
      <c r="FPP3" s="120"/>
      <c r="FPQ3" s="120"/>
      <c r="FPR3" s="120"/>
      <c r="FPS3" s="120"/>
      <c r="FPT3" s="120"/>
      <c r="FPU3" s="120"/>
      <c r="FPV3" s="120"/>
      <c r="FPW3" s="120"/>
      <c r="FPX3" s="120"/>
      <c r="FPY3" s="120"/>
      <c r="FPZ3" s="120"/>
      <c r="FQA3" s="120"/>
      <c r="FQB3" s="120"/>
      <c r="FQC3" s="120"/>
      <c r="FQD3" s="120"/>
      <c r="FQE3" s="120"/>
      <c r="FQF3" s="120"/>
      <c r="FQG3" s="120"/>
      <c r="FQH3" s="120"/>
      <c r="FQI3" s="120"/>
      <c r="FQJ3" s="120"/>
      <c r="FQK3" s="120"/>
      <c r="FQL3" s="120"/>
      <c r="FQM3" s="120"/>
      <c r="FQN3" s="120"/>
      <c r="FQO3" s="120"/>
      <c r="FQP3" s="120"/>
      <c r="FQQ3" s="120"/>
      <c r="FQR3" s="120"/>
      <c r="FQS3" s="120"/>
      <c r="FQT3" s="120"/>
      <c r="FQU3" s="120"/>
      <c r="FQV3" s="120"/>
      <c r="FQW3" s="120"/>
      <c r="FQX3" s="120"/>
      <c r="FQY3" s="120"/>
      <c r="FQZ3" s="120"/>
      <c r="FRA3" s="120"/>
      <c r="FRB3" s="120"/>
      <c r="FRC3" s="120"/>
      <c r="FRD3" s="120"/>
      <c r="FRE3" s="120"/>
      <c r="FRF3" s="120"/>
      <c r="FRG3" s="120"/>
      <c r="FRH3" s="120"/>
      <c r="FRI3" s="120"/>
      <c r="FRJ3" s="120"/>
      <c r="FRK3" s="120"/>
      <c r="FRL3" s="120"/>
      <c r="FRM3" s="120"/>
      <c r="FRN3" s="120"/>
      <c r="FRO3" s="120"/>
      <c r="FRP3" s="120"/>
      <c r="FRQ3" s="120"/>
      <c r="FRR3" s="120"/>
      <c r="FRS3" s="120"/>
      <c r="FRT3" s="120"/>
      <c r="FRU3" s="120"/>
      <c r="FRV3" s="120"/>
      <c r="FRW3" s="120"/>
      <c r="FRX3" s="120"/>
      <c r="FRY3" s="120"/>
      <c r="FRZ3" s="120"/>
      <c r="FSA3" s="120"/>
      <c r="FSB3" s="120"/>
      <c r="FSC3" s="120"/>
      <c r="FSD3" s="120"/>
      <c r="FSE3" s="120"/>
      <c r="FSF3" s="120"/>
      <c r="FSG3" s="120"/>
      <c r="FSH3" s="120"/>
      <c r="FSI3" s="120"/>
      <c r="FSJ3" s="120"/>
      <c r="FSK3" s="120"/>
      <c r="FSL3" s="120"/>
      <c r="FSM3" s="120"/>
      <c r="FSN3" s="120"/>
      <c r="FSO3" s="120"/>
      <c r="FSP3" s="120"/>
      <c r="FSQ3" s="120"/>
      <c r="FSR3" s="120"/>
      <c r="FSS3" s="120"/>
      <c r="FST3" s="120"/>
      <c r="FSU3" s="120"/>
      <c r="FSV3" s="120"/>
      <c r="FSW3" s="120"/>
      <c r="FSX3" s="120"/>
      <c r="FSY3" s="120"/>
      <c r="FSZ3" s="120"/>
      <c r="FTA3" s="120"/>
      <c r="FTB3" s="120"/>
      <c r="FTC3" s="120"/>
      <c r="FTD3" s="120"/>
      <c r="FTE3" s="120"/>
      <c r="FTF3" s="120"/>
      <c r="FTG3" s="120"/>
      <c r="FTH3" s="120"/>
      <c r="FTI3" s="120"/>
      <c r="FTJ3" s="120"/>
      <c r="FTK3" s="120"/>
      <c r="FTL3" s="120"/>
      <c r="FTM3" s="120"/>
      <c r="FTN3" s="120"/>
      <c r="FTO3" s="120"/>
      <c r="FTP3" s="120"/>
      <c r="FTQ3" s="120"/>
      <c r="FTR3" s="120"/>
      <c r="FTS3" s="120"/>
      <c r="FTT3" s="120"/>
      <c r="FTU3" s="120"/>
      <c r="FTV3" s="120"/>
      <c r="FTW3" s="120"/>
      <c r="FTX3" s="120"/>
      <c r="FTY3" s="120"/>
      <c r="FTZ3" s="120"/>
      <c r="FUA3" s="120"/>
      <c r="FUB3" s="120"/>
      <c r="FUC3" s="120"/>
      <c r="FUD3" s="120"/>
      <c r="FUE3" s="120"/>
      <c r="FUF3" s="120"/>
      <c r="FUG3" s="120"/>
      <c r="FUH3" s="120"/>
      <c r="FUI3" s="120"/>
      <c r="FUJ3" s="120"/>
      <c r="FUK3" s="120"/>
      <c r="FUL3" s="120"/>
      <c r="FUM3" s="120"/>
      <c r="FUN3" s="120"/>
      <c r="FUO3" s="120"/>
      <c r="FUP3" s="120"/>
      <c r="FUQ3" s="120"/>
      <c r="FUR3" s="120"/>
      <c r="FUS3" s="120"/>
      <c r="FUT3" s="120"/>
      <c r="FUU3" s="120"/>
      <c r="FUV3" s="120"/>
      <c r="FUW3" s="120"/>
      <c r="FUX3" s="120"/>
      <c r="FUY3" s="120"/>
      <c r="FUZ3" s="120"/>
      <c r="FVA3" s="120"/>
      <c r="FVB3" s="120"/>
      <c r="FVC3" s="120"/>
      <c r="FVD3" s="120"/>
      <c r="FVE3" s="120"/>
      <c r="FVF3" s="120"/>
      <c r="FVG3" s="120"/>
      <c r="FVH3" s="120"/>
      <c r="FVI3" s="120"/>
      <c r="FVJ3" s="120"/>
      <c r="FVK3" s="120"/>
      <c r="FVL3" s="120"/>
      <c r="FVM3" s="120"/>
      <c r="FVN3" s="120"/>
      <c r="FVO3" s="120"/>
      <c r="FVP3" s="120"/>
      <c r="FVQ3" s="120"/>
      <c r="FVR3" s="120"/>
      <c r="FVS3" s="120"/>
      <c r="FVT3" s="120"/>
      <c r="FVU3" s="120"/>
      <c r="FVV3" s="120"/>
      <c r="FVW3" s="120"/>
      <c r="FVX3" s="120"/>
      <c r="FVY3" s="120"/>
      <c r="FVZ3" s="120"/>
      <c r="FWA3" s="120"/>
      <c r="FWB3" s="120"/>
      <c r="FWC3" s="120"/>
      <c r="FWD3" s="120"/>
      <c r="FWE3" s="120"/>
      <c r="FWF3" s="120"/>
      <c r="FWG3" s="120"/>
      <c r="FWH3" s="120"/>
      <c r="FWI3" s="120"/>
      <c r="FWJ3" s="120"/>
      <c r="FWK3" s="120"/>
      <c r="FWL3" s="120"/>
      <c r="FWM3" s="120"/>
      <c r="FWN3" s="120"/>
      <c r="FWO3" s="120"/>
      <c r="FWP3" s="120"/>
      <c r="FWQ3" s="120"/>
      <c r="FWR3" s="120"/>
      <c r="FWS3" s="120"/>
      <c r="FWT3" s="120"/>
      <c r="FWU3" s="120"/>
      <c r="FWV3" s="120"/>
      <c r="FWW3" s="120"/>
      <c r="FWX3" s="120"/>
      <c r="FWY3" s="120"/>
      <c r="FWZ3" s="120"/>
      <c r="FXA3" s="120"/>
      <c r="FXB3" s="120"/>
      <c r="FXC3" s="120"/>
      <c r="FXD3" s="120"/>
      <c r="FXE3" s="120"/>
      <c r="FXF3" s="120"/>
      <c r="FXG3" s="120"/>
      <c r="FXH3" s="120"/>
      <c r="FXI3" s="120"/>
      <c r="FXJ3" s="120"/>
      <c r="FXK3" s="120"/>
      <c r="FXL3" s="120"/>
      <c r="FXM3" s="120"/>
      <c r="FXN3" s="120"/>
      <c r="FXO3" s="120"/>
      <c r="FXP3" s="120"/>
      <c r="FXQ3" s="120"/>
      <c r="FXR3" s="120"/>
      <c r="FXS3" s="120"/>
      <c r="FXT3" s="120"/>
      <c r="FXU3" s="120"/>
      <c r="FXV3" s="120"/>
      <c r="FXW3" s="120"/>
      <c r="FXX3" s="120"/>
      <c r="FXY3" s="120"/>
      <c r="FXZ3" s="120"/>
      <c r="FYA3" s="120"/>
      <c r="FYB3" s="120"/>
      <c r="FYC3" s="120"/>
      <c r="FYD3" s="120"/>
      <c r="FYE3" s="120"/>
      <c r="FYF3" s="120"/>
      <c r="FYG3" s="120"/>
      <c r="FYH3" s="120"/>
      <c r="FYI3" s="120"/>
      <c r="FYJ3" s="120"/>
      <c r="FYK3" s="120"/>
      <c r="FYL3" s="120"/>
      <c r="FYM3" s="120"/>
      <c r="FYN3" s="120"/>
      <c r="FYO3" s="120"/>
      <c r="FYP3" s="120"/>
      <c r="FYQ3" s="120"/>
      <c r="FYR3" s="120"/>
      <c r="FYS3" s="120"/>
      <c r="FYT3" s="120"/>
      <c r="FYU3" s="120"/>
      <c r="FYV3" s="120"/>
      <c r="FYW3" s="120"/>
      <c r="FYX3" s="120"/>
      <c r="FYY3" s="120"/>
      <c r="FYZ3" s="120"/>
      <c r="FZA3" s="120"/>
      <c r="FZB3" s="120"/>
      <c r="FZC3" s="120"/>
      <c r="FZD3" s="120"/>
      <c r="FZE3" s="120"/>
      <c r="FZF3" s="120"/>
      <c r="FZG3" s="120"/>
      <c r="FZH3" s="120"/>
      <c r="FZI3" s="120"/>
      <c r="FZJ3" s="120"/>
      <c r="FZK3" s="120"/>
      <c r="FZL3" s="120"/>
      <c r="FZM3" s="120"/>
      <c r="FZN3" s="120"/>
      <c r="FZO3" s="120"/>
      <c r="FZP3" s="120"/>
      <c r="FZQ3" s="120"/>
      <c r="FZR3" s="120"/>
      <c r="FZS3" s="120"/>
      <c r="FZT3" s="120"/>
      <c r="FZU3" s="120"/>
      <c r="FZV3" s="120"/>
      <c r="FZW3" s="120"/>
      <c r="FZX3" s="120"/>
      <c r="FZY3" s="120"/>
      <c r="FZZ3" s="120"/>
      <c r="GAA3" s="120"/>
      <c r="GAB3" s="120"/>
      <c r="GAC3" s="120"/>
      <c r="GAD3" s="120"/>
      <c r="GAE3" s="120"/>
      <c r="GAF3" s="120"/>
      <c r="GAG3" s="120"/>
      <c r="GAH3" s="120"/>
      <c r="GAI3" s="120"/>
      <c r="GAJ3" s="120"/>
      <c r="GAK3" s="120"/>
      <c r="GAL3" s="120"/>
      <c r="GAM3" s="120"/>
      <c r="GAN3" s="120"/>
      <c r="GAO3" s="120"/>
      <c r="GAP3" s="120"/>
      <c r="GAQ3" s="120"/>
      <c r="GAR3" s="120"/>
      <c r="GAS3" s="120"/>
      <c r="GAT3" s="120"/>
      <c r="GAU3" s="120"/>
      <c r="GAV3" s="120"/>
      <c r="GAW3" s="120"/>
      <c r="GAX3" s="120"/>
      <c r="GAY3" s="120"/>
      <c r="GAZ3" s="120"/>
      <c r="GBA3" s="120"/>
      <c r="GBB3" s="120"/>
      <c r="GBC3" s="120"/>
      <c r="GBD3" s="120"/>
      <c r="GBE3" s="120"/>
      <c r="GBF3" s="120"/>
      <c r="GBG3" s="120"/>
      <c r="GBH3" s="120"/>
      <c r="GBI3" s="120"/>
      <c r="GBJ3" s="120"/>
      <c r="GBK3" s="120"/>
      <c r="GBL3" s="120"/>
      <c r="GBM3" s="120"/>
      <c r="GBN3" s="120"/>
      <c r="GBO3" s="120"/>
      <c r="GBP3" s="120"/>
      <c r="GBQ3" s="120"/>
      <c r="GBR3" s="120"/>
      <c r="GBS3" s="120"/>
      <c r="GBT3" s="120"/>
      <c r="GBU3" s="120"/>
      <c r="GBV3" s="120"/>
      <c r="GBW3" s="120"/>
      <c r="GBX3" s="120"/>
      <c r="GBY3" s="120"/>
      <c r="GBZ3" s="120"/>
      <c r="GCA3" s="120"/>
      <c r="GCB3" s="120"/>
      <c r="GCC3" s="120"/>
      <c r="GCD3" s="120"/>
      <c r="GCE3" s="120"/>
      <c r="GCF3" s="120"/>
      <c r="GCG3" s="120"/>
      <c r="GCH3" s="120"/>
      <c r="GCI3" s="120"/>
      <c r="GCJ3" s="120"/>
      <c r="GCK3" s="120"/>
      <c r="GCL3" s="120"/>
      <c r="GCM3" s="120"/>
      <c r="GCN3" s="120"/>
      <c r="GCO3" s="120"/>
      <c r="GCP3" s="120"/>
      <c r="GCQ3" s="120"/>
      <c r="GCR3" s="120"/>
      <c r="GCS3" s="120"/>
      <c r="GCT3" s="120"/>
      <c r="GCU3" s="120"/>
      <c r="GCV3" s="120"/>
      <c r="GCW3" s="120"/>
      <c r="GCX3" s="120"/>
      <c r="GCY3" s="120"/>
      <c r="GCZ3" s="120"/>
      <c r="GDA3" s="120"/>
      <c r="GDB3" s="120"/>
      <c r="GDC3" s="120"/>
      <c r="GDD3" s="120"/>
      <c r="GDE3" s="120"/>
      <c r="GDF3" s="120"/>
      <c r="GDG3" s="120"/>
      <c r="GDH3" s="120"/>
      <c r="GDI3" s="120"/>
      <c r="GDJ3" s="120"/>
      <c r="GDK3" s="120"/>
      <c r="GDL3" s="120"/>
      <c r="GDM3" s="120"/>
      <c r="GDN3" s="120"/>
      <c r="GDO3" s="120"/>
      <c r="GDP3" s="120"/>
      <c r="GDQ3" s="120"/>
      <c r="GDR3" s="120"/>
      <c r="GDS3" s="120"/>
      <c r="GDT3" s="120"/>
      <c r="GDU3" s="120"/>
      <c r="GDV3" s="120"/>
      <c r="GDW3" s="120"/>
      <c r="GDX3" s="120"/>
      <c r="GDY3" s="120"/>
      <c r="GDZ3" s="120"/>
      <c r="GEA3" s="120"/>
      <c r="GEB3" s="120"/>
      <c r="GEC3" s="120"/>
      <c r="GED3" s="120"/>
      <c r="GEE3" s="120"/>
      <c r="GEF3" s="120"/>
      <c r="GEG3" s="120"/>
      <c r="GEH3" s="120"/>
      <c r="GEI3" s="120"/>
      <c r="GEJ3" s="120"/>
      <c r="GEK3" s="120"/>
      <c r="GEL3" s="120"/>
      <c r="GEM3" s="120"/>
      <c r="GEN3" s="120"/>
      <c r="GEO3" s="120"/>
      <c r="GEP3" s="120"/>
      <c r="GEQ3" s="120"/>
      <c r="GER3" s="120"/>
      <c r="GES3" s="120"/>
      <c r="GET3" s="120"/>
      <c r="GEU3" s="120"/>
      <c r="GEV3" s="120"/>
      <c r="GEW3" s="120"/>
      <c r="GEX3" s="120"/>
      <c r="GEY3" s="120"/>
      <c r="GEZ3" s="120"/>
      <c r="GFA3" s="120"/>
      <c r="GFB3" s="120"/>
      <c r="GFC3" s="120"/>
      <c r="GFD3" s="120"/>
      <c r="GFE3" s="120"/>
      <c r="GFF3" s="120"/>
      <c r="GFG3" s="120"/>
      <c r="GFH3" s="120"/>
      <c r="GFI3" s="120"/>
      <c r="GFJ3" s="120"/>
      <c r="GFK3" s="120"/>
      <c r="GFL3" s="120"/>
      <c r="GFM3" s="120"/>
      <c r="GFN3" s="120"/>
      <c r="GFO3" s="120"/>
      <c r="GFP3" s="120"/>
      <c r="GFQ3" s="120"/>
      <c r="GFR3" s="120"/>
      <c r="GFS3" s="120"/>
      <c r="GFT3" s="120"/>
      <c r="GFU3" s="120"/>
      <c r="GFV3" s="120"/>
      <c r="GFW3" s="120"/>
      <c r="GFX3" s="120"/>
      <c r="GFY3" s="120"/>
      <c r="GFZ3" s="120"/>
      <c r="GGA3" s="120"/>
      <c r="GGB3" s="120"/>
      <c r="GGC3" s="120"/>
      <c r="GGD3" s="120"/>
      <c r="GGE3" s="120"/>
      <c r="GGF3" s="120"/>
      <c r="GGG3" s="120"/>
      <c r="GGH3" s="120"/>
      <c r="GGI3" s="120"/>
      <c r="GGJ3" s="120"/>
      <c r="GGK3" s="120"/>
      <c r="GGL3" s="120"/>
      <c r="GGM3" s="120"/>
      <c r="GGN3" s="120"/>
      <c r="GGO3" s="120"/>
      <c r="GGP3" s="120"/>
      <c r="GGQ3" s="120"/>
      <c r="GGR3" s="120"/>
      <c r="GGS3" s="120"/>
      <c r="GGT3" s="120"/>
      <c r="GGU3" s="120"/>
      <c r="GGV3" s="120"/>
      <c r="GGW3" s="120"/>
      <c r="GGX3" s="120"/>
      <c r="GGY3" s="120"/>
      <c r="GGZ3" s="120"/>
      <c r="GHA3" s="120"/>
      <c r="GHB3" s="120"/>
      <c r="GHC3" s="120"/>
      <c r="GHD3" s="120"/>
      <c r="GHE3" s="120"/>
      <c r="GHF3" s="120"/>
      <c r="GHG3" s="120"/>
      <c r="GHH3" s="120"/>
      <c r="GHI3" s="120"/>
      <c r="GHJ3" s="120"/>
      <c r="GHK3" s="120"/>
      <c r="GHL3" s="120"/>
      <c r="GHM3" s="120"/>
      <c r="GHN3" s="120"/>
      <c r="GHO3" s="120"/>
      <c r="GHP3" s="120"/>
      <c r="GHQ3" s="120"/>
      <c r="GHR3" s="120"/>
      <c r="GHS3" s="120"/>
      <c r="GHT3" s="120"/>
      <c r="GHU3" s="120"/>
      <c r="GHV3" s="120"/>
      <c r="GHW3" s="120"/>
      <c r="GHX3" s="120"/>
      <c r="GHY3" s="120"/>
      <c r="GHZ3" s="120"/>
      <c r="GIA3" s="120"/>
      <c r="GIB3" s="120"/>
      <c r="GIC3" s="120"/>
      <c r="GID3" s="120"/>
      <c r="GIE3" s="120"/>
      <c r="GIF3" s="120"/>
      <c r="GIG3" s="120"/>
      <c r="GIH3" s="120"/>
      <c r="GII3" s="120"/>
      <c r="GIJ3" s="120"/>
      <c r="GIK3" s="120"/>
      <c r="GIL3" s="120"/>
      <c r="GIM3" s="120"/>
      <c r="GIN3" s="120"/>
      <c r="GIO3" s="120"/>
      <c r="GIP3" s="120"/>
      <c r="GIQ3" s="120"/>
      <c r="GIR3" s="120"/>
      <c r="GIS3" s="120"/>
      <c r="GIT3" s="120"/>
      <c r="GIU3" s="120"/>
      <c r="GIV3" s="120"/>
      <c r="GIW3" s="120"/>
      <c r="GIX3" s="120"/>
      <c r="GIY3" s="120"/>
      <c r="GIZ3" s="120"/>
      <c r="GJA3" s="120"/>
      <c r="GJB3" s="120"/>
      <c r="GJC3" s="120"/>
      <c r="GJD3" s="120"/>
      <c r="GJE3" s="120"/>
      <c r="GJF3" s="120"/>
      <c r="GJG3" s="120"/>
      <c r="GJH3" s="120"/>
      <c r="GJI3" s="120"/>
      <c r="GJJ3" s="120"/>
      <c r="GJK3" s="120"/>
      <c r="GJL3" s="120"/>
      <c r="GJM3" s="120"/>
      <c r="GJN3" s="120"/>
      <c r="GJO3" s="120"/>
      <c r="GJP3" s="120"/>
      <c r="GJQ3" s="120"/>
      <c r="GJR3" s="120"/>
      <c r="GJS3" s="120"/>
      <c r="GJT3" s="120"/>
      <c r="GJU3" s="120"/>
      <c r="GJV3" s="120"/>
      <c r="GJW3" s="120"/>
      <c r="GJX3" s="120"/>
      <c r="GJY3" s="120"/>
      <c r="GJZ3" s="120"/>
      <c r="GKA3" s="120"/>
      <c r="GKB3" s="120"/>
      <c r="GKC3" s="120"/>
      <c r="GKD3" s="120"/>
      <c r="GKE3" s="120"/>
      <c r="GKF3" s="120"/>
      <c r="GKG3" s="120"/>
      <c r="GKH3" s="120"/>
      <c r="GKI3" s="120"/>
      <c r="GKJ3" s="120"/>
      <c r="GKK3" s="120"/>
      <c r="GKL3" s="120"/>
      <c r="GKM3" s="120"/>
      <c r="GKN3" s="120"/>
      <c r="GKO3" s="120"/>
      <c r="GKP3" s="120"/>
      <c r="GKQ3" s="120"/>
      <c r="GKR3" s="120"/>
      <c r="GKS3" s="120"/>
      <c r="GKT3" s="120"/>
      <c r="GKU3" s="120"/>
      <c r="GKV3" s="120"/>
      <c r="GKW3" s="120"/>
      <c r="GKX3" s="120"/>
      <c r="GKY3" s="120"/>
      <c r="GKZ3" s="120"/>
      <c r="GLA3" s="120"/>
      <c r="GLB3" s="120"/>
      <c r="GLC3" s="120"/>
      <c r="GLD3" s="120"/>
      <c r="GLE3" s="120"/>
      <c r="GLF3" s="120"/>
      <c r="GLG3" s="120"/>
      <c r="GLH3" s="120"/>
      <c r="GLI3" s="120"/>
      <c r="GLJ3" s="120"/>
      <c r="GLK3" s="120"/>
      <c r="GLL3" s="120"/>
      <c r="GLM3" s="120"/>
      <c r="GLN3" s="120"/>
      <c r="GLO3" s="120"/>
      <c r="GLP3" s="120"/>
      <c r="GLQ3" s="120"/>
      <c r="GLR3" s="120"/>
      <c r="GLS3" s="120"/>
      <c r="GLT3" s="120"/>
      <c r="GLU3" s="120"/>
      <c r="GLV3" s="120"/>
      <c r="GLW3" s="120"/>
      <c r="GLX3" s="120"/>
      <c r="GLY3" s="120"/>
      <c r="GLZ3" s="120"/>
      <c r="GMA3" s="120"/>
      <c r="GMB3" s="120"/>
      <c r="GMC3" s="120"/>
      <c r="GMD3" s="120"/>
      <c r="GME3" s="120"/>
      <c r="GMF3" s="120"/>
      <c r="GMG3" s="120"/>
      <c r="GMH3" s="120"/>
      <c r="GMI3" s="120"/>
      <c r="GMJ3" s="120"/>
      <c r="GMK3" s="120"/>
      <c r="GML3" s="120"/>
      <c r="GMM3" s="120"/>
      <c r="GMN3" s="120"/>
      <c r="GMO3" s="120"/>
      <c r="GMP3" s="120"/>
      <c r="GMQ3" s="120"/>
      <c r="GMR3" s="120"/>
      <c r="GMS3" s="120"/>
      <c r="GMT3" s="120"/>
      <c r="GMU3" s="120"/>
      <c r="GMV3" s="120"/>
      <c r="GMW3" s="120"/>
      <c r="GMX3" s="120"/>
      <c r="GMY3" s="120"/>
      <c r="GMZ3" s="120"/>
      <c r="GNA3" s="120"/>
      <c r="GNB3" s="120"/>
      <c r="GNC3" s="120"/>
      <c r="GND3" s="120"/>
      <c r="GNE3" s="120"/>
      <c r="GNF3" s="120"/>
      <c r="GNG3" s="120"/>
      <c r="GNH3" s="120"/>
      <c r="GNI3" s="120"/>
      <c r="GNJ3" s="120"/>
      <c r="GNK3" s="120"/>
      <c r="GNL3" s="120"/>
      <c r="GNM3" s="120"/>
      <c r="GNN3" s="120"/>
      <c r="GNO3" s="120"/>
      <c r="GNP3" s="120"/>
      <c r="GNQ3" s="120"/>
      <c r="GNR3" s="120"/>
      <c r="GNS3" s="120"/>
      <c r="GNT3" s="120"/>
      <c r="GNU3" s="120"/>
      <c r="GNV3" s="120"/>
      <c r="GNW3" s="120"/>
      <c r="GNX3" s="120"/>
      <c r="GNY3" s="120"/>
      <c r="GNZ3" s="120"/>
      <c r="GOA3" s="120"/>
      <c r="GOB3" s="120"/>
      <c r="GOC3" s="120"/>
      <c r="GOD3" s="120"/>
      <c r="GOE3" s="120"/>
      <c r="GOF3" s="120"/>
      <c r="GOG3" s="120"/>
      <c r="GOH3" s="120"/>
      <c r="GOI3" s="120"/>
      <c r="GOJ3" s="120"/>
      <c r="GOK3" s="120"/>
      <c r="GOL3" s="120"/>
      <c r="GOM3" s="120"/>
      <c r="GON3" s="120"/>
      <c r="GOO3" s="120"/>
      <c r="GOP3" s="120"/>
      <c r="GOQ3" s="120"/>
      <c r="GOR3" s="120"/>
      <c r="GOS3" s="120"/>
      <c r="GOT3" s="120"/>
      <c r="GOU3" s="120"/>
      <c r="GOV3" s="120"/>
      <c r="GOW3" s="120"/>
      <c r="GOX3" s="120"/>
      <c r="GOY3" s="120"/>
      <c r="GOZ3" s="120"/>
      <c r="GPA3" s="120"/>
      <c r="GPB3" s="120"/>
      <c r="GPC3" s="120"/>
      <c r="GPD3" s="120"/>
      <c r="GPE3" s="120"/>
      <c r="GPF3" s="120"/>
      <c r="GPG3" s="120"/>
      <c r="GPH3" s="120"/>
      <c r="GPI3" s="120"/>
      <c r="GPJ3" s="120"/>
      <c r="GPK3" s="120"/>
      <c r="GPL3" s="120"/>
      <c r="GPM3" s="120"/>
      <c r="GPN3" s="120"/>
      <c r="GPO3" s="120"/>
      <c r="GPP3" s="120"/>
      <c r="GPQ3" s="120"/>
      <c r="GPR3" s="120"/>
      <c r="GPS3" s="120"/>
      <c r="GPT3" s="120"/>
      <c r="GPU3" s="120"/>
      <c r="GPV3" s="120"/>
      <c r="GPW3" s="120"/>
      <c r="GPX3" s="120"/>
      <c r="GPY3" s="120"/>
      <c r="GPZ3" s="120"/>
      <c r="GQA3" s="120"/>
      <c r="GQB3" s="120"/>
      <c r="GQC3" s="120"/>
      <c r="GQD3" s="120"/>
      <c r="GQE3" s="120"/>
      <c r="GQF3" s="120"/>
      <c r="GQG3" s="120"/>
      <c r="GQH3" s="120"/>
      <c r="GQI3" s="120"/>
      <c r="GQJ3" s="120"/>
      <c r="GQK3" s="120"/>
      <c r="GQL3" s="120"/>
      <c r="GQM3" s="120"/>
      <c r="GQN3" s="120"/>
      <c r="GQO3" s="120"/>
      <c r="GQP3" s="120"/>
      <c r="GQQ3" s="120"/>
      <c r="GQR3" s="120"/>
      <c r="GQS3" s="120"/>
      <c r="GQT3" s="120"/>
      <c r="GQU3" s="120"/>
      <c r="GQV3" s="120"/>
      <c r="GQW3" s="120"/>
      <c r="GQX3" s="120"/>
      <c r="GQY3" s="120"/>
      <c r="GQZ3" s="120"/>
      <c r="GRA3" s="120"/>
      <c r="GRB3" s="120"/>
      <c r="GRC3" s="120"/>
      <c r="GRD3" s="120"/>
      <c r="GRE3" s="120"/>
      <c r="GRF3" s="120"/>
      <c r="GRG3" s="120"/>
      <c r="GRH3" s="120"/>
      <c r="GRI3" s="120"/>
      <c r="GRJ3" s="120"/>
      <c r="GRK3" s="120"/>
      <c r="GRL3" s="120"/>
      <c r="GRM3" s="120"/>
      <c r="GRN3" s="120"/>
      <c r="GRO3" s="120"/>
      <c r="GRP3" s="120"/>
      <c r="GRQ3" s="120"/>
      <c r="GRR3" s="120"/>
      <c r="GRS3" s="120"/>
      <c r="GRT3" s="120"/>
      <c r="GRU3" s="120"/>
      <c r="GRV3" s="120"/>
      <c r="GRW3" s="120"/>
      <c r="GRX3" s="120"/>
      <c r="GRY3" s="120"/>
      <c r="GRZ3" s="120"/>
      <c r="GSA3" s="120"/>
      <c r="GSB3" s="120"/>
      <c r="GSC3" s="120"/>
      <c r="GSD3" s="120"/>
      <c r="GSE3" s="120"/>
      <c r="GSF3" s="120"/>
      <c r="GSG3" s="120"/>
      <c r="GSH3" s="120"/>
      <c r="GSI3" s="120"/>
      <c r="GSJ3" s="120"/>
      <c r="GSK3" s="120"/>
      <c r="GSL3" s="120"/>
      <c r="GSM3" s="120"/>
      <c r="GSN3" s="120"/>
      <c r="GSO3" s="120"/>
      <c r="GSP3" s="120"/>
      <c r="GSQ3" s="120"/>
      <c r="GSR3" s="120"/>
      <c r="GSS3" s="120"/>
      <c r="GST3" s="120"/>
      <c r="GSU3" s="120"/>
      <c r="GSV3" s="120"/>
      <c r="GSW3" s="120"/>
      <c r="GSX3" s="120"/>
      <c r="GSY3" s="120"/>
      <c r="GSZ3" s="120"/>
      <c r="GTA3" s="120"/>
      <c r="GTB3" s="120"/>
      <c r="GTC3" s="120"/>
      <c r="GTD3" s="120"/>
      <c r="GTE3" s="120"/>
      <c r="GTF3" s="120"/>
      <c r="GTG3" s="120"/>
      <c r="GTH3" s="120"/>
      <c r="GTI3" s="120"/>
      <c r="GTJ3" s="120"/>
      <c r="GTK3" s="120"/>
      <c r="GTL3" s="120"/>
      <c r="GTM3" s="120"/>
      <c r="GTN3" s="120"/>
      <c r="GTO3" s="120"/>
      <c r="GTP3" s="120"/>
      <c r="GTQ3" s="120"/>
      <c r="GTR3" s="120"/>
      <c r="GTS3" s="120"/>
      <c r="GTT3" s="120"/>
      <c r="GTU3" s="120"/>
      <c r="GTV3" s="120"/>
      <c r="GTW3" s="120"/>
      <c r="GTX3" s="120"/>
      <c r="GTY3" s="120"/>
      <c r="GTZ3" s="120"/>
      <c r="GUA3" s="120"/>
      <c r="GUB3" s="120"/>
      <c r="GUC3" s="120"/>
      <c r="GUD3" s="120"/>
      <c r="GUE3" s="120"/>
      <c r="GUF3" s="120"/>
      <c r="GUG3" s="120"/>
      <c r="GUH3" s="120"/>
      <c r="GUI3" s="120"/>
      <c r="GUJ3" s="120"/>
      <c r="GUK3" s="120"/>
      <c r="GUL3" s="120"/>
      <c r="GUM3" s="120"/>
      <c r="GUN3" s="120"/>
      <c r="GUO3" s="120"/>
      <c r="GUP3" s="120"/>
      <c r="GUQ3" s="120"/>
      <c r="GUR3" s="120"/>
      <c r="GUS3" s="120"/>
      <c r="GUT3" s="120"/>
      <c r="GUU3" s="120"/>
      <c r="GUV3" s="120"/>
      <c r="GUW3" s="120"/>
      <c r="GUX3" s="120"/>
      <c r="GUY3" s="120"/>
      <c r="GUZ3" s="120"/>
      <c r="GVA3" s="120"/>
      <c r="GVB3" s="120"/>
      <c r="GVC3" s="120"/>
      <c r="GVD3" s="120"/>
      <c r="GVE3" s="120"/>
      <c r="GVF3" s="120"/>
      <c r="GVG3" s="120"/>
      <c r="GVH3" s="120"/>
      <c r="GVI3" s="120"/>
      <c r="GVJ3" s="120"/>
      <c r="GVK3" s="120"/>
      <c r="GVL3" s="120"/>
      <c r="GVM3" s="120"/>
      <c r="GVN3" s="120"/>
      <c r="GVO3" s="120"/>
      <c r="GVP3" s="120"/>
      <c r="GVQ3" s="120"/>
      <c r="GVR3" s="120"/>
      <c r="GVS3" s="120"/>
      <c r="GVT3" s="120"/>
      <c r="GVU3" s="120"/>
      <c r="GVV3" s="120"/>
      <c r="GVW3" s="120"/>
      <c r="GVX3" s="120"/>
      <c r="GVY3" s="120"/>
      <c r="GVZ3" s="120"/>
      <c r="GWA3" s="120"/>
      <c r="GWB3" s="120"/>
      <c r="GWC3" s="120"/>
      <c r="GWD3" s="120"/>
      <c r="GWE3" s="120"/>
      <c r="GWF3" s="120"/>
      <c r="GWG3" s="120"/>
      <c r="GWH3" s="120"/>
      <c r="GWI3" s="120"/>
      <c r="GWJ3" s="120"/>
      <c r="GWK3" s="120"/>
      <c r="GWL3" s="120"/>
      <c r="GWM3" s="120"/>
      <c r="GWN3" s="120"/>
      <c r="GWO3" s="120"/>
      <c r="GWP3" s="120"/>
      <c r="GWQ3" s="120"/>
      <c r="GWR3" s="120"/>
      <c r="GWS3" s="120"/>
      <c r="GWT3" s="120"/>
      <c r="GWU3" s="120"/>
      <c r="GWV3" s="120"/>
      <c r="GWW3" s="120"/>
      <c r="GWX3" s="120"/>
      <c r="GWY3" s="120"/>
      <c r="GWZ3" s="120"/>
      <c r="GXA3" s="120"/>
      <c r="GXB3" s="120"/>
      <c r="GXC3" s="120"/>
      <c r="GXD3" s="120"/>
      <c r="GXE3" s="120"/>
      <c r="GXF3" s="120"/>
      <c r="GXG3" s="120"/>
      <c r="GXH3" s="120"/>
      <c r="GXI3" s="120"/>
      <c r="GXJ3" s="120"/>
      <c r="GXK3" s="120"/>
      <c r="GXL3" s="120"/>
      <c r="GXM3" s="120"/>
      <c r="GXN3" s="120"/>
      <c r="GXO3" s="120"/>
      <c r="GXP3" s="120"/>
      <c r="GXQ3" s="120"/>
      <c r="GXR3" s="120"/>
      <c r="GXS3" s="120"/>
      <c r="GXT3" s="120"/>
      <c r="GXU3" s="120"/>
      <c r="GXV3" s="120"/>
      <c r="GXW3" s="120"/>
      <c r="GXX3" s="120"/>
      <c r="GXY3" s="120"/>
      <c r="GXZ3" s="120"/>
      <c r="GYA3" s="120"/>
      <c r="GYB3" s="120"/>
      <c r="GYC3" s="120"/>
      <c r="GYD3" s="120"/>
      <c r="GYE3" s="120"/>
      <c r="GYF3" s="120"/>
      <c r="GYG3" s="120"/>
      <c r="GYH3" s="120"/>
      <c r="GYI3" s="120"/>
      <c r="GYJ3" s="120"/>
      <c r="GYK3" s="120"/>
      <c r="GYL3" s="120"/>
      <c r="GYM3" s="120"/>
      <c r="GYN3" s="120"/>
      <c r="GYO3" s="120"/>
      <c r="GYP3" s="120"/>
      <c r="GYQ3" s="120"/>
      <c r="GYR3" s="120"/>
      <c r="GYS3" s="120"/>
      <c r="GYT3" s="120"/>
      <c r="GYU3" s="120"/>
      <c r="GYV3" s="120"/>
      <c r="GYW3" s="120"/>
      <c r="GYX3" s="120"/>
      <c r="GYY3" s="120"/>
      <c r="GYZ3" s="120"/>
      <c r="GZA3" s="120"/>
      <c r="GZB3" s="120"/>
      <c r="GZC3" s="120"/>
      <c r="GZD3" s="120"/>
      <c r="GZE3" s="120"/>
      <c r="GZF3" s="120"/>
      <c r="GZG3" s="120"/>
      <c r="GZH3" s="120"/>
      <c r="GZI3" s="120"/>
      <c r="GZJ3" s="120"/>
      <c r="GZK3" s="120"/>
      <c r="GZL3" s="120"/>
      <c r="GZM3" s="120"/>
      <c r="GZN3" s="120"/>
      <c r="GZO3" s="120"/>
      <c r="GZP3" s="120"/>
      <c r="GZQ3" s="120"/>
      <c r="GZR3" s="120"/>
      <c r="GZS3" s="120"/>
      <c r="GZT3" s="120"/>
      <c r="GZU3" s="120"/>
      <c r="GZV3" s="120"/>
      <c r="GZW3" s="120"/>
      <c r="GZX3" s="120"/>
      <c r="GZY3" s="120"/>
      <c r="GZZ3" s="120"/>
      <c r="HAA3" s="120"/>
      <c r="HAB3" s="120"/>
      <c r="HAC3" s="120"/>
      <c r="HAD3" s="120"/>
      <c r="HAE3" s="120"/>
      <c r="HAF3" s="120"/>
      <c r="HAG3" s="120"/>
      <c r="HAH3" s="120"/>
      <c r="HAI3" s="120"/>
      <c r="HAJ3" s="120"/>
      <c r="HAK3" s="120"/>
      <c r="HAL3" s="120"/>
      <c r="HAM3" s="120"/>
      <c r="HAN3" s="120"/>
      <c r="HAO3" s="120"/>
      <c r="HAP3" s="120"/>
      <c r="HAQ3" s="120"/>
      <c r="HAR3" s="120"/>
      <c r="HAS3" s="120"/>
      <c r="HAT3" s="120"/>
      <c r="HAU3" s="120"/>
      <c r="HAV3" s="120"/>
      <c r="HAW3" s="120"/>
      <c r="HAX3" s="120"/>
      <c r="HAY3" s="120"/>
      <c r="HAZ3" s="120"/>
      <c r="HBA3" s="120"/>
      <c r="HBB3" s="120"/>
      <c r="HBC3" s="120"/>
      <c r="HBD3" s="120"/>
      <c r="HBE3" s="120"/>
      <c r="HBF3" s="120"/>
      <c r="HBG3" s="120"/>
      <c r="HBH3" s="120"/>
      <c r="HBI3" s="120"/>
      <c r="HBJ3" s="120"/>
      <c r="HBK3" s="120"/>
      <c r="HBL3" s="120"/>
      <c r="HBM3" s="120"/>
      <c r="HBN3" s="120"/>
      <c r="HBO3" s="120"/>
      <c r="HBP3" s="120"/>
      <c r="HBQ3" s="120"/>
      <c r="HBR3" s="120"/>
      <c r="HBS3" s="120"/>
      <c r="HBT3" s="120"/>
      <c r="HBU3" s="120"/>
      <c r="HBV3" s="120"/>
      <c r="HBW3" s="120"/>
      <c r="HBX3" s="120"/>
      <c r="HBY3" s="120"/>
      <c r="HBZ3" s="120"/>
      <c r="HCA3" s="120"/>
      <c r="HCB3" s="120"/>
      <c r="HCC3" s="120"/>
      <c r="HCD3" s="120"/>
      <c r="HCE3" s="120"/>
      <c r="HCF3" s="120"/>
      <c r="HCG3" s="120"/>
      <c r="HCH3" s="120"/>
      <c r="HCI3" s="120"/>
      <c r="HCJ3" s="120"/>
      <c r="HCK3" s="120"/>
      <c r="HCL3" s="120"/>
      <c r="HCM3" s="120"/>
      <c r="HCN3" s="120"/>
      <c r="HCO3" s="120"/>
      <c r="HCP3" s="120"/>
      <c r="HCQ3" s="120"/>
      <c r="HCR3" s="120"/>
      <c r="HCS3" s="120"/>
      <c r="HCT3" s="120"/>
      <c r="HCU3" s="120"/>
      <c r="HCV3" s="120"/>
      <c r="HCW3" s="120"/>
      <c r="HCX3" s="120"/>
      <c r="HCY3" s="120"/>
      <c r="HCZ3" s="120"/>
      <c r="HDA3" s="120"/>
      <c r="HDB3" s="120"/>
      <c r="HDC3" s="120"/>
      <c r="HDD3" s="120"/>
      <c r="HDE3" s="120"/>
      <c r="HDF3" s="120"/>
      <c r="HDG3" s="120"/>
      <c r="HDH3" s="120"/>
      <c r="HDI3" s="120"/>
      <c r="HDJ3" s="120"/>
      <c r="HDK3" s="120"/>
      <c r="HDL3" s="120"/>
      <c r="HDM3" s="120"/>
      <c r="HDN3" s="120"/>
      <c r="HDO3" s="120"/>
      <c r="HDP3" s="120"/>
      <c r="HDQ3" s="120"/>
      <c r="HDR3" s="120"/>
      <c r="HDS3" s="120"/>
      <c r="HDT3" s="120"/>
      <c r="HDU3" s="120"/>
      <c r="HDV3" s="120"/>
      <c r="HDW3" s="120"/>
      <c r="HDX3" s="120"/>
      <c r="HDY3" s="120"/>
      <c r="HDZ3" s="120"/>
      <c r="HEA3" s="120"/>
      <c r="HEB3" s="120"/>
      <c r="HEC3" s="120"/>
      <c r="HED3" s="120"/>
      <c r="HEE3" s="120"/>
      <c r="HEF3" s="120"/>
      <c r="HEG3" s="120"/>
      <c r="HEH3" s="120"/>
      <c r="HEI3" s="120"/>
      <c r="HEJ3" s="120"/>
      <c r="HEK3" s="120"/>
      <c r="HEL3" s="120"/>
      <c r="HEM3" s="120"/>
      <c r="HEN3" s="120"/>
      <c r="HEO3" s="120"/>
      <c r="HEP3" s="120"/>
      <c r="HEQ3" s="120"/>
      <c r="HER3" s="120"/>
      <c r="HES3" s="120"/>
      <c r="HET3" s="120"/>
      <c r="HEU3" s="120"/>
      <c r="HEV3" s="120"/>
      <c r="HEW3" s="120"/>
      <c r="HEX3" s="120"/>
      <c r="HEY3" s="120"/>
      <c r="HEZ3" s="120"/>
      <c r="HFA3" s="120"/>
      <c r="HFB3" s="120"/>
      <c r="HFC3" s="120"/>
      <c r="HFD3" s="120"/>
      <c r="HFE3" s="120"/>
      <c r="HFF3" s="120"/>
      <c r="HFG3" s="120"/>
      <c r="HFH3" s="120"/>
      <c r="HFI3" s="120"/>
      <c r="HFJ3" s="120"/>
      <c r="HFK3" s="120"/>
      <c r="HFL3" s="120"/>
      <c r="HFM3" s="120"/>
      <c r="HFN3" s="120"/>
      <c r="HFO3" s="120"/>
      <c r="HFP3" s="120"/>
      <c r="HFQ3" s="120"/>
      <c r="HFR3" s="120"/>
      <c r="HFS3" s="120"/>
      <c r="HFT3" s="120"/>
      <c r="HFU3" s="120"/>
      <c r="HFV3" s="120"/>
      <c r="HFW3" s="120"/>
      <c r="HFX3" s="120"/>
      <c r="HFY3" s="120"/>
      <c r="HFZ3" s="120"/>
      <c r="HGA3" s="120"/>
      <c r="HGB3" s="120"/>
      <c r="HGC3" s="120"/>
      <c r="HGD3" s="120"/>
      <c r="HGE3" s="120"/>
      <c r="HGF3" s="120"/>
      <c r="HGG3" s="120"/>
      <c r="HGH3" s="120"/>
      <c r="HGI3" s="120"/>
      <c r="HGJ3" s="120"/>
      <c r="HGK3" s="120"/>
      <c r="HGL3" s="120"/>
      <c r="HGM3" s="120"/>
      <c r="HGN3" s="120"/>
      <c r="HGO3" s="120"/>
      <c r="HGP3" s="120"/>
      <c r="HGQ3" s="120"/>
      <c r="HGR3" s="120"/>
      <c r="HGS3" s="120"/>
      <c r="HGT3" s="120"/>
      <c r="HGU3" s="120"/>
      <c r="HGV3" s="120"/>
      <c r="HGW3" s="120"/>
      <c r="HGX3" s="120"/>
      <c r="HGY3" s="120"/>
      <c r="HGZ3" s="120"/>
      <c r="HHA3" s="120"/>
      <c r="HHB3" s="120"/>
      <c r="HHC3" s="120"/>
      <c r="HHD3" s="120"/>
      <c r="HHE3" s="120"/>
      <c r="HHF3" s="120"/>
      <c r="HHG3" s="120"/>
      <c r="HHH3" s="120"/>
      <c r="HHI3" s="120"/>
      <c r="HHJ3" s="120"/>
      <c r="HHK3" s="120"/>
      <c r="HHL3" s="120"/>
      <c r="HHM3" s="120"/>
      <c r="HHN3" s="120"/>
      <c r="HHO3" s="120"/>
      <c r="HHP3" s="120"/>
      <c r="HHQ3" s="120"/>
      <c r="HHR3" s="120"/>
      <c r="HHS3" s="120"/>
      <c r="HHT3" s="120"/>
      <c r="HHU3" s="120"/>
      <c r="HHV3" s="120"/>
      <c r="HHW3" s="120"/>
      <c r="HHX3" s="120"/>
      <c r="HHY3" s="120"/>
      <c r="HHZ3" s="120"/>
      <c r="HIA3" s="120"/>
      <c r="HIB3" s="120"/>
      <c r="HIC3" s="120"/>
      <c r="HID3" s="120"/>
      <c r="HIE3" s="120"/>
      <c r="HIF3" s="120"/>
      <c r="HIG3" s="120"/>
      <c r="HIH3" s="120"/>
      <c r="HII3" s="120"/>
      <c r="HIJ3" s="120"/>
      <c r="HIK3" s="120"/>
      <c r="HIL3" s="120"/>
      <c r="HIM3" s="120"/>
      <c r="HIN3" s="120"/>
      <c r="HIO3" s="120"/>
      <c r="HIP3" s="120"/>
      <c r="HIQ3" s="120"/>
      <c r="HIR3" s="120"/>
      <c r="HIS3" s="120"/>
      <c r="HIT3" s="120"/>
      <c r="HIU3" s="120"/>
      <c r="HIV3" s="120"/>
      <c r="HIW3" s="120"/>
      <c r="HIX3" s="120"/>
      <c r="HIY3" s="120"/>
      <c r="HIZ3" s="120"/>
      <c r="HJA3" s="120"/>
      <c r="HJB3" s="120"/>
      <c r="HJC3" s="120"/>
      <c r="HJD3" s="120"/>
      <c r="HJE3" s="120"/>
      <c r="HJF3" s="120"/>
      <c r="HJG3" s="120"/>
      <c r="HJH3" s="120"/>
      <c r="HJI3" s="120"/>
      <c r="HJJ3" s="120"/>
      <c r="HJK3" s="120"/>
      <c r="HJL3" s="120"/>
      <c r="HJM3" s="120"/>
      <c r="HJN3" s="120"/>
      <c r="HJO3" s="120"/>
      <c r="HJP3" s="120"/>
      <c r="HJQ3" s="120"/>
      <c r="HJR3" s="120"/>
      <c r="HJS3" s="120"/>
      <c r="HJT3" s="120"/>
      <c r="HJU3" s="120"/>
      <c r="HJV3" s="120"/>
      <c r="HJW3" s="120"/>
      <c r="HJX3" s="120"/>
      <c r="HJY3" s="120"/>
      <c r="HJZ3" s="120"/>
      <c r="HKA3" s="120"/>
      <c r="HKB3" s="120"/>
      <c r="HKC3" s="120"/>
      <c r="HKD3" s="120"/>
      <c r="HKE3" s="120"/>
      <c r="HKF3" s="120"/>
      <c r="HKG3" s="120"/>
      <c r="HKH3" s="120"/>
      <c r="HKI3" s="120"/>
      <c r="HKJ3" s="120"/>
      <c r="HKK3" s="120"/>
      <c r="HKL3" s="120"/>
      <c r="HKM3" s="120"/>
      <c r="HKN3" s="120"/>
      <c r="HKO3" s="120"/>
      <c r="HKP3" s="120"/>
      <c r="HKQ3" s="120"/>
      <c r="HKR3" s="120"/>
      <c r="HKS3" s="120"/>
      <c r="HKT3" s="120"/>
      <c r="HKU3" s="120"/>
      <c r="HKV3" s="120"/>
      <c r="HKW3" s="120"/>
      <c r="HKX3" s="120"/>
      <c r="HKY3" s="120"/>
      <c r="HKZ3" s="120"/>
      <c r="HLA3" s="120"/>
      <c r="HLB3" s="120"/>
      <c r="HLC3" s="120"/>
      <c r="HLD3" s="120"/>
      <c r="HLE3" s="120"/>
      <c r="HLF3" s="120"/>
      <c r="HLG3" s="120"/>
      <c r="HLH3" s="120"/>
      <c r="HLI3" s="120"/>
      <c r="HLJ3" s="120"/>
      <c r="HLK3" s="120"/>
      <c r="HLL3" s="120"/>
      <c r="HLM3" s="120"/>
      <c r="HLN3" s="120"/>
      <c r="HLO3" s="120"/>
      <c r="HLP3" s="120"/>
      <c r="HLQ3" s="120"/>
      <c r="HLR3" s="120"/>
      <c r="HLS3" s="120"/>
      <c r="HLT3" s="120"/>
      <c r="HLU3" s="120"/>
      <c r="HLV3" s="120"/>
      <c r="HLW3" s="120"/>
      <c r="HLX3" s="120"/>
      <c r="HLY3" s="120"/>
      <c r="HLZ3" s="120"/>
      <c r="HMA3" s="120"/>
      <c r="HMB3" s="120"/>
      <c r="HMC3" s="120"/>
      <c r="HMD3" s="120"/>
      <c r="HME3" s="120"/>
      <c r="HMF3" s="120"/>
      <c r="HMG3" s="120"/>
      <c r="HMH3" s="120"/>
      <c r="HMI3" s="120"/>
      <c r="HMJ3" s="120"/>
      <c r="HMK3" s="120"/>
      <c r="HML3" s="120"/>
      <c r="HMM3" s="120"/>
      <c r="HMN3" s="120"/>
      <c r="HMO3" s="120"/>
      <c r="HMP3" s="120"/>
      <c r="HMQ3" s="120"/>
      <c r="HMR3" s="120"/>
      <c r="HMS3" s="120"/>
      <c r="HMT3" s="120"/>
      <c r="HMU3" s="120"/>
      <c r="HMV3" s="120"/>
      <c r="HMW3" s="120"/>
      <c r="HMX3" s="120"/>
      <c r="HMY3" s="120"/>
      <c r="HMZ3" s="120"/>
      <c r="HNA3" s="120"/>
      <c r="HNB3" s="120"/>
      <c r="HNC3" s="120"/>
      <c r="HND3" s="120"/>
      <c r="HNE3" s="120"/>
      <c r="HNF3" s="120"/>
      <c r="HNG3" s="120"/>
      <c r="HNH3" s="120"/>
      <c r="HNI3" s="120"/>
      <c r="HNJ3" s="120"/>
      <c r="HNK3" s="120"/>
      <c r="HNL3" s="120"/>
      <c r="HNM3" s="120"/>
      <c r="HNN3" s="120"/>
      <c r="HNO3" s="120"/>
      <c r="HNP3" s="120"/>
      <c r="HNQ3" s="120"/>
      <c r="HNR3" s="120"/>
      <c r="HNS3" s="120"/>
      <c r="HNT3" s="120"/>
      <c r="HNU3" s="120"/>
      <c r="HNV3" s="120"/>
      <c r="HNW3" s="120"/>
      <c r="HNX3" s="120"/>
      <c r="HNY3" s="120"/>
      <c r="HNZ3" s="120"/>
      <c r="HOA3" s="120"/>
      <c r="HOB3" s="120"/>
      <c r="HOC3" s="120"/>
      <c r="HOD3" s="120"/>
      <c r="HOE3" s="120"/>
      <c r="HOF3" s="120"/>
      <c r="HOG3" s="120"/>
      <c r="HOH3" s="120"/>
      <c r="HOI3" s="120"/>
      <c r="HOJ3" s="120"/>
      <c r="HOK3" s="120"/>
      <c r="HOL3" s="120"/>
      <c r="HOM3" s="120"/>
      <c r="HON3" s="120"/>
      <c r="HOO3" s="120"/>
      <c r="HOP3" s="120"/>
      <c r="HOQ3" s="120"/>
      <c r="HOR3" s="120"/>
      <c r="HOS3" s="120"/>
      <c r="HOT3" s="120"/>
      <c r="HOU3" s="120"/>
      <c r="HOV3" s="120"/>
      <c r="HOW3" s="120"/>
      <c r="HOX3" s="120"/>
      <c r="HOY3" s="120"/>
      <c r="HOZ3" s="120"/>
      <c r="HPA3" s="120"/>
      <c r="HPB3" s="120"/>
      <c r="HPC3" s="120"/>
      <c r="HPD3" s="120"/>
      <c r="HPE3" s="120"/>
      <c r="HPF3" s="120"/>
      <c r="HPG3" s="120"/>
      <c r="HPH3" s="120"/>
      <c r="HPI3" s="120"/>
      <c r="HPJ3" s="120"/>
      <c r="HPK3" s="120"/>
      <c r="HPL3" s="120"/>
      <c r="HPM3" s="120"/>
      <c r="HPN3" s="120"/>
      <c r="HPO3" s="120"/>
      <c r="HPP3" s="120"/>
      <c r="HPQ3" s="120"/>
      <c r="HPR3" s="120"/>
      <c r="HPS3" s="120"/>
      <c r="HPT3" s="120"/>
      <c r="HPU3" s="120"/>
      <c r="HPV3" s="120"/>
      <c r="HPW3" s="120"/>
      <c r="HPX3" s="120"/>
      <c r="HPY3" s="120"/>
      <c r="HPZ3" s="120"/>
      <c r="HQA3" s="120"/>
      <c r="HQB3" s="120"/>
      <c r="HQC3" s="120"/>
      <c r="HQD3" s="120"/>
      <c r="HQE3" s="120"/>
      <c r="HQF3" s="120"/>
      <c r="HQG3" s="120"/>
      <c r="HQH3" s="120"/>
      <c r="HQI3" s="120"/>
      <c r="HQJ3" s="120"/>
      <c r="HQK3" s="120"/>
      <c r="HQL3" s="120"/>
      <c r="HQM3" s="120"/>
      <c r="HQN3" s="120"/>
      <c r="HQO3" s="120"/>
      <c r="HQP3" s="120"/>
      <c r="HQQ3" s="120"/>
      <c r="HQR3" s="120"/>
      <c r="HQS3" s="120"/>
      <c r="HQT3" s="120"/>
      <c r="HQU3" s="120"/>
      <c r="HQV3" s="120"/>
      <c r="HQW3" s="120"/>
      <c r="HQX3" s="120"/>
      <c r="HQY3" s="120"/>
      <c r="HQZ3" s="120"/>
      <c r="HRA3" s="120"/>
      <c r="HRB3" s="120"/>
      <c r="HRC3" s="120"/>
      <c r="HRD3" s="120"/>
      <c r="HRE3" s="120"/>
      <c r="HRF3" s="120"/>
      <c r="HRG3" s="120"/>
      <c r="HRH3" s="120"/>
      <c r="HRI3" s="120"/>
      <c r="HRJ3" s="120"/>
      <c r="HRK3" s="120"/>
      <c r="HRL3" s="120"/>
      <c r="HRM3" s="120"/>
      <c r="HRN3" s="120"/>
      <c r="HRO3" s="120"/>
      <c r="HRP3" s="120"/>
      <c r="HRQ3" s="120"/>
      <c r="HRR3" s="120"/>
      <c r="HRS3" s="120"/>
      <c r="HRT3" s="120"/>
      <c r="HRU3" s="120"/>
      <c r="HRV3" s="120"/>
      <c r="HRW3" s="120"/>
      <c r="HRX3" s="120"/>
      <c r="HRY3" s="120"/>
      <c r="HRZ3" s="120"/>
      <c r="HSA3" s="120"/>
      <c r="HSB3" s="120"/>
      <c r="HSC3" s="120"/>
      <c r="HSD3" s="120"/>
      <c r="HSE3" s="120"/>
      <c r="HSF3" s="120"/>
      <c r="HSG3" s="120"/>
      <c r="HSH3" s="120"/>
      <c r="HSI3" s="120"/>
      <c r="HSJ3" s="120"/>
      <c r="HSK3" s="120"/>
      <c r="HSL3" s="120"/>
      <c r="HSM3" s="120"/>
      <c r="HSN3" s="120"/>
      <c r="HSO3" s="120"/>
      <c r="HSP3" s="120"/>
      <c r="HSQ3" s="120"/>
      <c r="HSR3" s="120"/>
      <c r="HSS3" s="120"/>
      <c r="HST3" s="120"/>
      <c r="HSU3" s="120"/>
      <c r="HSV3" s="120"/>
      <c r="HSW3" s="120"/>
      <c r="HSX3" s="120"/>
      <c r="HSY3" s="120"/>
      <c r="HSZ3" s="120"/>
      <c r="HTA3" s="120"/>
      <c r="HTB3" s="120"/>
      <c r="HTC3" s="120"/>
      <c r="HTD3" s="120"/>
      <c r="HTE3" s="120"/>
      <c r="HTF3" s="120"/>
      <c r="HTG3" s="120"/>
      <c r="HTH3" s="120"/>
      <c r="HTI3" s="120"/>
      <c r="HTJ3" s="120"/>
      <c r="HTK3" s="120"/>
      <c r="HTL3" s="120"/>
      <c r="HTM3" s="120"/>
      <c r="HTN3" s="120"/>
      <c r="HTO3" s="120"/>
      <c r="HTP3" s="120"/>
      <c r="HTQ3" s="120"/>
      <c r="HTR3" s="120"/>
      <c r="HTS3" s="120"/>
      <c r="HTT3" s="120"/>
      <c r="HTU3" s="120"/>
      <c r="HTV3" s="120"/>
      <c r="HTW3" s="120"/>
      <c r="HTX3" s="120"/>
      <c r="HTY3" s="120"/>
      <c r="HTZ3" s="120"/>
      <c r="HUA3" s="120"/>
      <c r="HUB3" s="120"/>
      <c r="HUC3" s="120"/>
      <c r="HUD3" s="120"/>
      <c r="HUE3" s="120"/>
      <c r="HUF3" s="120"/>
      <c r="HUG3" s="120"/>
      <c r="HUH3" s="120"/>
      <c r="HUI3" s="120"/>
      <c r="HUJ3" s="120"/>
      <c r="HUK3" s="120"/>
      <c r="HUL3" s="120"/>
      <c r="HUM3" s="120"/>
      <c r="HUN3" s="120"/>
      <c r="HUO3" s="120"/>
      <c r="HUP3" s="120"/>
      <c r="HUQ3" s="120"/>
      <c r="HUR3" s="120"/>
      <c r="HUS3" s="120"/>
      <c r="HUT3" s="120"/>
      <c r="HUU3" s="120"/>
      <c r="HUV3" s="120"/>
      <c r="HUW3" s="120"/>
      <c r="HUX3" s="120"/>
      <c r="HUY3" s="120"/>
      <c r="HUZ3" s="120"/>
      <c r="HVA3" s="120"/>
      <c r="HVB3" s="120"/>
      <c r="HVC3" s="120"/>
      <c r="HVD3" s="120"/>
      <c r="HVE3" s="120"/>
      <c r="HVF3" s="120"/>
      <c r="HVG3" s="120"/>
      <c r="HVH3" s="120"/>
      <c r="HVI3" s="120"/>
      <c r="HVJ3" s="120"/>
      <c r="HVK3" s="120"/>
      <c r="HVL3" s="120"/>
      <c r="HVM3" s="120"/>
      <c r="HVN3" s="120"/>
      <c r="HVO3" s="120"/>
      <c r="HVP3" s="120"/>
      <c r="HVQ3" s="120"/>
      <c r="HVR3" s="120"/>
      <c r="HVS3" s="120"/>
      <c r="HVT3" s="120"/>
      <c r="HVU3" s="120"/>
      <c r="HVV3" s="120"/>
      <c r="HVW3" s="120"/>
      <c r="HVX3" s="120"/>
      <c r="HVY3" s="120"/>
      <c r="HVZ3" s="120"/>
      <c r="HWA3" s="120"/>
      <c r="HWB3" s="120"/>
      <c r="HWC3" s="120"/>
      <c r="HWD3" s="120"/>
      <c r="HWE3" s="120"/>
      <c r="HWF3" s="120"/>
      <c r="HWG3" s="120"/>
      <c r="HWH3" s="120"/>
      <c r="HWI3" s="120"/>
      <c r="HWJ3" s="120"/>
      <c r="HWK3" s="120"/>
      <c r="HWL3" s="120"/>
      <c r="HWM3" s="120"/>
      <c r="HWN3" s="120"/>
      <c r="HWO3" s="120"/>
      <c r="HWP3" s="120"/>
      <c r="HWQ3" s="120"/>
      <c r="HWR3" s="120"/>
      <c r="HWS3" s="120"/>
      <c r="HWT3" s="120"/>
      <c r="HWU3" s="120"/>
      <c r="HWV3" s="120"/>
      <c r="HWW3" s="120"/>
      <c r="HWX3" s="120"/>
      <c r="HWY3" s="120"/>
      <c r="HWZ3" s="120"/>
      <c r="HXA3" s="120"/>
      <c r="HXB3" s="120"/>
      <c r="HXC3" s="120"/>
      <c r="HXD3" s="120"/>
      <c r="HXE3" s="120"/>
      <c r="HXF3" s="120"/>
      <c r="HXG3" s="120"/>
      <c r="HXH3" s="120"/>
      <c r="HXI3" s="120"/>
      <c r="HXJ3" s="120"/>
      <c r="HXK3" s="120"/>
      <c r="HXL3" s="120"/>
      <c r="HXM3" s="120"/>
      <c r="HXN3" s="120"/>
      <c r="HXO3" s="120"/>
      <c r="HXP3" s="120"/>
      <c r="HXQ3" s="120"/>
      <c r="HXR3" s="120"/>
      <c r="HXS3" s="120"/>
      <c r="HXT3" s="120"/>
      <c r="HXU3" s="120"/>
      <c r="HXV3" s="120"/>
      <c r="HXW3" s="120"/>
      <c r="HXX3" s="120"/>
      <c r="HXY3" s="120"/>
      <c r="HXZ3" s="120"/>
      <c r="HYA3" s="120"/>
      <c r="HYB3" s="120"/>
      <c r="HYC3" s="120"/>
      <c r="HYD3" s="120"/>
      <c r="HYE3" s="120"/>
      <c r="HYF3" s="120"/>
      <c r="HYG3" s="120"/>
      <c r="HYH3" s="120"/>
      <c r="HYI3" s="120"/>
      <c r="HYJ3" s="120"/>
      <c r="HYK3" s="120"/>
      <c r="HYL3" s="120"/>
      <c r="HYM3" s="120"/>
      <c r="HYN3" s="120"/>
      <c r="HYO3" s="120"/>
      <c r="HYP3" s="120"/>
      <c r="HYQ3" s="120"/>
      <c r="HYR3" s="120"/>
      <c r="HYS3" s="120"/>
      <c r="HYT3" s="120"/>
      <c r="HYU3" s="120"/>
      <c r="HYV3" s="120"/>
      <c r="HYW3" s="120"/>
      <c r="HYX3" s="120"/>
      <c r="HYY3" s="120"/>
      <c r="HYZ3" s="120"/>
      <c r="HZA3" s="120"/>
      <c r="HZB3" s="120"/>
      <c r="HZC3" s="120"/>
      <c r="HZD3" s="120"/>
      <c r="HZE3" s="120"/>
      <c r="HZF3" s="120"/>
      <c r="HZG3" s="120"/>
      <c r="HZH3" s="120"/>
      <c r="HZI3" s="120"/>
      <c r="HZJ3" s="120"/>
      <c r="HZK3" s="120"/>
      <c r="HZL3" s="120"/>
      <c r="HZM3" s="120"/>
      <c r="HZN3" s="120"/>
      <c r="HZO3" s="120"/>
      <c r="HZP3" s="120"/>
      <c r="HZQ3" s="120"/>
      <c r="HZR3" s="120"/>
      <c r="HZS3" s="120"/>
      <c r="HZT3" s="120"/>
      <c r="HZU3" s="120"/>
      <c r="HZV3" s="120"/>
      <c r="HZW3" s="120"/>
      <c r="HZX3" s="120"/>
      <c r="HZY3" s="120"/>
      <c r="HZZ3" s="120"/>
      <c r="IAA3" s="120"/>
      <c r="IAB3" s="120"/>
      <c r="IAC3" s="120"/>
      <c r="IAD3" s="120"/>
      <c r="IAE3" s="120"/>
      <c r="IAF3" s="120"/>
      <c r="IAG3" s="120"/>
      <c r="IAH3" s="120"/>
      <c r="IAI3" s="120"/>
      <c r="IAJ3" s="120"/>
      <c r="IAK3" s="120"/>
      <c r="IAL3" s="120"/>
      <c r="IAM3" s="120"/>
      <c r="IAN3" s="120"/>
      <c r="IAO3" s="120"/>
      <c r="IAP3" s="120"/>
      <c r="IAQ3" s="120"/>
      <c r="IAR3" s="120"/>
      <c r="IAS3" s="120"/>
      <c r="IAT3" s="120"/>
      <c r="IAU3" s="120"/>
      <c r="IAV3" s="120"/>
      <c r="IAW3" s="120"/>
      <c r="IAX3" s="120"/>
      <c r="IAY3" s="120"/>
      <c r="IAZ3" s="120"/>
      <c r="IBA3" s="120"/>
      <c r="IBB3" s="120"/>
      <c r="IBC3" s="120"/>
      <c r="IBD3" s="120"/>
      <c r="IBE3" s="120"/>
      <c r="IBF3" s="120"/>
      <c r="IBG3" s="120"/>
      <c r="IBH3" s="120"/>
      <c r="IBI3" s="120"/>
      <c r="IBJ3" s="120"/>
      <c r="IBK3" s="120"/>
      <c r="IBL3" s="120"/>
      <c r="IBM3" s="120"/>
      <c r="IBN3" s="120"/>
      <c r="IBO3" s="120"/>
      <c r="IBP3" s="120"/>
      <c r="IBQ3" s="120"/>
      <c r="IBR3" s="120"/>
      <c r="IBS3" s="120"/>
      <c r="IBT3" s="120"/>
      <c r="IBU3" s="120"/>
      <c r="IBV3" s="120"/>
      <c r="IBW3" s="120"/>
      <c r="IBX3" s="120"/>
      <c r="IBY3" s="120"/>
      <c r="IBZ3" s="120"/>
      <c r="ICA3" s="120"/>
      <c r="ICB3" s="120"/>
      <c r="ICC3" s="120"/>
      <c r="ICD3" s="120"/>
      <c r="ICE3" s="120"/>
      <c r="ICF3" s="120"/>
      <c r="ICG3" s="120"/>
      <c r="ICH3" s="120"/>
      <c r="ICI3" s="120"/>
      <c r="ICJ3" s="120"/>
      <c r="ICK3" s="120"/>
      <c r="ICL3" s="120"/>
      <c r="ICM3" s="120"/>
      <c r="ICN3" s="120"/>
      <c r="ICO3" s="120"/>
      <c r="ICP3" s="120"/>
      <c r="ICQ3" s="120"/>
      <c r="ICR3" s="120"/>
      <c r="ICS3" s="120"/>
      <c r="ICT3" s="120"/>
      <c r="ICU3" s="120"/>
      <c r="ICV3" s="120"/>
      <c r="ICW3" s="120"/>
      <c r="ICX3" s="120"/>
      <c r="ICY3" s="120"/>
      <c r="ICZ3" s="120"/>
      <c r="IDA3" s="120"/>
      <c r="IDB3" s="120"/>
      <c r="IDC3" s="120"/>
      <c r="IDD3" s="120"/>
      <c r="IDE3" s="120"/>
      <c r="IDF3" s="120"/>
      <c r="IDG3" s="120"/>
      <c r="IDH3" s="120"/>
      <c r="IDI3" s="120"/>
      <c r="IDJ3" s="120"/>
      <c r="IDK3" s="120"/>
      <c r="IDL3" s="120"/>
      <c r="IDM3" s="120"/>
      <c r="IDN3" s="120"/>
      <c r="IDO3" s="120"/>
      <c r="IDP3" s="120"/>
      <c r="IDQ3" s="120"/>
      <c r="IDR3" s="120"/>
      <c r="IDS3" s="120"/>
      <c r="IDT3" s="120"/>
      <c r="IDU3" s="120"/>
      <c r="IDV3" s="120"/>
      <c r="IDW3" s="120"/>
      <c r="IDX3" s="120"/>
      <c r="IDY3" s="120"/>
      <c r="IDZ3" s="120"/>
      <c r="IEA3" s="120"/>
      <c r="IEB3" s="120"/>
      <c r="IEC3" s="120"/>
      <c r="IED3" s="120"/>
      <c r="IEE3" s="120"/>
      <c r="IEF3" s="120"/>
      <c r="IEG3" s="120"/>
      <c r="IEH3" s="120"/>
      <c r="IEI3" s="120"/>
      <c r="IEJ3" s="120"/>
      <c r="IEK3" s="120"/>
      <c r="IEL3" s="120"/>
      <c r="IEM3" s="120"/>
      <c r="IEN3" s="120"/>
      <c r="IEO3" s="120"/>
      <c r="IEP3" s="120"/>
      <c r="IEQ3" s="120"/>
      <c r="IER3" s="120"/>
      <c r="IES3" s="120"/>
      <c r="IET3" s="120"/>
      <c r="IEU3" s="120"/>
      <c r="IEV3" s="120"/>
      <c r="IEW3" s="120"/>
      <c r="IEX3" s="120"/>
      <c r="IEY3" s="120"/>
      <c r="IEZ3" s="120"/>
      <c r="IFA3" s="120"/>
      <c r="IFB3" s="120"/>
      <c r="IFC3" s="120"/>
      <c r="IFD3" s="120"/>
      <c r="IFE3" s="120"/>
      <c r="IFF3" s="120"/>
      <c r="IFG3" s="120"/>
      <c r="IFH3" s="120"/>
      <c r="IFI3" s="120"/>
      <c r="IFJ3" s="120"/>
      <c r="IFK3" s="120"/>
      <c r="IFL3" s="120"/>
      <c r="IFM3" s="120"/>
      <c r="IFN3" s="120"/>
      <c r="IFO3" s="120"/>
      <c r="IFP3" s="120"/>
      <c r="IFQ3" s="120"/>
      <c r="IFR3" s="120"/>
      <c r="IFS3" s="120"/>
      <c r="IFT3" s="120"/>
      <c r="IFU3" s="120"/>
      <c r="IFV3" s="120"/>
      <c r="IFW3" s="120"/>
      <c r="IFX3" s="120"/>
      <c r="IFY3" s="120"/>
      <c r="IFZ3" s="120"/>
      <c r="IGA3" s="120"/>
      <c r="IGB3" s="120"/>
      <c r="IGC3" s="120"/>
      <c r="IGD3" s="120"/>
      <c r="IGE3" s="120"/>
      <c r="IGF3" s="120"/>
      <c r="IGG3" s="120"/>
      <c r="IGH3" s="120"/>
      <c r="IGI3" s="120"/>
      <c r="IGJ3" s="120"/>
      <c r="IGK3" s="120"/>
      <c r="IGL3" s="120"/>
      <c r="IGM3" s="120"/>
      <c r="IGN3" s="120"/>
      <c r="IGO3" s="120"/>
      <c r="IGP3" s="120"/>
      <c r="IGQ3" s="120"/>
      <c r="IGR3" s="120"/>
      <c r="IGS3" s="120"/>
      <c r="IGT3" s="120"/>
      <c r="IGU3" s="120"/>
      <c r="IGV3" s="120"/>
      <c r="IGW3" s="120"/>
      <c r="IGX3" s="120"/>
      <c r="IGY3" s="120"/>
      <c r="IGZ3" s="120"/>
      <c r="IHA3" s="120"/>
      <c r="IHB3" s="120"/>
      <c r="IHC3" s="120"/>
      <c r="IHD3" s="120"/>
      <c r="IHE3" s="120"/>
      <c r="IHF3" s="120"/>
      <c r="IHG3" s="120"/>
      <c r="IHH3" s="120"/>
      <c r="IHI3" s="120"/>
      <c r="IHJ3" s="120"/>
      <c r="IHK3" s="120"/>
      <c r="IHL3" s="120"/>
      <c r="IHM3" s="120"/>
      <c r="IHN3" s="120"/>
      <c r="IHO3" s="120"/>
      <c r="IHP3" s="120"/>
      <c r="IHQ3" s="120"/>
      <c r="IHR3" s="120"/>
      <c r="IHS3" s="120"/>
      <c r="IHT3" s="120"/>
      <c r="IHU3" s="120"/>
      <c r="IHV3" s="120"/>
      <c r="IHW3" s="120"/>
      <c r="IHX3" s="120"/>
      <c r="IHY3" s="120"/>
      <c r="IHZ3" s="120"/>
      <c r="IIA3" s="120"/>
      <c r="IIB3" s="120"/>
      <c r="IIC3" s="120"/>
      <c r="IID3" s="120"/>
      <c r="IIE3" s="120"/>
      <c r="IIF3" s="120"/>
      <c r="IIG3" s="120"/>
      <c r="IIH3" s="120"/>
      <c r="III3" s="120"/>
      <c r="IIJ3" s="120"/>
      <c r="IIK3" s="120"/>
      <c r="IIL3" s="120"/>
      <c r="IIM3" s="120"/>
      <c r="IIN3" s="120"/>
      <c r="IIO3" s="120"/>
      <c r="IIP3" s="120"/>
      <c r="IIQ3" s="120"/>
      <c r="IIR3" s="120"/>
      <c r="IIS3" s="120"/>
      <c r="IIT3" s="120"/>
      <c r="IIU3" s="120"/>
      <c r="IIV3" s="120"/>
      <c r="IIW3" s="120"/>
      <c r="IIX3" s="120"/>
      <c r="IIY3" s="120"/>
      <c r="IIZ3" s="120"/>
      <c r="IJA3" s="120"/>
      <c r="IJB3" s="120"/>
      <c r="IJC3" s="120"/>
      <c r="IJD3" s="120"/>
      <c r="IJE3" s="120"/>
      <c r="IJF3" s="120"/>
      <c r="IJG3" s="120"/>
      <c r="IJH3" s="120"/>
      <c r="IJI3" s="120"/>
      <c r="IJJ3" s="120"/>
      <c r="IJK3" s="120"/>
      <c r="IJL3" s="120"/>
      <c r="IJM3" s="120"/>
      <c r="IJN3" s="120"/>
      <c r="IJO3" s="120"/>
      <c r="IJP3" s="120"/>
      <c r="IJQ3" s="120"/>
      <c r="IJR3" s="120"/>
      <c r="IJS3" s="120"/>
      <c r="IJT3" s="120"/>
      <c r="IJU3" s="120"/>
      <c r="IJV3" s="120"/>
      <c r="IJW3" s="120"/>
      <c r="IJX3" s="120"/>
      <c r="IJY3" s="120"/>
      <c r="IJZ3" s="120"/>
      <c r="IKA3" s="120"/>
      <c r="IKB3" s="120"/>
      <c r="IKC3" s="120"/>
      <c r="IKD3" s="120"/>
      <c r="IKE3" s="120"/>
      <c r="IKF3" s="120"/>
      <c r="IKG3" s="120"/>
      <c r="IKH3" s="120"/>
      <c r="IKI3" s="120"/>
      <c r="IKJ3" s="120"/>
      <c r="IKK3" s="120"/>
      <c r="IKL3" s="120"/>
      <c r="IKM3" s="120"/>
      <c r="IKN3" s="120"/>
      <c r="IKO3" s="120"/>
      <c r="IKP3" s="120"/>
      <c r="IKQ3" s="120"/>
      <c r="IKR3" s="120"/>
      <c r="IKS3" s="120"/>
      <c r="IKT3" s="120"/>
      <c r="IKU3" s="120"/>
      <c r="IKV3" s="120"/>
      <c r="IKW3" s="120"/>
      <c r="IKX3" s="120"/>
      <c r="IKY3" s="120"/>
      <c r="IKZ3" s="120"/>
      <c r="ILA3" s="120"/>
      <c r="ILB3" s="120"/>
      <c r="ILC3" s="120"/>
      <c r="ILD3" s="120"/>
      <c r="ILE3" s="120"/>
      <c r="ILF3" s="120"/>
      <c r="ILG3" s="120"/>
      <c r="ILH3" s="120"/>
      <c r="ILI3" s="120"/>
      <c r="ILJ3" s="120"/>
      <c r="ILK3" s="120"/>
      <c r="ILL3" s="120"/>
      <c r="ILM3" s="120"/>
      <c r="ILN3" s="120"/>
      <c r="ILO3" s="120"/>
      <c r="ILP3" s="120"/>
      <c r="ILQ3" s="120"/>
      <c r="ILR3" s="120"/>
      <c r="ILS3" s="120"/>
      <c r="ILT3" s="120"/>
      <c r="ILU3" s="120"/>
      <c r="ILV3" s="120"/>
      <c r="ILW3" s="120"/>
      <c r="ILX3" s="120"/>
      <c r="ILY3" s="120"/>
      <c r="ILZ3" s="120"/>
      <c r="IMA3" s="120"/>
      <c r="IMB3" s="120"/>
      <c r="IMC3" s="120"/>
      <c r="IMD3" s="120"/>
      <c r="IME3" s="120"/>
      <c r="IMF3" s="120"/>
      <c r="IMG3" s="120"/>
      <c r="IMH3" s="120"/>
      <c r="IMI3" s="120"/>
      <c r="IMJ3" s="120"/>
      <c r="IMK3" s="120"/>
      <c r="IML3" s="120"/>
      <c r="IMM3" s="120"/>
      <c r="IMN3" s="120"/>
      <c r="IMO3" s="120"/>
      <c r="IMP3" s="120"/>
      <c r="IMQ3" s="120"/>
      <c r="IMR3" s="120"/>
      <c r="IMS3" s="120"/>
      <c r="IMT3" s="120"/>
      <c r="IMU3" s="120"/>
      <c r="IMV3" s="120"/>
      <c r="IMW3" s="120"/>
      <c r="IMX3" s="120"/>
      <c r="IMY3" s="120"/>
      <c r="IMZ3" s="120"/>
      <c r="INA3" s="120"/>
      <c r="INB3" s="120"/>
      <c r="INC3" s="120"/>
      <c r="IND3" s="120"/>
      <c r="INE3" s="120"/>
      <c r="INF3" s="120"/>
      <c r="ING3" s="120"/>
      <c r="INH3" s="120"/>
      <c r="INI3" s="120"/>
      <c r="INJ3" s="120"/>
      <c r="INK3" s="120"/>
      <c r="INL3" s="120"/>
      <c r="INM3" s="120"/>
      <c r="INN3" s="120"/>
      <c r="INO3" s="120"/>
      <c r="INP3" s="120"/>
      <c r="INQ3" s="120"/>
      <c r="INR3" s="120"/>
      <c r="INS3" s="120"/>
      <c r="INT3" s="120"/>
      <c r="INU3" s="120"/>
      <c r="INV3" s="120"/>
      <c r="INW3" s="120"/>
      <c r="INX3" s="120"/>
      <c r="INY3" s="120"/>
      <c r="INZ3" s="120"/>
      <c r="IOA3" s="120"/>
      <c r="IOB3" s="120"/>
      <c r="IOC3" s="120"/>
      <c r="IOD3" s="120"/>
      <c r="IOE3" s="120"/>
      <c r="IOF3" s="120"/>
      <c r="IOG3" s="120"/>
      <c r="IOH3" s="120"/>
      <c r="IOI3" s="120"/>
      <c r="IOJ3" s="120"/>
      <c r="IOK3" s="120"/>
      <c r="IOL3" s="120"/>
      <c r="IOM3" s="120"/>
      <c r="ION3" s="120"/>
      <c r="IOO3" s="120"/>
      <c r="IOP3" s="120"/>
      <c r="IOQ3" s="120"/>
      <c r="IOR3" s="120"/>
      <c r="IOS3" s="120"/>
      <c r="IOT3" s="120"/>
      <c r="IOU3" s="120"/>
      <c r="IOV3" s="120"/>
      <c r="IOW3" s="120"/>
      <c r="IOX3" s="120"/>
      <c r="IOY3" s="120"/>
      <c r="IOZ3" s="120"/>
      <c r="IPA3" s="120"/>
      <c r="IPB3" s="120"/>
      <c r="IPC3" s="120"/>
      <c r="IPD3" s="120"/>
      <c r="IPE3" s="120"/>
      <c r="IPF3" s="120"/>
      <c r="IPG3" s="120"/>
      <c r="IPH3" s="120"/>
      <c r="IPI3" s="120"/>
      <c r="IPJ3" s="120"/>
      <c r="IPK3" s="120"/>
      <c r="IPL3" s="120"/>
      <c r="IPM3" s="120"/>
      <c r="IPN3" s="120"/>
      <c r="IPO3" s="120"/>
      <c r="IPP3" s="120"/>
      <c r="IPQ3" s="120"/>
      <c r="IPR3" s="120"/>
      <c r="IPS3" s="120"/>
      <c r="IPT3" s="120"/>
      <c r="IPU3" s="120"/>
      <c r="IPV3" s="120"/>
      <c r="IPW3" s="120"/>
      <c r="IPX3" s="120"/>
      <c r="IPY3" s="120"/>
      <c r="IPZ3" s="120"/>
      <c r="IQA3" s="120"/>
      <c r="IQB3" s="120"/>
      <c r="IQC3" s="120"/>
      <c r="IQD3" s="120"/>
      <c r="IQE3" s="120"/>
      <c r="IQF3" s="120"/>
      <c r="IQG3" s="120"/>
      <c r="IQH3" s="120"/>
      <c r="IQI3" s="120"/>
      <c r="IQJ3" s="120"/>
      <c r="IQK3" s="120"/>
      <c r="IQL3" s="120"/>
      <c r="IQM3" s="120"/>
      <c r="IQN3" s="120"/>
      <c r="IQO3" s="120"/>
      <c r="IQP3" s="120"/>
      <c r="IQQ3" s="120"/>
      <c r="IQR3" s="120"/>
      <c r="IQS3" s="120"/>
      <c r="IQT3" s="120"/>
      <c r="IQU3" s="120"/>
      <c r="IQV3" s="120"/>
      <c r="IQW3" s="120"/>
      <c r="IQX3" s="120"/>
      <c r="IQY3" s="120"/>
      <c r="IQZ3" s="120"/>
      <c r="IRA3" s="120"/>
      <c r="IRB3" s="120"/>
      <c r="IRC3" s="120"/>
      <c r="IRD3" s="120"/>
      <c r="IRE3" s="120"/>
      <c r="IRF3" s="120"/>
      <c r="IRG3" s="120"/>
      <c r="IRH3" s="120"/>
      <c r="IRI3" s="120"/>
      <c r="IRJ3" s="120"/>
      <c r="IRK3" s="120"/>
      <c r="IRL3" s="120"/>
      <c r="IRM3" s="120"/>
      <c r="IRN3" s="120"/>
      <c r="IRO3" s="120"/>
      <c r="IRP3" s="120"/>
      <c r="IRQ3" s="120"/>
      <c r="IRR3" s="120"/>
      <c r="IRS3" s="120"/>
      <c r="IRT3" s="120"/>
      <c r="IRU3" s="120"/>
      <c r="IRV3" s="120"/>
      <c r="IRW3" s="120"/>
      <c r="IRX3" s="120"/>
      <c r="IRY3" s="120"/>
      <c r="IRZ3" s="120"/>
      <c r="ISA3" s="120"/>
      <c r="ISB3" s="120"/>
      <c r="ISC3" s="120"/>
      <c r="ISD3" s="120"/>
      <c r="ISE3" s="120"/>
      <c r="ISF3" s="120"/>
      <c r="ISG3" s="120"/>
      <c r="ISH3" s="120"/>
      <c r="ISI3" s="120"/>
      <c r="ISJ3" s="120"/>
      <c r="ISK3" s="120"/>
      <c r="ISL3" s="120"/>
      <c r="ISM3" s="120"/>
      <c r="ISN3" s="120"/>
      <c r="ISO3" s="120"/>
      <c r="ISP3" s="120"/>
      <c r="ISQ3" s="120"/>
      <c r="ISR3" s="120"/>
      <c r="ISS3" s="120"/>
      <c r="IST3" s="120"/>
      <c r="ISU3" s="120"/>
      <c r="ISV3" s="120"/>
      <c r="ISW3" s="120"/>
      <c r="ISX3" s="120"/>
      <c r="ISY3" s="120"/>
      <c r="ISZ3" s="120"/>
      <c r="ITA3" s="120"/>
      <c r="ITB3" s="120"/>
      <c r="ITC3" s="120"/>
      <c r="ITD3" s="120"/>
      <c r="ITE3" s="120"/>
      <c r="ITF3" s="120"/>
      <c r="ITG3" s="120"/>
      <c r="ITH3" s="120"/>
      <c r="ITI3" s="120"/>
      <c r="ITJ3" s="120"/>
      <c r="ITK3" s="120"/>
      <c r="ITL3" s="120"/>
      <c r="ITM3" s="120"/>
      <c r="ITN3" s="120"/>
      <c r="ITO3" s="120"/>
      <c r="ITP3" s="120"/>
      <c r="ITQ3" s="120"/>
      <c r="ITR3" s="120"/>
      <c r="ITS3" s="120"/>
      <c r="ITT3" s="120"/>
      <c r="ITU3" s="120"/>
      <c r="ITV3" s="120"/>
      <c r="ITW3" s="120"/>
      <c r="ITX3" s="120"/>
      <c r="ITY3" s="120"/>
      <c r="ITZ3" s="120"/>
      <c r="IUA3" s="120"/>
      <c r="IUB3" s="120"/>
      <c r="IUC3" s="120"/>
      <c r="IUD3" s="120"/>
      <c r="IUE3" s="120"/>
      <c r="IUF3" s="120"/>
      <c r="IUG3" s="120"/>
      <c r="IUH3" s="120"/>
      <c r="IUI3" s="120"/>
      <c r="IUJ3" s="120"/>
      <c r="IUK3" s="120"/>
      <c r="IUL3" s="120"/>
      <c r="IUM3" s="120"/>
      <c r="IUN3" s="120"/>
      <c r="IUO3" s="120"/>
      <c r="IUP3" s="120"/>
      <c r="IUQ3" s="120"/>
      <c r="IUR3" s="120"/>
      <c r="IUS3" s="120"/>
      <c r="IUT3" s="120"/>
      <c r="IUU3" s="120"/>
      <c r="IUV3" s="120"/>
      <c r="IUW3" s="120"/>
      <c r="IUX3" s="120"/>
      <c r="IUY3" s="120"/>
      <c r="IUZ3" s="120"/>
      <c r="IVA3" s="120"/>
      <c r="IVB3" s="120"/>
      <c r="IVC3" s="120"/>
      <c r="IVD3" s="120"/>
      <c r="IVE3" s="120"/>
      <c r="IVF3" s="120"/>
      <c r="IVG3" s="120"/>
      <c r="IVH3" s="120"/>
      <c r="IVI3" s="120"/>
      <c r="IVJ3" s="120"/>
      <c r="IVK3" s="120"/>
      <c r="IVL3" s="120"/>
      <c r="IVM3" s="120"/>
      <c r="IVN3" s="120"/>
      <c r="IVO3" s="120"/>
      <c r="IVP3" s="120"/>
      <c r="IVQ3" s="120"/>
      <c r="IVR3" s="120"/>
      <c r="IVS3" s="120"/>
      <c r="IVT3" s="120"/>
      <c r="IVU3" s="120"/>
      <c r="IVV3" s="120"/>
      <c r="IVW3" s="120"/>
      <c r="IVX3" s="120"/>
      <c r="IVY3" s="120"/>
      <c r="IVZ3" s="120"/>
      <c r="IWA3" s="120"/>
      <c r="IWB3" s="120"/>
      <c r="IWC3" s="120"/>
      <c r="IWD3" s="120"/>
      <c r="IWE3" s="120"/>
      <c r="IWF3" s="120"/>
      <c r="IWG3" s="120"/>
      <c r="IWH3" s="120"/>
      <c r="IWI3" s="120"/>
      <c r="IWJ3" s="120"/>
      <c r="IWK3" s="120"/>
      <c r="IWL3" s="120"/>
      <c r="IWM3" s="120"/>
      <c r="IWN3" s="120"/>
      <c r="IWO3" s="120"/>
      <c r="IWP3" s="120"/>
      <c r="IWQ3" s="120"/>
      <c r="IWR3" s="120"/>
      <c r="IWS3" s="120"/>
      <c r="IWT3" s="120"/>
      <c r="IWU3" s="120"/>
      <c r="IWV3" s="120"/>
      <c r="IWW3" s="120"/>
      <c r="IWX3" s="120"/>
      <c r="IWY3" s="120"/>
      <c r="IWZ3" s="120"/>
      <c r="IXA3" s="120"/>
      <c r="IXB3" s="120"/>
      <c r="IXC3" s="120"/>
      <c r="IXD3" s="120"/>
      <c r="IXE3" s="120"/>
      <c r="IXF3" s="120"/>
      <c r="IXG3" s="120"/>
      <c r="IXH3" s="120"/>
      <c r="IXI3" s="120"/>
      <c r="IXJ3" s="120"/>
      <c r="IXK3" s="120"/>
      <c r="IXL3" s="120"/>
      <c r="IXM3" s="120"/>
      <c r="IXN3" s="120"/>
      <c r="IXO3" s="120"/>
      <c r="IXP3" s="120"/>
      <c r="IXQ3" s="120"/>
      <c r="IXR3" s="120"/>
      <c r="IXS3" s="120"/>
      <c r="IXT3" s="120"/>
      <c r="IXU3" s="120"/>
      <c r="IXV3" s="120"/>
      <c r="IXW3" s="120"/>
      <c r="IXX3" s="120"/>
      <c r="IXY3" s="120"/>
      <c r="IXZ3" s="120"/>
      <c r="IYA3" s="120"/>
      <c r="IYB3" s="120"/>
      <c r="IYC3" s="120"/>
      <c r="IYD3" s="120"/>
      <c r="IYE3" s="120"/>
      <c r="IYF3" s="120"/>
      <c r="IYG3" s="120"/>
      <c r="IYH3" s="120"/>
      <c r="IYI3" s="120"/>
      <c r="IYJ3" s="120"/>
      <c r="IYK3" s="120"/>
      <c r="IYL3" s="120"/>
      <c r="IYM3" s="120"/>
      <c r="IYN3" s="120"/>
      <c r="IYO3" s="120"/>
      <c r="IYP3" s="120"/>
      <c r="IYQ3" s="120"/>
      <c r="IYR3" s="120"/>
      <c r="IYS3" s="120"/>
      <c r="IYT3" s="120"/>
      <c r="IYU3" s="120"/>
      <c r="IYV3" s="120"/>
      <c r="IYW3" s="120"/>
      <c r="IYX3" s="120"/>
      <c r="IYY3" s="120"/>
      <c r="IYZ3" s="120"/>
      <c r="IZA3" s="120"/>
      <c r="IZB3" s="120"/>
      <c r="IZC3" s="120"/>
      <c r="IZD3" s="120"/>
      <c r="IZE3" s="120"/>
      <c r="IZF3" s="120"/>
      <c r="IZG3" s="120"/>
      <c r="IZH3" s="120"/>
      <c r="IZI3" s="120"/>
      <c r="IZJ3" s="120"/>
      <c r="IZK3" s="120"/>
      <c r="IZL3" s="120"/>
      <c r="IZM3" s="120"/>
      <c r="IZN3" s="120"/>
      <c r="IZO3" s="120"/>
      <c r="IZP3" s="120"/>
      <c r="IZQ3" s="120"/>
      <c r="IZR3" s="120"/>
      <c r="IZS3" s="120"/>
      <c r="IZT3" s="120"/>
      <c r="IZU3" s="120"/>
      <c r="IZV3" s="120"/>
      <c r="IZW3" s="120"/>
      <c r="IZX3" s="120"/>
      <c r="IZY3" s="120"/>
      <c r="IZZ3" s="120"/>
      <c r="JAA3" s="120"/>
      <c r="JAB3" s="120"/>
      <c r="JAC3" s="120"/>
      <c r="JAD3" s="120"/>
      <c r="JAE3" s="120"/>
      <c r="JAF3" s="120"/>
      <c r="JAG3" s="120"/>
      <c r="JAH3" s="120"/>
      <c r="JAI3" s="120"/>
      <c r="JAJ3" s="120"/>
      <c r="JAK3" s="120"/>
      <c r="JAL3" s="120"/>
      <c r="JAM3" s="120"/>
      <c r="JAN3" s="120"/>
      <c r="JAO3" s="120"/>
      <c r="JAP3" s="120"/>
      <c r="JAQ3" s="120"/>
      <c r="JAR3" s="120"/>
      <c r="JAS3" s="120"/>
      <c r="JAT3" s="120"/>
      <c r="JAU3" s="120"/>
      <c r="JAV3" s="120"/>
      <c r="JAW3" s="120"/>
      <c r="JAX3" s="120"/>
      <c r="JAY3" s="120"/>
      <c r="JAZ3" s="120"/>
      <c r="JBA3" s="120"/>
      <c r="JBB3" s="120"/>
      <c r="JBC3" s="120"/>
      <c r="JBD3" s="120"/>
      <c r="JBE3" s="120"/>
      <c r="JBF3" s="120"/>
      <c r="JBG3" s="120"/>
      <c r="JBH3" s="120"/>
      <c r="JBI3" s="120"/>
      <c r="JBJ3" s="120"/>
      <c r="JBK3" s="120"/>
      <c r="JBL3" s="120"/>
      <c r="JBM3" s="120"/>
      <c r="JBN3" s="120"/>
      <c r="JBO3" s="120"/>
      <c r="JBP3" s="120"/>
      <c r="JBQ3" s="120"/>
      <c r="JBR3" s="120"/>
      <c r="JBS3" s="120"/>
      <c r="JBT3" s="120"/>
      <c r="JBU3" s="120"/>
      <c r="JBV3" s="120"/>
      <c r="JBW3" s="120"/>
      <c r="JBX3" s="120"/>
      <c r="JBY3" s="120"/>
      <c r="JBZ3" s="120"/>
      <c r="JCA3" s="120"/>
      <c r="JCB3" s="120"/>
      <c r="JCC3" s="120"/>
      <c r="JCD3" s="120"/>
      <c r="JCE3" s="120"/>
      <c r="JCF3" s="120"/>
      <c r="JCG3" s="120"/>
      <c r="JCH3" s="120"/>
      <c r="JCI3" s="120"/>
      <c r="JCJ3" s="120"/>
      <c r="JCK3" s="120"/>
      <c r="JCL3" s="120"/>
      <c r="JCM3" s="120"/>
      <c r="JCN3" s="120"/>
      <c r="JCO3" s="120"/>
      <c r="JCP3" s="120"/>
      <c r="JCQ3" s="120"/>
      <c r="JCR3" s="120"/>
      <c r="JCS3" s="120"/>
      <c r="JCT3" s="120"/>
      <c r="JCU3" s="120"/>
      <c r="JCV3" s="120"/>
      <c r="JCW3" s="120"/>
      <c r="JCX3" s="120"/>
      <c r="JCY3" s="120"/>
      <c r="JCZ3" s="120"/>
      <c r="JDA3" s="120"/>
      <c r="JDB3" s="120"/>
      <c r="JDC3" s="120"/>
      <c r="JDD3" s="120"/>
      <c r="JDE3" s="120"/>
      <c r="JDF3" s="120"/>
      <c r="JDG3" s="120"/>
      <c r="JDH3" s="120"/>
      <c r="JDI3" s="120"/>
      <c r="JDJ3" s="120"/>
      <c r="JDK3" s="120"/>
      <c r="JDL3" s="120"/>
      <c r="JDM3" s="120"/>
      <c r="JDN3" s="120"/>
      <c r="JDO3" s="120"/>
      <c r="JDP3" s="120"/>
      <c r="JDQ3" s="120"/>
      <c r="JDR3" s="120"/>
      <c r="JDS3" s="120"/>
      <c r="JDT3" s="120"/>
      <c r="JDU3" s="120"/>
      <c r="JDV3" s="120"/>
      <c r="JDW3" s="120"/>
      <c r="JDX3" s="120"/>
      <c r="JDY3" s="120"/>
      <c r="JDZ3" s="120"/>
      <c r="JEA3" s="120"/>
      <c r="JEB3" s="120"/>
      <c r="JEC3" s="120"/>
      <c r="JED3" s="120"/>
      <c r="JEE3" s="120"/>
      <c r="JEF3" s="120"/>
      <c r="JEG3" s="120"/>
      <c r="JEH3" s="120"/>
      <c r="JEI3" s="120"/>
      <c r="JEJ3" s="120"/>
      <c r="JEK3" s="120"/>
      <c r="JEL3" s="120"/>
      <c r="JEM3" s="120"/>
      <c r="JEN3" s="120"/>
      <c r="JEO3" s="120"/>
      <c r="JEP3" s="120"/>
      <c r="JEQ3" s="120"/>
      <c r="JER3" s="120"/>
      <c r="JES3" s="120"/>
      <c r="JET3" s="120"/>
      <c r="JEU3" s="120"/>
      <c r="JEV3" s="120"/>
      <c r="JEW3" s="120"/>
      <c r="JEX3" s="120"/>
      <c r="JEY3" s="120"/>
      <c r="JEZ3" s="120"/>
      <c r="JFA3" s="120"/>
      <c r="JFB3" s="120"/>
      <c r="JFC3" s="120"/>
      <c r="JFD3" s="120"/>
      <c r="JFE3" s="120"/>
      <c r="JFF3" s="120"/>
      <c r="JFG3" s="120"/>
      <c r="JFH3" s="120"/>
      <c r="JFI3" s="120"/>
      <c r="JFJ3" s="120"/>
      <c r="JFK3" s="120"/>
      <c r="JFL3" s="120"/>
      <c r="JFM3" s="120"/>
      <c r="JFN3" s="120"/>
      <c r="JFO3" s="120"/>
      <c r="JFP3" s="120"/>
      <c r="JFQ3" s="120"/>
      <c r="JFR3" s="120"/>
      <c r="JFS3" s="120"/>
      <c r="JFT3" s="120"/>
      <c r="JFU3" s="120"/>
      <c r="JFV3" s="120"/>
      <c r="JFW3" s="120"/>
      <c r="JFX3" s="120"/>
      <c r="JFY3" s="120"/>
      <c r="JFZ3" s="120"/>
      <c r="JGA3" s="120"/>
      <c r="JGB3" s="120"/>
      <c r="JGC3" s="120"/>
      <c r="JGD3" s="120"/>
      <c r="JGE3" s="120"/>
      <c r="JGF3" s="120"/>
      <c r="JGG3" s="120"/>
      <c r="JGH3" s="120"/>
      <c r="JGI3" s="120"/>
      <c r="JGJ3" s="120"/>
      <c r="JGK3" s="120"/>
      <c r="JGL3" s="120"/>
      <c r="JGM3" s="120"/>
      <c r="JGN3" s="120"/>
      <c r="JGO3" s="120"/>
      <c r="JGP3" s="120"/>
      <c r="JGQ3" s="120"/>
      <c r="JGR3" s="120"/>
      <c r="JGS3" s="120"/>
      <c r="JGT3" s="120"/>
      <c r="JGU3" s="120"/>
      <c r="JGV3" s="120"/>
      <c r="JGW3" s="120"/>
      <c r="JGX3" s="120"/>
      <c r="JGY3" s="120"/>
      <c r="JGZ3" s="120"/>
      <c r="JHA3" s="120"/>
      <c r="JHB3" s="120"/>
      <c r="JHC3" s="120"/>
      <c r="JHD3" s="120"/>
      <c r="JHE3" s="120"/>
      <c r="JHF3" s="120"/>
      <c r="JHG3" s="120"/>
      <c r="JHH3" s="120"/>
      <c r="JHI3" s="120"/>
      <c r="JHJ3" s="120"/>
      <c r="JHK3" s="120"/>
      <c r="JHL3" s="120"/>
      <c r="JHM3" s="120"/>
      <c r="JHN3" s="120"/>
      <c r="JHO3" s="120"/>
      <c r="JHP3" s="120"/>
      <c r="JHQ3" s="120"/>
      <c r="JHR3" s="120"/>
      <c r="JHS3" s="120"/>
      <c r="JHT3" s="120"/>
      <c r="JHU3" s="120"/>
      <c r="JHV3" s="120"/>
      <c r="JHW3" s="120"/>
      <c r="JHX3" s="120"/>
      <c r="JHY3" s="120"/>
      <c r="JHZ3" s="120"/>
      <c r="JIA3" s="120"/>
      <c r="JIB3" s="120"/>
      <c r="JIC3" s="120"/>
      <c r="JID3" s="120"/>
      <c r="JIE3" s="120"/>
      <c r="JIF3" s="120"/>
      <c r="JIG3" s="120"/>
      <c r="JIH3" s="120"/>
      <c r="JII3" s="120"/>
      <c r="JIJ3" s="120"/>
      <c r="JIK3" s="120"/>
      <c r="JIL3" s="120"/>
      <c r="JIM3" s="120"/>
      <c r="JIN3" s="120"/>
      <c r="JIO3" s="120"/>
      <c r="JIP3" s="120"/>
      <c r="JIQ3" s="120"/>
      <c r="JIR3" s="120"/>
      <c r="JIS3" s="120"/>
      <c r="JIT3" s="120"/>
      <c r="JIU3" s="120"/>
      <c r="JIV3" s="120"/>
      <c r="JIW3" s="120"/>
      <c r="JIX3" s="120"/>
      <c r="JIY3" s="120"/>
      <c r="JIZ3" s="120"/>
      <c r="JJA3" s="120"/>
      <c r="JJB3" s="120"/>
      <c r="JJC3" s="120"/>
      <c r="JJD3" s="120"/>
      <c r="JJE3" s="120"/>
      <c r="JJF3" s="120"/>
      <c r="JJG3" s="120"/>
      <c r="JJH3" s="120"/>
      <c r="JJI3" s="120"/>
      <c r="JJJ3" s="120"/>
      <c r="JJK3" s="120"/>
      <c r="JJL3" s="120"/>
      <c r="JJM3" s="120"/>
      <c r="JJN3" s="120"/>
      <c r="JJO3" s="120"/>
      <c r="JJP3" s="120"/>
      <c r="JJQ3" s="120"/>
      <c r="JJR3" s="120"/>
      <c r="JJS3" s="120"/>
      <c r="JJT3" s="120"/>
      <c r="JJU3" s="120"/>
      <c r="JJV3" s="120"/>
      <c r="JJW3" s="120"/>
      <c r="JJX3" s="120"/>
      <c r="JJY3" s="120"/>
      <c r="JJZ3" s="120"/>
      <c r="JKA3" s="120"/>
      <c r="JKB3" s="120"/>
      <c r="JKC3" s="120"/>
      <c r="JKD3" s="120"/>
      <c r="JKE3" s="120"/>
      <c r="JKF3" s="120"/>
      <c r="JKG3" s="120"/>
      <c r="JKH3" s="120"/>
      <c r="JKI3" s="120"/>
      <c r="JKJ3" s="120"/>
      <c r="JKK3" s="120"/>
      <c r="JKL3" s="120"/>
      <c r="JKM3" s="120"/>
      <c r="JKN3" s="120"/>
      <c r="JKO3" s="120"/>
      <c r="JKP3" s="120"/>
      <c r="JKQ3" s="120"/>
      <c r="JKR3" s="120"/>
      <c r="JKS3" s="120"/>
      <c r="JKT3" s="120"/>
      <c r="JKU3" s="120"/>
      <c r="JKV3" s="120"/>
      <c r="JKW3" s="120"/>
      <c r="JKX3" s="120"/>
      <c r="JKY3" s="120"/>
      <c r="JKZ3" s="120"/>
      <c r="JLA3" s="120"/>
      <c r="JLB3" s="120"/>
      <c r="JLC3" s="120"/>
      <c r="JLD3" s="120"/>
      <c r="JLE3" s="120"/>
      <c r="JLF3" s="120"/>
      <c r="JLG3" s="120"/>
      <c r="JLH3" s="120"/>
      <c r="JLI3" s="120"/>
      <c r="JLJ3" s="120"/>
      <c r="JLK3" s="120"/>
      <c r="JLL3" s="120"/>
      <c r="JLM3" s="120"/>
      <c r="JLN3" s="120"/>
      <c r="JLO3" s="120"/>
      <c r="JLP3" s="120"/>
      <c r="JLQ3" s="120"/>
      <c r="JLR3" s="120"/>
      <c r="JLS3" s="120"/>
      <c r="JLT3" s="120"/>
      <c r="JLU3" s="120"/>
      <c r="JLV3" s="120"/>
      <c r="JLW3" s="120"/>
      <c r="JLX3" s="120"/>
      <c r="JLY3" s="120"/>
      <c r="JLZ3" s="120"/>
      <c r="JMA3" s="120"/>
      <c r="JMB3" s="120"/>
      <c r="JMC3" s="120"/>
      <c r="JMD3" s="120"/>
      <c r="JME3" s="120"/>
      <c r="JMF3" s="120"/>
      <c r="JMG3" s="120"/>
      <c r="JMH3" s="120"/>
      <c r="JMI3" s="120"/>
      <c r="JMJ3" s="120"/>
      <c r="JMK3" s="120"/>
      <c r="JML3" s="120"/>
      <c r="JMM3" s="120"/>
      <c r="JMN3" s="120"/>
      <c r="JMO3" s="120"/>
      <c r="JMP3" s="120"/>
      <c r="JMQ3" s="120"/>
      <c r="JMR3" s="120"/>
      <c r="JMS3" s="120"/>
      <c r="JMT3" s="120"/>
      <c r="JMU3" s="120"/>
      <c r="JMV3" s="120"/>
      <c r="JMW3" s="120"/>
      <c r="JMX3" s="120"/>
      <c r="JMY3" s="120"/>
      <c r="JMZ3" s="120"/>
      <c r="JNA3" s="120"/>
      <c r="JNB3" s="120"/>
      <c r="JNC3" s="120"/>
      <c r="JND3" s="120"/>
      <c r="JNE3" s="120"/>
      <c r="JNF3" s="120"/>
      <c r="JNG3" s="120"/>
      <c r="JNH3" s="120"/>
      <c r="JNI3" s="120"/>
      <c r="JNJ3" s="120"/>
      <c r="JNK3" s="120"/>
      <c r="JNL3" s="120"/>
      <c r="JNM3" s="120"/>
      <c r="JNN3" s="120"/>
      <c r="JNO3" s="120"/>
      <c r="JNP3" s="120"/>
      <c r="JNQ3" s="120"/>
      <c r="JNR3" s="120"/>
      <c r="JNS3" s="120"/>
      <c r="JNT3" s="120"/>
      <c r="JNU3" s="120"/>
      <c r="JNV3" s="120"/>
      <c r="JNW3" s="120"/>
      <c r="JNX3" s="120"/>
      <c r="JNY3" s="120"/>
      <c r="JNZ3" s="120"/>
      <c r="JOA3" s="120"/>
      <c r="JOB3" s="120"/>
      <c r="JOC3" s="120"/>
      <c r="JOD3" s="120"/>
      <c r="JOE3" s="120"/>
      <c r="JOF3" s="120"/>
      <c r="JOG3" s="120"/>
      <c r="JOH3" s="120"/>
      <c r="JOI3" s="120"/>
      <c r="JOJ3" s="120"/>
      <c r="JOK3" s="120"/>
      <c r="JOL3" s="120"/>
      <c r="JOM3" s="120"/>
      <c r="JON3" s="120"/>
      <c r="JOO3" s="120"/>
      <c r="JOP3" s="120"/>
      <c r="JOQ3" s="120"/>
      <c r="JOR3" s="120"/>
      <c r="JOS3" s="120"/>
      <c r="JOT3" s="120"/>
      <c r="JOU3" s="120"/>
      <c r="JOV3" s="120"/>
      <c r="JOW3" s="120"/>
      <c r="JOX3" s="120"/>
      <c r="JOY3" s="120"/>
      <c r="JOZ3" s="120"/>
      <c r="JPA3" s="120"/>
      <c r="JPB3" s="120"/>
      <c r="JPC3" s="120"/>
      <c r="JPD3" s="120"/>
      <c r="JPE3" s="120"/>
      <c r="JPF3" s="120"/>
      <c r="JPG3" s="120"/>
      <c r="JPH3" s="120"/>
      <c r="JPI3" s="120"/>
      <c r="JPJ3" s="120"/>
      <c r="JPK3" s="120"/>
      <c r="JPL3" s="120"/>
      <c r="JPM3" s="120"/>
      <c r="JPN3" s="120"/>
      <c r="JPO3" s="120"/>
      <c r="JPP3" s="120"/>
      <c r="JPQ3" s="120"/>
      <c r="JPR3" s="120"/>
      <c r="JPS3" s="120"/>
      <c r="JPT3" s="120"/>
      <c r="JPU3" s="120"/>
      <c r="JPV3" s="120"/>
      <c r="JPW3" s="120"/>
      <c r="JPX3" s="120"/>
      <c r="JPY3" s="120"/>
      <c r="JPZ3" s="120"/>
      <c r="JQA3" s="120"/>
      <c r="JQB3" s="120"/>
      <c r="JQC3" s="120"/>
      <c r="JQD3" s="120"/>
      <c r="JQE3" s="120"/>
      <c r="JQF3" s="120"/>
      <c r="JQG3" s="120"/>
      <c r="JQH3" s="120"/>
      <c r="JQI3" s="120"/>
      <c r="JQJ3" s="120"/>
      <c r="JQK3" s="120"/>
      <c r="JQL3" s="120"/>
      <c r="JQM3" s="120"/>
      <c r="JQN3" s="120"/>
      <c r="JQO3" s="120"/>
      <c r="JQP3" s="120"/>
      <c r="JQQ3" s="120"/>
      <c r="JQR3" s="120"/>
      <c r="JQS3" s="120"/>
      <c r="JQT3" s="120"/>
      <c r="JQU3" s="120"/>
      <c r="JQV3" s="120"/>
      <c r="JQW3" s="120"/>
      <c r="JQX3" s="120"/>
      <c r="JQY3" s="120"/>
      <c r="JQZ3" s="120"/>
      <c r="JRA3" s="120"/>
      <c r="JRB3" s="120"/>
      <c r="JRC3" s="120"/>
      <c r="JRD3" s="120"/>
      <c r="JRE3" s="120"/>
      <c r="JRF3" s="120"/>
      <c r="JRG3" s="120"/>
      <c r="JRH3" s="120"/>
      <c r="JRI3" s="120"/>
      <c r="JRJ3" s="120"/>
      <c r="JRK3" s="120"/>
      <c r="JRL3" s="120"/>
      <c r="JRM3" s="120"/>
      <c r="JRN3" s="120"/>
      <c r="JRO3" s="120"/>
      <c r="JRP3" s="120"/>
      <c r="JRQ3" s="120"/>
      <c r="JRR3" s="120"/>
      <c r="JRS3" s="120"/>
      <c r="JRT3" s="120"/>
      <c r="JRU3" s="120"/>
      <c r="JRV3" s="120"/>
      <c r="JRW3" s="120"/>
      <c r="JRX3" s="120"/>
      <c r="JRY3" s="120"/>
      <c r="JRZ3" s="120"/>
      <c r="JSA3" s="120"/>
      <c r="JSB3" s="120"/>
      <c r="JSC3" s="120"/>
      <c r="JSD3" s="120"/>
      <c r="JSE3" s="120"/>
      <c r="JSF3" s="120"/>
      <c r="JSG3" s="120"/>
      <c r="JSH3" s="120"/>
      <c r="JSI3" s="120"/>
      <c r="JSJ3" s="120"/>
      <c r="JSK3" s="120"/>
      <c r="JSL3" s="120"/>
      <c r="JSM3" s="120"/>
      <c r="JSN3" s="120"/>
      <c r="JSO3" s="120"/>
      <c r="JSP3" s="120"/>
      <c r="JSQ3" s="120"/>
      <c r="JSR3" s="120"/>
      <c r="JSS3" s="120"/>
      <c r="JST3" s="120"/>
      <c r="JSU3" s="120"/>
      <c r="JSV3" s="120"/>
      <c r="JSW3" s="120"/>
      <c r="JSX3" s="120"/>
      <c r="JSY3" s="120"/>
      <c r="JSZ3" s="120"/>
      <c r="JTA3" s="120"/>
      <c r="JTB3" s="120"/>
      <c r="JTC3" s="120"/>
      <c r="JTD3" s="120"/>
      <c r="JTE3" s="120"/>
      <c r="JTF3" s="120"/>
      <c r="JTG3" s="120"/>
      <c r="JTH3" s="120"/>
      <c r="JTI3" s="120"/>
      <c r="JTJ3" s="120"/>
      <c r="JTK3" s="120"/>
      <c r="JTL3" s="120"/>
      <c r="JTM3" s="120"/>
      <c r="JTN3" s="120"/>
      <c r="JTO3" s="120"/>
      <c r="JTP3" s="120"/>
      <c r="JTQ3" s="120"/>
      <c r="JTR3" s="120"/>
      <c r="JTS3" s="120"/>
      <c r="JTT3" s="120"/>
      <c r="JTU3" s="120"/>
      <c r="JTV3" s="120"/>
      <c r="JTW3" s="120"/>
      <c r="JTX3" s="120"/>
      <c r="JTY3" s="120"/>
      <c r="JTZ3" s="120"/>
      <c r="JUA3" s="120"/>
      <c r="JUB3" s="120"/>
      <c r="JUC3" s="120"/>
      <c r="JUD3" s="120"/>
      <c r="JUE3" s="120"/>
      <c r="JUF3" s="120"/>
      <c r="JUG3" s="120"/>
      <c r="JUH3" s="120"/>
      <c r="JUI3" s="120"/>
      <c r="JUJ3" s="120"/>
      <c r="JUK3" s="120"/>
      <c r="JUL3" s="120"/>
      <c r="JUM3" s="120"/>
      <c r="JUN3" s="120"/>
      <c r="JUO3" s="120"/>
      <c r="JUP3" s="120"/>
      <c r="JUQ3" s="120"/>
      <c r="JUR3" s="120"/>
      <c r="JUS3" s="120"/>
      <c r="JUT3" s="120"/>
      <c r="JUU3" s="120"/>
      <c r="JUV3" s="120"/>
      <c r="JUW3" s="120"/>
      <c r="JUX3" s="120"/>
      <c r="JUY3" s="120"/>
      <c r="JUZ3" s="120"/>
      <c r="JVA3" s="120"/>
      <c r="JVB3" s="120"/>
      <c r="JVC3" s="120"/>
      <c r="JVD3" s="120"/>
      <c r="JVE3" s="120"/>
      <c r="JVF3" s="120"/>
      <c r="JVG3" s="120"/>
      <c r="JVH3" s="120"/>
      <c r="JVI3" s="120"/>
      <c r="JVJ3" s="120"/>
      <c r="JVK3" s="120"/>
      <c r="JVL3" s="120"/>
      <c r="JVM3" s="120"/>
      <c r="JVN3" s="120"/>
      <c r="JVO3" s="120"/>
      <c r="JVP3" s="120"/>
      <c r="JVQ3" s="120"/>
      <c r="JVR3" s="120"/>
      <c r="JVS3" s="120"/>
      <c r="JVT3" s="120"/>
      <c r="JVU3" s="120"/>
      <c r="JVV3" s="120"/>
      <c r="JVW3" s="120"/>
      <c r="JVX3" s="120"/>
      <c r="JVY3" s="120"/>
      <c r="JVZ3" s="120"/>
      <c r="JWA3" s="120"/>
      <c r="JWB3" s="120"/>
      <c r="JWC3" s="120"/>
      <c r="JWD3" s="120"/>
      <c r="JWE3" s="120"/>
      <c r="JWF3" s="120"/>
      <c r="JWG3" s="120"/>
      <c r="JWH3" s="120"/>
      <c r="JWI3" s="120"/>
      <c r="JWJ3" s="120"/>
      <c r="JWK3" s="120"/>
      <c r="JWL3" s="120"/>
      <c r="JWM3" s="120"/>
      <c r="JWN3" s="120"/>
      <c r="JWO3" s="120"/>
      <c r="JWP3" s="120"/>
      <c r="JWQ3" s="120"/>
      <c r="JWR3" s="120"/>
      <c r="JWS3" s="120"/>
      <c r="JWT3" s="120"/>
      <c r="JWU3" s="120"/>
      <c r="JWV3" s="120"/>
      <c r="JWW3" s="120"/>
      <c r="JWX3" s="120"/>
      <c r="JWY3" s="120"/>
      <c r="JWZ3" s="120"/>
      <c r="JXA3" s="120"/>
      <c r="JXB3" s="120"/>
      <c r="JXC3" s="120"/>
      <c r="JXD3" s="120"/>
      <c r="JXE3" s="120"/>
      <c r="JXF3" s="120"/>
      <c r="JXG3" s="120"/>
      <c r="JXH3" s="120"/>
      <c r="JXI3" s="120"/>
      <c r="JXJ3" s="120"/>
      <c r="JXK3" s="120"/>
      <c r="JXL3" s="120"/>
      <c r="JXM3" s="120"/>
      <c r="JXN3" s="120"/>
      <c r="JXO3" s="120"/>
      <c r="JXP3" s="120"/>
      <c r="JXQ3" s="120"/>
      <c r="JXR3" s="120"/>
      <c r="JXS3" s="120"/>
      <c r="JXT3" s="120"/>
      <c r="JXU3" s="120"/>
      <c r="JXV3" s="120"/>
      <c r="JXW3" s="120"/>
      <c r="JXX3" s="120"/>
      <c r="JXY3" s="120"/>
      <c r="JXZ3" s="120"/>
      <c r="JYA3" s="120"/>
      <c r="JYB3" s="120"/>
      <c r="JYC3" s="120"/>
      <c r="JYD3" s="120"/>
      <c r="JYE3" s="120"/>
      <c r="JYF3" s="120"/>
      <c r="JYG3" s="120"/>
      <c r="JYH3" s="120"/>
      <c r="JYI3" s="120"/>
      <c r="JYJ3" s="120"/>
      <c r="JYK3" s="120"/>
      <c r="JYL3" s="120"/>
      <c r="JYM3" s="120"/>
      <c r="JYN3" s="120"/>
      <c r="JYO3" s="120"/>
      <c r="JYP3" s="120"/>
      <c r="JYQ3" s="120"/>
      <c r="JYR3" s="120"/>
      <c r="JYS3" s="120"/>
      <c r="JYT3" s="120"/>
      <c r="JYU3" s="120"/>
      <c r="JYV3" s="120"/>
      <c r="JYW3" s="120"/>
      <c r="JYX3" s="120"/>
      <c r="JYY3" s="120"/>
      <c r="JYZ3" s="120"/>
      <c r="JZA3" s="120"/>
      <c r="JZB3" s="120"/>
      <c r="JZC3" s="120"/>
      <c r="JZD3" s="120"/>
      <c r="JZE3" s="120"/>
      <c r="JZF3" s="120"/>
      <c r="JZG3" s="120"/>
      <c r="JZH3" s="120"/>
      <c r="JZI3" s="120"/>
      <c r="JZJ3" s="120"/>
      <c r="JZK3" s="120"/>
      <c r="JZL3" s="120"/>
      <c r="JZM3" s="120"/>
      <c r="JZN3" s="120"/>
      <c r="JZO3" s="120"/>
      <c r="JZP3" s="120"/>
      <c r="JZQ3" s="120"/>
      <c r="JZR3" s="120"/>
      <c r="JZS3" s="120"/>
      <c r="JZT3" s="120"/>
      <c r="JZU3" s="120"/>
      <c r="JZV3" s="120"/>
      <c r="JZW3" s="120"/>
      <c r="JZX3" s="120"/>
      <c r="JZY3" s="120"/>
      <c r="JZZ3" s="120"/>
      <c r="KAA3" s="120"/>
      <c r="KAB3" s="120"/>
      <c r="KAC3" s="120"/>
      <c r="KAD3" s="120"/>
      <c r="KAE3" s="120"/>
      <c r="KAF3" s="120"/>
      <c r="KAG3" s="120"/>
      <c r="KAH3" s="120"/>
      <c r="KAI3" s="120"/>
      <c r="KAJ3" s="120"/>
      <c r="KAK3" s="120"/>
      <c r="KAL3" s="120"/>
      <c r="KAM3" s="120"/>
      <c r="KAN3" s="120"/>
      <c r="KAO3" s="120"/>
      <c r="KAP3" s="120"/>
      <c r="KAQ3" s="120"/>
      <c r="KAR3" s="120"/>
      <c r="KAS3" s="120"/>
      <c r="KAT3" s="120"/>
      <c r="KAU3" s="120"/>
      <c r="KAV3" s="120"/>
      <c r="KAW3" s="120"/>
      <c r="KAX3" s="120"/>
      <c r="KAY3" s="120"/>
      <c r="KAZ3" s="120"/>
      <c r="KBA3" s="120"/>
      <c r="KBB3" s="120"/>
      <c r="KBC3" s="120"/>
      <c r="KBD3" s="120"/>
      <c r="KBE3" s="120"/>
      <c r="KBF3" s="120"/>
      <c r="KBG3" s="120"/>
      <c r="KBH3" s="120"/>
      <c r="KBI3" s="120"/>
      <c r="KBJ3" s="120"/>
      <c r="KBK3" s="120"/>
      <c r="KBL3" s="120"/>
      <c r="KBM3" s="120"/>
      <c r="KBN3" s="120"/>
      <c r="KBO3" s="120"/>
      <c r="KBP3" s="120"/>
      <c r="KBQ3" s="120"/>
      <c r="KBR3" s="120"/>
      <c r="KBS3" s="120"/>
      <c r="KBT3" s="120"/>
      <c r="KBU3" s="120"/>
      <c r="KBV3" s="120"/>
      <c r="KBW3" s="120"/>
      <c r="KBX3" s="120"/>
      <c r="KBY3" s="120"/>
      <c r="KBZ3" s="120"/>
      <c r="KCA3" s="120"/>
      <c r="KCB3" s="120"/>
      <c r="KCC3" s="120"/>
      <c r="KCD3" s="120"/>
      <c r="KCE3" s="120"/>
      <c r="KCF3" s="120"/>
      <c r="KCG3" s="120"/>
      <c r="KCH3" s="120"/>
      <c r="KCI3" s="120"/>
      <c r="KCJ3" s="120"/>
      <c r="KCK3" s="120"/>
      <c r="KCL3" s="120"/>
      <c r="KCM3" s="120"/>
      <c r="KCN3" s="120"/>
      <c r="KCO3" s="120"/>
      <c r="KCP3" s="120"/>
      <c r="KCQ3" s="120"/>
      <c r="KCR3" s="120"/>
      <c r="KCS3" s="120"/>
      <c r="KCT3" s="120"/>
      <c r="KCU3" s="120"/>
      <c r="KCV3" s="120"/>
      <c r="KCW3" s="120"/>
      <c r="KCX3" s="120"/>
      <c r="KCY3" s="120"/>
      <c r="KCZ3" s="120"/>
      <c r="KDA3" s="120"/>
      <c r="KDB3" s="120"/>
      <c r="KDC3" s="120"/>
      <c r="KDD3" s="120"/>
      <c r="KDE3" s="120"/>
      <c r="KDF3" s="120"/>
      <c r="KDG3" s="120"/>
      <c r="KDH3" s="120"/>
      <c r="KDI3" s="120"/>
      <c r="KDJ3" s="120"/>
      <c r="KDK3" s="120"/>
      <c r="KDL3" s="120"/>
      <c r="KDM3" s="120"/>
      <c r="KDN3" s="120"/>
      <c r="KDO3" s="120"/>
      <c r="KDP3" s="120"/>
      <c r="KDQ3" s="120"/>
      <c r="KDR3" s="120"/>
      <c r="KDS3" s="120"/>
      <c r="KDT3" s="120"/>
      <c r="KDU3" s="120"/>
      <c r="KDV3" s="120"/>
      <c r="KDW3" s="120"/>
      <c r="KDX3" s="120"/>
      <c r="KDY3" s="120"/>
      <c r="KDZ3" s="120"/>
      <c r="KEA3" s="120"/>
      <c r="KEB3" s="120"/>
      <c r="KEC3" s="120"/>
      <c r="KED3" s="120"/>
      <c r="KEE3" s="120"/>
      <c r="KEF3" s="120"/>
      <c r="KEG3" s="120"/>
      <c r="KEH3" s="120"/>
      <c r="KEI3" s="120"/>
      <c r="KEJ3" s="120"/>
      <c r="KEK3" s="120"/>
      <c r="KEL3" s="120"/>
      <c r="KEM3" s="120"/>
      <c r="KEN3" s="120"/>
      <c r="KEO3" s="120"/>
      <c r="KEP3" s="120"/>
      <c r="KEQ3" s="120"/>
      <c r="KER3" s="120"/>
      <c r="KES3" s="120"/>
      <c r="KET3" s="120"/>
      <c r="KEU3" s="120"/>
      <c r="KEV3" s="120"/>
      <c r="KEW3" s="120"/>
      <c r="KEX3" s="120"/>
      <c r="KEY3" s="120"/>
      <c r="KEZ3" s="120"/>
      <c r="KFA3" s="120"/>
      <c r="KFB3" s="120"/>
      <c r="KFC3" s="120"/>
      <c r="KFD3" s="120"/>
      <c r="KFE3" s="120"/>
      <c r="KFF3" s="120"/>
      <c r="KFG3" s="120"/>
      <c r="KFH3" s="120"/>
      <c r="KFI3" s="120"/>
      <c r="KFJ3" s="120"/>
      <c r="KFK3" s="120"/>
      <c r="KFL3" s="120"/>
      <c r="KFM3" s="120"/>
      <c r="KFN3" s="120"/>
      <c r="KFO3" s="120"/>
      <c r="KFP3" s="120"/>
      <c r="KFQ3" s="120"/>
      <c r="KFR3" s="120"/>
      <c r="KFS3" s="120"/>
      <c r="KFT3" s="120"/>
      <c r="KFU3" s="120"/>
      <c r="KFV3" s="120"/>
      <c r="KFW3" s="120"/>
      <c r="KFX3" s="120"/>
      <c r="KFY3" s="120"/>
      <c r="KFZ3" s="120"/>
      <c r="KGA3" s="120"/>
      <c r="KGB3" s="120"/>
      <c r="KGC3" s="120"/>
      <c r="KGD3" s="120"/>
      <c r="KGE3" s="120"/>
      <c r="KGF3" s="120"/>
      <c r="KGG3" s="120"/>
      <c r="KGH3" s="120"/>
      <c r="KGI3" s="120"/>
      <c r="KGJ3" s="120"/>
      <c r="KGK3" s="120"/>
      <c r="KGL3" s="120"/>
      <c r="KGM3" s="120"/>
      <c r="KGN3" s="120"/>
      <c r="KGO3" s="120"/>
      <c r="KGP3" s="120"/>
      <c r="KGQ3" s="120"/>
      <c r="KGR3" s="120"/>
      <c r="KGS3" s="120"/>
      <c r="KGT3" s="120"/>
      <c r="KGU3" s="120"/>
      <c r="KGV3" s="120"/>
      <c r="KGW3" s="120"/>
      <c r="KGX3" s="120"/>
      <c r="KGY3" s="120"/>
      <c r="KGZ3" s="120"/>
      <c r="KHA3" s="120"/>
      <c r="KHB3" s="120"/>
      <c r="KHC3" s="120"/>
      <c r="KHD3" s="120"/>
      <c r="KHE3" s="120"/>
      <c r="KHF3" s="120"/>
      <c r="KHG3" s="120"/>
      <c r="KHH3" s="120"/>
      <c r="KHI3" s="120"/>
      <c r="KHJ3" s="120"/>
      <c r="KHK3" s="120"/>
      <c r="KHL3" s="120"/>
      <c r="KHM3" s="120"/>
      <c r="KHN3" s="120"/>
      <c r="KHO3" s="120"/>
      <c r="KHP3" s="120"/>
      <c r="KHQ3" s="120"/>
      <c r="KHR3" s="120"/>
      <c r="KHS3" s="120"/>
      <c r="KHT3" s="120"/>
      <c r="KHU3" s="120"/>
      <c r="KHV3" s="120"/>
      <c r="KHW3" s="120"/>
      <c r="KHX3" s="120"/>
      <c r="KHY3" s="120"/>
      <c r="KHZ3" s="120"/>
      <c r="KIA3" s="120"/>
      <c r="KIB3" s="120"/>
      <c r="KIC3" s="120"/>
      <c r="KID3" s="120"/>
      <c r="KIE3" s="120"/>
      <c r="KIF3" s="120"/>
      <c r="KIG3" s="120"/>
      <c r="KIH3" s="120"/>
      <c r="KII3" s="120"/>
      <c r="KIJ3" s="120"/>
      <c r="KIK3" s="120"/>
      <c r="KIL3" s="120"/>
      <c r="KIM3" s="120"/>
      <c r="KIN3" s="120"/>
      <c r="KIO3" s="120"/>
      <c r="KIP3" s="120"/>
      <c r="KIQ3" s="120"/>
      <c r="KIR3" s="120"/>
      <c r="KIS3" s="120"/>
      <c r="KIT3" s="120"/>
      <c r="KIU3" s="120"/>
      <c r="KIV3" s="120"/>
      <c r="KIW3" s="120"/>
      <c r="KIX3" s="120"/>
      <c r="KIY3" s="120"/>
      <c r="KIZ3" s="120"/>
      <c r="KJA3" s="120"/>
      <c r="KJB3" s="120"/>
      <c r="KJC3" s="120"/>
      <c r="KJD3" s="120"/>
      <c r="KJE3" s="120"/>
      <c r="KJF3" s="120"/>
      <c r="KJG3" s="120"/>
      <c r="KJH3" s="120"/>
      <c r="KJI3" s="120"/>
      <c r="KJJ3" s="120"/>
      <c r="KJK3" s="120"/>
      <c r="KJL3" s="120"/>
      <c r="KJM3" s="120"/>
      <c r="KJN3" s="120"/>
      <c r="KJO3" s="120"/>
      <c r="KJP3" s="120"/>
      <c r="KJQ3" s="120"/>
      <c r="KJR3" s="120"/>
      <c r="KJS3" s="120"/>
      <c r="KJT3" s="120"/>
      <c r="KJU3" s="120"/>
      <c r="KJV3" s="120"/>
      <c r="KJW3" s="120"/>
      <c r="KJX3" s="120"/>
      <c r="KJY3" s="120"/>
      <c r="KJZ3" s="120"/>
      <c r="KKA3" s="120"/>
      <c r="KKB3" s="120"/>
      <c r="KKC3" s="120"/>
      <c r="KKD3" s="120"/>
      <c r="KKE3" s="120"/>
      <c r="KKF3" s="120"/>
      <c r="KKG3" s="120"/>
      <c r="KKH3" s="120"/>
      <c r="KKI3" s="120"/>
      <c r="KKJ3" s="120"/>
      <c r="KKK3" s="120"/>
      <c r="KKL3" s="120"/>
      <c r="KKM3" s="120"/>
      <c r="KKN3" s="120"/>
      <c r="KKO3" s="120"/>
      <c r="KKP3" s="120"/>
      <c r="KKQ3" s="120"/>
      <c r="KKR3" s="120"/>
      <c r="KKS3" s="120"/>
      <c r="KKT3" s="120"/>
      <c r="KKU3" s="120"/>
      <c r="KKV3" s="120"/>
      <c r="KKW3" s="120"/>
      <c r="KKX3" s="120"/>
      <c r="KKY3" s="120"/>
      <c r="KKZ3" s="120"/>
      <c r="KLA3" s="120"/>
      <c r="KLB3" s="120"/>
      <c r="KLC3" s="120"/>
      <c r="KLD3" s="120"/>
      <c r="KLE3" s="120"/>
      <c r="KLF3" s="120"/>
      <c r="KLG3" s="120"/>
      <c r="KLH3" s="120"/>
      <c r="KLI3" s="120"/>
      <c r="KLJ3" s="120"/>
      <c r="KLK3" s="120"/>
      <c r="KLL3" s="120"/>
      <c r="KLM3" s="120"/>
      <c r="KLN3" s="120"/>
      <c r="KLO3" s="120"/>
      <c r="KLP3" s="120"/>
      <c r="KLQ3" s="120"/>
      <c r="KLR3" s="120"/>
      <c r="KLS3" s="120"/>
      <c r="KLT3" s="120"/>
      <c r="KLU3" s="120"/>
      <c r="KLV3" s="120"/>
      <c r="KLW3" s="120"/>
      <c r="KLX3" s="120"/>
      <c r="KLY3" s="120"/>
      <c r="KLZ3" s="120"/>
      <c r="KMA3" s="120"/>
      <c r="KMB3" s="120"/>
      <c r="KMC3" s="120"/>
      <c r="KMD3" s="120"/>
      <c r="KME3" s="120"/>
      <c r="KMF3" s="120"/>
      <c r="KMG3" s="120"/>
      <c r="KMH3" s="120"/>
      <c r="KMI3" s="120"/>
      <c r="KMJ3" s="120"/>
      <c r="KMK3" s="120"/>
      <c r="KML3" s="120"/>
      <c r="KMM3" s="120"/>
      <c r="KMN3" s="120"/>
      <c r="KMO3" s="120"/>
      <c r="KMP3" s="120"/>
      <c r="KMQ3" s="120"/>
      <c r="KMR3" s="120"/>
      <c r="KMS3" s="120"/>
      <c r="KMT3" s="120"/>
      <c r="KMU3" s="120"/>
      <c r="KMV3" s="120"/>
      <c r="KMW3" s="120"/>
      <c r="KMX3" s="120"/>
      <c r="KMY3" s="120"/>
      <c r="KMZ3" s="120"/>
      <c r="KNA3" s="120"/>
      <c r="KNB3" s="120"/>
      <c r="KNC3" s="120"/>
      <c r="KND3" s="120"/>
      <c r="KNE3" s="120"/>
      <c r="KNF3" s="120"/>
      <c r="KNG3" s="120"/>
      <c r="KNH3" s="120"/>
      <c r="KNI3" s="120"/>
      <c r="KNJ3" s="120"/>
      <c r="KNK3" s="120"/>
      <c r="KNL3" s="120"/>
      <c r="KNM3" s="120"/>
      <c r="KNN3" s="120"/>
      <c r="KNO3" s="120"/>
      <c r="KNP3" s="120"/>
      <c r="KNQ3" s="120"/>
      <c r="KNR3" s="120"/>
      <c r="KNS3" s="120"/>
      <c r="KNT3" s="120"/>
      <c r="KNU3" s="120"/>
      <c r="KNV3" s="120"/>
      <c r="KNW3" s="120"/>
      <c r="KNX3" s="120"/>
      <c r="KNY3" s="120"/>
      <c r="KNZ3" s="120"/>
      <c r="KOA3" s="120"/>
      <c r="KOB3" s="120"/>
      <c r="KOC3" s="120"/>
      <c r="KOD3" s="120"/>
      <c r="KOE3" s="120"/>
      <c r="KOF3" s="120"/>
      <c r="KOG3" s="120"/>
      <c r="KOH3" s="120"/>
      <c r="KOI3" s="120"/>
      <c r="KOJ3" s="120"/>
      <c r="KOK3" s="120"/>
      <c r="KOL3" s="120"/>
      <c r="KOM3" s="120"/>
      <c r="KON3" s="120"/>
      <c r="KOO3" s="120"/>
      <c r="KOP3" s="120"/>
      <c r="KOQ3" s="120"/>
      <c r="KOR3" s="120"/>
      <c r="KOS3" s="120"/>
      <c r="KOT3" s="120"/>
      <c r="KOU3" s="120"/>
      <c r="KOV3" s="120"/>
      <c r="KOW3" s="120"/>
      <c r="KOX3" s="120"/>
      <c r="KOY3" s="120"/>
      <c r="KOZ3" s="120"/>
      <c r="KPA3" s="120"/>
      <c r="KPB3" s="120"/>
      <c r="KPC3" s="120"/>
      <c r="KPD3" s="120"/>
      <c r="KPE3" s="120"/>
      <c r="KPF3" s="120"/>
      <c r="KPG3" s="120"/>
      <c r="KPH3" s="120"/>
      <c r="KPI3" s="120"/>
      <c r="KPJ3" s="120"/>
      <c r="KPK3" s="120"/>
      <c r="KPL3" s="120"/>
      <c r="KPM3" s="120"/>
      <c r="KPN3" s="120"/>
      <c r="KPO3" s="120"/>
      <c r="KPP3" s="120"/>
      <c r="KPQ3" s="120"/>
      <c r="KPR3" s="120"/>
      <c r="KPS3" s="120"/>
      <c r="KPT3" s="120"/>
      <c r="KPU3" s="120"/>
      <c r="KPV3" s="120"/>
      <c r="KPW3" s="120"/>
      <c r="KPX3" s="120"/>
      <c r="KPY3" s="120"/>
      <c r="KPZ3" s="120"/>
      <c r="KQA3" s="120"/>
      <c r="KQB3" s="120"/>
      <c r="KQC3" s="120"/>
      <c r="KQD3" s="120"/>
      <c r="KQE3" s="120"/>
      <c r="KQF3" s="120"/>
      <c r="KQG3" s="120"/>
      <c r="KQH3" s="120"/>
      <c r="KQI3" s="120"/>
      <c r="KQJ3" s="120"/>
      <c r="KQK3" s="120"/>
      <c r="KQL3" s="120"/>
      <c r="KQM3" s="120"/>
      <c r="KQN3" s="120"/>
      <c r="KQO3" s="120"/>
      <c r="KQP3" s="120"/>
      <c r="KQQ3" s="120"/>
      <c r="KQR3" s="120"/>
      <c r="KQS3" s="120"/>
      <c r="KQT3" s="120"/>
      <c r="KQU3" s="120"/>
      <c r="KQV3" s="120"/>
      <c r="KQW3" s="120"/>
      <c r="KQX3" s="120"/>
      <c r="KQY3" s="120"/>
      <c r="KQZ3" s="120"/>
      <c r="KRA3" s="120"/>
      <c r="KRB3" s="120"/>
      <c r="KRC3" s="120"/>
      <c r="KRD3" s="120"/>
      <c r="KRE3" s="120"/>
      <c r="KRF3" s="120"/>
      <c r="KRG3" s="120"/>
      <c r="KRH3" s="120"/>
      <c r="KRI3" s="120"/>
      <c r="KRJ3" s="120"/>
      <c r="KRK3" s="120"/>
      <c r="KRL3" s="120"/>
      <c r="KRM3" s="120"/>
      <c r="KRN3" s="120"/>
      <c r="KRO3" s="120"/>
      <c r="KRP3" s="120"/>
      <c r="KRQ3" s="120"/>
      <c r="KRR3" s="120"/>
      <c r="KRS3" s="120"/>
      <c r="KRT3" s="120"/>
      <c r="KRU3" s="120"/>
      <c r="KRV3" s="120"/>
      <c r="KRW3" s="120"/>
      <c r="KRX3" s="120"/>
      <c r="KRY3" s="120"/>
      <c r="KRZ3" s="120"/>
      <c r="KSA3" s="120"/>
      <c r="KSB3" s="120"/>
      <c r="KSC3" s="120"/>
      <c r="KSD3" s="120"/>
      <c r="KSE3" s="120"/>
      <c r="KSF3" s="120"/>
      <c r="KSG3" s="120"/>
      <c r="KSH3" s="120"/>
      <c r="KSI3" s="120"/>
      <c r="KSJ3" s="120"/>
      <c r="KSK3" s="120"/>
      <c r="KSL3" s="120"/>
      <c r="KSM3" s="120"/>
      <c r="KSN3" s="120"/>
      <c r="KSO3" s="120"/>
      <c r="KSP3" s="120"/>
      <c r="KSQ3" s="120"/>
      <c r="KSR3" s="120"/>
      <c r="KSS3" s="120"/>
      <c r="KST3" s="120"/>
      <c r="KSU3" s="120"/>
      <c r="KSV3" s="120"/>
      <c r="KSW3" s="120"/>
      <c r="KSX3" s="120"/>
      <c r="KSY3" s="120"/>
      <c r="KSZ3" s="120"/>
      <c r="KTA3" s="120"/>
      <c r="KTB3" s="120"/>
      <c r="KTC3" s="120"/>
      <c r="KTD3" s="120"/>
      <c r="KTE3" s="120"/>
      <c r="KTF3" s="120"/>
      <c r="KTG3" s="120"/>
      <c r="KTH3" s="120"/>
      <c r="KTI3" s="120"/>
      <c r="KTJ3" s="120"/>
      <c r="KTK3" s="120"/>
      <c r="KTL3" s="120"/>
      <c r="KTM3" s="120"/>
      <c r="KTN3" s="120"/>
      <c r="KTO3" s="120"/>
      <c r="KTP3" s="120"/>
      <c r="KTQ3" s="120"/>
      <c r="KTR3" s="120"/>
      <c r="KTS3" s="120"/>
      <c r="KTT3" s="120"/>
      <c r="KTU3" s="120"/>
      <c r="KTV3" s="120"/>
      <c r="KTW3" s="120"/>
      <c r="KTX3" s="120"/>
      <c r="KTY3" s="120"/>
      <c r="KTZ3" s="120"/>
      <c r="KUA3" s="120"/>
      <c r="KUB3" s="120"/>
      <c r="KUC3" s="120"/>
      <c r="KUD3" s="120"/>
      <c r="KUE3" s="120"/>
      <c r="KUF3" s="120"/>
      <c r="KUG3" s="120"/>
      <c r="KUH3" s="120"/>
      <c r="KUI3" s="120"/>
      <c r="KUJ3" s="120"/>
      <c r="KUK3" s="120"/>
      <c r="KUL3" s="120"/>
      <c r="KUM3" s="120"/>
      <c r="KUN3" s="120"/>
      <c r="KUO3" s="120"/>
      <c r="KUP3" s="120"/>
      <c r="KUQ3" s="120"/>
      <c r="KUR3" s="120"/>
      <c r="KUS3" s="120"/>
      <c r="KUT3" s="120"/>
      <c r="KUU3" s="120"/>
      <c r="KUV3" s="120"/>
      <c r="KUW3" s="120"/>
      <c r="KUX3" s="120"/>
      <c r="KUY3" s="120"/>
      <c r="KUZ3" s="120"/>
      <c r="KVA3" s="120"/>
      <c r="KVB3" s="120"/>
      <c r="KVC3" s="120"/>
      <c r="KVD3" s="120"/>
      <c r="KVE3" s="120"/>
      <c r="KVF3" s="120"/>
      <c r="KVG3" s="120"/>
      <c r="KVH3" s="120"/>
      <c r="KVI3" s="120"/>
      <c r="KVJ3" s="120"/>
      <c r="KVK3" s="120"/>
      <c r="KVL3" s="120"/>
      <c r="KVM3" s="120"/>
      <c r="KVN3" s="120"/>
      <c r="KVO3" s="120"/>
      <c r="KVP3" s="120"/>
      <c r="KVQ3" s="120"/>
      <c r="KVR3" s="120"/>
      <c r="KVS3" s="120"/>
      <c r="KVT3" s="120"/>
      <c r="KVU3" s="120"/>
      <c r="KVV3" s="120"/>
      <c r="KVW3" s="120"/>
      <c r="KVX3" s="120"/>
      <c r="KVY3" s="120"/>
      <c r="KVZ3" s="120"/>
      <c r="KWA3" s="120"/>
      <c r="KWB3" s="120"/>
      <c r="KWC3" s="120"/>
      <c r="KWD3" s="120"/>
      <c r="KWE3" s="120"/>
      <c r="KWF3" s="120"/>
      <c r="KWG3" s="120"/>
      <c r="KWH3" s="120"/>
      <c r="KWI3" s="120"/>
      <c r="KWJ3" s="120"/>
      <c r="KWK3" s="120"/>
      <c r="KWL3" s="120"/>
      <c r="KWM3" s="120"/>
      <c r="KWN3" s="120"/>
      <c r="KWO3" s="120"/>
      <c r="KWP3" s="120"/>
      <c r="KWQ3" s="120"/>
      <c r="KWR3" s="120"/>
      <c r="KWS3" s="120"/>
      <c r="KWT3" s="120"/>
      <c r="KWU3" s="120"/>
      <c r="KWV3" s="120"/>
      <c r="KWW3" s="120"/>
      <c r="KWX3" s="120"/>
      <c r="KWY3" s="120"/>
      <c r="KWZ3" s="120"/>
      <c r="KXA3" s="120"/>
      <c r="KXB3" s="120"/>
      <c r="KXC3" s="120"/>
      <c r="KXD3" s="120"/>
      <c r="KXE3" s="120"/>
      <c r="KXF3" s="120"/>
      <c r="KXG3" s="120"/>
      <c r="KXH3" s="120"/>
      <c r="KXI3" s="120"/>
      <c r="KXJ3" s="120"/>
      <c r="KXK3" s="120"/>
      <c r="KXL3" s="120"/>
      <c r="KXM3" s="120"/>
      <c r="KXN3" s="120"/>
      <c r="KXO3" s="120"/>
      <c r="KXP3" s="120"/>
      <c r="KXQ3" s="120"/>
      <c r="KXR3" s="120"/>
      <c r="KXS3" s="120"/>
      <c r="KXT3" s="120"/>
      <c r="KXU3" s="120"/>
      <c r="KXV3" s="120"/>
      <c r="KXW3" s="120"/>
      <c r="KXX3" s="120"/>
      <c r="KXY3" s="120"/>
      <c r="KXZ3" s="120"/>
      <c r="KYA3" s="120"/>
      <c r="KYB3" s="120"/>
      <c r="KYC3" s="120"/>
      <c r="KYD3" s="120"/>
      <c r="KYE3" s="120"/>
      <c r="KYF3" s="120"/>
      <c r="KYG3" s="120"/>
      <c r="KYH3" s="120"/>
      <c r="KYI3" s="120"/>
      <c r="KYJ3" s="120"/>
      <c r="KYK3" s="120"/>
      <c r="KYL3" s="120"/>
      <c r="KYM3" s="120"/>
      <c r="KYN3" s="120"/>
      <c r="KYO3" s="120"/>
      <c r="KYP3" s="120"/>
      <c r="KYQ3" s="120"/>
      <c r="KYR3" s="120"/>
      <c r="KYS3" s="120"/>
      <c r="KYT3" s="120"/>
      <c r="KYU3" s="120"/>
      <c r="KYV3" s="120"/>
      <c r="KYW3" s="120"/>
      <c r="KYX3" s="120"/>
      <c r="KYY3" s="120"/>
      <c r="KYZ3" s="120"/>
      <c r="KZA3" s="120"/>
      <c r="KZB3" s="120"/>
      <c r="KZC3" s="120"/>
      <c r="KZD3" s="120"/>
      <c r="KZE3" s="120"/>
      <c r="KZF3" s="120"/>
      <c r="KZG3" s="120"/>
      <c r="KZH3" s="120"/>
      <c r="KZI3" s="120"/>
      <c r="KZJ3" s="120"/>
      <c r="KZK3" s="120"/>
      <c r="KZL3" s="120"/>
      <c r="KZM3" s="120"/>
      <c r="KZN3" s="120"/>
      <c r="KZO3" s="120"/>
      <c r="KZP3" s="120"/>
      <c r="KZQ3" s="120"/>
      <c r="KZR3" s="120"/>
      <c r="KZS3" s="120"/>
      <c r="KZT3" s="120"/>
      <c r="KZU3" s="120"/>
      <c r="KZV3" s="120"/>
      <c r="KZW3" s="120"/>
      <c r="KZX3" s="120"/>
      <c r="KZY3" s="120"/>
      <c r="KZZ3" s="120"/>
      <c r="LAA3" s="120"/>
      <c r="LAB3" s="120"/>
      <c r="LAC3" s="120"/>
      <c r="LAD3" s="120"/>
      <c r="LAE3" s="120"/>
      <c r="LAF3" s="120"/>
      <c r="LAG3" s="120"/>
      <c r="LAH3" s="120"/>
      <c r="LAI3" s="120"/>
      <c r="LAJ3" s="120"/>
      <c r="LAK3" s="120"/>
      <c r="LAL3" s="120"/>
      <c r="LAM3" s="120"/>
      <c r="LAN3" s="120"/>
      <c r="LAO3" s="120"/>
      <c r="LAP3" s="120"/>
      <c r="LAQ3" s="120"/>
      <c r="LAR3" s="120"/>
      <c r="LAS3" s="120"/>
      <c r="LAT3" s="120"/>
      <c r="LAU3" s="120"/>
      <c r="LAV3" s="120"/>
      <c r="LAW3" s="120"/>
      <c r="LAX3" s="120"/>
      <c r="LAY3" s="120"/>
      <c r="LAZ3" s="120"/>
      <c r="LBA3" s="120"/>
      <c r="LBB3" s="120"/>
      <c r="LBC3" s="120"/>
      <c r="LBD3" s="120"/>
      <c r="LBE3" s="120"/>
      <c r="LBF3" s="120"/>
      <c r="LBG3" s="120"/>
      <c r="LBH3" s="120"/>
      <c r="LBI3" s="120"/>
      <c r="LBJ3" s="120"/>
      <c r="LBK3" s="120"/>
      <c r="LBL3" s="120"/>
      <c r="LBM3" s="120"/>
      <c r="LBN3" s="120"/>
      <c r="LBO3" s="120"/>
      <c r="LBP3" s="120"/>
      <c r="LBQ3" s="120"/>
      <c r="LBR3" s="120"/>
      <c r="LBS3" s="120"/>
      <c r="LBT3" s="120"/>
      <c r="LBU3" s="120"/>
      <c r="LBV3" s="120"/>
      <c r="LBW3" s="120"/>
      <c r="LBX3" s="120"/>
      <c r="LBY3" s="120"/>
      <c r="LBZ3" s="120"/>
      <c r="LCA3" s="120"/>
      <c r="LCB3" s="120"/>
      <c r="LCC3" s="120"/>
      <c r="LCD3" s="120"/>
      <c r="LCE3" s="120"/>
      <c r="LCF3" s="120"/>
      <c r="LCG3" s="120"/>
      <c r="LCH3" s="120"/>
      <c r="LCI3" s="120"/>
      <c r="LCJ3" s="120"/>
      <c r="LCK3" s="120"/>
      <c r="LCL3" s="120"/>
      <c r="LCM3" s="120"/>
      <c r="LCN3" s="120"/>
      <c r="LCO3" s="120"/>
      <c r="LCP3" s="120"/>
      <c r="LCQ3" s="120"/>
      <c r="LCR3" s="120"/>
      <c r="LCS3" s="120"/>
      <c r="LCT3" s="120"/>
      <c r="LCU3" s="120"/>
      <c r="LCV3" s="120"/>
      <c r="LCW3" s="120"/>
      <c r="LCX3" s="120"/>
      <c r="LCY3" s="120"/>
      <c r="LCZ3" s="120"/>
      <c r="LDA3" s="120"/>
      <c r="LDB3" s="120"/>
      <c r="LDC3" s="120"/>
      <c r="LDD3" s="120"/>
      <c r="LDE3" s="120"/>
      <c r="LDF3" s="120"/>
      <c r="LDG3" s="120"/>
      <c r="LDH3" s="120"/>
      <c r="LDI3" s="120"/>
      <c r="LDJ3" s="120"/>
      <c r="LDK3" s="120"/>
      <c r="LDL3" s="120"/>
      <c r="LDM3" s="120"/>
      <c r="LDN3" s="120"/>
      <c r="LDO3" s="120"/>
      <c r="LDP3" s="120"/>
      <c r="LDQ3" s="120"/>
      <c r="LDR3" s="120"/>
      <c r="LDS3" s="120"/>
      <c r="LDT3" s="120"/>
      <c r="LDU3" s="120"/>
      <c r="LDV3" s="120"/>
      <c r="LDW3" s="120"/>
      <c r="LDX3" s="120"/>
      <c r="LDY3" s="120"/>
      <c r="LDZ3" s="120"/>
      <c r="LEA3" s="120"/>
      <c r="LEB3" s="120"/>
      <c r="LEC3" s="120"/>
      <c r="LED3" s="120"/>
      <c r="LEE3" s="120"/>
      <c r="LEF3" s="120"/>
      <c r="LEG3" s="120"/>
      <c r="LEH3" s="120"/>
      <c r="LEI3" s="120"/>
      <c r="LEJ3" s="120"/>
      <c r="LEK3" s="120"/>
      <c r="LEL3" s="120"/>
      <c r="LEM3" s="120"/>
      <c r="LEN3" s="120"/>
      <c r="LEO3" s="120"/>
      <c r="LEP3" s="120"/>
      <c r="LEQ3" s="120"/>
      <c r="LER3" s="120"/>
      <c r="LES3" s="120"/>
      <c r="LET3" s="120"/>
      <c r="LEU3" s="120"/>
      <c r="LEV3" s="120"/>
      <c r="LEW3" s="120"/>
      <c r="LEX3" s="120"/>
      <c r="LEY3" s="120"/>
      <c r="LEZ3" s="120"/>
      <c r="LFA3" s="120"/>
      <c r="LFB3" s="120"/>
      <c r="LFC3" s="120"/>
      <c r="LFD3" s="120"/>
      <c r="LFE3" s="120"/>
      <c r="LFF3" s="120"/>
      <c r="LFG3" s="120"/>
      <c r="LFH3" s="120"/>
      <c r="LFI3" s="120"/>
      <c r="LFJ3" s="120"/>
      <c r="LFK3" s="120"/>
      <c r="LFL3" s="120"/>
      <c r="LFM3" s="120"/>
      <c r="LFN3" s="120"/>
      <c r="LFO3" s="120"/>
      <c r="LFP3" s="120"/>
      <c r="LFQ3" s="120"/>
      <c r="LFR3" s="120"/>
      <c r="LFS3" s="120"/>
      <c r="LFT3" s="120"/>
      <c r="LFU3" s="120"/>
      <c r="LFV3" s="120"/>
      <c r="LFW3" s="120"/>
      <c r="LFX3" s="120"/>
      <c r="LFY3" s="120"/>
      <c r="LFZ3" s="120"/>
      <c r="LGA3" s="120"/>
      <c r="LGB3" s="120"/>
      <c r="LGC3" s="120"/>
      <c r="LGD3" s="120"/>
      <c r="LGE3" s="120"/>
      <c r="LGF3" s="120"/>
      <c r="LGG3" s="120"/>
      <c r="LGH3" s="120"/>
      <c r="LGI3" s="120"/>
      <c r="LGJ3" s="120"/>
      <c r="LGK3" s="120"/>
      <c r="LGL3" s="120"/>
      <c r="LGM3" s="120"/>
      <c r="LGN3" s="120"/>
      <c r="LGO3" s="120"/>
      <c r="LGP3" s="120"/>
      <c r="LGQ3" s="120"/>
      <c r="LGR3" s="120"/>
      <c r="LGS3" s="120"/>
      <c r="LGT3" s="120"/>
      <c r="LGU3" s="120"/>
      <c r="LGV3" s="120"/>
      <c r="LGW3" s="120"/>
      <c r="LGX3" s="120"/>
      <c r="LGY3" s="120"/>
      <c r="LGZ3" s="120"/>
      <c r="LHA3" s="120"/>
      <c r="LHB3" s="120"/>
      <c r="LHC3" s="120"/>
      <c r="LHD3" s="120"/>
      <c r="LHE3" s="120"/>
      <c r="LHF3" s="120"/>
      <c r="LHG3" s="120"/>
      <c r="LHH3" s="120"/>
      <c r="LHI3" s="120"/>
      <c r="LHJ3" s="120"/>
      <c r="LHK3" s="120"/>
      <c r="LHL3" s="120"/>
      <c r="LHM3" s="120"/>
      <c r="LHN3" s="120"/>
      <c r="LHO3" s="120"/>
      <c r="LHP3" s="120"/>
      <c r="LHQ3" s="120"/>
      <c r="LHR3" s="120"/>
      <c r="LHS3" s="120"/>
      <c r="LHT3" s="120"/>
      <c r="LHU3" s="120"/>
      <c r="LHV3" s="120"/>
      <c r="LHW3" s="120"/>
      <c r="LHX3" s="120"/>
      <c r="LHY3" s="120"/>
      <c r="LHZ3" s="120"/>
      <c r="LIA3" s="120"/>
      <c r="LIB3" s="120"/>
      <c r="LIC3" s="120"/>
      <c r="LID3" s="120"/>
      <c r="LIE3" s="120"/>
      <c r="LIF3" s="120"/>
      <c r="LIG3" s="120"/>
      <c r="LIH3" s="120"/>
      <c r="LII3" s="120"/>
      <c r="LIJ3" s="120"/>
      <c r="LIK3" s="120"/>
      <c r="LIL3" s="120"/>
      <c r="LIM3" s="120"/>
      <c r="LIN3" s="120"/>
      <c r="LIO3" s="120"/>
      <c r="LIP3" s="120"/>
      <c r="LIQ3" s="120"/>
      <c r="LIR3" s="120"/>
      <c r="LIS3" s="120"/>
      <c r="LIT3" s="120"/>
      <c r="LIU3" s="120"/>
      <c r="LIV3" s="120"/>
      <c r="LIW3" s="120"/>
      <c r="LIX3" s="120"/>
      <c r="LIY3" s="120"/>
      <c r="LIZ3" s="120"/>
      <c r="LJA3" s="120"/>
      <c r="LJB3" s="120"/>
      <c r="LJC3" s="120"/>
      <c r="LJD3" s="120"/>
      <c r="LJE3" s="120"/>
      <c r="LJF3" s="120"/>
      <c r="LJG3" s="120"/>
      <c r="LJH3" s="120"/>
      <c r="LJI3" s="120"/>
      <c r="LJJ3" s="120"/>
      <c r="LJK3" s="120"/>
      <c r="LJL3" s="120"/>
      <c r="LJM3" s="120"/>
      <c r="LJN3" s="120"/>
      <c r="LJO3" s="120"/>
      <c r="LJP3" s="120"/>
      <c r="LJQ3" s="120"/>
      <c r="LJR3" s="120"/>
      <c r="LJS3" s="120"/>
      <c r="LJT3" s="120"/>
      <c r="LJU3" s="120"/>
      <c r="LJV3" s="120"/>
      <c r="LJW3" s="120"/>
      <c r="LJX3" s="120"/>
      <c r="LJY3" s="120"/>
      <c r="LJZ3" s="120"/>
      <c r="LKA3" s="120"/>
      <c r="LKB3" s="120"/>
      <c r="LKC3" s="120"/>
      <c r="LKD3" s="120"/>
      <c r="LKE3" s="120"/>
      <c r="LKF3" s="120"/>
      <c r="LKG3" s="120"/>
      <c r="LKH3" s="120"/>
      <c r="LKI3" s="120"/>
      <c r="LKJ3" s="120"/>
      <c r="LKK3" s="120"/>
      <c r="LKL3" s="120"/>
      <c r="LKM3" s="120"/>
      <c r="LKN3" s="120"/>
      <c r="LKO3" s="120"/>
      <c r="LKP3" s="120"/>
      <c r="LKQ3" s="120"/>
      <c r="LKR3" s="120"/>
      <c r="LKS3" s="120"/>
      <c r="LKT3" s="120"/>
      <c r="LKU3" s="120"/>
      <c r="LKV3" s="120"/>
      <c r="LKW3" s="120"/>
      <c r="LKX3" s="120"/>
      <c r="LKY3" s="120"/>
      <c r="LKZ3" s="120"/>
      <c r="LLA3" s="120"/>
      <c r="LLB3" s="120"/>
      <c r="LLC3" s="120"/>
      <c r="LLD3" s="120"/>
      <c r="LLE3" s="120"/>
      <c r="LLF3" s="120"/>
      <c r="LLG3" s="120"/>
      <c r="LLH3" s="120"/>
      <c r="LLI3" s="120"/>
      <c r="LLJ3" s="120"/>
      <c r="LLK3" s="120"/>
      <c r="LLL3" s="120"/>
      <c r="LLM3" s="120"/>
      <c r="LLN3" s="120"/>
      <c r="LLO3" s="120"/>
      <c r="LLP3" s="120"/>
      <c r="LLQ3" s="120"/>
      <c r="LLR3" s="120"/>
      <c r="LLS3" s="120"/>
      <c r="LLT3" s="120"/>
      <c r="LLU3" s="120"/>
      <c r="LLV3" s="120"/>
      <c r="LLW3" s="120"/>
      <c r="LLX3" s="120"/>
      <c r="LLY3" s="120"/>
      <c r="LLZ3" s="120"/>
      <c r="LMA3" s="120"/>
      <c r="LMB3" s="120"/>
      <c r="LMC3" s="120"/>
      <c r="LMD3" s="120"/>
      <c r="LME3" s="120"/>
      <c r="LMF3" s="120"/>
      <c r="LMG3" s="120"/>
      <c r="LMH3" s="120"/>
      <c r="LMI3" s="120"/>
      <c r="LMJ3" s="120"/>
      <c r="LMK3" s="120"/>
      <c r="LML3" s="120"/>
      <c r="LMM3" s="120"/>
      <c r="LMN3" s="120"/>
      <c r="LMO3" s="120"/>
      <c r="LMP3" s="120"/>
      <c r="LMQ3" s="120"/>
      <c r="LMR3" s="120"/>
      <c r="LMS3" s="120"/>
      <c r="LMT3" s="120"/>
      <c r="LMU3" s="120"/>
      <c r="LMV3" s="120"/>
      <c r="LMW3" s="120"/>
      <c r="LMX3" s="120"/>
      <c r="LMY3" s="120"/>
      <c r="LMZ3" s="120"/>
      <c r="LNA3" s="120"/>
      <c r="LNB3" s="120"/>
      <c r="LNC3" s="120"/>
      <c r="LND3" s="120"/>
      <c r="LNE3" s="120"/>
      <c r="LNF3" s="120"/>
      <c r="LNG3" s="120"/>
      <c r="LNH3" s="120"/>
      <c r="LNI3" s="120"/>
      <c r="LNJ3" s="120"/>
      <c r="LNK3" s="120"/>
      <c r="LNL3" s="120"/>
      <c r="LNM3" s="120"/>
      <c r="LNN3" s="120"/>
      <c r="LNO3" s="120"/>
      <c r="LNP3" s="120"/>
      <c r="LNQ3" s="120"/>
      <c r="LNR3" s="120"/>
      <c r="LNS3" s="120"/>
      <c r="LNT3" s="120"/>
      <c r="LNU3" s="120"/>
      <c r="LNV3" s="120"/>
      <c r="LNW3" s="120"/>
      <c r="LNX3" s="120"/>
      <c r="LNY3" s="120"/>
      <c r="LNZ3" s="120"/>
      <c r="LOA3" s="120"/>
      <c r="LOB3" s="120"/>
      <c r="LOC3" s="120"/>
      <c r="LOD3" s="120"/>
      <c r="LOE3" s="120"/>
      <c r="LOF3" s="120"/>
      <c r="LOG3" s="120"/>
      <c r="LOH3" s="120"/>
      <c r="LOI3" s="120"/>
      <c r="LOJ3" s="120"/>
      <c r="LOK3" s="120"/>
      <c r="LOL3" s="120"/>
      <c r="LOM3" s="120"/>
      <c r="LON3" s="120"/>
      <c r="LOO3" s="120"/>
      <c r="LOP3" s="120"/>
      <c r="LOQ3" s="120"/>
      <c r="LOR3" s="120"/>
      <c r="LOS3" s="120"/>
      <c r="LOT3" s="120"/>
      <c r="LOU3" s="120"/>
      <c r="LOV3" s="120"/>
      <c r="LOW3" s="120"/>
      <c r="LOX3" s="120"/>
      <c r="LOY3" s="120"/>
      <c r="LOZ3" s="120"/>
      <c r="LPA3" s="120"/>
      <c r="LPB3" s="120"/>
      <c r="LPC3" s="120"/>
      <c r="LPD3" s="120"/>
      <c r="LPE3" s="120"/>
      <c r="LPF3" s="120"/>
      <c r="LPG3" s="120"/>
      <c r="LPH3" s="120"/>
      <c r="LPI3" s="120"/>
      <c r="LPJ3" s="120"/>
      <c r="LPK3" s="120"/>
      <c r="LPL3" s="120"/>
      <c r="LPM3" s="120"/>
      <c r="LPN3" s="120"/>
      <c r="LPO3" s="120"/>
      <c r="LPP3" s="120"/>
      <c r="LPQ3" s="120"/>
      <c r="LPR3" s="120"/>
      <c r="LPS3" s="120"/>
      <c r="LPT3" s="120"/>
      <c r="LPU3" s="120"/>
      <c r="LPV3" s="120"/>
      <c r="LPW3" s="120"/>
      <c r="LPX3" s="120"/>
      <c r="LPY3" s="120"/>
      <c r="LPZ3" s="120"/>
      <c r="LQA3" s="120"/>
      <c r="LQB3" s="120"/>
      <c r="LQC3" s="120"/>
      <c r="LQD3" s="120"/>
      <c r="LQE3" s="120"/>
      <c r="LQF3" s="120"/>
      <c r="LQG3" s="120"/>
      <c r="LQH3" s="120"/>
      <c r="LQI3" s="120"/>
      <c r="LQJ3" s="120"/>
      <c r="LQK3" s="120"/>
      <c r="LQL3" s="120"/>
      <c r="LQM3" s="120"/>
      <c r="LQN3" s="120"/>
      <c r="LQO3" s="120"/>
      <c r="LQP3" s="120"/>
      <c r="LQQ3" s="120"/>
      <c r="LQR3" s="120"/>
      <c r="LQS3" s="120"/>
      <c r="LQT3" s="120"/>
      <c r="LQU3" s="120"/>
      <c r="LQV3" s="120"/>
      <c r="LQW3" s="120"/>
      <c r="LQX3" s="120"/>
      <c r="LQY3" s="120"/>
      <c r="LQZ3" s="120"/>
      <c r="LRA3" s="120"/>
      <c r="LRB3" s="120"/>
      <c r="LRC3" s="120"/>
      <c r="LRD3" s="120"/>
      <c r="LRE3" s="120"/>
      <c r="LRF3" s="120"/>
      <c r="LRG3" s="120"/>
      <c r="LRH3" s="120"/>
      <c r="LRI3" s="120"/>
      <c r="LRJ3" s="120"/>
      <c r="LRK3" s="120"/>
      <c r="LRL3" s="120"/>
      <c r="LRM3" s="120"/>
      <c r="LRN3" s="120"/>
      <c r="LRO3" s="120"/>
      <c r="LRP3" s="120"/>
      <c r="LRQ3" s="120"/>
      <c r="LRR3" s="120"/>
      <c r="LRS3" s="120"/>
      <c r="LRT3" s="120"/>
      <c r="LRU3" s="120"/>
      <c r="LRV3" s="120"/>
      <c r="LRW3" s="120"/>
      <c r="LRX3" s="120"/>
      <c r="LRY3" s="120"/>
      <c r="LRZ3" s="120"/>
      <c r="LSA3" s="120"/>
      <c r="LSB3" s="120"/>
      <c r="LSC3" s="120"/>
      <c r="LSD3" s="120"/>
      <c r="LSE3" s="120"/>
      <c r="LSF3" s="120"/>
      <c r="LSG3" s="120"/>
      <c r="LSH3" s="120"/>
      <c r="LSI3" s="120"/>
      <c r="LSJ3" s="120"/>
      <c r="LSK3" s="120"/>
      <c r="LSL3" s="120"/>
      <c r="LSM3" s="120"/>
      <c r="LSN3" s="120"/>
      <c r="LSO3" s="120"/>
      <c r="LSP3" s="120"/>
      <c r="LSQ3" s="120"/>
      <c r="LSR3" s="120"/>
      <c r="LSS3" s="120"/>
      <c r="LST3" s="120"/>
      <c r="LSU3" s="120"/>
      <c r="LSV3" s="120"/>
      <c r="LSW3" s="120"/>
      <c r="LSX3" s="120"/>
      <c r="LSY3" s="120"/>
      <c r="LSZ3" s="120"/>
      <c r="LTA3" s="120"/>
      <c r="LTB3" s="120"/>
      <c r="LTC3" s="120"/>
      <c r="LTD3" s="120"/>
      <c r="LTE3" s="120"/>
      <c r="LTF3" s="120"/>
      <c r="LTG3" s="120"/>
      <c r="LTH3" s="120"/>
      <c r="LTI3" s="120"/>
      <c r="LTJ3" s="120"/>
      <c r="LTK3" s="120"/>
      <c r="LTL3" s="120"/>
      <c r="LTM3" s="120"/>
      <c r="LTN3" s="120"/>
      <c r="LTO3" s="120"/>
      <c r="LTP3" s="120"/>
      <c r="LTQ3" s="120"/>
      <c r="LTR3" s="120"/>
      <c r="LTS3" s="120"/>
      <c r="LTT3" s="120"/>
      <c r="LTU3" s="120"/>
      <c r="LTV3" s="120"/>
      <c r="LTW3" s="120"/>
      <c r="LTX3" s="120"/>
      <c r="LTY3" s="120"/>
      <c r="LTZ3" s="120"/>
      <c r="LUA3" s="120"/>
      <c r="LUB3" s="120"/>
      <c r="LUC3" s="120"/>
      <c r="LUD3" s="120"/>
      <c r="LUE3" s="120"/>
      <c r="LUF3" s="120"/>
      <c r="LUG3" s="120"/>
      <c r="LUH3" s="120"/>
      <c r="LUI3" s="120"/>
      <c r="LUJ3" s="120"/>
      <c r="LUK3" s="120"/>
      <c r="LUL3" s="120"/>
      <c r="LUM3" s="120"/>
      <c r="LUN3" s="120"/>
      <c r="LUO3" s="120"/>
      <c r="LUP3" s="120"/>
      <c r="LUQ3" s="120"/>
      <c r="LUR3" s="120"/>
      <c r="LUS3" s="120"/>
      <c r="LUT3" s="120"/>
      <c r="LUU3" s="120"/>
      <c r="LUV3" s="120"/>
      <c r="LUW3" s="120"/>
      <c r="LUX3" s="120"/>
      <c r="LUY3" s="120"/>
      <c r="LUZ3" s="120"/>
      <c r="LVA3" s="120"/>
      <c r="LVB3" s="120"/>
      <c r="LVC3" s="120"/>
      <c r="LVD3" s="120"/>
      <c r="LVE3" s="120"/>
      <c r="LVF3" s="120"/>
      <c r="LVG3" s="120"/>
      <c r="LVH3" s="120"/>
      <c r="LVI3" s="120"/>
      <c r="LVJ3" s="120"/>
      <c r="LVK3" s="120"/>
      <c r="LVL3" s="120"/>
      <c r="LVM3" s="120"/>
      <c r="LVN3" s="120"/>
      <c r="LVO3" s="120"/>
      <c r="LVP3" s="120"/>
      <c r="LVQ3" s="120"/>
      <c r="LVR3" s="120"/>
      <c r="LVS3" s="120"/>
      <c r="LVT3" s="120"/>
      <c r="LVU3" s="120"/>
      <c r="LVV3" s="120"/>
      <c r="LVW3" s="120"/>
      <c r="LVX3" s="120"/>
      <c r="LVY3" s="120"/>
      <c r="LVZ3" s="120"/>
      <c r="LWA3" s="120"/>
      <c r="LWB3" s="120"/>
      <c r="LWC3" s="120"/>
      <c r="LWD3" s="120"/>
      <c r="LWE3" s="120"/>
      <c r="LWF3" s="120"/>
      <c r="LWG3" s="120"/>
      <c r="LWH3" s="120"/>
      <c r="LWI3" s="120"/>
      <c r="LWJ3" s="120"/>
      <c r="LWK3" s="120"/>
      <c r="LWL3" s="120"/>
      <c r="LWM3" s="120"/>
      <c r="LWN3" s="120"/>
      <c r="LWO3" s="120"/>
      <c r="LWP3" s="120"/>
      <c r="LWQ3" s="120"/>
      <c r="LWR3" s="120"/>
      <c r="LWS3" s="120"/>
      <c r="LWT3" s="120"/>
      <c r="LWU3" s="120"/>
      <c r="LWV3" s="120"/>
      <c r="LWW3" s="120"/>
      <c r="LWX3" s="120"/>
      <c r="LWY3" s="120"/>
      <c r="LWZ3" s="120"/>
      <c r="LXA3" s="120"/>
      <c r="LXB3" s="120"/>
      <c r="LXC3" s="120"/>
      <c r="LXD3" s="120"/>
      <c r="LXE3" s="120"/>
      <c r="LXF3" s="120"/>
      <c r="LXG3" s="120"/>
      <c r="LXH3" s="120"/>
      <c r="LXI3" s="120"/>
      <c r="LXJ3" s="120"/>
      <c r="LXK3" s="120"/>
      <c r="LXL3" s="120"/>
      <c r="LXM3" s="120"/>
      <c r="LXN3" s="120"/>
      <c r="LXO3" s="120"/>
      <c r="LXP3" s="120"/>
      <c r="LXQ3" s="120"/>
      <c r="LXR3" s="120"/>
      <c r="LXS3" s="120"/>
      <c r="LXT3" s="120"/>
      <c r="LXU3" s="120"/>
      <c r="LXV3" s="120"/>
      <c r="LXW3" s="120"/>
      <c r="LXX3" s="120"/>
      <c r="LXY3" s="120"/>
      <c r="LXZ3" s="120"/>
      <c r="LYA3" s="120"/>
      <c r="LYB3" s="120"/>
      <c r="LYC3" s="120"/>
      <c r="LYD3" s="120"/>
      <c r="LYE3" s="120"/>
      <c r="LYF3" s="120"/>
      <c r="LYG3" s="120"/>
      <c r="LYH3" s="120"/>
      <c r="LYI3" s="120"/>
      <c r="LYJ3" s="120"/>
      <c r="LYK3" s="120"/>
      <c r="LYL3" s="120"/>
      <c r="LYM3" s="120"/>
      <c r="LYN3" s="120"/>
      <c r="LYO3" s="120"/>
      <c r="LYP3" s="120"/>
      <c r="LYQ3" s="120"/>
      <c r="LYR3" s="120"/>
      <c r="LYS3" s="120"/>
      <c r="LYT3" s="120"/>
      <c r="LYU3" s="120"/>
      <c r="LYV3" s="120"/>
      <c r="LYW3" s="120"/>
      <c r="LYX3" s="120"/>
      <c r="LYY3" s="120"/>
      <c r="LYZ3" s="120"/>
      <c r="LZA3" s="120"/>
      <c r="LZB3" s="120"/>
      <c r="LZC3" s="120"/>
      <c r="LZD3" s="120"/>
      <c r="LZE3" s="120"/>
      <c r="LZF3" s="120"/>
      <c r="LZG3" s="120"/>
      <c r="LZH3" s="120"/>
      <c r="LZI3" s="120"/>
      <c r="LZJ3" s="120"/>
      <c r="LZK3" s="120"/>
      <c r="LZL3" s="120"/>
      <c r="LZM3" s="120"/>
      <c r="LZN3" s="120"/>
      <c r="LZO3" s="120"/>
      <c r="LZP3" s="120"/>
      <c r="LZQ3" s="120"/>
      <c r="LZR3" s="120"/>
      <c r="LZS3" s="120"/>
      <c r="LZT3" s="120"/>
      <c r="LZU3" s="120"/>
      <c r="LZV3" s="120"/>
      <c r="LZW3" s="120"/>
      <c r="LZX3" s="120"/>
      <c r="LZY3" s="120"/>
      <c r="LZZ3" s="120"/>
      <c r="MAA3" s="120"/>
      <c r="MAB3" s="120"/>
      <c r="MAC3" s="120"/>
      <c r="MAD3" s="120"/>
      <c r="MAE3" s="120"/>
      <c r="MAF3" s="120"/>
      <c r="MAG3" s="120"/>
      <c r="MAH3" s="120"/>
      <c r="MAI3" s="120"/>
      <c r="MAJ3" s="120"/>
      <c r="MAK3" s="120"/>
      <c r="MAL3" s="120"/>
      <c r="MAM3" s="120"/>
      <c r="MAN3" s="120"/>
      <c r="MAO3" s="120"/>
      <c r="MAP3" s="120"/>
      <c r="MAQ3" s="120"/>
      <c r="MAR3" s="120"/>
      <c r="MAS3" s="120"/>
      <c r="MAT3" s="120"/>
      <c r="MAU3" s="120"/>
      <c r="MAV3" s="120"/>
      <c r="MAW3" s="120"/>
      <c r="MAX3" s="120"/>
      <c r="MAY3" s="120"/>
      <c r="MAZ3" s="120"/>
      <c r="MBA3" s="120"/>
      <c r="MBB3" s="120"/>
      <c r="MBC3" s="120"/>
      <c r="MBD3" s="120"/>
      <c r="MBE3" s="120"/>
      <c r="MBF3" s="120"/>
      <c r="MBG3" s="120"/>
      <c r="MBH3" s="120"/>
      <c r="MBI3" s="120"/>
      <c r="MBJ3" s="120"/>
      <c r="MBK3" s="120"/>
      <c r="MBL3" s="120"/>
      <c r="MBM3" s="120"/>
      <c r="MBN3" s="120"/>
      <c r="MBO3" s="120"/>
      <c r="MBP3" s="120"/>
      <c r="MBQ3" s="120"/>
      <c r="MBR3" s="120"/>
      <c r="MBS3" s="120"/>
      <c r="MBT3" s="120"/>
      <c r="MBU3" s="120"/>
      <c r="MBV3" s="120"/>
      <c r="MBW3" s="120"/>
      <c r="MBX3" s="120"/>
      <c r="MBY3" s="120"/>
      <c r="MBZ3" s="120"/>
      <c r="MCA3" s="120"/>
      <c r="MCB3" s="120"/>
      <c r="MCC3" s="120"/>
      <c r="MCD3" s="120"/>
      <c r="MCE3" s="120"/>
      <c r="MCF3" s="120"/>
      <c r="MCG3" s="120"/>
      <c r="MCH3" s="120"/>
      <c r="MCI3" s="120"/>
      <c r="MCJ3" s="120"/>
      <c r="MCK3" s="120"/>
      <c r="MCL3" s="120"/>
      <c r="MCM3" s="120"/>
      <c r="MCN3" s="120"/>
      <c r="MCO3" s="120"/>
      <c r="MCP3" s="120"/>
      <c r="MCQ3" s="120"/>
      <c r="MCR3" s="120"/>
      <c r="MCS3" s="120"/>
      <c r="MCT3" s="120"/>
      <c r="MCU3" s="120"/>
      <c r="MCV3" s="120"/>
      <c r="MCW3" s="120"/>
      <c r="MCX3" s="120"/>
      <c r="MCY3" s="120"/>
      <c r="MCZ3" s="120"/>
      <c r="MDA3" s="120"/>
      <c r="MDB3" s="120"/>
      <c r="MDC3" s="120"/>
      <c r="MDD3" s="120"/>
      <c r="MDE3" s="120"/>
      <c r="MDF3" s="120"/>
      <c r="MDG3" s="120"/>
      <c r="MDH3" s="120"/>
      <c r="MDI3" s="120"/>
      <c r="MDJ3" s="120"/>
      <c r="MDK3" s="120"/>
      <c r="MDL3" s="120"/>
      <c r="MDM3" s="120"/>
      <c r="MDN3" s="120"/>
      <c r="MDO3" s="120"/>
      <c r="MDP3" s="120"/>
      <c r="MDQ3" s="120"/>
      <c r="MDR3" s="120"/>
      <c r="MDS3" s="120"/>
      <c r="MDT3" s="120"/>
      <c r="MDU3" s="120"/>
      <c r="MDV3" s="120"/>
      <c r="MDW3" s="120"/>
      <c r="MDX3" s="120"/>
      <c r="MDY3" s="120"/>
      <c r="MDZ3" s="120"/>
      <c r="MEA3" s="120"/>
      <c r="MEB3" s="120"/>
      <c r="MEC3" s="120"/>
      <c r="MED3" s="120"/>
      <c r="MEE3" s="120"/>
      <c r="MEF3" s="120"/>
      <c r="MEG3" s="120"/>
      <c r="MEH3" s="120"/>
      <c r="MEI3" s="120"/>
      <c r="MEJ3" s="120"/>
      <c r="MEK3" s="120"/>
      <c r="MEL3" s="120"/>
      <c r="MEM3" s="120"/>
      <c r="MEN3" s="120"/>
      <c r="MEO3" s="120"/>
      <c r="MEP3" s="120"/>
      <c r="MEQ3" s="120"/>
      <c r="MER3" s="120"/>
      <c r="MES3" s="120"/>
      <c r="MET3" s="120"/>
      <c r="MEU3" s="120"/>
      <c r="MEV3" s="120"/>
      <c r="MEW3" s="120"/>
      <c r="MEX3" s="120"/>
      <c r="MEY3" s="120"/>
      <c r="MEZ3" s="120"/>
      <c r="MFA3" s="120"/>
      <c r="MFB3" s="120"/>
      <c r="MFC3" s="120"/>
      <c r="MFD3" s="120"/>
      <c r="MFE3" s="120"/>
      <c r="MFF3" s="120"/>
      <c r="MFG3" s="120"/>
      <c r="MFH3" s="120"/>
      <c r="MFI3" s="120"/>
      <c r="MFJ3" s="120"/>
      <c r="MFK3" s="120"/>
      <c r="MFL3" s="120"/>
      <c r="MFM3" s="120"/>
      <c r="MFN3" s="120"/>
      <c r="MFO3" s="120"/>
      <c r="MFP3" s="120"/>
      <c r="MFQ3" s="120"/>
      <c r="MFR3" s="120"/>
      <c r="MFS3" s="120"/>
      <c r="MFT3" s="120"/>
      <c r="MFU3" s="120"/>
      <c r="MFV3" s="120"/>
      <c r="MFW3" s="120"/>
      <c r="MFX3" s="120"/>
      <c r="MFY3" s="120"/>
      <c r="MFZ3" s="120"/>
      <c r="MGA3" s="120"/>
      <c r="MGB3" s="120"/>
      <c r="MGC3" s="120"/>
      <c r="MGD3" s="120"/>
      <c r="MGE3" s="120"/>
      <c r="MGF3" s="120"/>
      <c r="MGG3" s="120"/>
      <c r="MGH3" s="120"/>
      <c r="MGI3" s="120"/>
      <c r="MGJ3" s="120"/>
      <c r="MGK3" s="120"/>
      <c r="MGL3" s="120"/>
      <c r="MGM3" s="120"/>
      <c r="MGN3" s="120"/>
      <c r="MGO3" s="120"/>
      <c r="MGP3" s="120"/>
      <c r="MGQ3" s="120"/>
      <c r="MGR3" s="120"/>
      <c r="MGS3" s="120"/>
      <c r="MGT3" s="120"/>
      <c r="MGU3" s="120"/>
      <c r="MGV3" s="120"/>
      <c r="MGW3" s="120"/>
      <c r="MGX3" s="120"/>
      <c r="MGY3" s="120"/>
      <c r="MGZ3" s="120"/>
      <c r="MHA3" s="120"/>
      <c r="MHB3" s="120"/>
      <c r="MHC3" s="120"/>
      <c r="MHD3" s="120"/>
      <c r="MHE3" s="120"/>
      <c r="MHF3" s="120"/>
      <c r="MHG3" s="120"/>
      <c r="MHH3" s="120"/>
      <c r="MHI3" s="120"/>
      <c r="MHJ3" s="120"/>
      <c r="MHK3" s="120"/>
      <c r="MHL3" s="120"/>
      <c r="MHM3" s="120"/>
      <c r="MHN3" s="120"/>
      <c r="MHO3" s="120"/>
      <c r="MHP3" s="120"/>
      <c r="MHQ3" s="120"/>
      <c r="MHR3" s="120"/>
      <c r="MHS3" s="120"/>
      <c r="MHT3" s="120"/>
      <c r="MHU3" s="120"/>
      <c r="MHV3" s="120"/>
      <c r="MHW3" s="120"/>
      <c r="MHX3" s="120"/>
      <c r="MHY3" s="120"/>
      <c r="MHZ3" s="120"/>
      <c r="MIA3" s="120"/>
      <c r="MIB3" s="120"/>
      <c r="MIC3" s="120"/>
      <c r="MID3" s="120"/>
      <c r="MIE3" s="120"/>
      <c r="MIF3" s="120"/>
      <c r="MIG3" s="120"/>
      <c r="MIH3" s="120"/>
      <c r="MII3" s="120"/>
      <c r="MIJ3" s="120"/>
      <c r="MIK3" s="120"/>
      <c r="MIL3" s="120"/>
      <c r="MIM3" s="120"/>
      <c r="MIN3" s="120"/>
      <c r="MIO3" s="120"/>
      <c r="MIP3" s="120"/>
      <c r="MIQ3" s="120"/>
      <c r="MIR3" s="120"/>
      <c r="MIS3" s="120"/>
      <c r="MIT3" s="120"/>
      <c r="MIU3" s="120"/>
      <c r="MIV3" s="120"/>
      <c r="MIW3" s="120"/>
      <c r="MIX3" s="120"/>
      <c r="MIY3" s="120"/>
      <c r="MIZ3" s="120"/>
      <c r="MJA3" s="120"/>
      <c r="MJB3" s="120"/>
      <c r="MJC3" s="120"/>
      <c r="MJD3" s="120"/>
      <c r="MJE3" s="120"/>
      <c r="MJF3" s="120"/>
      <c r="MJG3" s="120"/>
      <c r="MJH3" s="120"/>
      <c r="MJI3" s="120"/>
      <c r="MJJ3" s="120"/>
      <c r="MJK3" s="120"/>
      <c r="MJL3" s="120"/>
      <c r="MJM3" s="120"/>
      <c r="MJN3" s="120"/>
      <c r="MJO3" s="120"/>
      <c r="MJP3" s="120"/>
      <c r="MJQ3" s="120"/>
      <c r="MJR3" s="120"/>
      <c r="MJS3" s="120"/>
      <c r="MJT3" s="120"/>
      <c r="MJU3" s="120"/>
      <c r="MJV3" s="120"/>
      <c r="MJW3" s="120"/>
      <c r="MJX3" s="120"/>
      <c r="MJY3" s="120"/>
      <c r="MJZ3" s="120"/>
      <c r="MKA3" s="120"/>
      <c r="MKB3" s="120"/>
      <c r="MKC3" s="120"/>
      <c r="MKD3" s="120"/>
      <c r="MKE3" s="120"/>
      <c r="MKF3" s="120"/>
      <c r="MKG3" s="120"/>
      <c r="MKH3" s="120"/>
      <c r="MKI3" s="120"/>
      <c r="MKJ3" s="120"/>
      <c r="MKK3" s="120"/>
      <c r="MKL3" s="120"/>
      <c r="MKM3" s="120"/>
      <c r="MKN3" s="120"/>
      <c r="MKO3" s="120"/>
      <c r="MKP3" s="120"/>
      <c r="MKQ3" s="120"/>
      <c r="MKR3" s="120"/>
      <c r="MKS3" s="120"/>
      <c r="MKT3" s="120"/>
      <c r="MKU3" s="120"/>
      <c r="MKV3" s="120"/>
      <c r="MKW3" s="120"/>
      <c r="MKX3" s="120"/>
      <c r="MKY3" s="120"/>
      <c r="MKZ3" s="120"/>
      <c r="MLA3" s="120"/>
      <c r="MLB3" s="120"/>
      <c r="MLC3" s="120"/>
      <c r="MLD3" s="120"/>
      <c r="MLE3" s="120"/>
      <c r="MLF3" s="120"/>
      <c r="MLG3" s="120"/>
      <c r="MLH3" s="120"/>
      <c r="MLI3" s="120"/>
      <c r="MLJ3" s="120"/>
      <c r="MLK3" s="120"/>
      <c r="MLL3" s="120"/>
      <c r="MLM3" s="120"/>
      <c r="MLN3" s="120"/>
      <c r="MLO3" s="120"/>
      <c r="MLP3" s="120"/>
      <c r="MLQ3" s="120"/>
      <c r="MLR3" s="120"/>
      <c r="MLS3" s="120"/>
      <c r="MLT3" s="120"/>
      <c r="MLU3" s="120"/>
      <c r="MLV3" s="120"/>
      <c r="MLW3" s="120"/>
      <c r="MLX3" s="120"/>
      <c r="MLY3" s="120"/>
      <c r="MLZ3" s="120"/>
      <c r="MMA3" s="120"/>
      <c r="MMB3" s="120"/>
      <c r="MMC3" s="120"/>
      <c r="MMD3" s="120"/>
      <c r="MME3" s="120"/>
      <c r="MMF3" s="120"/>
      <c r="MMG3" s="120"/>
      <c r="MMH3" s="120"/>
      <c r="MMI3" s="120"/>
      <c r="MMJ3" s="120"/>
      <c r="MMK3" s="120"/>
      <c r="MML3" s="120"/>
      <c r="MMM3" s="120"/>
      <c r="MMN3" s="120"/>
      <c r="MMO3" s="120"/>
      <c r="MMP3" s="120"/>
      <c r="MMQ3" s="120"/>
      <c r="MMR3" s="120"/>
      <c r="MMS3" s="120"/>
      <c r="MMT3" s="120"/>
      <c r="MMU3" s="120"/>
      <c r="MMV3" s="120"/>
      <c r="MMW3" s="120"/>
      <c r="MMX3" s="120"/>
      <c r="MMY3" s="120"/>
      <c r="MMZ3" s="120"/>
      <c r="MNA3" s="120"/>
      <c r="MNB3" s="120"/>
      <c r="MNC3" s="120"/>
      <c r="MND3" s="120"/>
      <c r="MNE3" s="120"/>
      <c r="MNF3" s="120"/>
      <c r="MNG3" s="120"/>
      <c r="MNH3" s="120"/>
      <c r="MNI3" s="120"/>
      <c r="MNJ3" s="120"/>
      <c r="MNK3" s="120"/>
      <c r="MNL3" s="120"/>
      <c r="MNM3" s="120"/>
      <c r="MNN3" s="120"/>
      <c r="MNO3" s="120"/>
      <c r="MNP3" s="120"/>
      <c r="MNQ3" s="120"/>
      <c r="MNR3" s="120"/>
      <c r="MNS3" s="120"/>
      <c r="MNT3" s="120"/>
      <c r="MNU3" s="120"/>
      <c r="MNV3" s="120"/>
      <c r="MNW3" s="120"/>
      <c r="MNX3" s="120"/>
      <c r="MNY3" s="120"/>
      <c r="MNZ3" s="120"/>
      <c r="MOA3" s="120"/>
      <c r="MOB3" s="120"/>
      <c r="MOC3" s="120"/>
      <c r="MOD3" s="120"/>
      <c r="MOE3" s="120"/>
      <c r="MOF3" s="120"/>
      <c r="MOG3" s="120"/>
      <c r="MOH3" s="120"/>
      <c r="MOI3" s="120"/>
      <c r="MOJ3" s="120"/>
      <c r="MOK3" s="120"/>
      <c r="MOL3" s="120"/>
      <c r="MOM3" s="120"/>
      <c r="MON3" s="120"/>
      <c r="MOO3" s="120"/>
      <c r="MOP3" s="120"/>
      <c r="MOQ3" s="120"/>
      <c r="MOR3" s="120"/>
      <c r="MOS3" s="120"/>
      <c r="MOT3" s="120"/>
      <c r="MOU3" s="120"/>
      <c r="MOV3" s="120"/>
      <c r="MOW3" s="120"/>
      <c r="MOX3" s="120"/>
      <c r="MOY3" s="120"/>
      <c r="MOZ3" s="120"/>
      <c r="MPA3" s="120"/>
      <c r="MPB3" s="120"/>
      <c r="MPC3" s="120"/>
      <c r="MPD3" s="120"/>
      <c r="MPE3" s="120"/>
      <c r="MPF3" s="120"/>
      <c r="MPG3" s="120"/>
      <c r="MPH3" s="120"/>
      <c r="MPI3" s="120"/>
      <c r="MPJ3" s="120"/>
      <c r="MPK3" s="120"/>
      <c r="MPL3" s="120"/>
      <c r="MPM3" s="120"/>
      <c r="MPN3" s="120"/>
      <c r="MPO3" s="120"/>
      <c r="MPP3" s="120"/>
      <c r="MPQ3" s="120"/>
      <c r="MPR3" s="120"/>
      <c r="MPS3" s="120"/>
      <c r="MPT3" s="120"/>
      <c r="MPU3" s="120"/>
      <c r="MPV3" s="120"/>
      <c r="MPW3" s="120"/>
      <c r="MPX3" s="120"/>
      <c r="MPY3" s="120"/>
      <c r="MPZ3" s="120"/>
      <c r="MQA3" s="120"/>
      <c r="MQB3" s="120"/>
      <c r="MQC3" s="120"/>
      <c r="MQD3" s="120"/>
      <c r="MQE3" s="120"/>
      <c r="MQF3" s="120"/>
      <c r="MQG3" s="120"/>
      <c r="MQH3" s="120"/>
      <c r="MQI3" s="120"/>
      <c r="MQJ3" s="120"/>
      <c r="MQK3" s="120"/>
      <c r="MQL3" s="120"/>
      <c r="MQM3" s="120"/>
      <c r="MQN3" s="120"/>
      <c r="MQO3" s="120"/>
      <c r="MQP3" s="120"/>
      <c r="MQQ3" s="120"/>
      <c r="MQR3" s="120"/>
      <c r="MQS3" s="120"/>
      <c r="MQT3" s="120"/>
      <c r="MQU3" s="120"/>
      <c r="MQV3" s="120"/>
      <c r="MQW3" s="120"/>
      <c r="MQX3" s="120"/>
      <c r="MQY3" s="120"/>
      <c r="MQZ3" s="120"/>
      <c r="MRA3" s="120"/>
      <c r="MRB3" s="120"/>
      <c r="MRC3" s="120"/>
      <c r="MRD3" s="120"/>
      <c r="MRE3" s="120"/>
      <c r="MRF3" s="120"/>
      <c r="MRG3" s="120"/>
      <c r="MRH3" s="120"/>
      <c r="MRI3" s="120"/>
      <c r="MRJ3" s="120"/>
      <c r="MRK3" s="120"/>
      <c r="MRL3" s="120"/>
      <c r="MRM3" s="120"/>
      <c r="MRN3" s="120"/>
      <c r="MRO3" s="120"/>
      <c r="MRP3" s="120"/>
      <c r="MRQ3" s="120"/>
      <c r="MRR3" s="120"/>
      <c r="MRS3" s="120"/>
      <c r="MRT3" s="120"/>
      <c r="MRU3" s="120"/>
      <c r="MRV3" s="120"/>
      <c r="MRW3" s="120"/>
      <c r="MRX3" s="120"/>
      <c r="MRY3" s="120"/>
      <c r="MRZ3" s="120"/>
      <c r="MSA3" s="120"/>
      <c r="MSB3" s="120"/>
      <c r="MSC3" s="120"/>
      <c r="MSD3" s="120"/>
      <c r="MSE3" s="120"/>
      <c r="MSF3" s="120"/>
      <c r="MSG3" s="120"/>
      <c r="MSH3" s="120"/>
      <c r="MSI3" s="120"/>
      <c r="MSJ3" s="120"/>
      <c r="MSK3" s="120"/>
      <c r="MSL3" s="120"/>
      <c r="MSM3" s="120"/>
      <c r="MSN3" s="120"/>
      <c r="MSO3" s="120"/>
      <c r="MSP3" s="120"/>
      <c r="MSQ3" s="120"/>
      <c r="MSR3" s="120"/>
      <c r="MSS3" s="120"/>
      <c r="MST3" s="120"/>
      <c r="MSU3" s="120"/>
      <c r="MSV3" s="120"/>
      <c r="MSW3" s="120"/>
      <c r="MSX3" s="120"/>
      <c r="MSY3" s="120"/>
      <c r="MSZ3" s="120"/>
      <c r="MTA3" s="120"/>
      <c r="MTB3" s="120"/>
      <c r="MTC3" s="120"/>
      <c r="MTD3" s="120"/>
      <c r="MTE3" s="120"/>
      <c r="MTF3" s="120"/>
      <c r="MTG3" s="120"/>
      <c r="MTH3" s="120"/>
      <c r="MTI3" s="120"/>
      <c r="MTJ3" s="120"/>
      <c r="MTK3" s="120"/>
      <c r="MTL3" s="120"/>
      <c r="MTM3" s="120"/>
      <c r="MTN3" s="120"/>
      <c r="MTO3" s="120"/>
      <c r="MTP3" s="120"/>
      <c r="MTQ3" s="120"/>
      <c r="MTR3" s="120"/>
      <c r="MTS3" s="120"/>
      <c r="MTT3" s="120"/>
      <c r="MTU3" s="120"/>
      <c r="MTV3" s="120"/>
      <c r="MTW3" s="120"/>
      <c r="MTX3" s="120"/>
      <c r="MTY3" s="120"/>
      <c r="MTZ3" s="120"/>
      <c r="MUA3" s="120"/>
      <c r="MUB3" s="120"/>
      <c r="MUC3" s="120"/>
      <c r="MUD3" s="120"/>
      <c r="MUE3" s="120"/>
      <c r="MUF3" s="120"/>
      <c r="MUG3" s="120"/>
      <c r="MUH3" s="120"/>
      <c r="MUI3" s="120"/>
      <c r="MUJ3" s="120"/>
      <c r="MUK3" s="120"/>
      <c r="MUL3" s="120"/>
      <c r="MUM3" s="120"/>
      <c r="MUN3" s="120"/>
      <c r="MUO3" s="120"/>
      <c r="MUP3" s="120"/>
      <c r="MUQ3" s="120"/>
      <c r="MUR3" s="120"/>
      <c r="MUS3" s="120"/>
      <c r="MUT3" s="120"/>
      <c r="MUU3" s="120"/>
      <c r="MUV3" s="120"/>
      <c r="MUW3" s="120"/>
      <c r="MUX3" s="120"/>
      <c r="MUY3" s="120"/>
      <c r="MUZ3" s="120"/>
      <c r="MVA3" s="120"/>
      <c r="MVB3" s="120"/>
      <c r="MVC3" s="120"/>
      <c r="MVD3" s="120"/>
      <c r="MVE3" s="120"/>
      <c r="MVF3" s="120"/>
      <c r="MVG3" s="120"/>
      <c r="MVH3" s="120"/>
      <c r="MVI3" s="120"/>
      <c r="MVJ3" s="120"/>
      <c r="MVK3" s="120"/>
      <c r="MVL3" s="120"/>
      <c r="MVM3" s="120"/>
      <c r="MVN3" s="120"/>
      <c r="MVO3" s="120"/>
      <c r="MVP3" s="120"/>
      <c r="MVQ3" s="120"/>
      <c r="MVR3" s="120"/>
      <c r="MVS3" s="120"/>
      <c r="MVT3" s="120"/>
      <c r="MVU3" s="120"/>
      <c r="MVV3" s="120"/>
      <c r="MVW3" s="120"/>
      <c r="MVX3" s="120"/>
      <c r="MVY3" s="120"/>
      <c r="MVZ3" s="120"/>
      <c r="MWA3" s="120"/>
      <c r="MWB3" s="120"/>
      <c r="MWC3" s="120"/>
      <c r="MWD3" s="120"/>
      <c r="MWE3" s="120"/>
      <c r="MWF3" s="120"/>
      <c r="MWG3" s="120"/>
      <c r="MWH3" s="120"/>
      <c r="MWI3" s="120"/>
      <c r="MWJ3" s="120"/>
      <c r="MWK3" s="120"/>
      <c r="MWL3" s="120"/>
      <c r="MWM3" s="120"/>
      <c r="MWN3" s="120"/>
      <c r="MWO3" s="120"/>
      <c r="MWP3" s="120"/>
      <c r="MWQ3" s="120"/>
      <c r="MWR3" s="120"/>
      <c r="MWS3" s="120"/>
      <c r="MWT3" s="120"/>
      <c r="MWU3" s="120"/>
      <c r="MWV3" s="120"/>
      <c r="MWW3" s="120"/>
      <c r="MWX3" s="120"/>
      <c r="MWY3" s="120"/>
      <c r="MWZ3" s="120"/>
      <c r="MXA3" s="120"/>
      <c r="MXB3" s="120"/>
      <c r="MXC3" s="120"/>
      <c r="MXD3" s="120"/>
      <c r="MXE3" s="120"/>
      <c r="MXF3" s="120"/>
      <c r="MXG3" s="120"/>
      <c r="MXH3" s="120"/>
      <c r="MXI3" s="120"/>
      <c r="MXJ3" s="120"/>
      <c r="MXK3" s="120"/>
      <c r="MXL3" s="120"/>
      <c r="MXM3" s="120"/>
      <c r="MXN3" s="120"/>
      <c r="MXO3" s="120"/>
      <c r="MXP3" s="120"/>
      <c r="MXQ3" s="120"/>
      <c r="MXR3" s="120"/>
      <c r="MXS3" s="120"/>
      <c r="MXT3" s="120"/>
      <c r="MXU3" s="120"/>
      <c r="MXV3" s="120"/>
      <c r="MXW3" s="120"/>
      <c r="MXX3" s="120"/>
      <c r="MXY3" s="120"/>
      <c r="MXZ3" s="120"/>
      <c r="MYA3" s="120"/>
      <c r="MYB3" s="120"/>
      <c r="MYC3" s="120"/>
      <c r="MYD3" s="120"/>
      <c r="MYE3" s="120"/>
      <c r="MYF3" s="120"/>
      <c r="MYG3" s="120"/>
      <c r="MYH3" s="120"/>
      <c r="MYI3" s="120"/>
      <c r="MYJ3" s="120"/>
      <c r="MYK3" s="120"/>
      <c r="MYL3" s="120"/>
      <c r="MYM3" s="120"/>
      <c r="MYN3" s="120"/>
      <c r="MYO3" s="120"/>
      <c r="MYP3" s="120"/>
      <c r="MYQ3" s="120"/>
      <c r="MYR3" s="120"/>
      <c r="MYS3" s="120"/>
      <c r="MYT3" s="120"/>
      <c r="MYU3" s="120"/>
      <c r="MYV3" s="120"/>
      <c r="MYW3" s="120"/>
      <c r="MYX3" s="120"/>
      <c r="MYY3" s="120"/>
      <c r="MYZ3" s="120"/>
      <c r="MZA3" s="120"/>
      <c r="MZB3" s="120"/>
      <c r="MZC3" s="120"/>
      <c r="MZD3" s="120"/>
      <c r="MZE3" s="120"/>
      <c r="MZF3" s="120"/>
      <c r="MZG3" s="120"/>
      <c r="MZH3" s="120"/>
      <c r="MZI3" s="120"/>
      <c r="MZJ3" s="120"/>
      <c r="MZK3" s="120"/>
      <c r="MZL3" s="120"/>
      <c r="MZM3" s="120"/>
      <c r="MZN3" s="120"/>
      <c r="MZO3" s="120"/>
      <c r="MZP3" s="120"/>
      <c r="MZQ3" s="120"/>
      <c r="MZR3" s="120"/>
      <c r="MZS3" s="120"/>
      <c r="MZT3" s="120"/>
      <c r="MZU3" s="120"/>
      <c r="MZV3" s="120"/>
      <c r="MZW3" s="120"/>
      <c r="MZX3" s="120"/>
      <c r="MZY3" s="120"/>
      <c r="MZZ3" s="120"/>
      <c r="NAA3" s="120"/>
      <c r="NAB3" s="120"/>
      <c r="NAC3" s="120"/>
      <c r="NAD3" s="120"/>
      <c r="NAE3" s="120"/>
      <c r="NAF3" s="120"/>
      <c r="NAG3" s="120"/>
      <c r="NAH3" s="120"/>
      <c r="NAI3" s="120"/>
      <c r="NAJ3" s="120"/>
      <c r="NAK3" s="120"/>
      <c r="NAL3" s="120"/>
      <c r="NAM3" s="120"/>
      <c r="NAN3" s="120"/>
      <c r="NAO3" s="120"/>
      <c r="NAP3" s="120"/>
      <c r="NAQ3" s="120"/>
      <c r="NAR3" s="120"/>
      <c r="NAS3" s="120"/>
      <c r="NAT3" s="120"/>
      <c r="NAU3" s="120"/>
      <c r="NAV3" s="120"/>
      <c r="NAW3" s="120"/>
      <c r="NAX3" s="120"/>
      <c r="NAY3" s="120"/>
      <c r="NAZ3" s="120"/>
      <c r="NBA3" s="120"/>
      <c r="NBB3" s="120"/>
      <c r="NBC3" s="120"/>
      <c r="NBD3" s="120"/>
      <c r="NBE3" s="120"/>
      <c r="NBF3" s="120"/>
      <c r="NBG3" s="120"/>
      <c r="NBH3" s="120"/>
      <c r="NBI3" s="120"/>
      <c r="NBJ3" s="120"/>
      <c r="NBK3" s="120"/>
      <c r="NBL3" s="120"/>
      <c r="NBM3" s="120"/>
      <c r="NBN3" s="120"/>
      <c r="NBO3" s="120"/>
      <c r="NBP3" s="120"/>
      <c r="NBQ3" s="120"/>
      <c r="NBR3" s="120"/>
      <c r="NBS3" s="120"/>
      <c r="NBT3" s="120"/>
      <c r="NBU3" s="120"/>
      <c r="NBV3" s="120"/>
      <c r="NBW3" s="120"/>
      <c r="NBX3" s="120"/>
      <c r="NBY3" s="120"/>
      <c r="NBZ3" s="120"/>
      <c r="NCA3" s="120"/>
      <c r="NCB3" s="120"/>
      <c r="NCC3" s="120"/>
      <c r="NCD3" s="120"/>
      <c r="NCE3" s="120"/>
      <c r="NCF3" s="120"/>
      <c r="NCG3" s="120"/>
      <c r="NCH3" s="120"/>
      <c r="NCI3" s="120"/>
      <c r="NCJ3" s="120"/>
      <c r="NCK3" s="120"/>
      <c r="NCL3" s="120"/>
      <c r="NCM3" s="120"/>
      <c r="NCN3" s="120"/>
      <c r="NCO3" s="120"/>
      <c r="NCP3" s="120"/>
      <c r="NCQ3" s="120"/>
      <c r="NCR3" s="120"/>
      <c r="NCS3" s="120"/>
      <c r="NCT3" s="120"/>
      <c r="NCU3" s="120"/>
      <c r="NCV3" s="120"/>
      <c r="NCW3" s="120"/>
      <c r="NCX3" s="120"/>
      <c r="NCY3" s="120"/>
      <c r="NCZ3" s="120"/>
      <c r="NDA3" s="120"/>
      <c r="NDB3" s="120"/>
      <c r="NDC3" s="120"/>
      <c r="NDD3" s="120"/>
      <c r="NDE3" s="120"/>
      <c r="NDF3" s="120"/>
      <c r="NDG3" s="120"/>
      <c r="NDH3" s="120"/>
      <c r="NDI3" s="120"/>
      <c r="NDJ3" s="120"/>
      <c r="NDK3" s="120"/>
      <c r="NDL3" s="120"/>
      <c r="NDM3" s="120"/>
      <c r="NDN3" s="120"/>
      <c r="NDO3" s="120"/>
      <c r="NDP3" s="120"/>
      <c r="NDQ3" s="120"/>
      <c r="NDR3" s="120"/>
      <c r="NDS3" s="120"/>
      <c r="NDT3" s="120"/>
      <c r="NDU3" s="120"/>
      <c r="NDV3" s="120"/>
      <c r="NDW3" s="120"/>
      <c r="NDX3" s="120"/>
      <c r="NDY3" s="120"/>
      <c r="NDZ3" s="120"/>
      <c r="NEA3" s="120"/>
      <c r="NEB3" s="120"/>
      <c r="NEC3" s="120"/>
      <c r="NED3" s="120"/>
      <c r="NEE3" s="120"/>
      <c r="NEF3" s="120"/>
      <c r="NEG3" s="120"/>
      <c r="NEH3" s="120"/>
      <c r="NEI3" s="120"/>
      <c r="NEJ3" s="120"/>
      <c r="NEK3" s="120"/>
      <c r="NEL3" s="120"/>
      <c r="NEM3" s="120"/>
      <c r="NEN3" s="120"/>
      <c r="NEO3" s="120"/>
      <c r="NEP3" s="120"/>
      <c r="NEQ3" s="120"/>
      <c r="NER3" s="120"/>
      <c r="NES3" s="120"/>
      <c r="NET3" s="120"/>
      <c r="NEU3" s="120"/>
      <c r="NEV3" s="120"/>
      <c r="NEW3" s="120"/>
      <c r="NEX3" s="120"/>
      <c r="NEY3" s="120"/>
      <c r="NEZ3" s="120"/>
      <c r="NFA3" s="120"/>
      <c r="NFB3" s="120"/>
      <c r="NFC3" s="120"/>
      <c r="NFD3" s="120"/>
      <c r="NFE3" s="120"/>
      <c r="NFF3" s="120"/>
      <c r="NFG3" s="120"/>
      <c r="NFH3" s="120"/>
      <c r="NFI3" s="120"/>
      <c r="NFJ3" s="120"/>
      <c r="NFK3" s="120"/>
      <c r="NFL3" s="120"/>
      <c r="NFM3" s="120"/>
      <c r="NFN3" s="120"/>
      <c r="NFO3" s="120"/>
      <c r="NFP3" s="120"/>
      <c r="NFQ3" s="120"/>
      <c r="NFR3" s="120"/>
      <c r="NFS3" s="120"/>
      <c r="NFT3" s="120"/>
      <c r="NFU3" s="120"/>
      <c r="NFV3" s="120"/>
      <c r="NFW3" s="120"/>
      <c r="NFX3" s="120"/>
      <c r="NFY3" s="120"/>
      <c r="NFZ3" s="120"/>
      <c r="NGA3" s="120"/>
      <c r="NGB3" s="120"/>
      <c r="NGC3" s="120"/>
      <c r="NGD3" s="120"/>
      <c r="NGE3" s="120"/>
      <c r="NGF3" s="120"/>
      <c r="NGG3" s="120"/>
      <c r="NGH3" s="120"/>
      <c r="NGI3" s="120"/>
      <c r="NGJ3" s="120"/>
      <c r="NGK3" s="120"/>
      <c r="NGL3" s="120"/>
      <c r="NGM3" s="120"/>
      <c r="NGN3" s="120"/>
      <c r="NGO3" s="120"/>
      <c r="NGP3" s="120"/>
      <c r="NGQ3" s="120"/>
      <c r="NGR3" s="120"/>
      <c r="NGS3" s="120"/>
      <c r="NGT3" s="120"/>
      <c r="NGU3" s="120"/>
      <c r="NGV3" s="120"/>
      <c r="NGW3" s="120"/>
      <c r="NGX3" s="120"/>
      <c r="NGY3" s="120"/>
      <c r="NGZ3" s="120"/>
      <c r="NHA3" s="120"/>
      <c r="NHB3" s="120"/>
      <c r="NHC3" s="120"/>
      <c r="NHD3" s="120"/>
      <c r="NHE3" s="120"/>
      <c r="NHF3" s="120"/>
      <c r="NHG3" s="120"/>
      <c r="NHH3" s="120"/>
      <c r="NHI3" s="120"/>
      <c r="NHJ3" s="120"/>
      <c r="NHK3" s="120"/>
      <c r="NHL3" s="120"/>
      <c r="NHM3" s="120"/>
      <c r="NHN3" s="120"/>
      <c r="NHO3" s="120"/>
      <c r="NHP3" s="120"/>
      <c r="NHQ3" s="120"/>
      <c r="NHR3" s="120"/>
      <c r="NHS3" s="120"/>
      <c r="NHT3" s="120"/>
      <c r="NHU3" s="120"/>
      <c r="NHV3" s="120"/>
      <c r="NHW3" s="120"/>
      <c r="NHX3" s="120"/>
      <c r="NHY3" s="120"/>
      <c r="NHZ3" s="120"/>
      <c r="NIA3" s="120"/>
      <c r="NIB3" s="120"/>
      <c r="NIC3" s="120"/>
      <c r="NID3" s="120"/>
      <c r="NIE3" s="120"/>
      <c r="NIF3" s="120"/>
      <c r="NIG3" s="120"/>
      <c r="NIH3" s="120"/>
      <c r="NII3" s="120"/>
      <c r="NIJ3" s="120"/>
      <c r="NIK3" s="120"/>
      <c r="NIL3" s="120"/>
      <c r="NIM3" s="120"/>
      <c r="NIN3" s="120"/>
      <c r="NIO3" s="120"/>
      <c r="NIP3" s="120"/>
      <c r="NIQ3" s="120"/>
      <c r="NIR3" s="120"/>
      <c r="NIS3" s="120"/>
      <c r="NIT3" s="120"/>
      <c r="NIU3" s="120"/>
      <c r="NIV3" s="120"/>
      <c r="NIW3" s="120"/>
      <c r="NIX3" s="120"/>
      <c r="NIY3" s="120"/>
      <c r="NIZ3" s="120"/>
      <c r="NJA3" s="120"/>
      <c r="NJB3" s="120"/>
      <c r="NJC3" s="120"/>
      <c r="NJD3" s="120"/>
      <c r="NJE3" s="120"/>
      <c r="NJF3" s="120"/>
      <c r="NJG3" s="120"/>
      <c r="NJH3" s="120"/>
      <c r="NJI3" s="120"/>
      <c r="NJJ3" s="120"/>
      <c r="NJK3" s="120"/>
      <c r="NJL3" s="120"/>
      <c r="NJM3" s="120"/>
      <c r="NJN3" s="120"/>
      <c r="NJO3" s="120"/>
      <c r="NJP3" s="120"/>
      <c r="NJQ3" s="120"/>
      <c r="NJR3" s="120"/>
      <c r="NJS3" s="120"/>
      <c r="NJT3" s="120"/>
      <c r="NJU3" s="120"/>
      <c r="NJV3" s="120"/>
      <c r="NJW3" s="120"/>
      <c r="NJX3" s="120"/>
      <c r="NJY3" s="120"/>
      <c r="NJZ3" s="120"/>
      <c r="NKA3" s="120"/>
      <c r="NKB3" s="120"/>
      <c r="NKC3" s="120"/>
      <c r="NKD3" s="120"/>
      <c r="NKE3" s="120"/>
      <c r="NKF3" s="120"/>
      <c r="NKG3" s="120"/>
      <c r="NKH3" s="120"/>
      <c r="NKI3" s="120"/>
      <c r="NKJ3" s="120"/>
      <c r="NKK3" s="120"/>
      <c r="NKL3" s="120"/>
      <c r="NKM3" s="120"/>
      <c r="NKN3" s="120"/>
      <c r="NKO3" s="120"/>
      <c r="NKP3" s="120"/>
      <c r="NKQ3" s="120"/>
      <c r="NKR3" s="120"/>
      <c r="NKS3" s="120"/>
      <c r="NKT3" s="120"/>
      <c r="NKU3" s="120"/>
      <c r="NKV3" s="120"/>
      <c r="NKW3" s="120"/>
      <c r="NKX3" s="120"/>
      <c r="NKY3" s="120"/>
      <c r="NKZ3" s="120"/>
      <c r="NLA3" s="120"/>
      <c r="NLB3" s="120"/>
      <c r="NLC3" s="120"/>
      <c r="NLD3" s="120"/>
      <c r="NLE3" s="120"/>
      <c r="NLF3" s="120"/>
      <c r="NLG3" s="120"/>
      <c r="NLH3" s="120"/>
      <c r="NLI3" s="120"/>
      <c r="NLJ3" s="120"/>
      <c r="NLK3" s="120"/>
      <c r="NLL3" s="120"/>
      <c r="NLM3" s="120"/>
      <c r="NLN3" s="120"/>
      <c r="NLO3" s="120"/>
      <c r="NLP3" s="120"/>
      <c r="NLQ3" s="120"/>
      <c r="NLR3" s="120"/>
      <c r="NLS3" s="120"/>
      <c r="NLT3" s="120"/>
      <c r="NLU3" s="120"/>
      <c r="NLV3" s="120"/>
      <c r="NLW3" s="120"/>
      <c r="NLX3" s="120"/>
      <c r="NLY3" s="120"/>
      <c r="NLZ3" s="120"/>
      <c r="NMA3" s="120"/>
      <c r="NMB3" s="120"/>
      <c r="NMC3" s="120"/>
      <c r="NMD3" s="120"/>
      <c r="NME3" s="120"/>
      <c r="NMF3" s="120"/>
      <c r="NMG3" s="120"/>
      <c r="NMH3" s="120"/>
      <c r="NMI3" s="120"/>
      <c r="NMJ3" s="120"/>
      <c r="NMK3" s="120"/>
      <c r="NML3" s="120"/>
      <c r="NMM3" s="120"/>
      <c r="NMN3" s="120"/>
      <c r="NMO3" s="120"/>
      <c r="NMP3" s="120"/>
      <c r="NMQ3" s="120"/>
      <c r="NMR3" s="120"/>
      <c r="NMS3" s="120"/>
      <c r="NMT3" s="120"/>
      <c r="NMU3" s="120"/>
      <c r="NMV3" s="120"/>
      <c r="NMW3" s="120"/>
      <c r="NMX3" s="120"/>
      <c r="NMY3" s="120"/>
      <c r="NMZ3" s="120"/>
      <c r="NNA3" s="120"/>
      <c r="NNB3" s="120"/>
      <c r="NNC3" s="120"/>
      <c r="NND3" s="120"/>
      <c r="NNE3" s="120"/>
      <c r="NNF3" s="120"/>
      <c r="NNG3" s="120"/>
      <c r="NNH3" s="120"/>
      <c r="NNI3" s="120"/>
      <c r="NNJ3" s="120"/>
      <c r="NNK3" s="120"/>
      <c r="NNL3" s="120"/>
      <c r="NNM3" s="120"/>
      <c r="NNN3" s="120"/>
      <c r="NNO3" s="120"/>
      <c r="NNP3" s="120"/>
      <c r="NNQ3" s="120"/>
      <c r="NNR3" s="120"/>
      <c r="NNS3" s="120"/>
      <c r="NNT3" s="120"/>
      <c r="NNU3" s="120"/>
      <c r="NNV3" s="120"/>
      <c r="NNW3" s="120"/>
      <c r="NNX3" s="120"/>
      <c r="NNY3" s="120"/>
      <c r="NNZ3" s="120"/>
      <c r="NOA3" s="120"/>
      <c r="NOB3" s="120"/>
      <c r="NOC3" s="120"/>
      <c r="NOD3" s="120"/>
      <c r="NOE3" s="120"/>
      <c r="NOF3" s="120"/>
      <c r="NOG3" s="120"/>
      <c r="NOH3" s="120"/>
      <c r="NOI3" s="120"/>
      <c r="NOJ3" s="120"/>
      <c r="NOK3" s="120"/>
      <c r="NOL3" s="120"/>
      <c r="NOM3" s="120"/>
      <c r="NON3" s="120"/>
      <c r="NOO3" s="120"/>
      <c r="NOP3" s="120"/>
      <c r="NOQ3" s="120"/>
      <c r="NOR3" s="120"/>
      <c r="NOS3" s="120"/>
      <c r="NOT3" s="120"/>
      <c r="NOU3" s="120"/>
      <c r="NOV3" s="120"/>
      <c r="NOW3" s="120"/>
      <c r="NOX3" s="120"/>
      <c r="NOY3" s="120"/>
      <c r="NOZ3" s="120"/>
      <c r="NPA3" s="120"/>
      <c r="NPB3" s="120"/>
      <c r="NPC3" s="120"/>
      <c r="NPD3" s="120"/>
      <c r="NPE3" s="120"/>
      <c r="NPF3" s="120"/>
      <c r="NPG3" s="120"/>
      <c r="NPH3" s="120"/>
      <c r="NPI3" s="120"/>
      <c r="NPJ3" s="120"/>
      <c r="NPK3" s="120"/>
      <c r="NPL3" s="120"/>
      <c r="NPM3" s="120"/>
      <c r="NPN3" s="120"/>
      <c r="NPO3" s="120"/>
      <c r="NPP3" s="120"/>
      <c r="NPQ3" s="120"/>
      <c r="NPR3" s="120"/>
      <c r="NPS3" s="120"/>
      <c r="NPT3" s="120"/>
      <c r="NPU3" s="120"/>
      <c r="NPV3" s="120"/>
      <c r="NPW3" s="120"/>
      <c r="NPX3" s="120"/>
      <c r="NPY3" s="120"/>
      <c r="NPZ3" s="120"/>
      <c r="NQA3" s="120"/>
      <c r="NQB3" s="120"/>
      <c r="NQC3" s="120"/>
      <c r="NQD3" s="120"/>
      <c r="NQE3" s="120"/>
      <c r="NQF3" s="120"/>
      <c r="NQG3" s="120"/>
      <c r="NQH3" s="120"/>
      <c r="NQI3" s="120"/>
      <c r="NQJ3" s="120"/>
      <c r="NQK3" s="120"/>
      <c r="NQL3" s="120"/>
      <c r="NQM3" s="120"/>
      <c r="NQN3" s="120"/>
      <c r="NQO3" s="120"/>
      <c r="NQP3" s="120"/>
      <c r="NQQ3" s="120"/>
      <c r="NQR3" s="120"/>
      <c r="NQS3" s="120"/>
      <c r="NQT3" s="120"/>
      <c r="NQU3" s="120"/>
      <c r="NQV3" s="120"/>
      <c r="NQW3" s="120"/>
      <c r="NQX3" s="120"/>
      <c r="NQY3" s="120"/>
      <c r="NQZ3" s="120"/>
      <c r="NRA3" s="120"/>
      <c r="NRB3" s="120"/>
      <c r="NRC3" s="120"/>
      <c r="NRD3" s="120"/>
      <c r="NRE3" s="120"/>
      <c r="NRF3" s="120"/>
      <c r="NRG3" s="120"/>
      <c r="NRH3" s="120"/>
      <c r="NRI3" s="120"/>
      <c r="NRJ3" s="120"/>
      <c r="NRK3" s="120"/>
      <c r="NRL3" s="120"/>
      <c r="NRM3" s="120"/>
      <c r="NRN3" s="120"/>
      <c r="NRO3" s="120"/>
      <c r="NRP3" s="120"/>
      <c r="NRQ3" s="120"/>
      <c r="NRR3" s="120"/>
      <c r="NRS3" s="120"/>
      <c r="NRT3" s="120"/>
      <c r="NRU3" s="120"/>
      <c r="NRV3" s="120"/>
      <c r="NRW3" s="120"/>
      <c r="NRX3" s="120"/>
      <c r="NRY3" s="120"/>
      <c r="NRZ3" s="120"/>
      <c r="NSA3" s="120"/>
      <c r="NSB3" s="120"/>
      <c r="NSC3" s="120"/>
      <c r="NSD3" s="120"/>
      <c r="NSE3" s="120"/>
      <c r="NSF3" s="120"/>
      <c r="NSG3" s="120"/>
      <c r="NSH3" s="120"/>
      <c r="NSI3" s="120"/>
      <c r="NSJ3" s="120"/>
      <c r="NSK3" s="120"/>
      <c r="NSL3" s="120"/>
      <c r="NSM3" s="120"/>
      <c r="NSN3" s="120"/>
      <c r="NSO3" s="120"/>
      <c r="NSP3" s="120"/>
      <c r="NSQ3" s="120"/>
      <c r="NSR3" s="120"/>
      <c r="NSS3" s="120"/>
      <c r="NST3" s="120"/>
      <c r="NSU3" s="120"/>
      <c r="NSV3" s="120"/>
      <c r="NSW3" s="120"/>
      <c r="NSX3" s="120"/>
      <c r="NSY3" s="120"/>
      <c r="NSZ3" s="120"/>
      <c r="NTA3" s="120"/>
      <c r="NTB3" s="120"/>
      <c r="NTC3" s="120"/>
      <c r="NTD3" s="120"/>
      <c r="NTE3" s="120"/>
      <c r="NTF3" s="120"/>
      <c r="NTG3" s="120"/>
      <c r="NTH3" s="120"/>
      <c r="NTI3" s="120"/>
      <c r="NTJ3" s="120"/>
      <c r="NTK3" s="120"/>
      <c r="NTL3" s="120"/>
      <c r="NTM3" s="120"/>
      <c r="NTN3" s="120"/>
      <c r="NTO3" s="120"/>
      <c r="NTP3" s="120"/>
      <c r="NTQ3" s="120"/>
      <c r="NTR3" s="120"/>
      <c r="NTS3" s="120"/>
      <c r="NTT3" s="120"/>
      <c r="NTU3" s="120"/>
      <c r="NTV3" s="120"/>
      <c r="NTW3" s="120"/>
      <c r="NTX3" s="120"/>
      <c r="NTY3" s="120"/>
      <c r="NTZ3" s="120"/>
      <c r="NUA3" s="120"/>
      <c r="NUB3" s="120"/>
      <c r="NUC3" s="120"/>
      <c r="NUD3" s="120"/>
      <c r="NUE3" s="120"/>
      <c r="NUF3" s="120"/>
      <c r="NUG3" s="120"/>
      <c r="NUH3" s="120"/>
      <c r="NUI3" s="120"/>
      <c r="NUJ3" s="120"/>
      <c r="NUK3" s="120"/>
      <c r="NUL3" s="120"/>
      <c r="NUM3" s="120"/>
      <c r="NUN3" s="120"/>
      <c r="NUO3" s="120"/>
      <c r="NUP3" s="120"/>
      <c r="NUQ3" s="120"/>
      <c r="NUR3" s="120"/>
      <c r="NUS3" s="120"/>
      <c r="NUT3" s="120"/>
      <c r="NUU3" s="120"/>
      <c r="NUV3" s="120"/>
      <c r="NUW3" s="120"/>
      <c r="NUX3" s="120"/>
      <c r="NUY3" s="120"/>
      <c r="NUZ3" s="120"/>
      <c r="NVA3" s="120"/>
      <c r="NVB3" s="120"/>
      <c r="NVC3" s="120"/>
      <c r="NVD3" s="120"/>
      <c r="NVE3" s="120"/>
      <c r="NVF3" s="120"/>
      <c r="NVG3" s="120"/>
      <c r="NVH3" s="120"/>
      <c r="NVI3" s="120"/>
      <c r="NVJ3" s="120"/>
      <c r="NVK3" s="120"/>
      <c r="NVL3" s="120"/>
      <c r="NVM3" s="120"/>
      <c r="NVN3" s="120"/>
      <c r="NVO3" s="120"/>
      <c r="NVP3" s="120"/>
      <c r="NVQ3" s="120"/>
      <c r="NVR3" s="120"/>
      <c r="NVS3" s="120"/>
      <c r="NVT3" s="120"/>
      <c r="NVU3" s="120"/>
      <c r="NVV3" s="120"/>
      <c r="NVW3" s="120"/>
      <c r="NVX3" s="120"/>
      <c r="NVY3" s="120"/>
      <c r="NVZ3" s="120"/>
      <c r="NWA3" s="120"/>
      <c r="NWB3" s="120"/>
      <c r="NWC3" s="120"/>
      <c r="NWD3" s="120"/>
      <c r="NWE3" s="120"/>
      <c r="NWF3" s="120"/>
      <c r="NWG3" s="120"/>
      <c r="NWH3" s="120"/>
      <c r="NWI3" s="120"/>
      <c r="NWJ3" s="120"/>
      <c r="NWK3" s="120"/>
      <c r="NWL3" s="120"/>
      <c r="NWM3" s="120"/>
      <c r="NWN3" s="120"/>
      <c r="NWO3" s="120"/>
      <c r="NWP3" s="120"/>
      <c r="NWQ3" s="120"/>
      <c r="NWR3" s="120"/>
      <c r="NWS3" s="120"/>
      <c r="NWT3" s="120"/>
      <c r="NWU3" s="120"/>
      <c r="NWV3" s="120"/>
      <c r="NWW3" s="120"/>
      <c r="NWX3" s="120"/>
      <c r="NWY3" s="120"/>
      <c r="NWZ3" s="120"/>
      <c r="NXA3" s="120"/>
      <c r="NXB3" s="120"/>
      <c r="NXC3" s="120"/>
      <c r="NXD3" s="120"/>
      <c r="NXE3" s="120"/>
      <c r="NXF3" s="120"/>
      <c r="NXG3" s="120"/>
      <c r="NXH3" s="120"/>
      <c r="NXI3" s="120"/>
      <c r="NXJ3" s="120"/>
      <c r="NXK3" s="120"/>
      <c r="NXL3" s="120"/>
      <c r="NXM3" s="120"/>
      <c r="NXN3" s="120"/>
      <c r="NXO3" s="120"/>
      <c r="NXP3" s="120"/>
      <c r="NXQ3" s="120"/>
      <c r="NXR3" s="120"/>
      <c r="NXS3" s="120"/>
      <c r="NXT3" s="120"/>
      <c r="NXU3" s="120"/>
      <c r="NXV3" s="120"/>
      <c r="NXW3" s="120"/>
      <c r="NXX3" s="120"/>
      <c r="NXY3" s="120"/>
      <c r="NXZ3" s="120"/>
      <c r="NYA3" s="120"/>
      <c r="NYB3" s="120"/>
      <c r="NYC3" s="120"/>
      <c r="NYD3" s="120"/>
      <c r="NYE3" s="120"/>
      <c r="NYF3" s="120"/>
      <c r="NYG3" s="120"/>
      <c r="NYH3" s="120"/>
      <c r="NYI3" s="120"/>
      <c r="NYJ3" s="120"/>
      <c r="NYK3" s="120"/>
      <c r="NYL3" s="120"/>
      <c r="NYM3" s="120"/>
      <c r="NYN3" s="120"/>
      <c r="NYO3" s="120"/>
      <c r="NYP3" s="120"/>
      <c r="NYQ3" s="120"/>
      <c r="NYR3" s="120"/>
      <c r="NYS3" s="120"/>
      <c r="NYT3" s="120"/>
      <c r="NYU3" s="120"/>
      <c r="NYV3" s="120"/>
      <c r="NYW3" s="120"/>
      <c r="NYX3" s="120"/>
      <c r="NYY3" s="120"/>
      <c r="NYZ3" s="120"/>
      <c r="NZA3" s="120"/>
      <c r="NZB3" s="120"/>
      <c r="NZC3" s="120"/>
      <c r="NZD3" s="120"/>
      <c r="NZE3" s="120"/>
      <c r="NZF3" s="120"/>
      <c r="NZG3" s="120"/>
      <c r="NZH3" s="120"/>
      <c r="NZI3" s="120"/>
      <c r="NZJ3" s="120"/>
      <c r="NZK3" s="120"/>
      <c r="NZL3" s="120"/>
      <c r="NZM3" s="120"/>
      <c r="NZN3" s="120"/>
      <c r="NZO3" s="120"/>
      <c r="NZP3" s="120"/>
      <c r="NZQ3" s="120"/>
      <c r="NZR3" s="120"/>
      <c r="NZS3" s="120"/>
      <c r="NZT3" s="120"/>
      <c r="NZU3" s="120"/>
      <c r="NZV3" s="120"/>
      <c r="NZW3" s="120"/>
      <c r="NZX3" s="120"/>
      <c r="NZY3" s="120"/>
      <c r="NZZ3" s="120"/>
      <c r="OAA3" s="120"/>
      <c r="OAB3" s="120"/>
      <c r="OAC3" s="120"/>
      <c r="OAD3" s="120"/>
      <c r="OAE3" s="120"/>
      <c r="OAF3" s="120"/>
      <c r="OAG3" s="120"/>
      <c r="OAH3" s="120"/>
      <c r="OAI3" s="120"/>
      <c r="OAJ3" s="120"/>
      <c r="OAK3" s="120"/>
      <c r="OAL3" s="120"/>
      <c r="OAM3" s="120"/>
      <c r="OAN3" s="120"/>
      <c r="OAO3" s="120"/>
      <c r="OAP3" s="120"/>
      <c r="OAQ3" s="120"/>
      <c r="OAR3" s="120"/>
      <c r="OAS3" s="120"/>
      <c r="OAT3" s="120"/>
      <c r="OAU3" s="120"/>
      <c r="OAV3" s="120"/>
      <c r="OAW3" s="120"/>
      <c r="OAX3" s="120"/>
      <c r="OAY3" s="120"/>
      <c r="OAZ3" s="120"/>
      <c r="OBA3" s="120"/>
      <c r="OBB3" s="120"/>
      <c r="OBC3" s="120"/>
      <c r="OBD3" s="120"/>
      <c r="OBE3" s="120"/>
      <c r="OBF3" s="120"/>
      <c r="OBG3" s="120"/>
      <c r="OBH3" s="120"/>
      <c r="OBI3" s="120"/>
      <c r="OBJ3" s="120"/>
      <c r="OBK3" s="120"/>
      <c r="OBL3" s="120"/>
      <c r="OBM3" s="120"/>
      <c r="OBN3" s="120"/>
      <c r="OBO3" s="120"/>
      <c r="OBP3" s="120"/>
      <c r="OBQ3" s="120"/>
      <c r="OBR3" s="120"/>
      <c r="OBS3" s="120"/>
      <c r="OBT3" s="120"/>
      <c r="OBU3" s="120"/>
      <c r="OBV3" s="120"/>
      <c r="OBW3" s="120"/>
      <c r="OBX3" s="120"/>
      <c r="OBY3" s="120"/>
      <c r="OBZ3" s="120"/>
      <c r="OCA3" s="120"/>
      <c r="OCB3" s="120"/>
      <c r="OCC3" s="120"/>
      <c r="OCD3" s="120"/>
      <c r="OCE3" s="120"/>
      <c r="OCF3" s="120"/>
      <c r="OCG3" s="120"/>
      <c r="OCH3" s="120"/>
      <c r="OCI3" s="120"/>
      <c r="OCJ3" s="120"/>
      <c r="OCK3" s="120"/>
      <c r="OCL3" s="120"/>
      <c r="OCM3" s="120"/>
      <c r="OCN3" s="120"/>
      <c r="OCO3" s="120"/>
      <c r="OCP3" s="120"/>
      <c r="OCQ3" s="120"/>
      <c r="OCR3" s="120"/>
      <c r="OCS3" s="120"/>
      <c r="OCT3" s="120"/>
      <c r="OCU3" s="120"/>
      <c r="OCV3" s="120"/>
      <c r="OCW3" s="120"/>
      <c r="OCX3" s="120"/>
      <c r="OCY3" s="120"/>
      <c r="OCZ3" s="120"/>
      <c r="ODA3" s="120"/>
      <c r="ODB3" s="120"/>
      <c r="ODC3" s="120"/>
      <c r="ODD3" s="120"/>
      <c r="ODE3" s="120"/>
      <c r="ODF3" s="120"/>
      <c r="ODG3" s="120"/>
      <c r="ODH3" s="120"/>
      <c r="ODI3" s="120"/>
      <c r="ODJ3" s="120"/>
      <c r="ODK3" s="120"/>
      <c r="ODL3" s="120"/>
      <c r="ODM3" s="120"/>
      <c r="ODN3" s="120"/>
      <c r="ODO3" s="120"/>
      <c r="ODP3" s="120"/>
      <c r="ODQ3" s="120"/>
      <c r="ODR3" s="120"/>
      <c r="ODS3" s="120"/>
      <c r="ODT3" s="120"/>
      <c r="ODU3" s="120"/>
      <c r="ODV3" s="120"/>
      <c r="ODW3" s="120"/>
      <c r="ODX3" s="120"/>
      <c r="ODY3" s="120"/>
      <c r="ODZ3" s="120"/>
      <c r="OEA3" s="120"/>
      <c r="OEB3" s="120"/>
      <c r="OEC3" s="120"/>
      <c r="OED3" s="120"/>
      <c r="OEE3" s="120"/>
      <c r="OEF3" s="120"/>
      <c r="OEG3" s="120"/>
      <c r="OEH3" s="120"/>
      <c r="OEI3" s="120"/>
      <c r="OEJ3" s="120"/>
      <c r="OEK3" s="120"/>
      <c r="OEL3" s="120"/>
      <c r="OEM3" s="120"/>
      <c r="OEN3" s="120"/>
      <c r="OEO3" s="120"/>
      <c r="OEP3" s="120"/>
      <c r="OEQ3" s="120"/>
      <c r="OER3" s="120"/>
      <c r="OES3" s="120"/>
      <c r="OET3" s="120"/>
      <c r="OEU3" s="120"/>
      <c r="OEV3" s="120"/>
      <c r="OEW3" s="120"/>
      <c r="OEX3" s="120"/>
      <c r="OEY3" s="120"/>
      <c r="OEZ3" s="120"/>
      <c r="OFA3" s="120"/>
      <c r="OFB3" s="120"/>
      <c r="OFC3" s="120"/>
      <c r="OFD3" s="120"/>
      <c r="OFE3" s="120"/>
      <c r="OFF3" s="120"/>
      <c r="OFG3" s="120"/>
      <c r="OFH3" s="120"/>
      <c r="OFI3" s="120"/>
      <c r="OFJ3" s="120"/>
      <c r="OFK3" s="120"/>
      <c r="OFL3" s="120"/>
      <c r="OFM3" s="120"/>
      <c r="OFN3" s="120"/>
      <c r="OFO3" s="120"/>
      <c r="OFP3" s="120"/>
      <c r="OFQ3" s="120"/>
      <c r="OFR3" s="120"/>
      <c r="OFS3" s="120"/>
      <c r="OFT3" s="120"/>
      <c r="OFU3" s="120"/>
      <c r="OFV3" s="120"/>
      <c r="OFW3" s="120"/>
      <c r="OFX3" s="120"/>
      <c r="OFY3" s="120"/>
      <c r="OFZ3" s="120"/>
      <c r="OGA3" s="120"/>
      <c r="OGB3" s="120"/>
      <c r="OGC3" s="120"/>
      <c r="OGD3" s="120"/>
      <c r="OGE3" s="120"/>
      <c r="OGF3" s="120"/>
      <c r="OGG3" s="120"/>
      <c r="OGH3" s="120"/>
      <c r="OGI3" s="120"/>
      <c r="OGJ3" s="120"/>
      <c r="OGK3" s="120"/>
      <c r="OGL3" s="120"/>
      <c r="OGM3" s="120"/>
      <c r="OGN3" s="120"/>
      <c r="OGO3" s="120"/>
      <c r="OGP3" s="120"/>
      <c r="OGQ3" s="120"/>
      <c r="OGR3" s="120"/>
      <c r="OGS3" s="120"/>
      <c r="OGT3" s="120"/>
      <c r="OGU3" s="120"/>
      <c r="OGV3" s="120"/>
      <c r="OGW3" s="120"/>
      <c r="OGX3" s="120"/>
      <c r="OGY3" s="120"/>
      <c r="OGZ3" s="120"/>
      <c r="OHA3" s="120"/>
      <c r="OHB3" s="120"/>
      <c r="OHC3" s="120"/>
      <c r="OHD3" s="120"/>
      <c r="OHE3" s="120"/>
      <c r="OHF3" s="120"/>
      <c r="OHG3" s="120"/>
      <c r="OHH3" s="120"/>
      <c r="OHI3" s="120"/>
      <c r="OHJ3" s="120"/>
      <c r="OHK3" s="120"/>
      <c r="OHL3" s="120"/>
      <c r="OHM3" s="120"/>
      <c r="OHN3" s="120"/>
      <c r="OHO3" s="120"/>
      <c r="OHP3" s="120"/>
      <c r="OHQ3" s="120"/>
      <c r="OHR3" s="120"/>
      <c r="OHS3" s="120"/>
      <c r="OHT3" s="120"/>
      <c r="OHU3" s="120"/>
      <c r="OHV3" s="120"/>
      <c r="OHW3" s="120"/>
      <c r="OHX3" s="120"/>
      <c r="OHY3" s="120"/>
      <c r="OHZ3" s="120"/>
      <c r="OIA3" s="120"/>
      <c r="OIB3" s="120"/>
      <c r="OIC3" s="120"/>
      <c r="OID3" s="120"/>
      <c r="OIE3" s="120"/>
      <c r="OIF3" s="120"/>
      <c r="OIG3" s="120"/>
      <c r="OIH3" s="120"/>
      <c r="OII3" s="120"/>
      <c r="OIJ3" s="120"/>
      <c r="OIK3" s="120"/>
      <c r="OIL3" s="120"/>
      <c r="OIM3" s="120"/>
      <c r="OIN3" s="120"/>
      <c r="OIO3" s="120"/>
      <c r="OIP3" s="120"/>
      <c r="OIQ3" s="120"/>
      <c r="OIR3" s="120"/>
      <c r="OIS3" s="120"/>
      <c r="OIT3" s="120"/>
      <c r="OIU3" s="120"/>
      <c r="OIV3" s="120"/>
      <c r="OIW3" s="120"/>
      <c r="OIX3" s="120"/>
      <c r="OIY3" s="120"/>
      <c r="OIZ3" s="120"/>
      <c r="OJA3" s="120"/>
      <c r="OJB3" s="120"/>
      <c r="OJC3" s="120"/>
      <c r="OJD3" s="120"/>
      <c r="OJE3" s="120"/>
      <c r="OJF3" s="120"/>
      <c r="OJG3" s="120"/>
      <c r="OJH3" s="120"/>
      <c r="OJI3" s="120"/>
      <c r="OJJ3" s="120"/>
      <c r="OJK3" s="120"/>
      <c r="OJL3" s="120"/>
      <c r="OJM3" s="120"/>
      <c r="OJN3" s="120"/>
      <c r="OJO3" s="120"/>
      <c r="OJP3" s="120"/>
      <c r="OJQ3" s="120"/>
      <c r="OJR3" s="120"/>
      <c r="OJS3" s="120"/>
      <c r="OJT3" s="120"/>
      <c r="OJU3" s="120"/>
      <c r="OJV3" s="120"/>
      <c r="OJW3" s="120"/>
      <c r="OJX3" s="120"/>
      <c r="OJY3" s="120"/>
      <c r="OJZ3" s="120"/>
      <c r="OKA3" s="120"/>
      <c r="OKB3" s="120"/>
      <c r="OKC3" s="120"/>
      <c r="OKD3" s="120"/>
      <c r="OKE3" s="120"/>
      <c r="OKF3" s="120"/>
      <c r="OKG3" s="120"/>
      <c r="OKH3" s="120"/>
      <c r="OKI3" s="120"/>
      <c r="OKJ3" s="120"/>
      <c r="OKK3" s="120"/>
      <c r="OKL3" s="120"/>
      <c r="OKM3" s="120"/>
      <c r="OKN3" s="120"/>
      <c r="OKO3" s="120"/>
      <c r="OKP3" s="120"/>
      <c r="OKQ3" s="120"/>
      <c r="OKR3" s="120"/>
      <c r="OKS3" s="120"/>
      <c r="OKT3" s="120"/>
      <c r="OKU3" s="120"/>
      <c r="OKV3" s="120"/>
      <c r="OKW3" s="120"/>
      <c r="OKX3" s="120"/>
      <c r="OKY3" s="120"/>
      <c r="OKZ3" s="120"/>
      <c r="OLA3" s="120"/>
      <c r="OLB3" s="120"/>
      <c r="OLC3" s="120"/>
      <c r="OLD3" s="120"/>
      <c r="OLE3" s="120"/>
      <c r="OLF3" s="120"/>
      <c r="OLG3" s="120"/>
      <c r="OLH3" s="120"/>
      <c r="OLI3" s="120"/>
      <c r="OLJ3" s="120"/>
      <c r="OLK3" s="120"/>
      <c r="OLL3" s="120"/>
      <c r="OLM3" s="120"/>
      <c r="OLN3" s="120"/>
      <c r="OLO3" s="120"/>
      <c r="OLP3" s="120"/>
      <c r="OLQ3" s="120"/>
      <c r="OLR3" s="120"/>
      <c r="OLS3" s="120"/>
      <c r="OLT3" s="120"/>
      <c r="OLU3" s="120"/>
      <c r="OLV3" s="120"/>
      <c r="OLW3" s="120"/>
      <c r="OLX3" s="120"/>
      <c r="OLY3" s="120"/>
      <c r="OLZ3" s="120"/>
      <c r="OMA3" s="120"/>
      <c r="OMB3" s="120"/>
      <c r="OMC3" s="120"/>
      <c r="OMD3" s="120"/>
      <c r="OME3" s="120"/>
      <c r="OMF3" s="120"/>
      <c r="OMG3" s="120"/>
      <c r="OMH3" s="120"/>
      <c r="OMI3" s="120"/>
      <c r="OMJ3" s="120"/>
      <c r="OMK3" s="120"/>
      <c r="OML3" s="120"/>
      <c r="OMM3" s="120"/>
      <c r="OMN3" s="120"/>
      <c r="OMO3" s="120"/>
      <c r="OMP3" s="120"/>
      <c r="OMQ3" s="120"/>
      <c r="OMR3" s="120"/>
      <c r="OMS3" s="120"/>
      <c r="OMT3" s="120"/>
      <c r="OMU3" s="120"/>
      <c r="OMV3" s="120"/>
      <c r="OMW3" s="120"/>
      <c r="OMX3" s="120"/>
      <c r="OMY3" s="120"/>
      <c r="OMZ3" s="120"/>
      <c r="ONA3" s="120"/>
      <c r="ONB3" s="120"/>
      <c r="ONC3" s="120"/>
      <c r="OND3" s="120"/>
      <c r="ONE3" s="120"/>
      <c r="ONF3" s="120"/>
      <c r="ONG3" s="120"/>
      <c r="ONH3" s="120"/>
      <c r="ONI3" s="120"/>
      <c r="ONJ3" s="120"/>
      <c r="ONK3" s="120"/>
      <c r="ONL3" s="120"/>
      <c r="ONM3" s="120"/>
      <c r="ONN3" s="120"/>
      <c r="ONO3" s="120"/>
      <c r="ONP3" s="120"/>
      <c r="ONQ3" s="120"/>
      <c r="ONR3" s="120"/>
      <c r="ONS3" s="120"/>
      <c r="ONT3" s="120"/>
      <c r="ONU3" s="120"/>
      <c r="ONV3" s="120"/>
      <c r="ONW3" s="120"/>
      <c r="ONX3" s="120"/>
      <c r="ONY3" s="120"/>
      <c r="ONZ3" s="120"/>
      <c r="OOA3" s="120"/>
      <c r="OOB3" s="120"/>
      <c r="OOC3" s="120"/>
      <c r="OOD3" s="120"/>
      <c r="OOE3" s="120"/>
      <c r="OOF3" s="120"/>
      <c r="OOG3" s="120"/>
      <c r="OOH3" s="120"/>
      <c r="OOI3" s="120"/>
      <c r="OOJ3" s="120"/>
      <c r="OOK3" s="120"/>
      <c r="OOL3" s="120"/>
      <c r="OOM3" s="120"/>
      <c r="OON3" s="120"/>
      <c r="OOO3" s="120"/>
      <c r="OOP3" s="120"/>
      <c r="OOQ3" s="120"/>
      <c r="OOR3" s="120"/>
      <c r="OOS3" s="120"/>
      <c r="OOT3" s="120"/>
      <c r="OOU3" s="120"/>
      <c r="OOV3" s="120"/>
      <c r="OOW3" s="120"/>
      <c r="OOX3" s="120"/>
      <c r="OOY3" s="120"/>
      <c r="OOZ3" s="120"/>
      <c r="OPA3" s="120"/>
      <c r="OPB3" s="120"/>
      <c r="OPC3" s="120"/>
      <c r="OPD3" s="120"/>
      <c r="OPE3" s="120"/>
      <c r="OPF3" s="120"/>
      <c r="OPG3" s="120"/>
      <c r="OPH3" s="120"/>
      <c r="OPI3" s="120"/>
      <c r="OPJ3" s="120"/>
      <c r="OPK3" s="120"/>
      <c r="OPL3" s="120"/>
      <c r="OPM3" s="120"/>
      <c r="OPN3" s="120"/>
      <c r="OPO3" s="120"/>
      <c r="OPP3" s="120"/>
      <c r="OPQ3" s="120"/>
      <c r="OPR3" s="120"/>
      <c r="OPS3" s="120"/>
      <c r="OPT3" s="120"/>
      <c r="OPU3" s="120"/>
      <c r="OPV3" s="120"/>
      <c r="OPW3" s="120"/>
      <c r="OPX3" s="120"/>
      <c r="OPY3" s="120"/>
      <c r="OPZ3" s="120"/>
      <c r="OQA3" s="120"/>
      <c r="OQB3" s="120"/>
      <c r="OQC3" s="120"/>
      <c r="OQD3" s="120"/>
      <c r="OQE3" s="120"/>
      <c r="OQF3" s="120"/>
      <c r="OQG3" s="120"/>
      <c r="OQH3" s="120"/>
      <c r="OQI3" s="120"/>
      <c r="OQJ3" s="120"/>
      <c r="OQK3" s="120"/>
      <c r="OQL3" s="120"/>
      <c r="OQM3" s="120"/>
      <c r="OQN3" s="120"/>
      <c r="OQO3" s="120"/>
      <c r="OQP3" s="120"/>
      <c r="OQQ3" s="120"/>
      <c r="OQR3" s="120"/>
      <c r="OQS3" s="120"/>
      <c r="OQT3" s="120"/>
      <c r="OQU3" s="120"/>
      <c r="OQV3" s="120"/>
      <c r="OQW3" s="120"/>
      <c r="OQX3" s="120"/>
      <c r="OQY3" s="120"/>
      <c r="OQZ3" s="120"/>
      <c r="ORA3" s="120"/>
      <c r="ORB3" s="120"/>
      <c r="ORC3" s="120"/>
      <c r="ORD3" s="120"/>
      <c r="ORE3" s="120"/>
      <c r="ORF3" s="120"/>
      <c r="ORG3" s="120"/>
      <c r="ORH3" s="120"/>
      <c r="ORI3" s="120"/>
      <c r="ORJ3" s="120"/>
      <c r="ORK3" s="120"/>
      <c r="ORL3" s="120"/>
      <c r="ORM3" s="120"/>
      <c r="ORN3" s="120"/>
      <c r="ORO3" s="120"/>
      <c r="ORP3" s="120"/>
      <c r="ORQ3" s="120"/>
      <c r="ORR3" s="120"/>
      <c r="ORS3" s="120"/>
      <c r="ORT3" s="120"/>
      <c r="ORU3" s="120"/>
      <c r="ORV3" s="120"/>
      <c r="ORW3" s="120"/>
      <c r="ORX3" s="120"/>
      <c r="ORY3" s="120"/>
      <c r="ORZ3" s="120"/>
      <c r="OSA3" s="120"/>
      <c r="OSB3" s="120"/>
      <c r="OSC3" s="120"/>
      <c r="OSD3" s="120"/>
      <c r="OSE3" s="120"/>
      <c r="OSF3" s="120"/>
      <c r="OSG3" s="120"/>
      <c r="OSH3" s="120"/>
      <c r="OSI3" s="120"/>
      <c r="OSJ3" s="120"/>
      <c r="OSK3" s="120"/>
      <c r="OSL3" s="120"/>
      <c r="OSM3" s="120"/>
      <c r="OSN3" s="120"/>
      <c r="OSO3" s="120"/>
      <c r="OSP3" s="120"/>
      <c r="OSQ3" s="120"/>
      <c r="OSR3" s="120"/>
      <c r="OSS3" s="120"/>
      <c r="OST3" s="120"/>
      <c r="OSU3" s="120"/>
      <c r="OSV3" s="120"/>
      <c r="OSW3" s="120"/>
      <c r="OSX3" s="120"/>
      <c r="OSY3" s="120"/>
      <c r="OSZ3" s="120"/>
      <c r="OTA3" s="120"/>
      <c r="OTB3" s="120"/>
      <c r="OTC3" s="120"/>
      <c r="OTD3" s="120"/>
      <c r="OTE3" s="120"/>
      <c r="OTF3" s="120"/>
      <c r="OTG3" s="120"/>
      <c r="OTH3" s="120"/>
      <c r="OTI3" s="120"/>
      <c r="OTJ3" s="120"/>
      <c r="OTK3" s="120"/>
      <c r="OTL3" s="120"/>
      <c r="OTM3" s="120"/>
      <c r="OTN3" s="120"/>
      <c r="OTO3" s="120"/>
      <c r="OTP3" s="120"/>
      <c r="OTQ3" s="120"/>
      <c r="OTR3" s="120"/>
      <c r="OTS3" s="120"/>
      <c r="OTT3" s="120"/>
      <c r="OTU3" s="120"/>
      <c r="OTV3" s="120"/>
      <c r="OTW3" s="120"/>
      <c r="OTX3" s="120"/>
      <c r="OTY3" s="120"/>
      <c r="OTZ3" s="120"/>
      <c r="OUA3" s="120"/>
      <c r="OUB3" s="120"/>
      <c r="OUC3" s="120"/>
      <c r="OUD3" s="120"/>
      <c r="OUE3" s="120"/>
      <c r="OUF3" s="120"/>
      <c r="OUG3" s="120"/>
      <c r="OUH3" s="120"/>
      <c r="OUI3" s="120"/>
      <c r="OUJ3" s="120"/>
      <c r="OUK3" s="120"/>
      <c r="OUL3" s="120"/>
      <c r="OUM3" s="120"/>
      <c r="OUN3" s="120"/>
      <c r="OUO3" s="120"/>
      <c r="OUP3" s="120"/>
      <c r="OUQ3" s="120"/>
      <c r="OUR3" s="120"/>
      <c r="OUS3" s="120"/>
      <c r="OUT3" s="120"/>
      <c r="OUU3" s="120"/>
      <c r="OUV3" s="120"/>
      <c r="OUW3" s="120"/>
      <c r="OUX3" s="120"/>
      <c r="OUY3" s="120"/>
      <c r="OUZ3" s="120"/>
      <c r="OVA3" s="120"/>
      <c r="OVB3" s="120"/>
      <c r="OVC3" s="120"/>
      <c r="OVD3" s="120"/>
      <c r="OVE3" s="120"/>
      <c r="OVF3" s="120"/>
      <c r="OVG3" s="120"/>
      <c r="OVH3" s="120"/>
      <c r="OVI3" s="120"/>
      <c r="OVJ3" s="120"/>
      <c r="OVK3" s="120"/>
      <c r="OVL3" s="120"/>
      <c r="OVM3" s="120"/>
      <c r="OVN3" s="120"/>
      <c r="OVO3" s="120"/>
      <c r="OVP3" s="120"/>
      <c r="OVQ3" s="120"/>
      <c r="OVR3" s="120"/>
      <c r="OVS3" s="120"/>
      <c r="OVT3" s="120"/>
      <c r="OVU3" s="120"/>
      <c r="OVV3" s="120"/>
      <c r="OVW3" s="120"/>
      <c r="OVX3" s="120"/>
      <c r="OVY3" s="120"/>
      <c r="OVZ3" s="120"/>
      <c r="OWA3" s="120"/>
      <c r="OWB3" s="120"/>
      <c r="OWC3" s="120"/>
      <c r="OWD3" s="120"/>
      <c r="OWE3" s="120"/>
      <c r="OWF3" s="120"/>
      <c r="OWG3" s="120"/>
      <c r="OWH3" s="120"/>
      <c r="OWI3" s="120"/>
      <c r="OWJ3" s="120"/>
      <c r="OWK3" s="120"/>
      <c r="OWL3" s="120"/>
      <c r="OWM3" s="120"/>
      <c r="OWN3" s="120"/>
      <c r="OWO3" s="120"/>
      <c r="OWP3" s="120"/>
      <c r="OWQ3" s="120"/>
      <c r="OWR3" s="120"/>
      <c r="OWS3" s="120"/>
      <c r="OWT3" s="120"/>
      <c r="OWU3" s="120"/>
      <c r="OWV3" s="120"/>
      <c r="OWW3" s="120"/>
      <c r="OWX3" s="120"/>
      <c r="OWY3" s="120"/>
      <c r="OWZ3" s="120"/>
      <c r="OXA3" s="120"/>
      <c r="OXB3" s="120"/>
      <c r="OXC3" s="120"/>
      <c r="OXD3" s="120"/>
      <c r="OXE3" s="120"/>
      <c r="OXF3" s="120"/>
      <c r="OXG3" s="120"/>
      <c r="OXH3" s="120"/>
      <c r="OXI3" s="120"/>
      <c r="OXJ3" s="120"/>
      <c r="OXK3" s="120"/>
      <c r="OXL3" s="120"/>
      <c r="OXM3" s="120"/>
      <c r="OXN3" s="120"/>
      <c r="OXO3" s="120"/>
      <c r="OXP3" s="120"/>
      <c r="OXQ3" s="120"/>
      <c r="OXR3" s="120"/>
      <c r="OXS3" s="120"/>
      <c r="OXT3" s="120"/>
      <c r="OXU3" s="120"/>
      <c r="OXV3" s="120"/>
      <c r="OXW3" s="120"/>
      <c r="OXX3" s="120"/>
      <c r="OXY3" s="120"/>
      <c r="OXZ3" s="120"/>
      <c r="OYA3" s="120"/>
      <c r="OYB3" s="120"/>
      <c r="OYC3" s="120"/>
      <c r="OYD3" s="120"/>
      <c r="OYE3" s="120"/>
      <c r="OYF3" s="120"/>
      <c r="OYG3" s="120"/>
      <c r="OYH3" s="120"/>
      <c r="OYI3" s="120"/>
      <c r="OYJ3" s="120"/>
      <c r="OYK3" s="120"/>
      <c r="OYL3" s="120"/>
      <c r="OYM3" s="120"/>
      <c r="OYN3" s="120"/>
      <c r="OYO3" s="120"/>
      <c r="OYP3" s="120"/>
      <c r="OYQ3" s="120"/>
      <c r="OYR3" s="120"/>
      <c r="OYS3" s="120"/>
      <c r="OYT3" s="120"/>
      <c r="OYU3" s="120"/>
      <c r="OYV3" s="120"/>
      <c r="OYW3" s="120"/>
      <c r="OYX3" s="120"/>
      <c r="OYY3" s="120"/>
      <c r="OYZ3" s="120"/>
      <c r="OZA3" s="120"/>
      <c r="OZB3" s="120"/>
      <c r="OZC3" s="120"/>
      <c r="OZD3" s="120"/>
      <c r="OZE3" s="120"/>
      <c r="OZF3" s="120"/>
      <c r="OZG3" s="120"/>
      <c r="OZH3" s="120"/>
      <c r="OZI3" s="120"/>
      <c r="OZJ3" s="120"/>
      <c r="OZK3" s="120"/>
      <c r="OZL3" s="120"/>
      <c r="OZM3" s="120"/>
      <c r="OZN3" s="120"/>
      <c r="OZO3" s="120"/>
      <c r="OZP3" s="120"/>
      <c r="OZQ3" s="120"/>
      <c r="OZR3" s="120"/>
      <c r="OZS3" s="120"/>
      <c r="OZT3" s="120"/>
      <c r="OZU3" s="120"/>
      <c r="OZV3" s="120"/>
      <c r="OZW3" s="120"/>
      <c r="OZX3" s="120"/>
      <c r="OZY3" s="120"/>
      <c r="OZZ3" s="120"/>
      <c r="PAA3" s="120"/>
      <c r="PAB3" s="120"/>
      <c r="PAC3" s="120"/>
      <c r="PAD3" s="120"/>
      <c r="PAE3" s="120"/>
      <c r="PAF3" s="120"/>
      <c r="PAG3" s="120"/>
      <c r="PAH3" s="120"/>
      <c r="PAI3" s="120"/>
      <c r="PAJ3" s="120"/>
      <c r="PAK3" s="120"/>
      <c r="PAL3" s="120"/>
      <c r="PAM3" s="120"/>
      <c r="PAN3" s="120"/>
      <c r="PAO3" s="120"/>
      <c r="PAP3" s="120"/>
      <c r="PAQ3" s="120"/>
      <c r="PAR3" s="120"/>
      <c r="PAS3" s="120"/>
      <c r="PAT3" s="120"/>
      <c r="PAU3" s="120"/>
      <c r="PAV3" s="120"/>
      <c r="PAW3" s="120"/>
      <c r="PAX3" s="120"/>
      <c r="PAY3" s="120"/>
      <c r="PAZ3" s="120"/>
      <c r="PBA3" s="120"/>
      <c r="PBB3" s="120"/>
      <c r="PBC3" s="120"/>
      <c r="PBD3" s="120"/>
      <c r="PBE3" s="120"/>
      <c r="PBF3" s="120"/>
      <c r="PBG3" s="120"/>
      <c r="PBH3" s="120"/>
      <c r="PBI3" s="120"/>
      <c r="PBJ3" s="120"/>
      <c r="PBK3" s="120"/>
      <c r="PBL3" s="120"/>
      <c r="PBM3" s="120"/>
      <c r="PBN3" s="120"/>
      <c r="PBO3" s="120"/>
      <c r="PBP3" s="120"/>
      <c r="PBQ3" s="120"/>
      <c r="PBR3" s="120"/>
      <c r="PBS3" s="120"/>
      <c r="PBT3" s="120"/>
      <c r="PBU3" s="120"/>
      <c r="PBV3" s="120"/>
      <c r="PBW3" s="120"/>
      <c r="PBX3" s="120"/>
      <c r="PBY3" s="120"/>
      <c r="PBZ3" s="120"/>
      <c r="PCA3" s="120"/>
      <c r="PCB3" s="120"/>
      <c r="PCC3" s="120"/>
      <c r="PCD3" s="120"/>
      <c r="PCE3" s="120"/>
      <c r="PCF3" s="120"/>
      <c r="PCG3" s="120"/>
      <c r="PCH3" s="120"/>
      <c r="PCI3" s="120"/>
      <c r="PCJ3" s="120"/>
      <c r="PCK3" s="120"/>
      <c r="PCL3" s="120"/>
      <c r="PCM3" s="120"/>
      <c r="PCN3" s="120"/>
      <c r="PCO3" s="120"/>
      <c r="PCP3" s="120"/>
      <c r="PCQ3" s="120"/>
      <c r="PCR3" s="120"/>
      <c r="PCS3" s="120"/>
      <c r="PCT3" s="120"/>
      <c r="PCU3" s="120"/>
      <c r="PCV3" s="120"/>
      <c r="PCW3" s="120"/>
      <c r="PCX3" s="120"/>
      <c r="PCY3" s="120"/>
      <c r="PCZ3" s="120"/>
      <c r="PDA3" s="120"/>
      <c r="PDB3" s="120"/>
      <c r="PDC3" s="120"/>
      <c r="PDD3" s="120"/>
      <c r="PDE3" s="120"/>
      <c r="PDF3" s="120"/>
      <c r="PDG3" s="120"/>
      <c r="PDH3" s="120"/>
      <c r="PDI3" s="120"/>
      <c r="PDJ3" s="120"/>
      <c r="PDK3" s="120"/>
      <c r="PDL3" s="120"/>
      <c r="PDM3" s="120"/>
      <c r="PDN3" s="120"/>
      <c r="PDO3" s="120"/>
      <c r="PDP3" s="120"/>
      <c r="PDQ3" s="120"/>
      <c r="PDR3" s="120"/>
      <c r="PDS3" s="120"/>
      <c r="PDT3" s="120"/>
      <c r="PDU3" s="120"/>
      <c r="PDV3" s="120"/>
      <c r="PDW3" s="120"/>
      <c r="PDX3" s="120"/>
      <c r="PDY3" s="120"/>
      <c r="PDZ3" s="120"/>
      <c r="PEA3" s="120"/>
      <c r="PEB3" s="120"/>
      <c r="PEC3" s="120"/>
      <c r="PED3" s="120"/>
      <c r="PEE3" s="120"/>
      <c r="PEF3" s="120"/>
      <c r="PEG3" s="120"/>
      <c r="PEH3" s="120"/>
      <c r="PEI3" s="120"/>
      <c r="PEJ3" s="120"/>
      <c r="PEK3" s="120"/>
      <c r="PEL3" s="120"/>
      <c r="PEM3" s="120"/>
      <c r="PEN3" s="120"/>
      <c r="PEO3" s="120"/>
      <c r="PEP3" s="120"/>
      <c r="PEQ3" s="120"/>
      <c r="PER3" s="120"/>
      <c r="PES3" s="120"/>
      <c r="PET3" s="120"/>
      <c r="PEU3" s="120"/>
      <c r="PEV3" s="120"/>
      <c r="PEW3" s="120"/>
      <c r="PEX3" s="120"/>
      <c r="PEY3" s="120"/>
      <c r="PEZ3" s="120"/>
      <c r="PFA3" s="120"/>
      <c r="PFB3" s="120"/>
      <c r="PFC3" s="120"/>
      <c r="PFD3" s="120"/>
      <c r="PFE3" s="120"/>
      <c r="PFF3" s="120"/>
      <c r="PFG3" s="120"/>
      <c r="PFH3" s="120"/>
      <c r="PFI3" s="120"/>
      <c r="PFJ3" s="120"/>
      <c r="PFK3" s="120"/>
      <c r="PFL3" s="120"/>
      <c r="PFM3" s="120"/>
      <c r="PFN3" s="120"/>
      <c r="PFO3" s="120"/>
      <c r="PFP3" s="120"/>
      <c r="PFQ3" s="120"/>
      <c r="PFR3" s="120"/>
      <c r="PFS3" s="120"/>
      <c r="PFT3" s="120"/>
      <c r="PFU3" s="120"/>
      <c r="PFV3" s="120"/>
      <c r="PFW3" s="120"/>
      <c r="PFX3" s="120"/>
      <c r="PFY3" s="120"/>
      <c r="PFZ3" s="120"/>
      <c r="PGA3" s="120"/>
      <c r="PGB3" s="120"/>
      <c r="PGC3" s="120"/>
      <c r="PGD3" s="120"/>
      <c r="PGE3" s="120"/>
      <c r="PGF3" s="120"/>
      <c r="PGG3" s="120"/>
      <c r="PGH3" s="120"/>
      <c r="PGI3" s="120"/>
      <c r="PGJ3" s="120"/>
      <c r="PGK3" s="120"/>
      <c r="PGL3" s="120"/>
      <c r="PGM3" s="120"/>
      <c r="PGN3" s="120"/>
      <c r="PGO3" s="120"/>
      <c r="PGP3" s="120"/>
      <c r="PGQ3" s="120"/>
      <c r="PGR3" s="120"/>
      <c r="PGS3" s="120"/>
      <c r="PGT3" s="120"/>
      <c r="PGU3" s="120"/>
      <c r="PGV3" s="120"/>
      <c r="PGW3" s="120"/>
      <c r="PGX3" s="120"/>
      <c r="PGY3" s="120"/>
      <c r="PGZ3" s="120"/>
      <c r="PHA3" s="120"/>
      <c r="PHB3" s="120"/>
      <c r="PHC3" s="120"/>
      <c r="PHD3" s="120"/>
      <c r="PHE3" s="120"/>
      <c r="PHF3" s="120"/>
      <c r="PHG3" s="120"/>
      <c r="PHH3" s="120"/>
      <c r="PHI3" s="120"/>
      <c r="PHJ3" s="120"/>
      <c r="PHK3" s="120"/>
      <c r="PHL3" s="120"/>
      <c r="PHM3" s="120"/>
      <c r="PHN3" s="120"/>
      <c r="PHO3" s="120"/>
      <c r="PHP3" s="120"/>
      <c r="PHQ3" s="120"/>
      <c r="PHR3" s="120"/>
      <c r="PHS3" s="120"/>
      <c r="PHT3" s="120"/>
      <c r="PHU3" s="120"/>
      <c r="PHV3" s="120"/>
      <c r="PHW3" s="120"/>
      <c r="PHX3" s="120"/>
      <c r="PHY3" s="120"/>
      <c r="PHZ3" s="120"/>
      <c r="PIA3" s="120"/>
      <c r="PIB3" s="120"/>
      <c r="PIC3" s="120"/>
      <c r="PID3" s="120"/>
      <c r="PIE3" s="120"/>
      <c r="PIF3" s="120"/>
      <c r="PIG3" s="120"/>
      <c r="PIH3" s="120"/>
      <c r="PII3" s="120"/>
      <c r="PIJ3" s="120"/>
      <c r="PIK3" s="120"/>
      <c r="PIL3" s="120"/>
      <c r="PIM3" s="120"/>
      <c r="PIN3" s="120"/>
      <c r="PIO3" s="120"/>
      <c r="PIP3" s="120"/>
      <c r="PIQ3" s="120"/>
      <c r="PIR3" s="120"/>
      <c r="PIS3" s="120"/>
      <c r="PIT3" s="120"/>
      <c r="PIU3" s="120"/>
      <c r="PIV3" s="120"/>
      <c r="PIW3" s="120"/>
      <c r="PIX3" s="120"/>
      <c r="PIY3" s="120"/>
      <c r="PIZ3" s="120"/>
      <c r="PJA3" s="120"/>
      <c r="PJB3" s="120"/>
      <c r="PJC3" s="120"/>
      <c r="PJD3" s="120"/>
      <c r="PJE3" s="120"/>
      <c r="PJF3" s="120"/>
      <c r="PJG3" s="120"/>
      <c r="PJH3" s="120"/>
      <c r="PJI3" s="120"/>
      <c r="PJJ3" s="120"/>
      <c r="PJK3" s="120"/>
      <c r="PJL3" s="120"/>
      <c r="PJM3" s="120"/>
      <c r="PJN3" s="120"/>
      <c r="PJO3" s="120"/>
      <c r="PJP3" s="120"/>
      <c r="PJQ3" s="120"/>
      <c r="PJR3" s="120"/>
      <c r="PJS3" s="120"/>
      <c r="PJT3" s="120"/>
      <c r="PJU3" s="120"/>
      <c r="PJV3" s="120"/>
      <c r="PJW3" s="120"/>
      <c r="PJX3" s="120"/>
      <c r="PJY3" s="120"/>
      <c r="PJZ3" s="120"/>
      <c r="PKA3" s="120"/>
      <c r="PKB3" s="120"/>
      <c r="PKC3" s="120"/>
      <c r="PKD3" s="120"/>
      <c r="PKE3" s="120"/>
      <c r="PKF3" s="120"/>
      <c r="PKG3" s="120"/>
      <c r="PKH3" s="120"/>
      <c r="PKI3" s="120"/>
      <c r="PKJ3" s="120"/>
      <c r="PKK3" s="120"/>
      <c r="PKL3" s="120"/>
      <c r="PKM3" s="120"/>
      <c r="PKN3" s="120"/>
      <c r="PKO3" s="120"/>
      <c r="PKP3" s="120"/>
      <c r="PKQ3" s="120"/>
      <c r="PKR3" s="120"/>
      <c r="PKS3" s="120"/>
      <c r="PKT3" s="120"/>
      <c r="PKU3" s="120"/>
      <c r="PKV3" s="120"/>
      <c r="PKW3" s="120"/>
      <c r="PKX3" s="120"/>
      <c r="PKY3" s="120"/>
      <c r="PKZ3" s="120"/>
      <c r="PLA3" s="120"/>
      <c r="PLB3" s="120"/>
      <c r="PLC3" s="120"/>
      <c r="PLD3" s="120"/>
      <c r="PLE3" s="120"/>
      <c r="PLF3" s="120"/>
      <c r="PLG3" s="120"/>
      <c r="PLH3" s="120"/>
      <c r="PLI3" s="120"/>
      <c r="PLJ3" s="120"/>
      <c r="PLK3" s="120"/>
      <c r="PLL3" s="120"/>
      <c r="PLM3" s="120"/>
      <c r="PLN3" s="120"/>
      <c r="PLO3" s="120"/>
      <c r="PLP3" s="120"/>
      <c r="PLQ3" s="120"/>
      <c r="PLR3" s="120"/>
      <c r="PLS3" s="120"/>
      <c r="PLT3" s="120"/>
      <c r="PLU3" s="120"/>
      <c r="PLV3" s="120"/>
      <c r="PLW3" s="120"/>
      <c r="PLX3" s="120"/>
      <c r="PLY3" s="120"/>
      <c r="PLZ3" s="120"/>
      <c r="PMA3" s="120"/>
      <c r="PMB3" s="120"/>
      <c r="PMC3" s="120"/>
      <c r="PMD3" s="120"/>
      <c r="PME3" s="120"/>
      <c r="PMF3" s="120"/>
      <c r="PMG3" s="120"/>
      <c r="PMH3" s="120"/>
      <c r="PMI3" s="120"/>
      <c r="PMJ3" s="120"/>
      <c r="PMK3" s="120"/>
      <c r="PML3" s="120"/>
      <c r="PMM3" s="120"/>
      <c r="PMN3" s="120"/>
      <c r="PMO3" s="120"/>
      <c r="PMP3" s="120"/>
      <c r="PMQ3" s="120"/>
      <c r="PMR3" s="120"/>
      <c r="PMS3" s="120"/>
      <c r="PMT3" s="120"/>
      <c r="PMU3" s="120"/>
      <c r="PMV3" s="120"/>
      <c r="PMW3" s="120"/>
      <c r="PMX3" s="120"/>
      <c r="PMY3" s="120"/>
      <c r="PMZ3" s="120"/>
      <c r="PNA3" s="120"/>
      <c r="PNB3" s="120"/>
      <c r="PNC3" s="120"/>
      <c r="PND3" s="120"/>
      <c r="PNE3" s="120"/>
      <c r="PNF3" s="120"/>
      <c r="PNG3" s="120"/>
      <c r="PNH3" s="120"/>
      <c r="PNI3" s="120"/>
      <c r="PNJ3" s="120"/>
      <c r="PNK3" s="120"/>
      <c r="PNL3" s="120"/>
      <c r="PNM3" s="120"/>
      <c r="PNN3" s="120"/>
      <c r="PNO3" s="120"/>
      <c r="PNP3" s="120"/>
      <c r="PNQ3" s="120"/>
      <c r="PNR3" s="120"/>
      <c r="PNS3" s="120"/>
      <c r="PNT3" s="120"/>
      <c r="PNU3" s="120"/>
      <c r="PNV3" s="120"/>
      <c r="PNW3" s="120"/>
      <c r="PNX3" s="120"/>
      <c r="PNY3" s="120"/>
      <c r="PNZ3" s="120"/>
      <c r="POA3" s="120"/>
      <c r="POB3" s="120"/>
      <c r="POC3" s="120"/>
      <c r="POD3" s="120"/>
      <c r="POE3" s="120"/>
      <c r="POF3" s="120"/>
      <c r="POG3" s="120"/>
      <c r="POH3" s="120"/>
      <c r="POI3" s="120"/>
      <c r="POJ3" s="120"/>
      <c r="POK3" s="120"/>
      <c r="POL3" s="120"/>
      <c r="POM3" s="120"/>
      <c r="PON3" s="120"/>
      <c r="POO3" s="120"/>
      <c r="POP3" s="120"/>
      <c r="POQ3" s="120"/>
      <c r="POR3" s="120"/>
      <c r="POS3" s="120"/>
      <c r="POT3" s="120"/>
      <c r="POU3" s="120"/>
      <c r="POV3" s="120"/>
      <c r="POW3" s="120"/>
      <c r="POX3" s="120"/>
      <c r="POY3" s="120"/>
      <c r="POZ3" s="120"/>
      <c r="PPA3" s="120"/>
      <c r="PPB3" s="120"/>
      <c r="PPC3" s="120"/>
      <c r="PPD3" s="120"/>
      <c r="PPE3" s="120"/>
      <c r="PPF3" s="120"/>
      <c r="PPG3" s="120"/>
      <c r="PPH3" s="120"/>
      <c r="PPI3" s="120"/>
      <c r="PPJ3" s="120"/>
      <c r="PPK3" s="120"/>
      <c r="PPL3" s="120"/>
      <c r="PPM3" s="120"/>
      <c r="PPN3" s="120"/>
      <c r="PPO3" s="120"/>
      <c r="PPP3" s="120"/>
      <c r="PPQ3" s="120"/>
      <c r="PPR3" s="120"/>
      <c r="PPS3" s="120"/>
      <c r="PPT3" s="120"/>
      <c r="PPU3" s="120"/>
      <c r="PPV3" s="120"/>
      <c r="PPW3" s="120"/>
      <c r="PPX3" s="120"/>
      <c r="PPY3" s="120"/>
      <c r="PPZ3" s="120"/>
      <c r="PQA3" s="120"/>
      <c r="PQB3" s="120"/>
      <c r="PQC3" s="120"/>
      <c r="PQD3" s="120"/>
      <c r="PQE3" s="120"/>
      <c r="PQF3" s="120"/>
      <c r="PQG3" s="120"/>
      <c r="PQH3" s="120"/>
      <c r="PQI3" s="120"/>
      <c r="PQJ3" s="120"/>
      <c r="PQK3" s="120"/>
      <c r="PQL3" s="120"/>
      <c r="PQM3" s="120"/>
      <c r="PQN3" s="120"/>
      <c r="PQO3" s="120"/>
      <c r="PQP3" s="120"/>
      <c r="PQQ3" s="120"/>
      <c r="PQR3" s="120"/>
      <c r="PQS3" s="120"/>
      <c r="PQT3" s="120"/>
      <c r="PQU3" s="120"/>
      <c r="PQV3" s="120"/>
      <c r="PQW3" s="120"/>
      <c r="PQX3" s="120"/>
      <c r="PQY3" s="120"/>
      <c r="PQZ3" s="120"/>
      <c r="PRA3" s="120"/>
      <c r="PRB3" s="120"/>
      <c r="PRC3" s="120"/>
      <c r="PRD3" s="120"/>
      <c r="PRE3" s="120"/>
      <c r="PRF3" s="120"/>
      <c r="PRG3" s="120"/>
      <c r="PRH3" s="120"/>
      <c r="PRI3" s="120"/>
      <c r="PRJ3" s="120"/>
      <c r="PRK3" s="120"/>
      <c r="PRL3" s="120"/>
      <c r="PRM3" s="120"/>
      <c r="PRN3" s="120"/>
      <c r="PRO3" s="120"/>
      <c r="PRP3" s="120"/>
      <c r="PRQ3" s="120"/>
      <c r="PRR3" s="120"/>
      <c r="PRS3" s="120"/>
      <c r="PRT3" s="120"/>
      <c r="PRU3" s="120"/>
      <c r="PRV3" s="120"/>
      <c r="PRW3" s="120"/>
      <c r="PRX3" s="120"/>
      <c r="PRY3" s="120"/>
      <c r="PRZ3" s="120"/>
      <c r="PSA3" s="120"/>
      <c r="PSB3" s="120"/>
      <c r="PSC3" s="120"/>
      <c r="PSD3" s="120"/>
      <c r="PSE3" s="120"/>
      <c r="PSF3" s="120"/>
      <c r="PSG3" s="120"/>
      <c r="PSH3" s="120"/>
      <c r="PSI3" s="120"/>
      <c r="PSJ3" s="120"/>
      <c r="PSK3" s="120"/>
      <c r="PSL3" s="120"/>
      <c r="PSM3" s="120"/>
      <c r="PSN3" s="120"/>
      <c r="PSO3" s="120"/>
      <c r="PSP3" s="120"/>
      <c r="PSQ3" s="120"/>
      <c r="PSR3" s="120"/>
      <c r="PSS3" s="120"/>
      <c r="PST3" s="120"/>
      <c r="PSU3" s="120"/>
      <c r="PSV3" s="120"/>
      <c r="PSW3" s="120"/>
      <c r="PSX3" s="120"/>
      <c r="PSY3" s="120"/>
      <c r="PSZ3" s="120"/>
      <c r="PTA3" s="120"/>
      <c r="PTB3" s="120"/>
      <c r="PTC3" s="120"/>
      <c r="PTD3" s="120"/>
      <c r="PTE3" s="120"/>
      <c r="PTF3" s="120"/>
      <c r="PTG3" s="120"/>
      <c r="PTH3" s="120"/>
      <c r="PTI3" s="120"/>
      <c r="PTJ3" s="120"/>
      <c r="PTK3" s="120"/>
      <c r="PTL3" s="120"/>
      <c r="PTM3" s="120"/>
      <c r="PTN3" s="120"/>
      <c r="PTO3" s="120"/>
      <c r="PTP3" s="120"/>
      <c r="PTQ3" s="120"/>
      <c r="PTR3" s="120"/>
      <c r="PTS3" s="120"/>
      <c r="PTT3" s="120"/>
      <c r="PTU3" s="120"/>
      <c r="PTV3" s="120"/>
      <c r="PTW3" s="120"/>
      <c r="PTX3" s="120"/>
      <c r="PTY3" s="120"/>
      <c r="PTZ3" s="120"/>
      <c r="PUA3" s="120"/>
      <c r="PUB3" s="120"/>
      <c r="PUC3" s="120"/>
      <c r="PUD3" s="120"/>
      <c r="PUE3" s="120"/>
      <c r="PUF3" s="120"/>
      <c r="PUG3" s="120"/>
      <c r="PUH3" s="120"/>
      <c r="PUI3" s="120"/>
      <c r="PUJ3" s="120"/>
      <c r="PUK3" s="120"/>
      <c r="PUL3" s="120"/>
      <c r="PUM3" s="120"/>
      <c r="PUN3" s="120"/>
      <c r="PUO3" s="120"/>
      <c r="PUP3" s="120"/>
      <c r="PUQ3" s="120"/>
      <c r="PUR3" s="120"/>
      <c r="PUS3" s="120"/>
      <c r="PUT3" s="120"/>
      <c r="PUU3" s="120"/>
      <c r="PUV3" s="120"/>
      <c r="PUW3" s="120"/>
      <c r="PUX3" s="120"/>
      <c r="PUY3" s="120"/>
      <c r="PUZ3" s="120"/>
      <c r="PVA3" s="120"/>
      <c r="PVB3" s="120"/>
      <c r="PVC3" s="120"/>
      <c r="PVD3" s="120"/>
      <c r="PVE3" s="120"/>
      <c r="PVF3" s="120"/>
      <c r="PVG3" s="120"/>
      <c r="PVH3" s="120"/>
      <c r="PVI3" s="120"/>
      <c r="PVJ3" s="120"/>
      <c r="PVK3" s="120"/>
      <c r="PVL3" s="120"/>
      <c r="PVM3" s="120"/>
      <c r="PVN3" s="120"/>
      <c r="PVO3" s="120"/>
      <c r="PVP3" s="120"/>
      <c r="PVQ3" s="120"/>
      <c r="PVR3" s="120"/>
      <c r="PVS3" s="120"/>
      <c r="PVT3" s="120"/>
      <c r="PVU3" s="120"/>
      <c r="PVV3" s="120"/>
      <c r="PVW3" s="120"/>
      <c r="PVX3" s="120"/>
      <c r="PVY3" s="120"/>
      <c r="PVZ3" s="120"/>
      <c r="PWA3" s="120"/>
      <c r="PWB3" s="120"/>
      <c r="PWC3" s="120"/>
      <c r="PWD3" s="120"/>
      <c r="PWE3" s="120"/>
      <c r="PWF3" s="120"/>
      <c r="PWG3" s="120"/>
      <c r="PWH3" s="120"/>
      <c r="PWI3" s="120"/>
      <c r="PWJ3" s="120"/>
      <c r="PWK3" s="120"/>
      <c r="PWL3" s="120"/>
      <c r="PWM3" s="120"/>
      <c r="PWN3" s="120"/>
      <c r="PWO3" s="120"/>
      <c r="PWP3" s="120"/>
      <c r="PWQ3" s="120"/>
      <c r="PWR3" s="120"/>
      <c r="PWS3" s="120"/>
      <c r="PWT3" s="120"/>
      <c r="PWU3" s="120"/>
      <c r="PWV3" s="120"/>
      <c r="PWW3" s="120"/>
      <c r="PWX3" s="120"/>
      <c r="PWY3" s="120"/>
      <c r="PWZ3" s="120"/>
      <c r="PXA3" s="120"/>
      <c r="PXB3" s="120"/>
      <c r="PXC3" s="120"/>
      <c r="PXD3" s="120"/>
      <c r="PXE3" s="120"/>
      <c r="PXF3" s="120"/>
      <c r="PXG3" s="120"/>
      <c r="PXH3" s="120"/>
      <c r="PXI3" s="120"/>
      <c r="PXJ3" s="120"/>
      <c r="PXK3" s="120"/>
      <c r="PXL3" s="120"/>
      <c r="PXM3" s="120"/>
      <c r="PXN3" s="120"/>
      <c r="PXO3" s="120"/>
      <c r="PXP3" s="120"/>
      <c r="PXQ3" s="120"/>
      <c r="PXR3" s="120"/>
      <c r="PXS3" s="120"/>
      <c r="PXT3" s="120"/>
      <c r="PXU3" s="120"/>
      <c r="PXV3" s="120"/>
      <c r="PXW3" s="120"/>
      <c r="PXX3" s="120"/>
      <c r="PXY3" s="120"/>
      <c r="PXZ3" s="120"/>
      <c r="PYA3" s="120"/>
      <c r="PYB3" s="120"/>
      <c r="PYC3" s="120"/>
      <c r="PYD3" s="120"/>
      <c r="PYE3" s="120"/>
      <c r="PYF3" s="120"/>
      <c r="PYG3" s="120"/>
      <c r="PYH3" s="120"/>
      <c r="PYI3" s="120"/>
      <c r="PYJ3" s="120"/>
      <c r="PYK3" s="120"/>
      <c r="PYL3" s="120"/>
      <c r="PYM3" s="120"/>
      <c r="PYN3" s="120"/>
      <c r="PYO3" s="120"/>
      <c r="PYP3" s="120"/>
      <c r="PYQ3" s="120"/>
      <c r="PYR3" s="120"/>
      <c r="PYS3" s="120"/>
      <c r="PYT3" s="120"/>
      <c r="PYU3" s="120"/>
      <c r="PYV3" s="120"/>
      <c r="PYW3" s="120"/>
      <c r="PYX3" s="120"/>
      <c r="PYY3" s="120"/>
      <c r="PYZ3" s="120"/>
      <c r="PZA3" s="120"/>
      <c r="PZB3" s="120"/>
      <c r="PZC3" s="120"/>
      <c r="PZD3" s="120"/>
      <c r="PZE3" s="120"/>
      <c r="PZF3" s="120"/>
      <c r="PZG3" s="120"/>
      <c r="PZH3" s="120"/>
      <c r="PZI3" s="120"/>
      <c r="PZJ3" s="120"/>
      <c r="PZK3" s="120"/>
      <c r="PZL3" s="120"/>
      <c r="PZM3" s="120"/>
      <c r="PZN3" s="120"/>
      <c r="PZO3" s="120"/>
      <c r="PZP3" s="120"/>
      <c r="PZQ3" s="120"/>
      <c r="PZR3" s="120"/>
      <c r="PZS3" s="120"/>
      <c r="PZT3" s="120"/>
      <c r="PZU3" s="120"/>
      <c r="PZV3" s="120"/>
      <c r="PZW3" s="120"/>
      <c r="PZX3" s="120"/>
      <c r="PZY3" s="120"/>
      <c r="PZZ3" s="120"/>
      <c r="QAA3" s="120"/>
      <c r="QAB3" s="120"/>
      <c r="QAC3" s="120"/>
      <c r="QAD3" s="120"/>
      <c r="QAE3" s="120"/>
      <c r="QAF3" s="120"/>
      <c r="QAG3" s="120"/>
      <c r="QAH3" s="120"/>
      <c r="QAI3" s="120"/>
      <c r="QAJ3" s="120"/>
      <c r="QAK3" s="120"/>
      <c r="QAL3" s="120"/>
      <c r="QAM3" s="120"/>
      <c r="QAN3" s="120"/>
      <c r="QAO3" s="120"/>
      <c r="QAP3" s="120"/>
      <c r="QAQ3" s="120"/>
      <c r="QAR3" s="120"/>
      <c r="QAS3" s="120"/>
      <c r="QAT3" s="120"/>
      <c r="QAU3" s="120"/>
      <c r="QAV3" s="120"/>
      <c r="QAW3" s="120"/>
      <c r="QAX3" s="120"/>
      <c r="QAY3" s="120"/>
      <c r="QAZ3" s="120"/>
      <c r="QBA3" s="120"/>
      <c r="QBB3" s="120"/>
      <c r="QBC3" s="120"/>
      <c r="QBD3" s="120"/>
      <c r="QBE3" s="120"/>
      <c r="QBF3" s="120"/>
      <c r="QBG3" s="120"/>
      <c r="QBH3" s="120"/>
      <c r="QBI3" s="120"/>
      <c r="QBJ3" s="120"/>
      <c r="QBK3" s="120"/>
      <c r="QBL3" s="120"/>
      <c r="QBM3" s="120"/>
      <c r="QBN3" s="120"/>
      <c r="QBO3" s="120"/>
      <c r="QBP3" s="120"/>
      <c r="QBQ3" s="120"/>
      <c r="QBR3" s="120"/>
      <c r="QBS3" s="120"/>
      <c r="QBT3" s="120"/>
      <c r="QBU3" s="120"/>
      <c r="QBV3" s="120"/>
      <c r="QBW3" s="120"/>
      <c r="QBX3" s="120"/>
      <c r="QBY3" s="120"/>
      <c r="QBZ3" s="120"/>
      <c r="QCA3" s="120"/>
      <c r="QCB3" s="120"/>
      <c r="QCC3" s="120"/>
      <c r="QCD3" s="120"/>
      <c r="QCE3" s="120"/>
      <c r="QCF3" s="120"/>
      <c r="QCG3" s="120"/>
      <c r="QCH3" s="120"/>
      <c r="QCI3" s="120"/>
      <c r="QCJ3" s="120"/>
      <c r="QCK3" s="120"/>
      <c r="QCL3" s="120"/>
      <c r="QCM3" s="120"/>
      <c r="QCN3" s="120"/>
      <c r="QCO3" s="120"/>
      <c r="QCP3" s="120"/>
      <c r="QCQ3" s="120"/>
      <c r="QCR3" s="120"/>
      <c r="QCS3" s="120"/>
      <c r="QCT3" s="120"/>
      <c r="QCU3" s="120"/>
      <c r="QCV3" s="120"/>
      <c r="QCW3" s="120"/>
      <c r="QCX3" s="120"/>
      <c r="QCY3" s="120"/>
      <c r="QCZ3" s="120"/>
      <c r="QDA3" s="120"/>
      <c r="QDB3" s="120"/>
      <c r="QDC3" s="120"/>
      <c r="QDD3" s="120"/>
      <c r="QDE3" s="120"/>
      <c r="QDF3" s="120"/>
      <c r="QDG3" s="120"/>
      <c r="QDH3" s="120"/>
      <c r="QDI3" s="120"/>
      <c r="QDJ3" s="120"/>
      <c r="QDK3" s="120"/>
      <c r="QDL3" s="120"/>
      <c r="QDM3" s="120"/>
      <c r="QDN3" s="120"/>
      <c r="QDO3" s="120"/>
      <c r="QDP3" s="120"/>
      <c r="QDQ3" s="120"/>
      <c r="QDR3" s="120"/>
      <c r="QDS3" s="120"/>
      <c r="QDT3" s="120"/>
      <c r="QDU3" s="120"/>
      <c r="QDV3" s="120"/>
      <c r="QDW3" s="120"/>
      <c r="QDX3" s="120"/>
      <c r="QDY3" s="120"/>
      <c r="QDZ3" s="120"/>
      <c r="QEA3" s="120"/>
      <c r="QEB3" s="120"/>
      <c r="QEC3" s="120"/>
      <c r="QED3" s="120"/>
      <c r="QEE3" s="120"/>
      <c r="QEF3" s="120"/>
      <c r="QEG3" s="120"/>
      <c r="QEH3" s="120"/>
      <c r="QEI3" s="120"/>
      <c r="QEJ3" s="120"/>
      <c r="QEK3" s="120"/>
      <c r="QEL3" s="120"/>
      <c r="QEM3" s="120"/>
      <c r="QEN3" s="120"/>
      <c r="QEO3" s="120"/>
      <c r="QEP3" s="120"/>
      <c r="QEQ3" s="120"/>
      <c r="QER3" s="120"/>
      <c r="QES3" s="120"/>
      <c r="QET3" s="120"/>
      <c r="QEU3" s="120"/>
      <c r="QEV3" s="120"/>
      <c r="QEW3" s="120"/>
      <c r="QEX3" s="120"/>
      <c r="QEY3" s="120"/>
      <c r="QEZ3" s="120"/>
      <c r="QFA3" s="120"/>
      <c r="QFB3" s="120"/>
      <c r="QFC3" s="120"/>
      <c r="QFD3" s="120"/>
      <c r="QFE3" s="120"/>
      <c r="QFF3" s="120"/>
      <c r="QFG3" s="120"/>
      <c r="QFH3" s="120"/>
      <c r="QFI3" s="120"/>
      <c r="QFJ3" s="120"/>
      <c r="QFK3" s="120"/>
      <c r="QFL3" s="120"/>
      <c r="QFM3" s="120"/>
      <c r="QFN3" s="120"/>
      <c r="QFO3" s="120"/>
      <c r="QFP3" s="120"/>
      <c r="QFQ3" s="120"/>
      <c r="QFR3" s="120"/>
      <c r="QFS3" s="120"/>
      <c r="QFT3" s="120"/>
      <c r="QFU3" s="120"/>
      <c r="QFV3" s="120"/>
      <c r="QFW3" s="120"/>
      <c r="QFX3" s="120"/>
      <c r="QFY3" s="120"/>
      <c r="QFZ3" s="120"/>
      <c r="QGA3" s="120"/>
      <c r="QGB3" s="120"/>
      <c r="QGC3" s="120"/>
      <c r="QGD3" s="120"/>
      <c r="QGE3" s="120"/>
      <c r="QGF3" s="120"/>
      <c r="QGG3" s="120"/>
      <c r="QGH3" s="120"/>
      <c r="QGI3" s="120"/>
      <c r="QGJ3" s="120"/>
      <c r="QGK3" s="120"/>
      <c r="QGL3" s="120"/>
      <c r="QGM3" s="120"/>
      <c r="QGN3" s="120"/>
      <c r="QGO3" s="120"/>
      <c r="QGP3" s="120"/>
      <c r="QGQ3" s="120"/>
      <c r="QGR3" s="120"/>
      <c r="QGS3" s="120"/>
      <c r="QGT3" s="120"/>
      <c r="QGU3" s="120"/>
      <c r="QGV3" s="120"/>
      <c r="QGW3" s="120"/>
      <c r="QGX3" s="120"/>
      <c r="QGY3" s="120"/>
      <c r="QGZ3" s="120"/>
      <c r="QHA3" s="120"/>
      <c r="QHB3" s="120"/>
      <c r="QHC3" s="120"/>
      <c r="QHD3" s="120"/>
      <c r="QHE3" s="120"/>
      <c r="QHF3" s="120"/>
      <c r="QHG3" s="120"/>
      <c r="QHH3" s="120"/>
      <c r="QHI3" s="120"/>
      <c r="QHJ3" s="120"/>
      <c r="QHK3" s="120"/>
      <c r="QHL3" s="120"/>
      <c r="QHM3" s="120"/>
      <c r="QHN3" s="120"/>
      <c r="QHO3" s="120"/>
      <c r="QHP3" s="120"/>
      <c r="QHQ3" s="120"/>
      <c r="QHR3" s="120"/>
      <c r="QHS3" s="120"/>
      <c r="QHT3" s="120"/>
      <c r="QHU3" s="120"/>
      <c r="QHV3" s="120"/>
      <c r="QHW3" s="120"/>
      <c r="QHX3" s="120"/>
      <c r="QHY3" s="120"/>
      <c r="QHZ3" s="120"/>
      <c r="QIA3" s="120"/>
      <c r="QIB3" s="120"/>
      <c r="QIC3" s="120"/>
      <c r="QID3" s="120"/>
      <c r="QIE3" s="120"/>
      <c r="QIF3" s="120"/>
      <c r="QIG3" s="120"/>
      <c r="QIH3" s="120"/>
      <c r="QII3" s="120"/>
      <c r="QIJ3" s="120"/>
      <c r="QIK3" s="120"/>
      <c r="QIL3" s="120"/>
      <c r="QIM3" s="120"/>
      <c r="QIN3" s="120"/>
      <c r="QIO3" s="120"/>
      <c r="QIP3" s="120"/>
      <c r="QIQ3" s="120"/>
      <c r="QIR3" s="120"/>
      <c r="QIS3" s="120"/>
      <c r="QIT3" s="120"/>
      <c r="QIU3" s="120"/>
      <c r="QIV3" s="120"/>
      <c r="QIW3" s="120"/>
      <c r="QIX3" s="120"/>
      <c r="QIY3" s="120"/>
      <c r="QIZ3" s="120"/>
      <c r="QJA3" s="120"/>
      <c r="QJB3" s="120"/>
      <c r="QJC3" s="120"/>
      <c r="QJD3" s="120"/>
      <c r="QJE3" s="120"/>
      <c r="QJF3" s="120"/>
      <c r="QJG3" s="120"/>
      <c r="QJH3" s="120"/>
      <c r="QJI3" s="120"/>
      <c r="QJJ3" s="120"/>
      <c r="QJK3" s="120"/>
      <c r="QJL3" s="120"/>
      <c r="QJM3" s="120"/>
      <c r="QJN3" s="120"/>
      <c r="QJO3" s="120"/>
      <c r="QJP3" s="120"/>
      <c r="QJQ3" s="120"/>
      <c r="QJR3" s="120"/>
      <c r="QJS3" s="120"/>
      <c r="QJT3" s="120"/>
      <c r="QJU3" s="120"/>
      <c r="QJV3" s="120"/>
      <c r="QJW3" s="120"/>
      <c r="QJX3" s="120"/>
      <c r="QJY3" s="120"/>
      <c r="QJZ3" s="120"/>
      <c r="QKA3" s="120"/>
      <c r="QKB3" s="120"/>
      <c r="QKC3" s="120"/>
      <c r="QKD3" s="120"/>
      <c r="QKE3" s="120"/>
      <c r="QKF3" s="120"/>
      <c r="QKG3" s="120"/>
      <c r="QKH3" s="120"/>
      <c r="QKI3" s="120"/>
      <c r="QKJ3" s="120"/>
      <c r="QKK3" s="120"/>
      <c r="QKL3" s="120"/>
      <c r="QKM3" s="120"/>
      <c r="QKN3" s="120"/>
      <c r="QKO3" s="120"/>
      <c r="QKP3" s="120"/>
      <c r="QKQ3" s="120"/>
      <c r="QKR3" s="120"/>
      <c r="QKS3" s="120"/>
      <c r="QKT3" s="120"/>
      <c r="QKU3" s="120"/>
      <c r="QKV3" s="120"/>
      <c r="QKW3" s="120"/>
      <c r="QKX3" s="120"/>
      <c r="QKY3" s="120"/>
      <c r="QKZ3" s="120"/>
      <c r="QLA3" s="120"/>
      <c r="QLB3" s="120"/>
      <c r="QLC3" s="120"/>
      <c r="QLD3" s="120"/>
      <c r="QLE3" s="120"/>
      <c r="QLF3" s="120"/>
      <c r="QLG3" s="120"/>
      <c r="QLH3" s="120"/>
      <c r="QLI3" s="120"/>
      <c r="QLJ3" s="120"/>
      <c r="QLK3" s="120"/>
      <c r="QLL3" s="120"/>
      <c r="QLM3" s="120"/>
      <c r="QLN3" s="120"/>
      <c r="QLO3" s="120"/>
      <c r="QLP3" s="120"/>
      <c r="QLQ3" s="120"/>
      <c r="QLR3" s="120"/>
      <c r="QLS3" s="120"/>
      <c r="QLT3" s="120"/>
      <c r="QLU3" s="120"/>
      <c r="QLV3" s="120"/>
      <c r="QLW3" s="120"/>
      <c r="QLX3" s="120"/>
      <c r="QLY3" s="120"/>
      <c r="QLZ3" s="120"/>
      <c r="QMA3" s="120"/>
      <c r="QMB3" s="120"/>
      <c r="QMC3" s="120"/>
      <c r="QMD3" s="120"/>
      <c r="QME3" s="120"/>
      <c r="QMF3" s="120"/>
      <c r="QMG3" s="120"/>
      <c r="QMH3" s="120"/>
      <c r="QMI3" s="120"/>
      <c r="QMJ3" s="120"/>
      <c r="QMK3" s="120"/>
      <c r="QML3" s="120"/>
      <c r="QMM3" s="120"/>
      <c r="QMN3" s="120"/>
      <c r="QMO3" s="120"/>
      <c r="QMP3" s="120"/>
      <c r="QMQ3" s="120"/>
      <c r="QMR3" s="120"/>
      <c r="QMS3" s="120"/>
      <c r="QMT3" s="120"/>
      <c r="QMU3" s="120"/>
      <c r="QMV3" s="120"/>
      <c r="QMW3" s="120"/>
      <c r="QMX3" s="120"/>
      <c r="QMY3" s="120"/>
      <c r="QMZ3" s="120"/>
      <c r="QNA3" s="120"/>
      <c r="QNB3" s="120"/>
      <c r="QNC3" s="120"/>
      <c r="QND3" s="120"/>
      <c r="QNE3" s="120"/>
      <c r="QNF3" s="120"/>
      <c r="QNG3" s="120"/>
      <c r="QNH3" s="120"/>
      <c r="QNI3" s="120"/>
      <c r="QNJ3" s="120"/>
      <c r="QNK3" s="120"/>
      <c r="QNL3" s="120"/>
      <c r="QNM3" s="120"/>
      <c r="QNN3" s="120"/>
      <c r="QNO3" s="120"/>
      <c r="QNP3" s="120"/>
      <c r="QNQ3" s="120"/>
      <c r="QNR3" s="120"/>
      <c r="QNS3" s="120"/>
      <c r="QNT3" s="120"/>
      <c r="QNU3" s="120"/>
      <c r="QNV3" s="120"/>
      <c r="QNW3" s="120"/>
      <c r="QNX3" s="120"/>
      <c r="QNY3" s="120"/>
      <c r="QNZ3" s="120"/>
      <c r="QOA3" s="120"/>
      <c r="QOB3" s="120"/>
      <c r="QOC3" s="120"/>
      <c r="QOD3" s="120"/>
      <c r="QOE3" s="120"/>
      <c r="QOF3" s="120"/>
      <c r="QOG3" s="120"/>
      <c r="QOH3" s="120"/>
      <c r="QOI3" s="120"/>
      <c r="QOJ3" s="120"/>
      <c r="QOK3" s="120"/>
      <c r="QOL3" s="120"/>
      <c r="QOM3" s="120"/>
      <c r="QON3" s="120"/>
      <c r="QOO3" s="120"/>
      <c r="QOP3" s="120"/>
      <c r="QOQ3" s="120"/>
      <c r="QOR3" s="120"/>
      <c r="QOS3" s="120"/>
      <c r="QOT3" s="120"/>
      <c r="QOU3" s="120"/>
      <c r="QOV3" s="120"/>
      <c r="QOW3" s="120"/>
      <c r="QOX3" s="120"/>
      <c r="QOY3" s="120"/>
      <c r="QOZ3" s="120"/>
      <c r="QPA3" s="120"/>
      <c r="QPB3" s="120"/>
      <c r="QPC3" s="120"/>
      <c r="QPD3" s="120"/>
      <c r="QPE3" s="120"/>
      <c r="QPF3" s="120"/>
      <c r="QPG3" s="120"/>
      <c r="QPH3" s="120"/>
      <c r="QPI3" s="120"/>
      <c r="QPJ3" s="120"/>
      <c r="QPK3" s="120"/>
      <c r="QPL3" s="120"/>
      <c r="QPM3" s="120"/>
      <c r="QPN3" s="120"/>
      <c r="QPO3" s="120"/>
      <c r="QPP3" s="120"/>
      <c r="QPQ3" s="120"/>
      <c r="QPR3" s="120"/>
      <c r="QPS3" s="120"/>
      <c r="QPT3" s="120"/>
      <c r="QPU3" s="120"/>
      <c r="QPV3" s="120"/>
      <c r="QPW3" s="120"/>
      <c r="QPX3" s="120"/>
      <c r="QPY3" s="120"/>
      <c r="QPZ3" s="120"/>
      <c r="QQA3" s="120"/>
      <c r="QQB3" s="120"/>
      <c r="QQC3" s="120"/>
      <c r="QQD3" s="120"/>
      <c r="QQE3" s="120"/>
      <c r="QQF3" s="120"/>
      <c r="QQG3" s="120"/>
      <c r="QQH3" s="120"/>
      <c r="QQI3" s="120"/>
      <c r="QQJ3" s="120"/>
      <c r="QQK3" s="120"/>
      <c r="QQL3" s="120"/>
      <c r="QQM3" s="120"/>
      <c r="QQN3" s="120"/>
      <c r="QQO3" s="120"/>
      <c r="QQP3" s="120"/>
      <c r="QQQ3" s="120"/>
      <c r="QQR3" s="120"/>
      <c r="QQS3" s="120"/>
      <c r="QQT3" s="120"/>
      <c r="QQU3" s="120"/>
      <c r="QQV3" s="120"/>
      <c r="QQW3" s="120"/>
      <c r="QQX3" s="120"/>
      <c r="QQY3" s="120"/>
      <c r="QQZ3" s="120"/>
      <c r="QRA3" s="120"/>
      <c r="QRB3" s="120"/>
      <c r="QRC3" s="120"/>
      <c r="QRD3" s="120"/>
      <c r="QRE3" s="120"/>
      <c r="QRF3" s="120"/>
      <c r="QRG3" s="120"/>
      <c r="QRH3" s="120"/>
      <c r="QRI3" s="120"/>
      <c r="QRJ3" s="120"/>
      <c r="QRK3" s="120"/>
      <c r="QRL3" s="120"/>
      <c r="QRM3" s="120"/>
      <c r="QRN3" s="120"/>
      <c r="QRO3" s="120"/>
      <c r="QRP3" s="120"/>
      <c r="QRQ3" s="120"/>
      <c r="QRR3" s="120"/>
      <c r="QRS3" s="120"/>
      <c r="QRT3" s="120"/>
      <c r="QRU3" s="120"/>
      <c r="QRV3" s="120"/>
      <c r="QRW3" s="120"/>
      <c r="QRX3" s="120"/>
      <c r="QRY3" s="120"/>
      <c r="QRZ3" s="120"/>
      <c r="QSA3" s="120"/>
      <c r="QSB3" s="120"/>
      <c r="QSC3" s="120"/>
      <c r="QSD3" s="120"/>
      <c r="QSE3" s="120"/>
      <c r="QSF3" s="120"/>
      <c r="QSG3" s="120"/>
      <c r="QSH3" s="120"/>
      <c r="QSI3" s="120"/>
      <c r="QSJ3" s="120"/>
      <c r="QSK3" s="120"/>
      <c r="QSL3" s="120"/>
      <c r="QSM3" s="120"/>
      <c r="QSN3" s="120"/>
      <c r="QSO3" s="120"/>
      <c r="QSP3" s="120"/>
      <c r="QSQ3" s="120"/>
      <c r="QSR3" s="120"/>
      <c r="QSS3" s="120"/>
      <c r="QST3" s="120"/>
      <c r="QSU3" s="120"/>
      <c r="QSV3" s="120"/>
      <c r="QSW3" s="120"/>
      <c r="QSX3" s="120"/>
      <c r="QSY3" s="120"/>
      <c r="QSZ3" s="120"/>
      <c r="QTA3" s="120"/>
      <c r="QTB3" s="120"/>
      <c r="QTC3" s="120"/>
      <c r="QTD3" s="120"/>
      <c r="QTE3" s="120"/>
      <c r="QTF3" s="120"/>
      <c r="QTG3" s="120"/>
      <c r="QTH3" s="120"/>
      <c r="QTI3" s="120"/>
      <c r="QTJ3" s="120"/>
      <c r="QTK3" s="120"/>
      <c r="QTL3" s="120"/>
      <c r="QTM3" s="120"/>
      <c r="QTN3" s="120"/>
      <c r="QTO3" s="120"/>
      <c r="QTP3" s="120"/>
      <c r="QTQ3" s="120"/>
      <c r="QTR3" s="120"/>
      <c r="QTS3" s="120"/>
      <c r="QTT3" s="120"/>
      <c r="QTU3" s="120"/>
      <c r="QTV3" s="120"/>
      <c r="QTW3" s="120"/>
      <c r="QTX3" s="120"/>
      <c r="QTY3" s="120"/>
      <c r="QTZ3" s="120"/>
      <c r="QUA3" s="120"/>
      <c r="QUB3" s="120"/>
      <c r="QUC3" s="120"/>
      <c r="QUD3" s="120"/>
      <c r="QUE3" s="120"/>
      <c r="QUF3" s="120"/>
      <c r="QUG3" s="120"/>
      <c r="QUH3" s="120"/>
      <c r="QUI3" s="120"/>
      <c r="QUJ3" s="120"/>
      <c r="QUK3" s="120"/>
      <c r="QUL3" s="120"/>
      <c r="QUM3" s="120"/>
      <c r="QUN3" s="120"/>
      <c r="QUO3" s="120"/>
      <c r="QUP3" s="120"/>
      <c r="QUQ3" s="120"/>
      <c r="QUR3" s="120"/>
      <c r="QUS3" s="120"/>
      <c r="QUT3" s="120"/>
      <c r="QUU3" s="120"/>
      <c r="QUV3" s="120"/>
      <c r="QUW3" s="120"/>
      <c r="QUX3" s="120"/>
      <c r="QUY3" s="120"/>
      <c r="QUZ3" s="120"/>
      <c r="QVA3" s="120"/>
      <c r="QVB3" s="120"/>
      <c r="QVC3" s="120"/>
      <c r="QVD3" s="120"/>
      <c r="QVE3" s="120"/>
      <c r="QVF3" s="120"/>
      <c r="QVG3" s="120"/>
      <c r="QVH3" s="120"/>
      <c r="QVI3" s="120"/>
      <c r="QVJ3" s="120"/>
      <c r="QVK3" s="120"/>
      <c r="QVL3" s="120"/>
      <c r="QVM3" s="120"/>
      <c r="QVN3" s="120"/>
      <c r="QVO3" s="120"/>
      <c r="QVP3" s="120"/>
      <c r="QVQ3" s="120"/>
      <c r="QVR3" s="120"/>
      <c r="QVS3" s="120"/>
      <c r="QVT3" s="120"/>
      <c r="QVU3" s="120"/>
      <c r="QVV3" s="120"/>
      <c r="QVW3" s="120"/>
      <c r="QVX3" s="120"/>
      <c r="QVY3" s="120"/>
      <c r="QVZ3" s="120"/>
      <c r="QWA3" s="120"/>
      <c r="QWB3" s="120"/>
      <c r="QWC3" s="120"/>
      <c r="QWD3" s="120"/>
      <c r="QWE3" s="120"/>
      <c r="QWF3" s="120"/>
      <c r="QWG3" s="120"/>
      <c r="QWH3" s="120"/>
      <c r="QWI3" s="120"/>
      <c r="QWJ3" s="120"/>
      <c r="QWK3" s="120"/>
      <c r="QWL3" s="120"/>
      <c r="QWM3" s="120"/>
      <c r="QWN3" s="120"/>
      <c r="QWO3" s="120"/>
      <c r="QWP3" s="120"/>
      <c r="QWQ3" s="120"/>
      <c r="QWR3" s="120"/>
      <c r="QWS3" s="120"/>
      <c r="QWT3" s="120"/>
      <c r="QWU3" s="120"/>
      <c r="QWV3" s="120"/>
      <c r="QWW3" s="120"/>
      <c r="QWX3" s="120"/>
      <c r="QWY3" s="120"/>
      <c r="QWZ3" s="120"/>
      <c r="QXA3" s="120"/>
      <c r="QXB3" s="120"/>
      <c r="QXC3" s="120"/>
      <c r="QXD3" s="120"/>
      <c r="QXE3" s="120"/>
      <c r="QXF3" s="120"/>
      <c r="QXG3" s="120"/>
      <c r="QXH3" s="120"/>
      <c r="QXI3" s="120"/>
      <c r="QXJ3" s="120"/>
      <c r="QXK3" s="120"/>
      <c r="QXL3" s="120"/>
      <c r="QXM3" s="120"/>
      <c r="QXN3" s="120"/>
      <c r="QXO3" s="120"/>
      <c r="QXP3" s="120"/>
      <c r="QXQ3" s="120"/>
      <c r="QXR3" s="120"/>
      <c r="QXS3" s="120"/>
      <c r="QXT3" s="120"/>
      <c r="QXU3" s="120"/>
      <c r="QXV3" s="120"/>
      <c r="QXW3" s="120"/>
      <c r="QXX3" s="120"/>
      <c r="QXY3" s="120"/>
      <c r="QXZ3" s="120"/>
      <c r="QYA3" s="120"/>
      <c r="QYB3" s="120"/>
      <c r="QYC3" s="120"/>
      <c r="QYD3" s="120"/>
      <c r="QYE3" s="120"/>
      <c r="QYF3" s="120"/>
      <c r="QYG3" s="120"/>
      <c r="QYH3" s="120"/>
      <c r="QYI3" s="120"/>
      <c r="QYJ3" s="120"/>
      <c r="QYK3" s="120"/>
      <c r="QYL3" s="120"/>
      <c r="QYM3" s="120"/>
      <c r="QYN3" s="120"/>
      <c r="QYO3" s="120"/>
      <c r="QYP3" s="120"/>
      <c r="QYQ3" s="120"/>
      <c r="QYR3" s="120"/>
      <c r="QYS3" s="120"/>
      <c r="QYT3" s="120"/>
      <c r="QYU3" s="120"/>
      <c r="QYV3" s="120"/>
      <c r="QYW3" s="120"/>
      <c r="QYX3" s="120"/>
      <c r="QYY3" s="120"/>
      <c r="QYZ3" s="120"/>
      <c r="QZA3" s="120"/>
      <c r="QZB3" s="120"/>
      <c r="QZC3" s="120"/>
      <c r="QZD3" s="120"/>
      <c r="QZE3" s="120"/>
      <c r="QZF3" s="120"/>
      <c r="QZG3" s="120"/>
      <c r="QZH3" s="120"/>
      <c r="QZI3" s="120"/>
      <c r="QZJ3" s="120"/>
      <c r="QZK3" s="120"/>
      <c r="QZL3" s="120"/>
      <c r="QZM3" s="120"/>
      <c r="QZN3" s="120"/>
      <c r="QZO3" s="120"/>
      <c r="QZP3" s="120"/>
      <c r="QZQ3" s="120"/>
      <c r="QZR3" s="120"/>
      <c r="QZS3" s="120"/>
      <c r="QZT3" s="120"/>
      <c r="QZU3" s="120"/>
      <c r="QZV3" s="120"/>
      <c r="QZW3" s="120"/>
      <c r="QZX3" s="120"/>
      <c r="QZY3" s="120"/>
      <c r="QZZ3" s="120"/>
      <c r="RAA3" s="120"/>
      <c r="RAB3" s="120"/>
      <c r="RAC3" s="120"/>
      <c r="RAD3" s="120"/>
      <c r="RAE3" s="120"/>
      <c r="RAF3" s="120"/>
      <c r="RAG3" s="120"/>
      <c r="RAH3" s="120"/>
      <c r="RAI3" s="120"/>
      <c r="RAJ3" s="120"/>
      <c r="RAK3" s="120"/>
      <c r="RAL3" s="120"/>
      <c r="RAM3" s="120"/>
      <c r="RAN3" s="120"/>
      <c r="RAO3" s="120"/>
      <c r="RAP3" s="120"/>
      <c r="RAQ3" s="120"/>
      <c r="RAR3" s="120"/>
      <c r="RAS3" s="120"/>
      <c r="RAT3" s="120"/>
      <c r="RAU3" s="120"/>
      <c r="RAV3" s="120"/>
      <c r="RAW3" s="120"/>
      <c r="RAX3" s="120"/>
      <c r="RAY3" s="120"/>
      <c r="RAZ3" s="120"/>
      <c r="RBA3" s="120"/>
      <c r="RBB3" s="120"/>
      <c r="RBC3" s="120"/>
      <c r="RBD3" s="120"/>
      <c r="RBE3" s="120"/>
      <c r="RBF3" s="120"/>
      <c r="RBG3" s="120"/>
      <c r="RBH3" s="120"/>
      <c r="RBI3" s="120"/>
      <c r="RBJ3" s="120"/>
      <c r="RBK3" s="120"/>
      <c r="RBL3" s="120"/>
      <c r="RBM3" s="120"/>
      <c r="RBN3" s="120"/>
      <c r="RBO3" s="120"/>
      <c r="RBP3" s="120"/>
      <c r="RBQ3" s="120"/>
      <c r="RBR3" s="120"/>
      <c r="RBS3" s="120"/>
      <c r="RBT3" s="120"/>
      <c r="RBU3" s="120"/>
      <c r="RBV3" s="120"/>
      <c r="RBW3" s="120"/>
      <c r="RBX3" s="120"/>
      <c r="RBY3" s="120"/>
      <c r="RBZ3" s="120"/>
      <c r="RCA3" s="120"/>
      <c r="RCB3" s="120"/>
      <c r="RCC3" s="120"/>
      <c r="RCD3" s="120"/>
      <c r="RCE3" s="120"/>
      <c r="RCF3" s="120"/>
      <c r="RCG3" s="120"/>
      <c r="RCH3" s="120"/>
      <c r="RCI3" s="120"/>
      <c r="RCJ3" s="120"/>
      <c r="RCK3" s="120"/>
      <c r="RCL3" s="120"/>
      <c r="RCM3" s="120"/>
      <c r="RCN3" s="120"/>
      <c r="RCO3" s="120"/>
      <c r="RCP3" s="120"/>
      <c r="RCQ3" s="120"/>
      <c r="RCR3" s="120"/>
      <c r="RCS3" s="120"/>
      <c r="RCT3" s="120"/>
      <c r="RCU3" s="120"/>
      <c r="RCV3" s="120"/>
      <c r="RCW3" s="120"/>
      <c r="RCX3" s="120"/>
      <c r="RCY3" s="120"/>
      <c r="RCZ3" s="120"/>
      <c r="RDA3" s="120"/>
      <c r="RDB3" s="120"/>
      <c r="RDC3" s="120"/>
      <c r="RDD3" s="120"/>
      <c r="RDE3" s="120"/>
      <c r="RDF3" s="120"/>
      <c r="RDG3" s="120"/>
      <c r="RDH3" s="120"/>
      <c r="RDI3" s="120"/>
      <c r="RDJ3" s="120"/>
      <c r="RDK3" s="120"/>
      <c r="RDL3" s="120"/>
      <c r="RDM3" s="120"/>
      <c r="RDN3" s="120"/>
      <c r="RDO3" s="120"/>
      <c r="RDP3" s="120"/>
      <c r="RDQ3" s="120"/>
      <c r="RDR3" s="120"/>
      <c r="RDS3" s="120"/>
      <c r="RDT3" s="120"/>
      <c r="RDU3" s="120"/>
      <c r="RDV3" s="120"/>
      <c r="RDW3" s="120"/>
      <c r="RDX3" s="120"/>
      <c r="RDY3" s="120"/>
      <c r="RDZ3" s="120"/>
      <c r="REA3" s="120"/>
      <c r="REB3" s="120"/>
      <c r="REC3" s="120"/>
      <c r="RED3" s="120"/>
      <c r="REE3" s="120"/>
      <c r="REF3" s="120"/>
      <c r="REG3" s="120"/>
      <c r="REH3" s="120"/>
      <c r="REI3" s="120"/>
      <c r="REJ3" s="120"/>
      <c r="REK3" s="120"/>
      <c r="REL3" s="120"/>
      <c r="REM3" s="120"/>
      <c r="REN3" s="120"/>
      <c r="REO3" s="120"/>
      <c r="REP3" s="120"/>
      <c r="REQ3" s="120"/>
      <c r="RER3" s="120"/>
      <c r="RES3" s="120"/>
      <c r="RET3" s="120"/>
      <c r="REU3" s="120"/>
      <c r="REV3" s="120"/>
      <c r="REW3" s="120"/>
      <c r="REX3" s="120"/>
      <c r="REY3" s="120"/>
      <c r="REZ3" s="120"/>
      <c r="RFA3" s="120"/>
      <c r="RFB3" s="120"/>
      <c r="RFC3" s="120"/>
      <c r="RFD3" s="120"/>
      <c r="RFE3" s="120"/>
      <c r="RFF3" s="120"/>
      <c r="RFG3" s="120"/>
      <c r="RFH3" s="120"/>
      <c r="RFI3" s="120"/>
      <c r="RFJ3" s="120"/>
      <c r="RFK3" s="120"/>
      <c r="RFL3" s="120"/>
      <c r="RFM3" s="120"/>
      <c r="RFN3" s="120"/>
      <c r="RFO3" s="120"/>
      <c r="RFP3" s="120"/>
      <c r="RFQ3" s="120"/>
      <c r="RFR3" s="120"/>
      <c r="RFS3" s="120"/>
      <c r="RFT3" s="120"/>
      <c r="RFU3" s="120"/>
      <c r="RFV3" s="120"/>
      <c r="RFW3" s="120"/>
      <c r="RFX3" s="120"/>
      <c r="RFY3" s="120"/>
      <c r="RFZ3" s="120"/>
      <c r="RGA3" s="120"/>
      <c r="RGB3" s="120"/>
      <c r="RGC3" s="120"/>
      <c r="RGD3" s="120"/>
      <c r="RGE3" s="120"/>
      <c r="RGF3" s="120"/>
      <c r="RGG3" s="120"/>
      <c r="RGH3" s="120"/>
      <c r="RGI3" s="120"/>
      <c r="RGJ3" s="120"/>
      <c r="RGK3" s="120"/>
      <c r="RGL3" s="120"/>
      <c r="RGM3" s="120"/>
      <c r="RGN3" s="120"/>
      <c r="RGO3" s="120"/>
      <c r="RGP3" s="120"/>
      <c r="RGQ3" s="120"/>
      <c r="RGR3" s="120"/>
      <c r="RGS3" s="120"/>
      <c r="RGT3" s="120"/>
      <c r="RGU3" s="120"/>
      <c r="RGV3" s="120"/>
      <c r="RGW3" s="120"/>
      <c r="RGX3" s="120"/>
      <c r="RGY3" s="120"/>
      <c r="RGZ3" s="120"/>
      <c r="RHA3" s="120"/>
      <c r="RHB3" s="120"/>
      <c r="RHC3" s="120"/>
      <c r="RHD3" s="120"/>
      <c r="RHE3" s="120"/>
      <c r="RHF3" s="120"/>
      <c r="RHG3" s="120"/>
      <c r="RHH3" s="120"/>
      <c r="RHI3" s="120"/>
      <c r="RHJ3" s="120"/>
      <c r="RHK3" s="120"/>
      <c r="RHL3" s="120"/>
      <c r="RHM3" s="120"/>
      <c r="RHN3" s="120"/>
      <c r="RHO3" s="120"/>
      <c r="RHP3" s="120"/>
      <c r="RHQ3" s="120"/>
      <c r="RHR3" s="120"/>
      <c r="RHS3" s="120"/>
      <c r="RHT3" s="120"/>
      <c r="RHU3" s="120"/>
      <c r="RHV3" s="120"/>
      <c r="RHW3" s="120"/>
      <c r="RHX3" s="120"/>
      <c r="RHY3" s="120"/>
      <c r="RHZ3" s="120"/>
      <c r="RIA3" s="120"/>
      <c r="RIB3" s="120"/>
      <c r="RIC3" s="120"/>
      <c r="RID3" s="120"/>
      <c r="RIE3" s="120"/>
      <c r="RIF3" s="120"/>
      <c r="RIG3" s="120"/>
      <c r="RIH3" s="120"/>
      <c r="RII3" s="120"/>
      <c r="RIJ3" s="120"/>
      <c r="RIK3" s="120"/>
      <c r="RIL3" s="120"/>
      <c r="RIM3" s="120"/>
      <c r="RIN3" s="120"/>
      <c r="RIO3" s="120"/>
      <c r="RIP3" s="120"/>
      <c r="RIQ3" s="120"/>
      <c r="RIR3" s="120"/>
      <c r="RIS3" s="120"/>
      <c r="RIT3" s="120"/>
      <c r="RIU3" s="120"/>
      <c r="RIV3" s="120"/>
      <c r="RIW3" s="120"/>
      <c r="RIX3" s="120"/>
      <c r="RIY3" s="120"/>
      <c r="RIZ3" s="120"/>
      <c r="RJA3" s="120"/>
      <c r="RJB3" s="120"/>
      <c r="RJC3" s="120"/>
      <c r="RJD3" s="120"/>
      <c r="RJE3" s="120"/>
      <c r="RJF3" s="120"/>
      <c r="RJG3" s="120"/>
      <c r="RJH3" s="120"/>
      <c r="RJI3" s="120"/>
      <c r="RJJ3" s="120"/>
      <c r="RJK3" s="120"/>
      <c r="RJL3" s="120"/>
      <c r="RJM3" s="120"/>
      <c r="RJN3" s="120"/>
      <c r="RJO3" s="120"/>
      <c r="RJP3" s="120"/>
      <c r="RJQ3" s="120"/>
      <c r="RJR3" s="120"/>
      <c r="RJS3" s="120"/>
      <c r="RJT3" s="120"/>
      <c r="RJU3" s="120"/>
      <c r="RJV3" s="120"/>
      <c r="RJW3" s="120"/>
      <c r="RJX3" s="120"/>
      <c r="RJY3" s="120"/>
      <c r="RJZ3" s="120"/>
      <c r="RKA3" s="120"/>
      <c r="RKB3" s="120"/>
      <c r="RKC3" s="120"/>
      <c r="RKD3" s="120"/>
      <c r="RKE3" s="120"/>
      <c r="RKF3" s="120"/>
      <c r="RKG3" s="120"/>
      <c r="RKH3" s="120"/>
      <c r="RKI3" s="120"/>
      <c r="RKJ3" s="120"/>
      <c r="RKK3" s="120"/>
      <c r="RKL3" s="120"/>
      <c r="RKM3" s="120"/>
      <c r="RKN3" s="120"/>
      <c r="RKO3" s="120"/>
      <c r="RKP3" s="120"/>
      <c r="RKQ3" s="120"/>
      <c r="RKR3" s="120"/>
      <c r="RKS3" s="120"/>
      <c r="RKT3" s="120"/>
      <c r="RKU3" s="120"/>
      <c r="RKV3" s="120"/>
      <c r="RKW3" s="120"/>
      <c r="RKX3" s="120"/>
      <c r="RKY3" s="120"/>
      <c r="RKZ3" s="120"/>
      <c r="RLA3" s="120"/>
      <c r="RLB3" s="120"/>
      <c r="RLC3" s="120"/>
      <c r="RLD3" s="120"/>
      <c r="RLE3" s="120"/>
      <c r="RLF3" s="120"/>
      <c r="RLG3" s="120"/>
      <c r="RLH3" s="120"/>
      <c r="RLI3" s="120"/>
      <c r="RLJ3" s="120"/>
      <c r="RLK3" s="120"/>
      <c r="RLL3" s="120"/>
      <c r="RLM3" s="120"/>
      <c r="RLN3" s="120"/>
      <c r="RLO3" s="120"/>
      <c r="RLP3" s="120"/>
      <c r="RLQ3" s="120"/>
      <c r="RLR3" s="120"/>
      <c r="RLS3" s="120"/>
      <c r="RLT3" s="120"/>
      <c r="RLU3" s="120"/>
      <c r="RLV3" s="120"/>
      <c r="RLW3" s="120"/>
      <c r="RLX3" s="120"/>
      <c r="RLY3" s="120"/>
      <c r="RLZ3" s="120"/>
      <c r="RMA3" s="120"/>
      <c r="RMB3" s="120"/>
      <c r="RMC3" s="120"/>
      <c r="RMD3" s="120"/>
      <c r="RME3" s="120"/>
      <c r="RMF3" s="120"/>
      <c r="RMG3" s="120"/>
      <c r="RMH3" s="120"/>
      <c r="RMI3" s="120"/>
      <c r="RMJ3" s="120"/>
      <c r="RMK3" s="120"/>
      <c r="RML3" s="120"/>
      <c r="RMM3" s="120"/>
      <c r="RMN3" s="120"/>
      <c r="RMO3" s="120"/>
      <c r="RMP3" s="120"/>
      <c r="RMQ3" s="120"/>
      <c r="RMR3" s="120"/>
      <c r="RMS3" s="120"/>
      <c r="RMT3" s="120"/>
      <c r="RMU3" s="120"/>
      <c r="RMV3" s="120"/>
      <c r="RMW3" s="120"/>
      <c r="RMX3" s="120"/>
      <c r="RMY3" s="120"/>
      <c r="RMZ3" s="120"/>
      <c r="RNA3" s="120"/>
      <c r="RNB3" s="120"/>
      <c r="RNC3" s="120"/>
      <c r="RND3" s="120"/>
      <c r="RNE3" s="120"/>
      <c r="RNF3" s="120"/>
      <c r="RNG3" s="120"/>
      <c r="RNH3" s="120"/>
      <c r="RNI3" s="120"/>
      <c r="RNJ3" s="120"/>
      <c r="RNK3" s="120"/>
      <c r="RNL3" s="120"/>
      <c r="RNM3" s="120"/>
      <c r="RNN3" s="120"/>
      <c r="RNO3" s="120"/>
      <c r="RNP3" s="120"/>
      <c r="RNQ3" s="120"/>
      <c r="RNR3" s="120"/>
      <c r="RNS3" s="120"/>
      <c r="RNT3" s="120"/>
      <c r="RNU3" s="120"/>
      <c r="RNV3" s="120"/>
      <c r="RNW3" s="120"/>
      <c r="RNX3" s="120"/>
      <c r="RNY3" s="120"/>
      <c r="RNZ3" s="120"/>
      <c r="ROA3" s="120"/>
      <c r="ROB3" s="120"/>
      <c r="ROC3" s="120"/>
      <c r="ROD3" s="120"/>
      <c r="ROE3" s="120"/>
      <c r="ROF3" s="120"/>
      <c r="ROG3" s="120"/>
      <c r="ROH3" s="120"/>
      <c r="ROI3" s="120"/>
      <c r="ROJ3" s="120"/>
      <c r="ROK3" s="120"/>
      <c r="ROL3" s="120"/>
      <c r="ROM3" s="120"/>
      <c r="RON3" s="120"/>
      <c r="ROO3" s="120"/>
      <c r="ROP3" s="120"/>
      <c r="ROQ3" s="120"/>
      <c r="ROR3" s="120"/>
      <c r="ROS3" s="120"/>
      <c r="ROT3" s="120"/>
      <c r="ROU3" s="120"/>
      <c r="ROV3" s="120"/>
      <c r="ROW3" s="120"/>
      <c r="ROX3" s="120"/>
      <c r="ROY3" s="120"/>
      <c r="ROZ3" s="120"/>
      <c r="RPA3" s="120"/>
      <c r="RPB3" s="120"/>
      <c r="RPC3" s="120"/>
      <c r="RPD3" s="120"/>
      <c r="RPE3" s="120"/>
      <c r="RPF3" s="120"/>
      <c r="RPG3" s="120"/>
      <c r="RPH3" s="120"/>
      <c r="RPI3" s="120"/>
      <c r="RPJ3" s="120"/>
      <c r="RPK3" s="120"/>
      <c r="RPL3" s="120"/>
      <c r="RPM3" s="120"/>
      <c r="RPN3" s="120"/>
      <c r="RPO3" s="120"/>
      <c r="RPP3" s="120"/>
      <c r="RPQ3" s="120"/>
      <c r="RPR3" s="120"/>
      <c r="RPS3" s="120"/>
      <c r="RPT3" s="120"/>
      <c r="RPU3" s="120"/>
      <c r="RPV3" s="120"/>
      <c r="RPW3" s="120"/>
      <c r="RPX3" s="120"/>
      <c r="RPY3" s="120"/>
      <c r="RPZ3" s="120"/>
      <c r="RQA3" s="120"/>
      <c r="RQB3" s="120"/>
      <c r="RQC3" s="120"/>
      <c r="RQD3" s="120"/>
      <c r="RQE3" s="120"/>
      <c r="RQF3" s="120"/>
      <c r="RQG3" s="120"/>
      <c r="RQH3" s="120"/>
      <c r="RQI3" s="120"/>
      <c r="RQJ3" s="120"/>
      <c r="RQK3" s="120"/>
      <c r="RQL3" s="120"/>
      <c r="RQM3" s="120"/>
      <c r="RQN3" s="120"/>
      <c r="RQO3" s="120"/>
      <c r="RQP3" s="120"/>
      <c r="RQQ3" s="120"/>
      <c r="RQR3" s="120"/>
      <c r="RQS3" s="120"/>
      <c r="RQT3" s="120"/>
      <c r="RQU3" s="120"/>
      <c r="RQV3" s="120"/>
      <c r="RQW3" s="120"/>
      <c r="RQX3" s="120"/>
      <c r="RQY3" s="120"/>
      <c r="RQZ3" s="120"/>
      <c r="RRA3" s="120"/>
      <c r="RRB3" s="120"/>
      <c r="RRC3" s="120"/>
      <c r="RRD3" s="120"/>
      <c r="RRE3" s="120"/>
      <c r="RRF3" s="120"/>
      <c r="RRG3" s="120"/>
      <c r="RRH3" s="120"/>
      <c r="RRI3" s="120"/>
      <c r="RRJ3" s="120"/>
      <c r="RRK3" s="120"/>
      <c r="RRL3" s="120"/>
      <c r="RRM3" s="120"/>
      <c r="RRN3" s="120"/>
      <c r="RRO3" s="120"/>
      <c r="RRP3" s="120"/>
      <c r="RRQ3" s="120"/>
      <c r="RRR3" s="120"/>
      <c r="RRS3" s="120"/>
      <c r="RRT3" s="120"/>
      <c r="RRU3" s="120"/>
      <c r="RRV3" s="120"/>
      <c r="RRW3" s="120"/>
      <c r="RRX3" s="120"/>
      <c r="RRY3" s="120"/>
      <c r="RRZ3" s="120"/>
      <c r="RSA3" s="120"/>
      <c r="RSB3" s="120"/>
      <c r="RSC3" s="120"/>
      <c r="RSD3" s="120"/>
      <c r="RSE3" s="120"/>
      <c r="RSF3" s="120"/>
      <c r="RSG3" s="120"/>
      <c r="RSH3" s="120"/>
      <c r="RSI3" s="120"/>
      <c r="RSJ3" s="120"/>
      <c r="RSK3" s="120"/>
      <c r="RSL3" s="120"/>
      <c r="RSM3" s="120"/>
      <c r="RSN3" s="120"/>
      <c r="RSO3" s="120"/>
      <c r="RSP3" s="120"/>
      <c r="RSQ3" s="120"/>
      <c r="RSR3" s="120"/>
      <c r="RSS3" s="120"/>
      <c r="RST3" s="120"/>
      <c r="RSU3" s="120"/>
      <c r="RSV3" s="120"/>
      <c r="RSW3" s="120"/>
      <c r="RSX3" s="120"/>
      <c r="RSY3" s="120"/>
      <c r="RSZ3" s="120"/>
      <c r="RTA3" s="120"/>
      <c r="RTB3" s="120"/>
      <c r="RTC3" s="120"/>
      <c r="RTD3" s="120"/>
      <c r="RTE3" s="120"/>
      <c r="RTF3" s="120"/>
      <c r="RTG3" s="120"/>
      <c r="RTH3" s="120"/>
      <c r="RTI3" s="120"/>
      <c r="RTJ3" s="120"/>
      <c r="RTK3" s="120"/>
      <c r="RTL3" s="120"/>
      <c r="RTM3" s="120"/>
      <c r="RTN3" s="120"/>
      <c r="RTO3" s="120"/>
      <c r="RTP3" s="120"/>
      <c r="RTQ3" s="120"/>
      <c r="RTR3" s="120"/>
      <c r="RTS3" s="120"/>
      <c r="RTT3" s="120"/>
      <c r="RTU3" s="120"/>
      <c r="RTV3" s="120"/>
      <c r="RTW3" s="120"/>
      <c r="RTX3" s="120"/>
      <c r="RTY3" s="120"/>
      <c r="RTZ3" s="120"/>
      <c r="RUA3" s="120"/>
      <c r="RUB3" s="120"/>
      <c r="RUC3" s="120"/>
      <c r="RUD3" s="120"/>
      <c r="RUE3" s="120"/>
      <c r="RUF3" s="120"/>
      <c r="RUG3" s="120"/>
      <c r="RUH3" s="120"/>
      <c r="RUI3" s="120"/>
      <c r="RUJ3" s="120"/>
      <c r="RUK3" s="120"/>
      <c r="RUL3" s="120"/>
      <c r="RUM3" s="120"/>
      <c r="RUN3" s="120"/>
      <c r="RUO3" s="120"/>
      <c r="RUP3" s="120"/>
      <c r="RUQ3" s="120"/>
      <c r="RUR3" s="120"/>
      <c r="RUS3" s="120"/>
      <c r="RUT3" s="120"/>
      <c r="RUU3" s="120"/>
      <c r="RUV3" s="120"/>
      <c r="RUW3" s="120"/>
      <c r="RUX3" s="120"/>
      <c r="RUY3" s="120"/>
      <c r="RUZ3" s="120"/>
      <c r="RVA3" s="120"/>
      <c r="RVB3" s="120"/>
      <c r="RVC3" s="120"/>
      <c r="RVD3" s="120"/>
      <c r="RVE3" s="120"/>
      <c r="RVF3" s="120"/>
      <c r="RVG3" s="120"/>
      <c r="RVH3" s="120"/>
      <c r="RVI3" s="120"/>
      <c r="RVJ3" s="120"/>
      <c r="RVK3" s="120"/>
      <c r="RVL3" s="120"/>
      <c r="RVM3" s="120"/>
      <c r="RVN3" s="120"/>
      <c r="RVO3" s="120"/>
      <c r="RVP3" s="120"/>
      <c r="RVQ3" s="120"/>
      <c r="RVR3" s="120"/>
      <c r="RVS3" s="120"/>
      <c r="RVT3" s="120"/>
      <c r="RVU3" s="120"/>
      <c r="RVV3" s="120"/>
      <c r="RVW3" s="120"/>
      <c r="RVX3" s="120"/>
      <c r="RVY3" s="120"/>
      <c r="RVZ3" s="120"/>
      <c r="RWA3" s="120"/>
      <c r="RWB3" s="120"/>
      <c r="RWC3" s="120"/>
      <c r="RWD3" s="120"/>
      <c r="RWE3" s="120"/>
      <c r="RWF3" s="120"/>
      <c r="RWG3" s="120"/>
      <c r="RWH3" s="120"/>
      <c r="RWI3" s="120"/>
      <c r="RWJ3" s="120"/>
      <c r="RWK3" s="120"/>
      <c r="RWL3" s="120"/>
      <c r="RWM3" s="120"/>
      <c r="RWN3" s="120"/>
      <c r="RWO3" s="120"/>
      <c r="RWP3" s="120"/>
      <c r="RWQ3" s="120"/>
      <c r="RWR3" s="120"/>
      <c r="RWS3" s="120"/>
      <c r="RWT3" s="120"/>
      <c r="RWU3" s="120"/>
      <c r="RWV3" s="120"/>
      <c r="RWW3" s="120"/>
      <c r="RWX3" s="120"/>
      <c r="RWY3" s="120"/>
      <c r="RWZ3" s="120"/>
      <c r="RXA3" s="120"/>
      <c r="RXB3" s="120"/>
      <c r="RXC3" s="120"/>
      <c r="RXD3" s="120"/>
      <c r="RXE3" s="120"/>
      <c r="RXF3" s="120"/>
      <c r="RXG3" s="120"/>
      <c r="RXH3" s="120"/>
      <c r="RXI3" s="120"/>
      <c r="RXJ3" s="120"/>
      <c r="RXK3" s="120"/>
      <c r="RXL3" s="120"/>
      <c r="RXM3" s="120"/>
      <c r="RXN3" s="120"/>
      <c r="RXO3" s="120"/>
      <c r="RXP3" s="120"/>
      <c r="RXQ3" s="120"/>
      <c r="RXR3" s="120"/>
      <c r="RXS3" s="120"/>
      <c r="RXT3" s="120"/>
      <c r="RXU3" s="120"/>
      <c r="RXV3" s="120"/>
      <c r="RXW3" s="120"/>
      <c r="RXX3" s="120"/>
      <c r="RXY3" s="120"/>
      <c r="RXZ3" s="120"/>
      <c r="RYA3" s="120"/>
      <c r="RYB3" s="120"/>
      <c r="RYC3" s="120"/>
      <c r="RYD3" s="120"/>
      <c r="RYE3" s="120"/>
      <c r="RYF3" s="120"/>
      <c r="RYG3" s="120"/>
      <c r="RYH3" s="120"/>
      <c r="RYI3" s="120"/>
      <c r="RYJ3" s="120"/>
      <c r="RYK3" s="120"/>
      <c r="RYL3" s="120"/>
      <c r="RYM3" s="120"/>
      <c r="RYN3" s="120"/>
      <c r="RYO3" s="120"/>
      <c r="RYP3" s="120"/>
      <c r="RYQ3" s="120"/>
      <c r="RYR3" s="120"/>
      <c r="RYS3" s="120"/>
      <c r="RYT3" s="120"/>
      <c r="RYU3" s="120"/>
      <c r="RYV3" s="120"/>
      <c r="RYW3" s="120"/>
      <c r="RYX3" s="120"/>
      <c r="RYY3" s="120"/>
      <c r="RYZ3" s="120"/>
      <c r="RZA3" s="120"/>
      <c r="RZB3" s="120"/>
      <c r="RZC3" s="120"/>
      <c r="RZD3" s="120"/>
      <c r="RZE3" s="120"/>
      <c r="RZF3" s="120"/>
      <c r="RZG3" s="120"/>
      <c r="RZH3" s="120"/>
      <c r="RZI3" s="120"/>
      <c r="RZJ3" s="120"/>
      <c r="RZK3" s="120"/>
      <c r="RZL3" s="120"/>
      <c r="RZM3" s="120"/>
      <c r="RZN3" s="120"/>
      <c r="RZO3" s="120"/>
      <c r="RZP3" s="120"/>
      <c r="RZQ3" s="120"/>
      <c r="RZR3" s="120"/>
      <c r="RZS3" s="120"/>
      <c r="RZT3" s="120"/>
      <c r="RZU3" s="120"/>
      <c r="RZV3" s="120"/>
      <c r="RZW3" s="120"/>
      <c r="RZX3" s="120"/>
      <c r="RZY3" s="120"/>
      <c r="RZZ3" s="120"/>
      <c r="SAA3" s="120"/>
      <c r="SAB3" s="120"/>
      <c r="SAC3" s="120"/>
      <c r="SAD3" s="120"/>
      <c r="SAE3" s="120"/>
      <c r="SAF3" s="120"/>
      <c r="SAG3" s="120"/>
      <c r="SAH3" s="120"/>
      <c r="SAI3" s="120"/>
      <c r="SAJ3" s="120"/>
      <c r="SAK3" s="120"/>
      <c r="SAL3" s="120"/>
      <c r="SAM3" s="120"/>
      <c r="SAN3" s="120"/>
      <c r="SAO3" s="120"/>
      <c r="SAP3" s="120"/>
      <c r="SAQ3" s="120"/>
      <c r="SAR3" s="120"/>
      <c r="SAS3" s="120"/>
      <c r="SAT3" s="120"/>
      <c r="SAU3" s="120"/>
      <c r="SAV3" s="120"/>
      <c r="SAW3" s="120"/>
      <c r="SAX3" s="120"/>
      <c r="SAY3" s="120"/>
      <c r="SAZ3" s="120"/>
      <c r="SBA3" s="120"/>
      <c r="SBB3" s="120"/>
      <c r="SBC3" s="120"/>
      <c r="SBD3" s="120"/>
      <c r="SBE3" s="120"/>
      <c r="SBF3" s="120"/>
      <c r="SBG3" s="120"/>
      <c r="SBH3" s="120"/>
      <c r="SBI3" s="120"/>
      <c r="SBJ3" s="120"/>
      <c r="SBK3" s="120"/>
      <c r="SBL3" s="120"/>
      <c r="SBM3" s="120"/>
      <c r="SBN3" s="120"/>
      <c r="SBO3" s="120"/>
      <c r="SBP3" s="120"/>
      <c r="SBQ3" s="120"/>
      <c r="SBR3" s="120"/>
      <c r="SBS3" s="120"/>
      <c r="SBT3" s="120"/>
      <c r="SBU3" s="120"/>
      <c r="SBV3" s="120"/>
      <c r="SBW3" s="120"/>
      <c r="SBX3" s="120"/>
      <c r="SBY3" s="120"/>
      <c r="SBZ3" s="120"/>
      <c r="SCA3" s="120"/>
      <c r="SCB3" s="120"/>
      <c r="SCC3" s="120"/>
      <c r="SCD3" s="120"/>
      <c r="SCE3" s="120"/>
      <c r="SCF3" s="120"/>
      <c r="SCG3" s="120"/>
      <c r="SCH3" s="120"/>
      <c r="SCI3" s="120"/>
      <c r="SCJ3" s="120"/>
      <c r="SCK3" s="120"/>
      <c r="SCL3" s="120"/>
      <c r="SCM3" s="120"/>
      <c r="SCN3" s="120"/>
      <c r="SCO3" s="120"/>
      <c r="SCP3" s="120"/>
      <c r="SCQ3" s="120"/>
      <c r="SCR3" s="120"/>
      <c r="SCS3" s="120"/>
      <c r="SCT3" s="120"/>
      <c r="SCU3" s="120"/>
      <c r="SCV3" s="120"/>
      <c r="SCW3" s="120"/>
      <c r="SCX3" s="120"/>
      <c r="SCY3" s="120"/>
      <c r="SCZ3" s="120"/>
      <c r="SDA3" s="120"/>
      <c r="SDB3" s="120"/>
      <c r="SDC3" s="120"/>
      <c r="SDD3" s="120"/>
      <c r="SDE3" s="120"/>
      <c r="SDF3" s="120"/>
      <c r="SDG3" s="120"/>
      <c r="SDH3" s="120"/>
      <c r="SDI3" s="120"/>
      <c r="SDJ3" s="120"/>
      <c r="SDK3" s="120"/>
      <c r="SDL3" s="120"/>
      <c r="SDM3" s="120"/>
      <c r="SDN3" s="120"/>
      <c r="SDO3" s="120"/>
      <c r="SDP3" s="120"/>
      <c r="SDQ3" s="120"/>
      <c r="SDR3" s="120"/>
      <c r="SDS3" s="120"/>
      <c r="SDT3" s="120"/>
      <c r="SDU3" s="120"/>
      <c r="SDV3" s="120"/>
      <c r="SDW3" s="120"/>
      <c r="SDX3" s="120"/>
      <c r="SDY3" s="120"/>
      <c r="SDZ3" s="120"/>
      <c r="SEA3" s="120"/>
      <c r="SEB3" s="120"/>
      <c r="SEC3" s="120"/>
      <c r="SED3" s="120"/>
      <c r="SEE3" s="120"/>
      <c r="SEF3" s="120"/>
      <c r="SEG3" s="120"/>
      <c r="SEH3" s="120"/>
      <c r="SEI3" s="120"/>
      <c r="SEJ3" s="120"/>
      <c r="SEK3" s="120"/>
      <c r="SEL3" s="120"/>
      <c r="SEM3" s="120"/>
      <c r="SEN3" s="120"/>
      <c r="SEO3" s="120"/>
      <c r="SEP3" s="120"/>
      <c r="SEQ3" s="120"/>
      <c r="SER3" s="120"/>
      <c r="SES3" s="120"/>
      <c r="SET3" s="120"/>
      <c r="SEU3" s="120"/>
      <c r="SEV3" s="120"/>
      <c r="SEW3" s="120"/>
      <c r="SEX3" s="120"/>
      <c r="SEY3" s="120"/>
      <c r="SEZ3" s="120"/>
      <c r="SFA3" s="120"/>
      <c r="SFB3" s="120"/>
      <c r="SFC3" s="120"/>
      <c r="SFD3" s="120"/>
      <c r="SFE3" s="120"/>
      <c r="SFF3" s="120"/>
      <c r="SFG3" s="120"/>
      <c r="SFH3" s="120"/>
      <c r="SFI3" s="120"/>
      <c r="SFJ3" s="120"/>
      <c r="SFK3" s="120"/>
      <c r="SFL3" s="120"/>
      <c r="SFM3" s="120"/>
      <c r="SFN3" s="120"/>
      <c r="SFO3" s="120"/>
      <c r="SFP3" s="120"/>
      <c r="SFQ3" s="120"/>
      <c r="SFR3" s="120"/>
      <c r="SFS3" s="120"/>
      <c r="SFT3" s="120"/>
      <c r="SFU3" s="120"/>
      <c r="SFV3" s="120"/>
      <c r="SFW3" s="120"/>
      <c r="SFX3" s="120"/>
      <c r="SFY3" s="120"/>
      <c r="SFZ3" s="120"/>
      <c r="SGA3" s="120"/>
      <c r="SGB3" s="120"/>
      <c r="SGC3" s="120"/>
      <c r="SGD3" s="120"/>
      <c r="SGE3" s="120"/>
      <c r="SGF3" s="120"/>
      <c r="SGG3" s="120"/>
      <c r="SGH3" s="120"/>
      <c r="SGI3" s="120"/>
      <c r="SGJ3" s="120"/>
      <c r="SGK3" s="120"/>
      <c r="SGL3" s="120"/>
      <c r="SGM3" s="120"/>
      <c r="SGN3" s="120"/>
      <c r="SGO3" s="120"/>
      <c r="SGP3" s="120"/>
      <c r="SGQ3" s="120"/>
      <c r="SGR3" s="120"/>
      <c r="SGS3" s="120"/>
      <c r="SGT3" s="120"/>
      <c r="SGU3" s="120"/>
      <c r="SGV3" s="120"/>
      <c r="SGW3" s="120"/>
      <c r="SGX3" s="120"/>
      <c r="SGY3" s="120"/>
      <c r="SGZ3" s="120"/>
      <c r="SHA3" s="120"/>
      <c r="SHB3" s="120"/>
      <c r="SHC3" s="120"/>
      <c r="SHD3" s="120"/>
      <c r="SHE3" s="120"/>
      <c r="SHF3" s="120"/>
      <c r="SHG3" s="120"/>
      <c r="SHH3" s="120"/>
      <c r="SHI3" s="120"/>
      <c r="SHJ3" s="120"/>
      <c r="SHK3" s="120"/>
      <c r="SHL3" s="120"/>
      <c r="SHM3" s="120"/>
      <c r="SHN3" s="120"/>
      <c r="SHO3" s="120"/>
      <c r="SHP3" s="120"/>
      <c r="SHQ3" s="120"/>
      <c r="SHR3" s="120"/>
      <c r="SHS3" s="120"/>
      <c r="SHT3" s="120"/>
      <c r="SHU3" s="120"/>
      <c r="SHV3" s="120"/>
      <c r="SHW3" s="120"/>
      <c r="SHX3" s="120"/>
      <c r="SHY3" s="120"/>
      <c r="SHZ3" s="120"/>
      <c r="SIA3" s="120"/>
      <c r="SIB3" s="120"/>
      <c r="SIC3" s="120"/>
      <c r="SID3" s="120"/>
      <c r="SIE3" s="120"/>
      <c r="SIF3" s="120"/>
      <c r="SIG3" s="120"/>
      <c r="SIH3" s="120"/>
      <c r="SII3" s="120"/>
      <c r="SIJ3" s="120"/>
      <c r="SIK3" s="120"/>
      <c r="SIL3" s="120"/>
      <c r="SIM3" s="120"/>
      <c r="SIN3" s="120"/>
      <c r="SIO3" s="120"/>
      <c r="SIP3" s="120"/>
      <c r="SIQ3" s="120"/>
      <c r="SIR3" s="120"/>
      <c r="SIS3" s="120"/>
      <c r="SIT3" s="120"/>
      <c r="SIU3" s="120"/>
      <c r="SIV3" s="120"/>
      <c r="SIW3" s="120"/>
      <c r="SIX3" s="120"/>
      <c r="SIY3" s="120"/>
      <c r="SIZ3" s="120"/>
      <c r="SJA3" s="120"/>
      <c r="SJB3" s="120"/>
      <c r="SJC3" s="120"/>
      <c r="SJD3" s="120"/>
      <c r="SJE3" s="120"/>
      <c r="SJF3" s="120"/>
      <c r="SJG3" s="120"/>
      <c r="SJH3" s="120"/>
      <c r="SJI3" s="120"/>
      <c r="SJJ3" s="120"/>
      <c r="SJK3" s="120"/>
      <c r="SJL3" s="120"/>
      <c r="SJM3" s="120"/>
      <c r="SJN3" s="120"/>
      <c r="SJO3" s="120"/>
      <c r="SJP3" s="120"/>
      <c r="SJQ3" s="120"/>
      <c r="SJR3" s="120"/>
      <c r="SJS3" s="120"/>
      <c r="SJT3" s="120"/>
      <c r="SJU3" s="120"/>
      <c r="SJV3" s="120"/>
      <c r="SJW3" s="120"/>
      <c r="SJX3" s="120"/>
      <c r="SJY3" s="120"/>
      <c r="SJZ3" s="120"/>
      <c r="SKA3" s="120"/>
      <c r="SKB3" s="120"/>
      <c r="SKC3" s="120"/>
      <c r="SKD3" s="120"/>
      <c r="SKE3" s="120"/>
      <c r="SKF3" s="120"/>
      <c r="SKG3" s="120"/>
      <c r="SKH3" s="120"/>
      <c r="SKI3" s="120"/>
      <c r="SKJ3" s="120"/>
      <c r="SKK3" s="120"/>
      <c r="SKL3" s="120"/>
      <c r="SKM3" s="120"/>
      <c r="SKN3" s="120"/>
      <c r="SKO3" s="120"/>
      <c r="SKP3" s="120"/>
      <c r="SKQ3" s="120"/>
      <c r="SKR3" s="120"/>
      <c r="SKS3" s="120"/>
      <c r="SKT3" s="120"/>
      <c r="SKU3" s="120"/>
      <c r="SKV3" s="120"/>
      <c r="SKW3" s="120"/>
      <c r="SKX3" s="120"/>
      <c r="SKY3" s="120"/>
      <c r="SKZ3" s="120"/>
      <c r="SLA3" s="120"/>
      <c r="SLB3" s="120"/>
      <c r="SLC3" s="120"/>
      <c r="SLD3" s="120"/>
      <c r="SLE3" s="120"/>
      <c r="SLF3" s="120"/>
      <c r="SLG3" s="120"/>
      <c r="SLH3" s="120"/>
      <c r="SLI3" s="120"/>
      <c r="SLJ3" s="120"/>
      <c r="SLK3" s="120"/>
      <c r="SLL3" s="120"/>
      <c r="SLM3" s="120"/>
      <c r="SLN3" s="120"/>
      <c r="SLO3" s="120"/>
      <c r="SLP3" s="120"/>
      <c r="SLQ3" s="120"/>
      <c r="SLR3" s="120"/>
      <c r="SLS3" s="120"/>
      <c r="SLT3" s="120"/>
      <c r="SLU3" s="120"/>
      <c r="SLV3" s="120"/>
      <c r="SLW3" s="120"/>
      <c r="SLX3" s="120"/>
      <c r="SLY3" s="120"/>
      <c r="SLZ3" s="120"/>
      <c r="SMA3" s="120"/>
      <c r="SMB3" s="120"/>
      <c r="SMC3" s="120"/>
      <c r="SMD3" s="120"/>
      <c r="SME3" s="120"/>
      <c r="SMF3" s="120"/>
      <c r="SMG3" s="120"/>
      <c r="SMH3" s="120"/>
      <c r="SMI3" s="120"/>
      <c r="SMJ3" s="120"/>
      <c r="SMK3" s="120"/>
      <c r="SML3" s="120"/>
      <c r="SMM3" s="120"/>
      <c r="SMN3" s="120"/>
      <c r="SMO3" s="120"/>
      <c r="SMP3" s="120"/>
      <c r="SMQ3" s="120"/>
      <c r="SMR3" s="120"/>
      <c r="SMS3" s="120"/>
      <c r="SMT3" s="120"/>
      <c r="SMU3" s="120"/>
      <c r="SMV3" s="120"/>
      <c r="SMW3" s="120"/>
      <c r="SMX3" s="120"/>
      <c r="SMY3" s="120"/>
      <c r="SMZ3" s="120"/>
      <c r="SNA3" s="120"/>
      <c r="SNB3" s="120"/>
      <c r="SNC3" s="120"/>
      <c r="SND3" s="120"/>
      <c r="SNE3" s="120"/>
      <c r="SNF3" s="120"/>
      <c r="SNG3" s="120"/>
      <c r="SNH3" s="120"/>
      <c r="SNI3" s="120"/>
      <c r="SNJ3" s="120"/>
      <c r="SNK3" s="120"/>
      <c r="SNL3" s="120"/>
      <c r="SNM3" s="120"/>
      <c r="SNN3" s="120"/>
      <c r="SNO3" s="120"/>
      <c r="SNP3" s="120"/>
      <c r="SNQ3" s="120"/>
      <c r="SNR3" s="120"/>
      <c r="SNS3" s="120"/>
      <c r="SNT3" s="120"/>
      <c r="SNU3" s="120"/>
      <c r="SNV3" s="120"/>
      <c r="SNW3" s="120"/>
      <c r="SNX3" s="120"/>
      <c r="SNY3" s="120"/>
      <c r="SNZ3" s="120"/>
      <c r="SOA3" s="120"/>
      <c r="SOB3" s="120"/>
      <c r="SOC3" s="120"/>
      <c r="SOD3" s="120"/>
      <c r="SOE3" s="120"/>
      <c r="SOF3" s="120"/>
      <c r="SOG3" s="120"/>
      <c r="SOH3" s="120"/>
      <c r="SOI3" s="120"/>
      <c r="SOJ3" s="120"/>
      <c r="SOK3" s="120"/>
      <c r="SOL3" s="120"/>
      <c r="SOM3" s="120"/>
      <c r="SON3" s="120"/>
      <c r="SOO3" s="120"/>
      <c r="SOP3" s="120"/>
      <c r="SOQ3" s="120"/>
      <c r="SOR3" s="120"/>
      <c r="SOS3" s="120"/>
      <c r="SOT3" s="120"/>
      <c r="SOU3" s="120"/>
      <c r="SOV3" s="120"/>
      <c r="SOW3" s="120"/>
      <c r="SOX3" s="120"/>
      <c r="SOY3" s="120"/>
      <c r="SOZ3" s="120"/>
      <c r="SPA3" s="120"/>
      <c r="SPB3" s="120"/>
      <c r="SPC3" s="120"/>
      <c r="SPD3" s="120"/>
      <c r="SPE3" s="120"/>
      <c r="SPF3" s="120"/>
      <c r="SPG3" s="120"/>
      <c r="SPH3" s="120"/>
      <c r="SPI3" s="120"/>
      <c r="SPJ3" s="120"/>
      <c r="SPK3" s="120"/>
      <c r="SPL3" s="120"/>
      <c r="SPM3" s="120"/>
      <c r="SPN3" s="120"/>
      <c r="SPO3" s="120"/>
      <c r="SPP3" s="120"/>
      <c r="SPQ3" s="120"/>
      <c r="SPR3" s="120"/>
      <c r="SPS3" s="120"/>
      <c r="SPT3" s="120"/>
      <c r="SPU3" s="120"/>
      <c r="SPV3" s="120"/>
      <c r="SPW3" s="120"/>
      <c r="SPX3" s="120"/>
      <c r="SPY3" s="120"/>
      <c r="SPZ3" s="120"/>
      <c r="SQA3" s="120"/>
      <c r="SQB3" s="120"/>
      <c r="SQC3" s="120"/>
      <c r="SQD3" s="120"/>
      <c r="SQE3" s="120"/>
      <c r="SQF3" s="120"/>
      <c r="SQG3" s="120"/>
      <c r="SQH3" s="120"/>
      <c r="SQI3" s="120"/>
      <c r="SQJ3" s="120"/>
      <c r="SQK3" s="120"/>
      <c r="SQL3" s="120"/>
      <c r="SQM3" s="120"/>
      <c r="SQN3" s="120"/>
      <c r="SQO3" s="120"/>
      <c r="SQP3" s="120"/>
      <c r="SQQ3" s="120"/>
      <c r="SQR3" s="120"/>
      <c r="SQS3" s="120"/>
      <c r="SQT3" s="120"/>
      <c r="SQU3" s="120"/>
      <c r="SQV3" s="120"/>
      <c r="SQW3" s="120"/>
      <c r="SQX3" s="120"/>
      <c r="SQY3" s="120"/>
      <c r="SQZ3" s="120"/>
      <c r="SRA3" s="120"/>
      <c r="SRB3" s="120"/>
      <c r="SRC3" s="120"/>
      <c r="SRD3" s="120"/>
      <c r="SRE3" s="120"/>
      <c r="SRF3" s="120"/>
      <c r="SRG3" s="120"/>
      <c r="SRH3" s="120"/>
      <c r="SRI3" s="120"/>
      <c r="SRJ3" s="120"/>
      <c r="SRK3" s="120"/>
      <c r="SRL3" s="120"/>
      <c r="SRM3" s="120"/>
      <c r="SRN3" s="120"/>
      <c r="SRO3" s="120"/>
      <c r="SRP3" s="120"/>
      <c r="SRQ3" s="120"/>
      <c r="SRR3" s="120"/>
      <c r="SRS3" s="120"/>
      <c r="SRT3" s="120"/>
      <c r="SRU3" s="120"/>
      <c r="SRV3" s="120"/>
      <c r="SRW3" s="120"/>
      <c r="SRX3" s="120"/>
      <c r="SRY3" s="120"/>
      <c r="SRZ3" s="120"/>
      <c r="SSA3" s="120"/>
      <c r="SSB3" s="120"/>
      <c r="SSC3" s="120"/>
      <c r="SSD3" s="120"/>
      <c r="SSE3" s="120"/>
      <c r="SSF3" s="120"/>
      <c r="SSG3" s="120"/>
      <c r="SSH3" s="120"/>
      <c r="SSI3" s="120"/>
      <c r="SSJ3" s="120"/>
      <c r="SSK3" s="120"/>
      <c r="SSL3" s="120"/>
      <c r="SSM3" s="120"/>
      <c r="SSN3" s="120"/>
      <c r="SSO3" s="120"/>
      <c r="SSP3" s="120"/>
      <c r="SSQ3" s="120"/>
      <c r="SSR3" s="120"/>
      <c r="SSS3" s="120"/>
      <c r="SST3" s="120"/>
      <c r="SSU3" s="120"/>
      <c r="SSV3" s="120"/>
      <c r="SSW3" s="120"/>
      <c r="SSX3" s="120"/>
      <c r="SSY3" s="120"/>
      <c r="SSZ3" s="120"/>
      <c r="STA3" s="120"/>
      <c r="STB3" s="120"/>
      <c r="STC3" s="120"/>
      <c r="STD3" s="120"/>
      <c r="STE3" s="120"/>
      <c r="STF3" s="120"/>
      <c r="STG3" s="120"/>
      <c r="STH3" s="120"/>
      <c r="STI3" s="120"/>
      <c r="STJ3" s="120"/>
      <c r="STK3" s="120"/>
      <c r="STL3" s="120"/>
      <c r="STM3" s="120"/>
      <c r="STN3" s="120"/>
      <c r="STO3" s="120"/>
      <c r="STP3" s="120"/>
      <c r="STQ3" s="120"/>
      <c r="STR3" s="120"/>
      <c r="STS3" s="120"/>
      <c r="STT3" s="120"/>
      <c r="STU3" s="120"/>
      <c r="STV3" s="120"/>
      <c r="STW3" s="120"/>
      <c r="STX3" s="120"/>
      <c r="STY3" s="120"/>
      <c r="STZ3" s="120"/>
      <c r="SUA3" s="120"/>
      <c r="SUB3" s="120"/>
      <c r="SUC3" s="120"/>
      <c r="SUD3" s="120"/>
      <c r="SUE3" s="120"/>
      <c r="SUF3" s="120"/>
      <c r="SUG3" s="120"/>
      <c r="SUH3" s="120"/>
      <c r="SUI3" s="120"/>
      <c r="SUJ3" s="120"/>
      <c r="SUK3" s="120"/>
      <c r="SUL3" s="120"/>
      <c r="SUM3" s="120"/>
      <c r="SUN3" s="120"/>
      <c r="SUO3" s="120"/>
      <c r="SUP3" s="120"/>
      <c r="SUQ3" s="120"/>
      <c r="SUR3" s="120"/>
      <c r="SUS3" s="120"/>
      <c r="SUT3" s="120"/>
      <c r="SUU3" s="120"/>
      <c r="SUV3" s="120"/>
      <c r="SUW3" s="120"/>
      <c r="SUX3" s="120"/>
      <c r="SUY3" s="120"/>
      <c r="SUZ3" s="120"/>
      <c r="SVA3" s="120"/>
      <c r="SVB3" s="120"/>
      <c r="SVC3" s="120"/>
      <c r="SVD3" s="120"/>
      <c r="SVE3" s="120"/>
      <c r="SVF3" s="120"/>
      <c r="SVG3" s="120"/>
      <c r="SVH3" s="120"/>
      <c r="SVI3" s="120"/>
      <c r="SVJ3" s="120"/>
      <c r="SVK3" s="120"/>
      <c r="SVL3" s="120"/>
      <c r="SVM3" s="120"/>
      <c r="SVN3" s="120"/>
      <c r="SVO3" s="120"/>
      <c r="SVP3" s="120"/>
      <c r="SVQ3" s="120"/>
      <c r="SVR3" s="120"/>
      <c r="SVS3" s="120"/>
      <c r="SVT3" s="120"/>
      <c r="SVU3" s="120"/>
      <c r="SVV3" s="120"/>
      <c r="SVW3" s="120"/>
      <c r="SVX3" s="120"/>
      <c r="SVY3" s="120"/>
      <c r="SVZ3" s="120"/>
      <c r="SWA3" s="120"/>
      <c r="SWB3" s="120"/>
      <c r="SWC3" s="120"/>
      <c r="SWD3" s="120"/>
      <c r="SWE3" s="120"/>
      <c r="SWF3" s="120"/>
      <c r="SWG3" s="120"/>
      <c r="SWH3" s="120"/>
      <c r="SWI3" s="120"/>
      <c r="SWJ3" s="120"/>
      <c r="SWK3" s="120"/>
      <c r="SWL3" s="120"/>
      <c r="SWM3" s="120"/>
      <c r="SWN3" s="120"/>
      <c r="SWO3" s="120"/>
      <c r="SWP3" s="120"/>
      <c r="SWQ3" s="120"/>
      <c r="SWR3" s="120"/>
      <c r="SWS3" s="120"/>
      <c r="SWT3" s="120"/>
      <c r="SWU3" s="120"/>
      <c r="SWV3" s="120"/>
      <c r="SWW3" s="120"/>
      <c r="SWX3" s="120"/>
      <c r="SWY3" s="120"/>
      <c r="SWZ3" s="120"/>
      <c r="SXA3" s="120"/>
      <c r="SXB3" s="120"/>
      <c r="SXC3" s="120"/>
      <c r="SXD3" s="120"/>
      <c r="SXE3" s="120"/>
      <c r="SXF3" s="120"/>
      <c r="SXG3" s="120"/>
      <c r="SXH3" s="120"/>
      <c r="SXI3" s="120"/>
      <c r="SXJ3" s="120"/>
      <c r="SXK3" s="120"/>
      <c r="SXL3" s="120"/>
      <c r="SXM3" s="120"/>
      <c r="SXN3" s="120"/>
      <c r="SXO3" s="120"/>
      <c r="SXP3" s="120"/>
      <c r="SXQ3" s="120"/>
      <c r="SXR3" s="120"/>
      <c r="SXS3" s="120"/>
      <c r="SXT3" s="120"/>
      <c r="SXU3" s="120"/>
      <c r="SXV3" s="120"/>
      <c r="SXW3" s="120"/>
      <c r="SXX3" s="120"/>
      <c r="SXY3" s="120"/>
      <c r="SXZ3" s="120"/>
      <c r="SYA3" s="120"/>
      <c r="SYB3" s="120"/>
      <c r="SYC3" s="120"/>
      <c r="SYD3" s="120"/>
      <c r="SYE3" s="120"/>
      <c r="SYF3" s="120"/>
      <c r="SYG3" s="120"/>
      <c r="SYH3" s="120"/>
      <c r="SYI3" s="120"/>
      <c r="SYJ3" s="120"/>
      <c r="SYK3" s="120"/>
      <c r="SYL3" s="120"/>
      <c r="SYM3" s="120"/>
      <c r="SYN3" s="120"/>
      <c r="SYO3" s="120"/>
      <c r="SYP3" s="120"/>
      <c r="SYQ3" s="120"/>
      <c r="SYR3" s="120"/>
      <c r="SYS3" s="120"/>
      <c r="SYT3" s="120"/>
      <c r="SYU3" s="120"/>
      <c r="SYV3" s="120"/>
      <c r="SYW3" s="120"/>
      <c r="SYX3" s="120"/>
      <c r="SYY3" s="120"/>
      <c r="SYZ3" s="120"/>
      <c r="SZA3" s="120"/>
      <c r="SZB3" s="120"/>
      <c r="SZC3" s="120"/>
      <c r="SZD3" s="120"/>
      <c r="SZE3" s="120"/>
      <c r="SZF3" s="120"/>
      <c r="SZG3" s="120"/>
      <c r="SZH3" s="120"/>
      <c r="SZI3" s="120"/>
      <c r="SZJ3" s="120"/>
      <c r="SZK3" s="120"/>
      <c r="SZL3" s="120"/>
      <c r="SZM3" s="120"/>
      <c r="SZN3" s="120"/>
      <c r="SZO3" s="120"/>
      <c r="SZP3" s="120"/>
      <c r="SZQ3" s="120"/>
      <c r="SZR3" s="120"/>
      <c r="SZS3" s="120"/>
      <c r="SZT3" s="120"/>
      <c r="SZU3" s="120"/>
      <c r="SZV3" s="120"/>
      <c r="SZW3" s="120"/>
      <c r="SZX3" s="120"/>
      <c r="SZY3" s="120"/>
      <c r="SZZ3" s="120"/>
      <c r="TAA3" s="120"/>
      <c r="TAB3" s="120"/>
      <c r="TAC3" s="120"/>
      <c r="TAD3" s="120"/>
      <c r="TAE3" s="120"/>
      <c r="TAF3" s="120"/>
      <c r="TAG3" s="120"/>
      <c r="TAH3" s="120"/>
      <c r="TAI3" s="120"/>
      <c r="TAJ3" s="120"/>
      <c r="TAK3" s="120"/>
      <c r="TAL3" s="120"/>
      <c r="TAM3" s="120"/>
      <c r="TAN3" s="120"/>
      <c r="TAO3" s="120"/>
      <c r="TAP3" s="120"/>
      <c r="TAQ3" s="120"/>
      <c r="TAR3" s="120"/>
      <c r="TAS3" s="120"/>
      <c r="TAT3" s="120"/>
      <c r="TAU3" s="120"/>
      <c r="TAV3" s="120"/>
      <c r="TAW3" s="120"/>
      <c r="TAX3" s="120"/>
      <c r="TAY3" s="120"/>
      <c r="TAZ3" s="120"/>
      <c r="TBA3" s="120"/>
      <c r="TBB3" s="120"/>
      <c r="TBC3" s="120"/>
      <c r="TBD3" s="120"/>
      <c r="TBE3" s="120"/>
      <c r="TBF3" s="120"/>
      <c r="TBG3" s="120"/>
      <c r="TBH3" s="120"/>
      <c r="TBI3" s="120"/>
      <c r="TBJ3" s="120"/>
      <c r="TBK3" s="120"/>
      <c r="TBL3" s="120"/>
      <c r="TBM3" s="120"/>
      <c r="TBN3" s="120"/>
      <c r="TBO3" s="120"/>
      <c r="TBP3" s="120"/>
      <c r="TBQ3" s="120"/>
      <c r="TBR3" s="120"/>
      <c r="TBS3" s="120"/>
      <c r="TBT3" s="120"/>
      <c r="TBU3" s="120"/>
      <c r="TBV3" s="120"/>
      <c r="TBW3" s="120"/>
      <c r="TBX3" s="120"/>
      <c r="TBY3" s="120"/>
      <c r="TBZ3" s="120"/>
      <c r="TCA3" s="120"/>
      <c r="TCB3" s="120"/>
      <c r="TCC3" s="120"/>
      <c r="TCD3" s="120"/>
      <c r="TCE3" s="120"/>
      <c r="TCF3" s="120"/>
      <c r="TCG3" s="120"/>
      <c r="TCH3" s="120"/>
      <c r="TCI3" s="120"/>
      <c r="TCJ3" s="120"/>
      <c r="TCK3" s="120"/>
      <c r="TCL3" s="120"/>
      <c r="TCM3" s="120"/>
      <c r="TCN3" s="120"/>
      <c r="TCO3" s="120"/>
      <c r="TCP3" s="120"/>
      <c r="TCQ3" s="120"/>
      <c r="TCR3" s="120"/>
      <c r="TCS3" s="120"/>
      <c r="TCT3" s="120"/>
      <c r="TCU3" s="120"/>
      <c r="TCV3" s="120"/>
      <c r="TCW3" s="120"/>
      <c r="TCX3" s="120"/>
      <c r="TCY3" s="120"/>
      <c r="TCZ3" s="120"/>
      <c r="TDA3" s="120"/>
      <c r="TDB3" s="120"/>
      <c r="TDC3" s="120"/>
      <c r="TDD3" s="120"/>
      <c r="TDE3" s="120"/>
      <c r="TDF3" s="120"/>
      <c r="TDG3" s="120"/>
      <c r="TDH3" s="120"/>
      <c r="TDI3" s="120"/>
      <c r="TDJ3" s="120"/>
      <c r="TDK3" s="120"/>
      <c r="TDL3" s="120"/>
      <c r="TDM3" s="120"/>
      <c r="TDN3" s="120"/>
      <c r="TDO3" s="120"/>
      <c r="TDP3" s="120"/>
      <c r="TDQ3" s="120"/>
      <c r="TDR3" s="120"/>
      <c r="TDS3" s="120"/>
      <c r="TDT3" s="120"/>
      <c r="TDU3" s="120"/>
      <c r="TDV3" s="120"/>
      <c r="TDW3" s="120"/>
      <c r="TDX3" s="120"/>
      <c r="TDY3" s="120"/>
      <c r="TDZ3" s="120"/>
      <c r="TEA3" s="120"/>
      <c r="TEB3" s="120"/>
      <c r="TEC3" s="120"/>
      <c r="TED3" s="120"/>
      <c r="TEE3" s="120"/>
      <c r="TEF3" s="120"/>
      <c r="TEG3" s="120"/>
      <c r="TEH3" s="120"/>
      <c r="TEI3" s="120"/>
      <c r="TEJ3" s="120"/>
      <c r="TEK3" s="120"/>
      <c r="TEL3" s="120"/>
      <c r="TEM3" s="120"/>
      <c r="TEN3" s="120"/>
      <c r="TEO3" s="120"/>
      <c r="TEP3" s="120"/>
      <c r="TEQ3" s="120"/>
      <c r="TER3" s="120"/>
      <c r="TES3" s="120"/>
      <c r="TET3" s="120"/>
      <c r="TEU3" s="120"/>
      <c r="TEV3" s="120"/>
      <c r="TEW3" s="120"/>
      <c r="TEX3" s="120"/>
      <c r="TEY3" s="120"/>
      <c r="TEZ3" s="120"/>
      <c r="TFA3" s="120"/>
      <c r="TFB3" s="120"/>
      <c r="TFC3" s="120"/>
      <c r="TFD3" s="120"/>
      <c r="TFE3" s="120"/>
      <c r="TFF3" s="120"/>
      <c r="TFG3" s="120"/>
      <c r="TFH3" s="120"/>
      <c r="TFI3" s="120"/>
      <c r="TFJ3" s="120"/>
      <c r="TFK3" s="120"/>
      <c r="TFL3" s="120"/>
      <c r="TFM3" s="120"/>
      <c r="TFN3" s="120"/>
      <c r="TFO3" s="120"/>
      <c r="TFP3" s="120"/>
      <c r="TFQ3" s="120"/>
      <c r="TFR3" s="120"/>
      <c r="TFS3" s="120"/>
      <c r="TFT3" s="120"/>
      <c r="TFU3" s="120"/>
      <c r="TFV3" s="120"/>
      <c r="TFW3" s="120"/>
      <c r="TFX3" s="120"/>
      <c r="TFY3" s="120"/>
      <c r="TFZ3" s="120"/>
      <c r="TGA3" s="120"/>
      <c r="TGB3" s="120"/>
      <c r="TGC3" s="120"/>
      <c r="TGD3" s="120"/>
      <c r="TGE3" s="120"/>
      <c r="TGF3" s="120"/>
      <c r="TGG3" s="120"/>
      <c r="TGH3" s="120"/>
      <c r="TGI3" s="120"/>
      <c r="TGJ3" s="120"/>
      <c r="TGK3" s="120"/>
      <c r="TGL3" s="120"/>
      <c r="TGM3" s="120"/>
      <c r="TGN3" s="120"/>
      <c r="TGO3" s="120"/>
      <c r="TGP3" s="120"/>
      <c r="TGQ3" s="120"/>
      <c r="TGR3" s="120"/>
      <c r="TGS3" s="120"/>
      <c r="TGT3" s="120"/>
      <c r="TGU3" s="120"/>
      <c r="TGV3" s="120"/>
      <c r="TGW3" s="120"/>
      <c r="TGX3" s="120"/>
      <c r="TGY3" s="120"/>
      <c r="TGZ3" s="120"/>
      <c r="THA3" s="120"/>
      <c r="THB3" s="120"/>
      <c r="THC3" s="120"/>
      <c r="THD3" s="120"/>
      <c r="THE3" s="120"/>
      <c r="THF3" s="120"/>
      <c r="THG3" s="120"/>
      <c r="THH3" s="120"/>
      <c r="THI3" s="120"/>
      <c r="THJ3" s="120"/>
      <c r="THK3" s="120"/>
      <c r="THL3" s="120"/>
      <c r="THM3" s="120"/>
      <c r="THN3" s="120"/>
      <c r="THO3" s="120"/>
      <c r="THP3" s="120"/>
      <c r="THQ3" s="120"/>
      <c r="THR3" s="120"/>
      <c r="THS3" s="120"/>
      <c r="THT3" s="120"/>
      <c r="THU3" s="120"/>
      <c r="THV3" s="120"/>
      <c r="THW3" s="120"/>
      <c r="THX3" s="120"/>
      <c r="THY3" s="120"/>
      <c r="THZ3" s="120"/>
      <c r="TIA3" s="120"/>
      <c r="TIB3" s="120"/>
      <c r="TIC3" s="120"/>
      <c r="TID3" s="120"/>
      <c r="TIE3" s="120"/>
      <c r="TIF3" s="120"/>
      <c r="TIG3" s="120"/>
      <c r="TIH3" s="120"/>
      <c r="TII3" s="120"/>
      <c r="TIJ3" s="120"/>
      <c r="TIK3" s="120"/>
      <c r="TIL3" s="120"/>
      <c r="TIM3" s="120"/>
      <c r="TIN3" s="120"/>
      <c r="TIO3" s="120"/>
      <c r="TIP3" s="120"/>
      <c r="TIQ3" s="120"/>
      <c r="TIR3" s="120"/>
      <c r="TIS3" s="120"/>
      <c r="TIT3" s="120"/>
      <c r="TIU3" s="120"/>
      <c r="TIV3" s="120"/>
      <c r="TIW3" s="120"/>
      <c r="TIX3" s="120"/>
      <c r="TIY3" s="120"/>
      <c r="TIZ3" s="120"/>
      <c r="TJA3" s="120"/>
      <c r="TJB3" s="120"/>
      <c r="TJC3" s="120"/>
      <c r="TJD3" s="120"/>
      <c r="TJE3" s="120"/>
      <c r="TJF3" s="120"/>
      <c r="TJG3" s="120"/>
      <c r="TJH3" s="120"/>
      <c r="TJI3" s="120"/>
      <c r="TJJ3" s="120"/>
      <c r="TJK3" s="120"/>
      <c r="TJL3" s="120"/>
      <c r="TJM3" s="120"/>
      <c r="TJN3" s="120"/>
      <c r="TJO3" s="120"/>
      <c r="TJP3" s="120"/>
      <c r="TJQ3" s="120"/>
      <c r="TJR3" s="120"/>
      <c r="TJS3" s="120"/>
      <c r="TJT3" s="120"/>
      <c r="TJU3" s="120"/>
      <c r="TJV3" s="120"/>
      <c r="TJW3" s="120"/>
      <c r="TJX3" s="120"/>
      <c r="TJY3" s="120"/>
      <c r="TJZ3" s="120"/>
      <c r="TKA3" s="120"/>
      <c r="TKB3" s="120"/>
      <c r="TKC3" s="120"/>
      <c r="TKD3" s="120"/>
      <c r="TKE3" s="120"/>
      <c r="TKF3" s="120"/>
      <c r="TKG3" s="120"/>
      <c r="TKH3" s="120"/>
      <c r="TKI3" s="120"/>
      <c r="TKJ3" s="120"/>
      <c r="TKK3" s="120"/>
      <c r="TKL3" s="120"/>
      <c r="TKM3" s="120"/>
      <c r="TKN3" s="120"/>
      <c r="TKO3" s="120"/>
      <c r="TKP3" s="120"/>
      <c r="TKQ3" s="120"/>
      <c r="TKR3" s="120"/>
      <c r="TKS3" s="120"/>
      <c r="TKT3" s="120"/>
      <c r="TKU3" s="120"/>
      <c r="TKV3" s="120"/>
      <c r="TKW3" s="120"/>
      <c r="TKX3" s="120"/>
      <c r="TKY3" s="120"/>
      <c r="TKZ3" s="120"/>
      <c r="TLA3" s="120"/>
      <c r="TLB3" s="120"/>
      <c r="TLC3" s="120"/>
      <c r="TLD3" s="120"/>
      <c r="TLE3" s="120"/>
      <c r="TLF3" s="120"/>
      <c r="TLG3" s="120"/>
      <c r="TLH3" s="120"/>
      <c r="TLI3" s="120"/>
      <c r="TLJ3" s="120"/>
      <c r="TLK3" s="120"/>
      <c r="TLL3" s="120"/>
      <c r="TLM3" s="120"/>
      <c r="TLN3" s="120"/>
      <c r="TLO3" s="120"/>
      <c r="TLP3" s="120"/>
      <c r="TLQ3" s="120"/>
      <c r="TLR3" s="120"/>
      <c r="TLS3" s="120"/>
      <c r="TLT3" s="120"/>
      <c r="TLU3" s="120"/>
      <c r="TLV3" s="120"/>
      <c r="TLW3" s="120"/>
      <c r="TLX3" s="120"/>
      <c r="TLY3" s="120"/>
      <c r="TLZ3" s="120"/>
      <c r="TMA3" s="120"/>
      <c r="TMB3" s="120"/>
      <c r="TMC3" s="120"/>
      <c r="TMD3" s="120"/>
      <c r="TME3" s="120"/>
      <c r="TMF3" s="120"/>
      <c r="TMG3" s="120"/>
      <c r="TMH3" s="120"/>
      <c r="TMI3" s="120"/>
      <c r="TMJ3" s="120"/>
      <c r="TMK3" s="120"/>
      <c r="TML3" s="120"/>
      <c r="TMM3" s="120"/>
      <c r="TMN3" s="120"/>
      <c r="TMO3" s="120"/>
      <c r="TMP3" s="120"/>
      <c r="TMQ3" s="120"/>
      <c r="TMR3" s="120"/>
      <c r="TMS3" s="120"/>
      <c r="TMT3" s="120"/>
      <c r="TMU3" s="120"/>
      <c r="TMV3" s="120"/>
      <c r="TMW3" s="120"/>
      <c r="TMX3" s="120"/>
      <c r="TMY3" s="120"/>
      <c r="TMZ3" s="120"/>
      <c r="TNA3" s="120"/>
      <c r="TNB3" s="120"/>
      <c r="TNC3" s="120"/>
      <c r="TND3" s="120"/>
      <c r="TNE3" s="120"/>
      <c r="TNF3" s="120"/>
      <c r="TNG3" s="120"/>
      <c r="TNH3" s="120"/>
      <c r="TNI3" s="120"/>
      <c r="TNJ3" s="120"/>
      <c r="TNK3" s="120"/>
      <c r="TNL3" s="120"/>
      <c r="TNM3" s="120"/>
      <c r="TNN3" s="120"/>
      <c r="TNO3" s="120"/>
      <c r="TNP3" s="120"/>
      <c r="TNQ3" s="120"/>
      <c r="TNR3" s="120"/>
      <c r="TNS3" s="120"/>
      <c r="TNT3" s="120"/>
      <c r="TNU3" s="120"/>
      <c r="TNV3" s="120"/>
      <c r="TNW3" s="120"/>
      <c r="TNX3" s="120"/>
      <c r="TNY3" s="120"/>
      <c r="TNZ3" s="120"/>
      <c r="TOA3" s="120"/>
      <c r="TOB3" s="120"/>
      <c r="TOC3" s="120"/>
      <c r="TOD3" s="120"/>
      <c r="TOE3" s="120"/>
      <c r="TOF3" s="120"/>
      <c r="TOG3" s="120"/>
      <c r="TOH3" s="120"/>
      <c r="TOI3" s="120"/>
      <c r="TOJ3" s="120"/>
      <c r="TOK3" s="120"/>
      <c r="TOL3" s="120"/>
      <c r="TOM3" s="120"/>
      <c r="TON3" s="120"/>
      <c r="TOO3" s="120"/>
      <c r="TOP3" s="120"/>
      <c r="TOQ3" s="120"/>
      <c r="TOR3" s="120"/>
      <c r="TOS3" s="120"/>
      <c r="TOT3" s="120"/>
      <c r="TOU3" s="120"/>
      <c r="TOV3" s="120"/>
      <c r="TOW3" s="120"/>
      <c r="TOX3" s="120"/>
      <c r="TOY3" s="120"/>
      <c r="TOZ3" s="120"/>
      <c r="TPA3" s="120"/>
      <c r="TPB3" s="120"/>
      <c r="TPC3" s="120"/>
      <c r="TPD3" s="120"/>
      <c r="TPE3" s="120"/>
      <c r="TPF3" s="120"/>
      <c r="TPG3" s="120"/>
      <c r="TPH3" s="120"/>
      <c r="TPI3" s="120"/>
      <c r="TPJ3" s="120"/>
      <c r="TPK3" s="120"/>
      <c r="TPL3" s="120"/>
      <c r="TPM3" s="120"/>
      <c r="TPN3" s="120"/>
      <c r="TPO3" s="120"/>
      <c r="TPP3" s="120"/>
      <c r="TPQ3" s="120"/>
      <c r="TPR3" s="120"/>
      <c r="TPS3" s="120"/>
      <c r="TPT3" s="120"/>
      <c r="TPU3" s="120"/>
      <c r="TPV3" s="120"/>
      <c r="TPW3" s="120"/>
      <c r="TPX3" s="120"/>
      <c r="TPY3" s="120"/>
      <c r="TPZ3" s="120"/>
      <c r="TQA3" s="120"/>
      <c r="TQB3" s="120"/>
      <c r="TQC3" s="120"/>
      <c r="TQD3" s="120"/>
      <c r="TQE3" s="120"/>
      <c r="TQF3" s="120"/>
      <c r="TQG3" s="120"/>
      <c r="TQH3" s="120"/>
      <c r="TQI3" s="120"/>
      <c r="TQJ3" s="120"/>
      <c r="TQK3" s="120"/>
      <c r="TQL3" s="120"/>
      <c r="TQM3" s="120"/>
      <c r="TQN3" s="120"/>
      <c r="TQO3" s="120"/>
      <c r="TQP3" s="120"/>
      <c r="TQQ3" s="120"/>
      <c r="TQR3" s="120"/>
      <c r="TQS3" s="120"/>
      <c r="TQT3" s="120"/>
      <c r="TQU3" s="120"/>
      <c r="TQV3" s="120"/>
      <c r="TQW3" s="120"/>
      <c r="TQX3" s="120"/>
      <c r="TQY3" s="120"/>
      <c r="TQZ3" s="120"/>
      <c r="TRA3" s="120"/>
      <c r="TRB3" s="120"/>
      <c r="TRC3" s="120"/>
      <c r="TRD3" s="120"/>
      <c r="TRE3" s="120"/>
      <c r="TRF3" s="120"/>
      <c r="TRG3" s="120"/>
      <c r="TRH3" s="120"/>
      <c r="TRI3" s="120"/>
      <c r="TRJ3" s="120"/>
      <c r="TRK3" s="120"/>
      <c r="TRL3" s="120"/>
      <c r="TRM3" s="120"/>
      <c r="TRN3" s="120"/>
      <c r="TRO3" s="120"/>
      <c r="TRP3" s="120"/>
      <c r="TRQ3" s="120"/>
      <c r="TRR3" s="120"/>
      <c r="TRS3" s="120"/>
      <c r="TRT3" s="120"/>
      <c r="TRU3" s="120"/>
      <c r="TRV3" s="120"/>
      <c r="TRW3" s="120"/>
      <c r="TRX3" s="120"/>
      <c r="TRY3" s="120"/>
      <c r="TRZ3" s="120"/>
      <c r="TSA3" s="120"/>
      <c r="TSB3" s="120"/>
      <c r="TSC3" s="120"/>
      <c r="TSD3" s="120"/>
      <c r="TSE3" s="120"/>
      <c r="TSF3" s="120"/>
      <c r="TSG3" s="120"/>
      <c r="TSH3" s="120"/>
      <c r="TSI3" s="120"/>
      <c r="TSJ3" s="120"/>
      <c r="TSK3" s="120"/>
      <c r="TSL3" s="120"/>
      <c r="TSM3" s="120"/>
      <c r="TSN3" s="120"/>
      <c r="TSO3" s="120"/>
      <c r="TSP3" s="120"/>
      <c r="TSQ3" s="120"/>
      <c r="TSR3" s="120"/>
      <c r="TSS3" s="120"/>
      <c r="TST3" s="120"/>
      <c r="TSU3" s="120"/>
      <c r="TSV3" s="120"/>
      <c r="TSW3" s="120"/>
      <c r="TSX3" s="120"/>
      <c r="TSY3" s="120"/>
      <c r="TSZ3" s="120"/>
      <c r="TTA3" s="120"/>
      <c r="TTB3" s="120"/>
      <c r="TTC3" s="120"/>
      <c r="TTD3" s="120"/>
      <c r="TTE3" s="120"/>
      <c r="TTF3" s="120"/>
      <c r="TTG3" s="120"/>
      <c r="TTH3" s="120"/>
      <c r="TTI3" s="120"/>
      <c r="TTJ3" s="120"/>
      <c r="TTK3" s="120"/>
      <c r="TTL3" s="120"/>
      <c r="TTM3" s="120"/>
      <c r="TTN3" s="120"/>
      <c r="TTO3" s="120"/>
      <c r="TTP3" s="120"/>
      <c r="TTQ3" s="120"/>
      <c r="TTR3" s="120"/>
      <c r="TTS3" s="120"/>
      <c r="TTT3" s="120"/>
      <c r="TTU3" s="120"/>
      <c r="TTV3" s="120"/>
      <c r="TTW3" s="120"/>
      <c r="TTX3" s="120"/>
      <c r="TTY3" s="120"/>
      <c r="TTZ3" s="120"/>
      <c r="TUA3" s="120"/>
      <c r="TUB3" s="120"/>
      <c r="TUC3" s="120"/>
      <c r="TUD3" s="120"/>
      <c r="TUE3" s="120"/>
      <c r="TUF3" s="120"/>
      <c r="TUG3" s="120"/>
      <c r="TUH3" s="120"/>
      <c r="TUI3" s="120"/>
      <c r="TUJ3" s="120"/>
      <c r="TUK3" s="120"/>
      <c r="TUL3" s="120"/>
      <c r="TUM3" s="120"/>
      <c r="TUN3" s="120"/>
      <c r="TUO3" s="120"/>
      <c r="TUP3" s="120"/>
      <c r="TUQ3" s="120"/>
      <c r="TUR3" s="120"/>
      <c r="TUS3" s="120"/>
      <c r="TUT3" s="120"/>
      <c r="TUU3" s="120"/>
      <c r="TUV3" s="120"/>
      <c r="TUW3" s="120"/>
      <c r="TUX3" s="120"/>
      <c r="TUY3" s="120"/>
      <c r="TUZ3" s="120"/>
      <c r="TVA3" s="120"/>
      <c r="TVB3" s="120"/>
      <c r="TVC3" s="120"/>
      <c r="TVD3" s="120"/>
      <c r="TVE3" s="120"/>
      <c r="TVF3" s="120"/>
      <c r="TVG3" s="120"/>
      <c r="TVH3" s="120"/>
      <c r="TVI3" s="120"/>
      <c r="TVJ3" s="120"/>
      <c r="TVK3" s="120"/>
      <c r="TVL3" s="120"/>
      <c r="TVM3" s="120"/>
      <c r="TVN3" s="120"/>
      <c r="TVO3" s="120"/>
      <c r="TVP3" s="120"/>
      <c r="TVQ3" s="120"/>
      <c r="TVR3" s="120"/>
      <c r="TVS3" s="120"/>
      <c r="TVT3" s="120"/>
      <c r="TVU3" s="120"/>
      <c r="TVV3" s="120"/>
      <c r="TVW3" s="120"/>
      <c r="TVX3" s="120"/>
      <c r="TVY3" s="120"/>
      <c r="TVZ3" s="120"/>
      <c r="TWA3" s="120"/>
      <c r="TWB3" s="120"/>
      <c r="TWC3" s="120"/>
      <c r="TWD3" s="120"/>
      <c r="TWE3" s="120"/>
      <c r="TWF3" s="120"/>
      <c r="TWG3" s="120"/>
      <c r="TWH3" s="120"/>
      <c r="TWI3" s="120"/>
      <c r="TWJ3" s="120"/>
      <c r="TWK3" s="120"/>
      <c r="TWL3" s="120"/>
      <c r="TWM3" s="120"/>
      <c r="TWN3" s="120"/>
      <c r="TWO3" s="120"/>
      <c r="TWP3" s="120"/>
      <c r="TWQ3" s="120"/>
      <c r="TWR3" s="120"/>
      <c r="TWS3" s="120"/>
      <c r="TWT3" s="120"/>
      <c r="TWU3" s="120"/>
      <c r="TWV3" s="120"/>
      <c r="TWW3" s="120"/>
      <c r="TWX3" s="120"/>
      <c r="TWY3" s="120"/>
      <c r="TWZ3" s="120"/>
      <c r="TXA3" s="120"/>
      <c r="TXB3" s="120"/>
      <c r="TXC3" s="120"/>
      <c r="TXD3" s="120"/>
      <c r="TXE3" s="120"/>
      <c r="TXF3" s="120"/>
      <c r="TXG3" s="120"/>
      <c r="TXH3" s="120"/>
      <c r="TXI3" s="120"/>
      <c r="TXJ3" s="120"/>
      <c r="TXK3" s="120"/>
      <c r="TXL3" s="120"/>
      <c r="TXM3" s="120"/>
      <c r="TXN3" s="120"/>
      <c r="TXO3" s="120"/>
      <c r="TXP3" s="120"/>
      <c r="TXQ3" s="120"/>
      <c r="TXR3" s="120"/>
      <c r="TXS3" s="120"/>
      <c r="TXT3" s="120"/>
      <c r="TXU3" s="120"/>
      <c r="TXV3" s="120"/>
      <c r="TXW3" s="120"/>
      <c r="TXX3" s="120"/>
      <c r="TXY3" s="120"/>
      <c r="TXZ3" s="120"/>
      <c r="TYA3" s="120"/>
      <c r="TYB3" s="120"/>
      <c r="TYC3" s="120"/>
      <c r="TYD3" s="120"/>
      <c r="TYE3" s="120"/>
      <c r="TYF3" s="120"/>
      <c r="TYG3" s="120"/>
      <c r="TYH3" s="120"/>
      <c r="TYI3" s="120"/>
      <c r="TYJ3" s="120"/>
      <c r="TYK3" s="120"/>
      <c r="TYL3" s="120"/>
      <c r="TYM3" s="120"/>
      <c r="TYN3" s="120"/>
      <c r="TYO3" s="120"/>
      <c r="TYP3" s="120"/>
      <c r="TYQ3" s="120"/>
      <c r="TYR3" s="120"/>
      <c r="TYS3" s="120"/>
      <c r="TYT3" s="120"/>
      <c r="TYU3" s="120"/>
      <c r="TYV3" s="120"/>
      <c r="TYW3" s="120"/>
      <c r="TYX3" s="120"/>
      <c r="TYY3" s="120"/>
      <c r="TYZ3" s="120"/>
      <c r="TZA3" s="120"/>
      <c r="TZB3" s="120"/>
      <c r="TZC3" s="120"/>
      <c r="TZD3" s="120"/>
      <c r="TZE3" s="120"/>
      <c r="TZF3" s="120"/>
      <c r="TZG3" s="120"/>
      <c r="TZH3" s="120"/>
      <c r="TZI3" s="120"/>
      <c r="TZJ3" s="120"/>
      <c r="TZK3" s="120"/>
      <c r="TZL3" s="120"/>
      <c r="TZM3" s="120"/>
      <c r="TZN3" s="120"/>
      <c r="TZO3" s="120"/>
      <c r="TZP3" s="120"/>
      <c r="TZQ3" s="120"/>
      <c r="TZR3" s="120"/>
      <c r="TZS3" s="120"/>
      <c r="TZT3" s="120"/>
      <c r="TZU3" s="120"/>
      <c r="TZV3" s="120"/>
      <c r="TZW3" s="120"/>
      <c r="TZX3" s="120"/>
      <c r="TZY3" s="120"/>
      <c r="TZZ3" s="120"/>
      <c r="UAA3" s="120"/>
      <c r="UAB3" s="120"/>
      <c r="UAC3" s="120"/>
      <c r="UAD3" s="120"/>
      <c r="UAE3" s="120"/>
      <c r="UAF3" s="120"/>
      <c r="UAG3" s="120"/>
      <c r="UAH3" s="120"/>
      <c r="UAI3" s="120"/>
      <c r="UAJ3" s="120"/>
      <c r="UAK3" s="120"/>
      <c r="UAL3" s="120"/>
      <c r="UAM3" s="120"/>
      <c r="UAN3" s="120"/>
      <c r="UAO3" s="120"/>
      <c r="UAP3" s="120"/>
      <c r="UAQ3" s="120"/>
      <c r="UAR3" s="120"/>
      <c r="UAS3" s="120"/>
      <c r="UAT3" s="120"/>
      <c r="UAU3" s="120"/>
      <c r="UAV3" s="120"/>
      <c r="UAW3" s="120"/>
      <c r="UAX3" s="120"/>
      <c r="UAY3" s="120"/>
      <c r="UAZ3" s="120"/>
      <c r="UBA3" s="120"/>
      <c r="UBB3" s="120"/>
      <c r="UBC3" s="120"/>
      <c r="UBD3" s="120"/>
      <c r="UBE3" s="120"/>
      <c r="UBF3" s="120"/>
      <c r="UBG3" s="120"/>
      <c r="UBH3" s="120"/>
      <c r="UBI3" s="120"/>
      <c r="UBJ3" s="120"/>
      <c r="UBK3" s="120"/>
      <c r="UBL3" s="120"/>
      <c r="UBM3" s="120"/>
      <c r="UBN3" s="120"/>
      <c r="UBO3" s="120"/>
      <c r="UBP3" s="120"/>
      <c r="UBQ3" s="120"/>
      <c r="UBR3" s="120"/>
      <c r="UBS3" s="120"/>
      <c r="UBT3" s="120"/>
      <c r="UBU3" s="120"/>
      <c r="UBV3" s="120"/>
      <c r="UBW3" s="120"/>
      <c r="UBX3" s="120"/>
      <c r="UBY3" s="120"/>
      <c r="UBZ3" s="120"/>
      <c r="UCA3" s="120"/>
      <c r="UCB3" s="120"/>
      <c r="UCC3" s="120"/>
      <c r="UCD3" s="120"/>
      <c r="UCE3" s="120"/>
      <c r="UCF3" s="120"/>
      <c r="UCG3" s="120"/>
      <c r="UCH3" s="120"/>
      <c r="UCI3" s="120"/>
      <c r="UCJ3" s="120"/>
      <c r="UCK3" s="120"/>
      <c r="UCL3" s="120"/>
      <c r="UCM3" s="120"/>
      <c r="UCN3" s="120"/>
      <c r="UCO3" s="120"/>
      <c r="UCP3" s="120"/>
      <c r="UCQ3" s="120"/>
      <c r="UCR3" s="120"/>
      <c r="UCS3" s="120"/>
      <c r="UCT3" s="120"/>
      <c r="UCU3" s="120"/>
      <c r="UCV3" s="120"/>
      <c r="UCW3" s="120"/>
      <c r="UCX3" s="120"/>
      <c r="UCY3" s="120"/>
      <c r="UCZ3" s="120"/>
      <c r="UDA3" s="120"/>
      <c r="UDB3" s="120"/>
      <c r="UDC3" s="120"/>
      <c r="UDD3" s="120"/>
      <c r="UDE3" s="120"/>
      <c r="UDF3" s="120"/>
      <c r="UDG3" s="120"/>
      <c r="UDH3" s="120"/>
      <c r="UDI3" s="120"/>
      <c r="UDJ3" s="120"/>
      <c r="UDK3" s="120"/>
      <c r="UDL3" s="120"/>
      <c r="UDM3" s="120"/>
      <c r="UDN3" s="120"/>
      <c r="UDO3" s="120"/>
      <c r="UDP3" s="120"/>
      <c r="UDQ3" s="120"/>
      <c r="UDR3" s="120"/>
      <c r="UDS3" s="120"/>
      <c r="UDT3" s="120"/>
      <c r="UDU3" s="120"/>
      <c r="UDV3" s="120"/>
      <c r="UDW3" s="120"/>
      <c r="UDX3" s="120"/>
      <c r="UDY3" s="120"/>
      <c r="UDZ3" s="120"/>
      <c r="UEA3" s="120"/>
      <c r="UEB3" s="120"/>
      <c r="UEC3" s="120"/>
      <c r="UED3" s="120"/>
      <c r="UEE3" s="120"/>
      <c r="UEF3" s="120"/>
      <c r="UEG3" s="120"/>
      <c r="UEH3" s="120"/>
      <c r="UEI3" s="120"/>
      <c r="UEJ3" s="120"/>
      <c r="UEK3" s="120"/>
      <c r="UEL3" s="120"/>
      <c r="UEM3" s="120"/>
      <c r="UEN3" s="120"/>
      <c r="UEO3" s="120"/>
      <c r="UEP3" s="120"/>
      <c r="UEQ3" s="120"/>
      <c r="UER3" s="120"/>
      <c r="UES3" s="120"/>
      <c r="UET3" s="120"/>
      <c r="UEU3" s="120"/>
      <c r="UEV3" s="120"/>
      <c r="UEW3" s="120"/>
      <c r="UEX3" s="120"/>
      <c r="UEY3" s="120"/>
      <c r="UEZ3" s="120"/>
      <c r="UFA3" s="120"/>
      <c r="UFB3" s="120"/>
      <c r="UFC3" s="120"/>
      <c r="UFD3" s="120"/>
      <c r="UFE3" s="120"/>
      <c r="UFF3" s="120"/>
      <c r="UFG3" s="120"/>
      <c r="UFH3" s="120"/>
      <c r="UFI3" s="120"/>
      <c r="UFJ3" s="120"/>
      <c r="UFK3" s="120"/>
      <c r="UFL3" s="120"/>
      <c r="UFM3" s="120"/>
      <c r="UFN3" s="120"/>
      <c r="UFO3" s="120"/>
      <c r="UFP3" s="120"/>
      <c r="UFQ3" s="120"/>
      <c r="UFR3" s="120"/>
      <c r="UFS3" s="120"/>
      <c r="UFT3" s="120"/>
      <c r="UFU3" s="120"/>
      <c r="UFV3" s="120"/>
      <c r="UFW3" s="120"/>
      <c r="UFX3" s="120"/>
      <c r="UFY3" s="120"/>
      <c r="UFZ3" s="120"/>
      <c r="UGA3" s="120"/>
      <c r="UGB3" s="120"/>
      <c r="UGC3" s="120"/>
      <c r="UGD3" s="120"/>
      <c r="UGE3" s="120"/>
      <c r="UGF3" s="120"/>
      <c r="UGG3" s="120"/>
      <c r="UGH3" s="120"/>
      <c r="UGI3" s="120"/>
      <c r="UGJ3" s="120"/>
      <c r="UGK3" s="120"/>
      <c r="UGL3" s="120"/>
      <c r="UGM3" s="120"/>
      <c r="UGN3" s="120"/>
      <c r="UGO3" s="120"/>
      <c r="UGP3" s="120"/>
      <c r="UGQ3" s="120"/>
      <c r="UGR3" s="120"/>
      <c r="UGS3" s="120"/>
      <c r="UGT3" s="120"/>
      <c r="UGU3" s="120"/>
      <c r="UGV3" s="120"/>
      <c r="UGW3" s="120"/>
      <c r="UGX3" s="120"/>
      <c r="UGY3" s="120"/>
      <c r="UGZ3" s="120"/>
      <c r="UHA3" s="120"/>
      <c r="UHB3" s="120"/>
      <c r="UHC3" s="120"/>
      <c r="UHD3" s="120"/>
      <c r="UHE3" s="120"/>
      <c r="UHF3" s="120"/>
      <c r="UHG3" s="120"/>
      <c r="UHH3" s="120"/>
      <c r="UHI3" s="120"/>
      <c r="UHJ3" s="120"/>
      <c r="UHK3" s="120"/>
      <c r="UHL3" s="120"/>
      <c r="UHM3" s="120"/>
      <c r="UHN3" s="120"/>
      <c r="UHO3" s="120"/>
      <c r="UHP3" s="120"/>
      <c r="UHQ3" s="120"/>
      <c r="UHR3" s="120"/>
      <c r="UHS3" s="120"/>
      <c r="UHT3" s="120"/>
      <c r="UHU3" s="120"/>
      <c r="UHV3" s="120"/>
      <c r="UHW3" s="120"/>
      <c r="UHX3" s="120"/>
      <c r="UHY3" s="120"/>
      <c r="UHZ3" s="120"/>
      <c r="UIA3" s="120"/>
      <c r="UIB3" s="120"/>
      <c r="UIC3" s="120"/>
      <c r="UID3" s="120"/>
      <c r="UIE3" s="120"/>
      <c r="UIF3" s="120"/>
      <c r="UIG3" s="120"/>
      <c r="UIH3" s="120"/>
      <c r="UII3" s="120"/>
      <c r="UIJ3" s="120"/>
      <c r="UIK3" s="120"/>
      <c r="UIL3" s="120"/>
      <c r="UIM3" s="120"/>
      <c r="UIN3" s="120"/>
      <c r="UIO3" s="120"/>
      <c r="UIP3" s="120"/>
      <c r="UIQ3" s="120"/>
      <c r="UIR3" s="120"/>
      <c r="UIS3" s="120"/>
      <c r="UIT3" s="120"/>
      <c r="UIU3" s="120"/>
      <c r="UIV3" s="120"/>
      <c r="UIW3" s="120"/>
      <c r="UIX3" s="120"/>
      <c r="UIY3" s="120"/>
      <c r="UIZ3" s="120"/>
      <c r="UJA3" s="120"/>
      <c r="UJB3" s="120"/>
      <c r="UJC3" s="120"/>
      <c r="UJD3" s="120"/>
      <c r="UJE3" s="120"/>
      <c r="UJF3" s="120"/>
      <c r="UJG3" s="120"/>
      <c r="UJH3" s="120"/>
      <c r="UJI3" s="120"/>
      <c r="UJJ3" s="120"/>
      <c r="UJK3" s="120"/>
      <c r="UJL3" s="120"/>
      <c r="UJM3" s="120"/>
      <c r="UJN3" s="120"/>
      <c r="UJO3" s="120"/>
      <c r="UJP3" s="120"/>
      <c r="UJQ3" s="120"/>
      <c r="UJR3" s="120"/>
      <c r="UJS3" s="120"/>
      <c r="UJT3" s="120"/>
      <c r="UJU3" s="120"/>
      <c r="UJV3" s="120"/>
      <c r="UJW3" s="120"/>
      <c r="UJX3" s="120"/>
      <c r="UJY3" s="120"/>
      <c r="UJZ3" s="120"/>
      <c r="UKA3" s="120"/>
      <c r="UKB3" s="120"/>
      <c r="UKC3" s="120"/>
      <c r="UKD3" s="120"/>
      <c r="UKE3" s="120"/>
      <c r="UKF3" s="120"/>
      <c r="UKG3" s="120"/>
      <c r="UKH3" s="120"/>
      <c r="UKI3" s="120"/>
      <c r="UKJ3" s="120"/>
      <c r="UKK3" s="120"/>
      <c r="UKL3" s="120"/>
      <c r="UKM3" s="120"/>
      <c r="UKN3" s="120"/>
      <c r="UKO3" s="120"/>
      <c r="UKP3" s="120"/>
      <c r="UKQ3" s="120"/>
      <c r="UKR3" s="120"/>
      <c r="UKS3" s="120"/>
      <c r="UKT3" s="120"/>
      <c r="UKU3" s="120"/>
      <c r="UKV3" s="120"/>
      <c r="UKW3" s="120"/>
      <c r="UKX3" s="120"/>
      <c r="UKY3" s="120"/>
      <c r="UKZ3" s="120"/>
      <c r="ULA3" s="120"/>
      <c r="ULB3" s="120"/>
      <c r="ULC3" s="120"/>
      <c r="ULD3" s="120"/>
      <c r="ULE3" s="120"/>
      <c r="ULF3" s="120"/>
      <c r="ULG3" s="120"/>
      <c r="ULH3" s="120"/>
      <c r="ULI3" s="120"/>
      <c r="ULJ3" s="120"/>
      <c r="ULK3" s="120"/>
      <c r="ULL3" s="120"/>
      <c r="ULM3" s="120"/>
      <c r="ULN3" s="120"/>
      <c r="ULO3" s="120"/>
      <c r="ULP3" s="120"/>
      <c r="ULQ3" s="120"/>
      <c r="ULR3" s="120"/>
      <c r="ULS3" s="120"/>
      <c r="ULT3" s="120"/>
      <c r="ULU3" s="120"/>
      <c r="ULV3" s="120"/>
      <c r="ULW3" s="120"/>
      <c r="ULX3" s="120"/>
      <c r="ULY3" s="120"/>
      <c r="ULZ3" s="120"/>
      <c r="UMA3" s="120"/>
      <c r="UMB3" s="120"/>
      <c r="UMC3" s="120"/>
      <c r="UMD3" s="120"/>
      <c r="UME3" s="120"/>
      <c r="UMF3" s="120"/>
      <c r="UMG3" s="120"/>
      <c r="UMH3" s="120"/>
      <c r="UMI3" s="120"/>
      <c r="UMJ3" s="120"/>
      <c r="UMK3" s="120"/>
      <c r="UML3" s="120"/>
      <c r="UMM3" s="120"/>
      <c r="UMN3" s="120"/>
      <c r="UMO3" s="120"/>
      <c r="UMP3" s="120"/>
      <c r="UMQ3" s="120"/>
      <c r="UMR3" s="120"/>
      <c r="UMS3" s="120"/>
      <c r="UMT3" s="120"/>
      <c r="UMU3" s="120"/>
      <c r="UMV3" s="120"/>
      <c r="UMW3" s="120"/>
      <c r="UMX3" s="120"/>
      <c r="UMY3" s="120"/>
      <c r="UMZ3" s="120"/>
      <c r="UNA3" s="120"/>
      <c r="UNB3" s="120"/>
      <c r="UNC3" s="120"/>
      <c r="UND3" s="120"/>
      <c r="UNE3" s="120"/>
      <c r="UNF3" s="120"/>
      <c r="UNG3" s="120"/>
      <c r="UNH3" s="120"/>
      <c r="UNI3" s="120"/>
      <c r="UNJ3" s="120"/>
      <c r="UNK3" s="120"/>
      <c r="UNL3" s="120"/>
      <c r="UNM3" s="120"/>
      <c r="UNN3" s="120"/>
      <c r="UNO3" s="120"/>
      <c r="UNP3" s="120"/>
      <c r="UNQ3" s="120"/>
      <c r="UNR3" s="120"/>
      <c r="UNS3" s="120"/>
      <c r="UNT3" s="120"/>
      <c r="UNU3" s="120"/>
      <c r="UNV3" s="120"/>
      <c r="UNW3" s="120"/>
      <c r="UNX3" s="120"/>
      <c r="UNY3" s="120"/>
      <c r="UNZ3" s="120"/>
      <c r="UOA3" s="120"/>
      <c r="UOB3" s="120"/>
      <c r="UOC3" s="120"/>
      <c r="UOD3" s="120"/>
      <c r="UOE3" s="120"/>
      <c r="UOF3" s="120"/>
      <c r="UOG3" s="120"/>
      <c r="UOH3" s="120"/>
      <c r="UOI3" s="120"/>
      <c r="UOJ3" s="120"/>
      <c r="UOK3" s="120"/>
      <c r="UOL3" s="120"/>
      <c r="UOM3" s="120"/>
      <c r="UON3" s="120"/>
      <c r="UOO3" s="120"/>
      <c r="UOP3" s="120"/>
      <c r="UOQ3" s="120"/>
      <c r="UOR3" s="120"/>
      <c r="UOS3" s="120"/>
      <c r="UOT3" s="120"/>
      <c r="UOU3" s="120"/>
      <c r="UOV3" s="120"/>
      <c r="UOW3" s="120"/>
      <c r="UOX3" s="120"/>
      <c r="UOY3" s="120"/>
      <c r="UOZ3" s="120"/>
      <c r="UPA3" s="120"/>
      <c r="UPB3" s="120"/>
      <c r="UPC3" s="120"/>
      <c r="UPD3" s="120"/>
      <c r="UPE3" s="120"/>
      <c r="UPF3" s="120"/>
      <c r="UPG3" s="120"/>
      <c r="UPH3" s="120"/>
      <c r="UPI3" s="120"/>
      <c r="UPJ3" s="120"/>
      <c r="UPK3" s="120"/>
      <c r="UPL3" s="120"/>
      <c r="UPM3" s="120"/>
      <c r="UPN3" s="120"/>
      <c r="UPO3" s="120"/>
      <c r="UPP3" s="120"/>
      <c r="UPQ3" s="120"/>
      <c r="UPR3" s="120"/>
      <c r="UPS3" s="120"/>
      <c r="UPT3" s="120"/>
      <c r="UPU3" s="120"/>
      <c r="UPV3" s="120"/>
      <c r="UPW3" s="120"/>
      <c r="UPX3" s="120"/>
      <c r="UPY3" s="120"/>
      <c r="UPZ3" s="120"/>
      <c r="UQA3" s="120"/>
      <c r="UQB3" s="120"/>
      <c r="UQC3" s="120"/>
      <c r="UQD3" s="120"/>
      <c r="UQE3" s="120"/>
      <c r="UQF3" s="120"/>
      <c r="UQG3" s="120"/>
      <c r="UQH3" s="120"/>
      <c r="UQI3" s="120"/>
      <c r="UQJ3" s="120"/>
      <c r="UQK3" s="120"/>
      <c r="UQL3" s="120"/>
      <c r="UQM3" s="120"/>
      <c r="UQN3" s="120"/>
      <c r="UQO3" s="120"/>
      <c r="UQP3" s="120"/>
      <c r="UQQ3" s="120"/>
      <c r="UQR3" s="120"/>
      <c r="UQS3" s="120"/>
      <c r="UQT3" s="120"/>
      <c r="UQU3" s="120"/>
      <c r="UQV3" s="120"/>
      <c r="UQW3" s="120"/>
      <c r="UQX3" s="120"/>
      <c r="UQY3" s="120"/>
      <c r="UQZ3" s="120"/>
      <c r="URA3" s="120"/>
      <c r="URB3" s="120"/>
      <c r="URC3" s="120"/>
      <c r="URD3" s="120"/>
      <c r="URE3" s="120"/>
      <c r="URF3" s="120"/>
      <c r="URG3" s="120"/>
      <c r="URH3" s="120"/>
      <c r="URI3" s="120"/>
      <c r="URJ3" s="120"/>
      <c r="URK3" s="120"/>
      <c r="URL3" s="120"/>
      <c r="URM3" s="120"/>
      <c r="URN3" s="120"/>
      <c r="URO3" s="120"/>
      <c r="URP3" s="120"/>
      <c r="URQ3" s="120"/>
      <c r="URR3" s="120"/>
      <c r="URS3" s="120"/>
      <c r="URT3" s="120"/>
      <c r="URU3" s="120"/>
      <c r="URV3" s="120"/>
      <c r="URW3" s="120"/>
      <c r="URX3" s="120"/>
      <c r="URY3" s="120"/>
      <c r="URZ3" s="120"/>
      <c r="USA3" s="120"/>
      <c r="USB3" s="120"/>
      <c r="USC3" s="120"/>
      <c r="USD3" s="120"/>
      <c r="USE3" s="120"/>
      <c r="USF3" s="120"/>
      <c r="USG3" s="120"/>
      <c r="USH3" s="120"/>
      <c r="USI3" s="120"/>
      <c r="USJ3" s="120"/>
      <c r="USK3" s="120"/>
      <c r="USL3" s="120"/>
      <c r="USM3" s="120"/>
      <c r="USN3" s="120"/>
      <c r="USO3" s="120"/>
      <c r="USP3" s="120"/>
      <c r="USQ3" s="120"/>
      <c r="USR3" s="120"/>
      <c r="USS3" s="120"/>
      <c r="UST3" s="120"/>
      <c r="USU3" s="120"/>
      <c r="USV3" s="120"/>
      <c r="USW3" s="120"/>
      <c r="USX3" s="120"/>
      <c r="USY3" s="120"/>
      <c r="USZ3" s="120"/>
      <c r="UTA3" s="120"/>
      <c r="UTB3" s="120"/>
      <c r="UTC3" s="120"/>
      <c r="UTD3" s="120"/>
      <c r="UTE3" s="120"/>
      <c r="UTF3" s="120"/>
      <c r="UTG3" s="120"/>
      <c r="UTH3" s="120"/>
      <c r="UTI3" s="120"/>
      <c r="UTJ3" s="120"/>
      <c r="UTK3" s="120"/>
      <c r="UTL3" s="120"/>
      <c r="UTM3" s="120"/>
      <c r="UTN3" s="120"/>
      <c r="UTO3" s="120"/>
      <c r="UTP3" s="120"/>
      <c r="UTQ3" s="120"/>
      <c r="UTR3" s="120"/>
      <c r="UTS3" s="120"/>
      <c r="UTT3" s="120"/>
      <c r="UTU3" s="120"/>
      <c r="UTV3" s="120"/>
      <c r="UTW3" s="120"/>
      <c r="UTX3" s="120"/>
      <c r="UTY3" s="120"/>
      <c r="UTZ3" s="120"/>
      <c r="UUA3" s="120"/>
      <c r="UUB3" s="120"/>
      <c r="UUC3" s="120"/>
      <c r="UUD3" s="120"/>
      <c r="UUE3" s="120"/>
      <c r="UUF3" s="120"/>
      <c r="UUG3" s="120"/>
      <c r="UUH3" s="120"/>
      <c r="UUI3" s="120"/>
      <c r="UUJ3" s="120"/>
      <c r="UUK3" s="120"/>
      <c r="UUL3" s="120"/>
      <c r="UUM3" s="120"/>
      <c r="UUN3" s="120"/>
      <c r="UUO3" s="120"/>
      <c r="UUP3" s="120"/>
      <c r="UUQ3" s="120"/>
      <c r="UUR3" s="120"/>
      <c r="UUS3" s="120"/>
      <c r="UUT3" s="120"/>
      <c r="UUU3" s="120"/>
      <c r="UUV3" s="120"/>
      <c r="UUW3" s="120"/>
      <c r="UUX3" s="120"/>
      <c r="UUY3" s="120"/>
      <c r="UUZ3" s="120"/>
      <c r="UVA3" s="120"/>
      <c r="UVB3" s="120"/>
      <c r="UVC3" s="120"/>
      <c r="UVD3" s="120"/>
      <c r="UVE3" s="120"/>
      <c r="UVF3" s="120"/>
      <c r="UVG3" s="120"/>
      <c r="UVH3" s="120"/>
      <c r="UVI3" s="120"/>
      <c r="UVJ3" s="120"/>
      <c r="UVK3" s="120"/>
      <c r="UVL3" s="120"/>
      <c r="UVM3" s="120"/>
      <c r="UVN3" s="120"/>
      <c r="UVO3" s="120"/>
      <c r="UVP3" s="120"/>
      <c r="UVQ3" s="120"/>
      <c r="UVR3" s="120"/>
      <c r="UVS3" s="120"/>
      <c r="UVT3" s="120"/>
      <c r="UVU3" s="120"/>
      <c r="UVV3" s="120"/>
      <c r="UVW3" s="120"/>
      <c r="UVX3" s="120"/>
      <c r="UVY3" s="120"/>
      <c r="UVZ3" s="120"/>
      <c r="UWA3" s="120"/>
      <c r="UWB3" s="120"/>
      <c r="UWC3" s="120"/>
      <c r="UWD3" s="120"/>
      <c r="UWE3" s="120"/>
      <c r="UWF3" s="120"/>
      <c r="UWG3" s="120"/>
      <c r="UWH3" s="120"/>
      <c r="UWI3" s="120"/>
      <c r="UWJ3" s="120"/>
      <c r="UWK3" s="120"/>
      <c r="UWL3" s="120"/>
      <c r="UWM3" s="120"/>
      <c r="UWN3" s="120"/>
      <c r="UWO3" s="120"/>
      <c r="UWP3" s="120"/>
      <c r="UWQ3" s="120"/>
      <c r="UWR3" s="120"/>
      <c r="UWS3" s="120"/>
      <c r="UWT3" s="120"/>
      <c r="UWU3" s="120"/>
      <c r="UWV3" s="120"/>
      <c r="UWW3" s="120"/>
      <c r="UWX3" s="120"/>
      <c r="UWY3" s="120"/>
      <c r="UWZ3" s="120"/>
      <c r="UXA3" s="120"/>
      <c r="UXB3" s="120"/>
      <c r="UXC3" s="120"/>
      <c r="UXD3" s="120"/>
      <c r="UXE3" s="120"/>
      <c r="UXF3" s="120"/>
      <c r="UXG3" s="120"/>
      <c r="UXH3" s="120"/>
      <c r="UXI3" s="120"/>
      <c r="UXJ3" s="120"/>
      <c r="UXK3" s="120"/>
      <c r="UXL3" s="120"/>
      <c r="UXM3" s="120"/>
      <c r="UXN3" s="120"/>
      <c r="UXO3" s="120"/>
      <c r="UXP3" s="120"/>
      <c r="UXQ3" s="120"/>
      <c r="UXR3" s="120"/>
      <c r="UXS3" s="120"/>
      <c r="UXT3" s="120"/>
      <c r="UXU3" s="120"/>
      <c r="UXV3" s="120"/>
      <c r="UXW3" s="120"/>
      <c r="UXX3" s="120"/>
      <c r="UXY3" s="120"/>
      <c r="UXZ3" s="120"/>
      <c r="UYA3" s="120"/>
      <c r="UYB3" s="120"/>
      <c r="UYC3" s="120"/>
      <c r="UYD3" s="120"/>
      <c r="UYE3" s="120"/>
      <c r="UYF3" s="120"/>
      <c r="UYG3" s="120"/>
      <c r="UYH3" s="120"/>
      <c r="UYI3" s="120"/>
      <c r="UYJ3" s="120"/>
      <c r="UYK3" s="120"/>
      <c r="UYL3" s="120"/>
      <c r="UYM3" s="120"/>
      <c r="UYN3" s="120"/>
      <c r="UYO3" s="120"/>
      <c r="UYP3" s="120"/>
      <c r="UYQ3" s="120"/>
      <c r="UYR3" s="120"/>
      <c r="UYS3" s="120"/>
      <c r="UYT3" s="120"/>
      <c r="UYU3" s="120"/>
      <c r="UYV3" s="120"/>
      <c r="UYW3" s="120"/>
      <c r="UYX3" s="120"/>
      <c r="UYY3" s="120"/>
      <c r="UYZ3" s="120"/>
      <c r="UZA3" s="120"/>
      <c r="UZB3" s="120"/>
      <c r="UZC3" s="120"/>
      <c r="UZD3" s="120"/>
      <c r="UZE3" s="120"/>
      <c r="UZF3" s="120"/>
      <c r="UZG3" s="120"/>
      <c r="UZH3" s="120"/>
      <c r="UZI3" s="120"/>
      <c r="UZJ3" s="120"/>
      <c r="UZK3" s="120"/>
      <c r="UZL3" s="120"/>
      <c r="UZM3" s="120"/>
      <c r="UZN3" s="120"/>
      <c r="UZO3" s="120"/>
      <c r="UZP3" s="120"/>
      <c r="UZQ3" s="120"/>
      <c r="UZR3" s="120"/>
      <c r="UZS3" s="120"/>
      <c r="UZT3" s="120"/>
      <c r="UZU3" s="120"/>
      <c r="UZV3" s="120"/>
      <c r="UZW3" s="120"/>
      <c r="UZX3" s="120"/>
      <c r="UZY3" s="120"/>
      <c r="UZZ3" s="120"/>
      <c r="VAA3" s="120"/>
      <c r="VAB3" s="120"/>
      <c r="VAC3" s="120"/>
      <c r="VAD3" s="120"/>
      <c r="VAE3" s="120"/>
      <c r="VAF3" s="120"/>
      <c r="VAG3" s="120"/>
      <c r="VAH3" s="120"/>
      <c r="VAI3" s="120"/>
      <c r="VAJ3" s="120"/>
      <c r="VAK3" s="120"/>
      <c r="VAL3" s="120"/>
      <c r="VAM3" s="120"/>
      <c r="VAN3" s="120"/>
      <c r="VAO3" s="120"/>
      <c r="VAP3" s="120"/>
      <c r="VAQ3" s="120"/>
      <c r="VAR3" s="120"/>
      <c r="VAS3" s="120"/>
      <c r="VAT3" s="120"/>
      <c r="VAU3" s="120"/>
      <c r="VAV3" s="120"/>
      <c r="VAW3" s="120"/>
      <c r="VAX3" s="120"/>
      <c r="VAY3" s="120"/>
      <c r="VAZ3" s="120"/>
      <c r="VBA3" s="120"/>
      <c r="VBB3" s="120"/>
      <c r="VBC3" s="120"/>
      <c r="VBD3" s="120"/>
      <c r="VBE3" s="120"/>
      <c r="VBF3" s="120"/>
      <c r="VBG3" s="120"/>
      <c r="VBH3" s="120"/>
      <c r="VBI3" s="120"/>
      <c r="VBJ3" s="120"/>
      <c r="VBK3" s="120"/>
      <c r="VBL3" s="120"/>
      <c r="VBM3" s="120"/>
      <c r="VBN3" s="120"/>
      <c r="VBO3" s="120"/>
      <c r="VBP3" s="120"/>
      <c r="VBQ3" s="120"/>
      <c r="VBR3" s="120"/>
      <c r="VBS3" s="120"/>
      <c r="VBT3" s="120"/>
      <c r="VBU3" s="120"/>
      <c r="VBV3" s="120"/>
      <c r="VBW3" s="120"/>
      <c r="VBX3" s="120"/>
      <c r="VBY3" s="120"/>
      <c r="VBZ3" s="120"/>
      <c r="VCA3" s="120"/>
      <c r="VCB3" s="120"/>
      <c r="VCC3" s="120"/>
      <c r="VCD3" s="120"/>
      <c r="VCE3" s="120"/>
      <c r="VCF3" s="120"/>
      <c r="VCG3" s="120"/>
      <c r="VCH3" s="120"/>
      <c r="VCI3" s="120"/>
      <c r="VCJ3" s="120"/>
      <c r="VCK3" s="120"/>
      <c r="VCL3" s="120"/>
      <c r="VCM3" s="120"/>
      <c r="VCN3" s="120"/>
      <c r="VCO3" s="120"/>
      <c r="VCP3" s="120"/>
      <c r="VCQ3" s="120"/>
      <c r="VCR3" s="120"/>
      <c r="VCS3" s="120"/>
      <c r="VCT3" s="120"/>
      <c r="VCU3" s="120"/>
      <c r="VCV3" s="120"/>
      <c r="VCW3" s="120"/>
      <c r="VCX3" s="120"/>
      <c r="VCY3" s="120"/>
      <c r="VCZ3" s="120"/>
      <c r="VDA3" s="120"/>
      <c r="VDB3" s="120"/>
      <c r="VDC3" s="120"/>
      <c r="VDD3" s="120"/>
      <c r="VDE3" s="120"/>
      <c r="VDF3" s="120"/>
      <c r="VDG3" s="120"/>
      <c r="VDH3" s="120"/>
      <c r="VDI3" s="120"/>
      <c r="VDJ3" s="120"/>
      <c r="VDK3" s="120"/>
      <c r="VDL3" s="120"/>
      <c r="VDM3" s="120"/>
      <c r="VDN3" s="120"/>
      <c r="VDO3" s="120"/>
      <c r="VDP3" s="120"/>
      <c r="VDQ3" s="120"/>
      <c r="VDR3" s="120"/>
      <c r="VDS3" s="120"/>
      <c r="VDT3" s="120"/>
      <c r="VDU3" s="120"/>
      <c r="VDV3" s="120"/>
      <c r="VDW3" s="120"/>
      <c r="VDX3" s="120"/>
      <c r="VDY3" s="120"/>
      <c r="VDZ3" s="120"/>
      <c r="VEA3" s="120"/>
      <c r="VEB3" s="120"/>
      <c r="VEC3" s="120"/>
      <c r="VED3" s="120"/>
      <c r="VEE3" s="120"/>
      <c r="VEF3" s="120"/>
      <c r="VEG3" s="120"/>
      <c r="VEH3" s="120"/>
      <c r="VEI3" s="120"/>
      <c r="VEJ3" s="120"/>
      <c r="VEK3" s="120"/>
      <c r="VEL3" s="120"/>
      <c r="VEM3" s="120"/>
      <c r="VEN3" s="120"/>
      <c r="VEO3" s="120"/>
      <c r="VEP3" s="120"/>
      <c r="VEQ3" s="120"/>
      <c r="VER3" s="120"/>
      <c r="VES3" s="120"/>
      <c r="VET3" s="120"/>
      <c r="VEU3" s="120"/>
      <c r="VEV3" s="120"/>
      <c r="VEW3" s="120"/>
      <c r="VEX3" s="120"/>
      <c r="VEY3" s="120"/>
      <c r="VEZ3" s="120"/>
      <c r="VFA3" s="120"/>
      <c r="VFB3" s="120"/>
      <c r="VFC3" s="120"/>
      <c r="VFD3" s="120"/>
      <c r="VFE3" s="120"/>
      <c r="VFF3" s="120"/>
      <c r="VFG3" s="120"/>
      <c r="VFH3" s="120"/>
      <c r="VFI3" s="120"/>
      <c r="VFJ3" s="120"/>
      <c r="VFK3" s="120"/>
      <c r="VFL3" s="120"/>
      <c r="VFM3" s="120"/>
      <c r="VFN3" s="120"/>
      <c r="VFO3" s="120"/>
      <c r="VFP3" s="120"/>
      <c r="VFQ3" s="120"/>
      <c r="VFR3" s="120"/>
      <c r="VFS3" s="120"/>
      <c r="VFT3" s="120"/>
      <c r="VFU3" s="120"/>
      <c r="VFV3" s="120"/>
      <c r="VFW3" s="120"/>
      <c r="VFX3" s="120"/>
      <c r="VFY3" s="120"/>
      <c r="VFZ3" s="120"/>
      <c r="VGA3" s="120"/>
      <c r="VGB3" s="120"/>
      <c r="VGC3" s="120"/>
      <c r="VGD3" s="120"/>
      <c r="VGE3" s="120"/>
      <c r="VGF3" s="120"/>
      <c r="VGG3" s="120"/>
      <c r="VGH3" s="120"/>
      <c r="VGI3" s="120"/>
      <c r="VGJ3" s="120"/>
      <c r="VGK3" s="120"/>
      <c r="VGL3" s="120"/>
      <c r="VGM3" s="120"/>
      <c r="VGN3" s="120"/>
      <c r="VGO3" s="120"/>
      <c r="VGP3" s="120"/>
      <c r="VGQ3" s="120"/>
      <c r="VGR3" s="120"/>
      <c r="VGS3" s="120"/>
      <c r="VGT3" s="120"/>
      <c r="VGU3" s="120"/>
      <c r="VGV3" s="120"/>
      <c r="VGW3" s="120"/>
      <c r="VGX3" s="120"/>
      <c r="VGY3" s="120"/>
      <c r="VGZ3" s="120"/>
      <c r="VHA3" s="120"/>
      <c r="VHB3" s="120"/>
      <c r="VHC3" s="120"/>
      <c r="VHD3" s="120"/>
      <c r="VHE3" s="120"/>
      <c r="VHF3" s="120"/>
      <c r="VHG3" s="120"/>
      <c r="VHH3" s="120"/>
      <c r="VHI3" s="120"/>
      <c r="VHJ3" s="120"/>
      <c r="VHK3" s="120"/>
      <c r="VHL3" s="120"/>
      <c r="VHM3" s="120"/>
      <c r="VHN3" s="120"/>
      <c r="VHO3" s="120"/>
      <c r="VHP3" s="120"/>
      <c r="VHQ3" s="120"/>
      <c r="VHR3" s="120"/>
      <c r="VHS3" s="120"/>
      <c r="VHT3" s="120"/>
      <c r="VHU3" s="120"/>
      <c r="VHV3" s="120"/>
      <c r="VHW3" s="120"/>
      <c r="VHX3" s="120"/>
      <c r="VHY3" s="120"/>
      <c r="VHZ3" s="120"/>
      <c r="VIA3" s="120"/>
      <c r="VIB3" s="120"/>
      <c r="VIC3" s="120"/>
      <c r="VID3" s="120"/>
      <c r="VIE3" s="120"/>
      <c r="VIF3" s="120"/>
      <c r="VIG3" s="120"/>
      <c r="VIH3" s="120"/>
      <c r="VII3" s="120"/>
      <c r="VIJ3" s="120"/>
      <c r="VIK3" s="120"/>
      <c r="VIL3" s="120"/>
      <c r="VIM3" s="120"/>
      <c r="VIN3" s="120"/>
      <c r="VIO3" s="120"/>
      <c r="VIP3" s="120"/>
      <c r="VIQ3" s="120"/>
      <c r="VIR3" s="120"/>
      <c r="VIS3" s="120"/>
      <c r="VIT3" s="120"/>
      <c r="VIU3" s="120"/>
      <c r="VIV3" s="120"/>
      <c r="VIW3" s="120"/>
      <c r="VIX3" s="120"/>
      <c r="VIY3" s="120"/>
      <c r="VIZ3" s="120"/>
      <c r="VJA3" s="120"/>
      <c r="VJB3" s="120"/>
      <c r="VJC3" s="120"/>
      <c r="VJD3" s="120"/>
      <c r="VJE3" s="120"/>
      <c r="VJF3" s="120"/>
      <c r="VJG3" s="120"/>
      <c r="VJH3" s="120"/>
      <c r="VJI3" s="120"/>
      <c r="VJJ3" s="120"/>
      <c r="VJK3" s="120"/>
      <c r="VJL3" s="120"/>
      <c r="VJM3" s="120"/>
      <c r="VJN3" s="120"/>
      <c r="VJO3" s="120"/>
      <c r="VJP3" s="120"/>
      <c r="VJQ3" s="120"/>
      <c r="VJR3" s="120"/>
      <c r="VJS3" s="120"/>
      <c r="VJT3" s="120"/>
      <c r="VJU3" s="120"/>
      <c r="VJV3" s="120"/>
      <c r="VJW3" s="120"/>
      <c r="VJX3" s="120"/>
      <c r="VJY3" s="120"/>
      <c r="VJZ3" s="120"/>
      <c r="VKA3" s="120"/>
      <c r="VKB3" s="120"/>
      <c r="VKC3" s="120"/>
      <c r="VKD3" s="120"/>
      <c r="VKE3" s="120"/>
      <c r="VKF3" s="120"/>
      <c r="VKG3" s="120"/>
      <c r="VKH3" s="120"/>
      <c r="VKI3" s="120"/>
      <c r="VKJ3" s="120"/>
      <c r="VKK3" s="120"/>
      <c r="VKL3" s="120"/>
      <c r="VKM3" s="120"/>
      <c r="VKN3" s="120"/>
      <c r="VKO3" s="120"/>
      <c r="VKP3" s="120"/>
      <c r="VKQ3" s="120"/>
      <c r="VKR3" s="120"/>
      <c r="VKS3" s="120"/>
      <c r="VKT3" s="120"/>
      <c r="VKU3" s="120"/>
      <c r="VKV3" s="120"/>
      <c r="VKW3" s="120"/>
      <c r="VKX3" s="120"/>
      <c r="VKY3" s="120"/>
      <c r="VKZ3" s="120"/>
      <c r="VLA3" s="120"/>
      <c r="VLB3" s="120"/>
      <c r="VLC3" s="120"/>
      <c r="VLD3" s="120"/>
      <c r="VLE3" s="120"/>
      <c r="VLF3" s="120"/>
      <c r="VLG3" s="120"/>
      <c r="VLH3" s="120"/>
      <c r="VLI3" s="120"/>
      <c r="VLJ3" s="120"/>
      <c r="VLK3" s="120"/>
      <c r="VLL3" s="120"/>
      <c r="VLM3" s="120"/>
      <c r="VLN3" s="120"/>
      <c r="VLO3" s="120"/>
      <c r="VLP3" s="120"/>
      <c r="VLQ3" s="120"/>
      <c r="VLR3" s="120"/>
      <c r="VLS3" s="120"/>
      <c r="VLT3" s="120"/>
      <c r="VLU3" s="120"/>
      <c r="VLV3" s="120"/>
      <c r="VLW3" s="120"/>
      <c r="VLX3" s="120"/>
      <c r="VLY3" s="120"/>
      <c r="VLZ3" s="120"/>
      <c r="VMA3" s="120"/>
      <c r="VMB3" s="120"/>
      <c r="VMC3" s="120"/>
      <c r="VMD3" s="120"/>
      <c r="VME3" s="120"/>
      <c r="VMF3" s="120"/>
      <c r="VMG3" s="120"/>
      <c r="VMH3" s="120"/>
      <c r="VMI3" s="120"/>
      <c r="VMJ3" s="120"/>
      <c r="VMK3" s="120"/>
      <c r="VML3" s="120"/>
      <c r="VMM3" s="120"/>
      <c r="VMN3" s="120"/>
      <c r="VMO3" s="120"/>
      <c r="VMP3" s="120"/>
      <c r="VMQ3" s="120"/>
      <c r="VMR3" s="120"/>
      <c r="VMS3" s="120"/>
      <c r="VMT3" s="120"/>
      <c r="VMU3" s="120"/>
      <c r="VMV3" s="120"/>
      <c r="VMW3" s="120"/>
      <c r="VMX3" s="120"/>
      <c r="VMY3" s="120"/>
      <c r="VMZ3" s="120"/>
      <c r="VNA3" s="120"/>
      <c r="VNB3" s="120"/>
      <c r="VNC3" s="120"/>
      <c r="VND3" s="120"/>
      <c r="VNE3" s="120"/>
      <c r="VNF3" s="120"/>
      <c r="VNG3" s="120"/>
      <c r="VNH3" s="120"/>
      <c r="VNI3" s="120"/>
      <c r="VNJ3" s="120"/>
      <c r="VNK3" s="120"/>
      <c r="VNL3" s="120"/>
      <c r="VNM3" s="120"/>
      <c r="VNN3" s="120"/>
      <c r="VNO3" s="120"/>
      <c r="VNP3" s="120"/>
      <c r="VNQ3" s="120"/>
      <c r="VNR3" s="120"/>
      <c r="VNS3" s="120"/>
      <c r="VNT3" s="120"/>
      <c r="VNU3" s="120"/>
      <c r="VNV3" s="120"/>
      <c r="VNW3" s="120"/>
      <c r="VNX3" s="120"/>
      <c r="VNY3" s="120"/>
      <c r="VNZ3" s="120"/>
      <c r="VOA3" s="120"/>
      <c r="VOB3" s="120"/>
      <c r="VOC3" s="120"/>
      <c r="VOD3" s="120"/>
      <c r="VOE3" s="120"/>
      <c r="VOF3" s="120"/>
      <c r="VOG3" s="120"/>
      <c r="VOH3" s="120"/>
      <c r="VOI3" s="120"/>
      <c r="VOJ3" s="120"/>
      <c r="VOK3" s="120"/>
      <c r="VOL3" s="120"/>
      <c r="VOM3" s="120"/>
      <c r="VON3" s="120"/>
      <c r="VOO3" s="120"/>
      <c r="VOP3" s="120"/>
      <c r="VOQ3" s="120"/>
      <c r="VOR3" s="120"/>
      <c r="VOS3" s="120"/>
      <c r="VOT3" s="120"/>
      <c r="VOU3" s="120"/>
      <c r="VOV3" s="120"/>
      <c r="VOW3" s="120"/>
      <c r="VOX3" s="120"/>
      <c r="VOY3" s="120"/>
      <c r="VOZ3" s="120"/>
      <c r="VPA3" s="120"/>
      <c r="VPB3" s="120"/>
      <c r="VPC3" s="120"/>
      <c r="VPD3" s="120"/>
      <c r="VPE3" s="120"/>
      <c r="VPF3" s="120"/>
      <c r="VPG3" s="120"/>
      <c r="VPH3" s="120"/>
      <c r="VPI3" s="120"/>
      <c r="VPJ3" s="120"/>
      <c r="VPK3" s="120"/>
      <c r="VPL3" s="120"/>
      <c r="VPM3" s="120"/>
      <c r="VPN3" s="120"/>
      <c r="VPO3" s="120"/>
      <c r="VPP3" s="120"/>
      <c r="VPQ3" s="120"/>
      <c r="VPR3" s="120"/>
      <c r="VPS3" s="120"/>
      <c r="VPT3" s="120"/>
      <c r="VPU3" s="120"/>
      <c r="VPV3" s="120"/>
      <c r="VPW3" s="120"/>
      <c r="VPX3" s="120"/>
      <c r="VPY3" s="120"/>
      <c r="VPZ3" s="120"/>
      <c r="VQA3" s="120"/>
      <c r="VQB3" s="120"/>
      <c r="VQC3" s="120"/>
      <c r="VQD3" s="120"/>
      <c r="VQE3" s="120"/>
      <c r="VQF3" s="120"/>
      <c r="VQG3" s="120"/>
      <c r="VQH3" s="120"/>
      <c r="VQI3" s="120"/>
      <c r="VQJ3" s="120"/>
      <c r="VQK3" s="120"/>
      <c r="VQL3" s="120"/>
      <c r="VQM3" s="120"/>
      <c r="VQN3" s="120"/>
      <c r="VQO3" s="120"/>
      <c r="VQP3" s="120"/>
      <c r="VQQ3" s="120"/>
      <c r="VQR3" s="120"/>
      <c r="VQS3" s="120"/>
      <c r="VQT3" s="120"/>
      <c r="VQU3" s="120"/>
      <c r="VQV3" s="120"/>
      <c r="VQW3" s="120"/>
      <c r="VQX3" s="120"/>
      <c r="VQY3" s="120"/>
      <c r="VQZ3" s="120"/>
      <c r="VRA3" s="120"/>
      <c r="VRB3" s="120"/>
      <c r="VRC3" s="120"/>
      <c r="VRD3" s="120"/>
      <c r="VRE3" s="120"/>
      <c r="VRF3" s="120"/>
      <c r="VRG3" s="120"/>
      <c r="VRH3" s="120"/>
      <c r="VRI3" s="120"/>
      <c r="VRJ3" s="120"/>
      <c r="VRK3" s="120"/>
      <c r="VRL3" s="120"/>
      <c r="VRM3" s="120"/>
      <c r="VRN3" s="120"/>
      <c r="VRO3" s="120"/>
      <c r="VRP3" s="120"/>
      <c r="VRQ3" s="120"/>
      <c r="VRR3" s="120"/>
      <c r="VRS3" s="120"/>
      <c r="VRT3" s="120"/>
      <c r="VRU3" s="120"/>
      <c r="VRV3" s="120"/>
      <c r="VRW3" s="120"/>
      <c r="VRX3" s="120"/>
      <c r="VRY3" s="120"/>
      <c r="VRZ3" s="120"/>
      <c r="VSA3" s="120"/>
      <c r="VSB3" s="120"/>
      <c r="VSC3" s="120"/>
      <c r="VSD3" s="120"/>
      <c r="VSE3" s="120"/>
      <c r="VSF3" s="120"/>
      <c r="VSG3" s="120"/>
      <c r="VSH3" s="120"/>
      <c r="VSI3" s="120"/>
      <c r="VSJ3" s="120"/>
      <c r="VSK3" s="120"/>
      <c r="VSL3" s="120"/>
      <c r="VSM3" s="120"/>
      <c r="VSN3" s="120"/>
      <c r="VSO3" s="120"/>
      <c r="VSP3" s="120"/>
      <c r="VSQ3" s="120"/>
      <c r="VSR3" s="120"/>
      <c r="VSS3" s="120"/>
      <c r="VST3" s="120"/>
      <c r="VSU3" s="120"/>
      <c r="VSV3" s="120"/>
      <c r="VSW3" s="120"/>
      <c r="VSX3" s="120"/>
      <c r="VSY3" s="120"/>
      <c r="VSZ3" s="120"/>
      <c r="VTA3" s="120"/>
      <c r="VTB3" s="120"/>
      <c r="VTC3" s="120"/>
      <c r="VTD3" s="120"/>
      <c r="VTE3" s="120"/>
      <c r="VTF3" s="120"/>
      <c r="VTG3" s="120"/>
      <c r="VTH3" s="120"/>
      <c r="VTI3" s="120"/>
      <c r="VTJ3" s="120"/>
      <c r="VTK3" s="120"/>
      <c r="VTL3" s="120"/>
      <c r="VTM3" s="120"/>
      <c r="VTN3" s="120"/>
      <c r="VTO3" s="120"/>
      <c r="VTP3" s="120"/>
      <c r="VTQ3" s="120"/>
      <c r="VTR3" s="120"/>
      <c r="VTS3" s="120"/>
      <c r="VTT3" s="120"/>
      <c r="VTU3" s="120"/>
      <c r="VTV3" s="120"/>
      <c r="VTW3" s="120"/>
      <c r="VTX3" s="120"/>
      <c r="VTY3" s="120"/>
      <c r="VTZ3" s="120"/>
      <c r="VUA3" s="120"/>
      <c r="VUB3" s="120"/>
      <c r="VUC3" s="120"/>
      <c r="VUD3" s="120"/>
      <c r="VUE3" s="120"/>
      <c r="VUF3" s="120"/>
      <c r="VUG3" s="120"/>
      <c r="VUH3" s="120"/>
      <c r="VUI3" s="120"/>
      <c r="VUJ3" s="120"/>
      <c r="VUK3" s="120"/>
      <c r="VUL3" s="120"/>
      <c r="VUM3" s="120"/>
      <c r="VUN3" s="120"/>
      <c r="VUO3" s="120"/>
      <c r="VUP3" s="120"/>
      <c r="VUQ3" s="120"/>
      <c r="VUR3" s="120"/>
      <c r="VUS3" s="120"/>
      <c r="VUT3" s="120"/>
      <c r="VUU3" s="120"/>
      <c r="VUV3" s="120"/>
      <c r="VUW3" s="120"/>
      <c r="VUX3" s="120"/>
      <c r="VUY3" s="120"/>
      <c r="VUZ3" s="120"/>
      <c r="VVA3" s="120"/>
      <c r="VVB3" s="120"/>
      <c r="VVC3" s="120"/>
      <c r="VVD3" s="120"/>
      <c r="VVE3" s="120"/>
      <c r="VVF3" s="120"/>
      <c r="VVG3" s="120"/>
      <c r="VVH3" s="120"/>
      <c r="VVI3" s="120"/>
      <c r="VVJ3" s="120"/>
      <c r="VVK3" s="120"/>
      <c r="VVL3" s="120"/>
      <c r="VVM3" s="120"/>
      <c r="VVN3" s="120"/>
      <c r="VVO3" s="120"/>
      <c r="VVP3" s="120"/>
      <c r="VVQ3" s="120"/>
      <c r="VVR3" s="120"/>
      <c r="VVS3" s="120"/>
      <c r="VVT3" s="120"/>
      <c r="VVU3" s="120"/>
      <c r="VVV3" s="120"/>
      <c r="VVW3" s="120"/>
      <c r="VVX3" s="120"/>
      <c r="VVY3" s="120"/>
      <c r="VVZ3" s="120"/>
      <c r="VWA3" s="120"/>
      <c r="VWB3" s="120"/>
      <c r="VWC3" s="120"/>
      <c r="VWD3" s="120"/>
      <c r="VWE3" s="120"/>
      <c r="VWF3" s="120"/>
      <c r="VWG3" s="120"/>
      <c r="VWH3" s="120"/>
      <c r="VWI3" s="120"/>
      <c r="VWJ3" s="120"/>
      <c r="VWK3" s="120"/>
      <c r="VWL3" s="120"/>
      <c r="VWM3" s="120"/>
      <c r="VWN3" s="120"/>
      <c r="VWO3" s="120"/>
      <c r="VWP3" s="120"/>
      <c r="VWQ3" s="120"/>
      <c r="VWR3" s="120"/>
      <c r="VWS3" s="120"/>
      <c r="VWT3" s="120"/>
      <c r="VWU3" s="120"/>
      <c r="VWV3" s="120"/>
      <c r="VWW3" s="120"/>
      <c r="VWX3" s="120"/>
      <c r="VWY3" s="120"/>
      <c r="VWZ3" s="120"/>
      <c r="VXA3" s="120"/>
      <c r="VXB3" s="120"/>
      <c r="VXC3" s="120"/>
      <c r="VXD3" s="120"/>
      <c r="VXE3" s="120"/>
      <c r="VXF3" s="120"/>
      <c r="VXG3" s="120"/>
      <c r="VXH3" s="120"/>
      <c r="VXI3" s="120"/>
      <c r="VXJ3" s="120"/>
      <c r="VXK3" s="120"/>
      <c r="VXL3" s="120"/>
      <c r="VXM3" s="120"/>
      <c r="VXN3" s="120"/>
      <c r="VXO3" s="120"/>
      <c r="VXP3" s="120"/>
      <c r="VXQ3" s="120"/>
      <c r="VXR3" s="120"/>
      <c r="VXS3" s="120"/>
      <c r="VXT3" s="120"/>
      <c r="VXU3" s="120"/>
      <c r="VXV3" s="120"/>
      <c r="VXW3" s="120"/>
      <c r="VXX3" s="120"/>
      <c r="VXY3" s="120"/>
      <c r="VXZ3" s="120"/>
      <c r="VYA3" s="120"/>
      <c r="VYB3" s="120"/>
      <c r="VYC3" s="120"/>
      <c r="VYD3" s="120"/>
      <c r="VYE3" s="120"/>
      <c r="VYF3" s="120"/>
      <c r="VYG3" s="120"/>
      <c r="VYH3" s="120"/>
      <c r="VYI3" s="120"/>
      <c r="VYJ3" s="120"/>
      <c r="VYK3" s="120"/>
      <c r="VYL3" s="120"/>
      <c r="VYM3" s="120"/>
      <c r="VYN3" s="120"/>
      <c r="VYO3" s="120"/>
      <c r="VYP3" s="120"/>
      <c r="VYQ3" s="120"/>
      <c r="VYR3" s="120"/>
      <c r="VYS3" s="120"/>
      <c r="VYT3" s="120"/>
      <c r="VYU3" s="120"/>
      <c r="VYV3" s="120"/>
      <c r="VYW3" s="120"/>
      <c r="VYX3" s="120"/>
      <c r="VYY3" s="120"/>
      <c r="VYZ3" s="120"/>
      <c r="VZA3" s="120"/>
      <c r="VZB3" s="120"/>
      <c r="VZC3" s="120"/>
      <c r="VZD3" s="120"/>
      <c r="VZE3" s="120"/>
      <c r="VZF3" s="120"/>
      <c r="VZG3" s="120"/>
      <c r="VZH3" s="120"/>
      <c r="VZI3" s="120"/>
      <c r="VZJ3" s="120"/>
      <c r="VZK3" s="120"/>
      <c r="VZL3" s="120"/>
      <c r="VZM3" s="120"/>
      <c r="VZN3" s="120"/>
      <c r="VZO3" s="120"/>
      <c r="VZP3" s="120"/>
      <c r="VZQ3" s="120"/>
      <c r="VZR3" s="120"/>
      <c r="VZS3" s="120"/>
      <c r="VZT3" s="120"/>
      <c r="VZU3" s="120"/>
      <c r="VZV3" s="120"/>
      <c r="VZW3" s="120"/>
      <c r="VZX3" s="120"/>
      <c r="VZY3" s="120"/>
      <c r="VZZ3" s="120"/>
      <c r="WAA3" s="120"/>
      <c r="WAB3" s="120"/>
      <c r="WAC3" s="120"/>
      <c r="WAD3" s="120"/>
      <c r="WAE3" s="120"/>
      <c r="WAF3" s="120"/>
      <c r="WAG3" s="120"/>
      <c r="WAH3" s="120"/>
      <c r="WAI3" s="120"/>
      <c r="WAJ3" s="120"/>
      <c r="WAK3" s="120"/>
      <c r="WAL3" s="120"/>
      <c r="WAM3" s="120"/>
      <c r="WAN3" s="120"/>
      <c r="WAO3" s="120"/>
      <c r="WAP3" s="120"/>
      <c r="WAQ3" s="120"/>
      <c r="WAR3" s="120"/>
      <c r="WAS3" s="120"/>
      <c r="WAT3" s="120"/>
      <c r="WAU3" s="120"/>
      <c r="WAV3" s="120"/>
      <c r="WAW3" s="120"/>
      <c r="WAX3" s="120"/>
      <c r="WAY3" s="120"/>
      <c r="WAZ3" s="120"/>
      <c r="WBA3" s="120"/>
      <c r="WBB3" s="120"/>
      <c r="WBC3" s="120"/>
      <c r="WBD3" s="120"/>
      <c r="WBE3" s="120"/>
      <c r="WBF3" s="120"/>
      <c r="WBG3" s="120"/>
      <c r="WBH3" s="120"/>
      <c r="WBI3" s="120"/>
      <c r="WBJ3" s="120"/>
      <c r="WBK3" s="120"/>
      <c r="WBL3" s="120"/>
      <c r="WBM3" s="120"/>
      <c r="WBN3" s="120"/>
      <c r="WBO3" s="120"/>
      <c r="WBP3" s="120"/>
      <c r="WBQ3" s="120"/>
      <c r="WBR3" s="120"/>
      <c r="WBS3" s="120"/>
      <c r="WBT3" s="120"/>
      <c r="WBU3" s="120"/>
      <c r="WBV3" s="120"/>
      <c r="WBW3" s="120"/>
      <c r="WBX3" s="120"/>
      <c r="WBY3" s="120"/>
      <c r="WBZ3" s="120"/>
      <c r="WCA3" s="120"/>
      <c r="WCB3" s="120"/>
      <c r="WCC3" s="120"/>
      <c r="WCD3" s="120"/>
      <c r="WCE3" s="120"/>
      <c r="WCF3" s="120"/>
      <c r="WCG3" s="120"/>
      <c r="WCH3" s="120"/>
      <c r="WCI3" s="120"/>
      <c r="WCJ3" s="120"/>
      <c r="WCK3" s="120"/>
      <c r="WCL3" s="120"/>
      <c r="WCM3" s="120"/>
      <c r="WCN3" s="120"/>
      <c r="WCO3" s="120"/>
      <c r="WCP3" s="120"/>
      <c r="WCQ3" s="120"/>
      <c r="WCR3" s="120"/>
      <c r="WCS3" s="120"/>
      <c r="WCT3" s="120"/>
      <c r="WCU3" s="120"/>
      <c r="WCV3" s="120"/>
      <c r="WCW3" s="120"/>
      <c r="WCX3" s="120"/>
      <c r="WCY3" s="120"/>
      <c r="WCZ3" s="120"/>
      <c r="WDA3" s="120"/>
      <c r="WDB3" s="120"/>
      <c r="WDC3" s="120"/>
      <c r="WDD3" s="120"/>
      <c r="WDE3" s="120"/>
      <c r="WDF3" s="120"/>
      <c r="WDG3" s="120"/>
      <c r="WDH3" s="120"/>
      <c r="WDI3" s="120"/>
      <c r="WDJ3" s="120"/>
      <c r="WDK3" s="120"/>
      <c r="WDL3" s="120"/>
      <c r="WDM3" s="120"/>
      <c r="WDN3" s="120"/>
      <c r="WDO3" s="120"/>
      <c r="WDP3" s="120"/>
      <c r="WDQ3" s="120"/>
      <c r="WDR3" s="120"/>
      <c r="WDS3" s="120"/>
      <c r="WDT3" s="120"/>
      <c r="WDU3" s="120"/>
      <c r="WDV3" s="120"/>
      <c r="WDW3" s="120"/>
      <c r="WDX3" s="120"/>
      <c r="WDY3" s="120"/>
      <c r="WDZ3" s="120"/>
      <c r="WEA3" s="120"/>
      <c r="WEB3" s="120"/>
      <c r="WEC3" s="120"/>
      <c r="WED3" s="120"/>
      <c r="WEE3" s="120"/>
      <c r="WEF3" s="120"/>
      <c r="WEG3" s="120"/>
      <c r="WEH3" s="120"/>
      <c r="WEI3" s="120"/>
      <c r="WEJ3" s="120"/>
      <c r="WEK3" s="120"/>
      <c r="WEL3" s="120"/>
      <c r="WEM3" s="120"/>
      <c r="WEN3" s="120"/>
      <c r="WEO3" s="120"/>
      <c r="WEP3" s="120"/>
      <c r="WEQ3" s="120"/>
      <c r="WER3" s="120"/>
      <c r="WES3" s="120"/>
      <c r="WET3" s="120"/>
      <c r="WEU3" s="120"/>
      <c r="WEV3" s="120"/>
      <c r="WEW3" s="120"/>
      <c r="WEX3" s="120"/>
      <c r="WEY3" s="120"/>
      <c r="WEZ3" s="120"/>
      <c r="WFA3" s="120"/>
      <c r="WFB3" s="120"/>
      <c r="WFC3" s="120"/>
      <c r="WFD3" s="120"/>
      <c r="WFE3" s="120"/>
      <c r="WFF3" s="120"/>
      <c r="WFG3" s="120"/>
      <c r="WFH3" s="120"/>
      <c r="WFI3" s="120"/>
      <c r="WFJ3" s="120"/>
      <c r="WFK3" s="120"/>
      <c r="WFL3" s="120"/>
      <c r="WFM3" s="120"/>
      <c r="WFN3" s="120"/>
      <c r="WFO3" s="120"/>
      <c r="WFP3" s="120"/>
      <c r="WFQ3" s="120"/>
      <c r="WFR3" s="120"/>
      <c r="WFS3" s="120"/>
      <c r="WFT3" s="120"/>
      <c r="WFU3" s="120"/>
      <c r="WFV3" s="120"/>
      <c r="WFW3" s="120"/>
      <c r="WFX3" s="120"/>
      <c r="WFY3" s="120"/>
      <c r="WFZ3" s="120"/>
      <c r="WGA3" s="120"/>
      <c r="WGB3" s="120"/>
      <c r="WGC3" s="120"/>
      <c r="WGD3" s="120"/>
      <c r="WGE3" s="120"/>
      <c r="WGF3" s="120"/>
      <c r="WGG3" s="120"/>
      <c r="WGH3" s="120"/>
      <c r="WGI3" s="120"/>
      <c r="WGJ3" s="120"/>
      <c r="WGK3" s="120"/>
      <c r="WGL3" s="120"/>
      <c r="WGM3" s="120"/>
      <c r="WGN3" s="120"/>
      <c r="WGO3" s="120"/>
      <c r="WGP3" s="120"/>
      <c r="WGQ3" s="120"/>
      <c r="WGR3" s="120"/>
      <c r="WGS3" s="120"/>
      <c r="WGT3" s="120"/>
      <c r="WGU3" s="120"/>
      <c r="WGV3" s="120"/>
      <c r="WGW3" s="120"/>
      <c r="WGX3" s="120"/>
      <c r="WGY3" s="120"/>
      <c r="WGZ3" s="120"/>
      <c r="WHA3" s="120"/>
      <c r="WHB3" s="120"/>
      <c r="WHC3" s="120"/>
      <c r="WHD3" s="120"/>
      <c r="WHE3" s="120"/>
      <c r="WHF3" s="120"/>
      <c r="WHG3" s="120"/>
      <c r="WHH3" s="120"/>
      <c r="WHI3" s="120"/>
      <c r="WHJ3" s="120"/>
      <c r="WHK3" s="120"/>
      <c r="WHL3" s="120"/>
      <c r="WHM3" s="120"/>
      <c r="WHN3" s="120"/>
      <c r="WHO3" s="120"/>
      <c r="WHP3" s="120"/>
      <c r="WHQ3" s="120"/>
      <c r="WHR3" s="120"/>
      <c r="WHS3" s="120"/>
      <c r="WHT3" s="120"/>
      <c r="WHU3" s="120"/>
      <c r="WHV3" s="120"/>
      <c r="WHW3" s="120"/>
      <c r="WHX3" s="120"/>
      <c r="WHY3" s="120"/>
      <c r="WHZ3" s="120"/>
      <c r="WIA3" s="120"/>
      <c r="WIB3" s="120"/>
      <c r="WIC3" s="120"/>
      <c r="WID3" s="120"/>
      <c r="WIE3" s="120"/>
      <c r="WIF3" s="120"/>
      <c r="WIG3" s="120"/>
      <c r="WIH3" s="120"/>
      <c r="WII3" s="120"/>
      <c r="WIJ3" s="120"/>
      <c r="WIK3" s="120"/>
      <c r="WIL3" s="120"/>
      <c r="WIM3" s="120"/>
      <c r="WIN3" s="120"/>
      <c r="WIO3" s="120"/>
      <c r="WIP3" s="120"/>
      <c r="WIQ3" s="120"/>
      <c r="WIR3" s="120"/>
      <c r="WIS3" s="120"/>
      <c r="WIT3" s="120"/>
      <c r="WIU3" s="120"/>
      <c r="WIV3" s="120"/>
      <c r="WIW3" s="120"/>
      <c r="WIX3" s="120"/>
      <c r="WIY3" s="120"/>
      <c r="WIZ3" s="120"/>
      <c r="WJA3" s="120"/>
      <c r="WJB3" s="120"/>
      <c r="WJC3" s="120"/>
      <c r="WJD3" s="120"/>
      <c r="WJE3" s="120"/>
      <c r="WJF3" s="120"/>
      <c r="WJG3" s="120"/>
      <c r="WJH3" s="120"/>
      <c r="WJI3" s="120"/>
      <c r="WJJ3" s="120"/>
      <c r="WJK3" s="120"/>
      <c r="WJL3" s="120"/>
      <c r="WJM3" s="120"/>
      <c r="WJN3" s="120"/>
      <c r="WJO3" s="120"/>
      <c r="WJP3" s="120"/>
      <c r="WJQ3" s="120"/>
      <c r="WJR3" s="120"/>
      <c r="WJS3" s="120"/>
      <c r="WJT3" s="120"/>
      <c r="WJU3" s="120"/>
      <c r="WJV3" s="120"/>
      <c r="WJW3" s="120"/>
      <c r="WJX3" s="120"/>
      <c r="WJY3" s="120"/>
      <c r="WJZ3" s="120"/>
      <c r="WKA3" s="120"/>
      <c r="WKB3" s="120"/>
      <c r="WKC3" s="120"/>
      <c r="WKD3" s="120"/>
      <c r="WKE3" s="120"/>
      <c r="WKF3" s="120"/>
      <c r="WKG3" s="120"/>
      <c r="WKH3" s="120"/>
      <c r="WKI3" s="120"/>
      <c r="WKJ3" s="120"/>
      <c r="WKK3" s="120"/>
      <c r="WKL3" s="120"/>
      <c r="WKM3" s="120"/>
      <c r="WKN3" s="120"/>
      <c r="WKO3" s="120"/>
      <c r="WKP3" s="120"/>
      <c r="WKQ3" s="120"/>
      <c r="WKR3" s="120"/>
      <c r="WKS3" s="120"/>
      <c r="WKT3" s="120"/>
      <c r="WKU3" s="120"/>
      <c r="WKV3" s="120"/>
      <c r="WKW3" s="120"/>
      <c r="WKX3" s="120"/>
      <c r="WKY3" s="120"/>
      <c r="WKZ3" s="120"/>
      <c r="WLA3" s="120"/>
      <c r="WLB3" s="120"/>
      <c r="WLC3" s="120"/>
      <c r="WLD3" s="120"/>
      <c r="WLE3" s="120"/>
      <c r="WLF3" s="120"/>
      <c r="WLG3" s="120"/>
      <c r="WLH3" s="120"/>
      <c r="WLI3" s="120"/>
      <c r="WLJ3" s="120"/>
      <c r="WLK3" s="120"/>
      <c r="WLL3" s="120"/>
      <c r="WLM3" s="120"/>
      <c r="WLN3" s="120"/>
      <c r="WLO3" s="120"/>
      <c r="WLP3" s="120"/>
      <c r="WLQ3" s="120"/>
      <c r="WLR3" s="120"/>
      <c r="WLS3" s="120"/>
      <c r="WLT3" s="120"/>
      <c r="WLU3" s="120"/>
      <c r="WLV3" s="120"/>
      <c r="WLW3" s="120"/>
      <c r="WLX3" s="120"/>
      <c r="WLY3" s="120"/>
      <c r="WLZ3" s="120"/>
      <c r="WMA3" s="120"/>
      <c r="WMB3" s="120"/>
      <c r="WMC3" s="120"/>
      <c r="WMD3" s="120"/>
      <c r="WME3" s="120"/>
      <c r="WMF3" s="120"/>
      <c r="WMG3" s="120"/>
      <c r="WMH3" s="120"/>
      <c r="WMI3" s="120"/>
      <c r="WMJ3" s="120"/>
      <c r="WMK3" s="120"/>
      <c r="WML3" s="120"/>
      <c r="WMM3" s="120"/>
      <c r="WMN3" s="120"/>
      <c r="WMO3" s="120"/>
      <c r="WMP3" s="120"/>
      <c r="WMQ3" s="120"/>
      <c r="WMR3" s="120"/>
      <c r="WMS3" s="120"/>
      <c r="WMT3" s="120"/>
      <c r="WMU3" s="120"/>
      <c r="WMV3" s="120"/>
      <c r="WMW3" s="120"/>
      <c r="WMX3" s="120"/>
      <c r="WMY3" s="120"/>
      <c r="WMZ3" s="120"/>
      <c r="WNA3" s="120"/>
      <c r="WNB3" s="120"/>
      <c r="WNC3" s="120"/>
      <c r="WND3" s="120"/>
      <c r="WNE3" s="120"/>
      <c r="WNF3" s="120"/>
      <c r="WNG3" s="120"/>
      <c r="WNH3" s="120"/>
      <c r="WNI3" s="120"/>
      <c r="WNJ3" s="120"/>
      <c r="WNK3" s="120"/>
      <c r="WNL3" s="120"/>
      <c r="WNM3" s="120"/>
      <c r="WNN3" s="120"/>
      <c r="WNO3" s="120"/>
      <c r="WNP3" s="120"/>
      <c r="WNQ3" s="120"/>
      <c r="WNR3" s="120"/>
      <c r="WNS3" s="120"/>
      <c r="WNT3" s="120"/>
      <c r="WNU3" s="120"/>
      <c r="WNV3" s="120"/>
      <c r="WNW3" s="120"/>
      <c r="WNX3" s="120"/>
      <c r="WNY3" s="120"/>
      <c r="WNZ3" s="120"/>
      <c r="WOA3" s="120"/>
      <c r="WOB3" s="120"/>
      <c r="WOC3" s="120"/>
      <c r="WOD3" s="120"/>
      <c r="WOE3" s="120"/>
      <c r="WOF3" s="120"/>
      <c r="WOG3" s="120"/>
      <c r="WOH3" s="120"/>
      <c r="WOI3" s="120"/>
      <c r="WOJ3" s="120"/>
      <c r="WOK3" s="120"/>
      <c r="WOL3" s="120"/>
      <c r="WOM3" s="120"/>
      <c r="WON3" s="120"/>
      <c r="WOO3" s="120"/>
      <c r="WOP3" s="120"/>
      <c r="WOQ3" s="120"/>
      <c r="WOR3" s="120"/>
      <c r="WOS3" s="120"/>
      <c r="WOT3" s="120"/>
      <c r="WOU3" s="120"/>
      <c r="WOV3" s="120"/>
      <c r="WOW3" s="120"/>
      <c r="WOX3" s="120"/>
      <c r="WOY3" s="120"/>
      <c r="WOZ3" s="120"/>
      <c r="WPA3" s="120"/>
      <c r="WPB3" s="120"/>
      <c r="WPC3" s="120"/>
      <c r="WPD3" s="120"/>
      <c r="WPE3" s="120"/>
      <c r="WPF3" s="120"/>
      <c r="WPG3" s="120"/>
      <c r="WPH3" s="120"/>
      <c r="WPI3" s="120"/>
      <c r="WPJ3" s="120"/>
      <c r="WPK3" s="120"/>
      <c r="WPL3" s="120"/>
      <c r="WPM3" s="120"/>
      <c r="WPN3" s="120"/>
      <c r="WPO3" s="120"/>
      <c r="WPP3" s="120"/>
      <c r="WPQ3" s="120"/>
      <c r="WPR3" s="120"/>
      <c r="WPS3" s="120"/>
      <c r="WPT3" s="120"/>
      <c r="WPU3" s="120"/>
      <c r="WPV3" s="120"/>
      <c r="WPW3" s="120"/>
      <c r="WPX3" s="120"/>
      <c r="WPY3" s="120"/>
      <c r="WPZ3" s="120"/>
      <c r="WQA3" s="120"/>
      <c r="WQB3" s="120"/>
      <c r="WQC3" s="120"/>
      <c r="WQD3" s="120"/>
      <c r="WQE3" s="120"/>
      <c r="WQF3" s="120"/>
      <c r="WQG3" s="120"/>
      <c r="WQH3" s="120"/>
      <c r="WQI3" s="120"/>
      <c r="WQJ3" s="120"/>
      <c r="WQK3" s="120"/>
      <c r="WQL3" s="120"/>
      <c r="WQM3" s="120"/>
      <c r="WQN3" s="120"/>
      <c r="WQO3" s="120"/>
      <c r="WQP3" s="120"/>
      <c r="WQQ3" s="120"/>
      <c r="WQR3" s="120"/>
      <c r="WQS3" s="120"/>
      <c r="WQT3" s="120"/>
      <c r="WQU3" s="120"/>
      <c r="WQV3" s="120"/>
      <c r="WQW3" s="120"/>
      <c r="WQX3" s="120"/>
      <c r="WQY3" s="120"/>
      <c r="WQZ3" s="120"/>
      <c r="WRA3" s="120"/>
      <c r="WRB3" s="120"/>
      <c r="WRC3" s="120"/>
      <c r="WRD3" s="120"/>
      <c r="WRE3" s="120"/>
      <c r="WRF3" s="120"/>
      <c r="WRG3" s="120"/>
      <c r="WRH3" s="120"/>
      <c r="WRI3" s="120"/>
      <c r="WRJ3" s="120"/>
      <c r="WRK3" s="120"/>
      <c r="WRL3" s="120"/>
      <c r="WRM3" s="120"/>
      <c r="WRN3" s="120"/>
      <c r="WRO3" s="120"/>
      <c r="WRP3" s="120"/>
      <c r="WRQ3" s="120"/>
      <c r="WRR3" s="120"/>
      <c r="WRS3" s="120"/>
      <c r="WRT3" s="120"/>
      <c r="WRU3" s="120"/>
      <c r="WRV3" s="120"/>
      <c r="WRW3" s="120"/>
      <c r="WRX3" s="120"/>
      <c r="WRY3" s="120"/>
      <c r="WRZ3" s="120"/>
      <c r="WSA3" s="120"/>
      <c r="WSB3" s="120"/>
      <c r="WSC3" s="120"/>
      <c r="WSD3" s="120"/>
      <c r="WSE3" s="120"/>
      <c r="WSF3" s="120"/>
      <c r="WSG3" s="120"/>
      <c r="WSH3" s="120"/>
      <c r="WSI3" s="120"/>
      <c r="WSJ3" s="120"/>
      <c r="WSK3" s="120"/>
      <c r="WSL3" s="120"/>
      <c r="WSM3" s="120"/>
      <c r="WSN3" s="120"/>
      <c r="WSO3" s="120"/>
      <c r="WSP3" s="120"/>
      <c r="WSQ3" s="120"/>
      <c r="WSR3" s="120"/>
      <c r="WSS3" s="120"/>
      <c r="WST3" s="120"/>
      <c r="WSU3" s="120"/>
      <c r="WSV3" s="120"/>
      <c r="WSW3" s="120"/>
      <c r="WSX3" s="120"/>
      <c r="WSY3" s="120"/>
      <c r="WSZ3" s="120"/>
      <c r="WTA3" s="120"/>
      <c r="WTB3" s="120"/>
      <c r="WTC3" s="120"/>
      <c r="WTD3" s="120"/>
      <c r="WTE3" s="120"/>
      <c r="WTF3" s="120"/>
      <c r="WTG3" s="120"/>
      <c r="WTH3" s="120"/>
      <c r="WTI3" s="120"/>
      <c r="WTJ3" s="120"/>
      <c r="WTK3" s="120"/>
      <c r="WTL3" s="120"/>
      <c r="WTM3" s="120"/>
      <c r="WTN3" s="120"/>
      <c r="WTO3" s="120"/>
      <c r="WTP3" s="120"/>
      <c r="WTQ3" s="120"/>
      <c r="WTR3" s="120"/>
      <c r="WTS3" s="120"/>
      <c r="WTT3" s="120"/>
      <c r="WTU3" s="120"/>
      <c r="WTV3" s="120"/>
      <c r="WTW3" s="120"/>
      <c r="WTX3" s="120"/>
      <c r="WTY3" s="120"/>
      <c r="WTZ3" s="120"/>
      <c r="WUA3" s="120"/>
      <c r="WUB3" s="120"/>
      <c r="WUC3" s="120"/>
      <c r="WUD3" s="120"/>
      <c r="WUE3" s="120"/>
      <c r="WUF3" s="120"/>
      <c r="WUG3" s="120"/>
      <c r="WUH3" s="120"/>
      <c r="WUI3" s="120"/>
      <c r="WUJ3" s="120"/>
      <c r="WUK3" s="120"/>
      <c r="WUL3" s="120"/>
      <c r="WUM3" s="120"/>
      <c r="WUN3" s="120"/>
      <c r="WUO3" s="120"/>
      <c r="WUP3" s="120"/>
      <c r="WUQ3" s="120"/>
      <c r="WUR3" s="120"/>
      <c r="WUS3" s="120"/>
      <c r="WUT3" s="120"/>
      <c r="WUU3" s="120"/>
      <c r="WUV3" s="120"/>
      <c r="WUW3" s="120"/>
      <c r="WUX3" s="120"/>
      <c r="WUY3" s="120"/>
      <c r="WUZ3" s="120"/>
      <c r="WVA3" s="120"/>
      <c r="WVB3" s="120"/>
      <c r="WVC3" s="120"/>
      <c r="WVD3" s="120"/>
      <c r="WVE3" s="120"/>
      <c r="WVF3" s="120"/>
      <c r="WVG3" s="120"/>
      <c r="WVH3" s="120"/>
      <c r="WVI3" s="120"/>
      <c r="WVJ3" s="120"/>
      <c r="WVK3" s="120"/>
      <c r="WVL3" s="120"/>
      <c r="WVM3" s="120"/>
      <c r="WVN3" s="120"/>
      <c r="WVO3" s="120"/>
      <c r="WVP3" s="120"/>
      <c r="WVQ3" s="120"/>
      <c r="WVR3" s="120"/>
      <c r="WVS3" s="120"/>
      <c r="WVT3" s="120"/>
      <c r="WVU3" s="120"/>
      <c r="WVV3" s="120"/>
      <c r="WVW3" s="120"/>
      <c r="WVX3" s="120"/>
      <c r="WVY3" s="120"/>
      <c r="WVZ3" s="120"/>
      <c r="WWA3" s="120"/>
      <c r="WWB3" s="120"/>
      <c r="WWC3" s="120"/>
      <c r="WWD3" s="120"/>
      <c r="WWE3" s="120"/>
      <c r="WWF3" s="120"/>
      <c r="WWG3" s="120"/>
      <c r="WWH3" s="120"/>
      <c r="WWI3" s="120"/>
      <c r="WWJ3" s="120"/>
      <c r="WWK3" s="120"/>
      <c r="WWL3" s="120"/>
      <c r="WWM3" s="120"/>
      <c r="WWN3" s="120"/>
      <c r="WWO3" s="120"/>
      <c r="WWP3" s="120"/>
      <c r="WWQ3" s="120"/>
      <c r="WWR3" s="120"/>
      <c r="WWS3" s="120"/>
      <c r="WWT3" s="120"/>
      <c r="WWU3" s="120"/>
      <c r="WWV3" s="120"/>
      <c r="WWW3" s="120"/>
      <c r="WWX3" s="120"/>
      <c r="WWY3" s="120"/>
      <c r="WWZ3" s="120"/>
      <c r="WXA3" s="120"/>
      <c r="WXB3" s="120"/>
      <c r="WXC3" s="120"/>
      <c r="WXD3" s="120"/>
      <c r="WXE3" s="120"/>
      <c r="WXF3" s="120"/>
      <c r="WXG3" s="120"/>
      <c r="WXH3" s="120"/>
      <c r="WXI3" s="120"/>
      <c r="WXJ3" s="120"/>
      <c r="WXK3" s="120"/>
      <c r="WXL3" s="120"/>
      <c r="WXM3" s="120"/>
      <c r="WXN3" s="120"/>
      <c r="WXO3" s="120"/>
      <c r="WXP3" s="120"/>
      <c r="WXQ3" s="120"/>
      <c r="WXR3" s="120"/>
      <c r="WXS3" s="120"/>
      <c r="WXT3" s="120"/>
      <c r="WXU3" s="120"/>
      <c r="WXV3" s="120"/>
      <c r="WXW3" s="120"/>
      <c r="WXX3" s="120"/>
      <c r="WXY3" s="120"/>
      <c r="WXZ3" s="120"/>
      <c r="WYA3" s="120"/>
      <c r="WYB3" s="120"/>
      <c r="WYC3" s="120"/>
      <c r="WYD3" s="120"/>
      <c r="WYE3" s="120"/>
      <c r="WYF3" s="120"/>
      <c r="WYG3" s="120"/>
      <c r="WYH3" s="120"/>
      <c r="WYI3" s="120"/>
      <c r="WYJ3" s="120"/>
      <c r="WYK3" s="120"/>
      <c r="WYL3" s="120"/>
      <c r="WYM3" s="120"/>
      <c r="WYN3" s="120"/>
      <c r="WYO3" s="120"/>
      <c r="WYP3" s="120"/>
      <c r="WYQ3" s="120"/>
      <c r="WYR3" s="120"/>
      <c r="WYS3" s="120"/>
      <c r="WYT3" s="120"/>
      <c r="WYU3" s="120"/>
      <c r="WYV3" s="120"/>
      <c r="WYW3" s="120"/>
      <c r="WYX3" s="120"/>
      <c r="WYY3" s="120"/>
      <c r="WYZ3" s="120"/>
      <c r="WZA3" s="120"/>
      <c r="WZB3" s="120"/>
      <c r="WZC3" s="120"/>
      <c r="WZD3" s="120"/>
      <c r="WZE3" s="120"/>
      <c r="WZF3" s="120"/>
      <c r="WZG3" s="120"/>
      <c r="WZH3" s="120"/>
      <c r="WZI3" s="120"/>
      <c r="WZJ3" s="120"/>
      <c r="WZK3" s="120"/>
      <c r="WZL3" s="120"/>
      <c r="WZM3" s="120"/>
      <c r="WZN3" s="120"/>
      <c r="WZO3" s="120"/>
      <c r="WZP3" s="120"/>
      <c r="WZQ3" s="120"/>
      <c r="WZR3" s="120"/>
      <c r="WZS3" s="120"/>
      <c r="WZT3" s="120"/>
      <c r="WZU3" s="120"/>
      <c r="WZV3" s="120"/>
      <c r="WZW3" s="120"/>
      <c r="WZX3" s="120"/>
      <c r="WZY3" s="120"/>
      <c r="WZZ3" s="120"/>
      <c r="XAA3" s="120"/>
      <c r="XAB3" s="120"/>
      <c r="XAC3" s="120"/>
      <c r="XAD3" s="120"/>
      <c r="XAE3" s="120"/>
      <c r="XAF3" s="120"/>
      <c r="XAG3" s="120"/>
      <c r="XAH3" s="120"/>
      <c r="XAI3" s="120"/>
      <c r="XAJ3" s="120"/>
      <c r="XAK3" s="120"/>
      <c r="XAL3" s="120"/>
      <c r="XAM3" s="120"/>
      <c r="XAN3" s="120"/>
      <c r="XAO3" s="120"/>
      <c r="XAP3" s="120"/>
      <c r="XAQ3" s="120"/>
      <c r="XAR3" s="120"/>
      <c r="XAS3" s="120"/>
      <c r="XAT3" s="120"/>
      <c r="XAU3" s="120"/>
      <c r="XAV3" s="120"/>
      <c r="XAW3" s="120"/>
      <c r="XAX3" s="120"/>
      <c r="XAY3" s="120"/>
      <c r="XAZ3" s="120"/>
      <c r="XBA3" s="120"/>
      <c r="XBB3" s="120"/>
      <c r="XBC3" s="120"/>
      <c r="XBD3" s="120"/>
      <c r="XBE3" s="120"/>
      <c r="XBF3" s="120"/>
      <c r="XBG3" s="120"/>
      <c r="XBH3" s="120"/>
      <c r="XBI3" s="120"/>
      <c r="XBJ3" s="120"/>
      <c r="XBK3" s="120"/>
      <c r="XBL3" s="120"/>
      <c r="XBM3" s="120"/>
      <c r="XBN3" s="120"/>
      <c r="XBO3" s="120"/>
      <c r="XBP3" s="120"/>
      <c r="XBQ3" s="120"/>
      <c r="XBR3" s="120"/>
      <c r="XBS3" s="120"/>
      <c r="XBT3" s="120"/>
      <c r="XBU3" s="120"/>
      <c r="XBV3" s="120"/>
      <c r="XBW3" s="120"/>
      <c r="XBX3" s="120"/>
      <c r="XBY3" s="120"/>
      <c r="XBZ3" s="120"/>
      <c r="XCA3" s="120"/>
      <c r="XCB3" s="120"/>
      <c r="XCC3" s="120"/>
      <c r="XCD3" s="120"/>
      <c r="XCE3" s="120"/>
      <c r="XCF3" s="120"/>
      <c r="XCG3" s="120"/>
      <c r="XCH3" s="120"/>
      <c r="XCI3" s="120"/>
      <c r="XCJ3" s="120"/>
      <c r="XCK3" s="120"/>
      <c r="XCL3" s="120"/>
      <c r="XCM3" s="120"/>
      <c r="XCN3" s="120"/>
      <c r="XCO3" s="120"/>
      <c r="XCP3" s="120"/>
      <c r="XCQ3" s="120"/>
      <c r="XCR3" s="120"/>
      <c r="XCS3" s="120"/>
      <c r="XCT3" s="120"/>
      <c r="XCU3" s="120"/>
      <c r="XCV3" s="120"/>
      <c r="XCW3" s="120"/>
      <c r="XCX3" s="120"/>
      <c r="XCY3" s="120"/>
      <c r="XCZ3" s="120"/>
      <c r="XDA3" s="120"/>
      <c r="XDB3" s="120"/>
      <c r="XDC3" s="120"/>
      <c r="XDD3" s="120"/>
      <c r="XDE3" s="120"/>
      <c r="XDF3" s="120"/>
      <c r="XDG3" s="120"/>
      <c r="XDH3" s="120"/>
      <c r="XDI3" s="120"/>
      <c r="XDJ3" s="120"/>
      <c r="XDK3" s="120"/>
      <c r="XDL3" s="120"/>
      <c r="XDM3" s="120"/>
      <c r="XDN3" s="120"/>
      <c r="XDO3" s="120"/>
      <c r="XDP3" s="120"/>
      <c r="XDQ3" s="120"/>
      <c r="XDR3" s="120"/>
      <c r="XDS3" s="120"/>
      <c r="XDT3" s="120"/>
      <c r="XDU3" s="120"/>
      <c r="XDV3" s="120"/>
      <c r="XDW3" s="120"/>
      <c r="XDX3" s="120"/>
      <c r="XDY3" s="120"/>
      <c r="XDZ3" s="120"/>
      <c r="XEA3" s="120"/>
      <c r="XEB3" s="120"/>
      <c r="XEC3" s="120"/>
      <c r="XED3" s="120"/>
      <c r="XEE3" s="120"/>
      <c r="XEF3" s="120"/>
      <c r="XEG3" s="120"/>
      <c r="XEH3" s="120"/>
      <c r="XEI3" s="120"/>
      <c r="XEJ3" s="120"/>
      <c r="XEK3" s="120"/>
      <c r="XEL3" s="120"/>
      <c r="XEM3" s="120"/>
      <c r="XEN3" s="120"/>
      <c r="XEO3" s="120"/>
      <c r="XEP3" s="120"/>
      <c r="XEQ3" s="120"/>
      <c r="XER3" s="120"/>
      <c r="XES3" s="120"/>
      <c r="XET3" s="120"/>
      <c r="XEU3" s="120"/>
      <c r="XEV3" s="120"/>
      <c r="XEW3" s="120"/>
      <c r="XEX3" s="120"/>
      <c r="XEY3" s="120"/>
      <c r="XEZ3" s="120"/>
      <c r="XFA3" s="120"/>
      <c r="XFB3" s="120"/>
      <c r="XFC3" s="120"/>
      <c r="XFD3" s="120"/>
    </row>
    <row r="4" spans="1:16384" ht="19.5" customHeight="1">
      <c r="D4" s="8"/>
      <c r="E4" s="9"/>
      <c r="F4" s="9"/>
      <c r="G4" s="10"/>
      <c r="H4" s="10"/>
      <c r="I4" s="10"/>
      <c r="J4" s="10"/>
      <c r="K4" s="10"/>
      <c r="L4" s="10"/>
    </row>
    <row r="5" spans="1:16384" ht="28.5" customHeight="1">
      <c r="C5" s="16" t="s">
        <v>10</v>
      </c>
      <c r="E5" s="16" t="s">
        <v>16</v>
      </c>
    </row>
    <row r="6" spans="1:16384" ht="69.75" customHeight="1">
      <c r="C6" s="33" t="s">
        <v>12</v>
      </c>
      <c r="D6" s="17"/>
      <c r="E6" s="33" t="s">
        <v>17</v>
      </c>
      <c r="F6" s="18"/>
    </row>
    <row r="7" spans="1:16384" ht="7.5" customHeight="1"/>
    <row r="8" spans="1:16384" ht="28.5" customHeight="1">
      <c r="C8" s="16" t="s">
        <v>11</v>
      </c>
      <c r="D8" s="17"/>
      <c r="E8" s="16" t="s">
        <v>23</v>
      </c>
    </row>
    <row r="9" spans="1:16384" ht="69.75" customHeight="1">
      <c r="C9" s="33" t="s">
        <v>13</v>
      </c>
      <c r="E9" s="33" t="s">
        <v>24</v>
      </c>
    </row>
    <row r="10" spans="1:16384" ht="7.5" customHeight="1"/>
    <row r="11" spans="1:16384" ht="28.5" customHeight="1">
      <c r="C11" s="16" t="s">
        <v>14</v>
      </c>
      <c r="E11" s="16" t="s">
        <v>18</v>
      </c>
    </row>
    <row r="12" spans="1:16384" ht="69.75" customHeight="1">
      <c r="C12" s="33" t="s">
        <v>15</v>
      </c>
      <c r="E12" s="33" t="s">
        <v>19</v>
      </c>
    </row>
  </sheetData>
  <mergeCells count="2">
    <mergeCell ref="C1:D1"/>
    <mergeCell ref="E1:F1"/>
  </mergeCells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Planilha27"/>
  <dimension ref="A1:XFD14"/>
  <sheetViews>
    <sheetView showGridLines="0" zoomScale="90" zoomScaleNormal="90" zoomScalePageLayoutView="80" workbookViewId="0">
      <pane ySplit="2" topLeftCell="A3" activePane="bottomLeft" state="frozen"/>
      <selection activeCell="E5" sqref="E5"/>
      <selection pane="bottomLeft" activeCell="C3" sqref="C3"/>
    </sheetView>
  </sheetViews>
  <sheetFormatPr defaultColWidth="11" defaultRowHeight="15.75"/>
  <cols>
    <col min="1" max="1" width="2.125" style="6" customWidth="1"/>
    <col min="2" max="2" width="1.375" style="6" customWidth="1"/>
    <col min="3" max="3" width="6.875" style="6" customWidth="1"/>
    <col min="4" max="4" width="63.125" style="6" customWidth="1"/>
    <col min="5" max="5" width="15.375" style="6" customWidth="1"/>
    <col min="6" max="10" width="27.375" style="6" customWidth="1"/>
    <col min="11" max="11" width="11" style="6" customWidth="1"/>
    <col min="12" max="14" width="11" style="6"/>
    <col min="15" max="15" width="11" style="6" customWidth="1"/>
    <col min="16" max="19" width="11" style="6"/>
    <col min="20" max="20" width="5.125" style="6" customWidth="1"/>
    <col min="21" max="16384" width="11" style="6"/>
  </cols>
  <sheetData>
    <row r="1" spans="1:16384" s="1" customFormat="1" ht="39" customHeight="1">
      <c r="A1" s="27"/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7"/>
    </row>
    <row r="2" spans="1:16384" s="2" customFormat="1" ht="30" customHeight="1">
      <c r="D2" s="3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</row>
    <row r="3" spans="1:16384" customFormat="1" ht="44.25" customHeight="1">
      <c r="A3" s="119"/>
      <c r="B3" s="120"/>
      <c r="C3" s="121"/>
      <c r="D3" s="120"/>
      <c r="E3" s="122"/>
      <c r="F3" s="122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0"/>
      <c r="CO3" s="120"/>
      <c r="CP3" s="120"/>
      <c r="CQ3" s="120"/>
      <c r="CR3" s="120"/>
      <c r="CS3" s="120"/>
      <c r="CT3" s="120"/>
      <c r="CU3" s="120"/>
      <c r="CV3" s="120"/>
      <c r="CW3" s="120"/>
      <c r="CX3" s="120"/>
      <c r="CY3" s="120"/>
      <c r="CZ3" s="120"/>
      <c r="DA3" s="120"/>
      <c r="DB3" s="120"/>
      <c r="DC3" s="120"/>
      <c r="DD3" s="120"/>
      <c r="DE3" s="120"/>
      <c r="DF3" s="120"/>
      <c r="DG3" s="120"/>
      <c r="DH3" s="120"/>
      <c r="DI3" s="120"/>
      <c r="DJ3" s="120"/>
      <c r="DK3" s="120"/>
      <c r="DL3" s="120"/>
      <c r="DM3" s="120"/>
      <c r="DN3" s="120"/>
      <c r="DO3" s="120"/>
      <c r="DP3" s="120"/>
      <c r="DQ3" s="120"/>
      <c r="DR3" s="120"/>
      <c r="DS3" s="120"/>
      <c r="DT3" s="120"/>
      <c r="DU3" s="120"/>
      <c r="DV3" s="120"/>
      <c r="DW3" s="120"/>
      <c r="DX3" s="120"/>
      <c r="DY3" s="120"/>
      <c r="DZ3" s="120"/>
      <c r="EA3" s="120"/>
      <c r="EB3" s="120"/>
      <c r="EC3" s="120"/>
      <c r="ED3" s="120"/>
      <c r="EE3" s="120"/>
      <c r="EF3" s="120"/>
      <c r="EG3" s="120"/>
      <c r="EH3" s="120"/>
      <c r="EI3" s="120"/>
      <c r="EJ3" s="120"/>
      <c r="EK3" s="120"/>
      <c r="EL3" s="120"/>
      <c r="EM3" s="120"/>
      <c r="EN3" s="120"/>
      <c r="EO3" s="120"/>
      <c r="EP3" s="120"/>
      <c r="EQ3" s="120"/>
      <c r="ER3" s="120"/>
      <c r="ES3" s="120"/>
      <c r="ET3" s="120"/>
      <c r="EU3" s="120"/>
      <c r="EV3" s="120"/>
      <c r="EW3" s="120"/>
      <c r="EX3" s="120"/>
      <c r="EY3" s="120"/>
      <c r="EZ3" s="120"/>
      <c r="FA3" s="120"/>
      <c r="FB3" s="120"/>
      <c r="FC3" s="120"/>
      <c r="FD3" s="120"/>
      <c r="FE3" s="120"/>
      <c r="FF3" s="120"/>
      <c r="FG3" s="120"/>
      <c r="FH3" s="120"/>
      <c r="FI3" s="120"/>
      <c r="FJ3" s="120"/>
      <c r="FK3" s="120"/>
      <c r="FL3" s="120"/>
      <c r="FM3" s="120"/>
      <c r="FN3" s="120"/>
      <c r="FO3" s="120"/>
      <c r="FP3" s="120"/>
      <c r="FQ3" s="120"/>
      <c r="FR3" s="120"/>
      <c r="FS3" s="120"/>
      <c r="FT3" s="120"/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0"/>
      <c r="GJ3" s="120"/>
      <c r="GK3" s="120"/>
      <c r="GL3" s="120"/>
      <c r="GM3" s="120"/>
      <c r="GN3" s="120"/>
      <c r="GO3" s="120"/>
      <c r="GP3" s="120"/>
      <c r="GQ3" s="120"/>
      <c r="GR3" s="120"/>
      <c r="GS3" s="120"/>
      <c r="GT3" s="120"/>
      <c r="GU3" s="120"/>
      <c r="GV3" s="120"/>
      <c r="GW3" s="120"/>
      <c r="GX3" s="120"/>
      <c r="GY3" s="120"/>
      <c r="GZ3" s="120"/>
      <c r="HA3" s="120"/>
      <c r="HB3" s="120"/>
      <c r="HC3" s="120"/>
      <c r="HD3" s="120"/>
      <c r="HE3" s="120"/>
      <c r="HF3" s="120"/>
      <c r="HG3" s="120"/>
      <c r="HH3" s="120"/>
      <c r="HI3" s="120"/>
      <c r="HJ3" s="120"/>
      <c r="HK3" s="120"/>
      <c r="HL3" s="120"/>
      <c r="HM3" s="120"/>
      <c r="HN3" s="120"/>
      <c r="HO3" s="120"/>
      <c r="HP3" s="120"/>
      <c r="HQ3" s="120"/>
      <c r="HR3" s="120"/>
      <c r="HS3" s="120"/>
      <c r="HT3" s="120"/>
      <c r="HU3" s="120"/>
      <c r="HV3" s="120"/>
      <c r="HW3" s="120"/>
      <c r="HX3" s="120"/>
      <c r="HY3" s="120"/>
      <c r="HZ3" s="120"/>
      <c r="IA3" s="120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P3" s="120"/>
      <c r="IQ3" s="120"/>
      <c r="IR3" s="120"/>
      <c r="IS3" s="120"/>
      <c r="IT3" s="120"/>
      <c r="IU3" s="120"/>
      <c r="IV3" s="120"/>
      <c r="IW3" s="120"/>
      <c r="IX3" s="120"/>
      <c r="IY3" s="120"/>
      <c r="IZ3" s="120"/>
      <c r="JA3" s="120"/>
      <c r="JB3" s="120"/>
      <c r="JC3" s="120"/>
      <c r="JD3" s="120"/>
      <c r="JE3" s="120"/>
      <c r="JF3" s="120"/>
      <c r="JG3" s="120"/>
      <c r="JH3" s="120"/>
      <c r="JI3" s="120"/>
      <c r="JJ3" s="120"/>
      <c r="JK3" s="120"/>
      <c r="JL3" s="120"/>
      <c r="JM3" s="120"/>
      <c r="JN3" s="120"/>
      <c r="JO3" s="120"/>
      <c r="JP3" s="120"/>
      <c r="JQ3" s="120"/>
      <c r="JR3" s="120"/>
      <c r="JS3" s="120"/>
      <c r="JT3" s="120"/>
      <c r="JU3" s="120"/>
      <c r="JV3" s="120"/>
      <c r="JW3" s="120"/>
      <c r="JX3" s="120"/>
      <c r="JY3" s="120"/>
      <c r="JZ3" s="120"/>
      <c r="KA3" s="120"/>
      <c r="KB3" s="120"/>
      <c r="KC3" s="120"/>
      <c r="KD3" s="120"/>
      <c r="KE3" s="120"/>
      <c r="KF3" s="120"/>
      <c r="KG3" s="120"/>
      <c r="KH3" s="120"/>
      <c r="KI3" s="120"/>
      <c r="KJ3" s="120"/>
      <c r="KK3" s="120"/>
      <c r="KL3" s="120"/>
      <c r="KM3" s="120"/>
      <c r="KN3" s="120"/>
      <c r="KO3" s="120"/>
      <c r="KP3" s="120"/>
      <c r="KQ3" s="120"/>
      <c r="KR3" s="120"/>
      <c r="KS3" s="120"/>
      <c r="KT3" s="120"/>
      <c r="KU3" s="120"/>
      <c r="KV3" s="120"/>
      <c r="KW3" s="120"/>
      <c r="KX3" s="120"/>
      <c r="KY3" s="120"/>
      <c r="KZ3" s="120"/>
      <c r="LA3" s="120"/>
      <c r="LB3" s="120"/>
      <c r="LC3" s="120"/>
      <c r="LD3" s="120"/>
      <c r="LE3" s="120"/>
      <c r="LF3" s="120"/>
      <c r="LG3" s="120"/>
      <c r="LH3" s="120"/>
      <c r="LI3" s="120"/>
      <c r="LJ3" s="120"/>
      <c r="LK3" s="120"/>
      <c r="LL3" s="120"/>
      <c r="LM3" s="120"/>
      <c r="LN3" s="120"/>
      <c r="LO3" s="120"/>
      <c r="LP3" s="120"/>
      <c r="LQ3" s="120"/>
      <c r="LR3" s="120"/>
      <c r="LS3" s="120"/>
      <c r="LT3" s="120"/>
      <c r="LU3" s="120"/>
      <c r="LV3" s="120"/>
      <c r="LW3" s="120"/>
      <c r="LX3" s="120"/>
      <c r="LY3" s="120"/>
      <c r="LZ3" s="120"/>
      <c r="MA3" s="120"/>
      <c r="MB3" s="120"/>
      <c r="MC3" s="120"/>
      <c r="MD3" s="120"/>
      <c r="ME3" s="120"/>
      <c r="MF3" s="120"/>
      <c r="MG3" s="120"/>
      <c r="MH3" s="120"/>
      <c r="MI3" s="120"/>
      <c r="MJ3" s="120"/>
      <c r="MK3" s="120"/>
      <c r="ML3" s="120"/>
      <c r="MM3" s="120"/>
      <c r="MN3" s="120"/>
      <c r="MO3" s="120"/>
      <c r="MP3" s="120"/>
      <c r="MQ3" s="120"/>
      <c r="MR3" s="120"/>
      <c r="MS3" s="120"/>
      <c r="MT3" s="120"/>
      <c r="MU3" s="120"/>
      <c r="MV3" s="120"/>
      <c r="MW3" s="120"/>
      <c r="MX3" s="120"/>
      <c r="MY3" s="120"/>
      <c r="MZ3" s="120"/>
      <c r="NA3" s="120"/>
      <c r="NB3" s="120"/>
      <c r="NC3" s="120"/>
      <c r="ND3" s="120"/>
      <c r="NE3" s="120"/>
      <c r="NF3" s="120"/>
      <c r="NG3" s="120"/>
      <c r="NH3" s="120"/>
      <c r="NI3" s="120"/>
      <c r="NJ3" s="120"/>
      <c r="NK3" s="120"/>
      <c r="NL3" s="120"/>
      <c r="NM3" s="120"/>
      <c r="NN3" s="120"/>
      <c r="NO3" s="120"/>
      <c r="NP3" s="120"/>
      <c r="NQ3" s="120"/>
      <c r="NR3" s="120"/>
      <c r="NS3" s="120"/>
      <c r="NT3" s="120"/>
      <c r="NU3" s="120"/>
      <c r="NV3" s="120"/>
      <c r="NW3" s="120"/>
      <c r="NX3" s="120"/>
      <c r="NY3" s="120"/>
      <c r="NZ3" s="120"/>
      <c r="OA3" s="120"/>
      <c r="OB3" s="120"/>
      <c r="OC3" s="120"/>
      <c r="OD3" s="120"/>
      <c r="OE3" s="120"/>
      <c r="OF3" s="120"/>
      <c r="OG3" s="120"/>
      <c r="OH3" s="120"/>
      <c r="OI3" s="120"/>
      <c r="OJ3" s="120"/>
      <c r="OK3" s="120"/>
      <c r="OL3" s="120"/>
      <c r="OM3" s="120"/>
      <c r="ON3" s="120"/>
      <c r="OO3" s="120"/>
      <c r="OP3" s="120"/>
      <c r="OQ3" s="120"/>
      <c r="OR3" s="120"/>
      <c r="OS3" s="120"/>
      <c r="OT3" s="120"/>
      <c r="OU3" s="120"/>
      <c r="OV3" s="120"/>
      <c r="OW3" s="120"/>
      <c r="OX3" s="120"/>
      <c r="OY3" s="120"/>
      <c r="OZ3" s="120"/>
      <c r="PA3" s="120"/>
      <c r="PB3" s="120"/>
      <c r="PC3" s="120"/>
      <c r="PD3" s="120"/>
      <c r="PE3" s="120"/>
      <c r="PF3" s="120"/>
      <c r="PG3" s="120"/>
      <c r="PH3" s="120"/>
      <c r="PI3" s="120"/>
      <c r="PJ3" s="120"/>
      <c r="PK3" s="120"/>
      <c r="PL3" s="120"/>
      <c r="PM3" s="120"/>
      <c r="PN3" s="120"/>
      <c r="PO3" s="120"/>
      <c r="PP3" s="120"/>
      <c r="PQ3" s="120"/>
      <c r="PR3" s="120"/>
      <c r="PS3" s="120"/>
      <c r="PT3" s="120"/>
      <c r="PU3" s="120"/>
      <c r="PV3" s="120"/>
      <c r="PW3" s="120"/>
      <c r="PX3" s="120"/>
      <c r="PY3" s="120"/>
      <c r="PZ3" s="120"/>
      <c r="QA3" s="120"/>
      <c r="QB3" s="120"/>
      <c r="QC3" s="120"/>
      <c r="QD3" s="120"/>
      <c r="QE3" s="120"/>
      <c r="QF3" s="120"/>
      <c r="QG3" s="120"/>
      <c r="QH3" s="120"/>
      <c r="QI3" s="120"/>
      <c r="QJ3" s="120"/>
      <c r="QK3" s="120"/>
      <c r="QL3" s="120"/>
      <c r="QM3" s="120"/>
      <c r="QN3" s="120"/>
      <c r="QO3" s="120"/>
      <c r="QP3" s="120"/>
      <c r="QQ3" s="120"/>
      <c r="QR3" s="120"/>
      <c r="QS3" s="120"/>
      <c r="QT3" s="120"/>
      <c r="QU3" s="120"/>
      <c r="QV3" s="120"/>
      <c r="QW3" s="120"/>
      <c r="QX3" s="120"/>
      <c r="QY3" s="120"/>
      <c r="QZ3" s="120"/>
      <c r="RA3" s="120"/>
      <c r="RB3" s="120"/>
      <c r="RC3" s="120"/>
      <c r="RD3" s="120"/>
      <c r="RE3" s="120"/>
      <c r="RF3" s="120"/>
      <c r="RG3" s="120"/>
      <c r="RH3" s="120"/>
      <c r="RI3" s="120"/>
      <c r="RJ3" s="120"/>
      <c r="RK3" s="120"/>
      <c r="RL3" s="120"/>
      <c r="RM3" s="120"/>
      <c r="RN3" s="120"/>
      <c r="RO3" s="120"/>
      <c r="RP3" s="120"/>
      <c r="RQ3" s="120"/>
      <c r="RR3" s="120"/>
      <c r="RS3" s="120"/>
      <c r="RT3" s="120"/>
      <c r="RU3" s="120"/>
      <c r="RV3" s="120"/>
      <c r="RW3" s="120"/>
      <c r="RX3" s="120"/>
      <c r="RY3" s="120"/>
      <c r="RZ3" s="120"/>
      <c r="SA3" s="120"/>
      <c r="SB3" s="120"/>
      <c r="SC3" s="120"/>
      <c r="SD3" s="120"/>
      <c r="SE3" s="120"/>
      <c r="SF3" s="120"/>
      <c r="SG3" s="120"/>
      <c r="SH3" s="120"/>
      <c r="SI3" s="120"/>
      <c r="SJ3" s="120"/>
      <c r="SK3" s="120"/>
      <c r="SL3" s="120"/>
      <c r="SM3" s="120"/>
      <c r="SN3" s="120"/>
      <c r="SO3" s="120"/>
      <c r="SP3" s="120"/>
      <c r="SQ3" s="120"/>
      <c r="SR3" s="120"/>
      <c r="SS3" s="120"/>
      <c r="ST3" s="120"/>
      <c r="SU3" s="120"/>
      <c r="SV3" s="120"/>
      <c r="SW3" s="120"/>
      <c r="SX3" s="120"/>
      <c r="SY3" s="120"/>
      <c r="SZ3" s="120"/>
      <c r="TA3" s="120"/>
      <c r="TB3" s="120"/>
      <c r="TC3" s="120"/>
      <c r="TD3" s="120"/>
      <c r="TE3" s="120"/>
      <c r="TF3" s="120"/>
      <c r="TG3" s="120"/>
      <c r="TH3" s="120"/>
      <c r="TI3" s="120"/>
      <c r="TJ3" s="120"/>
      <c r="TK3" s="120"/>
      <c r="TL3" s="120"/>
      <c r="TM3" s="120"/>
      <c r="TN3" s="120"/>
      <c r="TO3" s="120"/>
      <c r="TP3" s="120"/>
      <c r="TQ3" s="120"/>
      <c r="TR3" s="120"/>
      <c r="TS3" s="120"/>
      <c r="TT3" s="120"/>
      <c r="TU3" s="120"/>
      <c r="TV3" s="120"/>
      <c r="TW3" s="120"/>
      <c r="TX3" s="120"/>
      <c r="TY3" s="120"/>
      <c r="TZ3" s="120"/>
      <c r="UA3" s="120"/>
      <c r="UB3" s="120"/>
      <c r="UC3" s="120"/>
      <c r="UD3" s="120"/>
      <c r="UE3" s="120"/>
      <c r="UF3" s="120"/>
      <c r="UG3" s="120"/>
      <c r="UH3" s="120"/>
      <c r="UI3" s="120"/>
      <c r="UJ3" s="120"/>
      <c r="UK3" s="120"/>
      <c r="UL3" s="120"/>
      <c r="UM3" s="120"/>
      <c r="UN3" s="120"/>
      <c r="UO3" s="120"/>
      <c r="UP3" s="120"/>
      <c r="UQ3" s="120"/>
      <c r="UR3" s="120"/>
      <c r="US3" s="120"/>
      <c r="UT3" s="120"/>
      <c r="UU3" s="120"/>
      <c r="UV3" s="120"/>
      <c r="UW3" s="120"/>
      <c r="UX3" s="120"/>
      <c r="UY3" s="120"/>
      <c r="UZ3" s="120"/>
      <c r="VA3" s="120"/>
      <c r="VB3" s="120"/>
      <c r="VC3" s="120"/>
      <c r="VD3" s="120"/>
      <c r="VE3" s="120"/>
      <c r="VF3" s="120"/>
      <c r="VG3" s="120"/>
      <c r="VH3" s="120"/>
      <c r="VI3" s="120"/>
      <c r="VJ3" s="120"/>
      <c r="VK3" s="120"/>
      <c r="VL3" s="120"/>
      <c r="VM3" s="120"/>
      <c r="VN3" s="120"/>
      <c r="VO3" s="120"/>
      <c r="VP3" s="120"/>
      <c r="VQ3" s="120"/>
      <c r="VR3" s="120"/>
      <c r="VS3" s="120"/>
      <c r="VT3" s="120"/>
      <c r="VU3" s="120"/>
      <c r="VV3" s="120"/>
      <c r="VW3" s="120"/>
      <c r="VX3" s="120"/>
      <c r="VY3" s="120"/>
      <c r="VZ3" s="120"/>
      <c r="WA3" s="120"/>
      <c r="WB3" s="120"/>
      <c r="WC3" s="120"/>
      <c r="WD3" s="120"/>
      <c r="WE3" s="120"/>
      <c r="WF3" s="120"/>
      <c r="WG3" s="120"/>
      <c r="WH3" s="120"/>
      <c r="WI3" s="120"/>
      <c r="WJ3" s="120"/>
      <c r="WK3" s="120"/>
      <c r="WL3" s="120"/>
      <c r="WM3" s="120"/>
      <c r="WN3" s="120"/>
      <c r="WO3" s="120"/>
      <c r="WP3" s="120"/>
      <c r="WQ3" s="120"/>
      <c r="WR3" s="120"/>
      <c r="WS3" s="120"/>
      <c r="WT3" s="120"/>
      <c r="WU3" s="120"/>
      <c r="WV3" s="120"/>
      <c r="WW3" s="120"/>
      <c r="WX3" s="120"/>
      <c r="WY3" s="120"/>
      <c r="WZ3" s="120"/>
      <c r="XA3" s="120"/>
      <c r="XB3" s="120"/>
      <c r="XC3" s="120"/>
      <c r="XD3" s="120"/>
      <c r="XE3" s="120"/>
      <c r="XF3" s="120"/>
      <c r="XG3" s="120"/>
      <c r="XH3" s="120"/>
      <c r="XI3" s="120"/>
      <c r="XJ3" s="120"/>
      <c r="XK3" s="120"/>
      <c r="XL3" s="120"/>
      <c r="XM3" s="120"/>
      <c r="XN3" s="120"/>
      <c r="XO3" s="120"/>
      <c r="XP3" s="120"/>
      <c r="XQ3" s="120"/>
      <c r="XR3" s="120"/>
      <c r="XS3" s="120"/>
      <c r="XT3" s="120"/>
      <c r="XU3" s="120"/>
      <c r="XV3" s="120"/>
      <c r="XW3" s="120"/>
      <c r="XX3" s="120"/>
      <c r="XY3" s="120"/>
      <c r="XZ3" s="120"/>
      <c r="YA3" s="120"/>
      <c r="YB3" s="120"/>
      <c r="YC3" s="120"/>
      <c r="YD3" s="120"/>
      <c r="YE3" s="120"/>
      <c r="YF3" s="120"/>
      <c r="YG3" s="120"/>
      <c r="YH3" s="120"/>
      <c r="YI3" s="120"/>
      <c r="YJ3" s="120"/>
      <c r="YK3" s="120"/>
      <c r="YL3" s="120"/>
      <c r="YM3" s="120"/>
      <c r="YN3" s="120"/>
      <c r="YO3" s="120"/>
      <c r="YP3" s="120"/>
      <c r="YQ3" s="120"/>
      <c r="YR3" s="120"/>
      <c r="YS3" s="120"/>
      <c r="YT3" s="120"/>
      <c r="YU3" s="120"/>
      <c r="YV3" s="120"/>
      <c r="YW3" s="120"/>
      <c r="YX3" s="120"/>
      <c r="YY3" s="120"/>
      <c r="YZ3" s="120"/>
      <c r="ZA3" s="120"/>
      <c r="ZB3" s="120"/>
      <c r="ZC3" s="120"/>
      <c r="ZD3" s="120"/>
      <c r="ZE3" s="120"/>
      <c r="ZF3" s="120"/>
      <c r="ZG3" s="120"/>
      <c r="ZH3" s="120"/>
      <c r="ZI3" s="120"/>
      <c r="ZJ3" s="120"/>
      <c r="ZK3" s="120"/>
      <c r="ZL3" s="120"/>
      <c r="ZM3" s="120"/>
      <c r="ZN3" s="120"/>
      <c r="ZO3" s="120"/>
      <c r="ZP3" s="120"/>
      <c r="ZQ3" s="120"/>
      <c r="ZR3" s="120"/>
      <c r="ZS3" s="120"/>
      <c r="ZT3" s="120"/>
      <c r="ZU3" s="120"/>
      <c r="ZV3" s="120"/>
      <c r="ZW3" s="120"/>
      <c r="ZX3" s="120"/>
      <c r="ZY3" s="120"/>
      <c r="ZZ3" s="120"/>
      <c r="AAA3" s="120"/>
      <c r="AAB3" s="120"/>
      <c r="AAC3" s="120"/>
      <c r="AAD3" s="120"/>
      <c r="AAE3" s="120"/>
      <c r="AAF3" s="120"/>
      <c r="AAG3" s="120"/>
      <c r="AAH3" s="120"/>
      <c r="AAI3" s="120"/>
      <c r="AAJ3" s="120"/>
      <c r="AAK3" s="120"/>
      <c r="AAL3" s="120"/>
      <c r="AAM3" s="120"/>
      <c r="AAN3" s="120"/>
      <c r="AAO3" s="120"/>
      <c r="AAP3" s="120"/>
      <c r="AAQ3" s="120"/>
      <c r="AAR3" s="120"/>
      <c r="AAS3" s="120"/>
      <c r="AAT3" s="120"/>
      <c r="AAU3" s="120"/>
      <c r="AAV3" s="120"/>
      <c r="AAW3" s="120"/>
      <c r="AAX3" s="120"/>
      <c r="AAY3" s="120"/>
      <c r="AAZ3" s="120"/>
      <c r="ABA3" s="120"/>
      <c r="ABB3" s="120"/>
      <c r="ABC3" s="120"/>
      <c r="ABD3" s="120"/>
      <c r="ABE3" s="120"/>
      <c r="ABF3" s="120"/>
      <c r="ABG3" s="120"/>
      <c r="ABH3" s="120"/>
      <c r="ABI3" s="120"/>
      <c r="ABJ3" s="120"/>
      <c r="ABK3" s="120"/>
      <c r="ABL3" s="120"/>
      <c r="ABM3" s="120"/>
      <c r="ABN3" s="120"/>
      <c r="ABO3" s="120"/>
      <c r="ABP3" s="120"/>
      <c r="ABQ3" s="120"/>
      <c r="ABR3" s="120"/>
      <c r="ABS3" s="120"/>
      <c r="ABT3" s="120"/>
      <c r="ABU3" s="120"/>
      <c r="ABV3" s="120"/>
      <c r="ABW3" s="120"/>
      <c r="ABX3" s="120"/>
      <c r="ABY3" s="120"/>
      <c r="ABZ3" s="120"/>
      <c r="ACA3" s="120"/>
      <c r="ACB3" s="120"/>
      <c r="ACC3" s="120"/>
      <c r="ACD3" s="120"/>
      <c r="ACE3" s="120"/>
      <c r="ACF3" s="120"/>
      <c r="ACG3" s="120"/>
      <c r="ACH3" s="120"/>
      <c r="ACI3" s="120"/>
      <c r="ACJ3" s="120"/>
      <c r="ACK3" s="120"/>
      <c r="ACL3" s="120"/>
      <c r="ACM3" s="120"/>
      <c r="ACN3" s="120"/>
      <c r="ACO3" s="120"/>
      <c r="ACP3" s="120"/>
      <c r="ACQ3" s="120"/>
      <c r="ACR3" s="120"/>
      <c r="ACS3" s="120"/>
      <c r="ACT3" s="120"/>
      <c r="ACU3" s="120"/>
      <c r="ACV3" s="120"/>
      <c r="ACW3" s="120"/>
      <c r="ACX3" s="120"/>
      <c r="ACY3" s="120"/>
      <c r="ACZ3" s="120"/>
      <c r="ADA3" s="120"/>
      <c r="ADB3" s="120"/>
      <c r="ADC3" s="120"/>
      <c r="ADD3" s="120"/>
      <c r="ADE3" s="120"/>
      <c r="ADF3" s="120"/>
      <c r="ADG3" s="120"/>
      <c r="ADH3" s="120"/>
      <c r="ADI3" s="120"/>
      <c r="ADJ3" s="120"/>
      <c r="ADK3" s="120"/>
      <c r="ADL3" s="120"/>
      <c r="ADM3" s="120"/>
      <c r="ADN3" s="120"/>
      <c r="ADO3" s="120"/>
      <c r="ADP3" s="120"/>
      <c r="ADQ3" s="120"/>
      <c r="ADR3" s="120"/>
      <c r="ADS3" s="120"/>
      <c r="ADT3" s="120"/>
      <c r="ADU3" s="120"/>
      <c r="ADV3" s="120"/>
      <c r="ADW3" s="120"/>
      <c r="ADX3" s="120"/>
      <c r="ADY3" s="120"/>
      <c r="ADZ3" s="120"/>
      <c r="AEA3" s="120"/>
      <c r="AEB3" s="120"/>
      <c r="AEC3" s="120"/>
      <c r="AED3" s="120"/>
      <c r="AEE3" s="120"/>
      <c r="AEF3" s="120"/>
      <c r="AEG3" s="120"/>
      <c r="AEH3" s="120"/>
      <c r="AEI3" s="120"/>
      <c r="AEJ3" s="120"/>
      <c r="AEK3" s="120"/>
      <c r="AEL3" s="120"/>
      <c r="AEM3" s="120"/>
      <c r="AEN3" s="120"/>
      <c r="AEO3" s="120"/>
      <c r="AEP3" s="120"/>
      <c r="AEQ3" s="120"/>
      <c r="AER3" s="120"/>
      <c r="AES3" s="120"/>
      <c r="AET3" s="120"/>
      <c r="AEU3" s="120"/>
      <c r="AEV3" s="120"/>
      <c r="AEW3" s="120"/>
      <c r="AEX3" s="120"/>
      <c r="AEY3" s="120"/>
      <c r="AEZ3" s="120"/>
      <c r="AFA3" s="120"/>
      <c r="AFB3" s="120"/>
      <c r="AFC3" s="120"/>
      <c r="AFD3" s="120"/>
      <c r="AFE3" s="120"/>
      <c r="AFF3" s="120"/>
      <c r="AFG3" s="120"/>
      <c r="AFH3" s="120"/>
      <c r="AFI3" s="120"/>
      <c r="AFJ3" s="120"/>
      <c r="AFK3" s="120"/>
      <c r="AFL3" s="120"/>
      <c r="AFM3" s="120"/>
      <c r="AFN3" s="120"/>
      <c r="AFO3" s="120"/>
      <c r="AFP3" s="120"/>
      <c r="AFQ3" s="120"/>
      <c r="AFR3" s="120"/>
      <c r="AFS3" s="120"/>
      <c r="AFT3" s="120"/>
      <c r="AFU3" s="120"/>
      <c r="AFV3" s="120"/>
      <c r="AFW3" s="120"/>
      <c r="AFX3" s="120"/>
      <c r="AFY3" s="120"/>
      <c r="AFZ3" s="120"/>
      <c r="AGA3" s="120"/>
      <c r="AGB3" s="120"/>
      <c r="AGC3" s="120"/>
      <c r="AGD3" s="120"/>
      <c r="AGE3" s="120"/>
      <c r="AGF3" s="120"/>
      <c r="AGG3" s="120"/>
      <c r="AGH3" s="120"/>
      <c r="AGI3" s="120"/>
      <c r="AGJ3" s="120"/>
      <c r="AGK3" s="120"/>
      <c r="AGL3" s="120"/>
      <c r="AGM3" s="120"/>
      <c r="AGN3" s="120"/>
      <c r="AGO3" s="120"/>
      <c r="AGP3" s="120"/>
      <c r="AGQ3" s="120"/>
      <c r="AGR3" s="120"/>
      <c r="AGS3" s="120"/>
      <c r="AGT3" s="120"/>
      <c r="AGU3" s="120"/>
      <c r="AGV3" s="120"/>
      <c r="AGW3" s="120"/>
      <c r="AGX3" s="120"/>
      <c r="AGY3" s="120"/>
      <c r="AGZ3" s="120"/>
      <c r="AHA3" s="120"/>
      <c r="AHB3" s="120"/>
      <c r="AHC3" s="120"/>
      <c r="AHD3" s="120"/>
      <c r="AHE3" s="120"/>
      <c r="AHF3" s="120"/>
      <c r="AHG3" s="120"/>
      <c r="AHH3" s="120"/>
      <c r="AHI3" s="120"/>
      <c r="AHJ3" s="120"/>
      <c r="AHK3" s="120"/>
      <c r="AHL3" s="120"/>
      <c r="AHM3" s="120"/>
      <c r="AHN3" s="120"/>
      <c r="AHO3" s="120"/>
      <c r="AHP3" s="120"/>
      <c r="AHQ3" s="120"/>
      <c r="AHR3" s="120"/>
      <c r="AHS3" s="120"/>
      <c r="AHT3" s="120"/>
      <c r="AHU3" s="120"/>
      <c r="AHV3" s="120"/>
      <c r="AHW3" s="120"/>
      <c r="AHX3" s="120"/>
      <c r="AHY3" s="120"/>
      <c r="AHZ3" s="120"/>
      <c r="AIA3" s="120"/>
      <c r="AIB3" s="120"/>
      <c r="AIC3" s="120"/>
      <c r="AID3" s="120"/>
      <c r="AIE3" s="120"/>
      <c r="AIF3" s="120"/>
      <c r="AIG3" s="120"/>
      <c r="AIH3" s="120"/>
      <c r="AII3" s="120"/>
      <c r="AIJ3" s="120"/>
      <c r="AIK3" s="120"/>
      <c r="AIL3" s="120"/>
      <c r="AIM3" s="120"/>
      <c r="AIN3" s="120"/>
      <c r="AIO3" s="120"/>
      <c r="AIP3" s="120"/>
      <c r="AIQ3" s="120"/>
      <c r="AIR3" s="120"/>
      <c r="AIS3" s="120"/>
      <c r="AIT3" s="120"/>
      <c r="AIU3" s="120"/>
      <c r="AIV3" s="120"/>
      <c r="AIW3" s="120"/>
      <c r="AIX3" s="120"/>
      <c r="AIY3" s="120"/>
      <c r="AIZ3" s="120"/>
      <c r="AJA3" s="120"/>
      <c r="AJB3" s="120"/>
      <c r="AJC3" s="120"/>
      <c r="AJD3" s="120"/>
      <c r="AJE3" s="120"/>
      <c r="AJF3" s="120"/>
      <c r="AJG3" s="120"/>
      <c r="AJH3" s="120"/>
      <c r="AJI3" s="120"/>
      <c r="AJJ3" s="120"/>
      <c r="AJK3" s="120"/>
      <c r="AJL3" s="120"/>
      <c r="AJM3" s="120"/>
      <c r="AJN3" s="120"/>
      <c r="AJO3" s="120"/>
      <c r="AJP3" s="120"/>
      <c r="AJQ3" s="120"/>
      <c r="AJR3" s="120"/>
      <c r="AJS3" s="120"/>
      <c r="AJT3" s="120"/>
      <c r="AJU3" s="120"/>
      <c r="AJV3" s="120"/>
      <c r="AJW3" s="120"/>
      <c r="AJX3" s="120"/>
      <c r="AJY3" s="120"/>
      <c r="AJZ3" s="120"/>
      <c r="AKA3" s="120"/>
      <c r="AKB3" s="120"/>
      <c r="AKC3" s="120"/>
      <c r="AKD3" s="120"/>
      <c r="AKE3" s="120"/>
      <c r="AKF3" s="120"/>
      <c r="AKG3" s="120"/>
      <c r="AKH3" s="120"/>
      <c r="AKI3" s="120"/>
      <c r="AKJ3" s="120"/>
      <c r="AKK3" s="120"/>
      <c r="AKL3" s="120"/>
      <c r="AKM3" s="120"/>
      <c r="AKN3" s="120"/>
      <c r="AKO3" s="120"/>
      <c r="AKP3" s="120"/>
      <c r="AKQ3" s="120"/>
      <c r="AKR3" s="120"/>
      <c r="AKS3" s="120"/>
      <c r="AKT3" s="120"/>
      <c r="AKU3" s="120"/>
      <c r="AKV3" s="120"/>
      <c r="AKW3" s="120"/>
      <c r="AKX3" s="120"/>
      <c r="AKY3" s="120"/>
      <c r="AKZ3" s="120"/>
      <c r="ALA3" s="120"/>
      <c r="ALB3" s="120"/>
      <c r="ALC3" s="120"/>
      <c r="ALD3" s="120"/>
      <c r="ALE3" s="120"/>
      <c r="ALF3" s="120"/>
      <c r="ALG3" s="120"/>
      <c r="ALH3" s="120"/>
      <c r="ALI3" s="120"/>
      <c r="ALJ3" s="120"/>
      <c r="ALK3" s="120"/>
      <c r="ALL3" s="120"/>
      <c r="ALM3" s="120"/>
      <c r="ALN3" s="120"/>
      <c r="ALO3" s="120"/>
      <c r="ALP3" s="120"/>
      <c r="ALQ3" s="120"/>
      <c r="ALR3" s="120"/>
      <c r="ALS3" s="120"/>
      <c r="ALT3" s="120"/>
      <c r="ALU3" s="120"/>
      <c r="ALV3" s="120"/>
      <c r="ALW3" s="120"/>
      <c r="ALX3" s="120"/>
      <c r="ALY3" s="120"/>
      <c r="ALZ3" s="120"/>
      <c r="AMA3" s="120"/>
      <c r="AMB3" s="120"/>
      <c r="AMC3" s="120"/>
      <c r="AMD3" s="120"/>
      <c r="AME3" s="120"/>
      <c r="AMF3" s="120"/>
      <c r="AMG3" s="120"/>
      <c r="AMH3" s="120"/>
      <c r="AMI3" s="120"/>
      <c r="AMJ3" s="120"/>
      <c r="AMK3" s="120"/>
      <c r="AML3" s="120"/>
      <c r="AMM3" s="120"/>
      <c r="AMN3" s="120"/>
      <c r="AMO3" s="120"/>
      <c r="AMP3" s="120"/>
      <c r="AMQ3" s="120"/>
      <c r="AMR3" s="120"/>
      <c r="AMS3" s="120"/>
      <c r="AMT3" s="120"/>
      <c r="AMU3" s="120"/>
      <c r="AMV3" s="120"/>
      <c r="AMW3" s="120"/>
      <c r="AMX3" s="120"/>
      <c r="AMY3" s="120"/>
      <c r="AMZ3" s="120"/>
      <c r="ANA3" s="120"/>
      <c r="ANB3" s="120"/>
      <c r="ANC3" s="120"/>
      <c r="AND3" s="120"/>
      <c r="ANE3" s="120"/>
      <c r="ANF3" s="120"/>
      <c r="ANG3" s="120"/>
      <c r="ANH3" s="120"/>
      <c r="ANI3" s="120"/>
      <c r="ANJ3" s="120"/>
      <c r="ANK3" s="120"/>
      <c r="ANL3" s="120"/>
      <c r="ANM3" s="120"/>
      <c r="ANN3" s="120"/>
      <c r="ANO3" s="120"/>
      <c r="ANP3" s="120"/>
      <c r="ANQ3" s="120"/>
      <c r="ANR3" s="120"/>
      <c r="ANS3" s="120"/>
      <c r="ANT3" s="120"/>
      <c r="ANU3" s="120"/>
      <c r="ANV3" s="120"/>
      <c r="ANW3" s="120"/>
      <c r="ANX3" s="120"/>
      <c r="ANY3" s="120"/>
      <c r="ANZ3" s="120"/>
      <c r="AOA3" s="120"/>
      <c r="AOB3" s="120"/>
      <c r="AOC3" s="120"/>
      <c r="AOD3" s="120"/>
      <c r="AOE3" s="120"/>
      <c r="AOF3" s="120"/>
      <c r="AOG3" s="120"/>
      <c r="AOH3" s="120"/>
      <c r="AOI3" s="120"/>
      <c r="AOJ3" s="120"/>
      <c r="AOK3" s="120"/>
      <c r="AOL3" s="120"/>
      <c r="AOM3" s="120"/>
      <c r="AON3" s="120"/>
      <c r="AOO3" s="120"/>
      <c r="AOP3" s="120"/>
      <c r="AOQ3" s="120"/>
      <c r="AOR3" s="120"/>
      <c r="AOS3" s="120"/>
      <c r="AOT3" s="120"/>
      <c r="AOU3" s="120"/>
      <c r="AOV3" s="120"/>
      <c r="AOW3" s="120"/>
      <c r="AOX3" s="120"/>
      <c r="AOY3" s="120"/>
      <c r="AOZ3" s="120"/>
      <c r="APA3" s="120"/>
      <c r="APB3" s="120"/>
      <c r="APC3" s="120"/>
      <c r="APD3" s="120"/>
      <c r="APE3" s="120"/>
      <c r="APF3" s="120"/>
      <c r="APG3" s="120"/>
      <c r="APH3" s="120"/>
      <c r="API3" s="120"/>
      <c r="APJ3" s="120"/>
      <c r="APK3" s="120"/>
      <c r="APL3" s="120"/>
      <c r="APM3" s="120"/>
      <c r="APN3" s="120"/>
      <c r="APO3" s="120"/>
      <c r="APP3" s="120"/>
      <c r="APQ3" s="120"/>
      <c r="APR3" s="120"/>
      <c r="APS3" s="120"/>
      <c r="APT3" s="120"/>
      <c r="APU3" s="120"/>
      <c r="APV3" s="120"/>
      <c r="APW3" s="120"/>
      <c r="APX3" s="120"/>
      <c r="APY3" s="120"/>
      <c r="APZ3" s="120"/>
      <c r="AQA3" s="120"/>
      <c r="AQB3" s="120"/>
      <c r="AQC3" s="120"/>
      <c r="AQD3" s="120"/>
      <c r="AQE3" s="120"/>
      <c r="AQF3" s="120"/>
      <c r="AQG3" s="120"/>
      <c r="AQH3" s="120"/>
      <c r="AQI3" s="120"/>
      <c r="AQJ3" s="120"/>
      <c r="AQK3" s="120"/>
      <c r="AQL3" s="120"/>
      <c r="AQM3" s="120"/>
      <c r="AQN3" s="120"/>
      <c r="AQO3" s="120"/>
      <c r="AQP3" s="120"/>
      <c r="AQQ3" s="120"/>
      <c r="AQR3" s="120"/>
      <c r="AQS3" s="120"/>
      <c r="AQT3" s="120"/>
      <c r="AQU3" s="120"/>
      <c r="AQV3" s="120"/>
      <c r="AQW3" s="120"/>
      <c r="AQX3" s="120"/>
      <c r="AQY3" s="120"/>
      <c r="AQZ3" s="120"/>
      <c r="ARA3" s="120"/>
      <c r="ARB3" s="120"/>
      <c r="ARC3" s="120"/>
      <c r="ARD3" s="120"/>
      <c r="ARE3" s="120"/>
      <c r="ARF3" s="120"/>
      <c r="ARG3" s="120"/>
      <c r="ARH3" s="120"/>
      <c r="ARI3" s="120"/>
      <c r="ARJ3" s="120"/>
      <c r="ARK3" s="120"/>
      <c r="ARL3" s="120"/>
      <c r="ARM3" s="120"/>
      <c r="ARN3" s="120"/>
      <c r="ARO3" s="120"/>
      <c r="ARP3" s="120"/>
      <c r="ARQ3" s="120"/>
      <c r="ARR3" s="120"/>
      <c r="ARS3" s="120"/>
      <c r="ART3" s="120"/>
      <c r="ARU3" s="120"/>
      <c r="ARV3" s="120"/>
      <c r="ARW3" s="120"/>
      <c r="ARX3" s="120"/>
      <c r="ARY3" s="120"/>
      <c r="ARZ3" s="120"/>
      <c r="ASA3" s="120"/>
      <c r="ASB3" s="120"/>
      <c r="ASC3" s="120"/>
      <c r="ASD3" s="120"/>
      <c r="ASE3" s="120"/>
      <c r="ASF3" s="120"/>
      <c r="ASG3" s="120"/>
      <c r="ASH3" s="120"/>
      <c r="ASI3" s="120"/>
      <c r="ASJ3" s="120"/>
      <c r="ASK3" s="120"/>
      <c r="ASL3" s="120"/>
      <c r="ASM3" s="120"/>
      <c r="ASN3" s="120"/>
      <c r="ASO3" s="120"/>
      <c r="ASP3" s="120"/>
      <c r="ASQ3" s="120"/>
      <c r="ASR3" s="120"/>
      <c r="ASS3" s="120"/>
      <c r="AST3" s="120"/>
      <c r="ASU3" s="120"/>
      <c r="ASV3" s="120"/>
      <c r="ASW3" s="120"/>
      <c r="ASX3" s="120"/>
      <c r="ASY3" s="120"/>
      <c r="ASZ3" s="120"/>
      <c r="ATA3" s="120"/>
      <c r="ATB3" s="120"/>
      <c r="ATC3" s="120"/>
      <c r="ATD3" s="120"/>
      <c r="ATE3" s="120"/>
      <c r="ATF3" s="120"/>
      <c r="ATG3" s="120"/>
      <c r="ATH3" s="120"/>
      <c r="ATI3" s="120"/>
      <c r="ATJ3" s="120"/>
      <c r="ATK3" s="120"/>
      <c r="ATL3" s="120"/>
      <c r="ATM3" s="120"/>
      <c r="ATN3" s="120"/>
      <c r="ATO3" s="120"/>
      <c r="ATP3" s="120"/>
      <c r="ATQ3" s="120"/>
      <c r="ATR3" s="120"/>
      <c r="ATS3" s="120"/>
      <c r="ATT3" s="120"/>
      <c r="ATU3" s="120"/>
      <c r="ATV3" s="120"/>
      <c r="ATW3" s="120"/>
      <c r="ATX3" s="120"/>
      <c r="ATY3" s="120"/>
      <c r="ATZ3" s="120"/>
      <c r="AUA3" s="120"/>
      <c r="AUB3" s="120"/>
      <c r="AUC3" s="120"/>
      <c r="AUD3" s="120"/>
      <c r="AUE3" s="120"/>
      <c r="AUF3" s="120"/>
      <c r="AUG3" s="120"/>
      <c r="AUH3" s="120"/>
      <c r="AUI3" s="120"/>
      <c r="AUJ3" s="120"/>
      <c r="AUK3" s="120"/>
      <c r="AUL3" s="120"/>
      <c r="AUM3" s="120"/>
      <c r="AUN3" s="120"/>
      <c r="AUO3" s="120"/>
      <c r="AUP3" s="120"/>
      <c r="AUQ3" s="120"/>
      <c r="AUR3" s="120"/>
      <c r="AUS3" s="120"/>
      <c r="AUT3" s="120"/>
      <c r="AUU3" s="120"/>
      <c r="AUV3" s="120"/>
      <c r="AUW3" s="120"/>
      <c r="AUX3" s="120"/>
      <c r="AUY3" s="120"/>
      <c r="AUZ3" s="120"/>
      <c r="AVA3" s="120"/>
      <c r="AVB3" s="120"/>
      <c r="AVC3" s="120"/>
      <c r="AVD3" s="120"/>
      <c r="AVE3" s="120"/>
      <c r="AVF3" s="120"/>
      <c r="AVG3" s="120"/>
      <c r="AVH3" s="120"/>
      <c r="AVI3" s="120"/>
      <c r="AVJ3" s="120"/>
      <c r="AVK3" s="120"/>
      <c r="AVL3" s="120"/>
      <c r="AVM3" s="120"/>
      <c r="AVN3" s="120"/>
      <c r="AVO3" s="120"/>
      <c r="AVP3" s="120"/>
      <c r="AVQ3" s="120"/>
      <c r="AVR3" s="120"/>
      <c r="AVS3" s="120"/>
      <c r="AVT3" s="120"/>
      <c r="AVU3" s="120"/>
      <c r="AVV3" s="120"/>
      <c r="AVW3" s="120"/>
      <c r="AVX3" s="120"/>
      <c r="AVY3" s="120"/>
      <c r="AVZ3" s="120"/>
      <c r="AWA3" s="120"/>
      <c r="AWB3" s="120"/>
      <c r="AWC3" s="120"/>
      <c r="AWD3" s="120"/>
      <c r="AWE3" s="120"/>
      <c r="AWF3" s="120"/>
      <c r="AWG3" s="120"/>
      <c r="AWH3" s="120"/>
      <c r="AWI3" s="120"/>
      <c r="AWJ3" s="120"/>
      <c r="AWK3" s="120"/>
      <c r="AWL3" s="120"/>
      <c r="AWM3" s="120"/>
      <c r="AWN3" s="120"/>
      <c r="AWO3" s="120"/>
      <c r="AWP3" s="120"/>
      <c r="AWQ3" s="120"/>
      <c r="AWR3" s="120"/>
      <c r="AWS3" s="120"/>
      <c r="AWT3" s="120"/>
      <c r="AWU3" s="120"/>
      <c r="AWV3" s="120"/>
      <c r="AWW3" s="120"/>
      <c r="AWX3" s="120"/>
      <c r="AWY3" s="120"/>
      <c r="AWZ3" s="120"/>
      <c r="AXA3" s="120"/>
      <c r="AXB3" s="120"/>
      <c r="AXC3" s="120"/>
      <c r="AXD3" s="120"/>
      <c r="AXE3" s="120"/>
      <c r="AXF3" s="120"/>
      <c r="AXG3" s="120"/>
      <c r="AXH3" s="120"/>
      <c r="AXI3" s="120"/>
      <c r="AXJ3" s="120"/>
      <c r="AXK3" s="120"/>
      <c r="AXL3" s="120"/>
      <c r="AXM3" s="120"/>
      <c r="AXN3" s="120"/>
      <c r="AXO3" s="120"/>
      <c r="AXP3" s="120"/>
      <c r="AXQ3" s="120"/>
      <c r="AXR3" s="120"/>
      <c r="AXS3" s="120"/>
      <c r="AXT3" s="120"/>
      <c r="AXU3" s="120"/>
      <c r="AXV3" s="120"/>
      <c r="AXW3" s="120"/>
      <c r="AXX3" s="120"/>
      <c r="AXY3" s="120"/>
      <c r="AXZ3" s="120"/>
      <c r="AYA3" s="120"/>
      <c r="AYB3" s="120"/>
      <c r="AYC3" s="120"/>
      <c r="AYD3" s="120"/>
      <c r="AYE3" s="120"/>
      <c r="AYF3" s="120"/>
      <c r="AYG3" s="120"/>
      <c r="AYH3" s="120"/>
      <c r="AYI3" s="120"/>
      <c r="AYJ3" s="120"/>
      <c r="AYK3" s="120"/>
      <c r="AYL3" s="120"/>
      <c r="AYM3" s="120"/>
      <c r="AYN3" s="120"/>
      <c r="AYO3" s="120"/>
      <c r="AYP3" s="120"/>
      <c r="AYQ3" s="120"/>
      <c r="AYR3" s="120"/>
      <c r="AYS3" s="120"/>
      <c r="AYT3" s="120"/>
      <c r="AYU3" s="120"/>
      <c r="AYV3" s="120"/>
      <c r="AYW3" s="120"/>
      <c r="AYX3" s="120"/>
      <c r="AYY3" s="120"/>
      <c r="AYZ3" s="120"/>
      <c r="AZA3" s="120"/>
      <c r="AZB3" s="120"/>
      <c r="AZC3" s="120"/>
      <c r="AZD3" s="120"/>
      <c r="AZE3" s="120"/>
      <c r="AZF3" s="120"/>
      <c r="AZG3" s="120"/>
      <c r="AZH3" s="120"/>
      <c r="AZI3" s="120"/>
      <c r="AZJ3" s="120"/>
      <c r="AZK3" s="120"/>
      <c r="AZL3" s="120"/>
      <c r="AZM3" s="120"/>
      <c r="AZN3" s="120"/>
      <c r="AZO3" s="120"/>
      <c r="AZP3" s="120"/>
      <c r="AZQ3" s="120"/>
      <c r="AZR3" s="120"/>
      <c r="AZS3" s="120"/>
      <c r="AZT3" s="120"/>
      <c r="AZU3" s="120"/>
      <c r="AZV3" s="120"/>
      <c r="AZW3" s="120"/>
      <c r="AZX3" s="120"/>
      <c r="AZY3" s="120"/>
      <c r="AZZ3" s="120"/>
      <c r="BAA3" s="120"/>
      <c r="BAB3" s="120"/>
      <c r="BAC3" s="120"/>
      <c r="BAD3" s="120"/>
      <c r="BAE3" s="120"/>
      <c r="BAF3" s="120"/>
      <c r="BAG3" s="120"/>
      <c r="BAH3" s="120"/>
      <c r="BAI3" s="120"/>
      <c r="BAJ3" s="120"/>
      <c r="BAK3" s="120"/>
      <c r="BAL3" s="120"/>
      <c r="BAM3" s="120"/>
      <c r="BAN3" s="120"/>
      <c r="BAO3" s="120"/>
      <c r="BAP3" s="120"/>
      <c r="BAQ3" s="120"/>
      <c r="BAR3" s="120"/>
      <c r="BAS3" s="120"/>
      <c r="BAT3" s="120"/>
      <c r="BAU3" s="120"/>
      <c r="BAV3" s="120"/>
      <c r="BAW3" s="120"/>
      <c r="BAX3" s="120"/>
      <c r="BAY3" s="120"/>
      <c r="BAZ3" s="120"/>
      <c r="BBA3" s="120"/>
      <c r="BBB3" s="120"/>
      <c r="BBC3" s="120"/>
      <c r="BBD3" s="120"/>
      <c r="BBE3" s="120"/>
      <c r="BBF3" s="120"/>
      <c r="BBG3" s="120"/>
      <c r="BBH3" s="120"/>
      <c r="BBI3" s="120"/>
      <c r="BBJ3" s="120"/>
      <c r="BBK3" s="120"/>
      <c r="BBL3" s="120"/>
      <c r="BBM3" s="120"/>
      <c r="BBN3" s="120"/>
      <c r="BBO3" s="120"/>
      <c r="BBP3" s="120"/>
      <c r="BBQ3" s="120"/>
      <c r="BBR3" s="120"/>
      <c r="BBS3" s="120"/>
      <c r="BBT3" s="120"/>
      <c r="BBU3" s="120"/>
      <c r="BBV3" s="120"/>
      <c r="BBW3" s="120"/>
      <c r="BBX3" s="120"/>
      <c r="BBY3" s="120"/>
      <c r="BBZ3" s="120"/>
      <c r="BCA3" s="120"/>
      <c r="BCB3" s="120"/>
      <c r="BCC3" s="120"/>
      <c r="BCD3" s="120"/>
      <c r="BCE3" s="120"/>
      <c r="BCF3" s="120"/>
      <c r="BCG3" s="120"/>
      <c r="BCH3" s="120"/>
      <c r="BCI3" s="120"/>
      <c r="BCJ3" s="120"/>
      <c r="BCK3" s="120"/>
      <c r="BCL3" s="120"/>
      <c r="BCM3" s="120"/>
      <c r="BCN3" s="120"/>
      <c r="BCO3" s="120"/>
      <c r="BCP3" s="120"/>
      <c r="BCQ3" s="120"/>
      <c r="BCR3" s="120"/>
      <c r="BCS3" s="120"/>
      <c r="BCT3" s="120"/>
      <c r="BCU3" s="120"/>
      <c r="BCV3" s="120"/>
      <c r="BCW3" s="120"/>
      <c r="BCX3" s="120"/>
      <c r="BCY3" s="120"/>
      <c r="BCZ3" s="120"/>
      <c r="BDA3" s="120"/>
      <c r="BDB3" s="120"/>
      <c r="BDC3" s="120"/>
      <c r="BDD3" s="120"/>
      <c r="BDE3" s="120"/>
      <c r="BDF3" s="120"/>
      <c r="BDG3" s="120"/>
      <c r="BDH3" s="120"/>
      <c r="BDI3" s="120"/>
      <c r="BDJ3" s="120"/>
      <c r="BDK3" s="120"/>
      <c r="BDL3" s="120"/>
      <c r="BDM3" s="120"/>
      <c r="BDN3" s="120"/>
      <c r="BDO3" s="120"/>
      <c r="BDP3" s="120"/>
      <c r="BDQ3" s="120"/>
      <c r="BDR3" s="120"/>
      <c r="BDS3" s="120"/>
      <c r="BDT3" s="120"/>
      <c r="BDU3" s="120"/>
      <c r="BDV3" s="120"/>
      <c r="BDW3" s="120"/>
      <c r="BDX3" s="120"/>
      <c r="BDY3" s="120"/>
      <c r="BDZ3" s="120"/>
      <c r="BEA3" s="120"/>
      <c r="BEB3" s="120"/>
      <c r="BEC3" s="120"/>
      <c r="BED3" s="120"/>
      <c r="BEE3" s="120"/>
      <c r="BEF3" s="120"/>
      <c r="BEG3" s="120"/>
      <c r="BEH3" s="120"/>
      <c r="BEI3" s="120"/>
      <c r="BEJ3" s="120"/>
      <c r="BEK3" s="120"/>
      <c r="BEL3" s="120"/>
      <c r="BEM3" s="120"/>
      <c r="BEN3" s="120"/>
      <c r="BEO3" s="120"/>
      <c r="BEP3" s="120"/>
      <c r="BEQ3" s="120"/>
      <c r="BER3" s="120"/>
      <c r="BES3" s="120"/>
      <c r="BET3" s="120"/>
      <c r="BEU3" s="120"/>
      <c r="BEV3" s="120"/>
      <c r="BEW3" s="120"/>
      <c r="BEX3" s="120"/>
      <c r="BEY3" s="120"/>
      <c r="BEZ3" s="120"/>
      <c r="BFA3" s="120"/>
      <c r="BFB3" s="120"/>
      <c r="BFC3" s="120"/>
      <c r="BFD3" s="120"/>
      <c r="BFE3" s="120"/>
      <c r="BFF3" s="120"/>
      <c r="BFG3" s="120"/>
      <c r="BFH3" s="120"/>
      <c r="BFI3" s="120"/>
      <c r="BFJ3" s="120"/>
      <c r="BFK3" s="120"/>
      <c r="BFL3" s="120"/>
      <c r="BFM3" s="120"/>
      <c r="BFN3" s="120"/>
      <c r="BFO3" s="120"/>
      <c r="BFP3" s="120"/>
      <c r="BFQ3" s="120"/>
      <c r="BFR3" s="120"/>
      <c r="BFS3" s="120"/>
      <c r="BFT3" s="120"/>
      <c r="BFU3" s="120"/>
      <c r="BFV3" s="120"/>
      <c r="BFW3" s="120"/>
      <c r="BFX3" s="120"/>
      <c r="BFY3" s="120"/>
      <c r="BFZ3" s="120"/>
      <c r="BGA3" s="120"/>
      <c r="BGB3" s="120"/>
      <c r="BGC3" s="120"/>
      <c r="BGD3" s="120"/>
      <c r="BGE3" s="120"/>
      <c r="BGF3" s="120"/>
      <c r="BGG3" s="120"/>
      <c r="BGH3" s="120"/>
      <c r="BGI3" s="120"/>
      <c r="BGJ3" s="120"/>
      <c r="BGK3" s="120"/>
      <c r="BGL3" s="120"/>
      <c r="BGM3" s="120"/>
      <c r="BGN3" s="120"/>
      <c r="BGO3" s="120"/>
      <c r="BGP3" s="120"/>
      <c r="BGQ3" s="120"/>
      <c r="BGR3" s="120"/>
      <c r="BGS3" s="120"/>
      <c r="BGT3" s="120"/>
      <c r="BGU3" s="120"/>
      <c r="BGV3" s="120"/>
      <c r="BGW3" s="120"/>
      <c r="BGX3" s="120"/>
      <c r="BGY3" s="120"/>
      <c r="BGZ3" s="120"/>
      <c r="BHA3" s="120"/>
      <c r="BHB3" s="120"/>
      <c r="BHC3" s="120"/>
      <c r="BHD3" s="120"/>
      <c r="BHE3" s="120"/>
      <c r="BHF3" s="120"/>
      <c r="BHG3" s="120"/>
      <c r="BHH3" s="120"/>
      <c r="BHI3" s="120"/>
      <c r="BHJ3" s="120"/>
      <c r="BHK3" s="120"/>
      <c r="BHL3" s="120"/>
      <c r="BHM3" s="120"/>
      <c r="BHN3" s="120"/>
      <c r="BHO3" s="120"/>
      <c r="BHP3" s="120"/>
      <c r="BHQ3" s="120"/>
      <c r="BHR3" s="120"/>
      <c r="BHS3" s="120"/>
      <c r="BHT3" s="120"/>
      <c r="BHU3" s="120"/>
      <c r="BHV3" s="120"/>
      <c r="BHW3" s="120"/>
      <c r="BHX3" s="120"/>
      <c r="BHY3" s="120"/>
      <c r="BHZ3" s="120"/>
      <c r="BIA3" s="120"/>
      <c r="BIB3" s="120"/>
      <c r="BIC3" s="120"/>
      <c r="BID3" s="120"/>
      <c r="BIE3" s="120"/>
      <c r="BIF3" s="120"/>
      <c r="BIG3" s="120"/>
      <c r="BIH3" s="120"/>
      <c r="BII3" s="120"/>
      <c r="BIJ3" s="120"/>
      <c r="BIK3" s="120"/>
      <c r="BIL3" s="120"/>
      <c r="BIM3" s="120"/>
      <c r="BIN3" s="120"/>
      <c r="BIO3" s="120"/>
      <c r="BIP3" s="120"/>
      <c r="BIQ3" s="120"/>
      <c r="BIR3" s="120"/>
      <c r="BIS3" s="120"/>
      <c r="BIT3" s="120"/>
      <c r="BIU3" s="120"/>
      <c r="BIV3" s="120"/>
      <c r="BIW3" s="120"/>
      <c r="BIX3" s="120"/>
      <c r="BIY3" s="120"/>
      <c r="BIZ3" s="120"/>
      <c r="BJA3" s="120"/>
      <c r="BJB3" s="120"/>
      <c r="BJC3" s="120"/>
      <c r="BJD3" s="120"/>
      <c r="BJE3" s="120"/>
      <c r="BJF3" s="120"/>
      <c r="BJG3" s="120"/>
      <c r="BJH3" s="120"/>
      <c r="BJI3" s="120"/>
      <c r="BJJ3" s="120"/>
      <c r="BJK3" s="120"/>
      <c r="BJL3" s="120"/>
      <c r="BJM3" s="120"/>
      <c r="BJN3" s="120"/>
      <c r="BJO3" s="120"/>
      <c r="BJP3" s="120"/>
      <c r="BJQ3" s="120"/>
      <c r="BJR3" s="120"/>
      <c r="BJS3" s="120"/>
      <c r="BJT3" s="120"/>
      <c r="BJU3" s="120"/>
      <c r="BJV3" s="120"/>
      <c r="BJW3" s="120"/>
      <c r="BJX3" s="120"/>
      <c r="BJY3" s="120"/>
      <c r="BJZ3" s="120"/>
      <c r="BKA3" s="120"/>
      <c r="BKB3" s="120"/>
      <c r="BKC3" s="120"/>
      <c r="BKD3" s="120"/>
      <c r="BKE3" s="120"/>
      <c r="BKF3" s="120"/>
      <c r="BKG3" s="120"/>
      <c r="BKH3" s="120"/>
      <c r="BKI3" s="120"/>
      <c r="BKJ3" s="120"/>
      <c r="BKK3" s="120"/>
      <c r="BKL3" s="120"/>
      <c r="BKM3" s="120"/>
      <c r="BKN3" s="120"/>
      <c r="BKO3" s="120"/>
      <c r="BKP3" s="120"/>
      <c r="BKQ3" s="120"/>
      <c r="BKR3" s="120"/>
      <c r="BKS3" s="120"/>
      <c r="BKT3" s="120"/>
      <c r="BKU3" s="120"/>
      <c r="BKV3" s="120"/>
      <c r="BKW3" s="120"/>
      <c r="BKX3" s="120"/>
      <c r="BKY3" s="120"/>
      <c r="BKZ3" s="120"/>
      <c r="BLA3" s="120"/>
      <c r="BLB3" s="120"/>
      <c r="BLC3" s="120"/>
      <c r="BLD3" s="120"/>
      <c r="BLE3" s="120"/>
      <c r="BLF3" s="120"/>
      <c r="BLG3" s="120"/>
      <c r="BLH3" s="120"/>
      <c r="BLI3" s="120"/>
      <c r="BLJ3" s="120"/>
      <c r="BLK3" s="120"/>
      <c r="BLL3" s="120"/>
      <c r="BLM3" s="120"/>
      <c r="BLN3" s="120"/>
      <c r="BLO3" s="120"/>
      <c r="BLP3" s="120"/>
      <c r="BLQ3" s="120"/>
      <c r="BLR3" s="120"/>
      <c r="BLS3" s="120"/>
      <c r="BLT3" s="120"/>
      <c r="BLU3" s="120"/>
      <c r="BLV3" s="120"/>
      <c r="BLW3" s="120"/>
      <c r="BLX3" s="120"/>
      <c r="BLY3" s="120"/>
      <c r="BLZ3" s="120"/>
      <c r="BMA3" s="120"/>
      <c r="BMB3" s="120"/>
      <c r="BMC3" s="120"/>
      <c r="BMD3" s="120"/>
      <c r="BME3" s="120"/>
      <c r="BMF3" s="120"/>
      <c r="BMG3" s="120"/>
      <c r="BMH3" s="120"/>
      <c r="BMI3" s="120"/>
      <c r="BMJ3" s="120"/>
      <c r="BMK3" s="120"/>
      <c r="BML3" s="120"/>
      <c r="BMM3" s="120"/>
      <c r="BMN3" s="120"/>
      <c r="BMO3" s="120"/>
      <c r="BMP3" s="120"/>
      <c r="BMQ3" s="120"/>
      <c r="BMR3" s="120"/>
      <c r="BMS3" s="120"/>
      <c r="BMT3" s="120"/>
      <c r="BMU3" s="120"/>
      <c r="BMV3" s="120"/>
      <c r="BMW3" s="120"/>
      <c r="BMX3" s="120"/>
      <c r="BMY3" s="120"/>
      <c r="BMZ3" s="120"/>
      <c r="BNA3" s="120"/>
      <c r="BNB3" s="120"/>
      <c r="BNC3" s="120"/>
      <c r="BND3" s="120"/>
      <c r="BNE3" s="120"/>
      <c r="BNF3" s="120"/>
      <c r="BNG3" s="120"/>
      <c r="BNH3" s="120"/>
      <c r="BNI3" s="120"/>
      <c r="BNJ3" s="120"/>
      <c r="BNK3" s="120"/>
      <c r="BNL3" s="120"/>
      <c r="BNM3" s="120"/>
      <c r="BNN3" s="120"/>
      <c r="BNO3" s="120"/>
      <c r="BNP3" s="120"/>
      <c r="BNQ3" s="120"/>
      <c r="BNR3" s="120"/>
      <c r="BNS3" s="120"/>
      <c r="BNT3" s="120"/>
      <c r="BNU3" s="120"/>
      <c r="BNV3" s="120"/>
      <c r="BNW3" s="120"/>
      <c r="BNX3" s="120"/>
      <c r="BNY3" s="120"/>
      <c r="BNZ3" s="120"/>
      <c r="BOA3" s="120"/>
      <c r="BOB3" s="120"/>
      <c r="BOC3" s="120"/>
      <c r="BOD3" s="120"/>
      <c r="BOE3" s="120"/>
      <c r="BOF3" s="120"/>
      <c r="BOG3" s="120"/>
      <c r="BOH3" s="120"/>
      <c r="BOI3" s="120"/>
      <c r="BOJ3" s="120"/>
      <c r="BOK3" s="120"/>
      <c r="BOL3" s="120"/>
      <c r="BOM3" s="120"/>
      <c r="BON3" s="120"/>
      <c r="BOO3" s="120"/>
      <c r="BOP3" s="120"/>
      <c r="BOQ3" s="120"/>
      <c r="BOR3" s="120"/>
      <c r="BOS3" s="120"/>
      <c r="BOT3" s="120"/>
      <c r="BOU3" s="120"/>
      <c r="BOV3" s="120"/>
      <c r="BOW3" s="120"/>
      <c r="BOX3" s="120"/>
      <c r="BOY3" s="120"/>
      <c r="BOZ3" s="120"/>
      <c r="BPA3" s="120"/>
      <c r="BPB3" s="120"/>
      <c r="BPC3" s="120"/>
      <c r="BPD3" s="120"/>
      <c r="BPE3" s="120"/>
      <c r="BPF3" s="120"/>
      <c r="BPG3" s="120"/>
      <c r="BPH3" s="120"/>
      <c r="BPI3" s="120"/>
      <c r="BPJ3" s="120"/>
      <c r="BPK3" s="120"/>
      <c r="BPL3" s="120"/>
      <c r="BPM3" s="120"/>
      <c r="BPN3" s="120"/>
      <c r="BPO3" s="120"/>
      <c r="BPP3" s="120"/>
      <c r="BPQ3" s="120"/>
      <c r="BPR3" s="120"/>
      <c r="BPS3" s="120"/>
      <c r="BPT3" s="120"/>
      <c r="BPU3" s="120"/>
      <c r="BPV3" s="120"/>
      <c r="BPW3" s="120"/>
      <c r="BPX3" s="120"/>
      <c r="BPY3" s="120"/>
      <c r="BPZ3" s="120"/>
      <c r="BQA3" s="120"/>
      <c r="BQB3" s="120"/>
      <c r="BQC3" s="120"/>
      <c r="BQD3" s="120"/>
      <c r="BQE3" s="120"/>
      <c r="BQF3" s="120"/>
      <c r="BQG3" s="120"/>
      <c r="BQH3" s="120"/>
      <c r="BQI3" s="120"/>
      <c r="BQJ3" s="120"/>
      <c r="BQK3" s="120"/>
      <c r="BQL3" s="120"/>
      <c r="BQM3" s="120"/>
      <c r="BQN3" s="120"/>
      <c r="BQO3" s="120"/>
      <c r="BQP3" s="120"/>
      <c r="BQQ3" s="120"/>
      <c r="BQR3" s="120"/>
      <c r="BQS3" s="120"/>
      <c r="BQT3" s="120"/>
      <c r="BQU3" s="120"/>
      <c r="BQV3" s="120"/>
      <c r="BQW3" s="120"/>
      <c r="BQX3" s="120"/>
      <c r="BQY3" s="120"/>
      <c r="BQZ3" s="120"/>
      <c r="BRA3" s="120"/>
      <c r="BRB3" s="120"/>
      <c r="BRC3" s="120"/>
      <c r="BRD3" s="120"/>
      <c r="BRE3" s="120"/>
      <c r="BRF3" s="120"/>
      <c r="BRG3" s="120"/>
      <c r="BRH3" s="120"/>
      <c r="BRI3" s="120"/>
      <c r="BRJ3" s="120"/>
      <c r="BRK3" s="120"/>
      <c r="BRL3" s="120"/>
      <c r="BRM3" s="120"/>
      <c r="BRN3" s="120"/>
      <c r="BRO3" s="120"/>
      <c r="BRP3" s="120"/>
      <c r="BRQ3" s="120"/>
      <c r="BRR3" s="120"/>
      <c r="BRS3" s="120"/>
      <c r="BRT3" s="120"/>
      <c r="BRU3" s="120"/>
      <c r="BRV3" s="120"/>
      <c r="BRW3" s="120"/>
      <c r="BRX3" s="120"/>
      <c r="BRY3" s="120"/>
      <c r="BRZ3" s="120"/>
      <c r="BSA3" s="120"/>
      <c r="BSB3" s="120"/>
      <c r="BSC3" s="120"/>
      <c r="BSD3" s="120"/>
      <c r="BSE3" s="120"/>
      <c r="BSF3" s="120"/>
      <c r="BSG3" s="120"/>
      <c r="BSH3" s="120"/>
      <c r="BSI3" s="120"/>
      <c r="BSJ3" s="120"/>
      <c r="BSK3" s="120"/>
      <c r="BSL3" s="120"/>
      <c r="BSM3" s="120"/>
      <c r="BSN3" s="120"/>
      <c r="BSO3" s="120"/>
      <c r="BSP3" s="120"/>
      <c r="BSQ3" s="120"/>
      <c r="BSR3" s="120"/>
      <c r="BSS3" s="120"/>
      <c r="BST3" s="120"/>
      <c r="BSU3" s="120"/>
      <c r="BSV3" s="120"/>
      <c r="BSW3" s="120"/>
      <c r="BSX3" s="120"/>
      <c r="BSY3" s="120"/>
      <c r="BSZ3" s="120"/>
      <c r="BTA3" s="120"/>
      <c r="BTB3" s="120"/>
      <c r="BTC3" s="120"/>
      <c r="BTD3" s="120"/>
      <c r="BTE3" s="120"/>
      <c r="BTF3" s="120"/>
      <c r="BTG3" s="120"/>
      <c r="BTH3" s="120"/>
      <c r="BTI3" s="120"/>
      <c r="BTJ3" s="120"/>
      <c r="BTK3" s="120"/>
      <c r="BTL3" s="120"/>
      <c r="BTM3" s="120"/>
      <c r="BTN3" s="120"/>
      <c r="BTO3" s="120"/>
      <c r="BTP3" s="120"/>
      <c r="BTQ3" s="120"/>
      <c r="BTR3" s="120"/>
      <c r="BTS3" s="120"/>
      <c r="BTT3" s="120"/>
      <c r="BTU3" s="120"/>
      <c r="BTV3" s="120"/>
      <c r="BTW3" s="120"/>
      <c r="BTX3" s="120"/>
      <c r="BTY3" s="120"/>
      <c r="BTZ3" s="120"/>
      <c r="BUA3" s="120"/>
      <c r="BUB3" s="120"/>
      <c r="BUC3" s="120"/>
      <c r="BUD3" s="120"/>
      <c r="BUE3" s="120"/>
      <c r="BUF3" s="120"/>
      <c r="BUG3" s="120"/>
      <c r="BUH3" s="120"/>
      <c r="BUI3" s="120"/>
      <c r="BUJ3" s="120"/>
      <c r="BUK3" s="120"/>
      <c r="BUL3" s="120"/>
      <c r="BUM3" s="120"/>
      <c r="BUN3" s="120"/>
      <c r="BUO3" s="120"/>
      <c r="BUP3" s="120"/>
      <c r="BUQ3" s="120"/>
      <c r="BUR3" s="120"/>
      <c r="BUS3" s="120"/>
      <c r="BUT3" s="120"/>
      <c r="BUU3" s="120"/>
      <c r="BUV3" s="120"/>
      <c r="BUW3" s="120"/>
      <c r="BUX3" s="120"/>
      <c r="BUY3" s="120"/>
      <c r="BUZ3" s="120"/>
      <c r="BVA3" s="120"/>
      <c r="BVB3" s="120"/>
      <c r="BVC3" s="120"/>
      <c r="BVD3" s="120"/>
      <c r="BVE3" s="120"/>
      <c r="BVF3" s="120"/>
      <c r="BVG3" s="120"/>
      <c r="BVH3" s="120"/>
      <c r="BVI3" s="120"/>
      <c r="BVJ3" s="120"/>
      <c r="BVK3" s="120"/>
      <c r="BVL3" s="120"/>
      <c r="BVM3" s="120"/>
      <c r="BVN3" s="120"/>
      <c r="BVO3" s="120"/>
      <c r="BVP3" s="120"/>
      <c r="BVQ3" s="120"/>
      <c r="BVR3" s="120"/>
      <c r="BVS3" s="120"/>
      <c r="BVT3" s="120"/>
      <c r="BVU3" s="120"/>
      <c r="BVV3" s="120"/>
      <c r="BVW3" s="120"/>
      <c r="BVX3" s="120"/>
      <c r="BVY3" s="120"/>
      <c r="BVZ3" s="120"/>
      <c r="BWA3" s="120"/>
      <c r="BWB3" s="120"/>
      <c r="BWC3" s="120"/>
      <c r="BWD3" s="120"/>
      <c r="BWE3" s="120"/>
      <c r="BWF3" s="120"/>
      <c r="BWG3" s="120"/>
      <c r="BWH3" s="120"/>
      <c r="BWI3" s="120"/>
      <c r="BWJ3" s="120"/>
      <c r="BWK3" s="120"/>
      <c r="BWL3" s="120"/>
      <c r="BWM3" s="120"/>
      <c r="BWN3" s="120"/>
      <c r="BWO3" s="120"/>
      <c r="BWP3" s="120"/>
      <c r="BWQ3" s="120"/>
      <c r="BWR3" s="120"/>
      <c r="BWS3" s="120"/>
      <c r="BWT3" s="120"/>
      <c r="BWU3" s="120"/>
      <c r="BWV3" s="120"/>
      <c r="BWW3" s="120"/>
      <c r="BWX3" s="120"/>
      <c r="BWY3" s="120"/>
      <c r="BWZ3" s="120"/>
      <c r="BXA3" s="120"/>
      <c r="BXB3" s="120"/>
      <c r="BXC3" s="120"/>
      <c r="BXD3" s="120"/>
      <c r="BXE3" s="120"/>
      <c r="BXF3" s="120"/>
      <c r="BXG3" s="120"/>
      <c r="BXH3" s="120"/>
      <c r="BXI3" s="120"/>
      <c r="BXJ3" s="120"/>
      <c r="BXK3" s="120"/>
      <c r="BXL3" s="120"/>
      <c r="BXM3" s="120"/>
      <c r="BXN3" s="120"/>
      <c r="BXO3" s="120"/>
      <c r="BXP3" s="120"/>
      <c r="BXQ3" s="120"/>
      <c r="BXR3" s="120"/>
      <c r="BXS3" s="120"/>
      <c r="BXT3" s="120"/>
      <c r="BXU3" s="120"/>
      <c r="BXV3" s="120"/>
      <c r="BXW3" s="120"/>
      <c r="BXX3" s="120"/>
      <c r="BXY3" s="120"/>
      <c r="BXZ3" s="120"/>
      <c r="BYA3" s="120"/>
      <c r="BYB3" s="120"/>
      <c r="BYC3" s="120"/>
      <c r="BYD3" s="120"/>
      <c r="BYE3" s="120"/>
      <c r="BYF3" s="120"/>
      <c r="BYG3" s="120"/>
      <c r="BYH3" s="120"/>
      <c r="BYI3" s="120"/>
      <c r="BYJ3" s="120"/>
      <c r="BYK3" s="120"/>
      <c r="BYL3" s="120"/>
      <c r="BYM3" s="120"/>
      <c r="BYN3" s="120"/>
      <c r="BYO3" s="120"/>
      <c r="BYP3" s="120"/>
      <c r="BYQ3" s="120"/>
      <c r="BYR3" s="120"/>
      <c r="BYS3" s="120"/>
      <c r="BYT3" s="120"/>
      <c r="BYU3" s="120"/>
      <c r="BYV3" s="120"/>
      <c r="BYW3" s="120"/>
      <c r="BYX3" s="120"/>
      <c r="BYY3" s="120"/>
      <c r="BYZ3" s="120"/>
      <c r="BZA3" s="120"/>
      <c r="BZB3" s="120"/>
      <c r="BZC3" s="120"/>
      <c r="BZD3" s="120"/>
      <c r="BZE3" s="120"/>
      <c r="BZF3" s="120"/>
      <c r="BZG3" s="120"/>
      <c r="BZH3" s="120"/>
      <c r="BZI3" s="120"/>
      <c r="BZJ3" s="120"/>
      <c r="BZK3" s="120"/>
      <c r="BZL3" s="120"/>
      <c r="BZM3" s="120"/>
      <c r="BZN3" s="120"/>
      <c r="BZO3" s="120"/>
      <c r="BZP3" s="120"/>
      <c r="BZQ3" s="120"/>
      <c r="BZR3" s="120"/>
      <c r="BZS3" s="120"/>
      <c r="BZT3" s="120"/>
      <c r="BZU3" s="120"/>
      <c r="BZV3" s="120"/>
      <c r="BZW3" s="120"/>
      <c r="BZX3" s="120"/>
      <c r="BZY3" s="120"/>
      <c r="BZZ3" s="120"/>
      <c r="CAA3" s="120"/>
      <c r="CAB3" s="120"/>
      <c r="CAC3" s="120"/>
      <c r="CAD3" s="120"/>
      <c r="CAE3" s="120"/>
      <c r="CAF3" s="120"/>
      <c r="CAG3" s="120"/>
      <c r="CAH3" s="120"/>
      <c r="CAI3" s="120"/>
      <c r="CAJ3" s="120"/>
      <c r="CAK3" s="120"/>
      <c r="CAL3" s="120"/>
      <c r="CAM3" s="120"/>
      <c r="CAN3" s="120"/>
      <c r="CAO3" s="120"/>
      <c r="CAP3" s="120"/>
      <c r="CAQ3" s="120"/>
      <c r="CAR3" s="120"/>
      <c r="CAS3" s="120"/>
      <c r="CAT3" s="120"/>
      <c r="CAU3" s="120"/>
      <c r="CAV3" s="120"/>
      <c r="CAW3" s="120"/>
      <c r="CAX3" s="120"/>
      <c r="CAY3" s="120"/>
      <c r="CAZ3" s="120"/>
      <c r="CBA3" s="120"/>
      <c r="CBB3" s="120"/>
      <c r="CBC3" s="120"/>
      <c r="CBD3" s="120"/>
      <c r="CBE3" s="120"/>
      <c r="CBF3" s="120"/>
      <c r="CBG3" s="120"/>
      <c r="CBH3" s="120"/>
      <c r="CBI3" s="120"/>
      <c r="CBJ3" s="120"/>
      <c r="CBK3" s="120"/>
      <c r="CBL3" s="120"/>
      <c r="CBM3" s="120"/>
      <c r="CBN3" s="120"/>
      <c r="CBO3" s="120"/>
      <c r="CBP3" s="120"/>
      <c r="CBQ3" s="120"/>
      <c r="CBR3" s="120"/>
      <c r="CBS3" s="120"/>
      <c r="CBT3" s="120"/>
      <c r="CBU3" s="120"/>
      <c r="CBV3" s="120"/>
      <c r="CBW3" s="120"/>
      <c r="CBX3" s="120"/>
      <c r="CBY3" s="120"/>
      <c r="CBZ3" s="120"/>
      <c r="CCA3" s="120"/>
      <c r="CCB3" s="120"/>
      <c r="CCC3" s="120"/>
      <c r="CCD3" s="120"/>
      <c r="CCE3" s="120"/>
      <c r="CCF3" s="120"/>
      <c r="CCG3" s="120"/>
      <c r="CCH3" s="120"/>
      <c r="CCI3" s="120"/>
      <c r="CCJ3" s="120"/>
      <c r="CCK3" s="120"/>
      <c r="CCL3" s="120"/>
      <c r="CCM3" s="120"/>
      <c r="CCN3" s="120"/>
      <c r="CCO3" s="120"/>
      <c r="CCP3" s="120"/>
      <c r="CCQ3" s="120"/>
      <c r="CCR3" s="120"/>
      <c r="CCS3" s="120"/>
      <c r="CCT3" s="120"/>
      <c r="CCU3" s="120"/>
      <c r="CCV3" s="120"/>
      <c r="CCW3" s="120"/>
      <c r="CCX3" s="120"/>
      <c r="CCY3" s="120"/>
      <c r="CCZ3" s="120"/>
      <c r="CDA3" s="120"/>
      <c r="CDB3" s="120"/>
      <c r="CDC3" s="120"/>
      <c r="CDD3" s="120"/>
      <c r="CDE3" s="120"/>
      <c r="CDF3" s="120"/>
      <c r="CDG3" s="120"/>
      <c r="CDH3" s="120"/>
      <c r="CDI3" s="120"/>
      <c r="CDJ3" s="120"/>
      <c r="CDK3" s="120"/>
      <c r="CDL3" s="120"/>
      <c r="CDM3" s="120"/>
      <c r="CDN3" s="120"/>
      <c r="CDO3" s="120"/>
      <c r="CDP3" s="120"/>
      <c r="CDQ3" s="120"/>
      <c r="CDR3" s="120"/>
      <c r="CDS3" s="120"/>
      <c r="CDT3" s="120"/>
      <c r="CDU3" s="120"/>
      <c r="CDV3" s="120"/>
      <c r="CDW3" s="120"/>
      <c r="CDX3" s="120"/>
      <c r="CDY3" s="120"/>
      <c r="CDZ3" s="120"/>
      <c r="CEA3" s="120"/>
      <c r="CEB3" s="120"/>
      <c r="CEC3" s="120"/>
      <c r="CED3" s="120"/>
      <c r="CEE3" s="120"/>
      <c r="CEF3" s="120"/>
      <c r="CEG3" s="120"/>
      <c r="CEH3" s="120"/>
      <c r="CEI3" s="120"/>
      <c r="CEJ3" s="120"/>
      <c r="CEK3" s="120"/>
      <c r="CEL3" s="120"/>
      <c r="CEM3" s="120"/>
      <c r="CEN3" s="120"/>
      <c r="CEO3" s="120"/>
      <c r="CEP3" s="120"/>
      <c r="CEQ3" s="120"/>
      <c r="CER3" s="120"/>
      <c r="CES3" s="120"/>
      <c r="CET3" s="120"/>
      <c r="CEU3" s="120"/>
      <c r="CEV3" s="120"/>
      <c r="CEW3" s="120"/>
      <c r="CEX3" s="120"/>
      <c r="CEY3" s="120"/>
      <c r="CEZ3" s="120"/>
      <c r="CFA3" s="120"/>
      <c r="CFB3" s="120"/>
      <c r="CFC3" s="120"/>
      <c r="CFD3" s="120"/>
      <c r="CFE3" s="120"/>
      <c r="CFF3" s="120"/>
      <c r="CFG3" s="120"/>
      <c r="CFH3" s="120"/>
      <c r="CFI3" s="120"/>
      <c r="CFJ3" s="120"/>
      <c r="CFK3" s="120"/>
      <c r="CFL3" s="120"/>
      <c r="CFM3" s="120"/>
      <c r="CFN3" s="120"/>
      <c r="CFO3" s="120"/>
      <c r="CFP3" s="120"/>
      <c r="CFQ3" s="120"/>
      <c r="CFR3" s="120"/>
      <c r="CFS3" s="120"/>
      <c r="CFT3" s="120"/>
      <c r="CFU3" s="120"/>
      <c r="CFV3" s="120"/>
      <c r="CFW3" s="120"/>
      <c r="CFX3" s="120"/>
      <c r="CFY3" s="120"/>
      <c r="CFZ3" s="120"/>
      <c r="CGA3" s="120"/>
      <c r="CGB3" s="120"/>
      <c r="CGC3" s="120"/>
      <c r="CGD3" s="120"/>
      <c r="CGE3" s="120"/>
      <c r="CGF3" s="120"/>
      <c r="CGG3" s="120"/>
      <c r="CGH3" s="120"/>
      <c r="CGI3" s="120"/>
      <c r="CGJ3" s="120"/>
      <c r="CGK3" s="120"/>
      <c r="CGL3" s="120"/>
      <c r="CGM3" s="120"/>
      <c r="CGN3" s="120"/>
      <c r="CGO3" s="120"/>
      <c r="CGP3" s="120"/>
      <c r="CGQ3" s="120"/>
      <c r="CGR3" s="120"/>
      <c r="CGS3" s="120"/>
      <c r="CGT3" s="120"/>
      <c r="CGU3" s="120"/>
      <c r="CGV3" s="120"/>
      <c r="CGW3" s="120"/>
      <c r="CGX3" s="120"/>
      <c r="CGY3" s="120"/>
      <c r="CGZ3" s="120"/>
      <c r="CHA3" s="120"/>
      <c r="CHB3" s="120"/>
      <c r="CHC3" s="120"/>
      <c r="CHD3" s="120"/>
      <c r="CHE3" s="120"/>
      <c r="CHF3" s="120"/>
      <c r="CHG3" s="120"/>
      <c r="CHH3" s="120"/>
      <c r="CHI3" s="120"/>
      <c r="CHJ3" s="120"/>
      <c r="CHK3" s="120"/>
      <c r="CHL3" s="120"/>
      <c r="CHM3" s="120"/>
      <c r="CHN3" s="120"/>
      <c r="CHO3" s="120"/>
      <c r="CHP3" s="120"/>
      <c r="CHQ3" s="120"/>
      <c r="CHR3" s="120"/>
      <c r="CHS3" s="120"/>
      <c r="CHT3" s="120"/>
      <c r="CHU3" s="120"/>
      <c r="CHV3" s="120"/>
      <c r="CHW3" s="120"/>
      <c r="CHX3" s="120"/>
      <c r="CHY3" s="120"/>
      <c r="CHZ3" s="120"/>
      <c r="CIA3" s="120"/>
      <c r="CIB3" s="120"/>
      <c r="CIC3" s="120"/>
      <c r="CID3" s="120"/>
      <c r="CIE3" s="120"/>
      <c r="CIF3" s="120"/>
      <c r="CIG3" s="120"/>
      <c r="CIH3" s="120"/>
      <c r="CII3" s="120"/>
      <c r="CIJ3" s="120"/>
      <c r="CIK3" s="120"/>
      <c r="CIL3" s="120"/>
      <c r="CIM3" s="120"/>
      <c r="CIN3" s="120"/>
      <c r="CIO3" s="120"/>
      <c r="CIP3" s="120"/>
      <c r="CIQ3" s="120"/>
      <c r="CIR3" s="120"/>
      <c r="CIS3" s="120"/>
      <c r="CIT3" s="120"/>
      <c r="CIU3" s="120"/>
      <c r="CIV3" s="120"/>
      <c r="CIW3" s="120"/>
      <c r="CIX3" s="120"/>
      <c r="CIY3" s="120"/>
      <c r="CIZ3" s="120"/>
      <c r="CJA3" s="120"/>
      <c r="CJB3" s="120"/>
      <c r="CJC3" s="120"/>
      <c r="CJD3" s="120"/>
      <c r="CJE3" s="120"/>
      <c r="CJF3" s="120"/>
      <c r="CJG3" s="120"/>
      <c r="CJH3" s="120"/>
      <c r="CJI3" s="120"/>
      <c r="CJJ3" s="120"/>
      <c r="CJK3" s="120"/>
      <c r="CJL3" s="120"/>
      <c r="CJM3" s="120"/>
      <c r="CJN3" s="120"/>
      <c r="CJO3" s="120"/>
      <c r="CJP3" s="120"/>
      <c r="CJQ3" s="120"/>
      <c r="CJR3" s="120"/>
      <c r="CJS3" s="120"/>
      <c r="CJT3" s="120"/>
      <c r="CJU3" s="120"/>
      <c r="CJV3" s="120"/>
      <c r="CJW3" s="120"/>
      <c r="CJX3" s="120"/>
      <c r="CJY3" s="120"/>
      <c r="CJZ3" s="120"/>
      <c r="CKA3" s="120"/>
      <c r="CKB3" s="120"/>
      <c r="CKC3" s="120"/>
      <c r="CKD3" s="120"/>
      <c r="CKE3" s="120"/>
      <c r="CKF3" s="120"/>
      <c r="CKG3" s="120"/>
      <c r="CKH3" s="120"/>
      <c r="CKI3" s="120"/>
      <c r="CKJ3" s="120"/>
      <c r="CKK3" s="120"/>
      <c r="CKL3" s="120"/>
      <c r="CKM3" s="120"/>
      <c r="CKN3" s="120"/>
      <c r="CKO3" s="120"/>
      <c r="CKP3" s="120"/>
      <c r="CKQ3" s="120"/>
      <c r="CKR3" s="120"/>
      <c r="CKS3" s="120"/>
      <c r="CKT3" s="120"/>
      <c r="CKU3" s="120"/>
      <c r="CKV3" s="120"/>
      <c r="CKW3" s="120"/>
      <c r="CKX3" s="120"/>
      <c r="CKY3" s="120"/>
      <c r="CKZ3" s="120"/>
      <c r="CLA3" s="120"/>
      <c r="CLB3" s="120"/>
      <c r="CLC3" s="120"/>
      <c r="CLD3" s="120"/>
      <c r="CLE3" s="120"/>
      <c r="CLF3" s="120"/>
      <c r="CLG3" s="120"/>
      <c r="CLH3" s="120"/>
      <c r="CLI3" s="120"/>
      <c r="CLJ3" s="120"/>
      <c r="CLK3" s="120"/>
      <c r="CLL3" s="120"/>
      <c r="CLM3" s="120"/>
      <c r="CLN3" s="120"/>
      <c r="CLO3" s="120"/>
      <c r="CLP3" s="120"/>
      <c r="CLQ3" s="120"/>
      <c r="CLR3" s="120"/>
      <c r="CLS3" s="120"/>
      <c r="CLT3" s="120"/>
      <c r="CLU3" s="120"/>
      <c r="CLV3" s="120"/>
      <c r="CLW3" s="120"/>
      <c r="CLX3" s="120"/>
      <c r="CLY3" s="120"/>
      <c r="CLZ3" s="120"/>
      <c r="CMA3" s="120"/>
      <c r="CMB3" s="120"/>
      <c r="CMC3" s="120"/>
      <c r="CMD3" s="120"/>
      <c r="CME3" s="120"/>
      <c r="CMF3" s="120"/>
      <c r="CMG3" s="120"/>
      <c r="CMH3" s="120"/>
      <c r="CMI3" s="120"/>
      <c r="CMJ3" s="120"/>
      <c r="CMK3" s="120"/>
      <c r="CML3" s="120"/>
      <c r="CMM3" s="120"/>
      <c r="CMN3" s="120"/>
      <c r="CMO3" s="120"/>
      <c r="CMP3" s="120"/>
      <c r="CMQ3" s="120"/>
      <c r="CMR3" s="120"/>
      <c r="CMS3" s="120"/>
      <c r="CMT3" s="120"/>
      <c r="CMU3" s="120"/>
      <c r="CMV3" s="120"/>
      <c r="CMW3" s="120"/>
      <c r="CMX3" s="120"/>
      <c r="CMY3" s="120"/>
      <c r="CMZ3" s="120"/>
      <c r="CNA3" s="120"/>
      <c r="CNB3" s="120"/>
      <c r="CNC3" s="120"/>
      <c r="CND3" s="120"/>
      <c r="CNE3" s="120"/>
      <c r="CNF3" s="120"/>
      <c r="CNG3" s="120"/>
      <c r="CNH3" s="120"/>
      <c r="CNI3" s="120"/>
      <c r="CNJ3" s="120"/>
      <c r="CNK3" s="120"/>
      <c r="CNL3" s="120"/>
      <c r="CNM3" s="120"/>
      <c r="CNN3" s="120"/>
      <c r="CNO3" s="120"/>
      <c r="CNP3" s="120"/>
      <c r="CNQ3" s="120"/>
      <c r="CNR3" s="120"/>
      <c r="CNS3" s="120"/>
      <c r="CNT3" s="120"/>
      <c r="CNU3" s="120"/>
      <c r="CNV3" s="120"/>
      <c r="CNW3" s="120"/>
      <c r="CNX3" s="120"/>
      <c r="CNY3" s="120"/>
      <c r="CNZ3" s="120"/>
      <c r="COA3" s="120"/>
      <c r="COB3" s="120"/>
      <c r="COC3" s="120"/>
      <c r="COD3" s="120"/>
      <c r="COE3" s="120"/>
      <c r="COF3" s="120"/>
      <c r="COG3" s="120"/>
      <c r="COH3" s="120"/>
      <c r="COI3" s="120"/>
      <c r="COJ3" s="120"/>
      <c r="COK3" s="120"/>
      <c r="COL3" s="120"/>
      <c r="COM3" s="120"/>
      <c r="CON3" s="120"/>
      <c r="COO3" s="120"/>
      <c r="COP3" s="120"/>
      <c r="COQ3" s="120"/>
      <c r="COR3" s="120"/>
      <c r="COS3" s="120"/>
      <c r="COT3" s="120"/>
      <c r="COU3" s="120"/>
      <c r="COV3" s="120"/>
      <c r="COW3" s="120"/>
      <c r="COX3" s="120"/>
      <c r="COY3" s="120"/>
      <c r="COZ3" s="120"/>
      <c r="CPA3" s="120"/>
      <c r="CPB3" s="120"/>
      <c r="CPC3" s="120"/>
      <c r="CPD3" s="120"/>
      <c r="CPE3" s="120"/>
      <c r="CPF3" s="120"/>
      <c r="CPG3" s="120"/>
      <c r="CPH3" s="120"/>
      <c r="CPI3" s="120"/>
      <c r="CPJ3" s="120"/>
      <c r="CPK3" s="120"/>
      <c r="CPL3" s="120"/>
      <c r="CPM3" s="120"/>
      <c r="CPN3" s="120"/>
      <c r="CPO3" s="120"/>
      <c r="CPP3" s="120"/>
      <c r="CPQ3" s="120"/>
      <c r="CPR3" s="120"/>
      <c r="CPS3" s="120"/>
      <c r="CPT3" s="120"/>
      <c r="CPU3" s="120"/>
      <c r="CPV3" s="120"/>
      <c r="CPW3" s="120"/>
      <c r="CPX3" s="120"/>
      <c r="CPY3" s="120"/>
      <c r="CPZ3" s="120"/>
      <c r="CQA3" s="120"/>
      <c r="CQB3" s="120"/>
      <c r="CQC3" s="120"/>
      <c r="CQD3" s="120"/>
      <c r="CQE3" s="120"/>
      <c r="CQF3" s="120"/>
      <c r="CQG3" s="120"/>
      <c r="CQH3" s="120"/>
      <c r="CQI3" s="120"/>
      <c r="CQJ3" s="120"/>
      <c r="CQK3" s="120"/>
      <c r="CQL3" s="120"/>
      <c r="CQM3" s="120"/>
      <c r="CQN3" s="120"/>
      <c r="CQO3" s="120"/>
      <c r="CQP3" s="120"/>
      <c r="CQQ3" s="120"/>
      <c r="CQR3" s="120"/>
      <c r="CQS3" s="120"/>
      <c r="CQT3" s="120"/>
      <c r="CQU3" s="120"/>
      <c r="CQV3" s="120"/>
      <c r="CQW3" s="120"/>
      <c r="CQX3" s="120"/>
      <c r="CQY3" s="120"/>
      <c r="CQZ3" s="120"/>
      <c r="CRA3" s="120"/>
      <c r="CRB3" s="120"/>
      <c r="CRC3" s="120"/>
      <c r="CRD3" s="120"/>
      <c r="CRE3" s="120"/>
      <c r="CRF3" s="120"/>
      <c r="CRG3" s="120"/>
      <c r="CRH3" s="120"/>
      <c r="CRI3" s="120"/>
      <c r="CRJ3" s="120"/>
      <c r="CRK3" s="120"/>
      <c r="CRL3" s="120"/>
      <c r="CRM3" s="120"/>
      <c r="CRN3" s="120"/>
      <c r="CRO3" s="120"/>
      <c r="CRP3" s="120"/>
      <c r="CRQ3" s="120"/>
      <c r="CRR3" s="120"/>
      <c r="CRS3" s="120"/>
      <c r="CRT3" s="120"/>
      <c r="CRU3" s="120"/>
      <c r="CRV3" s="120"/>
      <c r="CRW3" s="120"/>
      <c r="CRX3" s="120"/>
      <c r="CRY3" s="120"/>
      <c r="CRZ3" s="120"/>
      <c r="CSA3" s="120"/>
      <c r="CSB3" s="120"/>
      <c r="CSC3" s="120"/>
      <c r="CSD3" s="120"/>
      <c r="CSE3" s="120"/>
      <c r="CSF3" s="120"/>
      <c r="CSG3" s="120"/>
      <c r="CSH3" s="120"/>
      <c r="CSI3" s="120"/>
      <c r="CSJ3" s="120"/>
      <c r="CSK3" s="120"/>
      <c r="CSL3" s="120"/>
      <c r="CSM3" s="120"/>
      <c r="CSN3" s="120"/>
      <c r="CSO3" s="120"/>
      <c r="CSP3" s="120"/>
      <c r="CSQ3" s="120"/>
      <c r="CSR3" s="120"/>
      <c r="CSS3" s="120"/>
      <c r="CST3" s="120"/>
      <c r="CSU3" s="120"/>
      <c r="CSV3" s="120"/>
      <c r="CSW3" s="120"/>
      <c r="CSX3" s="120"/>
      <c r="CSY3" s="120"/>
      <c r="CSZ3" s="120"/>
      <c r="CTA3" s="120"/>
      <c r="CTB3" s="120"/>
      <c r="CTC3" s="120"/>
      <c r="CTD3" s="120"/>
      <c r="CTE3" s="120"/>
      <c r="CTF3" s="120"/>
      <c r="CTG3" s="120"/>
      <c r="CTH3" s="120"/>
      <c r="CTI3" s="120"/>
      <c r="CTJ3" s="120"/>
      <c r="CTK3" s="120"/>
      <c r="CTL3" s="120"/>
      <c r="CTM3" s="120"/>
      <c r="CTN3" s="120"/>
      <c r="CTO3" s="120"/>
      <c r="CTP3" s="120"/>
      <c r="CTQ3" s="120"/>
      <c r="CTR3" s="120"/>
      <c r="CTS3" s="120"/>
      <c r="CTT3" s="120"/>
      <c r="CTU3" s="120"/>
      <c r="CTV3" s="120"/>
      <c r="CTW3" s="120"/>
      <c r="CTX3" s="120"/>
      <c r="CTY3" s="120"/>
      <c r="CTZ3" s="120"/>
      <c r="CUA3" s="120"/>
      <c r="CUB3" s="120"/>
      <c r="CUC3" s="120"/>
      <c r="CUD3" s="120"/>
      <c r="CUE3" s="120"/>
      <c r="CUF3" s="120"/>
      <c r="CUG3" s="120"/>
      <c r="CUH3" s="120"/>
      <c r="CUI3" s="120"/>
      <c r="CUJ3" s="120"/>
      <c r="CUK3" s="120"/>
      <c r="CUL3" s="120"/>
      <c r="CUM3" s="120"/>
      <c r="CUN3" s="120"/>
      <c r="CUO3" s="120"/>
      <c r="CUP3" s="120"/>
      <c r="CUQ3" s="120"/>
      <c r="CUR3" s="120"/>
      <c r="CUS3" s="120"/>
      <c r="CUT3" s="120"/>
      <c r="CUU3" s="120"/>
      <c r="CUV3" s="120"/>
      <c r="CUW3" s="120"/>
      <c r="CUX3" s="120"/>
      <c r="CUY3" s="120"/>
      <c r="CUZ3" s="120"/>
      <c r="CVA3" s="120"/>
      <c r="CVB3" s="120"/>
      <c r="CVC3" s="120"/>
      <c r="CVD3" s="120"/>
      <c r="CVE3" s="120"/>
      <c r="CVF3" s="120"/>
      <c r="CVG3" s="120"/>
      <c r="CVH3" s="120"/>
      <c r="CVI3" s="120"/>
      <c r="CVJ3" s="120"/>
      <c r="CVK3" s="120"/>
      <c r="CVL3" s="120"/>
      <c r="CVM3" s="120"/>
      <c r="CVN3" s="120"/>
      <c r="CVO3" s="120"/>
      <c r="CVP3" s="120"/>
      <c r="CVQ3" s="120"/>
      <c r="CVR3" s="120"/>
      <c r="CVS3" s="120"/>
      <c r="CVT3" s="120"/>
      <c r="CVU3" s="120"/>
      <c r="CVV3" s="120"/>
      <c r="CVW3" s="120"/>
      <c r="CVX3" s="120"/>
      <c r="CVY3" s="120"/>
      <c r="CVZ3" s="120"/>
      <c r="CWA3" s="120"/>
      <c r="CWB3" s="120"/>
      <c r="CWC3" s="120"/>
      <c r="CWD3" s="120"/>
      <c r="CWE3" s="120"/>
      <c r="CWF3" s="120"/>
      <c r="CWG3" s="120"/>
      <c r="CWH3" s="120"/>
      <c r="CWI3" s="120"/>
      <c r="CWJ3" s="120"/>
      <c r="CWK3" s="120"/>
      <c r="CWL3" s="120"/>
      <c r="CWM3" s="120"/>
      <c r="CWN3" s="120"/>
      <c r="CWO3" s="120"/>
      <c r="CWP3" s="120"/>
      <c r="CWQ3" s="120"/>
      <c r="CWR3" s="120"/>
      <c r="CWS3" s="120"/>
      <c r="CWT3" s="120"/>
      <c r="CWU3" s="120"/>
      <c r="CWV3" s="120"/>
      <c r="CWW3" s="120"/>
      <c r="CWX3" s="120"/>
      <c r="CWY3" s="120"/>
      <c r="CWZ3" s="120"/>
      <c r="CXA3" s="120"/>
      <c r="CXB3" s="120"/>
      <c r="CXC3" s="120"/>
      <c r="CXD3" s="120"/>
      <c r="CXE3" s="120"/>
      <c r="CXF3" s="120"/>
      <c r="CXG3" s="120"/>
      <c r="CXH3" s="120"/>
      <c r="CXI3" s="120"/>
      <c r="CXJ3" s="120"/>
      <c r="CXK3" s="120"/>
      <c r="CXL3" s="120"/>
      <c r="CXM3" s="120"/>
      <c r="CXN3" s="120"/>
      <c r="CXO3" s="120"/>
      <c r="CXP3" s="120"/>
      <c r="CXQ3" s="120"/>
      <c r="CXR3" s="120"/>
      <c r="CXS3" s="120"/>
      <c r="CXT3" s="120"/>
      <c r="CXU3" s="120"/>
      <c r="CXV3" s="120"/>
      <c r="CXW3" s="120"/>
      <c r="CXX3" s="120"/>
      <c r="CXY3" s="120"/>
      <c r="CXZ3" s="120"/>
      <c r="CYA3" s="120"/>
      <c r="CYB3" s="120"/>
      <c r="CYC3" s="120"/>
      <c r="CYD3" s="120"/>
      <c r="CYE3" s="120"/>
      <c r="CYF3" s="120"/>
      <c r="CYG3" s="120"/>
      <c r="CYH3" s="120"/>
      <c r="CYI3" s="120"/>
      <c r="CYJ3" s="120"/>
      <c r="CYK3" s="120"/>
      <c r="CYL3" s="120"/>
      <c r="CYM3" s="120"/>
      <c r="CYN3" s="120"/>
      <c r="CYO3" s="120"/>
      <c r="CYP3" s="120"/>
      <c r="CYQ3" s="120"/>
      <c r="CYR3" s="120"/>
      <c r="CYS3" s="120"/>
      <c r="CYT3" s="120"/>
      <c r="CYU3" s="120"/>
      <c r="CYV3" s="120"/>
      <c r="CYW3" s="120"/>
      <c r="CYX3" s="120"/>
      <c r="CYY3" s="120"/>
      <c r="CYZ3" s="120"/>
      <c r="CZA3" s="120"/>
      <c r="CZB3" s="120"/>
      <c r="CZC3" s="120"/>
      <c r="CZD3" s="120"/>
      <c r="CZE3" s="120"/>
      <c r="CZF3" s="120"/>
      <c r="CZG3" s="120"/>
      <c r="CZH3" s="120"/>
      <c r="CZI3" s="120"/>
      <c r="CZJ3" s="120"/>
      <c r="CZK3" s="120"/>
      <c r="CZL3" s="120"/>
      <c r="CZM3" s="120"/>
      <c r="CZN3" s="120"/>
      <c r="CZO3" s="120"/>
      <c r="CZP3" s="120"/>
      <c r="CZQ3" s="120"/>
      <c r="CZR3" s="120"/>
      <c r="CZS3" s="120"/>
      <c r="CZT3" s="120"/>
      <c r="CZU3" s="120"/>
      <c r="CZV3" s="120"/>
      <c r="CZW3" s="120"/>
      <c r="CZX3" s="120"/>
      <c r="CZY3" s="120"/>
      <c r="CZZ3" s="120"/>
      <c r="DAA3" s="120"/>
      <c r="DAB3" s="120"/>
      <c r="DAC3" s="120"/>
      <c r="DAD3" s="120"/>
      <c r="DAE3" s="120"/>
      <c r="DAF3" s="120"/>
      <c r="DAG3" s="120"/>
      <c r="DAH3" s="120"/>
      <c r="DAI3" s="120"/>
      <c r="DAJ3" s="120"/>
      <c r="DAK3" s="120"/>
      <c r="DAL3" s="120"/>
      <c r="DAM3" s="120"/>
      <c r="DAN3" s="120"/>
      <c r="DAO3" s="120"/>
      <c r="DAP3" s="120"/>
      <c r="DAQ3" s="120"/>
      <c r="DAR3" s="120"/>
      <c r="DAS3" s="120"/>
      <c r="DAT3" s="120"/>
      <c r="DAU3" s="120"/>
      <c r="DAV3" s="120"/>
      <c r="DAW3" s="120"/>
      <c r="DAX3" s="120"/>
      <c r="DAY3" s="120"/>
      <c r="DAZ3" s="120"/>
      <c r="DBA3" s="120"/>
      <c r="DBB3" s="120"/>
      <c r="DBC3" s="120"/>
      <c r="DBD3" s="120"/>
      <c r="DBE3" s="120"/>
      <c r="DBF3" s="120"/>
      <c r="DBG3" s="120"/>
      <c r="DBH3" s="120"/>
      <c r="DBI3" s="120"/>
      <c r="DBJ3" s="120"/>
      <c r="DBK3" s="120"/>
      <c r="DBL3" s="120"/>
      <c r="DBM3" s="120"/>
      <c r="DBN3" s="120"/>
      <c r="DBO3" s="120"/>
      <c r="DBP3" s="120"/>
      <c r="DBQ3" s="120"/>
      <c r="DBR3" s="120"/>
      <c r="DBS3" s="120"/>
      <c r="DBT3" s="120"/>
      <c r="DBU3" s="120"/>
      <c r="DBV3" s="120"/>
      <c r="DBW3" s="120"/>
      <c r="DBX3" s="120"/>
      <c r="DBY3" s="120"/>
      <c r="DBZ3" s="120"/>
      <c r="DCA3" s="120"/>
      <c r="DCB3" s="120"/>
      <c r="DCC3" s="120"/>
      <c r="DCD3" s="120"/>
      <c r="DCE3" s="120"/>
      <c r="DCF3" s="120"/>
      <c r="DCG3" s="120"/>
      <c r="DCH3" s="120"/>
      <c r="DCI3" s="120"/>
      <c r="DCJ3" s="120"/>
      <c r="DCK3" s="120"/>
      <c r="DCL3" s="120"/>
      <c r="DCM3" s="120"/>
      <c r="DCN3" s="120"/>
      <c r="DCO3" s="120"/>
      <c r="DCP3" s="120"/>
      <c r="DCQ3" s="120"/>
      <c r="DCR3" s="120"/>
      <c r="DCS3" s="120"/>
      <c r="DCT3" s="120"/>
      <c r="DCU3" s="120"/>
      <c r="DCV3" s="120"/>
      <c r="DCW3" s="120"/>
      <c r="DCX3" s="120"/>
      <c r="DCY3" s="120"/>
      <c r="DCZ3" s="120"/>
      <c r="DDA3" s="120"/>
      <c r="DDB3" s="120"/>
      <c r="DDC3" s="120"/>
      <c r="DDD3" s="120"/>
      <c r="DDE3" s="120"/>
      <c r="DDF3" s="120"/>
      <c r="DDG3" s="120"/>
      <c r="DDH3" s="120"/>
      <c r="DDI3" s="120"/>
      <c r="DDJ3" s="120"/>
      <c r="DDK3" s="120"/>
      <c r="DDL3" s="120"/>
      <c r="DDM3" s="120"/>
      <c r="DDN3" s="120"/>
      <c r="DDO3" s="120"/>
      <c r="DDP3" s="120"/>
      <c r="DDQ3" s="120"/>
      <c r="DDR3" s="120"/>
      <c r="DDS3" s="120"/>
      <c r="DDT3" s="120"/>
      <c r="DDU3" s="120"/>
      <c r="DDV3" s="120"/>
      <c r="DDW3" s="120"/>
      <c r="DDX3" s="120"/>
      <c r="DDY3" s="120"/>
      <c r="DDZ3" s="120"/>
      <c r="DEA3" s="120"/>
      <c r="DEB3" s="120"/>
      <c r="DEC3" s="120"/>
      <c r="DED3" s="120"/>
      <c r="DEE3" s="120"/>
      <c r="DEF3" s="120"/>
      <c r="DEG3" s="120"/>
      <c r="DEH3" s="120"/>
      <c r="DEI3" s="120"/>
      <c r="DEJ3" s="120"/>
      <c r="DEK3" s="120"/>
      <c r="DEL3" s="120"/>
      <c r="DEM3" s="120"/>
      <c r="DEN3" s="120"/>
      <c r="DEO3" s="120"/>
      <c r="DEP3" s="120"/>
      <c r="DEQ3" s="120"/>
      <c r="DER3" s="120"/>
      <c r="DES3" s="120"/>
      <c r="DET3" s="120"/>
      <c r="DEU3" s="120"/>
      <c r="DEV3" s="120"/>
      <c r="DEW3" s="120"/>
      <c r="DEX3" s="120"/>
      <c r="DEY3" s="120"/>
      <c r="DEZ3" s="120"/>
      <c r="DFA3" s="120"/>
      <c r="DFB3" s="120"/>
      <c r="DFC3" s="120"/>
      <c r="DFD3" s="120"/>
      <c r="DFE3" s="120"/>
      <c r="DFF3" s="120"/>
      <c r="DFG3" s="120"/>
      <c r="DFH3" s="120"/>
      <c r="DFI3" s="120"/>
      <c r="DFJ3" s="120"/>
      <c r="DFK3" s="120"/>
      <c r="DFL3" s="120"/>
      <c r="DFM3" s="120"/>
      <c r="DFN3" s="120"/>
      <c r="DFO3" s="120"/>
      <c r="DFP3" s="120"/>
      <c r="DFQ3" s="120"/>
      <c r="DFR3" s="120"/>
      <c r="DFS3" s="120"/>
      <c r="DFT3" s="120"/>
      <c r="DFU3" s="120"/>
      <c r="DFV3" s="120"/>
      <c r="DFW3" s="120"/>
      <c r="DFX3" s="120"/>
      <c r="DFY3" s="120"/>
      <c r="DFZ3" s="120"/>
      <c r="DGA3" s="120"/>
      <c r="DGB3" s="120"/>
      <c r="DGC3" s="120"/>
      <c r="DGD3" s="120"/>
      <c r="DGE3" s="120"/>
      <c r="DGF3" s="120"/>
      <c r="DGG3" s="120"/>
      <c r="DGH3" s="120"/>
      <c r="DGI3" s="120"/>
      <c r="DGJ3" s="120"/>
      <c r="DGK3" s="120"/>
      <c r="DGL3" s="120"/>
      <c r="DGM3" s="120"/>
      <c r="DGN3" s="120"/>
      <c r="DGO3" s="120"/>
      <c r="DGP3" s="120"/>
      <c r="DGQ3" s="120"/>
      <c r="DGR3" s="120"/>
      <c r="DGS3" s="120"/>
      <c r="DGT3" s="120"/>
      <c r="DGU3" s="120"/>
      <c r="DGV3" s="120"/>
      <c r="DGW3" s="120"/>
      <c r="DGX3" s="120"/>
      <c r="DGY3" s="120"/>
      <c r="DGZ3" s="120"/>
      <c r="DHA3" s="120"/>
      <c r="DHB3" s="120"/>
      <c r="DHC3" s="120"/>
      <c r="DHD3" s="120"/>
      <c r="DHE3" s="120"/>
      <c r="DHF3" s="120"/>
      <c r="DHG3" s="120"/>
      <c r="DHH3" s="120"/>
      <c r="DHI3" s="120"/>
      <c r="DHJ3" s="120"/>
      <c r="DHK3" s="120"/>
      <c r="DHL3" s="120"/>
      <c r="DHM3" s="120"/>
      <c r="DHN3" s="120"/>
      <c r="DHO3" s="120"/>
      <c r="DHP3" s="120"/>
      <c r="DHQ3" s="120"/>
      <c r="DHR3" s="120"/>
      <c r="DHS3" s="120"/>
      <c r="DHT3" s="120"/>
      <c r="DHU3" s="120"/>
      <c r="DHV3" s="120"/>
      <c r="DHW3" s="120"/>
      <c r="DHX3" s="120"/>
      <c r="DHY3" s="120"/>
      <c r="DHZ3" s="120"/>
      <c r="DIA3" s="120"/>
      <c r="DIB3" s="120"/>
      <c r="DIC3" s="120"/>
      <c r="DID3" s="120"/>
      <c r="DIE3" s="120"/>
      <c r="DIF3" s="120"/>
      <c r="DIG3" s="120"/>
      <c r="DIH3" s="120"/>
      <c r="DII3" s="120"/>
      <c r="DIJ3" s="120"/>
      <c r="DIK3" s="120"/>
      <c r="DIL3" s="120"/>
      <c r="DIM3" s="120"/>
      <c r="DIN3" s="120"/>
      <c r="DIO3" s="120"/>
      <c r="DIP3" s="120"/>
      <c r="DIQ3" s="120"/>
      <c r="DIR3" s="120"/>
      <c r="DIS3" s="120"/>
      <c r="DIT3" s="120"/>
      <c r="DIU3" s="120"/>
      <c r="DIV3" s="120"/>
      <c r="DIW3" s="120"/>
      <c r="DIX3" s="120"/>
      <c r="DIY3" s="120"/>
      <c r="DIZ3" s="120"/>
      <c r="DJA3" s="120"/>
      <c r="DJB3" s="120"/>
      <c r="DJC3" s="120"/>
      <c r="DJD3" s="120"/>
      <c r="DJE3" s="120"/>
      <c r="DJF3" s="120"/>
      <c r="DJG3" s="120"/>
      <c r="DJH3" s="120"/>
      <c r="DJI3" s="120"/>
      <c r="DJJ3" s="120"/>
      <c r="DJK3" s="120"/>
      <c r="DJL3" s="120"/>
      <c r="DJM3" s="120"/>
      <c r="DJN3" s="120"/>
      <c r="DJO3" s="120"/>
      <c r="DJP3" s="120"/>
      <c r="DJQ3" s="120"/>
      <c r="DJR3" s="120"/>
      <c r="DJS3" s="120"/>
      <c r="DJT3" s="120"/>
      <c r="DJU3" s="120"/>
      <c r="DJV3" s="120"/>
      <c r="DJW3" s="120"/>
      <c r="DJX3" s="120"/>
      <c r="DJY3" s="120"/>
      <c r="DJZ3" s="120"/>
      <c r="DKA3" s="120"/>
      <c r="DKB3" s="120"/>
      <c r="DKC3" s="120"/>
      <c r="DKD3" s="120"/>
      <c r="DKE3" s="120"/>
      <c r="DKF3" s="120"/>
      <c r="DKG3" s="120"/>
      <c r="DKH3" s="120"/>
      <c r="DKI3" s="120"/>
      <c r="DKJ3" s="120"/>
      <c r="DKK3" s="120"/>
      <c r="DKL3" s="120"/>
      <c r="DKM3" s="120"/>
      <c r="DKN3" s="120"/>
      <c r="DKO3" s="120"/>
      <c r="DKP3" s="120"/>
      <c r="DKQ3" s="120"/>
      <c r="DKR3" s="120"/>
      <c r="DKS3" s="120"/>
      <c r="DKT3" s="120"/>
      <c r="DKU3" s="120"/>
      <c r="DKV3" s="120"/>
      <c r="DKW3" s="120"/>
      <c r="DKX3" s="120"/>
      <c r="DKY3" s="120"/>
      <c r="DKZ3" s="120"/>
      <c r="DLA3" s="120"/>
      <c r="DLB3" s="120"/>
      <c r="DLC3" s="120"/>
      <c r="DLD3" s="120"/>
      <c r="DLE3" s="120"/>
      <c r="DLF3" s="120"/>
      <c r="DLG3" s="120"/>
      <c r="DLH3" s="120"/>
      <c r="DLI3" s="120"/>
      <c r="DLJ3" s="120"/>
      <c r="DLK3" s="120"/>
      <c r="DLL3" s="120"/>
      <c r="DLM3" s="120"/>
      <c r="DLN3" s="120"/>
      <c r="DLO3" s="120"/>
      <c r="DLP3" s="120"/>
      <c r="DLQ3" s="120"/>
      <c r="DLR3" s="120"/>
      <c r="DLS3" s="120"/>
      <c r="DLT3" s="120"/>
      <c r="DLU3" s="120"/>
      <c r="DLV3" s="120"/>
      <c r="DLW3" s="120"/>
      <c r="DLX3" s="120"/>
      <c r="DLY3" s="120"/>
      <c r="DLZ3" s="120"/>
      <c r="DMA3" s="120"/>
      <c r="DMB3" s="120"/>
      <c r="DMC3" s="120"/>
      <c r="DMD3" s="120"/>
      <c r="DME3" s="120"/>
      <c r="DMF3" s="120"/>
      <c r="DMG3" s="120"/>
      <c r="DMH3" s="120"/>
      <c r="DMI3" s="120"/>
      <c r="DMJ3" s="120"/>
      <c r="DMK3" s="120"/>
      <c r="DML3" s="120"/>
      <c r="DMM3" s="120"/>
      <c r="DMN3" s="120"/>
      <c r="DMO3" s="120"/>
      <c r="DMP3" s="120"/>
      <c r="DMQ3" s="120"/>
      <c r="DMR3" s="120"/>
      <c r="DMS3" s="120"/>
      <c r="DMT3" s="120"/>
      <c r="DMU3" s="120"/>
      <c r="DMV3" s="120"/>
      <c r="DMW3" s="120"/>
      <c r="DMX3" s="120"/>
      <c r="DMY3" s="120"/>
      <c r="DMZ3" s="120"/>
      <c r="DNA3" s="120"/>
      <c r="DNB3" s="120"/>
      <c r="DNC3" s="120"/>
      <c r="DND3" s="120"/>
      <c r="DNE3" s="120"/>
      <c r="DNF3" s="120"/>
      <c r="DNG3" s="120"/>
      <c r="DNH3" s="120"/>
      <c r="DNI3" s="120"/>
      <c r="DNJ3" s="120"/>
      <c r="DNK3" s="120"/>
      <c r="DNL3" s="120"/>
      <c r="DNM3" s="120"/>
      <c r="DNN3" s="120"/>
      <c r="DNO3" s="120"/>
      <c r="DNP3" s="120"/>
      <c r="DNQ3" s="120"/>
      <c r="DNR3" s="120"/>
      <c r="DNS3" s="120"/>
      <c r="DNT3" s="120"/>
      <c r="DNU3" s="120"/>
      <c r="DNV3" s="120"/>
      <c r="DNW3" s="120"/>
      <c r="DNX3" s="120"/>
      <c r="DNY3" s="120"/>
      <c r="DNZ3" s="120"/>
      <c r="DOA3" s="120"/>
      <c r="DOB3" s="120"/>
      <c r="DOC3" s="120"/>
      <c r="DOD3" s="120"/>
      <c r="DOE3" s="120"/>
      <c r="DOF3" s="120"/>
      <c r="DOG3" s="120"/>
      <c r="DOH3" s="120"/>
      <c r="DOI3" s="120"/>
      <c r="DOJ3" s="120"/>
      <c r="DOK3" s="120"/>
      <c r="DOL3" s="120"/>
      <c r="DOM3" s="120"/>
      <c r="DON3" s="120"/>
      <c r="DOO3" s="120"/>
      <c r="DOP3" s="120"/>
      <c r="DOQ3" s="120"/>
      <c r="DOR3" s="120"/>
      <c r="DOS3" s="120"/>
      <c r="DOT3" s="120"/>
      <c r="DOU3" s="120"/>
      <c r="DOV3" s="120"/>
      <c r="DOW3" s="120"/>
      <c r="DOX3" s="120"/>
      <c r="DOY3" s="120"/>
      <c r="DOZ3" s="120"/>
      <c r="DPA3" s="120"/>
      <c r="DPB3" s="120"/>
      <c r="DPC3" s="120"/>
      <c r="DPD3" s="120"/>
      <c r="DPE3" s="120"/>
      <c r="DPF3" s="120"/>
      <c r="DPG3" s="120"/>
      <c r="DPH3" s="120"/>
      <c r="DPI3" s="120"/>
      <c r="DPJ3" s="120"/>
      <c r="DPK3" s="120"/>
      <c r="DPL3" s="120"/>
      <c r="DPM3" s="120"/>
      <c r="DPN3" s="120"/>
      <c r="DPO3" s="120"/>
      <c r="DPP3" s="120"/>
      <c r="DPQ3" s="120"/>
      <c r="DPR3" s="120"/>
      <c r="DPS3" s="120"/>
      <c r="DPT3" s="120"/>
      <c r="DPU3" s="120"/>
      <c r="DPV3" s="120"/>
      <c r="DPW3" s="120"/>
      <c r="DPX3" s="120"/>
      <c r="DPY3" s="120"/>
      <c r="DPZ3" s="120"/>
      <c r="DQA3" s="120"/>
      <c r="DQB3" s="120"/>
      <c r="DQC3" s="120"/>
      <c r="DQD3" s="120"/>
      <c r="DQE3" s="120"/>
      <c r="DQF3" s="120"/>
      <c r="DQG3" s="120"/>
      <c r="DQH3" s="120"/>
      <c r="DQI3" s="120"/>
      <c r="DQJ3" s="120"/>
      <c r="DQK3" s="120"/>
      <c r="DQL3" s="120"/>
      <c r="DQM3" s="120"/>
      <c r="DQN3" s="120"/>
      <c r="DQO3" s="120"/>
      <c r="DQP3" s="120"/>
      <c r="DQQ3" s="120"/>
      <c r="DQR3" s="120"/>
      <c r="DQS3" s="120"/>
      <c r="DQT3" s="120"/>
      <c r="DQU3" s="120"/>
      <c r="DQV3" s="120"/>
      <c r="DQW3" s="120"/>
      <c r="DQX3" s="120"/>
      <c r="DQY3" s="120"/>
      <c r="DQZ3" s="120"/>
      <c r="DRA3" s="120"/>
      <c r="DRB3" s="120"/>
      <c r="DRC3" s="120"/>
      <c r="DRD3" s="120"/>
      <c r="DRE3" s="120"/>
      <c r="DRF3" s="120"/>
      <c r="DRG3" s="120"/>
      <c r="DRH3" s="120"/>
      <c r="DRI3" s="120"/>
      <c r="DRJ3" s="120"/>
      <c r="DRK3" s="120"/>
      <c r="DRL3" s="120"/>
      <c r="DRM3" s="120"/>
      <c r="DRN3" s="120"/>
      <c r="DRO3" s="120"/>
      <c r="DRP3" s="120"/>
      <c r="DRQ3" s="120"/>
      <c r="DRR3" s="120"/>
      <c r="DRS3" s="120"/>
      <c r="DRT3" s="120"/>
      <c r="DRU3" s="120"/>
      <c r="DRV3" s="120"/>
      <c r="DRW3" s="120"/>
      <c r="DRX3" s="120"/>
      <c r="DRY3" s="120"/>
      <c r="DRZ3" s="120"/>
      <c r="DSA3" s="120"/>
      <c r="DSB3" s="120"/>
      <c r="DSC3" s="120"/>
      <c r="DSD3" s="120"/>
      <c r="DSE3" s="120"/>
      <c r="DSF3" s="120"/>
      <c r="DSG3" s="120"/>
      <c r="DSH3" s="120"/>
      <c r="DSI3" s="120"/>
      <c r="DSJ3" s="120"/>
      <c r="DSK3" s="120"/>
      <c r="DSL3" s="120"/>
      <c r="DSM3" s="120"/>
      <c r="DSN3" s="120"/>
      <c r="DSO3" s="120"/>
      <c r="DSP3" s="120"/>
      <c r="DSQ3" s="120"/>
      <c r="DSR3" s="120"/>
      <c r="DSS3" s="120"/>
      <c r="DST3" s="120"/>
      <c r="DSU3" s="120"/>
      <c r="DSV3" s="120"/>
      <c r="DSW3" s="120"/>
      <c r="DSX3" s="120"/>
      <c r="DSY3" s="120"/>
      <c r="DSZ3" s="120"/>
      <c r="DTA3" s="120"/>
      <c r="DTB3" s="120"/>
      <c r="DTC3" s="120"/>
      <c r="DTD3" s="120"/>
      <c r="DTE3" s="120"/>
      <c r="DTF3" s="120"/>
      <c r="DTG3" s="120"/>
      <c r="DTH3" s="120"/>
      <c r="DTI3" s="120"/>
      <c r="DTJ3" s="120"/>
      <c r="DTK3" s="120"/>
      <c r="DTL3" s="120"/>
      <c r="DTM3" s="120"/>
      <c r="DTN3" s="120"/>
      <c r="DTO3" s="120"/>
      <c r="DTP3" s="120"/>
      <c r="DTQ3" s="120"/>
      <c r="DTR3" s="120"/>
      <c r="DTS3" s="120"/>
      <c r="DTT3" s="120"/>
      <c r="DTU3" s="120"/>
      <c r="DTV3" s="120"/>
      <c r="DTW3" s="120"/>
      <c r="DTX3" s="120"/>
      <c r="DTY3" s="120"/>
      <c r="DTZ3" s="120"/>
      <c r="DUA3" s="120"/>
      <c r="DUB3" s="120"/>
      <c r="DUC3" s="120"/>
      <c r="DUD3" s="120"/>
      <c r="DUE3" s="120"/>
      <c r="DUF3" s="120"/>
      <c r="DUG3" s="120"/>
      <c r="DUH3" s="120"/>
      <c r="DUI3" s="120"/>
      <c r="DUJ3" s="120"/>
      <c r="DUK3" s="120"/>
      <c r="DUL3" s="120"/>
      <c r="DUM3" s="120"/>
      <c r="DUN3" s="120"/>
      <c r="DUO3" s="120"/>
      <c r="DUP3" s="120"/>
      <c r="DUQ3" s="120"/>
      <c r="DUR3" s="120"/>
      <c r="DUS3" s="120"/>
      <c r="DUT3" s="120"/>
      <c r="DUU3" s="120"/>
      <c r="DUV3" s="120"/>
      <c r="DUW3" s="120"/>
      <c r="DUX3" s="120"/>
      <c r="DUY3" s="120"/>
      <c r="DUZ3" s="120"/>
      <c r="DVA3" s="120"/>
      <c r="DVB3" s="120"/>
      <c r="DVC3" s="120"/>
      <c r="DVD3" s="120"/>
      <c r="DVE3" s="120"/>
      <c r="DVF3" s="120"/>
      <c r="DVG3" s="120"/>
      <c r="DVH3" s="120"/>
      <c r="DVI3" s="120"/>
      <c r="DVJ3" s="120"/>
      <c r="DVK3" s="120"/>
      <c r="DVL3" s="120"/>
      <c r="DVM3" s="120"/>
      <c r="DVN3" s="120"/>
      <c r="DVO3" s="120"/>
      <c r="DVP3" s="120"/>
      <c r="DVQ3" s="120"/>
      <c r="DVR3" s="120"/>
      <c r="DVS3" s="120"/>
      <c r="DVT3" s="120"/>
      <c r="DVU3" s="120"/>
      <c r="DVV3" s="120"/>
      <c r="DVW3" s="120"/>
      <c r="DVX3" s="120"/>
      <c r="DVY3" s="120"/>
      <c r="DVZ3" s="120"/>
      <c r="DWA3" s="120"/>
      <c r="DWB3" s="120"/>
      <c r="DWC3" s="120"/>
      <c r="DWD3" s="120"/>
      <c r="DWE3" s="120"/>
      <c r="DWF3" s="120"/>
      <c r="DWG3" s="120"/>
      <c r="DWH3" s="120"/>
      <c r="DWI3" s="120"/>
      <c r="DWJ3" s="120"/>
      <c r="DWK3" s="120"/>
      <c r="DWL3" s="120"/>
      <c r="DWM3" s="120"/>
      <c r="DWN3" s="120"/>
      <c r="DWO3" s="120"/>
      <c r="DWP3" s="120"/>
      <c r="DWQ3" s="120"/>
      <c r="DWR3" s="120"/>
      <c r="DWS3" s="120"/>
      <c r="DWT3" s="120"/>
      <c r="DWU3" s="120"/>
      <c r="DWV3" s="120"/>
      <c r="DWW3" s="120"/>
      <c r="DWX3" s="120"/>
      <c r="DWY3" s="120"/>
      <c r="DWZ3" s="120"/>
      <c r="DXA3" s="120"/>
      <c r="DXB3" s="120"/>
      <c r="DXC3" s="120"/>
      <c r="DXD3" s="120"/>
      <c r="DXE3" s="120"/>
      <c r="DXF3" s="120"/>
      <c r="DXG3" s="120"/>
      <c r="DXH3" s="120"/>
      <c r="DXI3" s="120"/>
      <c r="DXJ3" s="120"/>
      <c r="DXK3" s="120"/>
      <c r="DXL3" s="120"/>
      <c r="DXM3" s="120"/>
      <c r="DXN3" s="120"/>
      <c r="DXO3" s="120"/>
      <c r="DXP3" s="120"/>
      <c r="DXQ3" s="120"/>
      <c r="DXR3" s="120"/>
      <c r="DXS3" s="120"/>
      <c r="DXT3" s="120"/>
      <c r="DXU3" s="120"/>
      <c r="DXV3" s="120"/>
      <c r="DXW3" s="120"/>
      <c r="DXX3" s="120"/>
      <c r="DXY3" s="120"/>
      <c r="DXZ3" s="120"/>
      <c r="DYA3" s="120"/>
      <c r="DYB3" s="120"/>
      <c r="DYC3" s="120"/>
      <c r="DYD3" s="120"/>
      <c r="DYE3" s="120"/>
      <c r="DYF3" s="120"/>
      <c r="DYG3" s="120"/>
      <c r="DYH3" s="120"/>
      <c r="DYI3" s="120"/>
      <c r="DYJ3" s="120"/>
      <c r="DYK3" s="120"/>
      <c r="DYL3" s="120"/>
      <c r="DYM3" s="120"/>
      <c r="DYN3" s="120"/>
      <c r="DYO3" s="120"/>
      <c r="DYP3" s="120"/>
      <c r="DYQ3" s="120"/>
      <c r="DYR3" s="120"/>
      <c r="DYS3" s="120"/>
      <c r="DYT3" s="120"/>
      <c r="DYU3" s="120"/>
      <c r="DYV3" s="120"/>
      <c r="DYW3" s="120"/>
      <c r="DYX3" s="120"/>
      <c r="DYY3" s="120"/>
      <c r="DYZ3" s="120"/>
      <c r="DZA3" s="120"/>
      <c r="DZB3" s="120"/>
      <c r="DZC3" s="120"/>
      <c r="DZD3" s="120"/>
      <c r="DZE3" s="120"/>
      <c r="DZF3" s="120"/>
      <c r="DZG3" s="120"/>
      <c r="DZH3" s="120"/>
      <c r="DZI3" s="120"/>
      <c r="DZJ3" s="120"/>
      <c r="DZK3" s="120"/>
      <c r="DZL3" s="120"/>
      <c r="DZM3" s="120"/>
      <c r="DZN3" s="120"/>
      <c r="DZO3" s="120"/>
      <c r="DZP3" s="120"/>
      <c r="DZQ3" s="120"/>
      <c r="DZR3" s="120"/>
      <c r="DZS3" s="120"/>
      <c r="DZT3" s="120"/>
      <c r="DZU3" s="120"/>
      <c r="DZV3" s="120"/>
      <c r="DZW3" s="120"/>
      <c r="DZX3" s="120"/>
      <c r="DZY3" s="120"/>
      <c r="DZZ3" s="120"/>
      <c r="EAA3" s="120"/>
      <c r="EAB3" s="120"/>
      <c r="EAC3" s="120"/>
      <c r="EAD3" s="120"/>
      <c r="EAE3" s="120"/>
      <c r="EAF3" s="120"/>
      <c r="EAG3" s="120"/>
      <c r="EAH3" s="120"/>
      <c r="EAI3" s="120"/>
      <c r="EAJ3" s="120"/>
      <c r="EAK3" s="120"/>
      <c r="EAL3" s="120"/>
      <c r="EAM3" s="120"/>
      <c r="EAN3" s="120"/>
      <c r="EAO3" s="120"/>
      <c r="EAP3" s="120"/>
      <c r="EAQ3" s="120"/>
      <c r="EAR3" s="120"/>
      <c r="EAS3" s="120"/>
      <c r="EAT3" s="120"/>
      <c r="EAU3" s="120"/>
      <c r="EAV3" s="120"/>
      <c r="EAW3" s="120"/>
      <c r="EAX3" s="120"/>
      <c r="EAY3" s="120"/>
      <c r="EAZ3" s="120"/>
      <c r="EBA3" s="120"/>
      <c r="EBB3" s="120"/>
      <c r="EBC3" s="120"/>
      <c r="EBD3" s="120"/>
      <c r="EBE3" s="120"/>
      <c r="EBF3" s="120"/>
      <c r="EBG3" s="120"/>
      <c r="EBH3" s="120"/>
      <c r="EBI3" s="120"/>
      <c r="EBJ3" s="120"/>
      <c r="EBK3" s="120"/>
      <c r="EBL3" s="120"/>
      <c r="EBM3" s="120"/>
      <c r="EBN3" s="120"/>
      <c r="EBO3" s="120"/>
      <c r="EBP3" s="120"/>
      <c r="EBQ3" s="120"/>
      <c r="EBR3" s="120"/>
      <c r="EBS3" s="120"/>
      <c r="EBT3" s="120"/>
      <c r="EBU3" s="120"/>
      <c r="EBV3" s="120"/>
      <c r="EBW3" s="120"/>
      <c r="EBX3" s="120"/>
      <c r="EBY3" s="120"/>
      <c r="EBZ3" s="120"/>
      <c r="ECA3" s="120"/>
      <c r="ECB3" s="120"/>
      <c r="ECC3" s="120"/>
      <c r="ECD3" s="120"/>
      <c r="ECE3" s="120"/>
      <c r="ECF3" s="120"/>
      <c r="ECG3" s="120"/>
      <c r="ECH3" s="120"/>
      <c r="ECI3" s="120"/>
      <c r="ECJ3" s="120"/>
      <c r="ECK3" s="120"/>
      <c r="ECL3" s="120"/>
      <c r="ECM3" s="120"/>
      <c r="ECN3" s="120"/>
      <c r="ECO3" s="120"/>
      <c r="ECP3" s="120"/>
      <c r="ECQ3" s="120"/>
      <c r="ECR3" s="120"/>
      <c r="ECS3" s="120"/>
      <c r="ECT3" s="120"/>
      <c r="ECU3" s="120"/>
      <c r="ECV3" s="120"/>
      <c r="ECW3" s="120"/>
      <c r="ECX3" s="120"/>
      <c r="ECY3" s="120"/>
      <c r="ECZ3" s="120"/>
      <c r="EDA3" s="120"/>
      <c r="EDB3" s="120"/>
      <c r="EDC3" s="120"/>
      <c r="EDD3" s="120"/>
      <c r="EDE3" s="120"/>
      <c r="EDF3" s="120"/>
      <c r="EDG3" s="120"/>
      <c r="EDH3" s="120"/>
      <c r="EDI3" s="120"/>
      <c r="EDJ3" s="120"/>
      <c r="EDK3" s="120"/>
      <c r="EDL3" s="120"/>
      <c r="EDM3" s="120"/>
      <c r="EDN3" s="120"/>
      <c r="EDO3" s="120"/>
      <c r="EDP3" s="120"/>
      <c r="EDQ3" s="120"/>
      <c r="EDR3" s="120"/>
      <c r="EDS3" s="120"/>
      <c r="EDT3" s="120"/>
      <c r="EDU3" s="120"/>
      <c r="EDV3" s="120"/>
      <c r="EDW3" s="120"/>
      <c r="EDX3" s="120"/>
      <c r="EDY3" s="120"/>
      <c r="EDZ3" s="120"/>
      <c r="EEA3" s="120"/>
      <c r="EEB3" s="120"/>
      <c r="EEC3" s="120"/>
      <c r="EED3" s="120"/>
      <c r="EEE3" s="120"/>
      <c r="EEF3" s="120"/>
      <c r="EEG3" s="120"/>
      <c r="EEH3" s="120"/>
      <c r="EEI3" s="120"/>
      <c r="EEJ3" s="120"/>
      <c r="EEK3" s="120"/>
      <c r="EEL3" s="120"/>
      <c r="EEM3" s="120"/>
      <c r="EEN3" s="120"/>
      <c r="EEO3" s="120"/>
      <c r="EEP3" s="120"/>
      <c r="EEQ3" s="120"/>
      <c r="EER3" s="120"/>
      <c r="EES3" s="120"/>
      <c r="EET3" s="120"/>
      <c r="EEU3" s="120"/>
      <c r="EEV3" s="120"/>
      <c r="EEW3" s="120"/>
      <c r="EEX3" s="120"/>
      <c r="EEY3" s="120"/>
      <c r="EEZ3" s="120"/>
      <c r="EFA3" s="120"/>
      <c r="EFB3" s="120"/>
      <c r="EFC3" s="120"/>
      <c r="EFD3" s="120"/>
      <c r="EFE3" s="120"/>
      <c r="EFF3" s="120"/>
      <c r="EFG3" s="120"/>
      <c r="EFH3" s="120"/>
      <c r="EFI3" s="120"/>
      <c r="EFJ3" s="120"/>
      <c r="EFK3" s="120"/>
      <c r="EFL3" s="120"/>
      <c r="EFM3" s="120"/>
      <c r="EFN3" s="120"/>
      <c r="EFO3" s="120"/>
      <c r="EFP3" s="120"/>
      <c r="EFQ3" s="120"/>
      <c r="EFR3" s="120"/>
      <c r="EFS3" s="120"/>
      <c r="EFT3" s="120"/>
      <c r="EFU3" s="120"/>
      <c r="EFV3" s="120"/>
      <c r="EFW3" s="120"/>
      <c r="EFX3" s="120"/>
      <c r="EFY3" s="120"/>
      <c r="EFZ3" s="120"/>
      <c r="EGA3" s="120"/>
      <c r="EGB3" s="120"/>
      <c r="EGC3" s="120"/>
      <c r="EGD3" s="120"/>
      <c r="EGE3" s="120"/>
      <c r="EGF3" s="120"/>
      <c r="EGG3" s="120"/>
      <c r="EGH3" s="120"/>
      <c r="EGI3" s="120"/>
      <c r="EGJ3" s="120"/>
      <c r="EGK3" s="120"/>
      <c r="EGL3" s="120"/>
      <c r="EGM3" s="120"/>
      <c r="EGN3" s="120"/>
      <c r="EGO3" s="120"/>
      <c r="EGP3" s="120"/>
      <c r="EGQ3" s="120"/>
      <c r="EGR3" s="120"/>
      <c r="EGS3" s="120"/>
      <c r="EGT3" s="120"/>
      <c r="EGU3" s="120"/>
      <c r="EGV3" s="120"/>
      <c r="EGW3" s="120"/>
      <c r="EGX3" s="120"/>
      <c r="EGY3" s="120"/>
      <c r="EGZ3" s="120"/>
      <c r="EHA3" s="120"/>
      <c r="EHB3" s="120"/>
      <c r="EHC3" s="120"/>
      <c r="EHD3" s="120"/>
      <c r="EHE3" s="120"/>
      <c r="EHF3" s="120"/>
      <c r="EHG3" s="120"/>
      <c r="EHH3" s="120"/>
      <c r="EHI3" s="120"/>
      <c r="EHJ3" s="120"/>
      <c r="EHK3" s="120"/>
      <c r="EHL3" s="120"/>
      <c r="EHM3" s="120"/>
      <c r="EHN3" s="120"/>
      <c r="EHO3" s="120"/>
      <c r="EHP3" s="120"/>
      <c r="EHQ3" s="120"/>
      <c r="EHR3" s="120"/>
      <c r="EHS3" s="120"/>
      <c r="EHT3" s="120"/>
      <c r="EHU3" s="120"/>
      <c r="EHV3" s="120"/>
      <c r="EHW3" s="120"/>
      <c r="EHX3" s="120"/>
      <c r="EHY3" s="120"/>
      <c r="EHZ3" s="120"/>
      <c r="EIA3" s="120"/>
      <c r="EIB3" s="120"/>
      <c r="EIC3" s="120"/>
      <c r="EID3" s="120"/>
      <c r="EIE3" s="120"/>
      <c r="EIF3" s="120"/>
      <c r="EIG3" s="120"/>
      <c r="EIH3" s="120"/>
      <c r="EII3" s="120"/>
      <c r="EIJ3" s="120"/>
      <c r="EIK3" s="120"/>
      <c r="EIL3" s="120"/>
      <c r="EIM3" s="120"/>
      <c r="EIN3" s="120"/>
      <c r="EIO3" s="120"/>
      <c r="EIP3" s="120"/>
      <c r="EIQ3" s="120"/>
      <c r="EIR3" s="120"/>
      <c r="EIS3" s="120"/>
      <c r="EIT3" s="120"/>
      <c r="EIU3" s="120"/>
      <c r="EIV3" s="120"/>
      <c r="EIW3" s="120"/>
      <c r="EIX3" s="120"/>
      <c r="EIY3" s="120"/>
      <c r="EIZ3" s="120"/>
      <c r="EJA3" s="120"/>
      <c r="EJB3" s="120"/>
      <c r="EJC3" s="120"/>
      <c r="EJD3" s="120"/>
      <c r="EJE3" s="120"/>
      <c r="EJF3" s="120"/>
      <c r="EJG3" s="120"/>
      <c r="EJH3" s="120"/>
      <c r="EJI3" s="120"/>
      <c r="EJJ3" s="120"/>
      <c r="EJK3" s="120"/>
      <c r="EJL3" s="120"/>
      <c r="EJM3" s="120"/>
      <c r="EJN3" s="120"/>
      <c r="EJO3" s="120"/>
      <c r="EJP3" s="120"/>
      <c r="EJQ3" s="120"/>
      <c r="EJR3" s="120"/>
      <c r="EJS3" s="120"/>
      <c r="EJT3" s="120"/>
      <c r="EJU3" s="120"/>
      <c r="EJV3" s="120"/>
      <c r="EJW3" s="120"/>
      <c r="EJX3" s="120"/>
      <c r="EJY3" s="120"/>
      <c r="EJZ3" s="120"/>
      <c r="EKA3" s="120"/>
      <c r="EKB3" s="120"/>
      <c r="EKC3" s="120"/>
      <c r="EKD3" s="120"/>
      <c r="EKE3" s="120"/>
      <c r="EKF3" s="120"/>
      <c r="EKG3" s="120"/>
      <c r="EKH3" s="120"/>
      <c r="EKI3" s="120"/>
      <c r="EKJ3" s="120"/>
      <c r="EKK3" s="120"/>
      <c r="EKL3" s="120"/>
      <c r="EKM3" s="120"/>
      <c r="EKN3" s="120"/>
      <c r="EKO3" s="120"/>
      <c r="EKP3" s="120"/>
      <c r="EKQ3" s="120"/>
      <c r="EKR3" s="120"/>
      <c r="EKS3" s="120"/>
      <c r="EKT3" s="120"/>
      <c r="EKU3" s="120"/>
      <c r="EKV3" s="120"/>
      <c r="EKW3" s="120"/>
      <c r="EKX3" s="120"/>
      <c r="EKY3" s="120"/>
      <c r="EKZ3" s="120"/>
      <c r="ELA3" s="120"/>
      <c r="ELB3" s="120"/>
      <c r="ELC3" s="120"/>
      <c r="ELD3" s="120"/>
      <c r="ELE3" s="120"/>
      <c r="ELF3" s="120"/>
      <c r="ELG3" s="120"/>
      <c r="ELH3" s="120"/>
      <c r="ELI3" s="120"/>
      <c r="ELJ3" s="120"/>
      <c r="ELK3" s="120"/>
      <c r="ELL3" s="120"/>
      <c r="ELM3" s="120"/>
      <c r="ELN3" s="120"/>
      <c r="ELO3" s="120"/>
      <c r="ELP3" s="120"/>
      <c r="ELQ3" s="120"/>
      <c r="ELR3" s="120"/>
      <c r="ELS3" s="120"/>
      <c r="ELT3" s="120"/>
      <c r="ELU3" s="120"/>
      <c r="ELV3" s="120"/>
      <c r="ELW3" s="120"/>
      <c r="ELX3" s="120"/>
      <c r="ELY3" s="120"/>
      <c r="ELZ3" s="120"/>
      <c r="EMA3" s="120"/>
      <c r="EMB3" s="120"/>
      <c r="EMC3" s="120"/>
      <c r="EMD3" s="120"/>
      <c r="EME3" s="120"/>
      <c r="EMF3" s="120"/>
      <c r="EMG3" s="120"/>
      <c r="EMH3" s="120"/>
      <c r="EMI3" s="120"/>
      <c r="EMJ3" s="120"/>
      <c r="EMK3" s="120"/>
      <c r="EML3" s="120"/>
      <c r="EMM3" s="120"/>
      <c r="EMN3" s="120"/>
      <c r="EMO3" s="120"/>
      <c r="EMP3" s="120"/>
      <c r="EMQ3" s="120"/>
      <c r="EMR3" s="120"/>
      <c r="EMS3" s="120"/>
      <c r="EMT3" s="120"/>
      <c r="EMU3" s="120"/>
      <c r="EMV3" s="120"/>
      <c r="EMW3" s="120"/>
      <c r="EMX3" s="120"/>
      <c r="EMY3" s="120"/>
      <c r="EMZ3" s="120"/>
      <c r="ENA3" s="120"/>
      <c r="ENB3" s="120"/>
      <c r="ENC3" s="120"/>
      <c r="END3" s="120"/>
      <c r="ENE3" s="120"/>
      <c r="ENF3" s="120"/>
      <c r="ENG3" s="120"/>
      <c r="ENH3" s="120"/>
      <c r="ENI3" s="120"/>
      <c r="ENJ3" s="120"/>
      <c r="ENK3" s="120"/>
      <c r="ENL3" s="120"/>
      <c r="ENM3" s="120"/>
      <c r="ENN3" s="120"/>
      <c r="ENO3" s="120"/>
      <c r="ENP3" s="120"/>
      <c r="ENQ3" s="120"/>
      <c r="ENR3" s="120"/>
      <c r="ENS3" s="120"/>
      <c r="ENT3" s="120"/>
      <c r="ENU3" s="120"/>
      <c r="ENV3" s="120"/>
      <c r="ENW3" s="120"/>
      <c r="ENX3" s="120"/>
      <c r="ENY3" s="120"/>
      <c r="ENZ3" s="120"/>
      <c r="EOA3" s="120"/>
      <c r="EOB3" s="120"/>
      <c r="EOC3" s="120"/>
      <c r="EOD3" s="120"/>
      <c r="EOE3" s="120"/>
      <c r="EOF3" s="120"/>
      <c r="EOG3" s="120"/>
      <c r="EOH3" s="120"/>
      <c r="EOI3" s="120"/>
      <c r="EOJ3" s="120"/>
      <c r="EOK3" s="120"/>
      <c r="EOL3" s="120"/>
      <c r="EOM3" s="120"/>
      <c r="EON3" s="120"/>
      <c r="EOO3" s="120"/>
      <c r="EOP3" s="120"/>
      <c r="EOQ3" s="120"/>
      <c r="EOR3" s="120"/>
      <c r="EOS3" s="120"/>
      <c r="EOT3" s="120"/>
      <c r="EOU3" s="120"/>
      <c r="EOV3" s="120"/>
      <c r="EOW3" s="120"/>
      <c r="EOX3" s="120"/>
      <c r="EOY3" s="120"/>
      <c r="EOZ3" s="120"/>
      <c r="EPA3" s="120"/>
      <c r="EPB3" s="120"/>
      <c r="EPC3" s="120"/>
      <c r="EPD3" s="120"/>
      <c r="EPE3" s="120"/>
      <c r="EPF3" s="120"/>
      <c r="EPG3" s="120"/>
      <c r="EPH3" s="120"/>
      <c r="EPI3" s="120"/>
      <c r="EPJ3" s="120"/>
      <c r="EPK3" s="120"/>
      <c r="EPL3" s="120"/>
      <c r="EPM3" s="120"/>
      <c r="EPN3" s="120"/>
      <c r="EPO3" s="120"/>
      <c r="EPP3" s="120"/>
      <c r="EPQ3" s="120"/>
      <c r="EPR3" s="120"/>
      <c r="EPS3" s="120"/>
      <c r="EPT3" s="120"/>
      <c r="EPU3" s="120"/>
      <c r="EPV3" s="120"/>
      <c r="EPW3" s="120"/>
      <c r="EPX3" s="120"/>
      <c r="EPY3" s="120"/>
      <c r="EPZ3" s="120"/>
      <c r="EQA3" s="120"/>
      <c r="EQB3" s="120"/>
      <c r="EQC3" s="120"/>
      <c r="EQD3" s="120"/>
      <c r="EQE3" s="120"/>
      <c r="EQF3" s="120"/>
      <c r="EQG3" s="120"/>
      <c r="EQH3" s="120"/>
      <c r="EQI3" s="120"/>
      <c r="EQJ3" s="120"/>
      <c r="EQK3" s="120"/>
      <c r="EQL3" s="120"/>
      <c r="EQM3" s="120"/>
      <c r="EQN3" s="120"/>
      <c r="EQO3" s="120"/>
      <c r="EQP3" s="120"/>
      <c r="EQQ3" s="120"/>
      <c r="EQR3" s="120"/>
      <c r="EQS3" s="120"/>
      <c r="EQT3" s="120"/>
      <c r="EQU3" s="120"/>
      <c r="EQV3" s="120"/>
      <c r="EQW3" s="120"/>
      <c r="EQX3" s="120"/>
      <c r="EQY3" s="120"/>
      <c r="EQZ3" s="120"/>
      <c r="ERA3" s="120"/>
      <c r="ERB3" s="120"/>
      <c r="ERC3" s="120"/>
      <c r="ERD3" s="120"/>
      <c r="ERE3" s="120"/>
      <c r="ERF3" s="120"/>
      <c r="ERG3" s="120"/>
      <c r="ERH3" s="120"/>
      <c r="ERI3" s="120"/>
      <c r="ERJ3" s="120"/>
      <c r="ERK3" s="120"/>
      <c r="ERL3" s="120"/>
      <c r="ERM3" s="120"/>
      <c r="ERN3" s="120"/>
      <c r="ERO3" s="120"/>
      <c r="ERP3" s="120"/>
      <c r="ERQ3" s="120"/>
      <c r="ERR3" s="120"/>
      <c r="ERS3" s="120"/>
      <c r="ERT3" s="120"/>
      <c r="ERU3" s="120"/>
      <c r="ERV3" s="120"/>
      <c r="ERW3" s="120"/>
      <c r="ERX3" s="120"/>
      <c r="ERY3" s="120"/>
      <c r="ERZ3" s="120"/>
      <c r="ESA3" s="120"/>
      <c r="ESB3" s="120"/>
      <c r="ESC3" s="120"/>
      <c r="ESD3" s="120"/>
      <c r="ESE3" s="120"/>
      <c r="ESF3" s="120"/>
      <c r="ESG3" s="120"/>
      <c r="ESH3" s="120"/>
      <c r="ESI3" s="120"/>
      <c r="ESJ3" s="120"/>
      <c r="ESK3" s="120"/>
      <c r="ESL3" s="120"/>
      <c r="ESM3" s="120"/>
      <c r="ESN3" s="120"/>
      <c r="ESO3" s="120"/>
      <c r="ESP3" s="120"/>
      <c r="ESQ3" s="120"/>
      <c r="ESR3" s="120"/>
      <c r="ESS3" s="120"/>
      <c r="EST3" s="120"/>
      <c r="ESU3" s="120"/>
      <c r="ESV3" s="120"/>
      <c r="ESW3" s="120"/>
      <c r="ESX3" s="120"/>
      <c r="ESY3" s="120"/>
      <c r="ESZ3" s="120"/>
      <c r="ETA3" s="120"/>
      <c r="ETB3" s="120"/>
      <c r="ETC3" s="120"/>
      <c r="ETD3" s="120"/>
      <c r="ETE3" s="120"/>
      <c r="ETF3" s="120"/>
      <c r="ETG3" s="120"/>
      <c r="ETH3" s="120"/>
      <c r="ETI3" s="120"/>
      <c r="ETJ3" s="120"/>
      <c r="ETK3" s="120"/>
      <c r="ETL3" s="120"/>
      <c r="ETM3" s="120"/>
      <c r="ETN3" s="120"/>
      <c r="ETO3" s="120"/>
      <c r="ETP3" s="120"/>
      <c r="ETQ3" s="120"/>
      <c r="ETR3" s="120"/>
      <c r="ETS3" s="120"/>
      <c r="ETT3" s="120"/>
      <c r="ETU3" s="120"/>
      <c r="ETV3" s="120"/>
      <c r="ETW3" s="120"/>
      <c r="ETX3" s="120"/>
      <c r="ETY3" s="120"/>
      <c r="ETZ3" s="120"/>
      <c r="EUA3" s="120"/>
      <c r="EUB3" s="120"/>
      <c r="EUC3" s="120"/>
      <c r="EUD3" s="120"/>
      <c r="EUE3" s="120"/>
      <c r="EUF3" s="120"/>
      <c r="EUG3" s="120"/>
      <c r="EUH3" s="120"/>
      <c r="EUI3" s="120"/>
      <c r="EUJ3" s="120"/>
      <c r="EUK3" s="120"/>
      <c r="EUL3" s="120"/>
      <c r="EUM3" s="120"/>
      <c r="EUN3" s="120"/>
      <c r="EUO3" s="120"/>
      <c r="EUP3" s="120"/>
      <c r="EUQ3" s="120"/>
      <c r="EUR3" s="120"/>
      <c r="EUS3" s="120"/>
      <c r="EUT3" s="120"/>
      <c r="EUU3" s="120"/>
      <c r="EUV3" s="120"/>
      <c r="EUW3" s="120"/>
      <c r="EUX3" s="120"/>
      <c r="EUY3" s="120"/>
      <c r="EUZ3" s="120"/>
      <c r="EVA3" s="120"/>
      <c r="EVB3" s="120"/>
      <c r="EVC3" s="120"/>
      <c r="EVD3" s="120"/>
      <c r="EVE3" s="120"/>
      <c r="EVF3" s="120"/>
      <c r="EVG3" s="120"/>
      <c r="EVH3" s="120"/>
      <c r="EVI3" s="120"/>
      <c r="EVJ3" s="120"/>
      <c r="EVK3" s="120"/>
      <c r="EVL3" s="120"/>
      <c r="EVM3" s="120"/>
      <c r="EVN3" s="120"/>
      <c r="EVO3" s="120"/>
      <c r="EVP3" s="120"/>
      <c r="EVQ3" s="120"/>
      <c r="EVR3" s="120"/>
      <c r="EVS3" s="120"/>
      <c r="EVT3" s="120"/>
      <c r="EVU3" s="120"/>
      <c r="EVV3" s="120"/>
      <c r="EVW3" s="120"/>
      <c r="EVX3" s="120"/>
      <c r="EVY3" s="120"/>
      <c r="EVZ3" s="120"/>
      <c r="EWA3" s="120"/>
      <c r="EWB3" s="120"/>
      <c r="EWC3" s="120"/>
      <c r="EWD3" s="120"/>
      <c r="EWE3" s="120"/>
      <c r="EWF3" s="120"/>
      <c r="EWG3" s="120"/>
      <c r="EWH3" s="120"/>
      <c r="EWI3" s="120"/>
      <c r="EWJ3" s="120"/>
      <c r="EWK3" s="120"/>
      <c r="EWL3" s="120"/>
      <c r="EWM3" s="120"/>
      <c r="EWN3" s="120"/>
      <c r="EWO3" s="120"/>
      <c r="EWP3" s="120"/>
      <c r="EWQ3" s="120"/>
      <c r="EWR3" s="120"/>
      <c r="EWS3" s="120"/>
      <c r="EWT3" s="120"/>
      <c r="EWU3" s="120"/>
      <c r="EWV3" s="120"/>
      <c r="EWW3" s="120"/>
      <c r="EWX3" s="120"/>
      <c r="EWY3" s="120"/>
      <c r="EWZ3" s="120"/>
      <c r="EXA3" s="120"/>
      <c r="EXB3" s="120"/>
      <c r="EXC3" s="120"/>
      <c r="EXD3" s="120"/>
      <c r="EXE3" s="120"/>
      <c r="EXF3" s="120"/>
      <c r="EXG3" s="120"/>
      <c r="EXH3" s="120"/>
      <c r="EXI3" s="120"/>
      <c r="EXJ3" s="120"/>
      <c r="EXK3" s="120"/>
      <c r="EXL3" s="120"/>
      <c r="EXM3" s="120"/>
      <c r="EXN3" s="120"/>
      <c r="EXO3" s="120"/>
      <c r="EXP3" s="120"/>
      <c r="EXQ3" s="120"/>
      <c r="EXR3" s="120"/>
      <c r="EXS3" s="120"/>
      <c r="EXT3" s="120"/>
      <c r="EXU3" s="120"/>
      <c r="EXV3" s="120"/>
      <c r="EXW3" s="120"/>
      <c r="EXX3" s="120"/>
      <c r="EXY3" s="120"/>
      <c r="EXZ3" s="120"/>
      <c r="EYA3" s="120"/>
      <c r="EYB3" s="120"/>
      <c r="EYC3" s="120"/>
      <c r="EYD3" s="120"/>
      <c r="EYE3" s="120"/>
      <c r="EYF3" s="120"/>
      <c r="EYG3" s="120"/>
      <c r="EYH3" s="120"/>
      <c r="EYI3" s="120"/>
      <c r="EYJ3" s="120"/>
      <c r="EYK3" s="120"/>
      <c r="EYL3" s="120"/>
      <c r="EYM3" s="120"/>
      <c r="EYN3" s="120"/>
      <c r="EYO3" s="120"/>
      <c r="EYP3" s="120"/>
      <c r="EYQ3" s="120"/>
      <c r="EYR3" s="120"/>
      <c r="EYS3" s="120"/>
      <c r="EYT3" s="120"/>
      <c r="EYU3" s="120"/>
      <c r="EYV3" s="120"/>
      <c r="EYW3" s="120"/>
      <c r="EYX3" s="120"/>
      <c r="EYY3" s="120"/>
      <c r="EYZ3" s="120"/>
      <c r="EZA3" s="120"/>
      <c r="EZB3" s="120"/>
      <c r="EZC3" s="120"/>
      <c r="EZD3" s="120"/>
      <c r="EZE3" s="120"/>
      <c r="EZF3" s="120"/>
      <c r="EZG3" s="120"/>
      <c r="EZH3" s="120"/>
      <c r="EZI3" s="120"/>
      <c r="EZJ3" s="120"/>
      <c r="EZK3" s="120"/>
      <c r="EZL3" s="120"/>
      <c r="EZM3" s="120"/>
      <c r="EZN3" s="120"/>
      <c r="EZO3" s="120"/>
      <c r="EZP3" s="120"/>
      <c r="EZQ3" s="120"/>
      <c r="EZR3" s="120"/>
      <c r="EZS3" s="120"/>
      <c r="EZT3" s="120"/>
      <c r="EZU3" s="120"/>
      <c r="EZV3" s="120"/>
      <c r="EZW3" s="120"/>
      <c r="EZX3" s="120"/>
      <c r="EZY3" s="120"/>
      <c r="EZZ3" s="120"/>
      <c r="FAA3" s="120"/>
      <c r="FAB3" s="120"/>
      <c r="FAC3" s="120"/>
      <c r="FAD3" s="120"/>
      <c r="FAE3" s="120"/>
      <c r="FAF3" s="120"/>
      <c r="FAG3" s="120"/>
      <c r="FAH3" s="120"/>
      <c r="FAI3" s="120"/>
      <c r="FAJ3" s="120"/>
      <c r="FAK3" s="120"/>
      <c r="FAL3" s="120"/>
      <c r="FAM3" s="120"/>
      <c r="FAN3" s="120"/>
      <c r="FAO3" s="120"/>
      <c r="FAP3" s="120"/>
      <c r="FAQ3" s="120"/>
      <c r="FAR3" s="120"/>
      <c r="FAS3" s="120"/>
      <c r="FAT3" s="120"/>
      <c r="FAU3" s="120"/>
      <c r="FAV3" s="120"/>
      <c r="FAW3" s="120"/>
      <c r="FAX3" s="120"/>
      <c r="FAY3" s="120"/>
      <c r="FAZ3" s="120"/>
      <c r="FBA3" s="120"/>
      <c r="FBB3" s="120"/>
      <c r="FBC3" s="120"/>
      <c r="FBD3" s="120"/>
      <c r="FBE3" s="120"/>
      <c r="FBF3" s="120"/>
      <c r="FBG3" s="120"/>
      <c r="FBH3" s="120"/>
      <c r="FBI3" s="120"/>
      <c r="FBJ3" s="120"/>
      <c r="FBK3" s="120"/>
      <c r="FBL3" s="120"/>
      <c r="FBM3" s="120"/>
      <c r="FBN3" s="120"/>
      <c r="FBO3" s="120"/>
      <c r="FBP3" s="120"/>
      <c r="FBQ3" s="120"/>
      <c r="FBR3" s="120"/>
      <c r="FBS3" s="120"/>
      <c r="FBT3" s="120"/>
      <c r="FBU3" s="120"/>
      <c r="FBV3" s="120"/>
      <c r="FBW3" s="120"/>
      <c r="FBX3" s="120"/>
      <c r="FBY3" s="120"/>
      <c r="FBZ3" s="120"/>
      <c r="FCA3" s="120"/>
      <c r="FCB3" s="120"/>
      <c r="FCC3" s="120"/>
      <c r="FCD3" s="120"/>
      <c r="FCE3" s="120"/>
      <c r="FCF3" s="120"/>
      <c r="FCG3" s="120"/>
      <c r="FCH3" s="120"/>
      <c r="FCI3" s="120"/>
      <c r="FCJ3" s="120"/>
      <c r="FCK3" s="120"/>
      <c r="FCL3" s="120"/>
      <c r="FCM3" s="120"/>
      <c r="FCN3" s="120"/>
      <c r="FCO3" s="120"/>
      <c r="FCP3" s="120"/>
      <c r="FCQ3" s="120"/>
      <c r="FCR3" s="120"/>
      <c r="FCS3" s="120"/>
      <c r="FCT3" s="120"/>
      <c r="FCU3" s="120"/>
      <c r="FCV3" s="120"/>
      <c r="FCW3" s="120"/>
      <c r="FCX3" s="120"/>
      <c r="FCY3" s="120"/>
      <c r="FCZ3" s="120"/>
      <c r="FDA3" s="120"/>
      <c r="FDB3" s="120"/>
      <c r="FDC3" s="120"/>
      <c r="FDD3" s="120"/>
      <c r="FDE3" s="120"/>
      <c r="FDF3" s="120"/>
      <c r="FDG3" s="120"/>
      <c r="FDH3" s="120"/>
      <c r="FDI3" s="120"/>
      <c r="FDJ3" s="120"/>
      <c r="FDK3" s="120"/>
      <c r="FDL3" s="120"/>
      <c r="FDM3" s="120"/>
      <c r="FDN3" s="120"/>
      <c r="FDO3" s="120"/>
      <c r="FDP3" s="120"/>
      <c r="FDQ3" s="120"/>
      <c r="FDR3" s="120"/>
      <c r="FDS3" s="120"/>
      <c r="FDT3" s="120"/>
      <c r="FDU3" s="120"/>
      <c r="FDV3" s="120"/>
      <c r="FDW3" s="120"/>
      <c r="FDX3" s="120"/>
      <c r="FDY3" s="120"/>
      <c r="FDZ3" s="120"/>
      <c r="FEA3" s="120"/>
      <c r="FEB3" s="120"/>
      <c r="FEC3" s="120"/>
      <c r="FED3" s="120"/>
      <c r="FEE3" s="120"/>
      <c r="FEF3" s="120"/>
      <c r="FEG3" s="120"/>
      <c r="FEH3" s="120"/>
      <c r="FEI3" s="120"/>
      <c r="FEJ3" s="120"/>
      <c r="FEK3" s="120"/>
      <c r="FEL3" s="120"/>
      <c r="FEM3" s="120"/>
      <c r="FEN3" s="120"/>
      <c r="FEO3" s="120"/>
      <c r="FEP3" s="120"/>
      <c r="FEQ3" s="120"/>
      <c r="FER3" s="120"/>
      <c r="FES3" s="120"/>
      <c r="FET3" s="120"/>
      <c r="FEU3" s="120"/>
      <c r="FEV3" s="120"/>
      <c r="FEW3" s="120"/>
      <c r="FEX3" s="120"/>
      <c r="FEY3" s="120"/>
      <c r="FEZ3" s="120"/>
      <c r="FFA3" s="120"/>
      <c r="FFB3" s="120"/>
      <c r="FFC3" s="120"/>
      <c r="FFD3" s="120"/>
      <c r="FFE3" s="120"/>
      <c r="FFF3" s="120"/>
      <c r="FFG3" s="120"/>
      <c r="FFH3" s="120"/>
      <c r="FFI3" s="120"/>
      <c r="FFJ3" s="120"/>
      <c r="FFK3" s="120"/>
      <c r="FFL3" s="120"/>
      <c r="FFM3" s="120"/>
      <c r="FFN3" s="120"/>
      <c r="FFO3" s="120"/>
      <c r="FFP3" s="120"/>
      <c r="FFQ3" s="120"/>
      <c r="FFR3" s="120"/>
      <c r="FFS3" s="120"/>
      <c r="FFT3" s="120"/>
      <c r="FFU3" s="120"/>
      <c r="FFV3" s="120"/>
      <c r="FFW3" s="120"/>
      <c r="FFX3" s="120"/>
      <c r="FFY3" s="120"/>
      <c r="FFZ3" s="120"/>
      <c r="FGA3" s="120"/>
      <c r="FGB3" s="120"/>
      <c r="FGC3" s="120"/>
      <c r="FGD3" s="120"/>
      <c r="FGE3" s="120"/>
      <c r="FGF3" s="120"/>
      <c r="FGG3" s="120"/>
      <c r="FGH3" s="120"/>
      <c r="FGI3" s="120"/>
      <c r="FGJ3" s="120"/>
      <c r="FGK3" s="120"/>
      <c r="FGL3" s="120"/>
      <c r="FGM3" s="120"/>
      <c r="FGN3" s="120"/>
      <c r="FGO3" s="120"/>
      <c r="FGP3" s="120"/>
      <c r="FGQ3" s="120"/>
      <c r="FGR3" s="120"/>
      <c r="FGS3" s="120"/>
      <c r="FGT3" s="120"/>
      <c r="FGU3" s="120"/>
      <c r="FGV3" s="120"/>
      <c r="FGW3" s="120"/>
      <c r="FGX3" s="120"/>
      <c r="FGY3" s="120"/>
      <c r="FGZ3" s="120"/>
      <c r="FHA3" s="120"/>
      <c r="FHB3" s="120"/>
      <c r="FHC3" s="120"/>
      <c r="FHD3" s="120"/>
      <c r="FHE3" s="120"/>
      <c r="FHF3" s="120"/>
      <c r="FHG3" s="120"/>
      <c r="FHH3" s="120"/>
      <c r="FHI3" s="120"/>
      <c r="FHJ3" s="120"/>
      <c r="FHK3" s="120"/>
      <c r="FHL3" s="120"/>
      <c r="FHM3" s="120"/>
      <c r="FHN3" s="120"/>
      <c r="FHO3" s="120"/>
      <c r="FHP3" s="120"/>
      <c r="FHQ3" s="120"/>
      <c r="FHR3" s="120"/>
      <c r="FHS3" s="120"/>
      <c r="FHT3" s="120"/>
      <c r="FHU3" s="120"/>
      <c r="FHV3" s="120"/>
      <c r="FHW3" s="120"/>
      <c r="FHX3" s="120"/>
      <c r="FHY3" s="120"/>
      <c r="FHZ3" s="120"/>
      <c r="FIA3" s="120"/>
      <c r="FIB3" s="120"/>
      <c r="FIC3" s="120"/>
      <c r="FID3" s="120"/>
      <c r="FIE3" s="120"/>
      <c r="FIF3" s="120"/>
      <c r="FIG3" s="120"/>
      <c r="FIH3" s="120"/>
      <c r="FII3" s="120"/>
      <c r="FIJ3" s="120"/>
      <c r="FIK3" s="120"/>
      <c r="FIL3" s="120"/>
      <c r="FIM3" s="120"/>
      <c r="FIN3" s="120"/>
      <c r="FIO3" s="120"/>
      <c r="FIP3" s="120"/>
      <c r="FIQ3" s="120"/>
      <c r="FIR3" s="120"/>
      <c r="FIS3" s="120"/>
      <c r="FIT3" s="120"/>
      <c r="FIU3" s="120"/>
      <c r="FIV3" s="120"/>
      <c r="FIW3" s="120"/>
      <c r="FIX3" s="120"/>
      <c r="FIY3" s="120"/>
      <c r="FIZ3" s="120"/>
      <c r="FJA3" s="120"/>
      <c r="FJB3" s="120"/>
      <c r="FJC3" s="120"/>
      <c r="FJD3" s="120"/>
      <c r="FJE3" s="120"/>
      <c r="FJF3" s="120"/>
      <c r="FJG3" s="120"/>
      <c r="FJH3" s="120"/>
      <c r="FJI3" s="120"/>
      <c r="FJJ3" s="120"/>
      <c r="FJK3" s="120"/>
      <c r="FJL3" s="120"/>
      <c r="FJM3" s="120"/>
      <c r="FJN3" s="120"/>
      <c r="FJO3" s="120"/>
      <c r="FJP3" s="120"/>
      <c r="FJQ3" s="120"/>
      <c r="FJR3" s="120"/>
      <c r="FJS3" s="120"/>
      <c r="FJT3" s="120"/>
      <c r="FJU3" s="120"/>
      <c r="FJV3" s="120"/>
      <c r="FJW3" s="120"/>
      <c r="FJX3" s="120"/>
      <c r="FJY3" s="120"/>
      <c r="FJZ3" s="120"/>
      <c r="FKA3" s="120"/>
      <c r="FKB3" s="120"/>
      <c r="FKC3" s="120"/>
      <c r="FKD3" s="120"/>
      <c r="FKE3" s="120"/>
      <c r="FKF3" s="120"/>
      <c r="FKG3" s="120"/>
      <c r="FKH3" s="120"/>
      <c r="FKI3" s="120"/>
      <c r="FKJ3" s="120"/>
      <c r="FKK3" s="120"/>
      <c r="FKL3" s="120"/>
      <c r="FKM3" s="120"/>
      <c r="FKN3" s="120"/>
      <c r="FKO3" s="120"/>
      <c r="FKP3" s="120"/>
      <c r="FKQ3" s="120"/>
      <c r="FKR3" s="120"/>
      <c r="FKS3" s="120"/>
      <c r="FKT3" s="120"/>
      <c r="FKU3" s="120"/>
      <c r="FKV3" s="120"/>
      <c r="FKW3" s="120"/>
      <c r="FKX3" s="120"/>
      <c r="FKY3" s="120"/>
      <c r="FKZ3" s="120"/>
      <c r="FLA3" s="120"/>
      <c r="FLB3" s="120"/>
      <c r="FLC3" s="120"/>
      <c r="FLD3" s="120"/>
      <c r="FLE3" s="120"/>
      <c r="FLF3" s="120"/>
      <c r="FLG3" s="120"/>
      <c r="FLH3" s="120"/>
      <c r="FLI3" s="120"/>
      <c r="FLJ3" s="120"/>
      <c r="FLK3" s="120"/>
      <c r="FLL3" s="120"/>
      <c r="FLM3" s="120"/>
      <c r="FLN3" s="120"/>
      <c r="FLO3" s="120"/>
      <c r="FLP3" s="120"/>
      <c r="FLQ3" s="120"/>
      <c r="FLR3" s="120"/>
      <c r="FLS3" s="120"/>
      <c r="FLT3" s="120"/>
      <c r="FLU3" s="120"/>
      <c r="FLV3" s="120"/>
      <c r="FLW3" s="120"/>
      <c r="FLX3" s="120"/>
      <c r="FLY3" s="120"/>
      <c r="FLZ3" s="120"/>
      <c r="FMA3" s="120"/>
      <c r="FMB3" s="120"/>
      <c r="FMC3" s="120"/>
      <c r="FMD3" s="120"/>
      <c r="FME3" s="120"/>
      <c r="FMF3" s="120"/>
      <c r="FMG3" s="120"/>
      <c r="FMH3" s="120"/>
      <c r="FMI3" s="120"/>
      <c r="FMJ3" s="120"/>
      <c r="FMK3" s="120"/>
      <c r="FML3" s="120"/>
      <c r="FMM3" s="120"/>
      <c r="FMN3" s="120"/>
      <c r="FMO3" s="120"/>
      <c r="FMP3" s="120"/>
      <c r="FMQ3" s="120"/>
      <c r="FMR3" s="120"/>
      <c r="FMS3" s="120"/>
      <c r="FMT3" s="120"/>
      <c r="FMU3" s="120"/>
      <c r="FMV3" s="120"/>
      <c r="FMW3" s="120"/>
      <c r="FMX3" s="120"/>
      <c r="FMY3" s="120"/>
      <c r="FMZ3" s="120"/>
      <c r="FNA3" s="120"/>
      <c r="FNB3" s="120"/>
      <c r="FNC3" s="120"/>
      <c r="FND3" s="120"/>
      <c r="FNE3" s="120"/>
      <c r="FNF3" s="120"/>
      <c r="FNG3" s="120"/>
      <c r="FNH3" s="120"/>
      <c r="FNI3" s="120"/>
      <c r="FNJ3" s="120"/>
      <c r="FNK3" s="120"/>
      <c r="FNL3" s="120"/>
      <c r="FNM3" s="120"/>
      <c r="FNN3" s="120"/>
      <c r="FNO3" s="120"/>
      <c r="FNP3" s="120"/>
      <c r="FNQ3" s="120"/>
      <c r="FNR3" s="120"/>
      <c r="FNS3" s="120"/>
      <c r="FNT3" s="120"/>
      <c r="FNU3" s="120"/>
      <c r="FNV3" s="120"/>
      <c r="FNW3" s="120"/>
      <c r="FNX3" s="120"/>
      <c r="FNY3" s="120"/>
      <c r="FNZ3" s="120"/>
      <c r="FOA3" s="120"/>
      <c r="FOB3" s="120"/>
      <c r="FOC3" s="120"/>
      <c r="FOD3" s="120"/>
      <c r="FOE3" s="120"/>
      <c r="FOF3" s="120"/>
      <c r="FOG3" s="120"/>
      <c r="FOH3" s="120"/>
      <c r="FOI3" s="120"/>
      <c r="FOJ3" s="120"/>
      <c r="FOK3" s="120"/>
      <c r="FOL3" s="120"/>
      <c r="FOM3" s="120"/>
      <c r="FON3" s="120"/>
      <c r="FOO3" s="120"/>
      <c r="FOP3" s="120"/>
      <c r="FOQ3" s="120"/>
      <c r="FOR3" s="120"/>
      <c r="FOS3" s="120"/>
      <c r="FOT3" s="120"/>
      <c r="FOU3" s="120"/>
      <c r="FOV3" s="120"/>
      <c r="FOW3" s="120"/>
      <c r="FOX3" s="120"/>
      <c r="FOY3" s="120"/>
      <c r="FOZ3" s="120"/>
      <c r="FPA3" s="120"/>
      <c r="FPB3" s="120"/>
      <c r="FPC3" s="120"/>
      <c r="FPD3" s="120"/>
      <c r="FPE3" s="120"/>
      <c r="FPF3" s="120"/>
      <c r="FPG3" s="120"/>
      <c r="FPH3" s="120"/>
      <c r="FPI3" s="120"/>
      <c r="FPJ3" s="120"/>
      <c r="FPK3" s="120"/>
      <c r="FPL3" s="120"/>
      <c r="FPM3" s="120"/>
      <c r="FPN3" s="120"/>
      <c r="FPO3" s="120"/>
      <c r="FPP3" s="120"/>
      <c r="FPQ3" s="120"/>
      <c r="FPR3" s="120"/>
      <c r="FPS3" s="120"/>
      <c r="FPT3" s="120"/>
      <c r="FPU3" s="120"/>
      <c r="FPV3" s="120"/>
      <c r="FPW3" s="120"/>
      <c r="FPX3" s="120"/>
      <c r="FPY3" s="120"/>
      <c r="FPZ3" s="120"/>
      <c r="FQA3" s="120"/>
      <c r="FQB3" s="120"/>
      <c r="FQC3" s="120"/>
      <c r="FQD3" s="120"/>
      <c r="FQE3" s="120"/>
      <c r="FQF3" s="120"/>
      <c r="FQG3" s="120"/>
      <c r="FQH3" s="120"/>
      <c r="FQI3" s="120"/>
      <c r="FQJ3" s="120"/>
      <c r="FQK3" s="120"/>
      <c r="FQL3" s="120"/>
      <c r="FQM3" s="120"/>
      <c r="FQN3" s="120"/>
      <c r="FQO3" s="120"/>
      <c r="FQP3" s="120"/>
      <c r="FQQ3" s="120"/>
      <c r="FQR3" s="120"/>
      <c r="FQS3" s="120"/>
      <c r="FQT3" s="120"/>
      <c r="FQU3" s="120"/>
      <c r="FQV3" s="120"/>
      <c r="FQW3" s="120"/>
      <c r="FQX3" s="120"/>
      <c r="FQY3" s="120"/>
      <c r="FQZ3" s="120"/>
      <c r="FRA3" s="120"/>
      <c r="FRB3" s="120"/>
      <c r="FRC3" s="120"/>
      <c r="FRD3" s="120"/>
      <c r="FRE3" s="120"/>
      <c r="FRF3" s="120"/>
      <c r="FRG3" s="120"/>
      <c r="FRH3" s="120"/>
      <c r="FRI3" s="120"/>
      <c r="FRJ3" s="120"/>
      <c r="FRK3" s="120"/>
      <c r="FRL3" s="120"/>
      <c r="FRM3" s="120"/>
      <c r="FRN3" s="120"/>
      <c r="FRO3" s="120"/>
      <c r="FRP3" s="120"/>
      <c r="FRQ3" s="120"/>
      <c r="FRR3" s="120"/>
      <c r="FRS3" s="120"/>
      <c r="FRT3" s="120"/>
      <c r="FRU3" s="120"/>
      <c r="FRV3" s="120"/>
      <c r="FRW3" s="120"/>
      <c r="FRX3" s="120"/>
      <c r="FRY3" s="120"/>
      <c r="FRZ3" s="120"/>
      <c r="FSA3" s="120"/>
      <c r="FSB3" s="120"/>
      <c r="FSC3" s="120"/>
      <c r="FSD3" s="120"/>
      <c r="FSE3" s="120"/>
      <c r="FSF3" s="120"/>
      <c r="FSG3" s="120"/>
      <c r="FSH3" s="120"/>
      <c r="FSI3" s="120"/>
      <c r="FSJ3" s="120"/>
      <c r="FSK3" s="120"/>
      <c r="FSL3" s="120"/>
      <c r="FSM3" s="120"/>
      <c r="FSN3" s="120"/>
      <c r="FSO3" s="120"/>
      <c r="FSP3" s="120"/>
      <c r="FSQ3" s="120"/>
      <c r="FSR3" s="120"/>
      <c r="FSS3" s="120"/>
      <c r="FST3" s="120"/>
      <c r="FSU3" s="120"/>
      <c r="FSV3" s="120"/>
      <c r="FSW3" s="120"/>
      <c r="FSX3" s="120"/>
      <c r="FSY3" s="120"/>
      <c r="FSZ3" s="120"/>
      <c r="FTA3" s="120"/>
      <c r="FTB3" s="120"/>
      <c r="FTC3" s="120"/>
      <c r="FTD3" s="120"/>
      <c r="FTE3" s="120"/>
      <c r="FTF3" s="120"/>
      <c r="FTG3" s="120"/>
      <c r="FTH3" s="120"/>
      <c r="FTI3" s="120"/>
      <c r="FTJ3" s="120"/>
      <c r="FTK3" s="120"/>
      <c r="FTL3" s="120"/>
      <c r="FTM3" s="120"/>
      <c r="FTN3" s="120"/>
      <c r="FTO3" s="120"/>
      <c r="FTP3" s="120"/>
      <c r="FTQ3" s="120"/>
      <c r="FTR3" s="120"/>
      <c r="FTS3" s="120"/>
      <c r="FTT3" s="120"/>
      <c r="FTU3" s="120"/>
      <c r="FTV3" s="120"/>
      <c r="FTW3" s="120"/>
      <c r="FTX3" s="120"/>
      <c r="FTY3" s="120"/>
      <c r="FTZ3" s="120"/>
      <c r="FUA3" s="120"/>
      <c r="FUB3" s="120"/>
      <c r="FUC3" s="120"/>
      <c r="FUD3" s="120"/>
      <c r="FUE3" s="120"/>
      <c r="FUF3" s="120"/>
      <c r="FUG3" s="120"/>
      <c r="FUH3" s="120"/>
      <c r="FUI3" s="120"/>
      <c r="FUJ3" s="120"/>
      <c r="FUK3" s="120"/>
      <c r="FUL3" s="120"/>
      <c r="FUM3" s="120"/>
      <c r="FUN3" s="120"/>
      <c r="FUO3" s="120"/>
      <c r="FUP3" s="120"/>
      <c r="FUQ3" s="120"/>
      <c r="FUR3" s="120"/>
      <c r="FUS3" s="120"/>
      <c r="FUT3" s="120"/>
      <c r="FUU3" s="120"/>
      <c r="FUV3" s="120"/>
      <c r="FUW3" s="120"/>
      <c r="FUX3" s="120"/>
      <c r="FUY3" s="120"/>
      <c r="FUZ3" s="120"/>
      <c r="FVA3" s="120"/>
      <c r="FVB3" s="120"/>
      <c r="FVC3" s="120"/>
      <c r="FVD3" s="120"/>
      <c r="FVE3" s="120"/>
      <c r="FVF3" s="120"/>
      <c r="FVG3" s="120"/>
      <c r="FVH3" s="120"/>
      <c r="FVI3" s="120"/>
      <c r="FVJ3" s="120"/>
      <c r="FVK3" s="120"/>
      <c r="FVL3" s="120"/>
      <c r="FVM3" s="120"/>
      <c r="FVN3" s="120"/>
      <c r="FVO3" s="120"/>
      <c r="FVP3" s="120"/>
      <c r="FVQ3" s="120"/>
      <c r="FVR3" s="120"/>
      <c r="FVS3" s="120"/>
      <c r="FVT3" s="120"/>
      <c r="FVU3" s="120"/>
      <c r="FVV3" s="120"/>
      <c r="FVW3" s="120"/>
      <c r="FVX3" s="120"/>
      <c r="FVY3" s="120"/>
      <c r="FVZ3" s="120"/>
      <c r="FWA3" s="120"/>
      <c r="FWB3" s="120"/>
      <c r="FWC3" s="120"/>
      <c r="FWD3" s="120"/>
      <c r="FWE3" s="120"/>
      <c r="FWF3" s="120"/>
      <c r="FWG3" s="120"/>
      <c r="FWH3" s="120"/>
      <c r="FWI3" s="120"/>
      <c r="FWJ3" s="120"/>
      <c r="FWK3" s="120"/>
      <c r="FWL3" s="120"/>
      <c r="FWM3" s="120"/>
      <c r="FWN3" s="120"/>
      <c r="FWO3" s="120"/>
      <c r="FWP3" s="120"/>
      <c r="FWQ3" s="120"/>
      <c r="FWR3" s="120"/>
      <c r="FWS3" s="120"/>
      <c r="FWT3" s="120"/>
      <c r="FWU3" s="120"/>
      <c r="FWV3" s="120"/>
      <c r="FWW3" s="120"/>
      <c r="FWX3" s="120"/>
      <c r="FWY3" s="120"/>
      <c r="FWZ3" s="120"/>
      <c r="FXA3" s="120"/>
      <c r="FXB3" s="120"/>
      <c r="FXC3" s="120"/>
      <c r="FXD3" s="120"/>
      <c r="FXE3" s="120"/>
      <c r="FXF3" s="120"/>
      <c r="FXG3" s="120"/>
      <c r="FXH3" s="120"/>
      <c r="FXI3" s="120"/>
      <c r="FXJ3" s="120"/>
      <c r="FXK3" s="120"/>
      <c r="FXL3" s="120"/>
      <c r="FXM3" s="120"/>
      <c r="FXN3" s="120"/>
      <c r="FXO3" s="120"/>
      <c r="FXP3" s="120"/>
      <c r="FXQ3" s="120"/>
      <c r="FXR3" s="120"/>
      <c r="FXS3" s="120"/>
      <c r="FXT3" s="120"/>
      <c r="FXU3" s="120"/>
      <c r="FXV3" s="120"/>
      <c r="FXW3" s="120"/>
      <c r="FXX3" s="120"/>
      <c r="FXY3" s="120"/>
      <c r="FXZ3" s="120"/>
      <c r="FYA3" s="120"/>
      <c r="FYB3" s="120"/>
      <c r="FYC3" s="120"/>
      <c r="FYD3" s="120"/>
      <c r="FYE3" s="120"/>
      <c r="FYF3" s="120"/>
      <c r="FYG3" s="120"/>
      <c r="FYH3" s="120"/>
      <c r="FYI3" s="120"/>
      <c r="FYJ3" s="120"/>
      <c r="FYK3" s="120"/>
      <c r="FYL3" s="120"/>
      <c r="FYM3" s="120"/>
      <c r="FYN3" s="120"/>
      <c r="FYO3" s="120"/>
      <c r="FYP3" s="120"/>
      <c r="FYQ3" s="120"/>
      <c r="FYR3" s="120"/>
      <c r="FYS3" s="120"/>
      <c r="FYT3" s="120"/>
      <c r="FYU3" s="120"/>
      <c r="FYV3" s="120"/>
      <c r="FYW3" s="120"/>
      <c r="FYX3" s="120"/>
      <c r="FYY3" s="120"/>
      <c r="FYZ3" s="120"/>
      <c r="FZA3" s="120"/>
      <c r="FZB3" s="120"/>
      <c r="FZC3" s="120"/>
      <c r="FZD3" s="120"/>
      <c r="FZE3" s="120"/>
      <c r="FZF3" s="120"/>
      <c r="FZG3" s="120"/>
      <c r="FZH3" s="120"/>
      <c r="FZI3" s="120"/>
      <c r="FZJ3" s="120"/>
      <c r="FZK3" s="120"/>
      <c r="FZL3" s="120"/>
      <c r="FZM3" s="120"/>
      <c r="FZN3" s="120"/>
      <c r="FZO3" s="120"/>
      <c r="FZP3" s="120"/>
      <c r="FZQ3" s="120"/>
      <c r="FZR3" s="120"/>
      <c r="FZS3" s="120"/>
      <c r="FZT3" s="120"/>
      <c r="FZU3" s="120"/>
      <c r="FZV3" s="120"/>
      <c r="FZW3" s="120"/>
      <c r="FZX3" s="120"/>
      <c r="FZY3" s="120"/>
      <c r="FZZ3" s="120"/>
      <c r="GAA3" s="120"/>
      <c r="GAB3" s="120"/>
      <c r="GAC3" s="120"/>
      <c r="GAD3" s="120"/>
      <c r="GAE3" s="120"/>
      <c r="GAF3" s="120"/>
      <c r="GAG3" s="120"/>
      <c r="GAH3" s="120"/>
      <c r="GAI3" s="120"/>
      <c r="GAJ3" s="120"/>
      <c r="GAK3" s="120"/>
      <c r="GAL3" s="120"/>
      <c r="GAM3" s="120"/>
      <c r="GAN3" s="120"/>
      <c r="GAO3" s="120"/>
      <c r="GAP3" s="120"/>
      <c r="GAQ3" s="120"/>
      <c r="GAR3" s="120"/>
      <c r="GAS3" s="120"/>
      <c r="GAT3" s="120"/>
      <c r="GAU3" s="120"/>
      <c r="GAV3" s="120"/>
      <c r="GAW3" s="120"/>
      <c r="GAX3" s="120"/>
      <c r="GAY3" s="120"/>
      <c r="GAZ3" s="120"/>
      <c r="GBA3" s="120"/>
      <c r="GBB3" s="120"/>
      <c r="GBC3" s="120"/>
      <c r="GBD3" s="120"/>
      <c r="GBE3" s="120"/>
      <c r="GBF3" s="120"/>
      <c r="GBG3" s="120"/>
      <c r="GBH3" s="120"/>
      <c r="GBI3" s="120"/>
      <c r="GBJ3" s="120"/>
      <c r="GBK3" s="120"/>
      <c r="GBL3" s="120"/>
      <c r="GBM3" s="120"/>
      <c r="GBN3" s="120"/>
      <c r="GBO3" s="120"/>
      <c r="GBP3" s="120"/>
      <c r="GBQ3" s="120"/>
      <c r="GBR3" s="120"/>
      <c r="GBS3" s="120"/>
      <c r="GBT3" s="120"/>
      <c r="GBU3" s="120"/>
      <c r="GBV3" s="120"/>
      <c r="GBW3" s="120"/>
      <c r="GBX3" s="120"/>
      <c r="GBY3" s="120"/>
      <c r="GBZ3" s="120"/>
      <c r="GCA3" s="120"/>
      <c r="GCB3" s="120"/>
      <c r="GCC3" s="120"/>
      <c r="GCD3" s="120"/>
      <c r="GCE3" s="120"/>
      <c r="GCF3" s="120"/>
      <c r="GCG3" s="120"/>
      <c r="GCH3" s="120"/>
      <c r="GCI3" s="120"/>
      <c r="GCJ3" s="120"/>
      <c r="GCK3" s="120"/>
      <c r="GCL3" s="120"/>
      <c r="GCM3" s="120"/>
      <c r="GCN3" s="120"/>
      <c r="GCO3" s="120"/>
      <c r="GCP3" s="120"/>
      <c r="GCQ3" s="120"/>
      <c r="GCR3" s="120"/>
      <c r="GCS3" s="120"/>
      <c r="GCT3" s="120"/>
      <c r="GCU3" s="120"/>
      <c r="GCV3" s="120"/>
      <c r="GCW3" s="120"/>
      <c r="GCX3" s="120"/>
      <c r="GCY3" s="120"/>
      <c r="GCZ3" s="120"/>
      <c r="GDA3" s="120"/>
      <c r="GDB3" s="120"/>
      <c r="GDC3" s="120"/>
      <c r="GDD3" s="120"/>
      <c r="GDE3" s="120"/>
      <c r="GDF3" s="120"/>
      <c r="GDG3" s="120"/>
      <c r="GDH3" s="120"/>
      <c r="GDI3" s="120"/>
      <c r="GDJ3" s="120"/>
      <c r="GDK3" s="120"/>
      <c r="GDL3" s="120"/>
      <c r="GDM3" s="120"/>
      <c r="GDN3" s="120"/>
      <c r="GDO3" s="120"/>
      <c r="GDP3" s="120"/>
      <c r="GDQ3" s="120"/>
      <c r="GDR3" s="120"/>
      <c r="GDS3" s="120"/>
      <c r="GDT3" s="120"/>
      <c r="GDU3" s="120"/>
      <c r="GDV3" s="120"/>
      <c r="GDW3" s="120"/>
      <c r="GDX3" s="120"/>
      <c r="GDY3" s="120"/>
      <c r="GDZ3" s="120"/>
      <c r="GEA3" s="120"/>
      <c r="GEB3" s="120"/>
      <c r="GEC3" s="120"/>
      <c r="GED3" s="120"/>
      <c r="GEE3" s="120"/>
      <c r="GEF3" s="120"/>
      <c r="GEG3" s="120"/>
      <c r="GEH3" s="120"/>
      <c r="GEI3" s="120"/>
      <c r="GEJ3" s="120"/>
      <c r="GEK3" s="120"/>
      <c r="GEL3" s="120"/>
      <c r="GEM3" s="120"/>
      <c r="GEN3" s="120"/>
      <c r="GEO3" s="120"/>
      <c r="GEP3" s="120"/>
      <c r="GEQ3" s="120"/>
      <c r="GER3" s="120"/>
      <c r="GES3" s="120"/>
      <c r="GET3" s="120"/>
      <c r="GEU3" s="120"/>
      <c r="GEV3" s="120"/>
      <c r="GEW3" s="120"/>
      <c r="GEX3" s="120"/>
      <c r="GEY3" s="120"/>
      <c r="GEZ3" s="120"/>
      <c r="GFA3" s="120"/>
      <c r="GFB3" s="120"/>
      <c r="GFC3" s="120"/>
      <c r="GFD3" s="120"/>
      <c r="GFE3" s="120"/>
      <c r="GFF3" s="120"/>
      <c r="GFG3" s="120"/>
      <c r="GFH3" s="120"/>
      <c r="GFI3" s="120"/>
      <c r="GFJ3" s="120"/>
      <c r="GFK3" s="120"/>
      <c r="GFL3" s="120"/>
      <c r="GFM3" s="120"/>
      <c r="GFN3" s="120"/>
      <c r="GFO3" s="120"/>
      <c r="GFP3" s="120"/>
      <c r="GFQ3" s="120"/>
      <c r="GFR3" s="120"/>
      <c r="GFS3" s="120"/>
      <c r="GFT3" s="120"/>
      <c r="GFU3" s="120"/>
      <c r="GFV3" s="120"/>
      <c r="GFW3" s="120"/>
      <c r="GFX3" s="120"/>
      <c r="GFY3" s="120"/>
      <c r="GFZ3" s="120"/>
      <c r="GGA3" s="120"/>
      <c r="GGB3" s="120"/>
      <c r="GGC3" s="120"/>
      <c r="GGD3" s="120"/>
      <c r="GGE3" s="120"/>
      <c r="GGF3" s="120"/>
      <c r="GGG3" s="120"/>
      <c r="GGH3" s="120"/>
      <c r="GGI3" s="120"/>
      <c r="GGJ3" s="120"/>
      <c r="GGK3" s="120"/>
      <c r="GGL3" s="120"/>
      <c r="GGM3" s="120"/>
      <c r="GGN3" s="120"/>
      <c r="GGO3" s="120"/>
      <c r="GGP3" s="120"/>
      <c r="GGQ3" s="120"/>
      <c r="GGR3" s="120"/>
      <c r="GGS3" s="120"/>
      <c r="GGT3" s="120"/>
      <c r="GGU3" s="120"/>
      <c r="GGV3" s="120"/>
      <c r="GGW3" s="120"/>
      <c r="GGX3" s="120"/>
      <c r="GGY3" s="120"/>
      <c r="GGZ3" s="120"/>
      <c r="GHA3" s="120"/>
      <c r="GHB3" s="120"/>
      <c r="GHC3" s="120"/>
      <c r="GHD3" s="120"/>
      <c r="GHE3" s="120"/>
      <c r="GHF3" s="120"/>
      <c r="GHG3" s="120"/>
      <c r="GHH3" s="120"/>
      <c r="GHI3" s="120"/>
      <c r="GHJ3" s="120"/>
      <c r="GHK3" s="120"/>
      <c r="GHL3" s="120"/>
      <c r="GHM3" s="120"/>
      <c r="GHN3" s="120"/>
      <c r="GHO3" s="120"/>
      <c r="GHP3" s="120"/>
      <c r="GHQ3" s="120"/>
      <c r="GHR3" s="120"/>
      <c r="GHS3" s="120"/>
      <c r="GHT3" s="120"/>
      <c r="GHU3" s="120"/>
      <c r="GHV3" s="120"/>
      <c r="GHW3" s="120"/>
      <c r="GHX3" s="120"/>
      <c r="GHY3" s="120"/>
      <c r="GHZ3" s="120"/>
      <c r="GIA3" s="120"/>
      <c r="GIB3" s="120"/>
      <c r="GIC3" s="120"/>
      <c r="GID3" s="120"/>
      <c r="GIE3" s="120"/>
      <c r="GIF3" s="120"/>
      <c r="GIG3" s="120"/>
      <c r="GIH3" s="120"/>
      <c r="GII3" s="120"/>
      <c r="GIJ3" s="120"/>
      <c r="GIK3" s="120"/>
      <c r="GIL3" s="120"/>
      <c r="GIM3" s="120"/>
      <c r="GIN3" s="120"/>
      <c r="GIO3" s="120"/>
      <c r="GIP3" s="120"/>
      <c r="GIQ3" s="120"/>
      <c r="GIR3" s="120"/>
      <c r="GIS3" s="120"/>
      <c r="GIT3" s="120"/>
      <c r="GIU3" s="120"/>
      <c r="GIV3" s="120"/>
      <c r="GIW3" s="120"/>
      <c r="GIX3" s="120"/>
      <c r="GIY3" s="120"/>
      <c r="GIZ3" s="120"/>
      <c r="GJA3" s="120"/>
      <c r="GJB3" s="120"/>
      <c r="GJC3" s="120"/>
      <c r="GJD3" s="120"/>
      <c r="GJE3" s="120"/>
      <c r="GJF3" s="120"/>
      <c r="GJG3" s="120"/>
      <c r="GJH3" s="120"/>
      <c r="GJI3" s="120"/>
      <c r="GJJ3" s="120"/>
      <c r="GJK3" s="120"/>
      <c r="GJL3" s="120"/>
      <c r="GJM3" s="120"/>
      <c r="GJN3" s="120"/>
      <c r="GJO3" s="120"/>
      <c r="GJP3" s="120"/>
      <c r="GJQ3" s="120"/>
      <c r="GJR3" s="120"/>
      <c r="GJS3" s="120"/>
      <c r="GJT3" s="120"/>
      <c r="GJU3" s="120"/>
      <c r="GJV3" s="120"/>
      <c r="GJW3" s="120"/>
      <c r="GJX3" s="120"/>
      <c r="GJY3" s="120"/>
      <c r="GJZ3" s="120"/>
      <c r="GKA3" s="120"/>
      <c r="GKB3" s="120"/>
      <c r="GKC3" s="120"/>
      <c r="GKD3" s="120"/>
      <c r="GKE3" s="120"/>
      <c r="GKF3" s="120"/>
      <c r="GKG3" s="120"/>
      <c r="GKH3" s="120"/>
      <c r="GKI3" s="120"/>
      <c r="GKJ3" s="120"/>
      <c r="GKK3" s="120"/>
      <c r="GKL3" s="120"/>
      <c r="GKM3" s="120"/>
      <c r="GKN3" s="120"/>
      <c r="GKO3" s="120"/>
      <c r="GKP3" s="120"/>
      <c r="GKQ3" s="120"/>
      <c r="GKR3" s="120"/>
      <c r="GKS3" s="120"/>
      <c r="GKT3" s="120"/>
      <c r="GKU3" s="120"/>
      <c r="GKV3" s="120"/>
      <c r="GKW3" s="120"/>
      <c r="GKX3" s="120"/>
      <c r="GKY3" s="120"/>
      <c r="GKZ3" s="120"/>
      <c r="GLA3" s="120"/>
      <c r="GLB3" s="120"/>
      <c r="GLC3" s="120"/>
      <c r="GLD3" s="120"/>
      <c r="GLE3" s="120"/>
      <c r="GLF3" s="120"/>
      <c r="GLG3" s="120"/>
      <c r="GLH3" s="120"/>
      <c r="GLI3" s="120"/>
      <c r="GLJ3" s="120"/>
      <c r="GLK3" s="120"/>
      <c r="GLL3" s="120"/>
      <c r="GLM3" s="120"/>
      <c r="GLN3" s="120"/>
      <c r="GLO3" s="120"/>
      <c r="GLP3" s="120"/>
      <c r="GLQ3" s="120"/>
      <c r="GLR3" s="120"/>
      <c r="GLS3" s="120"/>
      <c r="GLT3" s="120"/>
      <c r="GLU3" s="120"/>
      <c r="GLV3" s="120"/>
      <c r="GLW3" s="120"/>
      <c r="GLX3" s="120"/>
      <c r="GLY3" s="120"/>
      <c r="GLZ3" s="120"/>
      <c r="GMA3" s="120"/>
      <c r="GMB3" s="120"/>
      <c r="GMC3" s="120"/>
      <c r="GMD3" s="120"/>
      <c r="GME3" s="120"/>
      <c r="GMF3" s="120"/>
      <c r="GMG3" s="120"/>
      <c r="GMH3" s="120"/>
      <c r="GMI3" s="120"/>
      <c r="GMJ3" s="120"/>
      <c r="GMK3" s="120"/>
      <c r="GML3" s="120"/>
      <c r="GMM3" s="120"/>
      <c r="GMN3" s="120"/>
      <c r="GMO3" s="120"/>
      <c r="GMP3" s="120"/>
      <c r="GMQ3" s="120"/>
      <c r="GMR3" s="120"/>
      <c r="GMS3" s="120"/>
      <c r="GMT3" s="120"/>
      <c r="GMU3" s="120"/>
      <c r="GMV3" s="120"/>
      <c r="GMW3" s="120"/>
      <c r="GMX3" s="120"/>
      <c r="GMY3" s="120"/>
      <c r="GMZ3" s="120"/>
      <c r="GNA3" s="120"/>
      <c r="GNB3" s="120"/>
      <c r="GNC3" s="120"/>
      <c r="GND3" s="120"/>
      <c r="GNE3" s="120"/>
      <c r="GNF3" s="120"/>
      <c r="GNG3" s="120"/>
      <c r="GNH3" s="120"/>
      <c r="GNI3" s="120"/>
      <c r="GNJ3" s="120"/>
      <c r="GNK3" s="120"/>
      <c r="GNL3" s="120"/>
      <c r="GNM3" s="120"/>
      <c r="GNN3" s="120"/>
      <c r="GNO3" s="120"/>
      <c r="GNP3" s="120"/>
      <c r="GNQ3" s="120"/>
      <c r="GNR3" s="120"/>
      <c r="GNS3" s="120"/>
      <c r="GNT3" s="120"/>
      <c r="GNU3" s="120"/>
      <c r="GNV3" s="120"/>
      <c r="GNW3" s="120"/>
      <c r="GNX3" s="120"/>
      <c r="GNY3" s="120"/>
      <c r="GNZ3" s="120"/>
      <c r="GOA3" s="120"/>
      <c r="GOB3" s="120"/>
      <c r="GOC3" s="120"/>
      <c r="GOD3" s="120"/>
      <c r="GOE3" s="120"/>
      <c r="GOF3" s="120"/>
      <c r="GOG3" s="120"/>
      <c r="GOH3" s="120"/>
      <c r="GOI3" s="120"/>
      <c r="GOJ3" s="120"/>
      <c r="GOK3" s="120"/>
      <c r="GOL3" s="120"/>
      <c r="GOM3" s="120"/>
      <c r="GON3" s="120"/>
      <c r="GOO3" s="120"/>
      <c r="GOP3" s="120"/>
      <c r="GOQ3" s="120"/>
      <c r="GOR3" s="120"/>
      <c r="GOS3" s="120"/>
      <c r="GOT3" s="120"/>
      <c r="GOU3" s="120"/>
      <c r="GOV3" s="120"/>
      <c r="GOW3" s="120"/>
      <c r="GOX3" s="120"/>
      <c r="GOY3" s="120"/>
      <c r="GOZ3" s="120"/>
      <c r="GPA3" s="120"/>
      <c r="GPB3" s="120"/>
      <c r="GPC3" s="120"/>
      <c r="GPD3" s="120"/>
      <c r="GPE3" s="120"/>
      <c r="GPF3" s="120"/>
      <c r="GPG3" s="120"/>
      <c r="GPH3" s="120"/>
      <c r="GPI3" s="120"/>
      <c r="GPJ3" s="120"/>
      <c r="GPK3" s="120"/>
      <c r="GPL3" s="120"/>
      <c r="GPM3" s="120"/>
      <c r="GPN3" s="120"/>
      <c r="GPO3" s="120"/>
      <c r="GPP3" s="120"/>
      <c r="GPQ3" s="120"/>
      <c r="GPR3" s="120"/>
      <c r="GPS3" s="120"/>
      <c r="GPT3" s="120"/>
      <c r="GPU3" s="120"/>
      <c r="GPV3" s="120"/>
      <c r="GPW3" s="120"/>
      <c r="GPX3" s="120"/>
      <c r="GPY3" s="120"/>
      <c r="GPZ3" s="120"/>
      <c r="GQA3" s="120"/>
      <c r="GQB3" s="120"/>
      <c r="GQC3" s="120"/>
      <c r="GQD3" s="120"/>
      <c r="GQE3" s="120"/>
      <c r="GQF3" s="120"/>
      <c r="GQG3" s="120"/>
      <c r="GQH3" s="120"/>
      <c r="GQI3" s="120"/>
      <c r="GQJ3" s="120"/>
      <c r="GQK3" s="120"/>
      <c r="GQL3" s="120"/>
      <c r="GQM3" s="120"/>
      <c r="GQN3" s="120"/>
      <c r="GQO3" s="120"/>
      <c r="GQP3" s="120"/>
      <c r="GQQ3" s="120"/>
      <c r="GQR3" s="120"/>
      <c r="GQS3" s="120"/>
      <c r="GQT3" s="120"/>
      <c r="GQU3" s="120"/>
      <c r="GQV3" s="120"/>
      <c r="GQW3" s="120"/>
      <c r="GQX3" s="120"/>
      <c r="GQY3" s="120"/>
      <c r="GQZ3" s="120"/>
      <c r="GRA3" s="120"/>
      <c r="GRB3" s="120"/>
      <c r="GRC3" s="120"/>
      <c r="GRD3" s="120"/>
      <c r="GRE3" s="120"/>
      <c r="GRF3" s="120"/>
      <c r="GRG3" s="120"/>
      <c r="GRH3" s="120"/>
      <c r="GRI3" s="120"/>
      <c r="GRJ3" s="120"/>
      <c r="GRK3" s="120"/>
      <c r="GRL3" s="120"/>
      <c r="GRM3" s="120"/>
      <c r="GRN3" s="120"/>
      <c r="GRO3" s="120"/>
      <c r="GRP3" s="120"/>
      <c r="GRQ3" s="120"/>
      <c r="GRR3" s="120"/>
      <c r="GRS3" s="120"/>
      <c r="GRT3" s="120"/>
      <c r="GRU3" s="120"/>
      <c r="GRV3" s="120"/>
      <c r="GRW3" s="120"/>
      <c r="GRX3" s="120"/>
      <c r="GRY3" s="120"/>
      <c r="GRZ3" s="120"/>
      <c r="GSA3" s="120"/>
      <c r="GSB3" s="120"/>
      <c r="GSC3" s="120"/>
      <c r="GSD3" s="120"/>
      <c r="GSE3" s="120"/>
      <c r="GSF3" s="120"/>
      <c r="GSG3" s="120"/>
      <c r="GSH3" s="120"/>
      <c r="GSI3" s="120"/>
      <c r="GSJ3" s="120"/>
      <c r="GSK3" s="120"/>
      <c r="GSL3" s="120"/>
      <c r="GSM3" s="120"/>
      <c r="GSN3" s="120"/>
      <c r="GSO3" s="120"/>
      <c r="GSP3" s="120"/>
      <c r="GSQ3" s="120"/>
      <c r="GSR3" s="120"/>
      <c r="GSS3" s="120"/>
      <c r="GST3" s="120"/>
      <c r="GSU3" s="120"/>
      <c r="GSV3" s="120"/>
      <c r="GSW3" s="120"/>
      <c r="GSX3" s="120"/>
      <c r="GSY3" s="120"/>
      <c r="GSZ3" s="120"/>
      <c r="GTA3" s="120"/>
      <c r="GTB3" s="120"/>
      <c r="GTC3" s="120"/>
      <c r="GTD3" s="120"/>
      <c r="GTE3" s="120"/>
      <c r="GTF3" s="120"/>
      <c r="GTG3" s="120"/>
      <c r="GTH3" s="120"/>
      <c r="GTI3" s="120"/>
      <c r="GTJ3" s="120"/>
      <c r="GTK3" s="120"/>
      <c r="GTL3" s="120"/>
      <c r="GTM3" s="120"/>
      <c r="GTN3" s="120"/>
      <c r="GTO3" s="120"/>
      <c r="GTP3" s="120"/>
      <c r="GTQ3" s="120"/>
      <c r="GTR3" s="120"/>
      <c r="GTS3" s="120"/>
      <c r="GTT3" s="120"/>
      <c r="GTU3" s="120"/>
      <c r="GTV3" s="120"/>
      <c r="GTW3" s="120"/>
      <c r="GTX3" s="120"/>
      <c r="GTY3" s="120"/>
      <c r="GTZ3" s="120"/>
      <c r="GUA3" s="120"/>
      <c r="GUB3" s="120"/>
      <c r="GUC3" s="120"/>
      <c r="GUD3" s="120"/>
      <c r="GUE3" s="120"/>
      <c r="GUF3" s="120"/>
      <c r="GUG3" s="120"/>
      <c r="GUH3" s="120"/>
      <c r="GUI3" s="120"/>
      <c r="GUJ3" s="120"/>
      <c r="GUK3" s="120"/>
      <c r="GUL3" s="120"/>
      <c r="GUM3" s="120"/>
      <c r="GUN3" s="120"/>
      <c r="GUO3" s="120"/>
      <c r="GUP3" s="120"/>
      <c r="GUQ3" s="120"/>
      <c r="GUR3" s="120"/>
      <c r="GUS3" s="120"/>
      <c r="GUT3" s="120"/>
      <c r="GUU3" s="120"/>
      <c r="GUV3" s="120"/>
      <c r="GUW3" s="120"/>
      <c r="GUX3" s="120"/>
      <c r="GUY3" s="120"/>
      <c r="GUZ3" s="120"/>
      <c r="GVA3" s="120"/>
      <c r="GVB3" s="120"/>
      <c r="GVC3" s="120"/>
      <c r="GVD3" s="120"/>
      <c r="GVE3" s="120"/>
      <c r="GVF3" s="120"/>
      <c r="GVG3" s="120"/>
      <c r="GVH3" s="120"/>
      <c r="GVI3" s="120"/>
      <c r="GVJ3" s="120"/>
      <c r="GVK3" s="120"/>
      <c r="GVL3" s="120"/>
      <c r="GVM3" s="120"/>
      <c r="GVN3" s="120"/>
      <c r="GVO3" s="120"/>
      <c r="GVP3" s="120"/>
      <c r="GVQ3" s="120"/>
      <c r="GVR3" s="120"/>
      <c r="GVS3" s="120"/>
      <c r="GVT3" s="120"/>
      <c r="GVU3" s="120"/>
      <c r="GVV3" s="120"/>
      <c r="GVW3" s="120"/>
      <c r="GVX3" s="120"/>
      <c r="GVY3" s="120"/>
      <c r="GVZ3" s="120"/>
      <c r="GWA3" s="120"/>
      <c r="GWB3" s="120"/>
      <c r="GWC3" s="120"/>
      <c r="GWD3" s="120"/>
      <c r="GWE3" s="120"/>
      <c r="GWF3" s="120"/>
      <c r="GWG3" s="120"/>
      <c r="GWH3" s="120"/>
      <c r="GWI3" s="120"/>
      <c r="GWJ3" s="120"/>
      <c r="GWK3" s="120"/>
      <c r="GWL3" s="120"/>
      <c r="GWM3" s="120"/>
      <c r="GWN3" s="120"/>
      <c r="GWO3" s="120"/>
      <c r="GWP3" s="120"/>
      <c r="GWQ3" s="120"/>
      <c r="GWR3" s="120"/>
      <c r="GWS3" s="120"/>
      <c r="GWT3" s="120"/>
      <c r="GWU3" s="120"/>
      <c r="GWV3" s="120"/>
      <c r="GWW3" s="120"/>
      <c r="GWX3" s="120"/>
      <c r="GWY3" s="120"/>
      <c r="GWZ3" s="120"/>
      <c r="GXA3" s="120"/>
      <c r="GXB3" s="120"/>
      <c r="GXC3" s="120"/>
      <c r="GXD3" s="120"/>
      <c r="GXE3" s="120"/>
      <c r="GXF3" s="120"/>
      <c r="GXG3" s="120"/>
      <c r="GXH3" s="120"/>
      <c r="GXI3" s="120"/>
      <c r="GXJ3" s="120"/>
      <c r="GXK3" s="120"/>
      <c r="GXL3" s="120"/>
      <c r="GXM3" s="120"/>
      <c r="GXN3" s="120"/>
      <c r="GXO3" s="120"/>
      <c r="GXP3" s="120"/>
      <c r="GXQ3" s="120"/>
      <c r="GXR3" s="120"/>
      <c r="GXS3" s="120"/>
      <c r="GXT3" s="120"/>
      <c r="GXU3" s="120"/>
      <c r="GXV3" s="120"/>
      <c r="GXW3" s="120"/>
      <c r="GXX3" s="120"/>
      <c r="GXY3" s="120"/>
      <c r="GXZ3" s="120"/>
      <c r="GYA3" s="120"/>
      <c r="GYB3" s="120"/>
      <c r="GYC3" s="120"/>
      <c r="GYD3" s="120"/>
      <c r="GYE3" s="120"/>
      <c r="GYF3" s="120"/>
      <c r="GYG3" s="120"/>
      <c r="GYH3" s="120"/>
      <c r="GYI3" s="120"/>
      <c r="GYJ3" s="120"/>
      <c r="GYK3" s="120"/>
      <c r="GYL3" s="120"/>
      <c r="GYM3" s="120"/>
      <c r="GYN3" s="120"/>
      <c r="GYO3" s="120"/>
      <c r="GYP3" s="120"/>
      <c r="GYQ3" s="120"/>
      <c r="GYR3" s="120"/>
      <c r="GYS3" s="120"/>
      <c r="GYT3" s="120"/>
      <c r="GYU3" s="120"/>
      <c r="GYV3" s="120"/>
      <c r="GYW3" s="120"/>
      <c r="GYX3" s="120"/>
      <c r="GYY3" s="120"/>
      <c r="GYZ3" s="120"/>
      <c r="GZA3" s="120"/>
      <c r="GZB3" s="120"/>
      <c r="GZC3" s="120"/>
      <c r="GZD3" s="120"/>
      <c r="GZE3" s="120"/>
      <c r="GZF3" s="120"/>
      <c r="GZG3" s="120"/>
      <c r="GZH3" s="120"/>
      <c r="GZI3" s="120"/>
      <c r="GZJ3" s="120"/>
      <c r="GZK3" s="120"/>
      <c r="GZL3" s="120"/>
      <c r="GZM3" s="120"/>
      <c r="GZN3" s="120"/>
      <c r="GZO3" s="120"/>
      <c r="GZP3" s="120"/>
      <c r="GZQ3" s="120"/>
      <c r="GZR3" s="120"/>
      <c r="GZS3" s="120"/>
      <c r="GZT3" s="120"/>
      <c r="GZU3" s="120"/>
      <c r="GZV3" s="120"/>
      <c r="GZW3" s="120"/>
      <c r="GZX3" s="120"/>
      <c r="GZY3" s="120"/>
      <c r="GZZ3" s="120"/>
      <c r="HAA3" s="120"/>
      <c r="HAB3" s="120"/>
      <c r="HAC3" s="120"/>
      <c r="HAD3" s="120"/>
      <c r="HAE3" s="120"/>
      <c r="HAF3" s="120"/>
      <c r="HAG3" s="120"/>
      <c r="HAH3" s="120"/>
      <c r="HAI3" s="120"/>
      <c r="HAJ3" s="120"/>
      <c r="HAK3" s="120"/>
      <c r="HAL3" s="120"/>
      <c r="HAM3" s="120"/>
      <c r="HAN3" s="120"/>
      <c r="HAO3" s="120"/>
      <c r="HAP3" s="120"/>
      <c r="HAQ3" s="120"/>
      <c r="HAR3" s="120"/>
      <c r="HAS3" s="120"/>
      <c r="HAT3" s="120"/>
      <c r="HAU3" s="120"/>
      <c r="HAV3" s="120"/>
      <c r="HAW3" s="120"/>
      <c r="HAX3" s="120"/>
      <c r="HAY3" s="120"/>
      <c r="HAZ3" s="120"/>
      <c r="HBA3" s="120"/>
      <c r="HBB3" s="120"/>
      <c r="HBC3" s="120"/>
      <c r="HBD3" s="120"/>
      <c r="HBE3" s="120"/>
      <c r="HBF3" s="120"/>
      <c r="HBG3" s="120"/>
      <c r="HBH3" s="120"/>
      <c r="HBI3" s="120"/>
      <c r="HBJ3" s="120"/>
      <c r="HBK3" s="120"/>
      <c r="HBL3" s="120"/>
      <c r="HBM3" s="120"/>
      <c r="HBN3" s="120"/>
      <c r="HBO3" s="120"/>
      <c r="HBP3" s="120"/>
      <c r="HBQ3" s="120"/>
      <c r="HBR3" s="120"/>
      <c r="HBS3" s="120"/>
      <c r="HBT3" s="120"/>
      <c r="HBU3" s="120"/>
      <c r="HBV3" s="120"/>
      <c r="HBW3" s="120"/>
      <c r="HBX3" s="120"/>
      <c r="HBY3" s="120"/>
      <c r="HBZ3" s="120"/>
      <c r="HCA3" s="120"/>
      <c r="HCB3" s="120"/>
      <c r="HCC3" s="120"/>
      <c r="HCD3" s="120"/>
      <c r="HCE3" s="120"/>
      <c r="HCF3" s="120"/>
      <c r="HCG3" s="120"/>
      <c r="HCH3" s="120"/>
      <c r="HCI3" s="120"/>
      <c r="HCJ3" s="120"/>
      <c r="HCK3" s="120"/>
      <c r="HCL3" s="120"/>
      <c r="HCM3" s="120"/>
      <c r="HCN3" s="120"/>
      <c r="HCO3" s="120"/>
      <c r="HCP3" s="120"/>
      <c r="HCQ3" s="120"/>
      <c r="HCR3" s="120"/>
      <c r="HCS3" s="120"/>
      <c r="HCT3" s="120"/>
      <c r="HCU3" s="120"/>
      <c r="HCV3" s="120"/>
      <c r="HCW3" s="120"/>
      <c r="HCX3" s="120"/>
      <c r="HCY3" s="120"/>
      <c r="HCZ3" s="120"/>
      <c r="HDA3" s="120"/>
      <c r="HDB3" s="120"/>
      <c r="HDC3" s="120"/>
      <c r="HDD3" s="120"/>
      <c r="HDE3" s="120"/>
      <c r="HDF3" s="120"/>
      <c r="HDG3" s="120"/>
      <c r="HDH3" s="120"/>
      <c r="HDI3" s="120"/>
      <c r="HDJ3" s="120"/>
      <c r="HDK3" s="120"/>
      <c r="HDL3" s="120"/>
      <c r="HDM3" s="120"/>
      <c r="HDN3" s="120"/>
      <c r="HDO3" s="120"/>
      <c r="HDP3" s="120"/>
      <c r="HDQ3" s="120"/>
      <c r="HDR3" s="120"/>
      <c r="HDS3" s="120"/>
      <c r="HDT3" s="120"/>
      <c r="HDU3" s="120"/>
      <c r="HDV3" s="120"/>
      <c r="HDW3" s="120"/>
      <c r="HDX3" s="120"/>
      <c r="HDY3" s="120"/>
      <c r="HDZ3" s="120"/>
      <c r="HEA3" s="120"/>
      <c r="HEB3" s="120"/>
      <c r="HEC3" s="120"/>
      <c r="HED3" s="120"/>
      <c r="HEE3" s="120"/>
      <c r="HEF3" s="120"/>
      <c r="HEG3" s="120"/>
      <c r="HEH3" s="120"/>
      <c r="HEI3" s="120"/>
      <c r="HEJ3" s="120"/>
      <c r="HEK3" s="120"/>
      <c r="HEL3" s="120"/>
      <c r="HEM3" s="120"/>
      <c r="HEN3" s="120"/>
      <c r="HEO3" s="120"/>
      <c r="HEP3" s="120"/>
      <c r="HEQ3" s="120"/>
      <c r="HER3" s="120"/>
      <c r="HES3" s="120"/>
      <c r="HET3" s="120"/>
      <c r="HEU3" s="120"/>
      <c r="HEV3" s="120"/>
      <c r="HEW3" s="120"/>
      <c r="HEX3" s="120"/>
      <c r="HEY3" s="120"/>
      <c r="HEZ3" s="120"/>
      <c r="HFA3" s="120"/>
      <c r="HFB3" s="120"/>
      <c r="HFC3" s="120"/>
      <c r="HFD3" s="120"/>
      <c r="HFE3" s="120"/>
      <c r="HFF3" s="120"/>
      <c r="HFG3" s="120"/>
      <c r="HFH3" s="120"/>
      <c r="HFI3" s="120"/>
      <c r="HFJ3" s="120"/>
      <c r="HFK3" s="120"/>
      <c r="HFL3" s="120"/>
      <c r="HFM3" s="120"/>
      <c r="HFN3" s="120"/>
      <c r="HFO3" s="120"/>
      <c r="HFP3" s="120"/>
      <c r="HFQ3" s="120"/>
      <c r="HFR3" s="120"/>
      <c r="HFS3" s="120"/>
      <c r="HFT3" s="120"/>
      <c r="HFU3" s="120"/>
      <c r="HFV3" s="120"/>
      <c r="HFW3" s="120"/>
      <c r="HFX3" s="120"/>
      <c r="HFY3" s="120"/>
      <c r="HFZ3" s="120"/>
      <c r="HGA3" s="120"/>
      <c r="HGB3" s="120"/>
      <c r="HGC3" s="120"/>
      <c r="HGD3" s="120"/>
      <c r="HGE3" s="120"/>
      <c r="HGF3" s="120"/>
      <c r="HGG3" s="120"/>
      <c r="HGH3" s="120"/>
      <c r="HGI3" s="120"/>
      <c r="HGJ3" s="120"/>
      <c r="HGK3" s="120"/>
      <c r="HGL3" s="120"/>
      <c r="HGM3" s="120"/>
      <c r="HGN3" s="120"/>
      <c r="HGO3" s="120"/>
      <c r="HGP3" s="120"/>
      <c r="HGQ3" s="120"/>
      <c r="HGR3" s="120"/>
      <c r="HGS3" s="120"/>
      <c r="HGT3" s="120"/>
      <c r="HGU3" s="120"/>
      <c r="HGV3" s="120"/>
      <c r="HGW3" s="120"/>
      <c r="HGX3" s="120"/>
      <c r="HGY3" s="120"/>
      <c r="HGZ3" s="120"/>
      <c r="HHA3" s="120"/>
      <c r="HHB3" s="120"/>
      <c r="HHC3" s="120"/>
      <c r="HHD3" s="120"/>
      <c r="HHE3" s="120"/>
      <c r="HHF3" s="120"/>
      <c r="HHG3" s="120"/>
      <c r="HHH3" s="120"/>
      <c r="HHI3" s="120"/>
      <c r="HHJ3" s="120"/>
      <c r="HHK3" s="120"/>
      <c r="HHL3" s="120"/>
      <c r="HHM3" s="120"/>
      <c r="HHN3" s="120"/>
      <c r="HHO3" s="120"/>
      <c r="HHP3" s="120"/>
      <c r="HHQ3" s="120"/>
      <c r="HHR3" s="120"/>
      <c r="HHS3" s="120"/>
      <c r="HHT3" s="120"/>
      <c r="HHU3" s="120"/>
      <c r="HHV3" s="120"/>
      <c r="HHW3" s="120"/>
      <c r="HHX3" s="120"/>
      <c r="HHY3" s="120"/>
      <c r="HHZ3" s="120"/>
      <c r="HIA3" s="120"/>
      <c r="HIB3" s="120"/>
      <c r="HIC3" s="120"/>
      <c r="HID3" s="120"/>
      <c r="HIE3" s="120"/>
      <c r="HIF3" s="120"/>
      <c r="HIG3" s="120"/>
      <c r="HIH3" s="120"/>
      <c r="HII3" s="120"/>
      <c r="HIJ3" s="120"/>
      <c r="HIK3" s="120"/>
      <c r="HIL3" s="120"/>
      <c r="HIM3" s="120"/>
      <c r="HIN3" s="120"/>
      <c r="HIO3" s="120"/>
      <c r="HIP3" s="120"/>
      <c r="HIQ3" s="120"/>
      <c r="HIR3" s="120"/>
      <c r="HIS3" s="120"/>
      <c r="HIT3" s="120"/>
      <c r="HIU3" s="120"/>
      <c r="HIV3" s="120"/>
      <c r="HIW3" s="120"/>
      <c r="HIX3" s="120"/>
      <c r="HIY3" s="120"/>
      <c r="HIZ3" s="120"/>
      <c r="HJA3" s="120"/>
      <c r="HJB3" s="120"/>
      <c r="HJC3" s="120"/>
      <c r="HJD3" s="120"/>
      <c r="HJE3" s="120"/>
      <c r="HJF3" s="120"/>
      <c r="HJG3" s="120"/>
      <c r="HJH3" s="120"/>
      <c r="HJI3" s="120"/>
      <c r="HJJ3" s="120"/>
      <c r="HJK3" s="120"/>
      <c r="HJL3" s="120"/>
      <c r="HJM3" s="120"/>
      <c r="HJN3" s="120"/>
      <c r="HJO3" s="120"/>
      <c r="HJP3" s="120"/>
      <c r="HJQ3" s="120"/>
      <c r="HJR3" s="120"/>
      <c r="HJS3" s="120"/>
      <c r="HJT3" s="120"/>
      <c r="HJU3" s="120"/>
      <c r="HJV3" s="120"/>
      <c r="HJW3" s="120"/>
      <c r="HJX3" s="120"/>
      <c r="HJY3" s="120"/>
      <c r="HJZ3" s="120"/>
      <c r="HKA3" s="120"/>
      <c r="HKB3" s="120"/>
      <c r="HKC3" s="120"/>
      <c r="HKD3" s="120"/>
      <c r="HKE3" s="120"/>
      <c r="HKF3" s="120"/>
      <c r="HKG3" s="120"/>
      <c r="HKH3" s="120"/>
      <c r="HKI3" s="120"/>
      <c r="HKJ3" s="120"/>
      <c r="HKK3" s="120"/>
      <c r="HKL3" s="120"/>
      <c r="HKM3" s="120"/>
      <c r="HKN3" s="120"/>
      <c r="HKO3" s="120"/>
      <c r="HKP3" s="120"/>
      <c r="HKQ3" s="120"/>
      <c r="HKR3" s="120"/>
      <c r="HKS3" s="120"/>
      <c r="HKT3" s="120"/>
      <c r="HKU3" s="120"/>
      <c r="HKV3" s="120"/>
      <c r="HKW3" s="120"/>
      <c r="HKX3" s="120"/>
      <c r="HKY3" s="120"/>
      <c r="HKZ3" s="120"/>
      <c r="HLA3" s="120"/>
      <c r="HLB3" s="120"/>
      <c r="HLC3" s="120"/>
      <c r="HLD3" s="120"/>
      <c r="HLE3" s="120"/>
      <c r="HLF3" s="120"/>
      <c r="HLG3" s="120"/>
      <c r="HLH3" s="120"/>
      <c r="HLI3" s="120"/>
      <c r="HLJ3" s="120"/>
      <c r="HLK3" s="120"/>
      <c r="HLL3" s="120"/>
      <c r="HLM3" s="120"/>
      <c r="HLN3" s="120"/>
      <c r="HLO3" s="120"/>
      <c r="HLP3" s="120"/>
      <c r="HLQ3" s="120"/>
      <c r="HLR3" s="120"/>
      <c r="HLS3" s="120"/>
      <c r="HLT3" s="120"/>
      <c r="HLU3" s="120"/>
      <c r="HLV3" s="120"/>
      <c r="HLW3" s="120"/>
      <c r="HLX3" s="120"/>
      <c r="HLY3" s="120"/>
      <c r="HLZ3" s="120"/>
      <c r="HMA3" s="120"/>
      <c r="HMB3" s="120"/>
      <c r="HMC3" s="120"/>
      <c r="HMD3" s="120"/>
      <c r="HME3" s="120"/>
      <c r="HMF3" s="120"/>
      <c r="HMG3" s="120"/>
      <c r="HMH3" s="120"/>
      <c r="HMI3" s="120"/>
      <c r="HMJ3" s="120"/>
      <c r="HMK3" s="120"/>
      <c r="HML3" s="120"/>
      <c r="HMM3" s="120"/>
      <c r="HMN3" s="120"/>
      <c r="HMO3" s="120"/>
      <c r="HMP3" s="120"/>
      <c r="HMQ3" s="120"/>
      <c r="HMR3" s="120"/>
      <c r="HMS3" s="120"/>
      <c r="HMT3" s="120"/>
      <c r="HMU3" s="120"/>
      <c r="HMV3" s="120"/>
      <c r="HMW3" s="120"/>
      <c r="HMX3" s="120"/>
      <c r="HMY3" s="120"/>
      <c r="HMZ3" s="120"/>
      <c r="HNA3" s="120"/>
      <c r="HNB3" s="120"/>
      <c r="HNC3" s="120"/>
      <c r="HND3" s="120"/>
      <c r="HNE3" s="120"/>
      <c r="HNF3" s="120"/>
      <c r="HNG3" s="120"/>
      <c r="HNH3" s="120"/>
      <c r="HNI3" s="120"/>
      <c r="HNJ3" s="120"/>
      <c r="HNK3" s="120"/>
      <c r="HNL3" s="120"/>
      <c r="HNM3" s="120"/>
      <c r="HNN3" s="120"/>
      <c r="HNO3" s="120"/>
      <c r="HNP3" s="120"/>
      <c r="HNQ3" s="120"/>
      <c r="HNR3" s="120"/>
      <c r="HNS3" s="120"/>
      <c r="HNT3" s="120"/>
      <c r="HNU3" s="120"/>
      <c r="HNV3" s="120"/>
      <c r="HNW3" s="120"/>
      <c r="HNX3" s="120"/>
      <c r="HNY3" s="120"/>
      <c r="HNZ3" s="120"/>
      <c r="HOA3" s="120"/>
      <c r="HOB3" s="120"/>
      <c r="HOC3" s="120"/>
      <c r="HOD3" s="120"/>
      <c r="HOE3" s="120"/>
      <c r="HOF3" s="120"/>
      <c r="HOG3" s="120"/>
      <c r="HOH3" s="120"/>
      <c r="HOI3" s="120"/>
      <c r="HOJ3" s="120"/>
      <c r="HOK3" s="120"/>
      <c r="HOL3" s="120"/>
      <c r="HOM3" s="120"/>
      <c r="HON3" s="120"/>
      <c r="HOO3" s="120"/>
      <c r="HOP3" s="120"/>
      <c r="HOQ3" s="120"/>
      <c r="HOR3" s="120"/>
      <c r="HOS3" s="120"/>
      <c r="HOT3" s="120"/>
      <c r="HOU3" s="120"/>
      <c r="HOV3" s="120"/>
      <c r="HOW3" s="120"/>
      <c r="HOX3" s="120"/>
      <c r="HOY3" s="120"/>
      <c r="HOZ3" s="120"/>
      <c r="HPA3" s="120"/>
      <c r="HPB3" s="120"/>
      <c r="HPC3" s="120"/>
      <c r="HPD3" s="120"/>
      <c r="HPE3" s="120"/>
      <c r="HPF3" s="120"/>
      <c r="HPG3" s="120"/>
      <c r="HPH3" s="120"/>
      <c r="HPI3" s="120"/>
      <c r="HPJ3" s="120"/>
      <c r="HPK3" s="120"/>
      <c r="HPL3" s="120"/>
      <c r="HPM3" s="120"/>
      <c r="HPN3" s="120"/>
      <c r="HPO3" s="120"/>
      <c r="HPP3" s="120"/>
      <c r="HPQ3" s="120"/>
      <c r="HPR3" s="120"/>
      <c r="HPS3" s="120"/>
      <c r="HPT3" s="120"/>
      <c r="HPU3" s="120"/>
      <c r="HPV3" s="120"/>
      <c r="HPW3" s="120"/>
      <c r="HPX3" s="120"/>
      <c r="HPY3" s="120"/>
      <c r="HPZ3" s="120"/>
      <c r="HQA3" s="120"/>
      <c r="HQB3" s="120"/>
      <c r="HQC3" s="120"/>
      <c r="HQD3" s="120"/>
      <c r="HQE3" s="120"/>
      <c r="HQF3" s="120"/>
      <c r="HQG3" s="120"/>
      <c r="HQH3" s="120"/>
      <c r="HQI3" s="120"/>
      <c r="HQJ3" s="120"/>
      <c r="HQK3" s="120"/>
      <c r="HQL3" s="120"/>
      <c r="HQM3" s="120"/>
      <c r="HQN3" s="120"/>
      <c r="HQO3" s="120"/>
      <c r="HQP3" s="120"/>
      <c r="HQQ3" s="120"/>
      <c r="HQR3" s="120"/>
      <c r="HQS3" s="120"/>
      <c r="HQT3" s="120"/>
      <c r="HQU3" s="120"/>
      <c r="HQV3" s="120"/>
      <c r="HQW3" s="120"/>
      <c r="HQX3" s="120"/>
      <c r="HQY3" s="120"/>
      <c r="HQZ3" s="120"/>
      <c r="HRA3" s="120"/>
      <c r="HRB3" s="120"/>
      <c r="HRC3" s="120"/>
      <c r="HRD3" s="120"/>
      <c r="HRE3" s="120"/>
      <c r="HRF3" s="120"/>
      <c r="HRG3" s="120"/>
      <c r="HRH3" s="120"/>
      <c r="HRI3" s="120"/>
      <c r="HRJ3" s="120"/>
      <c r="HRK3" s="120"/>
      <c r="HRL3" s="120"/>
      <c r="HRM3" s="120"/>
      <c r="HRN3" s="120"/>
      <c r="HRO3" s="120"/>
      <c r="HRP3" s="120"/>
      <c r="HRQ3" s="120"/>
      <c r="HRR3" s="120"/>
      <c r="HRS3" s="120"/>
      <c r="HRT3" s="120"/>
      <c r="HRU3" s="120"/>
      <c r="HRV3" s="120"/>
      <c r="HRW3" s="120"/>
      <c r="HRX3" s="120"/>
      <c r="HRY3" s="120"/>
      <c r="HRZ3" s="120"/>
      <c r="HSA3" s="120"/>
      <c r="HSB3" s="120"/>
      <c r="HSC3" s="120"/>
      <c r="HSD3" s="120"/>
      <c r="HSE3" s="120"/>
      <c r="HSF3" s="120"/>
      <c r="HSG3" s="120"/>
      <c r="HSH3" s="120"/>
      <c r="HSI3" s="120"/>
      <c r="HSJ3" s="120"/>
      <c r="HSK3" s="120"/>
      <c r="HSL3" s="120"/>
      <c r="HSM3" s="120"/>
      <c r="HSN3" s="120"/>
      <c r="HSO3" s="120"/>
      <c r="HSP3" s="120"/>
      <c r="HSQ3" s="120"/>
      <c r="HSR3" s="120"/>
      <c r="HSS3" s="120"/>
      <c r="HST3" s="120"/>
      <c r="HSU3" s="120"/>
      <c r="HSV3" s="120"/>
      <c r="HSW3" s="120"/>
      <c r="HSX3" s="120"/>
      <c r="HSY3" s="120"/>
      <c r="HSZ3" s="120"/>
      <c r="HTA3" s="120"/>
      <c r="HTB3" s="120"/>
      <c r="HTC3" s="120"/>
      <c r="HTD3" s="120"/>
      <c r="HTE3" s="120"/>
      <c r="HTF3" s="120"/>
      <c r="HTG3" s="120"/>
      <c r="HTH3" s="120"/>
      <c r="HTI3" s="120"/>
      <c r="HTJ3" s="120"/>
      <c r="HTK3" s="120"/>
      <c r="HTL3" s="120"/>
      <c r="HTM3" s="120"/>
      <c r="HTN3" s="120"/>
      <c r="HTO3" s="120"/>
      <c r="HTP3" s="120"/>
      <c r="HTQ3" s="120"/>
      <c r="HTR3" s="120"/>
      <c r="HTS3" s="120"/>
      <c r="HTT3" s="120"/>
      <c r="HTU3" s="120"/>
      <c r="HTV3" s="120"/>
      <c r="HTW3" s="120"/>
      <c r="HTX3" s="120"/>
      <c r="HTY3" s="120"/>
      <c r="HTZ3" s="120"/>
      <c r="HUA3" s="120"/>
      <c r="HUB3" s="120"/>
      <c r="HUC3" s="120"/>
      <c r="HUD3" s="120"/>
      <c r="HUE3" s="120"/>
      <c r="HUF3" s="120"/>
      <c r="HUG3" s="120"/>
      <c r="HUH3" s="120"/>
      <c r="HUI3" s="120"/>
      <c r="HUJ3" s="120"/>
      <c r="HUK3" s="120"/>
      <c r="HUL3" s="120"/>
      <c r="HUM3" s="120"/>
      <c r="HUN3" s="120"/>
      <c r="HUO3" s="120"/>
      <c r="HUP3" s="120"/>
      <c r="HUQ3" s="120"/>
      <c r="HUR3" s="120"/>
      <c r="HUS3" s="120"/>
      <c r="HUT3" s="120"/>
      <c r="HUU3" s="120"/>
      <c r="HUV3" s="120"/>
      <c r="HUW3" s="120"/>
      <c r="HUX3" s="120"/>
      <c r="HUY3" s="120"/>
      <c r="HUZ3" s="120"/>
      <c r="HVA3" s="120"/>
      <c r="HVB3" s="120"/>
      <c r="HVC3" s="120"/>
      <c r="HVD3" s="120"/>
      <c r="HVE3" s="120"/>
      <c r="HVF3" s="120"/>
      <c r="HVG3" s="120"/>
      <c r="HVH3" s="120"/>
      <c r="HVI3" s="120"/>
      <c r="HVJ3" s="120"/>
      <c r="HVK3" s="120"/>
      <c r="HVL3" s="120"/>
      <c r="HVM3" s="120"/>
      <c r="HVN3" s="120"/>
      <c r="HVO3" s="120"/>
      <c r="HVP3" s="120"/>
      <c r="HVQ3" s="120"/>
      <c r="HVR3" s="120"/>
      <c r="HVS3" s="120"/>
      <c r="HVT3" s="120"/>
      <c r="HVU3" s="120"/>
      <c r="HVV3" s="120"/>
      <c r="HVW3" s="120"/>
      <c r="HVX3" s="120"/>
      <c r="HVY3" s="120"/>
      <c r="HVZ3" s="120"/>
      <c r="HWA3" s="120"/>
      <c r="HWB3" s="120"/>
      <c r="HWC3" s="120"/>
      <c r="HWD3" s="120"/>
      <c r="HWE3" s="120"/>
      <c r="HWF3" s="120"/>
      <c r="HWG3" s="120"/>
      <c r="HWH3" s="120"/>
      <c r="HWI3" s="120"/>
      <c r="HWJ3" s="120"/>
      <c r="HWK3" s="120"/>
      <c r="HWL3" s="120"/>
      <c r="HWM3" s="120"/>
      <c r="HWN3" s="120"/>
      <c r="HWO3" s="120"/>
      <c r="HWP3" s="120"/>
      <c r="HWQ3" s="120"/>
      <c r="HWR3" s="120"/>
      <c r="HWS3" s="120"/>
      <c r="HWT3" s="120"/>
      <c r="HWU3" s="120"/>
      <c r="HWV3" s="120"/>
      <c r="HWW3" s="120"/>
      <c r="HWX3" s="120"/>
      <c r="HWY3" s="120"/>
      <c r="HWZ3" s="120"/>
      <c r="HXA3" s="120"/>
      <c r="HXB3" s="120"/>
      <c r="HXC3" s="120"/>
      <c r="HXD3" s="120"/>
      <c r="HXE3" s="120"/>
      <c r="HXF3" s="120"/>
      <c r="HXG3" s="120"/>
      <c r="HXH3" s="120"/>
      <c r="HXI3" s="120"/>
      <c r="HXJ3" s="120"/>
      <c r="HXK3" s="120"/>
      <c r="HXL3" s="120"/>
      <c r="HXM3" s="120"/>
      <c r="HXN3" s="120"/>
      <c r="HXO3" s="120"/>
      <c r="HXP3" s="120"/>
      <c r="HXQ3" s="120"/>
      <c r="HXR3" s="120"/>
      <c r="HXS3" s="120"/>
      <c r="HXT3" s="120"/>
      <c r="HXU3" s="120"/>
      <c r="HXV3" s="120"/>
      <c r="HXW3" s="120"/>
      <c r="HXX3" s="120"/>
      <c r="HXY3" s="120"/>
      <c r="HXZ3" s="120"/>
      <c r="HYA3" s="120"/>
      <c r="HYB3" s="120"/>
      <c r="HYC3" s="120"/>
      <c r="HYD3" s="120"/>
      <c r="HYE3" s="120"/>
      <c r="HYF3" s="120"/>
      <c r="HYG3" s="120"/>
      <c r="HYH3" s="120"/>
      <c r="HYI3" s="120"/>
      <c r="HYJ3" s="120"/>
      <c r="HYK3" s="120"/>
      <c r="HYL3" s="120"/>
      <c r="HYM3" s="120"/>
      <c r="HYN3" s="120"/>
      <c r="HYO3" s="120"/>
      <c r="HYP3" s="120"/>
      <c r="HYQ3" s="120"/>
      <c r="HYR3" s="120"/>
      <c r="HYS3" s="120"/>
      <c r="HYT3" s="120"/>
      <c r="HYU3" s="120"/>
      <c r="HYV3" s="120"/>
      <c r="HYW3" s="120"/>
      <c r="HYX3" s="120"/>
      <c r="HYY3" s="120"/>
      <c r="HYZ3" s="120"/>
      <c r="HZA3" s="120"/>
      <c r="HZB3" s="120"/>
      <c r="HZC3" s="120"/>
      <c r="HZD3" s="120"/>
      <c r="HZE3" s="120"/>
      <c r="HZF3" s="120"/>
      <c r="HZG3" s="120"/>
      <c r="HZH3" s="120"/>
      <c r="HZI3" s="120"/>
      <c r="HZJ3" s="120"/>
      <c r="HZK3" s="120"/>
      <c r="HZL3" s="120"/>
      <c r="HZM3" s="120"/>
      <c r="HZN3" s="120"/>
      <c r="HZO3" s="120"/>
      <c r="HZP3" s="120"/>
      <c r="HZQ3" s="120"/>
      <c r="HZR3" s="120"/>
      <c r="HZS3" s="120"/>
      <c r="HZT3" s="120"/>
      <c r="HZU3" s="120"/>
      <c r="HZV3" s="120"/>
      <c r="HZW3" s="120"/>
      <c r="HZX3" s="120"/>
      <c r="HZY3" s="120"/>
      <c r="HZZ3" s="120"/>
      <c r="IAA3" s="120"/>
      <c r="IAB3" s="120"/>
      <c r="IAC3" s="120"/>
      <c r="IAD3" s="120"/>
      <c r="IAE3" s="120"/>
      <c r="IAF3" s="120"/>
      <c r="IAG3" s="120"/>
      <c r="IAH3" s="120"/>
      <c r="IAI3" s="120"/>
      <c r="IAJ3" s="120"/>
      <c r="IAK3" s="120"/>
      <c r="IAL3" s="120"/>
      <c r="IAM3" s="120"/>
      <c r="IAN3" s="120"/>
      <c r="IAO3" s="120"/>
      <c r="IAP3" s="120"/>
      <c r="IAQ3" s="120"/>
      <c r="IAR3" s="120"/>
      <c r="IAS3" s="120"/>
      <c r="IAT3" s="120"/>
      <c r="IAU3" s="120"/>
      <c r="IAV3" s="120"/>
      <c r="IAW3" s="120"/>
      <c r="IAX3" s="120"/>
      <c r="IAY3" s="120"/>
      <c r="IAZ3" s="120"/>
      <c r="IBA3" s="120"/>
      <c r="IBB3" s="120"/>
      <c r="IBC3" s="120"/>
      <c r="IBD3" s="120"/>
      <c r="IBE3" s="120"/>
      <c r="IBF3" s="120"/>
      <c r="IBG3" s="120"/>
      <c r="IBH3" s="120"/>
      <c r="IBI3" s="120"/>
      <c r="IBJ3" s="120"/>
      <c r="IBK3" s="120"/>
      <c r="IBL3" s="120"/>
      <c r="IBM3" s="120"/>
      <c r="IBN3" s="120"/>
      <c r="IBO3" s="120"/>
      <c r="IBP3" s="120"/>
      <c r="IBQ3" s="120"/>
      <c r="IBR3" s="120"/>
      <c r="IBS3" s="120"/>
      <c r="IBT3" s="120"/>
      <c r="IBU3" s="120"/>
      <c r="IBV3" s="120"/>
      <c r="IBW3" s="120"/>
      <c r="IBX3" s="120"/>
      <c r="IBY3" s="120"/>
      <c r="IBZ3" s="120"/>
      <c r="ICA3" s="120"/>
      <c r="ICB3" s="120"/>
      <c r="ICC3" s="120"/>
      <c r="ICD3" s="120"/>
      <c r="ICE3" s="120"/>
      <c r="ICF3" s="120"/>
      <c r="ICG3" s="120"/>
      <c r="ICH3" s="120"/>
      <c r="ICI3" s="120"/>
      <c r="ICJ3" s="120"/>
      <c r="ICK3" s="120"/>
      <c r="ICL3" s="120"/>
      <c r="ICM3" s="120"/>
      <c r="ICN3" s="120"/>
      <c r="ICO3" s="120"/>
      <c r="ICP3" s="120"/>
      <c r="ICQ3" s="120"/>
      <c r="ICR3" s="120"/>
      <c r="ICS3" s="120"/>
      <c r="ICT3" s="120"/>
      <c r="ICU3" s="120"/>
      <c r="ICV3" s="120"/>
      <c r="ICW3" s="120"/>
      <c r="ICX3" s="120"/>
      <c r="ICY3" s="120"/>
      <c r="ICZ3" s="120"/>
      <c r="IDA3" s="120"/>
      <c r="IDB3" s="120"/>
      <c r="IDC3" s="120"/>
      <c r="IDD3" s="120"/>
      <c r="IDE3" s="120"/>
      <c r="IDF3" s="120"/>
      <c r="IDG3" s="120"/>
      <c r="IDH3" s="120"/>
      <c r="IDI3" s="120"/>
      <c r="IDJ3" s="120"/>
      <c r="IDK3" s="120"/>
      <c r="IDL3" s="120"/>
      <c r="IDM3" s="120"/>
      <c r="IDN3" s="120"/>
      <c r="IDO3" s="120"/>
      <c r="IDP3" s="120"/>
      <c r="IDQ3" s="120"/>
      <c r="IDR3" s="120"/>
      <c r="IDS3" s="120"/>
      <c r="IDT3" s="120"/>
      <c r="IDU3" s="120"/>
      <c r="IDV3" s="120"/>
      <c r="IDW3" s="120"/>
      <c r="IDX3" s="120"/>
      <c r="IDY3" s="120"/>
      <c r="IDZ3" s="120"/>
      <c r="IEA3" s="120"/>
      <c r="IEB3" s="120"/>
      <c r="IEC3" s="120"/>
      <c r="IED3" s="120"/>
      <c r="IEE3" s="120"/>
      <c r="IEF3" s="120"/>
      <c r="IEG3" s="120"/>
      <c r="IEH3" s="120"/>
      <c r="IEI3" s="120"/>
      <c r="IEJ3" s="120"/>
      <c r="IEK3" s="120"/>
      <c r="IEL3" s="120"/>
      <c r="IEM3" s="120"/>
      <c r="IEN3" s="120"/>
      <c r="IEO3" s="120"/>
      <c r="IEP3" s="120"/>
      <c r="IEQ3" s="120"/>
      <c r="IER3" s="120"/>
      <c r="IES3" s="120"/>
      <c r="IET3" s="120"/>
      <c r="IEU3" s="120"/>
      <c r="IEV3" s="120"/>
      <c r="IEW3" s="120"/>
      <c r="IEX3" s="120"/>
      <c r="IEY3" s="120"/>
      <c r="IEZ3" s="120"/>
      <c r="IFA3" s="120"/>
      <c r="IFB3" s="120"/>
      <c r="IFC3" s="120"/>
      <c r="IFD3" s="120"/>
      <c r="IFE3" s="120"/>
      <c r="IFF3" s="120"/>
      <c r="IFG3" s="120"/>
      <c r="IFH3" s="120"/>
      <c r="IFI3" s="120"/>
      <c r="IFJ3" s="120"/>
      <c r="IFK3" s="120"/>
      <c r="IFL3" s="120"/>
      <c r="IFM3" s="120"/>
      <c r="IFN3" s="120"/>
      <c r="IFO3" s="120"/>
      <c r="IFP3" s="120"/>
      <c r="IFQ3" s="120"/>
      <c r="IFR3" s="120"/>
      <c r="IFS3" s="120"/>
      <c r="IFT3" s="120"/>
      <c r="IFU3" s="120"/>
      <c r="IFV3" s="120"/>
      <c r="IFW3" s="120"/>
      <c r="IFX3" s="120"/>
      <c r="IFY3" s="120"/>
      <c r="IFZ3" s="120"/>
      <c r="IGA3" s="120"/>
      <c r="IGB3" s="120"/>
      <c r="IGC3" s="120"/>
      <c r="IGD3" s="120"/>
      <c r="IGE3" s="120"/>
      <c r="IGF3" s="120"/>
      <c r="IGG3" s="120"/>
      <c r="IGH3" s="120"/>
      <c r="IGI3" s="120"/>
      <c r="IGJ3" s="120"/>
      <c r="IGK3" s="120"/>
      <c r="IGL3" s="120"/>
      <c r="IGM3" s="120"/>
      <c r="IGN3" s="120"/>
      <c r="IGO3" s="120"/>
      <c r="IGP3" s="120"/>
      <c r="IGQ3" s="120"/>
      <c r="IGR3" s="120"/>
      <c r="IGS3" s="120"/>
      <c r="IGT3" s="120"/>
      <c r="IGU3" s="120"/>
      <c r="IGV3" s="120"/>
      <c r="IGW3" s="120"/>
      <c r="IGX3" s="120"/>
      <c r="IGY3" s="120"/>
      <c r="IGZ3" s="120"/>
      <c r="IHA3" s="120"/>
      <c r="IHB3" s="120"/>
      <c r="IHC3" s="120"/>
      <c r="IHD3" s="120"/>
      <c r="IHE3" s="120"/>
      <c r="IHF3" s="120"/>
      <c r="IHG3" s="120"/>
      <c r="IHH3" s="120"/>
      <c r="IHI3" s="120"/>
      <c r="IHJ3" s="120"/>
      <c r="IHK3" s="120"/>
      <c r="IHL3" s="120"/>
      <c r="IHM3" s="120"/>
      <c r="IHN3" s="120"/>
      <c r="IHO3" s="120"/>
      <c r="IHP3" s="120"/>
      <c r="IHQ3" s="120"/>
      <c r="IHR3" s="120"/>
      <c r="IHS3" s="120"/>
      <c r="IHT3" s="120"/>
      <c r="IHU3" s="120"/>
      <c r="IHV3" s="120"/>
      <c r="IHW3" s="120"/>
      <c r="IHX3" s="120"/>
      <c r="IHY3" s="120"/>
      <c r="IHZ3" s="120"/>
      <c r="IIA3" s="120"/>
      <c r="IIB3" s="120"/>
      <c r="IIC3" s="120"/>
      <c r="IID3" s="120"/>
      <c r="IIE3" s="120"/>
      <c r="IIF3" s="120"/>
      <c r="IIG3" s="120"/>
      <c r="IIH3" s="120"/>
      <c r="III3" s="120"/>
      <c r="IIJ3" s="120"/>
      <c r="IIK3" s="120"/>
      <c r="IIL3" s="120"/>
      <c r="IIM3" s="120"/>
      <c r="IIN3" s="120"/>
      <c r="IIO3" s="120"/>
      <c r="IIP3" s="120"/>
      <c r="IIQ3" s="120"/>
      <c r="IIR3" s="120"/>
      <c r="IIS3" s="120"/>
      <c r="IIT3" s="120"/>
      <c r="IIU3" s="120"/>
      <c r="IIV3" s="120"/>
      <c r="IIW3" s="120"/>
      <c r="IIX3" s="120"/>
      <c r="IIY3" s="120"/>
      <c r="IIZ3" s="120"/>
      <c r="IJA3" s="120"/>
      <c r="IJB3" s="120"/>
      <c r="IJC3" s="120"/>
      <c r="IJD3" s="120"/>
      <c r="IJE3" s="120"/>
      <c r="IJF3" s="120"/>
      <c r="IJG3" s="120"/>
      <c r="IJH3" s="120"/>
      <c r="IJI3" s="120"/>
      <c r="IJJ3" s="120"/>
      <c r="IJK3" s="120"/>
      <c r="IJL3" s="120"/>
      <c r="IJM3" s="120"/>
      <c r="IJN3" s="120"/>
      <c r="IJO3" s="120"/>
      <c r="IJP3" s="120"/>
      <c r="IJQ3" s="120"/>
      <c r="IJR3" s="120"/>
      <c r="IJS3" s="120"/>
      <c r="IJT3" s="120"/>
      <c r="IJU3" s="120"/>
      <c r="IJV3" s="120"/>
      <c r="IJW3" s="120"/>
      <c r="IJX3" s="120"/>
      <c r="IJY3" s="120"/>
      <c r="IJZ3" s="120"/>
      <c r="IKA3" s="120"/>
      <c r="IKB3" s="120"/>
      <c r="IKC3" s="120"/>
      <c r="IKD3" s="120"/>
      <c r="IKE3" s="120"/>
      <c r="IKF3" s="120"/>
      <c r="IKG3" s="120"/>
      <c r="IKH3" s="120"/>
      <c r="IKI3" s="120"/>
      <c r="IKJ3" s="120"/>
      <c r="IKK3" s="120"/>
      <c r="IKL3" s="120"/>
      <c r="IKM3" s="120"/>
      <c r="IKN3" s="120"/>
      <c r="IKO3" s="120"/>
      <c r="IKP3" s="120"/>
      <c r="IKQ3" s="120"/>
      <c r="IKR3" s="120"/>
      <c r="IKS3" s="120"/>
      <c r="IKT3" s="120"/>
      <c r="IKU3" s="120"/>
      <c r="IKV3" s="120"/>
      <c r="IKW3" s="120"/>
      <c r="IKX3" s="120"/>
      <c r="IKY3" s="120"/>
      <c r="IKZ3" s="120"/>
      <c r="ILA3" s="120"/>
      <c r="ILB3" s="120"/>
      <c r="ILC3" s="120"/>
      <c r="ILD3" s="120"/>
      <c r="ILE3" s="120"/>
      <c r="ILF3" s="120"/>
      <c r="ILG3" s="120"/>
      <c r="ILH3" s="120"/>
      <c r="ILI3" s="120"/>
      <c r="ILJ3" s="120"/>
      <c r="ILK3" s="120"/>
      <c r="ILL3" s="120"/>
      <c r="ILM3" s="120"/>
      <c r="ILN3" s="120"/>
      <c r="ILO3" s="120"/>
      <c r="ILP3" s="120"/>
      <c r="ILQ3" s="120"/>
      <c r="ILR3" s="120"/>
      <c r="ILS3" s="120"/>
      <c r="ILT3" s="120"/>
      <c r="ILU3" s="120"/>
      <c r="ILV3" s="120"/>
      <c r="ILW3" s="120"/>
      <c r="ILX3" s="120"/>
      <c r="ILY3" s="120"/>
      <c r="ILZ3" s="120"/>
      <c r="IMA3" s="120"/>
      <c r="IMB3" s="120"/>
      <c r="IMC3" s="120"/>
      <c r="IMD3" s="120"/>
      <c r="IME3" s="120"/>
      <c r="IMF3" s="120"/>
      <c r="IMG3" s="120"/>
      <c r="IMH3" s="120"/>
      <c r="IMI3" s="120"/>
      <c r="IMJ3" s="120"/>
      <c r="IMK3" s="120"/>
      <c r="IML3" s="120"/>
      <c r="IMM3" s="120"/>
      <c r="IMN3" s="120"/>
      <c r="IMO3" s="120"/>
      <c r="IMP3" s="120"/>
      <c r="IMQ3" s="120"/>
      <c r="IMR3" s="120"/>
      <c r="IMS3" s="120"/>
      <c r="IMT3" s="120"/>
      <c r="IMU3" s="120"/>
      <c r="IMV3" s="120"/>
      <c r="IMW3" s="120"/>
      <c r="IMX3" s="120"/>
      <c r="IMY3" s="120"/>
      <c r="IMZ3" s="120"/>
      <c r="INA3" s="120"/>
      <c r="INB3" s="120"/>
      <c r="INC3" s="120"/>
      <c r="IND3" s="120"/>
      <c r="INE3" s="120"/>
      <c r="INF3" s="120"/>
      <c r="ING3" s="120"/>
      <c r="INH3" s="120"/>
      <c r="INI3" s="120"/>
      <c r="INJ3" s="120"/>
      <c r="INK3" s="120"/>
      <c r="INL3" s="120"/>
      <c r="INM3" s="120"/>
      <c r="INN3" s="120"/>
      <c r="INO3" s="120"/>
      <c r="INP3" s="120"/>
      <c r="INQ3" s="120"/>
      <c r="INR3" s="120"/>
      <c r="INS3" s="120"/>
      <c r="INT3" s="120"/>
      <c r="INU3" s="120"/>
      <c r="INV3" s="120"/>
      <c r="INW3" s="120"/>
      <c r="INX3" s="120"/>
      <c r="INY3" s="120"/>
      <c r="INZ3" s="120"/>
      <c r="IOA3" s="120"/>
      <c r="IOB3" s="120"/>
      <c r="IOC3" s="120"/>
      <c r="IOD3" s="120"/>
      <c r="IOE3" s="120"/>
      <c r="IOF3" s="120"/>
      <c r="IOG3" s="120"/>
      <c r="IOH3" s="120"/>
      <c r="IOI3" s="120"/>
      <c r="IOJ3" s="120"/>
      <c r="IOK3" s="120"/>
      <c r="IOL3" s="120"/>
      <c r="IOM3" s="120"/>
      <c r="ION3" s="120"/>
      <c r="IOO3" s="120"/>
      <c r="IOP3" s="120"/>
      <c r="IOQ3" s="120"/>
      <c r="IOR3" s="120"/>
      <c r="IOS3" s="120"/>
      <c r="IOT3" s="120"/>
      <c r="IOU3" s="120"/>
      <c r="IOV3" s="120"/>
      <c r="IOW3" s="120"/>
      <c r="IOX3" s="120"/>
      <c r="IOY3" s="120"/>
      <c r="IOZ3" s="120"/>
      <c r="IPA3" s="120"/>
      <c r="IPB3" s="120"/>
      <c r="IPC3" s="120"/>
      <c r="IPD3" s="120"/>
      <c r="IPE3" s="120"/>
      <c r="IPF3" s="120"/>
      <c r="IPG3" s="120"/>
      <c r="IPH3" s="120"/>
      <c r="IPI3" s="120"/>
      <c r="IPJ3" s="120"/>
      <c r="IPK3" s="120"/>
      <c r="IPL3" s="120"/>
      <c r="IPM3" s="120"/>
      <c r="IPN3" s="120"/>
      <c r="IPO3" s="120"/>
      <c r="IPP3" s="120"/>
      <c r="IPQ3" s="120"/>
      <c r="IPR3" s="120"/>
      <c r="IPS3" s="120"/>
      <c r="IPT3" s="120"/>
      <c r="IPU3" s="120"/>
      <c r="IPV3" s="120"/>
      <c r="IPW3" s="120"/>
      <c r="IPX3" s="120"/>
      <c r="IPY3" s="120"/>
      <c r="IPZ3" s="120"/>
      <c r="IQA3" s="120"/>
      <c r="IQB3" s="120"/>
      <c r="IQC3" s="120"/>
      <c r="IQD3" s="120"/>
      <c r="IQE3" s="120"/>
      <c r="IQF3" s="120"/>
      <c r="IQG3" s="120"/>
      <c r="IQH3" s="120"/>
      <c r="IQI3" s="120"/>
      <c r="IQJ3" s="120"/>
      <c r="IQK3" s="120"/>
      <c r="IQL3" s="120"/>
      <c r="IQM3" s="120"/>
      <c r="IQN3" s="120"/>
      <c r="IQO3" s="120"/>
      <c r="IQP3" s="120"/>
      <c r="IQQ3" s="120"/>
      <c r="IQR3" s="120"/>
      <c r="IQS3" s="120"/>
      <c r="IQT3" s="120"/>
      <c r="IQU3" s="120"/>
      <c r="IQV3" s="120"/>
      <c r="IQW3" s="120"/>
      <c r="IQX3" s="120"/>
      <c r="IQY3" s="120"/>
      <c r="IQZ3" s="120"/>
      <c r="IRA3" s="120"/>
      <c r="IRB3" s="120"/>
      <c r="IRC3" s="120"/>
      <c r="IRD3" s="120"/>
      <c r="IRE3" s="120"/>
      <c r="IRF3" s="120"/>
      <c r="IRG3" s="120"/>
      <c r="IRH3" s="120"/>
      <c r="IRI3" s="120"/>
      <c r="IRJ3" s="120"/>
      <c r="IRK3" s="120"/>
      <c r="IRL3" s="120"/>
      <c r="IRM3" s="120"/>
      <c r="IRN3" s="120"/>
      <c r="IRO3" s="120"/>
      <c r="IRP3" s="120"/>
      <c r="IRQ3" s="120"/>
      <c r="IRR3" s="120"/>
      <c r="IRS3" s="120"/>
      <c r="IRT3" s="120"/>
      <c r="IRU3" s="120"/>
      <c r="IRV3" s="120"/>
      <c r="IRW3" s="120"/>
      <c r="IRX3" s="120"/>
      <c r="IRY3" s="120"/>
      <c r="IRZ3" s="120"/>
      <c r="ISA3" s="120"/>
      <c r="ISB3" s="120"/>
      <c r="ISC3" s="120"/>
      <c r="ISD3" s="120"/>
      <c r="ISE3" s="120"/>
      <c r="ISF3" s="120"/>
      <c r="ISG3" s="120"/>
      <c r="ISH3" s="120"/>
      <c r="ISI3" s="120"/>
      <c r="ISJ3" s="120"/>
      <c r="ISK3" s="120"/>
      <c r="ISL3" s="120"/>
      <c r="ISM3" s="120"/>
      <c r="ISN3" s="120"/>
      <c r="ISO3" s="120"/>
      <c r="ISP3" s="120"/>
      <c r="ISQ3" s="120"/>
      <c r="ISR3" s="120"/>
      <c r="ISS3" s="120"/>
      <c r="IST3" s="120"/>
      <c r="ISU3" s="120"/>
      <c r="ISV3" s="120"/>
      <c r="ISW3" s="120"/>
      <c r="ISX3" s="120"/>
      <c r="ISY3" s="120"/>
      <c r="ISZ3" s="120"/>
      <c r="ITA3" s="120"/>
      <c r="ITB3" s="120"/>
      <c r="ITC3" s="120"/>
      <c r="ITD3" s="120"/>
      <c r="ITE3" s="120"/>
      <c r="ITF3" s="120"/>
      <c r="ITG3" s="120"/>
      <c r="ITH3" s="120"/>
      <c r="ITI3" s="120"/>
      <c r="ITJ3" s="120"/>
      <c r="ITK3" s="120"/>
      <c r="ITL3" s="120"/>
      <c r="ITM3" s="120"/>
      <c r="ITN3" s="120"/>
      <c r="ITO3" s="120"/>
      <c r="ITP3" s="120"/>
      <c r="ITQ3" s="120"/>
      <c r="ITR3" s="120"/>
      <c r="ITS3" s="120"/>
      <c r="ITT3" s="120"/>
      <c r="ITU3" s="120"/>
      <c r="ITV3" s="120"/>
      <c r="ITW3" s="120"/>
      <c r="ITX3" s="120"/>
      <c r="ITY3" s="120"/>
      <c r="ITZ3" s="120"/>
      <c r="IUA3" s="120"/>
      <c r="IUB3" s="120"/>
      <c r="IUC3" s="120"/>
      <c r="IUD3" s="120"/>
      <c r="IUE3" s="120"/>
      <c r="IUF3" s="120"/>
      <c r="IUG3" s="120"/>
      <c r="IUH3" s="120"/>
      <c r="IUI3" s="120"/>
      <c r="IUJ3" s="120"/>
      <c r="IUK3" s="120"/>
      <c r="IUL3" s="120"/>
      <c r="IUM3" s="120"/>
      <c r="IUN3" s="120"/>
      <c r="IUO3" s="120"/>
      <c r="IUP3" s="120"/>
      <c r="IUQ3" s="120"/>
      <c r="IUR3" s="120"/>
      <c r="IUS3" s="120"/>
      <c r="IUT3" s="120"/>
      <c r="IUU3" s="120"/>
      <c r="IUV3" s="120"/>
      <c r="IUW3" s="120"/>
      <c r="IUX3" s="120"/>
      <c r="IUY3" s="120"/>
      <c r="IUZ3" s="120"/>
      <c r="IVA3" s="120"/>
      <c r="IVB3" s="120"/>
      <c r="IVC3" s="120"/>
      <c r="IVD3" s="120"/>
      <c r="IVE3" s="120"/>
      <c r="IVF3" s="120"/>
      <c r="IVG3" s="120"/>
      <c r="IVH3" s="120"/>
      <c r="IVI3" s="120"/>
      <c r="IVJ3" s="120"/>
      <c r="IVK3" s="120"/>
      <c r="IVL3" s="120"/>
      <c r="IVM3" s="120"/>
      <c r="IVN3" s="120"/>
      <c r="IVO3" s="120"/>
      <c r="IVP3" s="120"/>
      <c r="IVQ3" s="120"/>
      <c r="IVR3" s="120"/>
      <c r="IVS3" s="120"/>
      <c r="IVT3" s="120"/>
      <c r="IVU3" s="120"/>
      <c r="IVV3" s="120"/>
      <c r="IVW3" s="120"/>
      <c r="IVX3" s="120"/>
      <c r="IVY3" s="120"/>
      <c r="IVZ3" s="120"/>
      <c r="IWA3" s="120"/>
      <c r="IWB3" s="120"/>
      <c r="IWC3" s="120"/>
      <c r="IWD3" s="120"/>
      <c r="IWE3" s="120"/>
      <c r="IWF3" s="120"/>
      <c r="IWG3" s="120"/>
      <c r="IWH3" s="120"/>
      <c r="IWI3" s="120"/>
      <c r="IWJ3" s="120"/>
      <c r="IWK3" s="120"/>
      <c r="IWL3" s="120"/>
      <c r="IWM3" s="120"/>
      <c r="IWN3" s="120"/>
      <c r="IWO3" s="120"/>
      <c r="IWP3" s="120"/>
      <c r="IWQ3" s="120"/>
      <c r="IWR3" s="120"/>
      <c r="IWS3" s="120"/>
      <c r="IWT3" s="120"/>
      <c r="IWU3" s="120"/>
      <c r="IWV3" s="120"/>
      <c r="IWW3" s="120"/>
      <c r="IWX3" s="120"/>
      <c r="IWY3" s="120"/>
      <c r="IWZ3" s="120"/>
      <c r="IXA3" s="120"/>
      <c r="IXB3" s="120"/>
      <c r="IXC3" s="120"/>
      <c r="IXD3" s="120"/>
      <c r="IXE3" s="120"/>
      <c r="IXF3" s="120"/>
      <c r="IXG3" s="120"/>
      <c r="IXH3" s="120"/>
      <c r="IXI3" s="120"/>
      <c r="IXJ3" s="120"/>
      <c r="IXK3" s="120"/>
      <c r="IXL3" s="120"/>
      <c r="IXM3" s="120"/>
      <c r="IXN3" s="120"/>
      <c r="IXO3" s="120"/>
      <c r="IXP3" s="120"/>
      <c r="IXQ3" s="120"/>
      <c r="IXR3" s="120"/>
      <c r="IXS3" s="120"/>
      <c r="IXT3" s="120"/>
      <c r="IXU3" s="120"/>
      <c r="IXV3" s="120"/>
      <c r="IXW3" s="120"/>
      <c r="IXX3" s="120"/>
      <c r="IXY3" s="120"/>
      <c r="IXZ3" s="120"/>
      <c r="IYA3" s="120"/>
      <c r="IYB3" s="120"/>
      <c r="IYC3" s="120"/>
      <c r="IYD3" s="120"/>
      <c r="IYE3" s="120"/>
      <c r="IYF3" s="120"/>
      <c r="IYG3" s="120"/>
      <c r="IYH3" s="120"/>
      <c r="IYI3" s="120"/>
      <c r="IYJ3" s="120"/>
      <c r="IYK3" s="120"/>
      <c r="IYL3" s="120"/>
      <c r="IYM3" s="120"/>
      <c r="IYN3" s="120"/>
      <c r="IYO3" s="120"/>
      <c r="IYP3" s="120"/>
      <c r="IYQ3" s="120"/>
      <c r="IYR3" s="120"/>
      <c r="IYS3" s="120"/>
      <c r="IYT3" s="120"/>
      <c r="IYU3" s="120"/>
      <c r="IYV3" s="120"/>
      <c r="IYW3" s="120"/>
      <c r="IYX3" s="120"/>
      <c r="IYY3" s="120"/>
      <c r="IYZ3" s="120"/>
      <c r="IZA3" s="120"/>
      <c r="IZB3" s="120"/>
      <c r="IZC3" s="120"/>
      <c r="IZD3" s="120"/>
      <c r="IZE3" s="120"/>
      <c r="IZF3" s="120"/>
      <c r="IZG3" s="120"/>
      <c r="IZH3" s="120"/>
      <c r="IZI3" s="120"/>
      <c r="IZJ3" s="120"/>
      <c r="IZK3" s="120"/>
      <c r="IZL3" s="120"/>
      <c r="IZM3" s="120"/>
      <c r="IZN3" s="120"/>
      <c r="IZO3" s="120"/>
      <c r="IZP3" s="120"/>
      <c r="IZQ3" s="120"/>
      <c r="IZR3" s="120"/>
      <c r="IZS3" s="120"/>
      <c r="IZT3" s="120"/>
      <c r="IZU3" s="120"/>
      <c r="IZV3" s="120"/>
      <c r="IZW3" s="120"/>
      <c r="IZX3" s="120"/>
      <c r="IZY3" s="120"/>
      <c r="IZZ3" s="120"/>
      <c r="JAA3" s="120"/>
      <c r="JAB3" s="120"/>
      <c r="JAC3" s="120"/>
      <c r="JAD3" s="120"/>
      <c r="JAE3" s="120"/>
      <c r="JAF3" s="120"/>
      <c r="JAG3" s="120"/>
      <c r="JAH3" s="120"/>
      <c r="JAI3" s="120"/>
      <c r="JAJ3" s="120"/>
      <c r="JAK3" s="120"/>
      <c r="JAL3" s="120"/>
      <c r="JAM3" s="120"/>
      <c r="JAN3" s="120"/>
      <c r="JAO3" s="120"/>
      <c r="JAP3" s="120"/>
      <c r="JAQ3" s="120"/>
      <c r="JAR3" s="120"/>
      <c r="JAS3" s="120"/>
      <c r="JAT3" s="120"/>
      <c r="JAU3" s="120"/>
      <c r="JAV3" s="120"/>
      <c r="JAW3" s="120"/>
      <c r="JAX3" s="120"/>
      <c r="JAY3" s="120"/>
      <c r="JAZ3" s="120"/>
      <c r="JBA3" s="120"/>
      <c r="JBB3" s="120"/>
      <c r="JBC3" s="120"/>
      <c r="JBD3" s="120"/>
      <c r="JBE3" s="120"/>
      <c r="JBF3" s="120"/>
      <c r="JBG3" s="120"/>
      <c r="JBH3" s="120"/>
      <c r="JBI3" s="120"/>
      <c r="JBJ3" s="120"/>
      <c r="JBK3" s="120"/>
      <c r="JBL3" s="120"/>
      <c r="JBM3" s="120"/>
      <c r="JBN3" s="120"/>
      <c r="JBO3" s="120"/>
      <c r="JBP3" s="120"/>
      <c r="JBQ3" s="120"/>
      <c r="JBR3" s="120"/>
      <c r="JBS3" s="120"/>
      <c r="JBT3" s="120"/>
      <c r="JBU3" s="120"/>
      <c r="JBV3" s="120"/>
      <c r="JBW3" s="120"/>
      <c r="JBX3" s="120"/>
      <c r="JBY3" s="120"/>
      <c r="JBZ3" s="120"/>
      <c r="JCA3" s="120"/>
      <c r="JCB3" s="120"/>
      <c r="JCC3" s="120"/>
      <c r="JCD3" s="120"/>
      <c r="JCE3" s="120"/>
      <c r="JCF3" s="120"/>
      <c r="JCG3" s="120"/>
      <c r="JCH3" s="120"/>
      <c r="JCI3" s="120"/>
      <c r="JCJ3" s="120"/>
      <c r="JCK3" s="120"/>
      <c r="JCL3" s="120"/>
      <c r="JCM3" s="120"/>
      <c r="JCN3" s="120"/>
      <c r="JCO3" s="120"/>
      <c r="JCP3" s="120"/>
      <c r="JCQ3" s="120"/>
      <c r="JCR3" s="120"/>
      <c r="JCS3" s="120"/>
      <c r="JCT3" s="120"/>
      <c r="JCU3" s="120"/>
      <c r="JCV3" s="120"/>
      <c r="JCW3" s="120"/>
      <c r="JCX3" s="120"/>
      <c r="JCY3" s="120"/>
      <c r="JCZ3" s="120"/>
      <c r="JDA3" s="120"/>
      <c r="JDB3" s="120"/>
      <c r="JDC3" s="120"/>
      <c r="JDD3" s="120"/>
      <c r="JDE3" s="120"/>
      <c r="JDF3" s="120"/>
      <c r="JDG3" s="120"/>
      <c r="JDH3" s="120"/>
      <c r="JDI3" s="120"/>
      <c r="JDJ3" s="120"/>
      <c r="JDK3" s="120"/>
      <c r="JDL3" s="120"/>
      <c r="JDM3" s="120"/>
      <c r="JDN3" s="120"/>
      <c r="JDO3" s="120"/>
      <c r="JDP3" s="120"/>
      <c r="JDQ3" s="120"/>
      <c r="JDR3" s="120"/>
      <c r="JDS3" s="120"/>
      <c r="JDT3" s="120"/>
      <c r="JDU3" s="120"/>
      <c r="JDV3" s="120"/>
      <c r="JDW3" s="120"/>
      <c r="JDX3" s="120"/>
      <c r="JDY3" s="120"/>
      <c r="JDZ3" s="120"/>
      <c r="JEA3" s="120"/>
      <c r="JEB3" s="120"/>
      <c r="JEC3" s="120"/>
      <c r="JED3" s="120"/>
      <c r="JEE3" s="120"/>
      <c r="JEF3" s="120"/>
      <c r="JEG3" s="120"/>
      <c r="JEH3" s="120"/>
      <c r="JEI3" s="120"/>
      <c r="JEJ3" s="120"/>
      <c r="JEK3" s="120"/>
      <c r="JEL3" s="120"/>
      <c r="JEM3" s="120"/>
      <c r="JEN3" s="120"/>
      <c r="JEO3" s="120"/>
      <c r="JEP3" s="120"/>
      <c r="JEQ3" s="120"/>
      <c r="JER3" s="120"/>
      <c r="JES3" s="120"/>
      <c r="JET3" s="120"/>
      <c r="JEU3" s="120"/>
      <c r="JEV3" s="120"/>
      <c r="JEW3" s="120"/>
      <c r="JEX3" s="120"/>
      <c r="JEY3" s="120"/>
      <c r="JEZ3" s="120"/>
      <c r="JFA3" s="120"/>
      <c r="JFB3" s="120"/>
      <c r="JFC3" s="120"/>
      <c r="JFD3" s="120"/>
      <c r="JFE3" s="120"/>
      <c r="JFF3" s="120"/>
      <c r="JFG3" s="120"/>
      <c r="JFH3" s="120"/>
      <c r="JFI3" s="120"/>
      <c r="JFJ3" s="120"/>
      <c r="JFK3" s="120"/>
      <c r="JFL3" s="120"/>
      <c r="JFM3" s="120"/>
      <c r="JFN3" s="120"/>
      <c r="JFO3" s="120"/>
      <c r="JFP3" s="120"/>
      <c r="JFQ3" s="120"/>
      <c r="JFR3" s="120"/>
      <c r="JFS3" s="120"/>
      <c r="JFT3" s="120"/>
      <c r="JFU3" s="120"/>
      <c r="JFV3" s="120"/>
      <c r="JFW3" s="120"/>
      <c r="JFX3" s="120"/>
      <c r="JFY3" s="120"/>
      <c r="JFZ3" s="120"/>
      <c r="JGA3" s="120"/>
      <c r="JGB3" s="120"/>
      <c r="JGC3" s="120"/>
      <c r="JGD3" s="120"/>
      <c r="JGE3" s="120"/>
      <c r="JGF3" s="120"/>
      <c r="JGG3" s="120"/>
      <c r="JGH3" s="120"/>
      <c r="JGI3" s="120"/>
      <c r="JGJ3" s="120"/>
      <c r="JGK3" s="120"/>
      <c r="JGL3" s="120"/>
      <c r="JGM3" s="120"/>
      <c r="JGN3" s="120"/>
      <c r="JGO3" s="120"/>
      <c r="JGP3" s="120"/>
      <c r="JGQ3" s="120"/>
      <c r="JGR3" s="120"/>
      <c r="JGS3" s="120"/>
      <c r="JGT3" s="120"/>
      <c r="JGU3" s="120"/>
      <c r="JGV3" s="120"/>
      <c r="JGW3" s="120"/>
      <c r="JGX3" s="120"/>
      <c r="JGY3" s="120"/>
      <c r="JGZ3" s="120"/>
      <c r="JHA3" s="120"/>
      <c r="JHB3" s="120"/>
      <c r="JHC3" s="120"/>
      <c r="JHD3" s="120"/>
      <c r="JHE3" s="120"/>
      <c r="JHF3" s="120"/>
      <c r="JHG3" s="120"/>
      <c r="JHH3" s="120"/>
      <c r="JHI3" s="120"/>
      <c r="JHJ3" s="120"/>
      <c r="JHK3" s="120"/>
      <c r="JHL3" s="120"/>
      <c r="JHM3" s="120"/>
      <c r="JHN3" s="120"/>
      <c r="JHO3" s="120"/>
      <c r="JHP3" s="120"/>
      <c r="JHQ3" s="120"/>
      <c r="JHR3" s="120"/>
      <c r="JHS3" s="120"/>
      <c r="JHT3" s="120"/>
      <c r="JHU3" s="120"/>
      <c r="JHV3" s="120"/>
      <c r="JHW3" s="120"/>
      <c r="JHX3" s="120"/>
      <c r="JHY3" s="120"/>
      <c r="JHZ3" s="120"/>
      <c r="JIA3" s="120"/>
      <c r="JIB3" s="120"/>
      <c r="JIC3" s="120"/>
      <c r="JID3" s="120"/>
      <c r="JIE3" s="120"/>
      <c r="JIF3" s="120"/>
      <c r="JIG3" s="120"/>
      <c r="JIH3" s="120"/>
      <c r="JII3" s="120"/>
      <c r="JIJ3" s="120"/>
      <c r="JIK3" s="120"/>
      <c r="JIL3" s="120"/>
      <c r="JIM3" s="120"/>
      <c r="JIN3" s="120"/>
      <c r="JIO3" s="120"/>
      <c r="JIP3" s="120"/>
      <c r="JIQ3" s="120"/>
      <c r="JIR3" s="120"/>
      <c r="JIS3" s="120"/>
      <c r="JIT3" s="120"/>
      <c r="JIU3" s="120"/>
      <c r="JIV3" s="120"/>
      <c r="JIW3" s="120"/>
      <c r="JIX3" s="120"/>
      <c r="JIY3" s="120"/>
      <c r="JIZ3" s="120"/>
      <c r="JJA3" s="120"/>
      <c r="JJB3" s="120"/>
      <c r="JJC3" s="120"/>
      <c r="JJD3" s="120"/>
      <c r="JJE3" s="120"/>
      <c r="JJF3" s="120"/>
      <c r="JJG3" s="120"/>
      <c r="JJH3" s="120"/>
      <c r="JJI3" s="120"/>
      <c r="JJJ3" s="120"/>
      <c r="JJK3" s="120"/>
      <c r="JJL3" s="120"/>
      <c r="JJM3" s="120"/>
      <c r="JJN3" s="120"/>
      <c r="JJO3" s="120"/>
      <c r="JJP3" s="120"/>
      <c r="JJQ3" s="120"/>
      <c r="JJR3" s="120"/>
      <c r="JJS3" s="120"/>
      <c r="JJT3" s="120"/>
      <c r="JJU3" s="120"/>
      <c r="JJV3" s="120"/>
      <c r="JJW3" s="120"/>
      <c r="JJX3" s="120"/>
      <c r="JJY3" s="120"/>
      <c r="JJZ3" s="120"/>
      <c r="JKA3" s="120"/>
      <c r="JKB3" s="120"/>
      <c r="JKC3" s="120"/>
      <c r="JKD3" s="120"/>
      <c r="JKE3" s="120"/>
      <c r="JKF3" s="120"/>
      <c r="JKG3" s="120"/>
      <c r="JKH3" s="120"/>
      <c r="JKI3" s="120"/>
      <c r="JKJ3" s="120"/>
      <c r="JKK3" s="120"/>
      <c r="JKL3" s="120"/>
      <c r="JKM3" s="120"/>
      <c r="JKN3" s="120"/>
      <c r="JKO3" s="120"/>
      <c r="JKP3" s="120"/>
      <c r="JKQ3" s="120"/>
      <c r="JKR3" s="120"/>
      <c r="JKS3" s="120"/>
      <c r="JKT3" s="120"/>
      <c r="JKU3" s="120"/>
      <c r="JKV3" s="120"/>
      <c r="JKW3" s="120"/>
      <c r="JKX3" s="120"/>
      <c r="JKY3" s="120"/>
      <c r="JKZ3" s="120"/>
      <c r="JLA3" s="120"/>
      <c r="JLB3" s="120"/>
      <c r="JLC3" s="120"/>
      <c r="JLD3" s="120"/>
      <c r="JLE3" s="120"/>
      <c r="JLF3" s="120"/>
      <c r="JLG3" s="120"/>
      <c r="JLH3" s="120"/>
      <c r="JLI3" s="120"/>
      <c r="JLJ3" s="120"/>
      <c r="JLK3" s="120"/>
      <c r="JLL3" s="120"/>
      <c r="JLM3" s="120"/>
      <c r="JLN3" s="120"/>
      <c r="JLO3" s="120"/>
      <c r="JLP3" s="120"/>
      <c r="JLQ3" s="120"/>
      <c r="JLR3" s="120"/>
      <c r="JLS3" s="120"/>
      <c r="JLT3" s="120"/>
      <c r="JLU3" s="120"/>
      <c r="JLV3" s="120"/>
      <c r="JLW3" s="120"/>
      <c r="JLX3" s="120"/>
      <c r="JLY3" s="120"/>
      <c r="JLZ3" s="120"/>
      <c r="JMA3" s="120"/>
      <c r="JMB3" s="120"/>
      <c r="JMC3" s="120"/>
      <c r="JMD3" s="120"/>
      <c r="JME3" s="120"/>
      <c r="JMF3" s="120"/>
      <c r="JMG3" s="120"/>
      <c r="JMH3" s="120"/>
      <c r="JMI3" s="120"/>
      <c r="JMJ3" s="120"/>
      <c r="JMK3" s="120"/>
      <c r="JML3" s="120"/>
      <c r="JMM3" s="120"/>
      <c r="JMN3" s="120"/>
      <c r="JMO3" s="120"/>
      <c r="JMP3" s="120"/>
      <c r="JMQ3" s="120"/>
      <c r="JMR3" s="120"/>
      <c r="JMS3" s="120"/>
      <c r="JMT3" s="120"/>
      <c r="JMU3" s="120"/>
      <c r="JMV3" s="120"/>
      <c r="JMW3" s="120"/>
      <c r="JMX3" s="120"/>
      <c r="JMY3" s="120"/>
      <c r="JMZ3" s="120"/>
      <c r="JNA3" s="120"/>
      <c r="JNB3" s="120"/>
      <c r="JNC3" s="120"/>
      <c r="JND3" s="120"/>
      <c r="JNE3" s="120"/>
      <c r="JNF3" s="120"/>
      <c r="JNG3" s="120"/>
      <c r="JNH3" s="120"/>
      <c r="JNI3" s="120"/>
      <c r="JNJ3" s="120"/>
      <c r="JNK3" s="120"/>
      <c r="JNL3" s="120"/>
      <c r="JNM3" s="120"/>
      <c r="JNN3" s="120"/>
      <c r="JNO3" s="120"/>
      <c r="JNP3" s="120"/>
      <c r="JNQ3" s="120"/>
      <c r="JNR3" s="120"/>
      <c r="JNS3" s="120"/>
      <c r="JNT3" s="120"/>
      <c r="JNU3" s="120"/>
      <c r="JNV3" s="120"/>
      <c r="JNW3" s="120"/>
      <c r="JNX3" s="120"/>
      <c r="JNY3" s="120"/>
      <c r="JNZ3" s="120"/>
      <c r="JOA3" s="120"/>
      <c r="JOB3" s="120"/>
      <c r="JOC3" s="120"/>
      <c r="JOD3" s="120"/>
      <c r="JOE3" s="120"/>
      <c r="JOF3" s="120"/>
      <c r="JOG3" s="120"/>
      <c r="JOH3" s="120"/>
      <c r="JOI3" s="120"/>
      <c r="JOJ3" s="120"/>
      <c r="JOK3" s="120"/>
      <c r="JOL3" s="120"/>
      <c r="JOM3" s="120"/>
      <c r="JON3" s="120"/>
      <c r="JOO3" s="120"/>
      <c r="JOP3" s="120"/>
      <c r="JOQ3" s="120"/>
      <c r="JOR3" s="120"/>
      <c r="JOS3" s="120"/>
      <c r="JOT3" s="120"/>
      <c r="JOU3" s="120"/>
      <c r="JOV3" s="120"/>
      <c r="JOW3" s="120"/>
      <c r="JOX3" s="120"/>
      <c r="JOY3" s="120"/>
      <c r="JOZ3" s="120"/>
      <c r="JPA3" s="120"/>
      <c r="JPB3" s="120"/>
      <c r="JPC3" s="120"/>
      <c r="JPD3" s="120"/>
      <c r="JPE3" s="120"/>
      <c r="JPF3" s="120"/>
      <c r="JPG3" s="120"/>
      <c r="JPH3" s="120"/>
      <c r="JPI3" s="120"/>
      <c r="JPJ3" s="120"/>
      <c r="JPK3" s="120"/>
      <c r="JPL3" s="120"/>
      <c r="JPM3" s="120"/>
      <c r="JPN3" s="120"/>
      <c r="JPO3" s="120"/>
      <c r="JPP3" s="120"/>
      <c r="JPQ3" s="120"/>
      <c r="JPR3" s="120"/>
      <c r="JPS3" s="120"/>
      <c r="JPT3" s="120"/>
      <c r="JPU3" s="120"/>
      <c r="JPV3" s="120"/>
      <c r="JPW3" s="120"/>
      <c r="JPX3" s="120"/>
      <c r="JPY3" s="120"/>
      <c r="JPZ3" s="120"/>
      <c r="JQA3" s="120"/>
      <c r="JQB3" s="120"/>
      <c r="JQC3" s="120"/>
      <c r="JQD3" s="120"/>
      <c r="JQE3" s="120"/>
      <c r="JQF3" s="120"/>
      <c r="JQG3" s="120"/>
      <c r="JQH3" s="120"/>
      <c r="JQI3" s="120"/>
      <c r="JQJ3" s="120"/>
      <c r="JQK3" s="120"/>
      <c r="JQL3" s="120"/>
      <c r="JQM3" s="120"/>
      <c r="JQN3" s="120"/>
      <c r="JQO3" s="120"/>
      <c r="JQP3" s="120"/>
      <c r="JQQ3" s="120"/>
      <c r="JQR3" s="120"/>
      <c r="JQS3" s="120"/>
      <c r="JQT3" s="120"/>
      <c r="JQU3" s="120"/>
      <c r="JQV3" s="120"/>
      <c r="JQW3" s="120"/>
      <c r="JQX3" s="120"/>
      <c r="JQY3" s="120"/>
      <c r="JQZ3" s="120"/>
      <c r="JRA3" s="120"/>
      <c r="JRB3" s="120"/>
      <c r="JRC3" s="120"/>
      <c r="JRD3" s="120"/>
      <c r="JRE3" s="120"/>
      <c r="JRF3" s="120"/>
      <c r="JRG3" s="120"/>
      <c r="JRH3" s="120"/>
      <c r="JRI3" s="120"/>
      <c r="JRJ3" s="120"/>
      <c r="JRK3" s="120"/>
      <c r="JRL3" s="120"/>
      <c r="JRM3" s="120"/>
      <c r="JRN3" s="120"/>
      <c r="JRO3" s="120"/>
      <c r="JRP3" s="120"/>
      <c r="JRQ3" s="120"/>
      <c r="JRR3" s="120"/>
      <c r="JRS3" s="120"/>
      <c r="JRT3" s="120"/>
      <c r="JRU3" s="120"/>
      <c r="JRV3" s="120"/>
      <c r="JRW3" s="120"/>
      <c r="JRX3" s="120"/>
      <c r="JRY3" s="120"/>
      <c r="JRZ3" s="120"/>
      <c r="JSA3" s="120"/>
      <c r="JSB3" s="120"/>
      <c r="JSC3" s="120"/>
      <c r="JSD3" s="120"/>
      <c r="JSE3" s="120"/>
      <c r="JSF3" s="120"/>
      <c r="JSG3" s="120"/>
      <c r="JSH3" s="120"/>
      <c r="JSI3" s="120"/>
      <c r="JSJ3" s="120"/>
      <c r="JSK3" s="120"/>
      <c r="JSL3" s="120"/>
      <c r="JSM3" s="120"/>
      <c r="JSN3" s="120"/>
      <c r="JSO3" s="120"/>
      <c r="JSP3" s="120"/>
      <c r="JSQ3" s="120"/>
      <c r="JSR3" s="120"/>
      <c r="JSS3" s="120"/>
      <c r="JST3" s="120"/>
      <c r="JSU3" s="120"/>
      <c r="JSV3" s="120"/>
      <c r="JSW3" s="120"/>
      <c r="JSX3" s="120"/>
      <c r="JSY3" s="120"/>
      <c r="JSZ3" s="120"/>
      <c r="JTA3" s="120"/>
      <c r="JTB3" s="120"/>
      <c r="JTC3" s="120"/>
      <c r="JTD3" s="120"/>
      <c r="JTE3" s="120"/>
      <c r="JTF3" s="120"/>
      <c r="JTG3" s="120"/>
      <c r="JTH3" s="120"/>
      <c r="JTI3" s="120"/>
      <c r="JTJ3" s="120"/>
      <c r="JTK3" s="120"/>
      <c r="JTL3" s="120"/>
      <c r="JTM3" s="120"/>
      <c r="JTN3" s="120"/>
      <c r="JTO3" s="120"/>
      <c r="JTP3" s="120"/>
      <c r="JTQ3" s="120"/>
      <c r="JTR3" s="120"/>
      <c r="JTS3" s="120"/>
      <c r="JTT3" s="120"/>
      <c r="JTU3" s="120"/>
      <c r="JTV3" s="120"/>
      <c r="JTW3" s="120"/>
      <c r="JTX3" s="120"/>
      <c r="JTY3" s="120"/>
      <c r="JTZ3" s="120"/>
      <c r="JUA3" s="120"/>
      <c r="JUB3" s="120"/>
      <c r="JUC3" s="120"/>
      <c r="JUD3" s="120"/>
      <c r="JUE3" s="120"/>
      <c r="JUF3" s="120"/>
      <c r="JUG3" s="120"/>
      <c r="JUH3" s="120"/>
      <c r="JUI3" s="120"/>
      <c r="JUJ3" s="120"/>
      <c r="JUK3" s="120"/>
      <c r="JUL3" s="120"/>
      <c r="JUM3" s="120"/>
      <c r="JUN3" s="120"/>
      <c r="JUO3" s="120"/>
      <c r="JUP3" s="120"/>
      <c r="JUQ3" s="120"/>
      <c r="JUR3" s="120"/>
      <c r="JUS3" s="120"/>
      <c r="JUT3" s="120"/>
      <c r="JUU3" s="120"/>
      <c r="JUV3" s="120"/>
      <c r="JUW3" s="120"/>
      <c r="JUX3" s="120"/>
      <c r="JUY3" s="120"/>
      <c r="JUZ3" s="120"/>
      <c r="JVA3" s="120"/>
      <c r="JVB3" s="120"/>
      <c r="JVC3" s="120"/>
      <c r="JVD3" s="120"/>
      <c r="JVE3" s="120"/>
      <c r="JVF3" s="120"/>
      <c r="JVG3" s="120"/>
      <c r="JVH3" s="120"/>
      <c r="JVI3" s="120"/>
      <c r="JVJ3" s="120"/>
      <c r="JVK3" s="120"/>
      <c r="JVL3" s="120"/>
      <c r="JVM3" s="120"/>
      <c r="JVN3" s="120"/>
      <c r="JVO3" s="120"/>
      <c r="JVP3" s="120"/>
      <c r="JVQ3" s="120"/>
      <c r="JVR3" s="120"/>
      <c r="JVS3" s="120"/>
      <c r="JVT3" s="120"/>
      <c r="JVU3" s="120"/>
      <c r="JVV3" s="120"/>
      <c r="JVW3" s="120"/>
      <c r="JVX3" s="120"/>
      <c r="JVY3" s="120"/>
      <c r="JVZ3" s="120"/>
      <c r="JWA3" s="120"/>
      <c r="JWB3" s="120"/>
      <c r="JWC3" s="120"/>
      <c r="JWD3" s="120"/>
      <c r="JWE3" s="120"/>
      <c r="JWF3" s="120"/>
      <c r="JWG3" s="120"/>
      <c r="JWH3" s="120"/>
      <c r="JWI3" s="120"/>
      <c r="JWJ3" s="120"/>
      <c r="JWK3" s="120"/>
      <c r="JWL3" s="120"/>
      <c r="JWM3" s="120"/>
      <c r="JWN3" s="120"/>
      <c r="JWO3" s="120"/>
      <c r="JWP3" s="120"/>
      <c r="JWQ3" s="120"/>
      <c r="JWR3" s="120"/>
      <c r="JWS3" s="120"/>
      <c r="JWT3" s="120"/>
      <c r="JWU3" s="120"/>
      <c r="JWV3" s="120"/>
      <c r="JWW3" s="120"/>
      <c r="JWX3" s="120"/>
      <c r="JWY3" s="120"/>
      <c r="JWZ3" s="120"/>
      <c r="JXA3" s="120"/>
      <c r="JXB3" s="120"/>
      <c r="JXC3" s="120"/>
      <c r="JXD3" s="120"/>
      <c r="JXE3" s="120"/>
      <c r="JXF3" s="120"/>
      <c r="JXG3" s="120"/>
      <c r="JXH3" s="120"/>
      <c r="JXI3" s="120"/>
      <c r="JXJ3" s="120"/>
      <c r="JXK3" s="120"/>
      <c r="JXL3" s="120"/>
      <c r="JXM3" s="120"/>
      <c r="JXN3" s="120"/>
      <c r="JXO3" s="120"/>
      <c r="JXP3" s="120"/>
      <c r="JXQ3" s="120"/>
      <c r="JXR3" s="120"/>
      <c r="JXS3" s="120"/>
      <c r="JXT3" s="120"/>
      <c r="JXU3" s="120"/>
      <c r="JXV3" s="120"/>
      <c r="JXW3" s="120"/>
      <c r="JXX3" s="120"/>
      <c r="JXY3" s="120"/>
      <c r="JXZ3" s="120"/>
      <c r="JYA3" s="120"/>
      <c r="JYB3" s="120"/>
      <c r="JYC3" s="120"/>
      <c r="JYD3" s="120"/>
      <c r="JYE3" s="120"/>
      <c r="JYF3" s="120"/>
      <c r="JYG3" s="120"/>
      <c r="JYH3" s="120"/>
      <c r="JYI3" s="120"/>
      <c r="JYJ3" s="120"/>
      <c r="JYK3" s="120"/>
      <c r="JYL3" s="120"/>
      <c r="JYM3" s="120"/>
      <c r="JYN3" s="120"/>
      <c r="JYO3" s="120"/>
      <c r="JYP3" s="120"/>
      <c r="JYQ3" s="120"/>
      <c r="JYR3" s="120"/>
      <c r="JYS3" s="120"/>
      <c r="JYT3" s="120"/>
      <c r="JYU3" s="120"/>
      <c r="JYV3" s="120"/>
      <c r="JYW3" s="120"/>
      <c r="JYX3" s="120"/>
      <c r="JYY3" s="120"/>
      <c r="JYZ3" s="120"/>
      <c r="JZA3" s="120"/>
      <c r="JZB3" s="120"/>
      <c r="JZC3" s="120"/>
      <c r="JZD3" s="120"/>
      <c r="JZE3" s="120"/>
      <c r="JZF3" s="120"/>
      <c r="JZG3" s="120"/>
      <c r="JZH3" s="120"/>
      <c r="JZI3" s="120"/>
      <c r="JZJ3" s="120"/>
      <c r="JZK3" s="120"/>
      <c r="JZL3" s="120"/>
      <c r="JZM3" s="120"/>
      <c r="JZN3" s="120"/>
      <c r="JZO3" s="120"/>
      <c r="JZP3" s="120"/>
      <c r="JZQ3" s="120"/>
      <c r="JZR3" s="120"/>
      <c r="JZS3" s="120"/>
      <c r="JZT3" s="120"/>
      <c r="JZU3" s="120"/>
      <c r="JZV3" s="120"/>
      <c r="JZW3" s="120"/>
      <c r="JZX3" s="120"/>
      <c r="JZY3" s="120"/>
      <c r="JZZ3" s="120"/>
      <c r="KAA3" s="120"/>
      <c r="KAB3" s="120"/>
      <c r="KAC3" s="120"/>
      <c r="KAD3" s="120"/>
      <c r="KAE3" s="120"/>
      <c r="KAF3" s="120"/>
      <c r="KAG3" s="120"/>
      <c r="KAH3" s="120"/>
      <c r="KAI3" s="120"/>
      <c r="KAJ3" s="120"/>
      <c r="KAK3" s="120"/>
      <c r="KAL3" s="120"/>
      <c r="KAM3" s="120"/>
      <c r="KAN3" s="120"/>
      <c r="KAO3" s="120"/>
      <c r="KAP3" s="120"/>
      <c r="KAQ3" s="120"/>
      <c r="KAR3" s="120"/>
      <c r="KAS3" s="120"/>
      <c r="KAT3" s="120"/>
      <c r="KAU3" s="120"/>
      <c r="KAV3" s="120"/>
      <c r="KAW3" s="120"/>
      <c r="KAX3" s="120"/>
      <c r="KAY3" s="120"/>
      <c r="KAZ3" s="120"/>
      <c r="KBA3" s="120"/>
      <c r="KBB3" s="120"/>
      <c r="KBC3" s="120"/>
      <c r="KBD3" s="120"/>
      <c r="KBE3" s="120"/>
      <c r="KBF3" s="120"/>
      <c r="KBG3" s="120"/>
      <c r="KBH3" s="120"/>
      <c r="KBI3" s="120"/>
      <c r="KBJ3" s="120"/>
      <c r="KBK3" s="120"/>
      <c r="KBL3" s="120"/>
      <c r="KBM3" s="120"/>
      <c r="KBN3" s="120"/>
      <c r="KBO3" s="120"/>
      <c r="KBP3" s="120"/>
      <c r="KBQ3" s="120"/>
      <c r="KBR3" s="120"/>
      <c r="KBS3" s="120"/>
      <c r="KBT3" s="120"/>
      <c r="KBU3" s="120"/>
      <c r="KBV3" s="120"/>
      <c r="KBW3" s="120"/>
      <c r="KBX3" s="120"/>
      <c r="KBY3" s="120"/>
      <c r="KBZ3" s="120"/>
      <c r="KCA3" s="120"/>
      <c r="KCB3" s="120"/>
      <c r="KCC3" s="120"/>
      <c r="KCD3" s="120"/>
      <c r="KCE3" s="120"/>
      <c r="KCF3" s="120"/>
      <c r="KCG3" s="120"/>
      <c r="KCH3" s="120"/>
      <c r="KCI3" s="120"/>
      <c r="KCJ3" s="120"/>
      <c r="KCK3" s="120"/>
      <c r="KCL3" s="120"/>
      <c r="KCM3" s="120"/>
      <c r="KCN3" s="120"/>
      <c r="KCO3" s="120"/>
      <c r="KCP3" s="120"/>
      <c r="KCQ3" s="120"/>
      <c r="KCR3" s="120"/>
      <c r="KCS3" s="120"/>
      <c r="KCT3" s="120"/>
      <c r="KCU3" s="120"/>
      <c r="KCV3" s="120"/>
      <c r="KCW3" s="120"/>
      <c r="KCX3" s="120"/>
      <c r="KCY3" s="120"/>
      <c r="KCZ3" s="120"/>
      <c r="KDA3" s="120"/>
      <c r="KDB3" s="120"/>
      <c r="KDC3" s="120"/>
      <c r="KDD3" s="120"/>
      <c r="KDE3" s="120"/>
      <c r="KDF3" s="120"/>
      <c r="KDG3" s="120"/>
      <c r="KDH3" s="120"/>
      <c r="KDI3" s="120"/>
      <c r="KDJ3" s="120"/>
      <c r="KDK3" s="120"/>
      <c r="KDL3" s="120"/>
      <c r="KDM3" s="120"/>
      <c r="KDN3" s="120"/>
      <c r="KDO3" s="120"/>
      <c r="KDP3" s="120"/>
      <c r="KDQ3" s="120"/>
      <c r="KDR3" s="120"/>
      <c r="KDS3" s="120"/>
      <c r="KDT3" s="120"/>
      <c r="KDU3" s="120"/>
      <c r="KDV3" s="120"/>
      <c r="KDW3" s="120"/>
      <c r="KDX3" s="120"/>
      <c r="KDY3" s="120"/>
      <c r="KDZ3" s="120"/>
      <c r="KEA3" s="120"/>
      <c r="KEB3" s="120"/>
      <c r="KEC3" s="120"/>
      <c r="KED3" s="120"/>
      <c r="KEE3" s="120"/>
      <c r="KEF3" s="120"/>
      <c r="KEG3" s="120"/>
      <c r="KEH3" s="120"/>
      <c r="KEI3" s="120"/>
      <c r="KEJ3" s="120"/>
      <c r="KEK3" s="120"/>
      <c r="KEL3" s="120"/>
      <c r="KEM3" s="120"/>
      <c r="KEN3" s="120"/>
      <c r="KEO3" s="120"/>
      <c r="KEP3" s="120"/>
      <c r="KEQ3" s="120"/>
      <c r="KER3" s="120"/>
      <c r="KES3" s="120"/>
      <c r="KET3" s="120"/>
      <c r="KEU3" s="120"/>
      <c r="KEV3" s="120"/>
      <c r="KEW3" s="120"/>
      <c r="KEX3" s="120"/>
      <c r="KEY3" s="120"/>
      <c r="KEZ3" s="120"/>
      <c r="KFA3" s="120"/>
      <c r="KFB3" s="120"/>
      <c r="KFC3" s="120"/>
      <c r="KFD3" s="120"/>
      <c r="KFE3" s="120"/>
      <c r="KFF3" s="120"/>
      <c r="KFG3" s="120"/>
      <c r="KFH3" s="120"/>
      <c r="KFI3" s="120"/>
      <c r="KFJ3" s="120"/>
      <c r="KFK3" s="120"/>
      <c r="KFL3" s="120"/>
      <c r="KFM3" s="120"/>
      <c r="KFN3" s="120"/>
      <c r="KFO3" s="120"/>
      <c r="KFP3" s="120"/>
      <c r="KFQ3" s="120"/>
      <c r="KFR3" s="120"/>
      <c r="KFS3" s="120"/>
      <c r="KFT3" s="120"/>
      <c r="KFU3" s="120"/>
      <c r="KFV3" s="120"/>
      <c r="KFW3" s="120"/>
      <c r="KFX3" s="120"/>
      <c r="KFY3" s="120"/>
      <c r="KFZ3" s="120"/>
      <c r="KGA3" s="120"/>
      <c r="KGB3" s="120"/>
      <c r="KGC3" s="120"/>
      <c r="KGD3" s="120"/>
      <c r="KGE3" s="120"/>
      <c r="KGF3" s="120"/>
      <c r="KGG3" s="120"/>
      <c r="KGH3" s="120"/>
      <c r="KGI3" s="120"/>
      <c r="KGJ3" s="120"/>
      <c r="KGK3" s="120"/>
      <c r="KGL3" s="120"/>
      <c r="KGM3" s="120"/>
      <c r="KGN3" s="120"/>
      <c r="KGO3" s="120"/>
      <c r="KGP3" s="120"/>
      <c r="KGQ3" s="120"/>
      <c r="KGR3" s="120"/>
      <c r="KGS3" s="120"/>
      <c r="KGT3" s="120"/>
      <c r="KGU3" s="120"/>
      <c r="KGV3" s="120"/>
      <c r="KGW3" s="120"/>
      <c r="KGX3" s="120"/>
      <c r="KGY3" s="120"/>
      <c r="KGZ3" s="120"/>
      <c r="KHA3" s="120"/>
      <c r="KHB3" s="120"/>
      <c r="KHC3" s="120"/>
      <c r="KHD3" s="120"/>
      <c r="KHE3" s="120"/>
      <c r="KHF3" s="120"/>
      <c r="KHG3" s="120"/>
      <c r="KHH3" s="120"/>
      <c r="KHI3" s="120"/>
      <c r="KHJ3" s="120"/>
      <c r="KHK3" s="120"/>
      <c r="KHL3" s="120"/>
      <c r="KHM3" s="120"/>
      <c r="KHN3" s="120"/>
      <c r="KHO3" s="120"/>
      <c r="KHP3" s="120"/>
      <c r="KHQ3" s="120"/>
      <c r="KHR3" s="120"/>
      <c r="KHS3" s="120"/>
      <c r="KHT3" s="120"/>
      <c r="KHU3" s="120"/>
      <c r="KHV3" s="120"/>
      <c r="KHW3" s="120"/>
      <c r="KHX3" s="120"/>
      <c r="KHY3" s="120"/>
      <c r="KHZ3" s="120"/>
      <c r="KIA3" s="120"/>
      <c r="KIB3" s="120"/>
      <c r="KIC3" s="120"/>
      <c r="KID3" s="120"/>
      <c r="KIE3" s="120"/>
      <c r="KIF3" s="120"/>
      <c r="KIG3" s="120"/>
      <c r="KIH3" s="120"/>
      <c r="KII3" s="120"/>
      <c r="KIJ3" s="120"/>
      <c r="KIK3" s="120"/>
      <c r="KIL3" s="120"/>
      <c r="KIM3" s="120"/>
      <c r="KIN3" s="120"/>
      <c r="KIO3" s="120"/>
      <c r="KIP3" s="120"/>
      <c r="KIQ3" s="120"/>
      <c r="KIR3" s="120"/>
      <c r="KIS3" s="120"/>
      <c r="KIT3" s="120"/>
      <c r="KIU3" s="120"/>
      <c r="KIV3" s="120"/>
      <c r="KIW3" s="120"/>
      <c r="KIX3" s="120"/>
      <c r="KIY3" s="120"/>
      <c r="KIZ3" s="120"/>
      <c r="KJA3" s="120"/>
      <c r="KJB3" s="120"/>
      <c r="KJC3" s="120"/>
      <c r="KJD3" s="120"/>
      <c r="KJE3" s="120"/>
      <c r="KJF3" s="120"/>
      <c r="KJG3" s="120"/>
      <c r="KJH3" s="120"/>
      <c r="KJI3" s="120"/>
      <c r="KJJ3" s="120"/>
      <c r="KJK3" s="120"/>
      <c r="KJL3" s="120"/>
      <c r="KJM3" s="120"/>
      <c r="KJN3" s="120"/>
      <c r="KJO3" s="120"/>
      <c r="KJP3" s="120"/>
      <c r="KJQ3" s="120"/>
      <c r="KJR3" s="120"/>
      <c r="KJS3" s="120"/>
      <c r="KJT3" s="120"/>
      <c r="KJU3" s="120"/>
      <c r="KJV3" s="120"/>
      <c r="KJW3" s="120"/>
      <c r="KJX3" s="120"/>
      <c r="KJY3" s="120"/>
      <c r="KJZ3" s="120"/>
      <c r="KKA3" s="120"/>
      <c r="KKB3" s="120"/>
      <c r="KKC3" s="120"/>
      <c r="KKD3" s="120"/>
      <c r="KKE3" s="120"/>
      <c r="KKF3" s="120"/>
      <c r="KKG3" s="120"/>
      <c r="KKH3" s="120"/>
      <c r="KKI3" s="120"/>
      <c r="KKJ3" s="120"/>
      <c r="KKK3" s="120"/>
      <c r="KKL3" s="120"/>
      <c r="KKM3" s="120"/>
      <c r="KKN3" s="120"/>
      <c r="KKO3" s="120"/>
      <c r="KKP3" s="120"/>
      <c r="KKQ3" s="120"/>
      <c r="KKR3" s="120"/>
      <c r="KKS3" s="120"/>
      <c r="KKT3" s="120"/>
      <c r="KKU3" s="120"/>
      <c r="KKV3" s="120"/>
      <c r="KKW3" s="120"/>
      <c r="KKX3" s="120"/>
      <c r="KKY3" s="120"/>
      <c r="KKZ3" s="120"/>
      <c r="KLA3" s="120"/>
      <c r="KLB3" s="120"/>
      <c r="KLC3" s="120"/>
      <c r="KLD3" s="120"/>
      <c r="KLE3" s="120"/>
      <c r="KLF3" s="120"/>
      <c r="KLG3" s="120"/>
      <c r="KLH3" s="120"/>
      <c r="KLI3" s="120"/>
      <c r="KLJ3" s="120"/>
      <c r="KLK3" s="120"/>
      <c r="KLL3" s="120"/>
      <c r="KLM3" s="120"/>
      <c r="KLN3" s="120"/>
      <c r="KLO3" s="120"/>
      <c r="KLP3" s="120"/>
      <c r="KLQ3" s="120"/>
      <c r="KLR3" s="120"/>
      <c r="KLS3" s="120"/>
      <c r="KLT3" s="120"/>
      <c r="KLU3" s="120"/>
      <c r="KLV3" s="120"/>
      <c r="KLW3" s="120"/>
      <c r="KLX3" s="120"/>
      <c r="KLY3" s="120"/>
      <c r="KLZ3" s="120"/>
      <c r="KMA3" s="120"/>
      <c r="KMB3" s="120"/>
      <c r="KMC3" s="120"/>
      <c r="KMD3" s="120"/>
      <c r="KME3" s="120"/>
      <c r="KMF3" s="120"/>
      <c r="KMG3" s="120"/>
      <c r="KMH3" s="120"/>
      <c r="KMI3" s="120"/>
      <c r="KMJ3" s="120"/>
      <c r="KMK3" s="120"/>
      <c r="KML3" s="120"/>
      <c r="KMM3" s="120"/>
      <c r="KMN3" s="120"/>
      <c r="KMO3" s="120"/>
      <c r="KMP3" s="120"/>
      <c r="KMQ3" s="120"/>
      <c r="KMR3" s="120"/>
      <c r="KMS3" s="120"/>
      <c r="KMT3" s="120"/>
      <c r="KMU3" s="120"/>
      <c r="KMV3" s="120"/>
      <c r="KMW3" s="120"/>
      <c r="KMX3" s="120"/>
      <c r="KMY3" s="120"/>
      <c r="KMZ3" s="120"/>
      <c r="KNA3" s="120"/>
      <c r="KNB3" s="120"/>
      <c r="KNC3" s="120"/>
      <c r="KND3" s="120"/>
      <c r="KNE3" s="120"/>
      <c r="KNF3" s="120"/>
      <c r="KNG3" s="120"/>
      <c r="KNH3" s="120"/>
      <c r="KNI3" s="120"/>
      <c r="KNJ3" s="120"/>
      <c r="KNK3" s="120"/>
      <c r="KNL3" s="120"/>
      <c r="KNM3" s="120"/>
      <c r="KNN3" s="120"/>
      <c r="KNO3" s="120"/>
      <c r="KNP3" s="120"/>
      <c r="KNQ3" s="120"/>
      <c r="KNR3" s="120"/>
      <c r="KNS3" s="120"/>
      <c r="KNT3" s="120"/>
      <c r="KNU3" s="120"/>
      <c r="KNV3" s="120"/>
      <c r="KNW3" s="120"/>
      <c r="KNX3" s="120"/>
      <c r="KNY3" s="120"/>
      <c r="KNZ3" s="120"/>
      <c r="KOA3" s="120"/>
      <c r="KOB3" s="120"/>
      <c r="KOC3" s="120"/>
      <c r="KOD3" s="120"/>
      <c r="KOE3" s="120"/>
      <c r="KOF3" s="120"/>
      <c r="KOG3" s="120"/>
      <c r="KOH3" s="120"/>
      <c r="KOI3" s="120"/>
      <c r="KOJ3" s="120"/>
      <c r="KOK3" s="120"/>
      <c r="KOL3" s="120"/>
      <c r="KOM3" s="120"/>
      <c r="KON3" s="120"/>
      <c r="KOO3" s="120"/>
      <c r="KOP3" s="120"/>
      <c r="KOQ3" s="120"/>
      <c r="KOR3" s="120"/>
      <c r="KOS3" s="120"/>
      <c r="KOT3" s="120"/>
      <c r="KOU3" s="120"/>
      <c r="KOV3" s="120"/>
      <c r="KOW3" s="120"/>
      <c r="KOX3" s="120"/>
      <c r="KOY3" s="120"/>
      <c r="KOZ3" s="120"/>
      <c r="KPA3" s="120"/>
      <c r="KPB3" s="120"/>
      <c r="KPC3" s="120"/>
      <c r="KPD3" s="120"/>
      <c r="KPE3" s="120"/>
      <c r="KPF3" s="120"/>
      <c r="KPG3" s="120"/>
      <c r="KPH3" s="120"/>
      <c r="KPI3" s="120"/>
      <c r="KPJ3" s="120"/>
      <c r="KPK3" s="120"/>
      <c r="KPL3" s="120"/>
      <c r="KPM3" s="120"/>
      <c r="KPN3" s="120"/>
      <c r="KPO3" s="120"/>
      <c r="KPP3" s="120"/>
      <c r="KPQ3" s="120"/>
      <c r="KPR3" s="120"/>
      <c r="KPS3" s="120"/>
      <c r="KPT3" s="120"/>
      <c r="KPU3" s="120"/>
      <c r="KPV3" s="120"/>
      <c r="KPW3" s="120"/>
      <c r="KPX3" s="120"/>
      <c r="KPY3" s="120"/>
      <c r="KPZ3" s="120"/>
      <c r="KQA3" s="120"/>
      <c r="KQB3" s="120"/>
      <c r="KQC3" s="120"/>
      <c r="KQD3" s="120"/>
      <c r="KQE3" s="120"/>
      <c r="KQF3" s="120"/>
      <c r="KQG3" s="120"/>
      <c r="KQH3" s="120"/>
      <c r="KQI3" s="120"/>
      <c r="KQJ3" s="120"/>
      <c r="KQK3" s="120"/>
      <c r="KQL3" s="120"/>
      <c r="KQM3" s="120"/>
      <c r="KQN3" s="120"/>
      <c r="KQO3" s="120"/>
      <c r="KQP3" s="120"/>
      <c r="KQQ3" s="120"/>
      <c r="KQR3" s="120"/>
      <c r="KQS3" s="120"/>
      <c r="KQT3" s="120"/>
      <c r="KQU3" s="120"/>
      <c r="KQV3" s="120"/>
      <c r="KQW3" s="120"/>
      <c r="KQX3" s="120"/>
      <c r="KQY3" s="120"/>
      <c r="KQZ3" s="120"/>
      <c r="KRA3" s="120"/>
      <c r="KRB3" s="120"/>
      <c r="KRC3" s="120"/>
      <c r="KRD3" s="120"/>
      <c r="KRE3" s="120"/>
      <c r="KRF3" s="120"/>
      <c r="KRG3" s="120"/>
      <c r="KRH3" s="120"/>
      <c r="KRI3" s="120"/>
      <c r="KRJ3" s="120"/>
      <c r="KRK3" s="120"/>
      <c r="KRL3" s="120"/>
      <c r="KRM3" s="120"/>
      <c r="KRN3" s="120"/>
      <c r="KRO3" s="120"/>
      <c r="KRP3" s="120"/>
      <c r="KRQ3" s="120"/>
      <c r="KRR3" s="120"/>
      <c r="KRS3" s="120"/>
      <c r="KRT3" s="120"/>
      <c r="KRU3" s="120"/>
      <c r="KRV3" s="120"/>
      <c r="KRW3" s="120"/>
      <c r="KRX3" s="120"/>
      <c r="KRY3" s="120"/>
      <c r="KRZ3" s="120"/>
      <c r="KSA3" s="120"/>
      <c r="KSB3" s="120"/>
      <c r="KSC3" s="120"/>
      <c r="KSD3" s="120"/>
      <c r="KSE3" s="120"/>
      <c r="KSF3" s="120"/>
      <c r="KSG3" s="120"/>
      <c r="KSH3" s="120"/>
      <c r="KSI3" s="120"/>
      <c r="KSJ3" s="120"/>
      <c r="KSK3" s="120"/>
      <c r="KSL3" s="120"/>
      <c r="KSM3" s="120"/>
      <c r="KSN3" s="120"/>
      <c r="KSO3" s="120"/>
      <c r="KSP3" s="120"/>
      <c r="KSQ3" s="120"/>
      <c r="KSR3" s="120"/>
      <c r="KSS3" s="120"/>
      <c r="KST3" s="120"/>
      <c r="KSU3" s="120"/>
      <c r="KSV3" s="120"/>
      <c r="KSW3" s="120"/>
      <c r="KSX3" s="120"/>
      <c r="KSY3" s="120"/>
      <c r="KSZ3" s="120"/>
      <c r="KTA3" s="120"/>
      <c r="KTB3" s="120"/>
      <c r="KTC3" s="120"/>
      <c r="KTD3" s="120"/>
      <c r="KTE3" s="120"/>
      <c r="KTF3" s="120"/>
      <c r="KTG3" s="120"/>
      <c r="KTH3" s="120"/>
      <c r="KTI3" s="120"/>
      <c r="KTJ3" s="120"/>
      <c r="KTK3" s="120"/>
      <c r="KTL3" s="120"/>
      <c r="KTM3" s="120"/>
      <c r="KTN3" s="120"/>
      <c r="KTO3" s="120"/>
      <c r="KTP3" s="120"/>
      <c r="KTQ3" s="120"/>
      <c r="KTR3" s="120"/>
      <c r="KTS3" s="120"/>
      <c r="KTT3" s="120"/>
      <c r="KTU3" s="120"/>
      <c r="KTV3" s="120"/>
      <c r="KTW3" s="120"/>
      <c r="KTX3" s="120"/>
      <c r="KTY3" s="120"/>
      <c r="KTZ3" s="120"/>
      <c r="KUA3" s="120"/>
      <c r="KUB3" s="120"/>
      <c r="KUC3" s="120"/>
      <c r="KUD3" s="120"/>
      <c r="KUE3" s="120"/>
      <c r="KUF3" s="120"/>
      <c r="KUG3" s="120"/>
      <c r="KUH3" s="120"/>
      <c r="KUI3" s="120"/>
      <c r="KUJ3" s="120"/>
      <c r="KUK3" s="120"/>
      <c r="KUL3" s="120"/>
      <c r="KUM3" s="120"/>
      <c r="KUN3" s="120"/>
      <c r="KUO3" s="120"/>
      <c r="KUP3" s="120"/>
      <c r="KUQ3" s="120"/>
      <c r="KUR3" s="120"/>
      <c r="KUS3" s="120"/>
      <c r="KUT3" s="120"/>
      <c r="KUU3" s="120"/>
      <c r="KUV3" s="120"/>
      <c r="KUW3" s="120"/>
      <c r="KUX3" s="120"/>
      <c r="KUY3" s="120"/>
      <c r="KUZ3" s="120"/>
      <c r="KVA3" s="120"/>
      <c r="KVB3" s="120"/>
      <c r="KVC3" s="120"/>
      <c r="KVD3" s="120"/>
      <c r="KVE3" s="120"/>
      <c r="KVF3" s="120"/>
      <c r="KVG3" s="120"/>
      <c r="KVH3" s="120"/>
      <c r="KVI3" s="120"/>
      <c r="KVJ3" s="120"/>
      <c r="KVK3" s="120"/>
      <c r="KVL3" s="120"/>
      <c r="KVM3" s="120"/>
      <c r="KVN3" s="120"/>
      <c r="KVO3" s="120"/>
      <c r="KVP3" s="120"/>
      <c r="KVQ3" s="120"/>
      <c r="KVR3" s="120"/>
      <c r="KVS3" s="120"/>
      <c r="KVT3" s="120"/>
      <c r="KVU3" s="120"/>
      <c r="KVV3" s="120"/>
      <c r="KVW3" s="120"/>
      <c r="KVX3" s="120"/>
      <c r="KVY3" s="120"/>
      <c r="KVZ3" s="120"/>
      <c r="KWA3" s="120"/>
      <c r="KWB3" s="120"/>
      <c r="KWC3" s="120"/>
      <c r="KWD3" s="120"/>
      <c r="KWE3" s="120"/>
      <c r="KWF3" s="120"/>
      <c r="KWG3" s="120"/>
      <c r="KWH3" s="120"/>
      <c r="KWI3" s="120"/>
      <c r="KWJ3" s="120"/>
      <c r="KWK3" s="120"/>
      <c r="KWL3" s="120"/>
      <c r="KWM3" s="120"/>
      <c r="KWN3" s="120"/>
      <c r="KWO3" s="120"/>
      <c r="KWP3" s="120"/>
      <c r="KWQ3" s="120"/>
      <c r="KWR3" s="120"/>
      <c r="KWS3" s="120"/>
      <c r="KWT3" s="120"/>
      <c r="KWU3" s="120"/>
      <c r="KWV3" s="120"/>
      <c r="KWW3" s="120"/>
      <c r="KWX3" s="120"/>
      <c r="KWY3" s="120"/>
      <c r="KWZ3" s="120"/>
      <c r="KXA3" s="120"/>
      <c r="KXB3" s="120"/>
      <c r="KXC3" s="120"/>
      <c r="KXD3" s="120"/>
      <c r="KXE3" s="120"/>
      <c r="KXF3" s="120"/>
      <c r="KXG3" s="120"/>
      <c r="KXH3" s="120"/>
      <c r="KXI3" s="120"/>
      <c r="KXJ3" s="120"/>
      <c r="KXK3" s="120"/>
      <c r="KXL3" s="120"/>
      <c r="KXM3" s="120"/>
      <c r="KXN3" s="120"/>
      <c r="KXO3" s="120"/>
      <c r="KXP3" s="120"/>
      <c r="KXQ3" s="120"/>
      <c r="KXR3" s="120"/>
      <c r="KXS3" s="120"/>
      <c r="KXT3" s="120"/>
      <c r="KXU3" s="120"/>
      <c r="KXV3" s="120"/>
      <c r="KXW3" s="120"/>
      <c r="KXX3" s="120"/>
      <c r="KXY3" s="120"/>
      <c r="KXZ3" s="120"/>
      <c r="KYA3" s="120"/>
      <c r="KYB3" s="120"/>
      <c r="KYC3" s="120"/>
      <c r="KYD3" s="120"/>
      <c r="KYE3" s="120"/>
      <c r="KYF3" s="120"/>
      <c r="KYG3" s="120"/>
      <c r="KYH3" s="120"/>
      <c r="KYI3" s="120"/>
      <c r="KYJ3" s="120"/>
      <c r="KYK3" s="120"/>
      <c r="KYL3" s="120"/>
      <c r="KYM3" s="120"/>
      <c r="KYN3" s="120"/>
      <c r="KYO3" s="120"/>
      <c r="KYP3" s="120"/>
      <c r="KYQ3" s="120"/>
      <c r="KYR3" s="120"/>
      <c r="KYS3" s="120"/>
      <c r="KYT3" s="120"/>
      <c r="KYU3" s="120"/>
      <c r="KYV3" s="120"/>
      <c r="KYW3" s="120"/>
      <c r="KYX3" s="120"/>
      <c r="KYY3" s="120"/>
      <c r="KYZ3" s="120"/>
      <c r="KZA3" s="120"/>
      <c r="KZB3" s="120"/>
      <c r="KZC3" s="120"/>
      <c r="KZD3" s="120"/>
      <c r="KZE3" s="120"/>
      <c r="KZF3" s="120"/>
      <c r="KZG3" s="120"/>
      <c r="KZH3" s="120"/>
      <c r="KZI3" s="120"/>
      <c r="KZJ3" s="120"/>
      <c r="KZK3" s="120"/>
      <c r="KZL3" s="120"/>
      <c r="KZM3" s="120"/>
      <c r="KZN3" s="120"/>
      <c r="KZO3" s="120"/>
      <c r="KZP3" s="120"/>
      <c r="KZQ3" s="120"/>
      <c r="KZR3" s="120"/>
      <c r="KZS3" s="120"/>
      <c r="KZT3" s="120"/>
      <c r="KZU3" s="120"/>
      <c r="KZV3" s="120"/>
      <c r="KZW3" s="120"/>
      <c r="KZX3" s="120"/>
      <c r="KZY3" s="120"/>
      <c r="KZZ3" s="120"/>
      <c r="LAA3" s="120"/>
      <c r="LAB3" s="120"/>
      <c r="LAC3" s="120"/>
      <c r="LAD3" s="120"/>
      <c r="LAE3" s="120"/>
      <c r="LAF3" s="120"/>
      <c r="LAG3" s="120"/>
      <c r="LAH3" s="120"/>
      <c r="LAI3" s="120"/>
      <c r="LAJ3" s="120"/>
      <c r="LAK3" s="120"/>
      <c r="LAL3" s="120"/>
      <c r="LAM3" s="120"/>
      <c r="LAN3" s="120"/>
      <c r="LAO3" s="120"/>
      <c r="LAP3" s="120"/>
      <c r="LAQ3" s="120"/>
      <c r="LAR3" s="120"/>
      <c r="LAS3" s="120"/>
      <c r="LAT3" s="120"/>
      <c r="LAU3" s="120"/>
      <c r="LAV3" s="120"/>
      <c r="LAW3" s="120"/>
      <c r="LAX3" s="120"/>
      <c r="LAY3" s="120"/>
      <c r="LAZ3" s="120"/>
      <c r="LBA3" s="120"/>
      <c r="LBB3" s="120"/>
      <c r="LBC3" s="120"/>
      <c r="LBD3" s="120"/>
      <c r="LBE3" s="120"/>
      <c r="LBF3" s="120"/>
      <c r="LBG3" s="120"/>
      <c r="LBH3" s="120"/>
      <c r="LBI3" s="120"/>
      <c r="LBJ3" s="120"/>
      <c r="LBK3" s="120"/>
      <c r="LBL3" s="120"/>
      <c r="LBM3" s="120"/>
      <c r="LBN3" s="120"/>
      <c r="LBO3" s="120"/>
      <c r="LBP3" s="120"/>
      <c r="LBQ3" s="120"/>
      <c r="LBR3" s="120"/>
      <c r="LBS3" s="120"/>
      <c r="LBT3" s="120"/>
      <c r="LBU3" s="120"/>
      <c r="LBV3" s="120"/>
      <c r="LBW3" s="120"/>
      <c r="LBX3" s="120"/>
      <c r="LBY3" s="120"/>
      <c r="LBZ3" s="120"/>
      <c r="LCA3" s="120"/>
      <c r="LCB3" s="120"/>
      <c r="LCC3" s="120"/>
      <c r="LCD3" s="120"/>
      <c r="LCE3" s="120"/>
      <c r="LCF3" s="120"/>
      <c r="LCG3" s="120"/>
      <c r="LCH3" s="120"/>
      <c r="LCI3" s="120"/>
      <c r="LCJ3" s="120"/>
      <c r="LCK3" s="120"/>
      <c r="LCL3" s="120"/>
      <c r="LCM3" s="120"/>
      <c r="LCN3" s="120"/>
      <c r="LCO3" s="120"/>
      <c r="LCP3" s="120"/>
      <c r="LCQ3" s="120"/>
      <c r="LCR3" s="120"/>
      <c r="LCS3" s="120"/>
      <c r="LCT3" s="120"/>
      <c r="LCU3" s="120"/>
      <c r="LCV3" s="120"/>
      <c r="LCW3" s="120"/>
      <c r="LCX3" s="120"/>
      <c r="LCY3" s="120"/>
      <c r="LCZ3" s="120"/>
      <c r="LDA3" s="120"/>
      <c r="LDB3" s="120"/>
      <c r="LDC3" s="120"/>
      <c r="LDD3" s="120"/>
      <c r="LDE3" s="120"/>
      <c r="LDF3" s="120"/>
      <c r="LDG3" s="120"/>
      <c r="LDH3" s="120"/>
      <c r="LDI3" s="120"/>
      <c r="LDJ3" s="120"/>
      <c r="LDK3" s="120"/>
      <c r="LDL3" s="120"/>
      <c r="LDM3" s="120"/>
      <c r="LDN3" s="120"/>
      <c r="LDO3" s="120"/>
      <c r="LDP3" s="120"/>
      <c r="LDQ3" s="120"/>
      <c r="LDR3" s="120"/>
      <c r="LDS3" s="120"/>
      <c r="LDT3" s="120"/>
      <c r="LDU3" s="120"/>
      <c r="LDV3" s="120"/>
      <c r="LDW3" s="120"/>
      <c r="LDX3" s="120"/>
      <c r="LDY3" s="120"/>
      <c r="LDZ3" s="120"/>
      <c r="LEA3" s="120"/>
      <c r="LEB3" s="120"/>
      <c r="LEC3" s="120"/>
      <c r="LED3" s="120"/>
      <c r="LEE3" s="120"/>
      <c r="LEF3" s="120"/>
      <c r="LEG3" s="120"/>
      <c r="LEH3" s="120"/>
      <c r="LEI3" s="120"/>
      <c r="LEJ3" s="120"/>
      <c r="LEK3" s="120"/>
      <c r="LEL3" s="120"/>
      <c r="LEM3" s="120"/>
      <c r="LEN3" s="120"/>
      <c r="LEO3" s="120"/>
      <c r="LEP3" s="120"/>
      <c r="LEQ3" s="120"/>
      <c r="LER3" s="120"/>
      <c r="LES3" s="120"/>
      <c r="LET3" s="120"/>
      <c r="LEU3" s="120"/>
      <c r="LEV3" s="120"/>
      <c r="LEW3" s="120"/>
      <c r="LEX3" s="120"/>
      <c r="LEY3" s="120"/>
      <c r="LEZ3" s="120"/>
      <c r="LFA3" s="120"/>
      <c r="LFB3" s="120"/>
      <c r="LFC3" s="120"/>
      <c r="LFD3" s="120"/>
      <c r="LFE3" s="120"/>
      <c r="LFF3" s="120"/>
      <c r="LFG3" s="120"/>
      <c r="LFH3" s="120"/>
      <c r="LFI3" s="120"/>
      <c r="LFJ3" s="120"/>
      <c r="LFK3" s="120"/>
      <c r="LFL3" s="120"/>
      <c r="LFM3" s="120"/>
      <c r="LFN3" s="120"/>
      <c r="LFO3" s="120"/>
      <c r="LFP3" s="120"/>
      <c r="LFQ3" s="120"/>
      <c r="LFR3" s="120"/>
      <c r="LFS3" s="120"/>
      <c r="LFT3" s="120"/>
      <c r="LFU3" s="120"/>
      <c r="LFV3" s="120"/>
      <c r="LFW3" s="120"/>
      <c r="LFX3" s="120"/>
      <c r="LFY3" s="120"/>
      <c r="LFZ3" s="120"/>
      <c r="LGA3" s="120"/>
      <c r="LGB3" s="120"/>
      <c r="LGC3" s="120"/>
      <c r="LGD3" s="120"/>
      <c r="LGE3" s="120"/>
      <c r="LGF3" s="120"/>
      <c r="LGG3" s="120"/>
      <c r="LGH3" s="120"/>
      <c r="LGI3" s="120"/>
      <c r="LGJ3" s="120"/>
      <c r="LGK3" s="120"/>
      <c r="LGL3" s="120"/>
      <c r="LGM3" s="120"/>
      <c r="LGN3" s="120"/>
      <c r="LGO3" s="120"/>
      <c r="LGP3" s="120"/>
      <c r="LGQ3" s="120"/>
      <c r="LGR3" s="120"/>
      <c r="LGS3" s="120"/>
      <c r="LGT3" s="120"/>
      <c r="LGU3" s="120"/>
      <c r="LGV3" s="120"/>
      <c r="LGW3" s="120"/>
      <c r="LGX3" s="120"/>
      <c r="LGY3" s="120"/>
      <c r="LGZ3" s="120"/>
      <c r="LHA3" s="120"/>
      <c r="LHB3" s="120"/>
      <c r="LHC3" s="120"/>
      <c r="LHD3" s="120"/>
      <c r="LHE3" s="120"/>
      <c r="LHF3" s="120"/>
      <c r="LHG3" s="120"/>
      <c r="LHH3" s="120"/>
      <c r="LHI3" s="120"/>
      <c r="LHJ3" s="120"/>
      <c r="LHK3" s="120"/>
      <c r="LHL3" s="120"/>
      <c r="LHM3" s="120"/>
      <c r="LHN3" s="120"/>
      <c r="LHO3" s="120"/>
      <c r="LHP3" s="120"/>
      <c r="LHQ3" s="120"/>
      <c r="LHR3" s="120"/>
      <c r="LHS3" s="120"/>
      <c r="LHT3" s="120"/>
      <c r="LHU3" s="120"/>
      <c r="LHV3" s="120"/>
      <c r="LHW3" s="120"/>
      <c r="LHX3" s="120"/>
      <c r="LHY3" s="120"/>
      <c r="LHZ3" s="120"/>
      <c r="LIA3" s="120"/>
      <c r="LIB3" s="120"/>
      <c r="LIC3" s="120"/>
      <c r="LID3" s="120"/>
      <c r="LIE3" s="120"/>
      <c r="LIF3" s="120"/>
      <c r="LIG3" s="120"/>
      <c r="LIH3" s="120"/>
      <c r="LII3" s="120"/>
      <c r="LIJ3" s="120"/>
      <c r="LIK3" s="120"/>
      <c r="LIL3" s="120"/>
      <c r="LIM3" s="120"/>
      <c r="LIN3" s="120"/>
      <c r="LIO3" s="120"/>
      <c r="LIP3" s="120"/>
      <c r="LIQ3" s="120"/>
      <c r="LIR3" s="120"/>
      <c r="LIS3" s="120"/>
      <c r="LIT3" s="120"/>
      <c r="LIU3" s="120"/>
      <c r="LIV3" s="120"/>
      <c r="LIW3" s="120"/>
      <c r="LIX3" s="120"/>
      <c r="LIY3" s="120"/>
      <c r="LIZ3" s="120"/>
      <c r="LJA3" s="120"/>
      <c r="LJB3" s="120"/>
      <c r="LJC3" s="120"/>
      <c r="LJD3" s="120"/>
      <c r="LJE3" s="120"/>
      <c r="LJF3" s="120"/>
      <c r="LJG3" s="120"/>
      <c r="LJH3" s="120"/>
      <c r="LJI3" s="120"/>
      <c r="LJJ3" s="120"/>
      <c r="LJK3" s="120"/>
      <c r="LJL3" s="120"/>
      <c r="LJM3" s="120"/>
      <c r="LJN3" s="120"/>
      <c r="LJO3" s="120"/>
      <c r="LJP3" s="120"/>
      <c r="LJQ3" s="120"/>
      <c r="LJR3" s="120"/>
      <c r="LJS3" s="120"/>
      <c r="LJT3" s="120"/>
      <c r="LJU3" s="120"/>
      <c r="LJV3" s="120"/>
      <c r="LJW3" s="120"/>
      <c r="LJX3" s="120"/>
      <c r="LJY3" s="120"/>
      <c r="LJZ3" s="120"/>
      <c r="LKA3" s="120"/>
      <c r="LKB3" s="120"/>
      <c r="LKC3" s="120"/>
      <c r="LKD3" s="120"/>
      <c r="LKE3" s="120"/>
      <c r="LKF3" s="120"/>
      <c r="LKG3" s="120"/>
      <c r="LKH3" s="120"/>
      <c r="LKI3" s="120"/>
      <c r="LKJ3" s="120"/>
      <c r="LKK3" s="120"/>
      <c r="LKL3" s="120"/>
      <c r="LKM3" s="120"/>
      <c r="LKN3" s="120"/>
      <c r="LKO3" s="120"/>
      <c r="LKP3" s="120"/>
      <c r="LKQ3" s="120"/>
      <c r="LKR3" s="120"/>
      <c r="LKS3" s="120"/>
      <c r="LKT3" s="120"/>
      <c r="LKU3" s="120"/>
      <c r="LKV3" s="120"/>
      <c r="LKW3" s="120"/>
      <c r="LKX3" s="120"/>
      <c r="LKY3" s="120"/>
      <c r="LKZ3" s="120"/>
      <c r="LLA3" s="120"/>
      <c r="LLB3" s="120"/>
      <c r="LLC3" s="120"/>
      <c r="LLD3" s="120"/>
      <c r="LLE3" s="120"/>
      <c r="LLF3" s="120"/>
      <c r="LLG3" s="120"/>
      <c r="LLH3" s="120"/>
      <c r="LLI3" s="120"/>
      <c r="LLJ3" s="120"/>
      <c r="LLK3" s="120"/>
      <c r="LLL3" s="120"/>
      <c r="LLM3" s="120"/>
      <c r="LLN3" s="120"/>
      <c r="LLO3" s="120"/>
      <c r="LLP3" s="120"/>
      <c r="LLQ3" s="120"/>
      <c r="LLR3" s="120"/>
      <c r="LLS3" s="120"/>
      <c r="LLT3" s="120"/>
      <c r="LLU3" s="120"/>
      <c r="LLV3" s="120"/>
      <c r="LLW3" s="120"/>
      <c r="LLX3" s="120"/>
      <c r="LLY3" s="120"/>
      <c r="LLZ3" s="120"/>
      <c r="LMA3" s="120"/>
      <c r="LMB3" s="120"/>
      <c r="LMC3" s="120"/>
      <c r="LMD3" s="120"/>
      <c r="LME3" s="120"/>
      <c r="LMF3" s="120"/>
      <c r="LMG3" s="120"/>
      <c r="LMH3" s="120"/>
      <c r="LMI3" s="120"/>
      <c r="LMJ3" s="120"/>
      <c r="LMK3" s="120"/>
      <c r="LML3" s="120"/>
      <c r="LMM3" s="120"/>
      <c r="LMN3" s="120"/>
      <c r="LMO3" s="120"/>
      <c r="LMP3" s="120"/>
      <c r="LMQ3" s="120"/>
      <c r="LMR3" s="120"/>
      <c r="LMS3" s="120"/>
      <c r="LMT3" s="120"/>
      <c r="LMU3" s="120"/>
      <c r="LMV3" s="120"/>
      <c r="LMW3" s="120"/>
      <c r="LMX3" s="120"/>
      <c r="LMY3" s="120"/>
      <c r="LMZ3" s="120"/>
      <c r="LNA3" s="120"/>
      <c r="LNB3" s="120"/>
      <c r="LNC3" s="120"/>
      <c r="LND3" s="120"/>
      <c r="LNE3" s="120"/>
      <c r="LNF3" s="120"/>
      <c r="LNG3" s="120"/>
      <c r="LNH3" s="120"/>
      <c r="LNI3" s="120"/>
      <c r="LNJ3" s="120"/>
      <c r="LNK3" s="120"/>
      <c r="LNL3" s="120"/>
      <c r="LNM3" s="120"/>
      <c r="LNN3" s="120"/>
      <c r="LNO3" s="120"/>
      <c r="LNP3" s="120"/>
      <c r="LNQ3" s="120"/>
      <c r="LNR3" s="120"/>
      <c r="LNS3" s="120"/>
      <c r="LNT3" s="120"/>
      <c r="LNU3" s="120"/>
      <c r="LNV3" s="120"/>
      <c r="LNW3" s="120"/>
      <c r="LNX3" s="120"/>
      <c r="LNY3" s="120"/>
      <c r="LNZ3" s="120"/>
      <c r="LOA3" s="120"/>
      <c r="LOB3" s="120"/>
      <c r="LOC3" s="120"/>
      <c r="LOD3" s="120"/>
      <c r="LOE3" s="120"/>
      <c r="LOF3" s="120"/>
      <c r="LOG3" s="120"/>
      <c r="LOH3" s="120"/>
      <c r="LOI3" s="120"/>
      <c r="LOJ3" s="120"/>
      <c r="LOK3" s="120"/>
      <c r="LOL3" s="120"/>
      <c r="LOM3" s="120"/>
      <c r="LON3" s="120"/>
      <c r="LOO3" s="120"/>
      <c r="LOP3" s="120"/>
      <c r="LOQ3" s="120"/>
      <c r="LOR3" s="120"/>
      <c r="LOS3" s="120"/>
      <c r="LOT3" s="120"/>
      <c r="LOU3" s="120"/>
      <c r="LOV3" s="120"/>
      <c r="LOW3" s="120"/>
      <c r="LOX3" s="120"/>
      <c r="LOY3" s="120"/>
      <c r="LOZ3" s="120"/>
      <c r="LPA3" s="120"/>
      <c r="LPB3" s="120"/>
      <c r="LPC3" s="120"/>
      <c r="LPD3" s="120"/>
      <c r="LPE3" s="120"/>
      <c r="LPF3" s="120"/>
      <c r="LPG3" s="120"/>
      <c r="LPH3" s="120"/>
      <c r="LPI3" s="120"/>
      <c r="LPJ3" s="120"/>
      <c r="LPK3" s="120"/>
      <c r="LPL3" s="120"/>
      <c r="LPM3" s="120"/>
      <c r="LPN3" s="120"/>
      <c r="LPO3" s="120"/>
      <c r="LPP3" s="120"/>
      <c r="LPQ3" s="120"/>
      <c r="LPR3" s="120"/>
      <c r="LPS3" s="120"/>
      <c r="LPT3" s="120"/>
      <c r="LPU3" s="120"/>
      <c r="LPV3" s="120"/>
      <c r="LPW3" s="120"/>
      <c r="LPX3" s="120"/>
      <c r="LPY3" s="120"/>
      <c r="LPZ3" s="120"/>
      <c r="LQA3" s="120"/>
      <c r="LQB3" s="120"/>
      <c r="LQC3" s="120"/>
      <c r="LQD3" s="120"/>
      <c r="LQE3" s="120"/>
      <c r="LQF3" s="120"/>
      <c r="LQG3" s="120"/>
      <c r="LQH3" s="120"/>
      <c r="LQI3" s="120"/>
      <c r="LQJ3" s="120"/>
      <c r="LQK3" s="120"/>
      <c r="LQL3" s="120"/>
      <c r="LQM3" s="120"/>
      <c r="LQN3" s="120"/>
      <c r="LQO3" s="120"/>
      <c r="LQP3" s="120"/>
      <c r="LQQ3" s="120"/>
      <c r="LQR3" s="120"/>
      <c r="LQS3" s="120"/>
      <c r="LQT3" s="120"/>
      <c r="LQU3" s="120"/>
      <c r="LQV3" s="120"/>
      <c r="LQW3" s="120"/>
      <c r="LQX3" s="120"/>
      <c r="LQY3" s="120"/>
      <c r="LQZ3" s="120"/>
      <c r="LRA3" s="120"/>
      <c r="LRB3" s="120"/>
      <c r="LRC3" s="120"/>
      <c r="LRD3" s="120"/>
      <c r="LRE3" s="120"/>
      <c r="LRF3" s="120"/>
      <c r="LRG3" s="120"/>
      <c r="LRH3" s="120"/>
      <c r="LRI3" s="120"/>
      <c r="LRJ3" s="120"/>
      <c r="LRK3" s="120"/>
      <c r="LRL3" s="120"/>
      <c r="LRM3" s="120"/>
      <c r="LRN3" s="120"/>
      <c r="LRO3" s="120"/>
      <c r="LRP3" s="120"/>
      <c r="LRQ3" s="120"/>
      <c r="LRR3" s="120"/>
      <c r="LRS3" s="120"/>
      <c r="LRT3" s="120"/>
      <c r="LRU3" s="120"/>
      <c r="LRV3" s="120"/>
      <c r="LRW3" s="120"/>
      <c r="LRX3" s="120"/>
      <c r="LRY3" s="120"/>
      <c r="LRZ3" s="120"/>
      <c r="LSA3" s="120"/>
      <c r="LSB3" s="120"/>
      <c r="LSC3" s="120"/>
      <c r="LSD3" s="120"/>
      <c r="LSE3" s="120"/>
      <c r="LSF3" s="120"/>
      <c r="LSG3" s="120"/>
      <c r="LSH3" s="120"/>
      <c r="LSI3" s="120"/>
      <c r="LSJ3" s="120"/>
      <c r="LSK3" s="120"/>
      <c r="LSL3" s="120"/>
      <c r="LSM3" s="120"/>
      <c r="LSN3" s="120"/>
      <c r="LSO3" s="120"/>
      <c r="LSP3" s="120"/>
      <c r="LSQ3" s="120"/>
      <c r="LSR3" s="120"/>
      <c r="LSS3" s="120"/>
      <c r="LST3" s="120"/>
      <c r="LSU3" s="120"/>
      <c r="LSV3" s="120"/>
      <c r="LSW3" s="120"/>
      <c r="LSX3" s="120"/>
      <c r="LSY3" s="120"/>
      <c r="LSZ3" s="120"/>
      <c r="LTA3" s="120"/>
      <c r="LTB3" s="120"/>
      <c r="LTC3" s="120"/>
      <c r="LTD3" s="120"/>
      <c r="LTE3" s="120"/>
      <c r="LTF3" s="120"/>
      <c r="LTG3" s="120"/>
      <c r="LTH3" s="120"/>
      <c r="LTI3" s="120"/>
      <c r="LTJ3" s="120"/>
      <c r="LTK3" s="120"/>
      <c r="LTL3" s="120"/>
      <c r="LTM3" s="120"/>
      <c r="LTN3" s="120"/>
      <c r="LTO3" s="120"/>
      <c r="LTP3" s="120"/>
      <c r="LTQ3" s="120"/>
      <c r="LTR3" s="120"/>
      <c r="LTS3" s="120"/>
      <c r="LTT3" s="120"/>
      <c r="LTU3" s="120"/>
      <c r="LTV3" s="120"/>
      <c r="LTW3" s="120"/>
      <c r="LTX3" s="120"/>
      <c r="LTY3" s="120"/>
      <c r="LTZ3" s="120"/>
      <c r="LUA3" s="120"/>
      <c r="LUB3" s="120"/>
      <c r="LUC3" s="120"/>
      <c r="LUD3" s="120"/>
      <c r="LUE3" s="120"/>
      <c r="LUF3" s="120"/>
      <c r="LUG3" s="120"/>
      <c r="LUH3" s="120"/>
      <c r="LUI3" s="120"/>
      <c r="LUJ3" s="120"/>
      <c r="LUK3" s="120"/>
      <c r="LUL3" s="120"/>
      <c r="LUM3" s="120"/>
      <c r="LUN3" s="120"/>
      <c r="LUO3" s="120"/>
      <c r="LUP3" s="120"/>
      <c r="LUQ3" s="120"/>
      <c r="LUR3" s="120"/>
      <c r="LUS3" s="120"/>
      <c r="LUT3" s="120"/>
      <c r="LUU3" s="120"/>
      <c r="LUV3" s="120"/>
      <c r="LUW3" s="120"/>
      <c r="LUX3" s="120"/>
      <c r="LUY3" s="120"/>
      <c r="LUZ3" s="120"/>
      <c r="LVA3" s="120"/>
      <c r="LVB3" s="120"/>
      <c r="LVC3" s="120"/>
      <c r="LVD3" s="120"/>
      <c r="LVE3" s="120"/>
      <c r="LVF3" s="120"/>
      <c r="LVG3" s="120"/>
      <c r="LVH3" s="120"/>
      <c r="LVI3" s="120"/>
      <c r="LVJ3" s="120"/>
      <c r="LVK3" s="120"/>
      <c r="LVL3" s="120"/>
      <c r="LVM3" s="120"/>
      <c r="LVN3" s="120"/>
      <c r="LVO3" s="120"/>
      <c r="LVP3" s="120"/>
      <c r="LVQ3" s="120"/>
      <c r="LVR3" s="120"/>
      <c r="LVS3" s="120"/>
      <c r="LVT3" s="120"/>
      <c r="LVU3" s="120"/>
      <c r="LVV3" s="120"/>
      <c r="LVW3" s="120"/>
      <c r="LVX3" s="120"/>
      <c r="LVY3" s="120"/>
      <c r="LVZ3" s="120"/>
      <c r="LWA3" s="120"/>
      <c r="LWB3" s="120"/>
      <c r="LWC3" s="120"/>
      <c r="LWD3" s="120"/>
      <c r="LWE3" s="120"/>
      <c r="LWF3" s="120"/>
      <c r="LWG3" s="120"/>
      <c r="LWH3" s="120"/>
      <c r="LWI3" s="120"/>
      <c r="LWJ3" s="120"/>
      <c r="LWK3" s="120"/>
      <c r="LWL3" s="120"/>
      <c r="LWM3" s="120"/>
      <c r="LWN3" s="120"/>
      <c r="LWO3" s="120"/>
      <c r="LWP3" s="120"/>
      <c r="LWQ3" s="120"/>
      <c r="LWR3" s="120"/>
      <c r="LWS3" s="120"/>
      <c r="LWT3" s="120"/>
      <c r="LWU3" s="120"/>
      <c r="LWV3" s="120"/>
      <c r="LWW3" s="120"/>
      <c r="LWX3" s="120"/>
      <c r="LWY3" s="120"/>
      <c r="LWZ3" s="120"/>
      <c r="LXA3" s="120"/>
      <c r="LXB3" s="120"/>
      <c r="LXC3" s="120"/>
      <c r="LXD3" s="120"/>
      <c r="LXE3" s="120"/>
      <c r="LXF3" s="120"/>
      <c r="LXG3" s="120"/>
      <c r="LXH3" s="120"/>
      <c r="LXI3" s="120"/>
      <c r="LXJ3" s="120"/>
      <c r="LXK3" s="120"/>
      <c r="LXL3" s="120"/>
      <c r="LXM3" s="120"/>
      <c r="LXN3" s="120"/>
      <c r="LXO3" s="120"/>
      <c r="LXP3" s="120"/>
      <c r="LXQ3" s="120"/>
      <c r="LXR3" s="120"/>
      <c r="LXS3" s="120"/>
      <c r="LXT3" s="120"/>
      <c r="LXU3" s="120"/>
      <c r="LXV3" s="120"/>
      <c r="LXW3" s="120"/>
      <c r="LXX3" s="120"/>
      <c r="LXY3" s="120"/>
      <c r="LXZ3" s="120"/>
      <c r="LYA3" s="120"/>
      <c r="LYB3" s="120"/>
      <c r="LYC3" s="120"/>
      <c r="LYD3" s="120"/>
      <c r="LYE3" s="120"/>
      <c r="LYF3" s="120"/>
      <c r="LYG3" s="120"/>
      <c r="LYH3" s="120"/>
      <c r="LYI3" s="120"/>
      <c r="LYJ3" s="120"/>
      <c r="LYK3" s="120"/>
      <c r="LYL3" s="120"/>
      <c r="LYM3" s="120"/>
      <c r="LYN3" s="120"/>
      <c r="LYO3" s="120"/>
      <c r="LYP3" s="120"/>
      <c r="LYQ3" s="120"/>
      <c r="LYR3" s="120"/>
      <c r="LYS3" s="120"/>
      <c r="LYT3" s="120"/>
      <c r="LYU3" s="120"/>
      <c r="LYV3" s="120"/>
      <c r="LYW3" s="120"/>
      <c r="LYX3" s="120"/>
      <c r="LYY3" s="120"/>
      <c r="LYZ3" s="120"/>
      <c r="LZA3" s="120"/>
      <c r="LZB3" s="120"/>
      <c r="LZC3" s="120"/>
      <c r="LZD3" s="120"/>
      <c r="LZE3" s="120"/>
      <c r="LZF3" s="120"/>
      <c r="LZG3" s="120"/>
      <c r="LZH3" s="120"/>
      <c r="LZI3" s="120"/>
      <c r="LZJ3" s="120"/>
      <c r="LZK3" s="120"/>
      <c r="LZL3" s="120"/>
      <c r="LZM3" s="120"/>
      <c r="LZN3" s="120"/>
      <c r="LZO3" s="120"/>
      <c r="LZP3" s="120"/>
      <c r="LZQ3" s="120"/>
      <c r="LZR3" s="120"/>
      <c r="LZS3" s="120"/>
      <c r="LZT3" s="120"/>
      <c r="LZU3" s="120"/>
      <c r="LZV3" s="120"/>
      <c r="LZW3" s="120"/>
      <c r="LZX3" s="120"/>
      <c r="LZY3" s="120"/>
      <c r="LZZ3" s="120"/>
      <c r="MAA3" s="120"/>
      <c r="MAB3" s="120"/>
      <c r="MAC3" s="120"/>
      <c r="MAD3" s="120"/>
      <c r="MAE3" s="120"/>
      <c r="MAF3" s="120"/>
      <c r="MAG3" s="120"/>
      <c r="MAH3" s="120"/>
      <c r="MAI3" s="120"/>
      <c r="MAJ3" s="120"/>
      <c r="MAK3" s="120"/>
      <c r="MAL3" s="120"/>
      <c r="MAM3" s="120"/>
      <c r="MAN3" s="120"/>
      <c r="MAO3" s="120"/>
      <c r="MAP3" s="120"/>
      <c r="MAQ3" s="120"/>
      <c r="MAR3" s="120"/>
      <c r="MAS3" s="120"/>
      <c r="MAT3" s="120"/>
      <c r="MAU3" s="120"/>
      <c r="MAV3" s="120"/>
      <c r="MAW3" s="120"/>
      <c r="MAX3" s="120"/>
      <c r="MAY3" s="120"/>
      <c r="MAZ3" s="120"/>
      <c r="MBA3" s="120"/>
      <c r="MBB3" s="120"/>
      <c r="MBC3" s="120"/>
      <c r="MBD3" s="120"/>
      <c r="MBE3" s="120"/>
      <c r="MBF3" s="120"/>
      <c r="MBG3" s="120"/>
      <c r="MBH3" s="120"/>
      <c r="MBI3" s="120"/>
      <c r="MBJ3" s="120"/>
      <c r="MBK3" s="120"/>
      <c r="MBL3" s="120"/>
      <c r="MBM3" s="120"/>
      <c r="MBN3" s="120"/>
      <c r="MBO3" s="120"/>
      <c r="MBP3" s="120"/>
      <c r="MBQ3" s="120"/>
      <c r="MBR3" s="120"/>
      <c r="MBS3" s="120"/>
      <c r="MBT3" s="120"/>
      <c r="MBU3" s="120"/>
      <c r="MBV3" s="120"/>
      <c r="MBW3" s="120"/>
      <c r="MBX3" s="120"/>
      <c r="MBY3" s="120"/>
      <c r="MBZ3" s="120"/>
      <c r="MCA3" s="120"/>
      <c r="MCB3" s="120"/>
      <c r="MCC3" s="120"/>
      <c r="MCD3" s="120"/>
      <c r="MCE3" s="120"/>
      <c r="MCF3" s="120"/>
      <c r="MCG3" s="120"/>
      <c r="MCH3" s="120"/>
      <c r="MCI3" s="120"/>
      <c r="MCJ3" s="120"/>
      <c r="MCK3" s="120"/>
      <c r="MCL3" s="120"/>
      <c r="MCM3" s="120"/>
      <c r="MCN3" s="120"/>
      <c r="MCO3" s="120"/>
      <c r="MCP3" s="120"/>
      <c r="MCQ3" s="120"/>
      <c r="MCR3" s="120"/>
      <c r="MCS3" s="120"/>
      <c r="MCT3" s="120"/>
      <c r="MCU3" s="120"/>
      <c r="MCV3" s="120"/>
      <c r="MCW3" s="120"/>
      <c r="MCX3" s="120"/>
      <c r="MCY3" s="120"/>
      <c r="MCZ3" s="120"/>
      <c r="MDA3" s="120"/>
      <c r="MDB3" s="120"/>
      <c r="MDC3" s="120"/>
      <c r="MDD3" s="120"/>
      <c r="MDE3" s="120"/>
      <c r="MDF3" s="120"/>
      <c r="MDG3" s="120"/>
      <c r="MDH3" s="120"/>
      <c r="MDI3" s="120"/>
      <c r="MDJ3" s="120"/>
      <c r="MDK3" s="120"/>
      <c r="MDL3" s="120"/>
      <c r="MDM3" s="120"/>
      <c r="MDN3" s="120"/>
      <c r="MDO3" s="120"/>
      <c r="MDP3" s="120"/>
      <c r="MDQ3" s="120"/>
      <c r="MDR3" s="120"/>
      <c r="MDS3" s="120"/>
      <c r="MDT3" s="120"/>
      <c r="MDU3" s="120"/>
      <c r="MDV3" s="120"/>
      <c r="MDW3" s="120"/>
      <c r="MDX3" s="120"/>
      <c r="MDY3" s="120"/>
      <c r="MDZ3" s="120"/>
      <c r="MEA3" s="120"/>
      <c r="MEB3" s="120"/>
      <c r="MEC3" s="120"/>
      <c r="MED3" s="120"/>
      <c r="MEE3" s="120"/>
      <c r="MEF3" s="120"/>
      <c r="MEG3" s="120"/>
      <c r="MEH3" s="120"/>
      <c r="MEI3" s="120"/>
      <c r="MEJ3" s="120"/>
      <c r="MEK3" s="120"/>
      <c r="MEL3" s="120"/>
      <c r="MEM3" s="120"/>
      <c r="MEN3" s="120"/>
      <c r="MEO3" s="120"/>
      <c r="MEP3" s="120"/>
      <c r="MEQ3" s="120"/>
      <c r="MER3" s="120"/>
      <c r="MES3" s="120"/>
      <c r="MET3" s="120"/>
      <c r="MEU3" s="120"/>
      <c r="MEV3" s="120"/>
      <c r="MEW3" s="120"/>
      <c r="MEX3" s="120"/>
      <c r="MEY3" s="120"/>
      <c r="MEZ3" s="120"/>
      <c r="MFA3" s="120"/>
      <c r="MFB3" s="120"/>
      <c r="MFC3" s="120"/>
      <c r="MFD3" s="120"/>
      <c r="MFE3" s="120"/>
      <c r="MFF3" s="120"/>
      <c r="MFG3" s="120"/>
      <c r="MFH3" s="120"/>
      <c r="MFI3" s="120"/>
      <c r="MFJ3" s="120"/>
      <c r="MFK3" s="120"/>
      <c r="MFL3" s="120"/>
      <c r="MFM3" s="120"/>
      <c r="MFN3" s="120"/>
      <c r="MFO3" s="120"/>
      <c r="MFP3" s="120"/>
      <c r="MFQ3" s="120"/>
      <c r="MFR3" s="120"/>
      <c r="MFS3" s="120"/>
      <c r="MFT3" s="120"/>
      <c r="MFU3" s="120"/>
      <c r="MFV3" s="120"/>
      <c r="MFW3" s="120"/>
      <c r="MFX3" s="120"/>
      <c r="MFY3" s="120"/>
      <c r="MFZ3" s="120"/>
      <c r="MGA3" s="120"/>
      <c r="MGB3" s="120"/>
      <c r="MGC3" s="120"/>
      <c r="MGD3" s="120"/>
      <c r="MGE3" s="120"/>
      <c r="MGF3" s="120"/>
      <c r="MGG3" s="120"/>
      <c r="MGH3" s="120"/>
      <c r="MGI3" s="120"/>
      <c r="MGJ3" s="120"/>
      <c r="MGK3" s="120"/>
      <c r="MGL3" s="120"/>
      <c r="MGM3" s="120"/>
      <c r="MGN3" s="120"/>
      <c r="MGO3" s="120"/>
      <c r="MGP3" s="120"/>
      <c r="MGQ3" s="120"/>
      <c r="MGR3" s="120"/>
      <c r="MGS3" s="120"/>
      <c r="MGT3" s="120"/>
      <c r="MGU3" s="120"/>
      <c r="MGV3" s="120"/>
      <c r="MGW3" s="120"/>
      <c r="MGX3" s="120"/>
      <c r="MGY3" s="120"/>
      <c r="MGZ3" s="120"/>
      <c r="MHA3" s="120"/>
      <c r="MHB3" s="120"/>
      <c r="MHC3" s="120"/>
      <c r="MHD3" s="120"/>
      <c r="MHE3" s="120"/>
      <c r="MHF3" s="120"/>
      <c r="MHG3" s="120"/>
      <c r="MHH3" s="120"/>
      <c r="MHI3" s="120"/>
      <c r="MHJ3" s="120"/>
      <c r="MHK3" s="120"/>
      <c r="MHL3" s="120"/>
      <c r="MHM3" s="120"/>
      <c r="MHN3" s="120"/>
      <c r="MHO3" s="120"/>
      <c r="MHP3" s="120"/>
      <c r="MHQ3" s="120"/>
      <c r="MHR3" s="120"/>
      <c r="MHS3" s="120"/>
      <c r="MHT3" s="120"/>
      <c r="MHU3" s="120"/>
      <c r="MHV3" s="120"/>
      <c r="MHW3" s="120"/>
      <c r="MHX3" s="120"/>
      <c r="MHY3" s="120"/>
      <c r="MHZ3" s="120"/>
      <c r="MIA3" s="120"/>
      <c r="MIB3" s="120"/>
      <c r="MIC3" s="120"/>
      <c r="MID3" s="120"/>
      <c r="MIE3" s="120"/>
      <c r="MIF3" s="120"/>
      <c r="MIG3" s="120"/>
      <c r="MIH3" s="120"/>
      <c r="MII3" s="120"/>
      <c r="MIJ3" s="120"/>
      <c r="MIK3" s="120"/>
      <c r="MIL3" s="120"/>
      <c r="MIM3" s="120"/>
      <c r="MIN3" s="120"/>
      <c r="MIO3" s="120"/>
      <c r="MIP3" s="120"/>
      <c r="MIQ3" s="120"/>
      <c r="MIR3" s="120"/>
      <c r="MIS3" s="120"/>
      <c r="MIT3" s="120"/>
      <c r="MIU3" s="120"/>
      <c r="MIV3" s="120"/>
      <c r="MIW3" s="120"/>
      <c r="MIX3" s="120"/>
      <c r="MIY3" s="120"/>
      <c r="MIZ3" s="120"/>
      <c r="MJA3" s="120"/>
      <c r="MJB3" s="120"/>
      <c r="MJC3" s="120"/>
      <c r="MJD3" s="120"/>
      <c r="MJE3" s="120"/>
      <c r="MJF3" s="120"/>
      <c r="MJG3" s="120"/>
      <c r="MJH3" s="120"/>
      <c r="MJI3" s="120"/>
      <c r="MJJ3" s="120"/>
      <c r="MJK3" s="120"/>
      <c r="MJL3" s="120"/>
      <c r="MJM3" s="120"/>
      <c r="MJN3" s="120"/>
      <c r="MJO3" s="120"/>
      <c r="MJP3" s="120"/>
      <c r="MJQ3" s="120"/>
      <c r="MJR3" s="120"/>
      <c r="MJS3" s="120"/>
      <c r="MJT3" s="120"/>
      <c r="MJU3" s="120"/>
      <c r="MJV3" s="120"/>
      <c r="MJW3" s="120"/>
      <c r="MJX3" s="120"/>
      <c r="MJY3" s="120"/>
      <c r="MJZ3" s="120"/>
      <c r="MKA3" s="120"/>
      <c r="MKB3" s="120"/>
      <c r="MKC3" s="120"/>
      <c r="MKD3" s="120"/>
      <c r="MKE3" s="120"/>
      <c r="MKF3" s="120"/>
      <c r="MKG3" s="120"/>
      <c r="MKH3" s="120"/>
      <c r="MKI3" s="120"/>
      <c r="MKJ3" s="120"/>
      <c r="MKK3" s="120"/>
      <c r="MKL3" s="120"/>
      <c r="MKM3" s="120"/>
      <c r="MKN3" s="120"/>
      <c r="MKO3" s="120"/>
      <c r="MKP3" s="120"/>
      <c r="MKQ3" s="120"/>
      <c r="MKR3" s="120"/>
      <c r="MKS3" s="120"/>
      <c r="MKT3" s="120"/>
      <c r="MKU3" s="120"/>
      <c r="MKV3" s="120"/>
      <c r="MKW3" s="120"/>
      <c r="MKX3" s="120"/>
      <c r="MKY3" s="120"/>
      <c r="MKZ3" s="120"/>
      <c r="MLA3" s="120"/>
      <c r="MLB3" s="120"/>
      <c r="MLC3" s="120"/>
      <c r="MLD3" s="120"/>
      <c r="MLE3" s="120"/>
      <c r="MLF3" s="120"/>
      <c r="MLG3" s="120"/>
      <c r="MLH3" s="120"/>
      <c r="MLI3" s="120"/>
      <c r="MLJ3" s="120"/>
      <c r="MLK3" s="120"/>
      <c r="MLL3" s="120"/>
      <c r="MLM3" s="120"/>
      <c r="MLN3" s="120"/>
      <c r="MLO3" s="120"/>
      <c r="MLP3" s="120"/>
      <c r="MLQ3" s="120"/>
      <c r="MLR3" s="120"/>
      <c r="MLS3" s="120"/>
      <c r="MLT3" s="120"/>
      <c r="MLU3" s="120"/>
      <c r="MLV3" s="120"/>
      <c r="MLW3" s="120"/>
      <c r="MLX3" s="120"/>
      <c r="MLY3" s="120"/>
      <c r="MLZ3" s="120"/>
      <c r="MMA3" s="120"/>
      <c r="MMB3" s="120"/>
      <c r="MMC3" s="120"/>
      <c r="MMD3" s="120"/>
      <c r="MME3" s="120"/>
      <c r="MMF3" s="120"/>
      <c r="MMG3" s="120"/>
      <c r="MMH3" s="120"/>
      <c r="MMI3" s="120"/>
      <c r="MMJ3" s="120"/>
      <c r="MMK3" s="120"/>
      <c r="MML3" s="120"/>
      <c r="MMM3" s="120"/>
      <c r="MMN3" s="120"/>
      <c r="MMO3" s="120"/>
      <c r="MMP3" s="120"/>
      <c r="MMQ3" s="120"/>
      <c r="MMR3" s="120"/>
      <c r="MMS3" s="120"/>
      <c r="MMT3" s="120"/>
      <c r="MMU3" s="120"/>
      <c r="MMV3" s="120"/>
      <c r="MMW3" s="120"/>
      <c r="MMX3" s="120"/>
      <c r="MMY3" s="120"/>
      <c r="MMZ3" s="120"/>
      <c r="MNA3" s="120"/>
      <c r="MNB3" s="120"/>
      <c r="MNC3" s="120"/>
      <c r="MND3" s="120"/>
      <c r="MNE3" s="120"/>
      <c r="MNF3" s="120"/>
      <c r="MNG3" s="120"/>
      <c r="MNH3" s="120"/>
      <c r="MNI3" s="120"/>
      <c r="MNJ3" s="120"/>
      <c r="MNK3" s="120"/>
      <c r="MNL3" s="120"/>
      <c r="MNM3" s="120"/>
      <c r="MNN3" s="120"/>
      <c r="MNO3" s="120"/>
      <c r="MNP3" s="120"/>
      <c r="MNQ3" s="120"/>
      <c r="MNR3" s="120"/>
      <c r="MNS3" s="120"/>
      <c r="MNT3" s="120"/>
      <c r="MNU3" s="120"/>
      <c r="MNV3" s="120"/>
      <c r="MNW3" s="120"/>
      <c r="MNX3" s="120"/>
      <c r="MNY3" s="120"/>
      <c r="MNZ3" s="120"/>
      <c r="MOA3" s="120"/>
      <c r="MOB3" s="120"/>
      <c r="MOC3" s="120"/>
      <c r="MOD3" s="120"/>
      <c r="MOE3" s="120"/>
      <c r="MOF3" s="120"/>
      <c r="MOG3" s="120"/>
      <c r="MOH3" s="120"/>
      <c r="MOI3" s="120"/>
      <c r="MOJ3" s="120"/>
      <c r="MOK3" s="120"/>
      <c r="MOL3" s="120"/>
      <c r="MOM3" s="120"/>
      <c r="MON3" s="120"/>
      <c r="MOO3" s="120"/>
      <c r="MOP3" s="120"/>
      <c r="MOQ3" s="120"/>
      <c r="MOR3" s="120"/>
      <c r="MOS3" s="120"/>
      <c r="MOT3" s="120"/>
      <c r="MOU3" s="120"/>
      <c r="MOV3" s="120"/>
      <c r="MOW3" s="120"/>
      <c r="MOX3" s="120"/>
      <c r="MOY3" s="120"/>
      <c r="MOZ3" s="120"/>
      <c r="MPA3" s="120"/>
      <c r="MPB3" s="120"/>
      <c r="MPC3" s="120"/>
      <c r="MPD3" s="120"/>
      <c r="MPE3" s="120"/>
      <c r="MPF3" s="120"/>
      <c r="MPG3" s="120"/>
      <c r="MPH3" s="120"/>
      <c r="MPI3" s="120"/>
      <c r="MPJ3" s="120"/>
      <c r="MPK3" s="120"/>
      <c r="MPL3" s="120"/>
      <c r="MPM3" s="120"/>
      <c r="MPN3" s="120"/>
      <c r="MPO3" s="120"/>
      <c r="MPP3" s="120"/>
      <c r="MPQ3" s="120"/>
      <c r="MPR3" s="120"/>
      <c r="MPS3" s="120"/>
      <c r="MPT3" s="120"/>
      <c r="MPU3" s="120"/>
      <c r="MPV3" s="120"/>
      <c r="MPW3" s="120"/>
      <c r="MPX3" s="120"/>
      <c r="MPY3" s="120"/>
      <c r="MPZ3" s="120"/>
      <c r="MQA3" s="120"/>
      <c r="MQB3" s="120"/>
      <c r="MQC3" s="120"/>
      <c r="MQD3" s="120"/>
      <c r="MQE3" s="120"/>
      <c r="MQF3" s="120"/>
      <c r="MQG3" s="120"/>
      <c r="MQH3" s="120"/>
      <c r="MQI3" s="120"/>
      <c r="MQJ3" s="120"/>
      <c r="MQK3" s="120"/>
      <c r="MQL3" s="120"/>
      <c r="MQM3" s="120"/>
      <c r="MQN3" s="120"/>
      <c r="MQO3" s="120"/>
      <c r="MQP3" s="120"/>
      <c r="MQQ3" s="120"/>
      <c r="MQR3" s="120"/>
      <c r="MQS3" s="120"/>
      <c r="MQT3" s="120"/>
      <c r="MQU3" s="120"/>
      <c r="MQV3" s="120"/>
      <c r="MQW3" s="120"/>
      <c r="MQX3" s="120"/>
      <c r="MQY3" s="120"/>
      <c r="MQZ3" s="120"/>
      <c r="MRA3" s="120"/>
      <c r="MRB3" s="120"/>
      <c r="MRC3" s="120"/>
      <c r="MRD3" s="120"/>
      <c r="MRE3" s="120"/>
      <c r="MRF3" s="120"/>
      <c r="MRG3" s="120"/>
      <c r="MRH3" s="120"/>
      <c r="MRI3" s="120"/>
      <c r="MRJ3" s="120"/>
      <c r="MRK3" s="120"/>
      <c r="MRL3" s="120"/>
      <c r="MRM3" s="120"/>
      <c r="MRN3" s="120"/>
      <c r="MRO3" s="120"/>
      <c r="MRP3" s="120"/>
      <c r="MRQ3" s="120"/>
      <c r="MRR3" s="120"/>
      <c r="MRS3" s="120"/>
      <c r="MRT3" s="120"/>
      <c r="MRU3" s="120"/>
      <c r="MRV3" s="120"/>
      <c r="MRW3" s="120"/>
      <c r="MRX3" s="120"/>
      <c r="MRY3" s="120"/>
      <c r="MRZ3" s="120"/>
      <c r="MSA3" s="120"/>
      <c r="MSB3" s="120"/>
      <c r="MSC3" s="120"/>
      <c r="MSD3" s="120"/>
      <c r="MSE3" s="120"/>
      <c r="MSF3" s="120"/>
      <c r="MSG3" s="120"/>
      <c r="MSH3" s="120"/>
      <c r="MSI3" s="120"/>
      <c r="MSJ3" s="120"/>
      <c r="MSK3" s="120"/>
      <c r="MSL3" s="120"/>
      <c r="MSM3" s="120"/>
      <c r="MSN3" s="120"/>
      <c r="MSO3" s="120"/>
      <c r="MSP3" s="120"/>
      <c r="MSQ3" s="120"/>
      <c r="MSR3" s="120"/>
      <c r="MSS3" s="120"/>
      <c r="MST3" s="120"/>
      <c r="MSU3" s="120"/>
      <c r="MSV3" s="120"/>
      <c r="MSW3" s="120"/>
      <c r="MSX3" s="120"/>
      <c r="MSY3" s="120"/>
      <c r="MSZ3" s="120"/>
      <c r="MTA3" s="120"/>
      <c r="MTB3" s="120"/>
      <c r="MTC3" s="120"/>
      <c r="MTD3" s="120"/>
      <c r="MTE3" s="120"/>
      <c r="MTF3" s="120"/>
      <c r="MTG3" s="120"/>
      <c r="MTH3" s="120"/>
      <c r="MTI3" s="120"/>
      <c r="MTJ3" s="120"/>
      <c r="MTK3" s="120"/>
      <c r="MTL3" s="120"/>
      <c r="MTM3" s="120"/>
      <c r="MTN3" s="120"/>
      <c r="MTO3" s="120"/>
      <c r="MTP3" s="120"/>
      <c r="MTQ3" s="120"/>
      <c r="MTR3" s="120"/>
      <c r="MTS3" s="120"/>
      <c r="MTT3" s="120"/>
      <c r="MTU3" s="120"/>
      <c r="MTV3" s="120"/>
      <c r="MTW3" s="120"/>
      <c r="MTX3" s="120"/>
      <c r="MTY3" s="120"/>
      <c r="MTZ3" s="120"/>
      <c r="MUA3" s="120"/>
      <c r="MUB3" s="120"/>
      <c r="MUC3" s="120"/>
      <c r="MUD3" s="120"/>
      <c r="MUE3" s="120"/>
      <c r="MUF3" s="120"/>
      <c r="MUG3" s="120"/>
      <c r="MUH3" s="120"/>
      <c r="MUI3" s="120"/>
      <c r="MUJ3" s="120"/>
      <c r="MUK3" s="120"/>
      <c r="MUL3" s="120"/>
      <c r="MUM3" s="120"/>
      <c r="MUN3" s="120"/>
      <c r="MUO3" s="120"/>
      <c r="MUP3" s="120"/>
      <c r="MUQ3" s="120"/>
      <c r="MUR3" s="120"/>
      <c r="MUS3" s="120"/>
      <c r="MUT3" s="120"/>
      <c r="MUU3" s="120"/>
      <c r="MUV3" s="120"/>
      <c r="MUW3" s="120"/>
      <c r="MUX3" s="120"/>
      <c r="MUY3" s="120"/>
      <c r="MUZ3" s="120"/>
      <c r="MVA3" s="120"/>
      <c r="MVB3" s="120"/>
      <c r="MVC3" s="120"/>
      <c r="MVD3" s="120"/>
      <c r="MVE3" s="120"/>
      <c r="MVF3" s="120"/>
      <c r="MVG3" s="120"/>
      <c r="MVH3" s="120"/>
      <c r="MVI3" s="120"/>
      <c r="MVJ3" s="120"/>
      <c r="MVK3" s="120"/>
      <c r="MVL3" s="120"/>
      <c r="MVM3" s="120"/>
      <c r="MVN3" s="120"/>
      <c r="MVO3" s="120"/>
      <c r="MVP3" s="120"/>
      <c r="MVQ3" s="120"/>
      <c r="MVR3" s="120"/>
      <c r="MVS3" s="120"/>
      <c r="MVT3" s="120"/>
      <c r="MVU3" s="120"/>
      <c r="MVV3" s="120"/>
      <c r="MVW3" s="120"/>
      <c r="MVX3" s="120"/>
      <c r="MVY3" s="120"/>
      <c r="MVZ3" s="120"/>
      <c r="MWA3" s="120"/>
      <c r="MWB3" s="120"/>
      <c r="MWC3" s="120"/>
      <c r="MWD3" s="120"/>
      <c r="MWE3" s="120"/>
      <c r="MWF3" s="120"/>
      <c r="MWG3" s="120"/>
      <c r="MWH3" s="120"/>
      <c r="MWI3" s="120"/>
      <c r="MWJ3" s="120"/>
      <c r="MWK3" s="120"/>
      <c r="MWL3" s="120"/>
      <c r="MWM3" s="120"/>
      <c r="MWN3" s="120"/>
      <c r="MWO3" s="120"/>
      <c r="MWP3" s="120"/>
      <c r="MWQ3" s="120"/>
      <c r="MWR3" s="120"/>
      <c r="MWS3" s="120"/>
      <c r="MWT3" s="120"/>
      <c r="MWU3" s="120"/>
      <c r="MWV3" s="120"/>
      <c r="MWW3" s="120"/>
      <c r="MWX3" s="120"/>
      <c r="MWY3" s="120"/>
      <c r="MWZ3" s="120"/>
      <c r="MXA3" s="120"/>
      <c r="MXB3" s="120"/>
      <c r="MXC3" s="120"/>
      <c r="MXD3" s="120"/>
      <c r="MXE3" s="120"/>
      <c r="MXF3" s="120"/>
      <c r="MXG3" s="120"/>
      <c r="MXH3" s="120"/>
      <c r="MXI3" s="120"/>
      <c r="MXJ3" s="120"/>
      <c r="MXK3" s="120"/>
      <c r="MXL3" s="120"/>
      <c r="MXM3" s="120"/>
      <c r="MXN3" s="120"/>
      <c r="MXO3" s="120"/>
      <c r="MXP3" s="120"/>
      <c r="MXQ3" s="120"/>
      <c r="MXR3" s="120"/>
      <c r="MXS3" s="120"/>
      <c r="MXT3" s="120"/>
      <c r="MXU3" s="120"/>
      <c r="MXV3" s="120"/>
      <c r="MXW3" s="120"/>
      <c r="MXX3" s="120"/>
      <c r="MXY3" s="120"/>
      <c r="MXZ3" s="120"/>
      <c r="MYA3" s="120"/>
      <c r="MYB3" s="120"/>
      <c r="MYC3" s="120"/>
      <c r="MYD3" s="120"/>
      <c r="MYE3" s="120"/>
      <c r="MYF3" s="120"/>
      <c r="MYG3" s="120"/>
      <c r="MYH3" s="120"/>
      <c r="MYI3" s="120"/>
      <c r="MYJ3" s="120"/>
      <c r="MYK3" s="120"/>
      <c r="MYL3" s="120"/>
      <c r="MYM3" s="120"/>
      <c r="MYN3" s="120"/>
      <c r="MYO3" s="120"/>
      <c r="MYP3" s="120"/>
      <c r="MYQ3" s="120"/>
      <c r="MYR3" s="120"/>
      <c r="MYS3" s="120"/>
      <c r="MYT3" s="120"/>
      <c r="MYU3" s="120"/>
      <c r="MYV3" s="120"/>
      <c r="MYW3" s="120"/>
      <c r="MYX3" s="120"/>
      <c r="MYY3" s="120"/>
      <c r="MYZ3" s="120"/>
      <c r="MZA3" s="120"/>
      <c r="MZB3" s="120"/>
      <c r="MZC3" s="120"/>
      <c r="MZD3" s="120"/>
      <c r="MZE3" s="120"/>
      <c r="MZF3" s="120"/>
      <c r="MZG3" s="120"/>
      <c r="MZH3" s="120"/>
      <c r="MZI3" s="120"/>
      <c r="MZJ3" s="120"/>
      <c r="MZK3" s="120"/>
      <c r="MZL3" s="120"/>
      <c r="MZM3" s="120"/>
      <c r="MZN3" s="120"/>
      <c r="MZO3" s="120"/>
      <c r="MZP3" s="120"/>
      <c r="MZQ3" s="120"/>
      <c r="MZR3" s="120"/>
      <c r="MZS3" s="120"/>
      <c r="MZT3" s="120"/>
      <c r="MZU3" s="120"/>
      <c r="MZV3" s="120"/>
      <c r="MZW3" s="120"/>
      <c r="MZX3" s="120"/>
      <c r="MZY3" s="120"/>
      <c r="MZZ3" s="120"/>
      <c r="NAA3" s="120"/>
      <c r="NAB3" s="120"/>
      <c r="NAC3" s="120"/>
      <c r="NAD3" s="120"/>
      <c r="NAE3" s="120"/>
      <c r="NAF3" s="120"/>
      <c r="NAG3" s="120"/>
      <c r="NAH3" s="120"/>
      <c r="NAI3" s="120"/>
      <c r="NAJ3" s="120"/>
      <c r="NAK3" s="120"/>
      <c r="NAL3" s="120"/>
      <c r="NAM3" s="120"/>
      <c r="NAN3" s="120"/>
      <c r="NAO3" s="120"/>
      <c r="NAP3" s="120"/>
      <c r="NAQ3" s="120"/>
      <c r="NAR3" s="120"/>
      <c r="NAS3" s="120"/>
      <c r="NAT3" s="120"/>
      <c r="NAU3" s="120"/>
      <c r="NAV3" s="120"/>
      <c r="NAW3" s="120"/>
      <c r="NAX3" s="120"/>
      <c r="NAY3" s="120"/>
      <c r="NAZ3" s="120"/>
      <c r="NBA3" s="120"/>
      <c r="NBB3" s="120"/>
      <c r="NBC3" s="120"/>
      <c r="NBD3" s="120"/>
      <c r="NBE3" s="120"/>
      <c r="NBF3" s="120"/>
      <c r="NBG3" s="120"/>
      <c r="NBH3" s="120"/>
      <c r="NBI3" s="120"/>
      <c r="NBJ3" s="120"/>
      <c r="NBK3" s="120"/>
      <c r="NBL3" s="120"/>
      <c r="NBM3" s="120"/>
      <c r="NBN3" s="120"/>
      <c r="NBO3" s="120"/>
      <c r="NBP3" s="120"/>
      <c r="NBQ3" s="120"/>
      <c r="NBR3" s="120"/>
      <c r="NBS3" s="120"/>
      <c r="NBT3" s="120"/>
      <c r="NBU3" s="120"/>
      <c r="NBV3" s="120"/>
      <c r="NBW3" s="120"/>
      <c r="NBX3" s="120"/>
      <c r="NBY3" s="120"/>
      <c r="NBZ3" s="120"/>
      <c r="NCA3" s="120"/>
      <c r="NCB3" s="120"/>
      <c r="NCC3" s="120"/>
      <c r="NCD3" s="120"/>
      <c r="NCE3" s="120"/>
      <c r="NCF3" s="120"/>
      <c r="NCG3" s="120"/>
      <c r="NCH3" s="120"/>
      <c r="NCI3" s="120"/>
      <c r="NCJ3" s="120"/>
      <c r="NCK3" s="120"/>
      <c r="NCL3" s="120"/>
      <c r="NCM3" s="120"/>
      <c r="NCN3" s="120"/>
      <c r="NCO3" s="120"/>
      <c r="NCP3" s="120"/>
      <c r="NCQ3" s="120"/>
      <c r="NCR3" s="120"/>
      <c r="NCS3" s="120"/>
      <c r="NCT3" s="120"/>
      <c r="NCU3" s="120"/>
      <c r="NCV3" s="120"/>
      <c r="NCW3" s="120"/>
      <c r="NCX3" s="120"/>
      <c r="NCY3" s="120"/>
      <c r="NCZ3" s="120"/>
      <c r="NDA3" s="120"/>
      <c r="NDB3" s="120"/>
      <c r="NDC3" s="120"/>
      <c r="NDD3" s="120"/>
      <c r="NDE3" s="120"/>
      <c r="NDF3" s="120"/>
      <c r="NDG3" s="120"/>
      <c r="NDH3" s="120"/>
      <c r="NDI3" s="120"/>
      <c r="NDJ3" s="120"/>
      <c r="NDK3" s="120"/>
      <c r="NDL3" s="120"/>
      <c r="NDM3" s="120"/>
      <c r="NDN3" s="120"/>
      <c r="NDO3" s="120"/>
      <c r="NDP3" s="120"/>
      <c r="NDQ3" s="120"/>
      <c r="NDR3" s="120"/>
      <c r="NDS3" s="120"/>
      <c r="NDT3" s="120"/>
      <c r="NDU3" s="120"/>
      <c r="NDV3" s="120"/>
      <c r="NDW3" s="120"/>
      <c r="NDX3" s="120"/>
      <c r="NDY3" s="120"/>
      <c r="NDZ3" s="120"/>
      <c r="NEA3" s="120"/>
      <c r="NEB3" s="120"/>
      <c r="NEC3" s="120"/>
      <c r="NED3" s="120"/>
      <c r="NEE3" s="120"/>
      <c r="NEF3" s="120"/>
      <c r="NEG3" s="120"/>
      <c r="NEH3" s="120"/>
      <c r="NEI3" s="120"/>
      <c r="NEJ3" s="120"/>
      <c r="NEK3" s="120"/>
      <c r="NEL3" s="120"/>
      <c r="NEM3" s="120"/>
      <c r="NEN3" s="120"/>
      <c r="NEO3" s="120"/>
      <c r="NEP3" s="120"/>
      <c r="NEQ3" s="120"/>
      <c r="NER3" s="120"/>
      <c r="NES3" s="120"/>
      <c r="NET3" s="120"/>
      <c r="NEU3" s="120"/>
      <c r="NEV3" s="120"/>
      <c r="NEW3" s="120"/>
      <c r="NEX3" s="120"/>
      <c r="NEY3" s="120"/>
      <c r="NEZ3" s="120"/>
      <c r="NFA3" s="120"/>
      <c r="NFB3" s="120"/>
      <c r="NFC3" s="120"/>
      <c r="NFD3" s="120"/>
      <c r="NFE3" s="120"/>
      <c r="NFF3" s="120"/>
      <c r="NFG3" s="120"/>
      <c r="NFH3" s="120"/>
      <c r="NFI3" s="120"/>
      <c r="NFJ3" s="120"/>
      <c r="NFK3" s="120"/>
      <c r="NFL3" s="120"/>
      <c r="NFM3" s="120"/>
      <c r="NFN3" s="120"/>
      <c r="NFO3" s="120"/>
      <c r="NFP3" s="120"/>
      <c r="NFQ3" s="120"/>
      <c r="NFR3" s="120"/>
      <c r="NFS3" s="120"/>
      <c r="NFT3" s="120"/>
      <c r="NFU3" s="120"/>
      <c r="NFV3" s="120"/>
      <c r="NFW3" s="120"/>
      <c r="NFX3" s="120"/>
      <c r="NFY3" s="120"/>
      <c r="NFZ3" s="120"/>
      <c r="NGA3" s="120"/>
      <c r="NGB3" s="120"/>
      <c r="NGC3" s="120"/>
      <c r="NGD3" s="120"/>
      <c r="NGE3" s="120"/>
      <c r="NGF3" s="120"/>
      <c r="NGG3" s="120"/>
      <c r="NGH3" s="120"/>
      <c r="NGI3" s="120"/>
      <c r="NGJ3" s="120"/>
      <c r="NGK3" s="120"/>
      <c r="NGL3" s="120"/>
      <c r="NGM3" s="120"/>
      <c r="NGN3" s="120"/>
      <c r="NGO3" s="120"/>
      <c r="NGP3" s="120"/>
      <c r="NGQ3" s="120"/>
      <c r="NGR3" s="120"/>
      <c r="NGS3" s="120"/>
      <c r="NGT3" s="120"/>
      <c r="NGU3" s="120"/>
      <c r="NGV3" s="120"/>
      <c r="NGW3" s="120"/>
      <c r="NGX3" s="120"/>
      <c r="NGY3" s="120"/>
      <c r="NGZ3" s="120"/>
      <c r="NHA3" s="120"/>
      <c r="NHB3" s="120"/>
      <c r="NHC3" s="120"/>
      <c r="NHD3" s="120"/>
      <c r="NHE3" s="120"/>
      <c r="NHF3" s="120"/>
      <c r="NHG3" s="120"/>
      <c r="NHH3" s="120"/>
      <c r="NHI3" s="120"/>
      <c r="NHJ3" s="120"/>
      <c r="NHK3" s="120"/>
      <c r="NHL3" s="120"/>
      <c r="NHM3" s="120"/>
      <c r="NHN3" s="120"/>
      <c r="NHO3" s="120"/>
      <c r="NHP3" s="120"/>
      <c r="NHQ3" s="120"/>
      <c r="NHR3" s="120"/>
      <c r="NHS3" s="120"/>
      <c r="NHT3" s="120"/>
      <c r="NHU3" s="120"/>
      <c r="NHV3" s="120"/>
      <c r="NHW3" s="120"/>
      <c r="NHX3" s="120"/>
      <c r="NHY3" s="120"/>
      <c r="NHZ3" s="120"/>
      <c r="NIA3" s="120"/>
      <c r="NIB3" s="120"/>
      <c r="NIC3" s="120"/>
      <c r="NID3" s="120"/>
      <c r="NIE3" s="120"/>
      <c r="NIF3" s="120"/>
      <c r="NIG3" s="120"/>
      <c r="NIH3" s="120"/>
      <c r="NII3" s="120"/>
      <c r="NIJ3" s="120"/>
      <c r="NIK3" s="120"/>
      <c r="NIL3" s="120"/>
      <c r="NIM3" s="120"/>
      <c r="NIN3" s="120"/>
      <c r="NIO3" s="120"/>
      <c r="NIP3" s="120"/>
      <c r="NIQ3" s="120"/>
      <c r="NIR3" s="120"/>
      <c r="NIS3" s="120"/>
      <c r="NIT3" s="120"/>
      <c r="NIU3" s="120"/>
      <c r="NIV3" s="120"/>
      <c r="NIW3" s="120"/>
      <c r="NIX3" s="120"/>
      <c r="NIY3" s="120"/>
      <c r="NIZ3" s="120"/>
      <c r="NJA3" s="120"/>
      <c r="NJB3" s="120"/>
      <c r="NJC3" s="120"/>
      <c r="NJD3" s="120"/>
      <c r="NJE3" s="120"/>
      <c r="NJF3" s="120"/>
      <c r="NJG3" s="120"/>
      <c r="NJH3" s="120"/>
      <c r="NJI3" s="120"/>
      <c r="NJJ3" s="120"/>
      <c r="NJK3" s="120"/>
      <c r="NJL3" s="120"/>
      <c r="NJM3" s="120"/>
      <c r="NJN3" s="120"/>
      <c r="NJO3" s="120"/>
      <c r="NJP3" s="120"/>
      <c r="NJQ3" s="120"/>
      <c r="NJR3" s="120"/>
      <c r="NJS3" s="120"/>
      <c r="NJT3" s="120"/>
      <c r="NJU3" s="120"/>
      <c r="NJV3" s="120"/>
      <c r="NJW3" s="120"/>
      <c r="NJX3" s="120"/>
      <c r="NJY3" s="120"/>
      <c r="NJZ3" s="120"/>
      <c r="NKA3" s="120"/>
      <c r="NKB3" s="120"/>
      <c r="NKC3" s="120"/>
      <c r="NKD3" s="120"/>
      <c r="NKE3" s="120"/>
      <c r="NKF3" s="120"/>
      <c r="NKG3" s="120"/>
      <c r="NKH3" s="120"/>
      <c r="NKI3" s="120"/>
      <c r="NKJ3" s="120"/>
      <c r="NKK3" s="120"/>
      <c r="NKL3" s="120"/>
      <c r="NKM3" s="120"/>
      <c r="NKN3" s="120"/>
      <c r="NKO3" s="120"/>
      <c r="NKP3" s="120"/>
      <c r="NKQ3" s="120"/>
      <c r="NKR3" s="120"/>
      <c r="NKS3" s="120"/>
      <c r="NKT3" s="120"/>
      <c r="NKU3" s="120"/>
      <c r="NKV3" s="120"/>
      <c r="NKW3" s="120"/>
      <c r="NKX3" s="120"/>
      <c r="NKY3" s="120"/>
      <c r="NKZ3" s="120"/>
      <c r="NLA3" s="120"/>
      <c r="NLB3" s="120"/>
      <c r="NLC3" s="120"/>
      <c r="NLD3" s="120"/>
      <c r="NLE3" s="120"/>
      <c r="NLF3" s="120"/>
      <c r="NLG3" s="120"/>
      <c r="NLH3" s="120"/>
      <c r="NLI3" s="120"/>
      <c r="NLJ3" s="120"/>
      <c r="NLK3" s="120"/>
      <c r="NLL3" s="120"/>
      <c r="NLM3" s="120"/>
      <c r="NLN3" s="120"/>
      <c r="NLO3" s="120"/>
      <c r="NLP3" s="120"/>
      <c r="NLQ3" s="120"/>
      <c r="NLR3" s="120"/>
      <c r="NLS3" s="120"/>
      <c r="NLT3" s="120"/>
      <c r="NLU3" s="120"/>
      <c r="NLV3" s="120"/>
      <c r="NLW3" s="120"/>
      <c r="NLX3" s="120"/>
      <c r="NLY3" s="120"/>
      <c r="NLZ3" s="120"/>
      <c r="NMA3" s="120"/>
      <c r="NMB3" s="120"/>
      <c r="NMC3" s="120"/>
      <c r="NMD3" s="120"/>
      <c r="NME3" s="120"/>
      <c r="NMF3" s="120"/>
      <c r="NMG3" s="120"/>
      <c r="NMH3" s="120"/>
      <c r="NMI3" s="120"/>
      <c r="NMJ3" s="120"/>
      <c r="NMK3" s="120"/>
      <c r="NML3" s="120"/>
      <c r="NMM3" s="120"/>
      <c r="NMN3" s="120"/>
      <c r="NMO3" s="120"/>
      <c r="NMP3" s="120"/>
      <c r="NMQ3" s="120"/>
      <c r="NMR3" s="120"/>
      <c r="NMS3" s="120"/>
      <c r="NMT3" s="120"/>
      <c r="NMU3" s="120"/>
      <c r="NMV3" s="120"/>
      <c r="NMW3" s="120"/>
      <c r="NMX3" s="120"/>
      <c r="NMY3" s="120"/>
      <c r="NMZ3" s="120"/>
      <c r="NNA3" s="120"/>
      <c r="NNB3" s="120"/>
      <c r="NNC3" s="120"/>
      <c r="NND3" s="120"/>
      <c r="NNE3" s="120"/>
      <c r="NNF3" s="120"/>
      <c r="NNG3" s="120"/>
      <c r="NNH3" s="120"/>
      <c r="NNI3" s="120"/>
      <c r="NNJ3" s="120"/>
      <c r="NNK3" s="120"/>
      <c r="NNL3" s="120"/>
      <c r="NNM3" s="120"/>
      <c r="NNN3" s="120"/>
      <c r="NNO3" s="120"/>
      <c r="NNP3" s="120"/>
      <c r="NNQ3" s="120"/>
      <c r="NNR3" s="120"/>
      <c r="NNS3" s="120"/>
      <c r="NNT3" s="120"/>
      <c r="NNU3" s="120"/>
      <c r="NNV3" s="120"/>
      <c r="NNW3" s="120"/>
      <c r="NNX3" s="120"/>
      <c r="NNY3" s="120"/>
      <c r="NNZ3" s="120"/>
      <c r="NOA3" s="120"/>
      <c r="NOB3" s="120"/>
      <c r="NOC3" s="120"/>
      <c r="NOD3" s="120"/>
      <c r="NOE3" s="120"/>
      <c r="NOF3" s="120"/>
      <c r="NOG3" s="120"/>
      <c r="NOH3" s="120"/>
      <c r="NOI3" s="120"/>
      <c r="NOJ3" s="120"/>
      <c r="NOK3" s="120"/>
      <c r="NOL3" s="120"/>
      <c r="NOM3" s="120"/>
      <c r="NON3" s="120"/>
      <c r="NOO3" s="120"/>
      <c r="NOP3" s="120"/>
      <c r="NOQ3" s="120"/>
      <c r="NOR3" s="120"/>
      <c r="NOS3" s="120"/>
      <c r="NOT3" s="120"/>
      <c r="NOU3" s="120"/>
      <c r="NOV3" s="120"/>
      <c r="NOW3" s="120"/>
      <c r="NOX3" s="120"/>
      <c r="NOY3" s="120"/>
      <c r="NOZ3" s="120"/>
      <c r="NPA3" s="120"/>
      <c r="NPB3" s="120"/>
      <c r="NPC3" s="120"/>
      <c r="NPD3" s="120"/>
      <c r="NPE3" s="120"/>
      <c r="NPF3" s="120"/>
      <c r="NPG3" s="120"/>
      <c r="NPH3" s="120"/>
      <c r="NPI3" s="120"/>
      <c r="NPJ3" s="120"/>
      <c r="NPK3" s="120"/>
      <c r="NPL3" s="120"/>
      <c r="NPM3" s="120"/>
      <c r="NPN3" s="120"/>
      <c r="NPO3" s="120"/>
      <c r="NPP3" s="120"/>
      <c r="NPQ3" s="120"/>
      <c r="NPR3" s="120"/>
      <c r="NPS3" s="120"/>
      <c r="NPT3" s="120"/>
      <c r="NPU3" s="120"/>
      <c r="NPV3" s="120"/>
      <c r="NPW3" s="120"/>
      <c r="NPX3" s="120"/>
      <c r="NPY3" s="120"/>
      <c r="NPZ3" s="120"/>
      <c r="NQA3" s="120"/>
      <c r="NQB3" s="120"/>
      <c r="NQC3" s="120"/>
      <c r="NQD3" s="120"/>
      <c r="NQE3" s="120"/>
      <c r="NQF3" s="120"/>
      <c r="NQG3" s="120"/>
      <c r="NQH3" s="120"/>
      <c r="NQI3" s="120"/>
      <c r="NQJ3" s="120"/>
      <c r="NQK3" s="120"/>
      <c r="NQL3" s="120"/>
      <c r="NQM3" s="120"/>
      <c r="NQN3" s="120"/>
      <c r="NQO3" s="120"/>
      <c r="NQP3" s="120"/>
      <c r="NQQ3" s="120"/>
      <c r="NQR3" s="120"/>
      <c r="NQS3" s="120"/>
      <c r="NQT3" s="120"/>
      <c r="NQU3" s="120"/>
      <c r="NQV3" s="120"/>
      <c r="NQW3" s="120"/>
      <c r="NQX3" s="120"/>
      <c r="NQY3" s="120"/>
      <c r="NQZ3" s="120"/>
      <c r="NRA3" s="120"/>
      <c r="NRB3" s="120"/>
      <c r="NRC3" s="120"/>
      <c r="NRD3" s="120"/>
      <c r="NRE3" s="120"/>
      <c r="NRF3" s="120"/>
      <c r="NRG3" s="120"/>
      <c r="NRH3" s="120"/>
      <c r="NRI3" s="120"/>
      <c r="NRJ3" s="120"/>
      <c r="NRK3" s="120"/>
      <c r="NRL3" s="120"/>
      <c r="NRM3" s="120"/>
      <c r="NRN3" s="120"/>
      <c r="NRO3" s="120"/>
      <c r="NRP3" s="120"/>
      <c r="NRQ3" s="120"/>
      <c r="NRR3" s="120"/>
      <c r="NRS3" s="120"/>
      <c r="NRT3" s="120"/>
      <c r="NRU3" s="120"/>
      <c r="NRV3" s="120"/>
      <c r="NRW3" s="120"/>
      <c r="NRX3" s="120"/>
      <c r="NRY3" s="120"/>
      <c r="NRZ3" s="120"/>
      <c r="NSA3" s="120"/>
      <c r="NSB3" s="120"/>
      <c r="NSC3" s="120"/>
      <c r="NSD3" s="120"/>
      <c r="NSE3" s="120"/>
      <c r="NSF3" s="120"/>
      <c r="NSG3" s="120"/>
      <c r="NSH3" s="120"/>
      <c r="NSI3" s="120"/>
      <c r="NSJ3" s="120"/>
      <c r="NSK3" s="120"/>
      <c r="NSL3" s="120"/>
      <c r="NSM3" s="120"/>
      <c r="NSN3" s="120"/>
      <c r="NSO3" s="120"/>
      <c r="NSP3" s="120"/>
      <c r="NSQ3" s="120"/>
      <c r="NSR3" s="120"/>
      <c r="NSS3" s="120"/>
      <c r="NST3" s="120"/>
      <c r="NSU3" s="120"/>
      <c r="NSV3" s="120"/>
      <c r="NSW3" s="120"/>
      <c r="NSX3" s="120"/>
      <c r="NSY3" s="120"/>
      <c r="NSZ3" s="120"/>
      <c r="NTA3" s="120"/>
      <c r="NTB3" s="120"/>
      <c r="NTC3" s="120"/>
      <c r="NTD3" s="120"/>
      <c r="NTE3" s="120"/>
      <c r="NTF3" s="120"/>
      <c r="NTG3" s="120"/>
      <c r="NTH3" s="120"/>
      <c r="NTI3" s="120"/>
      <c r="NTJ3" s="120"/>
      <c r="NTK3" s="120"/>
      <c r="NTL3" s="120"/>
      <c r="NTM3" s="120"/>
      <c r="NTN3" s="120"/>
      <c r="NTO3" s="120"/>
      <c r="NTP3" s="120"/>
      <c r="NTQ3" s="120"/>
      <c r="NTR3" s="120"/>
      <c r="NTS3" s="120"/>
      <c r="NTT3" s="120"/>
      <c r="NTU3" s="120"/>
      <c r="NTV3" s="120"/>
      <c r="NTW3" s="120"/>
      <c r="NTX3" s="120"/>
      <c r="NTY3" s="120"/>
      <c r="NTZ3" s="120"/>
      <c r="NUA3" s="120"/>
      <c r="NUB3" s="120"/>
      <c r="NUC3" s="120"/>
      <c r="NUD3" s="120"/>
      <c r="NUE3" s="120"/>
      <c r="NUF3" s="120"/>
      <c r="NUG3" s="120"/>
      <c r="NUH3" s="120"/>
      <c r="NUI3" s="120"/>
      <c r="NUJ3" s="120"/>
      <c r="NUK3" s="120"/>
      <c r="NUL3" s="120"/>
      <c r="NUM3" s="120"/>
      <c r="NUN3" s="120"/>
      <c r="NUO3" s="120"/>
      <c r="NUP3" s="120"/>
      <c r="NUQ3" s="120"/>
      <c r="NUR3" s="120"/>
      <c r="NUS3" s="120"/>
      <c r="NUT3" s="120"/>
      <c r="NUU3" s="120"/>
      <c r="NUV3" s="120"/>
      <c r="NUW3" s="120"/>
      <c r="NUX3" s="120"/>
      <c r="NUY3" s="120"/>
      <c r="NUZ3" s="120"/>
      <c r="NVA3" s="120"/>
      <c r="NVB3" s="120"/>
      <c r="NVC3" s="120"/>
      <c r="NVD3" s="120"/>
      <c r="NVE3" s="120"/>
      <c r="NVF3" s="120"/>
      <c r="NVG3" s="120"/>
      <c r="NVH3" s="120"/>
      <c r="NVI3" s="120"/>
      <c r="NVJ3" s="120"/>
      <c r="NVK3" s="120"/>
      <c r="NVL3" s="120"/>
      <c r="NVM3" s="120"/>
      <c r="NVN3" s="120"/>
      <c r="NVO3" s="120"/>
      <c r="NVP3" s="120"/>
      <c r="NVQ3" s="120"/>
      <c r="NVR3" s="120"/>
      <c r="NVS3" s="120"/>
      <c r="NVT3" s="120"/>
      <c r="NVU3" s="120"/>
      <c r="NVV3" s="120"/>
      <c r="NVW3" s="120"/>
      <c r="NVX3" s="120"/>
      <c r="NVY3" s="120"/>
      <c r="NVZ3" s="120"/>
      <c r="NWA3" s="120"/>
      <c r="NWB3" s="120"/>
      <c r="NWC3" s="120"/>
      <c r="NWD3" s="120"/>
      <c r="NWE3" s="120"/>
      <c r="NWF3" s="120"/>
      <c r="NWG3" s="120"/>
      <c r="NWH3" s="120"/>
      <c r="NWI3" s="120"/>
      <c r="NWJ3" s="120"/>
      <c r="NWK3" s="120"/>
      <c r="NWL3" s="120"/>
      <c r="NWM3" s="120"/>
      <c r="NWN3" s="120"/>
      <c r="NWO3" s="120"/>
      <c r="NWP3" s="120"/>
      <c r="NWQ3" s="120"/>
      <c r="NWR3" s="120"/>
      <c r="NWS3" s="120"/>
      <c r="NWT3" s="120"/>
      <c r="NWU3" s="120"/>
      <c r="NWV3" s="120"/>
      <c r="NWW3" s="120"/>
      <c r="NWX3" s="120"/>
      <c r="NWY3" s="120"/>
      <c r="NWZ3" s="120"/>
      <c r="NXA3" s="120"/>
      <c r="NXB3" s="120"/>
      <c r="NXC3" s="120"/>
      <c r="NXD3" s="120"/>
      <c r="NXE3" s="120"/>
      <c r="NXF3" s="120"/>
      <c r="NXG3" s="120"/>
      <c r="NXH3" s="120"/>
      <c r="NXI3" s="120"/>
      <c r="NXJ3" s="120"/>
      <c r="NXK3" s="120"/>
      <c r="NXL3" s="120"/>
      <c r="NXM3" s="120"/>
      <c r="NXN3" s="120"/>
      <c r="NXO3" s="120"/>
      <c r="NXP3" s="120"/>
      <c r="NXQ3" s="120"/>
      <c r="NXR3" s="120"/>
      <c r="NXS3" s="120"/>
      <c r="NXT3" s="120"/>
      <c r="NXU3" s="120"/>
      <c r="NXV3" s="120"/>
      <c r="NXW3" s="120"/>
      <c r="NXX3" s="120"/>
      <c r="NXY3" s="120"/>
      <c r="NXZ3" s="120"/>
      <c r="NYA3" s="120"/>
      <c r="NYB3" s="120"/>
      <c r="NYC3" s="120"/>
      <c r="NYD3" s="120"/>
      <c r="NYE3" s="120"/>
      <c r="NYF3" s="120"/>
      <c r="NYG3" s="120"/>
      <c r="NYH3" s="120"/>
      <c r="NYI3" s="120"/>
      <c r="NYJ3" s="120"/>
      <c r="NYK3" s="120"/>
      <c r="NYL3" s="120"/>
      <c r="NYM3" s="120"/>
      <c r="NYN3" s="120"/>
      <c r="NYO3" s="120"/>
      <c r="NYP3" s="120"/>
      <c r="NYQ3" s="120"/>
      <c r="NYR3" s="120"/>
      <c r="NYS3" s="120"/>
      <c r="NYT3" s="120"/>
      <c r="NYU3" s="120"/>
      <c r="NYV3" s="120"/>
      <c r="NYW3" s="120"/>
      <c r="NYX3" s="120"/>
      <c r="NYY3" s="120"/>
      <c r="NYZ3" s="120"/>
      <c r="NZA3" s="120"/>
      <c r="NZB3" s="120"/>
      <c r="NZC3" s="120"/>
      <c r="NZD3" s="120"/>
      <c r="NZE3" s="120"/>
      <c r="NZF3" s="120"/>
      <c r="NZG3" s="120"/>
      <c r="NZH3" s="120"/>
      <c r="NZI3" s="120"/>
      <c r="NZJ3" s="120"/>
      <c r="NZK3" s="120"/>
      <c r="NZL3" s="120"/>
      <c r="NZM3" s="120"/>
      <c r="NZN3" s="120"/>
      <c r="NZO3" s="120"/>
      <c r="NZP3" s="120"/>
      <c r="NZQ3" s="120"/>
      <c r="NZR3" s="120"/>
      <c r="NZS3" s="120"/>
      <c r="NZT3" s="120"/>
      <c r="NZU3" s="120"/>
      <c r="NZV3" s="120"/>
      <c r="NZW3" s="120"/>
      <c r="NZX3" s="120"/>
      <c r="NZY3" s="120"/>
      <c r="NZZ3" s="120"/>
      <c r="OAA3" s="120"/>
      <c r="OAB3" s="120"/>
      <c r="OAC3" s="120"/>
      <c r="OAD3" s="120"/>
      <c r="OAE3" s="120"/>
      <c r="OAF3" s="120"/>
      <c r="OAG3" s="120"/>
      <c r="OAH3" s="120"/>
      <c r="OAI3" s="120"/>
      <c r="OAJ3" s="120"/>
      <c r="OAK3" s="120"/>
      <c r="OAL3" s="120"/>
      <c r="OAM3" s="120"/>
      <c r="OAN3" s="120"/>
      <c r="OAO3" s="120"/>
      <c r="OAP3" s="120"/>
      <c r="OAQ3" s="120"/>
      <c r="OAR3" s="120"/>
      <c r="OAS3" s="120"/>
      <c r="OAT3" s="120"/>
      <c r="OAU3" s="120"/>
      <c r="OAV3" s="120"/>
      <c r="OAW3" s="120"/>
      <c r="OAX3" s="120"/>
      <c r="OAY3" s="120"/>
      <c r="OAZ3" s="120"/>
      <c r="OBA3" s="120"/>
      <c r="OBB3" s="120"/>
      <c r="OBC3" s="120"/>
      <c r="OBD3" s="120"/>
      <c r="OBE3" s="120"/>
      <c r="OBF3" s="120"/>
      <c r="OBG3" s="120"/>
      <c r="OBH3" s="120"/>
      <c r="OBI3" s="120"/>
      <c r="OBJ3" s="120"/>
      <c r="OBK3" s="120"/>
      <c r="OBL3" s="120"/>
      <c r="OBM3" s="120"/>
      <c r="OBN3" s="120"/>
      <c r="OBO3" s="120"/>
      <c r="OBP3" s="120"/>
      <c r="OBQ3" s="120"/>
      <c r="OBR3" s="120"/>
      <c r="OBS3" s="120"/>
      <c r="OBT3" s="120"/>
      <c r="OBU3" s="120"/>
      <c r="OBV3" s="120"/>
      <c r="OBW3" s="120"/>
      <c r="OBX3" s="120"/>
      <c r="OBY3" s="120"/>
      <c r="OBZ3" s="120"/>
      <c r="OCA3" s="120"/>
      <c r="OCB3" s="120"/>
      <c r="OCC3" s="120"/>
      <c r="OCD3" s="120"/>
      <c r="OCE3" s="120"/>
      <c r="OCF3" s="120"/>
      <c r="OCG3" s="120"/>
      <c r="OCH3" s="120"/>
      <c r="OCI3" s="120"/>
      <c r="OCJ3" s="120"/>
      <c r="OCK3" s="120"/>
      <c r="OCL3" s="120"/>
      <c r="OCM3" s="120"/>
      <c r="OCN3" s="120"/>
      <c r="OCO3" s="120"/>
      <c r="OCP3" s="120"/>
      <c r="OCQ3" s="120"/>
      <c r="OCR3" s="120"/>
      <c r="OCS3" s="120"/>
      <c r="OCT3" s="120"/>
      <c r="OCU3" s="120"/>
      <c r="OCV3" s="120"/>
      <c r="OCW3" s="120"/>
      <c r="OCX3" s="120"/>
      <c r="OCY3" s="120"/>
      <c r="OCZ3" s="120"/>
      <c r="ODA3" s="120"/>
      <c r="ODB3" s="120"/>
      <c r="ODC3" s="120"/>
      <c r="ODD3" s="120"/>
      <c r="ODE3" s="120"/>
      <c r="ODF3" s="120"/>
      <c r="ODG3" s="120"/>
      <c r="ODH3" s="120"/>
      <c r="ODI3" s="120"/>
      <c r="ODJ3" s="120"/>
      <c r="ODK3" s="120"/>
      <c r="ODL3" s="120"/>
      <c r="ODM3" s="120"/>
      <c r="ODN3" s="120"/>
      <c r="ODO3" s="120"/>
      <c r="ODP3" s="120"/>
      <c r="ODQ3" s="120"/>
      <c r="ODR3" s="120"/>
      <c r="ODS3" s="120"/>
      <c r="ODT3" s="120"/>
      <c r="ODU3" s="120"/>
      <c r="ODV3" s="120"/>
      <c r="ODW3" s="120"/>
      <c r="ODX3" s="120"/>
      <c r="ODY3" s="120"/>
      <c r="ODZ3" s="120"/>
      <c r="OEA3" s="120"/>
      <c r="OEB3" s="120"/>
      <c r="OEC3" s="120"/>
      <c r="OED3" s="120"/>
      <c r="OEE3" s="120"/>
      <c r="OEF3" s="120"/>
      <c r="OEG3" s="120"/>
      <c r="OEH3" s="120"/>
      <c r="OEI3" s="120"/>
      <c r="OEJ3" s="120"/>
      <c r="OEK3" s="120"/>
      <c r="OEL3" s="120"/>
      <c r="OEM3" s="120"/>
      <c r="OEN3" s="120"/>
      <c r="OEO3" s="120"/>
      <c r="OEP3" s="120"/>
      <c r="OEQ3" s="120"/>
      <c r="OER3" s="120"/>
      <c r="OES3" s="120"/>
      <c r="OET3" s="120"/>
      <c r="OEU3" s="120"/>
      <c r="OEV3" s="120"/>
      <c r="OEW3" s="120"/>
      <c r="OEX3" s="120"/>
      <c r="OEY3" s="120"/>
      <c r="OEZ3" s="120"/>
      <c r="OFA3" s="120"/>
      <c r="OFB3" s="120"/>
      <c r="OFC3" s="120"/>
      <c r="OFD3" s="120"/>
      <c r="OFE3" s="120"/>
      <c r="OFF3" s="120"/>
      <c r="OFG3" s="120"/>
      <c r="OFH3" s="120"/>
      <c r="OFI3" s="120"/>
      <c r="OFJ3" s="120"/>
      <c r="OFK3" s="120"/>
      <c r="OFL3" s="120"/>
      <c r="OFM3" s="120"/>
      <c r="OFN3" s="120"/>
      <c r="OFO3" s="120"/>
      <c r="OFP3" s="120"/>
      <c r="OFQ3" s="120"/>
      <c r="OFR3" s="120"/>
      <c r="OFS3" s="120"/>
      <c r="OFT3" s="120"/>
      <c r="OFU3" s="120"/>
      <c r="OFV3" s="120"/>
      <c r="OFW3" s="120"/>
      <c r="OFX3" s="120"/>
      <c r="OFY3" s="120"/>
      <c r="OFZ3" s="120"/>
      <c r="OGA3" s="120"/>
      <c r="OGB3" s="120"/>
      <c r="OGC3" s="120"/>
      <c r="OGD3" s="120"/>
      <c r="OGE3" s="120"/>
      <c r="OGF3" s="120"/>
      <c r="OGG3" s="120"/>
      <c r="OGH3" s="120"/>
      <c r="OGI3" s="120"/>
      <c r="OGJ3" s="120"/>
      <c r="OGK3" s="120"/>
      <c r="OGL3" s="120"/>
      <c r="OGM3" s="120"/>
      <c r="OGN3" s="120"/>
      <c r="OGO3" s="120"/>
      <c r="OGP3" s="120"/>
      <c r="OGQ3" s="120"/>
      <c r="OGR3" s="120"/>
      <c r="OGS3" s="120"/>
      <c r="OGT3" s="120"/>
      <c r="OGU3" s="120"/>
      <c r="OGV3" s="120"/>
      <c r="OGW3" s="120"/>
      <c r="OGX3" s="120"/>
      <c r="OGY3" s="120"/>
      <c r="OGZ3" s="120"/>
      <c r="OHA3" s="120"/>
      <c r="OHB3" s="120"/>
      <c r="OHC3" s="120"/>
      <c r="OHD3" s="120"/>
      <c r="OHE3" s="120"/>
      <c r="OHF3" s="120"/>
      <c r="OHG3" s="120"/>
      <c r="OHH3" s="120"/>
      <c r="OHI3" s="120"/>
      <c r="OHJ3" s="120"/>
      <c r="OHK3" s="120"/>
      <c r="OHL3" s="120"/>
      <c r="OHM3" s="120"/>
      <c r="OHN3" s="120"/>
      <c r="OHO3" s="120"/>
      <c r="OHP3" s="120"/>
      <c r="OHQ3" s="120"/>
      <c r="OHR3" s="120"/>
      <c r="OHS3" s="120"/>
      <c r="OHT3" s="120"/>
      <c r="OHU3" s="120"/>
      <c r="OHV3" s="120"/>
      <c r="OHW3" s="120"/>
      <c r="OHX3" s="120"/>
      <c r="OHY3" s="120"/>
      <c r="OHZ3" s="120"/>
      <c r="OIA3" s="120"/>
      <c r="OIB3" s="120"/>
      <c r="OIC3" s="120"/>
      <c r="OID3" s="120"/>
      <c r="OIE3" s="120"/>
      <c r="OIF3" s="120"/>
      <c r="OIG3" s="120"/>
      <c r="OIH3" s="120"/>
      <c r="OII3" s="120"/>
      <c r="OIJ3" s="120"/>
      <c r="OIK3" s="120"/>
      <c r="OIL3" s="120"/>
      <c r="OIM3" s="120"/>
      <c r="OIN3" s="120"/>
      <c r="OIO3" s="120"/>
      <c r="OIP3" s="120"/>
      <c r="OIQ3" s="120"/>
      <c r="OIR3" s="120"/>
      <c r="OIS3" s="120"/>
      <c r="OIT3" s="120"/>
      <c r="OIU3" s="120"/>
      <c r="OIV3" s="120"/>
      <c r="OIW3" s="120"/>
      <c r="OIX3" s="120"/>
      <c r="OIY3" s="120"/>
      <c r="OIZ3" s="120"/>
      <c r="OJA3" s="120"/>
      <c r="OJB3" s="120"/>
      <c r="OJC3" s="120"/>
      <c r="OJD3" s="120"/>
      <c r="OJE3" s="120"/>
      <c r="OJF3" s="120"/>
      <c r="OJG3" s="120"/>
      <c r="OJH3" s="120"/>
      <c r="OJI3" s="120"/>
      <c r="OJJ3" s="120"/>
      <c r="OJK3" s="120"/>
      <c r="OJL3" s="120"/>
      <c r="OJM3" s="120"/>
      <c r="OJN3" s="120"/>
      <c r="OJO3" s="120"/>
      <c r="OJP3" s="120"/>
      <c r="OJQ3" s="120"/>
      <c r="OJR3" s="120"/>
      <c r="OJS3" s="120"/>
      <c r="OJT3" s="120"/>
      <c r="OJU3" s="120"/>
      <c r="OJV3" s="120"/>
      <c r="OJW3" s="120"/>
      <c r="OJX3" s="120"/>
      <c r="OJY3" s="120"/>
      <c r="OJZ3" s="120"/>
      <c r="OKA3" s="120"/>
      <c r="OKB3" s="120"/>
      <c r="OKC3" s="120"/>
      <c r="OKD3" s="120"/>
      <c r="OKE3" s="120"/>
      <c r="OKF3" s="120"/>
      <c r="OKG3" s="120"/>
      <c r="OKH3" s="120"/>
      <c r="OKI3" s="120"/>
      <c r="OKJ3" s="120"/>
      <c r="OKK3" s="120"/>
      <c r="OKL3" s="120"/>
      <c r="OKM3" s="120"/>
      <c r="OKN3" s="120"/>
      <c r="OKO3" s="120"/>
      <c r="OKP3" s="120"/>
      <c r="OKQ3" s="120"/>
      <c r="OKR3" s="120"/>
      <c r="OKS3" s="120"/>
      <c r="OKT3" s="120"/>
      <c r="OKU3" s="120"/>
      <c r="OKV3" s="120"/>
      <c r="OKW3" s="120"/>
      <c r="OKX3" s="120"/>
      <c r="OKY3" s="120"/>
      <c r="OKZ3" s="120"/>
      <c r="OLA3" s="120"/>
      <c r="OLB3" s="120"/>
      <c r="OLC3" s="120"/>
      <c r="OLD3" s="120"/>
      <c r="OLE3" s="120"/>
      <c r="OLF3" s="120"/>
      <c r="OLG3" s="120"/>
      <c r="OLH3" s="120"/>
      <c r="OLI3" s="120"/>
      <c r="OLJ3" s="120"/>
      <c r="OLK3" s="120"/>
      <c r="OLL3" s="120"/>
      <c r="OLM3" s="120"/>
      <c r="OLN3" s="120"/>
      <c r="OLO3" s="120"/>
      <c r="OLP3" s="120"/>
      <c r="OLQ3" s="120"/>
      <c r="OLR3" s="120"/>
      <c r="OLS3" s="120"/>
      <c r="OLT3" s="120"/>
      <c r="OLU3" s="120"/>
      <c r="OLV3" s="120"/>
      <c r="OLW3" s="120"/>
      <c r="OLX3" s="120"/>
      <c r="OLY3" s="120"/>
      <c r="OLZ3" s="120"/>
      <c r="OMA3" s="120"/>
      <c r="OMB3" s="120"/>
      <c r="OMC3" s="120"/>
      <c r="OMD3" s="120"/>
      <c r="OME3" s="120"/>
      <c r="OMF3" s="120"/>
      <c r="OMG3" s="120"/>
      <c r="OMH3" s="120"/>
      <c r="OMI3" s="120"/>
      <c r="OMJ3" s="120"/>
      <c r="OMK3" s="120"/>
      <c r="OML3" s="120"/>
      <c r="OMM3" s="120"/>
      <c r="OMN3" s="120"/>
      <c r="OMO3" s="120"/>
      <c r="OMP3" s="120"/>
      <c r="OMQ3" s="120"/>
      <c r="OMR3" s="120"/>
      <c r="OMS3" s="120"/>
      <c r="OMT3" s="120"/>
      <c r="OMU3" s="120"/>
      <c r="OMV3" s="120"/>
      <c r="OMW3" s="120"/>
      <c r="OMX3" s="120"/>
      <c r="OMY3" s="120"/>
      <c r="OMZ3" s="120"/>
      <c r="ONA3" s="120"/>
      <c r="ONB3" s="120"/>
      <c r="ONC3" s="120"/>
      <c r="OND3" s="120"/>
      <c r="ONE3" s="120"/>
      <c r="ONF3" s="120"/>
      <c r="ONG3" s="120"/>
      <c r="ONH3" s="120"/>
      <c r="ONI3" s="120"/>
      <c r="ONJ3" s="120"/>
      <c r="ONK3" s="120"/>
      <c r="ONL3" s="120"/>
      <c r="ONM3" s="120"/>
      <c r="ONN3" s="120"/>
      <c r="ONO3" s="120"/>
      <c r="ONP3" s="120"/>
      <c r="ONQ3" s="120"/>
      <c r="ONR3" s="120"/>
      <c r="ONS3" s="120"/>
      <c r="ONT3" s="120"/>
      <c r="ONU3" s="120"/>
      <c r="ONV3" s="120"/>
      <c r="ONW3" s="120"/>
      <c r="ONX3" s="120"/>
      <c r="ONY3" s="120"/>
      <c r="ONZ3" s="120"/>
      <c r="OOA3" s="120"/>
      <c r="OOB3" s="120"/>
      <c r="OOC3" s="120"/>
      <c r="OOD3" s="120"/>
      <c r="OOE3" s="120"/>
      <c r="OOF3" s="120"/>
      <c r="OOG3" s="120"/>
      <c r="OOH3" s="120"/>
      <c r="OOI3" s="120"/>
      <c r="OOJ3" s="120"/>
      <c r="OOK3" s="120"/>
      <c r="OOL3" s="120"/>
      <c r="OOM3" s="120"/>
      <c r="OON3" s="120"/>
      <c r="OOO3" s="120"/>
      <c r="OOP3" s="120"/>
      <c r="OOQ3" s="120"/>
      <c r="OOR3" s="120"/>
      <c r="OOS3" s="120"/>
      <c r="OOT3" s="120"/>
      <c r="OOU3" s="120"/>
      <c r="OOV3" s="120"/>
      <c r="OOW3" s="120"/>
      <c r="OOX3" s="120"/>
      <c r="OOY3" s="120"/>
      <c r="OOZ3" s="120"/>
      <c r="OPA3" s="120"/>
      <c r="OPB3" s="120"/>
      <c r="OPC3" s="120"/>
      <c r="OPD3" s="120"/>
      <c r="OPE3" s="120"/>
      <c r="OPF3" s="120"/>
      <c r="OPG3" s="120"/>
      <c r="OPH3" s="120"/>
      <c r="OPI3" s="120"/>
      <c r="OPJ3" s="120"/>
      <c r="OPK3" s="120"/>
      <c r="OPL3" s="120"/>
      <c r="OPM3" s="120"/>
      <c r="OPN3" s="120"/>
      <c r="OPO3" s="120"/>
      <c r="OPP3" s="120"/>
      <c r="OPQ3" s="120"/>
      <c r="OPR3" s="120"/>
      <c r="OPS3" s="120"/>
      <c r="OPT3" s="120"/>
      <c r="OPU3" s="120"/>
      <c r="OPV3" s="120"/>
      <c r="OPW3" s="120"/>
      <c r="OPX3" s="120"/>
      <c r="OPY3" s="120"/>
      <c r="OPZ3" s="120"/>
      <c r="OQA3" s="120"/>
      <c r="OQB3" s="120"/>
      <c r="OQC3" s="120"/>
      <c r="OQD3" s="120"/>
      <c r="OQE3" s="120"/>
      <c r="OQF3" s="120"/>
      <c r="OQG3" s="120"/>
      <c r="OQH3" s="120"/>
      <c r="OQI3" s="120"/>
      <c r="OQJ3" s="120"/>
      <c r="OQK3" s="120"/>
      <c r="OQL3" s="120"/>
      <c r="OQM3" s="120"/>
      <c r="OQN3" s="120"/>
      <c r="OQO3" s="120"/>
      <c r="OQP3" s="120"/>
      <c r="OQQ3" s="120"/>
      <c r="OQR3" s="120"/>
      <c r="OQS3" s="120"/>
      <c r="OQT3" s="120"/>
      <c r="OQU3" s="120"/>
      <c r="OQV3" s="120"/>
      <c r="OQW3" s="120"/>
      <c r="OQX3" s="120"/>
      <c r="OQY3" s="120"/>
      <c r="OQZ3" s="120"/>
      <c r="ORA3" s="120"/>
      <c r="ORB3" s="120"/>
      <c r="ORC3" s="120"/>
      <c r="ORD3" s="120"/>
      <c r="ORE3" s="120"/>
      <c r="ORF3" s="120"/>
      <c r="ORG3" s="120"/>
      <c r="ORH3" s="120"/>
      <c r="ORI3" s="120"/>
      <c r="ORJ3" s="120"/>
      <c r="ORK3" s="120"/>
      <c r="ORL3" s="120"/>
      <c r="ORM3" s="120"/>
      <c r="ORN3" s="120"/>
      <c r="ORO3" s="120"/>
      <c r="ORP3" s="120"/>
      <c r="ORQ3" s="120"/>
      <c r="ORR3" s="120"/>
      <c r="ORS3" s="120"/>
      <c r="ORT3" s="120"/>
      <c r="ORU3" s="120"/>
      <c r="ORV3" s="120"/>
      <c r="ORW3" s="120"/>
      <c r="ORX3" s="120"/>
      <c r="ORY3" s="120"/>
      <c r="ORZ3" s="120"/>
      <c r="OSA3" s="120"/>
      <c r="OSB3" s="120"/>
      <c r="OSC3" s="120"/>
      <c r="OSD3" s="120"/>
      <c r="OSE3" s="120"/>
      <c r="OSF3" s="120"/>
      <c r="OSG3" s="120"/>
      <c r="OSH3" s="120"/>
      <c r="OSI3" s="120"/>
      <c r="OSJ3" s="120"/>
      <c r="OSK3" s="120"/>
      <c r="OSL3" s="120"/>
      <c r="OSM3" s="120"/>
      <c r="OSN3" s="120"/>
      <c r="OSO3" s="120"/>
      <c r="OSP3" s="120"/>
      <c r="OSQ3" s="120"/>
      <c r="OSR3" s="120"/>
      <c r="OSS3" s="120"/>
      <c r="OST3" s="120"/>
      <c r="OSU3" s="120"/>
      <c r="OSV3" s="120"/>
      <c r="OSW3" s="120"/>
      <c r="OSX3" s="120"/>
      <c r="OSY3" s="120"/>
      <c r="OSZ3" s="120"/>
      <c r="OTA3" s="120"/>
      <c r="OTB3" s="120"/>
      <c r="OTC3" s="120"/>
      <c r="OTD3" s="120"/>
      <c r="OTE3" s="120"/>
      <c r="OTF3" s="120"/>
      <c r="OTG3" s="120"/>
      <c r="OTH3" s="120"/>
      <c r="OTI3" s="120"/>
      <c r="OTJ3" s="120"/>
      <c r="OTK3" s="120"/>
      <c r="OTL3" s="120"/>
      <c r="OTM3" s="120"/>
      <c r="OTN3" s="120"/>
      <c r="OTO3" s="120"/>
      <c r="OTP3" s="120"/>
      <c r="OTQ3" s="120"/>
      <c r="OTR3" s="120"/>
      <c r="OTS3" s="120"/>
      <c r="OTT3" s="120"/>
      <c r="OTU3" s="120"/>
      <c r="OTV3" s="120"/>
      <c r="OTW3" s="120"/>
      <c r="OTX3" s="120"/>
      <c r="OTY3" s="120"/>
      <c r="OTZ3" s="120"/>
      <c r="OUA3" s="120"/>
      <c r="OUB3" s="120"/>
      <c r="OUC3" s="120"/>
      <c r="OUD3" s="120"/>
      <c r="OUE3" s="120"/>
      <c r="OUF3" s="120"/>
      <c r="OUG3" s="120"/>
      <c r="OUH3" s="120"/>
      <c r="OUI3" s="120"/>
      <c r="OUJ3" s="120"/>
      <c r="OUK3" s="120"/>
      <c r="OUL3" s="120"/>
      <c r="OUM3" s="120"/>
      <c r="OUN3" s="120"/>
      <c r="OUO3" s="120"/>
      <c r="OUP3" s="120"/>
      <c r="OUQ3" s="120"/>
      <c r="OUR3" s="120"/>
      <c r="OUS3" s="120"/>
      <c r="OUT3" s="120"/>
      <c r="OUU3" s="120"/>
      <c r="OUV3" s="120"/>
      <c r="OUW3" s="120"/>
      <c r="OUX3" s="120"/>
      <c r="OUY3" s="120"/>
      <c r="OUZ3" s="120"/>
      <c r="OVA3" s="120"/>
      <c r="OVB3" s="120"/>
      <c r="OVC3" s="120"/>
      <c r="OVD3" s="120"/>
      <c r="OVE3" s="120"/>
      <c r="OVF3" s="120"/>
      <c r="OVG3" s="120"/>
      <c r="OVH3" s="120"/>
      <c r="OVI3" s="120"/>
      <c r="OVJ3" s="120"/>
      <c r="OVK3" s="120"/>
      <c r="OVL3" s="120"/>
      <c r="OVM3" s="120"/>
      <c r="OVN3" s="120"/>
      <c r="OVO3" s="120"/>
      <c r="OVP3" s="120"/>
      <c r="OVQ3" s="120"/>
      <c r="OVR3" s="120"/>
      <c r="OVS3" s="120"/>
      <c r="OVT3" s="120"/>
      <c r="OVU3" s="120"/>
      <c r="OVV3" s="120"/>
      <c r="OVW3" s="120"/>
      <c r="OVX3" s="120"/>
      <c r="OVY3" s="120"/>
      <c r="OVZ3" s="120"/>
      <c r="OWA3" s="120"/>
      <c r="OWB3" s="120"/>
      <c r="OWC3" s="120"/>
      <c r="OWD3" s="120"/>
      <c r="OWE3" s="120"/>
      <c r="OWF3" s="120"/>
      <c r="OWG3" s="120"/>
      <c r="OWH3" s="120"/>
      <c r="OWI3" s="120"/>
      <c r="OWJ3" s="120"/>
      <c r="OWK3" s="120"/>
      <c r="OWL3" s="120"/>
      <c r="OWM3" s="120"/>
      <c r="OWN3" s="120"/>
      <c r="OWO3" s="120"/>
      <c r="OWP3" s="120"/>
      <c r="OWQ3" s="120"/>
      <c r="OWR3" s="120"/>
      <c r="OWS3" s="120"/>
      <c r="OWT3" s="120"/>
      <c r="OWU3" s="120"/>
      <c r="OWV3" s="120"/>
      <c r="OWW3" s="120"/>
      <c r="OWX3" s="120"/>
      <c r="OWY3" s="120"/>
      <c r="OWZ3" s="120"/>
      <c r="OXA3" s="120"/>
      <c r="OXB3" s="120"/>
      <c r="OXC3" s="120"/>
      <c r="OXD3" s="120"/>
      <c r="OXE3" s="120"/>
      <c r="OXF3" s="120"/>
      <c r="OXG3" s="120"/>
      <c r="OXH3" s="120"/>
      <c r="OXI3" s="120"/>
      <c r="OXJ3" s="120"/>
      <c r="OXK3" s="120"/>
      <c r="OXL3" s="120"/>
      <c r="OXM3" s="120"/>
      <c r="OXN3" s="120"/>
      <c r="OXO3" s="120"/>
      <c r="OXP3" s="120"/>
      <c r="OXQ3" s="120"/>
      <c r="OXR3" s="120"/>
      <c r="OXS3" s="120"/>
      <c r="OXT3" s="120"/>
      <c r="OXU3" s="120"/>
      <c r="OXV3" s="120"/>
      <c r="OXW3" s="120"/>
      <c r="OXX3" s="120"/>
      <c r="OXY3" s="120"/>
      <c r="OXZ3" s="120"/>
      <c r="OYA3" s="120"/>
      <c r="OYB3" s="120"/>
      <c r="OYC3" s="120"/>
      <c r="OYD3" s="120"/>
      <c r="OYE3" s="120"/>
      <c r="OYF3" s="120"/>
      <c r="OYG3" s="120"/>
      <c r="OYH3" s="120"/>
      <c r="OYI3" s="120"/>
      <c r="OYJ3" s="120"/>
      <c r="OYK3" s="120"/>
      <c r="OYL3" s="120"/>
      <c r="OYM3" s="120"/>
      <c r="OYN3" s="120"/>
      <c r="OYO3" s="120"/>
      <c r="OYP3" s="120"/>
      <c r="OYQ3" s="120"/>
      <c r="OYR3" s="120"/>
      <c r="OYS3" s="120"/>
      <c r="OYT3" s="120"/>
      <c r="OYU3" s="120"/>
      <c r="OYV3" s="120"/>
      <c r="OYW3" s="120"/>
      <c r="OYX3" s="120"/>
      <c r="OYY3" s="120"/>
      <c r="OYZ3" s="120"/>
      <c r="OZA3" s="120"/>
      <c r="OZB3" s="120"/>
      <c r="OZC3" s="120"/>
      <c r="OZD3" s="120"/>
      <c r="OZE3" s="120"/>
      <c r="OZF3" s="120"/>
      <c r="OZG3" s="120"/>
      <c r="OZH3" s="120"/>
      <c r="OZI3" s="120"/>
      <c r="OZJ3" s="120"/>
      <c r="OZK3" s="120"/>
      <c r="OZL3" s="120"/>
      <c r="OZM3" s="120"/>
      <c r="OZN3" s="120"/>
      <c r="OZO3" s="120"/>
      <c r="OZP3" s="120"/>
      <c r="OZQ3" s="120"/>
      <c r="OZR3" s="120"/>
      <c r="OZS3" s="120"/>
      <c r="OZT3" s="120"/>
      <c r="OZU3" s="120"/>
      <c r="OZV3" s="120"/>
      <c r="OZW3" s="120"/>
      <c r="OZX3" s="120"/>
      <c r="OZY3" s="120"/>
      <c r="OZZ3" s="120"/>
      <c r="PAA3" s="120"/>
      <c r="PAB3" s="120"/>
      <c r="PAC3" s="120"/>
      <c r="PAD3" s="120"/>
      <c r="PAE3" s="120"/>
      <c r="PAF3" s="120"/>
      <c r="PAG3" s="120"/>
      <c r="PAH3" s="120"/>
      <c r="PAI3" s="120"/>
      <c r="PAJ3" s="120"/>
      <c r="PAK3" s="120"/>
      <c r="PAL3" s="120"/>
      <c r="PAM3" s="120"/>
      <c r="PAN3" s="120"/>
      <c r="PAO3" s="120"/>
      <c r="PAP3" s="120"/>
      <c r="PAQ3" s="120"/>
      <c r="PAR3" s="120"/>
      <c r="PAS3" s="120"/>
      <c r="PAT3" s="120"/>
      <c r="PAU3" s="120"/>
      <c r="PAV3" s="120"/>
      <c r="PAW3" s="120"/>
      <c r="PAX3" s="120"/>
      <c r="PAY3" s="120"/>
      <c r="PAZ3" s="120"/>
      <c r="PBA3" s="120"/>
      <c r="PBB3" s="120"/>
      <c r="PBC3" s="120"/>
      <c r="PBD3" s="120"/>
      <c r="PBE3" s="120"/>
      <c r="PBF3" s="120"/>
      <c r="PBG3" s="120"/>
      <c r="PBH3" s="120"/>
      <c r="PBI3" s="120"/>
      <c r="PBJ3" s="120"/>
      <c r="PBK3" s="120"/>
      <c r="PBL3" s="120"/>
      <c r="PBM3" s="120"/>
      <c r="PBN3" s="120"/>
      <c r="PBO3" s="120"/>
      <c r="PBP3" s="120"/>
      <c r="PBQ3" s="120"/>
      <c r="PBR3" s="120"/>
      <c r="PBS3" s="120"/>
      <c r="PBT3" s="120"/>
      <c r="PBU3" s="120"/>
      <c r="PBV3" s="120"/>
      <c r="PBW3" s="120"/>
      <c r="PBX3" s="120"/>
      <c r="PBY3" s="120"/>
      <c r="PBZ3" s="120"/>
      <c r="PCA3" s="120"/>
      <c r="PCB3" s="120"/>
      <c r="PCC3" s="120"/>
      <c r="PCD3" s="120"/>
      <c r="PCE3" s="120"/>
      <c r="PCF3" s="120"/>
      <c r="PCG3" s="120"/>
      <c r="PCH3" s="120"/>
      <c r="PCI3" s="120"/>
      <c r="PCJ3" s="120"/>
      <c r="PCK3" s="120"/>
      <c r="PCL3" s="120"/>
      <c r="PCM3" s="120"/>
      <c r="PCN3" s="120"/>
      <c r="PCO3" s="120"/>
      <c r="PCP3" s="120"/>
      <c r="PCQ3" s="120"/>
      <c r="PCR3" s="120"/>
      <c r="PCS3" s="120"/>
      <c r="PCT3" s="120"/>
      <c r="PCU3" s="120"/>
      <c r="PCV3" s="120"/>
      <c r="PCW3" s="120"/>
      <c r="PCX3" s="120"/>
      <c r="PCY3" s="120"/>
      <c r="PCZ3" s="120"/>
      <c r="PDA3" s="120"/>
      <c r="PDB3" s="120"/>
      <c r="PDC3" s="120"/>
      <c r="PDD3" s="120"/>
      <c r="PDE3" s="120"/>
      <c r="PDF3" s="120"/>
      <c r="PDG3" s="120"/>
      <c r="PDH3" s="120"/>
      <c r="PDI3" s="120"/>
      <c r="PDJ3" s="120"/>
      <c r="PDK3" s="120"/>
      <c r="PDL3" s="120"/>
      <c r="PDM3" s="120"/>
      <c r="PDN3" s="120"/>
      <c r="PDO3" s="120"/>
      <c r="PDP3" s="120"/>
      <c r="PDQ3" s="120"/>
      <c r="PDR3" s="120"/>
      <c r="PDS3" s="120"/>
      <c r="PDT3" s="120"/>
      <c r="PDU3" s="120"/>
      <c r="PDV3" s="120"/>
      <c r="PDW3" s="120"/>
      <c r="PDX3" s="120"/>
      <c r="PDY3" s="120"/>
      <c r="PDZ3" s="120"/>
      <c r="PEA3" s="120"/>
      <c r="PEB3" s="120"/>
      <c r="PEC3" s="120"/>
      <c r="PED3" s="120"/>
      <c r="PEE3" s="120"/>
      <c r="PEF3" s="120"/>
      <c r="PEG3" s="120"/>
      <c r="PEH3" s="120"/>
      <c r="PEI3" s="120"/>
      <c r="PEJ3" s="120"/>
      <c r="PEK3" s="120"/>
      <c r="PEL3" s="120"/>
      <c r="PEM3" s="120"/>
      <c r="PEN3" s="120"/>
      <c r="PEO3" s="120"/>
      <c r="PEP3" s="120"/>
      <c r="PEQ3" s="120"/>
      <c r="PER3" s="120"/>
      <c r="PES3" s="120"/>
      <c r="PET3" s="120"/>
      <c r="PEU3" s="120"/>
      <c r="PEV3" s="120"/>
      <c r="PEW3" s="120"/>
      <c r="PEX3" s="120"/>
      <c r="PEY3" s="120"/>
      <c r="PEZ3" s="120"/>
      <c r="PFA3" s="120"/>
      <c r="PFB3" s="120"/>
      <c r="PFC3" s="120"/>
      <c r="PFD3" s="120"/>
      <c r="PFE3" s="120"/>
      <c r="PFF3" s="120"/>
      <c r="PFG3" s="120"/>
      <c r="PFH3" s="120"/>
      <c r="PFI3" s="120"/>
      <c r="PFJ3" s="120"/>
      <c r="PFK3" s="120"/>
      <c r="PFL3" s="120"/>
      <c r="PFM3" s="120"/>
      <c r="PFN3" s="120"/>
      <c r="PFO3" s="120"/>
      <c r="PFP3" s="120"/>
      <c r="PFQ3" s="120"/>
      <c r="PFR3" s="120"/>
      <c r="PFS3" s="120"/>
      <c r="PFT3" s="120"/>
      <c r="PFU3" s="120"/>
      <c r="PFV3" s="120"/>
      <c r="PFW3" s="120"/>
      <c r="PFX3" s="120"/>
      <c r="PFY3" s="120"/>
      <c r="PFZ3" s="120"/>
      <c r="PGA3" s="120"/>
      <c r="PGB3" s="120"/>
      <c r="PGC3" s="120"/>
      <c r="PGD3" s="120"/>
      <c r="PGE3" s="120"/>
      <c r="PGF3" s="120"/>
      <c r="PGG3" s="120"/>
      <c r="PGH3" s="120"/>
      <c r="PGI3" s="120"/>
      <c r="PGJ3" s="120"/>
      <c r="PGK3" s="120"/>
      <c r="PGL3" s="120"/>
      <c r="PGM3" s="120"/>
      <c r="PGN3" s="120"/>
      <c r="PGO3" s="120"/>
      <c r="PGP3" s="120"/>
      <c r="PGQ3" s="120"/>
      <c r="PGR3" s="120"/>
      <c r="PGS3" s="120"/>
      <c r="PGT3" s="120"/>
      <c r="PGU3" s="120"/>
      <c r="PGV3" s="120"/>
      <c r="PGW3" s="120"/>
      <c r="PGX3" s="120"/>
      <c r="PGY3" s="120"/>
      <c r="PGZ3" s="120"/>
      <c r="PHA3" s="120"/>
      <c r="PHB3" s="120"/>
      <c r="PHC3" s="120"/>
      <c r="PHD3" s="120"/>
      <c r="PHE3" s="120"/>
      <c r="PHF3" s="120"/>
      <c r="PHG3" s="120"/>
      <c r="PHH3" s="120"/>
      <c r="PHI3" s="120"/>
      <c r="PHJ3" s="120"/>
      <c r="PHK3" s="120"/>
      <c r="PHL3" s="120"/>
      <c r="PHM3" s="120"/>
      <c r="PHN3" s="120"/>
      <c r="PHO3" s="120"/>
      <c r="PHP3" s="120"/>
      <c r="PHQ3" s="120"/>
      <c r="PHR3" s="120"/>
      <c r="PHS3" s="120"/>
      <c r="PHT3" s="120"/>
      <c r="PHU3" s="120"/>
      <c r="PHV3" s="120"/>
      <c r="PHW3" s="120"/>
      <c r="PHX3" s="120"/>
      <c r="PHY3" s="120"/>
      <c r="PHZ3" s="120"/>
      <c r="PIA3" s="120"/>
      <c r="PIB3" s="120"/>
      <c r="PIC3" s="120"/>
      <c r="PID3" s="120"/>
      <c r="PIE3" s="120"/>
      <c r="PIF3" s="120"/>
      <c r="PIG3" s="120"/>
      <c r="PIH3" s="120"/>
      <c r="PII3" s="120"/>
      <c r="PIJ3" s="120"/>
      <c r="PIK3" s="120"/>
      <c r="PIL3" s="120"/>
      <c r="PIM3" s="120"/>
      <c r="PIN3" s="120"/>
      <c r="PIO3" s="120"/>
      <c r="PIP3" s="120"/>
      <c r="PIQ3" s="120"/>
      <c r="PIR3" s="120"/>
      <c r="PIS3" s="120"/>
      <c r="PIT3" s="120"/>
      <c r="PIU3" s="120"/>
      <c r="PIV3" s="120"/>
      <c r="PIW3" s="120"/>
      <c r="PIX3" s="120"/>
      <c r="PIY3" s="120"/>
      <c r="PIZ3" s="120"/>
      <c r="PJA3" s="120"/>
      <c r="PJB3" s="120"/>
      <c r="PJC3" s="120"/>
      <c r="PJD3" s="120"/>
      <c r="PJE3" s="120"/>
      <c r="PJF3" s="120"/>
      <c r="PJG3" s="120"/>
      <c r="PJH3" s="120"/>
      <c r="PJI3" s="120"/>
      <c r="PJJ3" s="120"/>
      <c r="PJK3" s="120"/>
      <c r="PJL3" s="120"/>
      <c r="PJM3" s="120"/>
      <c r="PJN3" s="120"/>
      <c r="PJO3" s="120"/>
      <c r="PJP3" s="120"/>
      <c r="PJQ3" s="120"/>
      <c r="PJR3" s="120"/>
      <c r="PJS3" s="120"/>
      <c r="PJT3" s="120"/>
      <c r="PJU3" s="120"/>
      <c r="PJV3" s="120"/>
      <c r="PJW3" s="120"/>
      <c r="PJX3" s="120"/>
      <c r="PJY3" s="120"/>
      <c r="PJZ3" s="120"/>
      <c r="PKA3" s="120"/>
      <c r="PKB3" s="120"/>
      <c r="PKC3" s="120"/>
      <c r="PKD3" s="120"/>
      <c r="PKE3" s="120"/>
      <c r="PKF3" s="120"/>
      <c r="PKG3" s="120"/>
      <c r="PKH3" s="120"/>
      <c r="PKI3" s="120"/>
      <c r="PKJ3" s="120"/>
      <c r="PKK3" s="120"/>
      <c r="PKL3" s="120"/>
      <c r="PKM3" s="120"/>
      <c r="PKN3" s="120"/>
      <c r="PKO3" s="120"/>
      <c r="PKP3" s="120"/>
      <c r="PKQ3" s="120"/>
      <c r="PKR3" s="120"/>
      <c r="PKS3" s="120"/>
      <c r="PKT3" s="120"/>
      <c r="PKU3" s="120"/>
      <c r="PKV3" s="120"/>
      <c r="PKW3" s="120"/>
      <c r="PKX3" s="120"/>
      <c r="PKY3" s="120"/>
      <c r="PKZ3" s="120"/>
      <c r="PLA3" s="120"/>
      <c r="PLB3" s="120"/>
      <c r="PLC3" s="120"/>
      <c r="PLD3" s="120"/>
      <c r="PLE3" s="120"/>
      <c r="PLF3" s="120"/>
      <c r="PLG3" s="120"/>
      <c r="PLH3" s="120"/>
      <c r="PLI3" s="120"/>
      <c r="PLJ3" s="120"/>
      <c r="PLK3" s="120"/>
      <c r="PLL3" s="120"/>
      <c r="PLM3" s="120"/>
      <c r="PLN3" s="120"/>
      <c r="PLO3" s="120"/>
      <c r="PLP3" s="120"/>
      <c r="PLQ3" s="120"/>
      <c r="PLR3" s="120"/>
      <c r="PLS3" s="120"/>
      <c r="PLT3" s="120"/>
      <c r="PLU3" s="120"/>
      <c r="PLV3" s="120"/>
      <c r="PLW3" s="120"/>
      <c r="PLX3" s="120"/>
      <c r="PLY3" s="120"/>
      <c r="PLZ3" s="120"/>
      <c r="PMA3" s="120"/>
      <c r="PMB3" s="120"/>
      <c r="PMC3" s="120"/>
      <c r="PMD3" s="120"/>
      <c r="PME3" s="120"/>
      <c r="PMF3" s="120"/>
      <c r="PMG3" s="120"/>
      <c r="PMH3" s="120"/>
      <c r="PMI3" s="120"/>
      <c r="PMJ3" s="120"/>
      <c r="PMK3" s="120"/>
      <c r="PML3" s="120"/>
      <c r="PMM3" s="120"/>
      <c r="PMN3" s="120"/>
      <c r="PMO3" s="120"/>
      <c r="PMP3" s="120"/>
      <c r="PMQ3" s="120"/>
      <c r="PMR3" s="120"/>
      <c r="PMS3" s="120"/>
      <c r="PMT3" s="120"/>
      <c r="PMU3" s="120"/>
      <c r="PMV3" s="120"/>
      <c r="PMW3" s="120"/>
      <c r="PMX3" s="120"/>
      <c r="PMY3" s="120"/>
      <c r="PMZ3" s="120"/>
      <c r="PNA3" s="120"/>
      <c r="PNB3" s="120"/>
      <c r="PNC3" s="120"/>
      <c r="PND3" s="120"/>
      <c r="PNE3" s="120"/>
      <c r="PNF3" s="120"/>
      <c r="PNG3" s="120"/>
      <c r="PNH3" s="120"/>
      <c r="PNI3" s="120"/>
      <c r="PNJ3" s="120"/>
      <c r="PNK3" s="120"/>
      <c r="PNL3" s="120"/>
      <c r="PNM3" s="120"/>
      <c r="PNN3" s="120"/>
      <c r="PNO3" s="120"/>
      <c r="PNP3" s="120"/>
      <c r="PNQ3" s="120"/>
      <c r="PNR3" s="120"/>
      <c r="PNS3" s="120"/>
      <c r="PNT3" s="120"/>
      <c r="PNU3" s="120"/>
      <c r="PNV3" s="120"/>
      <c r="PNW3" s="120"/>
      <c r="PNX3" s="120"/>
      <c r="PNY3" s="120"/>
      <c r="PNZ3" s="120"/>
      <c r="POA3" s="120"/>
      <c r="POB3" s="120"/>
      <c r="POC3" s="120"/>
      <c r="POD3" s="120"/>
      <c r="POE3" s="120"/>
      <c r="POF3" s="120"/>
      <c r="POG3" s="120"/>
      <c r="POH3" s="120"/>
      <c r="POI3" s="120"/>
      <c r="POJ3" s="120"/>
      <c r="POK3" s="120"/>
      <c r="POL3" s="120"/>
      <c r="POM3" s="120"/>
      <c r="PON3" s="120"/>
      <c r="POO3" s="120"/>
      <c r="POP3" s="120"/>
      <c r="POQ3" s="120"/>
      <c r="POR3" s="120"/>
      <c r="POS3" s="120"/>
      <c r="POT3" s="120"/>
      <c r="POU3" s="120"/>
      <c r="POV3" s="120"/>
      <c r="POW3" s="120"/>
      <c r="POX3" s="120"/>
      <c r="POY3" s="120"/>
      <c r="POZ3" s="120"/>
      <c r="PPA3" s="120"/>
      <c r="PPB3" s="120"/>
      <c r="PPC3" s="120"/>
      <c r="PPD3" s="120"/>
      <c r="PPE3" s="120"/>
      <c r="PPF3" s="120"/>
      <c r="PPG3" s="120"/>
      <c r="PPH3" s="120"/>
      <c r="PPI3" s="120"/>
      <c r="PPJ3" s="120"/>
      <c r="PPK3" s="120"/>
      <c r="PPL3" s="120"/>
      <c r="PPM3" s="120"/>
      <c r="PPN3" s="120"/>
      <c r="PPO3" s="120"/>
      <c r="PPP3" s="120"/>
      <c r="PPQ3" s="120"/>
      <c r="PPR3" s="120"/>
      <c r="PPS3" s="120"/>
      <c r="PPT3" s="120"/>
      <c r="PPU3" s="120"/>
      <c r="PPV3" s="120"/>
      <c r="PPW3" s="120"/>
      <c r="PPX3" s="120"/>
      <c r="PPY3" s="120"/>
      <c r="PPZ3" s="120"/>
      <c r="PQA3" s="120"/>
      <c r="PQB3" s="120"/>
      <c r="PQC3" s="120"/>
      <c r="PQD3" s="120"/>
      <c r="PQE3" s="120"/>
      <c r="PQF3" s="120"/>
      <c r="PQG3" s="120"/>
      <c r="PQH3" s="120"/>
      <c r="PQI3" s="120"/>
      <c r="PQJ3" s="120"/>
      <c r="PQK3" s="120"/>
      <c r="PQL3" s="120"/>
      <c r="PQM3" s="120"/>
      <c r="PQN3" s="120"/>
      <c r="PQO3" s="120"/>
      <c r="PQP3" s="120"/>
      <c r="PQQ3" s="120"/>
      <c r="PQR3" s="120"/>
      <c r="PQS3" s="120"/>
      <c r="PQT3" s="120"/>
      <c r="PQU3" s="120"/>
      <c r="PQV3" s="120"/>
      <c r="PQW3" s="120"/>
      <c r="PQX3" s="120"/>
      <c r="PQY3" s="120"/>
      <c r="PQZ3" s="120"/>
      <c r="PRA3" s="120"/>
      <c r="PRB3" s="120"/>
      <c r="PRC3" s="120"/>
      <c r="PRD3" s="120"/>
      <c r="PRE3" s="120"/>
      <c r="PRF3" s="120"/>
      <c r="PRG3" s="120"/>
      <c r="PRH3" s="120"/>
      <c r="PRI3" s="120"/>
      <c r="PRJ3" s="120"/>
      <c r="PRK3" s="120"/>
      <c r="PRL3" s="120"/>
      <c r="PRM3" s="120"/>
      <c r="PRN3" s="120"/>
      <c r="PRO3" s="120"/>
      <c r="PRP3" s="120"/>
      <c r="PRQ3" s="120"/>
      <c r="PRR3" s="120"/>
      <c r="PRS3" s="120"/>
      <c r="PRT3" s="120"/>
      <c r="PRU3" s="120"/>
      <c r="PRV3" s="120"/>
      <c r="PRW3" s="120"/>
      <c r="PRX3" s="120"/>
      <c r="PRY3" s="120"/>
      <c r="PRZ3" s="120"/>
      <c r="PSA3" s="120"/>
      <c r="PSB3" s="120"/>
      <c r="PSC3" s="120"/>
      <c r="PSD3" s="120"/>
      <c r="PSE3" s="120"/>
      <c r="PSF3" s="120"/>
      <c r="PSG3" s="120"/>
      <c r="PSH3" s="120"/>
      <c r="PSI3" s="120"/>
      <c r="PSJ3" s="120"/>
      <c r="PSK3" s="120"/>
      <c r="PSL3" s="120"/>
      <c r="PSM3" s="120"/>
      <c r="PSN3" s="120"/>
      <c r="PSO3" s="120"/>
      <c r="PSP3" s="120"/>
      <c r="PSQ3" s="120"/>
      <c r="PSR3" s="120"/>
      <c r="PSS3" s="120"/>
      <c r="PST3" s="120"/>
      <c r="PSU3" s="120"/>
      <c r="PSV3" s="120"/>
      <c r="PSW3" s="120"/>
      <c r="PSX3" s="120"/>
      <c r="PSY3" s="120"/>
      <c r="PSZ3" s="120"/>
      <c r="PTA3" s="120"/>
      <c r="PTB3" s="120"/>
      <c r="PTC3" s="120"/>
      <c r="PTD3" s="120"/>
      <c r="PTE3" s="120"/>
      <c r="PTF3" s="120"/>
      <c r="PTG3" s="120"/>
      <c r="PTH3" s="120"/>
      <c r="PTI3" s="120"/>
      <c r="PTJ3" s="120"/>
      <c r="PTK3" s="120"/>
      <c r="PTL3" s="120"/>
      <c r="PTM3" s="120"/>
      <c r="PTN3" s="120"/>
      <c r="PTO3" s="120"/>
      <c r="PTP3" s="120"/>
      <c r="PTQ3" s="120"/>
      <c r="PTR3" s="120"/>
      <c r="PTS3" s="120"/>
      <c r="PTT3" s="120"/>
      <c r="PTU3" s="120"/>
      <c r="PTV3" s="120"/>
      <c r="PTW3" s="120"/>
      <c r="PTX3" s="120"/>
      <c r="PTY3" s="120"/>
      <c r="PTZ3" s="120"/>
      <c r="PUA3" s="120"/>
      <c r="PUB3" s="120"/>
      <c r="PUC3" s="120"/>
      <c r="PUD3" s="120"/>
      <c r="PUE3" s="120"/>
      <c r="PUF3" s="120"/>
      <c r="PUG3" s="120"/>
      <c r="PUH3" s="120"/>
      <c r="PUI3" s="120"/>
      <c r="PUJ3" s="120"/>
      <c r="PUK3" s="120"/>
      <c r="PUL3" s="120"/>
      <c r="PUM3" s="120"/>
      <c r="PUN3" s="120"/>
      <c r="PUO3" s="120"/>
      <c r="PUP3" s="120"/>
      <c r="PUQ3" s="120"/>
      <c r="PUR3" s="120"/>
      <c r="PUS3" s="120"/>
      <c r="PUT3" s="120"/>
      <c r="PUU3" s="120"/>
      <c r="PUV3" s="120"/>
      <c r="PUW3" s="120"/>
      <c r="PUX3" s="120"/>
      <c r="PUY3" s="120"/>
      <c r="PUZ3" s="120"/>
      <c r="PVA3" s="120"/>
      <c r="PVB3" s="120"/>
      <c r="PVC3" s="120"/>
      <c r="PVD3" s="120"/>
      <c r="PVE3" s="120"/>
      <c r="PVF3" s="120"/>
      <c r="PVG3" s="120"/>
      <c r="PVH3" s="120"/>
      <c r="PVI3" s="120"/>
      <c r="PVJ3" s="120"/>
      <c r="PVK3" s="120"/>
      <c r="PVL3" s="120"/>
      <c r="PVM3" s="120"/>
      <c r="PVN3" s="120"/>
      <c r="PVO3" s="120"/>
      <c r="PVP3" s="120"/>
      <c r="PVQ3" s="120"/>
      <c r="PVR3" s="120"/>
      <c r="PVS3" s="120"/>
      <c r="PVT3" s="120"/>
      <c r="PVU3" s="120"/>
      <c r="PVV3" s="120"/>
      <c r="PVW3" s="120"/>
      <c r="PVX3" s="120"/>
      <c r="PVY3" s="120"/>
      <c r="PVZ3" s="120"/>
      <c r="PWA3" s="120"/>
      <c r="PWB3" s="120"/>
      <c r="PWC3" s="120"/>
      <c r="PWD3" s="120"/>
      <c r="PWE3" s="120"/>
      <c r="PWF3" s="120"/>
      <c r="PWG3" s="120"/>
      <c r="PWH3" s="120"/>
      <c r="PWI3" s="120"/>
      <c r="PWJ3" s="120"/>
      <c r="PWK3" s="120"/>
      <c r="PWL3" s="120"/>
      <c r="PWM3" s="120"/>
      <c r="PWN3" s="120"/>
      <c r="PWO3" s="120"/>
      <c r="PWP3" s="120"/>
      <c r="PWQ3" s="120"/>
      <c r="PWR3" s="120"/>
      <c r="PWS3" s="120"/>
      <c r="PWT3" s="120"/>
      <c r="PWU3" s="120"/>
      <c r="PWV3" s="120"/>
      <c r="PWW3" s="120"/>
      <c r="PWX3" s="120"/>
      <c r="PWY3" s="120"/>
      <c r="PWZ3" s="120"/>
      <c r="PXA3" s="120"/>
      <c r="PXB3" s="120"/>
      <c r="PXC3" s="120"/>
      <c r="PXD3" s="120"/>
      <c r="PXE3" s="120"/>
      <c r="PXF3" s="120"/>
      <c r="PXG3" s="120"/>
      <c r="PXH3" s="120"/>
      <c r="PXI3" s="120"/>
      <c r="PXJ3" s="120"/>
      <c r="PXK3" s="120"/>
      <c r="PXL3" s="120"/>
      <c r="PXM3" s="120"/>
      <c r="PXN3" s="120"/>
      <c r="PXO3" s="120"/>
      <c r="PXP3" s="120"/>
      <c r="PXQ3" s="120"/>
      <c r="PXR3" s="120"/>
      <c r="PXS3" s="120"/>
      <c r="PXT3" s="120"/>
      <c r="PXU3" s="120"/>
      <c r="PXV3" s="120"/>
      <c r="PXW3" s="120"/>
      <c r="PXX3" s="120"/>
      <c r="PXY3" s="120"/>
      <c r="PXZ3" s="120"/>
      <c r="PYA3" s="120"/>
      <c r="PYB3" s="120"/>
      <c r="PYC3" s="120"/>
      <c r="PYD3" s="120"/>
      <c r="PYE3" s="120"/>
      <c r="PYF3" s="120"/>
      <c r="PYG3" s="120"/>
      <c r="PYH3" s="120"/>
      <c r="PYI3" s="120"/>
      <c r="PYJ3" s="120"/>
      <c r="PYK3" s="120"/>
      <c r="PYL3" s="120"/>
      <c r="PYM3" s="120"/>
      <c r="PYN3" s="120"/>
      <c r="PYO3" s="120"/>
      <c r="PYP3" s="120"/>
      <c r="PYQ3" s="120"/>
      <c r="PYR3" s="120"/>
      <c r="PYS3" s="120"/>
      <c r="PYT3" s="120"/>
      <c r="PYU3" s="120"/>
      <c r="PYV3" s="120"/>
      <c r="PYW3" s="120"/>
      <c r="PYX3" s="120"/>
      <c r="PYY3" s="120"/>
      <c r="PYZ3" s="120"/>
      <c r="PZA3" s="120"/>
      <c r="PZB3" s="120"/>
      <c r="PZC3" s="120"/>
      <c r="PZD3" s="120"/>
      <c r="PZE3" s="120"/>
      <c r="PZF3" s="120"/>
      <c r="PZG3" s="120"/>
      <c r="PZH3" s="120"/>
      <c r="PZI3" s="120"/>
      <c r="PZJ3" s="120"/>
      <c r="PZK3" s="120"/>
      <c r="PZL3" s="120"/>
      <c r="PZM3" s="120"/>
      <c r="PZN3" s="120"/>
      <c r="PZO3" s="120"/>
      <c r="PZP3" s="120"/>
      <c r="PZQ3" s="120"/>
      <c r="PZR3" s="120"/>
      <c r="PZS3" s="120"/>
      <c r="PZT3" s="120"/>
      <c r="PZU3" s="120"/>
      <c r="PZV3" s="120"/>
      <c r="PZW3" s="120"/>
      <c r="PZX3" s="120"/>
      <c r="PZY3" s="120"/>
      <c r="PZZ3" s="120"/>
      <c r="QAA3" s="120"/>
      <c r="QAB3" s="120"/>
      <c r="QAC3" s="120"/>
      <c r="QAD3" s="120"/>
      <c r="QAE3" s="120"/>
      <c r="QAF3" s="120"/>
      <c r="QAG3" s="120"/>
      <c r="QAH3" s="120"/>
      <c r="QAI3" s="120"/>
      <c r="QAJ3" s="120"/>
      <c r="QAK3" s="120"/>
      <c r="QAL3" s="120"/>
      <c r="QAM3" s="120"/>
      <c r="QAN3" s="120"/>
      <c r="QAO3" s="120"/>
      <c r="QAP3" s="120"/>
      <c r="QAQ3" s="120"/>
      <c r="QAR3" s="120"/>
      <c r="QAS3" s="120"/>
      <c r="QAT3" s="120"/>
      <c r="QAU3" s="120"/>
      <c r="QAV3" s="120"/>
      <c r="QAW3" s="120"/>
      <c r="QAX3" s="120"/>
      <c r="QAY3" s="120"/>
      <c r="QAZ3" s="120"/>
      <c r="QBA3" s="120"/>
      <c r="QBB3" s="120"/>
      <c r="QBC3" s="120"/>
      <c r="QBD3" s="120"/>
      <c r="QBE3" s="120"/>
      <c r="QBF3" s="120"/>
      <c r="QBG3" s="120"/>
      <c r="QBH3" s="120"/>
      <c r="QBI3" s="120"/>
      <c r="QBJ3" s="120"/>
      <c r="QBK3" s="120"/>
      <c r="QBL3" s="120"/>
      <c r="QBM3" s="120"/>
      <c r="QBN3" s="120"/>
      <c r="QBO3" s="120"/>
      <c r="QBP3" s="120"/>
      <c r="QBQ3" s="120"/>
      <c r="QBR3" s="120"/>
      <c r="QBS3" s="120"/>
      <c r="QBT3" s="120"/>
      <c r="QBU3" s="120"/>
      <c r="QBV3" s="120"/>
      <c r="QBW3" s="120"/>
      <c r="QBX3" s="120"/>
      <c r="QBY3" s="120"/>
      <c r="QBZ3" s="120"/>
      <c r="QCA3" s="120"/>
      <c r="QCB3" s="120"/>
      <c r="QCC3" s="120"/>
      <c r="QCD3" s="120"/>
      <c r="QCE3" s="120"/>
      <c r="QCF3" s="120"/>
      <c r="QCG3" s="120"/>
      <c r="QCH3" s="120"/>
      <c r="QCI3" s="120"/>
      <c r="QCJ3" s="120"/>
      <c r="QCK3" s="120"/>
      <c r="QCL3" s="120"/>
      <c r="QCM3" s="120"/>
      <c r="QCN3" s="120"/>
      <c r="QCO3" s="120"/>
      <c r="QCP3" s="120"/>
      <c r="QCQ3" s="120"/>
      <c r="QCR3" s="120"/>
      <c r="QCS3" s="120"/>
      <c r="QCT3" s="120"/>
      <c r="QCU3" s="120"/>
      <c r="QCV3" s="120"/>
      <c r="QCW3" s="120"/>
      <c r="QCX3" s="120"/>
      <c r="QCY3" s="120"/>
      <c r="QCZ3" s="120"/>
      <c r="QDA3" s="120"/>
      <c r="QDB3" s="120"/>
      <c r="QDC3" s="120"/>
      <c r="QDD3" s="120"/>
      <c r="QDE3" s="120"/>
      <c r="QDF3" s="120"/>
      <c r="QDG3" s="120"/>
      <c r="QDH3" s="120"/>
      <c r="QDI3" s="120"/>
      <c r="QDJ3" s="120"/>
      <c r="QDK3" s="120"/>
      <c r="QDL3" s="120"/>
      <c r="QDM3" s="120"/>
      <c r="QDN3" s="120"/>
      <c r="QDO3" s="120"/>
      <c r="QDP3" s="120"/>
      <c r="QDQ3" s="120"/>
      <c r="QDR3" s="120"/>
      <c r="QDS3" s="120"/>
      <c r="QDT3" s="120"/>
      <c r="QDU3" s="120"/>
      <c r="QDV3" s="120"/>
      <c r="QDW3" s="120"/>
      <c r="QDX3" s="120"/>
      <c r="QDY3" s="120"/>
      <c r="QDZ3" s="120"/>
      <c r="QEA3" s="120"/>
      <c r="QEB3" s="120"/>
      <c r="QEC3" s="120"/>
      <c r="QED3" s="120"/>
      <c r="QEE3" s="120"/>
      <c r="QEF3" s="120"/>
      <c r="QEG3" s="120"/>
      <c r="QEH3" s="120"/>
      <c r="QEI3" s="120"/>
      <c r="QEJ3" s="120"/>
      <c r="QEK3" s="120"/>
      <c r="QEL3" s="120"/>
      <c r="QEM3" s="120"/>
      <c r="QEN3" s="120"/>
      <c r="QEO3" s="120"/>
      <c r="QEP3" s="120"/>
      <c r="QEQ3" s="120"/>
      <c r="QER3" s="120"/>
      <c r="QES3" s="120"/>
      <c r="QET3" s="120"/>
      <c r="QEU3" s="120"/>
      <c r="QEV3" s="120"/>
      <c r="QEW3" s="120"/>
      <c r="QEX3" s="120"/>
      <c r="QEY3" s="120"/>
      <c r="QEZ3" s="120"/>
      <c r="QFA3" s="120"/>
      <c r="QFB3" s="120"/>
      <c r="QFC3" s="120"/>
      <c r="QFD3" s="120"/>
      <c r="QFE3" s="120"/>
      <c r="QFF3" s="120"/>
      <c r="QFG3" s="120"/>
      <c r="QFH3" s="120"/>
      <c r="QFI3" s="120"/>
      <c r="QFJ3" s="120"/>
      <c r="QFK3" s="120"/>
      <c r="QFL3" s="120"/>
      <c r="QFM3" s="120"/>
      <c r="QFN3" s="120"/>
      <c r="QFO3" s="120"/>
      <c r="QFP3" s="120"/>
      <c r="QFQ3" s="120"/>
      <c r="QFR3" s="120"/>
      <c r="QFS3" s="120"/>
      <c r="QFT3" s="120"/>
      <c r="QFU3" s="120"/>
      <c r="QFV3" s="120"/>
      <c r="QFW3" s="120"/>
      <c r="QFX3" s="120"/>
      <c r="QFY3" s="120"/>
      <c r="QFZ3" s="120"/>
      <c r="QGA3" s="120"/>
      <c r="QGB3" s="120"/>
      <c r="QGC3" s="120"/>
      <c r="QGD3" s="120"/>
      <c r="QGE3" s="120"/>
      <c r="QGF3" s="120"/>
      <c r="QGG3" s="120"/>
      <c r="QGH3" s="120"/>
      <c r="QGI3" s="120"/>
      <c r="QGJ3" s="120"/>
      <c r="QGK3" s="120"/>
      <c r="QGL3" s="120"/>
      <c r="QGM3" s="120"/>
      <c r="QGN3" s="120"/>
      <c r="QGO3" s="120"/>
      <c r="QGP3" s="120"/>
      <c r="QGQ3" s="120"/>
      <c r="QGR3" s="120"/>
      <c r="QGS3" s="120"/>
      <c r="QGT3" s="120"/>
      <c r="QGU3" s="120"/>
      <c r="QGV3" s="120"/>
      <c r="QGW3" s="120"/>
      <c r="QGX3" s="120"/>
      <c r="QGY3" s="120"/>
      <c r="QGZ3" s="120"/>
      <c r="QHA3" s="120"/>
      <c r="QHB3" s="120"/>
      <c r="QHC3" s="120"/>
      <c r="QHD3" s="120"/>
      <c r="QHE3" s="120"/>
      <c r="QHF3" s="120"/>
      <c r="QHG3" s="120"/>
      <c r="QHH3" s="120"/>
      <c r="QHI3" s="120"/>
      <c r="QHJ3" s="120"/>
      <c r="QHK3" s="120"/>
      <c r="QHL3" s="120"/>
      <c r="QHM3" s="120"/>
      <c r="QHN3" s="120"/>
      <c r="QHO3" s="120"/>
      <c r="QHP3" s="120"/>
      <c r="QHQ3" s="120"/>
      <c r="QHR3" s="120"/>
      <c r="QHS3" s="120"/>
      <c r="QHT3" s="120"/>
      <c r="QHU3" s="120"/>
      <c r="QHV3" s="120"/>
      <c r="QHW3" s="120"/>
      <c r="QHX3" s="120"/>
      <c r="QHY3" s="120"/>
      <c r="QHZ3" s="120"/>
      <c r="QIA3" s="120"/>
      <c r="QIB3" s="120"/>
      <c r="QIC3" s="120"/>
      <c r="QID3" s="120"/>
      <c r="QIE3" s="120"/>
      <c r="QIF3" s="120"/>
      <c r="QIG3" s="120"/>
      <c r="QIH3" s="120"/>
      <c r="QII3" s="120"/>
      <c r="QIJ3" s="120"/>
      <c r="QIK3" s="120"/>
      <c r="QIL3" s="120"/>
      <c r="QIM3" s="120"/>
      <c r="QIN3" s="120"/>
      <c r="QIO3" s="120"/>
      <c r="QIP3" s="120"/>
      <c r="QIQ3" s="120"/>
      <c r="QIR3" s="120"/>
      <c r="QIS3" s="120"/>
      <c r="QIT3" s="120"/>
      <c r="QIU3" s="120"/>
      <c r="QIV3" s="120"/>
      <c r="QIW3" s="120"/>
      <c r="QIX3" s="120"/>
      <c r="QIY3" s="120"/>
      <c r="QIZ3" s="120"/>
      <c r="QJA3" s="120"/>
      <c r="QJB3" s="120"/>
      <c r="QJC3" s="120"/>
      <c r="QJD3" s="120"/>
      <c r="QJE3" s="120"/>
      <c r="QJF3" s="120"/>
      <c r="QJG3" s="120"/>
      <c r="QJH3" s="120"/>
      <c r="QJI3" s="120"/>
      <c r="QJJ3" s="120"/>
      <c r="QJK3" s="120"/>
      <c r="QJL3" s="120"/>
      <c r="QJM3" s="120"/>
      <c r="QJN3" s="120"/>
      <c r="QJO3" s="120"/>
      <c r="QJP3" s="120"/>
      <c r="QJQ3" s="120"/>
      <c r="QJR3" s="120"/>
      <c r="QJS3" s="120"/>
      <c r="QJT3" s="120"/>
      <c r="QJU3" s="120"/>
      <c r="QJV3" s="120"/>
      <c r="QJW3" s="120"/>
      <c r="QJX3" s="120"/>
      <c r="QJY3" s="120"/>
      <c r="QJZ3" s="120"/>
      <c r="QKA3" s="120"/>
      <c r="QKB3" s="120"/>
      <c r="QKC3" s="120"/>
      <c r="QKD3" s="120"/>
      <c r="QKE3" s="120"/>
      <c r="QKF3" s="120"/>
      <c r="QKG3" s="120"/>
      <c r="QKH3" s="120"/>
      <c r="QKI3" s="120"/>
      <c r="QKJ3" s="120"/>
      <c r="QKK3" s="120"/>
      <c r="QKL3" s="120"/>
      <c r="QKM3" s="120"/>
      <c r="QKN3" s="120"/>
      <c r="QKO3" s="120"/>
      <c r="QKP3" s="120"/>
      <c r="QKQ3" s="120"/>
      <c r="QKR3" s="120"/>
      <c r="QKS3" s="120"/>
      <c r="QKT3" s="120"/>
      <c r="QKU3" s="120"/>
      <c r="QKV3" s="120"/>
      <c r="QKW3" s="120"/>
      <c r="QKX3" s="120"/>
      <c r="QKY3" s="120"/>
      <c r="QKZ3" s="120"/>
      <c r="QLA3" s="120"/>
      <c r="QLB3" s="120"/>
      <c r="QLC3" s="120"/>
      <c r="QLD3" s="120"/>
      <c r="QLE3" s="120"/>
      <c r="QLF3" s="120"/>
      <c r="QLG3" s="120"/>
      <c r="QLH3" s="120"/>
      <c r="QLI3" s="120"/>
      <c r="QLJ3" s="120"/>
      <c r="QLK3" s="120"/>
      <c r="QLL3" s="120"/>
      <c r="QLM3" s="120"/>
      <c r="QLN3" s="120"/>
      <c r="QLO3" s="120"/>
      <c r="QLP3" s="120"/>
      <c r="QLQ3" s="120"/>
      <c r="QLR3" s="120"/>
      <c r="QLS3" s="120"/>
      <c r="QLT3" s="120"/>
      <c r="QLU3" s="120"/>
      <c r="QLV3" s="120"/>
      <c r="QLW3" s="120"/>
      <c r="QLX3" s="120"/>
      <c r="QLY3" s="120"/>
      <c r="QLZ3" s="120"/>
      <c r="QMA3" s="120"/>
      <c r="QMB3" s="120"/>
      <c r="QMC3" s="120"/>
      <c r="QMD3" s="120"/>
      <c r="QME3" s="120"/>
      <c r="QMF3" s="120"/>
      <c r="QMG3" s="120"/>
      <c r="QMH3" s="120"/>
      <c r="QMI3" s="120"/>
      <c r="QMJ3" s="120"/>
      <c r="QMK3" s="120"/>
      <c r="QML3" s="120"/>
      <c r="QMM3" s="120"/>
      <c r="QMN3" s="120"/>
      <c r="QMO3" s="120"/>
      <c r="QMP3" s="120"/>
      <c r="QMQ3" s="120"/>
      <c r="QMR3" s="120"/>
      <c r="QMS3" s="120"/>
      <c r="QMT3" s="120"/>
      <c r="QMU3" s="120"/>
      <c r="QMV3" s="120"/>
      <c r="QMW3" s="120"/>
      <c r="QMX3" s="120"/>
      <c r="QMY3" s="120"/>
      <c r="QMZ3" s="120"/>
      <c r="QNA3" s="120"/>
      <c r="QNB3" s="120"/>
      <c r="QNC3" s="120"/>
      <c r="QND3" s="120"/>
      <c r="QNE3" s="120"/>
      <c r="QNF3" s="120"/>
      <c r="QNG3" s="120"/>
      <c r="QNH3" s="120"/>
      <c r="QNI3" s="120"/>
      <c r="QNJ3" s="120"/>
      <c r="QNK3" s="120"/>
      <c r="QNL3" s="120"/>
      <c r="QNM3" s="120"/>
      <c r="QNN3" s="120"/>
      <c r="QNO3" s="120"/>
      <c r="QNP3" s="120"/>
      <c r="QNQ3" s="120"/>
      <c r="QNR3" s="120"/>
      <c r="QNS3" s="120"/>
      <c r="QNT3" s="120"/>
      <c r="QNU3" s="120"/>
      <c r="QNV3" s="120"/>
      <c r="QNW3" s="120"/>
      <c r="QNX3" s="120"/>
      <c r="QNY3" s="120"/>
      <c r="QNZ3" s="120"/>
      <c r="QOA3" s="120"/>
      <c r="QOB3" s="120"/>
      <c r="QOC3" s="120"/>
      <c r="QOD3" s="120"/>
      <c r="QOE3" s="120"/>
      <c r="QOF3" s="120"/>
      <c r="QOG3" s="120"/>
      <c r="QOH3" s="120"/>
      <c r="QOI3" s="120"/>
      <c r="QOJ3" s="120"/>
      <c r="QOK3" s="120"/>
      <c r="QOL3" s="120"/>
      <c r="QOM3" s="120"/>
      <c r="QON3" s="120"/>
      <c r="QOO3" s="120"/>
      <c r="QOP3" s="120"/>
      <c r="QOQ3" s="120"/>
      <c r="QOR3" s="120"/>
      <c r="QOS3" s="120"/>
      <c r="QOT3" s="120"/>
      <c r="QOU3" s="120"/>
      <c r="QOV3" s="120"/>
      <c r="QOW3" s="120"/>
      <c r="QOX3" s="120"/>
      <c r="QOY3" s="120"/>
      <c r="QOZ3" s="120"/>
      <c r="QPA3" s="120"/>
      <c r="QPB3" s="120"/>
      <c r="QPC3" s="120"/>
      <c r="QPD3" s="120"/>
      <c r="QPE3" s="120"/>
      <c r="QPF3" s="120"/>
      <c r="QPG3" s="120"/>
      <c r="QPH3" s="120"/>
      <c r="QPI3" s="120"/>
      <c r="QPJ3" s="120"/>
      <c r="QPK3" s="120"/>
      <c r="QPL3" s="120"/>
      <c r="QPM3" s="120"/>
      <c r="QPN3" s="120"/>
      <c r="QPO3" s="120"/>
      <c r="QPP3" s="120"/>
      <c r="QPQ3" s="120"/>
      <c r="QPR3" s="120"/>
      <c r="QPS3" s="120"/>
      <c r="QPT3" s="120"/>
      <c r="QPU3" s="120"/>
      <c r="QPV3" s="120"/>
      <c r="QPW3" s="120"/>
      <c r="QPX3" s="120"/>
      <c r="QPY3" s="120"/>
      <c r="QPZ3" s="120"/>
      <c r="QQA3" s="120"/>
      <c r="QQB3" s="120"/>
      <c r="QQC3" s="120"/>
      <c r="QQD3" s="120"/>
      <c r="QQE3" s="120"/>
      <c r="QQF3" s="120"/>
      <c r="QQG3" s="120"/>
      <c r="QQH3" s="120"/>
      <c r="QQI3" s="120"/>
      <c r="QQJ3" s="120"/>
      <c r="QQK3" s="120"/>
      <c r="QQL3" s="120"/>
      <c r="QQM3" s="120"/>
      <c r="QQN3" s="120"/>
      <c r="QQO3" s="120"/>
      <c r="QQP3" s="120"/>
      <c r="QQQ3" s="120"/>
      <c r="QQR3" s="120"/>
      <c r="QQS3" s="120"/>
      <c r="QQT3" s="120"/>
      <c r="QQU3" s="120"/>
      <c r="QQV3" s="120"/>
      <c r="QQW3" s="120"/>
      <c r="QQX3" s="120"/>
      <c r="QQY3" s="120"/>
      <c r="QQZ3" s="120"/>
      <c r="QRA3" s="120"/>
      <c r="QRB3" s="120"/>
      <c r="QRC3" s="120"/>
      <c r="QRD3" s="120"/>
      <c r="QRE3" s="120"/>
      <c r="QRF3" s="120"/>
      <c r="QRG3" s="120"/>
      <c r="QRH3" s="120"/>
      <c r="QRI3" s="120"/>
      <c r="QRJ3" s="120"/>
      <c r="QRK3" s="120"/>
      <c r="QRL3" s="120"/>
      <c r="QRM3" s="120"/>
      <c r="QRN3" s="120"/>
      <c r="QRO3" s="120"/>
      <c r="QRP3" s="120"/>
      <c r="QRQ3" s="120"/>
      <c r="QRR3" s="120"/>
      <c r="QRS3" s="120"/>
      <c r="QRT3" s="120"/>
      <c r="QRU3" s="120"/>
      <c r="QRV3" s="120"/>
      <c r="QRW3" s="120"/>
      <c r="QRX3" s="120"/>
      <c r="QRY3" s="120"/>
      <c r="QRZ3" s="120"/>
      <c r="QSA3" s="120"/>
      <c r="QSB3" s="120"/>
      <c r="QSC3" s="120"/>
      <c r="QSD3" s="120"/>
      <c r="QSE3" s="120"/>
      <c r="QSF3" s="120"/>
      <c r="QSG3" s="120"/>
      <c r="QSH3" s="120"/>
      <c r="QSI3" s="120"/>
      <c r="QSJ3" s="120"/>
      <c r="QSK3" s="120"/>
      <c r="QSL3" s="120"/>
      <c r="QSM3" s="120"/>
      <c r="QSN3" s="120"/>
      <c r="QSO3" s="120"/>
      <c r="QSP3" s="120"/>
      <c r="QSQ3" s="120"/>
      <c r="QSR3" s="120"/>
      <c r="QSS3" s="120"/>
      <c r="QST3" s="120"/>
      <c r="QSU3" s="120"/>
      <c r="QSV3" s="120"/>
      <c r="QSW3" s="120"/>
      <c r="QSX3" s="120"/>
      <c r="QSY3" s="120"/>
      <c r="QSZ3" s="120"/>
      <c r="QTA3" s="120"/>
      <c r="QTB3" s="120"/>
      <c r="QTC3" s="120"/>
      <c r="QTD3" s="120"/>
      <c r="QTE3" s="120"/>
      <c r="QTF3" s="120"/>
      <c r="QTG3" s="120"/>
      <c r="QTH3" s="120"/>
      <c r="QTI3" s="120"/>
      <c r="QTJ3" s="120"/>
      <c r="QTK3" s="120"/>
      <c r="QTL3" s="120"/>
      <c r="QTM3" s="120"/>
      <c r="QTN3" s="120"/>
      <c r="QTO3" s="120"/>
      <c r="QTP3" s="120"/>
      <c r="QTQ3" s="120"/>
      <c r="QTR3" s="120"/>
      <c r="QTS3" s="120"/>
      <c r="QTT3" s="120"/>
      <c r="QTU3" s="120"/>
      <c r="QTV3" s="120"/>
      <c r="QTW3" s="120"/>
      <c r="QTX3" s="120"/>
      <c r="QTY3" s="120"/>
      <c r="QTZ3" s="120"/>
      <c r="QUA3" s="120"/>
      <c r="QUB3" s="120"/>
      <c r="QUC3" s="120"/>
      <c r="QUD3" s="120"/>
      <c r="QUE3" s="120"/>
      <c r="QUF3" s="120"/>
      <c r="QUG3" s="120"/>
      <c r="QUH3" s="120"/>
      <c r="QUI3" s="120"/>
      <c r="QUJ3" s="120"/>
      <c r="QUK3" s="120"/>
      <c r="QUL3" s="120"/>
      <c r="QUM3" s="120"/>
      <c r="QUN3" s="120"/>
      <c r="QUO3" s="120"/>
      <c r="QUP3" s="120"/>
      <c r="QUQ3" s="120"/>
      <c r="QUR3" s="120"/>
      <c r="QUS3" s="120"/>
      <c r="QUT3" s="120"/>
      <c r="QUU3" s="120"/>
      <c r="QUV3" s="120"/>
      <c r="QUW3" s="120"/>
      <c r="QUX3" s="120"/>
      <c r="QUY3" s="120"/>
      <c r="QUZ3" s="120"/>
      <c r="QVA3" s="120"/>
      <c r="QVB3" s="120"/>
      <c r="QVC3" s="120"/>
      <c r="QVD3" s="120"/>
      <c r="QVE3" s="120"/>
      <c r="QVF3" s="120"/>
      <c r="QVG3" s="120"/>
      <c r="QVH3" s="120"/>
      <c r="QVI3" s="120"/>
      <c r="QVJ3" s="120"/>
      <c r="QVK3" s="120"/>
      <c r="QVL3" s="120"/>
      <c r="QVM3" s="120"/>
      <c r="QVN3" s="120"/>
      <c r="QVO3" s="120"/>
      <c r="QVP3" s="120"/>
      <c r="QVQ3" s="120"/>
      <c r="QVR3" s="120"/>
      <c r="QVS3" s="120"/>
      <c r="QVT3" s="120"/>
      <c r="QVU3" s="120"/>
      <c r="QVV3" s="120"/>
      <c r="QVW3" s="120"/>
      <c r="QVX3" s="120"/>
      <c r="QVY3" s="120"/>
      <c r="QVZ3" s="120"/>
      <c r="QWA3" s="120"/>
      <c r="QWB3" s="120"/>
      <c r="QWC3" s="120"/>
      <c r="QWD3" s="120"/>
      <c r="QWE3" s="120"/>
      <c r="QWF3" s="120"/>
      <c r="QWG3" s="120"/>
      <c r="QWH3" s="120"/>
      <c r="QWI3" s="120"/>
      <c r="QWJ3" s="120"/>
      <c r="QWK3" s="120"/>
      <c r="QWL3" s="120"/>
      <c r="QWM3" s="120"/>
      <c r="QWN3" s="120"/>
      <c r="QWO3" s="120"/>
      <c r="QWP3" s="120"/>
      <c r="QWQ3" s="120"/>
      <c r="QWR3" s="120"/>
      <c r="QWS3" s="120"/>
      <c r="QWT3" s="120"/>
      <c r="QWU3" s="120"/>
      <c r="QWV3" s="120"/>
      <c r="QWW3" s="120"/>
      <c r="QWX3" s="120"/>
      <c r="QWY3" s="120"/>
      <c r="QWZ3" s="120"/>
      <c r="QXA3" s="120"/>
      <c r="QXB3" s="120"/>
      <c r="QXC3" s="120"/>
      <c r="QXD3" s="120"/>
      <c r="QXE3" s="120"/>
      <c r="QXF3" s="120"/>
      <c r="QXG3" s="120"/>
      <c r="QXH3" s="120"/>
      <c r="QXI3" s="120"/>
      <c r="QXJ3" s="120"/>
      <c r="QXK3" s="120"/>
      <c r="QXL3" s="120"/>
      <c r="QXM3" s="120"/>
      <c r="QXN3" s="120"/>
      <c r="QXO3" s="120"/>
      <c r="QXP3" s="120"/>
      <c r="QXQ3" s="120"/>
      <c r="QXR3" s="120"/>
      <c r="QXS3" s="120"/>
      <c r="QXT3" s="120"/>
      <c r="QXU3" s="120"/>
      <c r="QXV3" s="120"/>
      <c r="QXW3" s="120"/>
      <c r="QXX3" s="120"/>
      <c r="QXY3" s="120"/>
      <c r="QXZ3" s="120"/>
      <c r="QYA3" s="120"/>
      <c r="QYB3" s="120"/>
      <c r="QYC3" s="120"/>
      <c r="QYD3" s="120"/>
      <c r="QYE3" s="120"/>
      <c r="QYF3" s="120"/>
      <c r="QYG3" s="120"/>
      <c r="QYH3" s="120"/>
      <c r="QYI3" s="120"/>
      <c r="QYJ3" s="120"/>
      <c r="QYK3" s="120"/>
      <c r="QYL3" s="120"/>
      <c r="QYM3" s="120"/>
      <c r="QYN3" s="120"/>
      <c r="QYO3" s="120"/>
      <c r="QYP3" s="120"/>
      <c r="QYQ3" s="120"/>
      <c r="QYR3" s="120"/>
      <c r="QYS3" s="120"/>
      <c r="QYT3" s="120"/>
      <c r="QYU3" s="120"/>
      <c r="QYV3" s="120"/>
      <c r="QYW3" s="120"/>
      <c r="QYX3" s="120"/>
      <c r="QYY3" s="120"/>
      <c r="QYZ3" s="120"/>
      <c r="QZA3" s="120"/>
      <c r="QZB3" s="120"/>
      <c r="QZC3" s="120"/>
      <c r="QZD3" s="120"/>
      <c r="QZE3" s="120"/>
      <c r="QZF3" s="120"/>
      <c r="QZG3" s="120"/>
      <c r="QZH3" s="120"/>
      <c r="QZI3" s="120"/>
      <c r="QZJ3" s="120"/>
      <c r="QZK3" s="120"/>
      <c r="QZL3" s="120"/>
      <c r="QZM3" s="120"/>
      <c r="QZN3" s="120"/>
      <c r="QZO3" s="120"/>
      <c r="QZP3" s="120"/>
      <c r="QZQ3" s="120"/>
      <c r="QZR3" s="120"/>
      <c r="QZS3" s="120"/>
      <c r="QZT3" s="120"/>
      <c r="QZU3" s="120"/>
      <c r="QZV3" s="120"/>
      <c r="QZW3" s="120"/>
      <c r="QZX3" s="120"/>
      <c r="QZY3" s="120"/>
      <c r="QZZ3" s="120"/>
      <c r="RAA3" s="120"/>
      <c r="RAB3" s="120"/>
      <c r="RAC3" s="120"/>
      <c r="RAD3" s="120"/>
      <c r="RAE3" s="120"/>
      <c r="RAF3" s="120"/>
      <c r="RAG3" s="120"/>
      <c r="RAH3" s="120"/>
      <c r="RAI3" s="120"/>
      <c r="RAJ3" s="120"/>
      <c r="RAK3" s="120"/>
      <c r="RAL3" s="120"/>
      <c r="RAM3" s="120"/>
      <c r="RAN3" s="120"/>
      <c r="RAO3" s="120"/>
      <c r="RAP3" s="120"/>
      <c r="RAQ3" s="120"/>
      <c r="RAR3" s="120"/>
      <c r="RAS3" s="120"/>
      <c r="RAT3" s="120"/>
      <c r="RAU3" s="120"/>
      <c r="RAV3" s="120"/>
      <c r="RAW3" s="120"/>
      <c r="RAX3" s="120"/>
      <c r="RAY3" s="120"/>
      <c r="RAZ3" s="120"/>
      <c r="RBA3" s="120"/>
      <c r="RBB3" s="120"/>
      <c r="RBC3" s="120"/>
      <c r="RBD3" s="120"/>
      <c r="RBE3" s="120"/>
      <c r="RBF3" s="120"/>
      <c r="RBG3" s="120"/>
      <c r="RBH3" s="120"/>
      <c r="RBI3" s="120"/>
      <c r="RBJ3" s="120"/>
      <c r="RBK3" s="120"/>
      <c r="RBL3" s="120"/>
      <c r="RBM3" s="120"/>
      <c r="RBN3" s="120"/>
      <c r="RBO3" s="120"/>
      <c r="RBP3" s="120"/>
      <c r="RBQ3" s="120"/>
      <c r="RBR3" s="120"/>
      <c r="RBS3" s="120"/>
      <c r="RBT3" s="120"/>
      <c r="RBU3" s="120"/>
      <c r="RBV3" s="120"/>
      <c r="RBW3" s="120"/>
      <c r="RBX3" s="120"/>
      <c r="RBY3" s="120"/>
      <c r="RBZ3" s="120"/>
      <c r="RCA3" s="120"/>
      <c r="RCB3" s="120"/>
      <c r="RCC3" s="120"/>
      <c r="RCD3" s="120"/>
      <c r="RCE3" s="120"/>
      <c r="RCF3" s="120"/>
      <c r="RCG3" s="120"/>
      <c r="RCH3" s="120"/>
      <c r="RCI3" s="120"/>
      <c r="RCJ3" s="120"/>
      <c r="RCK3" s="120"/>
      <c r="RCL3" s="120"/>
      <c r="RCM3" s="120"/>
      <c r="RCN3" s="120"/>
      <c r="RCO3" s="120"/>
      <c r="RCP3" s="120"/>
      <c r="RCQ3" s="120"/>
      <c r="RCR3" s="120"/>
      <c r="RCS3" s="120"/>
      <c r="RCT3" s="120"/>
      <c r="RCU3" s="120"/>
      <c r="RCV3" s="120"/>
      <c r="RCW3" s="120"/>
      <c r="RCX3" s="120"/>
      <c r="RCY3" s="120"/>
      <c r="RCZ3" s="120"/>
      <c r="RDA3" s="120"/>
      <c r="RDB3" s="120"/>
      <c r="RDC3" s="120"/>
      <c r="RDD3" s="120"/>
      <c r="RDE3" s="120"/>
      <c r="RDF3" s="120"/>
      <c r="RDG3" s="120"/>
      <c r="RDH3" s="120"/>
      <c r="RDI3" s="120"/>
      <c r="RDJ3" s="120"/>
      <c r="RDK3" s="120"/>
      <c r="RDL3" s="120"/>
      <c r="RDM3" s="120"/>
      <c r="RDN3" s="120"/>
      <c r="RDO3" s="120"/>
      <c r="RDP3" s="120"/>
      <c r="RDQ3" s="120"/>
      <c r="RDR3" s="120"/>
      <c r="RDS3" s="120"/>
      <c r="RDT3" s="120"/>
      <c r="RDU3" s="120"/>
      <c r="RDV3" s="120"/>
      <c r="RDW3" s="120"/>
      <c r="RDX3" s="120"/>
      <c r="RDY3" s="120"/>
      <c r="RDZ3" s="120"/>
      <c r="REA3" s="120"/>
      <c r="REB3" s="120"/>
      <c r="REC3" s="120"/>
      <c r="RED3" s="120"/>
      <c r="REE3" s="120"/>
      <c r="REF3" s="120"/>
      <c r="REG3" s="120"/>
      <c r="REH3" s="120"/>
      <c r="REI3" s="120"/>
      <c r="REJ3" s="120"/>
      <c r="REK3" s="120"/>
      <c r="REL3" s="120"/>
      <c r="REM3" s="120"/>
      <c r="REN3" s="120"/>
      <c r="REO3" s="120"/>
      <c r="REP3" s="120"/>
      <c r="REQ3" s="120"/>
      <c r="RER3" s="120"/>
      <c r="RES3" s="120"/>
      <c r="RET3" s="120"/>
      <c r="REU3" s="120"/>
      <c r="REV3" s="120"/>
      <c r="REW3" s="120"/>
      <c r="REX3" s="120"/>
      <c r="REY3" s="120"/>
      <c r="REZ3" s="120"/>
      <c r="RFA3" s="120"/>
      <c r="RFB3" s="120"/>
      <c r="RFC3" s="120"/>
      <c r="RFD3" s="120"/>
      <c r="RFE3" s="120"/>
      <c r="RFF3" s="120"/>
      <c r="RFG3" s="120"/>
      <c r="RFH3" s="120"/>
      <c r="RFI3" s="120"/>
      <c r="RFJ3" s="120"/>
      <c r="RFK3" s="120"/>
      <c r="RFL3" s="120"/>
      <c r="RFM3" s="120"/>
      <c r="RFN3" s="120"/>
      <c r="RFO3" s="120"/>
      <c r="RFP3" s="120"/>
      <c r="RFQ3" s="120"/>
      <c r="RFR3" s="120"/>
      <c r="RFS3" s="120"/>
      <c r="RFT3" s="120"/>
      <c r="RFU3" s="120"/>
      <c r="RFV3" s="120"/>
      <c r="RFW3" s="120"/>
      <c r="RFX3" s="120"/>
      <c r="RFY3" s="120"/>
      <c r="RFZ3" s="120"/>
      <c r="RGA3" s="120"/>
      <c r="RGB3" s="120"/>
      <c r="RGC3" s="120"/>
      <c r="RGD3" s="120"/>
      <c r="RGE3" s="120"/>
      <c r="RGF3" s="120"/>
      <c r="RGG3" s="120"/>
      <c r="RGH3" s="120"/>
      <c r="RGI3" s="120"/>
      <c r="RGJ3" s="120"/>
      <c r="RGK3" s="120"/>
      <c r="RGL3" s="120"/>
      <c r="RGM3" s="120"/>
      <c r="RGN3" s="120"/>
      <c r="RGO3" s="120"/>
      <c r="RGP3" s="120"/>
      <c r="RGQ3" s="120"/>
      <c r="RGR3" s="120"/>
      <c r="RGS3" s="120"/>
      <c r="RGT3" s="120"/>
      <c r="RGU3" s="120"/>
      <c r="RGV3" s="120"/>
      <c r="RGW3" s="120"/>
      <c r="RGX3" s="120"/>
      <c r="RGY3" s="120"/>
      <c r="RGZ3" s="120"/>
      <c r="RHA3" s="120"/>
      <c r="RHB3" s="120"/>
      <c r="RHC3" s="120"/>
      <c r="RHD3" s="120"/>
      <c r="RHE3" s="120"/>
      <c r="RHF3" s="120"/>
      <c r="RHG3" s="120"/>
      <c r="RHH3" s="120"/>
      <c r="RHI3" s="120"/>
      <c r="RHJ3" s="120"/>
      <c r="RHK3" s="120"/>
      <c r="RHL3" s="120"/>
      <c r="RHM3" s="120"/>
      <c r="RHN3" s="120"/>
      <c r="RHO3" s="120"/>
      <c r="RHP3" s="120"/>
      <c r="RHQ3" s="120"/>
      <c r="RHR3" s="120"/>
      <c r="RHS3" s="120"/>
      <c r="RHT3" s="120"/>
      <c r="RHU3" s="120"/>
      <c r="RHV3" s="120"/>
      <c r="RHW3" s="120"/>
      <c r="RHX3" s="120"/>
      <c r="RHY3" s="120"/>
      <c r="RHZ3" s="120"/>
      <c r="RIA3" s="120"/>
      <c r="RIB3" s="120"/>
      <c r="RIC3" s="120"/>
      <c r="RID3" s="120"/>
      <c r="RIE3" s="120"/>
      <c r="RIF3" s="120"/>
      <c r="RIG3" s="120"/>
      <c r="RIH3" s="120"/>
      <c r="RII3" s="120"/>
      <c r="RIJ3" s="120"/>
      <c r="RIK3" s="120"/>
      <c r="RIL3" s="120"/>
      <c r="RIM3" s="120"/>
      <c r="RIN3" s="120"/>
      <c r="RIO3" s="120"/>
      <c r="RIP3" s="120"/>
      <c r="RIQ3" s="120"/>
      <c r="RIR3" s="120"/>
      <c r="RIS3" s="120"/>
      <c r="RIT3" s="120"/>
      <c r="RIU3" s="120"/>
      <c r="RIV3" s="120"/>
      <c r="RIW3" s="120"/>
      <c r="RIX3" s="120"/>
      <c r="RIY3" s="120"/>
      <c r="RIZ3" s="120"/>
      <c r="RJA3" s="120"/>
      <c r="RJB3" s="120"/>
      <c r="RJC3" s="120"/>
      <c r="RJD3" s="120"/>
      <c r="RJE3" s="120"/>
      <c r="RJF3" s="120"/>
      <c r="RJG3" s="120"/>
      <c r="RJH3" s="120"/>
      <c r="RJI3" s="120"/>
      <c r="RJJ3" s="120"/>
      <c r="RJK3" s="120"/>
      <c r="RJL3" s="120"/>
      <c r="RJM3" s="120"/>
      <c r="RJN3" s="120"/>
      <c r="RJO3" s="120"/>
      <c r="RJP3" s="120"/>
      <c r="RJQ3" s="120"/>
      <c r="RJR3" s="120"/>
      <c r="RJS3" s="120"/>
      <c r="RJT3" s="120"/>
      <c r="RJU3" s="120"/>
      <c r="RJV3" s="120"/>
      <c r="RJW3" s="120"/>
      <c r="RJX3" s="120"/>
      <c r="RJY3" s="120"/>
      <c r="RJZ3" s="120"/>
      <c r="RKA3" s="120"/>
      <c r="RKB3" s="120"/>
      <c r="RKC3" s="120"/>
      <c r="RKD3" s="120"/>
      <c r="RKE3" s="120"/>
      <c r="RKF3" s="120"/>
      <c r="RKG3" s="120"/>
      <c r="RKH3" s="120"/>
      <c r="RKI3" s="120"/>
      <c r="RKJ3" s="120"/>
      <c r="RKK3" s="120"/>
      <c r="RKL3" s="120"/>
      <c r="RKM3" s="120"/>
      <c r="RKN3" s="120"/>
      <c r="RKO3" s="120"/>
      <c r="RKP3" s="120"/>
      <c r="RKQ3" s="120"/>
      <c r="RKR3" s="120"/>
      <c r="RKS3" s="120"/>
      <c r="RKT3" s="120"/>
      <c r="RKU3" s="120"/>
      <c r="RKV3" s="120"/>
      <c r="RKW3" s="120"/>
      <c r="RKX3" s="120"/>
      <c r="RKY3" s="120"/>
      <c r="RKZ3" s="120"/>
      <c r="RLA3" s="120"/>
      <c r="RLB3" s="120"/>
      <c r="RLC3" s="120"/>
      <c r="RLD3" s="120"/>
      <c r="RLE3" s="120"/>
      <c r="RLF3" s="120"/>
      <c r="RLG3" s="120"/>
      <c r="RLH3" s="120"/>
      <c r="RLI3" s="120"/>
      <c r="RLJ3" s="120"/>
      <c r="RLK3" s="120"/>
      <c r="RLL3" s="120"/>
      <c r="RLM3" s="120"/>
      <c r="RLN3" s="120"/>
      <c r="RLO3" s="120"/>
      <c r="RLP3" s="120"/>
      <c r="RLQ3" s="120"/>
      <c r="RLR3" s="120"/>
      <c r="RLS3" s="120"/>
      <c r="RLT3" s="120"/>
      <c r="RLU3" s="120"/>
      <c r="RLV3" s="120"/>
      <c r="RLW3" s="120"/>
      <c r="RLX3" s="120"/>
      <c r="RLY3" s="120"/>
      <c r="RLZ3" s="120"/>
      <c r="RMA3" s="120"/>
      <c r="RMB3" s="120"/>
      <c r="RMC3" s="120"/>
      <c r="RMD3" s="120"/>
      <c r="RME3" s="120"/>
      <c r="RMF3" s="120"/>
      <c r="RMG3" s="120"/>
      <c r="RMH3" s="120"/>
      <c r="RMI3" s="120"/>
      <c r="RMJ3" s="120"/>
      <c r="RMK3" s="120"/>
      <c r="RML3" s="120"/>
      <c r="RMM3" s="120"/>
      <c r="RMN3" s="120"/>
      <c r="RMO3" s="120"/>
      <c r="RMP3" s="120"/>
      <c r="RMQ3" s="120"/>
      <c r="RMR3" s="120"/>
      <c r="RMS3" s="120"/>
      <c r="RMT3" s="120"/>
      <c r="RMU3" s="120"/>
      <c r="RMV3" s="120"/>
      <c r="RMW3" s="120"/>
      <c r="RMX3" s="120"/>
      <c r="RMY3" s="120"/>
      <c r="RMZ3" s="120"/>
      <c r="RNA3" s="120"/>
      <c r="RNB3" s="120"/>
      <c r="RNC3" s="120"/>
      <c r="RND3" s="120"/>
      <c r="RNE3" s="120"/>
      <c r="RNF3" s="120"/>
      <c r="RNG3" s="120"/>
      <c r="RNH3" s="120"/>
      <c r="RNI3" s="120"/>
      <c r="RNJ3" s="120"/>
      <c r="RNK3" s="120"/>
      <c r="RNL3" s="120"/>
      <c r="RNM3" s="120"/>
      <c r="RNN3" s="120"/>
      <c r="RNO3" s="120"/>
      <c r="RNP3" s="120"/>
      <c r="RNQ3" s="120"/>
      <c r="RNR3" s="120"/>
      <c r="RNS3" s="120"/>
      <c r="RNT3" s="120"/>
      <c r="RNU3" s="120"/>
      <c r="RNV3" s="120"/>
      <c r="RNW3" s="120"/>
      <c r="RNX3" s="120"/>
      <c r="RNY3" s="120"/>
      <c r="RNZ3" s="120"/>
      <c r="ROA3" s="120"/>
      <c r="ROB3" s="120"/>
      <c r="ROC3" s="120"/>
      <c r="ROD3" s="120"/>
      <c r="ROE3" s="120"/>
      <c r="ROF3" s="120"/>
      <c r="ROG3" s="120"/>
      <c r="ROH3" s="120"/>
      <c r="ROI3" s="120"/>
      <c r="ROJ3" s="120"/>
      <c r="ROK3" s="120"/>
      <c r="ROL3" s="120"/>
      <c r="ROM3" s="120"/>
      <c r="RON3" s="120"/>
      <c r="ROO3" s="120"/>
      <c r="ROP3" s="120"/>
      <c r="ROQ3" s="120"/>
      <c r="ROR3" s="120"/>
      <c r="ROS3" s="120"/>
      <c r="ROT3" s="120"/>
      <c r="ROU3" s="120"/>
      <c r="ROV3" s="120"/>
      <c r="ROW3" s="120"/>
      <c r="ROX3" s="120"/>
      <c r="ROY3" s="120"/>
      <c r="ROZ3" s="120"/>
      <c r="RPA3" s="120"/>
      <c r="RPB3" s="120"/>
      <c r="RPC3" s="120"/>
      <c r="RPD3" s="120"/>
      <c r="RPE3" s="120"/>
      <c r="RPF3" s="120"/>
      <c r="RPG3" s="120"/>
      <c r="RPH3" s="120"/>
      <c r="RPI3" s="120"/>
      <c r="RPJ3" s="120"/>
      <c r="RPK3" s="120"/>
      <c r="RPL3" s="120"/>
      <c r="RPM3" s="120"/>
      <c r="RPN3" s="120"/>
      <c r="RPO3" s="120"/>
      <c r="RPP3" s="120"/>
      <c r="RPQ3" s="120"/>
      <c r="RPR3" s="120"/>
      <c r="RPS3" s="120"/>
      <c r="RPT3" s="120"/>
      <c r="RPU3" s="120"/>
      <c r="RPV3" s="120"/>
      <c r="RPW3" s="120"/>
      <c r="RPX3" s="120"/>
      <c r="RPY3" s="120"/>
      <c r="RPZ3" s="120"/>
      <c r="RQA3" s="120"/>
      <c r="RQB3" s="120"/>
      <c r="RQC3" s="120"/>
      <c r="RQD3" s="120"/>
      <c r="RQE3" s="120"/>
      <c r="RQF3" s="120"/>
      <c r="RQG3" s="120"/>
      <c r="RQH3" s="120"/>
      <c r="RQI3" s="120"/>
      <c r="RQJ3" s="120"/>
      <c r="RQK3" s="120"/>
      <c r="RQL3" s="120"/>
      <c r="RQM3" s="120"/>
      <c r="RQN3" s="120"/>
      <c r="RQO3" s="120"/>
      <c r="RQP3" s="120"/>
      <c r="RQQ3" s="120"/>
      <c r="RQR3" s="120"/>
      <c r="RQS3" s="120"/>
      <c r="RQT3" s="120"/>
      <c r="RQU3" s="120"/>
      <c r="RQV3" s="120"/>
      <c r="RQW3" s="120"/>
      <c r="RQX3" s="120"/>
      <c r="RQY3" s="120"/>
      <c r="RQZ3" s="120"/>
      <c r="RRA3" s="120"/>
      <c r="RRB3" s="120"/>
      <c r="RRC3" s="120"/>
      <c r="RRD3" s="120"/>
      <c r="RRE3" s="120"/>
      <c r="RRF3" s="120"/>
      <c r="RRG3" s="120"/>
      <c r="RRH3" s="120"/>
      <c r="RRI3" s="120"/>
      <c r="RRJ3" s="120"/>
      <c r="RRK3" s="120"/>
      <c r="RRL3" s="120"/>
      <c r="RRM3" s="120"/>
      <c r="RRN3" s="120"/>
      <c r="RRO3" s="120"/>
      <c r="RRP3" s="120"/>
      <c r="RRQ3" s="120"/>
      <c r="RRR3" s="120"/>
      <c r="RRS3" s="120"/>
      <c r="RRT3" s="120"/>
      <c r="RRU3" s="120"/>
      <c r="RRV3" s="120"/>
      <c r="RRW3" s="120"/>
      <c r="RRX3" s="120"/>
      <c r="RRY3" s="120"/>
      <c r="RRZ3" s="120"/>
      <c r="RSA3" s="120"/>
      <c r="RSB3" s="120"/>
      <c r="RSC3" s="120"/>
      <c r="RSD3" s="120"/>
      <c r="RSE3" s="120"/>
      <c r="RSF3" s="120"/>
      <c r="RSG3" s="120"/>
      <c r="RSH3" s="120"/>
      <c r="RSI3" s="120"/>
      <c r="RSJ3" s="120"/>
      <c r="RSK3" s="120"/>
      <c r="RSL3" s="120"/>
      <c r="RSM3" s="120"/>
      <c r="RSN3" s="120"/>
      <c r="RSO3" s="120"/>
      <c r="RSP3" s="120"/>
      <c r="RSQ3" s="120"/>
      <c r="RSR3" s="120"/>
      <c r="RSS3" s="120"/>
      <c r="RST3" s="120"/>
      <c r="RSU3" s="120"/>
      <c r="RSV3" s="120"/>
      <c r="RSW3" s="120"/>
      <c r="RSX3" s="120"/>
      <c r="RSY3" s="120"/>
      <c r="RSZ3" s="120"/>
      <c r="RTA3" s="120"/>
      <c r="RTB3" s="120"/>
      <c r="RTC3" s="120"/>
      <c r="RTD3" s="120"/>
      <c r="RTE3" s="120"/>
      <c r="RTF3" s="120"/>
      <c r="RTG3" s="120"/>
      <c r="RTH3" s="120"/>
      <c r="RTI3" s="120"/>
      <c r="RTJ3" s="120"/>
      <c r="RTK3" s="120"/>
      <c r="RTL3" s="120"/>
      <c r="RTM3" s="120"/>
      <c r="RTN3" s="120"/>
      <c r="RTO3" s="120"/>
      <c r="RTP3" s="120"/>
      <c r="RTQ3" s="120"/>
      <c r="RTR3" s="120"/>
      <c r="RTS3" s="120"/>
      <c r="RTT3" s="120"/>
      <c r="RTU3" s="120"/>
      <c r="RTV3" s="120"/>
      <c r="RTW3" s="120"/>
      <c r="RTX3" s="120"/>
      <c r="RTY3" s="120"/>
      <c r="RTZ3" s="120"/>
      <c r="RUA3" s="120"/>
      <c r="RUB3" s="120"/>
      <c r="RUC3" s="120"/>
      <c r="RUD3" s="120"/>
      <c r="RUE3" s="120"/>
      <c r="RUF3" s="120"/>
      <c r="RUG3" s="120"/>
      <c r="RUH3" s="120"/>
      <c r="RUI3" s="120"/>
      <c r="RUJ3" s="120"/>
      <c r="RUK3" s="120"/>
      <c r="RUL3" s="120"/>
      <c r="RUM3" s="120"/>
      <c r="RUN3" s="120"/>
      <c r="RUO3" s="120"/>
      <c r="RUP3" s="120"/>
      <c r="RUQ3" s="120"/>
      <c r="RUR3" s="120"/>
      <c r="RUS3" s="120"/>
      <c r="RUT3" s="120"/>
      <c r="RUU3" s="120"/>
      <c r="RUV3" s="120"/>
      <c r="RUW3" s="120"/>
      <c r="RUX3" s="120"/>
      <c r="RUY3" s="120"/>
      <c r="RUZ3" s="120"/>
      <c r="RVA3" s="120"/>
      <c r="RVB3" s="120"/>
      <c r="RVC3" s="120"/>
      <c r="RVD3" s="120"/>
      <c r="RVE3" s="120"/>
      <c r="RVF3" s="120"/>
      <c r="RVG3" s="120"/>
      <c r="RVH3" s="120"/>
      <c r="RVI3" s="120"/>
      <c r="RVJ3" s="120"/>
      <c r="RVK3" s="120"/>
      <c r="RVL3" s="120"/>
      <c r="RVM3" s="120"/>
      <c r="RVN3" s="120"/>
      <c r="RVO3" s="120"/>
      <c r="RVP3" s="120"/>
      <c r="RVQ3" s="120"/>
      <c r="RVR3" s="120"/>
      <c r="RVS3" s="120"/>
      <c r="RVT3" s="120"/>
      <c r="RVU3" s="120"/>
      <c r="RVV3" s="120"/>
      <c r="RVW3" s="120"/>
      <c r="RVX3" s="120"/>
      <c r="RVY3" s="120"/>
      <c r="RVZ3" s="120"/>
      <c r="RWA3" s="120"/>
      <c r="RWB3" s="120"/>
      <c r="RWC3" s="120"/>
      <c r="RWD3" s="120"/>
      <c r="RWE3" s="120"/>
      <c r="RWF3" s="120"/>
      <c r="RWG3" s="120"/>
      <c r="RWH3" s="120"/>
      <c r="RWI3" s="120"/>
      <c r="RWJ3" s="120"/>
      <c r="RWK3" s="120"/>
      <c r="RWL3" s="120"/>
      <c r="RWM3" s="120"/>
      <c r="RWN3" s="120"/>
      <c r="RWO3" s="120"/>
      <c r="RWP3" s="120"/>
      <c r="RWQ3" s="120"/>
      <c r="RWR3" s="120"/>
      <c r="RWS3" s="120"/>
      <c r="RWT3" s="120"/>
      <c r="RWU3" s="120"/>
      <c r="RWV3" s="120"/>
      <c r="RWW3" s="120"/>
      <c r="RWX3" s="120"/>
      <c r="RWY3" s="120"/>
      <c r="RWZ3" s="120"/>
      <c r="RXA3" s="120"/>
      <c r="RXB3" s="120"/>
      <c r="RXC3" s="120"/>
      <c r="RXD3" s="120"/>
      <c r="RXE3" s="120"/>
      <c r="RXF3" s="120"/>
      <c r="RXG3" s="120"/>
      <c r="RXH3" s="120"/>
      <c r="RXI3" s="120"/>
      <c r="RXJ3" s="120"/>
      <c r="RXK3" s="120"/>
      <c r="RXL3" s="120"/>
      <c r="RXM3" s="120"/>
      <c r="RXN3" s="120"/>
      <c r="RXO3" s="120"/>
      <c r="RXP3" s="120"/>
      <c r="RXQ3" s="120"/>
      <c r="RXR3" s="120"/>
      <c r="RXS3" s="120"/>
      <c r="RXT3" s="120"/>
      <c r="RXU3" s="120"/>
      <c r="RXV3" s="120"/>
      <c r="RXW3" s="120"/>
      <c r="RXX3" s="120"/>
      <c r="RXY3" s="120"/>
      <c r="RXZ3" s="120"/>
      <c r="RYA3" s="120"/>
      <c r="RYB3" s="120"/>
      <c r="RYC3" s="120"/>
      <c r="RYD3" s="120"/>
      <c r="RYE3" s="120"/>
      <c r="RYF3" s="120"/>
      <c r="RYG3" s="120"/>
      <c r="RYH3" s="120"/>
      <c r="RYI3" s="120"/>
      <c r="RYJ3" s="120"/>
      <c r="RYK3" s="120"/>
      <c r="RYL3" s="120"/>
      <c r="RYM3" s="120"/>
      <c r="RYN3" s="120"/>
      <c r="RYO3" s="120"/>
      <c r="RYP3" s="120"/>
      <c r="RYQ3" s="120"/>
      <c r="RYR3" s="120"/>
      <c r="RYS3" s="120"/>
      <c r="RYT3" s="120"/>
      <c r="RYU3" s="120"/>
      <c r="RYV3" s="120"/>
      <c r="RYW3" s="120"/>
      <c r="RYX3" s="120"/>
      <c r="RYY3" s="120"/>
      <c r="RYZ3" s="120"/>
      <c r="RZA3" s="120"/>
      <c r="RZB3" s="120"/>
      <c r="RZC3" s="120"/>
      <c r="RZD3" s="120"/>
      <c r="RZE3" s="120"/>
      <c r="RZF3" s="120"/>
      <c r="RZG3" s="120"/>
      <c r="RZH3" s="120"/>
      <c r="RZI3" s="120"/>
      <c r="RZJ3" s="120"/>
      <c r="RZK3" s="120"/>
      <c r="RZL3" s="120"/>
      <c r="RZM3" s="120"/>
      <c r="RZN3" s="120"/>
      <c r="RZO3" s="120"/>
      <c r="RZP3" s="120"/>
      <c r="RZQ3" s="120"/>
      <c r="RZR3" s="120"/>
      <c r="RZS3" s="120"/>
      <c r="RZT3" s="120"/>
      <c r="RZU3" s="120"/>
      <c r="RZV3" s="120"/>
      <c r="RZW3" s="120"/>
      <c r="RZX3" s="120"/>
      <c r="RZY3" s="120"/>
      <c r="RZZ3" s="120"/>
      <c r="SAA3" s="120"/>
      <c r="SAB3" s="120"/>
      <c r="SAC3" s="120"/>
      <c r="SAD3" s="120"/>
      <c r="SAE3" s="120"/>
      <c r="SAF3" s="120"/>
      <c r="SAG3" s="120"/>
      <c r="SAH3" s="120"/>
      <c r="SAI3" s="120"/>
      <c r="SAJ3" s="120"/>
      <c r="SAK3" s="120"/>
      <c r="SAL3" s="120"/>
      <c r="SAM3" s="120"/>
      <c r="SAN3" s="120"/>
      <c r="SAO3" s="120"/>
      <c r="SAP3" s="120"/>
      <c r="SAQ3" s="120"/>
      <c r="SAR3" s="120"/>
      <c r="SAS3" s="120"/>
      <c r="SAT3" s="120"/>
      <c r="SAU3" s="120"/>
      <c r="SAV3" s="120"/>
      <c r="SAW3" s="120"/>
      <c r="SAX3" s="120"/>
      <c r="SAY3" s="120"/>
      <c r="SAZ3" s="120"/>
      <c r="SBA3" s="120"/>
      <c r="SBB3" s="120"/>
      <c r="SBC3" s="120"/>
      <c r="SBD3" s="120"/>
      <c r="SBE3" s="120"/>
      <c r="SBF3" s="120"/>
      <c r="SBG3" s="120"/>
      <c r="SBH3" s="120"/>
      <c r="SBI3" s="120"/>
      <c r="SBJ3" s="120"/>
      <c r="SBK3" s="120"/>
      <c r="SBL3" s="120"/>
      <c r="SBM3" s="120"/>
      <c r="SBN3" s="120"/>
      <c r="SBO3" s="120"/>
      <c r="SBP3" s="120"/>
      <c r="SBQ3" s="120"/>
      <c r="SBR3" s="120"/>
      <c r="SBS3" s="120"/>
      <c r="SBT3" s="120"/>
      <c r="SBU3" s="120"/>
      <c r="SBV3" s="120"/>
      <c r="SBW3" s="120"/>
      <c r="SBX3" s="120"/>
      <c r="SBY3" s="120"/>
      <c r="SBZ3" s="120"/>
      <c r="SCA3" s="120"/>
      <c r="SCB3" s="120"/>
      <c r="SCC3" s="120"/>
      <c r="SCD3" s="120"/>
      <c r="SCE3" s="120"/>
      <c r="SCF3" s="120"/>
      <c r="SCG3" s="120"/>
      <c r="SCH3" s="120"/>
      <c r="SCI3" s="120"/>
      <c r="SCJ3" s="120"/>
      <c r="SCK3" s="120"/>
      <c r="SCL3" s="120"/>
      <c r="SCM3" s="120"/>
      <c r="SCN3" s="120"/>
      <c r="SCO3" s="120"/>
      <c r="SCP3" s="120"/>
      <c r="SCQ3" s="120"/>
      <c r="SCR3" s="120"/>
      <c r="SCS3" s="120"/>
      <c r="SCT3" s="120"/>
      <c r="SCU3" s="120"/>
      <c r="SCV3" s="120"/>
      <c r="SCW3" s="120"/>
      <c r="SCX3" s="120"/>
      <c r="SCY3" s="120"/>
      <c r="SCZ3" s="120"/>
      <c r="SDA3" s="120"/>
      <c r="SDB3" s="120"/>
      <c r="SDC3" s="120"/>
      <c r="SDD3" s="120"/>
      <c r="SDE3" s="120"/>
      <c r="SDF3" s="120"/>
      <c r="SDG3" s="120"/>
      <c r="SDH3" s="120"/>
      <c r="SDI3" s="120"/>
      <c r="SDJ3" s="120"/>
      <c r="SDK3" s="120"/>
      <c r="SDL3" s="120"/>
      <c r="SDM3" s="120"/>
      <c r="SDN3" s="120"/>
      <c r="SDO3" s="120"/>
      <c r="SDP3" s="120"/>
      <c r="SDQ3" s="120"/>
      <c r="SDR3" s="120"/>
      <c r="SDS3" s="120"/>
      <c r="SDT3" s="120"/>
      <c r="SDU3" s="120"/>
      <c r="SDV3" s="120"/>
      <c r="SDW3" s="120"/>
      <c r="SDX3" s="120"/>
      <c r="SDY3" s="120"/>
      <c r="SDZ3" s="120"/>
      <c r="SEA3" s="120"/>
      <c r="SEB3" s="120"/>
      <c r="SEC3" s="120"/>
      <c r="SED3" s="120"/>
      <c r="SEE3" s="120"/>
      <c r="SEF3" s="120"/>
      <c r="SEG3" s="120"/>
      <c r="SEH3" s="120"/>
      <c r="SEI3" s="120"/>
      <c r="SEJ3" s="120"/>
      <c r="SEK3" s="120"/>
      <c r="SEL3" s="120"/>
      <c r="SEM3" s="120"/>
      <c r="SEN3" s="120"/>
      <c r="SEO3" s="120"/>
      <c r="SEP3" s="120"/>
      <c r="SEQ3" s="120"/>
      <c r="SER3" s="120"/>
      <c r="SES3" s="120"/>
      <c r="SET3" s="120"/>
      <c r="SEU3" s="120"/>
      <c r="SEV3" s="120"/>
      <c r="SEW3" s="120"/>
      <c r="SEX3" s="120"/>
      <c r="SEY3" s="120"/>
      <c r="SEZ3" s="120"/>
      <c r="SFA3" s="120"/>
      <c r="SFB3" s="120"/>
      <c r="SFC3" s="120"/>
      <c r="SFD3" s="120"/>
      <c r="SFE3" s="120"/>
      <c r="SFF3" s="120"/>
      <c r="SFG3" s="120"/>
      <c r="SFH3" s="120"/>
      <c r="SFI3" s="120"/>
      <c r="SFJ3" s="120"/>
      <c r="SFK3" s="120"/>
      <c r="SFL3" s="120"/>
      <c r="SFM3" s="120"/>
      <c r="SFN3" s="120"/>
      <c r="SFO3" s="120"/>
      <c r="SFP3" s="120"/>
      <c r="SFQ3" s="120"/>
      <c r="SFR3" s="120"/>
      <c r="SFS3" s="120"/>
      <c r="SFT3" s="120"/>
      <c r="SFU3" s="120"/>
      <c r="SFV3" s="120"/>
      <c r="SFW3" s="120"/>
      <c r="SFX3" s="120"/>
      <c r="SFY3" s="120"/>
      <c r="SFZ3" s="120"/>
      <c r="SGA3" s="120"/>
      <c r="SGB3" s="120"/>
      <c r="SGC3" s="120"/>
      <c r="SGD3" s="120"/>
      <c r="SGE3" s="120"/>
      <c r="SGF3" s="120"/>
      <c r="SGG3" s="120"/>
      <c r="SGH3" s="120"/>
      <c r="SGI3" s="120"/>
      <c r="SGJ3" s="120"/>
      <c r="SGK3" s="120"/>
      <c r="SGL3" s="120"/>
      <c r="SGM3" s="120"/>
      <c r="SGN3" s="120"/>
      <c r="SGO3" s="120"/>
      <c r="SGP3" s="120"/>
      <c r="SGQ3" s="120"/>
      <c r="SGR3" s="120"/>
      <c r="SGS3" s="120"/>
      <c r="SGT3" s="120"/>
      <c r="SGU3" s="120"/>
      <c r="SGV3" s="120"/>
      <c r="SGW3" s="120"/>
      <c r="SGX3" s="120"/>
      <c r="SGY3" s="120"/>
      <c r="SGZ3" s="120"/>
      <c r="SHA3" s="120"/>
      <c r="SHB3" s="120"/>
      <c r="SHC3" s="120"/>
      <c r="SHD3" s="120"/>
      <c r="SHE3" s="120"/>
      <c r="SHF3" s="120"/>
      <c r="SHG3" s="120"/>
      <c r="SHH3" s="120"/>
      <c r="SHI3" s="120"/>
      <c r="SHJ3" s="120"/>
      <c r="SHK3" s="120"/>
      <c r="SHL3" s="120"/>
      <c r="SHM3" s="120"/>
      <c r="SHN3" s="120"/>
      <c r="SHO3" s="120"/>
      <c r="SHP3" s="120"/>
      <c r="SHQ3" s="120"/>
      <c r="SHR3" s="120"/>
      <c r="SHS3" s="120"/>
      <c r="SHT3" s="120"/>
      <c r="SHU3" s="120"/>
      <c r="SHV3" s="120"/>
      <c r="SHW3" s="120"/>
      <c r="SHX3" s="120"/>
      <c r="SHY3" s="120"/>
      <c r="SHZ3" s="120"/>
      <c r="SIA3" s="120"/>
      <c r="SIB3" s="120"/>
      <c r="SIC3" s="120"/>
      <c r="SID3" s="120"/>
      <c r="SIE3" s="120"/>
      <c r="SIF3" s="120"/>
      <c r="SIG3" s="120"/>
      <c r="SIH3" s="120"/>
      <c r="SII3" s="120"/>
      <c r="SIJ3" s="120"/>
      <c r="SIK3" s="120"/>
      <c r="SIL3" s="120"/>
      <c r="SIM3" s="120"/>
      <c r="SIN3" s="120"/>
      <c r="SIO3" s="120"/>
      <c r="SIP3" s="120"/>
      <c r="SIQ3" s="120"/>
      <c r="SIR3" s="120"/>
      <c r="SIS3" s="120"/>
      <c r="SIT3" s="120"/>
      <c r="SIU3" s="120"/>
      <c r="SIV3" s="120"/>
      <c r="SIW3" s="120"/>
      <c r="SIX3" s="120"/>
      <c r="SIY3" s="120"/>
      <c r="SIZ3" s="120"/>
      <c r="SJA3" s="120"/>
      <c r="SJB3" s="120"/>
      <c r="SJC3" s="120"/>
      <c r="SJD3" s="120"/>
      <c r="SJE3" s="120"/>
      <c r="SJF3" s="120"/>
      <c r="SJG3" s="120"/>
      <c r="SJH3" s="120"/>
      <c r="SJI3" s="120"/>
      <c r="SJJ3" s="120"/>
      <c r="SJK3" s="120"/>
      <c r="SJL3" s="120"/>
      <c r="SJM3" s="120"/>
      <c r="SJN3" s="120"/>
      <c r="SJO3" s="120"/>
      <c r="SJP3" s="120"/>
      <c r="SJQ3" s="120"/>
      <c r="SJR3" s="120"/>
      <c r="SJS3" s="120"/>
      <c r="SJT3" s="120"/>
      <c r="SJU3" s="120"/>
      <c r="SJV3" s="120"/>
      <c r="SJW3" s="120"/>
      <c r="SJX3" s="120"/>
      <c r="SJY3" s="120"/>
      <c r="SJZ3" s="120"/>
      <c r="SKA3" s="120"/>
      <c r="SKB3" s="120"/>
      <c r="SKC3" s="120"/>
      <c r="SKD3" s="120"/>
      <c r="SKE3" s="120"/>
      <c r="SKF3" s="120"/>
      <c r="SKG3" s="120"/>
      <c r="SKH3" s="120"/>
      <c r="SKI3" s="120"/>
      <c r="SKJ3" s="120"/>
      <c r="SKK3" s="120"/>
      <c r="SKL3" s="120"/>
      <c r="SKM3" s="120"/>
      <c r="SKN3" s="120"/>
      <c r="SKO3" s="120"/>
      <c r="SKP3" s="120"/>
      <c r="SKQ3" s="120"/>
      <c r="SKR3" s="120"/>
      <c r="SKS3" s="120"/>
      <c r="SKT3" s="120"/>
      <c r="SKU3" s="120"/>
      <c r="SKV3" s="120"/>
      <c r="SKW3" s="120"/>
      <c r="SKX3" s="120"/>
      <c r="SKY3" s="120"/>
      <c r="SKZ3" s="120"/>
      <c r="SLA3" s="120"/>
      <c r="SLB3" s="120"/>
      <c r="SLC3" s="120"/>
      <c r="SLD3" s="120"/>
      <c r="SLE3" s="120"/>
      <c r="SLF3" s="120"/>
      <c r="SLG3" s="120"/>
      <c r="SLH3" s="120"/>
      <c r="SLI3" s="120"/>
      <c r="SLJ3" s="120"/>
      <c r="SLK3" s="120"/>
      <c r="SLL3" s="120"/>
      <c r="SLM3" s="120"/>
      <c r="SLN3" s="120"/>
      <c r="SLO3" s="120"/>
      <c r="SLP3" s="120"/>
      <c r="SLQ3" s="120"/>
      <c r="SLR3" s="120"/>
      <c r="SLS3" s="120"/>
      <c r="SLT3" s="120"/>
      <c r="SLU3" s="120"/>
      <c r="SLV3" s="120"/>
      <c r="SLW3" s="120"/>
      <c r="SLX3" s="120"/>
      <c r="SLY3" s="120"/>
      <c r="SLZ3" s="120"/>
      <c r="SMA3" s="120"/>
      <c r="SMB3" s="120"/>
      <c r="SMC3" s="120"/>
      <c r="SMD3" s="120"/>
      <c r="SME3" s="120"/>
      <c r="SMF3" s="120"/>
      <c r="SMG3" s="120"/>
      <c r="SMH3" s="120"/>
      <c r="SMI3" s="120"/>
      <c r="SMJ3" s="120"/>
      <c r="SMK3" s="120"/>
      <c r="SML3" s="120"/>
      <c r="SMM3" s="120"/>
      <c r="SMN3" s="120"/>
      <c r="SMO3" s="120"/>
      <c r="SMP3" s="120"/>
      <c r="SMQ3" s="120"/>
      <c r="SMR3" s="120"/>
      <c r="SMS3" s="120"/>
      <c r="SMT3" s="120"/>
      <c r="SMU3" s="120"/>
      <c r="SMV3" s="120"/>
      <c r="SMW3" s="120"/>
      <c r="SMX3" s="120"/>
      <c r="SMY3" s="120"/>
      <c r="SMZ3" s="120"/>
      <c r="SNA3" s="120"/>
      <c r="SNB3" s="120"/>
      <c r="SNC3" s="120"/>
      <c r="SND3" s="120"/>
      <c r="SNE3" s="120"/>
      <c r="SNF3" s="120"/>
      <c r="SNG3" s="120"/>
      <c r="SNH3" s="120"/>
      <c r="SNI3" s="120"/>
      <c r="SNJ3" s="120"/>
      <c r="SNK3" s="120"/>
      <c r="SNL3" s="120"/>
      <c r="SNM3" s="120"/>
      <c r="SNN3" s="120"/>
      <c r="SNO3" s="120"/>
      <c r="SNP3" s="120"/>
      <c r="SNQ3" s="120"/>
      <c r="SNR3" s="120"/>
      <c r="SNS3" s="120"/>
      <c r="SNT3" s="120"/>
      <c r="SNU3" s="120"/>
      <c r="SNV3" s="120"/>
      <c r="SNW3" s="120"/>
      <c r="SNX3" s="120"/>
      <c r="SNY3" s="120"/>
      <c r="SNZ3" s="120"/>
      <c r="SOA3" s="120"/>
      <c r="SOB3" s="120"/>
      <c r="SOC3" s="120"/>
      <c r="SOD3" s="120"/>
      <c r="SOE3" s="120"/>
      <c r="SOF3" s="120"/>
      <c r="SOG3" s="120"/>
      <c r="SOH3" s="120"/>
      <c r="SOI3" s="120"/>
      <c r="SOJ3" s="120"/>
      <c r="SOK3" s="120"/>
      <c r="SOL3" s="120"/>
      <c r="SOM3" s="120"/>
      <c r="SON3" s="120"/>
      <c r="SOO3" s="120"/>
      <c r="SOP3" s="120"/>
      <c r="SOQ3" s="120"/>
      <c r="SOR3" s="120"/>
      <c r="SOS3" s="120"/>
      <c r="SOT3" s="120"/>
      <c r="SOU3" s="120"/>
      <c r="SOV3" s="120"/>
      <c r="SOW3" s="120"/>
      <c r="SOX3" s="120"/>
      <c r="SOY3" s="120"/>
      <c r="SOZ3" s="120"/>
      <c r="SPA3" s="120"/>
      <c r="SPB3" s="120"/>
      <c r="SPC3" s="120"/>
      <c r="SPD3" s="120"/>
      <c r="SPE3" s="120"/>
      <c r="SPF3" s="120"/>
      <c r="SPG3" s="120"/>
      <c r="SPH3" s="120"/>
      <c r="SPI3" s="120"/>
      <c r="SPJ3" s="120"/>
      <c r="SPK3" s="120"/>
      <c r="SPL3" s="120"/>
      <c r="SPM3" s="120"/>
      <c r="SPN3" s="120"/>
      <c r="SPO3" s="120"/>
      <c r="SPP3" s="120"/>
      <c r="SPQ3" s="120"/>
      <c r="SPR3" s="120"/>
      <c r="SPS3" s="120"/>
      <c r="SPT3" s="120"/>
      <c r="SPU3" s="120"/>
      <c r="SPV3" s="120"/>
      <c r="SPW3" s="120"/>
      <c r="SPX3" s="120"/>
      <c r="SPY3" s="120"/>
      <c r="SPZ3" s="120"/>
      <c r="SQA3" s="120"/>
      <c r="SQB3" s="120"/>
      <c r="SQC3" s="120"/>
      <c r="SQD3" s="120"/>
      <c r="SQE3" s="120"/>
      <c r="SQF3" s="120"/>
      <c r="SQG3" s="120"/>
      <c r="SQH3" s="120"/>
      <c r="SQI3" s="120"/>
      <c r="SQJ3" s="120"/>
      <c r="SQK3" s="120"/>
      <c r="SQL3" s="120"/>
      <c r="SQM3" s="120"/>
      <c r="SQN3" s="120"/>
      <c r="SQO3" s="120"/>
      <c r="SQP3" s="120"/>
      <c r="SQQ3" s="120"/>
      <c r="SQR3" s="120"/>
      <c r="SQS3" s="120"/>
      <c r="SQT3" s="120"/>
      <c r="SQU3" s="120"/>
      <c r="SQV3" s="120"/>
      <c r="SQW3" s="120"/>
      <c r="SQX3" s="120"/>
      <c r="SQY3" s="120"/>
      <c r="SQZ3" s="120"/>
      <c r="SRA3" s="120"/>
      <c r="SRB3" s="120"/>
      <c r="SRC3" s="120"/>
      <c r="SRD3" s="120"/>
      <c r="SRE3" s="120"/>
      <c r="SRF3" s="120"/>
      <c r="SRG3" s="120"/>
      <c r="SRH3" s="120"/>
      <c r="SRI3" s="120"/>
      <c r="SRJ3" s="120"/>
      <c r="SRK3" s="120"/>
      <c r="SRL3" s="120"/>
      <c r="SRM3" s="120"/>
      <c r="SRN3" s="120"/>
      <c r="SRO3" s="120"/>
      <c r="SRP3" s="120"/>
      <c r="SRQ3" s="120"/>
      <c r="SRR3" s="120"/>
      <c r="SRS3" s="120"/>
      <c r="SRT3" s="120"/>
      <c r="SRU3" s="120"/>
      <c r="SRV3" s="120"/>
      <c r="SRW3" s="120"/>
      <c r="SRX3" s="120"/>
      <c r="SRY3" s="120"/>
      <c r="SRZ3" s="120"/>
      <c r="SSA3" s="120"/>
      <c r="SSB3" s="120"/>
      <c r="SSC3" s="120"/>
      <c r="SSD3" s="120"/>
      <c r="SSE3" s="120"/>
      <c r="SSF3" s="120"/>
      <c r="SSG3" s="120"/>
      <c r="SSH3" s="120"/>
      <c r="SSI3" s="120"/>
      <c r="SSJ3" s="120"/>
      <c r="SSK3" s="120"/>
      <c r="SSL3" s="120"/>
      <c r="SSM3" s="120"/>
      <c r="SSN3" s="120"/>
      <c r="SSO3" s="120"/>
      <c r="SSP3" s="120"/>
      <c r="SSQ3" s="120"/>
      <c r="SSR3" s="120"/>
      <c r="SSS3" s="120"/>
      <c r="SST3" s="120"/>
      <c r="SSU3" s="120"/>
      <c r="SSV3" s="120"/>
      <c r="SSW3" s="120"/>
      <c r="SSX3" s="120"/>
      <c r="SSY3" s="120"/>
      <c r="SSZ3" s="120"/>
      <c r="STA3" s="120"/>
      <c r="STB3" s="120"/>
      <c r="STC3" s="120"/>
      <c r="STD3" s="120"/>
      <c r="STE3" s="120"/>
      <c r="STF3" s="120"/>
      <c r="STG3" s="120"/>
      <c r="STH3" s="120"/>
      <c r="STI3" s="120"/>
      <c r="STJ3" s="120"/>
      <c r="STK3" s="120"/>
      <c r="STL3" s="120"/>
      <c r="STM3" s="120"/>
      <c r="STN3" s="120"/>
      <c r="STO3" s="120"/>
      <c r="STP3" s="120"/>
      <c r="STQ3" s="120"/>
      <c r="STR3" s="120"/>
      <c r="STS3" s="120"/>
      <c r="STT3" s="120"/>
      <c r="STU3" s="120"/>
      <c r="STV3" s="120"/>
      <c r="STW3" s="120"/>
      <c r="STX3" s="120"/>
      <c r="STY3" s="120"/>
      <c r="STZ3" s="120"/>
      <c r="SUA3" s="120"/>
      <c r="SUB3" s="120"/>
      <c r="SUC3" s="120"/>
      <c r="SUD3" s="120"/>
      <c r="SUE3" s="120"/>
      <c r="SUF3" s="120"/>
      <c r="SUG3" s="120"/>
      <c r="SUH3" s="120"/>
      <c r="SUI3" s="120"/>
      <c r="SUJ3" s="120"/>
      <c r="SUK3" s="120"/>
      <c r="SUL3" s="120"/>
      <c r="SUM3" s="120"/>
      <c r="SUN3" s="120"/>
      <c r="SUO3" s="120"/>
      <c r="SUP3" s="120"/>
      <c r="SUQ3" s="120"/>
      <c r="SUR3" s="120"/>
      <c r="SUS3" s="120"/>
      <c r="SUT3" s="120"/>
      <c r="SUU3" s="120"/>
      <c r="SUV3" s="120"/>
      <c r="SUW3" s="120"/>
      <c r="SUX3" s="120"/>
      <c r="SUY3" s="120"/>
      <c r="SUZ3" s="120"/>
      <c r="SVA3" s="120"/>
      <c r="SVB3" s="120"/>
      <c r="SVC3" s="120"/>
      <c r="SVD3" s="120"/>
      <c r="SVE3" s="120"/>
      <c r="SVF3" s="120"/>
      <c r="SVG3" s="120"/>
      <c r="SVH3" s="120"/>
      <c r="SVI3" s="120"/>
      <c r="SVJ3" s="120"/>
      <c r="SVK3" s="120"/>
      <c r="SVL3" s="120"/>
      <c r="SVM3" s="120"/>
      <c r="SVN3" s="120"/>
      <c r="SVO3" s="120"/>
      <c r="SVP3" s="120"/>
      <c r="SVQ3" s="120"/>
      <c r="SVR3" s="120"/>
      <c r="SVS3" s="120"/>
      <c r="SVT3" s="120"/>
      <c r="SVU3" s="120"/>
      <c r="SVV3" s="120"/>
      <c r="SVW3" s="120"/>
      <c r="SVX3" s="120"/>
      <c r="SVY3" s="120"/>
      <c r="SVZ3" s="120"/>
      <c r="SWA3" s="120"/>
      <c r="SWB3" s="120"/>
      <c r="SWC3" s="120"/>
      <c r="SWD3" s="120"/>
      <c r="SWE3" s="120"/>
      <c r="SWF3" s="120"/>
      <c r="SWG3" s="120"/>
      <c r="SWH3" s="120"/>
      <c r="SWI3" s="120"/>
      <c r="SWJ3" s="120"/>
      <c r="SWK3" s="120"/>
      <c r="SWL3" s="120"/>
      <c r="SWM3" s="120"/>
      <c r="SWN3" s="120"/>
      <c r="SWO3" s="120"/>
      <c r="SWP3" s="120"/>
      <c r="SWQ3" s="120"/>
      <c r="SWR3" s="120"/>
      <c r="SWS3" s="120"/>
      <c r="SWT3" s="120"/>
      <c r="SWU3" s="120"/>
      <c r="SWV3" s="120"/>
      <c r="SWW3" s="120"/>
      <c r="SWX3" s="120"/>
      <c r="SWY3" s="120"/>
      <c r="SWZ3" s="120"/>
      <c r="SXA3" s="120"/>
      <c r="SXB3" s="120"/>
      <c r="SXC3" s="120"/>
      <c r="SXD3" s="120"/>
      <c r="SXE3" s="120"/>
      <c r="SXF3" s="120"/>
      <c r="SXG3" s="120"/>
      <c r="SXH3" s="120"/>
      <c r="SXI3" s="120"/>
      <c r="SXJ3" s="120"/>
      <c r="SXK3" s="120"/>
      <c r="SXL3" s="120"/>
      <c r="SXM3" s="120"/>
      <c r="SXN3" s="120"/>
      <c r="SXO3" s="120"/>
      <c r="SXP3" s="120"/>
      <c r="SXQ3" s="120"/>
      <c r="SXR3" s="120"/>
      <c r="SXS3" s="120"/>
      <c r="SXT3" s="120"/>
      <c r="SXU3" s="120"/>
      <c r="SXV3" s="120"/>
      <c r="SXW3" s="120"/>
      <c r="SXX3" s="120"/>
      <c r="SXY3" s="120"/>
      <c r="SXZ3" s="120"/>
      <c r="SYA3" s="120"/>
      <c r="SYB3" s="120"/>
      <c r="SYC3" s="120"/>
      <c r="SYD3" s="120"/>
      <c r="SYE3" s="120"/>
      <c r="SYF3" s="120"/>
      <c r="SYG3" s="120"/>
      <c r="SYH3" s="120"/>
      <c r="SYI3" s="120"/>
      <c r="SYJ3" s="120"/>
      <c r="SYK3" s="120"/>
      <c r="SYL3" s="120"/>
      <c r="SYM3" s="120"/>
      <c r="SYN3" s="120"/>
      <c r="SYO3" s="120"/>
      <c r="SYP3" s="120"/>
      <c r="SYQ3" s="120"/>
      <c r="SYR3" s="120"/>
      <c r="SYS3" s="120"/>
      <c r="SYT3" s="120"/>
      <c r="SYU3" s="120"/>
      <c r="SYV3" s="120"/>
      <c r="SYW3" s="120"/>
      <c r="SYX3" s="120"/>
      <c r="SYY3" s="120"/>
      <c r="SYZ3" s="120"/>
      <c r="SZA3" s="120"/>
      <c r="SZB3" s="120"/>
      <c r="SZC3" s="120"/>
      <c r="SZD3" s="120"/>
      <c r="SZE3" s="120"/>
      <c r="SZF3" s="120"/>
      <c r="SZG3" s="120"/>
      <c r="SZH3" s="120"/>
      <c r="SZI3" s="120"/>
      <c r="SZJ3" s="120"/>
      <c r="SZK3" s="120"/>
      <c r="SZL3" s="120"/>
      <c r="SZM3" s="120"/>
      <c r="SZN3" s="120"/>
      <c r="SZO3" s="120"/>
      <c r="SZP3" s="120"/>
      <c r="SZQ3" s="120"/>
      <c r="SZR3" s="120"/>
      <c r="SZS3" s="120"/>
      <c r="SZT3" s="120"/>
      <c r="SZU3" s="120"/>
      <c r="SZV3" s="120"/>
      <c r="SZW3" s="120"/>
      <c r="SZX3" s="120"/>
      <c r="SZY3" s="120"/>
      <c r="SZZ3" s="120"/>
      <c r="TAA3" s="120"/>
      <c r="TAB3" s="120"/>
      <c r="TAC3" s="120"/>
      <c r="TAD3" s="120"/>
      <c r="TAE3" s="120"/>
      <c r="TAF3" s="120"/>
      <c r="TAG3" s="120"/>
      <c r="TAH3" s="120"/>
      <c r="TAI3" s="120"/>
      <c r="TAJ3" s="120"/>
      <c r="TAK3" s="120"/>
      <c r="TAL3" s="120"/>
      <c r="TAM3" s="120"/>
      <c r="TAN3" s="120"/>
      <c r="TAO3" s="120"/>
      <c r="TAP3" s="120"/>
      <c r="TAQ3" s="120"/>
      <c r="TAR3" s="120"/>
      <c r="TAS3" s="120"/>
      <c r="TAT3" s="120"/>
      <c r="TAU3" s="120"/>
      <c r="TAV3" s="120"/>
      <c r="TAW3" s="120"/>
      <c r="TAX3" s="120"/>
      <c r="TAY3" s="120"/>
      <c r="TAZ3" s="120"/>
      <c r="TBA3" s="120"/>
      <c r="TBB3" s="120"/>
      <c r="TBC3" s="120"/>
      <c r="TBD3" s="120"/>
      <c r="TBE3" s="120"/>
      <c r="TBF3" s="120"/>
      <c r="TBG3" s="120"/>
      <c r="TBH3" s="120"/>
      <c r="TBI3" s="120"/>
      <c r="TBJ3" s="120"/>
      <c r="TBK3" s="120"/>
      <c r="TBL3" s="120"/>
      <c r="TBM3" s="120"/>
      <c r="TBN3" s="120"/>
      <c r="TBO3" s="120"/>
      <c r="TBP3" s="120"/>
      <c r="TBQ3" s="120"/>
      <c r="TBR3" s="120"/>
      <c r="TBS3" s="120"/>
      <c r="TBT3" s="120"/>
      <c r="TBU3" s="120"/>
      <c r="TBV3" s="120"/>
      <c r="TBW3" s="120"/>
      <c r="TBX3" s="120"/>
      <c r="TBY3" s="120"/>
      <c r="TBZ3" s="120"/>
      <c r="TCA3" s="120"/>
      <c r="TCB3" s="120"/>
      <c r="TCC3" s="120"/>
      <c r="TCD3" s="120"/>
      <c r="TCE3" s="120"/>
      <c r="TCF3" s="120"/>
      <c r="TCG3" s="120"/>
      <c r="TCH3" s="120"/>
      <c r="TCI3" s="120"/>
      <c r="TCJ3" s="120"/>
      <c r="TCK3" s="120"/>
      <c r="TCL3" s="120"/>
      <c r="TCM3" s="120"/>
      <c r="TCN3" s="120"/>
      <c r="TCO3" s="120"/>
      <c r="TCP3" s="120"/>
      <c r="TCQ3" s="120"/>
      <c r="TCR3" s="120"/>
      <c r="TCS3" s="120"/>
      <c r="TCT3" s="120"/>
      <c r="TCU3" s="120"/>
      <c r="TCV3" s="120"/>
      <c r="TCW3" s="120"/>
      <c r="TCX3" s="120"/>
      <c r="TCY3" s="120"/>
      <c r="TCZ3" s="120"/>
      <c r="TDA3" s="120"/>
      <c r="TDB3" s="120"/>
      <c r="TDC3" s="120"/>
      <c r="TDD3" s="120"/>
      <c r="TDE3" s="120"/>
      <c r="TDF3" s="120"/>
      <c r="TDG3" s="120"/>
      <c r="TDH3" s="120"/>
      <c r="TDI3" s="120"/>
      <c r="TDJ3" s="120"/>
      <c r="TDK3" s="120"/>
      <c r="TDL3" s="120"/>
      <c r="TDM3" s="120"/>
      <c r="TDN3" s="120"/>
      <c r="TDO3" s="120"/>
      <c r="TDP3" s="120"/>
      <c r="TDQ3" s="120"/>
      <c r="TDR3" s="120"/>
      <c r="TDS3" s="120"/>
      <c r="TDT3" s="120"/>
      <c r="TDU3" s="120"/>
      <c r="TDV3" s="120"/>
      <c r="TDW3" s="120"/>
      <c r="TDX3" s="120"/>
      <c r="TDY3" s="120"/>
      <c r="TDZ3" s="120"/>
      <c r="TEA3" s="120"/>
      <c r="TEB3" s="120"/>
      <c r="TEC3" s="120"/>
      <c r="TED3" s="120"/>
      <c r="TEE3" s="120"/>
      <c r="TEF3" s="120"/>
      <c r="TEG3" s="120"/>
      <c r="TEH3" s="120"/>
      <c r="TEI3" s="120"/>
      <c r="TEJ3" s="120"/>
      <c r="TEK3" s="120"/>
      <c r="TEL3" s="120"/>
      <c r="TEM3" s="120"/>
      <c r="TEN3" s="120"/>
      <c r="TEO3" s="120"/>
      <c r="TEP3" s="120"/>
      <c r="TEQ3" s="120"/>
      <c r="TER3" s="120"/>
      <c r="TES3" s="120"/>
      <c r="TET3" s="120"/>
      <c r="TEU3" s="120"/>
      <c r="TEV3" s="120"/>
      <c r="TEW3" s="120"/>
      <c r="TEX3" s="120"/>
      <c r="TEY3" s="120"/>
      <c r="TEZ3" s="120"/>
      <c r="TFA3" s="120"/>
      <c r="TFB3" s="120"/>
      <c r="TFC3" s="120"/>
      <c r="TFD3" s="120"/>
      <c r="TFE3" s="120"/>
      <c r="TFF3" s="120"/>
      <c r="TFG3" s="120"/>
      <c r="TFH3" s="120"/>
      <c r="TFI3" s="120"/>
      <c r="TFJ3" s="120"/>
      <c r="TFK3" s="120"/>
      <c r="TFL3" s="120"/>
      <c r="TFM3" s="120"/>
      <c r="TFN3" s="120"/>
      <c r="TFO3" s="120"/>
      <c r="TFP3" s="120"/>
      <c r="TFQ3" s="120"/>
      <c r="TFR3" s="120"/>
      <c r="TFS3" s="120"/>
      <c r="TFT3" s="120"/>
      <c r="TFU3" s="120"/>
      <c r="TFV3" s="120"/>
      <c r="TFW3" s="120"/>
      <c r="TFX3" s="120"/>
      <c r="TFY3" s="120"/>
      <c r="TFZ3" s="120"/>
      <c r="TGA3" s="120"/>
      <c r="TGB3" s="120"/>
      <c r="TGC3" s="120"/>
      <c r="TGD3" s="120"/>
      <c r="TGE3" s="120"/>
      <c r="TGF3" s="120"/>
      <c r="TGG3" s="120"/>
      <c r="TGH3" s="120"/>
      <c r="TGI3" s="120"/>
      <c r="TGJ3" s="120"/>
      <c r="TGK3" s="120"/>
      <c r="TGL3" s="120"/>
      <c r="TGM3" s="120"/>
      <c r="TGN3" s="120"/>
      <c r="TGO3" s="120"/>
      <c r="TGP3" s="120"/>
      <c r="TGQ3" s="120"/>
      <c r="TGR3" s="120"/>
      <c r="TGS3" s="120"/>
      <c r="TGT3" s="120"/>
      <c r="TGU3" s="120"/>
      <c r="TGV3" s="120"/>
      <c r="TGW3" s="120"/>
      <c r="TGX3" s="120"/>
      <c r="TGY3" s="120"/>
      <c r="TGZ3" s="120"/>
      <c r="THA3" s="120"/>
      <c r="THB3" s="120"/>
      <c r="THC3" s="120"/>
      <c r="THD3" s="120"/>
      <c r="THE3" s="120"/>
      <c r="THF3" s="120"/>
      <c r="THG3" s="120"/>
      <c r="THH3" s="120"/>
      <c r="THI3" s="120"/>
      <c r="THJ3" s="120"/>
      <c r="THK3" s="120"/>
      <c r="THL3" s="120"/>
      <c r="THM3" s="120"/>
      <c r="THN3" s="120"/>
      <c r="THO3" s="120"/>
      <c r="THP3" s="120"/>
      <c r="THQ3" s="120"/>
      <c r="THR3" s="120"/>
      <c r="THS3" s="120"/>
      <c r="THT3" s="120"/>
      <c r="THU3" s="120"/>
      <c r="THV3" s="120"/>
      <c r="THW3" s="120"/>
      <c r="THX3" s="120"/>
      <c r="THY3" s="120"/>
      <c r="THZ3" s="120"/>
      <c r="TIA3" s="120"/>
      <c r="TIB3" s="120"/>
      <c r="TIC3" s="120"/>
      <c r="TID3" s="120"/>
      <c r="TIE3" s="120"/>
      <c r="TIF3" s="120"/>
      <c r="TIG3" s="120"/>
      <c r="TIH3" s="120"/>
      <c r="TII3" s="120"/>
      <c r="TIJ3" s="120"/>
      <c r="TIK3" s="120"/>
      <c r="TIL3" s="120"/>
      <c r="TIM3" s="120"/>
      <c r="TIN3" s="120"/>
      <c r="TIO3" s="120"/>
      <c r="TIP3" s="120"/>
      <c r="TIQ3" s="120"/>
      <c r="TIR3" s="120"/>
      <c r="TIS3" s="120"/>
      <c r="TIT3" s="120"/>
      <c r="TIU3" s="120"/>
      <c r="TIV3" s="120"/>
      <c r="TIW3" s="120"/>
      <c r="TIX3" s="120"/>
      <c r="TIY3" s="120"/>
      <c r="TIZ3" s="120"/>
      <c r="TJA3" s="120"/>
      <c r="TJB3" s="120"/>
      <c r="TJC3" s="120"/>
      <c r="TJD3" s="120"/>
      <c r="TJE3" s="120"/>
      <c r="TJF3" s="120"/>
      <c r="TJG3" s="120"/>
      <c r="TJH3" s="120"/>
      <c r="TJI3" s="120"/>
      <c r="TJJ3" s="120"/>
      <c r="TJK3" s="120"/>
      <c r="TJL3" s="120"/>
      <c r="TJM3" s="120"/>
      <c r="TJN3" s="120"/>
      <c r="TJO3" s="120"/>
      <c r="TJP3" s="120"/>
      <c r="TJQ3" s="120"/>
      <c r="TJR3" s="120"/>
      <c r="TJS3" s="120"/>
      <c r="TJT3" s="120"/>
      <c r="TJU3" s="120"/>
      <c r="TJV3" s="120"/>
      <c r="TJW3" s="120"/>
      <c r="TJX3" s="120"/>
      <c r="TJY3" s="120"/>
      <c r="TJZ3" s="120"/>
      <c r="TKA3" s="120"/>
      <c r="TKB3" s="120"/>
      <c r="TKC3" s="120"/>
      <c r="TKD3" s="120"/>
      <c r="TKE3" s="120"/>
      <c r="TKF3" s="120"/>
      <c r="TKG3" s="120"/>
      <c r="TKH3" s="120"/>
      <c r="TKI3" s="120"/>
      <c r="TKJ3" s="120"/>
      <c r="TKK3" s="120"/>
      <c r="TKL3" s="120"/>
      <c r="TKM3" s="120"/>
      <c r="TKN3" s="120"/>
      <c r="TKO3" s="120"/>
      <c r="TKP3" s="120"/>
      <c r="TKQ3" s="120"/>
      <c r="TKR3" s="120"/>
      <c r="TKS3" s="120"/>
      <c r="TKT3" s="120"/>
      <c r="TKU3" s="120"/>
      <c r="TKV3" s="120"/>
      <c r="TKW3" s="120"/>
      <c r="TKX3" s="120"/>
      <c r="TKY3" s="120"/>
      <c r="TKZ3" s="120"/>
      <c r="TLA3" s="120"/>
      <c r="TLB3" s="120"/>
      <c r="TLC3" s="120"/>
      <c r="TLD3" s="120"/>
      <c r="TLE3" s="120"/>
      <c r="TLF3" s="120"/>
      <c r="TLG3" s="120"/>
      <c r="TLH3" s="120"/>
      <c r="TLI3" s="120"/>
      <c r="TLJ3" s="120"/>
      <c r="TLK3" s="120"/>
      <c r="TLL3" s="120"/>
      <c r="TLM3" s="120"/>
      <c r="TLN3" s="120"/>
      <c r="TLO3" s="120"/>
      <c r="TLP3" s="120"/>
      <c r="TLQ3" s="120"/>
      <c r="TLR3" s="120"/>
      <c r="TLS3" s="120"/>
      <c r="TLT3" s="120"/>
      <c r="TLU3" s="120"/>
      <c r="TLV3" s="120"/>
      <c r="TLW3" s="120"/>
      <c r="TLX3" s="120"/>
      <c r="TLY3" s="120"/>
      <c r="TLZ3" s="120"/>
      <c r="TMA3" s="120"/>
      <c r="TMB3" s="120"/>
      <c r="TMC3" s="120"/>
      <c r="TMD3" s="120"/>
      <c r="TME3" s="120"/>
      <c r="TMF3" s="120"/>
      <c r="TMG3" s="120"/>
      <c r="TMH3" s="120"/>
      <c r="TMI3" s="120"/>
      <c r="TMJ3" s="120"/>
      <c r="TMK3" s="120"/>
      <c r="TML3" s="120"/>
      <c r="TMM3" s="120"/>
      <c r="TMN3" s="120"/>
      <c r="TMO3" s="120"/>
      <c r="TMP3" s="120"/>
      <c r="TMQ3" s="120"/>
      <c r="TMR3" s="120"/>
      <c r="TMS3" s="120"/>
      <c r="TMT3" s="120"/>
      <c r="TMU3" s="120"/>
      <c r="TMV3" s="120"/>
      <c r="TMW3" s="120"/>
      <c r="TMX3" s="120"/>
      <c r="TMY3" s="120"/>
      <c r="TMZ3" s="120"/>
      <c r="TNA3" s="120"/>
      <c r="TNB3" s="120"/>
      <c r="TNC3" s="120"/>
      <c r="TND3" s="120"/>
      <c r="TNE3" s="120"/>
      <c r="TNF3" s="120"/>
      <c r="TNG3" s="120"/>
      <c r="TNH3" s="120"/>
      <c r="TNI3" s="120"/>
      <c r="TNJ3" s="120"/>
      <c r="TNK3" s="120"/>
      <c r="TNL3" s="120"/>
      <c r="TNM3" s="120"/>
      <c r="TNN3" s="120"/>
      <c r="TNO3" s="120"/>
      <c r="TNP3" s="120"/>
      <c r="TNQ3" s="120"/>
      <c r="TNR3" s="120"/>
      <c r="TNS3" s="120"/>
      <c r="TNT3" s="120"/>
      <c r="TNU3" s="120"/>
      <c r="TNV3" s="120"/>
      <c r="TNW3" s="120"/>
      <c r="TNX3" s="120"/>
      <c r="TNY3" s="120"/>
      <c r="TNZ3" s="120"/>
      <c r="TOA3" s="120"/>
      <c r="TOB3" s="120"/>
      <c r="TOC3" s="120"/>
      <c r="TOD3" s="120"/>
      <c r="TOE3" s="120"/>
      <c r="TOF3" s="120"/>
      <c r="TOG3" s="120"/>
      <c r="TOH3" s="120"/>
      <c r="TOI3" s="120"/>
      <c r="TOJ3" s="120"/>
      <c r="TOK3" s="120"/>
      <c r="TOL3" s="120"/>
      <c r="TOM3" s="120"/>
      <c r="TON3" s="120"/>
      <c r="TOO3" s="120"/>
      <c r="TOP3" s="120"/>
      <c r="TOQ3" s="120"/>
      <c r="TOR3" s="120"/>
      <c r="TOS3" s="120"/>
      <c r="TOT3" s="120"/>
      <c r="TOU3" s="120"/>
      <c r="TOV3" s="120"/>
      <c r="TOW3" s="120"/>
      <c r="TOX3" s="120"/>
      <c r="TOY3" s="120"/>
      <c r="TOZ3" s="120"/>
      <c r="TPA3" s="120"/>
      <c r="TPB3" s="120"/>
      <c r="TPC3" s="120"/>
      <c r="TPD3" s="120"/>
      <c r="TPE3" s="120"/>
      <c r="TPF3" s="120"/>
      <c r="TPG3" s="120"/>
      <c r="TPH3" s="120"/>
      <c r="TPI3" s="120"/>
      <c r="TPJ3" s="120"/>
      <c r="TPK3" s="120"/>
      <c r="TPL3" s="120"/>
      <c r="TPM3" s="120"/>
      <c r="TPN3" s="120"/>
      <c r="TPO3" s="120"/>
      <c r="TPP3" s="120"/>
      <c r="TPQ3" s="120"/>
      <c r="TPR3" s="120"/>
      <c r="TPS3" s="120"/>
      <c r="TPT3" s="120"/>
      <c r="TPU3" s="120"/>
      <c r="TPV3" s="120"/>
      <c r="TPW3" s="120"/>
      <c r="TPX3" s="120"/>
      <c r="TPY3" s="120"/>
      <c r="TPZ3" s="120"/>
      <c r="TQA3" s="120"/>
      <c r="TQB3" s="120"/>
      <c r="TQC3" s="120"/>
      <c r="TQD3" s="120"/>
      <c r="TQE3" s="120"/>
      <c r="TQF3" s="120"/>
      <c r="TQG3" s="120"/>
      <c r="TQH3" s="120"/>
      <c r="TQI3" s="120"/>
      <c r="TQJ3" s="120"/>
      <c r="TQK3" s="120"/>
      <c r="TQL3" s="120"/>
      <c r="TQM3" s="120"/>
      <c r="TQN3" s="120"/>
      <c r="TQO3" s="120"/>
      <c r="TQP3" s="120"/>
      <c r="TQQ3" s="120"/>
      <c r="TQR3" s="120"/>
      <c r="TQS3" s="120"/>
      <c r="TQT3" s="120"/>
      <c r="TQU3" s="120"/>
      <c r="TQV3" s="120"/>
      <c r="TQW3" s="120"/>
      <c r="TQX3" s="120"/>
      <c r="TQY3" s="120"/>
      <c r="TQZ3" s="120"/>
      <c r="TRA3" s="120"/>
      <c r="TRB3" s="120"/>
      <c r="TRC3" s="120"/>
      <c r="TRD3" s="120"/>
      <c r="TRE3" s="120"/>
      <c r="TRF3" s="120"/>
      <c r="TRG3" s="120"/>
      <c r="TRH3" s="120"/>
      <c r="TRI3" s="120"/>
      <c r="TRJ3" s="120"/>
      <c r="TRK3" s="120"/>
      <c r="TRL3" s="120"/>
      <c r="TRM3" s="120"/>
      <c r="TRN3" s="120"/>
      <c r="TRO3" s="120"/>
      <c r="TRP3" s="120"/>
      <c r="TRQ3" s="120"/>
      <c r="TRR3" s="120"/>
      <c r="TRS3" s="120"/>
      <c r="TRT3" s="120"/>
      <c r="TRU3" s="120"/>
      <c r="TRV3" s="120"/>
      <c r="TRW3" s="120"/>
      <c r="TRX3" s="120"/>
      <c r="TRY3" s="120"/>
      <c r="TRZ3" s="120"/>
      <c r="TSA3" s="120"/>
      <c r="TSB3" s="120"/>
      <c r="TSC3" s="120"/>
      <c r="TSD3" s="120"/>
      <c r="TSE3" s="120"/>
      <c r="TSF3" s="120"/>
      <c r="TSG3" s="120"/>
      <c r="TSH3" s="120"/>
      <c r="TSI3" s="120"/>
      <c r="TSJ3" s="120"/>
      <c r="TSK3" s="120"/>
      <c r="TSL3" s="120"/>
      <c r="TSM3" s="120"/>
      <c r="TSN3" s="120"/>
      <c r="TSO3" s="120"/>
      <c r="TSP3" s="120"/>
      <c r="TSQ3" s="120"/>
      <c r="TSR3" s="120"/>
      <c r="TSS3" s="120"/>
      <c r="TST3" s="120"/>
      <c r="TSU3" s="120"/>
      <c r="TSV3" s="120"/>
      <c r="TSW3" s="120"/>
      <c r="TSX3" s="120"/>
      <c r="TSY3" s="120"/>
      <c r="TSZ3" s="120"/>
      <c r="TTA3" s="120"/>
      <c r="TTB3" s="120"/>
      <c r="TTC3" s="120"/>
      <c r="TTD3" s="120"/>
      <c r="TTE3" s="120"/>
      <c r="TTF3" s="120"/>
      <c r="TTG3" s="120"/>
      <c r="TTH3" s="120"/>
      <c r="TTI3" s="120"/>
      <c r="TTJ3" s="120"/>
      <c r="TTK3" s="120"/>
      <c r="TTL3" s="120"/>
      <c r="TTM3" s="120"/>
      <c r="TTN3" s="120"/>
      <c r="TTO3" s="120"/>
      <c r="TTP3" s="120"/>
      <c r="TTQ3" s="120"/>
      <c r="TTR3" s="120"/>
      <c r="TTS3" s="120"/>
      <c r="TTT3" s="120"/>
      <c r="TTU3" s="120"/>
      <c r="TTV3" s="120"/>
      <c r="TTW3" s="120"/>
      <c r="TTX3" s="120"/>
      <c r="TTY3" s="120"/>
      <c r="TTZ3" s="120"/>
      <c r="TUA3" s="120"/>
      <c r="TUB3" s="120"/>
      <c r="TUC3" s="120"/>
      <c r="TUD3" s="120"/>
      <c r="TUE3" s="120"/>
      <c r="TUF3" s="120"/>
      <c r="TUG3" s="120"/>
      <c r="TUH3" s="120"/>
      <c r="TUI3" s="120"/>
      <c r="TUJ3" s="120"/>
      <c r="TUK3" s="120"/>
      <c r="TUL3" s="120"/>
      <c r="TUM3" s="120"/>
      <c r="TUN3" s="120"/>
      <c r="TUO3" s="120"/>
      <c r="TUP3" s="120"/>
      <c r="TUQ3" s="120"/>
      <c r="TUR3" s="120"/>
      <c r="TUS3" s="120"/>
      <c r="TUT3" s="120"/>
      <c r="TUU3" s="120"/>
      <c r="TUV3" s="120"/>
      <c r="TUW3" s="120"/>
      <c r="TUX3" s="120"/>
      <c r="TUY3" s="120"/>
      <c r="TUZ3" s="120"/>
      <c r="TVA3" s="120"/>
      <c r="TVB3" s="120"/>
      <c r="TVC3" s="120"/>
      <c r="TVD3" s="120"/>
      <c r="TVE3" s="120"/>
      <c r="TVF3" s="120"/>
      <c r="TVG3" s="120"/>
      <c r="TVH3" s="120"/>
      <c r="TVI3" s="120"/>
      <c r="TVJ3" s="120"/>
      <c r="TVK3" s="120"/>
      <c r="TVL3" s="120"/>
      <c r="TVM3" s="120"/>
      <c r="TVN3" s="120"/>
      <c r="TVO3" s="120"/>
      <c r="TVP3" s="120"/>
      <c r="TVQ3" s="120"/>
      <c r="TVR3" s="120"/>
      <c r="TVS3" s="120"/>
      <c r="TVT3" s="120"/>
      <c r="TVU3" s="120"/>
      <c r="TVV3" s="120"/>
      <c r="TVW3" s="120"/>
      <c r="TVX3" s="120"/>
      <c r="TVY3" s="120"/>
      <c r="TVZ3" s="120"/>
      <c r="TWA3" s="120"/>
      <c r="TWB3" s="120"/>
      <c r="TWC3" s="120"/>
      <c r="TWD3" s="120"/>
      <c r="TWE3" s="120"/>
      <c r="TWF3" s="120"/>
      <c r="TWG3" s="120"/>
      <c r="TWH3" s="120"/>
      <c r="TWI3" s="120"/>
      <c r="TWJ3" s="120"/>
      <c r="TWK3" s="120"/>
      <c r="TWL3" s="120"/>
      <c r="TWM3" s="120"/>
      <c r="TWN3" s="120"/>
      <c r="TWO3" s="120"/>
      <c r="TWP3" s="120"/>
      <c r="TWQ3" s="120"/>
      <c r="TWR3" s="120"/>
      <c r="TWS3" s="120"/>
      <c r="TWT3" s="120"/>
      <c r="TWU3" s="120"/>
      <c r="TWV3" s="120"/>
      <c r="TWW3" s="120"/>
      <c r="TWX3" s="120"/>
      <c r="TWY3" s="120"/>
      <c r="TWZ3" s="120"/>
      <c r="TXA3" s="120"/>
      <c r="TXB3" s="120"/>
      <c r="TXC3" s="120"/>
      <c r="TXD3" s="120"/>
      <c r="TXE3" s="120"/>
      <c r="TXF3" s="120"/>
      <c r="TXG3" s="120"/>
      <c r="TXH3" s="120"/>
      <c r="TXI3" s="120"/>
      <c r="TXJ3" s="120"/>
      <c r="TXK3" s="120"/>
      <c r="TXL3" s="120"/>
      <c r="TXM3" s="120"/>
      <c r="TXN3" s="120"/>
      <c r="TXO3" s="120"/>
      <c r="TXP3" s="120"/>
      <c r="TXQ3" s="120"/>
      <c r="TXR3" s="120"/>
      <c r="TXS3" s="120"/>
      <c r="TXT3" s="120"/>
      <c r="TXU3" s="120"/>
      <c r="TXV3" s="120"/>
      <c r="TXW3" s="120"/>
      <c r="TXX3" s="120"/>
      <c r="TXY3" s="120"/>
      <c r="TXZ3" s="120"/>
      <c r="TYA3" s="120"/>
      <c r="TYB3" s="120"/>
      <c r="TYC3" s="120"/>
      <c r="TYD3" s="120"/>
      <c r="TYE3" s="120"/>
      <c r="TYF3" s="120"/>
      <c r="TYG3" s="120"/>
      <c r="TYH3" s="120"/>
      <c r="TYI3" s="120"/>
      <c r="TYJ3" s="120"/>
      <c r="TYK3" s="120"/>
      <c r="TYL3" s="120"/>
      <c r="TYM3" s="120"/>
      <c r="TYN3" s="120"/>
      <c r="TYO3" s="120"/>
      <c r="TYP3" s="120"/>
      <c r="TYQ3" s="120"/>
      <c r="TYR3" s="120"/>
      <c r="TYS3" s="120"/>
      <c r="TYT3" s="120"/>
      <c r="TYU3" s="120"/>
      <c r="TYV3" s="120"/>
      <c r="TYW3" s="120"/>
      <c r="TYX3" s="120"/>
      <c r="TYY3" s="120"/>
      <c r="TYZ3" s="120"/>
      <c r="TZA3" s="120"/>
      <c r="TZB3" s="120"/>
      <c r="TZC3" s="120"/>
      <c r="TZD3" s="120"/>
      <c r="TZE3" s="120"/>
      <c r="TZF3" s="120"/>
      <c r="TZG3" s="120"/>
      <c r="TZH3" s="120"/>
      <c r="TZI3" s="120"/>
      <c r="TZJ3" s="120"/>
      <c r="TZK3" s="120"/>
      <c r="TZL3" s="120"/>
      <c r="TZM3" s="120"/>
      <c r="TZN3" s="120"/>
      <c r="TZO3" s="120"/>
      <c r="TZP3" s="120"/>
      <c r="TZQ3" s="120"/>
      <c r="TZR3" s="120"/>
      <c r="TZS3" s="120"/>
      <c r="TZT3" s="120"/>
      <c r="TZU3" s="120"/>
      <c r="TZV3" s="120"/>
      <c r="TZW3" s="120"/>
      <c r="TZX3" s="120"/>
      <c r="TZY3" s="120"/>
      <c r="TZZ3" s="120"/>
      <c r="UAA3" s="120"/>
      <c r="UAB3" s="120"/>
      <c r="UAC3" s="120"/>
      <c r="UAD3" s="120"/>
      <c r="UAE3" s="120"/>
      <c r="UAF3" s="120"/>
      <c r="UAG3" s="120"/>
      <c r="UAH3" s="120"/>
      <c r="UAI3" s="120"/>
      <c r="UAJ3" s="120"/>
      <c r="UAK3" s="120"/>
      <c r="UAL3" s="120"/>
      <c r="UAM3" s="120"/>
      <c r="UAN3" s="120"/>
      <c r="UAO3" s="120"/>
      <c r="UAP3" s="120"/>
      <c r="UAQ3" s="120"/>
      <c r="UAR3" s="120"/>
      <c r="UAS3" s="120"/>
      <c r="UAT3" s="120"/>
      <c r="UAU3" s="120"/>
      <c r="UAV3" s="120"/>
      <c r="UAW3" s="120"/>
      <c r="UAX3" s="120"/>
      <c r="UAY3" s="120"/>
      <c r="UAZ3" s="120"/>
      <c r="UBA3" s="120"/>
      <c r="UBB3" s="120"/>
      <c r="UBC3" s="120"/>
      <c r="UBD3" s="120"/>
      <c r="UBE3" s="120"/>
      <c r="UBF3" s="120"/>
      <c r="UBG3" s="120"/>
      <c r="UBH3" s="120"/>
      <c r="UBI3" s="120"/>
      <c r="UBJ3" s="120"/>
      <c r="UBK3" s="120"/>
      <c r="UBL3" s="120"/>
      <c r="UBM3" s="120"/>
      <c r="UBN3" s="120"/>
      <c r="UBO3" s="120"/>
      <c r="UBP3" s="120"/>
      <c r="UBQ3" s="120"/>
      <c r="UBR3" s="120"/>
      <c r="UBS3" s="120"/>
      <c r="UBT3" s="120"/>
      <c r="UBU3" s="120"/>
      <c r="UBV3" s="120"/>
      <c r="UBW3" s="120"/>
      <c r="UBX3" s="120"/>
      <c r="UBY3" s="120"/>
      <c r="UBZ3" s="120"/>
      <c r="UCA3" s="120"/>
      <c r="UCB3" s="120"/>
      <c r="UCC3" s="120"/>
      <c r="UCD3" s="120"/>
      <c r="UCE3" s="120"/>
      <c r="UCF3" s="120"/>
      <c r="UCG3" s="120"/>
      <c r="UCH3" s="120"/>
      <c r="UCI3" s="120"/>
      <c r="UCJ3" s="120"/>
      <c r="UCK3" s="120"/>
      <c r="UCL3" s="120"/>
      <c r="UCM3" s="120"/>
      <c r="UCN3" s="120"/>
      <c r="UCO3" s="120"/>
      <c r="UCP3" s="120"/>
      <c r="UCQ3" s="120"/>
      <c r="UCR3" s="120"/>
      <c r="UCS3" s="120"/>
      <c r="UCT3" s="120"/>
      <c r="UCU3" s="120"/>
      <c r="UCV3" s="120"/>
      <c r="UCW3" s="120"/>
      <c r="UCX3" s="120"/>
      <c r="UCY3" s="120"/>
      <c r="UCZ3" s="120"/>
      <c r="UDA3" s="120"/>
      <c r="UDB3" s="120"/>
      <c r="UDC3" s="120"/>
      <c r="UDD3" s="120"/>
      <c r="UDE3" s="120"/>
      <c r="UDF3" s="120"/>
      <c r="UDG3" s="120"/>
      <c r="UDH3" s="120"/>
      <c r="UDI3" s="120"/>
      <c r="UDJ3" s="120"/>
      <c r="UDK3" s="120"/>
      <c r="UDL3" s="120"/>
      <c r="UDM3" s="120"/>
      <c r="UDN3" s="120"/>
      <c r="UDO3" s="120"/>
      <c r="UDP3" s="120"/>
      <c r="UDQ3" s="120"/>
      <c r="UDR3" s="120"/>
      <c r="UDS3" s="120"/>
      <c r="UDT3" s="120"/>
      <c r="UDU3" s="120"/>
      <c r="UDV3" s="120"/>
      <c r="UDW3" s="120"/>
      <c r="UDX3" s="120"/>
      <c r="UDY3" s="120"/>
      <c r="UDZ3" s="120"/>
      <c r="UEA3" s="120"/>
      <c r="UEB3" s="120"/>
      <c r="UEC3" s="120"/>
      <c r="UED3" s="120"/>
      <c r="UEE3" s="120"/>
      <c r="UEF3" s="120"/>
      <c r="UEG3" s="120"/>
      <c r="UEH3" s="120"/>
      <c r="UEI3" s="120"/>
      <c r="UEJ3" s="120"/>
      <c r="UEK3" s="120"/>
      <c r="UEL3" s="120"/>
      <c r="UEM3" s="120"/>
      <c r="UEN3" s="120"/>
      <c r="UEO3" s="120"/>
      <c r="UEP3" s="120"/>
      <c r="UEQ3" s="120"/>
      <c r="UER3" s="120"/>
      <c r="UES3" s="120"/>
      <c r="UET3" s="120"/>
      <c r="UEU3" s="120"/>
      <c r="UEV3" s="120"/>
      <c r="UEW3" s="120"/>
      <c r="UEX3" s="120"/>
      <c r="UEY3" s="120"/>
      <c r="UEZ3" s="120"/>
      <c r="UFA3" s="120"/>
      <c r="UFB3" s="120"/>
      <c r="UFC3" s="120"/>
      <c r="UFD3" s="120"/>
      <c r="UFE3" s="120"/>
      <c r="UFF3" s="120"/>
      <c r="UFG3" s="120"/>
      <c r="UFH3" s="120"/>
      <c r="UFI3" s="120"/>
      <c r="UFJ3" s="120"/>
      <c r="UFK3" s="120"/>
      <c r="UFL3" s="120"/>
      <c r="UFM3" s="120"/>
      <c r="UFN3" s="120"/>
      <c r="UFO3" s="120"/>
      <c r="UFP3" s="120"/>
      <c r="UFQ3" s="120"/>
      <c r="UFR3" s="120"/>
      <c r="UFS3" s="120"/>
      <c r="UFT3" s="120"/>
      <c r="UFU3" s="120"/>
      <c r="UFV3" s="120"/>
      <c r="UFW3" s="120"/>
      <c r="UFX3" s="120"/>
      <c r="UFY3" s="120"/>
      <c r="UFZ3" s="120"/>
      <c r="UGA3" s="120"/>
      <c r="UGB3" s="120"/>
      <c r="UGC3" s="120"/>
      <c r="UGD3" s="120"/>
      <c r="UGE3" s="120"/>
      <c r="UGF3" s="120"/>
      <c r="UGG3" s="120"/>
      <c r="UGH3" s="120"/>
      <c r="UGI3" s="120"/>
      <c r="UGJ3" s="120"/>
      <c r="UGK3" s="120"/>
      <c r="UGL3" s="120"/>
      <c r="UGM3" s="120"/>
      <c r="UGN3" s="120"/>
      <c r="UGO3" s="120"/>
      <c r="UGP3" s="120"/>
      <c r="UGQ3" s="120"/>
      <c r="UGR3" s="120"/>
      <c r="UGS3" s="120"/>
      <c r="UGT3" s="120"/>
      <c r="UGU3" s="120"/>
      <c r="UGV3" s="120"/>
      <c r="UGW3" s="120"/>
      <c r="UGX3" s="120"/>
      <c r="UGY3" s="120"/>
      <c r="UGZ3" s="120"/>
      <c r="UHA3" s="120"/>
      <c r="UHB3" s="120"/>
      <c r="UHC3" s="120"/>
      <c r="UHD3" s="120"/>
      <c r="UHE3" s="120"/>
      <c r="UHF3" s="120"/>
      <c r="UHG3" s="120"/>
      <c r="UHH3" s="120"/>
      <c r="UHI3" s="120"/>
      <c r="UHJ3" s="120"/>
      <c r="UHK3" s="120"/>
      <c r="UHL3" s="120"/>
      <c r="UHM3" s="120"/>
      <c r="UHN3" s="120"/>
      <c r="UHO3" s="120"/>
      <c r="UHP3" s="120"/>
      <c r="UHQ3" s="120"/>
      <c r="UHR3" s="120"/>
      <c r="UHS3" s="120"/>
      <c r="UHT3" s="120"/>
      <c r="UHU3" s="120"/>
      <c r="UHV3" s="120"/>
      <c r="UHW3" s="120"/>
      <c r="UHX3" s="120"/>
      <c r="UHY3" s="120"/>
      <c r="UHZ3" s="120"/>
      <c r="UIA3" s="120"/>
      <c r="UIB3" s="120"/>
      <c r="UIC3" s="120"/>
      <c r="UID3" s="120"/>
      <c r="UIE3" s="120"/>
      <c r="UIF3" s="120"/>
      <c r="UIG3" s="120"/>
      <c r="UIH3" s="120"/>
      <c r="UII3" s="120"/>
      <c r="UIJ3" s="120"/>
      <c r="UIK3" s="120"/>
      <c r="UIL3" s="120"/>
      <c r="UIM3" s="120"/>
      <c r="UIN3" s="120"/>
      <c r="UIO3" s="120"/>
      <c r="UIP3" s="120"/>
      <c r="UIQ3" s="120"/>
      <c r="UIR3" s="120"/>
      <c r="UIS3" s="120"/>
      <c r="UIT3" s="120"/>
      <c r="UIU3" s="120"/>
      <c r="UIV3" s="120"/>
      <c r="UIW3" s="120"/>
      <c r="UIX3" s="120"/>
      <c r="UIY3" s="120"/>
      <c r="UIZ3" s="120"/>
      <c r="UJA3" s="120"/>
      <c r="UJB3" s="120"/>
      <c r="UJC3" s="120"/>
      <c r="UJD3" s="120"/>
      <c r="UJE3" s="120"/>
      <c r="UJF3" s="120"/>
      <c r="UJG3" s="120"/>
      <c r="UJH3" s="120"/>
      <c r="UJI3" s="120"/>
      <c r="UJJ3" s="120"/>
      <c r="UJK3" s="120"/>
      <c r="UJL3" s="120"/>
      <c r="UJM3" s="120"/>
      <c r="UJN3" s="120"/>
      <c r="UJO3" s="120"/>
      <c r="UJP3" s="120"/>
      <c r="UJQ3" s="120"/>
      <c r="UJR3" s="120"/>
      <c r="UJS3" s="120"/>
      <c r="UJT3" s="120"/>
      <c r="UJU3" s="120"/>
      <c r="UJV3" s="120"/>
      <c r="UJW3" s="120"/>
      <c r="UJX3" s="120"/>
      <c r="UJY3" s="120"/>
      <c r="UJZ3" s="120"/>
      <c r="UKA3" s="120"/>
      <c r="UKB3" s="120"/>
      <c r="UKC3" s="120"/>
      <c r="UKD3" s="120"/>
      <c r="UKE3" s="120"/>
      <c r="UKF3" s="120"/>
      <c r="UKG3" s="120"/>
      <c r="UKH3" s="120"/>
      <c r="UKI3" s="120"/>
      <c r="UKJ3" s="120"/>
      <c r="UKK3" s="120"/>
      <c r="UKL3" s="120"/>
      <c r="UKM3" s="120"/>
      <c r="UKN3" s="120"/>
      <c r="UKO3" s="120"/>
      <c r="UKP3" s="120"/>
      <c r="UKQ3" s="120"/>
      <c r="UKR3" s="120"/>
      <c r="UKS3" s="120"/>
      <c r="UKT3" s="120"/>
      <c r="UKU3" s="120"/>
      <c r="UKV3" s="120"/>
      <c r="UKW3" s="120"/>
      <c r="UKX3" s="120"/>
      <c r="UKY3" s="120"/>
      <c r="UKZ3" s="120"/>
      <c r="ULA3" s="120"/>
      <c r="ULB3" s="120"/>
      <c r="ULC3" s="120"/>
      <c r="ULD3" s="120"/>
      <c r="ULE3" s="120"/>
      <c r="ULF3" s="120"/>
      <c r="ULG3" s="120"/>
      <c r="ULH3" s="120"/>
      <c r="ULI3" s="120"/>
      <c r="ULJ3" s="120"/>
      <c r="ULK3" s="120"/>
      <c r="ULL3" s="120"/>
      <c r="ULM3" s="120"/>
      <c r="ULN3" s="120"/>
      <c r="ULO3" s="120"/>
      <c r="ULP3" s="120"/>
      <c r="ULQ3" s="120"/>
      <c r="ULR3" s="120"/>
      <c r="ULS3" s="120"/>
      <c r="ULT3" s="120"/>
      <c r="ULU3" s="120"/>
      <c r="ULV3" s="120"/>
      <c r="ULW3" s="120"/>
      <c r="ULX3" s="120"/>
      <c r="ULY3" s="120"/>
      <c r="ULZ3" s="120"/>
      <c r="UMA3" s="120"/>
      <c r="UMB3" s="120"/>
      <c r="UMC3" s="120"/>
      <c r="UMD3" s="120"/>
      <c r="UME3" s="120"/>
      <c r="UMF3" s="120"/>
      <c r="UMG3" s="120"/>
      <c r="UMH3" s="120"/>
      <c r="UMI3" s="120"/>
      <c r="UMJ3" s="120"/>
      <c r="UMK3" s="120"/>
      <c r="UML3" s="120"/>
      <c r="UMM3" s="120"/>
      <c r="UMN3" s="120"/>
      <c r="UMO3" s="120"/>
      <c r="UMP3" s="120"/>
      <c r="UMQ3" s="120"/>
      <c r="UMR3" s="120"/>
      <c r="UMS3" s="120"/>
      <c r="UMT3" s="120"/>
      <c r="UMU3" s="120"/>
      <c r="UMV3" s="120"/>
      <c r="UMW3" s="120"/>
      <c r="UMX3" s="120"/>
      <c r="UMY3" s="120"/>
      <c r="UMZ3" s="120"/>
      <c r="UNA3" s="120"/>
      <c r="UNB3" s="120"/>
      <c r="UNC3" s="120"/>
      <c r="UND3" s="120"/>
      <c r="UNE3" s="120"/>
      <c r="UNF3" s="120"/>
      <c r="UNG3" s="120"/>
      <c r="UNH3" s="120"/>
      <c r="UNI3" s="120"/>
      <c r="UNJ3" s="120"/>
      <c r="UNK3" s="120"/>
      <c r="UNL3" s="120"/>
      <c r="UNM3" s="120"/>
      <c r="UNN3" s="120"/>
      <c r="UNO3" s="120"/>
      <c r="UNP3" s="120"/>
      <c r="UNQ3" s="120"/>
      <c r="UNR3" s="120"/>
      <c r="UNS3" s="120"/>
      <c r="UNT3" s="120"/>
      <c r="UNU3" s="120"/>
      <c r="UNV3" s="120"/>
      <c r="UNW3" s="120"/>
      <c r="UNX3" s="120"/>
      <c r="UNY3" s="120"/>
      <c r="UNZ3" s="120"/>
      <c r="UOA3" s="120"/>
      <c r="UOB3" s="120"/>
      <c r="UOC3" s="120"/>
      <c r="UOD3" s="120"/>
      <c r="UOE3" s="120"/>
      <c r="UOF3" s="120"/>
      <c r="UOG3" s="120"/>
      <c r="UOH3" s="120"/>
      <c r="UOI3" s="120"/>
      <c r="UOJ3" s="120"/>
      <c r="UOK3" s="120"/>
      <c r="UOL3" s="120"/>
      <c r="UOM3" s="120"/>
      <c r="UON3" s="120"/>
      <c r="UOO3" s="120"/>
      <c r="UOP3" s="120"/>
      <c r="UOQ3" s="120"/>
      <c r="UOR3" s="120"/>
      <c r="UOS3" s="120"/>
      <c r="UOT3" s="120"/>
      <c r="UOU3" s="120"/>
      <c r="UOV3" s="120"/>
      <c r="UOW3" s="120"/>
      <c r="UOX3" s="120"/>
      <c r="UOY3" s="120"/>
      <c r="UOZ3" s="120"/>
      <c r="UPA3" s="120"/>
      <c r="UPB3" s="120"/>
      <c r="UPC3" s="120"/>
      <c r="UPD3" s="120"/>
      <c r="UPE3" s="120"/>
      <c r="UPF3" s="120"/>
      <c r="UPG3" s="120"/>
      <c r="UPH3" s="120"/>
      <c r="UPI3" s="120"/>
      <c r="UPJ3" s="120"/>
      <c r="UPK3" s="120"/>
      <c r="UPL3" s="120"/>
      <c r="UPM3" s="120"/>
      <c r="UPN3" s="120"/>
      <c r="UPO3" s="120"/>
      <c r="UPP3" s="120"/>
      <c r="UPQ3" s="120"/>
      <c r="UPR3" s="120"/>
      <c r="UPS3" s="120"/>
      <c r="UPT3" s="120"/>
      <c r="UPU3" s="120"/>
      <c r="UPV3" s="120"/>
      <c r="UPW3" s="120"/>
      <c r="UPX3" s="120"/>
      <c r="UPY3" s="120"/>
      <c r="UPZ3" s="120"/>
      <c r="UQA3" s="120"/>
      <c r="UQB3" s="120"/>
      <c r="UQC3" s="120"/>
      <c r="UQD3" s="120"/>
      <c r="UQE3" s="120"/>
      <c r="UQF3" s="120"/>
      <c r="UQG3" s="120"/>
      <c r="UQH3" s="120"/>
      <c r="UQI3" s="120"/>
      <c r="UQJ3" s="120"/>
      <c r="UQK3" s="120"/>
      <c r="UQL3" s="120"/>
      <c r="UQM3" s="120"/>
      <c r="UQN3" s="120"/>
      <c r="UQO3" s="120"/>
      <c r="UQP3" s="120"/>
      <c r="UQQ3" s="120"/>
      <c r="UQR3" s="120"/>
      <c r="UQS3" s="120"/>
      <c r="UQT3" s="120"/>
      <c r="UQU3" s="120"/>
      <c r="UQV3" s="120"/>
      <c r="UQW3" s="120"/>
      <c r="UQX3" s="120"/>
      <c r="UQY3" s="120"/>
      <c r="UQZ3" s="120"/>
      <c r="URA3" s="120"/>
      <c r="URB3" s="120"/>
      <c r="URC3" s="120"/>
      <c r="URD3" s="120"/>
      <c r="URE3" s="120"/>
      <c r="URF3" s="120"/>
      <c r="URG3" s="120"/>
      <c r="URH3" s="120"/>
      <c r="URI3" s="120"/>
      <c r="URJ3" s="120"/>
      <c r="URK3" s="120"/>
      <c r="URL3" s="120"/>
      <c r="URM3" s="120"/>
      <c r="URN3" s="120"/>
      <c r="URO3" s="120"/>
      <c r="URP3" s="120"/>
      <c r="URQ3" s="120"/>
      <c r="URR3" s="120"/>
      <c r="URS3" s="120"/>
      <c r="URT3" s="120"/>
      <c r="URU3" s="120"/>
      <c r="URV3" s="120"/>
      <c r="URW3" s="120"/>
      <c r="URX3" s="120"/>
      <c r="URY3" s="120"/>
      <c r="URZ3" s="120"/>
      <c r="USA3" s="120"/>
      <c r="USB3" s="120"/>
      <c r="USC3" s="120"/>
      <c r="USD3" s="120"/>
      <c r="USE3" s="120"/>
      <c r="USF3" s="120"/>
      <c r="USG3" s="120"/>
      <c r="USH3" s="120"/>
      <c r="USI3" s="120"/>
      <c r="USJ3" s="120"/>
      <c r="USK3" s="120"/>
      <c r="USL3" s="120"/>
      <c r="USM3" s="120"/>
      <c r="USN3" s="120"/>
      <c r="USO3" s="120"/>
      <c r="USP3" s="120"/>
      <c r="USQ3" s="120"/>
      <c r="USR3" s="120"/>
      <c r="USS3" s="120"/>
      <c r="UST3" s="120"/>
      <c r="USU3" s="120"/>
      <c r="USV3" s="120"/>
      <c r="USW3" s="120"/>
      <c r="USX3" s="120"/>
      <c r="USY3" s="120"/>
      <c r="USZ3" s="120"/>
      <c r="UTA3" s="120"/>
      <c r="UTB3" s="120"/>
      <c r="UTC3" s="120"/>
      <c r="UTD3" s="120"/>
      <c r="UTE3" s="120"/>
      <c r="UTF3" s="120"/>
      <c r="UTG3" s="120"/>
      <c r="UTH3" s="120"/>
      <c r="UTI3" s="120"/>
      <c r="UTJ3" s="120"/>
      <c r="UTK3" s="120"/>
      <c r="UTL3" s="120"/>
      <c r="UTM3" s="120"/>
      <c r="UTN3" s="120"/>
      <c r="UTO3" s="120"/>
      <c r="UTP3" s="120"/>
      <c r="UTQ3" s="120"/>
      <c r="UTR3" s="120"/>
      <c r="UTS3" s="120"/>
      <c r="UTT3" s="120"/>
      <c r="UTU3" s="120"/>
      <c r="UTV3" s="120"/>
      <c r="UTW3" s="120"/>
      <c r="UTX3" s="120"/>
      <c r="UTY3" s="120"/>
      <c r="UTZ3" s="120"/>
      <c r="UUA3" s="120"/>
      <c r="UUB3" s="120"/>
      <c r="UUC3" s="120"/>
      <c r="UUD3" s="120"/>
      <c r="UUE3" s="120"/>
      <c r="UUF3" s="120"/>
      <c r="UUG3" s="120"/>
      <c r="UUH3" s="120"/>
      <c r="UUI3" s="120"/>
      <c r="UUJ3" s="120"/>
      <c r="UUK3" s="120"/>
      <c r="UUL3" s="120"/>
      <c r="UUM3" s="120"/>
      <c r="UUN3" s="120"/>
      <c r="UUO3" s="120"/>
      <c r="UUP3" s="120"/>
      <c r="UUQ3" s="120"/>
      <c r="UUR3" s="120"/>
      <c r="UUS3" s="120"/>
      <c r="UUT3" s="120"/>
      <c r="UUU3" s="120"/>
      <c r="UUV3" s="120"/>
      <c r="UUW3" s="120"/>
      <c r="UUX3" s="120"/>
      <c r="UUY3" s="120"/>
      <c r="UUZ3" s="120"/>
      <c r="UVA3" s="120"/>
      <c r="UVB3" s="120"/>
      <c r="UVC3" s="120"/>
      <c r="UVD3" s="120"/>
      <c r="UVE3" s="120"/>
      <c r="UVF3" s="120"/>
      <c r="UVG3" s="120"/>
      <c r="UVH3" s="120"/>
      <c r="UVI3" s="120"/>
      <c r="UVJ3" s="120"/>
      <c r="UVK3" s="120"/>
      <c r="UVL3" s="120"/>
      <c r="UVM3" s="120"/>
      <c r="UVN3" s="120"/>
      <c r="UVO3" s="120"/>
      <c r="UVP3" s="120"/>
      <c r="UVQ3" s="120"/>
      <c r="UVR3" s="120"/>
      <c r="UVS3" s="120"/>
      <c r="UVT3" s="120"/>
      <c r="UVU3" s="120"/>
      <c r="UVV3" s="120"/>
      <c r="UVW3" s="120"/>
      <c r="UVX3" s="120"/>
      <c r="UVY3" s="120"/>
      <c r="UVZ3" s="120"/>
      <c r="UWA3" s="120"/>
      <c r="UWB3" s="120"/>
      <c r="UWC3" s="120"/>
      <c r="UWD3" s="120"/>
      <c r="UWE3" s="120"/>
      <c r="UWF3" s="120"/>
      <c r="UWG3" s="120"/>
      <c r="UWH3" s="120"/>
      <c r="UWI3" s="120"/>
      <c r="UWJ3" s="120"/>
      <c r="UWK3" s="120"/>
      <c r="UWL3" s="120"/>
      <c r="UWM3" s="120"/>
      <c r="UWN3" s="120"/>
      <c r="UWO3" s="120"/>
      <c r="UWP3" s="120"/>
      <c r="UWQ3" s="120"/>
      <c r="UWR3" s="120"/>
      <c r="UWS3" s="120"/>
      <c r="UWT3" s="120"/>
      <c r="UWU3" s="120"/>
      <c r="UWV3" s="120"/>
      <c r="UWW3" s="120"/>
      <c r="UWX3" s="120"/>
      <c r="UWY3" s="120"/>
      <c r="UWZ3" s="120"/>
      <c r="UXA3" s="120"/>
      <c r="UXB3" s="120"/>
      <c r="UXC3" s="120"/>
      <c r="UXD3" s="120"/>
      <c r="UXE3" s="120"/>
      <c r="UXF3" s="120"/>
      <c r="UXG3" s="120"/>
      <c r="UXH3" s="120"/>
      <c r="UXI3" s="120"/>
      <c r="UXJ3" s="120"/>
      <c r="UXK3" s="120"/>
      <c r="UXL3" s="120"/>
      <c r="UXM3" s="120"/>
      <c r="UXN3" s="120"/>
      <c r="UXO3" s="120"/>
      <c r="UXP3" s="120"/>
      <c r="UXQ3" s="120"/>
      <c r="UXR3" s="120"/>
      <c r="UXS3" s="120"/>
      <c r="UXT3" s="120"/>
      <c r="UXU3" s="120"/>
      <c r="UXV3" s="120"/>
      <c r="UXW3" s="120"/>
      <c r="UXX3" s="120"/>
      <c r="UXY3" s="120"/>
      <c r="UXZ3" s="120"/>
      <c r="UYA3" s="120"/>
      <c r="UYB3" s="120"/>
      <c r="UYC3" s="120"/>
      <c r="UYD3" s="120"/>
      <c r="UYE3" s="120"/>
      <c r="UYF3" s="120"/>
      <c r="UYG3" s="120"/>
      <c r="UYH3" s="120"/>
      <c r="UYI3" s="120"/>
      <c r="UYJ3" s="120"/>
      <c r="UYK3" s="120"/>
      <c r="UYL3" s="120"/>
      <c r="UYM3" s="120"/>
      <c r="UYN3" s="120"/>
      <c r="UYO3" s="120"/>
      <c r="UYP3" s="120"/>
      <c r="UYQ3" s="120"/>
      <c r="UYR3" s="120"/>
      <c r="UYS3" s="120"/>
      <c r="UYT3" s="120"/>
      <c r="UYU3" s="120"/>
      <c r="UYV3" s="120"/>
      <c r="UYW3" s="120"/>
      <c r="UYX3" s="120"/>
      <c r="UYY3" s="120"/>
      <c r="UYZ3" s="120"/>
      <c r="UZA3" s="120"/>
      <c r="UZB3" s="120"/>
      <c r="UZC3" s="120"/>
      <c r="UZD3" s="120"/>
      <c r="UZE3" s="120"/>
      <c r="UZF3" s="120"/>
      <c r="UZG3" s="120"/>
      <c r="UZH3" s="120"/>
      <c r="UZI3" s="120"/>
      <c r="UZJ3" s="120"/>
      <c r="UZK3" s="120"/>
      <c r="UZL3" s="120"/>
      <c r="UZM3" s="120"/>
      <c r="UZN3" s="120"/>
      <c r="UZO3" s="120"/>
      <c r="UZP3" s="120"/>
      <c r="UZQ3" s="120"/>
      <c r="UZR3" s="120"/>
      <c r="UZS3" s="120"/>
      <c r="UZT3" s="120"/>
      <c r="UZU3" s="120"/>
      <c r="UZV3" s="120"/>
      <c r="UZW3" s="120"/>
      <c r="UZX3" s="120"/>
      <c r="UZY3" s="120"/>
      <c r="UZZ3" s="120"/>
      <c r="VAA3" s="120"/>
      <c r="VAB3" s="120"/>
      <c r="VAC3" s="120"/>
      <c r="VAD3" s="120"/>
      <c r="VAE3" s="120"/>
      <c r="VAF3" s="120"/>
      <c r="VAG3" s="120"/>
      <c r="VAH3" s="120"/>
      <c r="VAI3" s="120"/>
      <c r="VAJ3" s="120"/>
      <c r="VAK3" s="120"/>
      <c r="VAL3" s="120"/>
      <c r="VAM3" s="120"/>
      <c r="VAN3" s="120"/>
      <c r="VAO3" s="120"/>
      <c r="VAP3" s="120"/>
      <c r="VAQ3" s="120"/>
      <c r="VAR3" s="120"/>
      <c r="VAS3" s="120"/>
      <c r="VAT3" s="120"/>
      <c r="VAU3" s="120"/>
      <c r="VAV3" s="120"/>
      <c r="VAW3" s="120"/>
      <c r="VAX3" s="120"/>
      <c r="VAY3" s="120"/>
      <c r="VAZ3" s="120"/>
      <c r="VBA3" s="120"/>
      <c r="VBB3" s="120"/>
      <c r="VBC3" s="120"/>
      <c r="VBD3" s="120"/>
      <c r="VBE3" s="120"/>
      <c r="VBF3" s="120"/>
      <c r="VBG3" s="120"/>
      <c r="VBH3" s="120"/>
      <c r="VBI3" s="120"/>
      <c r="VBJ3" s="120"/>
      <c r="VBK3" s="120"/>
      <c r="VBL3" s="120"/>
      <c r="VBM3" s="120"/>
      <c r="VBN3" s="120"/>
      <c r="VBO3" s="120"/>
      <c r="VBP3" s="120"/>
      <c r="VBQ3" s="120"/>
      <c r="VBR3" s="120"/>
      <c r="VBS3" s="120"/>
      <c r="VBT3" s="120"/>
      <c r="VBU3" s="120"/>
      <c r="VBV3" s="120"/>
      <c r="VBW3" s="120"/>
      <c r="VBX3" s="120"/>
      <c r="VBY3" s="120"/>
      <c r="VBZ3" s="120"/>
      <c r="VCA3" s="120"/>
      <c r="VCB3" s="120"/>
      <c r="VCC3" s="120"/>
      <c r="VCD3" s="120"/>
      <c r="VCE3" s="120"/>
      <c r="VCF3" s="120"/>
      <c r="VCG3" s="120"/>
      <c r="VCH3" s="120"/>
      <c r="VCI3" s="120"/>
      <c r="VCJ3" s="120"/>
      <c r="VCK3" s="120"/>
      <c r="VCL3" s="120"/>
      <c r="VCM3" s="120"/>
      <c r="VCN3" s="120"/>
      <c r="VCO3" s="120"/>
      <c r="VCP3" s="120"/>
      <c r="VCQ3" s="120"/>
      <c r="VCR3" s="120"/>
      <c r="VCS3" s="120"/>
      <c r="VCT3" s="120"/>
      <c r="VCU3" s="120"/>
      <c r="VCV3" s="120"/>
      <c r="VCW3" s="120"/>
      <c r="VCX3" s="120"/>
      <c r="VCY3" s="120"/>
      <c r="VCZ3" s="120"/>
      <c r="VDA3" s="120"/>
      <c r="VDB3" s="120"/>
      <c r="VDC3" s="120"/>
      <c r="VDD3" s="120"/>
      <c r="VDE3" s="120"/>
      <c r="VDF3" s="120"/>
      <c r="VDG3" s="120"/>
      <c r="VDH3" s="120"/>
      <c r="VDI3" s="120"/>
      <c r="VDJ3" s="120"/>
      <c r="VDK3" s="120"/>
      <c r="VDL3" s="120"/>
      <c r="VDM3" s="120"/>
      <c r="VDN3" s="120"/>
      <c r="VDO3" s="120"/>
      <c r="VDP3" s="120"/>
      <c r="VDQ3" s="120"/>
      <c r="VDR3" s="120"/>
      <c r="VDS3" s="120"/>
      <c r="VDT3" s="120"/>
      <c r="VDU3" s="120"/>
      <c r="VDV3" s="120"/>
      <c r="VDW3" s="120"/>
      <c r="VDX3" s="120"/>
      <c r="VDY3" s="120"/>
      <c r="VDZ3" s="120"/>
      <c r="VEA3" s="120"/>
      <c r="VEB3" s="120"/>
      <c r="VEC3" s="120"/>
      <c r="VED3" s="120"/>
      <c r="VEE3" s="120"/>
      <c r="VEF3" s="120"/>
      <c r="VEG3" s="120"/>
      <c r="VEH3" s="120"/>
      <c r="VEI3" s="120"/>
      <c r="VEJ3" s="120"/>
      <c r="VEK3" s="120"/>
      <c r="VEL3" s="120"/>
      <c r="VEM3" s="120"/>
      <c r="VEN3" s="120"/>
      <c r="VEO3" s="120"/>
      <c r="VEP3" s="120"/>
      <c r="VEQ3" s="120"/>
      <c r="VER3" s="120"/>
      <c r="VES3" s="120"/>
      <c r="VET3" s="120"/>
      <c r="VEU3" s="120"/>
      <c r="VEV3" s="120"/>
      <c r="VEW3" s="120"/>
      <c r="VEX3" s="120"/>
      <c r="VEY3" s="120"/>
      <c r="VEZ3" s="120"/>
      <c r="VFA3" s="120"/>
      <c r="VFB3" s="120"/>
      <c r="VFC3" s="120"/>
      <c r="VFD3" s="120"/>
      <c r="VFE3" s="120"/>
      <c r="VFF3" s="120"/>
      <c r="VFG3" s="120"/>
      <c r="VFH3" s="120"/>
      <c r="VFI3" s="120"/>
      <c r="VFJ3" s="120"/>
      <c r="VFK3" s="120"/>
      <c r="VFL3" s="120"/>
      <c r="VFM3" s="120"/>
      <c r="VFN3" s="120"/>
      <c r="VFO3" s="120"/>
      <c r="VFP3" s="120"/>
      <c r="VFQ3" s="120"/>
      <c r="VFR3" s="120"/>
      <c r="VFS3" s="120"/>
      <c r="VFT3" s="120"/>
      <c r="VFU3" s="120"/>
      <c r="VFV3" s="120"/>
      <c r="VFW3" s="120"/>
      <c r="VFX3" s="120"/>
      <c r="VFY3" s="120"/>
      <c r="VFZ3" s="120"/>
      <c r="VGA3" s="120"/>
      <c r="VGB3" s="120"/>
      <c r="VGC3" s="120"/>
      <c r="VGD3" s="120"/>
      <c r="VGE3" s="120"/>
      <c r="VGF3" s="120"/>
      <c r="VGG3" s="120"/>
      <c r="VGH3" s="120"/>
      <c r="VGI3" s="120"/>
      <c r="VGJ3" s="120"/>
      <c r="VGK3" s="120"/>
      <c r="VGL3" s="120"/>
      <c r="VGM3" s="120"/>
      <c r="VGN3" s="120"/>
      <c r="VGO3" s="120"/>
      <c r="VGP3" s="120"/>
      <c r="VGQ3" s="120"/>
      <c r="VGR3" s="120"/>
      <c r="VGS3" s="120"/>
      <c r="VGT3" s="120"/>
      <c r="VGU3" s="120"/>
      <c r="VGV3" s="120"/>
      <c r="VGW3" s="120"/>
      <c r="VGX3" s="120"/>
      <c r="VGY3" s="120"/>
      <c r="VGZ3" s="120"/>
      <c r="VHA3" s="120"/>
      <c r="VHB3" s="120"/>
      <c r="VHC3" s="120"/>
      <c r="VHD3" s="120"/>
      <c r="VHE3" s="120"/>
      <c r="VHF3" s="120"/>
      <c r="VHG3" s="120"/>
      <c r="VHH3" s="120"/>
      <c r="VHI3" s="120"/>
      <c r="VHJ3" s="120"/>
      <c r="VHK3" s="120"/>
      <c r="VHL3" s="120"/>
      <c r="VHM3" s="120"/>
      <c r="VHN3" s="120"/>
      <c r="VHO3" s="120"/>
      <c r="VHP3" s="120"/>
      <c r="VHQ3" s="120"/>
      <c r="VHR3" s="120"/>
      <c r="VHS3" s="120"/>
      <c r="VHT3" s="120"/>
      <c r="VHU3" s="120"/>
      <c r="VHV3" s="120"/>
      <c r="VHW3" s="120"/>
      <c r="VHX3" s="120"/>
      <c r="VHY3" s="120"/>
      <c r="VHZ3" s="120"/>
      <c r="VIA3" s="120"/>
      <c r="VIB3" s="120"/>
      <c r="VIC3" s="120"/>
      <c r="VID3" s="120"/>
      <c r="VIE3" s="120"/>
      <c r="VIF3" s="120"/>
      <c r="VIG3" s="120"/>
      <c r="VIH3" s="120"/>
      <c r="VII3" s="120"/>
      <c r="VIJ3" s="120"/>
      <c r="VIK3" s="120"/>
      <c r="VIL3" s="120"/>
      <c r="VIM3" s="120"/>
      <c r="VIN3" s="120"/>
      <c r="VIO3" s="120"/>
      <c r="VIP3" s="120"/>
      <c r="VIQ3" s="120"/>
      <c r="VIR3" s="120"/>
      <c r="VIS3" s="120"/>
      <c r="VIT3" s="120"/>
      <c r="VIU3" s="120"/>
      <c r="VIV3" s="120"/>
      <c r="VIW3" s="120"/>
      <c r="VIX3" s="120"/>
      <c r="VIY3" s="120"/>
      <c r="VIZ3" s="120"/>
      <c r="VJA3" s="120"/>
      <c r="VJB3" s="120"/>
      <c r="VJC3" s="120"/>
      <c r="VJD3" s="120"/>
      <c r="VJE3" s="120"/>
      <c r="VJF3" s="120"/>
      <c r="VJG3" s="120"/>
      <c r="VJH3" s="120"/>
      <c r="VJI3" s="120"/>
      <c r="VJJ3" s="120"/>
      <c r="VJK3" s="120"/>
      <c r="VJL3" s="120"/>
      <c r="VJM3" s="120"/>
      <c r="VJN3" s="120"/>
      <c r="VJO3" s="120"/>
      <c r="VJP3" s="120"/>
      <c r="VJQ3" s="120"/>
      <c r="VJR3" s="120"/>
      <c r="VJS3" s="120"/>
      <c r="VJT3" s="120"/>
      <c r="VJU3" s="120"/>
      <c r="VJV3" s="120"/>
      <c r="VJW3" s="120"/>
      <c r="VJX3" s="120"/>
      <c r="VJY3" s="120"/>
      <c r="VJZ3" s="120"/>
      <c r="VKA3" s="120"/>
      <c r="VKB3" s="120"/>
      <c r="VKC3" s="120"/>
      <c r="VKD3" s="120"/>
      <c r="VKE3" s="120"/>
      <c r="VKF3" s="120"/>
      <c r="VKG3" s="120"/>
      <c r="VKH3" s="120"/>
      <c r="VKI3" s="120"/>
      <c r="VKJ3" s="120"/>
      <c r="VKK3" s="120"/>
      <c r="VKL3" s="120"/>
      <c r="VKM3" s="120"/>
      <c r="VKN3" s="120"/>
      <c r="VKO3" s="120"/>
      <c r="VKP3" s="120"/>
      <c r="VKQ3" s="120"/>
      <c r="VKR3" s="120"/>
      <c r="VKS3" s="120"/>
      <c r="VKT3" s="120"/>
      <c r="VKU3" s="120"/>
      <c r="VKV3" s="120"/>
      <c r="VKW3" s="120"/>
      <c r="VKX3" s="120"/>
      <c r="VKY3" s="120"/>
      <c r="VKZ3" s="120"/>
      <c r="VLA3" s="120"/>
      <c r="VLB3" s="120"/>
      <c r="VLC3" s="120"/>
      <c r="VLD3" s="120"/>
      <c r="VLE3" s="120"/>
      <c r="VLF3" s="120"/>
      <c r="VLG3" s="120"/>
      <c r="VLH3" s="120"/>
      <c r="VLI3" s="120"/>
      <c r="VLJ3" s="120"/>
      <c r="VLK3" s="120"/>
      <c r="VLL3" s="120"/>
      <c r="VLM3" s="120"/>
      <c r="VLN3" s="120"/>
      <c r="VLO3" s="120"/>
      <c r="VLP3" s="120"/>
      <c r="VLQ3" s="120"/>
      <c r="VLR3" s="120"/>
      <c r="VLS3" s="120"/>
      <c r="VLT3" s="120"/>
      <c r="VLU3" s="120"/>
      <c r="VLV3" s="120"/>
      <c r="VLW3" s="120"/>
      <c r="VLX3" s="120"/>
      <c r="VLY3" s="120"/>
      <c r="VLZ3" s="120"/>
      <c r="VMA3" s="120"/>
      <c r="VMB3" s="120"/>
      <c r="VMC3" s="120"/>
      <c r="VMD3" s="120"/>
      <c r="VME3" s="120"/>
      <c r="VMF3" s="120"/>
      <c r="VMG3" s="120"/>
      <c r="VMH3" s="120"/>
      <c r="VMI3" s="120"/>
      <c r="VMJ3" s="120"/>
      <c r="VMK3" s="120"/>
      <c r="VML3" s="120"/>
      <c r="VMM3" s="120"/>
      <c r="VMN3" s="120"/>
      <c r="VMO3" s="120"/>
      <c r="VMP3" s="120"/>
      <c r="VMQ3" s="120"/>
      <c r="VMR3" s="120"/>
      <c r="VMS3" s="120"/>
      <c r="VMT3" s="120"/>
      <c r="VMU3" s="120"/>
      <c r="VMV3" s="120"/>
      <c r="VMW3" s="120"/>
      <c r="VMX3" s="120"/>
      <c r="VMY3" s="120"/>
      <c r="VMZ3" s="120"/>
      <c r="VNA3" s="120"/>
      <c r="VNB3" s="120"/>
      <c r="VNC3" s="120"/>
      <c r="VND3" s="120"/>
      <c r="VNE3" s="120"/>
      <c r="VNF3" s="120"/>
      <c r="VNG3" s="120"/>
      <c r="VNH3" s="120"/>
      <c r="VNI3" s="120"/>
      <c r="VNJ3" s="120"/>
      <c r="VNK3" s="120"/>
      <c r="VNL3" s="120"/>
      <c r="VNM3" s="120"/>
      <c r="VNN3" s="120"/>
      <c r="VNO3" s="120"/>
      <c r="VNP3" s="120"/>
      <c r="VNQ3" s="120"/>
      <c r="VNR3" s="120"/>
      <c r="VNS3" s="120"/>
      <c r="VNT3" s="120"/>
      <c r="VNU3" s="120"/>
      <c r="VNV3" s="120"/>
      <c r="VNW3" s="120"/>
      <c r="VNX3" s="120"/>
      <c r="VNY3" s="120"/>
      <c r="VNZ3" s="120"/>
      <c r="VOA3" s="120"/>
      <c r="VOB3" s="120"/>
      <c r="VOC3" s="120"/>
      <c r="VOD3" s="120"/>
      <c r="VOE3" s="120"/>
      <c r="VOF3" s="120"/>
      <c r="VOG3" s="120"/>
      <c r="VOH3" s="120"/>
      <c r="VOI3" s="120"/>
      <c r="VOJ3" s="120"/>
      <c r="VOK3" s="120"/>
      <c r="VOL3" s="120"/>
      <c r="VOM3" s="120"/>
      <c r="VON3" s="120"/>
      <c r="VOO3" s="120"/>
      <c r="VOP3" s="120"/>
      <c r="VOQ3" s="120"/>
      <c r="VOR3" s="120"/>
      <c r="VOS3" s="120"/>
      <c r="VOT3" s="120"/>
      <c r="VOU3" s="120"/>
      <c r="VOV3" s="120"/>
      <c r="VOW3" s="120"/>
      <c r="VOX3" s="120"/>
      <c r="VOY3" s="120"/>
      <c r="VOZ3" s="120"/>
      <c r="VPA3" s="120"/>
      <c r="VPB3" s="120"/>
      <c r="VPC3" s="120"/>
      <c r="VPD3" s="120"/>
      <c r="VPE3" s="120"/>
      <c r="VPF3" s="120"/>
      <c r="VPG3" s="120"/>
      <c r="VPH3" s="120"/>
      <c r="VPI3" s="120"/>
      <c r="VPJ3" s="120"/>
      <c r="VPK3" s="120"/>
      <c r="VPL3" s="120"/>
      <c r="VPM3" s="120"/>
      <c r="VPN3" s="120"/>
      <c r="VPO3" s="120"/>
      <c r="VPP3" s="120"/>
      <c r="VPQ3" s="120"/>
      <c r="VPR3" s="120"/>
      <c r="VPS3" s="120"/>
      <c r="VPT3" s="120"/>
      <c r="VPU3" s="120"/>
      <c r="VPV3" s="120"/>
      <c r="VPW3" s="120"/>
      <c r="VPX3" s="120"/>
      <c r="VPY3" s="120"/>
      <c r="VPZ3" s="120"/>
      <c r="VQA3" s="120"/>
      <c r="VQB3" s="120"/>
      <c r="VQC3" s="120"/>
      <c r="VQD3" s="120"/>
      <c r="VQE3" s="120"/>
      <c r="VQF3" s="120"/>
      <c r="VQG3" s="120"/>
      <c r="VQH3" s="120"/>
      <c r="VQI3" s="120"/>
      <c r="VQJ3" s="120"/>
      <c r="VQK3" s="120"/>
      <c r="VQL3" s="120"/>
      <c r="VQM3" s="120"/>
      <c r="VQN3" s="120"/>
      <c r="VQO3" s="120"/>
      <c r="VQP3" s="120"/>
      <c r="VQQ3" s="120"/>
      <c r="VQR3" s="120"/>
      <c r="VQS3" s="120"/>
      <c r="VQT3" s="120"/>
      <c r="VQU3" s="120"/>
      <c r="VQV3" s="120"/>
      <c r="VQW3" s="120"/>
      <c r="VQX3" s="120"/>
      <c r="VQY3" s="120"/>
      <c r="VQZ3" s="120"/>
      <c r="VRA3" s="120"/>
      <c r="VRB3" s="120"/>
      <c r="VRC3" s="120"/>
      <c r="VRD3" s="120"/>
      <c r="VRE3" s="120"/>
      <c r="VRF3" s="120"/>
      <c r="VRG3" s="120"/>
      <c r="VRH3" s="120"/>
      <c r="VRI3" s="120"/>
      <c r="VRJ3" s="120"/>
      <c r="VRK3" s="120"/>
      <c r="VRL3" s="120"/>
      <c r="VRM3" s="120"/>
      <c r="VRN3" s="120"/>
      <c r="VRO3" s="120"/>
      <c r="VRP3" s="120"/>
      <c r="VRQ3" s="120"/>
      <c r="VRR3" s="120"/>
      <c r="VRS3" s="120"/>
      <c r="VRT3" s="120"/>
      <c r="VRU3" s="120"/>
      <c r="VRV3" s="120"/>
      <c r="VRW3" s="120"/>
      <c r="VRX3" s="120"/>
      <c r="VRY3" s="120"/>
      <c r="VRZ3" s="120"/>
      <c r="VSA3" s="120"/>
      <c r="VSB3" s="120"/>
      <c r="VSC3" s="120"/>
      <c r="VSD3" s="120"/>
      <c r="VSE3" s="120"/>
      <c r="VSF3" s="120"/>
      <c r="VSG3" s="120"/>
      <c r="VSH3" s="120"/>
      <c r="VSI3" s="120"/>
      <c r="VSJ3" s="120"/>
      <c r="VSK3" s="120"/>
      <c r="VSL3" s="120"/>
      <c r="VSM3" s="120"/>
      <c r="VSN3" s="120"/>
      <c r="VSO3" s="120"/>
      <c r="VSP3" s="120"/>
      <c r="VSQ3" s="120"/>
      <c r="VSR3" s="120"/>
      <c r="VSS3" s="120"/>
      <c r="VST3" s="120"/>
      <c r="VSU3" s="120"/>
      <c r="VSV3" s="120"/>
      <c r="VSW3" s="120"/>
      <c r="VSX3" s="120"/>
      <c r="VSY3" s="120"/>
      <c r="VSZ3" s="120"/>
      <c r="VTA3" s="120"/>
      <c r="VTB3" s="120"/>
      <c r="VTC3" s="120"/>
      <c r="VTD3" s="120"/>
      <c r="VTE3" s="120"/>
      <c r="VTF3" s="120"/>
      <c r="VTG3" s="120"/>
      <c r="VTH3" s="120"/>
      <c r="VTI3" s="120"/>
      <c r="VTJ3" s="120"/>
      <c r="VTK3" s="120"/>
      <c r="VTL3" s="120"/>
      <c r="VTM3" s="120"/>
      <c r="VTN3" s="120"/>
      <c r="VTO3" s="120"/>
      <c r="VTP3" s="120"/>
      <c r="VTQ3" s="120"/>
      <c r="VTR3" s="120"/>
      <c r="VTS3" s="120"/>
      <c r="VTT3" s="120"/>
      <c r="VTU3" s="120"/>
      <c r="VTV3" s="120"/>
      <c r="VTW3" s="120"/>
      <c r="VTX3" s="120"/>
      <c r="VTY3" s="120"/>
      <c r="VTZ3" s="120"/>
      <c r="VUA3" s="120"/>
      <c r="VUB3" s="120"/>
      <c r="VUC3" s="120"/>
      <c r="VUD3" s="120"/>
      <c r="VUE3" s="120"/>
      <c r="VUF3" s="120"/>
      <c r="VUG3" s="120"/>
      <c r="VUH3" s="120"/>
      <c r="VUI3" s="120"/>
      <c r="VUJ3" s="120"/>
      <c r="VUK3" s="120"/>
      <c r="VUL3" s="120"/>
      <c r="VUM3" s="120"/>
      <c r="VUN3" s="120"/>
      <c r="VUO3" s="120"/>
      <c r="VUP3" s="120"/>
      <c r="VUQ3" s="120"/>
      <c r="VUR3" s="120"/>
      <c r="VUS3" s="120"/>
      <c r="VUT3" s="120"/>
      <c r="VUU3" s="120"/>
      <c r="VUV3" s="120"/>
      <c r="VUW3" s="120"/>
      <c r="VUX3" s="120"/>
      <c r="VUY3" s="120"/>
      <c r="VUZ3" s="120"/>
      <c r="VVA3" s="120"/>
      <c r="VVB3" s="120"/>
      <c r="VVC3" s="120"/>
      <c r="VVD3" s="120"/>
      <c r="VVE3" s="120"/>
      <c r="VVF3" s="120"/>
      <c r="VVG3" s="120"/>
      <c r="VVH3" s="120"/>
      <c r="VVI3" s="120"/>
      <c r="VVJ3" s="120"/>
      <c r="VVK3" s="120"/>
      <c r="VVL3" s="120"/>
      <c r="VVM3" s="120"/>
      <c r="VVN3" s="120"/>
      <c r="VVO3" s="120"/>
      <c r="VVP3" s="120"/>
      <c r="VVQ3" s="120"/>
      <c r="VVR3" s="120"/>
      <c r="VVS3" s="120"/>
      <c r="VVT3" s="120"/>
      <c r="VVU3" s="120"/>
      <c r="VVV3" s="120"/>
      <c r="VVW3" s="120"/>
      <c r="VVX3" s="120"/>
      <c r="VVY3" s="120"/>
      <c r="VVZ3" s="120"/>
      <c r="VWA3" s="120"/>
      <c r="VWB3" s="120"/>
      <c r="VWC3" s="120"/>
      <c r="VWD3" s="120"/>
      <c r="VWE3" s="120"/>
      <c r="VWF3" s="120"/>
      <c r="VWG3" s="120"/>
      <c r="VWH3" s="120"/>
      <c r="VWI3" s="120"/>
      <c r="VWJ3" s="120"/>
      <c r="VWK3" s="120"/>
      <c r="VWL3" s="120"/>
      <c r="VWM3" s="120"/>
      <c r="VWN3" s="120"/>
      <c r="VWO3" s="120"/>
      <c r="VWP3" s="120"/>
      <c r="VWQ3" s="120"/>
      <c r="VWR3" s="120"/>
      <c r="VWS3" s="120"/>
      <c r="VWT3" s="120"/>
      <c r="VWU3" s="120"/>
      <c r="VWV3" s="120"/>
      <c r="VWW3" s="120"/>
      <c r="VWX3" s="120"/>
      <c r="VWY3" s="120"/>
      <c r="VWZ3" s="120"/>
      <c r="VXA3" s="120"/>
      <c r="VXB3" s="120"/>
      <c r="VXC3" s="120"/>
      <c r="VXD3" s="120"/>
      <c r="VXE3" s="120"/>
      <c r="VXF3" s="120"/>
      <c r="VXG3" s="120"/>
      <c r="VXH3" s="120"/>
      <c r="VXI3" s="120"/>
      <c r="VXJ3" s="120"/>
      <c r="VXK3" s="120"/>
      <c r="VXL3" s="120"/>
      <c r="VXM3" s="120"/>
      <c r="VXN3" s="120"/>
      <c r="VXO3" s="120"/>
      <c r="VXP3" s="120"/>
      <c r="VXQ3" s="120"/>
      <c r="VXR3" s="120"/>
      <c r="VXS3" s="120"/>
      <c r="VXT3" s="120"/>
      <c r="VXU3" s="120"/>
      <c r="VXV3" s="120"/>
      <c r="VXW3" s="120"/>
      <c r="VXX3" s="120"/>
      <c r="VXY3" s="120"/>
      <c r="VXZ3" s="120"/>
      <c r="VYA3" s="120"/>
      <c r="VYB3" s="120"/>
      <c r="VYC3" s="120"/>
      <c r="VYD3" s="120"/>
      <c r="VYE3" s="120"/>
      <c r="VYF3" s="120"/>
      <c r="VYG3" s="120"/>
      <c r="VYH3" s="120"/>
      <c r="VYI3" s="120"/>
      <c r="VYJ3" s="120"/>
      <c r="VYK3" s="120"/>
      <c r="VYL3" s="120"/>
      <c r="VYM3" s="120"/>
      <c r="VYN3" s="120"/>
      <c r="VYO3" s="120"/>
      <c r="VYP3" s="120"/>
      <c r="VYQ3" s="120"/>
      <c r="VYR3" s="120"/>
      <c r="VYS3" s="120"/>
      <c r="VYT3" s="120"/>
      <c r="VYU3" s="120"/>
      <c r="VYV3" s="120"/>
      <c r="VYW3" s="120"/>
      <c r="VYX3" s="120"/>
      <c r="VYY3" s="120"/>
      <c r="VYZ3" s="120"/>
      <c r="VZA3" s="120"/>
      <c r="VZB3" s="120"/>
      <c r="VZC3" s="120"/>
      <c r="VZD3" s="120"/>
      <c r="VZE3" s="120"/>
      <c r="VZF3" s="120"/>
      <c r="VZG3" s="120"/>
      <c r="VZH3" s="120"/>
      <c r="VZI3" s="120"/>
      <c r="VZJ3" s="120"/>
      <c r="VZK3" s="120"/>
      <c r="VZL3" s="120"/>
      <c r="VZM3" s="120"/>
      <c r="VZN3" s="120"/>
      <c r="VZO3" s="120"/>
      <c r="VZP3" s="120"/>
      <c r="VZQ3" s="120"/>
      <c r="VZR3" s="120"/>
      <c r="VZS3" s="120"/>
      <c r="VZT3" s="120"/>
      <c r="VZU3" s="120"/>
      <c r="VZV3" s="120"/>
      <c r="VZW3" s="120"/>
      <c r="VZX3" s="120"/>
      <c r="VZY3" s="120"/>
      <c r="VZZ3" s="120"/>
      <c r="WAA3" s="120"/>
      <c r="WAB3" s="120"/>
      <c r="WAC3" s="120"/>
      <c r="WAD3" s="120"/>
      <c r="WAE3" s="120"/>
      <c r="WAF3" s="120"/>
      <c r="WAG3" s="120"/>
      <c r="WAH3" s="120"/>
      <c r="WAI3" s="120"/>
      <c r="WAJ3" s="120"/>
      <c r="WAK3" s="120"/>
      <c r="WAL3" s="120"/>
      <c r="WAM3" s="120"/>
      <c r="WAN3" s="120"/>
      <c r="WAO3" s="120"/>
      <c r="WAP3" s="120"/>
      <c r="WAQ3" s="120"/>
      <c r="WAR3" s="120"/>
      <c r="WAS3" s="120"/>
      <c r="WAT3" s="120"/>
      <c r="WAU3" s="120"/>
      <c r="WAV3" s="120"/>
      <c r="WAW3" s="120"/>
      <c r="WAX3" s="120"/>
      <c r="WAY3" s="120"/>
      <c r="WAZ3" s="120"/>
      <c r="WBA3" s="120"/>
      <c r="WBB3" s="120"/>
      <c r="WBC3" s="120"/>
      <c r="WBD3" s="120"/>
      <c r="WBE3" s="120"/>
      <c r="WBF3" s="120"/>
      <c r="WBG3" s="120"/>
      <c r="WBH3" s="120"/>
      <c r="WBI3" s="120"/>
      <c r="WBJ3" s="120"/>
      <c r="WBK3" s="120"/>
      <c r="WBL3" s="120"/>
      <c r="WBM3" s="120"/>
      <c r="WBN3" s="120"/>
      <c r="WBO3" s="120"/>
      <c r="WBP3" s="120"/>
      <c r="WBQ3" s="120"/>
      <c r="WBR3" s="120"/>
      <c r="WBS3" s="120"/>
      <c r="WBT3" s="120"/>
      <c r="WBU3" s="120"/>
      <c r="WBV3" s="120"/>
      <c r="WBW3" s="120"/>
      <c r="WBX3" s="120"/>
      <c r="WBY3" s="120"/>
      <c r="WBZ3" s="120"/>
      <c r="WCA3" s="120"/>
      <c r="WCB3" s="120"/>
      <c r="WCC3" s="120"/>
      <c r="WCD3" s="120"/>
      <c r="WCE3" s="120"/>
      <c r="WCF3" s="120"/>
      <c r="WCG3" s="120"/>
      <c r="WCH3" s="120"/>
      <c r="WCI3" s="120"/>
      <c r="WCJ3" s="120"/>
      <c r="WCK3" s="120"/>
      <c r="WCL3" s="120"/>
      <c r="WCM3" s="120"/>
      <c r="WCN3" s="120"/>
      <c r="WCO3" s="120"/>
      <c r="WCP3" s="120"/>
      <c r="WCQ3" s="120"/>
      <c r="WCR3" s="120"/>
      <c r="WCS3" s="120"/>
      <c r="WCT3" s="120"/>
      <c r="WCU3" s="120"/>
      <c r="WCV3" s="120"/>
      <c r="WCW3" s="120"/>
      <c r="WCX3" s="120"/>
      <c r="WCY3" s="120"/>
      <c r="WCZ3" s="120"/>
      <c r="WDA3" s="120"/>
      <c r="WDB3" s="120"/>
      <c r="WDC3" s="120"/>
      <c r="WDD3" s="120"/>
      <c r="WDE3" s="120"/>
      <c r="WDF3" s="120"/>
      <c r="WDG3" s="120"/>
      <c r="WDH3" s="120"/>
      <c r="WDI3" s="120"/>
      <c r="WDJ3" s="120"/>
      <c r="WDK3" s="120"/>
      <c r="WDL3" s="120"/>
      <c r="WDM3" s="120"/>
      <c r="WDN3" s="120"/>
      <c r="WDO3" s="120"/>
      <c r="WDP3" s="120"/>
      <c r="WDQ3" s="120"/>
      <c r="WDR3" s="120"/>
      <c r="WDS3" s="120"/>
      <c r="WDT3" s="120"/>
      <c r="WDU3" s="120"/>
      <c r="WDV3" s="120"/>
      <c r="WDW3" s="120"/>
      <c r="WDX3" s="120"/>
      <c r="WDY3" s="120"/>
      <c r="WDZ3" s="120"/>
      <c r="WEA3" s="120"/>
      <c r="WEB3" s="120"/>
      <c r="WEC3" s="120"/>
      <c r="WED3" s="120"/>
      <c r="WEE3" s="120"/>
      <c r="WEF3" s="120"/>
      <c r="WEG3" s="120"/>
      <c r="WEH3" s="120"/>
      <c r="WEI3" s="120"/>
      <c r="WEJ3" s="120"/>
      <c r="WEK3" s="120"/>
      <c r="WEL3" s="120"/>
      <c r="WEM3" s="120"/>
      <c r="WEN3" s="120"/>
      <c r="WEO3" s="120"/>
      <c r="WEP3" s="120"/>
      <c r="WEQ3" s="120"/>
      <c r="WER3" s="120"/>
      <c r="WES3" s="120"/>
      <c r="WET3" s="120"/>
      <c r="WEU3" s="120"/>
      <c r="WEV3" s="120"/>
      <c r="WEW3" s="120"/>
      <c r="WEX3" s="120"/>
      <c r="WEY3" s="120"/>
      <c r="WEZ3" s="120"/>
      <c r="WFA3" s="120"/>
      <c r="WFB3" s="120"/>
      <c r="WFC3" s="120"/>
      <c r="WFD3" s="120"/>
      <c r="WFE3" s="120"/>
      <c r="WFF3" s="120"/>
      <c r="WFG3" s="120"/>
      <c r="WFH3" s="120"/>
      <c r="WFI3" s="120"/>
      <c r="WFJ3" s="120"/>
      <c r="WFK3" s="120"/>
      <c r="WFL3" s="120"/>
      <c r="WFM3" s="120"/>
      <c r="WFN3" s="120"/>
      <c r="WFO3" s="120"/>
      <c r="WFP3" s="120"/>
      <c r="WFQ3" s="120"/>
      <c r="WFR3" s="120"/>
      <c r="WFS3" s="120"/>
      <c r="WFT3" s="120"/>
      <c r="WFU3" s="120"/>
      <c r="WFV3" s="120"/>
      <c r="WFW3" s="120"/>
      <c r="WFX3" s="120"/>
      <c r="WFY3" s="120"/>
      <c r="WFZ3" s="120"/>
      <c r="WGA3" s="120"/>
      <c r="WGB3" s="120"/>
      <c r="WGC3" s="120"/>
      <c r="WGD3" s="120"/>
      <c r="WGE3" s="120"/>
      <c r="WGF3" s="120"/>
      <c r="WGG3" s="120"/>
      <c r="WGH3" s="120"/>
      <c r="WGI3" s="120"/>
      <c r="WGJ3" s="120"/>
      <c r="WGK3" s="120"/>
      <c r="WGL3" s="120"/>
      <c r="WGM3" s="120"/>
      <c r="WGN3" s="120"/>
      <c r="WGO3" s="120"/>
      <c r="WGP3" s="120"/>
      <c r="WGQ3" s="120"/>
      <c r="WGR3" s="120"/>
      <c r="WGS3" s="120"/>
      <c r="WGT3" s="120"/>
      <c r="WGU3" s="120"/>
      <c r="WGV3" s="120"/>
      <c r="WGW3" s="120"/>
      <c r="WGX3" s="120"/>
      <c r="WGY3" s="120"/>
      <c r="WGZ3" s="120"/>
      <c r="WHA3" s="120"/>
      <c r="WHB3" s="120"/>
      <c r="WHC3" s="120"/>
      <c r="WHD3" s="120"/>
      <c r="WHE3" s="120"/>
      <c r="WHF3" s="120"/>
      <c r="WHG3" s="120"/>
      <c r="WHH3" s="120"/>
      <c r="WHI3" s="120"/>
      <c r="WHJ3" s="120"/>
      <c r="WHK3" s="120"/>
      <c r="WHL3" s="120"/>
      <c r="WHM3" s="120"/>
      <c r="WHN3" s="120"/>
      <c r="WHO3" s="120"/>
      <c r="WHP3" s="120"/>
      <c r="WHQ3" s="120"/>
      <c r="WHR3" s="120"/>
      <c r="WHS3" s="120"/>
      <c r="WHT3" s="120"/>
      <c r="WHU3" s="120"/>
      <c r="WHV3" s="120"/>
      <c r="WHW3" s="120"/>
      <c r="WHX3" s="120"/>
      <c r="WHY3" s="120"/>
      <c r="WHZ3" s="120"/>
      <c r="WIA3" s="120"/>
      <c r="WIB3" s="120"/>
      <c r="WIC3" s="120"/>
      <c r="WID3" s="120"/>
      <c r="WIE3" s="120"/>
      <c r="WIF3" s="120"/>
      <c r="WIG3" s="120"/>
      <c r="WIH3" s="120"/>
      <c r="WII3" s="120"/>
      <c r="WIJ3" s="120"/>
      <c r="WIK3" s="120"/>
      <c r="WIL3" s="120"/>
      <c r="WIM3" s="120"/>
      <c r="WIN3" s="120"/>
      <c r="WIO3" s="120"/>
      <c r="WIP3" s="120"/>
      <c r="WIQ3" s="120"/>
      <c r="WIR3" s="120"/>
      <c r="WIS3" s="120"/>
      <c r="WIT3" s="120"/>
      <c r="WIU3" s="120"/>
      <c r="WIV3" s="120"/>
      <c r="WIW3" s="120"/>
      <c r="WIX3" s="120"/>
      <c r="WIY3" s="120"/>
      <c r="WIZ3" s="120"/>
      <c r="WJA3" s="120"/>
      <c r="WJB3" s="120"/>
      <c r="WJC3" s="120"/>
      <c r="WJD3" s="120"/>
      <c r="WJE3" s="120"/>
      <c r="WJF3" s="120"/>
      <c r="WJG3" s="120"/>
      <c r="WJH3" s="120"/>
      <c r="WJI3" s="120"/>
      <c r="WJJ3" s="120"/>
      <c r="WJK3" s="120"/>
      <c r="WJL3" s="120"/>
      <c r="WJM3" s="120"/>
      <c r="WJN3" s="120"/>
      <c r="WJO3" s="120"/>
      <c r="WJP3" s="120"/>
      <c r="WJQ3" s="120"/>
      <c r="WJR3" s="120"/>
      <c r="WJS3" s="120"/>
      <c r="WJT3" s="120"/>
      <c r="WJU3" s="120"/>
      <c r="WJV3" s="120"/>
      <c r="WJW3" s="120"/>
      <c r="WJX3" s="120"/>
      <c r="WJY3" s="120"/>
      <c r="WJZ3" s="120"/>
      <c r="WKA3" s="120"/>
      <c r="WKB3" s="120"/>
      <c r="WKC3" s="120"/>
      <c r="WKD3" s="120"/>
      <c r="WKE3" s="120"/>
      <c r="WKF3" s="120"/>
      <c r="WKG3" s="120"/>
      <c r="WKH3" s="120"/>
      <c r="WKI3" s="120"/>
      <c r="WKJ3" s="120"/>
      <c r="WKK3" s="120"/>
      <c r="WKL3" s="120"/>
      <c r="WKM3" s="120"/>
      <c r="WKN3" s="120"/>
      <c r="WKO3" s="120"/>
      <c r="WKP3" s="120"/>
      <c r="WKQ3" s="120"/>
      <c r="WKR3" s="120"/>
      <c r="WKS3" s="120"/>
      <c r="WKT3" s="120"/>
      <c r="WKU3" s="120"/>
      <c r="WKV3" s="120"/>
      <c r="WKW3" s="120"/>
      <c r="WKX3" s="120"/>
      <c r="WKY3" s="120"/>
      <c r="WKZ3" s="120"/>
      <c r="WLA3" s="120"/>
      <c r="WLB3" s="120"/>
      <c r="WLC3" s="120"/>
      <c r="WLD3" s="120"/>
      <c r="WLE3" s="120"/>
      <c r="WLF3" s="120"/>
      <c r="WLG3" s="120"/>
      <c r="WLH3" s="120"/>
      <c r="WLI3" s="120"/>
      <c r="WLJ3" s="120"/>
      <c r="WLK3" s="120"/>
      <c r="WLL3" s="120"/>
      <c r="WLM3" s="120"/>
      <c r="WLN3" s="120"/>
      <c r="WLO3" s="120"/>
      <c r="WLP3" s="120"/>
      <c r="WLQ3" s="120"/>
      <c r="WLR3" s="120"/>
      <c r="WLS3" s="120"/>
      <c r="WLT3" s="120"/>
      <c r="WLU3" s="120"/>
      <c r="WLV3" s="120"/>
      <c r="WLW3" s="120"/>
      <c r="WLX3" s="120"/>
      <c r="WLY3" s="120"/>
      <c r="WLZ3" s="120"/>
      <c r="WMA3" s="120"/>
      <c r="WMB3" s="120"/>
      <c r="WMC3" s="120"/>
      <c r="WMD3" s="120"/>
      <c r="WME3" s="120"/>
      <c r="WMF3" s="120"/>
      <c r="WMG3" s="120"/>
      <c r="WMH3" s="120"/>
      <c r="WMI3" s="120"/>
      <c r="WMJ3" s="120"/>
      <c r="WMK3" s="120"/>
      <c r="WML3" s="120"/>
      <c r="WMM3" s="120"/>
      <c r="WMN3" s="120"/>
      <c r="WMO3" s="120"/>
      <c r="WMP3" s="120"/>
      <c r="WMQ3" s="120"/>
      <c r="WMR3" s="120"/>
      <c r="WMS3" s="120"/>
      <c r="WMT3" s="120"/>
      <c r="WMU3" s="120"/>
      <c r="WMV3" s="120"/>
      <c r="WMW3" s="120"/>
      <c r="WMX3" s="120"/>
      <c r="WMY3" s="120"/>
      <c r="WMZ3" s="120"/>
      <c r="WNA3" s="120"/>
      <c r="WNB3" s="120"/>
      <c r="WNC3" s="120"/>
      <c r="WND3" s="120"/>
      <c r="WNE3" s="120"/>
      <c r="WNF3" s="120"/>
      <c r="WNG3" s="120"/>
      <c r="WNH3" s="120"/>
      <c r="WNI3" s="120"/>
      <c r="WNJ3" s="120"/>
      <c r="WNK3" s="120"/>
      <c r="WNL3" s="120"/>
      <c r="WNM3" s="120"/>
      <c r="WNN3" s="120"/>
      <c r="WNO3" s="120"/>
      <c r="WNP3" s="120"/>
      <c r="WNQ3" s="120"/>
      <c r="WNR3" s="120"/>
      <c r="WNS3" s="120"/>
      <c r="WNT3" s="120"/>
      <c r="WNU3" s="120"/>
      <c r="WNV3" s="120"/>
      <c r="WNW3" s="120"/>
      <c r="WNX3" s="120"/>
      <c r="WNY3" s="120"/>
      <c r="WNZ3" s="120"/>
      <c r="WOA3" s="120"/>
      <c r="WOB3" s="120"/>
      <c r="WOC3" s="120"/>
      <c r="WOD3" s="120"/>
      <c r="WOE3" s="120"/>
      <c r="WOF3" s="120"/>
      <c r="WOG3" s="120"/>
      <c r="WOH3" s="120"/>
      <c r="WOI3" s="120"/>
      <c r="WOJ3" s="120"/>
      <c r="WOK3" s="120"/>
      <c r="WOL3" s="120"/>
      <c r="WOM3" s="120"/>
      <c r="WON3" s="120"/>
      <c r="WOO3" s="120"/>
      <c r="WOP3" s="120"/>
      <c r="WOQ3" s="120"/>
      <c r="WOR3" s="120"/>
      <c r="WOS3" s="120"/>
      <c r="WOT3" s="120"/>
      <c r="WOU3" s="120"/>
      <c r="WOV3" s="120"/>
      <c r="WOW3" s="120"/>
      <c r="WOX3" s="120"/>
      <c r="WOY3" s="120"/>
      <c r="WOZ3" s="120"/>
      <c r="WPA3" s="120"/>
      <c r="WPB3" s="120"/>
      <c r="WPC3" s="120"/>
      <c r="WPD3" s="120"/>
      <c r="WPE3" s="120"/>
      <c r="WPF3" s="120"/>
      <c r="WPG3" s="120"/>
      <c r="WPH3" s="120"/>
      <c r="WPI3" s="120"/>
      <c r="WPJ3" s="120"/>
      <c r="WPK3" s="120"/>
      <c r="WPL3" s="120"/>
      <c r="WPM3" s="120"/>
      <c r="WPN3" s="120"/>
      <c r="WPO3" s="120"/>
      <c r="WPP3" s="120"/>
      <c r="WPQ3" s="120"/>
      <c r="WPR3" s="120"/>
      <c r="WPS3" s="120"/>
      <c r="WPT3" s="120"/>
      <c r="WPU3" s="120"/>
      <c r="WPV3" s="120"/>
      <c r="WPW3" s="120"/>
      <c r="WPX3" s="120"/>
      <c r="WPY3" s="120"/>
      <c r="WPZ3" s="120"/>
      <c r="WQA3" s="120"/>
      <c r="WQB3" s="120"/>
      <c r="WQC3" s="120"/>
      <c r="WQD3" s="120"/>
      <c r="WQE3" s="120"/>
      <c r="WQF3" s="120"/>
      <c r="WQG3" s="120"/>
      <c r="WQH3" s="120"/>
      <c r="WQI3" s="120"/>
      <c r="WQJ3" s="120"/>
      <c r="WQK3" s="120"/>
      <c r="WQL3" s="120"/>
      <c r="WQM3" s="120"/>
      <c r="WQN3" s="120"/>
      <c r="WQO3" s="120"/>
      <c r="WQP3" s="120"/>
      <c r="WQQ3" s="120"/>
      <c r="WQR3" s="120"/>
      <c r="WQS3" s="120"/>
      <c r="WQT3" s="120"/>
      <c r="WQU3" s="120"/>
      <c r="WQV3" s="120"/>
      <c r="WQW3" s="120"/>
      <c r="WQX3" s="120"/>
      <c r="WQY3" s="120"/>
      <c r="WQZ3" s="120"/>
      <c r="WRA3" s="120"/>
      <c r="WRB3" s="120"/>
      <c r="WRC3" s="120"/>
      <c r="WRD3" s="120"/>
      <c r="WRE3" s="120"/>
      <c r="WRF3" s="120"/>
      <c r="WRG3" s="120"/>
      <c r="WRH3" s="120"/>
      <c r="WRI3" s="120"/>
      <c r="WRJ3" s="120"/>
      <c r="WRK3" s="120"/>
      <c r="WRL3" s="120"/>
      <c r="WRM3" s="120"/>
      <c r="WRN3" s="120"/>
      <c r="WRO3" s="120"/>
      <c r="WRP3" s="120"/>
      <c r="WRQ3" s="120"/>
      <c r="WRR3" s="120"/>
      <c r="WRS3" s="120"/>
      <c r="WRT3" s="120"/>
      <c r="WRU3" s="120"/>
      <c r="WRV3" s="120"/>
      <c r="WRW3" s="120"/>
      <c r="WRX3" s="120"/>
      <c r="WRY3" s="120"/>
      <c r="WRZ3" s="120"/>
      <c r="WSA3" s="120"/>
      <c r="WSB3" s="120"/>
      <c r="WSC3" s="120"/>
      <c r="WSD3" s="120"/>
      <c r="WSE3" s="120"/>
      <c r="WSF3" s="120"/>
      <c r="WSG3" s="120"/>
      <c r="WSH3" s="120"/>
      <c r="WSI3" s="120"/>
      <c r="WSJ3" s="120"/>
      <c r="WSK3" s="120"/>
      <c r="WSL3" s="120"/>
      <c r="WSM3" s="120"/>
      <c r="WSN3" s="120"/>
      <c r="WSO3" s="120"/>
      <c r="WSP3" s="120"/>
      <c r="WSQ3" s="120"/>
      <c r="WSR3" s="120"/>
      <c r="WSS3" s="120"/>
      <c r="WST3" s="120"/>
      <c r="WSU3" s="120"/>
      <c r="WSV3" s="120"/>
      <c r="WSW3" s="120"/>
      <c r="WSX3" s="120"/>
      <c r="WSY3" s="120"/>
      <c r="WSZ3" s="120"/>
      <c r="WTA3" s="120"/>
      <c r="WTB3" s="120"/>
      <c r="WTC3" s="120"/>
      <c r="WTD3" s="120"/>
      <c r="WTE3" s="120"/>
      <c r="WTF3" s="120"/>
      <c r="WTG3" s="120"/>
      <c r="WTH3" s="120"/>
      <c r="WTI3" s="120"/>
      <c r="WTJ3" s="120"/>
      <c r="WTK3" s="120"/>
      <c r="WTL3" s="120"/>
      <c r="WTM3" s="120"/>
      <c r="WTN3" s="120"/>
      <c r="WTO3" s="120"/>
      <c r="WTP3" s="120"/>
      <c r="WTQ3" s="120"/>
      <c r="WTR3" s="120"/>
      <c r="WTS3" s="120"/>
      <c r="WTT3" s="120"/>
      <c r="WTU3" s="120"/>
      <c r="WTV3" s="120"/>
      <c r="WTW3" s="120"/>
      <c r="WTX3" s="120"/>
      <c r="WTY3" s="120"/>
      <c r="WTZ3" s="120"/>
      <c r="WUA3" s="120"/>
      <c r="WUB3" s="120"/>
      <c r="WUC3" s="120"/>
      <c r="WUD3" s="120"/>
      <c r="WUE3" s="120"/>
      <c r="WUF3" s="120"/>
      <c r="WUG3" s="120"/>
      <c r="WUH3" s="120"/>
      <c r="WUI3" s="120"/>
      <c r="WUJ3" s="120"/>
      <c r="WUK3" s="120"/>
      <c r="WUL3" s="120"/>
      <c r="WUM3" s="120"/>
      <c r="WUN3" s="120"/>
      <c r="WUO3" s="120"/>
      <c r="WUP3" s="120"/>
      <c r="WUQ3" s="120"/>
      <c r="WUR3" s="120"/>
      <c r="WUS3" s="120"/>
      <c r="WUT3" s="120"/>
      <c r="WUU3" s="120"/>
      <c r="WUV3" s="120"/>
      <c r="WUW3" s="120"/>
      <c r="WUX3" s="120"/>
      <c r="WUY3" s="120"/>
      <c r="WUZ3" s="120"/>
      <c r="WVA3" s="120"/>
      <c r="WVB3" s="120"/>
      <c r="WVC3" s="120"/>
      <c r="WVD3" s="120"/>
      <c r="WVE3" s="120"/>
      <c r="WVF3" s="120"/>
      <c r="WVG3" s="120"/>
      <c r="WVH3" s="120"/>
      <c r="WVI3" s="120"/>
      <c r="WVJ3" s="120"/>
      <c r="WVK3" s="120"/>
      <c r="WVL3" s="120"/>
      <c r="WVM3" s="120"/>
      <c r="WVN3" s="120"/>
      <c r="WVO3" s="120"/>
      <c r="WVP3" s="120"/>
      <c r="WVQ3" s="120"/>
      <c r="WVR3" s="120"/>
      <c r="WVS3" s="120"/>
      <c r="WVT3" s="120"/>
      <c r="WVU3" s="120"/>
      <c r="WVV3" s="120"/>
      <c r="WVW3" s="120"/>
      <c r="WVX3" s="120"/>
      <c r="WVY3" s="120"/>
      <c r="WVZ3" s="120"/>
      <c r="WWA3" s="120"/>
      <c r="WWB3" s="120"/>
      <c r="WWC3" s="120"/>
      <c r="WWD3" s="120"/>
      <c r="WWE3" s="120"/>
      <c r="WWF3" s="120"/>
      <c r="WWG3" s="120"/>
      <c r="WWH3" s="120"/>
      <c r="WWI3" s="120"/>
      <c r="WWJ3" s="120"/>
      <c r="WWK3" s="120"/>
      <c r="WWL3" s="120"/>
      <c r="WWM3" s="120"/>
      <c r="WWN3" s="120"/>
      <c r="WWO3" s="120"/>
      <c r="WWP3" s="120"/>
      <c r="WWQ3" s="120"/>
      <c r="WWR3" s="120"/>
      <c r="WWS3" s="120"/>
      <c r="WWT3" s="120"/>
      <c r="WWU3" s="120"/>
      <c r="WWV3" s="120"/>
      <c r="WWW3" s="120"/>
      <c r="WWX3" s="120"/>
      <c r="WWY3" s="120"/>
      <c r="WWZ3" s="120"/>
      <c r="WXA3" s="120"/>
      <c r="WXB3" s="120"/>
      <c r="WXC3" s="120"/>
      <c r="WXD3" s="120"/>
      <c r="WXE3" s="120"/>
      <c r="WXF3" s="120"/>
      <c r="WXG3" s="120"/>
      <c r="WXH3" s="120"/>
      <c r="WXI3" s="120"/>
      <c r="WXJ3" s="120"/>
      <c r="WXK3" s="120"/>
      <c r="WXL3" s="120"/>
      <c r="WXM3" s="120"/>
      <c r="WXN3" s="120"/>
      <c r="WXO3" s="120"/>
      <c r="WXP3" s="120"/>
      <c r="WXQ3" s="120"/>
      <c r="WXR3" s="120"/>
      <c r="WXS3" s="120"/>
      <c r="WXT3" s="120"/>
      <c r="WXU3" s="120"/>
      <c r="WXV3" s="120"/>
      <c r="WXW3" s="120"/>
      <c r="WXX3" s="120"/>
      <c r="WXY3" s="120"/>
      <c r="WXZ3" s="120"/>
      <c r="WYA3" s="120"/>
      <c r="WYB3" s="120"/>
      <c r="WYC3" s="120"/>
      <c r="WYD3" s="120"/>
      <c r="WYE3" s="120"/>
      <c r="WYF3" s="120"/>
      <c r="WYG3" s="120"/>
      <c r="WYH3" s="120"/>
      <c r="WYI3" s="120"/>
      <c r="WYJ3" s="120"/>
      <c r="WYK3" s="120"/>
      <c r="WYL3" s="120"/>
      <c r="WYM3" s="120"/>
      <c r="WYN3" s="120"/>
      <c r="WYO3" s="120"/>
      <c r="WYP3" s="120"/>
      <c r="WYQ3" s="120"/>
      <c r="WYR3" s="120"/>
      <c r="WYS3" s="120"/>
      <c r="WYT3" s="120"/>
      <c r="WYU3" s="120"/>
      <c r="WYV3" s="120"/>
      <c r="WYW3" s="120"/>
      <c r="WYX3" s="120"/>
      <c r="WYY3" s="120"/>
      <c r="WYZ3" s="120"/>
      <c r="WZA3" s="120"/>
      <c r="WZB3" s="120"/>
      <c r="WZC3" s="120"/>
      <c r="WZD3" s="120"/>
      <c r="WZE3" s="120"/>
      <c r="WZF3" s="120"/>
      <c r="WZG3" s="120"/>
      <c r="WZH3" s="120"/>
      <c r="WZI3" s="120"/>
      <c r="WZJ3" s="120"/>
      <c r="WZK3" s="120"/>
      <c r="WZL3" s="120"/>
      <c r="WZM3" s="120"/>
      <c r="WZN3" s="120"/>
      <c r="WZO3" s="120"/>
      <c r="WZP3" s="120"/>
      <c r="WZQ3" s="120"/>
      <c r="WZR3" s="120"/>
      <c r="WZS3" s="120"/>
      <c r="WZT3" s="120"/>
      <c r="WZU3" s="120"/>
      <c r="WZV3" s="120"/>
      <c r="WZW3" s="120"/>
      <c r="WZX3" s="120"/>
      <c r="WZY3" s="120"/>
      <c r="WZZ3" s="120"/>
      <c r="XAA3" s="120"/>
      <c r="XAB3" s="120"/>
      <c r="XAC3" s="120"/>
      <c r="XAD3" s="120"/>
      <c r="XAE3" s="120"/>
      <c r="XAF3" s="120"/>
      <c r="XAG3" s="120"/>
      <c r="XAH3" s="120"/>
      <c r="XAI3" s="120"/>
      <c r="XAJ3" s="120"/>
      <c r="XAK3" s="120"/>
      <c r="XAL3" s="120"/>
      <c r="XAM3" s="120"/>
      <c r="XAN3" s="120"/>
      <c r="XAO3" s="120"/>
      <c r="XAP3" s="120"/>
      <c r="XAQ3" s="120"/>
      <c r="XAR3" s="120"/>
      <c r="XAS3" s="120"/>
      <c r="XAT3" s="120"/>
      <c r="XAU3" s="120"/>
      <c r="XAV3" s="120"/>
      <c r="XAW3" s="120"/>
      <c r="XAX3" s="120"/>
      <c r="XAY3" s="120"/>
      <c r="XAZ3" s="120"/>
      <c r="XBA3" s="120"/>
      <c r="XBB3" s="120"/>
      <c r="XBC3" s="120"/>
      <c r="XBD3" s="120"/>
      <c r="XBE3" s="120"/>
      <c r="XBF3" s="120"/>
      <c r="XBG3" s="120"/>
      <c r="XBH3" s="120"/>
      <c r="XBI3" s="120"/>
      <c r="XBJ3" s="120"/>
      <c r="XBK3" s="120"/>
      <c r="XBL3" s="120"/>
      <c r="XBM3" s="120"/>
      <c r="XBN3" s="120"/>
      <c r="XBO3" s="120"/>
      <c r="XBP3" s="120"/>
      <c r="XBQ3" s="120"/>
      <c r="XBR3" s="120"/>
      <c r="XBS3" s="120"/>
      <c r="XBT3" s="120"/>
      <c r="XBU3" s="120"/>
      <c r="XBV3" s="120"/>
      <c r="XBW3" s="120"/>
      <c r="XBX3" s="120"/>
      <c r="XBY3" s="120"/>
      <c r="XBZ3" s="120"/>
      <c r="XCA3" s="120"/>
      <c r="XCB3" s="120"/>
      <c r="XCC3" s="120"/>
      <c r="XCD3" s="120"/>
      <c r="XCE3" s="120"/>
      <c r="XCF3" s="120"/>
      <c r="XCG3" s="120"/>
      <c r="XCH3" s="120"/>
      <c r="XCI3" s="120"/>
      <c r="XCJ3" s="120"/>
      <c r="XCK3" s="120"/>
      <c r="XCL3" s="120"/>
      <c r="XCM3" s="120"/>
      <c r="XCN3" s="120"/>
      <c r="XCO3" s="120"/>
      <c r="XCP3" s="120"/>
      <c r="XCQ3" s="120"/>
      <c r="XCR3" s="120"/>
      <c r="XCS3" s="120"/>
      <c r="XCT3" s="120"/>
      <c r="XCU3" s="120"/>
      <c r="XCV3" s="120"/>
      <c r="XCW3" s="120"/>
      <c r="XCX3" s="120"/>
      <c r="XCY3" s="120"/>
      <c r="XCZ3" s="120"/>
      <c r="XDA3" s="120"/>
      <c r="XDB3" s="120"/>
      <c r="XDC3" s="120"/>
      <c r="XDD3" s="120"/>
      <c r="XDE3" s="120"/>
      <c r="XDF3" s="120"/>
      <c r="XDG3" s="120"/>
      <c r="XDH3" s="120"/>
      <c r="XDI3" s="120"/>
      <c r="XDJ3" s="120"/>
      <c r="XDK3" s="120"/>
      <c r="XDL3" s="120"/>
      <c r="XDM3" s="120"/>
      <c r="XDN3" s="120"/>
      <c r="XDO3" s="120"/>
      <c r="XDP3" s="120"/>
      <c r="XDQ3" s="120"/>
      <c r="XDR3" s="120"/>
      <c r="XDS3" s="120"/>
      <c r="XDT3" s="120"/>
      <c r="XDU3" s="120"/>
      <c r="XDV3" s="120"/>
      <c r="XDW3" s="120"/>
      <c r="XDX3" s="120"/>
      <c r="XDY3" s="120"/>
      <c r="XDZ3" s="120"/>
      <c r="XEA3" s="120"/>
      <c r="XEB3" s="120"/>
      <c r="XEC3" s="120"/>
      <c r="XED3" s="120"/>
      <c r="XEE3" s="120"/>
      <c r="XEF3" s="120"/>
      <c r="XEG3" s="120"/>
      <c r="XEH3" s="120"/>
      <c r="XEI3" s="120"/>
      <c r="XEJ3" s="120"/>
      <c r="XEK3" s="120"/>
      <c r="XEL3" s="120"/>
      <c r="XEM3" s="120"/>
      <c r="XEN3" s="120"/>
      <c r="XEO3" s="120"/>
      <c r="XEP3" s="120"/>
      <c r="XEQ3" s="120"/>
      <c r="XER3" s="120"/>
      <c r="XES3" s="120"/>
      <c r="XET3" s="120"/>
      <c r="XEU3" s="120"/>
      <c r="XEV3" s="120"/>
      <c r="XEW3" s="120"/>
      <c r="XEX3" s="120"/>
      <c r="XEY3" s="120"/>
      <c r="XEZ3" s="120"/>
      <c r="XFA3" s="120"/>
      <c r="XFB3" s="120"/>
      <c r="XFC3" s="120"/>
      <c r="XFD3" s="120"/>
    </row>
    <row r="4" spans="1:16384" ht="23.25" customHeight="1">
      <c r="D4" s="8"/>
      <c r="E4" s="9"/>
      <c r="F4" s="9"/>
      <c r="G4" s="9"/>
      <c r="H4" s="9"/>
      <c r="I4" s="10"/>
      <c r="J4" s="10"/>
      <c r="K4" s="10"/>
      <c r="L4" s="10"/>
      <c r="M4" s="10"/>
      <c r="N4" s="10"/>
      <c r="O4" s="10"/>
      <c r="P4" s="10"/>
      <c r="Q4" s="10"/>
    </row>
    <row r="5" spans="1:16384" s="12" customFormat="1" ht="30" customHeight="1">
      <c r="A5" s="11"/>
      <c r="C5" s="13">
        <v>1</v>
      </c>
      <c r="D5" s="30" t="s">
        <v>5</v>
      </c>
      <c r="E5" s="9"/>
    </row>
    <row r="6" spans="1:16384" s="12" customFormat="1" ht="29.25" customHeight="1">
      <c r="A6" s="11"/>
      <c r="C6" s="180"/>
      <c r="D6" s="180"/>
      <c r="E6" s="9"/>
      <c r="F6" s="14"/>
      <c r="G6" s="14"/>
      <c r="H6" s="14"/>
      <c r="I6" s="14"/>
    </row>
    <row r="7" spans="1:16384" s="12" customFormat="1" ht="30" customHeight="1">
      <c r="A7" s="11"/>
      <c r="C7" s="13">
        <v>2</v>
      </c>
      <c r="D7" s="30" t="s">
        <v>6</v>
      </c>
      <c r="E7" s="9"/>
    </row>
    <row r="8" spans="1:16384" s="12" customFormat="1" ht="29.25" customHeight="1">
      <c r="A8" s="11"/>
      <c r="C8" s="180"/>
      <c r="D8" s="180"/>
      <c r="E8" s="9"/>
      <c r="F8" s="14"/>
      <c r="G8" s="14"/>
      <c r="H8" s="14"/>
      <c r="I8" s="14"/>
    </row>
    <row r="9" spans="1:16384" s="12" customFormat="1" ht="30" customHeight="1">
      <c r="A9" s="11"/>
      <c r="C9" s="13">
        <v>3</v>
      </c>
      <c r="D9" s="30" t="s">
        <v>7</v>
      </c>
      <c r="E9" s="9"/>
    </row>
    <row r="10" spans="1:16384" s="12" customFormat="1" ht="29.25" customHeight="1">
      <c r="A10" s="11"/>
      <c r="C10" s="180"/>
      <c r="D10" s="180"/>
      <c r="E10" s="9"/>
      <c r="F10" s="14"/>
      <c r="G10" s="14"/>
      <c r="H10" s="14"/>
      <c r="I10" s="14"/>
    </row>
    <row r="11" spans="1:16384" s="12" customFormat="1" ht="30" customHeight="1">
      <c r="A11" s="11"/>
      <c r="C11" s="13">
        <v>4</v>
      </c>
      <c r="D11" s="30" t="s">
        <v>21</v>
      </c>
      <c r="E11" s="9"/>
      <c r="H11" s="15" t="s">
        <v>20</v>
      </c>
    </row>
    <row r="12" spans="1:16384" s="12" customFormat="1" ht="29.25" customHeight="1">
      <c r="A12" s="11"/>
      <c r="C12" s="180"/>
      <c r="D12" s="180"/>
      <c r="E12" s="9"/>
      <c r="F12" s="14"/>
      <c r="G12" s="14"/>
      <c r="H12" s="14"/>
      <c r="I12" s="14"/>
    </row>
    <row r="13" spans="1:16384" s="12" customFormat="1" ht="30" customHeight="1">
      <c r="A13" s="11"/>
      <c r="C13" s="13">
        <v>5</v>
      </c>
      <c r="D13" s="30" t="s">
        <v>8</v>
      </c>
      <c r="E13" s="9"/>
    </row>
    <row r="14" spans="1:16384" s="12" customFormat="1" ht="29.25" customHeight="1">
      <c r="A14" s="11"/>
      <c r="C14" s="180"/>
      <c r="D14" s="180"/>
      <c r="E14" s="14"/>
      <c r="F14" s="14"/>
      <c r="G14" s="14"/>
      <c r="H14" s="14"/>
      <c r="I14" s="14"/>
    </row>
  </sheetData>
  <mergeCells count="10">
    <mergeCell ref="C14:D14"/>
    <mergeCell ref="C12:D12"/>
    <mergeCell ref="C10:D10"/>
    <mergeCell ref="C8:D8"/>
    <mergeCell ref="C6:D6"/>
    <mergeCell ref="C1:D1"/>
    <mergeCell ref="E1:F1"/>
    <mergeCell ref="G1:H1"/>
    <mergeCell ref="I1:J1"/>
    <mergeCell ref="K1:L1"/>
  </mergeCells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Planilha28"/>
  <dimension ref="A1:XFD22"/>
  <sheetViews>
    <sheetView showGridLines="0" zoomScale="90" zoomScaleNormal="90" zoomScalePageLayoutView="80" workbookViewId="0">
      <pane ySplit="2" topLeftCell="A3" activePane="bottomLeft" state="frozen"/>
      <selection activeCell="E5" sqref="E5"/>
      <selection pane="bottomLeft" activeCell="C3" sqref="C3"/>
    </sheetView>
  </sheetViews>
  <sheetFormatPr defaultColWidth="11" defaultRowHeight="15.75"/>
  <cols>
    <col min="1" max="1" width="2.125" style="6" customWidth="1"/>
    <col min="2" max="2" width="1.375" style="6" customWidth="1"/>
    <col min="3" max="3" width="44" style="6" bestFit="1" customWidth="1"/>
    <col min="4" max="6" width="27.375" style="6" customWidth="1"/>
    <col min="7" max="7" width="25.5" style="6" customWidth="1"/>
    <col min="8" max="10" width="27.375" style="6" customWidth="1"/>
    <col min="11" max="11" width="11" style="6" customWidth="1"/>
    <col min="12" max="14" width="11" style="6"/>
    <col min="15" max="15" width="11" style="6" customWidth="1"/>
    <col min="16" max="19" width="11" style="6"/>
    <col min="20" max="20" width="5.125" style="6" customWidth="1"/>
    <col min="21" max="16384" width="11" style="6"/>
  </cols>
  <sheetData>
    <row r="1" spans="1:16384" s="1" customFormat="1" ht="39" customHeight="1">
      <c r="C1" s="173"/>
      <c r="D1" s="173"/>
      <c r="E1" s="173"/>
      <c r="F1" s="173"/>
      <c r="G1" s="173"/>
      <c r="H1" s="173"/>
      <c r="I1" s="173"/>
      <c r="J1" s="173"/>
      <c r="K1" s="173"/>
      <c r="L1" s="173"/>
      <c r="M1" s="7"/>
    </row>
    <row r="2" spans="1:16384" s="2" customFormat="1" ht="30" customHeight="1">
      <c r="D2" s="3"/>
      <c r="E2" s="4"/>
      <c r="F2" s="4"/>
      <c r="G2" s="4"/>
      <c r="H2" s="4"/>
      <c r="I2" s="5"/>
      <c r="J2" s="5"/>
      <c r="K2" s="5"/>
      <c r="L2" s="5"/>
      <c r="M2" s="5"/>
      <c r="N2" s="5"/>
      <c r="O2" s="5"/>
      <c r="P2" s="5"/>
      <c r="Q2" s="5"/>
    </row>
    <row r="3" spans="1:16384" customFormat="1" ht="44.25" customHeight="1">
      <c r="A3" s="119"/>
      <c r="B3" s="120"/>
      <c r="C3" s="121"/>
      <c r="D3" s="120"/>
      <c r="E3" s="122"/>
      <c r="F3" s="122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X3" s="120"/>
      <c r="Y3" s="120"/>
      <c r="Z3" s="120"/>
      <c r="AA3" s="120"/>
      <c r="AB3" s="120"/>
      <c r="AC3" s="120"/>
      <c r="AD3" s="120"/>
      <c r="AE3" s="120"/>
      <c r="AF3" s="120"/>
      <c r="AG3" s="120"/>
      <c r="AH3" s="120"/>
      <c r="AI3" s="120"/>
      <c r="AJ3" s="120"/>
      <c r="AK3" s="120"/>
      <c r="AL3" s="120"/>
      <c r="AM3" s="120"/>
      <c r="AN3" s="120"/>
      <c r="AO3" s="120"/>
      <c r="AP3" s="120"/>
      <c r="AQ3" s="120"/>
      <c r="AR3" s="120"/>
      <c r="AS3" s="120"/>
      <c r="AT3" s="120"/>
      <c r="AU3" s="120"/>
      <c r="AV3" s="120"/>
      <c r="AW3" s="120"/>
      <c r="AX3" s="120"/>
      <c r="AY3" s="120"/>
      <c r="AZ3" s="120"/>
      <c r="BA3" s="120"/>
      <c r="BB3" s="120"/>
      <c r="BC3" s="120"/>
      <c r="BD3" s="120"/>
      <c r="BE3" s="120"/>
      <c r="BF3" s="120"/>
      <c r="BG3" s="120"/>
      <c r="BH3" s="120"/>
      <c r="BI3" s="120"/>
      <c r="BJ3" s="120"/>
      <c r="BK3" s="120"/>
      <c r="BL3" s="120"/>
      <c r="BM3" s="120"/>
      <c r="BN3" s="120"/>
      <c r="BO3" s="120"/>
      <c r="BP3" s="120"/>
      <c r="BQ3" s="120"/>
      <c r="BR3" s="120"/>
      <c r="BS3" s="120"/>
      <c r="BT3" s="120"/>
      <c r="BU3" s="120"/>
      <c r="BV3" s="120"/>
      <c r="BW3" s="120"/>
      <c r="BX3" s="120"/>
      <c r="BY3" s="120"/>
      <c r="BZ3" s="120"/>
      <c r="CA3" s="120"/>
      <c r="CB3" s="120"/>
      <c r="CC3" s="120"/>
      <c r="CD3" s="120"/>
      <c r="CE3" s="120"/>
      <c r="CF3" s="120"/>
      <c r="CG3" s="120"/>
      <c r="CH3" s="120"/>
      <c r="CI3" s="120"/>
      <c r="CJ3" s="120"/>
      <c r="CK3" s="120"/>
      <c r="CL3" s="120"/>
      <c r="CM3" s="120"/>
      <c r="CN3" s="120"/>
      <c r="CO3" s="120"/>
      <c r="CP3" s="120"/>
      <c r="CQ3" s="120"/>
      <c r="CR3" s="120"/>
      <c r="CS3" s="120"/>
      <c r="CT3" s="120"/>
      <c r="CU3" s="120"/>
      <c r="CV3" s="120"/>
      <c r="CW3" s="120"/>
      <c r="CX3" s="120"/>
      <c r="CY3" s="120"/>
      <c r="CZ3" s="120"/>
      <c r="DA3" s="120"/>
      <c r="DB3" s="120"/>
      <c r="DC3" s="120"/>
      <c r="DD3" s="120"/>
      <c r="DE3" s="120"/>
      <c r="DF3" s="120"/>
      <c r="DG3" s="120"/>
      <c r="DH3" s="120"/>
      <c r="DI3" s="120"/>
      <c r="DJ3" s="120"/>
      <c r="DK3" s="120"/>
      <c r="DL3" s="120"/>
      <c r="DM3" s="120"/>
      <c r="DN3" s="120"/>
      <c r="DO3" s="120"/>
      <c r="DP3" s="120"/>
      <c r="DQ3" s="120"/>
      <c r="DR3" s="120"/>
      <c r="DS3" s="120"/>
      <c r="DT3" s="120"/>
      <c r="DU3" s="120"/>
      <c r="DV3" s="120"/>
      <c r="DW3" s="120"/>
      <c r="DX3" s="120"/>
      <c r="DY3" s="120"/>
      <c r="DZ3" s="120"/>
      <c r="EA3" s="120"/>
      <c r="EB3" s="120"/>
      <c r="EC3" s="120"/>
      <c r="ED3" s="120"/>
      <c r="EE3" s="120"/>
      <c r="EF3" s="120"/>
      <c r="EG3" s="120"/>
      <c r="EH3" s="120"/>
      <c r="EI3" s="120"/>
      <c r="EJ3" s="120"/>
      <c r="EK3" s="120"/>
      <c r="EL3" s="120"/>
      <c r="EM3" s="120"/>
      <c r="EN3" s="120"/>
      <c r="EO3" s="120"/>
      <c r="EP3" s="120"/>
      <c r="EQ3" s="120"/>
      <c r="ER3" s="120"/>
      <c r="ES3" s="120"/>
      <c r="ET3" s="120"/>
      <c r="EU3" s="120"/>
      <c r="EV3" s="120"/>
      <c r="EW3" s="120"/>
      <c r="EX3" s="120"/>
      <c r="EY3" s="120"/>
      <c r="EZ3" s="120"/>
      <c r="FA3" s="120"/>
      <c r="FB3" s="120"/>
      <c r="FC3" s="120"/>
      <c r="FD3" s="120"/>
      <c r="FE3" s="120"/>
      <c r="FF3" s="120"/>
      <c r="FG3" s="120"/>
      <c r="FH3" s="120"/>
      <c r="FI3" s="120"/>
      <c r="FJ3" s="120"/>
      <c r="FK3" s="120"/>
      <c r="FL3" s="120"/>
      <c r="FM3" s="120"/>
      <c r="FN3" s="120"/>
      <c r="FO3" s="120"/>
      <c r="FP3" s="120"/>
      <c r="FQ3" s="120"/>
      <c r="FR3" s="120"/>
      <c r="FS3" s="120"/>
      <c r="FT3" s="120"/>
      <c r="FU3" s="120"/>
      <c r="FV3" s="120"/>
      <c r="FW3" s="120"/>
      <c r="FX3" s="120"/>
      <c r="FY3" s="120"/>
      <c r="FZ3" s="120"/>
      <c r="GA3" s="120"/>
      <c r="GB3" s="120"/>
      <c r="GC3" s="120"/>
      <c r="GD3" s="120"/>
      <c r="GE3" s="120"/>
      <c r="GF3" s="120"/>
      <c r="GG3" s="120"/>
      <c r="GH3" s="120"/>
      <c r="GI3" s="120"/>
      <c r="GJ3" s="120"/>
      <c r="GK3" s="120"/>
      <c r="GL3" s="120"/>
      <c r="GM3" s="120"/>
      <c r="GN3" s="120"/>
      <c r="GO3" s="120"/>
      <c r="GP3" s="120"/>
      <c r="GQ3" s="120"/>
      <c r="GR3" s="120"/>
      <c r="GS3" s="120"/>
      <c r="GT3" s="120"/>
      <c r="GU3" s="120"/>
      <c r="GV3" s="120"/>
      <c r="GW3" s="120"/>
      <c r="GX3" s="120"/>
      <c r="GY3" s="120"/>
      <c r="GZ3" s="120"/>
      <c r="HA3" s="120"/>
      <c r="HB3" s="120"/>
      <c r="HC3" s="120"/>
      <c r="HD3" s="120"/>
      <c r="HE3" s="120"/>
      <c r="HF3" s="120"/>
      <c r="HG3" s="120"/>
      <c r="HH3" s="120"/>
      <c r="HI3" s="120"/>
      <c r="HJ3" s="120"/>
      <c r="HK3" s="120"/>
      <c r="HL3" s="120"/>
      <c r="HM3" s="120"/>
      <c r="HN3" s="120"/>
      <c r="HO3" s="120"/>
      <c r="HP3" s="120"/>
      <c r="HQ3" s="120"/>
      <c r="HR3" s="120"/>
      <c r="HS3" s="120"/>
      <c r="HT3" s="120"/>
      <c r="HU3" s="120"/>
      <c r="HV3" s="120"/>
      <c r="HW3" s="120"/>
      <c r="HX3" s="120"/>
      <c r="HY3" s="120"/>
      <c r="HZ3" s="120"/>
      <c r="IA3" s="120"/>
      <c r="IB3" s="120"/>
      <c r="IC3" s="120"/>
      <c r="ID3" s="120"/>
      <c r="IE3" s="120"/>
      <c r="IF3" s="120"/>
      <c r="IG3" s="120"/>
      <c r="IH3" s="120"/>
      <c r="II3" s="120"/>
      <c r="IJ3" s="120"/>
      <c r="IK3" s="120"/>
      <c r="IL3" s="120"/>
      <c r="IM3" s="120"/>
      <c r="IN3" s="120"/>
      <c r="IO3" s="120"/>
      <c r="IP3" s="120"/>
      <c r="IQ3" s="120"/>
      <c r="IR3" s="120"/>
      <c r="IS3" s="120"/>
      <c r="IT3" s="120"/>
      <c r="IU3" s="120"/>
      <c r="IV3" s="120"/>
      <c r="IW3" s="120"/>
      <c r="IX3" s="120"/>
      <c r="IY3" s="120"/>
      <c r="IZ3" s="120"/>
      <c r="JA3" s="120"/>
      <c r="JB3" s="120"/>
      <c r="JC3" s="120"/>
      <c r="JD3" s="120"/>
      <c r="JE3" s="120"/>
      <c r="JF3" s="120"/>
      <c r="JG3" s="120"/>
      <c r="JH3" s="120"/>
      <c r="JI3" s="120"/>
      <c r="JJ3" s="120"/>
      <c r="JK3" s="120"/>
      <c r="JL3" s="120"/>
      <c r="JM3" s="120"/>
      <c r="JN3" s="120"/>
      <c r="JO3" s="120"/>
      <c r="JP3" s="120"/>
      <c r="JQ3" s="120"/>
      <c r="JR3" s="120"/>
      <c r="JS3" s="120"/>
      <c r="JT3" s="120"/>
      <c r="JU3" s="120"/>
      <c r="JV3" s="120"/>
      <c r="JW3" s="120"/>
      <c r="JX3" s="120"/>
      <c r="JY3" s="120"/>
      <c r="JZ3" s="120"/>
      <c r="KA3" s="120"/>
      <c r="KB3" s="120"/>
      <c r="KC3" s="120"/>
      <c r="KD3" s="120"/>
      <c r="KE3" s="120"/>
      <c r="KF3" s="120"/>
      <c r="KG3" s="120"/>
      <c r="KH3" s="120"/>
      <c r="KI3" s="120"/>
      <c r="KJ3" s="120"/>
      <c r="KK3" s="120"/>
      <c r="KL3" s="120"/>
      <c r="KM3" s="120"/>
      <c r="KN3" s="120"/>
      <c r="KO3" s="120"/>
      <c r="KP3" s="120"/>
      <c r="KQ3" s="120"/>
      <c r="KR3" s="120"/>
      <c r="KS3" s="120"/>
      <c r="KT3" s="120"/>
      <c r="KU3" s="120"/>
      <c r="KV3" s="120"/>
      <c r="KW3" s="120"/>
      <c r="KX3" s="120"/>
      <c r="KY3" s="120"/>
      <c r="KZ3" s="120"/>
      <c r="LA3" s="120"/>
      <c r="LB3" s="120"/>
      <c r="LC3" s="120"/>
      <c r="LD3" s="120"/>
      <c r="LE3" s="120"/>
      <c r="LF3" s="120"/>
      <c r="LG3" s="120"/>
      <c r="LH3" s="120"/>
      <c r="LI3" s="120"/>
      <c r="LJ3" s="120"/>
      <c r="LK3" s="120"/>
      <c r="LL3" s="120"/>
      <c r="LM3" s="120"/>
      <c r="LN3" s="120"/>
      <c r="LO3" s="120"/>
      <c r="LP3" s="120"/>
      <c r="LQ3" s="120"/>
      <c r="LR3" s="120"/>
      <c r="LS3" s="120"/>
      <c r="LT3" s="120"/>
      <c r="LU3" s="120"/>
      <c r="LV3" s="120"/>
      <c r="LW3" s="120"/>
      <c r="LX3" s="120"/>
      <c r="LY3" s="120"/>
      <c r="LZ3" s="120"/>
      <c r="MA3" s="120"/>
      <c r="MB3" s="120"/>
      <c r="MC3" s="120"/>
      <c r="MD3" s="120"/>
      <c r="ME3" s="120"/>
      <c r="MF3" s="120"/>
      <c r="MG3" s="120"/>
      <c r="MH3" s="120"/>
      <c r="MI3" s="120"/>
      <c r="MJ3" s="120"/>
      <c r="MK3" s="120"/>
      <c r="ML3" s="120"/>
      <c r="MM3" s="120"/>
      <c r="MN3" s="120"/>
      <c r="MO3" s="120"/>
      <c r="MP3" s="120"/>
      <c r="MQ3" s="120"/>
      <c r="MR3" s="120"/>
      <c r="MS3" s="120"/>
      <c r="MT3" s="120"/>
      <c r="MU3" s="120"/>
      <c r="MV3" s="120"/>
      <c r="MW3" s="120"/>
      <c r="MX3" s="120"/>
      <c r="MY3" s="120"/>
      <c r="MZ3" s="120"/>
      <c r="NA3" s="120"/>
      <c r="NB3" s="120"/>
      <c r="NC3" s="120"/>
      <c r="ND3" s="120"/>
      <c r="NE3" s="120"/>
      <c r="NF3" s="120"/>
      <c r="NG3" s="120"/>
      <c r="NH3" s="120"/>
      <c r="NI3" s="120"/>
      <c r="NJ3" s="120"/>
      <c r="NK3" s="120"/>
      <c r="NL3" s="120"/>
      <c r="NM3" s="120"/>
      <c r="NN3" s="120"/>
      <c r="NO3" s="120"/>
      <c r="NP3" s="120"/>
      <c r="NQ3" s="120"/>
      <c r="NR3" s="120"/>
      <c r="NS3" s="120"/>
      <c r="NT3" s="120"/>
      <c r="NU3" s="120"/>
      <c r="NV3" s="120"/>
      <c r="NW3" s="120"/>
      <c r="NX3" s="120"/>
      <c r="NY3" s="120"/>
      <c r="NZ3" s="120"/>
      <c r="OA3" s="120"/>
      <c r="OB3" s="120"/>
      <c r="OC3" s="120"/>
      <c r="OD3" s="120"/>
      <c r="OE3" s="120"/>
      <c r="OF3" s="120"/>
      <c r="OG3" s="120"/>
      <c r="OH3" s="120"/>
      <c r="OI3" s="120"/>
      <c r="OJ3" s="120"/>
      <c r="OK3" s="120"/>
      <c r="OL3" s="120"/>
      <c r="OM3" s="120"/>
      <c r="ON3" s="120"/>
      <c r="OO3" s="120"/>
      <c r="OP3" s="120"/>
      <c r="OQ3" s="120"/>
      <c r="OR3" s="120"/>
      <c r="OS3" s="120"/>
      <c r="OT3" s="120"/>
      <c r="OU3" s="120"/>
      <c r="OV3" s="120"/>
      <c r="OW3" s="120"/>
      <c r="OX3" s="120"/>
      <c r="OY3" s="120"/>
      <c r="OZ3" s="120"/>
      <c r="PA3" s="120"/>
      <c r="PB3" s="120"/>
      <c r="PC3" s="120"/>
      <c r="PD3" s="120"/>
      <c r="PE3" s="120"/>
      <c r="PF3" s="120"/>
      <c r="PG3" s="120"/>
      <c r="PH3" s="120"/>
      <c r="PI3" s="120"/>
      <c r="PJ3" s="120"/>
      <c r="PK3" s="120"/>
      <c r="PL3" s="120"/>
      <c r="PM3" s="120"/>
      <c r="PN3" s="120"/>
      <c r="PO3" s="120"/>
      <c r="PP3" s="120"/>
      <c r="PQ3" s="120"/>
      <c r="PR3" s="120"/>
      <c r="PS3" s="120"/>
      <c r="PT3" s="120"/>
      <c r="PU3" s="120"/>
      <c r="PV3" s="120"/>
      <c r="PW3" s="120"/>
      <c r="PX3" s="120"/>
      <c r="PY3" s="120"/>
      <c r="PZ3" s="120"/>
      <c r="QA3" s="120"/>
      <c r="QB3" s="120"/>
      <c r="QC3" s="120"/>
      <c r="QD3" s="120"/>
      <c r="QE3" s="120"/>
      <c r="QF3" s="120"/>
      <c r="QG3" s="120"/>
      <c r="QH3" s="120"/>
      <c r="QI3" s="120"/>
      <c r="QJ3" s="120"/>
      <c r="QK3" s="120"/>
      <c r="QL3" s="120"/>
      <c r="QM3" s="120"/>
      <c r="QN3" s="120"/>
      <c r="QO3" s="120"/>
      <c r="QP3" s="120"/>
      <c r="QQ3" s="120"/>
      <c r="QR3" s="120"/>
      <c r="QS3" s="120"/>
      <c r="QT3" s="120"/>
      <c r="QU3" s="120"/>
      <c r="QV3" s="120"/>
      <c r="QW3" s="120"/>
      <c r="QX3" s="120"/>
      <c r="QY3" s="120"/>
      <c r="QZ3" s="120"/>
      <c r="RA3" s="120"/>
      <c r="RB3" s="120"/>
      <c r="RC3" s="120"/>
      <c r="RD3" s="120"/>
      <c r="RE3" s="120"/>
      <c r="RF3" s="120"/>
      <c r="RG3" s="120"/>
      <c r="RH3" s="120"/>
      <c r="RI3" s="120"/>
      <c r="RJ3" s="120"/>
      <c r="RK3" s="120"/>
      <c r="RL3" s="120"/>
      <c r="RM3" s="120"/>
      <c r="RN3" s="120"/>
      <c r="RO3" s="120"/>
      <c r="RP3" s="120"/>
      <c r="RQ3" s="120"/>
      <c r="RR3" s="120"/>
      <c r="RS3" s="120"/>
      <c r="RT3" s="120"/>
      <c r="RU3" s="120"/>
      <c r="RV3" s="120"/>
      <c r="RW3" s="120"/>
      <c r="RX3" s="120"/>
      <c r="RY3" s="120"/>
      <c r="RZ3" s="120"/>
      <c r="SA3" s="120"/>
      <c r="SB3" s="120"/>
      <c r="SC3" s="120"/>
      <c r="SD3" s="120"/>
      <c r="SE3" s="120"/>
      <c r="SF3" s="120"/>
      <c r="SG3" s="120"/>
      <c r="SH3" s="120"/>
      <c r="SI3" s="120"/>
      <c r="SJ3" s="120"/>
      <c r="SK3" s="120"/>
      <c r="SL3" s="120"/>
      <c r="SM3" s="120"/>
      <c r="SN3" s="120"/>
      <c r="SO3" s="120"/>
      <c r="SP3" s="120"/>
      <c r="SQ3" s="120"/>
      <c r="SR3" s="120"/>
      <c r="SS3" s="120"/>
      <c r="ST3" s="120"/>
      <c r="SU3" s="120"/>
      <c r="SV3" s="120"/>
      <c r="SW3" s="120"/>
      <c r="SX3" s="120"/>
      <c r="SY3" s="120"/>
      <c r="SZ3" s="120"/>
      <c r="TA3" s="120"/>
      <c r="TB3" s="120"/>
      <c r="TC3" s="120"/>
      <c r="TD3" s="120"/>
      <c r="TE3" s="120"/>
      <c r="TF3" s="120"/>
      <c r="TG3" s="120"/>
      <c r="TH3" s="120"/>
      <c r="TI3" s="120"/>
      <c r="TJ3" s="120"/>
      <c r="TK3" s="120"/>
      <c r="TL3" s="120"/>
      <c r="TM3" s="120"/>
      <c r="TN3" s="120"/>
      <c r="TO3" s="120"/>
      <c r="TP3" s="120"/>
      <c r="TQ3" s="120"/>
      <c r="TR3" s="120"/>
      <c r="TS3" s="120"/>
      <c r="TT3" s="120"/>
      <c r="TU3" s="120"/>
      <c r="TV3" s="120"/>
      <c r="TW3" s="120"/>
      <c r="TX3" s="120"/>
      <c r="TY3" s="120"/>
      <c r="TZ3" s="120"/>
      <c r="UA3" s="120"/>
      <c r="UB3" s="120"/>
      <c r="UC3" s="120"/>
      <c r="UD3" s="120"/>
      <c r="UE3" s="120"/>
      <c r="UF3" s="120"/>
      <c r="UG3" s="120"/>
      <c r="UH3" s="120"/>
      <c r="UI3" s="120"/>
      <c r="UJ3" s="120"/>
      <c r="UK3" s="120"/>
      <c r="UL3" s="120"/>
      <c r="UM3" s="120"/>
      <c r="UN3" s="120"/>
      <c r="UO3" s="120"/>
      <c r="UP3" s="120"/>
      <c r="UQ3" s="120"/>
      <c r="UR3" s="120"/>
      <c r="US3" s="120"/>
      <c r="UT3" s="120"/>
      <c r="UU3" s="120"/>
      <c r="UV3" s="120"/>
      <c r="UW3" s="120"/>
      <c r="UX3" s="120"/>
      <c r="UY3" s="120"/>
      <c r="UZ3" s="120"/>
      <c r="VA3" s="120"/>
      <c r="VB3" s="120"/>
      <c r="VC3" s="120"/>
      <c r="VD3" s="120"/>
      <c r="VE3" s="120"/>
      <c r="VF3" s="120"/>
      <c r="VG3" s="120"/>
      <c r="VH3" s="120"/>
      <c r="VI3" s="120"/>
      <c r="VJ3" s="120"/>
      <c r="VK3" s="120"/>
      <c r="VL3" s="120"/>
      <c r="VM3" s="120"/>
      <c r="VN3" s="120"/>
      <c r="VO3" s="120"/>
      <c r="VP3" s="120"/>
      <c r="VQ3" s="120"/>
      <c r="VR3" s="120"/>
      <c r="VS3" s="120"/>
      <c r="VT3" s="120"/>
      <c r="VU3" s="120"/>
      <c r="VV3" s="120"/>
      <c r="VW3" s="120"/>
      <c r="VX3" s="120"/>
      <c r="VY3" s="120"/>
      <c r="VZ3" s="120"/>
      <c r="WA3" s="120"/>
      <c r="WB3" s="120"/>
      <c r="WC3" s="120"/>
      <c r="WD3" s="120"/>
      <c r="WE3" s="120"/>
      <c r="WF3" s="120"/>
      <c r="WG3" s="120"/>
      <c r="WH3" s="120"/>
      <c r="WI3" s="120"/>
      <c r="WJ3" s="120"/>
      <c r="WK3" s="120"/>
      <c r="WL3" s="120"/>
      <c r="WM3" s="120"/>
      <c r="WN3" s="120"/>
      <c r="WO3" s="120"/>
      <c r="WP3" s="120"/>
      <c r="WQ3" s="120"/>
      <c r="WR3" s="120"/>
      <c r="WS3" s="120"/>
      <c r="WT3" s="120"/>
      <c r="WU3" s="120"/>
      <c r="WV3" s="120"/>
      <c r="WW3" s="120"/>
      <c r="WX3" s="120"/>
      <c r="WY3" s="120"/>
      <c r="WZ3" s="120"/>
      <c r="XA3" s="120"/>
      <c r="XB3" s="120"/>
      <c r="XC3" s="120"/>
      <c r="XD3" s="120"/>
      <c r="XE3" s="120"/>
      <c r="XF3" s="120"/>
      <c r="XG3" s="120"/>
      <c r="XH3" s="120"/>
      <c r="XI3" s="120"/>
      <c r="XJ3" s="120"/>
      <c r="XK3" s="120"/>
      <c r="XL3" s="120"/>
      <c r="XM3" s="120"/>
      <c r="XN3" s="120"/>
      <c r="XO3" s="120"/>
      <c r="XP3" s="120"/>
      <c r="XQ3" s="120"/>
      <c r="XR3" s="120"/>
      <c r="XS3" s="120"/>
      <c r="XT3" s="120"/>
      <c r="XU3" s="120"/>
      <c r="XV3" s="120"/>
      <c r="XW3" s="120"/>
      <c r="XX3" s="120"/>
      <c r="XY3" s="120"/>
      <c r="XZ3" s="120"/>
      <c r="YA3" s="120"/>
      <c r="YB3" s="120"/>
      <c r="YC3" s="120"/>
      <c r="YD3" s="120"/>
      <c r="YE3" s="120"/>
      <c r="YF3" s="120"/>
      <c r="YG3" s="120"/>
      <c r="YH3" s="120"/>
      <c r="YI3" s="120"/>
      <c r="YJ3" s="120"/>
      <c r="YK3" s="120"/>
      <c r="YL3" s="120"/>
      <c r="YM3" s="120"/>
      <c r="YN3" s="120"/>
      <c r="YO3" s="120"/>
      <c r="YP3" s="120"/>
      <c r="YQ3" s="120"/>
      <c r="YR3" s="120"/>
      <c r="YS3" s="120"/>
      <c r="YT3" s="120"/>
      <c r="YU3" s="120"/>
      <c r="YV3" s="120"/>
      <c r="YW3" s="120"/>
      <c r="YX3" s="120"/>
      <c r="YY3" s="120"/>
      <c r="YZ3" s="120"/>
      <c r="ZA3" s="120"/>
      <c r="ZB3" s="120"/>
      <c r="ZC3" s="120"/>
      <c r="ZD3" s="120"/>
      <c r="ZE3" s="120"/>
      <c r="ZF3" s="120"/>
      <c r="ZG3" s="120"/>
      <c r="ZH3" s="120"/>
      <c r="ZI3" s="120"/>
      <c r="ZJ3" s="120"/>
      <c r="ZK3" s="120"/>
      <c r="ZL3" s="120"/>
      <c r="ZM3" s="120"/>
      <c r="ZN3" s="120"/>
      <c r="ZO3" s="120"/>
      <c r="ZP3" s="120"/>
      <c r="ZQ3" s="120"/>
      <c r="ZR3" s="120"/>
      <c r="ZS3" s="120"/>
      <c r="ZT3" s="120"/>
      <c r="ZU3" s="120"/>
      <c r="ZV3" s="120"/>
      <c r="ZW3" s="120"/>
      <c r="ZX3" s="120"/>
      <c r="ZY3" s="120"/>
      <c r="ZZ3" s="120"/>
      <c r="AAA3" s="120"/>
      <c r="AAB3" s="120"/>
      <c r="AAC3" s="120"/>
      <c r="AAD3" s="120"/>
      <c r="AAE3" s="120"/>
      <c r="AAF3" s="120"/>
      <c r="AAG3" s="120"/>
      <c r="AAH3" s="120"/>
      <c r="AAI3" s="120"/>
      <c r="AAJ3" s="120"/>
      <c r="AAK3" s="120"/>
      <c r="AAL3" s="120"/>
      <c r="AAM3" s="120"/>
      <c r="AAN3" s="120"/>
      <c r="AAO3" s="120"/>
      <c r="AAP3" s="120"/>
      <c r="AAQ3" s="120"/>
      <c r="AAR3" s="120"/>
      <c r="AAS3" s="120"/>
      <c r="AAT3" s="120"/>
      <c r="AAU3" s="120"/>
      <c r="AAV3" s="120"/>
      <c r="AAW3" s="120"/>
      <c r="AAX3" s="120"/>
      <c r="AAY3" s="120"/>
      <c r="AAZ3" s="120"/>
      <c r="ABA3" s="120"/>
      <c r="ABB3" s="120"/>
      <c r="ABC3" s="120"/>
      <c r="ABD3" s="120"/>
      <c r="ABE3" s="120"/>
      <c r="ABF3" s="120"/>
      <c r="ABG3" s="120"/>
      <c r="ABH3" s="120"/>
      <c r="ABI3" s="120"/>
      <c r="ABJ3" s="120"/>
      <c r="ABK3" s="120"/>
      <c r="ABL3" s="120"/>
      <c r="ABM3" s="120"/>
      <c r="ABN3" s="120"/>
      <c r="ABO3" s="120"/>
      <c r="ABP3" s="120"/>
      <c r="ABQ3" s="120"/>
      <c r="ABR3" s="120"/>
      <c r="ABS3" s="120"/>
      <c r="ABT3" s="120"/>
      <c r="ABU3" s="120"/>
      <c r="ABV3" s="120"/>
      <c r="ABW3" s="120"/>
      <c r="ABX3" s="120"/>
      <c r="ABY3" s="120"/>
      <c r="ABZ3" s="120"/>
      <c r="ACA3" s="120"/>
      <c r="ACB3" s="120"/>
      <c r="ACC3" s="120"/>
      <c r="ACD3" s="120"/>
      <c r="ACE3" s="120"/>
      <c r="ACF3" s="120"/>
      <c r="ACG3" s="120"/>
      <c r="ACH3" s="120"/>
      <c r="ACI3" s="120"/>
      <c r="ACJ3" s="120"/>
      <c r="ACK3" s="120"/>
      <c r="ACL3" s="120"/>
      <c r="ACM3" s="120"/>
      <c r="ACN3" s="120"/>
      <c r="ACO3" s="120"/>
      <c r="ACP3" s="120"/>
      <c r="ACQ3" s="120"/>
      <c r="ACR3" s="120"/>
      <c r="ACS3" s="120"/>
      <c r="ACT3" s="120"/>
      <c r="ACU3" s="120"/>
      <c r="ACV3" s="120"/>
      <c r="ACW3" s="120"/>
      <c r="ACX3" s="120"/>
      <c r="ACY3" s="120"/>
      <c r="ACZ3" s="120"/>
      <c r="ADA3" s="120"/>
      <c r="ADB3" s="120"/>
      <c r="ADC3" s="120"/>
      <c r="ADD3" s="120"/>
      <c r="ADE3" s="120"/>
      <c r="ADF3" s="120"/>
      <c r="ADG3" s="120"/>
      <c r="ADH3" s="120"/>
      <c r="ADI3" s="120"/>
      <c r="ADJ3" s="120"/>
      <c r="ADK3" s="120"/>
      <c r="ADL3" s="120"/>
      <c r="ADM3" s="120"/>
      <c r="ADN3" s="120"/>
      <c r="ADO3" s="120"/>
      <c r="ADP3" s="120"/>
      <c r="ADQ3" s="120"/>
      <c r="ADR3" s="120"/>
      <c r="ADS3" s="120"/>
      <c r="ADT3" s="120"/>
      <c r="ADU3" s="120"/>
      <c r="ADV3" s="120"/>
      <c r="ADW3" s="120"/>
      <c r="ADX3" s="120"/>
      <c r="ADY3" s="120"/>
      <c r="ADZ3" s="120"/>
      <c r="AEA3" s="120"/>
      <c r="AEB3" s="120"/>
      <c r="AEC3" s="120"/>
      <c r="AED3" s="120"/>
      <c r="AEE3" s="120"/>
      <c r="AEF3" s="120"/>
      <c r="AEG3" s="120"/>
      <c r="AEH3" s="120"/>
      <c r="AEI3" s="120"/>
      <c r="AEJ3" s="120"/>
      <c r="AEK3" s="120"/>
      <c r="AEL3" s="120"/>
      <c r="AEM3" s="120"/>
      <c r="AEN3" s="120"/>
      <c r="AEO3" s="120"/>
      <c r="AEP3" s="120"/>
      <c r="AEQ3" s="120"/>
      <c r="AER3" s="120"/>
      <c r="AES3" s="120"/>
      <c r="AET3" s="120"/>
      <c r="AEU3" s="120"/>
      <c r="AEV3" s="120"/>
      <c r="AEW3" s="120"/>
      <c r="AEX3" s="120"/>
      <c r="AEY3" s="120"/>
      <c r="AEZ3" s="120"/>
      <c r="AFA3" s="120"/>
      <c r="AFB3" s="120"/>
      <c r="AFC3" s="120"/>
      <c r="AFD3" s="120"/>
      <c r="AFE3" s="120"/>
      <c r="AFF3" s="120"/>
      <c r="AFG3" s="120"/>
      <c r="AFH3" s="120"/>
      <c r="AFI3" s="120"/>
      <c r="AFJ3" s="120"/>
      <c r="AFK3" s="120"/>
      <c r="AFL3" s="120"/>
      <c r="AFM3" s="120"/>
      <c r="AFN3" s="120"/>
      <c r="AFO3" s="120"/>
      <c r="AFP3" s="120"/>
      <c r="AFQ3" s="120"/>
      <c r="AFR3" s="120"/>
      <c r="AFS3" s="120"/>
      <c r="AFT3" s="120"/>
      <c r="AFU3" s="120"/>
      <c r="AFV3" s="120"/>
      <c r="AFW3" s="120"/>
      <c r="AFX3" s="120"/>
      <c r="AFY3" s="120"/>
      <c r="AFZ3" s="120"/>
      <c r="AGA3" s="120"/>
      <c r="AGB3" s="120"/>
      <c r="AGC3" s="120"/>
      <c r="AGD3" s="120"/>
      <c r="AGE3" s="120"/>
      <c r="AGF3" s="120"/>
      <c r="AGG3" s="120"/>
      <c r="AGH3" s="120"/>
      <c r="AGI3" s="120"/>
      <c r="AGJ3" s="120"/>
      <c r="AGK3" s="120"/>
      <c r="AGL3" s="120"/>
      <c r="AGM3" s="120"/>
      <c r="AGN3" s="120"/>
      <c r="AGO3" s="120"/>
      <c r="AGP3" s="120"/>
      <c r="AGQ3" s="120"/>
      <c r="AGR3" s="120"/>
      <c r="AGS3" s="120"/>
      <c r="AGT3" s="120"/>
      <c r="AGU3" s="120"/>
      <c r="AGV3" s="120"/>
      <c r="AGW3" s="120"/>
      <c r="AGX3" s="120"/>
      <c r="AGY3" s="120"/>
      <c r="AGZ3" s="120"/>
      <c r="AHA3" s="120"/>
      <c r="AHB3" s="120"/>
      <c r="AHC3" s="120"/>
      <c r="AHD3" s="120"/>
      <c r="AHE3" s="120"/>
      <c r="AHF3" s="120"/>
      <c r="AHG3" s="120"/>
      <c r="AHH3" s="120"/>
      <c r="AHI3" s="120"/>
      <c r="AHJ3" s="120"/>
      <c r="AHK3" s="120"/>
      <c r="AHL3" s="120"/>
      <c r="AHM3" s="120"/>
      <c r="AHN3" s="120"/>
      <c r="AHO3" s="120"/>
      <c r="AHP3" s="120"/>
      <c r="AHQ3" s="120"/>
      <c r="AHR3" s="120"/>
      <c r="AHS3" s="120"/>
      <c r="AHT3" s="120"/>
      <c r="AHU3" s="120"/>
      <c r="AHV3" s="120"/>
      <c r="AHW3" s="120"/>
      <c r="AHX3" s="120"/>
      <c r="AHY3" s="120"/>
      <c r="AHZ3" s="120"/>
      <c r="AIA3" s="120"/>
      <c r="AIB3" s="120"/>
      <c r="AIC3" s="120"/>
      <c r="AID3" s="120"/>
      <c r="AIE3" s="120"/>
      <c r="AIF3" s="120"/>
      <c r="AIG3" s="120"/>
      <c r="AIH3" s="120"/>
      <c r="AII3" s="120"/>
      <c r="AIJ3" s="120"/>
      <c r="AIK3" s="120"/>
      <c r="AIL3" s="120"/>
      <c r="AIM3" s="120"/>
      <c r="AIN3" s="120"/>
      <c r="AIO3" s="120"/>
      <c r="AIP3" s="120"/>
      <c r="AIQ3" s="120"/>
      <c r="AIR3" s="120"/>
      <c r="AIS3" s="120"/>
      <c r="AIT3" s="120"/>
      <c r="AIU3" s="120"/>
      <c r="AIV3" s="120"/>
      <c r="AIW3" s="120"/>
      <c r="AIX3" s="120"/>
      <c r="AIY3" s="120"/>
      <c r="AIZ3" s="120"/>
      <c r="AJA3" s="120"/>
      <c r="AJB3" s="120"/>
      <c r="AJC3" s="120"/>
      <c r="AJD3" s="120"/>
      <c r="AJE3" s="120"/>
      <c r="AJF3" s="120"/>
      <c r="AJG3" s="120"/>
      <c r="AJH3" s="120"/>
      <c r="AJI3" s="120"/>
      <c r="AJJ3" s="120"/>
      <c r="AJK3" s="120"/>
      <c r="AJL3" s="120"/>
      <c r="AJM3" s="120"/>
      <c r="AJN3" s="120"/>
      <c r="AJO3" s="120"/>
      <c r="AJP3" s="120"/>
      <c r="AJQ3" s="120"/>
      <c r="AJR3" s="120"/>
      <c r="AJS3" s="120"/>
      <c r="AJT3" s="120"/>
      <c r="AJU3" s="120"/>
      <c r="AJV3" s="120"/>
      <c r="AJW3" s="120"/>
      <c r="AJX3" s="120"/>
      <c r="AJY3" s="120"/>
      <c r="AJZ3" s="120"/>
      <c r="AKA3" s="120"/>
      <c r="AKB3" s="120"/>
      <c r="AKC3" s="120"/>
      <c r="AKD3" s="120"/>
      <c r="AKE3" s="120"/>
      <c r="AKF3" s="120"/>
      <c r="AKG3" s="120"/>
      <c r="AKH3" s="120"/>
      <c r="AKI3" s="120"/>
      <c r="AKJ3" s="120"/>
      <c r="AKK3" s="120"/>
      <c r="AKL3" s="120"/>
      <c r="AKM3" s="120"/>
      <c r="AKN3" s="120"/>
      <c r="AKO3" s="120"/>
      <c r="AKP3" s="120"/>
      <c r="AKQ3" s="120"/>
      <c r="AKR3" s="120"/>
      <c r="AKS3" s="120"/>
      <c r="AKT3" s="120"/>
      <c r="AKU3" s="120"/>
      <c r="AKV3" s="120"/>
      <c r="AKW3" s="120"/>
      <c r="AKX3" s="120"/>
      <c r="AKY3" s="120"/>
      <c r="AKZ3" s="120"/>
      <c r="ALA3" s="120"/>
      <c r="ALB3" s="120"/>
      <c r="ALC3" s="120"/>
      <c r="ALD3" s="120"/>
      <c r="ALE3" s="120"/>
      <c r="ALF3" s="120"/>
      <c r="ALG3" s="120"/>
      <c r="ALH3" s="120"/>
      <c r="ALI3" s="120"/>
      <c r="ALJ3" s="120"/>
      <c r="ALK3" s="120"/>
      <c r="ALL3" s="120"/>
      <c r="ALM3" s="120"/>
      <c r="ALN3" s="120"/>
      <c r="ALO3" s="120"/>
      <c r="ALP3" s="120"/>
      <c r="ALQ3" s="120"/>
      <c r="ALR3" s="120"/>
      <c r="ALS3" s="120"/>
      <c r="ALT3" s="120"/>
      <c r="ALU3" s="120"/>
      <c r="ALV3" s="120"/>
      <c r="ALW3" s="120"/>
      <c r="ALX3" s="120"/>
      <c r="ALY3" s="120"/>
      <c r="ALZ3" s="120"/>
      <c r="AMA3" s="120"/>
      <c r="AMB3" s="120"/>
      <c r="AMC3" s="120"/>
      <c r="AMD3" s="120"/>
      <c r="AME3" s="120"/>
      <c r="AMF3" s="120"/>
      <c r="AMG3" s="120"/>
      <c r="AMH3" s="120"/>
      <c r="AMI3" s="120"/>
      <c r="AMJ3" s="120"/>
      <c r="AMK3" s="120"/>
      <c r="AML3" s="120"/>
      <c r="AMM3" s="120"/>
      <c r="AMN3" s="120"/>
      <c r="AMO3" s="120"/>
      <c r="AMP3" s="120"/>
      <c r="AMQ3" s="120"/>
      <c r="AMR3" s="120"/>
      <c r="AMS3" s="120"/>
      <c r="AMT3" s="120"/>
      <c r="AMU3" s="120"/>
      <c r="AMV3" s="120"/>
      <c r="AMW3" s="120"/>
      <c r="AMX3" s="120"/>
      <c r="AMY3" s="120"/>
      <c r="AMZ3" s="120"/>
      <c r="ANA3" s="120"/>
      <c r="ANB3" s="120"/>
      <c r="ANC3" s="120"/>
      <c r="AND3" s="120"/>
      <c r="ANE3" s="120"/>
      <c r="ANF3" s="120"/>
      <c r="ANG3" s="120"/>
      <c r="ANH3" s="120"/>
      <c r="ANI3" s="120"/>
      <c r="ANJ3" s="120"/>
      <c r="ANK3" s="120"/>
      <c r="ANL3" s="120"/>
      <c r="ANM3" s="120"/>
      <c r="ANN3" s="120"/>
      <c r="ANO3" s="120"/>
      <c r="ANP3" s="120"/>
      <c r="ANQ3" s="120"/>
      <c r="ANR3" s="120"/>
      <c r="ANS3" s="120"/>
      <c r="ANT3" s="120"/>
      <c r="ANU3" s="120"/>
      <c r="ANV3" s="120"/>
      <c r="ANW3" s="120"/>
      <c r="ANX3" s="120"/>
      <c r="ANY3" s="120"/>
      <c r="ANZ3" s="120"/>
      <c r="AOA3" s="120"/>
      <c r="AOB3" s="120"/>
      <c r="AOC3" s="120"/>
      <c r="AOD3" s="120"/>
      <c r="AOE3" s="120"/>
      <c r="AOF3" s="120"/>
      <c r="AOG3" s="120"/>
      <c r="AOH3" s="120"/>
      <c r="AOI3" s="120"/>
      <c r="AOJ3" s="120"/>
      <c r="AOK3" s="120"/>
      <c r="AOL3" s="120"/>
      <c r="AOM3" s="120"/>
      <c r="AON3" s="120"/>
      <c r="AOO3" s="120"/>
      <c r="AOP3" s="120"/>
      <c r="AOQ3" s="120"/>
      <c r="AOR3" s="120"/>
      <c r="AOS3" s="120"/>
      <c r="AOT3" s="120"/>
      <c r="AOU3" s="120"/>
      <c r="AOV3" s="120"/>
      <c r="AOW3" s="120"/>
      <c r="AOX3" s="120"/>
      <c r="AOY3" s="120"/>
      <c r="AOZ3" s="120"/>
      <c r="APA3" s="120"/>
      <c r="APB3" s="120"/>
      <c r="APC3" s="120"/>
      <c r="APD3" s="120"/>
      <c r="APE3" s="120"/>
      <c r="APF3" s="120"/>
      <c r="APG3" s="120"/>
      <c r="APH3" s="120"/>
      <c r="API3" s="120"/>
      <c r="APJ3" s="120"/>
      <c r="APK3" s="120"/>
      <c r="APL3" s="120"/>
      <c r="APM3" s="120"/>
      <c r="APN3" s="120"/>
      <c r="APO3" s="120"/>
      <c r="APP3" s="120"/>
      <c r="APQ3" s="120"/>
      <c r="APR3" s="120"/>
      <c r="APS3" s="120"/>
      <c r="APT3" s="120"/>
      <c r="APU3" s="120"/>
      <c r="APV3" s="120"/>
      <c r="APW3" s="120"/>
      <c r="APX3" s="120"/>
      <c r="APY3" s="120"/>
      <c r="APZ3" s="120"/>
      <c r="AQA3" s="120"/>
      <c r="AQB3" s="120"/>
      <c r="AQC3" s="120"/>
      <c r="AQD3" s="120"/>
      <c r="AQE3" s="120"/>
      <c r="AQF3" s="120"/>
      <c r="AQG3" s="120"/>
      <c r="AQH3" s="120"/>
      <c r="AQI3" s="120"/>
      <c r="AQJ3" s="120"/>
      <c r="AQK3" s="120"/>
      <c r="AQL3" s="120"/>
      <c r="AQM3" s="120"/>
      <c r="AQN3" s="120"/>
      <c r="AQO3" s="120"/>
      <c r="AQP3" s="120"/>
      <c r="AQQ3" s="120"/>
      <c r="AQR3" s="120"/>
      <c r="AQS3" s="120"/>
      <c r="AQT3" s="120"/>
      <c r="AQU3" s="120"/>
      <c r="AQV3" s="120"/>
      <c r="AQW3" s="120"/>
      <c r="AQX3" s="120"/>
      <c r="AQY3" s="120"/>
      <c r="AQZ3" s="120"/>
      <c r="ARA3" s="120"/>
      <c r="ARB3" s="120"/>
      <c r="ARC3" s="120"/>
      <c r="ARD3" s="120"/>
      <c r="ARE3" s="120"/>
      <c r="ARF3" s="120"/>
      <c r="ARG3" s="120"/>
      <c r="ARH3" s="120"/>
      <c r="ARI3" s="120"/>
      <c r="ARJ3" s="120"/>
      <c r="ARK3" s="120"/>
      <c r="ARL3" s="120"/>
      <c r="ARM3" s="120"/>
      <c r="ARN3" s="120"/>
      <c r="ARO3" s="120"/>
      <c r="ARP3" s="120"/>
      <c r="ARQ3" s="120"/>
      <c r="ARR3" s="120"/>
      <c r="ARS3" s="120"/>
      <c r="ART3" s="120"/>
      <c r="ARU3" s="120"/>
      <c r="ARV3" s="120"/>
      <c r="ARW3" s="120"/>
      <c r="ARX3" s="120"/>
      <c r="ARY3" s="120"/>
      <c r="ARZ3" s="120"/>
      <c r="ASA3" s="120"/>
      <c r="ASB3" s="120"/>
      <c r="ASC3" s="120"/>
      <c r="ASD3" s="120"/>
      <c r="ASE3" s="120"/>
      <c r="ASF3" s="120"/>
      <c r="ASG3" s="120"/>
      <c r="ASH3" s="120"/>
      <c r="ASI3" s="120"/>
      <c r="ASJ3" s="120"/>
      <c r="ASK3" s="120"/>
      <c r="ASL3" s="120"/>
      <c r="ASM3" s="120"/>
      <c r="ASN3" s="120"/>
      <c r="ASO3" s="120"/>
      <c r="ASP3" s="120"/>
      <c r="ASQ3" s="120"/>
      <c r="ASR3" s="120"/>
      <c r="ASS3" s="120"/>
      <c r="AST3" s="120"/>
      <c r="ASU3" s="120"/>
      <c r="ASV3" s="120"/>
      <c r="ASW3" s="120"/>
      <c r="ASX3" s="120"/>
      <c r="ASY3" s="120"/>
      <c r="ASZ3" s="120"/>
      <c r="ATA3" s="120"/>
      <c r="ATB3" s="120"/>
      <c r="ATC3" s="120"/>
      <c r="ATD3" s="120"/>
      <c r="ATE3" s="120"/>
      <c r="ATF3" s="120"/>
      <c r="ATG3" s="120"/>
      <c r="ATH3" s="120"/>
      <c r="ATI3" s="120"/>
      <c r="ATJ3" s="120"/>
      <c r="ATK3" s="120"/>
      <c r="ATL3" s="120"/>
      <c r="ATM3" s="120"/>
      <c r="ATN3" s="120"/>
      <c r="ATO3" s="120"/>
      <c r="ATP3" s="120"/>
      <c r="ATQ3" s="120"/>
      <c r="ATR3" s="120"/>
      <c r="ATS3" s="120"/>
      <c r="ATT3" s="120"/>
      <c r="ATU3" s="120"/>
      <c r="ATV3" s="120"/>
      <c r="ATW3" s="120"/>
      <c r="ATX3" s="120"/>
      <c r="ATY3" s="120"/>
      <c r="ATZ3" s="120"/>
      <c r="AUA3" s="120"/>
      <c r="AUB3" s="120"/>
      <c r="AUC3" s="120"/>
      <c r="AUD3" s="120"/>
      <c r="AUE3" s="120"/>
      <c r="AUF3" s="120"/>
      <c r="AUG3" s="120"/>
      <c r="AUH3" s="120"/>
      <c r="AUI3" s="120"/>
      <c r="AUJ3" s="120"/>
      <c r="AUK3" s="120"/>
      <c r="AUL3" s="120"/>
      <c r="AUM3" s="120"/>
      <c r="AUN3" s="120"/>
      <c r="AUO3" s="120"/>
      <c r="AUP3" s="120"/>
      <c r="AUQ3" s="120"/>
      <c r="AUR3" s="120"/>
      <c r="AUS3" s="120"/>
      <c r="AUT3" s="120"/>
      <c r="AUU3" s="120"/>
      <c r="AUV3" s="120"/>
      <c r="AUW3" s="120"/>
      <c r="AUX3" s="120"/>
      <c r="AUY3" s="120"/>
      <c r="AUZ3" s="120"/>
      <c r="AVA3" s="120"/>
      <c r="AVB3" s="120"/>
      <c r="AVC3" s="120"/>
      <c r="AVD3" s="120"/>
      <c r="AVE3" s="120"/>
      <c r="AVF3" s="120"/>
      <c r="AVG3" s="120"/>
      <c r="AVH3" s="120"/>
      <c r="AVI3" s="120"/>
      <c r="AVJ3" s="120"/>
      <c r="AVK3" s="120"/>
      <c r="AVL3" s="120"/>
      <c r="AVM3" s="120"/>
      <c r="AVN3" s="120"/>
      <c r="AVO3" s="120"/>
      <c r="AVP3" s="120"/>
      <c r="AVQ3" s="120"/>
      <c r="AVR3" s="120"/>
      <c r="AVS3" s="120"/>
      <c r="AVT3" s="120"/>
      <c r="AVU3" s="120"/>
      <c r="AVV3" s="120"/>
      <c r="AVW3" s="120"/>
      <c r="AVX3" s="120"/>
      <c r="AVY3" s="120"/>
      <c r="AVZ3" s="120"/>
      <c r="AWA3" s="120"/>
      <c r="AWB3" s="120"/>
      <c r="AWC3" s="120"/>
      <c r="AWD3" s="120"/>
      <c r="AWE3" s="120"/>
      <c r="AWF3" s="120"/>
      <c r="AWG3" s="120"/>
      <c r="AWH3" s="120"/>
      <c r="AWI3" s="120"/>
      <c r="AWJ3" s="120"/>
      <c r="AWK3" s="120"/>
      <c r="AWL3" s="120"/>
      <c r="AWM3" s="120"/>
      <c r="AWN3" s="120"/>
      <c r="AWO3" s="120"/>
      <c r="AWP3" s="120"/>
      <c r="AWQ3" s="120"/>
      <c r="AWR3" s="120"/>
      <c r="AWS3" s="120"/>
      <c r="AWT3" s="120"/>
      <c r="AWU3" s="120"/>
      <c r="AWV3" s="120"/>
      <c r="AWW3" s="120"/>
      <c r="AWX3" s="120"/>
      <c r="AWY3" s="120"/>
      <c r="AWZ3" s="120"/>
      <c r="AXA3" s="120"/>
      <c r="AXB3" s="120"/>
      <c r="AXC3" s="120"/>
      <c r="AXD3" s="120"/>
      <c r="AXE3" s="120"/>
      <c r="AXF3" s="120"/>
      <c r="AXG3" s="120"/>
      <c r="AXH3" s="120"/>
      <c r="AXI3" s="120"/>
      <c r="AXJ3" s="120"/>
      <c r="AXK3" s="120"/>
      <c r="AXL3" s="120"/>
      <c r="AXM3" s="120"/>
      <c r="AXN3" s="120"/>
      <c r="AXO3" s="120"/>
      <c r="AXP3" s="120"/>
      <c r="AXQ3" s="120"/>
      <c r="AXR3" s="120"/>
      <c r="AXS3" s="120"/>
      <c r="AXT3" s="120"/>
      <c r="AXU3" s="120"/>
      <c r="AXV3" s="120"/>
      <c r="AXW3" s="120"/>
      <c r="AXX3" s="120"/>
      <c r="AXY3" s="120"/>
      <c r="AXZ3" s="120"/>
      <c r="AYA3" s="120"/>
      <c r="AYB3" s="120"/>
      <c r="AYC3" s="120"/>
      <c r="AYD3" s="120"/>
      <c r="AYE3" s="120"/>
      <c r="AYF3" s="120"/>
      <c r="AYG3" s="120"/>
      <c r="AYH3" s="120"/>
      <c r="AYI3" s="120"/>
      <c r="AYJ3" s="120"/>
      <c r="AYK3" s="120"/>
      <c r="AYL3" s="120"/>
      <c r="AYM3" s="120"/>
      <c r="AYN3" s="120"/>
      <c r="AYO3" s="120"/>
      <c r="AYP3" s="120"/>
      <c r="AYQ3" s="120"/>
      <c r="AYR3" s="120"/>
      <c r="AYS3" s="120"/>
      <c r="AYT3" s="120"/>
      <c r="AYU3" s="120"/>
      <c r="AYV3" s="120"/>
      <c r="AYW3" s="120"/>
      <c r="AYX3" s="120"/>
      <c r="AYY3" s="120"/>
      <c r="AYZ3" s="120"/>
      <c r="AZA3" s="120"/>
      <c r="AZB3" s="120"/>
      <c r="AZC3" s="120"/>
      <c r="AZD3" s="120"/>
      <c r="AZE3" s="120"/>
      <c r="AZF3" s="120"/>
      <c r="AZG3" s="120"/>
      <c r="AZH3" s="120"/>
      <c r="AZI3" s="120"/>
      <c r="AZJ3" s="120"/>
      <c r="AZK3" s="120"/>
      <c r="AZL3" s="120"/>
      <c r="AZM3" s="120"/>
      <c r="AZN3" s="120"/>
      <c r="AZO3" s="120"/>
      <c r="AZP3" s="120"/>
      <c r="AZQ3" s="120"/>
      <c r="AZR3" s="120"/>
      <c r="AZS3" s="120"/>
      <c r="AZT3" s="120"/>
      <c r="AZU3" s="120"/>
      <c r="AZV3" s="120"/>
      <c r="AZW3" s="120"/>
      <c r="AZX3" s="120"/>
      <c r="AZY3" s="120"/>
      <c r="AZZ3" s="120"/>
      <c r="BAA3" s="120"/>
      <c r="BAB3" s="120"/>
      <c r="BAC3" s="120"/>
      <c r="BAD3" s="120"/>
      <c r="BAE3" s="120"/>
      <c r="BAF3" s="120"/>
      <c r="BAG3" s="120"/>
      <c r="BAH3" s="120"/>
      <c r="BAI3" s="120"/>
      <c r="BAJ3" s="120"/>
      <c r="BAK3" s="120"/>
      <c r="BAL3" s="120"/>
      <c r="BAM3" s="120"/>
      <c r="BAN3" s="120"/>
      <c r="BAO3" s="120"/>
      <c r="BAP3" s="120"/>
      <c r="BAQ3" s="120"/>
      <c r="BAR3" s="120"/>
      <c r="BAS3" s="120"/>
      <c r="BAT3" s="120"/>
      <c r="BAU3" s="120"/>
      <c r="BAV3" s="120"/>
      <c r="BAW3" s="120"/>
      <c r="BAX3" s="120"/>
      <c r="BAY3" s="120"/>
      <c r="BAZ3" s="120"/>
      <c r="BBA3" s="120"/>
      <c r="BBB3" s="120"/>
      <c r="BBC3" s="120"/>
      <c r="BBD3" s="120"/>
      <c r="BBE3" s="120"/>
      <c r="BBF3" s="120"/>
      <c r="BBG3" s="120"/>
      <c r="BBH3" s="120"/>
      <c r="BBI3" s="120"/>
      <c r="BBJ3" s="120"/>
      <c r="BBK3" s="120"/>
      <c r="BBL3" s="120"/>
      <c r="BBM3" s="120"/>
      <c r="BBN3" s="120"/>
      <c r="BBO3" s="120"/>
      <c r="BBP3" s="120"/>
      <c r="BBQ3" s="120"/>
      <c r="BBR3" s="120"/>
      <c r="BBS3" s="120"/>
      <c r="BBT3" s="120"/>
      <c r="BBU3" s="120"/>
      <c r="BBV3" s="120"/>
      <c r="BBW3" s="120"/>
      <c r="BBX3" s="120"/>
      <c r="BBY3" s="120"/>
      <c r="BBZ3" s="120"/>
      <c r="BCA3" s="120"/>
      <c r="BCB3" s="120"/>
      <c r="BCC3" s="120"/>
      <c r="BCD3" s="120"/>
      <c r="BCE3" s="120"/>
      <c r="BCF3" s="120"/>
      <c r="BCG3" s="120"/>
      <c r="BCH3" s="120"/>
      <c r="BCI3" s="120"/>
      <c r="BCJ3" s="120"/>
      <c r="BCK3" s="120"/>
      <c r="BCL3" s="120"/>
      <c r="BCM3" s="120"/>
      <c r="BCN3" s="120"/>
      <c r="BCO3" s="120"/>
      <c r="BCP3" s="120"/>
      <c r="BCQ3" s="120"/>
      <c r="BCR3" s="120"/>
      <c r="BCS3" s="120"/>
      <c r="BCT3" s="120"/>
      <c r="BCU3" s="120"/>
      <c r="BCV3" s="120"/>
      <c r="BCW3" s="120"/>
      <c r="BCX3" s="120"/>
      <c r="BCY3" s="120"/>
      <c r="BCZ3" s="120"/>
      <c r="BDA3" s="120"/>
      <c r="BDB3" s="120"/>
      <c r="BDC3" s="120"/>
      <c r="BDD3" s="120"/>
      <c r="BDE3" s="120"/>
      <c r="BDF3" s="120"/>
      <c r="BDG3" s="120"/>
      <c r="BDH3" s="120"/>
      <c r="BDI3" s="120"/>
      <c r="BDJ3" s="120"/>
      <c r="BDK3" s="120"/>
      <c r="BDL3" s="120"/>
      <c r="BDM3" s="120"/>
      <c r="BDN3" s="120"/>
      <c r="BDO3" s="120"/>
      <c r="BDP3" s="120"/>
      <c r="BDQ3" s="120"/>
      <c r="BDR3" s="120"/>
      <c r="BDS3" s="120"/>
      <c r="BDT3" s="120"/>
      <c r="BDU3" s="120"/>
      <c r="BDV3" s="120"/>
      <c r="BDW3" s="120"/>
      <c r="BDX3" s="120"/>
      <c r="BDY3" s="120"/>
      <c r="BDZ3" s="120"/>
      <c r="BEA3" s="120"/>
      <c r="BEB3" s="120"/>
      <c r="BEC3" s="120"/>
      <c r="BED3" s="120"/>
      <c r="BEE3" s="120"/>
      <c r="BEF3" s="120"/>
      <c r="BEG3" s="120"/>
      <c r="BEH3" s="120"/>
      <c r="BEI3" s="120"/>
      <c r="BEJ3" s="120"/>
      <c r="BEK3" s="120"/>
      <c r="BEL3" s="120"/>
      <c r="BEM3" s="120"/>
      <c r="BEN3" s="120"/>
      <c r="BEO3" s="120"/>
      <c r="BEP3" s="120"/>
      <c r="BEQ3" s="120"/>
      <c r="BER3" s="120"/>
      <c r="BES3" s="120"/>
      <c r="BET3" s="120"/>
      <c r="BEU3" s="120"/>
      <c r="BEV3" s="120"/>
      <c r="BEW3" s="120"/>
      <c r="BEX3" s="120"/>
      <c r="BEY3" s="120"/>
      <c r="BEZ3" s="120"/>
      <c r="BFA3" s="120"/>
      <c r="BFB3" s="120"/>
      <c r="BFC3" s="120"/>
      <c r="BFD3" s="120"/>
      <c r="BFE3" s="120"/>
      <c r="BFF3" s="120"/>
      <c r="BFG3" s="120"/>
      <c r="BFH3" s="120"/>
      <c r="BFI3" s="120"/>
      <c r="BFJ3" s="120"/>
      <c r="BFK3" s="120"/>
      <c r="BFL3" s="120"/>
      <c r="BFM3" s="120"/>
      <c r="BFN3" s="120"/>
      <c r="BFO3" s="120"/>
      <c r="BFP3" s="120"/>
      <c r="BFQ3" s="120"/>
      <c r="BFR3" s="120"/>
      <c r="BFS3" s="120"/>
      <c r="BFT3" s="120"/>
      <c r="BFU3" s="120"/>
      <c r="BFV3" s="120"/>
      <c r="BFW3" s="120"/>
      <c r="BFX3" s="120"/>
      <c r="BFY3" s="120"/>
      <c r="BFZ3" s="120"/>
      <c r="BGA3" s="120"/>
      <c r="BGB3" s="120"/>
      <c r="BGC3" s="120"/>
      <c r="BGD3" s="120"/>
      <c r="BGE3" s="120"/>
      <c r="BGF3" s="120"/>
      <c r="BGG3" s="120"/>
      <c r="BGH3" s="120"/>
      <c r="BGI3" s="120"/>
      <c r="BGJ3" s="120"/>
      <c r="BGK3" s="120"/>
      <c r="BGL3" s="120"/>
      <c r="BGM3" s="120"/>
      <c r="BGN3" s="120"/>
      <c r="BGO3" s="120"/>
      <c r="BGP3" s="120"/>
      <c r="BGQ3" s="120"/>
      <c r="BGR3" s="120"/>
      <c r="BGS3" s="120"/>
      <c r="BGT3" s="120"/>
      <c r="BGU3" s="120"/>
      <c r="BGV3" s="120"/>
      <c r="BGW3" s="120"/>
      <c r="BGX3" s="120"/>
      <c r="BGY3" s="120"/>
      <c r="BGZ3" s="120"/>
      <c r="BHA3" s="120"/>
      <c r="BHB3" s="120"/>
      <c r="BHC3" s="120"/>
      <c r="BHD3" s="120"/>
      <c r="BHE3" s="120"/>
      <c r="BHF3" s="120"/>
      <c r="BHG3" s="120"/>
      <c r="BHH3" s="120"/>
      <c r="BHI3" s="120"/>
      <c r="BHJ3" s="120"/>
      <c r="BHK3" s="120"/>
      <c r="BHL3" s="120"/>
      <c r="BHM3" s="120"/>
      <c r="BHN3" s="120"/>
      <c r="BHO3" s="120"/>
      <c r="BHP3" s="120"/>
      <c r="BHQ3" s="120"/>
      <c r="BHR3" s="120"/>
      <c r="BHS3" s="120"/>
      <c r="BHT3" s="120"/>
      <c r="BHU3" s="120"/>
      <c r="BHV3" s="120"/>
      <c r="BHW3" s="120"/>
      <c r="BHX3" s="120"/>
      <c r="BHY3" s="120"/>
      <c r="BHZ3" s="120"/>
      <c r="BIA3" s="120"/>
      <c r="BIB3" s="120"/>
      <c r="BIC3" s="120"/>
      <c r="BID3" s="120"/>
      <c r="BIE3" s="120"/>
      <c r="BIF3" s="120"/>
      <c r="BIG3" s="120"/>
      <c r="BIH3" s="120"/>
      <c r="BII3" s="120"/>
      <c r="BIJ3" s="120"/>
      <c r="BIK3" s="120"/>
      <c r="BIL3" s="120"/>
      <c r="BIM3" s="120"/>
      <c r="BIN3" s="120"/>
      <c r="BIO3" s="120"/>
      <c r="BIP3" s="120"/>
      <c r="BIQ3" s="120"/>
      <c r="BIR3" s="120"/>
      <c r="BIS3" s="120"/>
      <c r="BIT3" s="120"/>
      <c r="BIU3" s="120"/>
      <c r="BIV3" s="120"/>
      <c r="BIW3" s="120"/>
      <c r="BIX3" s="120"/>
      <c r="BIY3" s="120"/>
      <c r="BIZ3" s="120"/>
      <c r="BJA3" s="120"/>
      <c r="BJB3" s="120"/>
      <c r="BJC3" s="120"/>
      <c r="BJD3" s="120"/>
      <c r="BJE3" s="120"/>
      <c r="BJF3" s="120"/>
      <c r="BJG3" s="120"/>
      <c r="BJH3" s="120"/>
      <c r="BJI3" s="120"/>
      <c r="BJJ3" s="120"/>
      <c r="BJK3" s="120"/>
      <c r="BJL3" s="120"/>
      <c r="BJM3" s="120"/>
      <c r="BJN3" s="120"/>
      <c r="BJO3" s="120"/>
      <c r="BJP3" s="120"/>
      <c r="BJQ3" s="120"/>
      <c r="BJR3" s="120"/>
      <c r="BJS3" s="120"/>
      <c r="BJT3" s="120"/>
      <c r="BJU3" s="120"/>
      <c r="BJV3" s="120"/>
      <c r="BJW3" s="120"/>
      <c r="BJX3" s="120"/>
      <c r="BJY3" s="120"/>
      <c r="BJZ3" s="120"/>
      <c r="BKA3" s="120"/>
      <c r="BKB3" s="120"/>
      <c r="BKC3" s="120"/>
      <c r="BKD3" s="120"/>
      <c r="BKE3" s="120"/>
      <c r="BKF3" s="120"/>
      <c r="BKG3" s="120"/>
      <c r="BKH3" s="120"/>
      <c r="BKI3" s="120"/>
      <c r="BKJ3" s="120"/>
      <c r="BKK3" s="120"/>
      <c r="BKL3" s="120"/>
      <c r="BKM3" s="120"/>
      <c r="BKN3" s="120"/>
      <c r="BKO3" s="120"/>
      <c r="BKP3" s="120"/>
      <c r="BKQ3" s="120"/>
      <c r="BKR3" s="120"/>
      <c r="BKS3" s="120"/>
      <c r="BKT3" s="120"/>
      <c r="BKU3" s="120"/>
      <c r="BKV3" s="120"/>
      <c r="BKW3" s="120"/>
      <c r="BKX3" s="120"/>
      <c r="BKY3" s="120"/>
      <c r="BKZ3" s="120"/>
      <c r="BLA3" s="120"/>
      <c r="BLB3" s="120"/>
      <c r="BLC3" s="120"/>
      <c r="BLD3" s="120"/>
      <c r="BLE3" s="120"/>
      <c r="BLF3" s="120"/>
      <c r="BLG3" s="120"/>
      <c r="BLH3" s="120"/>
      <c r="BLI3" s="120"/>
      <c r="BLJ3" s="120"/>
      <c r="BLK3" s="120"/>
      <c r="BLL3" s="120"/>
      <c r="BLM3" s="120"/>
      <c r="BLN3" s="120"/>
      <c r="BLO3" s="120"/>
      <c r="BLP3" s="120"/>
      <c r="BLQ3" s="120"/>
      <c r="BLR3" s="120"/>
      <c r="BLS3" s="120"/>
      <c r="BLT3" s="120"/>
      <c r="BLU3" s="120"/>
      <c r="BLV3" s="120"/>
      <c r="BLW3" s="120"/>
      <c r="BLX3" s="120"/>
      <c r="BLY3" s="120"/>
      <c r="BLZ3" s="120"/>
      <c r="BMA3" s="120"/>
      <c r="BMB3" s="120"/>
      <c r="BMC3" s="120"/>
      <c r="BMD3" s="120"/>
      <c r="BME3" s="120"/>
      <c r="BMF3" s="120"/>
      <c r="BMG3" s="120"/>
      <c r="BMH3" s="120"/>
      <c r="BMI3" s="120"/>
      <c r="BMJ3" s="120"/>
      <c r="BMK3" s="120"/>
      <c r="BML3" s="120"/>
      <c r="BMM3" s="120"/>
      <c r="BMN3" s="120"/>
      <c r="BMO3" s="120"/>
      <c r="BMP3" s="120"/>
      <c r="BMQ3" s="120"/>
      <c r="BMR3" s="120"/>
      <c r="BMS3" s="120"/>
      <c r="BMT3" s="120"/>
      <c r="BMU3" s="120"/>
      <c r="BMV3" s="120"/>
      <c r="BMW3" s="120"/>
      <c r="BMX3" s="120"/>
      <c r="BMY3" s="120"/>
      <c r="BMZ3" s="120"/>
      <c r="BNA3" s="120"/>
      <c r="BNB3" s="120"/>
      <c r="BNC3" s="120"/>
      <c r="BND3" s="120"/>
      <c r="BNE3" s="120"/>
      <c r="BNF3" s="120"/>
      <c r="BNG3" s="120"/>
      <c r="BNH3" s="120"/>
      <c r="BNI3" s="120"/>
      <c r="BNJ3" s="120"/>
      <c r="BNK3" s="120"/>
      <c r="BNL3" s="120"/>
      <c r="BNM3" s="120"/>
      <c r="BNN3" s="120"/>
      <c r="BNO3" s="120"/>
      <c r="BNP3" s="120"/>
      <c r="BNQ3" s="120"/>
      <c r="BNR3" s="120"/>
      <c r="BNS3" s="120"/>
      <c r="BNT3" s="120"/>
      <c r="BNU3" s="120"/>
      <c r="BNV3" s="120"/>
      <c r="BNW3" s="120"/>
      <c r="BNX3" s="120"/>
      <c r="BNY3" s="120"/>
      <c r="BNZ3" s="120"/>
      <c r="BOA3" s="120"/>
      <c r="BOB3" s="120"/>
      <c r="BOC3" s="120"/>
      <c r="BOD3" s="120"/>
      <c r="BOE3" s="120"/>
      <c r="BOF3" s="120"/>
      <c r="BOG3" s="120"/>
      <c r="BOH3" s="120"/>
      <c r="BOI3" s="120"/>
      <c r="BOJ3" s="120"/>
      <c r="BOK3" s="120"/>
      <c r="BOL3" s="120"/>
      <c r="BOM3" s="120"/>
      <c r="BON3" s="120"/>
      <c r="BOO3" s="120"/>
      <c r="BOP3" s="120"/>
      <c r="BOQ3" s="120"/>
      <c r="BOR3" s="120"/>
      <c r="BOS3" s="120"/>
      <c r="BOT3" s="120"/>
      <c r="BOU3" s="120"/>
      <c r="BOV3" s="120"/>
      <c r="BOW3" s="120"/>
      <c r="BOX3" s="120"/>
      <c r="BOY3" s="120"/>
      <c r="BOZ3" s="120"/>
      <c r="BPA3" s="120"/>
      <c r="BPB3" s="120"/>
      <c r="BPC3" s="120"/>
      <c r="BPD3" s="120"/>
      <c r="BPE3" s="120"/>
      <c r="BPF3" s="120"/>
      <c r="BPG3" s="120"/>
      <c r="BPH3" s="120"/>
      <c r="BPI3" s="120"/>
      <c r="BPJ3" s="120"/>
      <c r="BPK3" s="120"/>
      <c r="BPL3" s="120"/>
      <c r="BPM3" s="120"/>
      <c r="BPN3" s="120"/>
      <c r="BPO3" s="120"/>
      <c r="BPP3" s="120"/>
      <c r="BPQ3" s="120"/>
      <c r="BPR3" s="120"/>
      <c r="BPS3" s="120"/>
      <c r="BPT3" s="120"/>
      <c r="BPU3" s="120"/>
      <c r="BPV3" s="120"/>
      <c r="BPW3" s="120"/>
      <c r="BPX3" s="120"/>
      <c r="BPY3" s="120"/>
      <c r="BPZ3" s="120"/>
      <c r="BQA3" s="120"/>
      <c r="BQB3" s="120"/>
      <c r="BQC3" s="120"/>
      <c r="BQD3" s="120"/>
      <c r="BQE3" s="120"/>
      <c r="BQF3" s="120"/>
      <c r="BQG3" s="120"/>
      <c r="BQH3" s="120"/>
      <c r="BQI3" s="120"/>
      <c r="BQJ3" s="120"/>
      <c r="BQK3" s="120"/>
      <c r="BQL3" s="120"/>
      <c r="BQM3" s="120"/>
      <c r="BQN3" s="120"/>
      <c r="BQO3" s="120"/>
      <c r="BQP3" s="120"/>
      <c r="BQQ3" s="120"/>
      <c r="BQR3" s="120"/>
      <c r="BQS3" s="120"/>
      <c r="BQT3" s="120"/>
      <c r="BQU3" s="120"/>
      <c r="BQV3" s="120"/>
      <c r="BQW3" s="120"/>
      <c r="BQX3" s="120"/>
      <c r="BQY3" s="120"/>
      <c r="BQZ3" s="120"/>
      <c r="BRA3" s="120"/>
      <c r="BRB3" s="120"/>
      <c r="BRC3" s="120"/>
      <c r="BRD3" s="120"/>
      <c r="BRE3" s="120"/>
      <c r="BRF3" s="120"/>
      <c r="BRG3" s="120"/>
      <c r="BRH3" s="120"/>
      <c r="BRI3" s="120"/>
      <c r="BRJ3" s="120"/>
      <c r="BRK3" s="120"/>
      <c r="BRL3" s="120"/>
      <c r="BRM3" s="120"/>
      <c r="BRN3" s="120"/>
      <c r="BRO3" s="120"/>
      <c r="BRP3" s="120"/>
      <c r="BRQ3" s="120"/>
      <c r="BRR3" s="120"/>
      <c r="BRS3" s="120"/>
      <c r="BRT3" s="120"/>
      <c r="BRU3" s="120"/>
      <c r="BRV3" s="120"/>
      <c r="BRW3" s="120"/>
      <c r="BRX3" s="120"/>
      <c r="BRY3" s="120"/>
      <c r="BRZ3" s="120"/>
      <c r="BSA3" s="120"/>
      <c r="BSB3" s="120"/>
      <c r="BSC3" s="120"/>
      <c r="BSD3" s="120"/>
      <c r="BSE3" s="120"/>
      <c r="BSF3" s="120"/>
      <c r="BSG3" s="120"/>
      <c r="BSH3" s="120"/>
      <c r="BSI3" s="120"/>
      <c r="BSJ3" s="120"/>
      <c r="BSK3" s="120"/>
      <c r="BSL3" s="120"/>
      <c r="BSM3" s="120"/>
      <c r="BSN3" s="120"/>
      <c r="BSO3" s="120"/>
      <c r="BSP3" s="120"/>
      <c r="BSQ3" s="120"/>
      <c r="BSR3" s="120"/>
      <c r="BSS3" s="120"/>
      <c r="BST3" s="120"/>
      <c r="BSU3" s="120"/>
      <c r="BSV3" s="120"/>
      <c r="BSW3" s="120"/>
      <c r="BSX3" s="120"/>
      <c r="BSY3" s="120"/>
      <c r="BSZ3" s="120"/>
      <c r="BTA3" s="120"/>
      <c r="BTB3" s="120"/>
      <c r="BTC3" s="120"/>
      <c r="BTD3" s="120"/>
      <c r="BTE3" s="120"/>
      <c r="BTF3" s="120"/>
      <c r="BTG3" s="120"/>
      <c r="BTH3" s="120"/>
      <c r="BTI3" s="120"/>
      <c r="BTJ3" s="120"/>
      <c r="BTK3" s="120"/>
      <c r="BTL3" s="120"/>
      <c r="BTM3" s="120"/>
      <c r="BTN3" s="120"/>
      <c r="BTO3" s="120"/>
      <c r="BTP3" s="120"/>
      <c r="BTQ3" s="120"/>
      <c r="BTR3" s="120"/>
      <c r="BTS3" s="120"/>
      <c r="BTT3" s="120"/>
      <c r="BTU3" s="120"/>
      <c r="BTV3" s="120"/>
      <c r="BTW3" s="120"/>
      <c r="BTX3" s="120"/>
      <c r="BTY3" s="120"/>
      <c r="BTZ3" s="120"/>
      <c r="BUA3" s="120"/>
      <c r="BUB3" s="120"/>
      <c r="BUC3" s="120"/>
      <c r="BUD3" s="120"/>
      <c r="BUE3" s="120"/>
      <c r="BUF3" s="120"/>
      <c r="BUG3" s="120"/>
      <c r="BUH3" s="120"/>
      <c r="BUI3" s="120"/>
      <c r="BUJ3" s="120"/>
      <c r="BUK3" s="120"/>
      <c r="BUL3" s="120"/>
      <c r="BUM3" s="120"/>
      <c r="BUN3" s="120"/>
      <c r="BUO3" s="120"/>
      <c r="BUP3" s="120"/>
      <c r="BUQ3" s="120"/>
      <c r="BUR3" s="120"/>
      <c r="BUS3" s="120"/>
      <c r="BUT3" s="120"/>
      <c r="BUU3" s="120"/>
      <c r="BUV3" s="120"/>
      <c r="BUW3" s="120"/>
      <c r="BUX3" s="120"/>
      <c r="BUY3" s="120"/>
      <c r="BUZ3" s="120"/>
      <c r="BVA3" s="120"/>
      <c r="BVB3" s="120"/>
      <c r="BVC3" s="120"/>
      <c r="BVD3" s="120"/>
      <c r="BVE3" s="120"/>
      <c r="BVF3" s="120"/>
      <c r="BVG3" s="120"/>
      <c r="BVH3" s="120"/>
      <c r="BVI3" s="120"/>
      <c r="BVJ3" s="120"/>
      <c r="BVK3" s="120"/>
      <c r="BVL3" s="120"/>
      <c r="BVM3" s="120"/>
      <c r="BVN3" s="120"/>
      <c r="BVO3" s="120"/>
      <c r="BVP3" s="120"/>
      <c r="BVQ3" s="120"/>
      <c r="BVR3" s="120"/>
      <c r="BVS3" s="120"/>
      <c r="BVT3" s="120"/>
      <c r="BVU3" s="120"/>
      <c r="BVV3" s="120"/>
      <c r="BVW3" s="120"/>
      <c r="BVX3" s="120"/>
      <c r="BVY3" s="120"/>
      <c r="BVZ3" s="120"/>
      <c r="BWA3" s="120"/>
      <c r="BWB3" s="120"/>
      <c r="BWC3" s="120"/>
      <c r="BWD3" s="120"/>
      <c r="BWE3" s="120"/>
      <c r="BWF3" s="120"/>
      <c r="BWG3" s="120"/>
      <c r="BWH3" s="120"/>
      <c r="BWI3" s="120"/>
      <c r="BWJ3" s="120"/>
      <c r="BWK3" s="120"/>
      <c r="BWL3" s="120"/>
      <c r="BWM3" s="120"/>
      <c r="BWN3" s="120"/>
      <c r="BWO3" s="120"/>
      <c r="BWP3" s="120"/>
      <c r="BWQ3" s="120"/>
      <c r="BWR3" s="120"/>
      <c r="BWS3" s="120"/>
      <c r="BWT3" s="120"/>
      <c r="BWU3" s="120"/>
      <c r="BWV3" s="120"/>
      <c r="BWW3" s="120"/>
      <c r="BWX3" s="120"/>
      <c r="BWY3" s="120"/>
      <c r="BWZ3" s="120"/>
      <c r="BXA3" s="120"/>
      <c r="BXB3" s="120"/>
      <c r="BXC3" s="120"/>
      <c r="BXD3" s="120"/>
      <c r="BXE3" s="120"/>
      <c r="BXF3" s="120"/>
      <c r="BXG3" s="120"/>
      <c r="BXH3" s="120"/>
      <c r="BXI3" s="120"/>
      <c r="BXJ3" s="120"/>
      <c r="BXK3" s="120"/>
      <c r="BXL3" s="120"/>
      <c r="BXM3" s="120"/>
      <c r="BXN3" s="120"/>
      <c r="BXO3" s="120"/>
      <c r="BXP3" s="120"/>
      <c r="BXQ3" s="120"/>
      <c r="BXR3" s="120"/>
      <c r="BXS3" s="120"/>
      <c r="BXT3" s="120"/>
      <c r="BXU3" s="120"/>
      <c r="BXV3" s="120"/>
      <c r="BXW3" s="120"/>
      <c r="BXX3" s="120"/>
      <c r="BXY3" s="120"/>
      <c r="BXZ3" s="120"/>
      <c r="BYA3" s="120"/>
      <c r="BYB3" s="120"/>
      <c r="BYC3" s="120"/>
      <c r="BYD3" s="120"/>
      <c r="BYE3" s="120"/>
      <c r="BYF3" s="120"/>
      <c r="BYG3" s="120"/>
      <c r="BYH3" s="120"/>
      <c r="BYI3" s="120"/>
      <c r="BYJ3" s="120"/>
      <c r="BYK3" s="120"/>
      <c r="BYL3" s="120"/>
      <c r="BYM3" s="120"/>
      <c r="BYN3" s="120"/>
      <c r="BYO3" s="120"/>
      <c r="BYP3" s="120"/>
      <c r="BYQ3" s="120"/>
      <c r="BYR3" s="120"/>
      <c r="BYS3" s="120"/>
      <c r="BYT3" s="120"/>
      <c r="BYU3" s="120"/>
      <c r="BYV3" s="120"/>
      <c r="BYW3" s="120"/>
      <c r="BYX3" s="120"/>
      <c r="BYY3" s="120"/>
      <c r="BYZ3" s="120"/>
      <c r="BZA3" s="120"/>
      <c r="BZB3" s="120"/>
      <c r="BZC3" s="120"/>
      <c r="BZD3" s="120"/>
      <c r="BZE3" s="120"/>
      <c r="BZF3" s="120"/>
      <c r="BZG3" s="120"/>
      <c r="BZH3" s="120"/>
      <c r="BZI3" s="120"/>
      <c r="BZJ3" s="120"/>
      <c r="BZK3" s="120"/>
      <c r="BZL3" s="120"/>
      <c r="BZM3" s="120"/>
      <c r="BZN3" s="120"/>
      <c r="BZO3" s="120"/>
      <c r="BZP3" s="120"/>
      <c r="BZQ3" s="120"/>
      <c r="BZR3" s="120"/>
      <c r="BZS3" s="120"/>
      <c r="BZT3" s="120"/>
      <c r="BZU3" s="120"/>
      <c r="BZV3" s="120"/>
      <c r="BZW3" s="120"/>
      <c r="BZX3" s="120"/>
      <c r="BZY3" s="120"/>
      <c r="BZZ3" s="120"/>
      <c r="CAA3" s="120"/>
      <c r="CAB3" s="120"/>
      <c r="CAC3" s="120"/>
      <c r="CAD3" s="120"/>
      <c r="CAE3" s="120"/>
      <c r="CAF3" s="120"/>
      <c r="CAG3" s="120"/>
      <c r="CAH3" s="120"/>
      <c r="CAI3" s="120"/>
      <c r="CAJ3" s="120"/>
      <c r="CAK3" s="120"/>
      <c r="CAL3" s="120"/>
      <c r="CAM3" s="120"/>
      <c r="CAN3" s="120"/>
      <c r="CAO3" s="120"/>
      <c r="CAP3" s="120"/>
      <c r="CAQ3" s="120"/>
      <c r="CAR3" s="120"/>
      <c r="CAS3" s="120"/>
      <c r="CAT3" s="120"/>
      <c r="CAU3" s="120"/>
      <c r="CAV3" s="120"/>
      <c r="CAW3" s="120"/>
      <c r="CAX3" s="120"/>
      <c r="CAY3" s="120"/>
      <c r="CAZ3" s="120"/>
      <c r="CBA3" s="120"/>
      <c r="CBB3" s="120"/>
      <c r="CBC3" s="120"/>
      <c r="CBD3" s="120"/>
      <c r="CBE3" s="120"/>
      <c r="CBF3" s="120"/>
      <c r="CBG3" s="120"/>
      <c r="CBH3" s="120"/>
      <c r="CBI3" s="120"/>
      <c r="CBJ3" s="120"/>
      <c r="CBK3" s="120"/>
      <c r="CBL3" s="120"/>
      <c r="CBM3" s="120"/>
      <c r="CBN3" s="120"/>
      <c r="CBO3" s="120"/>
      <c r="CBP3" s="120"/>
      <c r="CBQ3" s="120"/>
      <c r="CBR3" s="120"/>
      <c r="CBS3" s="120"/>
      <c r="CBT3" s="120"/>
      <c r="CBU3" s="120"/>
      <c r="CBV3" s="120"/>
      <c r="CBW3" s="120"/>
      <c r="CBX3" s="120"/>
      <c r="CBY3" s="120"/>
      <c r="CBZ3" s="120"/>
      <c r="CCA3" s="120"/>
      <c r="CCB3" s="120"/>
      <c r="CCC3" s="120"/>
      <c r="CCD3" s="120"/>
      <c r="CCE3" s="120"/>
      <c r="CCF3" s="120"/>
      <c r="CCG3" s="120"/>
      <c r="CCH3" s="120"/>
      <c r="CCI3" s="120"/>
      <c r="CCJ3" s="120"/>
      <c r="CCK3" s="120"/>
      <c r="CCL3" s="120"/>
      <c r="CCM3" s="120"/>
      <c r="CCN3" s="120"/>
      <c r="CCO3" s="120"/>
      <c r="CCP3" s="120"/>
      <c r="CCQ3" s="120"/>
      <c r="CCR3" s="120"/>
      <c r="CCS3" s="120"/>
      <c r="CCT3" s="120"/>
      <c r="CCU3" s="120"/>
      <c r="CCV3" s="120"/>
      <c r="CCW3" s="120"/>
      <c r="CCX3" s="120"/>
      <c r="CCY3" s="120"/>
      <c r="CCZ3" s="120"/>
      <c r="CDA3" s="120"/>
      <c r="CDB3" s="120"/>
      <c r="CDC3" s="120"/>
      <c r="CDD3" s="120"/>
      <c r="CDE3" s="120"/>
      <c r="CDF3" s="120"/>
      <c r="CDG3" s="120"/>
      <c r="CDH3" s="120"/>
      <c r="CDI3" s="120"/>
      <c r="CDJ3" s="120"/>
      <c r="CDK3" s="120"/>
      <c r="CDL3" s="120"/>
      <c r="CDM3" s="120"/>
      <c r="CDN3" s="120"/>
      <c r="CDO3" s="120"/>
      <c r="CDP3" s="120"/>
      <c r="CDQ3" s="120"/>
      <c r="CDR3" s="120"/>
      <c r="CDS3" s="120"/>
      <c r="CDT3" s="120"/>
      <c r="CDU3" s="120"/>
      <c r="CDV3" s="120"/>
      <c r="CDW3" s="120"/>
      <c r="CDX3" s="120"/>
      <c r="CDY3" s="120"/>
      <c r="CDZ3" s="120"/>
      <c r="CEA3" s="120"/>
      <c r="CEB3" s="120"/>
      <c r="CEC3" s="120"/>
      <c r="CED3" s="120"/>
      <c r="CEE3" s="120"/>
      <c r="CEF3" s="120"/>
      <c r="CEG3" s="120"/>
      <c r="CEH3" s="120"/>
      <c r="CEI3" s="120"/>
      <c r="CEJ3" s="120"/>
      <c r="CEK3" s="120"/>
      <c r="CEL3" s="120"/>
      <c r="CEM3" s="120"/>
      <c r="CEN3" s="120"/>
      <c r="CEO3" s="120"/>
      <c r="CEP3" s="120"/>
      <c r="CEQ3" s="120"/>
      <c r="CER3" s="120"/>
      <c r="CES3" s="120"/>
      <c r="CET3" s="120"/>
      <c r="CEU3" s="120"/>
      <c r="CEV3" s="120"/>
      <c r="CEW3" s="120"/>
      <c r="CEX3" s="120"/>
      <c r="CEY3" s="120"/>
      <c r="CEZ3" s="120"/>
      <c r="CFA3" s="120"/>
      <c r="CFB3" s="120"/>
      <c r="CFC3" s="120"/>
      <c r="CFD3" s="120"/>
      <c r="CFE3" s="120"/>
      <c r="CFF3" s="120"/>
      <c r="CFG3" s="120"/>
      <c r="CFH3" s="120"/>
      <c r="CFI3" s="120"/>
      <c r="CFJ3" s="120"/>
      <c r="CFK3" s="120"/>
      <c r="CFL3" s="120"/>
      <c r="CFM3" s="120"/>
      <c r="CFN3" s="120"/>
      <c r="CFO3" s="120"/>
      <c r="CFP3" s="120"/>
      <c r="CFQ3" s="120"/>
      <c r="CFR3" s="120"/>
      <c r="CFS3" s="120"/>
      <c r="CFT3" s="120"/>
      <c r="CFU3" s="120"/>
      <c r="CFV3" s="120"/>
      <c r="CFW3" s="120"/>
      <c r="CFX3" s="120"/>
      <c r="CFY3" s="120"/>
      <c r="CFZ3" s="120"/>
      <c r="CGA3" s="120"/>
      <c r="CGB3" s="120"/>
      <c r="CGC3" s="120"/>
      <c r="CGD3" s="120"/>
      <c r="CGE3" s="120"/>
      <c r="CGF3" s="120"/>
      <c r="CGG3" s="120"/>
      <c r="CGH3" s="120"/>
      <c r="CGI3" s="120"/>
      <c r="CGJ3" s="120"/>
      <c r="CGK3" s="120"/>
      <c r="CGL3" s="120"/>
      <c r="CGM3" s="120"/>
      <c r="CGN3" s="120"/>
      <c r="CGO3" s="120"/>
      <c r="CGP3" s="120"/>
      <c r="CGQ3" s="120"/>
      <c r="CGR3" s="120"/>
      <c r="CGS3" s="120"/>
      <c r="CGT3" s="120"/>
      <c r="CGU3" s="120"/>
      <c r="CGV3" s="120"/>
      <c r="CGW3" s="120"/>
      <c r="CGX3" s="120"/>
      <c r="CGY3" s="120"/>
      <c r="CGZ3" s="120"/>
      <c r="CHA3" s="120"/>
      <c r="CHB3" s="120"/>
      <c r="CHC3" s="120"/>
      <c r="CHD3" s="120"/>
      <c r="CHE3" s="120"/>
      <c r="CHF3" s="120"/>
      <c r="CHG3" s="120"/>
      <c r="CHH3" s="120"/>
      <c r="CHI3" s="120"/>
      <c r="CHJ3" s="120"/>
      <c r="CHK3" s="120"/>
      <c r="CHL3" s="120"/>
      <c r="CHM3" s="120"/>
      <c r="CHN3" s="120"/>
      <c r="CHO3" s="120"/>
      <c r="CHP3" s="120"/>
      <c r="CHQ3" s="120"/>
      <c r="CHR3" s="120"/>
      <c r="CHS3" s="120"/>
      <c r="CHT3" s="120"/>
      <c r="CHU3" s="120"/>
      <c r="CHV3" s="120"/>
      <c r="CHW3" s="120"/>
      <c r="CHX3" s="120"/>
      <c r="CHY3" s="120"/>
      <c r="CHZ3" s="120"/>
      <c r="CIA3" s="120"/>
      <c r="CIB3" s="120"/>
      <c r="CIC3" s="120"/>
      <c r="CID3" s="120"/>
      <c r="CIE3" s="120"/>
      <c r="CIF3" s="120"/>
      <c r="CIG3" s="120"/>
      <c r="CIH3" s="120"/>
      <c r="CII3" s="120"/>
      <c r="CIJ3" s="120"/>
      <c r="CIK3" s="120"/>
      <c r="CIL3" s="120"/>
      <c r="CIM3" s="120"/>
      <c r="CIN3" s="120"/>
      <c r="CIO3" s="120"/>
      <c r="CIP3" s="120"/>
      <c r="CIQ3" s="120"/>
      <c r="CIR3" s="120"/>
      <c r="CIS3" s="120"/>
      <c r="CIT3" s="120"/>
      <c r="CIU3" s="120"/>
      <c r="CIV3" s="120"/>
      <c r="CIW3" s="120"/>
      <c r="CIX3" s="120"/>
      <c r="CIY3" s="120"/>
      <c r="CIZ3" s="120"/>
      <c r="CJA3" s="120"/>
      <c r="CJB3" s="120"/>
      <c r="CJC3" s="120"/>
      <c r="CJD3" s="120"/>
      <c r="CJE3" s="120"/>
      <c r="CJF3" s="120"/>
      <c r="CJG3" s="120"/>
      <c r="CJH3" s="120"/>
      <c r="CJI3" s="120"/>
      <c r="CJJ3" s="120"/>
      <c r="CJK3" s="120"/>
      <c r="CJL3" s="120"/>
      <c r="CJM3" s="120"/>
      <c r="CJN3" s="120"/>
      <c r="CJO3" s="120"/>
      <c r="CJP3" s="120"/>
      <c r="CJQ3" s="120"/>
      <c r="CJR3" s="120"/>
      <c r="CJS3" s="120"/>
      <c r="CJT3" s="120"/>
      <c r="CJU3" s="120"/>
      <c r="CJV3" s="120"/>
      <c r="CJW3" s="120"/>
      <c r="CJX3" s="120"/>
      <c r="CJY3" s="120"/>
      <c r="CJZ3" s="120"/>
      <c r="CKA3" s="120"/>
      <c r="CKB3" s="120"/>
      <c r="CKC3" s="120"/>
      <c r="CKD3" s="120"/>
      <c r="CKE3" s="120"/>
      <c r="CKF3" s="120"/>
      <c r="CKG3" s="120"/>
      <c r="CKH3" s="120"/>
      <c r="CKI3" s="120"/>
      <c r="CKJ3" s="120"/>
      <c r="CKK3" s="120"/>
      <c r="CKL3" s="120"/>
      <c r="CKM3" s="120"/>
      <c r="CKN3" s="120"/>
      <c r="CKO3" s="120"/>
      <c r="CKP3" s="120"/>
      <c r="CKQ3" s="120"/>
      <c r="CKR3" s="120"/>
      <c r="CKS3" s="120"/>
      <c r="CKT3" s="120"/>
      <c r="CKU3" s="120"/>
      <c r="CKV3" s="120"/>
      <c r="CKW3" s="120"/>
      <c r="CKX3" s="120"/>
      <c r="CKY3" s="120"/>
      <c r="CKZ3" s="120"/>
      <c r="CLA3" s="120"/>
      <c r="CLB3" s="120"/>
      <c r="CLC3" s="120"/>
      <c r="CLD3" s="120"/>
      <c r="CLE3" s="120"/>
      <c r="CLF3" s="120"/>
      <c r="CLG3" s="120"/>
      <c r="CLH3" s="120"/>
      <c r="CLI3" s="120"/>
      <c r="CLJ3" s="120"/>
      <c r="CLK3" s="120"/>
      <c r="CLL3" s="120"/>
      <c r="CLM3" s="120"/>
      <c r="CLN3" s="120"/>
      <c r="CLO3" s="120"/>
      <c r="CLP3" s="120"/>
      <c r="CLQ3" s="120"/>
      <c r="CLR3" s="120"/>
      <c r="CLS3" s="120"/>
      <c r="CLT3" s="120"/>
      <c r="CLU3" s="120"/>
      <c r="CLV3" s="120"/>
      <c r="CLW3" s="120"/>
      <c r="CLX3" s="120"/>
      <c r="CLY3" s="120"/>
      <c r="CLZ3" s="120"/>
      <c r="CMA3" s="120"/>
      <c r="CMB3" s="120"/>
      <c r="CMC3" s="120"/>
      <c r="CMD3" s="120"/>
      <c r="CME3" s="120"/>
      <c r="CMF3" s="120"/>
      <c r="CMG3" s="120"/>
      <c r="CMH3" s="120"/>
      <c r="CMI3" s="120"/>
      <c r="CMJ3" s="120"/>
      <c r="CMK3" s="120"/>
      <c r="CML3" s="120"/>
      <c r="CMM3" s="120"/>
      <c r="CMN3" s="120"/>
      <c r="CMO3" s="120"/>
      <c r="CMP3" s="120"/>
      <c r="CMQ3" s="120"/>
      <c r="CMR3" s="120"/>
      <c r="CMS3" s="120"/>
      <c r="CMT3" s="120"/>
      <c r="CMU3" s="120"/>
      <c r="CMV3" s="120"/>
      <c r="CMW3" s="120"/>
      <c r="CMX3" s="120"/>
      <c r="CMY3" s="120"/>
      <c r="CMZ3" s="120"/>
      <c r="CNA3" s="120"/>
      <c r="CNB3" s="120"/>
      <c r="CNC3" s="120"/>
      <c r="CND3" s="120"/>
      <c r="CNE3" s="120"/>
      <c r="CNF3" s="120"/>
      <c r="CNG3" s="120"/>
      <c r="CNH3" s="120"/>
      <c r="CNI3" s="120"/>
      <c r="CNJ3" s="120"/>
      <c r="CNK3" s="120"/>
      <c r="CNL3" s="120"/>
      <c r="CNM3" s="120"/>
      <c r="CNN3" s="120"/>
      <c r="CNO3" s="120"/>
      <c r="CNP3" s="120"/>
      <c r="CNQ3" s="120"/>
      <c r="CNR3" s="120"/>
      <c r="CNS3" s="120"/>
      <c r="CNT3" s="120"/>
      <c r="CNU3" s="120"/>
      <c r="CNV3" s="120"/>
      <c r="CNW3" s="120"/>
      <c r="CNX3" s="120"/>
      <c r="CNY3" s="120"/>
      <c r="CNZ3" s="120"/>
      <c r="COA3" s="120"/>
      <c r="COB3" s="120"/>
      <c r="COC3" s="120"/>
      <c r="COD3" s="120"/>
      <c r="COE3" s="120"/>
      <c r="COF3" s="120"/>
      <c r="COG3" s="120"/>
      <c r="COH3" s="120"/>
      <c r="COI3" s="120"/>
      <c r="COJ3" s="120"/>
      <c r="COK3" s="120"/>
      <c r="COL3" s="120"/>
      <c r="COM3" s="120"/>
      <c r="CON3" s="120"/>
      <c r="COO3" s="120"/>
      <c r="COP3" s="120"/>
      <c r="COQ3" s="120"/>
      <c r="COR3" s="120"/>
      <c r="COS3" s="120"/>
      <c r="COT3" s="120"/>
      <c r="COU3" s="120"/>
      <c r="COV3" s="120"/>
      <c r="COW3" s="120"/>
      <c r="COX3" s="120"/>
      <c r="COY3" s="120"/>
      <c r="COZ3" s="120"/>
      <c r="CPA3" s="120"/>
      <c r="CPB3" s="120"/>
      <c r="CPC3" s="120"/>
      <c r="CPD3" s="120"/>
      <c r="CPE3" s="120"/>
      <c r="CPF3" s="120"/>
      <c r="CPG3" s="120"/>
      <c r="CPH3" s="120"/>
      <c r="CPI3" s="120"/>
      <c r="CPJ3" s="120"/>
      <c r="CPK3" s="120"/>
      <c r="CPL3" s="120"/>
      <c r="CPM3" s="120"/>
      <c r="CPN3" s="120"/>
      <c r="CPO3" s="120"/>
      <c r="CPP3" s="120"/>
      <c r="CPQ3" s="120"/>
      <c r="CPR3" s="120"/>
      <c r="CPS3" s="120"/>
      <c r="CPT3" s="120"/>
      <c r="CPU3" s="120"/>
      <c r="CPV3" s="120"/>
      <c r="CPW3" s="120"/>
      <c r="CPX3" s="120"/>
      <c r="CPY3" s="120"/>
      <c r="CPZ3" s="120"/>
      <c r="CQA3" s="120"/>
      <c r="CQB3" s="120"/>
      <c r="CQC3" s="120"/>
      <c r="CQD3" s="120"/>
      <c r="CQE3" s="120"/>
      <c r="CQF3" s="120"/>
      <c r="CQG3" s="120"/>
      <c r="CQH3" s="120"/>
      <c r="CQI3" s="120"/>
      <c r="CQJ3" s="120"/>
      <c r="CQK3" s="120"/>
      <c r="CQL3" s="120"/>
      <c r="CQM3" s="120"/>
      <c r="CQN3" s="120"/>
      <c r="CQO3" s="120"/>
      <c r="CQP3" s="120"/>
      <c r="CQQ3" s="120"/>
      <c r="CQR3" s="120"/>
      <c r="CQS3" s="120"/>
      <c r="CQT3" s="120"/>
      <c r="CQU3" s="120"/>
      <c r="CQV3" s="120"/>
      <c r="CQW3" s="120"/>
      <c r="CQX3" s="120"/>
      <c r="CQY3" s="120"/>
      <c r="CQZ3" s="120"/>
      <c r="CRA3" s="120"/>
      <c r="CRB3" s="120"/>
      <c r="CRC3" s="120"/>
      <c r="CRD3" s="120"/>
      <c r="CRE3" s="120"/>
      <c r="CRF3" s="120"/>
      <c r="CRG3" s="120"/>
      <c r="CRH3" s="120"/>
      <c r="CRI3" s="120"/>
      <c r="CRJ3" s="120"/>
      <c r="CRK3" s="120"/>
      <c r="CRL3" s="120"/>
      <c r="CRM3" s="120"/>
      <c r="CRN3" s="120"/>
      <c r="CRO3" s="120"/>
      <c r="CRP3" s="120"/>
      <c r="CRQ3" s="120"/>
      <c r="CRR3" s="120"/>
      <c r="CRS3" s="120"/>
      <c r="CRT3" s="120"/>
      <c r="CRU3" s="120"/>
      <c r="CRV3" s="120"/>
      <c r="CRW3" s="120"/>
      <c r="CRX3" s="120"/>
      <c r="CRY3" s="120"/>
      <c r="CRZ3" s="120"/>
      <c r="CSA3" s="120"/>
      <c r="CSB3" s="120"/>
      <c r="CSC3" s="120"/>
      <c r="CSD3" s="120"/>
      <c r="CSE3" s="120"/>
      <c r="CSF3" s="120"/>
      <c r="CSG3" s="120"/>
      <c r="CSH3" s="120"/>
      <c r="CSI3" s="120"/>
      <c r="CSJ3" s="120"/>
      <c r="CSK3" s="120"/>
      <c r="CSL3" s="120"/>
      <c r="CSM3" s="120"/>
      <c r="CSN3" s="120"/>
      <c r="CSO3" s="120"/>
      <c r="CSP3" s="120"/>
      <c r="CSQ3" s="120"/>
      <c r="CSR3" s="120"/>
      <c r="CSS3" s="120"/>
      <c r="CST3" s="120"/>
      <c r="CSU3" s="120"/>
      <c r="CSV3" s="120"/>
      <c r="CSW3" s="120"/>
      <c r="CSX3" s="120"/>
      <c r="CSY3" s="120"/>
      <c r="CSZ3" s="120"/>
      <c r="CTA3" s="120"/>
      <c r="CTB3" s="120"/>
      <c r="CTC3" s="120"/>
      <c r="CTD3" s="120"/>
      <c r="CTE3" s="120"/>
      <c r="CTF3" s="120"/>
      <c r="CTG3" s="120"/>
      <c r="CTH3" s="120"/>
      <c r="CTI3" s="120"/>
      <c r="CTJ3" s="120"/>
      <c r="CTK3" s="120"/>
      <c r="CTL3" s="120"/>
      <c r="CTM3" s="120"/>
      <c r="CTN3" s="120"/>
      <c r="CTO3" s="120"/>
      <c r="CTP3" s="120"/>
      <c r="CTQ3" s="120"/>
      <c r="CTR3" s="120"/>
      <c r="CTS3" s="120"/>
      <c r="CTT3" s="120"/>
      <c r="CTU3" s="120"/>
      <c r="CTV3" s="120"/>
      <c r="CTW3" s="120"/>
      <c r="CTX3" s="120"/>
      <c r="CTY3" s="120"/>
      <c r="CTZ3" s="120"/>
      <c r="CUA3" s="120"/>
      <c r="CUB3" s="120"/>
      <c r="CUC3" s="120"/>
      <c r="CUD3" s="120"/>
      <c r="CUE3" s="120"/>
      <c r="CUF3" s="120"/>
      <c r="CUG3" s="120"/>
      <c r="CUH3" s="120"/>
      <c r="CUI3" s="120"/>
      <c r="CUJ3" s="120"/>
      <c r="CUK3" s="120"/>
      <c r="CUL3" s="120"/>
      <c r="CUM3" s="120"/>
      <c r="CUN3" s="120"/>
      <c r="CUO3" s="120"/>
      <c r="CUP3" s="120"/>
      <c r="CUQ3" s="120"/>
      <c r="CUR3" s="120"/>
      <c r="CUS3" s="120"/>
      <c r="CUT3" s="120"/>
      <c r="CUU3" s="120"/>
      <c r="CUV3" s="120"/>
      <c r="CUW3" s="120"/>
      <c r="CUX3" s="120"/>
      <c r="CUY3" s="120"/>
      <c r="CUZ3" s="120"/>
      <c r="CVA3" s="120"/>
      <c r="CVB3" s="120"/>
      <c r="CVC3" s="120"/>
      <c r="CVD3" s="120"/>
      <c r="CVE3" s="120"/>
      <c r="CVF3" s="120"/>
      <c r="CVG3" s="120"/>
      <c r="CVH3" s="120"/>
      <c r="CVI3" s="120"/>
      <c r="CVJ3" s="120"/>
      <c r="CVK3" s="120"/>
      <c r="CVL3" s="120"/>
      <c r="CVM3" s="120"/>
      <c r="CVN3" s="120"/>
      <c r="CVO3" s="120"/>
      <c r="CVP3" s="120"/>
      <c r="CVQ3" s="120"/>
      <c r="CVR3" s="120"/>
      <c r="CVS3" s="120"/>
      <c r="CVT3" s="120"/>
      <c r="CVU3" s="120"/>
      <c r="CVV3" s="120"/>
      <c r="CVW3" s="120"/>
      <c r="CVX3" s="120"/>
      <c r="CVY3" s="120"/>
      <c r="CVZ3" s="120"/>
      <c r="CWA3" s="120"/>
      <c r="CWB3" s="120"/>
      <c r="CWC3" s="120"/>
      <c r="CWD3" s="120"/>
      <c r="CWE3" s="120"/>
      <c r="CWF3" s="120"/>
      <c r="CWG3" s="120"/>
      <c r="CWH3" s="120"/>
      <c r="CWI3" s="120"/>
      <c r="CWJ3" s="120"/>
      <c r="CWK3" s="120"/>
      <c r="CWL3" s="120"/>
      <c r="CWM3" s="120"/>
      <c r="CWN3" s="120"/>
      <c r="CWO3" s="120"/>
      <c r="CWP3" s="120"/>
      <c r="CWQ3" s="120"/>
      <c r="CWR3" s="120"/>
      <c r="CWS3" s="120"/>
      <c r="CWT3" s="120"/>
      <c r="CWU3" s="120"/>
      <c r="CWV3" s="120"/>
      <c r="CWW3" s="120"/>
      <c r="CWX3" s="120"/>
      <c r="CWY3" s="120"/>
      <c r="CWZ3" s="120"/>
      <c r="CXA3" s="120"/>
      <c r="CXB3" s="120"/>
      <c r="CXC3" s="120"/>
      <c r="CXD3" s="120"/>
      <c r="CXE3" s="120"/>
      <c r="CXF3" s="120"/>
      <c r="CXG3" s="120"/>
      <c r="CXH3" s="120"/>
      <c r="CXI3" s="120"/>
      <c r="CXJ3" s="120"/>
      <c r="CXK3" s="120"/>
      <c r="CXL3" s="120"/>
      <c r="CXM3" s="120"/>
      <c r="CXN3" s="120"/>
      <c r="CXO3" s="120"/>
      <c r="CXP3" s="120"/>
      <c r="CXQ3" s="120"/>
      <c r="CXR3" s="120"/>
      <c r="CXS3" s="120"/>
      <c r="CXT3" s="120"/>
      <c r="CXU3" s="120"/>
      <c r="CXV3" s="120"/>
      <c r="CXW3" s="120"/>
      <c r="CXX3" s="120"/>
      <c r="CXY3" s="120"/>
      <c r="CXZ3" s="120"/>
      <c r="CYA3" s="120"/>
      <c r="CYB3" s="120"/>
      <c r="CYC3" s="120"/>
      <c r="CYD3" s="120"/>
      <c r="CYE3" s="120"/>
      <c r="CYF3" s="120"/>
      <c r="CYG3" s="120"/>
      <c r="CYH3" s="120"/>
      <c r="CYI3" s="120"/>
      <c r="CYJ3" s="120"/>
      <c r="CYK3" s="120"/>
      <c r="CYL3" s="120"/>
      <c r="CYM3" s="120"/>
      <c r="CYN3" s="120"/>
      <c r="CYO3" s="120"/>
      <c r="CYP3" s="120"/>
      <c r="CYQ3" s="120"/>
      <c r="CYR3" s="120"/>
      <c r="CYS3" s="120"/>
      <c r="CYT3" s="120"/>
      <c r="CYU3" s="120"/>
      <c r="CYV3" s="120"/>
      <c r="CYW3" s="120"/>
      <c r="CYX3" s="120"/>
      <c r="CYY3" s="120"/>
      <c r="CYZ3" s="120"/>
      <c r="CZA3" s="120"/>
      <c r="CZB3" s="120"/>
      <c r="CZC3" s="120"/>
      <c r="CZD3" s="120"/>
      <c r="CZE3" s="120"/>
      <c r="CZF3" s="120"/>
      <c r="CZG3" s="120"/>
      <c r="CZH3" s="120"/>
      <c r="CZI3" s="120"/>
      <c r="CZJ3" s="120"/>
      <c r="CZK3" s="120"/>
      <c r="CZL3" s="120"/>
      <c r="CZM3" s="120"/>
      <c r="CZN3" s="120"/>
      <c r="CZO3" s="120"/>
      <c r="CZP3" s="120"/>
      <c r="CZQ3" s="120"/>
      <c r="CZR3" s="120"/>
      <c r="CZS3" s="120"/>
      <c r="CZT3" s="120"/>
      <c r="CZU3" s="120"/>
      <c r="CZV3" s="120"/>
      <c r="CZW3" s="120"/>
      <c r="CZX3" s="120"/>
      <c r="CZY3" s="120"/>
      <c r="CZZ3" s="120"/>
      <c r="DAA3" s="120"/>
      <c r="DAB3" s="120"/>
      <c r="DAC3" s="120"/>
      <c r="DAD3" s="120"/>
      <c r="DAE3" s="120"/>
      <c r="DAF3" s="120"/>
      <c r="DAG3" s="120"/>
      <c r="DAH3" s="120"/>
      <c r="DAI3" s="120"/>
      <c r="DAJ3" s="120"/>
      <c r="DAK3" s="120"/>
      <c r="DAL3" s="120"/>
      <c r="DAM3" s="120"/>
      <c r="DAN3" s="120"/>
      <c r="DAO3" s="120"/>
      <c r="DAP3" s="120"/>
      <c r="DAQ3" s="120"/>
      <c r="DAR3" s="120"/>
      <c r="DAS3" s="120"/>
      <c r="DAT3" s="120"/>
      <c r="DAU3" s="120"/>
      <c r="DAV3" s="120"/>
      <c r="DAW3" s="120"/>
      <c r="DAX3" s="120"/>
      <c r="DAY3" s="120"/>
      <c r="DAZ3" s="120"/>
      <c r="DBA3" s="120"/>
      <c r="DBB3" s="120"/>
      <c r="DBC3" s="120"/>
      <c r="DBD3" s="120"/>
      <c r="DBE3" s="120"/>
      <c r="DBF3" s="120"/>
      <c r="DBG3" s="120"/>
      <c r="DBH3" s="120"/>
      <c r="DBI3" s="120"/>
      <c r="DBJ3" s="120"/>
      <c r="DBK3" s="120"/>
      <c r="DBL3" s="120"/>
      <c r="DBM3" s="120"/>
      <c r="DBN3" s="120"/>
      <c r="DBO3" s="120"/>
      <c r="DBP3" s="120"/>
      <c r="DBQ3" s="120"/>
      <c r="DBR3" s="120"/>
      <c r="DBS3" s="120"/>
      <c r="DBT3" s="120"/>
      <c r="DBU3" s="120"/>
      <c r="DBV3" s="120"/>
      <c r="DBW3" s="120"/>
      <c r="DBX3" s="120"/>
      <c r="DBY3" s="120"/>
      <c r="DBZ3" s="120"/>
      <c r="DCA3" s="120"/>
      <c r="DCB3" s="120"/>
      <c r="DCC3" s="120"/>
      <c r="DCD3" s="120"/>
      <c r="DCE3" s="120"/>
      <c r="DCF3" s="120"/>
      <c r="DCG3" s="120"/>
      <c r="DCH3" s="120"/>
      <c r="DCI3" s="120"/>
      <c r="DCJ3" s="120"/>
      <c r="DCK3" s="120"/>
      <c r="DCL3" s="120"/>
      <c r="DCM3" s="120"/>
      <c r="DCN3" s="120"/>
      <c r="DCO3" s="120"/>
      <c r="DCP3" s="120"/>
      <c r="DCQ3" s="120"/>
      <c r="DCR3" s="120"/>
      <c r="DCS3" s="120"/>
      <c r="DCT3" s="120"/>
      <c r="DCU3" s="120"/>
      <c r="DCV3" s="120"/>
      <c r="DCW3" s="120"/>
      <c r="DCX3" s="120"/>
      <c r="DCY3" s="120"/>
      <c r="DCZ3" s="120"/>
      <c r="DDA3" s="120"/>
      <c r="DDB3" s="120"/>
      <c r="DDC3" s="120"/>
      <c r="DDD3" s="120"/>
      <c r="DDE3" s="120"/>
      <c r="DDF3" s="120"/>
      <c r="DDG3" s="120"/>
      <c r="DDH3" s="120"/>
      <c r="DDI3" s="120"/>
      <c r="DDJ3" s="120"/>
      <c r="DDK3" s="120"/>
      <c r="DDL3" s="120"/>
      <c r="DDM3" s="120"/>
      <c r="DDN3" s="120"/>
      <c r="DDO3" s="120"/>
      <c r="DDP3" s="120"/>
      <c r="DDQ3" s="120"/>
      <c r="DDR3" s="120"/>
      <c r="DDS3" s="120"/>
      <c r="DDT3" s="120"/>
      <c r="DDU3" s="120"/>
      <c r="DDV3" s="120"/>
      <c r="DDW3" s="120"/>
      <c r="DDX3" s="120"/>
      <c r="DDY3" s="120"/>
      <c r="DDZ3" s="120"/>
      <c r="DEA3" s="120"/>
      <c r="DEB3" s="120"/>
      <c r="DEC3" s="120"/>
      <c r="DED3" s="120"/>
      <c r="DEE3" s="120"/>
      <c r="DEF3" s="120"/>
      <c r="DEG3" s="120"/>
      <c r="DEH3" s="120"/>
      <c r="DEI3" s="120"/>
      <c r="DEJ3" s="120"/>
      <c r="DEK3" s="120"/>
      <c r="DEL3" s="120"/>
      <c r="DEM3" s="120"/>
      <c r="DEN3" s="120"/>
      <c r="DEO3" s="120"/>
      <c r="DEP3" s="120"/>
      <c r="DEQ3" s="120"/>
      <c r="DER3" s="120"/>
      <c r="DES3" s="120"/>
      <c r="DET3" s="120"/>
      <c r="DEU3" s="120"/>
      <c r="DEV3" s="120"/>
      <c r="DEW3" s="120"/>
      <c r="DEX3" s="120"/>
      <c r="DEY3" s="120"/>
      <c r="DEZ3" s="120"/>
      <c r="DFA3" s="120"/>
      <c r="DFB3" s="120"/>
      <c r="DFC3" s="120"/>
      <c r="DFD3" s="120"/>
      <c r="DFE3" s="120"/>
      <c r="DFF3" s="120"/>
      <c r="DFG3" s="120"/>
      <c r="DFH3" s="120"/>
      <c r="DFI3" s="120"/>
      <c r="DFJ3" s="120"/>
      <c r="DFK3" s="120"/>
      <c r="DFL3" s="120"/>
      <c r="DFM3" s="120"/>
      <c r="DFN3" s="120"/>
      <c r="DFO3" s="120"/>
      <c r="DFP3" s="120"/>
      <c r="DFQ3" s="120"/>
      <c r="DFR3" s="120"/>
      <c r="DFS3" s="120"/>
      <c r="DFT3" s="120"/>
      <c r="DFU3" s="120"/>
      <c r="DFV3" s="120"/>
      <c r="DFW3" s="120"/>
      <c r="DFX3" s="120"/>
      <c r="DFY3" s="120"/>
      <c r="DFZ3" s="120"/>
      <c r="DGA3" s="120"/>
      <c r="DGB3" s="120"/>
      <c r="DGC3" s="120"/>
      <c r="DGD3" s="120"/>
      <c r="DGE3" s="120"/>
      <c r="DGF3" s="120"/>
      <c r="DGG3" s="120"/>
      <c r="DGH3" s="120"/>
      <c r="DGI3" s="120"/>
      <c r="DGJ3" s="120"/>
      <c r="DGK3" s="120"/>
      <c r="DGL3" s="120"/>
      <c r="DGM3" s="120"/>
      <c r="DGN3" s="120"/>
      <c r="DGO3" s="120"/>
      <c r="DGP3" s="120"/>
      <c r="DGQ3" s="120"/>
      <c r="DGR3" s="120"/>
      <c r="DGS3" s="120"/>
      <c r="DGT3" s="120"/>
      <c r="DGU3" s="120"/>
      <c r="DGV3" s="120"/>
      <c r="DGW3" s="120"/>
      <c r="DGX3" s="120"/>
      <c r="DGY3" s="120"/>
      <c r="DGZ3" s="120"/>
      <c r="DHA3" s="120"/>
      <c r="DHB3" s="120"/>
      <c r="DHC3" s="120"/>
      <c r="DHD3" s="120"/>
      <c r="DHE3" s="120"/>
      <c r="DHF3" s="120"/>
      <c r="DHG3" s="120"/>
      <c r="DHH3" s="120"/>
      <c r="DHI3" s="120"/>
      <c r="DHJ3" s="120"/>
      <c r="DHK3" s="120"/>
      <c r="DHL3" s="120"/>
      <c r="DHM3" s="120"/>
      <c r="DHN3" s="120"/>
      <c r="DHO3" s="120"/>
      <c r="DHP3" s="120"/>
      <c r="DHQ3" s="120"/>
      <c r="DHR3" s="120"/>
      <c r="DHS3" s="120"/>
      <c r="DHT3" s="120"/>
      <c r="DHU3" s="120"/>
      <c r="DHV3" s="120"/>
      <c r="DHW3" s="120"/>
      <c r="DHX3" s="120"/>
      <c r="DHY3" s="120"/>
      <c r="DHZ3" s="120"/>
      <c r="DIA3" s="120"/>
      <c r="DIB3" s="120"/>
      <c r="DIC3" s="120"/>
      <c r="DID3" s="120"/>
      <c r="DIE3" s="120"/>
      <c r="DIF3" s="120"/>
      <c r="DIG3" s="120"/>
      <c r="DIH3" s="120"/>
      <c r="DII3" s="120"/>
      <c r="DIJ3" s="120"/>
      <c r="DIK3" s="120"/>
      <c r="DIL3" s="120"/>
      <c r="DIM3" s="120"/>
      <c r="DIN3" s="120"/>
      <c r="DIO3" s="120"/>
      <c r="DIP3" s="120"/>
      <c r="DIQ3" s="120"/>
      <c r="DIR3" s="120"/>
      <c r="DIS3" s="120"/>
      <c r="DIT3" s="120"/>
      <c r="DIU3" s="120"/>
      <c r="DIV3" s="120"/>
      <c r="DIW3" s="120"/>
      <c r="DIX3" s="120"/>
      <c r="DIY3" s="120"/>
      <c r="DIZ3" s="120"/>
      <c r="DJA3" s="120"/>
      <c r="DJB3" s="120"/>
      <c r="DJC3" s="120"/>
      <c r="DJD3" s="120"/>
      <c r="DJE3" s="120"/>
      <c r="DJF3" s="120"/>
      <c r="DJG3" s="120"/>
      <c r="DJH3" s="120"/>
      <c r="DJI3" s="120"/>
      <c r="DJJ3" s="120"/>
      <c r="DJK3" s="120"/>
      <c r="DJL3" s="120"/>
      <c r="DJM3" s="120"/>
      <c r="DJN3" s="120"/>
      <c r="DJO3" s="120"/>
      <c r="DJP3" s="120"/>
      <c r="DJQ3" s="120"/>
      <c r="DJR3" s="120"/>
      <c r="DJS3" s="120"/>
      <c r="DJT3" s="120"/>
      <c r="DJU3" s="120"/>
      <c r="DJV3" s="120"/>
      <c r="DJW3" s="120"/>
      <c r="DJX3" s="120"/>
      <c r="DJY3" s="120"/>
      <c r="DJZ3" s="120"/>
      <c r="DKA3" s="120"/>
      <c r="DKB3" s="120"/>
      <c r="DKC3" s="120"/>
      <c r="DKD3" s="120"/>
      <c r="DKE3" s="120"/>
      <c r="DKF3" s="120"/>
      <c r="DKG3" s="120"/>
      <c r="DKH3" s="120"/>
      <c r="DKI3" s="120"/>
      <c r="DKJ3" s="120"/>
      <c r="DKK3" s="120"/>
      <c r="DKL3" s="120"/>
      <c r="DKM3" s="120"/>
      <c r="DKN3" s="120"/>
      <c r="DKO3" s="120"/>
      <c r="DKP3" s="120"/>
      <c r="DKQ3" s="120"/>
      <c r="DKR3" s="120"/>
      <c r="DKS3" s="120"/>
      <c r="DKT3" s="120"/>
      <c r="DKU3" s="120"/>
      <c r="DKV3" s="120"/>
      <c r="DKW3" s="120"/>
      <c r="DKX3" s="120"/>
      <c r="DKY3" s="120"/>
      <c r="DKZ3" s="120"/>
      <c r="DLA3" s="120"/>
      <c r="DLB3" s="120"/>
      <c r="DLC3" s="120"/>
      <c r="DLD3" s="120"/>
      <c r="DLE3" s="120"/>
      <c r="DLF3" s="120"/>
      <c r="DLG3" s="120"/>
      <c r="DLH3" s="120"/>
      <c r="DLI3" s="120"/>
      <c r="DLJ3" s="120"/>
      <c r="DLK3" s="120"/>
      <c r="DLL3" s="120"/>
      <c r="DLM3" s="120"/>
      <c r="DLN3" s="120"/>
      <c r="DLO3" s="120"/>
      <c r="DLP3" s="120"/>
      <c r="DLQ3" s="120"/>
      <c r="DLR3" s="120"/>
      <c r="DLS3" s="120"/>
      <c r="DLT3" s="120"/>
      <c r="DLU3" s="120"/>
      <c r="DLV3" s="120"/>
      <c r="DLW3" s="120"/>
      <c r="DLX3" s="120"/>
      <c r="DLY3" s="120"/>
      <c r="DLZ3" s="120"/>
      <c r="DMA3" s="120"/>
      <c r="DMB3" s="120"/>
      <c r="DMC3" s="120"/>
      <c r="DMD3" s="120"/>
      <c r="DME3" s="120"/>
      <c r="DMF3" s="120"/>
      <c r="DMG3" s="120"/>
      <c r="DMH3" s="120"/>
      <c r="DMI3" s="120"/>
      <c r="DMJ3" s="120"/>
      <c r="DMK3" s="120"/>
      <c r="DML3" s="120"/>
      <c r="DMM3" s="120"/>
      <c r="DMN3" s="120"/>
      <c r="DMO3" s="120"/>
      <c r="DMP3" s="120"/>
      <c r="DMQ3" s="120"/>
      <c r="DMR3" s="120"/>
      <c r="DMS3" s="120"/>
      <c r="DMT3" s="120"/>
      <c r="DMU3" s="120"/>
      <c r="DMV3" s="120"/>
      <c r="DMW3" s="120"/>
      <c r="DMX3" s="120"/>
      <c r="DMY3" s="120"/>
      <c r="DMZ3" s="120"/>
      <c r="DNA3" s="120"/>
      <c r="DNB3" s="120"/>
      <c r="DNC3" s="120"/>
      <c r="DND3" s="120"/>
      <c r="DNE3" s="120"/>
      <c r="DNF3" s="120"/>
      <c r="DNG3" s="120"/>
      <c r="DNH3" s="120"/>
      <c r="DNI3" s="120"/>
      <c r="DNJ3" s="120"/>
      <c r="DNK3" s="120"/>
      <c r="DNL3" s="120"/>
      <c r="DNM3" s="120"/>
      <c r="DNN3" s="120"/>
      <c r="DNO3" s="120"/>
      <c r="DNP3" s="120"/>
      <c r="DNQ3" s="120"/>
      <c r="DNR3" s="120"/>
      <c r="DNS3" s="120"/>
      <c r="DNT3" s="120"/>
      <c r="DNU3" s="120"/>
      <c r="DNV3" s="120"/>
      <c r="DNW3" s="120"/>
      <c r="DNX3" s="120"/>
      <c r="DNY3" s="120"/>
      <c r="DNZ3" s="120"/>
      <c r="DOA3" s="120"/>
      <c r="DOB3" s="120"/>
      <c r="DOC3" s="120"/>
      <c r="DOD3" s="120"/>
      <c r="DOE3" s="120"/>
      <c r="DOF3" s="120"/>
      <c r="DOG3" s="120"/>
      <c r="DOH3" s="120"/>
      <c r="DOI3" s="120"/>
      <c r="DOJ3" s="120"/>
      <c r="DOK3" s="120"/>
      <c r="DOL3" s="120"/>
      <c r="DOM3" s="120"/>
      <c r="DON3" s="120"/>
      <c r="DOO3" s="120"/>
      <c r="DOP3" s="120"/>
      <c r="DOQ3" s="120"/>
      <c r="DOR3" s="120"/>
      <c r="DOS3" s="120"/>
      <c r="DOT3" s="120"/>
      <c r="DOU3" s="120"/>
      <c r="DOV3" s="120"/>
      <c r="DOW3" s="120"/>
      <c r="DOX3" s="120"/>
      <c r="DOY3" s="120"/>
      <c r="DOZ3" s="120"/>
      <c r="DPA3" s="120"/>
      <c r="DPB3" s="120"/>
      <c r="DPC3" s="120"/>
      <c r="DPD3" s="120"/>
      <c r="DPE3" s="120"/>
      <c r="DPF3" s="120"/>
      <c r="DPG3" s="120"/>
      <c r="DPH3" s="120"/>
      <c r="DPI3" s="120"/>
      <c r="DPJ3" s="120"/>
      <c r="DPK3" s="120"/>
      <c r="DPL3" s="120"/>
      <c r="DPM3" s="120"/>
      <c r="DPN3" s="120"/>
      <c r="DPO3" s="120"/>
      <c r="DPP3" s="120"/>
      <c r="DPQ3" s="120"/>
      <c r="DPR3" s="120"/>
      <c r="DPS3" s="120"/>
      <c r="DPT3" s="120"/>
      <c r="DPU3" s="120"/>
      <c r="DPV3" s="120"/>
      <c r="DPW3" s="120"/>
      <c r="DPX3" s="120"/>
      <c r="DPY3" s="120"/>
      <c r="DPZ3" s="120"/>
      <c r="DQA3" s="120"/>
      <c r="DQB3" s="120"/>
      <c r="DQC3" s="120"/>
      <c r="DQD3" s="120"/>
      <c r="DQE3" s="120"/>
      <c r="DQF3" s="120"/>
      <c r="DQG3" s="120"/>
      <c r="DQH3" s="120"/>
      <c r="DQI3" s="120"/>
      <c r="DQJ3" s="120"/>
      <c r="DQK3" s="120"/>
      <c r="DQL3" s="120"/>
      <c r="DQM3" s="120"/>
      <c r="DQN3" s="120"/>
      <c r="DQO3" s="120"/>
      <c r="DQP3" s="120"/>
      <c r="DQQ3" s="120"/>
      <c r="DQR3" s="120"/>
      <c r="DQS3" s="120"/>
      <c r="DQT3" s="120"/>
      <c r="DQU3" s="120"/>
      <c r="DQV3" s="120"/>
      <c r="DQW3" s="120"/>
      <c r="DQX3" s="120"/>
      <c r="DQY3" s="120"/>
      <c r="DQZ3" s="120"/>
      <c r="DRA3" s="120"/>
      <c r="DRB3" s="120"/>
      <c r="DRC3" s="120"/>
      <c r="DRD3" s="120"/>
      <c r="DRE3" s="120"/>
      <c r="DRF3" s="120"/>
      <c r="DRG3" s="120"/>
      <c r="DRH3" s="120"/>
      <c r="DRI3" s="120"/>
      <c r="DRJ3" s="120"/>
      <c r="DRK3" s="120"/>
      <c r="DRL3" s="120"/>
      <c r="DRM3" s="120"/>
      <c r="DRN3" s="120"/>
      <c r="DRO3" s="120"/>
      <c r="DRP3" s="120"/>
      <c r="DRQ3" s="120"/>
      <c r="DRR3" s="120"/>
      <c r="DRS3" s="120"/>
      <c r="DRT3" s="120"/>
      <c r="DRU3" s="120"/>
      <c r="DRV3" s="120"/>
      <c r="DRW3" s="120"/>
      <c r="DRX3" s="120"/>
      <c r="DRY3" s="120"/>
      <c r="DRZ3" s="120"/>
      <c r="DSA3" s="120"/>
      <c r="DSB3" s="120"/>
      <c r="DSC3" s="120"/>
      <c r="DSD3" s="120"/>
      <c r="DSE3" s="120"/>
      <c r="DSF3" s="120"/>
      <c r="DSG3" s="120"/>
      <c r="DSH3" s="120"/>
      <c r="DSI3" s="120"/>
      <c r="DSJ3" s="120"/>
      <c r="DSK3" s="120"/>
      <c r="DSL3" s="120"/>
      <c r="DSM3" s="120"/>
      <c r="DSN3" s="120"/>
      <c r="DSO3" s="120"/>
      <c r="DSP3" s="120"/>
      <c r="DSQ3" s="120"/>
      <c r="DSR3" s="120"/>
      <c r="DSS3" s="120"/>
      <c r="DST3" s="120"/>
      <c r="DSU3" s="120"/>
      <c r="DSV3" s="120"/>
      <c r="DSW3" s="120"/>
      <c r="DSX3" s="120"/>
      <c r="DSY3" s="120"/>
      <c r="DSZ3" s="120"/>
      <c r="DTA3" s="120"/>
      <c r="DTB3" s="120"/>
      <c r="DTC3" s="120"/>
      <c r="DTD3" s="120"/>
      <c r="DTE3" s="120"/>
      <c r="DTF3" s="120"/>
      <c r="DTG3" s="120"/>
      <c r="DTH3" s="120"/>
      <c r="DTI3" s="120"/>
      <c r="DTJ3" s="120"/>
      <c r="DTK3" s="120"/>
      <c r="DTL3" s="120"/>
      <c r="DTM3" s="120"/>
      <c r="DTN3" s="120"/>
      <c r="DTO3" s="120"/>
      <c r="DTP3" s="120"/>
      <c r="DTQ3" s="120"/>
      <c r="DTR3" s="120"/>
      <c r="DTS3" s="120"/>
      <c r="DTT3" s="120"/>
      <c r="DTU3" s="120"/>
      <c r="DTV3" s="120"/>
      <c r="DTW3" s="120"/>
      <c r="DTX3" s="120"/>
      <c r="DTY3" s="120"/>
      <c r="DTZ3" s="120"/>
      <c r="DUA3" s="120"/>
      <c r="DUB3" s="120"/>
      <c r="DUC3" s="120"/>
      <c r="DUD3" s="120"/>
      <c r="DUE3" s="120"/>
      <c r="DUF3" s="120"/>
      <c r="DUG3" s="120"/>
      <c r="DUH3" s="120"/>
      <c r="DUI3" s="120"/>
      <c r="DUJ3" s="120"/>
      <c r="DUK3" s="120"/>
      <c r="DUL3" s="120"/>
      <c r="DUM3" s="120"/>
      <c r="DUN3" s="120"/>
      <c r="DUO3" s="120"/>
      <c r="DUP3" s="120"/>
      <c r="DUQ3" s="120"/>
      <c r="DUR3" s="120"/>
      <c r="DUS3" s="120"/>
      <c r="DUT3" s="120"/>
      <c r="DUU3" s="120"/>
      <c r="DUV3" s="120"/>
      <c r="DUW3" s="120"/>
      <c r="DUX3" s="120"/>
      <c r="DUY3" s="120"/>
      <c r="DUZ3" s="120"/>
      <c r="DVA3" s="120"/>
      <c r="DVB3" s="120"/>
      <c r="DVC3" s="120"/>
      <c r="DVD3" s="120"/>
      <c r="DVE3" s="120"/>
      <c r="DVF3" s="120"/>
      <c r="DVG3" s="120"/>
      <c r="DVH3" s="120"/>
      <c r="DVI3" s="120"/>
      <c r="DVJ3" s="120"/>
      <c r="DVK3" s="120"/>
      <c r="DVL3" s="120"/>
      <c r="DVM3" s="120"/>
      <c r="DVN3" s="120"/>
      <c r="DVO3" s="120"/>
      <c r="DVP3" s="120"/>
      <c r="DVQ3" s="120"/>
      <c r="DVR3" s="120"/>
      <c r="DVS3" s="120"/>
      <c r="DVT3" s="120"/>
      <c r="DVU3" s="120"/>
      <c r="DVV3" s="120"/>
      <c r="DVW3" s="120"/>
      <c r="DVX3" s="120"/>
      <c r="DVY3" s="120"/>
      <c r="DVZ3" s="120"/>
      <c r="DWA3" s="120"/>
      <c r="DWB3" s="120"/>
      <c r="DWC3" s="120"/>
      <c r="DWD3" s="120"/>
      <c r="DWE3" s="120"/>
      <c r="DWF3" s="120"/>
      <c r="DWG3" s="120"/>
      <c r="DWH3" s="120"/>
      <c r="DWI3" s="120"/>
      <c r="DWJ3" s="120"/>
      <c r="DWK3" s="120"/>
      <c r="DWL3" s="120"/>
      <c r="DWM3" s="120"/>
      <c r="DWN3" s="120"/>
      <c r="DWO3" s="120"/>
      <c r="DWP3" s="120"/>
      <c r="DWQ3" s="120"/>
      <c r="DWR3" s="120"/>
      <c r="DWS3" s="120"/>
      <c r="DWT3" s="120"/>
      <c r="DWU3" s="120"/>
      <c r="DWV3" s="120"/>
      <c r="DWW3" s="120"/>
      <c r="DWX3" s="120"/>
      <c r="DWY3" s="120"/>
      <c r="DWZ3" s="120"/>
      <c r="DXA3" s="120"/>
      <c r="DXB3" s="120"/>
      <c r="DXC3" s="120"/>
      <c r="DXD3" s="120"/>
      <c r="DXE3" s="120"/>
      <c r="DXF3" s="120"/>
      <c r="DXG3" s="120"/>
      <c r="DXH3" s="120"/>
      <c r="DXI3" s="120"/>
      <c r="DXJ3" s="120"/>
      <c r="DXK3" s="120"/>
      <c r="DXL3" s="120"/>
      <c r="DXM3" s="120"/>
      <c r="DXN3" s="120"/>
      <c r="DXO3" s="120"/>
      <c r="DXP3" s="120"/>
      <c r="DXQ3" s="120"/>
      <c r="DXR3" s="120"/>
      <c r="DXS3" s="120"/>
      <c r="DXT3" s="120"/>
      <c r="DXU3" s="120"/>
      <c r="DXV3" s="120"/>
      <c r="DXW3" s="120"/>
      <c r="DXX3" s="120"/>
      <c r="DXY3" s="120"/>
      <c r="DXZ3" s="120"/>
      <c r="DYA3" s="120"/>
      <c r="DYB3" s="120"/>
      <c r="DYC3" s="120"/>
      <c r="DYD3" s="120"/>
      <c r="DYE3" s="120"/>
      <c r="DYF3" s="120"/>
      <c r="DYG3" s="120"/>
      <c r="DYH3" s="120"/>
      <c r="DYI3" s="120"/>
      <c r="DYJ3" s="120"/>
      <c r="DYK3" s="120"/>
      <c r="DYL3" s="120"/>
      <c r="DYM3" s="120"/>
      <c r="DYN3" s="120"/>
      <c r="DYO3" s="120"/>
      <c r="DYP3" s="120"/>
      <c r="DYQ3" s="120"/>
      <c r="DYR3" s="120"/>
      <c r="DYS3" s="120"/>
      <c r="DYT3" s="120"/>
      <c r="DYU3" s="120"/>
      <c r="DYV3" s="120"/>
      <c r="DYW3" s="120"/>
      <c r="DYX3" s="120"/>
      <c r="DYY3" s="120"/>
      <c r="DYZ3" s="120"/>
      <c r="DZA3" s="120"/>
      <c r="DZB3" s="120"/>
      <c r="DZC3" s="120"/>
      <c r="DZD3" s="120"/>
      <c r="DZE3" s="120"/>
      <c r="DZF3" s="120"/>
      <c r="DZG3" s="120"/>
      <c r="DZH3" s="120"/>
      <c r="DZI3" s="120"/>
      <c r="DZJ3" s="120"/>
      <c r="DZK3" s="120"/>
      <c r="DZL3" s="120"/>
      <c r="DZM3" s="120"/>
      <c r="DZN3" s="120"/>
      <c r="DZO3" s="120"/>
      <c r="DZP3" s="120"/>
      <c r="DZQ3" s="120"/>
      <c r="DZR3" s="120"/>
      <c r="DZS3" s="120"/>
      <c r="DZT3" s="120"/>
      <c r="DZU3" s="120"/>
      <c r="DZV3" s="120"/>
      <c r="DZW3" s="120"/>
      <c r="DZX3" s="120"/>
      <c r="DZY3" s="120"/>
      <c r="DZZ3" s="120"/>
      <c r="EAA3" s="120"/>
      <c r="EAB3" s="120"/>
      <c r="EAC3" s="120"/>
      <c r="EAD3" s="120"/>
      <c r="EAE3" s="120"/>
      <c r="EAF3" s="120"/>
      <c r="EAG3" s="120"/>
      <c r="EAH3" s="120"/>
      <c r="EAI3" s="120"/>
      <c r="EAJ3" s="120"/>
      <c r="EAK3" s="120"/>
      <c r="EAL3" s="120"/>
      <c r="EAM3" s="120"/>
      <c r="EAN3" s="120"/>
      <c r="EAO3" s="120"/>
      <c r="EAP3" s="120"/>
      <c r="EAQ3" s="120"/>
      <c r="EAR3" s="120"/>
      <c r="EAS3" s="120"/>
      <c r="EAT3" s="120"/>
      <c r="EAU3" s="120"/>
      <c r="EAV3" s="120"/>
      <c r="EAW3" s="120"/>
      <c r="EAX3" s="120"/>
      <c r="EAY3" s="120"/>
      <c r="EAZ3" s="120"/>
      <c r="EBA3" s="120"/>
      <c r="EBB3" s="120"/>
      <c r="EBC3" s="120"/>
      <c r="EBD3" s="120"/>
      <c r="EBE3" s="120"/>
      <c r="EBF3" s="120"/>
      <c r="EBG3" s="120"/>
      <c r="EBH3" s="120"/>
      <c r="EBI3" s="120"/>
      <c r="EBJ3" s="120"/>
      <c r="EBK3" s="120"/>
      <c r="EBL3" s="120"/>
      <c r="EBM3" s="120"/>
      <c r="EBN3" s="120"/>
      <c r="EBO3" s="120"/>
      <c r="EBP3" s="120"/>
      <c r="EBQ3" s="120"/>
      <c r="EBR3" s="120"/>
      <c r="EBS3" s="120"/>
      <c r="EBT3" s="120"/>
      <c r="EBU3" s="120"/>
      <c r="EBV3" s="120"/>
      <c r="EBW3" s="120"/>
      <c r="EBX3" s="120"/>
      <c r="EBY3" s="120"/>
      <c r="EBZ3" s="120"/>
      <c r="ECA3" s="120"/>
      <c r="ECB3" s="120"/>
      <c r="ECC3" s="120"/>
      <c r="ECD3" s="120"/>
      <c r="ECE3" s="120"/>
      <c r="ECF3" s="120"/>
      <c r="ECG3" s="120"/>
      <c r="ECH3" s="120"/>
      <c r="ECI3" s="120"/>
      <c r="ECJ3" s="120"/>
      <c r="ECK3" s="120"/>
      <c r="ECL3" s="120"/>
      <c r="ECM3" s="120"/>
      <c r="ECN3" s="120"/>
      <c r="ECO3" s="120"/>
      <c r="ECP3" s="120"/>
      <c r="ECQ3" s="120"/>
      <c r="ECR3" s="120"/>
      <c r="ECS3" s="120"/>
      <c r="ECT3" s="120"/>
      <c r="ECU3" s="120"/>
      <c r="ECV3" s="120"/>
      <c r="ECW3" s="120"/>
      <c r="ECX3" s="120"/>
      <c r="ECY3" s="120"/>
      <c r="ECZ3" s="120"/>
      <c r="EDA3" s="120"/>
      <c r="EDB3" s="120"/>
      <c r="EDC3" s="120"/>
      <c r="EDD3" s="120"/>
      <c r="EDE3" s="120"/>
      <c r="EDF3" s="120"/>
      <c r="EDG3" s="120"/>
      <c r="EDH3" s="120"/>
      <c r="EDI3" s="120"/>
      <c r="EDJ3" s="120"/>
      <c r="EDK3" s="120"/>
      <c r="EDL3" s="120"/>
      <c r="EDM3" s="120"/>
      <c r="EDN3" s="120"/>
      <c r="EDO3" s="120"/>
      <c r="EDP3" s="120"/>
      <c r="EDQ3" s="120"/>
      <c r="EDR3" s="120"/>
      <c r="EDS3" s="120"/>
      <c r="EDT3" s="120"/>
      <c r="EDU3" s="120"/>
      <c r="EDV3" s="120"/>
      <c r="EDW3" s="120"/>
      <c r="EDX3" s="120"/>
      <c r="EDY3" s="120"/>
      <c r="EDZ3" s="120"/>
      <c r="EEA3" s="120"/>
      <c r="EEB3" s="120"/>
      <c r="EEC3" s="120"/>
      <c r="EED3" s="120"/>
      <c r="EEE3" s="120"/>
      <c r="EEF3" s="120"/>
      <c r="EEG3" s="120"/>
      <c r="EEH3" s="120"/>
      <c r="EEI3" s="120"/>
      <c r="EEJ3" s="120"/>
      <c r="EEK3" s="120"/>
      <c r="EEL3" s="120"/>
      <c r="EEM3" s="120"/>
      <c r="EEN3" s="120"/>
      <c r="EEO3" s="120"/>
      <c r="EEP3" s="120"/>
      <c r="EEQ3" s="120"/>
      <c r="EER3" s="120"/>
      <c r="EES3" s="120"/>
      <c r="EET3" s="120"/>
      <c r="EEU3" s="120"/>
      <c r="EEV3" s="120"/>
      <c r="EEW3" s="120"/>
      <c r="EEX3" s="120"/>
      <c r="EEY3" s="120"/>
      <c r="EEZ3" s="120"/>
      <c r="EFA3" s="120"/>
      <c r="EFB3" s="120"/>
      <c r="EFC3" s="120"/>
      <c r="EFD3" s="120"/>
      <c r="EFE3" s="120"/>
      <c r="EFF3" s="120"/>
      <c r="EFG3" s="120"/>
      <c r="EFH3" s="120"/>
      <c r="EFI3" s="120"/>
      <c r="EFJ3" s="120"/>
      <c r="EFK3" s="120"/>
      <c r="EFL3" s="120"/>
      <c r="EFM3" s="120"/>
      <c r="EFN3" s="120"/>
      <c r="EFO3" s="120"/>
      <c r="EFP3" s="120"/>
      <c r="EFQ3" s="120"/>
      <c r="EFR3" s="120"/>
      <c r="EFS3" s="120"/>
      <c r="EFT3" s="120"/>
      <c r="EFU3" s="120"/>
      <c r="EFV3" s="120"/>
      <c r="EFW3" s="120"/>
      <c r="EFX3" s="120"/>
      <c r="EFY3" s="120"/>
      <c r="EFZ3" s="120"/>
      <c r="EGA3" s="120"/>
      <c r="EGB3" s="120"/>
      <c r="EGC3" s="120"/>
      <c r="EGD3" s="120"/>
      <c r="EGE3" s="120"/>
      <c r="EGF3" s="120"/>
      <c r="EGG3" s="120"/>
      <c r="EGH3" s="120"/>
      <c r="EGI3" s="120"/>
      <c r="EGJ3" s="120"/>
      <c r="EGK3" s="120"/>
      <c r="EGL3" s="120"/>
      <c r="EGM3" s="120"/>
      <c r="EGN3" s="120"/>
      <c r="EGO3" s="120"/>
      <c r="EGP3" s="120"/>
      <c r="EGQ3" s="120"/>
      <c r="EGR3" s="120"/>
      <c r="EGS3" s="120"/>
      <c r="EGT3" s="120"/>
      <c r="EGU3" s="120"/>
      <c r="EGV3" s="120"/>
      <c r="EGW3" s="120"/>
      <c r="EGX3" s="120"/>
      <c r="EGY3" s="120"/>
      <c r="EGZ3" s="120"/>
      <c r="EHA3" s="120"/>
      <c r="EHB3" s="120"/>
      <c r="EHC3" s="120"/>
      <c r="EHD3" s="120"/>
      <c r="EHE3" s="120"/>
      <c r="EHF3" s="120"/>
      <c r="EHG3" s="120"/>
      <c r="EHH3" s="120"/>
      <c r="EHI3" s="120"/>
      <c r="EHJ3" s="120"/>
      <c r="EHK3" s="120"/>
      <c r="EHL3" s="120"/>
      <c r="EHM3" s="120"/>
      <c r="EHN3" s="120"/>
      <c r="EHO3" s="120"/>
      <c r="EHP3" s="120"/>
      <c r="EHQ3" s="120"/>
      <c r="EHR3" s="120"/>
      <c r="EHS3" s="120"/>
      <c r="EHT3" s="120"/>
      <c r="EHU3" s="120"/>
      <c r="EHV3" s="120"/>
      <c r="EHW3" s="120"/>
      <c r="EHX3" s="120"/>
      <c r="EHY3" s="120"/>
      <c r="EHZ3" s="120"/>
      <c r="EIA3" s="120"/>
      <c r="EIB3" s="120"/>
      <c r="EIC3" s="120"/>
      <c r="EID3" s="120"/>
      <c r="EIE3" s="120"/>
      <c r="EIF3" s="120"/>
      <c r="EIG3" s="120"/>
      <c r="EIH3" s="120"/>
      <c r="EII3" s="120"/>
      <c r="EIJ3" s="120"/>
      <c r="EIK3" s="120"/>
      <c r="EIL3" s="120"/>
      <c r="EIM3" s="120"/>
      <c r="EIN3" s="120"/>
      <c r="EIO3" s="120"/>
      <c r="EIP3" s="120"/>
      <c r="EIQ3" s="120"/>
      <c r="EIR3" s="120"/>
      <c r="EIS3" s="120"/>
      <c r="EIT3" s="120"/>
      <c r="EIU3" s="120"/>
      <c r="EIV3" s="120"/>
      <c r="EIW3" s="120"/>
      <c r="EIX3" s="120"/>
      <c r="EIY3" s="120"/>
      <c r="EIZ3" s="120"/>
      <c r="EJA3" s="120"/>
      <c r="EJB3" s="120"/>
      <c r="EJC3" s="120"/>
      <c r="EJD3" s="120"/>
      <c r="EJE3" s="120"/>
      <c r="EJF3" s="120"/>
      <c r="EJG3" s="120"/>
      <c r="EJH3" s="120"/>
      <c r="EJI3" s="120"/>
      <c r="EJJ3" s="120"/>
      <c r="EJK3" s="120"/>
      <c r="EJL3" s="120"/>
      <c r="EJM3" s="120"/>
      <c r="EJN3" s="120"/>
      <c r="EJO3" s="120"/>
      <c r="EJP3" s="120"/>
      <c r="EJQ3" s="120"/>
      <c r="EJR3" s="120"/>
      <c r="EJS3" s="120"/>
      <c r="EJT3" s="120"/>
      <c r="EJU3" s="120"/>
      <c r="EJV3" s="120"/>
      <c r="EJW3" s="120"/>
      <c r="EJX3" s="120"/>
      <c r="EJY3" s="120"/>
      <c r="EJZ3" s="120"/>
      <c r="EKA3" s="120"/>
      <c r="EKB3" s="120"/>
      <c r="EKC3" s="120"/>
      <c r="EKD3" s="120"/>
      <c r="EKE3" s="120"/>
      <c r="EKF3" s="120"/>
      <c r="EKG3" s="120"/>
      <c r="EKH3" s="120"/>
      <c r="EKI3" s="120"/>
      <c r="EKJ3" s="120"/>
      <c r="EKK3" s="120"/>
      <c r="EKL3" s="120"/>
      <c r="EKM3" s="120"/>
      <c r="EKN3" s="120"/>
      <c r="EKO3" s="120"/>
      <c r="EKP3" s="120"/>
      <c r="EKQ3" s="120"/>
      <c r="EKR3" s="120"/>
      <c r="EKS3" s="120"/>
      <c r="EKT3" s="120"/>
      <c r="EKU3" s="120"/>
      <c r="EKV3" s="120"/>
      <c r="EKW3" s="120"/>
      <c r="EKX3" s="120"/>
      <c r="EKY3" s="120"/>
      <c r="EKZ3" s="120"/>
      <c r="ELA3" s="120"/>
      <c r="ELB3" s="120"/>
      <c r="ELC3" s="120"/>
      <c r="ELD3" s="120"/>
      <c r="ELE3" s="120"/>
      <c r="ELF3" s="120"/>
      <c r="ELG3" s="120"/>
      <c r="ELH3" s="120"/>
      <c r="ELI3" s="120"/>
      <c r="ELJ3" s="120"/>
      <c r="ELK3" s="120"/>
      <c r="ELL3" s="120"/>
      <c r="ELM3" s="120"/>
      <c r="ELN3" s="120"/>
      <c r="ELO3" s="120"/>
      <c r="ELP3" s="120"/>
      <c r="ELQ3" s="120"/>
      <c r="ELR3" s="120"/>
      <c r="ELS3" s="120"/>
      <c r="ELT3" s="120"/>
      <c r="ELU3" s="120"/>
      <c r="ELV3" s="120"/>
      <c r="ELW3" s="120"/>
      <c r="ELX3" s="120"/>
      <c r="ELY3" s="120"/>
      <c r="ELZ3" s="120"/>
      <c r="EMA3" s="120"/>
      <c r="EMB3" s="120"/>
      <c r="EMC3" s="120"/>
      <c r="EMD3" s="120"/>
      <c r="EME3" s="120"/>
      <c r="EMF3" s="120"/>
      <c r="EMG3" s="120"/>
      <c r="EMH3" s="120"/>
      <c r="EMI3" s="120"/>
      <c r="EMJ3" s="120"/>
      <c r="EMK3" s="120"/>
      <c r="EML3" s="120"/>
      <c r="EMM3" s="120"/>
      <c r="EMN3" s="120"/>
      <c r="EMO3" s="120"/>
      <c r="EMP3" s="120"/>
      <c r="EMQ3" s="120"/>
      <c r="EMR3" s="120"/>
      <c r="EMS3" s="120"/>
      <c r="EMT3" s="120"/>
      <c r="EMU3" s="120"/>
      <c r="EMV3" s="120"/>
      <c r="EMW3" s="120"/>
      <c r="EMX3" s="120"/>
      <c r="EMY3" s="120"/>
      <c r="EMZ3" s="120"/>
      <c r="ENA3" s="120"/>
      <c r="ENB3" s="120"/>
      <c r="ENC3" s="120"/>
      <c r="END3" s="120"/>
      <c r="ENE3" s="120"/>
      <c r="ENF3" s="120"/>
      <c r="ENG3" s="120"/>
      <c r="ENH3" s="120"/>
      <c r="ENI3" s="120"/>
      <c r="ENJ3" s="120"/>
      <c r="ENK3" s="120"/>
      <c r="ENL3" s="120"/>
      <c r="ENM3" s="120"/>
      <c r="ENN3" s="120"/>
      <c r="ENO3" s="120"/>
      <c r="ENP3" s="120"/>
      <c r="ENQ3" s="120"/>
      <c r="ENR3" s="120"/>
      <c r="ENS3" s="120"/>
      <c r="ENT3" s="120"/>
      <c r="ENU3" s="120"/>
      <c r="ENV3" s="120"/>
      <c r="ENW3" s="120"/>
      <c r="ENX3" s="120"/>
      <c r="ENY3" s="120"/>
      <c r="ENZ3" s="120"/>
      <c r="EOA3" s="120"/>
      <c r="EOB3" s="120"/>
      <c r="EOC3" s="120"/>
      <c r="EOD3" s="120"/>
      <c r="EOE3" s="120"/>
      <c r="EOF3" s="120"/>
      <c r="EOG3" s="120"/>
      <c r="EOH3" s="120"/>
      <c r="EOI3" s="120"/>
      <c r="EOJ3" s="120"/>
      <c r="EOK3" s="120"/>
      <c r="EOL3" s="120"/>
      <c r="EOM3" s="120"/>
      <c r="EON3" s="120"/>
      <c r="EOO3" s="120"/>
      <c r="EOP3" s="120"/>
      <c r="EOQ3" s="120"/>
      <c r="EOR3" s="120"/>
      <c r="EOS3" s="120"/>
      <c r="EOT3" s="120"/>
      <c r="EOU3" s="120"/>
      <c r="EOV3" s="120"/>
      <c r="EOW3" s="120"/>
      <c r="EOX3" s="120"/>
      <c r="EOY3" s="120"/>
      <c r="EOZ3" s="120"/>
      <c r="EPA3" s="120"/>
      <c r="EPB3" s="120"/>
      <c r="EPC3" s="120"/>
      <c r="EPD3" s="120"/>
      <c r="EPE3" s="120"/>
      <c r="EPF3" s="120"/>
      <c r="EPG3" s="120"/>
      <c r="EPH3" s="120"/>
      <c r="EPI3" s="120"/>
      <c r="EPJ3" s="120"/>
      <c r="EPK3" s="120"/>
      <c r="EPL3" s="120"/>
      <c r="EPM3" s="120"/>
      <c r="EPN3" s="120"/>
      <c r="EPO3" s="120"/>
      <c r="EPP3" s="120"/>
      <c r="EPQ3" s="120"/>
      <c r="EPR3" s="120"/>
      <c r="EPS3" s="120"/>
      <c r="EPT3" s="120"/>
      <c r="EPU3" s="120"/>
      <c r="EPV3" s="120"/>
      <c r="EPW3" s="120"/>
      <c r="EPX3" s="120"/>
      <c r="EPY3" s="120"/>
      <c r="EPZ3" s="120"/>
      <c r="EQA3" s="120"/>
      <c r="EQB3" s="120"/>
      <c r="EQC3" s="120"/>
      <c r="EQD3" s="120"/>
      <c r="EQE3" s="120"/>
      <c r="EQF3" s="120"/>
      <c r="EQG3" s="120"/>
      <c r="EQH3" s="120"/>
      <c r="EQI3" s="120"/>
      <c r="EQJ3" s="120"/>
      <c r="EQK3" s="120"/>
      <c r="EQL3" s="120"/>
      <c r="EQM3" s="120"/>
      <c r="EQN3" s="120"/>
      <c r="EQO3" s="120"/>
      <c r="EQP3" s="120"/>
      <c r="EQQ3" s="120"/>
      <c r="EQR3" s="120"/>
      <c r="EQS3" s="120"/>
      <c r="EQT3" s="120"/>
      <c r="EQU3" s="120"/>
      <c r="EQV3" s="120"/>
      <c r="EQW3" s="120"/>
      <c r="EQX3" s="120"/>
      <c r="EQY3" s="120"/>
      <c r="EQZ3" s="120"/>
      <c r="ERA3" s="120"/>
      <c r="ERB3" s="120"/>
      <c r="ERC3" s="120"/>
      <c r="ERD3" s="120"/>
      <c r="ERE3" s="120"/>
      <c r="ERF3" s="120"/>
      <c r="ERG3" s="120"/>
      <c r="ERH3" s="120"/>
      <c r="ERI3" s="120"/>
      <c r="ERJ3" s="120"/>
      <c r="ERK3" s="120"/>
      <c r="ERL3" s="120"/>
      <c r="ERM3" s="120"/>
      <c r="ERN3" s="120"/>
      <c r="ERO3" s="120"/>
      <c r="ERP3" s="120"/>
      <c r="ERQ3" s="120"/>
      <c r="ERR3" s="120"/>
      <c r="ERS3" s="120"/>
      <c r="ERT3" s="120"/>
      <c r="ERU3" s="120"/>
      <c r="ERV3" s="120"/>
      <c r="ERW3" s="120"/>
      <c r="ERX3" s="120"/>
      <c r="ERY3" s="120"/>
      <c r="ERZ3" s="120"/>
      <c r="ESA3" s="120"/>
      <c r="ESB3" s="120"/>
      <c r="ESC3" s="120"/>
      <c r="ESD3" s="120"/>
      <c r="ESE3" s="120"/>
      <c r="ESF3" s="120"/>
      <c r="ESG3" s="120"/>
      <c r="ESH3" s="120"/>
      <c r="ESI3" s="120"/>
      <c r="ESJ3" s="120"/>
      <c r="ESK3" s="120"/>
      <c r="ESL3" s="120"/>
      <c r="ESM3" s="120"/>
      <c r="ESN3" s="120"/>
      <c r="ESO3" s="120"/>
      <c r="ESP3" s="120"/>
      <c r="ESQ3" s="120"/>
      <c r="ESR3" s="120"/>
      <c r="ESS3" s="120"/>
      <c r="EST3" s="120"/>
      <c r="ESU3" s="120"/>
      <c r="ESV3" s="120"/>
      <c r="ESW3" s="120"/>
      <c r="ESX3" s="120"/>
      <c r="ESY3" s="120"/>
      <c r="ESZ3" s="120"/>
      <c r="ETA3" s="120"/>
      <c r="ETB3" s="120"/>
      <c r="ETC3" s="120"/>
      <c r="ETD3" s="120"/>
      <c r="ETE3" s="120"/>
      <c r="ETF3" s="120"/>
      <c r="ETG3" s="120"/>
      <c r="ETH3" s="120"/>
      <c r="ETI3" s="120"/>
      <c r="ETJ3" s="120"/>
      <c r="ETK3" s="120"/>
      <c r="ETL3" s="120"/>
      <c r="ETM3" s="120"/>
      <c r="ETN3" s="120"/>
      <c r="ETO3" s="120"/>
      <c r="ETP3" s="120"/>
      <c r="ETQ3" s="120"/>
      <c r="ETR3" s="120"/>
      <c r="ETS3" s="120"/>
      <c r="ETT3" s="120"/>
      <c r="ETU3" s="120"/>
      <c r="ETV3" s="120"/>
      <c r="ETW3" s="120"/>
      <c r="ETX3" s="120"/>
      <c r="ETY3" s="120"/>
      <c r="ETZ3" s="120"/>
      <c r="EUA3" s="120"/>
      <c r="EUB3" s="120"/>
      <c r="EUC3" s="120"/>
      <c r="EUD3" s="120"/>
      <c r="EUE3" s="120"/>
      <c r="EUF3" s="120"/>
      <c r="EUG3" s="120"/>
      <c r="EUH3" s="120"/>
      <c r="EUI3" s="120"/>
      <c r="EUJ3" s="120"/>
      <c r="EUK3" s="120"/>
      <c r="EUL3" s="120"/>
      <c r="EUM3" s="120"/>
      <c r="EUN3" s="120"/>
      <c r="EUO3" s="120"/>
      <c r="EUP3" s="120"/>
      <c r="EUQ3" s="120"/>
      <c r="EUR3" s="120"/>
      <c r="EUS3" s="120"/>
      <c r="EUT3" s="120"/>
      <c r="EUU3" s="120"/>
      <c r="EUV3" s="120"/>
      <c r="EUW3" s="120"/>
      <c r="EUX3" s="120"/>
      <c r="EUY3" s="120"/>
      <c r="EUZ3" s="120"/>
      <c r="EVA3" s="120"/>
      <c r="EVB3" s="120"/>
      <c r="EVC3" s="120"/>
      <c r="EVD3" s="120"/>
      <c r="EVE3" s="120"/>
      <c r="EVF3" s="120"/>
      <c r="EVG3" s="120"/>
      <c r="EVH3" s="120"/>
      <c r="EVI3" s="120"/>
      <c r="EVJ3" s="120"/>
      <c r="EVK3" s="120"/>
      <c r="EVL3" s="120"/>
      <c r="EVM3" s="120"/>
      <c r="EVN3" s="120"/>
      <c r="EVO3" s="120"/>
      <c r="EVP3" s="120"/>
      <c r="EVQ3" s="120"/>
      <c r="EVR3" s="120"/>
      <c r="EVS3" s="120"/>
      <c r="EVT3" s="120"/>
      <c r="EVU3" s="120"/>
      <c r="EVV3" s="120"/>
      <c r="EVW3" s="120"/>
      <c r="EVX3" s="120"/>
      <c r="EVY3" s="120"/>
      <c r="EVZ3" s="120"/>
      <c r="EWA3" s="120"/>
      <c r="EWB3" s="120"/>
      <c r="EWC3" s="120"/>
      <c r="EWD3" s="120"/>
      <c r="EWE3" s="120"/>
      <c r="EWF3" s="120"/>
      <c r="EWG3" s="120"/>
      <c r="EWH3" s="120"/>
      <c r="EWI3" s="120"/>
      <c r="EWJ3" s="120"/>
      <c r="EWK3" s="120"/>
      <c r="EWL3" s="120"/>
      <c r="EWM3" s="120"/>
      <c r="EWN3" s="120"/>
      <c r="EWO3" s="120"/>
      <c r="EWP3" s="120"/>
      <c r="EWQ3" s="120"/>
      <c r="EWR3" s="120"/>
      <c r="EWS3" s="120"/>
      <c r="EWT3" s="120"/>
      <c r="EWU3" s="120"/>
      <c r="EWV3" s="120"/>
      <c r="EWW3" s="120"/>
      <c r="EWX3" s="120"/>
      <c r="EWY3" s="120"/>
      <c r="EWZ3" s="120"/>
      <c r="EXA3" s="120"/>
      <c r="EXB3" s="120"/>
      <c r="EXC3" s="120"/>
      <c r="EXD3" s="120"/>
      <c r="EXE3" s="120"/>
      <c r="EXF3" s="120"/>
      <c r="EXG3" s="120"/>
      <c r="EXH3" s="120"/>
      <c r="EXI3" s="120"/>
      <c r="EXJ3" s="120"/>
      <c r="EXK3" s="120"/>
      <c r="EXL3" s="120"/>
      <c r="EXM3" s="120"/>
      <c r="EXN3" s="120"/>
      <c r="EXO3" s="120"/>
      <c r="EXP3" s="120"/>
      <c r="EXQ3" s="120"/>
      <c r="EXR3" s="120"/>
      <c r="EXS3" s="120"/>
      <c r="EXT3" s="120"/>
      <c r="EXU3" s="120"/>
      <c r="EXV3" s="120"/>
      <c r="EXW3" s="120"/>
      <c r="EXX3" s="120"/>
      <c r="EXY3" s="120"/>
      <c r="EXZ3" s="120"/>
      <c r="EYA3" s="120"/>
      <c r="EYB3" s="120"/>
      <c r="EYC3" s="120"/>
      <c r="EYD3" s="120"/>
      <c r="EYE3" s="120"/>
      <c r="EYF3" s="120"/>
      <c r="EYG3" s="120"/>
      <c r="EYH3" s="120"/>
      <c r="EYI3" s="120"/>
      <c r="EYJ3" s="120"/>
      <c r="EYK3" s="120"/>
      <c r="EYL3" s="120"/>
      <c r="EYM3" s="120"/>
      <c r="EYN3" s="120"/>
      <c r="EYO3" s="120"/>
      <c r="EYP3" s="120"/>
      <c r="EYQ3" s="120"/>
      <c r="EYR3" s="120"/>
      <c r="EYS3" s="120"/>
      <c r="EYT3" s="120"/>
      <c r="EYU3" s="120"/>
      <c r="EYV3" s="120"/>
      <c r="EYW3" s="120"/>
      <c r="EYX3" s="120"/>
      <c r="EYY3" s="120"/>
      <c r="EYZ3" s="120"/>
      <c r="EZA3" s="120"/>
      <c r="EZB3" s="120"/>
      <c r="EZC3" s="120"/>
      <c r="EZD3" s="120"/>
      <c r="EZE3" s="120"/>
      <c r="EZF3" s="120"/>
      <c r="EZG3" s="120"/>
      <c r="EZH3" s="120"/>
      <c r="EZI3" s="120"/>
      <c r="EZJ3" s="120"/>
      <c r="EZK3" s="120"/>
      <c r="EZL3" s="120"/>
      <c r="EZM3" s="120"/>
      <c r="EZN3" s="120"/>
      <c r="EZO3" s="120"/>
      <c r="EZP3" s="120"/>
      <c r="EZQ3" s="120"/>
      <c r="EZR3" s="120"/>
      <c r="EZS3" s="120"/>
      <c r="EZT3" s="120"/>
      <c r="EZU3" s="120"/>
      <c r="EZV3" s="120"/>
      <c r="EZW3" s="120"/>
      <c r="EZX3" s="120"/>
      <c r="EZY3" s="120"/>
      <c r="EZZ3" s="120"/>
      <c r="FAA3" s="120"/>
      <c r="FAB3" s="120"/>
      <c r="FAC3" s="120"/>
      <c r="FAD3" s="120"/>
      <c r="FAE3" s="120"/>
      <c r="FAF3" s="120"/>
      <c r="FAG3" s="120"/>
      <c r="FAH3" s="120"/>
      <c r="FAI3" s="120"/>
      <c r="FAJ3" s="120"/>
      <c r="FAK3" s="120"/>
      <c r="FAL3" s="120"/>
      <c r="FAM3" s="120"/>
      <c r="FAN3" s="120"/>
      <c r="FAO3" s="120"/>
      <c r="FAP3" s="120"/>
      <c r="FAQ3" s="120"/>
      <c r="FAR3" s="120"/>
      <c r="FAS3" s="120"/>
      <c r="FAT3" s="120"/>
      <c r="FAU3" s="120"/>
      <c r="FAV3" s="120"/>
      <c r="FAW3" s="120"/>
      <c r="FAX3" s="120"/>
      <c r="FAY3" s="120"/>
      <c r="FAZ3" s="120"/>
      <c r="FBA3" s="120"/>
      <c r="FBB3" s="120"/>
      <c r="FBC3" s="120"/>
      <c r="FBD3" s="120"/>
      <c r="FBE3" s="120"/>
      <c r="FBF3" s="120"/>
      <c r="FBG3" s="120"/>
      <c r="FBH3" s="120"/>
      <c r="FBI3" s="120"/>
      <c r="FBJ3" s="120"/>
      <c r="FBK3" s="120"/>
      <c r="FBL3" s="120"/>
      <c r="FBM3" s="120"/>
      <c r="FBN3" s="120"/>
      <c r="FBO3" s="120"/>
      <c r="FBP3" s="120"/>
      <c r="FBQ3" s="120"/>
      <c r="FBR3" s="120"/>
      <c r="FBS3" s="120"/>
      <c r="FBT3" s="120"/>
      <c r="FBU3" s="120"/>
      <c r="FBV3" s="120"/>
      <c r="FBW3" s="120"/>
      <c r="FBX3" s="120"/>
      <c r="FBY3" s="120"/>
      <c r="FBZ3" s="120"/>
      <c r="FCA3" s="120"/>
      <c r="FCB3" s="120"/>
      <c r="FCC3" s="120"/>
      <c r="FCD3" s="120"/>
      <c r="FCE3" s="120"/>
      <c r="FCF3" s="120"/>
      <c r="FCG3" s="120"/>
      <c r="FCH3" s="120"/>
      <c r="FCI3" s="120"/>
      <c r="FCJ3" s="120"/>
      <c r="FCK3" s="120"/>
      <c r="FCL3" s="120"/>
      <c r="FCM3" s="120"/>
      <c r="FCN3" s="120"/>
      <c r="FCO3" s="120"/>
      <c r="FCP3" s="120"/>
      <c r="FCQ3" s="120"/>
      <c r="FCR3" s="120"/>
      <c r="FCS3" s="120"/>
      <c r="FCT3" s="120"/>
      <c r="FCU3" s="120"/>
      <c r="FCV3" s="120"/>
      <c r="FCW3" s="120"/>
      <c r="FCX3" s="120"/>
      <c r="FCY3" s="120"/>
      <c r="FCZ3" s="120"/>
      <c r="FDA3" s="120"/>
      <c r="FDB3" s="120"/>
      <c r="FDC3" s="120"/>
      <c r="FDD3" s="120"/>
      <c r="FDE3" s="120"/>
      <c r="FDF3" s="120"/>
      <c r="FDG3" s="120"/>
      <c r="FDH3" s="120"/>
      <c r="FDI3" s="120"/>
      <c r="FDJ3" s="120"/>
      <c r="FDK3" s="120"/>
      <c r="FDL3" s="120"/>
      <c r="FDM3" s="120"/>
      <c r="FDN3" s="120"/>
      <c r="FDO3" s="120"/>
      <c r="FDP3" s="120"/>
      <c r="FDQ3" s="120"/>
      <c r="FDR3" s="120"/>
      <c r="FDS3" s="120"/>
      <c r="FDT3" s="120"/>
      <c r="FDU3" s="120"/>
      <c r="FDV3" s="120"/>
      <c r="FDW3" s="120"/>
      <c r="FDX3" s="120"/>
      <c r="FDY3" s="120"/>
      <c r="FDZ3" s="120"/>
      <c r="FEA3" s="120"/>
      <c r="FEB3" s="120"/>
      <c r="FEC3" s="120"/>
      <c r="FED3" s="120"/>
      <c r="FEE3" s="120"/>
      <c r="FEF3" s="120"/>
      <c r="FEG3" s="120"/>
      <c r="FEH3" s="120"/>
      <c r="FEI3" s="120"/>
      <c r="FEJ3" s="120"/>
      <c r="FEK3" s="120"/>
      <c r="FEL3" s="120"/>
      <c r="FEM3" s="120"/>
      <c r="FEN3" s="120"/>
      <c r="FEO3" s="120"/>
      <c r="FEP3" s="120"/>
      <c r="FEQ3" s="120"/>
      <c r="FER3" s="120"/>
      <c r="FES3" s="120"/>
      <c r="FET3" s="120"/>
      <c r="FEU3" s="120"/>
      <c r="FEV3" s="120"/>
      <c r="FEW3" s="120"/>
      <c r="FEX3" s="120"/>
      <c r="FEY3" s="120"/>
      <c r="FEZ3" s="120"/>
      <c r="FFA3" s="120"/>
      <c r="FFB3" s="120"/>
      <c r="FFC3" s="120"/>
      <c r="FFD3" s="120"/>
      <c r="FFE3" s="120"/>
      <c r="FFF3" s="120"/>
      <c r="FFG3" s="120"/>
      <c r="FFH3" s="120"/>
      <c r="FFI3" s="120"/>
      <c r="FFJ3" s="120"/>
      <c r="FFK3" s="120"/>
      <c r="FFL3" s="120"/>
      <c r="FFM3" s="120"/>
      <c r="FFN3" s="120"/>
      <c r="FFO3" s="120"/>
      <c r="FFP3" s="120"/>
      <c r="FFQ3" s="120"/>
      <c r="FFR3" s="120"/>
      <c r="FFS3" s="120"/>
      <c r="FFT3" s="120"/>
      <c r="FFU3" s="120"/>
      <c r="FFV3" s="120"/>
      <c r="FFW3" s="120"/>
      <c r="FFX3" s="120"/>
      <c r="FFY3" s="120"/>
      <c r="FFZ3" s="120"/>
      <c r="FGA3" s="120"/>
      <c r="FGB3" s="120"/>
      <c r="FGC3" s="120"/>
      <c r="FGD3" s="120"/>
      <c r="FGE3" s="120"/>
      <c r="FGF3" s="120"/>
      <c r="FGG3" s="120"/>
      <c r="FGH3" s="120"/>
      <c r="FGI3" s="120"/>
      <c r="FGJ3" s="120"/>
      <c r="FGK3" s="120"/>
      <c r="FGL3" s="120"/>
      <c r="FGM3" s="120"/>
      <c r="FGN3" s="120"/>
      <c r="FGO3" s="120"/>
      <c r="FGP3" s="120"/>
      <c r="FGQ3" s="120"/>
      <c r="FGR3" s="120"/>
      <c r="FGS3" s="120"/>
      <c r="FGT3" s="120"/>
      <c r="FGU3" s="120"/>
      <c r="FGV3" s="120"/>
      <c r="FGW3" s="120"/>
      <c r="FGX3" s="120"/>
      <c r="FGY3" s="120"/>
      <c r="FGZ3" s="120"/>
      <c r="FHA3" s="120"/>
      <c r="FHB3" s="120"/>
      <c r="FHC3" s="120"/>
      <c r="FHD3" s="120"/>
      <c r="FHE3" s="120"/>
      <c r="FHF3" s="120"/>
      <c r="FHG3" s="120"/>
      <c r="FHH3" s="120"/>
      <c r="FHI3" s="120"/>
      <c r="FHJ3" s="120"/>
      <c r="FHK3" s="120"/>
      <c r="FHL3" s="120"/>
      <c r="FHM3" s="120"/>
      <c r="FHN3" s="120"/>
      <c r="FHO3" s="120"/>
      <c r="FHP3" s="120"/>
      <c r="FHQ3" s="120"/>
      <c r="FHR3" s="120"/>
      <c r="FHS3" s="120"/>
      <c r="FHT3" s="120"/>
      <c r="FHU3" s="120"/>
      <c r="FHV3" s="120"/>
      <c r="FHW3" s="120"/>
      <c r="FHX3" s="120"/>
      <c r="FHY3" s="120"/>
      <c r="FHZ3" s="120"/>
      <c r="FIA3" s="120"/>
      <c r="FIB3" s="120"/>
      <c r="FIC3" s="120"/>
      <c r="FID3" s="120"/>
      <c r="FIE3" s="120"/>
      <c r="FIF3" s="120"/>
      <c r="FIG3" s="120"/>
      <c r="FIH3" s="120"/>
      <c r="FII3" s="120"/>
      <c r="FIJ3" s="120"/>
      <c r="FIK3" s="120"/>
      <c r="FIL3" s="120"/>
      <c r="FIM3" s="120"/>
      <c r="FIN3" s="120"/>
      <c r="FIO3" s="120"/>
      <c r="FIP3" s="120"/>
      <c r="FIQ3" s="120"/>
      <c r="FIR3" s="120"/>
      <c r="FIS3" s="120"/>
      <c r="FIT3" s="120"/>
      <c r="FIU3" s="120"/>
      <c r="FIV3" s="120"/>
      <c r="FIW3" s="120"/>
      <c r="FIX3" s="120"/>
      <c r="FIY3" s="120"/>
      <c r="FIZ3" s="120"/>
      <c r="FJA3" s="120"/>
      <c r="FJB3" s="120"/>
      <c r="FJC3" s="120"/>
      <c r="FJD3" s="120"/>
      <c r="FJE3" s="120"/>
      <c r="FJF3" s="120"/>
      <c r="FJG3" s="120"/>
      <c r="FJH3" s="120"/>
      <c r="FJI3" s="120"/>
      <c r="FJJ3" s="120"/>
      <c r="FJK3" s="120"/>
      <c r="FJL3" s="120"/>
      <c r="FJM3" s="120"/>
      <c r="FJN3" s="120"/>
      <c r="FJO3" s="120"/>
      <c r="FJP3" s="120"/>
      <c r="FJQ3" s="120"/>
      <c r="FJR3" s="120"/>
      <c r="FJS3" s="120"/>
      <c r="FJT3" s="120"/>
      <c r="FJU3" s="120"/>
      <c r="FJV3" s="120"/>
      <c r="FJW3" s="120"/>
      <c r="FJX3" s="120"/>
      <c r="FJY3" s="120"/>
      <c r="FJZ3" s="120"/>
      <c r="FKA3" s="120"/>
      <c r="FKB3" s="120"/>
      <c r="FKC3" s="120"/>
      <c r="FKD3" s="120"/>
      <c r="FKE3" s="120"/>
      <c r="FKF3" s="120"/>
      <c r="FKG3" s="120"/>
      <c r="FKH3" s="120"/>
      <c r="FKI3" s="120"/>
      <c r="FKJ3" s="120"/>
      <c r="FKK3" s="120"/>
      <c r="FKL3" s="120"/>
      <c r="FKM3" s="120"/>
      <c r="FKN3" s="120"/>
      <c r="FKO3" s="120"/>
      <c r="FKP3" s="120"/>
      <c r="FKQ3" s="120"/>
      <c r="FKR3" s="120"/>
      <c r="FKS3" s="120"/>
      <c r="FKT3" s="120"/>
      <c r="FKU3" s="120"/>
      <c r="FKV3" s="120"/>
      <c r="FKW3" s="120"/>
      <c r="FKX3" s="120"/>
      <c r="FKY3" s="120"/>
      <c r="FKZ3" s="120"/>
      <c r="FLA3" s="120"/>
      <c r="FLB3" s="120"/>
      <c r="FLC3" s="120"/>
      <c r="FLD3" s="120"/>
      <c r="FLE3" s="120"/>
      <c r="FLF3" s="120"/>
      <c r="FLG3" s="120"/>
      <c r="FLH3" s="120"/>
      <c r="FLI3" s="120"/>
      <c r="FLJ3" s="120"/>
      <c r="FLK3" s="120"/>
      <c r="FLL3" s="120"/>
      <c r="FLM3" s="120"/>
      <c r="FLN3" s="120"/>
      <c r="FLO3" s="120"/>
      <c r="FLP3" s="120"/>
      <c r="FLQ3" s="120"/>
      <c r="FLR3" s="120"/>
      <c r="FLS3" s="120"/>
      <c r="FLT3" s="120"/>
      <c r="FLU3" s="120"/>
      <c r="FLV3" s="120"/>
      <c r="FLW3" s="120"/>
      <c r="FLX3" s="120"/>
      <c r="FLY3" s="120"/>
      <c r="FLZ3" s="120"/>
      <c r="FMA3" s="120"/>
      <c r="FMB3" s="120"/>
      <c r="FMC3" s="120"/>
      <c r="FMD3" s="120"/>
      <c r="FME3" s="120"/>
      <c r="FMF3" s="120"/>
      <c r="FMG3" s="120"/>
      <c r="FMH3" s="120"/>
      <c r="FMI3" s="120"/>
      <c r="FMJ3" s="120"/>
      <c r="FMK3" s="120"/>
      <c r="FML3" s="120"/>
      <c r="FMM3" s="120"/>
      <c r="FMN3" s="120"/>
      <c r="FMO3" s="120"/>
      <c r="FMP3" s="120"/>
      <c r="FMQ3" s="120"/>
      <c r="FMR3" s="120"/>
      <c r="FMS3" s="120"/>
      <c r="FMT3" s="120"/>
      <c r="FMU3" s="120"/>
      <c r="FMV3" s="120"/>
      <c r="FMW3" s="120"/>
      <c r="FMX3" s="120"/>
      <c r="FMY3" s="120"/>
      <c r="FMZ3" s="120"/>
      <c r="FNA3" s="120"/>
      <c r="FNB3" s="120"/>
      <c r="FNC3" s="120"/>
      <c r="FND3" s="120"/>
      <c r="FNE3" s="120"/>
      <c r="FNF3" s="120"/>
      <c r="FNG3" s="120"/>
      <c r="FNH3" s="120"/>
      <c r="FNI3" s="120"/>
      <c r="FNJ3" s="120"/>
      <c r="FNK3" s="120"/>
      <c r="FNL3" s="120"/>
      <c r="FNM3" s="120"/>
      <c r="FNN3" s="120"/>
      <c r="FNO3" s="120"/>
      <c r="FNP3" s="120"/>
      <c r="FNQ3" s="120"/>
      <c r="FNR3" s="120"/>
      <c r="FNS3" s="120"/>
      <c r="FNT3" s="120"/>
      <c r="FNU3" s="120"/>
      <c r="FNV3" s="120"/>
      <c r="FNW3" s="120"/>
      <c r="FNX3" s="120"/>
      <c r="FNY3" s="120"/>
      <c r="FNZ3" s="120"/>
      <c r="FOA3" s="120"/>
      <c r="FOB3" s="120"/>
      <c r="FOC3" s="120"/>
      <c r="FOD3" s="120"/>
      <c r="FOE3" s="120"/>
      <c r="FOF3" s="120"/>
      <c r="FOG3" s="120"/>
      <c r="FOH3" s="120"/>
      <c r="FOI3" s="120"/>
      <c r="FOJ3" s="120"/>
      <c r="FOK3" s="120"/>
      <c r="FOL3" s="120"/>
      <c r="FOM3" s="120"/>
      <c r="FON3" s="120"/>
      <c r="FOO3" s="120"/>
      <c r="FOP3" s="120"/>
      <c r="FOQ3" s="120"/>
      <c r="FOR3" s="120"/>
      <c r="FOS3" s="120"/>
      <c r="FOT3" s="120"/>
      <c r="FOU3" s="120"/>
      <c r="FOV3" s="120"/>
      <c r="FOW3" s="120"/>
      <c r="FOX3" s="120"/>
      <c r="FOY3" s="120"/>
      <c r="FOZ3" s="120"/>
      <c r="FPA3" s="120"/>
      <c r="FPB3" s="120"/>
      <c r="FPC3" s="120"/>
      <c r="FPD3" s="120"/>
      <c r="FPE3" s="120"/>
      <c r="FPF3" s="120"/>
      <c r="FPG3" s="120"/>
      <c r="FPH3" s="120"/>
      <c r="FPI3" s="120"/>
      <c r="FPJ3" s="120"/>
      <c r="FPK3" s="120"/>
      <c r="FPL3" s="120"/>
      <c r="FPM3" s="120"/>
      <c r="FPN3" s="120"/>
      <c r="FPO3" s="120"/>
      <c r="FPP3" s="120"/>
      <c r="FPQ3" s="120"/>
      <c r="FPR3" s="120"/>
      <c r="FPS3" s="120"/>
      <c r="FPT3" s="120"/>
      <c r="FPU3" s="120"/>
      <c r="FPV3" s="120"/>
      <c r="FPW3" s="120"/>
      <c r="FPX3" s="120"/>
      <c r="FPY3" s="120"/>
      <c r="FPZ3" s="120"/>
      <c r="FQA3" s="120"/>
      <c r="FQB3" s="120"/>
      <c r="FQC3" s="120"/>
      <c r="FQD3" s="120"/>
      <c r="FQE3" s="120"/>
      <c r="FQF3" s="120"/>
      <c r="FQG3" s="120"/>
      <c r="FQH3" s="120"/>
      <c r="FQI3" s="120"/>
      <c r="FQJ3" s="120"/>
      <c r="FQK3" s="120"/>
      <c r="FQL3" s="120"/>
      <c r="FQM3" s="120"/>
      <c r="FQN3" s="120"/>
      <c r="FQO3" s="120"/>
      <c r="FQP3" s="120"/>
      <c r="FQQ3" s="120"/>
      <c r="FQR3" s="120"/>
      <c r="FQS3" s="120"/>
      <c r="FQT3" s="120"/>
      <c r="FQU3" s="120"/>
      <c r="FQV3" s="120"/>
      <c r="FQW3" s="120"/>
      <c r="FQX3" s="120"/>
      <c r="FQY3" s="120"/>
      <c r="FQZ3" s="120"/>
      <c r="FRA3" s="120"/>
      <c r="FRB3" s="120"/>
      <c r="FRC3" s="120"/>
      <c r="FRD3" s="120"/>
      <c r="FRE3" s="120"/>
      <c r="FRF3" s="120"/>
      <c r="FRG3" s="120"/>
      <c r="FRH3" s="120"/>
      <c r="FRI3" s="120"/>
      <c r="FRJ3" s="120"/>
      <c r="FRK3" s="120"/>
      <c r="FRL3" s="120"/>
      <c r="FRM3" s="120"/>
      <c r="FRN3" s="120"/>
      <c r="FRO3" s="120"/>
      <c r="FRP3" s="120"/>
      <c r="FRQ3" s="120"/>
      <c r="FRR3" s="120"/>
      <c r="FRS3" s="120"/>
      <c r="FRT3" s="120"/>
      <c r="FRU3" s="120"/>
      <c r="FRV3" s="120"/>
      <c r="FRW3" s="120"/>
      <c r="FRX3" s="120"/>
      <c r="FRY3" s="120"/>
      <c r="FRZ3" s="120"/>
      <c r="FSA3" s="120"/>
      <c r="FSB3" s="120"/>
      <c r="FSC3" s="120"/>
      <c r="FSD3" s="120"/>
      <c r="FSE3" s="120"/>
      <c r="FSF3" s="120"/>
      <c r="FSG3" s="120"/>
      <c r="FSH3" s="120"/>
      <c r="FSI3" s="120"/>
      <c r="FSJ3" s="120"/>
      <c r="FSK3" s="120"/>
      <c r="FSL3" s="120"/>
      <c r="FSM3" s="120"/>
      <c r="FSN3" s="120"/>
      <c r="FSO3" s="120"/>
      <c r="FSP3" s="120"/>
      <c r="FSQ3" s="120"/>
      <c r="FSR3" s="120"/>
      <c r="FSS3" s="120"/>
      <c r="FST3" s="120"/>
      <c r="FSU3" s="120"/>
      <c r="FSV3" s="120"/>
      <c r="FSW3" s="120"/>
      <c r="FSX3" s="120"/>
      <c r="FSY3" s="120"/>
      <c r="FSZ3" s="120"/>
      <c r="FTA3" s="120"/>
      <c r="FTB3" s="120"/>
      <c r="FTC3" s="120"/>
      <c r="FTD3" s="120"/>
      <c r="FTE3" s="120"/>
      <c r="FTF3" s="120"/>
      <c r="FTG3" s="120"/>
      <c r="FTH3" s="120"/>
      <c r="FTI3" s="120"/>
      <c r="FTJ3" s="120"/>
      <c r="FTK3" s="120"/>
      <c r="FTL3" s="120"/>
      <c r="FTM3" s="120"/>
      <c r="FTN3" s="120"/>
      <c r="FTO3" s="120"/>
      <c r="FTP3" s="120"/>
      <c r="FTQ3" s="120"/>
      <c r="FTR3" s="120"/>
      <c r="FTS3" s="120"/>
      <c r="FTT3" s="120"/>
      <c r="FTU3" s="120"/>
      <c r="FTV3" s="120"/>
      <c r="FTW3" s="120"/>
      <c r="FTX3" s="120"/>
      <c r="FTY3" s="120"/>
      <c r="FTZ3" s="120"/>
      <c r="FUA3" s="120"/>
      <c r="FUB3" s="120"/>
      <c r="FUC3" s="120"/>
      <c r="FUD3" s="120"/>
      <c r="FUE3" s="120"/>
      <c r="FUF3" s="120"/>
      <c r="FUG3" s="120"/>
      <c r="FUH3" s="120"/>
      <c r="FUI3" s="120"/>
      <c r="FUJ3" s="120"/>
      <c r="FUK3" s="120"/>
      <c r="FUL3" s="120"/>
      <c r="FUM3" s="120"/>
      <c r="FUN3" s="120"/>
      <c r="FUO3" s="120"/>
      <c r="FUP3" s="120"/>
      <c r="FUQ3" s="120"/>
      <c r="FUR3" s="120"/>
      <c r="FUS3" s="120"/>
      <c r="FUT3" s="120"/>
      <c r="FUU3" s="120"/>
      <c r="FUV3" s="120"/>
      <c r="FUW3" s="120"/>
      <c r="FUX3" s="120"/>
      <c r="FUY3" s="120"/>
      <c r="FUZ3" s="120"/>
      <c r="FVA3" s="120"/>
      <c r="FVB3" s="120"/>
      <c r="FVC3" s="120"/>
      <c r="FVD3" s="120"/>
      <c r="FVE3" s="120"/>
      <c r="FVF3" s="120"/>
      <c r="FVG3" s="120"/>
      <c r="FVH3" s="120"/>
      <c r="FVI3" s="120"/>
      <c r="FVJ3" s="120"/>
      <c r="FVK3" s="120"/>
      <c r="FVL3" s="120"/>
      <c r="FVM3" s="120"/>
      <c r="FVN3" s="120"/>
      <c r="FVO3" s="120"/>
      <c r="FVP3" s="120"/>
      <c r="FVQ3" s="120"/>
      <c r="FVR3" s="120"/>
      <c r="FVS3" s="120"/>
      <c r="FVT3" s="120"/>
      <c r="FVU3" s="120"/>
      <c r="FVV3" s="120"/>
      <c r="FVW3" s="120"/>
      <c r="FVX3" s="120"/>
      <c r="FVY3" s="120"/>
      <c r="FVZ3" s="120"/>
      <c r="FWA3" s="120"/>
      <c r="FWB3" s="120"/>
      <c r="FWC3" s="120"/>
      <c r="FWD3" s="120"/>
      <c r="FWE3" s="120"/>
      <c r="FWF3" s="120"/>
      <c r="FWG3" s="120"/>
      <c r="FWH3" s="120"/>
      <c r="FWI3" s="120"/>
      <c r="FWJ3" s="120"/>
      <c r="FWK3" s="120"/>
      <c r="FWL3" s="120"/>
      <c r="FWM3" s="120"/>
      <c r="FWN3" s="120"/>
      <c r="FWO3" s="120"/>
      <c r="FWP3" s="120"/>
      <c r="FWQ3" s="120"/>
      <c r="FWR3" s="120"/>
      <c r="FWS3" s="120"/>
      <c r="FWT3" s="120"/>
      <c r="FWU3" s="120"/>
      <c r="FWV3" s="120"/>
      <c r="FWW3" s="120"/>
      <c r="FWX3" s="120"/>
      <c r="FWY3" s="120"/>
      <c r="FWZ3" s="120"/>
      <c r="FXA3" s="120"/>
      <c r="FXB3" s="120"/>
      <c r="FXC3" s="120"/>
      <c r="FXD3" s="120"/>
      <c r="FXE3" s="120"/>
      <c r="FXF3" s="120"/>
      <c r="FXG3" s="120"/>
      <c r="FXH3" s="120"/>
      <c r="FXI3" s="120"/>
      <c r="FXJ3" s="120"/>
      <c r="FXK3" s="120"/>
      <c r="FXL3" s="120"/>
      <c r="FXM3" s="120"/>
      <c r="FXN3" s="120"/>
      <c r="FXO3" s="120"/>
      <c r="FXP3" s="120"/>
      <c r="FXQ3" s="120"/>
      <c r="FXR3" s="120"/>
      <c r="FXS3" s="120"/>
      <c r="FXT3" s="120"/>
      <c r="FXU3" s="120"/>
      <c r="FXV3" s="120"/>
      <c r="FXW3" s="120"/>
      <c r="FXX3" s="120"/>
      <c r="FXY3" s="120"/>
      <c r="FXZ3" s="120"/>
      <c r="FYA3" s="120"/>
      <c r="FYB3" s="120"/>
      <c r="FYC3" s="120"/>
      <c r="FYD3" s="120"/>
      <c r="FYE3" s="120"/>
      <c r="FYF3" s="120"/>
      <c r="FYG3" s="120"/>
      <c r="FYH3" s="120"/>
      <c r="FYI3" s="120"/>
      <c r="FYJ3" s="120"/>
      <c r="FYK3" s="120"/>
      <c r="FYL3" s="120"/>
      <c r="FYM3" s="120"/>
      <c r="FYN3" s="120"/>
      <c r="FYO3" s="120"/>
      <c r="FYP3" s="120"/>
      <c r="FYQ3" s="120"/>
      <c r="FYR3" s="120"/>
      <c r="FYS3" s="120"/>
      <c r="FYT3" s="120"/>
      <c r="FYU3" s="120"/>
      <c r="FYV3" s="120"/>
      <c r="FYW3" s="120"/>
      <c r="FYX3" s="120"/>
      <c r="FYY3" s="120"/>
      <c r="FYZ3" s="120"/>
      <c r="FZA3" s="120"/>
      <c r="FZB3" s="120"/>
      <c r="FZC3" s="120"/>
      <c r="FZD3" s="120"/>
      <c r="FZE3" s="120"/>
      <c r="FZF3" s="120"/>
      <c r="FZG3" s="120"/>
      <c r="FZH3" s="120"/>
      <c r="FZI3" s="120"/>
      <c r="FZJ3" s="120"/>
      <c r="FZK3" s="120"/>
      <c r="FZL3" s="120"/>
      <c r="FZM3" s="120"/>
      <c r="FZN3" s="120"/>
      <c r="FZO3" s="120"/>
      <c r="FZP3" s="120"/>
      <c r="FZQ3" s="120"/>
      <c r="FZR3" s="120"/>
      <c r="FZS3" s="120"/>
      <c r="FZT3" s="120"/>
      <c r="FZU3" s="120"/>
      <c r="FZV3" s="120"/>
      <c r="FZW3" s="120"/>
      <c r="FZX3" s="120"/>
      <c r="FZY3" s="120"/>
      <c r="FZZ3" s="120"/>
      <c r="GAA3" s="120"/>
      <c r="GAB3" s="120"/>
      <c r="GAC3" s="120"/>
      <c r="GAD3" s="120"/>
      <c r="GAE3" s="120"/>
      <c r="GAF3" s="120"/>
      <c r="GAG3" s="120"/>
      <c r="GAH3" s="120"/>
      <c r="GAI3" s="120"/>
      <c r="GAJ3" s="120"/>
      <c r="GAK3" s="120"/>
      <c r="GAL3" s="120"/>
      <c r="GAM3" s="120"/>
      <c r="GAN3" s="120"/>
      <c r="GAO3" s="120"/>
      <c r="GAP3" s="120"/>
      <c r="GAQ3" s="120"/>
      <c r="GAR3" s="120"/>
      <c r="GAS3" s="120"/>
      <c r="GAT3" s="120"/>
      <c r="GAU3" s="120"/>
      <c r="GAV3" s="120"/>
      <c r="GAW3" s="120"/>
      <c r="GAX3" s="120"/>
      <c r="GAY3" s="120"/>
      <c r="GAZ3" s="120"/>
      <c r="GBA3" s="120"/>
      <c r="GBB3" s="120"/>
      <c r="GBC3" s="120"/>
      <c r="GBD3" s="120"/>
      <c r="GBE3" s="120"/>
      <c r="GBF3" s="120"/>
      <c r="GBG3" s="120"/>
      <c r="GBH3" s="120"/>
      <c r="GBI3" s="120"/>
      <c r="GBJ3" s="120"/>
      <c r="GBK3" s="120"/>
      <c r="GBL3" s="120"/>
      <c r="GBM3" s="120"/>
      <c r="GBN3" s="120"/>
      <c r="GBO3" s="120"/>
      <c r="GBP3" s="120"/>
      <c r="GBQ3" s="120"/>
      <c r="GBR3" s="120"/>
      <c r="GBS3" s="120"/>
      <c r="GBT3" s="120"/>
      <c r="GBU3" s="120"/>
      <c r="GBV3" s="120"/>
      <c r="GBW3" s="120"/>
      <c r="GBX3" s="120"/>
      <c r="GBY3" s="120"/>
      <c r="GBZ3" s="120"/>
      <c r="GCA3" s="120"/>
      <c r="GCB3" s="120"/>
      <c r="GCC3" s="120"/>
      <c r="GCD3" s="120"/>
      <c r="GCE3" s="120"/>
      <c r="GCF3" s="120"/>
      <c r="GCG3" s="120"/>
      <c r="GCH3" s="120"/>
      <c r="GCI3" s="120"/>
      <c r="GCJ3" s="120"/>
      <c r="GCK3" s="120"/>
      <c r="GCL3" s="120"/>
      <c r="GCM3" s="120"/>
      <c r="GCN3" s="120"/>
      <c r="GCO3" s="120"/>
      <c r="GCP3" s="120"/>
      <c r="GCQ3" s="120"/>
      <c r="GCR3" s="120"/>
      <c r="GCS3" s="120"/>
      <c r="GCT3" s="120"/>
      <c r="GCU3" s="120"/>
      <c r="GCV3" s="120"/>
      <c r="GCW3" s="120"/>
      <c r="GCX3" s="120"/>
      <c r="GCY3" s="120"/>
      <c r="GCZ3" s="120"/>
      <c r="GDA3" s="120"/>
      <c r="GDB3" s="120"/>
      <c r="GDC3" s="120"/>
      <c r="GDD3" s="120"/>
      <c r="GDE3" s="120"/>
      <c r="GDF3" s="120"/>
      <c r="GDG3" s="120"/>
      <c r="GDH3" s="120"/>
      <c r="GDI3" s="120"/>
      <c r="GDJ3" s="120"/>
      <c r="GDK3" s="120"/>
      <c r="GDL3" s="120"/>
      <c r="GDM3" s="120"/>
      <c r="GDN3" s="120"/>
      <c r="GDO3" s="120"/>
      <c r="GDP3" s="120"/>
      <c r="GDQ3" s="120"/>
      <c r="GDR3" s="120"/>
      <c r="GDS3" s="120"/>
      <c r="GDT3" s="120"/>
      <c r="GDU3" s="120"/>
      <c r="GDV3" s="120"/>
      <c r="GDW3" s="120"/>
      <c r="GDX3" s="120"/>
      <c r="GDY3" s="120"/>
      <c r="GDZ3" s="120"/>
      <c r="GEA3" s="120"/>
      <c r="GEB3" s="120"/>
      <c r="GEC3" s="120"/>
      <c r="GED3" s="120"/>
      <c r="GEE3" s="120"/>
      <c r="GEF3" s="120"/>
      <c r="GEG3" s="120"/>
      <c r="GEH3" s="120"/>
      <c r="GEI3" s="120"/>
      <c r="GEJ3" s="120"/>
      <c r="GEK3" s="120"/>
      <c r="GEL3" s="120"/>
      <c r="GEM3" s="120"/>
      <c r="GEN3" s="120"/>
      <c r="GEO3" s="120"/>
      <c r="GEP3" s="120"/>
      <c r="GEQ3" s="120"/>
      <c r="GER3" s="120"/>
      <c r="GES3" s="120"/>
      <c r="GET3" s="120"/>
      <c r="GEU3" s="120"/>
      <c r="GEV3" s="120"/>
      <c r="GEW3" s="120"/>
      <c r="GEX3" s="120"/>
      <c r="GEY3" s="120"/>
      <c r="GEZ3" s="120"/>
      <c r="GFA3" s="120"/>
      <c r="GFB3" s="120"/>
      <c r="GFC3" s="120"/>
      <c r="GFD3" s="120"/>
      <c r="GFE3" s="120"/>
      <c r="GFF3" s="120"/>
      <c r="GFG3" s="120"/>
      <c r="GFH3" s="120"/>
      <c r="GFI3" s="120"/>
      <c r="GFJ3" s="120"/>
      <c r="GFK3" s="120"/>
      <c r="GFL3" s="120"/>
      <c r="GFM3" s="120"/>
      <c r="GFN3" s="120"/>
      <c r="GFO3" s="120"/>
      <c r="GFP3" s="120"/>
      <c r="GFQ3" s="120"/>
      <c r="GFR3" s="120"/>
      <c r="GFS3" s="120"/>
      <c r="GFT3" s="120"/>
      <c r="GFU3" s="120"/>
      <c r="GFV3" s="120"/>
      <c r="GFW3" s="120"/>
      <c r="GFX3" s="120"/>
      <c r="GFY3" s="120"/>
      <c r="GFZ3" s="120"/>
      <c r="GGA3" s="120"/>
      <c r="GGB3" s="120"/>
      <c r="GGC3" s="120"/>
      <c r="GGD3" s="120"/>
      <c r="GGE3" s="120"/>
      <c r="GGF3" s="120"/>
      <c r="GGG3" s="120"/>
      <c r="GGH3" s="120"/>
      <c r="GGI3" s="120"/>
      <c r="GGJ3" s="120"/>
      <c r="GGK3" s="120"/>
      <c r="GGL3" s="120"/>
      <c r="GGM3" s="120"/>
      <c r="GGN3" s="120"/>
      <c r="GGO3" s="120"/>
      <c r="GGP3" s="120"/>
      <c r="GGQ3" s="120"/>
      <c r="GGR3" s="120"/>
      <c r="GGS3" s="120"/>
      <c r="GGT3" s="120"/>
      <c r="GGU3" s="120"/>
      <c r="GGV3" s="120"/>
      <c r="GGW3" s="120"/>
      <c r="GGX3" s="120"/>
      <c r="GGY3" s="120"/>
      <c r="GGZ3" s="120"/>
      <c r="GHA3" s="120"/>
      <c r="GHB3" s="120"/>
      <c r="GHC3" s="120"/>
      <c r="GHD3" s="120"/>
      <c r="GHE3" s="120"/>
      <c r="GHF3" s="120"/>
      <c r="GHG3" s="120"/>
      <c r="GHH3" s="120"/>
      <c r="GHI3" s="120"/>
      <c r="GHJ3" s="120"/>
      <c r="GHK3" s="120"/>
      <c r="GHL3" s="120"/>
      <c r="GHM3" s="120"/>
      <c r="GHN3" s="120"/>
      <c r="GHO3" s="120"/>
      <c r="GHP3" s="120"/>
      <c r="GHQ3" s="120"/>
      <c r="GHR3" s="120"/>
      <c r="GHS3" s="120"/>
      <c r="GHT3" s="120"/>
      <c r="GHU3" s="120"/>
      <c r="GHV3" s="120"/>
      <c r="GHW3" s="120"/>
      <c r="GHX3" s="120"/>
      <c r="GHY3" s="120"/>
      <c r="GHZ3" s="120"/>
      <c r="GIA3" s="120"/>
      <c r="GIB3" s="120"/>
      <c r="GIC3" s="120"/>
      <c r="GID3" s="120"/>
      <c r="GIE3" s="120"/>
      <c r="GIF3" s="120"/>
      <c r="GIG3" s="120"/>
      <c r="GIH3" s="120"/>
      <c r="GII3" s="120"/>
      <c r="GIJ3" s="120"/>
      <c r="GIK3" s="120"/>
      <c r="GIL3" s="120"/>
      <c r="GIM3" s="120"/>
      <c r="GIN3" s="120"/>
      <c r="GIO3" s="120"/>
      <c r="GIP3" s="120"/>
      <c r="GIQ3" s="120"/>
      <c r="GIR3" s="120"/>
      <c r="GIS3" s="120"/>
      <c r="GIT3" s="120"/>
      <c r="GIU3" s="120"/>
      <c r="GIV3" s="120"/>
      <c r="GIW3" s="120"/>
      <c r="GIX3" s="120"/>
      <c r="GIY3" s="120"/>
      <c r="GIZ3" s="120"/>
      <c r="GJA3" s="120"/>
      <c r="GJB3" s="120"/>
      <c r="GJC3" s="120"/>
      <c r="GJD3" s="120"/>
      <c r="GJE3" s="120"/>
      <c r="GJF3" s="120"/>
      <c r="GJG3" s="120"/>
      <c r="GJH3" s="120"/>
      <c r="GJI3" s="120"/>
      <c r="GJJ3" s="120"/>
      <c r="GJK3" s="120"/>
      <c r="GJL3" s="120"/>
      <c r="GJM3" s="120"/>
      <c r="GJN3" s="120"/>
      <c r="GJO3" s="120"/>
      <c r="GJP3" s="120"/>
      <c r="GJQ3" s="120"/>
      <c r="GJR3" s="120"/>
      <c r="GJS3" s="120"/>
      <c r="GJT3" s="120"/>
      <c r="GJU3" s="120"/>
      <c r="GJV3" s="120"/>
      <c r="GJW3" s="120"/>
      <c r="GJX3" s="120"/>
      <c r="GJY3" s="120"/>
      <c r="GJZ3" s="120"/>
      <c r="GKA3" s="120"/>
      <c r="GKB3" s="120"/>
      <c r="GKC3" s="120"/>
      <c r="GKD3" s="120"/>
      <c r="GKE3" s="120"/>
      <c r="GKF3" s="120"/>
      <c r="GKG3" s="120"/>
      <c r="GKH3" s="120"/>
      <c r="GKI3" s="120"/>
      <c r="GKJ3" s="120"/>
      <c r="GKK3" s="120"/>
      <c r="GKL3" s="120"/>
      <c r="GKM3" s="120"/>
      <c r="GKN3" s="120"/>
      <c r="GKO3" s="120"/>
      <c r="GKP3" s="120"/>
      <c r="GKQ3" s="120"/>
      <c r="GKR3" s="120"/>
      <c r="GKS3" s="120"/>
      <c r="GKT3" s="120"/>
      <c r="GKU3" s="120"/>
      <c r="GKV3" s="120"/>
      <c r="GKW3" s="120"/>
      <c r="GKX3" s="120"/>
      <c r="GKY3" s="120"/>
      <c r="GKZ3" s="120"/>
      <c r="GLA3" s="120"/>
      <c r="GLB3" s="120"/>
      <c r="GLC3" s="120"/>
      <c r="GLD3" s="120"/>
      <c r="GLE3" s="120"/>
      <c r="GLF3" s="120"/>
      <c r="GLG3" s="120"/>
      <c r="GLH3" s="120"/>
      <c r="GLI3" s="120"/>
      <c r="GLJ3" s="120"/>
      <c r="GLK3" s="120"/>
      <c r="GLL3" s="120"/>
      <c r="GLM3" s="120"/>
      <c r="GLN3" s="120"/>
      <c r="GLO3" s="120"/>
      <c r="GLP3" s="120"/>
      <c r="GLQ3" s="120"/>
      <c r="GLR3" s="120"/>
      <c r="GLS3" s="120"/>
      <c r="GLT3" s="120"/>
      <c r="GLU3" s="120"/>
      <c r="GLV3" s="120"/>
      <c r="GLW3" s="120"/>
      <c r="GLX3" s="120"/>
      <c r="GLY3" s="120"/>
      <c r="GLZ3" s="120"/>
      <c r="GMA3" s="120"/>
      <c r="GMB3" s="120"/>
      <c r="GMC3" s="120"/>
      <c r="GMD3" s="120"/>
      <c r="GME3" s="120"/>
      <c r="GMF3" s="120"/>
      <c r="GMG3" s="120"/>
      <c r="GMH3" s="120"/>
      <c r="GMI3" s="120"/>
      <c r="GMJ3" s="120"/>
      <c r="GMK3" s="120"/>
      <c r="GML3" s="120"/>
      <c r="GMM3" s="120"/>
      <c r="GMN3" s="120"/>
      <c r="GMO3" s="120"/>
      <c r="GMP3" s="120"/>
      <c r="GMQ3" s="120"/>
      <c r="GMR3" s="120"/>
      <c r="GMS3" s="120"/>
      <c r="GMT3" s="120"/>
      <c r="GMU3" s="120"/>
      <c r="GMV3" s="120"/>
      <c r="GMW3" s="120"/>
      <c r="GMX3" s="120"/>
      <c r="GMY3" s="120"/>
      <c r="GMZ3" s="120"/>
      <c r="GNA3" s="120"/>
      <c r="GNB3" s="120"/>
      <c r="GNC3" s="120"/>
      <c r="GND3" s="120"/>
      <c r="GNE3" s="120"/>
      <c r="GNF3" s="120"/>
      <c r="GNG3" s="120"/>
      <c r="GNH3" s="120"/>
      <c r="GNI3" s="120"/>
      <c r="GNJ3" s="120"/>
      <c r="GNK3" s="120"/>
      <c r="GNL3" s="120"/>
      <c r="GNM3" s="120"/>
      <c r="GNN3" s="120"/>
      <c r="GNO3" s="120"/>
      <c r="GNP3" s="120"/>
      <c r="GNQ3" s="120"/>
      <c r="GNR3" s="120"/>
      <c r="GNS3" s="120"/>
      <c r="GNT3" s="120"/>
      <c r="GNU3" s="120"/>
      <c r="GNV3" s="120"/>
      <c r="GNW3" s="120"/>
      <c r="GNX3" s="120"/>
      <c r="GNY3" s="120"/>
      <c r="GNZ3" s="120"/>
      <c r="GOA3" s="120"/>
      <c r="GOB3" s="120"/>
      <c r="GOC3" s="120"/>
      <c r="GOD3" s="120"/>
      <c r="GOE3" s="120"/>
      <c r="GOF3" s="120"/>
      <c r="GOG3" s="120"/>
      <c r="GOH3" s="120"/>
      <c r="GOI3" s="120"/>
      <c r="GOJ3" s="120"/>
      <c r="GOK3" s="120"/>
      <c r="GOL3" s="120"/>
      <c r="GOM3" s="120"/>
      <c r="GON3" s="120"/>
      <c r="GOO3" s="120"/>
      <c r="GOP3" s="120"/>
      <c r="GOQ3" s="120"/>
      <c r="GOR3" s="120"/>
      <c r="GOS3" s="120"/>
      <c r="GOT3" s="120"/>
      <c r="GOU3" s="120"/>
      <c r="GOV3" s="120"/>
      <c r="GOW3" s="120"/>
      <c r="GOX3" s="120"/>
      <c r="GOY3" s="120"/>
      <c r="GOZ3" s="120"/>
      <c r="GPA3" s="120"/>
      <c r="GPB3" s="120"/>
      <c r="GPC3" s="120"/>
      <c r="GPD3" s="120"/>
      <c r="GPE3" s="120"/>
      <c r="GPF3" s="120"/>
      <c r="GPG3" s="120"/>
      <c r="GPH3" s="120"/>
      <c r="GPI3" s="120"/>
      <c r="GPJ3" s="120"/>
      <c r="GPK3" s="120"/>
      <c r="GPL3" s="120"/>
      <c r="GPM3" s="120"/>
      <c r="GPN3" s="120"/>
      <c r="GPO3" s="120"/>
      <c r="GPP3" s="120"/>
      <c r="GPQ3" s="120"/>
      <c r="GPR3" s="120"/>
      <c r="GPS3" s="120"/>
      <c r="GPT3" s="120"/>
      <c r="GPU3" s="120"/>
      <c r="GPV3" s="120"/>
      <c r="GPW3" s="120"/>
      <c r="GPX3" s="120"/>
      <c r="GPY3" s="120"/>
      <c r="GPZ3" s="120"/>
      <c r="GQA3" s="120"/>
      <c r="GQB3" s="120"/>
      <c r="GQC3" s="120"/>
      <c r="GQD3" s="120"/>
      <c r="GQE3" s="120"/>
      <c r="GQF3" s="120"/>
      <c r="GQG3" s="120"/>
      <c r="GQH3" s="120"/>
      <c r="GQI3" s="120"/>
      <c r="GQJ3" s="120"/>
      <c r="GQK3" s="120"/>
      <c r="GQL3" s="120"/>
      <c r="GQM3" s="120"/>
      <c r="GQN3" s="120"/>
      <c r="GQO3" s="120"/>
      <c r="GQP3" s="120"/>
      <c r="GQQ3" s="120"/>
      <c r="GQR3" s="120"/>
      <c r="GQS3" s="120"/>
      <c r="GQT3" s="120"/>
      <c r="GQU3" s="120"/>
      <c r="GQV3" s="120"/>
      <c r="GQW3" s="120"/>
      <c r="GQX3" s="120"/>
      <c r="GQY3" s="120"/>
      <c r="GQZ3" s="120"/>
      <c r="GRA3" s="120"/>
      <c r="GRB3" s="120"/>
      <c r="GRC3" s="120"/>
      <c r="GRD3" s="120"/>
      <c r="GRE3" s="120"/>
      <c r="GRF3" s="120"/>
      <c r="GRG3" s="120"/>
      <c r="GRH3" s="120"/>
      <c r="GRI3" s="120"/>
      <c r="GRJ3" s="120"/>
      <c r="GRK3" s="120"/>
      <c r="GRL3" s="120"/>
      <c r="GRM3" s="120"/>
      <c r="GRN3" s="120"/>
      <c r="GRO3" s="120"/>
      <c r="GRP3" s="120"/>
      <c r="GRQ3" s="120"/>
      <c r="GRR3" s="120"/>
      <c r="GRS3" s="120"/>
      <c r="GRT3" s="120"/>
      <c r="GRU3" s="120"/>
      <c r="GRV3" s="120"/>
      <c r="GRW3" s="120"/>
      <c r="GRX3" s="120"/>
      <c r="GRY3" s="120"/>
      <c r="GRZ3" s="120"/>
      <c r="GSA3" s="120"/>
      <c r="GSB3" s="120"/>
      <c r="GSC3" s="120"/>
      <c r="GSD3" s="120"/>
      <c r="GSE3" s="120"/>
      <c r="GSF3" s="120"/>
      <c r="GSG3" s="120"/>
      <c r="GSH3" s="120"/>
      <c r="GSI3" s="120"/>
      <c r="GSJ3" s="120"/>
      <c r="GSK3" s="120"/>
      <c r="GSL3" s="120"/>
      <c r="GSM3" s="120"/>
      <c r="GSN3" s="120"/>
      <c r="GSO3" s="120"/>
      <c r="GSP3" s="120"/>
      <c r="GSQ3" s="120"/>
      <c r="GSR3" s="120"/>
      <c r="GSS3" s="120"/>
      <c r="GST3" s="120"/>
      <c r="GSU3" s="120"/>
      <c r="GSV3" s="120"/>
      <c r="GSW3" s="120"/>
      <c r="GSX3" s="120"/>
      <c r="GSY3" s="120"/>
      <c r="GSZ3" s="120"/>
      <c r="GTA3" s="120"/>
      <c r="GTB3" s="120"/>
      <c r="GTC3" s="120"/>
      <c r="GTD3" s="120"/>
      <c r="GTE3" s="120"/>
      <c r="GTF3" s="120"/>
      <c r="GTG3" s="120"/>
      <c r="GTH3" s="120"/>
      <c r="GTI3" s="120"/>
      <c r="GTJ3" s="120"/>
      <c r="GTK3" s="120"/>
      <c r="GTL3" s="120"/>
      <c r="GTM3" s="120"/>
      <c r="GTN3" s="120"/>
      <c r="GTO3" s="120"/>
      <c r="GTP3" s="120"/>
      <c r="GTQ3" s="120"/>
      <c r="GTR3" s="120"/>
      <c r="GTS3" s="120"/>
      <c r="GTT3" s="120"/>
      <c r="GTU3" s="120"/>
      <c r="GTV3" s="120"/>
      <c r="GTW3" s="120"/>
      <c r="GTX3" s="120"/>
      <c r="GTY3" s="120"/>
      <c r="GTZ3" s="120"/>
      <c r="GUA3" s="120"/>
      <c r="GUB3" s="120"/>
      <c r="GUC3" s="120"/>
      <c r="GUD3" s="120"/>
      <c r="GUE3" s="120"/>
      <c r="GUF3" s="120"/>
      <c r="GUG3" s="120"/>
      <c r="GUH3" s="120"/>
      <c r="GUI3" s="120"/>
      <c r="GUJ3" s="120"/>
      <c r="GUK3" s="120"/>
      <c r="GUL3" s="120"/>
      <c r="GUM3" s="120"/>
      <c r="GUN3" s="120"/>
      <c r="GUO3" s="120"/>
      <c r="GUP3" s="120"/>
      <c r="GUQ3" s="120"/>
      <c r="GUR3" s="120"/>
      <c r="GUS3" s="120"/>
      <c r="GUT3" s="120"/>
      <c r="GUU3" s="120"/>
      <c r="GUV3" s="120"/>
      <c r="GUW3" s="120"/>
      <c r="GUX3" s="120"/>
      <c r="GUY3" s="120"/>
      <c r="GUZ3" s="120"/>
      <c r="GVA3" s="120"/>
      <c r="GVB3" s="120"/>
      <c r="GVC3" s="120"/>
      <c r="GVD3" s="120"/>
      <c r="GVE3" s="120"/>
      <c r="GVF3" s="120"/>
      <c r="GVG3" s="120"/>
      <c r="GVH3" s="120"/>
      <c r="GVI3" s="120"/>
      <c r="GVJ3" s="120"/>
      <c r="GVK3" s="120"/>
      <c r="GVL3" s="120"/>
      <c r="GVM3" s="120"/>
      <c r="GVN3" s="120"/>
      <c r="GVO3" s="120"/>
      <c r="GVP3" s="120"/>
      <c r="GVQ3" s="120"/>
      <c r="GVR3" s="120"/>
      <c r="GVS3" s="120"/>
      <c r="GVT3" s="120"/>
      <c r="GVU3" s="120"/>
      <c r="GVV3" s="120"/>
      <c r="GVW3" s="120"/>
      <c r="GVX3" s="120"/>
      <c r="GVY3" s="120"/>
      <c r="GVZ3" s="120"/>
      <c r="GWA3" s="120"/>
      <c r="GWB3" s="120"/>
      <c r="GWC3" s="120"/>
      <c r="GWD3" s="120"/>
      <c r="GWE3" s="120"/>
      <c r="GWF3" s="120"/>
      <c r="GWG3" s="120"/>
      <c r="GWH3" s="120"/>
      <c r="GWI3" s="120"/>
      <c r="GWJ3" s="120"/>
      <c r="GWK3" s="120"/>
      <c r="GWL3" s="120"/>
      <c r="GWM3" s="120"/>
      <c r="GWN3" s="120"/>
      <c r="GWO3" s="120"/>
      <c r="GWP3" s="120"/>
      <c r="GWQ3" s="120"/>
      <c r="GWR3" s="120"/>
      <c r="GWS3" s="120"/>
      <c r="GWT3" s="120"/>
      <c r="GWU3" s="120"/>
      <c r="GWV3" s="120"/>
      <c r="GWW3" s="120"/>
      <c r="GWX3" s="120"/>
      <c r="GWY3" s="120"/>
      <c r="GWZ3" s="120"/>
      <c r="GXA3" s="120"/>
      <c r="GXB3" s="120"/>
      <c r="GXC3" s="120"/>
      <c r="GXD3" s="120"/>
      <c r="GXE3" s="120"/>
      <c r="GXF3" s="120"/>
      <c r="GXG3" s="120"/>
      <c r="GXH3" s="120"/>
      <c r="GXI3" s="120"/>
      <c r="GXJ3" s="120"/>
      <c r="GXK3" s="120"/>
      <c r="GXL3" s="120"/>
      <c r="GXM3" s="120"/>
      <c r="GXN3" s="120"/>
      <c r="GXO3" s="120"/>
      <c r="GXP3" s="120"/>
      <c r="GXQ3" s="120"/>
      <c r="GXR3" s="120"/>
      <c r="GXS3" s="120"/>
      <c r="GXT3" s="120"/>
      <c r="GXU3" s="120"/>
      <c r="GXV3" s="120"/>
      <c r="GXW3" s="120"/>
      <c r="GXX3" s="120"/>
      <c r="GXY3" s="120"/>
      <c r="GXZ3" s="120"/>
      <c r="GYA3" s="120"/>
      <c r="GYB3" s="120"/>
      <c r="GYC3" s="120"/>
      <c r="GYD3" s="120"/>
      <c r="GYE3" s="120"/>
      <c r="GYF3" s="120"/>
      <c r="GYG3" s="120"/>
      <c r="GYH3" s="120"/>
      <c r="GYI3" s="120"/>
      <c r="GYJ3" s="120"/>
      <c r="GYK3" s="120"/>
      <c r="GYL3" s="120"/>
      <c r="GYM3" s="120"/>
      <c r="GYN3" s="120"/>
      <c r="GYO3" s="120"/>
      <c r="GYP3" s="120"/>
      <c r="GYQ3" s="120"/>
      <c r="GYR3" s="120"/>
      <c r="GYS3" s="120"/>
      <c r="GYT3" s="120"/>
      <c r="GYU3" s="120"/>
      <c r="GYV3" s="120"/>
      <c r="GYW3" s="120"/>
      <c r="GYX3" s="120"/>
      <c r="GYY3" s="120"/>
      <c r="GYZ3" s="120"/>
      <c r="GZA3" s="120"/>
      <c r="GZB3" s="120"/>
      <c r="GZC3" s="120"/>
      <c r="GZD3" s="120"/>
      <c r="GZE3" s="120"/>
      <c r="GZF3" s="120"/>
      <c r="GZG3" s="120"/>
      <c r="GZH3" s="120"/>
      <c r="GZI3" s="120"/>
      <c r="GZJ3" s="120"/>
      <c r="GZK3" s="120"/>
      <c r="GZL3" s="120"/>
      <c r="GZM3" s="120"/>
      <c r="GZN3" s="120"/>
      <c r="GZO3" s="120"/>
      <c r="GZP3" s="120"/>
      <c r="GZQ3" s="120"/>
      <c r="GZR3" s="120"/>
      <c r="GZS3" s="120"/>
      <c r="GZT3" s="120"/>
      <c r="GZU3" s="120"/>
      <c r="GZV3" s="120"/>
      <c r="GZW3" s="120"/>
      <c r="GZX3" s="120"/>
      <c r="GZY3" s="120"/>
      <c r="GZZ3" s="120"/>
      <c r="HAA3" s="120"/>
      <c r="HAB3" s="120"/>
      <c r="HAC3" s="120"/>
      <c r="HAD3" s="120"/>
      <c r="HAE3" s="120"/>
      <c r="HAF3" s="120"/>
      <c r="HAG3" s="120"/>
      <c r="HAH3" s="120"/>
      <c r="HAI3" s="120"/>
      <c r="HAJ3" s="120"/>
      <c r="HAK3" s="120"/>
      <c r="HAL3" s="120"/>
      <c r="HAM3" s="120"/>
      <c r="HAN3" s="120"/>
      <c r="HAO3" s="120"/>
      <c r="HAP3" s="120"/>
      <c r="HAQ3" s="120"/>
      <c r="HAR3" s="120"/>
      <c r="HAS3" s="120"/>
      <c r="HAT3" s="120"/>
      <c r="HAU3" s="120"/>
      <c r="HAV3" s="120"/>
      <c r="HAW3" s="120"/>
      <c r="HAX3" s="120"/>
      <c r="HAY3" s="120"/>
      <c r="HAZ3" s="120"/>
      <c r="HBA3" s="120"/>
      <c r="HBB3" s="120"/>
      <c r="HBC3" s="120"/>
      <c r="HBD3" s="120"/>
      <c r="HBE3" s="120"/>
      <c r="HBF3" s="120"/>
      <c r="HBG3" s="120"/>
      <c r="HBH3" s="120"/>
      <c r="HBI3" s="120"/>
      <c r="HBJ3" s="120"/>
      <c r="HBK3" s="120"/>
      <c r="HBL3" s="120"/>
      <c r="HBM3" s="120"/>
      <c r="HBN3" s="120"/>
      <c r="HBO3" s="120"/>
      <c r="HBP3" s="120"/>
      <c r="HBQ3" s="120"/>
      <c r="HBR3" s="120"/>
      <c r="HBS3" s="120"/>
      <c r="HBT3" s="120"/>
      <c r="HBU3" s="120"/>
      <c r="HBV3" s="120"/>
      <c r="HBW3" s="120"/>
      <c r="HBX3" s="120"/>
      <c r="HBY3" s="120"/>
      <c r="HBZ3" s="120"/>
      <c r="HCA3" s="120"/>
      <c r="HCB3" s="120"/>
      <c r="HCC3" s="120"/>
      <c r="HCD3" s="120"/>
      <c r="HCE3" s="120"/>
      <c r="HCF3" s="120"/>
      <c r="HCG3" s="120"/>
      <c r="HCH3" s="120"/>
      <c r="HCI3" s="120"/>
      <c r="HCJ3" s="120"/>
      <c r="HCK3" s="120"/>
      <c r="HCL3" s="120"/>
      <c r="HCM3" s="120"/>
      <c r="HCN3" s="120"/>
      <c r="HCO3" s="120"/>
      <c r="HCP3" s="120"/>
      <c r="HCQ3" s="120"/>
      <c r="HCR3" s="120"/>
      <c r="HCS3" s="120"/>
      <c r="HCT3" s="120"/>
      <c r="HCU3" s="120"/>
      <c r="HCV3" s="120"/>
      <c r="HCW3" s="120"/>
      <c r="HCX3" s="120"/>
      <c r="HCY3" s="120"/>
      <c r="HCZ3" s="120"/>
      <c r="HDA3" s="120"/>
      <c r="HDB3" s="120"/>
      <c r="HDC3" s="120"/>
      <c r="HDD3" s="120"/>
      <c r="HDE3" s="120"/>
      <c r="HDF3" s="120"/>
      <c r="HDG3" s="120"/>
      <c r="HDH3" s="120"/>
      <c r="HDI3" s="120"/>
      <c r="HDJ3" s="120"/>
      <c r="HDK3" s="120"/>
      <c r="HDL3" s="120"/>
      <c r="HDM3" s="120"/>
      <c r="HDN3" s="120"/>
      <c r="HDO3" s="120"/>
      <c r="HDP3" s="120"/>
      <c r="HDQ3" s="120"/>
      <c r="HDR3" s="120"/>
      <c r="HDS3" s="120"/>
      <c r="HDT3" s="120"/>
      <c r="HDU3" s="120"/>
      <c r="HDV3" s="120"/>
      <c r="HDW3" s="120"/>
      <c r="HDX3" s="120"/>
      <c r="HDY3" s="120"/>
      <c r="HDZ3" s="120"/>
      <c r="HEA3" s="120"/>
      <c r="HEB3" s="120"/>
      <c r="HEC3" s="120"/>
      <c r="HED3" s="120"/>
      <c r="HEE3" s="120"/>
      <c r="HEF3" s="120"/>
      <c r="HEG3" s="120"/>
      <c r="HEH3" s="120"/>
      <c r="HEI3" s="120"/>
      <c r="HEJ3" s="120"/>
      <c r="HEK3" s="120"/>
      <c r="HEL3" s="120"/>
      <c r="HEM3" s="120"/>
      <c r="HEN3" s="120"/>
      <c r="HEO3" s="120"/>
      <c r="HEP3" s="120"/>
      <c r="HEQ3" s="120"/>
      <c r="HER3" s="120"/>
      <c r="HES3" s="120"/>
      <c r="HET3" s="120"/>
      <c r="HEU3" s="120"/>
      <c r="HEV3" s="120"/>
      <c r="HEW3" s="120"/>
      <c r="HEX3" s="120"/>
      <c r="HEY3" s="120"/>
      <c r="HEZ3" s="120"/>
      <c r="HFA3" s="120"/>
      <c r="HFB3" s="120"/>
      <c r="HFC3" s="120"/>
      <c r="HFD3" s="120"/>
      <c r="HFE3" s="120"/>
      <c r="HFF3" s="120"/>
      <c r="HFG3" s="120"/>
      <c r="HFH3" s="120"/>
      <c r="HFI3" s="120"/>
      <c r="HFJ3" s="120"/>
      <c r="HFK3" s="120"/>
      <c r="HFL3" s="120"/>
      <c r="HFM3" s="120"/>
      <c r="HFN3" s="120"/>
      <c r="HFO3" s="120"/>
      <c r="HFP3" s="120"/>
      <c r="HFQ3" s="120"/>
      <c r="HFR3" s="120"/>
      <c r="HFS3" s="120"/>
      <c r="HFT3" s="120"/>
      <c r="HFU3" s="120"/>
      <c r="HFV3" s="120"/>
      <c r="HFW3" s="120"/>
      <c r="HFX3" s="120"/>
      <c r="HFY3" s="120"/>
      <c r="HFZ3" s="120"/>
      <c r="HGA3" s="120"/>
      <c r="HGB3" s="120"/>
      <c r="HGC3" s="120"/>
      <c r="HGD3" s="120"/>
      <c r="HGE3" s="120"/>
      <c r="HGF3" s="120"/>
      <c r="HGG3" s="120"/>
      <c r="HGH3" s="120"/>
      <c r="HGI3" s="120"/>
      <c r="HGJ3" s="120"/>
      <c r="HGK3" s="120"/>
      <c r="HGL3" s="120"/>
      <c r="HGM3" s="120"/>
      <c r="HGN3" s="120"/>
      <c r="HGO3" s="120"/>
      <c r="HGP3" s="120"/>
      <c r="HGQ3" s="120"/>
      <c r="HGR3" s="120"/>
      <c r="HGS3" s="120"/>
      <c r="HGT3" s="120"/>
      <c r="HGU3" s="120"/>
      <c r="HGV3" s="120"/>
      <c r="HGW3" s="120"/>
      <c r="HGX3" s="120"/>
      <c r="HGY3" s="120"/>
      <c r="HGZ3" s="120"/>
      <c r="HHA3" s="120"/>
      <c r="HHB3" s="120"/>
      <c r="HHC3" s="120"/>
      <c r="HHD3" s="120"/>
      <c r="HHE3" s="120"/>
      <c r="HHF3" s="120"/>
      <c r="HHG3" s="120"/>
      <c r="HHH3" s="120"/>
      <c r="HHI3" s="120"/>
      <c r="HHJ3" s="120"/>
      <c r="HHK3" s="120"/>
      <c r="HHL3" s="120"/>
      <c r="HHM3" s="120"/>
      <c r="HHN3" s="120"/>
      <c r="HHO3" s="120"/>
      <c r="HHP3" s="120"/>
      <c r="HHQ3" s="120"/>
      <c r="HHR3" s="120"/>
      <c r="HHS3" s="120"/>
      <c r="HHT3" s="120"/>
      <c r="HHU3" s="120"/>
      <c r="HHV3" s="120"/>
      <c r="HHW3" s="120"/>
      <c r="HHX3" s="120"/>
      <c r="HHY3" s="120"/>
      <c r="HHZ3" s="120"/>
      <c r="HIA3" s="120"/>
      <c r="HIB3" s="120"/>
      <c r="HIC3" s="120"/>
      <c r="HID3" s="120"/>
      <c r="HIE3" s="120"/>
      <c r="HIF3" s="120"/>
      <c r="HIG3" s="120"/>
      <c r="HIH3" s="120"/>
      <c r="HII3" s="120"/>
      <c r="HIJ3" s="120"/>
      <c r="HIK3" s="120"/>
      <c r="HIL3" s="120"/>
      <c r="HIM3" s="120"/>
      <c r="HIN3" s="120"/>
      <c r="HIO3" s="120"/>
      <c r="HIP3" s="120"/>
      <c r="HIQ3" s="120"/>
      <c r="HIR3" s="120"/>
      <c r="HIS3" s="120"/>
      <c r="HIT3" s="120"/>
      <c r="HIU3" s="120"/>
      <c r="HIV3" s="120"/>
      <c r="HIW3" s="120"/>
      <c r="HIX3" s="120"/>
      <c r="HIY3" s="120"/>
      <c r="HIZ3" s="120"/>
      <c r="HJA3" s="120"/>
      <c r="HJB3" s="120"/>
      <c r="HJC3" s="120"/>
      <c r="HJD3" s="120"/>
      <c r="HJE3" s="120"/>
      <c r="HJF3" s="120"/>
      <c r="HJG3" s="120"/>
      <c r="HJH3" s="120"/>
      <c r="HJI3" s="120"/>
      <c r="HJJ3" s="120"/>
      <c r="HJK3" s="120"/>
      <c r="HJL3" s="120"/>
      <c r="HJM3" s="120"/>
      <c r="HJN3" s="120"/>
      <c r="HJO3" s="120"/>
      <c r="HJP3" s="120"/>
      <c r="HJQ3" s="120"/>
      <c r="HJR3" s="120"/>
      <c r="HJS3" s="120"/>
      <c r="HJT3" s="120"/>
      <c r="HJU3" s="120"/>
      <c r="HJV3" s="120"/>
      <c r="HJW3" s="120"/>
      <c r="HJX3" s="120"/>
      <c r="HJY3" s="120"/>
      <c r="HJZ3" s="120"/>
      <c r="HKA3" s="120"/>
      <c r="HKB3" s="120"/>
      <c r="HKC3" s="120"/>
      <c r="HKD3" s="120"/>
      <c r="HKE3" s="120"/>
      <c r="HKF3" s="120"/>
      <c r="HKG3" s="120"/>
      <c r="HKH3" s="120"/>
      <c r="HKI3" s="120"/>
      <c r="HKJ3" s="120"/>
      <c r="HKK3" s="120"/>
      <c r="HKL3" s="120"/>
      <c r="HKM3" s="120"/>
      <c r="HKN3" s="120"/>
      <c r="HKO3" s="120"/>
      <c r="HKP3" s="120"/>
      <c r="HKQ3" s="120"/>
      <c r="HKR3" s="120"/>
      <c r="HKS3" s="120"/>
      <c r="HKT3" s="120"/>
      <c r="HKU3" s="120"/>
      <c r="HKV3" s="120"/>
      <c r="HKW3" s="120"/>
      <c r="HKX3" s="120"/>
      <c r="HKY3" s="120"/>
      <c r="HKZ3" s="120"/>
      <c r="HLA3" s="120"/>
      <c r="HLB3" s="120"/>
      <c r="HLC3" s="120"/>
      <c r="HLD3" s="120"/>
      <c r="HLE3" s="120"/>
      <c r="HLF3" s="120"/>
      <c r="HLG3" s="120"/>
      <c r="HLH3" s="120"/>
      <c r="HLI3" s="120"/>
      <c r="HLJ3" s="120"/>
      <c r="HLK3" s="120"/>
      <c r="HLL3" s="120"/>
      <c r="HLM3" s="120"/>
      <c r="HLN3" s="120"/>
      <c r="HLO3" s="120"/>
      <c r="HLP3" s="120"/>
      <c r="HLQ3" s="120"/>
      <c r="HLR3" s="120"/>
      <c r="HLS3" s="120"/>
      <c r="HLT3" s="120"/>
      <c r="HLU3" s="120"/>
      <c r="HLV3" s="120"/>
      <c r="HLW3" s="120"/>
      <c r="HLX3" s="120"/>
      <c r="HLY3" s="120"/>
      <c r="HLZ3" s="120"/>
      <c r="HMA3" s="120"/>
      <c r="HMB3" s="120"/>
      <c r="HMC3" s="120"/>
      <c r="HMD3" s="120"/>
      <c r="HME3" s="120"/>
      <c r="HMF3" s="120"/>
      <c r="HMG3" s="120"/>
      <c r="HMH3" s="120"/>
      <c r="HMI3" s="120"/>
      <c r="HMJ3" s="120"/>
      <c r="HMK3" s="120"/>
      <c r="HML3" s="120"/>
      <c r="HMM3" s="120"/>
      <c r="HMN3" s="120"/>
      <c r="HMO3" s="120"/>
      <c r="HMP3" s="120"/>
      <c r="HMQ3" s="120"/>
      <c r="HMR3" s="120"/>
      <c r="HMS3" s="120"/>
      <c r="HMT3" s="120"/>
      <c r="HMU3" s="120"/>
      <c r="HMV3" s="120"/>
      <c r="HMW3" s="120"/>
      <c r="HMX3" s="120"/>
      <c r="HMY3" s="120"/>
      <c r="HMZ3" s="120"/>
      <c r="HNA3" s="120"/>
      <c r="HNB3" s="120"/>
      <c r="HNC3" s="120"/>
      <c r="HND3" s="120"/>
      <c r="HNE3" s="120"/>
      <c r="HNF3" s="120"/>
      <c r="HNG3" s="120"/>
      <c r="HNH3" s="120"/>
      <c r="HNI3" s="120"/>
      <c r="HNJ3" s="120"/>
      <c r="HNK3" s="120"/>
      <c r="HNL3" s="120"/>
      <c r="HNM3" s="120"/>
      <c r="HNN3" s="120"/>
      <c r="HNO3" s="120"/>
      <c r="HNP3" s="120"/>
      <c r="HNQ3" s="120"/>
      <c r="HNR3" s="120"/>
      <c r="HNS3" s="120"/>
      <c r="HNT3" s="120"/>
      <c r="HNU3" s="120"/>
      <c r="HNV3" s="120"/>
      <c r="HNW3" s="120"/>
      <c r="HNX3" s="120"/>
      <c r="HNY3" s="120"/>
      <c r="HNZ3" s="120"/>
      <c r="HOA3" s="120"/>
      <c r="HOB3" s="120"/>
      <c r="HOC3" s="120"/>
      <c r="HOD3" s="120"/>
      <c r="HOE3" s="120"/>
      <c r="HOF3" s="120"/>
      <c r="HOG3" s="120"/>
      <c r="HOH3" s="120"/>
      <c r="HOI3" s="120"/>
      <c r="HOJ3" s="120"/>
      <c r="HOK3" s="120"/>
      <c r="HOL3" s="120"/>
      <c r="HOM3" s="120"/>
      <c r="HON3" s="120"/>
      <c r="HOO3" s="120"/>
      <c r="HOP3" s="120"/>
      <c r="HOQ3" s="120"/>
      <c r="HOR3" s="120"/>
      <c r="HOS3" s="120"/>
      <c r="HOT3" s="120"/>
      <c r="HOU3" s="120"/>
      <c r="HOV3" s="120"/>
      <c r="HOW3" s="120"/>
      <c r="HOX3" s="120"/>
      <c r="HOY3" s="120"/>
      <c r="HOZ3" s="120"/>
      <c r="HPA3" s="120"/>
      <c r="HPB3" s="120"/>
      <c r="HPC3" s="120"/>
      <c r="HPD3" s="120"/>
      <c r="HPE3" s="120"/>
      <c r="HPF3" s="120"/>
      <c r="HPG3" s="120"/>
      <c r="HPH3" s="120"/>
      <c r="HPI3" s="120"/>
      <c r="HPJ3" s="120"/>
      <c r="HPK3" s="120"/>
      <c r="HPL3" s="120"/>
      <c r="HPM3" s="120"/>
      <c r="HPN3" s="120"/>
      <c r="HPO3" s="120"/>
      <c r="HPP3" s="120"/>
      <c r="HPQ3" s="120"/>
      <c r="HPR3" s="120"/>
      <c r="HPS3" s="120"/>
      <c r="HPT3" s="120"/>
      <c r="HPU3" s="120"/>
      <c r="HPV3" s="120"/>
      <c r="HPW3" s="120"/>
      <c r="HPX3" s="120"/>
      <c r="HPY3" s="120"/>
      <c r="HPZ3" s="120"/>
      <c r="HQA3" s="120"/>
      <c r="HQB3" s="120"/>
      <c r="HQC3" s="120"/>
      <c r="HQD3" s="120"/>
      <c r="HQE3" s="120"/>
      <c r="HQF3" s="120"/>
      <c r="HQG3" s="120"/>
      <c r="HQH3" s="120"/>
      <c r="HQI3" s="120"/>
      <c r="HQJ3" s="120"/>
      <c r="HQK3" s="120"/>
      <c r="HQL3" s="120"/>
      <c r="HQM3" s="120"/>
      <c r="HQN3" s="120"/>
      <c r="HQO3" s="120"/>
      <c r="HQP3" s="120"/>
      <c r="HQQ3" s="120"/>
      <c r="HQR3" s="120"/>
      <c r="HQS3" s="120"/>
      <c r="HQT3" s="120"/>
      <c r="HQU3" s="120"/>
      <c r="HQV3" s="120"/>
      <c r="HQW3" s="120"/>
      <c r="HQX3" s="120"/>
      <c r="HQY3" s="120"/>
      <c r="HQZ3" s="120"/>
      <c r="HRA3" s="120"/>
      <c r="HRB3" s="120"/>
      <c r="HRC3" s="120"/>
      <c r="HRD3" s="120"/>
      <c r="HRE3" s="120"/>
      <c r="HRF3" s="120"/>
      <c r="HRG3" s="120"/>
      <c r="HRH3" s="120"/>
      <c r="HRI3" s="120"/>
      <c r="HRJ3" s="120"/>
      <c r="HRK3" s="120"/>
      <c r="HRL3" s="120"/>
      <c r="HRM3" s="120"/>
      <c r="HRN3" s="120"/>
      <c r="HRO3" s="120"/>
      <c r="HRP3" s="120"/>
      <c r="HRQ3" s="120"/>
      <c r="HRR3" s="120"/>
      <c r="HRS3" s="120"/>
      <c r="HRT3" s="120"/>
      <c r="HRU3" s="120"/>
      <c r="HRV3" s="120"/>
      <c r="HRW3" s="120"/>
      <c r="HRX3" s="120"/>
      <c r="HRY3" s="120"/>
      <c r="HRZ3" s="120"/>
      <c r="HSA3" s="120"/>
      <c r="HSB3" s="120"/>
      <c r="HSC3" s="120"/>
      <c r="HSD3" s="120"/>
      <c r="HSE3" s="120"/>
      <c r="HSF3" s="120"/>
      <c r="HSG3" s="120"/>
      <c r="HSH3" s="120"/>
      <c r="HSI3" s="120"/>
      <c r="HSJ3" s="120"/>
      <c r="HSK3" s="120"/>
      <c r="HSL3" s="120"/>
      <c r="HSM3" s="120"/>
      <c r="HSN3" s="120"/>
      <c r="HSO3" s="120"/>
      <c r="HSP3" s="120"/>
      <c r="HSQ3" s="120"/>
      <c r="HSR3" s="120"/>
      <c r="HSS3" s="120"/>
      <c r="HST3" s="120"/>
      <c r="HSU3" s="120"/>
      <c r="HSV3" s="120"/>
      <c r="HSW3" s="120"/>
      <c r="HSX3" s="120"/>
      <c r="HSY3" s="120"/>
      <c r="HSZ3" s="120"/>
      <c r="HTA3" s="120"/>
      <c r="HTB3" s="120"/>
      <c r="HTC3" s="120"/>
      <c r="HTD3" s="120"/>
      <c r="HTE3" s="120"/>
      <c r="HTF3" s="120"/>
      <c r="HTG3" s="120"/>
      <c r="HTH3" s="120"/>
      <c r="HTI3" s="120"/>
      <c r="HTJ3" s="120"/>
      <c r="HTK3" s="120"/>
      <c r="HTL3" s="120"/>
      <c r="HTM3" s="120"/>
      <c r="HTN3" s="120"/>
      <c r="HTO3" s="120"/>
      <c r="HTP3" s="120"/>
      <c r="HTQ3" s="120"/>
      <c r="HTR3" s="120"/>
      <c r="HTS3" s="120"/>
      <c r="HTT3" s="120"/>
      <c r="HTU3" s="120"/>
      <c r="HTV3" s="120"/>
      <c r="HTW3" s="120"/>
      <c r="HTX3" s="120"/>
      <c r="HTY3" s="120"/>
      <c r="HTZ3" s="120"/>
      <c r="HUA3" s="120"/>
      <c r="HUB3" s="120"/>
      <c r="HUC3" s="120"/>
      <c r="HUD3" s="120"/>
      <c r="HUE3" s="120"/>
      <c r="HUF3" s="120"/>
      <c r="HUG3" s="120"/>
      <c r="HUH3" s="120"/>
      <c r="HUI3" s="120"/>
      <c r="HUJ3" s="120"/>
      <c r="HUK3" s="120"/>
      <c r="HUL3" s="120"/>
      <c r="HUM3" s="120"/>
      <c r="HUN3" s="120"/>
      <c r="HUO3" s="120"/>
      <c r="HUP3" s="120"/>
      <c r="HUQ3" s="120"/>
      <c r="HUR3" s="120"/>
      <c r="HUS3" s="120"/>
      <c r="HUT3" s="120"/>
      <c r="HUU3" s="120"/>
      <c r="HUV3" s="120"/>
      <c r="HUW3" s="120"/>
      <c r="HUX3" s="120"/>
      <c r="HUY3" s="120"/>
      <c r="HUZ3" s="120"/>
      <c r="HVA3" s="120"/>
      <c r="HVB3" s="120"/>
      <c r="HVC3" s="120"/>
      <c r="HVD3" s="120"/>
      <c r="HVE3" s="120"/>
      <c r="HVF3" s="120"/>
      <c r="HVG3" s="120"/>
      <c r="HVH3" s="120"/>
      <c r="HVI3" s="120"/>
      <c r="HVJ3" s="120"/>
      <c r="HVK3" s="120"/>
      <c r="HVL3" s="120"/>
      <c r="HVM3" s="120"/>
      <c r="HVN3" s="120"/>
      <c r="HVO3" s="120"/>
      <c r="HVP3" s="120"/>
      <c r="HVQ3" s="120"/>
      <c r="HVR3" s="120"/>
      <c r="HVS3" s="120"/>
      <c r="HVT3" s="120"/>
      <c r="HVU3" s="120"/>
      <c r="HVV3" s="120"/>
      <c r="HVW3" s="120"/>
      <c r="HVX3" s="120"/>
      <c r="HVY3" s="120"/>
      <c r="HVZ3" s="120"/>
      <c r="HWA3" s="120"/>
      <c r="HWB3" s="120"/>
      <c r="HWC3" s="120"/>
      <c r="HWD3" s="120"/>
      <c r="HWE3" s="120"/>
      <c r="HWF3" s="120"/>
      <c r="HWG3" s="120"/>
      <c r="HWH3" s="120"/>
      <c r="HWI3" s="120"/>
      <c r="HWJ3" s="120"/>
      <c r="HWK3" s="120"/>
      <c r="HWL3" s="120"/>
      <c r="HWM3" s="120"/>
      <c r="HWN3" s="120"/>
      <c r="HWO3" s="120"/>
      <c r="HWP3" s="120"/>
      <c r="HWQ3" s="120"/>
      <c r="HWR3" s="120"/>
      <c r="HWS3" s="120"/>
      <c r="HWT3" s="120"/>
      <c r="HWU3" s="120"/>
      <c r="HWV3" s="120"/>
      <c r="HWW3" s="120"/>
      <c r="HWX3" s="120"/>
      <c r="HWY3" s="120"/>
      <c r="HWZ3" s="120"/>
      <c r="HXA3" s="120"/>
      <c r="HXB3" s="120"/>
      <c r="HXC3" s="120"/>
      <c r="HXD3" s="120"/>
      <c r="HXE3" s="120"/>
      <c r="HXF3" s="120"/>
      <c r="HXG3" s="120"/>
      <c r="HXH3" s="120"/>
      <c r="HXI3" s="120"/>
      <c r="HXJ3" s="120"/>
      <c r="HXK3" s="120"/>
      <c r="HXL3" s="120"/>
      <c r="HXM3" s="120"/>
      <c r="HXN3" s="120"/>
      <c r="HXO3" s="120"/>
      <c r="HXP3" s="120"/>
      <c r="HXQ3" s="120"/>
      <c r="HXR3" s="120"/>
      <c r="HXS3" s="120"/>
      <c r="HXT3" s="120"/>
      <c r="HXU3" s="120"/>
      <c r="HXV3" s="120"/>
      <c r="HXW3" s="120"/>
      <c r="HXX3" s="120"/>
      <c r="HXY3" s="120"/>
      <c r="HXZ3" s="120"/>
      <c r="HYA3" s="120"/>
      <c r="HYB3" s="120"/>
      <c r="HYC3" s="120"/>
      <c r="HYD3" s="120"/>
      <c r="HYE3" s="120"/>
      <c r="HYF3" s="120"/>
      <c r="HYG3" s="120"/>
      <c r="HYH3" s="120"/>
      <c r="HYI3" s="120"/>
      <c r="HYJ3" s="120"/>
      <c r="HYK3" s="120"/>
      <c r="HYL3" s="120"/>
      <c r="HYM3" s="120"/>
      <c r="HYN3" s="120"/>
      <c r="HYO3" s="120"/>
      <c r="HYP3" s="120"/>
      <c r="HYQ3" s="120"/>
      <c r="HYR3" s="120"/>
      <c r="HYS3" s="120"/>
      <c r="HYT3" s="120"/>
      <c r="HYU3" s="120"/>
      <c r="HYV3" s="120"/>
      <c r="HYW3" s="120"/>
      <c r="HYX3" s="120"/>
      <c r="HYY3" s="120"/>
      <c r="HYZ3" s="120"/>
      <c r="HZA3" s="120"/>
      <c r="HZB3" s="120"/>
      <c r="HZC3" s="120"/>
      <c r="HZD3" s="120"/>
      <c r="HZE3" s="120"/>
      <c r="HZF3" s="120"/>
      <c r="HZG3" s="120"/>
      <c r="HZH3" s="120"/>
      <c r="HZI3" s="120"/>
      <c r="HZJ3" s="120"/>
      <c r="HZK3" s="120"/>
      <c r="HZL3" s="120"/>
      <c r="HZM3" s="120"/>
      <c r="HZN3" s="120"/>
      <c r="HZO3" s="120"/>
      <c r="HZP3" s="120"/>
      <c r="HZQ3" s="120"/>
      <c r="HZR3" s="120"/>
      <c r="HZS3" s="120"/>
      <c r="HZT3" s="120"/>
      <c r="HZU3" s="120"/>
      <c r="HZV3" s="120"/>
      <c r="HZW3" s="120"/>
      <c r="HZX3" s="120"/>
      <c r="HZY3" s="120"/>
      <c r="HZZ3" s="120"/>
      <c r="IAA3" s="120"/>
      <c r="IAB3" s="120"/>
      <c r="IAC3" s="120"/>
      <c r="IAD3" s="120"/>
      <c r="IAE3" s="120"/>
      <c r="IAF3" s="120"/>
      <c r="IAG3" s="120"/>
      <c r="IAH3" s="120"/>
      <c r="IAI3" s="120"/>
      <c r="IAJ3" s="120"/>
      <c r="IAK3" s="120"/>
      <c r="IAL3" s="120"/>
      <c r="IAM3" s="120"/>
      <c r="IAN3" s="120"/>
      <c r="IAO3" s="120"/>
      <c r="IAP3" s="120"/>
      <c r="IAQ3" s="120"/>
      <c r="IAR3" s="120"/>
      <c r="IAS3" s="120"/>
      <c r="IAT3" s="120"/>
      <c r="IAU3" s="120"/>
      <c r="IAV3" s="120"/>
      <c r="IAW3" s="120"/>
      <c r="IAX3" s="120"/>
      <c r="IAY3" s="120"/>
      <c r="IAZ3" s="120"/>
      <c r="IBA3" s="120"/>
      <c r="IBB3" s="120"/>
      <c r="IBC3" s="120"/>
      <c r="IBD3" s="120"/>
      <c r="IBE3" s="120"/>
      <c r="IBF3" s="120"/>
      <c r="IBG3" s="120"/>
      <c r="IBH3" s="120"/>
      <c r="IBI3" s="120"/>
      <c r="IBJ3" s="120"/>
      <c r="IBK3" s="120"/>
      <c r="IBL3" s="120"/>
      <c r="IBM3" s="120"/>
      <c r="IBN3" s="120"/>
      <c r="IBO3" s="120"/>
      <c r="IBP3" s="120"/>
      <c r="IBQ3" s="120"/>
      <c r="IBR3" s="120"/>
      <c r="IBS3" s="120"/>
      <c r="IBT3" s="120"/>
      <c r="IBU3" s="120"/>
      <c r="IBV3" s="120"/>
      <c r="IBW3" s="120"/>
      <c r="IBX3" s="120"/>
      <c r="IBY3" s="120"/>
      <c r="IBZ3" s="120"/>
      <c r="ICA3" s="120"/>
      <c r="ICB3" s="120"/>
      <c r="ICC3" s="120"/>
      <c r="ICD3" s="120"/>
      <c r="ICE3" s="120"/>
      <c r="ICF3" s="120"/>
      <c r="ICG3" s="120"/>
      <c r="ICH3" s="120"/>
      <c r="ICI3" s="120"/>
      <c r="ICJ3" s="120"/>
      <c r="ICK3" s="120"/>
      <c r="ICL3" s="120"/>
      <c r="ICM3" s="120"/>
      <c r="ICN3" s="120"/>
      <c r="ICO3" s="120"/>
      <c r="ICP3" s="120"/>
      <c r="ICQ3" s="120"/>
      <c r="ICR3" s="120"/>
      <c r="ICS3" s="120"/>
      <c r="ICT3" s="120"/>
      <c r="ICU3" s="120"/>
      <c r="ICV3" s="120"/>
      <c r="ICW3" s="120"/>
      <c r="ICX3" s="120"/>
      <c r="ICY3" s="120"/>
      <c r="ICZ3" s="120"/>
      <c r="IDA3" s="120"/>
      <c r="IDB3" s="120"/>
      <c r="IDC3" s="120"/>
      <c r="IDD3" s="120"/>
      <c r="IDE3" s="120"/>
      <c r="IDF3" s="120"/>
      <c r="IDG3" s="120"/>
      <c r="IDH3" s="120"/>
      <c r="IDI3" s="120"/>
      <c r="IDJ3" s="120"/>
      <c r="IDK3" s="120"/>
      <c r="IDL3" s="120"/>
      <c r="IDM3" s="120"/>
      <c r="IDN3" s="120"/>
      <c r="IDO3" s="120"/>
      <c r="IDP3" s="120"/>
      <c r="IDQ3" s="120"/>
      <c r="IDR3" s="120"/>
      <c r="IDS3" s="120"/>
      <c r="IDT3" s="120"/>
      <c r="IDU3" s="120"/>
      <c r="IDV3" s="120"/>
      <c r="IDW3" s="120"/>
      <c r="IDX3" s="120"/>
      <c r="IDY3" s="120"/>
      <c r="IDZ3" s="120"/>
      <c r="IEA3" s="120"/>
      <c r="IEB3" s="120"/>
      <c r="IEC3" s="120"/>
      <c r="IED3" s="120"/>
      <c r="IEE3" s="120"/>
      <c r="IEF3" s="120"/>
      <c r="IEG3" s="120"/>
      <c r="IEH3" s="120"/>
      <c r="IEI3" s="120"/>
      <c r="IEJ3" s="120"/>
      <c r="IEK3" s="120"/>
      <c r="IEL3" s="120"/>
      <c r="IEM3" s="120"/>
      <c r="IEN3" s="120"/>
      <c r="IEO3" s="120"/>
      <c r="IEP3" s="120"/>
      <c r="IEQ3" s="120"/>
      <c r="IER3" s="120"/>
      <c r="IES3" s="120"/>
      <c r="IET3" s="120"/>
      <c r="IEU3" s="120"/>
      <c r="IEV3" s="120"/>
      <c r="IEW3" s="120"/>
      <c r="IEX3" s="120"/>
      <c r="IEY3" s="120"/>
      <c r="IEZ3" s="120"/>
      <c r="IFA3" s="120"/>
      <c r="IFB3" s="120"/>
      <c r="IFC3" s="120"/>
      <c r="IFD3" s="120"/>
      <c r="IFE3" s="120"/>
      <c r="IFF3" s="120"/>
      <c r="IFG3" s="120"/>
      <c r="IFH3" s="120"/>
      <c r="IFI3" s="120"/>
      <c r="IFJ3" s="120"/>
      <c r="IFK3" s="120"/>
      <c r="IFL3" s="120"/>
      <c r="IFM3" s="120"/>
      <c r="IFN3" s="120"/>
      <c r="IFO3" s="120"/>
      <c r="IFP3" s="120"/>
      <c r="IFQ3" s="120"/>
      <c r="IFR3" s="120"/>
      <c r="IFS3" s="120"/>
      <c r="IFT3" s="120"/>
      <c r="IFU3" s="120"/>
      <c r="IFV3" s="120"/>
      <c r="IFW3" s="120"/>
      <c r="IFX3" s="120"/>
      <c r="IFY3" s="120"/>
      <c r="IFZ3" s="120"/>
      <c r="IGA3" s="120"/>
      <c r="IGB3" s="120"/>
      <c r="IGC3" s="120"/>
      <c r="IGD3" s="120"/>
      <c r="IGE3" s="120"/>
      <c r="IGF3" s="120"/>
      <c r="IGG3" s="120"/>
      <c r="IGH3" s="120"/>
      <c r="IGI3" s="120"/>
      <c r="IGJ3" s="120"/>
      <c r="IGK3" s="120"/>
      <c r="IGL3" s="120"/>
      <c r="IGM3" s="120"/>
      <c r="IGN3" s="120"/>
      <c r="IGO3" s="120"/>
      <c r="IGP3" s="120"/>
      <c r="IGQ3" s="120"/>
      <c r="IGR3" s="120"/>
      <c r="IGS3" s="120"/>
      <c r="IGT3" s="120"/>
      <c r="IGU3" s="120"/>
      <c r="IGV3" s="120"/>
      <c r="IGW3" s="120"/>
      <c r="IGX3" s="120"/>
      <c r="IGY3" s="120"/>
      <c r="IGZ3" s="120"/>
      <c r="IHA3" s="120"/>
      <c r="IHB3" s="120"/>
      <c r="IHC3" s="120"/>
      <c r="IHD3" s="120"/>
      <c r="IHE3" s="120"/>
      <c r="IHF3" s="120"/>
      <c r="IHG3" s="120"/>
      <c r="IHH3" s="120"/>
      <c r="IHI3" s="120"/>
      <c r="IHJ3" s="120"/>
      <c r="IHK3" s="120"/>
      <c r="IHL3" s="120"/>
      <c r="IHM3" s="120"/>
      <c r="IHN3" s="120"/>
      <c r="IHO3" s="120"/>
      <c r="IHP3" s="120"/>
      <c r="IHQ3" s="120"/>
      <c r="IHR3" s="120"/>
      <c r="IHS3" s="120"/>
      <c r="IHT3" s="120"/>
      <c r="IHU3" s="120"/>
      <c r="IHV3" s="120"/>
      <c r="IHW3" s="120"/>
      <c r="IHX3" s="120"/>
      <c r="IHY3" s="120"/>
      <c r="IHZ3" s="120"/>
      <c r="IIA3" s="120"/>
      <c r="IIB3" s="120"/>
      <c r="IIC3" s="120"/>
      <c r="IID3" s="120"/>
      <c r="IIE3" s="120"/>
      <c r="IIF3" s="120"/>
      <c r="IIG3" s="120"/>
      <c r="IIH3" s="120"/>
      <c r="III3" s="120"/>
      <c r="IIJ3" s="120"/>
      <c r="IIK3" s="120"/>
      <c r="IIL3" s="120"/>
      <c r="IIM3" s="120"/>
      <c r="IIN3" s="120"/>
      <c r="IIO3" s="120"/>
      <c r="IIP3" s="120"/>
      <c r="IIQ3" s="120"/>
      <c r="IIR3" s="120"/>
      <c r="IIS3" s="120"/>
      <c r="IIT3" s="120"/>
      <c r="IIU3" s="120"/>
      <c r="IIV3" s="120"/>
      <c r="IIW3" s="120"/>
      <c r="IIX3" s="120"/>
      <c r="IIY3" s="120"/>
      <c r="IIZ3" s="120"/>
      <c r="IJA3" s="120"/>
      <c r="IJB3" s="120"/>
      <c r="IJC3" s="120"/>
      <c r="IJD3" s="120"/>
      <c r="IJE3" s="120"/>
      <c r="IJF3" s="120"/>
      <c r="IJG3" s="120"/>
      <c r="IJH3" s="120"/>
      <c r="IJI3" s="120"/>
      <c r="IJJ3" s="120"/>
      <c r="IJK3" s="120"/>
      <c r="IJL3" s="120"/>
      <c r="IJM3" s="120"/>
      <c r="IJN3" s="120"/>
      <c r="IJO3" s="120"/>
      <c r="IJP3" s="120"/>
      <c r="IJQ3" s="120"/>
      <c r="IJR3" s="120"/>
      <c r="IJS3" s="120"/>
      <c r="IJT3" s="120"/>
      <c r="IJU3" s="120"/>
      <c r="IJV3" s="120"/>
      <c r="IJW3" s="120"/>
      <c r="IJX3" s="120"/>
      <c r="IJY3" s="120"/>
      <c r="IJZ3" s="120"/>
      <c r="IKA3" s="120"/>
      <c r="IKB3" s="120"/>
      <c r="IKC3" s="120"/>
      <c r="IKD3" s="120"/>
      <c r="IKE3" s="120"/>
      <c r="IKF3" s="120"/>
      <c r="IKG3" s="120"/>
      <c r="IKH3" s="120"/>
      <c r="IKI3" s="120"/>
      <c r="IKJ3" s="120"/>
      <c r="IKK3" s="120"/>
      <c r="IKL3" s="120"/>
      <c r="IKM3" s="120"/>
      <c r="IKN3" s="120"/>
      <c r="IKO3" s="120"/>
      <c r="IKP3" s="120"/>
      <c r="IKQ3" s="120"/>
      <c r="IKR3" s="120"/>
      <c r="IKS3" s="120"/>
      <c r="IKT3" s="120"/>
      <c r="IKU3" s="120"/>
      <c r="IKV3" s="120"/>
      <c r="IKW3" s="120"/>
      <c r="IKX3" s="120"/>
      <c r="IKY3" s="120"/>
      <c r="IKZ3" s="120"/>
      <c r="ILA3" s="120"/>
      <c r="ILB3" s="120"/>
      <c r="ILC3" s="120"/>
      <c r="ILD3" s="120"/>
      <c r="ILE3" s="120"/>
      <c r="ILF3" s="120"/>
      <c r="ILG3" s="120"/>
      <c r="ILH3" s="120"/>
      <c r="ILI3" s="120"/>
      <c r="ILJ3" s="120"/>
      <c r="ILK3" s="120"/>
      <c r="ILL3" s="120"/>
      <c r="ILM3" s="120"/>
      <c r="ILN3" s="120"/>
      <c r="ILO3" s="120"/>
      <c r="ILP3" s="120"/>
      <c r="ILQ3" s="120"/>
      <c r="ILR3" s="120"/>
      <c r="ILS3" s="120"/>
      <c r="ILT3" s="120"/>
      <c r="ILU3" s="120"/>
      <c r="ILV3" s="120"/>
      <c r="ILW3" s="120"/>
      <c r="ILX3" s="120"/>
      <c r="ILY3" s="120"/>
      <c r="ILZ3" s="120"/>
      <c r="IMA3" s="120"/>
      <c r="IMB3" s="120"/>
      <c r="IMC3" s="120"/>
      <c r="IMD3" s="120"/>
      <c r="IME3" s="120"/>
      <c r="IMF3" s="120"/>
      <c r="IMG3" s="120"/>
      <c r="IMH3" s="120"/>
      <c r="IMI3" s="120"/>
      <c r="IMJ3" s="120"/>
      <c r="IMK3" s="120"/>
      <c r="IML3" s="120"/>
      <c r="IMM3" s="120"/>
      <c r="IMN3" s="120"/>
      <c r="IMO3" s="120"/>
      <c r="IMP3" s="120"/>
      <c r="IMQ3" s="120"/>
      <c r="IMR3" s="120"/>
      <c r="IMS3" s="120"/>
      <c r="IMT3" s="120"/>
      <c r="IMU3" s="120"/>
      <c r="IMV3" s="120"/>
      <c r="IMW3" s="120"/>
      <c r="IMX3" s="120"/>
      <c r="IMY3" s="120"/>
      <c r="IMZ3" s="120"/>
      <c r="INA3" s="120"/>
      <c r="INB3" s="120"/>
      <c r="INC3" s="120"/>
      <c r="IND3" s="120"/>
      <c r="INE3" s="120"/>
      <c r="INF3" s="120"/>
      <c r="ING3" s="120"/>
      <c r="INH3" s="120"/>
      <c r="INI3" s="120"/>
      <c r="INJ3" s="120"/>
      <c r="INK3" s="120"/>
      <c r="INL3" s="120"/>
      <c r="INM3" s="120"/>
      <c r="INN3" s="120"/>
      <c r="INO3" s="120"/>
      <c r="INP3" s="120"/>
      <c r="INQ3" s="120"/>
      <c r="INR3" s="120"/>
      <c r="INS3" s="120"/>
      <c r="INT3" s="120"/>
      <c r="INU3" s="120"/>
      <c r="INV3" s="120"/>
      <c r="INW3" s="120"/>
      <c r="INX3" s="120"/>
      <c r="INY3" s="120"/>
      <c r="INZ3" s="120"/>
      <c r="IOA3" s="120"/>
      <c r="IOB3" s="120"/>
      <c r="IOC3" s="120"/>
      <c r="IOD3" s="120"/>
      <c r="IOE3" s="120"/>
      <c r="IOF3" s="120"/>
      <c r="IOG3" s="120"/>
      <c r="IOH3" s="120"/>
      <c r="IOI3" s="120"/>
      <c r="IOJ3" s="120"/>
      <c r="IOK3" s="120"/>
      <c r="IOL3" s="120"/>
      <c r="IOM3" s="120"/>
      <c r="ION3" s="120"/>
      <c r="IOO3" s="120"/>
      <c r="IOP3" s="120"/>
      <c r="IOQ3" s="120"/>
      <c r="IOR3" s="120"/>
      <c r="IOS3" s="120"/>
      <c r="IOT3" s="120"/>
      <c r="IOU3" s="120"/>
      <c r="IOV3" s="120"/>
      <c r="IOW3" s="120"/>
      <c r="IOX3" s="120"/>
      <c r="IOY3" s="120"/>
      <c r="IOZ3" s="120"/>
      <c r="IPA3" s="120"/>
      <c r="IPB3" s="120"/>
      <c r="IPC3" s="120"/>
      <c r="IPD3" s="120"/>
      <c r="IPE3" s="120"/>
      <c r="IPF3" s="120"/>
      <c r="IPG3" s="120"/>
      <c r="IPH3" s="120"/>
      <c r="IPI3" s="120"/>
      <c r="IPJ3" s="120"/>
      <c r="IPK3" s="120"/>
      <c r="IPL3" s="120"/>
      <c r="IPM3" s="120"/>
      <c r="IPN3" s="120"/>
      <c r="IPO3" s="120"/>
      <c r="IPP3" s="120"/>
      <c r="IPQ3" s="120"/>
      <c r="IPR3" s="120"/>
      <c r="IPS3" s="120"/>
      <c r="IPT3" s="120"/>
      <c r="IPU3" s="120"/>
      <c r="IPV3" s="120"/>
      <c r="IPW3" s="120"/>
      <c r="IPX3" s="120"/>
      <c r="IPY3" s="120"/>
      <c r="IPZ3" s="120"/>
      <c r="IQA3" s="120"/>
      <c r="IQB3" s="120"/>
      <c r="IQC3" s="120"/>
      <c r="IQD3" s="120"/>
      <c r="IQE3" s="120"/>
      <c r="IQF3" s="120"/>
      <c r="IQG3" s="120"/>
      <c r="IQH3" s="120"/>
      <c r="IQI3" s="120"/>
      <c r="IQJ3" s="120"/>
      <c r="IQK3" s="120"/>
      <c r="IQL3" s="120"/>
      <c r="IQM3" s="120"/>
      <c r="IQN3" s="120"/>
      <c r="IQO3" s="120"/>
      <c r="IQP3" s="120"/>
      <c r="IQQ3" s="120"/>
      <c r="IQR3" s="120"/>
      <c r="IQS3" s="120"/>
      <c r="IQT3" s="120"/>
      <c r="IQU3" s="120"/>
      <c r="IQV3" s="120"/>
      <c r="IQW3" s="120"/>
      <c r="IQX3" s="120"/>
      <c r="IQY3" s="120"/>
      <c r="IQZ3" s="120"/>
      <c r="IRA3" s="120"/>
      <c r="IRB3" s="120"/>
      <c r="IRC3" s="120"/>
      <c r="IRD3" s="120"/>
      <c r="IRE3" s="120"/>
      <c r="IRF3" s="120"/>
      <c r="IRG3" s="120"/>
      <c r="IRH3" s="120"/>
      <c r="IRI3" s="120"/>
      <c r="IRJ3" s="120"/>
      <c r="IRK3" s="120"/>
      <c r="IRL3" s="120"/>
      <c r="IRM3" s="120"/>
      <c r="IRN3" s="120"/>
      <c r="IRO3" s="120"/>
      <c r="IRP3" s="120"/>
      <c r="IRQ3" s="120"/>
      <c r="IRR3" s="120"/>
      <c r="IRS3" s="120"/>
      <c r="IRT3" s="120"/>
      <c r="IRU3" s="120"/>
      <c r="IRV3" s="120"/>
      <c r="IRW3" s="120"/>
      <c r="IRX3" s="120"/>
      <c r="IRY3" s="120"/>
      <c r="IRZ3" s="120"/>
      <c r="ISA3" s="120"/>
      <c r="ISB3" s="120"/>
      <c r="ISC3" s="120"/>
      <c r="ISD3" s="120"/>
      <c r="ISE3" s="120"/>
      <c r="ISF3" s="120"/>
      <c r="ISG3" s="120"/>
      <c r="ISH3" s="120"/>
      <c r="ISI3" s="120"/>
      <c r="ISJ3" s="120"/>
      <c r="ISK3" s="120"/>
      <c r="ISL3" s="120"/>
      <c r="ISM3" s="120"/>
      <c r="ISN3" s="120"/>
      <c r="ISO3" s="120"/>
      <c r="ISP3" s="120"/>
      <c r="ISQ3" s="120"/>
      <c r="ISR3" s="120"/>
      <c r="ISS3" s="120"/>
      <c r="IST3" s="120"/>
      <c r="ISU3" s="120"/>
      <c r="ISV3" s="120"/>
      <c r="ISW3" s="120"/>
      <c r="ISX3" s="120"/>
      <c r="ISY3" s="120"/>
      <c r="ISZ3" s="120"/>
      <c r="ITA3" s="120"/>
      <c r="ITB3" s="120"/>
      <c r="ITC3" s="120"/>
      <c r="ITD3" s="120"/>
      <c r="ITE3" s="120"/>
      <c r="ITF3" s="120"/>
      <c r="ITG3" s="120"/>
      <c r="ITH3" s="120"/>
      <c r="ITI3" s="120"/>
      <c r="ITJ3" s="120"/>
      <c r="ITK3" s="120"/>
      <c r="ITL3" s="120"/>
      <c r="ITM3" s="120"/>
      <c r="ITN3" s="120"/>
      <c r="ITO3" s="120"/>
      <c r="ITP3" s="120"/>
      <c r="ITQ3" s="120"/>
      <c r="ITR3" s="120"/>
      <c r="ITS3" s="120"/>
      <c r="ITT3" s="120"/>
      <c r="ITU3" s="120"/>
      <c r="ITV3" s="120"/>
      <c r="ITW3" s="120"/>
      <c r="ITX3" s="120"/>
      <c r="ITY3" s="120"/>
      <c r="ITZ3" s="120"/>
      <c r="IUA3" s="120"/>
      <c r="IUB3" s="120"/>
      <c r="IUC3" s="120"/>
      <c r="IUD3" s="120"/>
      <c r="IUE3" s="120"/>
      <c r="IUF3" s="120"/>
      <c r="IUG3" s="120"/>
      <c r="IUH3" s="120"/>
      <c r="IUI3" s="120"/>
      <c r="IUJ3" s="120"/>
      <c r="IUK3" s="120"/>
      <c r="IUL3" s="120"/>
      <c r="IUM3" s="120"/>
      <c r="IUN3" s="120"/>
      <c r="IUO3" s="120"/>
      <c r="IUP3" s="120"/>
      <c r="IUQ3" s="120"/>
      <c r="IUR3" s="120"/>
      <c r="IUS3" s="120"/>
      <c r="IUT3" s="120"/>
      <c r="IUU3" s="120"/>
      <c r="IUV3" s="120"/>
      <c r="IUW3" s="120"/>
      <c r="IUX3" s="120"/>
      <c r="IUY3" s="120"/>
      <c r="IUZ3" s="120"/>
      <c r="IVA3" s="120"/>
      <c r="IVB3" s="120"/>
      <c r="IVC3" s="120"/>
      <c r="IVD3" s="120"/>
      <c r="IVE3" s="120"/>
      <c r="IVF3" s="120"/>
      <c r="IVG3" s="120"/>
      <c r="IVH3" s="120"/>
      <c r="IVI3" s="120"/>
      <c r="IVJ3" s="120"/>
      <c r="IVK3" s="120"/>
      <c r="IVL3" s="120"/>
      <c r="IVM3" s="120"/>
      <c r="IVN3" s="120"/>
      <c r="IVO3" s="120"/>
      <c r="IVP3" s="120"/>
      <c r="IVQ3" s="120"/>
      <c r="IVR3" s="120"/>
      <c r="IVS3" s="120"/>
      <c r="IVT3" s="120"/>
      <c r="IVU3" s="120"/>
      <c r="IVV3" s="120"/>
      <c r="IVW3" s="120"/>
      <c r="IVX3" s="120"/>
      <c r="IVY3" s="120"/>
      <c r="IVZ3" s="120"/>
      <c r="IWA3" s="120"/>
      <c r="IWB3" s="120"/>
      <c r="IWC3" s="120"/>
      <c r="IWD3" s="120"/>
      <c r="IWE3" s="120"/>
      <c r="IWF3" s="120"/>
      <c r="IWG3" s="120"/>
      <c r="IWH3" s="120"/>
      <c r="IWI3" s="120"/>
      <c r="IWJ3" s="120"/>
      <c r="IWK3" s="120"/>
      <c r="IWL3" s="120"/>
      <c r="IWM3" s="120"/>
      <c r="IWN3" s="120"/>
      <c r="IWO3" s="120"/>
      <c r="IWP3" s="120"/>
      <c r="IWQ3" s="120"/>
      <c r="IWR3" s="120"/>
      <c r="IWS3" s="120"/>
      <c r="IWT3" s="120"/>
      <c r="IWU3" s="120"/>
      <c r="IWV3" s="120"/>
      <c r="IWW3" s="120"/>
      <c r="IWX3" s="120"/>
      <c r="IWY3" s="120"/>
      <c r="IWZ3" s="120"/>
      <c r="IXA3" s="120"/>
      <c r="IXB3" s="120"/>
      <c r="IXC3" s="120"/>
      <c r="IXD3" s="120"/>
      <c r="IXE3" s="120"/>
      <c r="IXF3" s="120"/>
      <c r="IXG3" s="120"/>
      <c r="IXH3" s="120"/>
      <c r="IXI3" s="120"/>
      <c r="IXJ3" s="120"/>
      <c r="IXK3" s="120"/>
      <c r="IXL3" s="120"/>
      <c r="IXM3" s="120"/>
      <c r="IXN3" s="120"/>
      <c r="IXO3" s="120"/>
      <c r="IXP3" s="120"/>
      <c r="IXQ3" s="120"/>
      <c r="IXR3" s="120"/>
      <c r="IXS3" s="120"/>
      <c r="IXT3" s="120"/>
      <c r="IXU3" s="120"/>
      <c r="IXV3" s="120"/>
      <c r="IXW3" s="120"/>
      <c r="IXX3" s="120"/>
      <c r="IXY3" s="120"/>
      <c r="IXZ3" s="120"/>
      <c r="IYA3" s="120"/>
      <c r="IYB3" s="120"/>
      <c r="IYC3" s="120"/>
      <c r="IYD3" s="120"/>
      <c r="IYE3" s="120"/>
      <c r="IYF3" s="120"/>
      <c r="IYG3" s="120"/>
      <c r="IYH3" s="120"/>
      <c r="IYI3" s="120"/>
      <c r="IYJ3" s="120"/>
      <c r="IYK3" s="120"/>
      <c r="IYL3" s="120"/>
      <c r="IYM3" s="120"/>
      <c r="IYN3" s="120"/>
      <c r="IYO3" s="120"/>
      <c r="IYP3" s="120"/>
      <c r="IYQ3" s="120"/>
      <c r="IYR3" s="120"/>
      <c r="IYS3" s="120"/>
      <c r="IYT3" s="120"/>
      <c r="IYU3" s="120"/>
      <c r="IYV3" s="120"/>
      <c r="IYW3" s="120"/>
      <c r="IYX3" s="120"/>
      <c r="IYY3" s="120"/>
      <c r="IYZ3" s="120"/>
      <c r="IZA3" s="120"/>
      <c r="IZB3" s="120"/>
      <c r="IZC3" s="120"/>
      <c r="IZD3" s="120"/>
      <c r="IZE3" s="120"/>
      <c r="IZF3" s="120"/>
      <c r="IZG3" s="120"/>
      <c r="IZH3" s="120"/>
      <c r="IZI3" s="120"/>
      <c r="IZJ3" s="120"/>
      <c r="IZK3" s="120"/>
      <c r="IZL3" s="120"/>
      <c r="IZM3" s="120"/>
      <c r="IZN3" s="120"/>
      <c r="IZO3" s="120"/>
      <c r="IZP3" s="120"/>
      <c r="IZQ3" s="120"/>
      <c r="IZR3" s="120"/>
      <c r="IZS3" s="120"/>
      <c r="IZT3" s="120"/>
      <c r="IZU3" s="120"/>
      <c r="IZV3" s="120"/>
      <c r="IZW3" s="120"/>
      <c r="IZX3" s="120"/>
      <c r="IZY3" s="120"/>
      <c r="IZZ3" s="120"/>
      <c r="JAA3" s="120"/>
      <c r="JAB3" s="120"/>
      <c r="JAC3" s="120"/>
      <c r="JAD3" s="120"/>
      <c r="JAE3" s="120"/>
      <c r="JAF3" s="120"/>
      <c r="JAG3" s="120"/>
      <c r="JAH3" s="120"/>
      <c r="JAI3" s="120"/>
      <c r="JAJ3" s="120"/>
      <c r="JAK3" s="120"/>
      <c r="JAL3" s="120"/>
      <c r="JAM3" s="120"/>
      <c r="JAN3" s="120"/>
      <c r="JAO3" s="120"/>
      <c r="JAP3" s="120"/>
      <c r="JAQ3" s="120"/>
      <c r="JAR3" s="120"/>
      <c r="JAS3" s="120"/>
      <c r="JAT3" s="120"/>
      <c r="JAU3" s="120"/>
      <c r="JAV3" s="120"/>
      <c r="JAW3" s="120"/>
      <c r="JAX3" s="120"/>
      <c r="JAY3" s="120"/>
      <c r="JAZ3" s="120"/>
      <c r="JBA3" s="120"/>
      <c r="JBB3" s="120"/>
      <c r="JBC3" s="120"/>
      <c r="JBD3" s="120"/>
      <c r="JBE3" s="120"/>
      <c r="JBF3" s="120"/>
      <c r="JBG3" s="120"/>
      <c r="JBH3" s="120"/>
      <c r="JBI3" s="120"/>
      <c r="JBJ3" s="120"/>
      <c r="JBK3" s="120"/>
      <c r="JBL3" s="120"/>
      <c r="JBM3" s="120"/>
      <c r="JBN3" s="120"/>
      <c r="JBO3" s="120"/>
      <c r="JBP3" s="120"/>
      <c r="JBQ3" s="120"/>
      <c r="JBR3" s="120"/>
      <c r="JBS3" s="120"/>
      <c r="JBT3" s="120"/>
      <c r="JBU3" s="120"/>
      <c r="JBV3" s="120"/>
      <c r="JBW3" s="120"/>
      <c r="JBX3" s="120"/>
      <c r="JBY3" s="120"/>
      <c r="JBZ3" s="120"/>
      <c r="JCA3" s="120"/>
      <c r="JCB3" s="120"/>
      <c r="JCC3" s="120"/>
      <c r="JCD3" s="120"/>
      <c r="JCE3" s="120"/>
      <c r="JCF3" s="120"/>
      <c r="JCG3" s="120"/>
      <c r="JCH3" s="120"/>
      <c r="JCI3" s="120"/>
      <c r="JCJ3" s="120"/>
      <c r="JCK3" s="120"/>
      <c r="JCL3" s="120"/>
      <c r="JCM3" s="120"/>
      <c r="JCN3" s="120"/>
      <c r="JCO3" s="120"/>
      <c r="JCP3" s="120"/>
      <c r="JCQ3" s="120"/>
      <c r="JCR3" s="120"/>
      <c r="JCS3" s="120"/>
      <c r="JCT3" s="120"/>
      <c r="JCU3" s="120"/>
      <c r="JCV3" s="120"/>
      <c r="JCW3" s="120"/>
      <c r="JCX3" s="120"/>
      <c r="JCY3" s="120"/>
      <c r="JCZ3" s="120"/>
      <c r="JDA3" s="120"/>
      <c r="JDB3" s="120"/>
      <c r="JDC3" s="120"/>
      <c r="JDD3" s="120"/>
      <c r="JDE3" s="120"/>
      <c r="JDF3" s="120"/>
      <c r="JDG3" s="120"/>
      <c r="JDH3" s="120"/>
      <c r="JDI3" s="120"/>
      <c r="JDJ3" s="120"/>
      <c r="JDK3" s="120"/>
      <c r="JDL3" s="120"/>
      <c r="JDM3" s="120"/>
      <c r="JDN3" s="120"/>
      <c r="JDO3" s="120"/>
      <c r="JDP3" s="120"/>
      <c r="JDQ3" s="120"/>
      <c r="JDR3" s="120"/>
      <c r="JDS3" s="120"/>
      <c r="JDT3" s="120"/>
      <c r="JDU3" s="120"/>
      <c r="JDV3" s="120"/>
      <c r="JDW3" s="120"/>
      <c r="JDX3" s="120"/>
      <c r="JDY3" s="120"/>
      <c r="JDZ3" s="120"/>
      <c r="JEA3" s="120"/>
      <c r="JEB3" s="120"/>
      <c r="JEC3" s="120"/>
      <c r="JED3" s="120"/>
      <c r="JEE3" s="120"/>
      <c r="JEF3" s="120"/>
      <c r="JEG3" s="120"/>
      <c r="JEH3" s="120"/>
      <c r="JEI3" s="120"/>
      <c r="JEJ3" s="120"/>
      <c r="JEK3" s="120"/>
      <c r="JEL3" s="120"/>
      <c r="JEM3" s="120"/>
      <c r="JEN3" s="120"/>
      <c r="JEO3" s="120"/>
      <c r="JEP3" s="120"/>
      <c r="JEQ3" s="120"/>
      <c r="JER3" s="120"/>
      <c r="JES3" s="120"/>
      <c r="JET3" s="120"/>
      <c r="JEU3" s="120"/>
      <c r="JEV3" s="120"/>
      <c r="JEW3" s="120"/>
      <c r="JEX3" s="120"/>
      <c r="JEY3" s="120"/>
      <c r="JEZ3" s="120"/>
      <c r="JFA3" s="120"/>
      <c r="JFB3" s="120"/>
      <c r="JFC3" s="120"/>
      <c r="JFD3" s="120"/>
      <c r="JFE3" s="120"/>
      <c r="JFF3" s="120"/>
      <c r="JFG3" s="120"/>
      <c r="JFH3" s="120"/>
      <c r="JFI3" s="120"/>
      <c r="JFJ3" s="120"/>
      <c r="JFK3" s="120"/>
      <c r="JFL3" s="120"/>
      <c r="JFM3" s="120"/>
      <c r="JFN3" s="120"/>
      <c r="JFO3" s="120"/>
      <c r="JFP3" s="120"/>
      <c r="JFQ3" s="120"/>
      <c r="JFR3" s="120"/>
      <c r="JFS3" s="120"/>
      <c r="JFT3" s="120"/>
      <c r="JFU3" s="120"/>
      <c r="JFV3" s="120"/>
      <c r="JFW3" s="120"/>
      <c r="JFX3" s="120"/>
      <c r="JFY3" s="120"/>
      <c r="JFZ3" s="120"/>
      <c r="JGA3" s="120"/>
      <c r="JGB3" s="120"/>
      <c r="JGC3" s="120"/>
      <c r="JGD3" s="120"/>
      <c r="JGE3" s="120"/>
      <c r="JGF3" s="120"/>
      <c r="JGG3" s="120"/>
      <c r="JGH3" s="120"/>
      <c r="JGI3" s="120"/>
      <c r="JGJ3" s="120"/>
      <c r="JGK3" s="120"/>
      <c r="JGL3" s="120"/>
      <c r="JGM3" s="120"/>
      <c r="JGN3" s="120"/>
      <c r="JGO3" s="120"/>
      <c r="JGP3" s="120"/>
      <c r="JGQ3" s="120"/>
      <c r="JGR3" s="120"/>
      <c r="JGS3" s="120"/>
      <c r="JGT3" s="120"/>
      <c r="JGU3" s="120"/>
      <c r="JGV3" s="120"/>
      <c r="JGW3" s="120"/>
      <c r="JGX3" s="120"/>
      <c r="JGY3" s="120"/>
      <c r="JGZ3" s="120"/>
      <c r="JHA3" s="120"/>
      <c r="JHB3" s="120"/>
      <c r="JHC3" s="120"/>
      <c r="JHD3" s="120"/>
      <c r="JHE3" s="120"/>
      <c r="JHF3" s="120"/>
      <c r="JHG3" s="120"/>
      <c r="JHH3" s="120"/>
      <c r="JHI3" s="120"/>
      <c r="JHJ3" s="120"/>
      <c r="JHK3" s="120"/>
      <c r="JHL3" s="120"/>
      <c r="JHM3" s="120"/>
      <c r="JHN3" s="120"/>
      <c r="JHO3" s="120"/>
      <c r="JHP3" s="120"/>
      <c r="JHQ3" s="120"/>
      <c r="JHR3" s="120"/>
      <c r="JHS3" s="120"/>
      <c r="JHT3" s="120"/>
      <c r="JHU3" s="120"/>
      <c r="JHV3" s="120"/>
      <c r="JHW3" s="120"/>
      <c r="JHX3" s="120"/>
      <c r="JHY3" s="120"/>
      <c r="JHZ3" s="120"/>
      <c r="JIA3" s="120"/>
      <c r="JIB3" s="120"/>
      <c r="JIC3" s="120"/>
      <c r="JID3" s="120"/>
      <c r="JIE3" s="120"/>
      <c r="JIF3" s="120"/>
      <c r="JIG3" s="120"/>
      <c r="JIH3" s="120"/>
      <c r="JII3" s="120"/>
      <c r="JIJ3" s="120"/>
      <c r="JIK3" s="120"/>
      <c r="JIL3" s="120"/>
      <c r="JIM3" s="120"/>
      <c r="JIN3" s="120"/>
      <c r="JIO3" s="120"/>
      <c r="JIP3" s="120"/>
      <c r="JIQ3" s="120"/>
      <c r="JIR3" s="120"/>
      <c r="JIS3" s="120"/>
      <c r="JIT3" s="120"/>
      <c r="JIU3" s="120"/>
      <c r="JIV3" s="120"/>
      <c r="JIW3" s="120"/>
      <c r="JIX3" s="120"/>
      <c r="JIY3" s="120"/>
      <c r="JIZ3" s="120"/>
      <c r="JJA3" s="120"/>
      <c r="JJB3" s="120"/>
      <c r="JJC3" s="120"/>
      <c r="JJD3" s="120"/>
      <c r="JJE3" s="120"/>
      <c r="JJF3" s="120"/>
      <c r="JJG3" s="120"/>
      <c r="JJH3" s="120"/>
      <c r="JJI3" s="120"/>
      <c r="JJJ3" s="120"/>
      <c r="JJK3" s="120"/>
      <c r="JJL3" s="120"/>
      <c r="JJM3" s="120"/>
      <c r="JJN3" s="120"/>
      <c r="JJO3" s="120"/>
      <c r="JJP3" s="120"/>
      <c r="JJQ3" s="120"/>
      <c r="JJR3" s="120"/>
      <c r="JJS3" s="120"/>
      <c r="JJT3" s="120"/>
      <c r="JJU3" s="120"/>
      <c r="JJV3" s="120"/>
      <c r="JJW3" s="120"/>
      <c r="JJX3" s="120"/>
      <c r="JJY3" s="120"/>
      <c r="JJZ3" s="120"/>
      <c r="JKA3" s="120"/>
      <c r="JKB3" s="120"/>
      <c r="JKC3" s="120"/>
      <c r="JKD3" s="120"/>
      <c r="JKE3" s="120"/>
      <c r="JKF3" s="120"/>
      <c r="JKG3" s="120"/>
      <c r="JKH3" s="120"/>
      <c r="JKI3" s="120"/>
      <c r="JKJ3" s="120"/>
      <c r="JKK3" s="120"/>
      <c r="JKL3" s="120"/>
      <c r="JKM3" s="120"/>
      <c r="JKN3" s="120"/>
      <c r="JKO3" s="120"/>
      <c r="JKP3" s="120"/>
      <c r="JKQ3" s="120"/>
      <c r="JKR3" s="120"/>
      <c r="JKS3" s="120"/>
      <c r="JKT3" s="120"/>
      <c r="JKU3" s="120"/>
      <c r="JKV3" s="120"/>
      <c r="JKW3" s="120"/>
      <c r="JKX3" s="120"/>
      <c r="JKY3" s="120"/>
      <c r="JKZ3" s="120"/>
      <c r="JLA3" s="120"/>
      <c r="JLB3" s="120"/>
      <c r="JLC3" s="120"/>
      <c r="JLD3" s="120"/>
      <c r="JLE3" s="120"/>
      <c r="JLF3" s="120"/>
      <c r="JLG3" s="120"/>
      <c r="JLH3" s="120"/>
      <c r="JLI3" s="120"/>
      <c r="JLJ3" s="120"/>
      <c r="JLK3" s="120"/>
      <c r="JLL3" s="120"/>
      <c r="JLM3" s="120"/>
      <c r="JLN3" s="120"/>
      <c r="JLO3" s="120"/>
      <c r="JLP3" s="120"/>
      <c r="JLQ3" s="120"/>
      <c r="JLR3" s="120"/>
      <c r="JLS3" s="120"/>
      <c r="JLT3" s="120"/>
      <c r="JLU3" s="120"/>
      <c r="JLV3" s="120"/>
      <c r="JLW3" s="120"/>
      <c r="JLX3" s="120"/>
      <c r="JLY3" s="120"/>
      <c r="JLZ3" s="120"/>
      <c r="JMA3" s="120"/>
      <c r="JMB3" s="120"/>
      <c r="JMC3" s="120"/>
      <c r="JMD3" s="120"/>
      <c r="JME3" s="120"/>
      <c r="JMF3" s="120"/>
      <c r="JMG3" s="120"/>
      <c r="JMH3" s="120"/>
      <c r="JMI3" s="120"/>
      <c r="JMJ3" s="120"/>
      <c r="JMK3" s="120"/>
      <c r="JML3" s="120"/>
      <c r="JMM3" s="120"/>
      <c r="JMN3" s="120"/>
      <c r="JMO3" s="120"/>
      <c r="JMP3" s="120"/>
      <c r="JMQ3" s="120"/>
      <c r="JMR3" s="120"/>
      <c r="JMS3" s="120"/>
      <c r="JMT3" s="120"/>
      <c r="JMU3" s="120"/>
      <c r="JMV3" s="120"/>
      <c r="JMW3" s="120"/>
      <c r="JMX3" s="120"/>
      <c r="JMY3" s="120"/>
      <c r="JMZ3" s="120"/>
      <c r="JNA3" s="120"/>
      <c r="JNB3" s="120"/>
      <c r="JNC3" s="120"/>
      <c r="JND3" s="120"/>
      <c r="JNE3" s="120"/>
      <c r="JNF3" s="120"/>
      <c r="JNG3" s="120"/>
      <c r="JNH3" s="120"/>
      <c r="JNI3" s="120"/>
      <c r="JNJ3" s="120"/>
      <c r="JNK3" s="120"/>
      <c r="JNL3" s="120"/>
      <c r="JNM3" s="120"/>
      <c r="JNN3" s="120"/>
      <c r="JNO3" s="120"/>
      <c r="JNP3" s="120"/>
      <c r="JNQ3" s="120"/>
      <c r="JNR3" s="120"/>
      <c r="JNS3" s="120"/>
      <c r="JNT3" s="120"/>
      <c r="JNU3" s="120"/>
      <c r="JNV3" s="120"/>
      <c r="JNW3" s="120"/>
      <c r="JNX3" s="120"/>
      <c r="JNY3" s="120"/>
      <c r="JNZ3" s="120"/>
      <c r="JOA3" s="120"/>
      <c r="JOB3" s="120"/>
      <c r="JOC3" s="120"/>
      <c r="JOD3" s="120"/>
      <c r="JOE3" s="120"/>
      <c r="JOF3" s="120"/>
      <c r="JOG3" s="120"/>
      <c r="JOH3" s="120"/>
      <c r="JOI3" s="120"/>
      <c r="JOJ3" s="120"/>
      <c r="JOK3" s="120"/>
      <c r="JOL3" s="120"/>
      <c r="JOM3" s="120"/>
      <c r="JON3" s="120"/>
      <c r="JOO3" s="120"/>
      <c r="JOP3" s="120"/>
      <c r="JOQ3" s="120"/>
      <c r="JOR3" s="120"/>
      <c r="JOS3" s="120"/>
      <c r="JOT3" s="120"/>
      <c r="JOU3" s="120"/>
      <c r="JOV3" s="120"/>
      <c r="JOW3" s="120"/>
      <c r="JOX3" s="120"/>
      <c r="JOY3" s="120"/>
      <c r="JOZ3" s="120"/>
      <c r="JPA3" s="120"/>
      <c r="JPB3" s="120"/>
      <c r="JPC3" s="120"/>
      <c r="JPD3" s="120"/>
      <c r="JPE3" s="120"/>
      <c r="JPF3" s="120"/>
      <c r="JPG3" s="120"/>
      <c r="JPH3" s="120"/>
      <c r="JPI3" s="120"/>
      <c r="JPJ3" s="120"/>
      <c r="JPK3" s="120"/>
      <c r="JPL3" s="120"/>
      <c r="JPM3" s="120"/>
      <c r="JPN3" s="120"/>
      <c r="JPO3" s="120"/>
      <c r="JPP3" s="120"/>
      <c r="JPQ3" s="120"/>
      <c r="JPR3" s="120"/>
      <c r="JPS3" s="120"/>
      <c r="JPT3" s="120"/>
      <c r="JPU3" s="120"/>
      <c r="JPV3" s="120"/>
      <c r="JPW3" s="120"/>
      <c r="JPX3" s="120"/>
      <c r="JPY3" s="120"/>
      <c r="JPZ3" s="120"/>
      <c r="JQA3" s="120"/>
      <c r="JQB3" s="120"/>
      <c r="JQC3" s="120"/>
      <c r="JQD3" s="120"/>
      <c r="JQE3" s="120"/>
      <c r="JQF3" s="120"/>
      <c r="JQG3" s="120"/>
      <c r="JQH3" s="120"/>
      <c r="JQI3" s="120"/>
      <c r="JQJ3" s="120"/>
      <c r="JQK3" s="120"/>
      <c r="JQL3" s="120"/>
      <c r="JQM3" s="120"/>
      <c r="JQN3" s="120"/>
      <c r="JQO3" s="120"/>
      <c r="JQP3" s="120"/>
      <c r="JQQ3" s="120"/>
      <c r="JQR3" s="120"/>
      <c r="JQS3" s="120"/>
      <c r="JQT3" s="120"/>
      <c r="JQU3" s="120"/>
      <c r="JQV3" s="120"/>
      <c r="JQW3" s="120"/>
      <c r="JQX3" s="120"/>
      <c r="JQY3" s="120"/>
      <c r="JQZ3" s="120"/>
      <c r="JRA3" s="120"/>
      <c r="JRB3" s="120"/>
      <c r="JRC3" s="120"/>
      <c r="JRD3" s="120"/>
      <c r="JRE3" s="120"/>
      <c r="JRF3" s="120"/>
      <c r="JRG3" s="120"/>
      <c r="JRH3" s="120"/>
      <c r="JRI3" s="120"/>
      <c r="JRJ3" s="120"/>
      <c r="JRK3" s="120"/>
      <c r="JRL3" s="120"/>
      <c r="JRM3" s="120"/>
      <c r="JRN3" s="120"/>
      <c r="JRO3" s="120"/>
      <c r="JRP3" s="120"/>
      <c r="JRQ3" s="120"/>
      <c r="JRR3" s="120"/>
      <c r="JRS3" s="120"/>
      <c r="JRT3" s="120"/>
      <c r="JRU3" s="120"/>
      <c r="JRV3" s="120"/>
      <c r="JRW3" s="120"/>
      <c r="JRX3" s="120"/>
      <c r="JRY3" s="120"/>
      <c r="JRZ3" s="120"/>
      <c r="JSA3" s="120"/>
      <c r="JSB3" s="120"/>
      <c r="JSC3" s="120"/>
      <c r="JSD3" s="120"/>
      <c r="JSE3" s="120"/>
      <c r="JSF3" s="120"/>
      <c r="JSG3" s="120"/>
      <c r="JSH3" s="120"/>
      <c r="JSI3" s="120"/>
      <c r="JSJ3" s="120"/>
      <c r="JSK3" s="120"/>
      <c r="JSL3" s="120"/>
      <c r="JSM3" s="120"/>
      <c r="JSN3" s="120"/>
      <c r="JSO3" s="120"/>
      <c r="JSP3" s="120"/>
      <c r="JSQ3" s="120"/>
      <c r="JSR3" s="120"/>
      <c r="JSS3" s="120"/>
      <c r="JST3" s="120"/>
      <c r="JSU3" s="120"/>
      <c r="JSV3" s="120"/>
      <c r="JSW3" s="120"/>
      <c r="JSX3" s="120"/>
      <c r="JSY3" s="120"/>
      <c r="JSZ3" s="120"/>
      <c r="JTA3" s="120"/>
      <c r="JTB3" s="120"/>
      <c r="JTC3" s="120"/>
      <c r="JTD3" s="120"/>
      <c r="JTE3" s="120"/>
      <c r="JTF3" s="120"/>
      <c r="JTG3" s="120"/>
      <c r="JTH3" s="120"/>
      <c r="JTI3" s="120"/>
      <c r="JTJ3" s="120"/>
      <c r="JTK3" s="120"/>
      <c r="JTL3" s="120"/>
      <c r="JTM3" s="120"/>
      <c r="JTN3" s="120"/>
      <c r="JTO3" s="120"/>
      <c r="JTP3" s="120"/>
      <c r="JTQ3" s="120"/>
      <c r="JTR3" s="120"/>
      <c r="JTS3" s="120"/>
      <c r="JTT3" s="120"/>
      <c r="JTU3" s="120"/>
      <c r="JTV3" s="120"/>
      <c r="JTW3" s="120"/>
      <c r="JTX3" s="120"/>
      <c r="JTY3" s="120"/>
      <c r="JTZ3" s="120"/>
      <c r="JUA3" s="120"/>
      <c r="JUB3" s="120"/>
      <c r="JUC3" s="120"/>
      <c r="JUD3" s="120"/>
      <c r="JUE3" s="120"/>
      <c r="JUF3" s="120"/>
      <c r="JUG3" s="120"/>
      <c r="JUH3" s="120"/>
      <c r="JUI3" s="120"/>
      <c r="JUJ3" s="120"/>
      <c r="JUK3" s="120"/>
      <c r="JUL3" s="120"/>
      <c r="JUM3" s="120"/>
      <c r="JUN3" s="120"/>
      <c r="JUO3" s="120"/>
      <c r="JUP3" s="120"/>
      <c r="JUQ3" s="120"/>
      <c r="JUR3" s="120"/>
      <c r="JUS3" s="120"/>
      <c r="JUT3" s="120"/>
      <c r="JUU3" s="120"/>
      <c r="JUV3" s="120"/>
      <c r="JUW3" s="120"/>
      <c r="JUX3" s="120"/>
      <c r="JUY3" s="120"/>
      <c r="JUZ3" s="120"/>
      <c r="JVA3" s="120"/>
      <c r="JVB3" s="120"/>
      <c r="JVC3" s="120"/>
      <c r="JVD3" s="120"/>
      <c r="JVE3" s="120"/>
      <c r="JVF3" s="120"/>
      <c r="JVG3" s="120"/>
      <c r="JVH3" s="120"/>
      <c r="JVI3" s="120"/>
      <c r="JVJ3" s="120"/>
      <c r="JVK3" s="120"/>
      <c r="JVL3" s="120"/>
      <c r="JVM3" s="120"/>
      <c r="JVN3" s="120"/>
      <c r="JVO3" s="120"/>
      <c r="JVP3" s="120"/>
      <c r="JVQ3" s="120"/>
      <c r="JVR3" s="120"/>
      <c r="JVS3" s="120"/>
      <c r="JVT3" s="120"/>
      <c r="JVU3" s="120"/>
      <c r="JVV3" s="120"/>
      <c r="JVW3" s="120"/>
      <c r="JVX3" s="120"/>
      <c r="JVY3" s="120"/>
      <c r="JVZ3" s="120"/>
      <c r="JWA3" s="120"/>
      <c r="JWB3" s="120"/>
      <c r="JWC3" s="120"/>
      <c r="JWD3" s="120"/>
      <c r="JWE3" s="120"/>
      <c r="JWF3" s="120"/>
      <c r="JWG3" s="120"/>
      <c r="JWH3" s="120"/>
      <c r="JWI3" s="120"/>
      <c r="JWJ3" s="120"/>
      <c r="JWK3" s="120"/>
      <c r="JWL3" s="120"/>
      <c r="JWM3" s="120"/>
      <c r="JWN3" s="120"/>
      <c r="JWO3" s="120"/>
      <c r="JWP3" s="120"/>
      <c r="JWQ3" s="120"/>
      <c r="JWR3" s="120"/>
      <c r="JWS3" s="120"/>
      <c r="JWT3" s="120"/>
      <c r="JWU3" s="120"/>
      <c r="JWV3" s="120"/>
      <c r="JWW3" s="120"/>
      <c r="JWX3" s="120"/>
      <c r="JWY3" s="120"/>
      <c r="JWZ3" s="120"/>
      <c r="JXA3" s="120"/>
      <c r="JXB3" s="120"/>
      <c r="JXC3" s="120"/>
      <c r="JXD3" s="120"/>
      <c r="JXE3" s="120"/>
      <c r="JXF3" s="120"/>
      <c r="JXG3" s="120"/>
      <c r="JXH3" s="120"/>
      <c r="JXI3" s="120"/>
      <c r="JXJ3" s="120"/>
      <c r="JXK3" s="120"/>
      <c r="JXL3" s="120"/>
      <c r="JXM3" s="120"/>
      <c r="JXN3" s="120"/>
      <c r="JXO3" s="120"/>
      <c r="JXP3" s="120"/>
      <c r="JXQ3" s="120"/>
      <c r="JXR3" s="120"/>
      <c r="JXS3" s="120"/>
      <c r="JXT3" s="120"/>
      <c r="JXU3" s="120"/>
      <c r="JXV3" s="120"/>
      <c r="JXW3" s="120"/>
      <c r="JXX3" s="120"/>
      <c r="JXY3" s="120"/>
      <c r="JXZ3" s="120"/>
      <c r="JYA3" s="120"/>
      <c r="JYB3" s="120"/>
      <c r="JYC3" s="120"/>
      <c r="JYD3" s="120"/>
      <c r="JYE3" s="120"/>
      <c r="JYF3" s="120"/>
      <c r="JYG3" s="120"/>
      <c r="JYH3" s="120"/>
      <c r="JYI3" s="120"/>
      <c r="JYJ3" s="120"/>
      <c r="JYK3" s="120"/>
      <c r="JYL3" s="120"/>
      <c r="JYM3" s="120"/>
      <c r="JYN3" s="120"/>
      <c r="JYO3" s="120"/>
      <c r="JYP3" s="120"/>
      <c r="JYQ3" s="120"/>
      <c r="JYR3" s="120"/>
      <c r="JYS3" s="120"/>
      <c r="JYT3" s="120"/>
      <c r="JYU3" s="120"/>
      <c r="JYV3" s="120"/>
      <c r="JYW3" s="120"/>
      <c r="JYX3" s="120"/>
      <c r="JYY3" s="120"/>
      <c r="JYZ3" s="120"/>
      <c r="JZA3" s="120"/>
      <c r="JZB3" s="120"/>
      <c r="JZC3" s="120"/>
      <c r="JZD3" s="120"/>
      <c r="JZE3" s="120"/>
      <c r="JZF3" s="120"/>
      <c r="JZG3" s="120"/>
      <c r="JZH3" s="120"/>
      <c r="JZI3" s="120"/>
      <c r="JZJ3" s="120"/>
      <c r="JZK3" s="120"/>
      <c r="JZL3" s="120"/>
      <c r="JZM3" s="120"/>
      <c r="JZN3" s="120"/>
      <c r="JZO3" s="120"/>
      <c r="JZP3" s="120"/>
      <c r="JZQ3" s="120"/>
      <c r="JZR3" s="120"/>
      <c r="JZS3" s="120"/>
      <c r="JZT3" s="120"/>
      <c r="JZU3" s="120"/>
      <c r="JZV3" s="120"/>
      <c r="JZW3" s="120"/>
      <c r="JZX3" s="120"/>
      <c r="JZY3" s="120"/>
      <c r="JZZ3" s="120"/>
      <c r="KAA3" s="120"/>
      <c r="KAB3" s="120"/>
      <c r="KAC3" s="120"/>
      <c r="KAD3" s="120"/>
      <c r="KAE3" s="120"/>
      <c r="KAF3" s="120"/>
      <c r="KAG3" s="120"/>
      <c r="KAH3" s="120"/>
      <c r="KAI3" s="120"/>
      <c r="KAJ3" s="120"/>
      <c r="KAK3" s="120"/>
      <c r="KAL3" s="120"/>
      <c r="KAM3" s="120"/>
      <c r="KAN3" s="120"/>
      <c r="KAO3" s="120"/>
      <c r="KAP3" s="120"/>
      <c r="KAQ3" s="120"/>
      <c r="KAR3" s="120"/>
      <c r="KAS3" s="120"/>
      <c r="KAT3" s="120"/>
      <c r="KAU3" s="120"/>
      <c r="KAV3" s="120"/>
      <c r="KAW3" s="120"/>
      <c r="KAX3" s="120"/>
      <c r="KAY3" s="120"/>
      <c r="KAZ3" s="120"/>
      <c r="KBA3" s="120"/>
      <c r="KBB3" s="120"/>
      <c r="KBC3" s="120"/>
      <c r="KBD3" s="120"/>
      <c r="KBE3" s="120"/>
      <c r="KBF3" s="120"/>
      <c r="KBG3" s="120"/>
      <c r="KBH3" s="120"/>
      <c r="KBI3" s="120"/>
      <c r="KBJ3" s="120"/>
      <c r="KBK3" s="120"/>
      <c r="KBL3" s="120"/>
      <c r="KBM3" s="120"/>
      <c r="KBN3" s="120"/>
      <c r="KBO3" s="120"/>
      <c r="KBP3" s="120"/>
      <c r="KBQ3" s="120"/>
      <c r="KBR3" s="120"/>
      <c r="KBS3" s="120"/>
      <c r="KBT3" s="120"/>
      <c r="KBU3" s="120"/>
      <c r="KBV3" s="120"/>
      <c r="KBW3" s="120"/>
      <c r="KBX3" s="120"/>
      <c r="KBY3" s="120"/>
      <c r="KBZ3" s="120"/>
      <c r="KCA3" s="120"/>
      <c r="KCB3" s="120"/>
      <c r="KCC3" s="120"/>
      <c r="KCD3" s="120"/>
      <c r="KCE3" s="120"/>
      <c r="KCF3" s="120"/>
      <c r="KCG3" s="120"/>
      <c r="KCH3" s="120"/>
      <c r="KCI3" s="120"/>
      <c r="KCJ3" s="120"/>
      <c r="KCK3" s="120"/>
      <c r="KCL3" s="120"/>
      <c r="KCM3" s="120"/>
      <c r="KCN3" s="120"/>
      <c r="KCO3" s="120"/>
      <c r="KCP3" s="120"/>
      <c r="KCQ3" s="120"/>
      <c r="KCR3" s="120"/>
      <c r="KCS3" s="120"/>
      <c r="KCT3" s="120"/>
      <c r="KCU3" s="120"/>
      <c r="KCV3" s="120"/>
      <c r="KCW3" s="120"/>
      <c r="KCX3" s="120"/>
      <c r="KCY3" s="120"/>
      <c r="KCZ3" s="120"/>
      <c r="KDA3" s="120"/>
      <c r="KDB3" s="120"/>
      <c r="KDC3" s="120"/>
      <c r="KDD3" s="120"/>
      <c r="KDE3" s="120"/>
      <c r="KDF3" s="120"/>
      <c r="KDG3" s="120"/>
      <c r="KDH3" s="120"/>
      <c r="KDI3" s="120"/>
      <c r="KDJ3" s="120"/>
      <c r="KDK3" s="120"/>
      <c r="KDL3" s="120"/>
      <c r="KDM3" s="120"/>
      <c r="KDN3" s="120"/>
      <c r="KDO3" s="120"/>
      <c r="KDP3" s="120"/>
      <c r="KDQ3" s="120"/>
      <c r="KDR3" s="120"/>
      <c r="KDS3" s="120"/>
      <c r="KDT3" s="120"/>
      <c r="KDU3" s="120"/>
      <c r="KDV3" s="120"/>
      <c r="KDW3" s="120"/>
      <c r="KDX3" s="120"/>
      <c r="KDY3" s="120"/>
      <c r="KDZ3" s="120"/>
      <c r="KEA3" s="120"/>
      <c r="KEB3" s="120"/>
      <c r="KEC3" s="120"/>
      <c r="KED3" s="120"/>
      <c r="KEE3" s="120"/>
      <c r="KEF3" s="120"/>
      <c r="KEG3" s="120"/>
      <c r="KEH3" s="120"/>
      <c r="KEI3" s="120"/>
      <c r="KEJ3" s="120"/>
      <c r="KEK3" s="120"/>
      <c r="KEL3" s="120"/>
      <c r="KEM3" s="120"/>
      <c r="KEN3" s="120"/>
      <c r="KEO3" s="120"/>
      <c r="KEP3" s="120"/>
      <c r="KEQ3" s="120"/>
      <c r="KER3" s="120"/>
      <c r="KES3" s="120"/>
      <c r="KET3" s="120"/>
      <c r="KEU3" s="120"/>
      <c r="KEV3" s="120"/>
      <c r="KEW3" s="120"/>
      <c r="KEX3" s="120"/>
      <c r="KEY3" s="120"/>
      <c r="KEZ3" s="120"/>
      <c r="KFA3" s="120"/>
      <c r="KFB3" s="120"/>
      <c r="KFC3" s="120"/>
      <c r="KFD3" s="120"/>
      <c r="KFE3" s="120"/>
      <c r="KFF3" s="120"/>
      <c r="KFG3" s="120"/>
      <c r="KFH3" s="120"/>
      <c r="KFI3" s="120"/>
      <c r="KFJ3" s="120"/>
      <c r="KFK3" s="120"/>
      <c r="KFL3" s="120"/>
      <c r="KFM3" s="120"/>
      <c r="KFN3" s="120"/>
      <c r="KFO3" s="120"/>
      <c r="KFP3" s="120"/>
      <c r="KFQ3" s="120"/>
      <c r="KFR3" s="120"/>
      <c r="KFS3" s="120"/>
      <c r="KFT3" s="120"/>
      <c r="KFU3" s="120"/>
      <c r="KFV3" s="120"/>
      <c r="KFW3" s="120"/>
      <c r="KFX3" s="120"/>
      <c r="KFY3" s="120"/>
      <c r="KFZ3" s="120"/>
      <c r="KGA3" s="120"/>
      <c r="KGB3" s="120"/>
      <c r="KGC3" s="120"/>
      <c r="KGD3" s="120"/>
      <c r="KGE3" s="120"/>
      <c r="KGF3" s="120"/>
      <c r="KGG3" s="120"/>
      <c r="KGH3" s="120"/>
      <c r="KGI3" s="120"/>
      <c r="KGJ3" s="120"/>
      <c r="KGK3" s="120"/>
      <c r="KGL3" s="120"/>
      <c r="KGM3" s="120"/>
      <c r="KGN3" s="120"/>
      <c r="KGO3" s="120"/>
      <c r="KGP3" s="120"/>
      <c r="KGQ3" s="120"/>
      <c r="KGR3" s="120"/>
      <c r="KGS3" s="120"/>
      <c r="KGT3" s="120"/>
      <c r="KGU3" s="120"/>
      <c r="KGV3" s="120"/>
      <c r="KGW3" s="120"/>
      <c r="KGX3" s="120"/>
      <c r="KGY3" s="120"/>
      <c r="KGZ3" s="120"/>
      <c r="KHA3" s="120"/>
      <c r="KHB3" s="120"/>
      <c r="KHC3" s="120"/>
      <c r="KHD3" s="120"/>
      <c r="KHE3" s="120"/>
      <c r="KHF3" s="120"/>
      <c r="KHG3" s="120"/>
      <c r="KHH3" s="120"/>
      <c r="KHI3" s="120"/>
      <c r="KHJ3" s="120"/>
      <c r="KHK3" s="120"/>
      <c r="KHL3" s="120"/>
      <c r="KHM3" s="120"/>
      <c r="KHN3" s="120"/>
      <c r="KHO3" s="120"/>
      <c r="KHP3" s="120"/>
      <c r="KHQ3" s="120"/>
      <c r="KHR3" s="120"/>
      <c r="KHS3" s="120"/>
      <c r="KHT3" s="120"/>
      <c r="KHU3" s="120"/>
      <c r="KHV3" s="120"/>
      <c r="KHW3" s="120"/>
      <c r="KHX3" s="120"/>
      <c r="KHY3" s="120"/>
      <c r="KHZ3" s="120"/>
      <c r="KIA3" s="120"/>
      <c r="KIB3" s="120"/>
      <c r="KIC3" s="120"/>
      <c r="KID3" s="120"/>
      <c r="KIE3" s="120"/>
      <c r="KIF3" s="120"/>
      <c r="KIG3" s="120"/>
      <c r="KIH3" s="120"/>
      <c r="KII3" s="120"/>
      <c r="KIJ3" s="120"/>
      <c r="KIK3" s="120"/>
      <c r="KIL3" s="120"/>
      <c r="KIM3" s="120"/>
      <c r="KIN3" s="120"/>
      <c r="KIO3" s="120"/>
      <c r="KIP3" s="120"/>
      <c r="KIQ3" s="120"/>
      <c r="KIR3" s="120"/>
      <c r="KIS3" s="120"/>
      <c r="KIT3" s="120"/>
      <c r="KIU3" s="120"/>
      <c r="KIV3" s="120"/>
      <c r="KIW3" s="120"/>
      <c r="KIX3" s="120"/>
      <c r="KIY3" s="120"/>
      <c r="KIZ3" s="120"/>
      <c r="KJA3" s="120"/>
      <c r="KJB3" s="120"/>
      <c r="KJC3" s="120"/>
      <c r="KJD3" s="120"/>
      <c r="KJE3" s="120"/>
      <c r="KJF3" s="120"/>
      <c r="KJG3" s="120"/>
      <c r="KJH3" s="120"/>
      <c r="KJI3" s="120"/>
      <c r="KJJ3" s="120"/>
      <c r="KJK3" s="120"/>
      <c r="KJL3" s="120"/>
      <c r="KJM3" s="120"/>
      <c r="KJN3" s="120"/>
      <c r="KJO3" s="120"/>
      <c r="KJP3" s="120"/>
      <c r="KJQ3" s="120"/>
      <c r="KJR3" s="120"/>
      <c r="KJS3" s="120"/>
      <c r="KJT3" s="120"/>
      <c r="KJU3" s="120"/>
      <c r="KJV3" s="120"/>
      <c r="KJW3" s="120"/>
      <c r="KJX3" s="120"/>
      <c r="KJY3" s="120"/>
      <c r="KJZ3" s="120"/>
      <c r="KKA3" s="120"/>
      <c r="KKB3" s="120"/>
      <c r="KKC3" s="120"/>
      <c r="KKD3" s="120"/>
      <c r="KKE3" s="120"/>
      <c r="KKF3" s="120"/>
      <c r="KKG3" s="120"/>
      <c r="KKH3" s="120"/>
      <c r="KKI3" s="120"/>
      <c r="KKJ3" s="120"/>
      <c r="KKK3" s="120"/>
      <c r="KKL3" s="120"/>
      <c r="KKM3" s="120"/>
      <c r="KKN3" s="120"/>
      <c r="KKO3" s="120"/>
      <c r="KKP3" s="120"/>
      <c r="KKQ3" s="120"/>
      <c r="KKR3" s="120"/>
      <c r="KKS3" s="120"/>
      <c r="KKT3" s="120"/>
      <c r="KKU3" s="120"/>
      <c r="KKV3" s="120"/>
      <c r="KKW3" s="120"/>
      <c r="KKX3" s="120"/>
      <c r="KKY3" s="120"/>
      <c r="KKZ3" s="120"/>
      <c r="KLA3" s="120"/>
      <c r="KLB3" s="120"/>
      <c r="KLC3" s="120"/>
      <c r="KLD3" s="120"/>
      <c r="KLE3" s="120"/>
      <c r="KLF3" s="120"/>
      <c r="KLG3" s="120"/>
      <c r="KLH3" s="120"/>
      <c r="KLI3" s="120"/>
      <c r="KLJ3" s="120"/>
      <c r="KLK3" s="120"/>
      <c r="KLL3" s="120"/>
      <c r="KLM3" s="120"/>
      <c r="KLN3" s="120"/>
      <c r="KLO3" s="120"/>
      <c r="KLP3" s="120"/>
      <c r="KLQ3" s="120"/>
      <c r="KLR3" s="120"/>
      <c r="KLS3" s="120"/>
      <c r="KLT3" s="120"/>
      <c r="KLU3" s="120"/>
      <c r="KLV3" s="120"/>
      <c r="KLW3" s="120"/>
      <c r="KLX3" s="120"/>
      <c r="KLY3" s="120"/>
      <c r="KLZ3" s="120"/>
      <c r="KMA3" s="120"/>
      <c r="KMB3" s="120"/>
      <c r="KMC3" s="120"/>
      <c r="KMD3" s="120"/>
      <c r="KME3" s="120"/>
      <c r="KMF3" s="120"/>
      <c r="KMG3" s="120"/>
      <c r="KMH3" s="120"/>
      <c r="KMI3" s="120"/>
      <c r="KMJ3" s="120"/>
      <c r="KMK3" s="120"/>
      <c r="KML3" s="120"/>
      <c r="KMM3" s="120"/>
      <c r="KMN3" s="120"/>
      <c r="KMO3" s="120"/>
      <c r="KMP3" s="120"/>
      <c r="KMQ3" s="120"/>
      <c r="KMR3" s="120"/>
      <c r="KMS3" s="120"/>
      <c r="KMT3" s="120"/>
      <c r="KMU3" s="120"/>
      <c r="KMV3" s="120"/>
      <c r="KMW3" s="120"/>
      <c r="KMX3" s="120"/>
      <c r="KMY3" s="120"/>
      <c r="KMZ3" s="120"/>
      <c r="KNA3" s="120"/>
      <c r="KNB3" s="120"/>
      <c r="KNC3" s="120"/>
      <c r="KND3" s="120"/>
      <c r="KNE3" s="120"/>
      <c r="KNF3" s="120"/>
      <c r="KNG3" s="120"/>
      <c r="KNH3" s="120"/>
      <c r="KNI3" s="120"/>
      <c r="KNJ3" s="120"/>
      <c r="KNK3" s="120"/>
      <c r="KNL3" s="120"/>
      <c r="KNM3" s="120"/>
      <c r="KNN3" s="120"/>
      <c r="KNO3" s="120"/>
      <c r="KNP3" s="120"/>
      <c r="KNQ3" s="120"/>
      <c r="KNR3" s="120"/>
      <c r="KNS3" s="120"/>
      <c r="KNT3" s="120"/>
      <c r="KNU3" s="120"/>
      <c r="KNV3" s="120"/>
      <c r="KNW3" s="120"/>
      <c r="KNX3" s="120"/>
      <c r="KNY3" s="120"/>
      <c r="KNZ3" s="120"/>
      <c r="KOA3" s="120"/>
      <c r="KOB3" s="120"/>
      <c r="KOC3" s="120"/>
      <c r="KOD3" s="120"/>
      <c r="KOE3" s="120"/>
      <c r="KOF3" s="120"/>
      <c r="KOG3" s="120"/>
      <c r="KOH3" s="120"/>
      <c r="KOI3" s="120"/>
      <c r="KOJ3" s="120"/>
      <c r="KOK3" s="120"/>
      <c r="KOL3" s="120"/>
      <c r="KOM3" s="120"/>
      <c r="KON3" s="120"/>
      <c r="KOO3" s="120"/>
      <c r="KOP3" s="120"/>
      <c r="KOQ3" s="120"/>
      <c r="KOR3" s="120"/>
      <c r="KOS3" s="120"/>
      <c r="KOT3" s="120"/>
      <c r="KOU3" s="120"/>
      <c r="KOV3" s="120"/>
      <c r="KOW3" s="120"/>
      <c r="KOX3" s="120"/>
      <c r="KOY3" s="120"/>
      <c r="KOZ3" s="120"/>
      <c r="KPA3" s="120"/>
      <c r="KPB3" s="120"/>
      <c r="KPC3" s="120"/>
      <c r="KPD3" s="120"/>
      <c r="KPE3" s="120"/>
      <c r="KPF3" s="120"/>
      <c r="KPG3" s="120"/>
      <c r="KPH3" s="120"/>
      <c r="KPI3" s="120"/>
      <c r="KPJ3" s="120"/>
      <c r="KPK3" s="120"/>
      <c r="KPL3" s="120"/>
      <c r="KPM3" s="120"/>
      <c r="KPN3" s="120"/>
      <c r="KPO3" s="120"/>
      <c r="KPP3" s="120"/>
      <c r="KPQ3" s="120"/>
      <c r="KPR3" s="120"/>
      <c r="KPS3" s="120"/>
      <c r="KPT3" s="120"/>
      <c r="KPU3" s="120"/>
      <c r="KPV3" s="120"/>
      <c r="KPW3" s="120"/>
      <c r="KPX3" s="120"/>
      <c r="KPY3" s="120"/>
      <c r="KPZ3" s="120"/>
      <c r="KQA3" s="120"/>
      <c r="KQB3" s="120"/>
      <c r="KQC3" s="120"/>
      <c r="KQD3" s="120"/>
      <c r="KQE3" s="120"/>
      <c r="KQF3" s="120"/>
      <c r="KQG3" s="120"/>
      <c r="KQH3" s="120"/>
      <c r="KQI3" s="120"/>
      <c r="KQJ3" s="120"/>
      <c r="KQK3" s="120"/>
      <c r="KQL3" s="120"/>
      <c r="KQM3" s="120"/>
      <c r="KQN3" s="120"/>
      <c r="KQO3" s="120"/>
      <c r="KQP3" s="120"/>
      <c r="KQQ3" s="120"/>
      <c r="KQR3" s="120"/>
      <c r="KQS3" s="120"/>
      <c r="KQT3" s="120"/>
      <c r="KQU3" s="120"/>
      <c r="KQV3" s="120"/>
      <c r="KQW3" s="120"/>
      <c r="KQX3" s="120"/>
      <c r="KQY3" s="120"/>
      <c r="KQZ3" s="120"/>
      <c r="KRA3" s="120"/>
      <c r="KRB3" s="120"/>
      <c r="KRC3" s="120"/>
      <c r="KRD3" s="120"/>
      <c r="KRE3" s="120"/>
      <c r="KRF3" s="120"/>
      <c r="KRG3" s="120"/>
      <c r="KRH3" s="120"/>
      <c r="KRI3" s="120"/>
      <c r="KRJ3" s="120"/>
      <c r="KRK3" s="120"/>
      <c r="KRL3" s="120"/>
      <c r="KRM3" s="120"/>
      <c r="KRN3" s="120"/>
      <c r="KRO3" s="120"/>
      <c r="KRP3" s="120"/>
      <c r="KRQ3" s="120"/>
      <c r="KRR3" s="120"/>
      <c r="KRS3" s="120"/>
      <c r="KRT3" s="120"/>
      <c r="KRU3" s="120"/>
      <c r="KRV3" s="120"/>
      <c r="KRW3" s="120"/>
      <c r="KRX3" s="120"/>
      <c r="KRY3" s="120"/>
      <c r="KRZ3" s="120"/>
      <c r="KSA3" s="120"/>
      <c r="KSB3" s="120"/>
      <c r="KSC3" s="120"/>
      <c r="KSD3" s="120"/>
      <c r="KSE3" s="120"/>
      <c r="KSF3" s="120"/>
      <c r="KSG3" s="120"/>
      <c r="KSH3" s="120"/>
      <c r="KSI3" s="120"/>
      <c r="KSJ3" s="120"/>
      <c r="KSK3" s="120"/>
      <c r="KSL3" s="120"/>
      <c r="KSM3" s="120"/>
      <c r="KSN3" s="120"/>
      <c r="KSO3" s="120"/>
      <c r="KSP3" s="120"/>
      <c r="KSQ3" s="120"/>
      <c r="KSR3" s="120"/>
      <c r="KSS3" s="120"/>
      <c r="KST3" s="120"/>
      <c r="KSU3" s="120"/>
      <c r="KSV3" s="120"/>
      <c r="KSW3" s="120"/>
      <c r="KSX3" s="120"/>
      <c r="KSY3" s="120"/>
      <c r="KSZ3" s="120"/>
      <c r="KTA3" s="120"/>
      <c r="KTB3" s="120"/>
      <c r="KTC3" s="120"/>
      <c r="KTD3" s="120"/>
      <c r="KTE3" s="120"/>
      <c r="KTF3" s="120"/>
      <c r="KTG3" s="120"/>
      <c r="KTH3" s="120"/>
      <c r="KTI3" s="120"/>
      <c r="KTJ3" s="120"/>
      <c r="KTK3" s="120"/>
      <c r="KTL3" s="120"/>
      <c r="KTM3" s="120"/>
      <c r="KTN3" s="120"/>
      <c r="KTO3" s="120"/>
      <c r="KTP3" s="120"/>
      <c r="KTQ3" s="120"/>
      <c r="KTR3" s="120"/>
      <c r="KTS3" s="120"/>
      <c r="KTT3" s="120"/>
      <c r="KTU3" s="120"/>
      <c r="KTV3" s="120"/>
      <c r="KTW3" s="120"/>
      <c r="KTX3" s="120"/>
      <c r="KTY3" s="120"/>
      <c r="KTZ3" s="120"/>
      <c r="KUA3" s="120"/>
      <c r="KUB3" s="120"/>
      <c r="KUC3" s="120"/>
      <c r="KUD3" s="120"/>
      <c r="KUE3" s="120"/>
      <c r="KUF3" s="120"/>
      <c r="KUG3" s="120"/>
      <c r="KUH3" s="120"/>
      <c r="KUI3" s="120"/>
      <c r="KUJ3" s="120"/>
      <c r="KUK3" s="120"/>
      <c r="KUL3" s="120"/>
      <c r="KUM3" s="120"/>
      <c r="KUN3" s="120"/>
      <c r="KUO3" s="120"/>
      <c r="KUP3" s="120"/>
      <c r="KUQ3" s="120"/>
      <c r="KUR3" s="120"/>
      <c r="KUS3" s="120"/>
      <c r="KUT3" s="120"/>
      <c r="KUU3" s="120"/>
      <c r="KUV3" s="120"/>
      <c r="KUW3" s="120"/>
      <c r="KUX3" s="120"/>
      <c r="KUY3" s="120"/>
      <c r="KUZ3" s="120"/>
      <c r="KVA3" s="120"/>
      <c r="KVB3" s="120"/>
      <c r="KVC3" s="120"/>
      <c r="KVD3" s="120"/>
      <c r="KVE3" s="120"/>
      <c r="KVF3" s="120"/>
      <c r="KVG3" s="120"/>
      <c r="KVH3" s="120"/>
      <c r="KVI3" s="120"/>
      <c r="KVJ3" s="120"/>
      <c r="KVK3" s="120"/>
      <c r="KVL3" s="120"/>
      <c r="KVM3" s="120"/>
      <c r="KVN3" s="120"/>
      <c r="KVO3" s="120"/>
      <c r="KVP3" s="120"/>
      <c r="KVQ3" s="120"/>
      <c r="KVR3" s="120"/>
      <c r="KVS3" s="120"/>
      <c r="KVT3" s="120"/>
      <c r="KVU3" s="120"/>
      <c r="KVV3" s="120"/>
      <c r="KVW3" s="120"/>
      <c r="KVX3" s="120"/>
      <c r="KVY3" s="120"/>
      <c r="KVZ3" s="120"/>
      <c r="KWA3" s="120"/>
      <c r="KWB3" s="120"/>
      <c r="KWC3" s="120"/>
      <c r="KWD3" s="120"/>
      <c r="KWE3" s="120"/>
      <c r="KWF3" s="120"/>
      <c r="KWG3" s="120"/>
      <c r="KWH3" s="120"/>
      <c r="KWI3" s="120"/>
      <c r="KWJ3" s="120"/>
      <c r="KWK3" s="120"/>
      <c r="KWL3" s="120"/>
      <c r="KWM3" s="120"/>
      <c r="KWN3" s="120"/>
      <c r="KWO3" s="120"/>
      <c r="KWP3" s="120"/>
      <c r="KWQ3" s="120"/>
      <c r="KWR3" s="120"/>
      <c r="KWS3" s="120"/>
      <c r="KWT3" s="120"/>
      <c r="KWU3" s="120"/>
      <c r="KWV3" s="120"/>
      <c r="KWW3" s="120"/>
      <c r="KWX3" s="120"/>
      <c r="KWY3" s="120"/>
      <c r="KWZ3" s="120"/>
      <c r="KXA3" s="120"/>
      <c r="KXB3" s="120"/>
      <c r="KXC3" s="120"/>
      <c r="KXD3" s="120"/>
      <c r="KXE3" s="120"/>
      <c r="KXF3" s="120"/>
      <c r="KXG3" s="120"/>
      <c r="KXH3" s="120"/>
      <c r="KXI3" s="120"/>
      <c r="KXJ3" s="120"/>
      <c r="KXK3" s="120"/>
      <c r="KXL3" s="120"/>
      <c r="KXM3" s="120"/>
      <c r="KXN3" s="120"/>
      <c r="KXO3" s="120"/>
      <c r="KXP3" s="120"/>
      <c r="KXQ3" s="120"/>
      <c r="KXR3" s="120"/>
      <c r="KXS3" s="120"/>
      <c r="KXT3" s="120"/>
      <c r="KXU3" s="120"/>
      <c r="KXV3" s="120"/>
      <c r="KXW3" s="120"/>
      <c r="KXX3" s="120"/>
      <c r="KXY3" s="120"/>
      <c r="KXZ3" s="120"/>
      <c r="KYA3" s="120"/>
      <c r="KYB3" s="120"/>
      <c r="KYC3" s="120"/>
      <c r="KYD3" s="120"/>
      <c r="KYE3" s="120"/>
      <c r="KYF3" s="120"/>
      <c r="KYG3" s="120"/>
      <c r="KYH3" s="120"/>
      <c r="KYI3" s="120"/>
      <c r="KYJ3" s="120"/>
      <c r="KYK3" s="120"/>
      <c r="KYL3" s="120"/>
      <c r="KYM3" s="120"/>
      <c r="KYN3" s="120"/>
      <c r="KYO3" s="120"/>
      <c r="KYP3" s="120"/>
      <c r="KYQ3" s="120"/>
      <c r="KYR3" s="120"/>
      <c r="KYS3" s="120"/>
      <c r="KYT3" s="120"/>
      <c r="KYU3" s="120"/>
      <c r="KYV3" s="120"/>
      <c r="KYW3" s="120"/>
      <c r="KYX3" s="120"/>
      <c r="KYY3" s="120"/>
      <c r="KYZ3" s="120"/>
      <c r="KZA3" s="120"/>
      <c r="KZB3" s="120"/>
      <c r="KZC3" s="120"/>
      <c r="KZD3" s="120"/>
      <c r="KZE3" s="120"/>
      <c r="KZF3" s="120"/>
      <c r="KZG3" s="120"/>
      <c r="KZH3" s="120"/>
      <c r="KZI3" s="120"/>
      <c r="KZJ3" s="120"/>
      <c r="KZK3" s="120"/>
      <c r="KZL3" s="120"/>
      <c r="KZM3" s="120"/>
      <c r="KZN3" s="120"/>
      <c r="KZO3" s="120"/>
      <c r="KZP3" s="120"/>
      <c r="KZQ3" s="120"/>
      <c r="KZR3" s="120"/>
      <c r="KZS3" s="120"/>
      <c r="KZT3" s="120"/>
      <c r="KZU3" s="120"/>
      <c r="KZV3" s="120"/>
      <c r="KZW3" s="120"/>
      <c r="KZX3" s="120"/>
      <c r="KZY3" s="120"/>
      <c r="KZZ3" s="120"/>
      <c r="LAA3" s="120"/>
      <c r="LAB3" s="120"/>
      <c r="LAC3" s="120"/>
      <c r="LAD3" s="120"/>
      <c r="LAE3" s="120"/>
      <c r="LAF3" s="120"/>
      <c r="LAG3" s="120"/>
      <c r="LAH3" s="120"/>
      <c r="LAI3" s="120"/>
      <c r="LAJ3" s="120"/>
      <c r="LAK3" s="120"/>
      <c r="LAL3" s="120"/>
      <c r="LAM3" s="120"/>
      <c r="LAN3" s="120"/>
      <c r="LAO3" s="120"/>
      <c r="LAP3" s="120"/>
      <c r="LAQ3" s="120"/>
      <c r="LAR3" s="120"/>
      <c r="LAS3" s="120"/>
      <c r="LAT3" s="120"/>
      <c r="LAU3" s="120"/>
      <c r="LAV3" s="120"/>
      <c r="LAW3" s="120"/>
      <c r="LAX3" s="120"/>
      <c r="LAY3" s="120"/>
      <c r="LAZ3" s="120"/>
      <c r="LBA3" s="120"/>
      <c r="LBB3" s="120"/>
      <c r="LBC3" s="120"/>
      <c r="LBD3" s="120"/>
      <c r="LBE3" s="120"/>
      <c r="LBF3" s="120"/>
      <c r="LBG3" s="120"/>
      <c r="LBH3" s="120"/>
      <c r="LBI3" s="120"/>
      <c r="LBJ3" s="120"/>
      <c r="LBK3" s="120"/>
      <c r="LBL3" s="120"/>
      <c r="LBM3" s="120"/>
      <c r="LBN3" s="120"/>
      <c r="LBO3" s="120"/>
      <c r="LBP3" s="120"/>
      <c r="LBQ3" s="120"/>
      <c r="LBR3" s="120"/>
      <c r="LBS3" s="120"/>
      <c r="LBT3" s="120"/>
      <c r="LBU3" s="120"/>
      <c r="LBV3" s="120"/>
      <c r="LBW3" s="120"/>
      <c r="LBX3" s="120"/>
      <c r="LBY3" s="120"/>
      <c r="LBZ3" s="120"/>
      <c r="LCA3" s="120"/>
      <c r="LCB3" s="120"/>
      <c r="LCC3" s="120"/>
      <c r="LCD3" s="120"/>
      <c r="LCE3" s="120"/>
      <c r="LCF3" s="120"/>
      <c r="LCG3" s="120"/>
      <c r="LCH3" s="120"/>
      <c r="LCI3" s="120"/>
      <c r="LCJ3" s="120"/>
      <c r="LCK3" s="120"/>
      <c r="LCL3" s="120"/>
      <c r="LCM3" s="120"/>
      <c r="LCN3" s="120"/>
      <c r="LCO3" s="120"/>
      <c r="LCP3" s="120"/>
      <c r="LCQ3" s="120"/>
      <c r="LCR3" s="120"/>
      <c r="LCS3" s="120"/>
      <c r="LCT3" s="120"/>
      <c r="LCU3" s="120"/>
      <c r="LCV3" s="120"/>
      <c r="LCW3" s="120"/>
      <c r="LCX3" s="120"/>
      <c r="LCY3" s="120"/>
      <c r="LCZ3" s="120"/>
      <c r="LDA3" s="120"/>
      <c r="LDB3" s="120"/>
      <c r="LDC3" s="120"/>
      <c r="LDD3" s="120"/>
      <c r="LDE3" s="120"/>
      <c r="LDF3" s="120"/>
      <c r="LDG3" s="120"/>
      <c r="LDH3" s="120"/>
      <c r="LDI3" s="120"/>
      <c r="LDJ3" s="120"/>
      <c r="LDK3" s="120"/>
      <c r="LDL3" s="120"/>
      <c r="LDM3" s="120"/>
      <c r="LDN3" s="120"/>
      <c r="LDO3" s="120"/>
      <c r="LDP3" s="120"/>
      <c r="LDQ3" s="120"/>
      <c r="LDR3" s="120"/>
      <c r="LDS3" s="120"/>
      <c r="LDT3" s="120"/>
      <c r="LDU3" s="120"/>
      <c r="LDV3" s="120"/>
      <c r="LDW3" s="120"/>
      <c r="LDX3" s="120"/>
      <c r="LDY3" s="120"/>
      <c r="LDZ3" s="120"/>
      <c r="LEA3" s="120"/>
      <c r="LEB3" s="120"/>
      <c r="LEC3" s="120"/>
      <c r="LED3" s="120"/>
      <c r="LEE3" s="120"/>
      <c r="LEF3" s="120"/>
      <c r="LEG3" s="120"/>
      <c r="LEH3" s="120"/>
      <c r="LEI3" s="120"/>
      <c r="LEJ3" s="120"/>
      <c r="LEK3" s="120"/>
      <c r="LEL3" s="120"/>
      <c r="LEM3" s="120"/>
      <c r="LEN3" s="120"/>
      <c r="LEO3" s="120"/>
      <c r="LEP3" s="120"/>
      <c r="LEQ3" s="120"/>
      <c r="LER3" s="120"/>
      <c r="LES3" s="120"/>
      <c r="LET3" s="120"/>
      <c r="LEU3" s="120"/>
      <c r="LEV3" s="120"/>
      <c r="LEW3" s="120"/>
      <c r="LEX3" s="120"/>
      <c r="LEY3" s="120"/>
      <c r="LEZ3" s="120"/>
      <c r="LFA3" s="120"/>
      <c r="LFB3" s="120"/>
      <c r="LFC3" s="120"/>
      <c r="LFD3" s="120"/>
      <c r="LFE3" s="120"/>
      <c r="LFF3" s="120"/>
      <c r="LFG3" s="120"/>
      <c r="LFH3" s="120"/>
      <c r="LFI3" s="120"/>
      <c r="LFJ3" s="120"/>
      <c r="LFK3" s="120"/>
      <c r="LFL3" s="120"/>
      <c r="LFM3" s="120"/>
      <c r="LFN3" s="120"/>
      <c r="LFO3" s="120"/>
      <c r="LFP3" s="120"/>
      <c r="LFQ3" s="120"/>
      <c r="LFR3" s="120"/>
      <c r="LFS3" s="120"/>
      <c r="LFT3" s="120"/>
      <c r="LFU3" s="120"/>
      <c r="LFV3" s="120"/>
      <c r="LFW3" s="120"/>
      <c r="LFX3" s="120"/>
      <c r="LFY3" s="120"/>
      <c r="LFZ3" s="120"/>
      <c r="LGA3" s="120"/>
      <c r="LGB3" s="120"/>
      <c r="LGC3" s="120"/>
      <c r="LGD3" s="120"/>
      <c r="LGE3" s="120"/>
      <c r="LGF3" s="120"/>
      <c r="LGG3" s="120"/>
      <c r="LGH3" s="120"/>
      <c r="LGI3" s="120"/>
      <c r="LGJ3" s="120"/>
      <c r="LGK3" s="120"/>
      <c r="LGL3" s="120"/>
      <c r="LGM3" s="120"/>
      <c r="LGN3" s="120"/>
      <c r="LGO3" s="120"/>
      <c r="LGP3" s="120"/>
      <c r="LGQ3" s="120"/>
      <c r="LGR3" s="120"/>
      <c r="LGS3" s="120"/>
      <c r="LGT3" s="120"/>
      <c r="LGU3" s="120"/>
      <c r="LGV3" s="120"/>
      <c r="LGW3" s="120"/>
      <c r="LGX3" s="120"/>
      <c r="LGY3" s="120"/>
      <c r="LGZ3" s="120"/>
      <c r="LHA3" s="120"/>
      <c r="LHB3" s="120"/>
      <c r="LHC3" s="120"/>
      <c r="LHD3" s="120"/>
      <c r="LHE3" s="120"/>
      <c r="LHF3" s="120"/>
      <c r="LHG3" s="120"/>
      <c r="LHH3" s="120"/>
      <c r="LHI3" s="120"/>
      <c r="LHJ3" s="120"/>
      <c r="LHK3" s="120"/>
      <c r="LHL3" s="120"/>
      <c r="LHM3" s="120"/>
      <c r="LHN3" s="120"/>
      <c r="LHO3" s="120"/>
      <c r="LHP3" s="120"/>
      <c r="LHQ3" s="120"/>
      <c r="LHR3" s="120"/>
      <c r="LHS3" s="120"/>
      <c r="LHT3" s="120"/>
      <c r="LHU3" s="120"/>
      <c r="LHV3" s="120"/>
      <c r="LHW3" s="120"/>
      <c r="LHX3" s="120"/>
      <c r="LHY3" s="120"/>
      <c r="LHZ3" s="120"/>
      <c r="LIA3" s="120"/>
      <c r="LIB3" s="120"/>
      <c r="LIC3" s="120"/>
      <c r="LID3" s="120"/>
      <c r="LIE3" s="120"/>
      <c r="LIF3" s="120"/>
      <c r="LIG3" s="120"/>
      <c r="LIH3" s="120"/>
      <c r="LII3" s="120"/>
      <c r="LIJ3" s="120"/>
      <c r="LIK3" s="120"/>
      <c r="LIL3" s="120"/>
      <c r="LIM3" s="120"/>
      <c r="LIN3" s="120"/>
      <c r="LIO3" s="120"/>
      <c r="LIP3" s="120"/>
      <c r="LIQ3" s="120"/>
      <c r="LIR3" s="120"/>
      <c r="LIS3" s="120"/>
      <c r="LIT3" s="120"/>
      <c r="LIU3" s="120"/>
      <c r="LIV3" s="120"/>
      <c r="LIW3" s="120"/>
      <c r="LIX3" s="120"/>
      <c r="LIY3" s="120"/>
      <c r="LIZ3" s="120"/>
      <c r="LJA3" s="120"/>
      <c r="LJB3" s="120"/>
      <c r="LJC3" s="120"/>
      <c r="LJD3" s="120"/>
      <c r="LJE3" s="120"/>
      <c r="LJF3" s="120"/>
      <c r="LJG3" s="120"/>
      <c r="LJH3" s="120"/>
      <c r="LJI3" s="120"/>
      <c r="LJJ3" s="120"/>
      <c r="LJK3" s="120"/>
      <c r="LJL3" s="120"/>
      <c r="LJM3" s="120"/>
      <c r="LJN3" s="120"/>
      <c r="LJO3" s="120"/>
      <c r="LJP3" s="120"/>
      <c r="LJQ3" s="120"/>
      <c r="LJR3" s="120"/>
      <c r="LJS3" s="120"/>
      <c r="LJT3" s="120"/>
      <c r="LJU3" s="120"/>
      <c r="LJV3" s="120"/>
      <c r="LJW3" s="120"/>
      <c r="LJX3" s="120"/>
      <c r="LJY3" s="120"/>
      <c r="LJZ3" s="120"/>
      <c r="LKA3" s="120"/>
      <c r="LKB3" s="120"/>
      <c r="LKC3" s="120"/>
      <c r="LKD3" s="120"/>
      <c r="LKE3" s="120"/>
      <c r="LKF3" s="120"/>
      <c r="LKG3" s="120"/>
      <c r="LKH3" s="120"/>
      <c r="LKI3" s="120"/>
      <c r="LKJ3" s="120"/>
      <c r="LKK3" s="120"/>
      <c r="LKL3" s="120"/>
      <c r="LKM3" s="120"/>
      <c r="LKN3" s="120"/>
      <c r="LKO3" s="120"/>
      <c r="LKP3" s="120"/>
      <c r="LKQ3" s="120"/>
      <c r="LKR3" s="120"/>
      <c r="LKS3" s="120"/>
      <c r="LKT3" s="120"/>
      <c r="LKU3" s="120"/>
      <c r="LKV3" s="120"/>
      <c r="LKW3" s="120"/>
      <c r="LKX3" s="120"/>
      <c r="LKY3" s="120"/>
      <c r="LKZ3" s="120"/>
      <c r="LLA3" s="120"/>
      <c r="LLB3" s="120"/>
      <c r="LLC3" s="120"/>
      <c r="LLD3" s="120"/>
      <c r="LLE3" s="120"/>
      <c r="LLF3" s="120"/>
      <c r="LLG3" s="120"/>
      <c r="LLH3" s="120"/>
      <c r="LLI3" s="120"/>
      <c r="LLJ3" s="120"/>
      <c r="LLK3" s="120"/>
      <c r="LLL3" s="120"/>
      <c r="LLM3" s="120"/>
      <c r="LLN3" s="120"/>
      <c r="LLO3" s="120"/>
      <c r="LLP3" s="120"/>
      <c r="LLQ3" s="120"/>
      <c r="LLR3" s="120"/>
      <c r="LLS3" s="120"/>
      <c r="LLT3" s="120"/>
      <c r="LLU3" s="120"/>
      <c r="LLV3" s="120"/>
      <c r="LLW3" s="120"/>
      <c r="LLX3" s="120"/>
      <c r="LLY3" s="120"/>
      <c r="LLZ3" s="120"/>
      <c r="LMA3" s="120"/>
      <c r="LMB3" s="120"/>
      <c r="LMC3" s="120"/>
      <c r="LMD3" s="120"/>
      <c r="LME3" s="120"/>
      <c r="LMF3" s="120"/>
      <c r="LMG3" s="120"/>
      <c r="LMH3" s="120"/>
      <c r="LMI3" s="120"/>
      <c r="LMJ3" s="120"/>
      <c r="LMK3" s="120"/>
      <c r="LML3" s="120"/>
      <c r="LMM3" s="120"/>
      <c r="LMN3" s="120"/>
      <c r="LMO3" s="120"/>
      <c r="LMP3" s="120"/>
      <c r="LMQ3" s="120"/>
      <c r="LMR3" s="120"/>
      <c r="LMS3" s="120"/>
      <c r="LMT3" s="120"/>
      <c r="LMU3" s="120"/>
      <c r="LMV3" s="120"/>
      <c r="LMW3" s="120"/>
      <c r="LMX3" s="120"/>
      <c r="LMY3" s="120"/>
      <c r="LMZ3" s="120"/>
      <c r="LNA3" s="120"/>
      <c r="LNB3" s="120"/>
      <c r="LNC3" s="120"/>
      <c r="LND3" s="120"/>
      <c r="LNE3" s="120"/>
      <c r="LNF3" s="120"/>
      <c r="LNG3" s="120"/>
      <c r="LNH3" s="120"/>
      <c r="LNI3" s="120"/>
      <c r="LNJ3" s="120"/>
      <c r="LNK3" s="120"/>
      <c r="LNL3" s="120"/>
      <c r="LNM3" s="120"/>
      <c r="LNN3" s="120"/>
      <c r="LNO3" s="120"/>
      <c r="LNP3" s="120"/>
      <c r="LNQ3" s="120"/>
      <c r="LNR3" s="120"/>
      <c r="LNS3" s="120"/>
      <c r="LNT3" s="120"/>
      <c r="LNU3" s="120"/>
      <c r="LNV3" s="120"/>
      <c r="LNW3" s="120"/>
      <c r="LNX3" s="120"/>
      <c r="LNY3" s="120"/>
      <c r="LNZ3" s="120"/>
      <c r="LOA3" s="120"/>
      <c r="LOB3" s="120"/>
      <c r="LOC3" s="120"/>
      <c r="LOD3" s="120"/>
      <c r="LOE3" s="120"/>
      <c r="LOF3" s="120"/>
      <c r="LOG3" s="120"/>
      <c r="LOH3" s="120"/>
      <c r="LOI3" s="120"/>
      <c r="LOJ3" s="120"/>
      <c r="LOK3" s="120"/>
      <c r="LOL3" s="120"/>
      <c r="LOM3" s="120"/>
      <c r="LON3" s="120"/>
      <c r="LOO3" s="120"/>
      <c r="LOP3" s="120"/>
      <c r="LOQ3" s="120"/>
      <c r="LOR3" s="120"/>
      <c r="LOS3" s="120"/>
      <c r="LOT3" s="120"/>
      <c r="LOU3" s="120"/>
      <c r="LOV3" s="120"/>
      <c r="LOW3" s="120"/>
      <c r="LOX3" s="120"/>
      <c r="LOY3" s="120"/>
      <c r="LOZ3" s="120"/>
      <c r="LPA3" s="120"/>
      <c r="LPB3" s="120"/>
      <c r="LPC3" s="120"/>
      <c r="LPD3" s="120"/>
      <c r="LPE3" s="120"/>
      <c r="LPF3" s="120"/>
      <c r="LPG3" s="120"/>
      <c r="LPH3" s="120"/>
      <c r="LPI3" s="120"/>
      <c r="LPJ3" s="120"/>
      <c r="LPK3" s="120"/>
      <c r="LPL3" s="120"/>
      <c r="LPM3" s="120"/>
      <c r="LPN3" s="120"/>
      <c r="LPO3" s="120"/>
      <c r="LPP3" s="120"/>
      <c r="LPQ3" s="120"/>
      <c r="LPR3" s="120"/>
      <c r="LPS3" s="120"/>
      <c r="LPT3" s="120"/>
      <c r="LPU3" s="120"/>
      <c r="LPV3" s="120"/>
      <c r="LPW3" s="120"/>
      <c r="LPX3" s="120"/>
      <c r="LPY3" s="120"/>
      <c r="LPZ3" s="120"/>
      <c r="LQA3" s="120"/>
      <c r="LQB3" s="120"/>
      <c r="LQC3" s="120"/>
      <c r="LQD3" s="120"/>
      <c r="LQE3" s="120"/>
      <c r="LQF3" s="120"/>
      <c r="LQG3" s="120"/>
      <c r="LQH3" s="120"/>
      <c r="LQI3" s="120"/>
      <c r="LQJ3" s="120"/>
      <c r="LQK3" s="120"/>
      <c r="LQL3" s="120"/>
      <c r="LQM3" s="120"/>
      <c r="LQN3" s="120"/>
      <c r="LQO3" s="120"/>
      <c r="LQP3" s="120"/>
      <c r="LQQ3" s="120"/>
      <c r="LQR3" s="120"/>
      <c r="LQS3" s="120"/>
      <c r="LQT3" s="120"/>
      <c r="LQU3" s="120"/>
      <c r="LQV3" s="120"/>
      <c r="LQW3" s="120"/>
      <c r="LQX3" s="120"/>
      <c r="LQY3" s="120"/>
      <c r="LQZ3" s="120"/>
      <c r="LRA3" s="120"/>
      <c r="LRB3" s="120"/>
      <c r="LRC3" s="120"/>
      <c r="LRD3" s="120"/>
      <c r="LRE3" s="120"/>
      <c r="LRF3" s="120"/>
      <c r="LRG3" s="120"/>
      <c r="LRH3" s="120"/>
      <c r="LRI3" s="120"/>
      <c r="LRJ3" s="120"/>
      <c r="LRK3" s="120"/>
      <c r="LRL3" s="120"/>
      <c r="LRM3" s="120"/>
      <c r="LRN3" s="120"/>
      <c r="LRO3" s="120"/>
      <c r="LRP3" s="120"/>
      <c r="LRQ3" s="120"/>
      <c r="LRR3" s="120"/>
      <c r="LRS3" s="120"/>
      <c r="LRT3" s="120"/>
      <c r="LRU3" s="120"/>
      <c r="LRV3" s="120"/>
      <c r="LRW3" s="120"/>
      <c r="LRX3" s="120"/>
      <c r="LRY3" s="120"/>
      <c r="LRZ3" s="120"/>
      <c r="LSA3" s="120"/>
      <c r="LSB3" s="120"/>
      <c r="LSC3" s="120"/>
      <c r="LSD3" s="120"/>
      <c r="LSE3" s="120"/>
      <c r="LSF3" s="120"/>
      <c r="LSG3" s="120"/>
      <c r="LSH3" s="120"/>
      <c r="LSI3" s="120"/>
      <c r="LSJ3" s="120"/>
      <c r="LSK3" s="120"/>
      <c r="LSL3" s="120"/>
      <c r="LSM3" s="120"/>
      <c r="LSN3" s="120"/>
      <c r="LSO3" s="120"/>
      <c r="LSP3" s="120"/>
      <c r="LSQ3" s="120"/>
      <c r="LSR3" s="120"/>
      <c r="LSS3" s="120"/>
      <c r="LST3" s="120"/>
      <c r="LSU3" s="120"/>
      <c r="LSV3" s="120"/>
      <c r="LSW3" s="120"/>
      <c r="LSX3" s="120"/>
      <c r="LSY3" s="120"/>
      <c r="LSZ3" s="120"/>
      <c r="LTA3" s="120"/>
      <c r="LTB3" s="120"/>
      <c r="LTC3" s="120"/>
      <c r="LTD3" s="120"/>
      <c r="LTE3" s="120"/>
      <c r="LTF3" s="120"/>
      <c r="LTG3" s="120"/>
      <c r="LTH3" s="120"/>
      <c r="LTI3" s="120"/>
      <c r="LTJ3" s="120"/>
      <c r="LTK3" s="120"/>
      <c r="LTL3" s="120"/>
      <c r="LTM3" s="120"/>
      <c r="LTN3" s="120"/>
      <c r="LTO3" s="120"/>
      <c r="LTP3" s="120"/>
      <c r="LTQ3" s="120"/>
      <c r="LTR3" s="120"/>
      <c r="LTS3" s="120"/>
      <c r="LTT3" s="120"/>
      <c r="LTU3" s="120"/>
      <c r="LTV3" s="120"/>
      <c r="LTW3" s="120"/>
      <c r="LTX3" s="120"/>
      <c r="LTY3" s="120"/>
      <c r="LTZ3" s="120"/>
      <c r="LUA3" s="120"/>
      <c r="LUB3" s="120"/>
      <c r="LUC3" s="120"/>
      <c r="LUD3" s="120"/>
      <c r="LUE3" s="120"/>
      <c r="LUF3" s="120"/>
      <c r="LUG3" s="120"/>
      <c r="LUH3" s="120"/>
      <c r="LUI3" s="120"/>
      <c r="LUJ3" s="120"/>
      <c r="LUK3" s="120"/>
      <c r="LUL3" s="120"/>
      <c r="LUM3" s="120"/>
      <c r="LUN3" s="120"/>
      <c r="LUO3" s="120"/>
      <c r="LUP3" s="120"/>
      <c r="LUQ3" s="120"/>
      <c r="LUR3" s="120"/>
      <c r="LUS3" s="120"/>
      <c r="LUT3" s="120"/>
      <c r="LUU3" s="120"/>
      <c r="LUV3" s="120"/>
      <c r="LUW3" s="120"/>
      <c r="LUX3" s="120"/>
      <c r="LUY3" s="120"/>
      <c r="LUZ3" s="120"/>
      <c r="LVA3" s="120"/>
      <c r="LVB3" s="120"/>
      <c r="LVC3" s="120"/>
      <c r="LVD3" s="120"/>
      <c r="LVE3" s="120"/>
      <c r="LVF3" s="120"/>
      <c r="LVG3" s="120"/>
      <c r="LVH3" s="120"/>
      <c r="LVI3" s="120"/>
      <c r="LVJ3" s="120"/>
      <c r="LVK3" s="120"/>
      <c r="LVL3" s="120"/>
      <c r="LVM3" s="120"/>
      <c r="LVN3" s="120"/>
      <c r="LVO3" s="120"/>
      <c r="LVP3" s="120"/>
      <c r="LVQ3" s="120"/>
      <c r="LVR3" s="120"/>
      <c r="LVS3" s="120"/>
      <c r="LVT3" s="120"/>
      <c r="LVU3" s="120"/>
      <c r="LVV3" s="120"/>
      <c r="LVW3" s="120"/>
      <c r="LVX3" s="120"/>
      <c r="LVY3" s="120"/>
      <c r="LVZ3" s="120"/>
      <c r="LWA3" s="120"/>
      <c r="LWB3" s="120"/>
      <c r="LWC3" s="120"/>
      <c r="LWD3" s="120"/>
      <c r="LWE3" s="120"/>
      <c r="LWF3" s="120"/>
      <c r="LWG3" s="120"/>
      <c r="LWH3" s="120"/>
      <c r="LWI3" s="120"/>
      <c r="LWJ3" s="120"/>
      <c r="LWK3" s="120"/>
      <c r="LWL3" s="120"/>
      <c r="LWM3" s="120"/>
      <c r="LWN3" s="120"/>
      <c r="LWO3" s="120"/>
      <c r="LWP3" s="120"/>
      <c r="LWQ3" s="120"/>
      <c r="LWR3" s="120"/>
      <c r="LWS3" s="120"/>
      <c r="LWT3" s="120"/>
      <c r="LWU3" s="120"/>
      <c r="LWV3" s="120"/>
      <c r="LWW3" s="120"/>
      <c r="LWX3" s="120"/>
      <c r="LWY3" s="120"/>
      <c r="LWZ3" s="120"/>
      <c r="LXA3" s="120"/>
      <c r="LXB3" s="120"/>
      <c r="LXC3" s="120"/>
      <c r="LXD3" s="120"/>
      <c r="LXE3" s="120"/>
      <c r="LXF3" s="120"/>
      <c r="LXG3" s="120"/>
      <c r="LXH3" s="120"/>
      <c r="LXI3" s="120"/>
      <c r="LXJ3" s="120"/>
      <c r="LXK3" s="120"/>
      <c r="LXL3" s="120"/>
      <c r="LXM3" s="120"/>
      <c r="LXN3" s="120"/>
      <c r="LXO3" s="120"/>
      <c r="LXP3" s="120"/>
      <c r="LXQ3" s="120"/>
      <c r="LXR3" s="120"/>
      <c r="LXS3" s="120"/>
      <c r="LXT3" s="120"/>
      <c r="LXU3" s="120"/>
      <c r="LXV3" s="120"/>
      <c r="LXW3" s="120"/>
      <c r="LXX3" s="120"/>
      <c r="LXY3" s="120"/>
      <c r="LXZ3" s="120"/>
      <c r="LYA3" s="120"/>
      <c r="LYB3" s="120"/>
      <c r="LYC3" s="120"/>
      <c r="LYD3" s="120"/>
      <c r="LYE3" s="120"/>
      <c r="LYF3" s="120"/>
      <c r="LYG3" s="120"/>
      <c r="LYH3" s="120"/>
      <c r="LYI3" s="120"/>
      <c r="LYJ3" s="120"/>
      <c r="LYK3" s="120"/>
      <c r="LYL3" s="120"/>
      <c r="LYM3" s="120"/>
      <c r="LYN3" s="120"/>
      <c r="LYO3" s="120"/>
      <c r="LYP3" s="120"/>
      <c r="LYQ3" s="120"/>
      <c r="LYR3" s="120"/>
      <c r="LYS3" s="120"/>
      <c r="LYT3" s="120"/>
      <c r="LYU3" s="120"/>
      <c r="LYV3" s="120"/>
      <c r="LYW3" s="120"/>
      <c r="LYX3" s="120"/>
      <c r="LYY3" s="120"/>
      <c r="LYZ3" s="120"/>
      <c r="LZA3" s="120"/>
      <c r="LZB3" s="120"/>
      <c r="LZC3" s="120"/>
      <c r="LZD3" s="120"/>
      <c r="LZE3" s="120"/>
      <c r="LZF3" s="120"/>
      <c r="LZG3" s="120"/>
      <c r="LZH3" s="120"/>
      <c r="LZI3" s="120"/>
      <c r="LZJ3" s="120"/>
      <c r="LZK3" s="120"/>
      <c r="LZL3" s="120"/>
      <c r="LZM3" s="120"/>
      <c r="LZN3" s="120"/>
      <c r="LZO3" s="120"/>
      <c r="LZP3" s="120"/>
      <c r="LZQ3" s="120"/>
      <c r="LZR3" s="120"/>
      <c r="LZS3" s="120"/>
      <c r="LZT3" s="120"/>
      <c r="LZU3" s="120"/>
      <c r="LZV3" s="120"/>
      <c r="LZW3" s="120"/>
      <c r="LZX3" s="120"/>
      <c r="LZY3" s="120"/>
      <c r="LZZ3" s="120"/>
      <c r="MAA3" s="120"/>
      <c r="MAB3" s="120"/>
      <c r="MAC3" s="120"/>
      <c r="MAD3" s="120"/>
      <c r="MAE3" s="120"/>
      <c r="MAF3" s="120"/>
      <c r="MAG3" s="120"/>
      <c r="MAH3" s="120"/>
      <c r="MAI3" s="120"/>
      <c r="MAJ3" s="120"/>
      <c r="MAK3" s="120"/>
      <c r="MAL3" s="120"/>
      <c r="MAM3" s="120"/>
      <c r="MAN3" s="120"/>
      <c r="MAO3" s="120"/>
      <c r="MAP3" s="120"/>
      <c r="MAQ3" s="120"/>
      <c r="MAR3" s="120"/>
      <c r="MAS3" s="120"/>
      <c r="MAT3" s="120"/>
      <c r="MAU3" s="120"/>
      <c r="MAV3" s="120"/>
      <c r="MAW3" s="120"/>
      <c r="MAX3" s="120"/>
      <c r="MAY3" s="120"/>
      <c r="MAZ3" s="120"/>
      <c r="MBA3" s="120"/>
      <c r="MBB3" s="120"/>
      <c r="MBC3" s="120"/>
      <c r="MBD3" s="120"/>
      <c r="MBE3" s="120"/>
      <c r="MBF3" s="120"/>
      <c r="MBG3" s="120"/>
      <c r="MBH3" s="120"/>
      <c r="MBI3" s="120"/>
      <c r="MBJ3" s="120"/>
      <c r="MBK3" s="120"/>
      <c r="MBL3" s="120"/>
      <c r="MBM3" s="120"/>
      <c r="MBN3" s="120"/>
      <c r="MBO3" s="120"/>
      <c r="MBP3" s="120"/>
      <c r="MBQ3" s="120"/>
      <c r="MBR3" s="120"/>
      <c r="MBS3" s="120"/>
      <c r="MBT3" s="120"/>
      <c r="MBU3" s="120"/>
      <c r="MBV3" s="120"/>
      <c r="MBW3" s="120"/>
      <c r="MBX3" s="120"/>
      <c r="MBY3" s="120"/>
      <c r="MBZ3" s="120"/>
      <c r="MCA3" s="120"/>
      <c r="MCB3" s="120"/>
      <c r="MCC3" s="120"/>
      <c r="MCD3" s="120"/>
      <c r="MCE3" s="120"/>
      <c r="MCF3" s="120"/>
      <c r="MCG3" s="120"/>
      <c r="MCH3" s="120"/>
      <c r="MCI3" s="120"/>
      <c r="MCJ3" s="120"/>
      <c r="MCK3" s="120"/>
      <c r="MCL3" s="120"/>
      <c r="MCM3" s="120"/>
      <c r="MCN3" s="120"/>
      <c r="MCO3" s="120"/>
      <c r="MCP3" s="120"/>
      <c r="MCQ3" s="120"/>
      <c r="MCR3" s="120"/>
      <c r="MCS3" s="120"/>
      <c r="MCT3" s="120"/>
      <c r="MCU3" s="120"/>
      <c r="MCV3" s="120"/>
      <c r="MCW3" s="120"/>
      <c r="MCX3" s="120"/>
      <c r="MCY3" s="120"/>
      <c r="MCZ3" s="120"/>
      <c r="MDA3" s="120"/>
      <c r="MDB3" s="120"/>
      <c r="MDC3" s="120"/>
      <c r="MDD3" s="120"/>
      <c r="MDE3" s="120"/>
      <c r="MDF3" s="120"/>
      <c r="MDG3" s="120"/>
      <c r="MDH3" s="120"/>
      <c r="MDI3" s="120"/>
      <c r="MDJ3" s="120"/>
      <c r="MDK3" s="120"/>
      <c r="MDL3" s="120"/>
      <c r="MDM3" s="120"/>
      <c r="MDN3" s="120"/>
      <c r="MDO3" s="120"/>
      <c r="MDP3" s="120"/>
      <c r="MDQ3" s="120"/>
      <c r="MDR3" s="120"/>
      <c r="MDS3" s="120"/>
      <c r="MDT3" s="120"/>
      <c r="MDU3" s="120"/>
      <c r="MDV3" s="120"/>
      <c r="MDW3" s="120"/>
      <c r="MDX3" s="120"/>
      <c r="MDY3" s="120"/>
      <c r="MDZ3" s="120"/>
      <c r="MEA3" s="120"/>
      <c r="MEB3" s="120"/>
      <c r="MEC3" s="120"/>
      <c r="MED3" s="120"/>
      <c r="MEE3" s="120"/>
      <c r="MEF3" s="120"/>
      <c r="MEG3" s="120"/>
      <c r="MEH3" s="120"/>
      <c r="MEI3" s="120"/>
      <c r="MEJ3" s="120"/>
      <c r="MEK3" s="120"/>
      <c r="MEL3" s="120"/>
      <c r="MEM3" s="120"/>
      <c r="MEN3" s="120"/>
      <c r="MEO3" s="120"/>
      <c r="MEP3" s="120"/>
      <c r="MEQ3" s="120"/>
      <c r="MER3" s="120"/>
      <c r="MES3" s="120"/>
      <c r="MET3" s="120"/>
      <c r="MEU3" s="120"/>
      <c r="MEV3" s="120"/>
      <c r="MEW3" s="120"/>
      <c r="MEX3" s="120"/>
      <c r="MEY3" s="120"/>
      <c r="MEZ3" s="120"/>
      <c r="MFA3" s="120"/>
      <c r="MFB3" s="120"/>
      <c r="MFC3" s="120"/>
      <c r="MFD3" s="120"/>
      <c r="MFE3" s="120"/>
      <c r="MFF3" s="120"/>
      <c r="MFG3" s="120"/>
      <c r="MFH3" s="120"/>
      <c r="MFI3" s="120"/>
      <c r="MFJ3" s="120"/>
      <c r="MFK3" s="120"/>
      <c r="MFL3" s="120"/>
      <c r="MFM3" s="120"/>
      <c r="MFN3" s="120"/>
      <c r="MFO3" s="120"/>
      <c r="MFP3" s="120"/>
      <c r="MFQ3" s="120"/>
      <c r="MFR3" s="120"/>
      <c r="MFS3" s="120"/>
      <c r="MFT3" s="120"/>
      <c r="MFU3" s="120"/>
      <c r="MFV3" s="120"/>
      <c r="MFW3" s="120"/>
      <c r="MFX3" s="120"/>
      <c r="MFY3" s="120"/>
      <c r="MFZ3" s="120"/>
      <c r="MGA3" s="120"/>
      <c r="MGB3" s="120"/>
      <c r="MGC3" s="120"/>
      <c r="MGD3" s="120"/>
      <c r="MGE3" s="120"/>
      <c r="MGF3" s="120"/>
      <c r="MGG3" s="120"/>
      <c r="MGH3" s="120"/>
      <c r="MGI3" s="120"/>
      <c r="MGJ3" s="120"/>
      <c r="MGK3" s="120"/>
      <c r="MGL3" s="120"/>
      <c r="MGM3" s="120"/>
      <c r="MGN3" s="120"/>
      <c r="MGO3" s="120"/>
      <c r="MGP3" s="120"/>
      <c r="MGQ3" s="120"/>
      <c r="MGR3" s="120"/>
      <c r="MGS3" s="120"/>
      <c r="MGT3" s="120"/>
      <c r="MGU3" s="120"/>
      <c r="MGV3" s="120"/>
      <c r="MGW3" s="120"/>
      <c r="MGX3" s="120"/>
      <c r="MGY3" s="120"/>
      <c r="MGZ3" s="120"/>
      <c r="MHA3" s="120"/>
      <c r="MHB3" s="120"/>
      <c r="MHC3" s="120"/>
      <c r="MHD3" s="120"/>
      <c r="MHE3" s="120"/>
      <c r="MHF3" s="120"/>
      <c r="MHG3" s="120"/>
      <c r="MHH3" s="120"/>
      <c r="MHI3" s="120"/>
      <c r="MHJ3" s="120"/>
      <c r="MHK3" s="120"/>
      <c r="MHL3" s="120"/>
      <c r="MHM3" s="120"/>
      <c r="MHN3" s="120"/>
      <c r="MHO3" s="120"/>
      <c r="MHP3" s="120"/>
      <c r="MHQ3" s="120"/>
      <c r="MHR3" s="120"/>
      <c r="MHS3" s="120"/>
      <c r="MHT3" s="120"/>
      <c r="MHU3" s="120"/>
      <c r="MHV3" s="120"/>
      <c r="MHW3" s="120"/>
      <c r="MHX3" s="120"/>
      <c r="MHY3" s="120"/>
      <c r="MHZ3" s="120"/>
      <c r="MIA3" s="120"/>
      <c r="MIB3" s="120"/>
      <c r="MIC3" s="120"/>
      <c r="MID3" s="120"/>
      <c r="MIE3" s="120"/>
      <c r="MIF3" s="120"/>
      <c r="MIG3" s="120"/>
      <c r="MIH3" s="120"/>
      <c r="MII3" s="120"/>
      <c r="MIJ3" s="120"/>
      <c r="MIK3" s="120"/>
      <c r="MIL3" s="120"/>
      <c r="MIM3" s="120"/>
      <c r="MIN3" s="120"/>
      <c r="MIO3" s="120"/>
      <c r="MIP3" s="120"/>
      <c r="MIQ3" s="120"/>
      <c r="MIR3" s="120"/>
      <c r="MIS3" s="120"/>
      <c r="MIT3" s="120"/>
      <c r="MIU3" s="120"/>
      <c r="MIV3" s="120"/>
      <c r="MIW3" s="120"/>
      <c r="MIX3" s="120"/>
      <c r="MIY3" s="120"/>
      <c r="MIZ3" s="120"/>
      <c r="MJA3" s="120"/>
      <c r="MJB3" s="120"/>
      <c r="MJC3" s="120"/>
      <c r="MJD3" s="120"/>
      <c r="MJE3" s="120"/>
      <c r="MJF3" s="120"/>
      <c r="MJG3" s="120"/>
      <c r="MJH3" s="120"/>
      <c r="MJI3" s="120"/>
      <c r="MJJ3" s="120"/>
      <c r="MJK3" s="120"/>
      <c r="MJL3" s="120"/>
      <c r="MJM3" s="120"/>
      <c r="MJN3" s="120"/>
      <c r="MJO3" s="120"/>
      <c r="MJP3" s="120"/>
      <c r="MJQ3" s="120"/>
      <c r="MJR3" s="120"/>
      <c r="MJS3" s="120"/>
      <c r="MJT3" s="120"/>
      <c r="MJU3" s="120"/>
      <c r="MJV3" s="120"/>
      <c r="MJW3" s="120"/>
      <c r="MJX3" s="120"/>
      <c r="MJY3" s="120"/>
      <c r="MJZ3" s="120"/>
      <c r="MKA3" s="120"/>
      <c r="MKB3" s="120"/>
      <c r="MKC3" s="120"/>
      <c r="MKD3" s="120"/>
      <c r="MKE3" s="120"/>
      <c r="MKF3" s="120"/>
      <c r="MKG3" s="120"/>
      <c r="MKH3" s="120"/>
      <c r="MKI3" s="120"/>
      <c r="MKJ3" s="120"/>
      <c r="MKK3" s="120"/>
      <c r="MKL3" s="120"/>
      <c r="MKM3" s="120"/>
      <c r="MKN3" s="120"/>
      <c r="MKO3" s="120"/>
      <c r="MKP3" s="120"/>
      <c r="MKQ3" s="120"/>
      <c r="MKR3" s="120"/>
      <c r="MKS3" s="120"/>
      <c r="MKT3" s="120"/>
      <c r="MKU3" s="120"/>
      <c r="MKV3" s="120"/>
      <c r="MKW3" s="120"/>
      <c r="MKX3" s="120"/>
      <c r="MKY3" s="120"/>
      <c r="MKZ3" s="120"/>
      <c r="MLA3" s="120"/>
      <c r="MLB3" s="120"/>
      <c r="MLC3" s="120"/>
      <c r="MLD3" s="120"/>
      <c r="MLE3" s="120"/>
      <c r="MLF3" s="120"/>
      <c r="MLG3" s="120"/>
      <c r="MLH3" s="120"/>
      <c r="MLI3" s="120"/>
      <c r="MLJ3" s="120"/>
      <c r="MLK3" s="120"/>
      <c r="MLL3" s="120"/>
      <c r="MLM3" s="120"/>
      <c r="MLN3" s="120"/>
      <c r="MLO3" s="120"/>
      <c r="MLP3" s="120"/>
      <c r="MLQ3" s="120"/>
      <c r="MLR3" s="120"/>
      <c r="MLS3" s="120"/>
      <c r="MLT3" s="120"/>
      <c r="MLU3" s="120"/>
      <c r="MLV3" s="120"/>
      <c r="MLW3" s="120"/>
      <c r="MLX3" s="120"/>
      <c r="MLY3" s="120"/>
      <c r="MLZ3" s="120"/>
      <c r="MMA3" s="120"/>
      <c r="MMB3" s="120"/>
      <c r="MMC3" s="120"/>
      <c r="MMD3" s="120"/>
      <c r="MME3" s="120"/>
      <c r="MMF3" s="120"/>
      <c r="MMG3" s="120"/>
      <c r="MMH3" s="120"/>
      <c r="MMI3" s="120"/>
      <c r="MMJ3" s="120"/>
      <c r="MMK3" s="120"/>
      <c r="MML3" s="120"/>
      <c r="MMM3" s="120"/>
      <c r="MMN3" s="120"/>
      <c r="MMO3" s="120"/>
      <c r="MMP3" s="120"/>
      <c r="MMQ3" s="120"/>
      <c r="MMR3" s="120"/>
      <c r="MMS3" s="120"/>
      <c r="MMT3" s="120"/>
      <c r="MMU3" s="120"/>
      <c r="MMV3" s="120"/>
      <c r="MMW3" s="120"/>
      <c r="MMX3" s="120"/>
      <c r="MMY3" s="120"/>
      <c r="MMZ3" s="120"/>
      <c r="MNA3" s="120"/>
      <c r="MNB3" s="120"/>
      <c r="MNC3" s="120"/>
      <c r="MND3" s="120"/>
      <c r="MNE3" s="120"/>
      <c r="MNF3" s="120"/>
      <c r="MNG3" s="120"/>
      <c r="MNH3" s="120"/>
      <c r="MNI3" s="120"/>
      <c r="MNJ3" s="120"/>
      <c r="MNK3" s="120"/>
      <c r="MNL3" s="120"/>
      <c r="MNM3" s="120"/>
      <c r="MNN3" s="120"/>
      <c r="MNO3" s="120"/>
      <c r="MNP3" s="120"/>
      <c r="MNQ3" s="120"/>
      <c r="MNR3" s="120"/>
      <c r="MNS3" s="120"/>
      <c r="MNT3" s="120"/>
      <c r="MNU3" s="120"/>
      <c r="MNV3" s="120"/>
      <c r="MNW3" s="120"/>
      <c r="MNX3" s="120"/>
      <c r="MNY3" s="120"/>
      <c r="MNZ3" s="120"/>
      <c r="MOA3" s="120"/>
      <c r="MOB3" s="120"/>
      <c r="MOC3" s="120"/>
      <c r="MOD3" s="120"/>
      <c r="MOE3" s="120"/>
      <c r="MOF3" s="120"/>
      <c r="MOG3" s="120"/>
      <c r="MOH3" s="120"/>
      <c r="MOI3" s="120"/>
      <c r="MOJ3" s="120"/>
      <c r="MOK3" s="120"/>
      <c r="MOL3" s="120"/>
      <c r="MOM3" s="120"/>
      <c r="MON3" s="120"/>
      <c r="MOO3" s="120"/>
      <c r="MOP3" s="120"/>
      <c r="MOQ3" s="120"/>
      <c r="MOR3" s="120"/>
      <c r="MOS3" s="120"/>
      <c r="MOT3" s="120"/>
      <c r="MOU3" s="120"/>
      <c r="MOV3" s="120"/>
      <c r="MOW3" s="120"/>
      <c r="MOX3" s="120"/>
      <c r="MOY3" s="120"/>
      <c r="MOZ3" s="120"/>
      <c r="MPA3" s="120"/>
      <c r="MPB3" s="120"/>
      <c r="MPC3" s="120"/>
      <c r="MPD3" s="120"/>
      <c r="MPE3" s="120"/>
      <c r="MPF3" s="120"/>
      <c r="MPG3" s="120"/>
      <c r="MPH3" s="120"/>
      <c r="MPI3" s="120"/>
      <c r="MPJ3" s="120"/>
      <c r="MPK3" s="120"/>
      <c r="MPL3" s="120"/>
      <c r="MPM3" s="120"/>
      <c r="MPN3" s="120"/>
      <c r="MPO3" s="120"/>
      <c r="MPP3" s="120"/>
      <c r="MPQ3" s="120"/>
      <c r="MPR3" s="120"/>
      <c r="MPS3" s="120"/>
      <c r="MPT3" s="120"/>
      <c r="MPU3" s="120"/>
      <c r="MPV3" s="120"/>
      <c r="MPW3" s="120"/>
      <c r="MPX3" s="120"/>
      <c r="MPY3" s="120"/>
      <c r="MPZ3" s="120"/>
      <c r="MQA3" s="120"/>
      <c r="MQB3" s="120"/>
      <c r="MQC3" s="120"/>
      <c r="MQD3" s="120"/>
      <c r="MQE3" s="120"/>
      <c r="MQF3" s="120"/>
      <c r="MQG3" s="120"/>
      <c r="MQH3" s="120"/>
      <c r="MQI3" s="120"/>
      <c r="MQJ3" s="120"/>
      <c r="MQK3" s="120"/>
      <c r="MQL3" s="120"/>
      <c r="MQM3" s="120"/>
      <c r="MQN3" s="120"/>
      <c r="MQO3" s="120"/>
      <c r="MQP3" s="120"/>
      <c r="MQQ3" s="120"/>
      <c r="MQR3" s="120"/>
      <c r="MQS3" s="120"/>
      <c r="MQT3" s="120"/>
      <c r="MQU3" s="120"/>
      <c r="MQV3" s="120"/>
      <c r="MQW3" s="120"/>
      <c r="MQX3" s="120"/>
      <c r="MQY3" s="120"/>
      <c r="MQZ3" s="120"/>
      <c r="MRA3" s="120"/>
      <c r="MRB3" s="120"/>
      <c r="MRC3" s="120"/>
      <c r="MRD3" s="120"/>
      <c r="MRE3" s="120"/>
      <c r="MRF3" s="120"/>
      <c r="MRG3" s="120"/>
      <c r="MRH3" s="120"/>
      <c r="MRI3" s="120"/>
      <c r="MRJ3" s="120"/>
      <c r="MRK3" s="120"/>
      <c r="MRL3" s="120"/>
      <c r="MRM3" s="120"/>
      <c r="MRN3" s="120"/>
      <c r="MRO3" s="120"/>
      <c r="MRP3" s="120"/>
      <c r="MRQ3" s="120"/>
      <c r="MRR3" s="120"/>
      <c r="MRS3" s="120"/>
      <c r="MRT3" s="120"/>
      <c r="MRU3" s="120"/>
      <c r="MRV3" s="120"/>
      <c r="MRW3" s="120"/>
      <c r="MRX3" s="120"/>
      <c r="MRY3" s="120"/>
      <c r="MRZ3" s="120"/>
      <c r="MSA3" s="120"/>
      <c r="MSB3" s="120"/>
      <c r="MSC3" s="120"/>
      <c r="MSD3" s="120"/>
      <c r="MSE3" s="120"/>
      <c r="MSF3" s="120"/>
      <c r="MSG3" s="120"/>
      <c r="MSH3" s="120"/>
      <c r="MSI3" s="120"/>
      <c r="MSJ3" s="120"/>
      <c r="MSK3" s="120"/>
      <c r="MSL3" s="120"/>
      <c r="MSM3" s="120"/>
      <c r="MSN3" s="120"/>
      <c r="MSO3" s="120"/>
      <c r="MSP3" s="120"/>
      <c r="MSQ3" s="120"/>
      <c r="MSR3" s="120"/>
      <c r="MSS3" s="120"/>
      <c r="MST3" s="120"/>
      <c r="MSU3" s="120"/>
      <c r="MSV3" s="120"/>
      <c r="MSW3" s="120"/>
      <c r="MSX3" s="120"/>
      <c r="MSY3" s="120"/>
      <c r="MSZ3" s="120"/>
      <c r="MTA3" s="120"/>
      <c r="MTB3" s="120"/>
      <c r="MTC3" s="120"/>
      <c r="MTD3" s="120"/>
      <c r="MTE3" s="120"/>
      <c r="MTF3" s="120"/>
      <c r="MTG3" s="120"/>
      <c r="MTH3" s="120"/>
      <c r="MTI3" s="120"/>
      <c r="MTJ3" s="120"/>
      <c r="MTK3" s="120"/>
      <c r="MTL3" s="120"/>
      <c r="MTM3" s="120"/>
      <c r="MTN3" s="120"/>
      <c r="MTO3" s="120"/>
      <c r="MTP3" s="120"/>
      <c r="MTQ3" s="120"/>
      <c r="MTR3" s="120"/>
      <c r="MTS3" s="120"/>
      <c r="MTT3" s="120"/>
      <c r="MTU3" s="120"/>
      <c r="MTV3" s="120"/>
      <c r="MTW3" s="120"/>
      <c r="MTX3" s="120"/>
      <c r="MTY3" s="120"/>
      <c r="MTZ3" s="120"/>
      <c r="MUA3" s="120"/>
      <c r="MUB3" s="120"/>
      <c r="MUC3" s="120"/>
      <c r="MUD3" s="120"/>
      <c r="MUE3" s="120"/>
      <c r="MUF3" s="120"/>
      <c r="MUG3" s="120"/>
      <c r="MUH3" s="120"/>
      <c r="MUI3" s="120"/>
      <c r="MUJ3" s="120"/>
      <c r="MUK3" s="120"/>
      <c r="MUL3" s="120"/>
      <c r="MUM3" s="120"/>
      <c r="MUN3" s="120"/>
      <c r="MUO3" s="120"/>
      <c r="MUP3" s="120"/>
      <c r="MUQ3" s="120"/>
      <c r="MUR3" s="120"/>
      <c r="MUS3" s="120"/>
      <c r="MUT3" s="120"/>
      <c r="MUU3" s="120"/>
      <c r="MUV3" s="120"/>
      <c r="MUW3" s="120"/>
      <c r="MUX3" s="120"/>
      <c r="MUY3" s="120"/>
      <c r="MUZ3" s="120"/>
      <c r="MVA3" s="120"/>
      <c r="MVB3" s="120"/>
      <c r="MVC3" s="120"/>
      <c r="MVD3" s="120"/>
      <c r="MVE3" s="120"/>
      <c r="MVF3" s="120"/>
      <c r="MVG3" s="120"/>
      <c r="MVH3" s="120"/>
      <c r="MVI3" s="120"/>
      <c r="MVJ3" s="120"/>
      <c r="MVK3" s="120"/>
      <c r="MVL3" s="120"/>
      <c r="MVM3" s="120"/>
      <c r="MVN3" s="120"/>
      <c r="MVO3" s="120"/>
      <c r="MVP3" s="120"/>
      <c r="MVQ3" s="120"/>
      <c r="MVR3" s="120"/>
      <c r="MVS3" s="120"/>
      <c r="MVT3" s="120"/>
      <c r="MVU3" s="120"/>
      <c r="MVV3" s="120"/>
      <c r="MVW3" s="120"/>
      <c r="MVX3" s="120"/>
      <c r="MVY3" s="120"/>
      <c r="MVZ3" s="120"/>
      <c r="MWA3" s="120"/>
      <c r="MWB3" s="120"/>
      <c r="MWC3" s="120"/>
      <c r="MWD3" s="120"/>
      <c r="MWE3" s="120"/>
      <c r="MWF3" s="120"/>
      <c r="MWG3" s="120"/>
      <c r="MWH3" s="120"/>
      <c r="MWI3" s="120"/>
      <c r="MWJ3" s="120"/>
      <c r="MWK3" s="120"/>
      <c r="MWL3" s="120"/>
      <c r="MWM3" s="120"/>
      <c r="MWN3" s="120"/>
      <c r="MWO3" s="120"/>
      <c r="MWP3" s="120"/>
      <c r="MWQ3" s="120"/>
      <c r="MWR3" s="120"/>
      <c r="MWS3" s="120"/>
      <c r="MWT3" s="120"/>
      <c r="MWU3" s="120"/>
      <c r="MWV3" s="120"/>
      <c r="MWW3" s="120"/>
      <c r="MWX3" s="120"/>
      <c r="MWY3" s="120"/>
      <c r="MWZ3" s="120"/>
      <c r="MXA3" s="120"/>
      <c r="MXB3" s="120"/>
      <c r="MXC3" s="120"/>
      <c r="MXD3" s="120"/>
      <c r="MXE3" s="120"/>
      <c r="MXF3" s="120"/>
      <c r="MXG3" s="120"/>
      <c r="MXH3" s="120"/>
      <c r="MXI3" s="120"/>
      <c r="MXJ3" s="120"/>
      <c r="MXK3" s="120"/>
      <c r="MXL3" s="120"/>
      <c r="MXM3" s="120"/>
      <c r="MXN3" s="120"/>
      <c r="MXO3" s="120"/>
      <c r="MXP3" s="120"/>
      <c r="MXQ3" s="120"/>
      <c r="MXR3" s="120"/>
      <c r="MXS3" s="120"/>
      <c r="MXT3" s="120"/>
      <c r="MXU3" s="120"/>
      <c r="MXV3" s="120"/>
      <c r="MXW3" s="120"/>
      <c r="MXX3" s="120"/>
      <c r="MXY3" s="120"/>
      <c r="MXZ3" s="120"/>
      <c r="MYA3" s="120"/>
      <c r="MYB3" s="120"/>
      <c r="MYC3" s="120"/>
      <c r="MYD3" s="120"/>
      <c r="MYE3" s="120"/>
      <c r="MYF3" s="120"/>
      <c r="MYG3" s="120"/>
      <c r="MYH3" s="120"/>
      <c r="MYI3" s="120"/>
      <c r="MYJ3" s="120"/>
      <c r="MYK3" s="120"/>
      <c r="MYL3" s="120"/>
      <c r="MYM3" s="120"/>
      <c r="MYN3" s="120"/>
      <c r="MYO3" s="120"/>
      <c r="MYP3" s="120"/>
      <c r="MYQ3" s="120"/>
      <c r="MYR3" s="120"/>
      <c r="MYS3" s="120"/>
      <c r="MYT3" s="120"/>
      <c r="MYU3" s="120"/>
      <c r="MYV3" s="120"/>
      <c r="MYW3" s="120"/>
      <c r="MYX3" s="120"/>
      <c r="MYY3" s="120"/>
      <c r="MYZ3" s="120"/>
      <c r="MZA3" s="120"/>
      <c r="MZB3" s="120"/>
      <c r="MZC3" s="120"/>
      <c r="MZD3" s="120"/>
      <c r="MZE3" s="120"/>
      <c r="MZF3" s="120"/>
      <c r="MZG3" s="120"/>
      <c r="MZH3" s="120"/>
      <c r="MZI3" s="120"/>
      <c r="MZJ3" s="120"/>
      <c r="MZK3" s="120"/>
      <c r="MZL3" s="120"/>
      <c r="MZM3" s="120"/>
      <c r="MZN3" s="120"/>
      <c r="MZO3" s="120"/>
      <c r="MZP3" s="120"/>
      <c r="MZQ3" s="120"/>
      <c r="MZR3" s="120"/>
      <c r="MZS3" s="120"/>
      <c r="MZT3" s="120"/>
      <c r="MZU3" s="120"/>
      <c r="MZV3" s="120"/>
      <c r="MZW3" s="120"/>
      <c r="MZX3" s="120"/>
      <c r="MZY3" s="120"/>
      <c r="MZZ3" s="120"/>
      <c r="NAA3" s="120"/>
      <c r="NAB3" s="120"/>
      <c r="NAC3" s="120"/>
      <c r="NAD3" s="120"/>
      <c r="NAE3" s="120"/>
      <c r="NAF3" s="120"/>
      <c r="NAG3" s="120"/>
      <c r="NAH3" s="120"/>
      <c r="NAI3" s="120"/>
      <c r="NAJ3" s="120"/>
      <c r="NAK3" s="120"/>
      <c r="NAL3" s="120"/>
      <c r="NAM3" s="120"/>
      <c r="NAN3" s="120"/>
      <c r="NAO3" s="120"/>
      <c r="NAP3" s="120"/>
      <c r="NAQ3" s="120"/>
      <c r="NAR3" s="120"/>
      <c r="NAS3" s="120"/>
      <c r="NAT3" s="120"/>
      <c r="NAU3" s="120"/>
      <c r="NAV3" s="120"/>
      <c r="NAW3" s="120"/>
      <c r="NAX3" s="120"/>
      <c r="NAY3" s="120"/>
      <c r="NAZ3" s="120"/>
      <c r="NBA3" s="120"/>
      <c r="NBB3" s="120"/>
      <c r="NBC3" s="120"/>
      <c r="NBD3" s="120"/>
      <c r="NBE3" s="120"/>
      <c r="NBF3" s="120"/>
      <c r="NBG3" s="120"/>
      <c r="NBH3" s="120"/>
      <c r="NBI3" s="120"/>
      <c r="NBJ3" s="120"/>
      <c r="NBK3" s="120"/>
      <c r="NBL3" s="120"/>
      <c r="NBM3" s="120"/>
      <c r="NBN3" s="120"/>
      <c r="NBO3" s="120"/>
      <c r="NBP3" s="120"/>
      <c r="NBQ3" s="120"/>
      <c r="NBR3" s="120"/>
      <c r="NBS3" s="120"/>
      <c r="NBT3" s="120"/>
      <c r="NBU3" s="120"/>
      <c r="NBV3" s="120"/>
      <c r="NBW3" s="120"/>
      <c r="NBX3" s="120"/>
      <c r="NBY3" s="120"/>
      <c r="NBZ3" s="120"/>
      <c r="NCA3" s="120"/>
      <c r="NCB3" s="120"/>
      <c r="NCC3" s="120"/>
      <c r="NCD3" s="120"/>
      <c r="NCE3" s="120"/>
      <c r="NCF3" s="120"/>
      <c r="NCG3" s="120"/>
      <c r="NCH3" s="120"/>
      <c r="NCI3" s="120"/>
      <c r="NCJ3" s="120"/>
      <c r="NCK3" s="120"/>
      <c r="NCL3" s="120"/>
      <c r="NCM3" s="120"/>
      <c r="NCN3" s="120"/>
      <c r="NCO3" s="120"/>
      <c r="NCP3" s="120"/>
      <c r="NCQ3" s="120"/>
      <c r="NCR3" s="120"/>
      <c r="NCS3" s="120"/>
      <c r="NCT3" s="120"/>
      <c r="NCU3" s="120"/>
      <c r="NCV3" s="120"/>
      <c r="NCW3" s="120"/>
      <c r="NCX3" s="120"/>
      <c r="NCY3" s="120"/>
      <c r="NCZ3" s="120"/>
      <c r="NDA3" s="120"/>
      <c r="NDB3" s="120"/>
      <c r="NDC3" s="120"/>
      <c r="NDD3" s="120"/>
      <c r="NDE3" s="120"/>
      <c r="NDF3" s="120"/>
      <c r="NDG3" s="120"/>
      <c r="NDH3" s="120"/>
      <c r="NDI3" s="120"/>
      <c r="NDJ3" s="120"/>
      <c r="NDK3" s="120"/>
      <c r="NDL3" s="120"/>
      <c r="NDM3" s="120"/>
      <c r="NDN3" s="120"/>
      <c r="NDO3" s="120"/>
      <c r="NDP3" s="120"/>
      <c r="NDQ3" s="120"/>
      <c r="NDR3" s="120"/>
      <c r="NDS3" s="120"/>
      <c r="NDT3" s="120"/>
      <c r="NDU3" s="120"/>
      <c r="NDV3" s="120"/>
      <c r="NDW3" s="120"/>
      <c r="NDX3" s="120"/>
      <c r="NDY3" s="120"/>
      <c r="NDZ3" s="120"/>
      <c r="NEA3" s="120"/>
      <c r="NEB3" s="120"/>
      <c r="NEC3" s="120"/>
      <c r="NED3" s="120"/>
      <c r="NEE3" s="120"/>
      <c r="NEF3" s="120"/>
      <c r="NEG3" s="120"/>
      <c r="NEH3" s="120"/>
      <c r="NEI3" s="120"/>
      <c r="NEJ3" s="120"/>
      <c r="NEK3" s="120"/>
      <c r="NEL3" s="120"/>
      <c r="NEM3" s="120"/>
      <c r="NEN3" s="120"/>
      <c r="NEO3" s="120"/>
      <c r="NEP3" s="120"/>
      <c r="NEQ3" s="120"/>
      <c r="NER3" s="120"/>
      <c r="NES3" s="120"/>
      <c r="NET3" s="120"/>
      <c r="NEU3" s="120"/>
      <c r="NEV3" s="120"/>
      <c r="NEW3" s="120"/>
      <c r="NEX3" s="120"/>
      <c r="NEY3" s="120"/>
      <c r="NEZ3" s="120"/>
      <c r="NFA3" s="120"/>
      <c r="NFB3" s="120"/>
      <c r="NFC3" s="120"/>
      <c r="NFD3" s="120"/>
      <c r="NFE3" s="120"/>
      <c r="NFF3" s="120"/>
      <c r="NFG3" s="120"/>
      <c r="NFH3" s="120"/>
      <c r="NFI3" s="120"/>
      <c r="NFJ3" s="120"/>
      <c r="NFK3" s="120"/>
      <c r="NFL3" s="120"/>
      <c r="NFM3" s="120"/>
      <c r="NFN3" s="120"/>
      <c r="NFO3" s="120"/>
      <c r="NFP3" s="120"/>
      <c r="NFQ3" s="120"/>
      <c r="NFR3" s="120"/>
      <c r="NFS3" s="120"/>
      <c r="NFT3" s="120"/>
      <c r="NFU3" s="120"/>
      <c r="NFV3" s="120"/>
      <c r="NFW3" s="120"/>
      <c r="NFX3" s="120"/>
      <c r="NFY3" s="120"/>
      <c r="NFZ3" s="120"/>
      <c r="NGA3" s="120"/>
      <c r="NGB3" s="120"/>
      <c r="NGC3" s="120"/>
      <c r="NGD3" s="120"/>
      <c r="NGE3" s="120"/>
      <c r="NGF3" s="120"/>
      <c r="NGG3" s="120"/>
      <c r="NGH3" s="120"/>
      <c r="NGI3" s="120"/>
      <c r="NGJ3" s="120"/>
      <c r="NGK3" s="120"/>
      <c r="NGL3" s="120"/>
      <c r="NGM3" s="120"/>
      <c r="NGN3" s="120"/>
      <c r="NGO3" s="120"/>
      <c r="NGP3" s="120"/>
      <c r="NGQ3" s="120"/>
      <c r="NGR3" s="120"/>
      <c r="NGS3" s="120"/>
      <c r="NGT3" s="120"/>
      <c r="NGU3" s="120"/>
      <c r="NGV3" s="120"/>
      <c r="NGW3" s="120"/>
      <c r="NGX3" s="120"/>
      <c r="NGY3" s="120"/>
      <c r="NGZ3" s="120"/>
      <c r="NHA3" s="120"/>
      <c r="NHB3" s="120"/>
      <c r="NHC3" s="120"/>
      <c r="NHD3" s="120"/>
      <c r="NHE3" s="120"/>
      <c r="NHF3" s="120"/>
      <c r="NHG3" s="120"/>
      <c r="NHH3" s="120"/>
      <c r="NHI3" s="120"/>
      <c r="NHJ3" s="120"/>
      <c r="NHK3" s="120"/>
      <c r="NHL3" s="120"/>
      <c r="NHM3" s="120"/>
      <c r="NHN3" s="120"/>
      <c r="NHO3" s="120"/>
      <c r="NHP3" s="120"/>
      <c r="NHQ3" s="120"/>
      <c r="NHR3" s="120"/>
      <c r="NHS3" s="120"/>
      <c r="NHT3" s="120"/>
      <c r="NHU3" s="120"/>
      <c r="NHV3" s="120"/>
      <c r="NHW3" s="120"/>
      <c r="NHX3" s="120"/>
      <c r="NHY3" s="120"/>
      <c r="NHZ3" s="120"/>
      <c r="NIA3" s="120"/>
      <c r="NIB3" s="120"/>
      <c r="NIC3" s="120"/>
      <c r="NID3" s="120"/>
      <c r="NIE3" s="120"/>
      <c r="NIF3" s="120"/>
      <c r="NIG3" s="120"/>
      <c r="NIH3" s="120"/>
      <c r="NII3" s="120"/>
      <c r="NIJ3" s="120"/>
      <c r="NIK3" s="120"/>
      <c r="NIL3" s="120"/>
      <c r="NIM3" s="120"/>
      <c r="NIN3" s="120"/>
      <c r="NIO3" s="120"/>
      <c r="NIP3" s="120"/>
      <c r="NIQ3" s="120"/>
      <c r="NIR3" s="120"/>
      <c r="NIS3" s="120"/>
      <c r="NIT3" s="120"/>
      <c r="NIU3" s="120"/>
      <c r="NIV3" s="120"/>
      <c r="NIW3" s="120"/>
      <c r="NIX3" s="120"/>
      <c r="NIY3" s="120"/>
      <c r="NIZ3" s="120"/>
      <c r="NJA3" s="120"/>
      <c r="NJB3" s="120"/>
      <c r="NJC3" s="120"/>
      <c r="NJD3" s="120"/>
      <c r="NJE3" s="120"/>
      <c r="NJF3" s="120"/>
      <c r="NJG3" s="120"/>
      <c r="NJH3" s="120"/>
      <c r="NJI3" s="120"/>
      <c r="NJJ3" s="120"/>
      <c r="NJK3" s="120"/>
      <c r="NJL3" s="120"/>
      <c r="NJM3" s="120"/>
      <c r="NJN3" s="120"/>
      <c r="NJO3" s="120"/>
      <c r="NJP3" s="120"/>
      <c r="NJQ3" s="120"/>
      <c r="NJR3" s="120"/>
      <c r="NJS3" s="120"/>
      <c r="NJT3" s="120"/>
      <c r="NJU3" s="120"/>
      <c r="NJV3" s="120"/>
      <c r="NJW3" s="120"/>
      <c r="NJX3" s="120"/>
      <c r="NJY3" s="120"/>
      <c r="NJZ3" s="120"/>
      <c r="NKA3" s="120"/>
      <c r="NKB3" s="120"/>
      <c r="NKC3" s="120"/>
      <c r="NKD3" s="120"/>
      <c r="NKE3" s="120"/>
      <c r="NKF3" s="120"/>
      <c r="NKG3" s="120"/>
      <c r="NKH3" s="120"/>
      <c r="NKI3" s="120"/>
      <c r="NKJ3" s="120"/>
      <c r="NKK3" s="120"/>
      <c r="NKL3" s="120"/>
      <c r="NKM3" s="120"/>
      <c r="NKN3" s="120"/>
      <c r="NKO3" s="120"/>
      <c r="NKP3" s="120"/>
      <c r="NKQ3" s="120"/>
      <c r="NKR3" s="120"/>
      <c r="NKS3" s="120"/>
      <c r="NKT3" s="120"/>
      <c r="NKU3" s="120"/>
      <c r="NKV3" s="120"/>
      <c r="NKW3" s="120"/>
      <c r="NKX3" s="120"/>
      <c r="NKY3" s="120"/>
      <c r="NKZ3" s="120"/>
      <c r="NLA3" s="120"/>
      <c r="NLB3" s="120"/>
      <c r="NLC3" s="120"/>
      <c r="NLD3" s="120"/>
      <c r="NLE3" s="120"/>
      <c r="NLF3" s="120"/>
      <c r="NLG3" s="120"/>
      <c r="NLH3" s="120"/>
      <c r="NLI3" s="120"/>
      <c r="NLJ3" s="120"/>
      <c r="NLK3" s="120"/>
      <c r="NLL3" s="120"/>
      <c r="NLM3" s="120"/>
      <c r="NLN3" s="120"/>
      <c r="NLO3" s="120"/>
      <c r="NLP3" s="120"/>
      <c r="NLQ3" s="120"/>
      <c r="NLR3" s="120"/>
      <c r="NLS3" s="120"/>
      <c r="NLT3" s="120"/>
      <c r="NLU3" s="120"/>
      <c r="NLV3" s="120"/>
      <c r="NLW3" s="120"/>
      <c r="NLX3" s="120"/>
      <c r="NLY3" s="120"/>
      <c r="NLZ3" s="120"/>
      <c r="NMA3" s="120"/>
      <c r="NMB3" s="120"/>
      <c r="NMC3" s="120"/>
      <c r="NMD3" s="120"/>
      <c r="NME3" s="120"/>
      <c r="NMF3" s="120"/>
      <c r="NMG3" s="120"/>
      <c r="NMH3" s="120"/>
      <c r="NMI3" s="120"/>
      <c r="NMJ3" s="120"/>
      <c r="NMK3" s="120"/>
      <c r="NML3" s="120"/>
      <c r="NMM3" s="120"/>
      <c r="NMN3" s="120"/>
      <c r="NMO3" s="120"/>
      <c r="NMP3" s="120"/>
      <c r="NMQ3" s="120"/>
      <c r="NMR3" s="120"/>
      <c r="NMS3" s="120"/>
      <c r="NMT3" s="120"/>
      <c r="NMU3" s="120"/>
      <c r="NMV3" s="120"/>
      <c r="NMW3" s="120"/>
      <c r="NMX3" s="120"/>
      <c r="NMY3" s="120"/>
      <c r="NMZ3" s="120"/>
      <c r="NNA3" s="120"/>
      <c r="NNB3" s="120"/>
      <c r="NNC3" s="120"/>
      <c r="NND3" s="120"/>
      <c r="NNE3" s="120"/>
      <c r="NNF3" s="120"/>
      <c r="NNG3" s="120"/>
      <c r="NNH3" s="120"/>
      <c r="NNI3" s="120"/>
      <c r="NNJ3" s="120"/>
      <c r="NNK3" s="120"/>
      <c r="NNL3" s="120"/>
      <c r="NNM3" s="120"/>
      <c r="NNN3" s="120"/>
      <c r="NNO3" s="120"/>
      <c r="NNP3" s="120"/>
      <c r="NNQ3" s="120"/>
      <c r="NNR3" s="120"/>
      <c r="NNS3" s="120"/>
      <c r="NNT3" s="120"/>
      <c r="NNU3" s="120"/>
      <c r="NNV3" s="120"/>
      <c r="NNW3" s="120"/>
      <c r="NNX3" s="120"/>
      <c r="NNY3" s="120"/>
      <c r="NNZ3" s="120"/>
      <c r="NOA3" s="120"/>
      <c r="NOB3" s="120"/>
      <c r="NOC3" s="120"/>
      <c r="NOD3" s="120"/>
      <c r="NOE3" s="120"/>
      <c r="NOF3" s="120"/>
      <c r="NOG3" s="120"/>
      <c r="NOH3" s="120"/>
      <c r="NOI3" s="120"/>
      <c r="NOJ3" s="120"/>
      <c r="NOK3" s="120"/>
      <c r="NOL3" s="120"/>
      <c r="NOM3" s="120"/>
      <c r="NON3" s="120"/>
      <c r="NOO3" s="120"/>
      <c r="NOP3" s="120"/>
      <c r="NOQ3" s="120"/>
      <c r="NOR3" s="120"/>
      <c r="NOS3" s="120"/>
      <c r="NOT3" s="120"/>
      <c r="NOU3" s="120"/>
      <c r="NOV3" s="120"/>
      <c r="NOW3" s="120"/>
      <c r="NOX3" s="120"/>
      <c r="NOY3" s="120"/>
      <c r="NOZ3" s="120"/>
      <c r="NPA3" s="120"/>
      <c r="NPB3" s="120"/>
      <c r="NPC3" s="120"/>
      <c r="NPD3" s="120"/>
      <c r="NPE3" s="120"/>
      <c r="NPF3" s="120"/>
      <c r="NPG3" s="120"/>
      <c r="NPH3" s="120"/>
      <c r="NPI3" s="120"/>
      <c r="NPJ3" s="120"/>
      <c r="NPK3" s="120"/>
      <c r="NPL3" s="120"/>
      <c r="NPM3" s="120"/>
      <c r="NPN3" s="120"/>
      <c r="NPO3" s="120"/>
      <c r="NPP3" s="120"/>
      <c r="NPQ3" s="120"/>
      <c r="NPR3" s="120"/>
      <c r="NPS3" s="120"/>
      <c r="NPT3" s="120"/>
      <c r="NPU3" s="120"/>
      <c r="NPV3" s="120"/>
      <c r="NPW3" s="120"/>
      <c r="NPX3" s="120"/>
      <c r="NPY3" s="120"/>
      <c r="NPZ3" s="120"/>
      <c r="NQA3" s="120"/>
      <c r="NQB3" s="120"/>
      <c r="NQC3" s="120"/>
      <c r="NQD3" s="120"/>
      <c r="NQE3" s="120"/>
      <c r="NQF3" s="120"/>
      <c r="NQG3" s="120"/>
      <c r="NQH3" s="120"/>
      <c r="NQI3" s="120"/>
      <c r="NQJ3" s="120"/>
      <c r="NQK3" s="120"/>
      <c r="NQL3" s="120"/>
      <c r="NQM3" s="120"/>
      <c r="NQN3" s="120"/>
      <c r="NQO3" s="120"/>
      <c r="NQP3" s="120"/>
      <c r="NQQ3" s="120"/>
      <c r="NQR3" s="120"/>
      <c r="NQS3" s="120"/>
      <c r="NQT3" s="120"/>
      <c r="NQU3" s="120"/>
      <c r="NQV3" s="120"/>
      <c r="NQW3" s="120"/>
      <c r="NQX3" s="120"/>
      <c r="NQY3" s="120"/>
      <c r="NQZ3" s="120"/>
      <c r="NRA3" s="120"/>
      <c r="NRB3" s="120"/>
      <c r="NRC3" s="120"/>
      <c r="NRD3" s="120"/>
      <c r="NRE3" s="120"/>
      <c r="NRF3" s="120"/>
      <c r="NRG3" s="120"/>
      <c r="NRH3" s="120"/>
      <c r="NRI3" s="120"/>
      <c r="NRJ3" s="120"/>
      <c r="NRK3" s="120"/>
      <c r="NRL3" s="120"/>
      <c r="NRM3" s="120"/>
      <c r="NRN3" s="120"/>
      <c r="NRO3" s="120"/>
      <c r="NRP3" s="120"/>
      <c r="NRQ3" s="120"/>
      <c r="NRR3" s="120"/>
      <c r="NRS3" s="120"/>
      <c r="NRT3" s="120"/>
      <c r="NRU3" s="120"/>
      <c r="NRV3" s="120"/>
      <c r="NRW3" s="120"/>
      <c r="NRX3" s="120"/>
      <c r="NRY3" s="120"/>
      <c r="NRZ3" s="120"/>
      <c r="NSA3" s="120"/>
      <c r="NSB3" s="120"/>
      <c r="NSC3" s="120"/>
      <c r="NSD3" s="120"/>
      <c r="NSE3" s="120"/>
      <c r="NSF3" s="120"/>
      <c r="NSG3" s="120"/>
      <c r="NSH3" s="120"/>
      <c r="NSI3" s="120"/>
      <c r="NSJ3" s="120"/>
      <c r="NSK3" s="120"/>
      <c r="NSL3" s="120"/>
      <c r="NSM3" s="120"/>
      <c r="NSN3" s="120"/>
      <c r="NSO3" s="120"/>
      <c r="NSP3" s="120"/>
      <c r="NSQ3" s="120"/>
      <c r="NSR3" s="120"/>
      <c r="NSS3" s="120"/>
      <c r="NST3" s="120"/>
      <c r="NSU3" s="120"/>
      <c r="NSV3" s="120"/>
      <c r="NSW3" s="120"/>
      <c r="NSX3" s="120"/>
      <c r="NSY3" s="120"/>
      <c r="NSZ3" s="120"/>
      <c r="NTA3" s="120"/>
      <c r="NTB3" s="120"/>
      <c r="NTC3" s="120"/>
      <c r="NTD3" s="120"/>
      <c r="NTE3" s="120"/>
      <c r="NTF3" s="120"/>
      <c r="NTG3" s="120"/>
      <c r="NTH3" s="120"/>
      <c r="NTI3" s="120"/>
      <c r="NTJ3" s="120"/>
      <c r="NTK3" s="120"/>
      <c r="NTL3" s="120"/>
      <c r="NTM3" s="120"/>
      <c r="NTN3" s="120"/>
      <c r="NTO3" s="120"/>
      <c r="NTP3" s="120"/>
      <c r="NTQ3" s="120"/>
      <c r="NTR3" s="120"/>
      <c r="NTS3" s="120"/>
      <c r="NTT3" s="120"/>
      <c r="NTU3" s="120"/>
      <c r="NTV3" s="120"/>
      <c r="NTW3" s="120"/>
      <c r="NTX3" s="120"/>
      <c r="NTY3" s="120"/>
      <c r="NTZ3" s="120"/>
      <c r="NUA3" s="120"/>
      <c r="NUB3" s="120"/>
      <c r="NUC3" s="120"/>
      <c r="NUD3" s="120"/>
      <c r="NUE3" s="120"/>
      <c r="NUF3" s="120"/>
      <c r="NUG3" s="120"/>
      <c r="NUH3" s="120"/>
      <c r="NUI3" s="120"/>
      <c r="NUJ3" s="120"/>
      <c r="NUK3" s="120"/>
      <c r="NUL3" s="120"/>
      <c r="NUM3" s="120"/>
      <c r="NUN3" s="120"/>
      <c r="NUO3" s="120"/>
      <c r="NUP3" s="120"/>
      <c r="NUQ3" s="120"/>
      <c r="NUR3" s="120"/>
      <c r="NUS3" s="120"/>
      <c r="NUT3" s="120"/>
      <c r="NUU3" s="120"/>
      <c r="NUV3" s="120"/>
      <c r="NUW3" s="120"/>
      <c r="NUX3" s="120"/>
      <c r="NUY3" s="120"/>
      <c r="NUZ3" s="120"/>
      <c r="NVA3" s="120"/>
      <c r="NVB3" s="120"/>
      <c r="NVC3" s="120"/>
      <c r="NVD3" s="120"/>
      <c r="NVE3" s="120"/>
      <c r="NVF3" s="120"/>
      <c r="NVG3" s="120"/>
      <c r="NVH3" s="120"/>
      <c r="NVI3" s="120"/>
      <c r="NVJ3" s="120"/>
      <c r="NVK3" s="120"/>
      <c r="NVL3" s="120"/>
      <c r="NVM3" s="120"/>
      <c r="NVN3" s="120"/>
      <c r="NVO3" s="120"/>
      <c r="NVP3" s="120"/>
      <c r="NVQ3" s="120"/>
      <c r="NVR3" s="120"/>
      <c r="NVS3" s="120"/>
      <c r="NVT3" s="120"/>
      <c r="NVU3" s="120"/>
      <c r="NVV3" s="120"/>
      <c r="NVW3" s="120"/>
      <c r="NVX3" s="120"/>
      <c r="NVY3" s="120"/>
      <c r="NVZ3" s="120"/>
      <c r="NWA3" s="120"/>
      <c r="NWB3" s="120"/>
      <c r="NWC3" s="120"/>
      <c r="NWD3" s="120"/>
      <c r="NWE3" s="120"/>
      <c r="NWF3" s="120"/>
      <c r="NWG3" s="120"/>
      <c r="NWH3" s="120"/>
      <c r="NWI3" s="120"/>
      <c r="NWJ3" s="120"/>
      <c r="NWK3" s="120"/>
      <c r="NWL3" s="120"/>
      <c r="NWM3" s="120"/>
      <c r="NWN3" s="120"/>
      <c r="NWO3" s="120"/>
      <c r="NWP3" s="120"/>
      <c r="NWQ3" s="120"/>
      <c r="NWR3" s="120"/>
      <c r="NWS3" s="120"/>
      <c r="NWT3" s="120"/>
      <c r="NWU3" s="120"/>
      <c r="NWV3" s="120"/>
      <c r="NWW3" s="120"/>
      <c r="NWX3" s="120"/>
      <c r="NWY3" s="120"/>
      <c r="NWZ3" s="120"/>
      <c r="NXA3" s="120"/>
      <c r="NXB3" s="120"/>
      <c r="NXC3" s="120"/>
      <c r="NXD3" s="120"/>
      <c r="NXE3" s="120"/>
      <c r="NXF3" s="120"/>
      <c r="NXG3" s="120"/>
      <c r="NXH3" s="120"/>
      <c r="NXI3" s="120"/>
      <c r="NXJ3" s="120"/>
      <c r="NXK3" s="120"/>
      <c r="NXL3" s="120"/>
      <c r="NXM3" s="120"/>
      <c r="NXN3" s="120"/>
      <c r="NXO3" s="120"/>
      <c r="NXP3" s="120"/>
      <c r="NXQ3" s="120"/>
      <c r="NXR3" s="120"/>
      <c r="NXS3" s="120"/>
      <c r="NXT3" s="120"/>
      <c r="NXU3" s="120"/>
      <c r="NXV3" s="120"/>
      <c r="NXW3" s="120"/>
      <c r="NXX3" s="120"/>
      <c r="NXY3" s="120"/>
      <c r="NXZ3" s="120"/>
      <c r="NYA3" s="120"/>
      <c r="NYB3" s="120"/>
      <c r="NYC3" s="120"/>
      <c r="NYD3" s="120"/>
      <c r="NYE3" s="120"/>
      <c r="NYF3" s="120"/>
      <c r="NYG3" s="120"/>
      <c r="NYH3" s="120"/>
      <c r="NYI3" s="120"/>
      <c r="NYJ3" s="120"/>
      <c r="NYK3" s="120"/>
      <c r="NYL3" s="120"/>
      <c r="NYM3" s="120"/>
      <c r="NYN3" s="120"/>
      <c r="NYO3" s="120"/>
      <c r="NYP3" s="120"/>
      <c r="NYQ3" s="120"/>
      <c r="NYR3" s="120"/>
      <c r="NYS3" s="120"/>
      <c r="NYT3" s="120"/>
      <c r="NYU3" s="120"/>
      <c r="NYV3" s="120"/>
      <c r="NYW3" s="120"/>
      <c r="NYX3" s="120"/>
      <c r="NYY3" s="120"/>
      <c r="NYZ3" s="120"/>
      <c r="NZA3" s="120"/>
      <c r="NZB3" s="120"/>
      <c r="NZC3" s="120"/>
      <c r="NZD3" s="120"/>
      <c r="NZE3" s="120"/>
      <c r="NZF3" s="120"/>
      <c r="NZG3" s="120"/>
      <c r="NZH3" s="120"/>
      <c r="NZI3" s="120"/>
      <c r="NZJ3" s="120"/>
      <c r="NZK3" s="120"/>
      <c r="NZL3" s="120"/>
      <c r="NZM3" s="120"/>
      <c r="NZN3" s="120"/>
      <c r="NZO3" s="120"/>
      <c r="NZP3" s="120"/>
      <c r="NZQ3" s="120"/>
      <c r="NZR3" s="120"/>
      <c r="NZS3" s="120"/>
      <c r="NZT3" s="120"/>
      <c r="NZU3" s="120"/>
      <c r="NZV3" s="120"/>
      <c r="NZW3" s="120"/>
      <c r="NZX3" s="120"/>
      <c r="NZY3" s="120"/>
      <c r="NZZ3" s="120"/>
      <c r="OAA3" s="120"/>
      <c r="OAB3" s="120"/>
      <c r="OAC3" s="120"/>
      <c r="OAD3" s="120"/>
      <c r="OAE3" s="120"/>
      <c r="OAF3" s="120"/>
      <c r="OAG3" s="120"/>
      <c r="OAH3" s="120"/>
      <c r="OAI3" s="120"/>
      <c r="OAJ3" s="120"/>
      <c r="OAK3" s="120"/>
      <c r="OAL3" s="120"/>
      <c r="OAM3" s="120"/>
      <c r="OAN3" s="120"/>
      <c r="OAO3" s="120"/>
      <c r="OAP3" s="120"/>
      <c r="OAQ3" s="120"/>
      <c r="OAR3" s="120"/>
      <c r="OAS3" s="120"/>
      <c r="OAT3" s="120"/>
      <c r="OAU3" s="120"/>
      <c r="OAV3" s="120"/>
      <c r="OAW3" s="120"/>
      <c r="OAX3" s="120"/>
      <c r="OAY3" s="120"/>
      <c r="OAZ3" s="120"/>
      <c r="OBA3" s="120"/>
      <c r="OBB3" s="120"/>
      <c r="OBC3" s="120"/>
      <c r="OBD3" s="120"/>
      <c r="OBE3" s="120"/>
      <c r="OBF3" s="120"/>
      <c r="OBG3" s="120"/>
      <c r="OBH3" s="120"/>
      <c r="OBI3" s="120"/>
      <c r="OBJ3" s="120"/>
      <c r="OBK3" s="120"/>
      <c r="OBL3" s="120"/>
      <c r="OBM3" s="120"/>
      <c r="OBN3" s="120"/>
      <c r="OBO3" s="120"/>
      <c r="OBP3" s="120"/>
      <c r="OBQ3" s="120"/>
      <c r="OBR3" s="120"/>
      <c r="OBS3" s="120"/>
      <c r="OBT3" s="120"/>
      <c r="OBU3" s="120"/>
      <c r="OBV3" s="120"/>
      <c r="OBW3" s="120"/>
      <c r="OBX3" s="120"/>
      <c r="OBY3" s="120"/>
      <c r="OBZ3" s="120"/>
      <c r="OCA3" s="120"/>
      <c r="OCB3" s="120"/>
      <c r="OCC3" s="120"/>
      <c r="OCD3" s="120"/>
      <c r="OCE3" s="120"/>
      <c r="OCF3" s="120"/>
      <c r="OCG3" s="120"/>
      <c r="OCH3" s="120"/>
      <c r="OCI3" s="120"/>
      <c r="OCJ3" s="120"/>
      <c r="OCK3" s="120"/>
      <c r="OCL3" s="120"/>
      <c r="OCM3" s="120"/>
      <c r="OCN3" s="120"/>
      <c r="OCO3" s="120"/>
      <c r="OCP3" s="120"/>
      <c r="OCQ3" s="120"/>
      <c r="OCR3" s="120"/>
      <c r="OCS3" s="120"/>
      <c r="OCT3" s="120"/>
      <c r="OCU3" s="120"/>
      <c r="OCV3" s="120"/>
      <c r="OCW3" s="120"/>
      <c r="OCX3" s="120"/>
      <c r="OCY3" s="120"/>
      <c r="OCZ3" s="120"/>
      <c r="ODA3" s="120"/>
      <c r="ODB3" s="120"/>
      <c r="ODC3" s="120"/>
      <c r="ODD3" s="120"/>
      <c r="ODE3" s="120"/>
      <c r="ODF3" s="120"/>
      <c r="ODG3" s="120"/>
      <c r="ODH3" s="120"/>
      <c r="ODI3" s="120"/>
      <c r="ODJ3" s="120"/>
      <c r="ODK3" s="120"/>
      <c r="ODL3" s="120"/>
      <c r="ODM3" s="120"/>
      <c r="ODN3" s="120"/>
      <c r="ODO3" s="120"/>
      <c r="ODP3" s="120"/>
      <c r="ODQ3" s="120"/>
      <c r="ODR3" s="120"/>
      <c r="ODS3" s="120"/>
      <c r="ODT3" s="120"/>
      <c r="ODU3" s="120"/>
      <c r="ODV3" s="120"/>
      <c r="ODW3" s="120"/>
      <c r="ODX3" s="120"/>
      <c r="ODY3" s="120"/>
      <c r="ODZ3" s="120"/>
      <c r="OEA3" s="120"/>
      <c r="OEB3" s="120"/>
      <c r="OEC3" s="120"/>
      <c r="OED3" s="120"/>
      <c r="OEE3" s="120"/>
      <c r="OEF3" s="120"/>
      <c r="OEG3" s="120"/>
      <c r="OEH3" s="120"/>
      <c r="OEI3" s="120"/>
      <c r="OEJ3" s="120"/>
      <c r="OEK3" s="120"/>
      <c r="OEL3" s="120"/>
      <c r="OEM3" s="120"/>
      <c r="OEN3" s="120"/>
      <c r="OEO3" s="120"/>
      <c r="OEP3" s="120"/>
      <c r="OEQ3" s="120"/>
      <c r="OER3" s="120"/>
      <c r="OES3" s="120"/>
      <c r="OET3" s="120"/>
      <c r="OEU3" s="120"/>
      <c r="OEV3" s="120"/>
      <c r="OEW3" s="120"/>
      <c r="OEX3" s="120"/>
      <c r="OEY3" s="120"/>
      <c r="OEZ3" s="120"/>
      <c r="OFA3" s="120"/>
      <c r="OFB3" s="120"/>
      <c r="OFC3" s="120"/>
      <c r="OFD3" s="120"/>
      <c r="OFE3" s="120"/>
      <c r="OFF3" s="120"/>
      <c r="OFG3" s="120"/>
      <c r="OFH3" s="120"/>
      <c r="OFI3" s="120"/>
      <c r="OFJ3" s="120"/>
      <c r="OFK3" s="120"/>
      <c r="OFL3" s="120"/>
      <c r="OFM3" s="120"/>
      <c r="OFN3" s="120"/>
      <c r="OFO3" s="120"/>
      <c r="OFP3" s="120"/>
      <c r="OFQ3" s="120"/>
      <c r="OFR3" s="120"/>
      <c r="OFS3" s="120"/>
      <c r="OFT3" s="120"/>
      <c r="OFU3" s="120"/>
      <c r="OFV3" s="120"/>
      <c r="OFW3" s="120"/>
      <c r="OFX3" s="120"/>
      <c r="OFY3" s="120"/>
      <c r="OFZ3" s="120"/>
      <c r="OGA3" s="120"/>
      <c r="OGB3" s="120"/>
      <c r="OGC3" s="120"/>
      <c r="OGD3" s="120"/>
      <c r="OGE3" s="120"/>
      <c r="OGF3" s="120"/>
      <c r="OGG3" s="120"/>
      <c r="OGH3" s="120"/>
      <c r="OGI3" s="120"/>
      <c r="OGJ3" s="120"/>
      <c r="OGK3" s="120"/>
      <c r="OGL3" s="120"/>
      <c r="OGM3" s="120"/>
      <c r="OGN3" s="120"/>
      <c r="OGO3" s="120"/>
      <c r="OGP3" s="120"/>
      <c r="OGQ3" s="120"/>
      <c r="OGR3" s="120"/>
      <c r="OGS3" s="120"/>
      <c r="OGT3" s="120"/>
      <c r="OGU3" s="120"/>
      <c r="OGV3" s="120"/>
      <c r="OGW3" s="120"/>
      <c r="OGX3" s="120"/>
      <c r="OGY3" s="120"/>
      <c r="OGZ3" s="120"/>
      <c r="OHA3" s="120"/>
      <c r="OHB3" s="120"/>
      <c r="OHC3" s="120"/>
      <c r="OHD3" s="120"/>
      <c r="OHE3" s="120"/>
      <c r="OHF3" s="120"/>
      <c r="OHG3" s="120"/>
      <c r="OHH3" s="120"/>
      <c r="OHI3" s="120"/>
      <c r="OHJ3" s="120"/>
      <c r="OHK3" s="120"/>
      <c r="OHL3" s="120"/>
      <c r="OHM3" s="120"/>
      <c r="OHN3" s="120"/>
      <c r="OHO3" s="120"/>
      <c r="OHP3" s="120"/>
      <c r="OHQ3" s="120"/>
      <c r="OHR3" s="120"/>
      <c r="OHS3" s="120"/>
      <c r="OHT3" s="120"/>
      <c r="OHU3" s="120"/>
      <c r="OHV3" s="120"/>
      <c r="OHW3" s="120"/>
      <c r="OHX3" s="120"/>
      <c r="OHY3" s="120"/>
      <c r="OHZ3" s="120"/>
      <c r="OIA3" s="120"/>
      <c r="OIB3" s="120"/>
      <c r="OIC3" s="120"/>
      <c r="OID3" s="120"/>
      <c r="OIE3" s="120"/>
      <c r="OIF3" s="120"/>
      <c r="OIG3" s="120"/>
      <c r="OIH3" s="120"/>
      <c r="OII3" s="120"/>
      <c r="OIJ3" s="120"/>
      <c r="OIK3" s="120"/>
      <c r="OIL3" s="120"/>
      <c r="OIM3" s="120"/>
      <c r="OIN3" s="120"/>
      <c r="OIO3" s="120"/>
      <c r="OIP3" s="120"/>
      <c r="OIQ3" s="120"/>
      <c r="OIR3" s="120"/>
      <c r="OIS3" s="120"/>
      <c r="OIT3" s="120"/>
      <c r="OIU3" s="120"/>
      <c r="OIV3" s="120"/>
      <c r="OIW3" s="120"/>
      <c r="OIX3" s="120"/>
      <c r="OIY3" s="120"/>
      <c r="OIZ3" s="120"/>
      <c r="OJA3" s="120"/>
      <c r="OJB3" s="120"/>
      <c r="OJC3" s="120"/>
      <c r="OJD3" s="120"/>
      <c r="OJE3" s="120"/>
      <c r="OJF3" s="120"/>
      <c r="OJG3" s="120"/>
      <c r="OJH3" s="120"/>
      <c r="OJI3" s="120"/>
      <c r="OJJ3" s="120"/>
      <c r="OJK3" s="120"/>
      <c r="OJL3" s="120"/>
      <c r="OJM3" s="120"/>
      <c r="OJN3" s="120"/>
      <c r="OJO3" s="120"/>
      <c r="OJP3" s="120"/>
      <c r="OJQ3" s="120"/>
      <c r="OJR3" s="120"/>
      <c r="OJS3" s="120"/>
      <c r="OJT3" s="120"/>
      <c r="OJU3" s="120"/>
      <c r="OJV3" s="120"/>
      <c r="OJW3" s="120"/>
      <c r="OJX3" s="120"/>
      <c r="OJY3" s="120"/>
      <c r="OJZ3" s="120"/>
      <c r="OKA3" s="120"/>
      <c r="OKB3" s="120"/>
      <c r="OKC3" s="120"/>
      <c r="OKD3" s="120"/>
      <c r="OKE3" s="120"/>
      <c r="OKF3" s="120"/>
      <c r="OKG3" s="120"/>
      <c r="OKH3" s="120"/>
      <c r="OKI3" s="120"/>
      <c r="OKJ3" s="120"/>
      <c r="OKK3" s="120"/>
      <c r="OKL3" s="120"/>
      <c r="OKM3" s="120"/>
      <c r="OKN3" s="120"/>
      <c r="OKO3" s="120"/>
      <c r="OKP3" s="120"/>
      <c r="OKQ3" s="120"/>
      <c r="OKR3" s="120"/>
      <c r="OKS3" s="120"/>
      <c r="OKT3" s="120"/>
      <c r="OKU3" s="120"/>
      <c r="OKV3" s="120"/>
      <c r="OKW3" s="120"/>
      <c r="OKX3" s="120"/>
      <c r="OKY3" s="120"/>
      <c r="OKZ3" s="120"/>
      <c r="OLA3" s="120"/>
      <c r="OLB3" s="120"/>
      <c r="OLC3" s="120"/>
      <c r="OLD3" s="120"/>
      <c r="OLE3" s="120"/>
      <c r="OLF3" s="120"/>
      <c r="OLG3" s="120"/>
      <c r="OLH3" s="120"/>
      <c r="OLI3" s="120"/>
      <c r="OLJ3" s="120"/>
      <c r="OLK3" s="120"/>
      <c r="OLL3" s="120"/>
      <c r="OLM3" s="120"/>
      <c r="OLN3" s="120"/>
      <c r="OLO3" s="120"/>
      <c r="OLP3" s="120"/>
      <c r="OLQ3" s="120"/>
      <c r="OLR3" s="120"/>
      <c r="OLS3" s="120"/>
      <c r="OLT3" s="120"/>
      <c r="OLU3" s="120"/>
      <c r="OLV3" s="120"/>
      <c r="OLW3" s="120"/>
      <c r="OLX3" s="120"/>
      <c r="OLY3" s="120"/>
      <c r="OLZ3" s="120"/>
      <c r="OMA3" s="120"/>
      <c r="OMB3" s="120"/>
      <c r="OMC3" s="120"/>
      <c r="OMD3" s="120"/>
      <c r="OME3" s="120"/>
      <c r="OMF3" s="120"/>
      <c r="OMG3" s="120"/>
      <c r="OMH3" s="120"/>
      <c r="OMI3" s="120"/>
      <c r="OMJ3" s="120"/>
      <c r="OMK3" s="120"/>
      <c r="OML3" s="120"/>
      <c r="OMM3" s="120"/>
      <c r="OMN3" s="120"/>
      <c r="OMO3" s="120"/>
      <c r="OMP3" s="120"/>
      <c r="OMQ3" s="120"/>
      <c r="OMR3" s="120"/>
      <c r="OMS3" s="120"/>
      <c r="OMT3" s="120"/>
      <c r="OMU3" s="120"/>
      <c r="OMV3" s="120"/>
      <c r="OMW3" s="120"/>
      <c r="OMX3" s="120"/>
      <c r="OMY3" s="120"/>
      <c r="OMZ3" s="120"/>
      <c r="ONA3" s="120"/>
      <c r="ONB3" s="120"/>
      <c r="ONC3" s="120"/>
      <c r="OND3" s="120"/>
      <c r="ONE3" s="120"/>
      <c r="ONF3" s="120"/>
      <c r="ONG3" s="120"/>
      <c r="ONH3" s="120"/>
      <c r="ONI3" s="120"/>
      <c r="ONJ3" s="120"/>
      <c r="ONK3" s="120"/>
      <c r="ONL3" s="120"/>
      <c r="ONM3" s="120"/>
      <c r="ONN3" s="120"/>
      <c r="ONO3" s="120"/>
      <c r="ONP3" s="120"/>
      <c r="ONQ3" s="120"/>
      <c r="ONR3" s="120"/>
      <c r="ONS3" s="120"/>
      <c r="ONT3" s="120"/>
      <c r="ONU3" s="120"/>
      <c r="ONV3" s="120"/>
      <c r="ONW3" s="120"/>
      <c r="ONX3" s="120"/>
      <c r="ONY3" s="120"/>
      <c r="ONZ3" s="120"/>
      <c r="OOA3" s="120"/>
      <c r="OOB3" s="120"/>
      <c r="OOC3" s="120"/>
      <c r="OOD3" s="120"/>
      <c r="OOE3" s="120"/>
      <c r="OOF3" s="120"/>
      <c r="OOG3" s="120"/>
      <c r="OOH3" s="120"/>
      <c r="OOI3" s="120"/>
      <c r="OOJ3" s="120"/>
      <c r="OOK3" s="120"/>
      <c r="OOL3" s="120"/>
      <c r="OOM3" s="120"/>
      <c r="OON3" s="120"/>
      <c r="OOO3" s="120"/>
      <c r="OOP3" s="120"/>
      <c r="OOQ3" s="120"/>
      <c r="OOR3" s="120"/>
      <c r="OOS3" s="120"/>
      <c r="OOT3" s="120"/>
      <c r="OOU3" s="120"/>
      <c r="OOV3" s="120"/>
      <c r="OOW3" s="120"/>
      <c r="OOX3" s="120"/>
      <c r="OOY3" s="120"/>
      <c r="OOZ3" s="120"/>
      <c r="OPA3" s="120"/>
      <c r="OPB3" s="120"/>
      <c r="OPC3" s="120"/>
      <c r="OPD3" s="120"/>
      <c r="OPE3" s="120"/>
      <c r="OPF3" s="120"/>
      <c r="OPG3" s="120"/>
      <c r="OPH3" s="120"/>
      <c r="OPI3" s="120"/>
      <c r="OPJ3" s="120"/>
      <c r="OPK3" s="120"/>
      <c r="OPL3" s="120"/>
      <c r="OPM3" s="120"/>
      <c r="OPN3" s="120"/>
      <c r="OPO3" s="120"/>
      <c r="OPP3" s="120"/>
      <c r="OPQ3" s="120"/>
      <c r="OPR3" s="120"/>
      <c r="OPS3" s="120"/>
      <c r="OPT3" s="120"/>
      <c r="OPU3" s="120"/>
      <c r="OPV3" s="120"/>
      <c r="OPW3" s="120"/>
      <c r="OPX3" s="120"/>
      <c r="OPY3" s="120"/>
      <c r="OPZ3" s="120"/>
      <c r="OQA3" s="120"/>
      <c r="OQB3" s="120"/>
      <c r="OQC3" s="120"/>
      <c r="OQD3" s="120"/>
      <c r="OQE3" s="120"/>
      <c r="OQF3" s="120"/>
      <c r="OQG3" s="120"/>
      <c r="OQH3" s="120"/>
      <c r="OQI3" s="120"/>
      <c r="OQJ3" s="120"/>
      <c r="OQK3" s="120"/>
      <c r="OQL3" s="120"/>
      <c r="OQM3" s="120"/>
      <c r="OQN3" s="120"/>
      <c r="OQO3" s="120"/>
      <c r="OQP3" s="120"/>
      <c r="OQQ3" s="120"/>
      <c r="OQR3" s="120"/>
      <c r="OQS3" s="120"/>
      <c r="OQT3" s="120"/>
      <c r="OQU3" s="120"/>
      <c r="OQV3" s="120"/>
      <c r="OQW3" s="120"/>
      <c r="OQX3" s="120"/>
      <c r="OQY3" s="120"/>
      <c r="OQZ3" s="120"/>
      <c r="ORA3" s="120"/>
      <c r="ORB3" s="120"/>
      <c r="ORC3" s="120"/>
      <c r="ORD3" s="120"/>
      <c r="ORE3" s="120"/>
      <c r="ORF3" s="120"/>
      <c r="ORG3" s="120"/>
      <c r="ORH3" s="120"/>
      <c r="ORI3" s="120"/>
      <c r="ORJ3" s="120"/>
      <c r="ORK3" s="120"/>
      <c r="ORL3" s="120"/>
      <c r="ORM3" s="120"/>
      <c r="ORN3" s="120"/>
      <c r="ORO3" s="120"/>
      <c r="ORP3" s="120"/>
      <c r="ORQ3" s="120"/>
      <c r="ORR3" s="120"/>
      <c r="ORS3" s="120"/>
      <c r="ORT3" s="120"/>
      <c r="ORU3" s="120"/>
      <c r="ORV3" s="120"/>
      <c r="ORW3" s="120"/>
      <c r="ORX3" s="120"/>
      <c r="ORY3" s="120"/>
      <c r="ORZ3" s="120"/>
      <c r="OSA3" s="120"/>
      <c r="OSB3" s="120"/>
      <c r="OSC3" s="120"/>
      <c r="OSD3" s="120"/>
      <c r="OSE3" s="120"/>
      <c r="OSF3" s="120"/>
      <c r="OSG3" s="120"/>
      <c r="OSH3" s="120"/>
      <c r="OSI3" s="120"/>
      <c r="OSJ3" s="120"/>
      <c r="OSK3" s="120"/>
      <c r="OSL3" s="120"/>
      <c r="OSM3" s="120"/>
      <c r="OSN3" s="120"/>
      <c r="OSO3" s="120"/>
      <c r="OSP3" s="120"/>
      <c r="OSQ3" s="120"/>
      <c r="OSR3" s="120"/>
      <c r="OSS3" s="120"/>
      <c r="OST3" s="120"/>
      <c r="OSU3" s="120"/>
      <c r="OSV3" s="120"/>
      <c r="OSW3" s="120"/>
      <c r="OSX3" s="120"/>
      <c r="OSY3" s="120"/>
      <c r="OSZ3" s="120"/>
      <c r="OTA3" s="120"/>
      <c r="OTB3" s="120"/>
      <c r="OTC3" s="120"/>
      <c r="OTD3" s="120"/>
      <c r="OTE3" s="120"/>
      <c r="OTF3" s="120"/>
      <c r="OTG3" s="120"/>
      <c r="OTH3" s="120"/>
      <c r="OTI3" s="120"/>
      <c r="OTJ3" s="120"/>
      <c r="OTK3" s="120"/>
      <c r="OTL3" s="120"/>
      <c r="OTM3" s="120"/>
      <c r="OTN3" s="120"/>
      <c r="OTO3" s="120"/>
      <c r="OTP3" s="120"/>
      <c r="OTQ3" s="120"/>
      <c r="OTR3" s="120"/>
      <c r="OTS3" s="120"/>
      <c r="OTT3" s="120"/>
      <c r="OTU3" s="120"/>
      <c r="OTV3" s="120"/>
      <c r="OTW3" s="120"/>
      <c r="OTX3" s="120"/>
      <c r="OTY3" s="120"/>
      <c r="OTZ3" s="120"/>
      <c r="OUA3" s="120"/>
      <c r="OUB3" s="120"/>
      <c r="OUC3" s="120"/>
      <c r="OUD3" s="120"/>
      <c r="OUE3" s="120"/>
      <c r="OUF3" s="120"/>
      <c r="OUG3" s="120"/>
      <c r="OUH3" s="120"/>
      <c r="OUI3" s="120"/>
      <c r="OUJ3" s="120"/>
      <c r="OUK3" s="120"/>
      <c r="OUL3" s="120"/>
      <c r="OUM3" s="120"/>
      <c r="OUN3" s="120"/>
      <c r="OUO3" s="120"/>
      <c r="OUP3" s="120"/>
      <c r="OUQ3" s="120"/>
      <c r="OUR3" s="120"/>
      <c r="OUS3" s="120"/>
      <c r="OUT3" s="120"/>
      <c r="OUU3" s="120"/>
      <c r="OUV3" s="120"/>
      <c r="OUW3" s="120"/>
      <c r="OUX3" s="120"/>
      <c r="OUY3" s="120"/>
      <c r="OUZ3" s="120"/>
      <c r="OVA3" s="120"/>
      <c r="OVB3" s="120"/>
      <c r="OVC3" s="120"/>
      <c r="OVD3" s="120"/>
      <c r="OVE3" s="120"/>
      <c r="OVF3" s="120"/>
      <c r="OVG3" s="120"/>
      <c r="OVH3" s="120"/>
      <c r="OVI3" s="120"/>
      <c r="OVJ3" s="120"/>
      <c r="OVK3" s="120"/>
      <c r="OVL3" s="120"/>
      <c r="OVM3" s="120"/>
      <c r="OVN3" s="120"/>
      <c r="OVO3" s="120"/>
      <c r="OVP3" s="120"/>
      <c r="OVQ3" s="120"/>
      <c r="OVR3" s="120"/>
      <c r="OVS3" s="120"/>
      <c r="OVT3" s="120"/>
      <c r="OVU3" s="120"/>
      <c r="OVV3" s="120"/>
      <c r="OVW3" s="120"/>
      <c r="OVX3" s="120"/>
      <c r="OVY3" s="120"/>
      <c r="OVZ3" s="120"/>
      <c r="OWA3" s="120"/>
      <c r="OWB3" s="120"/>
      <c r="OWC3" s="120"/>
      <c r="OWD3" s="120"/>
      <c r="OWE3" s="120"/>
      <c r="OWF3" s="120"/>
      <c r="OWG3" s="120"/>
      <c r="OWH3" s="120"/>
      <c r="OWI3" s="120"/>
      <c r="OWJ3" s="120"/>
      <c r="OWK3" s="120"/>
      <c r="OWL3" s="120"/>
      <c r="OWM3" s="120"/>
      <c r="OWN3" s="120"/>
      <c r="OWO3" s="120"/>
      <c r="OWP3" s="120"/>
      <c r="OWQ3" s="120"/>
      <c r="OWR3" s="120"/>
      <c r="OWS3" s="120"/>
      <c r="OWT3" s="120"/>
      <c r="OWU3" s="120"/>
      <c r="OWV3" s="120"/>
      <c r="OWW3" s="120"/>
      <c r="OWX3" s="120"/>
      <c r="OWY3" s="120"/>
      <c r="OWZ3" s="120"/>
      <c r="OXA3" s="120"/>
      <c r="OXB3" s="120"/>
      <c r="OXC3" s="120"/>
      <c r="OXD3" s="120"/>
      <c r="OXE3" s="120"/>
      <c r="OXF3" s="120"/>
      <c r="OXG3" s="120"/>
      <c r="OXH3" s="120"/>
      <c r="OXI3" s="120"/>
      <c r="OXJ3" s="120"/>
      <c r="OXK3" s="120"/>
      <c r="OXL3" s="120"/>
      <c r="OXM3" s="120"/>
      <c r="OXN3" s="120"/>
      <c r="OXO3" s="120"/>
      <c r="OXP3" s="120"/>
      <c r="OXQ3" s="120"/>
      <c r="OXR3" s="120"/>
      <c r="OXS3" s="120"/>
      <c r="OXT3" s="120"/>
      <c r="OXU3" s="120"/>
      <c r="OXV3" s="120"/>
      <c r="OXW3" s="120"/>
      <c r="OXX3" s="120"/>
      <c r="OXY3" s="120"/>
      <c r="OXZ3" s="120"/>
      <c r="OYA3" s="120"/>
      <c r="OYB3" s="120"/>
      <c r="OYC3" s="120"/>
      <c r="OYD3" s="120"/>
      <c r="OYE3" s="120"/>
      <c r="OYF3" s="120"/>
      <c r="OYG3" s="120"/>
      <c r="OYH3" s="120"/>
      <c r="OYI3" s="120"/>
      <c r="OYJ3" s="120"/>
      <c r="OYK3" s="120"/>
      <c r="OYL3" s="120"/>
      <c r="OYM3" s="120"/>
      <c r="OYN3" s="120"/>
      <c r="OYO3" s="120"/>
      <c r="OYP3" s="120"/>
      <c r="OYQ3" s="120"/>
      <c r="OYR3" s="120"/>
      <c r="OYS3" s="120"/>
      <c r="OYT3" s="120"/>
      <c r="OYU3" s="120"/>
      <c r="OYV3" s="120"/>
      <c r="OYW3" s="120"/>
      <c r="OYX3" s="120"/>
      <c r="OYY3" s="120"/>
      <c r="OYZ3" s="120"/>
      <c r="OZA3" s="120"/>
      <c r="OZB3" s="120"/>
      <c r="OZC3" s="120"/>
      <c r="OZD3" s="120"/>
      <c r="OZE3" s="120"/>
      <c r="OZF3" s="120"/>
      <c r="OZG3" s="120"/>
      <c r="OZH3" s="120"/>
      <c r="OZI3" s="120"/>
      <c r="OZJ3" s="120"/>
      <c r="OZK3" s="120"/>
      <c r="OZL3" s="120"/>
      <c r="OZM3" s="120"/>
      <c r="OZN3" s="120"/>
      <c r="OZO3" s="120"/>
      <c r="OZP3" s="120"/>
      <c r="OZQ3" s="120"/>
      <c r="OZR3" s="120"/>
      <c r="OZS3" s="120"/>
      <c r="OZT3" s="120"/>
      <c r="OZU3" s="120"/>
      <c r="OZV3" s="120"/>
      <c r="OZW3" s="120"/>
      <c r="OZX3" s="120"/>
      <c r="OZY3" s="120"/>
      <c r="OZZ3" s="120"/>
      <c r="PAA3" s="120"/>
      <c r="PAB3" s="120"/>
      <c r="PAC3" s="120"/>
      <c r="PAD3" s="120"/>
      <c r="PAE3" s="120"/>
      <c r="PAF3" s="120"/>
      <c r="PAG3" s="120"/>
      <c r="PAH3" s="120"/>
      <c r="PAI3" s="120"/>
      <c r="PAJ3" s="120"/>
      <c r="PAK3" s="120"/>
      <c r="PAL3" s="120"/>
      <c r="PAM3" s="120"/>
      <c r="PAN3" s="120"/>
      <c r="PAO3" s="120"/>
      <c r="PAP3" s="120"/>
      <c r="PAQ3" s="120"/>
      <c r="PAR3" s="120"/>
      <c r="PAS3" s="120"/>
      <c r="PAT3" s="120"/>
      <c r="PAU3" s="120"/>
      <c r="PAV3" s="120"/>
      <c r="PAW3" s="120"/>
      <c r="PAX3" s="120"/>
      <c r="PAY3" s="120"/>
      <c r="PAZ3" s="120"/>
      <c r="PBA3" s="120"/>
      <c r="PBB3" s="120"/>
      <c r="PBC3" s="120"/>
      <c r="PBD3" s="120"/>
      <c r="PBE3" s="120"/>
      <c r="PBF3" s="120"/>
      <c r="PBG3" s="120"/>
      <c r="PBH3" s="120"/>
      <c r="PBI3" s="120"/>
      <c r="PBJ3" s="120"/>
      <c r="PBK3" s="120"/>
      <c r="PBL3" s="120"/>
      <c r="PBM3" s="120"/>
      <c r="PBN3" s="120"/>
      <c r="PBO3" s="120"/>
      <c r="PBP3" s="120"/>
      <c r="PBQ3" s="120"/>
      <c r="PBR3" s="120"/>
      <c r="PBS3" s="120"/>
      <c r="PBT3" s="120"/>
      <c r="PBU3" s="120"/>
      <c r="PBV3" s="120"/>
      <c r="PBW3" s="120"/>
      <c r="PBX3" s="120"/>
      <c r="PBY3" s="120"/>
      <c r="PBZ3" s="120"/>
      <c r="PCA3" s="120"/>
      <c r="PCB3" s="120"/>
      <c r="PCC3" s="120"/>
      <c r="PCD3" s="120"/>
      <c r="PCE3" s="120"/>
      <c r="PCF3" s="120"/>
      <c r="PCG3" s="120"/>
      <c r="PCH3" s="120"/>
      <c r="PCI3" s="120"/>
      <c r="PCJ3" s="120"/>
      <c r="PCK3" s="120"/>
      <c r="PCL3" s="120"/>
      <c r="PCM3" s="120"/>
      <c r="PCN3" s="120"/>
      <c r="PCO3" s="120"/>
      <c r="PCP3" s="120"/>
      <c r="PCQ3" s="120"/>
      <c r="PCR3" s="120"/>
      <c r="PCS3" s="120"/>
      <c r="PCT3" s="120"/>
      <c r="PCU3" s="120"/>
      <c r="PCV3" s="120"/>
      <c r="PCW3" s="120"/>
      <c r="PCX3" s="120"/>
      <c r="PCY3" s="120"/>
      <c r="PCZ3" s="120"/>
      <c r="PDA3" s="120"/>
      <c r="PDB3" s="120"/>
      <c r="PDC3" s="120"/>
      <c r="PDD3" s="120"/>
      <c r="PDE3" s="120"/>
      <c r="PDF3" s="120"/>
      <c r="PDG3" s="120"/>
      <c r="PDH3" s="120"/>
      <c r="PDI3" s="120"/>
      <c r="PDJ3" s="120"/>
      <c r="PDK3" s="120"/>
      <c r="PDL3" s="120"/>
      <c r="PDM3" s="120"/>
      <c r="PDN3" s="120"/>
      <c r="PDO3" s="120"/>
      <c r="PDP3" s="120"/>
      <c r="PDQ3" s="120"/>
      <c r="PDR3" s="120"/>
      <c r="PDS3" s="120"/>
      <c r="PDT3" s="120"/>
      <c r="PDU3" s="120"/>
      <c r="PDV3" s="120"/>
      <c r="PDW3" s="120"/>
      <c r="PDX3" s="120"/>
      <c r="PDY3" s="120"/>
      <c r="PDZ3" s="120"/>
      <c r="PEA3" s="120"/>
      <c r="PEB3" s="120"/>
      <c r="PEC3" s="120"/>
      <c r="PED3" s="120"/>
      <c r="PEE3" s="120"/>
      <c r="PEF3" s="120"/>
      <c r="PEG3" s="120"/>
      <c r="PEH3" s="120"/>
      <c r="PEI3" s="120"/>
      <c r="PEJ3" s="120"/>
      <c r="PEK3" s="120"/>
      <c r="PEL3" s="120"/>
      <c r="PEM3" s="120"/>
      <c r="PEN3" s="120"/>
      <c r="PEO3" s="120"/>
      <c r="PEP3" s="120"/>
      <c r="PEQ3" s="120"/>
      <c r="PER3" s="120"/>
      <c r="PES3" s="120"/>
      <c r="PET3" s="120"/>
      <c r="PEU3" s="120"/>
      <c r="PEV3" s="120"/>
      <c r="PEW3" s="120"/>
      <c r="PEX3" s="120"/>
      <c r="PEY3" s="120"/>
      <c r="PEZ3" s="120"/>
      <c r="PFA3" s="120"/>
      <c r="PFB3" s="120"/>
      <c r="PFC3" s="120"/>
      <c r="PFD3" s="120"/>
      <c r="PFE3" s="120"/>
      <c r="PFF3" s="120"/>
      <c r="PFG3" s="120"/>
      <c r="PFH3" s="120"/>
      <c r="PFI3" s="120"/>
      <c r="PFJ3" s="120"/>
      <c r="PFK3" s="120"/>
      <c r="PFL3" s="120"/>
      <c r="PFM3" s="120"/>
      <c r="PFN3" s="120"/>
      <c r="PFO3" s="120"/>
      <c r="PFP3" s="120"/>
      <c r="PFQ3" s="120"/>
      <c r="PFR3" s="120"/>
      <c r="PFS3" s="120"/>
      <c r="PFT3" s="120"/>
      <c r="PFU3" s="120"/>
      <c r="PFV3" s="120"/>
      <c r="PFW3" s="120"/>
      <c r="PFX3" s="120"/>
      <c r="PFY3" s="120"/>
      <c r="PFZ3" s="120"/>
      <c r="PGA3" s="120"/>
      <c r="PGB3" s="120"/>
      <c r="PGC3" s="120"/>
      <c r="PGD3" s="120"/>
      <c r="PGE3" s="120"/>
      <c r="PGF3" s="120"/>
      <c r="PGG3" s="120"/>
      <c r="PGH3" s="120"/>
      <c r="PGI3" s="120"/>
      <c r="PGJ3" s="120"/>
      <c r="PGK3" s="120"/>
      <c r="PGL3" s="120"/>
      <c r="PGM3" s="120"/>
      <c r="PGN3" s="120"/>
      <c r="PGO3" s="120"/>
      <c r="PGP3" s="120"/>
      <c r="PGQ3" s="120"/>
      <c r="PGR3" s="120"/>
      <c r="PGS3" s="120"/>
      <c r="PGT3" s="120"/>
      <c r="PGU3" s="120"/>
      <c r="PGV3" s="120"/>
      <c r="PGW3" s="120"/>
      <c r="PGX3" s="120"/>
      <c r="PGY3" s="120"/>
      <c r="PGZ3" s="120"/>
      <c r="PHA3" s="120"/>
      <c r="PHB3" s="120"/>
      <c r="PHC3" s="120"/>
      <c r="PHD3" s="120"/>
      <c r="PHE3" s="120"/>
      <c r="PHF3" s="120"/>
      <c r="PHG3" s="120"/>
      <c r="PHH3" s="120"/>
      <c r="PHI3" s="120"/>
      <c r="PHJ3" s="120"/>
      <c r="PHK3" s="120"/>
      <c r="PHL3" s="120"/>
      <c r="PHM3" s="120"/>
      <c r="PHN3" s="120"/>
      <c r="PHO3" s="120"/>
      <c r="PHP3" s="120"/>
      <c r="PHQ3" s="120"/>
      <c r="PHR3" s="120"/>
      <c r="PHS3" s="120"/>
      <c r="PHT3" s="120"/>
      <c r="PHU3" s="120"/>
      <c r="PHV3" s="120"/>
      <c r="PHW3" s="120"/>
      <c r="PHX3" s="120"/>
      <c r="PHY3" s="120"/>
      <c r="PHZ3" s="120"/>
      <c r="PIA3" s="120"/>
      <c r="PIB3" s="120"/>
      <c r="PIC3" s="120"/>
      <c r="PID3" s="120"/>
      <c r="PIE3" s="120"/>
      <c r="PIF3" s="120"/>
      <c r="PIG3" s="120"/>
      <c r="PIH3" s="120"/>
      <c r="PII3" s="120"/>
      <c r="PIJ3" s="120"/>
      <c r="PIK3" s="120"/>
      <c r="PIL3" s="120"/>
      <c r="PIM3" s="120"/>
      <c r="PIN3" s="120"/>
      <c r="PIO3" s="120"/>
      <c r="PIP3" s="120"/>
      <c r="PIQ3" s="120"/>
      <c r="PIR3" s="120"/>
      <c r="PIS3" s="120"/>
      <c r="PIT3" s="120"/>
      <c r="PIU3" s="120"/>
      <c r="PIV3" s="120"/>
      <c r="PIW3" s="120"/>
      <c r="PIX3" s="120"/>
      <c r="PIY3" s="120"/>
      <c r="PIZ3" s="120"/>
      <c r="PJA3" s="120"/>
      <c r="PJB3" s="120"/>
      <c r="PJC3" s="120"/>
      <c r="PJD3" s="120"/>
      <c r="PJE3" s="120"/>
      <c r="PJF3" s="120"/>
      <c r="PJG3" s="120"/>
      <c r="PJH3" s="120"/>
      <c r="PJI3" s="120"/>
      <c r="PJJ3" s="120"/>
      <c r="PJK3" s="120"/>
      <c r="PJL3" s="120"/>
      <c r="PJM3" s="120"/>
      <c r="PJN3" s="120"/>
      <c r="PJO3" s="120"/>
      <c r="PJP3" s="120"/>
      <c r="PJQ3" s="120"/>
      <c r="PJR3" s="120"/>
      <c r="PJS3" s="120"/>
      <c r="PJT3" s="120"/>
      <c r="PJU3" s="120"/>
      <c r="PJV3" s="120"/>
      <c r="PJW3" s="120"/>
      <c r="PJX3" s="120"/>
      <c r="PJY3" s="120"/>
      <c r="PJZ3" s="120"/>
      <c r="PKA3" s="120"/>
      <c r="PKB3" s="120"/>
      <c r="PKC3" s="120"/>
      <c r="PKD3" s="120"/>
      <c r="PKE3" s="120"/>
      <c r="PKF3" s="120"/>
      <c r="PKG3" s="120"/>
      <c r="PKH3" s="120"/>
      <c r="PKI3" s="120"/>
      <c r="PKJ3" s="120"/>
      <c r="PKK3" s="120"/>
      <c r="PKL3" s="120"/>
      <c r="PKM3" s="120"/>
      <c r="PKN3" s="120"/>
      <c r="PKO3" s="120"/>
      <c r="PKP3" s="120"/>
      <c r="PKQ3" s="120"/>
      <c r="PKR3" s="120"/>
      <c r="PKS3" s="120"/>
      <c r="PKT3" s="120"/>
      <c r="PKU3" s="120"/>
      <c r="PKV3" s="120"/>
      <c r="PKW3" s="120"/>
      <c r="PKX3" s="120"/>
      <c r="PKY3" s="120"/>
      <c r="PKZ3" s="120"/>
      <c r="PLA3" s="120"/>
      <c r="PLB3" s="120"/>
      <c r="PLC3" s="120"/>
      <c r="PLD3" s="120"/>
      <c r="PLE3" s="120"/>
      <c r="PLF3" s="120"/>
      <c r="PLG3" s="120"/>
      <c r="PLH3" s="120"/>
      <c r="PLI3" s="120"/>
      <c r="PLJ3" s="120"/>
      <c r="PLK3" s="120"/>
      <c r="PLL3" s="120"/>
      <c r="PLM3" s="120"/>
      <c r="PLN3" s="120"/>
      <c r="PLO3" s="120"/>
      <c r="PLP3" s="120"/>
      <c r="PLQ3" s="120"/>
      <c r="PLR3" s="120"/>
      <c r="PLS3" s="120"/>
      <c r="PLT3" s="120"/>
      <c r="PLU3" s="120"/>
      <c r="PLV3" s="120"/>
      <c r="PLW3" s="120"/>
      <c r="PLX3" s="120"/>
      <c r="PLY3" s="120"/>
      <c r="PLZ3" s="120"/>
      <c r="PMA3" s="120"/>
      <c r="PMB3" s="120"/>
      <c r="PMC3" s="120"/>
      <c r="PMD3" s="120"/>
      <c r="PME3" s="120"/>
      <c r="PMF3" s="120"/>
      <c r="PMG3" s="120"/>
      <c r="PMH3" s="120"/>
      <c r="PMI3" s="120"/>
      <c r="PMJ3" s="120"/>
      <c r="PMK3" s="120"/>
      <c r="PML3" s="120"/>
      <c r="PMM3" s="120"/>
      <c r="PMN3" s="120"/>
      <c r="PMO3" s="120"/>
      <c r="PMP3" s="120"/>
      <c r="PMQ3" s="120"/>
      <c r="PMR3" s="120"/>
      <c r="PMS3" s="120"/>
      <c r="PMT3" s="120"/>
      <c r="PMU3" s="120"/>
      <c r="PMV3" s="120"/>
      <c r="PMW3" s="120"/>
      <c r="PMX3" s="120"/>
      <c r="PMY3" s="120"/>
      <c r="PMZ3" s="120"/>
      <c r="PNA3" s="120"/>
      <c r="PNB3" s="120"/>
      <c r="PNC3" s="120"/>
      <c r="PND3" s="120"/>
      <c r="PNE3" s="120"/>
      <c r="PNF3" s="120"/>
      <c r="PNG3" s="120"/>
      <c r="PNH3" s="120"/>
      <c r="PNI3" s="120"/>
      <c r="PNJ3" s="120"/>
      <c r="PNK3" s="120"/>
      <c r="PNL3" s="120"/>
      <c r="PNM3" s="120"/>
      <c r="PNN3" s="120"/>
      <c r="PNO3" s="120"/>
      <c r="PNP3" s="120"/>
      <c r="PNQ3" s="120"/>
      <c r="PNR3" s="120"/>
      <c r="PNS3" s="120"/>
      <c r="PNT3" s="120"/>
      <c r="PNU3" s="120"/>
      <c r="PNV3" s="120"/>
      <c r="PNW3" s="120"/>
      <c r="PNX3" s="120"/>
      <c r="PNY3" s="120"/>
      <c r="PNZ3" s="120"/>
      <c r="POA3" s="120"/>
      <c r="POB3" s="120"/>
      <c r="POC3" s="120"/>
      <c r="POD3" s="120"/>
      <c r="POE3" s="120"/>
      <c r="POF3" s="120"/>
      <c r="POG3" s="120"/>
      <c r="POH3" s="120"/>
      <c r="POI3" s="120"/>
      <c r="POJ3" s="120"/>
      <c r="POK3" s="120"/>
      <c r="POL3" s="120"/>
      <c r="POM3" s="120"/>
      <c r="PON3" s="120"/>
      <c r="POO3" s="120"/>
      <c r="POP3" s="120"/>
      <c r="POQ3" s="120"/>
      <c r="POR3" s="120"/>
      <c r="POS3" s="120"/>
      <c r="POT3" s="120"/>
      <c r="POU3" s="120"/>
      <c r="POV3" s="120"/>
      <c r="POW3" s="120"/>
      <c r="POX3" s="120"/>
      <c r="POY3" s="120"/>
      <c r="POZ3" s="120"/>
      <c r="PPA3" s="120"/>
      <c r="PPB3" s="120"/>
      <c r="PPC3" s="120"/>
      <c r="PPD3" s="120"/>
      <c r="PPE3" s="120"/>
      <c r="PPF3" s="120"/>
      <c r="PPG3" s="120"/>
      <c r="PPH3" s="120"/>
      <c r="PPI3" s="120"/>
      <c r="PPJ3" s="120"/>
      <c r="PPK3" s="120"/>
      <c r="PPL3" s="120"/>
      <c r="PPM3" s="120"/>
      <c r="PPN3" s="120"/>
      <c r="PPO3" s="120"/>
      <c r="PPP3" s="120"/>
      <c r="PPQ3" s="120"/>
      <c r="PPR3" s="120"/>
      <c r="PPS3" s="120"/>
      <c r="PPT3" s="120"/>
      <c r="PPU3" s="120"/>
      <c r="PPV3" s="120"/>
      <c r="PPW3" s="120"/>
      <c r="PPX3" s="120"/>
      <c r="PPY3" s="120"/>
      <c r="PPZ3" s="120"/>
      <c r="PQA3" s="120"/>
      <c r="PQB3" s="120"/>
      <c r="PQC3" s="120"/>
      <c r="PQD3" s="120"/>
      <c r="PQE3" s="120"/>
      <c r="PQF3" s="120"/>
      <c r="PQG3" s="120"/>
      <c r="PQH3" s="120"/>
      <c r="PQI3" s="120"/>
      <c r="PQJ3" s="120"/>
      <c r="PQK3" s="120"/>
      <c r="PQL3" s="120"/>
      <c r="PQM3" s="120"/>
      <c r="PQN3" s="120"/>
      <c r="PQO3" s="120"/>
      <c r="PQP3" s="120"/>
      <c r="PQQ3" s="120"/>
      <c r="PQR3" s="120"/>
      <c r="PQS3" s="120"/>
      <c r="PQT3" s="120"/>
      <c r="PQU3" s="120"/>
      <c r="PQV3" s="120"/>
      <c r="PQW3" s="120"/>
      <c r="PQX3" s="120"/>
      <c r="PQY3" s="120"/>
      <c r="PQZ3" s="120"/>
      <c r="PRA3" s="120"/>
      <c r="PRB3" s="120"/>
      <c r="PRC3" s="120"/>
      <c r="PRD3" s="120"/>
      <c r="PRE3" s="120"/>
      <c r="PRF3" s="120"/>
      <c r="PRG3" s="120"/>
      <c r="PRH3" s="120"/>
      <c r="PRI3" s="120"/>
      <c r="PRJ3" s="120"/>
      <c r="PRK3" s="120"/>
      <c r="PRL3" s="120"/>
      <c r="PRM3" s="120"/>
      <c r="PRN3" s="120"/>
      <c r="PRO3" s="120"/>
      <c r="PRP3" s="120"/>
      <c r="PRQ3" s="120"/>
      <c r="PRR3" s="120"/>
      <c r="PRS3" s="120"/>
      <c r="PRT3" s="120"/>
      <c r="PRU3" s="120"/>
      <c r="PRV3" s="120"/>
      <c r="PRW3" s="120"/>
      <c r="PRX3" s="120"/>
      <c r="PRY3" s="120"/>
      <c r="PRZ3" s="120"/>
      <c r="PSA3" s="120"/>
      <c r="PSB3" s="120"/>
      <c r="PSC3" s="120"/>
      <c r="PSD3" s="120"/>
      <c r="PSE3" s="120"/>
      <c r="PSF3" s="120"/>
      <c r="PSG3" s="120"/>
      <c r="PSH3" s="120"/>
      <c r="PSI3" s="120"/>
      <c r="PSJ3" s="120"/>
      <c r="PSK3" s="120"/>
      <c r="PSL3" s="120"/>
      <c r="PSM3" s="120"/>
      <c r="PSN3" s="120"/>
      <c r="PSO3" s="120"/>
      <c r="PSP3" s="120"/>
      <c r="PSQ3" s="120"/>
      <c r="PSR3" s="120"/>
      <c r="PSS3" s="120"/>
      <c r="PST3" s="120"/>
      <c r="PSU3" s="120"/>
      <c r="PSV3" s="120"/>
      <c r="PSW3" s="120"/>
      <c r="PSX3" s="120"/>
      <c r="PSY3" s="120"/>
      <c r="PSZ3" s="120"/>
      <c r="PTA3" s="120"/>
      <c r="PTB3" s="120"/>
      <c r="PTC3" s="120"/>
      <c r="PTD3" s="120"/>
      <c r="PTE3" s="120"/>
      <c r="PTF3" s="120"/>
      <c r="PTG3" s="120"/>
      <c r="PTH3" s="120"/>
      <c r="PTI3" s="120"/>
      <c r="PTJ3" s="120"/>
      <c r="PTK3" s="120"/>
      <c r="PTL3" s="120"/>
      <c r="PTM3" s="120"/>
      <c r="PTN3" s="120"/>
      <c r="PTO3" s="120"/>
      <c r="PTP3" s="120"/>
      <c r="PTQ3" s="120"/>
      <c r="PTR3" s="120"/>
      <c r="PTS3" s="120"/>
      <c r="PTT3" s="120"/>
      <c r="PTU3" s="120"/>
      <c r="PTV3" s="120"/>
      <c r="PTW3" s="120"/>
      <c r="PTX3" s="120"/>
      <c r="PTY3" s="120"/>
      <c r="PTZ3" s="120"/>
      <c r="PUA3" s="120"/>
      <c r="PUB3" s="120"/>
      <c r="PUC3" s="120"/>
      <c r="PUD3" s="120"/>
      <c r="PUE3" s="120"/>
      <c r="PUF3" s="120"/>
      <c r="PUG3" s="120"/>
      <c r="PUH3" s="120"/>
      <c r="PUI3" s="120"/>
      <c r="PUJ3" s="120"/>
      <c r="PUK3" s="120"/>
      <c r="PUL3" s="120"/>
      <c r="PUM3" s="120"/>
      <c r="PUN3" s="120"/>
      <c r="PUO3" s="120"/>
      <c r="PUP3" s="120"/>
      <c r="PUQ3" s="120"/>
      <c r="PUR3" s="120"/>
      <c r="PUS3" s="120"/>
      <c r="PUT3" s="120"/>
      <c r="PUU3" s="120"/>
      <c r="PUV3" s="120"/>
      <c r="PUW3" s="120"/>
      <c r="PUX3" s="120"/>
      <c r="PUY3" s="120"/>
      <c r="PUZ3" s="120"/>
      <c r="PVA3" s="120"/>
      <c r="PVB3" s="120"/>
      <c r="PVC3" s="120"/>
      <c r="PVD3" s="120"/>
      <c r="PVE3" s="120"/>
      <c r="PVF3" s="120"/>
      <c r="PVG3" s="120"/>
      <c r="PVH3" s="120"/>
      <c r="PVI3" s="120"/>
      <c r="PVJ3" s="120"/>
      <c r="PVK3" s="120"/>
      <c r="PVL3" s="120"/>
      <c r="PVM3" s="120"/>
      <c r="PVN3" s="120"/>
      <c r="PVO3" s="120"/>
      <c r="PVP3" s="120"/>
      <c r="PVQ3" s="120"/>
      <c r="PVR3" s="120"/>
      <c r="PVS3" s="120"/>
      <c r="PVT3" s="120"/>
      <c r="PVU3" s="120"/>
      <c r="PVV3" s="120"/>
      <c r="PVW3" s="120"/>
      <c r="PVX3" s="120"/>
      <c r="PVY3" s="120"/>
      <c r="PVZ3" s="120"/>
      <c r="PWA3" s="120"/>
      <c r="PWB3" s="120"/>
      <c r="PWC3" s="120"/>
      <c r="PWD3" s="120"/>
      <c r="PWE3" s="120"/>
      <c r="PWF3" s="120"/>
      <c r="PWG3" s="120"/>
      <c r="PWH3" s="120"/>
      <c r="PWI3" s="120"/>
      <c r="PWJ3" s="120"/>
      <c r="PWK3" s="120"/>
      <c r="PWL3" s="120"/>
      <c r="PWM3" s="120"/>
      <c r="PWN3" s="120"/>
      <c r="PWO3" s="120"/>
      <c r="PWP3" s="120"/>
      <c r="PWQ3" s="120"/>
      <c r="PWR3" s="120"/>
      <c r="PWS3" s="120"/>
      <c r="PWT3" s="120"/>
      <c r="PWU3" s="120"/>
      <c r="PWV3" s="120"/>
      <c r="PWW3" s="120"/>
      <c r="PWX3" s="120"/>
      <c r="PWY3" s="120"/>
      <c r="PWZ3" s="120"/>
      <c r="PXA3" s="120"/>
      <c r="PXB3" s="120"/>
      <c r="PXC3" s="120"/>
      <c r="PXD3" s="120"/>
      <c r="PXE3" s="120"/>
      <c r="PXF3" s="120"/>
      <c r="PXG3" s="120"/>
      <c r="PXH3" s="120"/>
      <c r="PXI3" s="120"/>
      <c r="PXJ3" s="120"/>
      <c r="PXK3" s="120"/>
      <c r="PXL3" s="120"/>
      <c r="PXM3" s="120"/>
      <c r="PXN3" s="120"/>
      <c r="PXO3" s="120"/>
      <c r="PXP3" s="120"/>
      <c r="PXQ3" s="120"/>
      <c r="PXR3" s="120"/>
      <c r="PXS3" s="120"/>
      <c r="PXT3" s="120"/>
      <c r="PXU3" s="120"/>
      <c r="PXV3" s="120"/>
      <c r="PXW3" s="120"/>
      <c r="PXX3" s="120"/>
      <c r="PXY3" s="120"/>
      <c r="PXZ3" s="120"/>
      <c r="PYA3" s="120"/>
      <c r="PYB3" s="120"/>
      <c r="PYC3" s="120"/>
      <c r="PYD3" s="120"/>
      <c r="PYE3" s="120"/>
      <c r="PYF3" s="120"/>
      <c r="PYG3" s="120"/>
      <c r="PYH3" s="120"/>
      <c r="PYI3" s="120"/>
      <c r="PYJ3" s="120"/>
      <c r="PYK3" s="120"/>
      <c r="PYL3" s="120"/>
      <c r="PYM3" s="120"/>
      <c r="PYN3" s="120"/>
      <c r="PYO3" s="120"/>
      <c r="PYP3" s="120"/>
      <c r="PYQ3" s="120"/>
      <c r="PYR3" s="120"/>
      <c r="PYS3" s="120"/>
      <c r="PYT3" s="120"/>
      <c r="PYU3" s="120"/>
      <c r="PYV3" s="120"/>
      <c r="PYW3" s="120"/>
      <c r="PYX3" s="120"/>
      <c r="PYY3" s="120"/>
      <c r="PYZ3" s="120"/>
      <c r="PZA3" s="120"/>
      <c r="PZB3" s="120"/>
      <c r="PZC3" s="120"/>
      <c r="PZD3" s="120"/>
      <c r="PZE3" s="120"/>
      <c r="PZF3" s="120"/>
      <c r="PZG3" s="120"/>
      <c r="PZH3" s="120"/>
      <c r="PZI3" s="120"/>
      <c r="PZJ3" s="120"/>
      <c r="PZK3" s="120"/>
      <c r="PZL3" s="120"/>
      <c r="PZM3" s="120"/>
      <c r="PZN3" s="120"/>
      <c r="PZO3" s="120"/>
      <c r="PZP3" s="120"/>
      <c r="PZQ3" s="120"/>
      <c r="PZR3" s="120"/>
      <c r="PZS3" s="120"/>
      <c r="PZT3" s="120"/>
      <c r="PZU3" s="120"/>
      <c r="PZV3" s="120"/>
      <c r="PZW3" s="120"/>
      <c r="PZX3" s="120"/>
      <c r="PZY3" s="120"/>
      <c r="PZZ3" s="120"/>
      <c r="QAA3" s="120"/>
      <c r="QAB3" s="120"/>
      <c r="QAC3" s="120"/>
      <c r="QAD3" s="120"/>
      <c r="QAE3" s="120"/>
      <c r="QAF3" s="120"/>
      <c r="QAG3" s="120"/>
      <c r="QAH3" s="120"/>
      <c r="QAI3" s="120"/>
      <c r="QAJ3" s="120"/>
      <c r="QAK3" s="120"/>
      <c r="QAL3" s="120"/>
      <c r="QAM3" s="120"/>
      <c r="QAN3" s="120"/>
      <c r="QAO3" s="120"/>
      <c r="QAP3" s="120"/>
      <c r="QAQ3" s="120"/>
      <c r="QAR3" s="120"/>
      <c r="QAS3" s="120"/>
      <c r="QAT3" s="120"/>
      <c r="QAU3" s="120"/>
      <c r="QAV3" s="120"/>
      <c r="QAW3" s="120"/>
      <c r="QAX3" s="120"/>
      <c r="QAY3" s="120"/>
      <c r="QAZ3" s="120"/>
      <c r="QBA3" s="120"/>
      <c r="QBB3" s="120"/>
      <c r="QBC3" s="120"/>
      <c r="QBD3" s="120"/>
      <c r="QBE3" s="120"/>
      <c r="QBF3" s="120"/>
      <c r="QBG3" s="120"/>
      <c r="QBH3" s="120"/>
      <c r="QBI3" s="120"/>
      <c r="QBJ3" s="120"/>
      <c r="QBK3" s="120"/>
      <c r="QBL3" s="120"/>
      <c r="QBM3" s="120"/>
      <c r="QBN3" s="120"/>
      <c r="QBO3" s="120"/>
      <c r="QBP3" s="120"/>
      <c r="QBQ3" s="120"/>
      <c r="QBR3" s="120"/>
      <c r="QBS3" s="120"/>
      <c r="QBT3" s="120"/>
      <c r="QBU3" s="120"/>
      <c r="QBV3" s="120"/>
      <c r="QBW3" s="120"/>
      <c r="QBX3" s="120"/>
      <c r="QBY3" s="120"/>
      <c r="QBZ3" s="120"/>
      <c r="QCA3" s="120"/>
      <c r="QCB3" s="120"/>
      <c r="QCC3" s="120"/>
      <c r="QCD3" s="120"/>
      <c r="QCE3" s="120"/>
      <c r="QCF3" s="120"/>
      <c r="QCG3" s="120"/>
      <c r="QCH3" s="120"/>
      <c r="QCI3" s="120"/>
      <c r="QCJ3" s="120"/>
      <c r="QCK3" s="120"/>
      <c r="QCL3" s="120"/>
      <c r="QCM3" s="120"/>
      <c r="QCN3" s="120"/>
      <c r="QCO3" s="120"/>
      <c r="QCP3" s="120"/>
      <c r="QCQ3" s="120"/>
      <c r="QCR3" s="120"/>
      <c r="QCS3" s="120"/>
      <c r="QCT3" s="120"/>
      <c r="QCU3" s="120"/>
      <c r="QCV3" s="120"/>
      <c r="QCW3" s="120"/>
      <c r="QCX3" s="120"/>
      <c r="QCY3" s="120"/>
      <c r="QCZ3" s="120"/>
      <c r="QDA3" s="120"/>
      <c r="QDB3" s="120"/>
      <c r="QDC3" s="120"/>
      <c r="QDD3" s="120"/>
      <c r="QDE3" s="120"/>
      <c r="QDF3" s="120"/>
      <c r="QDG3" s="120"/>
      <c r="QDH3" s="120"/>
      <c r="QDI3" s="120"/>
      <c r="QDJ3" s="120"/>
      <c r="QDK3" s="120"/>
      <c r="QDL3" s="120"/>
      <c r="QDM3" s="120"/>
      <c r="QDN3" s="120"/>
      <c r="QDO3" s="120"/>
      <c r="QDP3" s="120"/>
      <c r="QDQ3" s="120"/>
      <c r="QDR3" s="120"/>
      <c r="QDS3" s="120"/>
      <c r="QDT3" s="120"/>
      <c r="QDU3" s="120"/>
      <c r="QDV3" s="120"/>
      <c r="QDW3" s="120"/>
      <c r="QDX3" s="120"/>
      <c r="QDY3" s="120"/>
      <c r="QDZ3" s="120"/>
      <c r="QEA3" s="120"/>
      <c r="QEB3" s="120"/>
      <c r="QEC3" s="120"/>
      <c r="QED3" s="120"/>
      <c r="QEE3" s="120"/>
      <c r="QEF3" s="120"/>
      <c r="QEG3" s="120"/>
      <c r="QEH3" s="120"/>
      <c r="QEI3" s="120"/>
      <c r="QEJ3" s="120"/>
      <c r="QEK3" s="120"/>
      <c r="QEL3" s="120"/>
      <c r="QEM3" s="120"/>
      <c r="QEN3" s="120"/>
      <c r="QEO3" s="120"/>
      <c r="QEP3" s="120"/>
      <c r="QEQ3" s="120"/>
      <c r="QER3" s="120"/>
      <c r="QES3" s="120"/>
      <c r="QET3" s="120"/>
      <c r="QEU3" s="120"/>
      <c r="QEV3" s="120"/>
      <c r="QEW3" s="120"/>
      <c r="QEX3" s="120"/>
      <c r="QEY3" s="120"/>
      <c r="QEZ3" s="120"/>
      <c r="QFA3" s="120"/>
      <c r="QFB3" s="120"/>
      <c r="QFC3" s="120"/>
      <c r="QFD3" s="120"/>
      <c r="QFE3" s="120"/>
      <c r="QFF3" s="120"/>
      <c r="QFG3" s="120"/>
      <c r="QFH3" s="120"/>
      <c r="QFI3" s="120"/>
      <c r="QFJ3" s="120"/>
      <c r="QFK3" s="120"/>
      <c r="QFL3" s="120"/>
      <c r="QFM3" s="120"/>
      <c r="QFN3" s="120"/>
      <c r="QFO3" s="120"/>
      <c r="QFP3" s="120"/>
      <c r="QFQ3" s="120"/>
      <c r="QFR3" s="120"/>
      <c r="QFS3" s="120"/>
      <c r="QFT3" s="120"/>
      <c r="QFU3" s="120"/>
      <c r="QFV3" s="120"/>
      <c r="QFW3" s="120"/>
      <c r="QFX3" s="120"/>
      <c r="QFY3" s="120"/>
      <c r="QFZ3" s="120"/>
      <c r="QGA3" s="120"/>
      <c r="QGB3" s="120"/>
      <c r="QGC3" s="120"/>
      <c r="QGD3" s="120"/>
      <c r="QGE3" s="120"/>
      <c r="QGF3" s="120"/>
      <c r="QGG3" s="120"/>
      <c r="QGH3" s="120"/>
      <c r="QGI3" s="120"/>
      <c r="QGJ3" s="120"/>
      <c r="QGK3" s="120"/>
      <c r="QGL3" s="120"/>
      <c r="QGM3" s="120"/>
      <c r="QGN3" s="120"/>
      <c r="QGO3" s="120"/>
      <c r="QGP3" s="120"/>
      <c r="QGQ3" s="120"/>
      <c r="QGR3" s="120"/>
      <c r="QGS3" s="120"/>
      <c r="QGT3" s="120"/>
      <c r="QGU3" s="120"/>
      <c r="QGV3" s="120"/>
      <c r="QGW3" s="120"/>
      <c r="QGX3" s="120"/>
      <c r="QGY3" s="120"/>
      <c r="QGZ3" s="120"/>
      <c r="QHA3" s="120"/>
      <c r="QHB3" s="120"/>
      <c r="QHC3" s="120"/>
      <c r="QHD3" s="120"/>
      <c r="QHE3" s="120"/>
      <c r="QHF3" s="120"/>
      <c r="QHG3" s="120"/>
      <c r="QHH3" s="120"/>
      <c r="QHI3" s="120"/>
      <c r="QHJ3" s="120"/>
      <c r="QHK3" s="120"/>
      <c r="QHL3" s="120"/>
      <c r="QHM3" s="120"/>
      <c r="QHN3" s="120"/>
      <c r="QHO3" s="120"/>
      <c r="QHP3" s="120"/>
      <c r="QHQ3" s="120"/>
      <c r="QHR3" s="120"/>
      <c r="QHS3" s="120"/>
      <c r="QHT3" s="120"/>
      <c r="QHU3" s="120"/>
      <c r="QHV3" s="120"/>
      <c r="QHW3" s="120"/>
      <c r="QHX3" s="120"/>
      <c r="QHY3" s="120"/>
      <c r="QHZ3" s="120"/>
      <c r="QIA3" s="120"/>
      <c r="QIB3" s="120"/>
      <c r="QIC3" s="120"/>
      <c r="QID3" s="120"/>
      <c r="QIE3" s="120"/>
      <c r="QIF3" s="120"/>
      <c r="QIG3" s="120"/>
      <c r="QIH3" s="120"/>
      <c r="QII3" s="120"/>
      <c r="QIJ3" s="120"/>
      <c r="QIK3" s="120"/>
      <c r="QIL3" s="120"/>
      <c r="QIM3" s="120"/>
      <c r="QIN3" s="120"/>
      <c r="QIO3" s="120"/>
      <c r="QIP3" s="120"/>
      <c r="QIQ3" s="120"/>
      <c r="QIR3" s="120"/>
      <c r="QIS3" s="120"/>
      <c r="QIT3" s="120"/>
      <c r="QIU3" s="120"/>
      <c r="QIV3" s="120"/>
      <c r="QIW3" s="120"/>
      <c r="QIX3" s="120"/>
      <c r="QIY3" s="120"/>
      <c r="QIZ3" s="120"/>
      <c r="QJA3" s="120"/>
      <c r="QJB3" s="120"/>
      <c r="QJC3" s="120"/>
      <c r="QJD3" s="120"/>
      <c r="QJE3" s="120"/>
      <c r="QJF3" s="120"/>
      <c r="QJG3" s="120"/>
      <c r="QJH3" s="120"/>
      <c r="QJI3" s="120"/>
      <c r="QJJ3" s="120"/>
      <c r="QJK3" s="120"/>
      <c r="QJL3" s="120"/>
      <c r="QJM3" s="120"/>
      <c r="QJN3" s="120"/>
      <c r="QJO3" s="120"/>
      <c r="QJP3" s="120"/>
      <c r="QJQ3" s="120"/>
      <c r="QJR3" s="120"/>
      <c r="QJS3" s="120"/>
      <c r="QJT3" s="120"/>
      <c r="QJU3" s="120"/>
      <c r="QJV3" s="120"/>
      <c r="QJW3" s="120"/>
      <c r="QJX3" s="120"/>
      <c r="QJY3" s="120"/>
      <c r="QJZ3" s="120"/>
      <c r="QKA3" s="120"/>
      <c r="QKB3" s="120"/>
      <c r="QKC3" s="120"/>
      <c r="QKD3" s="120"/>
      <c r="QKE3" s="120"/>
      <c r="QKF3" s="120"/>
      <c r="QKG3" s="120"/>
      <c r="QKH3" s="120"/>
      <c r="QKI3" s="120"/>
      <c r="QKJ3" s="120"/>
      <c r="QKK3" s="120"/>
      <c r="QKL3" s="120"/>
      <c r="QKM3" s="120"/>
      <c r="QKN3" s="120"/>
      <c r="QKO3" s="120"/>
      <c r="QKP3" s="120"/>
      <c r="QKQ3" s="120"/>
      <c r="QKR3" s="120"/>
      <c r="QKS3" s="120"/>
      <c r="QKT3" s="120"/>
      <c r="QKU3" s="120"/>
      <c r="QKV3" s="120"/>
      <c r="QKW3" s="120"/>
      <c r="QKX3" s="120"/>
      <c r="QKY3" s="120"/>
      <c r="QKZ3" s="120"/>
      <c r="QLA3" s="120"/>
      <c r="QLB3" s="120"/>
      <c r="QLC3" s="120"/>
      <c r="QLD3" s="120"/>
      <c r="QLE3" s="120"/>
      <c r="QLF3" s="120"/>
      <c r="QLG3" s="120"/>
      <c r="QLH3" s="120"/>
      <c r="QLI3" s="120"/>
      <c r="QLJ3" s="120"/>
      <c r="QLK3" s="120"/>
      <c r="QLL3" s="120"/>
      <c r="QLM3" s="120"/>
      <c r="QLN3" s="120"/>
      <c r="QLO3" s="120"/>
      <c r="QLP3" s="120"/>
      <c r="QLQ3" s="120"/>
      <c r="QLR3" s="120"/>
      <c r="QLS3" s="120"/>
      <c r="QLT3" s="120"/>
      <c r="QLU3" s="120"/>
      <c r="QLV3" s="120"/>
      <c r="QLW3" s="120"/>
      <c r="QLX3" s="120"/>
      <c r="QLY3" s="120"/>
      <c r="QLZ3" s="120"/>
      <c r="QMA3" s="120"/>
      <c r="QMB3" s="120"/>
      <c r="QMC3" s="120"/>
      <c r="QMD3" s="120"/>
      <c r="QME3" s="120"/>
      <c r="QMF3" s="120"/>
      <c r="QMG3" s="120"/>
      <c r="QMH3" s="120"/>
      <c r="QMI3" s="120"/>
      <c r="QMJ3" s="120"/>
      <c r="QMK3" s="120"/>
      <c r="QML3" s="120"/>
      <c r="QMM3" s="120"/>
      <c r="QMN3" s="120"/>
      <c r="QMO3" s="120"/>
      <c r="QMP3" s="120"/>
      <c r="QMQ3" s="120"/>
      <c r="QMR3" s="120"/>
      <c r="QMS3" s="120"/>
      <c r="QMT3" s="120"/>
      <c r="QMU3" s="120"/>
      <c r="QMV3" s="120"/>
      <c r="QMW3" s="120"/>
      <c r="QMX3" s="120"/>
      <c r="QMY3" s="120"/>
      <c r="QMZ3" s="120"/>
      <c r="QNA3" s="120"/>
      <c r="QNB3" s="120"/>
      <c r="QNC3" s="120"/>
      <c r="QND3" s="120"/>
      <c r="QNE3" s="120"/>
      <c r="QNF3" s="120"/>
      <c r="QNG3" s="120"/>
      <c r="QNH3" s="120"/>
      <c r="QNI3" s="120"/>
      <c r="QNJ3" s="120"/>
      <c r="QNK3" s="120"/>
      <c r="QNL3" s="120"/>
      <c r="QNM3" s="120"/>
      <c r="QNN3" s="120"/>
      <c r="QNO3" s="120"/>
      <c r="QNP3" s="120"/>
      <c r="QNQ3" s="120"/>
      <c r="QNR3" s="120"/>
      <c r="QNS3" s="120"/>
      <c r="QNT3" s="120"/>
      <c r="QNU3" s="120"/>
      <c r="QNV3" s="120"/>
      <c r="QNW3" s="120"/>
      <c r="QNX3" s="120"/>
      <c r="QNY3" s="120"/>
      <c r="QNZ3" s="120"/>
      <c r="QOA3" s="120"/>
      <c r="QOB3" s="120"/>
      <c r="QOC3" s="120"/>
      <c r="QOD3" s="120"/>
      <c r="QOE3" s="120"/>
      <c r="QOF3" s="120"/>
      <c r="QOG3" s="120"/>
      <c r="QOH3" s="120"/>
      <c r="QOI3" s="120"/>
      <c r="QOJ3" s="120"/>
      <c r="QOK3" s="120"/>
      <c r="QOL3" s="120"/>
      <c r="QOM3" s="120"/>
      <c r="QON3" s="120"/>
      <c r="QOO3" s="120"/>
      <c r="QOP3" s="120"/>
      <c r="QOQ3" s="120"/>
      <c r="QOR3" s="120"/>
      <c r="QOS3" s="120"/>
      <c r="QOT3" s="120"/>
      <c r="QOU3" s="120"/>
      <c r="QOV3" s="120"/>
      <c r="QOW3" s="120"/>
      <c r="QOX3" s="120"/>
      <c r="QOY3" s="120"/>
      <c r="QOZ3" s="120"/>
      <c r="QPA3" s="120"/>
      <c r="QPB3" s="120"/>
      <c r="QPC3" s="120"/>
      <c r="QPD3" s="120"/>
      <c r="QPE3" s="120"/>
      <c r="QPF3" s="120"/>
      <c r="QPG3" s="120"/>
      <c r="QPH3" s="120"/>
      <c r="QPI3" s="120"/>
      <c r="QPJ3" s="120"/>
      <c r="QPK3" s="120"/>
      <c r="QPL3" s="120"/>
      <c r="QPM3" s="120"/>
      <c r="QPN3" s="120"/>
      <c r="QPO3" s="120"/>
      <c r="QPP3" s="120"/>
      <c r="QPQ3" s="120"/>
      <c r="QPR3" s="120"/>
      <c r="QPS3" s="120"/>
      <c r="QPT3" s="120"/>
      <c r="QPU3" s="120"/>
      <c r="QPV3" s="120"/>
      <c r="QPW3" s="120"/>
      <c r="QPX3" s="120"/>
      <c r="QPY3" s="120"/>
      <c r="QPZ3" s="120"/>
      <c r="QQA3" s="120"/>
      <c r="QQB3" s="120"/>
      <c r="QQC3" s="120"/>
      <c r="QQD3" s="120"/>
      <c r="QQE3" s="120"/>
      <c r="QQF3" s="120"/>
      <c r="QQG3" s="120"/>
      <c r="QQH3" s="120"/>
      <c r="QQI3" s="120"/>
      <c r="QQJ3" s="120"/>
      <c r="QQK3" s="120"/>
      <c r="QQL3" s="120"/>
      <c r="QQM3" s="120"/>
      <c r="QQN3" s="120"/>
      <c r="QQO3" s="120"/>
      <c r="QQP3" s="120"/>
      <c r="QQQ3" s="120"/>
      <c r="QQR3" s="120"/>
      <c r="QQS3" s="120"/>
      <c r="QQT3" s="120"/>
      <c r="QQU3" s="120"/>
      <c r="QQV3" s="120"/>
      <c r="QQW3" s="120"/>
      <c r="QQX3" s="120"/>
      <c r="QQY3" s="120"/>
      <c r="QQZ3" s="120"/>
      <c r="QRA3" s="120"/>
      <c r="QRB3" s="120"/>
      <c r="QRC3" s="120"/>
      <c r="QRD3" s="120"/>
      <c r="QRE3" s="120"/>
      <c r="QRF3" s="120"/>
      <c r="QRG3" s="120"/>
      <c r="QRH3" s="120"/>
      <c r="QRI3" s="120"/>
      <c r="QRJ3" s="120"/>
      <c r="QRK3" s="120"/>
      <c r="QRL3" s="120"/>
      <c r="QRM3" s="120"/>
      <c r="QRN3" s="120"/>
      <c r="QRO3" s="120"/>
      <c r="QRP3" s="120"/>
      <c r="QRQ3" s="120"/>
      <c r="QRR3" s="120"/>
      <c r="QRS3" s="120"/>
      <c r="QRT3" s="120"/>
      <c r="QRU3" s="120"/>
      <c r="QRV3" s="120"/>
      <c r="QRW3" s="120"/>
      <c r="QRX3" s="120"/>
      <c r="QRY3" s="120"/>
      <c r="QRZ3" s="120"/>
      <c r="QSA3" s="120"/>
      <c r="QSB3" s="120"/>
      <c r="QSC3" s="120"/>
      <c r="QSD3" s="120"/>
      <c r="QSE3" s="120"/>
      <c r="QSF3" s="120"/>
      <c r="QSG3" s="120"/>
      <c r="QSH3" s="120"/>
      <c r="QSI3" s="120"/>
      <c r="QSJ3" s="120"/>
      <c r="QSK3" s="120"/>
      <c r="QSL3" s="120"/>
      <c r="QSM3" s="120"/>
      <c r="QSN3" s="120"/>
      <c r="QSO3" s="120"/>
      <c r="QSP3" s="120"/>
      <c r="QSQ3" s="120"/>
      <c r="QSR3" s="120"/>
      <c r="QSS3" s="120"/>
      <c r="QST3" s="120"/>
      <c r="QSU3" s="120"/>
      <c r="QSV3" s="120"/>
      <c r="QSW3" s="120"/>
      <c r="QSX3" s="120"/>
      <c r="QSY3" s="120"/>
      <c r="QSZ3" s="120"/>
      <c r="QTA3" s="120"/>
      <c r="QTB3" s="120"/>
      <c r="QTC3" s="120"/>
      <c r="QTD3" s="120"/>
      <c r="QTE3" s="120"/>
      <c r="QTF3" s="120"/>
      <c r="QTG3" s="120"/>
      <c r="QTH3" s="120"/>
      <c r="QTI3" s="120"/>
      <c r="QTJ3" s="120"/>
      <c r="QTK3" s="120"/>
      <c r="QTL3" s="120"/>
      <c r="QTM3" s="120"/>
      <c r="QTN3" s="120"/>
      <c r="QTO3" s="120"/>
      <c r="QTP3" s="120"/>
      <c r="QTQ3" s="120"/>
      <c r="QTR3" s="120"/>
      <c r="QTS3" s="120"/>
      <c r="QTT3" s="120"/>
      <c r="QTU3" s="120"/>
      <c r="QTV3" s="120"/>
      <c r="QTW3" s="120"/>
      <c r="QTX3" s="120"/>
      <c r="QTY3" s="120"/>
      <c r="QTZ3" s="120"/>
      <c r="QUA3" s="120"/>
      <c r="QUB3" s="120"/>
      <c r="QUC3" s="120"/>
      <c r="QUD3" s="120"/>
      <c r="QUE3" s="120"/>
      <c r="QUF3" s="120"/>
      <c r="QUG3" s="120"/>
      <c r="QUH3" s="120"/>
      <c r="QUI3" s="120"/>
      <c r="QUJ3" s="120"/>
      <c r="QUK3" s="120"/>
      <c r="QUL3" s="120"/>
      <c r="QUM3" s="120"/>
      <c r="QUN3" s="120"/>
      <c r="QUO3" s="120"/>
      <c r="QUP3" s="120"/>
      <c r="QUQ3" s="120"/>
      <c r="QUR3" s="120"/>
      <c r="QUS3" s="120"/>
      <c r="QUT3" s="120"/>
      <c r="QUU3" s="120"/>
      <c r="QUV3" s="120"/>
      <c r="QUW3" s="120"/>
      <c r="QUX3" s="120"/>
      <c r="QUY3" s="120"/>
      <c r="QUZ3" s="120"/>
      <c r="QVA3" s="120"/>
      <c r="QVB3" s="120"/>
      <c r="QVC3" s="120"/>
      <c r="QVD3" s="120"/>
      <c r="QVE3" s="120"/>
      <c r="QVF3" s="120"/>
      <c r="QVG3" s="120"/>
      <c r="QVH3" s="120"/>
      <c r="QVI3" s="120"/>
      <c r="QVJ3" s="120"/>
      <c r="QVK3" s="120"/>
      <c r="QVL3" s="120"/>
      <c r="QVM3" s="120"/>
      <c r="QVN3" s="120"/>
      <c r="QVO3" s="120"/>
      <c r="QVP3" s="120"/>
      <c r="QVQ3" s="120"/>
      <c r="QVR3" s="120"/>
      <c r="QVS3" s="120"/>
      <c r="QVT3" s="120"/>
      <c r="QVU3" s="120"/>
      <c r="QVV3" s="120"/>
      <c r="QVW3" s="120"/>
      <c r="QVX3" s="120"/>
      <c r="QVY3" s="120"/>
      <c r="QVZ3" s="120"/>
      <c r="QWA3" s="120"/>
      <c r="QWB3" s="120"/>
      <c r="QWC3" s="120"/>
      <c r="QWD3" s="120"/>
      <c r="QWE3" s="120"/>
      <c r="QWF3" s="120"/>
      <c r="QWG3" s="120"/>
      <c r="QWH3" s="120"/>
      <c r="QWI3" s="120"/>
      <c r="QWJ3" s="120"/>
      <c r="QWK3" s="120"/>
      <c r="QWL3" s="120"/>
      <c r="QWM3" s="120"/>
      <c r="QWN3" s="120"/>
      <c r="QWO3" s="120"/>
      <c r="QWP3" s="120"/>
      <c r="QWQ3" s="120"/>
      <c r="QWR3" s="120"/>
      <c r="QWS3" s="120"/>
      <c r="QWT3" s="120"/>
      <c r="QWU3" s="120"/>
      <c r="QWV3" s="120"/>
      <c r="QWW3" s="120"/>
      <c r="QWX3" s="120"/>
      <c r="QWY3" s="120"/>
      <c r="QWZ3" s="120"/>
      <c r="QXA3" s="120"/>
      <c r="QXB3" s="120"/>
      <c r="QXC3" s="120"/>
      <c r="QXD3" s="120"/>
      <c r="QXE3" s="120"/>
      <c r="QXF3" s="120"/>
      <c r="QXG3" s="120"/>
      <c r="QXH3" s="120"/>
      <c r="QXI3" s="120"/>
      <c r="QXJ3" s="120"/>
      <c r="QXK3" s="120"/>
      <c r="QXL3" s="120"/>
      <c r="QXM3" s="120"/>
      <c r="QXN3" s="120"/>
      <c r="QXO3" s="120"/>
      <c r="QXP3" s="120"/>
      <c r="QXQ3" s="120"/>
      <c r="QXR3" s="120"/>
      <c r="QXS3" s="120"/>
      <c r="QXT3" s="120"/>
      <c r="QXU3" s="120"/>
      <c r="QXV3" s="120"/>
      <c r="QXW3" s="120"/>
      <c r="QXX3" s="120"/>
      <c r="QXY3" s="120"/>
      <c r="QXZ3" s="120"/>
      <c r="QYA3" s="120"/>
      <c r="QYB3" s="120"/>
      <c r="QYC3" s="120"/>
      <c r="QYD3" s="120"/>
      <c r="QYE3" s="120"/>
      <c r="QYF3" s="120"/>
      <c r="QYG3" s="120"/>
      <c r="QYH3" s="120"/>
      <c r="QYI3" s="120"/>
      <c r="QYJ3" s="120"/>
      <c r="QYK3" s="120"/>
      <c r="QYL3" s="120"/>
      <c r="QYM3" s="120"/>
      <c r="QYN3" s="120"/>
      <c r="QYO3" s="120"/>
      <c r="QYP3" s="120"/>
      <c r="QYQ3" s="120"/>
      <c r="QYR3" s="120"/>
      <c r="QYS3" s="120"/>
      <c r="QYT3" s="120"/>
      <c r="QYU3" s="120"/>
      <c r="QYV3" s="120"/>
      <c r="QYW3" s="120"/>
      <c r="QYX3" s="120"/>
      <c r="QYY3" s="120"/>
      <c r="QYZ3" s="120"/>
      <c r="QZA3" s="120"/>
      <c r="QZB3" s="120"/>
      <c r="QZC3" s="120"/>
      <c r="QZD3" s="120"/>
      <c r="QZE3" s="120"/>
      <c r="QZF3" s="120"/>
      <c r="QZG3" s="120"/>
      <c r="QZH3" s="120"/>
      <c r="QZI3" s="120"/>
      <c r="QZJ3" s="120"/>
      <c r="QZK3" s="120"/>
      <c r="QZL3" s="120"/>
      <c r="QZM3" s="120"/>
      <c r="QZN3" s="120"/>
      <c r="QZO3" s="120"/>
      <c r="QZP3" s="120"/>
      <c r="QZQ3" s="120"/>
      <c r="QZR3" s="120"/>
      <c r="QZS3" s="120"/>
      <c r="QZT3" s="120"/>
      <c r="QZU3" s="120"/>
      <c r="QZV3" s="120"/>
      <c r="QZW3" s="120"/>
      <c r="QZX3" s="120"/>
      <c r="QZY3" s="120"/>
      <c r="QZZ3" s="120"/>
      <c r="RAA3" s="120"/>
      <c r="RAB3" s="120"/>
      <c r="RAC3" s="120"/>
      <c r="RAD3" s="120"/>
      <c r="RAE3" s="120"/>
      <c r="RAF3" s="120"/>
      <c r="RAG3" s="120"/>
      <c r="RAH3" s="120"/>
      <c r="RAI3" s="120"/>
      <c r="RAJ3" s="120"/>
      <c r="RAK3" s="120"/>
      <c r="RAL3" s="120"/>
      <c r="RAM3" s="120"/>
      <c r="RAN3" s="120"/>
      <c r="RAO3" s="120"/>
      <c r="RAP3" s="120"/>
      <c r="RAQ3" s="120"/>
      <c r="RAR3" s="120"/>
      <c r="RAS3" s="120"/>
      <c r="RAT3" s="120"/>
      <c r="RAU3" s="120"/>
      <c r="RAV3" s="120"/>
      <c r="RAW3" s="120"/>
      <c r="RAX3" s="120"/>
      <c r="RAY3" s="120"/>
      <c r="RAZ3" s="120"/>
      <c r="RBA3" s="120"/>
      <c r="RBB3" s="120"/>
      <c r="RBC3" s="120"/>
      <c r="RBD3" s="120"/>
      <c r="RBE3" s="120"/>
      <c r="RBF3" s="120"/>
      <c r="RBG3" s="120"/>
      <c r="RBH3" s="120"/>
      <c r="RBI3" s="120"/>
      <c r="RBJ3" s="120"/>
      <c r="RBK3" s="120"/>
      <c r="RBL3" s="120"/>
      <c r="RBM3" s="120"/>
      <c r="RBN3" s="120"/>
      <c r="RBO3" s="120"/>
      <c r="RBP3" s="120"/>
      <c r="RBQ3" s="120"/>
      <c r="RBR3" s="120"/>
      <c r="RBS3" s="120"/>
      <c r="RBT3" s="120"/>
      <c r="RBU3" s="120"/>
      <c r="RBV3" s="120"/>
      <c r="RBW3" s="120"/>
      <c r="RBX3" s="120"/>
      <c r="RBY3" s="120"/>
      <c r="RBZ3" s="120"/>
      <c r="RCA3" s="120"/>
      <c r="RCB3" s="120"/>
      <c r="RCC3" s="120"/>
      <c r="RCD3" s="120"/>
      <c r="RCE3" s="120"/>
      <c r="RCF3" s="120"/>
      <c r="RCG3" s="120"/>
      <c r="RCH3" s="120"/>
      <c r="RCI3" s="120"/>
      <c r="RCJ3" s="120"/>
      <c r="RCK3" s="120"/>
      <c r="RCL3" s="120"/>
      <c r="RCM3" s="120"/>
      <c r="RCN3" s="120"/>
      <c r="RCO3" s="120"/>
      <c r="RCP3" s="120"/>
      <c r="RCQ3" s="120"/>
      <c r="RCR3" s="120"/>
      <c r="RCS3" s="120"/>
      <c r="RCT3" s="120"/>
      <c r="RCU3" s="120"/>
      <c r="RCV3" s="120"/>
      <c r="RCW3" s="120"/>
      <c r="RCX3" s="120"/>
      <c r="RCY3" s="120"/>
      <c r="RCZ3" s="120"/>
      <c r="RDA3" s="120"/>
      <c r="RDB3" s="120"/>
      <c r="RDC3" s="120"/>
      <c r="RDD3" s="120"/>
      <c r="RDE3" s="120"/>
      <c r="RDF3" s="120"/>
      <c r="RDG3" s="120"/>
      <c r="RDH3" s="120"/>
      <c r="RDI3" s="120"/>
      <c r="RDJ3" s="120"/>
      <c r="RDK3" s="120"/>
      <c r="RDL3" s="120"/>
      <c r="RDM3" s="120"/>
      <c r="RDN3" s="120"/>
      <c r="RDO3" s="120"/>
      <c r="RDP3" s="120"/>
      <c r="RDQ3" s="120"/>
      <c r="RDR3" s="120"/>
      <c r="RDS3" s="120"/>
      <c r="RDT3" s="120"/>
      <c r="RDU3" s="120"/>
      <c r="RDV3" s="120"/>
      <c r="RDW3" s="120"/>
      <c r="RDX3" s="120"/>
      <c r="RDY3" s="120"/>
      <c r="RDZ3" s="120"/>
      <c r="REA3" s="120"/>
      <c r="REB3" s="120"/>
      <c r="REC3" s="120"/>
      <c r="RED3" s="120"/>
      <c r="REE3" s="120"/>
      <c r="REF3" s="120"/>
      <c r="REG3" s="120"/>
      <c r="REH3" s="120"/>
      <c r="REI3" s="120"/>
      <c r="REJ3" s="120"/>
      <c r="REK3" s="120"/>
      <c r="REL3" s="120"/>
      <c r="REM3" s="120"/>
      <c r="REN3" s="120"/>
      <c r="REO3" s="120"/>
      <c r="REP3" s="120"/>
      <c r="REQ3" s="120"/>
      <c r="RER3" s="120"/>
      <c r="RES3" s="120"/>
      <c r="RET3" s="120"/>
      <c r="REU3" s="120"/>
      <c r="REV3" s="120"/>
      <c r="REW3" s="120"/>
      <c r="REX3" s="120"/>
      <c r="REY3" s="120"/>
      <c r="REZ3" s="120"/>
      <c r="RFA3" s="120"/>
      <c r="RFB3" s="120"/>
      <c r="RFC3" s="120"/>
      <c r="RFD3" s="120"/>
      <c r="RFE3" s="120"/>
      <c r="RFF3" s="120"/>
      <c r="RFG3" s="120"/>
      <c r="RFH3" s="120"/>
      <c r="RFI3" s="120"/>
      <c r="RFJ3" s="120"/>
      <c r="RFK3" s="120"/>
      <c r="RFL3" s="120"/>
      <c r="RFM3" s="120"/>
      <c r="RFN3" s="120"/>
      <c r="RFO3" s="120"/>
      <c r="RFP3" s="120"/>
      <c r="RFQ3" s="120"/>
      <c r="RFR3" s="120"/>
      <c r="RFS3" s="120"/>
      <c r="RFT3" s="120"/>
      <c r="RFU3" s="120"/>
      <c r="RFV3" s="120"/>
      <c r="RFW3" s="120"/>
      <c r="RFX3" s="120"/>
      <c r="RFY3" s="120"/>
      <c r="RFZ3" s="120"/>
      <c r="RGA3" s="120"/>
      <c r="RGB3" s="120"/>
      <c r="RGC3" s="120"/>
      <c r="RGD3" s="120"/>
      <c r="RGE3" s="120"/>
      <c r="RGF3" s="120"/>
      <c r="RGG3" s="120"/>
      <c r="RGH3" s="120"/>
      <c r="RGI3" s="120"/>
      <c r="RGJ3" s="120"/>
      <c r="RGK3" s="120"/>
      <c r="RGL3" s="120"/>
      <c r="RGM3" s="120"/>
      <c r="RGN3" s="120"/>
      <c r="RGO3" s="120"/>
      <c r="RGP3" s="120"/>
      <c r="RGQ3" s="120"/>
      <c r="RGR3" s="120"/>
      <c r="RGS3" s="120"/>
      <c r="RGT3" s="120"/>
      <c r="RGU3" s="120"/>
      <c r="RGV3" s="120"/>
      <c r="RGW3" s="120"/>
      <c r="RGX3" s="120"/>
      <c r="RGY3" s="120"/>
      <c r="RGZ3" s="120"/>
      <c r="RHA3" s="120"/>
      <c r="RHB3" s="120"/>
      <c r="RHC3" s="120"/>
      <c r="RHD3" s="120"/>
      <c r="RHE3" s="120"/>
      <c r="RHF3" s="120"/>
      <c r="RHG3" s="120"/>
      <c r="RHH3" s="120"/>
      <c r="RHI3" s="120"/>
      <c r="RHJ3" s="120"/>
      <c r="RHK3" s="120"/>
      <c r="RHL3" s="120"/>
      <c r="RHM3" s="120"/>
      <c r="RHN3" s="120"/>
      <c r="RHO3" s="120"/>
      <c r="RHP3" s="120"/>
      <c r="RHQ3" s="120"/>
      <c r="RHR3" s="120"/>
      <c r="RHS3" s="120"/>
      <c r="RHT3" s="120"/>
      <c r="RHU3" s="120"/>
      <c r="RHV3" s="120"/>
      <c r="RHW3" s="120"/>
      <c r="RHX3" s="120"/>
      <c r="RHY3" s="120"/>
      <c r="RHZ3" s="120"/>
      <c r="RIA3" s="120"/>
      <c r="RIB3" s="120"/>
      <c r="RIC3" s="120"/>
      <c r="RID3" s="120"/>
      <c r="RIE3" s="120"/>
      <c r="RIF3" s="120"/>
      <c r="RIG3" s="120"/>
      <c r="RIH3" s="120"/>
      <c r="RII3" s="120"/>
      <c r="RIJ3" s="120"/>
      <c r="RIK3" s="120"/>
      <c r="RIL3" s="120"/>
      <c r="RIM3" s="120"/>
      <c r="RIN3" s="120"/>
      <c r="RIO3" s="120"/>
      <c r="RIP3" s="120"/>
      <c r="RIQ3" s="120"/>
      <c r="RIR3" s="120"/>
      <c r="RIS3" s="120"/>
      <c r="RIT3" s="120"/>
      <c r="RIU3" s="120"/>
      <c r="RIV3" s="120"/>
      <c r="RIW3" s="120"/>
      <c r="RIX3" s="120"/>
      <c r="RIY3" s="120"/>
      <c r="RIZ3" s="120"/>
      <c r="RJA3" s="120"/>
      <c r="RJB3" s="120"/>
      <c r="RJC3" s="120"/>
      <c r="RJD3" s="120"/>
      <c r="RJE3" s="120"/>
      <c r="RJF3" s="120"/>
      <c r="RJG3" s="120"/>
      <c r="RJH3" s="120"/>
      <c r="RJI3" s="120"/>
      <c r="RJJ3" s="120"/>
      <c r="RJK3" s="120"/>
      <c r="RJL3" s="120"/>
      <c r="RJM3" s="120"/>
      <c r="RJN3" s="120"/>
      <c r="RJO3" s="120"/>
      <c r="RJP3" s="120"/>
      <c r="RJQ3" s="120"/>
      <c r="RJR3" s="120"/>
      <c r="RJS3" s="120"/>
      <c r="RJT3" s="120"/>
      <c r="RJU3" s="120"/>
      <c r="RJV3" s="120"/>
      <c r="RJW3" s="120"/>
      <c r="RJX3" s="120"/>
      <c r="RJY3" s="120"/>
      <c r="RJZ3" s="120"/>
      <c r="RKA3" s="120"/>
      <c r="RKB3" s="120"/>
      <c r="RKC3" s="120"/>
      <c r="RKD3" s="120"/>
      <c r="RKE3" s="120"/>
      <c r="RKF3" s="120"/>
      <c r="RKG3" s="120"/>
      <c r="RKH3" s="120"/>
      <c r="RKI3" s="120"/>
      <c r="RKJ3" s="120"/>
      <c r="RKK3" s="120"/>
      <c r="RKL3" s="120"/>
      <c r="RKM3" s="120"/>
      <c r="RKN3" s="120"/>
      <c r="RKO3" s="120"/>
      <c r="RKP3" s="120"/>
      <c r="RKQ3" s="120"/>
      <c r="RKR3" s="120"/>
      <c r="RKS3" s="120"/>
      <c r="RKT3" s="120"/>
      <c r="RKU3" s="120"/>
      <c r="RKV3" s="120"/>
      <c r="RKW3" s="120"/>
      <c r="RKX3" s="120"/>
      <c r="RKY3" s="120"/>
      <c r="RKZ3" s="120"/>
      <c r="RLA3" s="120"/>
      <c r="RLB3" s="120"/>
      <c r="RLC3" s="120"/>
      <c r="RLD3" s="120"/>
      <c r="RLE3" s="120"/>
      <c r="RLF3" s="120"/>
      <c r="RLG3" s="120"/>
      <c r="RLH3" s="120"/>
      <c r="RLI3" s="120"/>
      <c r="RLJ3" s="120"/>
      <c r="RLK3" s="120"/>
      <c r="RLL3" s="120"/>
      <c r="RLM3" s="120"/>
      <c r="RLN3" s="120"/>
      <c r="RLO3" s="120"/>
      <c r="RLP3" s="120"/>
      <c r="RLQ3" s="120"/>
      <c r="RLR3" s="120"/>
      <c r="RLS3" s="120"/>
      <c r="RLT3" s="120"/>
      <c r="RLU3" s="120"/>
      <c r="RLV3" s="120"/>
      <c r="RLW3" s="120"/>
      <c r="RLX3" s="120"/>
      <c r="RLY3" s="120"/>
      <c r="RLZ3" s="120"/>
      <c r="RMA3" s="120"/>
      <c r="RMB3" s="120"/>
      <c r="RMC3" s="120"/>
      <c r="RMD3" s="120"/>
      <c r="RME3" s="120"/>
      <c r="RMF3" s="120"/>
      <c r="RMG3" s="120"/>
      <c r="RMH3" s="120"/>
      <c r="RMI3" s="120"/>
      <c r="RMJ3" s="120"/>
      <c r="RMK3" s="120"/>
      <c r="RML3" s="120"/>
      <c r="RMM3" s="120"/>
      <c r="RMN3" s="120"/>
      <c r="RMO3" s="120"/>
      <c r="RMP3" s="120"/>
      <c r="RMQ3" s="120"/>
      <c r="RMR3" s="120"/>
      <c r="RMS3" s="120"/>
      <c r="RMT3" s="120"/>
      <c r="RMU3" s="120"/>
      <c r="RMV3" s="120"/>
      <c r="RMW3" s="120"/>
      <c r="RMX3" s="120"/>
      <c r="RMY3" s="120"/>
      <c r="RMZ3" s="120"/>
      <c r="RNA3" s="120"/>
      <c r="RNB3" s="120"/>
      <c r="RNC3" s="120"/>
      <c r="RND3" s="120"/>
      <c r="RNE3" s="120"/>
      <c r="RNF3" s="120"/>
      <c r="RNG3" s="120"/>
      <c r="RNH3" s="120"/>
      <c r="RNI3" s="120"/>
      <c r="RNJ3" s="120"/>
      <c r="RNK3" s="120"/>
      <c r="RNL3" s="120"/>
      <c r="RNM3" s="120"/>
      <c r="RNN3" s="120"/>
      <c r="RNO3" s="120"/>
      <c r="RNP3" s="120"/>
      <c r="RNQ3" s="120"/>
      <c r="RNR3" s="120"/>
      <c r="RNS3" s="120"/>
      <c r="RNT3" s="120"/>
      <c r="RNU3" s="120"/>
      <c r="RNV3" s="120"/>
      <c r="RNW3" s="120"/>
      <c r="RNX3" s="120"/>
      <c r="RNY3" s="120"/>
      <c r="RNZ3" s="120"/>
      <c r="ROA3" s="120"/>
      <c r="ROB3" s="120"/>
      <c r="ROC3" s="120"/>
      <c r="ROD3" s="120"/>
      <c r="ROE3" s="120"/>
      <c r="ROF3" s="120"/>
      <c r="ROG3" s="120"/>
      <c r="ROH3" s="120"/>
      <c r="ROI3" s="120"/>
      <c r="ROJ3" s="120"/>
      <c r="ROK3" s="120"/>
      <c r="ROL3" s="120"/>
      <c r="ROM3" s="120"/>
      <c r="RON3" s="120"/>
      <c r="ROO3" s="120"/>
      <c r="ROP3" s="120"/>
      <c r="ROQ3" s="120"/>
      <c r="ROR3" s="120"/>
      <c r="ROS3" s="120"/>
      <c r="ROT3" s="120"/>
      <c r="ROU3" s="120"/>
      <c r="ROV3" s="120"/>
      <c r="ROW3" s="120"/>
      <c r="ROX3" s="120"/>
      <c r="ROY3" s="120"/>
      <c r="ROZ3" s="120"/>
      <c r="RPA3" s="120"/>
      <c r="RPB3" s="120"/>
      <c r="RPC3" s="120"/>
      <c r="RPD3" s="120"/>
      <c r="RPE3" s="120"/>
      <c r="RPF3" s="120"/>
      <c r="RPG3" s="120"/>
      <c r="RPH3" s="120"/>
      <c r="RPI3" s="120"/>
      <c r="RPJ3" s="120"/>
      <c r="RPK3" s="120"/>
      <c r="RPL3" s="120"/>
      <c r="RPM3" s="120"/>
      <c r="RPN3" s="120"/>
      <c r="RPO3" s="120"/>
      <c r="RPP3" s="120"/>
      <c r="RPQ3" s="120"/>
      <c r="RPR3" s="120"/>
      <c r="RPS3" s="120"/>
      <c r="RPT3" s="120"/>
      <c r="RPU3" s="120"/>
      <c r="RPV3" s="120"/>
      <c r="RPW3" s="120"/>
      <c r="RPX3" s="120"/>
      <c r="RPY3" s="120"/>
      <c r="RPZ3" s="120"/>
      <c r="RQA3" s="120"/>
      <c r="RQB3" s="120"/>
      <c r="RQC3" s="120"/>
      <c r="RQD3" s="120"/>
      <c r="RQE3" s="120"/>
      <c r="RQF3" s="120"/>
      <c r="RQG3" s="120"/>
      <c r="RQH3" s="120"/>
      <c r="RQI3" s="120"/>
      <c r="RQJ3" s="120"/>
      <c r="RQK3" s="120"/>
      <c r="RQL3" s="120"/>
      <c r="RQM3" s="120"/>
      <c r="RQN3" s="120"/>
      <c r="RQO3" s="120"/>
      <c r="RQP3" s="120"/>
      <c r="RQQ3" s="120"/>
      <c r="RQR3" s="120"/>
      <c r="RQS3" s="120"/>
      <c r="RQT3" s="120"/>
      <c r="RQU3" s="120"/>
      <c r="RQV3" s="120"/>
      <c r="RQW3" s="120"/>
      <c r="RQX3" s="120"/>
      <c r="RQY3" s="120"/>
      <c r="RQZ3" s="120"/>
      <c r="RRA3" s="120"/>
      <c r="RRB3" s="120"/>
      <c r="RRC3" s="120"/>
      <c r="RRD3" s="120"/>
      <c r="RRE3" s="120"/>
      <c r="RRF3" s="120"/>
      <c r="RRG3" s="120"/>
      <c r="RRH3" s="120"/>
      <c r="RRI3" s="120"/>
      <c r="RRJ3" s="120"/>
      <c r="RRK3" s="120"/>
      <c r="RRL3" s="120"/>
      <c r="RRM3" s="120"/>
      <c r="RRN3" s="120"/>
      <c r="RRO3" s="120"/>
      <c r="RRP3" s="120"/>
      <c r="RRQ3" s="120"/>
      <c r="RRR3" s="120"/>
      <c r="RRS3" s="120"/>
      <c r="RRT3" s="120"/>
      <c r="RRU3" s="120"/>
      <c r="RRV3" s="120"/>
      <c r="RRW3" s="120"/>
      <c r="RRX3" s="120"/>
      <c r="RRY3" s="120"/>
      <c r="RRZ3" s="120"/>
      <c r="RSA3" s="120"/>
      <c r="RSB3" s="120"/>
      <c r="RSC3" s="120"/>
      <c r="RSD3" s="120"/>
      <c r="RSE3" s="120"/>
      <c r="RSF3" s="120"/>
      <c r="RSG3" s="120"/>
      <c r="RSH3" s="120"/>
      <c r="RSI3" s="120"/>
      <c r="RSJ3" s="120"/>
      <c r="RSK3" s="120"/>
      <c r="RSL3" s="120"/>
      <c r="RSM3" s="120"/>
      <c r="RSN3" s="120"/>
      <c r="RSO3" s="120"/>
      <c r="RSP3" s="120"/>
      <c r="RSQ3" s="120"/>
      <c r="RSR3" s="120"/>
      <c r="RSS3" s="120"/>
      <c r="RST3" s="120"/>
      <c r="RSU3" s="120"/>
      <c r="RSV3" s="120"/>
      <c r="RSW3" s="120"/>
      <c r="RSX3" s="120"/>
      <c r="RSY3" s="120"/>
      <c r="RSZ3" s="120"/>
      <c r="RTA3" s="120"/>
      <c r="RTB3" s="120"/>
      <c r="RTC3" s="120"/>
      <c r="RTD3" s="120"/>
      <c r="RTE3" s="120"/>
      <c r="RTF3" s="120"/>
      <c r="RTG3" s="120"/>
      <c r="RTH3" s="120"/>
      <c r="RTI3" s="120"/>
      <c r="RTJ3" s="120"/>
      <c r="RTK3" s="120"/>
      <c r="RTL3" s="120"/>
      <c r="RTM3" s="120"/>
      <c r="RTN3" s="120"/>
      <c r="RTO3" s="120"/>
      <c r="RTP3" s="120"/>
      <c r="RTQ3" s="120"/>
      <c r="RTR3" s="120"/>
      <c r="RTS3" s="120"/>
      <c r="RTT3" s="120"/>
      <c r="RTU3" s="120"/>
      <c r="RTV3" s="120"/>
      <c r="RTW3" s="120"/>
      <c r="RTX3" s="120"/>
      <c r="RTY3" s="120"/>
      <c r="RTZ3" s="120"/>
      <c r="RUA3" s="120"/>
      <c r="RUB3" s="120"/>
      <c r="RUC3" s="120"/>
      <c r="RUD3" s="120"/>
      <c r="RUE3" s="120"/>
      <c r="RUF3" s="120"/>
      <c r="RUG3" s="120"/>
      <c r="RUH3" s="120"/>
      <c r="RUI3" s="120"/>
      <c r="RUJ3" s="120"/>
      <c r="RUK3" s="120"/>
      <c r="RUL3" s="120"/>
      <c r="RUM3" s="120"/>
      <c r="RUN3" s="120"/>
      <c r="RUO3" s="120"/>
      <c r="RUP3" s="120"/>
      <c r="RUQ3" s="120"/>
      <c r="RUR3" s="120"/>
      <c r="RUS3" s="120"/>
      <c r="RUT3" s="120"/>
      <c r="RUU3" s="120"/>
      <c r="RUV3" s="120"/>
      <c r="RUW3" s="120"/>
      <c r="RUX3" s="120"/>
      <c r="RUY3" s="120"/>
      <c r="RUZ3" s="120"/>
      <c r="RVA3" s="120"/>
      <c r="RVB3" s="120"/>
      <c r="RVC3" s="120"/>
      <c r="RVD3" s="120"/>
      <c r="RVE3" s="120"/>
      <c r="RVF3" s="120"/>
      <c r="RVG3" s="120"/>
      <c r="RVH3" s="120"/>
      <c r="RVI3" s="120"/>
      <c r="RVJ3" s="120"/>
      <c r="RVK3" s="120"/>
      <c r="RVL3" s="120"/>
      <c r="RVM3" s="120"/>
      <c r="RVN3" s="120"/>
      <c r="RVO3" s="120"/>
      <c r="RVP3" s="120"/>
      <c r="RVQ3" s="120"/>
      <c r="RVR3" s="120"/>
      <c r="RVS3" s="120"/>
      <c r="RVT3" s="120"/>
      <c r="RVU3" s="120"/>
      <c r="RVV3" s="120"/>
      <c r="RVW3" s="120"/>
      <c r="RVX3" s="120"/>
      <c r="RVY3" s="120"/>
      <c r="RVZ3" s="120"/>
      <c r="RWA3" s="120"/>
      <c r="RWB3" s="120"/>
      <c r="RWC3" s="120"/>
      <c r="RWD3" s="120"/>
      <c r="RWE3" s="120"/>
      <c r="RWF3" s="120"/>
      <c r="RWG3" s="120"/>
      <c r="RWH3" s="120"/>
      <c r="RWI3" s="120"/>
      <c r="RWJ3" s="120"/>
      <c r="RWK3" s="120"/>
      <c r="RWL3" s="120"/>
      <c r="RWM3" s="120"/>
      <c r="RWN3" s="120"/>
      <c r="RWO3" s="120"/>
      <c r="RWP3" s="120"/>
      <c r="RWQ3" s="120"/>
      <c r="RWR3" s="120"/>
      <c r="RWS3" s="120"/>
      <c r="RWT3" s="120"/>
      <c r="RWU3" s="120"/>
      <c r="RWV3" s="120"/>
      <c r="RWW3" s="120"/>
      <c r="RWX3" s="120"/>
      <c r="RWY3" s="120"/>
      <c r="RWZ3" s="120"/>
      <c r="RXA3" s="120"/>
      <c r="RXB3" s="120"/>
      <c r="RXC3" s="120"/>
      <c r="RXD3" s="120"/>
      <c r="RXE3" s="120"/>
      <c r="RXF3" s="120"/>
      <c r="RXG3" s="120"/>
      <c r="RXH3" s="120"/>
      <c r="RXI3" s="120"/>
      <c r="RXJ3" s="120"/>
      <c r="RXK3" s="120"/>
      <c r="RXL3" s="120"/>
      <c r="RXM3" s="120"/>
      <c r="RXN3" s="120"/>
      <c r="RXO3" s="120"/>
      <c r="RXP3" s="120"/>
      <c r="RXQ3" s="120"/>
      <c r="RXR3" s="120"/>
      <c r="RXS3" s="120"/>
      <c r="RXT3" s="120"/>
      <c r="RXU3" s="120"/>
      <c r="RXV3" s="120"/>
      <c r="RXW3" s="120"/>
      <c r="RXX3" s="120"/>
      <c r="RXY3" s="120"/>
      <c r="RXZ3" s="120"/>
      <c r="RYA3" s="120"/>
      <c r="RYB3" s="120"/>
      <c r="RYC3" s="120"/>
      <c r="RYD3" s="120"/>
      <c r="RYE3" s="120"/>
      <c r="RYF3" s="120"/>
      <c r="RYG3" s="120"/>
      <c r="RYH3" s="120"/>
      <c r="RYI3" s="120"/>
      <c r="RYJ3" s="120"/>
      <c r="RYK3" s="120"/>
      <c r="RYL3" s="120"/>
      <c r="RYM3" s="120"/>
      <c r="RYN3" s="120"/>
      <c r="RYO3" s="120"/>
      <c r="RYP3" s="120"/>
      <c r="RYQ3" s="120"/>
      <c r="RYR3" s="120"/>
      <c r="RYS3" s="120"/>
      <c r="RYT3" s="120"/>
      <c r="RYU3" s="120"/>
      <c r="RYV3" s="120"/>
      <c r="RYW3" s="120"/>
      <c r="RYX3" s="120"/>
      <c r="RYY3" s="120"/>
      <c r="RYZ3" s="120"/>
      <c r="RZA3" s="120"/>
      <c r="RZB3" s="120"/>
      <c r="RZC3" s="120"/>
      <c r="RZD3" s="120"/>
      <c r="RZE3" s="120"/>
      <c r="RZF3" s="120"/>
      <c r="RZG3" s="120"/>
      <c r="RZH3" s="120"/>
      <c r="RZI3" s="120"/>
      <c r="RZJ3" s="120"/>
      <c r="RZK3" s="120"/>
      <c r="RZL3" s="120"/>
      <c r="RZM3" s="120"/>
      <c r="RZN3" s="120"/>
      <c r="RZO3" s="120"/>
      <c r="RZP3" s="120"/>
      <c r="RZQ3" s="120"/>
      <c r="RZR3" s="120"/>
      <c r="RZS3" s="120"/>
      <c r="RZT3" s="120"/>
      <c r="RZU3" s="120"/>
      <c r="RZV3" s="120"/>
      <c r="RZW3" s="120"/>
      <c r="RZX3" s="120"/>
      <c r="RZY3" s="120"/>
      <c r="RZZ3" s="120"/>
      <c r="SAA3" s="120"/>
      <c r="SAB3" s="120"/>
      <c r="SAC3" s="120"/>
      <c r="SAD3" s="120"/>
      <c r="SAE3" s="120"/>
      <c r="SAF3" s="120"/>
      <c r="SAG3" s="120"/>
      <c r="SAH3" s="120"/>
      <c r="SAI3" s="120"/>
      <c r="SAJ3" s="120"/>
      <c r="SAK3" s="120"/>
      <c r="SAL3" s="120"/>
      <c r="SAM3" s="120"/>
      <c r="SAN3" s="120"/>
      <c r="SAO3" s="120"/>
      <c r="SAP3" s="120"/>
      <c r="SAQ3" s="120"/>
      <c r="SAR3" s="120"/>
      <c r="SAS3" s="120"/>
      <c r="SAT3" s="120"/>
      <c r="SAU3" s="120"/>
      <c r="SAV3" s="120"/>
      <c r="SAW3" s="120"/>
      <c r="SAX3" s="120"/>
      <c r="SAY3" s="120"/>
      <c r="SAZ3" s="120"/>
      <c r="SBA3" s="120"/>
      <c r="SBB3" s="120"/>
      <c r="SBC3" s="120"/>
      <c r="SBD3" s="120"/>
      <c r="SBE3" s="120"/>
      <c r="SBF3" s="120"/>
      <c r="SBG3" s="120"/>
      <c r="SBH3" s="120"/>
      <c r="SBI3" s="120"/>
      <c r="SBJ3" s="120"/>
      <c r="SBK3" s="120"/>
      <c r="SBL3" s="120"/>
      <c r="SBM3" s="120"/>
      <c r="SBN3" s="120"/>
      <c r="SBO3" s="120"/>
      <c r="SBP3" s="120"/>
      <c r="SBQ3" s="120"/>
      <c r="SBR3" s="120"/>
      <c r="SBS3" s="120"/>
      <c r="SBT3" s="120"/>
      <c r="SBU3" s="120"/>
      <c r="SBV3" s="120"/>
      <c r="SBW3" s="120"/>
      <c r="SBX3" s="120"/>
      <c r="SBY3" s="120"/>
      <c r="SBZ3" s="120"/>
      <c r="SCA3" s="120"/>
      <c r="SCB3" s="120"/>
      <c r="SCC3" s="120"/>
      <c r="SCD3" s="120"/>
      <c r="SCE3" s="120"/>
      <c r="SCF3" s="120"/>
      <c r="SCG3" s="120"/>
      <c r="SCH3" s="120"/>
      <c r="SCI3" s="120"/>
      <c r="SCJ3" s="120"/>
      <c r="SCK3" s="120"/>
      <c r="SCL3" s="120"/>
      <c r="SCM3" s="120"/>
      <c r="SCN3" s="120"/>
      <c r="SCO3" s="120"/>
      <c r="SCP3" s="120"/>
      <c r="SCQ3" s="120"/>
      <c r="SCR3" s="120"/>
      <c r="SCS3" s="120"/>
      <c r="SCT3" s="120"/>
      <c r="SCU3" s="120"/>
      <c r="SCV3" s="120"/>
      <c r="SCW3" s="120"/>
      <c r="SCX3" s="120"/>
      <c r="SCY3" s="120"/>
      <c r="SCZ3" s="120"/>
      <c r="SDA3" s="120"/>
      <c r="SDB3" s="120"/>
      <c r="SDC3" s="120"/>
      <c r="SDD3" s="120"/>
      <c r="SDE3" s="120"/>
      <c r="SDF3" s="120"/>
      <c r="SDG3" s="120"/>
      <c r="SDH3" s="120"/>
      <c r="SDI3" s="120"/>
      <c r="SDJ3" s="120"/>
      <c r="SDK3" s="120"/>
      <c r="SDL3" s="120"/>
      <c r="SDM3" s="120"/>
      <c r="SDN3" s="120"/>
      <c r="SDO3" s="120"/>
      <c r="SDP3" s="120"/>
      <c r="SDQ3" s="120"/>
      <c r="SDR3" s="120"/>
      <c r="SDS3" s="120"/>
      <c r="SDT3" s="120"/>
      <c r="SDU3" s="120"/>
      <c r="SDV3" s="120"/>
      <c r="SDW3" s="120"/>
      <c r="SDX3" s="120"/>
      <c r="SDY3" s="120"/>
      <c r="SDZ3" s="120"/>
      <c r="SEA3" s="120"/>
      <c r="SEB3" s="120"/>
      <c r="SEC3" s="120"/>
      <c r="SED3" s="120"/>
      <c r="SEE3" s="120"/>
      <c r="SEF3" s="120"/>
      <c r="SEG3" s="120"/>
      <c r="SEH3" s="120"/>
      <c r="SEI3" s="120"/>
      <c r="SEJ3" s="120"/>
      <c r="SEK3" s="120"/>
      <c r="SEL3" s="120"/>
      <c r="SEM3" s="120"/>
      <c r="SEN3" s="120"/>
      <c r="SEO3" s="120"/>
      <c r="SEP3" s="120"/>
      <c r="SEQ3" s="120"/>
      <c r="SER3" s="120"/>
      <c r="SES3" s="120"/>
      <c r="SET3" s="120"/>
      <c r="SEU3" s="120"/>
      <c r="SEV3" s="120"/>
      <c r="SEW3" s="120"/>
      <c r="SEX3" s="120"/>
      <c r="SEY3" s="120"/>
      <c r="SEZ3" s="120"/>
      <c r="SFA3" s="120"/>
      <c r="SFB3" s="120"/>
      <c r="SFC3" s="120"/>
      <c r="SFD3" s="120"/>
      <c r="SFE3" s="120"/>
      <c r="SFF3" s="120"/>
      <c r="SFG3" s="120"/>
      <c r="SFH3" s="120"/>
      <c r="SFI3" s="120"/>
      <c r="SFJ3" s="120"/>
      <c r="SFK3" s="120"/>
      <c r="SFL3" s="120"/>
      <c r="SFM3" s="120"/>
      <c r="SFN3" s="120"/>
      <c r="SFO3" s="120"/>
      <c r="SFP3" s="120"/>
      <c r="SFQ3" s="120"/>
      <c r="SFR3" s="120"/>
      <c r="SFS3" s="120"/>
      <c r="SFT3" s="120"/>
      <c r="SFU3" s="120"/>
      <c r="SFV3" s="120"/>
      <c r="SFW3" s="120"/>
      <c r="SFX3" s="120"/>
      <c r="SFY3" s="120"/>
      <c r="SFZ3" s="120"/>
      <c r="SGA3" s="120"/>
      <c r="SGB3" s="120"/>
      <c r="SGC3" s="120"/>
      <c r="SGD3" s="120"/>
      <c r="SGE3" s="120"/>
      <c r="SGF3" s="120"/>
      <c r="SGG3" s="120"/>
      <c r="SGH3" s="120"/>
      <c r="SGI3" s="120"/>
      <c r="SGJ3" s="120"/>
      <c r="SGK3" s="120"/>
      <c r="SGL3" s="120"/>
      <c r="SGM3" s="120"/>
      <c r="SGN3" s="120"/>
      <c r="SGO3" s="120"/>
      <c r="SGP3" s="120"/>
      <c r="SGQ3" s="120"/>
      <c r="SGR3" s="120"/>
      <c r="SGS3" s="120"/>
      <c r="SGT3" s="120"/>
      <c r="SGU3" s="120"/>
      <c r="SGV3" s="120"/>
      <c r="SGW3" s="120"/>
      <c r="SGX3" s="120"/>
      <c r="SGY3" s="120"/>
      <c r="SGZ3" s="120"/>
      <c r="SHA3" s="120"/>
      <c r="SHB3" s="120"/>
      <c r="SHC3" s="120"/>
      <c r="SHD3" s="120"/>
      <c r="SHE3" s="120"/>
      <c r="SHF3" s="120"/>
      <c r="SHG3" s="120"/>
      <c r="SHH3" s="120"/>
      <c r="SHI3" s="120"/>
      <c r="SHJ3" s="120"/>
      <c r="SHK3" s="120"/>
      <c r="SHL3" s="120"/>
      <c r="SHM3" s="120"/>
      <c r="SHN3" s="120"/>
      <c r="SHO3" s="120"/>
      <c r="SHP3" s="120"/>
      <c r="SHQ3" s="120"/>
      <c r="SHR3" s="120"/>
      <c r="SHS3" s="120"/>
      <c r="SHT3" s="120"/>
      <c r="SHU3" s="120"/>
      <c r="SHV3" s="120"/>
      <c r="SHW3" s="120"/>
      <c r="SHX3" s="120"/>
      <c r="SHY3" s="120"/>
      <c r="SHZ3" s="120"/>
      <c r="SIA3" s="120"/>
      <c r="SIB3" s="120"/>
      <c r="SIC3" s="120"/>
      <c r="SID3" s="120"/>
      <c r="SIE3" s="120"/>
      <c r="SIF3" s="120"/>
      <c r="SIG3" s="120"/>
      <c r="SIH3" s="120"/>
      <c r="SII3" s="120"/>
      <c r="SIJ3" s="120"/>
      <c r="SIK3" s="120"/>
      <c r="SIL3" s="120"/>
      <c r="SIM3" s="120"/>
      <c r="SIN3" s="120"/>
      <c r="SIO3" s="120"/>
      <c r="SIP3" s="120"/>
      <c r="SIQ3" s="120"/>
      <c r="SIR3" s="120"/>
      <c r="SIS3" s="120"/>
      <c r="SIT3" s="120"/>
      <c r="SIU3" s="120"/>
      <c r="SIV3" s="120"/>
      <c r="SIW3" s="120"/>
      <c r="SIX3" s="120"/>
      <c r="SIY3" s="120"/>
      <c r="SIZ3" s="120"/>
      <c r="SJA3" s="120"/>
      <c r="SJB3" s="120"/>
      <c r="SJC3" s="120"/>
      <c r="SJD3" s="120"/>
      <c r="SJE3" s="120"/>
      <c r="SJF3" s="120"/>
      <c r="SJG3" s="120"/>
      <c r="SJH3" s="120"/>
      <c r="SJI3" s="120"/>
      <c r="SJJ3" s="120"/>
      <c r="SJK3" s="120"/>
      <c r="SJL3" s="120"/>
      <c r="SJM3" s="120"/>
      <c r="SJN3" s="120"/>
      <c r="SJO3" s="120"/>
      <c r="SJP3" s="120"/>
      <c r="SJQ3" s="120"/>
      <c r="SJR3" s="120"/>
      <c r="SJS3" s="120"/>
      <c r="SJT3" s="120"/>
      <c r="SJU3" s="120"/>
      <c r="SJV3" s="120"/>
      <c r="SJW3" s="120"/>
      <c r="SJX3" s="120"/>
      <c r="SJY3" s="120"/>
      <c r="SJZ3" s="120"/>
      <c r="SKA3" s="120"/>
      <c r="SKB3" s="120"/>
      <c r="SKC3" s="120"/>
      <c r="SKD3" s="120"/>
      <c r="SKE3" s="120"/>
      <c r="SKF3" s="120"/>
      <c r="SKG3" s="120"/>
      <c r="SKH3" s="120"/>
      <c r="SKI3" s="120"/>
      <c r="SKJ3" s="120"/>
      <c r="SKK3" s="120"/>
      <c r="SKL3" s="120"/>
      <c r="SKM3" s="120"/>
      <c r="SKN3" s="120"/>
      <c r="SKO3" s="120"/>
      <c r="SKP3" s="120"/>
      <c r="SKQ3" s="120"/>
      <c r="SKR3" s="120"/>
      <c r="SKS3" s="120"/>
      <c r="SKT3" s="120"/>
      <c r="SKU3" s="120"/>
      <c r="SKV3" s="120"/>
      <c r="SKW3" s="120"/>
      <c r="SKX3" s="120"/>
      <c r="SKY3" s="120"/>
      <c r="SKZ3" s="120"/>
      <c r="SLA3" s="120"/>
      <c r="SLB3" s="120"/>
      <c r="SLC3" s="120"/>
      <c r="SLD3" s="120"/>
      <c r="SLE3" s="120"/>
      <c r="SLF3" s="120"/>
      <c r="SLG3" s="120"/>
      <c r="SLH3" s="120"/>
      <c r="SLI3" s="120"/>
      <c r="SLJ3" s="120"/>
      <c r="SLK3" s="120"/>
      <c r="SLL3" s="120"/>
      <c r="SLM3" s="120"/>
      <c r="SLN3" s="120"/>
      <c r="SLO3" s="120"/>
      <c r="SLP3" s="120"/>
      <c r="SLQ3" s="120"/>
      <c r="SLR3" s="120"/>
      <c r="SLS3" s="120"/>
      <c r="SLT3" s="120"/>
      <c r="SLU3" s="120"/>
      <c r="SLV3" s="120"/>
      <c r="SLW3" s="120"/>
      <c r="SLX3" s="120"/>
      <c r="SLY3" s="120"/>
      <c r="SLZ3" s="120"/>
      <c r="SMA3" s="120"/>
      <c r="SMB3" s="120"/>
      <c r="SMC3" s="120"/>
      <c r="SMD3" s="120"/>
      <c r="SME3" s="120"/>
      <c r="SMF3" s="120"/>
      <c r="SMG3" s="120"/>
      <c r="SMH3" s="120"/>
      <c r="SMI3" s="120"/>
      <c r="SMJ3" s="120"/>
      <c r="SMK3" s="120"/>
      <c r="SML3" s="120"/>
      <c r="SMM3" s="120"/>
      <c r="SMN3" s="120"/>
      <c r="SMO3" s="120"/>
      <c r="SMP3" s="120"/>
      <c r="SMQ3" s="120"/>
      <c r="SMR3" s="120"/>
      <c r="SMS3" s="120"/>
      <c r="SMT3" s="120"/>
      <c r="SMU3" s="120"/>
      <c r="SMV3" s="120"/>
      <c r="SMW3" s="120"/>
      <c r="SMX3" s="120"/>
      <c r="SMY3" s="120"/>
      <c r="SMZ3" s="120"/>
      <c r="SNA3" s="120"/>
      <c r="SNB3" s="120"/>
      <c r="SNC3" s="120"/>
      <c r="SND3" s="120"/>
      <c r="SNE3" s="120"/>
      <c r="SNF3" s="120"/>
      <c r="SNG3" s="120"/>
      <c r="SNH3" s="120"/>
      <c r="SNI3" s="120"/>
      <c r="SNJ3" s="120"/>
      <c r="SNK3" s="120"/>
      <c r="SNL3" s="120"/>
      <c r="SNM3" s="120"/>
      <c r="SNN3" s="120"/>
      <c r="SNO3" s="120"/>
      <c r="SNP3" s="120"/>
      <c r="SNQ3" s="120"/>
      <c r="SNR3" s="120"/>
      <c r="SNS3" s="120"/>
      <c r="SNT3" s="120"/>
      <c r="SNU3" s="120"/>
      <c r="SNV3" s="120"/>
      <c r="SNW3" s="120"/>
      <c r="SNX3" s="120"/>
      <c r="SNY3" s="120"/>
      <c r="SNZ3" s="120"/>
      <c r="SOA3" s="120"/>
      <c r="SOB3" s="120"/>
      <c r="SOC3" s="120"/>
      <c r="SOD3" s="120"/>
      <c r="SOE3" s="120"/>
      <c r="SOF3" s="120"/>
      <c r="SOG3" s="120"/>
      <c r="SOH3" s="120"/>
      <c r="SOI3" s="120"/>
      <c r="SOJ3" s="120"/>
      <c r="SOK3" s="120"/>
      <c r="SOL3" s="120"/>
      <c r="SOM3" s="120"/>
      <c r="SON3" s="120"/>
      <c r="SOO3" s="120"/>
      <c r="SOP3" s="120"/>
      <c r="SOQ3" s="120"/>
      <c r="SOR3" s="120"/>
      <c r="SOS3" s="120"/>
      <c r="SOT3" s="120"/>
      <c r="SOU3" s="120"/>
      <c r="SOV3" s="120"/>
      <c r="SOW3" s="120"/>
      <c r="SOX3" s="120"/>
      <c r="SOY3" s="120"/>
      <c r="SOZ3" s="120"/>
      <c r="SPA3" s="120"/>
      <c r="SPB3" s="120"/>
      <c r="SPC3" s="120"/>
      <c r="SPD3" s="120"/>
      <c r="SPE3" s="120"/>
      <c r="SPF3" s="120"/>
      <c r="SPG3" s="120"/>
      <c r="SPH3" s="120"/>
      <c r="SPI3" s="120"/>
      <c r="SPJ3" s="120"/>
      <c r="SPK3" s="120"/>
      <c r="SPL3" s="120"/>
      <c r="SPM3" s="120"/>
      <c r="SPN3" s="120"/>
      <c r="SPO3" s="120"/>
      <c r="SPP3" s="120"/>
      <c r="SPQ3" s="120"/>
      <c r="SPR3" s="120"/>
      <c r="SPS3" s="120"/>
      <c r="SPT3" s="120"/>
      <c r="SPU3" s="120"/>
      <c r="SPV3" s="120"/>
      <c r="SPW3" s="120"/>
      <c r="SPX3" s="120"/>
      <c r="SPY3" s="120"/>
      <c r="SPZ3" s="120"/>
      <c r="SQA3" s="120"/>
      <c r="SQB3" s="120"/>
      <c r="SQC3" s="120"/>
      <c r="SQD3" s="120"/>
      <c r="SQE3" s="120"/>
      <c r="SQF3" s="120"/>
      <c r="SQG3" s="120"/>
      <c r="SQH3" s="120"/>
      <c r="SQI3" s="120"/>
      <c r="SQJ3" s="120"/>
      <c r="SQK3" s="120"/>
      <c r="SQL3" s="120"/>
      <c r="SQM3" s="120"/>
      <c r="SQN3" s="120"/>
      <c r="SQO3" s="120"/>
      <c r="SQP3" s="120"/>
      <c r="SQQ3" s="120"/>
      <c r="SQR3" s="120"/>
      <c r="SQS3" s="120"/>
      <c r="SQT3" s="120"/>
      <c r="SQU3" s="120"/>
      <c r="SQV3" s="120"/>
      <c r="SQW3" s="120"/>
      <c r="SQX3" s="120"/>
      <c r="SQY3" s="120"/>
      <c r="SQZ3" s="120"/>
      <c r="SRA3" s="120"/>
      <c r="SRB3" s="120"/>
      <c r="SRC3" s="120"/>
      <c r="SRD3" s="120"/>
      <c r="SRE3" s="120"/>
      <c r="SRF3" s="120"/>
      <c r="SRG3" s="120"/>
      <c r="SRH3" s="120"/>
      <c r="SRI3" s="120"/>
      <c r="SRJ3" s="120"/>
      <c r="SRK3" s="120"/>
      <c r="SRL3" s="120"/>
      <c r="SRM3" s="120"/>
      <c r="SRN3" s="120"/>
      <c r="SRO3" s="120"/>
      <c r="SRP3" s="120"/>
      <c r="SRQ3" s="120"/>
      <c r="SRR3" s="120"/>
      <c r="SRS3" s="120"/>
      <c r="SRT3" s="120"/>
      <c r="SRU3" s="120"/>
      <c r="SRV3" s="120"/>
      <c r="SRW3" s="120"/>
      <c r="SRX3" s="120"/>
      <c r="SRY3" s="120"/>
      <c r="SRZ3" s="120"/>
      <c r="SSA3" s="120"/>
      <c r="SSB3" s="120"/>
      <c r="SSC3" s="120"/>
      <c r="SSD3" s="120"/>
      <c r="SSE3" s="120"/>
      <c r="SSF3" s="120"/>
      <c r="SSG3" s="120"/>
      <c r="SSH3" s="120"/>
      <c r="SSI3" s="120"/>
      <c r="SSJ3" s="120"/>
      <c r="SSK3" s="120"/>
      <c r="SSL3" s="120"/>
      <c r="SSM3" s="120"/>
      <c r="SSN3" s="120"/>
      <c r="SSO3" s="120"/>
      <c r="SSP3" s="120"/>
      <c r="SSQ3" s="120"/>
      <c r="SSR3" s="120"/>
      <c r="SSS3" s="120"/>
      <c r="SST3" s="120"/>
      <c r="SSU3" s="120"/>
      <c r="SSV3" s="120"/>
      <c r="SSW3" s="120"/>
      <c r="SSX3" s="120"/>
      <c r="SSY3" s="120"/>
      <c r="SSZ3" s="120"/>
      <c r="STA3" s="120"/>
      <c r="STB3" s="120"/>
      <c r="STC3" s="120"/>
      <c r="STD3" s="120"/>
      <c r="STE3" s="120"/>
      <c r="STF3" s="120"/>
      <c r="STG3" s="120"/>
      <c r="STH3" s="120"/>
      <c r="STI3" s="120"/>
      <c r="STJ3" s="120"/>
      <c r="STK3" s="120"/>
      <c r="STL3" s="120"/>
      <c r="STM3" s="120"/>
      <c r="STN3" s="120"/>
      <c r="STO3" s="120"/>
      <c r="STP3" s="120"/>
      <c r="STQ3" s="120"/>
      <c r="STR3" s="120"/>
      <c r="STS3" s="120"/>
      <c r="STT3" s="120"/>
      <c r="STU3" s="120"/>
      <c r="STV3" s="120"/>
      <c r="STW3" s="120"/>
      <c r="STX3" s="120"/>
      <c r="STY3" s="120"/>
      <c r="STZ3" s="120"/>
      <c r="SUA3" s="120"/>
      <c r="SUB3" s="120"/>
      <c r="SUC3" s="120"/>
      <c r="SUD3" s="120"/>
      <c r="SUE3" s="120"/>
      <c r="SUF3" s="120"/>
      <c r="SUG3" s="120"/>
      <c r="SUH3" s="120"/>
      <c r="SUI3" s="120"/>
      <c r="SUJ3" s="120"/>
      <c r="SUK3" s="120"/>
      <c r="SUL3" s="120"/>
      <c r="SUM3" s="120"/>
      <c r="SUN3" s="120"/>
      <c r="SUO3" s="120"/>
      <c r="SUP3" s="120"/>
      <c r="SUQ3" s="120"/>
      <c r="SUR3" s="120"/>
      <c r="SUS3" s="120"/>
      <c r="SUT3" s="120"/>
      <c r="SUU3" s="120"/>
      <c r="SUV3" s="120"/>
      <c r="SUW3" s="120"/>
      <c r="SUX3" s="120"/>
      <c r="SUY3" s="120"/>
      <c r="SUZ3" s="120"/>
      <c r="SVA3" s="120"/>
      <c r="SVB3" s="120"/>
      <c r="SVC3" s="120"/>
      <c r="SVD3" s="120"/>
      <c r="SVE3" s="120"/>
      <c r="SVF3" s="120"/>
      <c r="SVG3" s="120"/>
      <c r="SVH3" s="120"/>
      <c r="SVI3" s="120"/>
      <c r="SVJ3" s="120"/>
      <c r="SVK3" s="120"/>
      <c r="SVL3" s="120"/>
      <c r="SVM3" s="120"/>
      <c r="SVN3" s="120"/>
      <c r="SVO3" s="120"/>
      <c r="SVP3" s="120"/>
      <c r="SVQ3" s="120"/>
      <c r="SVR3" s="120"/>
      <c r="SVS3" s="120"/>
      <c r="SVT3" s="120"/>
      <c r="SVU3" s="120"/>
      <c r="SVV3" s="120"/>
      <c r="SVW3" s="120"/>
      <c r="SVX3" s="120"/>
      <c r="SVY3" s="120"/>
      <c r="SVZ3" s="120"/>
      <c r="SWA3" s="120"/>
      <c r="SWB3" s="120"/>
      <c r="SWC3" s="120"/>
      <c r="SWD3" s="120"/>
      <c r="SWE3" s="120"/>
      <c r="SWF3" s="120"/>
      <c r="SWG3" s="120"/>
      <c r="SWH3" s="120"/>
      <c r="SWI3" s="120"/>
      <c r="SWJ3" s="120"/>
      <c r="SWK3" s="120"/>
      <c r="SWL3" s="120"/>
      <c r="SWM3" s="120"/>
      <c r="SWN3" s="120"/>
      <c r="SWO3" s="120"/>
      <c r="SWP3" s="120"/>
      <c r="SWQ3" s="120"/>
      <c r="SWR3" s="120"/>
      <c r="SWS3" s="120"/>
      <c r="SWT3" s="120"/>
      <c r="SWU3" s="120"/>
      <c r="SWV3" s="120"/>
      <c r="SWW3" s="120"/>
      <c r="SWX3" s="120"/>
      <c r="SWY3" s="120"/>
      <c r="SWZ3" s="120"/>
      <c r="SXA3" s="120"/>
      <c r="SXB3" s="120"/>
      <c r="SXC3" s="120"/>
      <c r="SXD3" s="120"/>
      <c r="SXE3" s="120"/>
      <c r="SXF3" s="120"/>
      <c r="SXG3" s="120"/>
      <c r="SXH3" s="120"/>
      <c r="SXI3" s="120"/>
      <c r="SXJ3" s="120"/>
      <c r="SXK3" s="120"/>
      <c r="SXL3" s="120"/>
      <c r="SXM3" s="120"/>
      <c r="SXN3" s="120"/>
      <c r="SXO3" s="120"/>
      <c r="SXP3" s="120"/>
      <c r="SXQ3" s="120"/>
      <c r="SXR3" s="120"/>
      <c r="SXS3" s="120"/>
      <c r="SXT3" s="120"/>
      <c r="SXU3" s="120"/>
      <c r="SXV3" s="120"/>
      <c r="SXW3" s="120"/>
      <c r="SXX3" s="120"/>
      <c r="SXY3" s="120"/>
      <c r="SXZ3" s="120"/>
      <c r="SYA3" s="120"/>
      <c r="SYB3" s="120"/>
      <c r="SYC3" s="120"/>
      <c r="SYD3" s="120"/>
      <c r="SYE3" s="120"/>
      <c r="SYF3" s="120"/>
      <c r="SYG3" s="120"/>
      <c r="SYH3" s="120"/>
      <c r="SYI3" s="120"/>
      <c r="SYJ3" s="120"/>
      <c r="SYK3" s="120"/>
      <c r="SYL3" s="120"/>
      <c r="SYM3" s="120"/>
      <c r="SYN3" s="120"/>
      <c r="SYO3" s="120"/>
      <c r="SYP3" s="120"/>
      <c r="SYQ3" s="120"/>
      <c r="SYR3" s="120"/>
      <c r="SYS3" s="120"/>
      <c r="SYT3" s="120"/>
      <c r="SYU3" s="120"/>
      <c r="SYV3" s="120"/>
      <c r="SYW3" s="120"/>
      <c r="SYX3" s="120"/>
      <c r="SYY3" s="120"/>
      <c r="SYZ3" s="120"/>
      <c r="SZA3" s="120"/>
      <c r="SZB3" s="120"/>
      <c r="SZC3" s="120"/>
      <c r="SZD3" s="120"/>
      <c r="SZE3" s="120"/>
      <c r="SZF3" s="120"/>
      <c r="SZG3" s="120"/>
      <c r="SZH3" s="120"/>
      <c r="SZI3" s="120"/>
      <c r="SZJ3" s="120"/>
      <c r="SZK3" s="120"/>
      <c r="SZL3" s="120"/>
      <c r="SZM3" s="120"/>
      <c r="SZN3" s="120"/>
      <c r="SZO3" s="120"/>
      <c r="SZP3" s="120"/>
      <c r="SZQ3" s="120"/>
      <c r="SZR3" s="120"/>
      <c r="SZS3" s="120"/>
      <c r="SZT3" s="120"/>
      <c r="SZU3" s="120"/>
      <c r="SZV3" s="120"/>
      <c r="SZW3" s="120"/>
      <c r="SZX3" s="120"/>
      <c r="SZY3" s="120"/>
      <c r="SZZ3" s="120"/>
      <c r="TAA3" s="120"/>
      <c r="TAB3" s="120"/>
      <c r="TAC3" s="120"/>
      <c r="TAD3" s="120"/>
      <c r="TAE3" s="120"/>
      <c r="TAF3" s="120"/>
      <c r="TAG3" s="120"/>
      <c r="TAH3" s="120"/>
      <c r="TAI3" s="120"/>
      <c r="TAJ3" s="120"/>
      <c r="TAK3" s="120"/>
      <c r="TAL3" s="120"/>
      <c r="TAM3" s="120"/>
      <c r="TAN3" s="120"/>
      <c r="TAO3" s="120"/>
      <c r="TAP3" s="120"/>
      <c r="TAQ3" s="120"/>
      <c r="TAR3" s="120"/>
      <c r="TAS3" s="120"/>
      <c r="TAT3" s="120"/>
      <c r="TAU3" s="120"/>
      <c r="TAV3" s="120"/>
      <c r="TAW3" s="120"/>
      <c r="TAX3" s="120"/>
      <c r="TAY3" s="120"/>
      <c r="TAZ3" s="120"/>
      <c r="TBA3" s="120"/>
      <c r="TBB3" s="120"/>
      <c r="TBC3" s="120"/>
      <c r="TBD3" s="120"/>
      <c r="TBE3" s="120"/>
      <c r="TBF3" s="120"/>
      <c r="TBG3" s="120"/>
      <c r="TBH3" s="120"/>
      <c r="TBI3" s="120"/>
      <c r="TBJ3" s="120"/>
      <c r="TBK3" s="120"/>
      <c r="TBL3" s="120"/>
      <c r="TBM3" s="120"/>
      <c r="TBN3" s="120"/>
      <c r="TBO3" s="120"/>
      <c r="TBP3" s="120"/>
      <c r="TBQ3" s="120"/>
      <c r="TBR3" s="120"/>
      <c r="TBS3" s="120"/>
      <c r="TBT3" s="120"/>
      <c r="TBU3" s="120"/>
      <c r="TBV3" s="120"/>
      <c r="TBW3" s="120"/>
      <c r="TBX3" s="120"/>
      <c r="TBY3" s="120"/>
      <c r="TBZ3" s="120"/>
      <c r="TCA3" s="120"/>
      <c r="TCB3" s="120"/>
      <c r="TCC3" s="120"/>
      <c r="TCD3" s="120"/>
      <c r="TCE3" s="120"/>
      <c r="TCF3" s="120"/>
      <c r="TCG3" s="120"/>
      <c r="TCH3" s="120"/>
      <c r="TCI3" s="120"/>
      <c r="TCJ3" s="120"/>
      <c r="TCK3" s="120"/>
      <c r="TCL3" s="120"/>
      <c r="TCM3" s="120"/>
      <c r="TCN3" s="120"/>
      <c r="TCO3" s="120"/>
      <c r="TCP3" s="120"/>
      <c r="TCQ3" s="120"/>
      <c r="TCR3" s="120"/>
      <c r="TCS3" s="120"/>
      <c r="TCT3" s="120"/>
      <c r="TCU3" s="120"/>
      <c r="TCV3" s="120"/>
      <c r="TCW3" s="120"/>
      <c r="TCX3" s="120"/>
      <c r="TCY3" s="120"/>
      <c r="TCZ3" s="120"/>
      <c r="TDA3" s="120"/>
      <c r="TDB3" s="120"/>
      <c r="TDC3" s="120"/>
      <c r="TDD3" s="120"/>
      <c r="TDE3" s="120"/>
      <c r="TDF3" s="120"/>
      <c r="TDG3" s="120"/>
      <c r="TDH3" s="120"/>
      <c r="TDI3" s="120"/>
      <c r="TDJ3" s="120"/>
      <c r="TDK3" s="120"/>
      <c r="TDL3" s="120"/>
      <c r="TDM3" s="120"/>
      <c r="TDN3" s="120"/>
      <c r="TDO3" s="120"/>
      <c r="TDP3" s="120"/>
      <c r="TDQ3" s="120"/>
      <c r="TDR3" s="120"/>
      <c r="TDS3" s="120"/>
      <c r="TDT3" s="120"/>
      <c r="TDU3" s="120"/>
      <c r="TDV3" s="120"/>
      <c r="TDW3" s="120"/>
      <c r="TDX3" s="120"/>
      <c r="TDY3" s="120"/>
      <c r="TDZ3" s="120"/>
      <c r="TEA3" s="120"/>
      <c r="TEB3" s="120"/>
      <c r="TEC3" s="120"/>
      <c r="TED3" s="120"/>
      <c r="TEE3" s="120"/>
      <c r="TEF3" s="120"/>
      <c r="TEG3" s="120"/>
      <c r="TEH3" s="120"/>
      <c r="TEI3" s="120"/>
      <c r="TEJ3" s="120"/>
      <c r="TEK3" s="120"/>
      <c r="TEL3" s="120"/>
      <c r="TEM3" s="120"/>
      <c r="TEN3" s="120"/>
      <c r="TEO3" s="120"/>
      <c r="TEP3" s="120"/>
      <c r="TEQ3" s="120"/>
      <c r="TER3" s="120"/>
      <c r="TES3" s="120"/>
      <c r="TET3" s="120"/>
      <c r="TEU3" s="120"/>
      <c r="TEV3" s="120"/>
      <c r="TEW3" s="120"/>
      <c r="TEX3" s="120"/>
      <c r="TEY3" s="120"/>
      <c r="TEZ3" s="120"/>
      <c r="TFA3" s="120"/>
      <c r="TFB3" s="120"/>
      <c r="TFC3" s="120"/>
      <c r="TFD3" s="120"/>
      <c r="TFE3" s="120"/>
      <c r="TFF3" s="120"/>
      <c r="TFG3" s="120"/>
      <c r="TFH3" s="120"/>
      <c r="TFI3" s="120"/>
      <c r="TFJ3" s="120"/>
      <c r="TFK3" s="120"/>
      <c r="TFL3" s="120"/>
      <c r="TFM3" s="120"/>
      <c r="TFN3" s="120"/>
      <c r="TFO3" s="120"/>
      <c r="TFP3" s="120"/>
      <c r="TFQ3" s="120"/>
      <c r="TFR3" s="120"/>
      <c r="TFS3" s="120"/>
      <c r="TFT3" s="120"/>
      <c r="TFU3" s="120"/>
      <c r="TFV3" s="120"/>
      <c r="TFW3" s="120"/>
      <c r="TFX3" s="120"/>
      <c r="TFY3" s="120"/>
      <c r="TFZ3" s="120"/>
      <c r="TGA3" s="120"/>
      <c r="TGB3" s="120"/>
      <c r="TGC3" s="120"/>
      <c r="TGD3" s="120"/>
      <c r="TGE3" s="120"/>
      <c r="TGF3" s="120"/>
      <c r="TGG3" s="120"/>
      <c r="TGH3" s="120"/>
      <c r="TGI3" s="120"/>
      <c r="TGJ3" s="120"/>
      <c r="TGK3" s="120"/>
      <c r="TGL3" s="120"/>
      <c r="TGM3" s="120"/>
      <c r="TGN3" s="120"/>
      <c r="TGO3" s="120"/>
      <c r="TGP3" s="120"/>
      <c r="TGQ3" s="120"/>
      <c r="TGR3" s="120"/>
      <c r="TGS3" s="120"/>
      <c r="TGT3" s="120"/>
      <c r="TGU3" s="120"/>
      <c r="TGV3" s="120"/>
      <c r="TGW3" s="120"/>
      <c r="TGX3" s="120"/>
      <c r="TGY3" s="120"/>
      <c r="TGZ3" s="120"/>
      <c r="THA3" s="120"/>
      <c r="THB3" s="120"/>
      <c r="THC3" s="120"/>
      <c r="THD3" s="120"/>
      <c r="THE3" s="120"/>
      <c r="THF3" s="120"/>
      <c r="THG3" s="120"/>
      <c r="THH3" s="120"/>
      <c r="THI3" s="120"/>
      <c r="THJ3" s="120"/>
      <c r="THK3" s="120"/>
      <c r="THL3" s="120"/>
      <c r="THM3" s="120"/>
      <c r="THN3" s="120"/>
      <c r="THO3" s="120"/>
      <c r="THP3" s="120"/>
      <c r="THQ3" s="120"/>
      <c r="THR3" s="120"/>
      <c r="THS3" s="120"/>
      <c r="THT3" s="120"/>
      <c r="THU3" s="120"/>
      <c r="THV3" s="120"/>
      <c r="THW3" s="120"/>
      <c r="THX3" s="120"/>
      <c r="THY3" s="120"/>
      <c r="THZ3" s="120"/>
      <c r="TIA3" s="120"/>
      <c r="TIB3" s="120"/>
      <c r="TIC3" s="120"/>
      <c r="TID3" s="120"/>
      <c r="TIE3" s="120"/>
      <c r="TIF3" s="120"/>
      <c r="TIG3" s="120"/>
      <c r="TIH3" s="120"/>
      <c r="TII3" s="120"/>
      <c r="TIJ3" s="120"/>
      <c r="TIK3" s="120"/>
      <c r="TIL3" s="120"/>
      <c r="TIM3" s="120"/>
      <c r="TIN3" s="120"/>
      <c r="TIO3" s="120"/>
      <c r="TIP3" s="120"/>
      <c r="TIQ3" s="120"/>
      <c r="TIR3" s="120"/>
      <c r="TIS3" s="120"/>
      <c r="TIT3" s="120"/>
      <c r="TIU3" s="120"/>
      <c r="TIV3" s="120"/>
      <c r="TIW3" s="120"/>
      <c r="TIX3" s="120"/>
      <c r="TIY3" s="120"/>
      <c r="TIZ3" s="120"/>
      <c r="TJA3" s="120"/>
      <c r="TJB3" s="120"/>
      <c r="TJC3" s="120"/>
      <c r="TJD3" s="120"/>
      <c r="TJE3" s="120"/>
      <c r="TJF3" s="120"/>
      <c r="TJG3" s="120"/>
      <c r="TJH3" s="120"/>
      <c r="TJI3" s="120"/>
      <c r="TJJ3" s="120"/>
      <c r="TJK3" s="120"/>
      <c r="TJL3" s="120"/>
      <c r="TJM3" s="120"/>
      <c r="TJN3" s="120"/>
      <c r="TJO3" s="120"/>
      <c r="TJP3" s="120"/>
      <c r="TJQ3" s="120"/>
      <c r="TJR3" s="120"/>
      <c r="TJS3" s="120"/>
      <c r="TJT3" s="120"/>
      <c r="TJU3" s="120"/>
      <c r="TJV3" s="120"/>
      <c r="TJW3" s="120"/>
      <c r="TJX3" s="120"/>
      <c r="TJY3" s="120"/>
      <c r="TJZ3" s="120"/>
      <c r="TKA3" s="120"/>
      <c r="TKB3" s="120"/>
      <c r="TKC3" s="120"/>
      <c r="TKD3" s="120"/>
      <c r="TKE3" s="120"/>
      <c r="TKF3" s="120"/>
      <c r="TKG3" s="120"/>
      <c r="TKH3" s="120"/>
      <c r="TKI3" s="120"/>
      <c r="TKJ3" s="120"/>
      <c r="TKK3" s="120"/>
      <c r="TKL3" s="120"/>
      <c r="TKM3" s="120"/>
      <c r="TKN3" s="120"/>
      <c r="TKO3" s="120"/>
      <c r="TKP3" s="120"/>
      <c r="TKQ3" s="120"/>
      <c r="TKR3" s="120"/>
      <c r="TKS3" s="120"/>
      <c r="TKT3" s="120"/>
      <c r="TKU3" s="120"/>
      <c r="TKV3" s="120"/>
      <c r="TKW3" s="120"/>
      <c r="TKX3" s="120"/>
      <c r="TKY3" s="120"/>
      <c r="TKZ3" s="120"/>
      <c r="TLA3" s="120"/>
      <c r="TLB3" s="120"/>
      <c r="TLC3" s="120"/>
      <c r="TLD3" s="120"/>
      <c r="TLE3" s="120"/>
      <c r="TLF3" s="120"/>
      <c r="TLG3" s="120"/>
      <c r="TLH3" s="120"/>
      <c r="TLI3" s="120"/>
      <c r="TLJ3" s="120"/>
      <c r="TLK3" s="120"/>
      <c r="TLL3" s="120"/>
      <c r="TLM3" s="120"/>
      <c r="TLN3" s="120"/>
      <c r="TLO3" s="120"/>
      <c r="TLP3" s="120"/>
      <c r="TLQ3" s="120"/>
      <c r="TLR3" s="120"/>
      <c r="TLS3" s="120"/>
      <c r="TLT3" s="120"/>
      <c r="TLU3" s="120"/>
      <c r="TLV3" s="120"/>
      <c r="TLW3" s="120"/>
      <c r="TLX3" s="120"/>
      <c r="TLY3" s="120"/>
      <c r="TLZ3" s="120"/>
      <c r="TMA3" s="120"/>
      <c r="TMB3" s="120"/>
      <c r="TMC3" s="120"/>
      <c r="TMD3" s="120"/>
      <c r="TME3" s="120"/>
      <c r="TMF3" s="120"/>
      <c r="TMG3" s="120"/>
      <c r="TMH3" s="120"/>
      <c r="TMI3" s="120"/>
      <c r="TMJ3" s="120"/>
      <c r="TMK3" s="120"/>
      <c r="TML3" s="120"/>
      <c r="TMM3" s="120"/>
      <c r="TMN3" s="120"/>
      <c r="TMO3" s="120"/>
      <c r="TMP3" s="120"/>
      <c r="TMQ3" s="120"/>
      <c r="TMR3" s="120"/>
      <c r="TMS3" s="120"/>
      <c r="TMT3" s="120"/>
      <c r="TMU3" s="120"/>
      <c r="TMV3" s="120"/>
      <c r="TMW3" s="120"/>
      <c r="TMX3" s="120"/>
      <c r="TMY3" s="120"/>
      <c r="TMZ3" s="120"/>
      <c r="TNA3" s="120"/>
      <c r="TNB3" s="120"/>
      <c r="TNC3" s="120"/>
      <c r="TND3" s="120"/>
      <c r="TNE3" s="120"/>
      <c r="TNF3" s="120"/>
      <c r="TNG3" s="120"/>
      <c r="TNH3" s="120"/>
      <c r="TNI3" s="120"/>
      <c r="TNJ3" s="120"/>
      <c r="TNK3" s="120"/>
      <c r="TNL3" s="120"/>
      <c r="TNM3" s="120"/>
      <c r="TNN3" s="120"/>
      <c r="TNO3" s="120"/>
      <c r="TNP3" s="120"/>
      <c r="TNQ3" s="120"/>
      <c r="TNR3" s="120"/>
      <c r="TNS3" s="120"/>
      <c r="TNT3" s="120"/>
      <c r="TNU3" s="120"/>
      <c r="TNV3" s="120"/>
      <c r="TNW3" s="120"/>
      <c r="TNX3" s="120"/>
      <c r="TNY3" s="120"/>
      <c r="TNZ3" s="120"/>
      <c r="TOA3" s="120"/>
      <c r="TOB3" s="120"/>
      <c r="TOC3" s="120"/>
      <c r="TOD3" s="120"/>
      <c r="TOE3" s="120"/>
      <c r="TOF3" s="120"/>
      <c r="TOG3" s="120"/>
      <c r="TOH3" s="120"/>
      <c r="TOI3" s="120"/>
      <c r="TOJ3" s="120"/>
      <c r="TOK3" s="120"/>
      <c r="TOL3" s="120"/>
      <c r="TOM3" s="120"/>
      <c r="TON3" s="120"/>
      <c r="TOO3" s="120"/>
      <c r="TOP3" s="120"/>
      <c r="TOQ3" s="120"/>
      <c r="TOR3" s="120"/>
      <c r="TOS3" s="120"/>
      <c r="TOT3" s="120"/>
      <c r="TOU3" s="120"/>
      <c r="TOV3" s="120"/>
      <c r="TOW3" s="120"/>
      <c r="TOX3" s="120"/>
      <c r="TOY3" s="120"/>
      <c r="TOZ3" s="120"/>
      <c r="TPA3" s="120"/>
      <c r="TPB3" s="120"/>
      <c r="TPC3" s="120"/>
      <c r="TPD3" s="120"/>
      <c r="TPE3" s="120"/>
      <c r="TPF3" s="120"/>
      <c r="TPG3" s="120"/>
      <c r="TPH3" s="120"/>
      <c r="TPI3" s="120"/>
      <c r="TPJ3" s="120"/>
      <c r="TPK3" s="120"/>
      <c r="TPL3" s="120"/>
      <c r="TPM3" s="120"/>
      <c r="TPN3" s="120"/>
      <c r="TPO3" s="120"/>
      <c r="TPP3" s="120"/>
      <c r="TPQ3" s="120"/>
      <c r="TPR3" s="120"/>
      <c r="TPS3" s="120"/>
      <c r="TPT3" s="120"/>
      <c r="TPU3" s="120"/>
      <c r="TPV3" s="120"/>
      <c r="TPW3" s="120"/>
      <c r="TPX3" s="120"/>
      <c r="TPY3" s="120"/>
      <c r="TPZ3" s="120"/>
      <c r="TQA3" s="120"/>
      <c r="TQB3" s="120"/>
      <c r="TQC3" s="120"/>
      <c r="TQD3" s="120"/>
      <c r="TQE3" s="120"/>
      <c r="TQF3" s="120"/>
      <c r="TQG3" s="120"/>
      <c r="TQH3" s="120"/>
      <c r="TQI3" s="120"/>
      <c r="TQJ3" s="120"/>
      <c r="TQK3" s="120"/>
      <c r="TQL3" s="120"/>
      <c r="TQM3" s="120"/>
      <c r="TQN3" s="120"/>
      <c r="TQO3" s="120"/>
      <c r="TQP3" s="120"/>
      <c r="TQQ3" s="120"/>
      <c r="TQR3" s="120"/>
      <c r="TQS3" s="120"/>
      <c r="TQT3" s="120"/>
      <c r="TQU3" s="120"/>
      <c r="TQV3" s="120"/>
      <c r="TQW3" s="120"/>
      <c r="TQX3" s="120"/>
      <c r="TQY3" s="120"/>
      <c r="TQZ3" s="120"/>
      <c r="TRA3" s="120"/>
      <c r="TRB3" s="120"/>
      <c r="TRC3" s="120"/>
      <c r="TRD3" s="120"/>
      <c r="TRE3" s="120"/>
      <c r="TRF3" s="120"/>
      <c r="TRG3" s="120"/>
      <c r="TRH3" s="120"/>
      <c r="TRI3" s="120"/>
      <c r="TRJ3" s="120"/>
      <c r="TRK3" s="120"/>
      <c r="TRL3" s="120"/>
      <c r="TRM3" s="120"/>
      <c r="TRN3" s="120"/>
      <c r="TRO3" s="120"/>
      <c r="TRP3" s="120"/>
      <c r="TRQ3" s="120"/>
      <c r="TRR3" s="120"/>
      <c r="TRS3" s="120"/>
      <c r="TRT3" s="120"/>
      <c r="TRU3" s="120"/>
      <c r="TRV3" s="120"/>
      <c r="TRW3" s="120"/>
      <c r="TRX3" s="120"/>
      <c r="TRY3" s="120"/>
      <c r="TRZ3" s="120"/>
      <c r="TSA3" s="120"/>
      <c r="TSB3" s="120"/>
      <c r="TSC3" s="120"/>
      <c r="TSD3" s="120"/>
      <c r="TSE3" s="120"/>
      <c r="TSF3" s="120"/>
      <c r="TSG3" s="120"/>
      <c r="TSH3" s="120"/>
      <c r="TSI3" s="120"/>
      <c r="TSJ3" s="120"/>
      <c r="TSK3" s="120"/>
      <c r="TSL3" s="120"/>
      <c r="TSM3" s="120"/>
      <c r="TSN3" s="120"/>
      <c r="TSO3" s="120"/>
      <c r="TSP3" s="120"/>
      <c r="TSQ3" s="120"/>
      <c r="TSR3" s="120"/>
      <c r="TSS3" s="120"/>
      <c r="TST3" s="120"/>
      <c r="TSU3" s="120"/>
      <c r="TSV3" s="120"/>
      <c r="TSW3" s="120"/>
      <c r="TSX3" s="120"/>
      <c r="TSY3" s="120"/>
      <c r="TSZ3" s="120"/>
      <c r="TTA3" s="120"/>
      <c r="TTB3" s="120"/>
      <c r="TTC3" s="120"/>
      <c r="TTD3" s="120"/>
      <c r="TTE3" s="120"/>
      <c r="TTF3" s="120"/>
      <c r="TTG3" s="120"/>
      <c r="TTH3" s="120"/>
      <c r="TTI3" s="120"/>
      <c r="TTJ3" s="120"/>
      <c r="TTK3" s="120"/>
      <c r="TTL3" s="120"/>
      <c r="TTM3" s="120"/>
      <c r="TTN3" s="120"/>
      <c r="TTO3" s="120"/>
      <c r="TTP3" s="120"/>
      <c r="TTQ3" s="120"/>
      <c r="TTR3" s="120"/>
      <c r="TTS3" s="120"/>
      <c r="TTT3" s="120"/>
      <c r="TTU3" s="120"/>
      <c r="TTV3" s="120"/>
      <c r="TTW3" s="120"/>
      <c r="TTX3" s="120"/>
      <c r="TTY3" s="120"/>
      <c r="TTZ3" s="120"/>
      <c r="TUA3" s="120"/>
      <c r="TUB3" s="120"/>
      <c r="TUC3" s="120"/>
      <c r="TUD3" s="120"/>
      <c r="TUE3" s="120"/>
      <c r="TUF3" s="120"/>
      <c r="TUG3" s="120"/>
      <c r="TUH3" s="120"/>
      <c r="TUI3" s="120"/>
      <c r="TUJ3" s="120"/>
      <c r="TUK3" s="120"/>
      <c r="TUL3" s="120"/>
      <c r="TUM3" s="120"/>
      <c r="TUN3" s="120"/>
      <c r="TUO3" s="120"/>
      <c r="TUP3" s="120"/>
      <c r="TUQ3" s="120"/>
      <c r="TUR3" s="120"/>
      <c r="TUS3" s="120"/>
      <c r="TUT3" s="120"/>
      <c r="TUU3" s="120"/>
      <c r="TUV3" s="120"/>
      <c r="TUW3" s="120"/>
      <c r="TUX3" s="120"/>
      <c r="TUY3" s="120"/>
      <c r="TUZ3" s="120"/>
      <c r="TVA3" s="120"/>
      <c r="TVB3" s="120"/>
      <c r="TVC3" s="120"/>
      <c r="TVD3" s="120"/>
      <c r="TVE3" s="120"/>
      <c r="TVF3" s="120"/>
      <c r="TVG3" s="120"/>
      <c r="TVH3" s="120"/>
      <c r="TVI3" s="120"/>
      <c r="TVJ3" s="120"/>
      <c r="TVK3" s="120"/>
      <c r="TVL3" s="120"/>
      <c r="TVM3" s="120"/>
      <c r="TVN3" s="120"/>
      <c r="TVO3" s="120"/>
      <c r="TVP3" s="120"/>
      <c r="TVQ3" s="120"/>
      <c r="TVR3" s="120"/>
      <c r="TVS3" s="120"/>
      <c r="TVT3" s="120"/>
      <c r="TVU3" s="120"/>
      <c r="TVV3" s="120"/>
      <c r="TVW3" s="120"/>
      <c r="TVX3" s="120"/>
      <c r="TVY3" s="120"/>
      <c r="TVZ3" s="120"/>
      <c r="TWA3" s="120"/>
      <c r="TWB3" s="120"/>
      <c r="TWC3" s="120"/>
      <c r="TWD3" s="120"/>
      <c r="TWE3" s="120"/>
      <c r="TWF3" s="120"/>
      <c r="TWG3" s="120"/>
      <c r="TWH3" s="120"/>
      <c r="TWI3" s="120"/>
      <c r="TWJ3" s="120"/>
      <c r="TWK3" s="120"/>
      <c r="TWL3" s="120"/>
      <c r="TWM3" s="120"/>
      <c r="TWN3" s="120"/>
      <c r="TWO3" s="120"/>
      <c r="TWP3" s="120"/>
      <c r="TWQ3" s="120"/>
      <c r="TWR3" s="120"/>
      <c r="TWS3" s="120"/>
      <c r="TWT3" s="120"/>
      <c r="TWU3" s="120"/>
      <c r="TWV3" s="120"/>
      <c r="TWW3" s="120"/>
      <c r="TWX3" s="120"/>
      <c r="TWY3" s="120"/>
      <c r="TWZ3" s="120"/>
      <c r="TXA3" s="120"/>
      <c r="TXB3" s="120"/>
      <c r="TXC3" s="120"/>
      <c r="TXD3" s="120"/>
      <c r="TXE3" s="120"/>
      <c r="TXF3" s="120"/>
      <c r="TXG3" s="120"/>
      <c r="TXH3" s="120"/>
      <c r="TXI3" s="120"/>
      <c r="TXJ3" s="120"/>
      <c r="TXK3" s="120"/>
      <c r="TXL3" s="120"/>
      <c r="TXM3" s="120"/>
      <c r="TXN3" s="120"/>
      <c r="TXO3" s="120"/>
      <c r="TXP3" s="120"/>
      <c r="TXQ3" s="120"/>
      <c r="TXR3" s="120"/>
      <c r="TXS3" s="120"/>
      <c r="TXT3" s="120"/>
      <c r="TXU3" s="120"/>
      <c r="TXV3" s="120"/>
      <c r="TXW3" s="120"/>
      <c r="TXX3" s="120"/>
      <c r="TXY3" s="120"/>
      <c r="TXZ3" s="120"/>
      <c r="TYA3" s="120"/>
      <c r="TYB3" s="120"/>
      <c r="TYC3" s="120"/>
      <c r="TYD3" s="120"/>
      <c r="TYE3" s="120"/>
      <c r="TYF3" s="120"/>
      <c r="TYG3" s="120"/>
      <c r="TYH3" s="120"/>
      <c r="TYI3" s="120"/>
      <c r="TYJ3" s="120"/>
      <c r="TYK3" s="120"/>
      <c r="TYL3" s="120"/>
      <c r="TYM3" s="120"/>
      <c r="TYN3" s="120"/>
      <c r="TYO3" s="120"/>
      <c r="TYP3" s="120"/>
      <c r="TYQ3" s="120"/>
      <c r="TYR3" s="120"/>
      <c r="TYS3" s="120"/>
      <c r="TYT3" s="120"/>
      <c r="TYU3" s="120"/>
      <c r="TYV3" s="120"/>
      <c r="TYW3" s="120"/>
      <c r="TYX3" s="120"/>
      <c r="TYY3" s="120"/>
      <c r="TYZ3" s="120"/>
      <c r="TZA3" s="120"/>
      <c r="TZB3" s="120"/>
      <c r="TZC3" s="120"/>
      <c r="TZD3" s="120"/>
      <c r="TZE3" s="120"/>
      <c r="TZF3" s="120"/>
      <c r="TZG3" s="120"/>
      <c r="TZH3" s="120"/>
      <c r="TZI3" s="120"/>
      <c r="TZJ3" s="120"/>
      <c r="TZK3" s="120"/>
      <c r="TZL3" s="120"/>
      <c r="TZM3" s="120"/>
      <c r="TZN3" s="120"/>
      <c r="TZO3" s="120"/>
      <c r="TZP3" s="120"/>
      <c r="TZQ3" s="120"/>
      <c r="TZR3" s="120"/>
      <c r="TZS3" s="120"/>
      <c r="TZT3" s="120"/>
      <c r="TZU3" s="120"/>
      <c r="TZV3" s="120"/>
      <c r="TZW3" s="120"/>
      <c r="TZX3" s="120"/>
      <c r="TZY3" s="120"/>
      <c r="TZZ3" s="120"/>
      <c r="UAA3" s="120"/>
      <c r="UAB3" s="120"/>
      <c r="UAC3" s="120"/>
      <c r="UAD3" s="120"/>
      <c r="UAE3" s="120"/>
      <c r="UAF3" s="120"/>
      <c r="UAG3" s="120"/>
      <c r="UAH3" s="120"/>
      <c r="UAI3" s="120"/>
      <c r="UAJ3" s="120"/>
      <c r="UAK3" s="120"/>
      <c r="UAL3" s="120"/>
      <c r="UAM3" s="120"/>
      <c r="UAN3" s="120"/>
      <c r="UAO3" s="120"/>
      <c r="UAP3" s="120"/>
      <c r="UAQ3" s="120"/>
      <c r="UAR3" s="120"/>
      <c r="UAS3" s="120"/>
      <c r="UAT3" s="120"/>
      <c r="UAU3" s="120"/>
      <c r="UAV3" s="120"/>
      <c r="UAW3" s="120"/>
      <c r="UAX3" s="120"/>
      <c r="UAY3" s="120"/>
      <c r="UAZ3" s="120"/>
      <c r="UBA3" s="120"/>
      <c r="UBB3" s="120"/>
      <c r="UBC3" s="120"/>
      <c r="UBD3" s="120"/>
      <c r="UBE3" s="120"/>
      <c r="UBF3" s="120"/>
      <c r="UBG3" s="120"/>
      <c r="UBH3" s="120"/>
      <c r="UBI3" s="120"/>
      <c r="UBJ3" s="120"/>
      <c r="UBK3" s="120"/>
      <c r="UBL3" s="120"/>
      <c r="UBM3" s="120"/>
      <c r="UBN3" s="120"/>
      <c r="UBO3" s="120"/>
      <c r="UBP3" s="120"/>
      <c r="UBQ3" s="120"/>
      <c r="UBR3" s="120"/>
      <c r="UBS3" s="120"/>
      <c r="UBT3" s="120"/>
      <c r="UBU3" s="120"/>
      <c r="UBV3" s="120"/>
      <c r="UBW3" s="120"/>
      <c r="UBX3" s="120"/>
      <c r="UBY3" s="120"/>
      <c r="UBZ3" s="120"/>
      <c r="UCA3" s="120"/>
      <c r="UCB3" s="120"/>
      <c r="UCC3" s="120"/>
      <c r="UCD3" s="120"/>
      <c r="UCE3" s="120"/>
      <c r="UCF3" s="120"/>
      <c r="UCG3" s="120"/>
      <c r="UCH3" s="120"/>
      <c r="UCI3" s="120"/>
      <c r="UCJ3" s="120"/>
      <c r="UCK3" s="120"/>
      <c r="UCL3" s="120"/>
      <c r="UCM3" s="120"/>
      <c r="UCN3" s="120"/>
      <c r="UCO3" s="120"/>
      <c r="UCP3" s="120"/>
      <c r="UCQ3" s="120"/>
      <c r="UCR3" s="120"/>
      <c r="UCS3" s="120"/>
      <c r="UCT3" s="120"/>
      <c r="UCU3" s="120"/>
      <c r="UCV3" s="120"/>
      <c r="UCW3" s="120"/>
      <c r="UCX3" s="120"/>
      <c r="UCY3" s="120"/>
      <c r="UCZ3" s="120"/>
      <c r="UDA3" s="120"/>
      <c r="UDB3" s="120"/>
      <c r="UDC3" s="120"/>
      <c r="UDD3" s="120"/>
      <c r="UDE3" s="120"/>
      <c r="UDF3" s="120"/>
      <c r="UDG3" s="120"/>
      <c r="UDH3" s="120"/>
      <c r="UDI3" s="120"/>
      <c r="UDJ3" s="120"/>
      <c r="UDK3" s="120"/>
      <c r="UDL3" s="120"/>
      <c r="UDM3" s="120"/>
      <c r="UDN3" s="120"/>
      <c r="UDO3" s="120"/>
      <c r="UDP3" s="120"/>
      <c r="UDQ3" s="120"/>
      <c r="UDR3" s="120"/>
      <c r="UDS3" s="120"/>
      <c r="UDT3" s="120"/>
      <c r="UDU3" s="120"/>
      <c r="UDV3" s="120"/>
      <c r="UDW3" s="120"/>
      <c r="UDX3" s="120"/>
      <c r="UDY3" s="120"/>
      <c r="UDZ3" s="120"/>
      <c r="UEA3" s="120"/>
      <c r="UEB3" s="120"/>
      <c r="UEC3" s="120"/>
      <c r="UED3" s="120"/>
      <c r="UEE3" s="120"/>
      <c r="UEF3" s="120"/>
      <c r="UEG3" s="120"/>
      <c r="UEH3" s="120"/>
      <c r="UEI3" s="120"/>
      <c r="UEJ3" s="120"/>
      <c r="UEK3" s="120"/>
      <c r="UEL3" s="120"/>
      <c r="UEM3" s="120"/>
      <c r="UEN3" s="120"/>
      <c r="UEO3" s="120"/>
      <c r="UEP3" s="120"/>
      <c r="UEQ3" s="120"/>
      <c r="UER3" s="120"/>
      <c r="UES3" s="120"/>
      <c r="UET3" s="120"/>
      <c r="UEU3" s="120"/>
      <c r="UEV3" s="120"/>
      <c r="UEW3" s="120"/>
      <c r="UEX3" s="120"/>
      <c r="UEY3" s="120"/>
      <c r="UEZ3" s="120"/>
      <c r="UFA3" s="120"/>
      <c r="UFB3" s="120"/>
      <c r="UFC3" s="120"/>
      <c r="UFD3" s="120"/>
      <c r="UFE3" s="120"/>
      <c r="UFF3" s="120"/>
      <c r="UFG3" s="120"/>
      <c r="UFH3" s="120"/>
      <c r="UFI3" s="120"/>
      <c r="UFJ3" s="120"/>
      <c r="UFK3" s="120"/>
      <c r="UFL3" s="120"/>
      <c r="UFM3" s="120"/>
      <c r="UFN3" s="120"/>
      <c r="UFO3" s="120"/>
      <c r="UFP3" s="120"/>
      <c r="UFQ3" s="120"/>
      <c r="UFR3" s="120"/>
      <c r="UFS3" s="120"/>
      <c r="UFT3" s="120"/>
      <c r="UFU3" s="120"/>
      <c r="UFV3" s="120"/>
      <c r="UFW3" s="120"/>
      <c r="UFX3" s="120"/>
      <c r="UFY3" s="120"/>
      <c r="UFZ3" s="120"/>
      <c r="UGA3" s="120"/>
      <c r="UGB3" s="120"/>
      <c r="UGC3" s="120"/>
      <c r="UGD3" s="120"/>
      <c r="UGE3" s="120"/>
      <c r="UGF3" s="120"/>
      <c r="UGG3" s="120"/>
      <c r="UGH3" s="120"/>
      <c r="UGI3" s="120"/>
      <c r="UGJ3" s="120"/>
      <c r="UGK3" s="120"/>
      <c r="UGL3" s="120"/>
      <c r="UGM3" s="120"/>
      <c r="UGN3" s="120"/>
      <c r="UGO3" s="120"/>
      <c r="UGP3" s="120"/>
      <c r="UGQ3" s="120"/>
      <c r="UGR3" s="120"/>
      <c r="UGS3" s="120"/>
      <c r="UGT3" s="120"/>
      <c r="UGU3" s="120"/>
      <c r="UGV3" s="120"/>
      <c r="UGW3" s="120"/>
      <c r="UGX3" s="120"/>
      <c r="UGY3" s="120"/>
      <c r="UGZ3" s="120"/>
      <c r="UHA3" s="120"/>
      <c r="UHB3" s="120"/>
      <c r="UHC3" s="120"/>
      <c r="UHD3" s="120"/>
      <c r="UHE3" s="120"/>
      <c r="UHF3" s="120"/>
      <c r="UHG3" s="120"/>
      <c r="UHH3" s="120"/>
      <c r="UHI3" s="120"/>
      <c r="UHJ3" s="120"/>
      <c r="UHK3" s="120"/>
      <c r="UHL3" s="120"/>
      <c r="UHM3" s="120"/>
      <c r="UHN3" s="120"/>
      <c r="UHO3" s="120"/>
      <c r="UHP3" s="120"/>
      <c r="UHQ3" s="120"/>
      <c r="UHR3" s="120"/>
      <c r="UHS3" s="120"/>
      <c r="UHT3" s="120"/>
      <c r="UHU3" s="120"/>
      <c r="UHV3" s="120"/>
      <c r="UHW3" s="120"/>
      <c r="UHX3" s="120"/>
      <c r="UHY3" s="120"/>
      <c r="UHZ3" s="120"/>
      <c r="UIA3" s="120"/>
      <c r="UIB3" s="120"/>
      <c r="UIC3" s="120"/>
      <c r="UID3" s="120"/>
      <c r="UIE3" s="120"/>
      <c r="UIF3" s="120"/>
      <c r="UIG3" s="120"/>
      <c r="UIH3" s="120"/>
      <c r="UII3" s="120"/>
      <c r="UIJ3" s="120"/>
      <c r="UIK3" s="120"/>
      <c r="UIL3" s="120"/>
      <c r="UIM3" s="120"/>
      <c r="UIN3" s="120"/>
      <c r="UIO3" s="120"/>
      <c r="UIP3" s="120"/>
      <c r="UIQ3" s="120"/>
      <c r="UIR3" s="120"/>
      <c r="UIS3" s="120"/>
      <c r="UIT3" s="120"/>
      <c r="UIU3" s="120"/>
      <c r="UIV3" s="120"/>
      <c r="UIW3" s="120"/>
      <c r="UIX3" s="120"/>
      <c r="UIY3" s="120"/>
      <c r="UIZ3" s="120"/>
      <c r="UJA3" s="120"/>
      <c r="UJB3" s="120"/>
      <c r="UJC3" s="120"/>
      <c r="UJD3" s="120"/>
      <c r="UJE3" s="120"/>
      <c r="UJF3" s="120"/>
      <c r="UJG3" s="120"/>
      <c r="UJH3" s="120"/>
      <c r="UJI3" s="120"/>
      <c r="UJJ3" s="120"/>
      <c r="UJK3" s="120"/>
      <c r="UJL3" s="120"/>
      <c r="UJM3" s="120"/>
      <c r="UJN3" s="120"/>
      <c r="UJO3" s="120"/>
      <c r="UJP3" s="120"/>
      <c r="UJQ3" s="120"/>
      <c r="UJR3" s="120"/>
      <c r="UJS3" s="120"/>
      <c r="UJT3" s="120"/>
      <c r="UJU3" s="120"/>
      <c r="UJV3" s="120"/>
      <c r="UJW3" s="120"/>
      <c r="UJX3" s="120"/>
      <c r="UJY3" s="120"/>
      <c r="UJZ3" s="120"/>
      <c r="UKA3" s="120"/>
      <c r="UKB3" s="120"/>
      <c r="UKC3" s="120"/>
      <c r="UKD3" s="120"/>
      <c r="UKE3" s="120"/>
      <c r="UKF3" s="120"/>
      <c r="UKG3" s="120"/>
      <c r="UKH3" s="120"/>
      <c r="UKI3" s="120"/>
      <c r="UKJ3" s="120"/>
      <c r="UKK3" s="120"/>
      <c r="UKL3" s="120"/>
      <c r="UKM3" s="120"/>
      <c r="UKN3" s="120"/>
      <c r="UKO3" s="120"/>
      <c r="UKP3" s="120"/>
      <c r="UKQ3" s="120"/>
      <c r="UKR3" s="120"/>
      <c r="UKS3" s="120"/>
      <c r="UKT3" s="120"/>
      <c r="UKU3" s="120"/>
      <c r="UKV3" s="120"/>
      <c r="UKW3" s="120"/>
      <c r="UKX3" s="120"/>
      <c r="UKY3" s="120"/>
      <c r="UKZ3" s="120"/>
      <c r="ULA3" s="120"/>
      <c r="ULB3" s="120"/>
      <c r="ULC3" s="120"/>
      <c r="ULD3" s="120"/>
      <c r="ULE3" s="120"/>
      <c r="ULF3" s="120"/>
      <c r="ULG3" s="120"/>
      <c r="ULH3" s="120"/>
      <c r="ULI3" s="120"/>
      <c r="ULJ3" s="120"/>
      <c r="ULK3" s="120"/>
      <c r="ULL3" s="120"/>
      <c r="ULM3" s="120"/>
      <c r="ULN3" s="120"/>
      <c r="ULO3" s="120"/>
      <c r="ULP3" s="120"/>
      <c r="ULQ3" s="120"/>
      <c r="ULR3" s="120"/>
      <c r="ULS3" s="120"/>
      <c r="ULT3" s="120"/>
      <c r="ULU3" s="120"/>
      <c r="ULV3" s="120"/>
      <c r="ULW3" s="120"/>
      <c r="ULX3" s="120"/>
      <c r="ULY3" s="120"/>
      <c r="ULZ3" s="120"/>
      <c r="UMA3" s="120"/>
      <c r="UMB3" s="120"/>
      <c r="UMC3" s="120"/>
      <c r="UMD3" s="120"/>
      <c r="UME3" s="120"/>
      <c r="UMF3" s="120"/>
      <c r="UMG3" s="120"/>
      <c r="UMH3" s="120"/>
      <c r="UMI3" s="120"/>
      <c r="UMJ3" s="120"/>
      <c r="UMK3" s="120"/>
      <c r="UML3" s="120"/>
      <c r="UMM3" s="120"/>
      <c r="UMN3" s="120"/>
      <c r="UMO3" s="120"/>
      <c r="UMP3" s="120"/>
      <c r="UMQ3" s="120"/>
      <c r="UMR3" s="120"/>
      <c r="UMS3" s="120"/>
      <c r="UMT3" s="120"/>
      <c r="UMU3" s="120"/>
      <c r="UMV3" s="120"/>
      <c r="UMW3" s="120"/>
      <c r="UMX3" s="120"/>
      <c r="UMY3" s="120"/>
      <c r="UMZ3" s="120"/>
      <c r="UNA3" s="120"/>
      <c r="UNB3" s="120"/>
      <c r="UNC3" s="120"/>
      <c r="UND3" s="120"/>
      <c r="UNE3" s="120"/>
      <c r="UNF3" s="120"/>
      <c r="UNG3" s="120"/>
      <c r="UNH3" s="120"/>
      <c r="UNI3" s="120"/>
      <c r="UNJ3" s="120"/>
      <c r="UNK3" s="120"/>
      <c r="UNL3" s="120"/>
      <c r="UNM3" s="120"/>
      <c r="UNN3" s="120"/>
      <c r="UNO3" s="120"/>
      <c r="UNP3" s="120"/>
      <c r="UNQ3" s="120"/>
      <c r="UNR3" s="120"/>
      <c r="UNS3" s="120"/>
      <c r="UNT3" s="120"/>
      <c r="UNU3" s="120"/>
      <c r="UNV3" s="120"/>
      <c r="UNW3" s="120"/>
      <c r="UNX3" s="120"/>
      <c r="UNY3" s="120"/>
      <c r="UNZ3" s="120"/>
      <c r="UOA3" s="120"/>
      <c r="UOB3" s="120"/>
      <c r="UOC3" s="120"/>
      <c r="UOD3" s="120"/>
      <c r="UOE3" s="120"/>
      <c r="UOF3" s="120"/>
      <c r="UOG3" s="120"/>
      <c r="UOH3" s="120"/>
      <c r="UOI3" s="120"/>
      <c r="UOJ3" s="120"/>
      <c r="UOK3" s="120"/>
      <c r="UOL3" s="120"/>
      <c r="UOM3" s="120"/>
      <c r="UON3" s="120"/>
      <c r="UOO3" s="120"/>
      <c r="UOP3" s="120"/>
      <c r="UOQ3" s="120"/>
      <c r="UOR3" s="120"/>
      <c r="UOS3" s="120"/>
      <c r="UOT3" s="120"/>
      <c r="UOU3" s="120"/>
      <c r="UOV3" s="120"/>
      <c r="UOW3" s="120"/>
      <c r="UOX3" s="120"/>
      <c r="UOY3" s="120"/>
      <c r="UOZ3" s="120"/>
      <c r="UPA3" s="120"/>
      <c r="UPB3" s="120"/>
      <c r="UPC3" s="120"/>
      <c r="UPD3" s="120"/>
      <c r="UPE3" s="120"/>
      <c r="UPF3" s="120"/>
      <c r="UPG3" s="120"/>
      <c r="UPH3" s="120"/>
      <c r="UPI3" s="120"/>
      <c r="UPJ3" s="120"/>
      <c r="UPK3" s="120"/>
      <c r="UPL3" s="120"/>
      <c r="UPM3" s="120"/>
      <c r="UPN3" s="120"/>
      <c r="UPO3" s="120"/>
      <c r="UPP3" s="120"/>
      <c r="UPQ3" s="120"/>
      <c r="UPR3" s="120"/>
      <c r="UPS3" s="120"/>
      <c r="UPT3" s="120"/>
      <c r="UPU3" s="120"/>
      <c r="UPV3" s="120"/>
      <c r="UPW3" s="120"/>
      <c r="UPX3" s="120"/>
      <c r="UPY3" s="120"/>
      <c r="UPZ3" s="120"/>
      <c r="UQA3" s="120"/>
      <c r="UQB3" s="120"/>
      <c r="UQC3" s="120"/>
      <c r="UQD3" s="120"/>
      <c r="UQE3" s="120"/>
      <c r="UQF3" s="120"/>
      <c r="UQG3" s="120"/>
      <c r="UQH3" s="120"/>
      <c r="UQI3" s="120"/>
      <c r="UQJ3" s="120"/>
      <c r="UQK3" s="120"/>
      <c r="UQL3" s="120"/>
      <c r="UQM3" s="120"/>
      <c r="UQN3" s="120"/>
      <c r="UQO3" s="120"/>
      <c r="UQP3" s="120"/>
      <c r="UQQ3" s="120"/>
      <c r="UQR3" s="120"/>
      <c r="UQS3" s="120"/>
      <c r="UQT3" s="120"/>
      <c r="UQU3" s="120"/>
      <c r="UQV3" s="120"/>
      <c r="UQW3" s="120"/>
      <c r="UQX3" s="120"/>
      <c r="UQY3" s="120"/>
      <c r="UQZ3" s="120"/>
      <c r="URA3" s="120"/>
      <c r="URB3" s="120"/>
      <c r="URC3" s="120"/>
      <c r="URD3" s="120"/>
      <c r="URE3" s="120"/>
      <c r="URF3" s="120"/>
      <c r="URG3" s="120"/>
      <c r="URH3" s="120"/>
      <c r="URI3" s="120"/>
      <c r="URJ3" s="120"/>
      <c r="URK3" s="120"/>
      <c r="URL3" s="120"/>
      <c r="URM3" s="120"/>
      <c r="URN3" s="120"/>
      <c r="URO3" s="120"/>
      <c r="URP3" s="120"/>
      <c r="URQ3" s="120"/>
      <c r="URR3" s="120"/>
      <c r="URS3" s="120"/>
      <c r="URT3" s="120"/>
      <c r="URU3" s="120"/>
      <c r="URV3" s="120"/>
      <c r="URW3" s="120"/>
      <c r="URX3" s="120"/>
      <c r="URY3" s="120"/>
      <c r="URZ3" s="120"/>
      <c r="USA3" s="120"/>
      <c r="USB3" s="120"/>
      <c r="USC3" s="120"/>
      <c r="USD3" s="120"/>
      <c r="USE3" s="120"/>
      <c r="USF3" s="120"/>
      <c r="USG3" s="120"/>
      <c r="USH3" s="120"/>
      <c r="USI3" s="120"/>
      <c r="USJ3" s="120"/>
      <c r="USK3" s="120"/>
      <c r="USL3" s="120"/>
      <c r="USM3" s="120"/>
      <c r="USN3" s="120"/>
      <c r="USO3" s="120"/>
      <c r="USP3" s="120"/>
      <c r="USQ3" s="120"/>
      <c r="USR3" s="120"/>
      <c r="USS3" s="120"/>
      <c r="UST3" s="120"/>
      <c r="USU3" s="120"/>
      <c r="USV3" s="120"/>
      <c r="USW3" s="120"/>
      <c r="USX3" s="120"/>
      <c r="USY3" s="120"/>
      <c r="USZ3" s="120"/>
      <c r="UTA3" s="120"/>
      <c r="UTB3" s="120"/>
      <c r="UTC3" s="120"/>
      <c r="UTD3" s="120"/>
      <c r="UTE3" s="120"/>
      <c r="UTF3" s="120"/>
      <c r="UTG3" s="120"/>
      <c r="UTH3" s="120"/>
      <c r="UTI3" s="120"/>
      <c r="UTJ3" s="120"/>
      <c r="UTK3" s="120"/>
      <c r="UTL3" s="120"/>
      <c r="UTM3" s="120"/>
      <c r="UTN3" s="120"/>
      <c r="UTO3" s="120"/>
      <c r="UTP3" s="120"/>
      <c r="UTQ3" s="120"/>
      <c r="UTR3" s="120"/>
      <c r="UTS3" s="120"/>
      <c r="UTT3" s="120"/>
      <c r="UTU3" s="120"/>
      <c r="UTV3" s="120"/>
      <c r="UTW3" s="120"/>
      <c r="UTX3" s="120"/>
      <c r="UTY3" s="120"/>
      <c r="UTZ3" s="120"/>
      <c r="UUA3" s="120"/>
      <c r="UUB3" s="120"/>
      <c r="UUC3" s="120"/>
      <c r="UUD3" s="120"/>
      <c r="UUE3" s="120"/>
      <c r="UUF3" s="120"/>
      <c r="UUG3" s="120"/>
      <c r="UUH3" s="120"/>
      <c r="UUI3" s="120"/>
      <c r="UUJ3" s="120"/>
      <c r="UUK3" s="120"/>
      <c r="UUL3" s="120"/>
      <c r="UUM3" s="120"/>
      <c r="UUN3" s="120"/>
      <c r="UUO3" s="120"/>
      <c r="UUP3" s="120"/>
      <c r="UUQ3" s="120"/>
      <c r="UUR3" s="120"/>
      <c r="UUS3" s="120"/>
      <c r="UUT3" s="120"/>
      <c r="UUU3" s="120"/>
      <c r="UUV3" s="120"/>
      <c r="UUW3" s="120"/>
      <c r="UUX3" s="120"/>
      <c r="UUY3" s="120"/>
      <c r="UUZ3" s="120"/>
      <c r="UVA3" s="120"/>
      <c r="UVB3" s="120"/>
      <c r="UVC3" s="120"/>
      <c r="UVD3" s="120"/>
      <c r="UVE3" s="120"/>
      <c r="UVF3" s="120"/>
      <c r="UVG3" s="120"/>
      <c r="UVH3" s="120"/>
      <c r="UVI3" s="120"/>
      <c r="UVJ3" s="120"/>
      <c r="UVK3" s="120"/>
      <c r="UVL3" s="120"/>
      <c r="UVM3" s="120"/>
      <c r="UVN3" s="120"/>
      <c r="UVO3" s="120"/>
      <c r="UVP3" s="120"/>
      <c r="UVQ3" s="120"/>
      <c r="UVR3" s="120"/>
      <c r="UVS3" s="120"/>
      <c r="UVT3" s="120"/>
      <c r="UVU3" s="120"/>
      <c r="UVV3" s="120"/>
      <c r="UVW3" s="120"/>
      <c r="UVX3" s="120"/>
      <c r="UVY3" s="120"/>
      <c r="UVZ3" s="120"/>
      <c r="UWA3" s="120"/>
      <c r="UWB3" s="120"/>
      <c r="UWC3" s="120"/>
      <c r="UWD3" s="120"/>
      <c r="UWE3" s="120"/>
      <c r="UWF3" s="120"/>
      <c r="UWG3" s="120"/>
      <c r="UWH3" s="120"/>
      <c r="UWI3" s="120"/>
      <c r="UWJ3" s="120"/>
      <c r="UWK3" s="120"/>
      <c r="UWL3" s="120"/>
      <c r="UWM3" s="120"/>
      <c r="UWN3" s="120"/>
      <c r="UWO3" s="120"/>
      <c r="UWP3" s="120"/>
      <c r="UWQ3" s="120"/>
      <c r="UWR3" s="120"/>
      <c r="UWS3" s="120"/>
      <c r="UWT3" s="120"/>
      <c r="UWU3" s="120"/>
      <c r="UWV3" s="120"/>
      <c r="UWW3" s="120"/>
      <c r="UWX3" s="120"/>
      <c r="UWY3" s="120"/>
      <c r="UWZ3" s="120"/>
      <c r="UXA3" s="120"/>
      <c r="UXB3" s="120"/>
      <c r="UXC3" s="120"/>
      <c r="UXD3" s="120"/>
      <c r="UXE3" s="120"/>
      <c r="UXF3" s="120"/>
      <c r="UXG3" s="120"/>
      <c r="UXH3" s="120"/>
      <c r="UXI3" s="120"/>
      <c r="UXJ3" s="120"/>
      <c r="UXK3" s="120"/>
      <c r="UXL3" s="120"/>
      <c r="UXM3" s="120"/>
      <c r="UXN3" s="120"/>
      <c r="UXO3" s="120"/>
      <c r="UXP3" s="120"/>
      <c r="UXQ3" s="120"/>
      <c r="UXR3" s="120"/>
      <c r="UXS3" s="120"/>
      <c r="UXT3" s="120"/>
      <c r="UXU3" s="120"/>
      <c r="UXV3" s="120"/>
      <c r="UXW3" s="120"/>
      <c r="UXX3" s="120"/>
      <c r="UXY3" s="120"/>
      <c r="UXZ3" s="120"/>
      <c r="UYA3" s="120"/>
      <c r="UYB3" s="120"/>
      <c r="UYC3" s="120"/>
      <c r="UYD3" s="120"/>
      <c r="UYE3" s="120"/>
      <c r="UYF3" s="120"/>
      <c r="UYG3" s="120"/>
      <c r="UYH3" s="120"/>
      <c r="UYI3" s="120"/>
      <c r="UYJ3" s="120"/>
      <c r="UYK3" s="120"/>
      <c r="UYL3" s="120"/>
      <c r="UYM3" s="120"/>
      <c r="UYN3" s="120"/>
      <c r="UYO3" s="120"/>
      <c r="UYP3" s="120"/>
      <c r="UYQ3" s="120"/>
      <c r="UYR3" s="120"/>
      <c r="UYS3" s="120"/>
      <c r="UYT3" s="120"/>
      <c r="UYU3" s="120"/>
      <c r="UYV3" s="120"/>
      <c r="UYW3" s="120"/>
      <c r="UYX3" s="120"/>
      <c r="UYY3" s="120"/>
      <c r="UYZ3" s="120"/>
      <c r="UZA3" s="120"/>
      <c r="UZB3" s="120"/>
      <c r="UZC3" s="120"/>
      <c r="UZD3" s="120"/>
      <c r="UZE3" s="120"/>
      <c r="UZF3" s="120"/>
      <c r="UZG3" s="120"/>
      <c r="UZH3" s="120"/>
      <c r="UZI3" s="120"/>
      <c r="UZJ3" s="120"/>
      <c r="UZK3" s="120"/>
      <c r="UZL3" s="120"/>
      <c r="UZM3" s="120"/>
      <c r="UZN3" s="120"/>
      <c r="UZO3" s="120"/>
      <c r="UZP3" s="120"/>
      <c r="UZQ3" s="120"/>
      <c r="UZR3" s="120"/>
      <c r="UZS3" s="120"/>
      <c r="UZT3" s="120"/>
      <c r="UZU3" s="120"/>
      <c r="UZV3" s="120"/>
      <c r="UZW3" s="120"/>
      <c r="UZX3" s="120"/>
      <c r="UZY3" s="120"/>
      <c r="UZZ3" s="120"/>
      <c r="VAA3" s="120"/>
      <c r="VAB3" s="120"/>
      <c r="VAC3" s="120"/>
      <c r="VAD3" s="120"/>
      <c r="VAE3" s="120"/>
      <c r="VAF3" s="120"/>
      <c r="VAG3" s="120"/>
      <c r="VAH3" s="120"/>
      <c r="VAI3" s="120"/>
      <c r="VAJ3" s="120"/>
      <c r="VAK3" s="120"/>
      <c r="VAL3" s="120"/>
      <c r="VAM3" s="120"/>
      <c r="VAN3" s="120"/>
      <c r="VAO3" s="120"/>
      <c r="VAP3" s="120"/>
      <c r="VAQ3" s="120"/>
      <c r="VAR3" s="120"/>
      <c r="VAS3" s="120"/>
      <c r="VAT3" s="120"/>
      <c r="VAU3" s="120"/>
      <c r="VAV3" s="120"/>
      <c r="VAW3" s="120"/>
      <c r="VAX3" s="120"/>
      <c r="VAY3" s="120"/>
      <c r="VAZ3" s="120"/>
      <c r="VBA3" s="120"/>
      <c r="VBB3" s="120"/>
      <c r="VBC3" s="120"/>
      <c r="VBD3" s="120"/>
      <c r="VBE3" s="120"/>
      <c r="VBF3" s="120"/>
      <c r="VBG3" s="120"/>
      <c r="VBH3" s="120"/>
      <c r="VBI3" s="120"/>
      <c r="VBJ3" s="120"/>
      <c r="VBK3" s="120"/>
      <c r="VBL3" s="120"/>
      <c r="VBM3" s="120"/>
      <c r="VBN3" s="120"/>
      <c r="VBO3" s="120"/>
      <c r="VBP3" s="120"/>
      <c r="VBQ3" s="120"/>
      <c r="VBR3" s="120"/>
      <c r="VBS3" s="120"/>
      <c r="VBT3" s="120"/>
      <c r="VBU3" s="120"/>
      <c r="VBV3" s="120"/>
      <c r="VBW3" s="120"/>
      <c r="VBX3" s="120"/>
      <c r="VBY3" s="120"/>
      <c r="VBZ3" s="120"/>
      <c r="VCA3" s="120"/>
      <c r="VCB3" s="120"/>
      <c r="VCC3" s="120"/>
      <c r="VCD3" s="120"/>
      <c r="VCE3" s="120"/>
      <c r="VCF3" s="120"/>
      <c r="VCG3" s="120"/>
      <c r="VCH3" s="120"/>
      <c r="VCI3" s="120"/>
      <c r="VCJ3" s="120"/>
      <c r="VCK3" s="120"/>
      <c r="VCL3" s="120"/>
      <c r="VCM3" s="120"/>
      <c r="VCN3" s="120"/>
      <c r="VCO3" s="120"/>
      <c r="VCP3" s="120"/>
      <c r="VCQ3" s="120"/>
      <c r="VCR3" s="120"/>
      <c r="VCS3" s="120"/>
      <c r="VCT3" s="120"/>
      <c r="VCU3" s="120"/>
      <c r="VCV3" s="120"/>
      <c r="VCW3" s="120"/>
      <c r="VCX3" s="120"/>
      <c r="VCY3" s="120"/>
      <c r="VCZ3" s="120"/>
      <c r="VDA3" s="120"/>
      <c r="VDB3" s="120"/>
      <c r="VDC3" s="120"/>
      <c r="VDD3" s="120"/>
      <c r="VDE3" s="120"/>
      <c r="VDF3" s="120"/>
      <c r="VDG3" s="120"/>
      <c r="VDH3" s="120"/>
      <c r="VDI3" s="120"/>
      <c r="VDJ3" s="120"/>
      <c r="VDK3" s="120"/>
      <c r="VDL3" s="120"/>
      <c r="VDM3" s="120"/>
      <c r="VDN3" s="120"/>
      <c r="VDO3" s="120"/>
      <c r="VDP3" s="120"/>
      <c r="VDQ3" s="120"/>
      <c r="VDR3" s="120"/>
      <c r="VDS3" s="120"/>
      <c r="VDT3" s="120"/>
      <c r="VDU3" s="120"/>
      <c r="VDV3" s="120"/>
      <c r="VDW3" s="120"/>
      <c r="VDX3" s="120"/>
      <c r="VDY3" s="120"/>
      <c r="VDZ3" s="120"/>
      <c r="VEA3" s="120"/>
      <c r="VEB3" s="120"/>
      <c r="VEC3" s="120"/>
      <c r="VED3" s="120"/>
      <c r="VEE3" s="120"/>
      <c r="VEF3" s="120"/>
      <c r="VEG3" s="120"/>
      <c r="VEH3" s="120"/>
      <c r="VEI3" s="120"/>
      <c r="VEJ3" s="120"/>
      <c r="VEK3" s="120"/>
      <c r="VEL3" s="120"/>
      <c r="VEM3" s="120"/>
      <c r="VEN3" s="120"/>
      <c r="VEO3" s="120"/>
      <c r="VEP3" s="120"/>
      <c r="VEQ3" s="120"/>
      <c r="VER3" s="120"/>
      <c r="VES3" s="120"/>
      <c r="VET3" s="120"/>
      <c r="VEU3" s="120"/>
      <c r="VEV3" s="120"/>
      <c r="VEW3" s="120"/>
      <c r="VEX3" s="120"/>
      <c r="VEY3" s="120"/>
      <c r="VEZ3" s="120"/>
      <c r="VFA3" s="120"/>
      <c r="VFB3" s="120"/>
      <c r="VFC3" s="120"/>
      <c r="VFD3" s="120"/>
      <c r="VFE3" s="120"/>
      <c r="VFF3" s="120"/>
      <c r="VFG3" s="120"/>
      <c r="VFH3" s="120"/>
      <c r="VFI3" s="120"/>
      <c r="VFJ3" s="120"/>
      <c r="VFK3" s="120"/>
      <c r="VFL3" s="120"/>
      <c r="VFM3" s="120"/>
      <c r="VFN3" s="120"/>
      <c r="VFO3" s="120"/>
      <c r="VFP3" s="120"/>
      <c r="VFQ3" s="120"/>
      <c r="VFR3" s="120"/>
      <c r="VFS3" s="120"/>
      <c r="VFT3" s="120"/>
      <c r="VFU3" s="120"/>
      <c r="VFV3" s="120"/>
      <c r="VFW3" s="120"/>
      <c r="VFX3" s="120"/>
      <c r="VFY3" s="120"/>
      <c r="VFZ3" s="120"/>
      <c r="VGA3" s="120"/>
      <c r="VGB3" s="120"/>
      <c r="VGC3" s="120"/>
      <c r="VGD3" s="120"/>
      <c r="VGE3" s="120"/>
      <c r="VGF3" s="120"/>
      <c r="VGG3" s="120"/>
      <c r="VGH3" s="120"/>
      <c r="VGI3" s="120"/>
      <c r="VGJ3" s="120"/>
      <c r="VGK3" s="120"/>
      <c r="VGL3" s="120"/>
      <c r="VGM3" s="120"/>
      <c r="VGN3" s="120"/>
      <c r="VGO3" s="120"/>
      <c r="VGP3" s="120"/>
      <c r="VGQ3" s="120"/>
      <c r="VGR3" s="120"/>
      <c r="VGS3" s="120"/>
      <c r="VGT3" s="120"/>
      <c r="VGU3" s="120"/>
      <c r="VGV3" s="120"/>
      <c r="VGW3" s="120"/>
      <c r="VGX3" s="120"/>
      <c r="VGY3" s="120"/>
      <c r="VGZ3" s="120"/>
      <c r="VHA3" s="120"/>
      <c r="VHB3" s="120"/>
      <c r="VHC3" s="120"/>
      <c r="VHD3" s="120"/>
      <c r="VHE3" s="120"/>
      <c r="VHF3" s="120"/>
      <c r="VHG3" s="120"/>
      <c r="VHH3" s="120"/>
      <c r="VHI3" s="120"/>
      <c r="VHJ3" s="120"/>
      <c r="VHK3" s="120"/>
      <c r="VHL3" s="120"/>
      <c r="VHM3" s="120"/>
      <c r="VHN3" s="120"/>
      <c r="VHO3" s="120"/>
      <c r="VHP3" s="120"/>
      <c r="VHQ3" s="120"/>
      <c r="VHR3" s="120"/>
      <c r="VHS3" s="120"/>
      <c r="VHT3" s="120"/>
      <c r="VHU3" s="120"/>
      <c r="VHV3" s="120"/>
      <c r="VHW3" s="120"/>
      <c r="VHX3" s="120"/>
      <c r="VHY3" s="120"/>
      <c r="VHZ3" s="120"/>
      <c r="VIA3" s="120"/>
      <c r="VIB3" s="120"/>
      <c r="VIC3" s="120"/>
      <c r="VID3" s="120"/>
      <c r="VIE3" s="120"/>
      <c r="VIF3" s="120"/>
      <c r="VIG3" s="120"/>
      <c r="VIH3" s="120"/>
      <c r="VII3" s="120"/>
      <c r="VIJ3" s="120"/>
      <c r="VIK3" s="120"/>
      <c r="VIL3" s="120"/>
      <c r="VIM3" s="120"/>
      <c r="VIN3" s="120"/>
      <c r="VIO3" s="120"/>
      <c r="VIP3" s="120"/>
      <c r="VIQ3" s="120"/>
      <c r="VIR3" s="120"/>
      <c r="VIS3" s="120"/>
      <c r="VIT3" s="120"/>
      <c r="VIU3" s="120"/>
      <c r="VIV3" s="120"/>
      <c r="VIW3" s="120"/>
      <c r="VIX3" s="120"/>
      <c r="VIY3" s="120"/>
      <c r="VIZ3" s="120"/>
      <c r="VJA3" s="120"/>
      <c r="VJB3" s="120"/>
      <c r="VJC3" s="120"/>
      <c r="VJD3" s="120"/>
      <c r="VJE3" s="120"/>
      <c r="VJF3" s="120"/>
      <c r="VJG3" s="120"/>
      <c r="VJH3" s="120"/>
      <c r="VJI3" s="120"/>
      <c r="VJJ3" s="120"/>
      <c r="VJK3" s="120"/>
      <c r="VJL3" s="120"/>
      <c r="VJM3" s="120"/>
      <c r="VJN3" s="120"/>
      <c r="VJO3" s="120"/>
      <c r="VJP3" s="120"/>
      <c r="VJQ3" s="120"/>
      <c r="VJR3" s="120"/>
      <c r="VJS3" s="120"/>
      <c r="VJT3" s="120"/>
      <c r="VJU3" s="120"/>
      <c r="VJV3" s="120"/>
      <c r="VJW3" s="120"/>
      <c r="VJX3" s="120"/>
      <c r="VJY3" s="120"/>
      <c r="VJZ3" s="120"/>
      <c r="VKA3" s="120"/>
      <c r="VKB3" s="120"/>
      <c r="VKC3" s="120"/>
      <c r="VKD3" s="120"/>
      <c r="VKE3" s="120"/>
      <c r="VKF3" s="120"/>
      <c r="VKG3" s="120"/>
      <c r="VKH3" s="120"/>
      <c r="VKI3" s="120"/>
      <c r="VKJ3" s="120"/>
      <c r="VKK3" s="120"/>
      <c r="VKL3" s="120"/>
      <c r="VKM3" s="120"/>
      <c r="VKN3" s="120"/>
      <c r="VKO3" s="120"/>
      <c r="VKP3" s="120"/>
      <c r="VKQ3" s="120"/>
      <c r="VKR3" s="120"/>
      <c r="VKS3" s="120"/>
      <c r="VKT3" s="120"/>
      <c r="VKU3" s="120"/>
      <c r="VKV3" s="120"/>
      <c r="VKW3" s="120"/>
      <c r="VKX3" s="120"/>
      <c r="VKY3" s="120"/>
      <c r="VKZ3" s="120"/>
      <c r="VLA3" s="120"/>
      <c r="VLB3" s="120"/>
      <c r="VLC3" s="120"/>
      <c r="VLD3" s="120"/>
      <c r="VLE3" s="120"/>
      <c r="VLF3" s="120"/>
      <c r="VLG3" s="120"/>
      <c r="VLH3" s="120"/>
      <c r="VLI3" s="120"/>
      <c r="VLJ3" s="120"/>
      <c r="VLK3" s="120"/>
      <c r="VLL3" s="120"/>
      <c r="VLM3" s="120"/>
      <c r="VLN3" s="120"/>
      <c r="VLO3" s="120"/>
      <c r="VLP3" s="120"/>
      <c r="VLQ3" s="120"/>
      <c r="VLR3" s="120"/>
      <c r="VLS3" s="120"/>
      <c r="VLT3" s="120"/>
      <c r="VLU3" s="120"/>
      <c r="VLV3" s="120"/>
      <c r="VLW3" s="120"/>
      <c r="VLX3" s="120"/>
      <c r="VLY3" s="120"/>
      <c r="VLZ3" s="120"/>
      <c r="VMA3" s="120"/>
      <c r="VMB3" s="120"/>
      <c r="VMC3" s="120"/>
      <c r="VMD3" s="120"/>
      <c r="VME3" s="120"/>
      <c r="VMF3" s="120"/>
      <c r="VMG3" s="120"/>
      <c r="VMH3" s="120"/>
      <c r="VMI3" s="120"/>
      <c r="VMJ3" s="120"/>
      <c r="VMK3" s="120"/>
      <c r="VML3" s="120"/>
      <c r="VMM3" s="120"/>
      <c r="VMN3" s="120"/>
      <c r="VMO3" s="120"/>
      <c r="VMP3" s="120"/>
      <c r="VMQ3" s="120"/>
      <c r="VMR3" s="120"/>
      <c r="VMS3" s="120"/>
      <c r="VMT3" s="120"/>
      <c r="VMU3" s="120"/>
      <c r="VMV3" s="120"/>
      <c r="VMW3" s="120"/>
      <c r="VMX3" s="120"/>
      <c r="VMY3" s="120"/>
      <c r="VMZ3" s="120"/>
      <c r="VNA3" s="120"/>
      <c r="VNB3" s="120"/>
      <c r="VNC3" s="120"/>
      <c r="VND3" s="120"/>
      <c r="VNE3" s="120"/>
      <c r="VNF3" s="120"/>
      <c r="VNG3" s="120"/>
      <c r="VNH3" s="120"/>
      <c r="VNI3" s="120"/>
      <c r="VNJ3" s="120"/>
      <c r="VNK3" s="120"/>
      <c r="VNL3" s="120"/>
      <c r="VNM3" s="120"/>
      <c r="VNN3" s="120"/>
      <c r="VNO3" s="120"/>
      <c r="VNP3" s="120"/>
      <c r="VNQ3" s="120"/>
      <c r="VNR3" s="120"/>
      <c r="VNS3" s="120"/>
      <c r="VNT3" s="120"/>
      <c r="VNU3" s="120"/>
      <c r="VNV3" s="120"/>
      <c r="VNW3" s="120"/>
      <c r="VNX3" s="120"/>
      <c r="VNY3" s="120"/>
      <c r="VNZ3" s="120"/>
      <c r="VOA3" s="120"/>
      <c r="VOB3" s="120"/>
      <c r="VOC3" s="120"/>
      <c r="VOD3" s="120"/>
      <c r="VOE3" s="120"/>
      <c r="VOF3" s="120"/>
      <c r="VOG3" s="120"/>
      <c r="VOH3" s="120"/>
      <c r="VOI3" s="120"/>
      <c r="VOJ3" s="120"/>
      <c r="VOK3" s="120"/>
      <c r="VOL3" s="120"/>
      <c r="VOM3" s="120"/>
      <c r="VON3" s="120"/>
      <c r="VOO3" s="120"/>
      <c r="VOP3" s="120"/>
      <c r="VOQ3" s="120"/>
      <c r="VOR3" s="120"/>
      <c r="VOS3" s="120"/>
      <c r="VOT3" s="120"/>
      <c r="VOU3" s="120"/>
      <c r="VOV3" s="120"/>
      <c r="VOW3" s="120"/>
      <c r="VOX3" s="120"/>
      <c r="VOY3" s="120"/>
      <c r="VOZ3" s="120"/>
      <c r="VPA3" s="120"/>
      <c r="VPB3" s="120"/>
      <c r="VPC3" s="120"/>
      <c r="VPD3" s="120"/>
      <c r="VPE3" s="120"/>
      <c r="VPF3" s="120"/>
      <c r="VPG3" s="120"/>
      <c r="VPH3" s="120"/>
      <c r="VPI3" s="120"/>
      <c r="VPJ3" s="120"/>
      <c r="VPK3" s="120"/>
      <c r="VPL3" s="120"/>
      <c r="VPM3" s="120"/>
      <c r="VPN3" s="120"/>
      <c r="VPO3" s="120"/>
      <c r="VPP3" s="120"/>
      <c r="VPQ3" s="120"/>
      <c r="VPR3" s="120"/>
      <c r="VPS3" s="120"/>
      <c r="VPT3" s="120"/>
      <c r="VPU3" s="120"/>
      <c r="VPV3" s="120"/>
      <c r="VPW3" s="120"/>
      <c r="VPX3" s="120"/>
      <c r="VPY3" s="120"/>
      <c r="VPZ3" s="120"/>
      <c r="VQA3" s="120"/>
      <c r="VQB3" s="120"/>
      <c r="VQC3" s="120"/>
      <c r="VQD3" s="120"/>
      <c r="VQE3" s="120"/>
      <c r="VQF3" s="120"/>
      <c r="VQG3" s="120"/>
      <c r="VQH3" s="120"/>
      <c r="VQI3" s="120"/>
      <c r="VQJ3" s="120"/>
      <c r="VQK3" s="120"/>
      <c r="VQL3" s="120"/>
      <c r="VQM3" s="120"/>
      <c r="VQN3" s="120"/>
      <c r="VQO3" s="120"/>
      <c r="VQP3" s="120"/>
      <c r="VQQ3" s="120"/>
      <c r="VQR3" s="120"/>
      <c r="VQS3" s="120"/>
      <c r="VQT3" s="120"/>
      <c r="VQU3" s="120"/>
      <c r="VQV3" s="120"/>
      <c r="VQW3" s="120"/>
      <c r="VQX3" s="120"/>
      <c r="VQY3" s="120"/>
      <c r="VQZ3" s="120"/>
      <c r="VRA3" s="120"/>
      <c r="VRB3" s="120"/>
      <c r="VRC3" s="120"/>
      <c r="VRD3" s="120"/>
      <c r="VRE3" s="120"/>
      <c r="VRF3" s="120"/>
      <c r="VRG3" s="120"/>
      <c r="VRH3" s="120"/>
      <c r="VRI3" s="120"/>
      <c r="VRJ3" s="120"/>
      <c r="VRK3" s="120"/>
      <c r="VRL3" s="120"/>
      <c r="VRM3" s="120"/>
      <c r="VRN3" s="120"/>
      <c r="VRO3" s="120"/>
      <c r="VRP3" s="120"/>
      <c r="VRQ3" s="120"/>
      <c r="VRR3" s="120"/>
      <c r="VRS3" s="120"/>
      <c r="VRT3" s="120"/>
      <c r="VRU3" s="120"/>
      <c r="VRV3" s="120"/>
      <c r="VRW3" s="120"/>
      <c r="VRX3" s="120"/>
      <c r="VRY3" s="120"/>
      <c r="VRZ3" s="120"/>
      <c r="VSA3" s="120"/>
      <c r="VSB3" s="120"/>
      <c r="VSC3" s="120"/>
      <c r="VSD3" s="120"/>
      <c r="VSE3" s="120"/>
      <c r="VSF3" s="120"/>
      <c r="VSG3" s="120"/>
      <c r="VSH3" s="120"/>
      <c r="VSI3" s="120"/>
      <c r="VSJ3" s="120"/>
      <c r="VSK3" s="120"/>
      <c r="VSL3" s="120"/>
      <c r="VSM3" s="120"/>
      <c r="VSN3" s="120"/>
      <c r="VSO3" s="120"/>
      <c r="VSP3" s="120"/>
      <c r="VSQ3" s="120"/>
      <c r="VSR3" s="120"/>
      <c r="VSS3" s="120"/>
      <c r="VST3" s="120"/>
      <c r="VSU3" s="120"/>
      <c r="VSV3" s="120"/>
      <c r="VSW3" s="120"/>
      <c r="VSX3" s="120"/>
      <c r="VSY3" s="120"/>
      <c r="VSZ3" s="120"/>
      <c r="VTA3" s="120"/>
      <c r="VTB3" s="120"/>
      <c r="VTC3" s="120"/>
      <c r="VTD3" s="120"/>
      <c r="VTE3" s="120"/>
      <c r="VTF3" s="120"/>
      <c r="VTG3" s="120"/>
      <c r="VTH3" s="120"/>
      <c r="VTI3" s="120"/>
      <c r="VTJ3" s="120"/>
      <c r="VTK3" s="120"/>
      <c r="VTL3" s="120"/>
      <c r="VTM3" s="120"/>
      <c r="VTN3" s="120"/>
      <c r="VTO3" s="120"/>
      <c r="VTP3" s="120"/>
      <c r="VTQ3" s="120"/>
      <c r="VTR3" s="120"/>
      <c r="VTS3" s="120"/>
      <c r="VTT3" s="120"/>
      <c r="VTU3" s="120"/>
      <c r="VTV3" s="120"/>
      <c r="VTW3" s="120"/>
      <c r="VTX3" s="120"/>
      <c r="VTY3" s="120"/>
      <c r="VTZ3" s="120"/>
      <c r="VUA3" s="120"/>
      <c r="VUB3" s="120"/>
      <c r="VUC3" s="120"/>
      <c r="VUD3" s="120"/>
      <c r="VUE3" s="120"/>
      <c r="VUF3" s="120"/>
      <c r="VUG3" s="120"/>
      <c r="VUH3" s="120"/>
      <c r="VUI3" s="120"/>
      <c r="VUJ3" s="120"/>
      <c r="VUK3" s="120"/>
      <c r="VUL3" s="120"/>
      <c r="VUM3" s="120"/>
      <c r="VUN3" s="120"/>
      <c r="VUO3" s="120"/>
      <c r="VUP3" s="120"/>
      <c r="VUQ3" s="120"/>
      <c r="VUR3" s="120"/>
      <c r="VUS3" s="120"/>
      <c r="VUT3" s="120"/>
      <c r="VUU3" s="120"/>
      <c r="VUV3" s="120"/>
      <c r="VUW3" s="120"/>
      <c r="VUX3" s="120"/>
      <c r="VUY3" s="120"/>
      <c r="VUZ3" s="120"/>
      <c r="VVA3" s="120"/>
      <c r="VVB3" s="120"/>
      <c r="VVC3" s="120"/>
      <c r="VVD3" s="120"/>
      <c r="VVE3" s="120"/>
      <c r="VVF3" s="120"/>
      <c r="VVG3" s="120"/>
      <c r="VVH3" s="120"/>
      <c r="VVI3" s="120"/>
      <c r="VVJ3" s="120"/>
      <c r="VVK3" s="120"/>
      <c r="VVL3" s="120"/>
      <c r="VVM3" s="120"/>
      <c r="VVN3" s="120"/>
      <c r="VVO3" s="120"/>
      <c r="VVP3" s="120"/>
      <c r="VVQ3" s="120"/>
      <c r="VVR3" s="120"/>
      <c r="VVS3" s="120"/>
      <c r="VVT3" s="120"/>
      <c r="VVU3" s="120"/>
      <c r="VVV3" s="120"/>
      <c r="VVW3" s="120"/>
      <c r="VVX3" s="120"/>
      <c r="VVY3" s="120"/>
      <c r="VVZ3" s="120"/>
      <c r="VWA3" s="120"/>
      <c r="VWB3" s="120"/>
      <c r="VWC3" s="120"/>
      <c r="VWD3" s="120"/>
      <c r="VWE3" s="120"/>
      <c r="VWF3" s="120"/>
      <c r="VWG3" s="120"/>
      <c r="VWH3" s="120"/>
      <c r="VWI3" s="120"/>
      <c r="VWJ3" s="120"/>
      <c r="VWK3" s="120"/>
      <c r="VWL3" s="120"/>
      <c r="VWM3" s="120"/>
      <c r="VWN3" s="120"/>
      <c r="VWO3" s="120"/>
      <c r="VWP3" s="120"/>
      <c r="VWQ3" s="120"/>
      <c r="VWR3" s="120"/>
      <c r="VWS3" s="120"/>
      <c r="VWT3" s="120"/>
      <c r="VWU3" s="120"/>
      <c r="VWV3" s="120"/>
      <c r="VWW3" s="120"/>
      <c r="VWX3" s="120"/>
      <c r="VWY3" s="120"/>
      <c r="VWZ3" s="120"/>
      <c r="VXA3" s="120"/>
      <c r="VXB3" s="120"/>
      <c r="VXC3" s="120"/>
      <c r="VXD3" s="120"/>
      <c r="VXE3" s="120"/>
      <c r="VXF3" s="120"/>
      <c r="VXG3" s="120"/>
      <c r="VXH3" s="120"/>
      <c r="VXI3" s="120"/>
      <c r="VXJ3" s="120"/>
      <c r="VXK3" s="120"/>
      <c r="VXL3" s="120"/>
      <c r="VXM3" s="120"/>
      <c r="VXN3" s="120"/>
      <c r="VXO3" s="120"/>
      <c r="VXP3" s="120"/>
      <c r="VXQ3" s="120"/>
      <c r="VXR3" s="120"/>
      <c r="VXS3" s="120"/>
      <c r="VXT3" s="120"/>
      <c r="VXU3" s="120"/>
      <c r="VXV3" s="120"/>
      <c r="VXW3" s="120"/>
      <c r="VXX3" s="120"/>
      <c r="VXY3" s="120"/>
      <c r="VXZ3" s="120"/>
      <c r="VYA3" s="120"/>
      <c r="VYB3" s="120"/>
      <c r="VYC3" s="120"/>
      <c r="VYD3" s="120"/>
      <c r="VYE3" s="120"/>
      <c r="VYF3" s="120"/>
      <c r="VYG3" s="120"/>
      <c r="VYH3" s="120"/>
      <c r="VYI3" s="120"/>
      <c r="VYJ3" s="120"/>
      <c r="VYK3" s="120"/>
      <c r="VYL3" s="120"/>
      <c r="VYM3" s="120"/>
      <c r="VYN3" s="120"/>
      <c r="VYO3" s="120"/>
      <c r="VYP3" s="120"/>
      <c r="VYQ3" s="120"/>
      <c r="VYR3" s="120"/>
      <c r="VYS3" s="120"/>
      <c r="VYT3" s="120"/>
      <c r="VYU3" s="120"/>
      <c r="VYV3" s="120"/>
      <c r="VYW3" s="120"/>
      <c r="VYX3" s="120"/>
      <c r="VYY3" s="120"/>
      <c r="VYZ3" s="120"/>
      <c r="VZA3" s="120"/>
      <c r="VZB3" s="120"/>
      <c r="VZC3" s="120"/>
      <c r="VZD3" s="120"/>
      <c r="VZE3" s="120"/>
      <c r="VZF3" s="120"/>
      <c r="VZG3" s="120"/>
      <c r="VZH3" s="120"/>
      <c r="VZI3" s="120"/>
      <c r="VZJ3" s="120"/>
      <c r="VZK3" s="120"/>
      <c r="VZL3" s="120"/>
      <c r="VZM3" s="120"/>
      <c r="VZN3" s="120"/>
      <c r="VZO3" s="120"/>
      <c r="VZP3" s="120"/>
      <c r="VZQ3" s="120"/>
      <c r="VZR3" s="120"/>
      <c r="VZS3" s="120"/>
      <c r="VZT3" s="120"/>
      <c r="VZU3" s="120"/>
      <c r="VZV3" s="120"/>
      <c r="VZW3" s="120"/>
      <c r="VZX3" s="120"/>
      <c r="VZY3" s="120"/>
      <c r="VZZ3" s="120"/>
      <c r="WAA3" s="120"/>
      <c r="WAB3" s="120"/>
      <c r="WAC3" s="120"/>
      <c r="WAD3" s="120"/>
      <c r="WAE3" s="120"/>
      <c r="WAF3" s="120"/>
      <c r="WAG3" s="120"/>
      <c r="WAH3" s="120"/>
      <c r="WAI3" s="120"/>
      <c r="WAJ3" s="120"/>
      <c r="WAK3" s="120"/>
      <c r="WAL3" s="120"/>
      <c r="WAM3" s="120"/>
      <c r="WAN3" s="120"/>
      <c r="WAO3" s="120"/>
      <c r="WAP3" s="120"/>
      <c r="WAQ3" s="120"/>
      <c r="WAR3" s="120"/>
      <c r="WAS3" s="120"/>
      <c r="WAT3" s="120"/>
      <c r="WAU3" s="120"/>
      <c r="WAV3" s="120"/>
      <c r="WAW3" s="120"/>
      <c r="WAX3" s="120"/>
      <c r="WAY3" s="120"/>
      <c r="WAZ3" s="120"/>
      <c r="WBA3" s="120"/>
      <c r="WBB3" s="120"/>
      <c r="WBC3" s="120"/>
      <c r="WBD3" s="120"/>
      <c r="WBE3" s="120"/>
      <c r="WBF3" s="120"/>
      <c r="WBG3" s="120"/>
      <c r="WBH3" s="120"/>
      <c r="WBI3" s="120"/>
      <c r="WBJ3" s="120"/>
      <c r="WBK3" s="120"/>
      <c r="WBL3" s="120"/>
      <c r="WBM3" s="120"/>
      <c r="WBN3" s="120"/>
      <c r="WBO3" s="120"/>
      <c r="WBP3" s="120"/>
      <c r="WBQ3" s="120"/>
      <c r="WBR3" s="120"/>
      <c r="WBS3" s="120"/>
      <c r="WBT3" s="120"/>
      <c r="WBU3" s="120"/>
      <c r="WBV3" s="120"/>
      <c r="WBW3" s="120"/>
      <c r="WBX3" s="120"/>
      <c r="WBY3" s="120"/>
      <c r="WBZ3" s="120"/>
      <c r="WCA3" s="120"/>
      <c r="WCB3" s="120"/>
      <c r="WCC3" s="120"/>
      <c r="WCD3" s="120"/>
      <c r="WCE3" s="120"/>
      <c r="WCF3" s="120"/>
      <c r="WCG3" s="120"/>
      <c r="WCH3" s="120"/>
      <c r="WCI3" s="120"/>
      <c r="WCJ3" s="120"/>
      <c r="WCK3" s="120"/>
      <c r="WCL3" s="120"/>
      <c r="WCM3" s="120"/>
      <c r="WCN3" s="120"/>
      <c r="WCO3" s="120"/>
      <c r="WCP3" s="120"/>
      <c r="WCQ3" s="120"/>
      <c r="WCR3" s="120"/>
      <c r="WCS3" s="120"/>
      <c r="WCT3" s="120"/>
      <c r="WCU3" s="120"/>
      <c r="WCV3" s="120"/>
      <c r="WCW3" s="120"/>
      <c r="WCX3" s="120"/>
      <c r="WCY3" s="120"/>
      <c r="WCZ3" s="120"/>
      <c r="WDA3" s="120"/>
      <c r="WDB3" s="120"/>
      <c r="WDC3" s="120"/>
      <c r="WDD3" s="120"/>
      <c r="WDE3" s="120"/>
      <c r="WDF3" s="120"/>
      <c r="WDG3" s="120"/>
      <c r="WDH3" s="120"/>
      <c r="WDI3" s="120"/>
      <c r="WDJ3" s="120"/>
      <c r="WDK3" s="120"/>
      <c r="WDL3" s="120"/>
      <c r="WDM3" s="120"/>
      <c r="WDN3" s="120"/>
      <c r="WDO3" s="120"/>
      <c r="WDP3" s="120"/>
      <c r="WDQ3" s="120"/>
      <c r="WDR3" s="120"/>
      <c r="WDS3" s="120"/>
      <c r="WDT3" s="120"/>
      <c r="WDU3" s="120"/>
      <c r="WDV3" s="120"/>
      <c r="WDW3" s="120"/>
      <c r="WDX3" s="120"/>
      <c r="WDY3" s="120"/>
      <c r="WDZ3" s="120"/>
      <c r="WEA3" s="120"/>
      <c r="WEB3" s="120"/>
      <c r="WEC3" s="120"/>
      <c r="WED3" s="120"/>
      <c r="WEE3" s="120"/>
      <c r="WEF3" s="120"/>
      <c r="WEG3" s="120"/>
      <c r="WEH3" s="120"/>
      <c r="WEI3" s="120"/>
      <c r="WEJ3" s="120"/>
      <c r="WEK3" s="120"/>
      <c r="WEL3" s="120"/>
      <c r="WEM3" s="120"/>
      <c r="WEN3" s="120"/>
      <c r="WEO3" s="120"/>
      <c r="WEP3" s="120"/>
      <c r="WEQ3" s="120"/>
      <c r="WER3" s="120"/>
      <c r="WES3" s="120"/>
      <c r="WET3" s="120"/>
      <c r="WEU3" s="120"/>
      <c r="WEV3" s="120"/>
      <c r="WEW3" s="120"/>
      <c r="WEX3" s="120"/>
      <c r="WEY3" s="120"/>
      <c r="WEZ3" s="120"/>
      <c r="WFA3" s="120"/>
      <c r="WFB3" s="120"/>
      <c r="WFC3" s="120"/>
      <c r="WFD3" s="120"/>
      <c r="WFE3" s="120"/>
      <c r="WFF3" s="120"/>
      <c r="WFG3" s="120"/>
      <c r="WFH3" s="120"/>
      <c r="WFI3" s="120"/>
      <c r="WFJ3" s="120"/>
      <c r="WFK3" s="120"/>
      <c r="WFL3" s="120"/>
      <c r="WFM3" s="120"/>
      <c r="WFN3" s="120"/>
      <c r="WFO3" s="120"/>
      <c r="WFP3" s="120"/>
      <c r="WFQ3" s="120"/>
      <c r="WFR3" s="120"/>
      <c r="WFS3" s="120"/>
      <c r="WFT3" s="120"/>
      <c r="WFU3" s="120"/>
      <c r="WFV3" s="120"/>
      <c r="WFW3" s="120"/>
      <c r="WFX3" s="120"/>
      <c r="WFY3" s="120"/>
      <c r="WFZ3" s="120"/>
      <c r="WGA3" s="120"/>
      <c r="WGB3" s="120"/>
      <c r="WGC3" s="120"/>
      <c r="WGD3" s="120"/>
      <c r="WGE3" s="120"/>
      <c r="WGF3" s="120"/>
      <c r="WGG3" s="120"/>
      <c r="WGH3" s="120"/>
      <c r="WGI3" s="120"/>
      <c r="WGJ3" s="120"/>
      <c r="WGK3" s="120"/>
      <c r="WGL3" s="120"/>
      <c r="WGM3" s="120"/>
      <c r="WGN3" s="120"/>
      <c r="WGO3" s="120"/>
      <c r="WGP3" s="120"/>
      <c r="WGQ3" s="120"/>
      <c r="WGR3" s="120"/>
      <c r="WGS3" s="120"/>
      <c r="WGT3" s="120"/>
      <c r="WGU3" s="120"/>
      <c r="WGV3" s="120"/>
      <c r="WGW3" s="120"/>
      <c r="WGX3" s="120"/>
      <c r="WGY3" s="120"/>
      <c r="WGZ3" s="120"/>
      <c r="WHA3" s="120"/>
      <c r="WHB3" s="120"/>
      <c r="WHC3" s="120"/>
      <c r="WHD3" s="120"/>
      <c r="WHE3" s="120"/>
      <c r="WHF3" s="120"/>
      <c r="WHG3" s="120"/>
      <c r="WHH3" s="120"/>
      <c r="WHI3" s="120"/>
      <c r="WHJ3" s="120"/>
      <c r="WHK3" s="120"/>
      <c r="WHL3" s="120"/>
      <c r="WHM3" s="120"/>
      <c r="WHN3" s="120"/>
      <c r="WHO3" s="120"/>
      <c r="WHP3" s="120"/>
      <c r="WHQ3" s="120"/>
      <c r="WHR3" s="120"/>
      <c r="WHS3" s="120"/>
      <c r="WHT3" s="120"/>
      <c r="WHU3" s="120"/>
      <c r="WHV3" s="120"/>
      <c r="WHW3" s="120"/>
      <c r="WHX3" s="120"/>
      <c r="WHY3" s="120"/>
      <c r="WHZ3" s="120"/>
      <c r="WIA3" s="120"/>
      <c r="WIB3" s="120"/>
      <c r="WIC3" s="120"/>
      <c r="WID3" s="120"/>
      <c r="WIE3" s="120"/>
      <c r="WIF3" s="120"/>
      <c r="WIG3" s="120"/>
      <c r="WIH3" s="120"/>
      <c r="WII3" s="120"/>
      <c r="WIJ3" s="120"/>
      <c r="WIK3" s="120"/>
      <c r="WIL3" s="120"/>
      <c r="WIM3" s="120"/>
      <c r="WIN3" s="120"/>
      <c r="WIO3" s="120"/>
      <c r="WIP3" s="120"/>
      <c r="WIQ3" s="120"/>
      <c r="WIR3" s="120"/>
      <c r="WIS3" s="120"/>
      <c r="WIT3" s="120"/>
      <c r="WIU3" s="120"/>
      <c r="WIV3" s="120"/>
      <c r="WIW3" s="120"/>
      <c r="WIX3" s="120"/>
      <c r="WIY3" s="120"/>
      <c r="WIZ3" s="120"/>
      <c r="WJA3" s="120"/>
      <c r="WJB3" s="120"/>
      <c r="WJC3" s="120"/>
      <c r="WJD3" s="120"/>
      <c r="WJE3" s="120"/>
      <c r="WJF3" s="120"/>
      <c r="WJG3" s="120"/>
      <c r="WJH3" s="120"/>
      <c r="WJI3" s="120"/>
      <c r="WJJ3" s="120"/>
      <c r="WJK3" s="120"/>
      <c r="WJL3" s="120"/>
      <c r="WJM3" s="120"/>
      <c r="WJN3" s="120"/>
      <c r="WJO3" s="120"/>
      <c r="WJP3" s="120"/>
      <c r="WJQ3" s="120"/>
      <c r="WJR3" s="120"/>
      <c r="WJS3" s="120"/>
      <c r="WJT3" s="120"/>
      <c r="WJU3" s="120"/>
      <c r="WJV3" s="120"/>
      <c r="WJW3" s="120"/>
      <c r="WJX3" s="120"/>
      <c r="WJY3" s="120"/>
      <c r="WJZ3" s="120"/>
      <c r="WKA3" s="120"/>
      <c r="WKB3" s="120"/>
      <c r="WKC3" s="120"/>
      <c r="WKD3" s="120"/>
      <c r="WKE3" s="120"/>
      <c r="WKF3" s="120"/>
      <c r="WKG3" s="120"/>
      <c r="WKH3" s="120"/>
      <c r="WKI3" s="120"/>
      <c r="WKJ3" s="120"/>
      <c r="WKK3" s="120"/>
      <c r="WKL3" s="120"/>
      <c r="WKM3" s="120"/>
      <c r="WKN3" s="120"/>
      <c r="WKO3" s="120"/>
      <c r="WKP3" s="120"/>
      <c r="WKQ3" s="120"/>
      <c r="WKR3" s="120"/>
      <c r="WKS3" s="120"/>
      <c r="WKT3" s="120"/>
      <c r="WKU3" s="120"/>
      <c r="WKV3" s="120"/>
      <c r="WKW3" s="120"/>
      <c r="WKX3" s="120"/>
      <c r="WKY3" s="120"/>
      <c r="WKZ3" s="120"/>
      <c r="WLA3" s="120"/>
      <c r="WLB3" s="120"/>
      <c r="WLC3" s="120"/>
      <c r="WLD3" s="120"/>
      <c r="WLE3" s="120"/>
      <c r="WLF3" s="120"/>
      <c r="WLG3" s="120"/>
      <c r="WLH3" s="120"/>
      <c r="WLI3" s="120"/>
      <c r="WLJ3" s="120"/>
      <c r="WLK3" s="120"/>
      <c r="WLL3" s="120"/>
      <c r="WLM3" s="120"/>
      <c r="WLN3" s="120"/>
      <c r="WLO3" s="120"/>
      <c r="WLP3" s="120"/>
      <c r="WLQ3" s="120"/>
      <c r="WLR3" s="120"/>
      <c r="WLS3" s="120"/>
      <c r="WLT3" s="120"/>
      <c r="WLU3" s="120"/>
      <c r="WLV3" s="120"/>
      <c r="WLW3" s="120"/>
      <c r="WLX3" s="120"/>
      <c r="WLY3" s="120"/>
      <c r="WLZ3" s="120"/>
      <c r="WMA3" s="120"/>
      <c r="WMB3" s="120"/>
      <c r="WMC3" s="120"/>
      <c r="WMD3" s="120"/>
      <c r="WME3" s="120"/>
      <c r="WMF3" s="120"/>
      <c r="WMG3" s="120"/>
      <c r="WMH3" s="120"/>
      <c r="WMI3" s="120"/>
      <c r="WMJ3" s="120"/>
      <c r="WMK3" s="120"/>
      <c r="WML3" s="120"/>
      <c r="WMM3" s="120"/>
      <c r="WMN3" s="120"/>
      <c r="WMO3" s="120"/>
      <c r="WMP3" s="120"/>
      <c r="WMQ3" s="120"/>
      <c r="WMR3" s="120"/>
      <c r="WMS3" s="120"/>
      <c r="WMT3" s="120"/>
      <c r="WMU3" s="120"/>
      <c r="WMV3" s="120"/>
      <c r="WMW3" s="120"/>
      <c r="WMX3" s="120"/>
      <c r="WMY3" s="120"/>
      <c r="WMZ3" s="120"/>
      <c r="WNA3" s="120"/>
      <c r="WNB3" s="120"/>
      <c r="WNC3" s="120"/>
      <c r="WND3" s="120"/>
      <c r="WNE3" s="120"/>
      <c r="WNF3" s="120"/>
      <c r="WNG3" s="120"/>
      <c r="WNH3" s="120"/>
      <c r="WNI3" s="120"/>
      <c r="WNJ3" s="120"/>
      <c r="WNK3" s="120"/>
      <c r="WNL3" s="120"/>
      <c r="WNM3" s="120"/>
      <c r="WNN3" s="120"/>
      <c r="WNO3" s="120"/>
      <c r="WNP3" s="120"/>
      <c r="WNQ3" s="120"/>
      <c r="WNR3" s="120"/>
      <c r="WNS3" s="120"/>
      <c r="WNT3" s="120"/>
      <c r="WNU3" s="120"/>
      <c r="WNV3" s="120"/>
      <c r="WNW3" s="120"/>
      <c r="WNX3" s="120"/>
      <c r="WNY3" s="120"/>
      <c r="WNZ3" s="120"/>
      <c r="WOA3" s="120"/>
      <c r="WOB3" s="120"/>
      <c r="WOC3" s="120"/>
      <c r="WOD3" s="120"/>
      <c r="WOE3" s="120"/>
      <c r="WOF3" s="120"/>
      <c r="WOG3" s="120"/>
      <c r="WOH3" s="120"/>
      <c r="WOI3" s="120"/>
      <c r="WOJ3" s="120"/>
      <c r="WOK3" s="120"/>
      <c r="WOL3" s="120"/>
      <c r="WOM3" s="120"/>
      <c r="WON3" s="120"/>
      <c r="WOO3" s="120"/>
      <c r="WOP3" s="120"/>
      <c r="WOQ3" s="120"/>
      <c r="WOR3" s="120"/>
      <c r="WOS3" s="120"/>
      <c r="WOT3" s="120"/>
      <c r="WOU3" s="120"/>
      <c r="WOV3" s="120"/>
      <c r="WOW3" s="120"/>
      <c r="WOX3" s="120"/>
      <c r="WOY3" s="120"/>
      <c r="WOZ3" s="120"/>
      <c r="WPA3" s="120"/>
      <c r="WPB3" s="120"/>
      <c r="WPC3" s="120"/>
      <c r="WPD3" s="120"/>
      <c r="WPE3" s="120"/>
      <c r="WPF3" s="120"/>
      <c r="WPG3" s="120"/>
      <c r="WPH3" s="120"/>
      <c r="WPI3" s="120"/>
      <c r="WPJ3" s="120"/>
      <c r="WPK3" s="120"/>
      <c r="WPL3" s="120"/>
      <c r="WPM3" s="120"/>
      <c r="WPN3" s="120"/>
      <c r="WPO3" s="120"/>
      <c r="WPP3" s="120"/>
      <c r="WPQ3" s="120"/>
      <c r="WPR3" s="120"/>
      <c r="WPS3" s="120"/>
      <c r="WPT3" s="120"/>
      <c r="WPU3" s="120"/>
      <c r="WPV3" s="120"/>
      <c r="WPW3" s="120"/>
      <c r="WPX3" s="120"/>
      <c r="WPY3" s="120"/>
      <c r="WPZ3" s="120"/>
      <c r="WQA3" s="120"/>
      <c r="WQB3" s="120"/>
      <c r="WQC3" s="120"/>
      <c r="WQD3" s="120"/>
      <c r="WQE3" s="120"/>
      <c r="WQF3" s="120"/>
      <c r="WQG3" s="120"/>
      <c r="WQH3" s="120"/>
      <c r="WQI3" s="120"/>
      <c r="WQJ3" s="120"/>
      <c r="WQK3" s="120"/>
      <c r="WQL3" s="120"/>
      <c r="WQM3" s="120"/>
      <c r="WQN3" s="120"/>
      <c r="WQO3" s="120"/>
      <c r="WQP3" s="120"/>
      <c r="WQQ3" s="120"/>
      <c r="WQR3" s="120"/>
      <c r="WQS3" s="120"/>
      <c r="WQT3" s="120"/>
      <c r="WQU3" s="120"/>
      <c r="WQV3" s="120"/>
      <c r="WQW3" s="120"/>
      <c r="WQX3" s="120"/>
      <c r="WQY3" s="120"/>
      <c r="WQZ3" s="120"/>
      <c r="WRA3" s="120"/>
      <c r="WRB3" s="120"/>
      <c r="WRC3" s="120"/>
      <c r="WRD3" s="120"/>
      <c r="WRE3" s="120"/>
      <c r="WRF3" s="120"/>
      <c r="WRG3" s="120"/>
      <c r="WRH3" s="120"/>
      <c r="WRI3" s="120"/>
      <c r="WRJ3" s="120"/>
      <c r="WRK3" s="120"/>
      <c r="WRL3" s="120"/>
      <c r="WRM3" s="120"/>
      <c r="WRN3" s="120"/>
      <c r="WRO3" s="120"/>
      <c r="WRP3" s="120"/>
      <c r="WRQ3" s="120"/>
      <c r="WRR3" s="120"/>
      <c r="WRS3" s="120"/>
      <c r="WRT3" s="120"/>
      <c r="WRU3" s="120"/>
      <c r="WRV3" s="120"/>
      <c r="WRW3" s="120"/>
      <c r="WRX3" s="120"/>
      <c r="WRY3" s="120"/>
      <c r="WRZ3" s="120"/>
      <c r="WSA3" s="120"/>
      <c r="WSB3" s="120"/>
      <c r="WSC3" s="120"/>
      <c r="WSD3" s="120"/>
      <c r="WSE3" s="120"/>
      <c r="WSF3" s="120"/>
      <c r="WSG3" s="120"/>
      <c r="WSH3" s="120"/>
      <c r="WSI3" s="120"/>
      <c r="WSJ3" s="120"/>
      <c r="WSK3" s="120"/>
      <c r="WSL3" s="120"/>
      <c r="WSM3" s="120"/>
      <c r="WSN3" s="120"/>
      <c r="WSO3" s="120"/>
      <c r="WSP3" s="120"/>
      <c r="WSQ3" s="120"/>
      <c r="WSR3" s="120"/>
      <c r="WSS3" s="120"/>
      <c r="WST3" s="120"/>
      <c r="WSU3" s="120"/>
      <c r="WSV3" s="120"/>
      <c r="WSW3" s="120"/>
      <c r="WSX3" s="120"/>
      <c r="WSY3" s="120"/>
      <c r="WSZ3" s="120"/>
      <c r="WTA3" s="120"/>
      <c r="WTB3" s="120"/>
      <c r="WTC3" s="120"/>
      <c r="WTD3" s="120"/>
      <c r="WTE3" s="120"/>
      <c r="WTF3" s="120"/>
      <c r="WTG3" s="120"/>
      <c r="WTH3" s="120"/>
      <c r="WTI3" s="120"/>
      <c r="WTJ3" s="120"/>
      <c r="WTK3" s="120"/>
      <c r="WTL3" s="120"/>
      <c r="WTM3" s="120"/>
      <c r="WTN3" s="120"/>
      <c r="WTO3" s="120"/>
      <c r="WTP3" s="120"/>
      <c r="WTQ3" s="120"/>
      <c r="WTR3" s="120"/>
      <c r="WTS3" s="120"/>
      <c r="WTT3" s="120"/>
      <c r="WTU3" s="120"/>
      <c r="WTV3" s="120"/>
      <c r="WTW3" s="120"/>
      <c r="WTX3" s="120"/>
      <c r="WTY3" s="120"/>
      <c r="WTZ3" s="120"/>
      <c r="WUA3" s="120"/>
      <c r="WUB3" s="120"/>
      <c r="WUC3" s="120"/>
      <c r="WUD3" s="120"/>
      <c r="WUE3" s="120"/>
      <c r="WUF3" s="120"/>
      <c r="WUG3" s="120"/>
      <c r="WUH3" s="120"/>
      <c r="WUI3" s="120"/>
      <c r="WUJ3" s="120"/>
      <c r="WUK3" s="120"/>
      <c r="WUL3" s="120"/>
      <c r="WUM3" s="120"/>
      <c r="WUN3" s="120"/>
      <c r="WUO3" s="120"/>
      <c r="WUP3" s="120"/>
      <c r="WUQ3" s="120"/>
      <c r="WUR3" s="120"/>
      <c r="WUS3" s="120"/>
      <c r="WUT3" s="120"/>
      <c r="WUU3" s="120"/>
      <c r="WUV3" s="120"/>
      <c r="WUW3" s="120"/>
      <c r="WUX3" s="120"/>
      <c r="WUY3" s="120"/>
      <c r="WUZ3" s="120"/>
      <c r="WVA3" s="120"/>
      <c r="WVB3" s="120"/>
      <c r="WVC3" s="120"/>
      <c r="WVD3" s="120"/>
      <c r="WVE3" s="120"/>
      <c r="WVF3" s="120"/>
      <c r="WVG3" s="120"/>
      <c r="WVH3" s="120"/>
      <c r="WVI3" s="120"/>
      <c r="WVJ3" s="120"/>
      <c r="WVK3" s="120"/>
      <c r="WVL3" s="120"/>
      <c r="WVM3" s="120"/>
      <c r="WVN3" s="120"/>
      <c r="WVO3" s="120"/>
      <c r="WVP3" s="120"/>
      <c r="WVQ3" s="120"/>
      <c r="WVR3" s="120"/>
      <c r="WVS3" s="120"/>
      <c r="WVT3" s="120"/>
      <c r="WVU3" s="120"/>
      <c r="WVV3" s="120"/>
      <c r="WVW3" s="120"/>
      <c r="WVX3" s="120"/>
      <c r="WVY3" s="120"/>
      <c r="WVZ3" s="120"/>
      <c r="WWA3" s="120"/>
      <c r="WWB3" s="120"/>
      <c r="WWC3" s="120"/>
      <c r="WWD3" s="120"/>
      <c r="WWE3" s="120"/>
      <c r="WWF3" s="120"/>
      <c r="WWG3" s="120"/>
      <c r="WWH3" s="120"/>
      <c r="WWI3" s="120"/>
      <c r="WWJ3" s="120"/>
      <c r="WWK3" s="120"/>
      <c r="WWL3" s="120"/>
      <c r="WWM3" s="120"/>
      <c r="WWN3" s="120"/>
      <c r="WWO3" s="120"/>
      <c r="WWP3" s="120"/>
      <c r="WWQ3" s="120"/>
      <c r="WWR3" s="120"/>
      <c r="WWS3" s="120"/>
      <c r="WWT3" s="120"/>
      <c r="WWU3" s="120"/>
      <c r="WWV3" s="120"/>
      <c r="WWW3" s="120"/>
      <c r="WWX3" s="120"/>
      <c r="WWY3" s="120"/>
      <c r="WWZ3" s="120"/>
      <c r="WXA3" s="120"/>
      <c r="WXB3" s="120"/>
      <c r="WXC3" s="120"/>
      <c r="WXD3" s="120"/>
      <c r="WXE3" s="120"/>
      <c r="WXF3" s="120"/>
      <c r="WXG3" s="120"/>
      <c r="WXH3" s="120"/>
      <c r="WXI3" s="120"/>
      <c r="WXJ3" s="120"/>
      <c r="WXK3" s="120"/>
      <c r="WXL3" s="120"/>
      <c r="WXM3" s="120"/>
      <c r="WXN3" s="120"/>
      <c r="WXO3" s="120"/>
      <c r="WXP3" s="120"/>
      <c r="WXQ3" s="120"/>
      <c r="WXR3" s="120"/>
      <c r="WXS3" s="120"/>
      <c r="WXT3" s="120"/>
      <c r="WXU3" s="120"/>
      <c r="WXV3" s="120"/>
      <c r="WXW3" s="120"/>
      <c r="WXX3" s="120"/>
      <c r="WXY3" s="120"/>
      <c r="WXZ3" s="120"/>
      <c r="WYA3" s="120"/>
      <c r="WYB3" s="120"/>
      <c r="WYC3" s="120"/>
      <c r="WYD3" s="120"/>
      <c r="WYE3" s="120"/>
      <c r="WYF3" s="120"/>
      <c r="WYG3" s="120"/>
      <c r="WYH3" s="120"/>
      <c r="WYI3" s="120"/>
      <c r="WYJ3" s="120"/>
      <c r="WYK3" s="120"/>
      <c r="WYL3" s="120"/>
      <c r="WYM3" s="120"/>
      <c r="WYN3" s="120"/>
      <c r="WYO3" s="120"/>
      <c r="WYP3" s="120"/>
      <c r="WYQ3" s="120"/>
      <c r="WYR3" s="120"/>
      <c r="WYS3" s="120"/>
      <c r="WYT3" s="120"/>
      <c r="WYU3" s="120"/>
      <c r="WYV3" s="120"/>
      <c r="WYW3" s="120"/>
      <c r="WYX3" s="120"/>
      <c r="WYY3" s="120"/>
      <c r="WYZ3" s="120"/>
      <c r="WZA3" s="120"/>
      <c r="WZB3" s="120"/>
      <c r="WZC3" s="120"/>
      <c r="WZD3" s="120"/>
      <c r="WZE3" s="120"/>
      <c r="WZF3" s="120"/>
      <c r="WZG3" s="120"/>
      <c r="WZH3" s="120"/>
      <c r="WZI3" s="120"/>
      <c r="WZJ3" s="120"/>
      <c r="WZK3" s="120"/>
      <c r="WZL3" s="120"/>
      <c r="WZM3" s="120"/>
      <c r="WZN3" s="120"/>
      <c r="WZO3" s="120"/>
      <c r="WZP3" s="120"/>
      <c r="WZQ3" s="120"/>
      <c r="WZR3" s="120"/>
      <c r="WZS3" s="120"/>
      <c r="WZT3" s="120"/>
      <c r="WZU3" s="120"/>
      <c r="WZV3" s="120"/>
      <c r="WZW3" s="120"/>
      <c r="WZX3" s="120"/>
      <c r="WZY3" s="120"/>
      <c r="WZZ3" s="120"/>
      <c r="XAA3" s="120"/>
      <c r="XAB3" s="120"/>
      <c r="XAC3" s="120"/>
      <c r="XAD3" s="120"/>
      <c r="XAE3" s="120"/>
      <c r="XAF3" s="120"/>
      <c r="XAG3" s="120"/>
      <c r="XAH3" s="120"/>
      <c r="XAI3" s="120"/>
      <c r="XAJ3" s="120"/>
      <c r="XAK3" s="120"/>
      <c r="XAL3" s="120"/>
      <c r="XAM3" s="120"/>
      <c r="XAN3" s="120"/>
      <c r="XAO3" s="120"/>
      <c r="XAP3" s="120"/>
      <c r="XAQ3" s="120"/>
      <c r="XAR3" s="120"/>
      <c r="XAS3" s="120"/>
      <c r="XAT3" s="120"/>
      <c r="XAU3" s="120"/>
      <c r="XAV3" s="120"/>
      <c r="XAW3" s="120"/>
      <c r="XAX3" s="120"/>
      <c r="XAY3" s="120"/>
      <c r="XAZ3" s="120"/>
      <c r="XBA3" s="120"/>
      <c r="XBB3" s="120"/>
      <c r="XBC3" s="120"/>
      <c r="XBD3" s="120"/>
      <c r="XBE3" s="120"/>
      <c r="XBF3" s="120"/>
      <c r="XBG3" s="120"/>
      <c r="XBH3" s="120"/>
      <c r="XBI3" s="120"/>
      <c r="XBJ3" s="120"/>
      <c r="XBK3" s="120"/>
      <c r="XBL3" s="120"/>
      <c r="XBM3" s="120"/>
      <c r="XBN3" s="120"/>
      <c r="XBO3" s="120"/>
      <c r="XBP3" s="120"/>
      <c r="XBQ3" s="120"/>
      <c r="XBR3" s="120"/>
      <c r="XBS3" s="120"/>
      <c r="XBT3" s="120"/>
      <c r="XBU3" s="120"/>
      <c r="XBV3" s="120"/>
      <c r="XBW3" s="120"/>
      <c r="XBX3" s="120"/>
      <c r="XBY3" s="120"/>
      <c r="XBZ3" s="120"/>
      <c r="XCA3" s="120"/>
      <c r="XCB3" s="120"/>
      <c r="XCC3" s="120"/>
      <c r="XCD3" s="120"/>
      <c r="XCE3" s="120"/>
      <c r="XCF3" s="120"/>
      <c r="XCG3" s="120"/>
      <c r="XCH3" s="120"/>
      <c r="XCI3" s="120"/>
      <c r="XCJ3" s="120"/>
      <c r="XCK3" s="120"/>
      <c r="XCL3" s="120"/>
      <c r="XCM3" s="120"/>
      <c r="XCN3" s="120"/>
      <c r="XCO3" s="120"/>
      <c r="XCP3" s="120"/>
      <c r="XCQ3" s="120"/>
      <c r="XCR3" s="120"/>
      <c r="XCS3" s="120"/>
      <c r="XCT3" s="120"/>
      <c r="XCU3" s="120"/>
      <c r="XCV3" s="120"/>
      <c r="XCW3" s="120"/>
      <c r="XCX3" s="120"/>
      <c r="XCY3" s="120"/>
      <c r="XCZ3" s="120"/>
      <c r="XDA3" s="120"/>
      <c r="XDB3" s="120"/>
      <c r="XDC3" s="120"/>
      <c r="XDD3" s="120"/>
      <c r="XDE3" s="120"/>
      <c r="XDF3" s="120"/>
      <c r="XDG3" s="120"/>
      <c r="XDH3" s="120"/>
      <c r="XDI3" s="120"/>
      <c r="XDJ3" s="120"/>
      <c r="XDK3" s="120"/>
      <c r="XDL3" s="120"/>
      <c r="XDM3" s="120"/>
      <c r="XDN3" s="120"/>
      <c r="XDO3" s="120"/>
      <c r="XDP3" s="120"/>
      <c r="XDQ3" s="120"/>
      <c r="XDR3" s="120"/>
      <c r="XDS3" s="120"/>
      <c r="XDT3" s="120"/>
      <c r="XDU3" s="120"/>
      <c r="XDV3" s="120"/>
      <c r="XDW3" s="120"/>
      <c r="XDX3" s="120"/>
      <c r="XDY3" s="120"/>
      <c r="XDZ3" s="120"/>
      <c r="XEA3" s="120"/>
      <c r="XEB3" s="120"/>
      <c r="XEC3" s="120"/>
      <c r="XED3" s="120"/>
      <c r="XEE3" s="120"/>
      <c r="XEF3" s="120"/>
      <c r="XEG3" s="120"/>
      <c r="XEH3" s="120"/>
      <c r="XEI3" s="120"/>
      <c r="XEJ3" s="120"/>
      <c r="XEK3" s="120"/>
      <c r="XEL3" s="120"/>
      <c r="XEM3" s="120"/>
      <c r="XEN3" s="120"/>
      <c r="XEO3" s="120"/>
      <c r="XEP3" s="120"/>
      <c r="XEQ3" s="120"/>
      <c r="XER3" s="120"/>
      <c r="XES3" s="120"/>
      <c r="XET3" s="120"/>
      <c r="XEU3" s="120"/>
      <c r="XEV3" s="120"/>
      <c r="XEW3" s="120"/>
      <c r="XEX3" s="120"/>
      <c r="XEY3" s="120"/>
      <c r="XEZ3" s="120"/>
      <c r="XFA3" s="120"/>
      <c r="XFB3" s="120"/>
      <c r="XFC3" s="120"/>
      <c r="XFD3" s="120"/>
    </row>
    <row r="4" spans="1:16384" ht="13.5" customHeight="1">
      <c r="D4" s="8"/>
      <c r="E4" s="9"/>
      <c r="F4" s="9"/>
      <c r="G4" s="9"/>
      <c r="H4" s="9"/>
      <c r="I4" s="10"/>
      <c r="J4" s="10"/>
      <c r="K4" s="10"/>
      <c r="L4" s="10"/>
      <c r="M4" s="10"/>
      <c r="N4" s="10"/>
      <c r="O4" s="10"/>
      <c r="P4" s="10"/>
      <c r="Q4" s="10"/>
    </row>
    <row r="5" spans="1:16384" ht="38.25" customHeight="1">
      <c r="C5" s="181" t="s">
        <v>22</v>
      </c>
      <c r="D5" s="181"/>
      <c r="E5" s="181"/>
      <c r="F5" s="181"/>
      <c r="G5" s="181"/>
      <c r="H5"/>
    </row>
    <row r="6" spans="1:16384">
      <c r="E6"/>
      <c r="F6"/>
    </row>
    <row r="11" spans="1:16384">
      <c r="H11"/>
    </row>
    <row r="15" spans="1:16384">
      <c r="H15"/>
    </row>
    <row r="21" spans="3:6">
      <c r="C21"/>
      <c r="D21"/>
      <c r="E21"/>
      <c r="F21"/>
    </row>
    <row r="22" spans="3:6">
      <c r="E22"/>
      <c r="F22"/>
    </row>
  </sheetData>
  <mergeCells count="6">
    <mergeCell ref="K1:L1"/>
    <mergeCell ref="C5:G5"/>
    <mergeCell ref="C1:D1"/>
    <mergeCell ref="E1:F1"/>
    <mergeCell ref="G1:H1"/>
    <mergeCell ref="I1:J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14</vt:i4>
      </vt:variant>
    </vt:vector>
  </HeadingPairs>
  <TitlesOfParts>
    <vt:vector size="14" baseType="lpstr">
      <vt:lpstr>CAD_PROD</vt:lpstr>
      <vt:lpstr>CAD_CUST</vt:lpstr>
      <vt:lpstr>PE_GERAL</vt:lpstr>
      <vt:lpstr>PE_PROD</vt:lpstr>
      <vt:lpstr>ANA_CONC</vt:lpstr>
      <vt:lpstr>TOP_PROD</vt:lpstr>
      <vt:lpstr>TOP_CUST</vt:lpstr>
      <vt:lpstr>TOP_CONC</vt:lpstr>
      <vt:lpstr>DASHBOARD_GERAL</vt:lpstr>
      <vt:lpstr>DASHBOARD_PROD</vt:lpstr>
      <vt:lpstr>INI</vt:lpstr>
      <vt:lpstr>DUV</vt:lpstr>
      <vt:lpstr>SUG</vt:lpstr>
      <vt:lpstr>LUZ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Bruno</cp:lastModifiedBy>
  <cp:lastPrinted>2017-08-09T23:03:49Z</cp:lastPrinted>
  <dcterms:created xsi:type="dcterms:W3CDTF">2017-07-25T18:13:49Z</dcterms:created>
  <dcterms:modified xsi:type="dcterms:W3CDTF">2020-08-25T13:47:26Z</dcterms:modified>
</cp:coreProperties>
</file>