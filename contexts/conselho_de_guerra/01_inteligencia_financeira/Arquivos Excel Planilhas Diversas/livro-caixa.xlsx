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o.STIQFEPAR\Desktop\FOLHA 03.2019\"/>
    </mc:Choice>
  </mc:AlternateContent>
  <xr:revisionPtr revIDLastSave="0" documentId="8_{75E519C4-4C8F-864B-8153-4A31FFE948A3}" xr6:coauthVersionLast="43" xr6:coauthVersionMax="43" xr10:uidLastSave="{00000000-0000-0000-0000-000000000000}"/>
  <bookViews>
    <workbookView xWindow="-120" yWindow="-120" windowWidth="29040" windowHeight="15840" tabRatio="0" firstSheet="15" activeTab="15" xr2:uid="{00000000-000D-0000-FFFF-FFFF00000000}"/>
  </bookViews>
  <sheets>
    <sheet name="TA" sheetId="1" r:id="rId1"/>
    <sheet name="Jan" sheetId="2" r:id="rId2"/>
    <sheet name="Fev" sheetId="3" r:id="rId3"/>
    <sheet name="Mar" sheetId="4" r:id="rId4"/>
    <sheet name="Abr" sheetId="5" r:id="rId5"/>
    <sheet name="Mai" sheetId="6" r:id="rId6"/>
    <sheet name="Jun" sheetId="7" r:id="rId7"/>
    <sheet name="Jul" sheetId="8" r:id="rId8"/>
    <sheet name="Ago" sheetId="9" r:id="rId9"/>
    <sheet name="Set" sheetId="10" r:id="rId10"/>
    <sheet name="Out" sheetId="11" r:id="rId11"/>
    <sheet name="Nov" sheetId="12" r:id="rId12"/>
    <sheet name="Dez" sheetId="13" r:id="rId13"/>
    <sheet name="TE" sheetId="14" r:id="rId14"/>
    <sheet name="BF" sheetId="15" r:id="rId15"/>
    <sheet name="FC" sheetId="16" r:id="rId16"/>
  </sheets>
  <definedNames>
    <definedName name="_xlnm._FilterDatabase" localSheetId="4" hidden="1">Abr!$C$7:$H$7</definedName>
    <definedName name="_xlnm._FilterDatabase" localSheetId="8" hidden="1">Ago!$C$7:$H$7</definedName>
    <definedName name="_xlnm._FilterDatabase" localSheetId="14" hidden="1">BF!$C$8:$H$8</definedName>
    <definedName name="_xlnm._FilterDatabase" localSheetId="12" hidden="1">Dez!$C$7:$H$7</definedName>
    <definedName name="_xlnm._FilterDatabase" localSheetId="15" hidden="1">FC!$C$4:$H$4</definedName>
    <definedName name="_xlnm._FilterDatabase" localSheetId="2" hidden="1">Fev!$C$7:$H$7</definedName>
    <definedName name="_xlnm._FilterDatabase" localSheetId="1" hidden="1">Jan!$C$7:$H$7</definedName>
    <definedName name="_xlnm._FilterDatabase" localSheetId="7" hidden="1">Jul!$C$7:$H$7</definedName>
    <definedName name="_xlnm._FilterDatabase" localSheetId="6" hidden="1">Jun!$C$7:$H$7</definedName>
    <definedName name="_xlnm._FilterDatabase" localSheetId="5" hidden="1">Mai!$C$7:$H$7</definedName>
    <definedName name="_xlnm._FilterDatabase" localSheetId="3" hidden="1">Mar!$C$7:$H$7</definedName>
    <definedName name="_xlnm._FilterDatabase" localSheetId="11" hidden="1">Nov!$C$7:$H$7</definedName>
    <definedName name="_xlnm._FilterDatabase" localSheetId="10" hidden="1">Out!$C$7:$H$7</definedName>
    <definedName name="_xlnm._FilterDatabase" localSheetId="9" hidden="1">Set!$C$7:$H$7</definedName>
    <definedName name="_xlnm.Print_Area" localSheetId="4">Abr!$C$4:$H$607</definedName>
    <definedName name="_xlnm.Print_Area" localSheetId="8">Ago!$C$4:$H$607</definedName>
    <definedName name="_xlnm.Print_Area" localSheetId="14">BF!$C$3:$F$16</definedName>
    <definedName name="_xlnm.Print_Area" localSheetId="12">Dez!$C$4:$H$607</definedName>
    <definedName name="_xlnm.Print_Area" localSheetId="15">FC!$C$4:$P$20</definedName>
    <definedName name="_xlnm.Print_Area" localSheetId="2">Fev!$C$4:$H$607</definedName>
    <definedName name="_xlnm.Print_Area" localSheetId="1">Jan!$C$4:$H$607</definedName>
    <definedName name="_xlnm.Print_Area" localSheetId="7">Jul!$C$4:$H$607</definedName>
    <definedName name="_xlnm.Print_Area" localSheetId="6">Jun!$C$4:$H$607</definedName>
    <definedName name="_xlnm.Print_Area" localSheetId="5">Mai!$C$4:$H$607</definedName>
    <definedName name="_xlnm.Print_Area" localSheetId="3">Mar!$C$4:$H$607</definedName>
    <definedName name="_xlnm.Print_Area" localSheetId="11">Nov!$C$4:$H$607</definedName>
    <definedName name="_xlnm.Print_Area" localSheetId="10">Out!$C$4:$H$607</definedName>
    <definedName name="_xlnm.Print_Area" localSheetId="9">Set!$C$4:$H$607</definedName>
    <definedName name="_xlnm.Print_Area" localSheetId="0">TA!$C$4:$J$21</definedName>
    <definedName name="_xlnm.Print_Area" localSheetId="13">TE!$C$4:$J$21</definedName>
    <definedName name="_xlnm.Print_Titles" localSheetId="4">Abr!$7:$7</definedName>
    <definedName name="_xlnm.Print_Titles" localSheetId="8">Ago!$7:$7</definedName>
    <definedName name="_xlnm.Print_Titles" localSheetId="14">BF!$8:$8</definedName>
    <definedName name="_xlnm.Print_Titles" localSheetId="12">Dez!$7:$7</definedName>
    <definedName name="_xlnm.Print_Titles" localSheetId="15">FC!$4:$4</definedName>
    <definedName name="_xlnm.Print_Titles" localSheetId="2">Fev!$7:$7</definedName>
    <definedName name="_xlnm.Print_Titles" localSheetId="1">Jan!$7:$7</definedName>
    <definedName name="_xlnm.Print_Titles" localSheetId="7">Jul!$7:$7</definedName>
    <definedName name="_xlnm.Print_Titles" localSheetId="6">Jun!$7:$7</definedName>
    <definedName name="_xlnm.Print_Titles" localSheetId="5">Mai!$7:$7</definedName>
    <definedName name="_xlnm.Print_Titles" localSheetId="3">Mar!$7:$7</definedName>
    <definedName name="_xlnm.Print_Titles" localSheetId="11">Nov!$7:$7</definedName>
    <definedName name="_xlnm.Print_Titles" localSheetId="10">Out!$7:$7</definedName>
    <definedName name="_xlnm.Print_Titles" localSheetId="9">Set!$7:$7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4" l="1"/>
  <c r="D5" i="16"/>
  <c r="D6" i="16"/>
  <c r="D7" i="16"/>
  <c r="E6" i="16"/>
  <c r="E8" i="16"/>
  <c r="E7" i="16"/>
  <c r="F6" i="16"/>
  <c r="F7" i="16"/>
  <c r="G6" i="16"/>
  <c r="G7" i="16"/>
  <c r="H6" i="16"/>
  <c r="H7" i="16"/>
  <c r="I6" i="16"/>
  <c r="I7" i="16"/>
  <c r="I8" i="16"/>
  <c r="J6" i="16"/>
  <c r="J8" i="16"/>
  <c r="J7" i="16"/>
  <c r="K6" i="16"/>
  <c r="K8" i="16"/>
  <c r="K7" i="16"/>
  <c r="L6" i="16"/>
  <c r="L7" i="16"/>
  <c r="L8" i="16"/>
  <c r="M6" i="16"/>
  <c r="M7" i="16"/>
  <c r="M8" i="16"/>
  <c r="N6" i="16"/>
  <c r="N8" i="16"/>
  <c r="N7" i="16"/>
  <c r="O6" i="16"/>
  <c r="O8" i="16"/>
  <c r="O7" i="16"/>
  <c r="D10" i="15"/>
  <c r="D5" i="15"/>
  <c r="D4" i="15"/>
  <c r="H19" i="14"/>
  <c r="D19" i="14"/>
  <c r="D16" i="14"/>
  <c r="F14" i="14"/>
  <c r="I13" i="14"/>
  <c r="I12" i="14"/>
  <c r="E12" i="14"/>
  <c r="I11" i="14"/>
  <c r="E11" i="14"/>
  <c r="I10" i="14"/>
  <c r="E10" i="14"/>
  <c r="I9" i="14"/>
  <c r="E9" i="14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5" i="2"/>
  <c r="F4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5" i="3"/>
  <c r="F4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5" i="4"/>
  <c r="F4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5" i="5"/>
  <c r="F4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5" i="6"/>
  <c r="F4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5" i="7"/>
  <c r="F4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5" i="8"/>
  <c r="F4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5" i="9"/>
  <c r="F4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5" i="10"/>
  <c r="F4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5" i="11"/>
  <c r="F4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5" i="12"/>
  <c r="F4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5" i="13"/>
  <c r="G5" i="13"/>
  <c r="F5" i="13"/>
  <c r="D5" i="13"/>
  <c r="D4" i="13"/>
  <c r="G5" i="12"/>
  <c r="F5" i="12"/>
  <c r="D5" i="12"/>
  <c r="D4" i="12"/>
  <c r="G5" i="11"/>
  <c r="F5" i="11"/>
  <c r="D5" i="11"/>
  <c r="D4" i="11"/>
  <c r="G5" i="10"/>
  <c r="F5" i="10"/>
  <c r="D5" i="10"/>
  <c r="D4" i="10"/>
  <c r="G5" i="9"/>
  <c r="F5" i="9"/>
  <c r="D5" i="9"/>
  <c r="D4" i="9"/>
  <c r="G5" i="8"/>
  <c r="F5" i="8"/>
  <c r="D5" i="8"/>
  <c r="D4" i="8"/>
  <c r="G5" i="7"/>
  <c r="F5" i="7"/>
  <c r="D5" i="7"/>
  <c r="D4" i="7"/>
  <c r="G5" i="6"/>
  <c r="F5" i="6"/>
  <c r="D5" i="6"/>
  <c r="D4" i="6"/>
  <c r="G5" i="5"/>
  <c r="F5" i="5"/>
  <c r="D5" i="5"/>
  <c r="D4" i="5"/>
  <c r="G5" i="4"/>
  <c r="F5" i="4"/>
  <c r="D5" i="4"/>
  <c r="D4" i="4"/>
  <c r="G5" i="3"/>
  <c r="F5" i="3"/>
  <c r="D5" i="3"/>
  <c r="D4" i="3"/>
  <c r="G5" i="2"/>
  <c r="F5" i="2"/>
  <c r="D5" i="2"/>
  <c r="D4" i="2"/>
  <c r="G8" i="16"/>
  <c r="P7" i="16"/>
  <c r="F10" i="15"/>
  <c r="H8" i="16"/>
  <c r="F8" i="16"/>
  <c r="D8" i="16"/>
  <c r="D9" i="16"/>
  <c r="E5" i="16"/>
  <c r="E9" i="16"/>
  <c r="F5" i="16"/>
  <c r="F9" i="16"/>
  <c r="G5" i="16"/>
  <c r="G9" i="16"/>
  <c r="H5" i="16"/>
  <c r="H9" i="16"/>
  <c r="I5" i="16"/>
  <c r="I9" i="16"/>
  <c r="J5" i="16"/>
  <c r="J9" i="16"/>
  <c r="K5" i="16"/>
  <c r="K9" i="16"/>
  <c r="L5" i="16"/>
  <c r="L9" i="16"/>
  <c r="M5" i="16"/>
  <c r="M9" i="16"/>
  <c r="N5" i="16"/>
  <c r="N9" i="16"/>
  <c r="O5" i="16"/>
  <c r="P6" i="16"/>
  <c r="P8" i="16"/>
  <c r="D11" i="15"/>
  <c r="D13" i="15"/>
  <c r="O9" i="16"/>
  <c r="P9" i="16"/>
  <c r="F11" i="15"/>
  <c r="F13" i="15"/>
  <c r="P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Adicione aqui o saldo anterior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<sst xmlns="http://schemas.openxmlformats.org/spreadsheetml/2006/main" count="204" uniqueCount="67">
  <si>
    <t>LIVRO CAIXA</t>
  </si>
  <si>
    <t>TERMO DE ABERTURA</t>
  </si>
  <si>
    <t>(Lei nº 8.541/92, Art. 18, I)</t>
  </si>
  <si>
    <t>Contém este livro 14 páginas, numeradas de 1 a 14 e servirá de diário para o lançamento dos pagamentos e recebimentos do contribuinte abaixo identificado:</t>
  </si>
  <si>
    <t>Razão Social:</t>
  </si>
  <si>
    <t>Com registro no(a):</t>
  </si>
  <si>
    <t>Endereço:</t>
  </si>
  <si>
    <t>Número:</t>
  </si>
  <si>
    <t>Município:</t>
  </si>
  <si>
    <t>Estado:</t>
  </si>
  <si>
    <t>Sob número:</t>
  </si>
  <si>
    <t>CNPJ / MF:</t>
  </si>
  <si>
    <t>Inscrição Estadual:</t>
  </si>
  <si>
    <t>Inscrição Municipal:</t>
  </si>
  <si>
    <t>Na Prefeitura Municipal de:</t>
  </si>
  <si>
    <t>Contribuinte</t>
  </si>
  <si>
    <t>Saldo Anterior</t>
  </si>
  <si>
    <t>Saldo a Transportar</t>
  </si>
  <si>
    <t>CPF / CNPJ</t>
  </si>
  <si>
    <t>Totais (Entradas / Saídas)</t>
  </si>
  <si>
    <t>Data</t>
  </si>
  <si>
    <t>Histórico</t>
  </si>
  <si>
    <t>Complemento</t>
  </si>
  <si>
    <t>Entrada</t>
  </si>
  <si>
    <t>Saída</t>
  </si>
  <si>
    <t>Saldo</t>
  </si>
  <si>
    <t>TERMO DE ENCERRAMENTO</t>
  </si>
  <si>
    <t xml:space="preserve">Último lançamento efetuado em: </t>
  </si>
  <si>
    <t>Contém este livro (x) páginas, numeradas de 1 a x e servirá de diário para o lançamento dos pagamentos e recebimentos do contribuinte abaixo identificado:</t>
  </si>
  <si>
    <t>Empresa</t>
  </si>
  <si>
    <t>CNPJ</t>
  </si>
  <si>
    <t>Exercício</t>
  </si>
  <si>
    <t>Débitos</t>
  </si>
  <si>
    <t>Créditos</t>
  </si>
  <si>
    <t>Saldo Inicial</t>
  </si>
  <si>
    <t>Saídas de Caixa</t>
  </si>
  <si>
    <t>Entradas de Caixa</t>
  </si>
  <si>
    <t>Saldo Final</t>
  </si>
  <si>
    <t>Total Geral</t>
  </si>
  <si>
    <t>Emitido em:</t>
  </si>
  <si>
    <t>Assinatura Cont.</t>
  </si>
  <si>
    <t>Fluxo de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</si>
  <si>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</si>
  <si>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</si>
  <si>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</si>
  <si>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</si>
  <si>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</si>
  <si>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</si>
  <si>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</si>
  <si>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</si>
  <si>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</si>
  <si>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</si>
  <si>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</si>
  <si>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</si>
  <si>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</si>
  <si>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Entradas</t>
  </si>
  <si>
    <t>Saídas</t>
  </si>
  <si>
    <t>Saldo do Caixa</t>
  </si>
  <si>
    <t>Acumulado</t>
  </si>
  <si>
    <t>São Paulo</t>
  </si>
  <si>
    <t>SP</t>
  </si>
  <si>
    <t>Alice e Alice Contábil Ltda</t>
  </si>
  <si>
    <t>54.211.346/0001-68</t>
  </si>
  <si>
    <t>São Paulo, 01 de Janeiro, 2018</t>
  </si>
  <si>
    <t>Rodovia Comendador Pedro Monteleone</t>
  </si>
  <si>
    <t xml:space="preserve">ALICE FERREIRA DA CRUZ </t>
  </si>
  <si>
    <t>CRC-PR nº:  046948/O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</si>
</sst>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66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1919"/>
        <bgColor indexed="64"/>
      </patternFill>
    </fill>
    <fill>
      <patternFill patternType="solid">
        <fgColor rgb="FF0562C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ashDotDot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rgb="FF0562C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 applyProtection="1">
      <alignment horizontal="left" vertical="center" indent="1"/>
      <protection locked="0"/>
    </xf>
    <xf numFmtId="0" fontId="2" fillId="0" borderId="1" xfId="0" applyFont="1" applyBorder="1"/>
    <xf numFmtId="0" fontId="2" fillId="3" borderId="4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indent="1"/>
    </xf>
    <xf numFmtId="164" fontId="2" fillId="3" borderId="4" xfId="0" applyNumberFormat="1" applyFont="1" applyFill="1" applyBorder="1" applyAlignment="1">
      <alignment horizontal="left" indent="1"/>
    </xf>
    <xf numFmtId="164" fontId="2" fillId="3" borderId="7" xfId="0" applyNumberFormat="1" applyFont="1" applyFill="1" applyBorder="1" applyAlignment="1">
      <alignment vertical="center"/>
    </xf>
    <xf numFmtId="164" fontId="2" fillId="3" borderId="9" xfId="0" applyNumberFormat="1" applyFont="1" applyFill="1" applyBorder="1" applyAlignment="1">
      <alignment horizontal="left" vertical="center" indent="1"/>
    </xf>
    <xf numFmtId="164" fontId="2" fillId="3" borderId="4" xfId="0" applyNumberFormat="1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8" fillId="0" borderId="0" xfId="0" applyFont="1" applyAlignment="1">
      <alignment vertical="center"/>
    </xf>
    <xf numFmtId="164" fontId="4" fillId="4" borderId="6" xfId="0" applyNumberFormat="1" applyFont="1" applyFill="1" applyBorder="1" applyAlignment="1">
      <alignment horizontal="left" vertical="center" indent="1"/>
    </xf>
    <xf numFmtId="165" fontId="9" fillId="3" borderId="4" xfId="0" applyNumberFormat="1" applyFont="1" applyFill="1" applyBorder="1" applyAlignment="1">
      <alignment horizontal="left" vertical="center" indent="1"/>
    </xf>
    <xf numFmtId="0" fontId="3" fillId="4" borderId="10" xfId="0" applyFont="1" applyFill="1" applyBorder="1" applyAlignment="1">
      <alignment horizontal="left" vertical="center" wrapText="1" indent="1"/>
    </xf>
    <xf numFmtId="14" fontId="2" fillId="5" borderId="9" xfId="0" applyNumberFormat="1" applyFont="1" applyFill="1" applyBorder="1" applyAlignment="1" applyProtection="1">
      <alignment horizontal="left" vertical="center" indent="1"/>
      <protection locked="0"/>
    </xf>
    <xf numFmtId="0" fontId="2" fillId="5" borderId="9" xfId="0" applyFont="1" applyFill="1" applyBorder="1" applyAlignment="1" applyProtection="1">
      <alignment horizontal="left" vertical="center" indent="1"/>
      <protection locked="0"/>
    </xf>
    <xf numFmtId="164" fontId="2" fillId="5" borderId="9" xfId="0" applyNumberFormat="1" applyFont="1" applyFill="1" applyBorder="1" applyAlignment="1" applyProtection="1">
      <alignment horizontal="left" vertical="center" indent="1"/>
      <protection locked="0"/>
    </xf>
    <xf numFmtId="14" fontId="2" fillId="5" borderId="4" xfId="0" applyNumberFormat="1" applyFont="1" applyFill="1" applyBorder="1" applyAlignment="1" applyProtection="1">
      <alignment horizontal="left" vertical="center" indent="1"/>
      <protection locked="0"/>
    </xf>
    <xf numFmtId="0" fontId="2" fillId="5" borderId="4" xfId="0" applyFont="1" applyFill="1" applyBorder="1" applyAlignment="1" applyProtection="1">
      <alignment horizontal="left" vertical="center" indent="1"/>
      <protection locked="0"/>
    </xf>
    <xf numFmtId="164" fontId="4" fillId="6" borderId="4" xfId="0" applyNumberFormat="1" applyFont="1" applyFill="1" applyBorder="1" applyAlignment="1">
      <alignment horizontal="left" vertical="center" indent="1"/>
    </xf>
    <xf numFmtId="0" fontId="3" fillId="6" borderId="10" xfId="0" applyFont="1" applyFill="1" applyBorder="1" applyAlignment="1">
      <alignment horizontal="left" vertical="center" wrapText="1" indent="1"/>
    </xf>
    <xf numFmtId="0" fontId="1" fillId="5" borderId="9" xfId="0" applyFont="1" applyFill="1" applyBorder="1" applyAlignment="1" applyProtection="1">
      <alignment horizontal="left" vertical="center" indent="1"/>
      <protection locked="0"/>
    </xf>
    <xf numFmtId="0" fontId="1" fillId="0" borderId="1" xfId="0" applyFont="1" applyBorder="1" applyAlignment="1" applyProtection="1">
      <alignment horizontal="left" vertical="center" indent="1"/>
      <protection locked="0"/>
    </xf>
    <xf numFmtId="3" fontId="1" fillId="0" borderId="1" xfId="0" applyNumberFormat="1" applyFont="1" applyBorder="1" applyAlignment="1" applyProtection="1">
      <alignment horizontal="left" vertical="center" indent="1"/>
      <protection locked="0"/>
    </xf>
    <xf numFmtId="0" fontId="4" fillId="5" borderId="0" xfId="0" applyFont="1" applyFill="1"/>
    <xf numFmtId="0" fontId="2" fillId="5" borderId="0" xfId="0" applyFont="1" applyFill="1"/>
    <xf numFmtId="0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 indent="1"/>
    </xf>
    <xf numFmtId="0" fontId="3" fillId="7" borderId="6" xfId="0" applyFont="1" applyFill="1" applyBorder="1" applyAlignment="1">
      <alignment horizontal="left" vertical="center" wrapText="1" indent="1"/>
    </xf>
    <xf numFmtId="0" fontId="3" fillId="7" borderId="5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3" fillId="2" borderId="15" xfId="0" applyFont="1" applyFill="1" applyBorder="1" applyAlignment="1">
      <alignment horizontal="left" vertical="center" wrapText="1" indent="1"/>
    </xf>
    <xf numFmtId="0" fontId="3" fillId="7" borderId="8" xfId="0" applyFont="1" applyFill="1" applyBorder="1" applyAlignment="1">
      <alignment horizontal="left" vertical="center" wrapText="1" indent="1"/>
    </xf>
    <xf numFmtId="0" fontId="2" fillId="7" borderId="16" xfId="0" applyFont="1" applyFill="1" applyBorder="1" applyProtection="1">
      <protection locked="0"/>
    </xf>
    <xf numFmtId="0" fontId="2" fillId="7" borderId="16" xfId="0" applyFont="1" applyFill="1" applyBorder="1"/>
    <xf numFmtId="0" fontId="2" fillId="7" borderId="16" xfId="0" applyFont="1" applyFill="1" applyBorder="1" applyAlignment="1">
      <alignment horizontal="right" indent="1"/>
    </xf>
    <xf numFmtId="0" fontId="4" fillId="5" borderId="16" xfId="0" applyFont="1" applyFill="1" applyBorder="1"/>
    <xf numFmtId="0" fontId="1" fillId="0" borderId="1" xfId="0" applyFont="1" applyBorder="1" applyAlignment="1" applyProtection="1">
      <alignment horizontal="left" vertical="center" indent="1"/>
      <protection locked="0"/>
    </xf>
    <xf numFmtId="0" fontId="2" fillId="0" borderId="1" xfId="0" applyFont="1" applyBorder="1" applyAlignment="1" applyProtection="1">
      <alignment horizontal="left" vertical="center" inden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left" vertical="center" wrapText="1" indent="1"/>
      <protection locked="0"/>
    </xf>
    <xf numFmtId="0" fontId="2" fillId="0" borderId="0" xfId="0" applyFont="1" applyAlignment="1" applyProtection="1">
      <alignment horizontal="left" vertical="center" wrapText="1" inden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 indent="1"/>
    </xf>
    <xf numFmtId="0" fontId="1" fillId="0" borderId="0" xfId="0" applyFont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left" vertical="center" inden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2" fillId="5" borderId="4" xfId="0" applyNumberFormat="1" applyFont="1" applyFill="1" applyBorder="1" applyAlignment="1" applyProtection="1">
      <alignment horizontal="left" vertical="center" indent="1"/>
      <protection locked="0"/>
    </xf>
    <xf numFmtId="164" fontId="2" fillId="3" borderId="4" xfId="0" applyNumberFormat="1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left" vertical="center" indent="1"/>
      <protection locked="0"/>
    </xf>
    <xf numFmtId="0" fontId="2" fillId="0" borderId="12" xfId="0" applyFont="1" applyBorder="1" applyAlignment="1" applyProtection="1">
      <alignment horizontal="left" vertical="center" indent="1"/>
      <protection locked="0"/>
    </xf>
    <xf numFmtId="0" fontId="2" fillId="0" borderId="13" xfId="0" applyFont="1" applyBorder="1" applyAlignment="1" applyProtection="1">
      <alignment horizontal="left" vertical="center" indent="1"/>
      <protection locked="0"/>
    </xf>
    <xf numFmtId="0" fontId="2" fillId="3" borderId="11" xfId="0" applyFont="1" applyFill="1" applyBorder="1" applyAlignment="1">
      <alignment horizontal="left" vertical="center" indent="1"/>
    </xf>
    <xf numFmtId="0" fontId="2" fillId="3" borderId="12" xfId="0" applyFont="1" applyFill="1" applyBorder="1" applyAlignment="1">
      <alignment horizontal="left" vertical="center" indent="1"/>
    </xf>
    <xf numFmtId="0" fontId="2" fillId="3" borderId="13" xfId="0" applyFont="1" applyFill="1" applyBorder="1" applyAlignment="1">
      <alignment horizontal="left" vertical="center" inden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 applyProtection="1">
      <alignment horizontal="left" vertical="center" indent="1"/>
      <protection locked="0"/>
    </xf>
  </cellXfs>
  <cellStyles count="2">
    <cellStyle name="Hiperlink" xfId="1" builtinId="8"/>
    <cellStyle name="Normal" xfId="0" builtinId="0"/>
  </cellStyles>
  <dxfs count="28"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</dxfs>
  <tableStyles count="0" defaultTableStyle="TableStyleMedium2" defaultPivotStyle="PivotStyleLight16"/>
  <colors>
    <mruColors>
      <color rgb="FFF01919"/>
      <color rgb="FF0562C1"/>
      <color rgb="FF6699CC"/>
      <color rgb="FF55B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52068415722801E-2"/>
          <c:y val="8.06781939905932E-2"/>
          <c:w val="0.67292121526605697"/>
          <c:h val="0.828120369324389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F-486F-8785-43D5DD704EF3}"/>
              </c:ext>
            </c:extLst>
          </c:dPt>
          <c:dPt>
            <c:idx val="1"/>
            <c:bubble3D val="0"/>
            <c:spPr>
              <a:solidFill>
                <a:srgbClr val="F0191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F-486F-8785-43D5DD704E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FC!$C$6:$C$7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FC!$P$6:$P$7</c:f>
              <c:numCache>
                <c:formatCode>"R$"\ 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F-486F-8785-43D5DD70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FC!$C$6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FC!$D$6:$O$6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F-44A9-99FF-484BDF6560B3}"/>
            </c:ext>
          </c:extLst>
        </c:ser>
        <c:ser>
          <c:idx val="1"/>
          <c:order val="1"/>
          <c:tx>
            <c:strRef>
              <c:f>FC!$C$7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F01919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FC!$D$7:$O$7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4420752"/>
        <c:axId val="2134424368"/>
      </c:barChart>
      <c:lineChart>
        <c:grouping val="standard"/>
        <c:varyColors val="0"/>
        <c:ser>
          <c:idx val="2"/>
          <c:order val="2"/>
          <c:tx>
            <c:strRef>
              <c:f>FC!$C$8</c:f>
              <c:strCache>
                <c:ptCount val="1"/>
                <c:pt idx="0">
                  <c:v>Saldo do Caixa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FC!$D$8:$O$8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20752"/>
        <c:axId val="2134424368"/>
      </c:lineChart>
      <c:catAx>
        <c:axId val="21344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424368"/>
        <c:crosses val="autoZero"/>
        <c:auto val="1"/>
        <c:lblAlgn val="ctr"/>
        <c:lblOffset val="100"/>
        <c:noMultiLvlLbl val="0"/>
      </c:catAx>
      <c:valAx>
        <c:axId val="213442436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1344207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E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4" Type="http://schemas.openxmlformats.org/officeDocument/2006/relationships/hyperlink" Target="#BF!A1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go!A1" /><Relationship Id="rId13" Type="http://schemas.openxmlformats.org/officeDocument/2006/relationships/hyperlink" Target="#TA!A1" /><Relationship Id="rId3" Type="http://schemas.openxmlformats.org/officeDocument/2006/relationships/hyperlink" Target="#Mar!A1" /><Relationship Id="rId7" Type="http://schemas.openxmlformats.org/officeDocument/2006/relationships/hyperlink" Target="#Jul!A1" /><Relationship Id="rId12" Type="http://schemas.openxmlformats.org/officeDocument/2006/relationships/hyperlink" Target="#Dez!A1" /><Relationship Id="rId2" Type="http://schemas.openxmlformats.org/officeDocument/2006/relationships/hyperlink" Target="#Fev!A1" /><Relationship Id="rId1" Type="http://schemas.openxmlformats.org/officeDocument/2006/relationships/hyperlink" Target="#Jan!A1" /><Relationship Id="rId6" Type="http://schemas.openxmlformats.org/officeDocument/2006/relationships/hyperlink" Target="#Jun!A1" /><Relationship Id="rId11" Type="http://schemas.openxmlformats.org/officeDocument/2006/relationships/hyperlink" Target="#Nov!A1" /><Relationship Id="rId5" Type="http://schemas.openxmlformats.org/officeDocument/2006/relationships/hyperlink" Target="#Mai!A1" /><Relationship Id="rId15" Type="http://schemas.openxmlformats.org/officeDocument/2006/relationships/hyperlink" Target="#BF!A1" /><Relationship Id="rId10" Type="http://schemas.openxmlformats.org/officeDocument/2006/relationships/hyperlink" Target="#Out!A1" /><Relationship Id="rId4" Type="http://schemas.openxmlformats.org/officeDocument/2006/relationships/hyperlink" Target="#Abr!A1" /><Relationship Id="rId9" Type="http://schemas.openxmlformats.org/officeDocument/2006/relationships/hyperlink" Target="#Set!A1" /><Relationship Id="rId14" Type="http://schemas.openxmlformats.org/officeDocument/2006/relationships/hyperlink" Target="#TE!A1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Jan!A1" /><Relationship Id="rId2" Type="http://schemas.openxmlformats.org/officeDocument/2006/relationships/hyperlink" Target="#TA!A1" /><Relationship Id="rId1" Type="http://schemas.openxmlformats.org/officeDocument/2006/relationships/hyperlink" Target="#TE!A1" /><Relationship Id="rId4" Type="http://schemas.openxmlformats.org/officeDocument/2006/relationships/hyperlink" Target="#BF!A1" 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FC!A1" /><Relationship Id="rId2" Type="http://schemas.openxmlformats.org/officeDocument/2006/relationships/hyperlink" Target="#BF!A1" /><Relationship Id="rId1" Type="http://schemas.openxmlformats.org/officeDocument/2006/relationships/chart" Target="../charts/chart1.xml" /><Relationship Id="rId6" Type="http://schemas.openxmlformats.org/officeDocument/2006/relationships/hyperlink" Target="#TE!A1" /><Relationship Id="rId5" Type="http://schemas.openxmlformats.org/officeDocument/2006/relationships/hyperlink" Target="#Jan!A1" /><Relationship Id="rId4" Type="http://schemas.openxmlformats.org/officeDocument/2006/relationships/hyperlink" Target="#TA!A1" 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FC!A1" /><Relationship Id="rId2" Type="http://schemas.openxmlformats.org/officeDocument/2006/relationships/hyperlink" Target="#BF!A1" /><Relationship Id="rId1" Type="http://schemas.openxmlformats.org/officeDocument/2006/relationships/chart" Target="../charts/chart2.xml" /><Relationship Id="rId6" Type="http://schemas.openxmlformats.org/officeDocument/2006/relationships/hyperlink" Target="#TE!A1" /><Relationship Id="rId5" Type="http://schemas.openxmlformats.org/officeDocument/2006/relationships/hyperlink" Target="#Jan!A1" /><Relationship Id="rId4" Type="http://schemas.openxmlformats.org/officeDocument/2006/relationships/hyperlink" Target="#TA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550339</xdr:colOff>
      <xdr:row>1</xdr:row>
      <xdr:rowOff>84667</xdr:rowOff>
    </xdr:from>
    <xdr:to>
      <xdr:col>5</xdr:col>
      <xdr:colOff>370418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6522E-4852-4353-B8E2-9E66AFA2CD6E}"/>
            </a:ext>
          </a:extLst>
        </xdr:cNvPr>
        <xdr:cNvSpPr/>
      </xdr:nvSpPr>
      <xdr:spPr>
        <a:xfrm>
          <a:off x="1093264" y="579967"/>
          <a:ext cx="1620304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INÍCIO DO PERÍODO</a:t>
          </a: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DBA3E-B8BF-49BF-8DFE-AC451581B8DE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710BF-009D-4476-9E6F-F51D8FDF4F32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3D38F2-C52F-4CBE-B7F0-2162600696A0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14126C-F085-400D-A0E2-578881223CBE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</xdr:row>
      <xdr:rowOff>95250</xdr:rowOff>
    </xdr:from>
    <xdr:to>
      <xdr:col>3</xdr:col>
      <xdr:colOff>645579</xdr:colOff>
      <xdr:row>2</xdr:row>
      <xdr:rowOff>7214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5C065-CB37-4A6D-8006-8EDAF530E523}"/>
            </a:ext>
          </a:extLst>
        </xdr:cNvPr>
        <xdr:cNvSpPr/>
      </xdr:nvSpPr>
      <xdr:spPr>
        <a:xfrm>
          <a:off x="1418167" y="592667"/>
          <a:ext cx="645579" cy="292964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93130</xdr:rowOff>
    </xdr:from>
    <xdr:to>
      <xdr:col>3</xdr:col>
      <xdr:colOff>1295397</xdr:colOff>
      <xdr:row>2</xdr:row>
      <xdr:rowOff>11447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B060B9-C7CA-4AE5-B7E4-D521F39B9C41}"/>
            </a:ext>
          </a:extLst>
        </xdr:cNvPr>
        <xdr:cNvSpPr/>
      </xdr:nvSpPr>
      <xdr:spPr>
        <a:xfrm>
          <a:off x="2067985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93130</xdr:rowOff>
    </xdr:from>
    <xdr:to>
      <xdr:col>3</xdr:col>
      <xdr:colOff>1940980</xdr:colOff>
      <xdr:row>2</xdr:row>
      <xdr:rowOff>11447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8AA6A4-454B-4500-9490-055FD81D8460}"/>
            </a:ext>
          </a:extLst>
        </xdr:cNvPr>
        <xdr:cNvSpPr/>
      </xdr:nvSpPr>
      <xdr:spPr>
        <a:xfrm>
          <a:off x="2713568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97363</xdr:rowOff>
    </xdr:from>
    <xdr:to>
      <xdr:col>3</xdr:col>
      <xdr:colOff>2580215</xdr:colOff>
      <xdr:row>2</xdr:row>
      <xdr:rowOff>15680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69C28A-85CF-4190-83DC-AAB41F50014E}"/>
            </a:ext>
          </a:extLst>
        </xdr:cNvPr>
        <xdr:cNvSpPr/>
      </xdr:nvSpPr>
      <xdr:spPr>
        <a:xfrm>
          <a:off x="3352803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97364</xdr:rowOff>
    </xdr:from>
    <xdr:to>
      <xdr:col>3</xdr:col>
      <xdr:colOff>3225798</xdr:colOff>
      <xdr:row>2</xdr:row>
      <xdr:rowOff>15681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75932A-5D14-4FFF-AE3F-79F5863ADFF4}"/>
            </a:ext>
          </a:extLst>
        </xdr:cNvPr>
        <xdr:cNvSpPr/>
      </xdr:nvSpPr>
      <xdr:spPr>
        <a:xfrm>
          <a:off x="3998386" y="5947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91014</xdr:rowOff>
    </xdr:from>
    <xdr:to>
      <xdr:col>4</xdr:col>
      <xdr:colOff>2116</xdr:colOff>
      <xdr:row>2</xdr:row>
      <xdr:rowOff>9331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61BE34-3F42-4B12-8212-E688187880EA}"/>
            </a:ext>
          </a:extLst>
        </xdr:cNvPr>
        <xdr:cNvSpPr/>
      </xdr:nvSpPr>
      <xdr:spPr>
        <a:xfrm>
          <a:off x="4648204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93130</xdr:rowOff>
    </xdr:from>
    <xdr:to>
      <xdr:col>4</xdr:col>
      <xdr:colOff>649816</xdr:colOff>
      <xdr:row>2</xdr:row>
      <xdr:rowOff>11447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65769B-CFDE-4517-B811-3236C2CB9F84}"/>
            </a:ext>
          </a:extLst>
        </xdr:cNvPr>
        <xdr:cNvSpPr/>
      </xdr:nvSpPr>
      <xdr:spPr>
        <a:xfrm>
          <a:off x="5295904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97363</xdr:rowOff>
    </xdr:from>
    <xdr:to>
      <xdr:col>4</xdr:col>
      <xdr:colOff>1289051</xdr:colOff>
      <xdr:row>2</xdr:row>
      <xdr:rowOff>15680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EA6EF7-ADCC-4D4D-985B-D574A12ED480}"/>
            </a:ext>
          </a:extLst>
        </xdr:cNvPr>
        <xdr:cNvSpPr/>
      </xdr:nvSpPr>
      <xdr:spPr>
        <a:xfrm>
          <a:off x="5935139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97363</xdr:rowOff>
    </xdr:from>
    <xdr:to>
      <xdr:col>4</xdr:col>
      <xdr:colOff>1934634</xdr:colOff>
      <xdr:row>2</xdr:row>
      <xdr:rowOff>15680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B3BEE4-87FF-4ADE-BBCB-4DF921BA992A}"/>
            </a:ext>
          </a:extLst>
        </xdr:cNvPr>
        <xdr:cNvSpPr/>
      </xdr:nvSpPr>
      <xdr:spPr>
        <a:xfrm>
          <a:off x="6580722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91013</xdr:rowOff>
    </xdr:from>
    <xdr:to>
      <xdr:col>4</xdr:col>
      <xdr:colOff>2573869</xdr:colOff>
      <xdr:row>2</xdr:row>
      <xdr:rowOff>9330</xdr:rowOff>
    </xdr:to>
    <xdr:sp macro="" textlink="">
      <xdr:nvSpPr>
        <xdr:cNvPr id="11" name="Retângul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1CED2C-DAF8-4F5A-BA23-6539E3D81520}"/>
            </a:ext>
          </a:extLst>
        </xdr:cNvPr>
        <xdr:cNvSpPr/>
      </xdr:nvSpPr>
      <xdr:spPr>
        <a:xfrm>
          <a:off x="7230540" y="588430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91014</xdr:rowOff>
    </xdr:from>
    <xdr:to>
      <xdr:col>4</xdr:col>
      <xdr:colOff>3219452</xdr:colOff>
      <xdr:row>2</xdr:row>
      <xdr:rowOff>9331</xdr:rowOff>
    </xdr:to>
    <xdr:sp macro="" textlink="">
      <xdr:nvSpPr>
        <xdr:cNvPr id="12" name="Retângul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E47B97-D6E9-41C9-9AE7-0FAD01780A56}"/>
            </a:ext>
          </a:extLst>
        </xdr:cNvPr>
        <xdr:cNvSpPr/>
      </xdr:nvSpPr>
      <xdr:spPr>
        <a:xfrm>
          <a:off x="7865540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95247</xdr:rowOff>
    </xdr:from>
    <xdr:to>
      <xdr:col>5</xdr:col>
      <xdr:colOff>620188</xdr:colOff>
      <xdr:row>2</xdr:row>
      <xdr:rowOff>13564</xdr:rowOff>
    </xdr:to>
    <xdr:sp macro="" textlink="">
      <xdr:nvSpPr>
        <xdr:cNvPr id="13" name="Retângul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FD9323-D6B4-4AD8-AB7A-B9F0BF35BE3D}"/>
            </a:ext>
          </a:extLst>
        </xdr:cNvPr>
        <xdr:cNvSpPr/>
      </xdr:nvSpPr>
      <xdr:spPr>
        <a:xfrm>
          <a:off x="8504775" y="59266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2EDC258-A504-4C24-BE22-1486C08114EC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249C9-4F82-46BB-9DE0-489ED71CA701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266C18F-3F79-4A41-9A1D-428AE48933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010535B-0374-4A66-813F-2A77C5D45F94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1A4B8-BB0E-4BC4-873B-D406CDAA8103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81E7F5-D4FF-4EEB-ACD3-02A533B13877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78586D-A69C-42F1-8098-137F61F36B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8CEC9C-C916-4224-8D18-B38B81368F8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196485-5F0C-4060-974C-9D41AFB45428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00D285-3801-465D-8D38-1CF79C99113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B80EA8-9298-4D05-953E-7B959A9F663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182249-C10B-4DA3-A950-F2F6C1412C3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F3E26BA-6038-495E-A40E-CF61099207C7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637F321-D016-4D02-B631-E5BA9134707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BBB5B5-5CA4-44A2-B970-BCA126DF1DAA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E78371-9F68-455C-8B0C-63078FBA346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44F0317-415B-4C44-B8EC-579D3AC44FCF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FB6A6E-1BD3-490F-A247-52EE8ED3E3B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62BDEA-811B-4D41-AC37-FBC4770D913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214EB17-059A-432B-8DBF-D2C43FF40E2A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891E7-04CF-4F5B-9EE1-2CA10A319605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203CF-EB1F-4479-9C2D-B268BC0BEBB9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4ED966-0873-462C-A1E8-E521871649DC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217235-0511-4750-BF55-0E8E6829D52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84664</xdr:rowOff>
    </xdr:from>
    <xdr:to>
      <xdr:col>3</xdr:col>
      <xdr:colOff>645579</xdr:colOff>
      <xdr:row>2</xdr:row>
      <xdr:rowOff>2981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5AE75F-E854-4890-9C33-1C991D0C8436}"/>
            </a:ext>
          </a:extLst>
        </xdr:cNvPr>
        <xdr:cNvSpPr/>
      </xdr:nvSpPr>
      <xdr:spPr>
        <a:xfrm>
          <a:off x="1418167" y="5820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88897</xdr:rowOff>
    </xdr:from>
    <xdr:to>
      <xdr:col>3</xdr:col>
      <xdr:colOff>1295397</xdr:colOff>
      <xdr:row>2</xdr:row>
      <xdr:rowOff>7214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0F737D-B47F-430C-B2B8-C1F6CBC89903}"/>
            </a:ext>
          </a:extLst>
        </xdr:cNvPr>
        <xdr:cNvSpPr/>
      </xdr:nvSpPr>
      <xdr:spPr>
        <a:xfrm>
          <a:off x="2067985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88897</xdr:rowOff>
    </xdr:from>
    <xdr:to>
      <xdr:col>3</xdr:col>
      <xdr:colOff>1940980</xdr:colOff>
      <xdr:row>2</xdr:row>
      <xdr:rowOff>7214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CF3248-0712-4B0B-B67B-BB96410DFB3B}"/>
            </a:ext>
          </a:extLst>
        </xdr:cNvPr>
        <xdr:cNvSpPr/>
      </xdr:nvSpPr>
      <xdr:spPr>
        <a:xfrm>
          <a:off x="2713568" y="58631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93130</xdr:rowOff>
    </xdr:from>
    <xdr:to>
      <xdr:col>3</xdr:col>
      <xdr:colOff>2580215</xdr:colOff>
      <xdr:row>2</xdr:row>
      <xdr:rowOff>11447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C0705F-6878-4D89-A481-4E25FFDAA30E}"/>
            </a:ext>
          </a:extLst>
        </xdr:cNvPr>
        <xdr:cNvSpPr/>
      </xdr:nvSpPr>
      <xdr:spPr>
        <a:xfrm>
          <a:off x="3352803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93131</xdr:rowOff>
    </xdr:from>
    <xdr:to>
      <xdr:col>3</xdr:col>
      <xdr:colOff>3225798</xdr:colOff>
      <xdr:row>2</xdr:row>
      <xdr:rowOff>11448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5A9F21-4912-49A6-A0DE-FB18B5E48B25}"/>
            </a:ext>
          </a:extLst>
        </xdr:cNvPr>
        <xdr:cNvSpPr/>
      </xdr:nvSpPr>
      <xdr:spPr>
        <a:xfrm>
          <a:off x="3998386" y="59054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86781</xdr:rowOff>
    </xdr:from>
    <xdr:to>
      <xdr:col>4</xdr:col>
      <xdr:colOff>2116</xdr:colOff>
      <xdr:row>2</xdr:row>
      <xdr:rowOff>5098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4C7F0A-3412-46FF-9A44-4CFEA1B110C6}"/>
            </a:ext>
          </a:extLst>
        </xdr:cNvPr>
        <xdr:cNvSpPr/>
      </xdr:nvSpPr>
      <xdr:spPr>
        <a:xfrm>
          <a:off x="46482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88897</xdr:rowOff>
    </xdr:from>
    <xdr:to>
      <xdr:col>4</xdr:col>
      <xdr:colOff>649816</xdr:colOff>
      <xdr:row>2</xdr:row>
      <xdr:rowOff>7214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302EDF-0623-46BE-9B60-37322BB4EC51}"/>
            </a:ext>
          </a:extLst>
        </xdr:cNvPr>
        <xdr:cNvSpPr/>
      </xdr:nvSpPr>
      <xdr:spPr>
        <a:xfrm>
          <a:off x="5295904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93130</xdr:rowOff>
    </xdr:from>
    <xdr:to>
      <xdr:col>4</xdr:col>
      <xdr:colOff>1289051</xdr:colOff>
      <xdr:row>2</xdr:row>
      <xdr:rowOff>11447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78AAD8-93E8-4EAD-BECF-F45B673EEBCF}"/>
            </a:ext>
          </a:extLst>
        </xdr:cNvPr>
        <xdr:cNvSpPr/>
      </xdr:nvSpPr>
      <xdr:spPr>
        <a:xfrm>
          <a:off x="5935139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93130</xdr:rowOff>
    </xdr:from>
    <xdr:to>
      <xdr:col>4</xdr:col>
      <xdr:colOff>1934634</xdr:colOff>
      <xdr:row>2</xdr:row>
      <xdr:rowOff>11447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8C47B09-AE68-469D-A5EE-2608B6FFB68D}"/>
            </a:ext>
          </a:extLst>
        </xdr:cNvPr>
        <xdr:cNvSpPr/>
      </xdr:nvSpPr>
      <xdr:spPr>
        <a:xfrm>
          <a:off x="6580722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86780</xdr:rowOff>
    </xdr:from>
    <xdr:to>
      <xdr:col>4</xdr:col>
      <xdr:colOff>2573869</xdr:colOff>
      <xdr:row>2</xdr:row>
      <xdr:rowOff>5097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4B2792B-73B0-4117-9AE4-6732678A6C83}"/>
            </a:ext>
          </a:extLst>
        </xdr:cNvPr>
        <xdr:cNvSpPr/>
      </xdr:nvSpPr>
      <xdr:spPr>
        <a:xfrm>
          <a:off x="7230540" y="584197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86781</xdr:rowOff>
    </xdr:from>
    <xdr:to>
      <xdr:col>4</xdr:col>
      <xdr:colOff>3219452</xdr:colOff>
      <xdr:row>2</xdr:row>
      <xdr:rowOff>5098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54D585D-6990-440E-ACE6-356571A05E1A}"/>
            </a:ext>
          </a:extLst>
        </xdr:cNvPr>
        <xdr:cNvSpPr/>
      </xdr:nvSpPr>
      <xdr:spPr>
        <a:xfrm>
          <a:off x="7865540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91014</xdr:rowOff>
    </xdr:from>
    <xdr:to>
      <xdr:col>5</xdr:col>
      <xdr:colOff>620188</xdr:colOff>
      <xdr:row>2</xdr:row>
      <xdr:rowOff>9331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CF354AC-72C7-4281-B5C1-48246EC10894}"/>
            </a:ext>
          </a:extLst>
        </xdr:cNvPr>
        <xdr:cNvSpPr/>
      </xdr:nvSpPr>
      <xdr:spPr>
        <a:xfrm>
          <a:off x="8504775" y="58843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9F103-7329-45A6-AB9E-506D6B0E9DA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52DE43-6273-4EF9-A901-1AE23618B95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36B76-BF93-4183-899C-CE1EA23637FA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11A50A-FCC0-4969-BAA6-C19955CBF921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88904</xdr:rowOff>
    </xdr:from>
    <xdr:to>
      <xdr:col>3</xdr:col>
      <xdr:colOff>645579</xdr:colOff>
      <xdr:row>2</xdr:row>
      <xdr:rowOff>868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38839C-E47D-4B40-935D-BAEF0AB7FFFD}"/>
            </a:ext>
          </a:extLst>
        </xdr:cNvPr>
        <xdr:cNvSpPr/>
      </xdr:nvSpPr>
      <xdr:spPr>
        <a:xfrm>
          <a:off x="1418167" y="586321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86784</xdr:rowOff>
    </xdr:from>
    <xdr:to>
      <xdr:col>3</xdr:col>
      <xdr:colOff>1295397</xdr:colOff>
      <xdr:row>2</xdr:row>
      <xdr:rowOff>5101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A482A4-C362-4B25-9283-E5230CF535CE}"/>
            </a:ext>
          </a:extLst>
        </xdr:cNvPr>
        <xdr:cNvSpPr/>
      </xdr:nvSpPr>
      <xdr:spPr>
        <a:xfrm>
          <a:off x="2067985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86784</xdr:rowOff>
    </xdr:from>
    <xdr:to>
      <xdr:col>3</xdr:col>
      <xdr:colOff>1940980</xdr:colOff>
      <xdr:row>2</xdr:row>
      <xdr:rowOff>5101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D7C01F-09F5-45B5-BB24-80FB42DFAFD9}"/>
            </a:ext>
          </a:extLst>
        </xdr:cNvPr>
        <xdr:cNvSpPr/>
      </xdr:nvSpPr>
      <xdr:spPr>
        <a:xfrm>
          <a:off x="2713568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91017</xdr:rowOff>
    </xdr:from>
    <xdr:to>
      <xdr:col>3</xdr:col>
      <xdr:colOff>2580215</xdr:colOff>
      <xdr:row>2</xdr:row>
      <xdr:rowOff>9334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22AB08-9C05-40C1-ABEB-9E25392FE509}"/>
            </a:ext>
          </a:extLst>
        </xdr:cNvPr>
        <xdr:cNvSpPr/>
      </xdr:nvSpPr>
      <xdr:spPr>
        <a:xfrm>
          <a:off x="3352803" y="58843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91018</xdr:rowOff>
    </xdr:from>
    <xdr:to>
      <xdr:col>3</xdr:col>
      <xdr:colOff>3225798</xdr:colOff>
      <xdr:row>2</xdr:row>
      <xdr:rowOff>9335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E8C461-F509-4BDC-9828-D6771FAAB783}"/>
            </a:ext>
          </a:extLst>
        </xdr:cNvPr>
        <xdr:cNvSpPr/>
      </xdr:nvSpPr>
      <xdr:spPr>
        <a:xfrm>
          <a:off x="3998386" y="58843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84668</xdr:rowOff>
    </xdr:from>
    <xdr:to>
      <xdr:col>4</xdr:col>
      <xdr:colOff>2116</xdr:colOff>
      <xdr:row>2</xdr:row>
      <xdr:rowOff>2985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672A6D-EC50-4864-9D4B-C55DF8F215CD}"/>
            </a:ext>
          </a:extLst>
        </xdr:cNvPr>
        <xdr:cNvSpPr/>
      </xdr:nvSpPr>
      <xdr:spPr>
        <a:xfrm>
          <a:off x="4648204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86784</xdr:rowOff>
    </xdr:from>
    <xdr:to>
      <xdr:col>4</xdr:col>
      <xdr:colOff>649816</xdr:colOff>
      <xdr:row>2</xdr:row>
      <xdr:rowOff>5101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88B999-DF50-4687-B1AC-1551DF2D8C9C}"/>
            </a:ext>
          </a:extLst>
        </xdr:cNvPr>
        <xdr:cNvSpPr/>
      </xdr:nvSpPr>
      <xdr:spPr>
        <a:xfrm>
          <a:off x="5295904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91017</xdr:rowOff>
    </xdr:from>
    <xdr:to>
      <xdr:col>4</xdr:col>
      <xdr:colOff>1289051</xdr:colOff>
      <xdr:row>2</xdr:row>
      <xdr:rowOff>9334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3CA7C7-E8AF-4D14-8F1F-8D0B51BFA06A}"/>
            </a:ext>
          </a:extLst>
        </xdr:cNvPr>
        <xdr:cNvSpPr/>
      </xdr:nvSpPr>
      <xdr:spPr>
        <a:xfrm>
          <a:off x="5935139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91017</xdr:rowOff>
    </xdr:from>
    <xdr:to>
      <xdr:col>4</xdr:col>
      <xdr:colOff>1934634</xdr:colOff>
      <xdr:row>2</xdr:row>
      <xdr:rowOff>9334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4E7073-6F5D-4A58-9B3A-24A363110EB9}"/>
            </a:ext>
          </a:extLst>
        </xdr:cNvPr>
        <xdr:cNvSpPr/>
      </xdr:nvSpPr>
      <xdr:spPr>
        <a:xfrm>
          <a:off x="6580722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84667</xdr:rowOff>
    </xdr:from>
    <xdr:to>
      <xdr:col>4</xdr:col>
      <xdr:colOff>2573869</xdr:colOff>
      <xdr:row>2</xdr:row>
      <xdr:rowOff>2984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E56F24C-2167-4B33-8E6E-417F087CE4E7}"/>
            </a:ext>
          </a:extLst>
        </xdr:cNvPr>
        <xdr:cNvSpPr/>
      </xdr:nvSpPr>
      <xdr:spPr>
        <a:xfrm>
          <a:off x="7230540" y="58208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84668</xdr:rowOff>
    </xdr:from>
    <xdr:to>
      <xdr:col>4</xdr:col>
      <xdr:colOff>3219452</xdr:colOff>
      <xdr:row>2</xdr:row>
      <xdr:rowOff>2985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7BB3C3E-4C2D-47CA-BFAF-D0F4DC3E347D}"/>
            </a:ext>
          </a:extLst>
        </xdr:cNvPr>
        <xdr:cNvSpPr/>
      </xdr:nvSpPr>
      <xdr:spPr>
        <a:xfrm>
          <a:off x="7865540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88901</xdr:rowOff>
    </xdr:from>
    <xdr:to>
      <xdr:col>5</xdr:col>
      <xdr:colOff>620188</xdr:colOff>
      <xdr:row>2</xdr:row>
      <xdr:rowOff>7218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BB31442-C0AD-4CC2-9952-B546F3DA3004}"/>
            </a:ext>
          </a:extLst>
        </xdr:cNvPr>
        <xdr:cNvSpPr/>
      </xdr:nvSpPr>
      <xdr:spPr>
        <a:xfrm>
          <a:off x="8504775" y="586318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E2E46-1121-4002-8342-161C92A03B1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88E725-99AC-463F-8F59-C9B54377518E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A65E7F-4D80-44EC-8A48-051BA0550691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3C74B0-963A-45C1-9418-1E7EAADA1BCA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F870B-D377-4A29-8016-243B9D4D2BB7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1B3641-3951-45B6-95BF-FD8189C5E1FC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34232E-8E91-45ED-917B-838AB21ED389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D5163B-D57D-44CF-B959-22C401E8A98F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54F07D-E6E6-4218-95DE-E3132E3E4B78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0158A4-4B1E-4B1C-8387-7C55F39F64BF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3653C9F-F1A9-4E55-B25E-B51C3322E3B8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8C0E96-8302-40A1-AE5F-C008F3D9F486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43EC4F-A38E-4E81-8A2A-51A91D97521C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60116E-9604-42DF-9551-427D58B60488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2FB66D-255D-454B-8EF5-A383F29BBD78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77EF281-03C7-45DD-BC57-7FE8B60EEE63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6E9EC-D9D1-4F08-8C09-5A1922BAC9D0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D14A0-1C7C-4754-A786-FBCCF26A21D2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720002-50CE-43E4-888F-4EEF2EBDF592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1F80EB-9088-4030-A77D-0B83FE19ACD9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24C475-D502-43C2-BFC6-D2DEFA287EF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370BFF-DF26-4F81-B887-D06B7A70335E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DFE177-1ABC-438E-B8C5-5B1DB24D0F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64ECD4-C428-4999-9527-F0CFC8CEEFB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FE4D22-E7C8-438E-8874-B7CDFE0FED5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BE5DEF-EF3C-4387-943A-8DF3886F0CE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F64A55E-DABE-4B76-9454-9F800C31098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0950A43-566D-4D7E-B70B-2090A0C8646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59730C-6C4D-439C-8BF5-4410704304C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3418ED-2B23-47CD-8E3F-19A59F7C3BAA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E99F9F9-C53E-4BC9-819C-03654280C01F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3C101D-0037-4E57-9DBE-BC9FFF6C6DF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05B34-9C1E-46C3-B805-5D3C02C5254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58D70D-DCDF-4026-8808-4BDA58E34243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6475F2-95E6-4108-BC1B-DC92B9D7A4D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D81681-574C-439D-9695-54E94F6FFF8C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89C8A4-2F94-4113-95D6-D4D98C59EA3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1F628A-C9F9-4F71-B8F0-355DCDA7D6BD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90F80E-9867-4448-88EE-7E5EEC7EDEE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3FF658-DE42-4C11-AB5C-F6C9CA7CEEC7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9F941A-9815-4808-8720-B2EF47F4DB5D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25E8F3-5E95-45C7-B233-D2EAC8C8BA2D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AACECA-121B-4E38-B48C-10304B608B99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6A2F81-F3EB-4BBE-97BD-D93BFFAD83A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E6AE90-1890-466A-96F1-E14D3B31C55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332502-12BA-4948-B812-E03CDD458B51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9184AB2-D5F0-43AB-A767-FF64BEA6A637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0793FD4-D5A4-4D79-84B5-B0ACD5AD5000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95FE9-0C85-475C-8051-45AEC675BB61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C677C4-ED11-42B5-AF86-934EF447AD4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FC6FDB-96DD-421C-BD59-4870FC56C2A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3524D6-D5E8-45DD-BEFF-2CCF8BB7A26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05A34-4CA3-4FED-AB5C-0E4350327134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F0AD69-7CBD-44AB-8E5A-3D283AF148D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779FA3-7AEF-4A08-828A-E3D5B3D472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4359DE-2953-451E-A29A-53CE47CA45A8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1B5138-F963-475E-910F-5F50A4C29A41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FC4CEF-88DB-4901-897C-95A52B7B5715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DF6A2D-0C03-4BC5-85C0-490CA1EEE9D3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B0689B-157B-49BF-97ED-96C7BD998E4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5BE3AB-EA20-4EC3-96F5-62687A7AB76E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92C280-2ED7-409A-A88B-264980179FD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9F769D6-AC84-4EE4-B522-A20F17D0F013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7C9A10-8688-46C3-B41D-64F9B2246512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07129-DB61-4D7E-A969-0B02E45483B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B25632-B84C-4F91-88B5-84C2E7E14FF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110448-2BAA-4F9A-A734-E47D323E8377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F7FEA5-ED6F-4D94-9DBF-7E7309689EE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1CD57-E757-48E5-A679-CB36B374E3A2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87D572-0DC8-4E18-8E8D-99CF9E2A728A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52264E-F6AF-4587-AB97-4B1822AECEC7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C4C93B-2E52-4D7D-AC69-397EEA7A710B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7DFC233-E4B5-4BFE-8CC2-1083492EF9F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3FE38C0-61AA-4EE1-82E2-1F422D43C73E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9B2055-1B3F-4584-B202-191F507CEDBF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374AF7-571D-4B3C-B19D-57C14DC636EA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42EDB10-4AC1-4F70-818A-E11F1EE3C0A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B77761C-043E-453A-BF17-969B1E6EF53D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6C13CAB-8D49-45C9-B955-9C272ABEFE62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ECB9C04-45F2-4140-8598-6B0E691BF85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1637B-CD75-47E1-8EF1-5A1078E8E2BA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BCC505-B791-4CD6-AB3D-3E78A5A91608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A5B6DD-E0F0-4448-8B1E-DF9CB8DCBEB0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12DE12-D9EE-4582-8E96-1B6A48F70F6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38" name="Retângulo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380A8E-5564-4C2E-A120-4CAB6FB86EDD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9" name="Retângulo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EA84C0-B65B-40CD-81FB-CAD816A5AC18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40" name="Retângulo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6187D0-05B9-4434-B2E2-0CE993EDEE13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41" name="Retângulo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64E5C1-E399-498E-8EE7-4B3B3D7A2CE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42" name="Retângulo 4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CB63C09-59D4-4C7B-B5DD-B7D10EA1BD5E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43" name="Retângulo 4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90977E-FFCA-4A65-BE3A-3329BEC21280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44" name="Retângulo 4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515D7E-2C43-4247-9A51-06A61273F7F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45" name="Retângulo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01E88F-F6FD-4C78-97FC-D8550C1F9F8E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46" name="Retângulo 4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BF1DD4-282C-4C1C-A73C-73442E781EC1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47" name="Retângulo 4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6FE8D80-F549-4B6C-B9BC-F45B744EB6CB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48" name="Retângulo 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1BC78F5-396B-44BE-8D98-67AE81C32BF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9" name="Retângulo 4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19B954-CBE0-446B-AC9D-6274FE64AE17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0A2B4-0982-4EF0-B269-4B6DF0781BB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7FA46-B712-4A1A-A81F-A6D78A384EE4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F87C80-60EF-4F3B-AAF4-E815BF545A46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B47FF0-B9AD-4702-B751-7F37724AA4E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BF85B-BD15-4411-87D3-64E1AB30EEB0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CC70A-4FB5-47C3-ABFA-78C3BD76C6E3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8CD9C5-3B0D-4AE2-9EC6-944D7AB1815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67FDA7-A703-4DB2-BC2B-B2808F43FE12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E1E7AF-6ABD-4A43-8D98-324851596CCC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79246B-D2FA-401B-9270-8D0A9923ECF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A165C2-DED8-4212-AA42-130E1B25F85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AED2DB-9087-4971-BA23-B10E4140FF9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AAD01-E8D5-403C-8ADE-AD8CF21A8C6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A55FFC-7C1E-47C1-BBF6-5AA0C7331CB6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C8C2E58-C1DD-4A76-81CD-615E6D41AE3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64EFAA-6BCA-48DB-8672-65FCDFAAB44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F81932-2CCE-41D2-A9FD-BD52B2A4D0E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2BAFA-6F33-4064-B281-64D84C0208D5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1CC87A-8405-4504-B0B7-349C7C6BC7F5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B1A8AC-F05F-4126-A55E-28E152562AC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D3A1B7-8125-4B65-A8D4-0BF068E51885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E2A503-37FB-45E3-B54F-CF2197175A5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17B7E9-8DC8-4418-B875-61892C8E8471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A20C0F-771D-4332-8304-9E34B8497C1D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5DC594-0A4C-43ED-A3D9-58760F10C2C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EE96DE-8A5D-4621-A302-BFCF9E0A237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7815D5-7582-4D66-8C79-8B97421CEE0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F3A060-9959-4AA8-BE59-B7FB77E73033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D2B189-95F5-46AA-B555-F4EEDF4DAA0B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2656FF-FB45-41BB-9068-2EDA1DC52C93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DE54A18-DED3-444E-969C-3CAC0A90EF7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60F5EAF-DACD-4BE7-BD62-BE96A3F2569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550338</xdr:colOff>
      <xdr:row>1</xdr:row>
      <xdr:rowOff>84667</xdr:rowOff>
    </xdr:from>
    <xdr:to>
      <xdr:col>5</xdr:col>
      <xdr:colOff>359833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DA124-642D-4E74-84C6-5F130E91557C}"/>
            </a:ext>
          </a:extLst>
        </xdr:cNvPr>
        <xdr:cNvSpPr/>
      </xdr:nvSpPr>
      <xdr:spPr>
        <a:xfrm>
          <a:off x="1093263" y="579967"/>
          <a:ext cx="1609720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TÉRMINO</a:t>
          </a:r>
          <a:r>
            <a:rPr lang="pt-BR" sz="1100" b="1" baseline="0">
              <a:solidFill>
                <a:schemeClr val="bg1"/>
              </a:solidFill>
            </a:rPr>
            <a:t> DO PERÍODO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0229A-D848-4E0D-8997-456A66086761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3E5C20-87F3-4559-9927-E4CAD2820620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AF3A1-D583-4747-8455-745E29EBC5EA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6A3A56-38C2-4E30-A883-2C0AF00B2B25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105833</xdr:colOff>
      <xdr:row>3</xdr:row>
      <xdr:rowOff>0</xdr:rowOff>
    </xdr:from>
    <xdr:to>
      <xdr:col>13</xdr:col>
      <xdr:colOff>52917</xdr:colOff>
      <xdr:row>16</xdr:row>
      <xdr:rowOff>11641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7ACA9-A911-4FC6-BC6E-77B1ACB2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984250</xdr:colOff>
      <xdr:row>1</xdr:row>
      <xdr:rowOff>95250</xdr:rowOff>
    </xdr:from>
    <xdr:to>
      <xdr:col>3</xdr:col>
      <xdr:colOff>1079495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A2449A-4E55-4471-80B7-29950321AF3C}"/>
            </a:ext>
          </a:extLst>
        </xdr:cNvPr>
        <xdr:cNvSpPr/>
      </xdr:nvSpPr>
      <xdr:spPr>
        <a:xfrm>
          <a:off x="1250950" y="590550"/>
          <a:ext cx="1609720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BALANÇO FINANCEIRO</a:t>
          </a:r>
        </a:p>
      </xdr:txBody>
    </xdr:sp>
    <xdr:clientData/>
  </xdr:twoCellAnchor>
  <xdr:twoCellAnchor editAs="absolute">
    <xdr:from>
      <xdr:col>3</xdr:col>
      <xdr:colOff>1083734</xdr:colOff>
      <xdr:row>1</xdr:row>
      <xdr:rowOff>88900</xdr:rowOff>
    </xdr:from>
    <xdr:to>
      <xdr:col>4</xdr:col>
      <xdr:colOff>1178979</xdr:colOff>
      <xdr:row>2</xdr:row>
      <xdr:rowOff>7217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30BD26-7DBB-4F1E-85C6-A9D5B80ABCF5}"/>
            </a:ext>
          </a:extLst>
        </xdr:cNvPr>
        <xdr:cNvSpPr/>
      </xdr:nvSpPr>
      <xdr:spPr>
        <a:xfrm>
          <a:off x="2861734" y="586317"/>
          <a:ext cx="1608662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670981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DD434D-829B-4CDA-8B13-A234CD8F9070}"/>
            </a:ext>
          </a:extLst>
        </xdr:cNvPr>
        <xdr:cNvSpPr>
          <a:spLocks/>
        </xdr:cNvSpPr>
      </xdr:nvSpPr>
      <xdr:spPr>
        <a:xfrm>
          <a:off x="1409699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670982</xdr:colOff>
      <xdr:row>0</xdr:row>
      <xdr:rowOff>0</xdr:rowOff>
    </xdr:from>
    <xdr:to>
      <xdr:col>4</xdr:col>
      <xdr:colOff>190139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941A69-80FB-4F3D-87C4-669EBC374877}"/>
            </a:ext>
          </a:extLst>
        </xdr:cNvPr>
        <xdr:cNvSpPr>
          <a:spLocks/>
        </xdr:cNvSpPr>
      </xdr:nvSpPr>
      <xdr:spPr>
        <a:xfrm>
          <a:off x="2452157" y="0"/>
          <a:ext cx="1033632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4</xdr:col>
      <xdr:colOff>188382</xdr:colOff>
      <xdr:row>0</xdr:row>
      <xdr:rowOff>0</xdr:rowOff>
    </xdr:from>
    <xdr:to>
      <xdr:col>4</xdr:col>
      <xdr:colOff>1365250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1F2B79-76DA-4157-B4DF-4C297AA055DD}"/>
            </a:ext>
          </a:extLst>
        </xdr:cNvPr>
        <xdr:cNvSpPr>
          <a:spLocks/>
        </xdr:cNvSpPr>
      </xdr:nvSpPr>
      <xdr:spPr>
        <a:xfrm>
          <a:off x="3484032" y="0"/>
          <a:ext cx="1176868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4</xdr:col>
      <xdr:colOff>1388528</xdr:colOff>
      <xdr:row>0</xdr:row>
      <xdr:rowOff>0</xdr:rowOff>
    </xdr:from>
    <xdr:to>
      <xdr:col>5</xdr:col>
      <xdr:colOff>916511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B764C-D592-4A18-9D05-1C9C54071FCB}"/>
            </a:ext>
          </a:extLst>
        </xdr:cNvPr>
        <xdr:cNvSpPr>
          <a:spLocks/>
        </xdr:cNvSpPr>
      </xdr:nvSpPr>
      <xdr:spPr>
        <a:xfrm>
          <a:off x="4684178" y="0"/>
          <a:ext cx="1042458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10586</xdr:rowOff>
    </xdr:from>
    <xdr:to>
      <xdr:col>15</xdr:col>
      <xdr:colOff>920749</xdr:colOff>
      <xdr:row>18</xdr:row>
      <xdr:rowOff>143937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805AD4-0154-4C8A-BA51-3C4F8041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984251</xdr:colOff>
      <xdr:row>1</xdr:row>
      <xdr:rowOff>84668</xdr:rowOff>
    </xdr:from>
    <xdr:to>
      <xdr:col>4</xdr:col>
      <xdr:colOff>518579</xdr:colOff>
      <xdr:row>2</xdr:row>
      <xdr:rowOff>2985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990F3-3D3D-40B6-A319-750F4B3B9233}"/>
            </a:ext>
          </a:extLst>
        </xdr:cNvPr>
        <xdr:cNvSpPr/>
      </xdr:nvSpPr>
      <xdr:spPr>
        <a:xfrm>
          <a:off x="1250951" y="579968"/>
          <a:ext cx="1610778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BALANÇO FINANCEIRO</a:t>
          </a:r>
        </a:p>
      </xdr:txBody>
    </xdr:sp>
    <xdr:clientData/>
  </xdr:twoCellAnchor>
  <xdr:twoCellAnchor editAs="absolute">
    <xdr:from>
      <xdr:col>4</xdr:col>
      <xdr:colOff>522818</xdr:colOff>
      <xdr:row>1</xdr:row>
      <xdr:rowOff>88901</xdr:rowOff>
    </xdr:from>
    <xdr:to>
      <xdr:col>6</xdr:col>
      <xdr:colOff>289980</xdr:colOff>
      <xdr:row>2</xdr:row>
      <xdr:rowOff>7218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D6A3BD-C6CB-4DDF-B31D-480FD42D99DA}"/>
            </a:ext>
          </a:extLst>
        </xdr:cNvPr>
        <xdr:cNvSpPr/>
      </xdr:nvSpPr>
      <xdr:spPr>
        <a:xfrm>
          <a:off x="2861735" y="586318"/>
          <a:ext cx="1608662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4</xdr:col>
      <xdr:colOff>110064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0CDDD0-15E1-489A-BF03-795BDA61CD18}"/>
            </a:ext>
          </a:extLst>
        </xdr:cNvPr>
        <xdr:cNvSpPr>
          <a:spLocks/>
        </xdr:cNvSpPr>
      </xdr:nvSpPr>
      <xdr:spPr>
        <a:xfrm>
          <a:off x="1409699" y="0"/>
          <a:ext cx="104351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/>
            <a:t>TERMO DE ABERTURA</a:t>
          </a:r>
        </a:p>
      </xdr:txBody>
    </xdr:sp>
    <xdr:clientData/>
  </xdr:twoCellAnchor>
  <xdr:twoCellAnchor editAs="absolute">
    <xdr:from>
      <xdr:col>4</xdr:col>
      <xdr:colOff>110065</xdr:colOff>
      <xdr:row>0</xdr:row>
      <xdr:rowOff>0</xdr:rowOff>
    </xdr:from>
    <xdr:to>
      <xdr:col>5</xdr:col>
      <xdr:colOff>221889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990262-1ABD-4CD8-B674-83F24BCCB03A}"/>
            </a:ext>
          </a:extLst>
        </xdr:cNvPr>
        <xdr:cNvSpPr>
          <a:spLocks/>
        </xdr:cNvSpPr>
      </xdr:nvSpPr>
      <xdr:spPr>
        <a:xfrm>
          <a:off x="2453215" y="0"/>
          <a:ext cx="103574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220132</xdr:colOff>
      <xdr:row>0</xdr:row>
      <xdr:rowOff>0</xdr:rowOff>
    </xdr:from>
    <xdr:to>
      <xdr:col>6</xdr:col>
      <xdr:colOff>476250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F597F5-9C5D-4C91-8970-ECB621FF374A}"/>
            </a:ext>
          </a:extLst>
        </xdr:cNvPr>
        <xdr:cNvSpPr>
          <a:spLocks/>
        </xdr:cNvSpPr>
      </xdr:nvSpPr>
      <xdr:spPr>
        <a:xfrm>
          <a:off x="3487207" y="0"/>
          <a:ext cx="1180043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6</xdr:col>
      <xdr:colOff>499528</xdr:colOff>
      <xdr:row>0</xdr:row>
      <xdr:rowOff>0</xdr:rowOff>
    </xdr:from>
    <xdr:to>
      <xdr:col>7</xdr:col>
      <xdr:colOff>620177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312A3-4BFD-46AF-860A-4F06BEBBA548}"/>
            </a:ext>
          </a:extLst>
        </xdr:cNvPr>
        <xdr:cNvSpPr>
          <a:spLocks/>
        </xdr:cNvSpPr>
      </xdr:nvSpPr>
      <xdr:spPr>
        <a:xfrm>
          <a:off x="4690528" y="0"/>
          <a:ext cx="1044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7"/>
  <sheetViews>
    <sheetView showGridLines="0" zoomScale="90" zoomScaleNormal="90" zoomScalePageLayoutView="90" workbookViewId="0" xr3:uid="{AEA406A1-0E4B-5B11-9CD5-51D6E497D94C}">
      <pane ySplit="2" topLeftCell="A3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3.57421875" style="3" customWidth="1"/>
    <col min="4" max="4" width="12.57421875" style="3" customWidth="1"/>
    <col min="5" max="5" width="10.97265625" style="3" customWidth="1"/>
    <col min="6" max="6" width="28.11328125" style="3" customWidth="1"/>
    <col min="7" max="7" width="2.09375" style="3" customWidth="1"/>
    <col min="8" max="8" width="17.632812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>
      <c r="D4" s="48" t="s">
        <v>0</v>
      </c>
      <c r="E4" s="48"/>
      <c r="F4" s="48"/>
      <c r="G4" s="48"/>
      <c r="H4" s="48"/>
      <c r="I4" s="48"/>
      <c r="J4" s="4"/>
    </row>
    <row r="5" spans="1:26" ht="31.5" customHeight="1">
      <c r="D5" s="49" t="s">
        <v>1</v>
      </c>
      <c r="E5" s="49"/>
      <c r="F5" s="49"/>
      <c r="G5" s="49"/>
      <c r="H5" s="49"/>
      <c r="I5" s="49"/>
    </row>
    <row r="6" spans="1:26" ht="24.75" customHeight="1">
      <c r="D6" s="50" t="s">
        <v>2</v>
      </c>
      <c r="E6" s="50"/>
      <c r="F6" s="50"/>
      <c r="G6" s="50"/>
      <c r="H6" s="50"/>
      <c r="I6" s="50"/>
    </row>
    <row r="7" spans="1:26" ht="38.25" customHeight="1">
      <c r="D7" s="51" t="s">
        <v>3</v>
      </c>
      <c r="E7" s="52"/>
      <c r="F7" s="52"/>
      <c r="G7" s="52"/>
      <c r="H7" s="52"/>
      <c r="I7" s="52"/>
    </row>
    <row r="8" spans="1:26" ht="17.25" customHeight="1">
      <c r="D8" s="5"/>
    </row>
    <row r="9" spans="1:26" ht="30" customHeight="1">
      <c r="D9" s="6" t="s">
        <v>4</v>
      </c>
      <c r="E9" s="46" t="s">
        <v>61</v>
      </c>
      <c r="F9" s="47"/>
      <c r="G9" s="7"/>
      <c r="H9" s="6" t="s">
        <v>5</v>
      </c>
      <c r="I9" s="29" t="s">
        <v>59</v>
      </c>
    </row>
    <row r="10" spans="1:26" ht="30" customHeight="1">
      <c r="D10" s="6" t="s">
        <v>6</v>
      </c>
      <c r="E10" s="46" t="s">
        <v>64</v>
      </c>
      <c r="F10" s="47"/>
      <c r="G10" s="7"/>
      <c r="H10" s="6" t="s">
        <v>7</v>
      </c>
      <c r="I10" s="8">
        <v>919</v>
      </c>
    </row>
    <row r="11" spans="1:26" ht="30" customHeight="1">
      <c r="D11" s="6" t="s">
        <v>8</v>
      </c>
      <c r="E11" s="46" t="s">
        <v>59</v>
      </c>
      <c r="F11" s="47"/>
      <c r="G11" s="7"/>
      <c r="H11" s="6" t="s">
        <v>9</v>
      </c>
      <c r="I11" s="29" t="s">
        <v>60</v>
      </c>
    </row>
    <row r="12" spans="1:26" ht="30" customHeight="1">
      <c r="D12" s="6" t="s">
        <v>10</v>
      </c>
      <c r="E12" s="47">
        <v>197030166</v>
      </c>
      <c r="F12" s="47"/>
      <c r="G12" s="7"/>
      <c r="H12" s="6" t="s">
        <v>11</v>
      </c>
      <c r="I12" s="29" t="s">
        <v>62</v>
      </c>
    </row>
    <row r="13" spans="1:26" ht="30" customHeight="1">
      <c r="D13" s="55" t="s">
        <v>12</v>
      </c>
      <c r="E13" s="55"/>
      <c r="F13" s="30">
        <v>416789190627</v>
      </c>
      <c r="G13" s="7"/>
      <c r="H13" s="6" t="s">
        <v>13</v>
      </c>
      <c r="I13" s="8">
        <v>3523542342</v>
      </c>
    </row>
    <row r="14" spans="1:26" ht="30" customHeight="1">
      <c r="D14" s="55" t="s">
        <v>14</v>
      </c>
      <c r="E14" s="55"/>
      <c r="F14" s="29" t="s">
        <v>59</v>
      </c>
      <c r="G14" s="7"/>
    </row>
    <row r="15" spans="1:26" ht="15" customHeight="1"/>
    <row r="16" spans="1:26" ht="24.75" customHeight="1">
      <c r="D16" s="56" t="s">
        <v>63</v>
      </c>
      <c r="E16" s="57"/>
      <c r="F16" s="57"/>
    </row>
    <row r="17" spans="4:9" ht="23.25" customHeight="1"/>
    <row r="18" spans="4:9" ht="27" customHeight="1">
      <c r="D18" s="9"/>
      <c r="E18" s="9"/>
      <c r="F18" s="9"/>
      <c r="H18" s="9"/>
      <c r="I18" s="9"/>
    </row>
    <row r="19" spans="4:9" ht="30" customHeight="1">
      <c r="D19" s="58" t="s">
        <v>65</v>
      </c>
      <c r="E19" s="59"/>
      <c r="F19" s="59"/>
      <c r="H19" s="53" t="s">
        <v>66</v>
      </c>
      <c r="I19" s="54"/>
    </row>
    <row r="20" spans="4:9" ht="12" customHeight="1"/>
    <row r="21" spans="4:9" ht="12" customHeight="1"/>
    <row r="22" spans="4:9" ht="30" customHeight="1"/>
    <row r="23" spans="4:9" ht="30" customHeight="1"/>
    <row r="24" spans="4:9" ht="30" customHeight="1"/>
    <row r="25" spans="4:9" ht="30" customHeight="1"/>
    <row r="26" spans="4:9" ht="30" customHeight="1"/>
    <row r="27" spans="4:9" ht="30" customHeight="1"/>
    <row r="28" spans="4:9" ht="30" customHeight="1"/>
    <row r="29" spans="4:9" ht="30" customHeight="1"/>
    <row r="30" spans="4:9" ht="30" customHeight="1"/>
    <row r="31" spans="4:9" ht="30" customHeight="1"/>
    <row r="32" spans="4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sheet="1" selectLockedCells="1"/>
  <mergeCells count="13">
    <mergeCell ref="H19:I19"/>
    <mergeCell ref="E11:F11"/>
    <mergeCell ref="E12:F12"/>
    <mergeCell ref="D13:E13"/>
    <mergeCell ref="D14:E14"/>
    <mergeCell ref="D16:F16"/>
    <mergeCell ref="D19:F19"/>
    <mergeCell ref="E10:F10"/>
    <mergeCell ref="D4:I4"/>
    <mergeCell ref="D5:I5"/>
    <mergeCell ref="D6:I6"/>
    <mergeCell ref="D7:I7"/>
    <mergeCell ref="E9:F9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07"/>
  <sheetViews>
    <sheetView showGridLines="0" zoomScale="90" zoomScaleNormal="90" zoomScalePageLayoutView="90" workbookViewId="0" xr3:uid="{958C4451-9541-5A59-BF78-D2F731DF1C81}">
      <pane ySplit="7" topLeftCell="A8" activePane="bottomLeft" state="frozen"/>
      <selection activeCell="J2" sqref="J2"/>
      <selection pane="bottomLeft" activeCell="C9" sqref="C9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0">
        <v>0</v>
      </c>
      <c r="G4" s="60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8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8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8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8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8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1000000}"/>
  <mergeCells count="1">
    <mergeCell ref="F4:G4"/>
  </mergeCells>
  <conditionalFormatting sqref="H8:H607 H5">
    <cfRule type="cellIs" dxfId="27" priority="1" operator="lessThan">
      <formula>0</formula>
    </cfRule>
    <cfRule type="cellIs" dxfId="2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07"/>
  <sheetViews>
    <sheetView showGridLines="0" zoomScale="90" zoomScaleNormal="90" zoomScalePageLayoutView="90" workbookViewId="0" xr3:uid="{842E5F09-E766-5B8D-85AF-A39847EA96FD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Jan!H5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2000000}"/>
  <mergeCells count="1">
    <mergeCell ref="F4:G4"/>
  </mergeCells>
  <conditionalFormatting sqref="H8:H607 H5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07"/>
  <sheetViews>
    <sheetView showGridLines="0" zoomScale="90" zoomScaleNormal="90" zoomScalePageLayoutView="90" workbookViewId="0" xr3:uid="{51F8DEE0-4D01-5F28-A812-FC0BD7CAC4A5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Fev!H5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3000000}"/>
  <mergeCells count="1">
    <mergeCell ref="F4:G4"/>
  </mergeCells>
  <conditionalFormatting sqref="H8:H607 H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07"/>
  <sheetViews>
    <sheetView showGridLines="0" zoomScale="90" zoomScaleNormal="90" zoomScalePageLayoutView="90" workbookViewId="0" xr3:uid="{F9CF3CF3-643B-5BE6-8B46-32C596A47465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Mar!H5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4000000}"/>
  <mergeCells count="1">
    <mergeCell ref="F4:G4"/>
  </mergeCells>
  <conditionalFormatting sqref="H8:H607 H5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607"/>
  <sheetViews>
    <sheetView showGridLines="0" zoomScale="90" zoomScaleNormal="90" zoomScalePageLayoutView="90" workbookViewId="0" xr3:uid="{78B4E459-6924-5F8B-B7BA-2DD04133E49E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Abr!H5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5000000}"/>
  <mergeCells count="1">
    <mergeCell ref="F4:G4"/>
  </mergeCells>
  <conditionalFormatting sqref="H8:H607 H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607"/>
  <sheetViews>
    <sheetView showGridLines="0" zoomScale="90" zoomScaleNormal="90" zoomScalePageLayoutView="90" workbookViewId="0" xr3:uid="{9B253EF2-77E0-53E3-AE26-4D66ECD923F3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Mai!H5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6000000}"/>
  <mergeCells count="1">
    <mergeCell ref="F4:G4"/>
  </mergeCells>
  <conditionalFormatting sqref="H8:H607 H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607"/>
  <sheetViews>
    <sheetView showGridLines="0" zoomScale="90" zoomScaleNormal="90" zoomScalePageLayoutView="90" workbookViewId="0" xr3:uid="{85D5C41F-068E-5C55-9968-509E7C2A5619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Jun!H5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7000000}"/>
  <mergeCells count="1">
    <mergeCell ref="F4:G4"/>
  </mergeCells>
  <conditionalFormatting sqref="H8:H607 H5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607"/>
  <sheetViews>
    <sheetView showGridLines="0" zoomScale="90" zoomScaleNormal="90" zoomScalePageLayoutView="90" workbookViewId="0" xr3:uid="{44B22561-5205-5C8A-B808-2C70100D228F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Jul!H5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8000000}"/>
  <mergeCells count="1">
    <mergeCell ref="F4:G4"/>
  </mergeCells>
  <conditionalFormatting sqref="H8:H607 H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607"/>
  <sheetViews>
    <sheetView showGridLines="0" zoomScale="90" zoomScaleNormal="90" zoomScalePageLayoutView="90" workbookViewId="0" xr3:uid="{7BE570AB-09E9-518F-B8F7-3F91B7162CA9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Ago!H5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9000000}"/>
  <mergeCells count="1">
    <mergeCell ref="F4:G4"/>
  </mergeCells>
  <conditionalFormatting sqref="H8:H607 H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07"/>
  <sheetViews>
    <sheetView showGridLines="0" zoomScale="90" zoomScaleNormal="90" zoomScalePageLayoutView="90" workbookViewId="0" xr3:uid="{65FA3815-DCC1-5481-872F-D2879ED395ED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Set!H5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A000000}"/>
  <mergeCells count="1">
    <mergeCell ref="F4:G4"/>
  </mergeCells>
  <conditionalFormatting sqref="H8:H607 H5">
    <cfRule type="cellIs" dxfId="9" priority="1" operator="lessThan">
      <formula>0</formula>
    </cfRule>
    <cfRule type="cellIs" dxfId="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07"/>
  <sheetViews>
    <sheetView showGridLines="0" zoomScale="90" zoomScaleNormal="90" zoomScalePageLayoutView="90" workbookViewId="0" xr3:uid="{FF0BDA26-1AD6-5648-BD9A-E01AA4DDCA7C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Out!H5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B000000}"/>
  <mergeCells count="1">
    <mergeCell ref="F4:G4"/>
  </mergeCells>
  <conditionalFormatting sqref="H8:H607 H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07"/>
  <sheetViews>
    <sheetView showGridLines="0" zoomScale="90" zoomScaleNormal="90" zoomScalePageLayoutView="90" workbookViewId="0" xr3:uid="{C67EF94B-0B3B-5838-830C-E3A509766221}">
      <pane ySplit="7" topLeftCell="A8" activePane="bottomLeft" state="frozen"/>
      <selection activeCell="J2" sqref="J2"/>
      <selection pane="bottomLeft" activeCell="C8" sqref="C8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Nov!H5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C000000}"/>
  <mergeCells count="1">
    <mergeCell ref="F4:G4"/>
  </mergeCells>
  <conditionalFormatting sqref="H8:H607 H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587"/>
  <sheetViews>
    <sheetView showGridLines="0" zoomScale="90" zoomScaleNormal="90" zoomScalePageLayoutView="90" workbookViewId="0" xr3:uid="{274F5AE0-5452-572F-8038-C13FFDA59D49}">
      <pane ySplit="2" topLeftCell="A3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3.57421875" style="3" customWidth="1"/>
    <col min="4" max="4" width="12.57421875" style="3" customWidth="1"/>
    <col min="5" max="5" width="10.97265625" style="3" customWidth="1"/>
    <col min="6" max="6" width="28.11328125" style="3" customWidth="1"/>
    <col min="7" max="7" width="2.09375" style="3" customWidth="1"/>
    <col min="8" max="8" width="17.632812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>
      <c r="D4" s="48" t="s">
        <v>0</v>
      </c>
      <c r="E4" s="48"/>
      <c r="F4" s="48"/>
      <c r="G4" s="48"/>
      <c r="H4" s="48"/>
      <c r="I4" s="48"/>
    </row>
    <row r="5" spans="1:26" ht="31.5" customHeight="1">
      <c r="D5" s="49" t="s">
        <v>26</v>
      </c>
      <c r="E5" s="49"/>
      <c r="F5" s="49"/>
      <c r="G5" s="49"/>
      <c r="H5" s="49"/>
      <c r="I5" s="49"/>
    </row>
    <row r="6" spans="1:26" ht="24.75" customHeight="1">
      <c r="D6" s="63" t="s">
        <v>27</v>
      </c>
      <c r="E6" s="63"/>
      <c r="F6" s="63"/>
      <c r="G6" s="63"/>
      <c r="H6" s="63"/>
      <c r="I6" s="63"/>
    </row>
    <row r="7" spans="1:26" ht="38.25" customHeight="1">
      <c r="D7" s="52" t="s">
        <v>28</v>
      </c>
      <c r="E7" s="52"/>
      <c r="F7" s="52"/>
      <c r="G7" s="52"/>
      <c r="H7" s="52"/>
      <c r="I7" s="52"/>
    </row>
    <row r="8" spans="1:26" ht="17.25" customHeight="1">
      <c r="D8" s="5"/>
    </row>
    <row r="9" spans="1:26" ht="30" customHeight="1">
      <c r="D9" s="6" t="s">
        <v>4</v>
      </c>
      <c r="E9" s="62" t="str">
        <f>IF(TA!E9=0,"",TA!E9)</f>
        <v>Alice e Alice Contábil Ltda</v>
      </c>
      <c r="F9" s="62"/>
      <c r="G9" s="7"/>
      <c r="H9" s="6" t="s">
        <v>5</v>
      </c>
      <c r="I9" s="16" t="str">
        <f>IF(TA!I9=0,"",TA!I9)</f>
        <v>São Paulo</v>
      </c>
    </row>
    <row r="10" spans="1:26" ht="30" customHeight="1">
      <c r="D10" s="6" t="s">
        <v>6</v>
      </c>
      <c r="E10" s="62" t="str">
        <f>IF(TA!E10=0,"",TA!E10)</f>
        <v>Rodovia Comendador Pedro Monteleone</v>
      </c>
      <c r="F10" s="62"/>
      <c r="G10" s="7"/>
      <c r="H10" s="6" t="s">
        <v>7</v>
      </c>
      <c r="I10" s="16">
        <f>IF(TA!I10=0,"",TA!I10)</f>
        <v>919</v>
      </c>
    </row>
    <row r="11" spans="1:26" ht="30" customHeight="1">
      <c r="D11" s="6" t="s">
        <v>8</v>
      </c>
      <c r="E11" s="62" t="str">
        <f>IF(TA!E11=0,"",TA!E11)</f>
        <v>São Paulo</v>
      </c>
      <c r="F11" s="62"/>
      <c r="G11" s="7"/>
      <c r="H11" s="6" t="s">
        <v>9</v>
      </c>
      <c r="I11" s="16" t="str">
        <f>IF(TA!I11=0,"",TA!I11)</f>
        <v>SP</v>
      </c>
    </row>
    <row r="12" spans="1:26" ht="30" customHeight="1">
      <c r="D12" s="6" t="s">
        <v>10</v>
      </c>
      <c r="E12" s="62">
        <f>IF(TA!E12=0,"",TA!E12)</f>
        <v>197030166</v>
      </c>
      <c r="F12" s="62"/>
      <c r="G12" s="7"/>
      <c r="H12" s="6" t="s">
        <v>11</v>
      </c>
      <c r="I12" s="16" t="str">
        <f>IF(TA!I12=0,"",TA!I12)</f>
        <v>54.211.346/0001-68</v>
      </c>
    </row>
    <row r="13" spans="1:26" ht="30" customHeight="1">
      <c r="D13" s="55" t="s">
        <v>12</v>
      </c>
      <c r="E13" s="55"/>
      <c r="F13" s="16">
        <f>IF(TA!F13=0,"",TA!F13)</f>
        <v>416789190627</v>
      </c>
      <c r="G13" s="7"/>
      <c r="H13" s="6" t="s">
        <v>13</v>
      </c>
      <c r="I13" s="16">
        <f>IF(TA!I13=0,"",TA!I13)</f>
        <v>3523542342</v>
      </c>
    </row>
    <row r="14" spans="1:26" ht="30" customHeight="1">
      <c r="D14" s="55" t="s">
        <v>14</v>
      </c>
      <c r="E14" s="55"/>
      <c r="F14" s="16" t="str">
        <f>IF(TA!F14=0,"",TA!F14)</f>
        <v>São Paulo</v>
      </c>
      <c r="G14" s="7"/>
    </row>
    <row r="15" spans="1:26" ht="15" customHeight="1"/>
    <row r="16" spans="1:26" ht="24.75" customHeight="1">
      <c r="D16" s="65" t="str">
        <f>TA!D16</f>
        <v>São Paulo, 01 de Janeiro, 2018</v>
      </c>
      <c r="E16" s="65"/>
      <c r="F16" s="65"/>
    </row>
    <row r="17" spans="4:9" ht="23.25" customHeight="1"/>
    <row r="18" spans="4:9" ht="27" customHeight="1">
      <c r="D18" s="9"/>
      <c r="E18" s="9"/>
      <c r="F18" s="9"/>
      <c r="H18" s="9"/>
      <c r="I18" s="9"/>
    </row>
    <row r="19" spans="4:9" ht="30" customHeight="1">
      <c r="D19" s="66" t="str">
        <f>TA!D19</f>
        <v xml:space="preserve">ALICE FERREIRA DA CRUZ </v>
      </c>
      <c r="E19" s="66"/>
      <c r="F19" s="66"/>
      <c r="H19" s="64" t="str">
        <f>TA!H19</f>
        <v>CRC-PR nº:  046948/O</v>
      </c>
      <c r="I19" s="64"/>
    </row>
    <row r="20" spans="4:9" ht="12" customHeight="1"/>
    <row r="21" spans="4:9" ht="12" customHeight="1"/>
    <row r="22" spans="4:9" ht="30" customHeight="1"/>
    <row r="23" spans="4:9" ht="30" customHeight="1"/>
    <row r="24" spans="4:9" ht="30" customHeight="1"/>
    <row r="25" spans="4:9" ht="30" customHeight="1"/>
    <row r="26" spans="4:9" ht="30" customHeight="1"/>
    <row r="27" spans="4:9" ht="30" customHeight="1"/>
    <row r="28" spans="4:9" ht="30" customHeight="1"/>
    <row r="29" spans="4:9" ht="30" customHeight="1"/>
    <row r="30" spans="4:9" ht="30" customHeight="1"/>
    <row r="31" spans="4:9" ht="30" customHeight="1"/>
    <row r="32" spans="4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sheet="1" selectLockedCells="1"/>
  <mergeCells count="13">
    <mergeCell ref="H19:I19"/>
    <mergeCell ref="E11:F11"/>
    <mergeCell ref="E12:F12"/>
    <mergeCell ref="D13:E13"/>
    <mergeCell ref="D14:E14"/>
    <mergeCell ref="D16:F16"/>
    <mergeCell ref="D19:F19"/>
    <mergeCell ref="E10:F10"/>
    <mergeCell ref="D4:I4"/>
    <mergeCell ref="D5:I5"/>
    <mergeCell ref="D6:I6"/>
    <mergeCell ref="D7:I7"/>
    <mergeCell ref="E9:F9"/>
  </mergeCells>
  <pageMargins left="0.7" right="0.7" top="0.75" bottom="0.75" header="0.3" footer="0.3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6"/>
  <sheetViews>
    <sheetView showGridLines="0" zoomScale="90" zoomScaleNormal="90" zoomScalePageLayoutView="90" workbookViewId="0" xr3:uid="{33642244-9AC9-5136-AF77-195C889548CE}">
      <selection activeCell="D16" sqref="D16:F16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6" width="19.8515625" style="3" customWidth="1"/>
    <col min="7" max="16" width="12.08203125" style="3" customWidth="1"/>
    <col min="17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1.25" customHeight="1" thickBot="1">
      <c r="C3" s="17"/>
      <c r="D3" s="1"/>
      <c r="E3" s="2"/>
      <c r="F3" s="2"/>
      <c r="G3" s="2"/>
      <c r="H3" s="2"/>
      <c r="I3" s="2"/>
      <c r="J3" s="2"/>
      <c r="K3" s="2"/>
      <c r="L3" s="2"/>
    </row>
    <row r="4" spans="1:26" ht="26.25" customHeight="1" thickTop="1" thickBot="1">
      <c r="C4" s="39" t="s">
        <v>29</v>
      </c>
      <c r="D4" s="70" t="str">
        <f>IF(TA!E9=0,"",TA!E9)</f>
        <v>Alice e Alice Contábil Ltda</v>
      </c>
      <c r="E4" s="71"/>
      <c r="F4" s="72"/>
      <c r="G4" s="2"/>
      <c r="H4" s="2"/>
      <c r="I4" s="2"/>
      <c r="J4" s="2"/>
      <c r="K4" s="2"/>
      <c r="L4" s="2"/>
    </row>
    <row r="5" spans="1:26" ht="26.25" customHeight="1" thickTop="1" thickBot="1">
      <c r="C5" s="39" t="s">
        <v>30</v>
      </c>
      <c r="D5" s="70" t="str">
        <f>IF(TA!I12=0,"",TA!I12)</f>
        <v>54.211.346/0001-68</v>
      </c>
      <c r="E5" s="71"/>
      <c r="F5" s="72"/>
      <c r="G5" s="2"/>
      <c r="H5" s="2"/>
      <c r="I5" s="2"/>
      <c r="J5" s="2"/>
      <c r="K5" s="2"/>
      <c r="L5" s="2"/>
    </row>
    <row r="6" spans="1:26" ht="26.25" customHeight="1" thickTop="1">
      <c r="C6" s="39" t="s">
        <v>31</v>
      </c>
      <c r="D6" s="67">
        <v>2018</v>
      </c>
      <c r="E6" s="68"/>
      <c r="F6" s="69"/>
      <c r="G6" s="2"/>
      <c r="H6" s="2"/>
      <c r="I6" s="2"/>
      <c r="J6" s="2"/>
      <c r="K6" s="2"/>
      <c r="L6" s="2"/>
    </row>
    <row r="7" spans="1:26" ht="10.5" customHeight="1" thickBot="1">
      <c r="D7" s="1"/>
      <c r="E7" s="2"/>
      <c r="F7" s="2"/>
      <c r="G7" s="2"/>
      <c r="H7" s="2"/>
      <c r="I7" s="2"/>
      <c r="J7" s="2"/>
      <c r="K7" s="2"/>
      <c r="L7" s="2"/>
    </row>
    <row r="8" spans="1:26" ht="25.5" customHeight="1" thickTop="1">
      <c r="C8" s="73" t="s">
        <v>32</v>
      </c>
      <c r="D8" s="74"/>
      <c r="E8" s="73" t="s">
        <v>33</v>
      </c>
      <c r="F8" s="74"/>
    </row>
    <row r="9" spans="1:26" ht="7.5" customHeight="1" thickBot="1"/>
    <row r="10" spans="1:26" ht="25.5" customHeight="1" thickTop="1" thickBot="1">
      <c r="C10" s="39" t="s">
        <v>34</v>
      </c>
      <c r="D10" s="15">
        <f>Jan!F4</f>
        <v>0</v>
      </c>
      <c r="E10" s="40" t="s">
        <v>35</v>
      </c>
      <c r="F10" s="26">
        <f>FC!P7</f>
        <v>0</v>
      </c>
    </row>
    <row r="11" spans="1:26" ht="25.5" customHeight="1" thickTop="1">
      <c r="C11" s="39" t="s">
        <v>36</v>
      </c>
      <c r="D11" s="18">
        <f>FC!P6</f>
        <v>0</v>
      </c>
      <c r="E11" s="40" t="s">
        <v>37</v>
      </c>
      <c r="F11" s="15">
        <f>FC!P9</f>
        <v>0</v>
      </c>
    </row>
    <row r="12" spans="1:26" ht="13.5" customHeight="1" thickBot="1"/>
    <row r="13" spans="1:26" ht="25.5" customHeight="1" thickTop="1">
      <c r="C13" s="39" t="s">
        <v>38</v>
      </c>
      <c r="D13" s="15">
        <f>D10+D11</f>
        <v>0</v>
      </c>
      <c r="E13" s="40" t="s">
        <v>38</v>
      </c>
      <c r="F13" s="15">
        <f>F10+F11</f>
        <v>0</v>
      </c>
    </row>
    <row r="14" spans="1:26" ht="15.75" thickBot="1"/>
    <row r="15" spans="1:26" ht="26.25" customHeight="1" thickTop="1" thickBot="1">
      <c r="C15" s="39" t="s">
        <v>39</v>
      </c>
      <c r="D15" s="75">
        <v>43465</v>
      </c>
      <c r="E15" s="68"/>
      <c r="F15" s="69"/>
      <c r="G15" s="2"/>
      <c r="H15" s="2"/>
      <c r="I15" s="2"/>
      <c r="J15" s="2"/>
      <c r="K15" s="2"/>
      <c r="L15" s="2"/>
    </row>
    <row r="16" spans="1:26" ht="26.25" customHeight="1" thickTop="1">
      <c r="C16" s="39" t="s">
        <v>40</v>
      </c>
      <c r="D16" s="67"/>
      <c r="E16" s="68"/>
      <c r="F16" s="69"/>
      <c r="G16" s="2"/>
      <c r="H16" s="2"/>
      <c r="I16" s="2"/>
      <c r="J16" s="2"/>
      <c r="K16" s="2"/>
      <c r="L16" s="2"/>
    </row>
  </sheetData>
  <sheetProtection sheet="1" selectLockedCells="1"/>
  <mergeCells count="7">
    <mergeCell ref="D16:F16"/>
    <mergeCell ref="D4:F4"/>
    <mergeCell ref="D5:F5"/>
    <mergeCell ref="D6:F6"/>
    <mergeCell ref="C8:D8"/>
    <mergeCell ref="E8:F8"/>
    <mergeCell ref="D15:F15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9"/>
  <sheetViews>
    <sheetView showGridLines="0" tabSelected="1" zoomScale="90" zoomScaleNormal="90" zoomScalePageLayoutView="90" workbookViewId="0" xr3:uid="{D624DF06-3800-545C-AC8D-BADC89115800}">
      <pane ySplit="4" topLeftCell="A37" activePane="bottomLeft" state="frozen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16" width="12.08203125" style="3" customWidth="1"/>
    <col min="17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thickBot="1">
      <c r="D3" s="1"/>
      <c r="E3" s="2"/>
      <c r="F3" s="2"/>
      <c r="G3" s="2"/>
      <c r="H3" s="2"/>
      <c r="I3" s="2"/>
      <c r="J3" s="2"/>
      <c r="K3" s="2"/>
      <c r="L3" s="2"/>
    </row>
    <row r="4" spans="1:26" ht="25.5" customHeight="1" thickTop="1" thickBot="1">
      <c r="C4" s="41" t="s">
        <v>41</v>
      </c>
      <c r="D4" s="41" t="s">
        <v>42</v>
      </c>
      <c r="E4" s="41" t="s">
        <v>43</v>
      </c>
      <c r="F4" s="41" t="s">
        <v>44</v>
      </c>
      <c r="G4" s="41" t="s">
        <v>45</v>
      </c>
      <c r="H4" s="41" t="s">
        <v>46</v>
      </c>
      <c r="I4" s="41" t="s">
        <v>47</v>
      </c>
      <c r="J4" s="41" t="s">
        <v>48</v>
      </c>
      <c r="K4" s="41" t="s">
        <v>49</v>
      </c>
      <c r="L4" s="41" t="s">
        <v>50</v>
      </c>
      <c r="M4" s="41" t="s">
        <v>51</v>
      </c>
      <c r="N4" s="41" t="s">
        <v>52</v>
      </c>
      <c r="O4" s="41" t="s">
        <v>53</v>
      </c>
      <c r="P4" s="41" t="s">
        <v>54</v>
      </c>
    </row>
    <row r="5" spans="1:26" ht="25.5" customHeight="1" thickTop="1" thickBot="1">
      <c r="C5" s="39" t="s">
        <v>34</v>
      </c>
      <c r="D5" s="19">
        <f>Jan!$F$4</f>
        <v>0</v>
      </c>
      <c r="E5" s="19">
        <f>D9</f>
        <v>0</v>
      </c>
      <c r="F5" s="19">
        <f t="shared" ref="F5:O5" si="0">E9</f>
        <v>0</v>
      </c>
      <c r="G5" s="19">
        <f t="shared" si="0"/>
        <v>0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  <c r="P5" s="19">
        <f>O5</f>
        <v>0</v>
      </c>
    </row>
    <row r="6" spans="1:26" ht="25.5" customHeight="1" thickTop="1" thickBot="1">
      <c r="C6" s="20" t="s">
        <v>55</v>
      </c>
      <c r="D6" s="19">
        <f>SUM(Jan!$F$8:$F$607)</f>
        <v>0</v>
      </c>
      <c r="E6" s="19">
        <f>SUM(Fev!$F$8:$F$607)</f>
        <v>0</v>
      </c>
      <c r="F6" s="19">
        <f>SUM(Mar!$F$8:$F$607)</f>
        <v>0</v>
      </c>
      <c r="G6" s="19">
        <f>SUM(Abr!$F$8:$F$607)</f>
        <v>0</v>
      </c>
      <c r="H6" s="19">
        <f>SUM(Mai!$F$8:$F$607)</f>
        <v>0</v>
      </c>
      <c r="I6" s="19">
        <f>SUM(Jun!$F$8:$F$607)</f>
        <v>0</v>
      </c>
      <c r="J6" s="19">
        <f>SUM(Jul!$F$8:$F$607)</f>
        <v>0</v>
      </c>
      <c r="K6" s="19">
        <f>SUM(Ago!$F$8:$F$607)</f>
        <v>0</v>
      </c>
      <c r="L6" s="19">
        <f>SUM(Set!$F$8:$F$607)</f>
        <v>0</v>
      </c>
      <c r="M6" s="19">
        <f>SUM(Out!$F$8:$F$607)</f>
        <v>0</v>
      </c>
      <c r="N6" s="19">
        <f>SUM(Nov!$F$8:$F$607)</f>
        <v>0</v>
      </c>
      <c r="O6" s="19">
        <f>SUM(Dez!$F$8:$F$607)</f>
        <v>0</v>
      </c>
      <c r="P6" s="19">
        <f>SUM(D6:O6)</f>
        <v>0</v>
      </c>
    </row>
    <row r="7" spans="1:26" ht="25.5" customHeight="1" thickTop="1" thickBot="1">
      <c r="C7" s="27" t="s">
        <v>56</v>
      </c>
      <c r="D7" s="19">
        <f>SUM(Jan!$G$8:$G$607)</f>
        <v>0</v>
      </c>
      <c r="E7" s="19">
        <f>SUM(Fev!$G$8:$G$607)</f>
        <v>0</v>
      </c>
      <c r="F7" s="19">
        <f>SUM(Mar!$G$8:$G$607)</f>
        <v>0</v>
      </c>
      <c r="G7" s="19">
        <f>SUM(Abr!$G$8:$G$607)</f>
        <v>0</v>
      </c>
      <c r="H7" s="19">
        <f>SUM(Mai!$G$8:$G$607)</f>
        <v>0</v>
      </c>
      <c r="I7" s="19">
        <f>SUM(Jun!$G$8:$G$607)</f>
        <v>0</v>
      </c>
      <c r="J7" s="19">
        <f>SUM(Jul!$G$8:$G$607)</f>
        <v>0</v>
      </c>
      <c r="K7" s="19">
        <f>SUM(Ago!$G$8:$G$607)</f>
        <v>0</v>
      </c>
      <c r="L7" s="19">
        <f>SUM(Set!$G$8:$G$607)</f>
        <v>0</v>
      </c>
      <c r="M7" s="19">
        <f>SUM(Out!$G$8:$G$607)</f>
        <v>0</v>
      </c>
      <c r="N7" s="19">
        <f>SUM(Nov!$G$8:$G$607)</f>
        <v>0</v>
      </c>
      <c r="O7" s="19">
        <f>SUM(Dez!$G$8:$G$607)</f>
        <v>0</v>
      </c>
      <c r="P7" s="19">
        <f t="shared" ref="P7" si="1">SUM(D7:O7)</f>
        <v>0</v>
      </c>
    </row>
    <row r="8" spans="1:26" ht="25.5" customHeight="1" thickTop="1" thickBot="1">
      <c r="C8" s="39" t="s">
        <v>57</v>
      </c>
      <c r="D8" s="19">
        <f>D6-D7</f>
        <v>0</v>
      </c>
      <c r="E8" s="19">
        <f t="shared" ref="E8:P8" si="2">E6-E7</f>
        <v>0</v>
      </c>
      <c r="F8" s="19">
        <f t="shared" si="2"/>
        <v>0</v>
      </c>
      <c r="G8" s="19">
        <f t="shared" si="2"/>
        <v>0</v>
      </c>
      <c r="H8" s="19">
        <f t="shared" si="2"/>
        <v>0</v>
      </c>
      <c r="I8" s="19">
        <f t="shared" si="2"/>
        <v>0</v>
      </c>
      <c r="J8" s="19">
        <f t="shared" si="2"/>
        <v>0</v>
      </c>
      <c r="K8" s="19">
        <f t="shared" si="2"/>
        <v>0</v>
      </c>
      <c r="L8" s="19">
        <f t="shared" si="2"/>
        <v>0</v>
      </c>
      <c r="M8" s="19">
        <f t="shared" si="2"/>
        <v>0</v>
      </c>
      <c r="N8" s="19">
        <f t="shared" si="2"/>
        <v>0</v>
      </c>
      <c r="O8" s="19">
        <f t="shared" si="2"/>
        <v>0</v>
      </c>
      <c r="P8" s="19">
        <f t="shared" si="2"/>
        <v>0</v>
      </c>
    </row>
    <row r="9" spans="1:26" ht="25.5" customHeight="1" thickTop="1">
      <c r="C9" s="39" t="s">
        <v>58</v>
      </c>
      <c r="D9" s="19">
        <f>D5+D8</f>
        <v>0</v>
      </c>
      <c r="E9" s="19">
        <f t="shared" ref="E9:O9" si="3">E5+E8</f>
        <v>0</v>
      </c>
      <c r="F9" s="19">
        <f t="shared" si="3"/>
        <v>0</v>
      </c>
      <c r="G9" s="19">
        <f t="shared" si="3"/>
        <v>0</v>
      </c>
      <c r="H9" s="19">
        <f t="shared" si="3"/>
        <v>0</v>
      </c>
      <c r="I9" s="19">
        <f t="shared" si="3"/>
        <v>0</v>
      </c>
      <c r="J9" s="19">
        <f t="shared" si="3"/>
        <v>0</v>
      </c>
      <c r="K9" s="19">
        <f t="shared" si="3"/>
        <v>0</v>
      </c>
      <c r="L9" s="19">
        <f t="shared" si="3"/>
        <v>0</v>
      </c>
      <c r="M9" s="19">
        <f t="shared" si="3"/>
        <v>0</v>
      </c>
      <c r="N9" s="19">
        <f t="shared" si="3"/>
        <v>0</v>
      </c>
      <c r="O9" s="19">
        <f t="shared" si="3"/>
        <v>0</v>
      </c>
      <c r="P9" s="19">
        <f>O9</f>
        <v>0</v>
      </c>
    </row>
  </sheetData>
  <sheetProtection sheet="1" selectLockedCells="1"/>
  <conditionalFormatting sqref="D8:P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9:P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30</vt:i4>
      </vt:variant>
    </vt:vector>
  </HeadingPairs>
  <TitlesOfParts>
    <vt:vector size="46" baseType="lpstr">
      <vt:lpstr>TA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TE</vt:lpstr>
      <vt:lpstr>BF</vt:lpstr>
      <vt:lpstr>FC</vt:lpstr>
      <vt:lpstr>Abr!Area_de_impressao</vt:lpstr>
      <vt:lpstr>Ago!Area_de_impressao</vt:lpstr>
      <vt:lpstr>BF!Area_de_impressao</vt:lpstr>
      <vt:lpstr>Dez!Area_de_impressao</vt:lpstr>
      <vt:lpstr>FC!Area_de_impressao</vt:lpstr>
      <vt:lpstr>Fev!Area_de_impressao</vt:lpstr>
      <vt:lpstr>Jan!Area_de_impressao</vt:lpstr>
      <vt:lpstr>Jul!Area_de_impressao</vt:lpstr>
      <vt:lpstr>Jun!Area_de_impressao</vt:lpstr>
      <vt:lpstr>Mai!Area_de_impressao</vt:lpstr>
      <vt:lpstr>Mar!Area_de_impressao</vt:lpstr>
      <vt:lpstr>Nov!Area_de_impressao</vt:lpstr>
      <vt:lpstr>Out!Area_de_impressao</vt:lpstr>
      <vt:lpstr>Set!Area_de_impressao</vt:lpstr>
      <vt:lpstr>TA!Area_de_impressao</vt:lpstr>
      <vt:lpstr>TE!Area_de_impressao</vt:lpstr>
      <vt:lpstr>Abr!Titulos_de_impressao</vt:lpstr>
      <vt:lpstr>Ago!Titulos_de_impressao</vt:lpstr>
      <vt:lpstr>BF!Titulos_de_impressao</vt:lpstr>
      <vt:lpstr>Dez!Titulos_de_impressao</vt:lpstr>
      <vt:lpstr>FC!Titulos_de_impressao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Nov!Titulos_de_impressao</vt:lpstr>
      <vt:lpstr>Out!Titulos_de_impressao</vt:lpstr>
      <vt:lpstr>Set!Titulos_de_impressao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Sebastião Ferreira</cp:lastModifiedBy>
  <dcterms:created xsi:type="dcterms:W3CDTF">2018-01-20T20:14:21Z</dcterms:created>
  <dcterms:modified xsi:type="dcterms:W3CDTF">2019-04-05T22:36:19Z</dcterms:modified>
</cp:coreProperties>
</file>