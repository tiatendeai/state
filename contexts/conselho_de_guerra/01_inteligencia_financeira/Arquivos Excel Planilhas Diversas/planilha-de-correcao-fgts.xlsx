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tables/table2.xml" ContentType="application/vnd.openxmlformats-officedocument.spreadsheetml.table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CapSilver\Desktop\Smart Planilhas\Planilhas Grátis Gui\Planilhas Diversas\"/>
    </mc:Choice>
  </mc:AlternateContent>
  <xr:revisionPtr revIDLastSave="0" documentId="13_ncr:1_{3C3F01CA-7D25-475E-A802-799DB86CB374}" xr6:coauthVersionLast="47" xr6:coauthVersionMax="47" xr10:uidLastSave="{00000000-0000-0000-0000-000000000000}"/>
  <bookViews>
    <workbookView xWindow="-108" yWindow="-108" windowWidth="23256" windowHeight="12576" xr2:uid="{F412CC89-AB06-46C4-AB18-C2718AB695A0}"/>
  </bookViews>
  <sheets>
    <sheet name="MENU" sheetId="3" r:id="rId1"/>
    <sheet name="INSTRUÇÕES" sheetId="4" r:id="rId2"/>
    <sheet name="ÍNDICE_INPC" sheetId="1" r:id="rId3"/>
    <sheet name="COMPARATIVO" sheetId="2" r:id="rId4"/>
    <sheet name="TABELAS" sheetId="5" r:id="rId5"/>
    <sheet name="Sobre" sheetId="6" r:id="rId6"/>
  </sheets>
  <externalReferences>
    <externalReference r:id="rId7"/>
    <externalReference r:id="rId8"/>
    <externalReference r:id="rId9"/>
    <externalReference r:id="rId10"/>
    <externalReference r:id="rId11"/>
  </externalReferences>
  <definedNames>
    <definedName name="´´INDICE_IPCA">COMPARATIVO!$A$1</definedName>
    <definedName name="CADASTRO">#REF!</definedName>
    <definedName name="CATEGORIA2">[1]B_DADOS!$D$6:$D$12</definedName>
    <definedName name="COMPARATIVO">[2]COMPARATIVO!#REF!</definedName>
    <definedName name="DASHBOARD">#REF!</definedName>
    <definedName name="Data">OFFSET(#REF!,0,0,COUNT(#REF!),1)</definedName>
    <definedName name="DEPARTAMENTO2">[1]B_DADOS!$J$6:$J$11</definedName>
    <definedName name="Empresa">OFFSET('[4]Base de dados'!$I$2,0,0,COUNTA('[4]Base de dados'!$I:$I)-1,1)</definedName>
    <definedName name="Empresas">OFFSET('[5]Cadastro de empresas'!$A$2,0,0,COUNTA('[5]Cadastro de empresas'!$A:$A)-1,1)</definedName>
    <definedName name="ESTADO_CONSERVAÇÃO2">[1]B_DADOS!$L$6:$L$10</definedName>
    <definedName name="FrasesComplementares">OFFSET('[5]Frases complementares'!$A$2,0,0,COUNTA('[5]Frases complementares'!$A:$A)-1,1)</definedName>
    <definedName name="FrasesPerigo">OFFSET('[5]Frases de perigo'!$A$2,0,0,COUNTA('[5]Frases de perigo'!$A:$A)-1,1)</definedName>
    <definedName name="FrasesPrecaucao">OFFSET('[5]Frases de precaução'!$A$2,0,0,COUNTA('[5]Frases de precaução'!$A:$A)-1,1)</definedName>
    <definedName name="GRUPO_PATRIMONIAL2">[1]B_DADOS!$F$6:$F$11</definedName>
    <definedName name="ÍNDICE_INPC">ÍNDICE_INPC!$A$1</definedName>
    <definedName name="INDICE_IPCA">COMPARATIVO!$A$1</definedName>
    <definedName name="INSTRUÇÕES">INSTRUÇÕES!$A$1</definedName>
    <definedName name="INVENTÁRO">[1]INVENTÁRIO!#REF!</definedName>
    <definedName name="Matricula">OFFSET(#REF!,0,0,COUNTA(#REF!)-2,1)</definedName>
    <definedName name="Matriculas">#REF!</definedName>
    <definedName name="MENU">MENU!$A$1</definedName>
    <definedName name="MOVIMENTO2">[1]B_DADOS!$N$6:$N$8</definedName>
    <definedName name="Pictograma1">INDEX([5]Pictogramas!$B:$B,MATCH([5]Cálculos!$B$1,[5]Pictogramas!$A:$A,0))</definedName>
    <definedName name="Pictograma2">INDEX([5]Pictogramas!$B:$B,MATCH([5]Cálculos!$B$2,[5]Pictogramas!$A:$A,0))</definedName>
    <definedName name="Pictograma3">INDEX([5]Pictogramas!$B:$B,MATCH([5]Cálculos!$B$3,[5]Pictogramas!$A:$A,0))</definedName>
    <definedName name="Pictograma4">INDEX([5]Pictogramas!$B:$B,MATCH([5]Cálculos!$B$4,[5]Pictogramas!$A:$A,0))</definedName>
    <definedName name="Pictogramas">OFFSET([5]Pictogramas!$A$2,0,0,COUNTA([5]Pictogramas!$A:$A)-1,1)</definedName>
    <definedName name="Referencia">OFFSET(#REF!,0,0,COUNTA(#REF!)-2,1)</definedName>
    <definedName name="RELATÓRIO">#REF!</definedName>
    <definedName name="TAXA_INPC">ÍNDICE_INPC!$A$1</definedName>
    <definedName name="TIPOS_IMPOSTO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11" i="2" l="1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J10" i="2"/>
  <c r="I10" i="2"/>
  <c r="C9" i="2"/>
  <c r="K9" i="2" s="1"/>
  <c r="K8" i="1"/>
  <c r="N9" i="2" s="1"/>
  <c r="M9" i="2" l="1"/>
  <c r="C10" i="2"/>
  <c r="E10" i="2" s="1"/>
  <c r="F10" i="2" s="1"/>
  <c r="G10" i="2" s="1"/>
  <c r="H10" i="2" s="1"/>
  <c r="K10" i="2" s="1"/>
  <c r="C11" i="2" s="1"/>
  <c r="E11" i="2" s="1"/>
  <c r="F11" i="2" s="1"/>
  <c r="G11" i="2" s="1"/>
  <c r="M10" i="2" l="1"/>
  <c r="H11" i="2"/>
  <c r="K11" i="2" s="1"/>
  <c r="M11" i="2" l="1"/>
  <c r="C12" i="2"/>
  <c r="E12" i="2" s="1"/>
  <c r="F12" i="2" s="1"/>
  <c r="G12" i="2" l="1"/>
  <c r="H12" i="2" s="1"/>
  <c r="K12" i="2" s="1"/>
  <c r="C13" i="2" l="1"/>
  <c r="E13" i="2" s="1"/>
  <c r="F13" i="2" s="1"/>
  <c r="M12" i="2"/>
  <c r="G13" i="2" l="1"/>
  <c r="H13" i="2" s="1"/>
  <c r="K13" i="2" s="1"/>
  <c r="M13" i="2" l="1"/>
  <c r="C14" i="2"/>
  <c r="E14" i="2" s="1"/>
  <c r="F14" i="2" s="1"/>
  <c r="G14" i="2" l="1"/>
  <c r="H14" i="2" s="1"/>
  <c r="K14" i="2" s="1"/>
  <c r="C15" i="2" l="1"/>
  <c r="E15" i="2" s="1"/>
  <c r="F15" i="2" s="1"/>
  <c r="M14" i="2"/>
  <c r="G15" i="2" l="1"/>
  <c r="H15" i="2" s="1"/>
  <c r="K15" i="2" s="1"/>
  <c r="M15" i="2" l="1"/>
  <c r="C16" i="2"/>
  <c r="E16" i="2" s="1"/>
  <c r="F16" i="2" s="1"/>
  <c r="G16" i="2" l="1"/>
  <c r="H16" i="2" s="1"/>
  <c r="K16" i="2" s="1"/>
  <c r="M16" i="2" l="1"/>
  <c r="C17" i="2"/>
  <c r="E17" i="2" s="1"/>
  <c r="F17" i="2" s="1"/>
  <c r="G17" i="2" s="1"/>
  <c r="H17" i="2" s="1"/>
  <c r="K17" i="2" s="1"/>
  <c r="M17" i="2" l="1"/>
  <c r="C18" i="2"/>
  <c r="E18" i="2" s="1"/>
  <c r="F18" i="2" s="1"/>
  <c r="G18" i="2" l="1"/>
  <c r="H18" i="2" s="1"/>
  <c r="K18" i="2" s="1"/>
  <c r="C19" i="2" l="1"/>
  <c r="E19" i="2" s="1"/>
  <c r="F19" i="2" s="1"/>
  <c r="M18" i="2"/>
  <c r="G19" i="2" l="1"/>
  <c r="H19" i="2" s="1"/>
  <c r="K19" i="2" s="1"/>
  <c r="C20" i="2" l="1"/>
  <c r="E20" i="2" s="1"/>
  <c r="F20" i="2" s="1"/>
  <c r="M19" i="2"/>
  <c r="G20" i="2" l="1"/>
  <c r="H20" i="2" s="1"/>
  <c r="K20" i="2" s="1"/>
  <c r="M20" i="2" l="1"/>
  <c r="C21" i="2"/>
  <c r="E21" i="2" s="1"/>
  <c r="F21" i="2" s="1"/>
  <c r="G21" i="2" l="1"/>
  <c r="H21" i="2" s="1"/>
  <c r="K21" i="2" s="1"/>
  <c r="M21" i="2" l="1"/>
  <c r="C22" i="2"/>
  <c r="E22" i="2" s="1"/>
  <c r="F22" i="2" s="1"/>
  <c r="G22" i="2" l="1"/>
  <c r="H22" i="2" s="1"/>
  <c r="K22" i="2" s="1"/>
  <c r="C23" i="2" l="1"/>
  <c r="E23" i="2" s="1"/>
  <c r="F23" i="2" s="1"/>
  <c r="M22" i="2"/>
  <c r="G23" i="2" l="1"/>
  <c r="H23" i="2" s="1"/>
  <c r="K23" i="2" s="1"/>
  <c r="M23" i="2" l="1"/>
  <c r="C24" i="2"/>
  <c r="E24" i="2" s="1"/>
  <c r="F24" i="2" s="1"/>
  <c r="G24" i="2" l="1"/>
  <c r="H24" i="2" s="1"/>
  <c r="K24" i="2" s="1"/>
  <c r="C25" i="2" l="1"/>
  <c r="E25" i="2" s="1"/>
  <c r="F25" i="2" s="1"/>
  <c r="M24" i="2"/>
  <c r="G25" i="2" l="1"/>
  <c r="H25" i="2" s="1"/>
  <c r="K25" i="2" s="1"/>
  <c r="C26" i="2" l="1"/>
  <c r="E26" i="2" s="1"/>
  <c r="F26" i="2" s="1"/>
  <c r="M25" i="2"/>
  <c r="G26" i="2" l="1"/>
  <c r="H26" i="2" s="1"/>
  <c r="K26" i="2" s="1"/>
  <c r="C27" i="2" l="1"/>
  <c r="E27" i="2" s="1"/>
  <c r="F27" i="2" s="1"/>
  <c r="M26" i="2"/>
  <c r="G27" i="2" l="1"/>
  <c r="H27" i="2" s="1"/>
  <c r="K27" i="2" s="1"/>
  <c r="M27" i="2" l="1"/>
  <c r="C28" i="2"/>
  <c r="E28" i="2" s="1"/>
  <c r="F28" i="2" s="1"/>
  <c r="G28" i="2" l="1"/>
  <c r="H28" i="2" s="1"/>
  <c r="K28" i="2" s="1"/>
  <c r="C29" i="2" l="1"/>
  <c r="E29" i="2" s="1"/>
  <c r="F29" i="2" s="1"/>
  <c r="M28" i="2"/>
  <c r="G29" i="2" l="1"/>
  <c r="H29" i="2" s="1"/>
  <c r="K29" i="2" s="1"/>
  <c r="M29" i="2" l="1"/>
  <c r="C30" i="2"/>
  <c r="E30" i="2" s="1"/>
  <c r="F30" i="2" s="1"/>
  <c r="G30" i="2" l="1"/>
  <c r="H30" i="2" s="1"/>
  <c r="K30" i="2" s="1"/>
  <c r="C31" i="2" l="1"/>
  <c r="E31" i="2" s="1"/>
  <c r="F31" i="2" s="1"/>
  <c r="M30" i="2"/>
  <c r="G31" i="2" l="1"/>
  <c r="H31" i="2" s="1"/>
  <c r="K31" i="2" s="1"/>
  <c r="C32" i="2" l="1"/>
  <c r="E32" i="2" s="1"/>
  <c r="F32" i="2" s="1"/>
  <c r="M31" i="2"/>
  <c r="G32" i="2" l="1"/>
  <c r="H32" i="2" s="1"/>
  <c r="K32" i="2" s="1"/>
  <c r="C33" i="2" l="1"/>
  <c r="E33" i="2" s="1"/>
  <c r="F33" i="2" s="1"/>
  <c r="M32" i="2"/>
  <c r="G33" i="2" l="1"/>
  <c r="H33" i="2" s="1"/>
  <c r="K33" i="2" s="1"/>
  <c r="C34" i="2" l="1"/>
  <c r="E34" i="2" s="1"/>
  <c r="F34" i="2" s="1"/>
  <c r="M33" i="2"/>
  <c r="G34" i="2" l="1"/>
  <c r="H34" i="2" s="1"/>
  <c r="K34" i="2" s="1"/>
  <c r="C35" i="2" l="1"/>
  <c r="E35" i="2" s="1"/>
  <c r="F35" i="2" s="1"/>
  <c r="M34" i="2"/>
  <c r="G35" i="2" l="1"/>
  <c r="H35" i="2" s="1"/>
  <c r="K35" i="2" s="1"/>
  <c r="C36" i="2" l="1"/>
  <c r="E36" i="2" s="1"/>
  <c r="F36" i="2" s="1"/>
  <c r="M35" i="2"/>
  <c r="G36" i="2" l="1"/>
  <c r="H36" i="2" s="1"/>
  <c r="K36" i="2" s="1"/>
  <c r="C37" i="2" l="1"/>
  <c r="E37" i="2" s="1"/>
  <c r="F37" i="2" s="1"/>
  <c r="M36" i="2"/>
  <c r="G37" i="2" l="1"/>
  <c r="H37" i="2" s="1"/>
  <c r="K37" i="2" s="1"/>
  <c r="C38" i="2" l="1"/>
  <c r="E38" i="2" s="1"/>
  <c r="F38" i="2" s="1"/>
  <c r="M37" i="2"/>
  <c r="G38" i="2" l="1"/>
  <c r="H38" i="2" s="1"/>
  <c r="K38" i="2" s="1"/>
  <c r="M38" i="2" l="1"/>
  <c r="C39" i="2"/>
  <c r="E39" i="2" s="1"/>
  <c r="F39" i="2" s="1"/>
  <c r="G39" i="2" l="1"/>
  <c r="H39" i="2" s="1"/>
  <c r="K39" i="2" s="1"/>
  <c r="C40" i="2" l="1"/>
  <c r="E40" i="2" s="1"/>
  <c r="F40" i="2" s="1"/>
  <c r="M39" i="2"/>
  <c r="G40" i="2" l="1"/>
  <c r="H40" i="2" s="1"/>
  <c r="K40" i="2" s="1"/>
  <c r="M40" i="2" l="1"/>
  <c r="C41" i="2"/>
  <c r="E41" i="2" s="1"/>
  <c r="F41" i="2" s="1"/>
  <c r="G41" i="2" l="1"/>
  <c r="H41" i="2" s="1"/>
  <c r="K41" i="2" s="1"/>
  <c r="C42" i="2" l="1"/>
  <c r="E42" i="2" s="1"/>
  <c r="F42" i="2" s="1"/>
  <c r="M41" i="2"/>
  <c r="G42" i="2" l="1"/>
  <c r="H42" i="2" s="1"/>
  <c r="K42" i="2" s="1"/>
  <c r="M42" i="2" l="1"/>
  <c r="C43" i="2"/>
  <c r="E43" i="2" s="1"/>
  <c r="F43" i="2" s="1"/>
  <c r="G43" i="2" l="1"/>
  <c r="H43" i="2" s="1"/>
  <c r="K43" i="2" s="1"/>
  <c r="C44" i="2" l="1"/>
  <c r="E44" i="2" s="1"/>
  <c r="F44" i="2" s="1"/>
  <c r="M43" i="2"/>
  <c r="G44" i="2" l="1"/>
  <c r="H44" i="2" s="1"/>
  <c r="K44" i="2" s="1"/>
  <c r="M44" i="2" l="1"/>
  <c r="C45" i="2"/>
  <c r="E45" i="2" s="1"/>
  <c r="F45" i="2" s="1"/>
  <c r="G45" i="2" l="1"/>
  <c r="H45" i="2" s="1"/>
  <c r="K45" i="2" s="1"/>
  <c r="C46" i="2" l="1"/>
  <c r="E46" i="2" s="1"/>
  <c r="F46" i="2" s="1"/>
  <c r="M45" i="2"/>
  <c r="G46" i="2" l="1"/>
  <c r="H46" i="2" s="1"/>
  <c r="K46" i="2" s="1"/>
  <c r="M46" i="2" l="1"/>
  <c r="C47" i="2"/>
  <c r="E47" i="2" s="1"/>
  <c r="F47" i="2" s="1"/>
  <c r="G47" i="2" l="1"/>
  <c r="H47" i="2" s="1"/>
  <c r="K47" i="2" s="1"/>
  <c r="C48" i="2" l="1"/>
  <c r="E48" i="2" s="1"/>
  <c r="F48" i="2" s="1"/>
  <c r="M47" i="2"/>
  <c r="G48" i="2" l="1"/>
  <c r="H48" i="2" s="1"/>
  <c r="K48" i="2" s="1"/>
  <c r="M48" i="2" l="1"/>
  <c r="C49" i="2"/>
  <c r="E49" i="2" s="1"/>
  <c r="F49" i="2" s="1"/>
  <c r="G49" i="2" l="1"/>
  <c r="H49" i="2" s="1"/>
  <c r="K49" i="2" s="1"/>
  <c r="C50" i="2" l="1"/>
  <c r="E50" i="2" s="1"/>
  <c r="F50" i="2" s="1"/>
  <c r="M49" i="2"/>
  <c r="G50" i="2" l="1"/>
  <c r="H50" i="2" s="1"/>
  <c r="K50" i="2" s="1"/>
  <c r="M50" i="2" l="1"/>
  <c r="C51" i="2"/>
  <c r="E51" i="2" s="1"/>
  <c r="F51" i="2" s="1"/>
  <c r="G51" i="2" l="1"/>
  <c r="H51" i="2" s="1"/>
  <c r="K51" i="2" s="1"/>
  <c r="C52" i="2" l="1"/>
  <c r="E52" i="2" s="1"/>
  <c r="F52" i="2" s="1"/>
  <c r="M51" i="2"/>
  <c r="G52" i="2" l="1"/>
  <c r="H52" i="2" s="1"/>
  <c r="K52" i="2" s="1"/>
  <c r="M52" i="2" l="1"/>
  <c r="C53" i="2"/>
  <c r="E53" i="2" s="1"/>
  <c r="F53" i="2" s="1"/>
  <c r="G53" i="2" l="1"/>
  <c r="H53" i="2" s="1"/>
  <c r="K53" i="2" s="1"/>
  <c r="C54" i="2" l="1"/>
  <c r="E54" i="2" s="1"/>
  <c r="F54" i="2" s="1"/>
  <c r="M53" i="2"/>
  <c r="G54" i="2" l="1"/>
  <c r="H54" i="2" s="1"/>
  <c r="K54" i="2" s="1"/>
  <c r="C55" i="2" l="1"/>
  <c r="E55" i="2" s="1"/>
  <c r="F55" i="2" s="1"/>
  <c r="M54" i="2"/>
  <c r="G55" i="2" l="1"/>
  <c r="H55" i="2" s="1"/>
  <c r="K55" i="2" s="1"/>
  <c r="M55" i="2" l="1"/>
  <c r="C56" i="2"/>
  <c r="E56" i="2" s="1"/>
  <c r="F56" i="2" s="1"/>
  <c r="G56" i="2" l="1"/>
  <c r="H56" i="2" s="1"/>
  <c r="K56" i="2" s="1"/>
  <c r="C57" i="2" l="1"/>
  <c r="E57" i="2" s="1"/>
  <c r="F57" i="2" s="1"/>
  <c r="M56" i="2"/>
  <c r="G57" i="2" l="1"/>
  <c r="H57" i="2" s="1"/>
  <c r="K57" i="2" s="1"/>
  <c r="M57" i="2" l="1"/>
  <c r="C58" i="2"/>
  <c r="E58" i="2" s="1"/>
  <c r="F58" i="2" s="1"/>
  <c r="G58" i="2" l="1"/>
  <c r="H58" i="2" s="1"/>
  <c r="K58" i="2" s="1"/>
  <c r="C59" i="2" l="1"/>
  <c r="E59" i="2" s="1"/>
  <c r="F59" i="2" s="1"/>
  <c r="M58" i="2"/>
  <c r="G59" i="2" l="1"/>
  <c r="H59" i="2" s="1"/>
  <c r="K59" i="2" s="1"/>
  <c r="C60" i="2" l="1"/>
  <c r="E60" i="2" s="1"/>
  <c r="F60" i="2" s="1"/>
  <c r="M59" i="2"/>
  <c r="G60" i="2" l="1"/>
  <c r="H60" i="2" s="1"/>
  <c r="K60" i="2" s="1"/>
  <c r="C61" i="2" l="1"/>
  <c r="E61" i="2" s="1"/>
  <c r="F61" i="2" s="1"/>
  <c r="M60" i="2"/>
  <c r="G61" i="2" l="1"/>
  <c r="H61" i="2" s="1"/>
  <c r="K61" i="2" s="1"/>
  <c r="M61" i="2" l="1"/>
  <c r="C62" i="2"/>
  <c r="E62" i="2" s="1"/>
  <c r="F62" i="2" s="1"/>
  <c r="G62" i="2" l="1"/>
  <c r="H62" i="2" s="1"/>
  <c r="K62" i="2" s="1"/>
  <c r="M62" i="2" l="1"/>
  <c r="C63" i="2"/>
  <c r="E63" i="2" s="1"/>
  <c r="F63" i="2" s="1"/>
  <c r="G63" i="2" l="1"/>
  <c r="H63" i="2" s="1"/>
  <c r="K63" i="2" s="1"/>
  <c r="M63" i="2" l="1"/>
  <c r="C64" i="2"/>
  <c r="E64" i="2" s="1"/>
  <c r="F64" i="2" s="1"/>
  <c r="G64" i="2" l="1"/>
  <c r="H64" i="2" s="1"/>
  <c r="K64" i="2" s="1"/>
  <c r="M64" i="2" l="1"/>
  <c r="C65" i="2"/>
  <c r="E65" i="2" s="1"/>
  <c r="F65" i="2" s="1"/>
  <c r="G65" i="2" l="1"/>
  <c r="H65" i="2" s="1"/>
  <c r="K65" i="2" s="1"/>
  <c r="M65" i="2" l="1"/>
  <c r="C66" i="2"/>
  <c r="E66" i="2" s="1"/>
  <c r="F66" i="2" s="1"/>
  <c r="G66" i="2" l="1"/>
  <c r="H66" i="2" s="1"/>
  <c r="K66" i="2" s="1"/>
  <c r="C67" i="2" l="1"/>
  <c r="E67" i="2" s="1"/>
  <c r="F67" i="2" s="1"/>
  <c r="M66" i="2"/>
  <c r="G67" i="2" l="1"/>
  <c r="H67" i="2" s="1"/>
  <c r="K67" i="2" s="1"/>
  <c r="M67" i="2" l="1"/>
  <c r="C68" i="2"/>
  <c r="E68" i="2" s="1"/>
  <c r="F68" i="2" s="1"/>
  <c r="G68" i="2" l="1"/>
  <c r="H68" i="2" s="1"/>
  <c r="K68" i="2" s="1"/>
  <c r="M68" i="2" l="1"/>
  <c r="C69" i="2"/>
  <c r="E69" i="2" s="1"/>
  <c r="F69" i="2" s="1"/>
  <c r="G69" i="2" l="1"/>
  <c r="H69" i="2" s="1"/>
  <c r="K69" i="2" s="1"/>
  <c r="M69" i="2" l="1"/>
  <c r="C70" i="2"/>
  <c r="E70" i="2" s="1"/>
  <c r="F70" i="2" s="1"/>
  <c r="G70" i="2" l="1"/>
  <c r="H70" i="2" s="1"/>
  <c r="K70" i="2" s="1"/>
  <c r="C71" i="2" l="1"/>
  <c r="E71" i="2" s="1"/>
  <c r="F71" i="2" s="1"/>
  <c r="M70" i="2"/>
  <c r="G71" i="2" l="1"/>
  <c r="H71" i="2" s="1"/>
  <c r="K71" i="2" s="1"/>
  <c r="M71" i="2" l="1"/>
  <c r="C72" i="2"/>
  <c r="E72" i="2" s="1"/>
  <c r="F72" i="2" s="1"/>
  <c r="G72" i="2" l="1"/>
  <c r="H72" i="2" s="1"/>
  <c r="K72" i="2" s="1"/>
  <c r="M72" i="2" l="1"/>
  <c r="C73" i="2"/>
  <c r="E73" i="2" s="1"/>
  <c r="F73" i="2" s="1"/>
  <c r="G73" i="2" l="1"/>
  <c r="H73" i="2" s="1"/>
  <c r="K73" i="2" s="1"/>
  <c r="M73" i="2" l="1"/>
  <c r="C74" i="2"/>
  <c r="E74" i="2" s="1"/>
  <c r="F74" i="2" s="1"/>
  <c r="G74" i="2" l="1"/>
  <c r="H74" i="2" s="1"/>
  <c r="K74" i="2" s="1"/>
  <c r="C75" i="2" l="1"/>
  <c r="E75" i="2" s="1"/>
  <c r="F75" i="2" s="1"/>
  <c r="M74" i="2"/>
  <c r="G75" i="2" l="1"/>
  <c r="H75" i="2" s="1"/>
  <c r="K75" i="2" s="1"/>
  <c r="M75" i="2" l="1"/>
  <c r="C76" i="2"/>
  <c r="E76" i="2" s="1"/>
  <c r="F76" i="2" s="1"/>
  <c r="G76" i="2" l="1"/>
  <c r="H76" i="2" s="1"/>
  <c r="K76" i="2" s="1"/>
  <c r="M76" i="2" l="1"/>
  <c r="C77" i="2"/>
  <c r="E77" i="2" s="1"/>
  <c r="F77" i="2" s="1"/>
  <c r="G77" i="2" l="1"/>
  <c r="H77" i="2" s="1"/>
  <c r="K77" i="2" s="1"/>
  <c r="M77" i="2" l="1"/>
  <c r="C78" i="2"/>
  <c r="E78" i="2" s="1"/>
  <c r="F78" i="2" s="1"/>
  <c r="G78" i="2" l="1"/>
  <c r="H78" i="2" s="1"/>
  <c r="K78" i="2" s="1"/>
  <c r="C79" i="2" l="1"/>
  <c r="E79" i="2" s="1"/>
  <c r="F79" i="2" s="1"/>
  <c r="M78" i="2"/>
  <c r="G79" i="2" l="1"/>
  <c r="H79" i="2" s="1"/>
  <c r="K79" i="2" s="1"/>
  <c r="M79" i="2" l="1"/>
  <c r="C80" i="2"/>
  <c r="E80" i="2" s="1"/>
  <c r="F80" i="2" s="1"/>
  <c r="G80" i="2" l="1"/>
  <c r="H80" i="2" s="1"/>
  <c r="K80" i="2" s="1"/>
  <c r="M80" i="2" l="1"/>
  <c r="C81" i="2"/>
  <c r="E81" i="2" s="1"/>
  <c r="F81" i="2" s="1"/>
  <c r="G81" i="2" l="1"/>
  <c r="H81" i="2" s="1"/>
  <c r="K81" i="2" s="1"/>
  <c r="M81" i="2" l="1"/>
  <c r="C82" i="2"/>
  <c r="E82" i="2" s="1"/>
  <c r="F82" i="2" s="1"/>
  <c r="G82" i="2" l="1"/>
  <c r="H82" i="2" s="1"/>
  <c r="K82" i="2" s="1"/>
  <c r="C83" i="2" l="1"/>
  <c r="E83" i="2" s="1"/>
  <c r="F83" i="2" s="1"/>
  <c r="M82" i="2"/>
  <c r="G83" i="2" l="1"/>
  <c r="H83" i="2" s="1"/>
  <c r="K83" i="2" s="1"/>
  <c r="M83" i="2" l="1"/>
  <c r="C84" i="2"/>
  <c r="E84" i="2" s="1"/>
  <c r="F84" i="2" s="1"/>
  <c r="G84" i="2" l="1"/>
  <c r="H84" i="2" s="1"/>
  <c r="K84" i="2" s="1"/>
  <c r="M84" i="2" l="1"/>
  <c r="C85" i="2"/>
  <c r="E85" i="2" s="1"/>
  <c r="F85" i="2" s="1"/>
  <c r="G85" i="2" l="1"/>
  <c r="H85" i="2" s="1"/>
  <c r="K85" i="2" s="1"/>
  <c r="M85" i="2" l="1"/>
  <c r="C86" i="2"/>
  <c r="E86" i="2" s="1"/>
  <c r="F86" i="2" s="1"/>
  <c r="G86" i="2" l="1"/>
  <c r="H86" i="2" s="1"/>
  <c r="K86" i="2" s="1"/>
  <c r="M86" i="2" l="1"/>
  <c r="C87" i="2"/>
  <c r="E87" i="2" s="1"/>
  <c r="F87" i="2" s="1"/>
  <c r="G87" i="2" l="1"/>
  <c r="H87" i="2" s="1"/>
  <c r="K87" i="2" s="1"/>
  <c r="M87" i="2" l="1"/>
  <c r="C88" i="2"/>
  <c r="E88" i="2" s="1"/>
  <c r="F88" i="2" s="1"/>
  <c r="G88" i="2" l="1"/>
  <c r="H88" i="2" s="1"/>
  <c r="K88" i="2" s="1"/>
  <c r="M88" i="2" l="1"/>
  <c r="C89" i="2"/>
  <c r="E89" i="2" s="1"/>
  <c r="F89" i="2" s="1"/>
  <c r="G89" i="2" l="1"/>
  <c r="H89" i="2" s="1"/>
  <c r="K89" i="2" s="1"/>
  <c r="M89" i="2" l="1"/>
  <c r="C90" i="2"/>
  <c r="E90" i="2" s="1"/>
  <c r="F90" i="2" s="1"/>
  <c r="G90" i="2" l="1"/>
  <c r="H90" i="2" s="1"/>
  <c r="K90" i="2" s="1"/>
  <c r="C91" i="2" l="1"/>
  <c r="E91" i="2" s="1"/>
  <c r="F91" i="2" s="1"/>
  <c r="M90" i="2"/>
  <c r="G91" i="2" l="1"/>
  <c r="H91" i="2" s="1"/>
  <c r="K91" i="2" s="1"/>
  <c r="M91" i="2" l="1"/>
  <c r="C92" i="2"/>
  <c r="E92" i="2" s="1"/>
  <c r="F92" i="2" s="1"/>
  <c r="G92" i="2" l="1"/>
  <c r="H92" i="2" s="1"/>
  <c r="K92" i="2" s="1"/>
  <c r="M92" i="2" l="1"/>
  <c r="C93" i="2"/>
  <c r="E93" i="2" s="1"/>
  <c r="F93" i="2" s="1"/>
  <c r="G93" i="2" l="1"/>
  <c r="H93" i="2" s="1"/>
  <c r="K93" i="2" s="1"/>
  <c r="C94" i="2" l="1"/>
  <c r="E94" i="2" s="1"/>
  <c r="F94" i="2" s="1"/>
  <c r="M93" i="2"/>
  <c r="G94" i="2" l="1"/>
  <c r="H94" i="2" s="1"/>
  <c r="K94" i="2" s="1"/>
  <c r="M94" i="2" l="1"/>
  <c r="C95" i="2"/>
  <c r="E95" i="2" s="1"/>
  <c r="F95" i="2" s="1"/>
  <c r="G95" i="2" l="1"/>
  <c r="H95" i="2" s="1"/>
  <c r="K95" i="2" s="1"/>
  <c r="C96" i="2" l="1"/>
  <c r="E96" i="2" s="1"/>
  <c r="F96" i="2" s="1"/>
  <c r="M95" i="2"/>
  <c r="G96" i="2" l="1"/>
  <c r="H96" i="2" s="1"/>
  <c r="K96" i="2" s="1"/>
  <c r="M96" i="2" l="1"/>
  <c r="C97" i="2"/>
  <c r="E97" i="2" s="1"/>
  <c r="F97" i="2" s="1"/>
  <c r="G97" i="2" l="1"/>
  <c r="H97" i="2" s="1"/>
  <c r="K97" i="2" s="1"/>
  <c r="C98" i="2" l="1"/>
  <c r="E98" i="2" s="1"/>
  <c r="F98" i="2" s="1"/>
  <c r="M97" i="2"/>
  <c r="G98" i="2" l="1"/>
  <c r="H98" i="2" s="1"/>
  <c r="K98" i="2" s="1"/>
  <c r="C99" i="2" l="1"/>
  <c r="E99" i="2" s="1"/>
  <c r="F99" i="2" s="1"/>
  <c r="M98" i="2"/>
  <c r="G99" i="2" l="1"/>
  <c r="H99" i="2" s="1"/>
  <c r="K99" i="2" s="1"/>
  <c r="M99" i="2" l="1"/>
  <c r="C100" i="2"/>
  <c r="E100" i="2" s="1"/>
  <c r="F100" i="2" s="1"/>
  <c r="G100" i="2" l="1"/>
  <c r="H100" i="2" s="1"/>
  <c r="K100" i="2" s="1"/>
  <c r="M100" i="2" l="1"/>
  <c r="C101" i="2"/>
  <c r="E101" i="2" s="1"/>
  <c r="F101" i="2" s="1"/>
  <c r="G101" i="2" l="1"/>
  <c r="H101" i="2" s="1"/>
  <c r="K101" i="2" s="1"/>
  <c r="C102" i="2" l="1"/>
  <c r="E102" i="2" s="1"/>
  <c r="F102" i="2" s="1"/>
  <c r="M101" i="2"/>
  <c r="G102" i="2" l="1"/>
  <c r="H102" i="2" s="1"/>
  <c r="K102" i="2" s="1"/>
  <c r="C103" i="2" l="1"/>
  <c r="E103" i="2" s="1"/>
  <c r="F103" i="2" s="1"/>
  <c r="M102" i="2"/>
  <c r="G103" i="2" l="1"/>
  <c r="H103" i="2" s="1"/>
  <c r="K103" i="2" s="1"/>
  <c r="M103" i="2" l="1"/>
  <c r="C104" i="2"/>
  <c r="E104" i="2" s="1"/>
  <c r="F104" i="2" s="1"/>
  <c r="G104" i="2" l="1"/>
  <c r="H104" i="2" s="1"/>
  <c r="K104" i="2" s="1"/>
  <c r="M104" i="2" l="1"/>
  <c r="C105" i="2"/>
  <c r="E105" i="2" s="1"/>
  <c r="F105" i="2" s="1"/>
  <c r="G105" i="2" l="1"/>
  <c r="H105" i="2" s="1"/>
  <c r="K105" i="2" s="1"/>
  <c r="M105" i="2" l="1"/>
  <c r="C106" i="2"/>
  <c r="E106" i="2" s="1"/>
  <c r="F106" i="2" s="1"/>
  <c r="G106" i="2" l="1"/>
  <c r="H106" i="2" s="1"/>
  <c r="K106" i="2" s="1"/>
  <c r="C107" i="2" l="1"/>
  <c r="E107" i="2" s="1"/>
  <c r="F107" i="2" s="1"/>
  <c r="M106" i="2"/>
  <c r="G107" i="2" l="1"/>
  <c r="H107" i="2" s="1"/>
  <c r="K107" i="2" s="1"/>
  <c r="M107" i="2" l="1"/>
  <c r="C108" i="2"/>
  <c r="E108" i="2" s="1"/>
  <c r="F108" i="2" s="1"/>
  <c r="G108" i="2" l="1"/>
  <c r="H108" i="2" s="1"/>
  <c r="K108" i="2" s="1"/>
  <c r="M108" i="2" l="1"/>
  <c r="C109" i="2"/>
  <c r="E109" i="2" s="1"/>
  <c r="F109" i="2" s="1"/>
  <c r="G109" i="2" l="1"/>
  <c r="H109" i="2" s="1"/>
  <c r="K109" i="2" s="1"/>
  <c r="M109" i="2" l="1"/>
  <c r="C110" i="2"/>
  <c r="E110" i="2" s="1"/>
  <c r="F110" i="2" s="1"/>
  <c r="G110" i="2" l="1"/>
  <c r="H110" i="2" s="1"/>
  <c r="K110" i="2" s="1"/>
  <c r="C111" i="2" l="1"/>
  <c r="E111" i="2" s="1"/>
  <c r="F111" i="2" s="1"/>
  <c r="M110" i="2"/>
  <c r="G111" i="2" l="1"/>
  <c r="H111" i="2" s="1"/>
  <c r="K111" i="2" s="1"/>
  <c r="M111" i="2" l="1"/>
  <c r="C112" i="2"/>
  <c r="E112" i="2" s="1"/>
  <c r="F112" i="2" s="1"/>
  <c r="G112" i="2" l="1"/>
  <c r="H112" i="2" s="1"/>
  <c r="K112" i="2" s="1"/>
  <c r="C113" i="2" l="1"/>
  <c r="E113" i="2" s="1"/>
  <c r="F113" i="2" s="1"/>
  <c r="M112" i="2"/>
  <c r="G113" i="2" l="1"/>
  <c r="H113" i="2" s="1"/>
  <c r="K113" i="2" s="1"/>
  <c r="C114" i="2" l="1"/>
  <c r="E114" i="2" s="1"/>
  <c r="F114" i="2" s="1"/>
  <c r="M113" i="2"/>
  <c r="G114" i="2" l="1"/>
  <c r="H114" i="2" s="1"/>
  <c r="K114" i="2" s="1"/>
  <c r="C115" i="2" l="1"/>
  <c r="E115" i="2" s="1"/>
  <c r="F115" i="2" s="1"/>
  <c r="M114" i="2"/>
  <c r="G115" i="2" l="1"/>
  <c r="H115" i="2" s="1"/>
  <c r="K115" i="2" s="1"/>
  <c r="C116" i="2" l="1"/>
  <c r="E116" i="2" s="1"/>
  <c r="F116" i="2" s="1"/>
  <c r="M115" i="2"/>
  <c r="G116" i="2" l="1"/>
  <c r="H116" i="2" s="1"/>
  <c r="K116" i="2" s="1"/>
  <c r="C117" i="2" l="1"/>
  <c r="E117" i="2" s="1"/>
  <c r="F117" i="2" s="1"/>
  <c r="M116" i="2"/>
  <c r="G117" i="2" l="1"/>
  <c r="H117" i="2" s="1"/>
  <c r="K117" i="2" s="1"/>
  <c r="M117" i="2" l="1"/>
  <c r="C118" i="2"/>
  <c r="E118" i="2" s="1"/>
  <c r="F118" i="2" s="1"/>
  <c r="G118" i="2" l="1"/>
  <c r="H118" i="2" s="1"/>
  <c r="K118" i="2" s="1"/>
  <c r="C119" i="2" l="1"/>
  <c r="E119" i="2" s="1"/>
  <c r="F119" i="2" s="1"/>
  <c r="M118" i="2"/>
  <c r="G119" i="2" l="1"/>
  <c r="H119" i="2" s="1"/>
  <c r="K119" i="2" s="1"/>
  <c r="C120" i="2" l="1"/>
  <c r="E120" i="2" s="1"/>
  <c r="F120" i="2" s="1"/>
  <c r="M119" i="2"/>
  <c r="G120" i="2" l="1"/>
  <c r="H120" i="2" s="1"/>
  <c r="K120" i="2" s="1"/>
  <c r="C121" i="2" l="1"/>
  <c r="E121" i="2" s="1"/>
  <c r="F121" i="2" s="1"/>
  <c r="M120" i="2"/>
  <c r="G121" i="2" l="1"/>
  <c r="H121" i="2" s="1"/>
  <c r="K121" i="2" s="1"/>
  <c r="C122" i="2" l="1"/>
  <c r="E122" i="2" s="1"/>
  <c r="F122" i="2" s="1"/>
  <c r="M121" i="2"/>
  <c r="G122" i="2" l="1"/>
  <c r="H122" i="2" s="1"/>
  <c r="K122" i="2" s="1"/>
  <c r="C123" i="2" l="1"/>
  <c r="E123" i="2" s="1"/>
  <c r="F123" i="2" s="1"/>
  <c r="M122" i="2"/>
  <c r="G123" i="2" l="1"/>
  <c r="H123" i="2" s="1"/>
  <c r="K123" i="2" s="1"/>
  <c r="M123" i="2" l="1"/>
  <c r="C124" i="2"/>
  <c r="E124" i="2" s="1"/>
  <c r="F124" i="2" s="1"/>
  <c r="G124" i="2" l="1"/>
  <c r="H124" i="2" s="1"/>
  <c r="K124" i="2" s="1"/>
  <c r="M124" i="2" l="1"/>
  <c r="C125" i="2"/>
  <c r="E125" i="2" s="1"/>
  <c r="F125" i="2" s="1"/>
  <c r="G125" i="2" l="1"/>
  <c r="H125" i="2" s="1"/>
  <c r="K125" i="2" s="1"/>
  <c r="C126" i="2" l="1"/>
  <c r="E126" i="2" s="1"/>
  <c r="F126" i="2" s="1"/>
  <c r="M125" i="2"/>
  <c r="G126" i="2" l="1"/>
  <c r="H126" i="2" s="1"/>
  <c r="K126" i="2" s="1"/>
  <c r="C127" i="2" l="1"/>
  <c r="E127" i="2" s="1"/>
  <c r="F127" i="2" s="1"/>
  <c r="M126" i="2"/>
  <c r="G127" i="2" l="1"/>
  <c r="H127" i="2" s="1"/>
  <c r="K127" i="2" s="1"/>
  <c r="M127" i="2" l="1"/>
  <c r="C128" i="2"/>
  <c r="E128" i="2" s="1"/>
  <c r="F128" i="2" s="1"/>
  <c r="G128" i="2" l="1"/>
  <c r="H128" i="2" s="1"/>
  <c r="K128" i="2" s="1"/>
  <c r="C129" i="2" l="1"/>
  <c r="E129" i="2" s="1"/>
  <c r="F129" i="2" s="1"/>
  <c r="M128" i="2"/>
  <c r="G129" i="2" l="1"/>
  <c r="H129" i="2" s="1"/>
  <c r="K129" i="2" s="1"/>
  <c r="M129" i="2" l="1"/>
  <c r="C130" i="2"/>
  <c r="E130" i="2" s="1"/>
  <c r="F130" i="2" s="1"/>
  <c r="G130" i="2" l="1"/>
  <c r="H130" i="2" s="1"/>
  <c r="K130" i="2" s="1"/>
  <c r="M130" i="2" l="1"/>
  <c r="C131" i="2"/>
  <c r="E131" i="2" s="1"/>
  <c r="F131" i="2" s="1"/>
  <c r="G131" i="2" l="1"/>
  <c r="H131" i="2" s="1"/>
  <c r="K131" i="2" s="1"/>
  <c r="M131" i="2" l="1"/>
  <c r="C132" i="2"/>
  <c r="E132" i="2" s="1"/>
  <c r="F132" i="2" s="1"/>
  <c r="G132" i="2" l="1"/>
  <c r="H132" i="2" s="1"/>
  <c r="K132" i="2" s="1"/>
  <c r="M132" i="2" l="1"/>
  <c r="C133" i="2"/>
  <c r="E133" i="2" s="1"/>
  <c r="F133" i="2" s="1"/>
  <c r="G133" i="2" l="1"/>
  <c r="H133" i="2" s="1"/>
  <c r="K133" i="2" s="1"/>
  <c r="C134" i="2" l="1"/>
  <c r="E134" i="2" s="1"/>
  <c r="F134" i="2" s="1"/>
  <c r="M133" i="2"/>
  <c r="G134" i="2" l="1"/>
  <c r="H134" i="2" s="1"/>
  <c r="K134" i="2" s="1"/>
  <c r="C135" i="2" l="1"/>
  <c r="E135" i="2" s="1"/>
  <c r="F135" i="2" s="1"/>
  <c r="M134" i="2"/>
  <c r="G135" i="2" l="1"/>
  <c r="H135" i="2" s="1"/>
  <c r="K135" i="2" s="1"/>
  <c r="C136" i="2" l="1"/>
  <c r="E136" i="2" s="1"/>
  <c r="F136" i="2" s="1"/>
  <c r="M135" i="2"/>
  <c r="G136" i="2" l="1"/>
  <c r="H136" i="2" s="1"/>
  <c r="K136" i="2" s="1"/>
  <c r="M136" i="2" l="1"/>
  <c r="C137" i="2"/>
  <c r="E137" i="2" s="1"/>
  <c r="F137" i="2" s="1"/>
  <c r="G137" i="2" l="1"/>
  <c r="H137" i="2" s="1"/>
  <c r="K137" i="2" s="1"/>
  <c r="C138" i="2" l="1"/>
  <c r="E138" i="2" s="1"/>
  <c r="F138" i="2" s="1"/>
  <c r="M137" i="2"/>
  <c r="G138" i="2" l="1"/>
  <c r="H138" i="2" s="1"/>
  <c r="K138" i="2" s="1"/>
  <c r="M138" i="2" l="1"/>
  <c r="C139" i="2"/>
  <c r="E139" i="2" s="1"/>
  <c r="F139" i="2" s="1"/>
  <c r="G139" i="2" l="1"/>
  <c r="H139" i="2" s="1"/>
  <c r="K139" i="2" s="1"/>
  <c r="C140" i="2" l="1"/>
  <c r="E140" i="2" s="1"/>
  <c r="F140" i="2" s="1"/>
  <c r="M139" i="2"/>
  <c r="G140" i="2" l="1"/>
  <c r="H140" i="2" s="1"/>
  <c r="K140" i="2" s="1"/>
  <c r="M140" i="2" l="1"/>
  <c r="C141" i="2"/>
  <c r="E141" i="2" s="1"/>
  <c r="F141" i="2" s="1"/>
  <c r="G141" i="2" l="1"/>
  <c r="H141" i="2" s="1"/>
  <c r="K141" i="2" s="1"/>
  <c r="C142" i="2" l="1"/>
  <c r="E142" i="2" s="1"/>
  <c r="F142" i="2" s="1"/>
  <c r="M141" i="2"/>
  <c r="G142" i="2" l="1"/>
  <c r="H142" i="2" s="1"/>
  <c r="K142" i="2" s="1"/>
  <c r="M142" i="2" l="1"/>
  <c r="C143" i="2"/>
  <c r="E143" i="2" s="1"/>
  <c r="F143" i="2" s="1"/>
  <c r="G143" i="2" l="1"/>
  <c r="H143" i="2" s="1"/>
  <c r="K143" i="2" s="1"/>
  <c r="C144" i="2" l="1"/>
  <c r="E144" i="2" s="1"/>
  <c r="F144" i="2" s="1"/>
  <c r="M143" i="2"/>
  <c r="G144" i="2" l="1"/>
  <c r="H144" i="2" s="1"/>
  <c r="K144" i="2" s="1"/>
  <c r="C145" i="2" l="1"/>
  <c r="E145" i="2" s="1"/>
  <c r="F145" i="2" s="1"/>
  <c r="M144" i="2"/>
  <c r="G145" i="2" l="1"/>
  <c r="H145" i="2" s="1"/>
  <c r="K145" i="2" s="1"/>
  <c r="C146" i="2" l="1"/>
  <c r="E146" i="2" s="1"/>
  <c r="F146" i="2" s="1"/>
  <c r="M145" i="2"/>
  <c r="G146" i="2" l="1"/>
  <c r="H146" i="2" s="1"/>
  <c r="K146" i="2" s="1"/>
  <c r="M146" i="2" l="1"/>
  <c r="C147" i="2"/>
  <c r="E147" i="2" s="1"/>
  <c r="F147" i="2" s="1"/>
  <c r="G147" i="2" l="1"/>
  <c r="H147" i="2" s="1"/>
  <c r="K147" i="2" s="1"/>
  <c r="M147" i="2" l="1"/>
  <c r="C148" i="2"/>
  <c r="E148" i="2" s="1"/>
  <c r="F148" i="2" s="1"/>
  <c r="G148" i="2" l="1"/>
  <c r="H148" i="2" s="1"/>
  <c r="K148" i="2" s="1"/>
  <c r="M148" i="2" l="1"/>
  <c r="C149" i="2"/>
  <c r="E149" i="2" s="1"/>
  <c r="F149" i="2" s="1"/>
  <c r="G149" i="2" l="1"/>
  <c r="H149" i="2" s="1"/>
  <c r="K149" i="2" s="1"/>
  <c r="C150" i="2" l="1"/>
  <c r="E150" i="2" s="1"/>
  <c r="F150" i="2" s="1"/>
  <c r="M149" i="2"/>
  <c r="C9" i="1"/>
  <c r="E9" i="1" s="1"/>
  <c r="G150" i="2" l="1"/>
  <c r="H150" i="2" s="1"/>
  <c r="K150" i="2" s="1"/>
  <c r="F9" i="1"/>
  <c r="G9" i="1" l="1"/>
  <c r="H9" i="1" s="1"/>
  <c r="K9" i="1" s="1"/>
  <c r="M150" i="2"/>
  <c r="C151" i="2"/>
  <c r="E151" i="2" s="1"/>
  <c r="F151" i="2" s="1"/>
  <c r="C10" i="1" l="1"/>
  <c r="E10" i="1" s="1"/>
  <c r="N10" i="2"/>
  <c r="G151" i="2"/>
  <c r="H151" i="2" s="1"/>
  <c r="K151" i="2" s="1"/>
  <c r="F10" i="1" l="1"/>
  <c r="G10" i="1" s="1"/>
  <c r="C152" i="2"/>
  <c r="E152" i="2" s="1"/>
  <c r="F152" i="2" s="1"/>
  <c r="M151" i="2"/>
  <c r="H10" i="1" l="1"/>
  <c r="K10" i="1" s="1"/>
  <c r="G152" i="2"/>
  <c r="H152" i="2" s="1"/>
  <c r="K152" i="2" s="1"/>
  <c r="N11" i="2" l="1"/>
  <c r="C11" i="1"/>
  <c r="E11" i="1" s="1"/>
  <c r="M152" i="2"/>
  <c r="C153" i="2"/>
  <c r="E153" i="2" s="1"/>
  <c r="F153" i="2" s="1"/>
  <c r="F11" i="1" l="1"/>
  <c r="G11" i="1" s="1"/>
  <c r="H11" i="1" s="1"/>
  <c r="K11" i="1" s="1"/>
  <c r="G153" i="2"/>
  <c r="H153" i="2" s="1"/>
  <c r="K153" i="2" s="1"/>
  <c r="N12" i="2" l="1"/>
  <c r="C12" i="1"/>
  <c r="E12" i="1" s="1"/>
  <c r="C154" i="2"/>
  <c r="E154" i="2" s="1"/>
  <c r="F154" i="2" s="1"/>
  <c r="M153" i="2"/>
  <c r="F12" i="1" l="1"/>
  <c r="G12" i="1" s="1"/>
  <c r="H12" i="1" s="1"/>
  <c r="K12" i="1" s="1"/>
  <c r="G154" i="2"/>
  <c r="H154" i="2" s="1"/>
  <c r="K154" i="2" s="1"/>
  <c r="C13" i="1" l="1"/>
  <c r="E13" i="1" s="1"/>
  <c r="N13" i="2"/>
  <c r="M154" i="2"/>
  <c r="C155" i="2"/>
  <c r="E155" i="2" s="1"/>
  <c r="F155" i="2" s="1"/>
  <c r="F13" i="1" l="1"/>
  <c r="G13" i="1" s="1"/>
  <c r="H13" i="1" s="1"/>
  <c r="K13" i="1" s="1"/>
  <c r="G155" i="2"/>
  <c r="H155" i="2" s="1"/>
  <c r="K155" i="2" s="1"/>
  <c r="C14" i="1" l="1"/>
  <c r="E14" i="1" s="1"/>
  <c r="N14" i="2"/>
  <c r="C156" i="2"/>
  <c r="E156" i="2" s="1"/>
  <c r="F156" i="2" s="1"/>
  <c r="M155" i="2"/>
  <c r="F14" i="1" l="1"/>
  <c r="G14" i="1" s="1"/>
  <c r="H14" i="1" s="1"/>
  <c r="K14" i="1" s="1"/>
  <c r="G156" i="2"/>
  <c r="H156" i="2" s="1"/>
  <c r="K156" i="2" s="1"/>
  <c r="C15" i="1" l="1"/>
  <c r="E15" i="1" s="1"/>
  <c r="N15" i="2"/>
  <c r="M156" i="2"/>
  <c r="C157" i="2"/>
  <c r="E157" i="2" s="1"/>
  <c r="F157" i="2" s="1"/>
  <c r="F15" i="1" l="1"/>
  <c r="G15" i="1" s="1"/>
  <c r="H15" i="1" s="1"/>
  <c r="K15" i="1" s="1"/>
  <c r="G157" i="2"/>
  <c r="H157" i="2" s="1"/>
  <c r="K157" i="2" s="1"/>
  <c r="C16" i="1" l="1"/>
  <c r="E16" i="1" s="1"/>
  <c r="N16" i="2"/>
  <c r="C158" i="2"/>
  <c r="E158" i="2" s="1"/>
  <c r="F158" i="2" s="1"/>
  <c r="M157" i="2"/>
  <c r="F16" i="1" l="1"/>
  <c r="G16" i="1" s="1"/>
  <c r="H16" i="1" s="1"/>
  <c r="K16" i="1" s="1"/>
  <c r="G158" i="2"/>
  <c r="H158" i="2" s="1"/>
  <c r="K158" i="2" s="1"/>
  <c r="N17" i="2" l="1"/>
  <c r="C17" i="1"/>
  <c r="E17" i="1" s="1"/>
  <c r="C159" i="2"/>
  <c r="E159" i="2" s="1"/>
  <c r="F159" i="2" s="1"/>
  <c r="M158" i="2"/>
  <c r="F17" i="1" l="1"/>
  <c r="G17" i="1" s="1"/>
  <c r="H17" i="1" s="1"/>
  <c r="K17" i="1" s="1"/>
  <c r="N18" i="2" s="1"/>
  <c r="G159" i="2"/>
  <c r="H159" i="2" s="1"/>
  <c r="K159" i="2" s="1"/>
  <c r="C18" i="1" l="1"/>
  <c r="E18" i="1" s="1"/>
  <c r="M159" i="2"/>
  <c r="C160" i="2"/>
  <c r="E160" i="2" s="1"/>
  <c r="F160" i="2" s="1"/>
  <c r="F18" i="1" l="1"/>
  <c r="G18" i="1" s="1"/>
  <c r="H18" i="1" s="1"/>
  <c r="K18" i="1" s="1"/>
  <c r="G160" i="2"/>
  <c r="H160" i="2" s="1"/>
  <c r="K160" i="2" s="1"/>
  <c r="N19" i="2" l="1"/>
  <c r="C19" i="1"/>
  <c r="E19" i="1" s="1"/>
  <c r="M160" i="2"/>
  <c r="C161" i="2"/>
  <c r="E161" i="2" s="1"/>
  <c r="F161" i="2" s="1"/>
  <c r="F19" i="1" l="1"/>
  <c r="G19" i="1" s="1"/>
  <c r="H19" i="1" s="1"/>
  <c r="K19" i="1" s="1"/>
  <c r="G161" i="2"/>
  <c r="H161" i="2" s="1"/>
  <c r="K161" i="2" s="1"/>
  <c r="C20" i="1" l="1"/>
  <c r="E20" i="1" s="1"/>
  <c r="N20" i="2"/>
  <c r="M161" i="2"/>
  <c r="C162" i="2"/>
  <c r="E162" i="2" s="1"/>
  <c r="F162" i="2" s="1"/>
  <c r="F20" i="1" l="1"/>
  <c r="G20" i="1" s="1"/>
  <c r="H20" i="1" s="1"/>
  <c r="K20" i="1" s="1"/>
  <c r="G162" i="2"/>
  <c r="H162" i="2" s="1"/>
  <c r="K162" i="2" s="1"/>
  <c r="N21" i="2" l="1"/>
  <c r="C21" i="1"/>
  <c r="E21" i="1" s="1"/>
  <c r="C163" i="2"/>
  <c r="E163" i="2" s="1"/>
  <c r="F163" i="2" s="1"/>
  <c r="M162" i="2"/>
  <c r="F21" i="1" l="1"/>
  <c r="G21" i="1" s="1"/>
  <c r="H21" i="1" s="1"/>
  <c r="K21" i="1" s="1"/>
  <c r="G163" i="2"/>
  <c r="H163" i="2" s="1"/>
  <c r="K163" i="2" s="1"/>
  <c r="C22" i="1" l="1"/>
  <c r="E22" i="1" s="1"/>
  <c r="N22" i="2"/>
  <c r="M163" i="2"/>
  <c r="C164" i="2"/>
  <c r="E164" i="2" s="1"/>
  <c r="F164" i="2" s="1"/>
  <c r="F22" i="1" l="1"/>
  <c r="G22" i="1" s="1"/>
  <c r="H22" i="1" s="1"/>
  <c r="K22" i="1" s="1"/>
  <c r="G164" i="2"/>
  <c r="H164" i="2" s="1"/>
  <c r="K164" i="2" s="1"/>
  <c r="N23" i="2" l="1"/>
  <c r="C23" i="1"/>
  <c r="E23" i="1" s="1"/>
  <c r="C165" i="2"/>
  <c r="E165" i="2" s="1"/>
  <c r="F165" i="2" s="1"/>
  <c r="M164" i="2"/>
  <c r="F23" i="1" l="1"/>
  <c r="G23" i="1" s="1"/>
  <c r="H23" i="1" s="1"/>
  <c r="K23" i="1" s="1"/>
  <c r="G165" i="2"/>
  <c r="H165" i="2" s="1"/>
  <c r="K165" i="2" s="1"/>
  <c r="N24" i="2" l="1"/>
  <c r="C24" i="1"/>
  <c r="E24" i="1" s="1"/>
  <c r="M165" i="2"/>
  <c r="C166" i="2"/>
  <c r="E166" i="2" s="1"/>
  <c r="F166" i="2" s="1"/>
  <c r="F24" i="1" l="1"/>
  <c r="G24" i="1" s="1"/>
  <c r="H24" i="1" s="1"/>
  <c r="K24" i="1" s="1"/>
  <c r="G166" i="2"/>
  <c r="H166" i="2" s="1"/>
  <c r="K166" i="2" s="1"/>
  <c r="C25" i="1" l="1"/>
  <c r="E25" i="1" s="1"/>
  <c r="N25" i="2"/>
  <c r="M166" i="2"/>
  <c r="C167" i="2"/>
  <c r="E167" i="2" s="1"/>
  <c r="F167" i="2" s="1"/>
  <c r="F25" i="1" l="1"/>
  <c r="G25" i="1" s="1"/>
  <c r="H25" i="1" s="1"/>
  <c r="K25" i="1" s="1"/>
  <c r="G167" i="2"/>
  <c r="H167" i="2" s="1"/>
  <c r="K167" i="2" s="1"/>
  <c r="C26" i="1" l="1"/>
  <c r="E26" i="1" s="1"/>
  <c r="N26" i="2"/>
  <c r="C168" i="2"/>
  <c r="E168" i="2" s="1"/>
  <c r="F168" i="2" s="1"/>
  <c r="M167" i="2"/>
  <c r="F26" i="1" l="1"/>
  <c r="G26" i="1" s="1"/>
  <c r="H26" i="1" s="1"/>
  <c r="K26" i="1" s="1"/>
  <c r="C27" i="1" s="1"/>
  <c r="E27" i="1" s="1"/>
  <c r="G168" i="2"/>
  <c r="H168" i="2" s="1"/>
  <c r="K168" i="2" s="1"/>
  <c r="F27" i="1" l="1"/>
  <c r="G27" i="1" s="1"/>
  <c r="H27" i="1" s="1"/>
  <c r="K27" i="1" s="1"/>
  <c r="N27" i="2"/>
  <c r="M168" i="2"/>
  <c r="C169" i="2"/>
  <c r="E169" i="2" s="1"/>
  <c r="F169" i="2" s="1"/>
  <c r="N28" i="2" l="1"/>
  <c r="C28" i="1"/>
  <c r="E28" i="1" s="1"/>
  <c r="G169" i="2"/>
  <c r="H169" i="2" s="1"/>
  <c r="K169" i="2" s="1"/>
  <c r="F28" i="1" l="1"/>
  <c r="G28" i="1" s="1"/>
  <c r="H28" i="1" s="1"/>
  <c r="K28" i="1" s="1"/>
  <c r="C29" i="1" s="1"/>
  <c r="E29" i="1" s="1"/>
  <c r="C170" i="2"/>
  <c r="E170" i="2" s="1"/>
  <c r="F170" i="2" s="1"/>
  <c r="M169" i="2"/>
  <c r="N29" i="2" l="1"/>
  <c r="F29" i="1"/>
  <c r="G170" i="2"/>
  <c r="H170" i="2" s="1"/>
  <c r="K170" i="2" s="1"/>
  <c r="G29" i="1" l="1"/>
  <c r="H29" i="1" s="1"/>
  <c r="K29" i="1" s="1"/>
  <c r="C171" i="2"/>
  <c r="E171" i="2" s="1"/>
  <c r="F171" i="2" s="1"/>
  <c r="M170" i="2"/>
  <c r="C30" i="1" l="1"/>
  <c r="E30" i="1" s="1"/>
  <c r="N30" i="2"/>
  <c r="G171" i="2"/>
  <c r="H171" i="2" s="1"/>
  <c r="K171" i="2" s="1"/>
  <c r="F30" i="1" l="1"/>
  <c r="G30" i="1" s="1"/>
  <c r="H30" i="1" s="1"/>
  <c r="K30" i="1" s="1"/>
  <c r="M171" i="2"/>
  <c r="C172" i="2"/>
  <c r="E172" i="2" s="1"/>
  <c r="F172" i="2" s="1"/>
  <c r="C31" i="1" l="1"/>
  <c r="E31" i="1" s="1"/>
  <c r="N31" i="2"/>
  <c r="G172" i="2"/>
  <c r="H172" i="2" s="1"/>
  <c r="K172" i="2" s="1"/>
  <c r="F31" i="1" l="1"/>
  <c r="G31" i="1" s="1"/>
  <c r="H31" i="1" s="1"/>
  <c r="K31" i="1" s="1"/>
  <c r="C173" i="2"/>
  <c r="E173" i="2" s="1"/>
  <c r="F173" i="2" s="1"/>
  <c r="M172" i="2"/>
  <c r="N32" i="2" l="1"/>
  <c r="C32" i="1"/>
  <c r="E32" i="1" s="1"/>
  <c r="G173" i="2"/>
  <c r="H173" i="2" s="1"/>
  <c r="K173" i="2" s="1"/>
  <c r="F32" i="1" l="1"/>
  <c r="G32" i="1" s="1"/>
  <c r="H32" i="1" s="1"/>
  <c r="K32" i="1" s="1"/>
  <c r="C174" i="2"/>
  <c r="E174" i="2" s="1"/>
  <c r="F174" i="2" s="1"/>
  <c r="M173" i="2"/>
  <c r="C33" i="1" l="1"/>
  <c r="E33" i="1" s="1"/>
  <c r="N33" i="2"/>
  <c r="G174" i="2"/>
  <c r="H174" i="2" s="1"/>
  <c r="K174" i="2" s="1"/>
  <c r="F33" i="1" l="1"/>
  <c r="G33" i="1" s="1"/>
  <c r="H33" i="1" s="1"/>
  <c r="K33" i="1" s="1"/>
  <c r="C175" i="2"/>
  <c r="E175" i="2" s="1"/>
  <c r="F175" i="2" s="1"/>
  <c r="M174" i="2"/>
  <c r="N34" i="2" l="1"/>
  <c r="C34" i="1"/>
  <c r="E34" i="1" s="1"/>
  <c r="G175" i="2"/>
  <c r="H175" i="2" s="1"/>
  <c r="K175" i="2" s="1"/>
  <c r="F34" i="1" l="1"/>
  <c r="G34" i="1" s="1"/>
  <c r="H34" i="1" s="1"/>
  <c r="K34" i="1" s="1"/>
  <c r="C176" i="2"/>
  <c r="E176" i="2" s="1"/>
  <c r="F176" i="2" s="1"/>
  <c r="M175" i="2"/>
  <c r="N35" i="2" l="1"/>
  <c r="C35" i="1"/>
  <c r="E35" i="1" s="1"/>
  <c r="G176" i="2"/>
  <c r="H176" i="2" s="1"/>
  <c r="K176" i="2" s="1"/>
  <c r="F35" i="1" l="1"/>
  <c r="G35" i="1" s="1"/>
  <c r="H35" i="1" s="1"/>
  <c r="K35" i="1" s="1"/>
  <c r="C177" i="2"/>
  <c r="E177" i="2" s="1"/>
  <c r="F177" i="2" s="1"/>
  <c r="M176" i="2"/>
  <c r="C36" i="1" l="1"/>
  <c r="E36" i="1" s="1"/>
  <c r="N36" i="2"/>
  <c r="G177" i="2"/>
  <c r="H177" i="2" s="1"/>
  <c r="K177" i="2" s="1"/>
  <c r="F36" i="1" l="1"/>
  <c r="G36" i="1" s="1"/>
  <c r="H36" i="1" s="1"/>
  <c r="K36" i="1" s="1"/>
  <c r="M177" i="2"/>
  <c r="C178" i="2"/>
  <c r="E178" i="2" s="1"/>
  <c r="F178" i="2" s="1"/>
  <c r="C37" i="1" l="1"/>
  <c r="E37" i="1" s="1"/>
  <c r="N37" i="2"/>
  <c r="G178" i="2"/>
  <c r="H178" i="2" s="1"/>
  <c r="K178" i="2" s="1"/>
  <c r="F37" i="1" l="1"/>
  <c r="G37" i="1" s="1"/>
  <c r="H37" i="1" s="1"/>
  <c r="K37" i="1" s="1"/>
  <c r="M178" i="2"/>
  <c r="C179" i="2"/>
  <c r="E179" i="2" s="1"/>
  <c r="F179" i="2" s="1"/>
  <c r="N38" i="2" l="1"/>
  <c r="C38" i="1"/>
  <c r="E38" i="1" s="1"/>
  <c r="G179" i="2"/>
  <c r="H179" i="2" s="1"/>
  <c r="K179" i="2" s="1"/>
  <c r="F38" i="1" l="1"/>
  <c r="G38" i="1" s="1"/>
  <c r="H38" i="1" s="1"/>
  <c r="K38" i="1" s="1"/>
  <c r="M179" i="2"/>
  <c r="C180" i="2"/>
  <c r="E180" i="2" s="1"/>
  <c r="F180" i="2" s="1"/>
  <c r="N39" i="2" l="1"/>
  <c r="C39" i="1"/>
  <c r="E39" i="1" s="1"/>
  <c r="G180" i="2"/>
  <c r="H180" i="2" s="1"/>
  <c r="K180" i="2" s="1"/>
  <c r="F39" i="1" l="1"/>
  <c r="G39" i="1" s="1"/>
  <c r="H39" i="1" s="1"/>
  <c r="K39" i="1" s="1"/>
  <c r="M180" i="2"/>
  <c r="C181" i="2"/>
  <c r="E181" i="2" s="1"/>
  <c r="F181" i="2" s="1"/>
  <c r="C40" i="1" l="1"/>
  <c r="E40" i="1" s="1"/>
  <c r="N40" i="2"/>
  <c r="G181" i="2"/>
  <c r="H181" i="2" s="1"/>
  <c r="K181" i="2" s="1"/>
  <c r="F40" i="1" l="1"/>
  <c r="G40" i="1" s="1"/>
  <c r="H40" i="1" s="1"/>
  <c r="K40" i="1" s="1"/>
  <c r="N41" i="2" s="1"/>
  <c r="C182" i="2"/>
  <c r="E182" i="2" s="1"/>
  <c r="F182" i="2" s="1"/>
  <c r="M181" i="2"/>
  <c r="C41" i="1" l="1"/>
  <c r="E41" i="1" s="1"/>
  <c r="G182" i="2"/>
  <c r="H182" i="2" s="1"/>
  <c r="K182" i="2" s="1"/>
  <c r="F41" i="1" l="1"/>
  <c r="G41" i="1" s="1"/>
  <c r="H41" i="1" s="1"/>
  <c r="K41" i="1" s="1"/>
  <c r="M182" i="2"/>
  <c r="C183" i="2"/>
  <c r="E183" i="2" s="1"/>
  <c r="F183" i="2" s="1"/>
  <c r="N42" i="2" l="1"/>
  <c r="C42" i="1"/>
  <c r="E42" i="1" s="1"/>
  <c r="G183" i="2"/>
  <c r="H183" i="2" s="1"/>
  <c r="K183" i="2" s="1"/>
  <c r="F42" i="1" l="1"/>
  <c r="G42" i="1" s="1"/>
  <c r="H42" i="1" s="1"/>
  <c r="K42" i="1" s="1"/>
  <c r="M183" i="2"/>
  <c r="C184" i="2"/>
  <c r="E184" i="2" s="1"/>
  <c r="F184" i="2" s="1"/>
  <c r="C43" i="1" l="1"/>
  <c r="E43" i="1" s="1"/>
  <c r="N43" i="2"/>
  <c r="G184" i="2"/>
  <c r="H184" i="2" s="1"/>
  <c r="K184" i="2" s="1"/>
  <c r="F43" i="1" l="1"/>
  <c r="G43" i="1" s="1"/>
  <c r="H43" i="1" s="1"/>
  <c r="K43" i="1" s="1"/>
  <c r="C185" i="2"/>
  <c r="E185" i="2" s="1"/>
  <c r="F185" i="2" s="1"/>
  <c r="M184" i="2"/>
  <c r="N44" i="2" l="1"/>
  <c r="C44" i="1"/>
  <c r="E44" i="1" s="1"/>
  <c r="G185" i="2"/>
  <c r="H185" i="2" s="1"/>
  <c r="K185" i="2" s="1"/>
  <c r="F44" i="1" l="1"/>
  <c r="G44" i="1" s="1"/>
  <c r="H44" i="1" s="1"/>
  <c r="K44" i="1" s="1"/>
  <c r="M185" i="2"/>
  <c r="C186" i="2"/>
  <c r="E186" i="2" s="1"/>
  <c r="F186" i="2" s="1"/>
  <c r="C45" i="1" l="1"/>
  <c r="E45" i="1" s="1"/>
  <c r="N45" i="2"/>
  <c r="G186" i="2"/>
  <c r="H186" i="2" s="1"/>
  <c r="K186" i="2" s="1"/>
  <c r="F45" i="1" l="1"/>
  <c r="G45" i="1" s="1"/>
  <c r="H45" i="1" s="1"/>
  <c r="K45" i="1" s="1"/>
  <c r="M186" i="2"/>
  <c r="C187" i="2"/>
  <c r="E187" i="2" s="1"/>
  <c r="F187" i="2" s="1"/>
  <c r="C46" i="1" l="1"/>
  <c r="E46" i="1" s="1"/>
  <c r="N46" i="2"/>
  <c r="G187" i="2"/>
  <c r="H187" i="2" s="1"/>
  <c r="K187" i="2" s="1"/>
  <c r="F46" i="1" l="1"/>
  <c r="G46" i="1" s="1"/>
  <c r="H46" i="1" s="1"/>
  <c r="K46" i="1" s="1"/>
  <c r="M187" i="2"/>
  <c r="C188" i="2"/>
  <c r="E188" i="2" s="1"/>
  <c r="F188" i="2" s="1"/>
  <c r="N47" i="2" l="1"/>
  <c r="C47" i="1"/>
  <c r="E47" i="1" s="1"/>
  <c r="G188" i="2"/>
  <c r="H188" i="2" s="1"/>
  <c r="K188" i="2" s="1"/>
  <c r="F47" i="1" l="1"/>
  <c r="G47" i="1" s="1"/>
  <c r="H47" i="1" s="1"/>
  <c r="K47" i="1" s="1"/>
  <c r="M188" i="2"/>
  <c r="C189" i="2"/>
  <c r="E189" i="2" s="1"/>
  <c r="F189" i="2" s="1"/>
  <c r="C48" i="1" l="1"/>
  <c r="E48" i="1" s="1"/>
  <c r="N48" i="2"/>
  <c r="G189" i="2"/>
  <c r="H189" i="2" s="1"/>
  <c r="K189" i="2" s="1"/>
  <c r="F48" i="1" l="1"/>
  <c r="G48" i="1" s="1"/>
  <c r="H48" i="1" s="1"/>
  <c r="K48" i="1" s="1"/>
  <c r="M189" i="2"/>
  <c r="C190" i="2"/>
  <c r="E190" i="2" s="1"/>
  <c r="F190" i="2" s="1"/>
  <c r="C49" i="1" l="1"/>
  <c r="E49" i="1" s="1"/>
  <c r="N49" i="2"/>
  <c r="G190" i="2"/>
  <c r="H190" i="2" s="1"/>
  <c r="K190" i="2" s="1"/>
  <c r="F49" i="1" l="1"/>
  <c r="G49" i="1" s="1"/>
  <c r="H49" i="1" s="1"/>
  <c r="K49" i="1" s="1"/>
  <c r="C191" i="2"/>
  <c r="E191" i="2" s="1"/>
  <c r="F191" i="2" s="1"/>
  <c r="M190" i="2"/>
  <c r="N50" i="2" l="1"/>
  <c r="C50" i="1"/>
  <c r="E50" i="1" s="1"/>
  <c r="G191" i="2"/>
  <c r="H191" i="2" s="1"/>
  <c r="K191" i="2" s="1"/>
  <c r="F50" i="1" l="1"/>
  <c r="G50" i="1" s="1"/>
  <c r="H50" i="1" s="1"/>
  <c r="K50" i="1" s="1"/>
  <c r="M191" i="2"/>
  <c r="C192" i="2"/>
  <c r="E192" i="2" s="1"/>
  <c r="F192" i="2" s="1"/>
  <c r="C51" i="1" l="1"/>
  <c r="E51" i="1" s="1"/>
  <c r="N51" i="2"/>
  <c r="G192" i="2"/>
  <c r="H192" i="2" s="1"/>
  <c r="K192" i="2" s="1"/>
  <c r="F51" i="1" l="1"/>
  <c r="G51" i="1" s="1"/>
  <c r="H51" i="1" s="1"/>
  <c r="K51" i="1" s="1"/>
  <c r="C193" i="2"/>
  <c r="E193" i="2" s="1"/>
  <c r="F193" i="2" s="1"/>
  <c r="M192" i="2"/>
  <c r="N52" i="2" l="1"/>
  <c r="C52" i="1"/>
  <c r="E52" i="1" s="1"/>
  <c r="G193" i="2"/>
  <c r="H193" i="2" s="1"/>
  <c r="K193" i="2" s="1"/>
  <c r="F52" i="1" l="1"/>
  <c r="G52" i="1" s="1"/>
  <c r="H52" i="1" s="1"/>
  <c r="K52" i="1" s="1"/>
  <c r="M193" i="2"/>
  <c r="C194" i="2"/>
  <c r="E194" i="2" s="1"/>
  <c r="F194" i="2" s="1"/>
  <c r="C53" i="1" l="1"/>
  <c r="E53" i="1" s="1"/>
  <c r="N53" i="2"/>
  <c r="G194" i="2"/>
  <c r="H194" i="2" s="1"/>
  <c r="K194" i="2" s="1"/>
  <c r="F53" i="1" l="1"/>
  <c r="G53" i="1" s="1"/>
  <c r="H53" i="1" s="1"/>
  <c r="K53" i="1" s="1"/>
  <c r="C195" i="2"/>
  <c r="E195" i="2" s="1"/>
  <c r="F195" i="2" s="1"/>
  <c r="M194" i="2"/>
  <c r="N54" i="2" l="1"/>
  <c r="C54" i="1"/>
  <c r="E54" i="1" s="1"/>
  <c r="G195" i="2"/>
  <c r="H195" i="2" s="1"/>
  <c r="K195" i="2" s="1"/>
  <c r="F54" i="1" l="1"/>
  <c r="G54" i="1" s="1"/>
  <c r="H54" i="1" s="1"/>
  <c r="K54" i="1" s="1"/>
  <c r="M195" i="2"/>
  <c r="C196" i="2"/>
  <c r="E196" i="2" s="1"/>
  <c r="F196" i="2" s="1"/>
  <c r="C55" i="1" l="1"/>
  <c r="E55" i="1" s="1"/>
  <c r="N55" i="2"/>
  <c r="G196" i="2"/>
  <c r="H196" i="2" s="1"/>
  <c r="K196" i="2" s="1"/>
  <c r="F55" i="1" l="1"/>
  <c r="G55" i="1" s="1"/>
  <c r="H55" i="1" s="1"/>
  <c r="K55" i="1" s="1"/>
  <c r="M196" i="2"/>
  <c r="C197" i="2"/>
  <c r="E197" i="2" s="1"/>
  <c r="F197" i="2" s="1"/>
  <c r="N56" i="2" l="1"/>
  <c r="C56" i="1"/>
  <c r="E56" i="1" s="1"/>
  <c r="G197" i="2"/>
  <c r="H197" i="2" s="1"/>
  <c r="K197" i="2" s="1"/>
  <c r="F56" i="1" l="1"/>
  <c r="G56" i="1" s="1"/>
  <c r="H56" i="1" s="1"/>
  <c r="K56" i="1" s="1"/>
  <c r="C198" i="2"/>
  <c r="E198" i="2" s="1"/>
  <c r="F198" i="2" s="1"/>
  <c r="M197" i="2"/>
  <c r="C57" i="1" l="1"/>
  <c r="E57" i="1" s="1"/>
  <c r="N57" i="2"/>
  <c r="G198" i="2"/>
  <c r="H198" i="2" s="1"/>
  <c r="K198" i="2" s="1"/>
  <c r="F57" i="1" l="1"/>
  <c r="G57" i="1" s="1"/>
  <c r="H57" i="1" s="1"/>
  <c r="K57" i="1" s="1"/>
  <c r="M198" i="2"/>
  <c r="C199" i="2"/>
  <c r="E199" i="2" s="1"/>
  <c r="F199" i="2" s="1"/>
  <c r="C58" i="1" l="1"/>
  <c r="E58" i="1" s="1"/>
  <c r="N58" i="2"/>
  <c r="G199" i="2"/>
  <c r="H199" i="2" s="1"/>
  <c r="K199" i="2" s="1"/>
  <c r="F58" i="1" l="1"/>
  <c r="G58" i="1" s="1"/>
  <c r="H58" i="1" s="1"/>
  <c r="K58" i="1" s="1"/>
  <c r="C200" i="2"/>
  <c r="E200" i="2" s="1"/>
  <c r="F200" i="2" s="1"/>
  <c r="M199" i="2"/>
  <c r="C59" i="1" l="1"/>
  <c r="E59" i="1" s="1"/>
  <c r="N59" i="2"/>
  <c r="G200" i="2"/>
  <c r="H200" i="2" s="1"/>
  <c r="K200" i="2" s="1"/>
  <c r="F59" i="1" l="1"/>
  <c r="G59" i="1" s="1"/>
  <c r="H59" i="1" s="1"/>
  <c r="K59" i="1" s="1"/>
  <c r="M200" i="2"/>
  <c r="C201" i="2"/>
  <c r="E201" i="2" s="1"/>
  <c r="F201" i="2" s="1"/>
  <c r="N60" i="2" l="1"/>
  <c r="C60" i="1"/>
  <c r="E60" i="1" s="1"/>
  <c r="G201" i="2"/>
  <c r="H201" i="2" s="1"/>
  <c r="K201" i="2" s="1"/>
  <c r="F60" i="1" l="1"/>
  <c r="G60" i="1" s="1"/>
  <c r="H60" i="1" s="1"/>
  <c r="K60" i="1" s="1"/>
  <c r="C202" i="2"/>
  <c r="E202" i="2" s="1"/>
  <c r="F202" i="2" s="1"/>
  <c r="M201" i="2"/>
  <c r="C61" i="1" l="1"/>
  <c r="E61" i="1" s="1"/>
  <c r="N61" i="2"/>
  <c r="G202" i="2"/>
  <c r="H202" i="2" s="1"/>
  <c r="K202" i="2" s="1"/>
  <c r="F61" i="1" l="1"/>
  <c r="G61" i="1" s="1"/>
  <c r="H61" i="1" s="1"/>
  <c r="K61" i="1" s="1"/>
  <c r="M202" i="2"/>
  <c r="C203" i="2"/>
  <c r="E203" i="2" s="1"/>
  <c r="F203" i="2" s="1"/>
  <c r="C62" i="1" l="1"/>
  <c r="E62" i="1" s="1"/>
  <c r="N62" i="2"/>
  <c r="G203" i="2"/>
  <c r="H203" i="2" s="1"/>
  <c r="K203" i="2" s="1"/>
  <c r="F62" i="1" l="1"/>
  <c r="G62" i="1" s="1"/>
  <c r="H62" i="1" s="1"/>
  <c r="K62" i="1" s="1"/>
  <c r="M203" i="2"/>
  <c r="C204" i="2"/>
  <c r="E204" i="2" s="1"/>
  <c r="F204" i="2" s="1"/>
  <c r="N63" i="2" l="1"/>
  <c r="C63" i="1"/>
  <c r="E63" i="1" s="1"/>
  <c r="G204" i="2"/>
  <c r="H204" i="2" s="1"/>
  <c r="K204" i="2" s="1"/>
  <c r="F63" i="1" l="1"/>
  <c r="G63" i="1" s="1"/>
  <c r="H63" i="1" s="1"/>
  <c r="K63" i="1" s="1"/>
  <c r="C64" i="1" s="1"/>
  <c r="E64" i="1" s="1"/>
  <c r="C205" i="2"/>
  <c r="E205" i="2" s="1"/>
  <c r="F205" i="2" s="1"/>
  <c r="M204" i="2"/>
  <c r="N64" i="2" l="1"/>
  <c r="F64" i="1"/>
  <c r="G205" i="2"/>
  <c r="H205" i="2" s="1"/>
  <c r="K205" i="2" s="1"/>
  <c r="G64" i="1" l="1"/>
  <c r="H64" i="1" s="1"/>
  <c r="K64" i="1" s="1"/>
  <c r="M205" i="2"/>
  <c r="C206" i="2"/>
  <c r="E206" i="2" l="1"/>
  <c r="F206" i="2" s="1"/>
  <c r="G206" i="2" s="1"/>
  <c r="H206" i="2" s="1"/>
  <c r="K206" i="2" s="1"/>
  <c r="C65" i="1"/>
  <c r="E65" i="1" s="1"/>
  <c r="N65" i="2"/>
  <c r="F65" i="1" l="1"/>
  <c r="G65" i="1" s="1"/>
  <c r="H65" i="1" s="1"/>
  <c r="K65" i="1" s="1"/>
  <c r="C207" i="2"/>
  <c r="E207" i="2" s="1"/>
  <c r="M206" i="2"/>
  <c r="F207" i="2" l="1"/>
  <c r="G207" i="2" s="1"/>
  <c r="H207" i="2" s="1"/>
  <c r="K207" i="2" s="1"/>
  <c r="C66" i="1"/>
  <c r="E66" i="1" s="1"/>
  <c r="N66" i="2"/>
  <c r="F66" i="1" l="1"/>
  <c r="G66" i="1" s="1"/>
  <c r="H66" i="1" s="1"/>
  <c r="K66" i="1" s="1"/>
  <c r="M207" i="2"/>
  <c r="C208" i="2"/>
  <c r="E208" i="2" s="1"/>
  <c r="F208" i="2" s="1"/>
  <c r="C67" i="1" l="1"/>
  <c r="E67" i="1" s="1"/>
  <c r="N67" i="2"/>
  <c r="G208" i="2"/>
  <c r="H208" i="2" s="1"/>
  <c r="K208" i="2" s="1"/>
  <c r="F67" i="1" l="1"/>
  <c r="G67" i="1" s="1"/>
  <c r="H67" i="1" s="1"/>
  <c r="K67" i="1" s="1"/>
  <c r="M208" i="2"/>
  <c r="C209" i="2"/>
  <c r="E209" i="2" s="1"/>
  <c r="F209" i="2" s="1"/>
  <c r="C68" i="1" l="1"/>
  <c r="E68" i="1" s="1"/>
  <c r="N68" i="2"/>
  <c r="G209" i="2"/>
  <c r="H209" i="2" s="1"/>
  <c r="K209" i="2" s="1"/>
  <c r="F68" i="1" l="1"/>
  <c r="G68" i="1" s="1"/>
  <c r="H68" i="1" s="1"/>
  <c r="K68" i="1" s="1"/>
  <c r="M209" i="2"/>
  <c r="C210" i="2"/>
  <c r="E210" i="2" s="1"/>
  <c r="F210" i="2" s="1"/>
  <c r="N69" i="2" l="1"/>
  <c r="C69" i="1"/>
  <c r="E69" i="1" s="1"/>
  <c r="G210" i="2"/>
  <c r="H210" i="2" s="1"/>
  <c r="K210" i="2" s="1"/>
  <c r="F69" i="1" l="1"/>
  <c r="G69" i="1" s="1"/>
  <c r="H69" i="1" s="1"/>
  <c r="K69" i="1" s="1"/>
  <c r="M210" i="2"/>
  <c r="C211" i="2"/>
  <c r="E211" i="2" s="1"/>
  <c r="F211" i="2" s="1"/>
  <c r="C70" i="1" l="1"/>
  <c r="E70" i="1" s="1"/>
  <c r="N70" i="2"/>
  <c r="G211" i="2"/>
  <c r="H211" i="2" s="1"/>
  <c r="K211" i="2" s="1"/>
  <c r="F70" i="1" l="1"/>
  <c r="G70" i="1" s="1"/>
  <c r="H70" i="1" s="1"/>
  <c r="K70" i="1" s="1"/>
  <c r="C71" i="1" s="1"/>
  <c r="E71" i="1" s="1"/>
  <c r="C212" i="2"/>
  <c r="E212" i="2" s="1"/>
  <c r="F212" i="2" s="1"/>
  <c r="M211" i="2"/>
  <c r="N71" i="2" l="1"/>
  <c r="F71" i="1"/>
  <c r="G212" i="2"/>
  <c r="H212" i="2" s="1"/>
  <c r="K212" i="2" s="1"/>
  <c r="G71" i="1" l="1"/>
  <c r="H71" i="1" s="1"/>
  <c r="K71" i="1" s="1"/>
  <c r="N72" i="2" s="1"/>
  <c r="M212" i="2"/>
  <c r="C213" i="2"/>
  <c r="E213" i="2" s="1"/>
  <c r="F213" i="2" s="1"/>
  <c r="C72" i="1" l="1"/>
  <c r="E72" i="1" s="1"/>
  <c r="G213" i="2"/>
  <c r="H213" i="2" s="1"/>
  <c r="K213" i="2" s="1"/>
  <c r="F72" i="1" l="1"/>
  <c r="G72" i="1" s="1"/>
  <c r="H72" i="1" s="1"/>
  <c r="K72" i="1" s="1"/>
  <c r="M213" i="2"/>
  <c r="C214" i="2"/>
  <c r="E214" i="2" s="1"/>
  <c r="F214" i="2" s="1"/>
  <c r="C73" i="1" l="1"/>
  <c r="E73" i="1" s="1"/>
  <c r="N73" i="2"/>
  <c r="G214" i="2"/>
  <c r="H214" i="2" s="1"/>
  <c r="K214" i="2" s="1"/>
  <c r="F73" i="1" l="1"/>
  <c r="G73" i="1" s="1"/>
  <c r="H73" i="1" s="1"/>
  <c r="K73" i="1" s="1"/>
  <c r="M214" i="2"/>
  <c r="C215" i="2"/>
  <c r="E215" i="2" s="1"/>
  <c r="F215" i="2" s="1"/>
  <c r="C74" i="1" l="1"/>
  <c r="E74" i="1" s="1"/>
  <c r="N74" i="2"/>
  <c r="G215" i="2"/>
  <c r="H215" i="2" s="1"/>
  <c r="K215" i="2" s="1"/>
  <c r="F74" i="1" l="1"/>
  <c r="G74" i="1" s="1"/>
  <c r="H74" i="1" s="1"/>
  <c r="K74" i="1" s="1"/>
  <c r="M215" i="2"/>
  <c r="C216" i="2"/>
  <c r="E216" i="2" s="1"/>
  <c r="F216" i="2" s="1"/>
  <c r="C75" i="1" l="1"/>
  <c r="E75" i="1" s="1"/>
  <c r="N75" i="2"/>
  <c r="G216" i="2"/>
  <c r="H216" i="2" s="1"/>
  <c r="K216" i="2" s="1"/>
  <c r="F75" i="1" l="1"/>
  <c r="G75" i="1" s="1"/>
  <c r="H75" i="1" s="1"/>
  <c r="K75" i="1" s="1"/>
  <c r="M216" i="2"/>
  <c r="C217" i="2"/>
  <c r="E217" i="2" s="1"/>
  <c r="F217" i="2" s="1"/>
  <c r="C76" i="1" l="1"/>
  <c r="E76" i="1" s="1"/>
  <c r="N76" i="2"/>
  <c r="G217" i="2"/>
  <c r="H217" i="2" s="1"/>
  <c r="K217" i="2" s="1"/>
  <c r="F76" i="1" l="1"/>
  <c r="G76" i="1" s="1"/>
  <c r="H76" i="1" s="1"/>
  <c r="K76" i="1" s="1"/>
  <c r="M217" i="2"/>
  <c r="C218" i="2"/>
  <c r="E218" i="2" s="1"/>
  <c r="F218" i="2" s="1"/>
  <c r="C77" i="1" l="1"/>
  <c r="E77" i="1" s="1"/>
  <c r="N77" i="2"/>
  <c r="G218" i="2"/>
  <c r="H218" i="2" s="1"/>
  <c r="K218" i="2" s="1"/>
  <c r="F77" i="1" l="1"/>
  <c r="G77" i="1" s="1"/>
  <c r="H77" i="1" s="1"/>
  <c r="K77" i="1" s="1"/>
  <c r="C219" i="2"/>
  <c r="E219" i="2" s="1"/>
  <c r="F219" i="2" s="1"/>
  <c r="M218" i="2"/>
  <c r="N78" i="2" l="1"/>
  <c r="C78" i="1"/>
  <c r="E78" i="1" s="1"/>
  <c r="G219" i="2"/>
  <c r="H219" i="2" s="1"/>
  <c r="K219" i="2" s="1"/>
  <c r="F78" i="1" l="1"/>
  <c r="G78" i="1" s="1"/>
  <c r="H78" i="1" s="1"/>
  <c r="K78" i="1" s="1"/>
  <c r="M219" i="2"/>
  <c r="C220" i="2"/>
  <c r="E220" i="2" s="1"/>
  <c r="F220" i="2" s="1"/>
  <c r="N79" i="2" l="1"/>
  <c r="C79" i="1"/>
  <c r="E79" i="1" s="1"/>
  <c r="G220" i="2"/>
  <c r="H220" i="2" s="1"/>
  <c r="K220" i="2" s="1"/>
  <c r="F79" i="1" l="1"/>
  <c r="G79" i="1" s="1"/>
  <c r="H79" i="1" s="1"/>
  <c r="K79" i="1" s="1"/>
  <c r="C221" i="2"/>
  <c r="E221" i="2" s="1"/>
  <c r="F221" i="2" s="1"/>
  <c r="M220" i="2"/>
  <c r="N80" i="2" l="1"/>
  <c r="C80" i="1"/>
  <c r="E80" i="1" s="1"/>
  <c r="G221" i="2"/>
  <c r="H221" i="2" s="1"/>
  <c r="K221" i="2" s="1"/>
  <c r="F80" i="1" l="1"/>
  <c r="G80" i="1" s="1"/>
  <c r="H80" i="1" s="1"/>
  <c r="K80" i="1" s="1"/>
  <c r="C81" i="1" s="1"/>
  <c r="E81" i="1" s="1"/>
  <c r="M221" i="2"/>
  <c r="C222" i="2"/>
  <c r="E222" i="2" s="1"/>
  <c r="F222" i="2" s="1"/>
  <c r="N81" i="2" l="1"/>
  <c r="F81" i="1"/>
  <c r="G222" i="2"/>
  <c r="H222" i="2" s="1"/>
  <c r="K222" i="2" s="1"/>
  <c r="G81" i="1" l="1"/>
  <c r="H81" i="1" s="1"/>
  <c r="K81" i="1" s="1"/>
  <c r="C223" i="2"/>
  <c r="E223" i="2" s="1"/>
  <c r="F223" i="2" s="1"/>
  <c r="M222" i="2"/>
  <c r="C82" i="1" l="1"/>
  <c r="E82" i="1" s="1"/>
  <c r="N82" i="2"/>
  <c r="G223" i="2"/>
  <c r="H223" i="2" s="1"/>
  <c r="K223" i="2" s="1"/>
  <c r="F82" i="1" l="1"/>
  <c r="G82" i="1" s="1"/>
  <c r="H82" i="1" s="1"/>
  <c r="K82" i="1" s="1"/>
  <c r="C224" i="2"/>
  <c r="E224" i="2" s="1"/>
  <c r="F224" i="2" s="1"/>
  <c r="M223" i="2"/>
  <c r="C83" i="1" l="1"/>
  <c r="E83" i="1" s="1"/>
  <c r="N83" i="2"/>
  <c r="G224" i="2"/>
  <c r="H224" i="2" s="1"/>
  <c r="K224" i="2" s="1"/>
  <c r="F83" i="1" l="1"/>
  <c r="G83" i="1" s="1"/>
  <c r="H83" i="1" s="1"/>
  <c r="K83" i="1" s="1"/>
  <c r="M224" i="2"/>
  <c r="C225" i="2"/>
  <c r="E225" i="2" s="1"/>
  <c r="F225" i="2" s="1"/>
  <c r="N84" i="2" l="1"/>
  <c r="C84" i="1"/>
  <c r="E84" i="1" s="1"/>
  <c r="G225" i="2"/>
  <c r="H225" i="2" s="1"/>
  <c r="K225" i="2" s="1"/>
  <c r="F84" i="1" l="1"/>
  <c r="G84" i="1" s="1"/>
  <c r="H84" i="1" s="1"/>
  <c r="K84" i="1" s="1"/>
  <c r="M225" i="2"/>
  <c r="C226" i="2"/>
  <c r="E226" i="2" s="1"/>
  <c r="F226" i="2" s="1"/>
  <c r="C85" i="1" l="1"/>
  <c r="E85" i="1" s="1"/>
  <c r="N85" i="2"/>
  <c r="G226" i="2"/>
  <c r="H226" i="2" s="1"/>
  <c r="K226" i="2" s="1"/>
  <c r="F85" i="1" l="1"/>
  <c r="G85" i="1" s="1"/>
  <c r="H85" i="1" s="1"/>
  <c r="K85" i="1" s="1"/>
  <c r="N86" i="2" s="1"/>
  <c r="C227" i="2"/>
  <c r="E227" i="2" s="1"/>
  <c r="F227" i="2" s="1"/>
  <c r="M226" i="2"/>
  <c r="C86" i="1" l="1"/>
  <c r="E86" i="1" s="1"/>
  <c r="G227" i="2"/>
  <c r="H227" i="2" s="1"/>
  <c r="K227" i="2" s="1"/>
  <c r="F86" i="1" l="1"/>
  <c r="G86" i="1" s="1"/>
  <c r="H86" i="1" s="1"/>
  <c r="K86" i="1" s="1"/>
  <c r="C228" i="2"/>
  <c r="E228" i="2" s="1"/>
  <c r="F228" i="2" s="1"/>
  <c r="M227" i="2"/>
  <c r="N87" i="2" l="1"/>
  <c r="C87" i="1"/>
  <c r="E87" i="1" s="1"/>
  <c r="G228" i="2"/>
  <c r="H228" i="2" s="1"/>
  <c r="K228" i="2" s="1"/>
  <c r="F87" i="1" l="1"/>
  <c r="G87" i="1" s="1"/>
  <c r="H87" i="1" s="1"/>
  <c r="K87" i="1" s="1"/>
  <c r="C88" i="1" s="1"/>
  <c r="E88" i="1" s="1"/>
  <c r="C229" i="2"/>
  <c r="E229" i="2" s="1"/>
  <c r="F229" i="2" s="1"/>
  <c r="M228" i="2"/>
  <c r="N88" i="2" l="1"/>
  <c r="F88" i="1"/>
  <c r="G229" i="2"/>
  <c r="H229" i="2" s="1"/>
  <c r="K229" i="2" s="1"/>
  <c r="G88" i="1" l="1"/>
  <c r="H88" i="1" s="1"/>
  <c r="K88" i="1" s="1"/>
  <c r="M229" i="2"/>
  <c r="C230" i="2"/>
  <c r="E230" i="2" s="1"/>
  <c r="F230" i="2" s="1"/>
  <c r="C89" i="1" l="1"/>
  <c r="E89" i="1" s="1"/>
  <c r="N89" i="2"/>
  <c r="G230" i="2"/>
  <c r="H230" i="2" s="1"/>
  <c r="K230" i="2" s="1"/>
  <c r="F89" i="1" l="1"/>
  <c r="G89" i="1" s="1"/>
  <c r="H89" i="1" s="1"/>
  <c r="K89" i="1" s="1"/>
  <c r="N90" i="2" s="1"/>
  <c r="C231" i="2"/>
  <c r="E231" i="2" s="1"/>
  <c r="F231" i="2" s="1"/>
  <c r="M230" i="2"/>
  <c r="C90" i="1" l="1"/>
  <c r="E90" i="1" s="1"/>
  <c r="G231" i="2"/>
  <c r="H231" i="2" s="1"/>
  <c r="K231" i="2" s="1"/>
  <c r="F90" i="1" l="1"/>
  <c r="G90" i="1" s="1"/>
  <c r="H90" i="1" s="1"/>
  <c r="K90" i="1" s="1"/>
  <c r="C232" i="2"/>
  <c r="E232" i="2" s="1"/>
  <c r="F232" i="2" s="1"/>
  <c r="M231" i="2"/>
  <c r="C91" i="1" l="1"/>
  <c r="E91" i="1" s="1"/>
  <c r="N91" i="2"/>
  <c r="G232" i="2"/>
  <c r="H232" i="2" s="1"/>
  <c r="K232" i="2" s="1"/>
  <c r="F91" i="1" l="1"/>
  <c r="G91" i="1" s="1"/>
  <c r="H91" i="1" s="1"/>
  <c r="K91" i="1" s="1"/>
  <c r="M232" i="2"/>
  <c r="C233" i="2"/>
  <c r="E233" i="2" s="1"/>
  <c r="F233" i="2" s="1"/>
  <c r="N92" i="2" l="1"/>
  <c r="C92" i="1"/>
  <c r="E92" i="1" s="1"/>
  <c r="G233" i="2"/>
  <c r="H233" i="2" s="1"/>
  <c r="K233" i="2" s="1"/>
  <c r="F92" i="1" l="1"/>
  <c r="G92" i="1" s="1"/>
  <c r="H92" i="1" s="1"/>
  <c r="K92" i="1" s="1"/>
  <c r="M233" i="2"/>
  <c r="C234" i="2"/>
  <c r="E234" i="2" s="1"/>
  <c r="F234" i="2" s="1"/>
  <c r="C93" i="1" l="1"/>
  <c r="E93" i="1" s="1"/>
  <c r="N93" i="2"/>
  <c r="G234" i="2"/>
  <c r="H234" i="2" s="1"/>
  <c r="K234" i="2" s="1"/>
  <c r="F93" i="1" l="1"/>
  <c r="G93" i="1" s="1"/>
  <c r="H93" i="1" s="1"/>
  <c r="K93" i="1" s="1"/>
  <c r="C235" i="2"/>
  <c r="E235" i="2" s="1"/>
  <c r="F235" i="2" s="1"/>
  <c r="M234" i="2"/>
  <c r="C94" i="1" l="1"/>
  <c r="E94" i="1" s="1"/>
  <c r="N94" i="2"/>
  <c r="G235" i="2"/>
  <c r="H235" i="2" s="1"/>
  <c r="K235" i="2" s="1"/>
  <c r="F94" i="1" l="1"/>
  <c r="G94" i="1" s="1"/>
  <c r="H94" i="1" s="1"/>
  <c r="K94" i="1" s="1"/>
  <c r="M235" i="2"/>
  <c r="C236" i="2"/>
  <c r="E236" i="2" s="1"/>
  <c r="F236" i="2" s="1"/>
  <c r="C95" i="1" l="1"/>
  <c r="E95" i="1" s="1"/>
  <c r="N95" i="2"/>
  <c r="G236" i="2"/>
  <c r="H236" i="2" s="1"/>
  <c r="K236" i="2" s="1"/>
  <c r="F95" i="1" l="1"/>
  <c r="G95" i="1" s="1"/>
  <c r="H95" i="1" s="1"/>
  <c r="K95" i="1" s="1"/>
  <c r="C237" i="2"/>
  <c r="E237" i="2" s="1"/>
  <c r="F237" i="2" s="1"/>
  <c r="M236" i="2"/>
  <c r="C96" i="1" l="1"/>
  <c r="E96" i="1" s="1"/>
  <c r="N96" i="2"/>
  <c r="G237" i="2"/>
  <c r="H237" i="2" s="1"/>
  <c r="K237" i="2" s="1"/>
  <c r="F96" i="1" l="1"/>
  <c r="G96" i="1" s="1"/>
  <c r="H96" i="1" s="1"/>
  <c r="K96" i="1" s="1"/>
  <c r="M237" i="2"/>
  <c r="C238" i="2"/>
  <c r="E238" i="2" s="1"/>
  <c r="F238" i="2" s="1"/>
  <c r="N97" i="2" l="1"/>
  <c r="C97" i="1"/>
  <c r="E97" i="1" s="1"/>
  <c r="G238" i="2"/>
  <c r="H238" i="2" s="1"/>
  <c r="K238" i="2" s="1"/>
  <c r="F97" i="1" l="1"/>
  <c r="G97" i="1" s="1"/>
  <c r="H97" i="1" s="1"/>
  <c r="K97" i="1" s="1"/>
  <c r="M238" i="2"/>
  <c r="C239" i="2"/>
  <c r="E239" i="2" s="1"/>
  <c r="F239" i="2" s="1"/>
  <c r="C98" i="1" l="1"/>
  <c r="E98" i="1" s="1"/>
  <c r="N98" i="2"/>
  <c r="G239" i="2"/>
  <c r="H239" i="2" s="1"/>
  <c r="K239" i="2" s="1"/>
  <c r="F98" i="1" l="1"/>
  <c r="G98" i="1" s="1"/>
  <c r="H98" i="1" s="1"/>
  <c r="K98" i="1" s="1"/>
  <c r="M239" i="2"/>
  <c r="C240" i="2"/>
  <c r="E240" i="2" s="1"/>
  <c r="F240" i="2" s="1"/>
  <c r="C99" i="1" l="1"/>
  <c r="E99" i="1" s="1"/>
  <c r="N99" i="2"/>
  <c r="G240" i="2"/>
  <c r="H240" i="2" s="1"/>
  <c r="K240" i="2" s="1"/>
  <c r="F99" i="1" l="1"/>
  <c r="G99" i="1" s="1"/>
  <c r="H99" i="1" s="1"/>
  <c r="K99" i="1" s="1"/>
  <c r="N100" i="2" s="1"/>
  <c r="C241" i="2"/>
  <c r="E241" i="2" s="1"/>
  <c r="F241" i="2" s="1"/>
  <c r="M240" i="2"/>
  <c r="C100" i="1" l="1"/>
  <c r="E100" i="1" s="1"/>
  <c r="G241" i="2"/>
  <c r="H241" i="2" s="1"/>
  <c r="K241" i="2" s="1"/>
  <c r="F100" i="1" l="1"/>
  <c r="G100" i="1" s="1"/>
  <c r="H100" i="1" s="1"/>
  <c r="K100" i="1" s="1"/>
  <c r="N101" i="2" s="1"/>
  <c r="M241" i="2"/>
  <c r="C242" i="2"/>
  <c r="E242" i="2" s="1"/>
  <c r="F242" i="2" s="1"/>
  <c r="C101" i="1" l="1"/>
  <c r="E101" i="1" s="1"/>
  <c r="G242" i="2"/>
  <c r="H242" i="2" s="1"/>
  <c r="K242" i="2" s="1"/>
  <c r="F101" i="1" l="1"/>
  <c r="G101" i="1" s="1"/>
  <c r="H101" i="1" s="1"/>
  <c r="K101" i="1" s="1"/>
  <c r="C102" i="1" s="1"/>
  <c r="E102" i="1" s="1"/>
  <c r="C243" i="2"/>
  <c r="E243" i="2" s="1"/>
  <c r="F243" i="2" s="1"/>
  <c r="M242" i="2"/>
  <c r="N102" i="2" l="1"/>
  <c r="F102" i="1"/>
  <c r="G243" i="2"/>
  <c r="H243" i="2" s="1"/>
  <c r="K243" i="2" s="1"/>
  <c r="G102" i="1" l="1"/>
  <c r="H102" i="1" s="1"/>
  <c r="K102" i="1" s="1"/>
  <c r="C244" i="2"/>
  <c r="E244" i="2" s="1"/>
  <c r="F244" i="2" s="1"/>
  <c r="M243" i="2"/>
  <c r="N103" i="2" l="1"/>
  <c r="C103" i="1"/>
  <c r="E103" i="1" s="1"/>
  <c r="G244" i="2"/>
  <c r="H244" i="2" s="1"/>
  <c r="K244" i="2" s="1"/>
  <c r="F103" i="1" l="1"/>
  <c r="G103" i="1" s="1"/>
  <c r="H103" i="1" s="1"/>
  <c r="K103" i="1" s="1"/>
  <c r="C245" i="2"/>
  <c r="E245" i="2" s="1"/>
  <c r="F245" i="2" s="1"/>
  <c r="M244" i="2"/>
  <c r="C104" i="1" l="1"/>
  <c r="E104" i="1" s="1"/>
  <c r="N104" i="2"/>
  <c r="G245" i="2"/>
  <c r="H245" i="2" s="1"/>
  <c r="K245" i="2" s="1"/>
  <c r="F104" i="1" l="1"/>
  <c r="G104" i="1" s="1"/>
  <c r="H104" i="1" s="1"/>
  <c r="K104" i="1" s="1"/>
  <c r="M245" i="2"/>
  <c r="C246" i="2"/>
  <c r="E246" i="2" s="1"/>
  <c r="F246" i="2" s="1"/>
  <c r="N105" i="2" l="1"/>
  <c r="C105" i="1"/>
  <c r="E105" i="1" s="1"/>
  <c r="G246" i="2"/>
  <c r="H246" i="2" s="1"/>
  <c r="K246" i="2" s="1"/>
  <c r="F105" i="1" l="1"/>
  <c r="G105" i="1" s="1"/>
  <c r="H105" i="1" s="1"/>
  <c r="K105" i="1" s="1"/>
  <c r="M246" i="2"/>
  <c r="C247" i="2"/>
  <c r="E247" i="2" s="1"/>
  <c r="F247" i="2" s="1"/>
  <c r="N106" i="2" l="1"/>
  <c r="C106" i="1"/>
  <c r="E106" i="1" s="1"/>
  <c r="G247" i="2"/>
  <c r="H247" i="2" s="1"/>
  <c r="K247" i="2" s="1"/>
  <c r="F106" i="1" l="1"/>
  <c r="G106" i="1" s="1"/>
  <c r="H106" i="1" s="1"/>
  <c r="K106" i="1" s="1"/>
  <c r="M247" i="2"/>
  <c r="C248" i="2"/>
  <c r="E248" i="2" s="1"/>
  <c r="F248" i="2" s="1"/>
  <c r="C107" i="1" l="1"/>
  <c r="E107" i="1" s="1"/>
  <c r="N107" i="2"/>
  <c r="G248" i="2"/>
  <c r="H248" i="2" s="1"/>
  <c r="K248" i="2" s="1"/>
  <c r="F107" i="1" l="1"/>
  <c r="G107" i="1" s="1"/>
  <c r="H107" i="1" s="1"/>
  <c r="K107" i="1" s="1"/>
  <c r="C249" i="2"/>
  <c r="E249" i="2" s="1"/>
  <c r="F249" i="2" s="1"/>
  <c r="M248" i="2"/>
  <c r="C108" i="1" l="1"/>
  <c r="E108" i="1" s="1"/>
  <c r="N108" i="2"/>
  <c r="G249" i="2"/>
  <c r="H249" i="2" s="1"/>
  <c r="K249" i="2" s="1"/>
  <c r="F108" i="1" l="1"/>
  <c r="G108" i="1" s="1"/>
  <c r="H108" i="1" s="1"/>
  <c r="K108" i="1" s="1"/>
  <c r="N109" i="2" s="1"/>
  <c r="M249" i="2"/>
  <c r="C250" i="2"/>
  <c r="E250" i="2" s="1"/>
  <c r="F250" i="2" s="1"/>
  <c r="C109" i="1" l="1"/>
  <c r="E109" i="1" s="1"/>
  <c r="G250" i="2"/>
  <c r="H250" i="2" s="1"/>
  <c r="K250" i="2" s="1"/>
  <c r="F109" i="1" l="1"/>
  <c r="G109" i="1" s="1"/>
  <c r="H109" i="1" s="1"/>
  <c r="K109" i="1" s="1"/>
  <c r="C251" i="2"/>
  <c r="E251" i="2" s="1"/>
  <c r="F251" i="2" s="1"/>
  <c r="M250" i="2"/>
  <c r="C110" i="1" l="1"/>
  <c r="E110" i="1" s="1"/>
  <c r="N110" i="2"/>
  <c r="G251" i="2"/>
  <c r="H251" i="2" s="1"/>
  <c r="K251" i="2" s="1"/>
  <c r="F110" i="1" l="1"/>
  <c r="G110" i="1" s="1"/>
  <c r="H110" i="1" s="1"/>
  <c r="K110" i="1" s="1"/>
  <c r="C111" i="1" s="1"/>
  <c r="E111" i="1" s="1"/>
  <c r="C252" i="2"/>
  <c r="E252" i="2" s="1"/>
  <c r="F252" i="2" s="1"/>
  <c r="M251" i="2"/>
  <c r="N111" i="2" l="1"/>
  <c r="F111" i="1"/>
  <c r="G252" i="2"/>
  <c r="H252" i="2" s="1"/>
  <c r="K252" i="2" s="1"/>
  <c r="G111" i="1" l="1"/>
  <c r="H111" i="1" s="1"/>
  <c r="K111" i="1" s="1"/>
  <c r="C112" i="1" s="1"/>
  <c r="E112" i="1" s="1"/>
  <c r="C253" i="2"/>
  <c r="E253" i="2" s="1"/>
  <c r="F253" i="2" s="1"/>
  <c r="M252" i="2"/>
  <c r="N112" i="2" l="1"/>
  <c r="F112" i="1"/>
  <c r="G253" i="2"/>
  <c r="H253" i="2" s="1"/>
  <c r="K253" i="2" s="1"/>
  <c r="G112" i="1" l="1"/>
  <c r="H112" i="1" s="1"/>
  <c r="K112" i="1" s="1"/>
  <c r="C113" i="1" s="1"/>
  <c r="E113" i="1" s="1"/>
  <c r="C254" i="2"/>
  <c r="E254" i="2" s="1"/>
  <c r="F254" i="2" s="1"/>
  <c r="M253" i="2"/>
  <c r="N113" i="2" l="1"/>
  <c r="F113" i="1"/>
  <c r="G254" i="2"/>
  <c r="H254" i="2" s="1"/>
  <c r="K254" i="2" s="1"/>
  <c r="G113" i="1" l="1"/>
  <c r="H113" i="1" s="1"/>
  <c r="K113" i="1" s="1"/>
  <c r="C114" i="1" s="1"/>
  <c r="E114" i="1" s="1"/>
  <c r="C255" i="2"/>
  <c r="E255" i="2" s="1"/>
  <c r="F255" i="2" s="1"/>
  <c r="M254" i="2"/>
  <c r="N114" i="2" l="1"/>
  <c r="F114" i="1"/>
  <c r="G255" i="2"/>
  <c r="H255" i="2" s="1"/>
  <c r="K255" i="2" s="1"/>
  <c r="G114" i="1" l="1"/>
  <c r="H114" i="1" s="1"/>
  <c r="K114" i="1" s="1"/>
  <c r="C256" i="2"/>
  <c r="E256" i="2" s="1"/>
  <c r="F256" i="2" s="1"/>
  <c r="M255" i="2"/>
  <c r="N115" i="2" l="1"/>
  <c r="C115" i="1"/>
  <c r="E115" i="1" s="1"/>
  <c r="G256" i="2"/>
  <c r="H256" i="2" s="1"/>
  <c r="K256" i="2" s="1"/>
  <c r="F115" i="1" l="1"/>
  <c r="G115" i="1" s="1"/>
  <c r="H115" i="1" s="1"/>
  <c r="K115" i="1" s="1"/>
  <c r="C116" i="1" s="1"/>
  <c r="E116" i="1" s="1"/>
  <c r="C257" i="2"/>
  <c r="E257" i="2" s="1"/>
  <c r="F257" i="2" s="1"/>
  <c r="M256" i="2"/>
  <c r="N116" i="2" l="1"/>
  <c r="F116" i="1"/>
  <c r="G257" i="2"/>
  <c r="H257" i="2" s="1"/>
  <c r="K257" i="2" s="1"/>
  <c r="G116" i="1" l="1"/>
  <c r="H116" i="1" s="1"/>
  <c r="K116" i="1" s="1"/>
  <c r="C117" i="1" s="1"/>
  <c r="E117" i="1" s="1"/>
  <c r="C258" i="2"/>
  <c r="E258" i="2" s="1"/>
  <c r="F258" i="2" s="1"/>
  <c r="M257" i="2"/>
  <c r="N117" i="2" l="1"/>
  <c r="F117" i="1"/>
  <c r="G258" i="2"/>
  <c r="H258" i="2" s="1"/>
  <c r="K258" i="2" s="1"/>
  <c r="G117" i="1" l="1"/>
  <c r="H117" i="1" s="1"/>
  <c r="K117" i="1" s="1"/>
  <c r="M258" i="2"/>
  <c r="C259" i="2"/>
  <c r="E259" i="2" s="1"/>
  <c r="F259" i="2" s="1"/>
  <c r="C118" i="1" l="1"/>
  <c r="E118" i="1" s="1"/>
  <c r="N118" i="2"/>
  <c r="G259" i="2"/>
  <c r="H259" i="2" s="1"/>
  <c r="K259" i="2" s="1"/>
  <c r="F118" i="1" l="1"/>
  <c r="G118" i="1" s="1"/>
  <c r="H118" i="1" s="1"/>
  <c r="K118" i="1" s="1"/>
  <c r="C119" i="1" s="1"/>
  <c r="E119" i="1" s="1"/>
  <c r="M259" i="2"/>
  <c r="C260" i="2"/>
  <c r="E260" i="2" s="1"/>
  <c r="F260" i="2" s="1"/>
  <c r="N119" i="2" l="1"/>
  <c r="F119" i="1"/>
  <c r="G260" i="2"/>
  <c r="H260" i="2" s="1"/>
  <c r="K260" i="2" s="1"/>
  <c r="G119" i="1" l="1"/>
  <c r="H119" i="1" s="1"/>
  <c r="K119" i="1" s="1"/>
  <c r="C120" i="1" s="1"/>
  <c r="E120" i="1" s="1"/>
  <c r="C261" i="2"/>
  <c r="E261" i="2" s="1"/>
  <c r="F261" i="2" s="1"/>
  <c r="M260" i="2"/>
  <c r="N120" i="2" l="1"/>
  <c r="F120" i="1"/>
  <c r="G261" i="2"/>
  <c r="H261" i="2" s="1"/>
  <c r="K261" i="2" s="1"/>
  <c r="G120" i="1" l="1"/>
  <c r="H120" i="1" s="1"/>
  <c r="K120" i="1" s="1"/>
  <c r="M261" i="2"/>
  <c r="C262" i="2"/>
  <c r="E262" i="2" s="1"/>
  <c r="F262" i="2" s="1"/>
  <c r="N121" i="2" l="1"/>
  <c r="C121" i="1"/>
  <c r="E121" i="1" s="1"/>
  <c r="G262" i="2"/>
  <c r="H262" i="2" s="1"/>
  <c r="K262" i="2" s="1"/>
  <c r="F121" i="1" l="1"/>
  <c r="G121" i="1" s="1"/>
  <c r="H121" i="1" s="1"/>
  <c r="K121" i="1" s="1"/>
  <c r="C263" i="2"/>
  <c r="E263" i="2" s="1"/>
  <c r="F263" i="2" s="1"/>
  <c r="M262" i="2"/>
  <c r="N122" i="2" l="1"/>
  <c r="C122" i="1"/>
  <c r="E122" i="1" s="1"/>
  <c r="G263" i="2"/>
  <c r="H263" i="2" s="1"/>
  <c r="K263" i="2" s="1"/>
  <c r="F122" i="1" l="1"/>
  <c r="G122" i="1" s="1"/>
  <c r="H122" i="1" s="1"/>
  <c r="K122" i="1" s="1"/>
  <c r="C264" i="2"/>
  <c r="E264" i="2" s="1"/>
  <c r="F264" i="2" s="1"/>
  <c r="M263" i="2"/>
  <c r="N123" i="2" l="1"/>
  <c r="C123" i="1"/>
  <c r="E123" i="1" s="1"/>
  <c r="G264" i="2"/>
  <c r="H264" i="2" s="1"/>
  <c r="K264" i="2" s="1"/>
  <c r="F123" i="1" l="1"/>
  <c r="G123" i="1" s="1"/>
  <c r="H123" i="1" s="1"/>
  <c r="K123" i="1" s="1"/>
  <c r="C265" i="2"/>
  <c r="E265" i="2" s="1"/>
  <c r="F265" i="2" s="1"/>
  <c r="M264" i="2"/>
  <c r="C124" i="1" l="1"/>
  <c r="E124" i="1" s="1"/>
  <c r="N124" i="2"/>
  <c r="G265" i="2"/>
  <c r="H265" i="2" s="1"/>
  <c r="K265" i="2" s="1"/>
  <c r="F124" i="1" l="1"/>
  <c r="G124" i="1" s="1"/>
  <c r="H124" i="1" s="1"/>
  <c r="K124" i="1" s="1"/>
  <c r="M265" i="2"/>
  <c r="C266" i="2"/>
  <c r="E266" i="2" s="1"/>
  <c r="F266" i="2" s="1"/>
  <c r="N125" i="2" l="1"/>
  <c r="C125" i="1"/>
  <c r="E125" i="1" s="1"/>
  <c r="G266" i="2"/>
  <c r="H266" i="2" s="1"/>
  <c r="K266" i="2" s="1"/>
  <c r="F125" i="1" l="1"/>
  <c r="G125" i="1" s="1"/>
  <c r="H125" i="1" s="1"/>
  <c r="K125" i="1" s="1"/>
  <c r="M266" i="2"/>
  <c r="C267" i="2"/>
  <c r="E267" i="2" s="1"/>
  <c r="F267" i="2" s="1"/>
  <c r="N126" i="2" l="1"/>
  <c r="C126" i="1"/>
  <c r="E126" i="1" s="1"/>
  <c r="G267" i="2"/>
  <c r="H267" i="2" s="1"/>
  <c r="K267" i="2" s="1"/>
  <c r="F126" i="1" l="1"/>
  <c r="G126" i="1" s="1"/>
  <c r="H126" i="1" s="1"/>
  <c r="K126" i="1" s="1"/>
  <c r="C268" i="2"/>
  <c r="E268" i="2" s="1"/>
  <c r="F268" i="2" s="1"/>
  <c r="M267" i="2"/>
  <c r="C127" i="1" l="1"/>
  <c r="E127" i="1" s="1"/>
  <c r="N127" i="2"/>
  <c r="G268" i="2"/>
  <c r="H268" i="2" s="1"/>
  <c r="K268" i="2" s="1"/>
  <c r="F127" i="1" l="1"/>
  <c r="G127" i="1" s="1"/>
  <c r="H127" i="1" s="1"/>
  <c r="K127" i="1" s="1"/>
  <c r="C269" i="2"/>
  <c r="E269" i="2" s="1"/>
  <c r="F269" i="2" s="1"/>
  <c r="M268" i="2"/>
  <c r="N128" i="2" l="1"/>
  <c r="C128" i="1"/>
  <c r="E128" i="1" s="1"/>
  <c r="G269" i="2"/>
  <c r="H269" i="2" s="1"/>
  <c r="K269" i="2" s="1"/>
  <c r="F128" i="1" l="1"/>
  <c r="G128" i="1" s="1"/>
  <c r="H128" i="1" s="1"/>
  <c r="K128" i="1" s="1"/>
  <c r="C270" i="2"/>
  <c r="E270" i="2" s="1"/>
  <c r="F270" i="2" s="1"/>
  <c r="M269" i="2"/>
  <c r="C129" i="1" l="1"/>
  <c r="E129" i="1" s="1"/>
  <c r="N129" i="2"/>
  <c r="G270" i="2"/>
  <c r="H270" i="2" s="1"/>
  <c r="K270" i="2" s="1"/>
  <c r="F129" i="1" l="1"/>
  <c r="G129" i="1" s="1"/>
  <c r="H129" i="1" s="1"/>
  <c r="K129" i="1" s="1"/>
  <c r="M270" i="2"/>
  <c r="C271" i="2"/>
  <c r="E271" i="2" s="1"/>
  <c r="F271" i="2" s="1"/>
  <c r="N130" i="2" l="1"/>
  <c r="C130" i="1"/>
  <c r="E130" i="1" s="1"/>
  <c r="G271" i="2"/>
  <c r="H271" i="2" s="1"/>
  <c r="K271" i="2" s="1"/>
  <c r="F130" i="1" l="1"/>
  <c r="G130" i="1" s="1"/>
  <c r="H130" i="1" s="1"/>
  <c r="K130" i="1" s="1"/>
  <c r="M271" i="2"/>
  <c r="C272" i="2"/>
  <c r="E272" i="2" s="1"/>
  <c r="F272" i="2" s="1"/>
  <c r="N131" i="2" l="1"/>
  <c r="C131" i="1"/>
  <c r="E131" i="1" s="1"/>
  <c r="G272" i="2"/>
  <c r="H272" i="2" s="1"/>
  <c r="K272" i="2" s="1"/>
  <c r="F131" i="1" l="1"/>
  <c r="G131" i="1" s="1"/>
  <c r="H131" i="1" s="1"/>
  <c r="K131" i="1" s="1"/>
  <c r="M272" i="2"/>
  <c r="C273" i="2"/>
  <c r="E273" i="2" s="1"/>
  <c r="F273" i="2" s="1"/>
  <c r="C132" i="1" l="1"/>
  <c r="E132" i="1" s="1"/>
  <c r="N132" i="2"/>
  <c r="G273" i="2"/>
  <c r="H273" i="2" s="1"/>
  <c r="K273" i="2" s="1"/>
  <c r="F132" i="1" l="1"/>
  <c r="G132" i="1" s="1"/>
  <c r="H132" i="1" s="1"/>
  <c r="K132" i="1" s="1"/>
  <c r="M273" i="2"/>
  <c r="C274" i="2"/>
  <c r="E274" i="2" s="1"/>
  <c r="F274" i="2" s="1"/>
  <c r="N133" i="2" l="1"/>
  <c r="C133" i="1"/>
  <c r="E133" i="1" s="1"/>
  <c r="G274" i="2"/>
  <c r="H274" i="2" s="1"/>
  <c r="K274" i="2" s="1"/>
  <c r="M274" i="2" s="1"/>
  <c r="F133" i="1" l="1"/>
  <c r="G133" i="1" s="1"/>
  <c r="H133" i="1" s="1"/>
  <c r="K133" i="1" s="1"/>
  <c r="C134" i="1" l="1"/>
  <c r="E134" i="1" s="1"/>
  <c r="N134" i="2"/>
  <c r="F134" i="1" l="1"/>
  <c r="G134" i="1" s="1"/>
  <c r="H134" i="1" s="1"/>
  <c r="K134" i="1" s="1"/>
  <c r="N135" i="2" l="1"/>
  <c r="C135" i="1"/>
  <c r="E135" i="1" s="1"/>
  <c r="F135" i="1" l="1"/>
  <c r="G135" i="1" s="1"/>
  <c r="H135" i="1" s="1"/>
  <c r="K135" i="1" s="1"/>
  <c r="N136" i="2" l="1"/>
  <c r="C136" i="1"/>
  <c r="E136" i="1" s="1"/>
  <c r="F136" i="1" l="1"/>
  <c r="G136" i="1" s="1"/>
  <c r="H136" i="1" s="1"/>
  <c r="K136" i="1" s="1"/>
  <c r="N137" i="2" l="1"/>
  <c r="C137" i="1"/>
  <c r="E137" i="1" s="1"/>
  <c r="F137" i="1" l="1"/>
  <c r="G137" i="1" s="1"/>
  <c r="H137" i="1" s="1"/>
  <c r="K137" i="1" s="1"/>
  <c r="C138" i="1" s="1"/>
  <c r="E138" i="1" s="1"/>
  <c r="N138" i="2" l="1"/>
  <c r="F138" i="1"/>
  <c r="G138" i="1" l="1"/>
  <c r="H138" i="1" s="1"/>
  <c r="K138" i="1" s="1"/>
  <c r="N139" i="2" l="1"/>
  <c r="C139" i="1"/>
  <c r="E139" i="1" s="1"/>
  <c r="F139" i="1" l="1"/>
  <c r="G139" i="1" s="1"/>
  <c r="H139" i="1" s="1"/>
  <c r="K139" i="1" s="1"/>
  <c r="C140" i="1" l="1"/>
  <c r="E140" i="1" s="1"/>
  <c r="N140" i="2"/>
  <c r="F140" i="1" l="1"/>
  <c r="G140" i="1" s="1"/>
  <c r="H140" i="1" s="1"/>
  <c r="K140" i="1" s="1"/>
  <c r="N141" i="2" l="1"/>
  <c r="C141" i="1"/>
  <c r="E141" i="1" s="1"/>
  <c r="F141" i="1" l="1"/>
  <c r="G141" i="1" s="1"/>
  <c r="H141" i="1" s="1"/>
  <c r="K141" i="1" s="1"/>
  <c r="C275" i="2"/>
  <c r="E275" i="2" s="1"/>
  <c r="F275" i="2" s="1"/>
  <c r="C142" i="1" l="1"/>
  <c r="E142" i="1" s="1"/>
  <c r="N142" i="2"/>
  <c r="G275" i="2"/>
  <c r="H275" i="2" s="1"/>
  <c r="K275" i="2" s="1"/>
  <c r="F142" i="1" l="1"/>
  <c r="G142" i="1" s="1"/>
  <c r="H142" i="1" s="1"/>
  <c r="K142" i="1" s="1"/>
  <c r="C276" i="2"/>
  <c r="E276" i="2" s="1"/>
  <c r="F276" i="2" s="1"/>
  <c r="M275" i="2"/>
  <c r="C143" i="1" l="1"/>
  <c r="E143" i="1" s="1"/>
  <c r="N143" i="2"/>
  <c r="G276" i="2"/>
  <c r="H276" i="2" s="1"/>
  <c r="K276" i="2" s="1"/>
  <c r="F143" i="1" l="1"/>
  <c r="G143" i="1" s="1"/>
  <c r="H143" i="1" s="1"/>
  <c r="K143" i="1" s="1"/>
  <c r="C277" i="2"/>
  <c r="E277" i="2" s="1"/>
  <c r="F277" i="2" s="1"/>
  <c r="M276" i="2"/>
  <c r="N144" i="2" l="1"/>
  <c r="C144" i="1"/>
  <c r="E144" i="1" s="1"/>
  <c r="G277" i="2"/>
  <c r="H277" i="2" s="1"/>
  <c r="K277" i="2" s="1"/>
  <c r="M277" i="2" s="1"/>
  <c r="F144" i="1" l="1"/>
  <c r="G144" i="1" s="1"/>
  <c r="H144" i="1" s="1"/>
  <c r="K144" i="1" s="1"/>
  <c r="C145" i="1" l="1"/>
  <c r="E145" i="1" s="1"/>
  <c r="N145" i="2"/>
  <c r="F145" i="1" l="1"/>
  <c r="G145" i="1" s="1"/>
  <c r="H145" i="1" s="1"/>
  <c r="K145" i="1" s="1"/>
  <c r="N146" i="2" l="1"/>
  <c r="C146" i="1"/>
  <c r="E146" i="1" s="1"/>
  <c r="F146" i="1" l="1"/>
  <c r="G146" i="1" s="1"/>
  <c r="H146" i="1" s="1"/>
  <c r="K146" i="1" s="1"/>
  <c r="C147" i="1" l="1"/>
  <c r="E147" i="1" s="1"/>
  <c r="N147" i="2"/>
  <c r="F147" i="1" l="1"/>
  <c r="G147" i="1" s="1"/>
  <c r="H147" i="1" s="1"/>
  <c r="K147" i="1" s="1"/>
  <c r="C148" i="1" l="1"/>
  <c r="E148" i="1" s="1"/>
  <c r="N148" i="2"/>
  <c r="F148" i="1" l="1"/>
  <c r="G148" i="1" s="1"/>
  <c r="H148" i="1" s="1"/>
  <c r="K148" i="1" s="1"/>
  <c r="C149" i="1" s="1"/>
  <c r="E149" i="1" s="1"/>
  <c r="N149" i="2" l="1"/>
  <c r="F149" i="1"/>
  <c r="G149" i="1" l="1"/>
  <c r="H149" i="1" s="1"/>
  <c r="K149" i="1" s="1"/>
  <c r="N150" i="2" s="1"/>
  <c r="C150" i="1" l="1"/>
  <c r="E150" i="1" s="1"/>
  <c r="F150" i="1" l="1"/>
  <c r="G150" i="1" s="1"/>
  <c r="H150" i="1" s="1"/>
  <c r="K150" i="1" s="1"/>
  <c r="N151" i="2" l="1"/>
  <c r="C151" i="1"/>
  <c r="E151" i="1" s="1"/>
  <c r="F151" i="1" l="1"/>
  <c r="G151" i="1" s="1"/>
  <c r="H151" i="1" s="1"/>
  <c r="K151" i="1" s="1"/>
  <c r="N152" i="2" l="1"/>
  <c r="C152" i="1"/>
  <c r="E152" i="1" s="1"/>
  <c r="F152" i="1" l="1"/>
  <c r="G152" i="1" s="1"/>
  <c r="H152" i="1" s="1"/>
  <c r="K152" i="1" s="1"/>
  <c r="N153" i="2" s="1"/>
  <c r="C153" i="1" l="1"/>
  <c r="E153" i="1" s="1"/>
  <c r="F153" i="1" l="1"/>
  <c r="G153" i="1" s="1"/>
  <c r="H153" i="1" s="1"/>
  <c r="K153" i="1" s="1"/>
  <c r="N154" i="2" l="1"/>
  <c r="C154" i="1"/>
  <c r="E154" i="1" s="1"/>
  <c r="F154" i="1" l="1"/>
  <c r="G154" i="1" s="1"/>
  <c r="H154" i="1" s="1"/>
  <c r="K154" i="1" s="1"/>
  <c r="C155" i="1" l="1"/>
  <c r="E155" i="1" s="1"/>
  <c r="N155" i="2"/>
  <c r="F155" i="1" l="1"/>
  <c r="G155" i="1" s="1"/>
  <c r="H155" i="1" s="1"/>
  <c r="K155" i="1" s="1"/>
  <c r="C156" i="1" l="1"/>
  <c r="E156" i="1" s="1"/>
  <c r="N156" i="2"/>
  <c r="F156" i="1" l="1"/>
  <c r="G156" i="1" s="1"/>
  <c r="H156" i="1" s="1"/>
  <c r="K156" i="1" s="1"/>
  <c r="N157" i="2" l="1"/>
  <c r="C157" i="1"/>
  <c r="E157" i="1" s="1"/>
  <c r="F157" i="1" l="1"/>
  <c r="G157" i="1" s="1"/>
  <c r="H157" i="1" s="1"/>
  <c r="K157" i="1" s="1"/>
  <c r="C158" i="1" s="1"/>
  <c r="E158" i="1" s="1"/>
  <c r="N158" i="2" l="1"/>
  <c r="F158" i="1"/>
  <c r="G158" i="1" l="1"/>
  <c r="H158" i="1" s="1"/>
  <c r="K158" i="1" s="1"/>
  <c r="C159" i="1" s="1"/>
  <c r="E159" i="1" s="1"/>
  <c r="N159" i="2" l="1"/>
  <c r="F159" i="1"/>
  <c r="G159" i="1" l="1"/>
  <c r="H159" i="1" s="1"/>
  <c r="K159" i="1" s="1"/>
  <c r="N160" i="2" l="1"/>
  <c r="C160" i="1"/>
  <c r="E160" i="1" s="1"/>
  <c r="F160" i="1" l="1"/>
  <c r="G160" i="1" s="1"/>
  <c r="H160" i="1" s="1"/>
  <c r="K160" i="1" s="1"/>
  <c r="N161" i="2" s="1"/>
  <c r="C161" i="1" l="1"/>
  <c r="E161" i="1" s="1"/>
  <c r="F161" i="1" l="1"/>
  <c r="G161" i="1" s="1"/>
  <c r="H161" i="1" s="1"/>
  <c r="K161" i="1" s="1"/>
  <c r="N162" i="2" s="1"/>
  <c r="C162" i="1" l="1"/>
  <c r="E162" i="1" s="1"/>
  <c r="F162" i="1" l="1"/>
  <c r="G162" i="1" s="1"/>
  <c r="H162" i="1" s="1"/>
  <c r="K162" i="1" s="1"/>
  <c r="N163" i="2" l="1"/>
  <c r="C163" i="1"/>
  <c r="E163" i="1" s="1"/>
  <c r="F163" i="1" l="1"/>
  <c r="G163" i="1" s="1"/>
  <c r="H163" i="1" s="1"/>
  <c r="K163" i="1" s="1"/>
  <c r="N164" i="2" s="1"/>
  <c r="C164" i="1" l="1"/>
  <c r="E164" i="1" s="1"/>
  <c r="F164" i="1" l="1"/>
  <c r="G164" i="1" s="1"/>
  <c r="H164" i="1" s="1"/>
  <c r="K164" i="1" s="1"/>
  <c r="C165" i="1" l="1"/>
  <c r="E165" i="1" s="1"/>
  <c r="N165" i="2"/>
  <c r="F165" i="1" l="1"/>
  <c r="G165" i="1" s="1"/>
  <c r="H165" i="1" s="1"/>
  <c r="K165" i="1" s="1"/>
  <c r="N166" i="2" l="1"/>
  <c r="C166" i="1"/>
  <c r="E166" i="1" s="1"/>
  <c r="F166" i="1" l="1"/>
  <c r="G166" i="1" s="1"/>
  <c r="H166" i="1" s="1"/>
  <c r="K166" i="1" s="1"/>
  <c r="N167" i="2" l="1"/>
  <c r="C167" i="1"/>
  <c r="E167" i="1" s="1"/>
  <c r="F167" i="1" l="1"/>
  <c r="G167" i="1" s="1"/>
  <c r="H167" i="1" s="1"/>
  <c r="K167" i="1" s="1"/>
  <c r="N168" i="2" s="1"/>
  <c r="C168" i="1" l="1"/>
  <c r="E168" i="1" s="1"/>
  <c r="F168" i="1" l="1"/>
  <c r="G168" i="1" s="1"/>
  <c r="H168" i="1" s="1"/>
  <c r="K168" i="1" s="1"/>
  <c r="C169" i="1" s="1"/>
  <c r="E169" i="1" s="1"/>
  <c r="N169" i="2" l="1"/>
  <c r="F169" i="1"/>
  <c r="G169" i="1" l="1"/>
  <c r="H169" i="1" s="1"/>
  <c r="K169" i="1" s="1"/>
  <c r="N170" i="2" l="1"/>
  <c r="C170" i="1"/>
  <c r="E170" i="1" s="1"/>
  <c r="F170" i="1" l="1"/>
  <c r="G170" i="1" s="1"/>
  <c r="H170" i="1" s="1"/>
  <c r="K170" i="1" s="1"/>
  <c r="N171" i="2" l="1"/>
  <c r="C171" i="1"/>
  <c r="E171" i="1" s="1"/>
  <c r="F171" i="1" l="1"/>
  <c r="G171" i="1" s="1"/>
  <c r="H171" i="1" s="1"/>
  <c r="K171" i="1" s="1"/>
  <c r="N172" i="2" l="1"/>
  <c r="C172" i="1"/>
  <c r="E172" i="1" s="1"/>
  <c r="F172" i="1" l="1"/>
  <c r="G172" i="1" s="1"/>
  <c r="H172" i="1" s="1"/>
  <c r="K172" i="1" s="1"/>
  <c r="N173" i="2" s="1"/>
  <c r="C173" i="1" l="1"/>
  <c r="E173" i="1" s="1"/>
  <c r="F173" i="1" l="1"/>
  <c r="G173" i="1" s="1"/>
  <c r="H173" i="1" s="1"/>
  <c r="K173" i="1" s="1"/>
  <c r="N174" i="2" s="1"/>
  <c r="C174" i="1" l="1"/>
  <c r="E174" i="1" s="1"/>
  <c r="F174" i="1" l="1"/>
  <c r="G174" i="1" s="1"/>
  <c r="H174" i="1" s="1"/>
  <c r="K174" i="1" s="1"/>
  <c r="N175" i="2" l="1"/>
  <c r="C175" i="1"/>
  <c r="E175" i="1" s="1"/>
  <c r="F175" i="1" l="1"/>
  <c r="G175" i="1" s="1"/>
  <c r="H175" i="1" s="1"/>
  <c r="K175" i="1" s="1"/>
  <c r="N176" i="2" l="1"/>
  <c r="C176" i="1"/>
  <c r="E176" i="1" s="1"/>
  <c r="F176" i="1" l="1"/>
  <c r="G176" i="1" s="1"/>
  <c r="H176" i="1" s="1"/>
  <c r="K176" i="1" s="1"/>
  <c r="C177" i="1" s="1"/>
  <c r="E177" i="1" s="1"/>
  <c r="N177" i="2" l="1"/>
  <c r="F177" i="1"/>
  <c r="G177" i="1" l="1"/>
  <c r="H177" i="1" s="1"/>
  <c r="K177" i="1" s="1"/>
  <c r="C178" i="1" l="1"/>
  <c r="E178" i="1" s="1"/>
  <c r="N178" i="2"/>
  <c r="F178" i="1" l="1"/>
  <c r="G178" i="1" s="1"/>
  <c r="H178" i="1" s="1"/>
  <c r="K178" i="1" s="1"/>
  <c r="C179" i="1" l="1"/>
  <c r="E179" i="1" s="1"/>
  <c r="N179" i="2"/>
  <c r="F179" i="1" l="1"/>
  <c r="G179" i="1" s="1"/>
  <c r="H179" i="1" s="1"/>
  <c r="K179" i="1" s="1"/>
  <c r="N180" i="2" s="1"/>
  <c r="C180" i="1" l="1"/>
  <c r="E180" i="1" s="1"/>
  <c r="F180" i="1" l="1"/>
  <c r="G180" i="1" s="1"/>
  <c r="H180" i="1" s="1"/>
  <c r="K180" i="1" s="1"/>
  <c r="N181" i="2" s="1"/>
  <c r="C181" i="1" l="1"/>
  <c r="E181" i="1" s="1"/>
  <c r="F181" i="1" l="1"/>
  <c r="G181" i="1" s="1"/>
  <c r="H181" i="1" s="1"/>
  <c r="K181" i="1" s="1"/>
  <c r="N182" i="2" l="1"/>
  <c r="C182" i="1"/>
  <c r="E182" i="1" s="1"/>
  <c r="F182" i="1" l="1"/>
  <c r="G182" i="1" s="1"/>
  <c r="H182" i="1" s="1"/>
  <c r="K182" i="1" s="1"/>
  <c r="C183" i="1" l="1"/>
  <c r="E183" i="1" s="1"/>
  <c r="N183" i="2"/>
  <c r="F183" i="1" l="1"/>
  <c r="G183" i="1" s="1"/>
  <c r="H183" i="1" s="1"/>
  <c r="K183" i="1" s="1"/>
  <c r="C184" i="1" l="1"/>
  <c r="E184" i="1" s="1"/>
  <c r="N184" i="2"/>
  <c r="F184" i="1" l="1"/>
  <c r="G184" i="1" s="1"/>
  <c r="H184" i="1" s="1"/>
  <c r="K184" i="1" s="1"/>
  <c r="C185" i="1" l="1"/>
  <c r="E185" i="1" s="1"/>
  <c r="N185" i="2"/>
  <c r="F185" i="1" l="1"/>
  <c r="G185" i="1" s="1"/>
  <c r="H185" i="1" s="1"/>
  <c r="K185" i="1" s="1"/>
  <c r="N186" i="2" l="1"/>
  <c r="C186" i="1"/>
  <c r="E186" i="1" s="1"/>
  <c r="F186" i="1" l="1"/>
  <c r="G186" i="1" s="1"/>
  <c r="H186" i="1" s="1"/>
  <c r="K186" i="1" s="1"/>
  <c r="N187" i="2" l="1"/>
  <c r="C187" i="1"/>
  <c r="E187" i="1" s="1"/>
  <c r="F187" i="1" l="1"/>
  <c r="G187" i="1" s="1"/>
  <c r="H187" i="1" s="1"/>
  <c r="K187" i="1" s="1"/>
  <c r="C188" i="1" l="1"/>
  <c r="E188" i="1" s="1"/>
  <c r="N188" i="2"/>
  <c r="F188" i="1" l="1"/>
  <c r="G188" i="1" s="1"/>
  <c r="H188" i="1" s="1"/>
  <c r="K188" i="1" s="1"/>
  <c r="N189" i="2" l="1"/>
  <c r="C189" i="1"/>
  <c r="E189" i="1" s="1"/>
  <c r="F189" i="1" l="1"/>
  <c r="G189" i="1" s="1"/>
  <c r="H189" i="1" s="1"/>
  <c r="K189" i="1" s="1"/>
  <c r="N190" i="2" l="1"/>
  <c r="C190" i="1"/>
  <c r="E190" i="1" s="1"/>
  <c r="F190" i="1" l="1"/>
  <c r="G190" i="1" s="1"/>
  <c r="H190" i="1" s="1"/>
  <c r="K190" i="1" s="1"/>
  <c r="C191" i="1" l="1"/>
  <c r="E191" i="1" s="1"/>
  <c r="N191" i="2"/>
  <c r="F191" i="1" l="1"/>
  <c r="G191" i="1" s="1"/>
  <c r="H191" i="1" s="1"/>
  <c r="K191" i="1" s="1"/>
  <c r="C192" i="1" l="1"/>
  <c r="E192" i="1" s="1"/>
  <c r="N192" i="2"/>
  <c r="F192" i="1" l="1"/>
  <c r="G192" i="1" s="1"/>
  <c r="H192" i="1" s="1"/>
  <c r="K192" i="1" s="1"/>
  <c r="N193" i="2" l="1"/>
  <c r="C193" i="1"/>
  <c r="E193" i="1" s="1"/>
  <c r="F193" i="1" l="1"/>
  <c r="G193" i="1" s="1"/>
  <c r="H193" i="1" s="1"/>
  <c r="K193" i="1" s="1"/>
  <c r="N194" i="2" l="1"/>
  <c r="C194" i="1"/>
  <c r="E194" i="1" s="1"/>
  <c r="F194" i="1" l="1"/>
  <c r="G194" i="1" s="1"/>
  <c r="H194" i="1" s="1"/>
  <c r="K194" i="1" s="1"/>
  <c r="C195" i="1" l="1"/>
  <c r="E195" i="1" s="1"/>
  <c r="N195" i="2"/>
  <c r="F195" i="1" l="1"/>
  <c r="G195" i="1" s="1"/>
  <c r="H195" i="1" s="1"/>
  <c r="K195" i="1" s="1"/>
  <c r="N196" i="2" l="1"/>
  <c r="C196" i="1"/>
  <c r="E196" i="1" s="1"/>
  <c r="F196" i="1" l="1"/>
  <c r="G196" i="1" s="1"/>
  <c r="H196" i="1" s="1"/>
  <c r="K196" i="1" s="1"/>
  <c r="N197" i="2" l="1"/>
  <c r="C197" i="1"/>
  <c r="E197" i="1" s="1"/>
  <c r="F197" i="1" l="1"/>
  <c r="G197" i="1" s="1"/>
  <c r="H197" i="1" s="1"/>
  <c r="K197" i="1" s="1"/>
  <c r="C198" i="1" l="1"/>
  <c r="E198" i="1" s="1"/>
  <c r="N198" i="2"/>
  <c r="F198" i="1" l="1"/>
  <c r="G198" i="1" s="1"/>
  <c r="H198" i="1" s="1"/>
  <c r="K198" i="1" s="1"/>
  <c r="C199" i="1" l="1"/>
  <c r="E199" i="1" s="1"/>
  <c r="N199" i="2"/>
  <c r="F199" i="1" l="1"/>
  <c r="G199" i="1" s="1"/>
  <c r="H199" i="1" s="1"/>
  <c r="K199" i="1" s="1"/>
  <c r="N200" i="2" l="1"/>
  <c r="C200" i="1"/>
  <c r="E200" i="1" s="1"/>
  <c r="F200" i="1" l="1"/>
  <c r="G200" i="1" s="1"/>
  <c r="H200" i="1" s="1"/>
  <c r="K200" i="1" s="1"/>
  <c r="C201" i="1" l="1"/>
  <c r="E201" i="1" s="1"/>
  <c r="N201" i="2"/>
  <c r="F201" i="1" l="1"/>
  <c r="G201" i="1" s="1"/>
  <c r="H201" i="1" s="1"/>
  <c r="K201" i="1" s="1"/>
  <c r="C202" i="1" l="1"/>
  <c r="E202" i="1" s="1"/>
  <c r="N202" i="2"/>
  <c r="F202" i="1" l="1"/>
  <c r="G202" i="1" s="1"/>
  <c r="H202" i="1" s="1"/>
  <c r="K202" i="1" s="1"/>
  <c r="N203" i="2" l="1"/>
  <c r="C203" i="1"/>
  <c r="E203" i="1" s="1"/>
  <c r="F203" i="1" l="1"/>
  <c r="G203" i="1" s="1"/>
  <c r="H203" i="1" s="1"/>
  <c r="K203" i="1" s="1"/>
  <c r="C204" i="1" l="1"/>
  <c r="E204" i="1" s="1"/>
  <c r="N204" i="2"/>
  <c r="F204" i="1" l="1"/>
  <c r="G204" i="1" s="1"/>
  <c r="H204" i="1" s="1"/>
  <c r="K204" i="1" s="1"/>
  <c r="N205" i="2" l="1"/>
  <c r="C205" i="1"/>
  <c r="E205" i="1" s="1"/>
  <c r="F205" i="1" l="1"/>
  <c r="G205" i="1" s="1"/>
  <c r="H205" i="1" s="1"/>
  <c r="K205" i="1" s="1"/>
  <c r="N206" i="2" l="1"/>
  <c r="C206" i="1"/>
  <c r="E206" i="1" s="1"/>
  <c r="F206" i="1" l="1"/>
  <c r="G206" i="1" s="1"/>
  <c r="H206" i="1" s="1"/>
  <c r="K206" i="1" s="1"/>
  <c r="C207" i="1" l="1"/>
  <c r="E207" i="1" s="1"/>
  <c r="N207" i="2"/>
  <c r="F207" i="1" l="1"/>
  <c r="G207" i="1" s="1"/>
  <c r="H207" i="1" s="1"/>
  <c r="K207" i="1" s="1"/>
  <c r="N208" i="2" l="1"/>
  <c r="C208" i="1"/>
  <c r="E208" i="1" s="1"/>
  <c r="F208" i="1" l="1"/>
  <c r="G208" i="1" s="1"/>
  <c r="H208" i="1" s="1"/>
  <c r="K208" i="1" s="1"/>
  <c r="N209" i="2" l="1"/>
  <c r="C209" i="1"/>
  <c r="E209" i="1" s="1"/>
  <c r="F209" i="1" l="1"/>
  <c r="G209" i="1" s="1"/>
  <c r="H209" i="1" s="1"/>
  <c r="K209" i="1" s="1"/>
  <c r="C210" i="1" l="1"/>
  <c r="E210" i="1" s="1"/>
  <c r="N210" i="2"/>
  <c r="F210" i="1" l="1"/>
  <c r="G210" i="1" s="1"/>
  <c r="H210" i="1" s="1"/>
  <c r="K210" i="1" s="1"/>
  <c r="N211" i="2" l="1"/>
  <c r="C211" i="1"/>
  <c r="E211" i="1" s="1"/>
  <c r="F211" i="1" l="1"/>
  <c r="G211" i="1" s="1"/>
  <c r="H211" i="1" s="1"/>
  <c r="K211" i="1" s="1"/>
  <c r="C212" i="1" l="1"/>
  <c r="E212" i="1" s="1"/>
  <c r="N212" i="2"/>
  <c r="F212" i="1" l="1"/>
  <c r="G212" i="1" s="1"/>
  <c r="H212" i="1" s="1"/>
  <c r="K212" i="1" s="1"/>
  <c r="N213" i="2" l="1"/>
  <c r="C213" i="1"/>
  <c r="E213" i="1" s="1"/>
  <c r="F213" i="1" l="1"/>
  <c r="G213" i="1" s="1"/>
  <c r="H213" i="1" s="1"/>
  <c r="K213" i="1" s="1"/>
  <c r="N214" i="2" l="1"/>
  <c r="C214" i="1"/>
  <c r="E214" i="1" s="1"/>
  <c r="F214" i="1" l="1"/>
  <c r="G214" i="1" s="1"/>
  <c r="H214" i="1" s="1"/>
  <c r="K214" i="1" s="1"/>
  <c r="N215" i="2" l="1"/>
  <c r="C215" i="1"/>
  <c r="E215" i="1" s="1"/>
  <c r="F215" i="1" l="1"/>
  <c r="G215" i="1" s="1"/>
  <c r="H215" i="1" s="1"/>
  <c r="K215" i="1" s="1"/>
  <c r="N216" i="2" l="1"/>
  <c r="C216" i="1"/>
  <c r="E216" i="1" s="1"/>
  <c r="F216" i="1" l="1"/>
  <c r="G216" i="1" s="1"/>
  <c r="H216" i="1" s="1"/>
  <c r="K216" i="1" s="1"/>
  <c r="N217" i="2" l="1"/>
  <c r="C217" i="1"/>
  <c r="E217" i="1" s="1"/>
  <c r="F217" i="1" l="1"/>
  <c r="G217" i="1" s="1"/>
  <c r="H217" i="1" s="1"/>
  <c r="K217" i="1" s="1"/>
  <c r="C218" i="1" l="1"/>
  <c r="E218" i="1" s="1"/>
  <c r="N218" i="2"/>
  <c r="F218" i="1" l="1"/>
  <c r="G218" i="1" s="1"/>
  <c r="H218" i="1" s="1"/>
  <c r="K218" i="1" s="1"/>
  <c r="C219" i="1" l="1"/>
  <c r="E219" i="1" s="1"/>
  <c r="N219" i="2"/>
  <c r="F219" i="1" l="1"/>
  <c r="G219" i="1" s="1"/>
  <c r="H219" i="1" s="1"/>
  <c r="K219" i="1" s="1"/>
  <c r="C220" i="1" l="1"/>
  <c r="E220" i="1" s="1"/>
  <c r="N220" i="2"/>
  <c r="F220" i="1" l="1"/>
  <c r="G220" i="1" s="1"/>
  <c r="H220" i="1" s="1"/>
  <c r="K220" i="1" s="1"/>
  <c r="N221" i="2" l="1"/>
  <c r="C221" i="1"/>
  <c r="E221" i="1" s="1"/>
  <c r="F221" i="1" l="1"/>
  <c r="G221" i="1" s="1"/>
  <c r="H221" i="1" s="1"/>
  <c r="K221" i="1" s="1"/>
  <c r="N222" i="2" l="1"/>
  <c r="C222" i="1"/>
  <c r="E222" i="1" s="1"/>
  <c r="F222" i="1" l="1"/>
  <c r="G222" i="1" s="1"/>
  <c r="H222" i="1" s="1"/>
  <c r="K222" i="1" s="1"/>
  <c r="C223" i="1" l="1"/>
  <c r="E223" i="1" s="1"/>
  <c r="N223" i="2"/>
  <c r="F223" i="1" l="1"/>
  <c r="G223" i="1" s="1"/>
  <c r="H223" i="1" s="1"/>
  <c r="K223" i="1" s="1"/>
  <c r="C224" i="1" l="1"/>
  <c r="E224" i="1" s="1"/>
  <c r="N224" i="2"/>
  <c r="F224" i="1" l="1"/>
  <c r="G224" i="1" s="1"/>
  <c r="H224" i="1" s="1"/>
  <c r="K224" i="1" s="1"/>
  <c r="N225" i="2" l="1"/>
  <c r="C225" i="1"/>
  <c r="E225" i="1" s="1"/>
  <c r="F225" i="1" l="1"/>
  <c r="G225" i="1" s="1"/>
  <c r="H225" i="1" s="1"/>
  <c r="K225" i="1" s="1"/>
  <c r="C226" i="1" l="1"/>
  <c r="E226" i="1" s="1"/>
  <c r="N226" i="2"/>
  <c r="F226" i="1" l="1"/>
  <c r="G226" i="1" s="1"/>
  <c r="H226" i="1" s="1"/>
  <c r="K226" i="1" s="1"/>
  <c r="N227" i="2" l="1"/>
  <c r="C227" i="1"/>
  <c r="E227" i="1" s="1"/>
  <c r="F227" i="1" l="1"/>
  <c r="G227" i="1" s="1"/>
  <c r="H227" i="1" s="1"/>
  <c r="K227" i="1" s="1"/>
  <c r="C228" i="1" l="1"/>
  <c r="E228" i="1" s="1"/>
  <c r="N228" i="2"/>
  <c r="F228" i="1" l="1"/>
  <c r="G228" i="1" s="1"/>
  <c r="H228" i="1" s="1"/>
  <c r="K228" i="1" s="1"/>
  <c r="N229" i="2" l="1"/>
  <c r="C229" i="1"/>
  <c r="E229" i="1" s="1"/>
  <c r="F229" i="1" l="1"/>
  <c r="G229" i="1" s="1"/>
  <c r="H229" i="1" s="1"/>
  <c r="K229" i="1" s="1"/>
  <c r="C230" i="1" l="1"/>
  <c r="E230" i="1" s="1"/>
  <c r="N230" i="2"/>
  <c r="F230" i="1" l="1"/>
  <c r="G230" i="1" s="1"/>
  <c r="H230" i="1" s="1"/>
  <c r="K230" i="1" s="1"/>
  <c r="C231" i="1" l="1"/>
  <c r="E231" i="1" s="1"/>
  <c r="N231" i="2"/>
  <c r="F231" i="1" l="1"/>
  <c r="G231" i="1" s="1"/>
  <c r="H231" i="1" s="1"/>
  <c r="K231" i="1" s="1"/>
  <c r="N232" i="2" l="1"/>
  <c r="C232" i="1"/>
  <c r="E232" i="1" s="1"/>
  <c r="F232" i="1" l="1"/>
  <c r="G232" i="1" s="1"/>
  <c r="H232" i="1" s="1"/>
  <c r="K232" i="1" s="1"/>
  <c r="N233" i="2" l="1"/>
  <c r="C233" i="1"/>
  <c r="E233" i="1" s="1"/>
  <c r="F233" i="1" l="1"/>
  <c r="G233" i="1" s="1"/>
  <c r="H233" i="1" s="1"/>
  <c r="K233" i="1" s="1"/>
  <c r="N234" i="2" l="1"/>
  <c r="C234" i="1"/>
  <c r="E234" i="1" s="1"/>
  <c r="F234" i="1" l="1"/>
  <c r="G234" i="1" s="1"/>
  <c r="H234" i="1" s="1"/>
  <c r="K234" i="1" s="1"/>
  <c r="N235" i="2" l="1"/>
  <c r="C235" i="1"/>
  <c r="E235" i="1" s="1"/>
  <c r="F235" i="1" l="1"/>
  <c r="G235" i="1" s="1"/>
  <c r="H235" i="1" s="1"/>
  <c r="K235" i="1" s="1"/>
  <c r="N236" i="2" l="1"/>
  <c r="C236" i="1"/>
  <c r="E236" i="1" s="1"/>
  <c r="F236" i="1" l="1"/>
  <c r="G236" i="1" s="1"/>
  <c r="H236" i="1" s="1"/>
  <c r="K236" i="1" s="1"/>
  <c r="N237" i="2" l="1"/>
  <c r="C237" i="1"/>
  <c r="E237" i="1" s="1"/>
  <c r="F237" i="1" l="1"/>
  <c r="G237" i="1" s="1"/>
  <c r="H237" i="1" s="1"/>
  <c r="K237" i="1" s="1"/>
  <c r="C238" i="1" l="1"/>
  <c r="E238" i="1" s="1"/>
  <c r="N238" i="2"/>
  <c r="F238" i="1" l="1"/>
  <c r="G238" i="1" s="1"/>
  <c r="H238" i="1" s="1"/>
  <c r="K238" i="1" s="1"/>
  <c r="N239" i="2" l="1"/>
  <c r="C239" i="1"/>
  <c r="E239" i="1" s="1"/>
  <c r="F239" i="1" l="1"/>
  <c r="G239" i="1" s="1"/>
  <c r="H239" i="1" s="1"/>
  <c r="K239" i="1" s="1"/>
  <c r="N240" i="2" l="1"/>
  <c r="C240" i="1"/>
  <c r="E240" i="1" s="1"/>
  <c r="F240" i="1" l="1"/>
  <c r="G240" i="1" s="1"/>
  <c r="H240" i="1" s="1"/>
  <c r="K240" i="1" s="1"/>
  <c r="C241" i="1" l="1"/>
  <c r="E241" i="1" s="1"/>
  <c r="N241" i="2"/>
  <c r="F241" i="1" l="1"/>
  <c r="G241" i="1" s="1"/>
  <c r="H241" i="1" s="1"/>
  <c r="K241" i="1" s="1"/>
  <c r="N242" i="2" l="1"/>
  <c r="C242" i="1"/>
  <c r="E242" i="1" s="1"/>
  <c r="F242" i="1" l="1"/>
  <c r="G242" i="1" s="1"/>
  <c r="H242" i="1" s="1"/>
  <c r="K242" i="1" s="1"/>
  <c r="N243" i="2" l="1"/>
  <c r="C243" i="1"/>
  <c r="E243" i="1" s="1"/>
  <c r="F243" i="1" l="1"/>
  <c r="G243" i="1" s="1"/>
  <c r="H243" i="1" s="1"/>
  <c r="K243" i="1" s="1"/>
  <c r="N244" i="2" l="1"/>
  <c r="C244" i="1"/>
  <c r="E244" i="1" s="1"/>
  <c r="F244" i="1" l="1"/>
  <c r="G244" i="1" s="1"/>
  <c r="H244" i="1" s="1"/>
  <c r="K244" i="1" s="1"/>
  <c r="N245" i="2" l="1"/>
  <c r="C245" i="1"/>
  <c r="E245" i="1" s="1"/>
  <c r="F245" i="1" l="1"/>
  <c r="G245" i="1" s="1"/>
  <c r="H245" i="1" s="1"/>
  <c r="K245" i="1" s="1"/>
  <c r="N246" i="2" l="1"/>
  <c r="C246" i="1"/>
  <c r="E246" i="1" s="1"/>
  <c r="F246" i="1" l="1"/>
  <c r="G246" i="1" s="1"/>
  <c r="H246" i="1" s="1"/>
  <c r="K246" i="1" s="1"/>
  <c r="C247" i="1" l="1"/>
  <c r="E247" i="1" s="1"/>
  <c r="N247" i="2"/>
  <c r="F247" i="1" l="1"/>
  <c r="G247" i="1" s="1"/>
  <c r="H247" i="1" s="1"/>
  <c r="K247" i="1" s="1"/>
  <c r="N248" i="2" l="1"/>
  <c r="C248" i="1"/>
  <c r="E248" i="1" s="1"/>
  <c r="F248" i="1" l="1"/>
  <c r="G248" i="1" s="1"/>
  <c r="H248" i="1" s="1"/>
  <c r="K248" i="1" s="1"/>
  <c r="N249" i="2" l="1"/>
  <c r="C249" i="1"/>
  <c r="E249" i="1" s="1"/>
  <c r="F249" i="1" l="1"/>
  <c r="G249" i="1" s="1"/>
  <c r="H249" i="1" s="1"/>
  <c r="K249" i="1" s="1"/>
  <c r="C250" i="1" s="1"/>
  <c r="E250" i="1" s="1"/>
  <c r="N250" i="2" l="1"/>
  <c r="F250" i="1"/>
  <c r="G250" i="1" l="1"/>
  <c r="H250" i="1" s="1"/>
  <c r="K250" i="1" s="1"/>
  <c r="N251" i="2" l="1"/>
  <c r="C251" i="1"/>
  <c r="E251" i="1" s="1"/>
  <c r="F251" i="1" l="1"/>
  <c r="G251" i="1" s="1"/>
  <c r="H251" i="1" s="1"/>
  <c r="K251" i="1" s="1"/>
  <c r="C252" i="1" l="1"/>
  <c r="E252" i="1" s="1"/>
  <c r="N252" i="2"/>
  <c r="F252" i="1" l="1"/>
  <c r="G252" i="1" s="1"/>
  <c r="H252" i="1" s="1"/>
  <c r="K252" i="1" s="1"/>
  <c r="C253" i="1" l="1"/>
  <c r="E253" i="1" s="1"/>
  <c r="N253" i="2"/>
  <c r="F253" i="1" l="1"/>
  <c r="G253" i="1" s="1"/>
  <c r="H253" i="1" s="1"/>
  <c r="K253" i="1" s="1"/>
  <c r="C254" i="1" l="1"/>
  <c r="E254" i="1" s="1"/>
  <c r="N254" i="2"/>
  <c r="F254" i="1" l="1"/>
  <c r="G254" i="1" s="1"/>
  <c r="H254" i="1" s="1"/>
  <c r="K254" i="1" s="1"/>
  <c r="N255" i="2" l="1"/>
  <c r="C255" i="1"/>
  <c r="E255" i="1" s="1"/>
  <c r="F255" i="1" l="1"/>
  <c r="G255" i="1" s="1"/>
  <c r="H255" i="1" s="1"/>
  <c r="K255" i="1" s="1"/>
  <c r="C256" i="1" l="1"/>
  <c r="E256" i="1" s="1"/>
  <c r="N256" i="2"/>
  <c r="F256" i="1" l="1"/>
  <c r="G256" i="1" s="1"/>
  <c r="H256" i="1" s="1"/>
  <c r="K256" i="1" s="1"/>
  <c r="N257" i="2" l="1"/>
  <c r="C257" i="1"/>
  <c r="E257" i="1" s="1"/>
  <c r="F257" i="1" l="1"/>
  <c r="G257" i="1" s="1"/>
  <c r="H257" i="1" s="1"/>
  <c r="K257" i="1" s="1"/>
  <c r="N258" i="2" l="1"/>
  <c r="C258" i="1"/>
  <c r="E258" i="1" s="1"/>
  <c r="F258" i="1" l="1"/>
  <c r="G258" i="1" s="1"/>
  <c r="H258" i="1" s="1"/>
  <c r="K258" i="1" s="1"/>
  <c r="C259" i="1" l="1"/>
  <c r="E259" i="1" s="1"/>
  <c r="N259" i="2"/>
  <c r="F259" i="1" l="1"/>
  <c r="G259" i="1" s="1"/>
  <c r="H259" i="1" s="1"/>
  <c r="K259" i="1" s="1"/>
  <c r="N260" i="2" l="1"/>
  <c r="C260" i="1"/>
  <c r="E260" i="1" s="1"/>
  <c r="F260" i="1" l="1"/>
  <c r="G260" i="1" s="1"/>
  <c r="H260" i="1" s="1"/>
  <c r="K260" i="1" s="1"/>
  <c r="N261" i="2" l="1"/>
  <c r="C261" i="1"/>
  <c r="E261" i="1" s="1"/>
  <c r="F261" i="1" l="1"/>
  <c r="G261" i="1" s="1"/>
  <c r="H261" i="1" s="1"/>
  <c r="K261" i="1" s="1"/>
  <c r="C262" i="1" s="1"/>
  <c r="E262" i="1" s="1"/>
  <c r="N262" i="2" l="1"/>
  <c r="F262" i="1"/>
  <c r="G262" i="1" l="1"/>
  <c r="H262" i="1" s="1"/>
  <c r="K262" i="1" s="1"/>
  <c r="N263" i="2" l="1"/>
  <c r="C263" i="1"/>
  <c r="E263" i="1" s="1"/>
  <c r="F263" i="1" l="1"/>
  <c r="G263" i="1" s="1"/>
  <c r="H263" i="1" s="1"/>
  <c r="K263" i="1" s="1"/>
  <c r="N264" i="2" l="1"/>
  <c r="C264" i="1"/>
  <c r="E264" i="1" s="1"/>
  <c r="F264" i="1" l="1"/>
  <c r="G264" i="1" s="1"/>
  <c r="H264" i="1" s="1"/>
  <c r="K264" i="1" s="1"/>
  <c r="N265" i="2" l="1"/>
  <c r="C265" i="1"/>
  <c r="E265" i="1" s="1"/>
  <c r="F265" i="1" l="1"/>
  <c r="G265" i="1" s="1"/>
  <c r="H265" i="1" s="1"/>
  <c r="K265" i="1" s="1"/>
  <c r="N266" i="2" l="1"/>
  <c r="C266" i="1"/>
  <c r="E266" i="1" s="1"/>
  <c r="F266" i="1" l="1"/>
  <c r="G266" i="1" s="1"/>
  <c r="H266" i="1" s="1"/>
  <c r="K266" i="1" s="1"/>
  <c r="C267" i="1" l="1"/>
  <c r="E267" i="1" s="1"/>
  <c r="N267" i="2"/>
  <c r="F267" i="1" l="1"/>
  <c r="G267" i="1" s="1"/>
  <c r="H267" i="1" s="1"/>
  <c r="K267" i="1" s="1"/>
  <c r="N268" i="2" l="1"/>
  <c r="C268" i="1"/>
  <c r="E268" i="1" s="1"/>
  <c r="F268" i="1" l="1"/>
  <c r="G268" i="1" s="1"/>
  <c r="H268" i="1" s="1"/>
  <c r="K268" i="1" s="1"/>
  <c r="N269" i="2" l="1"/>
  <c r="C269" i="1"/>
  <c r="E269" i="1" s="1"/>
  <c r="F269" i="1" l="1"/>
  <c r="G269" i="1" s="1"/>
  <c r="H269" i="1" s="1"/>
  <c r="K269" i="1" s="1"/>
  <c r="N270" i="2" l="1"/>
  <c r="C270" i="1"/>
  <c r="E270" i="1" s="1"/>
  <c r="F270" i="1" l="1"/>
  <c r="G270" i="1" s="1"/>
  <c r="H270" i="1" s="1"/>
  <c r="K270" i="1" s="1"/>
  <c r="N271" i="2" l="1"/>
  <c r="C271" i="1"/>
  <c r="E271" i="1" s="1"/>
  <c r="F271" i="1" l="1"/>
  <c r="G271" i="1" s="1"/>
  <c r="H271" i="1" s="1"/>
  <c r="K271" i="1" s="1"/>
  <c r="N272" i="2" l="1"/>
  <c r="C272" i="1"/>
  <c r="E272" i="1" s="1"/>
  <c r="F272" i="1" l="1"/>
  <c r="G272" i="1" s="1"/>
  <c r="H272" i="1" s="1"/>
  <c r="K272" i="1" s="1"/>
  <c r="N273" i="2" l="1"/>
  <c r="C273" i="1"/>
  <c r="E273" i="1" s="1"/>
  <c r="F273" i="1" l="1"/>
  <c r="G273" i="1" s="1"/>
  <c r="H273" i="1" s="1"/>
  <c r="K273" i="1" s="1"/>
  <c r="C274" i="1" l="1"/>
  <c r="E274" i="1" s="1"/>
  <c r="N274" i="2"/>
  <c r="F274" i="1" l="1"/>
  <c r="G274" i="1" s="1"/>
  <c r="H274" i="1" s="1"/>
  <c r="K274" i="1" s="1"/>
  <c r="N275" i="2" l="1"/>
  <c r="C275" i="1"/>
  <c r="E275" i="1" s="1"/>
  <c r="F275" i="1" l="1"/>
  <c r="G275" i="1" s="1"/>
  <c r="H275" i="1" s="1"/>
  <c r="K275" i="1" s="1"/>
  <c r="C276" i="1" l="1"/>
  <c r="E276" i="1" s="1"/>
  <c r="N276" i="2"/>
  <c r="F276" i="1" l="1"/>
  <c r="G276" i="1" s="1"/>
  <c r="H276" i="1" s="1"/>
  <c r="K276" i="1" s="1"/>
  <c r="N277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Maria de Fátima Oliveira</author>
  </authors>
  <commentList>
    <comment ref="C8" authorId="0" shapeId="0" xr:uid="{96B838A7-D6A9-4FED-9461-C70BA0FA4A01}">
      <text>
        <r>
          <rPr>
            <b/>
            <sz val="9"/>
            <color indexed="81"/>
            <rFont val="Segoe UI"/>
            <family val="2"/>
          </rPr>
          <t>Preencher somente se
tiver saldo em dez/1998</t>
        </r>
      </text>
    </comment>
  </commentList>
</comments>
</file>

<file path=xl/sharedStrings.xml><?xml version="1.0" encoding="utf-8"?>
<sst xmlns="http://schemas.openxmlformats.org/spreadsheetml/2006/main" count="42" uniqueCount="20">
  <si>
    <t>DATA</t>
  </si>
  <si>
    <t>CORREÇÃO</t>
  </si>
  <si>
    <t>SUBTOTAL</t>
  </si>
  <si>
    <t>SAQUES</t>
  </si>
  <si>
    <t>DEPÓSITOS</t>
  </si>
  <si>
    <t>SALDO 
ANTERIOR</t>
  </si>
  <si>
    <t>SALDO 
CORRIGIDO</t>
  </si>
  <si>
    <t>JUROS REM 
3% a.a</t>
  </si>
  <si>
    <t>SALDO 
NO MÊS</t>
  </si>
  <si>
    <t>ÍNDICE
INPC</t>
  </si>
  <si>
    <t>ÍNDICE
IPCA</t>
  </si>
  <si>
    <t>LANÇAMETO</t>
  </si>
  <si>
    <t>BASE DE DADOS</t>
  </si>
  <si>
    <t>Coluna1</t>
  </si>
  <si>
    <t xml:space="preserve"> COMPARATIVO</t>
  </si>
  <si>
    <t>SALDO NO MÊS
PELO IPCA</t>
  </si>
  <si>
    <t>SALDO NO MÊS
PELO INPC</t>
  </si>
  <si>
    <t>COMPARATIVO</t>
  </si>
  <si>
    <t>MESES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</si>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</sst>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4" formatCode="_-&quot;R$&quot;\ * #,##0.00_-;\-&quot;R$&quot;\ * #,##0.00_-;_-&quot;R$&quot;\ * &quot;-&quot;??_-;_-@_-"/>
    <numFmt numFmtId="164" formatCode="_(* #,##0.000000_);_(* \(#,##0.000000\);_(* &quot;-&quot;??_);_(@_)"/>
    <numFmt numFmtId="165" formatCode="_(&quot;R$&quot;* #,##0.00_);_(&quot;R$&quot;* \(#,##0.00\);_(&quot;R$&quot;* &quot;-&quot;??_);_(@_)"/>
  </numFmts>
  <fonts count="20" x14ac:knownFonts="1">
    <font>
      <sz val="11"/>
      <color theme="1"/>
      <name val="Calibri"/>
      <family val="2"/>
      <scheme val="minor"/>
    </font>
    <font>
      <b/>
      <sz val="11"/>
      <color theme="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0"/>
      <color theme="1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sz val="16"/>
      <color theme="0"/>
      <name val="Calibri"/>
      <family val="2"/>
      <scheme val="minor"/>
    </font>
    <font>
      <b/>
      <sz val="12"/>
      <color theme="0"/>
      <name val="Arial"/>
      <family val="2"/>
    </font>
    <font>
      <sz val="12"/>
      <name val="Arial"/>
      <family val="2"/>
    </font>
    <font>
      <sz val="12"/>
      <color rgb="FF000000"/>
      <name val="Arial"/>
      <family val="2"/>
    </font>
    <font>
      <sz val="12"/>
      <color theme="1"/>
      <name val="Arial"/>
      <family val="2"/>
    </font>
    <font>
      <b/>
      <sz val="9"/>
      <color indexed="81"/>
      <name val="Segoe UI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11"/>
      <name val="Arial"/>
      <family val="2"/>
    </font>
    <font>
      <sz val="8"/>
      <name val="Calibri"/>
      <family val="2"/>
      <scheme val="minor"/>
    </font>
    <font>
      <sz val="9"/>
      <color rgb="FF333333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7DB0DF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 tint="4.9989318521683403E-2"/>
        <bgColor indexed="64"/>
      </patternFill>
    </fill>
  </fills>
  <borders count="19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theme="0"/>
      </right>
      <top style="thin">
        <color theme="1"/>
      </top>
      <bottom style="thin">
        <color theme="1"/>
      </bottom>
      <diagonal/>
    </border>
    <border>
      <left style="medium">
        <color theme="0"/>
      </left>
      <right style="medium">
        <color theme="0"/>
      </right>
      <top style="thin">
        <color theme="1"/>
      </top>
      <bottom style="thin">
        <color theme="1"/>
      </bottom>
      <diagonal/>
    </border>
    <border>
      <left style="medium">
        <color theme="0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medium">
        <color theme="0"/>
      </left>
      <right/>
      <top style="thin">
        <color theme="1"/>
      </top>
      <bottom/>
      <diagonal/>
    </border>
    <border>
      <left style="medium">
        <color theme="4"/>
      </left>
      <right style="medium">
        <color theme="4"/>
      </right>
      <top style="medium">
        <color theme="4"/>
      </top>
      <bottom style="medium">
        <color theme="4"/>
      </bottom>
      <diagonal/>
    </border>
    <border>
      <left style="medium">
        <color theme="7" tint="-0.249977111117893"/>
      </left>
      <right/>
      <top style="medium">
        <color theme="7" tint="-0.249977111117893"/>
      </top>
      <bottom style="medium">
        <color theme="7" tint="-0.249977111117893"/>
      </bottom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</borders>
  <cellStyleXfs count="4">
    <xf numFmtId="0" fontId="0" fillId="0" borderId="0"/>
    <xf numFmtId="0" fontId="2" fillId="0" borderId="0"/>
    <xf numFmtId="9" fontId="3" fillId="0" borderId="0" applyFont="0" applyFill="0" applyBorder="0" applyAlignment="0" applyProtection="0"/>
    <xf numFmtId="0" fontId="3" fillId="0" borderId="0"/>
  </cellStyleXfs>
  <cellXfs count="86">
    <xf numFmtId="0" fontId="0" fillId="0" borderId="0" xfId="0"/>
    <xf numFmtId="10" fontId="3" fillId="4" borderId="0" xfId="2" applyNumberFormat="1" applyFont="1" applyFill="1" applyProtection="1"/>
    <xf numFmtId="10" fontId="9" fillId="4" borderId="0" xfId="2" applyNumberFormat="1" applyFont="1" applyFill="1" applyAlignment="1" applyProtection="1">
      <alignment horizontal="left" vertical="center"/>
    </xf>
    <xf numFmtId="10" fontId="9" fillId="4" borderId="0" xfId="2" applyNumberFormat="1" applyFont="1" applyFill="1" applyAlignment="1" applyProtection="1">
      <alignment horizontal="centerContinuous"/>
    </xf>
    <xf numFmtId="10" fontId="3" fillId="4" borderId="0" xfId="2" applyNumberFormat="1" applyFont="1" applyFill="1" applyAlignment="1" applyProtection="1">
      <alignment horizontal="centerContinuous"/>
    </xf>
    <xf numFmtId="10" fontId="4" fillId="4" borderId="0" xfId="2" applyNumberFormat="1" applyFont="1" applyFill="1" applyProtection="1"/>
    <xf numFmtId="0" fontId="1" fillId="2" borderId="13" xfId="0" applyFont="1" applyFill="1" applyBorder="1" applyAlignment="1" applyProtection="1">
      <alignment horizontal="center" vertical="center"/>
    </xf>
    <xf numFmtId="0" fontId="1" fillId="2" borderId="13" xfId="0" applyFont="1" applyFill="1" applyBorder="1" applyAlignment="1" applyProtection="1">
      <alignment horizontal="center" vertical="center" wrapText="1"/>
    </xf>
    <xf numFmtId="44" fontId="1" fillId="2" borderId="13" xfId="0" applyNumberFormat="1" applyFont="1" applyFill="1" applyBorder="1" applyAlignment="1" applyProtection="1">
      <alignment horizontal="center" vertical="center"/>
    </xf>
    <xf numFmtId="44" fontId="1" fillId="2" borderId="13" xfId="0" applyNumberFormat="1" applyFont="1" applyFill="1" applyBorder="1" applyAlignment="1" applyProtection="1">
      <alignment horizontal="center" vertical="center" wrapText="1"/>
    </xf>
    <xf numFmtId="10" fontId="3" fillId="0" borderId="0" xfId="2" applyNumberFormat="1" applyFont="1" applyFill="1" applyProtection="1"/>
    <xf numFmtId="10" fontId="9" fillId="0" borderId="0" xfId="2" applyNumberFormat="1" applyFont="1" applyFill="1" applyAlignment="1" applyProtection="1">
      <alignment horizontal="centerContinuous"/>
    </xf>
    <xf numFmtId="10" fontId="3" fillId="0" borderId="0" xfId="2" applyNumberFormat="1" applyFont="1" applyFill="1" applyAlignment="1" applyProtection="1">
      <alignment horizontal="centerContinuous"/>
    </xf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44" fontId="0" fillId="0" borderId="0" xfId="0" applyNumberFormat="1" applyProtection="1">
      <protection locked="0"/>
    </xf>
    <xf numFmtId="17" fontId="0" fillId="0" borderId="0" xfId="0" applyNumberFormat="1" applyBorder="1" applyProtection="1">
      <protection locked="0"/>
    </xf>
    <xf numFmtId="0" fontId="6" fillId="5" borderId="0" xfId="0" applyFont="1" applyFill="1" applyBorder="1" applyProtection="1"/>
    <xf numFmtId="165" fontId="7" fillId="5" borderId="0" xfId="0" applyNumberFormat="1" applyFont="1" applyFill="1" applyAlignment="1" applyProtection="1">
      <alignment vertical="center"/>
    </xf>
    <xf numFmtId="0" fontId="8" fillId="5" borderId="0" xfId="0" applyFont="1" applyFill="1" applyProtection="1"/>
    <xf numFmtId="0" fontId="8" fillId="5" borderId="0" xfId="0" applyFont="1" applyFill="1" applyAlignment="1" applyProtection="1">
      <alignment horizontal="left"/>
    </xf>
    <xf numFmtId="0" fontId="6" fillId="0" borderId="0" xfId="0" applyFont="1" applyBorder="1" applyProtection="1"/>
    <xf numFmtId="165" fontId="7" fillId="0" borderId="0" xfId="0" applyNumberFormat="1" applyFont="1" applyAlignment="1" applyProtection="1">
      <alignment vertical="center"/>
    </xf>
    <xf numFmtId="0" fontId="8" fillId="0" borderId="0" xfId="0" applyFont="1" applyProtection="1"/>
    <xf numFmtId="0" fontId="8" fillId="0" borderId="0" xfId="0" applyFont="1" applyAlignment="1" applyProtection="1">
      <alignment horizontal="left"/>
    </xf>
    <xf numFmtId="44" fontId="7" fillId="5" borderId="0" xfId="0" applyNumberFormat="1" applyFont="1" applyFill="1" applyAlignment="1" applyProtection="1">
      <alignment vertical="center"/>
    </xf>
    <xf numFmtId="44" fontId="7" fillId="0" borderId="0" xfId="0" applyNumberFormat="1" applyFont="1" applyAlignment="1" applyProtection="1">
      <alignment vertical="center"/>
    </xf>
    <xf numFmtId="44" fontId="8" fillId="5" borderId="0" xfId="0" applyNumberFormat="1" applyFont="1" applyFill="1" applyProtection="1"/>
    <xf numFmtId="44" fontId="8" fillId="0" borderId="0" xfId="0" applyNumberFormat="1" applyFont="1" applyProtection="1"/>
    <xf numFmtId="0" fontId="10" fillId="6" borderId="13" xfId="0" applyFont="1" applyFill="1" applyBorder="1" applyAlignment="1" applyProtection="1">
      <alignment horizontal="center" vertical="center" wrapText="1"/>
    </xf>
    <xf numFmtId="17" fontId="15" fillId="0" borderId="10" xfId="0" applyNumberFormat="1" applyFont="1" applyBorder="1" applyProtection="1"/>
    <xf numFmtId="17" fontId="15" fillId="0" borderId="1" xfId="0" applyNumberFormat="1" applyFont="1" applyBorder="1" applyProtection="1"/>
    <xf numFmtId="44" fontId="15" fillId="0" borderId="1" xfId="0" applyNumberFormat="1" applyFont="1" applyBorder="1" applyProtection="1"/>
    <xf numFmtId="44" fontId="15" fillId="9" borderId="1" xfId="0" applyNumberFormat="1" applyFont="1" applyFill="1" applyBorder="1" applyProtection="1">
      <protection locked="0"/>
    </xf>
    <xf numFmtId="44" fontId="15" fillId="8" borderId="1" xfId="0" applyNumberFormat="1" applyFont="1" applyFill="1" applyBorder="1" applyProtection="1">
      <protection locked="0"/>
    </xf>
    <xf numFmtId="44" fontId="15" fillId="0" borderId="7" xfId="0" applyNumberFormat="1" applyFont="1" applyBorder="1" applyProtection="1"/>
    <xf numFmtId="164" fontId="17" fillId="0" borderId="5" xfId="1" applyNumberFormat="1" applyFont="1" applyBorder="1" applyProtection="1">
      <protection hidden="1"/>
    </xf>
    <xf numFmtId="0" fontId="6" fillId="5" borderId="0" xfId="0" applyFont="1" applyFill="1" applyProtection="1"/>
    <xf numFmtId="44" fontId="8" fillId="5" borderId="0" xfId="0" applyNumberFormat="1" applyFont="1" applyFill="1" applyAlignment="1" applyProtection="1">
      <alignment horizontal="left"/>
    </xf>
    <xf numFmtId="0" fontId="6" fillId="0" borderId="0" xfId="0" applyFont="1" applyProtection="1"/>
    <xf numFmtId="44" fontId="8" fillId="0" borderId="0" xfId="0" applyNumberFormat="1" applyFont="1" applyAlignment="1" applyProtection="1">
      <alignment horizontal="left"/>
    </xf>
    <xf numFmtId="0" fontId="0" fillId="0" borderId="0" xfId="0" applyProtection="1"/>
    <xf numFmtId="44" fontId="0" fillId="0" borderId="0" xfId="0" applyNumberFormat="1" applyProtection="1"/>
    <xf numFmtId="0" fontId="1" fillId="3" borderId="2" xfId="0" applyFont="1" applyFill="1" applyBorder="1" applyAlignment="1" applyProtection="1">
      <alignment horizontal="center" vertical="center"/>
    </xf>
    <xf numFmtId="44" fontId="1" fillId="3" borderId="3" xfId="0" applyNumberFormat="1" applyFont="1" applyFill="1" applyBorder="1" applyAlignment="1" applyProtection="1">
      <alignment horizontal="center" vertical="center" wrapText="1"/>
    </xf>
    <xf numFmtId="0" fontId="1" fillId="3" borderId="3" xfId="0" applyFont="1" applyFill="1" applyBorder="1" applyAlignment="1" applyProtection="1">
      <alignment horizontal="center" vertical="center" wrapText="1"/>
    </xf>
    <xf numFmtId="44" fontId="1" fillId="3" borderId="3" xfId="0" applyNumberFormat="1" applyFont="1" applyFill="1" applyBorder="1" applyAlignment="1" applyProtection="1">
      <alignment horizontal="center" vertical="center"/>
    </xf>
    <xf numFmtId="44" fontId="1" fillId="3" borderId="4" xfId="0" applyNumberFormat="1" applyFont="1" applyFill="1" applyBorder="1" applyAlignment="1" applyProtection="1">
      <alignment horizontal="center" vertical="center" wrapText="1"/>
    </xf>
    <xf numFmtId="44" fontId="1" fillId="3" borderId="15" xfId="0" applyNumberFormat="1" applyFont="1" applyFill="1" applyBorder="1" applyAlignment="1" applyProtection="1">
      <alignment horizontal="center" vertical="center" wrapText="1"/>
    </xf>
    <xf numFmtId="44" fontId="1" fillId="2" borderId="6" xfId="0" applyNumberFormat="1" applyFont="1" applyFill="1" applyBorder="1" applyAlignment="1" applyProtection="1">
      <alignment horizontal="center" vertical="center" wrapText="1"/>
    </xf>
    <xf numFmtId="0" fontId="16" fillId="0" borderId="5" xfId="0" applyFont="1" applyBorder="1" applyAlignment="1" applyProtection="1">
      <alignment horizontal="right" vertical="center"/>
    </xf>
    <xf numFmtId="44" fontId="15" fillId="10" borderId="17" xfId="0" applyNumberFormat="1" applyFont="1" applyFill="1" applyBorder="1" applyProtection="1"/>
    <xf numFmtId="44" fontId="15" fillId="11" borderId="16" xfId="0" applyNumberFormat="1" applyFont="1" applyFill="1" applyBorder="1" applyProtection="1"/>
    <xf numFmtId="0" fontId="15" fillId="0" borderId="5" xfId="0" applyFont="1" applyBorder="1" applyAlignment="1" applyProtection="1">
      <alignment vertical="center"/>
    </xf>
    <xf numFmtId="44" fontId="15" fillId="9" borderId="1" xfId="0" applyNumberFormat="1" applyFont="1" applyFill="1" applyBorder="1"/>
    <xf numFmtId="44" fontId="15" fillId="8" borderId="1" xfId="0" applyNumberFormat="1" applyFont="1" applyFill="1" applyBorder="1"/>
    <xf numFmtId="44" fontId="15" fillId="0" borderId="12" xfId="0" applyNumberFormat="1" applyFont="1" applyBorder="1" applyProtection="1"/>
    <xf numFmtId="44" fontId="15" fillId="0" borderId="8" xfId="0" applyNumberFormat="1" applyFont="1" applyBorder="1" applyProtection="1"/>
    <xf numFmtId="0" fontId="4" fillId="7" borderId="9" xfId="0" applyFont="1" applyFill="1" applyBorder="1" applyProtection="1"/>
    <xf numFmtId="0" fontId="0" fillId="0" borderId="0" xfId="0" applyFont="1" applyProtection="1">
      <protection locked="0"/>
    </xf>
    <xf numFmtId="0" fontId="4" fillId="0" borderId="0" xfId="0" applyFont="1" applyProtection="1"/>
    <xf numFmtId="0" fontId="0" fillId="0" borderId="0" xfId="0" applyFill="1" applyProtection="1"/>
    <xf numFmtId="44" fontId="15" fillId="0" borderId="10" xfId="0" applyNumberFormat="1" applyFont="1" applyBorder="1" applyAlignment="1" applyProtection="1">
      <alignment horizontal="center"/>
    </xf>
    <xf numFmtId="0" fontId="15" fillId="0" borderId="10" xfId="0" applyFont="1" applyBorder="1" applyAlignment="1" applyProtection="1">
      <alignment horizontal="center"/>
    </xf>
    <xf numFmtId="44" fontId="15" fillId="0" borderId="10" xfId="0" applyNumberFormat="1" applyFont="1" applyFill="1" applyBorder="1" applyAlignment="1" applyProtection="1">
      <alignment horizontal="center"/>
    </xf>
    <xf numFmtId="0" fontId="13" fillId="0" borderId="0" xfId="0" applyFont="1" applyProtection="1">
      <protection locked="0"/>
    </xf>
    <xf numFmtId="17" fontId="15" fillId="0" borderId="0" xfId="0" applyNumberFormat="1" applyFont="1" applyProtection="1">
      <protection locked="0"/>
    </xf>
    <xf numFmtId="164" fontId="11" fillId="0" borderId="14" xfId="1" applyNumberFormat="1" applyFont="1" applyBorder="1" applyAlignment="1" applyProtection="1">
      <protection locked="0"/>
    </xf>
    <xf numFmtId="0" fontId="12" fillId="0" borderId="11" xfId="0" applyFont="1" applyBorder="1" applyAlignment="1" applyProtection="1">
      <alignment horizontal="right" vertical="center"/>
      <protection locked="0"/>
    </xf>
    <xf numFmtId="164" fontId="11" fillId="0" borderId="5" xfId="1" applyNumberFormat="1" applyFont="1" applyBorder="1" applyAlignment="1" applyProtection="1">
      <protection locked="0"/>
    </xf>
    <xf numFmtId="0" fontId="12" fillId="0" borderId="5" xfId="0" applyFont="1" applyBorder="1" applyAlignment="1" applyProtection="1">
      <alignment horizontal="right" vertical="center"/>
      <protection locked="0"/>
    </xf>
    <xf numFmtId="0" fontId="13" fillId="0" borderId="6" xfId="0" applyFont="1" applyBorder="1" applyAlignment="1" applyProtection="1">
      <alignment vertical="center"/>
      <protection locked="0"/>
    </xf>
    <xf numFmtId="0" fontId="10" fillId="6" borderId="18" xfId="0" applyFont="1" applyFill="1" applyBorder="1" applyAlignment="1" applyProtection="1">
      <alignment horizontal="center" vertical="center" wrapText="1"/>
    </xf>
    <xf numFmtId="0" fontId="5" fillId="4" borderId="0" xfId="0" applyFont="1" applyFill="1" applyAlignment="1" applyProtection="1">
      <alignment vertical="center"/>
    </xf>
    <xf numFmtId="0" fontId="5" fillId="4" borderId="0" xfId="0" applyFont="1" applyFill="1" applyAlignment="1" applyProtection="1">
      <alignment horizontal="center" vertical="center"/>
    </xf>
    <xf numFmtId="2" fontId="15" fillId="0" borderId="1" xfId="0" applyNumberFormat="1" applyFont="1" applyBorder="1" applyProtection="1"/>
    <xf numFmtId="17" fontId="19" fillId="13" borderId="0" xfId="0" applyNumberFormat="1" applyFont="1" applyFill="1" applyBorder="1" applyAlignment="1">
      <alignment horizontal="left" vertical="center" wrapText="1"/>
    </xf>
    <xf numFmtId="0" fontId="19" fillId="13" borderId="0" xfId="0" applyFont="1" applyFill="1" applyBorder="1" applyAlignment="1">
      <alignment horizontal="right" vertical="center" wrapText="1"/>
    </xf>
    <xf numFmtId="0" fontId="0" fillId="13" borderId="0" xfId="0" applyFill="1" applyBorder="1"/>
    <xf numFmtId="44" fontId="15" fillId="0" borderId="1" xfId="0" applyNumberFormat="1" applyFont="1" applyBorder="1" applyAlignment="1" applyProtection="1">
      <alignment horizontal="center" vertical="center"/>
    </xf>
    <xf numFmtId="0" fontId="15" fillId="0" borderId="1" xfId="0" applyFont="1" applyBorder="1" applyAlignment="1" applyProtection="1">
      <alignment horizontal="center" vertical="center"/>
    </xf>
    <xf numFmtId="17" fontId="19" fillId="0" borderId="0" xfId="0" applyNumberFormat="1" applyFont="1" applyFill="1" applyBorder="1" applyAlignment="1">
      <alignment horizontal="left" vertical="center" wrapText="1"/>
    </xf>
    <xf numFmtId="0" fontId="19" fillId="0" borderId="0" xfId="0" applyFont="1" applyFill="1" applyBorder="1" applyAlignment="1">
      <alignment horizontal="right" vertical="center" wrapText="1"/>
    </xf>
    <xf numFmtId="0" fontId="10" fillId="12" borderId="0" xfId="0" applyFont="1" applyFill="1" applyAlignment="1" applyProtection="1">
      <alignment horizontal="center" vertical="center"/>
    </xf>
    <xf numFmtId="0" fontId="3" fillId="14" borderId="0" xfId="3" applyFill="1"/>
    <xf numFmtId="0" fontId="3" fillId="0" borderId="0" xfId="3"/>
  </cellXfs>
  <cellStyles count="4">
    <cellStyle name="Normal" xfId="0" builtinId="0"/>
    <cellStyle name="Normal 4" xfId="3" xr:uid="{DF36FFE6-5819-480D-AA49-92719420872F}"/>
    <cellStyle name="Normal_Juros Progressivos" xfId="1" xr:uid="{CC8F0785-6A13-440E-8209-D97064389BBE}"/>
    <cellStyle name="Porcentagem" xfId="2" builtinId="5"/>
  </cellStyles>
  <dxfs count="2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4" formatCode="_(* #,##0.000000_);_(* \(#,##0.000000\);_(* &quot;-&quot;??_);_(@_)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border outline="0">
        <top style="thin">
          <color indexed="64"/>
        </top>
      </border>
    </dxf>
    <dxf>
      <border outline="0">
        <top style="thin">
          <color theme="1"/>
        </top>
        <bottom style="thin">
          <color indexed="64"/>
        </bottom>
      </border>
    </dxf>
    <dxf>
      <protection locked="0" hidden="0"/>
    </dxf>
    <dxf>
      <border>
        <bottom style="medium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fill>
        <patternFill patternType="solid">
          <fgColor indexed="64"/>
          <bgColor theme="1" tint="0.499984740745262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theme="0"/>
        </left>
        <right style="medium">
          <color theme="0"/>
        </right>
        <top/>
        <bottom/>
        <vertical style="medium">
          <color theme="0"/>
        </vertical>
        <horizontal/>
      </border>
      <protection locked="1" hidden="0"/>
    </dxf>
    <dxf>
      <font>
        <strike val="0"/>
        <outline val="0"/>
        <shadow val="0"/>
        <u val="none"/>
        <vertAlign val="baseline"/>
        <name val="Arial"/>
        <family val="2"/>
        <scheme val="none"/>
      </font>
      <numFmt numFmtId="34" formatCode="_-&quot;R$&quot;\ * #,##0.00_-;\-&quot;R$&quot;\ * #,##0.00_-;_-&quot;R$&quot;\ * &quot;-&quot;??_-;_-@_-"/>
      <border diagonalUp="0" diagonalDown="0" outline="0">
        <left style="thin">
          <color theme="1"/>
        </left>
        <right/>
        <top style="thin">
          <color theme="1"/>
        </top>
        <bottom style="thin">
          <color theme="1"/>
        </bottom>
      </border>
      <protection locked="0"/>
    </dxf>
    <dxf>
      <font>
        <strike val="0"/>
        <outline val="0"/>
        <shadow val="0"/>
        <u val="none"/>
        <vertAlign val="baseline"/>
        <name val="Arial"/>
        <family val="2"/>
        <scheme val="none"/>
      </font>
      <numFmt numFmtId="34" formatCode="_-&quot;R$&quot;\ * #,##0.00_-;\-&quot;R$&quot;\ * #,##0.00_-;_-&quot;R$&quot;\ * &quot;-&quot;??_-;_-@_-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  <protection locked="0"/>
    </dxf>
    <dxf>
      <font>
        <strike val="0"/>
        <outline val="0"/>
        <shadow val="0"/>
        <u val="none"/>
        <vertAlign val="baseline"/>
        <name val="Arial"/>
        <family val="2"/>
        <scheme val="none"/>
      </font>
      <numFmt numFmtId="34" formatCode="_-&quot;R$&quot;\ * #,##0.00_-;\-&quot;R$&quot;\ * #,##0.00_-;_-&quot;R$&quot;\ * &quot;-&quot;??_-;_-@_-"/>
      <fill>
        <patternFill patternType="solid">
          <fgColor indexed="64"/>
          <bgColor theme="9" tint="0.59999389629810485"/>
        </patternFill>
      </fill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  <protection locked="0"/>
    </dxf>
    <dxf>
      <font>
        <strike val="0"/>
        <outline val="0"/>
        <shadow val="0"/>
        <u val="none"/>
        <vertAlign val="baseline"/>
        <name val="Arial"/>
        <family val="2"/>
        <scheme val="none"/>
      </font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  <protection locked="0"/>
    </dxf>
    <dxf>
      <font>
        <strike val="0"/>
        <outline val="0"/>
        <shadow val="0"/>
        <u val="none"/>
        <vertAlign val="baseline"/>
        <name val="Arial"/>
        <family val="2"/>
        <scheme val="none"/>
      </font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  <protection locked="0"/>
    </dxf>
    <dxf>
      <font>
        <strike val="0"/>
        <outline val="0"/>
        <shadow val="0"/>
        <u val="none"/>
        <vertAlign val="baseline"/>
        <name val="Arial"/>
        <family val="2"/>
        <scheme val="none"/>
      </font>
      <numFmt numFmtId="34" formatCode="_-&quot;R$&quot;\ * #,##0.00_-;\-&quot;R$&quot;\ * #,##0.00_-;_-&quot;R$&quot;\ * &quot;-&quot;??_-;_-@_-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  <protection locked="0"/>
    </dxf>
    <dxf>
      <font>
        <strike val="0"/>
        <outline val="0"/>
        <shadow val="0"/>
        <u val="none"/>
        <vertAlign val="baseline"/>
        <name val="Arial"/>
        <family val="2"/>
        <scheme val="none"/>
      </font>
      <numFmt numFmtId="34" formatCode="_-&quot;R$&quot;\ * #,##0.00_-;\-&quot;R$&quot;\ * #,##0.00_-;_-&quot;R$&quot;\ * &quot;-&quot;??_-;_-@_-"/>
      <border diagonalUp="0" diagonalDown="0" outline="0">
        <left style="thin">
          <color indexed="64"/>
        </left>
        <right style="thin">
          <color theme="1"/>
        </right>
        <top style="thin">
          <color theme="1"/>
        </top>
        <bottom style="thin">
          <color theme="1"/>
        </bottom>
      </border>
      <protection locked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64" formatCode="_(* #,##0.000000_);_(* \(#,##0.000000\);_(* &quot;-&quot;??_);_(@_)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strike val="0"/>
        <outline val="0"/>
        <shadow val="0"/>
        <u val="none"/>
        <vertAlign val="baseline"/>
        <name val="Arial"/>
        <family val="2"/>
        <scheme val="none"/>
      </font>
      <numFmt numFmtId="34" formatCode="_-&quot;R$&quot;\ * #,##0.00_-;\-&quot;R$&quot;\ * #,##0.00_-;_-&quot;R$&quot;\ * &quot;-&quot;??_-;_-@_-"/>
      <border diagonalUp="0" diagonalDown="0" outline="0">
        <left style="thin">
          <color theme="1"/>
        </left>
        <right style="thin">
          <color indexed="64"/>
        </right>
        <top style="thin">
          <color theme="1"/>
        </top>
        <bottom style="thin">
          <color theme="1"/>
        </bottom>
      </border>
      <protection locked="0"/>
    </dxf>
    <dxf>
      <font>
        <strike val="0"/>
        <outline val="0"/>
        <shadow val="0"/>
        <u val="none"/>
        <vertAlign val="baseline"/>
        <name val="Arial"/>
        <family val="2"/>
        <scheme val="none"/>
      </font>
      <numFmt numFmtId="22" formatCode="mmm/yy"/>
      <border diagonalUp="0" diagonalDown="0" outline="0">
        <left/>
        <right style="thin">
          <color theme="1"/>
        </right>
        <top style="thin">
          <color theme="1"/>
        </top>
        <bottom style="thin">
          <color theme="1"/>
        </bottom>
      </border>
      <protection locked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  <protection locked="1" hidden="0"/>
    </dxf>
    <dxf>
      <border outline="0">
        <right style="thin">
          <color theme="1"/>
        </right>
      </border>
    </dxf>
    <dxf>
      <protection locked="0"/>
    </dxf>
    <dxf>
      <protection locked="0"/>
    </dxf>
  </dxfs>
  <tableStyles count="1" defaultTableStyle="TableStyleMedium2" defaultPivotStyle="PivotStyleLight16">
    <tableStyle name="Estilo de Tabela 1" pivot="0" count="0" xr9:uid="{50F513D5-FB84-4CA9-B18F-727A78BA85A3}"/>
  </tableStyles>
  <colors>
    <mruColors>
      <color rgb="FF7DB0D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5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jpg"/><Relationship Id="rId3" Type="http://schemas.openxmlformats.org/officeDocument/2006/relationships/hyperlink" Target="#INSTRU&#199;&#213;ES!A1"/><Relationship Id="rId7" Type="http://schemas.openxmlformats.org/officeDocument/2006/relationships/hyperlink" Target="#COMPARATIVO!A1"/><Relationship Id="rId2" Type="http://schemas.openxmlformats.org/officeDocument/2006/relationships/image" Target="../media/image1.jpeg"/><Relationship Id="rId1" Type="http://schemas.openxmlformats.org/officeDocument/2006/relationships/hyperlink" Target="#TABELAS!A1"/><Relationship Id="rId6" Type="http://schemas.openxmlformats.org/officeDocument/2006/relationships/image" Target="../media/image3.jpeg"/><Relationship Id="rId5" Type="http://schemas.openxmlformats.org/officeDocument/2006/relationships/hyperlink" Target="#&#205;NDICE_INPC!A1"/><Relationship Id="rId4" Type="http://schemas.openxmlformats.org/officeDocument/2006/relationships/image" Target="../media/image2.png"/><Relationship Id="rId9" Type="http://schemas.openxmlformats.org/officeDocument/2006/relationships/hyperlink" Target="http://www.theyellowpencil.com/gramacomparativos.html" TargetMode="Externa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hyperlink" Target="#MENU!A1"/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hyperlink" Target="#MENU!A1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hyperlink" Target="#MENU!A1"/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hyperlink" Target="#MENU!A1"/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8" Type="http://schemas.microsoft.com/office/2007/relationships/hdphoto" Target="../media/hdphoto1.wdp"/><Relationship Id="rId3" Type="http://schemas.openxmlformats.org/officeDocument/2006/relationships/image" Target="../media/image9.png"/><Relationship Id="rId7" Type="http://schemas.openxmlformats.org/officeDocument/2006/relationships/image" Target="../media/image10.png"/><Relationship Id="rId12" Type="http://schemas.openxmlformats.org/officeDocument/2006/relationships/image" Target="../media/image13.svg"/><Relationship Id="rId2" Type="http://schemas.openxmlformats.org/officeDocument/2006/relationships/image" Target="../media/image8.png"/><Relationship Id="rId1" Type="http://schemas.openxmlformats.org/officeDocument/2006/relationships/image" Target="../media/image7.png"/><Relationship Id="rId6" Type="http://schemas.openxmlformats.org/officeDocument/2006/relationships/hyperlink" Target="https://www.mercadopago.com.br/checkout/v1/redirect?pref_id=70114963-2f9c8221-dadc-4258-a3d5-b497ecce4598" TargetMode="External"/><Relationship Id="rId11" Type="http://schemas.openxmlformats.org/officeDocument/2006/relationships/image" Target="../media/image12.png"/><Relationship Id="rId5" Type="http://schemas.openxmlformats.org/officeDocument/2006/relationships/hyperlink" Target="https://www.mercadopago.com.br/checkout/v1/redirect?pref_id=70114963-d03489d0-0790-4a2b-b93c-02f952e48294" TargetMode="External"/><Relationship Id="rId10" Type="http://schemas.openxmlformats.org/officeDocument/2006/relationships/hyperlink" Target="https://smartplanilhas.com.br/contato/" TargetMode="External"/><Relationship Id="rId4" Type="http://schemas.openxmlformats.org/officeDocument/2006/relationships/hyperlink" Target="https://www.mercadopago.com.br/checkout/v1/redirect?pref_id=70114963-de43e9b3-1de0-4165-b2c0-c9782e50e6d2" TargetMode="External"/><Relationship Id="rId9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0</xdr:row>
      <xdr:rowOff>171451</xdr:rowOff>
    </xdr:from>
    <xdr:to>
      <xdr:col>16</xdr:col>
      <xdr:colOff>495299</xdr:colOff>
      <xdr:row>3</xdr:row>
      <xdr:rowOff>66675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F03C2E46-14AD-416C-B6F9-00994C4D945A}"/>
            </a:ext>
          </a:extLst>
        </xdr:cNvPr>
        <xdr:cNvSpPr txBox="1"/>
      </xdr:nvSpPr>
      <xdr:spPr>
        <a:xfrm>
          <a:off x="3143250" y="171451"/>
          <a:ext cx="7105649" cy="6095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2800" b="1">
              <a:solidFill>
                <a:schemeClr val="bg1"/>
              </a:solidFill>
            </a:rPr>
            <a:t>PLANILHA   DE   CORREÇÃO   DO   FGTS</a:t>
          </a:r>
        </a:p>
      </xdr:txBody>
    </xdr:sp>
    <xdr:clientData/>
  </xdr:twoCellAnchor>
  <xdr:oneCellAnchor>
    <xdr:from>
      <xdr:col>8</xdr:col>
      <xdr:colOff>266700</xdr:colOff>
      <xdr:row>22</xdr:row>
      <xdr:rowOff>142876</xdr:rowOff>
    </xdr:from>
    <xdr:ext cx="1847850" cy="581024"/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FC69BA23-E7BB-41C3-8B5C-075641A3233B}"/>
            </a:ext>
          </a:extLst>
        </xdr:cNvPr>
        <xdr:cNvSpPr txBox="1"/>
      </xdr:nvSpPr>
      <xdr:spPr>
        <a:xfrm>
          <a:off x="5143500" y="5381626"/>
          <a:ext cx="1847850" cy="58102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pt-BR"/>
        </a:p>
      </xdr:txBody>
    </xdr:sp>
    <xdr:clientData/>
  </xdr:oneCellAnchor>
  <xdr:twoCellAnchor>
    <xdr:from>
      <xdr:col>10</xdr:col>
      <xdr:colOff>409575</xdr:colOff>
      <xdr:row>8</xdr:row>
      <xdr:rowOff>28575</xdr:rowOff>
    </xdr:from>
    <xdr:to>
      <xdr:col>15</xdr:col>
      <xdr:colOff>533400</xdr:colOff>
      <xdr:row>12</xdr:row>
      <xdr:rowOff>114300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CF2D6461-57F9-4104-AEB0-7A072CEDB474}"/>
            </a:ext>
          </a:extLst>
        </xdr:cNvPr>
        <xdr:cNvSpPr txBox="1"/>
      </xdr:nvSpPr>
      <xdr:spPr>
        <a:xfrm>
          <a:off x="6505575" y="1933575"/>
          <a:ext cx="3171825" cy="1038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pt-BR" sz="1100">
            <a:solidFill>
              <a:schemeClr val="accent1"/>
            </a:solidFill>
          </a:endParaRPr>
        </a:p>
        <a:p>
          <a:endParaRPr lang="pt-BR" sz="1100">
            <a:solidFill>
              <a:schemeClr val="accent1"/>
            </a:solidFill>
          </a:endParaRPr>
        </a:p>
        <a:p>
          <a:r>
            <a:rPr lang="pt-BR" sz="2000">
              <a:solidFill>
                <a:schemeClr val="accent1"/>
              </a:solidFill>
            </a:rPr>
            <a:t>INSERIR  LOGO DA EMPRESA</a:t>
          </a:r>
        </a:p>
      </xdr:txBody>
    </xdr:sp>
    <xdr:clientData/>
  </xdr:twoCellAnchor>
  <xdr:twoCellAnchor>
    <xdr:from>
      <xdr:col>2</xdr:col>
      <xdr:colOff>94311</xdr:colOff>
      <xdr:row>4</xdr:row>
      <xdr:rowOff>133350</xdr:rowOff>
    </xdr:from>
    <xdr:to>
      <xdr:col>6</xdr:col>
      <xdr:colOff>430000</xdr:colOff>
      <xdr:row>16</xdr:row>
      <xdr:rowOff>114300</xdr:rowOff>
    </xdr:to>
    <xdr:grpSp>
      <xdr:nvGrpSpPr>
        <xdr:cNvPr id="34" name="Agrupar 33">
          <a:extLst>
            <a:ext uri="{FF2B5EF4-FFF2-40B4-BE49-F238E27FC236}">
              <a16:creationId xmlns:a16="http://schemas.microsoft.com/office/drawing/2014/main" id="{7A9A8534-EAA7-4FF4-A4CB-44813BF1E5F5}"/>
            </a:ext>
          </a:extLst>
        </xdr:cNvPr>
        <xdr:cNvGrpSpPr/>
      </xdr:nvGrpSpPr>
      <xdr:grpSpPr>
        <a:xfrm>
          <a:off x="1343991" y="1047750"/>
          <a:ext cx="2835049" cy="2724150"/>
          <a:chOff x="827736" y="1066800"/>
          <a:chExt cx="2774089" cy="2838450"/>
        </a:xfrm>
      </xdr:grpSpPr>
      <xdr:grpSp>
        <xdr:nvGrpSpPr>
          <xdr:cNvPr id="7" name="Agrupar 7">
            <a:extLst>
              <a:ext uri="{FF2B5EF4-FFF2-40B4-BE49-F238E27FC236}">
                <a16:creationId xmlns:a16="http://schemas.microsoft.com/office/drawing/2014/main" id="{38D305C5-D718-4902-91FB-62216B1FA244}"/>
              </a:ext>
            </a:extLst>
          </xdr:cNvPr>
          <xdr:cNvGrpSpPr>
            <a:grpSpLocks/>
          </xdr:cNvGrpSpPr>
        </xdr:nvGrpSpPr>
        <xdr:grpSpPr bwMode="auto">
          <a:xfrm>
            <a:off x="827736" y="3248491"/>
            <a:ext cx="2754111" cy="656759"/>
            <a:chOff x="3638551" y="2963508"/>
            <a:chExt cx="2774140" cy="682696"/>
          </a:xfrm>
        </xdr:grpSpPr>
        <xdr:sp macro="" textlink="">
          <xdr:nvSpPr>
            <xdr:cNvPr id="26" name="Retângulo: Cantos Arredondados 25">
              <a:hlinkClick xmlns:r="http://schemas.openxmlformats.org/officeDocument/2006/relationships" r:id="rId1"/>
              <a:extLst>
                <a:ext uri="{FF2B5EF4-FFF2-40B4-BE49-F238E27FC236}">
                  <a16:creationId xmlns:a16="http://schemas.microsoft.com/office/drawing/2014/main" id="{9BCF622A-5E25-48C9-86B5-0B94BDF785A7}"/>
                </a:ext>
              </a:extLst>
            </xdr:cNvPr>
            <xdr:cNvSpPr/>
          </xdr:nvSpPr>
          <xdr:spPr>
            <a:xfrm>
              <a:off x="3639497" y="2963024"/>
              <a:ext cx="2772744" cy="683180"/>
            </a:xfrm>
            <a:prstGeom prst="roundRect">
              <a:avLst/>
            </a:prstGeom>
            <a:solidFill>
              <a:sysClr val="window" lastClr="FFFFFF"/>
            </a:solidFill>
            <a:ln w="12700" cap="flat" cmpd="sng" algn="ctr">
              <a:noFill/>
              <a:prstDash val="solid"/>
              <a:miter lim="800000"/>
            </a:ln>
            <a:effectLst>
              <a:outerShdw blurRad="44450" dist="27940" dir="5400000" algn="ctr">
                <a:srgbClr val="000000">
                  <a:alpha val="32000"/>
                </a:srgbClr>
              </a:outerShdw>
            </a:effectLst>
            <a:scene3d>
              <a:camera prst="orthographicFront">
                <a:rot lat="0" lon="0" rev="0"/>
              </a:camera>
              <a:lightRig rig="balanced" dir="t">
                <a:rot lat="0" lon="0" rev="8700000"/>
              </a:lightRig>
            </a:scene3d>
            <a:sp3d>
              <a:bevelT w="190500" h="38100"/>
            </a:sp3d>
          </xdr:spPr>
          <xdr:txBody>
            <a:bodyPr vertOverflow="clip" horzOverflow="clip" rtlCol="0" anchor="ctr"/>
            <a:lstStyle/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pt-BR" sz="1100" b="1" i="0" u="none" strike="noStrike" kern="0" cap="none" spc="0" normalizeH="0" baseline="0" noProof="0">
                  <a:ln>
                    <a:noFill/>
                  </a:ln>
                  <a:solidFill>
                    <a:srgbClr val="44546A"/>
                  </a:solidFill>
                  <a:effectLst/>
                  <a:uLnTx/>
                  <a:uFillTx/>
                  <a:latin typeface="Calibri" panose="020F0502020204030204"/>
                  <a:ea typeface="+mn-ea"/>
                  <a:cs typeface="+mn-cs"/>
                </a:rPr>
                <a:t>             BASE DE DADOS</a:t>
              </a: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pt-BR" sz="1100" b="1" i="0" u="none" strike="noStrike" kern="0" cap="none" spc="0" normalizeH="0" baseline="0" noProof="0">
                  <a:ln>
                    <a:noFill/>
                  </a:ln>
                  <a:solidFill>
                    <a:srgbClr val="44546A"/>
                  </a:solidFill>
                  <a:effectLst/>
                  <a:uLnTx/>
                  <a:uFillTx/>
                  <a:latin typeface="Calibri" panose="020F0502020204030204"/>
                  <a:ea typeface="+mn-ea"/>
                  <a:cs typeface="+mn-cs"/>
                </a:rPr>
                <a:t>         TABELAS</a:t>
              </a:r>
            </a:p>
          </xdr:txBody>
        </xdr:sp>
        <xdr:pic>
          <xdr:nvPicPr>
            <xdr:cNvPr id="27" name="Imagem 136">
              <a:extLst>
                <a:ext uri="{FF2B5EF4-FFF2-40B4-BE49-F238E27FC236}">
                  <a16:creationId xmlns:a16="http://schemas.microsoft.com/office/drawing/2014/main" id="{CB5B9B1D-6893-4B4D-83C0-03BABB14D76F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2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l="11407" r="12082" b="14107"/>
            <a:stretch>
              <a:fillRect/>
            </a:stretch>
          </xdr:blipFill>
          <xdr:spPr bwMode="auto">
            <a:xfrm>
              <a:off x="4021894" y="3063383"/>
              <a:ext cx="456154" cy="573993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</xdr:grpSp>
      <xdr:grpSp>
        <xdr:nvGrpSpPr>
          <xdr:cNvPr id="8" name="Agrupar 123">
            <a:extLst>
              <a:ext uri="{FF2B5EF4-FFF2-40B4-BE49-F238E27FC236}">
                <a16:creationId xmlns:a16="http://schemas.microsoft.com/office/drawing/2014/main" id="{3FBAD72D-A331-4550-AFBE-3764D07B631B}"/>
              </a:ext>
            </a:extLst>
          </xdr:cNvPr>
          <xdr:cNvGrpSpPr>
            <a:grpSpLocks/>
          </xdr:cNvGrpSpPr>
        </xdr:nvGrpSpPr>
        <xdr:grpSpPr bwMode="auto">
          <a:xfrm>
            <a:off x="847714" y="1066800"/>
            <a:ext cx="2754111" cy="656759"/>
            <a:chOff x="676275" y="1000125"/>
            <a:chExt cx="2774140" cy="682696"/>
          </a:xfrm>
        </xdr:grpSpPr>
        <xdr:sp macro="" textlink="">
          <xdr:nvSpPr>
            <xdr:cNvPr id="24" name="Retângulo: Cantos Arredondados 23">
              <a:hlinkClick xmlns:r="http://schemas.openxmlformats.org/officeDocument/2006/relationships" r:id="rId3"/>
              <a:extLst>
                <a:ext uri="{FF2B5EF4-FFF2-40B4-BE49-F238E27FC236}">
                  <a16:creationId xmlns:a16="http://schemas.microsoft.com/office/drawing/2014/main" id="{0FDA4A99-E542-4FDA-8BC6-9FC66ED8C79A}"/>
                </a:ext>
              </a:extLst>
            </xdr:cNvPr>
            <xdr:cNvSpPr/>
          </xdr:nvSpPr>
          <xdr:spPr>
            <a:xfrm>
              <a:off x="676286" y="1000125"/>
              <a:ext cx="2772744" cy="683180"/>
            </a:xfrm>
            <a:prstGeom prst="roundRect">
              <a:avLst/>
            </a:prstGeom>
            <a:solidFill>
              <a:sysClr val="window" lastClr="FFFFFF"/>
            </a:solidFill>
            <a:ln w="12700" cap="flat" cmpd="sng" algn="ctr">
              <a:noFill/>
              <a:prstDash val="solid"/>
              <a:miter lim="800000"/>
            </a:ln>
            <a:effectLst>
              <a:outerShdw blurRad="44450" dist="27940" dir="5400000" algn="ctr">
                <a:srgbClr val="000000">
                  <a:alpha val="32000"/>
                </a:srgbClr>
              </a:outerShdw>
            </a:effectLst>
            <a:scene3d>
              <a:camera prst="orthographicFront">
                <a:rot lat="0" lon="0" rev="0"/>
              </a:camera>
              <a:lightRig rig="balanced" dir="t">
                <a:rot lat="0" lon="0" rev="8700000"/>
              </a:lightRig>
            </a:scene3d>
            <a:sp3d>
              <a:bevelT w="190500" h="38100"/>
            </a:sp3d>
          </xdr:spPr>
          <xdr:txBody>
            <a:bodyPr vertOverflow="clip" horzOverflow="clip" rtlCol="0" anchor="ctr"/>
            <a:lstStyle/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pt-BR" sz="1100" b="1" i="0" u="none" strike="noStrike" kern="0" cap="none" spc="0" normalizeH="0" baseline="0" noProof="0">
                  <a:ln>
                    <a:noFill/>
                  </a:ln>
                  <a:solidFill>
                    <a:srgbClr val="44546A"/>
                  </a:solidFill>
                  <a:effectLst/>
                  <a:uLnTx/>
                  <a:uFillTx/>
                  <a:latin typeface="Calibri" panose="020F0502020204030204"/>
                  <a:ea typeface="+mn-ea"/>
                  <a:cs typeface="+mn-cs"/>
                </a:rPr>
                <a:t>            INSTRUÇÕES</a:t>
              </a:r>
            </a:p>
          </xdr:txBody>
        </xdr:sp>
        <xdr:pic>
          <xdr:nvPicPr>
            <xdr:cNvPr id="25" name="Imagem 134">
              <a:extLst>
                <a:ext uri="{FF2B5EF4-FFF2-40B4-BE49-F238E27FC236}">
                  <a16:creationId xmlns:a16="http://schemas.microsoft.com/office/drawing/2014/main" id="{D1FFA5E0-C251-4239-A00F-2D62054419A6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 flipH="1">
              <a:off x="1057579" y="1104560"/>
              <a:ext cx="447369" cy="505165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</xdr:grpSp>
      <xdr:grpSp>
        <xdr:nvGrpSpPr>
          <xdr:cNvPr id="10" name="Agrupar 125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E926AB30-8855-491B-9840-644B2D13616C}"/>
              </a:ext>
            </a:extLst>
          </xdr:cNvPr>
          <xdr:cNvGrpSpPr>
            <a:grpSpLocks/>
          </xdr:cNvGrpSpPr>
        </xdr:nvGrpSpPr>
        <xdr:grpSpPr bwMode="auto">
          <a:xfrm>
            <a:off x="839299" y="1800106"/>
            <a:ext cx="2754111" cy="656759"/>
            <a:chOff x="991777" y="2457345"/>
            <a:chExt cx="2774140" cy="682696"/>
          </a:xfrm>
        </xdr:grpSpPr>
        <xdr:sp macro="" textlink="">
          <xdr:nvSpPr>
            <xdr:cNvPr id="20" name="Retângulo: Cantos Arredondados 19">
              <a:extLst>
                <a:ext uri="{FF2B5EF4-FFF2-40B4-BE49-F238E27FC236}">
                  <a16:creationId xmlns:a16="http://schemas.microsoft.com/office/drawing/2014/main" id="{F978D884-9E8A-4BC5-86E2-6349F83F96D9}"/>
                </a:ext>
              </a:extLst>
            </xdr:cNvPr>
            <xdr:cNvSpPr/>
          </xdr:nvSpPr>
          <xdr:spPr>
            <a:xfrm>
              <a:off x="990670" y="2457469"/>
              <a:ext cx="2772744" cy="683180"/>
            </a:xfrm>
            <a:prstGeom prst="roundRect">
              <a:avLst/>
            </a:prstGeom>
            <a:solidFill>
              <a:sysClr val="window" lastClr="FFFFFF"/>
            </a:solidFill>
            <a:ln w="12700" cap="flat" cmpd="sng" algn="ctr">
              <a:noFill/>
              <a:prstDash val="solid"/>
              <a:miter lim="800000"/>
            </a:ln>
            <a:effectLst>
              <a:outerShdw blurRad="44450" dist="27940" dir="5400000" algn="ctr">
                <a:srgbClr val="000000">
                  <a:alpha val="32000"/>
                </a:srgbClr>
              </a:outerShdw>
            </a:effectLst>
            <a:scene3d>
              <a:camera prst="orthographicFront">
                <a:rot lat="0" lon="0" rev="0"/>
              </a:camera>
              <a:lightRig rig="balanced" dir="t">
                <a:rot lat="0" lon="0" rev="8700000"/>
              </a:lightRig>
            </a:scene3d>
            <a:sp3d>
              <a:bevelT w="190500" h="38100"/>
            </a:sp3d>
          </xdr:spPr>
          <xdr:txBody>
            <a:bodyPr vertOverflow="clip" horzOverflow="clip" rtlCol="0" anchor="ctr"/>
            <a:lstStyle/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pt-BR" sz="1100" b="1" i="0" u="none" strike="noStrike" kern="0" cap="none" spc="0" normalizeH="0" baseline="0" noProof="0">
                  <a:ln>
                    <a:noFill/>
                  </a:ln>
                  <a:solidFill>
                    <a:srgbClr val="44546A"/>
                  </a:solidFill>
                  <a:effectLst/>
                  <a:uLnTx/>
                  <a:uFillTx/>
                  <a:latin typeface="Calibri" panose="020F0502020204030204"/>
                  <a:ea typeface="+mn-ea"/>
                  <a:cs typeface="+mn-cs"/>
                </a:rPr>
                <a:t>                  LANÇAMENTOS</a:t>
              </a:r>
            </a:p>
          </xdr:txBody>
        </xdr:sp>
        <xdr:pic>
          <xdr:nvPicPr>
            <xdr:cNvPr id="21" name="Imagem 130">
              <a:extLst>
                <a:ext uri="{FF2B5EF4-FFF2-40B4-BE49-F238E27FC236}">
                  <a16:creationId xmlns:a16="http://schemas.microsoft.com/office/drawing/2014/main" id="{416DB3DB-1750-4522-A758-5515448CD822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 flipH="1">
              <a:off x="1323972" y="2609851"/>
              <a:ext cx="503619" cy="438149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</xdr:grpSp>
      <xdr:grpSp>
        <xdr:nvGrpSpPr>
          <xdr:cNvPr id="33" name="Agrupar 32">
            <a:extLst>
              <a:ext uri="{FF2B5EF4-FFF2-40B4-BE49-F238E27FC236}">
                <a16:creationId xmlns:a16="http://schemas.microsoft.com/office/drawing/2014/main" id="{5A4A8430-80B2-46EA-BBE2-6011B705965B}"/>
              </a:ext>
            </a:extLst>
          </xdr:cNvPr>
          <xdr:cNvGrpSpPr/>
        </xdr:nvGrpSpPr>
        <xdr:grpSpPr>
          <a:xfrm>
            <a:off x="838200" y="2514602"/>
            <a:ext cx="2752725" cy="657225"/>
            <a:chOff x="838200" y="2514602"/>
            <a:chExt cx="2752725" cy="657225"/>
          </a:xfrm>
        </xdr:grpSpPr>
        <xdr:sp macro="" textlink="">
          <xdr:nvSpPr>
            <xdr:cNvPr id="18" name="Retângulo: Cantos Arredondados 17">
              <a:hlinkClick xmlns:r="http://schemas.openxmlformats.org/officeDocument/2006/relationships" r:id="rId7"/>
              <a:extLst>
                <a:ext uri="{FF2B5EF4-FFF2-40B4-BE49-F238E27FC236}">
                  <a16:creationId xmlns:a16="http://schemas.microsoft.com/office/drawing/2014/main" id="{D4F26D5F-C7F4-41F3-A1E5-BE6DE1A23D57}"/>
                </a:ext>
              </a:extLst>
            </xdr:cNvPr>
            <xdr:cNvSpPr/>
          </xdr:nvSpPr>
          <xdr:spPr bwMode="auto">
            <a:xfrm>
              <a:off x="838200" y="2514602"/>
              <a:ext cx="2752725" cy="657225"/>
            </a:xfrm>
            <a:prstGeom prst="roundRect">
              <a:avLst/>
            </a:prstGeom>
            <a:solidFill>
              <a:sysClr val="window" lastClr="FFFFFF"/>
            </a:solidFill>
            <a:ln w="12700" cap="flat" cmpd="sng" algn="ctr">
              <a:noFill/>
              <a:prstDash val="solid"/>
              <a:miter lim="800000"/>
            </a:ln>
            <a:effectLst>
              <a:outerShdw blurRad="44450" dist="27940" dir="5400000" algn="ctr">
                <a:srgbClr val="000000">
                  <a:alpha val="32000"/>
                </a:srgbClr>
              </a:outerShdw>
            </a:effectLst>
            <a:scene3d>
              <a:camera prst="orthographicFront">
                <a:rot lat="0" lon="0" rev="0"/>
              </a:camera>
              <a:lightRig rig="balanced" dir="t">
                <a:rot lat="0" lon="0" rev="8700000"/>
              </a:lightRig>
            </a:scene3d>
            <a:sp3d>
              <a:bevelT w="190500" h="38100"/>
            </a:sp3d>
          </xdr:spPr>
          <xdr:txBody>
            <a:bodyPr vertOverflow="clip" horzOverflow="clip" rtlCol="0" anchor="ctr"/>
            <a:lstStyle/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pt-BR" sz="1100" b="1" i="0" u="none" strike="noStrike" kern="0" cap="none" spc="0" normalizeH="0" baseline="0" noProof="0">
                  <a:ln>
                    <a:noFill/>
                  </a:ln>
                  <a:solidFill>
                    <a:srgbClr val="44546A"/>
                  </a:solidFill>
                  <a:effectLst/>
                  <a:uLnTx/>
                  <a:uFillTx/>
                  <a:latin typeface="Calibri" panose="020F0502020204030204"/>
                  <a:ea typeface="+mn-ea"/>
                  <a:cs typeface="+mn-cs"/>
                </a:rPr>
                <a:t>         COMPPARATIVO</a:t>
              </a: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pt-BR" sz="1100" b="1" i="0" u="none" strike="noStrike" kern="0" cap="none" spc="0" normalizeH="0" baseline="0" noProof="0">
                  <a:ln>
                    <a:noFill/>
                  </a:ln>
                  <a:solidFill>
                    <a:srgbClr val="44546A"/>
                  </a:solidFill>
                  <a:effectLst/>
                  <a:uLnTx/>
                  <a:uFillTx/>
                  <a:latin typeface="Calibri" panose="020F0502020204030204"/>
                  <a:ea typeface="+mn-ea"/>
                  <a:cs typeface="+mn-cs"/>
                </a:rPr>
                <a:t>        INPC X IPCA</a:t>
              </a:r>
            </a:p>
          </xdr:txBody>
        </xdr:sp>
        <xdr:pic>
          <xdr:nvPicPr>
            <xdr:cNvPr id="31" name="Imagem 30">
              <a:extLst>
                <a:ext uri="{FF2B5EF4-FFF2-40B4-BE49-F238E27FC236}">
                  <a16:creationId xmlns:a16="http://schemas.microsoft.com/office/drawing/2014/main" id="{6ED3684B-9176-4506-ACD6-447DA9CFDF3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8">
              <a:extLst>
                <a:ext uri="{28A0092B-C50C-407E-A947-70E740481C1C}">
                  <a14:useLocalDpi xmlns:a14="http://schemas.microsoft.com/office/drawing/2010/main" val="0"/>
                </a:ext>
                <a:ext uri="{837473B0-CC2E-450A-ABE3-18F120FF3D39}">
                  <a1611:picAttrSrcUrl xmlns:a1611="http://schemas.microsoft.com/office/drawing/2016/11/main" r:id="rId9"/>
                </a:ext>
              </a:extLst>
            </a:blip>
            <a:stretch>
              <a:fillRect/>
            </a:stretch>
          </xdr:blipFill>
          <xdr:spPr>
            <a:xfrm>
              <a:off x="1152525" y="2667000"/>
              <a:ext cx="419100" cy="419100"/>
            </a:xfrm>
            <a:prstGeom prst="rect">
              <a:avLst/>
            </a:prstGeom>
          </xdr:spPr>
        </xdr:pic>
      </xdr:grp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57149</xdr:colOff>
      <xdr:row>6</xdr:row>
      <xdr:rowOff>180976</xdr:rowOff>
    </xdr:from>
    <xdr:to>
      <xdr:col>16</xdr:col>
      <xdr:colOff>457200</xdr:colOff>
      <xdr:row>30</xdr:row>
      <xdr:rowOff>9526</xdr:rowOff>
    </xdr:to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322173E1-E585-4E1A-A1CE-65B39C18B96A}"/>
            </a:ext>
          </a:extLst>
        </xdr:cNvPr>
        <xdr:cNvSpPr txBox="1"/>
      </xdr:nvSpPr>
      <xdr:spPr>
        <a:xfrm>
          <a:off x="514349" y="1800226"/>
          <a:ext cx="8963026" cy="2305050"/>
        </a:xfrm>
        <a:prstGeom prst="rect">
          <a:avLst/>
        </a:prstGeom>
        <a:solidFill>
          <a:schemeClr val="lt1"/>
        </a:solidFill>
        <a:ln w="28575" cmpd="sng">
          <a:solidFill>
            <a:schemeClr val="accent2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/>
          <a:r>
            <a:rPr lang="pt-BR" sz="11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OBSERVAÇÃO!!</a:t>
          </a:r>
        </a:p>
        <a:p>
          <a:pPr lvl="0"/>
          <a:r>
            <a:rPr lang="pt-BR" sz="11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A</a:t>
          </a:r>
          <a:r>
            <a:rPr lang="pt-BR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PRIMEIRA COISA A FAZER É ENTRAR NO SITE DA CIXA ECONÔMICA FEDERAL  PARA TER ACESSO AO EXTRATO DO FGTS, IMPRIMIR E COMEÇAR A LANÇAR OS VALORES NA PLANILHA, DE ACORDO COM AS INSTRUÇÕES A SEGUIR:</a:t>
          </a:r>
        </a:p>
        <a:p>
          <a:pPr lvl="0"/>
          <a:endParaRPr lang="pt-BR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</a:t>
          </a:r>
          <a:r>
            <a:rPr lang="pt-B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pt-BR" sz="11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É através do menu </a:t>
          </a:r>
          <a:r>
            <a:rPr lang="pt-BR" sz="1100" b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"Lançamento" </a:t>
          </a:r>
          <a:r>
            <a:rPr lang="pt-BR" sz="11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que iremos inserir na coluna "DEPÓSITOS", nas células de cor "ROSA", os valores dos depósitos do       FGTS, e na coluna "SAQUES", nas células de cor “VERDE” os valores correspondentes aos possíveis saques que tenhamos realizados (inclusive os SAQUES JAM);</a:t>
          </a:r>
        </a:p>
        <a:p>
          <a:pPr lvl="0"/>
          <a:endParaRPr lang="pt-BR" sz="110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lvl="0"/>
          <a:r>
            <a:rPr lang="pt-BR" sz="11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#   Preencha apenas nos campos saques e depósitos, as demais cédulas da planilha estão bloqueadas;</a:t>
          </a:r>
        </a:p>
        <a:p>
          <a:pPr lvl="0"/>
          <a:endParaRPr lang="pt-BR" sz="110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lvl="0"/>
          <a:r>
            <a:rPr lang="pt-BR" sz="11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#   Em caso de pagamento atrasado do FGTS, deveremos lançar esse valor no mês em que ocorreu o pagamento, mesmo de seja referente a outro mês;</a:t>
          </a:r>
        </a:p>
        <a:p>
          <a:pPr lvl="0"/>
          <a:endParaRPr lang="pt-BR" sz="110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lvl="0"/>
          <a:r>
            <a:rPr lang="pt-BR" sz="11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#   Nessa planilha “</a:t>
          </a:r>
          <a:r>
            <a:rPr lang="pt-BR" sz="1100" b="1">
              <a:solidFill>
                <a:srgbClr val="FF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NÃO LANÇAREMOS OS </a:t>
          </a:r>
          <a:r>
            <a:rPr lang="pt-BR" sz="1100" b="1" u="sng">
              <a:solidFill>
                <a:srgbClr val="FF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DEPÓSITOS</a:t>
          </a:r>
          <a:r>
            <a:rPr lang="pt-BR" sz="1100" b="1">
              <a:solidFill>
                <a:srgbClr val="FF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DE JAM</a:t>
          </a:r>
          <a:r>
            <a:rPr lang="pt-BR" sz="11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”;</a:t>
          </a:r>
        </a:p>
        <a:p>
          <a:pPr lvl="0"/>
          <a:endParaRPr lang="pt-BR" sz="110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lvl="0"/>
          <a:r>
            <a:rPr lang="pt-BR" sz="11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#   Caso ocorra mais de um depósito </a:t>
          </a:r>
          <a:r>
            <a:rPr lang="pt-BR" sz="1100" u="sng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NO MESMO MÊS</a:t>
          </a:r>
          <a:r>
            <a:rPr lang="pt-BR" sz="11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e da </a:t>
          </a:r>
          <a:r>
            <a:rPr lang="pt-BR" sz="1100" u="sng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MESMA EMPRESA,</a:t>
          </a:r>
          <a:r>
            <a:rPr lang="pt-BR" sz="11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some-os e lance o total da soma;</a:t>
          </a:r>
        </a:p>
        <a:p>
          <a:pPr lvl="0"/>
          <a:endParaRPr lang="pt-BR" sz="110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lvl="0"/>
          <a:r>
            <a:rPr lang="pt-BR" sz="11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# </a:t>
          </a:r>
          <a:r>
            <a:rPr lang="pt-BR" sz="110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 </a:t>
          </a:r>
          <a:r>
            <a:rPr lang="pt-BR" sz="11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Em caso de depósito no mesmo mês, porém de </a:t>
          </a:r>
          <a:r>
            <a:rPr lang="pt-BR" sz="1100" u="sng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EMPRESAS DIFERENTES</a:t>
          </a:r>
          <a:r>
            <a:rPr lang="pt-BR" sz="11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, faremos uma planilha para cada empresa;</a:t>
          </a:r>
        </a:p>
        <a:p>
          <a:pPr lvl="0"/>
          <a:endParaRPr lang="pt-BR" sz="110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lvl="0"/>
          <a:r>
            <a:rPr lang="pt-BR" sz="11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#   Para as contas “</a:t>
          </a:r>
          <a:r>
            <a:rPr lang="pt-BR" sz="1100" b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ATIVAS</a:t>
          </a:r>
          <a:r>
            <a:rPr lang="pt-BR" sz="11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”, o valor da causa será </a:t>
          </a:r>
          <a:r>
            <a:rPr lang="pt-BR" sz="1100" u="sng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 DIFERENÇA DO SALDO FINAL DESTA PLANILHA e o SALDO APRESENTADO NO EXTRATO DO FGTS, </a:t>
          </a:r>
          <a:r>
            <a:rPr lang="pt-BR" sz="11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emitido da Caixa Econômica Federal;</a:t>
          </a:r>
        </a:p>
        <a:p>
          <a:pPr lvl="0"/>
          <a:endParaRPr lang="pt-BR" sz="110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lvl="0"/>
          <a:r>
            <a:rPr lang="pt-BR" sz="11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#   Agora, para contas </a:t>
          </a:r>
          <a:r>
            <a:rPr lang="pt-BR" sz="1100" b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“INATIVAS”,</a:t>
          </a:r>
          <a:r>
            <a:rPr lang="pt-BR" sz="11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será a sobra depois do saque </a:t>
          </a:r>
          <a:r>
            <a:rPr lang="pt-BR" sz="1100" b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FINAL</a:t>
          </a:r>
          <a:r>
            <a:rPr lang="pt-BR" sz="11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do FGTS;</a:t>
          </a:r>
        </a:p>
        <a:p>
          <a:pPr lvl="0"/>
          <a:endParaRPr lang="pt-BR" sz="110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lvl="0"/>
          <a:r>
            <a:rPr lang="pt-BR" sz="11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#   Para aqueles que preferem fazer os lançamentos pelo índice </a:t>
          </a:r>
          <a:r>
            <a:rPr lang="pt-BR" sz="1100" b="1" u="sng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IPCA</a:t>
          </a:r>
          <a:r>
            <a:rPr lang="pt-BR" sz="1100" b="0" u="none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,</a:t>
          </a:r>
          <a:r>
            <a:rPr lang="pt-BR" sz="1100" b="0" u="none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desenvolvemos uma maneira que, ao lançarmos os valores  na planilha </a:t>
          </a:r>
          <a:r>
            <a:rPr lang="pt-BR" sz="1100" b="1" u="sng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IPNC</a:t>
          </a:r>
          <a:r>
            <a:rPr lang="pt-BR" sz="1100" b="0" u="none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, autmaticamente eles serão transferidos para uma planilha com índices do IPCA e seus cálculos também serão realizados</a:t>
          </a:r>
        </a:p>
        <a:p>
          <a:pPr lvl="0"/>
          <a:r>
            <a:rPr lang="pt-BR" sz="1100" b="0" u="none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automaticamente.</a:t>
          </a:r>
        </a:p>
        <a:p>
          <a:pPr lvl="0"/>
          <a:endParaRPr lang="pt-BR" sz="1100" b="0" u="none" baseline="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lvl="0"/>
          <a:r>
            <a:rPr lang="pt-BR" sz="1100" b="1" u="none" baseline="0">
              <a:solidFill>
                <a:srgbClr val="FF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OBS.: TODA RESCISÃO ENSEJARÁ EM DOIS DEPÓSITOS NO MESMO PERÍODO: A MULTA DE 40% E O FGTS SOBRE O SALDO DA RESCISÃO, PORTANTO, SOMAREMOS ESSES VALORES (DENTRO DA CÉLULA) E LANÇAREMOS NO PERÍODO EQUIVALENTE.</a:t>
          </a:r>
          <a:endParaRPr lang="pt-BR" sz="1100" b="1">
            <a:solidFill>
              <a:srgbClr val="FF0000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algn="l"/>
          <a:endParaRPr lang="pt-BR" sz="1100" b="0" baseline="0">
            <a:solidFill>
              <a:schemeClr val="tx1"/>
            </a:solidFill>
            <a:latin typeface="+mn-lt"/>
            <a:cs typeface="Arial" panose="020B0604020202020204" pitchFamily="34" charset="0"/>
          </a:endParaRPr>
        </a:p>
      </xdr:txBody>
    </xdr:sp>
    <xdr:clientData/>
  </xdr:twoCellAnchor>
  <xdr:twoCellAnchor>
    <xdr:from>
      <xdr:col>2</xdr:col>
      <xdr:colOff>95250</xdr:colOff>
      <xdr:row>42</xdr:row>
      <xdr:rowOff>4320</xdr:rowOff>
    </xdr:from>
    <xdr:to>
      <xdr:col>16</xdr:col>
      <xdr:colOff>544286</xdr:colOff>
      <xdr:row>43</xdr:row>
      <xdr:rowOff>76200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D3338807-3BDC-4479-8069-B3F0D9FCFFF1}"/>
            </a:ext>
          </a:extLst>
        </xdr:cNvPr>
        <xdr:cNvSpPr txBox="1"/>
      </xdr:nvSpPr>
      <xdr:spPr>
        <a:xfrm>
          <a:off x="552450" y="6538470"/>
          <a:ext cx="9012011" cy="262380"/>
        </a:xfrm>
        <a:prstGeom prst="rect">
          <a:avLst/>
        </a:prstGeom>
        <a:solidFill>
          <a:schemeClr val="lt1"/>
        </a:solidFill>
        <a:ln w="28575" cmpd="sng">
          <a:solidFill>
            <a:schemeClr val="accent2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pt-BR" sz="110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Na </a:t>
          </a:r>
          <a:r>
            <a:rPr lang="pt-BR" sz="11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Base de Dados </a:t>
          </a:r>
          <a:r>
            <a:rPr lang="pt-BR" sz="110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 estão registradas</a:t>
          </a:r>
          <a:r>
            <a:rPr lang="pt-BR" sz="110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 as tabelas correspondentes aos índices utilizados para o cálculo da correção do FGTS.</a:t>
          </a:r>
        </a:p>
        <a:p>
          <a:pPr algn="l"/>
          <a:endParaRPr lang="pt-BR" sz="1100" baseline="0">
            <a:solidFill>
              <a:schemeClr val="tx1"/>
            </a:solidFill>
            <a:latin typeface="+mn-lt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2</xdr:col>
      <xdr:colOff>285750</xdr:colOff>
      <xdr:row>1</xdr:row>
      <xdr:rowOff>95250</xdr:rowOff>
    </xdr:from>
    <xdr:to>
      <xdr:col>4</xdr:col>
      <xdr:colOff>276225</xdr:colOff>
      <xdr:row>1</xdr:row>
      <xdr:rowOff>533400</xdr:rowOff>
    </xdr:to>
    <xdr:pic>
      <xdr:nvPicPr>
        <xdr:cNvPr id="6" name="Imagem 7">
          <a:extLst>
            <a:ext uri="{FF2B5EF4-FFF2-40B4-BE49-F238E27FC236}">
              <a16:creationId xmlns:a16="http://schemas.microsoft.com/office/drawing/2014/main" id="{A326AC13-F15E-420C-A99A-431261D56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2950" y="285750"/>
          <a:ext cx="12096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15</xdr:col>
      <xdr:colOff>504825</xdr:colOff>
      <xdr:row>1</xdr:row>
      <xdr:rowOff>57150</xdr:rowOff>
    </xdr:from>
    <xdr:to>
      <xdr:col>16</xdr:col>
      <xdr:colOff>514350</xdr:colOff>
      <xdr:row>2</xdr:row>
      <xdr:rowOff>9525</xdr:rowOff>
    </xdr:to>
    <xdr:pic>
      <xdr:nvPicPr>
        <xdr:cNvPr id="7" name="Imagem 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C9ABFC8-9B4D-4EF1-B7CB-09961E5160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86825" y="247650"/>
          <a:ext cx="6191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533399</xdr:colOff>
      <xdr:row>1</xdr:row>
      <xdr:rowOff>85725</xdr:rowOff>
    </xdr:from>
    <xdr:to>
      <xdr:col>15</xdr:col>
      <xdr:colOff>390524</xdr:colOff>
      <xdr:row>4</xdr:row>
      <xdr:rowOff>0</xdr:rowOff>
    </xdr:to>
    <xdr:sp macro="" textlink="">
      <xdr:nvSpPr>
        <xdr:cNvPr id="8" name="CaixaDeTexto 7">
          <a:extLst>
            <a:ext uri="{FF2B5EF4-FFF2-40B4-BE49-F238E27FC236}">
              <a16:creationId xmlns:a16="http://schemas.microsoft.com/office/drawing/2014/main" id="{85FB8E79-CD29-4EB8-B0F4-379D7489B1F9}"/>
            </a:ext>
          </a:extLst>
        </xdr:cNvPr>
        <xdr:cNvSpPr txBox="1"/>
      </xdr:nvSpPr>
      <xdr:spPr>
        <a:xfrm>
          <a:off x="2819399" y="276225"/>
          <a:ext cx="5953125" cy="9429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2400" b="1">
              <a:solidFill>
                <a:schemeClr val="bg1"/>
              </a:solidFill>
            </a:rPr>
            <a:t>    INSTRUÇOES   DE   USO   DA   PLANILHA</a:t>
          </a:r>
        </a:p>
      </xdr:txBody>
    </xdr:sp>
    <xdr:clientData/>
  </xdr:twoCellAnchor>
  <xdr:twoCellAnchor>
    <xdr:from>
      <xdr:col>2</xdr:col>
      <xdr:colOff>95250</xdr:colOff>
      <xdr:row>35</xdr:row>
      <xdr:rowOff>4319</xdr:rowOff>
    </xdr:from>
    <xdr:to>
      <xdr:col>16</xdr:col>
      <xdr:colOff>544286</xdr:colOff>
      <xdr:row>37</xdr:row>
      <xdr:rowOff>0</xdr:rowOff>
    </xdr:to>
    <xdr:sp macro="" textlink="">
      <xdr:nvSpPr>
        <xdr:cNvPr id="9" name="CaixaDeTexto 8">
          <a:extLst>
            <a:ext uri="{FF2B5EF4-FFF2-40B4-BE49-F238E27FC236}">
              <a16:creationId xmlns:a16="http://schemas.microsoft.com/office/drawing/2014/main" id="{D4A7DBE5-B284-4A6C-BD48-8F5C94A6E6D8}"/>
            </a:ext>
          </a:extLst>
        </xdr:cNvPr>
        <xdr:cNvSpPr txBox="1"/>
      </xdr:nvSpPr>
      <xdr:spPr>
        <a:xfrm>
          <a:off x="552450" y="5128769"/>
          <a:ext cx="9012011" cy="376681"/>
        </a:xfrm>
        <a:prstGeom prst="rect">
          <a:avLst/>
        </a:prstGeom>
        <a:solidFill>
          <a:schemeClr val="lt1"/>
        </a:solidFill>
        <a:ln w="28575" cmpd="sng">
          <a:solidFill>
            <a:schemeClr val="accent2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pt-BR" sz="110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No menu "</a:t>
          </a:r>
          <a:r>
            <a:rPr lang="pt-BR" sz="11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Comparativo"</a:t>
          </a:r>
          <a:r>
            <a:rPr lang="pt-BR" sz="110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, veremos o</a:t>
          </a:r>
          <a:r>
            <a:rPr lang="pt-BR" sz="110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 resultado das duas planilhas (pelo índice </a:t>
          </a:r>
          <a:r>
            <a:rPr lang="pt-BR" sz="1100" b="1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INPC</a:t>
          </a:r>
          <a:r>
            <a:rPr lang="pt-BR" sz="110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 e pelo índice </a:t>
          </a:r>
          <a:r>
            <a:rPr lang="pt-BR" sz="1100" b="1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IPCA</a:t>
          </a:r>
          <a:r>
            <a:rPr lang="pt-BR" sz="110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.</a:t>
          </a:r>
          <a:endParaRPr lang="pt-BR" sz="110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219075</xdr:colOff>
      <xdr:row>1</xdr:row>
      <xdr:rowOff>104775</xdr:rowOff>
    </xdr:from>
    <xdr:to>
      <xdr:col>2</xdr:col>
      <xdr:colOff>781050</xdr:colOff>
      <xdr:row>1</xdr:row>
      <xdr:rowOff>542925</xdr:rowOff>
    </xdr:to>
    <xdr:pic>
      <xdr:nvPicPr>
        <xdr:cNvPr id="2" name="Imagem 7">
          <a:extLst>
            <a:ext uri="{FF2B5EF4-FFF2-40B4-BE49-F238E27FC236}">
              <a16:creationId xmlns:a16="http://schemas.microsoft.com/office/drawing/2014/main" id="{9D545D8B-3D4B-4EBD-8C2D-BFD3DAA934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8675" y="295275"/>
          <a:ext cx="12096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838200</xdr:colOff>
      <xdr:row>1</xdr:row>
      <xdr:rowOff>66675</xdr:rowOff>
    </xdr:from>
    <xdr:to>
      <xdr:col>10</xdr:col>
      <xdr:colOff>1457325</xdr:colOff>
      <xdr:row>2</xdr:row>
      <xdr:rowOff>19050</xdr:rowOff>
    </xdr:to>
    <xdr:pic>
      <xdr:nvPicPr>
        <xdr:cNvPr id="3" name="Imagem 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AD1CBFF-E17C-4AF9-9E32-F42D7CA112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86925" y="257175"/>
          <a:ext cx="6191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590549</xdr:colOff>
      <xdr:row>1</xdr:row>
      <xdr:rowOff>66676</xdr:rowOff>
    </xdr:from>
    <xdr:to>
      <xdr:col>9</xdr:col>
      <xdr:colOff>819150</xdr:colOff>
      <xdr:row>1</xdr:row>
      <xdr:rowOff>581026</xdr:rowOff>
    </xdr:to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148EBB5E-9AEE-4E90-B342-5264003B3ED9}"/>
            </a:ext>
          </a:extLst>
        </xdr:cNvPr>
        <xdr:cNvSpPr txBox="1"/>
      </xdr:nvSpPr>
      <xdr:spPr>
        <a:xfrm>
          <a:off x="2828924" y="257176"/>
          <a:ext cx="5781676" cy="5143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2400" b="1">
              <a:solidFill>
                <a:schemeClr val="bg1"/>
              </a:solidFill>
            </a:rPr>
            <a:t>    LANÇAMENTOS - SAQUES   E   DEPÓSITOS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219075</xdr:colOff>
      <xdr:row>1</xdr:row>
      <xdr:rowOff>104775</xdr:rowOff>
    </xdr:from>
    <xdr:to>
      <xdr:col>2</xdr:col>
      <xdr:colOff>781050</xdr:colOff>
      <xdr:row>1</xdr:row>
      <xdr:rowOff>542925</xdr:rowOff>
    </xdr:to>
    <xdr:pic>
      <xdr:nvPicPr>
        <xdr:cNvPr id="2" name="Imagem 7">
          <a:extLst>
            <a:ext uri="{FF2B5EF4-FFF2-40B4-BE49-F238E27FC236}">
              <a16:creationId xmlns:a16="http://schemas.microsoft.com/office/drawing/2014/main" id="{DF365F2C-575D-48E0-8175-1E3A8A7B56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8675" y="295275"/>
          <a:ext cx="12096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723900</xdr:colOff>
      <xdr:row>1</xdr:row>
      <xdr:rowOff>66675</xdr:rowOff>
    </xdr:from>
    <xdr:to>
      <xdr:col>13</xdr:col>
      <xdr:colOff>1343025</xdr:colOff>
      <xdr:row>2</xdr:row>
      <xdr:rowOff>19050</xdr:rowOff>
    </xdr:to>
    <xdr:pic>
      <xdr:nvPicPr>
        <xdr:cNvPr id="3" name="Imagem 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814DDA4-CB9F-43B4-8A97-768C33F442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39625" y="257175"/>
          <a:ext cx="6191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800099</xdr:colOff>
      <xdr:row>1</xdr:row>
      <xdr:rowOff>85726</xdr:rowOff>
    </xdr:from>
    <xdr:to>
      <xdr:col>12</xdr:col>
      <xdr:colOff>28575</xdr:colOff>
      <xdr:row>1</xdr:row>
      <xdr:rowOff>600076</xdr:rowOff>
    </xdr:to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9F3D05E6-FFBB-448A-BC6B-6AC44ECB8D1C}"/>
            </a:ext>
          </a:extLst>
        </xdr:cNvPr>
        <xdr:cNvSpPr txBox="1"/>
      </xdr:nvSpPr>
      <xdr:spPr>
        <a:xfrm>
          <a:off x="4238624" y="276226"/>
          <a:ext cx="5781676" cy="5143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2400" b="1">
              <a:solidFill>
                <a:schemeClr val="bg1"/>
              </a:solidFill>
            </a:rPr>
            <a:t>    COMPARATIVO    -    INPC   X   IPCA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219075</xdr:colOff>
      <xdr:row>1</xdr:row>
      <xdr:rowOff>104775</xdr:rowOff>
    </xdr:from>
    <xdr:to>
      <xdr:col>2</xdr:col>
      <xdr:colOff>419100</xdr:colOff>
      <xdr:row>1</xdr:row>
      <xdr:rowOff>523875</xdr:rowOff>
    </xdr:to>
    <xdr:pic>
      <xdr:nvPicPr>
        <xdr:cNvPr id="2" name="Imagem 7">
          <a:extLst>
            <a:ext uri="{FF2B5EF4-FFF2-40B4-BE49-F238E27FC236}">
              <a16:creationId xmlns:a16="http://schemas.microsoft.com/office/drawing/2014/main" id="{D2121896-CB52-4A1D-AC9F-B02EFDFB55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8675" y="295275"/>
          <a:ext cx="12096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438150</xdr:colOff>
      <xdr:row>1</xdr:row>
      <xdr:rowOff>28575</xdr:rowOff>
    </xdr:from>
    <xdr:to>
      <xdr:col>8</xdr:col>
      <xdr:colOff>447675</xdr:colOff>
      <xdr:row>1</xdr:row>
      <xdr:rowOff>609600</xdr:rowOff>
    </xdr:to>
    <xdr:pic>
      <xdr:nvPicPr>
        <xdr:cNvPr id="3" name="Imagem 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4B32730-7CAE-41D7-AB8B-D39DFE2601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72275" y="228600"/>
          <a:ext cx="619125" cy="581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723901</xdr:colOff>
      <xdr:row>1</xdr:row>
      <xdr:rowOff>76201</xdr:rowOff>
    </xdr:from>
    <xdr:to>
      <xdr:col>7</xdr:col>
      <xdr:colOff>142876</xdr:colOff>
      <xdr:row>1</xdr:row>
      <xdr:rowOff>590551</xdr:rowOff>
    </xdr:to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1E856787-93DE-4BBC-A023-D21531F6E25D}"/>
            </a:ext>
          </a:extLst>
        </xdr:cNvPr>
        <xdr:cNvSpPr txBox="1"/>
      </xdr:nvSpPr>
      <xdr:spPr>
        <a:xfrm>
          <a:off x="2343151" y="276226"/>
          <a:ext cx="3600450" cy="5143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2400" b="1">
              <a:solidFill>
                <a:schemeClr val="bg1"/>
              </a:solidFill>
            </a:rPr>
            <a:t>    TABELA   DE    ÍNDICES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20</xdr:col>
      <xdr:colOff>0</xdr:colOff>
      <xdr:row>38</xdr:row>
      <xdr:rowOff>44825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14A483C0-4B8D-4600-9B5C-8C162BD39800}"/>
            </a:ext>
          </a:extLst>
        </xdr:cNvPr>
        <xdr:cNvSpPr/>
      </xdr:nvSpPr>
      <xdr:spPr>
        <a:xfrm>
          <a:off x="0" y="0"/>
          <a:ext cx="12199620" cy="6994265"/>
        </a:xfrm>
        <a:prstGeom prst="rect">
          <a:avLst/>
        </a:prstGeom>
        <a:gradFill flip="none" rotWithShape="1">
          <a:gsLst>
            <a:gs pos="100000">
              <a:schemeClr val="tx1">
                <a:lumMod val="65000"/>
                <a:lumOff val="35000"/>
              </a:schemeClr>
            </a:gs>
            <a:gs pos="0">
              <a:schemeClr val="tx1">
                <a:lumMod val="85000"/>
                <a:lumOff val="15000"/>
              </a:schemeClr>
            </a:gs>
          </a:gsLst>
          <a:lin ang="1620000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/>
            <a:t> </a:t>
          </a:r>
        </a:p>
      </xdr:txBody>
    </xdr:sp>
    <xdr:clientData/>
  </xdr:twoCellAnchor>
  <xdr:twoCellAnchor editAs="oneCell">
    <xdr:from>
      <xdr:col>3</xdr:col>
      <xdr:colOff>137198</xdr:colOff>
      <xdr:row>1</xdr:row>
      <xdr:rowOff>53790</xdr:rowOff>
    </xdr:from>
    <xdr:to>
      <xdr:col>10</xdr:col>
      <xdr:colOff>43079</xdr:colOff>
      <xdr:row>6</xdr:row>
      <xdr:rowOff>152202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EC27D55-4F91-439B-B56B-25291C44EA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65998" y="236670"/>
          <a:ext cx="4173081" cy="1012812"/>
        </a:xfrm>
        <a:prstGeom prst="rect">
          <a:avLst/>
        </a:prstGeom>
      </xdr:spPr>
    </xdr:pic>
    <xdr:clientData/>
  </xdr:twoCellAnchor>
  <xdr:twoCellAnchor editAs="oneCell">
    <xdr:from>
      <xdr:col>0</xdr:col>
      <xdr:colOff>437918</xdr:colOff>
      <xdr:row>5</xdr:row>
      <xdr:rowOff>147338</xdr:rowOff>
    </xdr:from>
    <xdr:to>
      <xdr:col>11</xdr:col>
      <xdr:colOff>381948</xdr:colOff>
      <xdr:row>37</xdr:row>
      <xdr:rowOff>71237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5331D975-1845-4D4B-87A4-588595F9FE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37918" y="1061738"/>
          <a:ext cx="6649630" cy="5776059"/>
        </a:xfrm>
        <a:prstGeom prst="rect">
          <a:avLst/>
        </a:prstGeom>
      </xdr:spPr>
    </xdr:pic>
    <xdr:clientData/>
  </xdr:twoCellAnchor>
  <xdr:twoCellAnchor editAs="oneCell">
    <xdr:from>
      <xdr:col>0</xdr:col>
      <xdr:colOff>322413</xdr:colOff>
      <xdr:row>8</xdr:row>
      <xdr:rowOff>12918</xdr:rowOff>
    </xdr:from>
    <xdr:to>
      <xdr:col>11</xdr:col>
      <xdr:colOff>223625</xdr:colOff>
      <xdr:row>38</xdr:row>
      <xdr:rowOff>124430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D6A26C2A-C2DD-4A0D-B66E-486997DE20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2413" y="1475958"/>
          <a:ext cx="6606812" cy="5597912"/>
        </a:xfrm>
        <a:prstGeom prst="rect">
          <a:avLst/>
        </a:prstGeom>
      </xdr:spPr>
    </xdr:pic>
    <xdr:clientData/>
  </xdr:twoCellAnchor>
  <xdr:twoCellAnchor>
    <xdr:from>
      <xdr:col>0</xdr:col>
      <xdr:colOff>591185</xdr:colOff>
      <xdr:row>8</xdr:row>
      <xdr:rowOff>167214</xdr:rowOff>
    </xdr:from>
    <xdr:to>
      <xdr:col>11</xdr:col>
      <xdr:colOff>205696</xdr:colOff>
      <xdr:row>33</xdr:row>
      <xdr:rowOff>91452</xdr:rowOff>
    </xdr:to>
    <xdr:sp macro="" textlink="">
      <xdr:nvSpPr>
        <xdr:cNvPr id="6" name="CaixaDeTexto 16">
          <a:extLst>
            <a:ext uri="{FF2B5EF4-FFF2-40B4-BE49-F238E27FC236}">
              <a16:creationId xmlns:a16="http://schemas.microsoft.com/office/drawing/2014/main" id="{224CD31A-8D5F-4B50-AB79-EEE3C15776B3}"/>
            </a:ext>
          </a:extLst>
        </xdr:cNvPr>
        <xdr:cNvSpPr txBox="1"/>
      </xdr:nvSpPr>
      <xdr:spPr>
        <a:xfrm>
          <a:off x="591185" y="1630254"/>
          <a:ext cx="6320111" cy="4496238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ct val="150000"/>
            </a:lnSpc>
          </a:pPr>
          <a:r>
            <a:rPr lang="pt-BR" sz="2000">
              <a:solidFill>
                <a:schemeClr val="bg1"/>
              </a:solidFill>
              <a:latin typeface="Abadi" panose="020B0604020104020204" pitchFamily="34" charset="0"/>
            </a:rPr>
            <a:t>Olá, está gostando</a:t>
          </a:r>
        </a:p>
        <a:p>
          <a:pPr algn="ctr">
            <a:lnSpc>
              <a:spcPct val="150000"/>
            </a:lnSpc>
          </a:pPr>
          <a:r>
            <a:rPr lang="pt-BR" sz="2000">
              <a:solidFill>
                <a:schemeClr val="bg1"/>
              </a:solidFill>
              <a:latin typeface="Abadi" panose="020B0604020104020204" pitchFamily="34" charset="0"/>
            </a:rPr>
            <a:t> de usar nossas planilhas? </a:t>
          </a:r>
        </a:p>
        <a:p>
          <a:pPr algn="ctr">
            <a:lnSpc>
              <a:spcPct val="150000"/>
            </a:lnSpc>
          </a:pPr>
          <a:r>
            <a:rPr lang="pt-BR" sz="2000">
              <a:solidFill>
                <a:schemeClr val="bg1"/>
              </a:solidFill>
              <a:latin typeface="Abadi" panose="020B0604020104020204" pitchFamily="34" charset="0"/>
            </a:rPr>
            <a:t>Nós sinceramente esperamos que sim.</a:t>
          </a:r>
        </a:p>
        <a:p>
          <a:pPr algn="ctr">
            <a:lnSpc>
              <a:spcPct val="150000"/>
            </a:lnSpc>
          </a:pPr>
          <a:r>
            <a:rPr lang="pt-BR" sz="2000">
              <a:solidFill>
                <a:schemeClr val="bg1"/>
              </a:solidFill>
              <a:latin typeface="Abadi" panose="020B0604020104020204" pitchFamily="34" charset="0"/>
            </a:rPr>
            <a:t>Saiba, sua opinião é muito importante para nós. E em cada página de download existe uma área para comentários, te aguardamos lá!</a:t>
          </a:r>
        </a:p>
        <a:p>
          <a:pPr algn="ctr">
            <a:lnSpc>
              <a:spcPct val="150000"/>
            </a:lnSpc>
          </a:pPr>
          <a:r>
            <a:rPr lang="pt-BR" sz="2000">
              <a:solidFill>
                <a:schemeClr val="bg1"/>
              </a:solidFill>
              <a:latin typeface="Abadi" panose="020B0604020104020204" pitchFamily="34" charset="0"/>
            </a:rPr>
            <a:t>Com a sua ajuda queremos criar o maior portal de planilhas do Brasil, </a:t>
          </a:r>
        </a:p>
        <a:p>
          <a:pPr algn="ctr">
            <a:lnSpc>
              <a:spcPct val="150000"/>
            </a:lnSpc>
          </a:pPr>
          <a:r>
            <a:rPr lang="pt-BR" sz="2000">
              <a:solidFill>
                <a:schemeClr val="bg1"/>
              </a:solidFill>
              <a:latin typeface="Abadi" panose="020B0604020104020204" pitchFamily="34" charset="0"/>
            </a:rPr>
            <a:t>ou quem sabe do Mundo!</a:t>
          </a:r>
        </a:p>
        <a:p>
          <a:pPr algn="ctr">
            <a:lnSpc>
              <a:spcPct val="150000"/>
            </a:lnSpc>
          </a:pPr>
          <a:r>
            <a:rPr lang="pt-BR" sz="2000">
              <a:solidFill>
                <a:schemeClr val="bg1"/>
              </a:solidFill>
              <a:latin typeface="Abadi" panose="020B0604020104020204" pitchFamily="34" charset="0"/>
            </a:rPr>
            <a:t> </a:t>
          </a:r>
        </a:p>
      </xdr:txBody>
    </xdr:sp>
    <xdr:clientData/>
  </xdr:twoCellAnchor>
  <xdr:twoCellAnchor>
    <xdr:from>
      <xdr:col>13</xdr:col>
      <xdr:colOff>121951</xdr:colOff>
      <xdr:row>22</xdr:row>
      <xdr:rowOff>177300</xdr:rowOff>
    </xdr:from>
    <xdr:to>
      <xdr:col>19</xdr:col>
      <xdr:colOff>212147</xdr:colOff>
      <xdr:row>26</xdr:row>
      <xdr:rowOff>130757</xdr:rowOff>
    </xdr:to>
    <xdr:sp macro="" textlink="">
      <xdr:nvSpPr>
        <xdr:cNvPr id="7" name="CaixaDeTexto 18">
          <a:extLst>
            <a:ext uri="{FF2B5EF4-FFF2-40B4-BE49-F238E27FC236}">
              <a16:creationId xmlns:a16="http://schemas.microsoft.com/office/drawing/2014/main" id="{94888A6E-1589-4C5C-988F-F936022C515C}"/>
            </a:ext>
          </a:extLst>
        </xdr:cNvPr>
        <xdr:cNvSpPr txBox="1"/>
      </xdr:nvSpPr>
      <xdr:spPr>
        <a:xfrm>
          <a:off x="8046751" y="4200660"/>
          <a:ext cx="3747796" cy="684977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ct val="150000"/>
            </a:lnSpc>
          </a:pPr>
          <a:r>
            <a:rPr lang="pt-BR" sz="1400">
              <a:solidFill>
                <a:schemeClr val="bg1"/>
              </a:solidFill>
              <a:latin typeface="Abadi" panose="020B0604020104020204" pitchFamily="34" charset="0"/>
            </a:rPr>
            <a:t>Outra forma de colaborar: Que tal pagarnos  um cafezinho?</a:t>
          </a:r>
        </a:p>
      </xdr:txBody>
    </xdr:sp>
    <xdr:clientData/>
  </xdr:twoCellAnchor>
  <xdr:twoCellAnchor editAs="oneCell">
    <xdr:from>
      <xdr:col>17</xdr:col>
      <xdr:colOff>361262</xdr:colOff>
      <xdr:row>24</xdr:row>
      <xdr:rowOff>48208</xdr:rowOff>
    </xdr:from>
    <xdr:to>
      <xdr:col>18</xdr:col>
      <xdr:colOff>340659</xdr:colOff>
      <xdr:row>27</xdr:row>
      <xdr:rowOff>78046</xdr:rowOff>
    </xdr:to>
    <xdr:pic>
      <xdr:nvPicPr>
        <xdr:cNvPr id="8" name="Picture 6" descr="Café Coffe Bebida - Gráfico vetorial grátis no Pixabay">
          <a:extLst>
            <a:ext uri="{FF2B5EF4-FFF2-40B4-BE49-F238E27FC236}">
              <a16:creationId xmlns:a16="http://schemas.microsoft.com/office/drawing/2014/main" id="{466D7FC5-A8A4-496A-913C-58E20B2768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24462" y="4437328"/>
          <a:ext cx="588997" cy="5784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282335</xdr:colOff>
      <xdr:row>33</xdr:row>
      <xdr:rowOff>69831</xdr:rowOff>
    </xdr:from>
    <xdr:to>
      <xdr:col>15</xdr:col>
      <xdr:colOff>80171</xdr:colOff>
      <xdr:row>35</xdr:row>
      <xdr:rowOff>51464</xdr:rowOff>
    </xdr:to>
    <xdr:sp macro="" textlink="">
      <xdr:nvSpPr>
        <xdr:cNvPr id="9" name="Retângulo: Cantos Arredondados 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83C1999-761A-403B-9D88-682F4480F3E7}"/>
            </a:ext>
          </a:extLst>
        </xdr:cNvPr>
        <xdr:cNvSpPr/>
      </xdr:nvSpPr>
      <xdr:spPr>
        <a:xfrm>
          <a:off x="8207135" y="6104871"/>
          <a:ext cx="1017036" cy="347393"/>
        </a:xfrm>
        <a:prstGeom prst="roundRect">
          <a:avLst/>
        </a:prstGeom>
        <a:solidFill>
          <a:srgbClr val="2D8053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sz="1400"/>
            <a:t>R$ 5,00</a:t>
          </a:r>
        </a:p>
      </xdr:txBody>
    </xdr:sp>
    <xdr:clientData/>
  </xdr:twoCellAnchor>
  <xdr:twoCellAnchor>
    <xdr:from>
      <xdr:col>15</xdr:col>
      <xdr:colOff>256423</xdr:colOff>
      <xdr:row>33</xdr:row>
      <xdr:rowOff>69830</xdr:rowOff>
    </xdr:from>
    <xdr:to>
      <xdr:col>17</xdr:col>
      <xdr:colOff>54259</xdr:colOff>
      <xdr:row>35</xdr:row>
      <xdr:rowOff>51463</xdr:rowOff>
    </xdr:to>
    <xdr:sp macro="" textlink="">
      <xdr:nvSpPr>
        <xdr:cNvPr id="10" name="Retângulo: Cantos Arredondados 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50C1EDC6-F458-454E-B67C-69E90E50E866}"/>
            </a:ext>
          </a:extLst>
        </xdr:cNvPr>
        <xdr:cNvSpPr/>
      </xdr:nvSpPr>
      <xdr:spPr>
        <a:xfrm>
          <a:off x="9400423" y="6104870"/>
          <a:ext cx="1017036" cy="347393"/>
        </a:xfrm>
        <a:prstGeom prst="roundRect">
          <a:avLst/>
        </a:prstGeom>
        <a:solidFill>
          <a:srgbClr val="2D8053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sz="1400"/>
            <a:t>R$ 10,00</a:t>
          </a:r>
        </a:p>
      </xdr:txBody>
    </xdr:sp>
    <xdr:clientData/>
  </xdr:twoCellAnchor>
  <xdr:twoCellAnchor>
    <xdr:from>
      <xdr:col>17</xdr:col>
      <xdr:colOff>203842</xdr:colOff>
      <xdr:row>33</xdr:row>
      <xdr:rowOff>69829</xdr:rowOff>
    </xdr:from>
    <xdr:to>
      <xdr:col>19</xdr:col>
      <xdr:colOff>1678</xdr:colOff>
      <xdr:row>35</xdr:row>
      <xdr:rowOff>51462</xdr:rowOff>
    </xdr:to>
    <xdr:sp macro="" textlink="">
      <xdr:nvSpPr>
        <xdr:cNvPr id="11" name="Retângulo: Cantos Arredondados 10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6D0909DD-65F0-41F4-9355-3154E523F1AB}"/>
            </a:ext>
          </a:extLst>
        </xdr:cNvPr>
        <xdr:cNvSpPr/>
      </xdr:nvSpPr>
      <xdr:spPr>
        <a:xfrm>
          <a:off x="10567042" y="6104869"/>
          <a:ext cx="1017036" cy="347393"/>
        </a:xfrm>
        <a:prstGeom prst="roundRect">
          <a:avLst/>
        </a:prstGeom>
        <a:solidFill>
          <a:srgbClr val="2D8053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sz="1400"/>
            <a:t>R$ 15,00</a:t>
          </a:r>
        </a:p>
      </xdr:txBody>
    </xdr:sp>
    <xdr:clientData/>
  </xdr:twoCellAnchor>
  <xdr:twoCellAnchor editAs="oneCell">
    <xdr:from>
      <xdr:col>13</xdr:col>
      <xdr:colOff>535746</xdr:colOff>
      <xdr:row>1</xdr:row>
      <xdr:rowOff>148586</xdr:rowOff>
    </xdr:from>
    <xdr:to>
      <xdr:col>15</xdr:col>
      <xdr:colOff>520454</xdr:colOff>
      <xdr:row>8</xdr:row>
      <xdr:rowOff>44438</xdr:rowOff>
    </xdr:to>
    <xdr:pic>
      <xdr:nvPicPr>
        <xdr:cNvPr id="12" name="Picture 10" descr="Medidor de humor do rosto irritado vermelho para o feliz emoji ...">
          <a:extLst>
            <a:ext uri="{FF2B5EF4-FFF2-40B4-BE49-F238E27FC236}">
              <a16:creationId xmlns:a16="http://schemas.microsoft.com/office/drawing/2014/main" id="{62523A00-71BD-4CEA-AFC0-476979C3D81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backgroundRemoval t="9596" b="89899" l="9744" r="89936">
                      <a14:foregroundMark x1="18211" y1="29798" x2="9744" y2="22727"/>
                      <a14:foregroundMark x1="9744" y1="22727" x2="13898" y2="48485"/>
                      <a14:foregroundMark x1="13898" y1="48485" x2="18530" y2="47980"/>
                      <a14:foregroundMark x1="12460" y1="55051" x2="17252" y2="62626"/>
                      <a14:foregroundMark x1="51278" y1="39394" x2="52556" y2="52525"/>
                      <a14:foregroundMark x1="54153" y1="42929" x2="48243" y2="24747"/>
                      <a14:foregroundMark x1="48243" y1="24747" x2="45208" y2="49495"/>
                      <a14:foregroundMark x1="45208" y1="49495" x2="49201" y2="56566"/>
                      <a14:foregroundMark x1="48083" y1="22222" x2="54633" y2="33333"/>
                      <a14:foregroundMark x1="50160" y1="16667" x2="50160" y2="25758"/>
                      <a14:foregroundMark x1="70447" y1="35354" x2="66134" y2="49495"/>
                      <a14:foregroundMark x1="81789" y1="37374" x2="87859" y2="40404"/>
                      <a14:foregroundMark x1="84665" y1="26263" x2="79553" y2="48485"/>
                      <a14:foregroundMark x1="79553" y1="48485" x2="87540" y2="58081"/>
                      <a14:foregroundMark x1="87540" y1="58081" x2="87540" y2="31313"/>
                      <a14:foregroundMark x1="87540" y1="31313" x2="82588" y2="25758"/>
                      <a14:foregroundMark x1="71725" y1="32323" x2="63419" y2="26768"/>
                      <a14:foregroundMark x1="63419" y1="26768" x2="64856" y2="51515"/>
                      <a14:foregroundMark x1="64856" y1="51515" x2="73323" y2="57576"/>
                      <a14:foregroundMark x1="73323" y1="57576" x2="72843" y2="38384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23469" r="41393"/>
        <a:stretch/>
      </xdr:blipFill>
      <xdr:spPr bwMode="auto">
        <a:xfrm>
          <a:off x="8460546" y="331466"/>
          <a:ext cx="1203908" cy="11760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197391</xdr:colOff>
      <xdr:row>1</xdr:row>
      <xdr:rowOff>91847</xdr:rowOff>
    </xdr:from>
    <xdr:to>
      <xdr:col>18</xdr:col>
      <xdr:colOff>562488</xdr:colOff>
      <xdr:row>9</xdr:row>
      <xdr:rowOff>21393</xdr:rowOff>
    </xdr:to>
    <xdr:pic>
      <xdr:nvPicPr>
        <xdr:cNvPr id="13" name="Picture 10" descr="Medidor de humor do rosto irritado vermelho para o feliz emoji ...">
          <a:extLst>
            <a:ext uri="{FF2B5EF4-FFF2-40B4-BE49-F238E27FC236}">
              <a16:creationId xmlns:a16="http://schemas.microsoft.com/office/drawing/2014/main" id="{C5C1826A-34B3-4CAB-B096-7E0E7966C1E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backgroundRemoval t="9596" b="89899" l="60703" r="95687">
                      <a14:foregroundMark x1="72364" y1="30808" x2="66933" y2="20707"/>
                      <a14:foregroundMark x1="66933" y1="20707" x2="60703" y2="27778"/>
                      <a14:foregroundMark x1="60703" y1="27778" x2="64856" y2="45455"/>
                      <a14:foregroundMark x1="64856" y1="45455" x2="71086" y2="45960"/>
                      <a14:foregroundMark x1="71086" y1="45960" x2="66613" y2="29293"/>
                      <a14:foregroundMark x1="66613" y1="29293" x2="65335" y2="50000"/>
                      <a14:foregroundMark x1="65335" y1="50000" x2="66134" y2="53030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76017"/>
        <a:stretch/>
      </xdr:blipFill>
      <xdr:spPr bwMode="auto">
        <a:xfrm>
          <a:off x="10560591" y="274727"/>
          <a:ext cx="974697" cy="13925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85284</xdr:colOff>
      <xdr:row>1</xdr:row>
      <xdr:rowOff>53790</xdr:rowOff>
    </xdr:from>
    <xdr:to>
      <xdr:col>18</xdr:col>
      <xdr:colOff>427807</xdr:colOff>
      <xdr:row>6</xdr:row>
      <xdr:rowOff>177096</xdr:rowOff>
    </xdr:to>
    <xdr:sp macro="" textlink="">
      <xdr:nvSpPr>
        <xdr:cNvPr id="14" name="Retângulo 13">
          <a:extLst>
            <a:ext uri="{FF2B5EF4-FFF2-40B4-BE49-F238E27FC236}">
              <a16:creationId xmlns:a16="http://schemas.microsoft.com/office/drawing/2014/main" id="{C7C00E1F-5EDE-4308-9FF7-FA108551806A}"/>
            </a:ext>
          </a:extLst>
        </xdr:cNvPr>
        <xdr:cNvSpPr/>
      </xdr:nvSpPr>
      <xdr:spPr>
        <a:xfrm>
          <a:off x="10448484" y="236670"/>
          <a:ext cx="952123" cy="1037706"/>
        </a:xfrm>
        <a:prstGeom prst="rect">
          <a:avLst/>
        </a:prstGeom>
        <a:noFill/>
        <a:ln w="28575">
          <a:solidFill>
            <a:schemeClr val="bg1"/>
          </a:solidFill>
          <a:prstDash val="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pt-BR"/>
        </a:p>
      </xdr:txBody>
    </xdr:sp>
    <xdr:clientData/>
  </xdr:twoCellAnchor>
  <xdr:twoCellAnchor editAs="oneCell">
    <xdr:from>
      <xdr:col>15</xdr:col>
      <xdr:colOff>561282</xdr:colOff>
      <xdr:row>1</xdr:row>
      <xdr:rowOff>131046</xdr:rowOff>
    </xdr:from>
    <xdr:to>
      <xdr:col>17</xdr:col>
      <xdr:colOff>1499</xdr:colOff>
      <xdr:row>6</xdr:row>
      <xdr:rowOff>74946</xdr:rowOff>
    </xdr:to>
    <xdr:pic>
      <xdr:nvPicPr>
        <xdr:cNvPr id="15" name="Picture 10" descr="Medidor de humor do rosto irritado vermelho para o feliz emoji ...">
          <a:extLst>
            <a:ext uri="{FF2B5EF4-FFF2-40B4-BE49-F238E27FC236}">
              <a16:creationId xmlns:a16="http://schemas.microsoft.com/office/drawing/2014/main" id="{E05697F2-B3FC-4189-BB7D-DCB95A637E9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backgroundRemoval t="9596" b="89899" l="60703" r="95687">
                      <a14:foregroundMark x1="72364" y1="30808" x2="66933" y2="20707"/>
                      <a14:foregroundMark x1="66933" y1="20707" x2="60703" y2="27778"/>
                      <a14:foregroundMark x1="60703" y1="27778" x2="64856" y2="45455"/>
                      <a14:foregroundMark x1="64856" y1="45455" x2="71086" y2="45960"/>
                      <a14:foregroundMark x1="71086" y1="45960" x2="66613" y2="29293"/>
                      <a14:foregroundMark x1="66613" y1="29293" x2="65335" y2="50000"/>
                      <a14:foregroundMark x1="65335" y1="50000" x2="66134" y2="53030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57934" r="23878" b="30602"/>
        <a:stretch/>
      </xdr:blipFill>
      <xdr:spPr bwMode="auto">
        <a:xfrm>
          <a:off x="9705282" y="313926"/>
          <a:ext cx="659417" cy="858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419007</xdr:colOff>
      <xdr:row>8</xdr:row>
      <xdr:rowOff>68971</xdr:rowOff>
    </xdr:from>
    <xdr:to>
      <xdr:col>19</xdr:col>
      <xdr:colOff>297542</xdr:colOff>
      <xdr:row>18</xdr:row>
      <xdr:rowOff>76075</xdr:rowOff>
    </xdr:to>
    <xdr:sp macro="" textlink="">
      <xdr:nvSpPr>
        <xdr:cNvPr id="16" name="CaixaDeTexto 34">
          <a:extLst>
            <a:ext uri="{FF2B5EF4-FFF2-40B4-BE49-F238E27FC236}">
              <a16:creationId xmlns:a16="http://schemas.microsoft.com/office/drawing/2014/main" id="{446A0FAE-8E34-4884-9B20-9377671B9CC9}"/>
            </a:ext>
          </a:extLst>
        </xdr:cNvPr>
        <xdr:cNvSpPr txBox="1"/>
      </xdr:nvSpPr>
      <xdr:spPr>
        <a:xfrm>
          <a:off x="7734207" y="1532011"/>
          <a:ext cx="4145735" cy="1835904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ct val="150000"/>
            </a:lnSpc>
          </a:pPr>
          <a:r>
            <a:rPr lang="pt-BR" sz="1600">
              <a:solidFill>
                <a:schemeClr val="bg1"/>
              </a:solidFill>
              <a:latin typeface="Abadi" panose="020B0604020104020204" pitchFamily="34" charset="0"/>
            </a:rPr>
            <a:t>Você ainda pode nos ajudar a criar planilhas gratuitas. Que tal sugerir uma ideia de planilha grátis para Equipe Smart Planilhas? Assim avaliamos sua ideia e logo que feita você receberá em seu e-mail gratuitamente!</a:t>
          </a:r>
        </a:p>
      </xdr:txBody>
    </xdr:sp>
    <xdr:clientData/>
  </xdr:twoCellAnchor>
  <xdr:twoCellAnchor>
    <xdr:from>
      <xdr:col>14</xdr:col>
      <xdr:colOff>102998</xdr:colOff>
      <xdr:row>19</xdr:row>
      <xdr:rowOff>38793</xdr:rowOff>
    </xdr:from>
    <xdr:to>
      <xdr:col>18</xdr:col>
      <xdr:colOff>302821</xdr:colOff>
      <xdr:row>22</xdr:row>
      <xdr:rowOff>140448</xdr:rowOff>
    </xdr:to>
    <xdr:grpSp>
      <xdr:nvGrpSpPr>
        <xdr:cNvPr id="17" name="Agrupar 16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2B41881F-84F5-4D64-8752-964C011ABE4A}"/>
            </a:ext>
          </a:extLst>
        </xdr:cNvPr>
        <xdr:cNvGrpSpPr/>
      </xdr:nvGrpSpPr>
      <xdr:grpSpPr>
        <a:xfrm>
          <a:off x="8637398" y="3445381"/>
          <a:ext cx="2638223" cy="639538"/>
          <a:chOff x="8592574" y="3812934"/>
          <a:chExt cx="2638223" cy="639538"/>
        </a:xfrm>
      </xdr:grpSpPr>
      <xdr:sp macro="" textlink="">
        <xdr:nvSpPr>
          <xdr:cNvPr id="18" name="Retângulo: Cantos Arredondados 17">
            <a:extLst>
              <a:ext uri="{FF2B5EF4-FFF2-40B4-BE49-F238E27FC236}">
                <a16:creationId xmlns:a16="http://schemas.microsoft.com/office/drawing/2014/main" id="{CA55BF06-7656-4808-9800-4655E90B5BAB}"/>
              </a:ext>
            </a:extLst>
          </xdr:cNvPr>
          <xdr:cNvSpPr/>
        </xdr:nvSpPr>
        <xdr:spPr>
          <a:xfrm>
            <a:off x="8592574" y="3812934"/>
            <a:ext cx="2638223" cy="639538"/>
          </a:xfrm>
          <a:prstGeom prst="roundRect">
            <a:avLst/>
          </a:prstGeom>
          <a:solidFill>
            <a:srgbClr val="2D8053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pt-BR" sz="1400" b="1"/>
              <a:t>TENHO UMA IDEIA</a:t>
            </a:r>
          </a:p>
        </xdr:txBody>
      </xdr:sp>
      <xdr:pic>
        <xdr:nvPicPr>
          <xdr:cNvPr id="19" name="Gráfico 27" descr="Lâmpada">
            <a:extLst>
              <a:ext uri="{FF2B5EF4-FFF2-40B4-BE49-F238E27FC236}">
                <a16:creationId xmlns:a16="http://schemas.microsoft.com/office/drawing/2014/main" id="{3D869582-4E50-473B-A76A-76AD8F0DA57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12"/>
              </a:ext>
            </a:extLst>
          </a:blip>
          <a:stretch>
            <a:fillRect/>
          </a:stretch>
        </xdr:blipFill>
        <xdr:spPr>
          <a:xfrm>
            <a:off x="8778806" y="3986995"/>
            <a:ext cx="316874" cy="316874"/>
          </a:xfrm>
          <a:prstGeom prst="rect">
            <a:avLst/>
          </a:prstGeom>
        </xdr:spPr>
      </xdr:pic>
    </xdr:grpSp>
    <xdr:clientData/>
  </xdr:twoCellAnchor>
  <xdr:twoCellAnchor editAs="oneCell">
    <xdr:from>
      <xdr:col>8</xdr:col>
      <xdr:colOff>331862</xdr:colOff>
      <xdr:row>28</xdr:row>
      <xdr:rowOff>91848</xdr:rowOff>
    </xdr:from>
    <xdr:to>
      <xdr:col>9</xdr:col>
      <xdr:colOff>116542</xdr:colOff>
      <xdr:row>31</xdr:row>
      <xdr:rowOff>107570</xdr:rowOff>
    </xdr:to>
    <xdr:pic>
      <xdr:nvPicPr>
        <xdr:cNvPr id="20" name="Picture 10" descr="Medidor de humor do rosto irritado vermelho para o feliz emoji ...">
          <a:extLst>
            <a:ext uri="{FF2B5EF4-FFF2-40B4-BE49-F238E27FC236}">
              <a16:creationId xmlns:a16="http://schemas.microsoft.com/office/drawing/2014/main" id="{6C330839-2EE4-4076-9A0B-A2D34658544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 cstate="print"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backgroundRemoval t="9596" b="89899" l="60703" r="95687">
                      <a14:foregroundMark x1="72364" y1="30808" x2="66933" y2="20707"/>
                      <a14:foregroundMark x1="66933" y1="20707" x2="60703" y2="27778"/>
                      <a14:foregroundMark x1="60703" y1="27778" x2="64856" y2="45455"/>
                      <a14:foregroundMark x1="64856" y1="45455" x2="71086" y2="45960"/>
                      <a14:foregroundMark x1="71086" y1="45960" x2="66613" y2="29293"/>
                      <a14:foregroundMark x1="66613" y1="29293" x2="65335" y2="50000"/>
                      <a14:foregroundMark x1="65335" y1="50000" x2="66134" y2="53030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76017"/>
        <a:stretch/>
      </xdr:blipFill>
      <xdr:spPr bwMode="auto">
        <a:xfrm>
          <a:off x="5208662" y="5212488"/>
          <a:ext cx="394280" cy="5643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134470</xdr:colOff>
      <xdr:row>27</xdr:row>
      <xdr:rowOff>71716</xdr:rowOff>
    </xdr:from>
    <xdr:to>
      <xdr:col>19</xdr:col>
      <xdr:colOff>224666</xdr:colOff>
      <xdr:row>29</xdr:row>
      <xdr:rowOff>78549</xdr:rowOff>
    </xdr:to>
    <xdr:sp macro="" textlink="">
      <xdr:nvSpPr>
        <xdr:cNvPr id="21" name="CaixaDeTexto 18">
          <a:extLst>
            <a:ext uri="{FF2B5EF4-FFF2-40B4-BE49-F238E27FC236}">
              <a16:creationId xmlns:a16="http://schemas.microsoft.com/office/drawing/2014/main" id="{E93AB721-D912-4FE6-ACE4-5438543E240C}"/>
            </a:ext>
          </a:extLst>
        </xdr:cNvPr>
        <xdr:cNvSpPr txBox="1"/>
      </xdr:nvSpPr>
      <xdr:spPr>
        <a:xfrm>
          <a:off x="8059270" y="5009476"/>
          <a:ext cx="3747796" cy="372593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ct val="150000"/>
            </a:lnSpc>
          </a:pPr>
          <a:r>
            <a:rPr lang="pt-BR" sz="1400">
              <a:solidFill>
                <a:schemeClr val="bg1"/>
              </a:solidFill>
              <a:latin typeface="Abadi" panose="020B0604020104020204" pitchFamily="34" charset="0"/>
            </a:rPr>
            <a:t>Colaborar com:</a:t>
          </a:r>
        </a:p>
      </xdr:txBody>
    </xdr:sp>
    <xdr:clientData/>
  </xdr:twoCellAnchor>
  <xdr:twoCellAnchor>
    <xdr:from>
      <xdr:col>13</xdr:col>
      <xdr:colOff>259976</xdr:colOff>
      <xdr:row>30</xdr:row>
      <xdr:rowOff>152400</xdr:rowOff>
    </xdr:from>
    <xdr:to>
      <xdr:col>19</xdr:col>
      <xdr:colOff>17929</xdr:colOff>
      <xdr:row>33</xdr:row>
      <xdr:rowOff>12008</xdr:rowOff>
    </xdr:to>
    <xdr:sp macro="" textlink="">
      <xdr:nvSpPr>
        <xdr:cNvPr id="22" name="Retângulo: Cantos Arredondados 21">
          <a:extLst>
            <a:ext uri="{FF2B5EF4-FFF2-40B4-BE49-F238E27FC236}">
              <a16:creationId xmlns:a16="http://schemas.microsoft.com/office/drawing/2014/main" id="{90EB2E19-4A2B-4483-912A-33E1EBCAE5DA}"/>
            </a:ext>
          </a:extLst>
        </xdr:cNvPr>
        <xdr:cNvSpPr/>
      </xdr:nvSpPr>
      <xdr:spPr>
        <a:xfrm>
          <a:off x="8184776" y="5638800"/>
          <a:ext cx="3415553" cy="408248"/>
        </a:xfrm>
        <a:prstGeom prst="roundRect">
          <a:avLst/>
        </a:prstGeom>
        <a:solidFill>
          <a:srgbClr val="2D8053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sz="1400" b="0"/>
            <a:t>CPF:</a:t>
          </a:r>
          <a:r>
            <a:rPr lang="pt-BR" sz="1400" b="0" baseline="0"/>
            <a:t> 384.929.288-67</a:t>
          </a:r>
          <a:endParaRPr lang="pt-BR" sz="1400" b="0"/>
        </a:p>
      </xdr:txBody>
    </xdr:sp>
    <xdr:clientData/>
  </xdr:twoCellAnchor>
  <xdr:twoCellAnchor>
    <xdr:from>
      <xdr:col>13</xdr:col>
      <xdr:colOff>259977</xdr:colOff>
      <xdr:row>29</xdr:row>
      <xdr:rowOff>116542</xdr:rowOff>
    </xdr:from>
    <xdr:to>
      <xdr:col>14</xdr:col>
      <xdr:colOff>439271</xdr:colOff>
      <xdr:row>31</xdr:row>
      <xdr:rowOff>116541</xdr:rowOff>
    </xdr:to>
    <xdr:sp macro="" textlink="">
      <xdr:nvSpPr>
        <xdr:cNvPr id="23" name="CaixaDeTexto 22">
          <a:extLst>
            <a:ext uri="{FF2B5EF4-FFF2-40B4-BE49-F238E27FC236}">
              <a16:creationId xmlns:a16="http://schemas.microsoft.com/office/drawing/2014/main" id="{21557880-9AEC-46C2-B089-39001516332B}"/>
            </a:ext>
          </a:extLst>
        </xdr:cNvPr>
        <xdr:cNvSpPr txBox="1"/>
      </xdr:nvSpPr>
      <xdr:spPr>
        <a:xfrm>
          <a:off x="8184777" y="5420062"/>
          <a:ext cx="788894" cy="36575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>
              <a:solidFill>
                <a:schemeClr val="bg1"/>
              </a:solidFill>
              <a:latin typeface="Aharoni" panose="02010803020104030203" pitchFamily="2" charset="-79"/>
              <a:cs typeface="Aharoni" panose="02010803020104030203" pitchFamily="2" charset="-79"/>
            </a:rPr>
            <a:t>PIX</a:t>
          </a:r>
        </a:p>
      </xdr:txBody>
    </xdr:sp>
    <xdr:clientData/>
  </xdr:twoCellAnchor>
  <xdr:twoCellAnchor>
    <xdr:from>
      <xdr:col>18</xdr:col>
      <xdr:colOff>582706</xdr:colOff>
      <xdr:row>31</xdr:row>
      <xdr:rowOff>89647</xdr:rowOff>
    </xdr:from>
    <xdr:to>
      <xdr:col>21</xdr:col>
      <xdr:colOff>0</xdr:colOff>
      <xdr:row>33</xdr:row>
      <xdr:rowOff>89647</xdr:rowOff>
    </xdr:to>
    <xdr:sp macro="" textlink="">
      <xdr:nvSpPr>
        <xdr:cNvPr id="24" name="CaixaDeTexto 23">
          <a:extLst>
            <a:ext uri="{FF2B5EF4-FFF2-40B4-BE49-F238E27FC236}">
              <a16:creationId xmlns:a16="http://schemas.microsoft.com/office/drawing/2014/main" id="{777E5F02-2726-41FE-9069-1CCE2B814216}"/>
            </a:ext>
          </a:extLst>
        </xdr:cNvPr>
        <xdr:cNvSpPr txBox="1"/>
      </xdr:nvSpPr>
      <xdr:spPr>
        <a:xfrm>
          <a:off x="11555506" y="5758927"/>
          <a:ext cx="743174" cy="3657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>
              <a:solidFill>
                <a:schemeClr val="bg1"/>
              </a:solidFill>
              <a:latin typeface="Aharoni" panose="02010803020104030203" pitchFamily="2" charset="-79"/>
              <a:cs typeface="Aharoni" panose="02010803020104030203" pitchFamily="2" charset="-79"/>
            </a:rPr>
            <a:t>OU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atag/OneDrive/&#193;rea%20de%20Trabalho/CLIENTES-JOBS/FELIPE-SMART%20PLANILHAS/ENVIAR/enviar%20finalizado/CONTROLE%20DE%20PATRIM&#212;NIO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atag/OneDrive/&#193;rea%20de%20Trabalho/CLIENTES-JOBS/FELIPE-SMART%20PLANILHAS/ENVIAR/PLANEJAMENTO%20TRIBUT&#193;RIO/FINALIZAR/PLAN.TRIBUT&#193;RIO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Planilha-de-Controle-de-Validade%20(1)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Rieper/Consultoria%20Guia%20do%20Excel/YF%20Automa&#231;&#227;o/Planilha/Sistema%20de%20gera&#231;&#227;o%20de%20listas%20de%20etiquetas%202.1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Rieper/Consultoria%20Guia%20do%20Excel/Andreia%20Harter/AP16%20-%20MSDS%20Sheet%20for%20MSDS%20Solutions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U"/>
      <sheetName val="INSTRUÇÕES"/>
      <sheetName val="CADASTRO"/>
      <sheetName val="INVENTÁRIO"/>
      <sheetName val="CÁLCULO_DEPRECIAÇÃO"/>
      <sheetName val="B_DADOS"/>
    </sheetNames>
    <sheetDataSet>
      <sheetData sheetId="0"/>
      <sheetData sheetId="1"/>
      <sheetData sheetId="2"/>
      <sheetData sheetId="3"/>
      <sheetData sheetId="4"/>
      <sheetData sheetId="5">
        <row r="6">
          <cell r="D6" t="str">
            <v>Automóvel</v>
          </cell>
          <cell r="F6" t="str">
            <v>Edificações</v>
          </cell>
          <cell r="J6" t="str">
            <v>Recursos Humanos</v>
          </cell>
          <cell r="L6" t="str">
            <v>Novo</v>
          </cell>
          <cell r="N6" t="str">
            <v>Entrada</v>
          </cell>
        </row>
        <row r="7">
          <cell r="D7" t="str">
            <v>Computador</v>
          </cell>
          <cell r="F7" t="str">
            <v>Máquinas e Equipamentos</v>
          </cell>
          <cell r="J7" t="str">
            <v>Financeiro</v>
          </cell>
          <cell r="L7" t="str">
            <v>Ótimo</v>
          </cell>
          <cell r="N7" t="str">
            <v>Saída</v>
          </cell>
        </row>
        <row r="8">
          <cell r="D8" t="str">
            <v>Sala comercial</v>
          </cell>
          <cell r="F8" t="str">
            <v>Instalações</v>
          </cell>
          <cell r="J8" t="str">
            <v>Tec. Informação</v>
          </cell>
          <cell r="L8" t="str">
            <v>Bom</v>
          </cell>
          <cell r="N8" t="str">
            <v>Perda</v>
          </cell>
        </row>
        <row r="9">
          <cell r="D9" t="str">
            <v>Moto</v>
          </cell>
          <cell r="F9" t="str">
            <v>Móveis e Utensílios</v>
          </cell>
          <cell r="J9" t="str">
            <v>Diretoria</v>
          </cell>
          <cell r="L9" t="str">
            <v>Regular</v>
          </cell>
        </row>
        <row r="10">
          <cell r="D10" t="str">
            <v>Calculadoras</v>
          </cell>
          <cell r="F10" t="str">
            <v>Veículos</v>
          </cell>
          <cell r="J10" t="str">
            <v>Almoxarifado</v>
          </cell>
          <cell r="L10" t="str">
            <v>Péssimo</v>
          </cell>
        </row>
        <row r="11">
          <cell r="D11" t="str">
            <v>Cadeiras</v>
          </cell>
          <cell r="F11" t="str">
            <v>Computadores e Periféricos</v>
          </cell>
          <cell r="J11" t="str">
            <v>Logística</v>
          </cell>
        </row>
        <row r="12">
          <cell r="D12" t="str">
            <v>Mesas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U"/>
      <sheetName val="INSTRUÇÕES"/>
      <sheetName val="CADASTRO"/>
      <sheetName val="JANEIRO"/>
      <sheetName val="FEVEREIRO"/>
      <sheetName val="MARÇO"/>
      <sheetName val="ABRIL"/>
      <sheetName val="MAIO"/>
      <sheetName val="JUNHO"/>
      <sheetName val="JULHO"/>
      <sheetName val="AGOSTO"/>
      <sheetName val="SETEMBRO"/>
      <sheetName val="OUTUBRO"/>
      <sheetName val="NOVEMBRO"/>
      <sheetName val="DEZEMBRO"/>
      <sheetName val="RESULTADO"/>
      <sheetName val="COMPARATIVO"/>
      <sheetName val="CONSOLIDADO"/>
      <sheetName val="TABEL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n1"/>
      <sheetName val="Sobre"/>
    </sheetNames>
    <sheetDataSet>
      <sheetData sheetId="0"/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u"/>
      <sheetName val="Layout"/>
      <sheetName val="Configurações"/>
      <sheetName val="Lista do cliente (2)"/>
      <sheetName val="Cadastro de layouts"/>
      <sheetName val="Base de dados"/>
      <sheetName val="Lista do clien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">
          <cell r="I1" t="str">
            <v>Empresa</v>
          </cell>
        </row>
        <row r="2">
          <cell r="I2" t="str">
            <v>RENNER</v>
          </cell>
        </row>
        <row r="3">
          <cell r="I3" t="str">
            <v>Teste2</v>
          </cell>
        </row>
        <row r="4">
          <cell r="I4" t="str">
            <v>BlueTextil</v>
          </cell>
        </row>
      </sheetData>
      <sheetData sheetId="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u"/>
      <sheetName val="Revisão 4"/>
      <sheetName val="Impressão"/>
      <sheetName val="Pictogramas"/>
      <sheetName val="Frases de perigo"/>
      <sheetName val="Frases de precaução"/>
      <sheetName val="Frases complementares"/>
      <sheetName val="Cadastro da etiqueta"/>
      <sheetName val="Cadastro de empresas"/>
      <sheetName val="Cálculos"/>
    </sheetNames>
    <sheetDataSet>
      <sheetData sheetId="0" refreshError="1"/>
      <sheetData sheetId="1" refreshError="1"/>
      <sheetData sheetId="2" refreshError="1"/>
      <sheetData sheetId="3">
        <row r="1">
          <cell r="A1" t="str">
            <v>Código</v>
          </cell>
          <cell r="B1" t="str">
            <v>Pictograma</v>
          </cell>
        </row>
        <row r="2">
          <cell r="A2" t="str">
            <v>Alerta</v>
          </cell>
        </row>
        <row r="3">
          <cell r="A3" t="str">
            <v>Aquático</v>
          </cell>
        </row>
        <row r="4">
          <cell r="A4" t="str">
            <v>Corrosivo</v>
          </cell>
        </row>
        <row r="5">
          <cell r="A5" t="str">
            <v>Explosivo</v>
          </cell>
        </row>
        <row r="6">
          <cell r="A6" t="str">
            <v>Gás</v>
          </cell>
        </row>
        <row r="7">
          <cell r="A7" t="str">
            <v>Inflamável</v>
          </cell>
        </row>
        <row r="8">
          <cell r="A8" t="str">
            <v>Oxidantes</v>
          </cell>
        </row>
        <row r="9">
          <cell r="A9" t="str">
            <v>Sensib.</v>
          </cell>
        </row>
        <row r="10">
          <cell r="A10" t="str">
            <v>Sól. Infl.</v>
          </cell>
        </row>
        <row r="11">
          <cell r="A11" t="str">
            <v>Tóxico</v>
          </cell>
        </row>
        <row r="12">
          <cell r="A12" t="str">
            <v>Vazio</v>
          </cell>
        </row>
      </sheetData>
      <sheetData sheetId="4">
        <row r="1">
          <cell r="A1" t="str">
            <v>Código</v>
          </cell>
        </row>
        <row r="2">
          <cell r="A2" t="str">
            <v>H200</v>
          </cell>
        </row>
        <row r="3">
          <cell r="A3" t="str">
            <v>H201</v>
          </cell>
        </row>
        <row r="4">
          <cell r="A4" t="str">
            <v>H202</v>
          </cell>
        </row>
        <row r="5">
          <cell r="A5" t="str">
            <v>H203</v>
          </cell>
        </row>
        <row r="6">
          <cell r="A6" t="str">
            <v>H204</v>
          </cell>
        </row>
        <row r="7">
          <cell r="A7" t="str">
            <v>H205</v>
          </cell>
        </row>
        <row r="8">
          <cell r="A8" t="str">
            <v>H220</v>
          </cell>
        </row>
        <row r="9">
          <cell r="A9" t="str">
            <v>H221</v>
          </cell>
        </row>
        <row r="10">
          <cell r="A10" t="str">
            <v>H222</v>
          </cell>
        </row>
        <row r="11">
          <cell r="A11" t="str">
            <v>H223</v>
          </cell>
        </row>
        <row r="12">
          <cell r="A12" t="str">
            <v>H224</v>
          </cell>
        </row>
        <row r="13">
          <cell r="A13" t="str">
            <v>H225</v>
          </cell>
        </row>
        <row r="14">
          <cell r="A14" t="str">
            <v>H226</v>
          </cell>
        </row>
        <row r="15">
          <cell r="A15" t="str">
            <v>H227</v>
          </cell>
        </row>
        <row r="16">
          <cell r="A16" t="str">
            <v>H228</v>
          </cell>
        </row>
        <row r="17">
          <cell r="A17" t="str">
            <v>H229</v>
          </cell>
        </row>
        <row r="18">
          <cell r="A18" t="str">
            <v>H230</v>
          </cell>
        </row>
        <row r="19">
          <cell r="A19" t="str">
            <v>H231</v>
          </cell>
        </row>
        <row r="20">
          <cell r="A20" t="str">
            <v>H240</v>
          </cell>
        </row>
        <row r="21">
          <cell r="A21" t="str">
            <v>H241</v>
          </cell>
        </row>
        <row r="22">
          <cell r="A22" t="str">
            <v>H242</v>
          </cell>
        </row>
        <row r="23">
          <cell r="A23" t="str">
            <v>H250</v>
          </cell>
        </row>
        <row r="24">
          <cell r="A24" t="str">
            <v>H251</v>
          </cell>
        </row>
        <row r="25">
          <cell r="A25" t="str">
            <v>H252</v>
          </cell>
        </row>
        <row r="26">
          <cell r="A26" t="str">
            <v xml:space="preserve">H260 </v>
          </cell>
        </row>
        <row r="27">
          <cell r="A27" t="str">
            <v>H261</v>
          </cell>
        </row>
        <row r="28">
          <cell r="A28" t="str">
            <v>H270</v>
          </cell>
        </row>
        <row r="29">
          <cell r="A29" t="str">
            <v>H271</v>
          </cell>
        </row>
        <row r="30">
          <cell r="A30" t="str">
            <v>H272</v>
          </cell>
        </row>
        <row r="31">
          <cell r="A31" t="str">
            <v>H280</v>
          </cell>
        </row>
        <row r="32">
          <cell r="A32" t="str">
            <v>H281</v>
          </cell>
        </row>
        <row r="33">
          <cell r="A33" t="str">
            <v>H290</v>
          </cell>
        </row>
        <row r="34">
          <cell r="A34" t="str">
            <v>H300</v>
          </cell>
        </row>
        <row r="35">
          <cell r="A35" t="str">
            <v>H301</v>
          </cell>
        </row>
        <row r="36">
          <cell r="A36" t="str">
            <v>H302</v>
          </cell>
        </row>
        <row r="37">
          <cell r="A37" t="str">
            <v>H303</v>
          </cell>
        </row>
        <row r="38">
          <cell r="A38" t="str">
            <v>H304</v>
          </cell>
        </row>
        <row r="39">
          <cell r="A39" t="str">
            <v>H305</v>
          </cell>
        </row>
        <row r="40">
          <cell r="A40" t="str">
            <v>H310</v>
          </cell>
        </row>
        <row r="41">
          <cell r="A41" t="str">
            <v>H311</v>
          </cell>
        </row>
        <row r="42">
          <cell r="A42" t="str">
            <v>H312</v>
          </cell>
        </row>
        <row r="43">
          <cell r="A43" t="str">
            <v>H313</v>
          </cell>
        </row>
        <row r="44">
          <cell r="A44" t="str">
            <v>H314</v>
          </cell>
        </row>
        <row r="45">
          <cell r="A45" t="str">
            <v>H315</v>
          </cell>
        </row>
        <row r="46">
          <cell r="A46" t="str">
            <v>H316</v>
          </cell>
        </row>
        <row r="47">
          <cell r="A47" t="str">
            <v>H317</v>
          </cell>
        </row>
        <row r="48">
          <cell r="A48" t="str">
            <v>H318</v>
          </cell>
        </row>
        <row r="49">
          <cell r="A49" t="str">
            <v>H319</v>
          </cell>
        </row>
        <row r="50">
          <cell r="A50" t="str">
            <v>H320</v>
          </cell>
        </row>
        <row r="51">
          <cell r="A51" t="str">
            <v>H330</v>
          </cell>
        </row>
        <row r="52">
          <cell r="A52" t="str">
            <v>H331</v>
          </cell>
        </row>
        <row r="53">
          <cell r="A53" t="str">
            <v>H332</v>
          </cell>
        </row>
        <row r="54">
          <cell r="A54" t="str">
            <v>H333</v>
          </cell>
        </row>
        <row r="55">
          <cell r="A55" t="str">
            <v>H334</v>
          </cell>
        </row>
        <row r="56">
          <cell r="A56" t="str">
            <v>H335</v>
          </cell>
        </row>
        <row r="57">
          <cell r="A57" t="str">
            <v>H336</v>
          </cell>
        </row>
        <row r="58">
          <cell r="A58" t="str">
            <v>H340</v>
          </cell>
        </row>
        <row r="59">
          <cell r="A59" t="str">
            <v>H341</v>
          </cell>
        </row>
        <row r="60">
          <cell r="A60" t="str">
            <v>H350</v>
          </cell>
        </row>
        <row r="61">
          <cell r="A61" t="str">
            <v>H351</v>
          </cell>
        </row>
        <row r="62">
          <cell r="A62" t="str">
            <v>H360</v>
          </cell>
        </row>
        <row r="63">
          <cell r="A63" t="str">
            <v>h361</v>
          </cell>
        </row>
        <row r="64">
          <cell r="A64" t="str">
            <v>H362</v>
          </cell>
        </row>
        <row r="65">
          <cell r="A65" t="str">
            <v>H370</v>
          </cell>
        </row>
        <row r="66">
          <cell r="A66" t="str">
            <v>H371</v>
          </cell>
        </row>
        <row r="67">
          <cell r="A67" t="str">
            <v>H372</v>
          </cell>
        </row>
        <row r="68">
          <cell r="A68" t="str">
            <v>H373</v>
          </cell>
        </row>
        <row r="69">
          <cell r="A69" t="str">
            <v>H400</v>
          </cell>
        </row>
        <row r="70">
          <cell r="A70" t="str">
            <v>H401</v>
          </cell>
        </row>
        <row r="71">
          <cell r="A71" t="str">
            <v>H402</v>
          </cell>
        </row>
        <row r="72">
          <cell r="A72" t="str">
            <v>H410</v>
          </cell>
        </row>
        <row r="73">
          <cell r="A73" t="str">
            <v>H411</v>
          </cell>
        </row>
        <row r="74">
          <cell r="A74" t="str">
            <v>H412</v>
          </cell>
        </row>
        <row r="75">
          <cell r="A75" t="str">
            <v>H413</v>
          </cell>
        </row>
        <row r="76">
          <cell r="A76" t="str">
            <v>H420</v>
          </cell>
        </row>
      </sheetData>
      <sheetData sheetId="5">
        <row r="1">
          <cell r="A1" t="str">
            <v>Código</v>
          </cell>
        </row>
        <row r="2">
          <cell r="A2" t="str">
            <v>P101</v>
          </cell>
        </row>
        <row r="3">
          <cell r="A3" t="str">
            <v>P102</v>
          </cell>
        </row>
        <row r="4">
          <cell r="A4" t="str">
            <v>P103</v>
          </cell>
        </row>
        <row r="5">
          <cell r="A5" t="str">
            <v>P201</v>
          </cell>
        </row>
        <row r="6">
          <cell r="A6" t="str">
            <v>P202</v>
          </cell>
        </row>
        <row r="7">
          <cell r="A7" t="str">
            <v>P210</v>
          </cell>
        </row>
        <row r="8">
          <cell r="A8" t="str">
            <v>P211</v>
          </cell>
        </row>
        <row r="9">
          <cell r="A9" t="str">
            <v>P220</v>
          </cell>
        </row>
        <row r="10">
          <cell r="A10" t="str">
            <v>P221</v>
          </cell>
        </row>
        <row r="11">
          <cell r="A11" t="str">
            <v>P222</v>
          </cell>
        </row>
        <row r="12">
          <cell r="A12" t="str">
            <v>P223</v>
          </cell>
        </row>
        <row r="13">
          <cell r="A13" t="str">
            <v>P230</v>
          </cell>
        </row>
        <row r="14">
          <cell r="A14" t="str">
            <v>P231</v>
          </cell>
        </row>
        <row r="15">
          <cell r="A15" t="str">
            <v>P231 + P232</v>
          </cell>
        </row>
        <row r="16">
          <cell r="A16" t="str">
            <v>P232</v>
          </cell>
        </row>
        <row r="17">
          <cell r="A17" t="str">
            <v>P233</v>
          </cell>
        </row>
        <row r="18">
          <cell r="A18" t="str">
            <v>P234</v>
          </cell>
        </row>
        <row r="19">
          <cell r="A19" t="str">
            <v>P235</v>
          </cell>
        </row>
        <row r="20">
          <cell r="A20" t="str">
            <v>P235 + P410</v>
          </cell>
        </row>
        <row r="21">
          <cell r="A21" t="str">
            <v>P240</v>
          </cell>
        </row>
        <row r="22">
          <cell r="A22" t="str">
            <v>P241</v>
          </cell>
        </row>
        <row r="23">
          <cell r="A23" t="str">
            <v>P242</v>
          </cell>
        </row>
        <row r="24">
          <cell r="A24" t="str">
            <v>P243</v>
          </cell>
        </row>
        <row r="25">
          <cell r="A25" t="str">
            <v>P244</v>
          </cell>
        </row>
        <row r="26">
          <cell r="A26" t="str">
            <v>P250</v>
          </cell>
        </row>
        <row r="27">
          <cell r="A27" t="str">
            <v>P251</v>
          </cell>
        </row>
        <row r="28">
          <cell r="A28" t="str">
            <v>P260</v>
          </cell>
        </row>
        <row r="29">
          <cell r="A29" t="str">
            <v>P261</v>
          </cell>
        </row>
        <row r="30">
          <cell r="A30" t="str">
            <v>P262</v>
          </cell>
        </row>
        <row r="31">
          <cell r="A31" t="str">
            <v>P263</v>
          </cell>
        </row>
        <row r="32">
          <cell r="A32" t="str">
            <v>P264</v>
          </cell>
        </row>
        <row r="33">
          <cell r="A33" t="str">
            <v>P270</v>
          </cell>
        </row>
        <row r="34">
          <cell r="A34" t="str">
            <v>P271</v>
          </cell>
        </row>
        <row r="35">
          <cell r="A35" t="str">
            <v>P272</v>
          </cell>
        </row>
        <row r="36">
          <cell r="A36" t="str">
            <v>P273</v>
          </cell>
        </row>
        <row r="37">
          <cell r="A37" t="str">
            <v>P280</v>
          </cell>
        </row>
        <row r="38">
          <cell r="A38" t="str">
            <v>P282</v>
          </cell>
        </row>
        <row r="39">
          <cell r="A39" t="str">
            <v>P283</v>
          </cell>
        </row>
        <row r="40">
          <cell r="A40" t="str">
            <v>P284</v>
          </cell>
        </row>
        <row r="41">
          <cell r="A41" t="str">
            <v>P301</v>
          </cell>
        </row>
        <row r="42">
          <cell r="A42" t="str">
            <v>P302</v>
          </cell>
        </row>
        <row r="43">
          <cell r="A43" t="str">
            <v>P303</v>
          </cell>
        </row>
        <row r="44">
          <cell r="A44" t="str">
            <v>P304</v>
          </cell>
        </row>
        <row r="45">
          <cell r="A45" t="str">
            <v>P305</v>
          </cell>
        </row>
        <row r="46">
          <cell r="A46" t="str">
            <v>P306</v>
          </cell>
        </row>
        <row r="47">
          <cell r="A47" t="str">
            <v>P307</v>
          </cell>
        </row>
        <row r="48">
          <cell r="A48" t="str">
            <v>P308</v>
          </cell>
        </row>
        <row r="49">
          <cell r="A49" t="str">
            <v>P310</v>
          </cell>
        </row>
        <row r="50">
          <cell r="A50" t="str">
            <v>P311</v>
          </cell>
        </row>
        <row r="51">
          <cell r="A51" t="str">
            <v>P312</v>
          </cell>
        </row>
        <row r="52">
          <cell r="A52" t="str">
            <v>P313</v>
          </cell>
        </row>
        <row r="53">
          <cell r="A53" t="str">
            <v>P314</v>
          </cell>
        </row>
        <row r="54">
          <cell r="A54" t="str">
            <v>P315</v>
          </cell>
        </row>
        <row r="55">
          <cell r="A55" t="str">
            <v>P320</v>
          </cell>
        </row>
        <row r="56">
          <cell r="A56" t="str">
            <v>P321</v>
          </cell>
        </row>
        <row r="57">
          <cell r="A57" t="str">
            <v>P330</v>
          </cell>
        </row>
        <row r="58">
          <cell r="A58" t="str">
            <v>P331</v>
          </cell>
        </row>
        <row r="59">
          <cell r="A59" t="str">
            <v>P332</v>
          </cell>
        </row>
        <row r="60">
          <cell r="A60" t="str">
            <v>P333</v>
          </cell>
        </row>
        <row r="61">
          <cell r="A61" t="str">
            <v>P333 + P313</v>
          </cell>
        </row>
        <row r="62">
          <cell r="A62" t="str">
            <v>P334</v>
          </cell>
        </row>
        <row r="63">
          <cell r="A63" t="str">
            <v>P335</v>
          </cell>
        </row>
        <row r="64">
          <cell r="A64" t="str">
            <v>P335 + P334</v>
          </cell>
        </row>
        <row r="65">
          <cell r="A65" t="str">
            <v>P336</v>
          </cell>
        </row>
        <row r="66">
          <cell r="A66" t="str">
            <v>P337</v>
          </cell>
        </row>
        <row r="67">
          <cell r="A67" t="str">
            <v xml:space="preserve">P337 + P313 </v>
          </cell>
        </row>
        <row r="68">
          <cell r="A68" t="str">
            <v>P342 + P311</v>
          </cell>
        </row>
        <row r="69">
          <cell r="A69" t="str">
            <v>P361 + P364</v>
          </cell>
        </row>
        <row r="70">
          <cell r="A70" t="str">
            <v>P370 + P376</v>
          </cell>
        </row>
        <row r="71">
          <cell r="A71" t="str">
            <v>P370 + P378</v>
          </cell>
        </row>
        <row r="72">
          <cell r="A72" t="str">
            <v>P370 + P380</v>
          </cell>
        </row>
        <row r="73">
          <cell r="A73" t="str">
            <v>P370 + P380 + P375</v>
          </cell>
        </row>
        <row r="74">
          <cell r="A74" t="str">
            <v>P371 + P380 + P375</v>
          </cell>
        </row>
        <row r="75">
          <cell r="A75" t="str">
            <v>P402 + P404</v>
          </cell>
        </row>
        <row r="76">
          <cell r="A76" t="str">
            <v>P403 + P233</v>
          </cell>
        </row>
        <row r="77">
          <cell r="A77" t="str">
            <v>P403 + P235</v>
          </cell>
        </row>
        <row r="78">
          <cell r="A78" t="str">
            <v>P407</v>
          </cell>
        </row>
        <row r="79">
          <cell r="A79" t="str">
            <v>P410</v>
          </cell>
        </row>
        <row r="80">
          <cell r="A80" t="str">
            <v>P410 + P403</v>
          </cell>
        </row>
        <row r="81">
          <cell r="A81" t="str">
            <v>P410 + P412</v>
          </cell>
        </row>
        <row r="82">
          <cell r="A82" t="str">
            <v>P411</v>
          </cell>
        </row>
        <row r="83">
          <cell r="A83" t="str">
            <v>P411 + P235</v>
          </cell>
        </row>
        <row r="84">
          <cell r="A84" t="str">
            <v>P412</v>
          </cell>
        </row>
        <row r="85">
          <cell r="A85" t="str">
            <v>P413</v>
          </cell>
        </row>
        <row r="86">
          <cell r="A86" t="str">
            <v>P420</v>
          </cell>
        </row>
        <row r="87">
          <cell r="A87" t="str">
            <v>P422</v>
          </cell>
        </row>
        <row r="88">
          <cell r="A88" t="str">
            <v>P501</v>
          </cell>
        </row>
        <row r="89">
          <cell r="A89" t="str">
            <v>P502</v>
          </cell>
        </row>
      </sheetData>
      <sheetData sheetId="6">
        <row r="1">
          <cell r="A1" t="str">
            <v>Código</v>
          </cell>
        </row>
        <row r="2">
          <cell r="A2" t="str">
            <v>EUH 001</v>
          </cell>
        </row>
        <row r="3">
          <cell r="A3" t="str">
            <v>EUH 006</v>
          </cell>
        </row>
        <row r="4">
          <cell r="A4" t="str">
            <v>EUH 014</v>
          </cell>
        </row>
        <row r="5">
          <cell r="A5" t="str">
            <v>EUH 018</v>
          </cell>
        </row>
        <row r="6">
          <cell r="A6" t="str">
            <v>EUH 019</v>
          </cell>
        </row>
        <row r="7">
          <cell r="A7" t="str">
            <v>EUH 044</v>
          </cell>
        </row>
        <row r="8">
          <cell r="A8" t="str">
            <v>EUH 029</v>
          </cell>
        </row>
        <row r="9">
          <cell r="A9" t="str">
            <v>EUH 031</v>
          </cell>
        </row>
        <row r="10">
          <cell r="A10" t="str">
            <v>EUH 032</v>
          </cell>
        </row>
        <row r="11">
          <cell r="A11" t="str">
            <v>EUH 066</v>
          </cell>
        </row>
        <row r="12">
          <cell r="A12" t="str">
            <v>EUH 070</v>
          </cell>
        </row>
        <row r="13">
          <cell r="A13" t="str">
            <v>EUH 071</v>
          </cell>
        </row>
        <row r="14">
          <cell r="A14" t="str">
            <v>EUH 059</v>
          </cell>
        </row>
        <row r="15">
          <cell r="A15" t="str">
            <v>EUH 201/201A</v>
          </cell>
        </row>
        <row r="16">
          <cell r="A16" t="str">
            <v>EUH 202</v>
          </cell>
        </row>
        <row r="17">
          <cell r="A17" t="str">
            <v>EUH 203</v>
          </cell>
        </row>
        <row r="18">
          <cell r="A18" t="str">
            <v>EUH 204</v>
          </cell>
        </row>
        <row r="19">
          <cell r="A19" t="str">
            <v>EUH 205</v>
          </cell>
        </row>
        <row r="20">
          <cell r="A20" t="str">
            <v>EUH 206</v>
          </cell>
        </row>
        <row r="21">
          <cell r="A21" t="str">
            <v>EUH 207</v>
          </cell>
        </row>
        <row r="22">
          <cell r="A22" t="str">
            <v>EUH 208</v>
          </cell>
        </row>
        <row r="23">
          <cell r="A23" t="str">
            <v>EUH 209/209A</v>
          </cell>
        </row>
        <row r="24">
          <cell r="A24" t="str">
            <v>EUH 210</v>
          </cell>
        </row>
        <row r="25">
          <cell r="A25" t="str">
            <v>EUH 401</v>
          </cell>
        </row>
      </sheetData>
      <sheetData sheetId="7" refreshError="1"/>
      <sheetData sheetId="8">
        <row r="1">
          <cell r="A1" t="str">
            <v>Empresa</v>
          </cell>
        </row>
        <row r="2">
          <cell r="A2" t="str">
            <v>UBV LTDA</v>
          </cell>
        </row>
      </sheetData>
      <sheetData sheetId="9">
        <row r="1">
          <cell r="B1" t="str">
            <v>Explosivo</v>
          </cell>
        </row>
        <row r="2">
          <cell r="B2" t="str">
            <v>Aquático</v>
          </cell>
        </row>
        <row r="3">
          <cell r="B3" t="str">
            <v>Vazio</v>
          </cell>
        </row>
        <row r="4">
          <cell r="B4" t="str">
            <v>Vazio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7FDC984-A8DE-4B0E-ACC9-E1C6DB1A2821}" name="Tabela2" displayName="Tabela2" ref="A7:K276" totalsRowShown="0" headerRowDxfId="21" dataDxfId="20" tableBorderDxfId="19">
  <tableColumns count="11">
    <tableColumn id="1" xr3:uid="{F091DEDA-A7E4-4DD5-B8E7-F610A439F16E}" name="Coluna1" dataDxfId="18"/>
    <tableColumn id="2" xr3:uid="{174FD14E-6F24-4A0C-B7BA-86D2A8C22361}" name="DATA" dataDxfId="17"/>
    <tableColumn id="3" xr3:uid="{B45C77CE-5CD6-4A94-AC37-49FB4AD1D65A}" name="SALDO _x000a_ANTERIOR" dataDxfId="16">
      <calculatedColumnFormula>K7</calculatedColumnFormula>
    </tableColumn>
    <tableColumn id="4" xr3:uid="{3C8BE3DA-E2F0-4B85-9180-0D5D92F6B8D4}" name="ÍNDICE_x000a_INPC" dataDxfId="15" dataCellStyle="Normal_Juros Progressivos"/>
    <tableColumn id="5" xr3:uid="{997E14F3-3CC4-445E-840E-CC38895239D2}" name="CORREÇÃO" dataDxfId="14">
      <calculatedColumnFormula>ROUNDDOWN(D8*C8,2)</calculatedColumnFormula>
    </tableColumn>
    <tableColumn id="6" xr3:uid="{08F19AD3-335B-412C-B970-A1191584585D}" name="SALDO _x000a_CORRIGIDO" dataDxfId="13">
      <calculatedColumnFormula>E8+C8</calculatedColumnFormula>
    </tableColumn>
    <tableColumn id="7" xr3:uid="{33F493C6-902B-44AA-BA93-C2D558989A13}" name="JUROS REM _x000a_3% a.a" dataDxfId="12">
      <calculatedColumnFormula>F8*A8</calculatedColumnFormula>
    </tableColumn>
    <tableColumn id="8" xr3:uid="{CBA82865-EA3F-4410-BD00-6067D1C462FF}" name="SUBTOTAL" dataDxfId="11">
      <calculatedColumnFormula>G8+F8</calculatedColumnFormula>
    </tableColumn>
    <tableColumn id="9" xr3:uid="{78FD24FA-A81A-4B51-849B-F58E62DD4864}" name="SAQUES" dataDxfId="10"/>
    <tableColumn id="10" xr3:uid="{EB8F686C-F8E9-45A6-B836-3DAAD80537C8}" name="DEPÓSITOS" dataDxfId="9"/>
    <tableColumn id="11" xr3:uid="{FCF0F291-A484-454A-811B-6F41D98669D9}" name="SALDO _x000a_NO MÊS" dataDxfId="8">
      <calculatedColumnFormula>H8-I8+J8</calculatedColumnFormula>
    </tableColumn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59F267-3D54-4524-926A-3496FBA2276A}" name="Tabela1" displayName="Tabela1" ref="C7:E276" totalsRowShown="0" headerRowDxfId="7" dataDxfId="5" headerRowBorderDxfId="6" tableBorderDxfId="4" totalsRowBorderDxfId="3">
  <autoFilter ref="C7:E276" xr:uid="{C978BE13-272B-4CB9-9F9E-007A309406AD}"/>
  <tableColumns count="3">
    <tableColumn id="4" xr3:uid="{DC52B876-6D61-49E6-81C4-E4B4D68D34A8}" name="MESES" dataDxfId="2"/>
    <tableColumn id="5" xr3:uid="{A08962B7-03B4-4956-8E7D-C611B60A6D60}" name="ÍNDICE_x000a_INPC" dataDxfId="1" dataCellStyle="Normal_Juros Progressivos"/>
    <tableColumn id="6" xr3:uid="{F9A0AE86-951D-4A3B-BDE4-3E3015145227}" name="ÍNDICE_x000a_IPCA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omments" Target="../comments1.xml"/><Relationship Id="rId4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60815-CCF5-4271-81EF-30A4FAB3A233}">
  <sheetPr codeName="Planilha1">
    <pageSetUpPr autoPageBreaks="0"/>
  </sheetPr>
  <dimension ref="A1:U31"/>
  <sheetViews>
    <sheetView showGridLines="0" showRowColHeaders="0" tabSelected="1" workbookViewId="0">
      <pane ySplit="20" topLeftCell="A21" activePane="bottomLeft" state="frozen"/>
      <selection pane="bottomLeft"/>
    </sheetView>
  </sheetViews>
  <sheetFormatPr defaultColWidth="9.109375" defaultRowHeight="14.4" x14ac:dyDescent="0.3"/>
  <cols>
    <col min="1" max="16384" width="9.109375" style="41"/>
  </cols>
  <sheetData>
    <row r="1" spans="1:21" ht="18" x14ac:dyDescent="0.3">
      <c r="A1" s="73"/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</row>
    <row r="2" spans="1:21" ht="18" x14ac:dyDescent="0.3">
      <c r="A2" s="73"/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</row>
    <row r="3" spans="1:21" ht="18" x14ac:dyDescent="0.3">
      <c r="A3" s="73"/>
      <c r="B3" s="73"/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</row>
    <row r="4" spans="1:21" ht="18" x14ac:dyDescent="0.3">
      <c r="A4" s="73"/>
      <c r="B4" s="73"/>
      <c r="C4" s="73"/>
      <c r="D4" s="73"/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  <c r="P4" s="73"/>
      <c r="Q4" s="73"/>
      <c r="R4" s="73"/>
      <c r="S4" s="73"/>
      <c r="T4" s="73"/>
      <c r="U4" s="73"/>
    </row>
    <row r="5" spans="1:21" ht="18" x14ac:dyDescent="0.3">
      <c r="A5" s="73"/>
      <c r="B5" s="73"/>
      <c r="C5" s="73"/>
      <c r="D5" s="73"/>
      <c r="E5" s="73"/>
      <c r="F5" s="73"/>
      <c r="G5" s="73"/>
      <c r="H5" s="73"/>
      <c r="I5" s="73"/>
      <c r="J5" s="73"/>
      <c r="K5" s="73"/>
      <c r="L5" s="73"/>
      <c r="M5" s="73"/>
      <c r="N5" s="73"/>
      <c r="O5" s="73"/>
      <c r="P5" s="73"/>
      <c r="Q5" s="73"/>
      <c r="R5" s="73"/>
      <c r="S5" s="73"/>
      <c r="T5" s="73"/>
      <c r="U5" s="73"/>
    </row>
    <row r="6" spans="1:21" ht="18" x14ac:dyDescent="0.3">
      <c r="A6" s="73"/>
      <c r="B6" s="73"/>
      <c r="C6" s="73"/>
      <c r="D6" s="73"/>
      <c r="E6" s="73"/>
      <c r="F6" s="73"/>
      <c r="G6" s="73"/>
      <c r="H6" s="73"/>
      <c r="I6" s="73"/>
      <c r="J6" s="73"/>
      <c r="K6" s="73"/>
      <c r="L6" s="73"/>
      <c r="M6" s="73"/>
      <c r="N6" s="73"/>
      <c r="O6" s="73"/>
      <c r="P6" s="73"/>
      <c r="Q6" s="73"/>
      <c r="R6" s="73"/>
      <c r="S6" s="73"/>
      <c r="T6" s="73"/>
      <c r="U6" s="73"/>
    </row>
    <row r="7" spans="1:21" ht="18" x14ac:dyDescent="0.3">
      <c r="A7" s="73"/>
      <c r="B7" s="73"/>
      <c r="C7" s="73"/>
      <c r="D7" s="73"/>
      <c r="E7" s="73"/>
      <c r="F7" s="73"/>
      <c r="G7" s="73"/>
      <c r="H7" s="73"/>
      <c r="I7" s="73"/>
      <c r="J7" s="73"/>
      <c r="K7" s="73"/>
      <c r="L7" s="73"/>
      <c r="M7" s="73"/>
      <c r="N7" s="73"/>
      <c r="O7" s="73"/>
      <c r="P7" s="73"/>
      <c r="Q7" s="73"/>
      <c r="R7" s="73"/>
      <c r="S7" s="73"/>
      <c r="T7" s="73"/>
      <c r="U7" s="73"/>
    </row>
    <row r="8" spans="1:21" ht="18" x14ac:dyDescent="0.3">
      <c r="A8" s="73"/>
      <c r="B8" s="73"/>
      <c r="C8" s="73"/>
      <c r="D8" s="73"/>
      <c r="E8" s="73"/>
      <c r="F8" s="73"/>
      <c r="G8" s="73"/>
      <c r="H8" s="73"/>
      <c r="I8" s="73"/>
      <c r="J8" s="73"/>
      <c r="K8" s="73"/>
      <c r="L8" s="73"/>
      <c r="M8" s="73"/>
      <c r="N8" s="73"/>
      <c r="O8" s="73"/>
      <c r="P8" s="73"/>
      <c r="Q8" s="73"/>
      <c r="R8" s="73"/>
      <c r="S8" s="73"/>
      <c r="T8" s="73"/>
      <c r="U8" s="73"/>
    </row>
    <row r="9" spans="1:21" ht="18" x14ac:dyDescent="0.3">
      <c r="A9" s="73"/>
      <c r="B9" s="73"/>
      <c r="C9" s="73"/>
      <c r="D9" s="73"/>
      <c r="E9" s="73"/>
      <c r="F9" s="73"/>
      <c r="G9" s="73"/>
      <c r="H9" s="73"/>
      <c r="I9" s="73"/>
      <c r="J9" s="73"/>
      <c r="K9" s="73"/>
      <c r="L9" s="73"/>
      <c r="M9" s="73"/>
      <c r="N9" s="73"/>
      <c r="O9" s="73"/>
      <c r="P9" s="73"/>
      <c r="Q9" s="73"/>
      <c r="R9" s="73"/>
      <c r="S9" s="73"/>
      <c r="T9" s="73"/>
      <c r="U9" s="73"/>
    </row>
    <row r="10" spans="1:21" ht="18" x14ac:dyDescent="0.3">
      <c r="A10" s="73"/>
      <c r="B10" s="73"/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</row>
    <row r="11" spans="1:21" ht="18" x14ac:dyDescent="0.3">
      <c r="A11" s="73"/>
      <c r="B11" s="73"/>
      <c r="C11" s="73"/>
      <c r="D11" s="73"/>
      <c r="E11" s="73"/>
      <c r="F11" s="73"/>
      <c r="G11" s="73"/>
      <c r="H11" s="73"/>
      <c r="I11" s="73"/>
      <c r="J11" s="73"/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73"/>
    </row>
    <row r="12" spans="1:21" ht="18" x14ac:dyDescent="0.3">
      <c r="A12" s="73"/>
      <c r="B12" s="73"/>
      <c r="C12" s="73"/>
      <c r="D12" s="73"/>
      <c r="E12" s="73"/>
      <c r="F12" s="73"/>
      <c r="G12" s="73"/>
      <c r="H12" s="73"/>
      <c r="I12" s="73"/>
      <c r="J12" s="73"/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73"/>
    </row>
    <row r="13" spans="1:21" ht="18" x14ac:dyDescent="0.3">
      <c r="A13" s="73"/>
      <c r="B13" s="73"/>
      <c r="C13" s="73"/>
      <c r="D13" s="73"/>
      <c r="E13" s="73"/>
      <c r="F13" s="73"/>
      <c r="G13" s="73"/>
      <c r="H13" s="73"/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73"/>
    </row>
    <row r="14" spans="1:21" ht="18" x14ac:dyDescent="0.3">
      <c r="A14" s="73"/>
      <c r="B14" s="73"/>
      <c r="C14" s="73"/>
      <c r="D14" s="73"/>
      <c r="E14" s="73"/>
      <c r="F14" s="73"/>
      <c r="G14" s="73"/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</row>
    <row r="15" spans="1:21" ht="18" x14ac:dyDescent="0.3">
      <c r="A15" s="73"/>
      <c r="B15" s="73"/>
      <c r="C15" s="73"/>
      <c r="D15" s="73"/>
      <c r="E15" s="73"/>
      <c r="F15" s="73"/>
      <c r="G15" s="73"/>
      <c r="H15" s="73"/>
      <c r="I15" s="73"/>
      <c r="J15" s="73"/>
      <c r="K15" s="73"/>
      <c r="L15" s="73"/>
      <c r="M15" s="73"/>
      <c r="N15" s="73"/>
      <c r="O15" s="73"/>
      <c r="P15" s="73"/>
      <c r="Q15" s="73"/>
      <c r="R15" s="73"/>
      <c r="S15" s="73"/>
      <c r="T15" s="73"/>
      <c r="U15" s="73"/>
    </row>
    <row r="16" spans="1:21" ht="18" x14ac:dyDescent="0.3">
      <c r="A16" s="73"/>
      <c r="B16" s="73"/>
      <c r="C16" s="73"/>
      <c r="D16" s="73"/>
      <c r="E16" s="73"/>
      <c r="F16" s="73"/>
      <c r="G16" s="73"/>
      <c r="H16" s="73"/>
      <c r="I16" s="73"/>
      <c r="J16" s="73"/>
      <c r="K16" s="73"/>
      <c r="L16" s="73"/>
      <c r="M16" s="73"/>
      <c r="N16" s="73"/>
      <c r="O16" s="73"/>
      <c r="P16" s="73"/>
      <c r="Q16" s="73"/>
      <c r="R16" s="73"/>
      <c r="S16" s="73"/>
      <c r="T16" s="73"/>
      <c r="U16" s="73"/>
    </row>
    <row r="17" spans="1:21" ht="18" x14ac:dyDescent="0.3">
      <c r="A17" s="73"/>
      <c r="B17" s="73"/>
      <c r="C17" s="73"/>
      <c r="D17" s="73"/>
      <c r="E17" s="73"/>
      <c r="F17" s="73"/>
      <c r="G17" s="73"/>
      <c r="H17" s="73"/>
      <c r="I17" s="73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</row>
    <row r="18" spans="1:21" ht="18" x14ac:dyDescent="0.3">
      <c r="A18" s="73"/>
      <c r="B18" s="73"/>
      <c r="C18" s="73"/>
      <c r="D18" s="73"/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</row>
    <row r="19" spans="1:21" ht="18" x14ac:dyDescent="0.3">
      <c r="A19" s="73"/>
      <c r="B19" s="73"/>
      <c r="C19" s="73"/>
      <c r="D19" s="73"/>
      <c r="E19" s="73"/>
      <c r="F19" s="73"/>
      <c r="G19" s="73"/>
      <c r="H19" s="73"/>
      <c r="I19" s="73"/>
      <c r="J19" s="73"/>
      <c r="K19" s="73"/>
      <c r="L19" s="73"/>
      <c r="M19" s="73"/>
      <c r="N19" s="73"/>
      <c r="O19" s="73"/>
      <c r="P19" s="73"/>
      <c r="Q19" s="73"/>
      <c r="R19" s="73"/>
      <c r="S19" s="73"/>
      <c r="T19" s="73"/>
      <c r="U19" s="73"/>
    </row>
    <row r="20" spans="1:21" ht="18" x14ac:dyDescent="0.3">
      <c r="A20" s="73"/>
      <c r="B20" s="73"/>
      <c r="C20" s="73"/>
      <c r="D20" s="73"/>
      <c r="E20" s="73"/>
      <c r="F20" s="73"/>
      <c r="G20" s="73"/>
      <c r="H20" s="73"/>
      <c r="I20" s="73"/>
      <c r="J20" s="73"/>
      <c r="K20" s="73"/>
      <c r="L20" s="73"/>
      <c r="M20" s="73"/>
      <c r="N20" s="73"/>
      <c r="O20" s="73"/>
      <c r="P20" s="73"/>
      <c r="Q20" s="73"/>
      <c r="R20" s="73"/>
      <c r="S20" s="73"/>
      <c r="T20" s="73"/>
      <c r="U20" s="73"/>
    </row>
    <row r="21" spans="1:21" ht="18" x14ac:dyDescent="0.3">
      <c r="A21" s="73"/>
      <c r="B21" s="73"/>
      <c r="C21" s="73"/>
      <c r="D21" s="73"/>
      <c r="E21" s="73"/>
      <c r="F21" s="73"/>
      <c r="G21" s="73"/>
      <c r="H21" s="73"/>
      <c r="I21" s="73"/>
      <c r="J21" s="73"/>
      <c r="K21" s="73"/>
      <c r="L21" s="73"/>
      <c r="M21" s="73"/>
      <c r="N21" s="73"/>
      <c r="O21" s="73"/>
      <c r="P21" s="73"/>
      <c r="Q21" s="73"/>
      <c r="R21" s="73"/>
      <c r="S21" s="73"/>
      <c r="T21" s="73"/>
      <c r="U21" s="73"/>
    </row>
    <row r="22" spans="1:21" ht="18" x14ac:dyDescent="0.3">
      <c r="A22" s="73"/>
      <c r="B22" s="73"/>
      <c r="C22" s="73"/>
      <c r="D22" s="73"/>
      <c r="E22" s="73"/>
      <c r="F22" s="73"/>
      <c r="G22" s="73"/>
      <c r="H22" s="73"/>
      <c r="I22" s="73"/>
      <c r="J22" s="73"/>
      <c r="K22" s="73"/>
      <c r="L22" s="73"/>
      <c r="M22" s="73"/>
      <c r="N22" s="73"/>
      <c r="O22" s="73"/>
      <c r="P22" s="73"/>
      <c r="Q22" s="73"/>
      <c r="R22" s="73"/>
      <c r="S22" s="73"/>
      <c r="T22" s="73"/>
      <c r="U22" s="73"/>
    </row>
    <row r="23" spans="1:21" ht="18" x14ac:dyDescent="0.3">
      <c r="A23" s="73"/>
      <c r="B23" s="73"/>
      <c r="C23" s="73"/>
      <c r="D23" s="73"/>
      <c r="E23" s="73"/>
      <c r="F23" s="73"/>
      <c r="G23" s="73"/>
      <c r="H23" s="73"/>
      <c r="I23" s="73"/>
      <c r="J23" s="73"/>
      <c r="K23" s="73"/>
      <c r="L23" s="73"/>
      <c r="M23" s="73"/>
      <c r="N23" s="73"/>
      <c r="O23" s="73"/>
      <c r="P23" s="73"/>
      <c r="Q23" s="73"/>
      <c r="R23" s="73"/>
      <c r="S23" s="73"/>
      <c r="T23" s="73"/>
      <c r="U23" s="73"/>
    </row>
    <row r="24" spans="1:21" ht="18" x14ac:dyDescent="0.3">
      <c r="A24" s="73"/>
      <c r="B24" s="73"/>
      <c r="C24" s="73"/>
      <c r="D24" s="73"/>
      <c r="E24" s="73"/>
      <c r="F24" s="73"/>
      <c r="G24" s="73"/>
      <c r="H24" s="73"/>
      <c r="I24" s="73"/>
      <c r="J24" s="73"/>
      <c r="K24" s="73"/>
      <c r="L24" s="73"/>
      <c r="M24" s="73"/>
      <c r="N24" s="73"/>
      <c r="O24" s="73"/>
      <c r="P24" s="73"/>
      <c r="Q24" s="73"/>
      <c r="R24" s="73"/>
      <c r="S24" s="73"/>
      <c r="T24" s="73"/>
      <c r="U24" s="73"/>
    </row>
    <row r="25" spans="1:21" ht="18" x14ac:dyDescent="0.3">
      <c r="A25" s="73"/>
      <c r="B25" s="73"/>
      <c r="C25" s="73"/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73"/>
    </row>
    <row r="26" spans="1:21" ht="18" x14ac:dyDescent="0.3">
      <c r="A26" s="73"/>
      <c r="B26" s="73"/>
      <c r="C26" s="73"/>
      <c r="D26" s="73"/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</row>
    <row r="27" spans="1:21" ht="18" x14ac:dyDescent="0.3">
      <c r="A27" s="73"/>
      <c r="B27" s="73"/>
      <c r="C27" s="73"/>
      <c r="D27" s="73"/>
      <c r="E27" s="73"/>
      <c r="F27" s="73"/>
      <c r="G27" s="73"/>
      <c r="H27" s="73"/>
      <c r="I27" s="73"/>
      <c r="J27" s="73"/>
      <c r="K27" s="73"/>
      <c r="L27" s="73"/>
      <c r="M27" s="73"/>
      <c r="N27" s="73"/>
      <c r="O27" s="73"/>
      <c r="P27" s="73"/>
      <c r="Q27" s="73"/>
      <c r="R27" s="73"/>
      <c r="S27" s="73"/>
      <c r="T27" s="73"/>
      <c r="U27" s="73"/>
    </row>
    <row r="28" spans="1:21" ht="18" x14ac:dyDescent="0.3">
      <c r="A28" s="73"/>
      <c r="B28" s="73"/>
      <c r="C28" s="73"/>
      <c r="D28" s="73"/>
      <c r="E28" s="73"/>
      <c r="F28" s="73"/>
      <c r="G28" s="73"/>
      <c r="H28" s="73"/>
      <c r="I28" s="73"/>
      <c r="J28" s="73"/>
      <c r="K28" s="73"/>
      <c r="L28" s="73"/>
      <c r="M28" s="73"/>
      <c r="N28" s="73"/>
      <c r="O28" s="73"/>
      <c r="P28" s="73"/>
      <c r="Q28" s="73"/>
      <c r="R28" s="73"/>
      <c r="S28" s="73"/>
      <c r="T28" s="73"/>
      <c r="U28" s="73"/>
    </row>
    <row r="29" spans="1:21" ht="18" x14ac:dyDescent="0.3">
      <c r="A29" s="73"/>
      <c r="B29" s="73"/>
      <c r="C29" s="73"/>
      <c r="D29" s="73"/>
      <c r="E29" s="73"/>
      <c r="F29" s="73"/>
      <c r="G29" s="73"/>
      <c r="H29" s="73"/>
      <c r="I29" s="73"/>
      <c r="J29" s="73"/>
      <c r="K29" s="73"/>
      <c r="L29" s="73"/>
      <c r="M29" s="73"/>
      <c r="N29" s="73"/>
      <c r="O29" s="73"/>
      <c r="P29" s="73"/>
      <c r="Q29" s="73"/>
      <c r="R29" s="73"/>
      <c r="S29" s="73"/>
      <c r="T29" s="73"/>
      <c r="U29" s="73"/>
    </row>
    <row r="30" spans="1:21" ht="409.6" hidden="1" customHeight="1" x14ac:dyDescent="0.3">
      <c r="A30" s="73"/>
      <c r="B30" s="73"/>
      <c r="C30" s="73"/>
      <c r="D30" s="73"/>
      <c r="E30" s="73"/>
      <c r="F30" s="73"/>
      <c r="G30" s="73"/>
      <c r="H30" s="73"/>
      <c r="I30" s="73"/>
      <c r="J30" s="73"/>
      <c r="K30" s="73"/>
      <c r="L30" s="73"/>
      <c r="M30" s="73"/>
      <c r="N30" s="73"/>
      <c r="O30" s="73"/>
      <c r="P30" s="73"/>
      <c r="Q30" s="73"/>
      <c r="R30" s="73"/>
      <c r="S30" s="73"/>
      <c r="T30" s="73"/>
      <c r="U30" s="73"/>
    </row>
    <row r="31" spans="1:21" ht="18" x14ac:dyDescent="0.3">
      <c r="A31" s="74"/>
      <c r="B31" s="74"/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</row>
  </sheetData>
  <sheetProtection selectLockedCells="1"/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77DC2-5D02-4AE1-964C-CB6550FCE60F}">
  <sheetPr codeName="Planilha2">
    <pageSetUpPr autoPageBreaks="0"/>
  </sheetPr>
  <dimension ref="B2:R45"/>
  <sheetViews>
    <sheetView showGridLines="0" showRowColHeaders="0" workbookViewId="0">
      <pane ySplit="4" topLeftCell="A5" activePane="bottomLeft" state="frozen"/>
      <selection pane="bottomLeft"/>
    </sheetView>
  </sheetViews>
  <sheetFormatPr defaultColWidth="9.109375" defaultRowHeight="14.4" x14ac:dyDescent="0.3"/>
  <cols>
    <col min="1" max="1" width="3.109375" style="13" customWidth="1"/>
    <col min="2" max="2" width="3.6640625" style="13" customWidth="1"/>
    <col min="3" max="11" width="9.109375" style="13"/>
    <col min="12" max="12" width="9.5546875" style="13" customWidth="1"/>
    <col min="13" max="17" width="9.109375" style="13"/>
    <col min="18" max="18" width="3.6640625" style="13" customWidth="1"/>
    <col min="19" max="16384" width="9.109375" style="13"/>
  </cols>
  <sheetData>
    <row r="2" spans="2:18" ht="51" customHeight="1" x14ac:dyDescent="0.3">
      <c r="B2" s="37"/>
      <c r="C2" s="18"/>
      <c r="D2" s="18"/>
      <c r="E2" s="19"/>
      <c r="F2" s="19"/>
      <c r="G2" s="19"/>
      <c r="H2" s="19"/>
      <c r="I2" s="19"/>
      <c r="J2" s="20"/>
      <c r="K2" s="19"/>
      <c r="L2" s="19"/>
      <c r="M2" s="19"/>
      <c r="N2" s="19"/>
      <c r="O2" s="19"/>
      <c r="P2" s="19"/>
      <c r="Q2" s="19"/>
      <c r="R2" s="19"/>
    </row>
    <row r="3" spans="2:18" ht="3" customHeight="1" x14ac:dyDescent="0.3">
      <c r="B3" s="39"/>
      <c r="C3" s="22"/>
      <c r="D3" s="22"/>
      <c r="E3" s="23"/>
      <c r="F3" s="23"/>
      <c r="G3" s="23"/>
      <c r="H3" s="23"/>
      <c r="I3" s="23"/>
      <c r="J3" s="24"/>
      <c r="K3" s="23"/>
      <c r="L3" s="23"/>
      <c r="M3" s="23"/>
      <c r="N3" s="23"/>
      <c r="O3" s="23"/>
      <c r="P3" s="23"/>
      <c r="Q3" s="23"/>
      <c r="R3" s="23"/>
    </row>
    <row r="4" spans="2:18" ht="22.5" customHeight="1" x14ac:dyDescent="0.3">
      <c r="B4" s="37"/>
      <c r="C4" s="18"/>
      <c r="D4" s="18"/>
      <c r="E4" s="19"/>
      <c r="F4" s="19"/>
      <c r="G4" s="19"/>
      <c r="H4" s="19"/>
      <c r="I4" s="19"/>
      <c r="J4" s="20"/>
      <c r="K4" s="19"/>
      <c r="L4" s="19"/>
      <c r="M4" s="19"/>
      <c r="N4" s="19"/>
      <c r="O4" s="19"/>
      <c r="P4" s="19"/>
      <c r="Q4" s="19"/>
      <c r="R4" s="19"/>
    </row>
    <row r="5" spans="2:18" x14ac:dyDescent="0.3">
      <c r="B5" s="41"/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</row>
    <row r="6" spans="2:18" ht="21" x14ac:dyDescent="0.4">
      <c r="B6" s="1"/>
      <c r="C6" s="1"/>
      <c r="D6" s="3" t="s">
        <v>11</v>
      </c>
      <c r="E6" s="4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spans="2:18" ht="21" x14ac:dyDescent="0.4">
      <c r="B7" s="1"/>
      <c r="C7" s="10"/>
      <c r="D7" s="11"/>
      <c r="E7" s="12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"/>
    </row>
    <row r="8" spans="2:18" ht="21" x14ac:dyDescent="0.4">
      <c r="B8" s="1"/>
      <c r="C8" s="10"/>
      <c r="D8" s="11"/>
      <c r="E8" s="12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"/>
    </row>
    <row r="9" spans="2:18" ht="21" x14ac:dyDescent="0.4">
      <c r="B9" s="1"/>
      <c r="C9" s="10"/>
      <c r="D9" s="11"/>
      <c r="E9" s="12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"/>
    </row>
    <row r="10" spans="2:18" ht="21" x14ac:dyDescent="0.4">
      <c r="B10" s="1"/>
      <c r="C10" s="10"/>
      <c r="D10" s="11"/>
      <c r="E10" s="12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"/>
    </row>
    <row r="11" spans="2:18" ht="21" x14ac:dyDescent="0.4">
      <c r="B11" s="1"/>
      <c r="C11" s="10"/>
      <c r="D11" s="11"/>
      <c r="E11" s="12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"/>
    </row>
    <row r="12" spans="2:18" ht="21" x14ac:dyDescent="0.4">
      <c r="B12" s="1"/>
      <c r="C12" s="10"/>
      <c r="D12" s="11"/>
      <c r="E12" s="12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"/>
    </row>
    <row r="13" spans="2:18" ht="21" x14ac:dyDescent="0.4">
      <c r="B13" s="1"/>
      <c r="C13" s="10"/>
      <c r="D13" s="11"/>
      <c r="E13" s="12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"/>
    </row>
    <row r="14" spans="2:18" ht="21" x14ac:dyDescent="0.4">
      <c r="B14" s="1"/>
      <c r="C14" s="10"/>
      <c r="D14" s="11"/>
      <c r="E14" s="12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"/>
    </row>
    <row r="15" spans="2:18" ht="21" x14ac:dyDescent="0.4">
      <c r="B15" s="1"/>
      <c r="C15" s="10"/>
      <c r="D15" s="11"/>
      <c r="E15" s="12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"/>
    </row>
    <row r="16" spans="2:18" x14ac:dyDescent="0.3">
      <c r="B16" s="1"/>
      <c r="C16" s="61"/>
      <c r="D16" s="61"/>
      <c r="E16" s="61"/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1"/>
    </row>
    <row r="17" spans="2:18" x14ac:dyDescent="0.3">
      <c r="B17" s="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1"/>
    </row>
    <row r="18" spans="2:18" x14ac:dyDescent="0.3">
      <c r="B18" s="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1"/>
    </row>
    <row r="19" spans="2:18" x14ac:dyDescent="0.3">
      <c r="B19" s="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1"/>
    </row>
    <row r="20" spans="2:18" x14ac:dyDescent="0.3">
      <c r="B20" s="1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1"/>
    </row>
    <row r="21" spans="2:18" x14ac:dyDescent="0.3">
      <c r="B21" s="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1"/>
    </row>
    <row r="22" spans="2:18" x14ac:dyDescent="0.3">
      <c r="B22" s="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1"/>
    </row>
    <row r="23" spans="2:18" x14ac:dyDescent="0.3">
      <c r="B23" s="1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1"/>
    </row>
    <row r="24" spans="2:18" x14ac:dyDescent="0.3">
      <c r="B24" s="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1"/>
    </row>
    <row r="25" spans="2:18" x14ac:dyDescent="0.3">
      <c r="B25" s="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1"/>
    </row>
    <row r="26" spans="2:18" x14ac:dyDescent="0.3">
      <c r="B26" s="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1"/>
    </row>
    <row r="27" spans="2:18" x14ac:dyDescent="0.3">
      <c r="B27" s="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1"/>
    </row>
    <row r="28" spans="2:18" x14ac:dyDescent="0.3">
      <c r="B28" s="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1"/>
    </row>
    <row r="29" spans="2:18" x14ac:dyDescent="0.3">
      <c r="B29" s="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1"/>
    </row>
    <row r="30" spans="2:18" x14ac:dyDescent="0.3">
      <c r="B30" s="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1"/>
    </row>
    <row r="31" spans="2:18" x14ac:dyDescent="0.3">
      <c r="B31" s="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1"/>
    </row>
    <row r="32" spans="2:18" x14ac:dyDescent="0.3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 spans="2:18" x14ac:dyDescent="0.3"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</row>
    <row r="34" spans="2:18" ht="21" x14ac:dyDescent="0.3">
      <c r="B34" s="1"/>
      <c r="C34" s="1"/>
      <c r="D34" s="2" t="s">
        <v>14</v>
      </c>
      <c r="E34" s="1"/>
      <c r="F34" s="1"/>
      <c r="G34" s="5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 spans="2:18" x14ac:dyDescent="0.3">
      <c r="B35" s="1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1"/>
    </row>
    <row r="36" spans="2:18" x14ac:dyDescent="0.3">
      <c r="B36" s="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1"/>
    </row>
    <row r="37" spans="2:18" x14ac:dyDescent="0.3">
      <c r="B37" s="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1"/>
    </row>
    <row r="38" spans="2:18" x14ac:dyDescent="0.3">
      <c r="B38" s="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1"/>
    </row>
    <row r="39" spans="2:18" x14ac:dyDescent="0.3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 spans="2:18" x14ac:dyDescent="0.3"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</row>
    <row r="41" spans="2:18" ht="21" x14ac:dyDescent="0.3">
      <c r="B41" s="1"/>
      <c r="C41" s="1"/>
      <c r="D41" s="2" t="s">
        <v>12</v>
      </c>
      <c r="E41" s="1"/>
      <c r="F41" s="1"/>
      <c r="G41" s="5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 spans="2:18" x14ac:dyDescent="0.3">
      <c r="B42" s="1"/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1"/>
    </row>
    <row r="43" spans="2:18" x14ac:dyDescent="0.3">
      <c r="B43" s="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1"/>
    </row>
    <row r="44" spans="2:18" x14ac:dyDescent="0.3">
      <c r="B44" s="1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1"/>
    </row>
    <row r="45" spans="2:18" x14ac:dyDescent="0.3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</sheetData>
  <sheetProtection algorithmName="SHA-512" hashValue="FT2udt+5twJ6y/tVSypIWi8JWYHnLM0kacyVNwARHj6XTO04L9CIhJNYWHKt44wg+d75QZmOfiK/3RnlxJUE2w==" saltValue="hE4yEGcFX+NI0KPircTWAg==" spinCount="100000" sheet="1" objects="1" scenarios="1" selectLockedCells="1"/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609BA-0B0C-44CB-AAAE-C9B1A542B02C}">
  <sheetPr codeName="Planilha3"/>
  <dimension ref="A2:N299"/>
  <sheetViews>
    <sheetView showGridLines="0" showRowColHeaders="0" workbookViewId="0">
      <pane ySplit="7" topLeftCell="A26" activePane="bottomLeft" state="frozen"/>
      <selection pane="bottomLeft" activeCell="I34" sqref="I34"/>
    </sheetView>
  </sheetViews>
  <sheetFormatPr defaultColWidth="9.109375" defaultRowHeight="14.4" x14ac:dyDescent="0.3"/>
  <cols>
    <col min="1" max="1" width="3.6640625" style="58" customWidth="1"/>
    <col min="2" max="2" width="9.6640625" style="14" customWidth="1"/>
    <col min="3" max="3" width="14.6640625" style="15" customWidth="1"/>
    <col min="4" max="4" width="11.6640625" style="13" bestFit="1" customWidth="1"/>
    <col min="5" max="6" width="14.6640625" style="15" customWidth="1"/>
    <col min="7" max="8" width="14.6640625" style="13" customWidth="1"/>
    <col min="9" max="10" width="14.6640625" style="15" customWidth="1"/>
    <col min="11" max="11" width="22.6640625" style="15" customWidth="1"/>
    <col min="12" max="12" width="13.88671875" style="13" customWidth="1"/>
    <col min="13" max="16384" width="9.109375" style="13"/>
  </cols>
  <sheetData>
    <row r="2" spans="1:14" ht="51" customHeight="1" x14ac:dyDescent="0.3">
      <c r="B2" s="17"/>
      <c r="C2" s="25"/>
      <c r="D2" s="18"/>
      <c r="E2" s="27"/>
      <c r="F2" s="27"/>
      <c r="G2" s="19"/>
      <c r="H2" s="19"/>
      <c r="I2" s="19"/>
      <c r="J2" s="20"/>
      <c r="K2" s="19"/>
    </row>
    <row r="3" spans="1:14" ht="3" customHeight="1" x14ac:dyDescent="0.3">
      <c r="B3" s="21"/>
      <c r="C3" s="26"/>
      <c r="D3" s="22"/>
      <c r="E3" s="28"/>
      <c r="F3" s="28"/>
      <c r="G3" s="23"/>
      <c r="H3" s="23"/>
      <c r="I3" s="23"/>
      <c r="J3" s="24"/>
      <c r="K3" s="23"/>
    </row>
    <row r="4" spans="1:14" ht="22.5" customHeight="1" x14ac:dyDescent="0.3">
      <c r="B4" s="17"/>
      <c r="C4" s="25"/>
      <c r="D4" s="18"/>
      <c r="E4" s="27"/>
      <c r="F4" s="27"/>
      <c r="G4" s="19"/>
      <c r="H4" s="19"/>
      <c r="I4" s="19"/>
      <c r="J4" s="20"/>
      <c r="K4" s="19"/>
    </row>
    <row r="6" spans="1:14" ht="15" thickBot="1" x14ac:dyDescent="0.35"/>
    <row r="7" spans="1:14" ht="29.25" customHeight="1" thickBot="1" x14ac:dyDescent="0.35">
      <c r="A7" s="58" t="s">
        <v>13</v>
      </c>
      <c r="B7" s="6" t="s">
        <v>0</v>
      </c>
      <c r="C7" s="9" t="s">
        <v>5</v>
      </c>
      <c r="D7" s="7" t="s">
        <v>9</v>
      </c>
      <c r="E7" s="8" t="s">
        <v>1</v>
      </c>
      <c r="F7" s="9" t="s">
        <v>6</v>
      </c>
      <c r="G7" s="7" t="s">
        <v>7</v>
      </c>
      <c r="H7" s="6" t="s">
        <v>2</v>
      </c>
      <c r="I7" s="8" t="s">
        <v>3</v>
      </c>
      <c r="J7" s="8" t="s">
        <v>4</v>
      </c>
      <c r="K7" s="9" t="s">
        <v>8</v>
      </c>
    </row>
    <row r="8" spans="1:14" x14ac:dyDescent="0.3">
      <c r="B8" s="30">
        <v>36130</v>
      </c>
      <c r="C8" s="34">
        <v>360</v>
      </c>
      <c r="D8" s="36">
        <v>4.1999999999999997E-3</v>
      </c>
      <c r="E8" s="62" t="s">
        <v>19</v>
      </c>
      <c r="F8" s="62" t="s">
        <v>19</v>
      </c>
      <c r="G8" s="63" t="s">
        <v>19</v>
      </c>
      <c r="H8" s="63" t="s">
        <v>19</v>
      </c>
      <c r="I8" s="64" t="s">
        <v>19</v>
      </c>
      <c r="J8" s="64" t="s">
        <v>19</v>
      </c>
      <c r="K8" s="56">
        <f>C8</f>
        <v>360</v>
      </c>
    </row>
    <row r="9" spans="1:14" x14ac:dyDescent="0.3">
      <c r="A9" s="58">
        <v>2.46627E-3</v>
      </c>
      <c r="B9" s="31">
        <v>36161</v>
      </c>
      <c r="C9" s="57">
        <f>K8</f>
        <v>360</v>
      </c>
      <c r="D9" s="36">
        <v>6.4999999999999997E-3</v>
      </c>
      <c r="E9" s="32">
        <f>ROUNDDOWN(D9*C9,3)</f>
        <v>2.34</v>
      </c>
      <c r="F9" s="32">
        <f>E9+C9</f>
        <v>362.34</v>
      </c>
      <c r="G9" s="32">
        <f>F9*$A$9</f>
        <v>0.89362827179999993</v>
      </c>
      <c r="H9" s="75">
        <f>G9+F9</f>
        <v>363.2336282718</v>
      </c>
      <c r="I9" s="33">
        <v>0</v>
      </c>
      <c r="J9" s="34">
        <v>2.5</v>
      </c>
      <c r="K9" s="35">
        <f>H9-I9+J9</f>
        <v>365.7336282718</v>
      </c>
      <c r="M9" s="77"/>
      <c r="N9" s="78"/>
    </row>
    <row r="10" spans="1:14" x14ac:dyDescent="0.3">
      <c r="B10" s="31">
        <v>36192</v>
      </c>
      <c r="C10" s="57">
        <f t="shared" ref="C10:C73" si="0">K9</f>
        <v>365.7336282718</v>
      </c>
      <c r="D10" s="36">
        <v>1.29E-2</v>
      </c>
      <c r="E10" s="32">
        <f t="shared" ref="E10:E73" si="1">ROUNDDOWN(D10*C10,3)</f>
        <v>4.7169999999999996</v>
      </c>
      <c r="F10" s="32">
        <f t="shared" ref="F10:F73" si="2">E10+C10</f>
        <v>370.45062827179999</v>
      </c>
      <c r="G10" s="32">
        <f t="shared" ref="G10:G73" si="3">F10*$A$9</f>
        <v>0.9136312709878921</v>
      </c>
      <c r="H10" s="75">
        <f>G10+F10</f>
        <v>371.36425954278786</v>
      </c>
      <c r="I10" s="33">
        <v>0</v>
      </c>
      <c r="J10" s="34">
        <v>0</v>
      </c>
      <c r="K10" s="35">
        <f t="shared" ref="K10:K73" si="4">H10-I10+J10</f>
        <v>371.36425954278786</v>
      </c>
      <c r="M10" s="81"/>
      <c r="N10" s="82"/>
    </row>
    <row r="11" spans="1:14" x14ac:dyDescent="0.3">
      <c r="B11" s="31">
        <v>36220</v>
      </c>
      <c r="C11" s="57">
        <f t="shared" si="0"/>
        <v>371.36425954278786</v>
      </c>
      <c r="D11" s="36">
        <v>1.2800000000000001E-2</v>
      </c>
      <c r="E11" s="32">
        <f t="shared" si="1"/>
        <v>4.7530000000000001</v>
      </c>
      <c r="F11" s="32">
        <f t="shared" si="2"/>
        <v>376.11725954278785</v>
      </c>
      <c r="G11" s="32">
        <f t="shared" si="3"/>
        <v>0.9276067136925914</v>
      </c>
      <c r="H11" s="75">
        <f t="shared" ref="H11:H73" si="5">G11+F11</f>
        <v>377.04486625648042</v>
      </c>
      <c r="I11" s="33">
        <v>0</v>
      </c>
      <c r="J11" s="34">
        <v>0</v>
      </c>
      <c r="K11" s="35">
        <f t="shared" si="4"/>
        <v>377.04486625648042</v>
      </c>
      <c r="M11" s="76"/>
      <c r="N11" s="77"/>
    </row>
    <row r="12" spans="1:14" x14ac:dyDescent="0.3">
      <c r="B12" s="31">
        <v>36251</v>
      </c>
      <c r="C12" s="57">
        <f t="shared" si="0"/>
        <v>377.04486625648042</v>
      </c>
      <c r="D12" s="36">
        <v>4.7000000000000002E-3</v>
      </c>
      <c r="E12" s="32">
        <f t="shared" si="1"/>
        <v>1.772</v>
      </c>
      <c r="F12" s="32">
        <f t="shared" si="2"/>
        <v>378.81686625648041</v>
      </c>
      <c r="G12" s="32">
        <f t="shared" si="3"/>
        <v>0.93426467274236991</v>
      </c>
      <c r="H12" s="75">
        <f t="shared" si="5"/>
        <v>379.75113092922277</v>
      </c>
      <c r="I12" s="33">
        <v>0</v>
      </c>
      <c r="J12" s="34">
        <v>0</v>
      </c>
      <c r="K12" s="35">
        <f t="shared" si="4"/>
        <v>379.75113092922277</v>
      </c>
      <c r="M12" s="76"/>
      <c r="N12" s="77"/>
    </row>
    <row r="13" spans="1:14" x14ac:dyDescent="0.3">
      <c r="B13" s="31">
        <v>36281</v>
      </c>
      <c r="C13" s="57">
        <f t="shared" si="0"/>
        <v>379.75113092922277</v>
      </c>
      <c r="D13" s="36">
        <v>5.0000000000000001E-4</v>
      </c>
      <c r="E13" s="32">
        <f t="shared" si="1"/>
        <v>0.189</v>
      </c>
      <c r="F13" s="32">
        <f t="shared" si="2"/>
        <v>379.94013092922279</v>
      </c>
      <c r="G13" s="32">
        <f t="shared" si="3"/>
        <v>0.93703494670681431</v>
      </c>
      <c r="H13" s="75">
        <f t="shared" si="5"/>
        <v>380.87716587592962</v>
      </c>
      <c r="I13" s="33">
        <v>0</v>
      </c>
      <c r="J13" s="34">
        <v>0</v>
      </c>
      <c r="K13" s="35">
        <f t="shared" si="4"/>
        <v>380.87716587592962</v>
      </c>
      <c r="M13" s="76"/>
      <c r="N13" s="77"/>
    </row>
    <row r="14" spans="1:14" x14ac:dyDescent="0.3">
      <c r="B14" s="31">
        <v>36312</v>
      </c>
      <c r="C14" s="57">
        <f t="shared" si="0"/>
        <v>380.87716587592962</v>
      </c>
      <c r="D14" s="36">
        <v>6.9999999999999999E-4</v>
      </c>
      <c r="E14" s="32">
        <f t="shared" si="1"/>
        <v>0.26600000000000001</v>
      </c>
      <c r="F14" s="32">
        <f t="shared" si="2"/>
        <v>381.14316587592964</v>
      </c>
      <c r="G14" s="32">
        <f t="shared" si="3"/>
        <v>0.94000195570482903</v>
      </c>
      <c r="H14" s="75">
        <f t="shared" si="5"/>
        <v>382.08316783163446</v>
      </c>
      <c r="I14" s="33">
        <v>0</v>
      </c>
      <c r="J14" s="34">
        <v>0</v>
      </c>
      <c r="K14" s="35">
        <f t="shared" si="4"/>
        <v>382.08316783163446</v>
      </c>
      <c r="M14" s="76"/>
      <c r="N14" s="77"/>
    </row>
    <row r="15" spans="1:14" x14ac:dyDescent="0.3">
      <c r="B15" s="31">
        <v>36342</v>
      </c>
      <c r="C15" s="57">
        <f t="shared" si="0"/>
        <v>382.08316783163446</v>
      </c>
      <c r="D15" s="36">
        <v>7.4000000000000003E-3</v>
      </c>
      <c r="E15" s="32">
        <f t="shared" si="1"/>
        <v>2.827</v>
      </c>
      <c r="F15" s="32">
        <f t="shared" si="2"/>
        <v>384.91016783163445</v>
      </c>
      <c r="G15" s="32">
        <f t="shared" si="3"/>
        <v>0.94929239961812506</v>
      </c>
      <c r="H15" s="75">
        <f t="shared" si="5"/>
        <v>385.85946023125257</v>
      </c>
      <c r="I15" s="33">
        <v>0</v>
      </c>
      <c r="J15" s="34">
        <v>3.8</v>
      </c>
      <c r="K15" s="35">
        <f t="shared" si="4"/>
        <v>389.65946023125258</v>
      </c>
      <c r="M15" s="76"/>
      <c r="N15" s="77"/>
    </row>
    <row r="16" spans="1:14" x14ac:dyDescent="0.3">
      <c r="B16" s="31">
        <v>36373</v>
      </c>
      <c r="C16" s="57">
        <f t="shared" si="0"/>
        <v>389.65946023125258</v>
      </c>
      <c r="D16" s="36">
        <v>5.4999999999999997E-3</v>
      </c>
      <c r="E16" s="32">
        <f t="shared" si="1"/>
        <v>2.1429999999999998</v>
      </c>
      <c r="F16" s="32">
        <f t="shared" si="2"/>
        <v>391.80246023125255</v>
      </c>
      <c r="G16" s="32">
        <f t="shared" si="3"/>
        <v>0.96629065359453126</v>
      </c>
      <c r="H16" s="75">
        <f t="shared" si="5"/>
        <v>392.76875088484707</v>
      </c>
      <c r="I16" s="33">
        <v>0</v>
      </c>
      <c r="J16" s="34">
        <v>0</v>
      </c>
      <c r="K16" s="35">
        <f t="shared" si="4"/>
        <v>392.76875088484707</v>
      </c>
      <c r="M16" s="76"/>
      <c r="N16" s="77"/>
    </row>
    <row r="17" spans="2:14" x14ac:dyDescent="0.3">
      <c r="B17" s="31">
        <v>36404</v>
      </c>
      <c r="C17" s="57">
        <f t="shared" si="0"/>
        <v>392.76875088484707</v>
      </c>
      <c r="D17" s="36">
        <v>3.8999999999999998E-3</v>
      </c>
      <c r="E17" s="32">
        <f t="shared" si="1"/>
        <v>1.5309999999999999</v>
      </c>
      <c r="F17" s="32">
        <f t="shared" si="2"/>
        <v>394.29975088484707</v>
      </c>
      <c r="G17" s="32">
        <f t="shared" si="3"/>
        <v>0.97244964661477185</v>
      </c>
      <c r="H17" s="75">
        <f t="shared" si="5"/>
        <v>395.27220053146186</v>
      </c>
      <c r="I17" s="33">
        <v>0</v>
      </c>
      <c r="J17" s="34">
        <v>0</v>
      </c>
      <c r="K17" s="35">
        <f t="shared" si="4"/>
        <v>395.27220053146186</v>
      </c>
      <c r="M17" s="76"/>
      <c r="N17" s="77"/>
    </row>
    <row r="18" spans="2:14" x14ac:dyDescent="0.3">
      <c r="B18" s="31">
        <v>36434</v>
      </c>
      <c r="C18" s="57">
        <f t="shared" si="0"/>
        <v>395.27220053146186</v>
      </c>
      <c r="D18" s="36">
        <v>9.5999999999999992E-3</v>
      </c>
      <c r="E18" s="32">
        <f t="shared" si="1"/>
        <v>3.794</v>
      </c>
      <c r="F18" s="32">
        <f t="shared" si="2"/>
        <v>399.06620053146185</v>
      </c>
      <c r="G18" s="32">
        <f t="shared" si="3"/>
        <v>0.98420499838472841</v>
      </c>
      <c r="H18" s="75">
        <f t="shared" si="5"/>
        <v>400.05040552984656</v>
      </c>
      <c r="I18" s="33">
        <v>0</v>
      </c>
      <c r="J18" s="34">
        <v>0</v>
      </c>
      <c r="K18" s="35">
        <f t="shared" si="4"/>
        <v>400.05040552984656</v>
      </c>
      <c r="M18" s="76"/>
      <c r="N18" s="77"/>
    </row>
    <row r="19" spans="2:14" x14ac:dyDescent="0.3">
      <c r="B19" s="31">
        <v>36465</v>
      </c>
      <c r="C19" s="57">
        <f t="shared" si="0"/>
        <v>400.05040552984656</v>
      </c>
      <c r="D19" s="36">
        <v>9.4000000000000004E-3</v>
      </c>
      <c r="E19" s="32">
        <f t="shared" si="1"/>
        <v>3.76</v>
      </c>
      <c r="F19" s="32">
        <f t="shared" si="2"/>
        <v>403.81040552984655</v>
      </c>
      <c r="G19" s="32">
        <f t="shared" si="3"/>
        <v>0.99590548884609464</v>
      </c>
      <c r="H19" s="75">
        <f t="shared" si="5"/>
        <v>404.80631101869267</v>
      </c>
      <c r="I19" s="33">
        <v>0</v>
      </c>
      <c r="J19" s="34">
        <v>0</v>
      </c>
      <c r="K19" s="35">
        <f t="shared" si="4"/>
        <v>404.80631101869267</v>
      </c>
      <c r="M19" s="76"/>
      <c r="N19" s="77"/>
    </row>
    <row r="20" spans="2:14" x14ac:dyDescent="0.3">
      <c r="B20" s="31">
        <v>36495</v>
      </c>
      <c r="C20" s="57">
        <f t="shared" si="0"/>
        <v>404.80631101869267</v>
      </c>
      <c r="D20" s="36">
        <v>7.4000000000000003E-3</v>
      </c>
      <c r="E20" s="32">
        <f t="shared" si="1"/>
        <v>2.9950000000000001</v>
      </c>
      <c r="F20" s="32">
        <f t="shared" si="2"/>
        <v>407.80131101869267</v>
      </c>
      <c r="G20" s="32">
        <f t="shared" si="3"/>
        <v>1.0057481393260712</v>
      </c>
      <c r="H20" s="75">
        <f t="shared" si="5"/>
        <v>408.80705915801872</v>
      </c>
      <c r="I20" s="33">
        <v>0</v>
      </c>
      <c r="J20" s="34">
        <v>0</v>
      </c>
      <c r="K20" s="35">
        <f t="shared" si="4"/>
        <v>408.80705915801872</v>
      </c>
      <c r="M20" s="76"/>
      <c r="N20" s="78"/>
    </row>
    <row r="21" spans="2:14" x14ac:dyDescent="0.3">
      <c r="B21" s="31">
        <v>36526</v>
      </c>
      <c r="C21" s="57">
        <f t="shared" si="0"/>
        <v>408.80705915801872</v>
      </c>
      <c r="D21" s="36">
        <v>6.1000000000000004E-3</v>
      </c>
      <c r="E21" s="32">
        <f t="shared" si="1"/>
        <v>2.4929999999999999</v>
      </c>
      <c r="F21" s="32">
        <f t="shared" si="2"/>
        <v>411.30005915801871</v>
      </c>
      <c r="G21" s="32">
        <f t="shared" si="3"/>
        <v>1.0143769968996468</v>
      </c>
      <c r="H21" s="75">
        <f t="shared" si="5"/>
        <v>412.31443615491838</v>
      </c>
      <c r="I21" s="33">
        <v>0</v>
      </c>
      <c r="J21" s="34">
        <v>0</v>
      </c>
      <c r="K21" s="35">
        <f t="shared" si="4"/>
        <v>412.31443615491838</v>
      </c>
    </row>
    <row r="22" spans="2:14" x14ac:dyDescent="0.3">
      <c r="B22" s="31">
        <v>36557</v>
      </c>
      <c r="C22" s="57">
        <f t="shared" si="0"/>
        <v>412.31443615491838</v>
      </c>
      <c r="D22" s="36">
        <v>5.0000000000000001E-4</v>
      </c>
      <c r="E22" s="32">
        <f t="shared" si="1"/>
        <v>0.20599999999999999</v>
      </c>
      <c r="F22" s="32">
        <f t="shared" si="2"/>
        <v>412.5204361549184</v>
      </c>
      <c r="G22" s="32">
        <f t="shared" si="3"/>
        <v>1.0173867760757906</v>
      </c>
      <c r="H22" s="75">
        <f t="shared" si="5"/>
        <v>413.5378229309942</v>
      </c>
      <c r="I22" s="33">
        <v>0</v>
      </c>
      <c r="J22" s="34">
        <v>3.2</v>
      </c>
      <c r="K22" s="35">
        <f t="shared" si="4"/>
        <v>416.73782293099418</v>
      </c>
    </row>
    <row r="23" spans="2:14" x14ac:dyDescent="0.3">
      <c r="B23" s="31">
        <v>36586</v>
      </c>
      <c r="C23" s="57">
        <f t="shared" si="0"/>
        <v>416.73782293099418</v>
      </c>
      <c r="D23" s="36">
        <v>1.2999999999999999E-3</v>
      </c>
      <c r="E23" s="32">
        <f t="shared" si="1"/>
        <v>0.54100000000000004</v>
      </c>
      <c r="F23" s="32">
        <f t="shared" si="2"/>
        <v>417.27882293099418</v>
      </c>
      <c r="G23" s="32">
        <f t="shared" si="3"/>
        <v>1.0291222426300231</v>
      </c>
      <c r="H23" s="75">
        <f t="shared" si="5"/>
        <v>418.3079451736242</v>
      </c>
      <c r="I23" s="33">
        <v>0</v>
      </c>
      <c r="J23" s="34">
        <v>0</v>
      </c>
      <c r="K23" s="35">
        <f t="shared" si="4"/>
        <v>418.3079451736242</v>
      </c>
    </row>
    <row r="24" spans="2:14" x14ac:dyDescent="0.3">
      <c r="B24" s="31">
        <v>36617</v>
      </c>
      <c r="C24" s="57">
        <f t="shared" si="0"/>
        <v>418.3079451736242</v>
      </c>
      <c r="D24" s="36">
        <v>8.9999999999999998E-4</v>
      </c>
      <c r="E24" s="32">
        <f t="shared" si="1"/>
        <v>0.376</v>
      </c>
      <c r="F24" s="32">
        <f t="shared" si="2"/>
        <v>418.68394517362418</v>
      </c>
      <c r="G24" s="32">
        <f t="shared" si="3"/>
        <v>1.032587653463354</v>
      </c>
      <c r="H24" s="75">
        <f t="shared" si="5"/>
        <v>419.71653282708752</v>
      </c>
      <c r="I24" s="33">
        <v>0</v>
      </c>
      <c r="J24" s="34">
        <v>0</v>
      </c>
      <c r="K24" s="35">
        <f t="shared" si="4"/>
        <v>419.71653282708752</v>
      </c>
    </row>
    <row r="25" spans="2:14" x14ac:dyDescent="0.3">
      <c r="B25" s="31">
        <v>36647</v>
      </c>
      <c r="C25" s="57">
        <f t="shared" si="0"/>
        <v>419.71653282708752</v>
      </c>
      <c r="D25" s="36">
        <v>-5.0000000000000001E-4</v>
      </c>
      <c r="E25" s="32">
        <f t="shared" si="1"/>
        <v>-0.20899999999999999</v>
      </c>
      <c r="F25" s="32">
        <f t="shared" si="2"/>
        <v>419.50753282708752</v>
      </c>
      <c r="G25" s="32">
        <f t="shared" si="3"/>
        <v>1.034618842985461</v>
      </c>
      <c r="H25" s="75">
        <f t="shared" si="5"/>
        <v>420.542151670073</v>
      </c>
      <c r="I25" s="33">
        <v>0</v>
      </c>
      <c r="J25" s="34">
        <v>0</v>
      </c>
      <c r="K25" s="35">
        <f t="shared" si="4"/>
        <v>420.542151670073</v>
      </c>
    </row>
    <row r="26" spans="2:14" x14ac:dyDescent="0.3">
      <c r="B26" s="31">
        <v>36678</v>
      </c>
      <c r="C26" s="57">
        <f t="shared" si="0"/>
        <v>420.542151670073</v>
      </c>
      <c r="D26" s="36">
        <v>3.0000000000000001E-3</v>
      </c>
      <c r="E26" s="32">
        <f t="shared" si="1"/>
        <v>1.2609999999999999</v>
      </c>
      <c r="F26" s="32">
        <f t="shared" si="2"/>
        <v>421.80315167007302</v>
      </c>
      <c r="G26" s="32">
        <f t="shared" si="3"/>
        <v>1.0402804588693511</v>
      </c>
      <c r="H26" s="75">
        <f t="shared" si="5"/>
        <v>422.84343212894237</v>
      </c>
      <c r="I26" s="33">
        <v>0</v>
      </c>
      <c r="J26" s="34">
        <v>0</v>
      </c>
      <c r="K26" s="35">
        <f t="shared" si="4"/>
        <v>422.84343212894237</v>
      </c>
    </row>
    <row r="27" spans="2:14" x14ac:dyDescent="0.3">
      <c r="B27" s="31">
        <v>36708</v>
      </c>
      <c r="C27" s="57">
        <f t="shared" si="0"/>
        <v>422.84343212894237</v>
      </c>
      <c r="D27" s="36">
        <v>1.3899999999999999E-2</v>
      </c>
      <c r="E27" s="32">
        <f t="shared" si="1"/>
        <v>5.8769999999999998</v>
      </c>
      <c r="F27" s="32">
        <f t="shared" si="2"/>
        <v>428.72043212894238</v>
      </c>
      <c r="G27" s="32">
        <f t="shared" si="3"/>
        <v>1.0573403401466468</v>
      </c>
      <c r="H27" s="75">
        <f t="shared" si="5"/>
        <v>429.77777246908903</v>
      </c>
      <c r="I27" s="33">
        <v>0</v>
      </c>
      <c r="J27" s="34">
        <v>0</v>
      </c>
      <c r="K27" s="35">
        <f t="shared" si="4"/>
        <v>429.77777246908903</v>
      </c>
    </row>
    <row r="28" spans="2:14" x14ac:dyDescent="0.3">
      <c r="B28" s="31">
        <v>36739</v>
      </c>
      <c r="C28" s="57">
        <f t="shared" si="0"/>
        <v>429.77777246908903</v>
      </c>
      <c r="D28" s="36">
        <v>1.21E-2</v>
      </c>
      <c r="E28" s="32">
        <f t="shared" si="1"/>
        <v>5.2</v>
      </c>
      <c r="F28" s="32">
        <f t="shared" si="2"/>
        <v>434.97777246908902</v>
      </c>
      <c r="G28" s="32">
        <f t="shared" si="3"/>
        <v>1.0727726309073402</v>
      </c>
      <c r="H28" s="75">
        <f t="shared" si="5"/>
        <v>436.05054509999638</v>
      </c>
      <c r="I28" s="33">
        <v>0</v>
      </c>
      <c r="J28" s="34">
        <v>0</v>
      </c>
      <c r="K28" s="35">
        <f t="shared" si="4"/>
        <v>436.05054509999638</v>
      </c>
    </row>
    <row r="29" spans="2:14" x14ac:dyDescent="0.3">
      <c r="B29" s="31">
        <v>36770</v>
      </c>
      <c r="C29" s="57">
        <f t="shared" si="0"/>
        <v>436.05054509999638</v>
      </c>
      <c r="D29" s="36">
        <v>4.3E-3</v>
      </c>
      <c r="E29" s="32">
        <f t="shared" si="1"/>
        <v>1.875</v>
      </c>
      <c r="F29" s="32">
        <f t="shared" si="2"/>
        <v>437.92554509999638</v>
      </c>
      <c r="G29" s="32">
        <f t="shared" si="3"/>
        <v>1.0800426341137681</v>
      </c>
      <c r="H29" s="75">
        <f t="shared" si="5"/>
        <v>439.00558773411018</v>
      </c>
      <c r="I29" s="33">
        <v>0</v>
      </c>
      <c r="J29" s="34">
        <v>0</v>
      </c>
      <c r="K29" s="35">
        <f t="shared" si="4"/>
        <v>439.00558773411018</v>
      </c>
    </row>
    <row r="30" spans="2:14" x14ac:dyDescent="0.3">
      <c r="B30" s="31">
        <v>36800</v>
      </c>
      <c r="C30" s="57">
        <f t="shared" si="0"/>
        <v>439.00558773411018</v>
      </c>
      <c r="D30" s="36">
        <v>1.6000000000000001E-3</v>
      </c>
      <c r="E30" s="32">
        <f t="shared" si="1"/>
        <v>0.70199999999999996</v>
      </c>
      <c r="F30" s="32">
        <f t="shared" si="2"/>
        <v>439.70758773411018</v>
      </c>
      <c r="G30" s="32">
        <f t="shared" si="3"/>
        <v>1.0844376324010039</v>
      </c>
      <c r="H30" s="75">
        <f t="shared" si="5"/>
        <v>440.79202536651115</v>
      </c>
      <c r="I30" s="33">
        <v>0</v>
      </c>
      <c r="J30" s="34">
        <v>0</v>
      </c>
      <c r="K30" s="35">
        <f t="shared" si="4"/>
        <v>440.79202536651115</v>
      </c>
    </row>
    <row r="31" spans="2:14" x14ac:dyDescent="0.3">
      <c r="B31" s="31">
        <v>36831</v>
      </c>
      <c r="C31" s="57">
        <f t="shared" si="0"/>
        <v>440.79202536651115</v>
      </c>
      <c r="D31" s="36">
        <v>2.8999999999999998E-3</v>
      </c>
      <c r="E31" s="32">
        <f t="shared" si="1"/>
        <v>1.278</v>
      </c>
      <c r="F31" s="32">
        <f t="shared" si="2"/>
        <v>442.07002536651117</v>
      </c>
      <c r="G31" s="32">
        <f t="shared" si="3"/>
        <v>1.0902640414606655</v>
      </c>
      <c r="H31" s="75">
        <f t="shared" si="5"/>
        <v>443.16028940797185</v>
      </c>
      <c r="I31" s="33">
        <v>0</v>
      </c>
      <c r="J31" s="34">
        <v>0</v>
      </c>
      <c r="K31" s="35">
        <f t="shared" si="4"/>
        <v>443.16028940797185</v>
      </c>
    </row>
    <row r="32" spans="2:14" x14ac:dyDescent="0.3">
      <c r="B32" s="31">
        <v>36861</v>
      </c>
      <c r="C32" s="57">
        <f t="shared" si="0"/>
        <v>443.16028940797185</v>
      </c>
      <c r="D32" s="36">
        <v>5.4999999999999997E-3</v>
      </c>
      <c r="E32" s="32">
        <f t="shared" si="1"/>
        <v>2.4369999999999998</v>
      </c>
      <c r="F32" s="32">
        <f t="shared" si="2"/>
        <v>445.59728940797186</v>
      </c>
      <c r="G32" s="32">
        <f t="shared" si="3"/>
        <v>1.0989632269481988</v>
      </c>
      <c r="H32" s="75">
        <f t="shared" si="5"/>
        <v>446.69625263492003</v>
      </c>
      <c r="I32" s="33">
        <v>0</v>
      </c>
      <c r="J32" s="34">
        <v>0</v>
      </c>
      <c r="K32" s="35">
        <f t="shared" si="4"/>
        <v>446.69625263492003</v>
      </c>
    </row>
    <row r="33" spans="2:11" x14ac:dyDescent="0.3">
      <c r="B33" s="31">
        <v>36892</v>
      </c>
      <c r="C33" s="57">
        <f t="shared" si="0"/>
        <v>446.69625263492003</v>
      </c>
      <c r="D33" s="36">
        <v>7.7000000000000002E-3</v>
      </c>
      <c r="E33" s="32">
        <f t="shared" si="1"/>
        <v>3.4390000000000001</v>
      </c>
      <c r="F33" s="32">
        <f t="shared" si="2"/>
        <v>450.13525263492005</v>
      </c>
      <c r="G33" s="32">
        <f t="shared" si="3"/>
        <v>1.1101550695159244</v>
      </c>
      <c r="H33" s="75">
        <f t="shared" si="5"/>
        <v>451.24540770443599</v>
      </c>
      <c r="I33" s="33">
        <v>0</v>
      </c>
      <c r="J33" s="34">
        <v>0</v>
      </c>
      <c r="K33" s="35">
        <f t="shared" si="4"/>
        <v>451.24540770443599</v>
      </c>
    </row>
    <row r="34" spans="2:11" x14ac:dyDescent="0.3">
      <c r="B34" s="31">
        <v>36923</v>
      </c>
      <c r="C34" s="57">
        <f t="shared" si="0"/>
        <v>451.24540770443599</v>
      </c>
      <c r="D34" s="36">
        <v>4.8999999999999998E-3</v>
      </c>
      <c r="E34" s="32">
        <f t="shared" si="1"/>
        <v>2.2109999999999999</v>
      </c>
      <c r="F34" s="32">
        <f t="shared" si="2"/>
        <v>453.456407704436</v>
      </c>
      <c r="G34" s="32">
        <f t="shared" si="3"/>
        <v>1.1183459346292195</v>
      </c>
      <c r="H34" s="75">
        <f t="shared" si="5"/>
        <v>454.57475363906525</v>
      </c>
      <c r="I34" s="33">
        <v>0</v>
      </c>
      <c r="J34" s="34">
        <v>0</v>
      </c>
      <c r="K34" s="35">
        <f t="shared" si="4"/>
        <v>454.57475363906525</v>
      </c>
    </row>
    <row r="35" spans="2:11" x14ac:dyDescent="0.3">
      <c r="B35" s="31">
        <v>36951</v>
      </c>
      <c r="C35" s="57">
        <f t="shared" si="0"/>
        <v>454.57475363906525</v>
      </c>
      <c r="D35" s="36">
        <v>4.7999999999999996E-3</v>
      </c>
      <c r="E35" s="32">
        <f t="shared" si="1"/>
        <v>2.181</v>
      </c>
      <c r="F35" s="32">
        <f t="shared" si="2"/>
        <v>456.75575363906523</v>
      </c>
      <c r="G35" s="32">
        <f t="shared" si="3"/>
        <v>1.1264830125274174</v>
      </c>
      <c r="H35" s="75">
        <f t="shared" si="5"/>
        <v>457.88223665159268</v>
      </c>
      <c r="I35" s="33">
        <v>0</v>
      </c>
      <c r="J35" s="34">
        <v>0</v>
      </c>
      <c r="K35" s="35">
        <f t="shared" si="4"/>
        <v>457.88223665159268</v>
      </c>
    </row>
    <row r="36" spans="2:11" x14ac:dyDescent="0.3">
      <c r="B36" s="31">
        <v>36982</v>
      </c>
      <c r="C36" s="57">
        <f t="shared" si="0"/>
        <v>457.88223665159268</v>
      </c>
      <c r="D36" s="36">
        <v>8.3999999999999995E-3</v>
      </c>
      <c r="E36" s="32">
        <f t="shared" si="1"/>
        <v>3.8460000000000001</v>
      </c>
      <c r="F36" s="32">
        <f t="shared" si="2"/>
        <v>461.72823665159268</v>
      </c>
      <c r="G36" s="32">
        <f t="shared" si="3"/>
        <v>1.1387464982067235</v>
      </c>
      <c r="H36" s="75">
        <f t="shared" si="5"/>
        <v>462.86698314979941</v>
      </c>
      <c r="I36" s="33">
        <v>0</v>
      </c>
      <c r="J36" s="34">
        <v>0</v>
      </c>
      <c r="K36" s="35">
        <f t="shared" si="4"/>
        <v>462.86698314979941</v>
      </c>
    </row>
    <row r="37" spans="2:11" x14ac:dyDescent="0.3">
      <c r="B37" s="31">
        <v>37012</v>
      </c>
      <c r="C37" s="57">
        <f t="shared" si="0"/>
        <v>462.86698314979941</v>
      </c>
      <c r="D37" s="36">
        <v>5.7000000000000002E-3</v>
      </c>
      <c r="E37" s="32">
        <f t="shared" si="1"/>
        <v>2.6379999999999999</v>
      </c>
      <c r="F37" s="32">
        <f t="shared" si="2"/>
        <v>465.50498314979939</v>
      </c>
      <c r="G37" s="32">
        <f t="shared" si="3"/>
        <v>1.1480609747928556</v>
      </c>
      <c r="H37" s="75">
        <f t="shared" si="5"/>
        <v>466.65304412459227</v>
      </c>
      <c r="I37" s="33">
        <v>0</v>
      </c>
      <c r="J37" s="34">
        <v>0</v>
      </c>
      <c r="K37" s="35">
        <f t="shared" si="4"/>
        <v>466.65304412459227</v>
      </c>
    </row>
    <row r="38" spans="2:11" x14ac:dyDescent="0.3">
      <c r="B38" s="31">
        <v>37043</v>
      </c>
      <c r="C38" s="57">
        <f t="shared" si="0"/>
        <v>466.65304412459227</v>
      </c>
      <c r="D38" s="36">
        <v>6.0000000000000001E-3</v>
      </c>
      <c r="E38" s="32">
        <f t="shared" si="1"/>
        <v>2.7989999999999999</v>
      </c>
      <c r="F38" s="32">
        <f t="shared" si="2"/>
        <v>469.45204412459225</v>
      </c>
      <c r="G38" s="32">
        <f t="shared" si="3"/>
        <v>1.1577954928631582</v>
      </c>
      <c r="H38" s="75">
        <f t="shared" si="5"/>
        <v>470.60983961745541</v>
      </c>
      <c r="I38" s="33">
        <v>0</v>
      </c>
      <c r="J38" s="34">
        <v>0</v>
      </c>
      <c r="K38" s="35">
        <f t="shared" si="4"/>
        <v>470.60983961745541</v>
      </c>
    </row>
    <row r="39" spans="2:11" x14ac:dyDescent="0.3">
      <c r="B39" s="31">
        <v>37073</v>
      </c>
      <c r="C39" s="57">
        <f t="shared" si="0"/>
        <v>470.60983961745541</v>
      </c>
      <c r="D39" s="36">
        <v>1.11E-2</v>
      </c>
      <c r="E39" s="32">
        <f t="shared" si="1"/>
        <v>5.2229999999999999</v>
      </c>
      <c r="F39" s="32">
        <f t="shared" si="2"/>
        <v>475.83283961745542</v>
      </c>
      <c r="G39" s="32">
        <f t="shared" si="3"/>
        <v>1.1735322573633418</v>
      </c>
      <c r="H39" s="75">
        <f t="shared" si="5"/>
        <v>477.00637187481874</v>
      </c>
      <c r="I39" s="33">
        <v>0</v>
      </c>
      <c r="J39" s="34">
        <v>0</v>
      </c>
      <c r="K39" s="35">
        <f t="shared" si="4"/>
        <v>477.00637187481874</v>
      </c>
    </row>
    <row r="40" spans="2:11" x14ac:dyDescent="0.3">
      <c r="B40" s="31">
        <v>37104</v>
      </c>
      <c r="C40" s="57">
        <f t="shared" si="0"/>
        <v>477.00637187481874</v>
      </c>
      <c r="D40" s="36">
        <v>7.9000000000000008E-3</v>
      </c>
      <c r="E40" s="32">
        <f t="shared" si="1"/>
        <v>3.7679999999999998</v>
      </c>
      <c r="F40" s="32">
        <f t="shared" si="2"/>
        <v>480.77437187481871</v>
      </c>
      <c r="G40" s="32">
        <f t="shared" si="3"/>
        <v>1.1857194101237092</v>
      </c>
      <c r="H40" s="75">
        <f t="shared" si="5"/>
        <v>481.96009128494239</v>
      </c>
      <c r="I40" s="33">
        <v>0</v>
      </c>
      <c r="J40" s="34">
        <v>0</v>
      </c>
      <c r="K40" s="35">
        <f t="shared" si="4"/>
        <v>481.96009128494239</v>
      </c>
    </row>
    <row r="41" spans="2:11" x14ac:dyDescent="0.3">
      <c r="B41" s="31">
        <v>37135</v>
      </c>
      <c r="C41" s="57">
        <f t="shared" si="0"/>
        <v>481.96009128494239</v>
      </c>
      <c r="D41" s="36">
        <v>4.4000000000000003E-3</v>
      </c>
      <c r="E41" s="32">
        <f t="shared" si="1"/>
        <v>2.12</v>
      </c>
      <c r="F41" s="32">
        <f t="shared" si="2"/>
        <v>484.0800912849424</v>
      </c>
      <c r="G41" s="32">
        <f t="shared" si="3"/>
        <v>1.193872206733315</v>
      </c>
      <c r="H41" s="75">
        <f t="shared" si="5"/>
        <v>485.27396349167572</v>
      </c>
      <c r="I41" s="33">
        <v>0</v>
      </c>
      <c r="J41" s="34">
        <v>0</v>
      </c>
      <c r="K41" s="35">
        <f t="shared" si="4"/>
        <v>485.27396349167572</v>
      </c>
    </row>
    <row r="42" spans="2:11" x14ac:dyDescent="0.3">
      <c r="B42" s="31">
        <v>37165</v>
      </c>
      <c r="C42" s="57">
        <f t="shared" si="0"/>
        <v>485.27396349167572</v>
      </c>
      <c r="D42" s="36">
        <v>9.4000000000000004E-3</v>
      </c>
      <c r="E42" s="32">
        <f t="shared" si="1"/>
        <v>4.5609999999999999</v>
      </c>
      <c r="F42" s="32">
        <f t="shared" si="2"/>
        <v>489.83496349167569</v>
      </c>
      <c r="G42" s="32">
        <f t="shared" si="3"/>
        <v>1.2080652754106149</v>
      </c>
      <c r="H42" s="75">
        <f t="shared" si="5"/>
        <v>491.0430287670863</v>
      </c>
      <c r="I42" s="33">
        <v>0</v>
      </c>
      <c r="J42" s="34">
        <v>0</v>
      </c>
      <c r="K42" s="35">
        <f t="shared" si="4"/>
        <v>491.0430287670863</v>
      </c>
    </row>
    <row r="43" spans="2:11" x14ac:dyDescent="0.3">
      <c r="B43" s="31">
        <v>37196</v>
      </c>
      <c r="C43" s="57">
        <f t="shared" si="0"/>
        <v>491.0430287670863</v>
      </c>
      <c r="D43" s="36">
        <v>1.29E-2</v>
      </c>
      <c r="E43" s="32">
        <f t="shared" si="1"/>
        <v>6.3339999999999996</v>
      </c>
      <c r="F43" s="32">
        <f t="shared" si="2"/>
        <v>497.3770287670863</v>
      </c>
      <c r="G43" s="32">
        <f t="shared" si="3"/>
        <v>1.226666044737402</v>
      </c>
      <c r="H43" s="75">
        <f t="shared" si="5"/>
        <v>498.60369481182369</v>
      </c>
      <c r="I43" s="33">
        <v>0</v>
      </c>
      <c r="J43" s="34">
        <v>0</v>
      </c>
      <c r="K43" s="35">
        <f t="shared" si="4"/>
        <v>498.60369481182369</v>
      </c>
    </row>
    <row r="44" spans="2:11" x14ac:dyDescent="0.3">
      <c r="B44" s="31">
        <v>37226</v>
      </c>
      <c r="C44" s="57">
        <f t="shared" si="0"/>
        <v>498.60369481182369</v>
      </c>
      <c r="D44" s="36">
        <v>7.4000000000000003E-3</v>
      </c>
      <c r="E44" s="32">
        <f t="shared" si="1"/>
        <v>3.6890000000000001</v>
      </c>
      <c r="F44" s="32">
        <f t="shared" si="2"/>
        <v>502.29269481182371</v>
      </c>
      <c r="G44" s="32">
        <f t="shared" si="3"/>
        <v>1.2387894044335566</v>
      </c>
      <c r="H44" s="75">
        <f t="shared" si="5"/>
        <v>503.53148421625724</v>
      </c>
      <c r="I44" s="33">
        <v>0</v>
      </c>
      <c r="J44" s="34">
        <v>0</v>
      </c>
      <c r="K44" s="35">
        <f t="shared" si="4"/>
        <v>503.53148421625724</v>
      </c>
    </row>
    <row r="45" spans="2:11" x14ac:dyDescent="0.3">
      <c r="B45" s="31">
        <v>37257</v>
      </c>
      <c r="C45" s="57">
        <f t="shared" si="0"/>
        <v>503.53148421625724</v>
      </c>
      <c r="D45" s="36">
        <v>1.0699999999999999E-2</v>
      </c>
      <c r="E45" s="32">
        <f t="shared" si="1"/>
        <v>5.3869999999999996</v>
      </c>
      <c r="F45" s="32">
        <f t="shared" si="2"/>
        <v>508.91848421625724</v>
      </c>
      <c r="G45" s="32">
        <f t="shared" si="3"/>
        <v>1.2551303900680288</v>
      </c>
      <c r="H45" s="75">
        <f t="shared" si="5"/>
        <v>510.17361460632526</v>
      </c>
      <c r="I45" s="33">
        <v>0</v>
      </c>
      <c r="J45" s="34">
        <v>0</v>
      </c>
      <c r="K45" s="35">
        <f t="shared" si="4"/>
        <v>510.17361460632526</v>
      </c>
    </row>
    <row r="46" spans="2:11" x14ac:dyDescent="0.3">
      <c r="B46" s="31">
        <v>37288</v>
      </c>
      <c r="C46" s="57">
        <f t="shared" si="0"/>
        <v>510.17361460632526</v>
      </c>
      <c r="D46" s="36">
        <v>3.0999999999999999E-3</v>
      </c>
      <c r="E46" s="32">
        <f t="shared" si="1"/>
        <v>1.581</v>
      </c>
      <c r="F46" s="32">
        <f t="shared" si="2"/>
        <v>511.75461460632528</v>
      </c>
      <c r="G46" s="32">
        <f t="shared" si="3"/>
        <v>1.2621250533651418</v>
      </c>
      <c r="H46" s="75">
        <f t="shared" si="5"/>
        <v>513.01673965969042</v>
      </c>
      <c r="I46" s="33">
        <v>0</v>
      </c>
      <c r="J46" s="34">
        <v>0</v>
      </c>
      <c r="K46" s="35">
        <f t="shared" si="4"/>
        <v>513.01673965969042</v>
      </c>
    </row>
    <row r="47" spans="2:11" x14ac:dyDescent="0.3">
      <c r="B47" s="31">
        <v>37316</v>
      </c>
      <c r="C47" s="57">
        <f t="shared" si="0"/>
        <v>513.01673965969042</v>
      </c>
      <c r="D47" s="36">
        <v>6.1999999999999998E-3</v>
      </c>
      <c r="E47" s="32">
        <f t="shared" si="1"/>
        <v>3.18</v>
      </c>
      <c r="F47" s="32">
        <f t="shared" si="2"/>
        <v>516.19673965969037</v>
      </c>
      <c r="G47" s="32">
        <f t="shared" si="3"/>
        <v>1.2730805331205046</v>
      </c>
      <c r="H47" s="75">
        <f t="shared" si="5"/>
        <v>517.46982019281086</v>
      </c>
      <c r="I47" s="33">
        <v>29</v>
      </c>
      <c r="J47" s="34">
        <v>0</v>
      </c>
      <c r="K47" s="35">
        <f t="shared" si="4"/>
        <v>488.46982019281086</v>
      </c>
    </row>
    <row r="48" spans="2:11" x14ac:dyDescent="0.3">
      <c r="B48" s="31">
        <v>37347</v>
      </c>
      <c r="C48" s="57">
        <f t="shared" si="0"/>
        <v>488.46982019281086</v>
      </c>
      <c r="D48" s="36">
        <v>6.7999999999999996E-3</v>
      </c>
      <c r="E48" s="32">
        <f t="shared" si="1"/>
        <v>3.3210000000000002</v>
      </c>
      <c r="F48" s="32">
        <f t="shared" si="2"/>
        <v>491.79082019281088</v>
      </c>
      <c r="G48" s="32">
        <f t="shared" si="3"/>
        <v>1.2128889461169237</v>
      </c>
      <c r="H48" s="75">
        <f t="shared" si="5"/>
        <v>493.00370913892783</v>
      </c>
      <c r="I48" s="33">
        <v>0</v>
      </c>
      <c r="J48" s="34">
        <v>0</v>
      </c>
      <c r="K48" s="35">
        <f t="shared" si="4"/>
        <v>493.00370913892783</v>
      </c>
    </row>
    <row r="49" spans="2:11" x14ac:dyDescent="0.3">
      <c r="B49" s="31">
        <v>37377</v>
      </c>
      <c r="C49" s="57">
        <f t="shared" si="0"/>
        <v>493.00370913892783</v>
      </c>
      <c r="D49" s="36">
        <v>8.9999999999999998E-4</v>
      </c>
      <c r="E49" s="32">
        <f t="shared" si="1"/>
        <v>0.443</v>
      </c>
      <c r="F49" s="32">
        <f t="shared" si="2"/>
        <v>493.44670913892782</v>
      </c>
      <c r="G49" s="32">
        <f t="shared" si="3"/>
        <v>1.2169728153480635</v>
      </c>
      <c r="H49" s="75">
        <f t="shared" si="5"/>
        <v>494.66368195427589</v>
      </c>
      <c r="I49" s="33">
        <v>0</v>
      </c>
      <c r="J49" s="34">
        <v>0</v>
      </c>
      <c r="K49" s="35">
        <f t="shared" si="4"/>
        <v>494.66368195427589</v>
      </c>
    </row>
    <row r="50" spans="2:11" x14ac:dyDescent="0.3">
      <c r="B50" s="31">
        <v>37408</v>
      </c>
      <c r="C50" s="57">
        <f t="shared" si="0"/>
        <v>494.66368195427589</v>
      </c>
      <c r="D50" s="36">
        <v>6.1000000000000004E-3</v>
      </c>
      <c r="E50" s="32">
        <f t="shared" si="1"/>
        <v>3.0169999999999999</v>
      </c>
      <c r="F50" s="32">
        <f t="shared" si="2"/>
        <v>497.68068195427588</v>
      </c>
      <c r="G50" s="32">
        <f t="shared" si="3"/>
        <v>1.2274149354833719</v>
      </c>
      <c r="H50" s="75">
        <f t="shared" si="5"/>
        <v>498.90809688975924</v>
      </c>
      <c r="I50" s="33">
        <v>0</v>
      </c>
      <c r="J50" s="34">
        <v>0</v>
      </c>
      <c r="K50" s="35">
        <f t="shared" si="4"/>
        <v>498.90809688975924</v>
      </c>
    </row>
    <row r="51" spans="2:11" x14ac:dyDescent="0.3">
      <c r="B51" s="31">
        <v>37438</v>
      </c>
      <c r="C51" s="57">
        <f t="shared" si="0"/>
        <v>498.90809688975924</v>
      </c>
      <c r="D51" s="36">
        <v>1.15E-2</v>
      </c>
      <c r="E51" s="32">
        <f t="shared" si="1"/>
        <v>5.7370000000000001</v>
      </c>
      <c r="F51" s="32">
        <f t="shared" si="2"/>
        <v>504.64509688975926</v>
      </c>
      <c r="G51" s="32">
        <f t="shared" si="3"/>
        <v>1.2445910631063066</v>
      </c>
      <c r="H51" s="75">
        <f t="shared" si="5"/>
        <v>505.88968795286559</v>
      </c>
      <c r="I51" s="33">
        <v>0</v>
      </c>
      <c r="J51" s="34">
        <v>0</v>
      </c>
      <c r="K51" s="35">
        <f t="shared" si="4"/>
        <v>505.88968795286559</v>
      </c>
    </row>
    <row r="52" spans="2:11" x14ac:dyDescent="0.3">
      <c r="B52" s="31">
        <v>37469</v>
      </c>
      <c r="C52" s="57">
        <f t="shared" si="0"/>
        <v>505.88968795286559</v>
      </c>
      <c r="D52" s="36">
        <v>8.6E-3</v>
      </c>
      <c r="E52" s="32">
        <f t="shared" si="1"/>
        <v>4.3499999999999996</v>
      </c>
      <c r="F52" s="32">
        <f t="shared" si="2"/>
        <v>510.23968795286561</v>
      </c>
      <c r="G52" s="32">
        <f t="shared" si="3"/>
        <v>1.2583888352075139</v>
      </c>
      <c r="H52" s="75">
        <f t="shared" si="5"/>
        <v>511.49807678807315</v>
      </c>
      <c r="I52" s="33">
        <v>0</v>
      </c>
      <c r="J52" s="34">
        <v>0</v>
      </c>
      <c r="K52" s="35">
        <f t="shared" si="4"/>
        <v>511.49807678807315</v>
      </c>
    </row>
    <row r="53" spans="2:11" x14ac:dyDescent="0.3">
      <c r="B53" s="31">
        <v>37500</v>
      </c>
      <c r="C53" s="57">
        <f t="shared" si="0"/>
        <v>511.49807678807315</v>
      </c>
      <c r="D53" s="36">
        <v>8.3000000000000001E-3</v>
      </c>
      <c r="E53" s="32">
        <f t="shared" si="1"/>
        <v>4.2450000000000001</v>
      </c>
      <c r="F53" s="32">
        <f t="shared" si="2"/>
        <v>515.74307678807315</v>
      </c>
      <c r="G53" s="32">
        <f t="shared" si="3"/>
        <v>1.2719616779901213</v>
      </c>
      <c r="H53" s="75">
        <f t="shared" si="5"/>
        <v>517.01503846606329</v>
      </c>
      <c r="I53" s="33">
        <v>0</v>
      </c>
      <c r="J53" s="34">
        <v>0</v>
      </c>
      <c r="K53" s="35">
        <f t="shared" si="4"/>
        <v>517.01503846606329</v>
      </c>
    </row>
    <row r="54" spans="2:11" x14ac:dyDescent="0.3">
      <c r="B54" s="31">
        <v>37530</v>
      </c>
      <c r="C54" s="57">
        <f t="shared" si="0"/>
        <v>517.01503846606329</v>
      </c>
      <c r="D54" s="36">
        <v>1.5699999999999999E-2</v>
      </c>
      <c r="E54" s="32">
        <f t="shared" si="1"/>
        <v>8.1170000000000009</v>
      </c>
      <c r="F54" s="32">
        <f t="shared" si="2"/>
        <v>525.13203846606325</v>
      </c>
      <c r="G54" s="32">
        <f t="shared" si="3"/>
        <v>1.2951173925076978</v>
      </c>
      <c r="H54" s="75">
        <f t="shared" si="5"/>
        <v>526.42715585857093</v>
      </c>
      <c r="I54" s="33">
        <v>0</v>
      </c>
      <c r="J54" s="34">
        <v>0</v>
      </c>
      <c r="K54" s="35">
        <f t="shared" si="4"/>
        <v>526.42715585857093</v>
      </c>
    </row>
    <row r="55" spans="2:11" x14ac:dyDescent="0.3">
      <c r="B55" s="31">
        <v>37561</v>
      </c>
      <c r="C55" s="57">
        <f t="shared" si="0"/>
        <v>526.42715585857093</v>
      </c>
      <c r="D55" s="36">
        <v>3.39E-2</v>
      </c>
      <c r="E55" s="32">
        <f t="shared" si="1"/>
        <v>17.844999999999999</v>
      </c>
      <c r="F55" s="32">
        <f t="shared" si="2"/>
        <v>544.27215585857095</v>
      </c>
      <c r="G55" s="32">
        <f t="shared" si="3"/>
        <v>1.3423220898293178</v>
      </c>
      <c r="H55" s="75">
        <f t="shared" si="5"/>
        <v>545.61447794840024</v>
      </c>
      <c r="I55" s="33">
        <v>0</v>
      </c>
      <c r="J55" s="34">
        <v>0</v>
      </c>
      <c r="K55" s="35">
        <f t="shared" si="4"/>
        <v>545.61447794840024</v>
      </c>
    </row>
    <row r="56" spans="2:11" x14ac:dyDescent="0.3">
      <c r="B56" s="31">
        <v>37591</v>
      </c>
      <c r="C56" s="57">
        <f t="shared" si="0"/>
        <v>545.61447794840024</v>
      </c>
      <c r="D56" s="36">
        <v>2.7E-2</v>
      </c>
      <c r="E56" s="32">
        <f t="shared" si="1"/>
        <v>14.731</v>
      </c>
      <c r="F56" s="32">
        <f t="shared" si="2"/>
        <v>560.34547794840023</v>
      </c>
      <c r="G56" s="32">
        <f t="shared" si="3"/>
        <v>1.3819632418998011</v>
      </c>
      <c r="H56" s="75">
        <f t="shared" si="5"/>
        <v>561.72744119030006</v>
      </c>
      <c r="I56" s="33">
        <v>0</v>
      </c>
      <c r="J56" s="34">
        <v>0</v>
      </c>
      <c r="K56" s="35">
        <f t="shared" si="4"/>
        <v>561.72744119030006</v>
      </c>
    </row>
    <row r="57" spans="2:11" x14ac:dyDescent="0.3">
      <c r="B57" s="31">
        <v>37622</v>
      </c>
      <c r="C57" s="57">
        <f t="shared" si="0"/>
        <v>561.72744119030006</v>
      </c>
      <c r="D57" s="36">
        <v>2.47E-2</v>
      </c>
      <c r="E57" s="32">
        <f t="shared" si="1"/>
        <v>13.874000000000001</v>
      </c>
      <c r="F57" s="32">
        <f t="shared" si="2"/>
        <v>575.60144119030008</v>
      </c>
      <c r="G57" s="32">
        <f t="shared" si="3"/>
        <v>1.4195885663644014</v>
      </c>
      <c r="H57" s="75">
        <f t="shared" si="5"/>
        <v>577.02102975666446</v>
      </c>
      <c r="I57" s="33">
        <v>0</v>
      </c>
      <c r="J57" s="34">
        <v>0</v>
      </c>
      <c r="K57" s="35">
        <f t="shared" si="4"/>
        <v>577.02102975666446</v>
      </c>
    </row>
    <row r="58" spans="2:11" x14ac:dyDescent="0.3">
      <c r="B58" s="31">
        <v>37653</v>
      </c>
      <c r="C58" s="57">
        <f t="shared" si="0"/>
        <v>577.02102975666446</v>
      </c>
      <c r="D58" s="36">
        <v>1.46E-2</v>
      </c>
      <c r="E58" s="32">
        <f t="shared" si="1"/>
        <v>8.4239999999999995</v>
      </c>
      <c r="F58" s="32">
        <f t="shared" si="2"/>
        <v>585.44502975666444</v>
      </c>
      <c r="G58" s="32">
        <f t="shared" si="3"/>
        <v>1.4438655135379688</v>
      </c>
      <c r="H58" s="75">
        <f t="shared" si="5"/>
        <v>586.8888952702024</v>
      </c>
      <c r="I58" s="33">
        <v>0</v>
      </c>
      <c r="J58" s="34">
        <v>0</v>
      </c>
      <c r="K58" s="35">
        <f t="shared" si="4"/>
        <v>586.8888952702024</v>
      </c>
    </row>
    <row r="59" spans="2:11" x14ac:dyDescent="0.3">
      <c r="B59" s="31">
        <v>37681</v>
      </c>
      <c r="C59" s="57">
        <f t="shared" si="0"/>
        <v>586.8888952702024</v>
      </c>
      <c r="D59" s="36">
        <v>1.37E-2</v>
      </c>
      <c r="E59" s="32">
        <f t="shared" si="1"/>
        <v>8.0399999999999991</v>
      </c>
      <c r="F59" s="32">
        <f t="shared" si="2"/>
        <v>594.92889527020236</v>
      </c>
      <c r="G59" s="32">
        <f t="shared" si="3"/>
        <v>1.4672552865380419</v>
      </c>
      <c r="H59" s="75">
        <f t="shared" si="5"/>
        <v>596.39615055674039</v>
      </c>
      <c r="I59" s="33">
        <v>0</v>
      </c>
      <c r="J59" s="34">
        <v>0</v>
      </c>
      <c r="K59" s="35">
        <f t="shared" si="4"/>
        <v>596.39615055674039</v>
      </c>
    </row>
    <row r="60" spans="2:11" x14ac:dyDescent="0.3">
      <c r="B60" s="31">
        <v>37712</v>
      </c>
      <c r="C60" s="57">
        <f t="shared" si="0"/>
        <v>596.39615055674039</v>
      </c>
      <c r="D60" s="36">
        <v>1.38E-2</v>
      </c>
      <c r="E60" s="32">
        <f t="shared" si="1"/>
        <v>8.23</v>
      </c>
      <c r="F60" s="32">
        <f t="shared" si="2"/>
        <v>604.62615055674041</v>
      </c>
      <c r="G60" s="32">
        <f t="shared" si="3"/>
        <v>1.4911713363335721</v>
      </c>
      <c r="H60" s="75">
        <f t="shared" si="5"/>
        <v>606.11732189307395</v>
      </c>
      <c r="I60" s="33">
        <v>0</v>
      </c>
      <c r="J60" s="34">
        <v>0</v>
      </c>
      <c r="K60" s="35">
        <f t="shared" si="4"/>
        <v>606.11732189307395</v>
      </c>
    </row>
    <row r="61" spans="2:11" x14ac:dyDescent="0.3">
      <c r="B61" s="31">
        <v>37742</v>
      </c>
      <c r="C61" s="57">
        <f t="shared" si="0"/>
        <v>606.11732189307395</v>
      </c>
      <c r="D61" s="36">
        <v>9.9000000000000008E-3</v>
      </c>
      <c r="E61" s="32">
        <f t="shared" si="1"/>
        <v>6</v>
      </c>
      <c r="F61" s="32">
        <f t="shared" si="2"/>
        <v>612.11732189307395</v>
      </c>
      <c r="G61" s="32">
        <f t="shared" si="3"/>
        <v>1.5096465874652314</v>
      </c>
      <c r="H61" s="75">
        <f t="shared" si="5"/>
        <v>613.62696848053918</v>
      </c>
      <c r="I61" s="33">
        <v>0</v>
      </c>
      <c r="J61" s="34">
        <v>0</v>
      </c>
      <c r="K61" s="35">
        <f t="shared" si="4"/>
        <v>613.62696848053918</v>
      </c>
    </row>
    <row r="62" spans="2:11" x14ac:dyDescent="0.3">
      <c r="B62" s="31">
        <v>37773</v>
      </c>
      <c r="C62" s="57">
        <f t="shared" si="0"/>
        <v>613.62696848053918</v>
      </c>
      <c r="D62" s="36">
        <v>-5.9999999999999995E-4</v>
      </c>
      <c r="E62" s="32">
        <f t="shared" si="1"/>
        <v>-0.36799999999999999</v>
      </c>
      <c r="F62" s="32">
        <f t="shared" si="2"/>
        <v>613.25896848053912</v>
      </c>
      <c r="G62" s="32">
        <f t="shared" si="3"/>
        <v>1.5124621961944993</v>
      </c>
      <c r="H62" s="75">
        <f t="shared" si="5"/>
        <v>614.77143067673364</v>
      </c>
      <c r="I62" s="33">
        <v>0</v>
      </c>
      <c r="J62" s="34">
        <v>0</v>
      </c>
      <c r="K62" s="35">
        <f t="shared" si="4"/>
        <v>614.77143067673364</v>
      </c>
    </row>
    <row r="63" spans="2:11" x14ac:dyDescent="0.3">
      <c r="B63" s="31">
        <v>37803</v>
      </c>
      <c r="C63" s="57">
        <f t="shared" si="0"/>
        <v>614.77143067673364</v>
      </c>
      <c r="D63" s="36">
        <v>4.0000000000000002E-4</v>
      </c>
      <c r="E63" s="32">
        <f t="shared" si="1"/>
        <v>0.245</v>
      </c>
      <c r="F63" s="32">
        <f t="shared" si="2"/>
        <v>615.01643067673365</v>
      </c>
      <c r="G63" s="32">
        <f t="shared" si="3"/>
        <v>1.5167965724851078</v>
      </c>
      <c r="H63" s="75">
        <f t="shared" si="5"/>
        <v>616.53322724921873</v>
      </c>
      <c r="I63" s="33">
        <v>0</v>
      </c>
      <c r="J63" s="34">
        <v>0</v>
      </c>
      <c r="K63" s="35">
        <f t="shared" si="4"/>
        <v>616.53322724921873</v>
      </c>
    </row>
    <row r="64" spans="2:11" x14ac:dyDescent="0.3">
      <c r="B64" s="31">
        <v>37834</v>
      </c>
      <c r="C64" s="57">
        <f t="shared" si="0"/>
        <v>616.53322724921873</v>
      </c>
      <c r="D64" s="36">
        <v>1.8E-3</v>
      </c>
      <c r="E64" s="32">
        <f t="shared" si="1"/>
        <v>1.109</v>
      </c>
      <c r="F64" s="32">
        <f t="shared" si="2"/>
        <v>617.64222724921876</v>
      </c>
      <c r="G64" s="32">
        <f t="shared" si="3"/>
        <v>1.5232724957979307</v>
      </c>
      <c r="H64" s="75">
        <f t="shared" si="5"/>
        <v>619.16549974501675</v>
      </c>
      <c r="I64" s="33">
        <v>0</v>
      </c>
      <c r="J64" s="34">
        <v>0</v>
      </c>
      <c r="K64" s="35">
        <f t="shared" si="4"/>
        <v>619.16549974501675</v>
      </c>
    </row>
    <row r="65" spans="2:11" x14ac:dyDescent="0.3">
      <c r="B65" s="31">
        <v>37865</v>
      </c>
      <c r="C65" s="57">
        <f t="shared" si="0"/>
        <v>619.16549974501675</v>
      </c>
      <c r="D65" s="36">
        <v>8.2000000000000007E-3</v>
      </c>
      <c r="E65" s="32">
        <f t="shared" si="1"/>
        <v>5.077</v>
      </c>
      <c r="F65" s="32">
        <f t="shared" si="2"/>
        <v>624.24249974501674</v>
      </c>
      <c r="G65" s="32">
        <f t="shared" si="3"/>
        <v>1.5395505498461424</v>
      </c>
      <c r="H65" s="75">
        <f t="shared" si="5"/>
        <v>625.78205029486287</v>
      </c>
      <c r="I65" s="33">
        <v>0</v>
      </c>
      <c r="J65" s="34">
        <v>0</v>
      </c>
      <c r="K65" s="35">
        <f t="shared" si="4"/>
        <v>625.78205029486287</v>
      </c>
    </row>
    <row r="66" spans="2:11" x14ac:dyDescent="0.3">
      <c r="B66" s="31">
        <v>37895</v>
      </c>
      <c r="C66" s="57">
        <f t="shared" si="0"/>
        <v>625.78205029486287</v>
      </c>
      <c r="D66" s="36">
        <v>3.8999999999999998E-3</v>
      </c>
      <c r="E66" s="32">
        <f t="shared" si="1"/>
        <v>2.44</v>
      </c>
      <c r="F66" s="32">
        <f t="shared" si="2"/>
        <v>628.22205029486292</v>
      </c>
      <c r="G66" s="32">
        <f t="shared" si="3"/>
        <v>1.5493651959807115</v>
      </c>
      <c r="H66" s="75">
        <f t="shared" si="5"/>
        <v>629.77141549084365</v>
      </c>
      <c r="I66" s="33">
        <v>0</v>
      </c>
      <c r="J66" s="34">
        <v>0</v>
      </c>
      <c r="K66" s="35">
        <f t="shared" si="4"/>
        <v>629.77141549084365</v>
      </c>
    </row>
    <row r="67" spans="2:11" x14ac:dyDescent="0.3">
      <c r="B67" s="31">
        <v>37926</v>
      </c>
      <c r="C67" s="57">
        <f t="shared" si="0"/>
        <v>629.77141549084365</v>
      </c>
      <c r="D67" s="36">
        <v>3.7000000000000002E-3</v>
      </c>
      <c r="E67" s="32">
        <f t="shared" si="1"/>
        <v>2.33</v>
      </c>
      <c r="F67" s="32">
        <f t="shared" si="2"/>
        <v>632.10141549084369</v>
      </c>
      <c r="G67" s="32">
        <f t="shared" si="3"/>
        <v>1.5589327579826031</v>
      </c>
      <c r="H67" s="75">
        <f t="shared" si="5"/>
        <v>633.66034824882627</v>
      </c>
      <c r="I67" s="33">
        <v>0</v>
      </c>
      <c r="J67" s="34">
        <v>0</v>
      </c>
      <c r="K67" s="35">
        <f t="shared" si="4"/>
        <v>633.66034824882627</v>
      </c>
    </row>
    <row r="68" spans="2:11" x14ac:dyDescent="0.3">
      <c r="B68" s="31">
        <v>37956</v>
      </c>
      <c r="C68" s="57">
        <f t="shared" si="0"/>
        <v>633.66034824882627</v>
      </c>
      <c r="D68" s="36">
        <v>5.4000000000000003E-3</v>
      </c>
      <c r="E68" s="32">
        <f t="shared" si="1"/>
        <v>3.4209999999999998</v>
      </c>
      <c r="F68" s="32">
        <f t="shared" si="2"/>
        <v>637.08134824882632</v>
      </c>
      <c r="G68" s="32">
        <f t="shared" si="3"/>
        <v>1.5712146167456329</v>
      </c>
      <c r="H68" s="75">
        <f t="shared" si="5"/>
        <v>638.65256286557189</v>
      </c>
      <c r="I68" s="33">
        <v>0</v>
      </c>
      <c r="J68" s="34">
        <v>0</v>
      </c>
      <c r="K68" s="35">
        <f t="shared" si="4"/>
        <v>638.65256286557189</v>
      </c>
    </row>
    <row r="69" spans="2:11" x14ac:dyDescent="0.3">
      <c r="B69" s="31">
        <v>37987</v>
      </c>
      <c r="C69" s="57">
        <f t="shared" si="0"/>
        <v>638.65256286557189</v>
      </c>
      <c r="D69" s="36">
        <v>8.3000000000000001E-3</v>
      </c>
      <c r="E69" s="32">
        <f t="shared" si="1"/>
        <v>5.3</v>
      </c>
      <c r="F69" s="32">
        <f t="shared" si="2"/>
        <v>643.95256286557185</v>
      </c>
      <c r="G69" s="32">
        <f t="shared" si="3"/>
        <v>1.5881608872184738</v>
      </c>
      <c r="H69" s="75">
        <f t="shared" si="5"/>
        <v>645.54072375279031</v>
      </c>
      <c r="I69" s="33">
        <v>0</v>
      </c>
      <c r="J69" s="34">
        <v>0</v>
      </c>
      <c r="K69" s="35">
        <f t="shared" si="4"/>
        <v>645.54072375279031</v>
      </c>
    </row>
    <row r="70" spans="2:11" x14ac:dyDescent="0.3">
      <c r="B70" s="31">
        <v>38018</v>
      </c>
      <c r="C70" s="57">
        <f t="shared" si="0"/>
        <v>645.54072375279031</v>
      </c>
      <c r="D70" s="36">
        <v>3.8999999999999998E-3</v>
      </c>
      <c r="E70" s="32">
        <f t="shared" si="1"/>
        <v>2.5169999999999999</v>
      </c>
      <c r="F70" s="32">
        <f t="shared" si="2"/>
        <v>648.05772375279037</v>
      </c>
      <c r="G70" s="32">
        <f t="shared" si="3"/>
        <v>1.5982853223597944</v>
      </c>
      <c r="H70" s="75">
        <f t="shared" si="5"/>
        <v>649.65600907515011</v>
      </c>
      <c r="I70" s="33">
        <v>0</v>
      </c>
      <c r="J70" s="34">
        <v>0</v>
      </c>
      <c r="K70" s="35">
        <f t="shared" si="4"/>
        <v>649.65600907515011</v>
      </c>
    </row>
    <row r="71" spans="2:11" x14ac:dyDescent="0.3">
      <c r="B71" s="31">
        <v>38047</v>
      </c>
      <c r="C71" s="57">
        <f t="shared" si="0"/>
        <v>649.65600907515011</v>
      </c>
      <c r="D71" s="36">
        <v>5.7000000000000002E-3</v>
      </c>
      <c r="E71" s="32">
        <f t="shared" si="1"/>
        <v>3.7029999999999998</v>
      </c>
      <c r="F71" s="32">
        <f t="shared" si="2"/>
        <v>653.35900907515008</v>
      </c>
      <c r="G71" s="32">
        <f t="shared" si="3"/>
        <v>1.6113597233117705</v>
      </c>
      <c r="H71" s="75">
        <f t="shared" si="5"/>
        <v>654.97036879846189</v>
      </c>
      <c r="I71" s="33">
        <v>0</v>
      </c>
      <c r="J71" s="34">
        <v>0</v>
      </c>
      <c r="K71" s="35">
        <f t="shared" si="4"/>
        <v>654.97036879846189</v>
      </c>
    </row>
    <row r="72" spans="2:11" x14ac:dyDescent="0.3">
      <c r="B72" s="31">
        <v>38078</v>
      </c>
      <c r="C72" s="57">
        <f t="shared" si="0"/>
        <v>654.97036879846189</v>
      </c>
      <c r="D72" s="36">
        <v>4.1000000000000003E-3</v>
      </c>
      <c r="E72" s="32">
        <f t="shared" si="1"/>
        <v>2.6850000000000001</v>
      </c>
      <c r="F72" s="32">
        <f t="shared" si="2"/>
        <v>657.65536879846184</v>
      </c>
      <c r="G72" s="32">
        <f t="shared" si="3"/>
        <v>1.6219557064065824</v>
      </c>
      <c r="H72" s="75">
        <f t="shared" si="5"/>
        <v>659.27732450486837</v>
      </c>
      <c r="I72" s="33">
        <v>0</v>
      </c>
      <c r="J72" s="34">
        <v>0</v>
      </c>
      <c r="K72" s="35">
        <f t="shared" si="4"/>
        <v>659.27732450486837</v>
      </c>
    </row>
    <row r="73" spans="2:11" x14ac:dyDescent="0.3">
      <c r="B73" s="31">
        <v>38108</v>
      </c>
      <c r="C73" s="57">
        <f t="shared" si="0"/>
        <v>659.27732450486837</v>
      </c>
      <c r="D73" s="36">
        <v>4.0000000000000001E-3</v>
      </c>
      <c r="E73" s="32">
        <f t="shared" si="1"/>
        <v>2.637</v>
      </c>
      <c r="F73" s="32">
        <f t="shared" si="2"/>
        <v>661.91432450486832</v>
      </c>
      <c r="G73" s="32">
        <f t="shared" si="3"/>
        <v>1.6324594410966216</v>
      </c>
      <c r="H73" s="75">
        <f t="shared" si="5"/>
        <v>663.54678394596499</v>
      </c>
      <c r="I73" s="33">
        <v>0</v>
      </c>
      <c r="J73" s="34">
        <v>0</v>
      </c>
      <c r="K73" s="35">
        <f t="shared" si="4"/>
        <v>663.54678394596499</v>
      </c>
    </row>
    <row r="74" spans="2:11" x14ac:dyDescent="0.3">
      <c r="B74" s="31">
        <v>38139</v>
      </c>
      <c r="C74" s="57">
        <f t="shared" ref="C74:C137" si="6">K73</f>
        <v>663.54678394596499</v>
      </c>
      <c r="D74" s="36">
        <v>5.0000000000000001E-3</v>
      </c>
      <c r="E74" s="32">
        <f t="shared" ref="E74:E137" si="7">ROUNDDOWN(D74*C74,3)</f>
        <v>3.3170000000000002</v>
      </c>
      <c r="F74" s="32">
        <f t="shared" ref="F74:F137" si="8">E74+C74</f>
        <v>666.863783945965</v>
      </c>
      <c r="G74" s="32">
        <f t="shared" ref="G74:G137" si="9">F74*$A$9</f>
        <v>1.6446661444324151</v>
      </c>
      <c r="H74" s="75">
        <f t="shared" ref="H74:H137" si="10">G74+F74</f>
        <v>668.50845009039745</v>
      </c>
      <c r="I74" s="33">
        <v>0</v>
      </c>
      <c r="J74" s="34">
        <v>0</v>
      </c>
      <c r="K74" s="35">
        <f t="shared" ref="K74:K137" si="11">H74-I74+J74</f>
        <v>668.50845009039745</v>
      </c>
    </row>
    <row r="75" spans="2:11" x14ac:dyDescent="0.3">
      <c r="B75" s="31">
        <v>38169</v>
      </c>
      <c r="C75" s="57">
        <f t="shared" si="6"/>
        <v>668.50845009039745</v>
      </c>
      <c r="D75" s="36">
        <v>7.3000000000000001E-3</v>
      </c>
      <c r="E75" s="32">
        <f t="shared" si="7"/>
        <v>4.88</v>
      </c>
      <c r="F75" s="32">
        <f t="shared" si="8"/>
        <v>673.38845009039744</v>
      </c>
      <c r="G75" s="32">
        <f t="shared" si="9"/>
        <v>1.6607577328044445</v>
      </c>
      <c r="H75" s="75">
        <f t="shared" si="10"/>
        <v>675.04920782320187</v>
      </c>
      <c r="I75" s="33">
        <v>0</v>
      </c>
      <c r="J75" s="34">
        <v>0</v>
      </c>
      <c r="K75" s="35">
        <f t="shared" si="11"/>
        <v>675.04920782320187</v>
      </c>
    </row>
    <row r="76" spans="2:11" x14ac:dyDescent="0.3">
      <c r="B76" s="31">
        <v>38200</v>
      </c>
      <c r="C76" s="57">
        <f t="shared" si="6"/>
        <v>675.04920782320187</v>
      </c>
      <c r="D76" s="36">
        <v>5.0000000000000001E-3</v>
      </c>
      <c r="E76" s="32">
        <f t="shared" si="7"/>
        <v>3.375</v>
      </c>
      <c r="F76" s="32">
        <f t="shared" si="8"/>
        <v>678.42420782320187</v>
      </c>
      <c r="G76" s="32">
        <f t="shared" si="9"/>
        <v>1.6731772710281281</v>
      </c>
      <c r="H76" s="75">
        <f t="shared" si="10"/>
        <v>680.09738509423005</v>
      </c>
      <c r="I76" s="33">
        <v>0</v>
      </c>
      <c r="J76" s="34">
        <v>0</v>
      </c>
      <c r="K76" s="35">
        <f t="shared" si="11"/>
        <v>680.09738509423005</v>
      </c>
    </row>
    <row r="77" spans="2:11" x14ac:dyDescent="0.3">
      <c r="B77" s="31">
        <v>38231</v>
      </c>
      <c r="C77" s="57">
        <f t="shared" si="6"/>
        <v>680.09738509423005</v>
      </c>
      <c r="D77" s="36">
        <v>1.6999999999999999E-3</v>
      </c>
      <c r="E77" s="32">
        <f t="shared" si="7"/>
        <v>1.1559999999999999</v>
      </c>
      <c r="F77" s="32">
        <f t="shared" si="8"/>
        <v>681.25338509423</v>
      </c>
      <c r="G77" s="32">
        <f t="shared" si="9"/>
        <v>1.6801547860563466</v>
      </c>
      <c r="H77" s="75">
        <f t="shared" si="10"/>
        <v>682.93353988028639</v>
      </c>
      <c r="I77" s="33">
        <v>0</v>
      </c>
      <c r="J77" s="34">
        <v>91.47</v>
      </c>
      <c r="K77" s="35">
        <f t="shared" si="11"/>
        <v>774.40353988028642</v>
      </c>
    </row>
    <row r="78" spans="2:11" x14ac:dyDescent="0.3">
      <c r="B78" s="31">
        <v>38261</v>
      </c>
      <c r="C78" s="57">
        <f t="shared" si="6"/>
        <v>774.40353988028642</v>
      </c>
      <c r="D78" s="36">
        <v>1.6999999999999999E-3</v>
      </c>
      <c r="E78" s="32">
        <f t="shared" si="7"/>
        <v>1.3160000000000001</v>
      </c>
      <c r="F78" s="32">
        <f t="shared" si="8"/>
        <v>775.71953988028645</v>
      </c>
      <c r="G78" s="32">
        <f t="shared" si="9"/>
        <v>1.913133829620554</v>
      </c>
      <c r="H78" s="75">
        <f t="shared" si="10"/>
        <v>777.63267370990695</v>
      </c>
      <c r="I78" s="33">
        <v>0</v>
      </c>
      <c r="J78" s="34">
        <v>0</v>
      </c>
      <c r="K78" s="35">
        <f t="shared" si="11"/>
        <v>777.63267370990695</v>
      </c>
    </row>
    <row r="79" spans="2:11" x14ac:dyDescent="0.3">
      <c r="B79" s="31">
        <v>38292</v>
      </c>
      <c r="C79" s="57">
        <f t="shared" si="6"/>
        <v>777.63267370990695</v>
      </c>
      <c r="D79" s="36">
        <v>4.4000000000000003E-3</v>
      </c>
      <c r="E79" s="32">
        <f t="shared" si="7"/>
        <v>3.4209999999999998</v>
      </c>
      <c r="F79" s="32">
        <f t="shared" si="8"/>
        <v>781.053673709907</v>
      </c>
      <c r="G79" s="32">
        <f t="shared" si="9"/>
        <v>1.9262892438605324</v>
      </c>
      <c r="H79" s="75">
        <f t="shared" si="10"/>
        <v>782.97996295376754</v>
      </c>
      <c r="I79" s="33">
        <v>0</v>
      </c>
      <c r="J79" s="34">
        <v>0</v>
      </c>
      <c r="K79" s="35">
        <f t="shared" si="11"/>
        <v>782.97996295376754</v>
      </c>
    </row>
    <row r="80" spans="2:11" x14ac:dyDescent="0.3">
      <c r="B80" s="31">
        <v>38322</v>
      </c>
      <c r="C80" s="57">
        <f t="shared" si="6"/>
        <v>782.97996295376754</v>
      </c>
      <c r="D80" s="36">
        <v>8.6E-3</v>
      </c>
      <c r="E80" s="32">
        <f t="shared" si="7"/>
        <v>6.7329999999999997</v>
      </c>
      <c r="F80" s="32">
        <f t="shared" si="8"/>
        <v>789.71296295376749</v>
      </c>
      <c r="G80" s="32">
        <f t="shared" si="9"/>
        <v>1.9476453891439882</v>
      </c>
      <c r="H80" s="75">
        <f t="shared" si="10"/>
        <v>791.66060834291147</v>
      </c>
      <c r="I80" s="33">
        <v>0</v>
      </c>
      <c r="J80" s="34">
        <v>0</v>
      </c>
      <c r="K80" s="35">
        <f t="shared" si="11"/>
        <v>791.66060834291147</v>
      </c>
    </row>
    <row r="81" spans="2:11" x14ac:dyDescent="0.3">
      <c r="B81" s="31">
        <v>38353</v>
      </c>
      <c r="C81" s="57">
        <f t="shared" si="6"/>
        <v>791.66060834291147</v>
      </c>
      <c r="D81" s="36">
        <v>5.7000000000000002E-3</v>
      </c>
      <c r="E81" s="32">
        <f t="shared" si="7"/>
        <v>4.5119999999999996</v>
      </c>
      <c r="F81" s="32">
        <f t="shared" si="8"/>
        <v>796.17260834291142</v>
      </c>
      <c r="G81" s="32">
        <f t="shared" si="9"/>
        <v>1.963576618777872</v>
      </c>
      <c r="H81" s="75">
        <f t="shared" si="10"/>
        <v>798.13618496168931</v>
      </c>
      <c r="I81" s="33">
        <v>0</v>
      </c>
      <c r="J81" s="34">
        <v>0</v>
      </c>
      <c r="K81" s="35">
        <f t="shared" si="11"/>
        <v>798.13618496168931</v>
      </c>
    </row>
    <row r="82" spans="2:11" x14ac:dyDescent="0.3">
      <c r="B82" s="31">
        <v>38384</v>
      </c>
      <c r="C82" s="57">
        <f t="shared" si="6"/>
        <v>798.13618496168931</v>
      </c>
      <c r="D82" s="36">
        <v>4.4000000000000003E-3</v>
      </c>
      <c r="E82" s="32">
        <f t="shared" si="7"/>
        <v>3.5110000000000001</v>
      </c>
      <c r="F82" s="32">
        <f t="shared" si="8"/>
        <v>801.64718496168928</v>
      </c>
      <c r="G82" s="32">
        <f t="shared" si="9"/>
        <v>1.9770784028554653</v>
      </c>
      <c r="H82" s="75">
        <f t="shared" si="10"/>
        <v>803.62426336454473</v>
      </c>
      <c r="I82" s="33">
        <v>0</v>
      </c>
      <c r="J82" s="34">
        <v>0</v>
      </c>
      <c r="K82" s="35">
        <f t="shared" si="11"/>
        <v>803.62426336454473</v>
      </c>
    </row>
    <row r="83" spans="2:11" x14ac:dyDescent="0.3">
      <c r="B83" s="31">
        <v>38412</v>
      </c>
      <c r="C83" s="57">
        <f t="shared" si="6"/>
        <v>803.62426336454473</v>
      </c>
      <c r="D83" s="36">
        <v>7.3000000000000001E-3</v>
      </c>
      <c r="E83" s="32">
        <f t="shared" si="7"/>
        <v>5.8659999999999997</v>
      </c>
      <c r="F83" s="32">
        <f t="shared" si="8"/>
        <v>809.49026336454472</v>
      </c>
      <c r="G83" s="32">
        <f t="shared" si="9"/>
        <v>1.9964215518280757</v>
      </c>
      <c r="H83" s="75">
        <f t="shared" si="10"/>
        <v>811.48668491637284</v>
      </c>
      <c r="I83" s="33">
        <v>0</v>
      </c>
      <c r="J83" s="34">
        <v>0</v>
      </c>
      <c r="K83" s="35">
        <f t="shared" si="11"/>
        <v>811.48668491637284</v>
      </c>
    </row>
    <row r="84" spans="2:11" x14ac:dyDescent="0.3">
      <c r="B84" s="31">
        <v>38443</v>
      </c>
      <c r="C84" s="57">
        <f t="shared" si="6"/>
        <v>811.48668491637284</v>
      </c>
      <c r="D84" s="36">
        <v>9.1000000000000004E-3</v>
      </c>
      <c r="E84" s="32">
        <f t="shared" si="7"/>
        <v>7.3840000000000003</v>
      </c>
      <c r="F84" s="32">
        <f t="shared" si="8"/>
        <v>818.87068491637285</v>
      </c>
      <c r="G84" s="32">
        <f t="shared" si="9"/>
        <v>2.019556204088703</v>
      </c>
      <c r="H84" s="75">
        <f t="shared" si="10"/>
        <v>820.89024112046161</v>
      </c>
      <c r="I84" s="33">
        <v>0</v>
      </c>
      <c r="J84" s="34">
        <v>0</v>
      </c>
      <c r="K84" s="35">
        <f t="shared" si="11"/>
        <v>820.89024112046161</v>
      </c>
    </row>
    <row r="85" spans="2:11" x14ac:dyDescent="0.3">
      <c r="B85" s="31">
        <v>38473</v>
      </c>
      <c r="C85" s="57">
        <f t="shared" si="6"/>
        <v>820.89024112046161</v>
      </c>
      <c r="D85" s="36">
        <v>7.0000000000000001E-3</v>
      </c>
      <c r="E85" s="32">
        <f t="shared" si="7"/>
        <v>5.7460000000000004</v>
      </c>
      <c r="F85" s="32">
        <f t="shared" si="8"/>
        <v>826.63624112046159</v>
      </c>
      <c r="G85" s="32">
        <f t="shared" si="9"/>
        <v>2.0387081623881609</v>
      </c>
      <c r="H85" s="75">
        <f t="shared" si="10"/>
        <v>828.67494928284975</v>
      </c>
      <c r="I85" s="33">
        <v>0</v>
      </c>
      <c r="J85" s="34">
        <v>0</v>
      </c>
      <c r="K85" s="35">
        <f t="shared" si="11"/>
        <v>828.67494928284975</v>
      </c>
    </row>
    <row r="86" spans="2:11" x14ac:dyDescent="0.3">
      <c r="B86" s="31">
        <v>38504</v>
      </c>
      <c r="C86" s="57">
        <f t="shared" si="6"/>
        <v>828.67494928284975</v>
      </c>
      <c r="D86" s="36">
        <v>-1.1000000000000001E-3</v>
      </c>
      <c r="E86" s="32">
        <f t="shared" si="7"/>
        <v>-0.91100000000000003</v>
      </c>
      <c r="F86" s="32">
        <f t="shared" si="8"/>
        <v>827.76394928284981</v>
      </c>
      <c r="G86" s="32">
        <f t="shared" si="9"/>
        <v>2.0414893951978139</v>
      </c>
      <c r="H86" s="75">
        <f t="shared" si="10"/>
        <v>829.80543867804761</v>
      </c>
      <c r="I86" s="33">
        <v>0</v>
      </c>
      <c r="J86" s="34">
        <v>0</v>
      </c>
      <c r="K86" s="35">
        <f t="shared" si="11"/>
        <v>829.80543867804761</v>
      </c>
    </row>
    <row r="87" spans="2:11" x14ac:dyDescent="0.3">
      <c r="B87" s="31">
        <v>38534</v>
      </c>
      <c r="C87" s="57">
        <f t="shared" si="6"/>
        <v>829.80543867804761</v>
      </c>
      <c r="D87" s="36">
        <v>2.9999999999999997E-4</v>
      </c>
      <c r="E87" s="32">
        <f t="shared" si="7"/>
        <v>0.248</v>
      </c>
      <c r="F87" s="32">
        <f t="shared" si="8"/>
        <v>830.05343867804766</v>
      </c>
      <c r="G87" s="32">
        <f t="shared" si="9"/>
        <v>2.0471358942085085</v>
      </c>
      <c r="H87" s="75">
        <f t="shared" si="10"/>
        <v>832.10057457225616</v>
      </c>
      <c r="I87" s="33">
        <v>0</v>
      </c>
      <c r="J87" s="34">
        <v>0</v>
      </c>
      <c r="K87" s="35">
        <f t="shared" si="11"/>
        <v>832.10057457225616</v>
      </c>
    </row>
    <row r="88" spans="2:11" x14ac:dyDescent="0.3">
      <c r="B88" s="31">
        <v>38565</v>
      </c>
      <c r="C88" s="57">
        <f t="shared" si="6"/>
        <v>832.10057457225616</v>
      </c>
      <c r="D88" s="36">
        <v>0</v>
      </c>
      <c r="E88" s="32">
        <f t="shared" si="7"/>
        <v>0</v>
      </c>
      <c r="F88" s="32">
        <f t="shared" si="8"/>
        <v>832.10057457225616</v>
      </c>
      <c r="G88" s="32">
        <f t="shared" si="9"/>
        <v>2.0521846840503182</v>
      </c>
      <c r="H88" s="75">
        <f t="shared" si="10"/>
        <v>834.15275925630647</v>
      </c>
      <c r="I88" s="33">
        <v>0</v>
      </c>
      <c r="J88" s="34">
        <v>0</v>
      </c>
      <c r="K88" s="35">
        <f t="shared" si="11"/>
        <v>834.15275925630647</v>
      </c>
    </row>
    <row r="89" spans="2:11" x14ac:dyDescent="0.3">
      <c r="B89" s="31">
        <v>38596</v>
      </c>
      <c r="C89" s="57">
        <f t="shared" si="6"/>
        <v>834.15275925630647</v>
      </c>
      <c r="D89" s="36">
        <v>1.5E-3</v>
      </c>
      <c r="E89" s="32">
        <f t="shared" si="7"/>
        <v>1.2509999999999999</v>
      </c>
      <c r="F89" s="32">
        <f t="shared" si="8"/>
        <v>835.40375925630644</v>
      </c>
      <c r="G89" s="32">
        <f t="shared" si="9"/>
        <v>2.0603312293410507</v>
      </c>
      <c r="H89" s="75">
        <f t="shared" si="10"/>
        <v>837.46409048564749</v>
      </c>
      <c r="I89" s="33">
        <v>0</v>
      </c>
      <c r="J89" s="34">
        <v>0</v>
      </c>
      <c r="K89" s="35">
        <f t="shared" si="11"/>
        <v>837.46409048564749</v>
      </c>
    </row>
    <row r="90" spans="2:11" x14ac:dyDescent="0.3">
      <c r="B90" s="31">
        <v>38626</v>
      </c>
      <c r="C90" s="57">
        <f t="shared" si="6"/>
        <v>837.46409048564749</v>
      </c>
      <c r="D90" s="36">
        <v>5.7999999999999996E-3</v>
      </c>
      <c r="E90" s="32">
        <f t="shared" si="7"/>
        <v>4.8570000000000002</v>
      </c>
      <c r="F90" s="32">
        <f t="shared" si="8"/>
        <v>842.32109048564746</v>
      </c>
      <c r="G90" s="32">
        <f t="shared" si="9"/>
        <v>2.0773912358320379</v>
      </c>
      <c r="H90" s="75">
        <f t="shared" si="10"/>
        <v>844.39848172147947</v>
      </c>
      <c r="I90" s="33">
        <v>0</v>
      </c>
      <c r="J90" s="34">
        <v>0</v>
      </c>
      <c r="K90" s="35">
        <f t="shared" si="11"/>
        <v>844.39848172147947</v>
      </c>
    </row>
    <row r="91" spans="2:11" x14ac:dyDescent="0.3">
      <c r="B91" s="31">
        <v>38657</v>
      </c>
      <c r="C91" s="57">
        <f t="shared" si="6"/>
        <v>844.39848172147947</v>
      </c>
      <c r="D91" s="36">
        <v>5.4000000000000003E-3</v>
      </c>
      <c r="E91" s="32">
        <f t="shared" si="7"/>
        <v>4.5590000000000002</v>
      </c>
      <c r="F91" s="32">
        <f t="shared" si="8"/>
        <v>848.95748172147944</v>
      </c>
      <c r="G91" s="32">
        <f t="shared" si="9"/>
        <v>2.0937583684452332</v>
      </c>
      <c r="H91" s="75">
        <f t="shared" si="10"/>
        <v>851.0512400899247</v>
      </c>
      <c r="I91" s="33">
        <v>0</v>
      </c>
      <c r="J91" s="34">
        <v>0</v>
      </c>
      <c r="K91" s="35">
        <f t="shared" si="11"/>
        <v>851.0512400899247</v>
      </c>
    </row>
    <row r="92" spans="2:11" x14ac:dyDescent="0.3">
      <c r="B92" s="31">
        <v>38687</v>
      </c>
      <c r="C92" s="57">
        <f t="shared" si="6"/>
        <v>851.0512400899247</v>
      </c>
      <c r="D92" s="36">
        <v>4.0000000000000001E-3</v>
      </c>
      <c r="E92" s="32">
        <f t="shared" si="7"/>
        <v>3.4039999999999999</v>
      </c>
      <c r="F92" s="32">
        <f t="shared" si="8"/>
        <v>854.4552400899247</v>
      </c>
      <c r="G92" s="32">
        <f t="shared" si="9"/>
        <v>2.1073173249765786</v>
      </c>
      <c r="H92" s="75">
        <f t="shared" si="10"/>
        <v>856.56255741490133</v>
      </c>
      <c r="I92" s="33">
        <v>0</v>
      </c>
      <c r="J92" s="34">
        <v>0</v>
      </c>
      <c r="K92" s="35">
        <f t="shared" si="11"/>
        <v>856.56255741490133</v>
      </c>
    </row>
    <row r="93" spans="2:11" x14ac:dyDescent="0.3">
      <c r="B93" s="31">
        <v>38718</v>
      </c>
      <c r="C93" s="57">
        <f t="shared" si="6"/>
        <v>856.56255741490133</v>
      </c>
      <c r="D93" s="36">
        <v>3.8E-3</v>
      </c>
      <c r="E93" s="32">
        <f t="shared" si="7"/>
        <v>3.254</v>
      </c>
      <c r="F93" s="32">
        <f t="shared" si="8"/>
        <v>859.81655741490135</v>
      </c>
      <c r="G93" s="32">
        <f t="shared" si="9"/>
        <v>2.1205397810556486</v>
      </c>
      <c r="H93" s="75">
        <f t="shared" si="10"/>
        <v>861.93709719595699</v>
      </c>
      <c r="I93" s="33">
        <v>0</v>
      </c>
      <c r="J93" s="34">
        <v>0</v>
      </c>
      <c r="K93" s="35">
        <f t="shared" si="11"/>
        <v>861.93709719595699</v>
      </c>
    </row>
    <row r="94" spans="2:11" x14ac:dyDescent="0.3">
      <c r="B94" s="31">
        <v>38749</v>
      </c>
      <c r="C94" s="57">
        <f t="shared" si="6"/>
        <v>861.93709719595699</v>
      </c>
      <c r="D94" s="36">
        <v>2.3E-3</v>
      </c>
      <c r="E94" s="32">
        <f t="shared" si="7"/>
        <v>1.982</v>
      </c>
      <c r="F94" s="32">
        <f t="shared" si="8"/>
        <v>863.91909719595697</v>
      </c>
      <c r="G94" s="32">
        <f t="shared" si="9"/>
        <v>2.1306577518414729</v>
      </c>
      <c r="H94" s="75">
        <f t="shared" si="10"/>
        <v>866.04975494779842</v>
      </c>
      <c r="I94" s="33">
        <v>0</v>
      </c>
      <c r="J94" s="34">
        <v>0</v>
      </c>
      <c r="K94" s="35">
        <f t="shared" si="11"/>
        <v>866.04975494779842</v>
      </c>
    </row>
    <row r="95" spans="2:11" x14ac:dyDescent="0.3">
      <c r="B95" s="31">
        <v>38777</v>
      </c>
      <c r="C95" s="57">
        <f t="shared" si="6"/>
        <v>866.04975494779842</v>
      </c>
      <c r="D95" s="36">
        <v>2.7000000000000001E-3</v>
      </c>
      <c r="E95" s="32">
        <f t="shared" si="7"/>
        <v>2.3380000000000001</v>
      </c>
      <c r="F95" s="32">
        <f t="shared" si="8"/>
        <v>868.38775494779838</v>
      </c>
      <c r="G95" s="32">
        <f t="shared" si="9"/>
        <v>2.1416786683951066</v>
      </c>
      <c r="H95" s="75">
        <f t="shared" si="10"/>
        <v>870.5294336161935</v>
      </c>
      <c r="I95" s="33">
        <v>0</v>
      </c>
      <c r="J95" s="34">
        <v>0</v>
      </c>
      <c r="K95" s="35">
        <f t="shared" si="11"/>
        <v>870.5294336161935</v>
      </c>
    </row>
    <row r="96" spans="2:11" x14ac:dyDescent="0.3">
      <c r="B96" s="31">
        <v>38808</v>
      </c>
      <c r="C96" s="57">
        <f t="shared" si="6"/>
        <v>870.5294336161935</v>
      </c>
      <c r="D96" s="36">
        <v>1.1999999999999999E-3</v>
      </c>
      <c r="E96" s="32">
        <f t="shared" si="7"/>
        <v>1.044</v>
      </c>
      <c r="F96" s="32">
        <f t="shared" si="8"/>
        <v>871.57343361619348</v>
      </c>
      <c r="G96" s="32">
        <f t="shared" si="9"/>
        <v>2.1495354121246093</v>
      </c>
      <c r="H96" s="75">
        <f t="shared" si="10"/>
        <v>873.72296902831806</v>
      </c>
      <c r="I96" s="33">
        <v>0</v>
      </c>
      <c r="J96" s="34">
        <v>0</v>
      </c>
      <c r="K96" s="35">
        <f t="shared" si="11"/>
        <v>873.72296902831806</v>
      </c>
    </row>
    <row r="97" spans="2:11" x14ac:dyDescent="0.3">
      <c r="B97" s="31">
        <v>38838</v>
      </c>
      <c r="C97" s="57">
        <f t="shared" si="6"/>
        <v>873.72296902831806</v>
      </c>
      <c r="D97" s="36">
        <v>1.2999999999999999E-3</v>
      </c>
      <c r="E97" s="32">
        <f t="shared" si="7"/>
        <v>1.135</v>
      </c>
      <c r="F97" s="32">
        <f t="shared" si="8"/>
        <v>874.85796902831805</v>
      </c>
      <c r="G97" s="32">
        <f t="shared" si="9"/>
        <v>2.15763596327547</v>
      </c>
      <c r="H97" s="75">
        <f t="shared" si="10"/>
        <v>877.01560499159348</v>
      </c>
      <c r="I97" s="33">
        <v>0</v>
      </c>
      <c r="J97" s="34">
        <v>0</v>
      </c>
      <c r="K97" s="35">
        <f t="shared" si="11"/>
        <v>877.01560499159348</v>
      </c>
    </row>
    <row r="98" spans="2:11" x14ac:dyDescent="0.3">
      <c r="B98" s="31">
        <v>38869</v>
      </c>
      <c r="C98" s="57">
        <f t="shared" si="6"/>
        <v>877.01560499159348</v>
      </c>
      <c r="D98" s="36">
        <v>-6.9999999999999999E-4</v>
      </c>
      <c r="E98" s="32">
        <f t="shared" si="7"/>
        <v>-0.61299999999999999</v>
      </c>
      <c r="F98" s="32">
        <f t="shared" si="8"/>
        <v>876.40260499159342</v>
      </c>
      <c r="G98" s="32">
        <f t="shared" si="9"/>
        <v>2.1614454526126172</v>
      </c>
      <c r="H98" s="75">
        <f t="shared" si="10"/>
        <v>878.56405044420603</v>
      </c>
      <c r="I98" s="33">
        <v>0</v>
      </c>
      <c r="J98" s="34">
        <v>0</v>
      </c>
      <c r="K98" s="35">
        <f t="shared" si="11"/>
        <v>878.56405044420603</v>
      </c>
    </row>
    <row r="99" spans="2:11" x14ac:dyDescent="0.3">
      <c r="B99" s="31">
        <v>38899</v>
      </c>
      <c r="C99" s="57">
        <f t="shared" si="6"/>
        <v>878.56405044420603</v>
      </c>
      <c r="D99" s="36">
        <v>1.1000000000000001E-3</v>
      </c>
      <c r="E99" s="32">
        <f t="shared" si="7"/>
        <v>0.96599999999999997</v>
      </c>
      <c r="F99" s="32">
        <f t="shared" si="8"/>
        <v>879.53005044420604</v>
      </c>
      <c r="G99" s="32">
        <f t="shared" si="9"/>
        <v>2.1691585775090321</v>
      </c>
      <c r="H99" s="75">
        <f t="shared" si="10"/>
        <v>881.69920902171509</v>
      </c>
      <c r="I99" s="33">
        <v>0</v>
      </c>
      <c r="J99" s="34">
        <v>0</v>
      </c>
      <c r="K99" s="35">
        <f t="shared" si="11"/>
        <v>881.69920902171509</v>
      </c>
    </row>
    <row r="100" spans="2:11" x14ac:dyDescent="0.3">
      <c r="B100" s="31">
        <v>38930</v>
      </c>
      <c r="C100" s="57">
        <f t="shared" si="6"/>
        <v>881.69920902171509</v>
      </c>
      <c r="D100" s="36">
        <v>-2.0000000000000001E-4</v>
      </c>
      <c r="E100" s="32">
        <f t="shared" si="7"/>
        <v>-0.17599999999999999</v>
      </c>
      <c r="F100" s="32">
        <f t="shared" si="8"/>
        <v>881.52320902171505</v>
      </c>
      <c r="G100" s="32">
        <f t="shared" si="9"/>
        <v>2.1740742447139851</v>
      </c>
      <c r="H100" s="75">
        <f t="shared" si="10"/>
        <v>883.69728326642905</v>
      </c>
      <c r="I100" s="33">
        <v>0</v>
      </c>
      <c r="J100" s="34">
        <v>0</v>
      </c>
      <c r="K100" s="35">
        <f t="shared" si="11"/>
        <v>883.69728326642905</v>
      </c>
    </row>
    <row r="101" spans="2:11" x14ac:dyDescent="0.3">
      <c r="B101" s="31">
        <v>38961</v>
      </c>
      <c r="C101" s="57">
        <f t="shared" si="6"/>
        <v>883.69728326642905</v>
      </c>
      <c r="D101" s="36">
        <v>1.6000000000000001E-3</v>
      </c>
      <c r="E101" s="32">
        <f t="shared" si="7"/>
        <v>1.413</v>
      </c>
      <c r="F101" s="32">
        <f t="shared" si="8"/>
        <v>885.11028326642906</v>
      </c>
      <c r="G101" s="32">
        <f t="shared" si="9"/>
        <v>2.1829209383114958</v>
      </c>
      <c r="H101" s="75">
        <f t="shared" si="10"/>
        <v>887.2932042047405</v>
      </c>
      <c r="I101" s="33">
        <v>0</v>
      </c>
      <c r="J101" s="34">
        <v>0</v>
      </c>
      <c r="K101" s="35">
        <f t="shared" si="11"/>
        <v>887.2932042047405</v>
      </c>
    </row>
    <row r="102" spans="2:11" x14ac:dyDescent="0.3">
      <c r="B102" s="31">
        <v>38991</v>
      </c>
      <c r="C102" s="57">
        <f t="shared" si="6"/>
        <v>887.2932042047405</v>
      </c>
      <c r="D102" s="36">
        <v>4.3E-3</v>
      </c>
      <c r="E102" s="32">
        <f t="shared" si="7"/>
        <v>3.8149999999999999</v>
      </c>
      <c r="F102" s="32">
        <f t="shared" si="8"/>
        <v>891.10820420474056</v>
      </c>
      <c r="G102" s="32">
        <f t="shared" si="9"/>
        <v>2.1977134307840256</v>
      </c>
      <c r="H102" s="75">
        <f t="shared" si="10"/>
        <v>893.30591763552457</v>
      </c>
      <c r="I102" s="33">
        <v>0</v>
      </c>
      <c r="J102" s="34">
        <v>0</v>
      </c>
      <c r="K102" s="35">
        <f t="shared" si="11"/>
        <v>893.30591763552457</v>
      </c>
    </row>
    <row r="103" spans="2:11" x14ac:dyDescent="0.3">
      <c r="B103" s="31">
        <v>39022</v>
      </c>
      <c r="C103" s="57">
        <f t="shared" si="6"/>
        <v>893.30591763552457</v>
      </c>
      <c r="D103" s="36">
        <v>4.1999999999999997E-3</v>
      </c>
      <c r="E103" s="32">
        <f t="shared" si="7"/>
        <v>3.7509999999999999</v>
      </c>
      <c r="F103" s="32">
        <f t="shared" si="8"/>
        <v>897.05691763552454</v>
      </c>
      <c r="G103" s="32">
        <f t="shared" si="9"/>
        <v>2.2123845642569653</v>
      </c>
      <c r="H103" s="75">
        <f t="shared" si="10"/>
        <v>899.26930219978146</v>
      </c>
      <c r="I103" s="33">
        <v>0</v>
      </c>
      <c r="J103" s="34">
        <v>0</v>
      </c>
      <c r="K103" s="35">
        <f t="shared" si="11"/>
        <v>899.26930219978146</v>
      </c>
    </row>
    <row r="104" spans="2:11" x14ac:dyDescent="0.3">
      <c r="B104" s="31">
        <v>39052</v>
      </c>
      <c r="C104" s="57">
        <f t="shared" si="6"/>
        <v>899.26930219978146</v>
      </c>
      <c r="D104" s="36">
        <v>6.1999999999999998E-3</v>
      </c>
      <c r="E104" s="32">
        <f t="shared" si="7"/>
        <v>5.5750000000000002</v>
      </c>
      <c r="F104" s="32">
        <f t="shared" si="8"/>
        <v>904.84430219978151</v>
      </c>
      <c r="G104" s="32">
        <f t="shared" si="9"/>
        <v>2.231590357186255</v>
      </c>
      <c r="H104" s="75">
        <f t="shared" si="10"/>
        <v>907.0758925569678</v>
      </c>
      <c r="I104" s="33">
        <v>0</v>
      </c>
      <c r="J104" s="34">
        <v>0</v>
      </c>
      <c r="K104" s="35">
        <f t="shared" si="11"/>
        <v>907.0758925569678</v>
      </c>
    </row>
    <row r="105" spans="2:11" x14ac:dyDescent="0.3">
      <c r="B105" s="31">
        <v>39083</v>
      </c>
      <c r="C105" s="57">
        <f t="shared" si="6"/>
        <v>907.0758925569678</v>
      </c>
      <c r="D105" s="36">
        <v>4.8999999999999998E-3</v>
      </c>
      <c r="E105" s="32">
        <f t="shared" si="7"/>
        <v>4.444</v>
      </c>
      <c r="F105" s="32">
        <f t="shared" si="8"/>
        <v>911.51989255696776</v>
      </c>
      <c r="G105" s="32">
        <f t="shared" si="9"/>
        <v>2.2480541654164727</v>
      </c>
      <c r="H105" s="75">
        <f t="shared" si="10"/>
        <v>913.76794672238418</v>
      </c>
      <c r="I105" s="33">
        <v>0</v>
      </c>
      <c r="J105" s="34">
        <v>0</v>
      </c>
      <c r="K105" s="35">
        <f t="shared" si="11"/>
        <v>913.76794672238418</v>
      </c>
    </row>
    <row r="106" spans="2:11" x14ac:dyDescent="0.3">
      <c r="B106" s="31">
        <v>39114</v>
      </c>
      <c r="C106" s="57">
        <f t="shared" si="6"/>
        <v>913.76794672238418</v>
      </c>
      <c r="D106" s="36">
        <v>4.1999999999999997E-3</v>
      </c>
      <c r="E106" s="32">
        <f t="shared" si="7"/>
        <v>3.8370000000000002</v>
      </c>
      <c r="F106" s="32">
        <f t="shared" si="8"/>
        <v>917.60494672238417</v>
      </c>
      <c r="G106" s="32">
        <f t="shared" si="9"/>
        <v>2.2630615519530144</v>
      </c>
      <c r="H106" s="75">
        <f t="shared" si="10"/>
        <v>919.86800827433717</v>
      </c>
      <c r="I106" s="33">
        <v>0</v>
      </c>
      <c r="J106" s="34">
        <v>0</v>
      </c>
      <c r="K106" s="35">
        <f t="shared" si="11"/>
        <v>919.86800827433717</v>
      </c>
    </row>
    <row r="107" spans="2:11" x14ac:dyDescent="0.3">
      <c r="B107" s="31">
        <v>39142</v>
      </c>
      <c r="C107" s="57">
        <f t="shared" si="6"/>
        <v>919.86800827433717</v>
      </c>
      <c r="D107" s="36">
        <v>4.4000000000000003E-3</v>
      </c>
      <c r="E107" s="32">
        <f t="shared" si="7"/>
        <v>4.0469999999999997</v>
      </c>
      <c r="F107" s="32">
        <f t="shared" si="8"/>
        <v>923.9150082743372</v>
      </c>
      <c r="G107" s="32">
        <f t="shared" si="9"/>
        <v>2.2786238674567496</v>
      </c>
      <c r="H107" s="75">
        <f t="shared" si="10"/>
        <v>926.19363214179396</v>
      </c>
      <c r="I107" s="33">
        <v>0</v>
      </c>
      <c r="J107" s="34">
        <v>0</v>
      </c>
      <c r="K107" s="35">
        <f t="shared" si="11"/>
        <v>926.19363214179396</v>
      </c>
    </row>
    <row r="108" spans="2:11" x14ac:dyDescent="0.3">
      <c r="B108" s="31">
        <v>39173</v>
      </c>
      <c r="C108" s="57">
        <f t="shared" si="6"/>
        <v>926.19363214179396</v>
      </c>
      <c r="D108" s="36">
        <v>2.5999999999999999E-3</v>
      </c>
      <c r="E108" s="32">
        <f t="shared" si="7"/>
        <v>2.4079999999999999</v>
      </c>
      <c r="F108" s="32">
        <f t="shared" si="8"/>
        <v>928.60163214179397</v>
      </c>
      <c r="G108" s="32">
        <f t="shared" si="9"/>
        <v>2.2901823473023422</v>
      </c>
      <c r="H108" s="75">
        <f t="shared" si="10"/>
        <v>930.8918144890963</v>
      </c>
      <c r="I108" s="33">
        <v>0</v>
      </c>
      <c r="J108" s="34">
        <v>0</v>
      </c>
      <c r="K108" s="35">
        <f t="shared" si="11"/>
        <v>930.8918144890963</v>
      </c>
    </row>
    <row r="109" spans="2:11" x14ac:dyDescent="0.3">
      <c r="B109" s="31">
        <v>39203</v>
      </c>
      <c r="C109" s="57">
        <f t="shared" si="6"/>
        <v>930.8918144890963</v>
      </c>
      <c r="D109" s="36">
        <v>2.5999999999999999E-3</v>
      </c>
      <c r="E109" s="32">
        <f t="shared" si="7"/>
        <v>2.42</v>
      </c>
      <c r="F109" s="32">
        <f t="shared" si="8"/>
        <v>933.31181448909626</v>
      </c>
      <c r="G109" s="32">
        <f t="shared" si="9"/>
        <v>2.3017989287200233</v>
      </c>
      <c r="H109" s="75">
        <f t="shared" si="10"/>
        <v>935.61361341781628</v>
      </c>
      <c r="I109" s="33">
        <v>0</v>
      </c>
      <c r="J109" s="34">
        <v>0</v>
      </c>
      <c r="K109" s="35">
        <f t="shared" si="11"/>
        <v>935.61361341781628</v>
      </c>
    </row>
    <row r="110" spans="2:11" x14ac:dyDescent="0.3">
      <c r="B110" s="31">
        <v>39234</v>
      </c>
      <c r="C110" s="57">
        <f t="shared" si="6"/>
        <v>935.61361341781628</v>
      </c>
      <c r="D110" s="36">
        <v>3.0999999999999999E-3</v>
      </c>
      <c r="E110" s="32">
        <f t="shared" si="7"/>
        <v>2.9</v>
      </c>
      <c r="F110" s="32">
        <f t="shared" si="8"/>
        <v>938.51361341781626</v>
      </c>
      <c r="G110" s="32">
        <f t="shared" si="9"/>
        <v>2.3146279693639578</v>
      </c>
      <c r="H110" s="75">
        <f t="shared" si="10"/>
        <v>940.82824138718024</v>
      </c>
      <c r="I110" s="33">
        <v>472.37</v>
      </c>
      <c r="J110" s="34">
        <v>0</v>
      </c>
      <c r="K110" s="35">
        <f t="shared" si="11"/>
        <v>468.45824138718024</v>
      </c>
    </row>
    <row r="111" spans="2:11" x14ac:dyDescent="0.3">
      <c r="B111" s="31">
        <v>39264</v>
      </c>
      <c r="C111" s="57">
        <f t="shared" si="6"/>
        <v>468.45824138718024</v>
      </c>
      <c r="D111" s="36">
        <v>3.2000000000000002E-3</v>
      </c>
      <c r="E111" s="32">
        <f t="shared" si="7"/>
        <v>1.4990000000000001</v>
      </c>
      <c r="F111" s="32">
        <f t="shared" si="8"/>
        <v>469.95724138718026</v>
      </c>
      <c r="G111" s="32">
        <f t="shared" si="9"/>
        <v>1.159041445715961</v>
      </c>
      <c r="H111" s="75">
        <f t="shared" si="10"/>
        <v>471.11628283289622</v>
      </c>
      <c r="I111" s="33">
        <v>5.82</v>
      </c>
      <c r="J111" s="34">
        <v>0</v>
      </c>
      <c r="K111" s="35">
        <f t="shared" si="11"/>
        <v>465.29628283289622</v>
      </c>
    </row>
    <row r="112" spans="2:11" x14ac:dyDescent="0.3">
      <c r="B112" s="31">
        <v>39295</v>
      </c>
      <c r="C112" s="57">
        <f t="shared" si="6"/>
        <v>465.29628283289622</v>
      </c>
      <c r="D112" s="36">
        <v>5.8999999999999999E-3</v>
      </c>
      <c r="E112" s="32">
        <f t="shared" si="7"/>
        <v>2.7450000000000001</v>
      </c>
      <c r="F112" s="32">
        <f t="shared" si="8"/>
        <v>468.04128283289623</v>
      </c>
      <c r="G112" s="32">
        <f t="shared" si="9"/>
        <v>1.154316174612287</v>
      </c>
      <c r="H112" s="75">
        <f t="shared" si="10"/>
        <v>469.19559900750852</v>
      </c>
      <c r="I112" s="33">
        <v>0</v>
      </c>
      <c r="J112" s="34">
        <v>0</v>
      </c>
      <c r="K112" s="35">
        <f t="shared" si="11"/>
        <v>469.19559900750852</v>
      </c>
    </row>
    <row r="113" spans="2:11" x14ac:dyDescent="0.3">
      <c r="B113" s="31">
        <v>39326</v>
      </c>
      <c r="C113" s="57">
        <f t="shared" si="6"/>
        <v>469.19559900750852</v>
      </c>
      <c r="D113" s="36">
        <v>2.5000000000000001E-3</v>
      </c>
      <c r="E113" s="32">
        <f t="shared" si="7"/>
        <v>1.1719999999999999</v>
      </c>
      <c r="F113" s="32">
        <f t="shared" si="8"/>
        <v>470.36759900750855</v>
      </c>
      <c r="G113" s="32">
        <f t="shared" si="9"/>
        <v>1.1600534984042481</v>
      </c>
      <c r="H113" s="75">
        <f t="shared" si="10"/>
        <v>471.52765250591278</v>
      </c>
      <c r="I113" s="33">
        <v>0</v>
      </c>
      <c r="J113" s="34">
        <v>0</v>
      </c>
      <c r="K113" s="35">
        <f t="shared" si="11"/>
        <v>471.52765250591278</v>
      </c>
    </row>
    <row r="114" spans="2:11" x14ac:dyDescent="0.3">
      <c r="B114" s="31">
        <v>39356</v>
      </c>
      <c r="C114" s="57">
        <f t="shared" si="6"/>
        <v>471.52765250591278</v>
      </c>
      <c r="D114" s="36">
        <v>3.0000000000000001E-3</v>
      </c>
      <c r="E114" s="32">
        <f t="shared" si="7"/>
        <v>1.4139999999999999</v>
      </c>
      <c r="F114" s="32">
        <f t="shared" si="8"/>
        <v>472.94165250591277</v>
      </c>
      <c r="G114" s="32">
        <f t="shared" si="9"/>
        <v>1.1664018093257575</v>
      </c>
      <c r="H114" s="75">
        <f t="shared" si="10"/>
        <v>474.10805431523852</v>
      </c>
      <c r="I114" s="33">
        <v>0</v>
      </c>
      <c r="J114" s="34">
        <v>0</v>
      </c>
      <c r="K114" s="35">
        <f t="shared" si="11"/>
        <v>474.10805431523852</v>
      </c>
    </row>
    <row r="115" spans="2:11" x14ac:dyDescent="0.3">
      <c r="B115" s="31">
        <v>39387</v>
      </c>
      <c r="C115" s="57">
        <f t="shared" si="6"/>
        <v>474.10805431523852</v>
      </c>
      <c r="D115" s="36">
        <v>4.3E-3</v>
      </c>
      <c r="E115" s="32">
        <f t="shared" si="7"/>
        <v>2.0379999999999998</v>
      </c>
      <c r="F115" s="32">
        <f t="shared" si="8"/>
        <v>476.14605431523853</v>
      </c>
      <c r="G115" s="32">
        <f t="shared" si="9"/>
        <v>1.1743047293760434</v>
      </c>
      <c r="H115" s="75">
        <f t="shared" si="10"/>
        <v>477.32035904461458</v>
      </c>
      <c r="I115" s="33">
        <v>0</v>
      </c>
      <c r="J115" s="34">
        <v>0</v>
      </c>
      <c r="K115" s="35">
        <f t="shared" si="11"/>
        <v>477.32035904461458</v>
      </c>
    </row>
    <row r="116" spans="2:11" x14ac:dyDescent="0.3">
      <c r="B116" s="31">
        <v>39417</v>
      </c>
      <c r="C116" s="57">
        <f t="shared" si="6"/>
        <v>477.32035904461458</v>
      </c>
      <c r="D116" s="36">
        <v>9.7000000000000003E-3</v>
      </c>
      <c r="E116" s="32">
        <f t="shared" si="7"/>
        <v>4.63</v>
      </c>
      <c r="F116" s="32">
        <f t="shared" si="8"/>
        <v>481.95035904461457</v>
      </c>
      <c r="G116" s="32">
        <f t="shared" si="9"/>
        <v>1.1886197120009616</v>
      </c>
      <c r="H116" s="75">
        <f t="shared" si="10"/>
        <v>483.13897875661553</v>
      </c>
      <c r="I116" s="33">
        <v>0</v>
      </c>
      <c r="J116" s="34">
        <v>0</v>
      </c>
      <c r="K116" s="35">
        <f t="shared" si="11"/>
        <v>483.13897875661553</v>
      </c>
    </row>
    <row r="117" spans="2:11" x14ac:dyDescent="0.3">
      <c r="B117" s="31">
        <v>39448</v>
      </c>
      <c r="C117" s="57">
        <f t="shared" si="6"/>
        <v>483.13897875661553</v>
      </c>
      <c r="D117" s="36">
        <v>6.8999999999999999E-3</v>
      </c>
      <c r="E117" s="32">
        <f t="shared" si="7"/>
        <v>3.3330000000000002</v>
      </c>
      <c r="F117" s="32">
        <f t="shared" si="8"/>
        <v>486.47197875661556</v>
      </c>
      <c r="G117" s="32">
        <f t="shared" si="9"/>
        <v>1.1997712470480784</v>
      </c>
      <c r="H117" s="75">
        <f t="shared" si="10"/>
        <v>487.67175000366365</v>
      </c>
      <c r="I117" s="33">
        <v>0</v>
      </c>
      <c r="J117" s="34">
        <v>0</v>
      </c>
      <c r="K117" s="35">
        <f t="shared" si="11"/>
        <v>487.67175000366365</v>
      </c>
    </row>
    <row r="118" spans="2:11" x14ac:dyDescent="0.3">
      <c r="B118" s="31">
        <v>39479</v>
      </c>
      <c r="C118" s="57">
        <f t="shared" si="6"/>
        <v>487.67175000366365</v>
      </c>
      <c r="D118" s="36">
        <v>4.7999999999999996E-3</v>
      </c>
      <c r="E118" s="32">
        <f t="shared" si="7"/>
        <v>2.34</v>
      </c>
      <c r="F118" s="32">
        <f t="shared" si="8"/>
        <v>490.01175000366362</v>
      </c>
      <c r="G118" s="32">
        <f t="shared" si="9"/>
        <v>1.2085012786815355</v>
      </c>
      <c r="H118" s="75">
        <f t="shared" si="10"/>
        <v>491.22025128234515</v>
      </c>
      <c r="I118" s="33">
        <v>0</v>
      </c>
      <c r="J118" s="34">
        <v>0</v>
      </c>
      <c r="K118" s="35">
        <f t="shared" si="11"/>
        <v>491.22025128234515</v>
      </c>
    </row>
    <row r="119" spans="2:11" x14ac:dyDescent="0.3">
      <c r="B119" s="31">
        <v>39508</v>
      </c>
      <c r="C119" s="57">
        <f t="shared" si="6"/>
        <v>491.22025128234515</v>
      </c>
      <c r="D119" s="36">
        <v>5.1000000000000004E-3</v>
      </c>
      <c r="E119" s="32">
        <f t="shared" si="7"/>
        <v>2.5049999999999999</v>
      </c>
      <c r="F119" s="32">
        <f t="shared" si="8"/>
        <v>493.72525128234514</v>
      </c>
      <c r="G119" s="32">
        <f t="shared" si="9"/>
        <v>1.2176597754801093</v>
      </c>
      <c r="H119" s="75">
        <f t="shared" si="10"/>
        <v>494.94291105782526</v>
      </c>
      <c r="I119" s="33">
        <v>0</v>
      </c>
      <c r="J119" s="34">
        <v>0</v>
      </c>
      <c r="K119" s="35">
        <f t="shared" si="11"/>
        <v>494.94291105782526</v>
      </c>
    </row>
    <row r="120" spans="2:11" x14ac:dyDescent="0.3">
      <c r="B120" s="31">
        <v>39539</v>
      </c>
      <c r="C120" s="57">
        <f t="shared" si="6"/>
        <v>494.94291105782526</v>
      </c>
      <c r="D120" s="36">
        <v>6.4000000000000003E-3</v>
      </c>
      <c r="E120" s="32">
        <f t="shared" si="7"/>
        <v>3.1669999999999998</v>
      </c>
      <c r="F120" s="32">
        <f t="shared" si="8"/>
        <v>498.10991105782523</v>
      </c>
      <c r="G120" s="32">
        <f t="shared" si="9"/>
        <v>1.2284735303445826</v>
      </c>
      <c r="H120" s="75">
        <f t="shared" si="10"/>
        <v>499.33838458816979</v>
      </c>
      <c r="I120" s="33">
        <v>0</v>
      </c>
      <c r="J120" s="34">
        <v>0</v>
      </c>
      <c r="K120" s="35">
        <f t="shared" si="11"/>
        <v>499.33838458816979</v>
      </c>
    </row>
    <row r="121" spans="2:11" x14ac:dyDescent="0.3">
      <c r="B121" s="31">
        <v>39569</v>
      </c>
      <c r="C121" s="57">
        <f t="shared" si="6"/>
        <v>499.33838458816979</v>
      </c>
      <c r="D121" s="36">
        <v>9.5999999999999992E-3</v>
      </c>
      <c r="E121" s="32">
        <f t="shared" si="7"/>
        <v>4.7930000000000001</v>
      </c>
      <c r="F121" s="32">
        <f t="shared" si="8"/>
        <v>504.13138458816979</v>
      </c>
      <c r="G121" s="32">
        <f t="shared" si="9"/>
        <v>1.2433241098682655</v>
      </c>
      <c r="H121" s="75">
        <f t="shared" si="10"/>
        <v>505.37470869803803</v>
      </c>
      <c r="I121" s="33">
        <v>0</v>
      </c>
      <c r="J121" s="34">
        <v>0</v>
      </c>
      <c r="K121" s="35">
        <f t="shared" si="11"/>
        <v>505.37470869803803</v>
      </c>
    </row>
    <row r="122" spans="2:11" x14ac:dyDescent="0.3">
      <c r="B122" s="31">
        <v>39600</v>
      </c>
      <c r="C122" s="57">
        <f t="shared" si="6"/>
        <v>505.37470869803803</v>
      </c>
      <c r="D122" s="36">
        <v>9.1000000000000004E-3</v>
      </c>
      <c r="E122" s="32">
        <f t="shared" si="7"/>
        <v>4.5979999999999999</v>
      </c>
      <c r="F122" s="32">
        <f t="shared" si="8"/>
        <v>509.97270869803805</v>
      </c>
      <c r="G122" s="32">
        <f t="shared" si="9"/>
        <v>1.2577303922807104</v>
      </c>
      <c r="H122" s="75">
        <f t="shared" si="10"/>
        <v>511.23043909031878</v>
      </c>
      <c r="I122" s="33">
        <v>0</v>
      </c>
      <c r="J122" s="34">
        <v>0</v>
      </c>
      <c r="K122" s="35">
        <f t="shared" si="11"/>
        <v>511.23043909031878</v>
      </c>
    </row>
    <row r="123" spans="2:11" x14ac:dyDescent="0.3">
      <c r="B123" s="31">
        <v>39630</v>
      </c>
      <c r="C123" s="57">
        <f t="shared" si="6"/>
        <v>511.23043909031878</v>
      </c>
      <c r="D123" s="36">
        <v>5.7999999999999996E-3</v>
      </c>
      <c r="E123" s="32">
        <f t="shared" si="7"/>
        <v>2.9649999999999999</v>
      </c>
      <c r="F123" s="32">
        <f t="shared" si="8"/>
        <v>514.19543909031881</v>
      </c>
      <c r="G123" s="32">
        <f t="shared" si="9"/>
        <v>1.2681447855652805</v>
      </c>
      <c r="H123" s="75">
        <f t="shared" si="10"/>
        <v>515.46358387588407</v>
      </c>
      <c r="I123" s="33">
        <v>0</v>
      </c>
      <c r="J123" s="34">
        <v>0</v>
      </c>
      <c r="K123" s="35">
        <f t="shared" si="11"/>
        <v>515.46358387588407</v>
      </c>
    </row>
    <row r="124" spans="2:11" x14ac:dyDescent="0.3">
      <c r="B124" s="31">
        <v>39661</v>
      </c>
      <c r="C124" s="57">
        <f t="shared" si="6"/>
        <v>515.46358387588407</v>
      </c>
      <c r="D124" s="36">
        <v>2.0999999999999999E-3</v>
      </c>
      <c r="E124" s="32">
        <f t="shared" si="7"/>
        <v>1.0820000000000001</v>
      </c>
      <c r="F124" s="32">
        <f t="shared" si="8"/>
        <v>516.54558387588406</v>
      </c>
      <c r="G124" s="32">
        <f t="shared" si="9"/>
        <v>1.2739408771455767</v>
      </c>
      <c r="H124" s="75">
        <f t="shared" si="10"/>
        <v>517.81952475302967</v>
      </c>
      <c r="I124" s="33">
        <v>0</v>
      </c>
      <c r="J124" s="34">
        <v>0</v>
      </c>
      <c r="K124" s="35">
        <f t="shared" si="11"/>
        <v>517.81952475302967</v>
      </c>
    </row>
    <row r="125" spans="2:11" x14ac:dyDescent="0.3">
      <c r="B125" s="31">
        <v>39692</v>
      </c>
      <c r="C125" s="57">
        <f t="shared" si="6"/>
        <v>517.81952475302967</v>
      </c>
      <c r="D125" s="36">
        <v>1.5E-3</v>
      </c>
      <c r="E125" s="32">
        <f t="shared" si="7"/>
        <v>0.77600000000000002</v>
      </c>
      <c r="F125" s="32">
        <f t="shared" si="8"/>
        <v>518.59552475302962</v>
      </c>
      <c r="G125" s="32">
        <f t="shared" si="9"/>
        <v>1.2789965848326543</v>
      </c>
      <c r="H125" s="75">
        <f t="shared" si="10"/>
        <v>519.87452133786223</v>
      </c>
      <c r="I125" s="33">
        <v>0</v>
      </c>
      <c r="J125" s="34">
        <v>0</v>
      </c>
      <c r="K125" s="35">
        <f t="shared" si="11"/>
        <v>519.87452133786223</v>
      </c>
    </row>
    <row r="126" spans="2:11" x14ac:dyDescent="0.3">
      <c r="B126" s="31">
        <v>39722</v>
      </c>
      <c r="C126" s="57">
        <f t="shared" si="6"/>
        <v>519.87452133786223</v>
      </c>
      <c r="D126" s="36">
        <v>5.0000000000000001E-3</v>
      </c>
      <c r="E126" s="32">
        <f t="shared" si="7"/>
        <v>2.5990000000000002</v>
      </c>
      <c r="F126" s="32">
        <f t="shared" si="8"/>
        <v>522.47352133786228</v>
      </c>
      <c r="G126" s="32">
        <f t="shared" si="9"/>
        <v>1.2885607714699296</v>
      </c>
      <c r="H126" s="75">
        <f t="shared" si="10"/>
        <v>523.76208210933225</v>
      </c>
      <c r="I126" s="33">
        <v>0</v>
      </c>
      <c r="J126" s="34">
        <v>0</v>
      </c>
      <c r="K126" s="35">
        <f t="shared" si="11"/>
        <v>523.76208210933225</v>
      </c>
    </row>
    <row r="127" spans="2:11" x14ac:dyDescent="0.3">
      <c r="B127" s="31">
        <v>39753</v>
      </c>
      <c r="C127" s="57">
        <f t="shared" si="6"/>
        <v>523.76208210933225</v>
      </c>
      <c r="D127" s="36">
        <v>3.8E-3</v>
      </c>
      <c r="E127" s="32">
        <f t="shared" si="7"/>
        <v>1.99</v>
      </c>
      <c r="F127" s="32">
        <f t="shared" si="8"/>
        <v>525.75208210933226</v>
      </c>
      <c r="G127" s="32">
        <f t="shared" si="9"/>
        <v>1.2966465875437829</v>
      </c>
      <c r="H127" s="75">
        <f t="shared" si="10"/>
        <v>527.04872869687608</v>
      </c>
      <c r="I127" s="33">
        <v>0</v>
      </c>
      <c r="J127" s="34">
        <v>0</v>
      </c>
      <c r="K127" s="35">
        <f t="shared" si="11"/>
        <v>527.04872869687608</v>
      </c>
    </row>
    <row r="128" spans="2:11" x14ac:dyDescent="0.3">
      <c r="B128" s="31">
        <v>39783</v>
      </c>
      <c r="C128" s="57">
        <f t="shared" si="6"/>
        <v>527.04872869687608</v>
      </c>
      <c r="D128" s="36">
        <v>2.8999999999999998E-3</v>
      </c>
      <c r="E128" s="32">
        <f t="shared" si="7"/>
        <v>1.528</v>
      </c>
      <c r="F128" s="32">
        <f t="shared" si="8"/>
        <v>528.5767286968761</v>
      </c>
      <c r="G128" s="32">
        <f t="shared" si="9"/>
        <v>1.3036129286832445</v>
      </c>
      <c r="H128" s="75">
        <f t="shared" si="10"/>
        <v>529.88034162555937</v>
      </c>
      <c r="I128" s="33">
        <v>0</v>
      </c>
      <c r="J128" s="34">
        <v>0</v>
      </c>
      <c r="K128" s="35">
        <f t="shared" si="11"/>
        <v>529.88034162555937</v>
      </c>
    </row>
    <row r="129" spans="2:11" x14ac:dyDescent="0.3">
      <c r="B129" s="31">
        <v>39814</v>
      </c>
      <c r="C129" s="57">
        <f t="shared" si="6"/>
        <v>529.88034162555937</v>
      </c>
      <c r="D129" s="36">
        <v>6.4000000000000003E-3</v>
      </c>
      <c r="E129" s="32">
        <f t="shared" si="7"/>
        <v>3.391</v>
      </c>
      <c r="F129" s="32">
        <f t="shared" si="8"/>
        <v>533.27134162555933</v>
      </c>
      <c r="G129" s="32">
        <f t="shared" si="9"/>
        <v>1.3151911117108681</v>
      </c>
      <c r="H129" s="75">
        <f t="shared" si="10"/>
        <v>534.5865327372702</v>
      </c>
      <c r="I129" s="33">
        <v>0</v>
      </c>
      <c r="J129" s="34">
        <v>0</v>
      </c>
      <c r="K129" s="35">
        <f t="shared" si="11"/>
        <v>534.5865327372702</v>
      </c>
    </row>
    <row r="130" spans="2:11" x14ac:dyDescent="0.3">
      <c r="B130" s="31">
        <v>39845</v>
      </c>
      <c r="C130" s="57">
        <f t="shared" si="6"/>
        <v>534.5865327372702</v>
      </c>
      <c r="D130" s="36">
        <v>3.0999999999999999E-3</v>
      </c>
      <c r="E130" s="32">
        <f t="shared" si="7"/>
        <v>1.657</v>
      </c>
      <c r="F130" s="32">
        <f t="shared" si="8"/>
        <v>536.24353273727024</v>
      </c>
      <c r="G130" s="32">
        <f t="shared" si="9"/>
        <v>1.3225213374839475</v>
      </c>
      <c r="H130" s="75">
        <f t="shared" si="10"/>
        <v>537.56605407475422</v>
      </c>
      <c r="I130" s="33">
        <v>0</v>
      </c>
      <c r="J130" s="34">
        <v>0</v>
      </c>
      <c r="K130" s="35">
        <f t="shared" si="11"/>
        <v>537.56605407475422</v>
      </c>
    </row>
    <row r="131" spans="2:11" x14ac:dyDescent="0.3">
      <c r="B131" s="31">
        <v>39873</v>
      </c>
      <c r="C131" s="57">
        <f t="shared" si="6"/>
        <v>537.56605407475422</v>
      </c>
      <c r="D131" s="36">
        <v>2E-3</v>
      </c>
      <c r="E131" s="32">
        <f t="shared" si="7"/>
        <v>1.075</v>
      </c>
      <c r="F131" s="32">
        <f t="shared" si="8"/>
        <v>538.64105407475427</v>
      </c>
      <c r="G131" s="32">
        <f t="shared" si="9"/>
        <v>1.3284342724329441</v>
      </c>
      <c r="H131" s="75">
        <f t="shared" si="10"/>
        <v>539.96948834718717</v>
      </c>
      <c r="I131" s="33">
        <v>0</v>
      </c>
      <c r="J131" s="34">
        <v>0</v>
      </c>
      <c r="K131" s="35">
        <f t="shared" si="11"/>
        <v>539.96948834718717</v>
      </c>
    </row>
    <row r="132" spans="2:11" x14ac:dyDescent="0.3">
      <c r="B132" s="31">
        <v>39904</v>
      </c>
      <c r="C132" s="57">
        <f t="shared" si="6"/>
        <v>539.96948834718717</v>
      </c>
      <c r="D132" s="36">
        <v>5.4999999999999997E-3</v>
      </c>
      <c r="E132" s="32">
        <f t="shared" si="7"/>
        <v>2.9689999999999999</v>
      </c>
      <c r="F132" s="32">
        <f t="shared" si="8"/>
        <v>542.93848834718722</v>
      </c>
      <c r="G132" s="32">
        <f t="shared" si="9"/>
        <v>1.3390329056560175</v>
      </c>
      <c r="H132" s="75">
        <f t="shared" si="10"/>
        <v>544.27752125284326</v>
      </c>
      <c r="I132" s="33">
        <v>0</v>
      </c>
      <c r="J132" s="34">
        <v>0</v>
      </c>
      <c r="K132" s="35">
        <f t="shared" si="11"/>
        <v>544.27752125284326</v>
      </c>
    </row>
    <row r="133" spans="2:11" x14ac:dyDescent="0.3">
      <c r="B133" s="31">
        <v>39934</v>
      </c>
      <c r="C133" s="57">
        <f t="shared" si="6"/>
        <v>544.27752125284326</v>
      </c>
      <c r="D133" s="36">
        <v>6.0000000000000001E-3</v>
      </c>
      <c r="E133" s="32">
        <f t="shared" si="7"/>
        <v>3.2650000000000001</v>
      </c>
      <c r="F133" s="32">
        <f t="shared" si="8"/>
        <v>547.54252125284324</v>
      </c>
      <c r="G133" s="32">
        <f t="shared" si="9"/>
        <v>1.3503876938902497</v>
      </c>
      <c r="H133" s="75">
        <f t="shared" si="10"/>
        <v>548.89290894673354</v>
      </c>
      <c r="I133" s="33">
        <v>0</v>
      </c>
      <c r="J133" s="34">
        <v>0</v>
      </c>
      <c r="K133" s="35">
        <f t="shared" si="11"/>
        <v>548.89290894673354</v>
      </c>
    </row>
    <row r="134" spans="2:11" x14ac:dyDescent="0.3">
      <c r="B134" s="31">
        <v>39965</v>
      </c>
      <c r="C134" s="57">
        <f t="shared" si="6"/>
        <v>548.89290894673354</v>
      </c>
      <c r="D134" s="36">
        <v>4.1999999999999997E-3</v>
      </c>
      <c r="E134" s="32">
        <f t="shared" si="7"/>
        <v>2.3050000000000002</v>
      </c>
      <c r="F134" s="32">
        <f t="shared" si="8"/>
        <v>551.19790894673349</v>
      </c>
      <c r="G134" s="32">
        <f t="shared" si="9"/>
        <v>1.3594028668980604</v>
      </c>
      <c r="H134" s="75">
        <f t="shared" si="10"/>
        <v>552.5573118136316</v>
      </c>
      <c r="I134" s="33">
        <v>0</v>
      </c>
      <c r="J134" s="34">
        <v>0</v>
      </c>
      <c r="K134" s="35">
        <f t="shared" si="11"/>
        <v>552.5573118136316</v>
      </c>
    </row>
    <row r="135" spans="2:11" x14ac:dyDescent="0.3">
      <c r="B135" s="31">
        <v>39995</v>
      </c>
      <c r="C135" s="57">
        <f t="shared" si="6"/>
        <v>552.5573118136316</v>
      </c>
      <c r="D135" s="36">
        <v>2.3E-3</v>
      </c>
      <c r="E135" s="32">
        <f t="shared" si="7"/>
        <v>1.27</v>
      </c>
      <c r="F135" s="32">
        <f t="shared" si="8"/>
        <v>553.82731181363158</v>
      </c>
      <c r="G135" s="32">
        <f t="shared" si="9"/>
        <v>1.3658876843066052</v>
      </c>
      <c r="H135" s="75">
        <f t="shared" si="10"/>
        <v>555.19319949793817</v>
      </c>
      <c r="I135" s="33">
        <v>0</v>
      </c>
      <c r="J135" s="34">
        <v>0</v>
      </c>
      <c r="K135" s="35">
        <f t="shared" si="11"/>
        <v>555.19319949793817</v>
      </c>
    </row>
    <row r="136" spans="2:11" x14ac:dyDescent="0.3">
      <c r="B136" s="31">
        <v>40026</v>
      </c>
      <c r="C136" s="57">
        <f t="shared" si="6"/>
        <v>555.19319949793817</v>
      </c>
      <c r="D136" s="36">
        <v>8.0000000000000004E-4</v>
      </c>
      <c r="E136" s="32">
        <f t="shared" si="7"/>
        <v>0.44400000000000001</v>
      </c>
      <c r="F136" s="32">
        <f t="shared" si="8"/>
        <v>555.63719949793813</v>
      </c>
      <c r="G136" s="32">
        <f t="shared" si="9"/>
        <v>1.3703513560057798</v>
      </c>
      <c r="H136" s="75">
        <f t="shared" si="10"/>
        <v>557.00755085394394</v>
      </c>
      <c r="I136" s="33">
        <v>0</v>
      </c>
      <c r="J136" s="34">
        <v>0</v>
      </c>
      <c r="K136" s="35">
        <f t="shared" si="11"/>
        <v>557.00755085394394</v>
      </c>
    </row>
    <row r="137" spans="2:11" x14ac:dyDescent="0.3">
      <c r="B137" s="31">
        <v>40057</v>
      </c>
      <c r="C137" s="57">
        <f t="shared" si="6"/>
        <v>557.00755085394394</v>
      </c>
      <c r="D137" s="36">
        <v>1.6000000000000001E-3</v>
      </c>
      <c r="E137" s="32">
        <f t="shared" si="7"/>
        <v>0.89100000000000001</v>
      </c>
      <c r="F137" s="32">
        <f t="shared" si="8"/>
        <v>557.8985508539439</v>
      </c>
      <c r="G137" s="32">
        <f t="shared" si="9"/>
        <v>1.3759284590145562</v>
      </c>
      <c r="H137" s="75">
        <f t="shared" si="10"/>
        <v>559.27447931295842</v>
      </c>
      <c r="I137" s="33">
        <v>0</v>
      </c>
      <c r="J137" s="34">
        <v>0</v>
      </c>
      <c r="K137" s="35">
        <f t="shared" si="11"/>
        <v>559.27447931295842</v>
      </c>
    </row>
    <row r="138" spans="2:11" x14ac:dyDescent="0.3">
      <c r="B138" s="31">
        <v>40087</v>
      </c>
      <c r="C138" s="57">
        <f t="shared" ref="C138:C201" si="12">K137</f>
        <v>559.27447931295842</v>
      </c>
      <c r="D138" s="36">
        <v>2.3999999999999998E-3</v>
      </c>
      <c r="E138" s="32">
        <f t="shared" ref="E138:E201" si="13">ROUNDDOWN(D138*C138,3)</f>
        <v>1.3420000000000001</v>
      </c>
      <c r="F138" s="32">
        <f t="shared" ref="F138:F201" si="14">E138+C138</f>
        <v>560.6164793129584</v>
      </c>
      <c r="G138" s="32">
        <f t="shared" ref="G138:G201" si="15">F138*$A$9</f>
        <v>1.3826316044351699</v>
      </c>
      <c r="H138" s="75">
        <f t="shared" ref="H138:H201" si="16">G138+F138</f>
        <v>561.99911091739352</v>
      </c>
      <c r="I138" s="33">
        <v>0</v>
      </c>
      <c r="J138" s="34">
        <v>0</v>
      </c>
      <c r="K138" s="35">
        <f t="shared" ref="K138:K201" si="17">H138-I138+J138</f>
        <v>561.99911091739352</v>
      </c>
    </row>
    <row r="139" spans="2:11" x14ac:dyDescent="0.3">
      <c r="B139" s="31">
        <v>40118</v>
      </c>
      <c r="C139" s="57">
        <f t="shared" si="12"/>
        <v>561.99911091739352</v>
      </c>
      <c r="D139" s="36">
        <v>3.7000000000000002E-3</v>
      </c>
      <c r="E139" s="32">
        <f t="shared" si="13"/>
        <v>2.0790000000000002</v>
      </c>
      <c r="F139" s="32">
        <f t="shared" si="14"/>
        <v>564.07811091739347</v>
      </c>
      <c r="G139" s="32">
        <f t="shared" si="15"/>
        <v>1.3911689226122399</v>
      </c>
      <c r="H139" s="75">
        <f t="shared" si="16"/>
        <v>565.4692798400057</v>
      </c>
      <c r="I139" s="33">
        <v>0</v>
      </c>
      <c r="J139" s="34">
        <v>0</v>
      </c>
      <c r="K139" s="35">
        <f t="shared" si="17"/>
        <v>565.4692798400057</v>
      </c>
    </row>
    <row r="140" spans="2:11" x14ac:dyDescent="0.3">
      <c r="B140" s="31">
        <v>40148</v>
      </c>
      <c r="C140" s="57">
        <f t="shared" si="12"/>
        <v>565.4692798400057</v>
      </c>
      <c r="D140" s="36">
        <v>2.3999999999999998E-3</v>
      </c>
      <c r="E140" s="32">
        <f t="shared" si="13"/>
        <v>1.357</v>
      </c>
      <c r="F140" s="32">
        <f t="shared" si="14"/>
        <v>566.82627984000567</v>
      </c>
      <c r="G140" s="32">
        <f t="shared" si="15"/>
        <v>1.3979466491810109</v>
      </c>
      <c r="H140" s="75">
        <f t="shared" si="16"/>
        <v>568.22422648918666</v>
      </c>
      <c r="I140" s="33">
        <v>0</v>
      </c>
      <c r="J140" s="34">
        <v>0</v>
      </c>
      <c r="K140" s="35">
        <f t="shared" si="17"/>
        <v>568.22422648918666</v>
      </c>
    </row>
    <row r="141" spans="2:11" x14ac:dyDescent="0.3">
      <c r="B141" s="31">
        <v>40179</v>
      </c>
      <c r="C141" s="57">
        <f t="shared" si="12"/>
        <v>568.22422648918666</v>
      </c>
      <c r="D141" s="36">
        <v>8.8000000000000005E-3</v>
      </c>
      <c r="E141" s="32">
        <f t="shared" si="13"/>
        <v>5</v>
      </c>
      <c r="F141" s="32">
        <f t="shared" si="14"/>
        <v>573.22422648918666</v>
      </c>
      <c r="G141" s="32">
        <f t="shared" si="15"/>
        <v>1.4137257130634864</v>
      </c>
      <c r="H141" s="75">
        <f t="shared" si="16"/>
        <v>574.63795220225018</v>
      </c>
      <c r="I141" s="33">
        <v>0</v>
      </c>
      <c r="J141" s="34">
        <v>0</v>
      </c>
      <c r="K141" s="35">
        <f t="shared" si="17"/>
        <v>574.63795220225018</v>
      </c>
    </row>
    <row r="142" spans="2:11" x14ac:dyDescent="0.3">
      <c r="B142" s="31">
        <v>40210</v>
      </c>
      <c r="C142" s="57">
        <f t="shared" si="12"/>
        <v>574.63795220225018</v>
      </c>
      <c r="D142" s="36">
        <v>7.0000000000000001E-3</v>
      </c>
      <c r="E142" s="32">
        <f t="shared" si="13"/>
        <v>4.0220000000000002</v>
      </c>
      <c r="F142" s="32">
        <f t="shared" si="14"/>
        <v>578.65995220225022</v>
      </c>
      <c r="G142" s="32">
        <f t="shared" si="15"/>
        <v>1.4271316803178438</v>
      </c>
      <c r="H142" s="75">
        <f t="shared" si="16"/>
        <v>580.08708388256809</v>
      </c>
      <c r="I142" s="33">
        <v>0</v>
      </c>
      <c r="J142" s="34">
        <v>0</v>
      </c>
      <c r="K142" s="35">
        <f t="shared" si="17"/>
        <v>580.08708388256809</v>
      </c>
    </row>
    <row r="143" spans="2:11" x14ac:dyDescent="0.3">
      <c r="B143" s="31">
        <v>40238</v>
      </c>
      <c r="C143" s="57">
        <f t="shared" si="12"/>
        <v>580.08708388256809</v>
      </c>
      <c r="D143" s="36">
        <v>7.1000000000000004E-3</v>
      </c>
      <c r="E143" s="32">
        <f t="shared" si="13"/>
        <v>4.1180000000000003</v>
      </c>
      <c r="F143" s="32">
        <f t="shared" si="14"/>
        <v>584.20508388256815</v>
      </c>
      <c r="G143" s="32">
        <f t="shared" si="15"/>
        <v>1.4408074722270614</v>
      </c>
      <c r="H143" s="75">
        <f t="shared" si="16"/>
        <v>585.64589135479525</v>
      </c>
      <c r="I143" s="33">
        <v>0</v>
      </c>
      <c r="J143" s="34">
        <v>0</v>
      </c>
      <c r="K143" s="35">
        <f t="shared" si="17"/>
        <v>585.64589135479525</v>
      </c>
    </row>
    <row r="144" spans="2:11" x14ac:dyDescent="0.3">
      <c r="B144" s="31">
        <v>40269</v>
      </c>
      <c r="C144" s="57">
        <f t="shared" si="12"/>
        <v>585.64589135479525</v>
      </c>
      <c r="D144" s="36">
        <v>7.3000000000000001E-3</v>
      </c>
      <c r="E144" s="32">
        <f t="shared" si="13"/>
        <v>4.2750000000000004</v>
      </c>
      <c r="F144" s="32">
        <f t="shared" si="14"/>
        <v>589.92089135479523</v>
      </c>
      <c r="G144" s="32">
        <f t="shared" si="15"/>
        <v>1.4549041967215908</v>
      </c>
      <c r="H144" s="75">
        <f t="shared" si="16"/>
        <v>591.37579555151683</v>
      </c>
      <c r="I144" s="33">
        <v>0</v>
      </c>
      <c r="J144" s="34">
        <v>0</v>
      </c>
      <c r="K144" s="35">
        <f t="shared" si="17"/>
        <v>591.37579555151683</v>
      </c>
    </row>
    <row r="145" spans="2:11" x14ac:dyDescent="0.3">
      <c r="B145" s="31">
        <v>40299</v>
      </c>
      <c r="C145" s="57">
        <f t="shared" si="12"/>
        <v>591.37579555151683</v>
      </c>
      <c r="D145" s="36">
        <v>4.3E-3</v>
      </c>
      <c r="E145" s="32">
        <f t="shared" si="13"/>
        <v>2.5419999999999998</v>
      </c>
      <c r="F145" s="32">
        <f t="shared" si="14"/>
        <v>593.91779555151686</v>
      </c>
      <c r="G145" s="32">
        <f t="shared" si="15"/>
        <v>1.4647616416348395</v>
      </c>
      <c r="H145" s="75">
        <f t="shared" si="16"/>
        <v>595.38255719315168</v>
      </c>
      <c r="I145" s="33">
        <v>0</v>
      </c>
      <c r="J145" s="34">
        <v>0</v>
      </c>
      <c r="K145" s="35">
        <f t="shared" si="17"/>
        <v>595.38255719315168</v>
      </c>
    </row>
    <row r="146" spans="2:11" x14ac:dyDescent="0.3">
      <c r="B146" s="31">
        <v>40330</v>
      </c>
      <c r="C146" s="57">
        <f t="shared" si="12"/>
        <v>595.38255719315168</v>
      </c>
      <c r="D146" s="36">
        <v>-1.1000000000000001E-3</v>
      </c>
      <c r="E146" s="32">
        <f t="shared" si="13"/>
        <v>-0.65400000000000003</v>
      </c>
      <c r="F146" s="32">
        <f t="shared" si="14"/>
        <v>594.72855719315169</v>
      </c>
      <c r="G146" s="32">
        <f t="shared" si="15"/>
        <v>1.4667611987487543</v>
      </c>
      <c r="H146" s="75">
        <f t="shared" si="16"/>
        <v>596.1953183919004</v>
      </c>
      <c r="I146" s="33">
        <v>0</v>
      </c>
      <c r="J146" s="34">
        <v>0</v>
      </c>
      <c r="K146" s="35">
        <f t="shared" si="17"/>
        <v>596.1953183919004</v>
      </c>
    </row>
    <row r="147" spans="2:11" x14ac:dyDescent="0.3">
      <c r="B147" s="31">
        <v>40360</v>
      </c>
      <c r="C147" s="57">
        <f t="shared" si="12"/>
        <v>596.1953183919004</v>
      </c>
      <c r="D147" s="36">
        <v>-6.9999999999999999E-4</v>
      </c>
      <c r="E147" s="32">
        <f t="shared" si="13"/>
        <v>-0.41699999999999998</v>
      </c>
      <c r="F147" s="32">
        <f t="shared" si="14"/>
        <v>595.77831839190037</v>
      </c>
      <c r="G147" s="32">
        <f t="shared" si="15"/>
        <v>1.4693501933003921</v>
      </c>
      <c r="H147" s="75">
        <f t="shared" si="16"/>
        <v>597.24766858520081</v>
      </c>
      <c r="I147" s="33">
        <v>0</v>
      </c>
      <c r="J147" s="34">
        <v>0</v>
      </c>
      <c r="K147" s="35">
        <f t="shared" si="17"/>
        <v>597.24766858520081</v>
      </c>
    </row>
    <row r="148" spans="2:11" x14ac:dyDescent="0.3">
      <c r="B148" s="31">
        <v>40391</v>
      </c>
      <c r="C148" s="57">
        <f t="shared" si="12"/>
        <v>597.24766858520081</v>
      </c>
      <c r="D148" s="36">
        <v>-6.9999999999999999E-4</v>
      </c>
      <c r="E148" s="32">
        <f t="shared" si="13"/>
        <v>-0.41799999999999998</v>
      </c>
      <c r="F148" s="32">
        <f t="shared" si="14"/>
        <v>596.82966858520081</v>
      </c>
      <c r="G148" s="32">
        <f t="shared" si="15"/>
        <v>1.4719431067416231</v>
      </c>
      <c r="H148" s="75">
        <f t="shared" si="16"/>
        <v>598.30161169194241</v>
      </c>
      <c r="I148" s="33">
        <v>0</v>
      </c>
      <c r="J148" s="34">
        <v>0</v>
      </c>
      <c r="K148" s="35">
        <f t="shared" si="17"/>
        <v>598.30161169194241</v>
      </c>
    </row>
    <row r="149" spans="2:11" x14ac:dyDescent="0.3">
      <c r="B149" s="31">
        <v>40422</v>
      </c>
      <c r="C149" s="57">
        <f t="shared" si="12"/>
        <v>598.30161169194241</v>
      </c>
      <c r="D149" s="36">
        <v>5.4000000000000003E-3</v>
      </c>
      <c r="E149" s="32">
        <f t="shared" si="13"/>
        <v>3.23</v>
      </c>
      <c r="F149" s="32">
        <f t="shared" si="14"/>
        <v>601.53161169194243</v>
      </c>
      <c r="G149" s="32">
        <f t="shared" si="15"/>
        <v>1.4835393679674869</v>
      </c>
      <c r="H149" s="75">
        <f t="shared" si="16"/>
        <v>603.01515105990995</v>
      </c>
      <c r="I149" s="33">
        <v>0</v>
      </c>
      <c r="J149" s="34">
        <v>0</v>
      </c>
      <c r="K149" s="35">
        <f t="shared" si="17"/>
        <v>603.01515105990995</v>
      </c>
    </row>
    <row r="150" spans="2:11" x14ac:dyDescent="0.3">
      <c r="B150" s="31">
        <v>40452</v>
      </c>
      <c r="C150" s="57">
        <f t="shared" si="12"/>
        <v>603.01515105990995</v>
      </c>
      <c r="D150" s="36">
        <v>9.1999999999999998E-3</v>
      </c>
      <c r="E150" s="32">
        <f t="shared" si="13"/>
        <v>5.5469999999999997</v>
      </c>
      <c r="F150" s="32">
        <f t="shared" si="14"/>
        <v>608.56215105990998</v>
      </c>
      <c r="G150" s="32">
        <f t="shared" si="15"/>
        <v>1.5008785762945243</v>
      </c>
      <c r="H150" s="75">
        <f t="shared" si="16"/>
        <v>610.06302963620453</v>
      </c>
      <c r="I150" s="33">
        <v>0</v>
      </c>
      <c r="J150" s="34">
        <v>0</v>
      </c>
      <c r="K150" s="35">
        <f t="shared" si="17"/>
        <v>610.06302963620453</v>
      </c>
    </row>
    <row r="151" spans="2:11" x14ac:dyDescent="0.3">
      <c r="B151" s="31">
        <v>40483</v>
      </c>
      <c r="C151" s="57">
        <f t="shared" si="12"/>
        <v>610.06302963620453</v>
      </c>
      <c r="D151" s="36">
        <v>1.03E-2</v>
      </c>
      <c r="E151" s="32">
        <f t="shared" si="13"/>
        <v>6.2830000000000004</v>
      </c>
      <c r="F151" s="32">
        <f t="shared" si="14"/>
        <v>616.34602963620455</v>
      </c>
      <c r="G151" s="32">
        <f t="shared" si="15"/>
        <v>1.5200757225108823</v>
      </c>
      <c r="H151" s="75">
        <f t="shared" si="16"/>
        <v>617.86610535871546</v>
      </c>
      <c r="I151" s="33">
        <v>0</v>
      </c>
      <c r="J151" s="34">
        <v>0</v>
      </c>
      <c r="K151" s="35">
        <f t="shared" si="17"/>
        <v>617.86610535871546</v>
      </c>
    </row>
    <row r="152" spans="2:11" x14ac:dyDescent="0.3">
      <c r="B152" s="31">
        <v>40513</v>
      </c>
      <c r="C152" s="57">
        <f t="shared" si="12"/>
        <v>617.86610535871546</v>
      </c>
      <c r="D152" s="36">
        <v>6.0000000000000001E-3</v>
      </c>
      <c r="E152" s="32">
        <f t="shared" si="13"/>
        <v>3.7069999999999999</v>
      </c>
      <c r="F152" s="32">
        <f t="shared" si="14"/>
        <v>621.57310535871545</v>
      </c>
      <c r="G152" s="32">
        <f t="shared" si="15"/>
        <v>1.5329671025530391</v>
      </c>
      <c r="H152" s="75">
        <f t="shared" si="16"/>
        <v>623.10607246126847</v>
      </c>
      <c r="I152" s="33">
        <v>0</v>
      </c>
      <c r="J152" s="34">
        <v>0</v>
      </c>
      <c r="K152" s="35">
        <f t="shared" si="17"/>
        <v>623.10607246126847</v>
      </c>
    </row>
    <row r="153" spans="2:11" x14ac:dyDescent="0.3">
      <c r="B153" s="31">
        <v>40544</v>
      </c>
      <c r="C153" s="57">
        <f t="shared" si="12"/>
        <v>623.10607246126847</v>
      </c>
      <c r="D153" s="36">
        <v>9.4000000000000004E-3</v>
      </c>
      <c r="E153" s="32">
        <f t="shared" si="13"/>
        <v>5.8570000000000002</v>
      </c>
      <c r="F153" s="32">
        <f t="shared" si="14"/>
        <v>628.96307246126844</v>
      </c>
      <c r="G153" s="32">
        <f t="shared" si="15"/>
        <v>1.5511927567190524</v>
      </c>
      <c r="H153" s="75">
        <f t="shared" si="16"/>
        <v>630.51426521798749</v>
      </c>
      <c r="I153" s="33">
        <v>0</v>
      </c>
      <c r="J153" s="34">
        <v>0</v>
      </c>
      <c r="K153" s="35">
        <f t="shared" si="17"/>
        <v>630.51426521798749</v>
      </c>
    </row>
    <row r="154" spans="2:11" x14ac:dyDescent="0.3">
      <c r="B154" s="31">
        <v>40575</v>
      </c>
      <c r="C154" s="57">
        <f t="shared" si="12"/>
        <v>630.51426521798749</v>
      </c>
      <c r="D154" s="36">
        <v>5.4000000000000003E-3</v>
      </c>
      <c r="E154" s="32">
        <f t="shared" si="13"/>
        <v>3.4039999999999999</v>
      </c>
      <c r="F154" s="32">
        <f t="shared" si="14"/>
        <v>633.91826521798748</v>
      </c>
      <c r="G154" s="32">
        <f t="shared" si="15"/>
        <v>1.5634135999591661</v>
      </c>
      <c r="H154" s="75">
        <f t="shared" si="16"/>
        <v>635.48167881794666</v>
      </c>
      <c r="I154" s="33">
        <v>0</v>
      </c>
      <c r="J154" s="34">
        <v>0</v>
      </c>
      <c r="K154" s="35">
        <f t="shared" si="17"/>
        <v>635.48167881794666</v>
      </c>
    </row>
    <row r="155" spans="2:11" x14ac:dyDescent="0.3">
      <c r="B155" s="31">
        <v>40603</v>
      </c>
      <c r="C155" s="57">
        <f t="shared" si="12"/>
        <v>635.48167881794666</v>
      </c>
      <c r="D155" s="36">
        <v>6.6E-3</v>
      </c>
      <c r="E155" s="32">
        <f t="shared" si="13"/>
        <v>4.194</v>
      </c>
      <c r="F155" s="32">
        <f t="shared" si="14"/>
        <v>639.67567881794662</v>
      </c>
      <c r="G155" s="32">
        <f t="shared" si="15"/>
        <v>1.5776129363983371</v>
      </c>
      <c r="H155" s="75">
        <f t="shared" si="16"/>
        <v>641.2532917543449</v>
      </c>
      <c r="I155" s="33">
        <v>0</v>
      </c>
      <c r="J155" s="34">
        <v>0</v>
      </c>
      <c r="K155" s="35">
        <f t="shared" si="17"/>
        <v>641.2532917543449</v>
      </c>
    </row>
    <row r="156" spans="2:11" x14ac:dyDescent="0.3">
      <c r="B156" s="31">
        <v>40634</v>
      </c>
      <c r="C156" s="57">
        <f t="shared" si="12"/>
        <v>641.2532917543449</v>
      </c>
      <c r="D156" s="36">
        <v>7.1999999999999998E-3</v>
      </c>
      <c r="E156" s="32">
        <f t="shared" si="13"/>
        <v>4.617</v>
      </c>
      <c r="F156" s="32">
        <f t="shared" si="14"/>
        <v>645.87029175434486</v>
      </c>
      <c r="G156" s="32">
        <f t="shared" si="15"/>
        <v>1.592890524444988</v>
      </c>
      <c r="H156" s="75">
        <f t="shared" si="16"/>
        <v>647.46318227878987</v>
      </c>
      <c r="I156" s="33">
        <v>0</v>
      </c>
      <c r="J156" s="34">
        <v>0</v>
      </c>
      <c r="K156" s="35">
        <f t="shared" si="17"/>
        <v>647.46318227878987</v>
      </c>
    </row>
    <row r="157" spans="2:11" x14ac:dyDescent="0.3">
      <c r="B157" s="31">
        <v>40664</v>
      </c>
      <c r="C157" s="57">
        <f t="shared" si="12"/>
        <v>647.46318227878987</v>
      </c>
      <c r="D157" s="36">
        <v>5.7000000000000002E-3</v>
      </c>
      <c r="E157" s="32">
        <f t="shared" si="13"/>
        <v>3.69</v>
      </c>
      <c r="F157" s="32">
        <f t="shared" si="14"/>
        <v>651.15318227878993</v>
      </c>
      <c r="G157" s="32">
        <f t="shared" si="15"/>
        <v>1.6059195588587112</v>
      </c>
      <c r="H157" s="75">
        <f t="shared" si="16"/>
        <v>652.75910183764859</v>
      </c>
      <c r="I157" s="33">
        <v>0</v>
      </c>
      <c r="J157" s="34">
        <v>0</v>
      </c>
      <c r="K157" s="35">
        <f t="shared" si="17"/>
        <v>652.75910183764859</v>
      </c>
    </row>
    <row r="158" spans="2:11" x14ac:dyDescent="0.3">
      <c r="B158" s="31">
        <v>40695</v>
      </c>
      <c r="C158" s="57">
        <f t="shared" si="12"/>
        <v>652.75910183764859</v>
      </c>
      <c r="D158" s="36">
        <v>2.2000000000000001E-3</v>
      </c>
      <c r="E158" s="32">
        <f t="shared" si="13"/>
        <v>1.4359999999999999</v>
      </c>
      <c r="F158" s="32">
        <f t="shared" si="14"/>
        <v>654.19510183764862</v>
      </c>
      <c r="G158" s="32">
        <f t="shared" si="15"/>
        <v>1.6134217538091378</v>
      </c>
      <c r="H158" s="75">
        <f t="shared" si="16"/>
        <v>655.80852359145774</v>
      </c>
      <c r="I158" s="33">
        <v>0</v>
      </c>
      <c r="J158" s="34">
        <v>0</v>
      </c>
      <c r="K158" s="35">
        <f t="shared" si="17"/>
        <v>655.80852359145774</v>
      </c>
    </row>
    <row r="159" spans="2:11" x14ac:dyDescent="0.3">
      <c r="B159" s="31">
        <v>40725</v>
      </c>
      <c r="C159" s="57">
        <f t="shared" si="12"/>
        <v>655.80852359145774</v>
      </c>
      <c r="D159" s="36">
        <v>0</v>
      </c>
      <c r="E159" s="32">
        <f t="shared" si="13"/>
        <v>0</v>
      </c>
      <c r="F159" s="32">
        <f t="shared" si="14"/>
        <v>655.80852359145774</v>
      </c>
      <c r="G159" s="32">
        <f t="shared" si="15"/>
        <v>1.6174008874779044</v>
      </c>
      <c r="H159" s="75">
        <f t="shared" si="16"/>
        <v>657.4259244789356</v>
      </c>
      <c r="I159" s="33">
        <v>0</v>
      </c>
      <c r="J159" s="34">
        <v>0</v>
      </c>
      <c r="K159" s="35">
        <f t="shared" si="17"/>
        <v>657.4259244789356</v>
      </c>
    </row>
    <row r="160" spans="2:11" x14ac:dyDescent="0.3">
      <c r="B160" s="31">
        <v>40756</v>
      </c>
      <c r="C160" s="57">
        <f t="shared" si="12"/>
        <v>657.4259244789356</v>
      </c>
      <c r="D160" s="36">
        <v>4.1999999999999997E-3</v>
      </c>
      <c r="E160" s="32">
        <f t="shared" si="13"/>
        <v>2.7610000000000001</v>
      </c>
      <c r="F160" s="32">
        <f t="shared" si="14"/>
        <v>660.18692447893557</v>
      </c>
      <c r="G160" s="32">
        <f t="shared" si="15"/>
        <v>1.6281992062346644</v>
      </c>
      <c r="H160" s="75">
        <f t="shared" si="16"/>
        <v>661.81512368517019</v>
      </c>
      <c r="I160" s="33">
        <v>0</v>
      </c>
      <c r="J160" s="34">
        <v>0</v>
      </c>
      <c r="K160" s="35">
        <f t="shared" si="17"/>
        <v>661.81512368517019</v>
      </c>
    </row>
    <row r="161" spans="2:11" x14ac:dyDescent="0.3">
      <c r="B161" s="31">
        <v>40787</v>
      </c>
      <c r="C161" s="57">
        <f t="shared" si="12"/>
        <v>661.81512368517019</v>
      </c>
      <c r="D161" s="36">
        <v>4.4999999999999997E-3</v>
      </c>
      <c r="E161" s="32">
        <f t="shared" si="13"/>
        <v>2.9780000000000002</v>
      </c>
      <c r="F161" s="32">
        <f t="shared" si="14"/>
        <v>664.79312368517014</v>
      </c>
      <c r="G161" s="32">
        <f t="shared" si="15"/>
        <v>1.6395593371510246</v>
      </c>
      <c r="H161" s="75">
        <f t="shared" si="16"/>
        <v>666.43268302232116</v>
      </c>
      <c r="I161" s="33">
        <v>0</v>
      </c>
      <c r="J161" s="34">
        <v>0</v>
      </c>
      <c r="K161" s="35">
        <f t="shared" si="17"/>
        <v>666.43268302232116</v>
      </c>
    </row>
    <row r="162" spans="2:11" x14ac:dyDescent="0.3">
      <c r="B162" s="31">
        <v>40817</v>
      </c>
      <c r="C162" s="57">
        <f t="shared" si="12"/>
        <v>666.43268302232116</v>
      </c>
      <c r="D162" s="36">
        <v>3.2000000000000002E-3</v>
      </c>
      <c r="E162" s="32">
        <f t="shared" si="13"/>
        <v>2.1320000000000001</v>
      </c>
      <c r="F162" s="32">
        <f t="shared" si="14"/>
        <v>668.56468302232111</v>
      </c>
      <c r="G162" s="32">
        <f t="shared" si="15"/>
        <v>1.6488610207974599</v>
      </c>
      <c r="H162" s="75">
        <f t="shared" si="16"/>
        <v>670.21354404311853</v>
      </c>
      <c r="I162" s="33">
        <v>0</v>
      </c>
      <c r="J162" s="34">
        <v>0</v>
      </c>
      <c r="K162" s="35">
        <f t="shared" si="17"/>
        <v>670.21354404311853</v>
      </c>
    </row>
    <row r="163" spans="2:11" x14ac:dyDescent="0.3">
      <c r="B163" s="31">
        <v>40848</v>
      </c>
      <c r="C163" s="57">
        <f t="shared" si="12"/>
        <v>670.21354404311853</v>
      </c>
      <c r="D163" s="36">
        <v>5.7000000000000002E-3</v>
      </c>
      <c r="E163" s="32">
        <f t="shared" si="13"/>
        <v>3.82</v>
      </c>
      <c r="F163" s="32">
        <f t="shared" si="14"/>
        <v>674.03354404311858</v>
      </c>
      <c r="G163" s="32">
        <f t="shared" si="15"/>
        <v>1.6623487086672222</v>
      </c>
      <c r="H163" s="75">
        <f t="shared" si="16"/>
        <v>675.69589275178578</v>
      </c>
      <c r="I163" s="33">
        <v>0</v>
      </c>
      <c r="J163" s="34">
        <v>0</v>
      </c>
      <c r="K163" s="35">
        <f t="shared" si="17"/>
        <v>675.69589275178578</v>
      </c>
    </row>
    <row r="164" spans="2:11" x14ac:dyDescent="0.3">
      <c r="B164" s="31">
        <v>40878</v>
      </c>
      <c r="C164" s="57">
        <f t="shared" si="12"/>
        <v>675.69589275178578</v>
      </c>
      <c r="D164" s="36">
        <v>5.1000000000000004E-3</v>
      </c>
      <c r="E164" s="32">
        <f t="shared" si="13"/>
        <v>3.4460000000000002</v>
      </c>
      <c r="F164" s="32">
        <f t="shared" si="14"/>
        <v>679.1418927517858</v>
      </c>
      <c r="G164" s="32">
        <f t="shared" si="15"/>
        <v>1.6749472758369468</v>
      </c>
      <c r="H164" s="75">
        <f t="shared" si="16"/>
        <v>680.81684002762279</v>
      </c>
      <c r="I164" s="33">
        <v>0</v>
      </c>
      <c r="J164" s="34">
        <v>0</v>
      </c>
      <c r="K164" s="35">
        <f t="shared" si="17"/>
        <v>680.81684002762279</v>
      </c>
    </row>
    <row r="165" spans="2:11" x14ac:dyDescent="0.3">
      <c r="B165" s="31">
        <v>40909</v>
      </c>
      <c r="C165" s="57">
        <f t="shared" si="12"/>
        <v>680.81684002762279</v>
      </c>
      <c r="D165" s="36">
        <v>5.1000000000000004E-3</v>
      </c>
      <c r="E165" s="32">
        <f t="shared" si="13"/>
        <v>3.472</v>
      </c>
      <c r="F165" s="32">
        <f t="shared" si="14"/>
        <v>684.28884002762277</v>
      </c>
      <c r="G165" s="32">
        <f t="shared" si="15"/>
        <v>1.6876410374949251</v>
      </c>
      <c r="H165" s="75">
        <f t="shared" si="16"/>
        <v>685.9764810651177</v>
      </c>
      <c r="I165" s="33">
        <v>0</v>
      </c>
      <c r="J165" s="34">
        <v>0</v>
      </c>
      <c r="K165" s="35">
        <f t="shared" si="17"/>
        <v>685.9764810651177</v>
      </c>
    </row>
    <row r="166" spans="2:11" x14ac:dyDescent="0.3">
      <c r="B166" s="31">
        <v>40940</v>
      </c>
      <c r="C166" s="57">
        <f t="shared" si="12"/>
        <v>685.9764810651177</v>
      </c>
      <c r="D166" s="36">
        <v>3.8999999999999998E-3</v>
      </c>
      <c r="E166" s="32">
        <f t="shared" si="13"/>
        <v>2.6749999999999998</v>
      </c>
      <c r="F166" s="32">
        <f t="shared" si="14"/>
        <v>688.65148106511765</v>
      </c>
      <c r="G166" s="32">
        <f t="shared" si="15"/>
        <v>1.6984004882064676</v>
      </c>
      <c r="H166" s="75">
        <f t="shared" si="16"/>
        <v>690.34988155332417</v>
      </c>
      <c r="I166" s="33">
        <v>0</v>
      </c>
      <c r="J166" s="34">
        <v>0</v>
      </c>
      <c r="K166" s="35">
        <f t="shared" si="17"/>
        <v>690.34988155332417</v>
      </c>
    </row>
    <row r="167" spans="2:11" x14ac:dyDescent="0.3">
      <c r="B167" s="31">
        <v>40969</v>
      </c>
      <c r="C167" s="57">
        <f t="shared" si="12"/>
        <v>690.34988155332417</v>
      </c>
      <c r="D167" s="36">
        <v>1.8E-3</v>
      </c>
      <c r="E167" s="32">
        <f t="shared" si="13"/>
        <v>1.242</v>
      </c>
      <c r="F167" s="32">
        <f t="shared" si="14"/>
        <v>691.59188155332413</v>
      </c>
      <c r="G167" s="32">
        <f t="shared" si="15"/>
        <v>1.7056523097185168</v>
      </c>
      <c r="H167" s="75">
        <f t="shared" si="16"/>
        <v>693.29753386304264</v>
      </c>
      <c r="I167" s="33">
        <v>0</v>
      </c>
      <c r="J167" s="34">
        <v>0</v>
      </c>
      <c r="K167" s="35">
        <f t="shared" si="17"/>
        <v>693.29753386304264</v>
      </c>
    </row>
    <row r="168" spans="2:11" x14ac:dyDescent="0.3">
      <c r="B168" s="31">
        <v>41000</v>
      </c>
      <c r="C168" s="57">
        <f t="shared" si="12"/>
        <v>693.29753386304264</v>
      </c>
      <c r="D168" s="36">
        <v>6.4000000000000003E-3</v>
      </c>
      <c r="E168" s="32">
        <f t="shared" si="13"/>
        <v>4.4370000000000003</v>
      </c>
      <c r="F168" s="32">
        <f t="shared" si="14"/>
        <v>697.73453386304266</v>
      </c>
      <c r="G168" s="32">
        <f t="shared" si="15"/>
        <v>1.7208017488304062</v>
      </c>
      <c r="H168" s="75">
        <f t="shared" si="16"/>
        <v>699.45533561187301</v>
      </c>
      <c r="I168" s="33">
        <v>0</v>
      </c>
      <c r="J168" s="34">
        <v>0</v>
      </c>
      <c r="K168" s="35">
        <f t="shared" si="17"/>
        <v>699.45533561187301</v>
      </c>
    </row>
    <row r="169" spans="2:11" x14ac:dyDescent="0.3">
      <c r="B169" s="31">
        <v>41030</v>
      </c>
      <c r="C169" s="57">
        <f t="shared" si="12"/>
        <v>699.45533561187301</v>
      </c>
      <c r="D169" s="36">
        <v>5.4999999999999997E-3</v>
      </c>
      <c r="E169" s="32">
        <f t="shared" si="13"/>
        <v>3.847</v>
      </c>
      <c r="F169" s="32">
        <f t="shared" si="14"/>
        <v>703.30233561187299</v>
      </c>
      <c r="G169" s="32">
        <f t="shared" si="15"/>
        <v>1.7345334512494941</v>
      </c>
      <c r="H169" s="75">
        <f t="shared" si="16"/>
        <v>705.03686906312248</v>
      </c>
      <c r="I169" s="33">
        <v>0</v>
      </c>
      <c r="J169" s="34">
        <v>0</v>
      </c>
      <c r="K169" s="35">
        <f t="shared" si="17"/>
        <v>705.03686906312248</v>
      </c>
    </row>
    <row r="170" spans="2:11" x14ac:dyDescent="0.3">
      <c r="B170" s="31">
        <v>41061</v>
      </c>
      <c r="C170" s="57">
        <f t="shared" si="12"/>
        <v>705.03686906312248</v>
      </c>
      <c r="D170" s="36">
        <v>2.5999999999999999E-3</v>
      </c>
      <c r="E170" s="32">
        <f t="shared" si="13"/>
        <v>1.833</v>
      </c>
      <c r="F170" s="32">
        <f t="shared" si="14"/>
        <v>706.86986906312245</v>
      </c>
      <c r="G170" s="32">
        <f t="shared" si="15"/>
        <v>1.7433319519743069</v>
      </c>
      <c r="H170" s="75">
        <f t="shared" si="16"/>
        <v>708.61320101509671</v>
      </c>
      <c r="I170" s="33">
        <v>0</v>
      </c>
      <c r="J170" s="34">
        <v>0</v>
      </c>
      <c r="K170" s="35">
        <f t="shared" si="17"/>
        <v>708.61320101509671</v>
      </c>
    </row>
    <row r="171" spans="2:11" x14ac:dyDescent="0.3">
      <c r="B171" s="31">
        <v>41091</v>
      </c>
      <c r="C171" s="57">
        <f t="shared" si="12"/>
        <v>708.61320101509671</v>
      </c>
      <c r="D171" s="36">
        <v>4.3E-3</v>
      </c>
      <c r="E171" s="32">
        <f t="shared" si="13"/>
        <v>3.0470000000000002</v>
      </c>
      <c r="F171" s="32">
        <f t="shared" si="14"/>
        <v>711.66020101509673</v>
      </c>
      <c r="G171" s="32">
        <f t="shared" si="15"/>
        <v>1.7551462039575025</v>
      </c>
      <c r="H171" s="75">
        <f t="shared" si="16"/>
        <v>713.41534721905418</v>
      </c>
      <c r="I171" s="33">
        <v>0</v>
      </c>
      <c r="J171" s="34">
        <v>0</v>
      </c>
      <c r="K171" s="35">
        <f t="shared" si="17"/>
        <v>713.41534721905418</v>
      </c>
    </row>
    <row r="172" spans="2:11" x14ac:dyDescent="0.3">
      <c r="B172" s="31">
        <v>41122</v>
      </c>
      <c r="C172" s="57">
        <f t="shared" si="12"/>
        <v>713.41534721905418</v>
      </c>
      <c r="D172" s="36">
        <v>4.4999999999999997E-3</v>
      </c>
      <c r="E172" s="32">
        <f t="shared" si="13"/>
        <v>3.21</v>
      </c>
      <c r="F172" s="32">
        <f t="shared" si="14"/>
        <v>716.62534721905422</v>
      </c>
      <c r="G172" s="32">
        <f t="shared" si="15"/>
        <v>1.7673915950859369</v>
      </c>
      <c r="H172" s="75">
        <f t="shared" si="16"/>
        <v>718.3927388141401</v>
      </c>
      <c r="I172" s="33">
        <v>0</v>
      </c>
      <c r="J172" s="34">
        <v>0</v>
      </c>
      <c r="K172" s="35">
        <f t="shared" si="17"/>
        <v>718.3927388141401</v>
      </c>
    </row>
    <row r="173" spans="2:11" x14ac:dyDescent="0.3">
      <c r="B173" s="31">
        <v>41153</v>
      </c>
      <c r="C173" s="57">
        <f t="shared" si="12"/>
        <v>718.3927388141401</v>
      </c>
      <c r="D173" s="36">
        <v>6.3E-3</v>
      </c>
      <c r="E173" s="32">
        <f t="shared" si="13"/>
        <v>4.5250000000000004</v>
      </c>
      <c r="F173" s="32">
        <f t="shared" si="14"/>
        <v>722.91773881414008</v>
      </c>
      <c r="G173" s="32">
        <f t="shared" si="15"/>
        <v>1.7829103317051493</v>
      </c>
      <c r="H173" s="75">
        <f t="shared" si="16"/>
        <v>724.7006491458452</v>
      </c>
      <c r="I173" s="33">
        <v>0</v>
      </c>
      <c r="J173" s="34">
        <v>0</v>
      </c>
      <c r="K173" s="35">
        <f t="shared" si="17"/>
        <v>724.7006491458452</v>
      </c>
    </row>
    <row r="174" spans="2:11" x14ac:dyDescent="0.3">
      <c r="B174" s="31">
        <v>41183</v>
      </c>
      <c r="C174" s="57">
        <f t="shared" si="12"/>
        <v>724.7006491458452</v>
      </c>
      <c r="D174" s="36">
        <v>7.1000000000000004E-3</v>
      </c>
      <c r="E174" s="32">
        <f t="shared" si="13"/>
        <v>5.1449999999999996</v>
      </c>
      <c r="F174" s="32">
        <f t="shared" si="14"/>
        <v>729.84564914584519</v>
      </c>
      <c r="G174" s="32">
        <f t="shared" si="15"/>
        <v>1.7999964291189237</v>
      </c>
      <c r="H174" s="75">
        <f t="shared" si="16"/>
        <v>731.64564557496408</v>
      </c>
      <c r="I174" s="33">
        <v>0</v>
      </c>
      <c r="J174" s="34">
        <v>0</v>
      </c>
      <c r="K174" s="35">
        <f t="shared" si="17"/>
        <v>731.64564557496408</v>
      </c>
    </row>
    <row r="175" spans="2:11" x14ac:dyDescent="0.3">
      <c r="B175" s="31">
        <v>41214</v>
      </c>
      <c r="C175" s="57">
        <f t="shared" si="12"/>
        <v>731.64564557496408</v>
      </c>
      <c r="D175" s="36">
        <v>5.4000000000000003E-3</v>
      </c>
      <c r="E175" s="32">
        <f t="shared" si="13"/>
        <v>3.95</v>
      </c>
      <c r="F175" s="32">
        <f t="shared" si="14"/>
        <v>735.59564557496412</v>
      </c>
      <c r="G175" s="32">
        <f t="shared" si="15"/>
        <v>1.8141774728121667</v>
      </c>
      <c r="H175" s="75">
        <f t="shared" si="16"/>
        <v>737.40982304777629</v>
      </c>
      <c r="I175" s="33">
        <v>0</v>
      </c>
      <c r="J175" s="34">
        <v>0</v>
      </c>
      <c r="K175" s="35">
        <f t="shared" si="17"/>
        <v>737.40982304777629</v>
      </c>
    </row>
    <row r="176" spans="2:11" x14ac:dyDescent="0.3">
      <c r="B176" s="31">
        <v>41244</v>
      </c>
      <c r="C176" s="57">
        <f t="shared" si="12"/>
        <v>737.40982304777629</v>
      </c>
      <c r="D176" s="36">
        <v>7.4000000000000003E-3</v>
      </c>
      <c r="E176" s="32">
        <f t="shared" si="13"/>
        <v>5.4560000000000004</v>
      </c>
      <c r="F176" s="32">
        <f t="shared" si="14"/>
        <v>742.8658230477763</v>
      </c>
      <c r="G176" s="32">
        <f t="shared" si="15"/>
        <v>1.8321076934080394</v>
      </c>
      <c r="H176" s="75">
        <f t="shared" si="16"/>
        <v>744.69793074118434</v>
      </c>
      <c r="I176" s="33">
        <v>0</v>
      </c>
      <c r="J176" s="34">
        <v>0</v>
      </c>
      <c r="K176" s="35">
        <f t="shared" si="17"/>
        <v>744.69793074118434</v>
      </c>
    </row>
    <row r="177" spans="2:11" x14ac:dyDescent="0.3">
      <c r="B177" s="31">
        <v>41275</v>
      </c>
      <c r="C177" s="57">
        <f t="shared" si="12"/>
        <v>744.69793074118434</v>
      </c>
      <c r="D177" s="36">
        <v>9.1999999999999998E-3</v>
      </c>
      <c r="E177" s="32">
        <f t="shared" si="13"/>
        <v>6.851</v>
      </c>
      <c r="F177" s="32">
        <f t="shared" si="14"/>
        <v>751.54893074118434</v>
      </c>
      <c r="G177" s="32">
        <f t="shared" si="15"/>
        <v>1.8535225814190608</v>
      </c>
      <c r="H177" s="75">
        <f t="shared" si="16"/>
        <v>753.40245332260338</v>
      </c>
      <c r="I177" s="33">
        <v>0</v>
      </c>
      <c r="J177" s="34">
        <v>0</v>
      </c>
      <c r="K177" s="35">
        <f t="shared" si="17"/>
        <v>753.40245332260338</v>
      </c>
    </row>
    <row r="178" spans="2:11" x14ac:dyDescent="0.3">
      <c r="B178" s="31">
        <v>41306</v>
      </c>
      <c r="C178" s="57">
        <f t="shared" si="12"/>
        <v>753.40245332260338</v>
      </c>
      <c r="D178" s="36">
        <v>5.1999999999999998E-3</v>
      </c>
      <c r="E178" s="32">
        <f t="shared" si="13"/>
        <v>3.9169999999999998</v>
      </c>
      <c r="F178" s="32">
        <f t="shared" si="14"/>
        <v>757.31945332260341</v>
      </c>
      <c r="G178" s="32">
        <f t="shared" si="15"/>
        <v>1.867754248145937</v>
      </c>
      <c r="H178" s="75">
        <f t="shared" si="16"/>
        <v>759.18720757074937</v>
      </c>
      <c r="I178" s="33">
        <v>0</v>
      </c>
      <c r="J178" s="34">
        <v>0</v>
      </c>
      <c r="K178" s="35">
        <f t="shared" si="17"/>
        <v>759.18720757074937</v>
      </c>
    </row>
    <row r="179" spans="2:11" x14ac:dyDescent="0.3">
      <c r="B179" s="31">
        <v>41334</v>
      </c>
      <c r="C179" s="57">
        <f t="shared" si="12"/>
        <v>759.18720757074937</v>
      </c>
      <c r="D179" s="36">
        <v>6.0000000000000001E-3</v>
      </c>
      <c r="E179" s="32">
        <f t="shared" si="13"/>
        <v>4.5549999999999997</v>
      </c>
      <c r="F179" s="32">
        <f t="shared" si="14"/>
        <v>763.74220757074931</v>
      </c>
      <c r="G179" s="32">
        <f t="shared" si="15"/>
        <v>1.8835944942655118</v>
      </c>
      <c r="H179" s="75">
        <f t="shared" si="16"/>
        <v>765.6258020650148</v>
      </c>
      <c r="I179" s="33">
        <v>0</v>
      </c>
      <c r="J179" s="34">
        <v>0</v>
      </c>
      <c r="K179" s="35">
        <f t="shared" si="17"/>
        <v>765.6258020650148</v>
      </c>
    </row>
    <row r="180" spans="2:11" x14ac:dyDescent="0.3">
      <c r="B180" s="31">
        <v>41365</v>
      </c>
      <c r="C180" s="57">
        <f t="shared" si="12"/>
        <v>765.6258020650148</v>
      </c>
      <c r="D180" s="36">
        <v>5.8999999999999999E-3</v>
      </c>
      <c r="E180" s="32">
        <f t="shared" si="13"/>
        <v>4.5170000000000003</v>
      </c>
      <c r="F180" s="32">
        <f t="shared" si="14"/>
        <v>770.14280206501485</v>
      </c>
      <c r="G180" s="32">
        <f t="shared" si="15"/>
        <v>1.8993800884488843</v>
      </c>
      <c r="H180" s="75">
        <f t="shared" si="16"/>
        <v>772.04218215346373</v>
      </c>
      <c r="I180" s="33">
        <v>0</v>
      </c>
      <c r="J180" s="34">
        <v>0</v>
      </c>
      <c r="K180" s="35">
        <f t="shared" si="17"/>
        <v>772.04218215346373</v>
      </c>
    </row>
    <row r="181" spans="2:11" x14ac:dyDescent="0.3">
      <c r="B181" s="31">
        <v>41395</v>
      </c>
      <c r="C181" s="57">
        <f t="shared" si="12"/>
        <v>772.04218215346373</v>
      </c>
      <c r="D181" s="36">
        <v>3.5000000000000001E-3</v>
      </c>
      <c r="E181" s="32">
        <f t="shared" si="13"/>
        <v>2.702</v>
      </c>
      <c r="F181" s="32">
        <f t="shared" si="14"/>
        <v>774.74418215346373</v>
      </c>
      <c r="G181" s="32">
        <f t="shared" si="15"/>
        <v>1.9107283341196231</v>
      </c>
      <c r="H181" s="75">
        <f t="shared" si="16"/>
        <v>776.65491048758338</v>
      </c>
      <c r="I181" s="33">
        <v>0</v>
      </c>
      <c r="J181" s="34">
        <v>0</v>
      </c>
      <c r="K181" s="35">
        <f t="shared" si="17"/>
        <v>776.65491048758338</v>
      </c>
    </row>
    <row r="182" spans="2:11" x14ac:dyDescent="0.3">
      <c r="B182" s="31">
        <v>41426</v>
      </c>
      <c r="C182" s="57">
        <f t="shared" si="12"/>
        <v>776.65491048758338</v>
      </c>
      <c r="D182" s="36">
        <v>2.8E-3</v>
      </c>
      <c r="E182" s="32">
        <f t="shared" si="13"/>
        <v>2.1739999999999999</v>
      </c>
      <c r="F182" s="32">
        <f t="shared" si="14"/>
        <v>778.82891048758336</v>
      </c>
      <c r="G182" s="32">
        <f t="shared" si="15"/>
        <v>1.9208023770682121</v>
      </c>
      <c r="H182" s="75">
        <f t="shared" si="16"/>
        <v>780.74971286465154</v>
      </c>
      <c r="I182" s="33">
        <v>0</v>
      </c>
      <c r="J182" s="34">
        <v>0</v>
      </c>
      <c r="K182" s="35">
        <f t="shared" si="17"/>
        <v>780.74971286465154</v>
      </c>
    </row>
    <row r="183" spans="2:11" x14ac:dyDescent="0.3">
      <c r="B183" s="31">
        <v>41456</v>
      </c>
      <c r="C183" s="57">
        <f t="shared" si="12"/>
        <v>780.74971286465154</v>
      </c>
      <c r="D183" s="36">
        <v>-1.2999999999999999E-3</v>
      </c>
      <c r="E183" s="32">
        <f t="shared" si="13"/>
        <v>-1.014</v>
      </c>
      <c r="F183" s="32">
        <f t="shared" si="14"/>
        <v>779.73571286465153</v>
      </c>
      <c r="G183" s="32">
        <f t="shared" si="15"/>
        <v>1.9230387965667042</v>
      </c>
      <c r="H183" s="75">
        <f t="shared" si="16"/>
        <v>781.65875166121828</v>
      </c>
      <c r="I183" s="33">
        <v>0</v>
      </c>
      <c r="J183" s="34">
        <v>0</v>
      </c>
      <c r="K183" s="35">
        <f t="shared" si="17"/>
        <v>781.65875166121828</v>
      </c>
    </row>
    <row r="184" spans="2:11" x14ac:dyDescent="0.3">
      <c r="B184" s="31">
        <v>41487</v>
      </c>
      <c r="C184" s="57">
        <f t="shared" si="12"/>
        <v>781.65875166121828</v>
      </c>
      <c r="D184" s="36">
        <v>1.6000000000000001E-3</v>
      </c>
      <c r="E184" s="32">
        <f t="shared" si="13"/>
        <v>1.25</v>
      </c>
      <c r="F184" s="32">
        <f t="shared" si="14"/>
        <v>782.90875166121828</v>
      </c>
      <c r="G184" s="32">
        <f t="shared" si="15"/>
        <v>1.9308643669595129</v>
      </c>
      <c r="H184" s="75">
        <f t="shared" si="16"/>
        <v>784.83961602817783</v>
      </c>
      <c r="I184" s="33">
        <v>0</v>
      </c>
      <c r="J184" s="34">
        <v>0</v>
      </c>
      <c r="K184" s="35">
        <f t="shared" si="17"/>
        <v>784.83961602817783</v>
      </c>
    </row>
    <row r="185" spans="2:11" x14ac:dyDescent="0.3">
      <c r="B185" s="31">
        <v>41518</v>
      </c>
      <c r="C185" s="57">
        <f t="shared" si="12"/>
        <v>784.83961602817783</v>
      </c>
      <c r="D185" s="36">
        <v>2.7000000000000001E-3</v>
      </c>
      <c r="E185" s="32">
        <f t="shared" si="13"/>
        <v>2.1190000000000002</v>
      </c>
      <c r="F185" s="32">
        <f t="shared" si="14"/>
        <v>786.95861602817786</v>
      </c>
      <c r="G185" s="32">
        <f t="shared" si="15"/>
        <v>1.9408524259518143</v>
      </c>
      <c r="H185" s="75">
        <f t="shared" si="16"/>
        <v>788.89946845412965</v>
      </c>
      <c r="I185" s="33">
        <v>0</v>
      </c>
      <c r="J185" s="34">
        <v>0</v>
      </c>
      <c r="K185" s="35">
        <f t="shared" si="17"/>
        <v>788.89946845412965</v>
      </c>
    </row>
    <row r="186" spans="2:11" x14ac:dyDescent="0.3">
      <c r="B186" s="31">
        <v>41548</v>
      </c>
      <c r="C186" s="57">
        <f t="shared" si="12"/>
        <v>788.89946845412965</v>
      </c>
      <c r="D186" s="36">
        <v>6.1000000000000004E-3</v>
      </c>
      <c r="E186" s="32">
        <f t="shared" si="13"/>
        <v>4.8120000000000003</v>
      </c>
      <c r="F186" s="32">
        <f t="shared" si="14"/>
        <v>793.71146845412966</v>
      </c>
      <c r="G186" s="32">
        <f t="shared" si="15"/>
        <v>1.9575067833043664</v>
      </c>
      <c r="H186" s="75">
        <f t="shared" si="16"/>
        <v>795.66897523743398</v>
      </c>
      <c r="I186" s="33">
        <v>0</v>
      </c>
      <c r="J186" s="34">
        <v>0</v>
      </c>
      <c r="K186" s="35">
        <f t="shared" si="17"/>
        <v>795.66897523743398</v>
      </c>
    </row>
    <row r="187" spans="2:11" x14ac:dyDescent="0.3">
      <c r="B187" s="31">
        <v>41579</v>
      </c>
      <c r="C187" s="57">
        <f t="shared" si="12"/>
        <v>795.66897523743398</v>
      </c>
      <c r="D187" s="36">
        <v>5.4000000000000003E-3</v>
      </c>
      <c r="E187" s="32">
        <f t="shared" si="13"/>
        <v>4.2960000000000003</v>
      </c>
      <c r="F187" s="32">
        <f t="shared" si="14"/>
        <v>799.96497523743403</v>
      </c>
      <c r="G187" s="32">
        <f t="shared" si="15"/>
        <v>1.9729296194788264</v>
      </c>
      <c r="H187" s="75">
        <f t="shared" si="16"/>
        <v>801.93790485691284</v>
      </c>
      <c r="I187" s="33">
        <v>0</v>
      </c>
      <c r="J187" s="34">
        <v>0</v>
      </c>
      <c r="K187" s="35">
        <f t="shared" si="17"/>
        <v>801.93790485691284</v>
      </c>
    </row>
    <row r="188" spans="2:11" x14ac:dyDescent="0.3">
      <c r="B188" s="31">
        <v>41609</v>
      </c>
      <c r="C188" s="57">
        <f t="shared" si="12"/>
        <v>801.93790485691284</v>
      </c>
      <c r="D188" s="36">
        <v>7.1999999999999998E-3</v>
      </c>
      <c r="E188" s="32">
        <f t="shared" si="13"/>
        <v>5.7729999999999997</v>
      </c>
      <c r="F188" s="32">
        <f t="shared" si="14"/>
        <v>807.71090485691286</v>
      </c>
      <c r="G188" s="32">
        <f t="shared" si="15"/>
        <v>1.9920331733214585</v>
      </c>
      <c r="H188" s="75">
        <f t="shared" si="16"/>
        <v>809.70293803023435</v>
      </c>
      <c r="I188" s="33">
        <v>0</v>
      </c>
      <c r="J188" s="34">
        <v>0</v>
      </c>
      <c r="K188" s="35">
        <f t="shared" si="17"/>
        <v>809.70293803023435</v>
      </c>
    </row>
    <row r="189" spans="2:11" x14ac:dyDescent="0.3">
      <c r="B189" s="31">
        <v>41640</v>
      </c>
      <c r="C189" s="57">
        <f t="shared" si="12"/>
        <v>809.70293803023435</v>
      </c>
      <c r="D189" s="36">
        <v>6.3E-3</v>
      </c>
      <c r="E189" s="32">
        <f t="shared" si="13"/>
        <v>5.101</v>
      </c>
      <c r="F189" s="32">
        <f t="shared" si="14"/>
        <v>814.80393803023435</v>
      </c>
      <c r="G189" s="32">
        <f t="shared" si="15"/>
        <v>2.009526508245826</v>
      </c>
      <c r="H189" s="75">
        <f t="shared" si="16"/>
        <v>816.81346453848016</v>
      </c>
      <c r="I189" s="33">
        <v>0</v>
      </c>
      <c r="J189" s="34">
        <v>0</v>
      </c>
      <c r="K189" s="35">
        <f t="shared" si="17"/>
        <v>816.81346453848016</v>
      </c>
    </row>
    <row r="190" spans="2:11" x14ac:dyDescent="0.3">
      <c r="B190" s="31">
        <v>41671</v>
      </c>
      <c r="C190" s="57">
        <f t="shared" si="12"/>
        <v>816.81346453848016</v>
      </c>
      <c r="D190" s="36">
        <v>6.4000000000000003E-3</v>
      </c>
      <c r="E190" s="32">
        <f t="shared" si="13"/>
        <v>5.2270000000000003</v>
      </c>
      <c r="F190" s="32">
        <f t="shared" si="14"/>
        <v>822.04046453848014</v>
      </c>
      <c r="G190" s="32">
        <f t="shared" si="15"/>
        <v>2.0273737364773172</v>
      </c>
      <c r="H190" s="75">
        <f t="shared" si="16"/>
        <v>824.06783827495747</v>
      </c>
      <c r="I190" s="33">
        <v>0</v>
      </c>
      <c r="J190" s="34">
        <v>0</v>
      </c>
      <c r="K190" s="35">
        <f t="shared" si="17"/>
        <v>824.06783827495747</v>
      </c>
    </row>
    <row r="191" spans="2:11" x14ac:dyDescent="0.3">
      <c r="B191" s="31">
        <v>41699</v>
      </c>
      <c r="C191" s="57">
        <f t="shared" si="12"/>
        <v>824.06783827495747</v>
      </c>
      <c r="D191" s="36">
        <v>8.2000000000000007E-3</v>
      </c>
      <c r="E191" s="32">
        <f t="shared" si="13"/>
        <v>6.7569999999999997</v>
      </c>
      <c r="F191" s="32">
        <f t="shared" si="14"/>
        <v>830.82483827495741</v>
      </c>
      <c r="G191" s="32">
        <f t="shared" si="15"/>
        <v>2.0490383738923792</v>
      </c>
      <c r="H191" s="75">
        <f t="shared" si="16"/>
        <v>832.87387664884977</v>
      </c>
      <c r="I191" s="33">
        <v>0</v>
      </c>
      <c r="J191" s="34">
        <v>0</v>
      </c>
      <c r="K191" s="35">
        <f t="shared" si="17"/>
        <v>832.87387664884977</v>
      </c>
    </row>
    <row r="192" spans="2:11" x14ac:dyDescent="0.3">
      <c r="B192" s="31">
        <v>41730</v>
      </c>
      <c r="C192" s="57">
        <f t="shared" si="12"/>
        <v>832.87387664884977</v>
      </c>
      <c r="D192" s="36">
        <v>7.7999999999999996E-3</v>
      </c>
      <c r="E192" s="32">
        <f t="shared" si="13"/>
        <v>6.4960000000000004</v>
      </c>
      <c r="F192" s="32">
        <f t="shared" si="14"/>
        <v>839.36987664884975</v>
      </c>
      <c r="G192" s="32">
        <f t="shared" si="15"/>
        <v>2.0701127456827586</v>
      </c>
      <c r="H192" s="75">
        <f t="shared" si="16"/>
        <v>841.43998939453252</v>
      </c>
      <c r="I192" s="33">
        <v>0</v>
      </c>
      <c r="J192" s="34">
        <v>0</v>
      </c>
      <c r="K192" s="35">
        <f t="shared" si="17"/>
        <v>841.43998939453252</v>
      </c>
    </row>
    <row r="193" spans="2:11" x14ac:dyDescent="0.3">
      <c r="B193" s="31">
        <v>41760</v>
      </c>
      <c r="C193" s="57">
        <f t="shared" si="12"/>
        <v>841.43998939453252</v>
      </c>
      <c r="D193" s="36">
        <v>6.0000000000000001E-3</v>
      </c>
      <c r="E193" s="32">
        <f t="shared" si="13"/>
        <v>5.048</v>
      </c>
      <c r="F193" s="32">
        <f t="shared" si="14"/>
        <v>846.48798939453252</v>
      </c>
      <c r="G193" s="32">
        <f t="shared" si="15"/>
        <v>2.0876679336040538</v>
      </c>
      <c r="H193" s="75">
        <f t="shared" si="16"/>
        <v>848.57565732813657</v>
      </c>
      <c r="I193" s="33">
        <v>0</v>
      </c>
      <c r="J193" s="34">
        <v>0</v>
      </c>
      <c r="K193" s="35">
        <f t="shared" si="17"/>
        <v>848.57565732813657</v>
      </c>
    </row>
    <row r="194" spans="2:11" x14ac:dyDescent="0.3">
      <c r="B194" s="31">
        <v>41791</v>
      </c>
      <c r="C194" s="57">
        <f t="shared" si="12"/>
        <v>848.57565732813657</v>
      </c>
      <c r="D194" s="36">
        <v>2.5999999999999999E-3</v>
      </c>
      <c r="E194" s="32">
        <f t="shared" si="13"/>
        <v>2.206</v>
      </c>
      <c r="F194" s="32">
        <f t="shared" si="14"/>
        <v>850.78165732813659</v>
      </c>
      <c r="G194" s="32">
        <f t="shared" si="15"/>
        <v>2.0982572780186635</v>
      </c>
      <c r="H194" s="75">
        <f t="shared" si="16"/>
        <v>852.87991460615524</v>
      </c>
      <c r="I194" s="33">
        <v>0</v>
      </c>
      <c r="J194" s="34">
        <v>0</v>
      </c>
      <c r="K194" s="35">
        <f t="shared" si="17"/>
        <v>852.87991460615524</v>
      </c>
    </row>
    <row r="195" spans="2:11" x14ac:dyDescent="0.3">
      <c r="B195" s="31">
        <v>41821</v>
      </c>
      <c r="C195" s="57">
        <f t="shared" si="12"/>
        <v>852.87991460615524</v>
      </c>
      <c r="D195" s="36">
        <v>1.2999999999999999E-3</v>
      </c>
      <c r="E195" s="32">
        <f t="shared" si="13"/>
        <v>1.1080000000000001</v>
      </c>
      <c r="F195" s="32">
        <f t="shared" si="14"/>
        <v>853.98791460615519</v>
      </c>
      <c r="G195" s="32">
        <f t="shared" si="15"/>
        <v>2.1061647741557223</v>
      </c>
      <c r="H195" s="75">
        <f t="shared" si="16"/>
        <v>856.09407938031086</v>
      </c>
      <c r="I195" s="33">
        <v>0</v>
      </c>
      <c r="J195" s="34">
        <v>0</v>
      </c>
      <c r="K195" s="35">
        <f t="shared" si="17"/>
        <v>856.09407938031086</v>
      </c>
    </row>
    <row r="196" spans="2:11" x14ac:dyDescent="0.3">
      <c r="B196" s="31">
        <v>41852</v>
      </c>
      <c r="C196" s="57">
        <f t="shared" si="12"/>
        <v>856.09407938031086</v>
      </c>
      <c r="D196" s="36">
        <v>1.8E-3</v>
      </c>
      <c r="E196" s="32">
        <f t="shared" si="13"/>
        <v>1.54</v>
      </c>
      <c r="F196" s="32">
        <f t="shared" si="14"/>
        <v>857.63407938031082</v>
      </c>
      <c r="G196" s="32">
        <f t="shared" si="15"/>
        <v>2.1151572009532793</v>
      </c>
      <c r="H196" s="75">
        <f t="shared" si="16"/>
        <v>859.74923658126409</v>
      </c>
      <c r="I196" s="33">
        <v>0</v>
      </c>
      <c r="J196" s="34">
        <v>0</v>
      </c>
      <c r="K196" s="35">
        <f t="shared" si="17"/>
        <v>859.74923658126409</v>
      </c>
    </row>
    <row r="197" spans="2:11" x14ac:dyDescent="0.3">
      <c r="B197" s="31">
        <v>41883</v>
      </c>
      <c r="C197" s="57">
        <f t="shared" si="12"/>
        <v>859.74923658126409</v>
      </c>
      <c r="D197" s="36">
        <v>4.8999999999999998E-3</v>
      </c>
      <c r="E197" s="32">
        <f t="shared" si="13"/>
        <v>4.2119999999999997</v>
      </c>
      <c r="F197" s="32">
        <f t="shared" si="14"/>
        <v>863.96123658126407</v>
      </c>
      <c r="G197" s="32">
        <f t="shared" si="15"/>
        <v>2.1307616789432742</v>
      </c>
      <c r="H197" s="75">
        <f t="shared" si="16"/>
        <v>866.09199826020733</v>
      </c>
      <c r="I197" s="33">
        <v>0</v>
      </c>
      <c r="J197" s="34">
        <v>0</v>
      </c>
      <c r="K197" s="35">
        <f t="shared" si="17"/>
        <v>866.09199826020733</v>
      </c>
    </row>
    <row r="198" spans="2:11" x14ac:dyDescent="0.3">
      <c r="B198" s="31">
        <v>41913</v>
      </c>
      <c r="C198" s="57">
        <f t="shared" si="12"/>
        <v>866.09199826020733</v>
      </c>
      <c r="D198" s="36">
        <v>3.8E-3</v>
      </c>
      <c r="E198" s="32">
        <f t="shared" si="13"/>
        <v>3.2909999999999999</v>
      </c>
      <c r="F198" s="32">
        <f t="shared" si="14"/>
        <v>869.38299826020739</v>
      </c>
      <c r="G198" s="32">
        <f t="shared" si="15"/>
        <v>2.1441332071192019</v>
      </c>
      <c r="H198" s="75">
        <f t="shared" si="16"/>
        <v>871.52713146732663</v>
      </c>
      <c r="I198" s="33">
        <v>0</v>
      </c>
      <c r="J198" s="34">
        <v>0</v>
      </c>
      <c r="K198" s="35">
        <f t="shared" si="17"/>
        <v>871.52713146732663</v>
      </c>
    </row>
    <row r="199" spans="2:11" x14ac:dyDescent="0.3">
      <c r="B199" s="31">
        <v>41944</v>
      </c>
      <c r="C199" s="57">
        <f t="shared" si="12"/>
        <v>871.52713146732663</v>
      </c>
      <c r="D199" s="36">
        <v>5.3E-3</v>
      </c>
      <c r="E199" s="32">
        <f t="shared" si="13"/>
        <v>4.6189999999999998</v>
      </c>
      <c r="F199" s="32">
        <f t="shared" si="14"/>
        <v>876.14613146732665</v>
      </c>
      <c r="G199" s="32">
        <f t="shared" si="15"/>
        <v>2.1608129196539236</v>
      </c>
      <c r="H199" s="75">
        <f t="shared" si="16"/>
        <v>878.3069443869806</v>
      </c>
      <c r="I199" s="33">
        <v>0</v>
      </c>
      <c r="J199" s="34">
        <v>0</v>
      </c>
      <c r="K199" s="35">
        <f t="shared" si="17"/>
        <v>878.3069443869806</v>
      </c>
    </row>
    <row r="200" spans="2:11" x14ac:dyDescent="0.3">
      <c r="B200" s="31">
        <v>41974</v>
      </c>
      <c r="C200" s="57">
        <f t="shared" si="12"/>
        <v>878.3069443869806</v>
      </c>
      <c r="D200" s="36">
        <v>6.1999999999999998E-3</v>
      </c>
      <c r="E200" s="32">
        <f t="shared" si="13"/>
        <v>5.4450000000000003</v>
      </c>
      <c r="F200" s="32">
        <f t="shared" si="14"/>
        <v>883.75194438698065</v>
      </c>
      <c r="G200" s="32">
        <f t="shared" si="15"/>
        <v>2.1795709078832788</v>
      </c>
      <c r="H200" s="75">
        <f t="shared" si="16"/>
        <v>885.93151529486397</v>
      </c>
      <c r="I200" s="33">
        <v>0</v>
      </c>
      <c r="J200" s="34">
        <v>0</v>
      </c>
      <c r="K200" s="35">
        <f t="shared" si="17"/>
        <v>885.93151529486397</v>
      </c>
    </row>
    <row r="201" spans="2:11" x14ac:dyDescent="0.3">
      <c r="B201" s="31">
        <v>42005</v>
      </c>
      <c r="C201" s="57">
        <f t="shared" si="12"/>
        <v>885.93151529486397</v>
      </c>
      <c r="D201" s="36">
        <v>1.4800000000000001E-2</v>
      </c>
      <c r="E201" s="32">
        <f t="shared" si="13"/>
        <v>13.111000000000001</v>
      </c>
      <c r="F201" s="32">
        <f t="shared" si="14"/>
        <v>899.04251529486396</v>
      </c>
      <c r="G201" s="32">
        <f t="shared" si="15"/>
        <v>2.2172815841962641</v>
      </c>
      <c r="H201" s="75">
        <f t="shared" si="16"/>
        <v>901.25979687906022</v>
      </c>
      <c r="I201" s="33">
        <v>0</v>
      </c>
      <c r="J201" s="34">
        <v>0</v>
      </c>
      <c r="K201" s="35">
        <f t="shared" si="17"/>
        <v>901.25979687906022</v>
      </c>
    </row>
    <row r="202" spans="2:11" x14ac:dyDescent="0.3">
      <c r="B202" s="31">
        <v>42036</v>
      </c>
      <c r="C202" s="57">
        <f t="shared" ref="C202:C265" si="18">K201</f>
        <v>901.25979687906022</v>
      </c>
      <c r="D202" s="36">
        <v>1.1599999999999999E-2</v>
      </c>
      <c r="E202" s="32">
        <f t="shared" ref="E202:E265" si="19">ROUNDDOWN(D202*C202,3)</f>
        <v>10.454000000000001</v>
      </c>
      <c r="F202" s="32">
        <f t="shared" ref="F202:F265" si="20">E202+C202</f>
        <v>911.71379687906017</v>
      </c>
      <c r="G202" s="32">
        <f t="shared" ref="G202:G265" si="21">F202*$A$9</f>
        <v>2.2485323858289199</v>
      </c>
      <c r="H202" s="75">
        <f t="shared" ref="H202:H265" si="22">G202+F202</f>
        <v>913.96232926488904</v>
      </c>
      <c r="I202" s="33">
        <v>0</v>
      </c>
      <c r="J202" s="34">
        <v>0</v>
      </c>
      <c r="K202" s="35">
        <f t="shared" ref="K202:K265" si="23">H202-I202+J202</f>
        <v>913.96232926488904</v>
      </c>
    </row>
    <row r="203" spans="2:11" x14ac:dyDescent="0.3">
      <c r="B203" s="31">
        <v>42064</v>
      </c>
      <c r="C203" s="57">
        <f t="shared" si="18"/>
        <v>913.96232926488904</v>
      </c>
      <c r="D203" s="36">
        <v>1.5100000000000001E-2</v>
      </c>
      <c r="E203" s="32">
        <f t="shared" si="19"/>
        <v>13.8</v>
      </c>
      <c r="F203" s="32">
        <f t="shared" si="20"/>
        <v>927.76232926488899</v>
      </c>
      <c r="G203" s="32">
        <f t="shared" si="21"/>
        <v>2.2881123997961179</v>
      </c>
      <c r="H203" s="75">
        <f t="shared" si="22"/>
        <v>930.05044166468508</v>
      </c>
      <c r="I203" s="33">
        <v>0</v>
      </c>
      <c r="J203" s="34">
        <v>0</v>
      </c>
      <c r="K203" s="35">
        <f t="shared" si="23"/>
        <v>930.05044166468508</v>
      </c>
    </row>
    <row r="204" spans="2:11" x14ac:dyDescent="0.3">
      <c r="B204" s="31">
        <v>42095</v>
      </c>
      <c r="C204" s="57">
        <f t="shared" si="18"/>
        <v>930.05044166468508</v>
      </c>
      <c r="D204" s="36">
        <v>7.1000000000000004E-3</v>
      </c>
      <c r="E204" s="32">
        <f t="shared" si="19"/>
        <v>6.6029999999999998</v>
      </c>
      <c r="F204" s="32">
        <f t="shared" si="20"/>
        <v>936.65344166468503</v>
      </c>
      <c r="G204" s="32">
        <f t="shared" si="21"/>
        <v>2.310040283574363</v>
      </c>
      <c r="H204" s="75">
        <f t="shared" si="22"/>
        <v>938.96348194825941</v>
      </c>
      <c r="I204" s="33">
        <v>0</v>
      </c>
      <c r="J204" s="34">
        <v>0</v>
      </c>
      <c r="K204" s="35">
        <f t="shared" si="23"/>
        <v>938.96348194825941</v>
      </c>
    </row>
    <row r="205" spans="2:11" x14ac:dyDescent="0.3">
      <c r="B205" s="31">
        <v>42125</v>
      </c>
      <c r="C205" s="57">
        <f t="shared" si="18"/>
        <v>938.96348194825941</v>
      </c>
      <c r="D205" s="36">
        <v>9.9000000000000008E-3</v>
      </c>
      <c r="E205" s="32">
        <f t="shared" si="19"/>
        <v>9.2949999999999999</v>
      </c>
      <c r="F205" s="32">
        <f t="shared" si="20"/>
        <v>948.25848194825937</v>
      </c>
      <c r="G205" s="32">
        <f t="shared" si="21"/>
        <v>2.3386614462745339</v>
      </c>
      <c r="H205" s="75">
        <f t="shared" si="22"/>
        <v>950.59714339453387</v>
      </c>
      <c r="I205" s="33">
        <v>0</v>
      </c>
      <c r="J205" s="34">
        <v>0</v>
      </c>
      <c r="K205" s="35">
        <f t="shared" si="23"/>
        <v>950.59714339453387</v>
      </c>
    </row>
    <row r="206" spans="2:11" x14ac:dyDescent="0.3">
      <c r="B206" s="31">
        <v>42156</v>
      </c>
      <c r="C206" s="57">
        <f t="shared" si="18"/>
        <v>950.59714339453387</v>
      </c>
      <c r="D206" s="36">
        <v>7.7000000000000002E-3</v>
      </c>
      <c r="E206" s="32">
        <f t="shared" si="19"/>
        <v>7.319</v>
      </c>
      <c r="F206" s="32">
        <f t="shared" si="20"/>
        <v>957.91614339453383</v>
      </c>
      <c r="G206" s="32">
        <f t="shared" si="21"/>
        <v>2.3624798469696371</v>
      </c>
      <c r="H206" s="75">
        <f t="shared" si="22"/>
        <v>960.27862324150351</v>
      </c>
      <c r="I206" s="33">
        <v>0</v>
      </c>
      <c r="J206" s="34">
        <v>0</v>
      </c>
      <c r="K206" s="35">
        <f t="shared" si="23"/>
        <v>960.27862324150351</v>
      </c>
    </row>
    <row r="207" spans="2:11" x14ac:dyDescent="0.3">
      <c r="B207" s="31">
        <v>42186</v>
      </c>
      <c r="C207" s="57">
        <f t="shared" si="18"/>
        <v>960.27862324150351</v>
      </c>
      <c r="D207" s="36">
        <v>5.7999999999999996E-3</v>
      </c>
      <c r="E207" s="32">
        <f t="shared" si="19"/>
        <v>5.569</v>
      </c>
      <c r="F207" s="32">
        <f t="shared" si="20"/>
        <v>965.84762324150347</v>
      </c>
      <c r="G207" s="32">
        <f t="shared" si="21"/>
        <v>2.3820410177718228</v>
      </c>
      <c r="H207" s="75">
        <f t="shared" si="22"/>
        <v>968.2296642592753</v>
      </c>
      <c r="I207" s="33">
        <v>0</v>
      </c>
      <c r="J207" s="34">
        <v>0</v>
      </c>
      <c r="K207" s="35">
        <f t="shared" si="23"/>
        <v>968.2296642592753</v>
      </c>
    </row>
    <row r="208" spans="2:11" x14ac:dyDescent="0.3">
      <c r="B208" s="31">
        <v>42217</v>
      </c>
      <c r="C208" s="57">
        <f t="shared" si="18"/>
        <v>968.2296642592753</v>
      </c>
      <c r="D208" s="36">
        <v>2.5000000000000001E-3</v>
      </c>
      <c r="E208" s="32">
        <f t="shared" si="19"/>
        <v>2.42</v>
      </c>
      <c r="F208" s="32">
        <f t="shared" si="20"/>
        <v>970.64966425927526</v>
      </c>
      <c r="G208" s="32">
        <f t="shared" si="21"/>
        <v>2.3938841474727228</v>
      </c>
      <c r="H208" s="75">
        <f t="shared" si="22"/>
        <v>973.04354840674796</v>
      </c>
      <c r="I208" s="33">
        <v>0</v>
      </c>
      <c r="J208" s="34">
        <v>0</v>
      </c>
      <c r="K208" s="35">
        <f t="shared" si="23"/>
        <v>973.04354840674796</v>
      </c>
    </row>
    <row r="209" spans="2:11" x14ac:dyDescent="0.3">
      <c r="B209" s="31">
        <v>42248</v>
      </c>
      <c r="C209" s="57">
        <f t="shared" si="18"/>
        <v>973.04354840674796</v>
      </c>
      <c r="D209" s="36">
        <v>5.1000000000000004E-3</v>
      </c>
      <c r="E209" s="32">
        <f t="shared" si="19"/>
        <v>4.9619999999999997</v>
      </c>
      <c r="F209" s="32">
        <f t="shared" si="20"/>
        <v>978.00554840674795</v>
      </c>
      <c r="G209" s="32">
        <f t="shared" si="21"/>
        <v>2.4120257438691102</v>
      </c>
      <c r="H209" s="75">
        <f t="shared" si="22"/>
        <v>980.41757415061704</v>
      </c>
      <c r="I209" s="33">
        <v>0</v>
      </c>
      <c r="J209" s="34">
        <v>0</v>
      </c>
      <c r="K209" s="35">
        <f t="shared" si="23"/>
        <v>980.41757415061704</v>
      </c>
    </row>
    <row r="210" spans="2:11" x14ac:dyDescent="0.3">
      <c r="B210" s="31">
        <v>42278</v>
      </c>
      <c r="C210" s="57">
        <f t="shared" si="18"/>
        <v>980.41757415061704</v>
      </c>
      <c r="D210" s="36">
        <v>7.7000000000000002E-3</v>
      </c>
      <c r="E210" s="32">
        <f t="shared" si="19"/>
        <v>7.5490000000000004</v>
      </c>
      <c r="F210" s="32">
        <f t="shared" si="20"/>
        <v>987.96657415061702</v>
      </c>
      <c r="G210" s="32">
        <f t="shared" si="21"/>
        <v>2.436592322830442</v>
      </c>
      <c r="H210" s="75">
        <f t="shared" si="22"/>
        <v>990.40316647344741</v>
      </c>
      <c r="I210" s="33">
        <v>0</v>
      </c>
      <c r="J210" s="34">
        <v>0</v>
      </c>
      <c r="K210" s="35">
        <f t="shared" si="23"/>
        <v>990.40316647344741</v>
      </c>
    </row>
    <row r="211" spans="2:11" x14ac:dyDescent="0.3">
      <c r="B211" s="31">
        <v>42309</v>
      </c>
      <c r="C211" s="57">
        <f t="shared" si="18"/>
        <v>990.40316647344741</v>
      </c>
      <c r="D211" s="36">
        <v>1.11E-2</v>
      </c>
      <c r="E211" s="32">
        <f t="shared" si="19"/>
        <v>10.993</v>
      </c>
      <c r="F211" s="32">
        <f t="shared" si="20"/>
        <v>1001.3961664734475</v>
      </c>
      <c r="G211" s="32">
        <f t="shared" si="21"/>
        <v>2.4697133234884694</v>
      </c>
      <c r="H211" s="75">
        <f t="shared" si="22"/>
        <v>1003.8658797969359</v>
      </c>
      <c r="I211" s="33">
        <v>0</v>
      </c>
      <c r="J211" s="34">
        <v>0</v>
      </c>
      <c r="K211" s="35">
        <f t="shared" si="23"/>
        <v>1003.8658797969359</v>
      </c>
    </row>
    <row r="212" spans="2:11" x14ac:dyDescent="0.3">
      <c r="B212" s="31">
        <v>42339</v>
      </c>
      <c r="C212" s="57">
        <f t="shared" si="18"/>
        <v>1003.8658797969359</v>
      </c>
      <c r="D212" s="36">
        <v>8.9999999999999993E-3</v>
      </c>
      <c r="E212" s="32">
        <f t="shared" si="19"/>
        <v>9.0340000000000007</v>
      </c>
      <c r="F212" s="32">
        <f t="shared" si="20"/>
        <v>1012.8998797969359</v>
      </c>
      <c r="G212" s="32">
        <f t="shared" si="21"/>
        <v>2.4980845865467893</v>
      </c>
      <c r="H212" s="75">
        <f t="shared" si="22"/>
        <v>1015.3979643834828</v>
      </c>
      <c r="I212" s="33">
        <v>0</v>
      </c>
      <c r="J212" s="34">
        <v>0</v>
      </c>
      <c r="K212" s="35">
        <f t="shared" si="23"/>
        <v>1015.3979643834828</v>
      </c>
    </row>
    <row r="213" spans="2:11" x14ac:dyDescent="0.3">
      <c r="B213" s="31">
        <v>42370</v>
      </c>
      <c r="C213" s="57">
        <f t="shared" si="18"/>
        <v>1015.3979643834828</v>
      </c>
      <c r="D213" s="36">
        <v>1.5100000000000001E-2</v>
      </c>
      <c r="E213" s="32">
        <f t="shared" si="19"/>
        <v>15.332000000000001</v>
      </c>
      <c r="F213" s="32">
        <f t="shared" si="20"/>
        <v>1030.7299643834829</v>
      </c>
      <c r="G213" s="32">
        <f t="shared" si="21"/>
        <v>2.5420583892600521</v>
      </c>
      <c r="H213" s="75">
        <f t="shared" si="22"/>
        <v>1033.272022772743</v>
      </c>
      <c r="I213" s="33">
        <v>0</v>
      </c>
      <c r="J213" s="34">
        <v>0</v>
      </c>
      <c r="K213" s="35">
        <f t="shared" si="23"/>
        <v>1033.272022772743</v>
      </c>
    </row>
    <row r="214" spans="2:11" x14ac:dyDescent="0.3">
      <c r="B214" s="31">
        <v>42401</v>
      </c>
      <c r="C214" s="57">
        <f t="shared" si="18"/>
        <v>1033.272022772743</v>
      </c>
      <c r="D214" s="36">
        <v>9.4999999999999998E-3</v>
      </c>
      <c r="E214" s="32">
        <f t="shared" si="19"/>
        <v>9.8160000000000007</v>
      </c>
      <c r="F214" s="32">
        <f t="shared" si="20"/>
        <v>1043.088022772743</v>
      </c>
      <c r="G214" s="32">
        <f t="shared" si="21"/>
        <v>2.572536697923733</v>
      </c>
      <c r="H214" s="75">
        <f t="shared" si="22"/>
        <v>1045.6605594706666</v>
      </c>
      <c r="I214" s="33">
        <v>0</v>
      </c>
      <c r="J214" s="34">
        <v>0</v>
      </c>
      <c r="K214" s="35">
        <f t="shared" si="23"/>
        <v>1045.6605594706666</v>
      </c>
    </row>
    <row r="215" spans="2:11" x14ac:dyDescent="0.3">
      <c r="B215" s="31">
        <v>42430</v>
      </c>
      <c r="C215" s="57">
        <f t="shared" si="18"/>
        <v>1045.6605594706666</v>
      </c>
      <c r="D215" s="36">
        <v>4.4000000000000003E-3</v>
      </c>
      <c r="E215" s="32">
        <f t="shared" si="19"/>
        <v>4.5999999999999996</v>
      </c>
      <c r="F215" s="32">
        <f t="shared" si="20"/>
        <v>1050.2605594706665</v>
      </c>
      <c r="G215" s="32">
        <f t="shared" si="21"/>
        <v>2.5902261100057209</v>
      </c>
      <c r="H215" s="75">
        <f t="shared" si="22"/>
        <v>1052.8507855806722</v>
      </c>
      <c r="I215" s="33">
        <v>0</v>
      </c>
      <c r="J215" s="34">
        <v>0</v>
      </c>
      <c r="K215" s="35">
        <f t="shared" si="23"/>
        <v>1052.8507855806722</v>
      </c>
    </row>
    <row r="216" spans="2:11" x14ac:dyDescent="0.3">
      <c r="B216" s="31">
        <v>42461</v>
      </c>
      <c r="C216" s="57">
        <f t="shared" si="18"/>
        <v>1052.8507855806722</v>
      </c>
      <c r="D216" s="36">
        <v>6.4000000000000003E-3</v>
      </c>
      <c r="E216" s="32">
        <f t="shared" si="19"/>
        <v>6.7380000000000004</v>
      </c>
      <c r="F216" s="32">
        <f t="shared" si="20"/>
        <v>1059.5887855806723</v>
      </c>
      <c r="G216" s="32">
        <f t="shared" si="21"/>
        <v>2.6132320342140445</v>
      </c>
      <c r="H216" s="75">
        <f t="shared" si="22"/>
        <v>1062.2020176148862</v>
      </c>
      <c r="I216" s="33">
        <v>0</v>
      </c>
      <c r="J216" s="34">
        <v>0</v>
      </c>
      <c r="K216" s="35">
        <f t="shared" si="23"/>
        <v>1062.2020176148862</v>
      </c>
    </row>
    <row r="217" spans="2:11" x14ac:dyDescent="0.3">
      <c r="B217" s="31">
        <v>42491</v>
      </c>
      <c r="C217" s="57">
        <f t="shared" si="18"/>
        <v>1062.2020176148862</v>
      </c>
      <c r="D217" s="36">
        <v>9.7999999999999997E-3</v>
      </c>
      <c r="E217" s="32">
        <f t="shared" si="19"/>
        <v>10.409000000000001</v>
      </c>
      <c r="F217" s="32">
        <f t="shared" si="20"/>
        <v>1072.6110176148864</v>
      </c>
      <c r="G217" s="32">
        <f t="shared" si="21"/>
        <v>2.6453483744130657</v>
      </c>
      <c r="H217" s="75">
        <f t="shared" si="22"/>
        <v>1075.2563659892994</v>
      </c>
      <c r="I217" s="33">
        <v>0</v>
      </c>
      <c r="J217" s="34">
        <v>0</v>
      </c>
      <c r="K217" s="35">
        <f t="shared" si="23"/>
        <v>1075.2563659892994</v>
      </c>
    </row>
    <row r="218" spans="2:11" x14ac:dyDescent="0.3">
      <c r="B218" s="31">
        <v>42522</v>
      </c>
      <c r="C218" s="57">
        <f t="shared" si="18"/>
        <v>1075.2563659892994</v>
      </c>
      <c r="D218" s="36">
        <v>4.7000000000000002E-3</v>
      </c>
      <c r="E218" s="32">
        <f t="shared" si="19"/>
        <v>5.0529999999999999</v>
      </c>
      <c r="F218" s="32">
        <f t="shared" si="20"/>
        <v>1080.3093659892995</v>
      </c>
      <c r="G218" s="32">
        <f t="shared" si="21"/>
        <v>2.6643345800584299</v>
      </c>
      <c r="H218" s="75">
        <f t="shared" si="22"/>
        <v>1082.973700569358</v>
      </c>
      <c r="I218" s="33">
        <v>0</v>
      </c>
      <c r="J218" s="34">
        <v>0</v>
      </c>
      <c r="K218" s="35">
        <f t="shared" si="23"/>
        <v>1082.973700569358</v>
      </c>
    </row>
    <row r="219" spans="2:11" x14ac:dyDescent="0.3">
      <c r="B219" s="31">
        <v>42552</v>
      </c>
      <c r="C219" s="57">
        <f t="shared" si="18"/>
        <v>1082.973700569358</v>
      </c>
      <c r="D219" s="36">
        <v>6.4000000000000003E-3</v>
      </c>
      <c r="E219" s="32">
        <f t="shared" si="19"/>
        <v>6.931</v>
      </c>
      <c r="F219" s="32">
        <f t="shared" si="20"/>
        <v>1089.9047005693581</v>
      </c>
      <c r="G219" s="32">
        <f t="shared" si="21"/>
        <v>2.6879992658731906</v>
      </c>
      <c r="H219" s="75">
        <f t="shared" si="22"/>
        <v>1092.5926998352313</v>
      </c>
      <c r="I219" s="33">
        <v>0</v>
      </c>
      <c r="J219" s="34">
        <v>0</v>
      </c>
      <c r="K219" s="35">
        <f t="shared" si="23"/>
        <v>1092.5926998352313</v>
      </c>
    </row>
    <row r="220" spans="2:11" x14ac:dyDescent="0.3">
      <c r="B220" s="31">
        <v>42583</v>
      </c>
      <c r="C220" s="57">
        <f t="shared" si="18"/>
        <v>1092.5926998352313</v>
      </c>
      <c r="D220" s="36">
        <v>3.0999999999999999E-3</v>
      </c>
      <c r="E220" s="32">
        <f t="shared" si="19"/>
        <v>3.387</v>
      </c>
      <c r="F220" s="32">
        <f t="shared" si="20"/>
        <v>1095.9796998352313</v>
      </c>
      <c r="G220" s="32">
        <f t="shared" si="21"/>
        <v>2.7029818543126356</v>
      </c>
      <c r="H220" s="75">
        <f t="shared" si="22"/>
        <v>1098.6826816895439</v>
      </c>
      <c r="I220" s="33">
        <v>0</v>
      </c>
      <c r="J220" s="34">
        <v>0</v>
      </c>
      <c r="K220" s="35">
        <f t="shared" si="23"/>
        <v>1098.6826816895439</v>
      </c>
    </row>
    <row r="221" spans="2:11" x14ac:dyDescent="0.3">
      <c r="B221" s="31">
        <v>42614</v>
      </c>
      <c r="C221" s="57">
        <f t="shared" si="18"/>
        <v>1098.6826816895439</v>
      </c>
      <c r="D221" s="36">
        <v>8.0000000000000004E-4</v>
      </c>
      <c r="E221" s="32">
        <f t="shared" si="19"/>
        <v>0.878</v>
      </c>
      <c r="F221" s="32">
        <f t="shared" si="20"/>
        <v>1099.5606816895438</v>
      </c>
      <c r="G221" s="32">
        <f t="shared" si="21"/>
        <v>2.7118135224304711</v>
      </c>
      <c r="H221" s="75">
        <f t="shared" si="22"/>
        <v>1102.2724952119743</v>
      </c>
      <c r="I221" s="33">
        <v>0</v>
      </c>
      <c r="J221" s="34">
        <v>0</v>
      </c>
      <c r="K221" s="35">
        <f t="shared" si="23"/>
        <v>1102.2724952119743</v>
      </c>
    </row>
    <row r="222" spans="2:11" x14ac:dyDescent="0.3">
      <c r="B222" s="31">
        <v>42644</v>
      </c>
      <c r="C222" s="57">
        <f t="shared" si="18"/>
        <v>1102.2724952119743</v>
      </c>
      <c r="D222" s="36">
        <v>1.6999999999999999E-3</v>
      </c>
      <c r="E222" s="32">
        <f t="shared" si="19"/>
        <v>1.873</v>
      </c>
      <c r="F222" s="32">
        <f t="shared" si="20"/>
        <v>1104.1454952119743</v>
      </c>
      <c r="G222" s="32">
        <f t="shared" si="21"/>
        <v>2.7231209104764358</v>
      </c>
      <c r="H222" s="75">
        <f t="shared" si="22"/>
        <v>1106.8686161224507</v>
      </c>
      <c r="I222" s="33">
        <v>0</v>
      </c>
      <c r="J222" s="34">
        <v>0</v>
      </c>
      <c r="K222" s="35">
        <f t="shared" si="23"/>
        <v>1106.8686161224507</v>
      </c>
    </row>
    <row r="223" spans="2:11" x14ac:dyDescent="0.3">
      <c r="B223" s="31">
        <v>42675</v>
      </c>
      <c r="C223" s="57">
        <f t="shared" si="18"/>
        <v>1106.8686161224507</v>
      </c>
      <c r="D223" s="36">
        <v>6.9999999999999999E-4</v>
      </c>
      <c r="E223" s="32">
        <f t="shared" si="19"/>
        <v>0.77400000000000002</v>
      </c>
      <c r="F223" s="32">
        <f t="shared" si="20"/>
        <v>1107.6426161224506</v>
      </c>
      <c r="G223" s="32">
        <f t="shared" si="21"/>
        <v>2.731745754864316</v>
      </c>
      <c r="H223" s="75">
        <f t="shared" si="22"/>
        <v>1110.3743618773149</v>
      </c>
      <c r="I223" s="33">
        <v>0</v>
      </c>
      <c r="J223" s="34">
        <v>0</v>
      </c>
      <c r="K223" s="35">
        <f t="shared" si="23"/>
        <v>1110.3743618773149</v>
      </c>
    </row>
    <row r="224" spans="2:11" x14ac:dyDescent="0.3">
      <c r="B224" s="31">
        <v>42705</v>
      </c>
      <c r="C224" s="57">
        <f t="shared" si="18"/>
        <v>1110.3743618773149</v>
      </c>
      <c r="D224" s="36">
        <v>1.4E-3</v>
      </c>
      <c r="E224" s="32">
        <f t="shared" si="19"/>
        <v>1.554</v>
      </c>
      <c r="F224" s="32">
        <f t="shared" si="20"/>
        <v>1111.928361877315</v>
      </c>
      <c r="G224" s="32">
        <f t="shared" si="21"/>
        <v>2.7423155610471657</v>
      </c>
      <c r="H224" s="75">
        <f t="shared" si="22"/>
        <v>1114.6706774383622</v>
      </c>
      <c r="I224" s="33">
        <v>0</v>
      </c>
      <c r="J224" s="34">
        <v>0</v>
      </c>
      <c r="K224" s="35">
        <f t="shared" si="23"/>
        <v>1114.6706774383622</v>
      </c>
    </row>
    <row r="225" spans="2:11" x14ac:dyDescent="0.3">
      <c r="B225" s="31">
        <v>42736</v>
      </c>
      <c r="C225" s="57">
        <f t="shared" si="18"/>
        <v>1114.6706774383622</v>
      </c>
      <c r="D225" s="36">
        <v>4.1999999999999997E-3</v>
      </c>
      <c r="E225" s="32">
        <f t="shared" si="19"/>
        <v>4.681</v>
      </c>
      <c r="F225" s="32">
        <f t="shared" si="20"/>
        <v>1119.3516774383622</v>
      </c>
      <c r="G225" s="32">
        <f t="shared" si="21"/>
        <v>2.7606234615159098</v>
      </c>
      <c r="H225" s="75">
        <f t="shared" si="22"/>
        <v>1122.1123008998782</v>
      </c>
      <c r="I225" s="33">
        <v>0</v>
      </c>
      <c r="J225" s="34">
        <v>0</v>
      </c>
      <c r="K225" s="35">
        <f t="shared" si="23"/>
        <v>1122.1123008998782</v>
      </c>
    </row>
    <row r="226" spans="2:11" x14ac:dyDescent="0.3">
      <c r="B226" s="31">
        <v>42767</v>
      </c>
      <c r="C226" s="57">
        <f t="shared" si="18"/>
        <v>1122.1123008998782</v>
      </c>
      <c r="D226" s="36">
        <v>2.3999999999999998E-3</v>
      </c>
      <c r="E226" s="32">
        <f t="shared" si="19"/>
        <v>2.6930000000000001</v>
      </c>
      <c r="F226" s="32">
        <f t="shared" si="20"/>
        <v>1124.8053008998781</v>
      </c>
      <c r="G226" s="32">
        <f t="shared" si="21"/>
        <v>2.7740735694503424</v>
      </c>
      <c r="H226" s="75">
        <f t="shared" si="22"/>
        <v>1127.5793744693285</v>
      </c>
      <c r="I226" s="33">
        <v>0</v>
      </c>
      <c r="J226" s="34">
        <v>0</v>
      </c>
      <c r="K226" s="35">
        <f t="shared" si="23"/>
        <v>1127.5793744693285</v>
      </c>
    </row>
    <row r="227" spans="2:11" x14ac:dyDescent="0.3">
      <c r="B227" s="31">
        <v>42795</v>
      </c>
      <c r="C227" s="57">
        <f t="shared" si="18"/>
        <v>1127.5793744693285</v>
      </c>
      <c r="D227" s="36">
        <v>3.2000000000000002E-3</v>
      </c>
      <c r="E227" s="32">
        <f t="shared" si="19"/>
        <v>3.6080000000000001</v>
      </c>
      <c r="F227" s="32">
        <f t="shared" si="20"/>
        <v>1131.1873744693285</v>
      </c>
      <c r="G227" s="32">
        <f t="shared" si="21"/>
        <v>2.7898134860324708</v>
      </c>
      <c r="H227" s="75">
        <f t="shared" si="22"/>
        <v>1133.9771879553609</v>
      </c>
      <c r="I227" s="33">
        <v>0</v>
      </c>
      <c r="J227" s="34">
        <v>0</v>
      </c>
      <c r="K227" s="35">
        <f t="shared" si="23"/>
        <v>1133.9771879553609</v>
      </c>
    </row>
    <row r="228" spans="2:11" x14ac:dyDescent="0.3">
      <c r="B228" s="31">
        <v>42826</v>
      </c>
      <c r="C228" s="57">
        <f t="shared" si="18"/>
        <v>1133.9771879553609</v>
      </c>
      <c r="D228" s="36">
        <v>8.0000000000000004E-4</v>
      </c>
      <c r="E228" s="32">
        <f t="shared" si="19"/>
        <v>0.90700000000000003</v>
      </c>
      <c r="F228" s="32">
        <f t="shared" si="20"/>
        <v>1134.8841879553609</v>
      </c>
      <c r="G228" s="32">
        <f t="shared" si="21"/>
        <v>2.7989308262286676</v>
      </c>
      <c r="H228" s="75">
        <f t="shared" si="22"/>
        <v>1137.6831187815894</v>
      </c>
      <c r="I228" s="33">
        <v>0</v>
      </c>
      <c r="J228" s="34">
        <v>0</v>
      </c>
      <c r="K228" s="35">
        <f t="shared" si="23"/>
        <v>1137.6831187815894</v>
      </c>
    </row>
    <row r="229" spans="2:11" x14ac:dyDescent="0.3">
      <c r="B229" s="31">
        <v>42856</v>
      </c>
      <c r="C229" s="57">
        <f t="shared" si="18"/>
        <v>1137.6831187815894</v>
      </c>
      <c r="D229" s="36">
        <v>3.5999999999999999E-3</v>
      </c>
      <c r="E229" s="32">
        <f t="shared" si="19"/>
        <v>4.0949999999999998</v>
      </c>
      <c r="F229" s="32">
        <f t="shared" si="20"/>
        <v>1141.7781187815895</v>
      </c>
      <c r="G229" s="32">
        <f t="shared" si="21"/>
        <v>2.8159331210074705</v>
      </c>
      <c r="H229" s="75">
        <f t="shared" si="22"/>
        <v>1144.5940519025969</v>
      </c>
      <c r="I229" s="33">
        <v>0</v>
      </c>
      <c r="J229" s="34">
        <v>0</v>
      </c>
      <c r="K229" s="35">
        <f t="shared" si="23"/>
        <v>1144.5940519025969</v>
      </c>
    </row>
    <row r="230" spans="2:11" x14ac:dyDescent="0.3">
      <c r="B230" s="31">
        <v>42887</v>
      </c>
      <c r="C230" s="57">
        <f t="shared" si="18"/>
        <v>1144.5940519025969</v>
      </c>
      <c r="D230" s="36">
        <v>-3.0000000000000001E-3</v>
      </c>
      <c r="E230" s="32">
        <f t="shared" si="19"/>
        <v>-3.4329999999999998</v>
      </c>
      <c r="F230" s="32">
        <f t="shared" si="20"/>
        <v>1141.1610519025969</v>
      </c>
      <c r="G230" s="32">
        <f t="shared" si="21"/>
        <v>2.8144112674758177</v>
      </c>
      <c r="H230" s="75">
        <f t="shared" si="22"/>
        <v>1143.9754631700728</v>
      </c>
      <c r="I230" s="33">
        <v>0</v>
      </c>
      <c r="J230" s="34">
        <v>0</v>
      </c>
      <c r="K230" s="35">
        <f t="shared" si="23"/>
        <v>1143.9754631700728</v>
      </c>
    </row>
    <row r="231" spans="2:11" x14ac:dyDescent="0.3">
      <c r="B231" s="31">
        <v>42917</v>
      </c>
      <c r="C231" s="57">
        <f t="shared" si="18"/>
        <v>1143.9754631700728</v>
      </c>
      <c r="D231" s="36">
        <v>1.6999999999999999E-3</v>
      </c>
      <c r="E231" s="32">
        <f t="shared" si="19"/>
        <v>1.944</v>
      </c>
      <c r="F231" s="32">
        <f t="shared" si="20"/>
        <v>1145.9194631700727</v>
      </c>
      <c r="G231" s="32">
        <f t="shared" si="21"/>
        <v>2.8261467944324554</v>
      </c>
      <c r="H231" s="75">
        <f t="shared" si="22"/>
        <v>1148.7456099645051</v>
      </c>
      <c r="I231" s="33">
        <v>0</v>
      </c>
      <c r="J231" s="34">
        <v>0</v>
      </c>
      <c r="K231" s="35">
        <f t="shared" si="23"/>
        <v>1148.7456099645051</v>
      </c>
    </row>
    <row r="232" spans="2:11" x14ac:dyDescent="0.3">
      <c r="B232" s="31">
        <v>42948</v>
      </c>
      <c r="C232" s="57">
        <f t="shared" si="18"/>
        <v>1148.7456099645051</v>
      </c>
      <c r="D232" s="36">
        <v>-2.9999999999999997E-4</v>
      </c>
      <c r="E232" s="32">
        <f t="shared" si="19"/>
        <v>-0.34399999999999997</v>
      </c>
      <c r="F232" s="32">
        <f t="shared" si="20"/>
        <v>1148.401609964505</v>
      </c>
      <c r="G232" s="32">
        <f t="shared" si="21"/>
        <v>2.8322684386071599</v>
      </c>
      <c r="H232" s="75">
        <f t="shared" si="22"/>
        <v>1151.2338784031122</v>
      </c>
      <c r="I232" s="33">
        <v>0</v>
      </c>
      <c r="J232" s="34">
        <v>0.06</v>
      </c>
      <c r="K232" s="35">
        <f t="shared" si="23"/>
        <v>1151.2938784031121</v>
      </c>
    </row>
    <row r="233" spans="2:11" x14ac:dyDescent="0.3">
      <c r="B233" s="31">
        <v>42979</v>
      </c>
      <c r="C233" s="57">
        <f t="shared" si="18"/>
        <v>1151.2938784031121</v>
      </c>
      <c r="D233" s="36">
        <v>-2.0000000000000001E-4</v>
      </c>
      <c r="E233" s="32">
        <f t="shared" si="19"/>
        <v>-0.23</v>
      </c>
      <c r="F233" s="32">
        <f t="shared" si="20"/>
        <v>1151.0638784031121</v>
      </c>
      <c r="G233" s="32">
        <f t="shared" si="21"/>
        <v>2.8388343113892431</v>
      </c>
      <c r="H233" s="75">
        <f t="shared" si="22"/>
        <v>1153.9027127145014</v>
      </c>
      <c r="I233" s="33">
        <v>0</v>
      </c>
      <c r="J233" s="34">
        <v>0</v>
      </c>
      <c r="K233" s="35">
        <f t="shared" si="23"/>
        <v>1153.9027127145014</v>
      </c>
    </row>
    <row r="234" spans="2:11" x14ac:dyDescent="0.3">
      <c r="B234" s="31">
        <v>43009</v>
      </c>
      <c r="C234" s="57">
        <f t="shared" si="18"/>
        <v>1153.9027127145014</v>
      </c>
      <c r="D234" s="36">
        <v>3.7000000000000002E-3</v>
      </c>
      <c r="E234" s="32">
        <f t="shared" si="19"/>
        <v>4.2690000000000001</v>
      </c>
      <c r="F234" s="32">
        <f t="shared" si="20"/>
        <v>1158.1717127145014</v>
      </c>
      <c r="G234" s="32">
        <f t="shared" si="21"/>
        <v>2.8563641499163932</v>
      </c>
      <c r="H234" s="75">
        <f t="shared" si="22"/>
        <v>1161.0280768644177</v>
      </c>
      <c r="I234" s="33">
        <v>0</v>
      </c>
      <c r="J234" s="34">
        <v>0</v>
      </c>
      <c r="K234" s="35">
        <f t="shared" si="23"/>
        <v>1161.0280768644177</v>
      </c>
    </row>
    <row r="235" spans="2:11" x14ac:dyDescent="0.3">
      <c r="B235" s="31">
        <v>43040</v>
      </c>
      <c r="C235" s="57">
        <f t="shared" si="18"/>
        <v>1161.0280768644177</v>
      </c>
      <c r="D235" s="36">
        <v>1.8E-3</v>
      </c>
      <c r="E235" s="32">
        <f t="shared" si="19"/>
        <v>2.089</v>
      </c>
      <c r="F235" s="32">
        <f t="shared" si="20"/>
        <v>1163.1170768644176</v>
      </c>
      <c r="G235" s="32">
        <f t="shared" si="21"/>
        <v>2.8685607531584072</v>
      </c>
      <c r="H235" s="75">
        <f t="shared" si="22"/>
        <v>1165.985637617576</v>
      </c>
      <c r="I235" s="33">
        <v>0</v>
      </c>
      <c r="J235" s="34">
        <v>0</v>
      </c>
      <c r="K235" s="35">
        <f t="shared" si="23"/>
        <v>1165.985637617576</v>
      </c>
    </row>
    <row r="236" spans="2:11" x14ac:dyDescent="0.3">
      <c r="B236" s="31">
        <v>43070</v>
      </c>
      <c r="C236" s="57">
        <f t="shared" si="18"/>
        <v>1165.985637617576</v>
      </c>
      <c r="D236" s="36">
        <v>2.5999999999999999E-3</v>
      </c>
      <c r="E236" s="32">
        <f t="shared" si="19"/>
        <v>3.0310000000000001</v>
      </c>
      <c r="F236" s="32">
        <f t="shared" si="20"/>
        <v>1169.016637617576</v>
      </c>
      <c r="G236" s="32">
        <f t="shared" si="21"/>
        <v>2.8831106628570993</v>
      </c>
      <c r="H236" s="75">
        <f t="shared" si="22"/>
        <v>1171.899748280433</v>
      </c>
      <c r="I236" s="33">
        <v>0</v>
      </c>
      <c r="J236" s="34">
        <v>0</v>
      </c>
      <c r="K236" s="35">
        <f t="shared" si="23"/>
        <v>1171.899748280433</v>
      </c>
    </row>
    <row r="237" spans="2:11" x14ac:dyDescent="0.3">
      <c r="B237" s="31">
        <v>43101</v>
      </c>
      <c r="C237" s="57">
        <f t="shared" si="18"/>
        <v>1171.899748280433</v>
      </c>
      <c r="D237" s="36">
        <v>2.3E-3</v>
      </c>
      <c r="E237" s="32">
        <f t="shared" si="19"/>
        <v>2.6949999999999998</v>
      </c>
      <c r="F237" s="32">
        <f t="shared" si="20"/>
        <v>1174.5947482804329</v>
      </c>
      <c r="G237" s="32">
        <f t="shared" si="21"/>
        <v>2.8968677898415831</v>
      </c>
      <c r="H237" s="75">
        <f t="shared" si="22"/>
        <v>1177.4916160702744</v>
      </c>
      <c r="I237" s="33">
        <v>0</v>
      </c>
      <c r="J237" s="34">
        <v>0</v>
      </c>
      <c r="K237" s="35">
        <f t="shared" si="23"/>
        <v>1177.4916160702744</v>
      </c>
    </row>
    <row r="238" spans="2:11" x14ac:dyDescent="0.3">
      <c r="B238" s="31">
        <v>43132</v>
      </c>
      <c r="C238" s="57">
        <f t="shared" si="18"/>
        <v>1177.4916160702744</v>
      </c>
      <c r="D238" s="36">
        <v>1.8E-3</v>
      </c>
      <c r="E238" s="32">
        <f t="shared" si="19"/>
        <v>2.1190000000000002</v>
      </c>
      <c r="F238" s="32">
        <f t="shared" si="20"/>
        <v>1179.6106160702743</v>
      </c>
      <c r="G238" s="32">
        <f t="shared" si="21"/>
        <v>2.9092382740956353</v>
      </c>
      <c r="H238" s="75">
        <f t="shared" si="22"/>
        <v>1182.5198543443701</v>
      </c>
      <c r="I238" s="33">
        <v>0</v>
      </c>
      <c r="J238" s="34">
        <v>0</v>
      </c>
      <c r="K238" s="35">
        <f t="shared" si="23"/>
        <v>1182.5198543443701</v>
      </c>
    </row>
    <row r="239" spans="2:11" x14ac:dyDescent="0.3">
      <c r="B239" s="31">
        <v>43160</v>
      </c>
      <c r="C239" s="57">
        <f t="shared" si="18"/>
        <v>1182.5198543443701</v>
      </c>
      <c r="D239" s="36">
        <v>6.9999999999999999E-4</v>
      </c>
      <c r="E239" s="32">
        <f t="shared" si="19"/>
        <v>0.82699999999999996</v>
      </c>
      <c r="F239" s="32">
        <f t="shared" si="20"/>
        <v>1183.3468543443701</v>
      </c>
      <c r="G239" s="32">
        <f t="shared" si="21"/>
        <v>2.9184528464638895</v>
      </c>
      <c r="H239" s="75">
        <f t="shared" si="22"/>
        <v>1186.2653071908339</v>
      </c>
      <c r="I239" s="33">
        <v>0</v>
      </c>
      <c r="J239" s="34">
        <v>0</v>
      </c>
      <c r="K239" s="35">
        <f t="shared" si="23"/>
        <v>1186.2653071908339</v>
      </c>
    </row>
    <row r="240" spans="2:11" x14ac:dyDescent="0.3">
      <c r="B240" s="31">
        <v>43191</v>
      </c>
      <c r="C240" s="57">
        <f t="shared" si="18"/>
        <v>1186.2653071908339</v>
      </c>
      <c r="D240" s="36">
        <v>2.0999999999999999E-3</v>
      </c>
      <c r="E240" s="32">
        <f t="shared" si="19"/>
        <v>2.4910000000000001</v>
      </c>
      <c r="F240" s="32">
        <f t="shared" si="20"/>
        <v>1188.7563071908339</v>
      </c>
      <c r="G240" s="32">
        <f t="shared" si="21"/>
        <v>2.9317940177355379</v>
      </c>
      <c r="H240" s="75">
        <f t="shared" si="22"/>
        <v>1191.6881012085694</v>
      </c>
      <c r="I240" s="33">
        <v>0</v>
      </c>
      <c r="J240" s="34">
        <v>0</v>
      </c>
      <c r="K240" s="35">
        <f t="shared" si="23"/>
        <v>1191.6881012085694</v>
      </c>
    </row>
    <row r="241" spans="2:11" x14ac:dyDescent="0.3">
      <c r="B241" s="31">
        <v>43221</v>
      </c>
      <c r="C241" s="57">
        <f t="shared" si="18"/>
        <v>1191.6881012085694</v>
      </c>
      <c r="D241" s="36">
        <v>4.3E-3</v>
      </c>
      <c r="E241" s="32">
        <f t="shared" si="19"/>
        <v>5.1239999999999997</v>
      </c>
      <c r="F241" s="32">
        <f t="shared" si="20"/>
        <v>1196.8121012085694</v>
      </c>
      <c r="G241" s="32">
        <f t="shared" si="21"/>
        <v>2.9516617808476586</v>
      </c>
      <c r="H241" s="75">
        <f t="shared" si="22"/>
        <v>1199.763762989417</v>
      </c>
      <c r="I241" s="33">
        <v>0</v>
      </c>
      <c r="J241" s="34">
        <v>0</v>
      </c>
      <c r="K241" s="35">
        <f t="shared" si="23"/>
        <v>1199.763762989417</v>
      </c>
    </row>
    <row r="242" spans="2:11" x14ac:dyDescent="0.3">
      <c r="B242" s="31">
        <v>43252</v>
      </c>
      <c r="C242" s="57">
        <f t="shared" si="18"/>
        <v>1199.763762989417</v>
      </c>
      <c r="D242" s="36">
        <v>1.43E-2</v>
      </c>
      <c r="E242" s="32">
        <f t="shared" si="19"/>
        <v>17.155999999999999</v>
      </c>
      <c r="F242" s="32">
        <f t="shared" si="20"/>
        <v>1216.919762989417</v>
      </c>
      <c r="G242" s="32">
        <f t="shared" si="21"/>
        <v>3.0012527038679093</v>
      </c>
      <c r="H242" s="75">
        <f t="shared" si="22"/>
        <v>1219.921015693285</v>
      </c>
      <c r="I242" s="33">
        <v>0</v>
      </c>
      <c r="J242" s="34">
        <v>0</v>
      </c>
      <c r="K242" s="35">
        <f t="shared" si="23"/>
        <v>1219.921015693285</v>
      </c>
    </row>
    <row r="243" spans="2:11" x14ac:dyDescent="0.3">
      <c r="B243" s="31">
        <v>43282</v>
      </c>
      <c r="C243" s="57">
        <f t="shared" si="18"/>
        <v>1219.921015693285</v>
      </c>
      <c r="D243" s="36">
        <v>2.5000000000000001E-3</v>
      </c>
      <c r="E243" s="32">
        <f t="shared" si="19"/>
        <v>3.0489999999999999</v>
      </c>
      <c r="F243" s="32">
        <f t="shared" si="20"/>
        <v>1222.9700156932849</v>
      </c>
      <c r="G243" s="32">
        <f t="shared" si="21"/>
        <v>3.0161742606038779</v>
      </c>
      <c r="H243" s="75">
        <f t="shared" si="22"/>
        <v>1225.9861899538889</v>
      </c>
      <c r="I243" s="33">
        <v>0</v>
      </c>
      <c r="J243" s="34">
        <v>0</v>
      </c>
      <c r="K243" s="35">
        <f t="shared" si="23"/>
        <v>1225.9861899538889</v>
      </c>
    </row>
    <row r="244" spans="2:11" x14ac:dyDescent="0.3">
      <c r="B244" s="31">
        <v>43313</v>
      </c>
      <c r="C244" s="57">
        <f t="shared" si="18"/>
        <v>1225.9861899538889</v>
      </c>
      <c r="D244" s="36">
        <v>0</v>
      </c>
      <c r="E244" s="32">
        <f t="shared" si="19"/>
        <v>0</v>
      </c>
      <c r="F244" s="32">
        <f t="shared" si="20"/>
        <v>1225.9861899538889</v>
      </c>
      <c r="G244" s="32">
        <f t="shared" si="21"/>
        <v>3.0236129606975775</v>
      </c>
      <c r="H244" s="75">
        <f t="shared" si="22"/>
        <v>1229.0098029145865</v>
      </c>
      <c r="I244" s="33">
        <v>0</v>
      </c>
      <c r="J244" s="34">
        <v>0.05</v>
      </c>
      <c r="K244" s="35">
        <f t="shared" si="23"/>
        <v>1229.0598029145865</v>
      </c>
    </row>
    <row r="245" spans="2:11" x14ac:dyDescent="0.3">
      <c r="B245" s="31">
        <v>43344</v>
      </c>
      <c r="C245" s="57">
        <f t="shared" si="18"/>
        <v>1229.0598029145865</v>
      </c>
      <c r="D245" s="36">
        <v>3.0000000000000001E-3</v>
      </c>
      <c r="E245" s="32">
        <f t="shared" si="19"/>
        <v>3.6869999999999998</v>
      </c>
      <c r="F245" s="32">
        <f t="shared" si="20"/>
        <v>1232.7468029145864</v>
      </c>
      <c r="G245" s="32">
        <f t="shared" si="21"/>
        <v>3.0402864576241568</v>
      </c>
      <c r="H245" s="75">
        <f t="shared" si="22"/>
        <v>1235.7870893722106</v>
      </c>
      <c r="I245" s="33">
        <v>0</v>
      </c>
      <c r="J245" s="34">
        <v>0</v>
      </c>
      <c r="K245" s="35">
        <f t="shared" si="23"/>
        <v>1235.7870893722106</v>
      </c>
    </row>
    <row r="246" spans="2:11" x14ac:dyDescent="0.3">
      <c r="B246" s="31">
        <v>43374</v>
      </c>
      <c r="C246" s="57">
        <f t="shared" si="18"/>
        <v>1235.7870893722106</v>
      </c>
      <c r="D246" s="36">
        <v>4.0000000000000001E-3</v>
      </c>
      <c r="E246" s="32">
        <f t="shared" si="19"/>
        <v>4.9429999999999996</v>
      </c>
      <c r="F246" s="32">
        <f t="shared" si="20"/>
        <v>1240.7300893722106</v>
      </c>
      <c r="G246" s="32">
        <f t="shared" si="21"/>
        <v>3.059975397516002</v>
      </c>
      <c r="H246" s="75">
        <f t="shared" si="22"/>
        <v>1243.7900647697265</v>
      </c>
      <c r="I246" s="33">
        <v>0</v>
      </c>
      <c r="J246" s="34">
        <v>0</v>
      </c>
      <c r="K246" s="35">
        <f t="shared" si="23"/>
        <v>1243.7900647697265</v>
      </c>
    </row>
    <row r="247" spans="2:11" x14ac:dyDescent="0.3">
      <c r="B247" s="31">
        <v>43405</v>
      </c>
      <c r="C247" s="57">
        <f t="shared" si="18"/>
        <v>1243.7900647697265</v>
      </c>
      <c r="D247" s="36">
        <v>-2.5000000000000001E-3</v>
      </c>
      <c r="E247" s="32">
        <f t="shared" si="19"/>
        <v>-3.109</v>
      </c>
      <c r="F247" s="32">
        <f t="shared" si="20"/>
        <v>1240.6810647697266</v>
      </c>
      <c r="G247" s="32">
        <f t="shared" si="21"/>
        <v>3.0598544896096338</v>
      </c>
      <c r="H247" s="75">
        <f t="shared" si="22"/>
        <v>1243.7409192593364</v>
      </c>
      <c r="I247" s="33">
        <v>0</v>
      </c>
      <c r="J247" s="34">
        <v>0</v>
      </c>
      <c r="K247" s="35">
        <f t="shared" si="23"/>
        <v>1243.7409192593364</v>
      </c>
    </row>
    <row r="248" spans="2:11" x14ac:dyDescent="0.3">
      <c r="B248" s="31">
        <v>43435</v>
      </c>
      <c r="C248" s="57">
        <f t="shared" si="18"/>
        <v>1243.7409192593364</v>
      </c>
      <c r="D248" s="36">
        <v>1.4E-3</v>
      </c>
      <c r="E248" s="32">
        <f t="shared" si="19"/>
        <v>1.7410000000000001</v>
      </c>
      <c r="F248" s="32">
        <f t="shared" si="20"/>
        <v>1245.4819192593363</v>
      </c>
      <c r="G248" s="32">
        <f t="shared" si="21"/>
        <v>3.0716946930117235</v>
      </c>
      <c r="H248" s="75">
        <f t="shared" si="22"/>
        <v>1248.5536139523481</v>
      </c>
      <c r="I248" s="33">
        <v>0</v>
      </c>
      <c r="J248" s="34">
        <v>0</v>
      </c>
      <c r="K248" s="35">
        <f t="shared" si="23"/>
        <v>1248.5536139523481</v>
      </c>
    </row>
    <row r="249" spans="2:11" x14ac:dyDescent="0.3">
      <c r="B249" s="31">
        <v>43466</v>
      </c>
      <c r="C249" s="57">
        <f t="shared" si="18"/>
        <v>1248.5536139523481</v>
      </c>
      <c r="D249" s="36">
        <v>3.5999999999999999E-3</v>
      </c>
      <c r="E249" s="32">
        <f t="shared" si="19"/>
        <v>4.4939999999999998</v>
      </c>
      <c r="F249" s="32">
        <f t="shared" si="20"/>
        <v>1253.047613952348</v>
      </c>
      <c r="G249" s="32">
        <f t="shared" si="21"/>
        <v>3.0903537388622575</v>
      </c>
      <c r="H249" s="75">
        <f t="shared" si="22"/>
        <v>1256.1379676912102</v>
      </c>
      <c r="I249" s="33">
        <v>0</v>
      </c>
      <c r="J249" s="34">
        <v>0</v>
      </c>
      <c r="K249" s="35">
        <f t="shared" si="23"/>
        <v>1256.1379676912102</v>
      </c>
    </row>
    <row r="250" spans="2:11" x14ac:dyDescent="0.3">
      <c r="B250" s="31">
        <v>43497</v>
      </c>
      <c r="C250" s="57">
        <f t="shared" si="18"/>
        <v>1256.1379676912102</v>
      </c>
      <c r="D250" s="36">
        <v>5.4000000000000003E-3</v>
      </c>
      <c r="E250" s="32">
        <f t="shared" si="19"/>
        <v>6.7830000000000004</v>
      </c>
      <c r="F250" s="32">
        <f t="shared" si="20"/>
        <v>1262.9209676912101</v>
      </c>
      <c r="G250" s="32">
        <f t="shared" si="21"/>
        <v>3.1147040949878009</v>
      </c>
      <c r="H250" s="75">
        <f t="shared" si="22"/>
        <v>1266.0356717861978</v>
      </c>
      <c r="I250" s="33">
        <v>0</v>
      </c>
      <c r="J250" s="34">
        <v>0</v>
      </c>
      <c r="K250" s="35">
        <f t="shared" si="23"/>
        <v>1266.0356717861978</v>
      </c>
    </row>
    <row r="251" spans="2:11" x14ac:dyDescent="0.3">
      <c r="B251" s="31">
        <v>43525</v>
      </c>
      <c r="C251" s="57">
        <f t="shared" si="18"/>
        <v>1266.0356717861978</v>
      </c>
      <c r="D251" s="36">
        <v>7.7000000000000002E-3</v>
      </c>
      <c r="E251" s="32">
        <f t="shared" si="19"/>
        <v>9.7479999999999993</v>
      </c>
      <c r="F251" s="32">
        <f t="shared" si="20"/>
        <v>1275.7836717861978</v>
      </c>
      <c r="G251" s="32">
        <f t="shared" si="21"/>
        <v>3.146426996216146</v>
      </c>
      <c r="H251" s="75">
        <f t="shared" si="22"/>
        <v>1278.930098782414</v>
      </c>
      <c r="I251" s="33">
        <v>0</v>
      </c>
      <c r="J251" s="34">
        <v>0</v>
      </c>
      <c r="K251" s="35">
        <f t="shared" si="23"/>
        <v>1278.930098782414</v>
      </c>
    </row>
    <row r="252" spans="2:11" x14ac:dyDescent="0.3">
      <c r="B252" s="31">
        <v>43556</v>
      </c>
      <c r="C252" s="57">
        <f t="shared" si="18"/>
        <v>1278.930098782414</v>
      </c>
      <c r="D252" s="36">
        <v>6.0000000000000001E-3</v>
      </c>
      <c r="E252" s="32">
        <f t="shared" si="19"/>
        <v>7.673</v>
      </c>
      <c r="F252" s="32">
        <f t="shared" si="20"/>
        <v>1286.603098782414</v>
      </c>
      <c r="G252" s="32">
        <f t="shared" si="21"/>
        <v>3.1731106244341043</v>
      </c>
      <c r="H252" s="75">
        <f t="shared" si="22"/>
        <v>1289.776209406848</v>
      </c>
      <c r="I252" s="33">
        <v>0</v>
      </c>
      <c r="J252" s="34">
        <v>0</v>
      </c>
      <c r="K252" s="35">
        <f t="shared" si="23"/>
        <v>1289.776209406848</v>
      </c>
    </row>
    <row r="253" spans="2:11" x14ac:dyDescent="0.3">
      <c r="B253" s="31">
        <v>43586</v>
      </c>
      <c r="C253" s="57">
        <f t="shared" si="18"/>
        <v>1289.776209406848</v>
      </c>
      <c r="D253" s="36">
        <v>1.5E-3</v>
      </c>
      <c r="E253" s="32">
        <f t="shared" si="19"/>
        <v>1.9339999999999999</v>
      </c>
      <c r="F253" s="32">
        <f t="shared" si="20"/>
        <v>1291.710209406848</v>
      </c>
      <c r="G253" s="32">
        <f t="shared" si="21"/>
        <v>3.1857061381538272</v>
      </c>
      <c r="H253" s="75">
        <f t="shared" si="22"/>
        <v>1294.8959155450018</v>
      </c>
      <c r="I253" s="33">
        <v>0</v>
      </c>
      <c r="J253" s="34">
        <v>0</v>
      </c>
      <c r="K253" s="35">
        <f t="shared" si="23"/>
        <v>1294.8959155450018</v>
      </c>
    </row>
    <row r="254" spans="2:11" x14ac:dyDescent="0.3">
      <c r="B254" s="31">
        <v>43617</v>
      </c>
      <c r="C254" s="57">
        <f t="shared" si="18"/>
        <v>1294.8959155450018</v>
      </c>
      <c r="D254" s="36">
        <v>1E-4</v>
      </c>
      <c r="E254" s="32">
        <f t="shared" si="19"/>
        <v>0.129</v>
      </c>
      <c r="F254" s="32">
        <f t="shared" si="20"/>
        <v>1295.0249155450017</v>
      </c>
      <c r="G254" s="32">
        <f t="shared" si="21"/>
        <v>3.1938810984611714</v>
      </c>
      <c r="H254" s="75">
        <f t="shared" si="22"/>
        <v>1298.2187966434628</v>
      </c>
      <c r="I254" s="33">
        <v>0</v>
      </c>
      <c r="J254" s="34">
        <v>0</v>
      </c>
      <c r="K254" s="35">
        <f t="shared" si="23"/>
        <v>1298.2187966434628</v>
      </c>
    </row>
    <row r="255" spans="2:11" x14ac:dyDescent="0.3">
      <c r="B255" s="31">
        <v>43647</v>
      </c>
      <c r="C255" s="57">
        <f t="shared" si="18"/>
        <v>1298.2187966434628</v>
      </c>
      <c r="D255" s="36">
        <v>1E-3</v>
      </c>
      <c r="E255" s="32">
        <f t="shared" si="19"/>
        <v>1.298</v>
      </c>
      <c r="F255" s="32">
        <f t="shared" si="20"/>
        <v>1299.5167966434628</v>
      </c>
      <c r="G255" s="32">
        <f t="shared" si="21"/>
        <v>3.2049592900578729</v>
      </c>
      <c r="H255" s="75">
        <f t="shared" si="22"/>
        <v>1302.7217559335206</v>
      </c>
      <c r="I255" s="33">
        <v>0</v>
      </c>
      <c r="J255" s="34">
        <v>0</v>
      </c>
      <c r="K255" s="35">
        <f t="shared" si="23"/>
        <v>1302.7217559335206</v>
      </c>
    </row>
    <row r="256" spans="2:11" x14ac:dyDescent="0.3">
      <c r="B256" s="31">
        <v>43678</v>
      </c>
      <c r="C256" s="57">
        <f t="shared" si="18"/>
        <v>1302.7217559335206</v>
      </c>
      <c r="D256" s="36">
        <v>1.1999999999999999E-3</v>
      </c>
      <c r="E256" s="32">
        <f t="shared" si="19"/>
        <v>1.5629999999999999</v>
      </c>
      <c r="F256" s="32">
        <f t="shared" si="20"/>
        <v>1304.2847559335207</v>
      </c>
      <c r="G256" s="32">
        <f t="shared" si="21"/>
        <v>3.2167183650161641</v>
      </c>
      <c r="H256" s="75">
        <f t="shared" si="22"/>
        <v>1307.501474298537</v>
      </c>
      <c r="I256" s="33">
        <v>0</v>
      </c>
      <c r="J256" s="34">
        <v>0.08</v>
      </c>
      <c r="K256" s="35">
        <f t="shared" si="23"/>
        <v>1307.5814742985369</v>
      </c>
    </row>
    <row r="257" spans="2:11" x14ac:dyDescent="0.3">
      <c r="B257" s="31">
        <v>43709</v>
      </c>
      <c r="C257" s="57">
        <f t="shared" si="18"/>
        <v>1307.5814742985369</v>
      </c>
      <c r="D257" s="36">
        <v>-5.0000000000000001E-4</v>
      </c>
      <c r="E257" s="32">
        <f t="shared" si="19"/>
        <v>-0.65300000000000002</v>
      </c>
      <c r="F257" s="32">
        <f t="shared" si="20"/>
        <v>1306.9284742985369</v>
      </c>
      <c r="G257" s="32">
        <f t="shared" si="21"/>
        <v>3.2232384883082528</v>
      </c>
      <c r="H257" s="75">
        <f t="shared" si="22"/>
        <v>1310.1517127868451</v>
      </c>
      <c r="I257" s="33">
        <v>0</v>
      </c>
      <c r="J257" s="34">
        <v>0</v>
      </c>
      <c r="K257" s="35">
        <f t="shared" si="23"/>
        <v>1310.1517127868451</v>
      </c>
    </row>
    <row r="258" spans="2:11" x14ac:dyDescent="0.3">
      <c r="B258" s="31">
        <v>43739</v>
      </c>
      <c r="C258" s="57">
        <f t="shared" si="18"/>
        <v>1310.1517127868451</v>
      </c>
      <c r="D258" s="36">
        <v>4.0000000000000002E-4</v>
      </c>
      <c r="E258" s="32">
        <f t="shared" si="19"/>
        <v>0.52400000000000002</v>
      </c>
      <c r="F258" s="32">
        <f t="shared" si="20"/>
        <v>1310.675712786845</v>
      </c>
      <c r="G258" s="32">
        <f t="shared" si="21"/>
        <v>3.2324801901748121</v>
      </c>
      <c r="H258" s="75">
        <f t="shared" si="22"/>
        <v>1313.9081929770198</v>
      </c>
      <c r="I258" s="33">
        <v>0</v>
      </c>
      <c r="J258" s="34">
        <v>0</v>
      </c>
      <c r="K258" s="35">
        <f t="shared" si="23"/>
        <v>1313.9081929770198</v>
      </c>
    </row>
    <row r="259" spans="2:11" x14ac:dyDescent="0.3">
      <c r="B259" s="31">
        <v>43770</v>
      </c>
      <c r="C259" s="57">
        <f t="shared" si="18"/>
        <v>1313.9081929770198</v>
      </c>
      <c r="D259" s="36">
        <v>5.4000000000000003E-3</v>
      </c>
      <c r="E259" s="32">
        <f t="shared" si="19"/>
        <v>7.0949999999999998</v>
      </c>
      <c r="F259" s="32">
        <f t="shared" si="20"/>
        <v>1321.0031929770198</v>
      </c>
      <c r="G259" s="32">
        <f t="shared" si="21"/>
        <v>3.2579505447434345</v>
      </c>
      <c r="H259" s="75">
        <f t="shared" si="22"/>
        <v>1324.2611435217632</v>
      </c>
      <c r="I259" s="33">
        <v>0</v>
      </c>
      <c r="J259" s="34">
        <v>0</v>
      </c>
      <c r="K259" s="35">
        <f t="shared" si="23"/>
        <v>1324.2611435217632</v>
      </c>
    </row>
    <row r="260" spans="2:11" x14ac:dyDescent="0.3">
      <c r="B260" s="31">
        <v>43800</v>
      </c>
      <c r="C260" s="57">
        <f t="shared" si="18"/>
        <v>1324.2611435217632</v>
      </c>
      <c r="D260" s="36">
        <v>1.2200000000000001E-2</v>
      </c>
      <c r="E260" s="32">
        <f t="shared" si="19"/>
        <v>16.155000000000001</v>
      </c>
      <c r="F260" s="32">
        <f t="shared" si="20"/>
        <v>1340.4161435217632</v>
      </c>
      <c r="G260" s="32">
        <f t="shared" si="21"/>
        <v>3.3058281222834189</v>
      </c>
      <c r="H260" s="75">
        <f t="shared" si="22"/>
        <v>1343.7219716440466</v>
      </c>
      <c r="I260" s="33">
        <v>0</v>
      </c>
      <c r="J260" s="34">
        <v>0</v>
      </c>
      <c r="K260" s="35">
        <f t="shared" si="23"/>
        <v>1343.7219716440466</v>
      </c>
    </row>
    <row r="261" spans="2:11" x14ac:dyDescent="0.3">
      <c r="B261" s="31">
        <v>43831</v>
      </c>
      <c r="C261" s="57">
        <f t="shared" si="18"/>
        <v>1343.7219716440466</v>
      </c>
      <c r="D261" s="36">
        <v>1.9E-3</v>
      </c>
      <c r="E261" s="32">
        <f t="shared" si="19"/>
        <v>2.5529999999999999</v>
      </c>
      <c r="F261" s="32">
        <f t="shared" si="20"/>
        <v>1346.2749716440467</v>
      </c>
      <c r="G261" s="32">
        <f t="shared" si="21"/>
        <v>3.3202775743165631</v>
      </c>
      <c r="H261" s="75">
        <f t="shared" si="22"/>
        <v>1349.5952492183633</v>
      </c>
      <c r="I261" s="33">
        <v>0</v>
      </c>
      <c r="J261" s="34">
        <v>0</v>
      </c>
      <c r="K261" s="35">
        <f t="shared" si="23"/>
        <v>1349.5952492183633</v>
      </c>
    </row>
    <row r="262" spans="2:11" x14ac:dyDescent="0.3">
      <c r="B262" s="31">
        <v>43862</v>
      </c>
      <c r="C262" s="57">
        <f t="shared" si="18"/>
        <v>1349.5952492183633</v>
      </c>
      <c r="D262" s="36">
        <v>1.6999999999999999E-3</v>
      </c>
      <c r="E262" s="32">
        <f t="shared" si="19"/>
        <v>2.294</v>
      </c>
      <c r="F262" s="32">
        <f t="shared" si="20"/>
        <v>1351.8892492183634</v>
      </c>
      <c r="G262" s="32">
        <f t="shared" si="21"/>
        <v>3.3341238986697732</v>
      </c>
      <c r="H262" s="75">
        <f t="shared" si="22"/>
        <v>1355.2233731170331</v>
      </c>
      <c r="I262" s="33">
        <v>0</v>
      </c>
      <c r="J262" s="34">
        <v>0</v>
      </c>
      <c r="K262" s="35">
        <f t="shared" si="23"/>
        <v>1355.2233731170331</v>
      </c>
    </row>
    <row r="263" spans="2:11" x14ac:dyDescent="0.3">
      <c r="B263" s="31">
        <v>43891</v>
      </c>
      <c r="C263" s="57">
        <f t="shared" si="18"/>
        <v>1355.2233731170331</v>
      </c>
      <c r="D263" s="36">
        <v>1.8E-3</v>
      </c>
      <c r="E263" s="32">
        <f t="shared" si="19"/>
        <v>2.4390000000000001</v>
      </c>
      <c r="F263" s="32">
        <f t="shared" si="20"/>
        <v>1357.6623731170332</v>
      </c>
      <c r="G263" s="32">
        <f t="shared" si="21"/>
        <v>3.3483619809473457</v>
      </c>
      <c r="H263" s="75">
        <f t="shared" si="22"/>
        <v>1361.0107350979806</v>
      </c>
      <c r="I263" s="33">
        <v>0</v>
      </c>
      <c r="J263" s="34">
        <v>0</v>
      </c>
      <c r="K263" s="35">
        <f t="shared" si="23"/>
        <v>1361.0107350979806</v>
      </c>
    </row>
    <row r="264" spans="2:11" x14ac:dyDescent="0.3">
      <c r="B264" s="31">
        <v>43922</v>
      </c>
      <c r="C264" s="57">
        <f t="shared" si="18"/>
        <v>1361.0107350979806</v>
      </c>
      <c r="D264" s="36">
        <v>-2.3E-3</v>
      </c>
      <c r="E264" s="32">
        <f t="shared" si="19"/>
        <v>-3.13</v>
      </c>
      <c r="F264" s="32">
        <f t="shared" si="20"/>
        <v>1357.8807350979805</v>
      </c>
      <c r="G264" s="32">
        <f t="shared" si="21"/>
        <v>3.3489005205500963</v>
      </c>
      <c r="H264" s="75">
        <f t="shared" si="22"/>
        <v>1361.2296356185307</v>
      </c>
      <c r="I264" s="33">
        <v>0</v>
      </c>
      <c r="J264" s="34">
        <v>0</v>
      </c>
      <c r="K264" s="35">
        <f t="shared" si="23"/>
        <v>1361.2296356185307</v>
      </c>
    </row>
    <row r="265" spans="2:11" x14ac:dyDescent="0.3">
      <c r="B265" s="31">
        <v>43952</v>
      </c>
      <c r="C265" s="57">
        <f t="shared" si="18"/>
        <v>1361.2296356185307</v>
      </c>
      <c r="D265" s="36">
        <v>-2.5000000000000001E-3</v>
      </c>
      <c r="E265" s="32">
        <f t="shared" si="19"/>
        <v>-3.403</v>
      </c>
      <c r="F265" s="32">
        <f t="shared" si="20"/>
        <v>1357.8266356185306</v>
      </c>
      <c r="G265" s="32">
        <f t="shared" si="21"/>
        <v>3.3487670966269136</v>
      </c>
      <c r="H265" s="75">
        <f t="shared" si="22"/>
        <v>1361.1754027151576</v>
      </c>
      <c r="I265" s="33">
        <v>0</v>
      </c>
      <c r="J265" s="34">
        <v>0</v>
      </c>
      <c r="K265" s="35">
        <f t="shared" si="23"/>
        <v>1361.1754027151576</v>
      </c>
    </row>
    <row r="266" spans="2:11" x14ac:dyDescent="0.3">
      <c r="B266" s="31">
        <v>43983</v>
      </c>
      <c r="C266" s="57">
        <f t="shared" ref="C266:C276" si="24">K265</f>
        <v>1361.1754027151576</v>
      </c>
      <c r="D266" s="36">
        <v>3.0000000000000001E-3</v>
      </c>
      <c r="E266" s="32">
        <f t="shared" ref="E266:E276" si="25">ROUNDDOWN(D266*C266,3)</f>
        <v>4.0830000000000002</v>
      </c>
      <c r="F266" s="32">
        <f t="shared" ref="F266:F276" si="26">E266+C266</f>
        <v>1365.2584027151577</v>
      </c>
      <c r="G266" s="32">
        <f t="shared" ref="G266:G276" si="27">F266*$A$9</f>
        <v>3.3670958408643119</v>
      </c>
      <c r="H266" s="75">
        <f t="shared" ref="H266:H276" si="28">G266+F266</f>
        <v>1368.625498556022</v>
      </c>
      <c r="I266" s="33">
        <v>5.21</v>
      </c>
      <c r="J266" s="34">
        <v>0</v>
      </c>
      <c r="K266" s="35">
        <f t="shared" ref="K266:K276" si="29">H266-I266+J266</f>
        <v>1363.4154985560219</v>
      </c>
    </row>
    <row r="267" spans="2:11" x14ac:dyDescent="0.3">
      <c r="B267" s="31">
        <v>44013</v>
      </c>
      <c r="C267" s="57">
        <f t="shared" si="24"/>
        <v>1363.4154985560219</v>
      </c>
      <c r="D267" s="36">
        <v>4.4000000000000003E-3</v>
      </c>
      <c r="E267" s="32">
        <f t="shared" si="25"/>
        <v>5.9989999999999997</v>
      </c>
      <c r="F267" s="32">
        <f t="shared" si="26"/>
        <v>1369.414498556022</v>
      </c>
      <c r="G267" s="32">
        <f t="shared" si="27"/>
        <v>3.3773458953537601</v>
      </c>
      <c r="H267" s="75">
        <f t="shared" si="28"/>
        <v>1372.7918444513757</v>
      </c>
      <c r="I267" s="33">
        <v>0</v>
      </c>
      <c r="J267" s="34">
        <v>0</v>
      </c>
      <c r="K267" s="35">
        <f t="shared" si="29"/>
        <v>1372.7918444513757</v>
      </c>
    </row>
    <row r="268" spans="2:11" x14ac:dyDescent="0.3">
      <c r="B268" s="31">
        <v>44044</v>
      </c>
      <c r="C268" s="57">
        <f t="shared" si="24"/>
        <v>1372.7918444513757</v>
      </c>
      <c r="D268" s="36">
        <v>3.5999999999999999E-3</v>
      </c>
      <c r="E268" s="32">
        <f t="shared" si="25"/>
        <v>4.9420000000000002</v>
      </c>
      <c r="F268" s="32">
        <f t="shared" si="26"/>
        <v>1377.7338444513757</v>
      </c>
      <c r="G268" s="32">
        <f t="shared" si="27"/>
        <v>3.3978636485550946</v>
      </c>
      <c r="H268" s="75">
        <f t="shared" si="28"/>
        <v>1381.1317080999308</v>
      </c>
      <c r="I268" s="33">
        <v>0</v>
      </c>
      <c r="J268" s="34">
        <v>0.1</v>
      </c>
      <c r="K268" s="35">
        <f t="shared" si="29"/>
        <v>1381.2317080999308</v>
      </c>
    </row>
    <row r="269" spans="2:11" x14ac:dyDescent="0.3">
      <c r="B269" s="31">
        <v>44075</v>
      </c>
      <c r="C269" s="57">
        <f t="shared" si="24"/>
        <v>1381.2317080999308</v>
      </c>
      <c r="D269" s="36">
        <v>8.6999999999999994E-3</v>
      </c>
      <c r="E269" s="32">
        <f t="shared" si="25"/>
        <v>12.016</v>
      </c>
      <c r="F269" s="32">
        <f t="shared" si="26"/>
        <v>1393.2477080999308</v>
      </c>
      <c r="G269" s="32">
        <f t="shared" si="27"/>
        <v>3.4361250250556163</v>
      </c>
      <c r="H269" s="75">
        <f t="shared" si="28"/>
        <v>1396.6838331249864</v>
      </c>
      <c r="I269" s="33">
        <v>0</v>
      </c>
      <c r="J269" s="34">
        <v>0</v>
      </c>
      <c r="K269" s="35">
        <f t="shared" si="29"/>
        <v>1396.6838331249864</v>
      </c>
    </row>
    <row r="270" spans="2:11" x14ac:dyDescent="0.3">
      <c r="B270" s="31">
        <v>44105</v>
      </c>
      <c r="C270" s="57">
        <f t="shared" si="24"/>
        <v>1396.6838331249864</v>
      </c>
      <c r="D270" s="36">
        <v>8.8999999999999999E-3</v>
      </c>
      <c r="E270" s="32">
        <f t="shared" si="25"/>
        <v>12.43</v>
      </c>
      <c r="F270" s="32">
        <f t="shared" si="26"/>
        <v>1409.1138331249865</v>
      </c>
      <c r="G270" s="32">
        <f t="shared" si="27"/>
        <v>3.4752551732211603</v>
      </c>
      <c r="H270" s="75">
        <f t="shared" si="28"/>
        <v>1412.5890882982076</v>
      </c>
      <c r="I270" s="33">
        <v>0</v>
      </c>
      <c r="J270" s="34">
        <v>0</v>
      </c>
      <c r="K270" s="35">
        <f t="shared" si="29"/>
        <v>1412.5890882982076</v>
      </c>
    </row>
    <row r="271" spans="2:11" x14ac:dyDescent="0.3">
      <c r="B271" s="31">
        <v>44136</v>
      </c>
      <c r="C271" s="57">
        <f t="shared" si="24"/>
        <v>1412.5890882982076</v>
      </c>
      <c r="D271" s="36">
        <v>9.4999999999999998E-3</v>
      </c>
      <c r="E271" s="32">
        <f t="shared" si="25"/>
        <v>13.419</v>
      </c>
      <c r="F271" s="32">
        <f t="shared" si="26"/>
        <v>1426.0080882982077</v>
      </c>
      <c r="G271" s="32">
        <f t="shared" si="27"/>
        <v>3.5169209679272204</v>
      </c>
      <c r="H271" s="75">
        <f t="shared" si="28"/>
        <v>1429.5250092661349</v>
      </c>
      <c r="I271" s="33">
        <v>0</v>
      </c>
      <c r="J271" s="34">
        <v>0</v>
      </c>
      <c r="K271" s="35">
        <f t="shared" si="29"/>
        <v>1429.5250092661349</v>
      </c>
    </row>
    <row r="272" spans="2:11" x14ac:dyDescent="0.3">
      <c r="B272" s="31">
        <v>44166</v>
      </c>
      <c r="C272" s="57">
        <f t="shared" si="24"/>
        <v>1429.5250092661349</v>
      </c>
      <c r="D272" s="36">
        <v>1.46E-2</v>
      </c>
      <c r="E272" s="32">
        <f t="shared" si="25"/>
        <v>20.870999999999999</v>
      </c>
      <c r="F272" s="32">
        <f t="shared" si="26"/>
        <v>1450.396009266135</v>
      </c>
      <c r="G272" s="32">
        <f t="shared" si="27"/>
        <v>3.5770681657727907</v>
      </c>
      <c r="H272" s="75">
        <f t="shared" si="28"/>
        <v>1453.9730774319078</v>
      </c>
      <c r="I272" s="33">
        <v>0</v>
      </c>
      <c r="J272" s="34">
        <v>0</v>
      </c>
      <c r="K272" s="35">
        <f t="shared" si="29"/>
        <v>1453.9730774319078</v>
      </c>
    </row>
    <row r="273" spans="2:11" x14ac:dyDescent="0.3">
      <c r="B273" s="31">
        <v>44197</v>
      </c>
      <c r="C273" s="57">
        <f t="shared" si="24"/>
        <v>1453.9730774319078</v>
      </c>
      <c r="D273" s="36">
        <v>2.7000000000000001E-3</v>
      </c>
      <c r="E273" s="32">
        <f t="shared" si="25"/>
        <v>3.9249999999999998</v>
      </c>
      <c r="F273" s="32">
        <f t="shared" si="26"/>
        <v>1457.8980774319077</v>
      </c>
      <c r="G273" s="32">
        <f t="shared" si="27"/>
        <v>3.595570291427991</v>
      </c>
      <c r="H273" s="75">
        <f t="shared" si="28"/>
        <v>1461.4936477233357</v>
      </c>
      <c r="I273" s="33">
        <v>0</v>
      </c>
      <c r="J273" s="34">
        <v>0</v>
      </c>
      <c r="K273" s="35">
        <f t="shared" si="29"/>
        <v>1461.4936477233357</v>
      </c>
    </row>
    <row r="274" spans="2:11" x14ac:dyDescent="0.3">
      <c r="B274" s="31">
        <v>44228</v>
      </c>
      <c r="C274" s="57">
        <f t="shared" si="24"/>
        <v>1461.4936477233357</v>
      </c>
      <c r="D274" s="36">
        <v>8.2000000000000007E-3</v>
      </c>
      <c r="E274" s="32">
        <f t="shared" si="25"/>
        <v>11.984</v>
      </c>
      <c r="F274" s="32">
        <f t="shared" si="26"/>
        <v>1473.4776477233356</v>
      </c>
      <c r="G274" s="32">
        <f t="shared" si="27"/>
        <v>3.6339937182506308</v>
      </c>
      <c r="H274" s="75">
        <f t="shared" si="28"/>
        <v>1477.1116414415862</v>
      </c>
      <c r="I274" s="33">
        <v>0</v>
      </c>
      <c r="J274" s="34">
        <v>0</v>
      </c>
      <c r="K274" s="35">
        <f t="shared" si="29"/>
        <v>1477.1116414415862</v>
      </c>
    </row>
    <row r="275" spans="2:11" x14ac:dyDescent="0.3">
      <c r="B275" s="31">
        <v>44256</v>
      </c>
      <c r="C275" s="57">
        <f t="shared" si="24"/>
        <v>1477.1116414415862</v>
      </c>
      <c r="D275" s="36">
        <v>8.6E-3</v>
      </c>
      <c r="E275" s="32">
        <f t="shared" si="25"/>
        <v>12.702999999999999</v>
      </c>
      <c r="F275" s="32">
        <f t="shared" si="26"/>
        <v>1489.8146414415862</v>
      </c>
      <c r="G275" s="32">
        <f t="shared" si="27"/>
        <v>3.6742851557481409</v>
      </c>
      <c r="H275" s="75">
        <f t="shared" si="28"/>
        <v>1493.4889265973343</v>
      </c>
      <c r="I275" s="33">
        <v>0</v>
      </c>
      <c r="J275" s="34">
        <v>0</v>
      </c>
      <c r="K275" s="35">
        <f t="shared" si="29"/>
        <v>1493.4889265973343</v>
      </c>
    </row>
    <row r="276" spans="2:11" x14ac:dyDescent="0.3">
      <c r="B276" s="31">
        <v>44287</v>
      </c>
      <c r="C276" s="57">
        <f t="shared" si="24"/>
        <v>1493.4889265973343</v>
      </c>
      <c r="D276" s="36">
        <v>3.8E-3</v>
      </c>
      <c r="E276" s="32">
        <f t="shared" si="25"/>
        <v>5.6749999999999998</v>
      </c>
      <c r="F276" s="32">
        <f t="shared" si="26"/>
        <v>1499.1639265973342</v>
      </c>
      <c r="G276" s="32">
        <f t="shared" si="27"/>
        <v>3.6973430172492074</v>
      </c>
      <c r="H276" s="75">
        <f t="shared" si="28"/>
        <v>1502.8612696145835</v>
      </c>
      <c r="I276" s="33">
        <v>0</v>
      </c>
      <c r="J276" s="34">
        <v>0</v>
      </c>
      <c r="K276" s="35">
        <f t="shared" si="29"/>
        <v>1502.8612696145835</v>
      </c>
    </row>
    <row r="277" spans="2:11" x14ac:dyDescent="0.3">
      <c r="B277" s="16"/>
    </row>
    <row r="278" spans="2:11" x14ac:dyDescent="0.3">
      <c r="B278" s="16"/>
    </row>
    <row r="279" spans="2:11" x14ac:dyDescent="0.3">
      <c r="B279" s="16"/>
    </row>
    <row r="280" spans="2:11" x14ac:dyDescent="0.3">
      <c r="B280" s="16"/>
    </row>
    <row r="281" spans="2:11" x14ac:dyDescent="0.3">
      <c r="B281" s="16"/>
    </row>
    <row r="282" spans="2:11" x14ac:dyDescent="0.3">
      <c r="B282" s="16"/>
    </row>
    <row r="283" spans="2:11" x14ac:dyDescent="0.3">
      <c r="B283" s="16"/>
    </row>
    <row r="284" spans="2:11" x14ac:dyDescent="0.3">
      <c r="B284" s="16"/>
    </row>
    <row r="285" spans="2:11" x14ac:dyDescent="0.3">
      <c r="B285" s="16"/>
    </row>
    <row r="286" spans="2:11" x14ac:dyDescent="0.3">
      <c r="B286" s="16"/>
    </row>
    <row r="287" spans="2:11" x14ac:dyDescent="0.3">
      <c r="B287" s="16"/>
    </row>
    <row r="288" spans="2:11" x14ac:dyDescent="0.3">
      <c r="B288" s="16"/>
    </row>
    <row r="289" spans="2:2" x14ac:dyDescent="0.3">
      <c r="B289" s="16"/>
    </row>
    <row r="290" spans="2:2" x14ac:dyDescent="0.3">
      <c r="B290" s="16"/>
    </row>
    <row r="291" spans="2:2" x14ac:dyDescent="0.3">
      <c r="B291" s="16"/>
    </row>
    <row r="292" spans="2:2" x14ac:dyDescent="0.3">
      <c r="B292" s="16"/>
    </row>
    <row r="293" spans="2:2" x14ac:dyDescent="0.3">
      <c r="B293" s="16"/>
    </row>
    <row r="294" spans="2:2" x14ac:dyDescent="0.3">
      <c r="B294" s="16"/>
    </row>
    <row r="295" spans="2:2" x14ac:dyDescent="0.3">
      <c r="B295" s="16"/>
    </row>
    <row r="296" spans="2:2" x14ac:dyDescent="0.3">
      <c r="B296" s="16"/>
    </row>
    <row r="297" spans="2:2" x14ac:dyDescent="0.3">
      <c r="B297" s="16"/>
    </row>
    <row r="298" spans="2:2" x14ac:dyDescent="0.3">
      <c r="B298" s="16"/>
    </row>
    <row r="299" spans="2:2" x14ac:dyDescent="0.3">
      <c r="B299" s="16"/>
    </row>
  </sheetData>
  <sheetProtection algorithmName="SHA-512" hashValue="5L3XbmgEkKZBWiu+Yd0qghX1P11uPv72W8z8DuH+pjVRtiwy6dhoJrYZKSbuVGD9CevUEzaXSe5m/cWeJccffQ==" saltValue="UPnKrzo15ktwiaTLCRdt6g==" spinCount="100000" sheet="1" objects="1" scenarios="1" selectLockedCells="1"/>
  <phoneticPr fontId="18" type="noConversion"/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  <tableParts count="1"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B1CB1-64E3-4916-A1A2-6CF4DF792F29}">
  <sheetPr codeName="Planilha4"/>
  <dimension ref="A2:O277"/>
  <sheetViews>
    <sheetView showGridLines="0" showRowColHeaders="0" workbookViewId="0">
      <pane ySplit="8" topLeftCell="A9" activePane="bottomLeft" state="frozen"/>
      <selection activeCell="B1" sqref="B1"/>
      <selection pane="bottomLeft" activeCell="B1" sqref="B1"/>
    </sheetView>
  </sheetViews>
  <sheetFormatPr defaultColWidth="9.109375" defaultRowHeight="14.4" x14ac:dyDescent="0.3"/>
  <cols>
    <col min="1" max="1" width="3.6640625" style="60" customWidth="1"/>
    <col min="2" max="2" width="9.6640625" style="13" customWidth="1"/>
    <col min="3" max="3" width="14.6640625" style="15" customWidth="1"/>
    <col min="4" max="4" width="9.6640625" style="13" customWidth="1"/>
    <col min="5" max="6" width="14.6640625" style="15" customWidth="1"/>
    <col min="7" max="7" width="14.6640625" style="13" customWidth="1"/>
    <col min="8" max="10" width="14.6640625" style="15" customWidth="1"/>
    <col min="11" max="11" width="22.6640625" style="15" customWidth="1"/>
    <col min="12" max="12" width="2" style="13" customWidth="1"/>
    <col min="13" max="13" width="22.88671875" style="13" customWidth="1"/>
    <col min="14" max="14" width="23" style="13" customWidth="1"/>
    <col min="15" max="16384" width="9.109375" style="13"/>
  </cols>
  <sheetData>
    <row r="2" spans="1:14" ht="51" customHeight="1" x14ac:dyDescent="0.3">
      <c r="B2" s="37"/>
      <c r="C2" s="25"/>
      <c r="D2" s="18"/>
      <c r="E2" s="27"/>
      <c r="F2" s="27"/>
      <c r="G2" s="19"/>
      <c r="H2" s="27"/>
      <c r="I2" s="27"/>
      <c r="J2" s="38"/>
      <c r="K2" s="27"/>
      <c r="L2" s="27"/>
      <c r="M2" s="27"/>
      <c r="N2" s="27"/>
    </row>
    <row r="3" spans="1:14" ht="3" customHeight="1" x14ac:dyDescent="0.3">
      <c r="B3" s="39"/>
      <c r="C3" s="26"/>
      <c r="D3" s="22"/>
      <c r="E3" s="28"/>
      <c r="F3" s="28"/>
      <c r="G3" s="23"/>
      <c r="H3" s="28"/>
      <c r="I3" s="28"/>
      <c r="J3" s="40"/>
      <c r="K3" s="28"/>
      <c r="L3" s="41"/>
      <c r="M3" s="41"/>
      <c r="N3" s="41"/>
    </row>
    <row r="4" spans="1:14" ht="22.5" customHeight="1" x14ac:dyDescent="0.3">
      <c r="B4" s="37"/>
      <c r="C4" s="25"/>
      <c r="D4" s="18"/>
      <c r="E4" s="27"/>
      <c r="F4" s="27"/>
      <c r="G4" s="19"/>
      <c r="H4" s="27"/>
      <c r="I4" s="27"/>
      <c r="J4" s="38"/>
      <c r="K4" s="27"/>
      <c r="L4" s="27"/>
      <c r="M4" s="27"/>
      <c r="N4" s="27"/>
    </row>
    <row r="5" spans="1:14" x14ac:dyDescent="0.3">
      <c r="B5" s="41"/>
      <c r="C5" s="42"/>
      <c r="D5" s="41"/>
      <c r="E5" s="42"/>
      <c r="F5" s="42"/>
      <c r="G5" s="41"/>
      <c r="H5" s="42"/>
      <c r="I5" s="42"/>
      <c r="J5" s="42"/>
      <c r="K5" s="42"/>
      <c r="L5" s="41"/>
      <c r="M5" s="41"/>
      <c r="N5" s="41"/>
    </row>
    <row r="6" spans="1:14" x14ac:dyDescent="0.3">
      <c r="B6" s="41"/>
      <c r="C6" s="42"/>
      <c r="D6" s="41"/>
      <c r="E6" s="42"/>
      <c r="F6" s="42"/>
      <c r="G6" s="41"/>
      <c r="H6" s="42"/>
      <c r="I6" s="42"/>
      <c r="J6" s="42"/>
      <c r="K6" s="42"/>
      <c r="L6" s="41"/>
      <c r="M6" s="83" t="s">
        <v>17</v>
      </c>
      <c r="N6" s="83"/>
    </row>
    <row r="7" spans="1:14" x14ac:dyDescent="0.3">
      <c r="B7" s="41"/>
      <c r="C7" s="42"/>
      <c r="D7" s="41"/>
      <c r="E7" s="42"/>
      <c r="F7" s="42"/>
      <c r="G7" s="41"/>
      <c r="H7" s="42"/>
      <c r="I7" s="42"/>
      <c r="J7" s="42"/>
      <c r="K7" s="42"/>
      <c r="L7" s="41"/>
      <c r="M7" s="83"/>
      <c r="N7" s="83"/>
    </row>
    <row r="8" spans="1:14" ht="29.25" customHeight="1" thickBot="1" x14ac:dyDescent="0.35">
      <c r="B8" s="43" t="s">
        <v>0</v>
      </c>
      <c r="C8" s="44" t="s">
        <v>5</v>
      </c>
      <c r="D8" s="45" t="s">
        <v>10</v>
      </c>
      <c r="E8" s="46" t="s">
        <v>1</v>
      </c>
      <c r="F8" s="44" t="s">
        <v>6</v>
      </c>
      <c r="G8" s="45" t="s">
        <v>7</v>
      </c>
      <c r="H8" s="46" t="s">
        <v>2</v>
      </c>
      <c r="I8" s="46" t="s">
        <v>3</v>
      </c>
      <c r="J8" s="46" t="s">
        <v>4</v>
      </c>
      <c r="K8" s="47" t="s">
        <v>15</v>
      </c>
      <c r="L8" s="42"/>
      <c r="M8" s="48" t="s">
        <v>15</v>
      </c>
      <c r="N8" s="49" t="s">
        <v>16</v>
      </c>
    </row>
    <row r="9" spans="1:14" ht="15" thickBot="1" x14ac:dyDescent="0.35">
      <c r="B9" s="31">
        <v>36130</v>
      </c>
      <c r="C9" s="32">
        <f>ÍNDICE_INPC!C8</f>
        <v>360</v>
      </c>
      <c r="D9" s="50">
        <v>3.3E-3</v>
      </c>
      <c r="E9" s="79" t="s">
        <v>19</v>
      </c>
      <c r="F9" s="79" t="s">
        <v>19</v>
      </c>
      <c r="G9" s="80" t="s">
        <v>19</v>
      </c>
      <c r="H9" s="79" t="s">
        <v>19</v>
      </c>
      <c r="I9" s="79" t="s">
        <v>19</v>
      </c>
      <c r="J9" s="79" t="s">
        <v>19</v>
      </c>
      <c r="K9" s="32">
        <f>C9</f>
        <v>360</v>
      </c>
      <c r="L9" s="41"/>
      <c r="M9" s="51">
        <f>K9</f>
        <v>360</v>
      </c>
      <c r="N9" s="52">
        <f>ÍNDICE_INPC!K8</f>
        <v>360</v>
      </c>
    </row>
    <row r="10" spans="1:14" ht="15" thickBot="1" x14ac:dyDescent="0.35">
      <c r="A10" s="60">
        <v>2.46627E-3</v>
      </c>
      <c r="B10" s="31">
        <v>36161</v>
      </c>
      <c r="C10" s="32">
        <f>K9</f>
        <v>360</v>
      </c>
      <c r="D10" s="50">
        <v>7.0000000000000001E-3</v>
      </c>
      <c r="E10" s="32">
        <f>ROUNDDOWN(D10*C10,2)</f>
        <v>2.52</v>
      </c>
      <c r="F10" s="32">
        <f>E10+C10</f>
        <v>362.52</v>
      </c>
      <c r="G10" s="32">
        <f>F10*$A$10</f>
        <v>0.89407220039999991</v>
      </c>
      <c r="H10" s="32">
        <f>G10+F10</f>
        <v>363.41407220039997</v>
      </c>
      <c r="I10" s="54">
        <f>ÍNDICE_INPC!I9</f>
        <v>0</v>
      </c>
      <c r="J10" s="55">
        <f>ÍNDICE_INPC!J9</f>
        <v>2.5</v>
      </c>
      <c r="K10" s="32">
        <f>H10-I10+J10</f>
        <v>365.91407220039997</v>
      </c>
      <c r="L10" s="41"/>
      <c r="M10" s="51">
        <f>K10</f>
        <v>365.91407220039997</v>
      </c>
      <c r="N10" s="52">
        <f>ÍNDICE_INPC!K9</f>
        <v>365.7336282718</v>
      </c>
    </row>
    <row r="11" spans="1:14" ht="15" thickBot="1" x14ac:dyDescent="0.35">
      <c r="B11" s="31">
        <v>36192</v>
      </c>
      <c r="C11" s="32">
        <f t="shared" ref="C11:C74" si="0">K10</f>
        <v>365.91407220039997</v>
      </c>
      <c r="D11" s="50">
        <v>1.0500000000000001E-2</v>
      </c>
      <c r="E11" s="32">
        <f t="shared" ref="E11:E74" si="1">ROUNDDOWN(D11*C11,2)</f>
        <v>3.84</v>
      </c>
      <c r="F11" s="32">
        <f t="shared" ref="F11:F74" si="2">E11+C11</f>
        <v>369.75407220039995</v>
      </c>
      <c r="G11" s="32">
        <f t="shared" ref="G11:G74" si="3">F11*$A$10</f>
        <v>0.91191337564568042</v>
      </c>
      <c r="H11" s="32">
        <f t="shared" ref="H11:H74" si="4">G11+F11</f>
        <v>370.66598557604561</v>
      </c>
      <c r="I11" s="54">
        <f>ÍNDICE_INPC!I10</f>
        <v>0</v>
      </c>
      <c r="J11" s="55">
        <f>ÍNDICE_INPC!J10</f>
        <v>0</v>
      </c>
      <c r="K11" s="32">
        <f t="shared" ref="K11:K74" si="5">H11-I11+J11</f>
        <v>370.66598557604561</v>
      </c>
      <c r="L11" s="41"/>
      <c r="M11" s="51">
        <f t="shared" ref="M11:M74" si="6">K11</f>
        <v>370.66598557604561</v>
      </c>
      <c r="N11" s="52">
        <f>ÍNDICE_INPC!K10</f>
        <v>371.36425954278786</v>
      </c>
    </row>
    <row r="12" spans="1:14" ht="15" thickBot="1" x14ac:dyDescent="0.35">
      <c r="B12" s="31">
        <v>36220</v>
      </c>
      <c r="C12" s="32">
        <f t="shared" si="0"/>
        <v>370.66598557604561</v>
      </c>
      <c r="D12" s="50">
        <v>1.0999999999999999E-2</v>
      </c>
      <c r="E12" s="32">
        <f t="shared" si="1"/>
        <v>4.07</v>
      </c>
      <c r="F12" s="32">
        <f t="shared" si="2"/>
        <v>374.73598557604561</v>
      </c>
      <c r="G12" s="32">
        <f t="shared" si="3"/>
        <v>0.92420011914663402</v>
      </c>
      <c r="H12" s="32">
        <f t="shared" si="4"/>
        <v>375.66018569519224</v>
      </c>
      <c r="I12" s="54">
        <f>ÍNDICE_INPC!I11</f>
        <v>0</v>
      </c>
      <c r="J12" s="55">
        <f>ÍNDICE_INPC!J11</f>
        <v>0</v>
      </c>
      <c r="K12" s="32">
        <f t="shared" si="5"/>
        <v>375.66018569519224</v>
      </c>
      <c r="L12" s="41"/>
      <c r="M12" s="51">
        <f t="shared" si="6"/>
        <v>375.66018569519224</v>
      </c>
      <c r="N12" s="52">
        <f>ÍNDICE_INPC!K11</f>
        <v>377.04486625648042</v>
      </c>
    </row>
    <row r="13" spans="1:14" ht="15" customHeight="1" thickBot="1" x14ac:dyDescent="0.35">
      <c r="B13" s="31">
        <v>36251</v>
      </c>
      <c r="C13" s="32">
        <f t="shared" si="0"/>
        <v>375.66018569519224</v>
      </c>
      <c r="D13" s="50">
        <v>5.5999999999999999E-3</v>
      </c>
      <c r="E13" s="32">
        <f t="shared" si="1"/>
        <v>2.1</v>
      </c>
      <c r="F13" s="32">
        <f t="shared" si="2"/>
        <v>377.76018569519226</v>
      </c>
      <c r="G13" s="32">
        <f t="shared" si="3"/>
        <v>0.93165861317448184</v>
      </c>
      <c r="H13" s="32">
        <f t="shared" si="4"/>
        <v>378.69184430836674</v>
      </c>
      <c r="I13" s="54">
        <f>ÍNDICE_INPC!I12</f>
        <v>0</v>
      </c>
      <c r="J13" s="55">
        <f>ÍNDICE_INPC!J12</f>
        <v>0</v>
      </c>
      <c r="K13" s="32">
        <f t="shared" si="5"/>
        <v>378.69184430836674</v>
      </c>
      <c r="L13" s="41"/>
      <c r="M13" s="51">
        <f t="shared" si="6"/>
        <v>378.69184430836674</v>
      </c>
      <c r="N13" s="52">
        <f>ÍNDICE_INPC!K12</f>
        <v>379.75113092922277</v>
      </c>
    </row>
    <row r="14" spans="1:14" ht="15" customHeight="1" thickBot="1" x14ac:dyDescent="0.35">
      <c r="B14" s="31">
        <v>36281</v>
      </c>
      <c r="C14" s="32">
        <f t="shared" si="0"/>
        <v>378.69184430836674</v>
      </c>
      <c r="D14" s="50">
        <v>3.0000000000000001E-3</v>
      </c>
      <c r="E14" s="32">
        <f t="shared" si="1"/>
        <v>1.1299999999999999</v>
      </c>
      <c r="F14" s="32">
        <f t="shared" si="2"/>
        <v>379.82184430836674</v>
      </c>
      <c r="G14" s="32">
        <f t="shared" si="3"/>
        <v>0.93674321996239562</v>
      </c>
      <c r="H14" s="32">
        <f t="shared" si="4"/>
        <v>380.75858752832914</v>
      </c>
      <c r="I14" s="54">
        <f>ÍNDICE_INPC!I13</f>
        <v>0</v>
      </c>
      <c r="J14" s="55">
        <f>ÍNDICE_INPC!J13</f>
        <v>0</v>
      </c>
      <c r="K14" s="32">
        <f t="shared" si="5"/>
        <v>380.75858752832914</v>
      </c>
      <c r="L14" s="41"/>
      <c r="M14" s="51">
        <f t="shared" si="6"/>
        <v>380.75858752832914</v>
      </c>
      <c r="N14" s="52">
        <f>ÍNDICE_INPC!K13</f>
        <v>380.87716587592962</v>
      </c>
    </row>
    <row r="15" spans="1:14" ht="15" thickBot="1" x14ac:dyDescent="0.35">
      <c r="B15" s="31">
        <v>36312</v>
      </c>
      <c r="C15" s="32">
        <f t="shared" si="0"/>
        <v>380.75858752832914</v>
      </c>
      <c r="D15" s="50">
        <v>1.9E-3</v>
      </c>
      <c r="E15" s="32">
        <f t="shared" si="1"/>
        <v>0.72</v>
      </c>
      <c r="F15" s="32">
        <f t="shared" si="2"/>
        <v>381.47858752832917</v>
      </c>
      <c r="G15" s="32">
        <f t="shared" si="3"/>
        <v>0.94082919606349236</v>
      </c>
      <c r="H15" s="32">
        <f t="shared" si="4"/>
        <v>382.41941672439265</v>
      </c>
      <c r="I15" s="54">
        <f>ÍNDICE_INPC!I14</f>
        <v>0</v>
      </c>
      <c r="J15" s="55">
        <f>ÍNDICE_INPC!J14</f>
        <v>0</v>
      </c>
      <c r="K15" s="32">
        <f t="shared" si="5"/>
        <v>382.41941672439265</v>
      </c>
      <c r="L15" s="41"/>
      <c r="M15" s="51">
        <f t="shared" si="6"/>
        <v>382.41941672439265</v>
      </c>
      <c r="N15" s="52">
        <f>ÍNDICE_INPC!K14</f>
        <v>382.08316783163446</v>
      </c>
    </row>
    <row r="16" spans="1:14" ht="15" thickBot="1" x14ac:dyDescent="0.35">
      <c r="B16" s="31">
        <v>36342</v>
      </c>
      <c r="C16" s="32">
        <f t="shared" si="0"/>
        <v>382.41941672439265</v>
      </c>
      <c r="D16" s="50">
        <v>1.09E-2</v>
      </c>
      <c r="E16" s="32">
        <f t="shared" si="1"/>
        <v>4.16</v>
      </c>
      <c r="F16" s="32">
        <f t="shared" si="2"/>
        <v>386.57941672439267</v>
      </c>
      <c r="G16" s="32">
        <f t="shared" si="3"/>
        <v>0.95340921808486789</v>
      </c>
      <c r="H16" s="32">
        <f t="shared" si="4"/>
        <v>387.53282594247753</v>
      </c>
      <c r="I16" s="54">
        <f>ÍNDICE_INPC!I15</f>
        <v>0</v>
      </c>
      <c r="J16" s="55">
        <f>ÍNDICE_INPC!J15</f>
        <v>3.8</v>
      </c>
      <c r="K16" s="32">
        <f t="shared" si="5"/>
        <v>391.33282594247754</v>
      </c>
      <c r="L16" s="41"/>
      <c r="M16" s="51">
        <f t="shared" si="6"/>
        <v>391.33282594247754</v>
      </c>
      <c r="N16" s="52">
        <f>ÍNDICE_INPC!K15</f>
        <v>389.65946023125258</v>
      </c>
    </row>
    <row r="17" spans="2:15" ht="15" thickBot="1" x14ac:dyDescent="0.35">
      <c r="B17" s="31">
        <v>36373</v>
      </c>
      <c r="C17" s="32">
        <f t="shared" si="0"/>
        <v>391.33282594247754</v>
      </c>
      <c r="D17" s="50">
        <v>5.5999999999999999E-3</v>
      </c>
      <c r="E17" s="32">
        <f t="shared" si="1"/>
        <v>2.19</v>
      </c>
      <c r="F17" s="32">
        <f t="shared" si="2"/>
        <v>393.52282594247754</v>
      </c>
      <c r="G17" s="32">
        <f t="shared" si="3"/>
        <v>0.97053353993715408</v>
      </c>
      <c r="H17" s="32">
        <f t="shared" si="4"/>
        <v>394.49335948241469</v>
      </c>
      <c r="I17" s="54">
        <f>ÍNDICE_INPC!I16</f>
        <v>0</v>
      </c>
      <c r="J17" s="55">
        <f>ÍNDICE_INPC!J16</f>
        <v>0</v>
      </c>
      <c r="K17" s="32">
        <f t="shared" si="5"/>
        <v>394.49335948241469</v>
      </c>
      <c r="L17" s="41"/>
      <c r="M17" s="51">
        <f t="shared" si="6"/>
        <v>394.49335948241469</v>
      </c>
      <c r="N17" s="52">
        <f>ÍNDICE_INPC!K16</f>
        <v>392.76875088484707</v>
      </c>
    </row>
    <row r="18" spans="2:15" ht="15" thickBot="1" x14ac:dyDescent="0.35">
      <c r="B18" s="31">
        <v>36404</v>
      </c>
      <c r="C18" s="32">
        <f t="shared" si="0"/>
        <v>394.49335948241469</v>
      </c>
      <c r="D18" s="50">
        <v>3.0999999999999999E-3</v>
      </c>
      <c r="E18" s="32">
        <f t="shared" si="1"/>
        <v>1.22</v>
      </c>
      <c r="F18" s="32">
        <f t="shared" si="2"/>
        <v>395.71335948241472</v>
      </c>
      <c r="G18" s="32">
        <f t="shared" si="3"/>
        <v>0.97593598709069496</v>
      </c>
      <c r="H18" s="32">
        <f t="shared" si="4"/>
        <v>396.6892954695054</v>
      </c>
      <c r="I18" s="54">
        <f>ÍNDICE_INPC!I17</f>
        <v>0</v>
      </c>
      <c r="J18" s="55">
        <f>ÍNDICE_INPC!J17</f>
        <v>0</v>
      </c>
      <c r="K18" s="32">
        <f t="shared" si="5"/>
        <v>396.6892954695054</v>
      </c>
      <c r="L18" s="41"/>
      <c r="M18" s="51">
        <f t="shared" si="6"/>
        <v>396.6892954695054</v>
      </c>
      <c r="N18" s="52">
        <f>ÍNDICE_INPC!K17</f>
        <v>395.27220053146186</v>
      </c>
    </row>
    <row r="19" spans="2:15" ht="15" thickBot="1" x14ac:dyDescent="0.35">
      <c r="B19" s="31">
        <v>36434</v>
      </c>
      <c r="C19" s="32">
        <f t="shared" si="0"/>
        <v>396.6892954695054</v>
      </c>
      <c r="D19" s="50">
        <v>1.1900000000000001E-2</v>
      </c>
      <c r="E19" s="32">
        <f t="shared" si="1"/>
        <v>4.72</v>
      </c>
      <c r="F19" s="32">
        <f t="shared" si="2"/>
        <v>401.40929546950542</v>
      </c>
      <c r="G19" s="32">
        <f t="shared" si="3"/>
        <v>0.98998370313757711</v>
      </c>
      <c r="H19" s="32">
        <f t="shared" si="4"/>
        <v>402.39927917264299</v>
      </c>
      <c r="I19" s="54">
        <f>ÍNDICE_INPC!I18</f>
        <v>0</v>
      </c>
      <c r="J19" s="55">
        <f>ÍNDICE_INPC!J18</f>
        <v>0</v>
      </c>
      <c r="K19" s="32">
        <f t="shared" si="5"/>
        <v>402.39927917264299</v>
      </c>
      <c r="L19" s="41"/>
      <c r="M19" s="51">
        <f t="shared" si="6"/>
        <v>402.39927917264299</v>
      </c>
      <c r="N19" s="52">
        <f>ÍNDICE_INPC!K18</f>
        <v>400.05040552984656</v>
      </c>
    </row>
    <row r="20" spans="2:15" ht="15" customHeight="1" thickBot="1" x14ac:dyDescent="0.35">
      <c r="B20" s="31">
        <v>36465</v>
      </c>
      <c r="C20" s="32">
        <f t="shared" si="0"/>
        <v>402.39927917264299</v>
      </c>
      <c r="D20" s="50">
        <v>9.4999999999999998E-3</v>
      </c>
      <c r="E20" s="32">
        <f t="shared" si="1"/>
        <v>3.82</v>
      </c>
      <c r="F20" s="32">
        <f t="shared" si="2"/>
        <v>406.21927917264298</v>
      </c>
      <c r="G20" s="32">
        <f t="shared" si="3"/>
        <v>1.0018464216451142</v>
      </c>
      <c r="H20" s="32">
        <f t="shared" si="4"/>
        <v>407.22112559428808</v>
      </c>
      <c r="I20" s="54">
        <f>ÍNDICE_INPC!I19</f>
        <v>0</v>
      </c>
      <c r="J20" s="55">
        <f>ÍNDICE_INPC!J19</f>
        <v>0</v>
      </c>
      <c r="K20" s="32">
        <f t="shared" si="5"/>
        <v>407.22112559428808</v>
      </c>
      <c r="L20" s="41"/>
      <c r="M20" s="51">
        <f t="shared" si="6"/>
        <v>407.22112559428808</v>
      </c>
      <c r="N20" s="52">
        <f>ÍNDICE_INPC!K19</f>
        <v>404.80631101869267</v>
      </c>
    </row>
    <row r="21" spans="2:15" ht="15" customHeight="1" thickBot="1" x14ac:dyDescent="0.35">
      <c r="B21" s="31">
        <v>36495</v>
      </c>
      <c r="C21" s="32">
        <f t="shared" si="0"/>
        <v>407.22112559428808</v>
      </c>
      <c r="D21" s="50">
        <v>6.0000000000000001E-3</v>
      </c>
      <c r="E21" s="32">
        <f t="shared" si="1"/>
        <v>2.44</v>
      </c>
      <c r="F21" s="32">
        <f t="shared" si="2"/>
        <v>409.66112559428808</v>
      </c>
      <c r="G21" s="32">
        <f t="shared" si="3"/>
        <v>1.0103349442194249</v>
      </c>
      <c r="H21" s="32">
        <f t="shared" si="4"/>
        <v>410.67146053850752</v>
      </c>
      <c r="I21" s="54">
        <f>ÍNDICE_INPC!I20</f>
        <v>0</v>
      </c>
      <c r="J21" s="55">
        <f>ÍNDICE_INPC!J20</f>
        <v>0</v>
      </c>
      <c r="K21" s="32">
        <f t="shared" si="5"/>
        <v>410.67146053850752</v>
      </c>
      <c r="L21" s="41"/>
      <c r="M21" s="51">
        <f t="shared" si="6"/>
        <v>410.67146053850752</v>
      </c>
      <c r="N21" s="52">
        <f>ÍNDICE_INPC!K20</f>
        <v>408.80705915801872</v>
      </c>
      <c r="O21" s="59"/>
    </row>
    <row r="22" spans="2:15" ht="15" thickBot="1" x14ac:dyDescent="0.35">
      <c r="B22" s="31">
        <v>36526</v>
      </c>
      <c r="C22" s="32">
        <f t="shared" si="0"/>
        <v>410.67146053850752</v>
      </c>
      <c r="D22" s="50">
        <v>6.1999999999999998E-3</v>
      </c>
      <c r="E22" s="32">
        <f t="shared" si="1"/>
        <v>2.54</v>
      </c>
      <c r="F22" s="32">
        <f t="shared" si="2"/>
        <v>413.21146053850754</v>
      </c>
      <c r="G22" s="32">
        <f t="shared" si="3"/>
        <v>1.019091028782305</v>
      </c>
      <c r="H22" s="32">
        <f t="shared" si="4"/>
        <v>414.23055156728987</v>
      </c>
      <c r="I22" s="54">
        <f>ÍNDICE_INPC!I21</f>
        <v>0</v>
      </c>
      <c r="J22" s="55">
        <f>ÍNDICE_INPC!J21</f>
        <v>0</v>
      </c>
      <c r="K22" s="32">
        <f t="shared" si="5"/>
        <v>414.23055156728987</v>
      </c>
      <c r="L22" s="41"/>
      <c r="M22" s="51">
        <f t="shared" si="6"/>
        <v>414.23055156728987</v>
      </c>
      <c r="N22" s="52">
        <f>ÍNDICE_INPC!K21</f>
        <v>412.31443615491838</v>
      </c>
    </row>
    <row r="23" spans="2:15" ht="15" thickBot="1" x14ac:dyDescent="0.35">
      <c r="B23" s="31">
        <v>36557</v>
      </c>
      <c r="C23" s="32">
        <f t="shared" si="0"/>
        <v>414.23055156728987</v>
      </c>
      <c r="D23" s="50">
        <v>1.2999999999999999E-3</v>
      </c>
      <c r="E23" s="32">
        <f t="shared" si="1"/>
        <v>0.53</v>
      </c>
      <c r="F23" s="32">
        <f t="shared" si="2"/>
        <v>414.76055156728984</v>
      </c>
      <c r="G23" s="32">
        <f t="shared" si="3"/>
        <v>1.02291150551386</v>
      </c>
      <c r="H23" s="32">
        <f t="shared" si="4"/>
        <v>415.78346307280367</v>
      </c>
      <c r="I23" s="54">
        <f>ÍNDICE_INPC!I22</f>
        <v>0</v>
      </c>
      <c r="J23" s="55">
        <f>ÍNDICE_INPC!J22</f>
        <v>3.2</v>
      </c>
      <c r="K23" s="32">
        <f t="shared" si="5"/>
        <v>418.98346307280366</v>
      </c>
      <c r="L23" s="41"/>
      <c r="M23" s="51">
        <f t="shared" si="6"/>
        <v>418.98346307280366</v>
      </c>
      <c r="N23" s="52">
        <f>ÍNDICE_INPC!K22</f>
        <v>416.73782293099418</v>
      </c>
    </row>
    <row r="24" spans="2:15" ht="15" thickBot="1" x14ac:dyDescent="0.35">
      <c r="B24" s="31">
        <v>36586</v>
      </c>
      <c r="C24" s="32">
        <f t="shared" si="0"/>
        <v>418.98346307280366</v>
      </c>
      <c r="D24" s="50">
        <v>2.2000000000000001E-3</v>
      </c>
      <c r="E24" s="32">
        <f t="shared" si="1"/>
        <v>0.92</v>
      </c>
      <c r="F24" s="32">
        <f t="shared" si="2"/>
        <v>419.90346307280367</v>
      </c>
      <c r="G24" s="32">
        <f t="shared" si="3"/>
        <v>1.0355953138725635</v>
      </c>
      <c r="H24" s="32">
        <f t="shared" si="4"/>
        <v>420.93905838667627</v>
      </c>
      <c r="I24" s="54">
        <f>ÍNDICE_INPC!I23</f>
        <v>0</v>
      </c>
      <c r="J24" s="55">
        <f>ÍNDICE_INPC!J23</f>
        <v>0</v>
      </c>
      <c r="K24" s="32">
        <f t="shared" si="5"/>
        <v>420.93905838667627</v>
      </c>
      <c r="L24" s="41"/>
      <c r="M24" s="51">
        <f t="shared" si="6"/>
        <v>420.93905838667627</v>
      </c>
      <c r="N24" s="52">
        <f>ÍNDICE_INPC!K23</f>
        <v>418.3079451736242</v>
      </c>
    </row>
    <row r="25" spans="2:15" ht="15" thickBot="1" x14ac:dyDescent="0.35">
      <c r="B25" s="31">
        <v>36617</v>
      </c>
      <c r="C25" s="32">
        <f t="shared" si="0"/>
        <v>420.93905838667627</v>
      </c>
      <c r="D25" s="50">
        <v>4.1999999999999997E-3</v>
      </c>
      <c r="E25" s="32">
        <f t="shared" si="1"/>
        <v>1.76</v>
      </c>
      <c r="F25" s="32">
        <f t="shared" si="2"/>
        <v>422.69905838667626</v>
      </c>
      <c r="G25" s="32">
        <f t="shared" si="3"/>
        <v>1.042490006727308</v>
      </c>
      <c r="H25" s="32">
        <f t="shared" si="4"/>
        <v>423.74154839340355</v>
      </c>
      <c r="I25" s="54">
        <f>ÍNDICE_INPC!I24</f>
        <v>0</v>
      </c>
      <c r="J25" s="55">
        <f>ÍNDICE_INPC!J24</f>
        <v>0</v>
      </c>
      <c r="K25" s="32">
        <f t="shared" si="5"/>
        <v>423.74154839340355</v>
      </c>
      <c r="L25" s="41"/>
      <c r="M25" s="51">
        <f t="shared" si="6"/>
        <v>423.74154839340355</v>
      </c>
      <c r="N25" s="52">
        <f>ÍNDICE_INPC!K24</f>
        <v>419.71653282708752</v>
      </c>
    </row>
    <row r="26" spans="2:15" ht="15" thickBot="1" x14ac:dyDescent="0.35">
      <c r="B26" s="31">
        <v>36647</v>
      </c>
      <c r="C26" s="32">
        <f t="shared" si="0"/>
        <v>423.74154839340355</v>
      </c>
      <c r="D26" s="50">
        <v>1E-4</v>
      </c>
      <c r="E26" s="32">
        <f t="shared" si="1"/>
        <v>0.04</v>
      </c>
      <c r="F26" s="32">
        <f t="shared" si="2"/>
        <v>423.78154839340357</v>
      </c>
      <c r="G26" s="32">
        <f t="shared" si="3"/>
        <v>1.0451597193561994</v>
      </c>
      <c r="H26" s="32">
        <f t="shared" si="4"/>
        <v>424.82670811275977</v>
      </c>
      <c r="I26" s="54">
        <f>ÍNDICE_INPC!I25</f>
        <v>0</v>
      </c>
      <c r="J26" s="55">
        <f>ÍNDICE_INPC!J25</f>
        <v>0</v>
      </c>
      <c r="K26" s="32">
        <f t="shared" si="5"/>
        <v>424.82670811275977</v>
      </c>
      <c r="L26" s="41"/>
      <c r="M26" s="51">
        <f t="shared" si="6"/>
        <v>424.82670811275977</v>
      </c>
      <c r="N26" s="52">
        <f>ÍNDICE_INPC!K25</f>
        <v>420.542151670073</v>
      </c>
    </row>
    <row r="27" spans="2:15" ht="15" customHeight="1" thickBot="1" x14ac:dyDescent="0.35">
      <c r="B27" s="31">
        <v>36678</v>
      </c>
      <c r="C27" s="32">
        <f t="shared" si="0"/>
        <v>424.82670811275977</v>
      </c>
      <c r="D27" s="50">
        <v>2.3E-3</v>
      </c>
      <c r="E27" s="32">
        <f t="shared" si="1"/>
        <v>0.97</v>
      </c>
      <c r="F27" s="32">
        <f t="shared" si="2"/>
        <v>425.7967081127598</v>
      </c>
      <c r="G27" s="32">
        <f t="shared" si="3"/>
        <v>1.0501296473172561</v>
      </c>
      <c r="H27" s="32">
        <f t="shared" si="4"/>
        <v>426.84683776007705</v>
      </c>
      <c r="I27" s="54">
        <f>ÍNDICE_INPC!I26</f>
        <v>0</v>
      </c>
      <c r="J27" s="55">
        <f>ÍNDICE_INPC!J26</f>
        <v>0</v>
      </c>
      <c r="K27" s="32">
        <f t="shared" si="5"/>
        <v>426.84683776007705</v>
      </c>
      <c r="L27" s="41"/>
      <c r="M27" s="51">
        <f t="shared" si="6"/>
        <v>426.84683776007705</v>
      </c>
      <c r="N27" s="52">
        <f>ÍNDICE_INPC!K26</f>
        <v>422.84343212894237</v>
      </c>
    </row>
    <row r="28" spans="2:15" ht="15" customHeight="1" thickBot="1" x14ac:dyDescent="0.35">
      <c r="B28" s="31">
        <v>36708</v>
      </c>
      <c r="C28" s="32">
        <f t="shared" si="0"/>
        <v>426.84683776007705</v>
      </c>
      <c r="D28" s="50">
        <v>1.61E-2</v>
      </c>
      <c r="E28" s="32">
        <f t="shared" si="1"/>
        <v>6.87</v>
      </c>
      <c r="F28" s="32">
        <f t="shared" si="2"/>
        <v>433.71683776007706</v>
      </c>
      <c r="G28" s="32">
        <f t="shared" si="3"/>
        <v>1.0696628254625453</v>
      </c>
      <c r="H28" s="32">
        <f t="shared" si="4"/>
        <v>434.78650058553961</v>
      </c>
      <c r="I28" s="54">
        <f>ÍNDICE_INPC!I27</f>
        <v>0</v>
      </c>
      <c r="J28" s="55">
        <f>ÍNDICE_INPC!J27</f>
        <v>0</v>
      </c>
      <c r="K28" s="32">
        <f t="shared" si="5"/>
        <v>434.78650058553961</v>
      </c>
      <c r="L28" s="41"/>
      <c r="M28" s="51">
        <f t="shared" si="6"/>
        <v>434.78650058553961</v>
      </c>
      <c r="N28" s="52">
        <f>ÍNDICE_INPC!K27</f>
        <v>429.77777246908903</v>
      </c>
    </row>
    <row r="29" spans="2:15" ht="15" thickBot="1" x14ac:dyDescent="0.35">
      <c r="B29" s="31">
        <v>36739</v>
      </c>
      <c r="C29" s="32">
        <f t="shared" si="0"/>
        <v>434.78650058553961</v>
      </c>
      <c r="D29" s="50">
        <v>1.3100000000000001E-2</v>
      </c>
      <c r="E29" s="32">
        <f t="shared" si="1"/>
        <v>5.69</v>
      </c>
      <c r="F29" s="32">
        <f t="shared" si="2"/>
        <v>440.47650058553961</v>
      </c>
      <c r="G29" s="32">
        <f t="shared" si="3"/>
        <v>1.0863339790990987</v>
      </c>
      <c r="H29" s="32">
        <f t="shared" si="4"/>
        <v>441.56283456463871</v>
      </c>
      <c r="I29" s="54">
        <f>ÍNDICE_INPC!I28</f>
        <v>0</v>
      </c>
      <c r="J29" s="55">
        <f>ÍNDICE_INPC!J28</f>
        <v>0</v>
      </c>
      <c r="K29" s="32">
        <f t="shared" si="5"/>
        <v>441.56283456463871</v>
      </c>
      <c r="L29" s="41"/>
      <c r="M29" s="51">
        <f t="shared" si="6"/>
        <v>441.56283456463871</v>
      </c>
      <c r="N29" s="52">
        <f>ÍNDICE_INPC!K28</f>
        <v>436.05054509999638</v>
      </c>
    </row>
    <row r="30" spans="2:15" ht="15" thickBot="1" x14ac:dyDescent="0.35">
      <c r="B30" s="31">
        <v>36770</v>
      </c>
      <c r="C30" s="32">
        <f t="shared" si="0"/>
        <v>441.56283456463871</v>
      </c>
      <c r="D30" s="50">
        <v>2.3E-3</v>
      </c>
      <c r="E30" s="32">
        <f t="shared" si="1"/>
        <v>1.01</v>
      </c>
      <c r="F30" s="32">
        <f t="shared" si="2"/>
        <v>442.5728345646387</v>
      </c>
      <c r="G30" s="32">
        <f t="shared" si="3"/>
        <v>1.0915041047017315</v>
      </c>
      <c r="H30" s="32">
        <f t="shared" si="4"/>
        <v>443.66433866934045</v>
      </c>
      <c r="I30" s="54">
        <f>ÍNDICE_INPC!I29</f>
        <v>0</v>
      </c>
      <c r="J30" s="55">
        <f>ÍNDICE_INPC!J29</f>
        <v>0</v>
      </c>
      <c r="K30" s="32">
        <f t="shared" si="5"/>
        <v>443.66433866934045</v>
      </c>
      <c r="L30" s="41"/>
      <c r="M30" s="51">
        <f t="shared" si="6"/>
        <v>443.66433866934045</v>
      </c>
      <c r="N30" s="52">
        <f>ÍNDICE_INPC!K29</f>
        <v>439.00558773411018</v>
      </c>
    </row>
    <row r="31" spans="2:15" ht="15" thickBot="1" x14ac:dyDescent="0.35">
      <c r="B31" s="31">
        <v>36800</v>
      </c>
      <c r="C31" s="32">
        <f t="shared" si="0"/>
        <v>443.66433866934045</v>
      </c>
      <c r="D31" s="50">
        <v>1.4E-3</v>
      </c>
      <c r="E31" s="32">
        <f t="shared" si="1"/>
        <v>0.62</v>
      </c>
      <c r="F31" s="32">
        <f t="shared" si="2"/>
        <v>444.28433866934046</v>
      </c>
      <c r="G31" s="32">
        <f t="shared" si="3"/>
        <v>1.0957251359300344</v>
      </c>
      <c r="H31" s="32">
        <f t="shared" si="4"/>
        <v>445.38006380527048</v>
      </c>
      <c r="I31" s="54">
        <f>ÍNDICE_INPC!I30</f>
        <v>0</v>
      </c>
      <c r="J31" s="55">
        <f>ÍNDICE_INPC!J30</f>
        <v>0</v>
      </c>
      <c r="K31" s="32">
        <f t="shared" si="5"/>
        <v>445.38006380527048</v>
      </c>
      <c r="L31" s="41"/>
      <c r="M31" s="51">
        <f t="shared" si="6"/>
        <v>445.38006380527048</v>
      </c>
      <c r="N31" s="52">
        <f>ÍNDICE_INPC!K30</f>
        <v>440.79202536651115</v>
      </c>
    </row>
    <row r="32" spans="2:15" ht="15" thickBot="1" x14ac:dyDescent="0.35">
      <c r="B32" s="31">
        <v>36831</v>
      </c>
      <c r="C32" s="32">
        <f t="shared" si="0"/>
        <v>445.38006380527048</v>
      </c>
      <c r="D32" s="50">
        <v>3.2000000000000002E-3</v>
      </c>
      <c r="E32" s="32">
        <f t="shared" si="1"/>
        <v>1.42</v>
      </c>
      <c r="F32" s="32">
        <f t="shared" si="2"/>
        <v>446.8000638052705</v>
      </c>
      <c r="G32" s="32">
        <f t="shared" si="3"/>
        <v>1.1019295933610245</v>
      </c>
      <c r="H32" s="32">
        <f t="shared" si="4"/>
        <v>447.90199339863153</v>
      </c>
      <c r="I32" s="54">
        <f>ÍNDICE_INPC!I31</f>
        <v>0</v>
      </c>
      <c r="J32" s="55">
        <f>ÍNDICE_INPC!J31</f>
        <v>0</v>
      </c>
      <c r="K32" s="32">
        <f t="shared" si="5"/>
        <v>447.90199339863153</v>
      </c>
      <c r="L32" s="41"/>
      <c r="M32" s="51">
        <f t="shared" si="6"/>
        <v>447.90199339863153</v>
      </c>
      <c r="N32" s="52">
        <f>ÍNDICE_INPC!K31</f>
        <v>443.16028940797185</v>
      </c>
    </row>
    <row r="33" spans="2:14" ht="15" thickBot="1" x14ac:dyDescent="0.35">
      <c r="B33" s="31">
        <v>36861</v>
      </c>
      <c r="C33" s="32">
        <f t="shared" si="0"/>
        <v>447.90199339863153</v>
      </c>
      <c r="D33" s="50">
        <v>5.8999999999999999E-3</v>
      </c>
      <c r="E33" s="32">
        <f t="shared" si="1"/>
        <v>2.64</v>
      </c>
      <c r="F33" s="32">
        <f t="shared" si="2"/>
        <v>450.54199339863152</v>
      </c>
      <c r="G33" s="32">
        <f t="shared" si="3"/>
        <v>1.111158202059243</v>
      </c>
      <c r="H33" s="32">
        <f t="shared" si="4"/>
        <v>451.65315160069076</v>
      </c>
      <c r="I33" s="54">
        <f>ÍNDICE_INPC!I32</f>
        <v>0</v>
      </c>
      <c r="J33" s="55">
        <f>ÍNDICE_INPC!J32</f>
        <v>0</v>
      </c>
      <c r="K33" s="32">
        <f t="shared" si="5"/>
        <v>451.65315160069076</v>
      </c>
      <c r="L33" s="41"/>
      <c r="M33" s="51">
        <f t="shared" si="6"/>
        <v>451.65315160069076</v>
      </c>
      <c r="N33" s="52">
        <f>ÍNDICE_INPC!K32</f>
        <v>446.69625263492003</v>
      </c>
    </row>
    <row r="34" spans="2:14" ht="15" customHeight="1" thickBot="1" x14ac:dyDescent="0.35">
      <c r="B34" s="31">
        <v>36892</v>
      </c>
      <c r="C34" s="32">
        <f t="shared" si="0"/>
        <v>451.65315160069076</v>
      </c>
      <c r="D34" s="50">
        <v>5.7000000000000002E-3</v>
      </c>
      <c r="E34" s="32">
        <f t="shared" si="1"/>
        <v>2.57</v>
      </c>
      <c r="F34" s="32">
        <f t="shared" si="2"/>
        <v>454.22315160069076</v>
      </c>
      <c r="G34" s="32">
        <f t="shared" si="3"/>
        <v>1.1202369320982355</v>
      </c>
      <c r="H34" s="32">
        <f t="shared" si="4"/>
        <v>455.34338853278899</v>
      </c>
      <c r="I34" s="54">
        <f>ÍNDICE_INPC!I33</f>
        <v>0</v>
      </c>
      <c r="J34" s="55">
        <f>ÍNDICE_INPC!J33</f>
        <v>0</v>
      </c>
      <c r="K34" s="32">
        <f t="shared" si="5"/>
        <v>455.34338853278899</v>
      </c>
      <c r="L34" s="41"/>
      <c r="M34" s="51">
        <f t="shared" si="6"/>
        <v>455.34338853278899</v>
      </c>
      <c r="N34" s="52">
        <f>ÍNDICE_INPC!K33</f>
        <v>451.24540770443599</v>
      </c>
    </row>
    <row r="35" spans="2:14" ht="15" customHeight="1" thickBot="1" x14ac:dyDescent="0.35">
      <c r="B35" s="31">
        <v>36923</v>
      </c>
      <c r="C35" s="32">
        <f t="shared" si="0"/>
        <v>455.34338853278899</v>
      </c>
      <c r="D35" s="50">
        <v>4.5999999999999999E-3</v>
      </c>
      <c r="E35" s="32">
        <f t="shared" si="1"/>
        <v>2.09</v>
      </c>
      <c r="F35" s="32">
        <f t="shared" si="2"/>
        <v>457.43338853278897</v>
      </c>
      <c r="G35" s="32">
        <f t="shared" si="3"/>
        <v>1.1281542431367615</v>
      </c>
      <c r="H35" s="32">
        <f t="shared" si="4"/>
        <v>458.56154277592572</v>
      </c>
      <c r="I35" s="54">
        <f>ÍNDICE_INPC!I34</f>
        <v>0</v>
      </c>
      <c r="J35" s="55">
        <f>ÍNDICE_INPC!J34</f>
        <v>0</v>
      </c>
      <c r="K35" s="32">
        <f t="shared" si="5"/>
        <v>458.56154277592572</v>
      </c>
      <c r="L35" s="41"/>
      <c r="M35" s="51">
        <f t="shared" si="6"/>
        <v>458.56154277592572</v>
      </c>
      <c r="N35" s="52">
        <f>ÍNDICE_INPC!K34</f>
        <v>454.57475363906525</v>
      </c>
    </row>
    <row r="36" spans="2:14" ht="15" thickBot="1" x14ac:dyDescent="0.35">
      <c r="B36" s="31">
        <v>36951</v>
      </c>
      <c r="C36" s="32">
        <f t="shared" si="0"/>
        <v>458.56154277592572</v>
      </c>
      <c r="D36" s="50">
        <v>3.8E-3</v>
      </c>
      <c r="E36" s="32">
        <f t="shared" si="1"/>
        <v>1.74</v>
      </c>
      <c r="F36" s="32">
        <f t="shared" si="2"/>
        <v>460.30154277592572</v>
      </c>
      <c r="G36" s="32">
        <f t="shared" si="3"/>
        <v>1.1352278859019824</v>
      </c>
      <c r="H36" s="32">
        <f t="shared" si="4"/>
        <v>461.43677066182772</v>
      </c>
      <c r="I36" s="54">
        <f>ÍNDICE_INPC!I35</f>
        <v>0</v>
      </c>
      <c r="J36" s="55">
        <f>ÍNDICE_INPC!J35</f>
        <v>0</v>
      </c>
      <c r="K36" s="32">
        <f t="shared" si="5"/>
        <v>461.43677066182772</v>
      </c>
      <c r="L36" s="41"/>
      <c r="M36" s="51">
        <f t="shared" si="6"/>
        <v>461.43677066182772</v>
      </c>
      <c r="N36" s="52">
        <f>ÍNDICE_INPC!K35</f>
        <v>457.88223665159268</v>
      </c>
    </row>
    <row r="37" spans="2:14" ht="15" thickBot="1" x14ac:dyDescent="0.35">
      <c r="B37" s="31">
        <v>36982</v>
      </c>
      <c r="C37" s="32">
        <f t="shared" si="0"/>
        <v>461.43677066182772</v>
      </c>
      <c r="D37" s="50">
        <v>5.7999999999999996E-3</v>
      </c>
      <c r="E37" s="32">
        <f t="shared" si="1"/>
        <v>2.67</v>
      </c>
      <c r="F37" s="32">
        <f t="shared" si="2"/>
        <v>464.10677066182774</v>
      </c>
      <c r="G37" s="32">
        <f t="shared" si="3"/>
        <v>1.144612605280146</v>
      </c>
      <c r="H37" s="32">
        <f t="shared" si="4"/>
        <v>465.25138326710788</v>
      </c>
      <c r="I37" s="54">
        <f>ÍNDICE_INPC!I36</f>
        <v>0</v>
      </c>
      <c r="J37" s="55">
        <f>ÍNDICE_INPC!J36</f>
        <v>0</v>
      </c>
      <c r="K37" s="32">
        <f t="shared" si="5"/>
        <v>465.25138326710788</v>
      </c>
      <c r="L37" s="41"/>
      <c r="M37" s="51">
        <f t="shared" si="6"/>
        <v>465.25138326710788</v>
      </c>
      <c r="N37" s="52">
        <f>ÍNDICE_INPC!K36</f>
        <v>462.86698314979941</v>
      </c>
    </row>
    <row r="38" spans="2:14" ht="15" thickBot="1" x14ac:dyDescent="0.35">
      <c r="B38" s="31">
        <v>37012</v>
      </c>
      <c r="C38" s="32">
        <f t="shared" si="0"/>
        <v>465.25138326710788</v>
      </c>
      <c r="D38" s="50">
        <v>4.1000000000000003E-3</v>
      </c>
      <c r="E38" s="32">
        <f t="shared" si="1"/>
        <v>1.9</v>
      </c>
      <c r="F38" s="32">
        <f t="shared" si="2"/>
        <v>467.15138326710786</v>
      </c>
      <c r="G38" s="32">
        <f t="shared" si="3"/>
        <v>1.1521214420101702</v>
      </c>
      <c r="H38" s="32">
        <f t="shared" si="4"/>
        <v>468.30350470911804</v>
      </c>
      <c r="I38" s="54">
        <f>ÍNDICE_INPC!I37</f>
        <v>0</v>
      </c>
      <c r="J38" s="55">
        <f>ÍNDICE_INPC!J37</f>
        <v>0</v>
      </c>
      <c r="K38" s="32">
        <f t="shared" si="5"/>
        <v>468.30350470911804</v>
      </c>
      <c r="L38" s="41"/>
      <c r="M38" s="51">
        <f t="shared" si="6"/>
        <v>468.30350470911804</v>
      </c>
      <c r="N38" s="52">
        <f>ÍNDICE_INPC!K37</f>
        <v>466.65304412459227</v>
      </c>
    </row>
    <row r="39" spans="2:14" ht="15" thickBot="1" x14ac:dyDescent="0.35">
      <c r="B39" s="31">
        <v>37043</v>
      </c>
      <c r="C39" s="32">
        <f t="shared" si="0"/>
        <v>468.30350470911804</v>
      </c>
      <c r="D39" s="50">
        <v>5.1999999999999998E-3</v>
      </c>
      <c r="E39" s="32">
        <f t="shared" si="1"/>
        <v>2.4300000000000002</v>
      </c>
      <c r="F39" s="32">
        <f t="shared" si="2"/>
        <v>470.73350470911805</v>
      </c>
      <c r="G39" s="32">
        <f t="shared" si="3"/>
        <v>1.1609559206589566</v>
      </c>
      <c r="H39" s="32">
        <f t="shared" si="4"/>
        <v>471.89446062977703</v>
      </c>
      <c r="I39" s="54">
        <f>ÍNDICE_INPC!I38</f>
        <v>0</v>
      </c>
      <c r="J39" s="55">
        <f>ÍNDICE_INPC!J38</f>
        <v>0</v>
      </c>
      <c r="K39" s="32">
        <f t="shared" si="5"/>
        <v>471.89446062977703</v>
      </c>
      <c r="L39" s="41"/>
      <c r="M39" s="51">
        <f t="shared" si="6"/>
        <v>471.89446062977703</v>
      </c>
      <c r="N39" s="52">
        <f>ÍNDICE_INPC!K38</f>
        <v>470.60983961745541</v>
      </c>
    </row>
    <row r="40" spans="2:14" ht="15" thickBot="1" x14ac:dyDescent="0.35">
      <c r="B40" s="31">
        <v>37073</v>
      </c>
      <c r="C40" s="32">
        <f t="shared" si="0"/>
        <v>471.89446062977703</v>
      </c>
      <c r="D40" s="50">
        <v>1.3299999999999999E-2</v>
      </c>
      <c r="E40" s="32">
        <f t="shared" si="1"/>
        <v>6.27</v>
      </c>
      <c r="F40" s="32">
        <f t="shared" si="2"/>
        <v>478.16446062977701</v>
      </c>
      <c r="G40" s="32">
        <f t="shared" si="3"/>
        <v>1.1792826643174001</v>
      </c>
      <c r="H40" s="32">
        <f t="shared" si="4"/>
        <v>479.34374329409439</v>
      </c>
      <c r="I40" s="54">
        <f>ÍNDICE_INPC!I39</f>
        <v>0</v>
      </c>
      <c r="J40" s="55">
        <f>ÍNDICE_INPC!J39</f>
        <v>0</v>
      </c>
      <c r="K40" s="32">
        <f t="shared" si="5"/>
        <v>479.34374329409439</v>
      </c>
      <c r="L40" s="41"/>
      <c r="M40" s="51">
        <f t="shared" si="6"/>
        <v>479.34374329409439</v>
      </c>
      <c r="N40" s="52">
        <f>ÍNDICE_INPC!K39</f>
        <v>477.00637187481874</v>
      </c>
    </row>
    <row r="41" spans="2:14" ht="15" customHeight="1" thickBot="1" x14ac:dyDescent="0.35">
      <c r="B41" s="31">
        <v>37104</v>
      </c>
      <c r="C41" s="32">
        <f t="shared" si="0"/>
        <v>479.34374329409439</v>
      </c>
      <c r="D41" s="50">
        <v>7.0000000000000001E-3</v>
      </c>
      <c r="E41" s="32">
        <f t="shared" si="1"/>
        <v>3.35</v>
      </c>
      <c r="F41" s="32">
        <f t="shared" si="2"/>
        <v>482.69374329409442</v>
      </c>
      <c r="G41" s="32">
        <f t="shared" si="3"/>
        <v>1.1904530982739263</v>
      </c>
      <c r="H41" s="32">
        <f t="shared" si="4"/>
        <v>483.88419639236832</v>
      </c>
      <c r="I41" s="54">
        <f>ÍNDICE_INPC!I40</f>
        <v>0</v>
      </c>
      <c r="J41" s="55">
        <f>ÍNDICE_INPC!J40</f>
        <v>0</v>
      </c>
      <c r="K41" s="32">
        <f t="shared" si="5"/>
        <v>483.88419639236832</v>
      </c>
      <c r="L41" s="41"/>
      <c r="M41" s="51">
        <f t="shared" si="6"/>
        <v>483.88419639236832</v>
      </c>
      <c r="N41" s="52">
        <f>ÍNDICE_INPC!K40</f>
        <v>481.96009128494239</v>
      </c>
    </row>
    <row r="42" spans="2:14" ht="15" customHeight="1" thickBot="1" x14ac:dyDescent="0.35">
      <c r="B42" s="31">
        <v>37135</v>
      </c>
      <c r="C42" s="32">
        <f t="shared" si="0"/>
        <v>483.88419639236832</v>
      </c>
      <c r="D42" s="50">
        <v>2.8E-3</v>
      </c>
      <c r="E42" s="32">
        <f t="shared" si="1"/>
        <v>1.35</v>
      </c>
      <c r="F42" s="32">
        <f t="shared" si="2"/>
        <v>485.23419639236835</v>
      </c>
      <c r="G42" s="32">
        <f t="shared" si="3"/>
        <v>1.1967185415366064</v>
      </c>
      <c r="H42" s="32">
        <f t="shared" si="4"/>
        <v>486.43091493390494</v>
      </c>
      <c r="I42" s="54">
        <f>ÍNDICE_INPC!I41</f>
        <v>0</v>
      </c>
      <c r="J42" s="55">
        <f>ÍNDICE_INPC!J41</f>
        <v>0</v>
      </c>
      <c r="K42" s="32">
        <f t="shared" si="5"/>
        <v>486.43091493390494</v>
      </c>
      <c r="L42" s="41"/>
      <c r="M42" s="51">
        <f t="shared" si="6"/>
        <v>486.43091493390494</v>
      </c>
      <c r="N42" s="52">
        <f>ÍNDICE_INPC!K41</f>
        <v>485.27396349167572</v>
      </c>
    </row>
    <row r="43" spans="2:14" ht="15" thickBot="1" x14ac:dyDescent="0.35">
      <c r="B43" s="31">
        <v>37165</v>
      </c>
      <c r="C43" s="32">
        <f t="shared" si="0"/>
        <v>486.43091493390494</v>
      </c>
      <c r="D43" s="50">
        <v>8.3000000000000001E-3</v>
      </c>
      <c r="E43" s="32">
        <f t="shared" si="1"/>
        <v>4.03</v>
      </c>
      <c r="F43" s="32">
        <f t="shared" si="2"/>
        <v>490.46091493390492</v>
      </c>
      <c r="G43" s="32">
        <f t="shared" si="3"/>
        <v>1.2096090406740416</v>
      </c>
      <c r="H43" s="32">
        <f t="shared" si="4"/>
        <v>491.67052397457894</v>
      </c>
      <c r="I43" s="54">
        <f>ÍNDICE_INPC!I42</f>
        <v>0</v>
      </c>
      <c r="J43" s="55">
        <f>ÍNDICE_INPC!J42</f>
        <v>0</v>
      </c>
      <c r="K43" s="32">
        <f t="shared" si="5"/>
        <v>491.67052397457894</v>
      </c>
      <c r="L43" s="41"/>
      <c r="M43" s="51">
        <f t="shared" si="6"/>
        <v>491.67052397457894</v>
      </c>
      <c r="N43" s="52">
        <f>ÍNDICE_INPC!K42</f>
        <v>491.0430287670863</v>
      </c>
    </row>
    <row r="44" spans="2:14" ht="15" thickBot="1" x14ac:dyDescent="0.35">
      <c r="B44" s="31">
        <v>37196</v>
      </c>
      <c r="C44" s="32">
        <f t="shared" si="0"/>
        <v>491.67052397457894</v>
      </c>
      <c r="D44" s="50">
        <v>7.1000000000000004E-3</v>
      </c>
      <c r="E44" s="32">
        <f t="shared" si="1"/>
        <v>3.49</v>
      </c>
      <c r="F44" s="32">
        <f t="shared" si="2"/>
        <v>495.16052397457895</v>
      </c>
      <c r="G44" s="32">
        <f t="shared" si="3"/>
        <v>1.2211995454627849</v>
      </c>
      <c r="H44" s="32">
        <f t="shared" si="4"/>
        <v>496.38172352004176</v>
      </c>
      <c r="I44" s="54">
        <f>ÍNDICE_INPC!I43</f>
        <v>0</v>
      </c>
      <c r="J44" s="55">
        <f>ÍNDICE_INPC!J43</f>
        <v>0</v>
      </c>
      <c r="K44" s="32">
        <f t="shared" si="5"/>
        <v>496.38172352004176</v>
      </c>
      <c r="L44" s="41"/>
      <c r="M44" s="51">
        <f t="shared" si="6"/>
        <v>496.38172352004176</v>
      </c>
      <c r="N44" s="52">
        <f>ÍNDICE_INPC!K43</f>
        <v>498.60369481182369</v>
      </c>
    </row>
    <row r="45" spans="2:14" ht="15" thickBot="1" x14ac:dyDescent="0.35">
      <c r="B45" s="31">
        <v>37226</v>
      </c>
      <c r="C45" s="32">
        <f t="shared" si="0"/>
        <v>496.38172352004176</v>
      </c>
      <c r="D45" s="50">
        <v>6.4999999999999997E-3</v>
      </c>
      <c r="E45" s="32">
        <f t="shared" si="1"/>
        <v>3.22</v>
      </c>
      <c r="F45" s="32">
        <f t="shared" si="2"/>
        <v>499.60172352004179</v>
      </c>
      <c r="G45" s="32">
        <f t="shared" si="3"/>
        <v>1.2321527426657735</v>
      </c>
      <c r="H45" s="32">
        <f t="shared" si="4"/>
        <v>500.83387626270758</v>
      </c>
      <c r="I45" s="54">
        <f>ÍNDICE_INPC!I44</f>
        <v>0</v>
      </c>
      <c r="J45" s="55">
        <f>ÍNDICE_INPC!J44</f>
        <v>0</v>
      </c>
      <c r="K45" s="32">
        <f t="shared" si="5"/>
        <v>500.83387626270758</v>
      </c>
      <c r="L45" s="41"/>
      <c r="M45" s="51">
        <f t="shared" si="6"/>
        <v>500.83387626270758</v>
      </c>
      <c r="N45" s="52">
        <f>ÍNDICE_INPC!K44</f>
        <v>503.53148421625724</v>
      </c>
    </row>
    <row r="46" spans="2:14" ht="15" thickBot="1" x14ac:dyDescent="0.35">
      <c r="B46" s="31">
        <v>37257</v>
      </c>
      <c r="C46" s="32">
        <f t="shared" si="0"/>
        <v>500.83387626270758</v>
      </c>
      <c r="D46" s="50">
        <v>5.1999999999999998E-3</v>
      </c>
      <c r="E46" s="32">
        <f t="shared" si="1"/>
        <v>2.6</v>
      </c>
      <c r="F46" s="32">
        <f t="shared" si="2"/>
        <v>503.4338762627076</v>
      </c>
      <c r="G46" s="32">
        <f t="shared" si="3"/>
        <v>1.2416038660104278</v>
      </c>
      <c r="H46" s="32">
        <f t="shared" si="4"/>
        <v>504.67548012871805</v>
      </c>
      <c r="I46" s="54">
        <f>ÍNDICE_INPC!I45</f>
        <v>0</v>
      </c>
      <c r="J46" s="55">
        <f>ÍNDICE_INPC!J45</f>
        <v>0</v>
      </c>
      <c r="K46" s="32">
        <f t="shared" si="5"/>
        <v>504.67548012871805</v>
      </c>
      <c r="L46" s="41"/>
      <c r="M46" s="51">
        <f t="shared" si="6"/>
        <v>504.67548012871805</v>
      </c>
      <c r="N46" s="52">
        <f>ÍNDICE_INPC!K45</f>
        <v>510.17361460632526</v>
      </c>
    </row>
    <row r="47" spans="2:14" ht="15" thickBot="1" x14ac:dyDescent="0.35">
      <c r="B47" s="31">
        <v>37288</v>
      </c>
      <c r="C47" s="32">
        <f t="shared" si="0"/>
        <v>504.67548012871805</v>
      </c>
      <c r="D47" s="50">
        <v>3.5999999999999999E-3</v>
      </c>
      <c r="E47" s="32">
        <f t="shared" si="1"/>
        <v>1.81</v>
      </c>
      <c r="F47" s="32">
        <f t="shared" si="2"/>
        <v>506.48548012871805</v>
      </c>
      <c r="G47" s="32">
        <f t="shared" si="3"/>
        <v>1.2491299450770534</v>
      </c>
      <c r="H47" s="32">
        <f t="shared" si="4"/>
        <v>507.73461007379512</v>
      </c>
      <c r="I47" s="54">
        <f>ÍNDICE_INPC!I46</f>
        <v>0</v>
      </c>
      <c r="J47" s="55">
        <f>ÍNDICE_INPC!J46</f>
        <v>0</v>
      </c>
      <c r="K47" s="32">
        <f t="shared" si="5"/>
        <v>507.73461007379512</v>
      </c>
      <c r="L47" s="41"/>
      <c r="M47" s="51">
        <f t="shared" si="6"/>
        <v>507.73461007379512</v>
      </c>
      <c r="N47" s="52">
        <f>ÍNDICE_INPC!K46</f>
        <v>513.01673965969042</v>
      </c>
    </row>
    <row r="48" spans="2:14" ht="15" customHeight="1" thickBot="1" x14ac:dyDescent="0.35">
      <c r="B48" s="31">
        <v>37316</v>
      </c>
      <c r="C48" s="32">
        <f t="shared" si="0"/>
        <v>507.73461007379512</v>
      </c>
      <c r="D48" s="50">
        <v>6.0000000000000001E-3</v>
      </c>
      <c r="E48" s="32">
        <f t="shared" si="1"/>
        <v>3.04</v>
      </c>
      <c r="F48" s="32">
        <f t="shared" si="2"/>
        <v>510.77461007379515</v>
      </c>
      <c r="G48" s="32">
        <f t="shared" si="3"/>
        <v>1.2597080975866988</v>
      </c>
      <c r="H48" s="32">
        <f t="shared" si="4"/>
        <v>512.03431817138187</v>
      </c>
      <c r="I48" s="54">
        <f>ÍNDICE_INPC!I47</f>
        <v>29</v>
      </c>
      <c r="J48" s="55">
        <f>ÍNDICE_INPC!J47</f>
        <v>0</v>
      </c>
      <c r="K48" s="32">
        <f t="shared" si="5"/>
        <v>483.03431817138187</v>
      </c>
      <c r="L48" s="41"/>
      <c r="M48" s="51">
        <f t="shared" si="6"/>
        <v>483.03431817138187</v>
      </c>
      <c r="N48" s="52">
        <f>ÍNDICE_INPC!K47</f>
        <v>488.46982019281086</v>
      </c>
    </row>
    <row r="49" spans="2:14" ht="15" customHeight="1" thickBot="1" x14ac:dyDescent="0.35">
      <c r="B49" s="31">
        <v>37347</v>
      </c>
      <c r="C49" s="32">
        <f t="shared" si="0"/>
        <v>483.03431817138187</v>
      </c>
      <c r="D49" s="50">
        <v>8.0000000000000002E-3</v>
      </c>
      <c r="E49" s="32">
        <f t="shared" si="1"/>
        <v>3.86</v>
      </c>
      <c r="F49" s="32">
        <f t="shared" si="2"/>
        <v>486.89431817138188</v>
      </c>
      <c r="G49" s="32">
        <f t="shared" si="3"/>
        <v>1.200812850076534</v>
      </c>
      <c r="H49" s="32">
        <f t="shared" si="4"/>
        <v>488.09513102145843</v>
      </c>
      <c r="I49" s="54">
        <f>ÍNDICE_INPC!I48</f>
        <v>0</v>
      </c>
      <c r="J49" s="55">
        <f>ÍNDICE_INPC!J48</f>
        <v>0</v>
      </c>
      <c r="K49" s="32">
        <f t="shared" si="5"/>
        <v>488.09513102145843</v>
      </c>
      <c r="L49" s="41"/>
      <c r="M49" s="51">
        <f t="shared" si="6"/>
        <v>488.09513102145843</v>
      </c>
      <c r="N49" s="52">
        <f>ÍNDICE_INPC!K48</f>
        <v>493.00370913892783</v>
      </c>
    </row>
    <row r="50" spans="2:14" ht="15" thickBot="1" x14ac:dyDescent="0.35">
      <c r="B50" s="31">
        <v>37377</v>
      </c>
      <c r="C50" s="32">
        <f t="shared" si="0"/>
        <v>488.09513102145843</v>
      </c>
      <c r="D50" s="50">
        <v>2.0999999999999999E-3</v>
      </c>
      <c r="E50" s="32">
        <f t="shared" si="1"/>
        <v>1.02</v>
      </c>
      <c r="F50" s="32">
        <f t="shared" si="2"/>
        <v>489.11513102145841</v>
      </c>
      <c r="G50" s="32">
        <f t="shared" si="3"/>
        <v>1.2062899741842923</v>
      </c>
      <c r="H50" s="32">
        <f t="shared" si="4"/>
        <v>490.32142099564271</v>
      </c>
      <c r="I50" s="54">
        <f>ÍNDICE_INPC!I49</f>
        <v>0</v>
      </c>
      <c r="J50" s="55">
        <f>ÍNDICE_INPC!J49</f>
        <v>0</v>
      </c>
      <c r="K50" s="32">
        <f t="shared" si="5"/>
        <v>490.32142099564271</v>
      </c>
      <c r="L50" s="41"/>
      <c r="M50" s="51">
        <f t="shared" si="6"/>
        <v>490.32142099564271</v>
      </c>
      <c r="N50" s="52">
        <f>ÍNDICE_INPC!K49</f>
        <v>494.66368195427589</v>
      </c>
    </row>
    <row r="51" spans="2:14" ht="15" thickBot="1" x14ac:dyDescent="0.35">
      <c r="B51" s="31">
        <v>37408</v>
      </c>
      <c r="C51" s="32">
        <f t="shared" si="0"/>
        <v>490.32142099564271</v>
      </c>
      <c r="D51" s="50">
        <v>4.1999999999999997E-3</v>
      </c>
      <c r="E51" s="32">
        <f t="shared" si="1"/>
        <v>2.0499999999999998</v>
      </c>
      <c r="F51" s="32">
        <f t="shared" si="2"/>
        <v>492.37142099564272</v>
      </c>
      <c r="G51" s="32">
        <f t="shared" si="3"/>
        <v>1.2143208644589238</v>
      </c>
      <c r="H51" s="32">
        <f t="shared" si="4"/>
        <v>493.58574186010162</v>
      </c>
      <c r="I51" s="54">
        <f>ÍNDICE_INPC!I50</f>
        <v>0</v>
      </c>
      <c r="J51" s="55">
        <f>ÍNDICE_INPC!J50</f>
        <v>0</v>
      </c>
      <c r="K51" s="32">
        <f t="shared" si="5"/>
        <v>493.58574186010162</v>
      </c>
      <c r="L51" s="41"/>
      <c r="M51" s="51">
        <f t="shared" si="6"/>
        <v>493.58574186010162</v>
      </c>
      <c r="N51" s="52">
        <f>ÍNDICE_INPC!K50</f>
        <v>498.90809688975924</v>
      </c>
    </row>
    <row r="52" spans="2:14" ht="15" thickBot="1" x14ac:dyDescent="0.35">
      <c r="B52" s="31">
        <v>37438</v>
      </c>
      <c r="C52" s="32">
        <f t="shared" si="0"/>
        <v>493.58574186010162</v>
      </c>
      <c r="D52" s="50">
        <v>1.1900000000000001E-2</v>
      </c>
      <c r="E52" s="32">
        <f t="shared" si="1"/>
        <v>5.87</v>
      </c>
      <c r="F52" s="32">
        <f t="shared" si="2"/>
        <v>499.45574186010163</v>
      </c>
      <c r="G52" s="32">
        <f t="shared" si="3"/>
        <v>1.2317927124773129</v>
      </c>
      <c r="H52" s="32">
        <f t="shared" si="4"/>
        <v>500.68753457257895</v>
      </c>
      <c r="I52" s="54">
        <f>ÍNDICE_INPC!I51</f>
        <v>0</v>
      </c>
      <c r="J52" s="55">
        <f>ÍNDICE_INPC!J51</f>
        <v>0</v>
      </c>
      <c r="K52" s="32">
        <f t="shared" si="5"/>
        <v>500.68753457257895</v>
      </c>
      <c r="L52" s="41"/>
      <c r="M52" s="51">
        <f t="shared" si="6"/>
        <v>500.68753457257895</v>
      </c>
      <c r="N52" s="52">
        <f>ÍNDICE_INPC!K51</f>
        <v>505.88968795286559</v>
      </c>
    </row>
    <row r="53" spans="2:14" ht="15" thickBot="1" x14ac:dyDescent="0.35">
      <c r="B53" s="31">
        <v>37469</v>
      </c>
      <c r="C53" s="32">
        <f t="shared" si="0"/>
        <v>500.68753457257895</v>
      </c>
      <c r="D53" s="50">
        <v>6.4999999999999997E-3</v>
      </c>
      <c r="E53" s="32">
        <f t="shared" si="1"/>
        <v>3.25</v>
      </c>
      <c r="F53" s="32">
        <f t="shared" si="2"/>
        <v>503.93753457257895</v>
      </c>
      <c r="G53" s="32">
        <f t="shared" si="3"/>
        <v>1.2428460233903142</v>
      </c>
      <c r="H53" s="32">
        <f t="shared" si="4"/>
        <v>505.18038059596927</v>
      </c>
      <c r="I53" s="54">
        <f>ÍNDICE_INPC!I52</f>
        <v>0</v>
      </c>
      <c r="J53" s="55">
        <f>ÍNDICE_INPC!J52</f>
        <v>0</v>
      </c>
      <c r="K53" s="32">
        <f t="shared" si="5"/>
        <v>505.18038059596927</v>
      </c>
      <c r="L53" s="41"/>
      <c r="M53" s="51">
        <f t="shared" si="6"/>
        <v>505.18038059596927</v>
      </c>
      <c r="N53" s="52">
        <f>ÍNDICE_INPC!K52</f>
        <v>511.49807678807315</v>
      </c>
    </row>
    <row r="54" spans="2:14" ht="15" thickBot="1" x14ac:dyDescent="0.35">
      <c r="B54" s="31">
        <v>37500</v>
      </c>
      <c r="C54" s="32">
        <f t="shared" si="0"/>
        <v>505.18038059596927</v>
      </c>
      <c r="D54" s="50">
        <v>7.1999999999999998E-3</v>
      </c>
      <c r="E54" s="32">
        <f t="shared" si="1"/>
        <v>3.63</v>
      </c>
      <c r="F54" s="32">
        <f t="shared" si="2"/>
        <v>508.81038059596926</v>
      </c>
      <c r="G54" s="32">
        <f t="shared" si="3"/>
        <v>1.2548637773524212</v>
      </c>
      <c r="H54" s="32">
        <f t="shared" si="4"/>
        <v>510.06524437332166</v>
      </c>
      <c r="I54" s="54">
        <f>ÍNDICE_INPC!I53</f>
        <v>0</v>
      </c>
      <c r="J54" s="55">
        <f>ÍNDICE_INPC!J53</f>
        <v>0</v>
      </c>
      <c r="K54" s="32">
        <f t="shared" si="5"/>
        <v>510.06524437332166</v>
      </c>
      <c r="L54" s="41"/>
      <c r="M54" s="51">
        <f t="shared" si="6"/>
        <v>510.06524437332166</v>
      </c>
      <c r="N54" s="52">
        <f>ÍNDICE_INPC!K53</f>
        <v>517.01503846606329</v>
      </c>
    </row>
    <row r="55" spans="2:14" ht="15" customHeight="1" thickBot="1" x14ac:dyDescent="0.35">
      <c r="B55" s="31">
        <v>37530</v>
      </c>
      <c r="C55" s="32">
        <f t="shared" si="0"/>
        <v>510.06524437332166</v>
      </c>
      <c r="D55" s="50">
        <v>1.3100000000000001E-2</v>
      </c>
      <c r="E55" s="32">
        <f t="shared" si="1"/>
        <v>6.68</v>
      </c>
      <c r="F55" s="32">
        <f t="shared" si="2"/>
        <v>516.74524437332161</v>
      </c>
      <c r="G55" s="32">
        <f t="shared" si="3"/>
        <v>1.2744332938405918</v>
      </c>
      <c r="H55" s="32">
        <f t="shared" si="4"/>
        <v>518.01967766716223</v>
      </c>
      <c r="I55" s="54">
        <f>ÍNDICE_INPC!I54</f>
        <v>0</v>
      </c>
      <c r="J55" s="55">
        <f>ÍNDICE_INPC!J54</f>
        <v>0</v>
      </c>
      <c r="K55" s="32">
        <f t="shared" si="5"/>
        <v>518.01967766716223</v>
      </c>
      <c r="L55" s="41"/>
      <c r="M55" s="51">
        <f t="shared" si="6"/>
        <v>518.01967766716223</v>
      </c>
      <c r="N55" s="52">
        <f>ÍNDICE_INPC!K54</f>
        <v>526.42715585857093</v>
      </c>
    </row>
    <row r="56" spans="2:14" ht="15" customHeight="1" thickBot="1" x14ac:dyDescent="0.35">
      <c r="B56" s="31">
        <v>37561</v>
      </c>
      <c r="C56" s="32">
        <f t="shared" si="0"/>
        <v>518.01967766716223</v>
      </c>
      <c r="D56" s="50">
        <v>3.0200000000000001E-2</v>
      </c>
      <c r="E56" s="32">
        <f t="shared" si="1"/>
        <v>15.64</v>
      </c>
      <c r="F56" s="32">
        <f t="shared" si="2"/>
        <v>533.65967766716221</v>
      </c>
      <c r="G56" s="32">
        <f t="shared" si="3"/>
        <v>1.3161488532401922</v>
      </c>
      <c r="H56" s="32">
        <f t="shared" si="4"/>
        <v>534.97582652040239</v>
      </c>
      <c r="I56" s="54">
        <f>ÍNDICE_INPC!I55</f>
        <v>0</v>
      </c>
      <c r="J56" s="55">
        <f>ÍNDICE_INPC!J55</f>
        <v>0</v>
      </c>
      <c r="K56" s="32">
        <f t="shared" si="5"/>
        <v>534.97582652040239</v>
      </c>
      <c r="L56" s="41"/>
      <c r="M56" s="51">
        <f t="shared" si="6"/>
        <v>534.97582652040239</v>
      </c>
      <c r="N56" s="52">
        <f>ÍNDICE_INPC!K55</f>
        <v>545.61447794840024</v>
      </c>
    </row>
    <row r="57" spans="2:14" ht="15" thickBot="1" x14ac:dyDescent="0.35">
      <c r="B57" s="31">
        <v>37591</v>
      </c>
      <c r="C57" s="32">
        <f t="shared" si="0"/>
        <v>534.97582652040239</v>
      </c>
      <c r="D57" s="50">
        <v>2.1000000000000001E-2</v>
      </c>
      <c r="E57" s="32">
        <f t="shared" si="1"/>
        <v>11.23</v>
      </c>
      <c r="F57" s="32">
        <f t="shared" si="2"/>
        <v>546.20582652040241</v>
      </c>
      <c r="G57" s="32">
        <f t="shared" si="3"/>
        <v>1.3470910437724728</v>
      </c>
      <c r="H57" s="32">
        <f t="shared" si="4"/>
        <v>547.55291756417489</v>
      </c>
      <c r="I57" s="54">
        <f>ÍNDICE_INPC!I56</f>
        <v>0</v>
      </c>
      <c r="J57" s="55">
        <f>ÍNDICE_INPC!J56</f>
        <v>0</v>
      </c>
      <c r="K57" s="32">
        <f t="shared" si="5"/>
        <v>547.55291756417489</v>
      </c>
      <c r="L57" s="41"/>
      <c r="M57" s="51">
        <f t="shared" si="6"/>
        <v>547.55291756417489</v>
      </c>
      <c r="N57" s="52">
        <f>ÍNDICE_INPC!K56</f>
        <v>561.72744119030006</v>
      </c>
    </row>
    <row r="58" spans="2:14" ht="15" thickBot="1" x14ac:dyDescent="0.35">
      <c r="B58" s="31">
        <v>37622</v>
      </c>
      <c r="C58" s="32">
        <f t="shared" si="0"/>
        <v>547.55291756417489</v>
      </c>
      <c r="D58" s="50">
        <v>2.2499999999999999E-2</v>
      </c>
      <c r="E58" s="32">
        <f t="shared" si="1"/>
        <v>12.31</v>
      </c>
      <c r="F58" s="32">
        <f t="shared" si="2"/>
        <v>559.86291756417484</v>
      </c>
      <c r="G58" s="32">
        <f t="shared" si="3"/>
        <v>1.3807731177009974</v>
      </c>
      <c r="H58" s="32">
        <f t="shared" si="4"/>
        <v>561.24369068187582</v>
      </c>
      <c r="I58" s="54">
        <f>ÍNDICE_INPC!I57</f>
        <v>0</v>
      </c>
      <c r="J58" s="55">
        <f>ÍNDICE_INPC!J57</f>
        <v>0</v>
      </c>
      <c r="K58" s="32">
        <f t="shared" si="5"/>
        <v>561.24369068187582</v>
      </c>
      <c r="L58" s="41"/>
      <c r="M58" s="51">
        <f t="shared" si="6"/>
        <v>561.24369068187582</v>
      </c>
      <c r="N58" s="52">
        <f>ÍNDICE_INPC!K57</f>
        <v>577.02102975666446</v>
      </c>
    </row>
    <row r="59" spans="2:14" ht="15" thickBot="1" x14ac:dyDescent="0.35">
      <c r="B59" s="31">
        <v>37653</v>
      </c>
      <c r="C59" s="32">
        <f t="shared" si="0"/>
        <v>561.24369068187582</v>
      </c>
      <c r="D59" s="50">
        <v>1.5699999999999999E-2</v>
      </c>
      <c r="E59" s="32">
        <f t="shared" si="1"/>
        <v>8.81</v>
      </c>
      <c r="F59" s="32">
        <f t="shared" si="2"/>
        <v>570.05369068187576</v>
      </c>
      <c r="G59" s="32">
        <f t="shared" si="3"/>
        <v>1.4059063157179899</v>
      </c>
      <c r="H59" s="32">
        <f t="shared" si="4"/>
        <v>571.45959699759374</v>
      </c>
      <c r="I59" s="54">
        <f>ÍNDICE_INPC!I58</f>
        <v>0</v>
      </c>
      <c r="J59" s="55">
        <f>ÍNDICE_INPC!J58</f>
        <v>0</v>
      </c>
      <c r="K59" s="32">
        <f t="shared" si="5"/>
        <v>571.45959699759374</v>
      </c>
      <c r="L59" s="41"/>
      <c r="M59" s="51">
        <f t="shared" si="6"/>
        <v>571.45959699759374</v>
      </c>
      <c r="N59" s="52">
        <f>ÍNDICE_INPC!K58</f>
        <v>586.8888952702024</v>
      </c>
    </row>
    <row r="60" spans="2:14" ht="15" thickBot="1" x14ac:dyDescent="0.35">
      <c r="B60" s="31">
        <v>37681</v>
      </c>
      <c r="C60" s="32">
        <f t="shared" si="0"/>
        <v>571.45959699759374</v>
      </c>
      <c r="D60" s="50">
        <v>1.23E-2</v>
      </c>
      <c r="E60" s="32">
        <f t="shared" si="1"/>
        <v>7.02</v>
      </c>
      <c r="F60" s="32">
        <f t="shared" si="2"/>
        <v>578.47959699759372</v>
      </c>
      <c r="G60" s="32">
        <f t="shared" si="3"/>
        <v>1.4266868756872555</v>
      </c>
      <c r="H60" s="32">
        <f t="shared" si="4"/>
        <v>579.90628387328093</v>
      </c>
      <c r="I60" s="54">
        <f>ÍNDICE_INPC!I59</f>
        <v>0</v>
      </c>
      <c r="J60" s="55">
        <f>ÍNDICE_INPC!J59</f>
        <v>0</v>
      </c>
      <c r="K60" s="32">
        <f t="shared" si="5"/>
        <v>579.90628387328093</v>
      </c>
      <c r="L60" s="41"/>
      <c r="M60" s="51">
        <f t="shared" si="6"/>
        <v>579.90628387328093</v>
      </c>
      <c r="N60" s="52">
        <f>ÍNDICE_INPC!K59</f>
        <v>596.39615055674039</v>
      </c>
    </row>
    <row r="61" spans="2:14" ht="15" thickBot="1" x14ac:dyDescent="0.35">
      <c r="B61" s="31">
        <v>37712</v>
      </c>
      <c r="C61" s="32">
        <f t="shared" si="0"/>
        <v>579.90628387328093</v>
      </c>
      <c r="D61" s="50">
        <v>9.7000000000000003E-3</v>
      </c>
      <c r="E61" s="32">
        <f t="shared" si="1"/>
        <v>5.62</v>
      </c>
      <c r="F61" s="32">
        <f t="shared" si="2"/>
        <v>585.52628387328093</v>
      </c>
      <c r="G61" s="32">
        <f t="shared" si="3"/>
        <v>1.4440659081281566</v>
      </c>
      <c r="H61" s="32">
        <f t="shared" si="4"/>
        <v>586.97034978140914</v>
      </c>
      <c r="I61" s="54">
        <f>ÍNDICE_INPC!I60</f>
        <v>0</v>
      </c>
      <c r="J61" s="55">
        <f>ÍNDICE_INPC!J60</f>
        <v>0</v>
      </c>
      <c r="K61" s="32">
        <f t="shared" si="5"/>
        <v>586.97034978140914</v>
      </c>
      <c r="L61" s="41"/>
      <c r="M61" s="51">
        <f t="shared" si="6"/>
        <v>586.97034978140914</v>
      </c>
      <c r="N61" s="52">
        <f>ÍNDICE_INPC!K60</f>
        <v>606.11732189307395</v>
      </c>
    </row>
    <row r="62" spans="2:14" ht="15" customHeight="1" thickBot="1" x14ac:dyDescent="0.35">
      <c r="B62" s="31">
        <v>37742</v>
      </c>
      <c r="C62" s="32">
        <f t="shared" si="0"/>
        <v>586.97034978140914</v>
      </c>
      <c r="D62" s="50">
        <v>6.1000000000000004E-3</v>
      </c>
      <c r="E62" s="32">
        <f t="shared" si="1"/>
        <v>3.58</v>
      </c>
      <c r="F62" s="32">
        <f t="shared" si="2"/>
        <v>590.55034978140918</v>
      </c>
      <c r="G62" s="32">
        <f t="shared" si="3"/>
        <v>1.456456611155396</v>
      </c>
      <c r="H62" s="32">
        <f t="shared" si="4"/>
        <v>592.00680639256461</v>
      </c>
      <c r="I62" s="54">
        <f>ÍNDICE_INPC!I61</f>
        <v>0</v>
      </c>
      <c r="J62" s="55">
        <f>ÍNDICE_INPC!J61</f>
        <v>0</v>
      </c>
      <c r="K62" s="32">
        <f t="shared" si="5"/>
        <v>592.00680639256461</v>
      </c>
      <c r="L62" s="41"/>
      <c r="M62" s="51">
        <f t="shared" si="6"/>
        <v>592.00680639256461</v>
      </c>
      <c r="N62" s="52">
        <f>ÍNDICE_INPC!K61</f>
        <v>613.62696848053918</v>
      </c>
    </row>
    <row r="63" spans="2:14" ht="15" customHeight="1" thickBot="1" x14ac:dyDescent="0.35">
      <c r="B63" s="31">
        <v>37773</v>
      </c>
      <c r="C63" s="32">
        <f t="shared" si="0"/>
        <v>592.00680639256461</v>
      </c>
      <c r="D63" s="50">
        <v>-1.5E-3</v>
      </c>
      <c r="E63" s="32">
        <f t="shared" si="1"/>
        <v>-0.88</v>
      </c>
      <c r="F63" s="32">
        <f t="shared" si="2"/>
        <v>591.12680639256462</v>
      </c>
      <c r="G63" s="32">
        <f t="shared" si="3"/>
        <v>1.4578783088017904</v>
      </c>
      <c r="H63" s="32">
        <f t="shared" si="4"/>
        <v>592.58468470136643</v>
      </c>
      <c r="I63" s="54">
        <f>ÍNDICE_INPC!I62</f>
        <v>0</v>
      </c>
      <c r="J63" s="55">
        <f>ÍNDICE_INPC!J62</f>
        <v>0</v>
      </c>
      <c r="K63" s="32">
        <f t="shared" si="5"/>
        <v>592.58468470136643</v>
      </c>
      <c r="L63" s="41"/>
      <c r="M63" s="51">
        <f t="shared" si="6"/>
        <v>592.58468470136643</v>
      </c>
      <c r="N63" s="52">
        <f>ÍNDICE_INPC!K62</f>
        <v>614.77143067673364</v>
      </c>
    </row>
    <row r="64" spans="2:14" ht="15" thickBot="1" x14ac:dyDescent="0.35">
      <c r="B64" s="31">
        <v>37803</v>
      </c>
      <c r="C64" s="32">
        <f t="shared" si="0"/>
        <v>592.58468470136643</v>
      </c>
      <c r="D64" s="50">
        <v>2E-3</v>
      </c>
      <c r="E64" s="32">
        <f t="shared" si="1"/>
        <v>1.18</v>
      </c>
      <c r="F64" s="32">
        <f t="shared" si="2"/>
        <v>593.76468470136638</v>
      </c>
      <c r="G64" s="32">
        <f t="shared" si="3"/>
        <v>1.4643840289384389</v>
      </c>
      <c r="H64" s="32">
        <f t="shared" si="4"/>
        <v>595.22906873030479</v>
      </c>
      <c r="I64" s="54">
        <f>ÍNDICE_INPC!I63</f>
        <v>0</v>
      </c>
      <c r="J64" s="55">
        <f>ÍNDICE_INPC!J63</f>
        <v>0</v>
      </c>
      <c r="K64" s="32">
        <f t="shared" si="5"/>
        <v>595.22906873030479</v>
      </c>
      <c r="L64" s="41"/>
      <c r="M64" s="51">
        <f t="shared" si="6"/>
        <v>595.22906873030479</v>
      </c>
      <c r="N64" s="52">
        <f>ÍNDICE_INPC!K63</f>
        <v>616.53322724921873</v>
      </c>
    </row>
    <row r="65" spans="2:14" ht="15" thickBot="1" x14ac:dyDescent="0.35">
      <c r="B65" s="31">
        <v>37834</v>
      </c>
      <c r="C65" s="32">
        <f t="shared" si="0"/>
        <v>595.22906873030479</v>
      </c>
      <c r="D65" s="50">
        <v>3.3999999999999998E-3</v>
      </c>
      <c r="E65" s="32">
        <f t="shared" si="1"/>
        <v>2.02</v>
      </c>
      <c r="F65" s="32">
        <f t="shared" si="2"/>
        <v>597.24906873030477</v>
      </c>
      <c r="G65" s="32">
        <f t="shared" si="3"/>
        <v>1.4729774607374888</v>
      </c>
      <c r="H65" s="32">
        <f t="shared" si="4"/>
        <v>598.7220461910423</v>
      </c>
      <c r="I65" s="54">
        <f>ÍNDICE_INPC!I64</f>
        <v>0</v>
      </c>
      <c r="J65" s="55">
        <f>ÍNDICE_INPC!J64</f>
        <v>0</v>
      </c>
      <c r="K65" s="32">
        <f t="shared" si="5"/>
        <v>598.7220461910423</v>
      </c>
      <c r="L65" s="41"/>
      <c r="M65" s="51">
        <f t="shared" si="6"/>
        <v>598.7220461910423</v>
      </c>
      <c r="N65" s="52">
        <f>ÍNDICE_INPC!K64</f>
        <v>619.16549974501675</v>
      </c>
    </row>
    <row r="66" spans="2:14" ht="15" thickBot="1" x14ac:dyDescent="0.35">
      <c r="B66" s="31">
        <v>37865</v>
      </c>
      <c r="C66" s="32">
        <f t="shared" si="0"/>
        <v>598.7220461910423</v>
      </c>
      <c r="D66" s="50">
        <v>7.7999999999999996E-3</v>
      </c>
      <c r="E66" s="32">
        <f t="shared" si="1"/>
        <v>4.67</v>
      </c>
      <c r="F66" s="32">
        <f t="shared" si="2"/>
        <v>603.39204619104225</v>
      </c>
      <c r="G66" s="32">
        <f t="shared" si="3"/>
        <v>1.4881277017595818</v>
      </c>
      <c r="H66" s="32">
        <f t="shared" si="4"/>
        <v>604.88017389280185</v>
      </c>
      <c r="I66" s="54">
        <f>ÍNDICE_INPC!I65</f>
        <v>0</v>
      </c>
      <c r="J66" s="55">
        <f>ÍNDICE_INPC!J65</f>
        <v>0</v>
      </c>
      <c r="K66" s="32">
        <f t="shared" si="5"/>
        <v>604.88017389280185</v>
      </c>
      <c r="L66" s="41"/>
      <c r="M66" s="51">
        <f t="shared" si="6"/>
        <v>604.88017389280185</v>
      </c>
      <c r="N66" s="52">
        <f>ÍNDICE_INPC!K65</f>
        <v>625.78205029486287</v>
      </c>
    </row>
    <row r="67" spans="2:14" ht="15" thickBot="1" x14ac:dyDescent="0.35">
      <c r="B67" s="31">
        <v>37895</v>
      </c>
      <c r="C67" s="32">
        <f t="shared" si="0"/>
        <v>604.88017389280185</v>
      </c>
      <c r="D67" s="50">
        <v>2.8999999999999998E-3</v>
      </c>
      <c r="E67" s="32">
        <f t="shared" si="1"/>
        <v>1.75</v>
      </c>
      <c r="F67" s="32">
        <f t="shared" si="2"/>
        <v>606.63017389280185</v>
      </c>
      <c r="G67" s="32">
        <f t="shared" si="3"/>
        <v>1.4961137989666005</v>
      </c>
      <c r="H67" s="32">
        <f t="shared" si="4"/>
        <v>608.12628769176843</v>
      </c>
      <c r="I67" s="54">
        <f>ÍNDICE_INPC!I66</f>
        <v>0</v>
      </c>
      <c r="J67" s="55">
        <f>ÍNDICE_INPC!J66</f>
        <v>0</v>
      </c>
      <c r="K67" s="32">
        <f t="shared" si="5"/>
        <v>608.12628769176843</v>
      </c>
      <c r="L67" s="41"/>
      <c r="M67" s="51">
        <f t="shared" si="6"/>
        <v>608.12628769176843</v>
      </c>
      <c r="N67" s="52">
        <f>ÍNDICE_INPC!K66</f>
        <v>629.77141549084365</v>
      </c>
    </row>
    <row r="68" spans="2:14" ht="15" thickBot="1" x14ac:dyDescent="0.35">
      <c r="B68" s="31">
        <v>37926</v>
      </c>
      <c r="C68" s="32">
        <f t="shared" si="0"/>
        <v>608.12628769176843</v>
      </c>
      <c r="D68" s="50">
        <v>3.3999999999999998E-3</v>
      </c>
      <c r="E68" s="32">
        <f t="shared" si="1"/>
        <v>2.06</v>
      </c>
      <c r="F68" s="32">
        <f t="shared" si="2"/>
        <v>610.18628769176837</v>
      </c>
      <c r="G68" s="32">
        <f t="shared" si="3"/>
        <v>1.5048841357455776</v>
      </c>
      <c r="H68" s="32">
        <f t="shared" si="4"/>
        <v>611.69117182751393</v>
      </c>
      <c r="I68" s="54">
        <f>ÍNDICE_INPC!I67</f>
        <v>0</v>
      </c>
      <c r="J68" s="55">
        <f>ÍNDICE_INPC!J67</f>
        <v>0</v>
      </c>
      <c r="K68" s="32">
        <f t="shared" si="5"/>
        <v>611.69117182751393</v>
      </c>
      <c r="L68" s="41"/>
      <c r="M68" s="51">
        <f t="shared" si="6"/>
        <v>611.69117182751393</v>
      </c>
      <c r="N68" s="52">
        <f>ÍNDICE_INPC!K67</f>
        <v>633.66034824882627</v>
      </c>
    </row>
    <row r="69" spans="2:14" ht="15" customHeight="1" thickBot="1" x14ac:dyDescent="0.35">
      <c r="B69" s="31">
        <v>37956</v>
      </c>
      <c r="C69" s="32">
        <f t="shared" si="0"/>
        <v>611.69117182751393</v>
      </c>
      <c r="D69" s="50">
        <v>5.1999999999999998E-3</v>
      </c>
      <c r="E69" s="32">
        <f t="shared" si="1"/>
        <v>3.18</v>
      </c>
      <c r="F69" s="32">
        <f t="shared" si="2"/>
        <v>614.87117182751388</v>
      </c>
      <c r="G69" s="32">
        <f t="shared" si="3"/>
        <v>1.5164383249430426</v>
      </c>
      <c r="H69" s="32">
        <f t="shared" si="4"/>
        <v>616.38761015245689</v>
      </c>
      <c r="I69" s="54">
        <f>ÍNDICE_INPC!I68</f>
        <v>0</v>
      </c>
      <c r="J69" s="55">
        <f>ÍNDICE_INPC!J68</f>
        <v>0</v>
      </c>
      <c r="K69" s="32">
        <f t="shared" si="5"/>
        <v>616.38761015245689</v>
      </c>
      <c r="L69" s="41"/>
      <c r="M69" s="51">
        <f t="shared" si="6"/>
        <v>616.38761015245689</v>
      </c>
      <c r="N69" s="52">
        <f>ÍNDICE_INPC!K68</f>
        <v>638.65256286557189</v>
      </c>
    </row>
    <row r="70" spans="2:14" ht="15" customHeight="1" thickBot="1" x14ac:dyDescent="0.35">
      <c r="B70" s="31">
        <v>37987</v>
      </c>
      <c r="C70" s="32">
        <f t="shared" si="0"/>
        <v>616.38761015245689</v>
      </c>
      <c r="D70" s="50">
        <v>7.6E-3</v>
      </c>
      <c r="E70" s="32">
        <f t="shared" si="1"/>
        <v>4.68</v>
      </c>
      <c r="F70" s="32">
        <f t="shared" si="2"/>
        <v>621.06761015245684</v>
      </c>
      <c r="G70" s="32">
        <f t="shared" si="3"/>
        <v>1.5317204148906998</v>
      </c>
      <c r="H70" s="32">
        <f t="shared" si="4"/>
        <v>622.59933056734758</v>
      </c>
      <c r="I70" s="54">
        <f>ÍNDICE_INPC!I69</f>
        <v>0</v>
      </c>
      <c r="J70" s="55">
        <f>ÍNDICE_INPC!J69</f>
        <v>0</v>
      </c>
      <c r="K70" s="32">
        <f t="shared" si="5"/>
        <v>622.59933056734758</v>
      </c>
      <c r="L70" s="41"/>
      <c r="M70" s="51">
        <f t="shared" si="6"/>
        <v>622.59933056734758</v>
      </c>
      <c r="N70" s="52">
        <f>ÍNDICE_INPC!K69</f>
        <v>645.54072375279031</v>
      </c>
    </row>
    <row r="71" spans="2:14" ht="15" thickBot="1" x14ac:dyDescent="0.35">
      <c r="B71" s="31">
        <v>38018</v>
      </c>
      <c r="C71" s="32">
        <f t="shared" si="0"/>
        <v>622.59933056734758</v>
      </c>
      <c r="D71" s="50">
        <v>6.1000000000000004E-3</v>
      </c>
      <c r="E71" s="32">
        <f t="shared" si="1"/>
        <v>3.79</v>
      </c>
      <c r="F71" s="32">
        <f t="shared" si="2"/>
        <v>626.38933056734754</v>
      </c>
      <c r="G71" s="32">
        <f t="shared" si="3"/>
        <v>1.5448452142983322</v>
      </c>
      <c r="H71" s="32">
        <f t="shared" si="4"/>
        <v>627.93417578164588</v>
      </c>
      <c r="I71" s="54">
        <f>ÍNDICE_INPC!I70</f>
        <v>0</v>
      </c>
      <c r="J71" s="55">
        <f>ÍNDICE_INPC!J70</f>
        <v>0</v>
      </c>
      <c r="K71" s="32">
        <f t="shared" si="5"/>
        <v>627.93417578164588</v>
      </c>
      <c r="L71" s="41"/>
      <c r="M71" s="51">
        <f t="shared" si="6"/>
        <v>627.93417578164588</v>
      </c>
      <c r="N71" s="52">
        <f>ÍNDICE_INPC!K70</f>
        <v>649.65600907515011</v>
      </c>
    </row>
    <row r="72" spans="2:14" ht="15" thickBot="1" x14ac:dyDescent="0.35">
      <c r="B72" s="31">
        <v>38047</v>
      </c>
      <c r="C72" s="32">
        <f t="shared" si="0"/>
        <v>627.93417578164588</v>
      </c>
      <c r="D72" s="50">
        <v>4.7000000000000002E-3</v>
      </c>
      <c r="E72" s="32">
        <f t="shared" si="1"/>
        <v>2.95</v>
      </c>
      <c r="F72" s="32">
        <f t="shared" si="2"/>
        <v>630.88417578164592</v>
      </c>
      <c r="G72" s="32">
        <f t="shared" si="3"/>
        <v>1.5559307162049998</v>
      </c>
      <c r="H72" s="32">
        <f t="shared" si="4"/>
        <v>632.44010649785093</v>
      </c>
      <c r="I72" s="54">
        <f>ÍNDICE_INPC!I71</f>
        <v>0</v>
      </c>
      <c r="J72" s="55">
        <f>ÍNDICE_INPC!J71</f>
        <v>0</v>
      </c>
      <c r="K72" s="32">
        <f t="shared" si="5"/>
        <v>632.44010649785093</v>
      </c>
      <c r="L72" s="41"/>
      <c r="M72" s="51">
        <f t="shared" si="6"/>
        <v>632.44010649785093</v>
      </c>
      <c r="N72" s="52">
        <f>ÍNDICE_INPC!K71</f>
        <v>654.97036879846189</v>
      </c>
    </row>
    <row r="73" spans="2:14" ht="15" thickBot="1" x14ac:dyDescent="0.35">
      <c r="B73" s="31">
        <v>38078</v>
      </c>
      <c r="C73" s="32">
        <f t="shared" si="0"/>
        <v>632.44010649785093</v>
      </c>
      <c r="D73" s="50">
        <v>3.7000000000000002E-3</v>
      </c>
      <c r="E73" s="32">
        <f t="shared" si="1"/>
        <v>2.34</v>
      </c>
      <c r="F73" s="32">
        <f t="shared" si="2"/>
        <v>634.78010649785097</v>
      </c>
      <c r="G73" s="32">
        <f t="shared" si="3"/>
        <v>1.5655391332524549</v>
      </c>
      <c r="H73" s="32">
        <f t="shared" si="4"/>
        <v>636.34564563110337</v>
      </c>
      <c r="I73" s="54">
        <f>ÍNDICE_INPC!I72</f>
        <v>0</v>
      </c>
      <c r="J73" s="55">
        <f>ÍNDICE_INPC!J72</f>
        <v>0</v>
      </c>
      <c r="K73" s="32">
        <f t="shared" si="5"/>
        <v>636.34564563110337</v>
      </c>
      <c r="L73" s="41"/>
      <c r="M73" s="51">
        <f t="shared" si="6"/>
        <v>636.34564563110337</v>
      </c>
      <c r="N73" s="52">
        <f>ÍNDICE_INPC!K72</f>
        <v>659.27732450486837</v>
      </c>
    </row>
    <row r="74" spans="2:14" ht="15" thickBot="1" x14ac:dyDescent="0.35">
      <c r="B74" s="31">
        <v>38108</v>
      </c>
      <c r="C74" s="32">
        <f t="shared" si="0"/>
        <v>636.34564563110337</v>
      </c>
      <c r="D74" s="50">
        <v>5.1000000000000004E-3</v>
      </c>
      <c r="E74" s="32">
        <f t="shared" si="1"/>
        <v>3.24</v>
      </c>
      <c r="F74" s="32">
        <f t="shared" si="2"/>
        <v>639.58564563110338</v>
      </c>
      <c r="G74" s="32">
        <f t="shared" si="3"/>
        <v>1.5773908902506213</v>
      </c>
      <c r="H74" s="32">
        <f t="shared" si="4"/>
        <v>641.163036521354</v>
      </c>
      <c r="I74" s="54">
        <f>ÍNDICE_INPC!I73</f>
        <v>0</v>
      </c>
      <c r="J74" s="55">
        <f>ÍNDICE_INPC!J73</f>
        <v>0</v>
      </c>
      <c r="K74" s="32">
        <f t="shared" si="5"/>
        <v>641.163036521354</v>
      </c>
      <c r="L74" s="41"/>
      <c r="M74" s="51">
        <f t="shared" si="6"/>
        <v>641.163036521354</v>
      </c>
      <c r="N74" s="52">
        <f>ÍNDICE_INPC!K73</f>
        <v>663.54678394596499</v>
      </c>
    </row>
    <row r="75" spans="2:14" ht="15" thickBot="1" x14ac:dyDescent="0.35">
      <c r="B75" s="31">
        <v>38139</v>
      </c>
      <c r="C75" s="32">
        <f t="shared" ref="C75:C138" si="7">K74</f>
        <v>641.163036521354</v>
      </c>
      <c r="D75" s="50">
        <v>7.1000000000000004E-3</v>
      </c>
      <c r="E75" s="32">
        <f t="shared" ref="E75:E138" si="8">ROUNDDOWN(D75*C75,2)</f>
        <v>4.55</v>
      </c>
      <c r="F75" s="32">
        <f t="shared" ref="F75:F138" si="9">E75+C75</f>
        <v>645.71303652135396</v>
      </c>
      <c r="G75" s="32">
        <f t="shared" ref="G75:G138" si="10">F75*$A$10</f>
        <v>1.5925026905815196</v>
      </c>
      <c r="H75" s="32">
        <f t="shared" ref="H75:H138" si="11">G75+F75</f>
        <v>647.30553921193552</v>
      </c>
      <c r="I75" s="54">
        <f>ÍNDICE_INPC!I74</f>
        <v>0</v>
      </c>
      <c r="J75" s="55">
        <f>ÍNDICE_INPC!J74</f>
        <v>0</v>
      </c>
      <c r="K75" s="32">
        <f t="shared" ref="K75:K138" si="12">H75-I75+J75</f>
        <v>647.30553921193552</v>
      </c>
      <c r="L75" s="41"/>
      <c r="M75" s="51">
        <f t="shared" ref="M75:M138" si="13">K75</f>
        <v>647.30553921193552</v>
      </c>
      <c r="N75" s="52">
        <f>ÍNDICE_INPC!K74</f>
        <v>668.50845009039745</v>
      </c>
    </row>
    <row r="76" spans="2:14" ht="15" customHeight="1" thickBot="1" x14ac:dyDescent="0.35">
      <c r="B76" s="31">
        <v>38169</v>
      </c>
      <c r="C76" s="32">
        <f t="shared" si="7"/>
        <v>647.30553921193552</v>
      </c>
      <c r="D76" s="50">
        <v>9.1000000000000004E-3</v>
      </c>
      <c r="E76" s="32">
        <f t="shared" si="8"/>
        <v>5.89</v>
      </c>
      <c r="F76" s="32">
        <f t="shared" si="9"/>
        <v>653.19553921193551</v>
      </c>
      <c r="G76" s="32">
        <f t="shared" si="10"/>
        <v>1.6109565624922202</v>
      </c>
      <c r="H76" s="32">
        <f t="shared" si="11"/>
        <v>654.80649577442773</v>
      </c>
      <c r="I76" s="54">
        <f>ÍNDICE_INPC!I75</f>
        <v>0</v>
      </c>
      <c r="J76" s="55">
        <f>ÍNDICE_INPC!J75</f>
        <v>0</v>
      </c>
      <c r="K76" s="32">
        <f t="shared" si="12"/>
        <v>654.80649577442773</v>
      </c>
      <c r="L76" s="41"/>
      <c r="M76" s="51">
        <f t="shared" si="13"/>
        <v>654.80649577442773</v>
      </c>
      <c r="N76" s="52">
        <f>ÍNDICE_INPC!K75</f>
        <v>675.04920782320187</v>
      </c>
    </row>
    <row r="77" spans="2:14" ht="15" customHeight="1" thickBot="1" x14ac:dyDescent="0.35">
      <c r="B77" s="31">
        <v>38200</v>
      </c>
      <c r="C77" s="32">
        <f t="shared" si="7"/>
        <v>654.80649577442773</v>
      </c>
      <c r="D77" s="50">
        <v>6.8999999999999999E-3</v>
      </c>
      <c r="E77" s="32">
        <f t="shared" si="8"/>
        <v>4.51</v>
      </c>
      <c r="F77" s="32">
        <f t="shared" si="9"/>
        <v>659.31649577442772</v>
      </c>
      <c r="G77" s="32">
        <f t="shared" si="10"/>
        <v>1.6260524940335979</v>
      </c>
      <c r="H77" s="32">
        <f t="shared" si="11"/>
        <v>660.94254826846134</v>
      </c>
      <c r="I77" s="54">
        <f>ÍNDICE_INPC!I76</f>
        <v>0</v>
      </c>
      <c r="J77" s="55">
        <f>ÍNDICE_INPC!J76</f>
        <v>0</v>
      </c>
      <c r="K77" s="32">
        <f t="shared" si="12"/>
        <v>660.94254826846134</v>
      </c>
      <c r="L77" s="41"/>
      <c r="M77" s="51">
        <f t="shared" si="13"/>
        <v>660.94254826846134</v>
      </c>
      <c r="N77" s="52">
        <f>ÍNDICE_INPC!K76</f>
        <v>680.09738509423005</v>
      </c>
    </row>
    <row r="78" spans="2:14" ht="15" thickBot="1" x14ac:dyDescent="0.35">
      <c r="B78" s="31">
        <v>38231</v>
      </c>
      <c r="C78" s="32">
        <f t="shared" si="7"/>
        <v>660.94254826846134</v>
      </c>
      <c r="D78" s="50">
        <v>3.3E-3</v>
      </c>
      <c r="E78" s="32">
        <f t="shared" si="8"/>
        <v>2.1800000000000002</v>
      </c>
      <c r="F78" s="32">
        <f t="shared" si="9"/>
        <v>663.12254826846129</v>
      </c>
      <c r="G78" s="32">
        <f t="shared" si="10"/>
        <v>1.6354392471180581</v>
      </c>
      <c r="H78" s="32">
        <f t="shared" si="11"/>
        <v>664.75798751557932</v>
      </c>
      <c r="I78" s="54">
        <f>ÍNDICE_INPC!I77</f>
        <v>0</v>
      </c>
      <c r="J78" s="55">
        <f>ÍNDICE_INPC!J77</f>
        <v>91.47</v>
      </c>
      <c r="K78" s="32">
        <f t="shared" si="12"/>
        <v>756.22798751557934</v>
      </c>
      <c r="L78" s="41"/>
      <c r="M78" s="51">
        <f t="shared" si="13"/>
        <v>756.22798751557934</v>
      </c>
      <c r="N78" s="52">
        <f>ÍNDICE_INPC!K77</f>
        <v>774.40353988028642</v>
      </c>
    </row>
    <row r="79" spans="2:14" ht="15" thickBot="1" x14ac:dyDescent="0.35">
      <c r="B79" s="31">
        <v>38261</v>
      </c>
      <c r="C79" s="32">
        <f t="shared" si="7"/>
        <v>756.22798751557934</v>
      </c>
      <c r="D79" s="50">
        <v>4.4000000000000003E-3</v>
      </c>
      <c r="E79" s="32">
        <f t="shared" si="8"/>
        <v>3.32</v>
      </c>
      <c r="F79" s="32">
        <f t="shared" si="9"/>
        <v>759.54798751557939</v>
      </c>
      <c r="G79" s="32">
        <f t="shared" si="10"/>
        <v>1.873250415170048</v>
      </c>
      <c r="H79" s="32">
        <f t="shared" si="11"/>
        <v>761.42123793074938</v>
      </c>
      <c r="I79" s="54">
        <f>ÍNDICE_INPC!I78</f>
        <v>0</v>
      </c>
      <c r="J79" s="55">
        <f>ÍNDICE_INPC!J78</f>
        <v>0</v>
      </c>
      <c r="K79" s="32">
        <f t="shared" si="12"/>
        <v>761.42123793074938</v>
      </c>
      <c r="L79" s="41"/>
      <c r="M79" s="51">
        <f t="shared" si="13"/>
        <v>761.42123793074938</v>
      </c>
      <c r="N79" s="52">
        <f>ÍNDICE_INPC!K78</f>
        <v>777.63267370990695</v>
      </c>
    </row>
    <row r="80" spans="2:14" ht="15" thickBot="1" x14ac:dyDescent="0.35">
      <c r="B80" s="31">
        <v>38292</v>
      </c>
      <c r="C80" s="32">
        <f t="shared" si="7"/>
        <v>761.42123793074938</v>
      </c>
      <c r="D80" s="50">
        <v>6.8999999999999999E-3</v>
      </c>
      <c r="E80" s="32">
        <f t="shared" si="8"/>
        <v>5.25</v>
      </c>
      <c r="F80" s="32">
        <f t="shared" si="9"/>
        <v>766.67123793074938</v>
      </c>
      <c r="G80" s="32">
        <f t="shared" si="10"/>
        <v>1.8908182739714694</v>
      </c>
      <c r="H80" s="32">
        <f t="shared" si="11"/>
        <v>768.56205620472088</v>
      </c>
      <c r="I80" s="54">
        <f>ÍNDICE_INPC!I79</f>
        <v>0</v>
      </c>
      <c r="J80" s="55">
        <f>ÍNDICE_INPC!J79</f>
        <v>0</v>
      </c>
      <c r="K80" s="32">
        <f t="shared" si="12"/>
        <v>768.56205620472088</v>
      </c>
      <c r="L80" s="41"/>
      <c r="M80" s="51">
        <f t="shared" si="13"/>
        <v>768.56205620472088</v>
      </c>
      <c r="N80" s="52">
        <f>ÍNDICE_INPC!K79</f>
        <v>782.97996295376754</v>
      </c>
    </row>
    <row r="81" spans="2:14" ht="15" thickBot="1" x14ac:dyDescent="0.35">
      <c r="B81" s="31">
        <v>38322</v>
      </c>
      <c r="C81" s="32">
        <f t="shared" si="7"/>
        <v>768.56205620472088</v>
      </c>
      <c r="D81" s="50">
        <v>8.6E-3</v>
      </c>
      <c r="E81" s="32">
        <f t="shared" si="8"/>
        <v>6.6</v>
      </c>
      <c r="F81" s="32">
        <f t="shared" si="9"/>
        <v>775.1620562047209</v>
      </c>
      <c r="G81" s="32">
        <f t="shared" si="10"/>
        <v>1.9117589243560169</v>
      </c>
      <c r="H81" s="32">
        <f t="shared" si="11"/>
        <v>777.07381512907693</v>
      </c>
      <c r="I81" s="54">
        <f>ÍNDICE_INPC!I80</f>
        <v>0</v>
      </c>
      <c r="J81" s="55">
        <f>ÍNDICE_INPC!J80</f>
        <v>0</v>
      </c>
      <c r="K81" s="32">
        <f t="shared" si="12"/>
        <v>777.07381512907693</v>
      </c>
      <c r="L81" s="41"/>
      <c r="M81" s="51">
        <f t="shared" si="13"/>
        <v>777.07381512907693</v>
      </c>
      <c r="N81" s="52">
        <f>ÍNDICE_INPC!K80</f>
        <v>791.66060834291147</v>
      </c>
    </row>
    <row r="82" spans="2:14" ht="15" thickBot="1" x14ac:dyDescent="0.35">
      <c r="B82" s="31">
        <v>38353</v>
      </c>
      <c r="C82" s="32">
        <f t="shared" si="7"/>
        <v>777.07381512907693</v>
      </c>
      <c r="D82" s="50">
        <v>5.7999999999999996E-3</v>
      </c>
      <c r="E82" s="32">
        <f t="shared" si="8"/>
        <v>4.5</v>
      </c>
      <c r="F82" s="32">
        <f t="shared" si="9"/>
        <v>781.57381512907693</v>
      </c>
      <c r="G82" s="32">
        <f t="shared" si="10"/>
        <v>1.9275720530383886</v>
      </c>
      <c r="H82" s="32">
        <f t="shared" si="11"/>
        <v>783.50138718211531</v>
      </c>
      <c r="I82" s="54">
        <f>ÍNDICE_INPC!I81</f>
        <v>0</v>
      </c>
      <c r="J82" s="55">
        <f>ÍNDICE_INPC!J81</f>
        <v>0</v>
      </c>
      <c r="K82" s="32">
        <f t="shared" si="12"/>
        <v>783.50138718211531</v>
      </c>
      <c r="L82" s="41"/>
      <c r="M82" s="51">
        <f t="shared" si="13"/>
        <v>783.50138718211531</v>
      </c>
      <c r="N82" s="52">
        <f>ÍNDICE_INPC!K81</f>
        <v>798.13618496168931</v>
      </c>
    </row>
    <row r="83" spans="2:14" ht="15" customHeight="1" thickBot="1" x14ac:dyDescent="0.35">
      <c r="B83" s="31">
        <v>38384</v>
      </c>
      <c r="C83" s="32">
        <f t="shared" si="7"/>
        <v>783.50138718211531</v>
      </c>
      <c r="D83" s="50">
        <v>5.8999999999999999E-3</v>
      </c>
      <c r="E83" s="32">
        <f t="shared" si="8"/>
        <v>4.62</v>
      </c>
      <c r="F83" s="32">
        <f t="shared" si="9"/>
        <v>788.12138718211531</v>
      </c>
      <c r="G83" s="32">
        <f t="shared" si="10"/>
        <v>1.9437201335656356</v>
      </c>
      <c r="H83" s="32">
        <f t="shared" si="11"/>
        <v>790.06510731568096</v>
      </c>
      <c r="I83" s="54">
        <f>ÍNDICE_INPC!I82</f>
        <v>0</v>
      </c>
      <c r="J83" s="55">
        <f>ÍNDICE_INPC!J82</f>
        <v>0</v>
      </c>
      <c r="K83" s="32">
        <f t="shared" si="12"/>
        <v>790.06510731568096</v>
      </c>
      <c r="L83" s="41"/>
      <c r="M83" s="51">
        <f t="shared" si="13"/>
        <v>790.06510731568096</v>
      </c>
      <c r="N83" s="52">
        <f>ÍNDICE_INPC!K82</f>
        <v>803.62426336454473</v>
      </c>
    </row>
    <row r="84" spans="2:14" ht="15" customHeight="1" thickBot="1" x14ac:dyDescent="0.35">
      <c r="B84" s="31">
        <v>38412</v>
      </c>
      <c r="C84" s="32">
        <f t="shared" si="7"/>
        <v>790.06510731568096</v>
      </c>
      <c r="D84" s="50">
        <v>6.1000000000000004E-3</v>
      </c>
      <c r="E84" s="32">
        <f t="shared" si="8"/>
        <v>4.8099999999999996</v>
      </c>
      <c r="F84" s="32">
        <f t="shared" si="9"/>
        <v>794.87510731568091</v>
      </c>
      <c r="G84" s="32">
        <f t="shared" si="10"/>
        <v>1.9603766309194444</v>
      </c>
      <c r="H84" s="32">
        <f t="shared" si="11"/>
        <v>796.83548394660033</v>
      </c>
      <c r="I84" s="54">
        <f>ÍNDICE_INPC!I83</f>
        <v>0</v>
      </c>
      <c r="J84" s="55">
        <f>ÍNDICE_INPC!J83</f>
        <v>0</v>
      </c>
      <c r="K84" s="32">
        <f t="shared" si="12"/>
        <v>796.83548394660033</v>
      </c>
      <c r="L84" s="41"/>
      <c r="M84" s="51">
        <f t="shared" si="13"/>
        <v>796.83548394660033</v>
      </c>
      <c r="N84" s="52">
        <f>ÍNDICE_INPC!K83</f>
        <v>811.48668491637284</v>
      </c>
    </row>
    <row r="85" spans="2:14" ht="15" thickBot="1" x14ac:dyDescent="0.35">
      <c r="B85" s="31">
        <v>38443</v>
      </c>
      <c r="C85" s="32">
        <f t="shared" si="7"/>
        <v>796.83548394660033</v>
      </c>
      <c r="D85" s="50">
        <v>8.6999999999999994E-3</v>
      </c>
      <c r="E85" s="32">
        <f t="shared" si="8"/>
        <v>6.93</v>
      </c>
      <c r="F85" s="32">
        <f t="shared" si="9"/>
        <v>803.76548394660028</v>
      </c>
      <c r="G85" s="32">
        <f t="shared" si="10"/>
        <v>1.9823027000929818</v>
      </c>
      <c r="H85" s="32">
        <f t="shared" si="11"/>
        <v>805.74778664669327</v>
      </c>
      <c r="I85" s="54">
        <f>ÍNDICE_INPC!I84</f>
        <v>0</v>
      </c>
      <c r="J85" s="55">
        <f>ÍNDICE_INPC!J84</f>
        <v>0</v>
      </c>
      <c r="K85" s="32">
        <f t="shared" si="12"/>
        <v>805.74778664669327</v>
      </c>
      <c r="L85" s="41"/>
      <c r="M85" s="51">
        <f t="shared" si="13"/>
        <v>805.74778664669327</v>
      </c>
      <c r="N85" s="52">
        <f>ÍNDICE_INPC!K84</f>
        <v>820.89024112046161</v>
      </c>
    </row>
    <row r="86" spans="2:14" ht="15" thickBot="1" x14ac:dyDescent="0.35">
      <c r="B86" s="31">
        <v>38473</v>
      </c>
      <c r="C86" s="32">
        <f t="shared" si="7"/>
        <v>805.74778664669327</v>
      </c>
      <c r="D86" s="50">
        <v>4.8999999999999998E-3</v>
      </c>
      <c r="E86" s="32">
        <f t="shared" si="8"/>
        <v>3.94</v>
      </c>
      <c r="F86" s="32">
        <f t="shared" si="9"/>
        <v>809.68778664669333</v>
      </c>
      <c r="G86" s="32">
        <f t="shared" si="10"/>
        <v>1.9969086975731403</v>
      </c>
      <c r="H86" s="32">
        <f t="shared" si="11"/>
        <v>811.68469534426652</v>
      </c>
      <c r="I86" s="54">
        <f>ÍNDICE_INPC!I85</f>
        <v>0</v>
      </c>
      <c r="J86" s="55">
        <f>ÍNDICE_INPC!J85</f>
        <v>0</v>
      </c>
      <c r="K86" s="32">
        <f t="shared" si="12"/>
        <v>811.68469534426652</v>
      </c>
      <c r="L86" s="41"/>
      <c r="M86" s="51">
        <f t="shared" si="13"/>
        <v>811.68469534426652</v>
      </c>
      <c r="N86" s="52">
        <f>ÍNDICE_INPC!K85</f>
        <v>828.67494928284975</v>
      </c>
    </row>
    <row r="87" spans="2:14" ht="15" thickBot="1" x14ac:dyDescent="0.35">
      <c r="B87" s="31">
        <v>38504</v>
      </c>
      <c r="C87" s="32">
        <f t="shared" si="7"/>
        <v>811.68469534426652</v>
      </c>
      <c r="D87" s="50">
        <v>-2.0000000000000001E-4</v>
      </c>
      <c r="E87" s="32">
        <f t="shared" si="8"/>
        <v>-0.16</v>
      </c>
      <c r="F87" s="32">
        <f t="shared" si="9"/>
        <v>811.52469534426655</v>
      </c>
      <c r="G87" s="32">
        <f t="shared" si="10"/>
        <v>2.0014390103867044</v>
      </c>
      <c r="H87" s="32">
        <f t="shared" si="11"/>
        <v>813.52613435465321</v>
      </c>
      <c r="I87" s="54">
        <f>ÍNDICE_INPC!I86</f>
        <v>0</v>
      </c>
      <c r="J87" s="55">
        <f>ÍNDICE_INPC!J86</f>
        <v>0</v>
      </c>
      <c r="K87" s="32">
        <f t="shared" si="12"/>
        <v>813.52613435465321</v>
      </c>
      <c r="L87" s="41"/>
      <c r="M87" s="51">
        <f t="shared" si="13"/>
        <v>813.52613435465321</v>
      </c>
      <c r="N87" s="52">
        <f>ÍNDICE_INPC!K86</f>
        <v>829.80543867804761</v>
      </c>
    </row>
    <row r="88" spans="2:14" ht="15" thickBot="1" x14ac:dyDescent="0.35">
      <c r="B88" s="31">
        <v>38534</v>
      </c>
      <c r="C88" s="32">
        <f t="shared" si="7"/>
        <v>813.52613435465321</v>
      </c>
      <c r="D88" s="50">
        <v>2.5000000000000001E-3</v>
      </c>
      <c r="E88" s="32">
        <f t="shared" si="8"/>
        <v>2.0299999999999998</v>
      </c>
      <c r="F88" s="32">
        <f t="shared" si="9"/>
        <v>815.55613435465318</v>
      </c>
      <c r="G88" s="32">
        <f t="shared" si="10"/>
        <v>2.0113816274748504</v>
      </c>
      <c r="H88" s="32">
        <f t="shared" si="11"/>
        <v>817.56751598212804</v>
      </c>
      <c r="I88" s="54">
        <f>ÍNDICE_INPC!I87</f>
        <v>0</v>
      </c>
      <c r="J88" s="55">
        <f>ÍNDICE_INPC!J87</f>
        <v>0</v>
      </c>
      <c r="K88" s="32">
        <f t="shared" si="12"/>
        <v>817.56751598212804</v>
      </c>
      <c r="L88" s="41"/>
      <c r="M88" s="51">
        <f t="shared" si="13"/>
        <v>817.56751598212804</v>
      </c>
      <c r="N88" s="52">
        <f>ÍNDICE_INPC!K87</f>
        <v>832.10057457225616</v>
      </c>
    </row>
    <row r="89" spans="2:14" ht="15" thickBot="1" x14ac:dyDescent="0.35">
      <c r="B89" s="31">
        <v>38565</v>
      </c>
      <c r="C89" s="32">
        <f t="shared" si="7"/>
        <v>817.56751598212804</v>
      </c>
      <c r="D89" s="50">
        <v>1.6999999999999999E-3</v>
      </c>
      <c r="E89" s="32">
        <f t="shared" si="8"/>
        <v>1.38</v>
      </c>
      <c r="F89" s="32">
        <f t="shared" si="9"/>
        <v>818.94751598212804</v>
      </c>
      <c r="G89" s="32">
        <f t="shared" si="10"/>
        <v>2.0197456902412427</v>
      </c>
      <c r="H89" s="32">
        <f t="shared" si="11"/>
        <v>820.96726167236932</v>
      </c>
      <c r="I89" s="54">
        <f>ÍNDICE_INPC!I88</f>
        <v>0</v>
      </c>
      <c r="J89" s="55">
        <f>ÍNDICE_INPC!J88</f>
        <v>0</v>
      </c>
      <c r="K89" s="32">
        <f t="shared" si="12"/>
        <v>820.96726167236932</v>
      </c>
      <c r="L89" s="41"/>
      <c r="M89" s="51">
        <f t="shared" si="13"/>
        <v>820.96726167236932</v>
      </c>
      <c r="N89" s="52">
        <f>ÍNDICE_INPC!K88</f>
        <v>834.15275925630647</v>
      </c>
    </row>
    <row r="90" spans="2:14" ht="15" customHeight="1" thickBot="1" x14ac:dyDescent="0.35">
      <c r="B90" s="31">
        <v>38596</v>
      </c>
      <c r="C90" s="32">
        <f t="shared" si="7"/>
        <v>820.96726167236932</v>
      </c>
      <c r="D90" s="50">
        <v>3.5000000000000001E-3</v>
      </c>
      <c r="E90" s="32">
        <f t="shared" si="8"/>
        <v>2.87</v>
      </c>
      <c r="F90" s="32">
        <f t="shared" si="9"/>
        <v>823.83726167236932</v>
      </c>
      <c r="G90" s="32">
        <f t="shared" si="10"/>
        <v>2.0318051233447143</v>
      </c>
      <c r="H90" s="32">
        <f t="shared" si="11"/>
        <v>825.86906679571405</v>
      </c>
      <c r="I90" s="54">
        <f>ÍNDICE_INPC!I89</f>
        <v>0</v>
      </c>
      <c r="J90" s="55">
        <f>ÍNDICE_INPC!J89</f>
        <v>0</v>
      </c>
      <c r="K90" s="32">
        <f t="shared" si="12"/>
        <v>825.86906679571405</v>
      </c>
      <c r="L90" s="41"/>
      <c r="M90" s="51">
        <f t="shared" si="13"/>
        <v>825.86906679571405</v>
      </c>
      <c r="N90" s="52">
        <f>ÍNDICE_INPC!K89</f>
        <v>837.46409048564749</v>
      </c>
    </row>
    <row r="91" spans="2:14" ht="15" customHeight="1" thickBot="1" x14ac:dyDescent="0.35">
      <c r="B91" s="31">
        <v>38626</v>
      </c>
      <c r="C91" s="32">
        <f t="shared" si="7"/>
        <v>825.86906679571405</v>
      </c>
      <c r="D91" s="50">
        <v>7.4999999999999997E-3</v>
      </c>
      <c r="E91" s="32">
        <f t="shared" si="8"/>
        <v>6.19</v>
      </c>
      <c r="F91" s="32">
        <f t="shared" si="9"/>
        <v>832.0590667957141</v>
      </c>
      <c r="G91" s="32">
        <f t="shared" si="10"/>
        <v>2.0520823146662659</v>
      </c>
      <c r="H91" s="32">
        <f t="shared" si="11"/>
        <v>834.11114911038032</v>
      </c>
      <c r="I91" s="54">
        <f>ÍNDICE_INPC!I90</f>
        <v>0</v>
      </c>
      <c r="J91" s="55">
        <f>ÍNDICE_INPC!J90</f>
        <v>0</v>
      </c>
      <c r="K91" s="32">
        <f t="shared" si="12"/>
        <v>834.11114911038032</v>
      </c>
      <c r="L91" s="41"/>
      <c r="M91" s="51">
        <f t="shared" si="13"/>
        <v>834.11114911038032</v>
      </c>
      <c r="N91" s="52">
        <f>ÍNDICE_INPC!K90</f>
        <v>844.39848172147947</v>
      </c>
    </row>
    <row r="92" spans="2:14" ht="15" thickBot="1" x14ac:dyDescent="0.35">
      <c r="B92" s="31">
        <v>38657</v>
      </c>
      <c r="C92" s="32">
        <f t="shared" si="7"/>
        <v>834.11114911038032</v>
      </c>
      <c r="D92" s="50">
        <v>5.4999999999999997E-3</v>
      </c>
      <c r="E92" s="32">
        <f t="shared" si="8"/>
        <v>4.58</v>
      </c>
      <c r="F92" s="32">
        <f t="shared" si="9"/>
        <v>838.69114911038037</v>
      </c>
      <c r="G92" s="32">
        <f t="shared" si="10"/>
        <v>2.0684388203164579</v>
      </c>
      <c r="H92" s="32">
        <f t="shared" si="11"/>
        <v>840.75958793069685</v>
      </c>
      <c r="I92" s="54">
        <f>ÍNDICE_INPC!I91</f>
        <v>0</v>
      </c>
      <c r="J92" s="55">
        <f>ÍNDICE_INPC!J91</f>
        <v>0</v>
      </c>
      <c r="K92" s="32">
        <f t="shared" si="12"/>
        <v>840.75958793069685</v>
      </c>
      <c r="L92" s="41"/>
      <c r="M92" s="51">
        <f t="shared" si="13"/>
        <v>840.75958793069685</v>
      </c>
      <c r="N92" s="52">
        <f>ÍNDICE_INPC!K91</f>
        <v>851.0512400899247</v>
      </c>
    </row>
    <row r="93" spans="2:14" ht="15" thickBot="1" x14ac:dyDescent="0.35">
      <c r="B93" s="31">
        <v>38687</v>
      </c>
      <c r="C93" s="32">
        <f t="shared" si="7"/>
        <v>840.75958793069685</v>
      </c>
      <c r="D93" s="50">
        <v>3.5999999999999999E-3</v>
      </c>
      <c r="E93" s="32">
        <f t="shared" si="8"/>
        <v>3.02</v>
      </c>
      <c r="F93" s="32">
        <f t="shared" si="9"/>
        <v>843.77958793069683</v>
      </c>
      <c r="G93" s="32">
        <f t="shared" si="10"/>
        <v>2.0809882843258398</v>
      </c>
      <c r="H93" s="32">
        <f t="shared" si="11"/>
        <v>845.86057621502266</v>
      </c>
      <c r="I93" s="54">
        <f>ÍNDICE_INPC!I92</f>
        <v>0</v>
      </c>
      <c r="J93" s="55">
        <f>ÍNDICE_INPC!J92</f>
        <v>0</v>
      </c>
      <c r="K93" s="32">
        <f t="shared" si="12"/>
        <v>845.86057621502266</v>
      </c>
      <c r="L93" s="41"/>
      <c r="M93" s="51">
        <f t="shared" si="13"/>
        <v>845.86057621502266</v>
      </c>
      <c r="N93" s="52">
        <f>ÍNDICE_INPC!K92</f>
        <v>856.56255741490133</v>
      </c>
    </row>
    <row r="94" spans="2:14" ht="15" thickBot="1" x14ac:dyDescent="0.35">
      <c r="B94" s="31">
        <v>38718</v>
      </c>
      <c r="C94" s="32">
        <f t="shared" si="7"/>
        <v>845.86057621502266</v>
      </c>
      <c r="D94" s="50">
        <v>5.8999999999999999E-3</v>
      </c>
      <c r="E94" s="32">
        <f t="shared" si="8"/>
        <v>4.99</v>
      </c>
      <c r="F94" s="32">
        <f t="shared" si="9"/>
        <v>850.85057621502267</v>
      </c>
      <c r="G94" s="32">
        <f t="shared" si="10"/>
        <v>2.0984272506018238</v>
      </c>
      <c r="H94" s="32">
        <f t="shared" si="11"/>
        <v>852.94900346562451</v>
      </c>
      <c r="I94" s="54">
        <f>ÍNDICE_INPC!I93</f>
        <v>0</v>
      </c>
      <c r="J94" s="55">
        <f>ÍNDICE_INPC!J93</f>
        <v>0</v>
      </c>
      <c r="K94" s="32">
        <f t="shared" si="12"/>
        <v>852.94900346562451</v>
      </c>
      <c r="L94" s="41"/>
      <c r="M94" s="51">
        <f t="shared" si="13"/>
        <v>852.94900346562451</v>
      </c>
      <c r="N94" s="52">
        <f>ÍNDICE_INPC!K93</f>
        <v>861.93709719595699</v>
      </c>
    </row>
    <row r="95" spans="2:14" ht="15" thickBot="1" x14ac:dyDescent="0.35">
      <c r="B95" s="31">
        <v>38749</v>
      </c>
      <c r="C95" s="32">
        <f t="shared" si="7"/>
        <v>852.94900346562451</v>
      </c>
      <c r="D95" s="50">
        <v>4.1000000000000003E-3</v>
      </c>
      <c r="E95" s="32">
        <f t="shared" si="8"/>
        <v>3.49</v>
      </c>
      <c r="F95" s="32">
        <f t="shared" si="9"/>
        <v>856.43900346562452</v>
      </c>
      <c r="G95" s="32">
        <f t="shared" si="10"/>
        <v>2.1122098210771658</v>
      </c>
      <c r="H95" s="32">
        <f t="shared" si="11"/>
        <v>858.55121328670168</v>
      </c>
      <c r="I95" s="54">
        <f>ÍNDICE_INPC!I94</f>
        <v>0</v>
      </c>
      <c r="J95" s="55">
        <f>ÍNDICE_INPC!J94</f>
        <v>0</v>
      </c>
      <c r="K95" s="32">
        <f t="shared" si="12"/>
        <v>858.55121328670168</v>
      </c>
      <c r="L95" s="41"/>
      <c r="M95" s="51">
        <f t="shared" si="13"/>
        <v>858.55121328670168</v>
      </c>
      <c r="N95" s="52">
        <f>ÍNDICE_INPC!K94</f>
        <v>866.04975494779842</v>
      </c>
    </row>
    <row r="96" spans="2:14" ht="15" thickBot="1" x14ac:dyDescent="0.35">
      <c r="B96" s="31">
        <v>38777</v>
      </c>
      <c r="C96" s="32">
        <f t="shared" si="7"/>
        <v>858.55121328670168</v>
      </c>
      <c r="D96" s="50">
        <v>4.3E-3</v>
      </c>
      <c r="E96" s="32">
        <f t="shared" si="8"/>
        <v>3.69</v>
      </c>
      <c r="F96" s="32">
        <f t="shared" si="9"/>
        <v>862.24121328670174</v>
      </c>
      <c r="G96" s="32">
        <f t="shared" si="10"/>
        <v>2.1265196370925938</v>
      </c>
      <c r="H96" s="32">
        <f t="shared" si="11"/>
        <v>864.36773292379428</v>
      </c>
      <c r="I96" s="54">
        <f>ÍNDICE_INPC!I95</f>
        <v>0</v>
      </c>
      <c r="J96" s="55">
        <f>ÍNDICE_INPC!J95</f>
        <v>0</v>
      </c>
      <c r="K96" s="32">
        <f t="shared" si="12"/>
        <v>864.36773292379428</v>
      </c>
      <c r="L96" s="41"/>
      <c r="M96" s="51">
        <f t="shared" si="13"/>
        <v>864.36773292379428</v>
      </c>
      <c r="N96" s="52">
        <f>ÍNDICE_INPC!K95</f>
        <v>870.5294336161935</v>
      </c>
    </row>
    <row r="97" spans="2:14" ht="15" customHeight="1" thickBot="1" x14ac:dyDescent="0.35">
      <c r="B97" s="31">
        <v>38808</v>
      </c>
      <c r="C97" s="32">
        <f t="shared" si="7"/>
        <v>864.36773292379428</v>
      </c>
      <c r="D97" s="50">
        <v>2.0999999999999999E-3</v>
      </c>
      <c r="E97" s="32">
        <f t="shared" si="8"/>
        <v>1.81</v>
      </c>
      <c r="F97" s="32">
        <f t="shared" si="9"/>
        <v>866.17773292379422</v>
      </c>
      <c r="G97" s="32">
        <f t="shared" si="10"/>
        <v>2.1362281573779658</v>
      </c>
      <c r="H97" s="32">
        <f t="shared" si="11"/>
        <v>868.31396108117224</v>
      </c>
      <c r="I97" s="54">
        <f>ÍNDICE_INPC!I96</f>
        <v>0</v>
      </c>
      <c r="J97" s="55">
        <f>ÍNDICE_INPC!J96</f>
        <v>0</v>
      </c>
      <c r="K97" s="32">
        <f t="shared" si="12"/>
        <v>868.31396108117224</v>
      </c>
      <c r="L97" s="41"/>
      <c r="M97" s="51">
        <f t="shared" si="13"/>
        <v>868.31396108117224</v>
      </c>
      <c r="N97" s="52">
        <f>ÍNDICE_INPC!K96</f>
        <v>873.72296902831806</v>
      </c>
    </row>
    <row r="98" spans="2:14" ht="15" customHeight="1" thickBot="1" x14ac:dyDescent="0.35">
      <c r="B98" s="31">
        <v>38838</v>
      </c>
      <c r="C98" s="32">
        <f t="shared" si="7"/>
        <v>868.31396108117224</v>
      </c>
      <c r="D98" s="50">
        <v>1E-3</v>
      </c>
      <c r="E98" s="32">
        <f t="shared" si="8"/>
        <v>0.86</v>
      </c>
      <c r="F98" s="32">
        <f t="shared" si="9"/>
        <v>869.17396108117225</v>
      </c>
      <c r="G98" s="32">
        <f t="shared" si="10"/>
        <v>2.1436176649956629</v>
      </c>
      <c r="H98" s="32">
        <f t="shared" si="11"/>
        <v>871.3175787461679</v>
      </c>
      <c r="I98" s="54">
        <f>ÍNDICE_INPC!I97</f>
        <v>0</v>
      </c>
      <c r="J98" s="55">
        <f>ÍNDICE_INPC!J97</f>
        <v>0</v>
      </c>
      <c r="K98" s="32">
        <f t="shared" si="12"/>
        <v>871.3175787461679</v>
      </c>
      <c r="L98" s="41"/>
      <c r="M98" s="51">
        <f t="shared" si="13"/>
        <v>871.3175787461679</v>
      </c>
      <c r="N98" s="52">
        <f>ÍNDICE_INPC!K97</f>
        <v>877.01560499159348</v>
      </c>
    </row>
    <row r="99" spans="2:14" ht="15" thickBot="1" x14ac:dyDescent="0.35">
      <c r="B99" s="31">
        <v>38869</v>
      </c>
      <c r="C99" s="32">
        <f t="shared" si="7"/>
        <v>871.3175787461679</v>
      </c>
      <c r="D99" s="50">
        <v>-2.0999999999999999E-3</v>
      </c>
      <c r="E99" s="32">
        <f t="shared" si="8"/>
        <v>-1.82</v>
      </c>
      <c r="F99" s="32">
        <f t="shared" si="9"/>
        <v>869.49757874616785</v>
      </c>
      <c r="G99" s="32">
        <f t="shared" si="10"/>
        <v>2.1444157935343116</v>
      </c>
      <c r="H99" s="32">
        <f t="shared" si="11"/>
        <v>871.64199453970218</v>
      </c>
      <c r="I99" s="54">
        <f>ÍNDICE_INPC!I98</f>
        <v>0</v>
      </c>
      <c r="J99" s="55">
        <f>ÍNDICE_INPC!J98</f>
        <v>0</v>
      </c>
      <c r="K99" s="32">
        <f t="shared" si="12"/>
        <v>871.64199453970218</v>
      </c>
      <c r="L99" s="41"/>
      <c r="M99" s="51">
        <f t="shared" si="13"/>
        <v>871.64199453970218</v>
      </c>
      <c r="N99" s="52">
        <f>ÍNDICE_INPC!K98</f>
        <v>878.56405044420603</v>
      </c>
    </row>
    <row r="100" spans="2:14" ht="15" thickBot="1" x14ac:dyDescent="0.35">
      <c r="B100" s="31">
        <v>38899</v>
      </c>
      <c r="C100" s="32">
        <f t="shared" si="7"/>
        <v>871.64199453970218</v>
      </c>
      <c r="D100" s="50">
        <v>1.9E-3</v>
      </c>
      <c r="E100" s="32">
        <f t="shared" si="8"/>
        <v>1.65</v>
      </c>
      <c r="F100" s="32">
        <f t="shared" si="9"/>
        <v>873.29199453970216</v>
      </c>
      <c r="G100" s="32">
        <f t="shared" si="10"/>
        <v>2.1537738473734311</v>
      </c>
      <c r="H100" s="32">
        <f t="shared" si="11"/>
        <v>875.44576838707565</v>
      </c>
      <c r="I100" s="54">
        <f>ÍNDICE_INPC!I99</f>
        <v>0</v>
      </c>
      <c r="J100" s="55">
        <f>ÍNDICE_INPC!J99</f>
        <v>0</v>
      </c>
      <c r="K100" s="32">
        <f t="shared" si="12"/>
        <v>875.44576838707565</v>
      </c>
      <c r="L100" s="41"/>
      <c r="M100" s="51">
        <f t="shared" si="13"/>
        <v>875.44576838707565</v>
      </c>
      <c r="N100" s="52">
        <f>ÍNDICE_INPC!K99</f>
        <v>881.69920902171509</v>
      </c>
    </row>
    <row r="101" spans="2:14" ht="15" thickBot="1" x14ac:dyDescent="0.35">
      <c r="B101" s="31">
        <v>38930</v>
      </c>
      <c r="C101" s="32">
        <f t="shared" si="7"/>
        <v>875.44576838707565</v>
      </c>
      <c r="D101" s="50">
        <v>5.0000000000000001E-4</v>
      </c>
      <c r="E101" s="32">
        <f t="shared" si="8"/>
        <v>0.43</v>
      </c>
      <c r="F101" s="32">
        <f t="shared" si="9"/>
        <v>875.8757683870756</v>
      </c>
      <c r="G101" s="32">
        <f t="shared" si="10"/>
        <v>2.1601461312999928</v>
      </c>
      <c r="H101" s="32">
        <f t="shared" si="11"/>
        <v>878.03591451837553</v>
      </c>
      <c r="I101" s="54">
        <f>ÍNDICE_INPC!I100</f>
        <v>0</v>
      </c>
      <c r="J101" s="55">
        <f>ÍNDICE_INPC!J100</f>
        <v>0</v>
      </c>
      <c r="K101" s="32">
        <f t="shared" si="12"/>
        <v>878.03591451837553</v>
      </c>
      <c r="L101" s="41"/>
      <c r="M101" s="51">
        <f t="shared" si="13"/>
        <v>878.03591451837553</v>
      </c>
      <c r="N101" s="52">
        <f>ÍNDICE_INPC!K100</f>
        <v>883.69728326642905</v>
      </c>
    </row>
    <row r="102" spans="2:14" ht="15" thickBot="1" x14ac:dyDescent="0.35">
      <c r="B102" s="31">
        <v>38961</v>
      </c>
      <c r="C102" s="32">
        <f t="shared" si="7"/>
        <v>878.03591451837553</v>
      </c>
      <c r="D102" s="50">
        <v>2.0999999999999999E-3</v>
      </c>
      <c r="E102" s="32">
        <f t="shared" si="8"/>
        <v>1.84</v>
      </c>
      <c r="F102" s="32">
        <f t="shared" si="9"/>
        <v>879.87591451837557</v>
      </c>
      <c r="G102" s="32">
        <f t="shared" si="10"/>
        <v>2.1700115716992343</v>
      </c>
      <c r="H102" s="32">
        <f t="shared" si="11"/>
        <v>882.04592609007477</v>
      </c>
      <c r="I102" s="54">
        <f>ÍNDICE_INPC!I101</f>
        <v>0</v>
      </c>
      <c r="J102" s="55">
        <f>ÍNDICE_INPC!J101</f>
        <v>0</v>
      </c>
      <c r="K102" s="32">
        <f t="shared" si="12"/>
        <v>882.04592609007477</v>
      </c>
      <c r="L102" s="41"/>
      <c r="M102" s="51">
        <f t="shared" si="13"/>
        <v>882.04592609007477</v>
      </c>
      <c r="N102" s="52">
        <f>ÍNDICE_INPC!K101</f>
        <v>887.2932042047405</v>
      </c>
    </row>
    <row r="103" spans="2:14" ht="15" thickBot="1" x14ac:dyDescent="0.35">
      <c r="B103" s="31">
        <v>38991</v>
      </c>
      <c r="C103" s="32">
        <f t="shared" si="7"/>
        <v>882.04592609007477</v>
      </c>
      <c r="D103" s="50">
        <v>3.3E-3</v>
      </c>
      <c r="E103" s="32">
        <f t="shared" si="8"/>
        <v>2.91</v>
      </c>
      <c r="F103" s="32">
        <f t="shared" si="9"/>
        <v>884.95592609007474</v>
      </c>
      <c r="G103" s="32">
        <f t="shared" si="10"/>
        <v>2.1825402518381685</v>
      </c>
      <c r="H103" s="32">
        <f t="shared" si="11"/>
        <v>887.13846634191293</v>
      </c>
      <c r="I103" s="54">
        <f>ÍNDICE_INPC!I102</f>
        <v>0</v>
      </c>
      <c r="J103" s="55">
        <f>ÍNDICE_INPC!J102</f>
        <v>0</v>
      </c>
      <c r="K103" s="32">
        <f t="shared" si="12"/>
        <v>887.13846634191293</v>
      </c>
      <c r="L103" s="41"/>
      <c r="M103" s="51">
        <f t="shared" si="13"/>
        <v>887.13846634191293</v>
      </c>
      <c r="N103" s="52">
        <f>ÍNDICE_INPC!K102</f>
        <v>893.30591763552457</v>
      </c>
    </row>
    <row r="104" spans="2:14" ht="15" customHeight="1" thickBot="1" x14ac:dyDescent="0.35">
      <c r="B104" s="31">
        <v>39022</v>
      </c>
      <c r="C104" s="32">
        <f t="shared" si="7"/>
        <v>887.13846634191293</v>
      </c>
      <c r="D104" s="50">
        <v>3.0999999999999999E-3</v>
      </c>
      <c r="E104" s="32">
        <f t="shared" si="8"/>
        <v>2.75</v>
      </c>
      <c r="F104" s="32">
        <f t="shared" si="9"/>
        <v>889.88846634191293</v>
      </c>
      <c r="G104" s="32">
        <f t="shared" si="10"/>
        <v>2.1947052278850698</v>
      </c>
      <c r="H104" s="32">
        <f t="shared" si="11"/>
        <v>892.08317156979797</v>
      </c>
      <c r="I104" s="54">
        <f>ÍNDICE_INPC!I103</f>
        <v>0</v>
      </c>
      <c r="J104" s="55">
        <f>ÍNDICE_INPC!J103</f>
        <v>0</v>
      </c>
      <c r="K104" s="32">
        <f t="shared" si="12"/>
        <v>892.08317156979797</v>
      </c>
      <c r="L104" s="41"/>
      <c r="M104" s="51">
        <f t="shared" si="13"/>
        <v>892.08317156979797</v>
      </c>
      <c r="N104" s="52">
        <f>ÍNDICE_INPC!K103</f>
        <v>899.26930219978146</v>
      </c>
    </row>
    <row r="105" spans="2:14" ht="15" customHeight="1" thickBot="1" x14ac:dyDescent="0.35">
      <c r="B105" s="31">
        <v>39052</v>
      </c>
      <c r="C105" s="32">
        <f t="shared" si="7"/>
        <v>892.08317156979797</v>
      </c>
      <c r="D105" s="50">
        <v>4.7999999999999996E-3</v>
      </c>
      <c r="E105" s="32">
        <f t="shared" si="8"/>
        <v>4.28</v>
      </c>
      <c r="F105" s="32">
        <f t="shared" si="9"/>
        <v>896.36317156979794</v>
      </c>
      <c r="G105" s="32">
        <f t="shared" si="10"/>
        <v>2.2106735991474458</v>
      </c>
      <c r="H105" s="32">
        <f t="shared" si="11"/>
        <v>898.57384516894535</v>
      </c>
      <c r="I105" s="54">
        <f>ÍNDICE_INPC!I104</f>
        <v>0</v>
      </c>
      <c r="J105" s="55">
        <f>ÍNDICE_INPC!J104</f>
        <v>0</v>
      </c>
      <c r="K105" s="32">
        <f t="shared" si="12"/>
        <v>898.57384516894535</v>
      </c>
      <c r="L105" s="41"/>
      <c r="M105" s="51">
        <f t="shared" si="13"/>
        <v>898.57384516894535</v>
      </c>
      <c r="N105" s="52">
        <f>ÍNDICE_INPC!K104</f>
        <v>907.0758925569678</v>
      </c>
    </row>
    <row r="106" spans="2:14" ht="15" thickBot="1" x14ac:dyDescent="0.35">
      <c r="B106" s="31">
        <v>39083</v>
      </c>
      <c r="C106" s="32">
        <f t="shared" si="7"/>
        <v>898.57384516894535</v>
      </c>
      <c r="D106" s="50">
        <v>4.4000000000000003E-3</v>
      </c>
      <c r="E106" s="32">
        <f t="shared" si="8"/>
        <v>3.95</v>
      </c>
      <c r="F106" s="32">
        <f t="shared" si="9"/>
        <v>902.5238451689454</v>
      </c>
      <c r="G106" s="32">
        <f t="shared" si="10"/>
        <v>2.2258674836248149</v>
      </c>
      <c r="H106" s="32">
        <f t="shared" si="11"/>
        <v>904.74971265257022</v>
      </c>
      <c r="I106" s="54">
        <f>ÍNDICE_INPC!I105</f>
        <v>0</v>
      </c>
      <c r="J106" s="55">
        <f>ÍNDICE_INPC!J105</f>
        <v>0</v>
      </c>
      <c r="K106" s="32">
        <f t="shared" si="12"/>
        <v>904.74971265257022</v>
      </c>
      <c r="L106" s="41"/>
      <c r="M106" s="51">
        <f t="shared" si="13"/>
        <v>904.74971265257022</v>
      </c>
      <c r="N106" s="52">
        <f>ÍNDICE_INPC!K105</f>
        <v>913.76794672238418</v>
      </c>
    </row>
    <row r="107" spans="2:14" ht="15" thickBot="1" x14ac:dyDescent="0.35">
      <c r="B107" s="31">
        <v>39114</v>
      </c>
      <c r="C107" s="32">
        <f t="shared" si="7"/>
        <v>904.74971265257022</v>
      </c>
      <c r="D107" s="50">
        <v>4.4000000000000003E-3</v>
      </c>
      <c r="E107" s="32">
        <f t="shared" si="8"/>
        <v>3.98</v>
      </c>
      <c r="F107" s="32">
        <f t="shared" si="9"/>
        <v>908.72971265257024</v>
      </c>
      <c r="G107" s="32">
        <f t="shared" si="10"/>
        <v>2.2411728284236543</v>
      </c>
      <c r="H107" s="32">
        <f t="shared" si="11"/>
        <v>910.97088548099384</v>
      </c>
      <c r="I107" s="54">
        <f>ÍNDICE_INPC!I106</f>
        <v>0</v>
      </c>
      <c r="J107" s="55">
        <f>ÍNDICE_INPC!J106</f>
        <v>0</v>
      </c>
      <c r="K107" s="32">
        <f t="shared" si="12"/>
        <v>910.97088548099384</v>
      </c>
      <c r="L107" s="41"/>
      <c r="M107" s="51">
        <f t="shared" si="13"/>
        <v>910.97088548099384</v>
      </c>
      <c r="N107" s="52">
        <f>ÍNDICE_INPC!K106</f>
        <v>919.86800827433717</v>
      </c>
    </row>
    <row r="108" spans="2:14" ht="15" thickBot="1" x14ac:dyDescent="0.35">
      <c r="B108" s="31">
        <v>39142</v>
      </c>
      <c r="C108" s="32">
        <f t="shared" si="7"/>
        <v>910.97088548099384</v>
      </c>
      <c r="D108" s="50">
        <v>3.7000000000000002E-3</v>
      </c>
      <c r="E108" s="32">
        <f t="shared" si="8"/>
        <v>3.37</v>
      </c>
      <c r="F108" s="32">
        <f t="shared" si="9"/>
        <v>914.34088548099385</v>
      </c>
      <c r="G108" s="32">
        <f t="shared" si="10"/>
        <v>2.2550114956352107</v>
      </c>
      <c r="H108" s="32">
        <f t="shared" si="11"/>
        <v>916.59589697662909</v>
      </c>
      <c r="I108" s="54">
        <f>ÍNDICE_INPC!I107</f>
        <v>0</v>
      </c>
      <c r="J108" s="55">
        <f>ÍNDICE_INPC!J107</f>
        <v>0</v>
      </c>
      <c r="K108" s="32">
        <f t="shared" si="12"/>
        <v>916.59589697662909</v>
      </c>
      <c r="L108" s="41"/>
      <c r="M108" s="51">
        <f t="shared" si="13"/>
        <v>916.59589697662909</v>
      </c>
      <c r="N108" s="52">
        <f>ÍNDICE_INPC!K107</f>
        <v>926.19363214179396</v>
      </c>
    </row>
    <row r="109" spans="2:14" ht="15" thickBot="1" x14ac:dyDescent="0.35">
      <c r="B109" s="31">
        <v>39173</v>
      </c>
      <c r="C109" s="32">
        <f t="shared" si="7"/>
        <v>916.59589697662909</v>
      </c>
      <c r="D109" s="50">
        <v>2.5000000000000001E-3</v>
      </c>
      <c r="E109" s="32">
        <f t="shared" si="8"/>
        <v>2.29</v>
      </c>
      <c r="F109" s="32">
        <f t="shared" si="9"/>
        <v>918.88589697662906</v>
      </c>
      <c r="G109" s="32">
        <f t="shared" si="10"/>
        <v>2.266220721136551</v>
      </c>
      <c r="H109" s="32">
        <f t="shared" si="11"/>
        <v>921.15211769776556</v>
      </c>
      <c r="I109" s="54">
        <f>ÍNDICE_INPC!I108</f>
        <v>0</v>
      </c>
      <c r="J109" s="55">
        <f>ÍNDICE_INPC!J108</f>
        <v>0</v>
      </c>
      <c r="K109" s="32">
        <f t="shared" si="12"/>
        <v>921.15211769776556</v>
      </c>
      <c r="L109" s="41"/>
      <c r="M109" s="51">
        <f t="shared" si="13"/>
        <v>921.15211769776556</v>
      </c>
      <c r="N109" s="52">
        <f>ÍNDICE_INPC!K108</f>
        <v>930.8918144890963</v>
      </c>
    </row>
    <row r="110" spans="2:14" ht="15" thickBot="1" x14ac:dyDescent="0.35">
      <c r="B110" s="31">
        <v>39203</v>
      </c>
      <c r="C110" s="32">
        <f t="shared" si="7"/>
        <v>921.15211769776556</v>
      </c>
      <c r="D110" s="50">
        <v>2.8E-3</v>
      </c>
      <c r="E110" s="32">
        <f t="shared" si="8"/>
        <v>2.57</v>
      </c>
      <c r="F110" s="32">
        <f t="shared" si="9"/>
        <v>923.72211769776561</v>
      </c>
      <c r="G110" s="32">
        <f t="shared" si="10"/>
        <v>2.2781481472144685</v>
      </c>
      <c r="H110" s="32">
        <f t="shared" si="11"/>
        <v>926.00026584498005</v>
      </c>
      <c r="I110" s="54">
        <f>ÍNDICE_INPC!I109</f>
        <v>0</v>
      </c>
      <c r="J110" s="55">
        <f>ÍNDICE_INPC!J109</f>
        <v>0</v>
      </c>
      <c r="K110" s="32">
        <f t="shared" si="12"/>
        <v>926.00026584498005</v>
      </c>
      <c r="L110" s="41"/>
      <c r="M110" s="51">
        <f t="shared" si="13"/>
        <v>926.00026584498005</v>
      </c>
      <c r="N110" s="52">
        <f>ÍNDICE_INPC!K109</f>
        <v>935.61361341781628</v>
      </c>
    </row>
    <row r="111" spans="2:14" ht="15" customHeight="1" thickBot="1" x14ac:dyDescent="0.35">
      <c r="B111" s="31">
        <v>39234</v>
      </c>
      <c r="C111" s="32">
        <f t="shared" si="7"/>
        <v>926.00026584498005</v>
      </c>
      <c r="D111" s="50">
        <v>2.8E-3</v>
      </c>
      <c r="E111" s="32">
        <f t="shared" si="8"/>
        <v>2.59</v>
      </c>
      <c r="F111" s="32">
        <f t="shared" si="9"/>
        <v>928.59026584498008</v>
      </c>
      <c r="G111" s="32">
        <f t="shared" si="10"/>
        <v>2.2901543149454988</v>
      </c>
      <c r="H111" s="32">
        <f t="shared" si="11"/>
        <v>930.88042015992562</v>
      </c>
      <c r="I111" s="54">
        <f>ÍNDICE_INPC!I110</f>
        <v>472.37</v>
      </c>
      <c r="J111" s="55">
        <f>ÍNDICE_INPC!J110</f>
        <v>0</v>
      </c>
      <c r="K111" s="32">
        <f t="shared" si="12"/>
        <v>458.51042015992562</v>
      </c>
      <c r="L111" s="41"/>
      <c r="M111" s="51">
        <f t="shared" si="13"/>
        <v>458.51042015992562</v>
      </c>
      <c r="N111" s="52">
        <f>ÍNDICE_INPC!K110</f>
        <v>468.45824138718024</v>
      </c>
    </row>
    <row r="112" spans="2:14" ht="15" customHeight="1" thickBot="1" x14ac:dyDescent="0.35">
      <c r="B112" s="31">
        <v>39264</v>
      </c>
      <c r="C112" s="32">
        <f t="shared" si="7"/>
        <v>458.51042015992562</v>
      </c>
      <c r="D112" s="50">
        <v>2.3999999999999998E-3</v>
      </c>
      <c r="E112" s="32">
        <f t="shared" si="8"/>
        <v>1.1000000000000001</v>
      </c>
      <c r="F112" s="32">
        <f t="shared" si="9"/>
        <v>459.61042015992564</v>
      </c>
      <c r="G112" s="32">
        <f t="shared" si="10"/>
        <v>1.1335233909278197</v>
      </c>
      <c r="H112" s="32">
        <f t="shared" si="11"/>
        <v>460.74394355085343</v>
      </c>
      <c r="I112" s="54">
        <f>ÍNDICE_INPC!I111</f>
        <v>5.82</v>
      </c>
      <c r="J112" s="55">
        <f>ÍNDICE_INPC!J111</f>
        <v>0</v>
      </c>
      <c r="K112" s="32">
        <f t="shared" si="12"/>
        <v>454.92394355085344</v>
      </c>
      <c r="L112" s="41"/>
      <c r="M112" s="51">
        <f t="shared" si="13"/>
        <v>454.92394355085344</v>
      </c>
      <c r="N112" s="52">
        <f>ÍNDICE_INPC!K111</f>
        <v>465.29628283289622</v>
      </c>
    </row>
    <row r="113" spans="2:14" ht="15" thickBot="1" x14ac:dyDescent="0.35">
      <c r="B113" s="31">
        <v>39295</v>
      </c>
      <c r="C113" s="32">
        <f t="shared" si="7"/>
        <v>454.92394355085344</v>
      </c>
      <c r="D113" s="50">
        <v>4.7000000000000002E-3</v>
      </c>
      <c r="E113" s="32">
        <f t="shared" si="8"/>
        <v>2.13</v>
      </c>
      <c r="F113" s="32">
        <f t="shared" si="9"/>
        <v>457.05394355085343</v>
      </c>
      <c r="G113" s="32">
        <f t="shared" si="10"/>
        <v>1.1272184293611633</v>
      </c>
      <c r="H113" s="32">
        <f t="shared" si="11"/>
        <v>458.1811619802146</v>
      </c>
      <c r="I113" s="54">
        <f>ÍNDICE_INPC!I112</f>
        <v>0</v>
      </c>
      <c r="J113" s="55">
        <f>ÍNDICE_INPC!J112</f>
        <v>0</v>
      </c>
      <c r="K113" s="32">
        <f t="shared" si="12"/>
        <v>458.1811619802146</v>
      </c>
      <c r="L113" s="41"/>
      <c r="M113" s="51">
        <f t="shared" si="13"/>
        <v>458.1811619802146</v>
      </c>
      <c r="N113" s="52">
        <f>ÍNDICE_INPC!K112</f>
        <v>469.19559900750852</v>
      </c>
    </row>
    <row r="114" spans="2:14" ht="15" thickBot="1" x14ac:dyDescent="0.35">
      <c r="B114" s="31">
        <v>39326</v>
      </c>
      <c r="C114" s="32">
        <f t="shared" si="7"/>
        <v>458.1811619802146</v>
      </c>
      <c r="D114" s="50">
        <v>1.8E-3</v>
      </c>
      <c r="E114" s="32">
        <f t="shared" si="8"/>
        <v>0.82</v>
      </c>
      <c r="F114" s="32">
        <f t="shared" si="9"/>
        <v>459.00116198021459</v>
      </c>
      <c r="G114" s="32">
        <f t="shared" si="10"/>
        <v>1.1320207957569439</v>
      </c>
      <c r="H114" s="32">
        <f t="shared" si="11"/>
        <v>460.13318277597153</v>
      </c>
      <c r="I114" s="54">
        <f>ÍNDICE_INPC!I113</f>
        <v>0</v>
      </c>
      <c r="J114" s="55">
        <f>ÍNDICE_INPC!J113</f>
        <v>0</v>
      </c>
      <c r="K114" s="32">
        <f t="shared" si="12"/>
        <v>460.13318277597153</v>
      </c>
      <c r="L114" s="41"/>
      <c r="M114" s="51">
        <f t="shared" si="13"/>
        <v>460.13318277597153</v>
      </c>
      <c r="N114" s="52">
        <f>ÍNDICE_INPC!K113</f>
        <v>471.52765250591278</v>
      </c>
    </row>
    <row r="115" spans="2:14" ht="15" thickBot="1" x14ac:dyDescent="0.35">
      <c r="B115" s="31">
        <v>39356</v>
      </c>
      <c r="C115" s="32">
        <f t="shared" si="7"/>
        <v>460.13318277597153</v>
      </c>
      <c r="D115" s="50">
        <v>3.0000000000000001E-3</v>
      </c>
      <c r="E115" s="32">
        <f t="shared" si="8"/>
        <v>1.38</v>
      </c>
      <c r="F115" s="32">
        <f t="shared" si="9"/>
        <v>461.51318277597153</v>
      </c>
      <c r="G115" s="32">
        <f t="shared" si="10"/>
        <v>1.1382161172848952</v>
      </c>
      <c r="H115" s="32">
        <f t="shared" si="11"/>
        <v>462.65139889325644</v>
      </c>
      <c r="I115" s="54">
        <f>ÍNDICE_INPC!I114</f>
        <v>0</v>
      </c>
      <c r="J115" s="55">
        <f>ÍNDICE_INPC!J114</f>
        <v>0</v>
      </c>
      <c r="K115" s="32">
        <f t="shared" si="12"/>
        <v>462.65139889325644</v>
      </c>
      <c r="L115" s="41"/>
      <c r="M115" s="51">
        <f t="shared" si="13"/>
        <v>462.65139889325644</v>
      </c>
      <c r="N115" s="52">
        <f>ÍNDICE_INPC!K114</f>
        <v>474.10805431523852</v>
      </c>
    </row>
    <row r="116" spans="2:14" ht="15" thickBot="1" x14ac:dyDescent="0.35">
      <c r="B116" s="31">
        <v>39387</v>
      </c>
      <c r="C116" s="32">
        <f t="shared" si="7"/>
        <v>462.65139889325644</v>
      </c>
      <c r="D116" s="50">
        <v>3.8E-3</v>
      </c>
      <c r="E116" s="32">
        <f t="shared" si="8"/>
        <v>1.75</v>
      </c>
      <c r="F116" s="32">
        <f t="shared" si="9"/>
        <v>464.40139889325644</v>
      </c>
      <c r="G116" s="32">
        <f t="shared" si="10"/>
        <v>1.1453392380484715</v>
      </c>
      <c r="H116" s="32">
        <f t="shared" si="11"/>
        <v>465.54673813130489</v>
      </c>
      <c r="I116" s="54">
        <f>ÍNDICE_INPC!I115</f>
        <v>0</v>
      </c>
      <c r="J116" s="55">
        <f>ÍNDICE_INPC!J115</f>
        <v>0</v>
      </c>
      <c r="K116" s="32">
        <f t="shared" si="12"/>
        <v>465.54673813130489</v>
      </c>
      <c r="L116" s="41"/>
      <c r="M116" s="51">
        <f t="shared" si="13"/>
        <v>465.54673813130489</v>
      </c>
      <c r="N116" s="52">
        <f>ÍNDICE_INPC!K115</f>
        <v>477.32035904461458</v>
      </c>
    </row>
    <row r="117" spans="2:14" ht="15" thickBot="1" x14ac:dyDescent="0.35">
      <c r="B117" s="31">
        <v>39417</v>
      </c>
      <c r="C117" s="32">
        <f t="shared" si="7"/>
        <v>465.54673813130489</v>
      </c>
      <c r="D117" s="50">
        <v>7.4000000000000003E-3</v>
      </c>
      <c r="E117" s="32">
        <f t="shared" si="8"/>
        <v>3.44</v>
      </c>
      <c r="F117" s="32">
        <f t="shared" si="9"/>
        <v>468.98673813130489</v>
      </c>
      <c r="G117" s="32">
        <f t="shared" si="10"/>
        <v>1.1566479226510933</v>
      </c>
      <c r="H117" s="32">
        <f t="shared" si="11"/>
        <v>470.14338605395596</v>
      </c>
      <c r="I117" s="54">
        <f>ÍNDICE_INPC!I116</f>
        <v>0</v>
      </c>
      <c r="J117" s="55">
        <f>ÍNDICE_INPC!J116</f>
        <v>0</v>
      </c>
      <c r="K117" s="32">
        <f t="shared" si="12"/>
        <v>470.14338605395596</v>
      </c>
      <c r="L117" s="41"/>
      <c r="M117" s="51">
        <f t="shared" si="13"/>
        <v>470.14338605395596</v>
      </c>
      <c r="N117" s="52">
        <f>ÍNDICE_INPC!K116</f>
        <v>483.13897875661553</v>
      </c>
    </row>
    <row r="118" spans="2:14" ht="15" customHeight="1" thickBot="1" x14ac:dyDescent="0.35">
      <c r="B118" s="31">
        <v>39448</v>
      </c>
      <c r="C118" s="32">
        <f t="shared" si="7"/>
        <v>470.14338605395596</v>
      </c>
      <c r="D118" s="50">
        <v>5.4000000000000003E-3</v>
      </c>
      <c r="E118" s="32">
        <f t="shared" si="8"/>
        <v>2.5299999999999998</v>
      </c>
      <c r="F118" s="32">
        <f t="shared" si="9"/>
        <v>472.67338605395594</v>
      </c>
      <c r="G118" s="32">
        <f t="shared" si="10"/>
        <v>1.1657401918232899</v>
      </c>
      <c r="H118" s="32">
        <f t="shared" si="11"/>
        <v>473.83912624577925</v>
      </c>
      <c r="I118" s="54">
        <f>ÍNDICE_INPC!I117</f>
        <v>0</v>
      </c>
      <c r="J118" s="55">
        <f>ÍNDICE_INPC!J117</f>
        <v>0</v>
      </c>
      <c r="K118" s="32">
        <f t="shared" si="12"/>
        <v>473.83912624577925</v>
      </c>
      <c r="L118" s="41"/>
      <c r="M118" s="51">
        <f t="shared" si="13"/>
        <v>473.83912624577925</v>
      </c>
      <c r="N118" s="52">
        <f>ÍNDICE_INPC!K117</f>
        <v>487.67175000366365</v>
      </c>
    </row>
    <row r="119" spans="2:14" ht="15" customHeight="1" thickBot="1" x14ac:dyDescent="0.35">
      <c r="B119" s="31">
        <v>39479</v>
      </c>
      <c r="C119" s="32">
        <f t="shared" si="7"/>
        <v>473.83912624577925</v>
      </c>
      <c r="D119" s="50">
        <v>4.8999999999999998E-3</v>
      </c>
      <c r="E119" s="32">
        <f t="shared" si="8"/>
        <v>2.3199999999999998</v>
      </c>
      <c r="F119" s="32">
        <f t="shared" si="9"/>
        <v>476.15912624577925</v>
      </c>
      <c r="G119" s="32">
        <f t="shared" si="10"/>
        <v>1.174336968286178</v>
      </c>
      <c r="H119" s="32">
        <f t="shared" si="11"/>
        <v>477.33346321406543</v>
      </c>
      <c r="I119" s="54">
        <f>ÍNDICE_INPC!I118</f>
        <v>0</v>
      </c>
      <c r="J119" s="55">
        <f>ÍNDICE_INPC!J118</f>
        <v>0</v>
      </c>
      <c r="K119" s="32">
        <f t="shared" si="12"/>
        <v>477.33346321406543</v>
      </c>
      <c r="L119" s="41"/>
      <c r="M119" s="51">
        <f t="shared" si="13"/>
        <v>477.33346321406543</v>
      </c>
      <c r="N119" s="52">
        <f>ÍNDICE_INPC!K118</f>
        <v>491.22025128234515</v>
      </c>
    </row>
    <row r="120" spans="2:14" ht="15" thickBot="1" x14ac:dyDescent="0.35">
      <c r="B120" s="31">
        <v>39508</v>
      </c>
      <c r="C120" s="32">
        <f t="shared" si="7"/>
        <v>477.33346321406543</v>
      </c>
      <c r="D120" s="50">
        <v>4.7999999999999996E-3</v>
      </c>
      <c r="E120" s="32">
        <f t="shared" si="8"/>
        <v>2.29</v>
      </c>
      <c r="F120" s="32">
        <f t="shared" si="9"/>
        <v>479.62346321406545</v>
      </c>
      <c r="G120" s="32">
        <f t="shared" si="10"/>
        <v>1.1828809586209532</v>
      </c>
      <c r="H120" s="32">
        <f t="shared" si="11"/>
        <v>480.80634417268641</v>
      </c>
      <c r="I120" s="54">
        <f>ÍNDICE_INPC!I119</f>
        <v>0</v>
      </c>
      <c r="J120" s="55">
        <f>ÍNDICE_INPC!J119</f>
        <v>0</v>
      </c>
      <c r="K120" s="32">
        <f t="shared" si="12"/>
        <v>480.80634417268641</v>
      </c>
      <c r="L120" s="41"/>
      <c r="M120" s="51">
        <f t="shared" si="13"/>
        <v>480.80634417268641</v>
      </c>
      <c r="N120" s="52">
        <f>ÍNDICE_INPC!K119</f>
        <v>494.94291105782526</v>
      </c>
    </row>
    <row r="121" spans="2:14" ht="15" thickBot="1" x14ac:dyDescent="0.35">
      <c r="B121" s="31">
        <v>39539</v>
      </c>
      <c r="C121" s="32">
        <f t="shared" si="7"/>
        <v>480.80634417268641</v>
      </c>
      <c r="D121" s="50">
        <v>5.4999999999999997E-3</v>
      </c>
      <c r="E121" s="32">
        <f t="shared" si="8"/>
        <v>2.64</v>
      </c>
      <c r="F121" s="32">
        <f t="shared" si="9"/>
        <v>483.44634417268639</v>
      </c>
      <c r="G121" s="32">
        <f t="shared" si="10"/>
        <v>1.1923092152427712</v>
      </c>
      <c r="H121" s="32">
        <f t="shared" si="11"/>
        <v>484.63865338792914</v>
      </c>
      <c r="I121" s="54">
        <f>ÍNDICE_INPC!I120</f>
        <v>0</v>
      </c>
      <c r="J121" s="55">
        <f>ÍNDICE_INPC!J120</f>
        <v>0</v>
      </c>
      <c r="K121" s="32">
        <f t="shared" si="12"/>
        <v>484.63865338792914</v>
      </c>
      <c r="L121" s="41"/>
      <c r="M121" s="51">
        <f t="shared" si="13"/>
        <v>484.63865338792914</v>
      </c>
      <c r="N121" s="52">
        <f>ÍNDICE_INPC!K120</f>
        <v>499.33838458816979</v>
      </c>
    </row>
    <row r="122" spans="2:14" ht="15" thickBot="1" x14ac:dyDescent="0.35">
      <c r="B122" s="31">
        <v>39569</v>
      </c>
      <c r="C122" s="32">
        <f t="shared" si="7"/>
        <v>484.63865338792914</v>
      </c>
      <c r="D122" s="50">
        <v>7.9000000000000008E-3</v>
      </c>
      <c r="E122" s="32">
        <f t="shared" si="8"/>
        <v>3.82</v>
      </c>
      <c r="F122" s="32">
        <f t="shared" si="9"/>
        <v>488.45865338792913</v>
      </c>
      <c r="G122" s="32">
        <f t="shared" si="10"/>
        <v>1.204670923091048</v>
      </c>
      <c r="H122" s="32">
        <f t="shared" si="11"/>
        <v>489.66332431102018</v>
      </c>
      <c r="I122" s="54">
        <f>ÍNDICE_INPC!I121</f>
        <v>0</v>
      </c>
      <c r="J122" s="55">
        <f>ÍNDICE_INPC!J121</f>
        <v>0</v>
      </c>
      <c r="K122" s="32">
        <f t="shared" si="12"/>
        <v>489.66332431102018</v>
      </c>
      <c r="L122" s="41"/>
      <c r="M122" s="51">
        <f t="shared" si="13"/>
        <v>489.66332431102018</v>
      </c>
      <c r="N122" s="52">
        <f>ÍNDICE_INPC!K121</f>
        <v>505.37470869803803</v>
      </c>
    </row>
    <row r="123" spans="2:14" ht="15" thickBot="1" x14ac:dyDescent="0.35">
      <c r="B123" s="31">
        <v>39600</v>
      </c>
      <c r="C123" s="32">
        <f t="shared" si="7"/>
        <v>489.66332431102018</v>
      </c>
      <c r="D123" s="50">
        <v>7.4000000000000003E-3</v>
      </c>
      <c r="E123" s="32">
        <f t="shared" si="8"/>
        <v>3.62</v>
      </c>
      <c r="F123" s="32">
        <f t="shared" si="9"/>
        <v>493.28332431102018</v>
      </c>
      <c r="G123" s="32">
        <f t="shared" si="10"/>
        <v>1.2165698642485396</v>
      </c>
      <c r="H123" s="32">
        <f t="shared" si="11"/>
        <v>494.49989417526871</v>
      </c>
      <c r="I123" s="54">
        <f>ÍNDICE_INPC!I122</f>
        <v>0</v>
      </c>
      <c r="J123" s="55">
        <f>ÍNDICE_INPC!J122</f>
        <v>0</v>
      </c>
      <c r="K123" s="32">
        <f t="shared" si="12"/>
        <v>494.49989417526871</v>
      </c>
      <c r="L123" s="41"/>
      <c r="M123" s="51">
        <f t="shared" si="13"/>
        <v>494.49989417526871</v>
      </c>
      <c r="N123" s="52">
        <f>ÍNDICE_INPC!K122</f>
        <v>511.23043909031878</v>
      </c>
    </row>
    <row r="124" spans="2:14" ht="15" thickBot="1" x14ac:dyDescent="0.35">
      <c r="B124" s="31">
        <v>39630</v>
      </c>
      <c r="C124" s="32">
        <f t="shared" si="7"/>
        <v>494.49989417526871</v>
      </c>
      <c r="D124" s="50">
        <v>5.3E-3</v>
      </c>
      <c r="E124" s="32">
        <f t="shared" si="8"/>
        <v>2.62</v>
      </c>
      <c r="F124" s="32">
        <f t="shared" si="9"/>
        <v>497.11989417526871</v>
      </c>
      <c r="G124" s="32">
        <f t="shared" si="10"/>
        <v>1.2260318814076401</v>
      </c>
      <c r="H124" s="32">
        <f t="shared" si="11"/>
        <v>498.34592605667638</v>
      </c>
      <c r="I124" s="54">
        <f>ÍNDICE_INPC!I123</f>
        <v>0</v>
      </c>
      <c r="J124" s="55">
        <f>ÍNDICE_INPC!J123</f>
        <v>0</v>
      </c>
      <c r="K124" s="32">
        <f t="shared" si="12"/>
        <v>498.34592605667638</v>
      </c>
      <c r="L124" s="41"/>
      <c r="M124" s="51">
        <f t="shared" si="13"/>
        <v>498.34592605667638</v>
      </c>
      <c r="N124" s="52">
        <f>ÍNDICE_INPC!K123</f>
        <v>515.46358387588407</v>
      </c>
    </row>
    <row r="125" spans="2:14" ht="15" customHeight="1" thickBot="1" x14ac:dyDescent="0.35">
      <c r="B125" s="31">
        <v>39661</v>
      </c>
      <c r="C125" s="32">
        <f t="shared" si="7"/>
        <v>498.34592605667638</v>
      </c>
      <c r="D125" s="50">
        <v>2.8E-3</v>
      </c>
      <c r="E125" s="32">
        <f t="shared" si="8"/>
        <v>1.39</v>
      </c>
      <c r="F125" s="32">
        <f t="shared" si="9"/>
        <v>499.73592605667636</v>
      </c>
      <c r="G125" s="32">
        <f t="shared" si="10"/>
        <v>1.2324837223557992</v>
      </c>
      <c r="H125" s="32">
        <f t="shared" si="11"/>
        <v>500.96840977903219</v>
      </c>
      <c r="I125" s="54">
        <f>ÍNDICE_INPC!I124</f>
        <v>0</v>
      </c>
      <c r="J125" s="55">
        <f>ÍNDICE_INPC!J124</f>
        <v>0</v>
      </c>
      <c r="K125" s="32">
        <f t="shared" si="12"/>
        <v>500.96840977903219</v>
      </c>
      <c r="L125" s="41"/>
      <c r="M125" s="51">
        <f t="shared" si="13"/>
        <v>500.96840977903219</v>
      </c>
      <c r="N125" s="52">
        <f>ÍNDICE_INPC!K124</f>
        <v>517.81952475302967</v>
      </c>
    </row>
    <row r="126" spans="2:14" ht="15" customHeight="1" thickBot="1" x14ac:dyDescent="0.35">
      <c r="B126" s="31">
        <v>39692</v>
      </c>
      <c r="C126" s="32">
        <f t="shared" si="7"/>
        <v>500.96840977903219</v>
      </c>
      <c r="D126" s="50">
        <v>2.5999999999999999E-3</v>
      </c>
      <c r="E126" s="32">
        <f t="shared" si="8"/>
        <v>1.3</v>
      </c>
      <c r="F126" s="32">
        <f t="shared" si="9"/>
        <v>502.2684097790322</v>
      </c>
      <c r="G126" s="32">
        <f t="shared" si="10"/>
        <v>1.2387295109857337</v>
      </c>
      <c r="H126" s="32">
        <f t="shared" si="11"/>
        <v>503.5071392900179</v>
      </c>
      <c r="I126" s="54">
        <f>ÍNDICE_INPC!I125</f>
        <v>0</v>
      </c>
      <c r="J126" s="55">
        <f>ÍNDICE_INPC!J125</f>
        <v>0</v>
      </c>
      <c r="K126" s="32">
        <f t="shared" si="12"/>
        <v>503.5071392900179</v>
      </c>
      <c r="L126" s="41"/>
      <c r="M126" s="51">
        <f t="shared" si="13"/>
        <v>503.5071392900179</v>
      </c>
      <c r="N126" s="52">
        <f>ÍNDICE_INPC!K125</f>
        <v>519.87452133786223</v>
      </c>
    </row>
    <row r="127" spans="2:14" ht="15" thickBot="1" x14ac:dyDescent="0.35">
      <c r="B127" s="31">
        <v>39722</v>
      </c>
      <c r="C127" s="32">
        <f t="shared" si="7"/>
        <v>503.5071392900179</v>
      </c>
      <c r="D127" s="50">
        <v>4.4999999999999997E-3</v>
      </c>
      <c r="E127" s="32">
        <f t="shared" si="8"/>
        <v>2.2599999999999998</v>
      </c>
      <c r="F127" s="32">
        <f t="shared" si="9"/>
        <v>505.76713929001789</v>
      </c>
      <c r="G127" s="32">
        <f t="shared" si="10"/>
        <v>1.2473583226167924</v>
      </c>
      <c r="H127" s="32">
        <f t="shared" si="11"/>
        <v>507.01449761263467</v>
      </c>
      <c r="I127" s="54">
        <f>ÍNDICE_INPC!I126</f>
        <v>0</v>
      </c>
      <c r="J127" s="55">
        <f>ÍNDICE_INPC!J126</f>
        <v>0</v>
      </c>
      <c r="K127" s="32">
        <f t="shared" si="12"/>
        <v>507.01449761263467</v>
      </c>
      <c r="L127" s="41"/>
      <c r="M127" s="51">
        <f t="shared" si="13"/>
        <v>507.01449761263467</v>
      </c>
      <c r="N127" s="52">
        <f>ÍNDICE_INPC!K126</f>
        <v>523.76208210933225</v>
      </c>
    </row>
    <row r="128" spans="2:14" ht="15" thickBot="1" x14ac:dyDescent="0.35">
      <c r="B128" s="31">
        <v>39753</v>
      </c>
      <c r="C128" s="32">
        <f t="shared" si="7"/>
        <v>507.01449761263467</v>
      </c>
      <c r="D128" s="50">
        <v>3.5999999999999999E-3</v>
      </c>
      <c r="E128" s="32">
        <f t="shared" si="8"/>
        <v>1.82</v>
      </c>
      <c r="F128" s="32">
        <f t="shared" si="9"/>
        <v>508.83449761263466</v>
      </c>
      <c r="G128" s="32">
        <f t="shared" si="10"/>
        <v>1.2549232564271124</v>
      </c>
      <c r="H128" s="32">
        <f t="shared" si="11"/>
        <v>510.08942086906177</v>
      </c>
      <c r="I128" s="54">
        <f>ÍNDICE_INPC!I127</f>
        <v>0</v>
      </c>
      <c r="J128" s="55">
        <f>ÍNDICE_INPC!J127</f>
        <v>0</v>
      </c>
      <c r="K128" s="32">
        <f t="shared" si="12"/>
        <v>510.08942086906177</v>
      </c>
      <c r="L128" s="41"/>
      <c r="M128" s="51">
        <f t="shared" si="13"/>
        <v>510.08942086906177</v>
      </c>
      <c r="N128" s="52">
        <f>ÍNDICE_INPC!K127</f>
        <v>527.04872869687608</v>
      </c>
    </row>
    <row r="129" spans="2:14" ht="15" thickBot="1" x14ac:dyDescent="0.35">
      <c r="B129" s="31">
        <v>39783</v>
      </c>
      <c r="C129" s="32">
        <f t="shared" si="7"/>
        <v>510.08942086906177</v>
      </c>
      <c r="D129" s="50">
        <v>2.8E-3</v>
      </c>
      <c r="E129" s="32">
        <f t="shared" si="8"/>
        <v>1.42</v>
      </c>
      <c r="F129" s="32">
        <f t="shared" si="9"/>
        <v>511.50942086906178</v>
      </c>
      <c r="G129" s="32">
        <f t="shared" si="10"/>
        <v>1.2615203394067409</v>
      </c>
      <c r="H129" s="32">
        <f t="shared" si="11"/>
        <v>512.77094120846857</v>
      </c>
      <c r="I129" s="54">
        <f>ÍNDICE_INPC!I128</f>
        <v>0</v>
      </c>
      <c r="J129" s="55">
        <f>ÍNDICE_INPC!J128</f>
        <v>0</v>
      </c>
      <c r="K129" s="32">
        <f t="shared" si="12"/>
        <v>512.77094120846857</v>
      </c>
      <c r="L129" s="41"/>
      <c r="M129" s="51">
        <f t="shared" si="13"/>
        <v>512.77094120846857</v>
      </c>
      <c r="N129" s="52">
        <f>ÍNDICE_INPC!K128</f>
        <v>529.88034162555937</v>
      </c>
    </row>
    <row r="130" spans="2:14" ht="15" thickBot="1" x14ac:dyDescent="0.35">
      <c r="B130" s="31">
        <v>39814</v>
      </c>
      <c r="C130" s="32">
        <f t="shared" si="7"/>
        <v>512.77094120846857</v>
      </c>
      <c r="D130" s="50">
        <v>4.7999999999999996E-3</v>
      </c>
      <c r="E130" s="32">
        <f t="shared" si="8"/>
        <v>2.46</v>
      </c>
      <c r="F130" s="32">
        <f t="shared" si="9"/>
        <v>515.23094120846861</v>
      </c>
      <c r="G130" s="32">
        <f t="shared" si="10"/>
        <v>1.27069861337421</v>
      </c>
      <c r="H130" s="32">
        <f t="shared" si="11"/>
        <v>516.50163982184279</v>
      </c>
      <c r="I130" s="54">
        <f>ÍNDICE_INPC!I129</f>
        <v>0</v>
      </c>
      <c r="J130" s="55">
        <f>ÍNDICE_INPC!J129</f>
        <v>0</v>
      </c>
      <c r="K130" s="32">
        <f t="shared" si="12"/>
        <v>516.50163982184279</v>
      </c>
      <c r="L130" s="41"/>
      <c r="M130" s="51">
        <f t="shared" si="13"/>
        <v>516.50163982184279</v>
      </c>
      <c r="N130" s="52">
        <f>ÍNDICE_INPC!K129</f>
        <v>534.5865327372702</v>
      </c>
    </row>
    <row r="131" spans="2:14" ht="15" thickBot="1" x14ac:dyDescent="0.35">
      <c r="B131" s="31">
        <v>39845</v>
      </c>
      <c r="C131" s="32">
        <f t="shared" si="7"/>
        <v>516.50163982184279</v>
      </c>
      <c r="D131" s="50">
        <v>5.4999999999999997E-3</v>
      </c>
      <c r="E131" s="32">
        <f t="shared" si="8"/>
        <v>2.84</v>
      </c>
      <c r="F131" s="32">
        <f t="shared" si="9"/>
        <v>519.34163982184282</v>
      </c>
      <c r="G131" s="32">
        <f t="shared" si="10"/>
        <v>1.2808367060434163</v>
      </c>
      <c r="H131" s="32">
        <f t="shared" si="11"/>
        <v>520.62247652788619</v>
      </c>
      <c r="I131" s="54">
        <f>ÍNDICE_INPC!I130</f>
        <v>0</v>
      </c>
      <c r="J131" s="55">
        <f>ÍNDICE_INPC!J130</f>
        <v>0</v>
      </c>
      <c r="K131" s="32">
        <f t="shared" si="12"/>
        <v>520.62247652788619</v>
      </c>
      <c r="L131" s="41"/>
      <c r="M131" s="51">
        <f t="shared" si="13"/>
        <v>520.62247652788619</v>
      </c>
      <c r="N131" s="52">
        <f>ÍNDICE_INPC!K130</f>
        <v>537.56605407475422</v>
      </c>
    </row>
    <row r="132" spans="2:14" ht="15" customHeight="1" thickBot="1" x14ac:dyDescent="0.35">
      <c r="B132" s="31">
        <v>39873</v>
      </c>
      <c r="C132" s="32">
        <f t="shared" si="7"/>
        <v>520.62247652788619</v>
      </c>
      <c r="D132" s="50">
        <v>2E-3</v>
      </c>
      <c r="E132" s="32">
        <f t="shared" si="8"/>
        <v>1.04</v>
      </c>
      <c r="F132" s="32">
        <f t="shared" si="9"/>
        <v>521.66247652788616</v>
      </c>
      <c r="G132" s="32">
        <f t="shared" si="10"/>
        <v>1.2865605159864297</v>
      </c>
      <c r="H132" s="32">
        <f t="shared" si="11"/>
        <v>522.94903704387264</v>
      </c>
      <c r="I132" s="54">
        <f>ÍNDICE_INPC!I131</f>
        <v>0</v>
      </c>
      <c r="J132" s="55">
        <f>ÍNDICE_INPC!J131</f>
        <v>0</v>
      </c>
      <c r="K132" s="32">
        <f t="shared" si="12"/>
        <v>522.94903704387264</v>
      </c>
      <c r="L132" s="41"/>
      <c r="M132" s="51">
        <f t="shared" si="13"/>
        <v>522.94903704387264</v>
      </c>
      <c r="N132" s="52">
        <f>ÍNDICE_INPC!K131</f>
        <v>539.96948834718717</v>
      </c>
    </row>
    <row r="133" spans="2:14" ht="15" customHeight="1" thickBot="1" x14ac:dyDescent="0.35">
      <c r="B133" s="31">
        <v>39904</v>
      </c>
      <c r="C133" s="32">
        <f t="shared" si="7"/>
        <v>522.94903704387264</v>
      </c>
      <c r="D133" s="50">
        <v>4.7999999999999996E-3</v>
      </c>
      <c r="E133" s="32">
        <f t="shared" si="8"/>
        <v>2.5099999999999998</v>
      </c>
      <c r="F133" s="32">
        <f t="shared" si="9"/>
        <v>525.45903704387263</v>
      </c>
      <c r="G133" s="32">
        <f t="shared" si="10"/>
        <v>1.2959238592901918</v>
      </c>
      <c r="H133" s="32">
        <f t="shared" si="11"/>
        <v>526.75496090316278</v>
      </c>
      <c r="I133" s="54">
        <f>ÍNDICE_INPC!I132</f>
        <v>0</v>
      </c>
      <c r="J133" s="55">
        <f>ÍNDICE_INPC!J132</f>
        <v>0</v>
      </c>
      <c r="K133" s="32">
        <f t="shared" si="12"/>
        <v>526.75496090316278</v>
      </c>
      <c r="L133" s="41"/>
      <c r="M133" s="51">
        <f t="shared" si="13"/>
        <v>526.75496090316278</v>
      </c>
      <c r="N133" s="52">
        <f>ÍNDICE_INPC!K132</f>
        <v>544.27752125284326</v>
      </c>
    </row>
    <row r="134" spans="2:14" ht="15" thickBot="1" x14ac:dyDescent="0.35">
      <c r="B134" s="31">
        <v>39934</v>
      </c>
      <c r="C134" s="32">
        <f t="shared" si="7"/>
        <v>526.75496090316278</v>
      </c>
      <c r="D134" s="50">
        <v>4.7000000000000002E-3</v>
      </c>
      <c r="E134" s="32">
        <f t="shared" si="8"/>
        <v>2.4700000000000002</v>
      </c>
      <c r="F134" s="32">
        <f t="shared" si="9"/>
        <v>529.22496090316281</v>
      </c>
      <c r="G134" s="32">
        <f t="shared" si="10"/>
        <v>1.3052116443266433</v>
      </c>
      <c r="H134" s="32">
        <f t="shared" si="11"/>
        <v>530.53017254748943</v>
      </c>
      <c r="I134" s="54">
        <f>ÍNDICE_INPC!I133</f>
        <v>0</v>
      </c>
      <c r="J134" s="55">
        <f>ÍNDICE_INPC!J133</f>
        <v>0</v>
      </c>
      <c r="K134" s="32">
        <f t="shared" si="12"/>
        <v>530.53017254748943</v>
      </c>
      <c r="L134" s="41"/>
      <c r="M134" s="51">
        <f t="shared" si="13"/>
        <v>530.53017254748943</v>
      </c>
      <c r="N134" s="52">
        <f>ÍNDICE_INPC!K133</f>
        <v>548.89290894673354</v>
      </c>
    </row>
    <row r="135" spans="2:14" ht="15" thickBot="1" x14ac:dyDescent="0.35">
      <c r="B135" s="31">
        <v>39965</v>
      </c>
      <c r="C135" s="32">
        <f t="shared" si="7"/>
        <v>530.53017254748943</v>
      </c>
      <c r="D135" s="50">
        <v>3.5999999999999999E-3</v>
      </c>
      <c r="E135" s="32">
        <f t="shared" si="8"/>
        <v>1.9</v>
      </c>
      <c r="F135" s="32">
        <f t="shared" si="9"/>
        <v>532.43017254748941</v>
      </c>
      <c r="G135" s="32">
        <f t="shared" si="10"/>
        <v>1.3131165616486966</v>
      </c>
      <c r="H135" s="32">
        <f t="shared" si="11"/>
        <v>533.74328910913812</v>
      </c>
      <c r="I135" s="54">
        <f>ÍNDICE_INPC!I134</f>
        <v>0</v>
      </c>
      <c r="J135" s="55">
        <f>ÍNDICE_INPC!J134</f>
        <v>0</v>
      </c>
      <c r="K135" s="32">
        <f t="shared" si="12"/>
        <v>533.74328910913812</v>
      </c>
      <c r="L135" s="41"/>
      <c r="M135" s="51">
        <f t="shared" si="13"/>
        <v>533.74328910913812</v>
      </c>
      <c r="N135" s="52">
        <f>ÍNDICE_INPC!K134</f>
        <v>552.5573118136316</v>
      </c>
    </row>
    <row r="136" spans="2:14" ht="15" thickBot="1" x14ac:dyDescent="0.35">
      <c r="B136" s="31">
        <v>39995</v>
      </c>
      <c r="C136" s="32">
        <f t="shared" si="7"/>
        <v>533.74328910913812</v>
      </c>
      <c r="D136" s="50">
        <v>2.3999999999999998E-3</v>
      </c>
      <c r="E136" s="32">
        <f t="shared" si="8"/>
        <v>1.28</v>
      </c>
      <c r="F136" s="32">
        <f t="shared" si="9"/>
        <v>535.02328910913809</v>
      </c>
      <c r="G136" s="32">
        <f t="shared" si="10"/>
        <v>1.3195118872311939</v>
      </c>
      <c r="H136" s="32">
        <f t="shared" si="11"/>
        <v>536.34280099636931</v>
      </c>
      <c r="I136" s="54">
        <f>ÍNDICE_INPC!I135</f>
        <v>0</v>
      </c>
      <c r="J136" s="55">
        <f>ÍNDICE_INPC!J135</f>
        <v>0</v>
      </c>
      <c r="K136" s="32">
        <f t="shared" si="12"/>
        <v>536.34280099636931</v>
      </c>
      <c r="L136" s="41"/>
      <c r="M136" s="51">
        <f t="shared" si="13"/>
        <v>536.34280099636931</v>
      </c>
      <c r="N136" s="52">
        <f>ÍNDICE_INPC!K135</f>
        <v>555.19319949793817</v>
      </c>
    </row>
    <row r="137" spans="2:14" ht="15" thickBot="1" x14ac:dyDescent="0.35">
      <c r="B137" s="31">
        <v>40026</v>
      </c>
      <c r="C137" s="32">
        <f t="shared" si="7"/>
        <v>536.34280099636931</v>
      </c>
      <c r="D137" s="50">
        <v>1.5E-3</v>
      </c>
      <c r="E137" s="32">
        <f t="shared" si="8"/>
        <v>0.8</v>
      </c>
      <c r="F137" s="32">
        <f t="shared" si="9"/>
        <v>537.14280099636926</v>
      </c>
      <c r="G137" s="32">
        <f t="shared" si="10"/>
        <v>1.3247391758133156</v>
      </c>
      <c r="H137" s="32">
        <f t="shared" si="11"/>
        <v>538.46754017218257</v>
      </c>
      <c r="I137" s="54">
        <f>ÍNDICE_INPC!I136</f>
        <v>0</v>
      </c>
      <c r="J137" s="55">
        <f>ÍNDICE_INPC!J136</f>
        <v>0</v>
      </c>
      <c r="K137" s="32">
        <f t="shared" si="12"/>
        <v>538.46754017218257</v>
      </c>
      <c r="L137" s="41"/>
      <c r="M137" s="51">
        <f t="shared" si="13"/>
        <v>538.46754017218257</v>
      </c>
      <c r="N137" s="52">
        <f>ÍNDICE_INPC!K136</f>
        <v>557.00755085394394</v>
      </c>
    </row>
    <row r="138" spans="2:14" ht="15" thickBot="1" x14ac:dyDescent="0.35">
      <c r="B138" s="31">
        <v>40057</v>
      </c>
      <c r="C138" s="32">
        <f t="shared" si="7"/>
        <v>538.46754017218257</v>
      </c>
      <c r="D138" s="50">
        <v>2.3999999999999998E-3</v>
      </c>
      <c r="E138" s="32">
        <f t="shared" si="8"/>
        <v>1.29</v>
      </c>
      <c r="F138" s="32">
        <f t="shared" si="9"/>
        <v>539.75754017218253</v>
      </c>
      <c r="G138" s="32">
        <f t="shared" si="10"/>
        <v>1.3311878286004486</v>
      </c>
      <c r="H138" s="32">
        <f t="shared" si="11"/>
        <v>541.08872800078302</v>
      </c>
      <c r="I138" s="54">
        <f>ÍNDICE_INPC!I137</f>
        <v>0</v>
      </c>
      <c r="J138" s="55">
        <f>ÍNDICE_INPC!J137</f>
        <v>0</v>
      </c>
      <c r="K138" s="32">
        <f t="shared" si="12"/>
        <v>541.08872800078302</v>
      </c>
      <c r="L138" s="41"/>
      <c r="M138" s="51">
        <f t="shared" si="13"/>
        <v>541.08872800078302</v>
      </c>
      <c r="N138" s="52">
        <f>ÍNDICE_INPC!K137</f>
        <v>559.27447931295842</v>
      </c>
    </row>
    <row r="139" spans="2:14" ht="15" customHeight="1" thickBot="1" x14ac:dyDescent="0.35">
      <c r="B139" s="31">
        <v>40087</v>
      </c>
      <c r="C139" s="32">
        <f t="shared" ref="C139:C202" si="14">K138</f>
        <v>541.08872800078302</v>
      </c>
      <c r="D139" s="50">
        <v>2.8E-3</v>
      </c>
      <c r="E139" s="32">
        <f t="shared" ref="E139:E202" si="15">ROUNDDOWN(D139*C139,2)</f>
        <v>1.51</v>
      </c>
      <c r="F139" s="32">
        <f t="shared" ref="F139:F202" si="16">E139+C139</f>
        <v>542.59872800078301</v>
      </c>
      <c r="G139" s="32">
        <f t="shared" ref="G139:G202" si="17">F139*$A$10</f>
        <v>1.338194964906491</v>
      </c>
      <c r="H139" s="32">
        <f t="shared" ref="H139:H202" si="18">G139+F139</f>
        <v>543.93692296568952</v>
      </c>
      <c r="I139" s="54">
        <f>ÍNDICE_INPC!I138</f>
        <v>0</v>
      </c>
      <c r="J139" s="55">
        <f>ÍNDICE_INPC!J138</f>
        <v>0</v>
      </c>
      <c r="K139" s="32">
        <f t="shared" ref="K139:K202" si="19">H139-I139+J139</f>
        <v>543.93692296568952</v>
      </c>
      <c r="L139" s="41"/>
      <c r="M139" s="51">
        <f t="shared" ref="M139:M202" si="20">K139</f>
        <v>543.93692296568952</v>
      </c>
      <c r="N139" s="52">
        <f>ÍNDICE_INPC!K138</f>
        <v>561.99911091739352</v>
      </c>
    </row>
    <row r="140" spans="2:14" ht="15" customHeight="1" thickBot="1" x14ac:dyDescent="0.35">
      <c r="B140" s="31">
        <v>40118</v>
      </c>
      <c r="C140" s="32">
        <f t="shared" si="14"/>
        <v>543.93692296568952</v>
      </c>
      <c r="D140" s="50">
        <v>4.1000000000000003E-3</v>
      </c>
      <c r="E140" s="32">
        <f t="shared" si="15"/>
        <v>2.23</v>
      </c>
      <c r="F140" s="32">
        <f t="shared" si="16"/>
        <v>546.16692296568954</v>
      </c>
      <c r="G140" s="32">
        <f t="shared" si="17"/>
        <v>1.3469950971025912</v>
      </c>
      <c r="H140" s="32">
        <f t="shared" si="18"/>
        <v>547.51391806279207</v>
      </c>
      <c r="I140" s="54">
        <f>ÍNDICE_INPC!I139</f>
        <v>0</v>
      </c>
      <c r="J140" s="55">
        <f>ÍNDICE_INPC!J139</f>
        <v>0</v>
      </c>
      <c r="K140" s="32">
        <f t="shared" si="19"/>
        <v>547.51391806279207</v>
      </c>
      <c r="L140" s="41"/>
      <c r="M140" s="51">
        <f t="shared" si="20"/>
        <v>547.51391806279207</v>
      </c>
      <c r="N140" s="52">
        <f>ÍNDICE_INPC!K139</f>
        <v>565.4692798400057</v>
      </c>
    </row>
    <row r="141" spans="2:14" ht="15" thickBot="1" x14ac:dyDescent="0.35">
      <c r="B141" s="31">
        <v>40148</v>
      </c>
      <c r="C141" s="32">
        <f t="shared" si="14"/>
        <v>547.51391806279207</v>
      </c>
      <c r="D141" s="50">
        <v>3.7000000000000002E-3</v>
      </c>
      <c r="E141" s="32">
        <f t="shared" si="15"/>
        <v>2.02</v>
      </c>
      <c r="F141" s="32">
        <f t="shared" si="16"/>
        <v>549.53391806279205</v>
      </c>
      <c r="G141" s="32">
        <f t="shared" si="17"/>
        <v>1.3552990161007221</v>
      </c>
      <c r="H141" s="32">
        <f t="shared" si="18"/>
        <v>550.88921707889278</v>
      </c>
      <c r="I141" s="54">
        <f>ÍNDICE_INPC!I140</f>
        <v>0</v>
      </c>
      <c r="J141" s="55">
        <f>ÍNDICE_INPC!J140</f>
        <v>0</v>
      </c>
      <c r="K141" s="32">
        <f t="shared" si="19"/>
        <v>550.88921707889278</v>
      </c>
      <c r="L141" s="41"/>
      <c r="M141" s="51">
        <f t="shared" si="20"/>
        <v>550.88921707889278</v>
      </c>
      <c r="N141" s="52">
        <f>ÍNDICE_INPC!K140</f>
        <v>568.22422648918666</v>
      </c>
    </row>
    <row r="142" spans="2:14" ht="15" thickBot="1" x14ac:dyDescent="0.35">
      <c r="B142" s="31">
        <v>40179</v>
      </c>
      <c r="C142" s="32">
        <f t="shared" si="14"/>
        <v>550.88921707889278</v>
      </c>
      <c r="D142" s="50">
        <v>7.4999999999999997E-3</v>
      </c>
      <c r="E142" s="32">
        <f t="shared" si="15"/>
        <v>4.13</v>
      </c>
      <c r="F142" s="32">
        <f t="shared" si="16"/>
        <v>555.01921707889278</v>
      </c>
      <c r="G142" s="32">
        <f t="shared" si="17"/>
        <v>1.3688272445051608</v>
      </c>
      <c r="H142" s="32">
        <f t="shared" si="18"/>
        <v>556.38804432339793</v>
      </c>
      <c r="I142" s="54">
        <f>ÍNDICE_INPC!I141</f>
        <v>0</v>
      </c>
      <c r="J142" s="55">
        <f>ÍNDICE_INPC!J141</f>
        <v>0</v>
      </c>
      <c r="K142" s="32">
        <f t="shared" si="19"/>
        <v>556.38804432339793</v>
      </c>
      <c r="L142" s="41"/>
      <c r="M142" s="51">
        <f t="shared" si="20"/>
        <v>556.38804432339793</v>
      </c>
      <c r="N142" s="52">
        <f>ÍNDICE_INPC!K141</f>
        <v>574.63795220225018</v>
      </c>
    </row>
    <row r="143" spans="2:14" ht="15" thickBot="1" x14ac:dyDescent="0.35">
      <c r="B143" s="31">
        <v>40210</v>
      </c>
      <c r="C143" s="32">
        <f t="shared" si="14"/>
        <v>556.38804432339793</v>
      </c>
      <c r="D143" s="50">
        <v>7.7999999999999996E-3</v>
      </c>
      <c r="E143" s="32">
        <f t="shared" si="15"/>
        <v>4.33</v>
      </c>
      <c r="F143" s="32">
        <f t="shared" si="16"/>
        <v>560.71804432339798</v>
      </c>
      <c r="G143" s="32">
        <f t="shared" si="17"/>
        <v>1.3828820911734667</v>
      </c>
      <c r="H143" s="32">
        <f t="shared" si="18"/>
        <v>562.1009264145714</v>
      </c>
      <c r="I143" s="54">
        <f>ÍNDICE_INPC!I142</f>
        <v>0</v>
      </c>
      <c r="J143" s="55">
        <f>ÍNDICE_INPC!J142</f>
        <v>0</v>
      </c>
      <c r="K143" s="32">
        <f t="shared" si="19"/>
        <v>562.1009264145714</v>
      </c>
      <c r="L143" s="41"/>
      <c r="M143" s="51">
        <f t="shared" si="20"/>
        <v>562.1009264145714</v>
      </c>
      <c r="N143" s="52">
        <f>ÍNDICE_INPC!K142</f>
        <v>580.08708388256809</v>
      </c>
    </row>
    <row r="144" spans="2:14" ht="15" thickBot="1" x14ac:dyDescent="0.35">
      <c r="B144" s="31">
        <v>40238</v>
      </c>
      <c r="C144" s="32">
        <f t="shared" si="14"/>
        <v>562.1009264145714</v>
      </c>
      <c r="D144" s="50">
        <v>5.1999999999999998E-3</v>
      </c>
      <c r="E144" s="32">
        <f t="shared" si="15"/>
        <v>2.92</v>
      </c>
      <c r="F144" s="32">
        <f t="shared" si="16"/>
        <v>565.02092641457136</v>
      </c>
      <c r="G144" s="32">
        <f t="shared" si="17"/>
        <v>1.3934941601884649</v>
      </c>
      <c r="H144" s="32">
        <f t="shared" si="18"/>
        <v>566.41442057475979</v>
      </c>
      <c r="I144" s="54">
        <f>ÍNDICE_INPC!I143</f>
        <v>0</v>
      </c>
      <c r="J144" s="55">
        <f>ÍNDICE_INPC!J143</f>
        <v>0</v>
      </c>
      <c r="K144" s="32">
        <f t="shared" si="19"/>
        <v>566.41442057475979</v>
      </c>
      <c r="L144" s="41"/>
      <c r="M144" s="51">
        <f t="shared" si="20"/>
        <v>566.41442057475979</v>
      </c>
      <c r="N144" s="52">
        <f>ÍNDICE_INPC!K143</f>
        <v>585.64589135479525</v>
      </c>
    </row>
    <row r="145" spans="2:14" ht="15" thickBot="1" x14ac:dyDescent="0.35">
      <c r="B145" s="31">
        <v>40269</v>
      </c>
      <c r="C145" s="32">
        <f t="shared" si="14"/>
        <v>566.41442057475979</v>
      </c>
      <c r="D145" s="50">
        <v>5.7000000000000002E-3</v>
      </c>
      <c r="E145" s="32">
        <f t="shared" si="15"/>
        <v>3.22</v>
      </c>
      <c r="F145" s="32">
        <f t="shared" si="16"/>
        <v>569.63442057475982</v>
      </c>
      <c r="G145" s="32">
        <f t="shared" si="17"/>
        <v>1.404872282430913</v>
      </c>
      <c r="H145" s="32">
        <f t="shared" si="18"/>
        <v>571.03929285719073</v>
      </c>
      <c r="I145" s="54">
        <f>ÍNDICE_INPC!I144</f>
        <v>0</v>
      </c>
      <c r="J145" s="55">
        <f>ÍNDICE_INPC!J144</f>
        <v>0</v>
      </c>
      <c r="K145" s="32">
        <f t="shared" si="19"/>
        <v>571.03929285719073</v>
      </c>
      <c r="L145" s="41"/>
      <c r="M145" s="51">
        <f t="shared" si="20"/>
        <v>571.03929285719073</v>
      </c>
      <c r="N145" s="52">
        <f>ÍNDICE_INPC!K144</f>
        <v>591.37579555151683</v>
      </c>
    </row>
    <row r="146" spans="2:14" ht="15" customHeight="1" thickBot="1" x14ac:dyDescent="0.35">
      <c r="B146" s="31">
        <v>40299</v>
      </c>
      <c r="C146" s="32">
        <f t="shared" si="14"/>
        <v>571.03929285719073</v>
      </c>
      <c r="D146" s="50">
        <v>4.3E-3</v>
      </c>
      <c r="E146" s="32">
        <f t="shared" si="15"/>
        <v>2.4500000000000002</v>
      </c>
      <c r="F146" s="32">
        <f t="shared" si="16"/>
        <v>573.48929285719078</v>
      </c>
      <c r="G146" s="32">
        <f t="shared" si="17"/>
        <v>1.414379438294904</v>
      </c>
      <c r="H146" s="32">
        <f t="shared" si="18"/>
        <v>574.90367229548565</v>
      </c>
      <c r="I146" s="54">
        <f>ÍNDICE_INPC!I145</f>
        <v>0</v>
      </c>
      <c r="J146" s="55">
        <f>ÍNDICE_INPC!J145</f>
        <v>0</v>
      </c>
      <c r="K146" s="32">
        <f t="shared" si="19"/>
        <v>574.90367229548565</v>
      </c>
      <c r="L146" s="41"/>
      <c r="M146" s="51">
        <f t="shared" si="20"/>
        <v>574.90367229548565</v>
      </c>
      <c r="N146" s="52">
        <f>ÍNDICE_INPC!K145</f>
        <v>595.38255719315168</v>
      </c>
    </row>
    <row r="147" spans="2:14" ht="15" customHeight="1" thickBot="1" x14ac:dyDescent="0.35">
      <c r="B147" s="31">
        <v>40330</v>
      </c>
      <c r="C147" s="32">
        <f t="shared" si="14"/>
        <v>574.90367229548565</v>
      </c>
      <c r="D147" s="50">
        <v>0</v>
      </c>
      <c r="E147" s="32">
        <f t="shared" si="15"/>
        <v>0</v>
      </c>
      <c r="F147" s="32">
        <f t="shared" si="16"/>
        <v>574.90367229548565</v>
      </c>
      <c r="G147" s="32">
        <f t="shared" si="17"/>
        <v>1.4178676798721874</v>
      </c>
      <c r="H147" s="32">
        <f t="shared" si="18"/>
        <v>576.32153997535784</v>
      </c>
      <c r="I147" s="54">
        <f>ÍNDICE_INPC!I146</f>
        <v>0</v>
      </c>
      <c r="J147" s="55">
        <f>ÍNDICE_INPC!J146</f>
        <v>0</v>
      </c>
      <c r="K147" s="32">
        <f t="shared" si="19"/>
        <v>576.32153997535784</v>
      </c>
      <c r="L147" s="41"/>
      <c r="M147" s="51">
        <f t="shared" si="20"/>
        <v>576.32153997535784</v>
      </c>
      <c r="N147" s="52">
        <f>ÍNDICE_INPC!K146</f>
        <v>596.1953183919004</v>
      </c>
    </row>
    <row r="148" spans="2:14" ht="15" thickBot="1" x14ac:dyDescent="0.35">
      <c r="B148" s="31">
        <v>40360</v>
      </c>
      <c r="C148" s="32">
        <f t="shared" si="14"/>
        <v>576.32153997535784</v>
      </c>
      <c r="D148" s="50">
        <v>1E-4</v>
      </c>
      <c r="E148" s="32">
        <f t="shared" si="15"/>
        <v>0.05</v>
      </c>
      <c r="F148" s="32">
        <f t="shared" si="16"/>
        <v>576.37153997535779</v>
      </c>
      <c r="G148" s="32">
        <f t="shared" si="17"/>
        <v>1.4214878378950258</v>
      </c>
      <c r="H148" s="32">
        <f t="shared" si="18"/>
        <v>577.79302781325282</v>
      </c>
      <c r="I148" s="54">
        <f>ÍNDICE_INPC!I147</f>
        <v>0</v>
      </c>
      <c r="J148" s="55">
        <f>ÍNDICE_INPC!J147</f>
        <v>0</v>
      </c>
      <c r="K148" s="32">
        <f t="shared" si="19"/>
        <v>577.79302781325282</v>
      </c>
      <c r="L148" s="41"/>
      <c r="M148" s="51">
        <f t="shared" si="20"/>
        <v>577.79302781325282</v>
      </c>
      <c r="N148" s="52">
        <f>ÍNDICE_INPC!K147</f>
        <v>597.24766858520081</v>
      </c>
    </row>
    <row r="149" spans="2:14" ht="15" thickBot="1" x14ac:dyDescent="0.35">
      <c r="B149" s="31">
        <v>40391</v>
      </c>
      <c r="C149" s="32">
        <f t="shared" si="14"/>
        <v>577.79302781325282</v>
      </c>
      <c r="D149" s="50">
        <v>4.0000000000000002E-4</v>
      </c>
      <c r="E149" s="32">
        <f t="shared" si="15"/>
        <v>0.23</v>
      </c>
      <c r="F149" s="32">
        <f t="shared" si="16"/>
        <v>578.02302781325284</v>
      </c>
      <c r="G149" s="32">
        <f t="shared" si="17"/>
        <v>1.425560852804991</v>
      </c>
      <c r="H149" s="32">
        <f t="shared" si="18"/>
        <v>579.44858866605784</v>
      </c>
      <c r="I149" s="54">
        <f>ÍNDICE_INPC!I148</f>
        <v>0</v>
      </c>
      <c r="J149" s="55">
        <f>ÍNDICE_INPC!J148</f>
        <v>0</v>
      </c>
      <c r="K149" s="32">
        <f t="shared" si="19"/>
        <v>579.44858866605784</v>
      </c>
      <c r="L149" s="41"/>
      <c r="M149" s="51">
        <f t="shared" si="20"/>
        <v>579.44858866605784</v>
      </c>
      <c r="N149" s="52">
        <f>ÍNDICE_INPC!K148</f>
        <v>598.30161169194241</v>
      </c>
    </row>
    <row r="150" spans="2:14" ht="15" thickBot="1" x14ac:dyDescent="0.35">
      <c r="B150" s="31">
        <v>40422</v>
      </c>
      <c r="C150" s="32">
        <f t="shared" si="14"/>
        <v>579.44858866605784</v>
      </c>
      <c r="D150" s="50">
        <v>4.4999999999999997E-3</v>
      </c>
      <c r="E150" s="32">
        <f t="shared" si="15"/>
        <v>2.6</v>
      </c>
      <c r="F150" s="32">
        <f t="shared" si="16"/>
        <v>582.04858866605787</v>
      </c>
      <c r="G150" s="32">
        <f t="shared" si="17"/>
        <v>1.4354889727694384</v>
      </c>
      <c r="H150" s="32">
        <f t="shared" si="18"/>
        <v>583.48407763882733</v>
      </c>
      <c r="I150" s="54">
        <f>ÍNDICE_INPC!I149</f>
        <v>0</v>
      </c>
      <c r="J150" s="55">
        <f>ÍNDICE_INPC!J149</f>
        <v>0</v>
      </c>
      <c r="K150" s="32">
        <f t="shared" si="19"/>
        <v>583.48407763882733</v>
      </c>
      <c r="L150" s="41"/>
      <c r="M150" s="51">
        <f t="shared" si="20"/>
        <v>583.48407763882733</v>
      </c>
      <c r="N150" s="52">
        <f>ÍNDICE_INPC!K149</f>
        <v>603.01515105990995</v>
      </c>
    </row>
    <row r="151" spans="2:14" ht="15" thickBot="1" x14ac:dyDescent="0.35">
      <c r="B151" s="31">
        <v>40452</v>
      </c>
      <c r="C151" s="32">
        <f t="shared" si="14"/>
        <v>583.48407763882733</v>
      </c>
      <c r="D151" s="50">
        <v>7.4999999999999997E-3</v>
      </c>
      <c r="E151" s="32">
        <f t="shared" si="15"/>
        <v>4.37</v>
      </c>
      <c r="F151" s="32">
        <f t="shared" si="16"/>
        <v>587.85407763882733</v>
      </c>
      <c r="G151" s="32">
        <f t="shared" si="17"/>
        <v>1.4498068760583107</v>
      </c>
      <c r="H151" s="32">
        <f t="shared" si="18"/>
        <v>589.30388451488568</v>
      </c>
      <c r="I151" s="54">
        <f>ÍNDICE_INPC!I150</f>
        <v>0</v>
      </c>
      <c r="J151" s="55">
        <f>ÍNDICE_INPC!J150</f>
        <v>0</v>
      </c>
      <c r="K151" s="32">
        <f t="shared" si="19"/>
        <v>589.30388451488568</v>
      </c>
      <c r="L151" s="41"/>
      <c r="M151" s="51">
        <f t="shared" si="20"/>
        <v>589.30388451488568</v>
      </c>
      <c r="N151" s="52">
        <f>ÍNDICE_INPC!K150</f>
        <v>610.06302963620453</v>
      </c>
    </row>
    <row r="152" spans="2:14" ht="15" thickBot="1" x14ac:dyDescent="0.35">
      <c r="B152" s="31">
        <v>40483</v>
      </c>
      <c r="C152" s="32">
        <f t="shared" si="14"/>
        <v>589.30388451488568</v>
      </c>
      <c r="D152" s="50">
        <v>8.3000000000000001E-3</v>
      </c>
      <c r="E152" s="32">
        <f t="shared" si="15"/>
        <v>4.8899999999999997</v>
      </c>
      <c r="F152" s="32">
        <f t="shared" si="16"/>
        <v>594.19388451488567</v>
      </c>
      <c r="G152" s="32">
        <f t="shared" si="17"/>
        <v>1.4654425515625271</v>
      </c>
      <c r="H152" s="32">
        <f t="shared" si="18"/>
        <v>595.65932706644821</v>
      </c>
      <c r="I152" s="54">
        <f>ÍNDICE_INPC!I151</f>
        <v>0</v>
      </c>
      <c r="J152" s="55">
        <f>ÍNDICE_INPC!J151</f>
        <v>0</v>
      </c>
      <c r="K152" s="32">
        <f t="shared" si="19"/>
        <v>595.65932706644821</v>
      </c>
      <c r="L152" s="41"/>
      <c r="M152" s="51">
        <f t="shared" si="20"/>
        <v>595.65932706644821</v>
      </c>
      <c r="N152" s="52">
        <f>ÍNDICE_INPC!K151</f>
        <v>617.86610535871546</v>
      </c>
    </row>
    <row r="153" spans="2:14" ht="15" customHeight="1" thickBot="1" x14ac:dyDescent="0.35">
      <c r="B153" s="31">
        <v>40513</v>
      </c>
      <c r="C153" s="32">
        <f t="shared" si="14"/>
        <v>595.65932706644821</v>
      </c>
      <c r="D153" s="50">
        <v>6.3E-3</v>
      </c>
      <c r="E153" s="32">
        <f t="shared" si="15"/>
        <v>3.75</v>
      </c>
      <c r="F153" s="32">
        <f t="shared" si="16"/>
        <v>599.40932706644821</v>
      </c>
      <c r="G153" s="32">
        <f t="shared" si="17"/>
        <v>1.4783052410641693</v>
      </c>
      <c r="H153" s="32">
        <f t="shared" si="18"/>
        <v>600.88763230751238</v>
      </c>
      <c r="I153" s="54">
        <f>ÍNDICE_INPC!I152</f>
        <v>0</v>
      </c>
      <c r="J153" s="55">
        <f>ÍNDICE_INPC!J152</f>
        <v>0</v>
      </c>
      <c r="K153" s="32">
        <f t="shared" si="19"/>
        <v>600.88763230751238</v>
      </c>
      <c r="L153" s="41"/>
      <c r="M153" s="51">
        <f t="shared" si="20"/>
        <v>600.88763230751238</v>
      </c>
      <c r="N153" s="52">
        <f>ÍNDICE_INPC!K152</f>
        <v>623.10607246126847</v>
      </c>
    </row>
    <row r="154" spans="2:14" ht="15" customHeight="1" thickBot="1" x14ac:dyDescent="0.35">
      <c r="B154" s="31">
        <v>40544</v>
      </c>
      <c r="C154" s="32">
        <f t="shared" si="14"/>
        <v>600.88763230751238</v>
      </c>
      <c r="D154" s="50">
        <v>8.3000000000000001E-3</v>
      </c>
      <c r="E154" s="32">
        <f t="shared" si="15"/>
        <v>4.9800000000000004</v>
      </c>
      <c r="F154" s="32">
        <f t="shared" si="16"/>
        <v>605.86763230751239</v>
      </c>
      <c r="G154" s="32">
        <f t="shared" si="17"/>
        <v>1.4942331655310486</v>
      </c>
      <c r="H154" s="32">
        <f t="shared" si="18"/>
        <v>607.36186547304339</v>
      </c>
      <c r="I154" s="54">
        <f>ÍNDICE_INPC!I153</f>
        <v>0</v>
      </c>
      <c r="J154" s="55">
        <f>ÍNDICE_INPC!J153</f>
        <v>0</v>
      </c>
      <c r="K154" s="32">
        <f t="shared" si="19"/>
        <v>607.36186547304339</v>
      </c>
      <c r="L154" s="41"/>
      <c r="M154" s="51">
        <f t="shared" si="20"/>
        <v>607.36186547304339</v>
      </c>
      <c r="N154" s="52">
        <f>ÍNDICE_INPC!K153</f>
        <v>630.51426521798749</v>
      </c>
    </row>
    <row r="155" spans="2:14" ht="15" thickBot="1" x14ac:dyDescent="0.35">
      <c r="B155" s="31">
        <v>40575</v>
      </c>
      <c r="C155" s="32">
        <f t="shared" si="14"/>
        <v>607.36186547304339</v>
      </c>
      <c r="D155" s="50">
        <v>8.0000000000000002E-3</v>
      </c>
      <c r="E155" s="32">
        <f t="shared" si="15"/>
        <v>4.8499999999999996</v>
      </c>
      <c r="F155" s="32">
        <f t="shared" si="16"/>
        <v>612.21186547304342</v>
      </c>
      <c r="G155" s="32">
        <f t="shared" si="17"/>
        <v>1.5098797574602028</v>
      </c>
      <c r="H155" s="32">
        <f t="shared" si="18"/>
        <v>613.72174523050364</v>
      </c>
      <c r="I155" s="54">
        <f>ÍNDICE_INPC!I154</f>
        <v>0</v>
      </c>
      <c r="J155" s="55">
        <f>ÍNDICE_INPC!J154</f>
        <v>0</v>
      </c>
      <c r="K155" s="32">
        <f t="shared" si="19"/>
        <v>613.72174523050364</v>
      </c>
      <c r="L155" s="41"/>
      <c r="M155" s="51">
        <f t="shared" si="20"/>
        <v>613.72174523050364</v>
      </c>
      <c r="N155" s="52">
        <f>ÍNDICE_INPC!K154</f>
        <v>635.48167881794666</v>
      </c>
    </row>
    <row r="156" spans="2:14" ht="15" thickBot="1" x14ac:dyDescent="0.35">
      <c r="B156" s="31">
        <v>40603</v>
      </c>
      <c r="C156" s="32">
        <f t="shared" si="14"/>
        <v>613.72174523050364</v>
      </c>
      <c r="D156" s="50">
        <v>7.9000000000000008E-3</v>
      </c>
      <c r="E156" s="32">
        <f t="shared" si="15"/>
        <v>4.84</v>
      </c>
      <c r="F156" s="32">
        <f t="shared" si="16"/>
        <v>618.56174523050367</v>
      </c>
      <c r="G156" s="32">
        <f t="shared" si="17"/>
        <v>1.5255402754096343</v>
      </c>
      <c r="H156" s="32">
        <f t="shared" si="18"/>
        <v>620.08728550591331</v>
      </c>
      <c r="I156" s="54">
        <f>ÍNDICE_INPC!I155</f>
        <v>0</v>
      </c>
      <c r="J156" s="55">
        <f>ÍNDICE_INPC!J155</f>
        <v>0</v>
      </c>
      <c r="K156" s="32">
        <f t="shared" si="19"/>
        <v>620.08728550591331</v>
      </c>
      <c r="L156" s="41"/>
      <c r="M156" s="51">
        <f t="shared" si="20"/>
        <v>620.08728550591331</v>
      </c>
      <c r="N156" s="52">
        <f>ÍNDICE_INPC!K155</f>
        <v>641.2532917543449</v>
      </c>
    </row>
    <row r="157" spans="2:14" ht="15" thickBot="1" x14ac:dyDescent="0.35">
      <c r="B157" s="31">
        <v>40634</v>
      </c>
      <c r="C157" s="32">
        <f t="shared" si="14"/>
        <v>620.08728550591331</v>
      </c>
      <c r="D157" s="50">
        <v>7.7000000000000002E-3</v>
      </c>
      <c r="E157" s="32">
        <f t="shared" si="15"/>
        <v>4.7699999999999996</v>
      </c>
      <c r="F157" s="32">
        <f t="shared" si="16"/>
        <v>624.8572855059133</v>
      </c>
      <c r="G157" s="32">
        <f t="shared" si="17"/>
        <v>1.5410667775246687</v>
      </c>
      <c r="H157" s="32">
        <f t="shared" si="18"/>
        <v>626.39835228343793</v>
      </c>
      <c r="I157" s="54">
        <f>ÍNDICE_INPC!I156</f>
        <v>0</v>
      </c>
      <c r="J157" s="55">
        <f>ÍNDICE_INPC!J156</f>
        <v>0</v>
      </c>
      <c r="K157" s="32">
        <f t="shared" si="19"/>
        <v>626.39835228343793</v>
      </c>
      <c r="L157" s="41"/>
      <c r="M157" s="51">
        <f t="shared" si="20"/>
        <v>626.39835228343793</v>
      </c>
      <c r="N157" s="52">
        <f>ÍNDICE_INPC!K156</f>
        <v>647.46318227878987</v>
      </c>
    </row>
    <row r="158" spans="2:14" ht="15" thickBot="1" x14ac:dyDescent="0.35">
      <c r="B158" s="31">
        <v>40664</v>
      </c>
      <c r="C158" s="32">
        <f t="shared" si="14"/>
        <v>626.39835228343793</v>
      </c>
      <c r="D158" s="50">
        <v>4.7000000000000002E-3</v>
      </c>
      <c r="E158" s="32">
        <f t="shared" si="15"/>
        <v>2.94</v>
      </c>
      <c r="F158" s="32">
        <f t="shared" si="16"/>
        <v>629.33835228343798</v>
      </c>
      <c r="G158" s="32">
        <f t="shared" si="17"/>
        <v>1.5521182980860746</v>
      </c>
      <c r="H158" s="32">
        <f t="shared" si="18"/>
        <v>630.89047058152403</v>
      </c>
      <c r="I158" s="54">
        <f>ÍNDICE_INPC!I157</f>
        <v>0</v>
      </c>
      <c r="J158" s="55">
        <f>ÍNDICE_INPC!J157</f>
        <v>0</v>
      </c>
      <c r="K158" s="32">
        <f t="shared" si="19"/>
        <v>630.89047058152403</v>
      </c>
      <c r="L158" s="41"/>
      <c r="M158" s="51">
        <f t="shared" si="20"/>
        <v>630.89047058152403</v>
      </c>
      <c r="N158" s="52">
        <f>ÍNDICE_INPC!K157</f>
        <v>652.75910183764859</v>
      </c>
    </row>
    <row r="159" spans="2:14" ht="15" thickBot="1" x14ac:dyDescent="0.35">
      <c r="B159" s="31">
        <v>40695</v>
      </c>
      <c r="C159" s="32">
        <f t="shared" si="14"/>
        <v>630.89047058152403</v>
      </c>
      <c r="D159" s="50">
        <v>1.5E-3</v>
      </c>
      <c r="E159" s="32">
        <f t="shared" si="15"/>
        <v>0.94</v>
      </c>
      <c r="F159" s="32">
        <f t="shared" si="16"/>
        <v>631.83047058152408</v>
      </c>
      <c r="G159" s="32">
        <f t="shared" si="17"/>
        <v>1.5582645346810955</v>
      </c>
      <c r="H159" s="32">
        <f t="shared" si="18"/>
        <v>633.38873511620523</v>
      </c>
      <c r="I159" s="54">
        <f>ÍNDICE_INPC!I158</f>
        <v>0</v>
      </c>
      <c r="J159" s="55">
        <f>ÍNDICE_INPC!J158</f>
        <v>0</v>
      </c>
      <c r="K159" s="32">
        <f t="shared" si="19"/>
        <v>633.38873511620523</v>
      </c>
      <c r="L159" s="41"/>
      <c r="M159" s="51">
        <f t="shared" si="20"/>
        <v>633.38873511620523</v>
      </c>
      <c r="N159" s="52">
        <f>ÍNDICE_INPC!K158</f>
        <v>655.80852359145774</v>
      </c>
    </row>
    <row r="160" spans="2:14" ht="15" customHeight="1" thickBot="1" x14ac:dyDescent="0.35">
      <c r="B160" s="31">
        <v>40725</v>
      </c>
      <c r="C160" s="32">
        <f t="shared" si="14"/>
        <v>633.38873511620523</v>
      </c>
      <c r="D160" s="50">
        <v>1.6000000000000001E-3</v>
      </c>
      <c r="E160" s="32">
        <f t="shared" si="15"/>
        <v>1.01</v>
      </c>
      <c r="F160" s="32">
        <f t="shared" si="16"/>
        <v>634.39873511620522</v>
      </c>
      <c r="G160" s="32">
        <f t="shared" si="17"/>
        <v>1.5645985684550434</v>
      </c>
      <c r="H160" s="32">
        <f t="shared" si="18"/>
        <v>635.96333368466026</v>
      </c>
      <c r="I160" s="54">
        <f>ÍNDICE_INPC!I159</f>
        <v>0</v>
      </c>
      <c r="J160" s="55">
        <f>ÍNDICE_INPC!J159</f>
        <v>0</v>
      </c>
      <c r="K160" s="32">
        <f t="shared" si="19"/>
        <v>635.96333368466026</v>
      </c>
      <c r="L160" s="41"/>
      <c r="M160" s="51">
        <f t="shared" si="20"/>
        <v>635.96333368466026</v>
      </c>
      <c r="N160" s="52">
        <f>ÍNDICE_INPC!K159</f>
        <v>657.4259244789356</v>
      </c>
    </row>
    <row r="161" spans="2:14" ht="15" customHeight="1" thickBot="1" x14ac:dyDescent="0.35">
      <c r="B161" s="31">
        <v>40756</v>
      </c>
      <c r="C161" s="32">
        <f t="shared" si="14"/>
        <v>635.96333368466026</v>
      </c>
      <c r="D161" s="50">
        <v>3.7000000000000002E-3</v>
      </c>
      <c r="E161" s="32">
        <f t="shared" si="15"/>
        <v>2.35</v>
      </c>
      <c r="F161" s="32">
        <f t="shared" si="16"/>
        <v>638.31333368466028</v>
      </c>
      <c r="G161" s="32">
        <f t="shared" si="17"/>
        <v>1.5742530254664671</v>
      </c>
      <c r="H161" s="32">
        <f t="shared" si="18"/>
        <v>639.8875867101267</v>
      </c>
      <c r="I161" s="54">
        <f>ÍNDICE_INPC!I160</f>
        <v>0</v>
      </c>
      <c r="J161" s="55">
        <f>ÍNDICE_INPC!J160</f>
        <v>0</v>
      </c>
      <c r="K161" s="32">
        <f t="shared" si="19"/>
        <v>639.8875867101267</v>
      </c>
      <c r="L161" s="41"/>
      <c r="M161" s="51">
        <f t="shared" si="20"/>
        <v>639.8875867101267</v>
      </c>
      <c r="N161" s="52">
        <f>ÍNDICE_INPC!K160</f>
        <v>661.81512368517019</v>
      </c>
    </row>
    <row r="162" spans="2:14" ht="15" thickBot="1" x14ac:dyDescent="0.35">
      <c r="B162" s="31">
        <v>40787</v>
      </c>
      <c r="C162" s="32">
        <f t="shared" si="14"/>
        <v>639.8875867101267</v>
      </c>
      <c r="D162" s="50">
        <v>5.3E-3</v>
      </c>
      <c r="E162" s="32">
        <f t="shared" si="15"/>
        <v>3.39</v>
      </c>
      <c r="F162" s="32">
        <f t="shared" si="16"/>
        <v>643.27758671012668</v>
      </c>
      <c r="G162" s="32">
        <f t="shared" si="17"/>
        <v>1.5864962137755843</v>
      </c>
      <c r="H162" s="32">
        <f t="shared" si="18"/>
        <v>644.86408292390229</v>
      </c>
      <c r="I162" s="54">
        <f>ÍNDICE_INPC!I161</f>
        <v>0</v>
      </c>
      <c r="J162" s="55">
        <f>ÍNDICE_INPC!J161</f>
        <v>0</v>
      </c>
      <c r="K162" s="32">
        <f t="shared" si="19"/>
        <v>644.86408292390229</v>
      </c>
      <c r="L162" s="41"/>
      <c r="M162" s="51">
        <f t="shared" si="20"/>
        <v>644.86408292390229</v>
      </c>
      <c r="N162" s="52">
        <f>ÍNDICE_INPC!K161</f>
        <v>666.43268302232116</v>
      </c>
    </row>
    <row r="163" spans="2:14" ht="15" thickBot="1" x14ac:dyDescent="0.35">
      <c r="B163" s="31">
        <v>40817</v>
      </c>
      <c r="C163" s="32">
        <f t="shared" si="14"/>
        <v>644.86408292390229</v>
      </c>
      <c r="D163" s="50">
        <v>4.3E-3</v>
      </c>
      <c r="E163" s="32">
        <f t="shared" si="15"/>
        <v>2.77</v>
      </c>
      <c r="F163" s="32">
        <f t="shared" si="16"/>
        <v>647.63408292390227</v>
      </c>
      <c r="G163" s="32">
        <f t="shared" si="17"/>
        <v>1.5972405096927325</v>
      </c>
      <c r="H163" s="32">
        <f t="shared" si="18"/>
        <v>649.23132343359498</v>
      </c>
      <c r="I163" s="54">
        <f>ÍNDICE_INPC!I162</f>
        <v>0</v>
      </c>
      <c r="J163" s="55">
        <f>ÍNDICE_INPC!J162</f>
        <v>0</v>
      </c>
      <c r="K163" s="32">
        <f t="shared" si="19"/>
        <v>649.23132343359498</v>
      </c>
      <c r="L163" s="41"/>
      <c r="M163" s="51">
        <f t="shared" si="20"/>
        <v>649.23132343359498</v>
      </c>
      <c r="N163" s="52">
        <f>ÍNDICE_INPC!K162</f>
        <v>670.21354404311853</v>
      </c>
    </row>
    <row r="164" spans="2:14" ht="15" thickBot="1" x14ac:dyDescent="0.35">
      <c r="B164" s="31">
        <v>40848</v>
      </c>
      <c r="C164" s="32">
        <f t="shared" si="14"/>
        <v>649.23132343359498</v>
      </c>
      <c r="D164" s="50">
        <v>5.1999999999999998E-3</v>
      </c>
      <c r="E164" s="32">
        <f t="shared" si="15"/>
        <v>3.37</v>
      </c>
      <c r="F164" s="32">
        <f t="shared" si="16"/>
        <v>652.60132343359498</v>
      </c>
      <c r="G164" s="32">
        <f t="shared" si="17"/>
        <v>1.6094910659445723</v>
      </c>
      <c r="H164" s="32">
        <f t="shared" si="18"/>
        <v>654.21081449953954</v>
      </c>
      <c r="I164" s="54">
        <f>ÍNDICE_INPC!I163</f>
        <v>0</v>
      </c>
      <c r="J164" s="55">
        <f>ÍNDICE_INPC!J163</f>
        <v>0</v>
      </c>
      <c r="K164" s="32">
        <f t="shared" si="19"/>
        <v>654.21081449953954</v>
      </c>
      <c r="L164" s="41"/>
      <c r="M164" s="51">
        <f t="shared" si="20"/>
        <v>654.21081449953954</v>
      </c>
      <c r="N164" s="52">
        <f>ÍNDICE_INPC!K163</f>
        <v>675.69589275178578</v>
      </c>
    </row>
    <row r="165" spans="2:14" ht="15" thickBot="1" x14ac:dyDescent="0.35">
      <c r="B165" s="31">
        <v>40878</v>
      </c>
      <c r="C165" s="32">
        <f t="shared" si="14"/>
        <v>654.21081449953954</v>
      </c>
      <c r="D165" s="50">
        <v>5.0000000000000001E-3</v>
      </c>
      <c r="E165" s="32">
        <f t="shared" si="15"/>
        <v>3.27</v>
      </c>
      <c r="F165" s="32">
        <f t="shared" si="16"/>
        <v>657.48081449953952</v>
      </c>
      <c r="G165" s="32">
        <f t="shared" si="17"/>
        <v>1.6215252083757794</v>
      </c>
      <c r="H165" s="32">
        <f t="shared" si="18"/>
        <v>659.10233970791535</v>
      </c>
      <c r="I165" s="54">
        <f>ÍNDICE_INPC!I164</f>
        <v>0</v>
      </c>
      <c r="J165" s="55">
        <f>ÍNDICE_INPC!J164</f>
        <v>0</v>
      </c>
      <c r="K165" s="32">
        <f t="shared" si="19"/>
        <v>659.10233970791535</v>
      </c>
      <c r="L165" s="41"/>
      <c r="M165" s="51">
        <f t="shared" si="20"/>
        <v>659.10233970791535</v>
      </c>
      <c r="N165" s="52">
        <f>ÍNDICE_INPC!K164</f>
        <v>680.81684002762279</v>
      </c>
    </row>
    <row r="166" spans="2:14" ht="15" thickBot="1" x14ac:dyDescent="0.35">
      <c r="B166" s="31">
        <v>40909</v>
      </c>
      <c r="C166" s="32">
        <f t="shared" si="14"/>
        <v>659.10233970791535</v>
      </c>
      <c r="D166" s="50">
        <v>5.5999999999999999E-3</v>
      </c>
      <c r="E166" s="32">
        <f t="shared" si="15"/>
        <v>3.69</v>
      </c>
      <c r="F166" s="32">
        <f t="shared" si="16"/>
        <v>662.7923397079154</v>
      </c>
      <c r="G166" s="32">
        <f t="shared" si="17"/>
        <v>1.6346248636514404</v>
      </c>
      <c r="H166" s="32">
        <f t="shared" si="18"/>
        <v>664.42696457156683</v>
      </c>
      <c r="I166" s="54">
        <f>ÍNDICE_INPC!I165</f>
        <v>0</v>
      </c>
      <c r="J166" s="55">
        <f>ÍNDICE_INPC!J165</f>
        <v>0</v>
      </c>
      <c r="K166" s="32">
        <f t="shared" si="19"/>
        <v>664.42696457156683</v>
      </c>
      <c r="L166" s="41"/>
      <c r="M166" s="51">
        <f t="shared" si="20"/>
        <v>664.42696457156683</v>
      </c>
      <c r="N166" s="52">
        <f>ÍNDICE_INPC!K165</f>
        <v>685.9764810651177</v>
      </c>
    </row>
    <row r="167" spans="2:14" ht="15" customHeight="1" thickBot="1" x14ac:dyDescent="0.35">
      <c r="B167" s="31">
        <v>40940</v>
      </c>
      <c r="C167" s="32">
        <f t="shared" si="14"/>
        <v>664.42696457156683</v>
      </c>
      <c r="D167" s="50">
        <v>4.4999999999999997E-3</v>
      </c>
      <c r="E167" s="32">
        <f t="shared" si="15"/>
        <v>2.98</v>
      </c>
      <c r="F167" s="32">
        <f t="shared" si="16"/>
        <v>667.40696457156685</v>
      </c>
      <c r="G167" s="32">
        <f t="shared" si="17"/>
        <v>1.6460057745139183</v>
      </c>
      <c r="H167" s="32">
        <f t="shared" si="18"/>
        <v>669.05297034608077</v>
      </c>
      <c r="I167" s="54">
        <f>ÍNDICE_INPC!I166</f>
        <v>0</v>
      </c>
      <c r="J167" s="55">
        <f>ÍNDICE_INPC!J166</f>
        <v>0</v>
      </c>
      <c r="K167" s="32">
        <f t="shared" si="19"/>
        <v>669.05297034608077</v>
      </c>
      <c r="L167" s="41"/>
      <c r="M167" s="51">
        <f t="shared" si="20"/>
        <v>669.05297034608077</v>
      </c>
      <c r="N167" s="52">
        <f>ÍNDICE_INPC!K166</f>
        <v>690.34988155332417</v>
      </c>
    </row>
    <row r="168" spans="2:14" ht="15" customHeight="1" thickBot="1" x14ac:dyDescent="0.35">
      <c r="B168" s="31">
        <v>40969</v>
      </c>
      <c r="C168" s="32">
        <f t="shared" si="14"/>
        <v>669.05297034608077</v>
      </c>
      <c r="D168" s="50">
        <v>2.0999999999999999E-3</v>
      </c>
      <c r="E168" s="32">
        <f t="shared" si="15"/>
        <v>1.4</v>
      </c>
      <c r="F168" s="32">
        <f t="shared" si="16"/>
        <v>670.45297034608075</v>
      </c>
      <c r="G168" s="32">
        <f t="shared" si="17"/>
        <v>1.6535180471754285</v>
      </c>
      <c r="H168" s="32">
        <f t="shared" si="18"/>
        <v>672.1064883932562</v>
      </c>
      <c r="I168" s="54">
        <f>ÍNDICE_INPC!I167</f>
        <v>0</v>
      </c>
      <c r="J168" s="55">
        <f>ÍNDICE_INPC!J167</f>
        <v>0</v>
      </c>
      <c r="K168" s="32">
        <f t="shared" si="19"/>
        <v>672.1064883932562</v>
      </c>
      <c r="L168" s="41"/>
      <c r="M168" s="51">
        <f t="shared" si="20"/>
        <v>672.1064883932562</v>
      </c>
      <c r="N168" s="52">
        <f>ÍNDICE_INPC!K167</f>
        <v>693.29753386304264</v>
      </c>
    </row>
    <row r="169" spans="2:14" ht="15" thickBot="1" x14ac:dyDescent="0.35">
      <c r="B169" s="31">
        <v>41000</v>
      </c>
      <c r="C169" s="32">
        <f t="shared" si="14"/>
        <v>672.1064883932562</v>
      </c>
      <c r="D169" s="50">
        <v>6.4000000000000003E-3</v>
      </c>
      <c r="E169" s="32">
        <f t="shared" si="15"/>
        <v>4.3</v>
      </c>
      <c r="F169" s="32">
        <f t="shared" si="16"/>
        <v>676.40648839325615</v>
      </c>
      <c r="G169" s="32">
        <f t="shared" si="17"/>
        <v>1.6682010301296359</v>
      </c>
      <c r="H169" s="32">
        <f t="shared" si="18"/>
        <v>678.07468942338573</v>
      </c>
      <c r="I169" s="54">
        <f>ÍNDICE_INPC!I168</f>
        <v>0</v>
      </c>
      <c r="J169" s="55">
        <f>ÍNDICE_INPC!J168</f>
        <v>0</v>
      </c>
      <c r="K169" s="32">
        <f t="shared" si="19"/>
        <v>678.07468942338573</v>
      </c>
      <c r="L169" s="41"/>
      <c r="M169" s="51">
        <f t="shared" si="20"/>
        <v>678.07468942338573</v>
      </c>
      <c r="N169" s="52">
        <f>ÍNDICE_INPC!K168</f>
        <v>699.45533561187301</v>
      </c>
    </row>
    <row r="170" spans="2:14" ht="15" thickBot="1" x14ac:dyDescent="0.35">
      <c r="B170" s="31">
        <v>41030</v>
      </c>
      <c r="C170" s="32">
        <f t="shared" si="14"/>
        <v>678.07468942338573</v>
      </c>
      <c r="D170" s="50">
        <v>3.5999999999999999E-3</v>
      </c>
      <c r="E170" s="32">
        <f t="shared" si="15"/>
        <v>2.44</v>
      </c>
      <c r="F170" s="32">
        <f t="shared" si="16"/>
        <v>680.51468942338579</v>
      </c>
      <c r="G170" s="32">
        <f t="shared" si="17"/>
        <v>1.6783329630842136</v>
      </c>
      <c r="H170" s="32">
        <f t="shared" si="18"/>
        <v>682.19302238647003</v>
      </c>
      <c r="I170" s="54">
        <f>ÍNDICE_INPC!I169</f>
        <v>0</v>
      </c>
      <c r="J170" s="55">
        <f>ÍNDICE_INPC!J169</f>
        <v>0</v>
      </c>
      <c r="K170" s="32">
        <f t="shared" si="19"/>
        <v>682.19302238647003</v>
      </c>
      <c r="L170" s="41"/>
      <c r="M170" s="51">
        <f t="shared" si="20"/>
        <v>682.19302238647003</v>
      </c>
      <c r="N170" s="52">
        <f>ÍNDICE_INPC!K169</f>
        <v>705.03686906312248</v>
      </c>
    </row>
    <row r="171" spans="2:14" ht="15" thickBot="1" x14ac:dyDescent="0.35">
      <c r="B171" s="31">
        <v>41061</v>
      </c>
      <c r="C171" s="32">
        <f t="shared" si="14"/>
        <v>682.19302238647003</v>
      </c>
      <c r="D171" s="50">
        <v>8.0000000000000004E-4</v>
      </c>
      <c r="E171" s="32">
        <f t="shared" si="15"/>
        <v>0.54</v>
      </c>
      <c r="F171" s="32">
        <f t="shared" si="16"/>
        <v>682.73302238647</v>
      </c>
      <c r="G171" s="32">
        <f t="shared" si="17"/>
        <v>1.6838039711210793</v>
      </c>
      <c r="H171" s="32">
        <f t="shared" si="18"/>
        <v>684.41682635759105</v>
      </c>
      <c r="I171" s="54">
        <f>ÍNDICE_INPC!I170</f>
        <v>0</v>
      </c>
      <c r="J171" s="55">
        <f>ÍNDICE_INPC!J170</f>
        <v>0</v>
      </c>
      <c r="K171" s="32">
        <f t="shared" si="19"/>
        <v>684.41682635759105</v>
      </c>
      <c r="L171" s="41"/>
      <c r="M171" s="51">
        <f t="shared" si="20"/>
        <v>684.41682635759105</v>
      </c>
      <c r="N171" s="52">
        <f>ÍNDICE_INPC!K170</f>
        <v>708.61320101509671</v>
      </c>
    </row>
    <row r="172" spans="2:14" ht="15" thickBot="1" x14ac:dyDescent="0.35">
      <c r="B172" s="31">
        <v>41091</v>
      </c>
      <c r="C172" s="32">
        <f t="shared" si="14"/>
        <v>684.41682635759105</v>
      </c>
      <c r="D172" s="50">
        <v>4.3E-3</v>
      </c>
      <c r="E172" s="32">
        <f t="shared" si="15"/>
        <v>2.94</v>
      </c>
      <c r="F172" s="32">
        <f t="shared" si="16"/>
        <v>687.3568263575911</v>
      </c>
      <c r="G172" s="32">
        <f t="shared" si="17"/>
        <v>1.6952075201409362</v>
      </c>
      <c r="H172" s="32">
        <f t="shared" si="18"/>
        <v>689.05203387773201</v>
      </c>
      <c r="I172" s="54">
        <f>ÍNDICE_INPC!I171</f>
        <v>0</v>
      </c>
      <c r="J172" s="55">
        <f>ÍNDICE_INPC!J171</f>
        <v>0</v>
      </c>
      <c r="K172" s="32">
        <f t="shared" si="19"/>
        <v>689.05203387773201</v>
      </c>
      <c r="L172" s="41"/>
      <c r="M172" s="51">
        <f t="shared" si="20"/>
        <v>689.05203387773201</v>
      </c>
      <c r="N172" s="52">
        <f>ÍNDICE_INPC!K171</f>
        <v>713.41534721905418</v>
      </c>
    </row>
    <row r="173" spans="2:14" ht="15" thickBot="1" x14ac:dyDescent="0.35">
      <c r="B173" s="31">
        <v>41122</v>
      </c>
      <c r="C173" s="32">
        <f t="shared" si="14"/>
        <v>689.05203387773201</v>
      </c>
      <c r="D173" s="50">
        <v>4.1000000000000003E-3</v>
      </c>
      <c r="E173" s="32">
        <f t="shared" si="15"/>
        <v>2.82</v>
      </c>
      <c r="F173" s="32">
        <f t="shared" si="16"/>
        <v>691.87203387773206</v>
      </c>
      <c r="G173" s="32">
        <f t="shared" si="17"/>
        <v>1.7063432409916344</v>
      </c>
      <c r="H173" s="32">
        <f t="shared" si="18"/>
        <v>693.57837711872367</v>
      </c>
      <c r="I173" s="54">
        <f>ÍNDICE_INPC!I172</f>
        <v>0</v>
      </c>
      <c r="J173" s="55">
        <f>ÍNDICE_INPC!J172</f>
        <v>0</v>
      </c>
      <c r="K173" s="32">
        <f t="shared" si="19"/>
        <v>693.57837711872367</v>
      </c>
      <c r="L173" s="41"/>
      <c r="M173" s="51">
        <f t="shared" si="20"/>
        <v>693.57837711872367</v>
      </c>
      <c r="N173" s="52">
        <f>ÍNDICE_INPC!K172</f>
        <v>718.3927388141401</v>
      </c>
    </row>
    <row r="174" spans="2:14" ht="15" customHeight="1" thickBot="1" x14ac:dyDescent="0.35">
      <c r="B174" s="31">
        <v>41153</v>
      </c>
      <c r="C174" s="32">
        <f t="shared" si="14"/>
        <v>693.57837711872367</v>
      </c>
      <c r="D174" s="50">
        <v>5.7000000000000002E-3</v>
      </c>
      <c r="E174" s="32">
        <f t="shared" si="15"/>
        <v>3.95</v>
      </c>
      <c r="F174" s="32">
        <f t="shared" si="16"/>
        <v>697.52837711872371</v>
      </c>
      <c r="G174" s="32">
        <f t="shared" si="17"/>
        <v>1.7202933106365947</v>
      </c>
      <c r="H174" s="32">
        <f t="shared" si="18"/>
        <v>699.24867042936035</v>
      </c>
      <c r="I174" s="54">
        <f>ÍNDICE_INPC!I173</f>
        <v>0</v>
      </c>
      <c r="J174" s="55">
        <f>ÍNDICE_INPC!J173</f>
        <v>0</v>
      </c>
      <c r="K174" s="32">
        <f t="shared" si="19"/>
        <v>699.24867042936035</v>
      </c>
      <c r="L174" s="41"/>
      <c r="M174" s="51">
        <f t="shared" si="20"/>
        <v>699.24867042936035</v>
      </c>
      <c r="N174" s="52">
        <f>ÍNDICE_INPC!K173</f>
        <v>724.7006491458452</v>
      </c>
    </row>
    <row r="175" spans="2:14" ht="15" customHeight="1" thickBot="1" x14ac:dyDescent="0.35">
      <c r="B175" s="31">
        <v>41183</v>
      </c>
      <c r="C175" s="32">
        <f t="shared" si="14"/>
        <v>699.24867042936035</v>
      </c>
      <c r="D175" s="50">
        <v>5.8999999999999999E-3</v>
      </c>
      <c r="E175" s="32">
        <f t="shared" si="15"/>
        <v>4.12</v>
      </c>
      <c r="F175" s="32">
        <f t="shared" si="16"/>
        <v>703.36867042936035</v>
      </c>
      <c r="G175" s="32">
        <f t="shared" si="17"/>
        <v>1.7346970508198185</v>
      </c>
      <c r="H175" s="32">
        <f t="shared" si="18"/>
        <v>705.10336748018017</v>
      </c>
      <c r="I175" s="54">
        <f>ÍNDICE_INPC!I174</f>
        <v>0</v>
      </c>
      <c r="J175" s="55">
        <f>ÍNDICE_INPC!J174</f>
        <v>0</v>
      </c>
      <c r="K175" s="32">
        <f t="shared" si="19"/>
        <v>705.10336748018017</v>
      </c>
      <c r="L175" s="41"/>
      <c r="M175" s="51">
        <f t="shared" si="20"/>
        <v>705.10336748018017</v>
      </c>
      <c r="N175" s="52">
        <f>ÍNDICE_INPC!K174</f>
        <v>731.64564557496408</v>
      </c>
    </row>
    <row r="176" spans="2:14" ht="15" thickBot="1" x14ac:dyDescent="0.35">
      <c r="B176" s="31">
        <v>41214</v>
      </c>
      <c r="C176" s="32">
        <f t="shared" si="14"/>
        <v>705.10336748018017</v>
      </c>
      <c r="D176" s="50">
        <v>6.0000000000000001E-3</v>
      </c>
      <c r="E176" s="32">
        <f t="shared" si="15"/>
        <v>4.2300000000000004</v>
      </c>
      <c r="F176" s="32">
        <f t="shared" si="16"/>
        <v>709.33336748018019</v>
      </c>
      <c r="G176" s="32">
        <f t="shared" si="17"/>
        <v>1.7494076042153439</v>
      </c>
      <c r="H176" s="32">
        <f t="shared" si="18"/>
        <v>711.08277508439551</v>
      </c>
      <c r="I176" s="54">
        <f>ÍNDICE_INPC!I175</f>
        <v>0</v>
      </c>
      <c r="J176" s="55">
        <f>ÍNDICE_INPC!J175</f>
        <v>0</v>
      </c>
      <c r="K176" s="32">
        <f t="shared" si="19"/>
        <v>711.08277508439551</v>
      </c>
      <c r="L176" s="41"/>
      <c r="M176" s="51">
        <f t="shared" si="20"/>
        <v>711.08277508439551</v>
      </c>
      <c r="N176" s="52">
        <f>ÍNDICE_INPC!K175</f>
        <v>737.40982304777629</v>
      </c>
    </row>
    <row r="177" spans="2:14" ht="15" thickBot="1" x14ac:dyDescent="0.35">
      <c r="B177" s="31">
        <v>41244</v>
      </c>
      <c r="C177" s="32">
        <f t="shared" si="14"/>
        <v>711.08277508439551</v>
      </c>
      <c r="D177" s="50">
        <v>7.9000000000000008E-3</v>
      </c>
      <c r="E177" s="32">
        <f t="shared" si="15"/>
        <v>5.61</v>
      </c>
      <c r="F177" s="32">
        <f t="shared" si="16"/>
        <v>716.69277508439552</v>
      </c>
      <c r="G177" s="32">
        <f t="shared" si="17"/>
        <v>1.7675578904073921</v>
      </c>
      <c r="H177" s="32">
        <f t="shared" si="18"/>
        <v>718.4603329748029</v>
      </c>
      <c r="I177" s="54">
        <f>ÍNDICE_INPC!I176</f>
        <v>0</v>
      </c>
      <c r="J177" s="55">
        <f>ÍNDICE_INPC!J176</f>
        <v>0</v>
      </c>
      <c r="K177" s="32">
        <f t="shared" si="19"/>
        <v>718.4603329748029</v>
      </c>
      <c r="L177" s="41"/>
      <c r="M177" s="51">
        <f t="shared" si="20"/>
        <v>718.4603329748029</v>
      </c>
      <c r="N177" s="52">
        <f>ÍNDICE_INPC!K176</f>
        <v>744.69793074118434</v>
      </c>
    </row>
    <row r="178" spans="2:14" ht="15" thickBot="1" x14ac:dyDescent="0.35">
      <c r="B178" s="31">
        <v>41275</v>
      </c>
      <c r="C178" s="32">
        <f t="shared" si="14"/>
        <v>718.4603329748029</v>
      </c>
      <c r="D178" s="50">
        <v>8.6E-3</v>
      </c>
      <c r="E178" s="32">
        <f t="shared" si="15"/>
        <v>6.17</v>
      </c>
      <c r="F178" s="32">
        <f t="shared" si="16"/>
        <v>724.63033297480285</v>
      </c>
      <c r="G178" s="32">
        <f t="shared" si="17"/>
        <v>1.787134051305767</v>
      </c>
      <c r="H178" s="32">
        <f t="shared" si="18"/>
        <v>726.41746702610862</v>
      </c>
      <c r="I178" s="54">
        <f>ÍNDICE_INPC!I177</f>
        <v>0</v>
      </c>
      <c r="J178" s="55">
        <f>ÍNDICE_INPC!J177</f>
        <v>0</v>
      </c>
      <c r="K178" s="32">
        <f t="shared" si="19"/>
        <v>726.41746702610862</v>
      </c>
      <c r="L178" s="41"/>
      <c r="M178" s="51">
        <f t="shared" si="20"/>
        <v>726.41746702610862</v>
      </c>
      <c r="N178" s="52">
        <f>ÍNDICE_INPC!K177</f>
        <v>753.40245332260338</v>
      </c>
    </row>
    <row r="179" spans="2:14" ht="15" thickBot="1" x14ac:dyDescent="0.35">
      <c r="B179" s="31">
        <v>41306</v>
      </c>
      <c r="C179" s="32">
        <f t="shared" si="14"/>
        <v>726.41746702610862</v>
      </c>
      <c r="D179" s="50">
        <v>6.0000000000000001E-3</v>
      </c>
      <c r="E179" s="32">
        <f t="shared" si="15"/>
        <v>4.3499999999999996</v>
      </c>
      <c r="F179" s="32">
        <f t="shared" si="16"/>
        <v>730.76746702610865</v>
      </c>
      <c r="G179" s="32">
        <f t="shared" si="17"/>
        <v>1.8022698809024811</v>
      </c>
      <c r="H179" s="32">
        <f t="shared" si="18"/>
        <v>732.56973690701113</v>
      </c>
      <c r="I179" s="54">
        <f>ÍNDICE_INPC!I178</f>
        <v>0</v>
      </c>
      <c r="J179" s="55">
        <f>ÍNDICE_INPC!J178</f>
        <v>0</v>
      </c>
      <c r="K179" s="32">
        <f t="shared" si="19"/>
        <v>732.56973690701113</v>
      </c>
      <c r="L179" s="41"/>
      <c r="M179" s="51">
        <f t="shared" si="20"/>
        <v>732.56973690701113</v>
      </c>
      <c r="N179" s="52">
        <f>ÍNDICE_INPC!K178</f>
        <v>759.18720757074937</v>
      </c>
    </row>
    <row r="180" spans="2:14" ht="15" thickBot="1" x14ac:dyDescent="0.35">
      <c r="B180" s="31">
        <v>41334</v>
      </c>
      <c r="C180" s="32">
        <f t="shared" si="14"/>
        <v>732.56973690701113</v>
      </c>
      <c r="D180" s="50">
        <v>4.7000000000000002E-3</v>
      </c>
      <c r="E180" s="32">
        <f t="shared" si="15"/>
        <v>3.44</v>
      </c>
      <c r="F180" s="32">
        <f t="shared" si="16"/>
        <v>736.00973690701119</v>
      </c>
      <c r="G180" s="32">
        <f t="shared" si="17"/>
        <v>1.8151987338416544</v>
      </c>
      <c r="H180" s="32">
        <f t="shared" si="18"/>
        <v>737.8249356408528</v>
      </c>
      <c r="I180" s="54">
        <f>ÍNDICE_INPC!I179</f>
        <v>0</v>
      </c>
      <c r="J180" s="55">
        <f>ÍNDICE_INPC!J179</f>
        <v>0</v>
      </c>
      <c r="K180" s="32">
        <f t="shared" si="19"/>
        <v>737.8249356408528</v>
      </c>
      <c r="L180" s="41"/>
      <c r="M180" s="51">
        <f t="shared" si="20"/>
        <v>737.8249356408528</v>
      </c>
      <c r="N180" s="52">
        <f>ÍNDICE_INPC!K179</f>
        <v>765.6258020650148</v>
      </c>
    </row>
    <row r="181" spans="2:14" ht="15" customHeight="1" thickBot="1" x14ac:dyDescent="0.35">
      <c r="B181" s="31">
        <v>41365</v>
      </c>
      <c r="C181" s="32">
        <f t="shared" si="14"/>
        <v>737.8249356408528</v>
      </c>
      <c r="D181" s="50">
        <v>5.4999999999999997E-3</v>
      </c>
      <c r="E181" s="32">
        <f t="shared" si="15"/>
        <v>4.05</v>
      </c>
      <c r="F181" s="32">
        <f t="shared" si="16"/>
        <v>741.87493564085275</v>
      </c>
      <c r="G181" s="32">
        <f t="shared" si="17"/>
        <v>1.829663897522966</v>
      </c>
      <c r="H181" s="32">
        <f t="shared" si="18"/>
        <v>743.70459953837576</v>
      </c>
      <c r="I181" s="54">
        <f>ÍNDICE_INPC!I180</f>
        <v>0</v>
      </c>
      <c r="J181" s="55">
        <f>ÍNDICE_INPC!J180</f>
        <v>0</v>
      </c>
      <c r="K181" s="32">
        <f t="shared" si="19"/>
        <v>743.70459953837576</v>
      </c>
      <c r="L181" s="41"/>
      <c r="M181" s="51">
        <f t="shared" si="20"/>
        <v>743.70459953837576</v>
      </c>
      <c r="N181" s="52">
        <f>ÍNDICE_INPC!K180</f>
        <v>772.04218215346373</v>
      </c>
    </row>
    <row r="182" spans="2:14" ht="15" customHeight="1" thickBot="1" x14ac:dyDescent="0.35">
      <c r="B182" s="31">
        <v>41395</v>
      </c>
      <c r="C182" s="32">
        <f t="shared" si="14"/>
        <v>743.70459953837576</v>
      </c>
      <c r="D182" s="50">
        <v>3.7000000000000002E-3</v>
      </c>
      <c r="E182" s="32">
        <f t="shared" si="15"/>
        <v>2.75</v>
      </c>
      <c r="F182" s="32">
        <f t="shared" si="16"/>
        <v>746.45459953837576</v>
      </c>
      <c r="G182" s="32">
        <f t="shared" si="17"/>
        <v>1.84095858520351</v>
      </c>
      <c r="H182" s="32">
        <f t="shared" si="18"/>
        <v>748.29555812357933</v>
      </c>
      <c r="I182" s="54">
        <f>ÍNDICE_INPC!I181</f>
        <v>0</v>
      </c>
      <c r="J182" s="55">
        <f>ÍNDICE_INPC!J181</f>
        <v>0</v>
      </c>
      <c r="K182" s="32">
        <f t="shared" si="19"/>
        <v>748.29555812357933</v>
      </c>
      <c r="L182" s="41"/>
      <c r="M182" s="51">
        <f t="shared" si="20"/>
        <v>748.29555812357933</v>
      </c>
      <c r="N182" s="52">
        <f>ÍNDICE_INPC!K181</f>
        <v>776.65491048758338</v>
      </c>
    </row>
    <row r="183" spans="2:14" ht="15" thickBot="1" x14ac:dyDescent="0.35">
      <c r="B183" s="31">
        <v>41426</v>
      </c>
      <c r="C183" s="32">
        <f t="shared" si="14"/>
        <v>748.29555812357933</v>
      </c>
      <c r="D183" s="50">
        <v>2.5999999999999999E-3</v>
      </c>
      <c r="E183" s="32">
        <f t="shared" si="15"/>
        <v>1.94</v>
      </c>
      <c r="F183" s="32">
        <f t="shared" si="16"/>
        <v>750.23555812357938</v>
      </c>
      <c r="G183" s="32">
        <f t="shared" si="17"/>
        <v>1.8502834499334402</v>
      </c>
      <c r="H183" s="32">
        <f t="shared" si="18"/>
        <v>752.08584157351277</v>
      </c>
      <c r="I183" s="54">
        <f>ÍNDICE_INPC!I182</f>
        <v>0</v>
      </c>
      <c r="J183" s="55">
        <f>ÍNDICE_INPC!J182</f>
        <v>0</v>
      </c>
      <c r="K183" s="32">
        <f t="shared" si="19"/>
        <v>752.08584157351277</v>
      </c>
      <c r="L183" s="41"/>
      <c r="M183" s="51">
        <f t="shared" si="20"/>
        <v>752.08584157351277</v>
      </c>
      <c r="N183" s="52">
        <f>ÍNDICE_INPC!K182</f>
        <v>780.74971286465154</v>
      </c>
    </row>
    <row r="184" spans="2:14" ht="15" thickBot="1" x14ac:dyDescent="0.35">
      <c r="B184" s="31">
        <v>41456</v>
      </c>
      <c r="C184" s="32">
        <f t="shared" si="14"/>
        <v>752.08584157351277</v>
      </c>
      <c r="D184" s="50">
        <v>2.9999999999999997E-4</v>
      </c>
      <c r="E184" s="32">
        <f t="shared" si="15"/>
        <v>0.22</v>
      </c>
      <c r="F184" s="32">
        <f t="shared" si="16"/>
        <v>752.30584157351279</v>
      </c>
      <c r="G184" s="32">
        <f t="shared" si="17"/>
        <v>1.8553893278975073</v>
      </c>
      <c r="H184" s="32">
        <f t="shared" si="18"/>
        <v>754.16123090141025</v>
      </c>
      <c r="I184" s="54">
        <f>ÍNDICE_INPC!I183</f>
        <v>0</v>
      </c>
      <c r="J184" s="55">
        <f>ÍNDICE_INPC!J183</f>
        <v>0</v>
      </c>
      <c r="K184" s="32">
        <f t="shared" si="19"/>
        <v>754.16123090141025</v>
      </c>
      <c r="L184" s="41"/>
      <c r="M184" s="51">
        <f t="shared" si="20"/>
        <v>754.16123090141025</v>
      </c>
      <c r="N184" s="52">
        <f>ÍNDICE_INPC!K183</f>
        <v>781.65875166121828</v>
      </c>
    </row>
    <row r="185" spans="2:14" ht="15" thickBot="1" x14ac:dyDescent="0.35">
      <c r="B185" s="31">
        <v>41487</v>
      </c>
      <c r="C185" s="32">
        <f t="shared" si="14"/>
        <v>754.16123090141025</v>
      </c>
      <c r="D185" s="50">
        <v>2.3999999999999998E-3</v>
      </c>
      <c r="E185" s="32">
        <f t="shared" si="15"/>
        <v>1.8</v>
      </c>
      <c r="F185" s="32">
        <f t="shared" si="16"/>
        <v>755.9612309014102</v>
      </c>
      <c r="G185" s="32">
        <f t="shared" si="17"/>
        <v>1.8644045049352209</v>
      </c>
      <c r="H185" s="32">
        <f t="shared" si="18"/>
        <v>757.82563540634544</v>
      </c>
      <c r="I185" s="54">
        <f>ÍNDICE_INPC!I184</f>
        <v>0</v>
      </c>
      <c r="J185" s="55">
        <f>ÍNDICE_INPC!J184</f>
        <v>0</v>
      </c>
      <c r="K185" s="32">
        <f t="shared" si="19"/>
        <v>757.82563540634544</v>
      </c>
      <c r="L185" s="41"/>
      <c r="M185" s="51">
        <f t="shared" si="20"/>
        <v>757.82563540634544</v>
      </c>
      <c r="N185" s="52">
        <f>ÍNDICE_INPC!K184</f>
        <v>784.83961602817783</v>
      </c>
    </row>
    <row r="186" spans="2:14" ht="15" thickBot="1" x14ac:dyDescent="0.35">
      <c r="B186" s="31">
        <v>41518</v>
      </c>
      <c r="C186" s="32">
        <f t="shared" si="14"/>
        <v>757.82563540634544</v>
      </c>
      <c r="D186" s="50">
        <v>3.5000000000000001E-3</v>
      </c>
      <c r="E186" s="32">
        <f t="shared" si="15"/>
        <v>2.65</v>
      </c>
      <c r="F186" s="32">
        <f t="shared" si="16"/>
        <v>760.47563540634542</v>
      </c>
      <c r="G186" s="32">
        <f t="shared" si="17"/>
        <v>1.8755382453336076</v>
      </c>
      <c r="H186" s="32">
        <f t="shared" si="18"/>
        <v>762.35117365167901</v>
      </c>
      <c r="I186" s="54">
        <f>ÍNDICE_INPC!I185</f>
        <v>0</v>
      </c>
      <c r="J186" s="55">
        <f>ÍNDICE_INPC!J185</f>
        <v>0</v>
      </c>
      <c r="K186" s="32">
        <f t="shared" si="19"/>
        <v>762.35117365167901</v>
      </c>
      <c r="L186" s="41"/>
      <c r="M186" s="51">
        <f t="shared" si="20"/>
        <v>762.35117365167901</v>
      </c>
      <c r="N186" s="52">
        <f>ÍNDICE_INPC!K185</f>
        <v>788.89946845412965</v>
      </c>
    </row>
    <row r="187" spans="2:14" ht="15" thickBot="1" x14ac:dyDescent="0.35">
      <c r="B187" s="31">
        <v>41548</v>
      </c>
      <c r="C187" s="32">
        <f t="shared" si="14"/>
        <v>762.35117365167901</v>
      </c>
      <c r="D187" s="50">
        <v>5.7000000000000002E-3</v>
      </c>
      <c r="E187" s="32">
        <f t="shared" si="15"/>
        <v>4.34</v>
      </c>
      <c r="F187" s="32">
        <f t="shared" si="16"/>
        <v>766.69117365167904</v>
      </c>
      <c r="G187" s="32">
        <f t="shared" si="17"/>
        <v>1.8908674408419264</v>
      </c>
      <c r="H187" s="32">
        <f t="shared" si="18"/>
        <v>768.58204109252097</v>
      </c>
      <c r="I187" s="54">
        <f>ÍNDICE_INPC!I186</f>
        <v>0</v>
      </c>
      <c r="J187" s="55">
        <f>ÍNDICE_INPC!J186</f>
        <v>0</v>
      </c>
      <c r="K187" s="32">
        <f t="shared" si="19"/>
        <v>768.58204109252097</v>
      </c>
      <c r="L187" s="41"/>
      <c r="M187" s="51">
        <f t="shared" si="20"/>
        <v>768.58204109252097</v>
      </c>
      <c r="N187" s="52">
        <f>ÍNDICE_INPC!K186</f>
        <v>795.66897523743398</v>
      </c>
    </row>
    <row r="188" spans="2:14" ht="15" customHeight="1" thickBot="1" x14ac:dyDescent="0.35">
      <c r="B188" s="31">
        <v>41579</v>
      </c>
      <c r="C188" s="32">
        <f t="shared" si="14"/>
        <v>768.58204109252097</v>
      </c>
      <c r="D188" s="50">
        <v>5.4000000000000003E-3</v>
      </c>
      <c r="E188" s="32">
        <f t="shared" si="15"/>
        <v>4.1500000000000004</v>
      </c>
      <c r="F188" s="32">
        <f t="shared" si="16"/>
        <v>772.73204109252094</v>
      </c>
      <c r="G188" s="32">
        <f t="shared" si="17"/>
        <v>1.9057658509852515</v>
      </c>
      <c r="H188" s="32">
        <f t="shared" si="18"/>
        <v>774.63780694350623</v>
      </c>
      <c r="I188" s="54">
        <f>ÍNDICE_INPC!I187</f>
        <v>0</v>
      </c>
      <c r="J188" s="55">
        <f>ÍNDICE_INPC!J187</f>
        <v>0</v>
      </c>
      <c r="K188" s="32">
        <f t="shared" si="19"/>
        <v>774.63780694350623</v>
      </c>
      <c r="L188" s="41"/>
      <c r="M188" s="51">
        <f t="shared" si="20"/>
        <v>774.63780694350623</v>
      </c>
      <c r="N188" s="52">
        <f>ÍNDICE_INPC!K187</f>
        <v>801.93790485691284</v>
      </c>
    </row>
    <row r="189" spans="2:14" ht="15" customHeight="1" thickBot="1" x14ac:dyDescent="0.35">
      <c r="B189" s="31">
        <v>41609</v>
      </c>
      <c r="C189" s="32">
        <f t="shared" si="14"/>
        <v>774.63780694350623</v>
      </c>
      <c r="D189" s="50">
        <v>9.1999999999999998E-3</v>
      </c>
      <c r="E189" s="32">
        <f t="shared" si="15"/>
        <v>7.12</v>
      </c>
      <c r="F189" s="32">
        <f t="shared" si="16"/>
        <v>781.75780694350624</v>
      </c>
      <c r="G189" s="32">
        <f t="shared" si="17"/>
        <v>1.9280258265305612</v>
      </c>
      <c r="H189" s="32">
        <f t="shared" si="18"/>
        <v>783.68583277003677</v>
      </c>
      <c r="I189" s="54">
        <f>ÍNDICE_INPC!I188</f>
        <v>0</v>
      </c>
      <c r="J189" s="55">
        <f>ÍNDICE_INPC!J188</f>
        <v>0</v>
      </c>
      <c r="K189" s="32">
        <f t="shared" si="19"/>
        <v>783.68583277003677</v>
      </c>
      <c r="L189" s="41"/>
      <c r="M189" s="51">
        <f t="shared" si="20"/>
        <v>783.68583277003677</v>
      </c>
      <c r="N189" s="52">
        <f>ÍNDICE_INPC!K188</f>
        <v>809.70293803023435</v>
      </c>
    </row>
    <row r="190" spans="2:14" ht="15" thickBot="1" x14ac:dyDescent="0.35">
      <c r="B190" s="31">
        <v>41640</v>
      </c>
      <c r="C190" s="32">
        <f t="shared" si="14"/>
        <v>783.68583277003677</v>
      </c>
      <c r="D190" s="50">
        <v>5.4999999999999997E-3</v>
      </c>
      <c r="E190" s="32">
        <f t="shared" si="15"/>
        <v>4.3099999999999996</v>
      </c>
      <c r="F190" s="32">
        <f t="shared" si="16"/>
        <v>787.99583277003671</v>
      </c>
      <c r="G190" s="32">
        <f t="shared" si="17"/>
        <v>1.9434104824857585</v>
      </c>
      <c r="H190" s="32">
        <f t="shared" si="18"/>
        <v>789.93924325252249</v>
      </c>
      <c r="I190" s="54">
        <f>ÍNDICE_INPC!I189</f>
        <v>0</v>
      </c>
      <c r="J190" s="55">
        <f>ÍNDICE_INPC!J189</f>
        <v>0</v>
      </c>
      <c r="K190" s="32">
        <f t="shared" si="19"/>
        <v>789.93924325252249</v>
      </c>
      <c r="L190" s="41"/>
      <c r="M190" s="51">
        <f t="shared" si="20"/>
        <v>789.93924325252249</v>
      </c>
      <c r="N190" s="52">
        <f>ÍNDICE_INPC!K189</f>
        <v>816.81346453848016</v>
      </c>
    </row>
    <row r="191" spans="2:14" ht="15" thickBot="1" x14ac:dyDescent="0.35">
      <c r="B191" s="31">
        <v>41671</v>
      </c>
      <c r="C191" s="32">
        <f t="shared" si="14"/>
        <v>789.93924325252249</v>
      </c>
      <c r="D191" s="50">
        <v>6.8999999999999999E-3</v>
      </c>
      <c r="E191" s="32">
        <f t="shared" si="15"/>
        <v>5.45</v>
      </c>
      <c r="F191" s="32">
        <f t="shared" si="16"/>
        <v>795.38924325252253</v>
      </c>
      <c r="G191" s="32">
        <f t="shared" si="17"/>
        <v>1.9616446289563987</v>
      </c>
      <c r="H191" s="32">
        <f t="shared" si="18"/>
        <v>797.35088788147891</v>
      </c>
      <c r="I191" s="54">
        <f>ÍNDICE_INPC!I190</f>
        <v>0</v>
      </c>
      <c r="J191" s="55">
        <f>ÍNDICE_INPC!J190</f>
        <v>0</v>
      </c>
      <c r="K191" s="32">
        <f t="shared" si="19"/>
        <v>797.35088788147891</v>
      </c>
      <c r="L191" s="41"/>
      <c r="M191" s="51">
        <f t="shared" si="20"/>
        <v>797.35088788147891</v>
      </c>
      <c r="N191" s="52">
        <f>ÍNDICE_INPC!K190</f>
        <v>824.06783827495747</v>
      </c>
    </row>
    <row r="192" spans="2:14" ht="15" thickBot="1" x14ac:dyDescent="0.35">
      <c r="B192" s="31">
        <v>41699</v>
      </c>
      <c r="C192" s="32">
        <f t="shared" si="14"/>
        <v>797.35088788147891</v>
      </c>
      <c r="D192" s="50">
        <v>9.1999999999999998E-3</v>
      </c>
      <c r="E192" s="32">
        <f t="shared" si="15"/>
        <v>7.33</v>
      </c>
      <c r="F192" s="32">
        <f t="shared" si="16"/>
        <v>804.68088788147895</v>
      </c>
      <c r="G192" s="32">
        <f t="shared" si="17"/>
        <v>1.9845603333554551</v>
      </c>
      <c r="H192" s="32">
        <f t="shared" si="18"/>
        <v>806.66544821483444</v>
      </c>
      <c r="I192" s="54">
        <f>ÍNDICE_INPC!I191</f>
        <v>0</v>
      </c>
      <c r="J192" s="55">
        <f>ÍNDICE_INPC!J191</f>
        <v>0</v>
      </c>
      <c r="K192" s="32">
        <f t="shared" si="19"/>
        <v>806.66544821483444</v>
      </c>
      <c r="L192" s="41"/>
      <c r="M192" s="51">
        <f t="shared" si="20"/>
        <v>806.66544821483444</v>
      </c>
      <c r="N192" s="52">
        <f>ÍNDICE_INPC!K191</f>
        <v>832.87387664884977</v>
      </c>
    </row>
    <row r="193" spans="2:14" ht="15" thickBot="1" x14ac:dyDescent="0.35">
      <c r="B193" s="31">
        <v>41730</v>
      </c>
      <c r="C193" s="32">
        <f t="shared" si="14"/>
        <v>806.66544821483444</v>
      </c>
      <c r="D193" s="50">
        <v>6.7000000000000002E-3</v>
      </c>
      <c r="E193" s="32">
        <f t="shared" si="15"/>
        <v>5.4</v>
      </c>
      <c r="F193" s="32">
        <f t="shared" si="16"/>
        <v>812.06544821483442</v>
      </c>
      <c r="G193" s="32">
        <f t="shared" si="17"/>
        <v>2.0027726529687997</v>
      </c>
      <c r="H193" s="32">
        <f t="shared" si="18"/>
        <v>814.06822086780323</v>
      </c>
      <c r="I193" s="54">
        <f>ÍNDICE_INPC!I192</f>
        <v>0</v>
      </c>
      <c r="J193" s="55">
        <f>ÍNDICE_INPC!J192</f>
        <v>0</v>
      </c>
      <c r="K193" s="32">
        <f t="shared" si="19"/>
        <v>814.06822086780323</v>
      </c>
      <c r="L193" s="41"/>
      <c r="M193" s="51">
        <f t="shared" si="20"/>
        <v>814.06822086780323</v>
      </c>
      <c r="N193" s="52">
        <f>ÍNDICE_INPC!K192</f>
        <v>841.43998939453252</v>
      </c>
    </row>
    <row r="194" spans="2:14" ht="15" thickBot="1" x14ac:dyDescent="0.35">
      <c r="B194" s="31">
        <v>41760</v>
      </c>
      <c r="C194" s="32">
        <f t="shared" si="14"/>
        <v>814.06822086780323</v>
      </c>
      <c r="D194" s="50">
        <v>4.5999999999999999E-3</v>
      </c>
      <c r="E194" s="32">
        <f t="shared" si="15"/>
        <v>3.74</v>
      </c>
      <c r="F194" s="32">
        <f t="shared" si="16"/>
        <v>817.80822086780324</v>
      </c>
      <c r="G194" s="32">
        <f t="shared" si="17"/>
        <v>2.0169358808796369</v>
      </c>
      <c r="H194" s="32">
        <f t="shared" si="18"/>
        <v>819.82515674868284</v>
      </c>
      <c r="I194" s="54">
        <f>ÍNDICE_INPC!I193</f>
        <v>0</v>
      </c>
      <c r="J194" s="55">
        <f>ÍNDICE_INPC!J193</f>
        <v>0</v>
      </c>
      <c r="K194" s="32">
        <f t="shared" si="19"/>
        <v>819.82515674868284</v>
      </c>
      <c r="L194" s="41"/>
      <c r="M194" s="51">
        <f t="shared" si="20"/>
        <v>819.82515674868284</v>
      </c>
      <c r="N194" s="52">
        <f>ÍNDICE_INPC!K193</f>
        <v>848.57565732813657</v>
      </c>
    </row>
    <row r="195" spans="2:14" ht="15" customHeight="1" thickBot="1" x14ac:dyDescent="0.35">
      <c r="B195" s="31">
        <v>41791</v>
      </c>
      <c r="C195" s="32">
        <f t="shared" si="14"/>
        <v>819.82515674868284</v>
      </c>
      <c r="D195" s="50">
        <v>4.0000000000000001E-3</v>
      </c>
      <c r="E195" s="32">
        <f t="shared" si="15"/>
        <v>3.27</v>
      </c>
      <c r="F195" s="32">
        <f t="shared" si="16"/>
        <v>823.09515674868283</v>
      </c>
      <c r="G195" s="32">
        <f t="shared" si="17"/>
        <v>2.0299748922345739</v>
      </c>
      <c r="H195" s="32">
        <f t="shared" si="18"/>
        <v>825.1251316409174</v>
      </c>
      <c r="I195" s="54">
        <f>ÍNDICE_INPC!I194</f>
        <v>0</v>
      </c>
      <c r="J195" s="55">
        <f>ÍNDICE_INPC!J194</f>
        <v>0</v>
      </c>
      <c r="K195" s="32">
        <f t="shared" si="19"/>
        <v>825.1251316409174</v>
      </c>
      <c r="L195" s="41"/>
      <c r="M195" s="51">
        <f t="shared" si="20"/>
        <v>825.1251316409174</v>
      </c>
      <c r="N195" s="52">
        <f>ÍNDICE_INPC!K194</f>
        <v>852.87991460615524</v>
      </c>
    </row>
    <row r="196" spans="2:14" ht="15" customHeight="1" thickBot="1" x14ac:dyDescent="0.35">
      <c r="B196" s="31">
        <v>41821</v>
      </c>
      <c r="C196" s="32">
        <f t="shared" si="14"/>
        <v>825.1251316409174</v>
      </c>
      <c r="D196" s="50">
        <v>1E-4</v>
      </c>
      <c r="E196" s="32">
        <f t="shared" si="15"/>
        <v>0.08</v>
      </c>
      <c r="F196" s="32">
        <f t="shared" si="16"/>
        <v>825.20513164091744</v>
      </c>
      <c r="G196" s="32">
        <f t="shared" si="17"/>
        <v>2.0351786600120456</v>
      </c>
      <c r="H196" s="32">
        <f t="shared" si="18"/>
        <v>827.24031030092954</v>
      </c>
      <c r="I196" s="54">
        <f>ÍNDICE_INPC!I195</f>
        <v>0</v>
      </c>
      <c r="J196" s="55">
        <f>ÍNDICE_INPC!J195</f>
        <v>0</v>
      </c>
      <c r="K196" s="32">
        <f t="shared" si="19"/>
        <v>827.24031030092954</v>
      </c>
      <c r="L196" s="41"/>
      <c r="M196" s="51">
        <f t="shared" si="20"/>
        <v>827.24031030092954</v>
      </c>
      <c r="N196" s="52">
        <f>ÍNDICE_INPC!K195</f>
        <v>856.09407938031086</v>
      </c>
    </row>
    <row r="197" spans="2:14" ht="15" thickBot="1" x14ac:dyDescent="0.35">
      <c r="B197" s="31">
        <v>41852</v>
      </c>
      <c r="C197" s="32">
        <f t="shared" si="14"/>
        <v>827.24031030092954</v>
      </c>
      <c r="D197" s="50">
        <v>2.5000000000000001E-3</v>
      </c>
      <c r="E197" s="32">
        <f t="shared" si="15"/>
        <v>2.06</v>
      </c>
      <c r="F197" s="32">
        <f t="shared" si="16"/>
        <v>829.30031030092948</v>
      </c>
      <c r="G197" s="32">
        <f t="shared" si="17"/>
        <v>2.0452784762858736</v>
      </c>
      <c r="H197" s="32">
        <f t="shared" si="18"/>
        <v>831.34558877721531</v>
      </c>
      <c r="I197" s="54">
        <f>ÍNDICE_INPC!I196</f>
        <v>0</v>
      </c>
      <c r="J197" s="55">
        <f>ÍNDICE_INPC!J196</f>
        <v>0</v>
      </c>
      <c r="K197" s="32">
        <f t="shared" si="19"/>
        <v>831.34558877721531</v>
      </c>
      <c r="L197" s="41"/>
      <c r="M197" s="51">
        <f t="shared" si="20"/>
        <v>831.34558877721531</v>
      </c>
      <c r="N197" s="52">
        <f>ÍNDICE_INPC!K196</f>
        <v>859.74923658126409</v>
      </c>
    </row>
    <row r="198" spans="2:14" ht="15" thickBot="1" x14ac:dyDescent="0.35">
      <c r="B198" s="31">
        <v>41883</v>
      </c>
      <c r="C198" s="32">
        <f t="shared" si="14"/>
        <v>831.34558877721531</v>
      </c>
      <c r="D198" s="50">
        <v>5.7000000000000002E-3</v>
      </c>
      <c r="E198" s="32">
        <f t="shared" si="15"/>
        <v>4.7300000000000004</v>
      </c>
      <c r="F198" s="32">
        <f t="shared" si="16"/>
        <v>836.07558877721533</v>
      </c>
      <c r="G198" s="32">
        <f t="shared" si="17"/>
        <v>2.0619881423335831</v>
      </c>
      <c r="H198" s="32">
        <f t="shared" si="18"/>
        <v>838.13757691954891</v>
      </c>
      <c r="I198" s="54">
        <f>ÍNDICE_INPC!I197</f>
        <v>0</v>
      </c>
      <c r="J198" s="55">
        <f>ÍNDICE_INPC!J197</f>
        <v>0</v>
      </c>
      <c r="K198" s="32">
        <f t="shared" si="19"/>
        <v>838.13757691954891</v>
      </c>
      <c r="L198" s="41"/>
      <c r="M198" s="51">
        <f t="shared" si="20"/>
        <v>838.13757691954891</v>
      </c>
      <c r="N198" s="52">
        <f>ÍNDICE_INPC!K197</f>
        <v>866.09199826020733</v>
      </c>
    </row>
    <row r="199" spans="2:14" ht="15" thickBot="1" x14ac:dyDescent="0.35">
      <c r="B199" s="31">
        <v>41913</v>
      </c>
      <c r="C199" s="32">
        <f t="shared" si="14"/>
        <v>838.13757691954891</v>
      </c>
      <c r="D199" s="50">
        <v>4.1999999999999997E-3</v>
      </c>
      <c r="E199" s="32">
        <f t="shared" si="15"/>
        <v>3.52</v>
      </c>
      <c r="F199" s="32">
        <f t="shared" si="16"/>
        <v>841.65757691954889</v>
      </c>
      <c r="G199" s="32">
        <f t="shared" si="17"/>
        <v>2.075754832229376</v>
      </c>
      <c r="H199" s="32">
        <f t="shared" si="18"/>
        <v>843.73333175177822</v>
      </c>
      <c r="I199" s="54">
        <f>ÍNDICE_INPC!I198</f>
        <v>0</v>
      </c>
      <c r="J199" s="55">
        <f>ÍNDICE_INPC!J198</f>
        <v>0</v>
      </c>
      <c r="K199" s="32">
        <f t="shared" si="19"/>
        <v>843.73333175177822</v>
      </c>
      <c r="L199" s="41"/>
      <c r="M199" s="51">
        <f t="shared" si="20"/>
        <v>843.73333175177822</v>
      </c>
      <c r="N199" s="52">
        <f>ÍNDICE_INPC!K198</f>
        <v>871.52713146732663</v>
      </c>
    </row>
    <row r="200" spans="2:14" ht="15" thickBot="1" x14ac:dyDescent="0.35">
      <c r="B200" s="31">
        <v>41944</v>
      </c>
      <c r="C200" s="32">
        <f t="shared" si="14"/>
        <v>843.73333175177822</v>
      </c>
      <c r="D200" s="50">
        <v>5.1000000000000004E-3</v>
      </c>
      <c r="E200" s="32">
        <f t="shared" si="15"/>
        <v>4.3</v>
      </c>
      <c r="F200" s="32">
        <f t="shared" si="16"/>
        <v>848.03333175177818</v>
      </c>
      <c r="G200" s="32">
        <f t="shared" si="17"/>
        <v>2.0914791650994582</v>
      </c>
      <c r="H200" s="32">
        <f t="shared" si="18"/>
        <v>850.12481091687766</v>
      </c>
      <c r="I200" s="54">
        <f>ÍNDICE_INPC!I199</f>
        <v>0</v>
      </c>
      <c r="J200" s="55">
        <f>ÍNDICE_INPC!J199</f>
        <v>0</v>
      </c>
      <c r="K200" s="32">
        <f t="shared" si="19"/>
        <v>850.12481091687766</v>
      </c>
      <c r="L200" s="41"/>
      <c r="M200" s="51">
        <f t="shared" si="20"/>
        <v>850.12481091687766</v>
      </c>
      <c r="N200" s="52">
        <f>ÍNDICE_INPC!K199</f>
        <v>878.3069443869806</v>
      </c>
    </row>
    <row r="201" spans="2:14" ht="15" thickBot="1" x14ac:dyDescent="0.35">
      <c r="B201" s="31">
        <v>41974</v>
      </c>
      <c r="C201" s="32">
        <f t="shared" si="14"/>
        <v>850.12481091687766</v>
      </c>
      <c r="D201" s="50">
        <v>7.7999999999999996E-3</v>
      </c>
      <c r="E201" s="32">
        <f t="shared" si="15"/>
        <v>6.63</v>
      </c>
      <c r="F201" s="32">
        <f t="shared" si="16"/>
        <v>856.75481091687766</v>
      </c>
      <c r="G201" s="32">
        <f t="shared" si="17"/>
        <v>2.1129886875199677</v>
      </c>
      <c r="H201" s="32">
        <f t="shared" si="18"/>
        <v>858.86779960439765</v>
      </c>
      <c r="I201" s="54">
        <f>ÍNDICE_INPC!I200</f>
        <v>0</v>
      </c>
      <c r="J201" s="55">
        <f>ÍNDICE_INPC!J200</f>
        <v>0</v>
      </c>
      <c r="K201" s="32">
        <f t="shared" si="19"/>
        <v>858.86779960439765</v>
      </c>
      <c r="L201" s="41"/>
      <c r="M201" s="51">
        <f t="shared" si="20"/>
        <v>858.86779960439765</v>
      </c>
      <c r="N201" s="52">
        <f>ÍNDICE_INPC!K200</f>
        <v>885.93151529486397</v>
      </c>
    </row>
    <row r="202" spans="2:14" ht="15" customHeight="1" thickBot="1" x14ac:dyDescent="0.35">
      <c r="B202" s="31">
        <v>42005</v>
      </c>
      <c r="C202" s="32">
        <f t="shared" si="14"/>
        <v>858.86779960439765</v>
      </c>
      <c r="D202" s="50">
        <v>1.24E-2</v>
      </c>
      <c r="E202" s="32">
        <f t="shared" si="15"/>
        <v>10.64</v>
      </c>
      <c r="F202" s="32">
        <f t="shared" si="16"/>
        <v>869.50779960439763</v>
      </c>
      <c r="G202" s="32">
        <f t="shared" si="17"/>
        <v>2.1444410009303376</v>
      </c>
      <c r="H202" s="32">
        <f t="shared" si="18"/>
        <v>871.65224060532796</v>
      </c>
      <c r="I202" s="54">
        <f>ÍNDICE_INPC!I201</f>
        <v>0</v>
      </c>
      <c r="J202" s="55">
        <f>ÍNDICE_INPC!J201</f>
        <v>0</v>
      </c>
      <c r="K202" s="32">
        <f t="shared" si="19"/>
        <v>871.65224060532796</v>
      </c>
      <c r="L202" s="41"/>
      <c r="M202" s="51">
        <f t="shared" si="20"/>
        <v>871.65224060532796</v>
      </c>
      <c r="N202" s="52">
        <f>ÍNDICE_INPC!K201</f>
        <v>901.25979687906022</v>
      </c>
    </row>
    <row r="203" spans="2:14" ht="15" customHeight="1" thickBot="1" x14ac:dyDescent="0.35">
      <c r="B203" s="31">
        <v>42036</v>
      </c>
      <c r="C203" s="32">
        <f t="shared" ref="C203:C266" si="21">K202</f>
        <v>871.65224060532796</v>
      </c>
      <c r="D203" s="50">
        <v>1.2200000000000001E-2</v>
      </c>
      <c r="E203" s="32">
        <f t="shared" ref="E203:E266" si="22">ROUNDDOWN(D203*C203,2)</f>
        <v>10.63</v>
      </c>
      <c r="F203" s="32">
        <f t="shared" ref="F203:F266" si="23">E203+C203</f>
        <v>882.28224060532796</v>
      </c>
      <c r="G203" s="32">
        <f t="shared" ref="G203:G266" si="24">F203*$A$10</f>
        <v>2.1759462215377021</v>
      </c>
      <c r="H203" s="32">
        <f t="shared" ref="H203:H266" si="25">G203+F203</f>
        <v>884.4581868268657</v>
      </c>
      <c r="I203" s="54">
        <f>ÍNDICE_INPC!I202</f>
        <v>0</v>
      </c>
      <c r="J203" s="55">
        <f>ÍNDICE_INPC!J202</f>
        <v>0</v>
      </c>
      <c r="K203" s="32">
        <f t="shared" ref="K203:K266" si="26">H203-I203+J203</f>
        <v>884.4581868268657</v>
      </c>
      <c r="L203" s="41"/>
      <c r="M203" s="51">
        <f t="shared" ref="M203:M266" si="27">K203</f>
        <v>884.4581868268657</v>
      </c>
      <c r="N203" s="52">
        <f>ÍNDICE_INPC!K202</f>
        <v>913.96232926488904</v>
      </c>
    </row>
    <row r="204" spans="2:14" ht="15" thickBot="1" x14ac:dyDescent="0.35">
      <c r="B204" s="31">
        <v>42064</v>
      </c>
      <c r="C204" s="32">
        <f t="shared" si="21"/>
        <v>884.4581868268657</v>
      </c>
      <c r="D204" s="50">
        <v>1.32E-2</v>
      </c>
      <c r="E204" s="32">
        <f t="shared" si="22"/>
        <v>11.67</v>
      </c>
      <c r="F204" s="32">
        <f t="shared" si="23"/>
        <v>896.12818682686566</v>
      </c>
      <c r="G204" s="32">
        <f t="shared" si="24"/>
        <v>2.210094063325494</v>
      </c>
      <c r="H204" s="32">
        <f t="shared" si="25"/>
        <v>898.33828089019119</v>
      </c>
      <c r="I204" s="54">
        <f>ÍNDICE_INPC!I203</f>
        <v>0</v>
      </c>
      <c r="J204" s="55">
        <f>ÍNDICE_INPC!J203</f>
        <v>0</v>
      </c>
      <c r="K204" s="32">
        <f t="shared" si="26"/>
        <v>898.33828089019119</v>
      </c>
      <c r="L204" s="41"/>
      <c r="M204" s="51">
        <f t="shared" si="27"/>
        <v>898.33828089019119</v>
      </c>
      <c r="N204" s="52">
        <f>ÍNDICE_INPC!K203</f>
        <v>930.05044166468508</v>
      </c>
    </row>
    <row r="205" spans="2:14" ht="15" thickBot="1" x14ac:dyDescent="0.35">
      <c r="B205" s="31">
        <v>42095</v>
      </c>
      <c r="C205" s="32">
        <f t="shared" si="21"/>
        <v>898.33828089019119</v>
      </c>
      <c r="D205" s="50">
        <v>7.1000000000000004E-3</v>
      </c>
      <c r="E205" s="32">
        <f t="shared" si="22"/>
        <v>6.37</v>
      </c>
      <c r="F205" s="32">
        <f t="shared" si="23"/>
        <v>904.70828089019119</v>
      </c>
      <c r="G205" s="32">
        <f t="shared" si="24"/>
        <v>2.231254891911052</v>
      </c>
      <c r="H205" s="32">
        <f t="shared" si="25"/>
        <v>906.93953578210221</v>
      </c>
      <c r="I205" s="54">
        <f>ÍNDICE_INPC!I204</f>
        <v>0</v>
      </c>
      <c r="J205" s="55">
        <f>ÍNDICE_INPC!J204</f>
        <v>0</v>
      </c>
      <c r="K205" s="32">
        <f t="shared" si="26"/>
        <v>906.93953578210221</v>
      </c>
      <c r="L205" s="41"/>
      <c r="M205" s="51">
        <f t="shared" si="27"/>
        <v>906.93953578210221</v>
      </c>
      <c r="N205" s="52">
        <f>ÍNDICE_INPC!K204</f>
        <v>938.96348194825941</v>
      </c>
    </row>
    <row r="206" spans="2:14" ht="15" thickBot="1" x14ac:dyDescent="0.35">
      <c r="B206" s="31">
        <v>42125</v>
      </c>
      <c r="C206" s="32">
        <f t="shared" si="21"/>
        <v>906.93953578210221</v>
      </c>
      <c r="D206" s="50">
        <v>7.4000000000000003E-3</v>
      </c>
      <c r="E206" s="32">
        <f>ROUNDDOWN(D206*C206,2)</f>
        <v>6.71</v>
      </c>
      <c r="F206" s="32">
        <f t="shared" si="23"/>
        <v>913.64953578210225</v>
      </c>
      <c r="G206" s="32">
        <f t="shared" si="24"/>
        <v>2.2533064406133252</v>
      </c>
      <c r="H206" s="32">
        <f t="shared" si="25"/>
        <v>915.90284222271555</v>
      </c>
      <c r="I206" s="54">
        <f>ÍNDICE_INPC!I205</f>
        <v>0</v>
      </c>
      <c r="J206" s="55">
        <f>ÍNDICE_INPC!J205</f>
        <v>0</v>
      </c>
      <c r="K206" s="32">
        <f t="shared" si="26"/>
        <v>915.90284222271555</v>
      </c>
      <c r="L206" s="41"/>
      <c r="M206" s="51">
        <f t="shared" si="27"/>
        <v>915.90284222271555</v>
      </c>
      <c r="N206" s="52">
        <f>ÍNDICE_INPC!K205</f>
        <v>950.59714339453387</v>
      </c>
    </row>
    <row r="207" spans="2:14" ht="15" thickBot="1" x14ac:dyDescent="0.35">
      <c r="B207" s="31">
        <v>42156</v>
      </c>
      <c r="C207" s="32">
        <f t="shared" si="21"/>
        <v>915.90284222271555</v>
      </c>
      <c r="D207" s="50">
        <v>7.9000000000000008E-3</v>
      </c>
      <c r="E207" s="32">
        <f>ROUNDUP(D207*C207,2)</f>
        <v>7.24</v>
      </c>
      <c r="F207" s="32">
        <f t="shared" si="23"/>
        <v>923.14284222271556</v>
      </c>
      <c r="G207" s="32">
        <f t="shared" si="24"/>
        <v>2.2767194974886169</v>
      </c>
      <c r="H207" s="32">
        <f t="shared" si="25"/>
        <v>925.41956172020423</v>
      </c>
      <c r="I207" s="54">
        <f>ÍNDICE_INPC!I206</f>
        <v>0</v>
      </c>
      <c r="J207" s="55">
        <f>ÍNDICE_INPC!J206</f>
        <v>0</v>
      </c>
      <c r="K207" s="32">
        <f t="shared" si="26"/>
        <v>925.41956172020423</v>
      </c>
      <c r="L207" s="41"/>
      <c r="M207" s="51">
        <f t="shared" si="27"/>
        <v>925.41956172020423</v>
      </c>
      <c r="N207" s="52">
        <f>ÍNDICE_INPC!K206</f>
        <v>960.27862324150351</v>
      </c>
    </row>
    <row r="208" spans="2:14" ht="15" thickBot="1" x14ac:dyDescent="0.35">
      <c r="B208" s="31">
        <v>42186</v>
      </c>
      <c r="C208" s="32">
        <f t="shared" si="21"/>
        <v>925.41956172020423</v>
      </c>
      <c r="D208" s="50">
        <v>6.1999999999999998E-3</v>
      </c>
      <c r="E208" s="32">
        <f t="shared" si="22"/>
        <v>5.73</v>
      </c>
      <c r="F208" s="32">
        <f t="shared" si="23"/>
        <v>931.14956172020425</v>
      </c>
      <c r="G208" s="32">
        <f t="shared" si="24"/>
        <v>2.2964662295836882</v>
      </c>
      <c r="H208" s="32">
        <f t="shared" si="25"/>
        <v>933.44602794978789</v>
      </c>
      <c r="I208" s="54">
        <f>ÍNDICE_INPC!I207</f>
        <v>0</v>
      </c>
      <c r="J208" s="55">
        <f>ÍNDICE_INPC!J207</f>
        <v>0</v>
      </c>
      <c r="K208" s="32">
        <f t="shared" si="26"/>
        <v>933.44602794978789</v>
      </c>
      <c r="L208" s="41"/>
      <c r="M208" s="51">
        <f t="shared" si="27"/>
        <v>933.44602794978789</v>
      </c>
      <c r="N208" s="52">
        <f>ÍNDICE_INPC!K207</f>
        <v>968.2296642592753</v>
      </c>
    </row>
    <row r="209" spans="2:14" ht="15" customHeight="1" thickBot="1" x14ac:dyDescent="0.35">
      <c r="B209" s="31">
        <v>42217</v>
      </c>
      <c r="C209" s="32">
        <f t="shared" si="21"/>
        <v>933.44602794978789</v>
      </c>
      <c r="D209" s="50">
        <v>2.2000000000000001E-3</v>
      </c>
      <c r="E209" s="32">
        <f t="shared" si="22"/>
        <v>2.0499999999999998</v>
      </c>
      <c r="F209" s="32">
        <f t="shared" si="23"/>
        <v>935.49602794978784</v>
      </c>
      <c r="G209" s="32">
        <f t="shared" si="24"/>
        <v>2.3071857888517231</v>
      </c>
      <c r="H209" s="32">
        <f t="shared" si="25"/>
        <v>937.80321373863956</v>
      </c>
      <c r="I209" s="54">
        <f>ÍNDICE_INPC!I208</f>
        <v>0</v>
      </c>
      <c r="J209" s="55">
        <f>ÍNDICE_INPC!J208</f>
        <v>0</v>
      </c>
      <c r="K209" s="32">
        <f t="shared" si="26"/>
        <v>937.80321373863956</v>
      </c>
      <c r="L209" s="41"/>
      <c r="M209" s="51">
        <f t="shared" si="27"/>
        <v>937.80321373863956</v>
      </c>
      <c r="N209" s="52">
        <f>ÍNDICE_INPC!K208</f>
        <v>973.04354840674796</v>
      </c>
    </row>
    <row r="210" spans="2:14" ht="15" customHeight="1" thickBot="1" x14ac:dyDescent="0.35">
      <c r="B210" s="31">
        <v>42248</v>
      </c>
      <c r="C210" s="32">
        <f t="shared" si="21"/>
        <v>937.80321373863956</v>
      </c>
      <c r="D210" s="50">
        <v>5.4000000000000003E-3</v>
      </c>
      <c r="E210" s="32">
        <f t="shared" si="22"/>
        <v>5.0599999999999996</v>
      </c>
      <c r="F210" s="32">
        <f t="shared" si="23"/>
        <v>942.8632137386395</v>
      </c>
      <c r="G210" s="32">
        <f t="shared" si="24"/>
        <v>2.3253552581471943</v>
      </c>
      <c r="H210" s="32">
        <f t="shared" si="25"/>
        <v>945.18856899678667</v>
      </c>
      <c r="I210" s="54">
        <f>ÍNDICE_INPC!I209</f>
        <v>0</v>
      </c>
      <c r="J210" s="55">
        <f>ÍNDICE_INPC!J209</f>
        <v>0</v>
      </c>
      <c r="K210" s="32">
        <f t="shared" si="26"/>
        <v>945.18856899678667</v>
      </c>
      <c r="L210" s="41"/>
      <c r="M210" s="51">
        <f t="shared" si="27"/>
        <v>945.18856899678667</v>
      </c>
      <c r="N210" s="52">
        <f>ÍNDICE_INPC!K209</f>
        <v>980.41757415061704</v>
      </c>
    </row>
    <row r="211" spans="2:14" ht="15" thickBot="1" x14ac:dyDescent="0.35">
      <c r="B211" s="31">
        <v>42278</v>
      </c>
      <c r="C211" s="32">
        <f t="shared" si="21"/>
        <v>945.18856899678667</v>
      </c>
      <c r="D211" s="50">
        <v>8.2000000000000007E-3</v>
      </c>
      <c r="E211" s="32">
        <f t="shared" si="22"/>
        <v>7.75</v>
      </c>
      <c r="F211" s="32">
        <f t="shared" si="23"/>
        <v>952.93856899678667</v>
      </c>
      <c r="G211" s="32">
        <f t="shared" si="24"/>
        <v>2.3502038045597051</v>
      </c>
      <c r="H211" s="32">
        <f t="shared" si="25"/>
        <v>955.28877280134634</v>
      </c>
      <c r="I211" s="54">
        <f>ÍNDICE_INPC!I210</f>
        <v>0</v>
      </c>
      <c r="J211" s="55">
        <f>ÍNDICE_INPC!J210</f>
        <v>0</v>
      </c>
      <c r="K211" s="32">
        <f t="shared" si="26"/>
        <v>955.28877280134634</v>
      </c>
      <c r="L211" s="41"/>
      <c r="M211" s="51">
        <f t="shared" si="27"/>
        <v>955.28877280134634</v>
      </c>
      <c r="N211" s="52">
        <f>ÍNDICE_INPC!K210</f>
        <v>990.40316647344741</v>
      </c>
    </row>
    <row r="212" spans="2:14" ht="15" thickBot="1" x14ac:dyDescent="0.35">
      <c r="B212" s="31">
        <v>42309</v>
      </c>
      <c r="C212" s="32">
        <f t="shared" si="21"/>
        <v>955.28877280134634</v>
      </c>
      <c r="D212" s="50">
        <v>1.01E-2</v>
      </c>
      <c r="E212" s="32">
        <f t="shared" si="22"/>
        <v>9.64</v>
      </c>
      <c r="F212" s="32">
        <f t="shared" si="23"/>
        <v>964.92877280134633</v>
      </c>
      <c r="G212" s="32">
        <f t="shared" si="24"/>
        <v>2.3797748844967765</v>
      </c>
      <c r="H212" s="32">
        <f t="shared" si="25"/>
        <v>967.30854768584311</v>
      </c>
      <c r="I212" s="54">
        <f>ÍNDICE_INPC!I211</f>
        <v>0</v>
      </c>
      <c r="J212" s="55">
        <f>ÍNDICE_INPC!J211</f>
        <v>0</v>
      </c>
      <c r="K212" s="32">
        <f t="shared" si="26"/>
        <v>967.30854768584311</v>
      </c>
      <c r="L212" s="41"/>
      <c r="M212" s="51">
        <f t="shared" si="27"/>
        <v>967.30854768584311</v>
      </c>
      <c r="N212" s="52">
        <f>ÍNDICE_INPC!K211</f>
        <v>1003.8658797969359</v>
      </c>
    </row>
    <row r="213" spans="2:14" ht="15" thickBot="1" x14ac:dyDescent="0.35">
      <c r="B213" s="31">
        <v>42339</v>
      </c>
      <c r="C213" s="32">
        <f t="shared" si="21"/>
        <v>967.30854768584311</v>
      </c>
      <c r="D213" s="50">
        <v>9.5999999999999992E-3</v>
      </c>
      <c r="E213" s="32">
        <f t="shared" si="22"/>
        <v>9.2799999999999994</v>
      </c>
      <c r="F213" s="32">
        <f t="shared" si="23"/>
        <v>976.58854768584308</v>
      </c>
      <c r="G213" s="32">
        <f t="shared" si="24"/>
        <v>2.4085310375011644</v>
      </c>
      <c r="H213" s="32">
        <f t="shared" si="25"/>
        <v>978.9970787233442</v>
      </c>
      <c r="I213" s="54">
        <f>ÍNDICE_INPC!I212</f>
        <v>0</v>
      </c>
      <c r="J213" s="55">
        <f>ÍNDICE_INPC!J212</f>
        <v>0</v>
      </c>
      <c r="K213" s="32">
        <f t="shared" si="26"/>
        <v>978.9970787233442</v>
      </c>
      <c r="L213" s="41"/>
      <c r="M213" s="51">
        <f t="shared" si="27"/>
        <v>978.9970787233442</v>
      </c>
      <c r="N213" s="52">
        <f>ÍNDICE_INPC!K212</f>
        <v>1015.3979643834828</v>
      </c>
    </row>
    <row r="214" spans="2:14" ht="15" thickBot="1" x14ac:dyDescent="0.35">
      <c r="B214" s="31">
        <v>42370</v>
      </c>
      <c r="C214" s="32">
        <f t="shared" si="21"/>
        <v>978.9970787233442</v>
      </c>
      <c r="D214" s="50">
        <v>1.2699999999999999E-2</v>
      </c>
      <c r="E214" s="32">
        <f t="shared" si="22"/>
        <v>12.43</v>
      </c>
      <c r="F214" s="32">
        <f t="shared" si="23"/>
        <v>991.42707872334415</v>
      </c>
      <c r="G214" s="32">
        <f t="shared" si="24"/>
        <v>2.4451268614430219</v>
      </c>
      <c r="H214" s="32">
        <f t="shared" si="25"/>
        <v>993.87220558478714</v>
      </c>
      <c r="I214" s="54">
        <f>ÍNDICE_INPC!I213</f>
        <v>0</v>
      </c>
      <c r="J214" s="55">
        <f>ÍNDICE_INPC!J213</f>
        <v>0</v>
      </c>
      <c r="K214" s="32">
        <f t="shared" si="26"/>
        <v>993.87220558478714</v>
      </c>
      <c r="L214" s="41"/>
      <c r="M214" s="51">
        <f t="shared" si="27"/>
        <v>993.87220558478714</v>
      </c>
      <c r="N214" s="52">
        <f>ÍNDICE_INPC!K213</f>
        <v>1033.272022772743</v>
      </c>
    </row>
    <row r="215" spans="2:14" ht="15" thickBot="1" x14ac:dyDescent="0.35">
      <c r="B215" s="31">
        <v>42401</v>
      </c>
      <c r="C215" s="32">
        <f t="shared" si="21"/>
        <v>993.87220558478714</v>
      </c>
      <c r="D215" s="50">
        <v>8.9999999999999993E-3</v>
      </c>
      <c r="E215" s="32">
        <f t="shared" si="22"/>
        <v>8.94</v>
      </c>
      <c r="F215" s="32">
        <f t="shared" si="23"/>
        <v>1002.8122055847872</v>
      </c>
      <c r="G215" s="32">
        <f t="shared" si="24"/>
        <v>2.473205658267593</v>
      </c>
      <c r="H215" s="32">
        <f t="shared" si="25"/>
        <v>1005.2854112430548</v>
      </c>
      <c r="I215" s="54">
        <f>ÍNDICE_INPC!I214</f>
        <v>0</v>
      </c>
      <c r="J215" s="55">
        <f>ÍNDICE_INPC!J214</f>
        <v>0</v>
      </c>
      <c r="K215" s="32">
        <f t="shared" si="26"/>
        <v>1005.2854112430548</v>
      </c>
      <c r="L215" s="41"/>
      <c r="M215" s="51">
        <f t="shared" si="27"/>
        <v>1005.2854112430548</v>
      </c>
      <c r="N215" s="52">
        <f>ÍNDICE_INPC!K214</f>
        <v>1045.6605594706666</v>
      </c>
    </row>
    <row r="216" spans="2:14" ht="15" customHeight="1" thickBot="1" x14ac:dyDescent="0.35">
      <c r="B216" s="31">
        <v>42430</v>
      </c>
      <c r="C216" s="32">
        <f t="shared" si="21"/>
        <v>1005.2854112430548</v>
      </c>
      <c r="D216" s="50">
        <v>4.3E-3</v>
      </c>
      <c r="E216" s="32">
        <f t="shared" si="22"/>
        <v>4.32</v>
      </c>
      <c r="F216" s="32">
        <f t="shared" si="23"/>
        <v>1009.6054112430548</v>
      </c>
      <c r="G216" s="32">
        <f t="shared" si="24"/>
        <v>2.489959537586409</v>
      </c>
      <c r="H216" s="32">
        <f t="shared" si="25"/>
        <v>1012.0953707806412</v>
      </c>
      <c r="I216" s="54">
        <f>ÍNDICE_INPC!I215</f>
        <v>0</v>
      </c>
      <c r="J216" s="55">
        <f>ÍNDICE_INPC!J215</f>
        <v>0</v>
      </c>
      <c r="K216" s="32">
        <f t="shared" si="26"/>
        <v>1012.0953707806412</v>
      </c>
      <c r="L216" s="41"/>
      <c r="M216" s="51">
        <f t="shared" si="27"/>
        <v>1012.0953707806412</v>
      </c>
      <c r="N216" s="52">
        <f>ÍNDICE_INPC!K215</f>
        <v>1052.8507855806722</v>
      </c>
    </row>
    <row r="217" spans="2:14" ht="15" customHeight="1" thickBot="1" x14ac:dyDescent="0.35">
      <c r="B217" s="31">
        <v>42461</v>
      </c>
      <c r="C217" s="32">
        <f t="shared" si="21"/>
        <v>1012.0953707806412</v>
      </c>
      <c r="D217" s="50">
        <v>6.1000000000000004E-3</v>
      </c>
      <c r="E217" s="32">
        <f t="shared" si="22"/>
        <v>6.17</v>
      </c>
      <c r="F217" s="32">
        <f t="shared" si="23"/>
        <v>1018.2653707806412</v>
      </c>
      <c r="G217" s="32">
        <f t="shared" si="24"/>
        <v>2.5113173359951722</v>
      </c>
      <c r="H217" s="32">
        <f t="shared" si="25"/>
        <v>1020.7766881166364</v>
      </c>
      <c r="I217" s="54">
        <f>ÍNDICE_INPC!I216</f>
        <v>0</v>
      </c>
      <c r="J217" s="55">
        <f>ÍNDICE_INPC!J216</f>
        <v>0</v>
      </c>
      <c r="K217" s="32">
        <f t="shared" si="26"/>
        <v>1020.7766881166364</v>
      </c>
      <c r="L217" s="41"/>
      <c r="M217" s="51">
        <f t="shared" si="27"/>
        <v>1020.7766881166364</v>
      </c>
      <c r="N217" s="52">
        <f>ÍNDICE_INPC!K216</f>
        <v>1062.2020176148862</v>
      </c>
    </row>
    <row r="218" spans="2:14" ht="15" thickBot="1" x14ac:dyDescent="0.35">
      <c r="B218" s="31">
        <v>42491</v>
      </c>
      <c r="C218" s="32">
        <f t="shared" si="21"/>
        <v>1020.7766881166364</v>
      </c>
      <c r="D218" s="50">
        <v>7.7999999999999996E-3</v>
      </c>
      <c r="E218" s="32">
        <f t="shared" si="22"/>
        <v>7.96</v>
      </c>
      <c r="F218" s="32">
        <f t="shared" si="23"/>
        <v>1028.7366881166363</v>
      </c>
      <c r="G218" s="32">
        <f t="shared" si="24"/>
        <v>2.5371424318014166</v>
      </c>
      <c r="H218" s="32">
        <f t="shared" si="25"/>
        <v>1031.2738305484377</v>
      </c>
      <c r="I218" s="54">
        <f>ÍNDICE_INPC!I217</f>
        <v>0</v>
      </c>
      <c r="J218" s="55">
        <f>ÍNDICE_INPC!J217</f>
        <v>0</v>
      </c>
      <c r="K218" s="32">
        <f t="shared" si="26"/>
        <v>1031.2738305484377</v>
      </c>
      <c r="L218" s="41"/>
      <c r="M218" s="51">
        <f t="shared" si="27"/>
        <v>1031.2738305484377</v>
      </c>
      <c r="N218" s="52">
        <f>ÍNDICE_INPC!K217</f>
        <v>1075.2563659892994</v>
      </c>
    </row>
    <row r="219" spans="2:14" ht="15" thickBot="1" x14ac:dyDescent="0.35">
      <c r="B219" s="31">
        <v>42522</v>
      </c>
      <c r="C219" s="32">
        <f t="shared" si="21"/>
        <v>1031.2738305484377</v>
      </c>
      <c r="D219" s="50">
        <v>3.5000000000000001E-3</v>
      </c>
      <c r="E219" s="32">
        <f t="shared" si="22"/>
        <v>3.6</v>
      </c>
      <c r="F219" s="32">
        <f t="shared" si="23"/>
        <v>1034.8738305484376</v>
      </c>
      <c r="G219" s="32">
        <f t="shared" si="24"/>
        <v>2.5522782820666952</v>
      </c>
      <c r="H219" s="32">
        <f t="shared" si="25"/>
        <v>1037.4261088305043</v>
      </c>
      <c r="I219" s="54">
        <f>ÍNDICE_INPC!I218</f>
        <v>0</v>
      </c>
      <c r="J219" s="55">
        <f>ÍNDICE_INPC!J218</f>
        <v>0</v>
      </c>
      <c r="K219" s="32">
        <f t="shared" si="26"/>
        <v>1037.4261088305043</v>
      </c>
      <c r="L219" s="41"/>
      <c r="M219" s="51">
        <f t="shared" si="27"/>
        <v>1037.4261088305043</v>
      </c>
      <c r="N219" s="52">
        <f>ÍNDICE_INPC!K218</f>
        <v>1082.973700569358</v>
      </c>
    </row>
    <row r="220" spans="2:14" ht="15" thickBot="1" x14ac:dyDescent="0.35">
      <c r="B220" s="31">
        <v>42552</v>
      </c>
      <c r="C220" s="32">
        <f t="shared" si="21"/>
        <v>1037.4261088305043</v>
      </c>
      <c r="D220" s="50">
        <v>5.1999999999999998E-3</v>
      </c>
      <c r="E220" s="32">
        <f t="shared" si="22"/>
        <v>5.39</v>
      </c>
      <c r="F220" s="32">
        <f t="shared" si="23"/>
        <v>1042.8161088305044</v>
      </c>
      <c r="G220" s="32">
        <f t="shared" si="24"/>
        <v>2.571866084725408</v>
      </c>
      <c r="H220" s="32">
        <f t="shared" si="25"/>
        <v>1045.3879749152297</v>
      </c>
      <c r="I220" s="54">
        <f>ÍNDICE_INPC!I219</f>
        <v>0</v>
      </c>
      <c r="J220" s="55">
        <f>ÍNDICE_INPC!J219</f>
        <v>0</v>
      </c>
      <c r="K220" s="32">
        <f t="shared" si="26"/>
        <v>1045.3879749152297</v>
      </c>
      <c r="L220" s="41"/>
      <c r="M220" s="51">
        <f t="shared" si="27"/>
        <v>1045.3879749152297</v>
      </c>
      <c r="N220" s="52">
        <f>ÍNDICE_INPC!K219</f>
        <v>1092.5926998352313</v>
      </c>
    </row>
    <row r="221" spans="2:14" ht="15" thickBot="1" x14ac:dyDescent="0.35">
      <c r="B221" s="31">
        <v>42583</v>
      </c>
      <c r="C221" s="32">
        <f t="shared" si="21"/>
        <v>1045.3879749152297</v>
      </c>
      <c r="D221" s="50">
        <v>4.4000000000000003E-3</v>
      </c>
      <c r="E221" s="32">
        <f t="shared" si="22"/>
        <v>4.59</v>
      </c>
      <c r="F221" s="32">
        <f t="shared" si="23"/>
        <v>1049.9779749152297</v>
      </c>
      <c r="G221" s="32">
        <f t="shared" si="24"/>
        <v>2.5895291801941833</v>
      </c>
      <c r="H221" s="32">
        <f t="shared" si="25"/>
        <v>1052.5675040954238</v>
      </c>
      <c r="I221" s="54">
        <f>ÍNDICE_INPC!I220</f>
        <v>0</v>
      </c>
      <c r="J221" s="55">
        <f>ÍNDICE_INPC!J220</f>
        <v>0</v>
      </c>
      <c r="K221" s="32">
        <f t="shared" si="26"/>
        <v>1052.5675040954238</v>
      </c>
      <c r="L221" s="41"/>
      <c r="M221" s="51">
        <f t="shared" si="27"/>
        <v>1052.5675040954238</v>
      </c>
      <c r="N221" s="52">
        <f>ÍNDICE_INPC!K220</f>
        <v>1098.6826816895439</v>
      </c>
    </row>
    <row r="222" spans="2:14" ht="15" thickBot="1" x14ac:dyDescent="0.35">
      <c r="B222" s="31">
        <v>42614</v>
      </c>
      <c r="C222" s="32">
        <f t="shared" si="21"/>
        <v>1052.5675040954238</v>
      </c>
      <c r="D222" s="50">
        <v>8.0000000000000004E-4</v>
      </c>
      <c r="E222" s="32">
        <f t="shared" si="22"/>
        <v>0.84</v>
      </c>
      <c r="F222" s="32">
        <f t="shared" si="23"/>
        <v>1053.4075040954237</v>
      </c>
      <c r="G222" s="32">
        <f t="shared" si="24"/>
        <v>2.5979873251254206</v>
      </c>
      <c r="H222" s="32">
        <f t="shared" si="25"/>
        <v>1056.0054914205491</v>
      </c>
      <c r="I222" s="54">
        <f>ÍNDICE_INPC!I221</f>
        <v>0</v>
      </c>
      <c r="J222" s="55">
        <f>ÍNDICE_INPC!J221</f>
        <v>0</v>
      </c>
      <c r="K222" s="32">
        <f t="shared" si="26"/>
        <v>1056.0054914205491</v>
      </c>
      <c r="L222" s="41"/>
      <c r="M222" s="51">
        <f t="shared" si="27"/>
        <v>1056.0054914205491</v>
      </c>
      <c r="N222" s="52">
        <f>ÍNDICE_INPC!K221</f>
        <v>1102.2724952119743</v>
      </c>
    </row>
    <row r="223" spans="2:14" ht="15" customHeight="1" thickBot="1" x14ac:dyDescent="0.35">
      <c r="B223" s="31">
        <v>42644</v>
      </c>
      <c r="C223" s="32">
        <f t="shared" si="21"/>
        <v>1056.0054914205491</v>
      </c>
      <c r="D223" s="50">
        <v>2.5999999999999999E-3</v>
      </c>
      <c r="E223" s="32">
        <f t="shared" si="22"/>
        <v>2.74</v>
      </c>
      <c r="F223" s="32">
        <f t="shared" si="23"/>
        <v>1058.7454914205491</v>
      </c>
      <c r="G223" s="32">
        <f t="shared" si="24"/>
        <v>2.6111522431257579</v>
      </c>
      <c r="H223" s="32">
        <f t="shared" si="25"/>
        <v>1061.356643663675</v>
      </c>
      <c r="I223" s="54">
        <f>ÍNDICE_INPC!I222</f>
        <v>0</v>
      </c>
      <c r="J223" s="55">
        <f>ÍNDICE_INPC!J222</f>
        <v>0</v>
      </c>
      <c r="K223" s="32">
        <f t="shared" si="26"/>
        <v>1061.356643663675</v>
      </c>
      <c r="L223" s="41"/>
      <c r="M223" s="51">
        <f t="shared" si="27"/>
        <v>1061.356643663675</v>
      </c>
      <c r="N223" s="52">
        <f>ÍNDICE_INPC!K222</f>
        <v>1106.8686161224507</v>
      </c>
    </row>
    <row r="224" spans="2:14" ht="15" customHeight="1" thickBot="1" x14ac:dyDescent="0.35">
      <c r="B224" s="31">
        <v>42675</v>
      </c>
      <c r="C224" s="32">
        <f t="shared" si="21"/>
        <v>1061.356643663675</v>
      </c>
      <c r="D224" s="50">
        <v>1.8E-3</v>
      </c>
      <c r="E224" s="32">
        <f t="shared" si="22"/>
        <v>1.91</v>
      </c>
      <c r="F224" s="32">
        <f t="shared" si="23"/>
        <v>1063.266643663675</v>
      </c>
      <c r="G224" s="32">
        <f t="shared" si="24"/>
        <v>2.6223026252684121</v>
      </c>
      <c r="H224" s="32">
        <f t="shared" si="25"/>
        <v>1065.8889462889435</v>
      </c>
      <c r="I224" s="54">
        <f>ÍNDICE_INPC!I223</f>
        <v>0</v>
      </c>
      <c r="J224" s="55">
        <f>ÍNDICE_INPC!J223</f>
        <v>0</v>
      </c>
      <c r="K224" s="32">
        <f t="shared" si="26"/>
        <v>1065.8889462889435</v>
      </c>
      <c r="L224" s="41"/>
      <c r="M224" s="51">
        <f t="shared" si="27"/>
        <v>1065.8889462889435</v>
      </c>
      <c r="N224" s="52">
        <f>ÍNDICE_INPC!K223</f>
        <v>1110.3743618773149</v>
      </c>
    </row>
    <row r="225" spans="2:14" ht="15" thickBot="1" x14ac:dyDescent="0.35">
      <c r="B225" s="31">
        <v>42705</v>
      </c>
      <c r="C225" s="32">
        <f t="shared" si="21"/>
        <v>1065.8889462889435</v>
      </c>
      <c r="D225" s="50">
        <v>3.0000000000000001E-3</v>
      </c>
      <c r="E225" s="32">
        <f t="shared" si="22"/>
        <v>3.19</v>
      </c>
      <c r="F225" s="32">
        <f t="shared" si="23"/>
        <v>1069.0789462889436</v>
      </c>
      <c r="G225" s="32">
        <f t="shared" si="24"/>
        <v>2.6366373328640331</v>
      </c>
      <c r="H225" s="32">
        <f t="shared" si="25"/>
        <v>1071.7155836218076</v>
      </c>
      <c r="I225" s="54">
        <f>ÍNDICE_INPC!I224</f>
        <v>0</v>
      </c>
      <c r="J225" s="55">
        <f>ÍNDICE_INPC!J224</f>
        <v>0</v>
      </c>
      <c r="K225" s="32">
        <f t="shared" si="26"/>
        <v>1071.7155836218076</v>
      </c>
      <c r="L225" s="41"/>
      <c r="M225" s="51">
        <f t="shared" si="27"/>
        <v>1071.7155836218076</v>
      </c>
      <c r="N225" s="52">
        <f>ÍNDICE_INPC!K224</f>
        <v>1114.6706774383622</v>
      </c>
    </row>
    <row r="226" spans="2:14" ht="15" thickBot="1" x14ac:dyDescent="0.35">
      <c r="B226" s="31">
        <v>42736</v>
      </c>
      <c r="C226" s="32">
        <f t="shared" si="21"/>
        <v>1071.7155836218076</v>
      </c>
      <c r="D226" s="50">
        <v>3.8E-3</v>
      </c>
      <c r="E226" s="32">
        <f t="shared" si="22"/>
        <v>4.07</v>
      </c>
      <c r="F226" s="32">
        <f t="shared" si="23"/>
        <v>1075.7855836218075</v>
      </c>
      <c r="G226" s="32">
        <f t="shared" si="24"/>
        <v>2.6531777113189552</v>
      </c>
      <c r="H226" s="32">
        <f t="shared" si="25"/>
        <v>1078.4387613331264</v>
      </c>
      <c r="I226" s="54">
        <f>ÍNDICE_INPC!I225</f>
        <v>0</v>
      </c>
      <c r="J226" s="55">
        <f>ÍNDICE_INPC!J225</f>
        <v>0</v>
      </c>
      <c r="K226" s="32">
        <f t="shared" si="26"/>
        <v>1078.4387613331264</v>
      </c>
      <c r="L226" s="41"/>
      <c r="M226" s="51">
        <f t="shared" si="27"/>
        <v>1078.4387613331264</v>
      </c>
      <c r="N226" s="52">
        <f>ÍNDICE_INPC!K225</f>
        <v>1122.1123008998782</v>
      </c>
    </row>
    <row r="227" spans="2:14" ht="15" thickBot="1" x14ac:dyDescent="0.35">
      <c r="B227" s="31">
        <v>42767</v>
      </c>
      <c r="C227" s="32">
        <f t="shared" si="21"/>
        <v>1078.4387613331264</v>
      </c>
      <c r="D227" s="50">
        <v>3.3E-3</v>
      </c>
      <c r="E227" s="32">
        <f t="shared" si="22"/>
        <v>3.55</v>
      </c>
      <c r="F227" s="32">
        <f t="shared" si="23"/>
        <v>1081.9887613331264</v>
      </c>
      <c r="G227" s="32">
        <f t="shared" si="24"/>
        <v>2.6684764224130495</v>
      </c>
      <c r="H227" s="32">
        <f t="shared" si="25"/>
        <v>1084.6572377555394</v>
      </c>
      <c r="I227" s="54">
        <f>ÍNDICE_INPC!I226</f>
        <v>0</v>
      </c>
      <c r="J227" s="55">
        <f>ÍNDICE_INPC!J226</f>
        <v>0</v>
      </c>
      <c r="K227" s="32">
        <f t="shared" si="26"/>
        <v>1084.6572377555394</v>
      </c>
      <c r="L227" s="41"/>
      <c r="M227" s="51">
        <f t="shared" si="27"/>
        <v>1084.6572377555394</v>
      </c>
      <c r="N227" s="52">
        <f>ÍNDICE_INPC!K226</f>
        <v>1127.5793744693285</v>
      </c>
    </row>
    <row r="228" spans="2:14" ht="15" thickBot="1" x14ac:dyDescent="0.35">
      <c r="B228" s="31">
        <v>42795</v>
      </c>
      <c r="C228" s="32">
        <f t="shared" si="21"/>
        <v>1084.6572377555394</v>
      </c>
      <c r="D228" s="50">
        <v>2.5000000000000001E-3</v>
      </c>
      <c r="E228" s="32">
        <f t="shared" si="22"/>
        <v>2.71</v>
      </c>
      <c r="F228" s="32">
        <f t="shared" si="23"/>
        <v>1087.3672377555395</v>
      </c>
      <c r="G228" s="32">
        <f t="shared" si="24"/>
        <v>2.6817411974593544</v>
      </c>
      <c r="H228" s="32">
        <f t="shared" si="25"/>
        <v>1090.0489789529988</v>
      </c>
      <c r="I228" s="54">
        <f>ÍNDICE_INPC!I227</f>
        <v>0</v>
      </c>
      <c r="J228" s="55">
        <f>ÍNDICE_INPC!J227</f>
        <v>0</v>
      </c>
      <c r="K228" s="32">
        <f t="shared" si="26"/>
        <v>1090.0489789529988</v>
      </c>
      <c r="L228" s="41"/>
      <c r="M228" s="51">
        <f t="shared" si="27"/>
        <v>1090.0489789529988</v>
      </c>
      <c r="N228" s="52">
        <f>ÍNDICE_INPC!K227</f>
        <v>1133.9771879553609</v>
      </c>
    </row>
    <row r="229" spans="2:14" ht="15" thickBot="1" x14ac:dyDescent="0.35">
      <c r="B229" s="31">
        <v>42826</v>
      </c>
      <c r="C229" s="32">
        <f t="shared" si="21"/>
        <v>1090.0489789529988</v>
      </c>
      <c r="D229" s="50">
        <v>1.4E-3</v>
      </c>
      <c r="E229" s="32">
        <f t="shared" si="22"/>
        <v>1.52</v>
      </c>
      <c r="F229" s="32">
        <f t="shared" si="23"/>
        <v>1091.5689789529988</v>
      </c>
      <c r="G229" s="32">
        <f t="shared" si="24"/>
        <v>2.6921038257224126</v>
      </c>
      <c r="H229" s="32">
        <f t="shared" si="25"/>
        <v>1094.2610827787212</v>
      </c>
      <c r="I229" s="54">
        <f>ÍNDICE_INPC!I228</f>
        <v>0</v>
      </c>
      <c r="J229" s="55">
        <f>ÍNDICE_INPC!J228</f>
        <v>0</v>
      </c>
      <c r="K229" s="32">
        <f t="shared" si="26"/>
        <v>1094.2610827787212</v>
      </c>
      <c r="L229" s="41"/>
      <c r="M229" s="51">
        <f t="shared" si="27"/>
        <v>1094.2610827787212</v>
      </c>
      <c r="N229" s="52">
        <f>ÍNDICE_INPC!K228</f>
        <v>1137.6831187815894</v>
      </c>
    </row>
    <row r="230" spans="2:14" ht="15" customHeight="1" thickBot="1" x14ac:dyDescent="0.35">
      <c r="B230" s="31">
        <v>42856</v>
      </c>
      <c r="C230" s="32">
        <f t="shared" si="21"/>
        <v>1094.2610827787212</v>
      </c>
      <c r="D230" s="50">
        <v>3.0999999999999999E-3</v>
      </c>
      <c r="E230" s="32">
        <f t="shared" si="22"/>
        <v>3.39</v>
      </c>
      <c r="F230" s="32">
        <f t="shared" si="23"/>
        <v>1097.6510827787213</v>
      </c>
      <c r="G230" s="32">
        <f t="shared" si="24"/>
        <v>2.7071039359246769</v>
      </c>
      <c r="H230" s="32">
        <f t="shared" si="25"/>
        <v>1100.3581867146459</v>
      </c>
      <c r="I230" s="54">
        <f>ÍNDICE_INPC!I229</f>
        <v>0</v>
      </c>
      <c r="J230" s="55">
        <f>ÍNDICE_INPC!J229</f>
        <v>0</v>
      </c>
      <c r="K230" s="32">
        <f t="shared" si="26"/>
        <v>1100.3581867146459</v>
      </c>
      <c r="L230" s="41"/>
      <c r="M230" s="51">
        <f t="shared" si="27"/>
        <v>1100.3581867146459</v>
      </c>
      <c r="N230" s="52">
        <f>ÍNDICE_INPC!K229</f>
        <v>1144.5940519025969</v>
      </c>
    </row>
    <row r="231" spans="2:14" ht="15" customHeight="1" thickBot="1" x14ac:dyDescent="0.35">
      <c r="B231" s="31">
        <v>42887</v>
      </c>
      <c r="C231" s="32">
        <f t="shared" si="21"/>
        <v>1100.3581867146459</v>
      </c>
      <c r="D231" s="50">
        <v>-2.3E-3</v>
      </c>
      <c r="E231" s="32">
        <f t="shared" si="22"/>
        <v>-2.5299999999999998</v>
      </c>
      <c r="F231" s="32">
        <f t="shared" si="23"/>
        <v>1097.8281867146459</v>
      </c>
      <c r="G231" s="32">
        <f t="shared" si="24"/>
        <v>2.7075407220487295</v>
      </c>
      <c r="H231" s="32">
        <f t="shared" si="25"/>
        <v>1100.5357274366945</v>
      </c>
      <c r="I231" s="54">
        <f>ÍNDICE_INPC!I230</f>
        <v>0</v>
      </c>
      <c r="J231" s="55">
        <f>ÍNDICE_INPC!J230</f>
        <v>0</v>
      </c>
      <c r="K231" s="32">
        <f t="shared" si="26"/>
        <v>1100.5357274366945</v>
      </c>
      <c r="L231" s="41"/>
      <c r="M231" s="51">
        <f t="shared" si="27"/>
        <v>1100.5357274366945</v>
      </c>
      <c r="N231" s="52">
        <f>ÍNDICE_INPC!K230</f>
        <v>1143.9754631700728</v>
      </c>
    </row>
    <row r="232" spans="2:14" ht="15" thickBot="1" x14ac:dyDescent="0.35">
      <c r="B232" s="31">
        <v>42917</v>
      </c>
      <c r="C232" s="32">
        <f t="shared" si="21"/>
        <v>1100.5357274366945</v>
      </c>
      <c r="D232" s="50">
        <v>2.3999999999999998E-3</v>
      </c>
      <c r="E232" s="32">
        <f t="shared" si="22"/>
        <v>2.64</v>
      </c>
      <c r="F232" s="32">
        <f t="shared" si="23"/>
        <v>1103.1757274366946</v>
      </c>
      <c r="G232" s="32">
        <f t="shared" si="24"/>
        <v>2.7207292013052968</v>
      </c>
      <c r="H232" s="32">
        <f t="shared" si="25"/>
        <v>1105.896456638</v>
      </c>
      <c r="I232" s="54">
        <f>ÍNDICE_INPC!I231</f>
        <v>0</v>
      </c>
      <c r="J232" s="55">
        <f>ÍNDICE_INPC!J231</f>
        <v>0</v>
      </c>
      <c r="K232" s="32">
        <f t="shared" si="26"/>
        <v>1105.896456638</v>
      </c>
      <c r="L232" s="41"/>
      <c r="M232" s="51">
        <f t="shared" si="27"/>
        <v>1105.896456638</v>
      </c>
      <c r="N232" s="52">
        <f>ÍNDICE_INPC!K231</f>
        <v>1148.7456099645051</v>
      </c>
    </row>
    <row r="233" spans="2:14" ht="15" thickBot="1" x14ac:dyDescent="0.35">
      <c r="B233" s="31">
        <v>42948</v>
      </c>
      <c r="C233" s="32">
        <f t="shared" si="21"/>
        <v>1105.896456638</v>
      </c>
      <c r="D233" s="50">
        <v>1.9E-3</v>
      </c>
      <c r="E233" s="32">
        <f t="shared" si="22"/>
        <v>2.1</v>
      </c>
      <c r="F233" s="32">
        <f t="shared" si="23"/>
        <v>1107.9964566379999</v>
      </c>
      <c r="G233" s="32">
        <f t="shared" si="24"/>
        <v>2.7326184211125999</v>
      </c>
      <c r="H233" s="32">
        <f t="shared" si="25"/>
        <v>1110.7290750591126</v>
      </c>
      <c r="I233" s="54">
        <f>ÍNDICE_INPC!I232</f>
        <v>0</v>
      </c>
      <c r="J233" s="55">
        <f>ÍNDICE_INPC!J232</f>
        <v>0.06</v>
      </c>
      <c r="K233" s="32">
        <f t="shared" si="26"/>
        <v>1110.7890750591125</v>
      </c>
      <c r="L233" s="41"/>
      <c r="M233" s="51">
        <f t="shared" si="27"/>
        <v>1110.7890750591125</v>
      </c>
      <c r="N233" s="52">
        <f>ÍNDICE_INPC!K232</f>
        <v>1151.2938784031121</v>
      </c>
    </row>
    <row r="234" spans="2:14" ht="15" thickBot="1" x14ac:dyDescent="0.35">
      <c r="B234" s="31">
        <v>42979</v>
      </c>
      <c r="C234" s="32">
        <f t="shared" si="21"/>
        <v>1110.7890750591125</v>
      </c>
      <c r="D234" s="50">
        <v>1.6000000000000001E-3</v>
      </c>
      <c r="E234" s="32">
        <f t="shared" si="22"/>
        <v>1.77</v>
      </c>
      <c r="F234" s="32">
        <f t="shared" si="23"/>
        <v>1112.5590750591125</v>
      </c>
      <c r="G234" s="32">
        <f t="shared" si="24"/>
        <v>2.7438710700460374</v>
      </c>
      <c r="H234" s="32">
        <f t="shared" si="25"/>
        <v>1115.3029461291585</v>
      </c>
      <c r="I234" s="54">
        <f>ÍNDICE_INPC!I233</f>
        <v>0</v>
      </c>
      <c r="J234" s="55">
        <f>ÍNDICE_INPC!J233</f>
        <v>0</v>
      </c>
      <c r="K234" s="32">
        <f t="shared" si="26"/>
        <v>1115.3029461291585</v>
      </c>
      <c r="L234" s="41"/>
      <c r="M234" s="51">
        <f t="shared" si="27"/>
        <v>1115.3029461291585</v>
      </c>
      <c r="N234" s="52">
        <f>ÍNDICE_INPC!K233</f>
        <v>1153.9027127145014</v>
      </c>
    </row>
    <row r="235" spans="2:14" ht="15" thickBot="1" x14ac:dyDescent="0.35">
      <c r="B235" s="31">
        <v>43009</v>
      </c>
      <c r="C235" s="32">
        <f t="shared" si="21"/>
        <v>1115.3029461291585</v>
      </c>
      <c r="D235" s="50">
        <v>4.1999999999999997E-3</v>
      </c>
      <c r="E235" s="32">
        <f t="shared" si="22"/>
        <v>4.68</v>
      </c>
      <c r="F235" s="32">
        <f t="shared" si="23"/>
        <v>1119.9829461291586</v>
      </c>
      <c r="G235" s="32">
        <f t="shared" si="24"/>
        <v>2.7621803405499601</v>
      </c>
      <c r="H235" s="32">
        <f t="shared" si="25"/>
        <v>1122.7451264697086</v>
      </c>
      <c r="I235" s="54">
        <f>ÍNDICE_INPC!I234</f>
        <v>0</v>
      </c>
      <c r="J235" s="55">
        <f>ÍNDICE_INPC!J234</f>
        <v>0</v>
      </c>
      <c r="K235" s="32">
        <f t="shared" si="26"/>
        <v>1122.7451264697086</v>
      </c>
      <c r="L235" s="41"/>
      <c r="M235" s="51">
        <f t="shared" si="27"/>
        <v>1122.7451264697086</v>
      </c>
      <c r="N235" s="52">
        <f>ÍNDICE_INPC!K234</f>
        <v>1161.0280768644177</v>
      </c>
    </row>
    <row r="236" spans="2:14" ht="15" thickBot="1" x14ac:dyDescent="0.35">
      <c r="B236" s="31">
        <v>43040</v>
      </c>
      <c r="C236" s="32">
        <f t="shared" si="21"/>
        <v>1122.7451264697086</v>
      </c>
      <c r="D236" s="50">
        <v>2.8E-3</v>
      </c>
      <c r="E236" s="32">
        <f t="shared" si="22"/>
        <v>3.14</v>
      </c>
      <c r="F236" s="32">
        <f t="shared" si="23"/>
        <v>1125.8851264697087</v>
      </c>
      <c r="G236" s="32">
        <f t="shared" si="24"/>
        <v>2.7767367108584482</v>
      </c>
      <c r="H236" s="32">
        <f t="shared" si="25"/>
        <v>1128.661863180567</v>
      </c>
      <c r="I236" s="54">
        <f>ÍNDICE_INPC!I235</f>
        <v>0</v>
      </c>
      <c r="J236" s="55">
        <f>ÍNDICE_INPC!J235</f>
        <v>0</v>
      </c>
      <c r="K236" s="32">
        <f t="shared" si="26"/>
        <v>1128.661863180567</v>
      </c>
      <c r="L236" s="41"/>
      <c r="M236" s="51">
        <f t="shared" si="27"/>
        <v>1128.661863180567</v>
      </c>
      <c r="N236" s="52">
        <f>ÍNDICE_INPC!K235</f>
        <v>1165.985637617576</v>
      </c>
    </row>
    <row r="237" spans="2:14" ht="15" customHeight="1" thickBot="1" x14ac:dyDescent="0.35">
      <c r="B237" s="31">
        <v>43070</v>
      </c>
      <c r="C237" s="32">
        <f t="shared" si="21"/>
        <v>1128.661863180567</v>
      </c>
      <c r="D237" s="50">
        <v>4.4000000000000003E-3</v>
      </c>
      <c r="E237" s="32">
        <f t="shared" si="22"/>
        <v>4.96</v>
      </c>
      <c r="F237" s="32">
        <f t="shared" si="23"/>
        <v>1133.6218631805671</v>
      </c>
      <c r="G237" s="32">
        <f t="shared" si="24"/>
        <v>2.7958175925063373</v>
      </c>
      <c r="H237" s="32">
        <f t="shared" si="25"/>
        <v>1136.4176807730735</v>
      </c>
      <c r="I237" s="54">
        <f>ÍNDICE_INPC!I236</f>
        <v>0</v>
      </c>
      <c r="J237" s="55">
        <f>ÍNDICE_INPC!J236</f>
        <v>0</v>
      </c>
      <c r="K237" s="32">
        <f t="shared" si="26"/>
        <v>1136.4176807730735</v>
      </c>
      <c r="L237" s="41"/>
      <c r="M237" s="51">
        <f t="shared" si="27"/>
        <v>1136.4176807730735</v>
      </c>
      <c r="N237" s="52">
        <f>ÍNDICE_INPC!K236</f>
        <v>1171.899748280433</v>
      </c>
    </row>
    <row r="238" spans="2:14" ht="15" customHeight="1" thickBot="1" x14ac:dyDescent="0.35">
      <c r="B238" s="31">
        <v>43101</v>
      </c>
      <c r="C238" s="32">
        <f t="shared" si="21"/>
        <v>1136.4176807730735</v>
      </c>
      <c r="D238" s="50">
        <v>2.8999999999999998E-3</v>
      </c>
      <c r="E238" s="32">
        <f t="shared" si="22"/>
        <v>3.29</v>
      </c>
      <c r="F238" s="32">
        <f t="shared" si="23"/>
        <v>1139.7076807730734</v>
      </c>
      <c r="G238" s="32">
        <f t="shared" si="24"/>
        <v>2.8108268618602077</v>
      </c>
      <c r="H238" s="32">
        <f t="shared" si="25"/>
        <v>1142.5185076349337</v>
      </c>
      <c r="I238" s="54">
        <f>ÍNDICE_INPC!I237</f>
        <v>0</v>
      </c>
      <c r="J238" s="55">
        <f>ÍNDICE_INPC!J237</f>
        <v>0</v>
      </c>
      <c r="K238" s="32">
        <f t="shared" si="26"/>
        <v>1142.5185076349337</v>
      </c>
      <c r="L238" s="41"/>
      <c r="M238" s="51">
        <f t="shared" si="27"/>
        <v>1142.5185076349337</v>
      </c>
      <c r="N238" s="52">
        <f>ÍNDICE_INPC!K237</f>
        <v>1177.4916160702744</v>
      </c>
    </row>
    <row r="239" spans="2:14" ht="15" thickBot="1" x14ac:dyDescent="0.35">
      <c r="B239" s="31">
        <v>43132</v>
      </c>
      <c r="C239" s="32">
        <f t="shared" si="21"/>
        <v>1142.5185076349337</v>
      </c>
      <c r="D239" s="50">
        <v>3.2000000000000002E-3</v>
      </c>
      <c r="E239" s="32">
        <f t="shared" si="22"/>
        <v>3.65</v>
      </c>
      <c r="F239" s="32">
        <f t="shared" si="23"/>
        <v>1146.1685076349338</v>
      </c>
      <c r="G239" s="32">
        <f t="shared" si="24"/>
        <v>2.826761005324808</v>
      </c>
      <c r="H239" s="32">
        <f t="shared" si="25"/>
        <v>1148.9952686402587</v>
      </c>
      <c r="I239" s="54">
        <f>ÍNDICE_INPC!I238</f>
        <v>0</v>
      </c>
      <c r="J239" s="55">
        <f>ÍNDICE_INPC!J238</f>
        <v>0</v>
      </c>
      <c r="K239" s="32">
        <f t="shared" si="26"/>
        <v>1148.9952686402587</v>
      </c>
      <c r="L239" s="41"/>
      <c r="M239" s="51">
        <f t="shared" si="27"/>
        <v>1148.9952686402587</v>
      </c>
      <c r="N239" s="52">
        <f>ÍNDICE_INPC!K238</f>
        <v>1182.5198543443701</v>
      </c>
    </row>
    <row r="240" spans="2:14" ht="15" thickBot="1" x14ac:dyDescent="0.35">
      <c r="B240" s="31">
        <v>43160</v>
      </c>
      <c r="C240" s="32">
        <f t="shared" si="21"/>
        <v>1148.9952686402587</v>
      </c>
      <c r="D240" s="50">
        <v>8.9999999999999998E-4</v>
      </c>
      <c r="E240" s="32">
        <f t="shared" si="22"/>
        <v>1.03</v>
      </c>
      <c r="F240" s="32">
        <f t="shared" si="23"/>
        <v>1150.0252686402587</v>
      </c>
      <c r="G240" s="32">
        <f t="shared" si="24"/>
        <v>2.8362728192894107</v>
      </c>
      <c r="H240" s="32">
        <f t="shared" si="25"/>
        <v>1152.8615414595481</v>
      </c>
      <c r="I240" s="54">
        <f>ÍNDICE_INPC!I239</f>
        <v>0</v>
      </c>
      <c r="J240" s="55">
        <f>ÍNDICE_INPC!J239</f>
        <v>0</v>
      </c>
      <c r="K240" s="32">
        <f t="shared" si="26"/>
        <v>1152.8615414595481</v>
      </c>
      <c r="L240" s="41"/>
      <c r="M240" s="51">
        <f t="shared" si="27"/>
        <v>1152.8615414595481</v>
      </c>
      <c r="N240" s="52">
        <f>ÍNDICE_INPC!K239</f>
        <v>1186.2653071908339</v>
      </c>
    </row>
    <row r="241" spans="2:14" ht="15" thickBot="1" x14ac:dyDescent="0.35">
      <c r="B241" s="31">
        <v>43191</v>
      </c>
      <c r="C241" s="32">
        <f t="shared" si="21"/>
        <v>1152.8615414595481</v>
      </c>
      <c r="D241" s="50">
        <v>2.2000000000000001E-3</v>
      </c>
      <c r="E241" s="32">
        <f t="shared" si="22"/>
        <v>2.5299999999999998</v>
      </c>
      <c r="F241" s="32">
        <f t="shared" si="23"/>
        <v>1155.3915414595481</v>
      </c>
      <c r="G241" s="32">
        <f t="shared" si="24"/>
        <v>2.8495074969554395</v>
      </c>
      <c r="H241" s="32">
        <f t="shared" si="25"/>
        <v>1158.2410489565036</v>
      </c>
      <c r="I241" s="54">
        <f>ÍNDICE_INPC!I240</f>
        <v>0</v>
      </c>
      <c r="J241" s="55">
        <f>ÍNDICE_INPC!J240</f>
        <v>0</v>
      </c>
      <c r="K241" s="32">
        <f t="shared" si="26"/>
        <v>1158.2410489565036</v>
      </c>
      <c r="L241" s="41"/>
      <c r="M241" s="51">
        <f t="shared" si="27"/>
        <v>1158.2410489565036</v>
      </c>
      <c r="N241" s="52">
        <f>ÍNDICE_INPC!K240</f>
        <v>1191.6881012085694</v>
      </c>
    </row>
    <row r="242" spans="2:14" ht="15" thickBot="1" x14ac:dyDescent="0.35">
      <c r="B242" s="31">
        <v>43221</v>
      </c>
      <c r="C242" s="32">
        <f t="shared" si="21"/>
        <v>1158.2410489565036</v>
      </c>
      <c r="D242" s="50">
        <v>4.0000000000000001E-3</v>
      </c>
      <c r="E242" s="32">
        <f t="shared" si="22"/>
        <v>4.63</v>
      </c>
      <c r="F242" s="32">
        <f t="shared" si="23"/>
        <v>1162.8710489565037</v>
      </c>
      <c r="G242" s="32">
        <f t="shared" si="24"/>
        <v>2.8679539819099564</v>
      </c>
      <c r="H242" s="32">
        <f t="shared" si="25"/>
        <v>1165.7390029384137</v>
      </c>
      <c r="I242" s="54">
        <f>ÍNDICE_INPC!I241</f>
        <v>0</v>
      </c>
      <c r="J242" s="55">
        <f>ÍNDICE_INPC!J241</f>
        <v>0</v>
      </c>
      <c r="K242" s="32">
        <f t="shared" si="26"/>
        <v>1165.7390029384137</v>
      </c>
      <c r="L242" s="41"/>
      <c r="M242" s="51">
        <f t="shared" si="27"/>
        <v>1165.7390029384137</v>
      </c>
      <c r="N242" s="52">
        <f>ÍNDICE_INPC!K241</f>
        <v>1199.763762989417</v>
      </c>
    </row>
    <row r="243" spans="2:14" ht="15" thickBot="1" x14ac:dyDescent="0.35">
      <c r="B243" s="31">
        <v>43252</v>
      </c>
      <c r="C243" s="32">
        <f t="shared" si="21"/>
        <v>1165.7390029384137</v>
      </c>
      <c r="D243" s="50">
        <v>1.26E-2</v>
      </c>
      <c r="E243" s="32">
        <f t="shared" si="22"/>
        <v>14.68</v>
      </c>
      <c r="F243" s="32">
        <f t="shared" si="23"/>
        <v>1180.4190029384138</v>
      </c>
      <c r="G243" s="32">
        <f t="shared" si="24"/>
        <v>2.9112319743769217</v>
      </c>
      <c r="H243" s="32">
        <f t="shared" si="25"/>
        <v>1183.3302349127907</v>
      </c>
      <c r="I243" s="54">
        <f>ÍNDICE_INPC!I242</f>
        <v>0</v>
      </c>
      <c r="J243" s="55">
        <f>ÍNDICE_INPC!J242</f>
        <v>0</v>
      </c>
      <c r="K243" s="32">
        <f t="shared" si="26"/>
        <v>1183.3302349127907</v>
      </c>
      <c r="L243" s="41"/>
      <c r="M243" s="51">
        <f t="shared" si="27"/>
        <v>1183.3302349127907</v>
      </c>
      <c r="N243" s="52">
        <f>ÍNDICE_INPC!K242</f>
        <v>1219.921015693285</v>
      </c>
    </row>
    <row r="244" spans="2:14" ht="15" customHeight="1" thickBot="1" x14ac:dyDescent="0.35">
      <c r="B244" s="31">
        <v>43282</v>
      </c>
      <c r="C244" s="32">
        <f t="shared" si="21"/>
        <v>1183.3302349127907</v>
      </c>
      <c r="D244" s="50">
        <v>3.3E-3</v>
      </c>
      <c r="E244" s="32">
        <f t="shared" si="22"/>
        <v>3.9</v>
      </c>
      <c r="F244" s="32">
        <f t="shared" si="23"/>
        <v>1187.2302349127908</v>
      </c>
      <c r="G244" s="32">
        <f t="shared" si="24"/>
        <v>2.9280303114583686</v>
      </c>
      <c r="H244" s="32">
        <f t="shared" si="25"/>
        <v>1190.1582652242491</v>
      </c>
      <c r="I244" s="54">
        <f>ÍNDICE_INPC!I243</f>
        <v>0</v>
      </c>
      <c r="J244" s="55">
        <f>ÍNDICE_INPC!J243</f>
        <v>0</v>
      </c>
      <c r="K244" s="32">
        <f t="shared" si="26"/>
        <v>1190.1582652242491</v>
      </c>
      <c r="L244" s="41"/>
      <c r="M244" s="51">
        <f t="shared" si="27"/>
        <v>1190.1582652242491</v>
      </c>
      <c r="N244" s="52">
        <f>ÍNDICE_INPC!K243</f>
        <v>1225.9861899538889</v>
      </c>
    </row>
    <row r="245" spans="2:14" ht="15" customHeight="1" thickBot="1" x14ac:dyDescent="0.35">
      <c r="B245" s="31">
        <v>43313</v>
      </c>
      <c r="C245" s="32">
        <f t="shared" si="21"/>
        <v>1190.1582652242491</v>
      </c>
      <c r="D245" s="50">
        <v>-8.9999999999999998E-4</v>
      </c>
      <c r="E245" s="32">
        <f t="shared" si="22"/>
        <v>-1.07</v>
      </c>
      <c r="F245" s="32">
        <f t="shared" si="23"/>
        <v>1189.0882652242492</v>
      </c>
      <c r="G245" s="32">
        <f t="shared" si="24"/>
        <v>2.9326127158746091</v>
      </c>
      <c r="H245" s="32">
        <f t="shared" si="25"/>
        <v>1192.0208779401239</v>
      </c>
      <c r="I245" s="54">
        <f>ÍNDICE_INPC!I244</f>
        <v>0</v>
      </c>
      <c r="J245" s="55">
        <f>ÍNDICE_INPC!J244</f>
        <v>0.05</v>
      </c>
      <c r="K245" s="32">
        <f t="shared" si="26"/>
        <v>1192.0708779401239</v>
      </c>
      <c r="L245" s="41"/>
      <c r="M245" s="51">
        <f t="shared" si="27"/>
        <v>1192.0708779401239</v>
      </c>
      <c r="N245" s="52">
        <f>ÍNDICE_INPC!K244</f>
        <v>1229.0598029145865</v>
      </c>
    </row>
    <row r="246" spans="2:14" ht="15" thickBot="1" x14ac:dyDescent="0.35">
      <c r="B246" s="31">
        <v>43344</v>
      </c>
      <c r="C246" s="32">
        <f t="shared" si="21"/>
        <v>1192.0708779401239</v>
      </c>
      <c r="D246" s="50">
        <v>4.7999999999999996E-3</v>
      </c>
      <c r="E246" s="32">
        <f t="shared" si="22"/>
        <v>5.72</v>
      </c>
      <c r="F246" s="32">
        <f t="shared" si="23"/>
        <v>1197.7908779401239</v>
      </c>
      <c r="G246" s="32">
        <f t="shared" si="24"/>
        <v>2.9540757085373892</v>
      </c>
      <c r="H246" s="32">
        <f t="shared" si="25"/>
        <v>1200.7449536486613</v>
      </c>
      <c r="I246" s="54">
        <f>ÍNDICE_INPC!I245</f>
        <v>0</v>
      </c>
      <c r="J246" s="55">
        <f>ÍNDICE_INPC!J245</f>
        <v>0</v>
      </c>
      <c r="K246" s="32">
        <f t="shared" si="26"/>
        <v>1200.7449536486613</v>
      </c>
      <c r="L246" s="41"/>
      <c r="M246" s="51">
        <f t="shared" si="27"/>
        <v>1200.7449536486613</v>
      </c>
      <c r="N246" s="52">
        <f>ÍNDICE_INPC!K245</f>
        <v>1235.7870893722106</v>
      </c>
    </row>
    <row r="247" spans="2:14" ht="15" thickBot="1" x14ac:dyDescent="0.35">
      <c r="B247" s="31">
        <v>43374</v>
      </c>
      <c r="C247" s="32">
        <f t="shared" si="21"/>
        <v>1200.7449536486613</v>
      </c>
      <c r="D247" s="50">
        <v>4.4999999999999997E-3</v>
      </c>
      <c r="E247" s="32">
        <f t="shared" si="22"/>
        <v>5.4</v>
      </c>
      <c r="F247" s="32">
        <f t="shared" si="23"/>
        <v>1206.1449536486614</v>
      </c>
      <c r="G247" s="32">
        <f t="shared" si="24"/>
        <v>2.9746791148350842</v>
      </c>
      <c r="H247" s="32">
        <f t="shared" si="25"/>
        <v>1209.1196327634964</v>
      </c>
      <c r="I247" s="54">
        <f>ÍNDICE_INPC!I246</f>
        <v>0</v>
      </c>
      <c r="J247" s="55">
        <f>ÍNDICE_INPC!J246</f>
        <v>0</v>
      </c>
      <c r="K247" s="32">
        <f t="shared" si="26"/>
        <v>1209.1196327634964</v>
      </c>
      <c r="L247" s="41"/>
      <c r="M247" s="51">
        <f t="shared" si="27"/>
        <v>1209.1196327634964</v>
      </c>
      <c r="N247" s="52">
        <f>ÍNDICE_INPC!K246</f>
        <v>1243.7900647697265</v>
      </c>
    </row>
    <row r="248" spans="2:14" ht="15" thickBot="1" x14ac:dyDescent="0.35">
      <c r="B248" s="31">
        <v>43405</v>
      </c>
      <c r="C248" s="32">
        <f t="shared" si="21"/>
        <v>1209.1196327634964</v>
      </c>
      <c r="D248" s="50">
        <v>-2.0999999999999999E-3</v>
      </c>
      <c r="E248" s="32">
        <f t="shared" si="22"/>
        <v>-2.5299999999999998</v>
      </c>
      <c r="F248" s="32">
        <f t="shared" si="23"/>
        <v>1206.5896327634964</v>
      </c>
      <c r="G248" s="32">
        <f t="shared" si="24"/>
        <v>2.9757758135956283</v>
      </c>
      <c r="H248" s="32">
        <f t="shared" si="25"/>
        <v>1209.5654085770921</v>
      </c>
      <c r="I248" s="54">
        <f>ÍNDICE_INPC!I247</f>
        <v>0</v>
      </c>
      <c r="J248" s="55">
        <f>ÍNDICE_INPC!J247</f>
        <v>0</v>
      </c>
      <c r="K248" s="32">
        <f t="shared" si="26"/>
        <v>1209.5654085770921</v>
      </c>
      <c r="L248" s="41"/>
      <c r="M248" s="51">
        <f t="shared" si="27"/>
        <v>1209.5654085770921</v>
      </c>
      <c r="N248" s="52">
        <f>ÍNDICE_INPC!K247</f>
        <v>1243.7409192593364</v>
      </c>
    </row>
    <row r="249" spans="2:14" ht="15" thickBot="1" x14ac:dyDescent="0.35">
      <c r="B249" s="31">
        <v>43435</v>
      </c>
      <c r="C249" s="32">
        <f t="shared" si="21"/>
        <v>1209.5654085770921</v>
      </c>
      <c r="D249" s="50">
        <v>1.5E-3</v>
      </c>
      <c r="E249" s="32">
        <f t="shared" si="22"/>
        <v>1.81</v>
      </c>
      <c r="F249" s="32">
        <f t="shared" si="23"/>
        <v>1211.375408577092</v>
      </c>
      <c r="G249" s="32">
        <f t="shared" si="24"/>
        <v>2.9875788289114249</v>
      </c>
      <c r="H249" s="32">
        <f t="shared" si="25"/>
        <v>1214.3629874060034</v>
      </c>
      <c r="I249" s="54">
        <f>ÍNDICE_INPC!I248</f>
        <v>0</v>
      </c>
      <c r="J249" s="55">
        <f>ÍNDICE_INPC!J248</f>
        <v>0</v>
      </c>
      <c r="K249" s="32">
        <f t="shared" si="26"/>
        <v>1214.3629874060034</v>
      </c>
      <c r="L249" s="41"/>
      <c r="M249" s="51">
        <f t="shared" si="27"/>
        <v>1214.3629874060034</v>
      </c>
      <c r="N249" s="52">
        <f>ÍNDICE_INPC!K248</f>
        <v>1248.5536139523481</v>
      </c>
    </row>
    <row r="250" spans="2:14" ht="15" thickBot="1" x14ac:dyDescent="0.35">
      <c r="B250" s="31">
        <v>43466</v>
      </c>
      <c r="C250" s="32">
        <f t="shared" si="21"/>
        <v>1214.3629874060034</v>
      </c>
      <c r="D250" s="50">
        <v>3.2000000000000002E-3</v>
      </c>
      <c r="E250" s="32">
        <f t="shared" si="22"/>
        <v>3.88</v>
      </c>
      <c r="F250" s="32">
        <f t="shared" si="23"/>
        <v>1218.2429874060035</v>
      </c>
      <c r="G250" s="32">
        <f t="shared" si="24"/>
        <v>3.0045161325498042</v>
      </c>
      <c r="H250" s="32">
        <f t="shared" si="25"/>
        <v>1221.2475035385532</v>
      </c>
      <c r="I250" s="54">
        <f>ÍNDICE_INPC!I249</f>
        <v>0</v>
      </c>
      <c r="J250" s="55">
        <f>ÍNDICE_INPC!J249</f>
        <v>0</v>
      </c>
      <c r="K250" s="32">
        <f t="shared" si="26"/>
        <v>1221.2475035385532</v>
      </c>
      <c r="L250" s="41"/>
      <c r="M250" s="51">
        <f t="shared" si="27"/>
        <v>1221.2475035385532</v>
      </c>
      <c r="N250" s="52">
        <f>ÍNDICE_INPC!K249</f>
        <v>1256.1379676912102</v>
      </c>
    </row>
    <row r="251" spans="2:14" ht="15" customHeight="1" thickBot="1" x14ac:dyDescent="0.35">
      <c r="B251" s="31">
        <v>43497</v>
      </c>
      <c r="C251" s="32">
        <f t="shared" si="21"/>
        <v>1221.2475035385532</v>
      </c>
      <c r="D251" s="50">
        <v>4.3E-3</v>
      </c>
      <c r="E251" s="32">
        <f t="shared" si="22"/>
        <v>5.25</v>
      </c>
      <c r="F251" s="32">
        <f t="shared" si="23"/>
        <v>1226.4975035385532</v>
      </c>
      <c r="G251" s="32">
        <f t="shared" si="24"/>
        <v>3.0248739980520276</v>
      </c>
      <c r="H251" s="32">
        <f t="shared" si="25"/>
        <v>1229.5223775366053</v>
      </c>
      <c r="I251" s="54">
        <f>ÍNDICE_INPC!I250</f>
        <v>0</v>
      </c>
      <c r="J251" s="55">
        <f>ÍNDICE_INPC!J250</f>
        <v>0</v>
      </c>
      <c r="K251" s="32">
        <f t="shared" si="26"/>
        <v>1229.5223775366053</v>
      </c>
      <c r="L251" s="41"/>
      <c r="M251" s="51">
        <f t="shared" si="27"/>
        <v>1229.5223775366053</v>
      </c>
      <c r="N251" s="52">
        <f>ÍNDICE_INPC!K250</f>
        <v>1266.0356717861978</v>
      </c>
    </row>
    <row r="252" spans="2:14" ht="15" customHeight="1" thickBot="1" x14ac:dyDescent="0.35">
      <c r="B252" s="31">
        <v>43525</v>
      </c>
      <c r="C252" s="32">
        <f t="shared" si="21"/>
        <v>1229.5223775366053</v>
      </c>
      <c r="D252" s="50">
        <v>7.4999999999999997E-3</v>
      </c>
      <c r="E252" s="32">
        <f t="shared" si="22"/>
        <v>9.2200000000000006</v>
      </c>
      <c r="F252" s="32">
        <f t="shared" si="23"/>
        <v>1238.7423775366053</v>
      </c>
      <c r="G252" s="32">
        <f t="shared" si="24"/>
        <v>3.0550731634472035</v>
      </c>
      <c r="H252" s="32">
        <f t="shared" si="25"/>
        <v>1241.7974507000524</v>
      </c>
      <c r="I252" s="54">
        <f>ÍNDICE_INPC!I251</f>
        <v>0</v>
      </c>
      <c r="J252" s="55">
        <f>ÍNDICE_INPC!J251</f>
        <v>0</v>
      </c>
      <c r="K252" s="32">
        <f t="shared" si="26"/>
        <v>1241.7974507000524</v>
      </c>
      <c r="L252" s="41"/>
      <c r="M252" s="51">
        <f t="shared" si="27"/>
        <v>1241.7974507000524</v>
      </c>
      <c r="N252" s="52">
        <f>ÍNDICE_INPC!K251</f>
        <v>1278.930098782414</v>
      </c>
    </row>
    <row r="253" spans="2:14" ht="15" thickBot="1" x14ac:dyDescent="0.35">
      <c r="B253" s="31">
        <v>43556</v>
      </c>
      <c r="C253" s="32">
        <f t="shared" si="21"/>
        <v>1241.7974507000524</v>
      </c>
      <c r="D253" s="50">
        <v>5.7000000000000002E-3</v>
      </c>
      <c r="E253" s="32">
        <f t="shared" si="22"/>
        <v>7.07</v>
      </c>
      <c r="F253" s="32">
        <f t="shared" si="23"/>
        <v>1248.8674507000524</v>
      </c>
      <c r="G253" s="32">
        <f t="shared" si="24"/>
        <v>3.0800443276380181</v>
      </c>
      <c r="H253" s="32">
        <f t="shared" si="25"/>
        <v>1251.9474950276904</v>
      </c>
      <c r="I253" s="54">
        <f>ÍNDICE_INPC!I252</f>
        <v>0</v>
      </c>
      <c r="J253" s="55">
        <f>ÍNDICE_INPC!J252</f>
        <v>0</v>
      </c>
      <c r="K253" s="32">
        <f t="shared" si="26"/>
        <v>1251.9474950276904</v>
      </c>
      <c r="L253" s="41"/>
      <c r="M253" s="51">
        <f t="shared" si="27"/>
        <v>1251.9474950276904</v>
      </c>
      <c r="N253" s="52">
        <f>ÍNDICE_INPC!K252</f>
        <v>1289.776209406848</v>
      </c>
    </row>
    <row r="254" spans="2:14" ht="15" thickBot="1" x14ac:dyDescent="0.35">
      <c r="B254" s="31">
        <v>43586</v>
      </c>
      <c r="C254" s="32">
        <f t="shared" si="21"/>
        <v>1251.9474950276904</v>
      </c>
      <c r="D254" s="50">
        <v>1.2999999999999999E-3</v>
      </c>
      <c r="E254" s="32">
        <f t="shared" si="22"/>
        <v>1.62</v>
      </c>
      <c r="F254" s="32">
        <f t="shared" si="23"/>
        <v>1253.5674950276903</v>
      </c>
      <c r="G254" s="32">
        <f t="shared" si="24"/>
        <v>3.0916359059619416</v>
      </c>
      <c r="H254" s="32">
        <f t="shared" si="25"/>
        <v>1256.6591309336522</v>
      </c>
      <c r="I254" s="54">
        <f>ÍNDICE_INPC!I253</f>
        <v>0</v>
      </c>
      <c r="J254" s="55">
        <f>ÍNDICE_INPC!J253</f>
        <v>0</v>
      </c>
      <c r="K254" s="32">
        <f t="shared" si="26"/>
        <v>1256.6591309336522</v>
      </c>
      <c r="L254" s="41"/>
      <c r="M254" s="51">
        <f t="shared" si="27"/>
        <v>1256.6591309336522</v>
      </c>
      <c r="N254" s="52">
        <f>ÍNDICE_INPC!K253</f>
        <v>1294.8959155450018</v>
      </c>
    </row>
    <row r="255" spans="2:14" ht="15" thickBot="1" x14ac:dyDescent="0.35">
      <c r="B255" s="31">
        <v>43617</v>
      </c>
      <c r="C255" s="32">
        <f t="shared" si="21"/>
        <v>1256.6591309336522</v>
      </c>
      <c r="D255" s="50">
        <v>1E-4</v>
      </c>
      <c r="E255" s="32">
        <f t="shared" si="22"/>
        <v>0.12</v>
      </c>
      <c r="F255" s="32">
        <f t="shared" si="23"/>
        <v>1256.7791309336521</v>
      </c>
      <c r="G255" s="32">
        <f t="shared" si="24"/>
        <v>3.0995566672477382</v>
      </c>
      <c r="H255" s="32">
        <f t="shared" si="25"/>
        <v>1259.8786876008999</v>
      </c>
      <c r="I255" s="54">
        <f>ÍNDICE_INPC!I254</f>
        <v>0</v>
      </c>
      <c r="J255" s="55">
        <f>ÍNDICE_INPC!J254</f>
        <v>0</v>
      </c>
      <c r="K255" s="32">
        <f t="shared" si="26"/>
        <v>1259.8786876008999</v>
      </c>
      <c r="L255" s="41"/>
      <c r="M255" s="51">
        <f t="shared" si="27"/>
        <v>1259.8786876008999</v>
      </c>
      <c r="N255" s="52">
        <f>ÍNDICE_INPC!K254</f>
        <v>1298.2187966434628</v>
      </c>
    </row>
    <row r="256" spans="2:14" ht="15" thickBot="1" x14ac:dyDescent="0.35">
      <c r="B256" s="31">
        <v>43647</v>
      </c>
      <c r="C256" s="32">
        <f t="shared" si="21"/>
        <v>1259.8786876008999</v>
      </c>
      <c r="D256" s="50">
        <v>1.9E-3</v>
      </c>
      <c r="E256" s="32">
        <f t="shared" si="22"/>
        <v>2.39</v>
      </c>
      <c r="F256" s="32">
        <f t="shared" si="23"/>
        <v>1262.2686876009</v>
      </c>
      <c r="G256" s="32">
        <f t="shared" si="24"/>
        <v>3.1130953961694714</v>
      </c>
      <c r="H256" s="32">
        <f t="shared" si="25"/>
        <v>1265.3817829970694</v>
      </c>
      <c r="I256" s="54">
        <f>ÍNDICE_INPC!I255</f>
        <v>0</v>
      </c>
      <c r="J256" s="55">
        <f>ÍNDICE_INPC!J255</f>
        <v>0</v>
      </c>
      <c r="K256" s="32">
        <f t="shared" si="26"/>
        <v>1265.3817829970694</v>
      </c>
      <c r="L256" s="41"/>
      <c r="M256" s="51">
        <f t="shared" si="27"/>
        <v>1265.3817829970694</v>
      </c>
      <c r="N256" s="52">
        <f>ÍNDICE_INPC!K255</f>
        <v>1302.7217559335206</v>
      </c>
    </row>
    <row r="257" spans="2:14" ht="15" thickBot="1" x14ac:dyDescent="0.35">
      <c r="B257" s="31">
        <v>43678</v>
      </c>
      <c r="C257" s="32">
        <f t="shared" si="21"/>
        <v>1265.3817829970694</v>
      </c>
      <c r="D257" s="50">
        <v>1.1000000000000001E-3</v>
      </c>
      <c r="E257" s="32">
        <f t="shared" si="22"/>
        <v>1.39</v>
      </c>
      <c r="F257" s="32">
        <f t="shared" si="23"/>
        <v>1266.7717829970695</v>
      </c>
      <c r="G257" s="32">
        <f t="shared" si="24"/>
        <v>3.1242012452521828</v>
      </c>
      <c r="H257" s="32">
        <f t="shared" si="25"/>
        <v>1269.8959842423217</v>
      </c>
      <c r="I257" s="54">
        <f>ÍNDICE_INPC!I256</f>
        <v>0</v>
      </c>
      <c r="J257" s="55">
        <f>ÍNDICE_INPC!J256</f>
        <v>0.08</v>
      </c>
      <c r="K257" s="32">
        <f t="shared" si="26"/>
        <v>1269.9759842423216</v>
      </c>
      <c r="L257" s="41"/>
      <c r="M257" s="51">
        <f t="shared" si="27"/>
        <v>1269.9759842423216</v>
      </c>
      <c r="N257" s="52">
        <f>ÍNDICE_INPC!K256</f>
        <v>1307.5814742985369</v>
      </c>
    </row>
    <row r="258" spans="2:14" ht="15" customHeight="1" thickBot="1" x14ac:dyDescent="0.35">
      <c r="B258" s="31">
        <v>43709</v>
      </c>
      <c r="C258" s="32">
        <f t="shared" si="21"/>
        <v>1269.9759842423216</v>
      </c>
      <c r="D258" s="50">
        <v>-4.0000000000000002E-4</v>
      </c>
      <c r="E258" s="32">
        <f t="shared" si="22"/>
        <v>-0.5</v>
      </c>
      <c r="F258" s="32">
        <f t="shared" si="23"/>
        <v>1269.4759842423216</v>
      </c>
      <c r="G258" s="32">
        <f t="shared" si="24"/>
        <v>3.1308705356573103</v>
      </c>
      <c r="H258" s="32">
        <f t="shared" si="25"/>
        <v>1272.6068547779789</v>
      </c>
      <c r="I258" s="54">
        <f>ÍNDICE_INPC!I257</f>
        <v>0</v>
      </c>
      <c r="J258" s="55">
        <f>ÍNDICE_INPC!J257</f>
        <v>0</v>
      </c>
      <c r="K258" s="32">
        <f t="shared" si="26"/>
        <v>1272.6068547779789</v>
      </c>
      <c r="L258" s="41"/>
      <c r="M258" s="51">
        <f t="shared" si="27"/>
        <v>1272.6068547779789</v>
      </c>
      <c r="N258" s="52">
        <f>ÍNDICE_INPC!K257</f>
        <v>1310.1517127868451</v>
      </c>
    </row>
    <row r="259" spans="2:14" ht="15" customHeight="1" thickBot="1" x14ac:dyDescent="0.35">
      <c r="B259" s="31">
        <v>43739</v>
      </c>
      <c r="C259" s="32">
        <f t="shared" si="21"/>
        <v>1272.6068547779789</v>
      </c>
      <c r="D259" s="50">
        <v>1E-3</v>
      </c>
      <c r="E259" s="32">
        <f t="shared" si="22"/>
        <v>1.27</v>
      </c>
      <c r="F259" s="32">
        <f t="shared" si="23"/>
        <v>1273.8768547779789</v>
      </c>
      <c r="G259" s="32">
        <f t="shared" si="24"/>
        <v>3.141724270633286</v>
      </c>
      <c r="H259" s="32">
        <f t="shared" si="25"/>
        <v>1277.0185790486121</v>
      </c>
      <c r="I259" s="54">
        <f>ÍNDICE_INPC!I258</f>
        <v>0</v>
      </c>
      <c r="J259" s="55">
        <f>ÍNDICE_INPC!J258</f>
        <v>0</v>
      </c>
      <c r="K259" s="32">
        <f t="shared" si="26"/>
        <v>1277.0185790486121</v>
      </c>
      <c r="L259" s="41"/>
      <c r="M259" s="51">
        <f t="shared" si="27"/>
        <v>1277.0185790486121</v>
      </c>
      <c r="N259" s="52">
        <f>ÍNDICE_INPC!K258</f>
        <v>1313.9081929770198</v>
      </c>
    </row>
    <row r="260" spans="2:14" ht="15" thickBot="1" x14ac:dyDescent="0.35">
      <c r="B260" s="31">
        <v>43770</v>
      </c>
      <c r="C260" s="32">
        <f t="shared" si="21"/>
        <v>1277.0185790486121</v>
      </c>
      <c r="D260" s="50">
        <v>5.1000000000000004E-3</v>
      </c>
      <c r="E260" s="32">
        <f t="shared" si="22"/>
        <v>6.51</v>
      </c>
      <c r="F260" s="32">
        <f t="shared" si="23"/>
        <v>1283.5285790486121</v>
      </c>
      <c r="G260" s="32">
        <f t="shared" si="24"/>
        <v>3.1655280286502205</v>
      </c>
      <c r="H260" s="32">
        <f t="shared" si="25"/>
        <v>1286.6941070772623</v>
      </c>
      <c r="I260" s="54">
        <f>ÍNDICE_INPC!I259</f>
        <v>0</v>
      </c>
      <c r="J260" s="55">
        <f>ÍNDICE_INPC!J259</f>
        <v>0</v>
      </c>
      <c r="K260" s="32">
        <f t="shared" si="26"/>
        <v>1286.6941070772623</v>
      </c>
      <c r="L260" s="41"/>
      <c r="M260" s="51">
        <f t="shared" si="27"/>
        <v>1286.6941070772623</v>
      </c>
      <c r="N260" s="52">
        <f>ÍNDICE_INPC!K259</f>
        <v>1324.2611435217632</v>
      </c>
    </row>
    <row r="261" spans="2:14" ht="15" thickBot="1" x14ac:dyDescent="0.35">
      <c r="B261" s="31">
        <v>43800</v>
      </c>
      <c r="C261" s="32">
        <f t="shared" si="21"/>
        <v>1286.6941070772623</v>
      </c>
      <c r="D261" s="50">
        <v>1.15E-2</v>
      </c>
      <c r="E261" s="32">
        <f t="shared" si="22"/>
        <v>14.79</v>
      </c>
      <c r="F261" s="32">
        <f t="shared" si="23"/>
        <v>1301.4841070772623</v>
      </c>
      <c r="G261" s="32">
        <f t="shared" si="24"/>
        <v>3.2098112087614394</v>
      </c>
      <c r="H261" s="32">
        <f t="shared" si="25"/>
        <v>1304.6939182860237</v>
      </c>
      <c r="I261" s="54">
        <f>ÍNDICE_INPC!I260</f>
        <v>0</v>
      </c>
      <c r="J261" s="55">
        <f>ÍNDICE_INPC!J260</f>
        <v>0</v>
      </c>
      <c r="K261" s="32">
        <f t="shared" si="26"/>
        <v>1304.6939182860237</v>
      </c>
      <c r="L261" s="41"/>
      <c r="M261" s="51">
        <f t="shared" si="27"/>
        <v>1304.6939182860237</v>
      </c>
      <c r="N261" s="52">
        <f>ÍNDICE_INPC!K260</f>
        <v>1343.7219716440466</v>
      </c>
    </row>
    <row r="262" spans="2:14" ht="15" thickBot="1" x14ac:dyDescent="0.35">
      <c r="B262" s="31">
        <v>43831</v>
      </c>
      <c r="C262" s="32">
        <f t="shared" si="21"/>
        <v>1304.6939182860237</v>
      </c>
      <c r="D262" s="50">
        <v>2.0999999999999999E-3</v>
      </c>
      <c r="E262" s="32">
        <f t="shared" si="22"/>
        <v>2.73</v>
      </c>
      <c r="F262" s="32">
        <f t="shared" si="23"/>
        <v>1307.4239182860238</v>
      </c>
      <c r="G262" s="32">
        <f t="shared" si="24"/>
        <v>3.224460386951272</v>
      </c>
      <c r="H262" s="32">
        <f t="shared" si="25"/>
        <v>1310.648378672975</v>
      </c>
      <c r="I262" s="54">
        <f>ÍNDICE_INPC!I261</f>
        <v>0</v>
      </c>
      <c r="J262" s="55">
        <f>ÍNDICE_INPC!J261</f>
        <v>0</v>
      </c>
      <c r="K262" s="32">
        <f t="shared" si="26"/>
        <v>1310.648378672975</v>
      </c>
      <c r="L262" s="41"/>
      <c r="M262" s="51">
        <f t="shared" si="27"/>
        <v>1310.648378672975</v>
      </c>
      <c r="N262" s="52">
        <f>ÍNDICE_INPC!K261</f>
        <v>1349.5952492183633</v>
      </c>
    </row>
    <row r="263" spans="2:14" ht="15" thickBot="1" x14ac:dyDescent="0.35">
      <c r="B263" s="31">
        <v>43862</v>
      </c>
      <c r="C263" s="32">
        <f t="shared" si="21"/>
        <v>1310.648378672975</v>
      </c>
      <c r="D263" s="50">
        <v>2.5000000000000001E-3</v>
      </c>
      <c r="E263" s="32">
        <f t="shared" si="22"/>
        <v>3.27</v>
      </c>
      <c r="F263" s="32">
        <f t="shared" si="23"/>
        <v>1313.918378672975</v>
      </c>
      <c r="G263" s="32">
        <f t="shared" si="24"/>
        <v>3.2404774797697979</v>
      </c>
      <c r="H263" s="32">
        <f t="shared" si="25"/>
        <v>1317.1588561527449</v>
      </c>
      <c r="I263" s="54">
        <f>ÍNDICE_INPC!I262</f>
        <v>0</v>
      </c>
      <c r="J263" s="55">
        <f>ÍNDICE_INPC!J262</f>
        <v>0</v>
      </c>
      <c r="K263" s="32">
        <f t="shared" si="26"/>
        <v>1317.1588561527449</v>
      </c>
      <c r="L263" s="41"/>
      <c r="M263" s="51">
        <f t="shared" si="27"/>
        <v>1317.1588561527449</v>
      </c>
      <c r="N263" s="52">
        <f>ÍNDICE_INPC!K262</f>
        <v>1355.2233731170331</v>
      </c>
    </row>
    <row r="264" spans="2:14" ht="15" thickBot="1" x14ac:dyDescent="0.35">
      <c r="B264" s="31">
        <v>43891</v>
      </c>
      <c r="C264" s="32">
        <f t="shared" si="21"/>
        <v>1317.1588561527449</v>
      </c>
      <c r="D264" s="50">
        <v>6.9999999999999999E-4</v>
      </c>
      <c r="E264" s="32">
        <f t="shared" si="22"/>
        <v>0.92</v>
      </c>
      <c r="F264" s="32">
        <f t="shared" si="23"/>
        <v>1318.0788561527449</v>
      </c>
      <c r="G264" s="32">
        <f t="shared" si="24"/>
        <v>3.2507383405638302</v>
      </c>
      <c r="H264" s="32">
        <f t="shared" si="25"/>
        <v>1321.3295944933088</v>
      </c>
      <c r="I264" s="54">
        <f>ÍNDICE_INPC!I263</f>
        <v>0</v>
      </c>
      <c r="J264" s="55">
        <f>ÍNDICE_INPC!J263</f>
        <v>0</v>
      </c>
      <c r="K264" s="32">
        <f t="shared" si="26"/>
        <v>1321.3295944933088</v>
      </c>
      <c r="L264" s="41"/>
      <c r="M264" s="51">
        <f t="shared" si="27"/>
        <v>1321.3295944933088</v>
      </c>
      <c r="N264" s="52">
        <f>ÍNDICE_INPC!K263</f>
        <v>1361.0107350979806</v>
      </c>
    </row>
    <row r="265" spans="2:14" ht="15" customHeight="1" thickBot="1" x14ac:dyDescent="0.35">
      <c r="B265" s="31">
        <v>43922</v>
      </c>
      <c r="C265" s="32">
        <f t="shared" si="21"/>
        <v>1321.3295944933088</v>
      </c>
      <c r="D265" s="50">
        <v>-3.0999999999999999E-3</v>
      </c>
      <c r="E265" s="32">
        <f t="shared" si="22"/>
        <v>-4.09</v>
      </c>
      <c r="F265" s="32">
        <f t="shared" si="23"/>
        <v>1317.2395944933089</v>
      </c>
      <c r="G265" s="32">
        <f t="shared" si="24"/>
        <v>3.2486684947110129</v>
      </c>
      <c r="H265" s="32">
        <f t="shared" si="25"/>
        <v>1320.4882629880199</v>
      </c>
      <c r="I265" s="54">
        <f>ÍNDICE_INPC!I264</f>
        <v>0</v>
      </c>
      <c r="J265" s="55">
        <f>ÍNDICE_INPC!J264</f>
        <v>0</v>
      </c>
      <c r="K265" s="32">
        <f t="shared" si="26"/>
        <v>1320.4882629880199</v>
      </c>
      <c r="L265" s="41"/>
      <c r="M265" s="51">
        <f t="shared" si="27"/>
        <v>1320.4882629880199</v>
      </c>
      <c r="N265" s="52">
        <f>ÍNDICE_INPC!K264</f>
        <v>1361.2296356185307</v>
      </c>
    </row>
    <row r="266" spans="2:14" ht="15" customHeight="1" thickBot="1" x14ac:dyDescent="0.35">
      <c r="B266" s="31">
        <v>43952</v>
      </c>
      <c r="C266" s="32">
        <f t="shared" si="21"/>
        <v>1320.4882629880199</v>
      </c>
      <c r="D266" s="50">
        <v>-3.8E-3</v>
      </c>
      <c r="E266" s="32">
        <f t="shared" si="22"/>
        <v>-5.01</v>
      </c>
      <c r="F266" s="32">
        <f t="shared" si="23"/>
        <v>1315.4782629880199</v>
      </c>
      <c r="G266" s="32">
        <f t="shared" si="24"/>
        <v>3.2443245756594639</v>
      </c>
      <c r="H266" s="32">
        <f t="shared" si="25"/>
        <v>1318.7225875636793</v>
      </c>
      <c r="I266" s="54">
        <f>ÍNDICE_INPC!I265</f>
        <v>0</v>
      </c>
      <c r="J266" s="55">
        <f>ÍNDICE_INPC!J265</f>
        <v>0</v>
      </c>
      <c r="K266" s="32">
        <f t="shared" si="26"/>
        <v>1318.7225875636793</v>
      </c>
      <c r="L266" s="41"/>
      <c r="M266" s="51">
        <f t="shared" si="27"/>
        <v>1318.7225875636793</v>
      </c>
      <c r="N266" s="52">
        <f>ÍNDICE_INPC!K265</f>
        <v>1361.1754027151576</v>
      </c>
    </row>
    <row r="267" spans="2:14" ht="15" thickBot="1" x14ac:dyDescent="0.35">
      <c r="B267" s="31">
        <v>43983</v>
      </c>
      <c r="C267" s="32">
        <f t="shared" ref="C267:C277" si="28">K266</f>
        <v>1318.7225875636793</v>
      </c>
      <c r="D267" s="50">
        <v>2.5999999999999999E-3</v>
      </c>
      <c r="E267" s="32">
        <f t="shared" ref="E267:E277" si="29">ROUNDDOWN(D267*C267,2)</f>
        <v>3.42</v>
      </c>
      <c r="F267" s="32">
        <f t="shared" ref="F267:F277" si="30">E267+C267</f>
        <v>1322.1425875636794</v>
      </c>
      <c r="G267" s="32">
        <f t="shared" ref="G267:G277" si="31">F267*$A$10</f>
        <v>3.2607605994306756</v>
      </c>
      <c r="H267" s="32">
        <f t="shared" ref="H267:H277" si="32">G267+F267</f>
        <v>1325.40334816311</v>
      </c>
      <c r="I267" s="54">
        <f>ÍNDICE_INPC!I266</f>
        <v>5.21</v>
      </c>
      <c r="J267" s="55">
        <f>ÍNDICE_INPC!J266</f>
        <v>0</v>
      </c>
      <c r="K267" s="32">
        <f t="shared" ref="K267:K277" si="33">H267-I267+J267</f>
        <v>1320.1933481631099</v>
      </c>
      <c r="L267" s="41"/>
      <c r="M267" s="51">
        <f t="shared" ref="M267:M277" si="34">K267</f>
        <v>1320.1933481631099</v>
      </c>
      <c r="N267" s="52">
        <f>ÍNDICE_INPC!K266</f>
        <v>1363.4154985560219</v>
      </c>
    </row>
    <row r="268" spans="2:14" ht="15" thickBot="1" x14ac:dyDescent="0.35">
      <c r="B268" s="31">
        <v>44013</v>
      </c>
      <c r="C268" s="32">
        <f t="shared" si="28"/>
        <v>1320.1933481631099</v>
      </c>
      <c r="D268" s="50">
        <v>3.5999999999999999E-3</v>
      </c>
      <c r="E268" s="32">
        <f t="shared" si="29"/>
        <v>4.75</v>
      </c>
      <c r="F268" s="32">
        <f t="shared" si="30"/>
        <v>1324.9433481631099</v>
      </c>
      <c r="G268" s="32">
        <f t="shared" si="31"/>
        <v>3.267668031274233</v>
      </c>
      <c r="H268" s="32">
        <f t="shared" si="32"/>
        <v>1328.2110161943842</v>
      </c>
      <c r="I268" s="54">
        <f>ÍNDICE_INPC!I267</f>
        <v>0</v>
      </c>
      <c r="J268" s="55">
        <f>ÍNDICE_INPC!J267</f>
        <v>0</v>
      </c>
      <c r="K268" s="32">
        <f t="shared" si="33"/>
        <v>1328.2110161943842</v>
      </c>
      <c r="L268" s="41"/>
      <c r="M268" s="51">
        <f t="shared" si="34"/>
        <v>1328.2110161943842</v>
      </c>
      <c r="N268" s="52">
        <f>ÍNDICE_INPC!K267</f>
        <v>1372.7918444513757</v>
      </c>
    </row>
    <row r="269" spans="2:14" ht="15" thickBot="1" x14ac:dyDescent="0.35">
      <c r="B269" s="31">
        <v>44044</v>
      </c>
      <c r="C269" s="32">
        <f t="shared" si="28"/>
        <v>1328.2110161943842</v>
      </c>
      <c r="D269" s="50">
        <v>2.3999999999999998E-3</v>
      </c>
      <c r="E269" s="32">
        <f t="shared" si="29"/>
        <v>3.18</v>
      </c>
      <c r="F269" s="32">
        <f t="shared" si="30"/>
        <v>1331.3910161943843</v>
      </c>
      <c r="G269" s="32">
        <f t="shared" si="31"/>
        <v>3.2835697215097244</v>
      </c>
      <c r="H269" s="32">
        <f t="shared" si="32"/>
        <v>1334.6745859158941</v>
      </c>
      <c r="I269" s="54">
        <f>ÍNDICE_INPC!I268</f>
        <v>0</v>
      </c>
      <c r="J269" s="55">
        <f>ÍNDICE_INPC!J268</f>
        <v>0.1</v>
      </c>
      <c r="K269" s="32">
        <f t="shared" si="33"/>
        <v>1334.774585915894</v>
      </c>
      <c r="L269" s="41"/>
      <c r="M269" s="51">
        <f t="shared" si="34"/>
        <v>1334.774585915894</v>
      </c>
      <c r="N269" s="52">
        <f>ÍNDICE_INPC!K268</f>
        <v>1381.2317080999308</v>
      </c>
    </row>
    <row r="270" spans="2:14" ht="15" thickBot="1" x14ac:dyDescent="0.35">
      <c r="B270" s="31">
        <v>44075</v>
      </c>
      <c r="C270" s="32">
        <f t="shared" si="28"/>
        <v>1334.774585915894</v>
      </c>
      <c r="D270" s="50">
        <v>6.4000000000000003E-3</v>
      </c>
      <c r="E270" s="32">
        <f t="shared" si="29"/>
        <v>8.5399999999999991</v>
      </c>
      <c r="F270" s="32">
        <f t="shared" si="30"/>
        <v>1343.314585915894</v>
      </c>
      <c r="G270" s="32">
        <f t="shared" si="31"/>
        <v>3.312976463806792</v>
      </c>
      <c r="H270" s="32">
        <f t="shared" si="32"/>
        <v>1346.6275623797007</v>
      </c>
      <c r="I270" s="54">
        <f>ÍNDICE_INPC!I269</f>
        <v>0</v>
      </c>
      <c r="J270" s="55">
        <f>ÍNDICE_INPC!J269</f>
        <v>0</v>
      </c>
      <c r="K270" s="32">
        <f t="shared" si="33"/>
        <v>1346.6275623797007</v>
      </c>
      <c r="L270" s="41"/>
      <c r="M270" s="51">
        <f t="shared" si="34"/>
        <v>1346.6275623797007</v>
      </c>
      <c r="N270" s="52">
        <f>ÍNDICE_INPC!K269</f>
        <v>1396.6838331249864</v>
      </c>
    </row>
    <row r="271" spans="2:14" ht="15" thickBot="1" x14ac:dyDescent="0.35">
      <c r="B271" s="31">
        <v>44105</v>
      </c>
      <c r="C271" s="32">
        <f t="shared" si="28"/>
        <v>1346.6275623797007</v>
      </c>
      <c r="D271" s="50">
        <v>8.6E-3</v>
      </c>
      <c r="E271" s="32">
        <f t="shared" si="29"/>
        <v>11.58</v>
      </c>
      <c r="F271" s="32">
        <f t="shared" si="30"/>
        <v>1358.2075623797007</v>
      </c>
      <c r="G271" s="32">
        <f t="shared" si="31"/>
        <v>3.3497065648701843</v>
      </c>
      <c r="H271" s="32">
        <f t="shared" si="32"/>
        <v>1361.5572689445708</v>
      </c>
      <c r="I271" s="54">
        <f>ÍNDICE_INPC!I270</f>
        <v>0</v>
      </c>
      <c r="J271" s="55">
        <f>ÍNDICE_INPC!J270</f>
        <v>0</v>
      </c>
      <c r="K271" s="32">
        <f t="shared" si="33"/>
        <v>1361.5572689445708</v>
      </c>
      <c r="L271" s="41"/>
      <c r="M271" s="51">
        <f t="shared" si="34"/>
        <v>1361.5572689445708</v>
      </c>
      <c r="N271" s="52">
        <f>ÍNDICE_INPC!K270</f>
        <v>1412.5890882982076</v>
      </c>
    </row>
    <row r="272" spans="2:14" ht="15" customHeight="1" thickBot="1" x14ac:dyDescent="0.35">
      <c r="B272" s="31">
        <v>44136</v>
      </c>
      <c r="C272" s="32">
        <f t="shared" si="28"/>
        <v>1361.5572689445708</v>
      </c>
      <c r="D272" s="50">
        <v>8.8999999999999999E-3</v>
      </c>
      <c r="E272" s="32">
        <f t="shared" si="29"/>
        <v>12.11</v>
      </c>
      <c r="F272" s="32">
        <f t="shared" si="30"/>
        <v>1373.6672689445707</v>
      </c>
      <c r="G272" s="32">
        <f t="shared" si="31"/>
        <v>3.3878343753799265</v>
      </c>
      <c r="H272" s="32">
        <f t="shared" si="32"/>
        <v>1377.0551033199506</v>
      </c>
      <c r="I272" s="54">
        <f>ÍNDICE_INPC!I271</f>
        <v>0</v>
      </c>
      <c r="J272" s="55">
        <f>ÍNDICE_INPC!J271</f>
        <v>0</v>
      </c>
      <c r="K272" s="32">
        <f t="shared" si="33"/>
        <v>1377.0551033199506</v>
      </c>
      <c r="L272" s="41"/>
      <c r="M272" s="51">
        <f t="shared" si="34"/>
        <v>1377.0551033199506</v>
      </c>
      <c r="N272" s="52">
        <f>ÍNDICE_INPC!K271</f>
        <v>1429.5250092661349</v>
      </c>
    </row>
    <row r="273" spans="2:14" ht="15" customHeight="1" thickBot="1" x14ac:dyDescent="0.35">
      <c r="B273" s="31">
        <v>44166</v>
      </c>
      <c r="C273" s="32">
        <f t="shared" si="28"/>
        <v>1377.0551033199506</v>
      </c>
      <c r="D273" s="50">
        <v>1.35E-2</v>
      </c>
      <c r="E273" s="32">
        <f t="shared" si="29"/>
        <v>18.59</v>
      </c>
      <c r="F273" s="32">
        <f t="shared" si="30"/>
        <v>1395.6451033199505</v>
      </c>
      <c r="G273" s="32">
        <f t="shared" si="31"/>
        <v>3.4420376489648943</v>
      </c>
      <c r="H273" s="32">
        <f t="shared" si="32"/>
        <v>1399.0871409689155</v>
      </c>
      <c r="I273" s="54">
        <f>ÍNDICE_INPC!I272</f>
        <v>0</v>
      </c>
      <c r="J273" s="55">
        <f>ÍNDICE_INPC!J272</f>
        <v>0</v>
      </c>
      <c r="K273" s="32">
        <f t="shared" si="33"/>
        <v>1399.0871409689155</v>
      </c>
      <c r="L273" s="41"/>
      <c r="M273" s="51">
        <f t="shared" si="34"/>
        <v>1399.0871409689155</v>
      </c>
      <c r="N273" s="52">
        <f>ÍNDICE_INPC!K272</f>
        <v>1453.9730774319078</v>
      </c>
    </row>
    <row r="274" spans="2:14" ht="15" thickBot="1" x14ac:dyDescent="0.35">
      <c r="B274" s="31">
        <v>44197</v>
      </c>
      <c r="C274" s="32">
        <f t="shared" si="28"/>
        <v>1399.0871409689155</v>
      </c>
      <c r="D274" s="50">
        <v>2.5000000000000001E-3</v>
      </c>
      <c r="E274" s="32">
        <f t="shared" si="29"/>
        <v>3.49</v>
      </c>
      <c r="F274" s="32">
        <f t="shared" si="30"/>
        <v>1402.5771409689155</v>
      </c>
      <c r="G274" s="32">
        <f t="shared" si="31"/>
        <v>3.4591339254574072</v>
      </c>
      <c r="H274" s="32">
        <f t="shared" si="32"/>
        <v>1406.0362748943728</v>
      </c>
      <c r="I274" s="54">
        <f>ÍNDICE_INPC!I273</f>
        <v>0</v>
      </c>
      <c r="J274" s="55">
        <f>ÍNDICE_INPC!J273</f>
        <v>0</v>
      </c>
      <c r="K274" s="32">
        <f t="shared" si="33"/>
        <v>1406.0362748943728</v>
      </c>
      <c r="L274" s="41"/>
      <c r="M274" s="51">
        <f t="shared" si="34"/>
        <v>1406.0362748943728</v>
      </c>
      <c r="N274" s="52">
        <f>ÍNDICE_INPC!K273</f>
        <v>1461.4936477233357</v>
      </c>
    </row>
    <row r="275" spans="2:14" ht="15" thickBot="1" x14ac:dyDescent="0.35">
      <c r="B275" s="31">
        <v>44228</v>
      </c>
      <c r="C275" s="32">
        <f t="shared" si="28"/>
        <v>1406.0362748943728</v>
      </c>
      <c r="D275" s="50">
        <v>8.6E-3</v>
      </c>
      <c r="E275" s="32">
        <f t="shared" si="29"/>
        <v>12.09</v>
      </c>
      <c r="F275" s="32">
        <f t="shared" si="30"/>
        <v>1418.1262748943727</v>
      </c>
      <c r="G275" s="32">
        <f t="shared" si="31"/>
        <v>3.4974822879837446</v>
      </c>
      <c r="H275" s="32">
        <f t="shared" si="32"/>
        <v>1421.6237571823565</v>
      </c>
      <c r="I275" s="54">
        <f>ÍNDICE_INPC!I274</f>
        <v>0</v>
      </c>
      <c r="J275" s="55">
        <f>ÍNDICE_INPC!J274</f>
        <v>0</v>
      </c>
      <c r="K275" s="32">
        <f t="shared" si="33"/>
        <v>1421.6237571823565</v>
      </c>
      <c r="L275" s="41"/>
      <c r="M275" s="51">
        <f t="shared" si="34"/>
        <v>1421.6237571823565</v>
      </c>
      <c r="N275" s="52">
        <f>ÍNDICE_INPC!K274</f>
        <v>1477.1116414415862</v>
      </c>
    </row>
    <row r="276" spans="2:14" ht="15" thickBot="1" x14ac:dyDescent="0.35">
      <c r="B276" s="31">
        <v>44256</v>
      </c>
      <c r="C276" s="32">
        <f t="shared" si="28"/>
        <v>1421.6237571823565</v>
      </c>
      <c r="D276" s="50">
        <v>9.2999999999999992E-3</v>
      </c>
      <c r="E276" s="32">
        <f t="shared" si="29"/>
        <v>13.22</v>
      </c>
      <c r="F276" s="32">
        <f t="shared" si="30"/>
        <v>1434.8437571823565</v>
      </c>
      <c r="G276" s="32">
        <f t="shared" si="31"/>
        <v>3.5387121130261305</v>
      </c>
      <c r="H276" s="32">
        <f t="shared" si="32"/>
        <v>1438.3824692953826</v>
      </c>
      <c r="I276" s="54">
        <f>ÍNDICE_INPC!I275</f>
        <v>0</v>
      </c>
      <c r="J276" s="55">
        <f>ÍNDICE_INPC!J275</f>
        <v>0</v>
      </c>
      <c r="K276" s="32">
        <f t="shared" si="33"/>
        <v>1438.3824692953826</v>
      </c>
      <c r="L276" s="41"/>
      <c r="M276" s="51">
        <f t="shared" si="34"/>
        <v>1438.3824692953826</v>
      </c>
      <c r="N276" s="52">
        <f>ÍNDICE_INPC!K275</f>
        <v>1493.4889265973343</v>
      </c>
    </row>
    <row r="277" spans="2:14" ht="15" thickBot="1" x14ac:dyDescent="0.35">
      <c r="B277" s="31">
        <v>44287</v>
      </c>
      <c r="C277" s="32">
        <f t="shared" si="28"/>
        <v>1438.3824692953826</v>
      </c>
      <c r="D277" s="53">
        <v>3.0999999999999999E-3</v>
      </c>
      <c r="E277" s="32">
        <f t="shared" si="29"/>
        <v>4.45</v>
      </c>
      <c r="F277" s="32">
        <f t="shared" si="30"/>
        <v>1442.8324692953827</v>
      </c>
      <c r="G277" s="32">
        <f t="shared" si="31"/>
        <v>3.5584144340491233</v>
      </c>
      <c r="H277" s="32">
        <f t="shared" si="32"/>
        <v>1446.3908837294318</v>
      </c>
      <c r="I277" s="54">
        <f>ÍNDICE_INPC!I276</f>
        <v>0</v>
      </c>
      <c r="J277" s="55">
        <f>ÍNDICE_INPC!J276</f>
        <v>0</v>
      </c>
      <c r="K277" s="32">
        <f t="shared" si="33"/>
        <v>1446.3908837294318</v>
      </c>
      <c r="L277" s="41"/>
      <c r="M277" s="51">
        <f t="shared" si="34"/>
        <v>1446.3908837294318</v>
      </c>
      <c r="N277" s="52">
        <f>ÍNDICE_INPC!K276</f>
        <v>1502.8612696145835</v>
      </c>
    </row>
  </sheetData>
  <sheetProtection algorithmName="SHA-512" hashValue="Qm1Heq0RMXPtuZ/+L3fYrkLed+96ktoNXarpo0oxfArQpHNBI6OjT9Tr2Zw2R9fJw2Z3+bnbXTUCXNTXhlNVFg==" saltValue="TePw1J3qX4xaiaoV9g0t6Q==" spinCount="100000" sheet="1" objects="1" scenarios="1" selectLockedCells="1"/>
  <mergeCells count="1">
    <mergeCell ref="M6:N7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172F6-641A-426A-8ACC-A83F3137E12A}">
  <sheetPr codeName="Planilha5"/>
  <dimension ref="B2:I276"/>
  <sheetViews>
    <sheetView showGridLines="0" showRowColHeaders="0" workbookViewId="0">
      <pane ySplit="7" topLeftCell="A8" activePane="bottomLeft" state="frozen"/>
      <selection pane="bottomLeft"/>
    </sheetView>
  </sheetViews>
  <sheetFormatPr defaultColWidth="9.109375" defaultRowHeight="15.6" x14ac:dyDescent="0.3"/>
  <cols>
    <col min="1" max="1" width="9.109375" style="13"/>
    <col min="2" max="2" width="15.109375" style="65" customWidth="1"/>
    <col min="3" max="4" width="14.88671875" style="13" customWidth="1"/>
    <col min="5" max="5" width="14.6640625" style="13" customWidth="1"/>
    <col min="6" max="16384" width="9.109375" style="13"/>
  </cols>
  <sheetData>
    <row r="2" spans="2:9" ht="51" customHeight="1" x14ac:dyDescent="0.3">
      <c r="B2" s="37"/>
      <c r="C2" s="19"/>
      <c r="D2" s="19"/>
      <c r="E2" s="19"/>
      <c r="F2" s="19"/>
      <c r="G2" s="19"/>
      <c r="H2" s="20"/>
      <c r="I2" s="19"/>
    </row>
    <row r="3" spans="2:9" ht="3" customHeight="1" x14ac:dyDescent="0.3">
      <c r="B3" s="39"/>
      <c r="C3" s="23"/>
      <c r="D3" s="23"/>
      <c r="E3" s="23"/>
      <c r="F3" s="23"/>
      <c r="G3" s="23"/>
      <c r="H3" s="24"/>
      <c r="I3" s="23"/>
    </row>
    <row r="4" spans="2:9" ht="22.5" customHeight="1" x14ac:dyDescent="0.3">
      <c r="B4" s="37"/>
      <c r="C4" s="19"/>
      <c r="D4" s="19"/>
      <c r="E4" s="19"/>
      <c r="F4" s="19"/>
      <c r="G4" s="19"/>
      <c r="H4" s="20"/>
      <c r="I4" s="19"/>
    </row>
    <row r="6" spans="2:9" ht="16.2" thickBot="1" x14ac:dyDescent="0.35"/>
    <row r="7" spans="2:9" ht="31.8" thickBot="1" x14ac:dyDescent="0.35">
      <c r="C7" s="72" t="s">
        <v>18</v>
      </c>
      <c r="D7" s="29" t="s">
        <v>9</v>
      </c>
      <c r="E7" s="72" t="s">
        <v>10</v>
      </c>
    </row>
    <row r="8" spans="2:9" x14ac:dyDescent="0.3">
      <c r="C8" s="66">
        <v>36130</v>
      </c>
      <c r="D8" s="67">
        <v>4.1999999999999997E-3</v>
      </c>
      <c r="E8" s="68">
        <v>3.3E-3</v>
      </c>
    </row>
    <row r="9" spans="2:9" x14ac:dyDescent="0.3">
      <c r="C9" s="66">
        <v>36161</v>
      </c>
      <c r="D9" s="69">
        <v>6.4999999999999997E-3</v>
      </c>
      <c r="E9" s="70">
        <v>7.0000000000000001E-3</v>
      </c>
    </row>
    <row r="10" spans="2:9" x14ac:dyDescent="0.3">
      <c r="C10" s="66">
        <v>36192</v>
      </c>
      <c r="D10" s="69">
        <v>1.29E-2</v>
      </c>
      <c r="E10" s="70">
        <v>1.0500000000000001E-2</v>
      </c>
    </row>
    <row r="11" spans="2:9" x14ac:dyDescent="0.3">
      <c r="C11" s="66">
        <v>36220</v>
      </c>
      <c r="D11" s="69">
        <v>1.2800000000000001E-2</v>
      </c>
      <c r="E11" s="70">
        <v>1.0999999999999999E-2</v>
      </c>
    </row>
    <row r="12" spans="2:9" x14ac:dyDescent="0.3">
      <c r="C12" s="66">
        <v>36251</v>
      </c>
      <c r="D12" s="69">
        <v>4.7000000000000002E-3</v>
      </c>
      <c r="E12" s="70">
        <v>5.5999999999999999E-3</v>
      </c>
    </row>
    <row r="13" spans="2:9" x14ac:dyDescent="0.3">
      <c r="C13" s="66">
        <v>36281</v>
      </c>
      <c r="D13" s="69">
        <v>5.0000000000000001E-4</v>
      </c>
      <c r="E13" s="70">
        <v>3.0000000000000001E-3</v>
      </c>
    </row>
    <row r="14" spans="2:9" x14ac:dyDescent="0.3">
      <c r="C14" s="66">
        <v>36312</v>
      </c>
      <c r="D14" s="69">
        <v>6.9999999999999999E-4</v>
      </c>
      <c r="E14" s="70">
        <v>1.9E-3</v>
      </c>
    </row>
    <row r="15" spans="2:9" x14ac:dyDescent="0.3">
      <c r="C15" s="66">
        <v>36342</v>
      </c>
      <c r="D15" s="69">
        <v>7.4000000000000003E-3</v>
      </c>
      <c r="E15" s="70">
        <v>1.09E-2</v>
      </c>
    </row>
    <row r="16" spans="2:9" x14ac:dyDescent="0.3">
      <c r="C16" s="66">
        <v>36373</v>
      </c>
      <c r="D16" s="69">
        <v>5.4999999999999997E-3</v>
      </c>
      <c r="E16" s="70">
        <v>5.5999999999999999E-3</v>
      </c>
    </row>
    <row r="17" spans="3:5" x14ac:dyDescent="0.3">
      <c r="C17" s="66">
        <v>36404</v>
      </c>
      <c r="D17" s="69">
        <v>3.8999999999999998E-3</v>
      </c>
      <c r="E17" s="70">
        <v>3.0999999999999999E-3</v>
      </c>
    </row>
    <row r="18" spans="3:5" x14ac:dyDescent="0.3">
      <c r="C18" s="66">
        <v>36434</v>
      </c>
      <c r="D18" s="69">
        <v>9.5999999999999992E-3</v>
      </c>
      <c r="E18" s="70">
        <v>1.1900000000000001E-2</v>
      </c>
    </row>
    <row r="19" spans="3:5" x14ac:dyDescent="0.3">
      <c r="C19" s="66">
        <v>36465</v>
      </c>
      <c r="D19" s="69">
        <v>9.4000000000000004E-3</v>
      </c>
      <c r="E19" s="70">
        <v>9.4999999999999998E-3</v>
      </c>
    </row>
    <row r="20" spans="3:5" x14ac:dyDescent="0.3">
      <c r="C20" s="66">
        <v>36495</v>
      </c>
      <c r="D20" s="69">
        <v>7.4000000000000003E-3</v>
      </c>
      <c r="E20" s="70">
        <v>6.0000000000000001E-3</v>
      </c>
    </row>
    <row r="21" spans="3:5" x14ac:dyDescent="0.3">
      <c r="C21" s="66">
        <v>36526</v>
      </c>
      <c r="D21" s="69">
        <v>6.1000000000000004E-3</v>
      </c>
      <c r="E21" s="70">
        <v>6.1999999999999998E-3</v>
      </c>
    </row>
    <row r="22" spans="3:5" x14ac:dyDescent="0.3">
      <c r="C22" s="66">
        <v>36557</v>
      </c>
      <c r="D22" s="69">
        <v>5.0000000000000001E-4</v>
      </c>
      <c r="E22" s="70">
        <v>1.2999999999999999E-3</v>
      </c>
    </row>
    <row r="23" spans="3:5" x14ac:dyDescent="0.3">
      <c r="C23" s="66">
        <v>36586</v>
      </c>
      <c r="D23" s="69">
        <v>1.2999999999999999E-3</v>
      </c>
      <c r="E23" s="70">
        <v>2.2000000000000001E-3</v>
      </c>
    </row>
    <row r="24" spans="3:5" x14ac:dyDescent="0.3">
      <c r="C24" s="66">
        <v>36617</v>
      </c>
      <c r="D24" s="69">
        <v>8.9999999999999998E-4</v>
      </c>
      <c r="E24" s="70">
        <v>4.1999999999999997E-3</v>
      </c>
    </row>
    <row r="25" spans="3:5" x14ac:dyDescent="0.3">
      <c r="C25" s="66">
        <v>36647</v>
      </c>
      <c r="D25" s="69">
        <v>-5.0000000000000001E-4</v>
      </c>
      <c r="E25" s="70">
        <v>1E-4</v>
      </c>
    </row>
    <row r="26" spans="3:5" x14ac:dyDescent="0.3">
      <c r="C26" s="66">
        <v>36678</v>
      </c>
      <c r="D26" s="69">
        <v>3.0000000000000001E-3</v>
      </c>
      <c r="E26" s="70">
        <v>2.3E-3</v>
      </c>
    </row>
    <row r="27" spans="3:5" x14ac:dyDescent="0.3">
      <c r="C27" s="66">
        <v>36708</v>
      </c>
      <c r="D27" s="69">
        <v>1.3899999999999999E-2</v>
      </c>
      <c r="E27" s="70">
        <v>1.61E-2</v>
      </c>
    </row>
    <row r="28" spans="3:5" x14ac:dyDescent="0.3">
      <c r="C28" s="66">
        <v>36739</v>
      </c>
      <c r="D28" s="69">
        <v>1.21E-2</v>
      </c>
      <c r="E28" s="70">
        <v>1.3100000000000001E-2</v>
      </c>
    </row>
    <row r="29" spans="3:5" x14ac:dyDescent="0.3">
      <c r="C29" s="66">
        <v>36770</v>
      </c>
      <c r="D29" s="69">
        <v>4.3E-3</v>
      </c>
      <c r="E29" s="70">
        <v>2.3E-3</v>
      </c>
    </row>
    <row r="30" spans="3:5" x14ac:dyDescent="0.3">
      <c r="C30" s="66">
        <v>36800</v>
      </c>
      <c r="D30" s="69">
        <v>1.6000000000000001E-3</v>
      </c>
      <c r="E30" s="70">
        <v>1.4E-3</v>
      </c>
    </row>
    <row r="31" spans="3:5" x14ac:dyDescent="0.3">
      <c r="C31" s="66">
        <v>36831</v>
      </c>
      <c r="D31" s="69">
        <v>2.8999999999999998E-3</v>
      </c>
      <c r="E31" s="70">
        <v>3.2000000000000002E-3</v>
      </c>
    </row>
    <row r="32" spans="3:5" x14ac:dyDescent="0.3">
      <c r="C32" s="66">
        <v>36861</v>
      </c>
      <c r="D32" s="69">
        <v>5.4999999999999997E-3</v>
      </c>
      <c r="E32" s="70">
        <v>5.8999999999999999E-3</v>
      </c>
    </row>
    <row r="33" spans="3:5" x14ac:dyDescent="0.3">
      <c r="C33" s="66">
        <v>36892</v>
      </c>
      <c r="D33" s="69">
        <v>7.7000000000000002E-3</v>
      </c>
      <c r="E33" s="70">
        <v>5.7000000000000002E-3</v>
      </c>
    </row>
    <row r="34" spans="3:5" x14ac:dyDescent="0.3">
      <c r="C34" s="66">
        <v>36923</v>
      </c>
      <c r="D34" s="69">
        <v>4.8999999999999998E-3</v>
      </c>
      <c r="E34" s="70">
        <v>4.5999999999999999E-3</v>
      </c>
    </row>
    <row r="35" spans="3:5" x14ac:dyDescent="0.3">
      <c r="C35" s="66">
        <v>36951</v>
      </c>
      <c r="D35" s="69">
        <v>4.7999999999999996E-3</v>
      </c>
      <c r="E35" s="70">
        <v>3.8E-3</v>
      </c>
    </row>
    <row r="36" spans="3:5" x14ac:dyDescent="0.3">
      <c r="C36" s="66">
        <v>36982</v>
      </c>
      <c r="D36" s="69">
        <v>8.3999999999999995E-3</v>
      </c>
      <c r="E36" s="70">
        <v>5.7999999999999996E-3</v>
      </c>
    </row>
    <row r="37" spans="3:5" x14ac:dyDescent="0.3">
      <c r="C37" s="66">
        <v>37012</v>
      </c>
      <c r="D37" s="69">
        <v>5.7000000000000002E-3</v>
      </c>
      <c r="E37" s="70">
        <v>4.1000000000000003E-3</v>
      </c>
    </row>
    <row r="38" spans="3:5" x14ac:dyDescent="0.3">
      <c r="C38" s="66">
        <v>37043</v>
      </c>
      <c r="D38" s="69">
        <v>6.0000000000000001E-3</v>
      </c>
      <c r="E38" s="70">
        <v>5.1999999999999998E-3</v>
      </c>
    </row>
    <row r="39" spans="3:5" x14ac:dyDescent="0.3">
      <c r="C39" s="66">
        <v>37073</v>
      </c>
      <c r="D39" s="69">
        <v>1.11E-2</v>
      </c>
      <c r="E39" s="70">
        <v>1.3299999999999999E-2</v>
      </c>
    </row>
    <row r="40" spans="3:5" x14ac:dyDescent="0.3">
      <c r="C40" s="66">
        <v>37104</v>
      </c>
      <c r="D40" s="69">
        <v>7.9000000000000008E-3</v>
      </c>
      <c r="E40" s="70">
        <v>7.0000000000000001E-3</v>
      </c>
    </row>
    <row r="41" spans="3:5" x14ac:dyDescent="0.3">
      <c r="C41" s="66">
        <v>37135</v>
      </c>
      <c r="D41" s="69">
        <v>4.4000000000000003E-3</v>
      </c>
      <c r="E41" s="70">
        <v>2.8E-3</v>
      </c>
    </row>
    <row r="42" spans="3:5" x14ac:dyDescent="0.3">
      <c r="C42" s="66">
        <v>37165</v>
      </c>
      <c r="D42" s="69">
        <v>9.4000000000000004E-3</v>
      </c>
      <c r="E42" s="70">
        <v>8.3000000000000001E-3</v>
      </c>
    </row>
    <row r="43" spans="3:5" x14ac:dyDescent="0.3">
      <c r="C43" s="66">
        <v>37196</v>
      </c>
      <c r="D43" s="69">
        <v>1.29E-2</v>
      </c>
      <c r="E43" s="70">
        <v>7.1000000000000004E-3</v>
      </c>
    </row>
    <row r="44" spans="3:5" x14ac:dyDescent="0.3">
      <c r="C44" s="66">
        <v>37226</v>
      </c>
      <c r="D44" s="69">
        <v>7.4000000000000003E-3</v>
      </c>
      <c r="E44" s="70">
        <v>6.4999999999999997E-3</v>
      </c>
    </row>
    <row r="45" spans="3:5" x14ac:dyDescent="0.3">
      <c r="C45" s="66">
        <v>37257</v>
      </c>
      <c r="D45" s="69">
        <v>1.0699999999999999E-2</v>
      </c>
      <c r="E45" s="70">
        <v>5.1999999999999998E-3</v>
      </c>
    </row>
    <row r="46" spans="3:5" x14ac:dyDescent="0.3">
      <c r="C46" s="66">
        <v>37288</v>
      </c>
      <c r="D46" s="69">
        <v>3.0999999999999999E-3</v>
      </c>
      <c r="E46" s="70">
        <v>3.5999999999999999E-3</v>
      </c>
    </row>
    <row r="47" spans="3:5" x14ac:dyDescent="0.3">
      <c r="C47" s="66">
        <v>37316</v>
      </c>
      <c r="D47" s="69">
        <v>6.1999999999999998E-3</v>
      </c>
      <c r="E47" s="70">
        <v>6.0000000000000001E-3</v>
      </c>
    </row>
    <row r="48" spans="3:5" x14ac:dyDescent="0.3">
      <c r="C48" s="66">
        <v>37347</v>
      </c>
      <c r="D48" s="69">
        <v>6.7999999999999996E-3</v>
      </c>
      <c r="E48" s="70">
        <v>8.0000000000000002E-3</v>
      </c>
    </row>
    <row r="49" spans="3:5" x14ac:dyDescent="0.3">
      <c r="C49" s="66">
        <v>37377</v>
      </c>
      <c r="D49" s="69">
        <v>8.9999999999999998E-4</v>
      </c>
      <c r="E49" s="70">
        <v>2.0999999999999999E-3</v>
      </c>
    </row>
    <row r="50" spans="3:5" x14ac:dyDescent="0.3">
      <c r="C50" s="66">
        <v>37408</v>
      </c>
      <c r="D50" s="69">
        <v>6.1000000000000004E-3</v>
      </c>
      <c r="E50" s="70">
        <v>4.1999999999999997E-3</v>
      </c>
    </row>
    <row r="51" spans="3:5" x14ac:dyDescent="0.3">
      <c r="C51" s="66">
        <v>37438</v>
      </c>
      <c r="D51" s="69">
        <v>1.15E-2</v>
      </c>
      <c r="E51" s="70">
        <v>1.1900000000000001E-2</v>
      </c>
    </row>
    <row r="52" spans="3:5" x14ac:dyDescent="0.3">
      <c r="C52" s="66">
        <v>37469</v>
      </c>
      <c r="D52" s="69">
        <v>8.6E-3</v>
      </c>
      <c r="E52" s="70">
        <v>6.4999999999999997E-3</v>
      </c>
    </row>
    <row r="53" spans="3:5" x14ac:dyDescent="0.3">
      <c r="C53" s="66">
        <v>37500</v>
      </c>
      <c r="D53" s="69">
        <v>8.3000000000000001E-3</v>
      </c>
      <c r="E53" s="70">
        <v>7.1999999999999998E-3</v>
      </c>
    </row>
    <row r="54" spans="3:5" x14ac:dyDescent="0.3">
      <c r="C54" s="66">
        <v>37530</v>
      </c>
      <c r="D54" s="69">
        <v>1.5699999999999999E-2</v>
      </c>
      <c r="E54" s="70">
        <v>1.3100000000000001E-2</v>
      </c>
    </row>
    <row r="55" spans="3:5" x14ac:dyDescent="0.3">
      <c r="C55" s="66">
        <v>37561</v>
      </c>
      <c r="D55" s="69">
        <v>3.39E-2</v>
      </c>
      <c r="E55" s="70">
        <v>3.0200000000000001E-2</v>
      </c>
    </row>
    <row r="56" spans="3:5" x14ac:dyDescent="0.3">
      <c r="C56" s="66">
        <v>37591</v>
      </c>
      <c r="D56" s="69">
        <v>2.7E-2</v>
      </c>
      <c r="E56" s="70">
        <v>2.1000000000000001E-2</v>
      </c>
    </row>
    <row r="57" spans="3:5" x14ac:dyDescent="0.3">
      <c r="C57" s="66">
        <v>37622</v>
      </c>
      <c r="D57" s="69">
        <v>2.47E-2</v>
      </c>
      <c r="E57" s="70">
        <v>2.2499999999999999E-2</v>
      </c>
    </row>
    <row r="58" spans="3:5" x14ac:dyDescent="0.3">
      <c r="C58" s="66">
        <v>37653</v>
      </c>
      <c r="D58" s="69">
        <v>1.46E-2</v>
      </c>
      <c r="E58" s="70">
        <v>1.5699999999999999E-2</v>
      </c>
    </row>
    <row r="59" spans="3:5" x14ac:dyDescent="0.3">
      <c r="C59" s="66">
        <v>37681</v>
      </c>
      <c r="D59" s="69">
        <v>1.37E-2</v>
      </c>
      <c r="E59" s="70">
        <v>1.23E-2</v>
      </c>
    </row>
    <row r="60" spans="3:5" x14ac:dyDescent="0.3">
      <c r="C60" s="66">
        <v>37712</v>
      </c>
      <c r="D60" s="69">
        <v>1.38E-2</v>
      </c>
      <c r="E60" s="70">
        <v>9.7000000000000003E-3</v>
      </c>
    </row>
    <row r="61" spans="3:5" x14ac:dyDescent="0.3">
      <c r="C61" s="66">
        <v>37742</v>
      </c>
      <c r="D61" s="69">
        <v>9.9000000000000008E-3</v>
      </c>
      <c r="E61" s="70">
        <v>6.1000000000000004E-3</v>
      </c>
    </row>
    <row r="62" spans="3:5" x14ac:dyDescent="0.3">
      <c r="C62" s="66">
        <v>37773</v>
      </c>
      <c r="D62" s="69">
        <v>-5.9999999999999995E-4</v>
      </c>
      <c r="E62" s="70">
        <v>-1.5E-3</v>
      </c>
    </row>
    <row r="63" spans="3:5" x14ac:dyDescent="0.3">
      <c r="C63" s="66">
        <v>37803</v>
      </c>
      <c r="D63" s="69">
        <v>4.0000000000000002E-4</v>
      </c>
      <c r="E63" s="70">
        <v>2E-3</v>
      </c>
    </row>
    <row r="64" spans="3:5" x14ac:dyDescent="0.3">
      <c r="C64" s="66">
        <v>37834</v>
      </c>
      <c r="D64" s="69">
        <v>1.8E-3</v>
      </c>
      <c r="E64" s="70">
        <v>3.3999999999999998E-3</v>
      </c>
    </row>
    <row r="65" spans="3:5" x14ac:dyDescent="0.3">
      <c r="C65" s="66">
        <v>37865</v>
      </c>
      <c r="D65" s="69">
        <v>8.2000000000000007E-3</v>
      </c>
      <c r="E65" s="70">
        <v>7.7999999999999996E-3</v>
      </c>
    </row>
    <row r="66" spans="3:5" x14ac:dyDescent="0.3">
      <c r="C66" s="66">
        <v>37895</v>
      </c>
      <c r="D66" s="69">
        <v>3.8999999999999998E-3</v>
      </c>
      <c r="E66" s="70">
        <v>2.8999999999999998E-3</v>
      </c>
    </row>
    <row r="67" spans="3:5" x14ac:dyDescent="0.3">
      <c r="C67" s="66">
        <v>37926</v>
      </c>
      <c r="D67" s="69">
        <v>3.7000000000000002E-3</v>
      </c>
      <c r="E67" s="70">
        <v>3.3999999999999998E-3</v>
      </c>
    </row>
    <row r="68" spans="3:5" x14ac:dyDescent="0.3">
      <c r="C68" s="66">
        <v>37956</v>
      </c>
      <c r="D68" s="69">
        <v>5.4000000000000003E-3</v>
      </c>
      <c r="E68" s="70">
        <v>5.1999999999999998E-3</v>
      </c>
    </row>
    <row r="69" spans="3:5" x14ac:dyDescent="0.3">
      <c r="C69" s="66">
        <v>37987</v>
      </c>
      <c r="D69" s="69">
        <v>8.3000000000000001E-3</v>
      </c>
      <c r="E69" s="70">
        <v>7.6E-3</v>
      </c>
    </row>
    <row r="70" spans="3:5" x14ac:dyDescent="0.3">
      <c r="C70" s="66">
        <v>38018</v>
      </c>
      <c r="D70" s="69">
        <v>3.8999999999999998E-3</v>
      </c>
      <c r="E70" s="70">
        <v>6.1000000000000004E-3</v>
      </c>
    </row>
    <row r="71" spans="3:5" x14ac:dyDescent="0.3">
      <c r="C71" s="66">
        <v>38047</v>
      </c>
      <c r="D71" s="69">
        <v>5.7000000000000002E-3</v>
      </c>
      <c r="E71" s="70">
        <v>4.7000000000000002E-3</v>
      </c>
    </row>
    <row r="72" spans="3:5" x14ac:dyDescent="0.3">
      <c r="C72" s="66">
        <v>38078</v>
      </c>
      <c r="D72" s="69">
        <v>4.1000000000000003E-3</v>
      </c>
      <c r="E72" s="70">
        <v>3.7000000000000002E-3</v>
      </c>
    </row>
    <row r="73" spans="3:5" x14ac:dyDescent="0.3">
      <c r="C73" s="66">
        <v>38108</v>
      </c>
      <c r="D73" s="69">
        <v>4.0000000000000001E-3</v>
      </c>
      <c r="E73" s="70">
        <v>5.1000000000000004E-3</v>
      </c>
    </row>
    <row r="74" spans="3:5" x14ac:dyDescent="0.3">
      <c r="C74" s="66">
        <v>38139</v>
      </c>
      <c r="D74" s="69">
        <v>5.0000000000000001E-3</v>
      </c>
      <c r="E74" s="70">
        <v>7.1000000000000004E-3</v>
      </c>
    </row>
    <row r="75" spans="3:5" x14ac:dyDescent="0.3">
      <c r="C75" s="66">
        <v>38169</v>
      </c>
      <c r="D75" s="69">
        <v>7.3000000000000001E-3</v>
      </c>
      <c r="E75" s="70">
        <v>9.1000000000000004E-3</v>
      </c>
    </row>
    <row r="76" spans="3:5" x14ac:dyDescent="0.3">
      <c r="C76" s="66">
        <v>38200</v>
      </c>
      <c r="D76" s="69">
        <v>5.0000000000000001E-3</v>
      </c>
      <c r="E76" s="70">
        <v>6.8999999999999999E-3</v>
      </c>
    </row>
    <row r="77" spans="3:5" x14ac:dyDescent="0.3">
      <c r="C77" s="66">
        <v>38231</v>
      </c>
      <c r="D77" s="69">
        <v>1.6999999999999999E-3</v>
      </c>
      <c r="E77" s="70">
        <v>3.3E-3</v>
      </c>
    </row>
    <row r="78" spans="3:5" x14ac:dyDescent="0.3">
      <c r="C78" s="66">
        <v>38261</v>
      </c>
      <c r="D78" s="69">
        <v>1.6999999999999999E-3</v>
      </c>
      <c r="E78" s="70">
        <v>4.4000000000000003E-3</v>
      </c>
    </row>
    <row r="79" spans="3:5" x14ac:dyDescent="0.3">
      <c r="C79" s="66">
        <v>38292</v>
      </c>
      <c r="D79" s="69">
        <v>4.4000000000000003E-3</v>
      </c>
      <c r="E79" s="70">
        <v>6.8999999999999999E-3</v>
      </c>
    </row>
    <row r="80" spans="3:5" x14ac:dyDescent="0.3">
      <c r="C80" s="66">
        <v>38322</v>
      </c>
      <c r="D80" s="69">
        <v>8.6E-3</v>
      </c>
      <c r="E80" s="70">
        <v>8.6E-3</v>
      </c>
    </row>
    <row r="81" spans="3:5" x14ac:dyDescent="0.3">
      <c r="C81" s="66">
        <v>38353</v>
      </c>
      <c r="D81" s="69">
        <v>5.7000000000000002E-3</v>
      </c>
      <c r="E81" s="70">
        <v>5.7999999999999996E-3</v>
      </c>
    </row>
    <row r="82" spans="3:5" x14ac:dyDescent="0.3">
      <c r="C82" s="66">
        <v>38384</v>
      </c>
      <c r="D82" s="69">
        <v>4.4000000000000003E-3</v>
      </c>
      <c r="E82" s="70">
        <v>5.8999999999999999E-3</v>
      </c>
    </row>
    <row r="83" spans="3:5" x14ac:dyDescent="0.3">
      <c r="C83" s="66">
        <v>38412</v>
      </c>
      <c r="D83" s="69">
        <v>7.3000000000000001E-3</v>
      </c>
      <c r="E83" s="70">
        <v>6.1000000000000004E-3</v>
      </c>
    </row>
    <row r="84" spans="3:5" x14ac:dyDescent="0.3">
      <c r="C84" s="66">
        <v>38443</v>
      </c>
      <c r="D84" s="69">
        <v>9.1000000000000004E-3</v>
      </c>
      <c r="E84" s="70">
        <v>8.6999999999999994E-3</v>
      </c>
    </row>
    <row r="85" spans="3:5" x14ac:dyDescent="0.3">
      <c r="C85" s="66">
        <v>38473</v>
      </c>
      <c r="D85" s="69">
        <v>7.0000000000000001E-3</v>
      </c>
      <c r="E85" s="70">
        <v>4.8999999999999998E-3</v>
      </c>
    </row>
    <row r="86" spans="3:5" x14ac:dyDescent="0.3">
      <c r="C86" s="66">
        <v>38504</v>
      </c>
      <c r="D86" s="69">
        <v>-1.1000000000000001E-3</v>
      </c>
      <c r="E86" s="70">
        <v>-2.0000000000000001E-4</v>
      </c>
    </row>
    <row r="87" spans="3:5" x14ac:dyDescent="0.3">
      <c r="C87" s="66">
        <v>38534</v>
      </c>
      <c r="D87" s="69">
        <v>2.9999999999999997E-4</v>
      </c>
      <c r="E87" s="70">
        <v>2.5000000000000001E-3</v>
      </c>
    </row>
    <row r="88" spans="3:5" x14ac:dyDescent="0.3">
      <c r="C88" s="66">
        <v>38565</v>
      </c>
      <c r="D88" s="69">
        <v>0</v>
      </c>
      <c r="E88" s="70">
        <v>1.6999999999999999E-3</v>
      </c>
    </row>
    <row r="89" spans="3:5" x14ac:dyDescent="0.3">
      <c r="C89" s="66">
        <v>38596</v>
      </c>
      <c r="D89" s="69">
        <v>1.5E-3</v>
      </c>
      <c r="E89" s="70">
        <v>3.5000000000000001E-3</v>
      </c>
    </row>
    <row r="90" spans="3:5" x14ac:dyDescent="0.3">
      <c r="C90" s="66">
        <v>38626</v>
      </c>
      <c r="D90" s="69">
        <v>5.7999999999999996E-3</v>
      </c>
      <c r="E90" s="70">
        <v>7.4999999999999997E-3</v>
      </c>
    </row>
    <row r="91" spans="3:5" x14ac:dyDescent="0.3">
      <c r="C91" s="66">
        <v>38657</v>
      </c>
      <c r="D91" s="69">
        <v>5.4000000000000003E-3</v>
      </c>
      <c r="E91" s="70">
        <v>5.4999999999999997E-3</v>
      </c>
    </row>
    <row r="92" spans="3:5" x14ac:dyDescent="0.3">
      <c r="C92" s="66">
        <v>38687</v>
      </c>
      <c r="D92" s="69">
        <v>4.0000000000000001E-3</v>
      </c>
      <c r="E92" s="70">
        <v>3.5999999999999999E-3</v>
      </c>
    </row>
    <row r="93" spans="3:5" x14ac:dyDescent="0.3">
      <c r="C93" s="66">
        <v>38718</v>
      </c>
      <c r="D93" s="69">
        <v>3.8E-3</v>
      </c>
      <c r="E93" s="70">
        <v>5.8999999999999999E-3</v>
      </c>
    </row>
    <row r="94" spans="3:5" x14ac:dyDescent="0.3">
      <c r="C94" s="66">
        <v>38749</v>
      </c>
      <c r="D94" s="69">
        <v>2.3E-3</v>
      </c>
      <c r="E94" s="70">
        <v>4.1000000000000003E-3</v>
      </c>
    </row>
    <row r="95" spans="3:5" x14ac:dyDescent="0.3">
      <c r="C95" s="66">
        <v>38777</v>
      </c>
      <c r="D95" s="69">
        <v>2.7000000000000001E-3</v>
      </c>
      <c r="E95" s="70">
        <v>4.3E-3</v>
      </c>
    </row>
    <row r="96" spans="3:5" x14ac:dyDescent="0.3">
      <c r="C96" s="66">
        <v>38808</v>
      </c>
      <c r="D96" s="69">
        <v>1.1999999999999999E-3</v>
      </c>
      <c r="E96" s="70">
        <v>2.0999999999999999E-3</v>
      </c>
    </row>
    <row r="97" spans="3:5" x14ac:dyDescent="0.3">
      <c r="C97" s="66">
        <v>38838</v>
      </c>
      <c r="D97" s="69">
        <v>1.2999999999999999E-3</v>
      </c>
      <c r="E97" s="70">
        <v>1E-3</v>
      </c>
    </row>
    <row r="98" spans="3:5" x14ac:dyDescent="0.3">
      <c r="C98" s="66">
        <v>38869</v>
      </c>
      <c r="D98" s="69">
        <v>-6.9999999999999999E-4</v>
      </c>
      <c r="E98" s="70">
        <v>-2.0999999999999999E-3</v>
      </c>
    </row>
    <row r="99" spans="3:5" x14ac:dyDescent="0.3">
      <c r="C99" s="66">
        <v>38899</v>
      </c>
      <c r="D99" s="69">
        <v>1.1000000000000001E-3</v>
      </c>
      <c r="E99" s="70">
        <v>1.9E-3</v>
      </c>
    </row>
    <row r="100" spans="3:5" x14ac:dyDescent="0.3">
      <c r="C100" s="66">
        <v>38930</v>
      </c>
      <c r="D100" s="69">
        <v>-2.0000000000000001E-4</v>
      </c>
      <c r="E100" s="70">
        <v>5.0000000000000001E-4</v>
      </c>
    </row>
    <row r="101" spans="3:5" x14ac:dyDescent="0.3">
      <c r="C101" s="66">
        <v>38961</v>
      </c>
      <c r="D101" s="69">
        <v>1.6000000000000001E-3</v>
      </c>
      <c r="E101" s="70">
        <v>2.0999999999999999E-3</v>
      </c>
    </row>
    <row r="102" spans="3:5" x14ac:dyDescent="0.3">
      <c r="C102" s="66">
        <v>38991</v>
      </c>
      <c r="D102" s="69">
        <v>4.3E-3</v>
      </c>
      <c r="E102" s="70">
        <v>3.3E-3</v>
      </c>
    </row>
    <row r="103" spans="3:5" x14ac:dyDescent="0.3">
      <c r="C103" s="66">
        <v>39022</v>
      </c>
      <c r="D103" s="69">
        <v>4.1999999999999997E-3</v>
      </c>
      <c r="E103" s="70">
        <v>3.0999999999999999E-3</v>
      </c>
    </row>
    <row r="104" spans="3:5" x14ac:dyDescent="0.3">
      <c r="C104" s="66">
        <v>39052</v>
      </c>
      <c r="D104" s="69">
        <v>6.1999999999999998E-3</v>
      </c>
      <c r="E104" s="70">
        <v>4.7999999999999996E-3</v>
      </c>
    </row>
    <row r="105" spans="3:5" x14ac:dyDescent="0.3">
      <c r="C105" s="66">
        <v>39083</v>
      </c>
      <c r="D105" s="69">
        <v>4.8999999999999998E-3</v>
      </c>
      <c r="E105" s="70">
        <v>4.4000000000000003E-3</v>
      </c>
    </row>
    <row r="106" spans="3:5" x14ac:dyDescent="0.3">
      <c r="C106" s="66">
        <v>39114</v>
      </c>
      <c r="D106" s="69">
        <v>4.1999999999999997E-3</v>
      </c>
      <c r="E106" s="70">
        <v>4.4000000000000003E-3</v>
      </c>
    </row>
    <row r="107" spans="3:5" x14ac:dyDescent="0.3">
      <c r="C107" s="66">
        <v>39142</v>
      </c>
      <c r="D107" s="69">
        <v>4.4000000000000003E-3</v>
      </c>
      <c r="E107" s="70">
        <v>3.7000000000000002E-3</v>
      </c>
    </row>
    <row r="108" spans="3:5" x14ac:dyDescent="0.3">
      <c r="C108" s="66">
        <v>39173</v>
      </c>
      <c r="D108" s="69">
        <v>2.5999999999999999E-3</v>
      </c>
      <c r="E108" s="70">
        <v>2.5000000000000001E-3</v>
      </c>
    </row>
    <row r="109" spans="3:5" x14ac:dyDescent="0.3">
      <c r="C109" s="66">
        <v>39203</v>
      </c>
      <c r="D109" s="69">
        <v>2.5999999999999999E-3</v>
      </c>
      <c r="E109" s="70">
        <v>2.8E-3</v>
      </c>
    </row>
    <row r="110" spans="3:5" x14ac:dyDescent="0.3">
      <c r="C110" s="66">
        <v>39234</v>
      </c>
      <c r="D110" s="69">
        <v>3.0999999999999999E-3</v>
      </c>
      <c r="E110" s="70">
        <v>2.8E-3</v>
      </c>
    </row>
    <row r="111" spans="3:5" x14ac:dyDescent="0.3">
      <c r="C111" s="66">
        <v>39264</v>
      </c>
      <c r="D111" s="69">
        <v>3.2000000000000002E-3</v>
      </c>
      <c r="E111" s="70">
        <v>2.3999999999999998E-3</v>
      </c>
    </row>
    <row r="112" spans="3:5" x14ac:dyDescent="0.3">
      <c r="C112" s="66">
        <v>39295</v>
      </c>
      <c r="D112" s="69">
        <v>5.8999999999999999E-3</v>
      </c>
      <c r="E112" s="70">
        <v>4.7000000000000002E-3</v>
      </c>
    </row>
    <row r="113" spans="3:5" x14ac:dyDescent="0.3">
      <c r="C113" s="66">
        <v>39326</v>
      </c>
      <c r="D113" s="69">
        <v>2.5000000000000001E-3</v>
      </c>
      <c r="E113" s="70">
        <v>1.8E-3</v>
      </c>
    </row>
    <row r="114" spans="3:5" x14ac:dyDescent="0.3">
      <c r="C114" s="66">
        <v>39356</v>
      </c>
      <c r="D114" s="69">
        <v>3.0000000000000001E-3</v>
      </c>
      <c r="E114" s="70">
        <v>3.0000000000000001E-3</v>
      </c>
    </row>
    <row r="115" spans="3:5" x14ac:dyDescent="0.3">
      <c r="C115" s="66">
        <v>39387</v>
      </c>
      <c r="D115" s="69">
        <v>4.3E-3</v>
      </c>
      <c r="E115" s="70">
        <v>3.8E-3</v>
      </c>
    </row>
    <row r="116" spans="3:5" x14ac:dyDescent="0.3">
      <c r="C116" s="66">
        <v>39417</v>
      </c>
      <c r="D116" s="69">
        <v>9.7000000000000003E-3</v>
      </c>
      <c r="E116" s="70">
        <v>7.4000000000000003E-3</v>
      </c>
    </row>
    <row r="117" spans="3:5" x14ac:dyDescent="0.3">
      <c r="C117" s="66">
        <v>39448</v>
      </c>
      <c r="D117" s="69">
        <v>6.8999999999999999E-3</v>
      </c>
      <c r="E117" s="70">
        <v>5.4000000000000003E-3</v>
      </c>
    </row>
    <row r="118" spans="3:5" x14ac:dyDescent="0.3">
      <c r="C118" s="66">
        <v>39479</v>
      </c>
      <c r="D118" s="69">
        <v>4.7999999999999996E-3</v>
      </c>
      <c r="E118" s="70">
        <v>4.8999999999999998E-3</v>
      </c>
    </row>
    <row r="119" spans="3:5" x14ac:dyDescent="0.3">
      <c r="C119" s="66">
        <v>39508</v>
      </c>
      <c r="D119" s="69">
        <v>5.1000000000000004E-3</v>
      </c>
      <c r="E119" s="70">
        <v>4.7999999999999996E-3</v>
      </c>
    </row>
    <row r="120" spans="3:5" x14ac:dyDescent="0.3">
      <c r="C120" s="66">
        <v>39539</v>
      </c>
      <c r="D120" s="69">
        <v>6.4000000000000003E-3</v>
      </c>
      <c r="E120" s="70">
        <v>5.4999999999999997E-3</v>
      </c>
    </row>
    <row r="121" spans="3:5" x14ac:dyDescent="0.3">
      <c r="C121" s="66">
        <v>39569</v>
      </c>
      <c r="D121" s="69">
        <v>9.5999999999999992E-3</v>
      </c>
      <c r="E121" s="70">
        <v>7.9000000000000008E-3</v>
      </c>
    </row>
    <row r="122" spans="3:5" x14ac:dyDescent="0.3">
      <c r="C122" s="66">
        <v>39600</v>
      </c>
      <c r="D122" s="69">
        <v>9.1000000000000004E-3</v>
      </c>
      <c r="E122" s="70">
        <v>7.4000000000000003E-3</v>
      </c>
    </row>
    <row r="123" spans="3:5" x14ac:dyDescent="0.3">
      <c r="C123" s="66">
        <v>39630</v>
      </c>
      <c r="D123" s="69">
        <v>5.7999999999999996E-3</v>
      </c>
      <c r="E123" s="70">
        <v>5.3E-3</v>
      </c>
    </row>
    <row r="124" spans="3:5" x14ac:dyDescent="0.3">
      <c r="C124" s="66">
        <v>39661</v>
      </c>
      <c r="D124" s="69">
        <v>2.0999999999999999E-3</v>
      </c>
      <c r="E124" s="70">
        <v>2.8E-3</v>
      </c>
    </row>
    <row r="125" spans="3:5" x14ac:dyDescent="0.3">
      <c r="C125" s="66">
        <v>39692</v>
      </c>
      <c r="D125" s="69">
        <v>1.5E-3</v>
      </c>
      <c r="E125" s="70">
        <v>2.5999999999999999E-3</v>
      </c>
    </row>
    <row r="126" spans="3:5" x14ac:dyDescent="0.3">
      <c r="C126" s="66">
        <v>39722</v>
      </c>
      <c r="D126" s="69">
        <v>5.0000000000000001E-3</v>
      </c>
      <c r="E126" s="70">
        <v>4.4999999999999997E-3</v>
      </c>
    </row>
    <row r="127" spans="3:5" x14ac:dyDescent="0.3">
      <c r="C127" s="66">
        <v>39753</v>
      </c>
      <c r="D127" s="69">
        <v>3.8E-3</v>
      </c>
      <c r="E127" s="70">
        <v>3.5999999999999999E-3</v>
      </c>
    </row>
    <row r="128" spans="3:5" x14ac:dyDescent="0.3">
      <c r="C128" s="66">
        <v>39783</v>
      </c>
      <c r="D128" s="69">
        <v>2.8999999999999998E-3</v>
      </c>
      <c r="E128" s="70">
        <v>2.8E-3</v>
      </c>
    </row>
    <row r="129" spans="3:5" x14ac:dyDescent="0.3">
      <c r="C129" s="66">
        <v>39814</v>
      </c>
      <c r="D129" s="69">
        <v>6.4000000000000003E-3</v>
      </c>
      <c r="E129" s="70">
        <v>4.7999999999999996E-3</v>
      </c>
    </row>
    <row r="130" spans="3:5" x14ac:dyDescent="0.3">
      <c r="C130" s="66">
        <v>39845</v>
      </c>
      <c r="D130" s="69">
        <v>3.0999999999999999E-3</v>
      </c>
      <c r="E130" s="70">
        <v>5.4999999999999997E-3</v>
      </c>
    </row>
    <row r="131" spans="3:5" x14ac:dyDescent="0.3">
      <c r="C131" s="66">
        <v>39873</v>
      </c>
      <c r="D131" s="69">
        <v>2E-3</v>
      </c>
      <c r="E131" s="70">
        <v>2E-3</v>
      </c>
    </row>
    <row r="132" spans="3:5" x14ac:dyDescent="0.3">
      <c r="C132" s="66">
        <v>39904</v>
      </c>
      <c r="D132" s="69">
        <v>5.4999999999999997E-3</v>
      </c>
      <c r="E132" s="70">
        <v>4.7999999999999996E-3</v>
      </c>
    </row>
    <row r="133" spans="3:5" x14ac:dyDescent="0.3">
      <c r="C133" s="66">
        <v>39934</v>
      </c>
      <c r="D133" s="69">
        <v>6.0000000000000001E-3</v>
      </c>
      <c r="E133" s="70">
        <v>4.7000000000000002E-3</v>
      </c>
    </row>
    <row r="134" spans="3:5" x14ac:dyDescent="0.3">
      <c r="C134" s="66">
        <v>39965</v>
      </c>
      <c r="D134" s="69">
        <v>4.1999999999999997E-3</v>
      </c>
      <c r="E134" s="70">
        <v>3.5999999999999999E-3</v>
      </c>
    </row>
    <row r="135" spans="3:5" x14ac:dyDescent="0.3">
      <c r="C135" s="66">
        <v>39995</v>
      </c>
      <c r="D135" s="69">
        <v>2.3E-3</v>
      </c>
      <c r="E135" s="70">
        <v>2.3999999999999998E-3</v>
      </c>
    </row>
    <row r="136" spans="3:5" x14ac:dyDescent="0.3">
      <c r="C136" s="66">
        <v>40026</v>
      </c>
      <c r="D136" s="69">
        <v>8.0000000000000004E-4</v>
      </c>
      <c r="E136" s="70">
        <v>1.5E-3</v>
      </c>
    </row>
    <row r="137" spans="3:5" x14ac:dyDescent="0.3">
      <c r="C137" s="66">
        <v>40057</v>
      </c>
      <c r="D137" s="69">
        <v>1.6000000000000001E-3</v>
      </c>
      <c r="E137" s="70">
        <v>2.3999999999999998E-3</v>
      </c>
    </row>
    <row r="138" spans="3:5" x14ac:dyDescent="0.3">
      <c r="C138" s="66">
        <v>40087</v>
      </c>
      <c r="D138" s="69">
        <v>2.3999999999999998E-3</v>
      </c>
      <c r="E138" s="70">
        <v>2.8E-3</v>
      </c>
    </row>
    <row r="139" spans="3:5" x14ac:dyDescent="0.3">
      <c r="C139" s="66">
        <v>40118</v>
      </c>
      <c r="D139" s="69">
        <v>3.7000000000000002E-3</v>
      </c>
      <c r="E139" s="70">
        <v>4.1000000000000003E-3</v>
      </c>
    </row>
    <row r="140" spans="3:5" x14ac:dyDescent="0.3">
      <c r="C140" s="66">
        <v>40148</v>
      </c>
      <c r="D140" s="69">
        <v>2.3999999999999998E-3</v>
      </c>
      <c r="E140" s="70">
        <v>3.7000000000000002E-3</v>
      </c>
    </row>
    <row r="141" spans="3:5" x14ac:dyDescent="0.3">
      <c r="C141" s="66">
        <v>40179</v>
      </c>
      <c r="D141" s="69">
        <v>8.8000000000000005E-3</v>
      </c>
      <c r="E141" s="70">
        <v>7.4999999999999997E-3</v>
      </c>
    </row>
    <row r="142" spans="3:5" x14ac:dyDescent="0.3">
      <c r="C142" s="66">
        <v>40210</v>
      </c>
      <c r="D142" s="69">
        <v>7.0000000000000001E-3</v>
      </c>
      <c r="E142" s="70">
        <v>7.7999999999999996E-3</v>
      </c>
    </row>
    <row r="143" spans="3:5" x14ac:dyDescent="0.3">
      <c r="C143" s="66">
        <v>40238</v>
      </c>
      <c r="D143" s="69">
        <v>7.1000000000000004E-3</v>
      </c>
      <c r="E143" s="70">
        <v>5.1999999999999998E-3</v>
      </c>
    </row>
    <row r="144" spans="3:5" x14ac:dyDescent="0.3">
      <c r="C144" s="66">
        <v>40269</v>
      </c>
      <c r="D144" s="69">
        <v>7.3000000000000001E-3</v>
      </c>
      <c r="E144" s="70">
        <v>5.7000000000000002E-3</v>
      </c>
    </row>
    <row r="145" spans="3:5" x14ac:dyDescent="0.3">
      <c r="C145" s="66">
        <v>40299</v>
      </c>
      <c r="D145" s="69">
        <v>4.3E-3</v>
      </c>
      <c r="E145" s="70">
        <v>4.3E-3</v>
      </c>
    </row>
    <row r="146" spans="3:5" x14ac:dyDescent="0.3">
      <c r="C146" s="66">
        <v>40330</v>
      </c>
      <c r="D146" s="69">
        <v>-1.1000000000000001E-3</v>
      </c>
      <c r="E146" s="70">
        <v>0</v>
      </c>
    </row>
    <row r="147" spans="3:5" x14ac:dyDescent="0.3">
      <c r="C147" s="66">
        <v>40360</v>
      </c>
      <c r="D147" s="69">
        <v>-6.9999999999999999E-4</v>
      </c>
      <c r="E147" s="70">
        <v>1E-4</v>
      </c>
    </row>
    <row r="148" spans="3:5" x14ac:dyDescent="0.3">
      <c r="C148" s="66">
        <v>40391</v>
      </c>
      <c r="D148" s="69">
        <v>-6.9999999999999999E-4</v>
      </c>
      <c r="E148" s="70">
        <v>4.0000000000000002E-4</v>
      </c>
    </row>
    <row r="149" spans="3:5" x14ac:dyDescent="0.3">
      <c r="C149" s="66">
        <v>40422</v>
      </c>
      <c r="D149" s="69">
        <v>5.4000000000000003E-3</v>
      </c>
      <c r="E149" s="70">
        <v>4.4999999999999997E-3</v>
      </c>
    </row>
    <row r="150" spans="3:5" x14ac:dyDescent="0.3">
      <c r="C150" s="66">
        <v>40452</v>
      </c>
      <c r="D150" s="69">
        <v>9.1999999999999998E-3</v>
      </c>
      <c r="E150" s="70">
        <v>7.4999999999999997E-3</v>
      </c>
    </row>
    <row r="151" spans="3:5" x14ac:dyDescent="0.3">
      <c r="C151" s="66">
        <v>40483</v>
      </c>
      <c r="D151" s="69">
        <v>1.03E-2</v>
      </c>
      <c r="E151" s="70">
        <v>8.3000000000000001E-3</v>
      </c>
    </row>
    <row r="152" spans="3:5" x14ac:dyDescent="0.3">
      <c r="C152" s="66">
        <v>40513</v>
      </c>
      <c r="D152" s="69">
        <v>6.0000000000000001E-3</v>
      </c>
      <c r="E152" s="70">
        <v>6.3E-3</v>
      </c>
    </row>
    <row r="153" spans="3:5" x14ac:dyDescent="0.3">
      <c r="C153" s="66">
        <v>40544</v>
      </c>
      <c r="D153" s="69">
        <v>9.4000000000000004E-3</v>
      </c>
      <c r="E153" s="70">
        <v>8.3000000000000001E-3</v>
      </c>
    </row>
    <row r="154" spans="3:5" x14ac:dyDescent="0.3">
      <c r="C154" s="66">
        <v>40575</v>
      </c>
      <c r="D154" s="69">
        <v>5.4000000000000003E-3</v>
      </c>
      <c r="E154" s="70">
        <v>8.0000000000000002E-3</v>
      </c>
    </row>
    <row r="155" spans="3:5" x14ac:dyDescent="0.3">
      <c r="C155" s="66">
        <v>40603</v>
      </c>
      <c r="D155" s="69">
        <v>6.6E-3</v>
      </c>
      <c r="E155" s="70">
        <v>7.9000000000000008E-3</v>
      </c>
    </row>
    <row r="156" spans="3:5" x14ac:dyDescent="0.3">
      <c r="C156" s="66">
        <v>40634</v>
      </c>
      <c r="D156" s="69">
        <v>7.1999999999999998E-3</v>
      </c>
      <c r="E156" s="70">
        <v>7.7000000000000002E-3</v>
      </c>
    </row>
    <row r="157" spans="3:5" x14ac:dyDescent="0.3">
      <c r="C157" s="66">
        <v>40664</v>
      </c>
      <c r="D157" s="69">
        <v>5.7000000000000002E-3</v>
      </c>
      <c r="E157" s="70">
        <v>4.7000000000000002E-3</v>
      </c>
    </row>
    <row r="158" spans="3:5" x14ac:dyDescent="0.3">
      <c r="C158" s="66">
        <v>40695</v>
      </c>
      <c r="D158" s="69">
        <v>2.2000000000000001E-3</v>
      </c>
      <c r="E158" s="70">
        <v>1.5E-3</v>
      </c>
    </row>
    <row r="159" spans="3:5" x14ac:dyDescent="0.3">
      <c r="C159" s="66">
        <v>40725</v>
      </c>
      <c r="D159" s="69">
        <v>0</v>
      </c>
      <c r="E159" s="70">
        <v>1.6000000000000001E-3</v>
      </c>
    </row>
    <row r="160" spans="3:5" x14ac:dyDescent="0.3">
      <c r="C160" s="66">
        <v>40756</v>
      </c>
      <c r="D160" s="69">
        <v>4.1999999999999997E-3</v>
      </c>
      <c r="E160" s="70">
        <v>3.7000000000000002E-3</v>
      </c>
    </row>
    <row r="161" spans="3:5" x14ac:dyDescent="0.3">
      <c r="C161" s="66">
        <v>40787</v>
      </c>
      <c r="D161" s="69">
        <v>4.4999999999999997E-3</v>
      </c>
      <c r="E161" s="70">
        <v>5.3E-3</v>
      </c>
    </row>
    <row r="162" spans="3:5" x14ac:dyDescent="0.3">
      <c r="C162" s="66">
        <v>40817</v>
      </c>
      <c r="D162" s="69">
        <v>3.2000000000000002E-3</v>
      </c>
      <c r="E162" s="70">
        <v>4.3E-3</v>
      </c>
    </row>
    <row r="163" spans="3:5" x14ac:dyDescent="0.3">
      <c r="C163" s="66">
        <v>40848</v>
      </c>
      <c r="D163" s="69">
        <v>5.7000000000000002E-3</v>
      </c>
      <c r="E163" s="70">
        <v>5.1999999999999998E-3</v>
      </c>
    </row>
    <row r="164" spans="3:5" x14ac:dyDescent="0.3">
      <c r="C164" s="66">
        <v>40878</v>
      </c>
      <c r="D164" s="69">
        <v>5.1000000000000004E-3</v>
      </c>
      <c r="E164" s="70">
        <v>5.0000000000000001E-3</v>
      </c>
    </row>
    <row r="165" spans="3:5" x14ac:dyDescent="0.3">
      <c r="C165" s="66">
        <v>40909</v>
      </c>
      <c r="D165" s="69">
        <v>5.1000000000000004E-3</v>
      </c>
      <c r="E165" s="70">
        <v>5.5999999999999999E-3</v>
      </c>
    </row>
    <row r="166" spans="3:5" x14ac:dyDescent="0.3">
      <c r="C166" s="66">
        <v>40940</v>
      </c>
      <c r="D166" s="69">
        <v>3.8999999999999998E-3</v>
      </c>
      <c r="E166" s="70">
        <v>4.4999999999999997E-3</v>
      </c>
    </row>
    <row r="167" spans="3:5" x14ac:dyDescent="0.3">
      <c r="C167" s="66">
        <v>40969</v>
      </c>
      <c r="D167" s="69">
        <v>1.8E-3</v>
      </c>
      <c r="E167" s="70">
        <v>2.0999999999999999E-3</v>
      </c>
    </row>
    <row r="168" spans="3:5" x14ac:dyDescent="0.3">
      <c r="C168" s="66">
        <v>41000</v>
      </c>
      <c r="D168" s="69">
        <v>6.4000000000000003E-3</v>
      </c>
      <c r="E168" s="70">
        <v>6.4000000000000003E-3</v>
      </c>
    </row>
    <row r="169" spans="3:5" x14ac:dyDescent="0.3">
      <c r="C169" s="66">
        <v>41030</v>
      </c>
      <c r="D169" s="69">
        <v>5.4999999999999997E-3</v>
      </c>
      <c r="E169" s="70">
        <v>3.5999999999999999E-3</v>
      </c>
    </row>
    <row r="170" spans="3:5" x14ac:dyDescent="0.3">
      <c r="C170" s="66">
        <v>41061</v>
      </c>
      <c r="D170" s="69">
        <v>2.5999999999999999E-3</v>
      </c>
      <c r="E170" s="70">
        <v>8.0000000000000004E-4</v>
      </c>
    </row>
    <row r="171" spans="3:5" x14ac:dyDescent="0.3">
      <c r="C171" s="66">
        <v>41091</v>
      </c>
      <c r="D171" s="69">
        <v>4.3E-3</v>
      </c>
      <c r="E171" s="70">
        <v>4.3E-3</v>
      </c>
    </row>
    <row r="172" spans="3:5" x14ac:dyDescent="0.3">
      <c r="C172" s="66">
        <v>41122</v>
      </c>
      <c r="D172" s="69">
        <v>4.4999999999999997E-3</v>
      </c>
      <c r="E172" s="70">
        <v>4.1000000000000003E-3</v>
      </c>
    </row>
    <row r="173" spans="3:5" x14ac:dyDescent="0.3">
      <c r="C173" s="66">
        <v>41153</v>
      </c>
      <c r="D173" s="69">
        <v>6.3E-3</v>
      </c>
      <c r="E173" s="70">
        <v>5.7000000000000002E-3</v>
      </c>
    </row>
    <row r="174" spans="3:5" x14ac:dyDescent="0.3">
      <c r="C174" s="66">
        <v>41183</v>
      </c>
      <c r="D174" s="69">
        <v>7.1000000000000004E-3</v>
      </c>
      <c r="E174" s="70">
        <v>5.8999999999999999E-3</v>
      </c>
    </row>
    <row r="175" spans="3:5" x14ac:dyDescent="0.3">
      <c r="C175" s="66">
        <v>41214</v>
      </c>
      <c r="D175" s="69">
        <v>5.4000000000000003E-3</v>
      </c>
      <c r="E175" s="70">
        <v>6.0000000000000001E-3</v>
      </c>
    </row>
    <row r="176" spans="3:5" x14ac:dyDescent="0.3">
      <c r="C176" s="66">
        <v>41244</v>
      </c>
      <c r="D176" s="69">
        <v>7.4000000000000003E-3</v>
      </c>
      <c r="E176" s="70">
        <v>7.9000000000000008E-3</v>
      </c>
    </row>
    <row r="177" spans="3:5" x14ac:dyDescent="0.3">
      <c r="C177" s="66">
        <v>41275</v>
      </c>
      <c r="D177" s="69">
        <v>9.1999999999999998E-3</v>
      </c>
      <c r="E177" s="70">
        <v>8.6E-3</v>
      </c>
    </row>
    <row r="178" spans="3:5" x14ac:dyDescent="0.3">
      <c r="C178" s="66">
        <v>41306</v>
      </c>
      <c r="D178" s="69">
        <v>5.1999999999999998E-3</v>
      </c>
      <c r="E178" s="70">
        <v>6.0000000000000001E-3</v>
      </c>
    </row>
    <row r="179" spans="3:5" x14ac:dyDescent="0.3">
      <c r="C179" s="66">
        <v>41334</v>
      </c>
      <c r="D179" s="69">
        <v>6.0000000000000001E-3</v>
      </c>
      <c r="E179" s="70">
        <v>4.7000000000000002E-3</v>
      </c>
    </row>
    <row r="180" spans="3:5" x14ac:dyDescent="0.3">
      <c r="C180" s="66">
        <v>41365</v>
      </c>
      <c r="D180" s="69">
        <v>5.8999999999999999E-3</v>
      </c>
      <c r="E180" s="70">
        <v>5.4999999999999997E-3</v>
      </c>
    </row>
    <row r="181" spans="3:5" x14ac:dyDescent="0.3">
      <c r="C181" s="66">
        <v>41395</v>
      </c>
      <c r="D181" s="69">
        <v>3.5000000000000001E-3</v>
      </c>
      <c r="E181" s="70">
        <v>3.7000000000000002E-3</v>
      </c>
    </row>
    <row r="182" spans="3:5" x14ac:dyDescent="0.3">
      <c r="C182" s="66">
        <v>41426</v>
      </c>
      <c r="D182" s="69">
        <v>2.8E-3</v>
      </c>
      <c r="E182" s="70">
        <v>2.5999999999999999E-3</v>
      </c>
    </row>
    <row r="183" spans="3:5" x14ac:dyDescent="0.3">
      <c r="C183" s="66">
        <v>41456</v>
      </c>
      <c r="D183" s="69">
        <v>-1.2999999999999999E-3</v>
      </c>
      <c r="E183" s="70">
        <v>2.9999999999999997E-4</v>
      </c>
    </row>
    <row r="184" spans="3:5" x14ac:dyDescent="0.3">
      <c r="C184" s="66">
        <v>41487</v>
      </c>
      <c r="D184" s="69">
        <v>1.6000000000000001E-3</v>
      </c>
      <c r="E184" s="70">
        <v>2.3999999999999998E-3</v>
      </c>
    </row>
    <row r="185" spans="3:5" x14ac:dyDescent="0.3">
      <c r="C185" s="66">
        <v>41518</v>
      </c>
      <c r="D185" s="69">
        <v>2.7000000000000001E-3</v>
      </c>
      <c r="E185" s="70">
        <v>3.5000000000000001E-3</v>
      </c>
    </row>
    <row r="186" spans="3:5" x14ac:dyDescent="0.3">
      <c r="C186" s="66">
        <v>41548</v>
      </c>
      <c r="D186" s="69">
        <v>6.1000000000000004E-3</v>
      </c>
      <c r="E186" s="70">
        <v>5.7000000000000002E-3</v>
      </c>
    </row>
    <row r="187" spans="3:5" x14ac:dyDescent="0.3">
      <c r="C187" s="66">
        <v>41579</v>
      </c>
      <c r="D187" s="69">
        <v>5.4000000000000003E-3</v>
      </c>
      <c r="E187" s="70">
        <v>5.4000000000000003E-3</v>
      </c>
    </row>
    <row r="188" spans="3:5" x14ac:dyDescent="0.3">
      <c r="C188" s="66">
        <v>41609</v>
      </c>
      <c r="D188" s="69">
        <v>7.1999999999999998E-3</v>
      </c>
      <c r="E188" s="70">
        <v>9.1999999999999998E-3</v>
      </c>
    </row>
    <row r="189" spans="3:5" x14ac:dyDescent="0.3">
      <c r="C189" s="66">
        <v>41640</v>
      </c>
      <c r="D189" s="69">
        <v>6.3E-3</v>
      </c>
      <c r="E189" s="70">
        <v>5.4999999999999997E-3</v>
      </c>
    </row>
    <row r="190" spans="3:5" x14ac:dyDescent="0.3">
      <c r="C190" s="66">
        <v>41671</v>
      </c>
      <c r="D190" s="69">
        <v>6.4000000000000003E-3</v>
      </c>
      <c r="E190" s="70">
        <v>6.8999999999999999E-3</v>
      </c>
    </row>
    <row r="191" spans="3:5" x14ac:dyDescent="0.3">
      <c r="C191" s="66">
        <v>41699</v>
      </c>
      <c r="D191" s="69">
        <v>8.2000000000000007E-3</v>
      </c>
      <c r="E191" s="70">
        <v>9.1999999999999998E-3</v>
      </c>
    </row>
    <row r="192" spans="3:5" x14ac:dyDescent="0.3">
      <c r="C192" s="66">
        <v>41730</v>
      </c>
      <c r="D192" s="69">
        <v>7.7999999999999996E-3</v>
      </c>
      <c r="E192" s="70">
        <v>6.7000000000000002E-3</v>
      </c>
    </row>
    <row r="193" spans="3:5" x14ac:dyDescent="0.3">
      <c r="C193" s="66">
        <v>41760</v>
      </c>
      <c r="D193" s="69">
        <v>6.0000000000000001E-3</v>
      </c>
      <c r="E193" s="70">
        <v>4.5999999999999999E-3</v>
      </c>
    </row>
    <row r="194" spans="3:5" x14ac:dyDescent="0.3">
      <c r="C194" s="66">
        <v>41791</v>
      </c>
      <c r="D194" s="69">
        <v>2.5999999999999999E-3</v>
      </c>
      <c r="E194" s="70">
        <v>4.0000000000000001E-3</v>
      </c>
    </row>
    <row r="195" spans="3:5" x14ac:dyDescent="0.3">
      <c r="C195" s="66">
        <v>41821</v>
      </c>
      <c r="D195" s="69">
        <v>1.2999999999999999E-3</v>
      </c>
      <c r="E195" s="70">
        <v>1E-4</v>
      </c>
    </row>
    <row r="196" spans="3:5" x14ac:dyDescent="0.3">
      <c r="C196" s="66">
        <v>41852</v>
      </c>
      <c r="D196" s="69">
        <v>1.8E-3</v>
      </c>
      <c r="E196" s="70">
        <v>2.5000000000000001E-3</v>
      </c>
    </row>
    <row r="197" spans="3:5" x14ac:dyDescent="0.3">
      <c r="C197" s="66">
        <v>41883</v>
      </c>
      <c r="D197" s="69">
        <v>4.8999999999999998E-3</v>
      </c>
      <c r="E197" s="70">
        <v>5.7000000000000002E-3</v>
      </c>
    </row>
    <row r="198" spans="3:5" x14ac:dyDescent="0.3">
      <c r="C198" s="66">
        <v>41913</v>
      </c>
      <c r="D198" s="69">
        <v>3.8E-3</v>
      </c>
      <c r="E198" s="70">
        <v>4.1999999999999997E-3</v>
      </c>
    </row>
    <row r="199" spans="3:5" x14ac:dyDescent="0.3">
      <c r="C199" s="66">
        <v>41944</v>
      </c>
      <c r="D199" s="69">
        <v>5.3E-3</v>
      </c>
      <c r="E199" s="70">
        <v>5.1000000000000004E-3</v>
      </c>
    </row>
    <row r="200" spans="3:5" x14ac:dyDescent="0.3">
      <c r="C200" s="66">
        <v>41974</v>
      </c>
      <c r="D200" s="69">
        <v>6.1999999999999998E-3</v>
      </c>
      <c r="E200" s="70">
        <v>7.7999999999999996E-3</v>
      </c>
    </row>
    <row r="201" spans="3:5" x14ac:dyDescent="0.3">
      <c r="C201" s="66">
        <v>42005</v>
      </c>
      <c r="D201" s="69">
        <v>1.4800000000000001E-2</v>
      </c>
      <c r="E201" s="70">
        <v>1.24E-2</v>
      </c>
    </row>
    <row r="202" spans="3:5" x14ac:dyDescent="0.3">
      <c r="C202" s="66">
        <v>42036</v>
      </c>
      <c r="D202" s="69">
        <v>1.1599999999999999E-2</v>
      </c>
      <c r="E202" s="70">
        <v>1.2200000000000001E-2</v>
      </c>
    </row>
    <row r="203" spans="3:5" x14ac:dyDescent="0.3">
      <c r="C203" s="66">
        <v>42064</v>
      </c>
      <c r="D203" s="69">
        <v>1.5100000000000001E-2</v>
      </c>
      <c r="E203" s="70">
        <v>1.32E-2</v>
      </c>
    </row>
    <row r="204" spans="3:5" x14ac:dyDescent="0.3">
      <c r="C204" s="66">
        <v>42095</v>
      </c>
      <c r="D204" s="69">
        <v>7.1000000000000004E-3</v>
      </c>
      <c r="E204" s="70">
        <v>7.1000000000000004E-3</v>
      </c>
    </row>
    <row r="205" spans="3:5" x14ac:dyDescent="0.3">
      <c r="C205" s="66">
        <v>42125</v>
      </c>
      <c r="D205" s="69">
        <v>9.9000000000000008E-3</v>
      </c>
      <c r="E205" s="70">
        <v>7.4000000000000003E-3</v>
      </c>
    </row>
    <row r="206" spans="3:5" x14ac:dyDescent="0.3">
      <c r="C206" s="66">
        <v>42156</v>
      </c>
      <c r="D206" s="69">
        <v>7.7000000000000002E-3</v>
      </c>
      <c r="E206" s="70">
        <v>7.9000000000000008E-3</v>
      </c>
    </row>
    <row r="207" spans="3:5" x14ac:dyDescent="0.3">
      <c r="C207" s="66">
        <v>42186</v>
      </c>
      <c r="D207" s="69">
        <v>5.7999999999999996E-3</v>
      </c>
      <c r="E207" s="70">
        <v>6.1999999999999998E-3</v>
      </c>
    </row>
    <row r="208" spans="3:5" x14ac:dyDescent="0.3">
      <c r="C208" s="66">
        <v>42217</v>
      </c>
      <c r="D208" s="69">
        <v>2.5000000000000001E-3</v>
      </c>
      <c r="E208" s="70">
        <v>2.2000000000000001E-3</v>
      </c>
    </row>
    <row r="209" spans="3:5" x14ac:dyDescent="0.3">
      <c r="C209" s="66">
        <v>42248</v>
      </c>
      <c r="D209" s="69">
        <v>5.1000000000000004E-3</v>
      </c>
      <c r="E209" s="70">
        <v>5.4000000000000003E-3</v>
      </c>
    </row>
    <row r="210" spans="3:5" x14ac:dyDescent="0.3">
      <c r="C210" s="66">
        <v>42278</v>
      </c>
      <c r="D210" s="69">
        <v>7.7000000000000002E-3</v>
      </c>
      <c r="E210" s="70">
        <v>8.2000000000000007E-3</v>
      </c>
    </row>
    <row r="211" spans="3:5" x14ac:dyDescent="0.3">
      <c r="C211" s="66">
        <v>42309</v>
      </c>
      <c r="D211" s="69">
        <v>1.11E-2</v>
      </c>
      <c r="E211" s="70">
        <v>1.01E-2</v>
      </c>
    </row>
    <row r="212" spans="3:5" x14ac:dyDescent="0.3">
      <c r="C212" s="66">
        <v>42339</v>
      </c>
      <c r="D212" s="69">
        <v>8.9999999999999993E-3</v>
      </c>
      <c r="E212" s="70">
        <v>9.5999999999999992E-3</v>
      </c>
    </row>
    <row r="213" spans="3:5" x14ac:dyDescent="0.3">
      <c r="C213" s="66">
        <v>42370</v>
      </c>
      <c r="D213" s="69">
        <v>1.5100000000000001E-2</v>
      </c>
      <c r="E213" s="70">
        <v>1.2699999999999999E-2</v>
      </c>
    </row>
    <row r="214" spans="3:5" x14ac:dyDescent="0.3">
      <c r="C214" s="66">
        <v>42401</v>
      </c>
      <c r="D214" s="69">
        <v>9.4999999999999998E-3</v>
      </c>
      <c r="E214" s="70">
        <v>8.9999999999999993E-3</v>
      </c>
    </row>
    <row r="215" spans="3:5" x14ac:dyDescent="0.3">
      <c r="C215" s="66">
        <v>42430</v>
      </c>
      <c r="D215" s="69">
        <v>4.4000000000000003E-3</v>
      </c>
      <c r="E215" s="70">
        <v>4.3E-3</v>
      </c>
    </row>
    <row r="216" spans="3:5" x14ac:dyDescent="0.3">
      <c r="C216" s="66">
        <v>42461</v>
      </c>
      <c r="D216" s="69">
        <v>6.4000000000000003E-3</v>
      </c>
      <c r="E216" s="70">
        <v>6.1000000000000004E-3</v>
      </c>
    </row>
    <row r="217" spans="3:5" x14ac:dyDescent="0.3">
      <c r="C217" s="66">
        <v>42491</v>
      </c>
      <c r="D217" s="69">
        <v>9.7999999999999997E-3</v>
      </c>
      <c r="E217" s="70">
        <v>7.7999999999999996E-3</v>
      </c>
    </row>
    <row r="218" spans="3:5" x14ac:dyDescent="0.3">
      <c r="C218" s="66">
        <v>42522</v>
      </c>
      <c r="D218" s="69">
        <v>4.7000000000000002E-3</v>
      </c>
      <c r="E218" s="70">
        <v>3.5000000000000001E-3</v>
      </c>
    </row>
    <row r="219" spans="3:5" x14ac:dyDescent="0.3">
      <c r="C219" s="66">
        <v>42552</v>
      </c>
      <c r="D219" s="69">
        <v>6.4000000000000003E-3</v>
      </c>
      <c r="E219" s="70">
        <v>5.1999999999999998E-3</v>
      </c>
    </row>
    <row r="220" spans="3:5" x14ac:dyDescent="0.3">
      <c r="C220" s="66">
        <v>42583</v>
      </c>
      <c r="D220" s="69">
        <v>3.0999999999999999E-3</v>
      </c>
      <c r="E220" s="70">
        <v>4.4000000000000003E-3</v>
      </c>
    </row>
    <row r="221" spans="3:5" x14ac:dyDescent="0.3">
      <c r="C221" s="66">
        <v>42614</v>
      </c>
      <c r="D221" s="69">
        <v>8.0000000000000004E-4</v>
      </c>
      <c r="E221" s="70">
        <v>8.0000000000000004E-4</v>
      </c>
    </row>
    <row r="222" spans="3:5" x14ac:dyDescent="0.3">
      <c r="C222" s="66">
        <v>42644</v>
      </c>
      <c r="D222" s="69">
        <v>1.6999999999999999E-3</v>
      </c>
      <c r="E222" s="70">
        <v>2.5999999999999999E-3</v>
      </c>
    </row>
    <row r="223" spans="3:5" x14ac:dyDescent="0.3">
      <c r="C223" s="66">
        <v>42675</v>
      </c>
      <c r="D223" s="69">
        <v>6.9999999999999999E-4</v>
      </c>
      <c r="E223" s="70">
        <v>1.8E-3</v>
      </c>
    </row>
    <row r="224" spans="3:5" x14ac:dyDescent="0.3">
      <c r="C224" s="66">
        <v>42705</v>
      </c>
      <c r="D224" s="69">
        <v>1.4E-3</v>
      </c>
      <c r="E224" s="70">
        <v>3.0000000000000001E-3</v>
      </c>
    </row>
    <row r="225" spans="3:5" x14ac:dyDescent="0.3">
      <c r="C225" s="66">
        <v>42736</v>
      </c>
      <c r="D225" s="69">
        <v>4.1999999999999997E-3</v>
      </c>
      <c r="E225" s="70">
        <v>3.8E-3</v>
      </c>
    </row>
    <row r="226" spans="3:5" x14ac:dyDescent="0.3">
      <c r="C226" s="66">
        <v>42767</v>
      </c>
      <c r="D226" s="69">
        <v>2.3999999999999998E-3</v>
      </c>
      <c r="E226" s="70">
        <v>3.3E-3</v>
      </c>
    </row>
    <row r="227" spans="3:5" x14ac:dyDescent="0.3">
      <c r="C227" s="66">
        <v>42795</v>
      </c>
      <c r="D227" s="69">
        <v>3.2000000000000002E-3</v>
      </c>
      <c r="E227" s="70">
        <v>2.5000000000000001E-3</v>
      </c>
    </row>
    <row r="228" spans="3:5" x14ac:dyDescent="0.3">
      <c r="C228" s="66">
        <v>42826</v>
      </c>
      <c r="D228" s="69">
        <v>8.0000000000000004E-4</v>
      </c>
      <c r="E228" s="70">
        <v>1.4E-3</v>
      </c>
    </row>
    <row r="229" spans="3:5" x14ac:dyDescent="0.3">
      <c r="C229" s="66">
        <v>42856</v>
      </c>
      <c r="D229" s="69">
        <v>3.5999999999999999E-3</v>
      </c>
      <c r="E229" s="70">
        <v>3.0999999999999999E-3</v>
      </c>
    </row>
    <row r="230" spans="3:5" x14ac:dyDescent="0.3">
      <c r="C230" s="66">
        <v>42887</v>
      </c>
      <c r="D230" s="69">
        <v>-3.0000000000000001E-3</v>
      </c>
      <c r="E230" s="70">
        <v>-2.3E-3</v>
      </c>
    </row>
    <row r="231" spans="3:5" x14ac:dyDescent="0.3">
      <c r="C231" s="66">
        <v>42917</v>
      </c>
      <c r="D231" s="69">
        <v>1.6999999999999999E-3</v>
      </c>
      <c r="E231" s="70">
        <v>2.3999999999999998E-3</v>
      </c>
    </row>
    <row r="232" spans="3:5" x14ac:dyDescent="0.3">
      <c r="C232" s="66">
        <v>42948</v>
      </c>
      <c r="D232" s="69">
        <v>-2.9999999999999997E-4</v>
      </c>
      <c r="E232" s="70">
        <v>1.9E-3</v>
      </c>
    </row>
    <row r="233" spans="3:5" x14ac:dyDescent="0.3">
      <c r="C233" s="66">
        <v>42979</v>
      </c>
      <c r="D233" s="69">
        <v>-2.0000000000000001E-4</v>
      </c>
      <c r="E233" s="70">
        <v>1.6000000000000001E-3</v>
      </c>
    </row>
    <row r="234" spans="3:5" x14ac:dyDescent="0.3">
      <c r="C234" s="66">
        <v>43009</v>
      </c>
      <c r="D234" s="69">
        <v>3.7000000000000002E-3</v>
      </c>
      <c r="E234" s="70">
        <v>4.1999999999999997E-3</v>
      </c>
    </row>
    <row r="235" spans="3:5" x14ac:dyDescent="0.3">
      <c r="C235" s="66">
        <v>43040</v>
      </c>
      <c r="D235" s="69">
        <v>1.8E-3</v>
      </c>
      <c r="E235" s="70">
        <v>2.8E-3</v>
      </c>
    </row>
    <row r="236" spans="3:5" x14ac:dyDescent="0.3">
      <c r="C236" s="66">
        <v>43070</v>
      </c>
      <c r="D236" s="69">
        <v>2.5999999999999999E-3</v>
      </c>
      <c r="E236" s="70">
        <v>4.4000000000000003E-3</v>
      </c>
    </row>
    <row r="237" spans="3:5" x14ac:dyDescent="0.3">
      <c r="C237" s="66">
        <v>43101</v>
      </c>
      <c r="D237" s="69">
        <v>2.3E-3</v>
      </c>
      <c r="E237" s="70">
        <v>2.8999999999999998E-3</v>
      </c>
    </row>
    <row r="238" spans="3:5" x14ac:dyDescent="0.3">
      <c r="C238" s="66">
        <v>43132</v>
      </c>
      <c r="D238" s="69">
        <v>1.8E-3</v>
      </c>
      <c r="E238" s="70">
        <v>3.2000000000000002E-3</v>
      </c>
    </row>
    <row r="239" spans="3:5" x14ac:dyDescent="0.3">
      <c r="C239" s="66">
        <v>43160</v>
      </c>
      <c r="D239" s="69">
        <v>6.9999999999999999E-4</v>
      </c>
      <c r="E239" s="70">
        <v>8.9999999999999998E-4</v>
      </c>
    </row>
    <row r="240" spans="3:5" x14ac:dyDescent="0.3">
      <c r="C240" s="66">
        <v>43191</v>
      </c>
      <c r="D240" s="69">
        <v>2.0999999999999999E-3</v>
      </c>
      <c r="E240" s="70">
        <v>2.2000000000000001E-3</v>
      </c>
    </row>
    <row r="241" spans="3:5" x14ac:dyDescent="0.3">
      <c r="C241" s="66">
        <v>43221</v>
      </c>
      <c r="D241" s="69">
        <v>4.3E-3</v>
      </c>
      <c r="E241" s="70">
        <v>4.0000000000000001E-3</v>
      </c>
    </row>
    <row r="242" spans="3:5" x14ac:dyDescent="0.3">
      <c r="C242" s="66">
        <v>43252</v>
      </c>
      <c r="D242" s="69">
        <v>1.43E-2</v>
      </c>
      <c r="E242" s="70">
        <v>1.26E-2</v>
      </c>
    </row>
    <row r="243" spans="3:5" x14ac:dyDescent="0.3">
      <c r="C243" s="66">
        <v>43282</v>
      </c>
      <c r="D243" s="69">
        <v>2.5000000000000001E-3</v>
      </c>
      <c r="E243" s="70">
        <v>3.3E-3</v>
      </c>
    </row>
    <row r="244" spans="3:5" x14ac:dyDescent="0.3">
      <c r="C244" s="66">
        <v>43313</v>
      </c>
      <c r="D244" s="69">
        <v>0</v>
      </c>
      <c r="E244" s="70">
        <v>-8.9999999999999998E-4</v>
      </c>
    </row>
    <row r="245" spans="3:5" x14ac:dyDescent="0.3">
      <c r="C245" s="66">
        <v>43344</v>
      </c>
      <c r="D245" s="69">
        <v>3.0000000000000001E-3</v>
      </c>
      <c r="E245" s="70">
        <v>4.7999999999999996E-3</v>
      </c>
    </row>
    <row r="246" spans="3:5" x14ac:dyDescent="0.3">
      <c r="C246" s="66">
        <v>43374</v>
      </c>
      <c r="D246" s="69">
        <v>4.0000000000000001E-3</v>
      </c>
      <c r="E246" s="70">
        <v>4.4999999999999997E-3</v>
      </c>
    </row>
    <row r="247" spans="3:5" x14ac:dyDescent="0.3">
      <c r="C247" s="66">
        <v>43405</v>
      </c>
      <c r="D247" s="69">
        <v>-2.5000000000000001E-3</v>
      </c>
      <c r="E247" s="70">
        <v>-2.0999999999999999E-3</v>
      </c>
    </row>
    <row r="248" spans="3:5" x14ac:dyDescent="0.3">
      <c r="C248" s="66">
        <v>43435</v>
      </c>
      <c r="D248" s="69">
        <v>1.4E-3</v>
      </c>
      <c r="E248" s="70">
        <v>1.5E-3</v>
      </c>
    </row>
    <row r="249" spans="3:5" x14ac:dyDescent="0.3">
      <c r="C249" s="66">
        <v>43466</v>
      </c>
      <c r="D249" s="69">
        <v>3.5999999999999999E-3</v>
      </c>
      <c r="E249" s="70">
        <v>3.2000000000000002E-3</v>
      </c>
    </row>
    <row r="250" spans="3:5" x14ac:dyDescent="0.3">
      <c r="C250" s="66">
        <v>43497</v>
      </c>
      <c r="D250" s="69">
        <v>5.4000000000000003E-3</v>
      </c>
      <c r="E250" s="70">
        <v>4.3E-3</v>
      </c>
    </row>
    <row r="251" spans="3:5" x14ac:dyDescent="0.3">
      <c r="C251" s="66">
        <v>43525</v>
      </c>
      <c r="D251" s="69">
        <v>7.7000000000000002E-3</v>
      </c>
      <c r="E251" s="70">
        <v>7.4999999999999997E-3</v>
      </c>
    </row>
    <row r="252" spans="3:5" x14ac:dyDescent="0.3">
      <c r="C252" s="66">
        <v>43556</v>
      </c>
      <c r="D252" s="69">
        <v>6.0000000000000001E-3</v>
      </c>
      <c r="E252" s="70">
        <v>5.7000000000000002E-3</v>
      </c>
    </row>
    <row r="253" spans="3:5" x14ac:dyDescent="0.3">
      <c r="C253" s="66">
        <v>43586</v>
      </c>
      <c r="D253" s="69">
        <v>1.5E-3</v>
      </c>
      <c r="E253" s="70">
        <v>1.2999999999999999E-3</v>
      </c>
    </row>
    <row r="254" spans="3:5" x14ac:dyDescent="0.3">
      <c r="C254" s="66">
        <v>43617</v>
      </c>
      <c r="D254" s="69">
        <v>1E-4</v>
      </c>
      <c r="E254" s="70">
        <v>1E-4</v>
      </c>
    </row>
    <row r="255" spans="3:5" x14ac:dyDescent="0.3">
      <c r="C255" s="66">
        <v>43647</v>
      </c>
      <c r="D255" s="69">
        <v>1E-3</v>
      </c>
      <c r="E255" s="70">
        <v>1.9E-3</v>
      </c>
    </row>
    <row r="256" spans="3:5" x14ac:dyDescent="0.3">
      <c r="C256" s="66">
        <v>43678</v>
      </c>
      <c r="D256" s="69">
        <v>1.1999999999999999E-3</v>
      </c>
      <c r="E256" s="70">
        <v>1.1000000000000001E-3</v>
      </c>
    </row>
    <row r="257" spans="3:5" x14ac:dyDescent="0.3">
      <c r="C257" s="66">
        <v>43709</v>
      </c>
      <c r="D257" s="69">
        <v>-5.0000000000000001E-4</v>
      </c>
      <c r="E257" s="70">
        <v>-4.0000000000000002E-4</v>
      </c>
    </row>
    <row r="258" spans="3:5" x14ac:dyDescent="0.3">
      <c r="C258" s="66">
        <v>43739</v>
      </c>
      <c r="D258" s="69">
        <v>4.0000000000000002E-4</v>
      </c>
      <c r="E258" s="70">
        <v>1E-3</v>
      </c>
    </row>
    <row r="259" spans="3:5" x14ac:dyDescent="0.3">
      <c r="C259" s="66">
        <v>43770</v>
      </c>
      <c r="D259" s="69">
        <v>5.4000000000000003E-3</v>
      </c>
      <c r="E259" s="70">
        <v>5.1000000000000004E-3</v>
      </c>
    </row>
    <row r="260" spans="3:5" x14ac:dyDescent="0.3">
      <c r="C260" s="66">
        <v>43800</v>
      </c>
      <c r="D260" s="69">
        <v>1.2200000000000001E-2</v>
      </c>
      <c r="E260" s="70">
        <v>1.15E-2</v>
      </c>
    </row>
    <row r="261" spans="3:5" x14ac:dyDescent="0.3">
      <c r="C261" s="66">
        <v>43831</v>
      </c>
      <c r="D261" s="69">
        <v>1.9E-3</v>
      </c>
      <c r="E261" s="70">
        <v>2.0999999999999999E-3</v>
      </c>
    </row>
    <row r="262" spans="3:5" x14ac:dyDescent="0.3">
      <c r="C262" s="66">
        <v>43862</v>
      </c>
      <c r="D262" s="69">
        <v>1.6999999999999999E-3</v>
      </c>
      <c r="E262" s="70">
        <v>2.5000000000000001E-3</v>
      </c>
    </row>
    <row r="263" spans="3:5" x14ac:dyDescent="0.3">
      <c r="C263" s="66">
        <v>43891</v>
      </c>
      <c r="D263" s="69">
        <v>1.8E-3</v>
      </c>
      <c r="E263" s="70">
        <v>6.9999999999999999E-4</v>
      </c>
    </row>
    <row r="264" spans="3:5" x14ac:dyDescent="0.3">
      <c r="C264" s="66">
        <v>43922</v>
      </c>
      <c r="D264" s="69">
        <v>-2.3E-3</v>
      </c>
      <c r="E264" s="70">
        <v>-3.0999999999999999E-3</v>
      </c>
    </row>
    <row r="265" spans="3:5" x14ac:dyDescent="0.3">
      <c r="C265" s="66">
        <v>43952</v>
      </c>
      <c r="D265" s="69">
        <v>-2.5000000000000001E-3</v>
      </c>
      <c r="E265" s="70">
        <v>-3.8E-3</v>
      </c>
    </row>
    <row r="266" spans="3:5" x14ac:dyDescent="0.3">
      <c r="C266" s="66">
        <v>43983</v>
      </c>
      <c r="D266" s="69">
        <v>3.0000000000000001E-3</v>
      </c>
      <c r="E266" s="70">
        <v>2.5999999999999999E-3</v>
      </c>
    </row>
    <row r="267" spans="3:5" x14ac:dyDescent="0.3">
      <c r="C267" s="66">
        <v>44013</v>
      </c>
      <c r="D267" s="69">
        <v>4.4000000000000003E-3</v>
      </c>
      <c r="E267" s="70">
        <v>3.5999999999999999E-3</v>
      </c>
    </row>
    <row r="268" spans="3:5" x14ac:dyDescent="0.3">
      <c r="C268" s="66">
        <v>44044</v>
      </c>
      <c r="D268" s="69">
        <v>3.5999999999999999E-3</v>
      </c>
      <c r="E268" s="70">
        <v>2.3999999999999998E-3</v>
      </c>
    </row>
    <row r="269" spans="3:5" x14ac:dyDescent="0.3">
      <c r="C269" s="66">
        <v>44075</v>
      </c>
      <c r="D269" s="69">
        <v>8.6999999999999994E-3</v>
      </c>
      <c r="E269" s="70">
        <v>6.4000000000000003E-3</v>
      </c>
    </row>
    <row r="270" spans="3:5" x14ac:dyDescent="0.3">
      <c r="C270" s="66">
        <v>44105</v>
      </c>
      <c r="D270" s="69">
        <v>8.8999999999999999E-3</v>
      </c>
      <c r="E270" s="70">
        <v>8.6E-3</v>
      </c>
    </row>
    <row r="271" spans="3:5" x14ac:dyDescent="0.3">
      <c r="C271" s="66">
        <v>44136</v>
      </c>
      <c r="D271" s="69">
        <v>9.4999999999999998E-3</v>
      </c>
      <c r="E271" s="70">
        <v>8.8999999999999999E-3</v>
      </c>
    </row>
    <row r="272" spans="3:5" x14ac:dyDescent="0.3">
      <c r="C272" s="66">
        <v>44166</v>
      </c>
      <c r="D272" s="69">
        <v>1.46E-2</v>
      </c>
      <c r="E272" s="70">
        <v>1.35E-2</v>
      </c>
    </row>
    <row r="273" spans="3:5" x14ac:dyDescent="0.3">
      <c r="C273" s="66">
        <v>44197</v>
      </c>
      <c r="D273" s="69">
        <v>2.7000000000000001E-3</v>
      </c>
      <c r="E273" s="70">
        <v>2.5000000000000001E-3</v>
      </c>
    </row>
    <row r="274" spans="3:5" x14ac:dyDescent="0.3">
      <c r="C274" s="66">
        <v>44228</v>
      </c>
      <c r="D274" s="69">
        <v>8.2000000000000007E-3</v>
      </c>
      <c r="E274" s="70">
        <v>8.6E-3</v>
      </c>
    </row>
    <row r="275" spans="3:5" x14ac:dyDescent="0.3">
      <c r="C275" s="66">
        <v>44256</v>
      </c>
      <c r="D275" s="69">
        <v>8.6E-3</v>
      </c>
      <c r="E275" s="70">
        <v>9.2999999999999992E-3</v>
      </c>
    </row>
    <row r="276" spans="3:5" x14ac:dyDescent="0.3">
      <c r="C276" s="66">
        <v>44287</v>
      </c>
      <c r="D276" s="69">
        <v>3.8E-3</v>
      </c>
      <c r="E276" s="71">
        <v>3.0999999999999999E-3</v>
      </c>
    </row>
  </sheetData>
  <sheetProtection algorithmName="SHA-512" hashValue="ZeK3GBS/3GEUJk5ZwQuFTBiZsAObmoaqB9a6yvet1JMM88opCIC1/zPPgfmWAQkDmn7tZIa4R8+YWgs/xLFe7Q==" saltValue="DY3mkEGXB5eqfbh7pPPCIA==" spinCount="100000" sheet="1" objects="1" scenarios="1" selectLockedCells="1"/>
  <phoneticPr fontId="18" type="noConversion"/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2EB1E-CAB1-4D46-A951-D36D0891BB97}">
  <dimension ref="A1:U45"/>
  <sheetViews>
    <sheetView topLeftCell="A5" zoomScale="85" zoomScaleNormal="85" workbookViewId="0">
      <selection activeCell="U14" sqref="U14"/>
    </sheetView>
  </sheetViews>
  <sheetFormatPr defaultColWidth="0" defaultRowHeight="15" customHeight="1" zeroHeight="1" x14ac:dyDescent="0.3"/>
  <cols>
    <col min="1" max="19" width="8.88671875" style="85" customWidth="1"/>
    <col min="20" max="20" width="9" style="85" customWidth="1"/>
    <col min="21" max="21" width="1.44140625" style="85" customWidth="1"/>
    <col min="22" max="16384" width="8.88671875" style="85" hidden="1"/>
  </cols>
  <sheetData>
    <row r="1" spans="1:21" ht="14.4" x14ac:dyDescent="0.3">
      <c r="A1" s="84"/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</row>
    <row r="2" spans="1:21" ht="14.4" x14ac:dyDescent="0.3">
      <c r="A2" s="84"/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  <c r="R2" s="84"/>
      <c r="S2" s="84"/>
      <c r="T2" s="84"/>
      <c r="U2" s="84"/>
    </row>
    <row r="3" spans="1:21" ht="14.4" x14ac:dyDescent="0.3">
      <c r="A3" s="84"/>
      <c r="B3" s="84"/>
      <c r="C3" s="84"/>
      <c r="D3" s="84"/>
      <c r="E3" s="84"/>
      <c r="F3" s="84"/>
      <c r="G3" s="84"/>
      <c r="H3" s="84"/>
      <c r="I3" s="84"/>
      <c r="J3" s="84"/>
      <c r="K3" s="84"/>
      <c r="L3" s="84"/>
      <c r="M3" s="84"/>
      <c r="N3" s="84"/>
      <c r="O3" s="84"/>
      <c r="P3" s="84"/>
      <c r="Q3" s="84"/>
      <c r="R3" s="84"/>
      <c r="S3" s="84"/>
      <c r="T3" s="84"/>
      <c r="U3" s="84"/>
    </row>
    <row r="4" spans="1:21" ht="14.4" x14ac:dyDescent="0.3">
      <c r="A4" s="84"/>
      <c r="B4" s="84"/>
      <c r="C4" s="84"/>
      <c r="D4" s="84"/>
      <c r="E4" s="84"/>
      <c r="F4" s="84"/>
      <c r="G4" s="84"/>
      <c r="H4" s="84"/>
      <c r="I4" s="84"/>
      <c r="J4" s="84"/>
      <c r="K4" s="84"/>
      <c r="L4" s="84"/>
      <c r="M4" s="84"/>
      <c r="N4" s="84"/>
      <c r="O4" s="84"/>
      <c r="P4" s="84"/>
      <c r="Q4" s="84"/>
      <c r="R4" s="84"/>
      <c r="S4" s="84"/>
      <c r="T4" s="84"/>
      <c r="U4" s="84"/>
    </row>
    <row r="5" spans="1:21" ht="14.4" x14ac:dyDescent="0.3">
      <c r="A5" s="84"/>
      <c r="B5" s="84"/>
      <c r="C5" s="84"/>
      <c r="D5" s="84"/>
      <c r="E5" s="84"/>
      <c r="F5" s="84"/>
      <c r="G5" s="84"/>
      <c r="H5" s="84"/>
      <c r="I5" s="84"/>
      <c r="J5" s="84"/>
      <c r="K5" s="84"/>
      <c r="L5" s="84"/>
      <c r="M5" s="84"/>
      <c r="N5" s="84"/>
      <c r="O5" s="84"/>
      <c r="P5" s="84"/>
      <c r="Q5" s="84"/>
      <c r="R5" s="84"/>
      <c r="S5" s="84"/>
      <c r="T5" s="84"/>
      <c r="U5" s="84"/>
    </row>
    <row r="6" spans="1:21" ht="14.4" x14ac:dyDescent="0.3">
      <c r="A6" s="84"/>
      <c r="B6" s="84"/>
      <c r="C6" s="84"/>
      <c r="D6" s="84"/>
      <c r="E6" s="84"/>
      <c r="F6" s="84"/>
      <c r="G6" s="84"/>
      <c r="H6" s="84"/>
      <c r="I6" s="84"/>
      <c r="J6" s="84"/>
      <c r="K6" s="84"/>
      <c r="L6" s="84"/>
      <c r="M6" s="84"/>
      <c r="N6" s="84"/>
      <c r="O6" s="84"/>
      <c r="P6" s="84"/>
      <c r="Q6" s="84"/>
      <c r="R6" s="84"/>
      <c r="S6" s="84"/>
      <c r="T6" s="84"/>
      <c r="U6" s="84"/>
    </row>
    <row r="7" spans="1:21" ht="14.4" x14ac:dyDescent="0.3">
      <c r="A7" s="84"/>
      <c r="B7" s="84"/>
      <c r="C7" s="84"/>
      <c r="D7" s="84"/>
      <c r="E7" s="84"/>
      <c r="F7" s="84"/>
      <c r="G7" s="84"/>
      <c r="H7" s="84"/>
      <c r="I7" s="84"/>
      <c r="J7" s="84"/>
      <c r="K7" s="84"/>
      <c r="L7" s="84"/>
      <c r="M7" s="84"/>
      <c r="N7" s="84"/>
      <c r="O7" s="84"/>
      <c r="P7" s="84"/>
      <c r="Q7" s="84"/>
      <c r="R7" s="84"/>
      <c r="S7" s="84"/>
      <c r="T7" s="84"/>
      <c r="U7" s="84"/>
    </row>
    <row r="8" spans="1:21" ht="14.4" x14ac:dyDescent="0.3">
      <c r="A8" s="84"/>
      <c r="B8" s="84"/>
      <c r="C8" s="84"/>
      <c r="D8" s="84"/>
      <c r="E8" s="84"/>
      <c r="F8" s="84"/>
      <c r="G8" s="84"/>
      <c r="H8" s="84"/>
      <c r="I8" s="84"/>
      <c r="J8" s="84"/>
      <c r="K8" s="84"/>
      <c r="L8" s="84"/>
      <c r="M8" s="84"/>
      <c r="N8" s="84"/>
      <c r="O8" s="84"/>
      <c r="P8" s="84"/>
      <c r="Q8" s="84"/>
      <c r="R8" s="84"/>
      <c r="S8" s="84"/>
      <c r="T8" s="84"/>
      <c r="U8" s="84"/>
    </row>
    <row r="9" spans="1:21" ht="14.4" x14ac:dyDescent="0.3">
      <c r="A9" s="84"/>
      <c r="B9" s="84"/>
      <c r="C9" s="84"/>
      <c r="D9" s="84"/>
      <c r="E9" s="84"/>
      <c r="F9" s="84"/>
      <c r="G9" s="84"/>
      <c r="H9" s="84"/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</row>
    <row r="10" spans="1:21" ht="14.4" x14ac:dyDescent="0.3">
      <c r="A10" s="84"/>
      <c r="B10" s="84"/>
      <c r="C10" s="84"/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</row>
    <row r="11" spans="1:21" ht="14.4" x14ac:dyDescent="0.3">
      <c r="A11" s="84"/>
      <c r="B11" s="84"/>
      <c r="C11" s="84"/>
      <c r="D11" s="84"/>
      <c r="E11" s="84"/>
      <c r="F11" s="84"/>
      <c r="G11" s="84"/>
      <c r="H11" s="84"/>
      <c r="I11" s="84"/>
      <c r="J11" s="84"/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</row>
    <row r="12" spans="1:21" ht="14.4" x14ac:dyDescent="0.3">
      <c r="A12" s="84"/>
      <c r="B12" s="84"/>
      <c r="C12" s="84"/>
      <c r="D12" s="84"/>
      <c r="E12" s="84"/>
      <c r="F12" s="84"/>
      <c r="G12" s="84"/>
      <c r="H12" s="84"/>
      <c r="I12" s="84"/>
      <c r="J12" s="84"/>
      <c r="K12" s="84"/>
      <c r="L12" s="84"/>
      <c r="M12" s="84"/>
      <c r="N12" s="84"/>
      <c r="O12" s="84"/>
      <c r="P12" s="84"/>
      <c r="Q12" s="84"/>
      <c r="R12" s="84"/>
      <c r="S12" s="84"/>
      <c r="T12" s="84"/>
      <c r="U12" s="84"/>
    </row>
    <row r="13" spans="1:21" ht="14.4" x14ac:dyDescent="0.3">
      <c r="A13" s="84"/>
      <c r="B13" s="84"/>
      <c r="C13" s="84"/>
      <c r="D13" s="84"/>
      <c r="E13" s="84"/>
      <c r="F13" s="84"/>
      <c r="G13" s="84"/>
      <c r="H13" s="84"/>
      <c r="I13" s="84"/>
      <c r="J13" s="84"/>
      <c r="K13" s="84"/>
      <c r="L13" s="84"/>
      <c r="M13" s="84"/>
      <c r="N13" s="84"/>
      <c r="O13" s="84"/>
      <c r="P13" s="84"/>
      <c r="Q13" s="84"/>
      <c r="R13" s="84"/>
      <c r="S13" s="84"/>
      <c r="T13" s="84"/>
      <c r="U13" s="84"/>
    </row>
    <row r="14" spans="1:21" ht="14.4" x14ac:dyDescent="0.3">
      <c r="A14" s="84"/>
      <c r="B14" s="84"/>
      <c r="C14" s="84"/>
      <c r="D14" s="84"/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</row>
    <row r="15" spans="1:21" ht="14.4" x14ac:dyDescent="0.3">
      <c r="A15" s="84"/>
      <c r="B15" s="84"/>
      <c r="C15" s="84"/>
      <c r="D15" s="84"/>
      <c r="E15" s="84"/>
      <c r="F15" s="84"/>
      <c r="G15" s="84"/>
      <c r="H15" s="84"/>
      <c r="I15" s="84"/>
      <c r="J15" s="84"/>
      <c r="K15" s="84"/>
      <c r="L15" s="84"/>
      <c r="M15" s="84"/>
      <c r="N15" s="84"/>
      <c r="O15" s="84"/>
      <c r="P15" s="84"/>
      <c r="Q15" s="84"/>
      <c r="R15" s="84"/>
      <c r="S15" s="84"/>
      <c r="T15" s="84"/>
      <c r="U15" s="84"/>
    </row>
    <row r="16" spans="1:21" ht="14.4" x14ac:dyDescent="0.3">
      <c r="A16" s="84"/>
      <c r="B16" s="84"/>
      <c r="C16" s="84"/>
      <c r="D16" s="84"/>
      <c r="E16" s="84"/>
      <c r="F16" s="84"/>
      <c r="G16" s="84"/>
      <c r="H16" s="84"/>
      <c r="I16" s="84"/>
      <c r="J16" s="84"/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</row>
    <row r="17" spans="1:21" ht="14.4" x14ac:dyDescent="0.3">
      <c r="A17" s="84"/>
      <c r="B17" s="84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</row>
    <row r="18" spans="1:21" ht="14.4" x14ac:dyDescent="0.3">
      <c r="A18" s="84"/>
      <c r="B18" s="84"/>
      <c r="C18" s="84"/>
      <c r="D18" s="84"/>
      <c r="E18" s="84"/>
      <c r="F18" s="84"/>
      <c r="G18" s="84"/>
      <c r="H18" s="84"/>
      <c r="I18" s="84"/>
      <c r="J18" s="84"/>
      <c r="K18" s="84"/>
      <c r="L18" s="84"/>
      <c r="M18" s="84"/>
      <c r="N18" s="84"/>
      <c r="O18" s="84"/>
      <c r="P18" s="84"/>
      <c r="Q18" s="84"/>
      <c r="R18" s="84"/>
      <c r="S18" s="84"/>
      <c r="T18" s="84"/>
      <c r="U18" s="84"/>
    </row>
    <row r="19" spans="1:21" ht="14.4" x14ac:dyDescent="0.3">
      <c r="A19" s="84"/>
      <c r="B19" s="84"/>
      <c r="C19" s="84"/>
      <c r="D19" s="84"/>
      <c r="E19" s="84"/>
      <c r="F19" s="84"/>
      <c r="G19" s="84"/>
      <c r="H19" s="84"/>
      <c r="I19" s="84"/>
      <c r="J19" s="84"/>
      <c r="K19" s="84"/>
      <c r="L19" s="84"/>
      <c r="M19" s="84"/>
      <c r="N19" s="84"/>
      <c r="O19" s="84"/>
      <c r="P19" s="84"/>
      <c r="Q19" s="84"/>
      <c r="R19" s="84"/>
      <c r="S19" s="84"/>
      <c r="T19" s="84"/>
      <c r="U19" s="84"/>
    </row>
    <row r="20" spans="1:21" ht="14.4" x14ac:dyDescent="0.3">
      <c r="A20" s="84"/>
      <c r="B20" s="84"/>
      <c r="C20" s="84"/>
      <c r="D20" s="84"/>
      <c r="E20" s="84"/>
      <c r="F20" s="84"/>
      <c r="G20" s="84"/>
      <c r="H20" s="84"/>
      <c r="I20" s="84"/>
      <c r="J20" s="84"/>
      <c r="K20" s="84"/>
      <c r="L20" s="84"/>
      <c r="M20" s="84"/>
      <c r="N20" s="84"/>
      <c r="O20" s="84"/>
      <c r="P20" s="84"/>
      <c r="Q20" s="84"/>
      <c r="R20" s="84"/>
      <c r="S20" s="84"/>
      <c r="T20" s="84"/>
      <c r="U20" s="84"/>
    </row>
    <row r="21" spans="1:21" ht="14.4" x14ac:dyDescent="0.3">
      <c r="A21" s="84"/>
      <c r="B21" s="84"/>
      <c r="C21" s="84"/>
      <c r="D21" s="84"/>
      <c r="E21" s="84"/>
      <c r="F21" s="84"/>
      <c r="G21" s="84"/>
      <c r="H21" s="84"/>
      <c r="I21" s="84"/>
      <c r="J21" s="84"/>
      <c r="K21" s="84"/>
      <c r="L21" s="84"/>
      <c r="M21" s="84"/>
      <c r="N21" s="84"/>
      <c r="O21" s="84"/>
      <c r="P21" s="84"/>
      <c r="Q21" s="84"/>
      <c r="R21" s="84"/>
      <c r="S21" s="84"/>
      <c r="T21" s="84"/>
      <c r="U21" s="84"/>
    </row>
    <row r="22" spans="1:21" ht="14.4" x14ac:dyDescent="0.3">
      <c r="A22" s="84"/>
      <c r="B22" s="84"/>
      <c r="C22" s="84"/>
      <c r="D22" s="84"/>
      <c r="E22" s="84"/>
      <c r="F22" s="84"/>
      <c r="G22" s="84"/>
      <c r="H22" s="84"/>
      <c r="I22" s="84"/>
      <c r="J22" s="84"/>
      <c r="K22" s="84"/>
      <c r="L22" s="84"/>
      <c r="M22" s="84"/>
      <c r="N22" s="84"/>
      <c r="O22" s="84"/>
      <c r="P22" s="84"/>
      <c r="Q22" s="84"/>
      <c r="R22" s="84"/>
      <c r="S22" s="84"/>
      <c r="T22" s="84"/>
      <c r="U22" s="84"/>
    </row>
    <row r="23" spans="1:21" ht="14.4" x14ac:dyDescent="0.3">
      <c r="A23" s="84"/>
      <c r="B23" s="84"/>
      <c r="C23" s="84"/>
      <c r="D23" s="84"/>
      <c r="E23" s="84"/>
      <c r="F23" s="84"/>
      <c r="G23" s="84"/>
      <c r="H23" s="84"/>
      <c r="I23" s="84"/>
      <c r="J23" s="84"/>
      <c r="K23" s="84"/>
      <c r="L23" s="84"/>
      <c r="M23" s="84"/>
      <c r="N23" s="84"/>
      <c r="O23" s="84"/>
      <c r="P23" s="84"/>
      <c r="Q23" s="84"/>
      <c r="R23" s="84"/>
      <c r="S23" s="84"/>
      <c r="T23" s="84"/>
      <c r="U23" s="84"/>
    </row>
    <row r="24" spans="1:21" ht="14.4" x14ac:dyDescent="0.3">
      <c r="A24" s="84"/>
      <c r="B24" s="84"/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84"/>
      <c r="S24" s="84"/>
      <c r="T24" s="84"/>
      <c r="U24" s="84"/>
    </row>
    <row r="25" spans="1:21" ht="14.4" x14ac:dyDescent="0.3">
      <c r="A25" s="84"/>
      <c r="B25" s="84"/>
      <c r="C25" s="84"/>
      <c r="D25" s="84"/>
      <c r="E25" s="84"/>
      <c r="F25" s="84"/>
      <c r="G25" s="84"/>
      <c r="H25" s="84"/>
      <c r="I25" s="84"/>
      <c r="J25" s="84"/>
      <c r="K25" s="84"/>
      <c r="L25" s="84"/>
      <c r="M25" s="84"/>
      <c r="N25" s="84"/>
      <c r="O25" s="84"/>
      <c r="P25" s="84"/>
      <c r="Q25" s="84"/>
      <c r="R25" s="84"/>
      <c r="S25" s="84"/>
      <c r="T25" s="84"/>
      <c r="U25" s="84"/>
    </row>
    <row r="26" spans="1:21" ht="14.4" x14ac:dyDescent="0.3">
      <c r="A26" s="84"/>
      <c r="B26" s="84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</row>
    <row r="27" spans="1:21" ht="14.4" x14ac:dyDescent="0.3">
      <c r="A27" s="84"/>
      <c r="B27" s="84"/>
      <c r="C27" s="84"/>
      <c r="D27" s="84"/>
      <c r="E27" s="84"/>
      <c r="F27" s="84"/>
      <c r="G27" s="84"/>
      <c r="H27" s="84"/>
      <c r="I27" s="84"/>
      <c r="J27" s="84"/>
      <c r="K27" s="84"/>
      <c r="L27" s="84"/>
      <c r="M27" s="84"/>
      <c r="N27" s="84"/>
      <c r="O27" s="84"/>
      <c r="P27" s="84"/>
      <c r="Q27" s="84"/>
      <c r="R27" s="84"/>
      <c r="S27" s="84"/>
      <c r="T27" s="84"/>
      <c r="U27" s="84"/>
    </row>
    <row r="28" spans="1:21" ht="14.4" x14ac:dyDescent="0.3">
      <c r="A28" s="84"/>
      <c r="B28" s="84"/>
      <c r="C28" s="84"/>
      <c r="D28" s="84"/>
      <c r="E28" s="84"/>
      <c r="F28" s="84"/>
      <c r="G28" s="84"/>
      <c r="H28" s="84"/>
      <c r="I28" s="84"/>
      <c r="J28" s="84"/>
      <c r="K28" s="84"/>
      <c r="L28" s="84"/>
      <c r="M28" s="84"/>
      <c r="N28" s="84"/>
      <c r="O28" s="84"/>
      <c r="P28" s="84"/>
      <c r="Q28" s="84"/>
      <c r="R28" s="84"/>
      <c r="S28" s="84"/>
      <c r="T28" s="84"/>
      <c r="U28" s="84"/>
    </row>
    <row r="29" spans="1:21" ht="14.4" x14ac:dyDescent="0.3">
      <c r="A29" s="84"/>
      <c r="B29" s="84"/>
      <c r="C29" s="84"/>
      <c r="D29" s="84"/>
      <c r="E29" s="84"/>
      <c r="F29" s="84"/>
      <c r="G29" s="84"/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84"/>
      <c r="S29" s="84"/>
      <c r="T29" s="84"/>
      <c r="U29" s="84"/>
    </row>
    <row r="30" spans="1:21" ht="14.4" x14ac:dyDescent="0.3">
      <c r="A30" s="84"/>
      <c r="B30" s="84"/>
      <c r="C30" s="84"/>
      <c r="D30" s="84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</row>
    <row r="31" spans="1:21" ht="14.4" x14ac:dyDescent="0.3">
      <c r="A31" s="84"/>
      <c r="B31" s="84"/>
      <c r="C31" s="84"/>
      <c r="D31" s="84"/>
      <c r="E31" s="84"/>
      <c r="F31" s="84"/>
      <c r="G31" s="84"/>
      <c r="H31" s="84"/>
      <c r="I31" s="84"/>
      <c r="J31" s="84"/>
      <c r="K31" s="84"/>
      <c r="L31" s="84"/>
      <c r="M31" s="84"/>
      <c r="N31" s="84"/>
      <c r="O31" s="84"/>
      <c r="P31" s="84"/>
      <c r="Q31" s="84"/>
      <c r="R31" s="84"/>
      <c r="S31" s="84"/>
      <c r="T31" s="84"/>
      <c r="U31" s="84"/>
    </row>
    <row r="32" spans="1:21" ht="14.4" x14ac:dyDescent="0.3">
      <c r="A32" s="84"/>
      <c r="B32" s="84"/>
      <c r="C32" s="84"/>
      <c r="D32" s="84"/>
      <c r="E32" s="84"/>
      <c r="F32" s="84"/>
      <c r="G32" s="84"/>
      <c r="H32" s="84"/>
      <c r="I32" s="84"/>
      <c r="J32" s="84"/>
      <c r="K32" s="84"/>
      <c r="L32" s="84"/>
      <c r="M32" s="84"/>
      <c r="N32" s="84"/>
      <c r="O32" s="84"/>
      <c r="P32" s="84"/>
      <c r="Q32" s="84"/>
      <c r="R32" s="84"/>
      <c r="S32" s="84"/>
      <c r="T32" s="84"/>
      <c r="U32" s="84"/>
    </row>
    <row r="33" spans="1:21" ht="14.4" x14ac:dyDescent="0.3">
      <c r="A33" s="84"/>
      <c r="B33" s="84"/>
      <c r="C33" s="84"/>
      <c r="D33" s="84"/>
      <c r="E33" s="84"/>
      <c r="F33" s="84"/>
      <c r="G33" s="84"/>
      <c r="H33" s="84"/>
      <c r="I33" s="84"/>
      <c r="J33" s="84"/>
      <c r="K33" s="84"/>
      <c r="L33" s="84"/>
      <c r="M33" s="84"/>
      <c r="N33" s="84"/>
      <c r="O33" s="84"/>
      <c r="P33" s="84"/>
      <c r="Q33" s="84"/>
      <c r="R33" s="84"/>
      <c r="S33" s="84"/>
      <c r="T33" s="84"/>
      <c r="U33" s="84"/>
    </row>
    <row r="34" spans="1:21" ht="14.4" x14ac:dyDescent="0.3">
      <c r="A34" s="84"/>
      <c r="B34" s="84"/>
      <c r="C34" s="84"/>
      <c r="D34" s="84"/>
      <c r="E34" s="84"/>
      <c r="F34" s="84"/>
      <c r="G34" s="84"/>
      <c r="H34" s="84"/>
      <c r="I34" s="84"/>
      <c r="J34" s="84"/>
      <c r="K34" s="84"/>
      <c r="L34" s="84"/>
      <c r="M34" s="84"/>
      <c r="N34" s="84"/>
      <c r="O34" s="84"/>
      <c r="P34" s="84"/>
      <c r="Q34" s="84"/>
      <c r="R34" s="84"/>
      <c r="S34" s="84"/>
      <c r="T34" s="84"/>
      <c r="U34" s="84"/>
    </row>
    <row r="35" spans="1:21" ht="14.4" x14ac:dyDescent="0.3">
      <c r="A35" s="84"/>
      <c r="B35" s="84"/>
      <c r="C35" s="84"/>
      <c r="D35" s="84"/>
      <c r="E35" s="84"/>
      <c r="F35" s="84"/>
      <c r="G35" s="84"/>
      <c r="H35" s="84"/>
      <c r="I35" s="84"/>
      <c r="J35" s="84"/>
      <c r="K35" s="84"/>
      <c r="L35" s="84"/>
      <c r="M35" s="84"/>
      <c r="N35" s="84"/>
      <c r="O35" s="84"/>
      <c r="P35" s="84"/>
      <c r="Q35" s="84"/>
      <c r="R35" s="84"/>
      <c r="S35" s="84"/>
      <c r="T35" s="84"/>
      <c r="U35" s="84"/>
    </row>
    <row r="36" spans="1:21" ht="14.4" x14ac:dyDescent="0.3">
      <c r="A36" s="84"/>
      <c r="B36" s="84"/>
      <c r="C36" s="84"/>
      <c r="D36" s="84"/>
      <c r="E36" s="84"/>
      <c r="F36" s="84"/>
      <c r="G36" s="84"/>
      <c r="H36" s="84"/>
      <c r="I36" s="84"/>
      <c r="J36" s="84"/>
      <c r="K36" s="84"/>
      <c r="L36" s="84"/>
      <c r="M36" s="84"/>
      <c r="N36" s="84"/>
      <c r="O36" s="84"/>
      <c r="P36" s="84"/>
      <c r="Q36" s="84"/>
      <c r="R36" s="84"/>
      <c r="S36" s="84"/>
      <c r="T36" s="84"/>
      <c r="U36" s="84"/>
    </row>
    <row r="37" spans="1:21" ht="14.4" x14ac:dyDescent="0.3">
      <c r="A37" s="84"/>
      <c r="B37" s="84"/>
      <c r="C37" s="84"/>
      <c r="D37" s="84"/>
      <c r="E37" s="84"/>
      <c r="F37" s="84"/>
      <c r="G37" s="84"/>
      <c r="H37" s="84"/>
      <c r="I37" s="84"/>
      <c r="J37" s="84"/>
      <c r="K37" s="84"/>
      <c r="L37" s="84"/>
      <c r="M37" s="84"/>
      <c r="N37" s="84"/>
      <c r="O37" s="84"/>
      <c r="P37" s="84"/>
      <c r="Q37" s="84"/>
      <c r="R37" s="84"/>
      <c r="S37" s="84"/>
      <c r="T37" s="84"/>
      <c r="U37" s="84"/>
    </row>
    <row r="38" spans="1:21" ht="14.4" x14ac:dyDescent="0.3">
      <c r="A38" s="84"/>
      <c r="B38" s="84"/>
      <c r="C38" s="84"/>
      <c r="D38" s="84"/>
      <c r="E38" s="84"/>
      <c r="F38" s="84"/>
      <c r="G38" s="84"/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84"/>
      <c r="S38" s="84"/>
      <c r="T38" s="84"/>
      <c r="U38" s="84"/>
    </row>
    <row r="39" spans="1:21" ht="14.4" x14ac:dyDescent="0.3">
      <c r="A39" s="84"/>
      <c r="B39" s="84"/>
      <c r="C39" s="84"/>
      <c r="D39" s="84"/>
      <c r="E39" s="84"/>
      <c r="F39" s="84"/>
      <c r="G39" s="84"/>
      <c r="H39" s="84"/>
      <c r="I39" s="84"/>
      <c r="J39" s="84"/>
      <c r="K39" s="84"/>
      <c r="L39" s="84"/>
      <c r="M39" s="84"/>
      <c r="N39" s="84"/>
      <c r="O39" s="84"/>
      <c r="P39" s="84"/>
      <c r="Q39" s="84"/>
      <c r="R39" s="84"/>
      <c r="S39" s="84"/>
      <c r="T39" s="84"/>
      <c r="U39" s="84"/>
    </row>
    <row r="40" spans="1:21" ht="14.4" hidden="1" x14ac:dyDescent="0.3"/>
    <row r="41" spans="1:21" ht="14.4" hidden="1" x14ac:dyDescent="0.3"/>
    <row r="42" spans="1:21" ht="14.4" hidden="1" x14ac:dyDescent="0.3"/>
    <row r="43" spans="1:21" ht="14.4" hidden="1" x14ac:dyDescent="0.3"/>
    <row r="44" spans="1:21" ht="14.4" hidden="1" x14ac:dyDescent="0.3"/>
    <row r="45" spans="1:21" ht="14.4" hidden="1" x14ac:dyDescent="0.3"/>
  </sheetData>
  <sheetProtection algorithmName="SHA-512" hashValue="gCzkGsLksy1vJ8LGPW0PUkz7lVzVP3oL2mPTNJbTyHWpwbFWtlPpn0o0eTuZWsxBJBTXaen7ujQ4WgvloIkTHA==" saltValue="Sx2m6hEzAo4qgz33Dagv1Q==" spinCount="100000" sheet="1" objects="1" scenarios="1" selectLockedCells="1"/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6</vt:i4>
      </vt:variant>
      <vt:variant>
        <vt:lpstr>Intervalos Nomeados</vt:lpstr>
      </vt:variant>
      <vt:variant>
        <vt:i4>6</vt:i4>
      </vt:variant>
    </vt:vector>
  </HeadingPairs>
  <TitlesOfParts>
    <vt:vector size="12" baseType="lpstr">
      <vt:lpstr>MENU</vt:lpstr>
      <vt:lpstr>INSTRUÇÕES</vt:lpstr>
      <vt:lpstr>ÍNDICE_INPC</vt:lpstr>
      <vt:lpstr>COMPARATIVO</vt:lpstr>
      <vt:lpstr>TABELAS</vt:lpstr>
      <vt:lpstr>Sobre</vt:lpstr>
      <vt:lpstr>´´INDICE_IPCA</vt:lpstr>
      <vt:lpstr>ÍNDICE_INPC</vt:lpstr>
      <vt:lpstr>INDICE_IPCA</vt:lpstr>
      <vt:lpstr>INSTRUÇÕES</vt:lpstr>
      <vt:lpstr>MENU</vt:lpstr>
      <vt:lpstr>TAXA_INPC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de Fátima Oliveira</dc:creator>
  <cp:lastModifiedBy>CapSilver</cp:lastModifiedBy>
  <dcterms:created xsi:type="dcterms:W3CDTF">2021-05-21T14:28:45Z</dcterms:created>
  <dcterms:modified xsi:type="dcterms:W3CDTF">2021-11-30T12:37:54Z</dcterms:modified>
</cp:coreProperties>
</file>